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DE92" lockStructure="1"/>
  <bookViews>
    <workbookView visibility="visible" minimized="0" showHorizontalScroll="1" showVerticalScroll="1" showSheetTabs="1" tabRatio="600" firstSheet="0" activeTab="0" autoFilterDateGrouping="1"/>
  </bookViews>
  <sheets>
    <sheet name="Read Me" sheetId="1" state="visible" r:id="rId1"/>
    <sheet name="Read Me (Easy Read)" sheetId="2" state="visible" r:id="rId2"/>
    <sheet name="Finance" sheetId="3" state="visible" r:id="rId3"/>
    <sheet name="Month-End" sheetId="4" state="visible" r:id="rId4"/>
    <sheet name="WIP Summary" sheetId="5" state="visible" r:id="rId5"/>
    <sheet name="Deferred Revenue" sheetId="6" state="visible" r:id="rId6"/>
    <sheet name="Onsite" sheetId="7" state="visible" r:id="rId7"/>
    <sheet name="Production" sheetId="8" state="visible" r:id="rId8"/>
    <sheet name="Consulting" sheetId="9" state="visible" r:id="rId9"/>
    <sheet name="WIP Movements" sheetId="10" state="visible" r:id="rId10"/>
    <sheet name="Work Won" sheetId="11" state="visible" r:id="rId11"/>
    <sheet name="Lists" sheetId="12" state="visible" r:id="rId12"/>
  </sheets>
  <definedNames>
    <definedName name="lst_CostCentre">Lists!$A$5:$A$10</definedName>
    <definedName name="lst_InvoiceType">Lists!$B$5:$B$14</definedName>
    <definedName name="lst_TaxCode">Lists!$C$5:$C$8</definedName>
    <definedName name="lst_Status">Lists!$D$5:$D$13</definedName>
    <definedName name="lst_YN">Lists!$E$5:$E$7</definedName>
    <definedName name="lst_Ariba">Lists!$F$5:$F$10</definedName>
    <definedName name="lst_WIPType">Lists!$G$5:$G$13</definedName>
    <definedName name="lst_WIPGL">Lists!$H$5:$H$7</definedName>
    <definedName name="lst_Team">Lists!$I$5:$I$8</definedName>
    <definedName name="lst_RevCost">Lists!$J$5:$J$6</definedName>
    <definedName name="lst_WonSource">Lists!$M$5:$M$8</definedName>
    <definedName name="lst_WonStatus">Lists!$O$5:$O$8</definedName>
    <definedName name="set_GSTRate">Lists!$U$8</definedName>
    <definedName name="set_QwilrBase">Lists!$U$5</definedName>
    <definedName name="set_RMSBase">Lists!$U$6</definedName>
    <definedName name="set_WIPAsset">Lists!$U$9</definedName>
    <definedName name="set_WIPIncome">Lists!$U$10</definedName>
    <definedName name="lst_RevGL">Lists!$K$5:$K$39</definedName>
    <definedName name="lst_Months">Lists!$N$5:$N$100</definedName>
    <definedName name="lst_Jobs">Lists!$P$5:$P$1500</definedName>
    <definedName name="lst_JobName">Lists!$Q$5:$Q$1500</definedName>
    <definedName name="lst_JobCC">Lists!$R$5:$R$1500</definedName>
    <definedName name="_xlnm._FilterDatabase" localSheetId="4" hidden="1">'WIP Summary'!$A$11:$H$434</definedName>
    <definedName name="_xlnm._FilterDatabase" localSheetId="5" hidden="1">'Deferred Revenue'!$A$5:$T$405</definedName>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dd-mmm-yy"/>
    <numFmt numFmtId="167" formatCode="$#,##0.00;[Red]-$#,##0.00"/>
    <numFmt numFmtId="168" formatCode="yyyy-mm-dd h:mm:ss"/>
  </numFmts>
  <fonts count="23">
    <font>
      <name val="Calibri"/>
      <family val="2"/>
      <color theme="1"/>
      <sz val="11"/>
      <scheme val="minor"/>
    </font>
    <font>
      <b val="1"/>
      <color rgb="003E5066"/>
      <sz val="16"/>
    </font>
    <font>
      <i val="1"/>
      <color rgb="00595959"/>
      <sz val="10"/>
    </font>
    <font>
      <b val="1"/>
      <sz val="10"/>
    </font>
    <font>
      <i val="1"/>
      <color rgb="00808080"/>
      <sz val="9"/>
    </font>
    <font>
      <b val="1"/>
      <color rgb="00FFFFFF"/>
      <sz val="10"/>
    </font>
    <font>
      <sz val="10"/>
    </font>
    <font>
      <color rgb="00595959"/>
      <sz val="10"/>
    </font>
    <font>
      <b val="1"/>
      <color rgb="003E5066"/>
      <sz val="11"/>
    </font>
    <font>
      <b val="1"/>
      <sz val="11"/>
    </font>
    <font>
      <b val="1"/>
      <color rgb="003E5066"/>
      <sz val="12"/>
    </font>
    <font>
      <b val="1"/>
      <color rgb="00FFFFFF"/>
      <sz val="9"/>
    </font>
    <font>
      <color rgb="00595959"/>
      <sz val="9"/>
    </font>
    <font>
      <b val="1"/>
      <color rgb="003E5066"/>
      <sz val="10"/>
    </font>
    <font>
      <b val="1"/>
      <color rgb="00FFFFFF"/>
      <sz val="11"/>
    </font>
    <font>
      <b val="1"/>
      <sz val="9"/>
    </font>
    <font>
      <b val="1"/>
      <color rgb="003E5066"/>
      <sz val="20"/>
    </font>
    <font>
      <color rgb="00000000"/>
      <sz val="10"/>
    </font>
    <font>
      <name val="Verdana"/>
      <b val="1"/>
      <color rgb="003E5066"/>
      <sz val="22"/>
    </font>
    <font>
      <name val="Verdana"/>
      <color rgb="00595959"/>
      <sz val="13"/>
    </font>
    <font>
      <name val="Verdana"/>
      <b val="1"/>
      <color rgb="00FFFFFF"/>
      <sz val="14"/>
    </font>
    <font>
      <name val="Verdana"/>
      <color rgb="001F1F1F"/>
      <sz val="13"/>
    </font>
    <font>
      <name val="Verdana"/>
      <b val="1"/>
      <color rgb="003E5066"/>
      <sz val="13"/>
    </font>
  </fonts>
  <fills count="10">
    <fill>
      <patternFill/>
    </fill>
    <fill>
      <patternFill patternType="gray125"/>
    </fill>
    <fill>
      <patternFill patternType="solid">
        <fgColor rgb="00FFF9E6"/>
      </patternFill>
    </fill>
    <fill>
      <patternFill patternType="solid">
        <fgColor rgb="005B708A"/>
      </patternFill>
    </fill>
    <fill>
      <patternFill patternType="solid">
        <fgColor rgb="003E5066"/>
      </patternFill>
    </fill>
    <fill>
      <patternFill patternType="solid">
        <fgColor rgb="00F2F2F2"/>
      </patternFill>
    </fill>
    <fill>
      <patternFill patternType="solid">
        <fgColor rgb="00EDF1F6"/>
      </patternFill>
    </fill>
    <fill>
      <patternFill patternType="solid">
        <fgColor rgb="008B2B2B"/>
      </patternFill>
    </fill>
    <fill>
      <patternFill patternType="solid">
        <fgColor rgb="00F4EDDD"/>
      </patternFill>
    </fill>
    <fill>
      <patternFill patternType="solid">
        <fgColor rgb="00FFFBF0"/>
      </patternFill>
    </fill>
  </fills>
  <borders count="6">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style="thin">
        <color rgb="00B7B7B7"/>
      </right>
      <top style="thin">
        <color rgb="00B7B7B7"/>
      </top>
      <bottom style="thin">
        <color rgb="00B7B7B7"/>
      </bottom>
      <diagonal/>
    </border>
    <border>
      <left/>
      <right/>
      <top style="thin">
        <color rgb="00B7B7B7"/>
      </top>
      <bottom style="thin">
        <color rgb="00B7B7B7"/>
      </bottom>
      <diagonal/>
    </border>
  </borders>
  <cellStyleXfs count="1">
    <xf numFmtId="0" fontId="0" fillId="0" borderId="0"/>
  </cellStyleXfs>
  <cellXfs count="75">
    <xf numFmtId="0" fontId="0" fillId="0" borderId="0" pivotButton="0" quotePrefix="0" xfId="0"/>
    <xf numFmtId="0" fontId="16" fillId="0" borderId="0" pivotButton="0" quotePrefix="0" xfId="0"/>
    <xf numFmtId="0" fontId="2" fillId="0" borderId="0" pivotButton="0" quotePrefix="0" xfId="0"/>
    <xf numFmtId="0" fontId="14" fillId="4" borderId="0" applyAlignment="1" pivotButton="0" quotePrefix="0" xfId="0">
      <alignment vertical="center" indent="1"/>
    </xf>
    <xf numFmtId="0" fontId="17" fillId="0" borderId="0" applyAlignment="1" pivotButton="0" quotePrefix="0" xfId="0">
      <alignment vertical="top" wrapText="1"/>
    </xf>
    <xf numFmtId="0" fontId="13" fillId="6" borderId="1" applyAlignment="1" pivotButton="0" quotePrefix="0" xfId="0">
      <alignment vertical="top" wrapText="1" indent="1"/>
    </xf>
    <xf numFmtId="0" fontId="17" fillId="0" borderId="1" applyAlignment="1" pivotButton="0" quotePrefix="0" xfId="0">
      <alignment vertical="top" wrapText="1" indent="1"/>
    </xf>
    <xf numFmtId="0" fontId="14" fillId="7" borderId="0" applyAlignment="1" pivotButton="0" quotePrefix="0" xfId="0">
      <alignment vertical="center" indent="1"/>
    </xf>
    <xf numFmtId="0" fontId="13" fillId="6" borderId="1" applyAlignment="1" pivotButton="0" quotePrefix="0" xfId="0">
      <alignment vertical="center" wrapText="1" indent="1"/>
    </xf>
    <xf numFmtId="0" fontId="0" fillId="9" borderId="0" pivotButton="0" quotePrefix="0" xfId="0"/>
    <xf numFmtId="0" fontId="18" fillId="9" borderId="0" pivotButton="0" quotePrefix="0" xfId="0"/>
    <xf numFmtId="0" fontId="19" fillId="9" borderId="0" pivotButton="0" quotePrefix="0" xfId="0"/>
    <xf numFmtId="0" fontId="20" fillId="4" borderId="0" applyAlignment="1" pivotButton="0" quotePrefix="0" xfId="0">
      <alignment vertical="center" indent="1"/>
    </xf>
    <xf numFmtId="0" fontId="21" fillId="9" borderId="0" applyAlignment="1" pivotButton="0" quotePrefix="0" xfId="0">
      <alignment vertical="top" wrapText="1"/>
    </xf>
    <xf numFmtId="0" fontId="22" fillId="8" borderId="1" applyAlignment="1" pivotButton="0" quotePrefix="0" xfId="0">
      <alignment vertical="top" wrapText="1" indent="1"/>
    </xf>
    <xf numFmtId="0" fontId="21" fillId="9" borderId="1" applyAlignment="1" pivotButton="0" quotePrefix="0" xfId="0">
      <alignment vertical="top" wrapText="1" indent="1"/>
    </xf>
    <xf numFmtId="0" fontId="20" fillId="7" borderId="0" applyAlignment="1" pivotButton="0" quotePrefix="0" xfId="0">
      <alignment vertical="center" indent="1"/>
    </xf>
    <xf numFmtId="0" fontId="22" fillId="8" borderId="1" applyAlignment="1" pivotButton="0" quotePrefix="0" xfId="0">
      <alignment vertical="center" wrapText="1" indent="1"/>
    </xf>
    <xf numFmtId="0" fontId="1" fillId="0" borderId="0" pivotButton="0" quotePrefix="0" xfId="0"/>
    <xf numFmtId="0" fontId="8" fillId="6" borderId="1" applyAlignment="1" pivotButton="0" quotePrefix="0" xfId="0">
      <alignment horizontal="left" vertical="center" indent="1"/>
    </xf>
    <xf numFmtId="0" fontId="5" fillId="4" borderId="1" applyAlignment="1" pivotButton="0" quotePrefix="0" xfId="0">
      <alignment horizontal="center" vertical="center" wrapText="1"/>
    </xf>
    <xf numFmtId="0" fontId="5" fillId="3" borderId="1" applyAlignment="1" pivotButton="0" quotePrefix="0" xfId="0">
      <alignment horizontal="center" vertical="center" wrapText="1"/>
    </xf>
    <xf numFmtId="166" fontId="6" fillId="0" borderId="1" applyProtection="1" pivotButton="0" quotePrefix="0" xfId="0">
      <protection locked="0" hidden="0"/>
    </xf>
    <xf numFmtId="17" fontId="7" fillId="5" borderId="1" pivotButton="0" quotePrefix="0" xfId="0"/>
    <xf numFmtId="49" fontId="6" fillId="0" borderId="1" applyProtection="1" pivotButton="0" quotePrefix="0" xfId="0">
      <protection locked="0" hidden="0"/>
    </xf>
    <xf numFmtId="49" fontId="7" fillId="5" borderId="1" pivotButton="0" quotePrefix="0" xfId="0"/>
    <xf numFmtId="167" fontId="6" fillId="0" borderId="1" applyProtection="1" pivotButton="0" quotePrefix="0" xfId="0">
      <protection locked="0" hidden="0"/>
    </xf>
    <xf numFmtId="167" fontId="7" fillId="5" borderId="1" pivotButton="0" quotePrefix="0" xfId="0"/>
    <xf numFmtId="3" fontId="7" fillId="5" borderId="1" pivotButton="0" quotePrefix="0" xfId="0"/>
    <xf numFmtId="164" fontId="7" fillId="5" borderId="1" pivotButton="0" quotePrefix="0" xfId="0"/>
    <xf numFmtId="0" fontId="9" fillId="0" borderId="0" pivotButton="0" quotePrefix="0" xfId="0"/>
    <xf numFmtId="17" fontId="10" fillId="2" borderId="1" applyAlignment="1" pivotButton="0" quotePrefix="0" xfId="0">
      <alignment horizontal="center"/>
    </xf>
    <xf numFmtId="0" fontId="4" fillId="0" borderId="0" pivotButton="0" quotePrefix="0" xfId="0"/>
    <xf numFmtId="0" fontId="11" fillId="3" borderId="1" applyAlignment="1" pivotButton="0" quotePrefix="0" xfId="0">
      <alignment horizontal="center" vertical="center" wrapText="1"/>
    </xf>
    <xf numFmtId="0" fontId="3" fillId="0" borderId="1" pivotButton="0" quotePrefix="0" xfId="0"/>
    <xf numFmtId="167" fontId="0" fillId="0" borderId="1" pivotButton="0" quotePrefix="0" xfId="0"/>
    <xf numFmtId="167" fontId="0" fillId="5" borderId="1" pivotButton="0" quotePrefix="0" xfId="0"/>
    <xf numFmtId="167" fontId="0" fillId="2" borderId="1" pivotButton="0" quotePrefix="0" xfId="0"/>
    <xf numFmtId="0" fontId="0" fillId="0" borderId="1" pivotButton="0" quotePrefix="0" xfId="0"/>
    <xf numFmtId="0" fontId="5" fillId="3" borderId="1" pivotButton="0" quotePrefix="0" xfId="0"/>
    <xf numFmtId="167" fontId="5" fillId="3" borderId="1" pivotButton="0" quotePrefix="0" xfId="0"/>
    <xf numFmtId="0" fontId="6" fillId="0" borderId="0" pivotButton="0" quotePrefix="0" xfId="0"/>
    <xf numFmtId="167" fontId="3" fillId="5" borderId="1" pivotButton="0" quotePrefix="0" xfId="0"/>
    <xf numFmtId="167" fontId="6" fillId="5" borderId="1" pivotButton="0" quotePrefix="0" xfId="0"/>
    <xf numFmtId="0" fontId="0" fillId="0" borderId="1" applyAlignment="1" pivotButton="0" quotePrefix="0" xfId="0">
      <alignment horizontal="center"/>
    </xf>
    <xf numFmtId="0" fontId="3" fillId="0" borderId="0" pivotButton="0" quotePrefix="0" xfId="0"/>
    <xf numFmtId="167" fontId="13" fillId="6" borderId="1" pivotButton="0" quotePrefix="0" xfId="0"/>
    <xf numFmtId="0" fontId="15" fillId="0" borderId="1" applyAlignment="1" pivotButton="0" quotePrefix="0" xfId="0">
      <alignment horizontal="center"/>
    </xf>
    <xf numFmtId="3" fontId="3" fillId="5" borderId="1" applyAlignment="1" pivotButton="0" quotePrefix="0" xfId="0">
      <alignment horizontal="center"/>
    </xf>
    <xf numFmtId="167" fontId="3" fillId="5" borderId="1" applyAlignment="1" pivotButton="0" quotePrefix="0" xfId="0">
      <alignment horizontal="center"/>
    </xf>
    <xf numFmtId="0" fontId="6" fillId="5" borderId="1" pivotButton="0" quotePrefix="0" xfId="0"/>
    <xf numFmtId="0" fontId="3" fillId="5" borderId="1" pivotButton="0" quotePrefix="0" xfId="0"/>
    <xf numFmtId="0" fontId="0" fillId="0" borderId="4" pivotButton="0" quotePrefix="0" xfId="0"/>
    <xf numFmtId="3" fontId="0" fillId="5" borderId="1" pivotButton="0" quotePrefix="0" xfId="0"/>
    <xf numFmtId="0" fontId="6" fillId="0" borderId="1" pivotButton="0" quotePrefix="0" xfId="0"/>
    <xf numFmtId="0" fontId="0" fillId="2" borderId="1" pivotButton="0" quotePrefix="0" xfId="0"/>
    <xf numFmtId="0" fontId="0" fillId="0" borderId="5" pivotButton="0" quotePrefix="0" xfId="0"/>
    <xf numFmtId="17" fontId="10" fillId="5" borderId="1" applyAlignment="1" pivotButton="0" quotePrefix="0" xfId="0">
      <alignment horizontal="center"/>
    </xf>
    <xf numFmtId="167" fontId="13" fillId="5" borderId="1" pivotButton="0" quotePrefix="0" xfId="0"/>
    <xf numFmtId="0" fontId="13" fillId="0" borderId="0" pivotButton="0" quotePrefix="0" xfId="0"/>
    <xf numFmtId="49" fontId="6" fillId="0" borderId="1" pivotButton="0" quotePrefix="0" xfId="0"/>
    <xf numFmtId="167" fontId="6" fillId="2" borderId="1" pivotButton="0" quotePrefix="0" xfId="0"/>
    <xf numFmtId="0" fontId="11" fillId="4" borderId="1" applyAlignment="1" pivotButton="0" quotePrefix="0" xfId="0">
      <alignment horizontal="center" vertical="center" wrapText="1"/>
    </xf>
    <xf numFmtId="3" fontId="12" fillId="5" borderId="1" pivotButton="0" quotePrefix="0" xfId="0"/>
    <xf numFmtId="166" fontId="12" fillId="5" borderId="1" pivotButton="0" quotePrefix="0" xfId="0"/>
    <xf numFmtId="49" fontId="12" fillId="5" borderId="1" pivotButton="0" quotePrefix="0" xfId="0"/>
    <xf numFmtId="167" fontId="12" fillId="5" borderId="1" pivotButton="0" quotePrefix="0" xfId="0"/>
    <xf numFmtId="0" fontId="13" fillId="6" borderId="0" pivotButton="0" quotePrefix="0" xfId="0"/>
    <xf numFmtId="166" fontId="7" fillId="5" borderId="1" pivotButton="0" quotePrefix="0" xfId="0"/>
    <xf numFmtId="4" fontId="6" fillId="0" borderId="1" applyProtection="1" pivotButton="0" quotePrefix="0" xfId="0">
      <protection locked="0" hidden="0"/>
    </xf>
    <xf numFmtId="17" fontId="6" fillId="0" borderId="1" applyProtection="1" pivotButton="0" quotePrefix="0" xfId="0">
      <protection locked="0" hidden="0"/>
    </xf>
    <xf numFmtId="49" fontId="0" fillId="0" borderId="1" pivotButton="0" quotePrefix="0" xfId="0"/>
    <xf numFmtId="17" fontId="0" fillId="0" borderId="1" pivotButton="0" quotePrefix="0" xfId="0"/>
    <xf numFmtId="49" fontId="0" fillId="2" borderId="1" pivotButton="0" quotePrefix="0" xfId="0"/>
    <xf numFmtId="164" fontId="0" fillId="2" borderId="1" pivotButton="0" quotePrefix="0" xfId="0"/>
  </cellXfs>
  <cellStyles count="1">
    <cellStyle name="Normal" xfId="0" builtinId="0" hidden="0"/>
  </cellStyles>
  <dxfs count="3">
    <dxf>
      <fill>
        <patternFill patternType="solid">
          <fgColor rgb="00FFF2CC"/>
        </patternFill>
      </fill>
    </dxf>
    <dxf>
      <fill>
        <patternFill patternType="solid">
          <fgColor rgb="00FCE4E4"/>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bl_Finance" displayName="tbl_Finance" ref="A4:AH404" headerRowCount="1">
  <autoFilter ref="A4:AH404"/>
  <tableColumns count="34">
    <tableColumn id="1" name="Date"/>
    <tableColumn id="2" name="Month"/>
    <tableColumn id="3" name="Xero Invoice No"/>
    <tableColumn id="4" name="Client"/>
    <tableColumn id="5" name="Job Number"/>
    <tableColumn id="6" name="Job in Xero?"/>
    <tableColumn id="7" name="Description"/>
    <tableColumn id="8" name="Team"/>
    <tableColumn id="9" name="Cost Centre"/>
    <tableColumn id="10" name="Invoice Type"/>
    <tableColumn id="11" name="Tax Code"/>
    <tableColumn id="12" name="Ex GST"/>
    <tableColumn id="13" name="GST"/>
    <tableColumn id="14" name="Inc GST"/>
    <tableColumn id="15" name="Revenue GL"/>
    <tableColumn id="16" name="Posted to Xero"/>
    <tableColumn id="17" name="To WIP"/>
    <tableColumn id="18" name="Defer Start"/>
    <tableColumn id="19" name="Defer End"/>
    <tableColumn id="20" name="Status"/>
    <tableColumn id="21" name="Notes"/>
    <tableColumn id="22" name="Issue"/>
    <tableColumn id="23" name="On Dept Sheet"/>
    <tableColumn id="24" name="Job Name (Xero)"/>
    <tableColumn id="25" name="Lines on this Job"/>
    <tableColumn id="26" name="Job Total Ex GST"/>
    <tableColumn id="27" name="Job Invoiced"/>
    <tableColumn id="28" name="Job To Invoice"/>
    <tableColumn id="29" name="Job Quote / Ref"/>
    <tableColumn id="30" name="Open Quote"/>
    <tableColumn id="31" name="Job Expense"/>
    <tableColumn id="32" name="Job Margin"/>
    <tableColumn id="33" name="Job Margin %"/>
    <tableColumn id="34" name="Dept Notes"/>
  </tableColumns>
  <tableStyleInfo name="TableStyleLight1" showFirstColumn="0" showLastColumn="0" showRowStripes="1" showColumnStripes="0"/>
</table>
</file>

<file path=xl/tables/table2.xml><?xml version="1.0" encoding="utf-8"?>
<table xmlns="http://schemas.openxmlformats.org/spreadsheetml/2006/main" id="2" name="tbl_Onsite" displayName="tbl_Onsite" ref="A4:Q404" headerRowCount="1">
  <autoFilter ref="A4:Q404"/>
  <tableColumns count="17">
    <tableColumn id="1" name="Invoice Date"/>
    <tableColumn id="2" name="Invoice No"/>
    <tableColumn id="3" name="Job Number"/>
    <tableColumn id="4" name="Job in Xero?"/>
    <tableColumn id="5" name="Job Name (Xero)"/>
    <tableColumn id="6" name="Client"/>
    <tableColumn id="7" name="Lines on Job"/>
    <tableColumn id="8" name="Revenue Ex GST"/>
    <tableColumn id="9" name="Invoiced"/>
    <tableColumn id="10" name="To Invoice"/>
    <tableColumn id="11" name="Cost Centres"/>
    <tableColumn id="12" name="PO / Reference"/>
    <tableColumn id="13" name="Qwilr Quote"/>
    <tableColumn id="14" name="Open Qwilr"/>
    <tableColumn id="15" name="Billable Hours"/>
    <tableColumn id="16" name="Approved By"/>
    <tableColumn id="17" name="Notes"/>
  </tableColumns>
  <tableStyleInfo name="TableStyleLight1" showFirstColumn="0" showLastColumn="0" showRowStripes="1" showColumnStripes="0"/>
</table>
</file>

<file path=xl/tables/table3.xml><?xml version="1.0" encoding="utf-8"?>
<table xmlns="http://schemas.openxmlformats.org/spreadsheetml/2006/main" id="3" name="tbl_Production" displayName="tbl_Production" ref="A4:AO404" headerRowCount="1">
  <autoFilter ref="A4:AO404"/>
  <tableColumns count="41">
    <tableColumn id="1" name="Invoice Date"/>
    <tableColumn id="2" name="Invoice No"/>
    <tableColumn id="3" name="Job Number"/>
    <tableColumn id="4" name="Job in Xero?"/>
    <tableColumn id="5" name="Job Name (Xero)"/>
    <tableColumn id="6" name="Client"/>
    <tableColumn id="7" name="Lines on Job"/>
    <tableColumn id="8" name="Revenue Ex GST"/>
    <tableColumn id="9" name="Invoiced"/>
    <tableColumn id="10" name="To Invoice"/>
    <tableColumn id="11" name="Cost Centres"/>
    <tableColumn id="12" name="Total Inc GST"/>
    <tableColumn id="13" name="Company"/>
    <tableColumn id="14" name="Event Name"/>
    <tableColumn id="15" name="Client Email"/>
    <tableColumn id="16" name="Event Grouping"/>
    <tableColumn id="17" name="Event Date"/>
    <tableColumn id="18" name="Current RMS No"/>
    <tableColumn id="19" name="Open in Current RMS"/>
    <tableColumn id="20" name="Qwilr Quote"/>
    <tableColumn id="21" name="Open Qwilr"/>
    <tableColumn id="22" name="Zoho Number"/>
    <tableColumn id="23" name="Job Closed"/>
    <tableColumn id="24" name="Discounts Given"/>
    <tableColumn id="25" name="Value Before Discount"/>
    <tableColumn id="26" name="Discount %"/>
    <tableColumn id="27" name="Cross Hire Expense"/>
    <tableColumn id="28" name="Conf. Call Costs"/>
    <tableColumn id="29" name="Transcription Costs"/>
    <tableColumn id="30" name="Labour Expense (Internal)"/>
    <tableColumn id="31" name="Video Revenue"/>
    <tableColumn id="32" name="Video % of Revenue"/>
    <tableColumn id="33" name="Total Expense"/>
    <tableColumn id="34" name="Margin"/>
    <tableColumn id="35" name="Margin %"/>
    <tableColumn id="36" name="Video Filming Hrs"/>
    <tableColumn id="37" name="Video Editing Hrs"/>
    <tableColumn id="38" name="Project Mgmt Hrs"/>
    <tableColumn id="39" name="Video Project Mgmt Hrs"/>
    <tableColumn id="40" name="Production Labour Hrs"/>
    <tableColumn id="41" name="Notes"/>
  </tableColumns>
  <tableStyleInfo name="TableStyleLight1" showFirstColumn="0" showLastColumn="0" showRowStripes="1" showColumnStripes="0"/>
</table>
</file>

<file path=xl/tables/table4.xml><?xml version="1.0" encoding="utf-8"?>
<table xmlns="http://schemas.openxmlformats.org/spreadsheetml/2006/main" id="4" name="tbl_Consulting" displayName="tbl_Consulting" ref="A4:X404" headerRowCount="1">
  <autoFilter ref="A4:X404"/>
  <tableColumns count="24">
    <tableColumn id="1" name="Invoice Date"/>
    <tableColumn id="2" name="Invoice No"/>
    <tableColumn id="3" name="Job Number"/>
    <tableColumn id="4" name="Job in Xero?"/>
    <tableColumn id="5" name="Job Name (Xero)"/>
    <tableColumn id="6" name="Client"/>
    <tableColumn id="7" name="Lines on Job"/>
    <tableColumn id="8" name="Revenue Ex GST"/>
    <tableColumn id="9" name="Invoiced"/>
    <tableColumn id="10" name="To Invoice"/>
    <tableColumn id="11" name="Cost Centres"/>
    <tableColumn id="12" name="Qwilr Quote"/>
    <tableColumn id="13" name="Open Qwilr"/>
    <tableColumn id="14" name="Labour Revenue"/>
    <tableColumn id="15" name="Equipment Revenue"/>
    <tableColumn id="16" name="Subscription Revenue"/>
    <tableColumn id="17" name="Revenue Split Check"/>
    <tableColumn id="18" name="Labour Expense (External)"/>
    <tableColumn id="19" name="Equipment Expense (Internal)"/>
    <tableColumn id="20" name="Subscription &amp; Licences Expense"/>
    <tableColumn id="21" name="Total Expense"/>
    <tableColumn id="22" name="Margin"/>
    <tableColumn id="23" name="Margin %"/>
    <tableColumn id="24" name="Notes"/>
  </tableColumns>
  <tableStyleInfo name="TableStyleLight1" showFirstColumn="0" showLastColumn="0" showRowStripes="1" showColumnStripes="0"/>
</table>
</file>

<file path=xl/tables/table5.xml><?xml version="1.0" encoding="utf-8"?>
<table xmlns="http://schemas.openxmlformats.org/spreadsheetml/2006/main" id="5" name="tbl_WIP" displayName="tbl_WIP" ref="A4:V204" headerRowCount="1">
  <autoFilter ref="A4:V204"/>
  <tableColumns count="22">
    <tableColumn id="1" name="Month"/>
    <tableColumn id="2" name="Invoice Date"/>
    <tableColumn id="3" name="Xero Invoice No"/>
    <tableColumn id="4" name="Job Number"/>
    <tableColumn id="5" name="Job in Xero?"/>
    <tableColumn id="6" name="Client"/>
    <tableColumn id="7" name="Cost Centre"/>
    <tableColumn id="8" name="Description"/>
    <tableColumn id="9" name="Type"/>
    <tableColumn id="10" name="Revenue or Cost"/>
    <tableColumn id="11" name="Defer Start"/>
    <tableColumn id="12" name="Defer End"/>
    <tableColumn id="13" name="Spread"/>
    <tableColumn id="14" name="Amount"/>
    <tableColumn id="15" name="P&amp;L Account"/>
    <tableColumn id="16" name="Debit Account"/>
    <tableColumn id="17" name="Credit Account"/>
    <tableColumn id="18" name="Journal Amount"/>
    <tableColumn id="19" name="Journal Narration"/>
    <tableColumn id="20" name="Journal Ref"/>
    <tableColumn id="21" name="Posted to Xero"/>
    <tableColumn id="22" name="Notes"/>
  </tableColumns>
  <tableStyleInfo name="TableStyleLight1" showFirstColumn="0" showLastColumn="0" showRowStripes="1" showColumnStripes="0"/>
</table>
</file>

<file path=xl/tables/table6.xml><?xml version="1.0" encoding="utf-8"?>
<table xmlns="http://schemas.openxmlformats.org/spreadsheetml/2006/main" id="6" name="tbl_Won" displayName="tbl_Won" ref="A4:O604" headerRowCount="1">
  <autoFilter ref="A4:O604"/>
  <tableColumns count="15">
    <tableColumn id="1" name="Month"/>
    <tableColumn id="2" name="Source"/>
    <tableColumn id="3" name="Reference"/>
    <tableColumn id="4" name="Client"/>
    <tableColumn id="5" name="Job Number"/>
    <tableColumn id="6" name="Job in Xero?"/>
    <tableColumn id="7" name="Cost Centre"/>
    <tableColumn id="8" name="Description"/>
    <tableColumn id="9" name="Value Ex GST"/>
    <tableColumn id="10" name="Status"/>
    <tableColumn id="11" name="Date Won"/>
    <tableColumn id="12" name="Expected Invoice Month"/>
    <tableColumn id="13" name="On the Finance Sheet"/>
    <tableColumn id="14" name="Still to Invoice"/>
    <tableColumn id="15"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8.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_rels/sheet11.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tabColor rgb="007F7F7F"/>
    <outlinePr summaryBelow="1" summaryRight="1"/>
    <pageSetUpPr/>
  </sheetPr>
  <dimension ref="B2:C80"/>
  <sheetViews>
    <sheetView showGridLines="0" tabSelected="1" zoomScale="90" workbookViewId="0">
      <selection activeCell="A1" sqref="A1"/>
    </sheetView>
  </sheetViews>
  <sheetFormatPr baseColWidth="8" defaultRowHeight="15"/>
  <cols>
    <col width="3" customWidth="1" min="1" max="1"/>
    <col width="30" customWidth="1" min="2" max="2"/>
    <col width="106" customWidth="1" min="3" max="3"/>
  </cols>
  <sheetData>
    <row r="2" ht="28" customHeight="1">
      <c r="B2" s="1" t="inlineStr">
        <is>
          <t>FY27 Revenue Tracker</t>
        </is>
      </c>
    </row>
    <row r="4">
      <c r="B4" s="2" t="inlineStr">
        <is>
          <t>Corporate Technology Services Pty Ltd  -  replaces FY27_Revenue_Tracker_v2.xlsm</t>
        </is>
      </c>
    </row>
    <row r="5" ht="10" customHeight="1"/>
    <row r="6" ht="22" customHeight="1">
      <c r="B6" s="3" t="inlineStr">
        <is>
          <t>WHO TYPES WHERE</t>
        </is>
      </c>
    </row>
    <row r="7" ht="14" customHeight="1">
      <c r="C7" s="4" t="inlineStr">
        <is>
          <t>Finance types on the Finance sheet. Nowhere else. Every invoice line, every month.</t>
        </is>
      </c>
    </row>
    <row r="8" ht="14" customHeight="1">
      <c r="C8" s="4" t="inlineStr">
        <is>
          <t>Each department types on its own sheet. Nowhere else. One row per job number.</t>
        </is>
      </c>
    </row>
    <row r="9" ht="28" customHeight="1">
      <c r="C9" s="4" t="inlineStr">
        <is>
          <t>The two meet on Job Number, which is a real Xero tracking category and is checked against the live job list as you type. Nothing has to be kept lined up by hand.</t>
        </is>
      </c>
    </row>
    <row r="10" ht="10" customHeight="1"/>
    <row r="11" ht="22" customHeight="1">
      <c r="B11" s="3" t="inlineStr">
        <is>
          <t>HOW IT FITS TOGETHER</t>
        </is>
      </c>
    </row>
    <row r="12" ht="28" customHeight="1">
      <c r="B12" s="5" t="inlineStr">
        <is>
          <t>Finance</t>
        </is>
      </c>
      <c r="C12" s="6" t="inlineStr">
        <is>
          <t>The invoice register, and the only source of revenue. One row per invoice LINE, coded to one cost centre, exactly as Xero holds it. Filter the Issue column to see everything that needs fixing.</t>
        </is>
      </c>
    </row>
    <row r="13" ht="28" customHeight="1">
      <c r="B13" s="5" t="inlineStr">
        <is>
          <t>Onsite / Production / Consulting</t>
        </is>
      </c>
      <c r="C13" s="6" t="inlineStr">
        <is>
          <t>One row per job. Client, invoice count and revenue come from Finance automatically; the department fills in its own costs, hours and references.</t>
        </is>
      </c>
    </row>
    <row r="14" ht="28" customHeight="1">
      <c r="B14" s="5" t="inlineStr">
        <is>
          <t>WIP Movements</t>
        </is>
      </c>
      <c r="C14" s="6" t="inlineStr">
        <is>
          <t>Manual journals between the P&amp;L and GL 11300 Work in Progress. Anything with a defer start and end on Finance does not belong here - it is handled automatically.</t>
        </is>
      </c>
    </row>
    <row r="15" ht="28" customHeight="1">
      <c r="B15" s="5" t="inlineStr">
        <is>
          <t>Deferred Revenue</t>
        </is>
      </c>
      <c r="C15" s="6" t="inlineStr">
        <is>
          <t>The workings behind the automatic deferrals. Nothing is typed here; it mirrors the Finance lines that carry a defer start and end.</t>
        </is>
      </c>
    </row>
    <row r="16" ht="28" customHeight="1">
      <c r="B16" s="5" t="inlineStr">
        <is>
          <t>Month-End</t>
        </is>
      </c>
      <c r="C16" s="6" t="inlineStr">
        <is>
          <t>The close: revenue by cost centre against Xero, the WIP reconciliation, fifteen data checks and a sign-off box.</t>
        </is>
      </c>
    </row>
    <row r="17" ht="14" customHeight="1">
      <c r="B17" s="5" t="inlineStr">
        <is>
          <t>WIP Summary</t>
        </is>
      </c>
      <c r="C17" s="6" t="inlineStr">
        <is>
          <t>WIP opening / movement / closing for every job, to tie job by job back to the WIP Schedule file.</t>
        </is>
      </c>
    </row>
    <row r="18" ht="28" customHeight="1">
      <c r="B18" s="5" t="inlineStr">
        <is>
          <t>Lists</t>
        </is>
      </c>
      <c r="C18" s="6" t="inlineStr">
        <is>
          <t>Every dropdown. Cost centres, job numbers and revenue GL codes came straight out of your Xero organisation, so they already match.</t>
        </is>
      </c>
    </row>
    <row r="19" ht="10" customHeight="1"/>
    <row r="20" ht="22" customHeight="1">
      <c r="B20" s="3" t="inlineStr">
        <is>
          <t>DEFERRED REVENUE  -  it releases itself</t>
        </is>
      </c>
    </row>
    <row r="21" ht="28" customHeight="1">
      <c r="C21" s="4" t="inlineStr">
        <is>
          <t>Put a Defer Start and a Defer End on a Finance line and the revenue spreads evenly across those months instead of landing all in the month you invoiced. Leave both blank for an ordinary one-off invoice.</t>
        </is>
      </c>
    </row>
    <row r="22" ht="14" customHeight="1">
      <c r="C22" s="4" t="inlineStr">
        <is>
          <t xml:space="preserve">   In the month invoiced: one month is recognised, the rest goes to WIP.</t>
        </is>
      </c>
    </row>
    <row r="23" ht="14" customHeight="1">
      <c r="C23" s="4" t="inlineStr">
        <is>
          <t xml:space="preserve">   Every month after: one more month is released, automatically.</t>
        </is>
      </c>
    </row>
    <row r="24" ht="42" customHeight="1">
      <c r="C24" s="4" t="inlineStr">
        <is>
          <t>Worked example - $12,000 invoiced 15 Sep 2025 for Sep 2025 to Aug 2026. September recognises $1,000 and defers $11,000. Each month after releases $1,000. By August 2026 the balance is nil. Nothing is typed each month and no journal is needed.</t>
        </is>
      </c>
    </row>
    <row r="25" ht="42" customHeight="1">
      <c r="C25" s="4" t="inlineStr">
        <is>
          <t>The Deferred Revenue sheet shows the workings line by line, and Month-End and WIP Summary already include it. One warning: a deferred line must not ALSO have a manual row on WIP Movements or it counts twice - Month-End checks for that.</t>
        </is>
      </c>
    </row>
    <row r="26" ht="56" customHeight="1">
      <c r="C26" s="4" t="inlineStr">
        <is>
          <t>A cost can be deferred the same way, and it belongs on WIP Movements rather than Finance because it comes off a supplier bill, not an invoice. Type the bill amount as a positive, set Revenue or Cost to Cost, fill the two defer dates and put the expense account in P&amp;L Account. It then spreads by month in the second block of the Deferred Revenue sheet exactly like revenue does.</t>
        </is>
      </c>
    </row>
    <row r="27" ht="42" customHeight="1">
      <c r="C27" s="4" t="inlineStr">
        <is>
          <t>GL 11300 nets the two against each other, so Xero shows one figure and cannot tell you what it is made of. Month-End section 2 splits it: Total, Deferred / accrued revenue, Deferred / accrued cost. Compare only the Total column to Xero. Deferred cost never counts as revenue - section 1 leaves it out.</t>
        </is>
      </c>
    </row>
    <row r="28" ht="10" customHeight="1"/>
    <row r="29" ht="22" customHeight="1">
      <c r="B29" s="3" t="inlineStr">
        <is>
          <t>VIDEO REVENUE</t>
        </is>
      </c>
    </row>
    <row r="30" ht="56" customHeight="1">
      <c r="C30" s="4" t="inlineStr">
        <is>
          <t>There is no video split column any more, and nothing to keep honest. In Xero a cost centre sits on the invoice LINE, so a job invoiced part production and part video is simply two lines on the Finance sheet - one coded PRODUCTION, one coded VIDEO. The VIDEO figure at month-end is then a plain sum of the lines coded VIDEO, and it ties to the Xero VIDEO cost centre without any adjustment.</t>
        </is>
      </c>
    </row>
    <row r="31" ht="28" customHeight="1">
      <c r="C31" s="4" t="inlineStr">
        <is>
          <t>The 26 migrated invoices that carried a video amount were split into two lines each on the way across. Ex GST in total is unchanged.</t>
        </is>
      </c>
    </row>
    <row r="32" ht="42" customHeight="1">
      <c r="C32" s="4" t="inlineStr">
        <is>
          <t>The Production sheet carries a Video Revenue column beside the expenses, and Video % of Revenue next to it. Both read the Finance lines coded VIDEO, so nothing is typed. Job by job they reproduce the old Video Total column to the cent - 38,484.75 in total across 28 jobs.</t>
        </is>
      </c>
    </row>
    <row r="33" ht="10" customHeight="1"/>
    <row r="34" ht="22" customHeight="1">
      <c r="B34" s="3" t="inlineStr">
        <is>
          <t>WHY THIS VERSION IS NOT SLOW, AND WHY IT OPENS</t>
        </is>
      </c>
    </row>
    <row r="35" ht="42" customHeight="1">
      <c r="C35" s="4" t="inlineStr">
        <is>
          <t>The v2 file was slow because of its macro: every keystroke copied 26 columns by 200 rows into hidden storage, and it was capped at 200 rows per department. There are no macros here at all, and it is a .xlsx, so no macro warning and nothing blocked on SharePoint.</t>
        </is>
      </c>
    </row>
    <row r="36" ht="42" customHeight="1">
      <c r="C36" s="4" t="inlineStr">
        <is>
          <t>There are also no dynamic array formulas - no VSTACK, FILTER, SORT, UNIQUE or XLOOKUP. Every sheet is a real Excel Table or a plain SUMIFS grid, which means the filter buttons, sorting and PivotTables all work normally, and every formula runs in any version of Excel.</t>
        </is>
      </c>
    </row>
    <row r="37" ht="10" customHeight="1"/>
    <row r="38" ht="22" customHeight="1">
      <c r="B38" s="3" t="inlineStr">
        <is>
          <t>WORK WON  -  ZOHO, CURRENT RMS AND QWILR</t>
        </is>
      </c>
    </row>
    <row r="39" ht="42" customHeight="1">
      <c r="C39" s="4" t="inlineStr">
        <is>
          <t>Paste the month's won opportunities onto the Work Won sheet, one row each, with the source, the value and the job number where you have it. Month-End section 5 totals them by source and puts them next to what was actually invoiced.</t>
        </is>
      </c>
    </row>
    <row r="40" ht="42" customHeight="1">
      <c r="C40" s="4" t="inlineStr">
        <is>
          <t>It is a sense check and nothing else. No revenue ever comes off this sheet. What it catches is work won and never invoiced, and invoicing with no opportunity behind it. Put a job number on a row and it also tells you what has been raised against that job so far.</t>
        </is>
      </c>
    </row>
    <row r="41" ht="70" customHeight="1">
      <c r="C41" s="4" t="inlineStr">
        <is>
          <t>Month-End section 6 turns the same sheet into the forecast. It adds two things that have no invoice against them: a Finance line carrying a value but no invoice number, and work marked Won less everything Finance already holds against that job. Subtracting all of it is what stops the same work being counted twice. Open opportunities and deferred revenue still to release sit underneath as memos, deliberately outside the total.</t>
        </is>
      </c>
    </row>
    <row r="42" ht="10" customHeight="1"/>
    <row r="43" ht="22" customHeight="1">
      <c r="B43" s="3" t="inlineStr">
        <is>
          <t>MONTH-END, IN ORDER</t>
        </is>
      </c>
    </row>
    <row r="44" ht="28" customHeight="1">
      <c r="C44" s="4" t="inlineStr">
        <is>
          <t>1.  Chase the departments until every invoice for the month is on the Finance sheet and Posted to Xero is Y.</t>
        </is>
      </c>
    </row>
    <row r="45" ht="14" customHeight="1">
      <c r="C45" s="4" t="inlineStr">
        <is>
          <t>2.  Open Month-End and set the month.</t>
        </is>
      </c>
    </row>
    <row r="46" ht="28" customHeight="1">
      <c r="C46" s="4" t="inlineStr">
        <is>
          <t>3.  Work section 3 first. Every count must be zero. Fix on the Finance sheet, or filter the Issue column there, which lists the same problems row by row.</t>
        </is>
      </c>
    </row>
    <row r="47" ht="28" customHeight="1">
      <c r="C47" s="4" t="inlineStr">
        <is>
          <t>4.  Section 1: run the Xero P&amp;L for the month by Cost Centre and type the revenue into the yellow column. Each line should read Reconciled.</t>
        </is>
      </c>
    </row>
    <row r="48" ht="14" customHeight="1">
      <c r="C48" s="4" t="inlineStr">
        <is>
          <t>5.  Section 2: type the WIP Schedule closing balance and the Xero GL 11300 balance.</t>
        </is>
      </c>
    </row>
    <row r="49" ht="28" customHeight="1">
      <c r="C49" s="4" t="inlineStr">
        <is>
          <t>6.  Breaks in section 2 - open WIP Summary, paste the WIP Schedule balances into column G and the variance column shows which job is out.</t>
        </is>
      </c>
    </row>
    <row r="50" ht="42" customHeight="1">
      <c r="C50" s="4" t="inlineStr">
        <is>
          <t>7.  Section 4 is the journal. It names the account to debit, the account to credit and the amount, split by cost centre. Key it into Xero as one manual journal, then put the journal reference back on the WIP Movements rows.</t>
        </is>
      </c>
    </row>
    <row r="51" ht="14" customHeight="1">
      <c r="C51" s="4" t="inlineStr">
        <is>
          <t>8.  Section 5 is the Work Won sense check against ZOHO, Current RMS and Qwilr.</t>
        </is>
      </c>
    </row>
    <row r="52" ht="10" customHeight="1"/>
    <row r="53" ht="22" customHeight="1">
      <c r="B53" s="3" t="inlineStr">
        <is>
          <t>THE WIP SIGN RULE</t>
        </is>
      </c>
    </row>
    <row r="54" ht="56" customHeight="1">
      <c r="C54" s="4" t="inlineStr">
        <is>
          <t>One signed Amount column does both jobs, because GL 11300 nets accrued and deferred revenue. Positive = revenue recognised this month (work done but not yet invoiced, or a deferral released). Negative = revenue pushed out of this month (invoiced in advance). So revenue recognised = invoiced Ex GST + WIP movement, and the running total of the Amount column is the GL 11300 balance.</t>
        </is>
      </c>
    </row>
    <row r="55" ht="56" customHeight="1">
      <c r="C55" s="4" t="inlineStr">
        <is>
          <t>Every row on WIP Movements now says which account to debit, which to credit and for how much, and gives you a narration to paste. A positive amount puts revenue back into the month, so WIP goes up: debit 11300 Work in Progress, credit 44200 Closing Work in Progress. A negative amount is the other way round. The old GL Code column is gone - it said 11300 on every row and these two columns replace it.</t>
        </is>
      </c>
    </row>
    <row r="56" ht="42" customHeight="1">
      <c r="C56" s="4" t="inlineStr">
        <is>
          <t>Month-End section 4 adds those rows up with the automatic deferrals and gives you the whole month as one journal, split by cost centre so it can carry tracking in Xero. Debit and credit must agree and the sheet says Balanced when they do. Nothing posts itself - you key it in and put the reference back on the rows.</t>
        </is>
      </c>
    </row>
    <row r="57" ht="28" customHeight="1">
      <c r="C57" s="4" t="inlineStr">
        <is>
          <t>The two accounts are set on the Lists sheet, column U rows 9 and 10. Change them there and every Debit / Credit follows.</t>
        </is>
      </c>
    </row>
    <row r="58" ht="10" customHeight="1"/>
    <row r="59" ht="22" customHeight="1">
      <c r="B59" s="3" t="inlineStr">
        <is>
          <t>LOCKED CELLS, LINKS AND TOTALS</t>
        </is>
      </c>
    </row>
    <row r="60" ht="56" customHeight="1">
      <c r="C60" s="4" t="inlineStr">
        <is>
          <t>Every sheet is protected with the password CTS1234. Only the cells you are meant to fill are open; the grey calculated ones are locked so a stray keystroke cannot wipe a formula. To edit a locked cell: Review, Unprotect Sheet, type CTS1234. Sorting and filtering work without unprotecting anything. The workbook structure uses the same password, so sheets cannot be renamed, reordered or deleted by accident either.</t>
        </is>
      </c>
    </row>
    <row r="61" ht="70" customHeight="1">
      <c r="C61" s="4" t="inlineStr">
        <is>
          <t>Qwilr quotes and Current RMS numbers are clickable. Paste a full web address and it is used as it stands; type a bare number and it is added to the base address on the Lists sheet. The Qwilr base is already set, and Current RMS on the Production sheet now works exactly the same way - paste the whole Current RMS address into the Current RMS No cell and it links straight away. Only fill in Lists column U row 6 if you would rather type the bare opportunity number.</t>
        </is>
      </c>
    </row>
    <row r="62" ht="28" customHeight="1">
      <c r="C62" s="4" t="inlineStr">
        <is>
          <t>Each sheet shows its total ex-GST at the top, and it follows the filter - filter to one client or one month and the total follows. Finance shows Ex GST, GST and Inc GST.</t>
        </is>
      </c>
    </row>
    <row r="63" ht="28" customHeight="1">
      <c r="C63" s="4" t="inlineStr">
        <is>
          <t>The GST rate is no longer buried in the formula. It sits on the Lists sheet, column U row 8, and every GST cell reads it from there.</t>
        </is>
      </c>
    </row>
    <row r="64" ht="10" customHeight="1"/>
    <row r="65" ht="22" customHeight="1">
      <c r="B65" s="3" t="inlineStr">
        <is>
          <t>RULES THAT KEEP IT FAST</t>
        </is>
      </c>
    </row>
    <row r="66" ht="14" customHeight="1">
      <c r="C66" s="4" t="inlineStr">
        <is>
          <t xml:space="preserve">   Never insert or delete rows above the header row.</t>
        </is>
      </c>
    </row>
    <row r="67" ht="28" customHeight="1">
      <c r="C67" s="4" t="inlineStr">
        <is>
          <t xml:space="preserve">   Add rows by typing in the next blank row of the table, or press Tab at the end of the last row and the table grows with the formulas.</t>
        </is>
      </c>
    </row>
    <row r="68" ht="14" customHeight="1">
      <c r="C68" s="4" t="inlineStr">
        <is>
          <t xml:space="preserve">   Paste values only, never whole columns.</t>
        </is>
      </c>
    </row>
    <row r="69" ht="14" customHeight="1">
      <c r="C69" s="4" t="inlineStr">
        <is>
          <t xml:space="preserve">   Leave calculation on Automatic. Nothing here is volatile - no OFFSET, no INDIRECT, no TODAY in bulk.</t>
        </is>
      </c>
    </row>
    <row r="70" ht="28" customHeight="1">
      <c r="C70" s="4" t="inlineStr">
        <is>
          <t xml:space="preserve">   Keep it as .xlsx. The moment someone saves it as .xlsm and adds a macro you are back where you started.</t>
        </is>
      </c>
    </row>
    <row r="71" ht="10" customHeight="1"/>
    <row r="72" ht="22" customHeight="1">
      <c r="B72" s="3" t="inlineStr">
        <is>
          <t>THIS IS THE EMPTY TEST COPY</t>
        </is>
      </c>
    </row>
    <row r="73" ht="28" customHeight="1">
      <c r="C73" s="4" t="inlineStr">
        <is>
          <t>Nothing has been migrated into this file. Every sheet is empty and ready to type into, and every formula, dropdown, lock, hyperlink and month-end check is exactly the same as the live workbook.</t>
        </is>
      </c>
    </row>
    <row r="74" ht="28" customHeight="1">
      <c r="C74" s="4" t="inlineStr">
        <is>
          <t>What is still here is reference data, because the dropdowns and the job checks need it: the Xero job list, the cost centres, the revenue GL codes and the month list on the Lists sheet.</t>
        </is>
      </c>
    </row>
    <row r="75" ht="42" customHeight="1">
      <c r="C75" s="4" t="inlineStr">
        <is>
          <t>To test it end to end: type an invoice line on the Finance sheet, then type the same job number on the matching department sheet, then open Month-End, set the month and work down. Section 3 should go to nil and section 1 should add up to what you typed.</t>
        </is>
      </c>
    </row>
    <row r="76" ht="10" customHeight="1"/>
    <row r="77" ht="22" customHeight="1">
      <c r="B77" s="7" t="inlineStr">
        <is>
          <t>STILL TO CONFIRM</t>
        </is>
      </c>
    </row>
    <row r="78" ht="70" customHeight="1">
      <c r="C78" s="4" t="inlineStr">
        <is>
          <t>Discounts. Checked against Xero: for all 17 August production invoices carrying a discount, the ex-GST total on the Xero invoice equals Ex GST here exactly, and not one matched Ex GST minus the discount. So the discount comes off before the invoice is raised and Ex GST is what reconciles. The old "Net Total" is gone; Discounts Given now sits on the Production sheet at job level with Value Before Discount beside it. ASSUMPTION: it records what was given away off standard rates.</t>
        </is>
      </c>
    </row>
    <row r="80" ht="28" customHeight="1">
      <c r="B80" s="8" t="inlineStr">
        <is>
          <t>Bigger text, shorter lines, one sentence per line: open the Read Me (Easy Read) tab. Same words, easier on the eye.</t>
        </is>
      </c>
    </row>
  </sheetData>
  <mergeCells count="13">
    <mergeCell ref="B77:C77"/>
    <mergeCell ref="B6:C6"/>
    <mergeCell ref="B38:C38"/>
    <mergeCell ref="B29:C29"/>
    <mergeCell ref="B11:C11"/>
    <mergeCell ref="B72:C72"/>
    <mergeCell ref="B59:C59"/>
    <mergeCell ref="B65:C65"/>
    <mergeCell ref="B20:C20"/>
    <mergeCell ref="B34:C34"/>
    <mergeCell ref="B80:C80"/>
    <mergeCell ref="B53:C53"/>
    <mergeCell ref="B43:C43"/>
  </mergeCells>
  <pageMargins left="0.75" right="0.75" top="1" bottom="1" header="0.5" footer="0.5"/>
</worksheet>
</file>

<file path=xl/worksheets/sheet2.xml><?xml version="1.0" encoding="utf-8"?>
<worksheet xmlns="http://schemas.openxmlformats.org/spreadsheetml/2006/main">
  <sheetPr>
    <tabColor rgb="00A6A6A6"/>
    <outlinePr summaryBelow="1" summaryRight="1"/>
    <pageSetUpPr/>
  </sheetPr>
  <dimension ref="A1:D185"/>
  <sheetViews>
    <sheetView showGridLines="0" tabSelected="0" zoomScale="90" workbookViewId="0">
      <selection activeCell="A1" sqref="A1"/>
    </sheetView>
  </sheetViews>
  <sheetFormatPr baseColWidth="8" defaultRowHeight="15"/>
  <cols>
    <col width="4" customWidth="1" min="1" max="1"/>
    <col width="34" customWidth="1" min="2" max="2"/>
    <col width="92" customWidth="1" min="3" max="3"/>
  </cols>
  <sheetData>
    <row r="1">
      <c r="A1" s="9" t="n"/>
      <c r="B1" s="9" t="n"/>
      <c r="C1" s="9" t="n"/>
      <c r="D1" s="9" t="n"/>
    </row>
    <row r="2" ht="30.8" customHeight="1">
      <c r="A2" s="9" t="n"/>
      <c r="B2" s="10" t="inlineStr">
        <is>
          <t>FY27 Revenue Tracker</t>
        </is>
      </c>
      <c r="C2" s="9" t="n"/>
      <c r="D2" s="9" t="n"/>
    </row>
    <row r="3">
      <c r="A3" s="9" t="n"/>
      <c r="B3" s="11" t="inlineStr">
        <is>
          <t>Corporate Technology Services Pty Ltd  -  replaces FY27_Revenue_Tracker_v2.xlsm</t>
        </is>
      </c>
      <c r="C3" s="9" t="n"/>
      <c r="D3" s="9" t="n"/>
    </row>
    <row r="4" ht="15.5" customHeight="1">
      <c r="A4" s="9" t="n"/>
      <c r="B4" s="9" t="n"/>
      <c r="C4" s="9" t="n"/>
      <c r="D4" s="9" t="n"/>
    </row>
    <row r="5" ht="28" customHeight="1">
      <c r="A5" s="9" t="n"/>
      <c r="B5" s="12" t="inlineStr">
        <is>
          <t>Who types where</t>
        </is>
      </c>
      <c r="C5" s="9" t="n"/>
      <c r="D5" s="9" t="n"/>
    </row>
    <row r="6" ht="26.35" customHeight="1">
      <c r="A6" s="9" t="n"/>
      <c r="B6" s="9" t="n"/>
      <c r="C6" s="13" t="inlineStr">
        <is>
          <t>Finance types on the Finance sheet.</t>
        </is>
      </c>
      <c r="D6" s="9" t="n"/>
    </row>
    <row r="7" ht="26.35" customHeight="1">
      <c r="A7" s="9" t="n"/>
      <c r="B7" s="9" t="n"/>
      <c r="C7" s="13" t="inlineStr">
        <is>
          <t>Nowhere else.</t>
        </is>
      </c>
      <c r="D7" s="9" t="n"/>
    </row>
    <row r="8" ht="26.35" customHeight="1">
      <c r="A8" s="9" t="n"/>
      <c r="B8" s="9" t="n"/>
      <c r="C8" s="13" t="inlineStr">
        <is>
          <t>Every invoice line, every month.</t>
        </is>
      </c>
      <c r="D8" s="9" t="n"/>
    </row>
    <row r="9" ht="6" customHeight="1">
      <c r="A9" s="9" t="n"/>
      <c r="B9" s="9" t="n"/>
      <c r="C9" s="9" t="n"/>
      <c r="D9" s="9" t="n"/>
    </row>
    <row r="10" ht="26.35" customHeight="1">
      <c r="A10" s="9" t="n"/>
      <c r="B10" s="9" t="n"/>
      <c r="C10" s="13" t="inlineStr">
        <is>
          <t>Each department types on its own sheet.</t>
        </is>
      </c>
      <c r="D10" s="9" t="n"/>
    </row>
    <row r="11" ht="26.35" customHeight="1">
      <c r="A11" s="9" t="n"/>
      <c r="B11" s="9" t="n"/>
      <c r="C11" s="13" t="inlineStr">
        <is>
          <t>Nowhere else.</t>
        </is>
      </c>
      <c r="D11" s="9" t="n"/>
    </row>
    <row r="12" ht="26.35" customHeight="1">
      <c r="A12" s="9" t="n"/>
      <c r="B12" s="9" t="n"/>
      <c r="C12" s="13" t="inlineStr">
        <is>
          <t>One row per job number.</t>
        </is>
      </c>
      <c r="D12" s="9" t="n"/>
    </row>
    <row r="13" ht="6" customHeight="1">
      <c r="A13" s="9" t="n"/>
      <c r="B13" s="9" t="n"/>
      <c r="C13" s="9" t="n"/>
      <c r="D13" s="9" t="n"/>
    </row>
    <row r="14" ht="52.7" customHeight="1">
      <c r="A14" s="9" t="n"/>
      <c r="B14" s="9" t="n"/>
      <c r="C14" s="13" t="inlineStr">
        <is>
          <t>The two meet on Job Number, which is a real Xero tracking category and is checked against the live job list as you type.</t>
        </is>
      </c>
      <c r="D14" s="9" t="n"/>
    </row>
    <row r="15" ht="26.35" customHeight="1">
      <c r="A15" s="9" t="n"/>
      <c r="B15" s="9" t="n"/>
      <c r="C15" s="13" t="inlineStr">
        <is>
          <t>Nothing has to be kept lined up by hand.</t>
        </is>
      </c>
      <c r="D15" s="9" t="n"/>
    </row>
    <row r="16" ht="6" customHeight="1">
      <c r="A16" s="9" t="n"/>
      <c r="B16" s="9" t="n"/>
      <c r="C16" s="9" t="n"/>
      <c r="D16" s="9" t="n"/>
    </row>
    <row r="17" ht="15.5" customHeight="1">
      <c r="A17" s="9" t="n"/>
      <c r="B17" s="9" t="n"/>
      <c r="C17" s="9" t="n"/>
      <c r="D17" s="9" t="n"/>
    </row>
    <row r="18" ht="28" customHeight="1">
      <c r="A18" s="9" t="n"/>
      <c r="B18" s="12" t="inlineStr">
        <is>
          <t>How it fits together</t>
        </is>
      </c>
      <c r="C18" s="9" t="n"/>
      <c r="D18" s="9" t="n"/>
    </row>
    <row r="19" ht="158.1" customHeight="1">
      <c r="A19" s="9" t="n"/>
      <c r="B19" s="14" t="inlineStr">
        <is>
          <t>Finance</t>
        </is>
      </c>
      <c r="C19" s="15" t="inlineStr">
        <is>
          <t>The invoice register, and the only source of revenue.
One row per invoice line, coded to one cost centre, exactly as Xero holds it.
Filter the Issue column to see everything that needs fixing.</t>
        </is>
      </c>
      <c r="D19" s="9" t="n"/>
    </row>
    <row r="20" ht="105.4" customHeight="1">
      <c r="A20" s="9" t="n"/>
      <c r="B20" s="14" t="inlineStr">
        <is>
          <t>Onsite / Production / Consulting</t>
        </is>
      </c>
      <c r="C20" s="15" t="inlineStr">
        <is>
          <t>One row per job.
Client, invoice count and revenue come from Finance automatically; the department fills in its own costs, hours and references.</t>
        </is>
      </c>
      <c r="D20" s="9" t="n"/>
    </row>
    <row r="21" ht="105.4" customHeight="1">
      <c r="A21" s="9" t="n"/>
      <c r="B21" s="14" t="inlineStr">
        <is>
          <t>WIP Movements</t>
        </is>
      </c>
      <c r="C21" s="15" t="inlineStr">
        <is>
          <t>Manual journals between the P&amp;L and GL 11300 Work in Progress.
Anything with a defer start and end on Finance does not belong here - it is handled automatically.</t>
        </is>
      </c>
      <c r="D21" s="9" t="n"/>
    </row>
    <row r="22" ht="105.4" customHeight="1">
      <c r="A22" s="9" t="n"/>
      <c r="B22" s="14" t="inlineStr">
        <is>
          <t>Deferred Revenue</t>
        </is>
      </c>
      <c r="C22" s="15" t="inlineStr">
        <is>
          <t>The workings behind the automatic deferrals.
Nothing is typed here; it mirrors the Finance lines that carry a defer start and end.</t>
        </is>
      </c>
      <c r="D22" s="9" t="n"/>
    </row>
    <row r="23" ht="52.7" customHeight="1">
      <c r="A23" s="9" t="n"/>
      <c r="B23" s="14" t="inlineStr">
        <is>
          <t>Month-End</t>
        </is>
      </c>
      <c r="C23" s="15" t="inlineStr">
        <is>
          <t>The close: revenue by cost centre against Xero, the WIP reconciliation, fifteen data checks and a sign-off box.</t>
        </is>
      </c>
      <c r="D23" s="9" t="n"/>
    </row>
    <row r="24" ht="52.7" customHeight="1">
      <c r="A24" s="9" t="n"/>
      <c r="B24" s="14" t="inlineStr">
        <is>
          <t>WIP Summary</t>
        </is>
      </c>
      <c r="C24" s="15" t="inlineStr">
        <is>
          <t>WIP opening / movement / closing for every job, to tie job by job back to the WIP Schedule file.</t>
        </is>
      </c>
      <c r="D24" s="9" t="n"/>
    </row>
    <row r="25" ht="105.4" customHeight="1">
      <c r="A25" s="9" t="n"/>
      <c r="B25" s="14" t="inlineStr">
        <is>
          <t>Lists</t>
        </is>
      </c>
      <c r="C25" s="15" t="inlineStr">
        <is>
          <t>Every dropdown.
Cost centres, job numbers and revenue GL codes came straight out of your Xero organisation, so they already match.</t>
        </is>
      </c>
      <c r="D25" s="9" t="n"/>
    </row>
    <row r="26" ht="15.5" customHeight="1">
      <c r="A26" s="9" t="n"/>
      <c r="B26" s="9" t="n"/>
      <c r="C26" s="9" t="n"/>
      <c r="D26" s="9" t="n"/>
    </row>
    <row r="27" ht="28" customHeight="1">
      <c r="A27" s="9" t="n"/>
      <c r="B27" s="12" t="inlineStr">
        <is>
          <t>Deferred revenue  -  it releases itself</t>
        </is>
      </c>
      <c r="C27" s="9" t="n"/>
      <c r="D27" s="9" t="n"/>
    </row>
    <row r="28" ht="79.05000000000001" customHeight="1">
      <c r="A28" s="9" t="n"/>
      <c r="B28" s="9" t="n"/>
      <c r="C28" s="13" t="inlineStr">
        <is>
          <t>Put a Defer Start and a Defer End on a Finance line and the revenue spreads evenly across those months instead of landing all in the month you invoiced.</t>
        </is>
      </c>
      <c r="D28" s="9" t="n"/>
    </row>
    <row r="29" ht="26.35" customHeight="1">
      <c r="A29" s="9" t="n"/>
      <c r="B29" s="9" t="n"/>
      <c r="C29" s="13" t="inlineStr">
        <is>
          <t>Leave both blank for an ordinary one-off invoice.</t>
        </is>
      </c>
      <c r="D29" s="9" t="n"/>
    </row>
    <row r="30" ht="6" customHeight="1">
      <c r="A30" s="9" t="n"/>
      <c r="B30" s="9" t="n"/>
      <c r="C30" s="9" t="n"/>
      <c r="D30" s="9" t="n"/>
    </row>
    <row r="31" ht="52.7" customHeight="1">
      <c r="A31" s="9" t="n"/>
      <c r="B31" s="9" t="n"/>
      <c r="C31" s="13" t="inlineStr">
        <is>
          <t>In the month invoiced: one month is recognised, the rest goes to WIP.</t>
        </is>
      </c>
      <c r="D31" s="9" t="n"/>
    </row>
    <row r="32" ht="6" customHeight="1">
      <c r="A32" s="9" t="n"/>
      <c r="B32" s="9" t="n"/>
      <c r="C32" s="9" t="n"/>
      <c r="D32" s="9" t="n"/>
    </row>
    <row r="33" ht="26.35" customHeight="1">
      <c r="A33" s="9" t="n"/>
      <c r="B33" s="9" t="n"/>
      <c r="C33" s="13" t="inlineStr">
        <is>
          <t>Every month after: one more month is released, automatically.</t>
        </is>
      </c>
      <c r="D33" s="9" t="n"/>
    </row>
    <row r="34" ht="6" customHeight="1">
      <c r="A34" s="9" t="n"/>
      <c r="B34" s="9" t="n"/>
      <c r="C34" s="9" t="n"/>
      <c r="D34" s="9" t="n"/>
    </row>
    <row r="35" ht="52.7" customHeight="1">
      <c r="A35" s="9" t="n"/>
      <c r="B35" s="9" t="n"/>
      <c r="C35" s="13" t="inlineStr">
        <is>
          <t>Worked example - $12,000 invoiced 15 Sep 2025 for Sep 2025 to Aug 2026.</t>
        </is>
      </c>
      <c r="D35" s="9" t="n"/>
    </row>
    <row r="36" ht="26.35" customHeight="1">
      <c r="A36" s="9" t="n"/>
      <c r="B36" s="9" t="n"/>
      <c r="C36" s="13" t="inlineStr">
        <is>
          <t>September recognises $1,000 and defers $11,000.</t>
        </is>
      </c>
      <c r="D36" s="9" t="n"/>
    </row>
    <row r="37" ht="26.35" customHeight="1">
      <c r="A37" s="9" t="n"/>
      <c r="B37" s="9" t="n"/>
      <c r="C37" s="13" t="inlineStr">
        <is>
          <t>Each month after releases $1,000.</t>
        </is>
      </c>
      <c r="D37" s="9" t="n"/>
    </row>
    <row r="38" ht="26.35" customHeight="1">
      <c r="A38" s="9" t="n"/>
      <c r="B38" s="9" t="n"/>
      <c r="C38" s="13" t="inlineStr">
        <is>
          <t>By August 2026 the balance is nil.</t>
        </is>
      </c>
      <c r="D38" s="9" t="n"/>
    </row>
    <row r="39" ht="26.35" customHeight="1">
      <c r="A39" s="9" t="n"/>
      <c r="B39" s="9" t="n"/>
      <c r="C39" s="13" t="inlineStr">
        <is>
          <t>Nothing is typed each month and no journal is needed.</t>
        </is>
      </c>
      <c r="D39" s="9" t="n"/>
    </row>
    <row r="40" ht="6" customHeight="1">
      <c r="A40" s="9" t="n"/>
      <c r="B40" s="9" t="n"/>
      <c r="C40" s="9" t="n"/>
      <c r="D40" s="9" t="n"/>
    </row>
    <row r="41" ht="52.7" customHeight="1">
      <c r="A41" s="9" t="n"/>
      <c r="B41" s="9" t="n"/>
      <c r="C41" s="13" t="inlineStr">
        <is>
          <t>The Deferred Revenue sheet shows the workings line by line, and Month-End and WIP Summary already include it.</t>
        </is>
      </c>
      <c r="D41" s="9" t="n"/>
    </row>
    <row r="42" ht="79.05000000000001" customHeight="1">
      <c r="A42" s="9" t="n"/>
      <c r="B42" s="9" t="n"/>
      <c r="C42" s="13" t="inlineStr">
        <is>
          <t>One warning: a deferred line must not also have a manual row on WIP Movements or it counts twice - Month-End checks for that.</t>
        </is>
      </c>
      <c r="D42" s="9" t="n"/>
    </row>
    <row r="43" ht="6" customHeight="1">
      <c r="A43" s="9" t="n"/>
      <c r="B43" s="9" t="n"/>
      <c r="C43" s="9" t="n"/>
      <c r="D43" s="9" t="n"/>
    </row>
    <row r="44" ht="79.05000000000001" customHeight="1">
      <c r="A44" s="9" t="n"/>
      <c r="B44" s="9" t="n"/>
      <c r="C44" s="13" t="inlineStr">
        <is>
          <t>A cost can be deferred the same way, and it belongs on WIP Movements rather than Finance because it comes off a supplier bill, not an invoice.</t>
        </is>
      </c>
      <c r="D44" s="9" t="n"/>
    </row>
    <row r="45" ht="79.05000000000001" customHeight="1">
      <c r="A45" s="9" t="n"/>
      <c r="B45" s="9" t="n"/>
      <c r="C45" s="13" t="inlineStr">
        <is>
          <t>Type the bill amount as a positive, set Revenue or Cost to Cost, fill the two defer dates and put the expense account in P&amp;L Account.</t>
        </is>
      </c>
      <c r="D45" s="9" t="n"/>
    </row>
    <row r="46" ht="52.7" customHeight="1">
      <c r="A46" s="9" t="n"/>
      <c r="B46" s="9" t="n"/>
      <c r="C46" s="13" t="inlineStr">
        <is>
          <t>It then spreads by month in the second block of the Deferred Revenue sheet exactly like revenue does.</t>
        </is>
      </c>
      <c r="D46" s="9" t="n"/>
    </row>
    <row r="47" ht="6" customHeight="1">
      <c r="A47" s="9" t="n"/>
      <c r="B47" s="9" t="n"/>
      <c r="C47" s="9" t="n"/>
      <c r="D47" s="9" t="n"/>
    </row>
    <row r="48" ht="52.7" customHeight="1">
      <c r="A48" s="9" t="n"/>
      <c r="B48" s="9" t="n"/>
      <c r="C48" s="13" t="inlineStr">
        <is>
          <t>GL 11300 nets the two against each other, so Xero shows one figure and cannot tell you what it is made of.</t>
        </is>
      </c>
      <c r="D48" s="9" t="n"/>
    </row>
    <row r="49" ht="52.7" customHeight="1">
      <c r="A49" s="9" t="n"/>
      <c r="B49" s="9" t="n"/>
      <c r="C49" s="13" t="inlineStr">
        <is>
          <t>Month-End section 2 splits it: Total, Deferred / accrued revenue, Deferred / accrued cost.</t>
        </is>
      </c>
      <c r="D49" s="9" t="n"/>
    </row>
    <row r="50" ht="26.35" customHeight="1">
      <c r="A50" s="9" t="n"/>
      <c r="B50" s="9" t="n"/>
      <c r="C50" s="13" t="inlineStr">
        <is>
          <t>Compare only the Total column to Xero.</t>
        </is>
      </c>
      <c r="D50" s="9" t="n"/>
    </row>
    <row r="51" ht="52.7" customHeight="1">
      <c r="A51" s="9" t="n"/>
      <c r="B51" s="9" t="n"/>
      <c r="C51" s="13" t="inlineStr">
        <is>
          <t>Deferred cost never counts as revenue - section 1 leaves it out.</t>
        </is>
      </c>
      <c r="D51" s="9" t="n"/>
    </row>
    <row r="52" ht="6" customHeight="1">
      <c r="A52" s="9" t="n"/>
      <c r="B52" s="9" t="n"/>
      <c r="C52" s="9" t="n"/>
      <c r="D52" s="9" t="n"/>
    </row>
    <row r="53" ht="15.5" customHeight="1">
      <c r="A53" s="9" t="n"/>
      <c r="B53" s="9" t="n"/>
      <c r="C53" s="9" t="n"/>
      <c r="D53" s="9" t="n"/>
    </row>
    <row r="54" ht="28" customHeight="1">
      <c r="A54" s="9" t="n"/>
      <c r="B54" s="12" t="inlineStr">
        <is>
          <t>Video revenue</t>
        </is>
      </c>
      <c r="C54" s="9" t="n"/>
      <c r="D54" s="9" t="n"/>
    </row>
    <row r="55" ht="52.7" customHeight="1">
      <c r="A55" s="9" t="n"/>
      <c r="B55" s="9" t="n"/>
      <c r="C55" s="13" t="inlineStr">
        <is>
          <t>There is no video split column any more, and nothing to keep honest.</t>
        </is>
      </c>
      <c r="D55" s="9" t="n"/>
    </row>
    <row r="56" ht="79.05000000000001" customHeight="1">
      <c r="A56" s="9" t="n"/>
      <c r="B56" s="9" t="n"/>
      <c r="C56" s="13" t="inlineStr">
        <is>
          <t>In Xero a cost centre sits on the invoice line, so a job invoiced part production and part video is simply two lines on the Finance sheet - one coded PRODUCTION, one coded VIDEO.</t>
        </is>
      </c>
      <c r="D56" s="9" t="n"/>
    </row>
    <row r="57" ht="79.05000000000001" customHeight="1">
      <c r="A57" s="9" t="n"/>
      <c r="B57" s="9" t="n"/>
      <c r="C57" s="13" t="inlineStr">
        <is>
          <t>The VIDEO figure at month-end is then a plain sum of the lines coded VIDEO, and it ties to the Xero VIDEO cost centre without any adjustment.</t>
        </is>
      </c>
      <c r="D57" s="9" t="n"/>
    </row>
    <row r="58" ht="6" customHeight="1">
      <c r="A58" s="9" t="n"/>
      <c r="B58" s="9" t="n"/>
      <c r="C58" s="9" t="n"/>
      <c r="D58" s="9" t="n"/>
    </row>
    <row r="59" ht="52.7" customHeight="1">
      <c r="A59" s="9" t="n"/>
      <c r="B59" s="9" t="n"/>
      <c r="C59" s="13" t="inlineStr">
        <is>
          <t>The 26 migrated invoices that carried a video amount were split into two lines each on the way across.</t>
        </is>
      </c>
      <c r="D59" s="9" t="n"/>
    </row>
    <row r="60" ht="26.35" customHeight="1">
      <c r="A60" s="9" t="n"/>
      <c r="B60" s="9" t="n"/>
      <c r="C60" s="13" t="inlineStr">
        <is>
          <t>Ex GST in total is unchanged.</t>
        </is>
      </c>
      <c r="D60" s="9" t="n"/>
    </row>
    <row r="61" ht="6" customHeight="1">
      <c r="A61" s="9" t="n"/>
      <c r="B61" s="9" t="n"/>
      <c r="C61" s="9" t="n"/>
      <c r="D61" s="9" t="n"/>
    </row>
    <row r="62" ht="52.7" customHeight="1">
      <c r="A62" s="9" t="n"/>
      <c r="B62" s="9" t="n"/>
      <c r="C62" s="13" t="inlineStr">
        <is>
          <t>The Production sheet carries a Video Revenue column beside the expenses, and Video % of Revenue next to it.</t>
        </is>
      </c>
      <c r="D62" s="9" t="n"/>
    </row>
    <row r="63" ht="26.35" customHeight="1">
      <c r="A63" s="9" t="n"/>
      <c r="B63" s="9" t="n"/>
      <c r="C63" s="13" t="inlineStr">
        <is>
          <t>Both read the Finance lines coded VIDEO, so nothing is typed.</t>
        </is>
      </c>
      <c r="D63" s="9" t="n"/>
    </row>
    <row r="64" ht="52.7" customHeight="1">
      <c r="A64" s="9" t="n"/>
      <c r="B64" s="9" t="n"/>
      <c r="C64" s="13" t="inlineStr">
        <is>
          <t>Job by job they reproduce the old Video Total column to the cent - 38,484.75 in total across 28 jobs.</t>
        </is>
      </c>
      <c r="D64" s="9" t="n"/>
    </row>
    <row r="65" ht="6" customHeight="1">
      <c r="A65" s="9" t="n"/>
      <c r="B65" s="9" t="n"/>
      <c r="C65" s="9" t="n"/>
      <c r="D65" s="9" t="n"/>
    </row>
    <row r="66" ht="15.5" customHeight="1">
      <c r="A66" s="9" t="n"/>
      <c r="B66" s="9" t="n"/>
      <c r="C66" s="9" t="n"/>
      <c r="D66" s="9" t="n"/>
    </row>
    <row r="67" ht="28" customHeight="1">
      <c r="A67" s="9" t="n"/>
      <c r="B67" s="12" t="inlineStr">
        <is>
          <t>Why this version is not slow, and why it opens</t>
        </is>
      </c>
      <c r="C67" s="9" t="n"/>
      <c r="D67" s="9" t="n"/>
    </row>
    <row r="68" ht="79.05000000000001" customHeight="1">
      <c r="A68" s="9" t="n"/>
      <c r="B68" s="9" t="n"/>
      <c r="C68" s="13" t="inlineStr">
        <is>
          <t>The v2 file was slow because of its macro: every keystroke copied 26 columns by 200 rows into hidden storage, and it was capped at 200 rows per department.</t>
        </is>
      </c>
      <c r="D68" s="9" t="n"/>
    </row>
    <row r="69" ht="52.7" customHeight="1">
      <c r="A69" s="9" t="n"/>
      <c r="B69" s="9" t="n"/>
      <c r="C69" s="13" t="inlineStr">
        <is>
          <t>There are no macros here at all, and it is a .xlsx, so no macro warning and nothing blocked on SharePoint.</t>
        </is>
      </c>
      <c r="D69" s="9" t="n"/>
    </row>
    <row r="70" ht="6" customHeight="1">
      <c r="A70" s="9" t="n"/>
      <c r="B70" s="9" t="n"/>
      <c r="C70" s="9" t="n"/>
      <c r="D70" s="9" t="n"/>
    </row>
    <row r="71" ht="52.7" customHeight="1">
      <c r="A71" s="9" t="n"/>
      <c r="B71" s="9" t="n"/>
      <c r="C71" s="13" t="inlineStr">
        <is>
          <t>There are also no dynamic array formulas - no VSTACK, FILTER, SORT, UNIQUE or XLOOKUP.</t>
        </is>
      </c>
      <c r="D71" s="9" t="n"/>
    </row>
    <row r="72" ht="79.05000000000001" customHeight="1">
      <c r="A72" s="9" t="n"/>
      <c r="B72" s="9" t="n"/>
      <c r="C72" s="13" t="inlineStr">
        <is>
          <t>Every sheet is a real Excel Table or a plain SUMIFS grid, which means the filter buttons, sorting and PivotTables all work normally, and every formula runs in any version of Excel.</t>
        </is>
      </c>
      <c r="D72" s="9" t="n"/>
    </row>
    <row r="73" ht="6" customHeight="1">
      <c r="A73" s="9" t="n"/>
      <c r="B73" s="9" t="n"/>
      <c r="C73" s="9" t="n"/>
      <c r="D73" s="9" t="n"/>
    </row>
    <row r="74" ht="15.5" customHeight="1">
      <c r="A74" s="9" t="n"/>
      <c r="B74" s="9" t="n"/>
      <c r="C74" s="9" t="n"/>
      <c r="D74" s="9" t="n"/>
    </row>
    <row r="75" ht="28" customHeight="1">
      <c r="A75" s="9" t="n"/>
      <c r="B75" s="12" t="inlineStr">
        <is>
          <t>Work won  -  zoho, current rms and qwilr</t>
        </is>
      </c>
      <c r="C75" s="9" t="n"/>
      <c r="D75" s="9" t="n"/>
    </row>
    <row r="76" ht="79.05000000000001" customHeight="1">
      <c r="A76" s="9" t="n"/>
      <c r="B76" s="9" t="n"/>
      <c r="C76" s="13" t="inlineStr">
        <is>
          <t>Paste the month's won opportunities onto the Work Won sheet, one row each, with the source, the value and the job number where you have it.</t>
        </is>
      </c>
      <c r="D76" s="9" t="n"/>
    </row>
    <row r="77" ht="52.7" customHeight="1">
      <c r="A77" s="9" t="n"/>
      <c r="B77" s="9" t="n"/>
      <c r="C77" s="13" t="inlineStr">
        <is>
          <t>Month-End section 5 totals them by source and puts them next to what was actually invoiced.</t>
        </is>
      </c>
      <c r="D77" s="9" t="n"/>
    </row>
    <row r="78" ht="6" customHeight="1">
      <c r="A78" s="9" t="n"/>
      <c r="B78" s="9" t="n"/>
      <c r="C78" s="9" t="n"/>
      <c r="D78" s="9" t="n"/>
    </row>
    <row r="79" ht="26.35" customHeight="1">
      <c r="A79" s="9" t="n"/>
      <c r="B79" s="9" t="n"/>
      <c r="C79" s="13" t="inlineStr">
        <is>
          <t>It is a sense check and nothing else.</t>
        </is>
      </c>
      <c r="D79" s="9" t="n"/>
    </row>
    <row r="80" ht="26.35" customHeight="1">
      <c r="A80" s="9" t="n"/>
      <c r="B80" s="9" t="n"/>
      <c r="C80" s="13" t="inlineStr">
        <is>
          <t>No revenue ever comes off this sheet.</t>
        </is>
      </c>
      <c r="D80" s="9" t="n"/>
    </row>
    <row r="81" ht="52.7" customHeight="1">
      <c r="A81" s="9" t="n"/>
      <c r="B81" s="9" t="n"/>
      <c r="C81" s="13" t="inlineStr">
        <is>
          <t>What it catches is work won and never invoiced, and invoicing with no opportunity behind it.</t>
        </is>
      </c>
      <c r="D81" s="9" t="n"/>
    </row>
    <row r="82" ht="52.7" customHeight="1">
      <c r="A82" s="9" t="n"/>
      <c r="B82" s="9" t="n"/>
      <c r="C82" s="13" t="inlineStr">
        <is>
          <t>Put a job number on a row and it also tells you what has been raised against that job so far.</t>
        </is>
      </c>
      <c r="D82" s="9" t="n"/>
    </row>
    <row r="83" ht="6" customHeight="1">
      <c r="A83" s="9" t="n"/>
      <c r="B83" s="9" t="n"/>
      <c r="C83" s="9" t="n"/>
      <c r="D83" s="9" t="n"/>
    </row>
    <row r="84" ht="26.35" customHeight="1">
      <c r="A84" s="9" t="n"/>
      <c r="B84" s="9" t="n"/>
      <c r="C84" s="13" t="inlineStr">
        <is>
          <t>Month-End section 6 turns the same sheet into the forecast.</t>
        </is>
      </c>
      <c r="D84" s="9" t="n"/>
    </row>
    <row r="85" ht="79.05000000000001" customHeight="1">
      <c r="A85" s="9" t="n"/>
      <c r="B85" s="9" t="n"/>
      <c r="C85" s="13" t="inlineStr">
        <is>
          <t>It adds two things that have no invoice against them: a Finance line carrying a value but no invoice number, and work marked Won less everything Finance already holds against that job.</t>
        </is>
      </c>
      <c r="D85" s="9" t="n"/>
    </row>
    <row r="86" ht="52.7" customHeight="1">
      <c r="A86" s="9" t="n"/>
      <c r="B86" s="9" t="n"/>
      <c r="C86" s="13" t="inlineStr">
        <is>
          <t>Subtracting all of it is what stops the same work being counted twice.</t>
        </is>
      </c>
      <c r="D86" s="9" t="n"/>
    </row>
    <row r="87" ht="52.7" customHeight="1">
      <c r="A87" s="9" t="n"/>
      <c r="B87" s="9" t="n"/>
      <c r="C87" s="13" t="inlineStr">
        <is>
          <t>Open opportunities and deferred revenue still to release sit underneath as memos, deliberately outside the total.</t>
        </is>
      </c>
      <c r="D87" s="9" t="n"/>
    </row>
    <row r="88" ht="6" customHeight="1">
      <c r="A88" s="9" t="n"/>
      <c r="B88" s="9" t="n"/>
      <c r="C88" s="9" t="n"/>
      <c r="D88" s="9" t="n"/>
    </row>
    <row r="89" ht="15.5" customHeight="1">
      <c r="A89" s="9" t="n"/>
      <c r="B89" s="9" t="n"/>
      <c r="C89" s="9" t="n"/>
      <c r="D89" s="9" t="n"/>
    </row>
    <row r="90" ht="28" customHeight="1">
      <c r="A90" s="9" t="n"/>
      <c r="B90" s="12" t="inlineStr">
        <is>
          <t>Month-end, in order</t>
        </is>
      </c>
      <c r="C90" s="9" t="n"/>
      <c r="D90" s="9" t="n"/>
    </row>
    <row r="91" ht="52.7" customHeight="1">
      <c r="A91" s="9" t="n"/>
      <c r="B91" s="9" t="n"/>
      <c r="C91" s="13" t="inlineStr">
        <is>
          <t>1.  Chase the departments until every invoice for the month is on the Finance sheet and Posted to Xero is Y.</t>
        </is>
      </c>
      <c r="D91" s="9" t="n"/>
    </row>
    <row r="92" ht="6" customHeight="1">
      <c r="A92" s="9" t="n"/>
      <c r="B92" s="9" t="n"/>
      <c r="C92" s="9" t="n"/>
      <c r="D92" s="9" t="n"/>
    </row>
    <row r="93" ht="26.35" customHeight="1">
      <c r="A93" s="9" t="n"/>
      <c r="B93" s="9" t="n"/>
      <c r="C93" s="13" t="inlineStr">
        <is>
          <t>2.  Open Month-End and set the month.</t>
        </is>
      </c>
      <c r="D93" s="9" t="n"/>
    </row>
    <row r="94" ht="6" customHeight="1">
      <c r="A94" s="9" t="n"/>
      <c r="B94" s="9" t="n"/>
      <c r="C94" s="9" t="n"/>
      <c r="D94" s="9" t="n"/>
    </row>
    <row r="95" ht="26.35" customHeight="1">
      <c r="A95" s="9" t="n"/>
      <c r="B95" s="9" t="n"/>
      <c r="C95" s="13" t="inlineStr">
        <is>
          <t>3.  Work section 3 first.</t>
        </is>
      </c>
      <c r="D95" s="9" t="n"/>
    </row>
    <row r="96" ht="26.35" customHeight="1">
      <c r="A96" s="9" t="n"/>
      <c r="B96" s="9" t="n"/>
      <c r="C96" s="13" t="inlineStr">
        <is>
          <t>Every count must be zero.</t>
        </is>
      </c>
      <c r="D96" s="9" t="n"/>
    </row>
    <row r="97" ht="52.7" customHeight="1">
      <c r="A97" s="9" t="n"/>
      <c r="B97" s="9" t="n"/>
      <c r="C97" s="13" t="inlineStr">
        <is>
          <t>Fix on the Finance sheet, or filter the Issue column there, which lists the same problems row by row.</t>
        </is>
      </c>
      <c r="D97" s="9" t="n"/>
    </row>
    <row r="98" ht="6" customHeight="1">
      <c r="A98" s="9" t="n"/>
      <c r="B98" s="9" t="n"/>
      <c r="C98" s="9" t="n"/>
      <c r="D98" s="9" t="n"/>
    </row>
    <row r="99" ht="52.7" customHeight="1">
      <c r="A99" s="9" t="n"/>
      <c r="B99" s="9" t="n"/>
      <c r="C99" s="13" t="inlineStr">
        <is>
          <t>4.  Section 1: run the Xero P&amp;L for the month by Cost Centre and type the revenue into the yellow column.</t>
        </is>
      </c>
      <c r="D99" s="9" t="n"/>
    </row>
    <row r="100" ht="26.35" customHeight="1">
      <c r="A100" s="9" t="n"/>
      <c r="B100" s="9" t="n"/>
      <c r="C100" s="13" t="inlineStr">
        <is>
          <t>Each line should read Reconciled.</t>
        </is>
      </c>
      <c r="D100" s="9" t="n"/>
    </row>
    <row r="101" ht="6" customHeight="1">
      <c r="A101" s="9" t="n"/>
      <c r="B101" s="9" t="n"/>
      <c r="C101" s="9" t="n"/>
      <c r="D101" s="9" t="n"/>
    </row>
    <row r="102" ht="52.7" customHeight="1">
      <c r="A102" s="9" t="n"/>
      <c r="B102" s="9" t="n"/>
      <c r="C102" s="13" t="inlineStr">
        <is>
          <t>5.  Section 2: type the WIP Schedule closing balance and the Xero GL 11300 balance.</t>
        </is>
      </c>
      <c r="D102" s="9" t="n"/>
    </row>
    <row r="103" ht="6" customHeight="1">
      <c r="A103" s="9" t="n"/>
      <c r="B103" s="9" t="n"/>
      <c r="C103" s="9" t="n"/>
      <c r="D103" s="9" t="n"/>
    </row>
    <row r="104" ht="79.05000000000001" customHeight="1">
      <c r="A104" s="9" t="n"/>
      <c r="B104" s="9" t="n"/>
      <c r="C104" s="13" t="inlineStr">
        <is>
          <t>6.  Breaks in section 2 - open WIP Summary, paste the WIP Schedule balances into column G and the variance column shows which job is out.</t>
        </is>
      </c>
      <c r="D104" s="9" t="n"/>
    </row>
    <row r="105" ht="6" customHeight="1">
      <c r="A105" s="9" t="n"/>
      <c r="B105" s="9" t="n"/>
      <c r="C105" s="9" t="n"/>
      <c r="D105" s="9" t="n"/>
    </row>
    <row r="106" ht="26.35" customHeight="1">
      <c r="A106" s="9" t="n"/>
      <c r="B106" s="9" t="n"/>
      <c r="C106" s="13" t="inlineStr">
        <is>
          <t>7.  Section 4 is the journal.</t>
        </is>
      </c>
      <c r="D106" s="9" t="n"/>
    </row>
    <row r="107" ht="52.7" customHeight="1">
      <c r="A107" s="9" t="n"/>
      <c r="B107" s="9" t="n"/>
      <c r="C107" s="13" t="inlineStr">
        <is>
          <t>It names the account to debit, the account to credit and the amount, split by cost centre.</t>
        </is>
      </c>
      <c r="D107" s="9" t="n"/>
    </row>
    <row r="108" ht="52.7" customHeight="1">
      <c r="A108" s="9" t="n"/>
      <c r="B108" s="9" t="n"/>
      <c r="C108" s="13" t="inlineStr">
        <is>
          <t>Key it into Xero as one manual journal, then put the journal reference back on the WIP Movements rows.</t>
        </is>
      </c>
      <c r="D108" s="9" t="n"/>
    </row>
    <row r="109" ht="6" customHeight="1">
      <c r="A109" s="9" t="n"/>
      <c r="B109" s="9" t="n"/>
      <c r="C109" s="9" t="n"/>
      <c r="D109" s="9" t="n"/>
    </row>
    <row r="110" ht="52.7" customHeight="1">
      <c r="A110" s="9" t="n"/>
      <c r="B110" s="9" t="n"/>
      <c r="C110" s="13" t="inlineStr">
        <is>
          <t>8.  Section 5 is the Work Won sense check against ZOHO, Current RMS and Qwilr.</t>
        </is>
      </c>
      <c r="D110" s="9" t="n"/>
    </row>
    <row r="111" ht="6" customHeight="1">
      <c r="A111" s="9" t="n"/>
      <c r="B111" s="9" t="n"/>
      <c r="C111" s="9" t="n"/>
      <c r="D111" s="9" t="n"/>
    </row>
    <row r="112" ht="15.5" customHeight="1">
      <c r="A112" s="9" t="n"/>
      <c r="B112" s="9" t="n"/>
      <c r="C112" s="9" t="n"/>
      <c r="D112" s="9" t="n"/>
    </row>
    <row r="113" ht="28" customHeight="1">
      <c r="A113" s="9" t="n"/>
      <c r="B113" s="12" t="inlineStr">
        <is>
          <t>The WIP sign rule</t>
        </is>
      </c>
      <c r="C113" s="9" t="n"/>
      <c r="D113" s="9" t="n"/>
    </row>
    <row r="114" ht="52.7" customHeight="1">
      <c r="A114" s="9" t="n"/>
      <c r="B114" s="9" t="n"/>
      <c r="C114" s="13" t="inlineStr">
        <is>
          <t>One signed Amount column does both jobs, because GL 11300 nets accrued and deferred revenue.</t>
        </is>
      </c>
      <c r="D114" s="9" t="n"/>
    </row>
    <row r="115" ht="52.7" customHeight="1">
      <c r="A115" s="9" t="n"/>
      <c r="B115" s="9" t="n"/>
      <c r="C115" s="13" t="inlineStr">
        <is>
          <t>Positive = revenue recognised this month (work done but not yet invoiced, or a deferral released).</t>
        </is>
      </c>
      <c r="D115" s="9" t="n"/>
    </row>
    <row r="116" ht="52.7" customHeight="1">
      <c r="A116" s="9" t="n"/>
      <c r="B116" s="9" t="n"/>
      <c r="C116" s="13" t="inlineStr">
        <is>
          <t>Negative = revenue pushed out of this month (invoiced in advance).</t>
        </is>
      </c>
      <c r="D116" s="9" t="n"/>
    </row>
    <row r="117" ht="52.7" customHeight="1">
      <c r="A117" s="9" t="n"/>
      <c r="B117" s="9" t="n"/>
      <c r="C117" s="13" t="inlineStr">
        <is>
          <t>So revenue recognised = invoiced Ex GST + WIP movement, and the running total of the Amount column is the GL 11300 balance.</t>
        </is>
      </c>
      <c r="D117" s="9" t="n"/>
    </row>
    <row r="118" ht="6" customHeight="1">
      <c r="A118" s="9" t="n"/>
      <c r="B118" s="9" t="n"/>
      <c r="C118" s="9" t="n"/>
      <c r="D118" s="9" t="n"/>
    </row>
    <row r="119" ht="79.05000000000001" customHeight="1">
      <c r="A119" s="9" t="n"/>
      <c r="B119" s="9" t="n"/>
      <c r="C119" s="13" t="inlineStr">
        <is>
          <t>Every row on WIP Movements now says which account to debit, which to credit and for how much, and gives you a narration to paste.</t>
        </is>
      </c>
      <c r="D119" s="9" t="n"/>
    </row>
    <row r="120" ht="79.05000000000001" customHeight="1">
      <c r="A120" s="9" t="n"/>
      <c r="B120" s="9" t="n"/>
      <c r="C120" s="13" t="inlineStr">
        <is>
          <t>A positive amount puts revenue back into the month, so WIP goes up: debit 11300 Work in Progress, credit 44200 Closing Work in Progress.</t>
        </is>
      </c>
      <c r="D120" s="9" t="n"/>
    </row>
    <row r="121" ht="26.35" customHeight="1">
      <c r="A121" s="9" t="n"/>
      <c r="B121" s="9" t="n"/>
      <c r="C121" s="13" t="inlineStr">
        <is>
          <t>A negative amount is the other way round.</t>
        </is>
      </c>
      <c r="D121" s="9" t="n"/>
    </row>
    <row r="122" ht="52.7" customHeight="1">
      <c r="A122" s="9" t="n"/>
      <c r="B122" s="9" t="n"/>
      <c r="C122" s="13" t="inlineStr">
        <is>
          <t>The old GL Code column is gone - it said 11300 on every row and these two columns replace it.</t>
        </is>
      </c>
      <c r="D122" s="9" t="n"/>
    </row>
    <row r="123" ht="6" customHeight="1">
      <c r="A123" s="9" t="n"/>
      <c r="B123" s="9" t="n"/>
      <c r="C123" s="9" t="n"/>
      <c r="D123" s="9" t="n"/>
    </row>
    <row r="124" ht="79.05000000000001" customHeight="1">
      <c r="A124" s="9" t="n"/>
      <c r="B124" s="9" t="n"/>
      <c r="C124" s="13" t="inlineStr">
        <is>
          <t>Month-End section 4 adds those rows up with the automatic deferrals and gives you the whole month as one journal, split by cost centre so it can carry tracking in Xero.</t>
        </is>
      </c>
      <c r="D124" s="9" t="n"/>
    </row>
    <row r="125" ht="52.7" customHeight="1">
      <c r="A125" s="9" t="n"/>
      <c r="B125" s="9" t="n"/>
      <c r="C125" s="13" t="inlineStr">
        <is>
          <t>Debit and credit must agree and the sheet says Balanced when they do.</t>
        </is>
      </c>
      <c r="D125" s="9" t="n"/>
    </row>
    <row r="126" ht="52.7" customHeight="1">
      <c r="A126" s="9" t="n"/>
      <c r="B126" s="9" t="n"/>
      <c r="C126" s="13" t="inlineStr">
        <is>
          <t>Nothing posts itself - you key it in and put the reference back on the rows.</t>
        </is>
      </c>
      <c r="D126" s="9" t="n"/>
    </row>
    <row r="127" ht="6" customHeight="1">
      <c r="A127" s="9" t="n"/>
      <c r="B127" s="9" t="n"/>
      <c r="C127" s="9" t="n"/>
      <c r="D127" s="9" t="n"/>
    </row>
    <row r="128" ht="52.7" customHeight="1">
      <c r="A128" s="9" t="n"/>
      <c r="B128" s="9" t="n"/>
      <c r="C128" s="13" t="inlineStr">
        <is>
          <t>The two accounts are set on the Lists sheet, column U rows 9 and 10.</t>
        </is>
      </c>
      <c r="D128" s="9" t="n"/>
    </row>
    <row r="129" ht="26.35" customHeight="1">
      <c r="A129" s="9" t="n"/>
      <c r="B129" s="9" t="n"/>
      <c r="C129" s="13" t="inlineStr">
        <is>
          <t>Change them there and every Debit / Credit follows.</t>
        </is>
      </c>
      <c r="D129" s="9" t="n"/>
    </row>
    <row r="130" ht="6" customHeight="1">
      <c r="A130" s="9" t="n"/>
      <c r="B130" s="9" t="n"/>
      <c r="C130" s="9" t="n"/>
      <c r="D130" s="9" t="n"/>
    </row>
    <row r="131" ht="15.5" customHeight="1">
      <c r="A131" s="9" t="n"/>
      <c r="B131" s="9" t="n"/>
      <c r="C131" s="9" t="n"/>
      <c r="D131" s="9" t="n"/>
    </row>
    <row r="132" ht="28" customHeight="1">
      <c r="A132" s="9" t="n"/>
      <c r="B132" s="12" t="inlineStr">
        <is>
          <t>Locked cells, links and totals</t>
        </is>
      </c>
      <c r="C132" s="9" t="n"/>
      <c r="D132" s="9" t="n"/>
    </row>
    <row r="133" ht="26.35" customHeight="1">
      <c r="A133" s="9" t="n"/>
      <c r="B133" s="9" t="n"/>
      <c r="C133" s="13" t="inlineStr">
        <is>
          <t>Every sheet is protected with the password CTS1234.</t>
        </is>
      </c>
      <c r="D133" s="9" t="n"/>
    </row>
    <row r="134" ht="79.05000000000001" customHeight="1">
      <c r="A134" s="9" t="n"/>
      <c r="B134" s="9" t="n"/>
      <c r="C134" s="13" t="inlineStr">
        <is>
          <t>Only the cells you are meant to fill are open; the grey calculated ones are locked so a stray keystroke cannot wipe a formula.</t>
        </is>
      </c>
      <c r="D134" s="9" t="n"/>
    </row>
    <row r="135" ht="26.35" customHeight="1">
      <c r="A135" s="9" t="n"/>
      <c r="B135" s="9" t="n"/>
      <c r="C135" s="13" t="inlineStr">
        <is>
          <t>To edit a locked cell: Review, Unprotect Sheet, type CTS1234.</t>
        </is>
      </c>
      <c r="D135" s="9" t="n"/>
    </row>
    <row r="136" ht="26.35" customHeight="1">
      <c r="A136" s="9" t="n"/>
      <c r="B136" s="9" t="n"/>
      <c r="C136" s="13" t="inlineStr">
        <is>
          <t>Sorting and filtering work without unprotecting anything.</t>
        </is>
      </c>
      <c r="D136" s="9" t="n"/>
    </row>
    <row r="137" ht="52.7" customHeight="1">
      <c r="A137" s="9" t="n"/>
      <c r="B137" s="9" t="n"/>
      <c r="C137" s="13" t="inlineStr">
        <is>
          <t>The workbook structure uses the same password, so sheets cannot be renamed, reordered or deleted by accident either.</t>
        </is>
      </c>
      <c r="D137" s="9" t="n"/>
    </row>
    <row r="138" ht="6" customHeight="1">
      <c r="A138" s="9" t="n"/>
      <c r="B138" s="9" t="n"/>
      <c r="C138" s="9" t="n"/>
      <c r="D138" s="9" t="n"/>
    </row>
    <row r="139" ht="26.35" customHeight="1">
      <c r="A139" s="9" t="n"/>
      <c r="B139" s="9" t="n"/>
      <c r="C139" s="13" t="inlineStr">
        <is>
          <t>Qwilr quotes and Current RMS numbers are clickable.</t>
        </is>
      </c>
      <c r="D139" s="9" t="n"/>
    </row>
    <row r="140" ht="79.05000000000001" customHeight="1">
      <c r="A140" s="9" t="n"/>
      <c r="B140" s="9" t="n"/>
      <c r="C140" s="13" t="inlineStr">
        <is>
          <t>Paste a full web address and it is used as it stands; type a bare number and it is added to the base address on the Lists sheet.</t>
        </is>
      </c>
      <c r="D140" s="9" t="n"/>
    </row>
    <row r="141" ht="105.4" customHeight="1">
      <c r="A141" s="9" t="n"/>
      <c r="B141" s="9" t="n"/>
      <c r="C141" s="13" t="inlineStr">
        <is>
          <t>The Qwilr base is already set, and Current RMS on the Production sheet now works exactly the same way - paste the whole Current RMS address into the Current RMS No cell and it links straight away.</t>
        </is>
      </c>
      <c r="D141" s="9" t="n"/>
    </row>
    <row r="142" ht="52.7" customHeight="1">
      <c r="A142" s="9" t="n"/>
      <c r="B142" s="9" t="n"/>
      <c r="C142" s="13" t="inlineStr">
        <is>
          <t>Only fill in Lists column U row 6 if you would rather type the bare opportunity number.</t>
        </is>
      </c>
      <c r="D142" s="9" t="n"/>
    </row>
    <row r="143" ht="6" customHeight="1">
      <c r="A143" s="9" t="n"/>
      <c r="B143" s="9" t="n"/>
      <c r="C143" s="9" t="n"/>
      <c r="D143" s="9" t="n"/>
    </row>
    <row r="144" ht="79.05000000000001" customHeight="1">
      <c r="A144" s="9" t="n"/>
      <c r="B144" s="9" t="n"/>
      <c r="C144" s="13" t="inlineStr">
        <is>
          <t>Each sheet shows its total ex-GST at the top, and it follows the filter - filter to one client or one month and the total follows.</t>
        </is>
      </c>
      <c r="D144" s="9" t="n"/>
    </row>
    <row r="145" ht="26.35" customHeight="1">
      <c r="A145" s="9" t="n"/>
      <c r="B145" s="9" t="n"/>
      <c r="C145" s="13" t="inlineStr">
        <is>
          <t>Finance shows Ex GST, GST and Inc GST.</t>
        </is>
      </c>
      <c r="D145" s="9" t="n"/>
    </row>
    <row r="146" ht="6" customHeight="1">
      <c r="A146" s="9" t="n"/>
      <c r="B146" s="9" t="n"/>
      <c r="C146" s="9" t="n"/>
      <c r="D146" s="9" t="n"/>
    </row>
    <row r="147" ht="26.35" customHeight="1">
      <c r="A147" s="9" t="n"/>
      <c r="B147" s="9" t="n"/>
      <c r="C147" s="13" t="inlineStr">
        <is>
          <t>The GST rate is no longer buried in the formula.</t>
        </is>
      </c>
      <c r="D147" s="9" t="n"/>
    </row>
    <row r="148" ht="52.7" customHeight="1">
      <c r="A148" s="9" t="n"/>
      <c r="B148" s="9" t="n"/>
      <c r="C148" s="13" t="inlineStr">
        <is>
          <t>It sits on the Lists sheet, column U row 8, and every GST cell reads it from there.</t>
        </is>
      </c>
      <c r="D148" s="9" t="n"/>
    </row>
    <row r="149" ht="6" customHeight="1">
      <c r="A149" s="9" t="n"/>
      <c r="B149" s="9" t="n"/>
      <c r="C149" s="9" t="n"/>
      <c r="D149" s="9" t="n"/>
    </row>
    <row r="150" ht="15.5" customHeight="1">
      <c r="A150" s="9" t="n"/>
      <c r="B150" s="9" t="n"/>
      <c r="C150" s="9" t="n"/>
      <c r="D150" s="9" t="n"/>
    </row>
    <row r="151" ht="28" customHeight="1">
      <c r="A151" s="9" t="n"/>
      <c r="B151" s="12" t="inlineStr">
        <is>
          <t>Rules that keep it fast</t>
        </is>
      </c>
      <c r="C151" s="9" t="n"/>
      <c r="D151" s="9" t="n"/>
    </row>
    <row r="152" ht="26.35" customHeight="1">
      <c r="A152" s="9" t="n"/>
      <c r="B152" s="9" t="n"/>
      <c r="C152" s="13" t="inlineStr">
        <is>
          <t>Never insert or delete rows above the header row.</t>
        </is>
      </c>
      <c r="D152" s="9" t="n"/>
    </row>
    <row r="153" ht="6" customHeight="1">
      <c r="A153" s="9" t="n"/>
      <c r="B153" s="9" t="n"/>
      <c r="C153" s="9" t="n"/>
      <c r="D153" s="9" t="n"/>
    </row>
    <row r="154" ht="79.05000000000001" customHeight="1">
      <c r="A154" s="9" t="n"/>
      <c r="B154" s="9" t="n"/>
      <c r="C154" s="13" t="inlineStr">
        <is>
          <t>Add rows by typing in the next blank row of the table, or press Tab at the end of the last row and the table grows with the formulas.</t>
        </is>
      </c>
      <c r="D154" s="9" t="n"/>
    </row>
    <row r="155" ht="6" customHeight="1">
      <c r="A155" s="9" t="n"/>
      <c r="B155" s="9" t="n"/>
      <c r="C155" s="9" t="n"/>
      <c r="D155" s="9" t="n"/>
    </row>
    <row r="156" ht="26.35" customHeight="1">
      <c r="A156" s="9" t="n"/>
      <c r="B156" s="9" t="n"/>
      <c r="C156" s="13" t="inlineStr">
        <is>
          <t>Paste values only, never whole columns.</t>
        </is>
      </c>
      <c r="D156" s="9" t="n"/>
    </row>
    <row r="157" ht="6" customHeight="1">
      <c r="A157" s="9" t="n"/>
      <c r="B157" s="9" t="n"/>
      <c r="C157" s="9" t="n"/>
      <c r="D157" s="9" t="n"/>
    </row>
    <row r="158" ht="26.35" customHeight="1">
      <c r="A158" s="9" t="n"/>
      <c r="B158" s="9" t="n"/>
      <c r="C158" s="13" t="inlineStr">
        <is>
          <t>Leave calculation on Automatic.</t>
        </is>
      </c>
      <c r="D158" s="9" t="n"/>
    </row>
    <row r="159" ht="52.7" customHeight="1">
      <c r="A159" s="9" t="n"/>
      <c r="B159" s="9" t="n"/>
      <c r="C159" s="13" t="inlineStr">
        <is>
          <t>Nothing here is volatile - no OFFSET, no INDIRECT, no TODAY in bulk.</t>
        </is>
      </c>
      <c r="D159" s="9" t="n"/>
    </row>
    <row r="160" ht="6" customHeight="1">
      <c r="A160" s="9" t="n"/>
      <c r="B160" s="9" t="n"/>
      <c r="C160" s="9" t="n"/>
      <c r="D160" s="9" t="n"/>
    </row>
    <row r="161" ht="26.35" customHeight="1">
      <c r="A161" s="9" t="n"/>
      <c r="B161" s="9" t="n"/>
      <c r="C161" s="13" t="inlineStr">
        <is>
          <t>Keep it as .xlsx.</t>
        </is>
      </c>
      <c r="D161" s="9" t="n"/>
    </row>
    <row r="162" ht="52.7" customHeight="1">
      <c r="A162" s="9" t="n"/>
      <c r="B162" s="9" t="n"/>
      <c r="C162" s="13" t="inlineStr">
        <is>
          <t>The moment someone saves it as .xlsm and adds a macro you are back where you started.</t>
        </is>
      </c>
      <c r="D162" s="9" t="n"/>
    </row>
    <row r="163" ht="6" customHeight="1">
      <c r="A163" s="9" t="n"/>
      <c r="B163" s="9" t="n"/>
      <c r="C163" s="9" t="n"/>
      <c r="D163" s="9" t="n"/>
    </row>
    <row r="164" ht="15.5" customHeight="1">
      <c r="A164" s="9" t="n"/>
      <c r="B164" s="9" t="n"/>
      <c r="C164" s="9" t="n"/>
      <c r="D164" s="9" t="n"/>
    </row>
    <row r="165" ht="28" customHeight="1">
      <c r="A165" s="9" t="n"/>
      <c r="B165" s="12" t="inlineStr">
        <is>
          <t>This is the empty test copy</t>
        </is>
      </c>
      <c r="C165" s="9" t="n"/>
      <c r="D165" s="9" t="n"/>
    </row>
    <row r="166" ht="26.35" customHeight="1">
      <c r="A166" s="9" t="n"/>
      <c r="B166" s="9" t="n"/>
      <c r="C166" s="13" t="inlineStr">
        <is>
          <t>Nothing has been migrated into this file.</t>
        </is>
      </c>
      <c r="D166" s="9" t="n"/>
    </row>
    <row r="167" ht="79.05000000000001" customHeight="1">
      <c r="A167" s="9" t="n"/>
      <c r="B167" s="9" t="n"/>
      <c r="C167" s="13" t="inlineStr">
        <is>
          <t>Every sheet is empty and ready to type into, and every formula, dropdown, lock, hyperlink and month-end check is exactly the same as the live workbook.</t>
        </is>
      </c>
      <c r="D167" s="9" t="n"/>
    </row>
    <row r="168" ht="6" customHeight="1">
      <c r="A168" s="9" t="n"/>
      <c r="B168" s="9" t="n"/>
      <c r="C168" s="9" t="n"/>
      <c r="D168" s="9" t="n"/>
    </row>
    <row r="169" ht="79.05000000000001" customHeight="1">
      <c r="A169" s="9" t="n"/>
      <c r="B169" s="9" t="n"/>
      <c r="C169" s="13" t="inlineStr">
        <is>
          <t>What is still here is reference data, because the dropdowns and the job checks need it: the Xero job list, the cost centres, the revenue GL codes and the month list on the Lists sheet.</t>
        </is>
      </c>
      <c r="D169" s="9" t="n"/>
    </row>
    <row r="170" ht="6" customHeight="1">
      <c r="A170" s="9" t="n"/>
      <c r="B170" s="9" t="n"/>
      <c r="C170" s="9" t="n"/>
      <c r="D170" s="9" t="n"/>
    </row>
    <row r="171" ht="79.05000000000001" customHeight="1">
      <c r="A171" s="9" t="n"/>
      <c r="B171" s="9" t="n"/>
      <c r="C171" s="13" t="inlineStr">
        <is>
          <t>To test it end to end: type an invoice line on the Finance sheet, then type the same job number on the matching department sheet, then open Month-End, set the month and work down.</t>
        </is>
      </c>
      <c r="D171" s="9" t="n"/>
    </row>
    <row r="172" ht="52.7" customHeight="1">
      <c r="A172" s="9" t="n"/>
      <c r="B172" s="9" t="n"/>
      <c r="C172" s="13" t="inlineStr">
        <is>
          <t>Section 3 should go to nil and section 1 should add up to what you typed.</t>
        </is>
      </c>
      <c r="D172" s="9" t="n"/>
    </row>
    <row r="173" ht="6" customHeight="1">
      <c r="A173" s="9" t="n"/>
      <c r="B173" s="9" t="n"/>
      <c r="C173" s="9" t="n"/>
      <c r="D173" s="9" t="n"/>
    </row>
    <row r="174" ht="15.5" customHeight="1">
      <c r="A174" s="9" t="n"/>
      <c r="B174" s="9" t="n"/>
      <c r="C174" s="9" t="n"/>
      <c r="D174" s="9" t="n"/>
    </row>
    <row r="175" ht="28" customHeight="1">
      <c r="A175" s="9" t="n"/>
      <c r="B175" s="16" t="inlineStr">
        <is>
          <t>Still to confirm</t>
        </is>
      </c>
      <c r="C175" s="9" t="n"/>
      <c r="D175" s="9" t="n"/>
    </row>
    <row r="176" ht="26.35" customHeight="1">
      <c r="A176" s="9" t="n"/>
      <c r="B176" s="9" t="n"/>
      <c r="C176" s="13" t="inlineStr">
        <is>
          <t>Discounts.</t>
        </is>
      </c>
      <c r="D176" s="9" t="n"/>
    </row>
    <row r="177" ht="105.4" customHeight="1">
      <c r="A177" s="9" t="n"/>
      <c r="B177" s="9" t="n"/>
      <c r="C177" s="13" t="inlineStr">
        <is>
          <t>Checked against Xero: for all 17 August production invoices carrying a discount, the ex-GST total on the Xero invoice equals Ex GST here exactly, and not one matched Ex GST minus the discount.</t>
        </is>
      </c>
      <c r="D177" s="9" t="n"/>
    </row>
    <row r="178" ht="52.7" customHeight="1">
      <c r="A178" s="9" t="n"/>
      <c r="B178" s="9" t="n"/>
      <c r="C178" s="13" t="inlineStr">
        <is>
          <t>So the discount comes off before the invoice is raised and Ex GST is what reconciles.</t>
        </is>
      </c>
      <c r="D178" s="9" t="n"/>
    </row>
    <row r="179" ht="79.05000000000001" customHeight="1">
      <c r="A179" s="9" t="n"/>
      <c r="B179" s="9" t="n"/>
      <c r="C179" s="13" t="inlineStr">
        <is>
          <t>The old "Net Total" is gone; Discounts Given now sits on the Production sheet at job level with Value Before Discount beside it.</t>
        </is>
      </c>
      <c r="D179" s="9" t="n"/>
    </row>
    <row r="180" ht="52.7" customHeight="1">
      <c r="A180" s="9" t="n"/>
      <c r="B180" s="9" t="n"/>
      <c r="C180" s="13" t="inlineStr">
        <is>
          <t>Assumption: it records what was given away off standard rates.</t>
        </is>
      </c>
      <c r="D180" s="9" t="n"/>
    </row>
    <row r="181" ht="6" customHeight="1">
      <c r="A181" s="9" t="n"/>
      <c r="B181" s="9" t="n"/>
      <c r="C181" s="9" t="n"/>
      <c r="D181" s="9" t="n"/>
    </row>
    <row r="182">
      <c r="A182" s="9" t="n"/>
      <c r="B182" s="9" t="n"/>
      <c r="C182" s="9" t="n"/>
      <c r="D182" s="9" t="n"/>
    </row>
    <row r="183" ht="52.7" customHeight="1">
      <c r="A183" s="9" t="n"/>
      <c r="B183" s="17" t="inlineStr">
        <is>
          <t>This is the easy-read version. The standard, more compact version is on the Read Me tab.</t>
        </is>
      </c>
      <c r="C183" s="9" t="n"/>
      <c r="D183" s="9" t="n"/>
    </row>
    <row r="184">
      <c r="A184" s="9" t="n"/>
      <c r="B184" s="9" t="n"/>
      <c r="C184" s="9" t="n"/>
      <c r="D184" s="9" t="n"/>
    </row>
    <row r="185">
      <c r="A185" s="9" t="n"/>
      <c r="B185" s="9" t="n"/>
      <c r="C185" s="9" t="n"/>
      <c r="D185" s="9" t="n"/>
    </row>
  </sheetData>
  <mergeCells count="13">
    <mergeCell ref="B183:C183"/>
    <mergeCell ref="B54:C54"/>
    <mergeCell ref="B113:C113"/>
    <mergeCell ref="B90:C90"/>
    <mergeCell ref="B151:C151"/>
    <mergeCell ref="B5:C5"/>
    <mergeCell ref="B165:C165"/>
    <mergeCell ref="B67:C67"/>
    <mergeCell ref="B27:C27"/>
    <mergeCell ref="B18:C18"/>
    <mergeCell ref="B132:C132"/>
    <mergeCell ref="B75:C75"/>
    <mergeCell ref="B175:C175"/>
  </mergeCells>
  <pageMargins left="0.75" right="0.75" top="1" bottom="1" header="0.5" footer="0.5"/>
</worksheet>
</file>

<file path=xl/worksheets/sheet3.xml><?xml version="1.0" encoding="utf-8"?>
<worksheet xmlns="http://schemas.openxmlformats.org/spreadsheetml/2006/main">
  <sheetPr>
    <tabColor rgb="003E5066"/>
    <outlinePr summaryBelow="1" summaryRight="1"/>
    <pageSetUpPr/>
  </sheetPr>
  <dimension ref="A1:AH404"/>
  <sheetViews>
    <sheetView showGridLines="0" tabSelected="0" zoomScale="90"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6" customWidth="1" min="3" max="3"/>
    <col width="26" customWidth="1" min="4" max="4"/>
    <col width="15" customWidth="1" min="5" max="5"/>
    <col width="12" customWidth="1" min="6" max="6"/>
    <col width="44" customWidth="1" min="7" max="7"/>
    <col width="13" customWidth="1" min="8" max="8"/>
    <col width="14" customWidth="1" min="9" max="9"/>
    <col width="15" customWidth="1" min="10" max="10"/>
    <col width="12" customWidth="1" min="11" max="11"/>
    <col width="14" customWidth="1" min="12" max="12"/>
    <col width="12" customWidth="1" min="13" max="13"/>
    <col width="14" customWidth="1" min="14" max="14"/>
    <col width="13" customWidth="1" min="15" max="15"/>
    <col width="14" customWidth="1" min="16" max="16"/>
    <col width="9" customWidth="1" min="17" max="17"/>
    <col width="12" customWidth="1" min="18" max="18"/>
    <col width="12" customWidth="1" min="19" max="19"/>
    <col width="14" customWidth="1" min="20" max="20"/>
    <col width="40" customWidth="1" min="21" max="21"/>
    <col width="34" customWidth="1" min="22" max="22"/>
    <col width="15" customWidth="1" min="23" max="23"/>
    <col width="34" customWidth="1" min="24" max="24"/>
    <col width="12" customWidth="1" min="25" max="25"/>
    <col width="15" customWidth="1" min="26" max="26"/>
    <col width="14" customWidth="1" min="27" max="27"/>
    <col width="14" customWidth="1" min="28" max="28"/>
    <col width="34" customWidth="1" min="29" max="29"/>
    <col width="13" customWidth="1" min="30" max="30"/>
    <col width="14" customWidth="1" min="31" max="31"/>
    <col width="14" customWidth="1" min="32" max="32"/>
    <col width="12" customWidth="1" min="33" max="33"/>
    <col width="34" customWidth="1" min="34" max="34"/>
  </cols>
  <sheetData>
    <row r="1" ht="24" customHeight="1">
      <c r="A1" s="18" t="inlineStr">
        <is>
          <t>Finance - Invoice Register</t>
        </is>
      </c>
    </row>
    <row r="2" ht="16" customHeight="1">
      <c r="A2" s="2" t="inlineStr">
        <is>
          <t>One row per invoice line, coded to one cost centre, the same way Xero holds it. Finance types here and nowhere else. A job invoiced part production and part video is two lines. Filter the Issue column to see what needs fixing.</t>
        </is>
      </c>
    </row>
    <row r="3" ht="22" customHeight="1">
      <c r="A3" s="19">
        <f>"Ex GST  "&amp;TEXT(SUBTOTAL(109,tbl_Finance[Ex GST]),"$#,##0.00")&amp;"      "&amp;"GST  "&amp;TEXT(SUBTOTAL(109,tbl_Finance[GST]),"$#,##0.00")&amp;"      "&amp;"Inc GST  "&amp;TEXT(SUBTOTAL(109,tbl_Finance[Inc GST]),"$#,##0.00")</f>
        <v/>
      </c>
    </row>
    <row r="4" ht="34" customHeight="1">
      <c r="A4" s="20" t="inlineStr">
        <is>
          <t>Date</t>
        </is>
      </c>
      <c r="B4" s="21" t="inlineStr">
        <is>
          <t>Month</t>
        </is>
      </c>
      <c r="C4" s="20" t="inlineStr">
        <is>
          <t>Xero Invoice No</t>
        </is>
      </c>
      <c r="D4" s="20" t="inlineStr">
        <is>
          <t>Client</t>
        </is>
      </c>
      <c r="E4" s="20" t="inlineStr">
        <is>
          <t>Job Number</t>
        </is>
      </c>
      <c r="F4" s="21" t="inlineStr">
        <is>
          <t>Job in Xero?</t>
        </is>
      </c>
      <c r="G4" s="20" t="inlineStr">
        <is>
          <t>Description</t>
        </is>
      </c>
      <c r="H4" s="20" t="inlineStr">
        <is>
          <t>Team</t>
        </is>
      </c>
      <c r="I4" s="20" t="inlineStr">
        <is>
          <t>Cost Centre</t>
        </is>
      </c>
      <c r="J4" s="20" t="inlineStr">
        <is>
          <t>Invoice Type</t>
        </is>
      </c>
      <c r="K4" s="20" t="inlineStr">
        <is>
          <t>Tax Code</t>
        </is>
      </c>
      <c r="L4" s="20" t="inlineStr">
        <is>
          <t>Ex GST</t>
        </is>
      </c>
      <c r="M4" s="21" t="inlineStr">
        <is>
          <t>GST</t>
        </is>
      </c>
      <c r="N4" s="21" t="inlineStr">
        <is>
          <t>Inc GST</t>
        </is>
      </c>
      <c r="O4" s="20" t="inlineStr">
        <is>
          <t>Revenue GL</t>
        </is>
      </c>
      <c r="P4" s="20" t="inlineStr">
        <is>
          <t>Posted to Xero</t>
        </is>
      </c>
      <c r="Q4" s="20" t="inlineStr">
        <is>
          <t>To WIP</t>
        </is>
      </c>
      <c r="R4" s="20" t="inlineStr">
        <is>
          <t>Defer Start</t>
        </is>
      </c>
      <c r="S4" s="20" t="inlineStr">
        <is>
          <t>Defer End</t>
        </is>
      </c>
      <c r="T4" s="20" t="inlineStr">
        <is>
          <t>Status</t>
        </is>
      </c>
      <c r="U4" s="20" t="inlineStr">
        <is>
          <t>Notes</t>
        </is>
      </c>
      <c r="V4" s="21" t="inlineStr">
        <is>
          <t>Issue</t>
        </is>
      </c>
      <c r="W4" s="21" t="inlineStr">
        <is>
          <t>On Dept Sheet</t>
        </is>
      </c>
      <c r="X4" s="21" t="inlineStr">
        <is>
          <t>Job Name (Xero)</t>
        </is>
      </c>
      <c r="Y4" s="21" t="inlineStr">
        <is>
          <t>Lines on this Job</t>
        </is>
      </c>
      <c r="Z4" s="21" t="inlineStr">
        <is>
          <t>Job Total Ex GST</t>
        </is>
      </c>
      <c r="AA4" s="21" t="inlineStr">
        <is>
          <t>Job Invoiced</t>
        </is>
      </c>
      <c r="AB4" s="21" t="inlineStr">
        <is>
          <t>Job To Invoice</t>
        </is>
      </c>
      <c r="AC4" s="21" t="inlineStr">
        <is>
          <t>Job Quote / Ref</t>
        </is>
      </c>
      <c r="AD4" s="21" t="inlineStr">
        <is>
          <t>Open Quote</t>
        </is>
      </c>
      <c r="AE4" s="21" t="inlineStr">
        <is>
          <t>Job Expense</t>
        </is>
      </c>
      <c r="AF4" s="21" t="inlineStr">
        <is>
          <t>Job Margin</t>
        </is>
      </c>
      <c r="AG4" s="21" t="inlineStr">
        <is>
          <t>Job Margin %</t>
        </is>
      </c>
      <c r="AH4" s="21" t="inlineStr">
        <is>
          <t>Dept Notes</t>
        </is>
      </c>
    </row>
    <row r="5" ht="15" customHeight="1">
      <c r="A5" s="22" t="n"/>
      <c r="B5" s="23">
        <f>IF(A5="","",EOMONTH(A5,0))</f>
        <v/>
      </c>
      <c r="C5" s="24" t="n"/>
      <c r="D5" s="24" t="n"/>
      <c r="E5" s="24" t="n"/>
      <c r="F5" s="25">
        <f>IF(E5="","",IF(COUNTIF(lst_Jobs,E5&amp;"")&gt;0,"OK","CHECK"))</f>
        <v/>
      </c>
      <c r="G5" s="24" t="n"/>
      <c r="H5" s="24" t="n"/>
      <c r="I5" s="24" t="n"/>
      <c r="J5" s="24" t="n"/>
      <c r="K5" s="24" t="n"/>
      <c r="L5" s="26" t="n"/>
      <c r="M5" s="27">
        <f>IF(L5="","",IF(K5="GST 10%",ROUND(L5*set_GSTRate,2),0))</f>
        <v/>
      </c>
      <c r="N5" s="27">
        <f>IF(L5="","",L5+M5)</f>
        <v/>
      </c>
      <c r="O5" s="24" t="n"/>
      <c r="P5" s="24" t="n"/>
      <c r="Q5" s="24" t="n"/>
      <c r="R5" s="22" t="n"/>
      <c r="S5" s="22" t="n"/>
      <c r="T5" s="24" t="n"/>
      <c r="U5" s="24" t="n"/>
      <c r="V5" s="25">
        <f>IF(COUNTA(A5,D5,C5,L5)=0,"",IF(A5="","No date - sits outside every month",IF(E5="","No job number",IF(F5="CHECK","Job number is not in the Xero job list",IF(I5="","No cost centre",IF(AND(P5="Y",C5=""),"Marked posted to Xero but has no invoice number",IF(AND(L5&lt;&gt;"",K5=""),"No tax code",IF(AND(L5&lt;&gt;"",O5=""),"No revenue GL code",""))))))))</f>
        <v/>
      </c>
      <c r="W5" s="25">
        <f>IF(E5="","",IF(COUNTIF(tbl_Onsite[Job Number],E5&amp;"")&gt;0,"Onsite",IF(COUNTIF(tbl_Production[Job Number],E5&amp;"")&gt;0,"Production",IF(COUNTIF(tbl_Consulting[Job Number],E5&amp;"")&gt;0,"Consulting","not set up yet"))))</f>
        <v/>
      </c>
      <c r="X5" s="25">
        <f>IF(E5="","",IFERROR(INDEX(lst_JobName,MATCH(E5&amp;"",lst_Jobs,0)),""))</f>
        <v/>
      </c>
      <c r="Y5" s="28">
        <f>IF(E5="","",COUNTIFS(tbl_Finance[Job Number],E5&amp;"",tbl_Finance[Ex GST],"&lt;&gt;"))</f>
        <v/>
      </c>
      <c r="Z5" s="27">
        <f>IF(E5="","",SUMIFS(tbl_Finance[Ex GST],tbl_Finance[Job Number],E5&amp;""))</f>
        <v/>
      </c>
      <c r="AA5" s="27">
        <f>IF(E5="","",SUMIFS(tbl_Finance[Ex GST],tbl_Finance[Job Number],E5&amp;"",tbl_Finance[Xero Invoice No],"&lt;&gt;"))</f>
        <v/>
      </c>
      <c r="AB5" s="27">
        <f>IF(E5="","",Z5-AA5)</f>
        <v/>
      </c>
      <c r="AC5" s="25">
        <f>IF(E5="","",IFERROR(IF(INDEX(tbl_Onsite[Qwilr Quote],MATCH(E5&amp;"",tbl_Onsite[Job Number],0))="","",INDEX(tbl_Onsite[Qwilr Quote],MATCH(E5&amp;"",tbl_Onsite[Job Number],0))),IFERROR(IF(IF(INDEX(tbl_Production[Current RMS No],MATCH(E5&amp;"",tbl_Production[Job Number],0))="",INDEX(tbl_Production[Qwilr Quote],MATCH(E5&amp;"",tbl_Production[Job Number],0)),INDEX(tbl_Production[Current RMS No],MATCH(E5&amp;"",tbl_Production[Job Number],0)))="","",IF(INDEX(tbl_Production[Current RMS No],MATCH(E5&amp;"",tbl_Production[Job Number],0))="",INDEX(tbl_Production[Qwilr Quote],MATCH(E5&amp;"",tbl_Production[Job Number],0)),INDEX(tbl_Production[Current RMS No],MATCH(E5&amp;"",tbl_Production[Job Number],0)))),IFERROR(IF(INDEX(tbl_Consulting[Qwilr Quote],MATCH(E5&amp;"",tbl_Consulting[Job Number],0))="","",INDEX(tbl_Consulting[Qwilr Quote],MATCH(E5&amp;"",tbl_Consulting[Job Number],0))),""))))</f>
        <v/>
      </c>
      <c r="AD5" s="25">
        <f>IF(AC5="","",IF(AND(LEFT(AC5,4)&lt;&gt;"http",IF(H5="Production",set_RMSBase,set_QwilrBase)=""),"",HYPERLINK(IF(LEFT(AC5,4)="http",AC5,IF(H5="Production",set_RMSBase,set_QwilrBase)&amp;AC5),"Open")))</f>
        <v/>
      </c>
      <c r="AE5" s="27">
        <f>IF(E5="","",IFERROR(INDEX(tbl_Production[Total Expense],MATCH(E5&amp;"",tbl_Production[Job Number],0)),IFERROR(INDEX(tbl_Consulting[Total Expense],MATCH(E5&amp;"",tbl_Consulting[Job Number],0)),0)))</f>
        <v/>
      </c>
      <c r="AF5" s="27">
        <f>IF(E5="","",Z5-N(AE5))</f>
        <v/>
      </c>
      <c r="AG5" s="29">
        <f>IFERROR(AF5/Z5,"")</f>
        <v/>
      </c>
      <c r="AH5" s="25">
        <f>IF(E5="","",IFERROR(IF(INDEX(tbl_Onsite[Notes],MATCH(E5&amp;"",tbl_Onsite[Job Number],0))="","",INDEX(tbl_Onsite[Notes],MATCH(E5&amp;"",tbl_Onsite[Job Number],0))),IFERROR(IF(INDEX(tbl_Production[Notes],MATCH(E5&amp;"",tbl_Production[Job Number],0))="","",INDEX(tbl_Production[Notes],MATCH(E5&amp;"",tbl_Production[Job Number],0))),IFERROR(IF(INDEX(tbl_Consulting[Notes],MATCH(E5&amp;"",tbl_Consulting[Job Number],0))="","",INDEX(tbl_Consulting[Notes],MATCH(E5&amp;"",tbl_Consulting[Job Number],0))),""))))</f>
        <v/>
      </c>
    </row>
    <row r="6" ht="15" customHeight="1">
      <c r="A6" s="22" t="n"/>
      <c r="B6" s="23">
        <f>IF(A6="","",EOMONTH(A6,0))</f>
        <v/>
      </c>
      <c r="C6" s="24" t="n"/>
      <c r="D6" s="24" t="n"/>
      <c r="E6" s="24" t="n"/>
      <c r="F6" s="25">
        <f>IF(E6="","",IF(COUNTIF(lst_Jobs,E6&amp;"")&gt;0,"OK","CHECK"))</f>
        <v/>
      </c>
      <c r="G6" s="24" t="n"/>
      <c r="H6" s="24" t="n"/>
      <c r="I6" s="24" t="n"/>
      <c r="J6" s="24" t="n"/>
      <c r="K6" s="24" t="n"/>
      <c r="L6" s="26" t="n"/>
      <c r="M6" s="27">
        <f>IF(L6="","",IF(K6="GST 10%",ROUND(L6*set_GSTRate,2),0))</f>
        <v/>
      </c>
      <c r="N6" s="27">
        <f>IF(L6="","",L6+M6)</f>
        <v/>
      </c>
      <c r="O6" s="24" t="n"/>
      <c r="P6" s="24" t="n"/>
      <c r="Q6" s="24" t="n"/>
      <c r="R6" s="22" t="n"/>
      <c r="S6" s="22" t="n"/>
      <c r="T6" s="24" t="n"/>
      <c r="U6" s="24" t="n"/>
      <c r="V6" s="25">
        <f>IF(COUNTA(A6,D6,C6,L6)=0,"",IF(A6="","No date - sits outside every month",IF(E6="","No job number",IF(F6="CHECK","Job number is not in the Xero job list",IF(I6="","No cost centre",IF(AND(P6="Y",C6=""),"Marked posted to Xero but has no invoice number",IF(AND(L6&lt;&gt;"",K6=""),"No tax code",IF(AND(L6&lt;&gt;"",O6=""),"No revenue GL code",""))))))))</f>
        <v/>
      </c>
      <c r="W6" s="25">
        <f>IF(E6="","",IF(COUNTIF(tbl_Onsite[Job Number],E6&amp;"")&gt;0,"Onsite",IF(COUNTIF(tbl_Production[Job Number],E6&amp;"")&gt;0,"Production",IF(COUNTIF(tbl_Consulting[Job Number],E6&amp;"")&gt;0,"Consulting","not set up yet"))))</f>
        <v/>
      </c>
      <c r="X6" s="25">
        <f>IF(E6="","",IFERROR(INDEX(lst_JobName,MATCH(E6&amp;"",lst_Jobs,0)),""))</f>
        <v/>
      </c>
      <c r="Y6" s="28">
        <f>IF(E6="","",COUNTIFS(tbl_Finance[Job Number],E6&amp;"",tbl_Finance[Ex GST],"&lt;&gt;"))</f>
        <v/>
      </c>
      <c r="Z6" s="27">
        <f>IF(E6="","",SUMIFS(tbl_Finance[Ex GST],tbl_Finance[Job Number],E6&amp;""))</f>
        <v/>
      </c>
      <c r="AA6" s="27">
        <f>IF(E6="","",SUMIFS(tbl_Finance[Ex GST],tbl_Finance[Job Number],E6&amp;"",tbl_Finance[Xero Invoice No],"&lt;&gt;"))</f>
        <v/>
      </c>
      <c r="AB6" s="27">
        <f>IF(E6="","",Z6-AA6)</f>
        <v/>
      </c>
      <c r="AC6" s="25">
        <f>IF(E6="","",IFERROR(IF(INDEX(tbl_Onsite[Qwilr Quote],MATCH(E6&amp;"",tbl_Onsite[Job Number],0))="","",INDEX(tbl_Onsite[Qwilr Quote],MATCH(E6&amp;"",tbl_Onsite[Job Number],0))),IFERROR(IF(IF(INDEX(tbl_Production[Current RMS No],MATCH(E6&amp;"",tbl_Production[Job Number],0))="",INDEX(tbl_Production[Qwilr Quote],MATCH(E6&amp;"",tbl_Production[Job Number],0)),INDEX(tbl_Production[Current RMS No],MATCH(E6&amp;"",tbl_Production[Job Number],0)))="","",IF(INDEX(tbl_Production[Current RMS No],MATCH(E6&amp;"",tbl_Production[Job Number],0))="",INDEX(tbl_Production[Qwilr Quote],MATCH(E6&amp;"",tbl_Production[Job Number],0)),INDEX(tbl_Production[Current RMS No],MATCH(E6&amp;"",tbl_Production[Job Number],0)))),IFERROR(IF(INDEX(tbl_Consulting[Qwilr Quote],MATCH(E6&amp;"",tbl_Consulting[Job Number],0))="","",INDEX(tbl_Consulting[Qwilr Quote],MATCH(E6&amp;"",tbl_Consulting[Job Number],0))),""))))</f>
        <v/>
      </c>
      <c r="AD6" s="25">
        <f>IF(AC6="","",IF(AND(LEFT(AC6,4)&lt;&gt;"http",IF(H6="Production",set_RMSBase,set_QwilrBase)=""),"",HYPERLINK(IF(LEFT(AC6,4)="http",AC6,IF(H6="Production",set_RMSBase,set_QwilrBase)&amp;AC6),"Open")))</f>
        <v/>
      </c>
      <c r="AE6" s="27">
        <f>IF(E6="","",IFERROR(INDEX(tbl_Production[Total Expense],MATCH(E6&amp;"",tbl_Production[Job Number],0)),IFERROR(INDEX(tbl_Consulting[Total Expense],MATCH(E6&amp;"",tbl_Consulting[Job Number],0)),0)))</f>
        <v/>
      </c>
      <c r="AF6" s="27">
        <f>IF(E6="","",Z6-N(AE6))</f>
        <v/>
      </c>
      <c r="AG6" s="29">
        <f>IFERROR(AF6/Z6,"")</f>
        <v/>
      </c>
      <c r="AH6" s="25">
        <f>IF(E6="","",IFERROR(IF(INDEX(tbl_Onsite[Notes],MATCH(E6&amp;"",tbl_Onsite[Job Number],0))="","",INDEX(tbl_Onsite[Notes],MATCH(E6&amp;"",tbl_Onsite[Job Number],0))),IFERROR(IF(INDEX(tbl_Production[Notes],MATCH(E6&amp;"",tbl_Production[Job Number],0))="","",INDEX(tbl_Production[Notes],MATCH(E6&amp;"",tbl_Production[Job Number],0))),IFERROR(IF(INDEX(tbl_Consulting[Notes],MATCH(E6&amp;"",tbl_Consulting[Job Number],0))="","",INDEX(tbl_Consulting[Notes],MATCH(E6&amp;"",tbl_Consulting[Job Number],0))),""))))</f>
        <v/>
      </c>
    </row>
    <row r="7" ht="15" customHeight="1">
      <c r="A7" s="22" t="n"/>
      <c r="B7" s="23">
        <f>IF(A7="","",EOMONTH(A7,0))</f>
        <v/>
      </c>
      <c r="C7" s="24" t="n"/>
      <c r="D7" s="24" t="n"/>
      <c r="E7" s="24" t="n"/>
      <c r="F7" s="25">
        <f>IF(E7="","",IF(COUNTIF(lst_Jobs,E7&amp;"")&gt;0,"OK","CHECK"))</f>
        <v/>
      </c>
      <c r="G7" s="24" t="n"/>
      <c r="H7" s="24" t="n"/>
      <c r="I7" s="24" t="n"/>
      <c r="J7" s="24" t="n"/>
      <c r="K7" s="24" t="n"/>
      <c r="L7" s="26" t="n"/>
      <c r="M7" s="27">
        <f>IF(L7="","",IF(K7="GST 10%",ROUND(L7*set_GSTRate,2),0))</f>
        <v/>
      </c>
      <c r="N7" s="27">
        <f>IF(L7="","",L7+M7)</f>
        <v/>
      </c>
      <c r="O7" s="24" t="n"/>
      <c r="P7" s="24" t="n"/>
      <c r="Q7" s="24" t="n"/>
      <c r="R7" s="22" t="n"/>
      <c r="S7" s="22" t="n"/>
      <c r="T7" s="24" t="n"/>
      <c r="U7" s="24" t="n"/>
      <c r="V7" s="25">
        <f>IF(COUNTA(A7,D7,C7,L7)=0,"",IF(A7="","No date - sits outside every month",IF(E7="","No job number",IF(F7="CHECK","Job number is not in the Xero job list",IF(I7="","No cost centre",IF(AND(P7="Y",C7=""),"Marked posted to Xero but has no invoice number",IF(AND(L7&lt;&gt;"",K7=""),"No tax code",IF(AND(L7&lt;&gt;"",O7=""),"No revenue GL code",""))))))))</f>
        <v/>
      </c>
      <c r="W7" s="25">
        <f>IF(E7="","",IF(COUNTIF(tbl_Onsite[Job Number],E7&amp;"")&gt;0,"Onsite",IF(COUNTIF(tbl_Production[Job Number],E7&amp;"")&gt;0,"Production",IF(COUNTIF(tbl_Consulting[Job Number],E7&amp;"")&gt;0,"Consulting","not set up yet"))))</f>
        <v/>
      </c>
      <c r="X7" s="25">
        <f>IF(E7="","",IFERROR(INDEX(lst_JobName,MATCH(E7&amp;"",lst_Jobs,0)),""))</f>
        <v/>
      </c>
      <c r="Y7" s="28">
        <f>IF(E7="","",COUNTIFS(tbl_Finance[Job Number],E7&amp;"",tbl_Finance[Ex GST],"&lt;&gt;"))</f>
        <v/>
      </c>
      <c r="Z7" s="27">
        <f>IF(E7="","",SUMIFS(tbl_Finance[Ex GST],tbl_Finance[Job Number],E7&amp;""))</f>
        <v/>
      </c>
      <c r="AA7" s="27">
        <f>IF(E7="","",SUMIFS(tbl_Finance[Ex GST],tbl_Finance[Job Number],E7&amp;"",tbl_Finance[Xero Invoice No],"&lt;&gt;"))</f>
        <v/>
      </c>
      <c r="AB7" s="27">
        <f>IF(E7="","",Z7-AA7)</f>
        <v/>
      </c>
      <c r="AC7" s="25">
        <f>IF(E7="","",IFERROR(IF(INDEX(tbl_Onsite[Qwilr Quote],MATCH(E7&amp;"",tbl_Onsite[Job Number],0))="","",INDEX(tbl_Onsite[Qwilr Quote],MATCH(E7&amp;"",tbl_Onsite[Job Number],0))),IFERROR(IF(IF(INDEX(tbl_Production[Current RMS No],MATCH(E7&amp;"",tbl_Production[Job Number],0))="",INDEX(tbl_Production[Qwilr Quote],MATCH(E7&amp;"",tbl_Production[Job Number],0)),INDEX(tbl_Production[Current RMS No],MATCH(E7&amp;"",tbl_Production[Job Number],0)))="","",IF(INDEX(tbl_Production[Current RMS No],MATCH(E7&amp;"",tbl_Production[Job Number],0))="",INDEX(tbl_Production[Qwilr Quote],MATCH(E7&amp;"",tbl_Production[Job Number],0)),INDEX(tbl_Production[Current RMS No],MATCH(E7&amp;"",tbl_Production[Job Number],0)))),IFERROR(IF(INDEX(tbl_Consulting[Qwilr Quote],MATCH(E7&amp;"",tbl_Consulting[Job Number],0))="","",INDEX(tbl_Consulting[Qwilr Quote],MATCH(E7&amp;"",tbl_Consulting[Job Number],0))),""))))</f>
        <v/>
      </c>
      <c r="AD7" s="25">
        <f>IF(AC7="","",IF(AND(LEFT(AC7,4)&lt;&gt;"http",IF(H7="Production",set_RMSBase,set_QwilrBase)=""),"",HYPERLINK(IF(LEFT(AC7,4)="http",AC7,IF(H7="Production",set_RMSBase,set_QwilrBase)&amp;AC7),"Open")))</f>
        <v/>
      </c>
      <c r="AE7" s="27">
        <f>IF(E7="","",IFERROR(INDEX(tbl_Production[Total Expense],MATCH(E7&amp;"",tbl_Production[Job Number],0)),IFERROR(INDEX(tbl_Consulting[Total Expense],MATCH(E7&amp;"",tbl_Consulting[Job Number],0)),0)))</f>
        <v/>
      </c>
      <c r="AF7" s="27">
        <f>IF(E7="","",Z7-N(AE7))</f>
        <v/>
      </c>
      <c r="AG7" s="29">
        <f>IFERROR(AF7/Z7,"")</f>
        <v/>
      </c>
      <c r="AH7" s="25">
        <f>IF(E7="","",IFERROR(IF(INDEX(tbl_Onsite[Notes],MATCH(E7&amp;"",tbl_Onsite[Job Number],0))="","",INDEX(tbl_Onsite[Notes],MATCH(E7&amp;"",tbl_Onsite[Job Number],0))),IFERROR(IF(INDEX(tbl_Production[Notes],MATCH(E7&amp;"",tbl_Production[Job Number],0))="","",INDEX(tbl_Production[Notes],MATCH(E7&amp;"",tbl_Production[Job Number],0))),IFERROR(IF(INDEX(tbl_Consulting[Notes],MATCH(E7&amp;"",tbl_Consulting[Job Number],0))="","",INDEX(tbl_Consulting[Notes],MATCH(E7&amp;"",tbl_Consulting[Job Number],0))),""))))</f>
        <v/>
      </c>
    </row>
    <row r="8" ht="15" customHeight="1">
      <c r="A8" s="22" t="n"/>
      <c r="B8" s="23">
        <f>IF(A8="","",EOMONTH(A8,0))</f>
        <v/>
      </c>
      <c r="C8" s="24" t="n"/>
      <c r="D8" s="24" t="n"/>
      <c r="E8" s="24" t="n"/>
      <c r="F8" s="25">
        <f>IF(E8="","",IF(COUNTIF(lst_Jobs,E8&amp;"")&gt;0,"OK","CHECK"))</f>
        <v/>
      </c>
      <c r="G8" s="24" t="n"/>
      <c r="H8" s="24" t="n"/>
      <c r="I8" s="24" t="n"/>
      <c r="J8" s="24" t="n"/>
      <c r="K8" s="24" t="n"/>
      <c r="L8" s="26" t="n"/>
      <c r="M8" s="27">
        <f>IF(L8="","",IF(K8="GST 10%",ROUND(L8*set_GSTRate,2),0))</f>
        <v/>
      </c>
      <c r="N8" s="27">
        <f>IF(L8="","",L8+M8)</f>
        <v/>
      </c>
      <c r="O8" s="24" t="n"/>
      <c r="P8" s="24" t="n"/>
      <c r="Q8" s="24" t="n"/>
      <c r="R8" s="22" t="n"/>
      <c r="S8" s="22" t="n"/>
      <c r="T8" s="24" t="n"/>
      <c r="U8" s="24" t="n"/>
      <c r="V8" s="25">
        <f>IF(COUNTA(A8,D8,C8,L8)=0,"",IF(A8="","No date - sits outside every month",IF(E8="","No job number",IF(F8="CHECK","Job number is not in the Xero job list",IF(I8="","No cost centre",IF(AND(P8="Y",C8=""),"Marked posted to Xero but has no invoice number",IF(AND(L8&lt;&gt;"",K8=""),"No tax code",IF(AND(L8&lt;&gt;"",O8=""),"No revenue GL code",""))))))))</f>
        <v/>
      </c>
      <c r="W8" s="25">
        <f>IF(E8="","",IF(COUNTIF(tbl_Onsite[Job Number],E8&amp;"")&gt;0,"Onsite",IF(COUNTIF(tbl_Production[Job Number],E8&amp;"")&gt;0,"Production",IF(COUNTIF(tbl_Consulting[Job Number],E8&amp;"")&gt;0,"Consulting","not set up yet"))))</f>
        <v/>
      </c>
      <c r="X8" s="25">
        <f>IF(E8="","",IFERROR(INDEX(lst_JobName,MATCH(E8&amp;"",lst_Jobs,0)),""))</f>
        <v/>
      </c>
      <c r="Y8" s="28">
        <f>IF(E8="","",COUNTIFS(tbl_Finance[Job Number],E8&amp;"",tbl_Finance[Ex GST],"&lt;&gt;"))</f>
        <v/>
      </c>
      <c r="Z8" s="27">
        <f>IF(E8="","",SUMIFS(tbl_Finance[Ex GST],tbl_Finance[Job Number],E8&amp;""))</f>
        <v/>
      </c>
      <c r="AA8" s="27">
        <f>IF(E8="","",SUMIFS(tbl_Finance[Ex GST],tbl_Finance[Job Number],E8&amp;"",tbl_Finance[Xero Invoice No],"&lt;&gt;"))</f>
        <v/>
      </c>
      <c r="AB8" s="27">
        <f>IF(E8="","",Z8-AA8)</f>
        <v/>
      </c>
      <c r="AC8" s="25">
        <f>IF(E8="","",IFERROR(IF(INDEX(tbl_Onsite[Qwilr Quote],MATCH(E8&amp;"",tbl_Onsite[Job Number],0))="","",INDEX(tbl_Onsite[Qwilr Quote],MATCH(E8&amp;"",tbl_Onsite[Job Number],0))),IFERROR(IF(IF(INDEX(tbl_Production[Current RMS No],MATCH(E8&amp;"",tbl_Production[Job Number],0))="",INDEX(tbl_Production[Qwilr Quote],MATCH(E8&amp;"",tbl_Production[Job Number],0)),INDEX(tbl_Production[Current RMS No],MATCH(E8&amp;"",tbl_Production[Job Number],0)))="","",IF(INDEX(tbl_Production[Current RMS No],MATCH(E8&amp;"",tbl_Production[Job Number],0))="",INDEX(tbl_Production[Qwilr Quote],MATCH(E8&amp;"",tbl_Production[Job Number],0)),INDEX(tbl_Production[Current RMS No],MATCH(E8&amp;"",tbl_Production[Job Number],0)))),IFERROR(IF(INDEX(tbl_Consulting[Qwilr Quote],MATCH(E8&amp;"",tbl_Consulting[Job Number],0))="","",INDEX(tbl_Consulting[Qwilr Quote],MATCH(E8&amp;"",tbl_Consulting[Job Number],0))),""))))</f>
        <v/>
      </c>
      <c r="AD8" s="25">
        <f>IF(AC8="","",IF(AND(LEFT(AC8,4)&lt;&gt;"http",IF(H8="Production",set_RMSBase,set_QwilrBase)=""),"",HYPERLINK(IF(LEFT(AC8,4)="http",AC8,IF(H8="Production",set_RMSBase,set_QwilrBase)&amp;AC8),"Open")))</f>
        <v/>
      </c>
      <c r="AE8" s="27">
        <f>IF(E8="","",IFERROR(INDEX(tbl_Production[Total Expense],MATCH(E8&amp;"",tbl_Production[Job Number],0)),IFERROR(INDEX(tbl_Consulting[Total Expense],MATCH(E8&amp;"",tbl_Consulting[Job Number],0)),0)))</f>
        <v/>
      </c>
      <c r="AF8" s="27">
        <f>IF(E8="","",Z8-N(AE8))</f>
        <v/>
      </c>
      <c r="AG8" s="29">
        <f>IFERROR(AF8/Z8,"")</f>
        <v/>
      </c>
      <c r="AH8" s="25">
        <f>IF(E8="","",IFERROR(IF(INDEX(tbl_Onsite[Notes],MATCH(E8&amp;"",tbl_Onsite[Job Number],0))="","",INDEX(tbl_Onsite[Notes],MATCH(E8&amp;"",tbl_Onsite[Job Number],0))),IFERROR(IF(INDEX(tbl_Production[Notes],MATCH(E8&amp;"",tbl_Production[Job Number],0))="","",INDEX(tbl_Production[Notes],MATCH(E8&amp;"",tbl_Production[Job Number],0))),IFERROR(IF(INDEX(tbl_Consulting[Notes],MATCH(E8&amp;"",tbl_Consulting[Job Number],0))="","",INDEX(tbl_Consulting[Notes],MATCH(E8&amp;"",tbl_Consulting[Job Number],0))),""))))</f>
        <v/>
      </c>
    </row>
    <row r="9" ht="15" customHeight="1">
      <c r="A9" s="22" t="n"/>
      <c r="B9" s="23">
        <f>IF(A9="","",EOMONTH(A9,0))</f>
        <v/>
      </c>
      <c r="C9" s="24" t="n"/>
      <c r="D9" s="24" t="n"/>
      <c r="E9" s="24" t="n"/>
      <c r="F9" s="25">
        <f>IF(E9="","",IF(COUNTIF(lst_Jobs,E9&amp;"")&gt;0,"OK","CHECK"))</f>
        <v/>
      </c>
      <c r="G9" s="24" t="n"/>
      <c r="H9" s="24" t="n"/>
      <c r="I9" s="24" t="n"/>
      <c r="J9" s="24" t="n"/>
      <c r="K9" s="24" t="n"/>
      <c r="L9" s="26" t="n"/>
      <c r="M9" s="27">
        <f>IF(L9="","",IF(K9="GST 10%",ROUND(L9*set_GSTRate,2),0))</f>
        <v/>
      </c>
      <c r="N9" s="27">
        <f>IF(L9="","",L9+M9)</f>
        <v/>
      </c>
      <c r="O9" s="24" t="n"/>
      <c r="P9" s="24" t="n"/>
      <c r="Q9" s="24" t="n"/>
      <c r="R9" s="22" t="n"/>
      <c r="S9" s="22" t="n"/>
      <c r="T9" s="24" t="n"/>
      <c r="U9" s="24" t="n"/>
      <c r="V9" s="25">
        <f>IF(COUNTA(A9,D9,C9,L9)=0,"",IF(A9="","No date - sits outside every month",IF(E9="","No job number",IF(F9="CHECK","Job number is not in the Xero job list",IF(I9="","No cost centre",IF(AND(P9="Y",C9=""),"Marked posted to Xero but has no invoice number",IF(AND(L9&lt;&gt;"",K9=""),"No tax code",IF(AND(L9&lt;&gt;"",O9=""),"No revenue GL code",""))))))))</f>
        <v/>
      </c>
      <c r="W9" s="25">
        <f>IF(E9="","",IF(COUNTIF(tbl_Onsite[Job Number],E9&amp;"")&gt;0,"Onsite",IF(COUNTIF(tbl_Production[Job Number],E9&amp;"")&gt;0,"Production",IF(COUNTIF(tbl_Consulting[Job Number],E9&amp;"")&gt;0,"Consulting","not set up yet"))))</f>
        <v/>
      </c>
      <c r="X9" s="25">
        <f>IF(E9="","",IFERROR(INDEX(lst_JobName,MATCH(E9&amp;"",lst_Jobs,0)),""))</f>
        <v/>
      </c>
      <c r="Y9" s="28">
        <f>IF(E9="","",COUNTIFS(tbl_Finance[Job Number],E9&amp;"",tbl_Finance[Ex GST],"&lt;&gt;"))</f>
        <v/>
      </c>
      <c r="Z9" s="27">
        <f>IF(E9="","",SUMIFS(tbl_Finance[Ex GST],tbl_Finance[Job Number],E9&amp;""))</f>
        <v/>
      </c>
      <c r="AA9" s="27">
        <f>IF(E9="","",SUMIFS(tbl_Finance[Ex GST],tbl_Finance[Job Number],E9&amp;"",tbl_Finance[Xero Invoice No],"&lt;&gt;"))</f>
        <v/>
      </c>
      <c r="AB9" s="27">
        <f>IF(E9="","",Z9-AA9)</f>
        <v/>
      </c>
      <c r="AC9" s="25">
        <f>IF(E9="","",IFERROR(IF(INDEX(tbl_Onsite[Qwilr Quote],MATCH(E9&amp;"",tbl_Onsite[Job Number],0))="","",INDEX(tbl_Onsite[Qwilr Quote],MATCH(E9&amp;"",tbl_Onsite[Job Number],0))),IFERROR(IF(IF(INDEX(tbl_Production[Current RMS No],MATCH(E9&amp;"",tbl_Production[Job Number],0))="",INDEX(tbl_Production[Qwilr Quote],MATCH(E9&amp;"",tbl_Production[Job Number],0)),INDEX(tbl_Production[Current RMS No],MATCH(E9&amp;"",tbl_Production[Job Number],0)))="","",IF(INDEX(tbl_Production[Current RMS No],MATCH(E9&amp;"",tbl_Production[Job Number],0))="",INDEX(tbl_Production[Qwilr Quote],MATCH(E9&amp;"",tbl_Production[Job Number],0)),INDEX(tbl_Production[Current RMS No],MATCH(E9&amp;"",tbl_Production[Job Number],0)))),IFERROR(IF(INDEX(tbl_Consulting[Qwilr Quote],MATCH(E9&amp;"",tbl_Consulting[Job Number],0))="","",INDEX(tbl_Consulting[Qwilr Quote],MATCH(E9&amp;"",tbl_Consulting[Job Number],0))),""))))</f>
        <v/>
      </c>
      <c r="AD9" s="25">
        <f>IF(AC9="","",IF(AND(LEFT(AC9,4)&lt;&gt;"http",IF(H9="Production",set_RMSBase,set_QwilrBase)=""),"",HYPERLINK(IF(LEFT(AC9,4)="http",AC9,IF(H9="Production",set_RMSBase,set_QwilrBase)&amp;AC9),"Open")))</f>
        <v/>
      </c>
      <c r="AE9" s="27">
        <f>IF(E9="","",IFERROR(INDEX(tbl_Production[Total Expense],MATCH(E9&amp;"",tbl_Production[Job Number],0)),IFERROR(INDEX(tbl_Consulting[Total Expense],MATCH(E9&amp;"",tbl_Consulting[Job Number],0)),0)))</f>
        <v/>
      </c>
      <c r="AF9" s="27">
        <f>IF(E9="","",Z9-N(AE9))</f>
        <v/>
      </c>
      <c r="AG9" s="29">
        <f>IFERROR(AF9/Z9,"")</f>
        <v/>
      </c>
      <c r="AH9" s="25">
        <f>IF(E9="","",IFERROR(IF(INDEX(tbl_Onsite[Notes],MATCH(E9&amp;"",tbl_Onsite[Job Number],0))="","",INDEX(tbl_Onsite[Notes],MATCH(E9&amp;"",tbl_Onsite[Job Number],0))),IFERROR(IF(INDEX(tbl_Production[Notes],MATCH(E9&amp;"",tbl_Production[Job Number],0))="","",INDEX(tbl_Production[Notes],MATCH(E9&amp;"",tbl_Production[Job Number],0))),IFERROR(IF(INDEX(tbl_Consulting[Notes],MATCH(E9&amp;"",tbl_Consulting[Job Number],0))="","",INDEX(tbl_Consulting[Notes],MATCH(E9&amp;"",tbl_Consulting[Job Number],0))),""))))</f>
        <v/>
      </c>
    </row>
    <row r="10" ht="15" customHeight="1">
      <c r="A10" s="22" t="n"/>
      <c r="B10" s="23">
        <f>IF(A10="","",EOMONTH(A10,0))</f>
        <v/>
      </c>
      <c r="C10" s="24" t="n"/>
      <c r="D10" s="24" t="n"/>
      <c r="E10" s="24" t="n"/>
      <c r="F10" s="25">
        <f>IF(E10="","",IF(COUNTIF(lst_Jobs,E10&amp;"")&gt;0,"OK","CHECK"))</f>
        <v/>
      </c>
      <c r="G10" s="24" t="n"/>
      <c r="H10" s="24" t="n"/>
      <c r="I10" s="24" t="n"/>
      <c r="J10" s="24" t="n"/>
      <c r="K10" s="24" t="n"/>
      <c r="L10" s="26" t="n"/>
      <c r="M10" s="27">
        <f>IF(L10="","",IF(K10="GST 10%",ROUND(L10*set_GSTRate,2),0))</f>
        <v/>
      </c>
      <c r="N10" s="27">
        <f>IF(L10="","",L10+M10)</f>
        <v/>
      </c>
      <c r="O10" s="24" t="n"/>
      <c r="P10" s="24" t="n"/>
      <c r="Q10" s="24" t="n"/>
      <c r="R10" s="22" t="n"/>
      <c r="S10" s="22" t="n"/>
      <c r="T10" s="24" t="n"/>
      <c r="U10" s="24" t="n"/>
      <c r="V10" s="25">
        <f>IF(COUNTA(A10,D10,C10,L10)=0,"",IF(A10="","No date - sits outside every month",IF(E10="","No job number",IF(F10="CHECK","Job number is not in the Xero job list",IF(I10="","No cost centre",IF(AND(P10="Y",C10=""),"Marked posted to Xero but has no invoice number",IF(AND(L10&lt;&gt;"",K10=""),"No tax code",IF(AND(L10&lt;&gt;"",O10=""),"No revenue GL code",""))))))))</f>
        <v/>
      </c>
      <c r="W10" s="25">
        <f>IF(E10="","",IF(COUNTIF(tbl_Onsite[Job Number],E10&amp;"")&gt;0,"Onsite",IF(COUNTIF(tbl_Production[Job Number],E10&amp;"")&gt;0,"Production",IF(COUNTIF(tbl_Consulting[Job Number],E10&amp;"")&gt;0,"Consulting","not set up yet"))))</f>
        <v/>
      </c>
      <c r="X10" s="25">
        <f>IF(E10="","",IFERROR(INDEX(lst_JobName,MATCH(E10&amp;"",lst_Jobs,0)),""))</f>
        <v/>
      </c>
      <c r="Y10" s="28">
        <f>IF(E10="","",COUNTIFS(tbl_Finance[Job Number],E10&amp;"",tbl_Finance[Ex GST],"&lt;&gt;"))</f>
        <v/>
      </c>
      <c r="Z10" s="27">
        <f>IF(E10="","",SUMIFS(tbl_Finance[Ex GST],tbl_Finance[Job Number],E10&amp;""))</f>
        <v/>
      </c>
      <c r="AA10" s="27">
        <f>IF(E10="","",SUMIFS(tbl_Finance[Ex GST],tbl_Finance[Job Number],E10&amp;"",tbl_Finance[Xero Invoice No],"&lt;&gt;"))</f>
        <v/>
      </c>
      <c r="AB10" s="27">
        <f>IF(E10="","",Z10-AA10)</f>
        <v/>
      </c>
      <c r="AC10" s="25">
        <f>IF(E10="","",IFERROR(IF(INDEX(tbl_Onsite[Qwilr Quote],MATCH(E10&amp;"",tbl_Onsite[Job Number],0))="","",INDEX(tbl_Onsite[Qwilr Quote],MATCH(E10&amp;"",tbl_Onsite[Job Number],0))),IFERROR(IF(IF(INDEX(tbl_Production[Current RMS No],MATCH(E10&amp;"",tbl_Production[Job Number],0))="",INDEX(tbl_Production[Qwilr Quote],MATCH(E10&amp;"",tbl_Production[Job Number],0)),INDEX(tbl_Production[Current RMS No],MATCH(E10&amp;"",tbl_Production[Job Number],0)))="","",IF(INDEX(tbl_Production[Current RMS No],MATCH(E10&amp;"",tbl_Production[Job Number],0))="",INDEX(tbl_Production[Qwilr Quote],MATCH(E10&amp;"",tbl_Production[Job Number],0)),INDEX(tbl_Production[Current RMS No],MATCH(E10&amp;"",tbl_Production[Job Number],0)))),IFERROR(IF(INDEX(tbl_Consulting[Qwilr Quote],MATCH(E10&amp;"",tbl_Consulting[Job Number],0))="","",INDEX(tbl_Consulting[Qwilr Quote],MATCH(E10&amp;"",tbl_Consulting[Job Number],0))),""))))</f>
        <v/>
      </c>
      <c r="AD10" s="25">
        <f>IF(AC10="","",IF(AND(LEFT(AC10,4)&lt;&gt;"http",IF(H10="Production",set_RMSBase,set_QwilrBase)=""),"",HYPERLINK(IF(LEFT(AC10,4)="http",AC10,IF(H10="Production",set_RMSBase,set_QwilrBase)&amp;AC10),"Open")))</f>
        <v/>
      </c>
      <c r="AE10" s="27">
        <f>IF(E10="","",IFERROR(INDEX(tbl_Production[Total Expense],MATCH(E10&amp;"",tbl_Production[Job Number],0)),IFERROR(INDEX(tbl_Consulting[Total Expense],MATCH(E10&amp;"",tbl_Consulting[Job Number],0)),0)))</f>
        <v/>
      </c>
      <c r="AF10" s="27">
        <f>IF(E10="","",Z10-N(AE10))</f>
        <v/>
      </c>
      <c r="AG10" s="29">
        <f>IFERROR(AF10/Z10,"")</f>
        <v/>
      </c>
      <c r="AH10" s="25">
        <f>IF(E10="","",IFERROR(IF(INDEX(tbl_Onsite[Notes],MATCH(E10&amp;"",tbl_Onsite[Job Number],0))="","",INDEX(tbl_Onsite[Notes],MATCH(E10&amp;"",tbl_Onsite[Job Number],0))),IFERROR(IF(INDEX(tbl_Production[Notes],MATCH(E10&amp;"",tbl_Production[Job Number],0))="","",INDEX(tbl_Production[Notes],MATCH(E10&amp;"",tbl_Production[Job Number],0))),IFERROR(IF(INDEX(tbl_Consulting[Notes],MATCH(E10&amp;"",tbl_Consulting[Job Number],0))="","",INDEX(tbl_Consulting[Notes],MATCH(E10&amp;"",tbl_Consulting[Job Number],0))),""))))</f>
        <v/>
      </c>
    </row>
    <row r="11" ht="15" customHeight="1">
      <c r="A11" s="22" t="n"/>
      <c r="B11" s="23">
        <f>IF(A11="","",EOMONTH(A11,0))</f>
        <v/>
      </c>
      <c r="C11" s="24" t="n"/>
      <c r="D11" s="24" t="n"/>
      <c r="E11" s="24" t="n"/>
      <c r="F11" s="25">
        <f>IF(E11="","",IF(COUNTIF(lst_Jobs,E11&amp;"")&gt;0,"OK","CHECK"))</f>
        <v/>
      </c>
      <c r="G11" s="24" t="n"/>
      <c r="H11" s="24" t="n"/>
      <c r="I11" s="24" t="n"/>
      <c r="J11" s="24" t="n"/>
      <c r="K11" s="24" t="n"/>
      <c r="L11" s="26" t="n"/>
      <c r="M11" s="27">
        <f>IF(L11="","",IF(K11="GST 10%",ROUND(L11*set_GSTRate,2),0))</f>
        <v/>
      </c>
      <c r="N11" s="27">
        <f>IF(L11="","",L11+M11)</f>
        <v/>
      </c>
      <c r="O11" s="24" t="n"/>
      <c r="P11" s="24" t="n"/>
      <c r="Q11" s="24" t="n"/>
      <c r="R11" s="22" t="n"/>
      <c r="S11" s="22" t="n"/>
      <c r="T11" s="24" t="n"/>
      <c r="U11" s="24" t="n"/>
      <c r="V11" s="25">
        <f>IF(COUNTA(A11,D11,C11,L11)=0,"",IF(A11="","No date - sits outside every month",IF(E11="","No job number",IF(F11="CHECK","Job number is not in the Xero job list",IF(I11="","No cost centre",IF(AND(P11="Y",C11=""),"Marked posted to Xero but has no invoice number",IF(AND(L11&lt;&gt;"",K11=""),"No tax code",IF(AND(L11&lt;&gt;"",O11=""),"No revenue GL code",""))))))))</f>
        <v/>
      </c>
      <c r="W11" s="25">
        <f>IF(E11="","",IF(COUNTIF(tbl_Onsite[Job Number],E11&amp;"")&gt;0,"Onsite",IF(COUNTIF(tbl_Production[Job Number],E11&amp;"")&gt;0,"Production",IF(COUNTIF(tbl_Consulting[Job Number],E11&amp;"")&gt;0,"Consulting","not set up yet"))))</f>
        <v/>
      </c>
      <c r="X11" s="25">
        <f>IF(E11="","",IFERROR(INDEX(lst_JobName,MATCH(E11&amp;"",lst_Jobs,0)),""))</f>
        <v/>
      </c>
      <c r="Y11" s="28">
        <f>IF(E11="","",COUNTIFS(tbl_Finance[Job Number],E11&amp;"",tbl_Finance[Ex GST],"&lt;&gt;"))</f>
        <v/>
      </c>
      <c r="Z11" s="27">
        <f>IF(E11="","",SUMIFS(tbl_Finance[Ex GST],tbl_Finance[Job Number],E11&amp;""))</f>
        <v/>
      </c>
      <c r="AA11" s="27">
        <f>IF(E11="","",SUMIFS(tbl_Finance[Ex GST],tbl_Finance[Job Number],E11&amp;"",tbl_Finance[Xero Invoice No],"&lt;&gt;"))</f>
        <v/>
      </c>
      <c r="AB11" s="27">
        <f>IF(E11="","",Z11-AA11)</f>
        <v/>
      </c>
      <c r="AC11" s="25">
        <f>IF(E11="","",IFERROR(IF(INDEX(tbl_Onsite[Qwilr Quote],MATCH(E11&amp;"",tbl_Onsite[Job Number],0))="","",INDEX(tbl_Onsite[Qwilr Quote],MATCH(E11&amp;"",tbl_Onsite[Job Number],0))),IFERROR(IF(IF(INDEX(tbl_Production[Current RMS No],MATCH(E11&amp;"",tbl_Production[Job Number],0))="",INDEX(tbl_Production[Qwilr Quote],MATCH(E11&amp;"",tbl_Production[Job Number],0)),INDEX(tbl_Production[Current RMS No],MATCH(E11&amp;"",tbl_Production[Job Number],0)))="","",IF(INDEX(tbl_Production[Current RMS No],MATCH(E11&amp;"",tbl_Production[Job Number],0))="",INDEX(tbl_Production[Qwilr Quote],MATCH(E11&amp;"",tbl_Production[Job Number],0)),INDEX(tbl_Production[Current RMS No],MATCH(E11&amp;"",tbl_Production[Job Number],0)))),IFERROR(IF(INDEX(tbl_Consulting[Qwilr Quote],MATCH(E11&amp;"",tbl_Consulting[Job Number],0))="","",INDEX(tbl_Consulting[Qwilr Quote],MATCH(E11&amp;"",tbl_Consulting[Job Number],0))),""))))</f>
        <v/>
      </c>
      <c r="AD11" s="25">
        <f>IF(AC11="","",IF(AND(LEFT(AC11,4)&lt;&gt;"http",IF(H11="Production",set_RMSBase,set_QwilrBase)=""),"",HYPERLINK(IF(LEFT(AC11,4)="http",AC11,IF(H11="Production",set_RMSBase,set_QwilrBase)&amp;AC11),"Open")))</f>
        <v/>
      </c>
      <c r="AE11" s="27">
        <f>IF(E11="","",IFERROR(INDEX(tbl_Production[Total Expense],MATCH(E11&amp;"",tbl_Production[Job Number],0)),IFERROR(INDEX(tbl_Consulting[Total Expense],MATCH(E11&amp;"",tbl_Consulting[Job Number],0)),0)))</f>
        <v/>
      </c>
      <c r="AF11" s="27">
        <f>IF(E11="","",Z11-N(AE11))</f>
        <v/>
      </c>
      <c r="AG11" s="29">
        <f>IFERROR(AF11/Z11,"")</f>
        <v/>
      </c>
      <c r="AH11" s="25">
        <f>IF(E11="","",IFERROR(IF(INDEX(tbl_Onsite[Notes],MATCH(E11&amp;"",tbl_Onsite[Job Number],0))="","",INDEX(tbl_Onsite[Notes],MATCH(E11&amp;"",tbl_Onsite[Job Number],0))),IFERROR(IF(INDEX(tbl_Production[Notes],MATCH(E11&amp;"",tbl_Production[Job Number],0))="","",INDEX(tbl_Production[Notes],MATCH(E11&amp;"",tbl_Production[Job Number],0))),IFERROR(IF(INDEX(tbl_Consulting[Notes],MATCH(E11&amp;"",tbl_Consulting[Job Number],0))="","",INDEX(tbl_Consulting[Notes],MATCH(E11&amp;"",tbl_Consulting[Job Number],0))),""))))</f>
        <v/>
      </c>
    </row>
    <row r="12" ht="15" customHeight="1">
      <c r="A12" s="22" t="n"/>
      <c r="B12" s="23">
        <f>IF(A12="","",EOMONTH(A12,0))</f>
        <v/>
      </c>
      <c r="C12" s="24" t="n"/>
      <c r="D12" s="24" t="n"/>
      <c r="E12" s="24" t="n"/>
      <c r="F12" s="25">
        <f>IF(E12="","",IF(COUNTIF(lst_Jobs,E12&amp;"")&gt;0,"OK","CHECK"))</f>
        <v/>
      </c>
      <c r="G12" s="24" t="n"/>
      <c r="H12" s="24" t="n"/>
      <c r="I12" s="24" t="n"/>
      <c r="J12" s="24" t="n"/>
      <c r="K12" s="24" t="n"/>
      <c r="L12" s="26" t="n"/>
      <c r="M12" s="27">
        <f>IF(L12="","",IF(K12="GST 10%",ROUND(L12*set_GSTRate,2),0))</f>
        <v/>
      </c>
      <c r="N12" s="27">
        <f>IF(L12="","",L12+M12)</f>
        <v/>
      </c>
      <c r="O12" s="24" t="n"/>
      <c r="P12" s="24" t="n"/>
      <c r="Q12" s="24" t="n"/>
      <c r="R12" s="22" t="n"/>
      <c r="S12" s="22" t="n"/>
      <c r="T12" s="24" t="n"/>
      <c r="U12" s="24" t="n"/>
      <c r="V12" s="25">
        <f>IF(COUNTA(A12,D12,C12,L12)=0,"",IF(A12="","No date - sits outside every month",IF(E12="","No job number",IF(F12="CHECK","Job number is not in the Xero job list",IF(I12="","No cost centre",IF(AND(P12="Y",C12=""),"Marked posted to Xero but has no invoice number",IF(AND(L12&lt;&gt;"",K12=""),"No tax code",IF(AND(L12&lt;&gt;"",O12=""),"No revenue GL code",""))))))))</f>
        <v/>
      </c>
      <c r="W12" s="25">
        <f>IF(E12="","",IF(COUNTIF(tbl_Onsite[Job Number],E12&amp;"")&gt;0,"Onsite",IF(COUNTIF(tbl_Production[Job Number],E12&amp;"")&gt;0,"Production",IF(COUNTIF(tbl_Consulting[Job Number],E12&amp;"")&gt;0,"Consulting","not set up yet"))))</f>
        <v/>
      </c>
      <c r="X12" s="25">
        <f>IF(E12="","",IFERROR(INDEX(lst_JobName,MATCH(E12&amp;"",lst_Jobs,0)),""))</f>
        <v/>
      </c>
      <c r="Y12" s="28">
        <f>IF(E12="","",COUNTIFS(tbl_Finance[Job Number],E12&amp;"",tbl_Finance[Ex GST],"&lt;&gt;"))</f>
        <v/>
      </c>
      <c r="Z12" s="27">
        <f>IF(E12="","",SUMIFS(tbl_Finance[Ex GST],tbl_Finance[Job Number],E12&amp;""))</f>
        <v/>
      </c>
      <c r="AA12" s="27">
        <f>IF(E12="","",SUMIFS(tbl_Finance[Ex GST],tbl_Finance[Job Number],E12&amp;"",tbl_Finance[Xero Invoice No],"&lt;&gt;"))</f>
        <v/>
      </c>
      <c r="AB12" s="27">
        <f>IF(E12="","",Z12-AA12)</f>
        <v/>
      </c>
      <c r="AC12" s="25">
        <f>IF(E12="","",IFERROR(IF(INDEX(tbl_Onsite[Qwilr Quote],MATCH(E12&amp;"",tbl_Onsite[Job Number],0))="","",INDEX(tbl_Onsite[Qwilr Quote],MATCH(E12&amp;"",tbl_Onsite[Job Number],0))),IFERROR(IF(IF(INDEX(tbl_Production[Current RMS No],MATCH(E12&amp;"",tbl_Production[Job Number],0))="",INDEX(tbl_Production[Qwilr Quote],MATCH(E12&amp;"",tbl_Production[Job Number],0)),INDEX(tbl_Production[Current RMS No],MATCH(E12&amp;"",tbl_Production[Job Number],0)))="","",IF(INDEX(tbl_Production[Current RMS No],MATCH(E12&amp;"",tbl_Production[Job Number],0))="",INDEX(tbl_Production[Qwilr Quote],MATCH(E12&amp;"",tbl_Production[Job Number],0)),INDEX(tbl_Production[Current RMS No],MATCH(E12&amp;"",tbl_Production[Job Number],0)))),IFERROR(IF(INDEX(tbl_Consulting[Qwilr Quote],MATCH(E12&amp;"",tbl_Consulting[Job Number],0))="","",INDEX(tbl_Consulting[Qwilr Quote],MATCH(E12&amp;"",tbl_Consulting[Job Number],0))),""))))</f>
        <v/>
      </c>
      <c r="AD12" s="25">
        <f>IF(AC12="","",IF(AND(LEFT(AC12,4)&lt;&gt;"http",IF(H12="Production",set_RMSBase,set_QwilrBase)=""),"",HYPERLINK(IF(LEFT(AC12,4)="http",AC12,IF(H12="Production",set_RMSBase,set_QwilrBase)&amp;AC12),"Open")))</f>
        <v/>
      </c>
      <c r="AE12" s="27">
        <f>IF(E12="","",IFERROR(INDEX(tbl_Production[Total Expense],MATCH(E12&amp;"",tbl_Production[Job Number],0)),IFERROR(INDEX(tbl_Consulting[Total Expense],MATCH(E12&amp;"",tbl_Consulting[Job Number],0)),0)))</f>
        <v/>
      </c>
      <c r="AF12" s="27">
        <f>IF(E12="","",Z12-N(AE12))</f>
        <v/>
      </c>
      <c r="AG12" s="29">
        <f>IFERROR(AF12/Z12,"")</f>
        <v/>
      </c>
      <c r="AH12" s="25">
        <f>IF(E12="","",IFERROR(IF(INDEX(tbl_Onsite[Notes],MATCH(E12&amp;"",tbl_Onsite[Job Number],0))="","",INDEX(tbl_Onsite[Notes],MATCH(E12&amp;"",tbl_Onsite[Job Number],0))),IFERROR(IF(INDEX(tbl_Production[Notes],MATCH(E12&amp;"",tbl_Production[Job Number],0))="","",INDEX(tbl_Production[Notes],MATCH(E12&amp;"",tbl_Production[Job Number],0))),IFERROR(IF(INDEX(tbl_Consulting[Notes],MATCH(E12&amp;"",tbl_Consulting[Job Number],0))="","",INDEX(tbl_Consulting[Notes],MATCH(E12&amp;"",tbl_Consulting[Job Number],0))),""))))</f>
        <v/>
      </c>
    </row>
    <row r="13" ht="15" customHeight="1">
      <c r="A13" s="22" t="n"/>
      <c r="B13" s="23">
        <f>IF(A13="","",EOMONTH(A13,0))</f>
        <v/>
      </c>
      <c r="C13" s="24" t="n"/>
      <c r="D13" s="24" t="n"/>
      <c r="E13" s="24" t="n"/>
      <c r="F13" s="25">
        <f>IF(E13="","",IF(COUNTIF(lst_Jobs,E13&amp;"")&gt;0,"OK","CHECK"))</f>
        <v/>
      </c>
      <c r="G13" s="24" t="n"/>
      <c r="H13" s="24" t="n"/>
      <c r="I13" s="24" t="n"/>
      <c r="J13" s="24" t="n"/>
      <c r="K13" s="24" t="n"/>
      <c r="L13" s="26" t="n"/>
      <c r="M13" s="27">
        <f>IF(L13="","",IF(K13="GST 10%",ROUND(L13*set_GSTRate,2),0))</f>
        <v/>
      </c>
      <c r="N13" s="27">
        <f>IF(L13="","",L13+M13)</f>
        <v/>
      </c>
      <c r="O13" s="24" t="n"/>
      <c r="P13" s="24" t="n"/>
      <c r="Q13" s="24" t="n"/>
      <c r="R13" s="22" t="n"/>
      <c r="S13" s="22" t="n"/>
      <c r="T13" s="24" t="n"/>
      <c r="U13" s="24" t="n"/>
      <c r="V13" s="25">
        <f>IF(COUNTA(A13,D13,C13,L13)=0,"",IF(A13="","No date - sits outside every month",IF(E13="","No job number",IF(F13="CHECK","Job number is not in the Xero job list",IF(I13="","No cost centre",IF(AND(P13="Y",C13=""),"Marked posted to Xero but has no invoice number",IF(AND(L13&lt;&gt;"",K13=""),"No tax code",IF(AND(L13&lt;&gt;"",O13=""),"No revenue GL code",""))))))))</f>
        <v/>
      </c>
      <c r="W13" s="25">
        <f>IF(E13="","",IF(COUNTIF(tbl_Onsite[Job Number],E13&amp;"")&gt;0,"Onsite",IF(COUNTIF(tbl_Production[Job Number],E13&amp;"")&gt;0,"Production",IF(COUNTIF(tbl_Consulting[Job Number],E13&amp;"")&gt;0,"Consulting","not set up yet"))))</f>
        <v/>
      </c>
      <c r="X13" s="25">
        <f>IF(E13="","",IFERROR(INDEX(lst_JobName,MATCH(E13&amp;"",lst_Jobs,0)),""))</f>
        <v/>
      </c>
      <c r="Y13" s="28">
        <f>IF(E13="","",COUNTIFS(tbl_Finance[Job Number],E13&amp;"",tbl_Finance[Ex GST],"&lt;&gt;"))</f>
        <v/>
      </c>
      <c r="Z13" s="27">
        <f>IF(E13="","",SUMIFS(tbl_Finance[Ex GST],tbl_Finance[Job Number],E13&amp;""))</f>
        <v/>
      </c>
      <c r="AA13" s="27">
        <f>IF(E13="","",SUMIFS(tbl_Finance[Ex GST],tbl_Finance[Job Number],E13&amp;"",tbl_Finance[Xero Invoice No],"&lt;&gt;"))</f>
        <v/>
      </c>
      <c r="AB13" s="27">
        <f>IF(E13="","",Z13-AA13)</f>
        <v/>
      </c>
      <c r="AC13" s="25">
        <f>IF(E13="","",IFERROR(IF(INDEX(tbl_Onsite[Qwilr Quote],MATCH(E13&amp;"",tbl_Onsite[Job Number],0))="","",INDEX(tbl_Onsite[Qwilr Quote],MATCH(E13&amp;"",tbl_Onsite[Job Number],0))),IFERROR(IF(IF(INDEX(tbl_Production[Current RMS No],MATCH(E13&amp;"",tbl_Production[Job Number],0))="",INDEX(tbl_Production[Qwilr Quote],MATCH(E13&amp;"",tbl_Production[Job Number],0)),INDEX(tbl_Production[Current RMS No],MATCH(E13&amp;"",tbl_Production[Job Number],0)))="","",IF(INDEX(tbl_Production[Current RMS No],MATCH(E13&amp;"",tbl_Production[Job Number],0))="",INDEX(tbl_Production[Qwilr Quote],MATCH(E13&amp;"",tbl_Production[Job Number],0)),INDEX(tbl_Production[Current RMS No],MATCH(E13&amp;"",tbl_Production[Job Number],0)))),IFERROR(IF(INDEX(tbl_Consulting[Qwilr Quote],MATCH(E13&amp;"",tbl_Consulting[Job Number],0))="","",INDEX(tbl_Consulting[Qwilr Quote],MATCH(E13&amp;"",tbl_Consulting[Job Number],0))),""))))</f>
        <v/>
      </c>
      <c r="AD13" s="25">
        <f>IF(AC13="","",IF(AND(LEFT(AC13,4)&lt;&gt;"http",IF(H13="Production",set_RMSBase,set_QwilrBase)=""),"",HYPERLINK(IF(LEFT(AC13,4)="http",AC13,IF(H13="Production",set_RMSBase,set_QwilrBase)&amp;AC13),"Open")))</f>
        <v/>
      </c>
      <c r="AE13" s="27">
        <f>IF(E13="","",IFERROR(INDEX(tbl_Production[Total Expense],MATCH(E13&amp;"",tbl_Production[Job Number],0)),IFERROR(INDEX(tbl_Consulting[Total Expense],MATCH(E13&amp;"",tbl_Consulting[Job Number],0)),0)))</f>
        <v/>
      </c>
      <c r="AF13" s="27">
        <f>IF(E13="","",Z13-N(AE13))</f>
        <v/>
      </c>
      <c r="AG13" s="29">
        <f>IFERROR(AF13/Z13,"")</f>
        <v/>
      </c>
      <c r="AH13" s="25">
        <f>IF(E13="","",IFERROR(IF(INDEX(tbl_Onsite[Notes],MATCH(E13&amp;"",tbl_Onsite[Job Number],0))="","",INDEX(tbl_Onsite[Notes],MATCH(E13&amp;"",tbl_Onsite[Job Number],0))),IFERROR(IF(INDEX(tbl_Production[Notes],MATCH(E13&amp;"",tbl_Production[Job Number],0))="","",INDEX(tbl_Production[Notes],MATCH(E13&amp;"",tbl_Production[Job Number],0))),IFERROR(IF(INDEX(tbl_Consulting[Notes],MATCH(E13&amp;"",tbl_Consulting[Job Number],0))="","",INDEX(tbl_Consulting[Notes],MATCH(E13&amp;"",tbl_Consulting[Job Number],0))),""))))</f>
        <v/>
      </c>
    </row>
    <row r="14" ht="15" customHeight="1">
      <c r="A14" s="22" t="n"/>
      <c r="B14" s="23">
        <f>IF(A14="","",EOMONTH(A14,0))</f>
        <v/>
      </c>
      <c r="C14" s="24" t="n"/>
      <c r="D14" s="24" t="n"/>
      <c r="E14" s="24" t="n"/>
      <c r="F14" s="25">
        <f>IF(E14="","",IF(COUNTIF(lst_Jobs,E14&amp;"")&gt;0,"OK","CHECK"))</f>
        <v/>
      </c>
      <c r="G14" s="24" t="n"/>
      <c r="H14" s="24" t="n"/>
      <c r="I14" s="24" t="n"/>
      <c r="J14" s="24" t="n"/>
      <c r="K14" s="24" t="n"/>
      <c r="L14" s="26" t="n"/>
      <c r="M14" s="27">
        <f>IF(L14="","",IF(K14="GST 10%",ROUND(L14*set_GSTRate,2),0))</f>
        <v/>
      </c>
      <c r="N14" s="27">
        <f>IF(L14="","",L14+M14)</f>
        <v/>
      </c>
      <c r="O14" s="24" t="n"/>
      <c r="P14" s="24" t="n"/>
      <c r="Q14" s="24" t="n"/>
      <c r="R14" s="22" t="n"/>
      <c r="S14" s="22" t="n"/>
      <c r="T14" s="24" t="n"/>
      <c r="U14" s="24" t="n"/>
      <c r="V14" s="25">
        <f>IF(COUNTA(A14,D14,C14,L14)=0,"",IF(A14="","No date - sits outside every month",IF(E14="","No job number",IF(F14="CHECK","Job number is not in the Xero job list",IF(I14="","No cost centre",IF(AND(P14="Y",C14=""),"Marked posted to Xero but has no invoice number",IF(AND(L14&lt;&gt;"",K14=""),"No tax code",IF(AND(L14&lt;&gt;"",O14=""),"No revenue GL code",""))))))))</f>
        <v/>
      </c>
      <c r="W14" s="25">
        <f>IF(E14="","",IF(COUNTIF(tbl_Onsite[Job Number],E14&amp;"")&gt;0,"Onsite",IF(COUNTIF(tbl_Production[Job Number],E14&amp;"")&gt;0,"Production",IF(COUNTIF(tbl_Consulting[Job Number],E14&amp;"")&gt;0,"Consulting","not set up yet"))))</f>
        <v/>
      </c>
      <c r="X14" s="25">
        <f>IF(E14="","",IFERROR(INDEX(lst_JobName,MATCH(E14&amp;"",lst_Jobs,0)),""))</f>
        <v/>
      </c>
      <c r="Y14" s="28">
        <f>IF(E14="","",COUNTIFS(tbl_Finance[Job Number],E14&amp;"",tbl_Finance[Ex GST],"&lt;&gt;"))</f>
        <v/>
      </c>
      <c r="Z14" s="27">
        <f>IF(E14="","",SUMIFS(tbl_Finance[Ex GST],tbl_Finance[Job Number],E14&amp;""))</f>
        <v/>
      </c>
      <c r="AA14" s="27">
        <f>IF(E14="","",SUMIFS(tbl_Finance[Ex GST],tbl_Finance[Job Number],E14&amp;"",tbl_Finance[Xero Invoice No],"&lt;&gt;"))</f>
        <v/>
      </c>
      <c r="AB14" s="27">
        <f>IF(E14="","",Z14-AA14)</f>
        <v/>
      </c>
      <c r="AC14" s="25">
        <f>IF(E14="","",IFERROR(IF(INDEX(tbl_Onsite[Qwilr Quote],MATCH(E14&amp;"",tbl_Onsite[Job Number],0))="","",INDEX(tbl_Onsite[Qwilr Quote],MATCH(E14&amp;"",tbl_Onsite[Job Number],0))),IFERROR(IF(IF(INDEX(tbl_Production[Current RMS No],MATCH(E14&amp;"",tbl_Production[Job Number],0))="",INDEX(tbl_Production[Qwilr Quote],MATCH(E14&amp;"",tbl_Production[Job Number],0)),INDEX(tbl_Production[Current RMS No],MATCH(E14&amp;"",tbl_Production[Job Number],0)))="","",IF(INDEX(tbl_Production[Current RMS No],MATCH(E14&amp;"",tbl_Production[Job Number],0))="",INDEX(tbl_Production[Qwilr Quote],MATCH(E14&amp;"",tbl_Production[Job Number],0)),INDEX(tbl_Production[Current RMS No],MATCH(E14&amp;"",tbl_Production[Job Number],0)))),IFERROR(IF(INDEX(tbl_Consulting[Qwilr Quote],MATCH(E14&amp;"",tbl_Consulting[Job Number],0))="","",INDEX(tbl_Consulting[Qwilr Quote],MATCH(E14&amp;"",tbl_Consulting[Job Number],0))),""))))</f>
        <v/>
      </c>
      <c r="AD14" s="25">
        <f>IF(AC14="","",IF(AND(LEFT(AC14,4)&lt;&gt;"http",IF(H14="Production",set_RMSBase,set_QwilrBase)=""),"",HYPERLINK(IF(LEFT(AC14,4)="http",AC14,IF(H14="Production",set_RMSBase,set_QwilrBase)&amp;AC14),"Open")))</f>
        <v/>
      </c>
      <c r="AE14" s="27">
        <f>IF(E14="","",IFERROR(INDEX(tbl_Production[Total Expense],MATCH(E14&amp;"",tbl_Production[Job Number],0)),IFERROR(INDEX(tbl_Consulting[Total Expense],MATCH(E14&amp;"",tbl_Consulting[Job Number],0)),0)))</f>
        <v/>
      </c>
      <c r="AF14" s="27">
        <f>IF(E14="","",Z14-N(AE14))</f>
        <v/>
      </c>
      <c r="AG14" s="29">
        <f>IFERROR(AF14/Z14,"")</f>
        <v/>
      </c>
      <c r="AH14" s="25">
        <f>IF(E14="","",IFERROR(IF(INDEX(tbl_Onsite[Notes],MATCH(E14&amp;"",tbl_Onsite[Job Number],0))="","",INDEX(tbl_Onsite[Notes],MATCH(E14&amp;"",tbl_Onsite[Job Number],0))),IFERROR(IF(INDEX(tbl_Production[Notes],MATCH(E14&amp;"",tbl_Production[Job Number],0))="","",INDEX(tbl_Production[Notes],MATCH(E14&amp;"",tbl_Production[Job Number],0))),IFERROR(IF(INDEX(tbl_Consulting[Notes],MATCH(E14&amp;"",tbl_Consulting[Job Number],0))="","",INDEX(tbl_Consulting[Notes],MATCH(E14&amp;"",tbl_Consulting[Job Number],0))),""))))</f>
        <v/>
      </c>
    </row>
    <row r="15" ht="15" customHeight="1">
      <c r="A15" s="22" t="n"/>
      <c r="B15" s="23">
        <f>IF(A15="","",EOMONTH(A15,0))</f>
        <v/>
      </c>
      <c r="C15" s="24" t="n"/>
      <c r="D15" s="24" t="n"/>
      <c r="E15" s="24" t="n"/>
      <c r="F15" s="25">
        <f>IF(E15="","",IF(COUNTIF(lst_Jobs,E15&amp;"")&gt;0,"OK","CHECK"))</f>
        <v/>
      </c>
      <c r="G15" s="24" t="n"/>
      <c r="H15" s="24" t="n"/>
      <c r="I15" s="24" t="n"/>
      <c r="J15" s="24" t="n"/>
      <c r="K15" s="24" t="n"/>
      <c r="L15" s="26" t="n"/>
      <c r="M15" s="27">
        <f>IF(L15="","",IF(K15="GST 10%",ROUND(L15*set_GSTRate,2),0))</f>
        <v/>
      </c>
      <c r="N15" s="27">
        <f>IF(L15="","",L15+M15)</f>
        <v/>
      </c>
      <c r="O15" s="24" t="n"/>
      <c r="P15" s="24" t="n"/>
      <c r="Q15" s="24" t="n"/>
      <c r="R15" s="22" t="n"/>
      <c r="S15" s="22" t="n"/>
      <c r="T15" s="24" t="n"/>
      <c r="U15" s="24" t="n"/>
      <c r="V15" s="25">
        <f>IF(COUNTA(A15,D15,C15,L15)=0,"",IF(A15="","No date - sits outside every month",IF(E15="","No job number",IF(F15="CHECK","Job number is not in the Xero job list",IF(I15="","No cost centre",IF(AND(P15="Y",C15=""),"Marked posted to Xero but has no invoice number",IF(AND(L15&lt;&gt;"",K15=""),"No tax code",IF(AND(L15&lt;&gt;"",O15=""),"No revenue GL code",""))))))))</f>
        <v/>
      </c>
      <c r="W15" s="25">
        <f>IF(E15="","",IF(COUNTIF(tbl_Onsite[Job Number],E15&amp;"")&gt;0,"Onsite",IF(COUNTIF(tbl_Production[Job Number],E15&amp;"")&gt;0,"Production",IF(COUNTIF(tbl_Consulting[Job Number],E15&amp;"")&gt;0,"Consulting","not set up yet"))))</f>
        <v/>
      </c>
      <c r="X15" s="25">
        <f>IF(E15="","",IFERROR(INDEX(lst_JobName,MATCH(E15&amp;"",lst_Jobs,0)),""))</f>
        <v/>
      </c>
      <c r="Y15" s="28">
        <f>IF(E15="","",COUNTIFS(tbl_Finance[Job Number],E15&amp;"",tbl_Finance[Ex GST],"&lt;&gt;"))</f>
        <v/>
      </c>
      <c r="Z15" s="27">
        <f>IF(E15="","",SUMIFS(tbl_Finance[Ex GST],tbl_Finance[Job Number],E15&amp;""))</f>
        <v/>
      </c>
      <c r="AA15" s="27">
        <f>IF(E15="","",SUMIFS(tbl_Finance[Ex GST],tbl_Finance[Job Number],E15&amp;"",tbl_Finance[Xero Invoice No],"&lt;&gt;"))</f>
        <v/>
      </c>
      <c r="AB15" s="27">
        <f>IF(E15="","",Z15-AA15)</f>
        <v/>
      </c>
      <c r="AC15" s="25">
        <f>IF(E15="","",IFERROR(IF(INDEX(tbl_Onsite[Qwilr Quote],MATCH(E15&amp;"",tbl_Onsite[Job Number],0))="","",INDEX(tbl_Onsite[Qwilr Quote],MATCH(E15&amp;"",tbl_Onsite[Job Number],0))),IFERROR(IF(IF(INDEX(tbl_Production[Current RMS No],MATCH(E15&amp;"",tbl_Production[Job Number],0))="",INDEX(tbl_Production[Qwilr Quote],MATCH(E15&amp;"",tbl_Production[Job Number],0)),INDEX(tbl_Production[Current RMS No],MATCH(E15&amp;"",tbl_Production[Job Number],0)))="","",IF(INDEX(tbl_Production[Current RMS No],MATCH(E15&amp;"",tbl_Production[Job Number],0))="",INDEX(tbl_Production[Qwilr Quote],MATCH(E15&amp;"",tbl_Production[Job Number],0)),INDEX(tbl_Production[Current RMS No],MATCH(E15&amp;"",tbl_Production[Job Number],0)))),IFERROR(IF(INDEX(tbl_Consulting[Qwilr Quote],MATCH(E15&amp;"",tbl_Consulting[Job Number],0))="","",INDEX(tbl_Consulting[Qwilr Quote],MATCH(E15&amp;"",tbl_Consulting[Job Number],0))),""))))</f>
        <v/>
      </c>
      <c r="AD15" s="25">
        <f>IF(AC15="","",IF(AND(LEFT(AC15,4)&lt;&gt;"http",IF(H15="Production",set_RMSBase,set_QwilrBase)=""),"",HYPERLINK(IF(LEFT(AC15,4)="http",AC15,IF(H15="Production",set_RMSBase,set_QwilrBase)&amp;AC15),"Open")))</f>
        <v/>
      </c>
      <c r="AE15" s="27">
        <f>IF(E15="","",IFERROR(INDEX(tbl_Production[Total Expense],MATCH(E15&amp;"",tbl_Production[Job Number],0)),IFERROR(INDEX(tbl_Consulting[Total Expense],MATCH(E15&amp;"",tbl_Consulting[Job Number],0)),0)))</f>
        <v/>
      </c>
      <c r="AF15" s="27">
        <f>IF(E15="","",Z15-N(AE15))</f>
        <v/>
      </c>
      <c r="AG15" s="29">
        <f>IFERROR(AF15/Z15,"")</f>
        <v/>
      </c>
      <c r="AH15" s="25">
        <f>IF(E15="","",IFERROR(IF(INDEX(tbl_Onsite[Notes],MATCH(E15&amp;"",tbl_Onsite[Job Number],0))="","",INDEX(tbl_Onsite[Notes],MATCH(E15&amp;"",tbl_Onsite[Job Number],0))),IFERROR(IF(INDEX(tbl_Production[Notes],MATCH(E15&amp;"",tbl_Production[Job Number],0))="","",INDEX(tbl_Production[Notes],MATCH(E15&amp;"",tbl_Production[Job Number],0))),IFERROR(IF(INDEX(tbl_Consulting[Notes],MATCH(E15&amp;"",tbl_Consulting[Job Number],0))="","",INDEX(tbl_Consulting[Notes],MATCH(E15&amp;"",tbl_Consulting[Job Number],0))),""))))</f>
        <v/>
      </c>
    </row>
    <row r="16" ht="15" customHeight="1">
      <c r="A16" s="22" t="n"/>
      <c r="B16" s="23">
        <f>IF(A16="","",EOMONTH(A16,0))</f>
        <v/>
      </c>
      <c r="C16" s="24" t="n"/>
      <c r="D16" s="24" t="n"/>
      <c r="E16" s="24" t="n"/>
      <c r="F16" s="25">
        <f>IF(E16="","",IF(COUNTIF(lst_Jobs,E16&amp;"")&gt;0,"OK","CHECK"))</f>
        <v/>
      </c>
      <c r="G16" s="24" t="n"/>
      <c r="H16" s="24" t="n"/>
      <c r="I16" s="24" t="n"/>
      <c r="J16" s="24" t="n"/>
      <c r="K16" s="24" t="n"/>
      <c r="L16" s="26" t="n"/>
      <c r="M16" s="27">
        <f>IF(L16="","",IF(K16="GST 10%",ROUND(L16*set_GSTRate,2),0))</f>
        <v/>
      </c>
      <c r="N16" s="27">
        <f>IF(L16="","",L16+M16)</f>
        <v/>
      </c>
      <c r="O16" s="24" t="n"/>
      <c r="P16" s="24" t="n"/>
      <c r="Q16" s="24" t="n"/>
      <c r="R16" s="22" t="n"/>
      <c r="S16" s="22" t="n"/>
      <c r="T16" s="24" t="n"/>
      <c r="U16" s="24" t="n"/>
      <c r="V16" s="25">
        <f>IF(COUNTA(A16,D16,C16,L16)=0,"",IF(A16="","No date - sits outside every month",IF(E16="","No job number",IF(F16="CHECK","Job number is not in the Xero job list",IF(I16="","No cost centre",IF(AND(P16="Y",C16=""),"Marked posted to Xero but has no invoice number",IF(AND(L16&lt;&gt;"",K16=""),"No tax code",IF(AND(L16&lt;&gt;"",O16=""),"No revenue GL code",""))))))))</f>
        <v/>
      </c>
      <c r="W16" s="25">
        <f>IF(E16="","",IF(COUNTIF(tbl_Onsite[Job Number],E16&amp;"")&gt;0,"Onsite",IF(COUNTIF(tbl_Production[Job Number],E16&amp;"")&gt;0,"Production",IF(COUNTIF(tbl_Consulting[Job Number],E16&amp;"")&gt;0,"Consulting","not set up yet"))))</f>
        <v/>
      </c>
      <c r="X16" s="25">
        <f>IF(E16="","",IFERROR(INDEX(lst_JobName,MATCH(E16&amp;"",lst_Jobs,0)),""))</f>
        <v/>
      </c>
      <c r="Y16" s="28">
        <f>IF(E16="","",COUNTIFS(tbl_Finance[Job Number],E16&amp;"",tbl_Finance[Ex GST],"&lt;&gt;"))</f>
        <v/>
      </c>
      <c r="Z16" s="27">
        <f>IF(E16="","",SUMIFS(tbl_Finance[Ex GST],tbl_Finance[Job Number],E16&amp;""))</f>
        <v/>
      </c>
      <c r="AA16" s="27">
        <f>IF(E16="","",SUMIFS(tbl_Finance[Ex GST],tbl_Finance[Job Number],E16&amp;"",tbl_Finance[Xero Invoice No],"&lt;&gt;"))</f>
        <v/>
      </c>
      <c r="AB16" s="27">
        <f>IF(E16="","",Z16-AA16)</f>
        <v/>
      </c>
      <c r="AC16" s="25">
        <f>IF(E16="","",IFERROR(IF(INDEX(tbl_Onsite[Qwilr Quote],MATCH(E16&amp;"",tbl_Onsite[Job Number],0))="","",INDEX(tbl_Onsite[Qwilr Quote],MATCH(E16&amp;"",tbl_Onsite[Job Number],0))),IFERROR(IF(IF(INDEX(tbl_Production[Current RMS No],MATCH(E16&amp;"",tbl_Production[Job Number],0))="",INDEX(tbl_Production[Qwilr Quote],MATCH(E16&amp;"",tbl_Production[Job Number],0)),INDEX(tbl_Production[Current RMS No],MATCH(E16&amp;"",tbl_Production[Job Number],0)))="","",IF(INDEX(tbl_Production[Current RMS No],MATCH(E16&amp;"",tbl_Production[Job Number],0))="",INDEX(tbl_Production[Qwilr Quote],MATCH(E16&amp;"",tbl_Production[Job Number],0)),INDEX(tbl_Production[Current RMS No],MATCH(E16&amp;"",tbl_Production[Job Number],0)))),IFERROR(IF(INDEX(tbl_Consulting[Qwilr Quote],MATCH(E16&amp;"",tbl_Consulting[Job Number],0))="","",INDEX(tbl_Consulting[Qwilr Quote],MATCH(E16&amp;"",tbl_Consulting[Job Number],0))),""))))</f>
        <v/>
      </c>
      <c r="AD16" s="25">
        <f>IF(AC16="","",IF(AND(LEFT(AC16,4)&lt;&gt;"http",IF(H16="Production",set_RMSBase,set_QwilrBase)=""),"",HYPERLINK(IF(LEFT(AC16,4)="http",AC16,IF(H16="Production",set_RMSBase,set_QwilrBase)&amp;AC16),"Open")))</f>
        <v/>
      </c>
      <c r="AE16" s="27">
        <f>IF(E16="","",IFERROR(INDEX(tbl_Production[Total Expense],MATCH(E16&amp;"",tbl_Production[Job Number],0)),IFERROR(INDEX(tbl_Consulting[Total Expense],MATCH(E16&amp;"",tbl_Consulting[Job Number],0)),0)))</f>
        <v/>
      </c>
      <c r="AF16" s="27">
        <f>IF(E16="","",Z16-N(AE16))</f>
        <v/>
      </c>
      <c r="AG16" s="29">
        <f>IFERROR(AF16/Z16,"")</f>
        <v/>
      </c>
      <c r="AH16" s="25">
        <f>IF(E16="","",IFERROR(IF(INDEX(tbl_Onsite[Notes],MATCH(E16&amp;"",tbl_Onsite[Job Number],0))="","",INDEX(tbl_Onsite[Notes],MATCH(E16&amp;"",tbl_Onsite[Job Number],0))),IFERROR(IF(INDEX(tbl_Production[Notes],MATCH(E16&amp;"",tbl_Production[Job Number],0))="","",INDEX(tbl_Production[Notes],MATCH(E16&amp;"",tbl_Production[Job Number],0))),IFERROR(IF(INDEX(tbl_Consulting[Notes],MATCH(E16&amp;"",tbl_Consulting[Job Number],0))="","",INDEX(tbl_Consulting[Notes],MATCH(E16&amp;"",tbl_Consulting[Job Number],0))),""))))</f>
        <v/>
      </c>
    </row>
    <row r="17" ht="15" customHeight="1">
      <c r="A17" s="22" t="n"/>
      <c r="B17" s="23">
        <f>IF(A17="","",EOMONTH(A17,0))</f>
        <v/>
      </c>
      <c r="C17" s="24" t="n"/>
      <c r="D17" s="24" t="n"/>
      <c r="E17" s="24" t="n"/>
      <c r="F17" s="25">
        <f>IF(E17="","",IF(COUNTIF(lst_Jobs,E17&amp;"")&gt;0,"OK","CHECK"))</f>
        <v/>
      </c>
      <c r="G17" s="24" t="n"/>
      <c r="H17" s="24" t="n"/>
      <c r="I17" s="24" t="n"/>
      <c r="J17" s="24" t="n"/>
      <c r="K17" s="24" t="n"/>
      <c r="L17" s="26" t="n"/>
      <c r="M17" s="27">
        <f>IF(L17="","",IF(K17="GST 10%",ROUND(L17*set_GSTRate,2),0))</f>
        <v/>
      </c>
      <c r="N17" s="27">
        <f>IF(L17="","",L17+M17)</f>
        <v/>
      </c>
      <c r="O17" s="24" t="n"/>
      <c r="P17" s="24" t="n"/>
      <c r="Q17" s="24" t="n"/>
      <c r="R17" s="22" t="n"/>
      <c r="S17" s="22" t="n"/>
      <c r="T17" s="24" t="n"/>
      <c r="U17" s="24" t="n"/>
      <c r="V17" s="25">
        <f>IF(COUNTA(A17,D17,C17,L17)=0,"",IF(A17="","No date - sits outside every month",IF(E17="","No job number",IF(F17="CHECK","Job number is not in the Xero job list",IF(I17="","No cost centre",IF(AND(P17="Y",C17=""),"Marked posted to Xero but has no invoice number",IF(AND(L17&lt;&gt;"",K17=""),"No tax code",IF(AND(L17&lt;&gt;"",O17=""),"No revenue GL code",""))))))))</f>
        <v/>
      </c>
      <c r="W17" s="25">
        <f>IF(E17="","",IF(COUNTIF(tbl_Onsite[Job Number],E17&amp;"")&gt;0,"Onsite",IF(COUNTIF(tbl_Production[Job Number],E17&amp;"")&gt;0,"Production",IF(COUNTIF(tbl_Consulting[Job Number],E17&amp;"")&gt;0,"Consulting","not set up yet"))))</f>
        <v/>
      </c>
      <c r="X17" s="25">
        <f>IF(E17="","",IFERROR(INDEX(lst_JobName,MATCH(E17&amp;"",lst_Jobs,0)),""))</f>
        <v/>
      </c>
      <c r="Y17" s="28">
        <f>IF(E17="","",COUNTIFS(tbl_Finance[Job Number],E17&amp;"",tbl_Finance[Ex GST],"&lt;&gt;"))</f>
        <v/>
      </c>
      <c r="Z17" s="27">
        <f>IF(E17="","",SUMIFS(tbl_Finance[Ex GST],tbl_Finance[Job Number],E17&amp;""))</f>
        <v/>
      </c>
      <c r="AA17" s="27">
        <f>IF(E17="","",SUMIFS(tbl_Finance[Ex GST],tbl_Finance[Job Number],E17&amp;"",tbl_Finance[Xero Invoice No],"&lt;&gt;"))</f>
        <v/>
      </c>
      <c r="AB17" s="27">
        <f>IF(E17="","",Z17-AA17)</f>
        <v/>
      </c>
      <c r="AC17" s="25">
        <f>IF(E17="","",IFERROR(IF(INDEX(tbl_Onsite[Qwilr Quote],MATCH(E17&amp;"",tbl_Onsite[Job Number],0))="","",INDEX(tbl_Onsite[Qwilr Quote],MATCH(E17&amp;"",tbl_Onsite[Job Number],0))),IFERROR(IF(IF(INDEX(tbl_Production[Current RMS No],MATCH(E17&amp;"",tbl_Production[Job Number],0))="",INDEX(tbl_Production[Qwilr Quote],MATCH(E17&amp;"",tbl_Production[Job Number],0)),INDEX(tbl_Production[Current RMS No],MATCH(E17&amp;"",tbl_Production[Job Number],0)))="","",IF(INDEX(tbl_Production[Current RMS No],MATCH(E17&amp;"",tbl_Production[Job Number],0))="",INDEX(tbl_Production[Qwilr Quote],MATCH(E17&amp;"",tbl_Production[Job Number],0)),INDEX(tbl_Production[Current RMS No],MATCH(E17&amp;"",tbl_Production[Job Number],0)))),IFERROR(IF(INDEX(tbl_Consulting[Qwilr Quote],MATCH(E17&amp;"",tbl_Consulting[Job Number],0))="","",INDEX(tbl_Consulting[Qwilr Quote],MATCH(E17&amp;"",tbl_Consulting[Job Number],0))),""))))</f>
        <v/>
      </c>
      <c r="AD17" s="25">
        <f>IF(AC17="","",IF(AND(LEFT(AC17,4)&lt;&gt;"http",IF(H17="Production",set_RMSBase,set_QwilrBase)=""),"",HYPERLINK(IF(LEFT(AC17,4)="http",AC17,IF(H17="Production",set_RMSBase,set_QwilrBase)&amp;AC17),"Open")))</f>
        <v/>
      </c>
      <c r="AE17" s="27">
        <f>IF(E17="","",IFERROR(INDEX(tbl_Production[Total Expense],MATCH(E17&amp;"",tbl_Production[Job Number],0)),IFERROR(INDEX(tbl_Consulting[Total Expense],MATCH(E17&amp;"",tbl_Consulting[Job Number],0)),0)))</f>
        <v/>
      </c>
      <c r="AF17" s="27">
        <f>IF(E17="","",Z17-N(AE17))</f>
        <v/>
      </c>
      <c r="AG17" s="29">
        <f>IFERROR(AF17/Z17,"")</f>
        <v/>
      </c>
      <c r="AH17" s="25">
        <f>IF(E17="","",IFERROR(IF(INDEX(tbl_Onsite[Notes],MATCH(E17&amp;"",tbl_Onsite[Job Number],0))="","",INDEX(tbl_Onsite[Notes],MATCH(E17&amp;"",tbl_Onsite[Job Number],0))),IFERROR(IF(INDEX(tbl_Production[Notes],MATCH(E17&amp;"",tbl_Production[Job Number],0))="","",INDEX(tbl_Production[Notes],MATCH(E17&amp;"",tbl_Production[Job Number],0))),IFERROR(IF(INDEX(tbl_Consulting[Notes],MATCH(E17&amp;"",tbl_Consulting[Job Number],0))="","",INDEX(tbl_Consulting[Notes],MATCH(E17&amp;"",tbl_Consulting[Job Number],0))),""))))</f>
        <v/>
      </c>
    </row>
    <row r="18" ht="15" customHeight="1">
      <c r="A18" s="22" t="n"/>
      <c r="B18" s="23">
        <f>IF(A18="","",EOMONTH(A18,0))</f>
        <v/>
      </c>
      <c r="C18" s="24" t="n"/>
      <c r="D18" s="24" t="n"/>
      <c r="E18" s="24" t="n"/>
      <c r="F18" s="25">
        <f>IF(E18="","",IF(COUNTIF(lst_Jobs,E18&amp;"")&gt;0,"OK","CHECK"))</f>
        <v/>
      </c>
      <c r="G18" s="24" t="n"/>
      <c r="H18" s="24" t="n"/>
      <c r="I18" s="24" t="n"/>
      <c r="J18" s="24" t="n"/>
      <c r="K18" s="24" t="n"/>
      <c r="L18" s="26" t="n"/>
      <c r="M18" s="27">
        <f>IF(L18="","",IF(K18="GST 10%",ROUND(L18*set_GSTRate,2),0))</f>
        <v/>
      </c>
      <c r="N18" s="27">
        <f>IF(L18="","",L18+M18)</f>
        <v/>
      </c>
      <c r="O18" s="24" t="n"/>
      <c r="P18" s="24" t="n"/>
      <c r="Q18" s="24" t="n"/>
      <c r="R18" s="22" t="n"/>
      <c r="S18" s="22" t="n"/>
      <c r="T18" s="24" t="n"/>
      <c r="U18" s="24" t="n"/>
      <c r="V18" s="25">
        <f>IF(COUNTA(A18,D18,C18,L18)=0,"",IF(A18="","No date - sits outside every month",IF(E18="","No job number",IF(F18="CHECK","Job number is not in the Xero job list",IF(I18="","No cost centre",IF(AND(P18="Y",C18=""),"Marked posted to Xero but has no invoice number",IF(AND(L18&lt;&gt;"",K18=""),"No tax code",IF(AND(L18&lt;&gt;"",O18=""),"No revenue GL code",""))))))))</f>
        <v/>
      </c>
      <c r="W18" s="25">
        <f>IF(E18="","",IF(COUNTIF(tbl_Onsite[Job Number],E18&amp;"")&gt;0,"Onsite",IF(COUNTIF(tbl_Production[Job Number],E18&amp;"")&gt;0,"Production",IF(COUNTIF(tbl_Consulting[Job Number],E18&amp;"")&gt;0,"Consulting","not set up yet"))))</f>
        <v/>
      </c>
      <c r="X18" s="25">
        <f>IF(E18="","",IFERROR(INDEX(lst_JobName,MATCH(E18&amp;"",lst_Jobs,0)),""))</f>
        <v/>
      </c>
      <c r="Y18" s="28">
        <f>IF(E18="","",COUNTIFS(tbl_Finance[Job Number],E18&amp;"",tbl_Finance[Ex GST],"&lt;&gt;"))</f>
        <v/>
      </c>
      <c r="Z18" s="27">
        <f>IF(E18="","",SUMIFS(tbl_Finance[Ex GST],tbl_Finance[Job Number],E18&amp;""))</f>
        <v/>
      </c>
      <c r="AA18" s="27">
        <f>IF(E18="","",SUMIFS(tbl_Finance[Ex GST],tbl_Finance[Job Number],E18&amp;"",tbl_Finance[Xero Invoice No],"&lt;&gt;"))</f>
        <v/>
      </c>
      <c r="AB18" s="27">
        <f>IF(E18="","",Z18-AA18)</f>
        <v/>
      </c>
      <c r="AC18" s="25">
        <f>IF(E18="","",IFERROR(IF(INDEX(tbl_Onsite[Qwilr Quote],MATCH(E18&amp;"",tbl_Onsite[Job Number],0))="","",INDEX(tbl_Onsite[Qwilr Quote],MATCH(E18&amp;"",tbl_Onsite[Job Number],0))),IFERROR(IF(IF(INDEX(tbl_Production[Current RMS No],MATCH(E18&amp;"",tbl_Production[Job Number],0))="",INDEX(tbl_Production[Qwilr Quote],MATCH(E18&amp;"",tbl_Production[Job Number],0)),INDEX(tbl_Production[Current RMS No],MATCH(E18&amp;"",tbl_Production[Job Number],0)))="","",IF(INDEX(tbl_Production[Current RMS No],MATCH(E18&amp;"",tbl_Production[Job Number],0))="",INDEX(tbl_Production[Qwilr Quote],MATCH(E18&amp;"",tbl_Production[Job Number],0)),INDEX(tbl_Production[Current RMS No],MATCH(E18&amp;"",tbl_Production[Job Number],0)))),IFERROR(IF(INDEX(tbl_Consulting[Qwilr Quote],MATCH(E18&amp;"",tbl_Consulting[Job Number],0))="","",INDEX(tbl_Consulting[Qwilr Quote],MATCH(E18&amp;"",tbl_Consulting[Job Number],0))),""))))</f>
        <v/>
      </c>
      <c r="AD18" s="25">
        <f>IF(AC18="","",IF(AND(LEFT(AC18,4)&lt;&gt;"http",IF(H18="Production",set_RMSBase,set_QwilrBase)=""),"",HYPERLINK(IF(LEFT(AC18,4)="http",AC18,IF(H18="Production",set_RMSBase,set_QwilrBase)&amp;AC18),"Open")))</f>
        <v/>
      </c>
      <c r="AE18" s="27">
        <f>IF(E18="","",IFERROR(INDEX(tbl_Production[Total Expense],MATCH(E18&amp;"",tbl_Production[Job Number],0)),IFERROR(INDEX(tbl_Consulting[Total Expense],MATCH(E18&amp;"",tbl_Consulting[Job Number],0)),0)))</f>
        <v/>
      </c>
      <c r="AF18" s="27">
        <f>IF(E18="","",Z18-N(AE18))</f>
        <v/>
      </c>
      <c r="AG18" s="29">
        <f>IFERROR(AF18/Z18,"")</f>
        <v/>
      </c>
      <c r="AH18" s="25">
        <f>IF(E18="","",IFERROR(IF(INDEX(tbl_Onsite[Notes],MATCH(E18&amp;"",tbl_Onsite[Job Number],0))="","",INDEX(tbl_Onsite[Notes],MATCH(E18&amp;"",tbl_Onsite[Job Number],0))),IFERROR(IF(INDEX(tbl_Production[Notes],MATCH(E18&amp;"",tbl_Production[Job Number],0))="","",INDEX(tbl_Production[Notes],MATCH(E18&amp;"",tbl_Production[Job Number],0))),IFERROR(IF(INDEX(tbl_Consulting[Notes],MATCH(E18&amp;"",tbl_Consulting[Job Number],0))="","",INDEX(tbl_Consulting[Notes],MATCH(E18&amp;"",tbl_Consulting[Job Number],0))),""))))</f>
        <v/>
      </c>
    </row>
    <row r="19" ht="15" customHeight="1">
      <c r="A19" s="22" t="n"/>
      <c r="B19" s="23">
        <f>IF(A19="","",EOMONTH(A19,0))</f>
        <v/>
      </c>
      <c r="C19" s="24" t="n"/>
      <c r="D19" s="24" t="n"/>
      <c r="E19" s="24" t="n"/>
      <c r="F19" s="25">
        <f>IF(E19="","",IF(COUNTIF(lst_Jobs,E19&amp;"")&gt;0,"OK","CHECK"))</f>
        <v/>
      </c>
      <c r="G19" s="24" t="n"/>
      <c r="H19" s="24" t="n"/>
      <c r="I19" s="24" t="n"/>
      <c r="J19" s="24" t="n"/>
      <c r="K19" s="24" t="n"/>
      <c r="L19" s="26" t="n"/>
      <c r="M19" s="27">
        <f>IF(L19="","",IF(K19="GST 10%",ROUND(L19*set_GSTRate,2),0))</f>
        <v/>
      </c>
      <c r="N19" s="27">
        <f>IF(L19="","",L19+M19)</f>
        <v/>
      </c>
      <c r="O19" s="24" t="n"/>
      <c r="P19" s="24" t="n"/>
      <c r="Q19" s="24" t="n"/>
      <c r="R19" s="22" t="n"/>
      <c r="S19" s="22" t="n"/>
      <c r="T19" s="24" t="n"/>
      <c r="U19" s="24" t="n"/>
      <c r="V19" s="25">
        <f>IF(COUNTA(A19,D19,C19,L19)=0,"",IF(A19="","No date - sits outside every month",IF(E19="","No job number",IF(F19="CHECK","Job number is not in the Xero job list",IF(I19="","No cost centre",IF(AND(P19="Y",C19=""),"Marked posted to Xero but has no invoice number",IF(AND(L19&lt;&gt;"",K19=""),"No tax code",IF(AND(L19&lt;&gt;"",O19=""),"No revenue GL code",""))))))))</f>
        <v/>
      </c>
      <c r="W19" s="25">
        <f>IF(E19="","",IF(COUNTIF(tbl_Onsite[Job Number],E19&amp;"")&gt;0,"Onsite",IF(COUNTIF(tbl_Production[Job Number],E19&amp;"")&gt;0,"Production",IF(COUNTIF(tbl_Consulting[Job Number],E19&amp;"")&gt;0,"Consulting","not set up yet"))))</f>
        <v/>
      </c>
      <c r="X19" s="25">
        <f>IF(E19="","",IFERROR(INDEX(lst_JobName,MATCH(E19&amp;"",lst_Jobs,0)),""))</f>
        <v/>
      </c>
      <c r="Y19" s="28">
        <f>IF(E19="","",COUNTIFS(tbl_Finance[Job Number],E19&amp;"",tbl_Finance[Ex GST],"&lt;&gt;"))</f>
        <v/>
      </c>
      <c r="Z19" s="27">
        <f>IF(E19="","",SUMIFS(tbl_Finance[Ex GST],tbl_Finance[Job Number],E19&amp;""))</f>
        <v/>
      </c>
      <c r="AA19" s="27">
        <f>IF(E19="","",SUMIFS(tbl_Finance[Ex GST],tbl_Finance[Job Number],E19&amp;"",tbl_Finance[Xero Invoice No],"&lt;&gt;"))</f>
        <v/>
      </c>
      <c r="AB19" s="27">
        <f>IF(E19="","",Z19-AA19)</f>
        <v/>
      </c>
      <c r="AC19" s="25">
        <f>IF(E19="","",IFERROR(IF(INDEX(tbl_Onsite[Qwilr Quote],MATCH(E19&amp;"",tbl_Onsite[Job Number],0))="","",INDEX(tbl_Onsite[Qwilr Quote],MATCH(E19&amp;"",tbl_Onsite[Job Number],0))),IFERROR(IF(IF(INDEX(tbl_Production[Current RMS No],MATCH(E19&amp;"",tbl_Production[Job Number],0))="",INDEX(tbl_Production[Qwilr Quote],MATCH(E19&amp;"",tbl_Production[Job Number],0)),INDEX(tbl_Production[Current RMS No],MATCH(E19&amp;"",tbl_Production[Job Number],0)))="","",IF(INDEX(tbl_Production[Current RMS No],MATCH(E19&amp;"",tbl_Production[Job Number],0))="",INDEX(tbl_Production[Qwilr Quote],MATCH(E19&amp;"",tbl_Production[Job Number],0)),INDEX(tbl_Production[Current RMS No],MATCH(E19&amp;"",tbl_Production[Job Number],0)))),IFERROR(IF(INDEX(tbl_Consulting[Qwilr Quote],MATCH(E19&amp;"",tbl_Consulting[Job Number],0))="","",INDEX(tbl_Consulting[Qwilr Quote],MATCH(E19&amp;"",tbl_Consulting[Job Number],0))),""))))</f>
        <v/>
      </c>
      <c r="AD19" s="25">
        <f>IF(AC19="","",IF(AND(LEFT(AC19,4)&lt;&gt;"http",IF(H19="Production",set_RMSBase,set_QwilrBase)=""),"",HYPERLINK(IF(LEFT(AC19,4)="http",AC19,IF(H19="Production",set_RMSBase,set_QwilrBase)&amp;AC19),"Open")))</f>
        <v/>
      </c>
      <c r="AE19" s="27">
        <f>IF(E19="","",IFERROR(INDEX(tbl_Production[Total Expense],MATCH(E19&amp;"",tbl_Production[Job Number],0)),IFERROR(INDEX(tbl_Consulting[Total Expense],MATCH(E19&amp;"",tbl_Consulting[Job Number],0)),0)))</f>
        <v/>
      </c>
      <c r="AF19" s="27">
        <f>IF(E19="","",Z19-N(AE19))</f>
        <v/>
      </c>
      <c r="AG19" s="29">
        <f>IFERROR(AF19/Z19,"")</f>
        <v/>
      </c>
      <c r="AH19" s="25">
        <f>IF(E19="","",IFERROR(IF(INDEX(tbl_Onsite[Notes],MATCH(E19&amp;"",tbl_Onsite[Job Number],0))="","",INDEX(tbl_Onsite[Notes],MATCH(E19&amp;"",tbl_Onsite[Job Number],0))),IFERROR(IF(INDEX(tbl_Production[Notes],MATCH(E19&amp;"",tbl_Production[Job Number],0))="","",INDEX(tbl_Production[Notes],MATCH(E19&amp;"",tbl_Production[Job Number],0))),IFERROR(IF(INDEX(tbl_Consulting[Notes],MATCH(E19&amp;"",tbl_Consulting[Job Number],0))="","",INDEX(tbl_Consulting[Notes],MATCH(E19&amp;"",tbl_Consulting[Job Number],0))),""))))</f>
        <v/>
      </c>
    </row>
    <row r="20" ht="15" customHeight="1">
      <c r="A20" s="22" t="n"/>
      <c r="B20" s="23">
        <f>IF(A20="","",EOMONTH(A20,0))</f>
        <v/>
      </c>
      <c r="C20" s="24" t="n"/>
      <c r="D20" s="24" t="n"/>
      <c r="E20" s="24" t="n"/>
      <c r="F20" s="25">
        <f>IF(E20="","",IF(COUNTIF(lst_Jobs,E20&amp;"")&gt;0,"OK","CHECK"))</f>
        <v/>
      </c>
      <c r="G20" s="24" t="n"/>
      <c r="H20" s="24" t="n"/>
      <c r="I20" s="24" t="n"/>
      <c r="J20" s="24" t="n"/>
      <c r="K20" s="24" t="n"/>
      <c r="L20" s="26" t="n"/>
      <c r="M20" s="27">
        <f>IF(L20="","",IF(K20="GST 10%",ROUND(L20*set_GSTRate,2),0))</f>
        <v/>
      </c>
      <c r="N20" s="27">
        <f>IF(L20="","",L20+M20)</f>
        <v/>
      </c>
      <c r="O20" s="24" t="n"/>
      <c r="P20" s="24" t="n"/>
      <c r="Q20" s="24" t="n"/>
      <c r="R20" s="22" t="n"/>
      <c r="S20" s="22" t="n"/>
      <c r="T20" s="24" t="n"/>
      <c r="U20" s="24" t="n"/>
      <c r="V20" s="25">
        <f>IF(COUNTA(A20,D20,C20,L20)=0,"",IF(A20="","No date - sits outside every month",IF(E20="","No job number",IF(F20="CHECK","Job number is not in the Xero job list",IF(I20="","No cost centre",IF(AND(P20="Y",C20=""),"Marked posted to Xero but has no invoice number",IF(AND(L20&lt;&gt;"",K20=""),"No tax code",IF(AND(L20&lt;&gt;"",O20=""),"No revenue GL code",""))))))))</f>
        <v/>
      </c>
      <c r="W20" s="25">
        <f>IF(E20="","",IF(COUNTIF(tbl_Onsite[Job Number],E20&amp;"")&gt;0,"Onsite",IF(COUNTIF(tbl_Production[Job Number],E20&amp;"")&gt;0,"Production",IF(COUNTIF(tbl_Consulting[Job Number],E20&amp;"")&gt;0,"Consulting","not set up yet"))))</f>
        <v/>
      </c>
      <c r="X20" s="25">
        <f>IF(E20="","",IFERROR(INDEX(lst_JobName,MATCH(E20&amp;"",lst_Jobs,0)),""))</f>
        <v/>
      </c>
      <c r="Y20" s="28">
        <f>IF(E20="","",COUNTIFS(tbl_Finance[Job Number],E20&amp;"",tbl_Finance[Ex GST],"&lt;&gt;"))</f>
        <v/>
      </c>
      <c r="Z20" s="27">
        <f>IF(E20="","",SUMIFS(tbl_Finance[Ex GST],tbl_Finance[Job Number],E20&amp;""))</f>
        <v/>
      </c>
      <c r="AA20" s="27">
        <f>IF(E20="","",SUMIFS(tbl_Finance[Ex GST],tbl_Finance[Job Number],E20&amp;"",tbl_Finance[Xero Invoice No],"&lt;&gt;"))</f>
        <v/>
      </c>
      <c r="AB20" s="27">
        <f>IF(E20="","",Z20-AA20)</f>
        <v/>
      </c>
      <c r="AC20" s="25">
        <f>IF(E20="","",IFERROR(IF(INDEX(tbl_Onsite[Qwilr Quote],MATCH(E20&amp;"",tbl_Onsite[Job Number],0))="","",INDEX(tbl_Onsite[Qwilr Quote],MATCH(E20&amp;"",tbl_Onsite[Job Number],0))),IFERROR(IF(IF(INDEX(tbl_Production[Current RMS No],MATCH(E20&amp;"",tbl_Production[Job Number],0))="",INDEX(tbl_Production[Qwilr Quote],MATCH(E20&amp;"",tbl_Production[Job Number],0)),INDEX(tbl_Production[Current RMS No],MATCH(E20&amp;"",tbl_Production[Job Number],0)))="","",IF(INDEX(tbl_Production[Current RMS No],MATCH(E20&amp;"",tbl_Production[Job Number],0))="",INDEX(tbl_Production[Qwilr Quote],MATCH(E20&amp;"",tbl_Production[Job Number],0)),INDEX(tbl_Production[Current RMS No],MATCH(E20&amp;"",tbl_Production[Job Number],0)))),IFERROR(IF(INDEX(tbl_Consulting[Qwilr Quote],MATCH(E20&amp;"",tbl_Consulting[Job Number],0))="","",INDEX(tbl_Consulting[Qwilr Quote],MATCH(E20&amp;"",tbl_Consulting[Job Number],0))),""))))</f>
        <v/>
      </c>
      <c r="AD20" s="25">
        <f>IF(AC20="","",IF(AND(LEFT(AC20,4)&lt;&gt;"http",IF(H20="Production",set_RMSBase,set_QwilrBase)=""),"",HYPERLINK(IF(LEFT(AC20,4)="http",AC20,IF(H20="Production",set_RMSBase,set_QwilrBase)&amp;AC20),"Open")))</f>
        <v/>
      </c>
      <c r="AE20" s="27">
        <f>IF(E20="","",IFERROR(INDEX(tbl_Production[Total Expense],MATCH(E20&amp;"",tbl_Production[Job Number],0)),IFERROR(INDEX(tbl_Consulting[Total Expense],MATCH(E20&amp;"",tbl_Consulting[Job Number],0)),0)))</f>
        <v/>
      </c>
      <c r="AF20" s="27">
        <f>IF(E20="","",Z20-N(AE20))</f>
        <v/>
      </c>
      <c r="AG20" s="29">
        <f>IFERROR(AF20/Z20,"")</f>
        <v/>
      </c>
      <c r="AH20" s="25">
        <f>IF(E20="","",IFERROR(IF(INDEX(tbl_Onsite[Notes],MATCH(E20&amp;"",tbl_Onsite[Job Number],0))="","",INDEX(tbl_Onsite[Notes],MATCH(E20&amp;"",tbl_Onsite[Job Number],0))),IFERROR(IF(INDEX(tbl_Production[Notes],MATCH(E20&amp;"",tbl_Production[Job Number],0))="","",INDEX(tbl_Production[Notes],MATCH(E20&amp;"",tbl_Production[Job Number],0))),IFERROR(IF(INDEX(tbl_Consulting[Notes],MATCH(E20&amp;"",tbl_Consulting[Job Number],0))="","",INDEX(tbl_Consulting[Notes],MATCH(E20&amp;"",tbl_Consulting[Job Number],0))),""))))</f>
        <v/>
      </c>
    </row>
    <row r="21" ht="15" customHeight="1">
      <c r="A21" s="22" t="n"/>
      <c r="B21" s="23">
        <f>IF(A21="","",EOMONTH(A21,0))</f>
        <v/>
      </c>
      <c r="C21" s="24" t="n"/>
      <c r="D21" s="24" t="n"/>
      <c r="E21" s="24" t="n"/>
      <c r="F21" s="25">
        <f>IF(E21="","",IF(COUNTIF(lst_Jobs,E21&amp;"")&gt;0,"OK","CHECK"))</f>
        <v/>
      </c>
      <c r="G21" s="24" t="n"/>
      <c r="H21" s="24" t="n"/>
      <c r="I21" s="24" t="n"/>
      <c r="J21" s="24" t="n"/>
      <c r="K21" s="24" t="n"/>
      <c r="L21" s="26" t="n"/>
      <c r="M21" s="27">
        <f>IF(L21="","",IF(K21="GST 10%",ROUND(L21*set_GSTRate,2),0))</f>
        <v/>
      </c>
      <c r="N21" s="27">
        <f>IF(L21="","",L21+M21)</f>
        <v/>
      </c>
      <c r="O21" s="24" t="n"/>
      <c r="P21" s="24" t="n"/>
      <c r="Q21" s="24" t="n"/>
      <c r="R21" s="22" t="n"/>
      <c r="S21" s="22" t="n"/>
      <c r="T21" s="24" t="n"/>
      <c r="U21" s="24" t="n"/>
      <c r="V21" s="25">
        <f>IF(COUNTA(A21,D21,C21,L21)=0,"",IF(A21="","No date - sits outside every month",IF(E21="","No job number",IF(F21="CHECK","Job number is not in the Xero job list",IF(I21="","No cost centre",IF(AND(P21="Y",C21=""),"Marked posted to Xero but has no invoice number",IF(AND(L21&lt;&gt;"",K21=""),"No tax code",IF(AND(L21&lt;&gt;"",O21=""),"No revenue GL code",""))))))))</f>
        <v/>
      </c>
      <c r="W21" s="25">
        <f>IF(E21="","",IF(COUNTIF(tbl_Onsite[Job Number],E21&amp;"")&gt;0,"Onsite",IF(COUNTIF(tbl_Production[Job Number],E21&amp;"")&gt;0,"Production",IF(COUNTIF(tbl_Consulting[Job Number],E21&amp;"")&gt;0,"Consulting","not set up yet"))))</f>
        <v/>
      </c>
      <c r="X21" s="25">
        <f>IF(E21="","",IFERROR(INDEX(lst_JobName,MATCH(E21&amp;"",lst_Jobs,0)),""))</f>
        <v/>
      </c>
      <c r="Y21" s="28">
        <f>IF(E21="","",COUNTIFS(tbl_Finance[Job Number],E21&amp;"",tbl_Finance[Ex GST],"&lt;&gt;"))</f>
        <v/>
      </c>
      <c r="Z21" s="27">
        <f>IF(E21="","",SUMIFS(tbl_Finance[Ex GST],tbl_Finance[Job Number],E21&amp;""))</f>
        <v/>
      </c>
      <c r="AA21" s="27">
        <f>IF(E21="","",SUMIFS(tbl_Finance[Ex GST],tbl_Finance[Job Number],E21&amp;"",tbl_Finance[Xero Invoice No],"&lt;&gt;"))</f>
        <v/>
      </c>
      <c r="AB21" s="27">
        <f>IF(E21="","",Z21-AA21)</f>
        <v/>
      </c>
      <c r="AC21" s="25">
        <f>IF(E21="","",IFERROR(IF(INDEX(tbl_Onsite[Qwilr Quote],MATCH(E21&amp;"",tbl_Onsite[Job Number],0))="","",INDEX(tbl_Onsite[Qwilr Quote],MATCH(E21&amp;"",tbl_Onsite[Job Number],0))),IFERROR(IF(IF(INDEX(tbl_Production[Current RMS No],MATCH(E21&amp;"",tbl_Production[Job Number],0))="",INDEX(tbl_Production[Qwilr Quote],MATCH(E21&amp;"",tbl_Production[Job Number],0)),INDEX(tbl_Production[Current RMS No],MATCH(E21&amp;"",tbl_Production[Job Number],0)))="","",IF(INDEX(tbl_Production[Current RMS No],MATCH(E21&amp;"",tbl_Production[Job Number],0))="",INDEX(tbl_Production[Qwilr Quote],MATCH(E21&amp;"",tbl_Production[Job Number],0)),INDEX(tbl_Production[Current RMS No],MATCH(E21&amp;"",tbl_Production[Job Number],0)))),IFERROR(IF(INDEX(tbl_Consulting[Qwilr Quote],MATCH(E21&amp;"",tbl_Consulting[Job Number],0))="","",INDEX(tbl_Consulting[Qwilr Quote],MATCH(E21&amp;"",tbl_Consulting[Job Number],0))),""))))</f>
        <v/>
      </c>
      <c r="AD21" s="25">
        <f>IF(AC21="","",IF(AND(LEFT(AC21,4)&lt;&gt;"http",IF(H21="Production",set_RMSBase,set_QwilrBase)=""),"",HYPERLINK(IF(LEFT(AC21,4)="http",AC21,IF(H21="Production",set_RMSBase,set_QwilrBase)&amp;AC21),"Open")))</f>
        <v/>
      </c>
      <c r="AE21" s="27">
        <f>IF(E21="","",IFERROR(INDEX(tbl_Production[Total Expense],MATCH(E21&amp;"",tbl_Production[Job Number],0)),IFERROR(INDEX(tbl_Consulting[Total Expense],MATCH(E21&amp;"",tbl_Consulting[Job Number],0)),0)))</f>
        <v/>
      </c>
      <c r="AF21" s="27">
        <f>IF(E21="","",Z21-N(AE21))</f>
        <v/>
      </c>
      <c r="AG21" s="29">
        <f>IFERROR(AF21/Z21,"")</f>
        <v/>
      </c>
      <c r="AH21" s="25">
        <f>IF(E21="","",IFERROR(IF(INDEX(tbl_Onsite[Notes],MATCH(E21&amp;"",tbl_Onsite[Job Number],0))="","",INDEX(tbl_Onsite[Notes],MATCH(E21&amp;"",tbl_Onsite[Job Number],0))),IFERROR(IF(INDEX(tbl_Production[Notes],MATCH(E21&amp;"",tbl_Production[Job Number],0))="","",INDEX(tbl_Production[Notes],MATCH(E21&amp;"",tbl_Production[Job Number],0))),IFERROR(IF(INDEX(tbl_Consulting[Notes],MATCH(E21&amp;"",tbl_Consulting[Job Number],0))="","",INDEX(tbl_Consulting[Notes],MATCH(E21&amp;"",tbl_Consulting[Job Number],0))),""))))</f>
        <v/>
      </c>
    </row>
    <row r="22" ht="15" customHeight="1">
      <c r="A22" s="22" t="n"/>
      <c r="B22" s="23">
        <f>IF(A22="","",EOMONTH(A22,0))</f>
        <v/>
      </c>
      <c r="C22" s="24" t="n"/>
      <c r="D22" s="24" t="n"/>
      <c r="E22" s="24" t="n"/>
      <c r="F22" s="25">
        <f>IF(E22="","",IF(COUNTIF(lst_Jobs,E22&amp;"")&gt;0,"OK","CHECK"))</f>
        <v/>
      </c>
      <c r="G22" s="24" t="n"/>
      <c r="H22" s="24" t="n"/>
      <c r="I22" s="24" t="n"/>
      <c r="J22" s="24" t="n"/>
      <c r="K22" s="24" t="n"/>
      <c r="L22" s="26" t="n"/>
      <c r="M22" s="27">
        <f>IF(L22="","",IF(K22="GST 10%",ROUND(L22*set_GSTRate,2),0))</f>
        <v/>
      </c>
      <c r="N22" s="27">
        <f>IF(L22="","",L22+M22)</f>
        <v/>
      </c>
      <c r="O22" s="24" t="n"/>
      <c r="P22" s="24" t="n"/>
      <c r="Q22" s="24" t="n"/>
      <c r="R22" s="22" t="n"/>
      <c r="S22" s="22" t="n"/>
      <c r="T22" s="24" t="n"/>
      <c r="U22" s="24" t="n"/>
      <c r="V22" s="25">
        <f>IF(COUNTA(A22,D22,C22,L22)=0,"",IF(A22="","No date - sits outside every month",IF(E22="","No job number",IF(F22="CHECK","Job number is not in the Xero job list",IF(I22="","No cost centre",IF(AND(P22="Y",C22=""),"Marked posted to Xero but has no invoice number",IF(AND(L22&lt;&gt;"",K22=""),"No tax code",IF(AND(L22&lt;&gt;"",O22=""),"No revenue GL code",""))))))))</f>
        <v/>
      </c>
      <c r="W22" s="25">
        <f>IF(E22="","",IF(COUNTIF(tbl_Onsite[Job Number],E22&amp;"")&gt;0,"Onsite",IF(COUNTIF(tbl_Production[Job Number],E22&amp;"")&gt;0,"Production",IF(COUNTIF(tbl_Consulting[Job Number],E22&amp;"")&gt;0,"Consulting","not set up yet"))))</f>
        <v/>
      </c>
      <c r="X22" s="25">
        <f>IF(E22="","",IFERROR(INDEX(lst_JobName,MATCH(E22&amp;"",lst_Jobs,0)),""))</f>
        <v/>
      </c>
      <c r="Y22" s="28">
        <f>IF(E22="","",COUNTIFS(tbl_Finance[Job Number],E22&amp;"",tbl_Finance[Ex GST],"&lt;&gt;"))</f>
        <v/>
      </c>
      <c r="Z22" s="27">
        <f>IF(E22="","",SUMIFS(tbl_Finance[Ex GST],tbl_Finance[Job Number],E22&amp;""))</f>
        <v/>
      </c>
      <c r="AA22" s="27">
        <f>IF(E22="","",SUMIFS(tbl_Finance[Ex GST],tbl_Finance[Job Number],E22&amp;"",tbl_Finance[Xero Invoice No],"&lt;&gt;"))</f>
        <v/>
      </c>
      <c r="AB22" s="27">
        <f>IF(E22="","",Z22-AA22)</f>
        <v/>
      </c>
      <c r="AC22" s="25">
        <f>IF(E22="","",IFERROR(IF(INDEX(tbl_Onsite[Qwilr Quote],MATCH(E22&amp;"",tbl_Onsite[Job Number],0))="","",INDEX(tbl_Onsite[Qwilr Quote],MATCH(E22&amp;"",tbl_Onsite[Job Number],0))),IFERROR(IF(IF(INDEX(tbl_Production[Current RMS No],MATCH(E22&amp;"",tbl_Production[Job Number],0))="",INDEX(tbl_Production[Qwilr Quote],MATCH(E22&amp;"",tbl_Production[Job Number],0)),INDEX(tbl_Production[Current RMS No],MATCH(E22&amp;"",tbl_Production[Job Number],0)))="","",IF(INDEX(tbl_Production[Current RMS No],MATCH(E22&amp;"",tbl_Production[Job Number],0))="",INDEX(tbl_Production[Qwilr Quote],MATCH(E22&amp;"",tbl_Production[Job Number],0)),INDEX(tbl_Production[Current RMS No],MATCH(E22&amp;"",tbl_Production[Job Number],0)))),IFERROR(IF(INDEX(tbl_Consulting[Qwilr Quote],MATCH(E22&amp;"",tbl_Consulting[Job Number],0))="","",INDEX(tbl_Consulting[Qwilr Quote],MATCH(E22&amp;"",tbl_Consulting[Job Number],0))),""))))</f>
        <v/>
      </c>
      <c r="AD22" s="25">
        <f>IF(AC22="","",IF(AND(LEFT(AC22,4)&lt;&gt;"http",IF(H22="Production",set_RMSBase,set_QwilrBase)=""),"",HYPERLINK(IF(LEFT(AC22,4)="http",AC22,IF(H22="Production",set_RMSBase,set_QwilrBase)&amp;AC22),"Open")))</f>
        <v/>
      </c>
      <c r="AE22" s="27">
        <f>IF(E22="","",IFERROR(INDEX(tbl_Production[Total Expense],MATCH(E22&amp;"",tbl_Production[Job Number],0)),IFERROR(INDEX(tbl_Consulting[Total Expense],MATCH(E22&amp;"",tbl_Consulting[Job Number],0)),0)))</f>
        <v/>
      </c>
      <c r="AF22" s="27">
        <f>IF(E22="","",Z22-N(AE22))</f>
        <v/>
      </c>
      <c r="AG22" s="29">
        <f>IFERROR(AF22/Z22,"")</f>
        <v/>
      </c>
      <c r="AH22" s="25">
        <f>IF(E22="","",IFERROR(IF(INDEX(tbl_Onsite[Notes],MATCH(E22&amp;"",tbl_Onsite[Job Number],0))="","",INDEX(tbl_Onsite[Notes],MATCH(E22&amp;"",tbl_Onsite[Job Number],0))),IFERROR(IF(INDEX(tbl_Production[Notes],MATCH(E22&amp;"",tbl_Production[Job Number],0))="","",INDEX(tbl_Production[Notes],MATCH(E22&amp;"",tbl_Production[Job Number],0))),IFERROR(IF(INDEX(tbl_Consulting[Notes],MATCH(E22&amp;"",tbl_Consulting[Job Number],0))="","",INDEX(tbl_Consulting[Notes],MATCH(E22&amp;"",tbl_Consulting[Job Number],0))),""))))</f>
        <v/>
      </c>
    </row>
    <row r="23" ht="15" customHeight="1">
      <c r="A23" s="22" t="n"/>
      <c r="B23" s="23">
        <f>IF(A23="","",EOMONTH(A23,0))</f>
        <v/>
      </c>
      <c r="C23" s="24" t="n"/>
      <c r="D23" s="24" t="n"/>
      <c r="E23" s="24" t="n"/>
      <c r="F23" s="25">
        <f>IF(E23="","",IF(COUNTIF(lst_Jobs,E23&amp;"")&gt;0,"OK","CHECK"))</f>
        <v/>
      </c>
      <c r="G23" s="24" t="n"/>
      <c r="H23" s="24" t="n"/>
      <c r="I23" s="24" t="n"/>
      <c r="J23" s="24" t="n"/>
      <c r="K23" s="24" t="n"/>
      <c r="L23" s="26" t="n"/>
      <c r="M23" s="27">
        <f>IF(L23="","",IF(K23="GST 10%",ROUND(L23*set_GSTRate,2),0))</f>
        <v/>
      </c>
      <c r="N23" s="27">
        <f>IF(L23="","",L23+M23)</f>
        <v/>
      </c>
      <c r="O23" s="24" t="n"/>
      <c r="P23" s="24" t="n"/>
      <c r="Q23" s="24" t="n"/>
      <c r="R23" s="22" t="n"/>
      <c r="S23" s="22" t="n"/>
      <c r="T23" s="24" t="n"/>
      <c r="U23" s="24" t="n"/>
      <c r="V23" s="25">
        <f>IF(COUNTA(A23,D23,C23,L23)=0,"",IF(A23="","No date - sits outside every month",IF(E23="","No job number",IF(F23="CHECK","Job number is not in the Xero job list",IF(I23="","No cost centre",IF(AND(P23="Y",C23=""),"Marked posted to Xero but has no invoice number",IF(AND(L23&lt;&gt;"",K23=""),"No tax code",IF(AND(L23&lt;&gt;"",O23=""),"No revenue GL code",""))))))))</f>
        <v/>
      </c>
      <c r="W23" s="25">
        <f>IF(E23="","",IF(COUNTIF(tbl_Onsite[Job Number],E23&amp;"")&gt;0,"Onsite",IF(COUNTIF(tbl_Production[Job Number],E23&amp;"")&gt;0,"Production",IF(COUNTIF(tbl_Consulting[Job Number],E23&amp;"")&gt;0,"Consulting","not set up yet"))))</f>
        <v/>
      </c>
      <c r="X23" s="25">
        <f>IF(E23="","",IFERROR(INDEX(lst_JobName,MATCH(E23&amp;"",lst_Jobs,0)),""))</f>
        <v/>
      </c>
      <c r="Y23" s="28">
        <f>IF(E23="","",COUNTIFS(tbl_Finance[Job Number],E23&amp;"",tbl_Finance[Ex GST],"&lt;&gt;"))</f>
        <v/>
      </c>
      <c r="Z23" s="27">
        <f>IF(E23="","",SUMIFS(tbl_Finance[Ex GST],tbl_Finance[Job Number],E23&amp;""))</f>
        <v/>
      </c>
      <c r="AA23" s="27">
        <f>IF(E23="","",SUMIFS(tbl_Finance[Ex GST],tbl_Finance[Job Number],E23&amp;"",tbl_Finance[Xero Invoice No],"&lt;&gt;"))</f>
        <v/>
      </c>
      <c r="AB23" s="27">
        <f>IF(E23="","",Z23-AA23)</f>
        <v/>
      </c>
      <c r="AC23" s="25">
        <f>IF(E23="","",IFERROR(IF(INDEX(tbl_Onsite[Qwilr Quote],MATCH(E23&amp;"",tbl_Onsite[Job Number],0))="","",INDEX(tbl_Onsite[Qwilr Quote],MATCH(E23&amp;"",tbl_Onsite[Job Number],0))),IFERROR(IF(IF(INDEX(tbl_Production[Current RMS No],MATCH(E23&amp;"",tbl_Production[Job Number],0))="",INDEX(tbl_Production[Qwilr Quote],MATCH(E23&amp;"",tbl_Production[Job Number],0)),INDEX(tbl_Production[Current RMS No],MATCH(E23&amp;"",tbl_Production[Job Number],0)))="","",IF(INDEX(tbl_Production[Current RMS No],MATCH(E23&amp;"",tbl_Production[Job Number],0))="",INDEX(tbl_Production[Qwilr Quote],MATCH(E23&amp;"",tbl_Production[Job Number],0)),INDEX(tbl_Production[Current RMS No],MATCH(E23&amp;"",tbl_Production[Job Number],0)))),IFERROR(IF(INDEX(tbl_Consulting[Qwilr Quote],MATCH(E23&amp;"",tbl_Consulting[Job Number],0))="","",INDEX(tbl_Consulting[Qwilr Quote],MATCH(E23&amp;"",tbl_Consulting[Job Number],0))),""))))</f>
        <v/>
      </c>
      <c r="AD23" s="25">
        <f>IF(AC23="","",IF(AND(LEFT(AC23,4)&lt;&gt;"http",IF(H23="Production",set_RMSBase,set_QwilrBase)=""),"",HYPERLINK(IF(LEFT(AC23,4)="http",AC23,IF(H23="Production",set_RMSBase,set_QwilrBase)&amp;AC23),"Open")))</f>
        <v/>
      </c>
      <c r="AE23" s="27">
        <f>IF(E23="","",IFERROR(INDEX(tbl_Production[Total Expense],MATCH(E23&amp;"",tbl_Production[Job Number],0)),IFERROR(INDEX(tbl_Consulting[Total Expense],MATCH(E23&amp;"",tbl_Consulting[Job Number],0)),0)))</f>
        <v/>
      </c>
      <c r="AF23" s="27">
        <f>IF(E23="","",Z23-N(AE23))</f>
        <v/>
      </c>
      <c r="AG23" s="29">
        <f>IFERROR(AF23/Z23,"")</f>
        <v/>
      </c>
      <c r="AH23" s="25">
        <f>IF(E23="","",IFERROR(IF(INDEX(tbl_Onsite[Notes],MATCH(E23&amp;"",tbl_Onsite[Job Number],0))="","",INDEX(tbl_Onsite[Notes],MATCH(E23&amp;"",tbl_Onsite[Job Number],0))),IFERROR(IF(INDEX(tbl_Production[Notes],MATCH(E23&amp;"",tbl_Production[Job Number],0))="","",INDEX(tbl_Production[Notes],MATCH(E23&amp;"",tbl_Production[Job Number],0))),IFERROR(IF(INDEX(tbl_Consulting[Notes],MATCH(E23&amp;"",tbl_Consulting[Job Number],0))="","",INDEX(tbl_Consulting[Notes],MATCH(E23&amp;"",tbl_Consulting[Job Number],0))),""))))</f>
        <v/>
      </c>
    </row>
    <row r="24" ht="15" customHeight="1">
      <c r="A24" s="22" t="n"/>
      <c r="B24" s="23">
        <f>IF(A24="","",EOMONTH(A24,0))</f>
        <v/>
      </c>
      <c r="C24" s="24" t="n"/>
      <c r="D24" s="24" t="n"/>
      <c r="E24" s="24" t="n"/>
      <c r="F24" s="25">
        <f>IF(E24="","",IF(COUNTIF(lst_Jobs,E24&amp;"")&gt;0,"OK","CHECK"))</f>
        <v/>
      </c>
      <c r="G24" s="24" t="n"/>
      <c r="H24" s="24" t="n"/>
      <c r="I24" s="24" t="n"/>
      <c r="J24" s="24" t="n"/>
      <c r="K24" s="24" t="n"/>
      <c r="L24" s="26" t="n"/>
      <c r="M24" s="27">
        <f>IF(L24="","",IF(K24="GST 10%",ROUND(L24*set_GSTRate,2),0))</f>
        <v/>
      </c>
      <c r="N24" s="27">
        <f>IF(L24="","",L24+M24)</f>
        <v/>
      </c>
      <c r="O24" s="24" t="n"/>
      <c r="P24" s="24" t="n"/>
      <c r="Q24" s="24" t="n"/>
      <c r="R24" s="22" t="n"/>
      <c r="S24" s="22" t="n"/>
      <c r="T24" s="24" t="n"/>
      <c r="U24" s="24" t="n"/>
      <c r="V24" s="25">
        <f>IF(COUNTA(A24,D24,C24,L24)=0,"",IF(A24="","No date - sits outside every month",IF(E24="","No job number",IF(F24="CHECK","Job number is not in the Xero job list",IF(I24="","No cost centre",IF(AND(P24="Y",C24=""),"Marked posted to Xero but has no invoice number",IF(AND(L24&lt;&gt;"",K24=""),"No tax code",IF(AND(L24&lt;&gt;"",O24=""),"No revenue GL code",""))))))))</f>
        <v/>
      </c>
      <c r="W24" s="25">
        <f>IF(E24="","",IF(COUNTIF(tbl_Onsite[Job Number],E24&amp;"")&gt;0,"Onsite",IF(COUNTIF(tbl_Production[Job Number],E24&amp;"")&gt;0,"Production",IF(COUNTIF(tbl_Consulting[Job Number],E24&amp;"")&gt;0,"Consulting","not set up yet"))))</f>
        <v/>
      </c>
      <c r="X24" s="25">
        <f>IF(E24="","",IFERROR(INDEX(lst_JobName,MATCH(E24&amp;"",lst_Jobs,0)),""))</f>
        <v/>
      </c>
      <c r="Y24" s="28">
        <f>IF(E24="","",COUNTIFS(tbl_Finance[Job Number],E24&amp;"",tbl_Finance[Ex GST],"&lt;&gt;"))</f>
        <v/>
      </c>
      <c r="Z24" s="27">
        <f>IF(E24="","",SUMIFS(tbl_Finance[Ex GST],tbl_Finance[Job Number],E24&amp;""))</f>
        <v/>
      </c>
      <c r="AA24" s="27">
        <f>IF(E24="","",SUMIFS(tbl_Finance[Ex GST],tbl_Finance[Job Number],E24&amp;"",tbl_Finance[Xero Invoice No],"&lt;&gt;"))</f>
        <v/>
      </c>
      <c r="AB24" s="27">
        <f>IF(E24="","",Z24-AA24)</f>
        <v/>
      </c>
      <c r="AC24" s="25">
        <f>IF(E24="","",IFERROR(IF(INDEX(tbl_Onsite[Qwilr Quote],MATCH(E24&amp;"",tbl_Onsite[Job Number],0))="","",INDEX(tbl_Onsite[Qwilr Quote],MATCH(E24&amp;"",tbl_Onsite[Job Number],0))),IFERROR(IF(IF(INDEX(tbl_Production[Current RMS No],MATCH(E24&amp;"",tbl_Production[Job Number],0))="",INDEX(tbl_Production[Qwilr Quote],MATCH(E24&amp;"",tbl_Production[Job Number],0)),INDEX(tbl_Production[Current RMS No],MATCH(E24&amp;"",tbl_Production[Job Number],0)))="","",IF(INDEX(tbl_Production[Current RMS No],MATCH(E24&amp;"",tbl_Production[Job Number],0))="",INDEX(tbl_Production[Qwilr Quote],MATCH(E24&amp;"",tbl_Production[Job Number],0)),INDEX(tbl_Production[Current RMS No],MATCH(E24&amp;"",tbl_Production[Job Number],0)))),IFERROR(IF(INDEX(tbl_Consulting[Qwilr Quote],MATCH(E24&amp;"",tbl_Consulting[Job Number],0))="","",INDEX(tbl_Consulting[Qwilr Quote],MATCH(E24&amp;"",tbl_Consulting[Job Number],0))),""))))</f>
        <v/>
      </c>
      <c r="AD24" s="25">
        <f>IF(AC24="","",IF(AND(LEFT(AC24,4)&lt;&gt;"http",IF(H24="Production",set_RMSBase,set_QwilrBase)=""),"",HYPERLINK(IF(LEFT(AC24,4)="http",AC24,IF(H24="Production",set_RMSBase,set_QwilrBase)&amp;AC24),"Open")))</f>
        <v/>
      </c>
      <c r="AE24" s="27">
        <f>IF(E24="","",IFERROR(INDEX(tbl_Production[Total Expense],MATCH(E24&amp;"",tbl_Production[Job Number],0)),IFERROR(INDEX(tbl_Consulting[Total Expense],MATCH(E24&amp;"",tbl_Consulting[Job Number],0)),0)))</f>
        <v/>
      </c>
      <c r="AF24" s="27">
        <f>IF(E24="","",Z24-N(AE24))</f>
        <v/>
      </c>
      <c r="AG24" s="29">
        <f>IFERROR(AF24/Z24,"")</f>
        <v/>
      </c>
      <c r="AH24" s="25">
        <f>IF(E24="","",IFERROR(IF(INDEX(tbl_Onsite[Notes],MATCH(E24&amp;"",tbl_Onsite[Job Number],0))="","",INDEX(tbl_Onsite[Notes],MATCH(E24&amp;"",tbl_Onsite[Job Number],0))),IFERROR(IF(INDEX(tbl_Production[Notes],MATCH(E24&amp;"",tbl_Production[Job Number],0))="","",INDEX(tbl_Production[Notes],MATCH(E24&amp;"",tbl_Production[Job Number],0))),IFERROR(IF(INDEX(tbl_Consulting[Notes],MATCH(E24&amp;"",tbl_Consulting[Job Number],0))="","",INDEX(tbl_Consulting[Notes],MATCH(E24&amp;"",tbl_Consulting[Job Number],0))),""))))</f>
        <v/>
      </c>
    </row>
    <row r="25" ht="15" customHeight="1">
      <c r="A25" s="22" t="n"/>
      <c r="B25" s="23">
        <f>IF(A25="","",EOMONTH(A25,0))</f>
        <v/>
      </c>
      <c r="C25" s="24" t="n"/>
      <c r="D25" s="24" t="n"/>
      <c r="E25" s="24" t="n"/>
      <c r="F25" s="25">
        <f>IF(E25="","",IF(COUNTIF(lst_Jobs,E25&amp;"")&gt;0,"OK","CHECK"))</f>
        <v/>
      </c>
      <c r="G25" s="24" t="n"/>
      <c r="H25" s="24" t="n"/>
      <c r="I25" s="24" t="n"/>
      <c r="J25" s="24" t="n"/>
      <c r="K25" s="24" t="n"/>
      <c r="L25" s="26" t="n"/>
      <c r="M25" s="27">
        <f>IF(L25="","",IF(K25="GST 10%",ROUND(L25*set_GSTRate,2),0))</f>
        <v/>
      </c>
      <c r="N25" s="27">
        <f>IF(L25="","",L25+M25)</f>
        <v/>
      </c>
      <c r="O25" s="24" t="n"/>
      <c r="P25" s="24" t="n"/>
      <c r="Q25" s="24" t="n"/>
      <c r="R25" s="22" t="n"/>
      <c r="S25" s="22" t="n"/>
      <c r="T25" s="24" t="n"/>
      <c r="U25" s="24" t="n"/>
      <c r="V25" s="25">
        <f>IF(COUNTA(A25,D25,C25,L25)=0,"",IF(A25="","No date - sits outside every month",IF(E25="","No job number",IF(F25="CHECK","Job number is not in the Xero job list",IF(I25="","No cost centre",IF(AND(P25="Y",C25=""),"Marked posted to Xero but has no invoice number",IF(AND(L25&lt;&gt;"",K25=""),"No tax code",IF(AND(L25&lt;&gt;"",O25=""),"No revenue GL code",""))))))))</f>
        <v/>
      </c>
      <c r="W25" s="25">
        <f>IF(E25="","",IF(COUNTIF(tbl_Onsite[Job Number],E25&amp;"")&gt;0,"Onsite",IF(COUNTIF(tbl_Production[Job Number],E25&amp;"")&gt;0,"Production",IF(COUNTIF(tbl_Consulting[Job Number],E25&amp;"")&gt;0,"Consulting","not set up yet"))))</f>
        <v/>
      </c>
      <c r="X25" s="25">
        <f>IF(E25="","",IFERROR(INDEX(lst_JobName,MATCH(E25&amp;"",lst_Jobs,0)),""))</f>
        <v/>
      </c>
      <c r="Y25" s="28">
        <f>IF(E25="","",COUNTIFS(tbl_Finance[Job Number],E25&amp;"",tbl_Finance[Ex GST],"&lt;&gt;"))</f>
        <v/>
      </c>
      <c r="Z25" s="27">
        <f>IF(E25="","",SUMIFS(tbl_Finance[Ex GST],tbl_Finance[Job Number],E25&amp;""))</f>
        <v/>
      </c>
      <c r="AA25" s="27">
        <f>IF(E25="","",SUMIFS(tbl_Finance[Ex GST],tbl_Finance[Job Number],E25&amp;"",tbl_Finance[Xero Invoice No],"&lt;&gt;"))</f>
        <v/>
      </c>
      <c r="AB25" s="27">
        <f>IF(E25="","",Z25-AA25)</f>
        <v/>
      </c>
      <c r="AC25" s="25">
        <f>IF(E25="","",IFERROR(IF(INDEX(tbl_Onsite[Qwilr Quote],MATCH(E25&amp;"",tbl_Onsite[Job Number],0))="","",INDEX(tbl_Onsite[Qwilr Quote],MATCH(E25&amp;"",tbl_Onsite[Job Number],0))),IFERROR(IF(IF(INDEX(tbl_Production[Current RMS No],MATCH(E25&amp;"",tbl_Production[Job Number],0))="",INDEX(tbl_Production[Qwilr Quote],MATCH(E25&amp;"",tbl_Production[Job Number],0)),INDEX(tbl_Production[Current RMS No],MATCH(E25&amp;"",tbl_Production[Job Number],0)))="","",IF(INDEX(tbl_Production[Current RMS No],MATCH(E25&amp;"",tbl_Production[Job Number],0))="",INDEX(tbl_Production[Qwilr Quote],MATCH(E25&amp;"",tbl_Production[Job Number],0)),INDEX(tbl_Production[Current RMS No],MATCH(E25&amp;"",tbl_Production[Job Number],0)))),IFERROR(IF(INDEX(tbl_Consulting[Qwilr Quote],MATCH(E25&amp;"",tbl_Consulting[Job Number],0))="","",INDEX(tbl_Consulting[Qwilr Quote],MATCH(E25&amp;"",tbl_Consulting[Job Number],0))),""))))</f>
        <v/>
      </c>
      <c r="AD25" s="25">
        <f>IF(AC25="","",IF(AND(LEFT(AC25,4)&lt;&gt;"http",IF(H25="Production",set_RMSBase,set_QwilrBase)=""),"",HYPERLINK(IF(LEFT(AC25,4)="http",AC25,IF(H25="Production",set_RMSBase,set_QwilrBase)&amp;AC25),"Open")))</f>
        <v/>
      </c>
      <c r="AE25" s="27">
        <f>IF(E25="","",IFERROR(INDEX(tbl_Production[Total Expense],MATCH(E25&amp;"",tbl_Production[Job Number],0)),IFERROR(INDEX(tbl_Consulting[Total Expense],MATCH(E25&amp;"",tbl_Consulting[Job Number],0)),0)))</f>
        <v/>
      </c>
      <c r="AF25" s="27">
        <f>IF(E25="","",Z25-N(AE25))</f>
        <v/>
      </c>
      <c r="AG25" s="29">
        <f>IFERROR(AF25/Z25,"")</f>
        <v/>
      </c>
      <c r="AH25" s="25">
        <f>IF(E25="","",IFERROR(IF(INDEX(tbl_Onsite[Notes],MATCH(E25&amp;"",tbl_Onsite[Job Number],0))="","",INDEX(tbl_Onsite[Notes],MATCH(E25&amp;"",tbl_Onsite[Job Number],0))),IFERROR(IF(INDEX(tbl_Production[Notes],MATCH(E25&amp;"",tbl_Production[Job Number],0))="","",INDEX(tbl_Production[Notes],MATCH(E25&amp;"",tbl_Production[Job Number],0))),IFERROR(IF(INDEX(tbl_Consulting[Notes],MATCH(E25&amp;"",tbl_Consulting[Job Number],0))="","",INDEX(tbl_Consulting[Notes],MATCH(E25&amp;"",tbl_Consulting[Job Number],0))),""))))</f>
        <v/>
      </c>
    </row>
    <row r="26" ht="15" customHeight="1">
      <c r="A26" s="22" t="n"/>
      <c r="B26" s="23">
        <f>IF(A26="","",EOMONTH(A26,0))</f>
        <v/>
      </c>
      <c r="C26" s="24" t="n"/>
      <c r="D26" s="24" t="n"/>
      <c r="E26" s="24" t="n"/>
      <c r="F26" s="25">
        <f>IF(E26="","",IF(COUNTIF(lst_Jobs,E26&amp;"")&gt;0,"OK","CHECK"))</f>
        <v/>
      </c>
      <c r="G26" s="24" t="n"/>
      <c r="H26" s="24" t="n"/>
      <c r="I26" s="24" t="n"/>
      <c r="J26" s="24" t="n"/>
      <c r="K26" s="24" t="n"/>
      <c r="L26" s="26" t="n"/>
      <c r="M26" s="27">
        <f>IF(L26="","",IF(K26="GST 10%",ROUND(L26*set_GSTRate,2),0))</f>
        <v/>
      </c>
      <c r="N26" s="27">
        <f>IF(L26="","",L26+M26)</f>
        <v/>
      </c>
      <c r="O26" s="24" t="n"/>
      <c r="P26" s="24" t="n"/>
      <c r="Q26" s="24" t="n"/>
      <c r="R26" s="22" t="n"/>
      <c r="S26" s="22" t="n"/>
      <c r="T26" s="24" t="n"/>
      <c r="U26" s="24" t="n"/>
      <c r="V26" s="25">
        <f>IF(COUNTA(A26,D26,C26,L26)=0,"",IF(A26="","No date - sits outside every month",IF(E26="","No job number",IF(F26="CHECK","Job number is not in the Xero job list",IF(I26="","No cost centre",IF(AND(P26="Y",C26=""),"Marked posted to Xero but has no invoice number",IF(AND(L26&lt;&gt;"",K26=""),"No tax code",IF(AND(L26&lt;&gt;"",O26=""),"No revenue GL code",""))))))))</f>
        <v/>
      </c>
      <c r="W26" s="25">
        <f>IF(E26="","",IF(COUNTIF(tbl_Onsite[Job Number],E26&amp;"")&gt;0,"Onsite",IF(COUNTIF(tbl_Production[Job Number],E26&amp;"")&gt;0,"Production",IF(COUNTIF(tbl_Consulting[Job Number],E26&amp;"")&gt;0,"Consulting","not set up yet"))))</f>
        <v/>
      </c>
      <c r="X26" s="25">
        <f>IF(E26="","",IFERROR(INDEX(lst_JobName,MATCH(E26&amp;"",lst_Jobs,0)),""))</f>
        <v/>
      </c>
      <c r="Y26" s="28">
        <f>IF(E26="","",COUNTIFS(tbl_Finance[Job Number],E26&amp;"",tbl_Finance[Ex GST],"&lt;&gt;"))</f>
        <v/>
      </c>
      <c r="Z26" s="27">
        <f>IF(E26="","",SUMIFS(tbl_Finance[Ex GST],tbl_Finance[Job Number],E26&amp;""))</f>
        <v/>
      </c>
      <c r="AA26" s="27">
        <f>IF(E26="","",SUMIFS(tbl_Finance[Ex GST],tbl_Finance[Job Number],E26&amp;"",tbl_Finance[Xero Invoice No],"&lt;&gt;"))</f>
        <v/>
      </c>
      <c r="AB26" s="27">
        <f>IF(E26="","",Z26-AA26)</f>
        <v/>
      </c>
      <c r="AC26" s="25">
        <f>IF(E26="","",IFERROR(IF(INDEX(tbl_Onsite[Qwilr Quote],MATCH(E26&amp;"",tbl_Onsite[Job Number],0))="","",INDEX(tbl_Onsite[Qwilr Quote],MATCH(E26&amp;"",tbl_Onsite[Job Number],0))),IFERROR(IF(IF(INDEX(tbl_Production[Current RMS No],MATCH(E26&amp;"",tbl_Production[Job Number],0))="",INDEX(tbl_Production[Qwilr Quote],MATCH(E26&amp;"",tbl_Production[Job Number],0)),INDEX(tbl_Production[Current RMS No],MATCH(E26&amp;"",tbl_Production[Job Number],0)))="","",IF(INDEX(tbl_Production[Current RMS No],MATCH(E26&amp;"",tbl_Production[Job Number],0))="",INDEX(tbl_Production[Qwilr Quote],MATCH(E26&amp;"",tbl_Production[Job Number],0)),INDEX(tbl_Production[Current RMS No],MATCH(E26&amp;"",tbl_Production[Job Number],0)))),IFERROR(IF(INDEX(tbl_Consulting[Qwilr Quote],MATCH(E26&amp;"",tbl_Consulting[Job Number],0))="","",INDEX(tbl_Consulting[Qwilr Quote],MATCH(E26&amp;"",tbl_Consulting[Job Number],0))),""))))</f>
        <v/>
      </c>
      <c r="AD26" s="25">
        <f>IF(AC26="","",IF(AND(LEFT(AC26,4)&lt;&gt;"http",IF(H26="Production",set_RMSBase,set_QwilrBase)=""),"",HYPERLINK(IF(LEFT(AC26,4)="http",AC26,IF(H26="Production",set_RMSBase,set_QwilrBase)&amp;AC26),"Open")))</f>
        <v/>
      </c>
      <c r="AE26" s="27">
        <f>IF(E26="","",IFERROR(INDEX(tbl_Production[Total Expense],MATCH(E26&amp;"",tbl_Production[Job Number],0)),IFERROR(INDEX(tbl_Consulting[Total Expense],MATCH(E26&amp;"",tbl_Consulting[Job Number],0)),0)))</f>
        <v/>
      </c>
      <c r="AF26" s="27">
        <f>IF(E26="","",Z26-N(AE26))</f>
        <v/>
      </c>
      <c r="AG26" s="29">
        <f>IFERROR(AF26/Z26,"")</f>
        <v/>
      </c>
      <c r="AH26" s="25">
        <f>IF(E26="","",IFERROR(IF(INDEX(tbl_Onsite[Notes],MATCH(E26&amp;"",tbl_Onsite[Job Number],0))="","",INDEX(tbl_Onsite[Notes],MATCH(E26&amp;"",tbl_Onsite[Job Number],0))),IFERROR(IF(INDEX(tbl_Production[Notes],MATCH(E26&amp;"",tbl_Production[Job Number],0))="","",INDEX(tbl_Production[Notes],MATCH(E26&amp;"",tbl_Production[Job Number],0))),IFERROR(IF(INDEX(tbl_Consulting[Notes],MATCH(E26&amp;"",tbl_Consulting[Job Number],0))="","",INDEX(tbl_Consulting[Notes],MATCH(E26&amp;"",tbl_Consulting[Job Number],0))),""))))</f>
        <v/>
      </c>
    </row>
    <row r="27" ht="15" customHeight="1">
      <c r="A27" s="22" t="n"/>
      <c r="B27" s="23">
        <f>IF(A27="","",EOMONTH(A27,0))</f>
        <v/>
      </c>
      <c r="C27" s="24" t="n"/>
      <c r="D27" s="24" t="n"/>
      <c r="E27" s="24" t="n"/>
      <c r="F27" s="25">
        <f>IF(E27="","",IF(COUNTIF(lst_Jobs,E27&amp;"")&gt;0,"OK","CHECK"))</f>
        <v/>
      </c>
      <c r="G27" s="24" t="n"/>
      <c r="H27" s="24" t="n"/>
      <c r="I27" s="24" t="n"/>
      <c r="J27" s="24" t="n"/>
      <c r="K27" s="24" t="n"/>
      <c r="L27" s="26" t="n"/>
      <c r="M27" s="27">
        <f>IF(L27="","",IF(K27="GST 10%",ROUND(L27*set_GSTRate,2),0))</f>
        <v/>
      </c>
      <c r="N27" s="27">
        <f>IF(L27="","",L27+M27)</f>
        <v/>
      </c>
      <c r="O27" s="24" t="n"/>
      <c r="P27" s="24" t="n"/>
      <c r="Q27" s="24" t="n"/>
      <c r="R27" s="22" t="n"/>
      <c r="S27" s="22" t="n"/>
      <c r="T27" s="24" t="n"/>
      <c r="U27" s="24" t="n"/>
      <c r="V27" s="25">
        <f>IF(COUNTA(A27,D27,C27,L27)=0,"",IF(A27="","No date - sits outside every month",IF(E27="","No job number",IF(F27="CHECK","Job number is not in the Xero job list",IF(I27="","No cost centre",IF(AND(P27="Y",C27=""),"Marked posted to Xero but has no invoice number",IF(AND(L27&lt;&gt;"",K27=""),"No tax code",IF(AND(L27&lt;&gt;"",O27=""),"No revenue GL code",""))))))))</f>
        <v/>
      </c>
      <c r="W27" s="25">
        <f>IF(E27="","",IF(COUNTIF(tbl_Onsite[Job Number],E27&amp;"")&gt;0,"Onsite",IF(COUNTIF(tbl_Production[Job Number],E27&amp;"")&gt;0,"Production",IF(COUNTIF(tbl_Consulting[Job Number],E27&amp;"")&gt;0,"Consulting","not set up yet"))))</f>
        <v/>
      </c>
      <c r="X27" s="25">
        <f>IF(E27="","",IFERROR(INDEX(lst_JobName,MATCH(E27&amp;"",lst_Jobs,0)),""))</f>
        <v/>
      </c>
      <c r="Y27" s="28">
        <f>IF(E27="","",COUNTIFS(tbl_Finance[Job Number],E27&amp;"",tbl_Finance[Ex GST],"&lt;&gt;"))</f>
        <v/>
      </c>
      <c r="Z27" s="27">
        <f>IF(E27="","",SUMIFS(tbl_Finance[Ex GST],tbl_Finance[Job Number],E27&amp;""))</f>
        <v/>
      </c>
      <c r="AA27" s="27">
        <f>IF(E27="","",SUMIFS(tbl_Finance[Ex GST],tbl_Finance[Job Number],E27&amp;"",tbl_Finance[Xero Invoice No],"&lt;&gt;"))</f>
        <v/>
      </c>
      <c r="AB27" s="27">
        <f>IF(E27="","",Z27-AA27)</f>
        <v/>
      </c>
      <c r="AC27" s="25">
        <f>IF(E27="","",IFERROR(IF(INDEX(tbl_Onsite[Qwilr Quote],MATCH(E27&amp;"",tbl_Onsite[Job Number],0))="","",INDEX(tbl_Onsite[Qwilr Quote],MATCH(E27&amp;"",tbl_Onsite[Job Number],0))),IFERROR(IF(IF(INDEX(tbl_Production[Current RMS No],MATCH(E27&amp;"",tbl_Production[Job Number],0))="",INDEX(tbl_Production[Qwilr Quote],MATCH(E27&amp;"",tbl_Production[Job Number],0)),INDEX(tbl_Production[Current RMS No],MATCH(E27&amp;"",tbl_Production[Job Number],0)))="","",IF(INDEX(tbl_Production[Current RMS No],MATCH(E27&amp;"",tbl_Production[Job Number],0))="",INDEX(tbl_Production[Qwilr Quote],MATCH(E27&amp;"",tbl_Production[Job Number],0)),INDEX(tbl_Production[Current RMS No],MATCH(E27&amp;"",tbl_Production[Job Number],0)))),IFERROR(IF(INDEX(tbl_Consulting[Qwilr Quote],MATCH(E27&amp;"",tbl_Consulting[Job Number],0))="","",INDEX(tbl_Consulting[Qwilr Quote],MATCH(E27&amp;"",tbl_Consulting[Job Number],0))),""))))</f>
        <v/>
      </c>
      <c r="AD27" s="25">
        <f>IF(AC27="","",IF(AND(LEFT(AC27,4)&lt;&gt;"http",IF(H27="Production",set_RMSBase,set_QwilrBase)=""),"",HYPERLINK(IF(LEFT(AC27,4)="http",AC27,IF(H27="Production",set_RMSBase,set_QwilrBase)&amp;AC27),"Open")))</f>
        <v/>
      </c>
      <c r="AE27" s="27">
        <f>IF(E27="","",IFERROR(INDEX(tbl_Production[Total Expense],MATCH(E27&amp;"",tbl_Production[Job Number],0)),IFERROR(INDEX(tbl_Consulting[Total Expense],MATCH(E27&amp;"",tbl_Consulting[Job Number],0)),0)))</f>
        <v/>
      </c>
      <c r="AF27" s="27">
        <f>IF(E27="","",Z27-N(AE27))</f>
        <v/>
      </c>
      <c r="AG27" s="29">
        <f>IFERROR(AF27/Z27,"")</f>
        <v/>
      </c>
      <c r="AH27" s="25">
        <f>IF(E27="","",IFERROR(IF(INDEX(tbl_Onsite[Notes],MATCH(E27&amp;"",tbl_Onsite[Job Number],0))="","",INDEX(tbl_Onsite[Notes],MATCH(E27&amp;"",tbl_Onsite[Job Number],0))),IFERROR(IF(INDEX(tbl_Production[Notes],MATCH(E27&amp;"",tbl_Production[Job Number],0))="","",INDEX(tbl_Production[Notes],MATCH(E27&amp;"",tbl_Production[Job Number],0))),IFERROR(IF(INDEX(tbl_Consulting[Notes],MATCH(E27&amp;"",tbl_Consulting[Job Number],0))="","",INDEX(tbl_Consulting[Notes],MATCH(E27&amp;"",tbl_Consulting[Job Number],0))),""))))</f>
        <v/>
      </c>
    </row>
    <row r="28" ht="15" customHeight="1">
      <c r="A28" s="22" t="n"/>
      <c r="B28" s="23">
        <f>IF(A28="","",EOMONTH(A28,0))</f>
        <v/>
      </c>
      <c r="C28" s="24" t="n"/>
      <c r="D28" s="24" t="n"/>
      <c r="E28" s="24" t="n"/>
      <c r="F28" s="25">
        <f>IF(E28="","",IF(COUNTIF(lst_Jobs,E28&amp;"")&gt;0,"OK","CHECK"))</f>
        <v/>
      </c>
      <c r="G28" s="24" t="n"/>
      <c r="H28" s="24" t="n"/>
      <c r="I28" s="24" t="n"/>
      <c r="J28" s="24" t="n"/>
      <c r="K28" s="24" t="n"/>
      <c r="L28" s="26" t="n"/>
      <c r="M28" s="27">
        <f>IF(L28="","",IF(K28="GST 10%",ROUND(L28*set_GSTRate,2),0))</f>
        <v/>
      </c>
      <c r="N28" s="27">
        <f>IF(L28="","",L28+M28)</f>
        <v/>
      </c>
      <c r="O28" s="24" t="n"/>
      <c r="P28" s="24" t="n"/>
      <c r="Q28" s="24" t="n"/>
      <c r="R28" s="22" t="n"/>
      <c r="S28" s="22" t="n"/>
      <c r="T28" s="24" t="n"/>
      <c r="U28" s="24" t="n"/>
      <c r="V28" s="25">
        <f>IF(COUNTA(A28,D28,C28,L28)=0,"",IF(A28="","No date - sits outside every month",IF(E28="","No job number",IF(F28="CHECK","Job number is not in the Xero job list",IF(I28="","No cost centre",IF(AND(P28="Y",C28=""),"Marked posted to Xero but has no invoice number",IF(AND(L28&lt;&gt;"",K28=""),"No tax code",IF(AND(L28&lt;&gt;"",O28=""),"No revenue GL code",""))))))))</f>
        <v/>
      </c>
      <c r="W28" s="25">
        <f>IF(E28="","",IF(COUNTIF(tbl_Onsite[Job Number],E28&amp;"")&gt;0,"Onsite",IF(COUNTIF(tbl_Production[Job Number],E28&amp;"")&gt;0,"Production",IF(COUNTIF(tbl_Consulting[Job Number],E28&amp;"")&gt;0,"Consulting","not set up yet"))))</f>
        <v/>
      </c>
      <c r="X28" s="25">
        <f>IF(E28="","",IFERROR(INDEX(lst_JobName,MATCH(E28&amp;"",lst_Jobs,0)),""))</f>
        <v/>
      </c>
      <c r="Y28" s="28">
        <f>IF(E28="","",COUNTIFS(tbl_Finance[Job Number],E28&amp;"",tbl_Finance[Ex GST],"&lt;&gt;"))</f>
        <v/>
      </c>
      <c r="Z28" s="27">
        <f>IF(E28="","",SUMIFS(tbl_Finance[Ex GST],tbl_Finance[Job Number],E28&amp;""))</f>
        <v/>
      </c>
      <c r="AA28" s="27">
        <f>IF(E28="","",SUMIFS(tbl_Finance[Ex GST],tbl_Finance[Job Number],E28&amp;"",tbl_Finance[Xero Invoice No],"&lt;&gt;"))</f>
        <v/>
      </c>
      <c r="AB28" s="27">
        <f>IF(E28="","",Z28-AA28)</f>
        <v/>
      </c>
      <c r="AC28" s="25">
        <f>IF(E28="","",IFERROR(IF(INDEX(tbl_Onsite[Qwilr Quote],MATCH(E28&amp;"",tbl_Onsite[Job Number],0))="","",INDEX(tbl_Onsite[Qwilr Quote],MATCH(E28&amp;"",tbl_Onsite[Job Number],0))),IFERROR(IF(IF(INDEX(tbl_Production[Current RMS No],MATCH(E28&amp;"",tbl_Production[Job Number],0))="",INDEX(tbl_Production[Qwilr Quote],MATCH(E28&amp;"",tbl_Production[Job Number],0)),INDEX(tbl_Production[Current RMS No],MATCH(E28&amp;"",tbl_Production[Job Number],0)))="","",IF(INDEX(tbl_Production[Current RMS No],MATCH(E28&amp;"",tbl_Production[Job Number],0))="",INDEX(tbl_Production[Qwilr Quote],MATCH(E28&amp;"",tbl_Production[Job Number],0)),INDEX(tbl_Production[Current RMS No],MATCH(E28&amp;"",tbl_Production[Job Number],0)))),IFERROR(IF(INDEX(tbl_Consulting[Qwilr Quote],MATCH(E28&amp;"",tbl_Consulting[Job Number],0))="","",INDEX(tbl_Consulting[Qwilr Quote],MATCH(E28&amp;"",tbl_Consulting[Job Number],0))),""))))</f>
        <v/>
      </c>
      <c r="AD28" s="25">
        <f>IF(AC28="","",IF(AND(LEFT(AC28,4)&lt;&gt;"http",IF(H28="Production",set_RMSBase,set_QwilrBase)=""),"",HYPERLINK(IF(LEFT(AC28,4)="http",AC28,IF(H28="Production",set_RMSBase,set_QwilrBase)&amp;AC28),"Open")))</f>
        <v/>
      </c>
      <c r="AE28" s="27">
        <f>IF(E28="","",IFERROR(INDEX(tbl_Production[Total Expense],MATCH(E28&amp;"",tbl_Production[Job Number],0)),IFERROR(INDEX(tbl_Consulting[Total Expense],MATCH(E28&amp;"",tbl_Consulting[Job Number],0)),0)))</f>
        <v/>
      </c>
      <c r="AF28" s="27">
        <f>IF(E28="","",Z28-N(AE28))</f>
        <v/>
      </c>
      <c r="AG28" s="29">
        <f>IFERROR(AF28/Z28,"")</f>
        <v/>
      </c>
      <c r="AH28" s="25">
        <f>IF(E28="","",IFERROR(IF(INDEX(tbl_Onsite[Notes],MATCH(E28&amp;"",tbl_Onsite[Job Number],0))="","",INDEX(tbl_Onsite[Notes],MATCH(E28&amp;"",tbl_Onsite[Job Number],0))),IFERROR(IF(INDEX(tbl_Production[Notes],MATCH(E28&amp;"",tbl_Production[Job Number],0))="","",INDEX(tbl_Production[Notes],MATCH(E28&amp;"",tbl_Production[Job Number],0))),IFERROR(IF(INDEX(tbl_Consulting[Notes],MATCH(E28&amp;"",tbl_Consulting[Job Number],0))="","",INDEX(tbl_Consulting[Notes],MATCH(E28&amp;"",tbl_Consulting[Job Number],0))),""))))</f>
        <v/>
      </c>
    </row>
    <row r="29" ht="15" customHeight="1">
      <c r="A29" s="22" t="n"/>
      <c r="B29" s="23">
        <f>IF(A29="","",EOMONTH(A29,0))</f>
        <v/>
      </c>
      <c r="C29" s="24" t="n"/>
      <c r="D29" s="24" t="n"/>
      <c r="E29" s="24" t="n"/>
      <c r="F29" s="25">
        <f>IF(E29="","",IF(COUNTIF(lst_Jobs,E29&amp;"")&gt;0,"OK","CHECK"))</f>
        <v/>
      </c>
      <c r="G29" s="24" t="n"/>
      <c r="H29" s="24" t="n"/>
      <c r="I29" s="24" t="n"/>
      <c r="J29" s="24" t="n"/>
      <c r="K29" s="24" t="n"/>
      <c r="L29" s="26" t="n"/>
      <c r="M29" s="27">
        <f>IF(L29="","",IF(K29="GST 10%",ROUND(L29*set_GSTRate,2),0))</f>
        <v/>
      </c>
      <c r="N29" s="27">
        <f>IF(L29="","",L29+M29)</f>
        <v/>
      </c>
      <c r="O29" s="24" t="n"/>
      <c r="P29" s="24" t="n"/>
      <c r="Q29" s="24" t="n"/>
      <c r="R29" s="22" t="n"/>
      <c r="S29" s="22" t="n"/>
      <c r="T29" s="24" t="n"/>
      <c r="U29" s="24" t="n"/>
      <c r="V29" s="25">
        <f>IF(COUNTA(A29,D29,C29,L29)=0,"",IF(A29="","No date - sits outside every month",IF(E29="","No job number",IF(F29="CHECK","Job number is not in the Xero job list",IF(I29="","No cost centre",IF(AND(P29="Y",C29=""),"Marked posted to Xero but has no invoice number",IF(AND(L29&lt;&gt;"",K29=""),"No tax code",IF(AND(L29&lt;&gt;"",O29=""),"No revenue GL code",""))))))))</f>
        <v/>
      </c>
      <c r="W29" s="25">
        <f>IF(E29="","",IF(COUNTIF(tbl_Onsite[Job Number],E29&amp;"")&gt;0,"Onsite",IF(COUNTIF(tbl_Production[Job Number],E29&amp;"")&gt;0,"Production",IF(COUNTIF(tbl_Consulting[Job Number],E29&amp;"")&gt;0,"Consulting","not set up yet"))))</f>
        <v/>
      </c>
      <c r="X29" s="25">
        <f>IF(E29="","",IFERROR(INDEX(lst_JobName,MATCH(E29&amp;"",lst_Jobs,0)),""))</f>
        <v/>
      </c>
      <c r="Y29" s="28">
        <f>IF(E29="","",COUNTIFS(tbl_Finance[Job Number],E29&amp;"",tbl_Finance[Ex GST],"&lt;&gt;"))</f>
        <v/>
      </c>
      <c r="Z29" s="27">
        <f>IF(E29="","",SUMIFS(tbl_Finance[Ex GST],tbl_Finance[Job Number],E29&amp;""))</f>
        <v/>
      </c>
      <c r="AA29" s="27">
        <f>IF(E29="","",SUMIFS(tbl_Finance[Ex GST],tbl_Finance[Job Number],E29&amp;"",tbl_Finance[Xero Invoice No],"&lt;&gt;"))</f>
        <v/>
      </c>
      <c r="AB29" s="27">
        <f>IF(E29="","",Z29-AA29)</f>
        <v/>
      </c>
      <c r="AC29" s="25">
        <f>IF(E29="","",IFERROR(IF(INDEX(tbl_Onsite[Qwilr Quote],MATCH(E29&amp;"",tbl_Onsite[Job Number],0))="","",INDEX(tbl_Onsite[Qwilr Quote],MATCH(E29&amp;"",tbl_Onsite[Job Number],0))),IFERROR(IF(IF(INDEX(tbl_Production[Current RMS No],MATCH(E29&amp;"",tbl_Production[Job Number],0))="",INDEX(tbl_Production[Qwilr Quote],MATCH(E29&amp;"",tbl_Production[Job Number],0)),INDEX(tbl_Production[Current RMS No],MATCH(E29&amp;"",tbl_Production[Job Number],0)))="","",IF(INDEX(tbl_Production[Current RMS No],MATCH(E29&amp;"",tbl_Production[Job Number],0))="",INDEX(tbl_Production[Qwilr Quote],MATCH(E29&amp;"",tbl_Production[Job Number],0)),INDEX(tbl_Production[Current RMS No],MATCH(E29&amp;"",tbl_Production[Job Number],0)))),IFERROR(IF(INDEX(tbl_Consulting[Qwilr Quote],MATCH(E29&amp;"",tbl_Consulting[Job Number],0))="","",INDEX(tbl_Consulting[Qwilr Quote],MATCH(E29&amp;"",tbl_Consulting[Job Number],0))),""))))</f>
        <v/>
      </c>
      <c r="AD29" s="25">
        <f>IF(AC29="","",IF(AND(LEFT(AC29,4)&lt;&gt;"http",IF(H29="Production",set_RMSBase,set_QwilrBase)=""),"",HYPERLINK(IF(LEFT(AC29,4)="http",AC29,IF(H29="Production",set_RMSBase,set_QwilrBase)&amp;AC29),"Open")))</f>
        <v/>
      </c>
      <c r="AE29" s="27">
        <f>IF(E29="","",IFERROR(INDEX(tbl_Production[Total Expense],MATCH(E29&amp;"",tbl_Production[Job Number],0)),IFERROR(INDEX(tbl_Consulting[Total Expense],MATCH(E29&amp;"",tbl_Consulting[Job Number],0)),0)))</f>
        <v/>
      </c>
      <c r="AF29" s="27">
        <f>IF(E29="","",Z29-N(AE29))</f>
        <v/>
      </c>
      <c r="AG29" s="29">
        <f>IFERROR(AF29/Z29,"")</f>
        <v/>
      </c>
      <c r="AH29" s="25">
        <f>IF(E29="","",IFERROR(IF(INDEX(tbl_Onsite[Notes],MATCH(E29&amp;"",tbl_Onsite[Job Number],0))="","",INDEX(tbl_Onsite[Notes],MATCH(E29&amp;"",tbl_Onsite[Job Number],0))),IFERROR(IF(INDEX(tbl_Production[Notes],MATCH(E29&amp;"",tbl_Production[Job Number],0))="","",INDEX(tbl_Production[Notes],MATCH(E29&amp;"",tbl_Production[Job Number],0))),IFERROR(IF(INDEX(tbl_Consulting[Notes],MATCH(E29&amp;"",tbl_Consulting[Job Number],0))="","",INDEX(tbl_Consulting[Notes],MATCH(E29&amp;"",tbl_Consulting[Job Number],0))),""))))</f>
        <v/>
      </c>
    </row>
    <row r="30" ht="15" customHeight="1">
      <c r="A30" s="22" t="n"/>
      <c r="B30" s="23">
        <f>IF(A30="","",EOMONTH(A30,0))</f>
        <v/>
      </c>
      <c r="C30" s="24" t="n"/>
      <c r="D30" s="24" t="n"/>
      <c r="E30" s="24" t="n"/>
      <c r="F30" s="25">
        <f>IF(E30="","",IF(COUNTIF(lst_Jobs,E30&amp;"")&gt;0,"OK","CHECK"))</f>
        <v/>
      </c>
      <c r="G30" s="24" t="n"/>
      <c r="H30" s="24" t="n"/>
      <c r="I30" s="24" t="n"/>
      <c r="J30" s="24" t="n"/>
      <c r="K30" s="24" t="n"/>
      <c r="L30" s="26" t="n"/>
      <c r="M30" s="27">
        <f>IF(L30="","",IF(K30="GST 10%",ROUND(L30*set_GSTRate,2),0))</f>
        <v/>
      </c>
      <c r="N30" s="27">
        <f>IF(L30="","",L30+M30)</f>
        <v/>
      </c>
      <c r="O30" s="24" t="n"/>
      <c r="P30" s="24" t="n"/>
      <c r="Q30" s="24" t="n"/>
      <c r="R30" s="22" t="n"/>
      <c r="S30" s="22" t="n"/>
      <c r="T30" s="24" t="n"/>
      <c r="U30" s="24" t="n"/>
      <c r="V30" s="25">
        <f>IF(COUNTA(A30,D30,C30,L30)=0,"",IF(A30="","No date - sits outside every month",IF(E30="","No job number",IF(F30="CHECK","Job number is not in the Xero job list",IF(I30="","No cost centre",IF(AND(P30="Y",C30=""),"Marked posted to Xero but has no invoice number",IF(AND(L30&lt;&gt;"",K30=""),"No tax code",IF(AND(L30&lt;&gt;"",O30=""),"No revenue GL code",""))))))))</f>
        <v/>
      </c>
      <c r="W30" s="25">
        <f>IF(E30="","",IF(COUNTIF(tbl_Onsite[Job Number],E30&amp;"")&gt;0,"Onsite",IF(COUNTIF(tbl_Production[Job Number],E30&amp;"")&gt;0,"Production",IF(COUNTIF(tbl_Consulting[Job Number],E30&amp;"")&gt;0,"Consulting","not set up yet"))))</f>
        <v/>
      </c>
      <c r="X30" s="25">
        <f>IF(E30="","",IFERROR(INDEX(lst_JobName,MATCH(E30&amp;"",lst_Jobs,0)),""))</f>
        <v/>
      </c>
      <c r="Y30" s="28">
        <f>IF(E30="","",COUNTIFS(tbl_Finance[Job Number],E30&amp;"",tbl_Finance[Ex GST],"&lt;&gt;"))</f>
        <v/>
      </c>
      <c r="Z30" s="27">
        <f>IF(E30="","",SUMIFS(tbl_Finance[Ex GST],tbl_Finance[Job Number],E30&amp;""))</f>
        <v/>
      </c>
      <c r="AA30" s="27">
        <f>IF(E30="","",SUMIFS(tbl_Finance[Ex GST],tbl_Finance[Job Number],E30&amp;"",tbl_Finance[Xero Invoice No],"&lt;&gt;"))</f>
        <v/>
      </c>
      <c r="AB30" s="27">
        <f>IF(E30="","",Z30-AA30)</f>
        <v/>
      </c>
      <c r="AC30" s="25">
        <f>IF(E30="","",IFERROR(IF(INDEX(tbl_Onsite[Qwilr Quote],MATCH(E30&amp;"",tbl_Onsite[Job Number],0))="","",INDEX(tbl_Onsite[Qwilr Quote],MATCH(E30&amp;"",tbl_Onsite[Job Number],0))),IFERROR(IF(IF(INDEX(tbl_Production[Current RMS No],MATCH(E30&amp;"",tbl_Production[Job Number],0))="",INDEX(tbl_Production[Qwilr Quote],MATCH(E30&amp;"",tbl_Production[Job Number],0)),INDEX(tbl_Production[Current RMS No],MATCH(E30&amp;"",tbl_Production[Job Number],0)))="","",IF(INDEX(tbl_Production[Current RMS No],MATCH(E30&amp;"",tbl_Production[Job Number],0))="",INDEX(tbl_Production[Qwilr Quote],MATCH(E30&amp;"",tbl_Production[Job Number],0)),INDEX(tbl_Production[Current RMS No],MATCH(E30&amp;"",tbl_Production[Job Number],0)))),IFERROR(IF(INDEX(tbl_Consulting[Qwilr Quote],MATCH(E30&amp;"",tbl_Consulting[Job Number],0))="","",INDEX(tbl_Consulting[Qwilr Quote],MATCH(E30&amp;"",tbl_Consulting[Job Number],0))),""))))</f>
        <v/>
      </c>
      <c r="AD30" s="25">
        <f>IF(AC30="","",IF(AND(LEFT(AC30,4)&lt;&gt;"http",IF(H30="Production",set_RMSBase,set_QwilrBase)=""),"",HYPERLINK(IF(LEFT(AC30,4)="http",AC30,IF(H30="Production",set_RMSBase,set_QwilrBase)&amp;AC30),"Open")))</f>
        <v/>
      </c>
      <c r="AE30" s="27">
        <f>IF(E30="","",IFERROR(INDEX(tbl_Production[Total Expense],MATCH(E30&amp;"",tbl_Production[Job Number],0)),IFERROR(INDEX(tbl_Consulting[Total Expense],MATCH(E30&amp;"",tbl_Consulting[Job Number],0)),0)))</f>
        <v/>
      </c>
      <c r="AF30" s="27">
        <f>IF(E30="","",Z30-N(AE30))</f>
        <v/>
      </c>
      <c r="AG30" s="29">
        <f>IFERROR(AF30/Z30,"")</f>
        <v/>
      </c>
      <c r="AH30" s="25">
        <f>IF(E30="","",IFERROR(IF(INDEX(tbl_Onsite[Notes],MATCH(E30&amp;"",tbl_Onsite[Job Number],0))="","",INDEX(tbl_Onsite[Notes],MATCH(E30&amp;"",tbl_Onsite[Job Number],0))),IFERROR(IF(INDEX(tbl_Production[Notes],MATCH(E30&amp;"",tbl_Production[Job Number],0))="","",INDEX(tbl_Production[Notes],MATCH(E30&amp;"",tbl_Production[Job Number],0))),IFERROR(IF(INDEX(tbl_Consulting[Notes],MATCH(E30&amp;"",tbl_Consulting[Job Number],0))="","",INDEX(tbl_Consulting[Notes],MATCH(E30&amp;"",tbl_Consulting[Job Number],0))),""))))</f>
        <v/>
      </c>
    </row>
    <row r="31" ht="15" customHeight="1">
      <c r="A31" s="22" t="n"/>
      <c r="B31" s="23">
        <f>IF(A31="","",EOMONTH(A31,0))</f>
        <v/>
      </c>
      <c r="C31" s="24" t="n"/>
      <c r="D31" s="24" t="n"/>
      <c r="E31" s="24" t="n"/>
      <c r="F31" s="25">
        <f>IF(E31="","",IF(COUNTIF(lst_Jobs,E31&amp;"")&gt;0,"OK","CHECK"))</f>
        <v/>
      </c>
      <c r="G31" s="24" t="n"/>
      <c r="H31" s="24" t="n"/>
      <c r="I31" s="24" t="n"/>
      <c r="J31" s="24" t="n"/>
      <c r="K31" s="24" t="n"/>
      <c r="L31" s="26" t="n"/>
      <c r="M31" s="27">
        <f>IF(L31="","",IF(K31="GST 10%",ROUND(L31*set_GSTRate,2),0))</f>
        <v/>
      </c>
      <c r="N31" s="27">
        <f>IF(L31="","",L31+M31)</f>
        <v/>
      </c>
      <c r="O31" s="24" t="n"/>
      <c r="P31" s="24" t="n"/>
      <c r="Q31" s="24" t="n"/>
      <c r="R31" s="22" t="n"/>
      <c r="S31" s="22" t="n"/>
      <c r="T31" s="24" t="n"/>
      <c r="U31" s="24" t="n"/>
      <c r="V31" s="25">
        <f>IF(COUNTA(A31,D31,C31,L31)=0,"",IF(A31="","No date - sits outside every month",IF(E31="","No job number",IF(F31="CHECK","Job number is not in the Xero job list",IF(I31="","No cost centre",IF(AND(P31="Y",C31=""),"Marked posted to Xero but has no invoice number",IF(AND(L31&lt;&gt;"",K31=""),"No tax code",IF(AND(L31&lt;&gt;"",O31=""),"No revenue GL code",""))))))))</f>
        <v/>
      </c>
      <c r="W31" s="25">
        <f>IF(E31="","",IF(COUNTIF(tbl_Onsite[Job Number],E31&amp;"")&gt;0,"Onsite",IF(COUNTIF(tbl_Production[Job Number],E31&amp;"")&gt;0,"Production",IF(COUNTIF(tbl_Consulting[Job Number],E31&amp;"")&gt;0,"Consulting","not set up yet"))))</f>
        <v/>
      </c>
      <c r="X31" s="25">
        <f>IF(E31="","",IFERROR(INDEX(lst_JobName,MATCH(E31&amp;"",lst_Jobs,0)),""))</f>
        <v/>
      </c>
      <c r="Y31" s="28">
        <f>IF(E31="","",COUNTIFS(tbl_Finance[Job Number],E31&amp;"",tbl_Finance[Ex GST],"&lt;&gt;"))</f>
        <v/>
      </c>
      <c r="Z31" s="27">
        <f>IF(E31="","",SUMIFS(tbl_Finance[Ex GST],tbl_Finance[Job Number],E31&amp;""))</f>
        <v/>
      </c>
      <c r="AA31" s="27">
        <f>IF(E31="","",SUMIFS(tbl_Finance[Ex GST],tbl_Finance[Job Number],E31&amp;"",tbl_Finance[Xero Invoice No],"&lt;&gt;"))</f>
        <v/>
      </c>
      <c r="AB31" s="27">
        <f>IF(E31="","",Z31-AA31)</f>
        <v/>
      </c>
      <c r="AC31" s="25">
        <f>IF(E31="","",IFERROR(IF(INDEX(tbl_Onsite[Qwilr Quote],MATCH(E31&amp;"",tbl_Onsite[Job Number],0))="","",INDEX(tbl_Onsite[Qwilr Quote],MATCH(E31&amp;"",tbl_Onsite[Job Number],0))),IFERROR(IF(IF(INDEX(tbl_Production[Current RMS No],MATCH(E31&amp;"",tbl_Production[Job Number],0))="",INDEX(tbl_Production[Qwilr Quote],MATCH(E31&amp;"",tbl_Production[Job Number],0)),INDEX(tbl_Production[Current RMS No],MATCH(E31&amp;"",tbl_Production[Job Number],0)))="","",IF(INDEX(tbl_Production[Current RMS No],MATCH(E31&amp;"",tbl_Production[Job Number],0))="",INDEX(tbl_Production[Qwilr Quote],MATCH(E31&amp;"",tbl_Production[Job Number],0)),INDEX(tbl_Production[Current RMS No],MATCH(E31&amp;"",tbl_Production[Job Number],0)))),IFERROR(IF(INDEX(tbl_Consulting[Qwilr Quote],MATCH(E31&amp;"",tbl_Consulting[Job Number],0))="","",INDEX(tbl_Consulting[Qwilr Quote],MATCH(E31&amp;"",tbl_Consulting[Job Number],0))),""))))</f>
        <v/>
      </c>
      <c r="AD31" s="25">
        <f>IF(AC31="","",IF(AND(LEFT(AC31,4)&lt;&gt;"http",IF(H31="Production",set_RMSBase,set_QwilrBase)=""),"",HYPERLINK(IF(LEFT(AC31,4)="http",AC31,IF(H31="Production",set_RMSBase,set_QwilrBase)&amp;AC31),"Open")))</f>
        <v/>
      </c>
      <c r="AE31" s="27">
        <f>IF(E31="","",IFERROR(INDEX(tbl_Production[Total Expense],MATCH(E31&amp;"",tbl_Production[Job Number],0)),IFERROR(INDEX(tbl_Consulting[Total Expense],MATCH(E31&amp;"",tbl_Consulting[Job Number],0)),0)))</f>
        <v/>
      </c>
      <c r="AF31" s="27">
        <f>IF(E31="","",Z31-N(AE31))</f>
        <v/>
      </c>
      <c r="AG31" s="29">
        <f>IFERROR(AF31/Z31,"")</f>
        <v/>
      </c>
      <c r="AH31" s="25">
        <f>IF(E31="","",IFERROR(IF(INDEX(tbl_Onsite[Notes],MATCH(E31&amp;"",tbl_Onsite[Job Number],0))="","",INDEX(tbl_Onsite[Notes],MATCH(E31&amp;"",tbl_Onsite[Job Number],0))),IFERROR(IF(INDEX(tbl_Production[Notes],MATCH(E31&amp;"",tbl_Production[Job Number],0))="","",INDEX(tbl_Production[Notes],MATCH(E31&amp;"",tbl_Production[Job Number],0))),IFERROR(IF(INDEX(tbl_Consulting[Notes],MATCH(E31&amp;"",tbl_Consulting[Job Number],0))="","",INDEX(tbl_Consulting[Notes],MATCH(E31&amp;"",tbl_Consulting[Job Number],0))),""))))</f>
        <v/>
      </c>
    </row>
    <row r="32" ht="15" customHeight="1">
      <c r="A32" s="22" t="n"/>
      <c r="B32" s="23">
        <f>IF(A32="","",EOMONTH(A32,0))</f>
        <v/>
      </c>
      <c r="C32" s="24" t="n"/>
      <c r="D32" s="24" t="n"/>
      <c r="E32" s="24" t="n"/>
      <c r="F32" s="25">
        <f>IF(E32="","",IF(COUNTIF(lst_Jobs,E32&amp;"")&gt;0,"OK","CHECK"))</f>
        <v/>
      </c>
      <c r="G32" s="24" t="n"/>
      <c r="H32" s="24" t="n"/>
      <c r="I32" s="24" t="n"/>
      <c r="J32" s="24" t="n"/>
      <c r="K32" s="24" t="n"/>
      <c r="L32" s="26" t="n"/>
      <c r="M32" s="27">
        <f>IF(L32="","",IF(K32="GST 10%",ROUND(L32*set_GSTRate,2),0))</f>
        <v/>
      </c>
      <c r="N32" s="27">
        <f>IF(L32="","",L32+M32)</f>
        <v/>
      </c>
      <c r="O32" s="24" t="n"/>
      <c r="P32" s="24" t="n"/>
      <c r="Q32" s="24" t="n"/>
      <c r="R32" s="22" t="n"/>
      <c r="S32" s="22" t="n"/>
      <c r="T32" s="24" t="n"/>
      <c r="U32" s="24" t="n"/>
      <c r="V32" s="25">
        <f>IF(COUNTA(A32,D32,C32,L32)=0,"",IF(A32="","No date - sits outside every month",IF(E32="","No job number",IF(F32="CHECK","Job number is not in the Xero job list",IF(I32="","No cost centre",IF(AND(P32="Y",C32=""),"Marked posted to Xero but has no invoice number",IF(AND(L32&lt;&gt;"",K32=""),"No tax code",IF(AND(L32&lt;&gt;"",O32=""),"No revenue GL code",""))))))))</f>
        <v/>
      </c>
      <c r="W32" s="25">
        <f>IF(E32="","",IF(COUNTIF(tbl_Onsite[Job Number],E32&amp;"")&gt;0,"Onsite",IF(COUNTIF(tbl_Production[Job Number],E32&amp;"")&gt;0,"Production",IF(COUNTIF(tbl_Consulting[Job Number],E32&amp;"")&gt;0,"Consulting","not set up yet"))))</f>
        <v/>
      </c>
      <c r="X32" s="25">
        <f>IF(E32="","",IFERROR(INDEX(lst_JobName,MATCH(E32&amp;"",lst_Jobs,0)),""))</f>
        <v/>
      </c>
      <c r="Y32" s="28">
        <f>IF(E32="","",COUNTIFS(tbl_Finance[Job Number],E32&amp;"",tbl_Finance[Ex GST],"&lt;&gt;"))</f>
        <v/>
      </c>
      <c r="Z32" s="27">
        <f>IF(E32="","",SUMIFS(tbl_Finance[Ex GST],tbl_Finance[Job Number],E32&amp;""))</f>
        <v/>
      </c>
      <c r="AA32" s="27">
        <f>IF(E32="","",SUMIFS(tbl_Finance[Ex GST],tbl_Finance[Job Number],E32&amp;"",tbl_Finance[Xero Invoice No],"&lt;&gt;"))</f>
        <v/>
      </c>
      <c r="AB32" s="27">
        <f>IF(E32="","",Z32-AA32)</f>
        <v/>
      </c>
      <c r="AC32" s="25">
        <f>IF(E32="","",IFERROR(IF(INDEX(tbl_Onsite[Qwilr Quote],MATCH(E32&amp;"",tbl_Onsite[Job Number],0))="","",INDEX(tbl_Onsite[Qwilr Quote],MATCH(E32&amp;"",tbl_Onsite[Job Number],0))),IFERROR(IF(IF(INDEX(tbl_Production[Current RMS No],MATCH(E32&amp;"",tbl_Production[Job Number],0))="",INDEX(tbl_Production[Qwilr Quote],MATCH(E32&amp;"",tbl_Production[Job Number],0)),INDEX(tbl_Production[Current RMS No],MATCH(E32&amp;"",tbl_Production[Job Number],0)))="","",IF(INDEX(tbl_Production[Current RMS No],MATCH(E32&amp;"",tbl_Production[Job Number],0))="",INDEX(tbl_Production[Qwilr Quote],MATCH(E32&amp;"",tbl_Production[Job Number],0)),INDEX(tbl_Production[Current RMS No],MATCH(E32&amp;"",tbl_Production[Job Number],0)))),IFERROR(IF(INDEX(tbl_Consulting[Qwilr Quote],MATCH(E32&amp;"",tbl_Consulting[Job Number],0))="","",INDEX(tbl_Consulting[Qwilr Quote],MATCH(E32&amp;"",tbl_Consulting[Job Number],0))),""))))</f>
        <v/>
      </c>
      <c r="AD32" s="25">
        <f>IF(AC32="","",IF(AND(LEFT(AC32,4)&lt;&gt;"http",IF(H32="Production",set_RMSBase,set_QwilrBase)=""),"",HYPERLINK(IF(LEFT(AC32,4)="http",AC32,IF(H32="Production",set_RMSBase,set_QwilrBase)&amp;AC32),"Open")))</f>
        <v/>
      </c>
      <c r="AE32" s="27">
        <f>IF(E32="","",IFERROR(INDEX(tbl_Production[Total Expense],MATCH(E32&amp;"",tbl_Production[Job Number],0)),IFERROR(INDEX(tbl_Consulting[Total Expense],MATCH(E32&amp;"",tbl_Consulting[Job Number],0)),0)))</f>
        <v/>
      </c>
      <c r="AF32" s="27">
        <f>IF(E32="","",Z32-N(AE32))</f>
        <v/>
      </c>
      <c r="AG32" s="29">
        <f>IFERROR(AF32/Z32,"")</f>
        <v/>
      </c>
      <c r="AH32" s="25">
        <f>IF(E32="","",IFERROR(IF(INDEX(tbl_Onsite[Notes],MATCH(E32&amp;"",tbl_Onsite[Job Number],0))="","",INDEX(tbl_Onsite[Notes],MATCH(E32&amp;"",tbl_Onsite[Job Number],0))),IFERROR(IF(INDEX(tbl_Production[Notes],MATCH(E32&amp;"",tbl_Production[Job Number],0))="","",INDEX(tbl_Production[Notes],MATCH(E32&amp;"",tbl_Production[Job Number],0))),IFERROR(IF(INDEX(tbl_Consulting[Notes],MATCH(E32&amp;"",tbl_Consulting[Job Number],0))="","",INDEX(tbl_Consulting[Notes],MATCH(E32&amp;"",tbl_Consulting[Job Number],0))),""))))</f>
        <v/>
      </c>
    </row>
    <row r="33" ht="15" customHeight="1">
      <c r="A33" s="22" t="n"/>
      <c r="B33" s="23">
        <f>IF(A33="","",EOMONTH(A33,0))</f>
        <v/>
      </c>
      <c r="C33" s="24" t="n"/>
      <c r="D33" s="24" t="n"/>
      <c r="E33" s="24" t="n"/>
      <c r="F33" s="25">
        <f>IF(E33="","",IF(COUNTIF(lst_Jobs,E33&amp;"")&gt;0,"OK","CHECK"))</f>
        <v/>
      </c>
      <c r="G33" s="24" t="n"/>
      <c r="H33" s="24" t="n"/>
      <c r="I33" s="24" t="n"/>
      <c r="J33" s="24" t="n"/>
      <c r="K33" s="24" t="n"/>
      <c r="L33" s="26" t="n"/>
      <c r="M33" s="27">
        <f>IF(L33="","",IF(K33="GST 10%",ROUND(L33*set_GSTRate,2),0))</f>
        <v/>
      </c>
      <c r="N33" s="27">
        <f>IF(L33="","",L33+M33)</f>
        <v/>
      </c>
      <c r="O33" s="24" t="n"/>
      <c r="P33" s="24" t="n"/>
      <c r="Q33" s="24" t="n"/>
      <c r="R33" s="22" t="n"/>
      <c r="S33" s="22" t="n"/>
      <c r="T33" s="24" t="n"/>
      <c r="U33" s="24" t="n"/>
      <c r="V33" s="25">
        <f>IF(COUNTA(A33,D33,C33,L33)=0,"",IF(A33="","No date - sits outside every month",IF(E33="","No job number",IF(F33="CHECK","Job number is not in the Xero job list",IF(I33="","No cost centre",IF(AND(P33="Y",C33=""),"Marked posted to Xero but has no invoice number",IF(AND(L33&lt;&gt;"",K33=""),"No tax code",IF(AND(L33&lt;&gt;"",O33=""),"No revenue GL code",""))))))))</f>
        <v/>
      </c>
      <c r="W33" s="25">
        <f>IF(E33="","",IF(COUNTIF(tbl_Onsite[Job Number],E33&amp;"")&gt;0,"Onsite",IF(COUNTIF(tbl_Production[Job Number],E33&amp;"")&gt;0,"Production",IF(COUNTIF(tbl_Consulting[Job Number],E33&amp;"")&gt;0,"Consulting","not set up yet"))))</f>
        <v/>
      </c>
      <c r="X33" s="25">
        <f>IF(E33="","",IFERROR(INDEX(lst_JobName,MATCH(E33&amp;"",lst_Jobs,0)),""))</f>
        <v/>
      </c>
      <c r="Y33" s="28">
        <f>IF(E33="","",COUNTIFS(tbl_Finance[Job Number],E33&amp;"",tbl_Finance[Ex GST],"&lt;&gt;"))</f>
        <v/>
      </c>
      <c r="Z33" s="27">
        <f>IF(E33="","",SUMIFS(tbl_Finance[Ex GST],tbl_Finance[Job Number],E33&amp;""))</f>
        <v/>
      </c>
      <c r="AA33" s="27">
        <f>IF(E33="","",SUMIFS(tbl_Finance[Ex GST],tbl_Finance[Job Number],E33&amp;"",tbl_Finance[Xero Invoice No],"&lt;&gt;"))</f>
        <v/>
      </c>
      <c r="AB33" s="27">
        <f>IF(E33="","",Z33-AA33)</f>
        <v/>
      </c>
      <c r="AC33" s="25">
        <f>IF(E33="","",IFERROR(IF(INDEX(tbl_Onsite[Qwilr Quote],MATCH(E33&amp;"",tbl_Onsite[Job Number],0))="","",INDEX(tbl_Onsite[Qwilr Quote],MATCH(E33&amp;"",tbl_Onsite[Job Number],0))),IFERROR(IF(IF(INDEX(tbl_Production[Current RMS No],MATCH(E33&amp;"",tbl_Production[Job Number],0))="",INDEX(tbl_Production[Qwilr Quote],MATCH(E33&amp;"",tbl_Production[Job Number],0)),INDEX(tbl_Production[Current RMS No],MATCH(E33&amp;"",tbl_Production[Job Number],0)))="","",IF(INDEX(tbl_Production[Current RMS No],MATCH(E33&amp;"",tbl_Production[Job Number],0))="",INDEX(tbl_Production[Qwilr Quote],MATCH(E33&amp;"",tbl_Production[Job Number],0)),INDEX(tbl_Production[Current RMS No],MATCH(E33&amp;"",tbl_Production[Job Number],0)))),IFERROR(IF(INDEX(tbl_Consulting[Qwilr Quote],MATCH(E33&amp;"",tbl_Consulting[Job Number],0))="","",INDEX(tbl_Consulting[Qwilr Quote],MATCH(E33&amp;"",tbl_Consulting[Job Number],0))),""))))</f>
        <v/>
      </c>
      <c r="AD33" s="25">
        <f>IF(AC33="","",IF(AND(LEFT(AC33,4)&lt;&gt;"http",IF(H33="Production",set_RMSBase,set_QwilrBase)=""),"",HYPERLINK(IF(LEFT(AC33,4)="http",AC33,IF(H33="Production",set_RMSBase,set_QwilrBase)&amp;AC33),"Open")))</f>
        <v/>
      </c>
      <c r="AE33" s="27">
        <f>IF(E33="","",IFERROR(INDEX(tbl_Production[Total Expense],MATCH(E33&amp;"",tbl_Production[Job Number],0)),IFERROR(INDEX(tbl_Consulting[Total Expense],MATCH(E33&amp;"",tbl_Consulting[Job Number],0)),0)))</f>
        <v/>
      </c>
      <c r="AF33" s="27">
        <f>IF(E33="","",Z33-N(AE33))</f>
        <v/>
      </c>
      <c r="AG33" s="29">
        <f>IFERROR(AF33/Z33,"")</f>
        <v/>
      </c>
      <c r="AH33" s="25">
        <f>IF(E33="","",IFERROR(IF(INDEX(tbl_Onsite[Notes],MATCH(E33&amp;"",tbl_Onsite[Job Number],0))="","",INDEX(tbl_Onsite[Notes],MATCH(E33&amp;"",tbl_Onsite[Job Number],0))),IFERROR(IF(INDEX(tbl_Production[Notes],MATCH(E33&amp;"",tbl_Production[Job Number],0))="","",INDEX(tbl_Production[Notes],MATCH(E33&amp;"",tbl_Production[Job Number],0))),IFERROR(IF(INDEX(tbl_Consulting[Notes],MATCH(E33&amp;"",tbl_Consulting[Job Number],0))="","",INDEX(tbl_Consulting[Notes],MATCH(E33&amp;"",tbl_Consulting[Job Number],0))),""))))</f>
        <v/>
      </c>
    </row>
    <row r="34" ht="15" customHeight="1">
      <c r="A34" s="22" t="n"/>
      <c r="B34" s="23">
        <f>IF(A34="","",EOMONTH(A34,0))</f>
        <v/>
      </c>
      <c r="C34" s="24" t="n"/>
      <c r="D34" s="24" t="n"/>
      <c r="E34" s="24" t="n"/>
      <c r="F34" s="25">
        <f>IF(E34="","",IF(COUNTIF(lst_Jobs,E34&amp;"")&gt;0,"OK","CHECK"))</f>
        <v/>
      </c>
      <c r="G34" s="24" t="n"/>
      <c r="H34" s="24" t="n"/>
      <c r="I34" s="24" t="n"/>
      <c r="J34" s="24" t="n"/>
      <c r="K34" s="24" t="n"/>
      <c r="L34" s="26" t="n"/>
      <c r="M34" s="27">
        <f>IF(L34="","",IF(K34="GST 10%",ROUND(L34*set_GSTRate,2),0))</f>
        <v/>
      </c>
      <c r="N34" s="27">
        <f>IF(L34="","",L34+M34)</f>
        <v/>
      </c>
      <c r="O34" s="24" t="n"/>
      <c r="P34" s="24" t="n"/>
      <c r="Q34" s="24" t="n"/>
      <c r="R34" s="22" t="n"/>
      <c r="S34" s="22" t="n"/>
      <c r="T34" s="24" t="n"/>
      <c r="U34" s="24" t="n"/>
      <c r="V34" s="25">
        <f>IF(COUNTA(A34,D34,C34,L34)=0,"",IF(A34="","No date - sits outside every month",IF(E34="","No job number",IF(F34="CHECK","Job number is not in the Xero job list",IF(I34="","No cost centre",IF(AND(P34="Y",C34=""),"Marked posted to Xero but has no invoice number",IF(AND(L34&lt;&gt;"",K34=""),"No tax code",IF(AND(L34&lt;&gt;"",O34=""),"No revenue GL code",""))))))))</f>
        <v/>
      </c>
      <c r="W34" s="25">
        <f>IF(E34="","",IF(COUNTIF(tbl_Onsite[Job Number],E34&amp;"")&gt;0,"Onsite",IF(COUNTIF(tbl_Production[Job Number],E34&amp;"")&gt;0,"Production",IF(COUNTIF(tbl_Consulting[Job Number],E34&amp;"")&gt;0,"Consulting","not set up yet"))))</f>
        <v/>
      </c>
      <c r="X34" s="25">
        <f>IF(E34="","",IFERROR(INDEX(lst_JobName,MATCH(E34&amp;"",lst_Jobs,0)),""))</f>
        <v/>
      </c>
      <c r="Y34" s="28">
        <f>IF(E34="","",COUNTIFS(tbl_Finance[Job Number],E34&amp;"",tbl_Finance[Ex GST],"&lt;&gt;"))</f>
        <v/>
      </c>
      <c r="Z34" s="27">
        <f>IF(E34="","",SUMIFS(tbl_Finance[Ex GST],tbl_Finance[Job Number],E34&amp;""))</f>
        <v/>
      </c>
      <c r="AA34" s="27">
        <f>IF(E34="","",SUMIFS(tbl_Finance[Ex GST],tbl_Finance[Job Number],E34&amp;"",tbl_Finance[Xero Invoice No],"&lt;&gt;"))</f>
        <v/>
      </c>
      <c r="AB34" s="27">
        <f>IF(E34="","",Z34-AA34)</f>
        <v/>
      </c>
      <c r="AC34" s="25">
        <f>IF(E34="","",IFERROR(IF(INDEX(tbl_Onsite[Qwilr Quote],MATCH(E34&amp;"",tbl_Onsite[Job Number],0))="","",INDEX(tbl_Onsite[Qwilr Quote],MATCH(E34&amp;"",tbl_Onsite[Job Number],0))),IFERROR(IF(IF(INDEX(tbl_Production[Current RMS No],MATCH(E34&amp;"",tbl_Production[Job Number],0))="",INDEX(tbl_Production[Qwilr Quote],MATCH(E34&amp;"",tbl_Production[Job Number],0)),INDEX(tbl_Production[Current RMS No],MATCH(E34&amp;"",tbl_Production[Job Number],0)))="","",IF(INDEX(tbl_Production[Current RMS No],MATCH(E34&amp;"",tbl_Production[Job Number],0))="",INDEX(tbl_Production[Qwilr Quote],MATCH(E34&amp;"",tbl_Production[Job Number],0)),INDEX(tbl_Production[Current RMS No],MATCH(E34&amp;"",tbl_Production[Job Number],0)))),IFERROR(IF(INDEX(tbl_Consulting[Qwilr Quote],MATCH(E34&amp;"",tbl_Consulting[Job Number],0))="","",INDEX(tbl_Consulting[Qwilr Quote],MATCH(E34&amp;"",tbl_Consulting[Job Number],0))),""))))</f>
        <v/>
      </c>
      <c r="AD34" s="25">
        <f>IF(AC34="","",IF(AND(LEFT(AC34,4)&lt;&gt;"http",IF(H34="Production",set_RMSBase,set_QwilrBase)=""),"",HYPERLINK(IF(LEFT(AC34,4)="http",AC34,IF(H34="Production",set_RMSBase,set_QwilrBase)&amp;AC34),"Open")))</f>
        <v/>
      </c>
      <c r="AE34" s="27">
        <f>IF(E34="","",IFERROR(INDEX(tbl_Production[Total Expense],MATCH(E34&amp;"",tbl_Production[Job Number],0)),IFERROR(INDEX(tbl_Consulting[Total Expense],MATCH(E34&amp;"",tbl_Consulting[Job Number],0)),0)))</f>
        <v/>
      </c>
      <c r="AF34" s="27">
        <f>IF(E34="","",Z34-N(AE34))</f>
        <v/>
      </c>
      <c r="AG34" s="29">
        <f>IFERROR(AF34/Z34,"")</f>
        <v/>
      </c>
      <c r="AH34" s="25">
        <f>IF(E34="","",IFERROR(IF(INDEX(tbl_Onsite[Notes],MATCH(E34&amp;"",tbl_Onsite[Job Number],0))="","",INDEX(tbl_Onsite[Notes],MATCH(E34&amp;"",tbl_Onsite[Job Number],0))),IFERROR(IF(INDEX(tbl_Production[Notes],MATCH(E34&amp;"",tbl_Production[Job Number],0))="","",INDEX(tbl_Production[Notes],MATCH(E34&amp;"",tbl_Production[Job Number],0))),IFERROR(IF(INDEX(tbl_Consulting[Notes],MATCH(E34&amp;"",tbl_Consulting[Job Number],0))="","",INDEX(tbl_Consulting[Notes],MATCH(E34&amp;"",tbl_Consulting[Job Number],0))),""))))</f>
        <v/>
      </c>
    </row>
    <row r="35" ht="15" customHeight="1">
      <c r="A35" s="22" t="n"/>
      <c r="B35" s="23">
        <f>IF(A35="","",EOMONTH(A35,0))</f>
        <v/>
      </c>
      <c r="C35" s="24" t="n"/>
      <c r="D35" s="24" t="n"/>
      <c r="E35" s="24" t="n"/>
      <c r="F35" s="25">
        <f>IF(E35="","",IF(COUNTIF(lst_Jobs,E35&amp;"")&gt;0,"OK","CHECK"))</f>
        <v/>
      </c>
      <c r="G35" s="24" t="n"/>
      <c r="H35" s="24" t="n"/>
      <c r="I35" s="24" t="n"/>
      <c r="J35" s="24" t="n"/>
      <c r="K35" s="24" t="n"/>
      <c r="L35" s="26" t="n"/>
      <c r="M35" s="27">
        <f>IF(L35="","",IF(K35="GST 10%",ROUND(L35*set_GSTRate,2),0))</f>
        <v/>
      </c>
      <c r="N35" s="27">
        <f>IF(L35="","",L35+M35)</f>
        <v/>
      </c>
      <c r="O35" s="24" t="n"/>
      <c r="P35" s="24" t="n"/>
      <c r="Q35" s="24" t="n"/>
      <c r="R35" s="22" t="n"/>
      <c r="S35" s="22" t="n"/>
      <c r="T35" s="24" t="n"/>
      <c r="U35" s="24" t="n"/>
      <c r="V35" s="25">
        <f>IF(COUNTA(A35,D35,C35,L35)=0,"",IF(A35="","No date - sits outside every month",IF(E35="","No job number",IF(F35="CHECK","Job number is not in the Xero job list",IF(I35="","No cost centre",IF(AND(P35="Y",C35=""),"Marked posted to Xero but has no invoice number",IF(AND(L35&lt;&gt;"",K35=""),"No tax code",IF(AND(L35&lt;&gt;"",O35=""),"No revenue GL code",""))))))))</f>
        <v/>
      </c>
      <c r="W35" s="25">
        <f>IF(E35="","",IF(COUNTIF(tbl_Onsite[Job Number],E35&amp;"")&gt;0,"Onsite",IF(COUNTIF(tbl_Production[Job Number],E35&amp;"")&gt;0,"Production",IF(COUNTIF(tbl_Consulting[Job Number],E35&amp;"")&gt;0,"Consulting","not set up yet"))))</f>
        <v/>
      </c>
      <c r="X35" s="25">
        <f>IF(E35="","",IFERROR(INDEX(lst_JobName,MATCH(E35&amp;"",lst_Jobs,0)),""))</f>
        <v/>
      </c>
      <c r="Y35" s="28">
        <f>IF(E35="","",COUNTIFS(tbl_Finance[Job Number],E35&amp;"",tbl_Finance[Ex GST],"&lt;&gt;"))</f>
        <v/>
      </c>
      <c r="Z35" s="27">
        <f>IF(E35="","",SUMIFS(tbl_Finance[Ex GST],tbl_Finance[Job Number],E35&amp;""))</f>
        <v/>
      </c>
      <c r="AA35" s="27">
        <f>IF(E35="","",SUMIFS(tbl_Finance[Ex GST],tbl_Finance[Job Number],E35&amp;"",tbl_Finance[Xero Invoice No],"&lt;&gt;"))</f>
        <v/>
      </c>
      <c r="AB35" s="27">
        <f>IF(E35="","",Z35-AA35)</f>
        <v/>
      </c>
      <c r="AC35" s="25">
        <f>IF(E35="","",IFERROR(IF(INDEX(tbl_Onsite[Qwilr Quote],MATCH(E35&amp;"",tbl_Onsite[Job Number],0))="","",INDEX(tbl_Onsite[Qwilr Quote],MATCH(E35&amp;"",tbl_Onsite[Job Number],0))),IFERROR(IF(IF(INDEX(tbl_Production[Current RMS No],MATCH(E35&amp;"",tbl_Production[Job Number],0))="",INDEX(tbl_Production[Qwilr Quote],MATCH(E35&amp;"",tbl_Production[Job Number],0)),INDEX(tbl_Production[Current RMS No],MATCH(E35&amp;"",tbl_Production[Job Number],0)))="","",IF(INDEX(tbl_Production[Current RMS No],MATCH(E35&amp;"",tbl_Production[Job Number],0))="",INDEX(tbl_Production[Qwilr Quote],MATCH(E35&amp;"",tbl_Production[Job Number],0)),INDEX(tbl_Production[Current RMS No],MATCH(E35&amp;"",tbl_Production[Job Number],0)))),IFERROR(IF(INDEX(tbl_Consulting[Qwilr Quote],MATCH(E35&amp;"",tbl_Consulting[Job Number],0))="","",INDEX(tbl_Consulting[Qwilr Quote],MATCH(E35&amp;"",tbl_Consulting[Job Number],0))),""))))</f>
        <v/>
      </c>
      <c r="AD35" s="25">
        <f>IF(AC35="","",IF(AND(LEFT(AC35,4)&lt;&gt;"http",IF(H35="Production",set_RMSBase,set_QwilrBase)=""),"",HYPERLINK(IF(LEFT(AC35,4)="http",AC35,IF(H35="Production",set_RMSBase,set_QwilrBase)&amp;AC35),"Open")))</f>
        <v/>
      </c>
      <c r="AE35" s="27">
        <f>IF(E35="","",IFERROR(INDEX(tbl_Production[Total Expense],MATCH(E35&amp;"",tbl_Production[Job Number],0)),IFERROR(INDEX(tbl_Consulting[Total Expense],MATCH(E35&amp;"",tbl_Consulting[Job Number],0)),0)))</f>
        <v/>
      </c>
      <c r="AF35" s="27">
        <f>IF(E35="","",Z35-N(AE35))</f>
        <v/>
      </c>
      <c r="AG35" s="29">
        <f>IFERROR(AF35/Z35,"")</f>
        <v/>
      </c>
      <c r="AH35" s="25">
        <f>IF(E35="","",IFERROR(IF(INDEX(tbl_Onsite[Notes],MATCH(E35&amp;"",tbl_Onsite[Job Number],0))="","",INDEX(tbl_Onsite[Notes],MATCH(E35&amp;"",tbl_Onsite[Job Number],0))),IFERROR(IF(INDEX(tbl_Production[Notes],MATCH(E35&amp;"",tbl_Production[Job Number],0))="","",INDEX(tbl_Production[Notes],MATCH(E35&amp;"",tbl_Production[Job Number],0))),IFERROR(IF(INDEX(tbl_Consulting[Notes],MATCH(E35&amp;"",tbl_Consulting[Job Number],0))="","",INDEX(tbl_Consulting[Notes],MATCH(E35&amp;"",tbl_Consulting[Job Number],0))),""))))</f>
        <v/>
      </c>
    </row>
    <row r="36" ht="15" customHeight="1">
      <c r="A36" s="22" t="n"/>
      <c r="B36" s="23">
        <f>IF(A36="","",EOMONTH(A36,0))</f>
        <v/>
      </c>
      <c r="C36" s="24" t="n"/>
      <c r="D36" s="24" t="n"/>
      <c r="E36" s="24" t="n"/>
      <c r="F36" s="25">
        <f>IF(E36="","",IF(COUNTIF(lst_Jobs,E36&amp;"")&gt;0,"OK","CHECK"))</f>
        <v/>
      </c>
      <c r="G36" s="24" t="n"/>
      <c r="H36" s="24" t="n"/>
      <c r="I36" s="24" t="n"/>
      <c r="J36" s="24" t="n"/>
      <c r="K36" s="24" t="n"/>
      <c r="L36" s="26" t="n"/>
      <c r="M36" s="27">
        <f>IF(L36="","",IF(K36="GST 10%",ROUND(L36*set_GSTRate,2),0))</f>
        <v/>
      </c>
      <c r="N36" s="27">
        <f>IF(L36="","",L36+M36)</f>
        <v/>
      </c>
      <c r="O36" s="24" t="n"/>
      <c r="P36" s="24" t="n"/>
      <c r="Q36" s="24" t="n"/>
      <c r="R36" s="22" t="n"/>
      <c r="S36" s="22" t="n"/>
      <c r="T36" s="24" t="n"/>
      <c r="U36" s="24" t="n"/>
      <c r="V36" s="25">
        <f>IF(COUNTA(A36,D36,C36,L36)=0,"",IF(A36="","No date - sits outside every month",IF(E36="","No job number",IF(F36="CHECK","Job number is not in the Xero job list",IF(I36="","No cost centre",IF(AND(P36="Y",C36=""),"Marked posted to Xero but has no invoice number",IF(AND(L36&lt;&gt;"",K36=""),"No tax code",IF(AND(L36&lt;&gt;"",O36=""),"No revenue GL code",""))))))))</f>
        <v/>
      </c>
      <c r="W36" s="25">
        <f>IF(E36="","",IF(COUNTIF(tbl_Onsite[Job Number],E36&amp;"")&gt;0,"Onsite",IF(COUNTIF(tbl_Production[Job Number],E36&amp;"")&gt;0,"Production",IF(COUNTIF(tbl_Consulting[Job Number],E36&amp;"")&gt;0,"Consulting","not set up yet"))))</f>
        <v/>
      </c>
      <c r="X36" s="25">
        <f>IF(E36="","",IFERROR(INDEX(lst_JobName,MATCH(E36&amp;"",lst_Jobs,0)),""))</f>
        <v/>
      </c>
      <c r="Y36" s="28">
        <f>IF(E36="","",COUNTIFS(tbl_Finance[Job Number],E36&amp;"",tbl_Finance[Ex GST],"&lt;&gt;"))</f>
        <v/>
      </c>
      <c r="Z36" s="27">
        <f>IF(E36="","",SUMIFS(tbl_Finance[Ex GST],tbl_Finance[Job Number],E36&amp;""))</f>
        <v/>
      </c>
      <c r="AA36" s="27">
        <f>IF(E36="","",SUMIFS(tbl_Finance[Ex GST],tbl_Finance[Job Number],E36&amp;"",tbl_Finance[Xero Invoice No],"&lt;&gt;"))</f>
        <v/>
      </c>
      <c r="AB36" s="27">
        <f>IF(E36="","",Z36-AA36)</f>
        <v/>
      </c>
      <c r="AC36" s="25">
        <f>IF(E36="","",IFERROR(IF(INDEX(tbl_Onsite[Qwilr Quote],MATCH(E36&amp;"",tbl_Onsite[Job Number],0))="","",INDEX(tbl_Onsite[Qwilr Quote],MATCH(E36&amp;"",tbl_Onsite[Job Number],0))),IFERROR(IF(IF(INDEX(tbl_Production[Current RMS No],MATCH(E36&amp;"",tbl_Production[Job Number],0))="",INDEX(tbl_Production[Qwilr Quote],MATCH(E36&amp;"",tbl_Production[Job Number],0)),INDEX(tbl_Production[Current RMS No],MATCH(E36&amp;"",tbl_Production[Job Number],0)))="","",IF(INDEX(tbl_Production[Current RMS No],MATCH(E36&amp;"",tbl_Production[Job Number],0))="",INDEX(tbl_Production[Qwilr Quote],MATCH(E36&amp;"",tbl_Production[Job Number],0)),INDEX(tbl_Production[Current RMS No],MATCH(E36&amp;"",tbl_Production[Job Number],0)))),IFERROR(IF(INDEX(tbl_Consulting[Qwilr Quote],MATCH(E36&amp;"",tbl_Consulting[Job Number],0))="","",INDEX(tbl_Consulting[Qwilr Quote],MATCH(E36&amp;"",tbl_Consulting[Job Number],0))),""))))</f>
        <v/>
      </c>
      <c r="AD36" s="25">
        <f>IF(AC36="","",IF(AND(LEFT(AC36,4)&lt;&gt;"http",IF(H36="Production",set_RMSBase,set_QwilrBase)=""),"",HYPERLINK(IF(LEFT(AC36,4)="http",AC36,IF(H36="Production",set_RMSBase,set_QwilrBase)&amp;AC36),"Open")))</f>
        <v/>
      </c>
      <c r="AE36" s="27">
        <f>IF(E36="","",IFERROR(INDEX(tbl_Production[Total Expense],MATCH(E36&amp;"",tbl_Production[Job Number],0)),IFERROR(INDEX(tbl_Consulting[Total Expense],MATCH(E36&amp;"",tbl_Consulting[Job Number],0)),0)))</f>
        <v/>
      </c>
      <c r="AF36" s="27">
        <f>IF(E36="","",Z36-N(AE36))</f>
        <v/>
      </c>
      <c r="AG36" s="29">
        <f>IFERROR(AF36/Z36,"")</f>
        <v/>
      </c>
      <c r="AH36" s="25">
        <f>IF(E36="","",IFERROR(IF(INDEX(tbl_Onsite[Notes],MATCH(E36&amp;"",tbl_Onsite[Job Number],0))="","",INDEX(tbl_Onsite[Notes],MATCH(E36&amp;"",tbl_Onsite[Job Number],0))),IFERROR(IF(INDEX(tbl_Production[Notes],MATCH(E36&amp;"",tbl_Production[Job Number],0))="","",INDEX(tbl_Production[Notes],MATCH(E36&amp;"",tbl_Production[Job Number],0))),IFERROR(IF(INDEX(tbl_Consulting[Notes],MATCH(E36&amp;"",tbl_Consulting[Job Number],0))="","",INDEX(tbl_Consulting[Notes],MATCH(E36&amp;"",tbl_Consulting[Job Number],0))),""))))</f>
        <v/>
      </c>
    </row>
    <row r="37" ht="15" customHeight="1">
      <c r="A37" s="22" t="n"/>
      <c r="B37" s="23">
        <f>IF(A37="","",EOMONTH(A37,0))</f>
        <v/>
      </c>
      <c r="C37" s="24" t="n"/>
      <c r="D37" s="24" t="n"/>
      <c r="E37" s="24" t="n"/>
      <c r="F37" s="25">
        <f>IF(E37="","",IF(COUNTIF(lst_Jobs,E37&amp;"")&gt;0,"OK","CHECK"))</f>
        <v/>
      </c>
      <c r="G37" s="24" t="n"/>
      <c r="H37" s="24" t="n"/>
      <c r="I37" s="24" t="n"/>
      <c r="J37" s="24" t="n"/>
      <c r="K37" s="24" t="n"/>
      <c r="L37" s="26" t="n"/>
      <c r="M37" s="27">
        <f>IF(L37="","",IF(K37="GST 10%",ROUND(L37*set_GSTRate,2),0))</f>
        <v/>
      </c>
      <c r="N37" s="27">
        <f>IF(L37="","",L37+M37)</f>
        <v/>
      </c>
      <c r="O37" s="24" t="n"/>
      <c r="P37" s="24" t="n"/>
      <c r="Q37" s="24" t="n"/>
      <c r="R37" s="22" t="n"/>
      <c r="S37" s="22" t="n"/>
      <c r="T37" s="24" t="n"/>
      <c r="U37" s="24" t="n"/>
      <c r="V37" s="25">
        <f>IF(COUNTA(A37,D37,C37,L37)=0,"",IF(A37="","No date - sits outside every month",IF(E37="","No job number",IF(F37="CHECK","Job number is not in the Xero job list",IF(I37="","No cost centre",IF(AND(P37="Y",C37=""),"Marked posted to Xero but has no invoice number",IF(AND(L37&lt;&gt;"",K37=""),"No tax code",IF(AND(L37&lt;&gt;"",O37=""),"No revenue GL code",""))))))))</f>
        <v/>
      </c>
      <c r="W37" s="25">
        <f>IF(E37="","",IF(COUNTIF(tbl_Onsite[Job Number],E37&amp;"")&gt;0,"Onsite",IF(COUNTIF(tbl_Production[Job Number],E37&amp;"")&gt;0,"Production",IF(COUNTIF(tbl_Consulting[Job Number],E37&amp;"")&gt;0,"Consulting","not set up yet"))))</f>
        <v/>
      </c>
      <c r="X37" s="25">
        <f>IF(E37="","",IFERROR(INDEX(lst_JobName,MATCH(E37&amp;"",lst_Jobs,0)),""))</f>
        <v/>
      </c>
      <c r="Y37" s="28">
        <f>IF(E37="","",COUNTIFS(tbl_Finance[Job Number],E37&amp;"",tbl_Finance[Ex GST],"&lt;&gt;"))</f>
        <v/>
      </c>
      <c r="Z37" s="27">
        <f>IF(E37="","",SUMIFS(tbl_Finance[Ex GST],tbl_Finance[Job Number],E37&amp;""))</f>
        <v/>
      </c>
      <c r="AA37" s="27">
        <f>IF(E37="","",SUMIFS(tbl_Finance[Ex GST],tbl_Finance[Job Number],E37&amp;"",tbl_Finance[Xero Invoice No],"&lt;&gt;"))</f>
        <v/>
      </c>
      <c r="AB37" s="27">
        <f>IF(E37="","",Z37-AA37)</f>
        <v/>
      </c>
      <c r="AC37" s="25">
        <f>IF(E37="","",IFERROR(IF(INDEX(tbl_Onsite[Qwilr Quote],MATCH(E37&amp;"",tbl_Onsite[Job Number],0))="","",INDEX(tbl_Onsite[Qwilr Quote],MATCH(E37&amp;"",tbl_Onsite[Job Number],0))),IFERROR(IF(IF(INDEX(tbl_Production[Current RMS No],MATCH(E37&amp;"",tbl_Production[Job Number],0))="",INDEX(tbl_Production[Qwilr Quote],MATCH(E37&amp;"",tbl_Production[Job Number],0)),INDEX(tbl_Production[Current RMS No],MATCH(E37&amp;"",tbl_Production[Job Number],0)))="","",IF(INDEX(tbl_Production[Current RMS No],MATCH(E37&amp;"",tbl_Production[Job Number],0))="",INDEX(tbl_Production[Qwilr Quote],MATCH(E37&amp;"",tbl_Production[Job Number],0)),INDEX(tbl_Production[Current RMS No],MATCH(E37&amp;"",tbl_Production[Job Number],0)))),IFERROR(IF(INDEX(tbl_Consulting[Qwilr Quote],MATCH(E37&amp;"",tbl_Consulting[Job Number],0))="","",INDEX(tbl_Consulting[Qwilr Quote],MATCH(E37&amp;"",tbl_Consulting[Job Number],0))),""))))</f>
        <v/>
      </c>
      <c r="AD37" s="25">
        <f>IF(AC37="","",IF(AND(LEFT(AC37,4)&lt;&gt;"http",IF(H37="Production",set_RMSBase,set_QwilrBase)=""),"",HYPERLINK(IF(LEFT(AC37,4)="http",AC37,IF(H37="Production",set_RMSBase,set_QwilrBase)&amp;AC37),"Open")))</f>
        <v/>
      </c>
      <c r="AE37" s="27">
        <f>IF(E37="","",IFERROR(INDEX(tbl_Production[Total Expense],MATCH(E37&amp;"",tbl_Production[Job Number],0)),IFERROR(INDEX(tbl_Consulting[Total Expense],MATCH(E37&amp;"",tbl_Consulting[Job Number],0)),0)))</f>
        <v/>
      </c>
      <c r="AF37" s="27">
        <f>IF(E37="","",Z37-N(AE37))</f>
        <v/>
      </c>
      <c r="AG37" s="29">
        <f>IFERROR(AF37/Z37,"")</f>
        <v/>
      </c>
      <c r="AH37" s="25">
        <f>IF(E37="","",IFERROR(IF(INDEX(tbl_Onsite[Notes],MATCH(E37&amp;"",tbl_Onsite[Job Number],0))="","",INDEX(tbl_Onsite[Notes],MATCH(E37&amp;"",tbl_Onsite[Job Number],0))),IFERROR(IF(INDEX(tbl_Production[Notes],MATCH(E37&amp;"",tbl_Production[Job Number],0))="","",INDEX(tbl_Production[Notes],MATCH(E37&amp;"",tbl_Production[Job Number],0))),IFERROR(IF(INDEX(tbl_Consulting[Notes],MATCH(E37&amp;"",tbl_Consulting[Job Number],0))="","",INDEX(tbl_Consulting[Notes],MATCH(E37&amp;"",tbl_Consulting[Job Number],0))),""))))</f>
        <v/>
      </c>
    </row>
    <row r="38" ht="15" customHeight="1">
      <c r="A38" s="22" t="n"/>
      <c r="B38" s="23">
        <f>IF(A38="","",EOMONTH(A38,0))</f>
        <v/>
      </c>
      <c r="C38" s="24" t="n"/>
      <c r="D38" s="24" t="n"/>
      <c r="E38" s="24" t="n"/>
      <c r="F38" s="25">
        <f>IF(E38="","",IF(COUNTIF(lst_Jobs,E38&amp;"")&gt;0,"OK","CHECK"))</f>
        <v/>
      </c>
      <c r="G38" s="24" t="n"/>
      <c r="H38" s="24" t="n"/>
      <c r="I38" s="24" t="n"/>
      <c r="J38" s="24" t="n"/>
      <c r="K38" s="24" t="n"/>
      <c r="L38" s="26" t="n"/>
      <c r="M38" s="27">
        <f>IF(L38="","",IF(K38="GST 10%",ROUND(L38*set_GSTRate,2),0))</f>
        <v/>
      </c>
      <c r="N38" s="27">
        <f>IF(L38="","",L38+M38)</f>
        <v/>
      </c>
      <c r="O38" s="24" t="n"/>
      <c r="P38" s="24" t="n"/>
      <c r="Q38" s="24" t="n"/>
      <c r="R38" s="22" t="n"/>
      <c r="S38" s="22" t="n"/>
      <c r="T38" s="24" t="n"/>
      <c r="U38" s="24" t="n"/>
      <c r="V38" s="25">
        <f>IF(COUNTA(A38,D38,C38,L38)=0,"",IF(A38="","No date - sits outside every month",IF(E38="","No job number",IF(F38="CHECK","Job number is not in the Xero job list",IF(I38="","No cost centre",IF(AND(P38="Y",C38=""),"Marked posted to Xero but has no invoice number",IF(AND(L38&lt;&gt;"",K38=""),"No tax code",IF(AND(L38&lt;&gt;"",O38=""),"No revenue GL code",""))))))))</f>
        <v/>
      </c>
      <c r="W38" s="25">
        <f>IF(E38="","",IF(COUNTIF(tbl_Onsite[Job Number],E38&amp;"")&gt;0,"Onsite",IF(COUNTIF(tbl_Production[Job Number],E38&amp;"")&gt;0,"Production",IF(COUNTIF(tbl_Consulting[Job Number],E38&amp;"")&gt;0,"Consulting","not set up yet"))))</f>
        <v/>
      </c>
      <c r="X38" s="25">
        <f>IF(E38="","",IFERROR(INDEX(lst_JobName,MATCH(E38&amp;"",lst_Jobs,0)),""))</f>
        <v/>
      </c>
      <c r="Y38" s="28">
        <f>IF(E38="","",COUNTIFS(tbl_Finance[Job Number],E38&amp;"",tbl_Finance[Ex GST],"&lt;&gt;"))</f>
        <v/>
      </c>
      <c r="Z38" s="27">
        <f>IF(E38="","",SUMIFS(tbl_Finance[Ex GST],tbl_Finance[Job Number],E38&amp;""))</f>
        <v/>
      </c>
      <c r="AA38" s="27">
        <f>IF(E38="","",SUMIFS(tbl_Finance[Ex GST],tbl_Finance[Job Number],E38&amp;"",tbl_Finance[Xero Invoice No],"&lt;&gt;"))</f>
        <v/>
      </c>
      <c r="AB38" s="27">
        <f>IF(E38="","",Z38-AA38)</f>
        <v/>
      </c>
      <c r="AC38" s="25">
        <f>IF(E38="","",IFERROR(IF(INDEX(tbl_Onsite[Qwilr Quote],MATCH(E38&amp;"",tbl_Onsite[Job Number],0))="","",INDEX(tbl_Onsite[Qwilr Quote],MATCH(E38&amp;"",tbl_Onsite[Job Number],0))),IFERROR(IF(IF(INDEX(tbl_Production[Current RMS No],MATCH(E38&amp;"",tbl_Production[Job Number],0))="",INDEX(tbl_Production[Qwilr Quote],MATCH(E38&amp;"",tbl_Production[Job Number],0)),INDEX(tbl_Production[Current RMS No],MATCH(E38&amp;"",tbl_Production[Job Number],0)))="","",IF(INDEX(tbl_Production[Current RMS No],MATCH(E38&amp;"",tbl_Production[Job Number],0))="",INDEX(tbl_Production[Qwilr Quote],MATCH(E38&amp;"",tbl_Production[Job Number],0)),INDEX(tbl_Production[Current RMS No],MATCH(E38&amp;"",tbl_Production[Job Number],0)))),IFERROR(IF(INDEX(tbl_Consulting[Qwilr Quote],MATCH(E38&amp;"",tbl_Consulting[Job Number],0))="","",INDEX(tbl_Consulting[Qwilr Quote],MATCH(E38&amp;"",tbl_Consulting[Job Number],0))),""))))</f>
        <v/>
      </c>
      <c r="AD38" s="25">
        <f>IF(AC38="","",IF(AND(LEFT(AC38,4)&lt;&gt;"http",IF(H38="Production",set_RMSBase,set_QwilrBase)=""),"",HYPERLINK(IF(LEFT(AC38,4)="http",AC38,IF(H38="Production",set_RMSBase,set_QwilrBase)&amp;AC38),"Open")))</f>
        <v/>
      </c>
      <c r="AE38" s="27">
        <f>IF(E38="","",IFERROR(INDEX(tbl_Production[Total Expense],MATCH(E38&amp;"",tbl_Production[Job Number],0)),IFERROR(INDEX(tbl_Consulting[Total Expense],MATCH(E38&amp;"",tbl_Consulting[Job Number],0)),0)))</f>
        <v/>
      </c>
      <c r="AF38" s="27">
        <f>IF(E38="","",Z38-N(AE38))</f>
        <v/>
      </c>
      <c r="AG38" s="29">
        <f>IFERROR(AF38/Z38,"")</f>
        <v/>
      </c>
      <c r="AH38" s="25">
        <f>IF(E38="","",IFERROR(IF(INDEX(tbl_Onsite[Notes],MATCH(E38&amp;"",tbl_Onsite[Job Number],0))="","",INDEX(tbl_Onsite[Notes],MATCH(E38&amp;"",tbl_Onsite[Job Number],0))),IFERROR(IF(INDEX(tbl_Production[Notes],MATCH(E38&amp;"",tbl_Production[Job Number],0))="","",INDEX(tbl_Production[Notes],MATCH(E38&amp;"",tbl_Production[Job Number],0))),IFERROR(IF(INDEX(tbl_Consulting[Notes],MATCH(E38&amp;"",tbl_Consulting[Job Number],0))="","",INDEX(tbl_Consulting[Notes],MATCH(E38&amp;"",tbl_Consulting[Job Number],0))),""))))</f>
        <v/>
      </c>
    </row>
    <row r="39" ht="15" customHeight="1">
      <c r="A39" s="22" t="n"/>
      <c r="B39" s="23">
        <f>IF(A39="","",EOMONTH(A39,0))</f>
        <v/>
      </c>
      <c r="C39" s="24" t="n"/>
      <c r="D39" s="24" t="n"/>
      <c r="E39" s="24" t="n"/>
      <c r="F39" s="25">
        <f>IF(E39="","",IF(COUNTIF(lst_Jobs,E39&amp;"")&gt;0,"OK","CHECK"))</f>
        <v/>
      </c>
      <c r="G39" s="24" t="n"/>
      <c r="H39" s="24" t="n"/>
      <c r="I39" s="24" t="n"/>
      <c r="J39" s="24" t="n"/>
      <c r="K39" s="24" t="n"/>
      <c r="L39" s="26" t="n"/>
      <c r="M39" s="27">
        <f>IF(L39="","",IF(K39="GST 10%",ROUND(L39*set_GSTRate,2),0))</f>
        <v/>
      </c>
      <c r="N39" s="27">
        <f>IF(L39="","",L39+M39)</f>
        <v/>
      </c>
      <c r="O39" s="24" t="n"/>
      <c r="P39" s="24" t="n"/>
      <c r="Q39" s="24" t="n"/>
      <c r="R39" s="22" t="n"/>
      <c r="S39" s="22" t="n"/>
      <c r="T39" s="24" t="n"/>
      <c r="U39" s="24" t="n"/>
      <c r="V39" s="25">
        <f>IF(COUNTA(A39,D39,C39,L39)=0,"",IF(A39="","No date - sits outside every month",IF(E39="","No job number",IF(F39="CHECK","Job number is not in the Xero job list",IF(I39="","No cost centre",IF(AND(P39="Y",C39=""),"Marked posted to Xero but has no invoice number",IF(AND(L39&lt;&gt;"",K39=""),"No tax code",IF(AND(L39&lt;&gt;"",O39=""),"No revenue GL code",""))))))))</f>
        <v/>
      </c>
      <c r="W39" s="25">
        <f>IF(E39="","",IF(COUNTIF(tbl_Onsite[Job Number],E39&amp;"")&gt;0,"Onsite",IF(COUNTIF(tbl_Production[Job Number],E39&amp;"")&gt;0,"Production",IF(COUNTIF(tbl_Consulting[Job Number],E39&amp;"")&gt;0,"Consulting","not set up yet"))))</f>
        <v/>
      </c>
      <c r="X39" s="25">
        <f>IF(E39="","",IFERROR(INDEX(lst_JobName,MATCH(E39&amp;"",lst_Jobs,0)),""))</f>
        <v/>
      </c>
      <c r="Y39" s="28">
        <f>IF(E39="","",COUNTIFS(tbl_Finance[Job Number],E39&amp;"",tbl_Finance[Ex GST],"&lt;&gt;"))</f>
        <v/>
      </c>
      <c r="Z39" s="27">
        <f>IF(E39="","",SUMIFS(tbl_Finance[Ex GST],tbl_Finance[Job Number],E39&amp;""))</f>
        <v/>
      </c>
      <c r="AA39" s="27">
        <f>IF(E39="","",SUMIFS(tbl_Finance[Ex GST],tbl_Finance[Job Number],E39&amp;"",tbl_Finance[Xero Invoice No],"&lt;&gt;"))</f>
        <v/>
      </c>
      <c r="AB39" s="27">
        <f>IF(E39="","",Z39-AA39)</f>
        <v/>
      </c>
      <c r="AC39" s="25">
        <f>IF(E39="","",IFERROR(IF(INDEX(tbl_Onsite[Qwilr Quote],MATCH(E39&amp;"",tbl_Onsite[Job Number],0))="","",INDEX(tbl_Onsite[Qwilr Quote],MATCH(E39&amp;"",tbl_Onsite[Job Number],0))),IFERROR(IF(IF(INDEX(tbl_Production[Current RMS No],MATCH(E39&amp;"",tbl_Production[Job Number],0))="",INDEX(tbl_Production[Qwilr Quote],MATCH(E39&amp;"",tbl_Production[Job Number],0)),INDEX(tbl_Production[Current RMS No],MATCH(E39&amp;"",tbl_Production[Job Number],0)))="","",IF(INDEX(tbl_Production[Current RMS No],MATCH(E39&amp;"",tbl_Production[Job Number],0))="",INDEX(tbl_Production[Qwilr Quote],MATCH(E39&amp;"",tbl_Production[Job Number],0)),INDEX(tbl_Production[Current RMS No],MATCH(E39&amp;"",tbl_Production[Job Number],0)))),IFERROR(IF(INDEX(tbl_Consulting[Qwilr Quote],MATCH(E39&amp;"",tbl_Consulting[Job Number],0))="","",INDEX(tbl_Consulting[Qwilr Quote],MATCH(E39&amp;"",tbl_Consulting[Job Number],0))),""))))</f>
        <v/>
      </c>
      <c r="AD39" s="25">
        <f>IF(AC39="","",IF(AND(LEFT(AC39,4)&lt;&gt;"http",IF(H39="Production",set_RMSBase,set_QwilrBase)=""),"",HYPERLINK(IF(LEFT(AC39,4)="http",AC39,IF(H39="Production",set_RMSBase,set_QwilrBase)&amp;AC39),"Open")))</f>
        <v/>
      </c>
      <c r="AE39" s="27">
        <f>IF(E39="","",IFERROR(INDEX(tbl_Production[Total Expense],MATCH(E39&amp;"",tbl_Production[Job Number],0)),IFERROR(INDEX(tbl_Consulting[Total Expense],MATCH(E39&amp;"",tbl_Consulting[Job Number],0)),0)))</f>
        <v/>
      </c>
      <c r="AF39" s="27">
        <f>IF(E39="","",Z39-N(AE39))</f>
        <v/>
      </c>
      <c r="AG39" s="29">
        <f>IFERROR(AF39/Z39,"")</f>
        <v/>
      </c>
      <c r="AH39" s="25">
        <f>IF(E39="","",IFERROR(IF(INDEX(tbl_Onsite[Notes],MATCH(E39&amp;"",tbl_Onsite[Job Number],0))="","",INDEX(tbl_Onsite[Notes],MATCH(E39&amp;"",tbl_Onsite[Job Number],0))),IFERROR(IF(INDEX(tbl_Production[Notes],MATCH(E39&amp;"",tbl_Production[Job Number],0))="","",INDEX(tbl_Production[Notes],MATCH(E39&amp;"",tbl_Production[Job Number],0))),IFERROR(IF(INDEX(tbl_Consulting[Notes],MATCH(E39&amp;"",tbl_Consulting[Job Number],0))="","",INDEX(tbl_Consulting[Notes],MATCH(E39&amp;"",tbl_Consulting[Job Number],0))),""))))</f>
        <v/>
      </c>
    </row>
    <row r="40" ht="15" customHeight="1">
      <c r="A40" s="22" t="n"/>
      <c r="B40" s="23">
        <f>IF(A40="","",EOMONTH(A40,0))</f>
        <v/>
      </c>
      <c r="C40" s="24" t="n"/>
      <c r="D40" s="24" t="n"/>
      <c r="E40" s="24" t="n"/>
      <c r="F40" s="25">
        <f>IF(E40="","",IF(COUNTIF(lst_Jobs,E40&amp;"")&gt;0,"OK","CHECK"))</f>
        <v/>
      </c>
      <c r="G40" s="24" t="n"/>
      <c r="H40" s="24" t="n"/>
      <c r="I40" s="24" t="n"/>
      <c r="J40" s="24" t="n"/>
      <c r="K40" s="24" t="n"/>
      <c r="L40" s="26" t="n"/>
      <c r="M40" s="27">
        <f>IF(L40="","",IF(K40="GST 10%",ROUND(L40*set_GSTRate,2),0))</f>
        <v/>
      </c>
      <c r="N40" s="27">
        <f>IF(L40="","",L40+M40)</f>
        <v/>
      </c>
      <c r="O40" s="24" t="n"/>
      <c r="P40" s="24" t="n"/>
      <c r="Q40" s="24" t="n"/>
      <c r="R40" s="22" t="n"/>
      <c r="S40" s="22" t="n"/>
      <c r="T40" s="24" t="n"/>
      <c r="U40" s="24" t="n"/>
      <c r="V40" s="25">
        <f>IF(COUNTA(A40,D40,C40,L40)=0,"",IF(A40="","No date - sits outside every month",IF(E40="","No job number",IF(F40="CHECK","Job number is not in the Xero job list",IF(I40="","No cost centre",IF(AND(P40="Y",C40=""),"Marked posted to Xero but has no invoice number",IF(AND(L40&lt;&gt;"",K40=""),"No tax code",IF(AND(L40&lt;&gt;"",O40=""),"No revenue GL code",""))))))))</f>
        <v/>
      </c>
      <c r="W40" s="25">
        <f>IF(E40="","",IF(COUNTIF(tbl_Onsite[Job Number],E40&amp;"")&gt;0,"Onsite",IF(COUNTIF(tbl_Production[Job Number],E40&amp;"")&gt;0,"Production",IF(COUNTIF(tbl_Consulting[Job Number],E40&amp;"")&gt;0,"Consulting","not set up yet"))))</f>
        <v/>
      </c>
      <c r="X40" s="25">
        <f>IF(E40="","",IFERROR(INDEX(lst_JobName,MATCH(E40&amp;"",lst_Jobs,0)),""))</f>
        <v/>
      </c>
      <c r="Y40" s="28">
        <f>IF(E40="","",COUNTIFS(tbl_Finance[Job Number],E40&amp;"",tbl_Finance[Ex GST],"&lt;&gt;"))</f>
        <v/>
      </c>
      <c r="Z40" s="27">
        <f>IF(E40="","",SUMIFS(tbl_Finance[Ex GST],tbl_Finance[Job Number],E40&amp;""))</f>
        <v/>
      </c>
      <c r="AA40" s="27">
        <f>IF(E40="","",SUMIFS(tbl_Finance[Ex GST],tbl_Finance[Job Number],E40&amp;"",tbl_Finance[Xero Invoice No],"&lt;&gt;"))</f>
        <v/>
      </c>
      <c r="AB40" s="27">
        <f>IF(E40="","",Z40-AA40)</f>
        <v/>
      </c>
      <c r="AC40" s="25">
        <f>IF(E40="","",IFERROR(IF(INDEX(tbl_Onsite[Qwilr Quote],MATCH(E40&amp;"",tbl_Onsite[Job Number],0))="","",INDEX(tbl_Onsite[Qwilr Quote],MATCH(E40&amp;"",tbl_Onsite[Job Number],0))),IFERROR(IF(IF(INDEX(tbl_Production[Current RMS No],MATCH(E40&amp;"",tbl_Production[Job Number],0))="",INDEX(tbl_Production[Qwilr Quote],MATCH(E40&amp;"",tbl_Production[Job Number],0)),INDEX(tbl_Production[Current RMS No],MATCH(E40&amp;"",tbl_Production[Job Number],0)))="","",IF(INDEX(tbl_Production[Current RMS No],MATCH(E40&amp;"",tbl_Production[Job Number],0))="",INDEX(tbl_Production[Qwilr Quote],MATCH(E40&amp;"",tbl_Production[Job Number],0)),INDEX(tbl_Production[Current RMS No],MATCH(E40&amp;"",tbl_Production[Job Number],0)))),IFERROR(IF(INDEX(tbl_Consulting[Qwilr Quote],MATCH(E40&amp;"",tbl_Consulting[Job Number],0))="","",INDEX(tbl_Consulting[Qwilr Quote],MATCH(E40&amp;"",tbl_Consulting[Job Number],0))),""))))</f>
        <v/>
      </c>
      <c r="AD40" s="25">
        <f>IF(AC40="","",IF(AND(LEFT(AC40,4)&lt;&gt;"http",IF(H40="Production",set_RMSBase,set_QwilrBase)=""),"",HYPERLINK(IF(LEFT(AC40,4)="http",AC40,IF(H40="Production",set_RMSBase,set_QwilrBase)&amp;AC40),"Open")))</f>
        <v/>
      </c>
      <c r="AE40" s="27">
        <f>IF(E40="","",IFERROR(INDEX(tbl_Production[Total Expense],MATCH(E40&amp;"",tbl_Production[Job Number],0)),IFERROR(INDEX(tbl_Consulting[Total Expense],MATCH(E40&amp;"",tbl_Consulting[Job Number],0)),0)))</f>
        <v/>
      </c>
      <c r="AF40" s="27">
        <f>IF(E40="","",Z40-N(AE40))</f>
        <v/>
      </c>
      <c r="AG40" s="29">
        <f>IFERROR(AF40/Z40,"")</f>
        <v/>
      </c>
      <c r="AH40" s="25">
        <f>IF(E40="","",IFERROR(IF(INDEX(tbl_Onsite[Notes],MATCH(E40&amp;"",tbl_Onsite[Job Number],0))="","",INDEX(tbl_Onsite[Notes],MATCH(E40&amp;"",tbl_Onsite[Job Number],0))),IFERROR(IF(INDEX(tbl_Production[Notes],MATCH(E40&amp;"",tbl_Production[Job Number],0))="","",INDEX(tbl_Production[Notes],MATCH(E40&amp;"",tbl_Production[Job Number],0))),IFERROR(IF(INDEX(tbl_Consulting[Notes],MATCH(E40&amp;"",tbl_Consulting[Job Number],0))="","",INDEX(tbl_Consulting[Notes],MATCH(E40&amp;"",tbl_Consulting[Job Number],0))),""))))</f>
        <v/>
      </c>
    </row>
    <row r="41" ht="15" customHeight="1">
      <c r="A41" s="22" t="n"/>
      <c r="B41" s="23">
        <f>IF(A41="","",EOMONTH(A41,0))</f>
        <v/>
      </c>
      <c r="C41" s="24" t="n"/>
      <c r="D41" s="24" t="n"/>
      <c r="E41" s="24" t="n"/>
      <c r="F41" s="25">
        <f>IF(E41="","",IF(COUNTIF(lst_Jobs,E41&amp;"")&gt;0,"OK","CHECK"))</f>
        <v/>
      </c>
      <c r="G41" s="24" t="n"/>
      <c r="H41" s="24" t="n"/>
      <c r="I41" s="24" t="n"/>
      <c r="J41" s="24" t="n"/>
      <c r="K41" s="24" t="n"/>
      <c r="L41" s="26" t="n"/>
      <c r="M41" s="27">
        <f>IF(L41="","",IF(K41="GST 10%",ROUND(L41*set_GSTRate,2),0))</f>
        <v/>
      </c>
      <c r="N41" s="27">
        <f>IF(L41="","",L41+M41)</f>
        <v/>
      </c>
      <c r="O41" s="24" t="n"/>
      <c r="P41" s="24" t="n"/>
      <c r="Q41" s="24" t="n"/>
      <c r="R41" s="22" t="n"/>
      <c r="S41" s="22" t="n"/>
      <c r="T41" s="24" t="n"/>
      <c r="U41" s="24" t="n"/>
      <c r="V41" s="25">
        <f>IF(COUNTA(A41,D41,C41,L41)=0,"",IF(A41="","No date - sits outside every month",IF(E41="","No job number",IF(F41="CHECK","Job number is not in the Xero job list",IF(I41="","No cost centre",IF(AND(P41="Y",C41=""),"Marked posted to Xero but has no invoice number",IF(AND(L41&lt;&gt;"",K41=""),"No tax code",IF(AND(L41&lt;&gt;"",O41=""),"No revenue GL code",""))))))))</f>
        <v/>
      </c>
      <c r="W41" s="25">
        <f>IF(E41="","",IF(COUNTIF(tbl_Onsite[Job Number],E41&amp;"")&gt;0,"Onsite",IF(COUNTIF(tbl_Production[Job Number],E41&amp;"")&gt;0,"Production",IF(COUNTIF(tbl_Consulting[Job Number],E41&amp;"")&gt;0,"Consulting","not set up yet"))))</f>
        <v/>
      </c>
      <c r="X41" s="25">
        <f>IF(E41="","",IFERROR(INDEX(lst_JobName,MATCH(E41&amp;"",lst_Jobs,0)),""))</f>
        <v/>
      </c>
      <c r="Y41" s="28">
        <f>IF(E41="","",COUNTIFS(tbl_Finance[Job Number],E41&amp;"",tbl_Finance[Ex GST],"&lt;&gt;"))</f>
        <v/>
      </c>
      <c r="Z41" s="27">
        <f>IF(E41="","",SUMIFS(tbl_Finance[Ex GST],tbl_Finance[Job Number],E41&amp;""))</f>
        <v/>
      </c>
      <c r="AA41" s="27">
        <f>IF(E41="","",SUMIFS(tbl_Finance[Ex GST],tbl_Finance[Job Number],E41&amp;"",tbl_Finance[Xero Invoice No],"&lt;&gt;"))</f>
        <v/>
      </c>
      <c r="AB41" s="27">
        <f>IF(E41="","",Z41-AA41)</f>
        <v/>
      </c>
      <c r="AC41" s="25">
        <f>IF(E41="","",IFERROR(IF(INDEX(tbl_Onsite[Qwilr Quote],MATCH(E41&amp;"",tbl_Onsite[Job Number],0))="","",INDEX(tbl_Onsite[Qwilr Quote],MATCH(E41&amp;"",tbl_Onsite[Job Number],0))),IFERROR(IF(IF(INDEX(tbl_Production[Current RMS No],MATCH(E41&amp;"",tbl_Production[Job Number],0))="",INDEX(tbl_Production[Qwilr Quote],MATCH(E41&amp;"",tbl_Production[Job Number],0)),INDEX(tbl_Production[Current RMS No],MATCH(E41&amp;"",tbl_Production[Job Number],0)))="","",IF(INDEX(tbl_Production[Current RMS No],MATCH(E41&amp;"",tbl_Production[Job Number],0))="",INDEX(tbl_Production[Qwilr Quote],MATCH(E41&amp;"",tbl_Production[Job Number],0)),INDEX(tbl_Production[Current RMS No],MATCH(E41&amp;"",tbl_Production[Job Number],0)))),IFERROR(IF(INDEX(tbl_Consulting[Qwilr Quote],MATCH(E41&amp;"",tbl_Consulting[Job Number],0))="","",INDEX(tbl_Consulting[Qwilr Quote],MATCH(E41&amp;"",tbl_Consulting[Job Number],0))),""))))</f>
        <v/>
      </c>
      <c r="AD41" s="25">
        <f>IF(AC41="","",IF(AND(LEFT(AC41,4)&lt;&gt;"http",IF(H41="Production",set_RMSBase,set_QwilrBase)=""),"",HYPERLINK(IF(LEFT(AC41,4)="http",AC41,IF(H41="Production",set_RMSBase,set_QwilrBase)&amp;AC41),"Open")))</f>
        <v/>
      </c>
      <c r="AE41" s="27">
        <f>IF(E41="","",IFERROR(INDEX(tbl_Production[Total Expense],MATCH(E41&amp;"",tbl_Production[Job Number],0)),IFERROR(INDEX(tbl_Consulting[Total Expense],MATCH(E41&amp;"",tbl_Consulting[Job Number],0)),0)))</f>
        <v/>
      </c>
      <c r="AF41" s="27">
        <f>IF(E41="","",Z41-N(AE41))</f>
        <v/>
      </c>
      <c r="AG41" s="29">
        <f>IFERROR(AF41/Z41,"")</f>
        <v/>
      </c>
      <c r="AH41" s="25">
        <f>IF(E41="","",IFERROR(IF(INDEX(tbl_Onsite[Notes],MATCH(E41&amp;"",tbl_Onsite[Job Number],0))="","",INDEX(tbl_Onsite[Notes],MATCH(E41&amp;"",tbl_Onsite[Job Number],0))),IFERROR(IF(INDEX(tbl_Production[Notes],MATCH(E41&amp;"",tbl_Production[Job Number],0))="","",INDEX(tbl_Production[Notes],MATCH(E41&amp;"",tbl_Production[Job Number],0))),IFERROR(IF(INDEX(tbl_Consulting[Notes],MATCH(E41&amp;"",tbl_Consulting[Job Number],0))="","",INDEX(tbl_Consulting[Notes],MATCH(E41&amp;"",tbl_Consulting[Job Number],0))),""))))</f>
        <v/>
      </c>
    </row>
    <row r="42" ht="15" customHeight="1">
      <c r="A42" s="22" t="n"/>
      <c r="B42" s="23">
        <f>IF(A42="","",EOMONTH(A42,0))</f>
        <v/>
      </c>
      <c r="C42" s="24" t="n"/>
      <c r="D42" s="24" t="n"/>
      <c r="E42" s="24" t="n"/>
      <c r="F42" s="25">
        <f>IF(E42="","",IF(COUNTIF(lst_Jobs,E42&amp;"")&gt;0,"OK","CHECK"))</f>
        <v/>
      </c>
      <c r="G42" s="24" t="n"/>
      <c r="H42" s="24" t="n"/>
      <c r="I42" s="24" t="n"/>
      <c r="J42" s="24" t="n"/>
      <c r="K42" s="24" t="n"/>
      <c r="L42" s="26" t="n"/>
      <c r="M42" s="27">
        <f>IF(L42="","",IF(K42="GST 10%",ROUND(L42*set_GSTRate,2),0))</f>
        <v/>
      </c>
      <c r="N42" s="27">
        <f>IF(L42="","",L42+M42)</f>
        <v/>
      </c>
      <c r="O42" s="24" t="n"/>
      <c r="P42" s="24" t="n"/>
      <c r="Q42" s="24" t="n"/>
      <c r="R42" s="22" t="n"/>
      <c r="S42" s="22" t="n"/>
      <c r="T42" s="24" t="n"/>
      <c r="U42" s="24" t="n"/>
      <c r="V42" s="25">
        <f>IF(COUNTA(A42,D42,C42,L42)=0,"",IF(A42="","No date - sits outside every month",IF(E42="","No job number",IF(F42="CHECK","Job number is not in the Xero job list",IF(I42="","No cost centre",IF(AND(P42="Y",C42=""),"Marked posted to Xero but has no invoice number",IF(AND(L42&lt;&gt;"",K42=""),"No tax code",IF(AND(L42&lt;&gt;"",O42=""),"No revenue GL code",""))))))))</f>
        <v/>
      </c>
      <c r="W42" s="25">
        <f>IF(E42="","",IF(COUNTIF(tbl_Onsite[Job Number],E42&amp;"")&gt;0,"Onsite",IF(COUNTIF(tbl_Production[Job Number],E42&amp;"")&gt;0,"Production",IF(COUNTIF(tbl_Consulting[Job Number],E42&amp;"")&gt;0,"Consulting","not set up yet"))))</f>
        <v/>
      </c>
      <c r="X42" s="25">
        <f>IF(E42="","",IFERROR(INDEX(lst_JobName,MATCH(E42&amp;"",lst_Jobs,0)),""))</f>
        <v/>
      </c>
      <c r="Y42" s="28">
        <f>IF(E42="","",COUNTIFS(tbl_Finance[Job Number],E42&amp;"",tbl_Finance[Ex GST],"&lt;&gt;"))</f>
        <v/>
      </c>
      <c r="Z42" s="27">
        <f>IF(E42="","",SUMIFS(tbl_Finance[Ex GST],tbl_Finance[Job Number],E42&amp;""))</f>
        <v/>
      </c>
      <c r="AA42" s="27">
        <f>IF(E42="","",SUMIFS(tbl_Finance[Ex GST],tbl_Finance[Job Number],E42&amp;"",tbl_Finance[Xero Invoice No],"&lt;&gt;"))</f>
        <v/>
      </c>
      <c r="AB42" s="27">
        <f>IF(E42="","",Z42-AA42)</f>
        <v/>
      </c>
      <c r="AC42" s="25">
        <f>IF(E42="","",IFERROR(IF(INDEX(tbl_Onsite[Qwilr Quote],MATCH(E42&amp;"",tbl_Onsite[Job Number],0))="","",INDEX(tbl_Onsite[Qwilr Quote],MATCH(E42&amp;"",tbl_Onsite[Job Number],0))),IFERROR(IF(IF(INDEX(tbl_Production[Current RMS No],MATCH(E42&amp;"",tbl_Production[Job Number],0))="",INDEX(tbl_Production[Qwilr Quote],MATCH(E42&amp;"",tbl_Production[Job Number],0)),INDEX(tbl_Production[Current RMS No],MATCH(E42&amp;"",tbl_Production[Job Number],0)))="","",IF(INDEX(tbl_Production[Current RMS No],MATCH(E42&amp;"",tbl_Production[Job Number],0))="",INDEX(tbl_Production[Qwilr Quote],MATCH(E42&amp;"",tbl_Production[Job Number],0)),INDEX(tbl_Production[Current RMS No],MATCH(E42&amp;"",tbl_Production[Job Number],0)))),IFERROR(IF(INDEX(tbl_Consulting[Qwilr Quote],MATCH(E42&amp;"",tbl_Consulting[Job Number],0))="","",INDEX(tbl_Consulting[Qwilr Quote],MATCH(E42&amp;"",tbl_Consulting[Job Number],0))),""))))</f>
        <v/>
      </c>
      <c r="AD42" s="25">
        <f>IF(AC42="","",IF(AND(LEFT(AC42,4)&lt;&gt;"http",IF(H42="Production",set_RMSBase,set_QwilrBase)=""),"",HYPERLINK(IF(LEFT(AC42,4)="http",AC42,IF(H42="Production",set_RMSBase,set_QwilrBase)&amp;AC42),"Open")))</f>
        <v/>
      </c>
      <c r="AE42" s="27">
        <f>IF(E42="","",IFERROR(INDEX(tbl_Production[Total Expense],MATCH(E42&amp;"",tbl_Production[Job Number],0)),IFERROR(INDEX(tbl_Consulting[Total Expense],MATCH(E42&amp;"",tbl_Consulting[Job Number],0)),0)))</f>
        <v/>
      </c>
      <c r="AF42" s="27">
        <f>IF(E42="","",Z42-N(AE42))</f>
        <v/>
      </c>
      <c r="AG42" s="29">
        <f>IFERROR(AF42/Z42,"")</f>
        <v/>
      </c>
      <c r="AH42" s="25">
        <f>IF(E42="","",IFERROR(IF(INDEX(tbl_Onsite[Notes],MATCH(E42&amp;"",tbl_Onsite[Job Number],0))="","",INDEX(tbl_Onsite[Notes],MATCH(E42&amp;"",tbl_Onsite[Job Number],0))),IFERROR(IF(INDEX(tbl_Production[Notes],MATCH(E42&amp;"",tbl_Production[Job Number],0))="","",INDEX(tbl_Production[Notes],MATCH(E42&amp;"",tbl_Production[Job Number],0))),IFERROR(IF(INDEX(tbl_Consulting[Notes],MATCH(E42&amp;"",tbl_Consulting[Job Number],0))="","",INDEX(tbl_Consulting[Notes],MATCH(E42&amp;"",tbl_Consulting[Job Number],0))),""))))</f>
        <v/>
      </c>
    </row>
    <row r="43" ht="15" customHeight="1">
      <c r="A43" s="22" t="n"/>
      <c r="B43" s="23">
        <f>IF(A43="","",EOMONTH(A43,0))</f>
        <v/>
      </c>
      <c r="C43" s="24" t="n"/>
      <c r="D43" s="24" t="n"/>
      <c r="E43" s="24" t="n"/>
      <c r="F43" s="25">
        <f>IF(E43="","",IF(COUNTIF(lst_Jobs,E43&amp;"")&gt;0,"OK","CHECK"))</f>
        <v/>
      </c>
      <c r="G43" s="24" t="n"/>
      <c r="H43" s="24" t="n"/>
      <c r="I43" s="24" t="n"/>
      <c r="J43" s="24" t="n"/>
      <c r="K43" s="24" t="n"/>
      <c r="L43" s="26" t="n"/>
      <c r="M43" s="27">
        <f>IF(L43="","",IF(K43="GST 10%",ROUND(L43*set_GSTRate,2),0))</f>
        <v/>
      </c>
      <c r="N43" s="27">
        <f>IF(L43="","",L43+M43)</f>
        <v/>
      </c>
      <c r="O43" s="24" t="n"/>
      <c r="P43" s="24" t="n"/>
      <c r="Q43" s="24" t="n"/>
      <c r="R43" s="22" t="n"/>
      <c r="S43" s="22" t="n"/>
      <c r="T43" s="24" t="n"/>
      <c r="U43" s="24" t="n"/>
      <c r="V43" s="25">
        <f>IF(COUNTA(A43,D43,C43,L43)=0,"",IF(A43="","No date - sits outside every month",IF(E43="","No job number",IF(F43="CHECK","Job number is not in the Xero job list",IF(I43="","No cost centre",IF(AND(P43="Y",C43=""),"Marked posted to Xero but has no invoice number",IF(AND(L43&lt;&gt;"",K43=""),"No tax code",IF(AND(L43&lt;&gt;"",O43=""),"No revenue GL code",""))))))))</f>
        <v/>
      </c>
      <c r="W43" s="25">
        <f>IF(E43="","",IF(COUNTIF(tbl_Onsite[Job Number],E43&amp;"")&gt;0,"Onsite",IF(COUNTIF(tbl_Production[Job Number],E43&amp;"")&gt;0,"Production",IF(COUNTIF(tbl_Consulting[Job Number],E43&amp;"")&gt;0,"Consulting","not set up yet"))))</f>
        <v/>
      </c>
      <c r="X43" s="25">
        <f>IF(E43="","",IFERROR(INDEX(lst_JobName,MATCH(E43&amp;"",lst_Jobs,0)),""))</f>
        <v/>
      </c>
      <c r="Y43" s="28">
        <f>IF(E43="","",COUNTIFS(tbl_Finance[Job Number],E43&amp;"",tbl_Finance[Ex GST],"&lt;&gt;"))</f>
        <v/>
      </c>
      <c r="Z43" s="27">
        <f>IF(E43="","",SUMIFS(tbl_Finance[Ex GST],tbl_Finance[Job Number],E43&amp;""))</f>
        <v/>
      </c>
      <c r="AA43" s="27">
        <f>IF(E43="","",SUMIFS(tbl_Finance[Ex GST],tbl_Finance[Job Number],E43&amp;"",tbl_Finance[Xero Invoice No],"&lt;&gt;"))</f>
        <v/>
      </c>
      <c r="AB43" s="27">
        <f>IF(E43="","",Z43-AA43)</f>
        <v/>
      </c>
      <c r="AC43" s="25">
        <f>IF(E43="","",IFERROR(IF(INDEX(tbl_Onsite[Qwilr Quote],MATCH(E43&amp;"",tbl_Onsite[Job Number],0))="","",INDEX(tbl_Onsite[Qwilr Quote],MATCH(E43&amp;"",tbl_Onsite[Job Number],0))),IFERROR(IF(IF(INDEX(tbl_Production[Current RMS No],MATCH(E43&amp;"",tbl_Production[Job Number],0))="",INDEX(tbl_Production[Qwilr Quote],MATCH(E43&amp;"",tbl_Production[Job Number],0)),INDEX(tbl_Production[Current RMS No],MATCH(E43&amp;"",tbl_Production[Job Number],0)))="","",IF(INDEX(tbl_Production[Current RMS No],MATCH(E43&amp;"",tbl_Production[Job Number],0))="",INDEX(tbl_Production[Qwilr Quote],MATCH(E43&amp;"",tbl_Production[Job Number],0)),INDEX(tbl_Production[Current RMS No],MATCH(E43&amp;"",tbl_Production[Job Number],0)))),IFERROR(IF(INDEX(tbl_Consulting[Qwilr Quote],MATCH(E43&amp;"",tbl_Consulting[Job Number],0))="","",INDEX(tbl_Consulting[Qwilr Quote],MATCH(E43&amp;"",tbl_Consulting[Job Number],0))),""))))</f>
        <v/>
      </c>
      <c r="AD43" s="25">
        <f>IF(AC43="","",IF(AND(LEFT(AC43,4)&lt;&gt;"http",IF(H43="Production",set_RMSBase,set_QwilrBase)=""),"",HYPERLINK(IF(LEFT(AC43,4)="http",AC43,IF(H43="Production",set_RMSBase,set_QwilrBase)&amp;AC43),"Open")))</f>
        <v/>
      </c>
      <c r="AE43" s="27">
        <f>IF(E43="","",IFERROR(INDEX(tbl_Production[Total Expense],MATCH(E43&amp;"",tbl_Production[Job Number],0)),IFERROR(INDEX(tbl_Consulting[Total Expense],MATCH(E43&amp;"",tbl_Consulting[Job Number],0)),0)))</f>
        <v/>
      </c>
      <c r="AF43" s="27">
        <f>IF(E43="","",Z43-N(AE43))</f>
        <v/>
      </c>
      <c r="AG43" s="29">
        <f>IFERROR(AF43/Z43,"")</f>
        <v/>
      </c>
      <c r="AH43" s="25">
        <f>IF(E43="","",IFERROR(IF(INDEX(tbl_Onsite[Notes],MATCH(E43&amp;"",tbl_Onsite[Job Number],0))="","",INDEX(tbl_Onsite[Notes],MATCH(E43&amp;"",tbl_Onsite[Job Number],0))),IFERROR(IF(INDEX(tbl_Production[Notes],MATCH(E43&amp;"",tbl_Production[Job Number],0))="","",INDEX(tbl_Production[Notes],MATCH(E43&amp;"",tbl_Production[Job Number],0))),IFERROR(IF(INDEX(tbl_Consulting[Notes],MATCH(E43&amp;"",tbl_Consulting[Job Number],0))="","",INDEX(tbl_Consulting[Notes],MATCH(E43&amp;"",tbl_Consulting[Job Number],0))),""))))</f>
        <v/>
      </c>
    </row>
    <row r="44" ht="15" customHeight="1">
      <c r="A44" s="22" t="n"/>
      <c r="B44" s="23">
        <f>IF(A44="","",EOMONTH(A44,0))</f>
        <v/>
      </c>
      <c r="C44" s="24" t="n"/>
      <c r="D44" s="24" t="n"/>
      <c r="E44" s="24" t="n"/>
      <c r="F44" s="25">
        <f>IF(E44="","",IF(COUNTIF(lst_Jobs,E44&amp;"")&gt;0,"OK","CHECK"))</f>
        <v/>
      </c>
      <c r="G44" s="24" t="n"/>
      <c r="H44" s="24" t="n"/>
      <c r="I44" s="24" t="n"/>
      <c r="J44" s="24" t="n"/>
      <c r="K44" s="24" t="n"/>
      <c r="L44" s="26" t="n"/>
      <c r="M44" s="27">
        <f>IF(L44="","",IF(K44="GST 10%",ROUND(L44*set_GSTRate,2),0))</f>
        <v/>
      </c>
      <c r="N44" s="27">
        <f>IF(L44="","",L44+M44)</f>
        <v/>
      </c>
      <c r="O44" s="24" t="n"/>
      <c r="P44" s="24" t="n"/>
      <c r="Q44" s="24" t="n"/>
      <c r="R44" s="22" t="n"/>
      <c r="S44" s="22" t="n"/>
      <c r="T44" s="24" t="n"/>
      <c r="U44" s="24" t="n"/>
      <c r="V44" s="25">
        <f>IF(COUNTA(A44,D44,C44,L44)=0,"",IF(A44="","No date - sits outside every month",IF(E44="","No job number",IF(F44="CHECK","Job number is not in the Xero job list",IF(I44="","No cost centre",IF(AND(P44="Y",C44=""),"Marked posted to Xero but has no invoice number",IF(AND(L44&lt;&gt;"",K44=""),"No tax code",IF(AND(L44&lt;&gt;"",O44=""),"No revenue GL code",""))))))))</f>
        <v/>
      </c>
      <c r="W44" s="25">
        <f>IF(E44="","",IF(COUNTIF(tbl_Onsite[Job Number],E44&amp;"")&gt;0,"Onsite",IF(COUNTIF(tbl_Production[Job Number],E44&amp;"")&gt;0,"Production",IF(COUNTIF(tbl_Consulting[Job Number],E44&amp;"")&gt;0,"Consulting","not set up yet"))))</f>
        <v/>
      </c>
      <c r="X44" s="25">
        <f>IF(E44="","",IFERROR(INDEX(lst_JobName,MATCH(E44&amp;"",lst_Jobs,0)),""))</f>
        <v/>
      </c>
      <c r="Y44" s="28">
        <f>IF(E44="","",COUNTIFS(tbl_Finance[Job Number],E44&amp;"",tbl_Finance[Ex GST],"&lt;&gt;"))</f>
        <v/>
      </c>
      <c r="Z44" s="27">
        <f>IF(E44="","",SUMIFS(tbl_Finance[Ex GST],tbl_Finance[Job Number],E44&amp;""))</f>
        <v/>
      </c>
      <c r="AA44" s="27">
        <f>IF(E44="","",SUMIFS(tbl_Finance[Ex GST],tbl_Finance[Job Number],E44&amp;"",tbl_Finance[Xero Invoice No],"&lt;&gt;"))</f>
        <v/>
      </c>
      <c r="AB44" s="27">
        <f>IF(E44="","",Z44-AA44)</f>
        <v/>
      </c>
      <c r="AC44" s="25">
        <f>IF(E44="","",IFERROR(IF(INDEX(tbl_Onsite[Qwilr Quote],MATCH(E44&amp;"",tbl_Onsite[Job Number],0))="","",INDEX(tbl_Onsite[Qwilr Quote],MATCH(E44&amp;"",tbl_Onsite[Job Number],0))),IFERROR(IF(IF(INDEX(tbl_Production[Current RMS No],MATCH(E44&amp;"",tbl_Production[Job Number],0))="",INDEX(tbl_Production[Qwilr Quote],MATCH(E44&amp;"",tbl_Production[Job Number],0)),INDEX(tbl_Production[Current RMS No],MATCH(E44&amp;"",tbl_Production[Job Number],0)))="","",IF(INDEX(tbl_Production[Current RMS No],MATCH(E44&amp;"",tbl_Production[Job Number],0))="",INDEX(tbl_Production[Qwilr Quote],MATCH(E44&amp;"",tbl_Production[Job Number],0)),INDEX(tbl_Production[Current RMS No],MATCH(E44&amp;"",tbl_Production[Job Number],0)))),IFERROR(IF(INDEX(tbl_Consulting[Qwilr Quote],MATCH(E44&amp;"",tbl_Consulting[Job Number],0))="","",INDEX(tbl_Consulting[Qwilr Quote],MATCH(E44&amp;"",tbl_Consulting[Job Number],0))),""))))</f>
        <v/>
      </c>
      <c r="AD44" s="25">
        <f>IF(AC44="","",IF(AND(LEFT(AC44,4)&lt;&gt;"http",IF(H44="Production",set_RMSBase,set_QwilrBase)=""),"",HYPERLINK(IF(LEFT(AC44,4)="http",AC44,IF(H44="Production",set_RMSBase,set_QwilrBase)&amp;AC44),"Open")))</f>
        <v/>
      </c>
      <c r="AE44" s="27">
        <f>IF(E44="","",IFERROR(INDEX(tbl_Production[Total Expense],MATCH(E44&amp;"",tbl_Production[Job Number],0)),IFERROR(INDEX(tbl_Consulting[Total Expense],MATCH(E44&amp;"",tbl_Consulting[Job Number],0)),0)))</f>
        <v/>
      </c>
      <c r="AF44" s="27">
        <f>IF(E44="","",Z44-N(AE44))</f>
        <v/>
      </c>
      <c r="AG44" s="29">
        <f>IFERROR(AF44/Z44,"")</f>
        <v/>
      </c>
      <c r="AH44" s="25">
        <f>IF(E44="","",IFERROR(IF(INDEX(tbl_Onsite[Notes],MATCH(E44&amp;"",tbl_Onsite[Job Number],0))="","",INDEX(tbl_Onsite[Notes],MATCH(E44&amp;"",tbl_Onsite[Job Number],0))),IFERROR(IF(INDEX(tbl_Production[Notes],MATCH(E44&amp;"",tbl_Production[Job Number],0))="","",INDEX(tbl_Production[Notes],MATCH(E44&amp;"",tbl_Production[Job Number],0))),IFERROR(IF(INDEX(tbl_Consulting[Notes],MATCH(E44&amp;"",tbl_Consulting[Job Number],0))="","",INDEX(tbl_Consulting[Notes],MATCH(E44&amp;"",tbl_Consulting[Job Number],0))),""))))</f>
        <v/>
      </c>
    </row>
    <row r="45" ht="15" customHeight="1">
      <c r="A45" s="22" t="n"/>
      <c r="B45" s="23">
        <f>IF(A45="","",EOMONTH(A45,0))</f>
        <v/>
      </c>
      <c r="C45" s="24" t="n"/>
      <c r="D45" s="24" t="n"/>
      <c r="E45" s="24" t="n"/>
      <c r="F45" s="25">
        <f>IF(E45="","",IF(COUNTIF(lst_Jobs,E45&amp;"")&gt;0,"OK","CHECK"))</f>
        <v/>
      </c>
      <c r="G45" s="24" t="n"/>
      <c r="H45" s="24" t="n"/>
      <c r="I45" s="24" t="n"/>
      <c r="J45" s="24" t="n"/>
      <c r="K45" s="24" t="n"/>
      <c r="L45" s="26" t="n"/>
      <c r="M45" s="27">
        <f>IF(L45="","",IF(K45="GST 10%",ROUND(L45*set_GSTRate,2),0))</f>
        <v/>
      </c>
      <c r="N45" s="27">
        <f>IF(L45="","",L45+M45)</f>
        <v/>
      </c>
      <c r="O45" s="24" t="n"/>
      <c r="P45" s="24" t="n"/>
      <c r="Q45" s="24" t="n"/>
      <c r="R45" s="22" t="n"/>
      <c r="S45" s="22" t="n"/>
      <c r="T45" s="24" t="n"/>
      <c r="U45" s="24" t="n"/>
      <c r="V45" s="25">
        <f>IF(COUNTA(A45,D45,C45,L45)=0,"",IF(A45="","No date - sits outside every month",IF(E45="","No job number",IF(F45="CHECK","Job number is not in the Xero job list",IF(I45="","No cost centre",IF(AND(P45="Y",C45=""),"Marked posted to Xero but has no invoice number",IF(AND(L45&lt;&gt;"",K45=""),"No tax code",IF(AND(L45&lt;&gt;"",O45=""),"No revenue GL code",""))))))))</f>
        <v/>
      </c>
      <c r="W45" s="25">
        <f>IF(E45="","",IF(COUNTIF(tbl_Onsite[Job Number],E45&amp;"")&gt;0,"Onsite",IF(COUNTIF(tbl_Production[Job Number],E45&amp;"")&gt;0,"Production",IF(COUNTIF(tbl_Consulting[Job Number],E45&amp;"")&gt;0,"Consulting","not set up yet"))))</f>
        <v/>
      </c>
      <c r="X45" s="25">
        <f>IF(E45="","",IFERROR(INDEX(lst_JobName,MATCH(E45&amp;"",lst_Jobs,0)),""))</f>
        <v/>
      </c>
      <c r="Y45" s="28">
        <f>IF(E45="","",COUNTIFS(tbl_Finance[Job Number],E45&amp;"",tbl_Finance[Ex GST],"&lt;&gt;"))</f>
        <v/>
      </c>
      <c r="Z45" s="27">
        <f>IF(E45="","",SUMIFS(tbl_Finance[Ex GST],tbl_Finance[Job Number],E45&amp;""))</f>
        <v/>
      </c>
      <c r="AA45" s="27">
        <f>IF(E45="","",SUMIFS(tbl_Finance[Ex GST],tbl_Finance[Job Number],E45&amp;"",tbl_Finance[Xero Invoice No],"&lt;&gt;"))</f>
        <v/>
      </c>
      <c r="AB45" s="27">
        <f>IF(E45="","",Z45-AA45)</f>
        <v/>
      </c>
      <c r="AC45" s="25">
        <f>IF(E45="","",IFERROR(IF(INDEX(tbl_Onsite[Qwilr Quote],MATCH(E45&amp;"",tbl_Onsite[Job Number],0))="","",INDEX(tbl_Onsite[Qwilr Quote],MATCH(E45&amp;"",tbl_Onsite[Job Number],0))),IFERROR(IF(IF(INDEX(tbl_Production[Current RMS No],MATCH(E45&amp;"",tbl_Production[Job Number],0))="",INDEX(tbl_Production[Qwilr Quote],MATCH(E45&amp;"",tbl_Production[Job Number],0)),INDEX(tbl_Production[Current RMS No],MATCH(E45&amp;"",tbl_Production[Job Number],0)))="","",IF(INDEX(tbl_Production[Current RMS No],MATCH(E45&amp;"",tbl_Production[Job Number],0))="",INDEX(tbl_Production[Qwilr Quote],MATCH(E45&amp;"",tbl_Production[Job Number],0)),INDEX(tbl_Production[Current RMS No],MATCH(E45&amp;"",tbl_Production[Job Number],0)))),IFERROR(IF(INDEX(tbl_Consulting[Qwilr Quote],MATCH(E45&amp;"",tbl_Consulting[Job Number],0))="","",INDEX(tbl_Consulting[Qwilr Quote],MATCH(E45&amp;"",tbl_Consulting[Job Number],0))),""))))</f>
        <v/>
      </c>
      <c r="AD45" s="25">
        <f>IF(AC45="","",IF(AND(LEFT(AC45,4)&lt;&gt;"http",IF(H45="Production",set_RMSBase,set_QwilrBase)=""),"",HYPERLINK(IF(LEFT(AC45,4)="http",AC45,IF(H45="Production",set_RMSBase,set_QwilrBase)&amp;AC45),"Open")))</f>
        <v/>
      </c>
      <c r="AE45" s="27">
        <f>IF(E45="","",IFERROR(INDEX(tbl_Production[Total Expense],MATCH(E45&amp;"",tbl_Production[Job Number],0)),IFERROR(INDEX(tbl_Consulting[Total Expense],MATCH(E45&amp;"",tbl_Consulting[Job Number],0)),0)))</f>
        <v/>
      </c>
      <c r="AF45" s="27">
        <f>IF(E45="","",Z45-N(AE45))</f>
        <v/>
      </c>
      <c r="AG45" s="29">
        <f>IFERROR(AF45/Z45,"")</f>
        <v/>
      </c>
      <c r="AH45" s="25">
        <f>IF(E45="","",IFERROR(IF(INDEX(tbl_Onsite[Notes],MATCH(E45&amp;"",tbl_Onsite[Job Number],0))="","",INDEX(tbl_Onsite[Notes],MATCH(E45&amp;"",tbl_Onsite[Job Number],0))),IFERROR(IF(INDEX(tbl_Production[Notes],MATCH(E45&amp;"",tbl_Production[Job Number],0))="","",INDEX(tbl_Production[Notes],MATCH(E45&amp;"",tbl_Production[Job Number],0))),IFERROR(IF(INDEX(tbl_Consulting[Notes],MATCH(E45&amp;"",tbl_Consulting[Job Number],0))="","",INDEX(tbl_Consulting[Notes],MATCH(E45&amp;"",tbl_Consulting[Job Number],0))),""))))</f>
        <v/>
      </c>
    </row>
    <row r="46" ht="15" customHeight="1">
      <c r="A46" s="22" t="n"/>
      <c r="B46" s="23">
        <f>IF(A46="","",EOMONTH(A46,0))</f>
        <v/>
      </c>
      <c r="C46" s="24" t="n"/>
      <c r="D46" s="24" t="n"/>
      <c r="E46" s="24" t="n"/>
      <c r="F46" s="25">
        <f>IF(E46="","",IF(COUNTIF(lst_Jobs,E46&amp;"")&gt;0,"OK","CHECK"))</f>
        <v/>
      </c>
      <c r="G46" s="24" t="n"/>
      <c r="H46" s="24" t="n"/>
      <c r="I46" s="24" t="n"/>
      <c r="J46" s="24" t="n"/>
      <c r="K46" s="24" t="n"/>
      <c r="L46" s="26" t="n"/>
      <c r="M46" s="27">
        <f>IF(L46="","",IF(K46="GST 10%",ROUND(L46*set_GSTRate,2),0))</f>
        <v/>
      </c>
      <c r="N46" s="27">
        <f>IF(L46="","",L46+M46)</f>
        <v/>
      </c>
      <c r="O46" s="24" t="n"/>
      <c r="P46" s="24" t="n"/>
      <c r="Q46" s="24" t="n"/>
      <c r="R46" s="22" t="n"/>
      <c r="S46" s="22" t="n"/>
      <c r="T46" s="24" t="n"/>
      <c r="U46" s="24" t="n"/>
      <c r="V46" s="25">
        <f>IF(COUNTA(A46,D46,C46,L46)=0,"",IF(A46="","No date - sits outside every month",IF(E46="","No job number",IF(F46="CHECK","Job number is not in the Xero job list",IF(I46="","No cost centre",IF(AND(P46="Y",C46=""),"Marked posted to Xero but has no invoice number",IF(AND(L46&lt;&gt;"",K46=""),"No tax code",IF(AND(L46&lt;&gt;"",O46=""),"No revenue GL code",""))))))))</f>
        <v/>
      </c>
      <c r="W46" s="25">
        <f>IF(E46="","",IF(COUNTIF(tbl_Onsite[Job Number],E46&amp;"")&gt;0,"Onsite",IF(COUNTIF(tbl_Production[Job Number],E46&amp;"")&gt;0,"Production",IF(COUNTIF(tbl_Consulting[Job Number],E46&amp;"")&gt;0,"Consulting","not set up yet"))))</f>
        <v/>
      </c>
      <c r="X46" s="25">
        <f>IF(E46="","",IFERROR(INDEX(lst_JobName,MATCH(E46&amp;"",lst_Jobs,0)),""))</f>
        <v/>
      </c>
      <c r="Y46" s="28">
        <f>IF(E46="","",COUNTIFS(tbl_Finance[Job Number],E46&amp;"",tbl_Finance[Ex GST],"&lt;&gt;"))</f>
        <v/>
      </c>
      <c r="Z46" s="27">
        <f>IF(E46="","",SUMIFS(tbl_Finance[Ex GST],tbl_Finance[Job Number],E46&amp;""))</f>
        <v/>
      </c>
      <c r="AA46" s="27">
        <f>IF(E46="","",SUMIFS(tbl_Finance[Ex GST],tbl_Finance[Job Number],E46&amp;"",tbl_Finance[Xero Invoice No],"&lt;&gt;"))</f>
        <v/>
      </c>
      <c r="AB46" s="27">
        <f>IF(E46="","",Z46-AA46)</f>
        <v/>
      </c>
      <c r="AC46" s="25">
        <f>IF(E46="","",IFERROR(IF(INDEX(tbl_Onsite[Qwilr Quote],MATCH(E46&amp;"",tbl_Onsite[Job Number],0))="","",INDEX(tbl_Onsite[Qwilr Quote],MATCH(E46&amp;"",tbl_Onsite[Job Number],0))),IFERROR(IF(IF(INDEX(tbl_Production[Current RMS No],MATCH(E46&amp;"",tbl_Production[Job Number],0))="",INDEX(tbl_Production[Qwilr Quote],MATCH(E46&amp;"",tbl_Production[Job Number],0)),INDEX(tbl_Production[Current RMS No],MATCH(E46&amp;"",tbl_Production[Job Number],0)))="","",IF(INDEX(tbl_Production[Current RMS No],MATCH(E46&amp;"",tbl_Production[Job Number],0))="",INDEX(tbl_Production[Qwilr Quote],MATCH(E46&amp;"",tbl_Production[Job Number],0)),INDEX(tbl_Production[Current RMS No],MATCH(E46&amp;"",tbl_Production[Job Number],0)))),IFERROR(IF(INDEX(tbl_Consulting[Qwilr Quote],MATCH(E46&amp;"",tbl_Consulting[Job Number],0))="","",INDEX(tbl_Consulting[Qwilr Quote],MATCH(E46&amp;"",tbl_Consulting[Job Number],0))),""))))</f>
        <v/>
      </c>
      <c r="AD46" s="25">
        <f>IF(AC46="","",IF(AND(LEFT(AC46,4)&lt;&gt;"http",IF(H46="Production",set_RMSBase,set_QwilrBase)=""),"",HYPERLINK(IF(LEFT(AC46,4)="http",AC46,IF(H46="Production",set_RMSBase,set_QwilrBase)&amp;AC46),"Open")))</f>
        <v/>
      </c>
      <c r="AE46" s="27">
        <f>IF(E46="","",IFERROR(INDEX(tbl_Production[Total Expense],MATCH(E46&amp;"",tbl_Production[Job Number],0)),IFERROR(INDEX(tbl_Consulting[Total Expense],MATCH(E46&amp;"",tbl_Consulting[Job Number],0)),0)))</f>
        <v/>
      </c>
      <c r="AF46" s="27">
        <f>IF(E46="","",Z46-N(AE46))</f>
        <v/>
      </c>
      <c r="AG46" s="29">
        <f>IFERROR(AF46/Z46,"")</f>
        <v/>
      </c>
      <c r="AH46" s="25">
        <f>IF(E46="","",IFERROR(IF(INDEX(tbl_Onsite[Notes],MATCH(E46&amp;"",tbl_Onsite[Job Number],0))="","",INDEX(tbl_Onsite[Notes],MATCH(E46&amp;"",tbl_Onsite[Job Number],0))),IFERROR(IF(INDEX(tbl_Production[Notes],MATCH(E46&amp;"",tbl_Production[Job Number],0))="","",INDEX(tbl_Production[Notes],MATCH(E46&amp;"",tbl_Production[Job Number],0))),IFERROR(IF(INDEX(tbl_Consulting[Notes],MATCH(E46&amp;"",tbl_Consulting[Job Number],0))="","",INDEX(tbl_Consulting[Notes],MATCH(E46&amp;"",tbl_Consulting[Job Number],0))),""))))</f>
        <v/>
      </c>
    </row>
    <row r="47" ht="15" customHeight="1">
      <c r="A47" s="22" t="n"/>
      <c r="B47" s="23">
        <f>IF(A47="","",EOMONTH(A47,0))</f>
        <v/>
      </c>
      <c r="C47" s="24" t="n"/>
      <c r="D47" s="24" t="n"/>
      <c r="E47" s="24" t="n"/>
      <c r="F47" s="25">
        <f>IF(E47="","",IF(COUNTIF(lst_Jobs,E47&amp;"")&gt;0,"OK","CHECK"))</f>
        <v/>
      </c>
      <c r="G47" s="24" t="n"/>
      <c r="H47" s="24" t="n"/>
      <c r="I47" s="24" t="n"/>
      <c r="J47" s="24" t="n"/>
      <c r="K47" s="24" t="n"/>
      <c r="L47" s="26" t="n"/>
      <c r="M47" s="27">
        <f>IF(L47="","",IF(K47="GST 10%",ROUND(L47*set_GSTRate,2),0))</f>
        <v/>
      </c>
      <c r="N47" s="27">
        <f>IF(L47="","",L47+M47)</f>
        <v/>
      </c>
      <c r="O47" s="24" t="n"/>
      <c r="P47" s="24" t="n"/>
      <c r="Q47" s="24" t="n"/>
      <c r="R47" s="22" t="n"/>
      <c r="S47" s="22" t="n"/>
      <c r="T47" s="24" t="n"/>
      <c r="U47" s="24" t="n"/>
      <c r="V47" s="25">
        <f>IF(COUNTA(A47,D47,C47,L47)=0,"",IF(A47="","No date - sits outside every month",IF(E47="","No job number",IF(F47="CHECK","Job number is not in the Xero job list",IF(I47="","No cost centre",IF(AND(P47="Y",C47=""),"Marked posted to Xero but has no invoice number",IF(AND(L47&lt;&gt;"",K47=""),"No tax code",IF(AND(L47&lt;&gt;"",O47=""),"No revenue GL code",""))))))))</f>
        <v/>
      </c>
      <c r="W47" s="25">
        <f>IF(E47="","",IF(COUNTIF(tbl_Onsite[Job Number],E47&amp;"")&gt;0,"Onsite",IF(COUNTIF(tbl_Production[Job Number],E47&amp;"")&gt;0,"Production",IF(COUNTIF(tbl_Consulting[Job Number],E47&amp;"")&gt;0,"Consulting","not set up yet"))))</f>
        <v/>
      </c>
      <c r="X47" s="25">
        <f>IF(E47="","",IFERROR(INDEX(lst_JobName,MATCH(E47&amp;"",lst_Jobs,0)),""))</f>
        <v/>
      </c>
      <c r="Y47" s="28">
        <f>IF(E47="","",COUNTIFS(tbl_Finance[Job Number],E47&amp;"",tbl_Finance[Ex GST],"&lt;&gt;"))</f>
        <v/>
      </c>
      <c r="Z47" s="27">
        <f>IF(E47="","",SUMIFS(tbl_Finance[Ex GST],tbl_Finance[Job Number],E47&amp;""))</f>
        <v/>
      </c>
      <c r="AA47" s="27">
        <f>IF(E47="","",SUMIFS(tbl_Finance[Ex GST],tbl_Finance[Job Number],E47&amp;"",tbl_Finance[Xero Invoice No],"&lt;&gt;"))</f>
        <v/>
      </c>
      <c r="AB47" s="27">
        <f>IF(E47="","",Z47-AA47)</f>
        <v/>
      </c>
      <c r="AC47" s="25">
        <f>IF(E47="","",IFERROR(IF(INDEX(tbl_Onsite[Qwilr Quote],MATCH(E47&amp;"",tbl_Onsite[Job Number],0))="","",INDEX(tbl_Onsite[Qwilr Quote],MATCH(E47&amp;"",tbl_Onsite[Job Number],0))),IFERROR(IF(IF(INDEX(tbl_Production[Current RMS No],MATCH(E47&amp;"",tbl_Production[Job Number],0))="",INDEX(tbl_Production[Qwilr Quote],MATCH(E47&amp;"",tbl_Production[Job Number],0)),INDEX(tbl_Production[Current RMS No],MATCH(E47&amp;"",tbl_Production[Job Number],0)))="","",IF(INDEX(tbl_Production[Current RMS No],MATCH(E47&amp;"",tbl_Production[Job Number],0))="",INDEX(tbl_Production[Qwilr Quote],MATCH(E47&amp;"",tbl_Production[Job Number],0)),INDEX(tbl_Production[Current RMS No],MATCH(E47&amp;"",tbl_Production[Job Number],0)))),IFERROR(IF(INDEX(tbl_Consulting[Qwilr Quote],MATCH(E47&amp;"",tbl_Consulting[Job Number],0))="","",INDEX(tbl_Consulting[Qwilr Quote],MATCH(E47&amp;"",tbl_Consulting[Job Number],0))),""))))</f>
        <v/>
      </c>
      <c r="AD47" s="25">
        <f>IF(AC47="","",IF(AND(LEFT(AC47,4)&lt;&gt;"http",IF(H47="Production",set_RMSBase,set_QwilrBase)=""),"",HYPERLINK(IF(LEFT(AC47,4)="http",AC47,IF(H47="Production",set_RMSBase,set_QwilrBase)&amp;AC47),"Open")))</f>
        <v/>
      </c>
      <c r="AE47" s="27">
        <f>IF(E47="","",IFERROR(INDEX(tbl_Production[Total Expense],MATCH(E47&amp;"",tbl_Production[Job Number],0)),IFERROR(INDEX(tbl_Consulting[Total Expense],MATCH(E47&amp;"",tbl_Consulting[Job Number],0)),0)))</f>
        <v/>
      </c>
      <c r="AF47" s="27">
        <f>IF(E47="","",Z47-N(AE47))</f>
        <v/>
      </c>
      <c r="AG47" s="29">
        <f>IFERROR(AF47/Z47,"")</f>
        <v/>
      </c>
      <c r="AH47" s="25">
        <f>IF(E47="","",IFERROR(IF(INDEX(tbl_Onsite[Notes],MATCH(E47&amp;"",tbl_Onsite[Job Number],0))="","",INDEX(tbl_Onsite[Notes],MATCH(E47&amp;"",tbl_Onsite[Job Number],0))),IFERROR(IF(INDEX(tbl_Production[Notes],MATCH(E47&amp;"",tbl_Production[Job Number],0))="","",INDEX(tbl_Production[Notes],MATCH(E47&amp;"",tbl_Production[Job Number],0))),IFERROR(IF(INDEX(tbl_Consulting[Notes],MATCH(E47&amp;"",tbl_Consulting[Job Number],0))="","",INDEX(tbl_Consulting[Notes],MATCH(E47&amp;"",tbl_Consulting[Job Number],0))),""))))</f>
        <v/>
      </c>
    </row>
    <row r="48" ht="15" customHeight="1">
      <c r="A48" s="22" t="n"/>
      <c r="B48" s="23">
        <f>IF(A48="","",EOMONTH(A48,0))</f>
        <v/>
      </c>
      <c r="C48" s="24" t="n"/>
      <c r="D48" s="24" t="n"/>
      <c r="E48" s="24" t="n"/>
      <c r="F48" s="25">
        <f>IF(E48="","",IF(COUNTIF(lst_Jobs,E48&amp;"")&gt;0,"OK","CHECK"))</f>
        <v/>
      </c>
      <c r="G48" s="24" t="n"/>
      <c r="H48" s="24" t="n"/>
      <c r="I48" s="24" t="n"/>
      <c r="J48" s="24" t="n"/>
      <c r="K48" s="24" t="n"/>
      <c r="L48" s="26" t="n"/>
      <c r="M48" s="27">
        <f>IF(L48="","",IF(K48="GST 10%",ROUND(L48*set_GSTRate,2),0))</f>
        <v/>
      </c>
      <c r="N48" s="27">
        <f>IF(L48="","",L48+M48)</f>
        <v/>
      </c>
      <c r="O48" s="24" t="n"/>
      <c r="P48" s="24" t="n"/>
      <c r="Q48" s="24" t="n"/>
      <c r="R48" s="22" t="n"/>
      <c r="S48" s="22" t="n"/>
      <c r="T48" s="24" t="n"/>
      <c r="U48" s="24" t="n"/>
      <c r="V48" s="25">
        <f>IF(COUNTA(A48,D48,C48,L48)=0,"",IF(A48="","No date - sits outside every month",IF(E48="","No job number",IF(F48="CHECK","Job number is not in the Xero job list",IF(I48="","No cost centre",IF(AND(P48="Y",C48=""),"Marked posted to Xero but has no invoice number",IF(AND(L48&lt;&gt;"",K48=""),"No tax code",IF(AND(L48&lt;&gt;"",O48=""),"No revenue GL code",""))))))))</f>
        <v/>
      </c>
      <c r="W48" s="25">
        <f>IF(E48="","",IF(COUNTIF(tbl_Onsite[Job Number],E48&amp;"")&gt;0,"Onsite",IF(COUNTIF(tbl_Production[Job Number],E48&amp;"")&gt;0,"Production",IF(COUNTIF(tbl_Consulting[Job Number],E48&amp;"")&gt;0,"Consulting","not set up yet"))))</f>
        <v/>
      </c>
      <c r="X48" s="25">
        <f>IF(E48="","",IFERROR(INDEX(lst_JobName,MATCH(E48&amp;"",lst_Jobs,0)),""))</f>
        <v/>
      </c>
      <c r="Y48" s="28">
        <f>IF(E48="","",COUNTIFS(tbl_Finance[Job Number],E48&amp;"",tbl_Finance[Ex GST],"&lt;&gt;"))</f>
        <v/>
      </c>
      <c r="Z48" s="27">
        <f>IF(E48="","",SUMIFS(tbl_Finance[Ex GST],tbl_Finance[Job Number],E48&amp;""))</f>
        <v/>
      </c>
      <c r="AA48" s="27">
        <f>IF(E48="","",SUMIFS(tbl_Finance[Ex GST],tbl_Finance[Job Number],E48&amp;"",tbl_Finance[Xero Invoice No],"&lt;&gt;"))</f>
        <v/>
      </c>
      <c r="AB48" s="27">
        <f>IF(E48="","",Z48-AA48)</f>
        <v/>
      </c>
      <c r="AC48" s="25">
        <f>IF(E48="","",IFERROR(IF(INDEX(tbl_Onsite[Qwilr Quote],MATCH(E48&amp;"",tbl_Onsite[Job Number],0))="","",INDEX(tbl_Onsite[Qwilr Quote],MATCH(E48&amp;"",tbl_Onsite[Job Number],0))),IFERROR(IF(IF(INDEX(tbl_Production[Current RMS No],MATCH(E48&amp;"",tbl_Production[Job Number],0))="",INDEX(tbl_Production[Qwilr Quote],MATCH(E48&amp;"",tbl_Production[Job Number],0)),INDEX(tbl_Production[Current RMS No],MATCH(E48&amp;"",tbl_Production[Job Number],0)))="","",IF(INDEX(tbl_Production[Current RMS No],MATCH(E48&amp;"",tbl_Production[Job Number],0))="",INDEX(tbl_Production[Qwilr Quote],MATCH(E48&amp;"",tbl_Production[Job Number],0)),INDEX(tbl_Production[Current RMS No],MATCH(E48&amp;"",tbl_Production[Job Number],0)))),IFERROR(IF(INDEX(tbl_Consulting[Qwilr Quote],MATCH(E48&amp;"",tbl_Consulting[Job Number],0))="","",INDEX(tbl_Consulting[Qwilr Quote],MATCH(E48&amp;"",tbl_Consulting[Job Number],0))),""))))</f>
        <v/>
      </c>
      <c r="AD48" s="25">
        <f>IF(AC48="","",IF(AND(LEFT(AC48,4)&lt;&gt;"http",IF(H48="Production",set_RMSBase,set_QwilrBase)=""),"",HYPERLINK(IF(LEFT(AC48,4)="http",AC48,IF(H48="Production",set_RMSBase,set_QwilrBase)&amp;AC48),"Open")))</f>
        <v/>
      </c>
      <c r="AE48" s="27">
        <f>IF(E48="","",IFERROR(INDEX(tbl_Production[Total Expense],MATCH(E48&amp;"",tbl_Production[Job Number],0)),IFERROR(INDEX(tbl_Consulting[Total Expense],MATCH(E48&amp;"",tbl_Consulting[Job Number],0)),0)))</f>
        <v/>
      </c>
      <c r="AF48" s="27">
        <f>IF(E48="","",Z48-N(AE48))</f>
        <v/>
      </c>
      <c r="AG48" s="29">
        <f>IFERROR(AF48/Z48,"")</f>
        <v/>
      </c>
      <c r="AH48" s="25">
        <f>IF(E48="","",IFERROR(IF(INDEX(tbl_Onsite[Notes],MATCH(E48&amp;"",tbl_Onsite[Job Number],0))="","",INDEX(tbl_Onsite[Notes],MATCH(E48&amp;"",tbl_Onsite[Job Number],0))),IFERROR(IF(INDEX(tbl_Production[Notes],MATCH(E48&amp;"",tbl_Production[Job Number],0))="","",INDEX(tbl_Production[Notes],MATCH(E48&amp;"",tbl_Production[Job Number],0))),IFERROR(IF(INDEX(tbl_Consulting[Notes],MATCH(E48&amp;"",tbl_Consulting[Job Number],0))="","",INDEX(tbl_Consulting[Notes],MATCH(E48&amp;"",tbl_Consulting[Job Number],0))),""))))</f>
        <v/>
      </c>
    </row>
    <row r="49" ht="15" customHeight="1">
      <c r="A49" s="22" t="n"/>
      <c r="B49" s="23">
        <f>IF(A49="","",EOMONTH(A49,0))</f>
        <v/>
      </c>
      <c r="C49" s="24" t="n"/>
      <c r="D49" s="24" t="n"/>
      <c r="E49" s="24" t="n"/>
      <c r="F49" s="25">
        <f>IF(E49="","",IF(COUNTIF(lst_Jobs,E49&amp;"")&gt;0,"OK","CHECK"))</f>
        <v/>
      </c>
      <c r="G49" s="24" t="n"/>
      <c r="H49" s="24" t="n"/>
      <c r="I49" s="24" t="n"/>
      <c r="J49" s="24" t="n"/>
      <c r="K49" s="24" t="n"/>
      <c r="L49" s="26" t="n"/>
      <c r="M49" s="27">
        <f>IF(L49="","",IF(K49="GST 10%",ROUND(L49*set_GSTRate,2),0))</f>
        <v/>
      </c>
      <c r="N49" s="27">
        <f>IF(L49="","",L49+M49)</f>
        <v/>
      </c>
      <c r="O49" s="24" t="n"/>
      <c r="P49" s="24" t="n"/>
      <c r="Q49" s="24" t="n"/>
      <c r="R49" s="22" t="n"/>
      <c r="S49" s="22" t="n"/>
      <c r="T49" s="24" t="n"/>
      <c r="U49" s="24" t="n"/>
      <c r="V49" s="25">
        <f>IF(COUNTA(A49,D49,C49,L49)=0,"",IF(A49="","No date - sits outside every month",IF(E49="","No job number",IF(F49="CHECK","Job number is not in the Xero job list",IF(I49="","No cost centre",IF(AND(P49="Y",C49=""),"Marked posted to Xero but has no invoice number",IF(AND(L49&lt;&gt;"",K49=""),"No tax code",IF(AND(L49&lt;&gt;"",O49=""),"No revenue GL code",""))))))))</f>
        <v/>
      </c>
      <c r="W49" s="25">
        <f>IF(E49="","",IF(COUNTIF(tbl_Onsite[Job Number],E49&amp;"")&gt;0,"Onsite",IF(COUNTIF(tbl_Production[Job Number],E49&amp;"")&gt;0,"Production",IF(COUNTIF(tbl_Consulting[Job Number],E49&amp;"")&gt;0,"Consulting","not set up yet"))))</f>
        <v/>
      </c>
      <c r="X49" s="25">
        <f>IF(E49="","",IFERROR(INDEX(lst_JobName,MATCH(E49&amp;"",lst_Jobs,0)),""))</f>
        <v/>
      </c>
      <c r="Y49" s="28">
        <f>IF(E49="","",COUNTIFS(tbl_Finance[Job Number],E49&amp;"",tbl_Finance[Ex GST],"&lt;&gt;"))</f>
        <v/>
      </c>
      <c r="Z49" s="27">
        <f>IF(E49="","",SUMIFS(tbl_Finance[Ex GST],tbl_Finance[Job Number],E49&amp;""))</f>
        <v/>
      </c>
      <c r="AA49" s="27">
        <f>IF(E49="","",SUMIFS(tbl_Finance[Ex GST],tbl_Finance[Job Number],E49&amp;"",tbl_Finance[Xero Invoice No],"&lt;&gt;"))</f>
        <v/>
      </c>
      <c r="AB49" s="27">
        <f>IF(E49="","",Z49-AA49)</f>
        <v/>
      </c>
      <c r="AC49" s="25">
        <f>IF(E49="","",IFERROR(IF(INDEX(tbl_Onsite[Qwilr Quote],MATCH(E49&amp;"",tbl_Onsite[Job Number],0))="","",INDEX(tbl_Onsite[Qwilr Quote],MATCH(E49&amp;"",tbl_Onsite[Job Number],0))),IFERROR(IF(IF(INDEX(tbl_Production[Current RMS No],MATCH(E49&amp;"",tbl_Production[Job Number],0))="",INDEX(tbl_Production[Qwilr Quote],MATCH(E49&amp;"",tbl_Production[Job Number],0)),INDEX(tbl_Production[Current RMS No],MATCH(E49&amp;"",tbl_Production[Job Number],0)))="","",IF(INDEX(tbl_Production[Current RMS No],MATCH(E49&amp;"",tbl_Production[Job Number],0))="",INDEX(tbl_Production[Qwilr Quote],MATCH(E49&amp;"",tbl_Production[Job Number],0)),INDEX(tbl_Production[Current RMS No],MATCH(E49&amp;"",tbl_Production[Job Number],0)))),IFERROR(IF(INDEX(tbl_Consulting[Qwilr Quote],MATCH(E49&amp;"",tbl_Consulting[Job Number],0))="","",INDEX(tbl_Consulting[Qwilr Quote],MATCH(E49&amp;"",tbl_Consulting[Job Number],0))),""))))</f>
        <v/>
      </c>
      <c r="AD49" s="25">
        <f>IF(AC49="","",IF(AND(LEFT(AC49,4)&lt;&gt;"http",IF(H49="Production",set_RMSBase,set_QwilrBase)=""),"",HYPERLINK(IF(LEFT(AC49,4)="http",AC49,IF(H49="Production",set_RMSBase,set_QwilrBase)&amp;AC49),"Open")))</f>
        <v/>
      </c>
      <c r="AE49" s="27">
        <f>IF(E49="","",IFERROR(INDEX(tbl_Production[Total Expense],MATCH(E49&amp;"",tbl_Production[Job Number],0)),IFERROR(INDEX(tbl_Consulting[Total Expense],MATCH(E49&amp;"",tbl_Consulting[Job Number],0)),0)))</f>
        <v/>
      </c>
      <c r="AF49" s="27">
        <f>IF(E49="","",Z49-N(AE49))</f>
        <v/>
      </c>
      <c r="AG49" s="29">
        <f>IFERROR(AF49/Z49,"")</f>
        <v/>
      </c>
      <c r="AH49" s="25">
        <f>IF(E49="","",IFERROR(IF(INDEX(tbl_Onsite[Notes],MATCH(E49&amp;"",tbl_Onsite[Job Number],0))="","",INDEX(tbl_Onsite[Notes],MATCH(E49&amp;"",tbl_Onsite[Job Number],0))),IFERROR(IF(INDEX(tbl_Production[Notes],MATCH(E49&amp;"",tbl_Production[Job Number],0))="","",INDEX(tbl_Production[Notes],MATCH(E49&amp;"",tbl_Production[Job Number],0))),IFERROR(IF(INDEX(tbl_Consulting[Notes],MATCH(E49&amp;"",tbl_Consulting[Job Number],0))="","",INDEX(tbl_Consulting[Notes],MATCH(E49&amp;"",tbl_Consulting[Job Number],0))),""))))</f>
        <v/>
      </c>
    </row>
    <row r="50" ht="15" customHeight="1">
      <c r="A50" s="22" t="n"/>
      <c r="B50" s="23">
        <f>IF(A50="","",EOMONTH(A50,0))</f>
        <v/>
      </c>
      <c r="C50" s="24" t="n"/>
      <c r="D50" s="24" t="n"/>
      <c r="E50" s="24" t="n"/>
      <c r="F50" s="25">
        <f>IF(E50="","",IF(COUNTIF(lst_Jobs,E50&amp;"")&gt;0,"OK","CHECK"))</f>
        <v/>
      </c>
      <c r="G50" s="24" t="n"/>
      <c r="H50" s="24" t="n"/>
      <c r="I50" s="24" t="n"/>
      <c r="J50" s="24" t="n"/>
      <c r="K50" s="24" t="n"/>
      <c r="L50" s="26" t="n"/>
      <c r="M50" s="27">
        <f>IF(L50="","",IF(K50="GST 10%",ROUND(L50*set_GSTRate,2),0))</f>
        <v/>
      </c>
      <c r="N50" s="27">
        <f>IF(L50="","",L50+M50)</f>
        <v/>
      </c>
      <c r="O50" s="24" t="n"/>
      <c r="P50" s="24" t="n"/>
      <c r="Q50" s="24" t="n"/>
      <c r="R50" s="22" t="n"/>
      <c r="S50" s="22" t="n"/>
      <c r="T50" s="24" t="n"/>
      <c r="U50" s="24" t="n"/>
      <c r="V50" s="25">
        <f>IF(COUNTA(A50,D50,C50,L50)=0,"",IF(A50="","No date - sits outside every month",IF(E50="","No job number",IF(F50="CHECK","Job number is not in the Xero job list",IF(I50="","No cost centre",IF(AND(P50="Y",C50=""),"Marked posted to Xero but has no invoice number",IF(AND(L50&lt;&gt;"",K50=""),"No tax code",IF(AND(L50&lt;&gt;"",O50=""),"No revenue GL code",""))))))))</f>
        <v/>
      </c>
      <c r="W50" s="25">
        <f>IF(E50="","",IF(COUNTIF(tbl_Onsite[Job Number],E50&amp;"")&gt;0,"Onsite",IF(COUNTIF(tbl_Production[Job Number],E50&amp;"")&gt;0,"Production",IF(COUNTIF(tbl_Consulting[Job Number],E50&amp;"")&gt;0,"Consulting","not set up yet"))))</f>
        <v/>
      </c>
      <c r="X50" s="25">
        <f>IF(E50="","",IFERROR(INDEX(lst_JobName,MATCH(E50&amp;"",lst_Jobs,0)),""))</f>
        <v/>
      </c>
      <c r="Y50" s="28">
        <f>IF(E50="","",COUNTIFS(tbl_Finance[Job Number],E50&amp;"",tbl_Finance[Ex GST],"&lt;&gt;"))</f>
        <v/>
      </c>
      <c r="Z50" s="27">
        <f>IF(E50="","",SUMIFS(tbl_Finance[Ex GST],tbl_Finance[Job Number],E50&amp;""))</f>
        <v/>
      </c>
      <c r="AA50" s="27">
        <f>IF(E50="","",SUMIFS(tbl_Finance[Ex GST],tbl_Finance[Job Number],E50&amp;"",tbl_Finance[Xero Invoice No],"&lt;&gt;"))</f>
        <v/>
      </c>
      <c r="AB50" s="27">
        <f>IF(E50="","",Z50-AA50)</f>
        <v/>
      </c>
      <c r="AC50" s="25">
        <f>IF(E50="","",IFERROR(IF(INDEX(tbl_Onsite[Qwilr Quote],MATCH(E50&amp;"",tbl_Onsite[Job Number],0))="","",INDEX(tbl_Onsite[Qwilr Quote],MATCH(E50&amp;"",tbl_Onsite[Job Number],0))),IFERROR(IF(IF(INDEX(tbl_Production[Current RMS No],MATCH(E50&amp;"",tbl_Production[Job Number],0))="",INDEX(tbl_Production[Qwilr Quote],MATCH(E50&amp;"",tbl_Production[Job Number],0)),INDEX(tbl_Production[Current RMS No],MATCH(E50&amp;"",tbl_Production[Job Number],0)))="","",IF(INDEX(tbl_Production[Current RMS No],MATCH(E50&amp;"",tbl_Production[Job Number],0))="",INDEX(tbl_Production[Qwilr Quote],MATCH(E50&amp;"",tbl_Production[Job Number],0)),INDEX(tbl_Production[Current RMS No],MATCH(E50&amp;"",tbl_Production[Job Number],0)))),IFERROR(IF(INDEX(tbl_Consulting[Qwilr Quote],MATCH(E50&amp;"",tbl_Consulting[Job Number],0))="","",INDEX(tbl_Consulting[Qwilr Quote],MATCH(E50&amp;"",tbl_Consulting[Job Number],0))),""))))</f>
        <v/>
      </c>
      <c r="AD50" s="25">
        <f>IF(AC50="","",IF(AND(LEFT(AC50,4)&lt;&gt;"http",IF(H50="Production",set_RMSBase,set_QwilrBase)=""),"",HYPERLINK(IF(LEFT(AC50,4)="http",AC50,IF(H50="Production",set_RMSBase,set_QwilrBase)&amp;AC50),"Open")))</f>
        <v/>
      </c>
      <c r="AE50" s="27">
        <f>IF(E50="","",IFERROR(INDEX(tbl_Production[Total Expense],MATCH(E50&amp;"",tbl_Production[Job Number],0)),IFERROR(INDEX(tbl_Consulting[Total Expense],MATCH(E50&amp;"",tbl_Consulting[Job Number],0)),0)))</f>
        <v/>
      </c>
      <c r="AF50" s="27">
        <f>IF(E50="","",Z50-N(AE50))</f>
        <v/>
      </c>
      <c r="AG50" s="29">
        <f>IFERROR(AF50/Z50,"")</f>
        <v/>
      </c>
      <c r="AH50" s="25">
        <f>IF(E50="","",IFERROR(IF(INDEX(tbl_Onsite[Notes],MATCH(E50&amp;"",tbl_Onsite[Job Number],0))="","",INDEX(tbl_Onsite[Notes],MATCH(E50&amp;"",tbl_Onsite[Job Number],0))),IFERROR(IF(INDEX(tbl_Production[Notes],MATCH(E50&amp;"",tbl_Production[Job Number],0))="","",INDEX(tbl_Production[Notes],MATCH(E50&amp;"",tbl_Production[Job Number],0))),IFERROR(IF(INDEX(tbl_Consulting[Notes],MATCH(E50&amp;"",tbl_Consulting[Job Number],0))="","",INDEX(tbl_Consulting[Notes],MATCH(E50&amp;"",tbl_Consulting[Job Number],0))),""))))</f>
        <v/>
      </c>
    </row>
    <row r="51" ht="15" customHeight="1">
      <c r="A51" s="22" t="n"/>
      <c r="B51" s="23">
        <f>IF(A51="","",EOMONTH(A51,0))</f>
        <v/>
      </c>
      <c r="C51" s="24" t="n"/>
      <c r="D51" s="24" t="n"/>
      <c r="E51" s="24" t="n"/>
      <c r="F51" s="25">
        <f>IF(E51="","",IF(COUNTIF(lst_Jobs,E51&amp;"")&gt;0,"OK","CHECK"))</f>
        <v/>
      </c>
      <c r="G51" s="24" t="n"/>
      <c r="H51" s="24" t="n"/>
      <c r="I51" s="24" t="n"/>
      <c r="J51" s="24" t="n"/>
      <c r="K51" s="24" t="n"/>
      <c r="L51" s="26" t="n"/>
      <c r="M51" s="27">
        <f>IF(L51="","",IF(K51="GST 10%",ROUND(L51*set_GSTRate,2),0))</f>
        <v/>
      </c>
      <c r="N51" s="27">
        <f>IF(L51="","",L51+M51)</f>
        <v/>
      </c>
      <c r="O51" s="24" t="n"/>
      <c r="P51" s="24" t="n"/>
      <c r="Q51" s="24" t="n"/>
      <c r="R51" s="22" t="n"/>
      <c r="S51" s="22" t="n"/>
      <c r="T51" s="24" t="n"/>
      <c r="U51" s="24" t="n"/>
      <c r="V51" s="25">
        <f>IF(COUNTA(A51,D51,C51,L51)=0,"",IF(A51="","No date - sits outside every month",IF(E51="","No job number",IF(F51="CHECK","Job number is not in the Xero job list",IF(I51="","No cost centre",IF(AND(P51="Y",C51=""),"Marked posted to Xero but has no invoice number",IF(AND(L51&lt;&gt;"",K51=""),"No tax code",IF(AND(L51&lt;&gt;"",O51=""),"No revenue GL code",""))))))))</f>
        <v/>
      </c>
      <c r="W51" s="25">
        <f>IF(E51="","",IF(COUNTIF(tbl_Onsite[Job Number],E51&amp;"")&gt;0,"Onsite",IF(COUNTIF(tbl_Production[Job Number],E51&amp;"")&gt;0,"Production",IF(COUNTIF(tbl_Consulting[Job Number],E51&amp;"")&gt;0,"Consulting","not set up yet"))))</f>
        <v/>
      </c>
      <c r="X51" s="25">
        <f>IF(E51="","",IFERROR(INDEX(lst_JobName,MATCH(E51&amp;"",lst_Jobs,0)),""))</f>
        <v/>
      </c>
      <c r="Y51" s="28">
        <f>IF(E51="","",COUNTIFS(tbl_Finance[Job Number],E51&amp;"",tbl_Finance[Ex GST],"&lt;&gt;"))</f>
        <v/>
      </c>
      <c r="Z51" s="27">
        <f>IF(E51="","",SUMIFS(tbl_Finance[Ex GST],tbl_Finance[Job Number],E51&amp;""))</f>
        <v/>
      </c>
      <c r="AA51" s="27">
        <f>IF(E51="","",SUMIFS(tbl_Finance[Ex GST],tbl_Finance[Job Number],E51&amp;"",tbl_Finance[Xero Invoice No],"&lt;&gt;"))</f>
        <v/>
      </c>
      <c r="AB51" s="27">
        <f>IF(E51="","",Z51-AA51)</f>
        <v/>
      </c>
      <c r="AC51" s="25">
        <f>IF(E51="","",IFERROR(IF(INDEX(tbl_Onsite[Qwilr Quote],MATCH(E51&amp;"",tbl_Onsite[Job Number],0))="","",INDEX(tbl_Onsite[Qwilr Quote],MATCH(E51&amp;"",tbl_Onsite[Job Number],0))),IFERROR(IF(IF(INDEX(tbl_Production[Current RMS No],MATCH(E51&amp;"",tbl_Production[Job Number],0))="",INDEX(tbl_Production[Qwilr Quote],MATCH(E51&amp;"",tbl_Production[Job Number],0)),INDEX(tbl_Production[Current RMS No],MATCH(E51&amp;"",tbl_Production[Job Number],0)))="","",IF(INDEX(tbl_Production[Current RMS No],MATCH(E51&amp;"",tbl_Production[Job Number],0))="",INDEX(tbl_Production[Qwilr Quote],MATCH(E51&amp;"",tbl_Production[Job Number],0)),INDEX(tbl_Production[Current RMS No],MATCH(E51&amp;"",tbl_Production[Job Number],0)))),IFERROR(IF(INDEX(tbl_Consulting[Qwilr Quote],MATCH(E51&amp;"",tbl_Consulting[Job Number],0))="","",INDEX(tbl_Consulting[Qwilr Quote],MATCH(E51&amp;"",tbl_Consulting[Job Number],0))),""))))</f>
        <v/>
      </c>
      <c r="AD51" s="25">
        <f>IF(AC51="","",IF(AND(LEFT(AC51,4)&lt;&gt;"http",IF(H51="Production",set_RMSBase,set_QwilrBase)=""),"",HYPERLINK(IF(LEFT(AC51,4)="http",AC51,IF(H51="Production",set_RMSBase,set_QwilrBase)&amp;AC51),"Open")))</f>
        <v/>
      </c>
      <c r="AE51" s="27">
        <f>IF(E51="","",IFERROR(INDEX(tbl_Production[Total Expense],MATCH(E51&amp;"",tbl_Production[Job Number],0)),IFERROR(INDEX(tbl_Consulting[Total Expense],MATCH(E51&amp;"",tbl_Consulting[Job Number],0)),0)))</f>
        <v/>
      </c>
      <c r="AF51" s="27">
        <f>IF(E51="","",Z51-N(AE51))</f>
        <v/>
      </c>
      <c r="AG51" s="29">
        <f>IFERROR(AF51/Z51,"")</f>
        <v/>
      </c>
      <c r="AH51" s="25">
        <f>IF(E51="","",IFERROR(IF(INDEX(tbl_Onsite[Notes],MATCH(E51&amp;"",tbl_Onsite[Job Number],0))="","",INDEX(tbl_Onsite[Notes],MATCH(E51&amp;"",tbl_Onsite[Job Number],0))),IFERROR(IF(INDEX(tbl_Production[Notes],MATCH(E51&amp;"",tbl_Production[Job Number],0))="","",INDEX(tbl_Production[Notes],MATCH(E51&amp;"",tbl_Production[Job Number],0))),IFERROR(IF(INDEX(tbl_Consulting[Notes],MATCH(E51&amp;"",tbl_Consulting[Job Number],0))="","",INDEX(tbl_Consulting[Notes],MATCH(E51&amp;"",tbl_Consulting[Job Number],0))),""))))</f>
        <v/>
      </c>
    </row>
    <row r="52" ht="15" customHeight="1">
      <c r="A52" s="22" t="n"/>
      <c r="B52" s="23">
        <f>IF(A52="","",EOMONTH(A52,0))</f>
        <v/>
      </c>
      <c r="C52" s="24" t="n"/>
      <c r="D52" s="24" t="n"/>
      <c r="E52" s="24" t="n"/>
      <c r="F52" s="25">
        <f>IF(E52="","",IF(COUNTIF(lst_Jobs,E52&amp;"")&gt;0,"OK","CHECK"))</f>
        <v/>
      </c>
      <c r="G52" s="24" t="n"/>
      <c r="H52" s="24" t="n"/>
      <c r="I52" s="24" t="n"/>
      <c r="J52" s="24" t="n"/>
      <c r="K52" s="24" t="n"/>
      <c r="L52" s="26" t="n"/>
      <c r="M52" s="27">
        <f>IF(L52="","",IF(K52="GST 10%",ROUND(L52*set_GSTRate,2),0))</f>
        <v/>
      </c>
      <c r="N52" s="27">
        <f>IF(L52="","",L52+M52)</f>
        <v/>
      </c>
      <c r="O52" s="24" t="n"/>
      <c r="P52" s="24" t="n"/>
      <c r="Q52" s="24" t="n"/>
      <c r="R52" s="22" t="n"/>
      <c r="S52" s="22" t="n"/>
      <c r="T52" s="24" t="n"/>
      <c r="U52" s="24" t="n"/>
      <c r="V52" s="25">
        <f>IF(COUNTA(A52,D52,C52,L52)=0,"",IF(A52="","No date - sits outside every month",IF(E52="","No job number",IF(F52="CHECK","Job number is not in the Xero job list",IF(I52="","No cost centre",IF(AND(P52="Y",C52=""),"Marked posted to Xero but has no invoice number",IF(AND(L52&lt;&gt;"",K52=""),"No tax code",IF(AND(L52&lt;&gt;"",O52=""),"No revenue GL code",""))))))))</f>
        <v/>
      </c>
      <c r="W52" s="25">
        <f>IF(E52="","",IF(COUNTIF(tbl_Onsite[Job Number],E52&amp;"")&gt;0,"Onsite",IF(COUNTIF(tbl_Production[Job Number],E52&amp;"")&gt;0,"Production",IF(COUNTIF(tbl_Consulting[Job Number],E52&amp;"")&gt;0,"Consulting","not set up yet"))))</f>
        <v/>
      </c>
      <c r="X52" s="25">
        <f>IF(E52="","",IFERROR(INDEX(lst_JobName,MATCH(E52&amp;"",lst_Jobs,0)),""))</f>
        <v/>
      </c>
      <c r="Y52" s="28">
        <f>IF(E52="","",COUNTIFS(tbl_Finance[Job Number],E52&amp;"",tbl_Finance[Ex GST],"&lt;&gt;"))</f>
        <v/>
      </c>
      <c r="Z52" s="27">
        <f>IF(E52="","",SUMIFS(tbl_Finance[Ex GST],tbl_Finance[Job Number],E52&amp;""))</f>
        <v/>
      </c>
      <c r="AA52" s="27">
        <f>IF(E52="","",SUMIFS(tbl_Finance[Ex GST],tbl_Finance[Job Number],E52&amp;"",tbl_Finance[Xero Invoice No],"&lt;&gt;"))</f>
        <v/>
      </c>
      <c r="AB52" s="27">
        <f>IF(E52="","",Z52-AA52)</f>
        <v/>
      </c>
      <c r="AC52" s="25">
        <f>IF(E52="","",IFERROR(IF(INDEX(tbl_Onsite[Qwilr Quote],MATCH(E52&amp;"",tbl_Onsite[Job Number],0))="","",INDEX(tbl_Onsite[Qwilr Quote],MATCH(E52&amp;"",tbl_Onsite[Job Number],0))),IFERROR(IF(IF(INDEX(tbl_Production[Current RMS No],MATCH(E52&amp;"",tbl_Production[Job Number],0))="",INDEX(tbl_Production[Qwilr Quote],MATCH(E52&amp;"",tbl_Production[Job Number],0)),INDEX(tbl_Production[Current RMS No],MATCH(E52&amp;"",tbl_Production[Job Number],0)))="","",IF(INDEX(tbl_Production[Current RMS No],MATCH(E52&amp;"",tbl_Production[Job Number],0))="",INDEX(tbl_Production[Qwilr Quote],MATCH(E52&amp;"",tbl_Production[Job Number],0)),INDEX(tbl_Production[Current RMS No],MATCH(E52&amp;"",tbl_Production[Job Number],0)))),IFERROR(IF(INDEX(tbl_Consulting[Qwilr Quote],MATCH(E52&amp;"",tbl_Consulting[Job Number],0))="","",INDEX(tbl_Consulting[Qwilr Quote],MATCH(E52&amp;"",tbl_Consulting[Job Number],0))),""))))</f>
        <v/>
      </c>
      <c r="AD52" s="25">
        <f>IF(AC52="","",IF(AND(LEFT(AC52,4)&lt;&gt;"http",IF(H52="Production",set_RMSBase,set_QwilrBase)=""),"",HYPERLINK(IF(LEFT(AC52,4)="http",AC52,IF(H52="Production",set_RMSBase,set_QwilrBase)&amp;AC52),"Open")))</f>
        <v/>
      </c>
      <c r="AE52" s="27">
        <f>IF(E52="","",IFERROR(INDEX(tbl_Production[Total Expense],MATCH(E52&amp;"",tbl_Production[Job Number],0)),IFERROR(INDEX(tbl_Consulting[Total Expense],MATCH(E52&amp;"",tbl_Consulting[Job Number],0)),0)))</f>
        <v/>
      </c>
      <c r="AF52" s="27">
        <f>IF(E52="","",Z52-N(AE52))</f>
        <v/>
      </c>
      <c r="AG52" s="29">
        <f>IFERROR(AF52/Z52,"")</f>
        <v/>
      </c>
      <c r="AH52" s="25">
        <f>IF(E52="","",IFERROR(IF(INDEX(tbl_Onsite[Notes],MATCH(E52&amp;"",tbl_Onsite[Job Number],0))="","",INDEX(tbl_Onsite[Notes],MATCH(E52&amp;"",tbl_Onsite[Job Number],0))),IFERROR(IF(INDEX(tbl_Production[Notes],MATCH(E52&amp;"",tbl_Production[Job Number],0))="","",INDEX(tbl_Production[Notes],MATCH(E52&amp;"",tbl_Production[Job Number],0))),IFERROR(IF(INDEX(tbl_Consulting[Notes],MATCH(E52&amp;"",tbl_Consulting[Job Number],0))="","",INDEX(tbl_Consulting[Notes],MATCH(E52&amp;"",tbl_Consulting[Job Number],0))),""))))</f>
        <v/>
      </c>
    </row>
    <row r="53" ht="15" customHeight="1">
      <c r="A53" s="22" t="n"/>
      <c r="B53" s="23">
        <f>IF(A53="","",EOMONTH(A53,0))</f>
        <v/>
      </c>
      <c r="C53" s="24" t="n"/>
      <c r="D53" s="24" t="n"/>
      <c r="E53" s="24" t="n"/>
      <c r="F53" s="25">
        <f>IF(E53="","",IF(COUNTIF(lst_Jobs,E53&amp;"")&gt;0,"OK","CHECK"))</f>
        <v/>
      </c>
      <c r="G53" s="24" t="n"/>
      <c r="H53" s="24" t="n"/>
      <c r="I53" s="24" t="n"/>
      <c r="J53" s="24" t="n"/>
      <c r="K53" s="24" t="n"/>
      <c r="L53" s="26" t="n"/>
      <c r="M53" s="27">
        <f>IF(L53="","",IF(K53="GST 10%",ROUND(L53*set_GSTRate,2),0))</f>
        <v/>
      </c>
      <c r="N53" s="27">
        <f>IF(L53="","",L53+M53)</f>
        <v/>
      </c>
      <c r="O53" s="24" t="n"/>
      <c r="P53" s="24" t="n"/>
      <c r="Q53" s="24" t="n"/>
      <c r="R53" s="22" t="n"/>
      <c r="S53" s="22" t="n"/>
      <c r="T53" s="24" t="n"/>
      <c r="U53" s="24" t="n"/>
      <c r="V53" s="25">
        <f>IF(COUNTA(A53,D53,C53,L53)=0,"",IF(A53="","No date - sits outside every month",IF(E53="","No job number",IF(F53="CHECK","Job number is not in the Xero job list",IF(I53="","No cost centre",IF(AND(P53="Y",C53=""),"Marked posted to Xero but has no invoice number",IF(AND(L53&lt;&gt;"",K53=""),"No tax code",IF(AND(L53&lt;&gt;"",O53=""),"No revenue GL code",""))))))))</f>
        <v/>
      </c>
      <c r="W53" s="25">
        <f>IF(E53="","",IF(COUNTIF(tbl_Onsite[Job Number],E53&amp;"")&gt;0,"Onsite",IF(COUNTIF(tbl_Production[Job Number],E53&amp;"")&gt;0,"Production",IF(COUNTIF(tbl_Consulting[Job Number],E53&amp;"")&gt;0,"Consulting","not set up yet"))))</f>
        <v/>
      </c>
      <c r="X53" s="25">
        <f>IF(E53="","",IFERROR(INDEX(lst_JobName,MATCH(E53&amp;"",lst_Jobs,0)),""))</f>
        <v/>
      </c>
      <c r="Y53" s="28">
        <f>IF(E53="","",COUNTIFS(tbl_Finance[Job Number],E53&amp;"",tbl_Finance[Ex GST],"&lt;&gt;"))</f>
        <v/>
      </c>
      <c r="Z53" s="27">
        <f>IF(E53="","",SUMIFS(tbl_Finance[Ex GST],tbl_Finance[Job Number],E53&amp;""))</f>
        <v/>
      </c>
      <c r="AA53" s="27">
        <f>IF(E53="","",SUMIFS(tbl_Finance[Ex GST],tbl_Finance[Job Number],E53&amp;"",tbl_Finance[Xero Invoice No],"&lt;&gt;"))</f>
        <v/>
      </c>
      <c r="AB53" s="27">
        <f>IF(E53="","",Z53-AA53)</f>
        <v/>
      </c>
      <c r="AC53" s="25">
        <f>IF(E53="","",IFERROR(IF(INDEX(tbl_Onsite[Qwilr Quote],MATCH(E53&amp;"",tbl_Onsite[Job Number],0))="","",INDEX(tbl_Onsite[Qwilr Quote],MATCH(E53&amp;"",tbl_Onsite[Job Number],0))),IFERROR(IF(IF(INDEX(tbl_Production[Current RMS No],MATCH(E53&amp;"",tbl_Production[Job Number],0))="",INDEX(tbl_Production[Qwilr Quote],MATCH(E53&amp;"",tbl_Production[Job Number],0)),INDEX(tbl_Production[Current RMS No],MATCH(E53&amp;"",tbl_Production[Job Number],0)))="","",IF(INDEX(tbl_Production[Current RMS No],MATCH(E53&amp;"",tbl_Production[Job Number],0))="",INDEX(tbl_Production[Qwilr Quote],MATCH(E53&amp;"",tbl_Production[Job Number],0)),INDEX(tbl_Production[Current RMS No],MATCH(E53&amp;"",tbl_Production[Job Number],0)))),IFERROR(IF(INDEX(tbl_Consulting[Qwilr Quote],MATCH(E53&amp;"",tbl_Consulting[Job Number],0))="","",INDEX(tbl_Consulting[Qwilr Quote],MATCH(E53&amp;"",tbl_Consulting[Job Number],0))),""))))</f>
        <v/>
      </c>
      <c r="AD53" s="25">
        <f>IF(AC53="","",IF(AND(LEFT(AC53,4)&lt;&gt;"http",IF(H53="Production",set_RMSBase,set_QwilrBase)=""),"",HYPERLINK(IF(LEFT(AC53,4)="http",AC53,IF(H53="Production",set_RMSBase,set_QwilrBase)&amp;AC53),"Open")))</f>
        <v/>
      </c>
      <c r="AE53" s="27">
        <f>IF(E53="","",IFERROR(INDEX(tbl_Production[Total Expense],MATCH(E53&amp;"",tbl_Production[Job Number],0)),IFERROR(INDEX(tbl_Consulting[Total Expense],MATCH(E53&amp;"",tbl_Consulting[Job Number],0)),0)))</f>
        <v/>
      </c>
      <c r="AF53" s="27">
        <f>IF(E53="","",Z53-N(AE53))</f>
        <v/>
      </c>
      <c r="AG53" s="29">
        <f>IFERROR(AF53/Z53,"")</f>
        <v/>
      </c>
      <c r="AH53" s="25">
        <f>IF(E53="","",IFERROR(IF(INDEX(tbl_Onsite[Notes],MATCH(E53&amp;"",tbl_Onsite[Job Number],0))="","",INDEX(tbl_Onsite[Notes],MATCH(E53&amp;"",tbl_Onsite[Job Number],0))),IFERROR(IF(INDEX(tbl_Production[Notes],MATCH(E53&amp;"",tbl_Production[Job Number],0))="","",INDEX(tbl_Production[Notes],MATCH(E53&amp;"",tbl_Production[Job Number],0))),IFERROR(IF(INDEX(tbl_Consulting[Notes],MATCH(E53&amp;"",tbl_Consulting[Job Number],0))="","",INDEX(tbl_Consulting[Notes],MATCH(E53&amp;"",tbl_Consulting[Job Number],0))),""))))</f>
        <v/>
      </c>
    </row>
    <row r="54" ht="15" customHeight="1">
      <c r="A54" s="22" t="n"/>
      <c r="B54" s="23">
        <f>IF(A54="","",EOMONTH(A54,0))</f>
        <v/>
      </c>
      <c r="C54" s="24" t="n"/>
      <c r="D54" s="24" t="n"/>
      <c r="E54" s="24" t="n"/>
      <c r="F54" s="25">
        <f>IF(E54="","",IF(COUNTIF(lst_Jobs,E54&amp;"")&gt;0,"OK","CHECK"))</f>
        <v/>
      </c>
      <c r="G54" s="24" t="n"/>
      <c r="H54" s="24" t="n"/>
      <c r="I54" s="24" t="n"/>
      <c r="J54" s="24" t="n"/>
      <c r="K54" s="24" t="n"/>
      <c r="L54" s="26" t="n"/>
      <c r="M54" s="27">
        <f>IF(L54="","",IF(K54="GST 10%",ROUND(L54*set_GSTRate,2),0))</f>
        <v/>
      </c>
      <c r="N54" s="27">
        <f>IF(L54="","",L54+M54)</f>
        <v/>
      </c>
      <c r="O54" s="24" t="n"/>
      <c r="P54" s="24" t="n"/>
      <c r="Q54" s="24" t="n"/>
      <c r="R54" s="22" t="n"/>
      <c r="S54" s="22" t="n"/>
      <c r="T54" s="24" t="n"/>
      <c r="U54" s="24" t="n"/>
      <c r="V54" s="25">
        <f>IF(COUNTA(A54,D54,C54,L54)=0,"",IF(A54="","No date - sits outside every month",IF(E54="","No job number",IF(F54="CHECK","Job number is not in the Xero job list",IF(I54="","No cost centre",IF(AND(P54="Y",C54=""),"Marked posted to Xero but has no invoice number",IF(AND(L54&lt;&gt;"",K54=""),"No tax code",IF(AND(L54&lt;&gt;"",O54=""),"No revenue GL code",""))))))))</f>
        <v/>
      </c>
      <c r="W54" s="25">
        <f>IF(E54="","",IF(COUNTIF(tbl_Onsite[Job Number],E54&amp;"")&gt;0,"Onsite",IF(COUNTIF(tbl_Production[Job Number],E54&amp;"")&gt;0,"Production",IF(COUNTIF(tbl_Consulting[Job Number],E54&amp;"")&gt;0,"Consulting","not set up yet"))))</f>
        <v/>
      </c>
      <c r="X54" s="25">
        <f>IF(E54="","",IFERROR(INDEX(lst_JobName,MATCH(E54&amp;"",lst_Jobs,0)),""))</f>
        <v/>
      </c>
      <c r="Y54" s="28">
        <f>IF(E54="","",COUNTIFS(tbl_Finance[Job Number],E54&amp;"",tbl_Finance[Ex GST],"&lt;&gt;"))</f>
        <v/>
      </c>
      <c r="Z54" s="27">
        <f>IF(E54="","",SUMIFS(tbl_Finance[Ex GST],tbl_Finance[Job Number],E54&amp;""))</f>
        <v/>
      </c>
      <c r="AA54" s="27">
        <f>IF(E54="","",SUMIFS(tbl_Finance[Ex GST],tbl_Finance[Job Number],E54&amp;"",tbl_Finance[Xero Invoice No],"&lt;&gt;"))</f>
        <v/>
      </c>
      <c r="AB54" s="27">
        <f>IF(E54="","",Z54-AA54)</f>
        <v/>
      </c>
      <c r="AC54" s="25">
        <f>IF(E54="","",IFERROR(IF(INDEX(tbl_Onsite[Qwilr Quote],MATCH(E54&amp;"",tbl_Onsite[Job Number],0))="","",INDEX(tbl_Onsite[Qwilr Quote],MATCH(E54&amp;"",tbl_Onsite[Job Number],0))),IFERROR(IF(IF(INDEX(tbl_Production[Current RMS No],MATCH(E54&amp;"",tbl_Production[Job Number],0))="",INDEX(tbl_Production[Qwilr Quote],MATCH(E54&amp;"",tbl_Production[Job Number],0)),INDEX(tbl_Production[Current RMS No],MATCH(E54&amp;"",tbl_Production[Job Number],0)))="","",IF(INDEX(tbl_Production[Current RMS No],MATCH(E54&amp;"",tbl_Production[Job Number],0))="",INDEX(tbl_Production[Qwilr Quote],MATCH(E54&amp;"",tbl_Production[Job Number],0)),INDEX(tbl_Production[Current RMS No],MATCH(E54&amp;"",tbl_Production[Job Number],0)))),IFERROR(IF(INDEX(tbl_Consulting[Qwilr Quote],MATCH(E54&amp;"",tbl_Consulting[Job Number],0))="","",INDEX(tbl_Consulting[Qwilr Quote],MATCH(E54&amp;"",tbl_Consulting[Job Number],0))),""))))</f>
        <v/>
      </c>
      <c r="AD54" s="25">
        <f>IF(AC54="","",IF(AND(LEFT(AC54,4)&lt;&gt;"http",IF(H54="Production",set_RMSBase,set_QwilrBase)=""),"",HYPERLINK(IF(LEFT(AC54,4)="http",AC54,IF(H54="Production",set_RMSBase,set_QwilrBase)&amp;AC54),"Open")))</f>
        <v/>
      </c>
      <c r="AE54" s="27">
        <f>IF(E54="","",IFERROR(INDEX(tbl_Production[Total Expense],MATCH(E54&amp;"",tbl_Production[Job Number],0)),IFERROR(INDEX(tbl_Consulting[Total Expense],MATCH(E54&amp;"",tbl_Consulting[Job Number],0)),0)))</f>
        <v/>
      </c>
      <c r="AF54" s="27">
        <f>IF(E54="","",Z54-N(AE54))</f>
        <v/>
      </c>
      <c r="AG54" s="29">
        <f>IFERROR(AF54/Z54,"")</f>
        <v/>
      </c>
      <c r="AH54" s="25">
        <f>IF(E54="","",IFERROR(IF(INDEX(tbl_Onsite[Notes],MATCH(E54&amp;"",tbl_Onsite[Job Number],0))="","",INDEX(tbl_Onsite[Notes],MATCH(E54&amp;"",tbl_Onsite[Job Number],0))),IFERROR(IF(INDEX(tbl_Production[Notes],MATCH(E54&amp;"",tbl_Production[Job Number],0))="","",INDEX(tbl_Production[Notes],MATCH(E54&amp;"",tbl_Production[Job Number],0))),IFERROR(IF(INDEX(tbl_Consulting[Notes],MATCH(E54&amp;"",tbl_Consulting[Job Number],0))="","",INDEX(tbl_Consulting[Notes],MATCH(E54&amp;"",tbl_Consulting[Job Number],0))),""))))</f>
        <v/>
      </c>
    </row>
    <row r="55" ht="15" customHeight="1">
      <c r="A55" s="22" t="n"/>
      <c r="B55" s="23">
        <f>IF(A55="","",EOMONTH(A55,0))</f>
        <v/>
      </c>
      <c r="C55" s="24" t="n"/>
      <c r="D55" s="24" t="n"/>
      <c r="E55" s="24" t="n"/>
      <c r="F55" s="25">
        <f>IF(E55="","",IF(COUNTIF(lst_Jobs,E55&amp;"")&gt;0,"OK","CHECK"))</f>
        <v/>
      </c>
      <c r="G55" s="24" t="n"/>
      <c r="H55" s="24" t="n"/>
      <c r="I55" s="24" t="n"/>
      <c r="J55" s="24" t="n"/>
      <c r="K55" s="24" t="n"/>
      <c r="L55" s="26" t="n"/>
      <c r="M55" s="27">
        <f>IF(L55="","",IF(K55="GST 10%",ROUND(L55*set_GSTRate,2),0))</f>
        <v/>
      </c>
      <c r="N55" s="27">
        <f>IF(L55="","",L55+M55)</f>
        <v/>
      </c>
      <c r="O55" s="24" t="n"/>
      <c r="P55" s="24" t="n"/>
      <c r="Q55" s="24" t="n"/>
      <c r="R55" s="22" t="n"/>
      <c r="S55" s="22" t="n"/>
      <c r="T55" s="24" t="n"/>
      <c r="U55" s="24" t="n"/>
      <c r="V55" s="25">
        <f>IF(COUNTA(A55,D55,C55,L55)=0,"",IF(A55="","No date - sits outside every month",IF(E55="","No job number",IF(F55="CHECK","Job number is not in the Xero job list",IF(I55="","No cost centre",IF(AND(P55="Y",C55=""),"Marked posted to Xero but has no invoice number",IF(AND(L55&lt;&gt;"",K55=""),"No tax code",IF(AND(L55&lt;&gt;"",O55=""),"No revenue GL code",""))))))))</f>
        <v/>
      </c>
      <c r="W55" s="25">
        <f>IF(E55="","",IF(COUNTIF(tbl_Onsite[Job Number],E55&amp;"")&gt;0,"Onsite",IF(COUNTIF(tbl_Production[Job Number],E55&amp;"")&gt;0,"Production",IF(COUNTIF(tbl_Consulting[Job Number],E55&amp;"")&gt;0,"Consulting","not set up yet"))))</f>
        <v/>
      </c>
      <c r="X55" s="25">
        <f>IF(E55="","",IFERROR(INDEX(lst_JobName,MATCH(E55&amp;"",lst_Jobs,0)),""))</f>
        <v/>
      </c>
      <c r="Y55" s="28">
        <f>IF(E55="","",COUNTIFS(tbl_Finance[Job Number],E55&amp;"",tbl_Finance[Ex GST],"&lt;&gt;"))</f>
        <v/>
      </c>
      <c r="Z55" s="27">
        <f>IF(E55="","",SUMIFS(tbl_Finance[Ex GST],tbl_Finance[Job Number],E55&amp;""))</f>
        <v/>
      </c>
      <c r="AA55" s="27">
        <f>IF(E55="","",SUMIFS(tbl_Finance[Ex GST],tbl_Finance[Job Number],E55&amp;"",tbl_Finance[Xero Invoice No],"&lt;&gt;"))</f>
        <v/>
      </c>
      <c r="AB55" s="27">
        <f>IF(E55="","",Z55-AA55)</f>
        <v/>
      </c>
      <c r="AC55" s="25">
        <f>IF(E55="","",IFERROR(IF(INDEX(tbl_Onsite[Qwilr Quote],MATCH(E55&amp;"",tbl_Onsite[Job Number],0))="","",INDEX(tbl_Onsite[Qwilr Quote],MATCH(E55&amp;"",tbl_Onsite[Job Number],0))),IFERROR(IF(IF(INDEX(tbl_Production[Current RMS No],MATCH(E55&amp;"",tbl_Production[Job Number],0))="",INDEX(tbl_Production[Qwilr Quote],MATCH(E55&amp;"",tbl_Production[Job Number],0)),INDEX(tbl_Production[Current RMS No],MATCH(E55&amp;"",tbl_Production[Job Number],0)))="","",IF(INDEX(tbl_Production[Current RMS No],MATCH(E55&amp;"",tbl_Production[Job Number],0))="",INDEX(tbl_Production[Qwilr Quote],MATCH(E55&amp;"",tbl_Production[Job Number],0)),INDEX(tbl_Production[Current RMS No],MATCH(E55&amp;"",tbl_Production[Job Number],0)))),IFERROR(IF(INDEX(tbl_Consulting[Qwilr Quote],MATCH(E55&amp;"",tbl_Consulting[Job Number],0))="","",INDEX(tbl_Consulting[Qwilr Quote],MATCH(E55&amp;"",tbl_Consulting[Job Number],0))),""))))</f>
        <v/>
      </c>
      <c r="AD55" s="25">
        <f>IF(AC55="","",IF(AND(LEFT(AC55,4)&lt;&gt;"http",IF(H55="Production",set_RMSBase,set_QwilrBase)=""),"",HYPERLINK(IF(LEFT(AC55,4)="http",AC55,IF(H55="Production",set_RMSBase,set_QwilrBase)&amp;AC55),"Open")))</f>
        <v/>
      </c>
      <c r="AE55" s="27">
        <f>IF(E55="","",IFERROR(INDEX(tbl_Production[Total Expense],MATCH(E55&amp;"",tbl_Production[Job Number],0)),IFERROR(INDEX(tbl_Consulting[Total Expense],MATCH(E55&amp;"",tbl_Consulting[Job Number],0)),0)))</f>
        <v/>
      </c>
      <c r="AF55" s="27">
        <f>IF(E55="","",Z55-N(AE55))</f>
        <v/>
      </c>
      <c r="AG55" s="29">
        <f>IFERROR(AF55/Z55,"")</f>
        <v/>
      </c>
      <c r="AH55" s="25">
        <f>IF(E55="","",IFERROR(IF(INDEX(tbl_Onsite[Notes],MATCH(E55&amp;"",tbl_Onsite[Job Number],0))="","",INDEX(tbl_Onsite[Notes],MATCH(E55&amp;"",tbl_Onsite[Job Number],0))),IFERROR(IF(INDEX(tbl_Production[Notes],MATCH(E55&amp;"",tbl_Production[Job Number],0))="","",INDEX(tbl_Production[Notes],MATCH(E55&amp;"",tbl_Production[Job Number],0))),IFERROR(IF(INDEX(tbl_Consulting[Notes],MATCH(E55&amp;"",tbl_Consulting[Job Number],0))="","",INDEX(tbl_Consulting[Notes],MATCH(E55&amp;"",tbl_Consulting[Job Number],0))),""))))</f>
        <v/>
      </c>
    </row>
    <row r="56" ht="15" customHeight="1">
      <c r="A56" s="22" t="n"/>
      <c r="B56" s="23">
        <f>IF(A56="","",EOMONTH(A56,0))</f>
        <v/>
      </c>
      <c r="C56" s="24" t="n"/>
      <c r="D56" s="24" t="n"/>
      <c r="E56" s="24" t="n"/>
      <c r="F56" s="25">
        <f>IF(E56="","",IF(COUNTIF(lst_Jobs,E56&amp;"")&gt;0,"OK","CHECK"))</f>
        <v/>
      </c>
      <c r="G56" s="24" t="n"/>
      <c r="H56" s="24" t="n"/>
      <c r="I56" s="24" t="n"/>
      <c r="J56" s="24" t="n"/>
      <c r="K56" s="24" t="n"/>
      <c r="L56" s="26" t="n"/>
      <c r="M56" s="27">
        <f>IF(L56="","",IF(K56="GST 10%",ROUND(L56*set_GSTRate,2),0))</f>
        <v/>
      </c>
      <c r="N56" s="27">
        <f>IF(L56="","",L56+M56)</f>
        <v/>
      </c>
      <c r="O56" s="24" t="n"/>
      <c r="P56" s="24" t="n"/>
      <c r="Q56" s="24" t="n"/>
      <c r="R56" s="22" t="n"/>
      <c r="S56" s="22" t="n"/>
      <c r="T56" s="24" t="n"/>
      <c r="U56" s="24" t="n"/>
      <c r="V56" s="25">
        <f>IF(COUNTA(A56,D56,C56,L56)=0,"",IF(A56="","No date - sits outside every month",IF(E56="","No job number",IF(F56="CHECK","Job number is not in the Xero job list",IF(I56="","No cost centre",IF(AND(P56="Y",C56=""),"Marked posted to Xero but has no invoice number",IF(AND(L56&lt;&gt;"",K56=""),"No tax code",IF(AND(L56&lt;&gt;"",O56=""),"No revenue GL code",""))))))))</f>
        <v/>
      </c>
      <c r="W56" s="25">
        <f>IF(E56="","",IF(COUNTIF(tbl_Onsite[Job Number],E56&amp;"")&gt;0,"Onsite",IF(COUNTIF(tbl_Production[Job Number],E56&amp;"")&gt;0,"Production",IF(COUNTIF(tbl_Consulting[Job Number],E56&amp;"")&gt;0,"Consulting","not set up yet"))))</f>
        <v/>
      </c>
      <c r="X56" s="25">
        <f>IF(E56="","",IFERROR(INDEX(lst_JobName,MATCH(E56&amp;"",lst_Jobs,0)),""))</f>
        <v/>
      </c>
      <c r="Y56" s="28">
        <f>IF(E56="","",COUNTIFS(tbl_Finance[Job Number],E56&amp;"",tbl_Finance[Ex GST],"&lt;&gt;"))</f>
        <v/>
      </c>
      <c r="Z56" s="27">
        <f>IF(E56="","",SUMIFS(tbl_Finance[Ex GST],tbl_Finance[Job Number],E56&amp;""))</f>
        <v/>
      </c>
      <c r="AA56" s="27">
        <f>IF(E56="","",SUMIFS(tbl_Finance[Ex GST],tbl_Finance[Job Number],E56&amp;"",tbl_Finance[Xero Invoice No],"&lt;&gt;"))</f>
        <v/>
      </c>
      <c r="AB56" s="27">
        <f>IF(E56="","",Z56-AA56)</f>
        <v/>
      </c>
      <c r="AC56" s="25">
        <f>IF(E56="","",IFERROR(IF(INDEX(tbl_Onsite[Qwilr Quote],MATCH(E56&amp;"",tbl_Onsite[Job Number],0))="","",INDEX(tbl_Onsite[Qwilr Quote],MATCH(E56&amp;"",tbl_Onsite[Job Number],0))),IFERROR(IF(IF(INDEX(tbl_Production[Current RMS No],MATCH(E56&amp;"",tbl_Production[Job Number],0))="",INDEX(tbl_Production[Qwilr Quote],MATCH(E56&amp;"",tbl_Production[Job Number],0)),INDEX(tbl_Production[Current RMS No],MATCH(E56&amp;"",tbl_Production[Job Number],0)))="","",IF(INDEX(tbl_Production[Current RMS No],MATCH(E56&amp;"",tbl_Production[Job Number],0))="",INDEX(tbl_Production[Qwilr Quote],MATCH(E56&amp;"",tbl_Production[Job Number],0)),INDEX(tbl_Production[Current RMS No],MATCH(E56&amp;"",tbl_Production[Job Number],0)))),IFERROR(IF(INDEX(tbl_Consulting[Qwilr Quote],MATCH(E56&amp;"",tbl_Consulting[Job Number],0))="","",INDEX(tbl_Consulting[Qwilr Quote],MATCH(E56&amp;"",tbl_Consulting[Job Number],0))),""))))</f>
        <v/>
      </c>
      <c r="AD56" s="25">
        <f>IF(AC56="","",IF(AND(LEFT(AC56,4)&lt;&gt;"http",IF(H56="Production",set_RMSBase,set_QwilrBase)=""),"",HYPERLINK(IF(LEFT(AC56,4)="http",AC56,IF(H56="Production",set_RMSBase,set_QwilrBase)&amp;AC56),"Open")))</f>
        <v/>
      </c>
      <c r="AE56" s="27">
        <f>IF(E56="","",IFERROR(INDEX(tbl_Production[Total Expense],MATCH(E56&amp;"",tbl_Production[Job Number],0)),IFERROR(INDEX(tbl_Consulting[Total Expense],MATCH(E56&amp;"",tbl_Consulting[Job Number],0)),0)))</f>
        <v/>
      </c>
      <c r="AF56" s="27">
        <f>IF(E56="","",Z56-N(AE56))</f>
        <v/>
      </c>
      <c r="AG56" s="29">
        <f>IFERROR(AF56/Z56,"")</f>
        <v/>
      </c>
      <c r="AH56" s="25">
        <f>IF(E56="","",IFERROR(IF(INDEX(tbl_Onsite[Notes],MATCH(E56&amp;"",tbl_Onsite[Job Number],0))="","",INDEX(tbl_Onsite[Notes],MATCH(E56&amp;"",tbl_Onsite[Job Number],0))),IFERROR(IF(INDEX(tbl_Production[Notes],MATCH(E56&amp;"",tbl_Production[Job Number],0))="","",INDEX(tbl_Production[Notes],MATCH(E56&amp;"",tbl_Production[Job Number],0))),IFERROR(IF(INDEX(tbl_Consulting[Notes],MATCH(E56&amp;"",tbl_Consulting[Job Number],0))="","",INDEX(tbl_Consulting[Notes],MATCH(E56&amp;"",tbl_Consulting[Job Number],0))),""))))</f>
        <v/>
      </c>
    </row>
    <row r="57" ht="15" customHeight="1">
      <c r="A57" s="22" t="n"/>
      <c r="B57" s="23">
        <f>IF(A57="","",EOMONTH(A57,0))</f>
        <v/>
      </c>
      <c r="C57" s="24" t="n"/>
      <c r="D57" s="24" t="n"/>
      <c r="E57" s="24" t="n"/>
      <c r="F57" s="25">
        <f>IF(E57="","",IF(COUNTIF(lst_Jobs,E57&amp;"")&gt;0,"OK","CHECK"))</f>
        <v/>
      </c>
      <c r="G57" s="24" t="n"/>
      <c r="H57" s="24" t="n"/>
      <c r="I57" s="24" t="n"/>
      <c r="J57" s="24" t="n"/>
      <c r="K57" s="24" t="n"/>
      <c r="L57" s="26" t="n"/>
      <c r="M57" s="27">
        <f>IF(L57="","",IF(K57="GST 10%",ROUND(L57*set_GSTRate,2),0))</f>
        <v/>
      </c>
      <c r="N57" s="27">
        <f>IF(L57="","",L57+M57)</f>
        <v/>
      </c>
      <c r="O57" s="24" t="n"/>
      <c r="P57" s="24" t="n"/>
      <c r="Q57" s="24" t="n"/>
      <c r="R57" s="22" t="n"/>
      <c r="S57" s="22" t="n"/>
      <c r="T57" s="24" t="n"/>
      <c r="U57" s="24" t="n"/>
      <c r="V57" s="25">
        <f>IF(COUNTA(A57,D57,C57,L57)=0,"",IF(A57="","No date - sits outside every month",IF(E57="","No job number",IF(F57="CHECK","Job number is not in the Xero job list",IF(I57="","No cost centre",IF(AND(P57="Y",C57=""),"Marked posted to Xero but has no invoice number",IF(AND(L57&lt;&gt;"",K57=""),"No tax code",IF(AND(L57&lt;&gt;"",O57=""),"No revenue GL code",""))))))))</f>
        <v/>
      </c>
      <c r="W57" s="25">
        <f>IF(E57="","",IF(COUNTIF(tbl_Onsite[Job Number],E57&amp;"")&gt;0,"Onsite",IF(COUNTIF(tbl_Production[Job Number],E57&amp;"")&gt;0,"Production",IF(COUNTIF(tbl_Consulting[Job Number],E57&amp;"")&gt;0,"Consulting","not set up yet"))))</f>
        <v/>
      </c>
      <c r="X57" s="25">
        <f>IF(E57="","",IFERROR(INDEX(lst_JobName,MATCH(E57&amp;"",lst_Jobs,0)),""))</f>
        <v/>
      </c>
      <c r="Y57" s="28">
        <f>IF(E57="","",COUNTIFS(tbl_Finance[Job Number],E57&amp;"",tbl_Finance[Ex GST],"&lt;&gt;"))</f>
        <v/>
      </c>
      <c r="Z57" s="27">
        <f>IF(E57="","",SUMIFS(tbl_Finance[Ex GST],tbl_Finance[Job Number],E57&amp;""))</f>
        <v/>
      </c>
      <c r="AA57" s="27">
        <f>IF(E57="","",SUMIFS(tbl_Finance[Ex GST],tbl_Finance[Job Number],E57&amp;"",tbl_Finance[Xero Invoice No],"&lt;&gt;"))</f>
        <v/>
      </c>
      <c r="AB57" s="27">
        <f>IF(E57="","",Z57-AA57)</f>
        <v/>
      </c>
      <c r="AC57" s="25">
        <f>IF(E57="","",IFERROR(IF(INDEX(tbl_Onsite[Qwilr Quote],MATCH(E57&amp;"",tbl_Onsite[Job Number],0))="","",INDEX(tbl_Onsite[Qwilr Quote],MATCH(E57&amp;"",tbl_Onsite[Job Number],0))),IFERROR(IF(IF(INDEX(tbl_Production[Current RMS No],MATCH(E57&amp;"",tbl_Production[Job Number],0))="",INDEX(tbl_Production[Qwilr Quote],MATCH(E57&amp;"",tbl_Production[Job Number],0)),INDEX(tbl_Production[Current RMS No],MATCH(E57&amp;"",tbl_Production[Job Number],0)))="","",IF(INDEX(tbl_Production[Current RMS No],MATCH(E57&amp;"",tbl_Production[Job Number],0))="",INDEX(tbl_Production[Qwilr Quote],MATCH(E57&amp;"",tbl_Production[Job Number],0)),INDEX(tbl_Production[Current RMS No],MATCH(E57&amp;"",tbl_Production[Job Number],0)))),IFERROR(IF(INDEX(tbl_Consulting[Qwilr Quote],MATCH(E57&amp;"",tbl_Consulting[Job Number],0))="","",INDEX(tbl_Consulting[Qwilr Quote],MATCH(E57&amp;"",tbl_Consulting[Job Number],0))),""))))</f>
        <v/>
      </c>
      <c r="AD57" s="25">
        <f>IF(AC57="","",IF(AND(LEFT(AC57,4)&lt;&gt;"http",IF(H57="Production",set_RMSBase,set_QwilrBase)=""),"",HYPERLINK(IF(LEFT(AC57,4)="http",AC57,IF(H57="Production",set_RMSBase,set_QwilrBase)&amp;AC57),"Open")))</f>
        <v/>
      </c>
      <c r="AE57" s="27">
        <f>IF(E57="","",IFERROR(INDEX(tbl_Production[Total Expense],MATCH(E57&amp;"",tbl_Production[Job Number],0)),IFERROR(INDEX(tbl_Consulting[Total Expense],MATCH(E57&amp;"",tbl_Consulting[Job Number],0)),0)))</f>
        <v/>
      </c>
      <c r="AF57" s="27">
        <f>IF(E57="","",Z57-N(AE57))</f>
        <v/>
      </c>
      <c r="AG57" s="29">
        <f>IFERROR(AF57/Z57,"")</f>
        <v/>
      </c>
      <c r="AH57" s="25">
        <f>IF(E57="","",IFERROR(IF(INDEX(tbl_Onsite[Notes],MATCH(E57&amp;"",tbl_Onsite[Job Number],0))="","",INDEX(tbl_Onsite[Notes],MATCH(E57&amp;"",tbl_Onsite[Job Number],0))),IFERROR(IF(INDEX(tbl_Production[Notes],MATCH(E57&amp;"",tbl_Production[Job Number],0))="","",INDEX(tbl_Production[Notes],MATCH(E57&amp;"",tbl_Production[Job Number],0))),IFERROR(IF(INDEX(tbl_Consulting[Notes],MATCH(E57&amp;"",tbl_Consulting[Job Number],0))="","",INDEX(tbl_Consulting[Notes],MATCH(E57&amp;"",tbl_Consulting[Job Number],0))),""))))</f>
        <v/>
      </c>
    </row>
    <row r="58" ht="15" customHeight="1">
      <c r="A58" s="22" t="n"/>
      <c r="B58" s="23">
        <f>IF(A58="","",EOMONTH(A58,0))</f>
        <v/>
      </c>
      <c r="C58" s="24" t="n"/>
      <c r="D58" s="24" t="n"/>
      <c r="E58" s="24" t="n"/>
      <c r="F58" s="25">
        <f>IF(E58="","",IF(COUNTIF(lst_Jobs,E58&amp;"")&gt;0,"OK","CHECK"))</f>
        <v/>
      </c>
      <c r="G58" s="24" t="n"/>
      <c r="H58" s="24" t="n"/>
      <c r="I58" s="24" t="n"/>
      <c r="J58" s="24" t="n"/>
      <c r="K58" s="24" t="n"/>
      <c r="L58" s="26" t="n"/>
      <c r="M58" s="27">
        <f>IF(L58="","",IF(K58="GST 10%",ROUND(L58*set_GSTRate,2),0))</f>
        <v/>
      </c>
      <c r="N58" s="27">
        <f>IF(L58="","",L58+M58)</f>
        <v/>
      </c>
      <c r="O58" s="24" t="n"/>
      <c r="P58" s="24" t="n"/>
      <c r="Q58" s="24" t="n"/>
      <c r="R58" s="22" t="n"/>
      <c r="S58" s="22" t="n"/>
      <c r="T58" s="24" t="n"/>
      <c r="U58" s="24" t="n"/>
      <c r="V58" s="25">
        <f>IF(COUNTA(A58,D58,C58,L58)=0,"",IF(A58="","No date - sits outside every month",IF(E58="","No job number",IF(F58="CHECK","Job number is not in the Xero job list",IF(I58="","No cost centre",IF(AND(P58="Y",C58=""),"Marked posted to Xero but has no invoice number",IF(AND(L58&lt;&gt;"",K58=""),"No tax code",IF(AND(L58&lt;&gt;"",O58=""),"No revenue GL code",""))))))))</f>
        <v/>
      </c>
      <c r="W58" s="25">
        <f>IF(E58="","",IF(COUNTIF(tbl_Onsite[Job Number],E58&amp;"")&gt;0,"Onsite",IF(COUNTIF(tbl_Production[Job Number],E58&amp;"")&gt;0,"Production",IF(COUNTIF(tbl_Consulting[Job Number],E58&amp;"")&gt;0,"Consulting","not set up yet"))))</f>
        <v/>
      </c>
      <c r="X58" s="25">
        <f>IF(E58="","",IFERROR(INDEX(lst_JobName,MATCH(E58&amp;"",lst_Jobs,0)),""))</f>
        <v/>
      </c>
      <c r="Y58" s="28">
        <f>IF(E58="","",COUNTIFS(tbl_Finance[Job Number],E58&amp;"",tbl_Finance[Ex GST],"&lt;&gt;"))</f>
        <v/>
      </c>
      <c r="Z58" s="27">
        <f>IF(E58="","",SUMIFS(tbl_Finance[Ex GST],tbl_Finance[Job Number],E58&amp;""))</f>
        <v/>
      </c>
      <c r="AA58" s="27">
        <f>IF(E58="","",SUMIFS(tbl_Finance[Ex GST],tbl_Finance[Job Number],E58&amp;"",tbl_Finance[Xero Invoice No],"&lt;&gt;"))</f>
        <v/>
      </c>
      <c r="AB58" s="27">
        <f>IF(E58="","",Z58-AA58)</f>
        <v/>
      </c>
      <c r="AC58" s="25">
        <f>IF(E58="","",IFERROR(IF(INDEX(tbl_Onsite[Qwilr Quote],MATCH(E58&amp;"",tbl_Onsite[Job Number],0))="","",INDEX(tbl_Onsite[Qwilr Quote],MATCH(E58&amp;"",tbl_Onsite[Job Number],0))),IFERROR(IF(IF(INDEX(tbl_Production[Current RMS No],MATCH(E58&amp;"",tbl_Production[Job Number],0))="",INDEX(tbl_Production[Qwilr Quote],MATCH(E58&amp;"",tbl_Production[Job Number],0)),INDEX(tbl_Production[Current RMS No],MATCH(E58&amp;"",tbl_Production[Job Number],0)))="","",IF(INDEX(tbl_Production[Current RMS No],MATCH(E58&amp;"",tbl_Production[Job Number],0))="",INDEX(tbl_Production[Qwilr Quote],MATCH(E58&amp;"",tbl_Production[Job Number],0)),INDEX(tbl_Production[Current RMS No],MATCH(E58&amp;"",tbl_Production[Job Number],0)))),IFERROR(IF(INDEX(tbl_Consulting[Qwilr Quote],MATCH(E58&amp;"",tbl_Consulting[Job Number],0))="","",INDEX(tbl_Consulting[Qwilr Quote],MATCH(E58&amp;"",tbl_Consulting[Job Number],0))),""))))</f>
        <v/>
      </c>
      <c r="AD58" s="25">
        <f>IF(AC58="","",IF(AND(LEFT(AC58,4)&lt;&gt;"http",IF(H58="Production",set_RMSBase,set_QwilrBase)=""),"",HYPERLINK(IF(LEFT(AC58,4)="http",AC58,IF(H58="Production",set_RMSBase,set_QwilrBase)&amp;AC58),"Open")))</f>
        <v/>
      </c>
      <c r="AE58" s="27">
        <f>IF(E58="","",IFERROR(INDEX(tbl_Production[Total Expense],MATCH(E58&amp;"",tbl_Production[Job Number],0)),IFERROR(INDEX(tbl_Consulting[Total Expense],MATCH(E58&amp;"",tbl_Consulting[Job Number],0)),0)))</f>
        <v/>
      </c>
      <c r="AF58" s="27">
        <f>IF(E58="","",Z58-N(AE58))</f>
        <v/>
      </c>
      <c r="AG58" s="29">
        <f>IFERROR(AF58/Z58,"")</f>
        <v/>
      </c>
      <c r="AH58" s="25">
        <f>IF(E58="","",IFERROR(IF(INDEX(tbl_Onsite[Notes],MATCH(E58&amp;"",tbl_Onsite[Job Number],0))="","",INDEX(tbl_Onsite[Notes],MATCH(E58&amp;"",tbl_Onsite[Job Number],0))),IFERROR(IF(INDEX(tbl_Production[Notes],MATCH(E58&amp;"",tbl_Production[Job Number],0))="","",INDEX(tbl_Production[Notes],MATCH(E58&amp;"",tbl_Production[Job Number],0))),IFERROR(IF(INDEX(tbl_Consulting[Notes],MATCH(E58&amp;"",tbl_Consulting[Job Number],0))="","",INDEX(tbl_Consulting[Notes],MATCH(E58&amp;"",tbl_Consulting[Job Number],0))),""))))</f>
        <v/>
      </c>
    </row>
    <row r="59" ht="15" customHeight="1">
      <c r="A59" s="22" t="n"/>
      <c r="B59" s="23">
        <f>IF(A59="","",EOMONTH(A59,0))</f>
        <v/>
      </c>
      <c r="C59" s="24" t="n"/>
      <c r="D59" s="24" t="n"/>
      <c r="E59" s="24" t="n"/>
      <c r="F59" s="25">
        <f>IF(E59="","",IF(COUNTIF(lst_Jobs,E59&amp;"")&gt;0,"OK","CHECK"))</f>
        <v/>
      </c>
      <c r="G59" s="24" t="n"/>
      <c r="H59" s="24" t="n"/>
      <c r="I59" s="24" t="n"/>
      <c r="J59" s="24" t="n"/>
      <c r="K59" s="24" t="n"/>
      <c r="L59" s="26" t="n"/>
      <c r="M59" s="27">
        <f>IF(L59="","",IF(K59="GST 10%",ROUND(L59*set_GSTRate,2),0))</f>
        <v/>
      </c>
      <c r="N59" s="27">
        <f>IF(L59="","",L59+M59)</f>
        <v/>
      </c>
      <c r="O59" s="24" t="n"/>
      <c r="P59" s="24" t="n"/>
      <c r="Q59" s="24" t="n"/>
      <c r="R59" s="22" t="n"/>
      <c r="S59" s="22" t="n"/>
      <c r="T59" s="24" t="n"/>
      <c r="U59" s="24" t="n"/>
      <c r="V59" s="25">
        <f>IF(COUNTA(A59,D59,C59,L59)=0,"",IF(A59="","No date - sits outside every month",IF(E59="","No job number",IF(F59="CHECK","Job number is not in the Xero job list",IF(I59="","No cost centre",IF(AND(P59="Y",C59=""),"Marked posted to Xero but has no invoice number",IF(AND(L59&lt;&gt;"",K59=""),"No tax code",IF(AND(L59&lt;&gt;"",O59=""),"No revenue GL code",""))))))))</f>
        <v/>
      </c>
      <c r="W59" s="25">
        <f>IF(E59="","",IF(COUNTIF(tbl_Onsite[Job Number],E59&amp;"")&gt;0,"Onsite",IF(COUNTIF(tbl_Production[Job Number],E59&amp;"")&gt;0,"Production",IF(COUNTIF(tbl_Consulting[Job Number],E59&amp;"")&gt;0,"Consulting","not set up yet"))))</f>
        <v/>
      </c>
      <c r="X59" s="25">
        <f>IF(E59="","",IFERROR(INDEX(lst_JobName,MATCH(E59&amp;"",lst_Jobs,0)),""))</f>
        <v/>
      </c>
      <c r="Y59" s="28">
        <f>IF(E59="","",COUNTIFS(tbl_Finance[Job Number],E59&amp;"",tbl_Finance[Ex GST],"&lt;&gt;"))</f>
        <v/>
      </c>
      <c r="Z59" s="27">
        <f>IF(E59="","",SUMIFS(tbl_Finance[Ex GST],tbl_Finance[Job Number],E59&amp;""))</f>
        <v/>
      </c>
      <c r="AA59" s="27">
        <f>IF(E59="","",SUMIFS(tbl_Finance[Ex GST],tbl_Finance[Job Number],E59&amp;"",tbl_Finance[Xero Invoice No],"&lt;&gt;"))</f>
        <v/>
      </c>
      <c r="AB59" s="27">
        <f>IF(E59="","",Z59-AA59)</f>
        <v/>
      </c>
      <c r="AC59" s="25">
        <f>IF(E59="","",IFERROR(IF(INDEX(tbl_Onsite[Qwilr Quote],MATCH(E59&amp;"",tbl_Onsite[Job Number],0))="","",INDEX(tbl_Onsite[Qwilr Quote],MATCH(E59&amp;"",tbl_Onsite[Job Number],0))),IFERROR(IF(IF(INDEX(tbl_Production[Current RMS No],MATCH(E59&amp;"",tbl_Production[Job Number],0))="",INDEX(tbl_Production[Qwilr Quote],MATCH(E59&amp;"",tbl_Production[Job Number],0)),INDEX(tbl_Production[Current RMS No],MATCH(E59&amp;"",tbl_Production[Job Number],0)))="","",IF(INDEX(tbl_Production[Current RMS No],MATCH(E59&amp;"",tbl_Production[Job Number],0))="",INDEX(tbl_Production[Qwilr Quote],MATCH(E59&amp;"",tbl_Production[Job Number],0)),INDEX(tbl_Production[Current RMS No],MATCH(E59&amp;"",tbl_Production[Job Number],0)))),IFERROR(IF(INDEX(tbl_Consulting[Qwilr Quote],MATCH(E59&amp;"",tbl_Consulting[Job Number],0))="","",INDEX(tbl_Consulting[Qwilr Quote],MATCH(E59&amp;"",tbl_Consulting[Job Number],0))),""))))</f>
        <v/>
      </c>
      <c r="AD59" s="25">
        <f>IF(AC59="","",IF(AND(LEFT(AC59,4)&lt;&gt;"http",IF(H59="Production",set_RMSBase,set_QwilrBase)=""),"",HYPERLINK(IF(LEFT(AC59,4)="http",AC59,IF(H59="Production",set_RMSBase,set_QwilrBase)&amp;AC59),"Open")))</f>
        <v/>
      </c>
      <c r="AE59" s="27">
        <f>IF(E59="","",IFERROR(INDEX(tbl_Production[Total Expense],MATCH(E59&amp;"",tbl_Production[Job Number],0)),IFERROR(INDEX(tbl_Consulting[Total Expense],MATCH(E59&amp;"",tbl_Consulting[Job Number],0)),0)))</f>
        <v/>
      </c>
      <c r="AF59" s="27">
        <f>IF(E59="","",Z59-N(AE59))</f>
        <v/>
      </c>
      <c r="AG59" s="29">
        <f>IFERROR(AF59/Z59,"")</f>
        <v/>
      </c>
      <c r="AH59" s="25">
        <f>IF(E59="","",IFERROR(IF(INDEX(tbl_Onsite[Notes],MATCH(E59&amp;"",tbl_Onsite[Job Number],0))="","",INDEX(tbl_Onsite[Notes],MATCH(E59&amp;"",tbl_Onsite[Job Number],0))),IFERROR(IF(INDEX(tbl_Production[Notes],MATCH(E59&amp;"",tbl_Production[Job Number],0))="","",INDEX(tbl_Production[Notes],MATCH(E59&amp;"",tbl_Production[Job Number],0))),IFERROR(IF(INDEX(tbl_Consulting[Notes],MATCH(E59&amp;"",tbl_Consulting[Job Number],0))="","",INDEX(tbl_Consulting[Notes],MATCH(E59&amp;"",tbl_Consulting[Job Number],0))),""))))</f>
        <v/>
      </c>
    </row>
    <row r="60" ht="15" customHeight="1">
      <c r="A60" s="22" t="n"/>
      <c r="B60" s="23">
        <f>IF(A60="","",EOMONTH(A60,0))</f>
        <v/>
      </c>
      <c r="C60" s="24" t="n"/>
      <c r="D60" s="24" t="n"/>
      <c r="E60" s="24" t="n"/>
      <c r="F60" s="25">
        <f>IF(E60="","",IF(COUNTIF(lst_Jobs,E60&amp;"")&gt;0,"OK","CHECK"))</f>
        <v/>
      </c>
      <c r="G60" s="24" t="n"/>
      <c r="H60" s="24" t="n"/>
      <c r="I60" s="24" t="n"/>
      <c r="J60" s="24" t="n"/>
      <c r="K60" s="24" t="n"/>
      <c r="L60" s="26" t="n"/>
      <c r="M60" s="27">
        <f>IF(L60="","",IF(K60="GST 10%",ROUND(L60*set_GSTRate,2),0))</f>
        <v/>
      </c>
      <c r="N60" s="27">
        <f>IF(L60="","",L60+M60)</f>
        <v/>
      </c>
      <c r="O60" s="24" t="n"/>
      <c r="P60" s="24" t="n"/>
      <c r="Q60" s="24" t="n"/>
      <c r="R60" s="22" t="n"/>
      <c r="S60" s="22" t="n"/>
      <c r="T60" s="24" t="n"/>
      <c r="U60" s="24" t="n"/>
      <c r="V60" s="25">
        <f>IF(COUNTA(A60,D60,C60,L60)=0,"",IF(A60="","No date - sits outside every month",IF(E60="","No job number",IF(F60="CHECK","Job number is not in the Xero job list",IF(I60="","No cost centre",IF(AND(P60="Y",C60=""),"Marked posted to Xero but has no invoice number",IF(AND(L60&lt;&gt;"",K60=""),"No tax code",IF(AND(L60&lt;&gt;"",O60=""),"No revenue GL code",""))))))))</f>
        <v/>
      </c>
      <c r="W60" s="25">
        <f>IF(E60="","",IF(COUNTIF(tbl_Onsite[Job Number],E60&amp;"")&gt;0,"Onsite",IF(COUNTIF(tbl_Production[Job Number],E60&amp;"")&gt;0,"Production",IF(COUNTIF(tbl_Consulting[Job Number],E60&amp;"")&gt;0,"Consulting","not set up yet"))))</f>
        <v/>
      </c>
      <c r="X60" s="25">
        <f>IF(E60="","",IFERROR(INDEX(lst_JobName,MATCH(E60&amp;"",lst_Jobs,0)),""))</f>
        <v/>
      </c>
      <c r="Y60" s="28">
        <f>IF(E60="","",COUNTIFS(tbl_Finance[Job Number],E60&amp;"",tbl_Finance[Ex GST],"&lt;&gt;"))</f>
        <v/>
      </c>
      <c r="Z60" s="27">
        <f>IF(E60="","",SUMIFS(tbl_Finance[Ex GST],tbl_Finance[Job Number],E60&amp;""))</f>
        <v/>
      </c>
      <c r="AA60" s="27">
        <f>IF(E60="","",SUMIFS(tbl_Finance[Ex GST],tbl_Finance[Job Number],E60&amp;"",tbl_Finance[Xero Invoice No],"&lt;&gt;"))</f>
        <v/>
      </c>
      <c r="AB60" s="27">
        <f>IF(E60="","",Z60-AA60)</f>
        <v/>
      </c>
      <c r="AC60" s="25">
        <f>IF(E60="","",IFERROR(IF(INDEX(tbl_Onsite[Qwilr Quote],MATCH(E60&amp;"",tbl_Onsite[Job Number],0))="","",INDEX(tbl_Onsite[Qwilr Quote],MATCH(E60&amp;"",tbl_Onsite[Job Number],0))),IFERROR(IF(IF(INDEX(tbl_Production[Current RMS No],MATCH(E60&amp;"",tbl_Production[Job Number],0))="",INDEX(tbl_Production[Qwilr Quote],MATCH(E60&amp;"",tbl_Production[Job Number],0)),INDEX(tbl_Production[Current RMS No],MATCH(E60&amp;"",tbl_Production[Job Number],0)))="","",IF(INDEX(tbl_Production[Current RMS No],MATCH(E60&amp;"",tbl_Production[Job Number],0))="",INDEX(tbl_Production[Qwilr Quote],MATCH(E60&amp;"",tbl_Production[Job Number],0)),INDEX(tbl_Production[Current RMS No],MATCH(E60&amp;"",tbl_Production[Job Number],0)))),IFERROR(IF(INDEX(tbl_Consulting[Qwilr Quote],MATCH(E60&amp;"",tbl_Consulting[Job Number],0))="","",INDEX(tbl_Consulting[Qwilr Quote],MATCH(E60&amp;"",tbl_Consulting[Job Number],0))),""))))</f>
        <v/>
      </c>
      <c r="AD60" s="25">
        <f>IF(AC60="","",IF(AND(LEFT(AC60,4)&lt;&gt;"http",IF(H60="Production",set_RMSBase,set_QwilrBase)=""),"",HYPERLINK(IF(LEFT(AC60,4)="http",AC60,IF(H60="Production",set_RMSBase,set_QwilrBase)&amp;AC60),"Open")))</f>
        <v/>
      </c>
      <c r="AE60" s="27">
        <f>IF(E60="","",IFERROR(INDEX(tbl_Production[Total Expense],MATCH(E60&amp;"",tbl_Production[Job Number],0)),IFERROR(INDEX(tbl_Consulting[Total Expense],MATCH(E60&amp;"",tbl_Consulting[Job Number],0)),0)))</f>
        <v/>
      </c>
      <c r="AF60" s="27">
        <f>IF(E60="","",Z60-N(AE60))</f>
        <v/>
      </c>
      <c r="AG60" s="29">
        <f>IFERROR(AF60/Z60,"")</f>
        <v/>
      </c>
      <c r="AH60" s="25">
        <f>IF(E60="","",IFERROR(IF(INDEX(tbl_Onsite[Notes],MATCH(E60&amp;"",tbl_Onsite[Job Number],0))="","",INDEX(tbl_Onsite[Notes],MATCH(E60&amp;"",tbl_Onsite[Job Number],0))),IFERROR(IF(INDEX(tbl_Production[Notes],MATCH(E60&amp;"",tbl_Production[Job Number],0))="","",INDEX(tbl_Production[Notes],MATCH(E60&amp;"",tbl_Production[Job Number],0))),IFERROR(IF(INDEX(tbl_Consulting[Notes],MATCH(E60&amp;"",tbl_Consulting[Job Number],0))="","",INDEX(tbl_Consulting[Notes],MATCH(E60&amp;"",tbl_Consulting[Job Number],0))),""))))</f>
        <v/>
      </c>
    </row>
    <row r="61" ht="15" customHeight="1">
      <c r="A61" s="22" t="n"/>
      <c r="B61" s="23">
        <f>IF(A61="","",EOMONTH(A61,0))</f>
        <v/>
      </c>
      <c r="C61" s="24" t="n"/>
      <c r="D61" s="24" t="n"/>
      <c r="E61" s="24" t="n"/>
      <c r="F61" s="25">
        <f>IF(E61="","",IF(COUNTIF(lst_Jobs,E61&amp;"")&gt;0,"OK","CHECK"))</f>
        <v/>
      </c>
      <c r="G61" s="24" t="n"/>
      <c r="H61" s="24" t="n"/>
      <c r="I61" s="24" t="n"/>
      <c r="J61" s="24" t="n"/>
      <c r="K61" s="24" t="n"/>
      <c r="L61" s="26" t="n"/>
      <c r="M61" s="27">
        <f>IF(L61="","",IF(K61="GST 10%",ROUND(L61*set_GSTRate,2),0))</f>
        <v/>
      </c>
      <c r="N61" s="27">
        <f>IF(L61="","",L61+M61)</f>
        <v/>
      </c>
      <c r="O61" s="24" t="n"/>
      <c r="P61" s="24" t="n"/>
      <c r="Q61" s="24" t="n"/>
      <c r="R61" s="22" t="n"/>
      <c r="S61" s="22" t="n"/>
      <c r="T61" s="24" t="n"/>
      <c r="U61" s="24" t="n"/>
      <c r="V61" s="25">
        <f>IF(COUNTA(A61,D61,C61,L61)=0,"",IF(A61="","No date - sits outside every month",IF(E61="","No job number",IF(F61="CHECK","Job number is not in the Xero job list",IF(I61="","No cost centre",IF(AND(P61="Y",C61=""),"Marked posted to Xero but has no invoice number",IF(AND(L61&lt;&gt;"",K61=""),"No tax code",IF(AND(L61&lt;&gt;"",O61=""),"No revenue GL code",""))))))))</f>
        <v/>
      </c>
      <c r="W61" s="25">
        <f>IF(E61="","",IF(COUNTIF(tbl_Onsite[Job Number],E61&amp;"")&gt;0,"Onsite",IF(COUNTIF(tbl_Production[Job Number],E61&amp;"")&gt;0,"Production",IF(COUNTIF(tbl_Consulting[Job Number],E61&amp;"")&gt;0,"Consulting","not set up yet"))))</f>
        <v/>
      </c>
      <c r="X61" s="25">
        <f>IF(E61="","",IFERROR(INDEX(lst_JobName,MATCH(E61&amp;"",lst_Jobs,0)),""))</f>
        <v/>
      </c>
      <c r="Y61" s="28">
        <f>IF(E61="","",COUNTIFS(tbl_Finance[Job Number],E61&amp;"",tbl_Finance[Ex GST],"&lt;&gt;"))</f>
        <v/>
      </c>
      <c r="Z61" s="27">
        <f>IF(E61="","",SUMIFS(tbl_Finance[Ex GST],tbl_Finance[Job Number],E61&amp;""))</f>
        <v/>
      </c>
      <c r="AA61" s="27">
        <f>IF(E61="","",SUMIFS(tbl_Finance[Ex GST],tbl_Finance[Job Number],E61&amp;"",tbl_Finance[Xero Invoice No],"&lt;&gt;"))</f>
        <v/>
      </c>
      <c r="AB61" s="27">
        <f>IF(E61="","",Z61-AA61)</f>
        <v/>
      </c>
      <c r="AC61" s="25">
        <f>IF(E61="","",IFERROR(IF(INDEX(tbl_Onsite[Qwilr Quote],MATCH(E61&amp;"",tbl_Onsite[Job Number],0))="","",INDEX(tbl_Onsite[Qwilr Quote],MATCH(E61&amp;"",tbl_Onsite[Job Number],0))),IFERROR(IF(IF(INDEX(tbl_Production[Current RMS No],MATCH(E61&amp;"",tbl_Production[Job Number],0))="",INDEX(tbl_Production[Qwilr Quote],MATCH(E61&amp;"",tbl_Production[Job Number],0)),INDEX(tbl_Production[Current RMS No],MATCH(E61&amp;"",tbl_Production[Job Number],0)))="","",IF(INDEX(tbl_Production[Current RMS No],MATCH(E61&amp;"",tbl_Production[Job Number],0))="",INDEX(tbl_Production[Qwilr Quote],MATCH(E61&amp;"",tbl_Production[Job Number],0)),INDEX(tbl_Production[Current RMS No],MATCH(E61&amp;"",tbl_Production[Job Number],0)))),IFERROR(IF(INDEX(tbl_Consulting[Qwilr Quote],MATCH(E61&amp;"",tbl_Consulting[Job Number],0))="","",INDEX(tbl_Consulting[Qwilr Quote],MATCH(E61&amp;"",tbl_Consulting[Job Number],0))),""))))</f>
        <v/>
      </c>
      <c r="AD61" s="25">
        <f>IF(AC61="","",IF(AND(LEFT(AC61,4)&lt;&gt;"http",IF(H61="Production",set_RMSBase,set_QwilrBase)=""),"",HYPERLINK(IF(LEFT(AC61,4)="http",AC61,IF(H61="Production",set_RMSBase,set_QwilrBase)&amp;AC61),"Open")))</f>
        <v/>
      </c>
      <c r="AE61" s="27">
        <f>IF(E61="","",IFERROR(INDEX(tbl_Production[Total Expense],MATCH(E61&amp;"",tbl_Production[Job Number],0)),IFERROR(INDEX(tbl_Consulting[Total Expense],MATCH(E61&amp;"",tbl_Consulting[Job Number],0)),0)))</f>
        <v/>
      </c>
      <c r="AF61" s="27">
        <f>IF(E61="","",Z61-N(AE61))</f>
        <v/>
      </c>
      <c r="AG61" s="29">
        <f>IFERROR(AF61/Z61,"")</f>
        <v/>
      </c>
      <c r="AH61" s="25">
        <f>IF(E61="","",IFERROR(IF(INDEX(tbl_Onsite[Notes],MATCH(E61&amp;"",tbl_Onsite[Job Number],0))="","",INDEX(tbl_Onsite[Notes],MATCH(E61&amp;"",tbl_Onsite[Job Number],0))),IFERROR(IF(INDEX(tbl_Production[Notes],MATCH(E61&amp;"",tbl_Production[Job Number],0))="","",INDEX(tbl_Production[Notes],MATCH(E61&amp;"",tbl_Production[Job Number],0))),IFERROR(IF(INDEX(tbl_Consulting[Notes],MATCH(E61&amp;"",tbl_Consulting[Job Number],0))="","",INDEX(tbl_Consulting[Notes],MATCH(E61&amp;"",tbl_Consulting[Job Number],0))),""))))</f>
        <v/>
      </c>
    </row>
    <row r="62" ht="15" customHeight="1">
      <c r="A62" s="22" t="n"/>
      <c r="B62" s="23">
        <f>IF(A62="","",EOMONTH(A62,0))</f>
        <v/>
      </c>
      <c r="C62" s="24" t="n"/>
      <c r="D62" s="24" t="n"/>
      <c r="E62" s="24" t="n"/>
      <c r="F62" s="25">
        <f>IF(E62="","",IF(COUNTIF(lst_Jobs,E62&amp;"")&gt;0,"OK","CHECK"))</f>
        <v/>
      </c>
      <c r="G62" s="24" t="n"/>
      <c r="H62" s="24" t="n"/>
      <c r="I62" s="24" t="n"/>
      <c r="J62" s="24" t="n"/>
      <c r="K62" s="24" t="n"/>
      <c r="L62" s="26" t="n"/>
      <c r="M62" s="27">
        <f>IF(L62="","",IF(K62="GST 10%",ROUND(L62*set_GSTRate,2),0))</f>
        <v/>
      </c>
      <c r="N62" s="27">
        <f>IF(L62="","",L62+M62)</f>
        <v/>
      </c>
      <c r="O62" s="24" t="n"/>
      <c r="P62" s="24" t="n"/>
      <c r="Q62" s="24" t="n"/>
      <c r="R62" s="22" t="n"/>
      <c r="S62" s="22" t="n"/>
      <c r="T62" s="24" t="n"/>
      <c r="U62" s="24" t="n"/>
      <c r="V62" s="25">
        <f>IF(COUNTA(A62,D62,C62,L62)=0,"",IF(A62="","No date - sits outside every month",IF(E62="","No job number",IF(F62="CHECK","Job number is not in the Xero job list",IF(I62="","No cost centre",IF(AND(P62="Y",C62=""),"Marked posted to Xero but has no invoice number",IF(AND(L62&lt;&gt;"",K62=""),"No tax code",IF(AND(L62&lt;&gt;"",O62=""),"No revenue GL code",""))))))))</f>
        <v/>
      </c>
      <c r="W62" s="25">
        <f>IF(E62="","",IF(COUNTIF(tbl_Onsite[Job Number],E62&amp;"")&gt;0,"Onsite",IF(COUNTIF(tbl_Production[Job Number],E62&amp;"")&gt;0,"Production",IF(COUNTIF(tbl_Consulting[Job Number],E62&amp;"")&gt;0,"Consulting","not set up yet"))))</f>
        <v/>
      </c>
      <c r="X62" s="25">
        <f>IF(E62="","",IFERROR(INDEX(lst_JobName,MATCH(E62&amp;"",lst_Jobs,0)),""))</f>
        <v/>
      </c>
      <c r="Y62" s="28">
        <f>IF(E62="","",COUNTIFS(tbl_Finance[Job Number],E62&amp;"",tbl_Finance[Ex GST],"&lt;&gt;"))</f>
        <v/>
      </c>
      <c r="Z62" s="27">
        <f>IF(E62="","",SUMIFS(tbl_Finance[Ex GST],tbl_Finance[Job Number],E62&amp;""))</f>
        <v/>
      </c>
      <c r="AA62" s="27">
        <f>IF(E62="","",SUMIFS(tbl_Finance[Ex GST],tbl_Finance[Job Number],E62&amp;"",tbl_Finance[Xero Invoice No],"&lt;&gt;"))</f>
        <v/>
      </c>
      <c r="AB62" s="27">
        <f>IF(E62="","",Z62-AA62)</f>
        <v/>
      </c>
      <c r="AC62" s="25">
        <f>IF(E62="","",IFERROR(IF(INDEX(tbl_Onsite[Qwilr Quote],MATCH(E62&amp;"",tbl_Onsite[Job Number],0))="","",INDEX(tbl_Onsite[Qwilr Quote],MATCH(E62&amp;"",tbl_Onsite[Job Number],0))),IFERROR(IF(IF(INDEX(tbl_Production[Current RMS No],MATCH(E62&amp;"",tbl_Production[Job Number],0))="",INDEX(tbl_Production[Qwilr Quote],MATCH(E62&amp;"",tbl_Production[Job Number],0)),INDEX(tbl_Production[Current RMS No],MATCH(E62&amp;"",tbl_Production[Job Number],0)))="","",IF(INDEX(tbl_Production[Current RMS No],MATCH(E62&amp;"",tbl_Production[Job Number],0))="",INDEX(tbl_Production[Qwilr Quote],MATCH(E62&amp;"",tbl_Production[Job Number],0)),INDEX(tbl_Production[Current RMS No],MATCH(E62&amp;"",tbl_Production[Job Number],0)))),IFERROR(IF(INDEX(tbl_Consulting[Qwilr Quote],MATCH(E62&amp;"",tbl_Consulting[Job Number],0))="","",INDEX(tbl_Consulting[Qwilr Quote],MATCH(E62&amp;"",tbl_Consulting[Job Number],0))),""))))</f>
        <v/>
      </c>
      <c r="AD62" s="25">
        <f>IF(AC62="","",IF(AND(LEFT(AC62,4)&lt;&gt;"http",IF(H62="Production",set_RMSBase,set_QwilrBase)=""),"",HYPERLINK(IF(LEFT(AC62,4)="http",AC62,IF(H62="Production",set_RMSBase,set_QwilrBase)&amp;AC62),"Open")))</f>
        <v/>
      </c>
      <c r="AE62" s="27">
        <f>IF(E62="","",IFERROR(INDEX(tbl_Production[Total Expense],MATCH(E62&amp;"",tbl_Production[Job Number],0)),IFERROR(INDEX(tbl_Consulting[Total Expense],MATCH(E62&amp;"",tbl_Consulting[Job Number],0)),0)))</f>
        <v/>
      </c>
      <c r="AF62" s="27">
        <f>IF(E62="","",Z62-N(AE62))</f>
        <v/>
      </c>
      <c r="AG62" s="29">
        <f>IFERROR(AF62/Z62,"")</f>
        <v/>
      </c>
      <c r="AH62" s="25">
        <f>IF(E62="","",IFERROR(IF(INDEX(tbl_Onsite[Notes],MATCH(E62&amp;"",tbl_Onsite[Job Number],0))="","",INDEX(tbl_Onsite[Notes],MATCH(E62&amp;"",tbl_Onsite[Job Number],0))),IFERROR(IF(INDEX(tbl_Production[Notes],MATCH(E62&amp;"",tbl_Production[Job Number],0))="","",INDEX(tbl_Production[Notes],MATCH(E62&amp;"",tbl_Production[Job Number],0))),IFERROR(IF(INDEX(tbl_Consulting[Notes],MATCH(E62&amp;"",tbl_Consulting[Job Number],0))="","",INDEX(tbl_Consulting[Notes],MATCH(E62&amp;"",tbl_Consulting[Job Number],0))),""))))</f>
        <v/>
      </c>
    </row>
    <row r="63" ht="15" customHeight="1">
      <c r="A63" s="22" t="n"/>
      <c r="B63" s="23">
        <f>IF(A63="","",EOMONTH(A63,0))</f>
        <v/>
      </c>
      <c r="C63" s="24" t="n"/>
      <c r="D63" s="24" t="n"/>
      <c r="E63" s="24" t="n"/>
      <c r="F63" s="25">
        <f>IF(E63="","",IF(COUNTIF(lst_Jobs,E63&amp;"")&gt;0,"OK","CHECK"))</f>
        <v/>
      </c>
      <c r="G63" s="24" t="n"/>
      <c r="H63" s="24" t="n"/>
      <c r="I63" s="24" t="n"/>
      <c r="J63" s="24" t="n"/>
      <c r="K63" s="24" t="n"/>
      <c r="L63" s="26" t="n"/>
      <c r="M63" s="27">
        <f>IF(L63="","",IF(K63="GST 10%",ROUND(L63*set_GSTRate,2),0))</f>
        <v/>
      </c>
      <c r="N63" s="27">
        <f>IF(L63="","",L63+M63)</f>
        <v/>
      </c>
      <c r="O63" s="24" t="n"/>
      <c r="P63" s="24" t="n"/>
      <c r="Q63" s="24" t="n"/>
      <c r="R63" s="22" t="n"/>
      <c r="S63" s="22" t="n"/>
      <c r="T63" s="24" t="n"/>
      <c r="U63" s="24" t="n"/>
      <c r="V63" s="25">
        <f>IF(COUNTA(A63,D63,C63,L63)=0,"",IF(A63="","No date - sits outside every month",IF(E63="","No job number",IF(F63="CHECK","Job number is not in the Xero job list",IF(I63="","No cost centre",IF(AND(P63="Y",C63=""),"Marked posted to Xero but has no invoice number",IF(AND(L63&lt;&gt;"",K63=""),"No tax code",IF(AND(L63&lt;&gt;"",O63=""),"No revenue GL code",""))))))))</f>
        <v/>
      </c>
      <c r="W63" s="25">
        <f>IF(E63="","",IF(COUNTIF(tbl_Onsite[Job Number],E63&amp;"")&gt;0,"Onsite",IF(COUNTIF(tbl_Production[Job Number],E63&amp;"")&gt;0,"Production",IF(COUNTIF(tbl_Consulting[Job Number],E63&amp;"")&gt;0,"Consulting","not set up yet"))))</f>
        <v/>
      </c>
      <c r="X63" s="25">
        <f>IF(E63="","",IFERROR(INDEX(lst_JobName,MATCH(E63&amp;"",lst_Jobs,0)),""))</f>
        <v/>
      </c>
      <c r="Y63" s="28">
        <f>IF(E63="","",COUNTIFS(tbl_Finance[Job Number],E63&amp;"",tbl_Finance[Ex GST],"&lt;&gt;"))</f>
        <v/>
      </c>
      <c r="Z63" s="27">
        <f>IF(E63="","",SUMIFS(tbl_Finance[Ex GST],tbl_Finance[Job Number],E63&amp;""))</f>
        <v/>
      </c>
      <c r="AA63" s="27">
        <f>IF(E63="","",SUMIFS(tbl_Finance[Ex GST],tbl_Finance[Job Number],E63&amp;"",tbl_Finance[Xero Invoice No],"&lt;&gt;"))</f>
        <v/>
      </c>
      <c r="AB63" s="27">
        <f>IF(E63="","",Z63-AA63)</f>
        <v/>
      </c>
      <c r="AC63" s="25">
        <f>IF(E63="","",IFERROR(IF(INDEX(tbl_Onsite[Qwilr Quote],MATCH(E63&amp;"",tbl_Onsite[Job Number],0))="","",INDEX(tbl_Onsite[Qwilr Quote],MATCH(E63&amp;"",tbl_Onsite[Job Number],0))),IFERROR(IF(IF(INDEX(tbl_Production[Current RMS No],MATCH(E63&amp;"",tbl_Production[Job Number],0))="",INDEX(tbl_Production[Qwilr Quote],MATCH(E63&amp;"",tbl_Production[Job Number],0)),INDEX(tbl_Production[Current RMS No],MATCH(E63&amp;"",tbl_Production[Job Number],0)))="","",IF(INDEX(tbl_Production[Current RMS No],MATCH(E63&amp;"",tbl_Production[Job Number],0))="",INDEX(tbl_Production[Qwilr Quote],MATCH(E63&amp;"",tbl_Production[Job Number],0)),INDEX(tbl_Production[Current RMS No],MATCH(E63&amp;"",tbl_Production[Job Number],0)))),IFERROR(IF(INDEX(tbl_Consulting[Qwilr Quote],MATCH(E63&amp;"",tbl_Consulting[Job Number],0))="","",INDEX(tbl_Consulting[Qwilr Quote],MATCH(E63&amp;"",tbl_Consulting[Job Number],0))),""))))</f>
        <v/>
      </c>
      <c r="AD63" s="25">
        <f>IF(AC63="","",IF(AND(LEFT(AC63,4)&lt;&gt;"http",IF(H63="Production",set_RMSBase,set_QwilrBase)=""),"",HYPERLINK(IF(LEFT(AC63,4)="http",AC63,IF(H63="Production",set_RMSBase,set_QwilrBase)&amp;AC63),"Open")))</f>
        <v/>
      </c>
      <c r="AE63" s="27">
        <f>IF(E63="","",IFERROR(INDEX(tbl_Production[Total Expense],MATCH(E63&amp;"",tbl_Production[Job Number],0)),IFERROR(INDEX(tbl_Consulting[Total Expense],MATCH(E63&amp;"",tbl_Consulting[Job Number],0)),0)))</f>
        <v/>
      </c>
      <c r="AF63" s="27">
        <f>IF(E63="","",Z63-N(AE63))</f>
        <v/>
      </c>
      <c r="AG63" s="29">
        <f>IFERROR(AF63/Z63,"")</f>
        <v/>
      </c>
      <c r="AH63" s="25">
        <f>IF(E63="","",IFERROR(IF(INDEX(tbl_Onsite[Notes],MATCH(E63&amp;"",tbl_Onsite[Job Number],0))="","",INDEX(tbl_Onsite[Notes],MATCH(E63&amp;"",tbl_Onsite[Job Number],0))),IFERROR(IF(INDEX(tbl_Production[Notes],MATCH(E63&amp;"",tbl_Production[Job Number],0))="","",INDEX(tbl_Production[Notes],MATCH(E63&amp;"",tbl_Production[Job Number],0))),IFERROR(IF(INDEX(tbl_Consulting[Notes],MATCH(E63&amp;"",tbl_Consulting[Job Number],0))="","",INDEX(tbl_Consulting[Notes],MATCH(E63&amp;"",tbl_Consulting[Job Number],0))),""))))</f>
        <v/>
      </c>
    </row>
    <row r="64" ht="15" customHeight="1">
      <c r="A64" s="22" t="n"/>
      <c r="B64" s="23">
        <f>IF(A64="","",EOMONTH(A64,0))</f>
        <v/>
      </c>
      <c r="C64" s="24" t="n"/>
      <c r="D64" s="24" t="n"/>
      <c r="E64" s="24" t="n"/>
      <c r="F64" s="25">
        <f>IF(E64="","",IF(COUNTIF(lst_Jobs,E64&amp;"")&gt;0,"OK","CHECK"))</f>
        <v/>
      </c>
      <c r="G64" s="24" t="n"/>
      <c r="H64" s="24" t="n"/>
      <c r="I64" s="24" t="n"/>
      <c r="J64" s="24" t="n"/>
      <c r="K64" s="24" t="n"/>
      <c r="L64" s="26" t="n"/>
      <c r="M64" s="27">
        <f>IF(L64="","",IF(K64="GST 10%",ROUND(L64*set_GSTRate,2),0))</f>
        <v/>
      </c>
      <c r="N64" s="27">
        <f>IF(L64="","",L64+M64)</f>
        <v/>
      </c>
      <c r="O64" s="24" t="n"/>
      <c r="P64" s="24" t="n"/>
      <c r="Q64" s="24" t="n"/>
      <c r="R64" s="22" t="n"/>
      <c r="S64" s="22" t="n"/>
      <c r="T64" s="24" t="n"/>
      <c r="U64" s="24" t="n"/>
      <c r="V64" s="25">
        <f>IF(COUNTA(A64,D64,C64,L64)=0,"",IF(A64="","No date - sits outside every month",IF(E64="","No job number",IF(F64="CHECK","Job number is not in the Xero job list",IF(I64="","No cost centre",IF(AND(P64="Y",C64=""),"Marked posted to Xero but has no invoice number",IF(AND(L64&lt;&gt;"",K64=""),"No tax code",IF(AND(L64&lt;&gt;"",O64=""),"No revenue GL code",""))))))))</f>
        <v/>
      </c>
      <c r="W64" s="25">
        <f>IF(E64="","",IF(COUNTIF(tbl_Onsite[Job Number],E64&amp;"")&gt;0,"Onsite",IF(COUNTIF(tbl_Production[Job Number],E64&amp;"")&gt;0,"Production",IF(COUNTIF(tbl_Consulting[Job Number],E64&amp;"")&gt;0,"Consulting","not set up yet"))))</f>
        <v/>
      </c>
      <c r="X64" s="25">
        <f>IF(E64="","",IFERROR(INDEX(lst_JobName,MATCH(E64&amp;"",lst_Jobs,0)),""))</f>
        <v/>
      </c>
      <c r="Y64" s="28">
        <f>IF(E64="","",COUNTIFS(tbl_Finance[Job Number],E64&amp;"",tbl_Finance[Ex GST],"&lt;&gt;"))</f>
        <v/>
      </c>
      <c r="Z64" s="27">
        <f>IF(E64="","",SUMIFS(tbl_Finance[Ex GST],tbl_Finance[Job Number],E64&amp;""))</f>
        <v/>
      </c>
      <c r="AA64" s="27">
        <f>IF(E64="","",SUMIFS(tbl_Finance[Ex GST],tbl_Finance[Job Number],E64&amp;"",tbl_Finance[Xero Invoice No],"&lt;&gt;"))</f>
        <v/>
      </c>
      <c r="AB64" s="27">
        <f>IF(E64="","",Z64-AA64)</f>
        <v/>
      </c>
      <c r="AC64" s="25">
        <f>IF(E64="","",IFERROR(IF(INDEX(tbl_Onsite[Qwilr Quote],MATCH(E64&amp;"",tbl_Onsite[Job Number],0))="","",INDEX(tbl_Onsite[Qwilr Quote],MATCH(E64&amp;"",tbl_Onsite[Job Number],0))),IFERROR(IF(IF(INDEX(tbl_Production[Current RMS No],MATCH(E64&amp;"",tbl_Production[Job Number],0))="",INDEX(tbl_Production[Qwilr Quote],MATCH(E64&amp;"",tbl_Production[Job Number],0)),INDEX(tbl_Production[Current RMS No],MATCH(E64&amp;"",tbl_Production[Job Number],0)))="","",IF(INDEX(tbl_Production[Current RMS No],MATCH(E64&amp;"",tbl_Production[Job Number],0))="",INDEX(tbl_Production[Qwilr Quote],MATCH(E64&amp;"",tbl_Production[Job Number],0)),INDEX(tbl_Production[Current RMS No],MATCH(E64&amp;"",tbl_Production[Job Number],0)))),IFERROR(IF(INDEX(tbl_Consulting[Qwilr Quote],MATCH(E64&amp;"",tbl_Consulting[Job Number],0))="","",INDEX(tbl_Consulting[Qwilr Quote],MATCH(E64&amp;"",tbl_Consulting[Job Number],0))),""))))</f>
        <v/>
      </c>
      <c r="AD64" s="25">
        <f>IF(AC64="","",IF(AND(LEFT(AC64,4)&lt;&gt;"http",IF(H64="Production",set_RMSBase,set_QwilrBase)=""),"",HYPERLINK(IF(LEFT(AC64,4)="http",AC64,IF(H64="Production",set_RMSBase,set_QwilrBase)&amp;AC64),"Open")))</f>
        <v/>
      </c>
      <c r="AE64" s="27">
        <f>IF(E64="","",IFERROR(INDEX(tbl_Production[Total Expense],MATCH(E64&amp;"",tbl_Production[Job Number],0)),IFERROR(INDEX(tbl_Consulting[Total Expense],MATCH(E64&amp;"",tbl_Consulting[Job Number],0)),0)))</f>
        <v/>
      </c>
      <c r="AF64" s="27">
        <f>IF(E64="","",Z64-N(AE64))</f>
        <v/>
      </c>
      <c r="AG64" s="29">
        <f>IFERROR(AF64/Z64,"")</f>
        <v/>
      </c>
      <c r="AH64" s="25">
        <f>IF(E64="","",IFERROR(IF(INDEX(tbl_Onsite[Notes],MATCH(E64&amp;"",tbl_Onsite[Job Number],0))="","",INDEX(tbl_Onsite[Notes],MATCH(E64&amp;"",tbl_Onsite[Job Number],0))),IFERROR(IF(INDEX(tbl_Production[Notes],MATCH(E64&amp;"",tbl_Production[Job Number],0))="","",INDEX(tbl_Production[Notes],MATCH(E64&amp;"",tbl_Production[Job Number],0))),IFERROR(IF(INDEX(tbl_Consulting[Notes],MATCH(E64&amp;"",tbl_Consulting[Job Number],0))="","",INDEX(tbl_Consulting[Notes],MATCH(E64&amp;"",tbl_Consulting[Job Number],0))),""))))</f>
        <v/>
      </c>
    </row>
    <row r="65" ht="15" customHeight="1">
      <c r="A65" s="22" t="n"/>
      <c r="B65" s="23">
        <f>IF(A65="","",EOMONTH(A65,0))</f>
        <v/>
      </c>
      <c r="C65" s="24" t="n"/>
      <c r="D65" s="24" t="n"/>
      <c r="E65" s="24" t="n"/>
      <c r="F65" s="25">
        <f>IF(E65="","",IF(COUNTIF(lst_Jobs,E65&amp;"")&gt;0,"OK","CHECK"))</f>
        <v/>
      </c>
      <c r="G65" s="24" t="n"/>
      <c r="H65" s="24" t="n"/>
      <c r="I65" s="24" t="n"/>
      <c r="J65" s="24" t="n"/>
      <c r="K65" s="24" t="n"/>
      <c r="L65" s="26" t="n"/>
      <c r="M65" s="27">
        <f>IF(L65="","",IF(K65="GST 10%",ROUND(L65*set_GSTRate,2),0))</f>
        <v/>
      </c>
      <c r="N65" s="27">
        <f>IF(L65="","",L65+M65)</f>
        <v/>
      </c>
      <c r="O65" s="24" t="n"/>
      <c r="P65" s="24" t="n"/>
      <c r="Q65" s="24" t="n"/>
      <c r="R65" s="22" t="n"/>
      <c r="S65" s="22" t="n"/>
      <c r="T65" s="24" t="n"/>
      <c r="U65" s="24" t="n"/>
      <c r="V65" s="25">
        <f>IF(COUNTA(A65,D65,C65,L65)=0,"",IF(A65="","No date - sits outside every month",IF(E65="","No job number",IF(F65="CHECK","Job number is not in the Xero job list",IF(I65="","No cost centre",IF(AND(P65="Y",C65=""),"Marked posted to Xero but has no invoice number",IF(AND(L65&lt;&gt;"",K65=""),"No tax code",IF(AND(L65&lt;&gt;"",O65=""),"No revenue GL code",""))))))))</f>
        <v/>
      </c>
      <c r="W65" s="25">
        <f>IF(E65="","",IF(COUNTIF(tbl_Onsite[Job Number],E65&amp;"")&gt;0,"Onsite",IF(COUNTIF(tbl_Production[Job Number],E65&amp;"")&gt;0,"Production",IF(COUNTIF(tbl_Consulting[Job Number],E65&amp;"")&gt;0,"Consulting","not set up yet"))))</f>
        <v/>
      </c>
      <c r="X65" s="25">
        <f>IF(E65="","",IFERROR(INDEX(lst_JobName,MATCH(E65&amp;"",lst_Jobs,0)),""))</f>
        <v/>
      </c>
      <c r="Y65" s="28">
        <f>IF(E65="","",COUNTIFS(tbl_Finance[Job Number],E65&amp;"",tbl_Finance[Ex GST],"&lt;&gt;"))</f>
        <v/>
      </c>
      <c r="Z65" s="27">
        <f>IF(E65="","",SUMIFS(tbl_Finance[Ex GST],tbl_Finance[Job Number],E65&amp;""))</f>
        <v/>
      </c>
      <c r="AA65" s="27">
        <f>IF(E65="","",SUMIFS(tbl_Finance[Ex GST],tbl_Finance[Job Number],E65&amp;"",tbl_Finance[Xero Invoice No],"&lt;&gt;"))</f>
        <v/>
      </c>
      <c r="AB65" s="27">
        <f>IF(E65="","",Z65-AA65)</f>
        <v/>
      </c>
      <c r="AC65" s="25">
        <f>IF(E65="","",IFERROR(IF(INDEX(tbl_Onsite[Qwilr Quote],MATCH(E65&amp;"",tbl_Onsite[Job Number],0))="","",INDEX(tbl_Onsite[Qwilr Quote],MATCH(E65&amp;"",tbl_Onsite[Job Number],0))),IFERROR(IF(IF(INDEX(tbl_Production[Current RMS No],MATCH(E65&amp;"",tbl_Production[Job Number],0))="",INDEX(tbl_Production[Qwilr Quote],MATCH(E65&amp;"",tbl_Production[Job Number],0)),INDEX(tbl_Production[Current RMS No],MATCH(E65&amp;"",tbl_Production[Job Number],0)))="","",IF(INDEX(tbl_Production[Current RMS No],MATCH(E65&amp;"",tbl_Production[Job Number],0))="",INDEX(tbl_Production[Qwilr Quote],MATCH(E65&amp;"",tbl_Production[Job Number],0)),INDEX(tbl_Production[Current RMS No],MATCH(E65&amp;"",tbl_Production[Job Number],0)))),IFERROR(IF(INDEX(tbl_Consulting[Qwilr Quote],MATCH(E65&amp;"",tbl_Consulting[Job Number],0))="","",INDEX(tbl_Consulting[Qwilr Quote],MATCH(E65&amp;"",tbl_Consulting[Job Number],0))),""))))</f>
        <v/>
      </c>
      <c r="AD65" s="25">
        <f>IF(AC65="","",IF(AND(LEFT(AC65,4)&lt;&gt;"http",IF(H65="Production",set_RMSBase,set_QwilrBase)=""),"",HYPERLINK(IF(LEFT(AC65,4)="http",AC65,IF(H65="Production",set_RMSBase,set_QwilrBase)&amp;AC65),"Open")))</f>
        <v/>
      </c>
      <c r="AE65" s="27">
        <f>IF(E65="","",IFERROR(INDEX(tbl_Production[Total Expense],MATCH(E65&amp;"",tbl_Production[Job Number],0)),IFERROR(INDEX(tbl_Consulting[Total Expense],MATCH(E65&amp;"",tbl_Consulting[Job Number],0)),0)))</f>
        <v/>
      </c>
      <c r="AF65" s="27">
        <f>IF(E65="","",Z65-N(AE65))</f>
        <v/>
      </c>
      <c r="AG65" s="29">
        <f>IFERROR(AF65/Z65,"")</f>
        <v/>
      </c>
      <c r="AH65" s="25">
        <f>IF(E65="","",IFERROR(IF(INDEX(tbl_Onsite[Notes],MATCH(E65&amp;"",tbl_Onsite[Job Number],0))="","",INDEX(tbl_Onsite[Notes],MATCH(E65&amp;"",tbl_Onsite[Job Number],0))),IFERROR(IF(INDEX(tbl_Production[Notes],MATCH(E65&amp;"",tbl_Production[Job Number],0))="","",INDEX(tbl_Production[Notes],MATCH(E65&amp;"",tbl_Production[Job Number],0))),IFERROR(IF(INDEX(tbl_Consulting[Notes],MATCH(E65&amp;"",tbl_Consulting[Job Number],0))="","",INDEX(tbl_Consulting[Notes],MATCH(E65&amp;"",tbl_Consulting[Job Number],0))),""))))</f>
        <v/>
      </c>
    </row>
    <row r="66" ht="15" customHeight="1">
      <c r="A66" s="22" t="n"/>
      <c r="B66" s="23">
        <f>IF(A66="","",EOMONTH(A66,0))</f>
        <v/>
      </c>
      <c r="C66" s="24" t="n"/>
      <c r="D66" s="24" t="n"/>
      <c r="E66" s="24" t="n"/>
      <c r="F66" s="25">
        <f>IF(E66="","",IF(COUNTIF(lst_Jobs,E66&amp;"")&gt;0,"OK","CHECK"))</f>
        <v/>
      </c>
      <c r="G66" s="24" t="n"/>
      <c r="H66" s="24" t="n"/>
      <c r="I66" s="24" t="n"/>
      <c r="J66" s="24" t="n"/>
      <c r="K66" s="24" t="n"/>
      <c r="L66" s="26" t="n"/>
      <c r="M66" s="27">
        <f>IF(L66="","",IF(K66="GST 10%",ROUND(L66*set_GSTRate,2),0))</f>
        <v/>
      </c>
      <c r="N66" s="27">
        <f>IF(L66="","",L66+M66)</f>
        <v/>
      </c>
      <c r="O66" s="24" t="n"/>
      <c r="P66" s="24" t="n"/>
      <c r="Q66" s="24" t="n"/>
      <c r="R66" s="22" t="n"/>
      <c r="S66" s="22" t="n"/>
      <c r="T66" s="24" t="n"/>
      <c r="U66" s="24" t="n"/>
      <c r="V66" s="25">
        <f>IF(COUNTA(A66,D66,C66,L66)=0,"",IF(A66="","No date - sits outside every month",IF(E66="","No job number",IF(F66="CHECK","Job number is not in the Xero job list",IF(I66="","No cost centre",IF(AND(P66="Y",C66=""),"Marked posted to Xero but has no invoice number",IF(AND(L66&lt;&gt;"",K66=""),"No tax code",IF(AND(L66&lt;&gt;"",O66=""),"No revenue GL code",""))))))))</f>
        <v/>
      </c>
      <c r="W66" s="25">
        <f>IF(E66="","",IF(COUNTIF(tbl_Onsite[Job Number],E66&amp;"")&gt;0,"Onsite",IF(COUNTIF(tbl_Production[Job Number],E66&amp;"")&gt;0,"Production",IF(COUNTIF(tbl_Consulting[Job Number],E66&amp;"")&gt;0,"Consulting","not set up yet"))))</f>
        <v/>
      </c>
      <c r="X66" s="25">
        <f>IF(E66="","",IFERROR(INDEX(lst_JobName,MATCH(E66&amp;"",lst_Jobs,0)),""))</f>
        <v/>
      </c>
      <c r="Y66" s="28">
        <f>IF(E66="","",COUNTIFS(tbl_Finance[Job Number],E66&amp;"",tbl_Finance[Ex GST],"&lt;&gt;"))</f>
        <v/>
      </c>
      <c r="Z66" s="27">
        <f>IF(E66="","",SUMIFS(tbl_Finance[Ex GST],tbl_Finance[Job Number],E66&amp;""))</f>
        <v/>
      </c>
      <c r="AA66" s="27">
        <f>IF(E66="","",SUMIFS(tbl_Finance[Ex GST],tbl_Finance[Job Number],E66&amp;"",tbl_Finance[Xero Invoice No],"&lt;&gt;"))</f>
        <v/>
      </c>
      <c r="AB66" s="27">
        <f>IF(E66="","",Z66-AA66)</f>
        <v/>
      </c>
      <c r="AC66" s="25">
        <f>IF(E66="","",IFERROR(IF(INDEX(tbl_Onsite[Qwilr Quote],MATCH(E66&amp;"",tbl_Onsite[Job Number],0))="","",INDEX(tbl_Onsite[Qwilr Quote],MATCH(E66&amp;"",tbl_Onsite[Job Number],0))),IFERROR(IF(IF(INDEX(tbl_Production[Current RMS No],MATCH(E66&amp;"",tbl_Production[Job Number],0))="",INDEX(tbl_Production[Qwilr Quote],MATCH(E66&amp;"",tbl_Production[Job Number],0)),INDEX(tbl_Production[Current RMS No],MATCH(E66&amp;"",tbl_Production[Job Number],0)))="","",IF(INDEX(tbl_Production[Current RMS No],MATCH(E66&amp;"",tbl_Production[Job Number],0))="",INDEX(tbl_Production[Qwilr Quote],MATCH(E66&amp;"",tbl_Production[Job Number],0)),INDEX(tbl_Production[Current RMS No],MATCH(E66&amp;"",tbl_Production[Job Number],0)))),IFERROR(IF(INDEX(tbl_Consulting[Qwilr Quote],MATCH(E66&amp;"",tbl_Consulting[Job Number],0))="","",INDEX(tbl_Consulting[Qwilr Quote],MATCH(E66&amp;"",tbl_Consulting[Job Number],0))),""))))</f>
        <v/>
      </c>
      <c r="AD66" s="25">
        <f>IF(AC66="","",IF(AND(LEFT(AC66,4)&lt;&gt;"http",IF(H66="Production",set_RMSBase,set_QwilrBase)=""),"",HYPERLINK(IF(LEFT(AC66,4)="http",AC66,IF(H66="Production",set_RMSBase,set_QwilrBase)&amp;AC66),"Open")))</f>
        <v/>
      </c>
      <c r="AE66" s="27">
        <f>IF(E66="","",IFERROR(INDEX(tbl_Production[Total Expense],MATCH(E66&amp;"",tbl_Production[Job Number],0)),IFERROR(INDEX(tbl_Consulting[Total Expense],MATCH(E66&amp;"",tbl_Consulting[Job Number],0)),0)))</f>
        <v/>
      </c>
      <c r="AF66" s="27">
        <f>IF(E66="","",Z66-N(AE66))</f>
        <v/>
      </c>
      <c r="AG66" s="29">
        <f>IFERROR(AF66/Z66,"")</f>
        <v/>
      </c>
      <c r="AH66" s="25">
        <f>IF(E66="","",IFERROR(IF(INDEX(tbl_Onsite[Notes],MATCH(E66&amp;"",tbl_Onsite[Job Number],0))="","",INDEX(tbl_Onsite[Notes],MATCH(E66&amp;"",tbl_Onsite[Job Number],0))),IFERROR(IF(INDEX(tbl_Production[Notes],MATCH(E66&amp;"",tbl_Production[Job Number],0))="","",INDEX(tbl_Production[Notes],MATCH(E66&amp;"",tbl_Production[Job Number],0))),IFERROR(IF(INDEX(tbl_Consulting[Notes],MATCH(E66&amp;"",tbl_Consulting[Job Number],0))="","",INDEX(tbl_Consulting[Notes],MATCH(E66&amp;"",tbl_Consulting[Job Number],0))),""))))</f>
        <v/>
      </c>
    </row>
    <row r="67" ht="15" customHeight="1">
      <c r="A67" s="22" t="n"/>
      <c r="B67" s="23">
        <f>IF(A67="","",EOMONTH(A67,0))</f>
        <v/>
      </c>
      <c r="C67" s="24" t="n"/>
      <c r="D67" s="24" t="n"/>
      <c r="E67" s="24" t="n"/>
      <c r="F67" s="25">
        <f>IF(E67="","",IF(COUNTIF(lst_Jobs,E67&amp;"")&gt;0,"OK","CHECK"))</f>
        <v/>
      </c>
      <c r="G67" s="24" t="n"/>
      <c r="H67" s="24" t="n"/>
      <c r="I67" s="24" t="n"/>
      <c r="J67" s="24" t="n"/>
      <c r="K67" s="24" t="n"/>
      <c r="L67" s="26" t="n"/>
      <c r="M67" s="27">
        <f>IF(L67="","",IF(K67="GST 10%",ROUND(L67*set_GSTRate,2),0))</f>
        <v/>
      </c>
      <c r="N67" s="27">
        <f>IF(L67="","",L67+M67)</f>
        <v/>
      </c>
      <c r="O67" s="24" t="n"/>
      <c r="P67" s="24" t="n"/>
      <c r="Q67" s="24" t="n"/>
      <c r="R67" s="22" t="n"/>
      <c r="S67" s="22" t="n"/>
      <c r="T67" s="24" t="n"/>
      <c r="U67" s="24" t="n"/>
      <c r="V67" s="25">
        <f>IF(COUNTA(A67,D67,C67,L67)=0,"",IF(A67="","No date - sits outside every month",IF(E67="","No job number",IF(F67="CHECK","Job number is not in the Xero job list",IF(I67="","No cost centre",IF(AND(P67="Y",C67=""),"Marked posted to Xero but has no invoice number",IF(AND(L67&lt;&gt;"",K67=""),"No tax code",IF(AND(L67&lt;&gt;"",O67=""),"No revenue GL code",""))))))))</f>
        <v/>
      </c>
      <c r="W67" s="25">
        <f>IF(E67="","",IF(COUNTIF(tbl_Onsite[Job Number],E67&amp;"")&gt;0,"Onsite",IF(COUNTIF(tbl_Production[Job Number],E67&amp;"")&gt;0,"Production",IF(COUNTIF(tbl_Consulting[Job Number],E67&amp;"")&gt;0,"Consulting","not set up yet"))))</f>
        <v/>
      </c>
      <c r="X67" s="25">
        <f>IF(E67="","",IFERROR(INDEX(lst_JobName,MATCH(E67&amp;"",lst_Jobs,0)),""))</f>
        <v/>
      </c>
      <c r="Y67" s="28">
        <f>IF(E67="","",COUNTIFS(tbl_Finance[Job Number],E67&amp;"",tbl_Finance[Ex GST],"&lt;&gt;"))</f>
        <v/>
      </c>
      <c r="Z67" s="27">
        <f>IF(E67="","",SUMIFS(tbl_Finance[Ex GST],tbl_Finance[Job Number],E67&amp;""))</f>
        <v/>
      </c>
      <c r="AA67" s="27">
        <f>IF(E67="","",SUMIFS(tbl_Finance[Ex GST],tbl_Finance[Job Number],E67&amp;"",tbl_Finance[Xero Invoice No],"&lt;&gt;"))</f>
        <v/>
      </c>
      <c r="AB67" s="27">
        <f>IF(E67="","",Z67-AA67)</f>
        <v/>
      </c>
      <c r="AC67" s="25">
        <f>IF(E67="","",IFERROR(IF(INDEX(tbl_Onsite[Qwilr Quote],MATCH(E67&amp;"",tbl_Onsite[Job Number],0))="","",INDEX(tbl_Onsite[Qwilr Quote],MATCH(E67&amp;"",tbl_Onsite[Job Number],0))),IFERROR(IF(IF(INDEX(tbl_Production[Current RMS No],MATCH(E67&amp;"",tbl_Production[Job Number],0))="",INDEX(tbl_Production[Qwilr Quote],MATCH(E67&amp;"",tbl_Production[Job Number],0)),INDEX(tbl_Production[Current RMS No],MATCH(E67&amp;"",tbl_Production[Job Number],0)))="","",IF(INDEX(tbl_Production[Current RMS No],MATCH(E67&amp;"",tbl_Production[Job Number],0))="",INDEX(tbl_Production[Qwilr Quote],MATCH(E67&amp;"",tbl_Production[Job Number],0)),INDEX(tbl_Production[Current RMS No],MATCH(E67&amp;"",tbl_Production[Job Number],0)))),IFERROR(IF(INDEX(tbl_Consulting[Qwilr Quote],MATCH(E67&amp;"",tbl_Consulting[Job Number],0))="","",INDEX(tbl_Consulting[Qwilr Quote],MATCH(E67&amp;"",tbl_Consulting[Job Number],0))),""))))</f>
        <v/>
      </c>
      <c r="AD67" s="25">
        <f>IF(AC67="","",IF(AND(LEFT(AC67,4)&lt;&gt;"http",IF(H67="Production",set_RMSBase,set_QwilrBase)=""),"",HYPERLINK(IF(LEFT(AC67,4)="http",AC67,IF(H67="Production",set_RMSBase,set_QwilrBase)&amp;AC67),"Open")))</f>
        <v/>
      </c>
      <c r="AE67" s="27">
        <f>IF(E67="","",IFERROR(INDEX(tbl_Production[Total Expense],MATCH(E67&amp;"",tbl_Production[Job Number],0)),IFERROR(INDEX(tbl_Consulting[Total Expense],MATCH(E67&amp;"",tbl_Consulting[Job Number],0)),0)))</f>
        <v/>
      </c>
      <c r="AF67" s="27">
        <f>IF(E67="","",Z67-N(AE67))</f>
        <v/>
      </c>
      <c r="AG67" s="29">
        <f>IFERROR(AF67/Z67,"")</f>
        <v/>
      </c>
      <c r="AH67" s="25">
        <f>IF(E67="","",IFERROR(IF(INDEX(tbl_Onsite[Notes],MATCH(E67&amp;"",tbl_Onsite[Job Number],0))="","",INDEX(tbl_Onsite[Notes],MATCH(E67&amp;"",tbl_Onsite[Job Number],0))),IFERROR(IF(INDEX(tbl_Production[Notes],MATCH(E67&amp;"",tbl_Production[Job Number],0))="","",INDEX(tbl_Production[Notes],MATCH(E67&amp;"",tbl_Production[Job Number],0))),IFERROR(IF(INDEX(tbl_Consulting[Notes],MATCH(E67&amp;"",tbl_Consulting[Job Number],0))="","",INDEX(tbl_Consulting[Notes],MATCH(E67&amp;"",tbl_Consulting[Job Number],0))),""))))</f>
        <v/>
      </c>
    </row>
    <row r="68" ht="15" customHeight="1">
      <c r="A68" s="22" t="n"/>
      <c r="B68" s="23">
        <f>IF(A68="","",EOMONTH(A68,0))</f>
        <v/>
      </c>
      <c r="C68" s="24" t="n"/>
      <c r="D68" s="24" t="n"/>
      <c r="E68" s="24" t="n"/>
      <c r="F68" s="25">
        <f>IF(E68="","",IF(COUNTIF(lst_Jobs,E68&amp;"")&gt;0,"OK","CHECK"))</f>
        <v/>
      </c>
      <c r="G68" s="24" t="n"/>
      <c r="H68" s="24" t="n"/>
      <c r="I68" s="24" t="n"/>
      <c r="J68" s="24" t="n"/>
      <c r="K68" s="24" t="n"/>
      <c r="L68" s="26" t="n"/>
      <c r="M68" s="27">
        <f>IF(L68="","",IF(K68="GST 10%",ROUND(L68*set_GSTRate,2),0))</f>
        <v/>
      </c>
      <c r="N68" s="27">
        <f>IF(L68="","",L68+M68)</f>
        <v/>
      </c>
      <c r="O68" s="24" t="n"/>
      <c r="P68" s="24" t="n"/>
      <c r="Q68" s="24" t="n"/>
      <c r="R68" s="22" t="n"/>
      <c r="S68" s="22" t="n"/>
      <c r="T68" s="24" t="n"/>
      <c r="U68" s="24" t="n"/>
      <c r="V68" s="25">
        <f>IF(COUNTA(A68,D68,C68,L68)=0,"",IF(A68="","No date - sits outside every month",IF(E68="","No job number",IF(F68="CHECK","Job number is not in the Xero job list",IF(I68="","No cost centre",IF(AND(P68="Y",C68=""),"Marked posted to Xero but has no invoice number",IF(AND(L68&lt;&gt;"",K68=""),"No tax code",IF(AND(L68&lt;&gt;"",O68=""),"No revenue GL code",""))))))))</f>
        <v/>
      </c>
      <c r="W68" s="25">
        <f>IF(E68="","",IF(COUNTIF(tbl_Onsite[Job Number],E68&amp;"")&gt;0,"Onsite",IF(COUNTIF(tbl_Production[Job Number],E68&amp;"")&gt;0,"Production",IF(COUNTIF(tbl_Consulting[Job Number],E68&amp;"")&gt;0,"Consulting","not set up yet"))))</f>
        <v/>
      </c>
      <c r="X68" s="25">
        <f>IF(E68="","",IFERROR(INDEX(lst_JobName,MATCH(E68&amp;"",lst_Jobs,0)),""))</f>
        <v/>
      </c>
      <c r="Y68" s="28">
        <f>IF(E68="","",COUNTIFS(tbl_Finance[Job Number],E68&amp;"",tbl_Finance[Ex GST],"&lt;&gt;"))</f>
        <v/>
      </c>
      <c r="Z68" s="27">
        <f>IF(E68="","",SUMIFS(tbl_Finance[Ex GST],tbl_Finance[Job Number],E68&amp;""))</f>
        <v/>
      </c>
      <c r="AA68" s="27">
        <f>IF(E68="","",SUMIFS(tbl_Finance[Ex GST],tbl_Finance[Job Number],E68&amp;"",tbl_Finance[Xero Invoice No],"&lt;&gt;"))</f>
        <v/>
      </c>
      <c r="AB68" s="27">
        <f>IF(E68="","",Z68-AA68)</f>
        <v/>
      </c>
      <c r="AC68" s="25">
        <f>IF(E68="","",IFERROR(IF(INDEX(tbl_Onsite[Qwilr Quote],MATCH(E68&amp;"",tbl_Onsite[Job Number],0))="","",INDEX(tbl_Onsite[Qwilr Quote],MATCH(E68&amp;"",tbl_Onsite[Job Number],0))),IFERROR(IF(IF(INDEX(tbl_Production[Current RMS No],MATCH(E68&amp;"",tbl_Production[Job Number],0))="",INDEX(tbl_Production[Qwilr Quote],MATCH(E68&amp;"",tbl_Production[Job Number],0)),INDEX(tbl_Production[Current RMS No],MATCH(E68&amp;"",tbl_Production[Job Number],0)))="","",IF(INDEX(tbl_Production[Current RMS No],MATCH(E68&amp;"",tbl_Production[Job Number],0))="",INDEX(tbl_Production[Qwilr Quote],MATCH(E68&amp;"",tbl_Production[Job Number],0)),INDEX(tbl_Production[Current RMS No],MATCH(E68&amp;"",tbl_Production[Job Number],0)))),IFERROR(IF(INDEX(tbl_Consulting[Qwilr Quote],MATCH(E68&amp;"",tbl_Consulting[Job Number],0))="","",INDEX(tbl_Consulting[Qwilr Quote],MATCH(E68&amp;"",tbl_Consulting[Job Number],0))),""))))</f>
        <v/>
      </c>
      <c r="AD68" s="25">
        <f>IF(AC68="","",IF(AND(LEFT(AC68,4)&lt;&gt;"http",IF(H68="Production",set_RMSBase,set_QwilrBase)=""),"",HYPERLINK(IF(LEFT(AC68,4)="http",AC68,IF(H68="Production",set_RMSBase,set_QwilrBase)&amp;AC68),"Open")))</f>
        <v/>
      </c>
      <c r="AE68" s="27">
        <f>IF(E68="","",IFERROR(INDEX(tbl_Production[Total Expense],MATCH(E68&amp;"",tbl_Production[Job Number],0)),IFERROR(INDEX(tbl_Consulting[Total Expense],MATCH(E68&amp;"",tbl_Consulting[Job Number],0)),0)))</f>
        <v/>
      </c>
      <c r="AF68" s="27">
        <f>IF(E68="","",Z68-N(AE68))</f>
        <v/>
      </c>
      <c r="AG68" s="29">
        <f>IFERROR(AF68/Z68,"")</f>
        <v/>
      </c>
      <c r="AH68" s="25">
        <f>IF(E68="","",IFERROR(IF(INDEX(tbl_Onsite[Notes],MATCH(E68&amp;"",tbl_Onsite[Job Number],0))="","",INDEX(tbl_Onsite[Notes],MATCH(E68&amp;"",tbl_Onsite[Job Number],0))),IFERROR(IF(INDEX(tbl_Production[Notes],MATCH(E68&amp;"",tbl_Production[Job Number],0))="","",INDEX(tbl_Production[Notes],MATCH(E68&amp;"",tbl_Production[Job Number],0))),IFERROR(IF(INDEX(tbl_Consulting[Notes],MATCH(E68&amp;"",tbl_Consulting[Job Number],0))="","",INDEX(tbl_Consulting[Notes],MATCH(E68&amp;"",tbl_Consulting[Job Number],0))),""))))</f>
        <v/>
      </c>
    </row>
    <row r="69" ht="15" customHeight="1">
      <c r="A69" s="22" t="n"/>
      <c r="B69" s="23">
        <f>IF(A69="","",EOMONTH(A69,0))</f>
        <v/>
      </c>
      <c r="C69" s="24" t="n"/>
      <c r="D69" s="24" t="n"/>
      <c r="E69" s="24" t="n"/>
      <c r="F69" s="25">
        <f>IF(E69="","",IF(COUNTIF(lst_Jobs,E69&amp;"")&gt;0,"OK","CHECK"))</f>
        <v/>
      </c>
      <c r="G69" s="24" t="n"/>
      <c r="H69" s="24" t="n"/>
      <c r="I69" s="24" t="n"/>
      <c r="J69" s="24" t="n"/>
      <c r="K69" s="24" t="n"/>
      <c r="L69" s="26" t="n"/>
      <c r="M69" s="27">
        <f>IF(L69="","",IF(K69="GST 10%",ROUND(L69*set_GSTRate,2),0))</f>
        <v/>
      </c>
      <c r="N69" s="27">
        <f>IF(L69="","",L69+M69)</f>
        <v/>
      </c>
      <c r="O69" s="24" t="n"/>
      <c r="P69" s="24" t="n"/>
      <c r="Q69" s="24" t="n"/>
      <c r="R69" s="22" t="n"/>
      <c r="S69" s="22" t="n"/>
      <c r="T69" s="24" t="n"/>
      <c r="U69" s="24" t="n"/>
      <c r="V69" s="25">
        <f>IF(COUNTA(A69,D69,C69,L69)=0,"",IF(A69="","No date - sits outside every month",IF(E69="","No job number",IF(F69="CHECK","Job number is not in the Xero job list",IF(I69="","No cost centre",IF(AND(P69="Y",C69=""),"Marked posted to Xero but has no invoice number",IF(AND(L69&lt;&gt;"",K69=""),"No tax code",IF(AND(L69&lt;&gt;"",O69=""),"No revenue GL code",""))))))))</f>
        <v/>
      </c>
      <c r="W69" s="25">
        <f>IF(E69="","",IF(COUNTIF(tbl_Onsite[Job Number],E69&amp;"")&gt;0,"Onsite",IF(COUNTIF(tbl_Production[Job Number],E69&amp;"")&gt;0,"Production",IF(COUNTIF(tbl_Consulting[Job Number],E69&amp;"")&gt;0,"Consulting","not set up yet"))))</f>
        <v/>
      </c>
      <c r="X69" s="25">
        <f>IF(E69="","",IFERROR(INDEX(lst_JobName,MATCH(E69&amp;"",lst_Jobs,0)),""))</f>
        <v/>
      </c>
      <c r="Y69" s="28">
        <f>IF(E69="","",COUNTIFS(tbl_Finance[Job Number],E69&amp;"",tbl_Finance[Ex GST],"&lt;&gt;"))</f>
        <v/>
      </c>
      <c r="Z69" s="27">
        <f>IF(E69="","",SUMIFS(tbl_Finance[Ex GST],tbl_Finance[Job Number],E69&amp;""))</f>
        <v/>
      </c>
      <c r="AA69" s="27">
        <f>IF(E69="","",SUMIFS(tbl_Finance[Ex GST],tbl_Finance[Job Number],E69&amp;"",tbl_Finance[Xero Invoice No],"&lt;&gt;"))</f>
        <v/>
      </c>
      <c r="AB69" s="27">
        <f>IF(E69="","",Z69-AA69)</f>
        <v/>
      </c>
      <c r="AC69" s="25">
        <f>IF(E69="","",IFERROR(IF(INDEX(tbl_Onsite[Qwilr Quote],MATCH(E69&amp;"",tbl_Onsite[Job Number],0))="","",INDEX(tbl_Onsite[Qwilr Quote],MATCH(E69&amp;"",tbl_Onsite[Job Number],0))),IFERROR(IF(IF(INDEX(tbl_Production[Current RMS No],MATCH(E69&amp;"",tbl_Production[Job Number],0))="",INDEX(tbl_Production[Qwilr Quote],MATCH(E69&amp;"",tbl_Production[Job Number],0)),INDEX(tbl_Production[Current RMS No],MATCH(E69&amp;"",tbl_Production[Job Number],0)))="","",IF(INDEX(tbl_Production[Current RMS No],MATCH(E69&amp;"",tbl_Production[Job Number],0))="",INDEX(tbl_Production[Qwilr Quote],MATCH(E69&amp;"",tbl_Production[Job Number],0)),INDEX(tbl_Production[Current RMS No],MATCH(E69&amp;"",tbl_Production[Job Number],0)))),IFERROR(IF(INDEX(tbl_Consulting[Qwilr Quote],MATCH(E69&amp;"",tbl_Consulting[Job Number],0))="","",INDEX(tbl_Consulting[Qwilr Quote],MATCH(E69&amp;"",tbl_Consulting[Job Number],0))),""))))</f>
        <v/>
      </c>
      <c r="AD69" s="25">
        <f>IF(AC69="","",IF(AND(LEFT(AC69,4)&lt;&gt;"http",IF(H69="Production",set_RMSBase,set_QwilrBase)=""),"",HYPERLINK(IF(LEFT(AC69,4)="http",AC69,IF(H69="Production",set_RMSBase,set_QwilrBase)&amp;AC69),"Open")))</f>
        <v/>
      </c>
      <c r="AE69" s="27">
        <f>IF(E69="","",IFERROR(INDEX(tbl_Production[Total Expense],MATCH(E69&amp;"",tbl_Production[Job Number],0)),IFERROR(INDEX(tbl_Consulting[Total Expense],MATCH(E69&amp;"",tbl_Consulting[Job Number],0)),0)))</f>
        <v/>
      </c>
      <c r="AF69" s="27">
        <f>IF(E69="","",Z69-N(AE69))</f>
        <v/>
      </c>
      <c r="AG69" s="29">
        <f>IFERROR(AF69/Z69,"")</f>
        <v/>
      </c>
      <c r="AH69" s="25">
        <f>IF(E69="","",IFERROR(IF(INDEX(tbl_Onsite[Notes],MATCH(E69&amp;"",tbl_Onsite[Job Number],0))="","",INDEX(tbl_Onsite[Notes],MATCH(E69&amp;"",tbl_Onsite[Job Number],0))),IFERROR(IF(INDEX(tbl_Production[Notes],MATCH(E69&amp;"",tbl_Production[Job Number],0))="","",INDEX(tbl_Production[Notes],MATCH(E69&amp;"",tbl_Production[Job Number],0))),IFERROR(IF(INDEX(tbl_Consulting[Notes],MATCH(E69&amp;"",tbl_Consulting[Job Number],0))="","",INDEX(tbl_Consulting[Notes],MATCH(E69&amp;"",tbl_Consulting[Job Number],0))),""))))</f>
        <v/>
      </c>
    </row>
    <row r="70" ht="15" customHeight="1">
      <c r="A70" s="22" t="n"/>
      <c r="B70" s="23">
        <f>IF(A70="","",EOMONTH(A70,0))</f>
        <v/>
      </c>
      <c r="C70" s="24" t="n"/>
      <c r="D70" s="24" t="n"/>
      <c r="E70" s="24" t="n"/>
      <c r="F70" s="25">
        <f>IF(E70="","",IF(COUNTIF(lst_Jobs,E70&amp;"")&gt;0,"OK","CHECK"))</f>
        <v/>
      </c>
      <c r="G70" s="24" t="n"/>
      <c r="H70" s="24" t="n"/>
      <c r="I70" s="24" t="n"/>
      <c r="J70" s="24" t="n"/>
      <c r="K70" s="24" t="n"/>
      <c r="L70" s="26" t="n"/>
      <c r="M70" s="27">
        <f>IF(L70="","",IF(K70="GST 10%",ROUND(L70*set_GSTRate,2),0))</f>
        <v/>
      </c>
      <c r="N70" s="27">
        <f>IF(L70="","",L70+M70)</f>
        <v/>
      </c>
      <c r="O70" s="24" t="n"/>
      <c r="P70" s="24" t="n"/>
      <c r="Q70" s="24" t="n"/>
      <c r="R70" s="22" t="n"/>
      <c r="S70" s="22" t="n"/>
      <c r="T70" s="24" t="n"/>
      <c r="U70" s="24" t="n"/>
      <c r="V70" s="25">
        <f>IF(COUNTA(A70,D70,C70,L70)=0,"",IF(A70="","No date - sits outside every month",IF(E70="","No job number",IF(F70="CHECK","Job number is not in the Xero job list",IF(I70="","No cost centre",IF(AND(P70="Y",C70=""),"Marked posted to Xero but has no invoice number",IF(AND(L70&lt;&gt;"",K70=""),"No tax code",IF(AND(L70&lt;&gt;"",O70=""),"No revenue GL code",""))))))))</f>
        <v/>
      </c>
      <c r="W70" s="25">
        <f>IF(E70="","",IF(COUNTIF(tbl_Onsite[Job Number],E70&amp;"")&gt;0,"Onsite",IF(COUNTIF(tbl_Production[Job Number],E70&amp;"")&gt;0,"Production",IF(COUNTIF(tbl_Consulting[Job Number],E70&amp;"")&gt;0,"Consulting","not set up yet"))))</f>
        <v/>
      </c>
      <c r="X70" s="25">
        <f>IF(E70="","",IFERROR(INDEX(lst_JobName,MATCH(E70&amp;"",lst_Jobs,0)),""))</f>
        <v/>
      </c>
      <c r="Y70" s="28">
        <f>IF(E70="","",COUNTIFS(tbl_Finance[Job Number],E70&amp;"",tbl_Finance[Ex GST],"&lt;&gt;"))</f>
        <v/>
      </c>
      <c r="Z70" s="27">
        <f>IF(E70="","",SUMIFS(tbl_Finance[Ex GST],tbl_Finance[Job Number],E70&amp;""))</f>
        <v/>
      </c>
      <c r="AA70" s="27">
        <f>IF(E70="","",SUMIFS(tbl_Finance[Ex GST],tbl_Finance[Job Number],E70&amp;"",tbl_Finance[Xero Invoice No],"&lt;&gt;"))</f>
        <v/>
      </c>
      <c r="AB70" s="27">
        <f>IF(E70="","",Z70-AA70)</f>
        <v/>
      </c>
      <c r="AC70" s="25">
        <f>IF(E70="","",IFERROR(IF(INDEX(tbl_Onsite[Qwilr Quote],MATCH(E70&amp;"",tbl_Onsite[Job Number],0))="","",INDEX(tbl_Onsite[Qwilr Quote],MATCH(E70&amp;"",tbl_Onsite[Job Number],0))),IFERROR(IF(IF(INDEX(tbl_Production[Current RMS No],MATCH(E70&amp;"",tbl_Production[Job Number],0))="",INDEX(tbl_Production[Qwilr Quote],MATCH(E70&amp;"",tbl_Production[Job Number],0)),INDEX(tbl_Production[Current RMS No],MATCH(E70&amp;"",tbl_Production[Job Number],0)))="","",IF(INDEX(tbl_Production[Current RMS No],MATCH(E70&amp;"",tbl_Production[Job Number],0))="",INDEX(tbl_Production[Qwilr Quote],MATCH(E70&amp;"",tbl_Production[Job Number],0)),INDEX(tbl_Production[Current RMS No],MATCH(E70&amp;"",tbl_Production[Job Number],0)))),IFERROR(IF(INDEX(tbl_Consulting[Qwilr Quote],MATCH(E70&amp;"",tbl_Consulting[Job Number],0))="","",INDEX(tbl_Consulting[Qwilr Quote],MATCH(E70&amp;"",tbl_Consulting[Job Number],0))),""))))</f>
        <v/>
      </c>
      <c r="AD70" s="25">
        <f>IF(AC70="","",IF(AND(LEFT(AC70,4)&lt;&gt;"http",IF(H70="Production",set_RMSBase,set_QwilrBase)=""),"",HYPERLINK(IF(LEFT(AC70,4)="http",AC70,IF(H70="Production",set_RMSBase,set_QwilrBase)&amp;AC70),"Open")))</f>
        <v/>
      </c>
      <c r="AE70" s="27">
        <f>IF(E70="","",IFERROR(INDEX(tbl_Production[Total Expense],MATCH(E70&amp;"",tbl_Production[Job Number],0)),IFERROR(INDEX(tbl_Consulting[Total Expense],MATCH(E70&amp;"",tbl_Consulting[Job Number],0)),0)))</f>
        <v/>
      </c>
      <c r="AF70" s="27">
        <f>IF(E70="","",Z70-N(AE70))</f>
        <v/>
      </c>
      <c r="AG70" s="29">
        <f>IFERROR(AF70/Z70,"")</f>
        <v/>
      </c>
      <c r="AH70" s="25">
        <f>IF(E70="","",IFERROR(IF(INDEX(tbl_Onsite[Notes],MATCH(E70&amp;"",tbl_Onsite[Job Number],0))="","",INDEX(tbl_Onsite[Notes],MATCH(E70&amp;"",tbl_Onsite[Job Number],0))),IFERROR(IF(INDEX(tbl_Production[Notes],MATCH(E70&amp;"",tbl_Production[Job Number],0))="","",INDEX(tbl_Production[Notes],MATCH(E70&amp;"",tbl_Production[Job Number],0))),IFERROR(IF(INDEX(tbl_Consulting[Notes],MATCH(E70&amp;"",tbl_Consulting[Job Number],0))="","",INDEX(tbl_Consulting[Notes],MATCH(E70&amp;"",tbl_Consulting[Job Number],0))),""))))</f>
        <v/>
      </c>
    </row>
    <row r="71" ht="15" customHeight="1">
      <c r="A71" s="22" t="n"/>
      <c r="B71" s="23">
        <f>IF(A71="","",EOMONTH(A71,0))</f>
        <v/>
      </c>
      <c r="C71" s="24" t="n"/>
      <c r="D71" s="24" t="n"/>
      <c r="E71" s="24" t="n"/>
      <c r="F71" s="25">
        <f>IF(E71="","",IF(COUNTIF(lst_Jobs,E71&amp;"")&gt;0,"OK","CHECK"))</f>
        <v/>
      </c>
      <c r="G71" s="24" t="n"/>
      <c r="H71" s="24" t="n"/>
      <c r="I71" s="24" t="n"/>
      <c r="J71" s="24" t="n"/>
      <c r="K71" s="24" t="n"/>
      <c r="L71" s="26" t="n"/>
      <c r="M71" s="27">
        <f>IF(L71="","",IF(K71="GST 10%",ROUND(L71*set_GSTRate,2),0))</f>
        <v/>
      </c>
      <c r="N71" s="27">
        <f>IF(L71="","",L71+M71)</f>
        <v/>
      </c>
      <c r="O71" s="24" t="n"/>
      <c r="P71" s="24" t="n"/>
      <c r="Q71" s="24" t="n"/>
      <c r="R71" s="22" t="n"/>
      <c r="S71" s="22" t="n"/>
      <c r="T71" s="24" t="n"/>
      <c r="U71" s="24" t="n"/>
      <c r="V71" s="25">
        <f>IF(COUNTA(A71,D71,C71,L71)=0,"",IF(A71="","No date - sits outside every month",IF(E71="","No job number",IF(F71="CHECK","Job number is not in the Xero job list",IF(I71="","No cost centre",IF(AND(P71="Y",C71=""),"Marked posted to Xero but has no invoice number",IF(AND(L71&lt;&gt;"",K71=""),"No tax code",IF(AND(L71&lt;&gt;"",O71=""),"No revenue GL code",""))))))))</f>
        <v/>
      </c>
      <c r="W71" s="25">
        <f>IF(E71="","",IF(COUNTIF(tbl_Onsite[Job Number],E71&amp;"")&gt;0,"Onsite",IF(COUNTIF(tbl_Production[Job Number],E71&amp;"")&gt;0,"Production",IF(COUNTIF(tbl_Consulting[Job Number],E71&amp;"")&gt;0,"Consulting","not set up yet"))))</f>
        <v/>
      </c>
      <c r="X71" s="25">
        <f>IF(E71="","",IFERROR(INDEX(lst_JobName,MATCH(E71&amp;"",lst_Jobs,0)),""))</f>
        <v/>
      </c>
      <c r="Y71" s="28">
        <f>IF(E71="","",COUNTIFS(tbl_Finance[Job Number],E71&amp;"",tbl_Finance[Ex GST],"&lt;&gt;"))</f>
        <v/>
      </c>
      <c r="Z71" s="27">
        <f>IF(E71="","",SUMIFS(tbl_Finance[Ex GST],tbl_Finance[Job Number],E71&amp;""))</f>
        <v/>
      </c>
      <c r="AA71" s="27">
        <f>IF(E71="","",SUMIFS(tbl_Finance[Ex GST],tbl_Finance[Job Number],E71&amp;"",tbl_Finance[Xero Invoice No],"&lt;&gt;"))</f>
        <v/>
      </c>
      <c r="AB71" s="27">
        <f>IF(E71="","",Z71-AA71)</f>
        <v/>
      </c>
      <c r="AC71" s="25">
        <f>IF(E71="","",IFERROR(IF(INDEX(tbl_Onsite[Qwilr Quote],MATCH(E71&amp;"",tbl_Onsite[Job Number],0))="","",INDEX(tbl_Onsite[Qwilr Quote],MATCH(E71&amp;"",tbl_Onsite[Job Number],0))),IFERROR(IF(IF(INDEX(tbl_Production[Current RMS No],MATCH(E71&amp;"",tbl_Production[Job Number],0))="",INDEX(tbl_Production[Qwilr Quote],MATCH(E71&amp;"",tbl_Production[Job Number],0)),INDEX(tbl_Production[Current RMS No],MATCH(E71&amp;"",tbl_Production[Job Number],0)))="","",IF(INDEX(tbl_Production[Current RMS No],MATCH(E71&amp;"",tbl_Production[Job Number],0))="",INDEX(tbl_Production[Qwilr Quote],MATCH(E71&amp;"",tbl_Production[Job Number],0)),INDEX(tbl_Production[Current RMS No],MATCH(E71&amp;"",tbl_Production[Job Number],0)))),IFERROR(IF(INDEX(tbl_Consulting[Qwilr Quote],MATCH(E71&amp;"",tbl_Consulting[Job Number],0))="","",INDEX(tbl_Consulting[Qwilr Quote],MATCH(E71&amp;"",tbl_Consulting[Job Number],0))),""))))</f>
        <v/>
      </c>
      <c r="AD71" s="25">
        <f>IF(AC71="","",IF(AND(LEFT(AC71,4)&lt;&gt;"http",IF(H71="Production",set_RMSBase,set_QwilrBase)=""),"",HYPERLINK(IF(LEFT(AC71,4)="http",AC71,IF(H71="Production",set_RMSBase,set_QwilrBase)&amp;AC71),"Open")))</f>
        <v/>
      </c>
      <c r="AE71" s="27">
        <f>IF(E71="","",IFERROR(INDEX(tbl_Production[Total Expense],MATCH(E71&amp;"",tbl_Production[Job Number],0)),IFERROR(INDEX(tbl_Consulting[Total Expense],MATCH(E71&amp;"",tbl_Consulting[Job Number],0)),0)))</f>
        <v/>
      </c>
      <c r="AF71" s="27">
        <f>IF(E71="","",Z71-N(AE71))</f>
        <v/>
      </c>
      <c r="AG71" s="29">
        <f>IFERROR(AF71/Z71,"")</f>
        <v/>
      </c>
      <c r="AH71" s="25">
        <f>IF(E71="","",IFERROR(IF(INDEX(tbl_Onsite[Notes],MATCH(E71&amp;"",tbl_Onsite[Job Number],0))="","",INDEX(tbl_Onsite[Notes],MATCH(E71&amp;"",tbl_Onsite[Job Number],0))),IFERROR(IF(INDEX(tbl_Production[Notes],MATCH(E71&amp;"",tbl_Production[Job Number],0))="","",INDEX(tbl_Production[Notes],MATCH(E71&amp;"",tbl_Production[Job Number],0))),IFERROR(IF(INDEX(tbl_Consulting[Notes],MATCH(E71&amp;"",tbl_Consulting[Job Number],0))="","",INDEX(tbl_Consulting[Notes],MATCH(E71&amp;"",tbl_Consulting[Job Number],0))),""))))</f>
        <v/>
      </c>
    </row>
    <row r="72" ht="15" customHeight="1">
      <c r="A72" s="22" t="n"/>
      <c r="B72" s="23">
        <f>IF(A72="","",EOMONTH(A72,0))</f>
        <v/>
      </c>
      <c r="C72" s="24" t="n"/>
      <c r="D72" s="24" t="n"/>
      <c r="E72" s="24" t="n"/>
      <c r="F72" s="25">
        <f>IF(E72="","",IF(COUNTIF(lst_Jobs,E72&amp;"")&gt;0,"OK","CHECK"))</f>
        <v/>
      </c>
      <c r="G72" s="24" t="n"/>
      <c r="H72" s="24" t="n"/>
      <c r="I72" s="24" t="n"/>
      <c r="J72" s="24" t="n"/>
      <c r="K72" s="24" t="n"/>
      <c r="L72" s="26" t="n"/>
      <c r="M72" s="27">
        <f>IF(L72="","",IF(K72="GST 10%",ROUND(L72*set_GSTRate,2),0))</f>
        <v/>
      </c>
      <c r="N72" s="27">
        <f>IF(L72="","",L72+M72)</f>
        <v/>
      </c>
      <c r="O72" s="24" t="n"/>
      <c r="P72" s="24" t="n"/>
      <c r="Q72" s="24" t="n"/>
      <c r="R72" s="22" t="n"/>
      <c r="S72" s="22" t="n"/>
      <c r="T72" s="24" t="n"/>
      <c r="U72" s="24" t="n"/>
      <c r="V72" s="25">
        <f>IF(COUNTA(A72,D72,C72,L72)=0,"",IF(A72="","No date - sits outside every month",IF(E72="","No job number",IF(F72="CHECK","Job number is not in the Xero job list",IF(I72="","No cost centre",IF(AND(P72="Y",C72=""),"Marked posted to Xero but has no invoice number",IF(AND(L72&lt;&gt;"",K72=""),"No tax code",IF(AND(L72&lt;&gt;"",O72=""),"No revenue GL code",""))))))))</f>
        <v/>
      </c>
      <c r="W72" s="25">
        <f>IF(E72="","",IF(COUNTIF(tbl_Onsite[Job Number],E72&amp;"")&gt;0,"Onsite",IF(COUNTIF(tbl_Production[Job Number],E72&amp;"")&gt;0,"Production",IF(COUNTIF(tbl_Consulting[Job Number],E72&amp;"")&gt;0,"Consulting","not set up yet"))))</f>
        <v/>
      </c>
      <c r="X72" s="25">
        <f>IF(E72="","",IFERROR(INDEX(lst_JobName,MATCH(E72&amp;"",lst_Jobs,0)),""))</f>
        <v/>
      </c>
      <c r="Y72" s="28">
        <f>IF(E72="","",COUNTIFS(tbl_Finance[Job Number],E72&amp;"",tbl_Finance[Ex GST],"&lt;&gt;"))</f>
        <v/>
      </c>
      <c r="Z72" s="27">
        <f>IF(E72="","",SUMIFS(tbl_Finance[Ex GST],tbl_Finance[Job Number],E72&amp;""))</f>
        <v/>
      </c>
      <c r="AA72" s="27">
        <f>IF(E72="","",SUMIFS(tbl_Finance[Ex GST],tbl_Finance[Job Number],E72&amp;"",tbl_Finance[Xero Invoice No],"&lt;&gt;"))</f>
        <v/>
      </c>
      <c r="AB72" s="27">
        <f>IF(E72="","",Z72-AA72)</f>
        <v/>
      </c>
      <c r="AC72" s="25">
        <f>IF(E72="","",IFERROR(IF(INDEX(tbl_Onsite[Qwilr Quote],MATCH(E72&amp;"",tbl_Onsite[Job Number],0))="","",INDEX(tbl_Onsite[Qwilr Quote],MATCH(E72&amp;"",tbl_Onsite[Job Number],0))),IFERROR(IF(IF(INDEX(tbl_Production[Current RMS No],MATCH(E72&amp;"",tbl_Production[Job Number],0))="",INDEX(tbl_Production[Qwilr Quote],MATCH(E72&amp;"",tbl_Production[Job Number],0)),INDEX(tbl_Production[Current RMS No],MATCH(E72&amp;"",tbl_Production[Job Number],0)))="","",IF(INDEX(tbl_Production[Current RMS No],MATCH(E72&amp;"",tbl_Production[Job Number],0))="",INDEX(tbl_Production[Qwilr Quote],MATCH(E72&amp;"",tbl_Production[Job Number],0)),INDEX(tbl_Production[Current RMS No],MATCH(E72&amp;"",tbl_Production[Job Number],0)))),IFERROR(IF(INDEX(tbl_Consulting[Qwilr Quote],MATCH(E72&amp;"",tbl_Consulting[Job Number],0))="","",INDEX(tbl_Consulting[Qwilr Quote],MATCH(E72&amp;"",tbl_Consulting[Job Number],0))),""))))</f>
        <v/>
      </c>
      <c r="AD72" s="25">
        <f>IF(AC72="","",IF(AND(LEFT(AC72,4)&lt;&gt;"http",IF(H72="Production",set_RMSBase,set_QwilrBase)=""),"",HYPERLINK(IF(LEFT(AC72,4)="http",AC72,IF(H72="Production",set_RMSBase,set_QwilrBase)&amp;AC72),"Open")))</f>
        <v/>
      </c>
      <c r="AE72" s="27">
        <f>IF(E72="","",IFERROR(INDEX(tbl_Production[Total Expense],MATCH(E72&amp;"",tbl_Production[Job Number],0)),IFERROR(INDEX(tbl_Consulting[Total Expense],MATCH(E72&amp;"",tbl_Consulting[Job Number],0)),0)))</f>
        <v/>
      </c>
      <c r="AF72" s="27">
        <f>IF(E72="","",Z72-N(AE72))</f>
        <v/>
      </c>
      <c r="AG72" s="29">
        <f>IFERROR(AF72/Z72,"")</f>
        <v/>
      </c>
      <c r="AH72" s="25">
        <f>IF(E72="","",IFERROR(IF(INDEX(tbl_Onsite[Notes],MATCH(E72&amp;"",tbl_Onsite[Job Number],0))="","",INDEX(tbl_Onsite[Notes],MATCH(E72&amp;"",tbl_Onsite[Job Number],0))),IFERROR(IF(INDEX(tbl_Production[Notes],MATCH(E72&amp;"",tbl_Production[Job Number],0))="","",INDEX(tbl_Production[Notes],MATCH(E72&amp;"",tbl_Production[Job Number],0))),IFERROR(IF(INDEX(tbl_Consulting[Notes],MATCH(E72&amp;"",tbl_Consulting[Job Number],0))="","",INDEX(tbl_Consulting[Notes],MATCH(E72&amp;"",tbl_Consulting[Job Number],0))),""))))</f>
        <v/>
      </c>
    </row>
    <row r="73" ht="15" customHeight="1">
      <c r="A73" s="22" t="n"/>
      <c r="B73" s="23">
        <f>IF(A73="","",EOMONTH(A73,0))</f>
        <v/>
      </c>
      <c r="C73" s="24" t="n"/>
      <c r="D73" s="24" t="n"/>
      <c r="E73" s="24" t="n"/>
      <c r="F73" s="25">
        <f>IF(E73="","",IF(COUNTIF(lst_Jobs,E73&amp;"")&gt;0,"OK","CHECK"))</f>
        <v/>
      </c>
      <c r="G73" s="24" t="n"/>
      <c r="H73" s="24" t="n"/>
      <c r="I73" s="24" t="n"/>
      <c r="J73" s="24" t="n"/>
      <c r="K73" s="24" t="n"/>
      <c r="L73" s="26" t="n"/>
      <c r="M73" s="27">
        <f>IF(L73="","",IF(K73="GST 10%",ROUND(L73*set_GSTRate,2),0))</f>
        <v/>
      </c>
      <c r="N73" s="27">
        <f>IF(L73="","",L73+M73)</f>
        <v/>
      </c>
      <c r="O73" s="24" t="n"/>
      <c r="P73" s="24" t="n"/>
      <c r="Q73" s="24" t="n"/>
      <c r="R73" s="22" t="n"/>
      <c r="S73" s="22" t="n"/>
      <c r="T73" s="24" t="n"/>
      <c r="U73" s="24" t="n"/>
      <c r="V73" s="25">
        <f>IF(COUNTA(A73,D73,C73,L73)=0,"",IF(A73="","No date - sits outside every month",IF(E73="","No job number",IF(F73="CHECK","Job number is not in the Xero job list",IF(I73="","No cost centre",IF(AND(P73="Y",C73=""),"Marked posted to Xero but has no invoice number",IF(AND(L73&lt;&gt;"",K73=""),"No tax code",IF(AND(L73&lt;&gt;"",O73=""),"No revenue GL code",""))))))))</f>
        <v/>
      </c>
      <c r="W73" s="25">
        <f>IF(E73="","",IF(COUNTIF(tbl_Onsite[Job Number],E73&amp;"")&gt;0,"Onsite",IF(COUNTIF(tbl_Production[Job Number],E73&amp;"")&gt;0,"Production",IF(COUNTIF(tbl_Consulting[Job Number],E73&amp;"")&gt;0,"Consulting","not set up yet"))))</f>
        <v/>
      </c>
      <c r="X73" s="25">
        <f>IF(E73="","",IFERROR(INDEX(lst_JobName,MATCH(E73&amp;"",lst_Jobs,0)),""))</f>
        <v/>
      </c>
      <c r="Y73" s="28">
        <f>IF(E73="","",COUNTIFS(tbl_Finance[Job Number],E73&amp;"",tbl_Finance[Ex GST],"&lt;&gt;"))</f>
        <v/>
      </c>
      <c r="Z73" s="27">
        <f>IF(E73="","",SUMIFS(tbl_Finance[Ex GST],tbl_Finance[Job Number],E73&amp;""))</f>
        <v/>
      </c>
      <c r="AA73" s="27">
        <f>IF(E73="","",SUMIFS(tbl_Finance[Ex GST],tbl_Finance[Job Number],E73&amp;"",tbl_Finance[Xero Invoice No],"&lt;&gt;"))</f>
        <v/>
      </c>
      <c r="AB73" s="27">
        <f>IF(E73="","",Z73-AA73)</f>
        <v/>
      </c>
      <c r="AC73" s="25">
        <f>IF(E73="","",IFERROR(IF(INDEX(tbl_Onsite[Qwilr Quote],MATCH(E73&amp;"",tbl_Onsite[Job Number],0))="","",INDEX(tbl_Onsite[Qwilr Quote],MATCH(E73&amp;"",tbl_Onsite[Job Number],0))),IFERROR(IF(IF(INDEX(tbl_Production[Current RMS No],MATCH(E73&amp;"",tbl_Production[Job Number],0))="",INDEX(tbl_Production[Qwilr Quote],MATCH(E73&amp;"",tbl_Production[Job Number],0)),INDEX(tbl_Production[Current RMS No],MATCH(E73&amp;"",tbl_Production[Job Number],0)))="","",IF(INDEX(tbl_Production[Current RMS No],MATCH(E73&amp;"",tbl_Production[Job Number],0))="",INDEX(tbl_Production[Qwilr Quote],MATCH(E73&amp;"",tbl_Production[Job Number],0)),INDEX(tbl_Production[Current RMS No],MATCH(E73&amp;"",tbl_Production[Job Number],0)))),IFERROR(IF(INDEX(tbl_Consulting[Qwilr Quote],MATCH(E73&amp;"",tbl_Consulting[Job Number],0))="","",INDEX(tbl_Consulting[Qwilr Quote],MATCH(E73&amp;"",tbl_Consulting[Job Number],0))),""))))</f>
        <v/>
      </c>
      <c r="AD73" s="25">
        <f>IF(AC73="","",IF(AND(LEFT(AC73,4)&lt;&gt;"http",IF(H73="Production",set_RMSBase,set_QwilrBase)=""),"",HYPERLINK(IF(LEFT(AC73,4)="http",AC73,IF(H73="Production",set_RMSBase,set_QwilrBase)&amp;AC73),"Open")))</f>
        <v/>
      </c>
      <c r="AE73" s="27">
        <f>IF(E73="","",IFERROR(INDEX(tbl_Production[Total Expense],MATCH(E73&amp;"",tbl_Production[Job Number],0)),IFERROR(INDEX(tbl_Consulting[Total Expense],MATCH(E73&amp;"",tbl_Consulting[Job Number],0)),0)))</f>
        <v/>
      </c>
      <c r="AF73" s="27">
        <f>IF(E73="","",Z73-N(AE73))</f>
        <v/>
      </c>
      <c r="AG73" s="29">
        <f>IFERROR(AF73/Z73,"")</f>
        <v/>
      </c>
      <c r="AH73" s="25">
        <f>IF(E73="","",IFERROR(IF(INDEX(tbl_Onsite[Notes],MATCH(E73&amp;"",tbl_Onsite[Job Number],0))="","",INDEX(tbl_Onsite[Notes],MATCH(E73&amp;"",tbl_Onsite[Job Number],0))),IFERROR(IF(INDEX(tbl_Production[Notes],MATCH(E73&amp;"",tbl_Production[Job Number],0))="","",INDEX(tbl_Production[Notes],MATCH(E73&amp;"",tbl_Production[Job Number],0))),IFERROR(IF(INDEX(tbl_Consulting[Notes],MATCH(E73&amp;"",tbl_Consulting[Job Number],0))="","",INDEX(tbl_Consulting[Notes],MATCH(E73&amp;"",tbl_Consulting[Job Number],0))),""))))</f>
        <v/>
      </c>
    </row>
    <row r="74" ht="15" customHeight="1">
      <c r="A74" s="22" t="n"/>
      <c r="B74" s="23">
        <f>IF(A74="","",EOMONTH(A74,0))</f>
        <v/>
      </c>
      <c r="C74" s="24" t="n"/>
      <c r="D74" s="24" t="n"/>
      <c r="E74" s="24" t="n"/>
      <c r="F74" s="25">
        <f>IF(E74="","",IF(COUNTIF(lst_Jobs,E74&amp;"")&gt;0,"OK","CHECK"))</f>
        <v/>
      </c>
      <c r="G74" s="24" t="n"/>
      <c r="H74" s="24" t="n"/>
      <c r="I74" s="24" t="n"/>
      <c r="J74" s="24" t="n"/>
      <c r="K74" s="24" t="n"/>
      <c r="L74" s="26" t="n"/>
      <c r="M74" s="27">
        <f>IF(L74="","",IF(K74="GST 10%",ROUND(L74*set_GSTRate,2),0))</f>
        <v/>
      </c>
      <c r="N74" s="27">
        <f>IF(L74="","",L74+M74)</f>
        <v/>
      </c>
      <c r="O74" s="24" t="n"/>
      <c r="P74" s="24" t="n"/>
      <c r="Q74" s="24" t="n"/>
      <c r="R74" s="22" t="n"/>
      <c r="S74" s="22" t="n"/>
      <c r="T74" s="24" t="n"/>
      <c r="U74" s="24" t="n"/>
      <c r="V74" s="25">
        <f>IF(COUNTA(A74,D74,C74,L74)=0,"",IF(A74="","No date - sits outside every month",IF(E74="","No job number",IF(F74="CHECK","Job number is not in the Xero job list",IF(I74="","No cost centre",IF(AND(P74="Y",C74=""),"Marked posted to Xero but has no invoice number",IF(AND(L74&lt;&gt;"",K74=""),"No tax code",IF(AND(L74&lt;&gt;"",O74=""),"No revenue GL code",""))))))))</f>
        <v/>
      </c>
      <c r="W74" s="25">
        <f>IF(E74="","",IF(COUNTIF(tbl_Onsite[Job Number],E74&amp;"")&gt;0,"Onsite",IF(COUNTIF(tbl_Production[Job Number],E74&amp;"")&gt;0,"Production",IF(COUNTIF(tbl_Consulting[Job Number],E74&amp;"")&gt;0,"Consulting","not set up yet"))))</f>
        <v/>
      </c>
      <c r="X74" s="25">
        <f>IF(E74="","",IFERROR(INDEX(lst_JobName,MATCH(E74&amp;"",lst_Jobs,0)),""))</f>
        <v/>
      </c>
      <c r="Y74" s="28">
        <f>IF(E74="","",COUNTIFS(tbl_Finance[Job Number],E74&amp;"",tbl_Finance[Ex GST],"&lt;&gt;"))</f>
        <v/>
      </c>
      <c r="Z74" s="27">
        <f>IF(E74="","",SUMIFS(tbl_Finance[Ex GST],tbl_Finance[Job Number],E74&amp;""))</f>
        <v/>
      </c>
      <c r="AA74" s="27">
        <f>IF(E74="","",SUMIFS(tbl_Finance[Ex GST],tbl_Finance[Job Number],E74&amp;"",tbl_Finance[Xero Invoice No],"&lt;&gt;"))</f>
        <v/>
      </c>
      <c r="AB74" s="27">
        <f>IF(E74="","",Z74-AA74)</f>
        <v/>
      </c>
      <c r="AC74" s="25">
        <f>IF(E74="","",IFERROR(IF(INDEX(tbl_Onsite[Qwilr Quote],MATCH(E74&amp;"",tbl_Onsite[Job Number],0))="","",INDEX(tbl_Onsite[Qwilr Quote],MATCH(E74&amp;"",tbl_Onsite[Job Number],0))),IFERROR(IF(IF(INDEX(tbl_Production[Current RMS No],MATCH(E74&amp;"",tbl_Production[Job Number],0))="",INDEX(tbl_Production[Qwilr Quote],MATCH(E74&amp;"",tbl_Production[Job Number],0)),INDEX(tbl_Production[Current RMS No],MATCH(E74&amp;"",tbl_Production[Job Number],0)))="","",IF(INDEX(tbl_Production[Current RMS No],MATCH(E74&amp;"",tbl_Production[Job Number],0))="",INDEX(tbl_Production[Qwilr Quote],MATCH(E74&amp;"",tbl_Production[Job Number],0)),INDEX(tbl_Production[Current RMS No],MATCH(E74&amp;"",tbl_Production[Job Number],0)))),IFERROR(IF(INDEX(tbl_Consulting[Qwilr Quote],MATCH(E74&amp;"",tbl_Consulting[Job Number],0))="","",INDEX(tbl_Consulting[Qwilr Quote],MATCH(E74&amp;"",tbl_Consulting[Job Number],0))),""))))</f>
        <v/>
      </c>
      <c r="AD74" s="25">
        <f>IF(AC74="","",IF(AND(LEFT(AC74,4)&lt;&gt;"http",IF(H74="Production",set_RMSBase,set_QwilrBase)=""),"",HYPERLINK(IF(LEFT(AC74,4)="http",AC74,IF(H74="Production",set_RMSBase,set_QwilrBase)&amp;AC74),"Open")))</f>
        <v/>
      </c>
      <c r="AE74" s="27">
        <f>IF(E74="","",IFERROR(INDEX(tbl_Production[Total Expense],MATCH(E74&amp;"",tbl_Production[Job Number],0)),IFERROR(INDEX(tbl_Consulting[Total Expense],MATCH(E74&amp;"",tbl_Consulting[Job Number],0)),0)))</f>
        <v/>
      </c>
      <c r="AF74" s="27">
        <f>IF(E74="","",Z74-N(AE74))</f>
        <v/>
      </c>
      <c r="AG74" s="29">
        <f>IFERROR(AF74/Z74,"")</f>
        <v/>
      </c>
      <c r="AH74" s="25">
        <f>IF(E74="","",IFERROR(IF(INDEX(tbl_Onsite[Notes],MATCH(E74&amp;"",tbl_Onsite[Job Number],0))="","",INDEX(tbl_Onsite[Notes],MATCH(E74&amp;"",tbl_Onsite[Job Number],0))),IFERROR(IF(INDEX(tbl_Production[Notes],MATCH(E74&amp;"",tbl_Production[Job Number],0))="","",INDEX(tbl_Production[Notes],MATCH(E74&amp;"",tbl_Production[Job Number],0))),IFERROR(IF(INDEX(tbl_Consulting[Notes],MATCH(E74&amp;"",tbl_Consulting[Job Number],0))="","",INDEX(tbl_Consulting[Notes],MATCH(E74&amp;"",tbl_Consulting[Job Number],0))),""))))</f>
        <v/>
      </c>
    </row>
    <row r="75" ht="15" customHeight="1">
      <c r="A75" s="22" t="n"/>
      <c r="B75" s="23">
        <f>IF(A75="","",EOMONTH(A75,0))</f>
        <v/>
      </c>
      <c r="C75" s="24" t="n"/>
      <c r="D75" s="24" t="n"/>
      <c r="E75" s="24" t="n"/>
      <c r="F75" s="25">
        <f>IF(E75="","",IF(COUNTIF(lst_Jobs,E75&amp;"")&gt;0,"OK","CHECK"))</f>
        <v/>
      </c>
      <c r="G75" s="24" t="n"/>
      <c r="H75" s="24" t="n"/>
      <c r="I75" s="24" t="n"/>
      <c r="J75" s="24" t="n"/>
      <c r="K75" s="24" t="n"/>
      <c r="L75" s="26" t="n"/>
      <c r="M75" s="27">
        <f>IF(L75="","",IF(K75="GST 10%",ROUND(L75*set_GSTRate,2),0))</f>
        <v/>
      </c>
      <c r="N75" s="27">
        <f>IF(L75="","",L75+M75)</f>
        <v/>
      </c>
      <c r="O75" s="24" t="n"/>
      <c r="P75" s="24" t="n"/>
      <c r="Q75" s="24" t="n"/>
      <c r="R75" s="22" t="n"/>
      <c r="S75" s="22" t="n"/>
      <c r="T75" s="24" t="n"/>
      <c r="U75" s="24" t="n"/>
      <c r="V75" s="25">
        <f>IF(COUNTA(A75,D75,C75,L75)=0,"",IF(A75="","No date - sits outside every month",IF(E75="","No job number",IF(F75="CHECK","Job number is not in the Xero job list",IF(I75="","No cost centre",IF(AND(P75="Y",C75=""),"Marked posted to Xero but has no invoice number",IF(AND(L75&lt;&gt;"",K75=""),"No tax code",IF(AND(L75&lt;&gt;"",O75=""),"No revenue GL code",""))))))))</f>
        <v/>
      </c>
      <c r="W75" s="25">
        <f>IF(E75="","",IF(COUNTIF(tbl_Onsite[Job Number],E75&amp;"")&gt;0,"Onsite",IF(COUNTIF(tbl_Production[Job Number],E75&amp;"")&gt;0,"Production",IF(COUNTIF(tbl_Consulting[Job Number],E75&amp;"")&gt;0,"Consulting","not set up yet"))))</f>
        <v/>
      </c>
      <c r="X75" s="25">
        <f>IF(E75="","",IFERROR(INDEX(lst_JobName,MATCH(E75&amp;"",lst_Jobs,0)),""))</f>
        <v/>
      </c>
      <c r="Y75" s="28">
        <f>IF(E75="","",COUNTIFS(tbl_Finance[Job Number],E75&amp;"",tbl_Finance[Ex GST],"&lt;&gt;"))</f>
        <v/>
      </c>
      <c r="Z75" s="27">
        <f>IF(E75="","",SUMIFS(tbl_Finance[Ex GST],tbl_Finance[Job Number],E75&amp;""))</f>
        <v/>
      </c>
      <c r="AA75" s="27">
        <f>IF(E75="","",SUMIFS(tbl_Finance[Ex GST],tbl_Finance[Job Number],E75&amp;"",tbl_Finance[Xero Invoice No],"&lt;&gt;"))</f>
        <v/>
      </c>
      <c r="AB75" s="27">
        <f>IF(E75="","",Z75-AA75)</f>
        <v/>
      </c>
      <c r="AC75" s="25">
        <f>IF(E75="","",IFERROR(IF(INDEX(tbl_Onsite[Qwilr Quote],MATCH(E75&amp;"",tbl_Onsite[Job Number],0))="","",INDEX(tbl_Onsite[Qwilr Quote],MATCH(E75&amp;"",tbl_Onsite[Job Number],0))),IFERROR(IF(IF(INDEX(tbl_Production[Current RMS No],MATCH(E75&amp;"",tbl_Production[Job Number],0))="",INDEX(tbl_Production[Qwilr Quote],MATCH(E75&amp;"",tbl_Production[Job Number],0)),INDEX(tbl_Production[Current RMS No],MATCH(E75&amp;"",tbl_Production[Job Number],0)))="","",IF(INDEX(tbl_Production[Current RMS No],MATCH(E75&amp;"",tbl_Production[Job Number],0))="",INDEX(tbl_Production[Qwilr Quote],MATCH(E75&amp;"",tbl_Production[Job Number],0)),INDEX(tbl_Production[Current RMS No],MATCH(E75&amp;"",tbl_Production[Job Number],0)))),IFERROR(IF(INDEX(tbl_Consulting[Qwilr Quote],MATCH(E75&amp;"",tbl_Consulting[Job Number],0))="","",INDEX(tbl_Consulting[Qwilr Quote],MATCH(E75&amp;"",tbl_Consulting[Job Number],0))),""))))</f>
        <v/>
      </c>
      <c r="AD75" s="25">
        <f>IF(AC75="","",IF(AND(LEFT(AC75,4)&lt;&gt;"http",IF(H75="Production",set_RMSBase,set_QwilrBase)=""),"",HYPERLINK(IF(LEFT(AC75,4)="http",AC75,IF(H75="Production",set_RMSBase,set_QwilrBase)&amp;AC75),"Open")))</f>
        <v/>
      </c>
      <c r="AE75" s="27">
        <f>IF(E75="","",IFERROR(INDEX(tbl_Production[Total Expense],MATCH(E75&amp;"",tbl_Production[Job Number],0)),IFERROR(INDEX(tbl_Consulting[Total Expense],MATCH(E75&amp;"",tbl_Consulting[Job Number],0)),0)))</f>
        <v/>
      </c>
      <c r="AF75" s="27">
        <f>IF(E75="","",Z75-N(AE75))</f>
        <v/>
      </c>
      <c r="AG75" s="29">
        <f>IFERROR(AF75/Z75,"")</f>
        <v/>
      </c>
      <c r="AH75" s="25">
        <f>IF(E75="","",IFERROR(IF(INDEX(tbl_Onsite[Notes],MATCH(E75&amp;"",tbl_Onsite[Job Number],0))="","",INDEX(tbl_Onsite[Notes],MATCH(E75&amp;"",tbl_Onsite[Job Number],0))),IFERROR(IF(INDEX(tbl_Production[Notes],MATCH(E75&amp;"",tbl_Production[Job Number],0))="","",INDEX(tbl_Production[Notes],MATCH(E75&amp;"",tbl_Production[Job Number],0))),IFERROR(IF(INDEX(tbl_Consulting[Notes],MATCH(E75&amp;"",tbl_Consulting[Job Number],0))="","",INDEX(tbl_Consulting[Notes],MATCH(E75&amp;"",tbl_Consulting[Job Number],0))),""))))</f>
        <v/>
      </c>
    </row>
    <row r="76" ht="15" customHeight="1">
      <c r="A76" s="22" t="n"/>
      <c r="B76" s="23">
        <f>IF(A76="","",EOMONTH(A76,0))</f>
        <v/>
      </c>
      <c r="C76" s="24" t="n"/>
      <c r="D76" s="24" t="n"/>
      <c r="E76" s="24" t="n"/>
      <c r="F76" s="25">
        <f>IF(E76="","",IF(COUNTIF(lst_Jobs,E76&amp;"")&gt;0,"OK","CHECK"))</f>
        <v/>
      </c>
      <c r="G76" s="24" t="n"/>
      <c r="H76" s="24" t="n"/>
      <c r="I76" s="24" t="n"/>
      <c r="J76" s="24" t="n"/>
      <c r="K76" s="24" t="n"/>
      <c r="L76" s="26" t="n"/>
      <c r="M76" s="27">
        <f>IF(L76="","",IF(K76="GST 10%",ROUND(L76*set_GSTRate,2),0))</f>
        <v/>
      </c>
      <c r="N76" s="27">
        <f>IF(L76="","",L76+M76)</f>
        <v/>
      </c>
      <c r="O76" s="24" t="n"/>
      <c r="P76" s="24" t="n"/>
      <c r="Q76" s="24" t="n"/>
      <c r="R76" s="22" t="n"/>
      <c r="S76" s="22" t="n"/>
      <c r="T76" s="24" t="n"/>
      <c r="U76" s="24" t="n"/>
      <c r="V76" s="25">
        <f>IF(COUNTA(A76,D76,C76,L76)=0,"",IF(A76="","No date - sits outside every month",IF(E76="","No job number",IF(F76="CHECK","Job number is not in the Xero job list",IF(I76="","No cost centre",IF(AND(P76="Y",C76=""),"Marked posted to Xero but has no invoice number",IF(AND(L76&lt;&gt;"",K76=""),"No tax code",IF(AND(L76&lt;&gt;"",O76=""),"No revenue GL code",""))))))))</f>
        <v/>
      </c>
      <c r="W76" s="25">
        <f>IF(E76="","",IF(COUNTIF(tbl_Onsite[Job Number],E76&amp;"")&gt;0,"Onsite",IF(COUNTIF(tbl_Production[Job Number],E76&amp;"")&gt;0,"Production",IF(COUNTIF(tbl_Consulting[Job Number],E76&amp;"")&gt;0,"Consulting","not set up yet"))))</f>
        <v/>
      </c>
      <c r="X76" s="25">
        <f>IF(E76="","",IFERROR(INDEX(lst_JobName,MATCH(E76&amp;"",lst_Jobs,0)),""))</f>
        <v/>
      </c>
      <c r="Y76" s="28">
        <f>IF(E76="","",COUNTIFS(tbl_Finance[Job Number],E76&amp;"",tbl_Finance[Ex GST],"&lt;&gt;"))</f>
        <v/>
      </c>
      <c r="Z76" s="27">
        <f>IF(E76="","",SUMIFS(tbl_Finance[Ex GST],tbl_Finance[Job Number],E76&amp;""))</f>
        <v/>
      </c>
      <c r="AA76" s="27">
        <f>IF(E76="","",SUMIFS(tbl_Finance[Ex GST],tbl_Finance[Job Number],E76&amp;"",tbl_Finance[Xero Invoice No],"&lt;&gt;"))</f>
        <v/>
      </c>
      <c r="AB76" s="27">
        <f>IF(E76="","",Z76-AA76)</f>
        <v/>
      </c>
      <c r="AC76" s="25">
        <f>IF(E76="","",IFERROR(IF(INDEX(tbl_Onsite[Qwilr Quote],MATCH(E76&amp;"",tbl_Onsite[Job Number],0))="","",INDEX(tbl_Onsite[Qwilr Quote],MATCH(E76&amp;"",tbl_Onsite[Job Number],0))),IFERROR(IF(IF(INDEX(tbl_Production[Current RMS No],MATCH(E76&amp;"",tbl_Production[Job Number],0))="",INDEX(tbl_Production[Qwilr Quote],MATCH(E76&amp;"",tbl_Production[Job Number],0)),INDEX(tbl_Production[Current RMS No],MATCH(E76&amp;"",tbl_Production[Job Number],0)))="","",IF(INDEX(tbl_Production[Current RMS No],MATCH(E76&amp;"",tbl_Production[Job Number],0))="",INDEX(tbl_Production[Qwilr Quote],MATCH(E76&amp;"",tbl_Production[Job Number],0)),INDEX(tbl_Production[Current RMS No],MATCH(E76&amp;"",tbl_Production[Job Number],0)))),IFERROR(IF(INDEX(tbl_Consulting[Qwilr Quote],MATCH(E76&amp;"",tbl_Consulting[Job Number],0))="","",INDEX(tbl_Consulting[Qwilr Quote],MATCH(E76&amp;"",tbl_Consulting[Job Number],0))),""))))</f>
        <v/>
      </c>
      <c r="AD76" s="25">
        <f>IF(AC76="","",IF(AND(LEFT(AC76,4)&lt;&gt;"http",IF(H76="Production",set_RMSBase,set_QwilrBase)=""),"",HYPERLINK(IF(LEFT(AC76,4)="http",AC76,IF(H76="Production",set_RMSBase,set_QwilrBase)&amp;AC76),"Open")))</f>
        <v/>
      </c>
      <c r="AE76" s="27">
        <f>IF(E76="","",IFERROR(INDEX(tbl_Production[Total Expense],MATCH(E76&amp;"",tbl_Production[Job Number],0)),IFERROR(INDEX(tbl_Consulting[Total Expense],MATCH(E76&amp;"",tbl_Consulting[Job Number],0)),0)))</f>
        <v/>
      </c>
      <c r="AF76" s="27">
        <f>IF(E76="","",Z76-N(AE76))</f>
        <v/>
      </c>
      <c r="AG76" s="29">
        <f>IFERROR(AF76/Z76,"")</f>
        <v/>
      </c>
      <c r="AH76" s="25">
        <f>IF(E76="","",IFERROR(IF(INDEX(tbl_Onsite[Notes],MATCH(E76&amp;"",tbl_Onsite[Job Number],0))="","",INDEX(tbl_Onsite[Notes],MATCH(E76&amp;"",tbl_Onsite[Job Number],0))),IFERROR(IF(INDEX(tbl_Production[Notes],MATCH(E76&amp;"",tbl_Production[Job Number],0))="","",INDEX(tbl_Production[Notes],MATCH(E76&amp;"",tbl_Production[Job Number],0))),IFERROR(IF(INDEX(tbl_Consulting[Notes],MATCH(E76&amp;"",tbl_Consulting[Job Number],0))="","",INDEX(tbl_Consulting[Notes],MATCH(E76&amp;"",tbl_Consulting[Job Number],0))),""))))</f>
        <v/>
      </c>
    </row>
    <row r="77" ht="15" customHeight="1">
      <c r="A77" s="22" t="n"/>
      <c r="B77" s="23">
        <f>IF(A77="","",EOMONTH(A77,0))</f>
        <v/>
      </c>
      <c r="C77" s="24" t="n"/>
      <c r="D77" s="24" t="n"/>
      <c r="E77" s="24" t="n"/>
      <c r="F77" s="25">
        <f>IF(E77="","",IF(COUNTIF(lst_Jobs,E77&amp;"")&gt;0,"OK","CHECK"))</f>
        <v/>
      </c>
      <c r="G77" s="24" t="n"/>
      <c r="H77" s="24" t="n"/>
      <c r="I77" s="24" t="n"/>
      <c r="J77" s="24" t="n"/>
      <c r="K77" s="24" t="n"/>
      <c r="L77" s="26" t="n"/>
      <c r="M77" s="27">
        <f>IF(L77="","",IF(K77="GST 10%",ROUND(L77*set_GSTRate,2),0))</f>
        <v/>
      </c>
      <c r="N77" s="27">
        <f>IF(L77="","",L77+M77)</f>
        <v/>
      </c>
      <c r="O77" s="24" t="n"/>
      <c r="P77" s="24" t="n"/>
      <c r="Q77" s="24" t="n"/>
      <c r="R77" s="22" t="n"/>
      <c r="S77" s="22" t="n"/>
      <c r="T77" s="24" t="n"/>
      <c r="U77" s="24" t="n"/>
      <c r="V77" s="25">
        <f>IF(COUNTA(A77,D77,C77,L77)=0,"",IF(A77="","No date - sits outside every month",IF(E77="","No job number",IF(F77="CHECK","Job number is not in the Xero job list",IF(I77="","No cost centre",IF(AND(P77="Y",C77=""),"Marked posted to Xero but has no invoice number",IF(AND(L77&lt;&gt;"",K77=""),"No tax code",IF(AND(L77&lt;&gt;"",O77=""),"No revenue GL code",""))))))))</f>
        <v/>
      </c>
      <c r="W77" s="25">
        <f>IF(E77="","",IF(COUNTIF(tbl_Onsite[Job Number],E77&amp;"")&gt;0,"Onsite",IF(COUNTIF(tbl_Production[Job Number],E77&amp;"")&gt;0,"Production",IF(COUNTIF(tbl_Consulting[Job Number],E77&amp;"")&gt;0,"Consulting","not set up yet"))))</f>
        <v/>
      </c>
      <c r="X77" s="25">
        <f>IF(E77="","",IFERROR(INDEX(lst_JobName,MATCH(E77&amp;"",lst_Jobs,0)),""))</f>
        <v/>
      </c>
      <c r="Y77" s="28">
        <f>IF(E77="","",COUNTIFS(tbl_Finance[Job Number],E77&amp;"",tbl_Finance[Ex GST],"&lt;&gt;"))</f>
        <v/>
      </c>
      <c r="Z77" s="27">
        <f>IF(E77="","",SUMIFS(tbl_Finance[Ex GST],tbl_Finance[Job Number],E77&amp;""))</f>
        <v/>
      </c>
      <c r="AA77" s="27">
        <f>IF(E77="","",SUMIFS(tbl_Finance[Ex GST],tbl_Finance[Job Number],E77&amp;"",tbl_Finance[Xero Invoice No],"&lt;&gt;"))</f>
        <v/>
      </c>
      <c r="AB77" s="27">
        <f>IF(E77="","",Z77-AA77)</f>
        <v/>
      </c>
      <c r="AC77" s="25">
        <f>IF(E77="","",IFERROR(IF(INDEX(tbl_Onsite[Qwilr Quote],MATCH(E77&amp;"",tbl_Onsite[Job Number],0))="","",INDEX(tbl_Onsite[Qwilr Quote],MATCH(E77&amp;"",tbl_Onsite[Job Number],0))),IFERROR(IF(IF(INDEX(tbl_Production[Current RMS No],MATCH(E77&amp;"",tbl_Production[Job Number],0))="",INDEX(tbl_Production[Qwilr Quote],MATCH(E77&amp;"",tbl_Production[Job Number],0)),INDEX(tbl_Production[Current RMS No],MATCH(E77&amp;"",tbl_Production[Job Number],0)))="","",IF(INDEX(tbl_Production[Current RMS No],MATCH(E77&amp;"",tbl_Production[Job Number],0))="",INDEX(tbl_Production[Qwilr Quote],MATCH(E77&amp;"",tbl_Production[Job Number],0)),INDEX(tbl_Production[Current RMS No],MATCH(E77&amp;"",tbl_Production[Job Number],0)))),IFERROR(IF(INDEX(tbl_Consulting[Qwilr Quote],MATCH(E77&amp;"",tbl_Consulting[Job Number],0))="","",INDEX(tbl_Consulting[Qwilr Quote],MATCH(E77&amp;"",tbl_Consulting[Job Number],0))),""))))</f>
        <v/>
      </c>
      <c r="AD77" s="25">
        <f>IF(AC77="","",IF(AND(LEFT(AC77,4)&lt;&gt;"http",IF(H77="Production",set_RMSBase,set_QwilrBase)=""),"",HYPERLINK(IF(LEFT(AC77,4)="http",AC77,IF(H77="Production",set_RMSBase,set_QwilrBase)&amp;AC77),"Open")))</f>
        <v/>
      </c>
      <c r="AE77" s="27">
        <f>IF(E77="","",IFERROR(INDEX(tbl_Production[Total Expense],MATCH(E77&amp;"",tbl_Production[Job Number],0)),IFERROR(INDEX(tbl_Consulting[Total Expense],MATCH(E77&amp;"",tbl_Consulting[Job Number],0)),0)))</f>
        <v/>
      </c>
      <c r="AF77" s="27">
        <f>IF(E77="","",Z77-N(AE77))</f>
        <v/>
      </c>
      <c r="AG77" s="29">
        <f>IFERROR(AF77/Z77,"")</f>
        <v/>
      </c>
      <c r="AH77" s="25">
        <f>IF(E77="","",IFERROR(IF(INDEX(tbl_Onsite[Notes],MATCH(E77&amp;"",tbl_Onsite[Job Number],0))="","",INDEX(tbl_Onsite[Notes],MATCH(E77&amp;"",tbl_Onsite[Job Number],0))),IFERROR(IF(INDEX(tbl_Production[Notes],MATCH(E77&amp;"",tbl_Production[Job Number],0))="","",INDEX(tbl_Production[Notes],MATCH(E77&amp;"",tbl_Production[Job Number],0))),IFERROR(IF(INDEX(tbl_Consulting[Notes],MATCH(E77&amp;"",tbl_Consulting[Job Number],0))="","",INDEX(tbl_Consulting[Notes],MATCH(E77&amp;"",tbl_Consulting[Job Number],0))),""))))</f>
        <v/>
      </c>
    </row>
    <row r="78" ht="15" customHeight="1">
      <c r="A78" s="22" t="n"/>
      <c r="B78" s="23">
        <f>IF(A78="","",EOMONTH(A78,0))</f>
        <v/>
      </c>
      <c r="C78" s="24" t="n"/>
      <c r="D78" s="24" t="n"/>
      <c r="E78" s="24" t="n"/>
      <c r="F78" s="25">
        <f>IF(E78="","",IF(COUNTIF(lst_Jobs,E78&amp;"")&gt;0,"OK","CHECK"))</f>
        <v/>
      </c>
      <c r="G78" s="24" t="n"/>
      <c r="H78" s="24" t="n"/>
      <c r="I78" s="24" t="n"/>
      <c r="J78" s="24" t="n"/>
      <c r="K78" s="24" t="n"/>
      <c r="L78" s="26" t="n"/>
      <c r="M78" s="27">
        <f>IF(L78="","",IF(K78="GST 10%",ROUND(L78*set_GSTRate,2),0))</f>
        <v/>
      </c>
      <c r="N78" s="27">
        <f>IF(L78="","",L78+M78)</f>
        <v/>
      </c>
      <c r="O78" s="24" t="n"/>
      <c r="P78" s="24" t="n"/>
      <c r="Q78" s="24" t="n"/>
      <c r="R78" s="22" t="n"/>
      <c r="S78" s="22" t="n"/>
      <c r="T78" s="24" t="n"/>
      <c r="U78" s="24" t="n"/>
      <c r="V78" s="25">
        <f>IF(COUNTA(A78,D78,C78,L78)=0,"",IF(A78="","No date - sits outside every month",IF(E78="","No job number",IF(F78="CHECK","Job number is not in the Xero job list",IF(I78="","No cost centre",IF(AND(P78="Y",C78=""),"Marked posted to Xero but has no invoice number",IF(AND(L78&lt;&gt;"",K78=""),"No tax code",IF(AND(L78&lt;&gt;"",O78=""),"No revenue GL code",""))))))))</f>
        <v/>
      </c>
      <c r="W78" s="25">
        <f>IF(E78="","",IF(COUNTIF(tbl_Onsite[Job Number],E78&amp;"")&gt;0,"Onsite",IF(COUNTIF(tbl_Production[Job Number],E78&amp;"")&gt;0,"Production",IF(COUNTIF(tbl_Consulting[Job Number],E78&amp;"")&gt;0,"Consulting","not set up yet"))))</f>
        <v/>
      </c>
      <c r="X78" s="25">
        <f>IF(E78="","",IFERROR(INDEX(lst_JobName,MATCH(E78&amp;"",lst_Jobs,0)),""))</f>
        <v/>
      </c>
      <c r="Y78" s="28">
        <f>IF(E78="","",COUNTIFS(tbl_Finance[Job Number],E78&amp;"",tbl_Finance[Ex GST],"&lt;&gt;"))</f>
        <v/>
      </c>
      <c r="Z78" s="27">
        <f>IF(E78="","",SUMIFS(tbl_Finance[Ex GST],tbl_Finance[Job Number],E78&amp;""))</f>
        <v/>
      </c>
      <c r="AA78" s="27">
        <f>IF(E78="","",SUMIFS(tbl_Finance[Ex GST],tbl_Finance[Job Number],E78&amp;"",tbl_Finance[Xero Invoice No],"&lt;&gt;"))</f>
        <v/>
      </c>
      <c r="AB78" s="27">
        <f>IF(E78="","",Z78-AA78)</f>
        <v/>
      </c>
      <c r="AC78" s="25">
        <f>IF(E78="","",IFERROR(IF(INDEX(tbl_Onsite[Qwilr Quote],MATCH(E78&amp;"",tbl_Onsite[Job Number],0))="","",INDEX(tbl_Onsite[Qwilr Quote],MATCH(E78&amp;"",tbl_Onsite[Job Number],0))),IFERROR(IF(IF(INDEX(tbl_Production[Current RMS No],MATCH(E78&amp;"",tbl_Production[Job Number],0))="",INDEX(tbl_Production[Qwilr Quote],MATCH(E78&amp;"",tbl_Production[Job Number],0)),INDEX(tbl_Production[Current RMS No],MATCH(E78&amp;"",tbl_Production[Job Number],0)))="","",IF(INDEX(tbl_Production[Current RMS No],MATCH(E78&amp;"",tbl_Production[Job Number],0))="",INDEX(tbl_Production[Qwilr Quote],MATCH(E78&amp;"",tbl_Production[Job Number],0)),INDEX(tbl_Production[Current RMS No],MATCH(E78&amp;"",tbl_Production[Job Number],0)))),IFERROR(IF(INDEX(tbl_Consulting[Qwilr Quote],MATCH(E78&amp;"",tbl_Consulting[Job Number],0))="","",INDEX(tbl_Consulting[Qwilr Quote],MATCH(E78&amp;"",tbl_Consulting[Job Number],0))),""))))</f>
        <v/>
      </c>
      <c r="AD78" s="25">
        <f>IF(AC78="","",IF(AND(LEFT(AC78,4)&lt;&gt;"http",IF(H78="Production",set_RMSBase,set_QwilrBase)=""),"",HYPERLINK(IF(LEFT(AC78,4)="http",AC78,IF(H78="Production",set_RMSBase,set_QwilrBase)&amp;AC78),"Open")))</f>
        <v/>
      </c>
      <c r="AE78" s="27">
        <f>IF(E78="","",IFERROR(INDEX(tbl_Production[Total Expense],MATCH(E78&amp;"",tbl_Production[Job Number],0)),IFERROR(INDEX(tbl_Consulting[Total Expense],MATCH(E78&amp;"",tbl_Consulting[Job Number],0)),0)))</f>
        <v/>
      </c>
      <c r="AF78" s="27">
        <f>IF(E78="","",Z78-N(AE78))</f>
        <v/>
      </c>
      <c r="AG78" s="29">
        <f>IFERROR(AF78/Z78,"")</f>
        <v/>
      </c>
      <c r="AH78" s="25">
        <f>IF(E78="","",IFERROR(IF(INDEX(tbl_Onsite[Notes],MATCH(E78&amp;"",tbl_Onsite[Job Number],0))="","",INDEX(tbl_Onsite[Notes],MATCH(E78&amp;"",tbl_Onsite[Job Number],0))),IFERROR(IF(INDEX(tbl_Production[Notes],MATCH(E78&amp;"",tbl_Production[Job Number],0))="","",INDEX(tbl_Production[Notes],MATCH(E78&amp;"",tbl_Production[Job Number],0))),IFERROR(IF(INDEX(tbl_Consulting[Notes],MATCH(E78&amp;"",tbl_Consulting[Job Number],0))="","",INDEX(tbl_Consulting[Notes],MATCH(E78&amp;"",tbl_Consulting[Job Number],0))),""))))</f>
        <v/>
      </c>
    </row>
    <row r="79" ht="15" customHeight="1">
      <c r="A79" s="22" t="n"/>
      <c r="B79" s="23">
        <f>IF(A79="","",EOMONTH(A79,0))</f>
        <v/>
      </c>
      <c r="C79" s="24" t="n"/>
      <c r="D79" s="24" t="n"/>
      <c r="E79" s="24" t="n"/>
      <c r="F79" s="25">
        <f>IF(E79="","",IF(COUNTIF(lst_Jobs,E79&amp;"")&gt;0,"OK","CHECK"))</f>
        <v/>
      </c>
      <c r="G79" s="24" t="n"/>
      <c r="H79" s="24" t="n"/>
      <c r="I79" s="24" t="n"/>
      <c r="J79" s="24" t="n"/>
      <c r="K79" s="24" t="n"/>
      <c r="L79" s="26" t="n"/>
      <c r="M79" s="27">
        <f>IF(L79="","",IF(K79="GST 10%",ROUND(L79*set_GSTRate,2),0))</f>
        <v/>
      </c>
      <c r="N79" s="27">
        <f>IF(L79="","",L79+M79)</f>
        <v/>
      </c>
      <c r="O79" s="24" t="n"/>
      <c r="P79" s="24" t="n"/>
      <c r="Q79" s="24" t="n"/>
      <c r="R79" s="22" t="n"/>
      <c r="S79" s="22" t="n"/>
      <c r="T79" s="24" t="n"/>
      <c r="U79" s="24" t="n"/>
      <c r="V79" s="25">
        <f>IF(COUNTA(A79,D79,C79,L79)=0,"",IF(A79="","No date - sits outside every month",IF(E79="","No job number",IF(F79="CHECK","Job number is not in the Xero job list",IF(I79="","No cost centre",IF(AND(P79="Y",C79=""),"Marked posted to Xero but has no invoice number",IF(AND(L79&lt;&gt;"",K79=""),"No tax code",IF(AND(L79&lt;&gt;"",O79=""),"No revenue GL code",""))))))))</f>
        <v/>
      </c>
      <c r="W79" s="25">
        <f>IF(E79="","",IF(COUNTIF(tbl_Onsite[Job Number],E79&amp;"")&gt;0,"Onsite",IF(COUNTIF(tbl_Production[Job Number],E79&amp;"")&gt;0,"Production",IF(COUNTIF(tbl_Consulting[Job Number],E79&amp;"")&gt;0,"Consulting","not set up yet"))))</f>
        <v/>
      </c>
      <c r="X79" s="25">
        <f>IF(E79="","",IFERROR(INDEX(lst_JobName,MATCH(E79&amp;"",lst_Jobs,0)),""))</f>
        <v/>
      </c>
      <c r="Y79" s="28">
        <f>IF(E79="","",COUNTIFS(tbl_Finance[Job Number],E79&amp;"",tbl_Finance[Ex GST],"&lt;&gt;"))</f>
        <v/>
      </c>
      <c r="Z79" s="27">
        <f>IF(E79="","",SUMIFS(tbl_Finance[Ex GST],tbl_Finance[Job Number],E79&amp;""))</f>
        <v/>
      </c>
      <c r="AA79" s="27">
        <f>IF(E79="","",SUMIFS(tbl_Finance[Ex GST],tbl_Finance[Job Number],E79&amp;"",tbl_Finance[Xero Invoice No],"&lt;&gt;"))</f>
        <v/>
      </c>
      <c r="AB79" s="27">
        <f>IF(E79="","",Z79-AA79)</f>
        <v/>
      </c>
      <c r="AC79" s="25">
        <f>IF(E79="","",IFERROR(IF(INDEX(tbl_Onsite[Qwilr Quote],MATCH(E79&amp;"",tbl_Onsite[Job Number],0))="","",INDEX(tbl_Onsite[Qwilr Quote],MATCH(E79&amp;"",tbl_Onsite[Job Number],0))),IFERROR(IF(IF(INDEX(tbl_Production[Current RMS No],MATCH(E79&amp;"",tbl_Production[Job Number],0))="",INDEX(tbl_Production[Qwilr Quote],MATCH(E79&amp;"",tbl_Production[Job Number],0)),INDEX(tbl_Production[Current RMS No],MATCH(E79&amp;"",tbl_Production[Job Number],0)))="","",IF(INDEX(tbl_Production[Current RMS No],MATCH(E79&amp;"",tbl_Production[Job Number],0))="",INDEX(tbl_Production[Qwilr Quote],MATCH(E79&amp;"",tbl_Production[Job Number],0)),INDEX(tbl_Production[Current RMS No],MATCH(E79&amp;"",tbl_Production[Job Number],0)))),IFERROR(IF(INDEX(tbl_Consulting[Qwilr Quote],MATCH(E79&amp;"",tbl_Consulting[Job Number],0))="","",INDEX(tbl_Consulting[Qwilr Quote],MATCH(E79&amp;"",tbl_Consulting[Job Number],0))),""))))</f>
        <v/>
      </c>
      <c r="AD79" s="25">
        <f>IF(AC79="","",IF(AND(LEFT(AC79,4)&lt;&gt;"http",IF(H79="Production",set_RMSBase,set_QwilrBase)=""),"",HYPERLINK(IF(LEFT(AC79,4)="http",AC79,IF(H79="Production",set_RMSBase,set_QwilrBase)&amp;AC79),"Open")))</f>
        <v/>
      </c>
      <c r="AE79" s="27">
        <f>IF(E79="","",IFERROR(INDEX(tbl_Production[Total Expense],MATCH(E79&amp;"",tbl_Production[Job Number],0)),IFERROR(INDEX(tbl_Consulting[Total Expense],MATCH(E79&amp;"",tbl_Consulting[Job Number],0)),0)))</f>
        <v/>
      </c>
      <c r="AF79" s="27">
        <f>IF(E79="","",Z79-N(AE79))</f>
        <v/>
      </c>
      <c r="AG79" s="29">
        <f>IFERROR(AF79/Z79,"")</f>
        <v/>
      </c>
      <c r="AH79" s="25">
        <f>IF(E79="","",IFERROR(IF(INDEX(tbl_Onsite[Notes],MATCH(E79&amp;"",tbl_Onsite[Job Number],0))="","",INDEX(tbl_Onsite[Notes],MATCH(E79&amp;"",tbl_Onsite[Job Number],0))),IFERROR(IF(INDEX(tbl_Production[Notes],MATCH(E79&amp;"",tbl_Production[Job Number],0))="","",INDEX(tbl_Production[Notes],MATCH(E79&amp;"",tbl_Production[Job Number],0))),IFERROR(IF(INDEX(tbl_Consulting[Notes],MATCH(E79&amp;"",tbl_Consulting[Job Number],0))="","",INDEX(tbl_Consulting[Notes],MATCH(E79&amp;"",tbl_Consulting[Job Number],0))),""))))</f>
        <v/>
      </c>
    </row>
    <row r="80" ht="15" customHeight="1">
      <c r="A80" s="22" t="n"/>
      <c r="B80" s="23">
        <f>IF(A80="","",EOMONTH(A80,0))</f>
        <v/>
      </c>
      <c r="C80" s="24" t="n"/>
      <c r="D80" s="24" t="n"/>
      <c r="E80" s="24" t="n"/>
      <c r="F80" s="25">
        <f>IF(E80="","",IF(COUNTIF(lst_Jobs,E80&amp;"")&gt;0,"OK","CHECK"))</f>
        <v/>
      </c>
      <c r="G80" s="24" t="n"/>
      <c r="H80" s="24" t="n"/>
      <c r="I80" s="24" t="n"/>
      <c r="J80" s="24" t="n"/>
      <c r="K80" s="24" t="n"/>
      <c r="L80" s="26" t="n"/>
      <c r="M80" s="27">
        <f>IF(L80="","",IF(K80="GST 10%",ROUND(L80*set_GSTRate,2),0))</f>
        <v/>
      </c>
      <c r="N80" s="27">
        <f>IF(L80="","",L80+M80)</f>
        <v/>
      </c>
      <c r="O80" s="24" t="n"/>
      <c r="P80" s="24" t="n"/>
      <c r="Q80" s="24" t="n"/>
      <c r="R80" s="22" t="n"/>
      <c r="S80" s="22" t="n"/>
      <c r="T80" s="24" t="n"/>
      <c r="U80" s="24" t="n"/>
      <c r="V80" s="25">
        <f>IF(COUNTA(A80,D80,C80,L80)=0,"",IF(A80="","No date - sits outside every month",IF(E80="","No job number",IF(F80="CHECK","Job number is not in the Xero job list",IF(I80="","No cost centre",IF(AND(P80="Y",C80=""),"Marked posted to Xero but has no invoice number",IF(AND(L80&lt;&gt;"",K80=""),"No tax code",IF(AND(L80&lt;&gt;"",O80=""),"No revenue GL code",""))))))))</f>
        <v/>
      </c>
      <c r="W80" s="25">
        <f>IF(E80="","",IF(COUNTIF(tbl_Onsite[Job Number],E80&amp;"")&gt;0,"Onsite",IF(COUNTIF(tbl_Production[Job Number],E80&amp;"")&gt;0,"Production",IF(COUNTIF(tbl_Consulting[Job Number],E80&amp;"")&gt;0,"Consulting","not set up yet"))))</f>
        <v/>
      </c>
      <c r="X80" s="25">
        <f>IF(E80="","",IFERROR(INDEX(lst_JobName,MATCH(E80&amp;"",lst_Jobs,0)),""))</f>
        <v/>
      </c>
      <c r="Y80" s="28">
        <f>IF(E80="","",COUNTIFS(tbl_Finance[Job Number],E80&amp;"",tbl_Finance[Ex GST],"&lt;&gt;"))</f>
        <v/>
      </c>
      <c r="Z80" s="27">
        <f>IF(E80="","",SUMIFS(tbl_Finance[Ex GST],tbl_Finance[Job Number],E80&amp;""))</f>
        <v/>
      </c>
      <c r="AA80" s="27">
        <f>IF(E80="","",SUMIFS(tbl_Finance[Ex GST],tbl_Finance[Job Number],E80&amp;"",tbl_Finance[Xero Invoice No],"&lt;&gt;"))</f>
        <v/>
      </c>
      <c r="AB80" s="27">
        <f>IF(E80="","",Z80-AA80)</f>
        <v/>
      </c>
      <c r="AC80" s="25">
        <f>IF(E80="","",IFERROR(IF(INDEX(tbl_Onsite[Qwilr Quote],MATCH(E80&amp;"",tbl_Onsite[Job Number],0))="","",INDEX(tbl_Onsite[Qwilr Quote],MATCH(E80&amp;"",tbl_Onsite[Job Number],0))),IFERROR(IF(IF(INDEX(tbl_Production[Current RMS No],MATCH(E80&amp;"",tbl_Production[Job Number],0))="",INDEX(tbl_Production[Qwilr Quote],MATCH(E80&amp;"",tbl_Production[Job Number],0)),INDEX(tbl_Production[Current RMS No],MATCH(E80&amp;"",tbl_Production[Job Number],0)))="","",IF(INDEX(tbl_Production[Current RMS No],MATCH(E80&amp;"",tbl_Production[Job Number],0))="",INDEX(tbl_Production[Qwilr Quote],MATCH(E80&amp;"",tbl_Production[Job Number],0)),INDEX(tbl_Production[Current RMS No],MATCH(E80&amp;"",tbl_Production[Job Number],0)))),IFERROR(IF(INDEX(tbl_Consulting[Qwilr Quote],MATCH(E80&amp;"",tbl_Consulting[Job Number],0))="","",INDEX(tbl_Consulting[Qwilr Quote],MATCH(E80&amp;"",tbl_Consulting[Job Number],0))),""))))</f>
        <v/>
      </c>
      <c r="AD80" s="25">
        <f>IF(AC80="","",IF(AND(LEFT(AC80,4)&lt;&gt;"http",IF(H80="Production",set_RMSBase,set_QwilrBase)=""),"",HYPERLINK(IF(LEFT(AC80,4)="http",AC80,IF(H80="Production",set_RMSBase,set_QwilrBase)&amp;AC80),"Open")))</f>
        <v/>
      </c>
      <c r="AE80" s="27">
        <f>IF(E80="","",IFERROR(INDEX(tbl_Production[Total Expense],MATCH(E80&amp;"",tbl_Production[Job Number],0)),IFERROR(INDEX(tbl_Consulting[Total Expense],MATCH(E80&amp;"",tbl_Consulting[Job Number],0)),0)))</f>
        <v/>
      </c>
      <c r="AF80" s="27">
        <f>IF(E80="","",Z80-N(AE80))</f>
        <v/>
      </c>
      <c r="AG80" s="29">
        <f>IFERROR(AF80/Z80,"")</f>
        <v/>
      </c>
      <c r="AH80" s="25">
        <f>IF(E80="","",IFERROR(IF(INDEX(tbl_Onsite[Notes],MATCH(E80&amp;"",tbl_Onsite[Job Number],0))="","",INDEX(tbl_Onsite[Notes],MATCH(E80&amp;"",tbl_Onsite[Job Number],0))),IFERROR(IF(INDEX(tbl_Production[Notes],MATCH(E80&amp;"",tbl_Production[Job Number],0))="","",INDEX(tbl_Production[Notes],MATCH(E80&amp;"",tbl_Production[Job Number],0))),IFERROR(IF(INDEX(tbl_Consulting[Notes],MATCH(E80&amp;"",tbl_Consulting[Job Number],0))="","",INDEX(tbl_Consulting[Notes],MATCH(E80&amp;"",tbl_Consulting[Job Number],0))),""))))</f>
        <v/>
      </c>
    </row>
    <row r="81" ht="15" customHeight="1">
      <c r="A81" s="22" t="n"/>
      <c r="B81" s="23">
        <f>IF(A81="","",EOMONTH(A81,0))</f>
        <v/>
      </c>
      <c r="C81" s="24" t="n"/>
      <c r="D81" s="24" t="n"/>
      <c r="E81" s="24" t="n"/>
      <c r="F81" s="25">
        <f>IF(E81="","",IF(COUNTIF(lst_Jobs,E81&amp;"")&gt;0,"OK","CHECK"))</f>
        <v/>
      </c>
      <c r="G81" s="24" t="n"/>
      <c r="H81" s="24" t="n"/>
      <c r="I81" s="24" t="n"/>
      <c r="J81" s="24" t="n"/>
      <c r="K81" s="24" t="n"/>
      <c r="L81" s="26" t="n"/>
      <c r="M81" s="27">
        <f>IF(L81="","",IF(K81="GST 10%",ROUND(L81*set_GSTRate,2),0))</f>
        <v/>
      </c>
      <c r="N81" s="27">
        <f>IF(L81="","",L81+M81)</f>
        <v/>
      </c>
      <c r="O81" s="24" t="n"/>
      <c r="P81" s="24" t="n"/>
      <c r="Q81" s="24" t="n"/>
      <c r="R81" s="22" t="n"/>
      <c r="S81" s="22" t="n"/>
      <c r="T81" s="24" t="n"/>
      <c r="U81" s="24" t="n"/>
      <c r="V81" s="25">
        <f>IF(COUNTA(A81,D81,C81,L81)=0,"",IF(A81="","No date - sits outside every month",IF(E81="","No job number",IF(F81="CHECK","Job number is not in the Xero job list",IF(I81="","No cost centre",IF(AND(P81="Y",C81=""),"Marked posted to Xero but has no invoice number",IF(AND(L81&lt;&gt;"",K81=""),"No tax code",IF(AND(L81&lt;&gt;"",O81=""),"No revenue GL code",""))))))))</f>
        <v/>
      </c>
      <c r="W81" s="25">
        <f>IF(E81="","",IF(COUNTIF(tbl_Onsite[Job Number],E81&amp;"")&gt;0,"Onsite",IF(COUNTIF(tbl_Production[Job Number],E81&amp;"")&gt;0,"Production",IF(COUNTIF(tbl_Consulting[Job Number],E81&amp;"")&gt;0,"Consulting","not set up yet"))))</f>
        <v/>
      </c>
      <c r="X81" s="25">
        <f>IF(E81="","",IFERROR(INDEX(lst_JobName,MATCH(E81&amp;"",lst_Jobs,0)),""))</f>
        <v/>
      </c>
      <c r="Y81" s="28">
        <f>IF(E81="","",COUNTIFS(tbl_Finance[Job Number],E81&amp;"",tbl_Finance[Ex GST],"&lt;&gt;"))</f>
        <v/>
      </c>
      <c r="Z81" s="27">
        <f>IF(E81="","",SUMIFS(tbl_Finance[Ex GST],tbl_Finance[Job Number],E81&amp;""))</f>
        <v/>
      </c>
      <c r="AA81" s="27">
        <f>IF(E81="","",SUMIFS(tbl_Finance[Ex GST],tbl_Finance[Job Number],E81&amp;"",tbl_Finance[Xero Invoice No],"&lt;&gt;"))</f>
        <v/>
      </c>
      <c r="AB81" s="27">
        <f>IF(E81="","",Z81-AA81)</f>
        <v/>
      </c>
      <c r="AC81" s="25">
        <f>IF(E81="","",IFERROR(IF(INDEX(tbl_Onsite[Qwilr Quote],MATCH(E81&amp;"",tbl_Onsite[Job Number],0))="","",INDEX(tbl_Onsite[Qwilr Quote],MATCH(E81&amp;"",tbl_Onsite[Job Number],0))),IFERROR(IF(IF(INDEX(tbl_Production[Current RMS No],MATCH(E81&amp;"",tbl_Production[Job Number],0))="",INDEX(tbl_Production[Qwilr Quote],MATCH(E81&amp;"",tbl_Production[Job Number],0)),INDEX(tbl_Production[Current RMS No],MATCH(E81&amp;"",tbl_Production[Job Number],0)))="","",IF(INDEX(tbl_Production[Current RMS No],MATCH(E81&amp;"",tbl_Production[Job Number],0))="",INDEX(tbl_Production[Qwilr Quote],MATCH(E81&amp;"",tbl_Production[Job Number],0)),INDEX(tbl_Production[Current RMS No],MATCH(E81&amp;"",tbl_Production[Job Number],0)))),IFERROR(IF(INDEX(tbl_Consulting[Qwilr Quote],MATCH(E81&amp;"",tbl_Consulting[Job Number],0))="","",INDEX(tbl_Consulting[Qwilr Quote],MATCH(E81&amp;"",tbl_Consulting[Job Number],0))),""))))</f>
        <v/>
      </c>
      <c r="AD81" s="25">
        <f>IF(AC81="","",IF(AND(LEFT(AC81,4)&lt;&gt;"http",IF(H81="Production",set_RMSBase,set_QwilrBase)=""),"",HYPERLINK(IF(LEFT(AC81,4)="http",AC81,IF(H81="Production",set_RMSBase,set_QwilrBase)&amp;AC81),"Open")))</f>
        <v/>
      </c>
      <c r="AE81" s="27">
        <f>IF(E81="","",IFERROR(INDEX(tbl_Production[Total Expense],MATCH(E81&amp;"",tbl_Production[Job Number],0)),IFERROR(INDEX(tbl_Consulting[Total Expense],MATCH(E81&amp;"",tbl_Consulting[Job Number],0)),0)))</f>
        <v/>
      </c>
      <c r="AF81" s="27">
        <f>IF(E81="","",Z81-N(AE81))</f>
        <v/>
      </c>
      <c r="AG81" s="29">
        <f>IFERROR(AF81/Z81,"")</f>
        <v/>
      </c>
      <c r="AH81" s="25">
        <f>IF(E81="","",IFERROR(IF(INDEX(tbl_Onsite[Notes],MATCH(E81&amp;"",tbl_Onsite[Job Number],0))="","",INDEX(tbl_Onsite[Notes],MATCH(E81&amp;"",tbl_Onsite[Job Number],0))),IFERROR(IF(INDEX(tbl_Production[Notes],MATCH(E81&amp;"",tbl_Production[Job Number],0))="","",INDEX(tbl_Production[Notes],MATCH(E81&amp;"",tbl_Production[Job Number],0))),IFERROR(IF(INDEX(tbl_Consulting[Notes],MATCH(E81&amp;"",tbl_Consulting[Job Number],0))="","",INDEX(tbl_Consulting[Notes],MATCH(E81&amp;"",tbl_Consulting[Job Number],0))),""))))</f>
        <v/>
      </c>
    </row>
    <row r="82" ht="15" customHeight="1">
      <c r="A82" s="22" t="n"/>
      <c r="B82" s="23">
        <f>IF(A82="","",EOMONTH(A82,0))</f>
        <v/>
      </c>
      <c r="C82" s="24" t="n"/>
      <c r="D82" s="24" t="n"/>
      <c r="E82" s="24" t="n"/>
      <c r="F82" s="25">
        <f>IF(E82="","",IF(COUNTIF(lst_Jobs,E82&amp;"")&gt;0,"OK","CHECK"))</f>
        <v/>
      </c>
      <c r="G82" s="24" t="n"/>
      <c r="H82" s="24" t="n"/>
      <c r="I82" s="24" t="n"/>
      <c r="J82" s="24" t="n"/>
      <c r="K82" s="24" t="n"/>
      <c r="L82" s="26" t="n"/>
      <c r="M82" s="27">
        <f>IF(L82="","",IF(K82="GST 10%",ROUND(L82*set_GSTRate,2),0))</f>
        <v/>
      </c>
      <c r="N82" s="27">
        <f>IF(L82="","",L82+M82)</f>
        <v/>
      </c>
      <c r="O82" s="24" t="n"/>
      <c r="P82" s="24" t="n"/>
      <c r="Q82" s="24" t="n"/>
      <c r="R82" s="22" t="n"/>
      <c r="S82" s="22" t="n"/>
      <c r="T82" s="24" t="n"/>
      <c r="U82" s="24" t="n"/>
      <c r="V82" s="25">
        <f>IF(COUNTA(A82,D82,C82,L82)=0,"",IF(A82="","No date - sits outside every month",IF(E82="","No job number",IF(F82="CHECK","Job number is not in the Xero job list",IF(I82="","No cost centre",IF(AND(P82="Y",C82=""),"Marked posted to Xero but has no invoice number",IF(AND(L82&lt;&gt;"",K82=""),"No tax code",IF(AND(L82&lt;&gt;"",O82=""),"No revenue GL code",""))))))))</f>
        <v/>
      </c>
      <c r="W82" s="25">
        <f>IF(E82="","",IF(COUNTIF(tbl_Onsite[Job Number],E82&amp;"")&gt;0,"Onsite",IF(COUNTIF(tbl_Production[Job Number],E82&amp;"")&gt;0,"Production",IF(COUNTIF(tbl_Consulting[Job Number],E82&amp;"")&gt;0,"Consulting","not set up yet"))))</f>
        <v/>
      </c>
      <c r="X82" s="25">
        <f>IF(E82="","",IFERROR(INDEX(lst_JobName,MATCH(E82&amp;"",lst_Jobs,0)),""))</f>
        <v/>
      </c>
      <c r="Y82" s="28">
        <f>IF(E82="","",COUNTIFS(tbl_Finance[Job Number],E82&amp;"",tbl_Finance[Ex GST],"&lt;&gt;"))</f>
        <v/>
      </c>
      <c r="Z82" s="27">
        <f>IF(E82="","",SUMIFS(tbl_Finance[Ex GST],tbl_Finance[Job Number],E82&amp;""))</f>
        <v/>
      </c>
      <c r="AA82" s="27">
        <f>IF(E82="","",SUMIFS(tbl_Finance[Ex GST],tbl_Finance[Job Number],E82&amp;"",tbl_Finance[Xero Invoice No],"&lt;&gt;"))</f>
        <v/>
      </c>
      <c r="AB82" s="27">
        <f>IF(E82="","",Z82-AA82)</f>
        <v/>
      </c>
      <c r="AC82" s="25">
        <f>IF(E82="","",IFERROR(IF(INDEX(tbl_Onsite[Qwilr Quote],MATCH(E82&amp;"",tbl_Onsite[Job Number],0))="","",INDEX(tbl_Onsite[Qwilr Quote],MATCH(E82&amp;"",tbl_Onsite[Job Number],0))),IFERROR(IF(IF(INDEX(tbl_Production[Current RMS No],MATCH(E82&amp;"",tbl_Production[Job Number],0))="",INDEX(tbl_Production[Qwilr Quote],MATCH(E82&amp;"",tbl_Production[Job Number],0)),INDEX(tbl_Production[Current RMS No],MATCH(E82&amp;"",tbl_Production[Job Number],0)))="","",IF(INDEX(tbl_Production[Current RMS No],MATCH(E82&amp;"",tbl_Production[Job Number],0))="",INDEX(tbl_Production[Qwilr Quote],MATCH(E82&amp;"",tbl_Production[Job Number],0)),INDEX(tbl_Production[Current RMS No],MATCH(E82&amp;"",tbl_Production[Job Number],0)))),IFERROR(IF(INDEX(tbl_Consulting[Qwilr Quote],MATCH(E82&amp;"",tbl_Consulting[Job Number],0))="","",INDEX(tbl_Consulting[Qwilr Quote],MATCH(E82&amp;"",tbl_Consulting[Job Number],0))),""))))</f>
        <v/>
      </c>
      <c r="AD82" s="25">
        <f>IF(AC82="","",IF(AND(LEFT(AC82,4)&lt;&gt;"http",IF(H82="Production",set_RMSBase,set_QwilrBase)=""),"",HYPERLINK(IF(LEFT(AC82,4)="http",AC82,IF(H82="Production",set_RMSBase,set_QwilrBase)&amp;AC82),"Open")))</f>
        <v/>
      </c>
      <c r="AE82" s="27">
        <f>IF(E82="","",IFERROR(INDEX(tbl_Production[Total Expense],MATCH(E82&amp;"",tbl_Production[Job Number],0)),IFERROR(INDEX(tbl_Consulting[Total Expense],MATCH(E82&amp;"",tbl_Consulting[Job Number],0)),0)))</f>
        <v/>
      </c>
      <c r="AF82" s="27">
        <f>IF(E82="","",Z82-N(AE82))</f>
        <v/>
      </c>
      <c r="AG82" s="29">
        <f>IFERROR(AF82/Z82,"")</f>
        <v/>
      </c>
      <c r="AH82" s="25">
        <f>IF(E82="","",IFERROR(IF(INDEX(tbl_Onsite[Notes],MATCH(E82&amp;"",tbl_Onsite[Job Number],0))="","",INDEX(tbl_Onsite[Notes],MATCH(E82&amp;"",tbl_Onsite[Job Number],0))),IFERROR(IF(INDEX(tbl_Production[Notes],MATCH(E82&amp;"",tbl_Production[Job Number],0))="","",INDEX(tbl_Production[Notes],MATCH(E82&amp;"",tbl_Production[Job Number],0))),IFERROR(IF(INDEX(tbl_Consulting[Notes],MATCH(E82&amp;"",tbl_Consulting[Job Number],0))="","",INDEX(tbl_Consulting[Notes],MATCH(E82&amp;"",tbl_Consulting[Job Number],0))),""))))</f>
        <v/>
      </c>
    </row>
    <row r="83" ht="15" customHeight="1">
      <c r="A83" s="22" t="n"/>
      <c r="B83" s="23">
        <f>IF(A83="","",EOMONTH(A83,0))</f>
        <v/>
      </c>
      <c r="C83" s="24" t="n"/>
      <c r="D83" s="24" t="n"/>
      <c r="E83" s="24" t="n"/>
      <c r="F83" s="25">
        <f>IF(E83="","",IF(COUNTIF(lst_Jobs,E83&amp;"")&gt;0,"OK","CHECK"))</f>
        <v/>
      </c>
      <c r="G83" s="24" t="n"/>
      <c r="H83" s="24" t="n"/>
      <c r="I83" s="24" t="n"/>
      <c r="J83" s="24" t="n"/>
      <c r="K83" s="24" t="n"/>
      <c r="L83" s="26" t="n"/>
      <c r="M83" s="27">
        <f>IF(L83="","",IF(K83="GST 10%",ROUND(L83*set_GSTRate,2),0))</f>
        <v/>
      </c>
      <c r="N83" s="27">
        <f>IF(L83="","",L83+M83)</f>
        <v/>
      </c>
      <c r="O83" s="24" t="n"/>
      <c r="P83" s="24" t="n"/>
      <c r="Q83" s="24" t="n"/>
      <c r="R83" s="22" t="n"/>
      <c r="S83" s="22" t="n"/>
      <c r="T83" s="24" t="n"/>
      <c r="U83" s="24" t="n"/>
      <c r="V83" s="25">
        <f>IF(COUNTA(A83,D83,C83,L83)=0,"",IF(A83="","No date - sits outside every month",IF(E83="","No job number",IF(F83="CHECK","Job number is not in the Xero job list",IF(I83="","No cost centre",IF(AND(P83="Y",C83=""),"Marked posted to Xero but has no invoice number",IF(AND(L83&lt;&gt;"",K83=""),"No tax code",IF(AND(L83&lt;&gt;"",O83=""),"No revenue GL code",""))))))))</f>
        <v/>
      </c>
      <c r="W83" s="25">
        <f>IF(E83="","",IF(COUNTIF(tbl_Onsite[Job Number],E83&amp;"")&gt;0,"Onsite",IF(COUNTIF(tbl_Production[Job Number],E83&amp;"")&gt;0,"Production",IF(COUNTIF(tbl_Consulting[Job Number],E83&amp;"")&gt;0,"Consulting","not set up yet"))))</f>
        <v/>
      </c>
      <c r="X83" s="25">
        <f>IF(E83="","",IFERROR(INDEX(lst_JobName,MATCH(E83&amp;"",lst_Jobs,0)),""))</f>
        <v/>
      </c>
      <c r="Y83" s="28">
        <f>IF(E83="","",COUNTIFS(tbl_Finance[Job Number],E83&amp;"",tbl_Finance[Ex GST],"&lt;&gt;"))</f>
        <v/>
      </c>
      <c r="Z83" s="27">
        <f>IF(E83="","",SUMIFS(tbl_Finance[Ex GST],tbl_Finance[Job Number],E83&amp;""))</f>
        <v/>
      </c>
      <c r="AA83" s="27">
        <f>IF(E83="","",SUMIFS(tbl_Finance[Ex GST],tbl_Finance[Job Number],E83&amp;"",tbl_Finance[Xero Invoice No],"&lt;&gt;"))</f>
        <v/>
      </c>
      <c r="AB83" s="27">
        <f>IF(E83="","",Z83-AA83)</f>
        <v/>
      </c>
      <c r="AC83" s="25">
        <f>IF(E83="","",IFERROR(IF(INDEX(tbl_Onsite[Qwilr Quote],MATCH(E83&amp;"",tbl_Onsite[Job Number],0))="","",INDEX(tbl_Onsite[Qwilr Quote],MATCH(E83&amp;"",tbl_Onsite[Job Number],0))),IFERROR(IF(IF(INDEX(tbl_Production[Current RMS No],MATCH(E83&amp;"",tbl_Production[Job Number],0))="",INDEX(tbl_Production[Qwilr Quote],MATCH(E83&amp;"",tbl_Production[Job Number],0)),INDEX(tbl_Production[Current RMS No],MATCH(E83&amp;"",tbl_Production[Job Number],0)))="","",IF(INDEX(tbl_Production[Current RMS No],MATCH(E83&amp;"",tbl_Production[Job Number],0))="",INDEX(tbl_Production[Qwilr Quote],MATCH(E83&amp;"",tbl_Production[Job Number],0)),INDEX(tbl_Production[Current RMS No],MATCH(E83&amp;"",tbl_Production[Job Number],0)))),IFERROR(IF(INDEX(tbl_Consulting[Qwilr Quote],MATCH(E83&amp;"",tbl_Consulting[Job Number],0))="","",INDEX(tbl_Consulting[Qwilr Quote],MATCH(E83&amp;"",tbl_Consulting[Job Number],0))),""))))</f>
        <v/>
      </c>
      <c r="AD83" s="25">
        <f>IF(AC83="","",IF(AND(LEFT(AC83,4)&lt;&gt;"http",IF(H83="Production",set_RMSBase,set_QwilrBase)=""),"",HYPERLINK(IF(LEFT(AC83,4)="http",AC83,IF(H83="Production",set_RMSBase,set_QwilrBase)&amp;AC83),"Open")))</f>
        <v/>
      </c>
      <c r="AE83" s="27">
        <f>IF(E83="","",IFERROR(INDEX(tbl_Production[Total Expense],MATCH(E83&amp;"",tbl_Production[Job Number],0)),IFERROR(INDEX(tbl_Consulting[Total Expense],MATCH(E83&amp;"",tbl_Consulting[Job Number],0)),0)))</f>
        <v/>
      </c>
      <c r="AF83" s="27">
        <f>IF(E83="","",Z83-N(AE83))</f>
        <v/>
      </c>
      <c r="AG83" s="29">
        <f>IFERROR(AF83/Z83,"")</f>
        <v/>
      </c>
      <c r="AH83" s="25">
        <f>IF(E83="","",IFERROR(IF(INDEX(tbl_Onsite[Notes],MATCH(E83&amp;"",tbl_Onsite[Job Number],0))="","",INDEX(tbl_Onsite[Notes],MATCH(E83&amp;"",tbl_Onsite[Job Number],0))),IFERROR(IF(INDEX(tbl_Production[Notes],MATCH(E83&amp;"",tbl_Production[Job Number],0))="","",INDEX(tbl_Production[Notes],MATCH(E83&amp;"",tbl_Production[Job Number],0))),IFERROR(IF(INDEX(tbl_Consulting[Notes],MATCH(E83&amp;"",tbl_Consulting[Job Number],0))="","",INDEX(tbl_Consulting[Notes],MATCH(E83&amp;"",tbl_Consulting[Job Number],0))),""))))</f>
        <v/>
      </c>
    </row>
    <row r="84" ht="15" customHeight="1">
      <c r="A84" s="22" t="n"/>
      <c r="B84" s="23">
        <f>IF(A84="","",EOMONTH(A84,0))</f>
        <v/>
      </c>
      <c r="C84" s="24" t="n"/>
      <c r="D84" s="24" t="n"/>
      <c r="E84" s="24" t="n"/>
      <c r="F84" s="25">
        <f>IF(E84="","",IF(COUNTIF(lst_Jobs,E84&amp;"")&gt;0,"OK","CHECK"))</f>
        <v/>
      </c>
      <c r="G84" s="24" t="n"/>
      <c r="H84" s="24" t="n"/>
      <c r="I84" s="24" t="n"/>
      <c r="J84" s="24" t="n"/>
      <c r="K84" s="24" t="n"/>
      <c r="L84" s="26" t="n"/>
      <c r="M84" s="27">
        <f>IF(L84="","",IF(K84="GST 10%",ROUND(L84*set_GSTRate,2),0))</f>
        <v/>
      </c>
      <c r="N84" s="27">
        <f>IF(L84="","",L84+M84)</f>
        <v/>
      </c>
      <c r="O84" s="24" t="n"/>
      <c r="P84" s="24" t="n"/>
      <c r="Q84" s="24" t="n"/>
      <c r="R84" s="22" t="n"/>
      <c r="S84" s="22" t="n"/>
      <c r="T84" s="24" t="n"/>
      <c r="U84" s="24" t="n"/>
      <c r="V84" s="25">
        <f>IF(COUNTA(A84,D84,C84,L84)=0,"",IF(A84="","No date - sits outside every month",IF(E84="","No job number",IF(F84="CHECK","Job number is not in the Xero job list",IF(I84="","No cost centre",IF(AND(P84="Y",C84=""),"Marked posted to Xero but has no invoice number",IF(AND(L84&lt;&gt;"",K84=""),"No tax code",IF(AND(L84&lt;&gt;"",O84=""),"No revenue GL code",""))))))))</f>
        <v/>
      </c>
      <c r="W84" s="25">
        <f>IF(E84="","",IF(COUNTIF(tbl_Onsite[Job Number],E84&amp;"")&gt;0,"Onsite",IF(COUNTIF(tbl_Production[Job Number],E84&amp;"")&gt;0,"Production",IF(COUNTIF(tbl_Consulting[Job Number],E84&amp;"")&gt;0,"Consulting","not set up yet"))))</f>
        <v/>
      </c>
      <c r="X84" s="25">
        <f>IF(E84="","",IFERROR(INDEX(lst_JobName,MATCH(E84&amp;"",lst_Jobs,0)),""))</f>
        <v/>
      </c>
      <c r="Y84" s="28">
        <f>IF(E84="","",COUNTIFS(tbl_Finance[Job Number],E84&amp;"",tbl_Finance[Ex GST],"&lt;&gt;"))</f>
        <v/>
      </c>
      <c r="Z84" s="27">
        <f>IF(E84="","",SUMIFS(tbl_Finance[Ex GST],tbl_Finance[Job Number],E84&amp;""))</f>
        <v/>
      </c>
      <c r="AA84" s="27">
        <f>IF(E84="","",SUMIFS(tbl_Finance[Ex GST],tbl_Finance[Job Number],E84&amp;"",tbl_Finance[Xero Invoice No],"&lt;&gt;"))</f>
        <v/>
      </c>
      <c r="AB84" s="27">
        <f>IF(E84="","",Z84-AA84)</f>
        <v/>
      </c>
      <c r="AC84" s="25">
        <f>IF(E84="","",IFERROR(IF(INDEX(tbl_Onsite[Qwilr Quote],MATCH(E84&amp;"",tbl_Onsite[Job Number],0))="","",INDEX(tbl_Onsite[Qwilr Quote],MATCH(E84&amp;"",tbl_Onsite[Job Number],0))),IFERROR(IF(IF(INDEX(tbl_Production[Current RMS No],MATCH(E84&amp;"",tbl_Production[Job Number],0))="",INDEX(tbl_Production[Qwilr Quote],MATCH(E84&amp;"",tbl_Production[Job Number],0)),INDEX(tbl_Production[Current RMS No],MATCH(E84&amp;"",tbl_Production[Job Number],0)))="","",IF(INDEX(tbl_Production[Current RMS No],MATCH(E84&amp;"",tbl_Production[Job Number],0))="",INDEX(tbl_Production[Qwilr Quote],MATCH(E84&amp;"",tbl_Production[Job Number],0)),INDEX(tbl_Production[Current RMS No],MATCH(E84&amp;"",tbl_Production[Job Number],0)))),IFERROR(IF(INDEX(tbl_Consulting[Qwilr Quote],MATCH(E84&amp;"",tbl_Consulting[Job Number],0))="","",INDEX(tbl_Consulting[Qwilr Quote],MATCH(E84&amp;"",tbl_Consulting[Job Number],0))),""))))</f>
        <v/>
      </c>
      <c r="AD84" s="25">
        <f>IF(AC84="","",IF(AND(LEFT(AC84,4)&lt;&gt;"http",IF(H84="Production",set_RMSBase,set_QwilrBase)=""),"",HYPERLINK(IF(LEFT(AC84,4)="http",AC84,IF(H84="Production",set_RMSBase,set_QwilrBase)&amp;AC84),"Open")))</f>
        <v/>
      </c>
      <c r="AE84" s="27">
        <f>IF(E84="","",IFERROR(INDEX(tbl_Production[Total Expense],MATCH(E84&amp;"",tbl_Production[Job Number],0)),IFERROR(INDEX(tbl_Consulting[Total Expense],MATCH(E84&amp;"",tbl_Consulting[Job Number],0)),0)))</f>
        <v/>
      </c>
      <c r="AF84" s="27">
        <f>IF(E84="","",Z84-N(AE84))</f>
        <v/>
      </c>
      <c r="AG84" s="29">
        <f>IFERROR(AF84/Z84,"")</f>
        <v/>
      </c>
      <c r="AH84" s="25">
        <f>IF(E84="","",IFERROR(IF(INDEX(tbl_Onsite[Notes],MATCH(E84&amp;"",tbl_Onsite[Job Number],0))="","",INDEX(tbl_Onsite[Notes],MATCH(E84&amp;"",tbl_Onsite[Job Number],0))),IFERROR(IF(INDEX(tbl_Production[Notes],MATCH(E84&amp;"",tbl_Production[Job Number],0))="","",INDEX(tbl_Production[Notes],MATCH(E84&amp;"",tbl_Production[Job Number],0))),IFERROR(IF(INDEX(tbl_Consulting[Notes],MATCH(E84&amp;"",tbl_Consulting[Job Number],0))="","",INDEX(tbl_Consulting[Notes],MATCH(E84&amp;"",tbl_Consulting[Job Number],0))),""))))</f>
        <v/>
      </c>
    </row>
    <row r="85" ht="15" customHeight="1">
      <c r="A85" s="22" t="n"/>
      <c r="B85" s="23">
        <f>IF(A85="","",EOMONTH(A85,0))</f>
        <v/>
      </c>
      <c r="C85" s="24" t="n"/>
      <c r="D85" s="24" t="n"/>
      <c r="E85" s="24" t="n"/>
      <c r="F85" s="25">
        <f>IF(E85="","",IF(COUNTIF(lst_Jobs,E85&amp;"")&gt;0,"OK","CHECK"))</f>
        <v/>
      </c>
      <c r="G85" s="24" t="n"/>
      <c r="H85" s="24" t="n"/>
      <c r="I85" s="24" t="n"/>
      <c r="J85" s="24" t="n"/>
      <c r="K85" s="24" t="n"/>
      <c r="L85" s="26" t="n"/>
      <c r="M85" s="27">
        <f>IF(L85="","",IF(K85="GST 10%",ROUND(L85*set_GSTRate,2),0))</f>
        <v/>
      </c>
      <c r="N85" s="27">
        <f>IF(L85="","",L85+M85)</f>
        <v/>
      </c>
      <c r="O85" s="24" t="n"/>
      <c r="P85" s="24" t="n"/>
      <c r="Q85" s="24" t="n"/>
      <c r="R85" s="22" t="n"/>
      <c r="S85" s="22" t="n"/>
      <c r="T85" s="24" t="n"/>
      <c r="U85" s="24" t="n"/>
      <c r="V85" s="25">
        <f>IF(COUNTA(A85,D85,C85,L85)=0,"",IF(A85="","No date - sits outside every month",IF(E85="","No job number",IF(F85="CHECK","Job number is not in the Xero job list",IF(I85="","No cost centre",IF(AND(P85="Y",C85=""),"Marked posted to Xero but has no invoice number",IF(AND(L85&lt;&gt;"",K85=""),"No tax code",IF(AND(L85&lt;&gt;"",O85=""),"No revenue GL code",""))))))))</f>
        <v/>
      </c>
      <c r="W85" s="25">
        <f>IF(E85="","",IF(COUNTIF(tbl_Onsite[Job Number],E85&amp;"")&gt;0,"Onsite",IF(COUNTIF(tbl_Production[Job Number],E85&amp;"")&gt;0,"Production",IF(COUNTIF(tbl_Consulting[Job Number],E85&amp;"")&gt;0,"Consulting","not set up yet"))))</f>
        <v/>
      </c>
      <c r="X85" s="25">
        <f>IF(E85="","",IFERROR(INDEX(lst_JobName,MATCH(E85&amp;"",lst_Jobs,0)),""))</f>
        <v/>
      </c>
      <c r="Y85" s="28">
        <f>IF(E85="","",COUNTIFS(tbl_Finance[Job Number],E85&amp;"",tbl_Finance[Ex GST],"&lt;&gt;"))</f>
        <v/>
      </c>
      <c r="Z85" s="27">
        <f>IF(E85="","",SUMIFS(tbl_Finance[Ex GST],tbl_Finance[Job Number],E85&amp;""))</f>
        <v/>
      </c>
      <c r="AA85" s="27">
        <f>IF(E85="","",SUMIFS(tbl_Finance[Ex GST],tbl_Finance[Job Number],E85&amp;"",tbl_Finance[Xero Invoice No],"&lt;&gt;"))</f>
        <v/>
      </c>
      <c r="AB85" s="27">
        <f>IF(E85="","",Z85-AA85)</f>
        <v/>
      </c>
      <c r="AC85" s="25">
        <f>IF(E85="","",IFERROR(IF(INDEX(tbl_Onsite[Qwilr Quote],MATCH(E85&amp;"",tbl_Onsite[Job Number],0))="","",INDEX(tbl_Onsite[Qwilr Quote],MATCH(E85&amp;"",tbl_Onsite[Job Number],0))),IFERROR(IF(IF(INDEX(tbl_Production[Current RMS No],MATCH(E85&amp;"",tbl_Production[Job Number],0))="",INDEX(tbl_Production[Qwilr Quote],MATCH(E85&amp;"",tbl_Production[Job Number],0)),INDEX(tbl_Production[Current RMS No],MATCH(E85&amp;"",tbl_Production[Job Number],0)))="","",IF(INDEX(tbl_Production[Current RMS No],MATCH(E85&amp;"",tbl_Production[Job Number],0))="",INDEX(tbl_Production[Qwilr Quote],MATCH(E85&amp;"",tbl_Production[Job Number],0)),INDEX(tbl_Production[Current RMS No],MATCH(E85&amp;"",tbl_Production[Job Number],0)))),IFERROR(IF(INDEX(tbl_Consulting[Qwilr Quote],MATCH(E85&amp;"",tbl_Consulting[Job Number],0))="","",INDEX(tbl_Consulting[Qwilr Quote],MATCH(E85&amp;"",tbl_Consulting[Job Number],0))),""))))</f>
        <v/>
      </c>
      <c r="AD85" s="25">
        <f>IF(AC85="","",IF(AND(LEFT(AC85,4)&lt;&gt;"http",IF(H85="Production",set_RMSBase,set_QwilrBase)=""),"",HYPERLINK(IF(LEFT(AC85,4)="http",AC85,IF(H85="Production",set_RMSBase,set_QwilrBase)&amp;AC85),"Open")))</f>
        <v/>
      </c>
      <c r="AE85" s="27">
        <f>IF(E85="","",IFERROR(INDEX(tbl_Production[Total Expense],MATCH(E85&amp;"",tbl_Production[Job Number],0)),IFERROR(INDEX(tbl_Consulting[Total Expense],MATCH(E85&amp;"",tbl_Consulting[Job Number],0)),0)))</f>
        <v/>
      </c>
      <c r="AF85" s="27">
        <f>IF(E85="","",Z85-N(AE85))</f>
        <v/>
      </c>
      <c r="AG85" s="29">
        <f>IFERROR(AF85/Z85,"")</f>
        <v/>
      </c>
      <c r="AH85" s="25">
        <f>IF(E85="","",IFERROR(IF(INDEX(tbl_Onsite[Notes],MATCH(E85&amp;"",tbl_Onsite[Job Number],0))="","",INDEX(tbl_Onsite[Notes],MATCH(E85&amp;"",tbl_Onsite[Job Number],0))),IFERROR(IF(INDEX(tbl_Production[Notes],MATCH(E85&amp;"",tbl_Production[Job Number],0))="","",INDEX(tbl_Production[Notes],MATCH(E85&amp;"",tbl_Production[Job Number],0))),IFERROR(IF(INDEX(tbl_Consulting[Notes],MATCH(E85&amp;"",tbl_Consulting[Job Number],0))="","",INDEX(tbl_Consulting[Notes],MATCH(E85&amp;"",tbl_Consulting[Job Number],0))),""))))</f>
        <v/>
      </c>
    </row>
    <row r="86" ht="15" customHeight="1">
      <c r="A86" s="22" t="n"/>
      <c r="B86" s="23">
        <f>IF(A86="","",EOMONTH(A86,0))</f>
        <v/>
      </c>
      <c r="C86" s="24" t="n"/>
      <c r="D86" s="24" t="n"/>
      <c r="E86" s="24" t="n"/>
      <c r="F86" s="25">
        <f>IF(E86="","",IF(COUNTIF(lst_Jobs,E86&amp;"")&gt;0,"OK","CHECK"))</f>
        <v/>
      </c>
      <c r="G86" s="24" t="n"/>
      <c r="H86" s="24" t="n"/>
      <c r="I86" s="24" t="n"/>
      <c r="J86" s="24" t="n"/>
      <c r="K86" s="24" t="n"/>
      <c r="L86" s="26" t="n"/>
      <c r="M86" s="27">
        <f>IF(L86="","",IF(K86="GST 10%",ROUND(L86*set_GSTRate,2),0))</f>
        <v/>
      </c>
      <c r="N86" s="27">
        <f>IF(L86="","",L86+M86)</f>
        <v/>
      </c>
      <c r="O86" s="24" t="n"/>
      <c r="P86" s="24" t="n"/>
      <c r="Q86" s="24" t="n"/>
      <c r="R86" s="22" t="n"/>
      <c r="S86" s="22" t="n"/>
      <c r="T86" s="24" t="n"/>
      <c r="U86" s="24" t="n"/>
      <c r="V86" s="25">
        <f>IF(COUNTA(A86,D86,C86,L86)=0,"",IF(A86="","No date - sits outside every month",IF(E86="","No job number",IF(F86="CHECK","Job number is not in the Xero job list",IF(I86="","No cost centre",IF(AND(P86="Y",C86=""),"Marked posted to Xero but has no invoice number",IF(AND(L86&lt;&gt;"",K86=""),"No tax code",IF(AND(L86&lt;&gt;"",O86=""),"No revenue GL code",""))))))))</f>
        <v/>
      </c>
      <c r="W86" s="25">
        <f>IF(E86="","",IF(COUNTIF(tbl_Onsite[Job Number],E86&amp;"")&gt;0,"Onsite",IF(COUNTIF(tbl_Production[Job Number],E86&amp;"")&gt;0,"Production",IF(COUNTIF(tbl_Consulting[Job Number],E86&amp;"")&gt;0,"Consulting","not set up yet"))))</f>
        <v/>
      </c>
      <c r="X86" s="25">
        <f>IF(E86="","",IFERROR(INDEX(lst_JobName,MATCH(E86&amp;"",lst_Jobs,0)),""))</f>
        <v/>
      </c>
      <c r="Y86" s="28">
        <f>IF(E86="","",COUNTIFS(tbl_Finance[Job Number],E86&amp;"",tbl_Finance[Ex GST],"&lt;&gt;"))</f>
        <v/>
      </c>
      <c r="Z86" s="27">
        <f>IF(E86="","",SUMIFS(tbl_Finance[Ex GST],tbl_Finance[Job Number],E86&amp;""))</f>
        <v/>
      </c>
      <c r="AA86" s="27">
        <f>IF(E86="","",SUMIFS(tbl_Finance[Ex GST],tbl_Finance[Job Number],E86&amp;"",tbl_Finance[Xero Invoice No],"&lt;&gt;"))</f>
        <v/>
      </c>
      <c r="AB86" s="27">
        <f>IF(E86="","",Z86-AA86)</f>
        <v/>
      </c>
      <c r="AC86" s="25">
        <f>IF(E86="","",IFERROR(IF(INDEX(tbl_Onsite[Qwilr Quote],MATCH(E86&amp;"",tbl_Onsite[Job Number],0))="","",INDEX(tbl_Onsite[Qwilr Quote],MATCH(E86&amp;"",tbl_Onsite[Job Number],0))),IFERROR(IF(IF(INDEX(tbl_Production[Current RMS No],MATCH(E86&amp;"",tbl_Production[Job Number],0))="",INDEX(tbl_Production[Qwilr Quote],MATCH(E86&amp;"",tbl_Production[Job Number],0)),INDEX(tbl_Production[Current RMS No],MATCH(E86&amp;"",tbl_Production[Job Number],0)))="","",IF(INDEX(tbl_Production[Current RMS No],MATCH(E86&amp;"",tbl_Production[Job Number],0))="",INDEX(tbl_Production[Qwilr Quote],MATCH(E86&amp;"",tbl_Production[Job Number],0)),INDEX(tbl_Production[Current RMS No],MATCH(E86&amp;"",tbl_Production[Job Number],0)))),IFERROR(IF(INDEX(tbl_Consulting[Qwilr Quote],MATCH(E86&amp;"",tbl_Consulting[Job Number],0))="","",INDEX(tbl_Consulting[Qwilr Quote],MATCH(E86&amp;"",tbl_Consulting[Job Number],0))),""))))</f>
        <v/>
      </c>
      <c r="AD86" s="25">
        <f>IF(AC86="","",IF(AND(LEFT(AC86,4)&lt;&gt;"http",IF(H86="Production",set_RMSBase,set_QwilrBase)=""),"",HYPERLINK(IF(LEFT(AC86,4)="http",AC86,IF(H86="Production",set_RMSBase,set_QwilrBase)&amp;AC86),"Open")))</f>
        <v/>
      </c>
      <c r="AE86" s="27">
        <f>IF(E86="","",IFERROR(INDEX(tbl_Production[Total Expense],MATCH(E86&amp;"",tbl_Production[Job Number],0)),IFERROR(INDEX(tbl_Consulting[Total Expense],MATCH(E86&amp;"",tbl_Consulting[Job Number],0)),0)))</f>
        <v/>
      </c>
      <c r="AF86" s="27">
        <f>IF(E86="","",Z86-N(AE86))</f>
        <v/>
      </c>
      <c r="AG86" s="29">
        <f>IFERROR(AF86/Z86,"")</f>
        <v/>
      </c>
      <c r="AH86" s="25">
        <f>IF(E86="","",IFERROR(IF(INDEX(tbl_Onsite[Notes],MATCH(E86&amp;"",tbl_Onsite[Job Number],0))="","",INDEX(tbl_Onsite[Notes],MATCH(E86&amp;"",tbl_Onsite[Job Number],0))),IFERROR(IF(INDEX(tbl_Production[Notes],MATCH(E86&amp;"",tbl_Production[Job Number],0))="","",INDEX(tbl_Production[Notes],MATCH(E86&amp;"",tbl_Production[Job Number],0))),IFERROR(IF(INDEX(tbl_Consulting[Notes],MATCH(E86&amp;"",tbl_Consulting[Job Number],0))="","",INDEX(tbl_Consulting[Notes],MATCH(E86&amp;"",tbl_Consulting[Job Number],0))),""))))</f>
        <v/>
      </c>
    </row>
    <row r="87" ht="15" customHeight="1">
      <c r="A87" s="22" t="n"/>
      <c r="B87" s="23">
        <f>IF(A87="","",EOMONTH(A87,0))</f>
        <v/>
      </c>
      <c r="C87" s="24" t="n"/>
      <c r="D87" s="24" t="n"/>
      <c r="E87" s="24" t="n"/>
      <c r="F87" s="25">
        <f>IF(E87="","",IF(COUNTIF(lst_Jobs,E87&amp;"")&gt;0,"OK","CHECK"))</f>
        <v/>
      </c>
      <c r="G87" s="24" t="n"/>
      <c r="H87" s="24" t="n"/>
      <c r="I87" s="24" t="n"/>
      <c r="J87" s="24" t="n"/>
      <c r="K87" s="24" t="n"/>
      <c r="L87" s="26" t="n"/>
      <c r="M87" s="27">
        <f>IF(L87="","",IF(K87="GST 10%",ROUND(L87*set_GSTRate,2),0))</f>
        <v/>
      </c>
      <c r="N87" s="27">
        <f>IF(L87="","",L87+M87)</f>
        <v/>
      </c>
      <c r="O87" s="24" t="n"/>
      <c r="P87" s="24" t="n"/>
      <c r="Q87" s="24" t="n"/>
      <c r="R87" s="22" t="n"/>
      <c r="S87" s="22" t="n"/>
      <c r="T87" s="24" t="n"/>
      <c r="U87" s="24" t="n"/>
      <c r="V87" s="25">
        <f>IF(COUNTA(A87,D87,C87,L87)=0,"",IF(A87="","No date - sits outside every month",IF(E87="","No job number",IF(F87="CHECK","Job number is not in the Xero job list",IF(I87="","No cost centre",IF(AND(P87="Y",C87=""),"Marked posted to Xero but has no invoice number",IF(AND(L87&lt;&gt;"",K87=""),"No tax code",IF(AND(L87&lt;&gt;"",O87=""),"No revenue GL code",""))))))))</f>
        <v/>
      </c>
      <c r="W87" s="25">
        <f>IF(E87="","",IF(COUNTIF(tbl_Onsite[Job Number],E87&amp;"")&gt;0,"Onsite",IF(COUNTIF(tbl_Production[Job Number],E87&amp;"")&gt;0,"Production",IF(COUNTIF(tbl_Consulting[Job Number],E87&amp;"")&gt;0,"Consulting","not set up yet"))))</f>
        <v/>
      </c>
      <c r="X87" s="25">
        <f>IF(E87="","",IFERROR(INDEX(lst_JobName,MATCH(E87&amp;"",lst_Jobs,0)),""))</f>
        <v/>
      </c>
      <c r="Y87" s="28">
        <f>IF(E87="","",COUNTIFS(tbl_Finance[Job Number],E87&amp;"",tbl_Finance[Ex GST],"&lt;&gt;"))</f>
        <v/>
      </c>
      <c r="Z87" s="27">
        <f>IF(E87="","",SUMIFS(tbl_Finance[Ex GST],tbl_Finance[Job Number],E87&amp;""))</f>
        <v/>
      </c>
      <c r="AA87" s="27">
        <f>IF(E87="","",SUMIFS(tbl_Finance[Ex GST],tbl_Finance[Job Number],E87&amp;"",tbl_Finance[Xero Invoice No],"&lt;&gt;"))</f>
        <v/>
      </c>
      <c r="AB87" s="27">
        <f>IF(E87="","",Z87-AA87)</f>
        <v/>
      </c>
      <c r="AC87" s="25">
        <f>IF(E87="","",IFERROR(IF(INDEX(tbl_Onsite[Qwilr Quote],MATCH(E87&amp;"",tbl_Onsite[Job Number],0))="","",INDEX(tbl_Onsite[Qwilr Quote],MATCH(E87&amp;"",tbl_Onsite[Job Number],0))),IFERROR(IF(IF(INDEX(tbl_Production[Current RMS No],MATCH(E87&amp;"",tbl_Production[Job Number],0))="",INDEX(tbl_Production[Qwilr Quote],MATCH(E87&amp;"",tbl_Production[Job Number],0)),INDEX(tbl_Production[Current RMS No],MATCH(E87&amp;"",tbl_Production[Job Number],0)))="","",IF(INDEX(tbl_Production[Current RMS No],MATCH(E87&amp;"",tbl_Production[Job Number],0))="",INDEX(tbl_Production[Qwilr Quote],MATCH(E87&amp;"",tbl_Production[Job Number],0)),INDEX(tbl_Production[Current RMS No],MATCH(E87&amp;"",tbl_Production[Job Number],0)))),IFERROR(IF(INDEX(tbl_Consulting[Qwilr Quote],MATCH(E87&amp;"",tbl_Consulting[Job Number],0))="","",INDEX(tbl_Consulting[Qwilr Quote],MATCH(E87&amp;"",tbl_Consulting[Job Number],0))),""))))</f>
        <v/>
      </c>
      <c r="AD87" s="25">
        <f>IF(AC87="","",IF(AND(LEFT(AC87,4)&lt;&gt;"http",IF(H87="Production",set_RMSBase,set_QwilrBase)=""),"",HYPERLINK(IF(LEFT(AC87,4)="http",AC87,IF(H87="Production",set_RMSBase,set_QwilrBase)&amp;AC87),"Open")))</f>
        <v/>
      </c>
      <c r="AE87" s="27">
        <f>IF(E87="","",IFERROR(INDEX(tbl_Production[Total Expense],MATCH(E87&amp;"",tbl_Production[Job Number],0)),IFERROR(INDEX(tbl_Consulting[Total Expense],MATCH(E87&amp;"",tbl_Consulting[Job Number],0)),0)))</f>
        <v/>
      </c>
      <c r="AF87" s="27">
        <f>IF(E87="","",Z87-N(AE87))</f>
        <v/>
      </c>
      <c r="AG87" s="29">
        <f>IFERROR(AF87/Z87,"")</f>
        <v/>
      </c>
      <c r="AH87" s="25">
        <f>IF(E87="","",IFERROR(IF(INDEX(tbl_Onsite[Notes],MATCH(E87&amp;"",tbl_Onsite[Job Number],0))="","",INDEX(tbl_Onsite[Notes],MATCH(E87&amp;"",tbl_Onsite[Job Number],0))),IFERROR(IF(INDEX(tbl_Production[Notes],MATCH(E87&amp;"",tbl_Production[Job Number],0))="","",INDEX(tbl_Production[Notes],MATCH(E87&amp;"",tbl_Production[Job Number],0))),IFERROR(IF(INDEX(tbl_Consulting[Notes],MATCH(E87&amp;"",tbl_Consulting[Job Number],0))="","",INDEX(tbl_Consulting[Notes],MATCH(E87&amp;"",tbl_Consulting[Job Number],0))),""))))</f>
        <v/>
      </c>
    </row>
    <row r="88" ht="15" customHeight="1">
      <c r="A88" s="22" t="n"/>
      <c r="B88" s="23">
        <f>IF(A88="","",EOMONTH(A88,0))</f>
        <v/>
      </c>
      <c r="C88" s="24" t="n"/>
      <c r="D88" s="24" t="n"/>
      <c r="E88" s="24" t="n"/>
      <c r="F88" s="25">
        <f>IF(E88="","",IF(COUNTIF(lst_Jobs,E88&amp;"")&gt;0,"OK","CHECK"))</f>
        <v/>
      </c>
      <c r="G88" s="24" t="n"/>
      <c r="H88" s="24" t="n"/>
      <c r="I88" s="24" t="n"/>
      <c r="J88" s="24" t="n"/>
      <c r="K88" s="24" t="n"/>
      <c r="L88" s="26" t="n"/>
      <c r="M88" s="27">
        <f>IF(L88="","",IF(K88="GST 10%",ROUND(L88*set_GSTRate,2),0))</f>
        <v/>
      </c>
      <c r="N88" s="27">
        <f>IF(L88="","",L88+M88)</f>
        <v/>
      </c>
      <c r="O88" s="24" t="n"/>
      <c r="P88" s="24" t="n"/>
      <c r="Q88" s="24" t="n"/>
      <c r="R88" s="22" t="n"/>
      <c r="S88" s="22" t="n"/>
      <c r="T88" s="24" t="n"/>
      <c r="U88" s="24" t="n"/>
      <c r="V88" s="25">
        <f>IF(COUNTA(A88,D88,C88,L88)=0,"",IF(A88="","No date - sits outside every month",IF(E88="","No job number",IF(F88="CHECK","Job number is not in the Xero job list",IF(I88="","No cost centre",IF(AND(P88="Y",C88=""),"Marked posted to Xero but has no invoice number",IF(AND(L88&lt;&gt;"",K88=""),"No tax code",IF(AND(L88&lt;&gt;"",O88=""),"No revenue GL code",""))))))))</f>
        <v/>
      </c>
      <c r="W88" s="25">
        <f>IF(E88="","",IF(COUNTIF(tbl_Onsite[Job Number],E88&amp;"")&gt;0,"Onsite",IF(COUNTIF(tbl_Production[Job Number],E88&amp;"")&gt;0,"Production",IF(COUNTIF(tbl_Consulting[Job Number],E88&amp;"")&gt;0,"Consulting","not set up yet"))))</f>
        <v/>
      </c>
      <c r="X88" s="25">
        <f>IF(E88="","",IFERROR(INDEX(lst_JobName,MATCH(E88&amp;"",lst_Jobs,0)),""))</f>
        <v/>
      </c>
      <c r="Y88" s="28">
        <f>IF(E88="","",COUNTIFS(tbl_Finance[Job Number],E88&amp;"",tbl_Finance[Ex GST],"&lt;&gt;"))</f>
        <v/>
      </c>
      <c r="Z88" s="27">
        <f>IF(E88="","",SUMIFS(tbl_Finance[Ex GST],tbl_Finance[Job Number],E88&amp;""))</f>
        <v/>
      </c>
      <c r="AA88" s="27">
        <f>IF(E88="","",SUMIFS(tbl_Finance[Ex GST],tbl_Finance[Job Number],E88&amp;"",tbl_Finance[Xero Invoice No],"&lt;&gt;"))</f>
        <v/>
      </c>
      <c r="AB88" s="27">
        <f>IF(E88="","",Z88-AA88)</f>
        <v/>
      </c>
      <c r="AC88" s="25">
        <f>IF(E88="","",IFERROR(IF(INDEX(tbl_Onsite[Qwilr Quote],MATCH(E88&amp;"",tbl_Onsite[Job Number],0))="","",INDEX(tbl_Onsite[Qwilr Quote],MATCH(E88&amp;"",tbl_Onsite[Job Number],0))),IFERROR(IF(IF(INDEX(tbl_Production[Current RMS No],MATCH(E88&amp;"",tbl_Production[Job Number],0))="",INDEX(tbl_Production[Qwilr Quote],MATCH(E88&amp;"",tbl_Production[Job Number],0)),INDEX(tbl_Production[Current RMS No],MATCH(E88&amp;"",tbl_Production[Job Number],0)))="","",IF(INDEX(tbl_Production[Current RMS No],MATCH(E88&amp;"",tbl_Production[Job Number],0))="",INDEX(tbl_Production[Qwilr Quote],MATCH(E88&amp;"",tbl_Production[Job Number],0)),INDEX(tbl_Production[Current RMS No],MATCH(E88&amp;"",tbl_Production[Job Number],0)))),IFERROR(IF(INDEX(tbl_Consulting[Qwilr Quote],MATCH(E88&amp;"",tbl_Consulting[Job Number],0))="","",INDEX(tbl_Consulting[Qwilr Quote],MATCH(E88&amp;"",tbl_Consulting[Job Number],0))),""))))</f>
        <v/>
      </c>
      <c r="AD88" s="25">
        <f>IF(AC88="","",IF(AND(LEFT(AC88,4)&lt;&gt;"http",IF(H88="Production",set_RMSBase,set_QwilrBase)=""),"",HYPERLINK(IF(LEFT(AC88,4)="http",AC88,IF(H88="Production",set_RMSBase,set_QwilrBase)&amp;AC88),"Open")))</f>
        <v/>
      </c>
      <c r="AE88" s="27">
        <f>IF(E88="","",IFERROR(INDEX(tbl_Production[Total Expense],MATCH(E88&amp;"",tbl_Production[Job Number],0)),IFERROR(INDEX(tbl_Consulting[Total Expense],MATCH(E88&amp;"",tbl_Consulting[Job Number],0)),0)))</f>
        <v/>
      </c>
      <c r="AF88" s="27">
        <f>IF(E88="","",Z88-N(AE88))</f>
        <v/>
      </c>
      <c r="AG88" s="29">
        <f>IFERROR(AF88/Z88,"")</f>
        <v/>
      </c>
      <c r="AH88" s="25">
        <f>IF(E88="","",IFERROR(IF(INDEX(tbl_Onsite[Notes],MATCH(E88&amp;"",tbl_Onsite[Job Number],0))="","",INDEX(tbl_Onsite[Notes],MATCH(E88&amp;"",tbl_Onsite[Job Number],0))),IFERROR(IF(INDEX(tbl_Production[Notes],MATCH(E88&amp;"",tbl_Production[Job Number],0))="","",INDEX(tbl_Production[Notes],MATCH(E88&amp;"",tbl_Production[Job Number],0))),IFERROR(IF(INDEX(tbl_Consulting[Notes],MATCH(E88&amp;"",tbl_Consulting[Job Number],0))="","",INDEX(tbl_Consulting[Notes],MATCH(E88&amp;"",tbl_Consulting[Job Number],0))),""))))</f>
        <v/>
      </c>
    </row>
    <row r="89" ht="15" customHeight="1">
      <c r="A89" s="22" t="n"/>
      <c r="B89" s="23">
        <f>IF(A89="","",EOMONTH(A89,0))</f>
        <v/>
      </c>
      <c r="C89" s="24" t="n"/>
      <c r="D89" s="24" t="n"/>
      <c r="E89" s="24" t="n"/>
      <c r="F89" s="25">
        <f>IF(E89="","",IF(COUNTIF(lst_Jobs,E89&amp;"")&gt;0,"OK","CHECK"))</f>
        <v/>
      </c>
      <c r="G89" s="24" t="n"/>
      <c r="H89" s="24" t="n"/>
      <c r="I89" s="24" t="n"/>
      <c r="J89" s="24" t="n"/>
      <c r="K89" s="24" t="n"/>
      <c r="L89" s="26" t="n"/>
      <c r="M89" s="27">
        <f>IF(L89="","",IF(K89="GST 10%",ROUND(L89*set_GSTRate,2),0))</f>
        <v/>
      </c>
      <c r="N89" s="27">
        <f>IF(L89="","",L89+M89)</f>
        <v/>
      </c>
      <c r="O89" s="24" t="n"/>
      <c r="P89" s="24" t="n"/>
      <c r="Q89" s="24" t="n"/>
      <c r="R89" s="22" t="n"/>
      <c r="S89" s="22" t="n"/>
      <c r="T89" s="24" t="n"/>
      <c r="U89" s="24" t="n"/>
      <c r="V89" s="25">
        <f>IF(COUNTA(A89,D89,C89,L89)=0,"",IF(A89="","No date - sits outside every month",IF(E89="","No job number",IF(F89="CHECK","Job number is not in the Xero job list",IF(I89="","No cost centre",IF(AND(P89="Y",C89=""),"Marked posted to Xero but has no invoice number",IF(AND(L89&lt;&gt;"",K89=""),"No tax code",IF(AND(L89&lt;&gt;"",O89=""),"No revenue GL code",""))))))))</f>
        <v/>
      </c>
      <c r="W89" s="25">
        <f>IF(E89="","",IF(COUNTIF(tbl_Onsite[Job Number],E89&amp;"")&gt;0,"Onsite",IF(COUNTIF(tbl_Production[Job Number],E89&amp;"")&gt;0,"Production",IF(COUNTIF(tbl_Consulting[Job Number],E89&amp;"")&gt;0,"Consulting","not set up yet"))))</f>
        <v/>
      </c>
      <c r="X89" s="25">
        <f>IF(E89="","",IFERROR(INDEX(lst_JobName,MATCH(E89&amp;"",lst_Jobs,0)),""))</f>
        <v/>
      </c>
      <c r="Y89" s="28">
        <f>IF(E89="","",COUNTIFS(tbl_Finance[Job Number],E89&amp;"",tbl_Finance[Ex GST],"&lt;&gt;"))</f>
        <v/>
      </c>
      <c r="Z89" s="27">
        <f>IF(E89="","",SUMIFS(tbl_Finance[Ex GST],tbl_Finance[Job Number],E89&amp;""))</f>
        <v/>
      </c>
      <c r="AA89" s="27">
        <f>IF(E89="","",SUMIFS(tbl_Finance[Ex GST],tbl_Finance[Job Number],E89&amp;"",tbl_Finance[Xero Invoice No],"&lt;&gt;"))</f>
        <v/>
      </c>
      <c r="AB89" s="27">
        <f>IF(E89="","",Z89-AA89)</f>
        <v/>
      </c>
      <c r="AC89" s="25">
        <f>IF(E89="","",IFERROR(IF(INDEX(tbl_Onsite[Qwilr Quote],MATCH(E89&amp;"",tbl_Onsite[Job Number],0))="","",INDEX(tbl_Onsite[Qwilr Quote],MATCH(E89&amp;"",tbl_Onsite[Job Number],0))),IFERROR(IF(IF(INDEX(tbl_Production[Current RMS No],MATCH(E89&amp;"",tbl_Production[Job Number],0))="",INDEX(tbl_Production[Qwilr Quote],MATCH(E89&amp;"",tbl_Production[Job Number],0)),INDEX(tbl_Production[Current RMS No],MATCH(E89&amp;"",tbl_Production[Job Number],0)))="","",IF(INDEX(tbl_Production[Current RMS No],MATCH(E89&amp;"",tbl_Production[Job Number],0))="",INDEX(tbl_Production[Qwilr Quote],MATCH(E89&amp;"",tbl_Production[Job Number],0)),INDEX(tbl_Production[Current RMS No],MATCH(E89&amp;"",tbl_Production[Job Number],0)))),IFERROR(IF(INDEX(tbl_Consulting[Qwilr Quote],MATCH(E89&amp;"",tbl_Consulting[Job Number],0))="","",INDEX(tbl_Consulting[Qwilr Quote],MATCH(E89&amp;"",tbl_Consulting[Job Number],0))),""))))</f>
        <v/>
      </c>
      <c r="AD89" s="25">
        <f>IF(AC89="","",IF(AND(LEFT(AC89,4)&lt;&gt;"http",IF(H89="Production",set_RMSBase,set_QwilrBase)=""),"",HYPERLINK(IF(LEFT(AC89,4)="http",AC89,IF(H89="Production",set_RMSBase,set_QwilrBase)&amp;AC89),"Open")))</f>
        <v/>
      </c>
      <c r="AE89" s="27">
        <f>IF(E89="","",IFERROR(INDEX(tbl_Production[Total Expense],MATCH(E89&amp;"",tbl_Production[Job Number],0)),IFERROR(INDEX(tbl_Consulting[Total Expense],MATCH(E89&amp;"",tbl_Consulting[Job Number],0)),0)))</f>
        <v/>
      </c>
      <c r="AF89" s="27">
        <f>IF(E89="","",Z89-N(AE89))</f>
        <v/>
      </c>
      <c r="AG89" s="29">
        <f>IFERROR(AF89/Z89,"")</f>
        <v/>
      </c>
      <c r="AH89" s="25">
        <f>IF(E89="","",IFERROR(IF(INDEX(tbl_Onsite[Notes],MATCH(E89&amp;"",tbl_Onsite[Job Number],0))="","",INDEX(tbl_Onsite[Notes],MATCH(E89&amp;"",tbl_Onsite[Job Number],0))),IFERROR(IF(INDEX(tbl_Production[Notes],MATCH(E89&amp;"",tbl_Production[Job Number],0))="","",INDEX(tbl_Production[Notes],MATCH(E89&amp;"",tbl_Production[Job Number],0))),IFERROR(IF(INDEX(tbl_Consulting[Notes],MATCH(E89&amp;"",tbl_Consulting[Job Number],0))="","",INDEX(tbl_Consulting[Notes],MATCH(E89&amp;"",tbl_Consulting[Job Number],0))),""))))</f>
        <v/>
      </c>
    </row>
    <row r="90" ht="15" customHeight="1">
      <c r="A90" s="22" t="n"/>
      <c r="B90" s="23">
        <f>IF(A90="","",EOMONTH(A90,0))</f>
        <v/>
      </c>
      <c r="C90" s="24" t="n"/>
      <c r="D90" s="24" t="n"/>
      <c r="E90" s="24" t="n"/>
      <c r="F90" s="25">
        <f>IF(E90="","",IF(COUNTIF(lst_Jobs,E90&amp;"")&gt;0,"OK","CHECK"))</f>
        <v/>
      </c>
      <c r="G90" s="24" t="n"/>
      <c r="H90" s="24" t="n"/>
      <c r="I90" s="24" t="n"/>
      <c r="J90" s="24" t="n"/>
      <c r="K90" s="24" t="n"/>
      <c r="L90" s="26" t="n"/>
      <c r="M90" s="27">
        <f>IF(L90="","",IF(K90="GST 10%",ROUND(L90*set_GSTRate,2),0))</f>
        <v/>
      </c>
      <c r="N90" s="27">
        <f>IF(L90="","",L90+M90)</f>
        <v/>
      </c>
      <c r="O90" s="24" t="n"/>
      <c r="P90" s="24" t="n"/>
      <c r="Q90" s="24" t="n"/>
      <c r="R90" s="22" t="n"/>
      <c r="S90" s="22" t="n"/>
      <c r="T90" s="24" t="n"/>
      <c r="U90" s="24" t="n"/>
      <c r="V90" s="25">
        <f>IF(COUNTA(A90,D90,C90,L90)=0,"",IF(A90="","No date - sits outside every month",IF(E90="","No job number",IF(F90="CHECK","Job number is not in the Xero job list",IF(I90="","No cost centre",IF(AND(P90="Y",C90=""),"Marked posted to Xero but has no invoice number",IF(AND(L90&lt;&gt;"",K90=""),"No tax code",IF(AND(L90&lt;&gt;"",O90=""),"No revenue GL code",""))))))))</f>
        <v/>
      </c>
      <c r="W90" s="25">
        <f>IF(E90="","",IF(COUNTIF(tbl_Onsite[Job Number],E90&amp;"")&gt;0,"Onsite",IF(COUNTIF(tbl_Production[Job Number],E90&amp;"")&gt;0,"Production",IF(COUNTIF(tbl_Consulting[Job Number],E90&amp;"")&gt;0,"Consulting","not set up yet"))))</f>
        <v/>
      </c>
      <c r="X90" s="25">
        <f>IF(E90="","",IFERROR(INDEX(lst_JobName,MATCH(E90&amp;"",lst_Jobs,0)),""))</f>
        <v/>
      </c>
      <c r="Y90" s="28">
        <f>IF(E90="","",COUNTIFS(tbl_Finance[Job Number],E90&amp;"",tbl_Finance[Ex GST],"&lt;&gt;"))</f>
        <v/>
      </c>
      <c r="Z90" s="27">
        <f>IF(E90="","",SUMIFS(tbl_Finance[Ex GST],tbl_Finance[Job Number],E90&amp;""))</f>
        <v/>
      </c>
      <c r="AA90" s="27">
        <f>IF(E90="","",SUMIFS(tbl_Finance[Ex GST],tbl_Finance[Job Number],E90&amp;"",tbl_Finance[Xero Invoice No],"&lt;&gt;"))</f>
        <v/>
      </c>
      <c r="AB90" s="27">
        <f>IF(E90="","",Z90-AA90)</f>
        <v/>
      </c>
      <c r="AC90" s="25">
        <f>IF(E90="","",IFERROR(IF(INDEX(tbl_Onsite[Qwilr Quote],MATCH(E90&amp;"",tbl_Onsite[Job Number],0))="","",INDEX(tbl_Onsite[Qwilr Quote],MATCH(E90&amp;"",tbl_Onsite[Job Number],0))),IFERROR(IF(IF(INDEX(tbl_Production[Current RMS No],MATCH(E90&amp;"",tbl_Production[Job Number],0))="",INDEX(tbl_Production[Qwilr Quote],MATCH(E90&amp;"",tbl_Production[Job Number],0)),INDEX(tbl_Production[Current RMS No],MATCH(E90&amp;"",tbl_Production[Job Number],0)))="","",IF(INDEX(tbl_Production[Current RMS No],MATCH(E90&amp;"",tbl_Production[Job Number],0))="",INDEX(tbl_Production[Qwilr Quote],MATCH(E90&amp;"",tbl_Production[Job Number],0)),INDEX(tbl_Production[Current RMS No],MATCH(E90&amp;"",tbl_Production[Job Number],0)))),IFERROR(IF(INDEX(tbl_Consulting[Qwilr Quote],MATCH(E90&amp;"",tbl_Consulting[Job Number],0))="","",INDEX(tbl_Consulting[Qwilr Quote],MATCH(E90&amp;"",tbl_Consulting[Job Number],0))),""))))</f>
        <v/>
      </c>
      <c r="AD90" s="25">
        <f>IF(AC90="","",IF(AND(LEFT(AC90,4)&lt;&gt;"http",IF(H90="Production",set_RMSBase,set_QwilrBase)=""),"",HYPERLINK(IF(LEFT(AC90,4)="http",AC90,IF(H90="Production",set_RMSBase,set_QwilrBase)&amp;AC90),"Open")))</f>
        <v/>
      </c>
      <c r="AE90" s="27">
        <f>IF(E90="","",IFERROR(INDEX(tbl_Production[Total Expense],MATCH(E90&amp;"",tbl_Production[Job Number],0)),IFERROR(INDEX(tbl_Consulting[Total Expense],MATCH(E90&amp;"",tbl_Consulting[Job Number],0)),0)))</f>
        <v/>
      </c>
      <c r="AF90" s="27">
        <f>IF(E90="","",Z90-N(AE90))</f>
        <v/>
      </c>
      <c r="AG90" s="29">
        <f>IFERROR(AF90/Z90,"")</f>
        <v/>
      </c>
      <c r="AH90" s="25">
        <f>IF(E90="","",IFERROR(IF(INDEX(tbl_Onsite[Notes],MATCH(E90&amp;"",tbl_Onsite[Job Number],0))="","",INDEX(tbl_Onsite[Notes],MATCH(E90&amp;"",tbl_Onsite[Job Number],0))),IFERROR(IF(INDEX(tbl_Production[Notes],MATCH(E90&amp;"",tbl_Production[Job Number],0))="","",INDEX(tbl_Production[Notes],MATCH(E90&amp;"",tbl_Production[Job Number],0))),IFERROR(IF(INDEX(tbl_Consulting[Notes],MATCH(E90&amp;"",tbl_Consulting[Job Number],0))="","",INDEX(tbl_Consulting[Notes],MATCH(E90&amp;"",tbl_Consulting[Job Number],0))),""))))</f>
        <v/>
      </c>
    </row>
    <row r="91" ht="15" customHeight="1">
      <c r="A91" s="22" t="n"/>
      <c r="B91" s="23">
        <f>IF(A91="","",EOMONTH(A91,0))</f>
        <v/>
      </c>
      <c r="C91" s="24" t="n"/>
      <c r="D91" s="24" t="n"/>
      <c r="E91" s="24" t="n"/>
      <c r="F91" s="25">
        <f>IF(E91="","",IF(COUNTIF(lst_Jobs,E91&amp;"")&gt;0,"OK","CHECK"))</f>
        <v/>
      </c>
      <c r="G91" s="24" t="n"/>
      <c r="H91" s="24" t="n"/>
      <c r="I91" s="24" t="n"/>
      <c r="J91" s="24" t="n"/>
      <c r="K91" s="24" t="n"/>
      <c r="L91" s="26" t="n"/>
      <c r="M91" s="27">
        <f>IF(L91="","",IF(K91="GST 10%",ROUND(L91*set_GSTRate,2),0))</f>
        <v/>
      </c>
      <c r="N91" s="27">
        <f>IF(L91="","",L91+M91)</f>
        <v/>
      </c>
      <c r="O91" s="24" t="n"/>
      <c r="P91" s="24" t="n"/>
      <c r="Q91" s="24" t="n"/>
      <c r="R91" s="22" t="n"/>
      <c r="S91" s="22" t="n"/>
      <c r="T91" s="24" t="n"/>
      <c r="U91" s="24" t="n"/>
      <c r="V91" s="25">
        <f>IF(COUNTA(A91,D91,C91,L91)=0,"",IF(A91="","No date - sits outside every month",IF(E91="","No job number",IF(F91="CHECK","Job number is not in the Xero job list",IF(I91="","No cost centre",IF(AND(P91="Y",C91=""),"Marked posted to Xero but has no invoice number",IF(AND(L91&lt;&gt;"",K91=""),"No tax code",IF(AND(L91&lt;&gt;"",O91=""),"No revenue GL code",""))))))))</f>
        <v/>
      </c>
      <c r="W91" s="25">
        <f>IF(E91="","",IF(COUNTIF(tbl_Onsite[Job Number],E91&amp;"")&gt;0,"Onsite",IF(COUNTIF(tbl_Production[Job Number],E91&amp;"")&gt;0,"Production",IF(COUNTIF(tbl_Consulting[Job Number],E91&amp;"")&gt;0,"Consulting","not set up yet"))))</f>
        <v/>
      </c>
      <c r="X91" s="25">
        <f>IF(E91="","",IFERROR(INDEX(lst_JobName,MATCH(E91&amp;"",lst_Jobs,0)),""))</f>
        <v/>
      </c>
      <c r="Y91" s="28">
        <f>IF(E91="","",COUNTIFS(tbl_Finance[Job Number],E91&amp;"",tbl_Finance[Ex GST],"&lt;&gt;"))</f>
        <v/>
      </c>
      <c r="Z91" s="27">
        <f>IF(E91="","",SUMIFS(tbl_Finance[Ex GST],tbl_Finance[Job Number],E91&amp;""))</f>
        <v/>
      </c>
      <c r="AA91" s="27">
        <f>IF(E91="","",SUMIFS(tbl_Finance[Ex GST],tbl_Finance[Job Number],E91&amp;"",tbl_Finance[Xero Invoice No],"&lt;&gt;"))</f>
        <v/>
      </c>
      <c r="AB91" s="27">
        <f>IF(E91="","",Z91-AA91)</f>
        <v/>
      </c>
      <c r="AC91" s="25">
        <f>IF(E91="","",IFERROR(IF(INDEX(tbl_Onsite[Qwilr Quote],MATCH(E91&amp;"",tbl_Onsite[Job Number],0))="","",INDEX(tbl_Onsite[Qwilr Quote],MATCH(E91&amp;"",tbl_Onsite[Job Number],0))),IFERROR(IF(IF(INDEX(tbl_Production[Current RMS No],MATCH(E91&amp;"",tbl_Production[Job Number],0))="",INDEX(tbl_Production[Qwilr Quote],MATCH(E91&amp;"",tbl_Production[Job Number],0)),INDEX(tbl_Production[Current RMS No],MATCH(E91&amp;"",tbl_Production[Job Number],0)))="","",IF(INDEX(tbl_Production[Current RMS No],MATCH(E91&amp;"",tbl_Production[Job Number],0))="",INDEX(tbl_Production[Qwilr Quote],MATCH(E91&amp;"",tbl_Production[Job Number],0)),INDEX(tbl_Production[Current RMS No],MATCH(E91&amp;"",tbl_Production[Job Number],0)))),IFERROR(IF(INDEX(tbl_Consulting[Qwilr Quote],MATCH(E91&amp;"",tbl_Consulting[Job Number],0))="","",INDEX(tbl_Consulting[Qwilr Quote],MATCH(E91&amp;"",tbl_Consulting[Job Number],0))),""))))</f>
        <v/>
      </c>
      <c r="AD91" s="25">
        <f>IF(AC91="","",IF(AND(LEFT(AC91,4)&lt;&gt;"http",IF(H91="Production",set_RMSBase,set_QwilrBase)=""),"",HYPERLINK(IF(LEFT(AC91,4)="http",AC91,IF(H91="Production",set_RMSBase,set_QwilrBase)&amp;AC91),"Open")))</f>
        <v/>
      </c>
      <c r="AE91" s="27">
        <f>IF(E91="","",IFERROR(INDEX(tbl_Production[Total Expense],MATCH(E91&amp;"",tbl_Production[Job Number],0)),IFERROR(INDEX(tbl_Consulting[Total Expense],MATCH(E91&amp;"",tbl_Consulting[Job Number],0)),0)))</f>
        <v/>
      </c>
      <c r="AF91" s="27">
        <f>IF(E91="","",Z91-N(AE91))</f>
        <v/>
      </c>
      <c r="AG91" s="29">
        <f>IFERROR(AF91/Z91,"")</f>
        <v/>
      </c>
      <c r="AH91" s="25">
        <f>IF(E91="","",IFERROR(IF(INDEX(tbl_Onsite[Notes],MATCH(E91&amp;"",tbl_Onsite[Job Number],0))="","",INDEX(tbl_Onsite[Notes],MATCH(E91&amp;"",tbl_Onsite[Job Number],0))),IFERROR(IF(INDEX(tbl_Production[Notes],MATCH(E91&amp;"",tbl_Production[Job Number],0))="","",INDEX(tbl_Production[Notes],MATCH(E91&amp;"",tbl_Production[Job Number],0))),IFERROR(IF(INDEX(tbl_Consulting[Notes],MATCH(E91&amp;"",tbl_Consulting[Job Number],0))="","",INDEX(tbl_Consulting[Notes],MATCH(E91&amp;"",tbl_Consulting[Job Number],0))),""))))</f>
        <v/>
      </c>
    </row>
    <row r="92" ht="15" customHeight="1">
      <c r="A92" s="22" t="n"/>
      <c r="B92" s="23">
        <f>IF(A92="","",EOMONTH(A92,0))</f>
        <v/>
      </c>
      <c r="C92" s="24" t="n"/>
      <c r="D92" s="24" t="n"/>
      <c r="E92" s="24" t="n"/>
      <c r="F92" s="25">
        <f>IF(E92="","",IF(COUNTIF(lst_Jobs,E92&amp;"")&gt;0,"OK","CHECK"))</f>
        <v/>
      </c>
      <c r="G92" s="24" t="n"/>
      <c r="H92" s="24" t="n"/>
      <c r="I92" s="24" t="n"/>
      <c r="J92" s="24" t="n"/>
      <c r="K92" s="24" t="n"/>
      <c r="L92" s="26" t="n"/>
      <c r="M92" s="27">
        <f>IF(L92="","",IF(K92="GST 10%",ROUND(L92*set_GSTRate,2),0))</f>
        <v/>
      </c>
      <c r="N92" s="27">
        <f>IF(L92="","",L92+M92)</f>
        <v/>
      </c>
      <c r="O92" s="24" t="n"/>
      <c r="P92" s="24" t="n"/>
      <c r="Q92" s="24" t="n"/>
      <c r="R92" s="22" t="n"/>
      <c r="S92" s="22" t="n"/>
      <c r="T92" s="24" t="n"/>
      <c r="U92" s="24" t="n"/>
      <c r="V92" s="25">
        <f>IF(COUNTA(A92,D92,C92,L92)=0,"",IF(A92="","No date - sits outside every month",IF(E92="","No job number",IF(F92="CHECK","Job number is not in the Xero job list",IF(I92="","No cost centre",IF(AND(P92="Y",C92=""),"Marked posted to Xero but has no invoice number",IF(AND(L92&lt;&gt;"",K92=""),"No tax code",IF(AND(L92&lt;&gt;"",O92=""),"No revenue GL code",""))))))))</f>
        <v/>
      </c>
      <c r="W92" s="25">
        <f>IF(E92="","",IF(COUNTIF(tbl_Onsite[Job Number],E92&amp;"")&gt;0,"Onsite",IF(COUNTIF(tbl_Production[Job Number],E92&amp;"")&gt;0,"Production",IF(COUNTIF(tbl_Consulting[Job Number],E92&amp;"")&gt;0,"Consulting","not set up yet"))))</f>
        <v/>
      </c>
      <c r="X92" s="25">
        <f>IF(E92="","",IFERROR(INDEX(lst_JobName,MATCH(E92&amp;"",lst_Jobs,0)),""))</f>
        <v/>
      </c>
      <c r="Y92" s="28">
        <f>IF(E92="","",COUNTIFS(tbl_Finance[Job Number],E92&amp;"",tbl_Finance[Ex GST],"&lt;&gt;"))</f>
        <v/>
      </c>
      <c r="Z92" s="27">
        <f>IF(E92="","",SUMIFS(tbl_Finance[Ex GST],tbl_Finance[Job Number],E92&amp;""))</f>
        <v/>
      </c>
      <c r="AA92" s="27">
        <f>IF(E92="","",SUMIFS(tbl_Finance[Ex GST],tbl_Finance[Job Number],E92&amp;"",tbl_Finance[Xero Invoice No],"&lt;&gt;"))</f>
        <v/>
      </c>
      <c r="AB92" s="27">
        <f>IF(E92="","",Z92-AA92)</f>
        <v/>
      </c>
      <c r="AC92" s="25">
        <f>IF(E92="","",IFERROR(IF(INDEX(tbl_Onsite[Qwilr Quote],MATCH(E92&amp;"",tbl_Onsite[Job Number],0))="","",INDEX(tbl_Onsite[Qwilr Quote],MATCH(E92&amp;"",tbl_Onsite[Job Number],0))),IFERROR(IF(IF(INDEX(tbl_Production[Current RMS No],MATCH(E92&amp;"",tbl_Production[Job Number],0))="",INDEX(tbl_Production[Qwilr Quote],MATCH(E92&amp;"",tbl_Production[Job Number],0)),INDEX(tbl_Production[Current RMS No],MATCH(E92&amp;"",tbl_Production[Job Number],0)))="","",IF(INDEX(tbl_Production[Current RMS No],MATCH(E92&amp;"",tbl_Production[Job Number],0))="",INDEX(tbl_Production[Qwilr Quote],MATCH(E92&amp;"",tbl_Production[Job Number],0)),INDEX(tbl_Production[Current RMS No],MATCH(E92&amp;"",tbl_Production[Job Number],0)))),IFERROR(IF(INDEX(tbl_Consulting[Qwilr Quote],MATCH(E92&amp;"",tbl_Consulting[Job Number],0))="","",INDEX(tbl_Consulting[Qwilr Quote],MATCH(E92&amp;"",tbl_Consulting[Job Number],0))),""))))</f>
        <v/>
      </c>
      <c r="AD92" s="25">
        <f>IF(AC92="","",IF(AND(LEFT(AC92,4)&lt;&gt;"http",IF(H92="Production",set_RMSBase,set_QwilrBase)=""),"",HYPERLINK(IF(LEFT(AC92,4)="http",AC92,IF(H92="Production",set_RMSBase,set_QwilrBase)&amp;AC92),"Open")))</f>
        <v/>
      </c>
      <c r="AE92" s="27">
        <f>IF(E92="","",IFERROR(INDEX(tbl_Production[Total Expense],MATCH(E92&amp;"",tbl_Production[Job Number],0)),IFERROR(INDEX(tbl_Consulting[Total Expense],MATCH(E92&amp;"",tbl_Consulting[Job Number],0)),0)))</f>
        <v/>
      </c>
      <c r="AF92" s="27">
        <f>IF(E92="","",Z92-N(AE92))</f>
        <v/>
      </c>
      <c r="AG92" s="29">
        <f>IFERROR(AF92/Z92,"")</f>
        <v/>
      </c>
      <c r="AH92" s="25">
        <f>IF(E92="","",IFERROR(IF(INDEX(tbl_Onsite[Notes],MATCH(E92&amp;"",tbl_Onsite[Job Number],0))="","",INDEX(tbl_Onsite[Notes],MATCH(E92&amp;"",tbl_Onsite[Job Number],0))),IFERROR(IF(INDEX(tbl_Production[Notes],MATCH(E92&amp;"",tbl_Production[Job Number],0))="","",INDEX(tbl_Production[Notes],MATCH(E92&amp;"",tbl_Production[Job Number],0))),IFERROR(IF(INDEX(tbl_Consulting[Notes],MATCH(E92&amp;"",tbl_Consulting[Job Number],0))="","",INDEX(tbl_Consulting[Notes],MATCH(E92&amp;"",tbl_Consulting[Job Number],0))),""))))</f>
        <v/>
      </c>
    </row>
    <row r="93" ht="15" customHeight="1">
      <c r="A93" s="22" t="n"/>
      <c r="B93" s="23">
        <f>IF(A93="","",EOMONTH(A93,0))</f>
        <v/>
      </c>
      <c r="C93" s="24" t="n"/>
      <c r="D93" s="24" t="n"/>
      <c r="E93" s="24" t="n"/>
      <c r="F93" s="25">
        <f>IF(E93="","",IF(COUNTIF(lst_Jobs,E93&amp;"")&gt;0,"OK","CHECK"))</f>
        <v/>
      </c>
      <c r="G93" s="24" t="n"/>
      <c r="H93" s="24" t="n"/>
      <c r="I93" s="24" t="n"/>
      <c r="J93" s="24" t="n"/>
      <c r="K93" s="24" t="n"/>
      <c r="L93" s="26" t="n"/>
      <c r="M93" s="27">
        <f>IF(L93="","",IF(K93="GST 10%",ROUND(L93*set_GSTRate,2),0))</f>
        <v/>
      </c>
      <c r="N93" s="27">
        <f>IF(L93="","",L93+M93)</f>
        <v/>
      </c>
      <c r="O93" s="24" t="n"/>
      <c r="P93" s="24" t="n"/>
      <c r="Q93" s="24" t="n"/>
      <c r="R93" s="22" t="n"/>
      <c r="S93" s="22" t="n"/>
      <c r="T93" s="24" t="n"/>
      <c r="U93" s="24" t="n"/>
      <c r="V93" s="25">
        <f>IF(COUNTA(A93,D93,C93,L93)=0,"",IF(A93="","No date - sits outside every month",IF(E93="","No job number",IF(F93="CHECK","Job number is not in the Xero job list",IF(I93="","No cost centre",IF(AND(P93="Y",C93=""),"Marked posted to Xero but has no invoice number",IF(AND(L93&lt;&gt;"",K93=""),"No tax code",IF(AND(L93&lt;&gt;"",O93=""),"No revenue GL code",""))))))))</f>
        <v/>
      </c>
      <c r="W93" s="25">
        <f>IF(E93="","",IF(COUNTIF(tbl_Onsite[Job Number],E93&amp;"")&gt;0,"Onsite",IF(COUNTIF(tbl_Production[Job Number],E93&amp;"")&gt;0,"Production",IF(COUNTIF(tbl_Consulting[Job Number],E93&amp;"")&gt;0,"Consulting","not set up yet"))))</f>
        <v/>
      </c>
      <c r="X93" s="25">
        <f>IF(E93="","",IFERROR(INDEX(lst_JobName,MATCH(E93&amp;"",lst_Jobs,0)),""))</f>
        <v/>
      </c>
      <c r="Y93" s="28">
        <f>IF(E93="","",COUNTIFS(tbl_Finance[Job Number],E93&amp;"",tbl_Finance[Ex GST],"&lt;&gt;"))</f>
        <v/>
      </c>
      <c r="Z93" s="27">
        <f>IF(E93="","",SUMIFS(tbl_Finance[Ex GST],tbl_Finance[Job Number],E93&amp;""))</f>
        <v/>
      </c>
      <c r="AA93" s="27">
        <f>IF(E93="","",SUMIFS(tbl_Finance[Ex GST],tbl_Finance[Job Number],E93&amp;"",tbl_Finance[Xero Invoice No],"&lt;&gt;"))</f>
        <v/>
      </c>
      <c r="AB93" s="27">
        <f>IF(E93="","",Z93-AA93)</f>
        <v/>
      </c>
      <c r="AC93" s="25">
        <f>IF(E93="","",IFERROR(IF(INDEX(tbl_Onsite[Qwilr Quote],MATCH(E93&amp;"",tbl_Onsite[Job Number],0))="","",INDEX(tbl_Onsite[Qwilr Quote],MATCH(E93&amp;"",tbl_Onsite[Job Number],0))),IFERROR(IF(IF(INDEX(tbl_Production[Current RMS No],MATCH(E93&amp;"",tbl_Production[Job Number],0))="",INDEX(tbl_Production[Qwilr Quote],MATCH(E93&amp;"",tbl_Production[Job Number],0)),INDEX(tbl_Production[Current RMS No],MATCH(E93&amp;"",tbl_Production[Job Number],0)))="","",IF(INDEX(tbl_Production[Current RMS No],MATCH(E93&amp;"",tbl_Production[Job Number],0))="",INDEX(tbl_Production[Qwilr Quote],MATCH(E93&amp;"",tbl_Production[Job Number],0)),INDEX(tbl_Production[Current RMS No],MATCH(E93&amp;"",tbl_Production[Job Number],0)))),IFERROR(IF(INDEX(tbl_Consulting[Qwilr Quote],MATCH(E93&amp;"",tbl_Consulting[Job Number],0))="","",INDEX(tbl_Consulting[Qwilr Quote],MATCH(E93&amp;"",tbl_Consulting[Job Number],0))),""))))</f>
        <v/>
      </c>
      <c r="AD93" s="25">
        <f>IF(AC93="","",IF(AND(LEFT(AC93,4)&lt;&gt;"http",IF(H93="Production",set_RMSBase,set_QwilrBase)=""),"",HYPERLINK(IF(LEFT(AC93,4)="http",AC93,IF(H93="Production",set_RMSBase,set_QwilrBase)&amp;AC93),"Open")))</f>
        <v/>
      </c>
      <c r="AE93" s="27">
        <f>IF(E93="","",IFERROR(INDEX(tbl_Production[Total Expense],MATCH(E93&amp;"",tbl_Production[Job Number],0)),IFERROR(INDEX(tbl_Consulting[Total Expense],MATCH(E93&amp;"",tbl_Consulting[Job Number],0)),0)))</f>
        <v/>
      </c>
      <c r="AF93" s="27">
        <f>IF(E93="","",Z93-N(AE93))</f>
        <v/>
      </c>
      <c r="AG93" s="29">
        <f>IFERROR(AF93/Z93,"")</f>
        <v/>
      </c>
      <c r="AH93" s="25">
        <f>IF(E93="","",IFERROR(IF(INDEX(tbl_Onsite[Notes],MATCH(E93&amp;"",tbl_Onsite[Job Number],0))="","",INDEX(tbl_Onsite[Notes],MATCH(E93&amp;"",tbl_Onsite[Job Number],0))),IFERROR(IF(INDEX(tbl_Production[Notes],MATCH(E93&amp;"",tbl_Production[Job Number],0))="","",INDEX(tbl_Production[Notes],MATCH(E93&amp;"",tbl_Production[Job Number],0))),IFERROR(IF(INDEX(tbl_Consulting[Notes],MATCH(E93&amp;"",tbl_Consulting[Job Number],0))="","",INDEX(tbl_Consulting[Notes],MATCH(E93&amp;"",tbl_Consulting[Job Number],0))),""))))</f>
        <v/>
      </c>
    </row>
    <row r="94" ht="15" customHeight="1">
      <c r="A94" s="22" t="n"/>
      <c r="B94" s="23">
        <f>IF(A94="","",EOMONTH(A94,0))</f>
        <v/>
      </c>
      <c r="C94" s="24" t="n"/>
      <c r="D94" s="24" t="n"/>
      <c r="E94" s="24" t="n"/>
      <c r="F94" s="25">
        <f>IF(E94="","",IF(COUNTIF(lst_Jobs,E94&amp;"")&gt;0,"OK","CHECK"))</f>
        <v/>
      </c>
      <c r="G94" s="24" t="n"/>
      <c r="H94" s="24" t="n"/>
      <c r="I94" s="24" t="n"/>
      <c r="J94" s="24" t="n"/>
      <c r="K94" s="24" t="n"/>
      <c r="L94" s="26" t="n"/>
      <c r="M94" s="27">
        <f>IF(L94="","",IF(K94="GST 10%",ROUND(L94*set_GSTRate,2),0))</f>
        <v/>
      </c>
      <c r="N94" s="27">
        <f>IF(L94="","",L94+M94)</f>
        <v/>
      </c>
      <c r="O94" s="24" t="n"/>
      <c r="P94" s="24" t="n"/>
      <c r="Q94" s="24" t="n"/>
      <c r="R94" s="22" t="n"/>
      <c r="S94" s="22" t="n"/>
      <c r="T94" s="24" t="n"/>
      <c r="U94" s="24" t="n"/>
      <c r="V94" s="25">
        <f>IF(COUNTA(A94,D94,C94,L94)=0,"",IF(A94="","No date - sits outside every month",IF(E94="","No job number",IF(F94="CHECK","Job number is not in the Xero job list",IF(I94="","No cost centre",IF(AND(P94="Y",C94=""),"Marked posted to Xero but has no invoice number",IF(AND(L94&lt;&gt;"",K94=""),"No tax code",IF(AND(L94&lt;&gt;"",O94=""),"No revenue GL code",""))))))))</f>
        <v/>
      </c>
      <c r="W94" s="25">
        <f>IF(E94="","",IF(COUNTIF(tbl_Onsite[Job Number],E94&amp;"")&gt;0,"Onsite",IF(COUNTIF(tbl_Production[Job Number],E94&amp;"")&gt;0,"Production",IF(COUNTIF(tbl_Consulting[Job Number],E94&amp;"")&gt;0,"Consulting","not set up yet"))))</f>
        <v/>
      </c>
      <c r="X94" s="25">
        <f>IF(E94="","",IFERROR(INDEX(lst_JobName,MATCH(E94&amp;"",lst_Jobs,0)),""))</f>
        <v/>
      </c>
      <c r="Y94" s="28">
        <f>IF(E94="","",COUNTIFS(tbl_Finance[Job Number],E94&amp;"",tbl_Finance[Ex GST],"&lt;&gt;"))</f>
        <v/>
      </c>
      <c r="Z94" s="27">
        <f>IF(E94="","",SUMIFS(tbl_Finance[Ex GST],tbl_Finance[Job Number],E94&amp;""))</f>
        <v/>
      </c>
      <c r="AA94" s="27">
        <f>IF(E94="","",SUMIFS(tbl_Finance[Ex GST],tbl_Finance[Job Number],E94&amp;"",tbl_Finance[Xero Invoice No],"&lt;&gt;"))</f>
        <v/>
      </c>
      <c r="AB94" s="27">
        <f>IF(E94="","",Z94-AA94)</f>
        <v/>
      </c>
      <c r="AC94" s="25">
        <f>IF(E94="","",IFERROR(IF(INDEX(tbl_Onsite[Qwilr Quote],MATCH(E94&amp;"",tbl_Onsite[Job Number],0))="","",INDEX(tbl_Onsite[Qwilr Quote],MATCH(E94&amp;"",tbl_Onsite[Job Number],0))),IFERROR(IF(IF(INDEX(tbl_Production[Current RMS No],MATCH(E94&amp;"",tbl_Production[Job Number],0))="",INDEX(tbl_Production[Qwilr Quote],MATCH(E94&amp;"",tbl_Production[Job Number],0)),INDEX(tbl_Production[Current RMS No],MATCH(E94&amp;"",tbl_Production[Job Number],0)))="","",IF(INDEX(tbl_Production[Current RMS No],MATCH(E94&amp;"",tbl_Production[Job Number],0))="",INDEX(tbl_Production[Qwilr Quote],MATCH(E94&amp;"",tbl_Production[Job Number],0)),INDEX(tbl_Production[Current RMS No],MATCH(E94&amp;"",tbl_Production[Job Number],0)))),IFERROR(IF(INDEX(tbl_Consulting[Qwilr Quote],MATCH(E94&amp;"",tbl_Consulting[Job Number],0))="","",INDEX(tbl_Consulting[Qwilr Quote],MATCH(E94&amp;"",tbl_Consulting[Job Number],0))),""))))</f>
        <v/>
      </c>
      <c r="AD94" s="25">
        <f>IF(AC94="","",IF(AND(LEFT(AC94,4)&lt;&gt;"http",IF(H94="Production",set_RMSBase,set_QwilrBase)=""),"",HYPERLINK(IF(LEFT(AC94,4)="http",AC94,IF(H94="Production",set_RMSBase,set_QwilrBase)&amp;AC94),"Open")))</f>
        <v/>
      </c>
      <c r="AE94" s="27">
        <f>IF(E94="","",IFERROR(INDEX(tbl_Production[Total Expense],MATCH(E94&amp;"",tbl_Production[Job Number],0)),IFERROR(INDEX(tbl_Consulting[Total Expense],MATCH(E94&amp;"",tbl_Consulting[Job Number],0)),0)))</f>
        <v/>
      </c>
      <c r="AF94" s="27">
        <f>IF(E94="","",Z94-N(AE94))</f>
        <v/>
      </c>
      <c r="AG94" s="29">
        <f>IFERROR(AF94/Z94,"")</f>
        <v/>
      </c>
      <c r="AH94" s="25">
        <f>IF(E94="","",IFERROR(IF(INDEX(tbl_Onsite[Notes],MATCH(E94&amp;"",tbl_Onsite[Job Number],0))="","",INDEX(tbl_Onsite[Notes],MATCH(E94&amp;"",tbl_Onsite[Job Number],0))),IFERROR(IF(INDEX(tbl_Production[Notes],MATCH(E94&amp;"",tbl_Production[Job Number],0))="","",INDEX(tbl_Production[Notes],MATCH(E94&amp;"",tbl_Production[Job Number],0))),IFERROR(IF(INDEX(tbl_Consulting[Notes],MATCH(E94&amp;"",tbl_Consulting[Job Number],0))="","",INDEX(tbl_Consulting[Notes],MATCH(E94&amp;"",tbl_Consulting[Job Number],0))),""))))</f>
        <v/>
      </c>
    </row>
    <row r="95" ht="15" customHeight="1">
      <c r="A95" s="22" t="n"/>
      <c r="B95" s="23">
        <f>IF(A95="","",EOMONTH(A95,0))</f>
        <v/>
      </c>
      <c r="C95" s="24" t="n"/>
      <c r="D95" s="24" t="n"/>
      <c r="E95" s="24" t="n"/>
      <c r="F95" s="25">
        <f>IF(E95="","",IF(COUNTIF(lst_Jobs,E95&amp;"")&gt;0,"OK","CHECK"))</f>
        <v/>
      </c>
      <c r="G95" s="24" t="n"/>
      <c r="H95" s="24" t="n"/>
      <c r="I95" s="24" t="n"/>
      <c r="J95" s="24" t="n"/>
      <c r="K95" s="24" t="n"/>
      <c r="L95" s="26" t="n"/>
      <c r="M95" s="27">
        <f>IF(L95="","",IF(K95="GST 10%",ROUND(L95*set_GSTRate,2),0))</f>
        <v/>
      </c>
      <c r="N95" s="27">
        <f>IF(L95="","",L95+M95)</f>
        <v/>
      </c>
      <c r="O95" s="24" t="n"/>
      <c r="P95" s="24" t="n"/>
      <c r="Q95" s="24" t="n"/>
      <c r="R95" s="22" t="n"/>
      <c r="S95" s="22" t="n"/>
      <c r="T95" s="24" t="n"/>
      <c r="U95" s="24" t="n"/>
      <c r="V95" s="25">
        <f>IF(COUNTA(A95,D95,C95,L95)=0,"",IF(A95="","No date - sits outside every month",IF(E95="","No job number",IF(F95="CHECK","Job number is not in the Xero job list",IF(I95="","No cost centre",IF(AND(P95="Y",C95=""),"Marked posted to Xero but has no invoice number",IF(AND(L95&lt;&gt;"",K95=""),"No tax code",IF(AND(L95&lt;&gt;"",O95=""),"No revenue GL code",""))))))))</f>
        <v/>
      </c>
      <c r="W95" s="25">
        <f>IF(E95="","",IF(COUNTIF(tbl_Onsite[Job Number],E95&amp;"")&gt;0,"Onsite",IF(COUNTIF(tbl_Production[Job Number],E95&amp;"")&gt;0,"Production",IF(COUNTIF(tbl_Consulting[Job Number],E95&amp;"")&gt;0,"Consulting","not set up yet"))))</f>
        <v/>
      </c>
      <c r="X95" s="25">
        <f>IF(E95="","",IFERROR(INDEX(lst_JobName,MATCH(E95&amp;"",lst_Jobs,0)),""))</f>
        <v/>
      </c>
      <c r="Y95" s="28">
        <f>IF(E95="","",COUNTIFS(tbl_Finance[Job Number],E95&amp;"",tbl_Finance[Ex GST],"&lt;&gt;"))</f>
        <v/>
      </c>
      <c r="Z95" s="27">
        <f>IF(E95="","",SUMIFS(tbl_Finance[Ex GST],tbl_Finance[Job Number],E95&amp;""))</f>
        <v/>
      </c>
      <c r="AA95" s="27">
        <f>IF(E95="","",SUMIFS(tbl_Finance[Ex GST],tbl_Finance[Job Number],E95&amp;"",tbl_Finance[Xero Invoice No],"&lt;&gt;"))</f>
        <v/>
      </c>
      <c r="AB95" s="27">
        <f>IF(E95="","",Z95-AA95)</f>
        <v/>
      </c>
      <c r="AC95" s="25">
        <f>IF(E95="","",IFERROR(IF(INDEX(tbl_Onsite[Qwilr Quote],MATCH(E95&amp;"",tbl_Onsite[Job Number],0))="","",INDEX(tbl_Onsite[Qwilr Quote],MATCH(E95&amp;"",tbl_Onsite[Job Number],0))),IFERROR(IF(IF(INDEX(tbl_Production[Current RMS No],MATCH(E95&amp;"",tbl_Production[Job Number],0))="",INDEX(tbl_Production[Qwilr Quote],MATCH(E95&amp;"",tbl_Production[Job Number],0)),INDEX(tbl_Production[Current RMS No],MATCH(E95&amp;"",tbl_Production[Job Number],0)))="","",IF(INDEX(tbl_Production[Current RMS No],MATCH(E95&amp;"",tbl_Production[Job Number],0))="",INDEX(tbl_Production[Qwilr Quote],MATCH(E95&amp;"",tbl_Production[Job Number],0)),INDEX(tbl_Production[Current RMS No],MATCH(E95&amp;"",tbl_Production[Job Number],0)))),IFERROR(IF(INDEX(tbl_Consulting[Qwilr Quote],MATCH(E95&amp;"",tbl_Consulting[Job Number],0))="","",INDEX(tbl_Consulting[Qwilr Quote],MATCH(E95&amp;"",tbl_Consulting[Job Number],0))),""))))</f>
        <v/>
      </c>
      <c r="AD95" s="25">
        <f>IF(AC95="","",IF(AND(LEFT(AC95,4)&lt;&gt;"http",IF(H95="Production",set_RMSBase,set_QwilrBase)=""),"",HYPERLINK(IF(LEFT(AC95,4)="http",AC95,IF(H95="Production",set_RMSBase,set_QwilrBase)&amp;AC95),"Open")))</f>
        <v/>
      </c>
      <c r="AE95" s="27">
        <f>IF(E95="","",IFERROR(INDEX(tbl_Production[Total Expense],MATCH(E95&amp;"",tbl_Production[Job Number],0)),IFERROR(INDEX(tbl_Consulting[Total Expense],MATCH(E95&amp;"",tbl_Consulting[Job Number],0)),0)))</f>
        <v/>
      </c>
      <c r="AF95" s="27">
        <f>IF(E95="","",Z95-N(AE95))</f>
        <v/>
      </c>
      <c r="AG95" s="29">
        <f>IFERROR(AF95/Z95,"")</f>
        <v/>
      </c>
      <c r="AH95" s="25">
        <f>IF(E95="","",IFERROR(IF(INDEX(tbl_Onsite[Notes],MATCH(E95&amp;"",tbl_Onsite[Job Number],0))="","",INDEX(tbl_Onsite[Notes],MATCH(E95&amp;"",tbl_Onsite[Job Number],0))),IFERROR(IF(INDEX(tbl_Production[Notes],MATCH(E95&amp;"",tbl_Production[Job Number],0))="","",INDEX(tbl_Production[Notes],MATCH(E95&amp;"",tbl_Production[Job Number],0))),IFERROR(IF(INDEX(tbl_Consulting[Notes],MATCH(E95&amp;"",tbl_Consulting[Job Number],0))="","",INDEX(tbl_Consulting[Notes],MATCH(E95&amp;"",tbl_Consulting[Job Number],0))),""))))</f>
        <v/>
      </c>
    </row>
    <row r="96" ht="15" customHeight="1">
      <c r="A96" s="22" t="n"/>
      <c r="B96" s="23">
        <f>IF(A96="","",EOMONTH(A96,0))</f>
        <v/>
      </c>
      <c r="C96" s="24" t="n"/>
      <c r="D96" s="24" t="n"/>
      <c r="E96" s="24" t="n"/>
      <c r="F96" s="25">
        <f>IF(E96="","",IF(COUNTIF(lst_Jobs,E96&amp;"")&gt;0,"OK","CHECK"))</f>
        <v/>
      </c>
      <c r="G96" s="24" t="n"/>
      <c r="H96" s="24" t="n"/>
      <c r="I96" s="24" t="n"/>
      <c r="J96" s="24" t="n"/>
      <c r="K96" s="24" t="n"/>
      <c r="L96" s="26" t="n"/>
      <c r="M96" s="27">
        <f>IF(L96="","",IF(K96="GST 10%",ROUND(L96*set_GSTRate,2),0))</f>
        <v/>
      </c>
      <c r="N96" s="27">
        <f>IF(L96="","",L96+M96)</f>
        <v/>
      </c>
      <c r="O96" s="24" t="n"/>
      <c r="P96" s="24" t="n"/>
      <c r="Q96" s="24" t="n"/>
      <c r="R96" s="22" t="n"/>
      <c r="S96" s="22" t="n"/>
      <c r="T96" s="24" t="n"/>
      <c r="U96" s="24" t="n"/>
      <c r="V96" s="25">
        <f>IF(COUNTA(A96,D96,C96,L96)=0,"",IF(A96="","No date - sits outside every month",IF(E96="","No job number",IF(F96="CHECK","Job number is not in the Xero job list",IF(I96="","No cost centre",IF(AND(P96="Y",C96=""),"Marked posted to Xero but has no invoice number",IF(AND(L96&lt;&gt;"",K96=""),"No tax code",IF(AND(L96&lt;&gt;"",O96=""),"No revenue GL code",""))))))))</f>
        <v/>
      </c>
      <c r="W96" s="25">
        <f>IF(E96="","",IF(COUNTIF(tbl_Onsite[Job Number],E96&amp;"")&gt;0,"Onsite",IF(COUNTIF(tbl_Production[Job Number],E96&amp;"")&gt;0,"Production",IF(COUNTIF(tbl_Consulting[Job Number],E96&amp;"")&gt;0,"Consulting","not set up yet"))))</f>
        <v/>
      </c>
      <c r="X96" s="25">
        <f>IF(E96="","",IFERROR(INDEX(lst_JobName,MATCH(E96&amp;"",lst_Jobs,0)),""))</f>
        <v/>
      </c>
      <c r="Y96" s="28">
        <f>IF(E96="","",COUNTIFS(tbl_Finance[Job Number],E96&amp;"",tbl_Finance[Ex GST],"&lt;&gt;"))</f>
        <v/>
      </c>
      <c r="Z96" s="27">
        <f>IF(E96="","",SUMIFS(tbl_Finance[Ex GST],tbl_Finance[Job Number],E96&amp;""))</f>
        <v/>
      </c>
      <c r="AA96" s="27">
        <f>IF(E96="","",SUMIFS(tbl_Finance[Ex GST],tbl_Finance[Job Number],E96&amp;"",tbl_Finance[Xero Invoice No],"&lt;&gt;"))</f>
        <v/>
      </c>
      <c r="AB96" s="27">
        <f>IF(E96="","",Z96-AA96)</f>
        <v/>
      </c>
      <c r="AC96" s="25">
        <f>IF(E96="","",IFERROR(IF(INDEX(tbl_Onsite[Qwilr Quote],MATCH(E96&amp;"",tbl_Onsite[Job Number],0))="","",INDEX(tbl_Onsite[Qwilr Quote],MATCH(E96&amp;"",tbl_Onsite[Job Number],0))),IFERROR(IF(IF(INDEX(tbl_Production[Current RMS No],MATCH(E96&amp;"",tbl_Production[Job Number],0))="",INDEX(tbl_Production[Qwilr Quote],MATCH(E96&amp;"",tbl_Production[Job Number],0)),INDEX(tbl_Production[Current RMS No],MATCH(E96&amp;"",tbl_Production[Job Number],0)))="","",IF(INDEX(tbl_Production[Current RMS No],MATCH(E96&amp;"",tbl_Production[Job Number],0))="",INDEX(tbl_Production[Qwilr Quote],MATCH(E96&amp;"",tbl_Production[Job Number],0)),INDEX(tbl_Production[Current RMS No],MATCH(E96&amp;"",tbl_Production[Job Number],0)))),IFERROR(IF(INDEX(tbl_Consulting[Qwilr Quote],MATCH(E96&amp;"",tbl_Consulting[Job Number],0))="","",INDEX(tbl_Consulting[Qwilr Quote],MATCH(E96&amp;"",tbl_Consulting[Job Number],0))),""))))</f>
        <v/>
      </c>
      <c r="AD96" s="25">
        <f>IF(AC96="","",IF(AND(LEFT(AC96,4)&lt;&gt;"http",IF(H96="Production",set_RMSBase,set_QwilrBase)=""),"",HYPERLINK(IF(LEFT(AC96,4)="http",AC96,IF(H96="Production",set_RMSBase,set_QwilrBase)&amp;AC96),"Open")))</f>
        <v/>
      </c>
      <c r="AE96" s="27">
        <f>IF(E96="","",IFERROR(INDEX(tbl_Production[Total Expense],MATCH(E96&amp;"",tbl_Production[Job Number],0)),IFERROR(INDEX(tbl_Consulting[Total Expense],MATCH(E96&amp;"",tbl_Consulting[Job Number],0)),0)))</f>
        <v/>
      </c>
      <c r="AF96" s="27">
        <f>IF(E96="","",Z96-N(AE96))</f>
        <v/>
      </c>
      <c r="AG96" s="29">
        <f>IFERROR(AF96/Z96,"")</f>
        <v/>
      </c>
      <c r="AH96" s="25">
        <f>IF(E96="","",IFERROR(IF(INDEX(tbl_Onsite[Notes],MATCH(E96&amp;"",tbl_Onsite[Job Number],0))="","",INDEX(tbl_Onsite[Notes],MATCH(E96&amp;"",tbl_Onsite[Job Number],0))),IFERROR(IF(INDEX(tbl_Production[Notes],MATCH(E96&amp;"",tbl_Production[Job Number],0))="","",INDEX(tbl_Production[Notes],MATCH(E96&amp;"",tbl_Production[Job Number],0))),IFERROR(IF(INDEX(tbl_Consulting[Notes],MATCH(E96&amp;"",tbl_Consulting[Job Number],0))="","",INDEX(tbl_Consulting[Notes],MATCH(E96&amp;"",tbl_Consulting[Job Number],0))),""))))</f>
        <v/>
      </c>
    </row>
    <row r="97" ht="15" customHeight="1">
      <c r="A97" s="22" t="n"/>
      <c r="B97" s="23">
        <f>IF(A97="","",EOMONTH(A97,0))</f>
        <v/>
      </c>
      <c r="C97" s="24" t="n"/>
      <c r="D97" s="24" t="n"/>
      <c r="E97" s="24" t="n"/>
      <c r="F97" s="25">
        <f>IF(E97="","",IF(COUNTIF(lst_Jobs,E97&amp;"")&gt;0,"OK","CHECK"))</f>
        <v/>
      </c>
      <c r="G97" s="24" t="n"/>
      <c r="H97" s="24" t="n"/>
      <c r="I97" s="24" t="n"/>
      <c r="J97" s="24" t="n"/>
      <c r="K97" s="24" t="n"/>
      <c r="L97" s="26" t="n"/>
      <c r="M97" s="27">
        <f>IF(L97="","",IF(K97="GST 10%",ROUND(L97*set_GSTRate,2),0))</f>
        <v/>
      </c>
      <c r="N97" s="27">
        <f>IF(L97="","",L97+M97)</f>
        <v/>
      </c>
      <c r="O97" s="24" t="n"/>
      <c r="P97" s="24" t="n"/>
      <c r="Q97" s="24" t="n"/>
      <c r="R97" s="22" t="n"/>
      <c r="S97" s="22" t="n"/>
      <c r="T97" s="24" t="n"/>
      <c r="U97" s="24" t="n"/>
      <c r="V97" s="25">
        <f>IF(COUNTA(A97,D97,C97,L97)=0,"",IF(A97="","No date - sits outside every month",IF(E97="","No job number",IF(F97="CHECK","Job number is not in the Xero job list",IF(I97="","No cost centre",IF(AND(P97="Y",C97=""),"Marked posted to Xero but has no invoice number",IF(AND(L97&lt;&gt;"",K97=""),"No tax code",IF(AND(L97&lt;&gt;"",O97=""),"No revenue GL code",""))))))))</f>
        <v/>
      </c>
      <c r="W97" s="25">
        <f>IF(E97="","",IF(COUNTIF(tbl_Onsite[Job Number],E97&amp;"")&gt;0,"Onsite",IF(COUNTIF(tbl_Production[Job Number],E97&amp;"")&gt;0,"Production",IF(COUNTIF(tbl_Consulting[Job Number],E97&amp;"")&gt;0,"Consulting","not set up yet"))))</f>
        <v/>
      </c>
      <c r="X97" s="25">
        <f>IF(E97="","",IFERROR(INDEX(lst_JobName,MATCH(E97&amp;"",lst_Jobs,0)),""))</f>
        <v/>
      </c>
      <c r="Y97" s="28">
        <f>IF(E97="","",COUNTIFS(tbl_Finance[Job Number],E97&amp;"",tbl_Finance[Ex GST],"&lt;&gt;"))</f>
        <v/>
      </c>
      <c r="Z97" s="27">
        <f>IF(E97="","",SUMIFS(tbl_Finance[Ex GST],tbl_Finance[Job Number],E97&amp;""))</f>
        <v/>
      </c>
      <c r="AA97" s="27">
        <f>IF(E97="","",SUMIFS(tbl_Finance[Ex GST],tbl_Finance[Job Number],E97&amp;"",tbl_Finance[Xero Invoice No],"&lt;&gt;"))</f>
        <v/>
      </c>
      <c r="AB97" s="27">
        <f>IF(E97="","",Z97-AA97)</f>
        <v/>
      </c>
      <c r="AC97" s="25">
        <f>IF(E97="","",IFERROR(IF(INDEX(tbl_Onsite[Qwilr Quote],MATCH(E97&amp;"",tbl_Onsite[Job Number],0))="","",INDEX(tbl_Onsite[Qwilr Quote],MATCH(E97&amp;"",tbl_Onsite[Job Number],0))),IFERROR(IF(IF(INDEX(tbl_Production[Current RMS No],MATCH(E97&amp;"",tbl_Production[Job Number],0))="",INDEX(tbl_Production[Qwilr Quote],MATCH(E97&amp;"",tbl_Production[Job Number],0)),INDEX(tbl_Production[Current RMS No],MATCH(E97&amp;"",tbl_Production[Job Number],0)))="","",IF(INDEX(tbl_Production[Current RMS No],MATCH(E97&amp;"",tbl_Production[Job Number],0))="",INDEX(tbl_Production[Qwilr Quote],MATCH(E97&amp;"",tbl_Production[Job Number],0)),INDEX(tbl_Production[Current RMS No],MATCH(E97&amp;"",tbl_Production[Job Number],0)))),IFERROR(IF(INDEX(tbl_Consulting[Qwilr Quote],MATCH(E97&amp;"",tbl_Consulting[Job Number],0))="","",INDEX(tbl_Consulting[Qwilr Quote],MATCH(E97&amp;"",tbl_Consulting[Job Number],0))),""))))</f>
        <v/>
      </c>
      <c r="AD97" s="25">
        <f>IF(AC97="","",IF(AND(LEFT(AC97,4)&lt;&gt;"http",IF(H97="Production",set_RMSBase,set_QwilrBase)=""),"",HYPERLINK(IF(LEFT(AC97,4)="http",AC97,IF(H97="Production",set_RMSBase,set_QwilrBase)&amp;AC97),"Open")))</f>
        <v/>
      </c>
      <c r="AE97" s="27">
        <f>IF(E97="","",IFERROR(INDEX(tbl_Production[Total Expense],MATCH(E97&amp;"",tbl_Production[Job Number],0)),IFERROR(INDEX(tbl_Consulting[Total Expense],MATCH(E97&amp;"",tbl_Consulting[Job Number],0)),0)))</f>
        <v/>
      </c>
      <c r="AF97" s="27">
        <f>IF(E97="","",Z97-N(AE97))</f>
        <v/>
      </c>
      <c r="AG97" s="29">
        <f>IFERROR(AF97/Z97,"")</f>
        <v/>
      </c>
      <c r="AH97" s="25">
        <f>IF(E97="","",IFERROR(IF(INDEX(tbl_Onsite[Notes],MATCH(E97&amp;"",tbl_Onsite[Job Number],0))="","",INDEX(tbl_Onsite[Notes],MATCH(E97&amp;"",tbl_Onsite[Job Number],0))),IFERROR(IF(INDEX(tbl_Production[Notes],MATCH(E97&amp;"",tbl_Production[Job Number],0))="","",INDEX(tbl_Production[Notes],MATCH(E97&amp;"",tbl_Production[Job Number],0))),IFERROR(IF(INDEX(tbl_Consulting[Notes],MATCH(E97&amp;"",tbl_Consulting[Job Number],0))="","",INDEX(tbl_Consulting[Notes],MATCH(E97&amp;"",tbl_Consulting[Job Number],0))),""))))</f>
        <v/>
      </c>
    </row>
    <row r="98" ht="15" customHeight="1">
      <c r="A98" s="22" t="n"/>
      <c r="B98" s="23">
        <f>IF(A98="","",EOMONTH(A98,0))</f>
        <v/>
      </c>
      <c r="C98" s="24" t="n"/>
      <c r="D98" s="24" t="n"/>
      <c r="E98" s="24" t="n"/>
      <c r="F98" s="25">
        <f>IF(E98="","",IF(COUNTIF(lst_Jobs,E98&amp;"")&gt;0,"OK","CHECK"))</f>
        <v/>
      </c>
      <c r="G98" s="24" t="n"/>
      <c r="H98" s="24" t="n"/>
      <c r="I98" s="24" t="n"/>
      <c r="J98" s="24" t="n"/>
      <c r="K98" s="24" t="n"/>
      <c r="L98" s="26" t="n"/>
      <c r="M98" s="27">
        <f>IF(L98="","",IF(K98="GST 10%",ROUND(L98*set_GSTRate,2),0))</f>
        <v/>
      </c>
      <c r="N98" s="27">
        <f>IF(L98="","",L98+M98)</f>
        <v/>
      </c>
      <c r="O98" s="24" t="n"/>
      <c r="P98" s="24" t="n"/>
      <c r="Q98" s="24" t="n"/>
      <c r="R98" s="22" t="n"/>
      <c r="S98" s="22" t="n"/>
      <c r="T98" s="24" t="n"/>
      <c r="U98" s="24" t="n"/>
      <c r="V98" s="25">
        <f>IF(COUNTA(A98,D98,C98,L98)=0,"",IF(A98="","No date - sits outside every month",IF(E98="","No job number",IF(F98="CHECK","Job number is not in the Xero job list",IF(I98="","No cost centre",IF(AND(P98="Y",C98=""),"Marked posted to Xero but has no invoice number",IF(AND(L98&lt;&gt;"",K98=""),"No tax code",IF(AND(L98&lt;&gt;"",O98=""),"No revenue GL code",""))))))))</f>
        <v/>
      </c>
      <c r="W98" s="25">
        <f>IF(E98="","",IF(COUNTIF(tbl_Onsite[Job Number],E98&amp;"")&gt;0,"Onsite",IF(COUNTIF(tbl_Production[Job Number],E98&amp;"")&gt;0,"Production",IF(COUNTIF(tbl_Consulting[Job Number],E98&amp;"")&gt;0,"Consulting","not set up yet"))))</f>
        <v/>
      </c>
      <c r="X98" s="25">
        <f>IF(E98="","",IFERROR(INDEX(lst_JobName,MATCH(E98&amp;"",lst_Jobs,0)),""))</f>
        <v/>
      </c>
      <c r="Y98" s="28">
        <f>IF(E98="","",COUNTIFS(tbl_Finance[Job Number],E98&amp;"",tbl_Finance[Ex GST],"&lt;&gt;"))</f>
        <v/>
      </c>
      <c r="Z98" s="27">
        <f>IF(E98="","",SUMIFS(tbl_Finance[Ex GST],tbl_Finance[Job Number],E98&amp;""))</f>
        <v/>
      </c>
      <c r="AA98" s="27">
        <f>IF(E98="","",SUMIFS(tbl_Finance[Ex GST],tbl_Finance[Job Number],E98&amp;"",tbl_Finance[Xero Invoice No],"&lt;&gt;"))</f>
        <v/>
      </c>
      <c r="AB98" s="27">
        <f>IF(E98="","",Z98-AA98)</f>
        <v/>
      </c>
      <c r="AC98" s="25">
        <f>IF(E98="","",IFERROR(IF(INDEX(tbl_Onsite[Qwilr Quote],MATCH(E98&amp;"",tbl_Onsite[Job Number],0))="","",INDEX(tbl_Onsite[Qwilr Quote],MATCH(E98&amp;"",tbl_Onsite[Job Number],0))),IFERROR(IF(IF(INDEX(tbl_Production[Current RMS No],MATCH(E98&amp;"",tbl_Production[Job Number],0))="",INDEX(tbl_Production[Qwilr Quote],MATCH(E98&amp;"",tbl_Production[Job Number],0)),INDEX(tbl_Production[Current RMS No],MATCH(E98&amp;"",tbl_Production[Job Number],0)))="","",IF(INDEX(tbl_Production[Current RMS No],MATCH(E98&amp;"",tbl_Production[Job Number],0))="",INDEX(tbl_Production[Qwilr Quote],MATCH(E98&amp;"",tbl_Production[Job Number],0)),INDEX(tbl_Production[Current RMS No],MATCH(E98&amp;"",tbl_Production[Job Number],0)))),IFERROR(IF(INDEX(tbl_Consulting[Qwilr Quote],MATCH(E98&amp;"",tbl_Consulting[Job Number],0))="","",INDEX(tbl_Consulting[Qwilr Quote],MATCH(E98&amp;"",tbl_Consulting[Job Number],0))),""))))</f>
        <v/>
      </c>
      <c r="AD98" s="25">
        <f>IF(AC98="","",IF(AND(LEFT(AC98,4)&lt;&gt;"http",IF(H98="Production",set_RMSBase,set_QwilrBase)=""),"",HYPERLINK(IF(LEFT(AC98,4)="http",AC98,IF(H98="Production",set_RMSBase,set_QwilrBase)&amp;AC98),"Open")))</f>
        <v/>
      </c>
      <c r="AE98" s="27">
        <f>IF(E98="","",IFERROR(INDEX(tbl_Production[Total Expense],MATCH(E98&amp;"",tbl_Production[Job Number],0)),IFERROR(INDEX(tbl_Consulting[Total Expense],MATCH(E98&amp;"",tbl_Consulting[Job Number],0)),0)))</f>
        <v/>
      </c>
      <c r="AF98" s="27">
        <f>IF(E98="","",Z98-N(AE98))</f>
        <v/>
      </c>
      <c r="AG98" s="29">
        <f>IFERROR(AF98/Z98,"")</f>
        <v/>
      </c>
      <c r="AH98" s="25">
        <f>IF(E98="","",IFERROR(IF(INDEX(tbl_Onsite[Notes],MATCH(E98&amp;"",tbl_Onsite[Job Number],0))="","",INDEX(tbl_Onsite[Notes],MATCH(E98&amp;"",tbl_Onsite[Job Number],0))),IFERROR(IF(INDEX(tbl_Production[Notes],MATCH(E98&amp;"",tbl_Production[Job Number],0))="","",INDEX(tbl_Production[Notes],MATCH(E98&amp;"",tbl_Production[Job Number],0))),IFERROR(IF(INDEX(tbl_Consulting[Notes],MATCH(E98&amp;"",tbl_Consulting[Job Number],0))="","",INDEX(tbl_Consulting[Notes],MATCH(E98&amp;"",tbl_Consulting[Job Number],0))),""))))</f>
        <v/>
      </c>
    </row>
    <row r="99" ht="15" customHeight="1">
      <c r="A99" s="22" t="n"/>
      <c r="B99" s="23">
        <f>IF(A99="","",EOMONTH(A99,0))</f>
        <v/>
      </c>
      <c r="C99" s="24" t="n"/>
      <c r="D99" s="24" t="n"/>
      <c r="E99" s="24" t="n"/>
      <c r="F99" s="25">
        <f>IF(E99="","",IF(COUNTIF(lst_Jobs,E99&amp;"")&gt;0,"OK","CHECK"))</f>
        <v/>
      </c>
      <c r="G99" s="24" t="n"/>
      <c r="H99" s="24" t="n"/>
      <c r="I99" s="24" t="n"/>
      <c r="J99" s="24" t="n"/>
      <c r="K99" s="24" t="n"/>
      <c r="L99" s="26" t="n"/>
      <c r="M99" s="27">
        <f>IF(L99="","",IF(K99="GST 10%",ROUND(L99*set_GSTRate,2),0))</f>
        <v/>
      </c>
      <c r="N99" s="27">
        <f>IF(L99="","",L99+M99)</f>
        <v/>
      </c>
      <c r="O99" s="24" t="n"/>
      <c r="P99" s="24" t="n"/>
      <c r="Q99" s="24" t="n"/>
      <c r="R99" s="22" t="n"/>
      <c r="S99" s="22" t="n"/>
      <c r="T99" s="24" t="n"/>
      <c r="U99" s="24" t="n"/>
      <c r="V99" s="25">
        <f>IF(COUNTA(A99,D99,C99,L99)=0,"",IF(A99="","No date - sits outside every month",IF(E99="","No job number",IF(F99="CHECK","Job number is not in the Xero job list",IF(I99="","No cost centre",IF(AND(P99="Y",C99=""),"Marked posted to Xero but has no invoice number",IF(AND(L99&lt;&gt;"",K99=""),"No tax code",IF(AND(L99&lt;&gt;"",O99=""),"No revenue GL code",""))))))))</f>
        <v/>
      </c>
      <c r="W99" s="25">
        <f>IF(E99="","",IF(COUNTIF(tbl_Onsite[Job Number],E99&amp;"")&gt;0,"Onsite",IF(COUNTIF(tbl_Production[Job Number],E99&amp;"")&gt;0,"Production",IF(COUNTIF(tbl_Consulting[Job Number],E99&amp;"")&gt;0,"Consulting","not set up yet"))))</f>
        <v/>
      </c>
      <c r="X99" s="25">
        <f>IF(E99="","",IFERROR(INDEX(lst_JobName,MATCH(E99&amp;"",lst_Jobs,0)),""))</f>
        <v/>
      </c>
      <c r="Y99" s="28">
        <f>IF(E99="","",COUNTIFS(tbl_Finance[Job Number],E99&amp;"",tbl_Finance[Ex GST],"&lt;&gt;"))</f>
        <v/>
      </c>
      <c r="Z99" s="27">
        <f>IF(E99="","",SUMIFS(tbl_Finance[Ex GST],tbl_Finance[Job Number],E99&amp;""))</f>
        <v/>
      </c>
      <c r="AA99" s="27">
        <f>IF(E99="","",SUMIFS(tbl_Finance[Ex GST],tbl_Finance[Job Number],E99&amp;"",tbl_Finance[Xero Invoice No],"&lt;&gt;"))</f>
        <v/>
      </c>
      <c r="AB99" s="27">
        <f>IF(E99="","",Z99-AA99)</f>
        <v/>
      </c>
      <c r="AC99" s="25">
        <f>IF(E99="","",IFERROR(IF(INDEX(tbl_Onsite[Qwilr Quote],MATCH(E99&amp;"",tbl_Onsite[Job Number],0))="","",INDEX(tbl_Onsite[Qwilr Quote],MATCH(E99&amp;"",tbl_Onsite[Job Number],0))),IFERROR(IF(IF(INDEX(tbl_Production[Current RMS No],MATCH(E99&amp;"",tbl_Production[Job Number],0))="",INDEX(tbl_Production[Qwilr Quote],MATCH(E99&amp;"",tbl_Production[Job Number],0)),INDEX(tbl_Production[Current RMS No],MATCH(E99&amp;"",tbl_Production[Job Number],0)))="","",IF(INDEX(tbl_Production[Current RMS No],MATCH(E99&amp;"",tbl_Production[Job Number],0))="",INDEX(tbl_Production[Qwilr Quote],MATCH(E99&amp;"",tbl_Production[Job Number],0)),INDEX(tbl_Production[Current RMS No],MATCH(E99&amp;"",tbl_Production[Job Number],0)))),IFERROR(IF(INDEX(tbl_Consulting[Qwilr Quote],MATCH(E99&amp;"",tbl_Consulting[Job Number],0))="","",INDEX(tbl_Consulting[Qwilr Quote],MATCH(E99&amp;"",tbl_Consulting[Job Number],0))),""))))</f>
        <v/>
      </c>
      <c r="AD99" s="25">
        <f>IF(AC99="","",IF(AND(LEFT(AC99,4)&lt;&gt;"http",IF(H99="Production",set_RMSBase,set_QwilrBase)=""),"",HYPERLINK(IF(LEFT(AC99,4)="http",AC99,IF(H99="Production",set_RMSBase,set_QwilrBase)&amp;AC99),"Open")))</f>
        <v/>
      </c>
      <c r="AE99" s="27">
        <f>IF(E99="","",IFERROR(INDEX(tbl_Production[Total Expense],MATCH(E99&amp;"",tbl_Production[Job Number],0)),IFERROR(INDEX(tbl_Consulting[Total Expense],MATCH(E99&amp;"",tbl_Consulting[Job Number],0)),0)))</f>
        <v/>
      </c>
      <c r="AF99" s="27">
        <f>IF(E99="","",Z99-N(AE99))</f>
        <v/>
      </c>
      <c r="AG99" s="29">
        <f>IFERROR(AF99/Z99,"")</f>
        <v/>
      </c>
      <c r="AH99" s="25">
        <f>IF(E99="","",IFERROR(IF(INDEX(tbl_Onsite[Notes],MATCH(E99&amp;"",tbl_Onsite[Job Number],0))="","",INDEX(tbl_Onsite[Notes],MATCH(E99&amp;"",tbl_Onsite[Job Number],0))),IFERROR(IF(INDEX(tbl_Production[Notes],MATCH(E99&amp;"",tbl_Production[Job Number],0))="","",INDEX(tbl_Production[Notes],MATCH(E99&amp;"",tbl_Production[Job Number],0))),IFERROR(IF(INDEX(tbl_Consulting[Notes],MATCH(E99&amp;"",tbl_Consulting[Job Number],0))="","",INDEX(tbl_Consulting[Notes],MATCH(E99&amp;"",tbl_Consulting[Job Number],0))),""))))</f>
        <v/>
      </c>
    </row>
    <row r="100" ht="15" customHeight="1">
      <c r="A100" s="22" t="n"/>
      <c r="B100" s="23">
        <f>IF(A100="","",EOMONTH(A100,0))</f>
        <v/>
      </c>
      <c r="C100" s="24" t="n"/>
      <c r="D100" s="24" t="n"/>
      <c r="E100" s="24" t="n"/>
      <c r="F100" s="25">
        <f>IF(E100="","",IF(COUNTIF(lst_Jobs,E100&amp;"")&gt;0,"OK","CHECK"))</f>
        <v/>
      </c>
      <c r="G100" s="24" t="n"/>
      <c r="H100" s="24" t="n"/>
      <c r="I100" s="24" t="n"/>
      <c r="J100" s="24" t="n"/>
      <c r="K100" s="24" t="n"/>
      <c r="L100" s="26" t="n"/>
      <c r="M100" s="27">
        <f>IF(L100="","",IF(K100="GST 10%",ROUND(L100*set_GSTRate,2),0))</f>
        <v/>
      </c>
      <c r="N100" s="27">
        <f>IF(L100="","",L100+M100)</f>
        <v/>
      </c>
      <c r="O100" s="24" t="n"/>
      <c r="P100" s="24" t="n"/>
      <c r="Q100" s="24" t="n"/>
      <c r="R100" s="22" t="n"/>
      <c r="S100" s="22" t="n"/>
      <c r="T100" s="24" t="n"/>
      <c r="U100" s="24" t="n"/>
      <c r="V100" s="25">
        <f>IF(COUNTA(A100,D100,C100,L100)=0,"",IF(A100="","No date - sits outside every month",IF(E100="","No job number",IF(F100="CHECK","Job number is not in the Xero job list",IF(I100="","No cost centre",IF(AND(P100="Y",C100=""),"Marked posted to Xero but has no invoice number",IF(AND(L100&lt;&gt;"",K100=""),"No tax code",IF(AND(L100&lt;&gt;"",O100=""),"No revenue GL code",""))))))))</f>
        <v/>
      </c>
      <c r="W100" s="25">
        <f>IF(E100="","",IF(COUNTIF(tbl_Onsite[Job Number],E100&amp;"")&gt;0,"Onsite",IF(COUNTIF(tbl_Production[Job Number],E100&amp;"")&gt;0,"Production",IF(COUNTIF(tbl_Consulting[Job Number],E100&amp;"")&gt;0,"Consulting","not set up yet"))))</f>
        <v/>
      </c>
      <c r="X100" s="25">
        <f>IF(E100="","",IFERROR(INDEX(lst_JobName,MATCH(E100&amp;"",lst_Jobs,0)),""))</f>
        <v/>
      </c>
      <c r="Y100" s="28">
        <f>IF(E100="","",COUNTIFS(tbl_Finance[Job Number],E100&amp;"",tbl_Finance[Ex GST],"&lt;&gt;"))</f>
        <v/>
      </c>
      <c r="Z100" s="27">
        <f>IF(E100="","",SUMIFS(tbl_Finance[Ex GST],tbl_Finance[Job Number],E100&amp;""))</f>
        <v/>
      </c>
      <c r="AA100" s="27">
        <f>IF(E100="","",SUMIFS(tbl_Finance[Ex GST],tbl_Finance[Job Number],E100&amp;"",tbl_Finance[Xero Invoice No],"&lt;&gt;"))</f>
        <v/>
      </c>
      <c r="AB100" s="27">
        <f>IF(E100="","",Z100-AA100)</f>
        <v/>
      </c>
      <c r="AC100" s="25">
        <f>IF(E100="","",IFERROR(IF(INDEX(tbl_Onsite[Qwilr Quote],MATCH(E100&amp;"",tbl_Onsite[Job Number],0))="","",INDEX(tbl_Onsite[Qwilr Quote],MATCH(E100&amp;"",tbl_Onsite[Job Number],0))),IFERROR(IF(IF(INDEX(tbl_Production[Current RMS No],MATCH(E100&amp;"",tbl_Production[Job Number],0))="",INDEX(tbl_Production[Qwilr Quote],MATCH(E100&amp;"",tbl_Production[Job Number],0)),INDEX(tbl_Production[Current RMS No],MATCH(E100&amp;"",tbl_Production[Job Number],0)))="","",IF(INDEX(tbl_Production[Current RMS No],MATCH(E100&amp;"",tbl_Production[Job Number],0))="",INDEX(tbl_Production[Qwilr Quote],MATCH(E100&amp;"",tbl_Production[Job Number],0)),INDEX(tbl_Production[Current RMS No],MATCH(E100&amp;"",tbl_Production[Job Number],0)))),IFERROR(IF(INDEX(tbl_Consulting[Qwilr Quote],MATCH(E100&amp;"",tbl_Consulting[Job Number],0))="","",INDEX(tbl_Consulting[Qwilr Quote],MATCH(E100&amp;"",tbl_Consulting[Job Number],0))),""))))</f>
        <v/>
      </c>
      <c r="AD100" s="25">
        <f>IF(AC100="","",IF(AND(LEFT(AC100,4)&lt;&gt;"http",IF(H100="Production",set_RMSBase,set_QwilrBase)=""),"",HYPERLINK(IF(LEFT(AC100,4)="http",AC100,IF(H100="Production",set_RMSBase,set_QwilrBase)&amp;AC100),"Open")))</f>
        <v/>
      </c>
      <c r="AE100" s="27">
        <f>IF(E100="","",IFERROR(INDEX(tbl_Production[Total Expense],MATCH(E100&amp;"",tbl_Production[Job Number],0)),IFERROR(INDEX(tbl_Consulting[Total Expense],MATCH(E100&amp;"",tbl_Consulting[Job Number],0)),0)))</f>
        <v/>
      </c>
      <c r="AF100" s="27">
        <f>IF(E100="","",Z100-N(AE100))</f>
        <v/>
      </c>
      <c r="AG100" s="29">
        <f>IFERROR(AF100/Z100,"")</f>
        <v/>
      </c>
      <c r="AH100" s="25">
        <f>IF(E100="","",IFERROR(IF(INDEX(tbl_Onsite[Notes],MATCH(E100&amp;"",tbl_Onsite[Job Number],0))="","",INDEX(tbl_Onsite[Notes],MATCH(E100&amp;"",tbl_Onsite[Job Number],0))),IFERROR(IF(INDEX(tbl_Production[Notes],MATCH(E100&amp;"",tbl_Production[Job Number],0))="","",INDEX(tbl_Production[Notes],MATCH(E100&amp;"",tbl_Production[Job Number],0))),IFERROR(IF(INDEX(tbl_Consulting[Notes],MATCH(E100&amp;"",tbl_Consulting[Job Number],0))="","",INDEX(tbl_Consulting[Notes],MATCH(E100&amp;"",tbl_Consulting[Job Number],0))),""))))</f>
        <v/>
      </c>
    </row>
    <row r="101" ht="15" customHeight="1">
      <c r="A101" s="22" t="n"/>
      <c r="B101" s="23">
        <f>IF(A101="","",EOMONTH(A101,0))</f>
        <v/>
      </c>
      <c r="C101" s="24" t="n"/>
      <c r="D101" s="24" t="n"/>
      <c r="E101" s="24" t="n"/>
      <c r="F101" s="25">
        <f>IF(E101="","",IF(COUNTIF(lst_Jobs,E101&amp;"")&gt;0,"OK","CHECK"))</f>
        <v/>
      </c>
      <c r="G101" s="24" t="n"/>
      <c r="H101" s="24" t="n"/>
      <c r="I101" s="24" t="n"/>
      <c r="J101" s="24" t="n"/>
      <c r="K101" s="24" t="n"/>
      <c r="L101" s="26" t="n"/>
      <c r="M101" s="27">
        <f>IF(L101="","",IF(K101="GST 10%",ROUND(L101*set_GSTRate,2),0))</f>
        <v/>
      </c>
      <c r="N101" s="27">
        <f>IF(L101="","",L101+M101)</f>
        <v/>
      </c>
      <c r="O101" s="24" t="n"/>
      <c r="P101" s="24" t="n"/>
      <c r="Q101" s="24" t="n"/>
      <c r="R101" s="22" t="n"/>
      <c r="S101" s="22" t="n"/>
      <c r="T101" s="24" t="n"/>
      <c r="U101" s="24" t="n"/>
      <c r="V101" s="25">
        <f>IF(COUNTA(A101,D101,C101,L101)=0,"",IF(A101="","No date - sits outside every month",IF(E101="","No job number",IF(F101="CHECK","Job number is not in the Xero job list",IF(I101="","No cost centre",IF(AND(P101="Y",C101=""),"Marked posted to Xero but has no invoice number",IF(AND(L101&lt;&gt;"",K101=""),"No tax code",IF(AND(L101&lt;&gt;"",O101=""),"No revenue GL code",""))))))))</f>
        <v/>
      </c>
      <c r="W101" s="25">
        <f>IF(E101="","",IF(COUNTIF(tbl_Onsite[Job Number],E101&amp;"")&gt;0,"Onsite",IF(COUNTIF(tbl_Production[Job Number],E101&amp;"")&gt;0,"Production",IF(COUNTIF(tbl_Consulting[Job Number],E101&amp;"")&gt;0,"Consulting","not set up yet"))))</f>
        <v/>
      </c>
      <c r="X101" s="25">
        <f>IF(E101="","",IFERROR(INDEX(lst_JobName,MATCH(E101&amp;"",lst_Jobs,0)),""))</f>
        <v/>
      </c>
      <c r="Y101" s="28">
        <f>IF(E101="","",COUNTIFS(tbl_Finance[Job Number],E101&amp;"",tbl_Finance[Ex GST],"&lt;&gt;"))</f>
        <v/>
      </c>
      <c r="Z101" s="27">
        <f>IF(E101="","",SUMIFS(tbl_Finance[Ex GST],tbl_Finance[Job Number],E101&amp;""))</f>
        <v/>
      </c>
      <c r="AA101" s="27">
        <f>IF(E101="","",SUMIFS(tbl_Finance[Ex GST],tbl_Finance[Job Number],E101&amp;"",tbl_Finance[Xero Invoice No],"&lt;&gt;"))</f>
        <v/>
      </c>
      <c r="AB101" s="27">
        <f>IF(E101="","",Z101-AA101)</f>
        <v/>
      </c>
      <c r="AC101" s="25">
        <f>IF(E101="","",IFERROR(IF(INDEX(tbl_Onsite[Qwilr Quote],MATCH(E101&amp;"",tbl_Onsite[Job Number],0))="","",INDEX(tbl_Onsite[Qwilr Quote],MATCH(E101&amp;"",tbl_Onsite[Job Number],0))),IFERROR(IF(IF(INDEX(tbl_Production[Current RMS No],MATCH(E101&amp;"",tbl_Production[Job Number],0))="",INDEX(tbl_Production[Qwilr Quote],MATCH(E101&amp;"",tbl_Production[Job Number],0)),INDEX(tbl_Production[Current RMS No],MATCH(E101&amp;"",tbl_Production[Job Number],0)))="","",IF(INDEX(tbl_Production[Current RMS No],MATCH(E101&amp;"",tbl_Production[Job Number],0))="",INDEX(tbl_Production[Qwilr Quote],MATCH(E101&amp;"",tbl_Production[Job Number],0)),INDEX(tbl_Production[Current RMS No],MATCH(E101&amp;"",tbl_Production[Job Number],0)))),IFERROR(IF(INDEX(tbl_Consulting[Qwilr Quote],MATCH(E101&amp;"",tbl_Consulting[Job Number],0))="","",INDEX(tbl_Consulting[Qwilr Quote],MATCH(E101&amp;"",tbl_Consulting[Job Number],0))),""))))</f>
        <v/>
      </c>
      <c r="AD101" s="25">
        <f>IF(AC101="","",IF(AND(LEFT(AC101,4)&lt;&gt;"http",IF(H101="Production",set_RMSBase,set_QwilrBase)=""),"",HYPERLINK(IF(LEFT(AC101,4)="http",AC101,IF(H101="Production",set_RMSBase,set_QwilrBase)&amp;AC101),"Open")))</f>
        <v/>
      </c>
      <c r="AE101" s="27">
        <f>IF(E101="","",IFERROR(INDEX(tbl_Production[Total Expense],MATCH(E101&amp;"",tbl_Production[Job Number],0)),IFERROR(INDEX(tbl_Consulting[Total Expense],MATCH(E101&amp;"",tbl_Consulting[Job Number],0)),0)))</f>
        <v/>
      </c>
      <c r="AF101" s="27">
        <f>IF(E101="","",Z101-N(AE101))</f>
        <v/>
      </c>
      <c r="AG101" s="29">
        <f>IFERROR(AF101/Z101,"")</f>
        <v/>
      </c>
      <c r="AH101" s="25">
        <f>IF(E101="","",IFERROR(IF(INDEX(tbl_Onsite[Notes],MATCH(E101&amp;"",tbl_Onsite[Job Number],0))="","",INDEX(tbl_Onsite[Notes],MATCH(E101&amp;"",tbl_Onsite[Job Number],0))),IFERROR(IF(INDEX(tbl_Production[Notes],MATCH(E101&amp;"",tbl_Production[Job Number],0))="","",INDEX(tbl_Production[Notes],MATCH(E101&amp;"",tbl_Production[Job Number],0))),IFERROR(IF(INDEX(tbl_Consulting[Notes],MATCH(E101&amp;"",tbl_Consulting[Job Number],0))="","",INDEX(tbl_Consulting[Notes],MATCH(E101&amp;"",tbl_Consulting[Job Number],0))),""))))</f>
        <v/>
      </c>
    </row>
    <row r="102" ht="15" customHeight="1">
      <c r="A102" s="22" t="n"/>
      <c r="B102" s="23">
        <f>IF(A102="","",EOMONTH(A102,0))</f>
        <v/>
      </c>
      <c r="C102" s="24" t="n"/>
      <c r="D102" s="24" t="n"/>
      <c r="E102" s="24" t="n"/>
      <c r="F102" s="25">
        <f>IF(E102="","",IF(COUNTIF(lst_Jobs,E102&amp;"")&gt;0,"OK","CHECK"))</f>
        <v/>
      </c>
      <c r="G102" s="24" t="n"/>
      <c r="H102" s="24" t="n"/>
      <c r="I102" s="24" t="n"/>
      <c r="J102" s="24" t="n"/>
      <c r="K102" s="24" t="n"/>
      <c r="L102" s="26" t="n"/>
      <c r="M102" s="27">
        <f>IF(L102="","",IF(K102="GST 10%",ROUND(L102*set_GSTRate,2),0))</f>
        <v/>
      </c>
      <c r="N102" s="27">
        <f>IF(L102="","",L102+M102)</f>
        <v/>
      </c>
      <c r="O102" s="24" t="n"/>
      <c r="P102" s="24" t="n"/>
      <c r="Q102" s="24" t="n"/>
      <c r="R102" s="22" t="n"/>
      <c r="S102" s="22" t="n"/>
      <c r="T102" s="24" t="n"/>
      <c r="U102" s="24" t="n"/>
      <c r="V102" s="25">
        <f>IF(COUNTA(A102,D102,C102,L102)=0,"",IF(A102="","No date - sits outside every month",IF(E102="","No job number",IF(F102="CHECK","Job number is not in the Xero job list",IF(I102="","No cost centre",IF(AND(P102="Y",C102=""),"Marked posted to Xero but has no invoice number",IF(AND(L102&lt;&gt;"",K102=""),"No tax code",IF(AND(L102&lt;&gt;"",O102=""),"No revenue GL code",""))))))))</f>
        <v/>
      </c>
      <c r="W102" s="25">
        <f>IF(E102="","",IF(COUNTIF(tbl_Onsite[Job Number],E102&amp;"")&gt;0,"Onsite",IF(COUNTIF(tbl_Production[Job Number],E102&amp;"")&gt;0,"Production",IF(COUNTIF(tbl_Consulting[Job Number],E102&amp;"")&gt;0,"Consulting","not set up yet"))))</f>
        <v/>
      </c>
      <c r="X102" s="25">
        <f>IF(E102="","",IFERROR(INDEX(lst_JobName,MATCH(E102&amp;"",lst_Jobs,0)),""))</f>
        <v/>
      </c>
      <c r="Y102" s="28">
        <f>IF(E102="","",COUNTIFS(tbl_Finance[Job Number],E102&amp;"",tbl_Finance[Ex GST],"&lt;&gt;"))</f>
        <v/>
      </c>
      <c r="Z102" s="27">
        <f>IF(E102="","",SUMIFS(tbl_Finance[Ex GST],tbl_Finance[Job Number],E102&amp;""))</f>
        <v/>
      </c>
      <c r="AA102" s="27">
        <f>IF(E102="","",SUMIFS(tbl_Finance[Ex GST],tbl_Finance[Job Number],E102&amp;"",tbl_Finance[Xero Invoice No],"&lt;&gt;"))</f>
        <v/>
      </c>
      <c r="AB102" s="27">
        <f>IF(E102="","",Z102-AA102)</f>
        <v/>
      </c>
      <c r="AC102" s="25">
        <f>IF(E102="","",IFERROR(IF(INDEX(tbl_Onsite[Qwilr Quote],MATCH(E102&amp;"",tbl_Onsite[Job Number],0))="","",INDEX(tbl_Onsite[Qwilr Quote],MATCH(E102&amp;"",tbl_Onsite[Job Number],0))),IFERROR(IF(IF(INDEX(tbl_Production[Current RMS No],MATCH(E102&amp;"",tbl_Production[Job Number],0))="",INDEX(tbl_Production[Qwilr Quote],MATCH(E102&amp;"",tbl_Production[Job Number],0)),INDEX(tbl_Production[Current RMS No],MATCH(E102&amp;"",tbl_Production[Job Number],0)))="","",IF(INDEX(tbl_Production[Current RMS No],MATCH(E102&amp;"",tbl_Production[Job Number],0))="",INDEX(tbl_Production[Qwilr Quote],MATCH(E102&amp;"",tbl_Production[Job Number],0)),INDEX(tbl_Production[Current RMS No],MATCH(E102&amp;"",tbl_Production[Job Number],0)))),IFERROR(IF(INDEX(tbl_Consulting[Qwilr Quote],MATCH(E102&amp;"",tbl_Consulting[Job Number],0))="","",INDEX(tbl_Consulting[Qwilr Quote],MATCH(E102&amp;"",tbl_Consulting[Job Number],0))),""))))</f>
        <v/>
      </c>
      <c r="AD102" s="25">
        <f>IF(AC102="","",IF(AND(LEFT(AC102,4)&lt;&gt;"http",IF(H102="Production",set_RMSBase,set_QwilrBase)=""),"",HYPERLINK(IF(LEFT(AC102,4)="http",AC102,IF(H102="Production",set_RMSBase,set_QwilrBase)&amp;AC102),"Open")))</f>
        <v/>
      </c>
      <c r="AE102" s="27">
        <f>IF(E102="","",IFERROR(INDEX(tbl_Production[Total Expense],MATCH(E102&amp;"",tbl_Production[Job Number],0)),IFERROR(INDEX(tbl_Consulting[Total Expense],MATCH(E102&amp;"",tbl_Consulting[Job Number],0)),0)))</f>
        <v/>
      </c>
      <c r="AF102" s="27">
        <f>IF(E102="","",Z102-N(AE102))</f>
        <v/>
      </c>
      <c r="AG102" s="29">
        <f>IFERROR(AF102/Z102,"")</f>
        <v/>
      </c>
      <c r="AH102" s="25">
        <f>IF(E102="","",IFERROR(IF(INDEX(tbl_Onsite[Notes],MATCH(E102&amp;"",tbl_Onsite[Job Number],0))="","",INDEX(tbl_Onsite[Notes],MATCH(E102&amp;"",tbl_Onsite[Job Number],0))),IFERROR(IF(INDEX(tbl_Production[Notes],MATCH(E102&amp;"",tbl_Production[Job Number],0))="","",INDEX(tbl_Production[Notes],MATCH(E102&amp;"",tbl_Production[Job Number],0))),IFERROR(IF(INDEX(tbl_Consulting[Notes],MATCH(E102&amp;"",tbl_Consulting[Job Number],0))="","",INDEX(tbl_Consulting[Notes],MATCH(E102&amp;"",tbl_Consulting[Job Number],0))),""))))</f>
        <v/>
      </c>
    </row>
    <row r="103" ht="15" customHeight="1">
      <c r="A103" s="22" t="n"/>
      <c r="B103" s="23">
        <f>IF(A103="","",EOMONTH(A103,0))</f>
        <v/>
      </c>
      <c r="C103" s="24" t="n"/>
      <c r="D103" s="24" t="n"/>
      <c r="E103" s="24" t="n"/>
      <c r="F103" s="25">
        <f>IF(E103="","",IF(COUNTIF(lst_Jobs,E103&amp;"")&gt;0,"OK","CHECK"))</f>
        <v/>
      </c>
      <c r="G103" s="24" t="n"/>
      <c r="H103" s="24" t="n"/>
      <c r="I103" s="24" t="n"/>
      <c r="J103" s="24" t="n"/>
      <c r="K103" s="24" t="n"/>
      <c r="L103" s="26" t="n"/>
      <c r="M103" s="27">
        <f>IF(L103="","",IF(K103="GST 10%",ROUND(L103*set_GSTRate,2),0))</f>
        <v/>
      </c>
      <c r="N103" s="27">
        <f>IF(L103="","",L103+M103)</f>
        <v/>
      </c>
      <c r="O103" s="24" t="n"/>
      <c r="P103" s="24" t="n"/>
      <c r="Q103" s="24" t="n"/>
      <c r="R103" s="22" t="n"/>
      <c r="S103" s="22" t="n"/>
      <c r="T103" s="24" t="n"/>
      <c r="U103" s="24" t="n"/>
      <c r="V103" s="25">
        <f>IF(COUNTA(A103,D103,C103,L103)=0,"",IF(A103="","No date - sits outside every month",IF(E103="","No job number",IF(F103="CHECK","Job number is not in the Xero job list",IF(I103="","No cost centre",IF(AND(P103="Y",C103=""),"Marked posted to Xero but has no invoice number",IF(AND(L103&lt;&gt;"",K103=""),"No tax code",IF(AND(L103&lt;&gt;"",O103=""),"No revenue GL code",""))))))))</f>
        <v/>
      </c>
      <c r="W103" s="25">
        <f>IF(E103="","",IF(COUNTIF(tbl_Onsite[Job Number],E103&amp;"")&gt;0,"Onsite",IF(COUNTIF(tbl_Production[Job Number],E103&amp;"")&gt;0,"Production",IF(COUNTIF(tbl_Consulting[Job Number],E103&amp;"")&gt;0,"Consulting","not set up yet"))))</f>
        <v/>
      </c>
      <c r="X103" s="25">
        <f>IF(E103="","",IFERROR(INDEX(lst_JobName,MATCH(E103&amp;"",lst_Jobs,0)),""))</f>
        <v/>
      </c>
      <c r="Y103" s="28">
        <f>IF(E103="","",COUNTIFS(tbl_Finance[Job Number],E103&amp;"",tbl_Finance[Ex GST],"&lt;&gt;"))</f>
        <v/>
      </c>
      <c r="Z103" s="27">
        <f>IF(E103="","",SUMIFS(tbl_Finance[Ex GST],tbl_Finance[Job Number],E103&amp;""))</f>
        <v/>
      </c>
      <c r="AA103" s="27">
        <f>IF(E103="","",SUMIFS(tbl_Finance[Ex GST],tbl_Finance[Job Number],E103&amp;"",tbl_Finance[Xero Invoice No],"&lt;&gt;"))</f>
        <v/>
      </c>
      <c r="AB103" s="27">
        <f>IF(E103="","",Z103-AA103)</f>
        <v/>
      </c>
      <c r="AC103" s="25">
        <f>IF(E103="","",IFERROR(IF(INDEX(tbl_Onsite[Qwilr Quote],MATCH(E103&amp;"",tbl_Onsite[Job Number],0))="","",INDEX(tbl_Onsite[Qwilr Quote],MATCH(E103&amp;"",tbl_Onsite[Job Number],0))),IFERROR(IF(IF(INDEX(tbl_Production[Current RMS No],MATCH(E103&amp;"",tbl_Production[Job Number],0))="",INDEX(tbl_Production[Qwilr Quote],MATCH(E103&amp;"",tbl_Production[Job Number],0)),INDEX(tbl_Production[Current RMS No],MATCH(E103&amp;"",tbl_Production[Job Number],0)))="","",IF(INDEX(tbl_Production[Current RMS No],MATCH(E103&amp;"",tbl_Production[Job Number],0))="",INDEX(tbl_Production[Qwilr Quote],MATCH(E103&amp;"",tbl_Production[Job Number],0)),INDEX(tbl_Production[Current RMS No],MATCH(E103&amp;"",tbl_Production[Job Number],0)))),IFERROR(IF(INDEX(tbl_Consulting[Qwilr Quote],MATCH(E103&amp;"",tbl_Consulting[Job Number],0))="","",INDEX(tbl_Consulting[Qwilr Quote],MATCH(E103&amp;"",tbl_Consulting[Job Number],0))),""))))</f>
        <v/>
      </c>
      <c r="AD103" s="25">
        <f>IF(AC103="","",IF(AND(LEFT(AC103,4)&lt;&gt;"http",IF(H103="Production",set_RMSBase,set_QwilrBase)=""),"",HYPERLINK(IF(LEFT(AC103,4)="http",AC103,IF(H103="Production",set_RMSBase,set_QwilrBase)&amp;AC103),"Open")))</f>
        <v/>
      </c>
      <c r="AE103" s="27">
        <f>IF(E103="","",IFERROR(INDEX(tbl_Production[Total Expense],MATCH(E103&amp;"",tbl_Production[Job Number],0)),IFERROR(INDEX(tbl_Consulting[Total Expense],MATCH(E103&amp;"",tbl_Consulting[Job Number],0)),0)))</f>
        <v/>
      </c>
      <c r="AF103" s="27">
        <f>IF(E103="","",Z103-N(AE103))</f>
        <v/>
      </c>
      <c r="AG103" s="29">
        <f>IFERROR(AF103/Z103,"")</f>
        <v/>
      </c>
      <c r="AH103" s="25">
        <f>IF(E103="","",IFERROR(IF(INDEX(tbl_Onsite[Notes],MATCH(E103&amp;"",tbl_Onsite[Job Number],0))="","",INDEX(tbl_Onsite[Notes],MATCH(E103&amp;"",tbl_Onsite[Job Number],0))),IFERROR(IF(INDEX(tbl_Production[Notes],MATCH(E103&amp;"",tbl_Production[Job Number],0))="","",INDEX(tbl_Production[Notes],MATCH(E103&amp;"",tbl_Production[Job Number],0))),IFERROR(IF(INDEX(tbl_Consulting[Notes],MATCH(E103&amp;"",tbl_Consulting[Job Number],0))="","",INDEX(tbl_Consulting[Notes],MATCH(E103&amp;"",tbl_Consulting[Job Number],0))),""))))</f>
        <v/>
      </c>
    </row>
    <row r="104" ht="15" customHeight="1">
      <c r="A104" s="22" t="n"/>
      <c r="B104" s="23">
        <f>IF(A104="","",EOMONTH(A104,0))</f>
        <v/>
      </c>
      <c r="C104" s="24" t="n"/>
      <c r="D104" s="24" t="n"/>
      <c r="E104" s="24" t="n"/>
      <c r="F104" s="25">
        <f>IF(E104="","",IF(COUNTIF(lst_Jobs,E104&amp;"")&gt;0,"OK","CHECK"))</f>
        <v/>
      </c>
      <c r="G104" s="24" t="n"/>
      <c r="H104" s="24" t="n"/>
      <c r="I104" s="24" t="n"/>
      <c r="J104" s="24" t="n"/>
      <c r="K104" s="24" t="n"/>
      <c r="L104" s="26" t="n"/>
      <c r="M104" s="27">
        <f>IF(L104="","",IF(K104="GST 10%",ROUND(L104*set_GSTRate,2),0))</f>
        <v/>
      </c>
      <c r="N104" s="27">
        <f>IF(L104="","",L104+M104)</f>
        <v/>
      </c>
      <c r="O104" s="24" t="n"/>
      <c r="P104" s="24" t="n"/>
      <c r="Q104" s="24" t="n"/>
      <c r="R104" s="22" t="n"/>
      <c r="S104" s="22" t="n"/>
      <c r="T104" s="24" t="n"/>
      <c r="U104" s="24" t="n"/>
      <c r="V104" s="25">
        <f>IF(COUNTA(A104,D104,C104,L104)=0,"",IF(A104="","No date - sits outside every month",IF(E104="","No job number",IF(F104="CHECK","Job number is not in the Xero job list",IF(I104="","No cost centre",IF(AND(P104="Y",C104=""),"Marked posted to Xero but has no invoice number",IF(AND(L104&lt;&gt;"",K104=""),"No tax code",IF(AND(L104&lt;&gt;"",O104=""),"No revenue GL code",""))))))))</f>
        <v/>
      </c>
      <c r="W104" s="25">
        <f>IF(E104="","",IF(COUNTIF(tbl_Onsite[Job Number],E104&amp;"")&gt;0,"Onsite",IF(COUNTIF(tbl_Production[Job Number],E104&amp;"")&gt;0,"Production",IF(COUNTIF(tbl_Consulting[Job Number],E104&amp;"")&gt;0,"Consulting","not set up yet"))))</f>
        <v/>
      </c>
      <c r="X104" s="25">
        <f>IF(E104="","",IFERROR(INDEX(lst_JobName,MATCH(E104&amp;"",lst_Jobs,0)),""))</f>
        <v/>
      </c>
      <c r="Y104" s="28">
        <f>IF(E104="","",COUNTIFS(tbl_Finance[Job Number],E104&amp;"",tbl_Finance[Ex GST],"&lt;&gt;"))</f>
        <v/>
      </c>
      <c r="Z104" s="27">
        <f>IF(E104="","",SUMIFS(tbl_Finance[Ex GST],tbl_Finance[Job Number],E104&amp;""))</f>
        <v/>
      </c>
      <c r="AA104" s="27">
        <f>IF(E104="","",SUMIFS(tbl_Finance[Ex GST],tbl_Finance[Job Number],E104&amp;"",tbl_Finance[Xero Invoice No],"&lt;&gt;"))</f>
        <v/>
      </c>
      <c r="AB104" s="27">
        <f>IF(E104="","",Z104-AA104)</f>
        <v/>
      </c>
      <c r="AC104" s="25">
        <f>IF(E104="","",IFERROR(IF(INDEX(tbl_Onsite[Qwilr Quote],MATCH(E104&amp;"",tbl_Onsite[Job Number],0))="","",INDEX(tbl_Onsite[Qwilr Quote],MATCH(E104&amp;"",tbl_Onsite[Job Number],0))),IFERROR(IF(IF(INDEX(tbl_Production[Current RMS No],MATCH(E104&amp;"",tbl_Production[Job Number],0))="",INDEX(tbl_Production[Qwilr Quote],MATCH(E104&amp;"",tbl_Production[Job Number],0)),INDEX(tbl_Production[Current RMS No],MATCH(E104&amp;"",tbl_Production[Job Number],0)))="","",IF(INDEX(tbl_Production[Current RMS No],MATCH(E104&amp;"",tbl_Production[Job Number],0))="",INDEX(tbl_Production[Qwilr Quote],MATCH(E104&amp;"",tbl_Production[Job Number],0)),INDEX(tbl_Production[Current RMS No],MATCH(E104&amp;"",tbl_Production[Job Number],0)))),IFERROR(IF(INDEX(tbl_Consulting[Qwilr Quote],MATCH(E104&amp;"",tbl_Consulting[Job Number],0))="","",INDEX(tbl_Consulting[Qwilr Quote],MATCH(E104&amp;"",tbl_Consulting[Job Number],0))),""))))</f>
        <v/>
      </c>
      <c r="AD104" s="25">
        <f>IF(AC104="","",IF(AND(LEFT(AC104,4)&lt;&gt;"http",IF(H104="Production",set_RMSBase,set_QwilrBase)=""),"",HYPERLINK(IF(LEFT(AC104,4)="http",AC104,IF(H104="Production",set_RMSBase,set_QwilrBase)&amp;AC104),"Open")))</f>
        <v/>
      </c>
      <c r="AE104" s="27">
        <f>IF(E104="","",IFERROR(INDEX(tbl_Production[Total Expense],MATCH(E104&amp;"",tbl_Production[Job Number],0)),IFERROR(INDEX(tbl_Consulting[Total Expense],MATCH(E104&amp;"",tbl_Consulting[Job Number],0)),0)))</f>
        <v/>
      </c>
      <c r="AF104" s="27">
        <f>IF(E104="","",Z104-N(AE104))</f>
        <v/>
      </c>
      <c r="AG104" s="29">
        <f>IFERROR(AF104/Z104,"")</f>
        <v/>
      </c>
      <c r="AH104" s="25">
        <f>IF(E104="","",IFERROR(IF(INDEX(tbl_Onsite[Notes],MATCH(E104&amp;"",tbl_Onsite[Job Number],0))="","",INDEX(tbl_Onsite[Notes],MATCH(E104&amp;"",tbl_Onsite[Job Number],0))),IFERROR(IF(INDEX(tbl_Production[Notes],MATCH(E104&amp;"",tbl_Production[Job Number],0))="","",INDEX(tbl_Production[Notes],MATCH(E104&amp;"",tbl_Production[Job Number],0))),IFERROR(IF(INDEX(tbl_Consulting[Notes],MATCH(E104&amp;"",tbl_Consulting[Job Number],0))="","",INDEX(tbl_Consulting[Notes],MATCH(E104&amp;"",tbl_Consulting[Job Number],0))),""))))</f>
        <v/>
      </c>
    </row>
    <row r="105" ht="15" customHeight="1">
      <c r="A105" s="22" t="n"/>
      <c r="B105" s="23">
        <f>IF(A105="","",EOMONTH(A105,0))</f>
        <v/>
      </c>
      <c r="C105" s="24" t="n"/>
      <c r="D105" s="24" t="n"/>
      <c r="E105" s="24" t="n"/>
      <c r="F105" s="25">
        <f>IF(E105="","",IF(COUNTIF(lst_Jobs,E105&amp;"")&gt;0,"OK","CHECK"))</f>
        <v/>
      </c>
      <c r="G105" s="24" t="n"/>
      <c r="H105" s="24" t="n"/>
      <c r="I105" s="24" t="n"/>
      <c r="J105" s="24" t="n"/>
      <c r="K105" s="24" t="n"/>
      <c r="L105" s="26" t="n"/>
      <c r="M105" s="27">
        <f>IF(L105="","",IF(K105="GST 10%",ROUND(L105*set_GSTRate,2),0))</f>
        <v/>
      </c>
      <c r="N105" s="27">
        <f>IF(L105="","",L105+M105)</f>
        <v/>
      </c>
      <c r="O105" s="24" t="n"/>
      <c r="P105" s="24" t="n"/>
      <c r="Q105" s="24" t="n"/>
      <c r="R105" s="22" t="n"/>
      <c r="S105" s="22" t="n"/>
      <c r="T105" s="24" t="n"/>
      <c r="U105" s="24" t="n"/>
      <c r="V105" s="25">
        <f>IF(COUNTA(A105,D105,C105,L105)=0,"",IF(A105="","No date - sits outside every month",IF(E105="","No job number",IF(F105="CHECK","Job number is not in the Xero job list",IF(I105="","No cost centre",IF(AND(P105="Y",C105=""),"Marked posted to Xero but has no invoice number",IF(AND(L105&lt;&gt;"",K105=""),"No tax code",IF(AND(L105&lt;&gt;"",O105=""),"No revenue GL code",""))))))))</f>
        <v/>
      </c>
      <c r="W105" s="25">
        <f>IF(E105="","",IF(COUNTIF(tbl_Onsite[Job Number],E105&amp;"")&gt;0,"Onsite",IF(COUNTIF(tbl_Production[Job Number],E105&amp;"")&gt;0,"Production",IF(COUNTIF(tbl_Consulting[Job Number],E105&amp;"")&gt;0,"Consulting","not set up yet"))))</f>
        <v/>
      </c>
      <c r="X105" s="25">
        <f>IF(E105="","",IFERROR(INDEX(lst_JobName,MATCH(E105&amp;"",lst_Jobs,0)),""))</f>
        <v/>
      </c>
      <c r="Y105" s="28">
        <f>IF(E105="","",COUNTIFS(tbl_Finance[Job Number],E105&amp;"",tbl_Finance[Ex GST],"&lt;&gt;"))</f>
        <v/>
      </c>
      <c r="Z105" s="27">
        <f>IF(E105="","",SUMIFS(tbl_Finance[Ex GST],tbl_Finance[Job Number],E105&amp;""))</f>
        <v/>
      </c>
      <c r="AA105" s="27">
        <f>IF(E105="","",SUMIFS(tbl_Finance[Ex GST],tbl_Finance[Job Number],E105&amp;"",tbl_Finance[Xero Invoice No],"&lt;&gt;"))</f>
        <v/>
      </c>
      <c r="AB105" s="27">
        <f>IF(E105="","",Z105-AA105)</f>
        <v/>
      </c>
      <c r="AC105" s="25">
        <f>IF(E105="","",IFERROR(IF(INDEX(tbl_Onsite[Qwilr Quote],MATCH(E105&amp;"",tbl_Onsite[Job Number],0))="","",INDEX(tbl_Onsite[Qwilr Quote],MATCH(E105&amp;"",tbl_Onsite[Job Number],0))),IFERROR(IF(IF(INDEX(tbl_Production[Current RMS No],MATCH(E105&amp;"",tbl_Production[Job Number],0))="",INDEX(tbl_Production[Qwilr Quote],MATCH(E105&amp;"",tbl_Production[Job Number],0)),INDEX(tbl_Production[Current RMS No],MATCH(E105&amp;"",tbl_Production[Job Number],0)))="","",IF(INDEX(tbl_Production[Current RMS No],MATCH(E105&amp;"",tbl_Production[Job Number],0))="",INDEX(tbl_Production[Qwilr Quote],MATCH(E105&amp;"",tbl_Production[Job Number],0)),INDEX(tbl_Production[Current RMS No],MATCH(E105&amp;"",tbl_Production[Job Number],0)))),IFERROR(IF(INDEX(tbl_Consulting[Qwilr Quote],MATCH(E105&amp;"",tbl_Consulting[Job Number],0))="","",INDEX(tbl_Consulting[Qwilr Quote],MATCH(E105&amp;"",tbl_Consulting[Job Number],0))),""))))</f>
        <v/>
      </c>
      <c r="AD105" s="25">
        <f>IF(AC105="","",IF(AND(LEFT(AC105,4)&lt;&gt;"http",IF(H105="Production",set_RMSBase,set_QwilrBase)=""),"",HYPERLINK(IF(LEFT(AC105,4)="http",AC105,IF(H105="Production",set_RMSBase,set_QwilrBase)&amp;AC105),"Open")))</f>
        <v/>
      </c>
      <c r="AE105" s="27">
        <f>IF(E105="","",IFERROR(INDEX(tbl_Production[Total Expense],MATCH(E105&amp;"",tbl_Production[Job Number],0)),IFERROR(INDEX(tbl_Consulting[Total Expense],MATCH(E105&amp;"",tbl_Consulting[Job Number],0)),0)))</f>
        <v/>
      </c>
      <c r="AF105" s="27">
        <f>IF(E105="","",Z105-N(AE105))</f>
        <v/>
      </c>
      <c r="AG105" s="29">
        <f>IFERROR(AF105/Z105,"")</f>
        <v/>
      </c>
      <c r="AH105" s="25">
        <f>IF(E105="","",IFERROR(IF(INDEX(tbl_Onsite[Notes],MATCH(E105&amp;"",tbl_Onsite[Job Number],0))="","",INDEX(tbl_Onsite[Notes],MATCH(E105&amp;"",tbl_Onsite[Job Number],0))),IFERROR(IF(INDEX(tbl_Production[Notes],MATCH(E105&amp;"",tbl_Production[Job Number],0))="","",INDEX(tbl_Production[Notes],MATCH(E105&amp;"",tbl_Production[Job Number],0))),IFERROR(IF(INDEX(tbl_Consulting[Notes],MATCH(E105&amp;"",tbl_Consulting[Job Number],0))="","",INDEX(tbl_Consulting[Notes],MATCH(E105&amp;"",tbl_Consulting[Job Number],0))),""))))</f>
        <v/>
      </c>
    </row>
    <row r="106" ht="15" customHeight="1">
      <c r="A106" s="22" t="n"/>
      <c r="B106" s="23">
        <f>IF(A106="","",EOMONTH(A106,0))</f>
        <v/>
      </c>
      <c r="C106" s="24" t="n"/>
      <c r="D106" s="24" t="n"/>
      <c r="E106" s="24" t="n"/>
      <c r="F106" s="25">
        <f>IF(E106="","",IF(COUNTIF(lst_Jobs,E106&amp;"")&gt;0,"OK","CHECK"))</f>
        <v/>
      </c>
      <c r="G106" s="24" t="n"/>
      <c r="H106" s="24" t="n"/>
      <c r="I106" s="24" t="n"/>
      <c r="J106" s="24" t="n"/>
      <c r="K106" s="24" t="n"/>
      <c r="L106" s="26" t="n"/>
      <c r="M106" s="27">
        <f>IF(L106="","",IF(K106="GST 10%",ROUND(L106*set_GSTRate,2),0))</f>
        <v/>
      </c>
      <c r="N106" s="27">
        <f>IF(L106="","",L106+M106)</f>
        <v/>
      </c>
      <c r="O106" s="24" t="n"/>
      <c r="P106" s="24" t="n"/>
      <c r="Q106" s="24" t="n"/>
      <c r="R106" s="22" t="n"/>
      <c r="S106" s="22" t="n"/>
      <c r="T106" s="24" t="n"/>
      <c r="U106" s="24" t="n"/>
      <c r="V106" s="25">
        <f>IF(COUNTA(A106,D106,C106,L106)=0,"",IF(A106="","No date - sits outside every month",IF(E106="","No job number",IF(F106="CHECK","Job number is not in the Xero job list",IF(I106="","No cost centre",IF(AND(P106="Y",C106=""),"Marked posted to Xero but has no invoice number",IF(AND(L106&lt;&gt;"",K106=""),"No tax code",IF(AND(L106&lt;&gt;"",O106=""),"No revenue GL code",""))))))))</f>
        <v/>
      </c>
      <c r="W106" s="25">
        <f>IF(E106="","",IF(COUNTIF(tbl_Onsite[Job Number],E106&amp;"")&gt;0,"Onsite",IF(COUNTIF(tbl_Production[Job Number],E106&amp;"")&gt;0,"Production",IF(COUNTIF(tbl_Consulting[Job Number],E106&amp;"")&gt;0,"Consulting","not set up yet"))))</f>
        <v/>
      </c>
      <c r="X106" s="25">
        <f>IF(E106="","",IFERROR(INDEX(lst_JobName,MATCH(E106&amp;"",lst_Jobs,0)),""))</f>
        <v/>
      </c>
      <c r="Y106" s="28">
        <f>IF(E106="","",COUNTIFS(tbl_Finance[Job Number],E106&amp;"",tbl_Finance[Ex GST],"&lt;&gt;"))</f>
        <v/>
      </c>
      <c r="Z106" s="27">
        <f>IF(E106="","",SUMIFS(tbl_Finance[Ex GST],tbl_Finance[Job Number],E106&amp;""))</f>
        <v/>
      </c>
      <c r="AA106" s="27">
        <f>IF(E106="","",SUMIFS(tbl_Finance[Ex GST],tbl_Finance[Job Number],E106&amp;"",tbl_Finance[Xero Invoice No],"&lt;&gt;"))</f>
        <v/>
      </c>
      <c r="AB106" s="27">
        <f>IF(E106="","",Z106-AA106)</f>
        <v/>
      </c>
      <c r="AC106" s="25">
        <f>IF(E106="","",IFERROR(IF(INDEX(tbl_Onsite[Qwilr Quote],MATCH(E106&amp;"",tbl_Onsite[Job Number],0))="","",INDEX(tbl_Onsite[Qwilr Quote],MATCH(E106&amp;"",tbl_Onsite[Job Number],0))),IFERROR(IF(IF(INDEX(tbl_Production[Current RMS No],MATCH(E106&amp;"",tbl_Production[Job Number],0))="",INDEX(tbl_Production[Qwilr Quote],MATCH(E106&amp;"",tbl_Production[Job Number],0)),INDEX(tbl_Production[Current RMS No],MATCH(E106&amp;"",tbl_Production[Job Number],0)))="","",IF(INDEX(tbl_Production[Current RMS No],MATCH(E106&amp;"",tbl_Production[Job Number],0))="",INDEX(tbl_Production[Qwilr Quote],MATCH(E106&amp;"",tbl_Production[Job Number],0)),INDEX(tbl_Production[Current RMS No],MATCH(E106&amp;"",tbl_Production[Job Number],0)))),IFERROR(IF(INDEX(tbl_Consulting[Qwilr Quote],MATCH(E106&amp;"",tbl_Consulting[Job Number],0))="","",INDEX(tbl_Consulting[Qwilr Quote],MATCH(E106&amp;"",tbl_Consulting[Job Number],0))),""))))</f>
        <v/>
      </c>
      <c r="AD106" s="25">
        <f>IF(AC106="","",IF(AND(LEFT(AC106,4)&lt;&gt;"http",IF(H106="Production",set_RMSBase,set_QwilrBase)=""),"",HYPERLINK(IF(LEFT(AC106,4)="http",AC106,IF(H106="Production",set_RMSBase,set_QwilrBase)&amp;AC106),"Open")))</f>
        <v/>
      </c>
      <c r="AE106" s="27">
        <f>IF(E106="","",IFERROR(INDEX(tbl_Production[Total Expense],MATCH(E106&amp;"",tbl_Production[Job Number],0)),IFERROR(INDEX(tbl_Consulting[Total Expense],MATCH(E106&amp;"",tbl_Consulting[Job Number],0)),0)))</f>
        <v/>
      </c>
      <c r="AF106" s="27">
        <f>IF(E106="","",Z106-N(AE106))</f>
        <v/>
      </c>
      <c r="AG106" s="29">
        <f>IFERROR(AF106/Z106,"")</f>
        <v/>
      </c>
      <c r="AH106" s="25">
        <f>IF(E106="","",IFERROR(IF(INDEX(tbl_Onsite[Notes],MATCH(E106&amp;"",tbl_Onsite[Job Number],0))="","",INDEX(tbl_Onsite[Notes],MATCH(E106&amp;"",tbl_Onsite[Job Number],0))),IFERROR(IF(INDEX(tbl_Production[Notes],MATCH(E106&amp;"",tbl_Production[Job Number],0))="","",INDEX(tbl_Production[Notes],MATCH(E106&amp;"",tbl_Production[Job Number],0))),IFERROR(IF(INDEX(tbl_Consulting[Notes],MATCH(E106&amp;"",tbl_Consulting[Job Number],0))="","",INDEX(tbl_Consulting[Notes],MATCH(E106&amp;"",tbl_Consulting[Job Number],0))),""))))</f>
        <v/>
      </c>
    </row>
    <row r="107" ht="15" customHeight="1">
      <c r="A107" s="22" t="n"/>
      <c r="B107" s="23">
        <f>IF(A107="","",EOMONTH(A107,0))</f>
        <v/>
      </c>
      <c r="C107" s="24" t="n"/>
      <c r="D107" s="24" t="n"/>
      <c r="E107" s="24" t="n"/>
      <c r="F107" s="25">
        <f>IF(E107="","",IF(COUNTIF(lst_Jobs,E107&amp;"")&gt;0,"OK","CHECK"))</f>
        <v/>
      </c>
      <c r="G107" s="24" t="n"/>
      <c r="H107" s="24" t="n"/>
      <c r="I107" s="24" t="n"/>
      <c r="J107" s="24" t="n"/>
      <c r="K107" s="24" t="n"/>
      <c r="L107" s="26" t="n"/>
      <c r="M107" s="27">
        <f>IF(L107="","",IF(K107="GST 10%",ROUND(L107*set_GSTRate,2),0))</f>
        <v/>
      </c>
      <c r="N107" s="27">
        <f>IF(L107="","",L107+M107)</f>
        <v/>
      </c>
      <c r="O107" s="24" t="n"/>
      <c r="P107" s="24" t="n"/>
      <c r="Q107" s="24" t="n"/>
      <c r="R107" s="22" t="n"/>
      <c r="S107" s="22" t="n"/>
      <c r="T107" s="24" t="n"/>
      <c r="U107" s="24" t="n"/>
      <c r="V107" s="25">
        <f>IF(COUNTA(A107,D107,C107,L107)=0,"",IF(A107="","No date - sits outside every month",IF(E107="","No job number",IF(F107="CHECK","Job number is not in the Xero job list",IF(I107="","No cost centre",IF(AND(P107="Y",C107=""),"Marked posted to Xero but has no invoice number",IF(AND(L107&lt;&gt;"",K107=""),"No tax code",IF(AND(L107&lt;&gt;"",O107=""),"No revenue GL code",""))))))))</f>
        <v/>
      </c>
      <c r="W107" s="25">
        <f>IF(E107="","",IF(COUNTIF(tbl_Onsite[Job Number],E107&amp;"")&gt;0,"Onsite",IF(COUNTIF(tbl_Production[Job Number],E107&amp;"")&gt;0,"Production",IF(COUNTIF(tbl_Consulting[Job Number],E107&amp;"")&gt;0,"Consulting","not set up yet"))))</f>
        <v/>
      </c>
      <c r="X107" s="25">
        <f>IF(E107="","",IFERROR(INDEX(lst_JobName,MATCH(E107&amp;"",lst_Jobs,0)),""))</f>
        <v/>
      </c>
      <c r="Y107" s="28">
        <f>IF(E107="","",COUNTIFS(tbl_Finance[Job Number],E107&amp;"",tbl_Finance[Ex GST],"&lt;&gt;"))</f>
        <v/>
      </c>
      <c r="Z107" s="27">
        <f>IF(E107="","",SUMIFS(tbl_Finance[Ex GST],tbl_Finance[Job Number],E107&amp;""))</f>
        <v/>
      </c>
      <c r="AA107" s="27">
        <f>IF(E107="","",SUMIFS(tbl_Finance[Ex GST],tbl_Finance[Job Number],E107&amp;"",tbl_Finance[Xero Invoice No],"&lt;&gt;"))</f>
        <v/>
      </c>
      <c r="AB107" s="27">
        <f>IF(E107="","",Z107-AA107)</f>
        <v/>
      </c>
      <c r="AC107" s="25">
        <f>IF(E107="","",IFERROR(IF(INDEX(tbl_Onsite[Qwilr Quote],MATCH(E107&amp;"",tbl_Onsite[Job Number],0))="","",INDEX(tbl_Onsite[Qwilr Quote],MATCH(E107&amp;"",tbl_Onsite[Job Number],0))),IFERROR(IF(IF(INDEX(tbl_Production[Current RMS No],MATCH(E107&amp;"",tbl_Production[Job Number],0))="",INDEX(tbl_Production[Qwilr Quote],MATCH(E107&amp;"",tbl_Production[Job Number],0)),INDEX(tbl_Production[Current RMS No],MATCH(E107&amp;"",tbl_Production[Job Number],0)))="","",IF(INDEX(tbl_Production[Current RMS No],MATCH(E107&amp;"",tbl_Production[Job Number],0))="",INDEX(tbl_Production[Qwilr Quote],MATCH(E107&amp;"",tbl_Production[Job Number],0)),INDEX(tbl_Production[Current RMS No],MATCH(E107&amp;"",tbl_Production[Job Number],0)))),IFERROR(IF(INDEX(tbl_Consulting[Qwilr Quote],MATCH(E107&amp;"",tbl_Consulting[Job Number],0))="","",INDEX(tbl_Consulting[Qwilr Quote],MATCH(E107&amp;"",tbl_Consulting[Job Number],0))),""))))</f>
        <v/>
      </c>
      <c r="AD107" s="25">
        <f>IF(AC107="","",IF(AND(LEFT(AC107,4)&lt;&gt;"http",IF(H107="Production",set_RMSBase,set_QwilrBase)=""),"",HYPERLINK(IF(LEFT(AC107,4)="http",AC107,IF(H107="Production",set_RMSBase,set_QwilrBase)&amp;AC107),"Open")))</f>
        <v/>
      </c>
      <c r="AE107" s="27">
        <f>IF(E107="","",IFERROR(INDEX(tbl_Production[Total Expense],MATCH(E107&amp;"",tbl_Production[Job Number],0)),IFERROR(INDEX(tbl_Consulting[Total Expense],MATCH(E107&amp;"",tbl_Consulting[Job Number],0)),0)))</f>
        <v/>
      </c>
      <c r="AF107" s="27">
        <f>IF(E107="","",Z107-N(AE107))</f>
        <v/>
      </c>
      <c r="AG107" s="29">
        <f>IFERROR(AF107/Z107,"")</f>
        <v/>
      </c>
      <c r="AH107" s="25">
        <f>IF(E107="","",IFERROR(IF(INDEX(tbl_Onsite[Notes],MATCH(E107&amp;"",tbl_Onsite[Job Number],0))="","",INDEX(tbl_Onsite[Notes],MATCH(E107&amp;"",tbl_Onsite[Job Number],0))),IFERROR(IF(INDEX(tbl_Production[Notes],MATCH(E107&amp;"",tbl_Production[Job Number],0))="","",INDEX(tbl_Production[Notes],MATCH(E107&amp;"",tbl_Production[Job Number],0))),IFERROR(IF(INDEX(tbl_Consulting[Notes],MATCH(E107&amp;"",tbl_Consulting[Job Number],0))="","",INDEX(tbl_Consulting[Notes],MATCH(E107&amp;"",tbl_Consulting[Job Number],0))),""))))</f>
        <v/>
      </c>
    </row>
    <row r="108" ht="15" customHeight="1">
      <c r="A108" s="22" t="n"/>
      <c r="B108" s="23">
        <f>IF(A108="","",EOMONTH(A108,0))</f>
        <v/>
      </c>
      <c r="C108" s="24" t="n"/>
      <c r="D108" s="24" t="n"/>
      <c r="E108" s="24" t="n"/>
      <c r="F108" s="25">
        <f>IF(E108="","",IF(COUNTIF(lst_Jobs,E108&amp;"")&gt;0,"OK","CHECK"))</f>
        <v/>
      </c>
      <c r="G108" s="24" t="n"/>
      <c r="H108" s="24" t="n"/>
      <c r="I108" s="24" t="n"/>
      <c r="J108" s="24" t="n"/>
      <c r="K108" s="24" t="n"/>
      <c r="L108" s="26" t="n"/>
      <c r="M108" s="27">
        <f>IF(L108="","",IF(K108="GST 10%",ROUND(L108*set_GSTRate,2),0))</f>
        <v/>
      </c>
      <c r="N108" s="27">
        <f>IF(L108="","",L108+M108)</f>
        <v/>
      </c>
      <c r="O108" s="24" t="n"/>
      <c r="P108" s="24" t="n"/>
      <c r="Q108" s="24" t="n"/>
      <c r="R108" s="22" t="n"/>
      <c r="S108" s="22" t="n"/>
      <c r="T108" s="24" t="n"/>
      <c r="U108" s="24" t="n"/>
      <c r="V108" s="25">
        <f>IF(COUNTA(A108,D108,C108,L108)=0,"",IF(A108="","No date - sits outside every month",IF(E108="","No job number",IF(F108="CHECK","Job number is not in the Xero job list",IF(I108="","No cost centre",IF(AND(P108="Y",C108=""),"Marked posted to Xero but has no invoice number",IF(AND(L108&lt;&gt;"",K108=""),"No tax code",IF(AND(L108&lt;&gt;"",O108=""),"No revenue GL code",""))))))))</f>
        <v/>
      </c>
      <c r="W108" s="25">
        <f>IF(E108="","",IF(COUNTIF(tbl_Onsite[Job Number],E108&amp;"")&gt;0,"Onsite",IF(COUNTIF(tbl_Production[Job Number],E108&amp;"")&gt;0,"Production",IF(COUNTIF(tbl_Consulting[Job Number],E108&amp;"")&gt;0,"Consulting","not set up yet"))))</f>
        <v/>
      </c>
      <c r="X108" s="25">
        <f>IF(E108="","",IFERROR(INDEX(lst_JobName,MATCH(E108&amp;"",lst_Jobs,0)),""))</f>
        <v/>
      </c>
      <c r="Y108" s="28">
        <f>IF(E108="","",COUNTIFS(tbl_Finance[Job Number],E108&amp;"",tbl_Finance[Ex GST],"&lt;&gt;"))</f>
        <v/>
      </c>
      <c r="Z108" s="27">
        <f>IF(E108="","",SUMIFS(tbl_Finance[Ex GST],tbl_Finance[Job Number],E108&amp;""))</f>
        <v/>
      </c>
      <c r="AA108" s="27">
        <f>IF(E108="","",SUMIFS(tbl_Finance[Ex GST],tbl_Finance[Job Number],E108&amp;"",tbl_Finance[Xero Invoice No],"&lt;&gt;"))</f>
        <v/>
      </c>
      <c r="AB108" s="27">
        <f>IF(E108="","",Z108-AA108)</f>
        <v/>
      </c>
      <c r="AC108" s="25">
        <f>IF(E108="","",IFERROR(IF(INDEX(tbl_Onsite[Qwilr Quote],MATCH(E108&amp;"",tbl_Onsite[Job Number],0))="","",INDEX(tbl_Onsite[Qwilr Quote],MATCH(E108&amp;"",tbl_Onsite[Job Number],0))),IFERROR(IF(IF(INDEX(tbl_Production[Current RMS No],MATCH(E108&amp;"",tbl_Production[Job Number],0))="",INDEX(tbl_Production[Qwilr Quote],MATCH(E108&amp;"",tbl_Production[Job Number],0)),INDEX(tbl_Production[Current RMS No],MATCH(E108&amp;"",tbl_Production[Job Number],0)))="","",IF(INDEX(tbl_Production[Current RMS No],MATCH(E108&amp;"",tbl_Production[Job Number],0))="",INDEX(tbl_Production[Qwilr Quote],MATCH(E108&amp;"",tbl_Production[Job Number],0)),INDEX(tbl_Production[Current RMS No],MATCH(E108&amp;"",tbl_Production[Job Number],0)))),IFERROR(IF(INDEX(tbl_Consulting[Qwilr Quote],MATCH(E108&amp;"",tbl_Consulting[Job Number],0))="","",INDEX(tbl_Consulting[Qwilr Quote],MATCH(E108&amp;"",tbl_Consulting[Job Number],0))),""))))</f>
        <v/>
      </c>
      <c r="AD108" s="25">
        <f>IF(AC108="","",IF(AND(LEFT(AC108,4)&lt;&gt;"http",IF(H108="Production",set_RMSBase,set_QwilrBase)=""),"",HYPERLINK(IF(LEFT(AC108,4)="http",AC108,IF(H108="Production",set_RMSBase,set_QwilrBase)&amp;AC108),"Open")))</f>
        <v/>
      </c>
      <c r="AE108" s="27">
        <f>IF(E108="","",IFERROR(INDEX(tbl_Production[Total Expense],MATCH(E108&amp;"",tbl_Production[Job Number],0)),IFERROR(INDEX(tbl_Consulting[Total Expense],MATCH(E108&amp;"",tbl_Consulting[Job Number],0)),0)))</f>
        <v/>
      </c>
      <c r="AF108" s="27">
        <f>IF(E108="","",Z108-N(AE108))</f>
        <v/>
      </c>
      <c r="AG108" s="29">
        <f>IFERROR(AF108/Z108,"")</f>
        <v/>
      </c>
      <c r="AH108" s="25">
        <f>IF(E108="","",IFERROR(IF(INDEX(tbl_Onsite[Notes],MATCH(E108&amp;"",tbl_Onsite[Job Number],0))="","",INDEX(tbl_Onsite[Notes],MATCH(E108&amp;"",tbl_Onsite[Job Number],0))),IFERROR(IF(INDEX(tbl_Production[Notes],MATCH(E108&amp;"",tbl_Production[Job Number],0))="","",INDEX(tbl_Production[Notes],MATCH(E108&amp;"",tbl_Production[Job Number],0))),IFERROR(IF(INDEX(tbl_Consulting[Notes],MATCH(E108&amp;"",tbl_Consulting[Job Number],0))="","",INDEX(tbl_Consulting[Notes],MATCH(E108&amp;"",tbl_Consulting[Job Number],0))),""))))</f>
        <v/>
      </c>
    </row>
    <row r="109" ht="15" customHeight="1">
      <c r="A109" s="22" t="n"/>
      <c r="B109" s="23">
        <f>IF(A109="","",EOMONTH(A109,0))</f>
        <v/>
      </c>
      <c r="C109" s="24" t="n"/>
      <c r="D109" s="24" t="n"/>
      <c r="E109" s="24" t="n"/>
      <c r="F109" s="25">
        <f>IF(E109="","",IF(COUNTIF(lst_Jobs,E109&amp;"")&gt;0,"OK","CHECK"))</f>
        <v/>
      </c>
      <c r="G109" s="24" t="n"/>
      <c r="H109" s="24" t="n"/>
      <c r="I109" s="24" t="n"/>
      <c r="J109" s="24" t="n"/>
      <c r="K109" s="24" t="n"/>
      <c r="L109" s="26" t="n"/>
      <c r="M109" s="27">
        <f>IF(L109="","",IF(K109="GST 10%",ROUND(L109*set_GSTRate,2),0))</f>
        <v/>
      </c>
      <c r="N109" s="27">
        <f>IF(L109="","",L109+M109)</f>
        <v/>
      </c>
      <c r="O109" s="24" t="n"/>
      <c r="P109" s="24" t="n"/>
      <c r="Q109" s="24" t="n"/>
      <c r="R109" s="22" t="n"/>
      <c r="S109" s="22" t="n"/>
      <c r="T109" s="24" t="n"/>
      <c r="U109" s="24" t="n"/>
      <c r="V109" s="25">
        <f>IF(COUNTA(A109,D109,C109,L109)=0,"",IF(A109="","No date - sits outside every month",IF(E109="","No job number",IF(F109="CHECK","Job number is not in the Xero job list",IF(I109="","No cost centre",IF(AND(P109="Y",C109=""),"Marked posted to Xero but has no invoice number",IF(AND(L109&lt;&gt;"",K109=""),"No tax code",IF(AND(L109&lt;&gt;"",O109=""),"No revenue GL code",""))))))))</f>
        <v/>
      </c>
      <c r="W109" s="25">
        <f>IF(E109="","",IF(COUNTIF(tbl_Onsite[Job Number],E109&amp;"")&gt;0,"Onsite",IF(COUNTIF(tbl_Production[Job Number],E109&amp;"")&gt;0,"Production",IF(COUNTIF(tbl_Consulting[Job Number],E109&amp;"")&gt;0,"Consulting","not set up yet"))))</f>
        <v/>
      </c>
      <c r="X109" s="25">
        <f>IF(E109="","",IFERROR(INDEX(lst_JobName,MATCH(E109&amp;"",lst_Jobs,0)),""))</f>
        <v/>
      </c>
      <c r="Y109" s="28">
        <f>IF(E109="","",COUNTIFS(tbl_Finance[Job Number],E109&amp;"",tbl_Finance[Ex GST],"&lt;&gt;"))</f>
        <v/>
      </c>
      <c r="Z109" s="27">
        <f>IF(E109="","",SUMIFS(tbl_Finance[Ex GST],tbl_Finance[Job Number],E109&amp;""))</f>
        <v/>
      </c>
      <c r="AA109" s="27">
        <f>IF(E109="","",SUMIFS(tbl_Finance[Ex GST],tbl_Finance[Job Number],E109&amp;"",tbl_Finance[Xero Invoice No],"&lt;&gt;"))</f>
        <v/>
      </c>
      <c r="AB109" s="27">
        <f>IF(E109="","",Z109-AA109)</f>
        <v/>
      </c>
      <c r="AC109" s="25">
        <f>IF(E109="","",IFERROR(IF(INDEX(tbl_Onsite[Qwilr Quote],MATCH(E109&amp;"",tbl_Onsite[Job Number],0))="","",INDEX(tbl_Onsite[Qwilr Quote],MATCH(E109&amp;"",tbl_Onsite[Job Number],0))),IFERROR(IF(IF(INDEX(tbl_Production[Current RMS No],MATCH(E109&amp;"",tbl_Production[Job Number],0))="",INDEX(tbl_Production[Qwilr Quote],MATCH(E109&amp;"",tbl_Production[Job Number],0)),INDEX(tbl_Production[Current RMS No],MATCH(E109&amp;"",tbl_Production[Job Number],0)))="","",IF(INDEX(tbl_Production[Current RMS No],MATCH(E109&amp;"",tbl_Production[Job Number],0))="",INDEX(tbl_Production[Qwilr Quote],MATCH(E109&amp;"",tbl_Production[Job Number],0)),INDEX(tbl_Production[Current RMS No],MATCH(E109&amp;"",tbl_Production[Job Number],0)))),IFERROR(IF(INDEX(tbl_Consulting[Qwilr Quote],MATCH(E109&amp;"",tbl_Consulting[Job Number],0))="","",INDEX(tbl_Consulting[Qwilr Quote],MATCH(E109&amp;"",tbl_Consulting[Job Number],0))),""))))</f>
        <v/>
      </c>
      <c r="AD109" s="25">
        <f>IF(AC109="","",IF(AND(LEFT(AC109,4)&lt;&gt;"http",IF(H109="Production",set_RMSBase,set_QwilrBase)=""),"",HYPERLINK(IF(LEFT(AC109,4)="http",AC109,IF(H109="Production",set_RMSBase,set_QwilrBase)&amp;AC109),"Open")))</f>
        <v/>
      </c>
      <c r="AE109" s="27">
        <f>IF(E109="","",IFERROR(INDEX(tbl_Production[Total Expense],MATCH(E109&amp;"",tbl_Production[Job Number],0)),IFERROR(INDEX(tbl_Consulting[Total Expense],MATCH(E109&amp;"",tbl_Consulting[Job Number],0)),0)))</f>
        <v/>
      </c>
      <c r="AF109" s="27">
        <f>IF(E109="","",Z109-N(AE109))</f>
        <v/>
      </c>
      <c r="AG109" s="29">
        <f>IFERROR(AF109/Z109,"")</f>
        <v/>
      </c>
      <c r="AH109" s="25">
        <f>IF(E109="","",IFERROR(IF(INDEX(tbl_Onsite[Notes],MATCH(E109&amp;"",tbl_Onsite[Job Number],0))="","",INDEX(tbl_Onsite[Notes],MATCH(E109&amp;"",tbl_Onsite[Job Number],0))),IFERROR(IF(INDEX(tbl_Production[Notes],MATCH(E109&amp;"",tbl_Production[Job Number],0))="","",INDEX(tbl_Production[Notes],MATCH(E109&amp;"",tbl_Production[Job Number],0))),IFERROR(IF(INDEX(tbl_Consulting[Notes],MATCH(E109&amp;"",tbl_Consulting[Job Number],0))="","",INDEX(tbl_Consulting[Notes],MATCH(E109&amp;"",tbl_Consulting[Job Number],0))),""))))</f>
        <v/>
      </c>
    </row>
    <row r="110" ht="15" customHeight="1">
      <c r="A110" s="22" t="n"/>
      <c r="B110" s="23">
        <f>IF(A110="","",EOMONTH(A110,0))</f>
        <v/>
      </c>
      <c r="C110" s="24" t="n"/>
      <c r="D110" s="24" t="n"/>
      <c r="E110" s="24" t="n"/>
      <c r="F110" s="25">
        <f>IF(E110="","",IF(COUNTIF(lst_Jobs,E110&amp;"")&gt;0,"OK","CHECK"))</f>
        <v/>
      </c>
      <c r="G110" s="24" t="n"/>
      <c r="H110" s="24" t="n"/>
      <c r="I110" s="24" t="n"/>
      <c r="J110" s="24" t="n"/>
      <c r="K110" s="24" t="n"/>
      <c r="L110" s="26" t="n"/>
      <c r="M110" s="27">
        <f>IF(L110="","",IF(K110="GST 10%",ROUND(L110*set_GSTRate,2),0))</f>
        <v/>
      </c>
      <c r="N110" s="27">
        <f>IF(L110="","",L110+M110)</f>
        <v/>
      </c>
      <c r="O110" s="24" t="n"/>
      <c r="P110" s="24" t="n"/>
      <c r="Q110" s="24" t="n"/>
      <c r="R110" s="22" t="n"/>
      <c r="S110" s="22" t="n"/>
      <c r="T110" s="24" t="n"/>
      <c r="U110" s="24" t="n"/>
      <c r="V110" s="25">
        <f>IF(COUNTA(A110,D110,C110,L110)=0,"",IF(A110="","No date - sits outside every month",IF(E110="","No job number",IF(F110="CHECK","Job number is not in the Xero job list",IF(I110="","No cost centre",IF(AND(P110="Y",C110=""),"Marked posted to Xero but has no invoice number",IF(AND(L110&lt;&gt;"",K110=""),"No tax code",IF(AND(L110&lt;&gt;"",O110=""),"No revenue GL code",""))))))))</f>
        <v/>
      </c>
      <c r="W110" s="25">
        <f>IF(E110="","",IF(COUNTIF(tbl_Onsite[Job Number],E110&amp;"")&gt;0,"Onsite",IF(COUNTIF(tbl_Production[Job Number],E110&amp;"")&gt;0,"Production",IF(COUNTIF(tbl_Consulting[Job Number],E110&amp;"")&gt;0,"Consulting","not set up yet"))))</f>
        <v/>
      </c>
      <c r="X110" s="25">
        <f>IF(E110="","",IFERROR(INDEX(lst_JobName,MATCH(E110&amp;"",lst_Jobs,0)),""))</f>
        <v/>
      </c>
      <c r="Y110" s="28">
        <f>IF(E110="","",COUNTIFS(tbl_Finance[Job Number],E110&amp;"",tbl_Finance[Ex GST],"&lt;&gt;"))</f>
        <v/>
      </c>
      <c r="Z110" s="27">
        <f>IF(E110="","",SUMIFS(tbl_Finance[Ex GST],tbl_Finance[Job Number],E110&amp;""))</f>
        <v/>
      </c>
      <c r="AA110" s="27">
        <f>IF(E110="","",SUMIFS(tbl_Finance[Ex GST],tbl_Finance[Job Number],E110&amp;"",tbl_Finance[Xero Invoice No],"&lt;&gt;"))</f>
        <v/>
      </c>
      <c r="AB110" s="27">
        <f>IF(E110="","",Z110-AA110)</f>
        <v/>
      </c>
      <c r="AC110" s="25">
        <f>IF(E110="","",IFERROR(IF(INDEX(tbl_Onsite[Qwilr Quote],MATCH(E110&amp;"",tbl_Onsite[Job Number],0))="","",INDEX(tbl_Onsite[Qwilr Quote],MATCH(E110&amp;"",tbl_Onsite[Job Number],0))),IFERROR(IF(IF(INDEX(tbl_Production[Current RMS No],MATCH(E110&amp;"",tbl_Production[Job Number],0))="",INDEX(tbl_Production[Qwilr Quote],MATCH(E110&amp;"",tbl_Production[Job Number],0)),INDEX(tbl_Production[Current RMS No],MATCH(E110&amp;"",tbl_Production[Job Number],0)))="","",IF(INDEX(tbl_Production[Current RMS No],MATCH(E110&amp;"",tbl_Production[Job Number],0))="",INDEX(tbl_Production[Qwilr Quote],MATCH(E110&amp;"",tbl_Production[Job Number],0)),INDEX(tbl_Production[Current RMS No],MATCH(E110&amp;"",tbl_Production[Job Number],0)))),IFERROR(IF(INDEX(tbl_Consulting[Qwilr Quote],MATCH(E110&amp;"",tbl_Consulting[Job Number],0))="","",INDEX(tbl_Consulting[Qwilr Quote],MATCH(E110&amp;"",tbl_Consulting[Job Number],0))),""))))</f>
        <v/>
      </c>
      <c r="AD110" s="25">
        <f>IF(AC110="","",IF(AND(LEFT(AC110,4)&lt;&gt;"http",IF(H110="Production",set_RMSBase,set_QwilrBase)=""),"",HYPERLINK(IF(LEFT(AC110,4)="http",AC110,IF(H110="Production",set_RMSBase,set_QwilrBase)&amp;AC110),"Open")))</f>
        <v/>
      </c>
      <c r="AE110" s="27">
        <f>IF(E110="","",IFERROR(INDEX(tbl_Production[Total Expense],MATCH(E110&amp;"",tbl_Production[Job Number],0)),IFERROR(INDEX(tbl_Consulting[Total Expense],MATCH(E110&amp;"",tbl_Consulting[Job Number],0)),0)))</f>
        <v/>
      </c>
      <c r="AF110" s="27">
        <f>IF(E110="","",Z110-N(AE110))</f>
        <v/>
      </c>
      <c r="AG110" s="29">
        <f>IFERROR(AF110/Z110,"")</f>
        <v/>
      </c>
      <c r="AH110" s="25">
        <f>IF(E110="","",IFERROR(IF(INDEX(tbl_Onsite[Notes],MATCH(E110&amp;"",tbl_Onsite[Job Number],0))="","",INDEX(tbl_Onsite[Notes],MATCH(E110&amp;"",tbl_Onsite[Job Number],0))),IFERROR(IF(INDEX(tbl_Production[Notes],MATCH(E110&amp;"",tbl_Production[Job Number],0))="","",INDEX(tbl_Production[Notes],MATCH(E110&amp;"",tbl_Production[Job Number],0))),IFERROR(IF(INDEX(tbl_Consulting[Notes],MATCH(E110&amp;"",tbl_Consulting[Job Number],0))="","",INDEX(tbl_Consulting[Notes],MATCH(E110&amp;"",tbl_Consulting[Job Number],0))),""))))</f>
        <v/>
      </c>
    </row>
    <row r="111" ht="15" customHeight="1">
      <c r="A111" s="22" t="n"/>
      <c r="B111" s="23">
        <f>IF(A111="","",EOMONTH(A111,0))</f>
        <v/>
      </c>
      <c r="C111" s="24" t="n"/>
      <c r="D111" s="24" t="n"/>
      <c r="E111" s="24" t="n"/>
      <c r="F111" s="25">
        <f>IF(E111="","",IF(COUNTIF(lst_Jobs,E111&amp;"")&gt;0,"OK","CHECK"))</f>
        <v/>
      </c>
      <c r="G111" s="24" t="n"/>
      <c r="H111" s="24" t="n"/>
      <c r="I111" s="24" t="n"/>
      <c r="J111" s="24" t="n"/>
      <c r="K111" s="24" t="n"/>
      <c r="L111" s="26" t="n"/>
      <c r="M111" s="27">
        <f>IF(L111="","",IF(K111="GST 10%",ROUND(L111*set_GSTRate,2),0))</f>
        <v/>
      </c>
      <c r="N111" s="27">
        <f>IF(L111="","",L111+M111)</f>
        <v/>
      </c>
      <c r="O111" s="24" t="n"/>
      <c r="P111" s="24" t="n"/>
      <c r="Q111" s="24" t="n"/>
      <c r="R111" s="22" t="n"/>
      <c r="S111" s="22" t="n"/>
      <c r="T111" s="24" t="n"/>
      <c r="U111" s="24" t="n"/>
      <c r="V111" s="25">
        <f>IF(COUNTA(A111,D111,C111,L111)=0,"",IF(A111="","No date - sits outside every month",IF(E111="","No job number",IF(F111="CHECK","Job number is not in the Xero job list",IF(I111="","No cost centre",IF(AND(P111="Y",C111=""),"Marked posted to Xero but has no invoice number",IF(AND(L111&lt;&gt;"",K111=""),"No tax code",IF(AND(L111&lt;&gt;"",O111=""),"No revenue GL code",""))))))))</f>
        <v/>
      </c>
      <c r="W111" s="25">
        <f>IF(E111="","",IF(COUNTIF(tbl_Onsite[Job Number],E111&amp;"")&gt;0,"Onsite",IF(COUNTIF(tbl_Production[Job Number],E111&amp;"")&gt;0,"Production",IF(COUNTIF(tbl_Consulting[Job Number],E111&amp;"")&gt;0,"Consulting","not set up yet"))))</f>
        <v/>
      </c>
      <c r="X111" s="25">
        <f>IF(E111="","",IFERROR(INDEX(lst_JobName,MATCH(E111&amp;"",lst_Jobs,0)),""))</f>
        <v/>
      </c>
      <c r="Y111" s="28">
        <f>IF(E111="","",COUNTIFS(tbl_Finance[Job Number],E111&amp;"",tbl_Finance[Ex GST],"&lt;&gt;"))</f>
        <v/>
      </c>
      <c r="Z111" s="27">
        <f>IF(E111="","",SUMIFS(tbl_Finance[Ex GST],tbl_Finance[Job Number],E111&amp;""))</f>
        <v/>
      </c>
      <c r="AA111" s="27">
        <f>IF(E111="","",SUMIFS(tbl_Finance[Ex GST],tbl_Finance[Job Number],E111&amp;"",tbl_Finance[Xero Invoice No],"&lt;&gt;"))</f>
        <v/>
      </c>
      <c r="AB111" s="27">
        <f>IF(E111="","",Z111-AA111)</f>
        <v/>
      </c>
      <c r="AC111" s="25">
        <f>IF(E111="","",IFERROR(IF(INDEX(tbl_Onsite[Qwilr Quote],MATCH(E111&amp;"",tbl_Onsite[Job Number],0))="","",INDEX(tbl_Onsite[Qwilr Quote],MATCH(E111&amp;"",tbl_Onsite[Job Number],0))),IFERROR(IF(IF(INDEX(tbl_Production[Current RMS No],MATCH(E111&amp;"",tbl_Production[Job Number],0))="",INDEX(tbl_Production[Qwilr Quote],MATCH(E111&amp;"",tbl_Production[Job Number],0)),INDEX(tbl_Production[Current RMS No],MATCH(E111&amp;"",tbl_Production[Job Number],0)))="","",IF(INDEX(tbl_Production[Current RMS No],MATCH(E111&amp;"",tbl_Production[Job Number],0))="",INDEX(tbl_Production[Qwilr Quote],MATCH(E111&amp;"",tbl_Production[Job Number],0)),INDEX(tbl_Production[Current RMS No],MATCH(E111&amp;"",tbl_Production[Job Number],0)))),IFERROR(IF(INDEX(tbl_Consulting[Qwilr Quote],MATCH(E111&amp;"",tbl_Consulting[Job Number],0))="","",INDEX(tbl_Consulting[Qwilr Quote],MATCH(E111&amp;"",tbl_Consulting[Job Number],0))),""))))</f>
        <v/>
      </c>
      <c r="AD111" s="25">
        <f>IF(AC111="","",IF(AND(LEFT(AC111,4)&lt;&gt;"http",IF(H111="Production",set_RMSBase,set_QwilrBase)=""),"",HYPERLINK(IF(LEFT(AC111,4)="http",AC111,IF(H111="Production",set_RMSBase,set_QwilrBase)&amp;AC111),"Open")))</f>
        <v/>
      </c>
      <c r="AE111" s="27">
        <f>IF(E111="","",IFERROR(INDEX(tbl_Production[Total Expense],MATCH(E111&amp;"",tbl_Production[Job Number],0)),IFERROR(INDEX(tbl_Consulting[Total Expense],MATCH(E111&amp;"",tbl_Consulting[Job Number],0)),0)))</f>
        <v/>
      </c>
      <c r="AF111" s="27">
        <f>IF(E111="","",Z111-N(AE111))</f>
        <v/>
      </c>
      <c r="AG111" s="29">
        <f>IFERROR(AF111/Z111,"")</f>
        <v/>
      </c>
      <c r="AH111" s="25">
        <f>IF(E111="","",IFERROR(IF(INDEX(tbl_Onsite[Notes],MATCH(E111&amp;"",tbl_Onsite[Job Number],0))="","",INDEX(tbl_Onsite[Notes],MATCH(E111&amp;"",tbl_Onsite[Job Number],0))),IFERROR(IF(INDEX(tbl_Production[Notes],MATCH(E111&amp;"",tbl_Production[Job Number],0))="","",INDEX(tbl_Production[Notes],MATCH(E111&amp;"",tbl_Production[Job Number],0))),IFERROR(IF(INDEX(tbl_Consulting[Notes],MATCH(E111&amp;"",tbl_Consulting[Job Number],0))="","",INDEX(tbl_Consulting[Notes],MATCH(E111&amp;"",tbl_Consulting[Job Number],0))),""))))</f>
        <v/>
      </c>
    </row>
    <row r="112" ht="15" customHeight="1">
      <c r="A112" s="22" t="n"/>
      <c r="B112" s="23">
        <f>IF(A112="","",EOMONTH(A112,0))</f>
        <v/>
      </c>
      <c r="C112" s="24" t="n"/>
      <c r="D112" s="24" t="n"/>
      <c r="E112" s="24" t="n"/>
      <c r="F112" s="25">
        <f>IF(E112="","",IF(COUNTIF(lst_Jobs,E112&amp;"")&gt;0,"OK","CHECK"))</f>
        <v/>
      </c>
      <c r="G112" s="24" t="n"/>
      <c r="H112" s="24" t="n"/>
      <c r="I112" s="24" t="n"/>
      <c r="J112" s="24" t="n"/>
      <c r="K112" s="24" t="n"/>
      <c r="L112" s="26" t="n"/>
      <c r="M112" s="27">
        <f>IF(L112="","",IF(K112="GST 10%",ROUND(L112*set_GSTRate,2),0))</f>
        <v/>
      </c>
      <c r="N112" s="27">
        <f>IF(L112="","",L112+M112)</f>
        <v/>
      </c>
      <c r="O112" s="24" t="n"/>
      <c r="P112" s="24" t="n"/>
      <c r="Q112" s="24" t="n"/>
      <c r="R112" s="22" t="n"/>
      <c r="S112" s="22" t="n"/>
      <c r="T112" s="24" t="n"/>
      <c r="U112" s="24" t="n"/>
      <c r="V112" s="25">
        <f>IF(COUNTA(A112,D112,C112,L112)=0,"",IF(A112="","No date - sits outside every month",IF(E112="","No job number",IF(F112="CHECK","Job number is not in the Xero job list",IF(I112="","No cost centre",IF(AND(P112="Y",C112=""),"Marked posted to Xero but has no invoice number",IF(AND(L112&lt;&gt;"",K112=""),"No tax code",IF(AND(L112&lt;&gt;"",O112=""),"No revenue GL code",""))))))))</f>
        <v/>
      </c>
      <c r="W112" s="25">
        <f>IF(E112="","",IF(COUNTIF(tbl_Onsite[Job Number],E112&amp;"")&gt;0,"Onsite",IF(COUNTIF(tbl_Production[Job Number],E112&amp;"")&gt;0,"Production",IF(COUNTIF(tbl_Consulting[Job Number],E112&amp;"")&gt;0,"Consulting","not set up yet"))))</f>
        <v/>
      </c>
      <c r="X112" s="25">
        <f>IF(E112="","",IFERROR(INDEX(lst_JobName,MATCH(E112&amp;"",lst_Jobs,0)),""))</f>
        <v/>
      </c>
      <c r="Y112" s="28">
        <f>IF(E112="","",COUNTIFS(tbl_Finance[Job Number],E112&amp;"",tbl_Finance[Ex GST],"&lt;&gt;"))</f>
        <v/>
      </c>
      <c r="Z112" s="27">
        <f>IF(E112="","",SUMIFS(tbl_Finance[Ex GST],tbl_Finance[Job Number],E112&amp;""))</f>
        <v/>
      </c>
      <c r="AA112" s="27">
        <f>IF(E112="","",SUMIFS(tbl_Finance[Ex GST],tbl_Finance[Job Number],E112&amp;"",tbl_Finance[Xero Invoice No],"&lt;&gt;"))</f>
        <v/>
      </c>
      <c r="AB112" s="27">
        <f>IF(E112="","",Z112-AA112)</f>
        <v/>
      </c>
      <c r="AC112" s="25">
        <f>IF(E112="","",IFERROR(IF(INDEX(tbl_Onsite[Qwilr Quote],MATCH(E112&amp;"",tbl_Onsite[Job Number],0))="","",INDEX(tbl_Onsite[Qwilr Quote],MATCH(E112&amp;"",tbl_Onsite[Job Number],0))),IFERROR(IF(IF(INDEX(tbl_Production[Current RMS No],MATCH(E112&amp;"",tbl_Production[Job Number],0))="",INDEX(tbl_Production[Qwilr Quote],MATCH(E112&amp;"",tbl_Production[Job Number],0)),INDEX(tbl_Production[Current RMS No],MATCH(E112&amp;"",tbl_Production[Job Number],0)))="","",IF(INDEX(tbl_Production[Current RMS No],MATCH(E112&amp;"",tbl_Production[Job Number],0))="",INDEX(tbl_Production[Qwilr Quote],MATCH(E112&amp;"",tbl_Production[Job Number],0)),INDEX(tbl_Production[Current RMS No],MATCH(E112&amp;"",tbl_Production[Job Number],0)))),IFERROR(IF(INDEX(tbl_Consulting[Qwilr Quote],MATCH(E112&amp;"",tbl_Consulting[Job Number],0))="","",INDEX(tbl_Consulting[Qwilr Quote],MATCH(E112&amp;"",tbl_Consulting[Job Number],0))),""))))</f>
        <v/>
      </c>
      <c r="AD112" s="25">
        <f>IF(AC112="","",IF(AND(LEFT(AC112,4)&lt;&gt;"http",IF(H112="Production",set_RMSBase,set_QwilrBase)=""),"",HYPERLINK(IF(LEFT(AC112,4)="http",AC112,IF(H112="Production",set_RMSBase,set_QwilrBase)&amp;AC112),"Open")))</f>
        <v/>
      </c>
      <c r="AE112" s="27">
        <f>IF(E112="","",IFERROR(INDEX(tbl_Production[Total Expense],MATCH(E112&amp;"",tbl_Production[Job Number],0)),IFERROR(INDEX(tbl_Consulting[Total Expense],MATCH(E112&amp;"",tbl_Consulting[Job Number],0)),0)))</f>
        <v/>
      </c>
      <c r="AF112" s="27">
        <f>IF(E112="","",Z112-N(AE112))</f>
        <v/>
      </c>
      <c r="AG112" s="29">
        <f>IFERROR(AF112/Z112,"")</f>
        <v/>
      </c>
      <c r="AH112" s="25">
        <f>IF(E112="","",IFERROR(IF(INDEX(tbl_Onsite[Notes],MATCH(E112&amp;"",tbl_Onsite[Job Number],0))="","",INDEX(tbl_Onsite[Notes],MATCH(E112&amp;"",tbl_Onsite[Job Number],0))),IFERROR(IF(INDEX(tbl_Production[Notes],MATCH(E112&amp;"",tbl_Production[Job Number],0))="","",INDEX(tbl_Production[Notes],MATCH(E112&amp;"",tbl_Production[Job Number],0))),IFERROR(IF(INDEX(tbl_Consulting[Notes],MATCH(E112&amp;"",tbl_Consulting[Job Number],0))="","",INDEX(tbl_Consulting[Notes],MATCH(E112&amp;"",tbl_Consulting[Job Number],0))),""))))</f>
        <v/>
      </c>
    </row>
    <row r="113" ht="15" customHeight="1">
      <c r="A113" s="22" t="n"/>
      <c r="B113" s="23">
        <f>IF(A113="","",EOMONTH(A113,0))</f>
        <v/>
      </c>
      <c r="C113" s="24" t="n"/>
      <c r="D113" s="24" t="n"/>
      <c r="E113" s="24" t="n"/>
      <c r="F113" s="25">
        <f>IF(E113="","",IF(COUNTIF(lst_Jobs,E113&amp;"")&gt;0,"OK","CHECK"))</f>
        <v/>
      </c>
      <c r="G113" s="24" t="n"/>
      <c r="H113" s="24" t="n"/>
      <c r="I113" s="24" t="n"/>
      <c r="J113" s="24" t="n"/>
      <c r="K113" s="24" t="n"/>
      <c r="L113" s="26" t="n"/>
      <c r="M113" s="27">
        <f>IF(L113="","",IF(K113="GST 10%",ROUND(L113*set_GSTRate,2),0))</f>
        <v/>
      </c>
      <c r="N113" s="27">
        <f>IF(L113="","",L113+M113)</f>
        <v/>
      </c>
      <c r="O113" s="24" t="n"/>
      <c r="P113" s="24" t="n"/>
      <c r="Q113" s="24" t="n"/>
      <c r="R113" s="22" t="n"/>
      <c r="S113" s="22" t="n"/>
      <c r="T113" s="24" t="n"/>
      <c r="U113" s="24" t="n"/>
      <c r="V113" s="25">
        <f>IF(COUNTA(A113,D113,C113,L113)=0,"",IF(A113="","No date - sits outside every month",IF(E113="","No job number",IF(F113="CHECK","Job number is not in the Xero job list",IF(I113="","No cost centre",IF(AND(P113="Y",C113=""),"Marked posted to Xero but has no invoice number",IF(AND(L113&lt;&gt;"",K113=""),"No tax code",IF(AND(L113&lt;&gt;"",O113=""),"No revenue GL code",""))))))))</f>
        <v/>
      </c>
      <c r="W113" s="25">
        <f>IF(E113="","",IF(COUNTIF(tbl_Onsite[Job Number],E113&amp;"")&gt;0,"Onsite",IF(COUNTIF(tbl_Production[Job Number],E113&amp;"")&gt;0,"Production",IF(COUNTIF(tbl_Consulting[Job Number],E113&amp;"")&gt;0,"Consulting","not set up yet"))))</f>
        <v/>
      </c>
      <c r="X113" s="25">
        <f>IF(E113="","",IFERROR(INDEX(lst_JobName,MATCH(E113&amp;"",lst_Jobs,0)),""))</f>
        <v/>
      </c>
      <c r="Y113" s="28">
        <f>IF(E113="","",COUNTIFS(tbl_Finance[Job Number],E113&amp;"",tbl_Finance[Ex GST],"&lt;&gt;"))</f>
        <v/>
      </c>
      <c r="Z113" s="27">
        <f>IF(E113="","",SUMIFS(tbl_Finance[Ex GST],tbl_Finance[Job Number],E113&amp;""))</f>
        <v/>
      </c>
      <c r="AA113" s="27">
        <f>IF(E113="","",SUMIFS(tbl_Finance[Ex GST],tbl_Finance[Job Number],E113&amp;"",tbl_Finance[Xero Invoice No],"&lt;&gt;"))</f>
        <v/>
      </c>
      <c r="AB113" s="27">
        <f>IF(E113="","",Z113-AA113)</f>
        <v/>
      </c>
      <c r="AC113" s="25">
        <f>IF(E113="","",IFERROR(IF(INDEX(tbl_Onsite[Qwilr Quote],MATCH(E113&amp;"",tbl_Onsite[Job Number],0))="","",INDEX(tbl_Onsite[Qwilr Quote],MATCH(E113&amp;"",tbl_Onsite[Job Number],0))),IFERROR(IF(IF(INDEX(tbl_Production[Current RMS No],MATCH(E113&amp;"",tbl_Production[Job Number],0))="",INDEX(tbl_Production[Qwilr Quote],MATCH(E113&amp;"",tbl_Production[Job Number],0)),INDEX(tbl_Production[Current RMS No],MATCH(E113&amp;"",tbl_Production[Job Number],0)))="","",IF(INDEX(tbl_Production[Current RMS No],MATCH(E113&amp;"",tbl_Production[Job Number],0))="",INDEX(tbl_Production[Qwilr Quote],MATCH(E113&amp;"",tbl_Production[Job Number],0)),INDEX(tbl_Production[Current RMS No],MATCH(E113&amp;"",tbl_Production[Job Number],0)))),IFERROR(IF(INDEX(tbl_Consulting[Qwilr Quote],MATCH(E113&amp;"",tbl_Consulting[Job Number],0))="","",INDEX(tbl_Consulting[Qwilr Quote],MATCH(E113&amp;"",tbl_Consulting[Job Number],0))),""))))</f>
        <v/>
      </c>
      <c r="AD113" s="25">
        <f>IF(AC113="","",IF(AND(LEFT(AC113,4)&lt;&gt;"http",IF(H113="Production",set_RMSBase,set_QwilrBase)=""),"",HYPERLINK(IF(LEFT(AC113,4)="http",AC113,IF(H113="Production",set_RMSBase,set_QwilrBase)&amp;AC113),"Open")))</f>
        <v/>
      </c>
      <c r="AE113" s="27">
        <f>IF(E113="","",IFERROR(INDEX(tbl_Production[Total Expense],MATCH(E113&amp;"",tbl_Production[Job Number],0)),IFERROR(INDEX(tbl_Consulting[Total Expense],MATCH(E113&amp;"",tbl_Consulting[Job Number],0)),0)))</f>
        <v/>
      </c>
      <c r="AF113" s="27">
        <f>IF(E113="","",Z113-N(AE113))</f>
        <v/>
      </c>
      <c r="AG113" s="29">
        <f>IFERROR(AF113/Z113,"")</f>
        <v/>
      </c>
      <c r="AH113" s="25">
        <f>IF(E113="","",IFERROR(IF(INDEX(tbl_Onsite[Notes],MATCH(E113&amp;"",tbl_Onsite[Job Number],0))="","",INDEX(tbl_Onsite[Notes],MATCH(E113&amp;"",tbl_Onsite[Job Number],0))),IFERROR(IF(INDEX(tbl_Production[Notes],MATCH(E113&amp;"",tbl_Production[Job Number],0))="","",INDEX(tbl_Production[Notes],MATCH(E113&amp;"",tbl_Production[Job Number],0))),IFERROR(IF(INDEX(tbl_Consulting[Notes],MATCH(E113&amp;"",tbl_Consulting[Job Number],0))="","",INDEX(tbl_Consulting[Notes],MATCH(E113&amp;"",tbl_Consulting[Job Number],0))),""))))</f>
        <v/>
      </c>
    </row>
    <row r="114" ht="15" customHeight="1">
      <c r="A114" s="22" t="n"/>
      <c r="B114" s="23">
        <f>IF(A114="","",EOMONTH(A114,0))</f>
        <v/>
      </c>
      <c r="C114" s="24" t="n"/>
      <c r="D114" s="24" t="n"/>
      <c r="E114" s="24" t="n"/>
      <c r="F114" s="25">
        <f>IF(E114="","",IF(COUNTIF(lst_Jobs,E114&amp;"")&gt;0,"OK","CHECK"))</f>
        <v/>
      </c>
      <c r="G114" s="24" t="n"/>
      <c r="H114" s="24" t="n"/>
      <c r="I114" s="24" t="n"/>
      <c r="J114" s="24" t="n"/>
      <c r="K114" s="24" t="n"/>
      <c r="L114" s="26" t="n"/>
      <c r="M114" s="27">
        <f>IF(L114="","",IF(K114="GST 10%",ROUND(L114*set_GSTRate,2),0))</f>
        <v/>
      </c>
      <c r="N114" s="27">
        <f>IF(L114="","",L114+M114)</f>
        <v/>
      </c>
      <c r="O114" s="24" t="n"/>
      <c r="P114" s="24" t="n"/>
      <c r="Q114" s="24" t="n"/>
      <c r="R114" s="22" t="n"/>
      <c r="S114" s="22" t="n"/>
      <c r="T114" s="24" t="n"/>
      <c r="U114" s="24" t="n"/>
      <c r="V114" s="25">
        <f>IF(COUNTA(A114,D114,C114,L114)=0,"",IF(A114="","No date - sits outside every month",IF(E114="","No job number",IF(F114="CHECK","Job number is not in the Xero job list",IF(I114="","No cost centre",IF(AND(P114="Y",C114=""),"Marked posted to Xero but has no invoice number",IF(AND(L114&lt;&gt;"",K114=""),"No tax code",IF(AND(L114&lt;&gt;"",O114=""),"No revenue GL code",""))))))))</f>
        <v/>
      </c>
      <c r="W114" s="25">
        <f>IF(E114="","",IF(COUNTIF(tbl_Onsite[Job Number],E114&amp;"")&gt;0,"Onsite",IF(COUNTIF(tbl_Production[Job Number],E114&amp;"")&gt;0,"Production",IF(COUNTIF(tbl_Consulting[Job Number],E114&amp;"")&gt;0,"Consulting","not set up yet"))))</f>
        <v/>
      </c>
      <c r="X114" s="25">
        <f>IF(E114="","",IFERROR(INDEX(lst_JobName,MATCH(E114&amp;"",lst_Jobs,0)),""))</f>
        <v/>
      </c>
      <c r="Y114" s="28">
        <f>IF(E114="","",COUNTIFS(tbl_Finance[Job Number],E114&amp;"",tbl_Finance[Ex GST],"&lt;&gt;"))</f>
        <v/>
      </c>
      <c r="Z114" s="27">
        <f>IF(E114="","",SUMIFS(tbl_Finance[Ex GST],tbl_Finance[Job Number],E114&amp;""))</f>
        <v/>
      </c>
      <c r="AA114" s="27">
        <f>IF(E114="","",SUMIFS(tbl_Finance[Ex GST],tbl_Finance[Job Number],E114&amp;"",tbl_Finance[Xero Invoice No],"&lt;&gt;"))</f>
        <v/>
      </c>
      <c r="AB114" s="27">
        <f>IF(E114="","",Z114-AA114)</f>
        <v/>
      </c>
      <c r="AC114" s="25">
        <f>IF(E114="","",IFERROR(IF(INDEX(tbl_Onsite[Qwilr Quote],MATCH(E114&amp;"",tbl_Onsite[Job Number],0))="","",INDEX(tbl_Onsite[Qwilr Quote],MATCH(E114&amp;"",tbl_Onsite[Job Number],0))),IFERROR(IF(IF(INDEX(tbl_Production[Current RMS No],MATCH(E114&amp;"",tbl_Production[Job Number],0))="",INDEX(tbl_Production[Qwilr Quote],MATCH(E114&amp;"",tbl_Production[Job Number],0)),INDEX(tbl_Production[Current RMS No],MATCH(E114&amp;"",tbl_Production[Job Number],0)))="","",IF(INDEX(tbl_Production[Current RMS No],MATCH(E114&amp;"",tbl_Production[Job Number],0))="",INDEX(tbl_Production[Qwilr Quote],MATCH(E114&amp;"",tbl_Production[Job Number],0)),INDEX(tbl_Production[Current RMS No],MATCH(E114&amp;"",tbl_Production[Job Number],0)))),IFERROR(IF(INDEX(tbl_Consulting[Qwilr Quote],MATCH(E114&amp;"",tbl_Consulting[Job Number],0))="","",INDEX(tbl_Consulting[Qwilr Quote],MATCH(E114&amp;"",tbl_Consulting[Job Number],0))),""))))</f>
        <v/>
      </c>
      <c r="AD114" s="25">
        <f>IF(AC114="","",IF(AND(LEFT(AC114,4)&lt;&gt;"http",IF(H114="Production",set_RMSBase,set_QwilrBase)=""),"",HYPERLINK(IF(LEFT(AC114,4)="http",AC114,IF(H114="Production",set_RMSBase,set_QwilrBase)&amp;AC114),"Open")))</f>
        <v/>
      </c>
      <c r="AE114" s="27">
        <f>IF(E114="","",IFERROR(INDEX(tbl_Production[Total Expense],MATCH(E114&amp;"",tbl_Production[Job Number],0)),IFERROR(INDEX(tbl_Consulting[Total Expense],MATCH(E114&amp;"",tbl_Consulting[Job Number],0)),0)))</f>
        <v/>
      </c>
      <c r="AF114" s="27">
        <f>IF(E114="","",Z114-N(AE114))</f>
        <v/>
      </c>
      <c r="AG114" s="29">
        <f>IFERROR(AF114/Z114,"")</f>
        <v/>
      </c>
      <c r="AH114" s="25">
        <f>IF(E114="","",IFERROR(IF(INDEX(tbl_Onsite[Notes],MATCH(E114&amp;"",tbl_Onsite[Job Number],0))="","",INDEX(tbl_Onsite[Notes],MATCH(E114&amp;"",tbl_Onsite[Job Number],0))),IFERROR(IF(INDEX(tbl_Production[Notes],MATCH(E114&amp;"",tbl_Production[Job Number],0))="","",INDEX(tbl_Production[Notes],MATCH(E114&amp;"",tbl_Production[Job Number],0))),IFERROR(IF(INDEX(tbl_Consulting[Notes],MATCH(E114&amp;"",tbl_Consulting[Job Number],0))="","",INDEX(tbl_Consulting[Notes],MATCH(E114&amp;"",tbl_Consulting[Job Number],0))),""))))</f>
        <v/>
      </c>
    </row>
    <row r="115" ht="15" customHeight="1">
      <c r="A115" s="22" t="n"/>
      <c r="B115" s="23">
        <f>IF(A115="","",EOMONTH(A115,0))</f>
        <v/>
      </c>
      <c r="C115" s="24" t="n"/>
      <c r="D115" s="24" t="n"/>
      <c r="E115" s="24" t="n"/>
      <c r="F115" s="25">
        <f>IF(E115="","",IF(COUNTIF(lst_Jobs,E115&amp;"")&gt;0,"OK","CHECK"))</f>
        <v/>
      </c>
      <c r="G115" s="24" t="n"/>
      <c r="H115" s="24" t="n"/>
      <c r="I115" s="24" t="n"/>
      <c r="J115" s="24" t="n"/>
      <c r="K115" s="24" t="n"/>
      <c r="L115" s="26" t="n"/>
      <c r="M115" s="27">
        <f>IF(L115="","",IF(K115="GST 10%",ROUND(L115*set_GSTRate,2),0))</f>
        <v/>
      </c>
      <c r="N115" s="27">
        <f>IF(L115="","",L115+M115)</f>
        <v/>
      </c>
      <c r="O115" s="24" t="n"/>
      <c r="P115" s="24" t="n"/>
      <c r="Q115" s="24" t="n"/>
      <c r="R115" s="22" t="n"/>
      <c r="S115" s="22" t="n"/>
      <c r="T115" s="24" t="n"/>
      <c r="U115" s="24" t="n"/>
      <c r="V115" s="25">
        <f>IF(COUNTA(A115,D115,C115,L115)=0,"",IF(A115="","No date - sits outside every month",IF(E115="","No job number",IF(F115="CHECK","Job number is not in the Xero job list",IF(I115="","No cost centre",IF(AND(P115="Y",C115=""),"Marked posted to Xero but has no invoice number",IF(AND(L115&lt;&gt;"",K115=""),"No tax code",IF(AND(L115&lt;&gt;"",O115=""),"No revenue GL code",""))))))))</f>
        <v/>
      </c>
      <c r="W115" s="25">
        <f>IF(E115="","",IF(COUNTIF(tbl_Onsite[Job Number],E115&amp;"")&gt;0,"Onsite",IF(COUNTIF(tbl_Production[Job Number],E115&amp;"")&gt;0,"Production",IF(COUNTIF(tbl_Consulting[Job Number],E115&amp;"")&gt;0,"Consulting","not set up yet"))))</f>
        <v/>
      </c>
      <c r="X115" s="25">
        <f>IF(E115="","",IFERROR(INDEX(lst_JobName,MATCH(E115&amp;"",lst_Jobs,0)),""))</f>
        <v/>
      </c>
      <c r="Y115" s="28">
        <f>IF(E115="","",COUNTIFS(tbl_Finance[Job Number],E115&amp;"",tbl_Finance[Ex GST],"&lt;&gt;"))</f>
        <v/>
      </c>
      <c r="Z115" s="27">
        <f>IF(E115="","",SUMIFS(tbl_Finance[Ex GST],tbl_Finance[Job Number],E115&amp;""))</f>
        <v/>
      </c>
      <c r="AA115" s="27">
        <f>IF(E115="","",SUMIFS(tbl_Finance[Ex GST],tbl_Finance[Job Number],E115&amp;"",tbl_Finance[Xero Invoice No],"&lt;&gt;"))</f>
        <v/>
      </c>
      <c r="AB115" s="27">
        <f>IF(E115="","",Z115-AA115)</f>
        <v/>
      </c>
      <c r="AC115" s="25">
        <f>IF(E115="","",IFERROR(IF(INDEX(tbl_Onsite[Qwilr Quote],MATCH(E115&amp;"",tbl_Onsite[Job Number],0))="","",INDEX(tbl_Onsite[Qwilr Quote],MATCH(E115&amp;"",tbl_Onsite[Job Number],0))),IFERROR(IF(IF(INDEX(tbl_Production[Current RMS No],MATCH(E115&amp;"",tbl_Production[Job Number],0))="",INDEX(tbl_Production[Qwilr Quote],MATCH(E115&amp;"",tbl_Production[Job Number],0)),INDEX(tbl_Production[Current RMS No],MATCH(E115&amp;"",tbl_Production[Job Number],0)))="","",IF(INDEX(tbl_Production[Current RMS No],MATCH(E115&amp;"",tbl_Production[Job Number],0))="",INDEX(tbl_Production[Qwilr Quote],MATCH(E115&amp;"",tbl_Production[Job Number],0)),INDEX(tbl_Production[Current RMS No],MATCH(E115&amp;"",tbl_Production[Job Number],0)))),IFERROR(IF(INDEX(tbl_Consulting[Qwilr Quote],MATCH(E115&amp;"",tbl_Consulting[Job Number],0))="","",INDEX(tbl_Consulting[Qwilr Quote],MATCH(E115&amp;"",tbl_Consulting[Job Number],0))),""))))</f>
        <v/>
      </c>
      <c r="AD115" s="25">
        <f>IF(AC115="","",IF(AND(LEFT(AC115,4)&lt;&gt;"http",IF(H115="Production",set_RMSBase,set_QwilrBase)=""),"",HYPERLINK(IF(LEFT(AC115,4)="http",AC115,IF(H115="Production",set_RMSBase,set_QwilrBase)&amp;AC115),"Open")))</f>
        <v/>
      </c>
      <c r="AE115" s="27">
        <f>IF(E115="","",IFERROR(INDEX(tbl_Production[Total Expense],MATCH(E115&amp;"",tbl_Production[Job Number],0)),IFERROR(INDEX(tbl_Consulting[Total Expense],MATCH(E115&amp;"",tbl_Consulting[Job Number],0)),0)))</f>
        <v/>
      </c>
      <c r="AF115" s="27">
        <f>IF(E115="","",Z115-N(AE115))</f>
        <v/>
      </c>
      <c r="AG115" s="29">
        <f>IFERROR(AF115/Z115,"")</f>
        <v/>
      </c>
      <c r="AH115" s="25">
        <f>IF(E115="","",IFERROR(IF(INDEX(tbl_Onsite[Notes],MATCH(E115&amp;"",tbl_Onsite[Job Number],0))="","",INDEX(tbl_Onsite[Notes],MATCH(E115&amp;"",tbl_Onsite[Job Number],0))),IFERROR(IF(INDEX(tbl_Production[Notes],MATCH(E115&amp;"",tbl_Production[Job Number],0))="","",INDEX(tbl_Production[Notes],MATCH(E115&amp;"",tbl_Production[Job Number],0))),IFERROR(IF(INDEX(tbl_Consulting[Notes],MATCH(E115&amp;"",tbl_Consulting[Job Number],0))="","",INDEX(tbl_Consulting[Notes],MATCH(E115&amp;"",tbl_Consulting[Job Number],0))),""))))</f>
        <v/>
      </c>
    </row>
    <row r="116" ht="15" customHeight="1">
      <c r="A116" s="22" t="n"/>
      <c r="B116" s="23">
        <f>IF(A116="","",EOMONTH(A116,0))</f>
        <v/>
      </c>
      <c r="C116" s="24" t="n"/>
      <c r="D116" s="24" t="n"/>
      <c r="E116" s="24" t="n"/>
      <c r="F116" s="25">
        <f>IF(E116="","",IF(COUNTIF(lst_Jobs,E116&amp;"")&gt;0,"OK","CHECK"))</f>
        <v/>
      </c>
      <c r="G116" s="24" t="n"/>
      <c r="H116" s="24" t="n"/>
      <c r="I116" s="24" t="n"/>
      <c r="J116" s="24" t="n"/>
      <c r="K116" s="24" t="n"/>
      <c r="L116" s="26" t="n"/>
      <c r="M116" s="27">
        <f>IF(L116="","",IF(K116="GST 10%",ROUND(L116*set_GSTRate,2),0))</f>
        <v/>
      </c>
      <c r="N116" s="27">
        <f>IF(L116="","",L116+M116)</f>
        <v/>
      </c>
      <c r="O116" s="24" t="n"/>
      <c r="P116" s="24" t="n"/>
      <c r="Q116" s="24" t="n"/>
      <c r="R116" s="22" t="n"/>
      <c r="S116" s="22" t="n"/>
      <c r="T116" s="24" t="n"/>
      <c r="U116" s="24" t="n"/>
      <c r="V116" s="25">
        <f>IF(COUNTA(A116,D116,C116,L116)=0,"",IF(A116="","No date - sits outside every month",IF(E116="","No job number",IF(F116="CHECK","Job number is not in the Xero job list",IF(I116="","No cost centre",IF(AND(P116="Y",C116=""),"Marked posted to Xero but has no invoice number",IF(AND(L116&lt;&gt;"",K116=""),"No tax code",IF(AND(L116&lt;&gt;"",O116=""),"No revenue GL code",""))))))))</f>
        <v/>
      </c>
      <c r="W116" s="25">
        <f>IF(E116="","",IF(COUNTIF(tbl_Onsite[Job Number],E116&amp;"")&gt;0,"Onsite",IF(COUNTIF(tbl_Production[Job Number],E116&amp;"")&gt;0,"Production",IF(COUNTIF(tbl_Consulting[Job Number],E116&amp;"")&gt;0,"Consulting","not set up yet"))))</f>
        <v/>
      </c>
      <c r="X116" s="25">
        <f>IF(E116="","",IFERROR(INDEX(lst_JobName,MATCH(E116&amp;"",lst_Jobs,0)),""))</f>
        <v/>
      </c>
      <c r="Y116" s="28">
        <f>IF(E116="","",COUNTIFS(tbl_Finance[Job Number],E116&amp;"",tbl_Finance[Ex GST],"&lt;&gt;"))</f>
        <v/>
      </c>
      <c r="Z116" s="27">
        <f>IF(E116="","",SUMIFS(tbl_Finance[Ex GST],tbl_Finance[Job Number],E116&amp;""))</f>
        <v/>
      </c>
      <c r="AA116" s="27">
        <f>IF(E116="","",SUMIFS(tbl_Finance[Ex GST],tbl_Finance[Job Number],E116&amp;"",tbl_Finance[Xero Invoice No],"&lt;&gt;"))</f>
        <v/>
      </c>
      <c r="AB116" s="27">
        <f>IF(E116="","",Z116-AA116)</f>
        <v/>
      </c>
      <c r="AC116" s="25">
        <f>IF(E116="","",IFERROR(IF(INDEX(tbl_Onsite[Qwilr Quote],MATCH(E116&amp;"",tbl_Onsite[Job Number],0))="","",INDEX(tbl_Onsite[Qwilr Quote],MATCH(E116&amp;"",tbl_Onsite[Job Number],0))),IFERROR(IF(IF(INDEX(tbl_Production[Current RMS No],MATCH(E116&amp;"",tbl_Production[Job Number],0))="",INDEX(tbl_Production[Qwilr Quote],MATCH(E116&amp;"",tbl_Production[Job Number],0)),INDEX(tbl_Production[Current RMS No],MATCH(E116&amp;"",tbl_Production[Job Number],0)))="","",IF(INDEX(tbl_Production[Current RMS No],MATCH(E116&amp;"",tbl_Production[Job Number],0))="",INDEX(tbl_Production[Qwilr Quote],MATCH(E116&amp;"",tbl_Production[Job Number],0)),INDEX(tbl_Production[Current RMS No],MATCH(E116&amp;"",tbl_Production[Job Number],0)))),IFERROR(IF(INDEX(tbl_Consulting[Qwilr Quote],MATCH(E116&amp;"",tbl_Consulting[Job Number],0))="","",INDEX(tbl_Consulting[Qwilr Quote],MATCH(E116&amp;"",tbl_Consulting[Job Number],0))),""))))</f>
        <v/>
      </c>
      <c r="AD116" s="25">
        <f>IF(AC116="","",IF(AND(LEFT(AC116,4)&lt;&gt;"http",IF(H116="Production",set_RMSBase,set_QwilrBase)=""),"",HYPERLINK(IF(LEFT(AC116,4)="http",AC116,IF(H116="Production",set_RMSBase,set_QwilrBase)&amp;AC116),"Open")))</f>
        <v/>
      </c>
      <c r="AE116" s="27">
        <f>IF(E116="","",IFERROR(INDEX(tbl_Production[Total Expense],MATCH(E116&amp;"",tbl_Production[Job Number],0)),IFERROR(INDEX(tbl_Consulting[Total Expense],MATCH(E116&amp;"",tbl_Consulting[Job Number],0)),0)))</f>
        <v/>
      </c>
      <c r="AF116" s="27">
        <f>IF(E116="","",Z116-N(AE116))</f>
        <v/>
      </c>
      <c r="AG116" s="29">
        <f>IFERROR(AF116/Z116,"")</f>
        <v/>
      </c>
      <c r="AH116" s="25">
        <f>IF(E116="","",IFERROR(IF(INDEX(tbl_Onsite[Notes],MATCH(E116&amp;"",tbl_Onsite[Job Number],0))="","",INDEX(tbl_Onsite[Notes],MATCH(E116&amp;"",tbl_Onsite[Job Number],0))),IFERROR(IF(INDEX(tbl_Production[Notes],MATCH(E116&amp;"",tbl_Production[Job Number],0))="","",INDEX(tbl_Production[Notes],MATCH(E116&amp;"",tbl_Production[Job Number],0))),IFERROR(IF(INDEX(tbl_Consulting[Notes],MATCH(E116&amp;"",tbl_Consulting[Job Number],0))="","",INDEX(tbl_Consulting[Notes],MATCH(E116&amp;"",tbl_Consulting[Job Number],0))),""))))</f>
        <v/>
      </c>
    </row>
    <row r="117" ht="15" customHeight="1">
      <c r="A117" s="22" t="n"/>
      <c r="B117" s="23">
        <f>IF(A117="","",EOMONTH(A117,0))</f>
        <v/>
      </c>
      <c r="C117" s="24" t="n"/>
      <c r="D117" s="24" t="n"/>
      <c r="E117" s="24" t="n"/>
      <c r="F117" s="25">
        <f>IF(E117="","",IF(COUNTIF(lst_Jobs,E117&amp;"")&gt;0,"OK","CHECK"))</f>
        <v/>
      </c>
      <c r="G117" s="24" t="n"/>
      <c r="H117" s="24" t="n"/>
      <c r="I117" s="24" t="n"/>
      <c r="J117" s="24" t="n"/>
      <c r="K117" s="24" t="n"/>
      <c r="L117" s="26" t="n"/>
      <c r="M117" s="27">
        <f>IF(L117="","",IF(K117="GST 10%",ROUND(L117*set_GSTRate,2),0))</f>
        <v/>
      </c>
      <c r="N117" s="27">
        <f>IF(L117="","",L117+M117)</f>
        <v/>
      </c>
      <c r="O117" s="24" t="n"/>
      <c r="P117" s="24" t="n"/>
      <c r="Q117" s="24" t="n"/>
      <c r="R117" s="22" t="n"/>
      <c r="S117" s="22" t="n"/>
      <c r="T117" s="24" t="n"/>
      <c r="U117" s="24" t="n"/>
      <c r="V117" s="25">
        <f>IF(COUNTA(A117,D117,C117,L117)=0,"",IF(A117="","No date - sits outside every month",IF(E117="","No job number",IF(F117="CHECK","Job number is not in the Xero job list",IF(I117="","No cost centre",IF(AND(P117="Y",C117=""),"Marked posted to Xero but has no invoice number",IF(AND(L117&lt;&gt;"",K117=""),"No tax code",IF(AND(L117&lt;&gt;"",O117=""),"No revenue GL code",""))))))))</f>
        <v/>
      </c>
      <c r="W117" s="25">
        <f>IF(E117="","",IF(COUNTIF(tbl_Onsite[Job Number],E117&amp;"")&gt;0,"Onsite",IF(COUNTIF(tbl_Production[Job Number],E117&amp;"")&gt;0,"Production",IF(COUNTIF(tbl_Consulting[Job Number],E117&amp;"")&gt;0,"Consulting","not set up yet"))))</f>
        <v/>
      </c>
      <c r="X117" s="25">
        <f>IF(E117="","",IFERROR(INDEX(lst_JobName,MATCH(E117&amp;"",lst_Jobs,0)),""))</f>
        <v/>
      </c>
      <c r="Y117" s="28">
        <f>IF(E117="","",COUNTIFS(tbl_Finance[Job Number],E117&amp;"",tbl_Finance[Ex GST],"&lt;&gt;"))</f>
        <v/>
      </c>
      <c r="Z117" s="27">
        <f>IF(E117="","",SUMIFS(tbl_Finance[Ex GST],tbl_Finance[Job Number],E117&amp;""))</f>
        <v/>
      </c>
      <c r="AA117" s="27">
        <f>IF(E117="","",SUMIFS(tbl_Finance[Ex GST],tbl_Finance[Job Number],E117&amp;"",tbl_Finance[Xero Invoice No],"&lt;&gt;"))</f>
        <v/>
      </c>
      <c r="AB117" s="27">
        <f>IF(E117="","",Z117-AA117)</f>
        <v/>
      </c>
      <c r="AC117" s="25">
        <f>IF(E117="","",IFERROR(IF(INDEX(tbl_Onsite[Qwilr Quote],MATCH(E117&amp;"",tbl_Onsite[Job Number],0))="","",INDEX(tbl_Onsite[Qwilr Quote],MATCH(E117&amp;"",tbl_Onsite[Job Number],0))),IFERROR(IF(IF(INDEX(tbl_Production[Current RMS No],MATCH(E117&amp;"",tbl_Production[Job Number],0))="",INDEX(tbl_Production[Qwilr Quote],MATCH(E117&amp;"",tbl_Production[Job Number],0)),INDEX(tbl_Production[Current RMS No],MATCH(E117&amp;"",tbl_Production[Job Number],0)))="","",IF(INDEX(tbl_Production[Current RMS No],MATCH(E117&amp;"",tbl_Production[Job Number],0))="",INDEX(tbl_Production[Qwilr Quote],MATCH(E117&amp;"",tbl_Production[Job Number],0)),INDEX(tbl_Production[Current RMS No],MATCH(E117&amp;"",tbl_Production[Job Number],0)))),IFERROR(IF(INDEX(tbl_Consulting[Qwilr Quote],MATCH(E117&amp;"",tbl_Consulting[Job Number],0))="","",INDEX(tbl_Consulting[Qwilr Quote],MATCH(E117&amp;"",tbl_Consulting[Job Number],0))),""))))</f>
        <v/>
      </c>
      <c r="AD117" s="25">
        <f>IF(AC117="","",IF(AND(LEFT(AC117,4)&lt;&gt;"http",IF(H117="Production",set_RMSBase,set_QwilrBase)=""),"",HYPERLINK(IF(LEFT(AC117,4)="http",AC117,IF(H117="Production",set_RMSBase,set_QwilrBase)&amp;AC117),"Open")))</f>
        <v/>
      </c>
      <c r="AE117" s="27">
        <f>IF(E117="","",IFERROR(INDEX(tbl_Production[Total Expense],MATCH(E117&amp;"",tbl_Production[Job Number],0)),IFERROR(INDEX(tbl_Consulting[Total Expense],MATCH(E117&amp;"",tbl_Consulting[Job Number],0)),0)))</f>
        <v/>
      </c>
      <c r="AF117" s="27">
        <f>IF(E117="","",Z117-N(AE117))</f>
        <v/>
      </c>
      <c r="AG117" s="29">
        <f>IFERROR(AF117/Z117,"")</f>
        <v/>
      </c>
      <c r="AH117" s="25">
        <f>IF(E117="","",IFERROR(IF(INDEX(tbl_Onsite[Notes],MATCH(E117&amp;"",tbl_Onsite[Job Number],0))="","",INDEX(tbl_Onsite[Notes],MATCH(E117&amp;"",tbl_Onsite[Job Number],0))),IFERROR(IF(INDEX(tbl_Production[Notes],MATCH(E117&amp;"",tbl_Production[Job Number],0))="","",INDEX(tbl_Production[Notes],MATCH(E117&amp;"",tbl_Production[Job Number],0))),IFERROR(IF(INDEX(tbl_Consulting[Notes],MATCH(E117&amp;"",tbl_Consulting[Job Number],0))="","",INDEX(tbl_Consulting[Notes],MATCH(E117&amp;"",tbl_Consulting[Job Number],0))),""))))</f>
        <v/>
      </c>
    </row>
    <row r="118" ht="15" customHeight="1">
      <c r="A118" s="22" t="n"/>
      <c r="B118" s="23">
        <f>IF(A118="","",EOMONTH(A118,0))</f>
        <v/>
      </c>
      <c r="C118" s="24" t="n"/>
      <c r="D118" s="24" t="n"/>
      <c r="E118" s="24" t="n"/>
      <c r="F118" s="25">
        <f>IF(E118="","",IF(COUNTIF(lst_Jobs,E118&amp;"")&gt;0,"OK","CHECK"))</f>
        <v/>
      </c>
      <c r="G118" s="24" t="n"/>
      <c r="H118" s="24" t="n"/>
      <c r="I118" s="24" t="n"/>
      <c r="J118" s="24" t="n"/>
      <c r="K118" s="24" t="n"/>
      <c r="L118" s="26" t="n"/>
      <c r="M118" s="27">
        <f>IF(L118="","",IF(K118="GST 10%",ROUND(L118*set_GSTRate,2),0))</f>
        <v/>
      </c>
      <c r="N118" s="27">
        <f>IF(L118="","",L118+M118)</f>
        <v/>
      </c>
      <c r="O118" s="24" t="n"/>
      <c r="P118" s="24" t="n"/>
      <c r="Q118" s="24" t="n"/>
      <c r="R118" s="22" t="n"/>
      <c r="S118" s="22" t="n"/>
      <c r="T118" s="24" t="n"/>
      <c r="U118" s="24" t="n"/>
      <c r="V118" s="25">
        <f>IF(COUNTA(A118,D118,C118,L118)=0,"",IF(A118="","No date - sits outside every month",IF(E118="","No job number",IF(F118="CHECK","Job number is not in the Xero job list",IF(I118="","No cost centre",IF(AND(P118="Y",C118=""),"Marked posted to Xero but has no invoice number",IF(AND(L118&lt;&gt;"",K118=""),"No tax code",IF(AND(L118&lt;&gt;"",O118=""),"No revenue GL code",""))))))))</f>
        <v/>
      </c>
      <c r="W118" s="25">
        <f>IF(E118="","",IF(COUNTIF(tbl_Onsite[Job Number],E118&amp;"")&gt;0,"Onsite",IF(COUNTIF(tbl_Production[Job Number],E118&amp;"")&gt;0,"Production",IF(COUNTIF(tbl_Consulting[Job Number],E118&amp;"")&gt;0,"Consulting","not set up yet"))))</f>
        <v/>
      </c>
      <c r="X118" s="25">
        <f>IF(E118="","",IFERROR(INDEX(lst_JobName,MATCH(E118&amp;"",lst_Jobs,0)),""))</f>
        <v/>
      </c>
      <c r="Y118" s="28">
        <f>IF(E118="","",COUNTIFS(tbl_Finance[Job Number],E118&amp;"",tbl_Finance[Ex GST],"&lt;&gt;"))</f>
        <v/>
      </c>
      <c r="Z118" s="27">
        <f>IF(E118="","",SUMIFS(tbl_Finance[Ex GST],tbl_Finance[Job Number],E118&amp;""))</f>
        <v/>
      </c>
      <c r="AA118" s="27">
        <f>IF(E118="","",SUMIFS(tbl_Finance[Ex GST],tbl_Finance[Job Number],E118&amp;"",tbl_Finance[Xero Invoice No],"&lt;&gt;"))</f>
        <v/>
      </c>
      <c r="AB118" s="27">
        <f>IF(E118="","",Z118-AA118)</f>
        <v/>
      </c>
      <c r="AC118" s="25">
        <f>IF(E118="","",IFERROR(IF(INDEX(tbl_Onsite[Qwilr Quote],MATCH(E118&amp;"",tbl_Onsite[Job Number],0))="","",INDEX(tbl_Onsite[Qwilr Quote],MATCH(E118&amp;"",tbl_Onsite[Job Number],0))),IFERROR(IF(IF(INDEX(tbl_Production[Current RMS No],MATCH(E118&amp;"",tbl_Production[Job Number],0))="",INDEX(tbl_Production[Qwilr Quote],MATCH(E118&amp;"",tbl_Production[Job Number],0)),INDEX(tbl_Production[Current RMS No],MATCH(E118&amp;"",tbl_Production[Job Number],0)))="","",IF(INDEX(tbl_Production[Current RMS No],MATCH(E118&amp;"",tbl_Production[Job Number],0))="",INDEX(tbl_Production[Qwilr Quote],MATCH(E118&amp;"",tbl_Production[Job Number],0)),INDEX(tbl_Production[Current RMS No],MATCH(E118&amp;"",tbl_Production[Job Number],0)))),IFERROR(IF(INDEX(tbl_Consulting[Qwilr Quote],MATCH(E118&amp;"",tbl_Consulting[Job Number],0))="","",INDEX(tbl_Consulting[Qwilr Quote],MATCH(E118&amp;"",tbl_Consulting[Job Number],0))),""))))</f>
        <v/>
      </c>
      <c r="AD118" s="25">
        <f>IF(AC118="","",IF(AND(LEFT(AC118,4)&lt;&gt;"http",IF(H118="Production",set_RMSBase,set_QwilrBase)=""),"",HYPERLINK(IF(LEFT(AC118,4)="http",AC118,IF(H118="Production",set_RMSBase,set_QwilrBase)&amp;AC118),"Open")))</f>
        <v/>
      </c>
      <c r="AE118" s="27">
        <f>IF(E118="","",IFERROR(INDEX(tbl_Production[Total Expense],MATCH(E118&amp;"",tbl_Production[Job Number],0)),IFERROR(INDEX(tbl_Consulting[Total Expense],MATCH(E118&amp;"",tbl_Consulting[Job Number],0)),0)))</f>
        <v/>
      </c>
      <c r="AF118" s="27">
        <f>IF(E118="","",Z118-N(AE118))</f>
        <v/>
      </c>
      <c r="AG118" s="29">
        <f>IFERROR(AF118/Z118,"")</f>
        <v/>
      </c>
      <c r="AH118" s="25">
        <f>IF(E118="","",IFERROR(IF(INDEX(tbl_Onsite[Notes],MATCH(E118&amp;"",tbl_Onsite[Job Number],0))="","",INDEX(tbl_Onsite[Notes],MATCH(E118&amp;"",tbl_Onsite[Job Number],0))),IFERROR(IF(INDEX(tbl_Production[Notes],MATCH(E118&amp;"",tbl_Production[Job Number],0))="","",INDEX(tbl_Production[Notes],MATCH(E118&amp;"",tbl_Production[Job Number],0))),IFERROR(IF(INDEX(tbl_Consulting[Notes],MATCH(E118&amp;"",tbl_Consulting[Job Number],0))="","",INDEX(tbl_Consulting[Notes],MATCH(E118&amp;"",tbl_Consulting[Job Number],0))),""))))</f>
        <v/>
      </c>
    </row>
    <row r="119" ht="15" customHeight="1">
      <c r="A119" s="22" t="n"/>
      <c r="B119" s="23">
        <f>IF(A119="","",EOMONTH(A119,0))</f>
        <v/>
      </c>
      <c r="C119" s="24" t="n"/>
      <c r="D119" s="24" t="n"/>
      <c r="E119" s="24" t="n"/>
      <c r="F119" s="25">
        <f>IF(E119="","",IF(COUNTIF(lst_Jobs,E119&amp;"")&gt;0,"OK","CHECK"))</f>
        <v/>
      </c>
      <c r="G119" s="24" t="n"/>
      <c r="H119" s="24" t="n"/>
      <c r="I119" s="24" t="n"/>
      <c r="J119" s="24" t="n"/>
      <c r="K119" s="24" t="n"/>
      <c r="L119" s="26" t="n"/>
      <c r="M119" s="27">
        <f>IF(L119="","",IF(K119="GST 10%",ROUND(L119*set_GSTRate,2),0))</f>
        <v/>
      </c>
      <c r="N119" s="27">
        <f>IF(L119="","",L119+M119)</f>
        <v/>
      </c>
      <c r="O119" s="24" t="n"/>
      <c r="P119" s="24" t="n"/>
      <c r="Q119" s="24" t="n"/>
      <c r="R119" s="22" t="n"/>
      <c r="S119" s="22" t="n"/>
      <c r="T119" s="24" t="n"/>
      <c r="U119" s="24" t="n"/>
      <c r="V119" s="25">
        <f>IF(COUNTA(A119,D119,C119,L119)=0,"",IF(A119="","No date - sits outside every month",IF(E119="","No job number",IF(F119="CHECK","Job number is not in the Xero job list",IF(I119="","No cost centre",IF(AND(P119="Y",C119=""),"Marked posted to Xero but has no invoice number",IF(AND(L119&lt;&gt;"",K119=""),"No tax code",IF(AND(L119&lt;&gt;"",O119=""),"No revenue GL code",""))))))))</f>
        <v/>
      </c>
      <c r="W119" s="25">
        <f>IF(E119="","",IF(COUNTIF(tbl_Onsite[Job Number],E119&amp;"")&gt;0,"Onsite",IF(COUNTIF(tbl_Production[Job Number],E119&amp;"")&gt;0,"Production",IF(COUNTIF(tbl_Consulting[Job Number],E119&amp;"")&gt;0,"Consulting","not set up yet"))))</f>
        <v/>
      </c>
      <c r="X119" s="25">
        <f>IF(E119="","",IFERROR(INDEX(lst_JobName,MATCH(E119&amp;"",lst_Jobs,0)),""))</f>
        <v/>
      </c>
      <c r="Y119" s="28">
        <f>IF(E119="","",COUNTIFS(tbl_Finance[Job Number],E119&amp;"",tbl_Finance[Ex GST],"&lt;&gt;"))</f>
        <v/>
      </c>
      <c r="Z119" s="27">
        <f>IF(E119="","",SUMIFS(tbl_Finance[Ex GST],tbl_Finance[Job Number],E119&amp;""))</f>
        <v/>
      </c>
      <c r="AA119" s="27">
        <f>IF(E119="","",SUMIFS(tbl_Finance[Ex GST],tbl_Finance[Job Number],E119&amp;"",tbl_Finance[Xero Invoice No],"&lt;&gt;"))</f>
        <v/>
      </c>
      <c r="AB119" s="27">
        <f>IF(E119="","",Z119-AA119)</f>
        <v/>
      </c>
      <c r="AC119" s="25">
        <f>IF(E119="","",IFERROR(IF(INDEX(tbl_Onsite[Qwilr Quote],MATCH(E119&amp;"",tbl_Onsite[Job Number],0))="","",INDEX(tbl_Onsite[Qwilr Quote],MATCH(E119&amp;"",tbl_Onsite[Job Number],0))),IFERROR(IF(IF(INDEX(tbl_Production[Current RMS No],MATCH(E119&amp;"",tbl_Production[Job Number],0))="",INDEX(tbl_Production[Qwilr Quote],MATCH(E119&amp;"",tbl_Production[Job Number],0)),INDEX(tbl_Production[Current RMS No],MATCH(E119&amp;"",tbl_Production[Job Number],0)))="","",IF(INDEX(tbl_Production[Current RMS No],MATCH(E119&amp;"",tbl_Production[Job Number],0))="",INDEX(tbl_Production[Qwilr Quote],MATCH(E119&amp;"",tbl_Production[Job Number],0)),INDEX(tbl_Production[Current RMS No],MATCH(E119&amp;"",tbl_Production[Job Number],0)))),IFERROR(IF(INDEX(tbl_Consulting[Qwilr Quote],MATCH(E119&amp;"",tbl_Consulting[Job Number],0))="","",INDEX(tbl_Consulting[Qwilr Quote],MATCH(E119&amp;"",tbl_Consulting[Job Number],0))),""))))</f>
        <v/>
      </c>
      <c r="AD119" s="25">
        <f>IF(AC119="","",IF(AND(LEFT(AC119,4)&lt;&gt;"http",IF(H119="Production",set_RMSBase,set_QwilrBase)=""),"",HYPERLINK(IF(LEFT(AC119,4)="http",AC119,IF(H119="Production",set_RMSBase,set_QwilrBase)&amp;AC119),"Open")))</f>
        <v/>
      </c>
      <c r="AE119" s="27">
        <f>IF(E119="","",IFERROR(INDEX(tbl_Production[Total Expense],MATCH(E119&amp;"",tbl_Production[Job Number],0)),IFERROR(INDEX(tbl_Consulting[Total Expense],MATCH(E119&amp;"",tbl_Consulting[Job Number],0)),0)))</f>
        <v/>
      </c>
      <c r="AF119" s="27">
        <f>IF(E119="","",Z119-N(AE119))</f>
        <v/>
      </c>
      <c r="AG119" s="29">
        <f>IFERROR(AF119/Z119,"")</f>
        <v/>
      </c>
      <c r="AH119" s="25">
        <f>IF(E119="","",IFERROR(IF(INDEX(tbl_Onsite[Notes],MATCH(E119&amp;"",tbl_Onsite[Job Number],0))="","",INDEX(tbl_Onsite[Notes],MATCH(E119&amp;"",tbl_Onsite[Job Number],0))),IFERROR(IF(INDEX(tbl_Production[Notes],MATCH(E119&amp;"",tbl_Production[Job Number],0))="","",INDEX(tbl_Production[Notes],MATCH(E119&amp;"",tbl_Production[Job Number],0))),IFERROR(IF(INDEX(tbl_Consulting[Notes],MATCH(E119&amp;"",tbl_Consulting[Job Number],0))="","",INDEX(tbl_Consulting[Notes],MATCH(E119&amp;"",tbl_Consulting[Job Number],0))),""))))</f>
        <v/>
      </c>
    </row>
    <row r="120" ht="15" customHeight="1">
      <c r="A120" s="22" t="n"/>
      <c r="B120" s="23">
        <f>IF(A120="","",EOMONTH(A120,0))</f>
        <v/>
      </c>
      <c r="C120" s="24" t="n"/>
      <c r="D120" s="24" t="n"/>
      <c r="E120" s="24" t="n"/>
      <c r="F120" s="25">
        <f>IF(E120="","",IF(COUNTIF(lst_Jobs,E120&amp;"")&gt;0,"OK","CHECK"))</f>
        <v/>
      </c>
      <c r="G120" s="24" t="n"/>
      <c r="H120" s="24" t="n"/>
      <c r="I120" s="24" t="n"/>
      <c r="J120" s="24" t="n"/>
      <c r="K120" s="24" t="n"/>
      <c r="L120" s="26" t="n"/>
      <c r="M120" s="27">
        <f>IF(L120="","",IF(K120="GST 10%",ROUND(L120*set_GSTRate,2),0))</f>
        <v/>
      </c>
      <c r="N120" s="27">
        <f>IF(L120="","",L120+M120)</f>
        <v/>
      </c>
      <c r="O120" s="24" t="n"/>
      <c r="P120" s="24" t="n"/>
      <c r="Q120" s="24" t="n"/>
      <c r="R120" s="22" t="n"/>
      <c r="S120" s="22" t="n"/>
      <c r="T120" s="24" t="n"/>
      <c r="U120" s="24" t="n"/>
      <c r="V120" s="25">
        <f>IF(COUNTA(A120,D120,C120,L120)=0,"",IF(A120="","No date - sits outside every month",IF(E120="","No job number",IF(F120="CHECK","Job number is not in the Xero job list",IF(I120="","No cost centre",IF(AND(P120="Y",C120=""),"Marked posted to Xero but has no invoice number",IF(AND(L120&lt;&gt;"",K120=""),"No tax code",IF(AND(L120&lt;&gt;"",O120=""),"No revenue GL code",""))))))))</f>
        <v/>
      </c>
      <c r="W120" s="25">
        <f>IF(E120="","",IF(COUNTIF(tbl_Onsite[Job Number],E120&amp;"")&gt;0,"Onsite",IF(COUNTIF(tbl_Production[Job Number],E120&amp;"")&gt;0,"Production",IF(COUNTIF(tbl_Consulting[Job Number],E120&amp;"")&gt;0,"Consulting","not set up yet"))))</f>
        <v/>
      </c>
      <c r="X120" s="25">
        <f>IF(E120="","",IFERROR(INDEX(lst_JobName,MATCH(E120&amp;"",lst_Jobs,0)),""))</f>
        <v/>
      </c>
      <c r="Y120" s="28">
        <f>IF(E120="","",COUNTIFS(tbl_Finance[Job Number],E120&amp;"",tbl_Finance[Ex GST],"&lt;&gt;"))</f>
        <v/>
      </c>
      <c r="Z120" s="27">
        <f>IF(E120="","",SUMIFS(tbl_Finance[Ex GST],tbl_Finance[Job Number],E120&amp;""))</f>
        <v/>
      </c>
      <c r="AA120" s="27">
        <f>IF(E120="","",SUMIFS(tbl_Finance[Ex GST],tbl_Finance[Job Number],E120&amp;"",tbl_Finance[Xero Invoice No],"&lt;&gt;"))</f>
        <v/>
      </c>
      <c r="AB120" s="27">
        <f>IF(E120="","",Z120-AA120)</f>
        <v/>
      </c>
      <c r="AC120" s="25">
        <f>IF(E120="","",IFERROR(IF(INDEX(tbl_Onsite[Qwilr Quote],MATCH(E120&amp;"",tbl_Onsite[Job Number],0))="","",INDEX(tbl_Onsite[Qwilr Quote],MATCH(E120&amp;"",tbl_Onsite[Job Number],0))),IFERROR(IF(IF(INDEX(tbl_Production[Current RMS No],MATCH(E120&amp;"",tbl_Production[Job Number],0))="",INDEX(tbl_Production[Qwilr Quote],MATCH(E120&amp;"",tbl_Production[Job Number],0)),INDEX(tbl_Production[Current RMS No],MATCH(E120&amp;"",tbl_Production[Job Number],0)))="","",IF(INDEX(tbl_Production[Current RMS No],MATCH(E120&amp;"",tbl_Production[Job Number],0))="",INDEX(tbl_Production[Qwilr Quote],MATCH(E120&amp;"",tbl_Production[Job Number],0)),INDEX(tbl_Production[Current RMS No],MATCH(E120&amp;"",tbl_Production[Job Number],0)))),IFERROR(IF(INDEX(tbl_Consulting[Qwilr Quote],MATCH(E120&amp;"",tbl_Consulting[Job Number],0))="","",INDEX(tbl_Consulting[Qwilr Quote],MATCH(E120&amp;"",tbl_Consulting[Job Number],0))),""))))</f>
        <v/>
      </c>
      <c r="AD120" s="25">
        <f>IF(AC120="","",IF(AND(LEFT(AC120,4)&lt;&gt;"http",IF(H120="Production",set_RMSBase,set_QwilrBase)=""),"",HYPERLINK(IF(LEFT(AC120,4)="http",AC120,IF(H120="Production",set_RMSBase,set_QwilrBase)&amp;AC120),"Open")))</f>
        <v/>
      </c>
      <c r="AE120" s="27">
        <f>IF(E120="","",IFERROR(INDEX(tbl_Production[Total Expense],MATCH(E120&amp;"",tbl_Production[Job Number],0)),IFERROR(INDEX(tbl_Consulting[Total Expense],MATCH(E120&amp;"",tbl_Consulting[Job Number],0)),0)))</f>
        <v/>
      </c>
      <c r="AF120" s="27">
        <f>IF(E120="","",Z120-N(AE120))</f>
        <v/>
      </c>
      <c r="AG120" s="29">
        <f>IFERROR(AF120/Z120,"")</f>
        <v/>
      </c>
      <c r="AH120" s="25">
        <f>IF(E120="","",IFERROR(IF(INDEX(tbl_Onsite[Notes],MATCH(E120&amp;"",tbl_Onsite[Job Number],0))="","",INDEX(tbl_Onsite[Notes],MATCH(E120&amp;"",tbl_Onsite[Job Number],0))),IFERROR(IF(INDEX(tbl_Production[Notes],MATCH(E120&amp;"",tbl_Production[Job Number],0))="","",INDEX(tbl_Production[Notes],MATCH(E120&amp;"",tbl_Production[Job Number],0))),IFERROR(IF(INDEX(tbl_Consulting[Notes],MATCH(E120&amp;"",tbl_Consulting[Job Number],0))="","",INDEX(tbl_Consulting[Notes],MATCH(E120&amp;"",tbl_Consulting[Job Number],0))),""))))</f>
        <v/>
      </c>
    </row>
    <row r="121" ht="15" customHeight="1">
      <c r="A121" s="22" t="n"/>
      <c r="B121" s="23">
        <f>IF(A121="","",EOMONTH(A121,0))</f>
        <v/>
      </c>
      <c r="C121" s="24" t="n"/>
      <c r="D121" s="24" t="n"/>
      <c r="E121" s="24" t="n"/>
      <c r="F121" s="25">
        <f>IF(E121="","",IF(COUNTIF(lst_Jobs,E121&amp;"")&gt;0,"OK","CHECK"))</f>
        <v/>
      </c>
      <c r="G121" s="24" t="n"/>
      <c r="H121" s="24" t="n"/>
      <c r="I121" s="24" t="n"/>
      <c r="J121" s="24" t="n"/>
      <c r="K121" s="24" t="n"/>
      <c r="L121" s="26" t="n"/>
      <c r="M121" s="27">
        <f>IF(L121="","",IF(K121="GST 10%",ROUND(L121*set_GSTRate,2),0))</f>
        <v/>
      </c>
      <c r="N121" s="27">
        <f>IF(L121="","",L121+M121)</f>
        <v/>
      </c>
      <c r="O121" s="24" t="n"/>
      <c r="P121" s="24" t="n"/>
      <c r="Q121" s="24" t="n"/>
      <c r="R121" s="22" t="n"/>
      <c r="S121" s="22" t="n"/>
      <c r="T121" s="24" t="n"/>
      <c r="U121" s="24" t="n"/>
      <c r="V121" s="25">
        <f>IF(COUNTA(A121,D121,C121,L121)=0,"",IF(A121="","No date - sits outside every month",IF(E121="","No job number",IF(F121="CHECK","Job number is not in the Xero job list",IF(I121="","No cost centre",IF(AND(P121="Y",C121=""),"Marked posted to Xero but has no invoice number",IF(AND(L121&lt;&gt;"",K121=""),"No tax code",IF(AND(L121&lt;&gt;"",O121=""),"No revenue GL code",""))))))))</f>
        <v/>
      </c>
      <c r="W121" s="25">
        <f>IF(E121="","",IF(COUNTIF(tbl_Onsite[Job Number],E121&amp;"")&gt;0,"Onsite",IF(COUNTIF(tbl_Production[Job Number],E121&amp;"")&gt;0,"Production",IF(COUNTIF(tbl_Consulting[Job Number],E121&amp;"")&gt;0,"Consulting","not set up yet"))))</f>
        <v/>
      </c>
      <c r="X121" s="25">
        <f>IF(E121="","",IFERROR(INDEX(lst_JobName,MATCH(E121&amp;"",lst_Jobs,0)),""))</f>
        <v/>
      </c>
      <c r="Y121" s="28">
        <f>IF(E121="","",COUNTIFS(tbl_Finance[Job Number],E121&amp;"",tbl_Finance[Ex GST],"&lt;&gt;"))</f>
        <v/>
      </c>
      <c r="Z121" s="27">
        <f>IF(E121="","",SUMIFS(tbl_Finance[Ex GST],tbl_Finance[Job Number],E121&amp;""))</f>
        <v/>
      </c>
      <c r="AA121" s="27">
        <f>IF(E121="","",SUMIFS(tbl_Finance[Ex GST],tbl_Finance[Job Number],E121&amp;"",tbl_Finance[Xero Invoice No],"&lt;&gt;"))</f>
        <v/>
      </c>
      <c r="AB121" s="27">
        <f>IF(E121="","",Z121-AA121)</f>
        <v/>
      </c>
      <c r="AC121" s="25">
        <f>IF(E121="","",IFERROR(IF(INDEX(tbl_Onsite[Qwilr Quote],MATCH(E121&amp;"",tbl_Onsite[Job Number],0))="","",INDEX(tbl_Onsite[Qwilr Quote],MATCH(E121&amp;"",tbl_Onsite[Job Number],0))),IFERROR(IF(IF(INDEX(tbl_Production[Current RMS No],MATCH(E121&amp;"",tbl_Production[Job Number],0))="",INDEX(tbl_Production[Qwilr Quote],MATCH(E121&amp;"",tbl_Production[Job Number],0)),INDEX(tbl_Production[Current RMS No],MATCH(E121&amp;"",tbl_Production[Job Number],0)))="","",IF(INDEX(tbl_Production[Current RMS No],MATCH(E121&amp;"",tbl_Production[Job Number],0))="",INDEX(tbl_Production[Qwilr Quote],MATCH(E121&amp;"",tbl_Production[Job Number],0)),INDEX(tbl_Production[Current RMS No],MATCH(E121&amp;"",tbl_Production[Job Number],0)))),IFERROR(IF(INDEX(tbl_Consulting[Qwilr Quote],MATCH(E121&amp;"",tbl_Consulting[Job Number],0))="","",INDEX(tbl_Consulting[Qwilr Quote],MATCH(E121&amp;"",tbl_Consulting[Job Number],0))),""))))</f>
        <v/>
      </c>
      <c r="AD121" s="25">
        <f>IF(AC121="","",IF(AND(LEFT(AC121,4)&lt;&gt;"http",IF(H121="Production",set_RMSBase,set_QwilrBase)=""),"",HYPERLINK(IF(LEFT(AC121,4)="http",AC121,IF(H121="Production",set_RMSBase,set_QwilrBase)&amp;AC121),"Open")))</f>
        <v/>
      </c>
      <c r="AE121" s="27">
        <f>IF(E121="","",IFERROR(INDEX(tbl_Production[Total Expense],MATCH(E121&amp;"",tbl_Production[Job Number],0)),IFERROR(INDEX(tbl_Consulting[Total Expense],MATCH(E121&amp;"",tbl_Consulting[Job Number],0)),0)))</f>
        <v/>
      </c>
      <c r="AF121" s="27">
        <f>IF(E121="","",Z121-N(AE121))</f>
        <v/>
      </c>
      <c r="AG121" s="29">
        <f>IFERROR(AF121/Z121,"")</f>
        <v/>
      </c>
      <c r="AH121" s="25">
        <f>IF(E121="","",IFERROR(IF(INDEX(tbl_Onsite[Notes],MATCH(E121&amp;"",tbl_Onsite[Job Number],0))="","",INDEX(tbl_Onsite[Notes],MATCH(E121&amp;"",tbl_Onsite[Job Number],0))),IFERROR(IF(INDEX(tbl_Production[Notes],MATCH(E121&amp;"",tbl_Production[Job Number],0))="","",INDEX(tbl_Production[Notes],MATCH(E121&amp;"",tbl_Production[Job Number],0))),IFERROR(IF(INDEX(tbl_Consulting[Notes],MATCH(E121&amp;"",tbl_Consulting[Job Number],0))="","",INDEX(tbl_Consulting[Notes],MATCH(E121&amp;"",tbl_Consulting[Job Number],0))),""))))</f>
        <v/>
      </c>
    </row>
    <row r="122" ht="15" customHeight="1">
      <c r="A122" s="22" t="n"/>
      <c r="B122" s="23">
        <f>IF(A122="","",EOMONTH(A122,0))</f>
        <v/>
      </c>
      <c r="C122" s="24" t="n"/>
      <c r="D122" s="24" t="n"/>
      <c r="E122" s="24" t="n"/>
      <c r="F122" s="25">
        <f>IF(E122="","",IF(COUNTIF(lst_Jobs,E122&amp;"")&gt;0,"OK","CHECK"))</f>
        <v/>
      </c>
      <c r="G122" s="24" t="n"/>
      <c r="H122" s="24" t="n"/>
      <c r="I122" s="24" t="n"/>
      <c r="J122" s="24" t="n"/>
      <c r="K122" s="24" t="n"/>
      <c r="L122" s="26" t="n"/>
      <c r="M122" s="27">
        <f>IF(L122="","",IF(K122="GST 10%",ROUND(L122*set_GSTRate,2),0))</f>
        <v/>
      </c>
      <c r="N122" s="27">
        <f>IF(L122="","",L122+M122)</f>
        <v/>
      </c>
      <c r="O122" s="24" t="n"/>
      <c r="P122" s="24" t="n"/>
      <c r="Q122" s="24" t="n"/>
      <c r="R122" s="22" t="n"/>
      <c r="S122" s="22" t="n"/>
      <c r="T122" s="24" t="n"/>
      <c r="U122" s="24" t="n"/>
      <c r="V122" s="25">
        <f>IF(COUNTA(A122,D122,C122,L122)=0,"",IF(A122="","No date - sits outside every month",IF(E122="","No job number",IF(F122="CHECK","Job number is not in the Xero job list",IF(I122="","No cost centre",IF(AND(P122="Y",C122=""),"Marked posted to Xero but has no invoice number",IF(AND(L122&lt;&gt;"",K122=""),"No tax code",IF(AND(L122&lt;&gt;"",O122=""),"No revenue GL code",""))))))))</f>
        <v/>
      </c>
      <c r="W122" s="25">
        <f>IF(E122="","",IF(COUNTIF(tbl_Onsite[Job Number],E122&amp;"")&gt;0,"Onsite",IF(COUNTIF(tbl_Production[Job Number],E122&amp;"")&gt;0,"Production",IF(COUNTIF(tbl_Consulting[Job Number],E122&amp;"")&gt;0,"Consulting","not set up yet"))))</f>
        <v/>
      </c>
      <c r="X122" s="25">
        <f>IF(E122="","",IFERROR(INDEX(lst_JobName,MATCH(E122&amp;"",lst_Jobs,0)),""))</f>
        <v/>
      </c>
      <c r="Y122" s="28">
        <f>IF(E122="","",COUNTIFS(tbl_Finance[Job Number],E122&amp;"",tbl_Finance[Ex GST],"&lt;&gt;"))</f>
        <v/>
      </c>
      <c r="Z122" s="27">
        <f>IF(E122="","",SUMIFS(tbl_Finance[Ex GST],tbl_Finance[Job Number],E122&amp;""))</f>
        <v/>
      </c>
      <c r="AA122" s="27">
        <f>IF(E122="","",SUMIFS(tbl_Finance[Ex GST],tbl_Finance[Job Number],E122&amp;"",tbl_Finance[Xero Invoice No],"&lt;&gt;"))</f>
        <v/>
      </c>
      <c r="AB122" s="27">
        <f>IF(E122="","",Z122-AA122)</f>
        <v/>
      </c>
      <c r="AC122" s="25">
        <f>IF(E122="","",IFERROR(IF(INDEX(tbl_Onsite[Qwilr Quote],MATCH(E122&amp;"",tbl_Onsite[Job Number],0))="","",INDEX(tbl_Onsite[Qwilr Quote],MATCH(E122&amp;"",tbl_Onsite[Job Number],0))),IFERROR(IF(IF(INDEX(tbl_Production[Current RMS No],MATCH(E122&amp;"",tbl_Production[Job Number],0))="",INDEX(tbl_Production[Qwilr Quote],MATCH(E122&amp;"",tbl_Production[Job Number],0)),INDEX(tbl_Production[Current RMS No],MATCH(E122&amp;"",tbl_Production[Job Number],0)))="","",IF(INDEX(tbl_Production[Current RMS No],MATCH(E122&amp;"",tbl_Production[Job Number],0))="",INDEX(tbl_Production[Qwilr Quote],MATCH(E122&amp;"",tbl_Production[Job Number],0)),INDEX(tbl_Production[Current RMS No],MATCH(E122&amp;"",tbl_Production[Job Number],0)))),IFERROR(IF(INDEX(tbl_Consulting[Qwilr Quote],MATCH(E122&amp;"",tbl_Consulting[Job Number],0))="","",INDEX(tbl_Consulting[Qwilr Quote],MATCH(E122&amp;"",tbl_Consulting[Job Number],0))),""))))</f>
        <v/>
      </c>
      <c r="AD122" s="25">
        <f>IF(AC122="","",IF(AND(LEFT(AC122,4)&lt;&gt;"http",IF(H122="Production",set_RMSBase,set_QwilrBase)=""),"",HYPERLINK(IF(LEFT(AC122,4)="http",AC122,IF(H122="Production",set_RMSBase,set_QwilrBase)&amp;AC122),"Open")))</f>
        <v/>
      </c>
      <c r="AE122" s="27">
        <f>IF(E122="","",IFERROR(INDEX(tbl_Production[Total Expense],MATCH(E122&amp;"",tbl_Production[Job Number],0)),IFERROR(INDEX(tbl_Consulting[Total Expense],MATCH(E122&amp;"",tbl_Consulting[Job Number],0)),0)))</f>
        <v/>
      </c>
      <c r="AF122" s="27">
        <f>IF(E122="","",Z122-N(AE122))</f>
        <v/>
      </c>
      <c r="AG122" s="29">
        <f>IFERROR(AF122/Z122,"")</f>
        <v/>
      </c>
      <c r="AH122" s="25">
        <f>IF(E122="","",IFERROR(IF(INDEX(tbl_Onsite[Notes],MATCH(E122&amp;"",tbl_Onsite[Job Number],0))="","",INDEX(tbl_Onsite[Notes],MATCH(E122&amp;"",tbl_Onsite[Job Number],0))),IFERROR(IF(INDEX(tbl_Production[Notes],MATCH(E122&amp;"",tbl_Production[Job Number],0))="","",INDEX(tbl_Production[Notes],MATCH(E122&amp;"",tbl_Production[Job Number],0))),IFERROR(IF(INDEX(tbl_Consulting[Notes],MATCH(E122&amp;"",tbl_Consulting[Job Number],0))="","",INDEX(tbl_Consulting[Notes],MATCH(E122&amp;"",tbl_Consulting[Job Number],0))),""))))</f>
        <v/>
      </c>
    </row>
    <row r="123" ht="15" customHeight="1">
      <c r="A123" s="22" t="n"/>
      <c r="B123" s="23">
        <f>IF(A123="","",EOMONTH(A123,0))</f>
        <v/>
      </c>
      <c r="C123" s="24" t="n"/>
      <c r="D123" s="24" t="n"/>
      <c r="E123" s="24" t="n"/>
      <c r="F123" s="25">
        <f>IF(E123="","",IF(COUNTIF(lst_Jobs,E123&amp;"")&gt;0,"OK","CHECK"))</f>
        <v/>
      </c>
      <c r="G123" s="24" t="n"/>
      <c r="H123" s="24" t="n"/>
      <c r="I123" s="24" t="n"/>
      <c r="J123" s="24" t="n"/>
      <c r="K123" s="24" t="n"/>
      <c r="L123" s="26" t="n"/>
      <c r="M123" s="27">
        <f>IF(L123="","",IF(K123="GST 10%",ROUND(L123*set_GSTRate,2),0))</f>
        <v/>
      </c>
      <c r="N123" s="27">
        <f>IF(L123="","",L123+M123)</f>
        <v/>
      </c>
      <c r="O123" s="24" t="n"/>
      <c r="P123" s="24" t="n"/>
      <c r="Q123" s="24" t="n"/>
      <c r="R123" s="22" t="n"/>
      <c r="S123" s="22" t="n"/>
      <c r="T123" s="24" t="n"/>
      <c r="U123" s="24" t="n"/>
      <c r="V123" s="25">
        <f>IF(COUNTA(A123,D123,C123,L123)=0,"",IF(A123="","No date - sits outside every month",IF(E123="","No job number",IF(F123="CHECK","Job number is not in the Xero job list",IF(I123="","No cost centre",IF(AND(P123="Y",C123=""),"Marked posted to Xero but has no invoice number",IF(AND(L123&lt;&gt;"",K123=""),"No tax code",IF(AND(L123&lt;&gt;"",O123=""),"No revenue GL code",""))))))))</f>
        <v/>
      </c>
      <c r="W123" s="25">
        <f>IF(E123="","",IF(COUNTIF(tbl_Onsite[Job Number],E123&amp;"")&gt;0,"Onsite",IF(COUNTIF(tbl_Production[Job Number],E123&amp;"")&gt;0,"Production",IF(COUNTIF(tbl_Consulting[Job Number],E123&amp;"")&gt;0,"Consulting","not set up yet"))))</f>
        <v/>
      </c>
      <c r="X123" s="25">
        <f>IF(E123="","",IFERROR(INDEX(lst_JobName,MATCH(E123&amp;"",lst_Jobs,0)),""))</f>
        <v/>
      </c>
      <c r="Y123" s="28">
        <f>IF(E123="","",COUNTIFS(tbl_Finance[Job Number],E123&amp;"",tbl_Finance[Ex GST],"&lt;&gt;"))</f>
        <v/>
      </c>
      <c r="Z123" s="27">
        <f>IF(E123="","",SUMIFS(tbl_Finance[Ex GST],tbl_Finance[Job Number],E123&amp;""))</f>
        <v/>
      </c>
      <c r="AA123" s="27">
        <f>IF(E123="","",SUMIFS(tbl_Finance[Ex GST],tbl_Finance[Job Number],E123&amp;"",tbl_Finance[Xero Invoice No],"&lt;&gt;"))</f>
        <v/>
      </c>
      <c r="AB123" s="27">
        <f>IF(E123="","",Z123-AA123)</f>
        <v/>
      </c>
      <c r="AC123" s="25">
        <f>IF(E123="","",IFERROR(IF(INDEX(tbl_Onsite[Qwilr Quote],MATCH(E123&amp;"",tbl_Onsite[Job Number],0))="","",INDEX(tbl_Onsite[Qwilr Quote],MATCH(E123&amp;"",tbl_Onsite[Job Number],0))),IFERROR(IF(IF(INDEX(tbl_Production[Current RMS No],MATCH(E123&amp;"",tbl_Production[Job Number],0))="",INDEX(tbl_Production[Qwilr Quote],MATCH(E123&amp;"",tbl_Production[Job Number],0)),INDEX(tbl_Production[Current RMS No],MATCH(E123&amp;"",tbl_Production[Job Number],0)))="","",IF(INDEX(tbl_Production[Current RMS No],MATCH(E123&amp;"",tbl_Production[Job Number],0))="",INDEX(tbl_Production[Qwilr Quote],MATCH(E123&amp;"",tbl_Production[Job Number],0)),INDEX(tbl_Production[Current RMS No],MATCH(E123&amp;"",tbl_Production[Job Number],0)))),IFERROR(IF(INDEX(tbl_Consulting[Qwilr Quote],MATCH(E123&amp;"",tbl_Consulting[Job Number],0))="","",INDEX(tbl_Consulting[Qwilr Quote],MATCH(E123&amp;"",tbl_Consulting[Job Number],0))),""))))</f>
        <v/>
      </c>
      <c r="AD123" s="25">
        <f>IF(AC123="","",IF(AND(LEFT(AC123,4)&lt;&gt;"http",IF(H123="Production",set_RMSBase,set_QwilrBase)=""),"",HYPERLINK(IF(LEFT(AC123,4)="http",AC123,IF(H123="Production",set_RMSBase,set_QwilrBase)&amp;AC123),"Open")))</f>
        <v/>
      </c>
      <c r="AE123" s="27">
        <f>IF(E123="","",IFERROR(INDEX(tbl_Production[Total Expense],MATCH(E123&amp;"",tbl_Production[Job Number],0)),IFERROR(INDEX(tbl_Consulting[Total Expense],MATCH(E123&amp;"",tbl_Consulting[Job Number],0)),0)))</f>
        <v/>
      </c>
      <c r="AF123" s="27">
        <f>IF(E123="","",Z123-N(AE123))</f>
        <v/>
      </c>
      <c r="AG123" s="29">
        <f>IFERROR(AF123/Z123,"")</f>
        <v/>
      </c>
      <c r="AH123" s="25">
        <f>IF(E123="","",IFERROR(IF(INDEX(tbl_Onsite[Notes],MATCH(E123&amp;"",tbl_Onsite[Job Number],0))="","",INDEX(tbl_Onsite[Notes],MATCH(E123&amp;"",tbl_Onsite[Job Number],0))),IFERROR(IF(INDEX(tbl_Production[Notes],MATCH(E123&amp;"",tbl_Production[Job Number],0))="","",INDEX(tbl_Production[Notes],MATCH(E123&amp;"",tbl_Production[Job Number],0))),IFERROR(IF(INDEX(tbl_Consulting[Notes],MATCH(E123&amp;"",tbl_Consulting[Job Number],0))="","",INDEX(tbl_Consulting[Notes],MATCH(E123&amp;"",tbl_Consulting[Job Number],0))),""))))</f>
        <v/>
      </c>
    </row>
    <row r="124" ht="15" customHeight="1">
      <c r="A124" s="22" t="n"/>
      <c r="B124" s="23">
        <f>IF(A124="","",EOMONTH(A124,0))</f>
        <v/>
      </c>
      <c r="C124" s="24" t="n"/>
      <c r="D124" s="24" t="n"/>
      <c r="E124" s="24" t="n"/>
      <c r="F124" s="25">
        <f>IF(E124="","",IF(COUNTIF(lst_Jobs,E124&amp;"")&gt;0,"OK","CHECK"))</f>
        <v/>
      </c>
      <c r="G124" s="24" t="n"/>
      <c r="H124" s="24" t="n"/>
      <c r="I124" s="24" t="n"/>
      <c r="J124" s="24" t="n"/>
      <c r="K124" s="24" t="n"/>
      <c r="L124" s="26" t="n"/>
      <c r="M124" s="27">
        <f>IF(L124="","",IF(K124="GST 10%",ROUND(L124*set_GSTRate,2),0))</f>
        <v/>
      </c>
      <c r="N124" s="27">
        <f>IF(L124="","",L124+M124)</f>
        <v/>
      </c>
      <c r="O124" s="24" t="n"/>
      <c r="P124" s="24" t="n"/>
      <c r="Q124" s="24" t="n"/>
      <c r="R124" s="22" t="n"/>
      <c r="S124" s="22" t="n"/>
      <c r="T124" s="24" t="n"/>
      <c r="U124" s="24" t="n"/>
      <c r="V124" s="25">
        <f>IF(COUNTA(A124,D124,C124,L124)=0,"",IF(A124="","No date - sits outside every month",IF(E124="","No job number",IF(F124="CHECK","Job number is not in the Xero job list",IF(I124="","No cost centre",IF(AND(P124="Y",C124=""),"Marked posted to Xero but has no invoice number",IF(AND(L124&lt;&gt;"",K124=""),"No tax code",IF(AND(L124&lt;&gt;"",O124=""),"No revenue GL code",""))))))))</f>
        <v/>
      </c>
      <c r="W124" s="25">
        <f>IF(E124="","",IF(COUNTIF(tbl_Onsite[Job Number],E124&amp;"")&gt;0,"Onsite",IF(COUNTIF(tbl_Production[Job Number],E124&amp;"")&gt;0,"Production",IF(COUNTIF(tbl_Consulting[Job Number],E124&amp;"")&gt;0,"Consulting","not set up yet"))))</f>
        <v/>
      </c>
      <c r="X124" s="25">
        <f>IF(E124="","",IFERROR(INDEX(lst_JobName,MATCH(E124&amp;"",lst_Jobs,0)),""))</f>
        <v/>
      </c>
      <c r="Y124" s="28">
        <f>IF(E124="","",COUNTIFS(tbl_Finance[Job Number],E124&amp;"",tbl_Finance[Ex GST],"&lt;&gt;"))</f>
        <v/>
      </c>
      <c r="Z124" s="27">
        <f>IF(E124="","",SUMIFS(tbl_Finance[Ex GST],tbl_Finance[Job Number],E124&amp;""))</f>
        <v/>
      </c>
      <c r="AA124" s="27">
        <f>IF(E124="","",SUMIFS(tbl_Finance[Ex GST],tbl_Finance[Job Number],E124&amp;"",tbl_Finance[Xero Invoice No],"&lt;&gt;"))</f>
        <v/>
      </c>
      <c r="AB124" s="27">
        <f>IF(E124="","",Z124-AA124)</f>
        <v/>
      </c>
      <c r="AC124" s="25">
        <f>IF(E124="","",IFERROR(IF(INDEX(tbl_Onsite[Qwilr Quote],MATCH(E124&amp;"",tbl_Onsite[Job Number],0))="","",INDEX(tbl_Onsite[Qwilr Quote],MATCH(E124&amp;"",tbl_Onsite[Job Number],0))),IFERROR(IF(IF(INDEX(tbl_Production[Current RMS No],MATCH(E124&amp;"",tbl_Production[Job Number],0))="",INDEX(tbl_Production[Qwilr Quote],MATCH(E124&amp;"",tbl_Production[Job Number],0)),INDEX(tbl_Production[Current RMS No],MATCH(E124&amp;"",tbl_Production[Job Number],0)))="","",IF(INDEX(tbl_Production[Current RMS No],MATCH(E124&amp;"",tbl_Production[Job Number],0))="",INDEX(tbl_Production[Qwilr Quote],MATCH(E124&amp;"",tbl_Production[Job Number],0)),INDEX(tbl_Production[Current RMS No],MATCH(E124&amp;"",tbl_Production[Job Number],0)))),IFERROR(IF(INDEX(tbl_Consulting[Qwilr Quote],MATCH(E124&amp;"",tbl_Consulting[Job Number],0))="","",INDEX(tbl_Consulting[Qwilr Quote],MATCH(E124&amp;"",tbl_Consulting[Job Number],0))),""))))</f>
        <v/>
      </c>
      <c r="AD124" s="25">
        <f>IF(AC124="","",IF(AND(LEFT(AC124,4)&lt;&gt;"http",IF(H124="Production",set_RMSBase,set_QwilrBase)=""),"",HYPERLINK(IF(LEFT(AC124,4)="http",AC124,IF(H124="Production",set_RMSBase,set_QwilrBase)&amp;AC124),"Open")))</f>
        <v/>
      </c>
      <c r="AE124" s="27">
        <f>IF(E124="","",IFERROR(INDEX(tbl_Production[Total Expense],MATCH(E124&amp;"",tbl_Production[Job Number],0)),IFERROR(INDEX(tbl_Consulting[Total Expense],MATCH(E124&amp;"",tbl_Consulting[Job Number],0)),0)))</f>
        <v/>
      </c>
      <c r="AF124" s="27">
        <f>IF(E124="","",Z124-N(AE124))</f>
        <v/>
      </c>
      <c r="AG124" s="29">
        <f>IFERROR(AF124/Z124,"")</f>
        <v/>
      </c>
      <c r="AH124" s="25">
        <f>IF(E124="","",IFERROR(IF(INDEX(tbl_Onsite[Notes],MATCH(E124&amp;"",tbl_Onsite[Job Number],0))="","",INDEX(tbl_Onsite[Notes],MATCH(E124&amp;"",tbl_Onsite[Job Number],0))),IFERROR(IF(INDEX(tbl_Production[Notes],MATCH(E124&amp;"",tbl_Production[Job Number],0))="","",INDEX(tbl_Production[Notes],MATCH(E124&amp;"",tbl_Production[Job Number],0))),IFERROR(IF(INDEX(tbl_Consulting[Notes],MATCH(E124&amp;"",tbl_Consulting[Job Number],0))="","",INDEX(tbl_Consulting[Notes],MATCH(E124&amp;"",tbl_Consulting[Job Number],0))),""))))</f>
        <v/>
      </c>
    </row>
    <row r="125" ht="15" customHeight="1">
      <c r="A125" s="22" t="n"/>
      <c r="B125" s="23">
        <f>IF(A125="","",EOMONTH(A125,0))</f>
        <v/>
      </c>
      <c r="C125" s="24" t="n"/>
      <c r="D125" s="24" t="n"/>
      <c r="E125" s="24" t="n"/>
      <c r="F125" s="25">
        <f>IF(E125="","",IF(COUNTIF(lst_Jobs,E125&amp;"")&gt;0,"OK","CHECK"))</f>
        <v/>
      </c>
      <c r="G125" s="24" t="n"/>
      <c r="H125" s="24" t="n"/>
      <c r="I125" s="24" t="n"/>
      <c r="J125" s="24" t="n"/>
      <c r="K125" s="24" t="n"/>
      <c r="L125" s="26" t="n"/>
      <c r="M125" s="27">
        <f>IF(L125="","",IF(K125="GST 10%",ROUND(L125*set_GSTRate,2),0))</f>
        <v/>
      </c>
      <c r="N125" s="27">
        <f>IF(L125="","",L125+M125)</f>
        <v/>
      </c>
      <c r="O125" s="24" t="n"/>
      <c r="P125" s="24" t="n"/>
      <c r="Q125" s="24" t="n"/>
      <c r="R125" s="22" t="n"/>
      <c r="S125" s="22" t="n"/>
      <c r="T125" s="24" t="n"/>
      <c r="U125" s="24" t="n"/>
      <c r="V125" s="25">
        <f>IF(COUNTA(A125,D125,C125,L125)=0,"",IF(A125="","No date - sits outside every month",IF(E125="","No job number",IF(F125="CHECK","Job number is not in the Xero job list",IF(I125="","No cost centre",IF(AND(P125="Y",C125=""),"Marked posted to Xero but has no invoice number",IF(AND(L125&lt;&gt;"",K125=""),"No tax code",IF(AND(L125&lt;&gt;"",O125=""),"No revenue GL code",""))))))))</f>
        <v/>
      </c>
      <c r="W125" s="25">
        <f>IF(E125="","",IF(COUNTIF(tbl_Onsite[Job Number],E125&amp;"")&gt;0,"Onsite",IF(COUNTIF(tbl_Production[Job Number],E125&amp;"")&gt;0,"Production",IF(COUNTIF(tbl_Consulting[Job Number],E125&amp;"")&gt;0,"Consulting","not set up yet"))))</f>
        <v/>
      </c>
      <c r="X125" s="25">
        <f>IF(E125="","",IFERROR(INDEX(lst_JobName,MATCH(E125&amp;"",lst_Jobs,0)),""))</f>
        <v/>
      </c>
      <c r="Y125" s="28">
        <f>IF(E125="","",COUNTIFS(tbl_Finance[Job Number],E125&amp;"",tbl_Finance[Ex GST],"&lt;&gt;"))</f>
        <v/>
      </c>
      <c r="Z125" s="27">
        <f>IF(E125="","",SUMIFS(tbl_Finance[Ex GST],tbl_Finance[Job Number],E125&amp;""))</f>
        <v/>
      </c>
      <c r="AA125" s="27">
        <f>IF(E125="","",SUMIFS(tbl_Finance[Ex GST],tbl_Finance[Job Number],E125&amp;"",tbl_Finance[Xero Invoice No],"&lt;&gt;"))</f>
        <v/>
      </c>
      <c r="AB125" s="27">
        <f>IF(E125="","",Z125-AA125)</f>
        <v/>
      </c>
      <c r="AC125" s="25">
        <f>IF(E125="","",IFERROR(IF(INDEX(tbl_Onsite[Qwilr Quote],MATCH(E125&amp;"",tbl_Onsite[Job Number],0))="","",INDEX(tbl_Onsite[Qwilr Quote],MATCH(E125&amp;"",tbl_Onsite[Job Number],0))),IFERROR(IF(IF(INDEX(tbl_Production[Current RMS No],MATCH(E125&amp;"",tbl_Production[Job Number],0))="",INDEX(tbl_Production[Qwilr Quote],MATCH(E125&amp;"",tbl_Production[Job Number],0)),INDEX(tbl_Production[Current RMS No],MATCH(E125&amp;"",tbl_Production[Job Number],0)))="","",IF(INDEX(tbl_Production[Current RMS No],MATCH(E125&amp;"",tbl_Production[Job Number],0))="",INDEX(tbl_Production[Qwilr Quote],MATCH(E125&amp;"",tbl_Production[Job Number],0)),INDEX(tbl_Production[Current RMS No],MATCH(E125&amp;"",tbl_Production[Job Number],0)))),IFERROR(IF(INDEX(tbl_Consulting[Qwilr Quote],MATCH(E125&amp;"",tbl_Consulting[Job Number],0))="","",INDEX(tbl_Consulting[Qwilr Quote],MATCH(E125&amp;"",tbl_Consulting[Job Number],0))),""))))</f>
        <v/>
      </c>
      <c r="AD125" s="25">
        <f>IF(AC125="","",IF(AND(LEFT(AC125,4)&lt;&gt;"http",IF(H125="Production",set_RMSBase,set_QwilrBase)=""),"",HYPERLINK(IF(LEFT(AC125,4)="http",AC125,IF(H125="Production",set_RMSBase,set_QwilrBase)&amp;AC125),"Open")))</f>
        <v/>
      </c>
      <c r="AE125" s="27">
        <f>IF(E125="","",IFERROR(INDEX(tbl_Production[Total Expense],MATCH(E125&amp;"",tbl_Production[Job Number],0)),IFERROR(INDEX(tbl_Consulting[Total Expense],MATCH(E125&amp;"",tbl_Consulting[Job Number],0)),0)))</f>
        <v/>
      </c>
      <c r="AF125" s="27">
        <f>IF(E125="","",Z125-N(AE125))</f>
        <v/>
      </c>
      <c r="AG125" s="29">
        <f>IFERROR(AF125/Z125,"")</f>
        <v/>
      </c>
      <c r="AH125" s="25">
        <f>IF(E125="","",IFERROR(IF(INDEX(tbl_Onsite[Notes],MATCH(E125&amp;"",tbl_Onsite[Job Number],0))="","",INDEX(tbl_Onsite[Notes],MATCH(E125&amp;"",tbl_Onsite[Job Number],0))),IFERROR(IF(INDEX(tbl_Production[Notes],MATCH(E125&amp;"",tbl_Production[Job Number],0))="","",INDEX(tbl_Production[Notes],MATCH(E125&amp;"",tbl_Production[Job Number],0))),IFERROR(IF(INDEX(tbl_Consulting[Notes],MATCH(E125&amp;"",tbl_Consulting[Job Number],0))="","",INDEX(tbl_Consulting[Notes],MATCH(E125&amp;"",tbl_Consulting[Job Number],0))),""))))</f>
        <v/>
      </c>
    </row>
    <row r="126" ht="15" customHeight="1">
      <c r="A126" s="22" t="n"/>
      <c r="B126" s="23">
        <f>IF(A126="","",EOMONTH(A126,0))</f>
        <v/>
      </c>
      <c r="C126" s="24" t="n"/>
      <c r="D126" s="24" t="n"/>
      <c r="E126" s="24" t="n"/>
      <c r="F126" s="25">
        <f>IF(E126="","",IF(COUNTIF(lst_Jobs,E126&amp;"")&gt;0,"OK","CHECK"))</f>
        <v/>
      </c>
      <c r="G126" s="24" t="n"/>
      <c r="H126" s="24" t="n"/>
      <c r="I126" s="24" t="n"/>
      <c r="J126" s="24" t="n"/>
      <c r="K126" s="24" t="n"/>
      <c r="L126" s="26" t="n"/>
      <c r="M126" s="27">
        <f>IF(L126="","",IF(K126="GST 10%",ROUND(L126*set_GSTRate,2),0))</f>
        <v/>
      </c>
      <c r="N126" s="27">
        <f>IF(L126="","",L126+M126)</f>
        <v/>
      </c>
      <c r="O126" s="24" t="n"/>
      <c r="P126" s="24" t="n"/>
      <c r="Q126" s="24" t="n"/>
      <c r="R126" s="22" t="n"/>
      <c r="S126" s="22" t="n"/>
      <c r="T126" s="24" t="n"/>
      <c r="U126" s="24" t="n"/>
      <c r="V126" s="25">
        <f>IF(COUNTA(A126,D126,C126,L126)=0,"",IF(A126="","No date - sits outside every month",IF(E126="","No job number",IF(F126="CHECK","Job number is not in the Xero job list",IF(I126="","No cost centre",IF(AND(P126="Y",C126=""),"Marked posted to Xero but has no invoice number",IF(AND(L126&lt;&gt;"",K126=""),"No tax code",IF(AND(L126&lt;&gt;"",O126=""),"No revenue GL code",""))))))))</f>
        <v/>
      </c>
      <c r="W126" s="25">
        <f>IF(E126="","",IF(COUNTIF(tbl_Onsite[Job Number],E126&amp;"")&gt;0,"Onsite",IF(COUNTIF(tbl_Production[Job Number],E126&amp;"")&gt;0,"Production",IF(COUNTIF(tbl_Consulting[Job Number],E126&amp;"")&gt;0,"Consulting","not set up yet"))))</f>
        <v/>
      </c>
      <c r="X126" s="25">
        <f>IF(E126="","",IFERROR(INDEX(lst_JobName,MATCH(E126&amp;"",lst_Jobs,0)),""))</f>
        <v/>
      </c>
      <c r="Y126" s="28">
        <f>IF(E126="","",COUNTIFS(tbl_Finance[Job Number],E126&amp;"",tbl_Finance[Ex GST],"&lt;&gt;"))</f>
        <v/>
      </c>
      <c r="Z126" s="27">
        <f>IF(E126="","",SUMIFS(tbl_Finance[Ex GST],tbl_Finance[Job Number],E126&amp;""))</f>
        <v/>
      </c>
      <c r="AA126" s="27">
        <f>IF(E126="","",SUMIFS(tbl_Finance[Ex GST],tbl_Finance[Job Number],E126&amp;"",tbl_Finance[Xero Invoice No],"&lt;&gt;"))</f>
        <v/>
      </c>
      <c r="AB126" s="27">
        <f>IF(E126="","",Z126-AA126)</f>
        <v/>
      </c>
      <c r="AC126" s="25">
        <f>IF(E126="","",IFERROR(IF(INDEX(tbl_Onsite[Qwilr Quote],MATCH(E126&amp;"",tbl_Onsite[Job Number],0))="","",INDEX(tbl_Onsite[Qwilr Quote],MATCH(E126&amp;"",tbl_Onsite[Job Number],0))),IFERROR(IF(IF(INDEX(tbl_Production[Current RMS No],MATCH(E126&amp;"",tbl_Production[Job Number],0))="",INDEX(tbl_Production[Qwilr Quote],MATCH(E126&amp;"",tbl_Production[Job Number],0)),INDEX(tbl_Production[Current RMS No],MATCH(E126&amp;"",tbl_Production[Job Number],0)))="","",IF(INDEX(tbl_Production[Current RMS No],MATCH(E126&amp;"",tbl_Production[Job Number],0))="",INDEX(tbl_Production[Qwilr Quote],MATCH(E126&amp;"",tbl_Production[Job Number],0)),INDEX(tbl_Production[Current RMS No],MATCH(E126&amp;"",tbl_Production[Job Number],0)))),IFERROR(IF(INDEX(tbl_Consulting[Qwilr Quote],MATCH(E126&amp;"",tbl_Consulting[Job Number],0))="","",INDEX(tbl_Consulting[Qwilr Quote],MATCH(E126&amp;"",tbl_Consulting[Job Number],0))),""))))</f>
        <v/>
      </c>
      <c r="AD126" s="25">
        <f>IF(AC126="","",IF(AND(LEFT(AC126,4)&lt;&gt;"http",IF(H126="Production",set_RMSBase,set_QwilrBase)=""),"",HYPERLINK(IF(LEFT(AC126,4)="http",AC126,IF(H126="Production",set_RMSBase,set_QwilrBase)&amp;AC126),"Open")))</f>
        <v/>
      </c>
      <c r="AE126" s="27">
        <f>IF(E126="","",IFERROR(INDEX(tbl_Production[Total Expense],MATCH(E126&amp;"",tbl_Production[Job Number],0)),IFERROR(INDEX(tbl_Consulting[Total Expense],MATCH(E126&amp;"",tbl_Consulting[Job Number],0)),0)))</f>
        <v/>
      </c>
      <c r="AF126" s="27">
        <f>IF(E126="","",Z126-N(AE126))</f>
        <v/>
      </c>
      <c r="AG126" s="29">
        <f>IFERROR(AF126/Z126,"")</f>
        <v/>
      </c>
      <c r="AH126" s="25">
        <f>IF(E126="","",IFERROR(IF(INDEX(tbl_Onsite[Notes],MATCH(E126&amp;"",tbl_Onsite[Job Number],0))="","",INDEX(tbl_Onsite[Notes],MATCH(E126&amp;"",tbl_Onsite[Job Number],0))),IFERROR(IF(INDEX(tbl_Production[Notes],MATCH(E126&amp;"",tbl_Production[Job Number],0))="","",INDEX(tbl_Production[Notes],MATCH(E126&amp;"",tbl_Production[Job Number],0))),IFERROR(IF(INDEX(tbl_Consulting[Notes],MATCH(E126&amp;"",tbl_Consulting[Job Number],0))="","",INDEX(tbl_Consulting[Notes],MATCH(E126&amp;"",tbl_Consulting[Job Number],0))),""))))</f>
        <v/>
      </c>
    </row>
    <row r="127" ht="15" customHeight="1">
      <c r="A127" s="22" t="n"/>
      <c r="B127" s="23">
        <f>IF(A127="","",EOMONTH(A127,0))</f>
        <v/>
      </c>
      <c r="C127" s="24" t="n"/>
      <c r="D127" s="24" t="n"/>
      <c r="E127" s="24" t="n"/>
      <c r="F127" s="25">
        <f>IF(E127="","",IF(COUNTIF(lst_Jobs,E127&amp;"")&gt;0,"OK","CHECK"))</f>
        <v/>
      </c>
      <c r="G127" s="24" t="n"/>
      <c r="H127" s="24" t="n"/>
      <c r="I127" s="24" t="n"/>
      <c r="J127" s="24" t="n"/>
      <c r="K127" s="24" t="n"/>
      <c r="L127" s="26" t="n"/>
      <c r="M127" s="27">
        <f>IF(L127="","",IF(K127="GST 10%",ROUND(L127*set_GSTRate,2),0))</f>
        <v/>
      </c>
      <c r="N127" s="27">
        <f>IF(L127="","",L127+M127)</f>
        <v/>
      </c>
      <c r="O127" s="24" t="n"/>
      <c r="P127" s="24" t="n"/>
      <c r="Q127" s="24" t="n"/>
      <c r="R127" s="22" t="n"/>
      <c r="S127" s="22" t="n"/>
      <c r="T127" s="24" t="n"/>
      <c r="U127" s="24" t="n"/>
      <c r="V127" s="25">
        <f>IF(COUNTA(A127,D127,C127,L127)=0,"",IF(A127="","No date - sits outside every month",IF(E127="","No job number",IF(F127="CHECK","Job number is not in the Xero job list",IF(I127="","No cost centre",IF(AND(P127="Y",C127=""),"Marked posted to Xero but has no invoice number",IF(AND(L127&lt;&gt;"",K127=""),"No tax code",IF(AND(L127&lt;&gt;"",O127=""),"No revenue GL code",""))))))))</f>
        <v/>
      </c>
      <c r="W127" s="25">
        <f>IF(E127="","",IF(COUNTIF(tbl_Onsite[Job Number],E127&amp;"")&gt;0,"Onsite",IF(COUNTIF(tbl_Production[Job Number],E127&amp;"")&gt;0,"Production",IF(COUNTIF(tbl_Consulting[Job Number],E127&amp;"")&gt;0,"Consulting","not set up yet"))))</f>
        <v/>
      </c>
      <c r="X127" s="25">
        <f>IF(E127="","",IFERROR(INDEX(lst_JobName,MATCH(E127&amp;"",lst_Jobs,0)),""))</f>
        <v/>
      </c>
      <c r="Y127" s="28">
        <f>IF(E127="","",COUNTIFS(tbl_Finance[Job Number],E127&amp;"",tbl_Finance[Ex GST],"&lt;&gt;"))</f>
        <v/>
      </c>
      <c r="Z127" s="27">
        <f>IF(E127="","",SUMIFS(tbl_Finance[Ex GST],tbl_Finance[Job Number],E127&amp;""))</f>
        <v/>
      </c>
      <c r="AA127" s="27">
        <f>IF(E127="","",SUMIFS(tbl_Finance[Ex GST],tbl_Finance[Job Number],E127&amp;"",tbl_Finance[Xero Invoice No],"&lt;&gt;"))</f>
        <v/>
      </c>
      <c r="AB127" s="27">
        <f>IF(E127="","",Z127-AA127)</f>
        <v/>
      </c>
      <c r="AC127" s="25">
        <f>IF(E127="","",IFERROR(IF(INDEX(tbl_Onsite[Qwilr Quote],MATCH(E127&amp;"",tbl_Onsite[Job Number],0))="","",INDEX(tbl_Onsite[Qwilr Quote],MATCH(E127&amp;"",tbl_Onsite[Job Number],0))),IFERROR(IF(IF(INDEX(tbl_Production[Current RMS No],MATCH(E127&amp;"",tbl_Production[Job Number],0))="",INDEX(tbl_Production[Qwilr Quote],MATCH(E127&amp;"",tbl_Production[Job Number],0)),INDEX(tbl_Production[Current RMS No],MATCH(E127&amp;"",tbl_Production[Job Number],0)))="","",IF(INDEX(tbl_Production[Current RMS No],MATCH(E127&amp;"",tbl_Production[Job Number],0))="",INDEX(tbl_Production[Qwilr Quote],MATCH(E127&amp;"",tbl_Production[Job Number],0)),INDEX(tbl_Production[Current RMS No],MATCH(E127&amp;"",tbl_Production[Job Number],0)))),IFERROR(IF(INDEX(tbl_Consulting[Qwilr Quote],MATCH(E127&amp;"",tbl_Consulting[Job Number],0))="","",INDEX(tbl_Consulting[Qwilr Quote],MATCH(E127&amp;"",tbl_Consulting[Job Number],0))),""))))</f>
        <v/>
      </c>
      <c r="AD127" s="25">
        <f>IF(AC127="","",IF(AND(LEFT(AC127,4)&lt;&gt;"http",IF(H127="Production",set_RMSBase,set_QwilrBase)=""),"",HYPERLINK(IF(LEFT(AC127,4)="http",AC127,IF(H127="Production",set_RMSBase,set_QwilrBase)&amp;AC127),"Open")))</f>
        <v/>
      </c>
      <c r="AE127" s="27">
        <f>IF(E127="","",IFERROR(INDEX(tbl_Production[Total Expense],MATCH(E127&amp;"",tbl_Production[Job Number],0)),IFERROR(INDEX(tbl_Consulting[Total Expense],MATCH(E127&amp;"",tbl_Consulting[Job Number],0)),0)))</f>
        <v/>
      </c>
      <c r="AF127" s="27">
        <f>IF(E127="","",Z127-N(AE127))</f>
        <v/>
      </c>
      <c r="AG127" s="29">
        <f>IFERROR(AF127/Z127,"")</f>
        <v/>
      </c>
      <c r="AH127" s="25">
        <f>IF(E127="","",IFERROR(IF(INDEX(tbl_Onsite[Notes],MATCH(E127&amp;"",tbl_Onsite[Job Number],0))="","",INDEX(tbl_Onsite[Notes],MATCH(E127&amp;"",tbl_Onsite[Job Number],0))),IFERROR(IF(INDEX(tbl_Production[Notes],MATCH(E127&amp;"",tbl_Production[Job Number],0))="","",INDEX(tbl_Production[Notes],MATCH(E127&amp;"",tbl_Production[Job Number],0))),IFERROR(IF(INDEX(tbl_Consulting[Notes],MATCH(E127&amp;"",tbl_Consulting[Job Number],0))="","",INDEX(tbl_Consulting[Notes],MATCH(E127&amp;"",tbl_Consulting[Job Number],0))),""))))</f>
        <v/>
      </c>
    </row>
    <row r="128" ht="15" customHeight="1">
      <c r="A128" s="22" t="n"/>
      <c r="B128" s="23">
        <f>IF(A128="","",EOMONTH(A128,0))</f>
        <v/>
      </c>
      <c r="C128" s="24" t="n"/>
      <c r="D128" s="24" t="n"/>
      <c r="E128" s="24" t="n"/>
      <c r="F128" s="25">
        <f>IF(E128="","",IF(COUNTIF(lst_Jobs,E128&amp;"")&gt;0,"OK","CHECK"))</f>
        <v/>
      </c>
      <c r="G128" s="24" t="n"/>
      <c r="H128" s="24" t="n"/>
      <c r="I128" s="24" t="n"/>
      <c r="J128" s="24" t="n"/>
      <c r="K128" s="24" t="n"/>
      <c r="L128" s="26" t="n"/>
      <c r="M128" s="27">
        <f>IF(L128="","",IF(K128="GST 10%",ROUND(L128*set_GSTRate,2),0))</f>
        <v/>
      </c>
      <c r="N128" s="27">
        <f>IF(L128="","",L128+M128)</f>
        <v/>
      </c>
      <c r="O128" s="24" t="n"/>
      <c r="P128" s="24" t="n"/>
      <c r="Q128" s="24" t="n"/>
      <c r="R128" s="22" t="n"/>
      <c r="S128" s="22" t="n"/>
      <c r="T128" s="24" t="n"/>
      <c r="U128" s="24" t="n"/>
      <c r="V128" s="25">
        <f>IF(COUNTA(A128,D128,C128,L128)=0,"",IF(A128="","No date - sits outside every month",IF(E128="","No job number",IF(F128="CHECK","Job number is not in the Xero job list",IF(I128="","No cost centre",IF(AND(P128="Y",C128=""),"Marked posted to Xero but has no invoice number",IF(AND(L128&lt;&gt;"",K128=""),"No tax code",IF(AND(L128&lt;&gt;"",O128=""),"No revenue GL code",""))))))))</f>
        <v/>
      </c>
      <c r="W128" s="25">
        <f>IF(E128="","",IF(COUNTIF(tbl_Onsite[Job Number],E128&amp;"")&gt;0,"Onsite",IF(COUNTIF(tbl_Production[Job Number],E128&amp;"")&gt;0,"Production",IF(COUNTIF(tbl_Consulting[Job Number],E128&amp;"")&gt;0,"Consulting","not set up yet"))))</f>
        <v/>
      </c>
      <c r="X128" s="25">
        <f>IF(E128="","",IFERROR(INDEX(lst_JobName,MATCH(E128&amp;"",lst_Jobs,0)),""))</f>
        <v/>
      </c>
      <c r="Y128" s="28">
        <f>IF(E128="","",COUNTIFS(tbl_Finance[Job Number],E128&amp;"",tbl_Finance[Ex GST],"&lt;&gt;"))</f>
        <v/>
      </c>
      <c r="Z128" s="27">
        <f>IF(E128="","",SUMIFS(tbl_Finance[Ex GST],tbl_Finance[Job Number],E128&amp;""))</f>
        <v/>
      </c>
      <c r="AA128" s="27">
        <f>IF(E128="","",SUMIFS(tbl_Finance[Ex GST],tbl_Finance[Job Number],E128&amp;"",tbl_Finance[Xero Invoice No],"&lt;&gt;"))</f>
        <v/>
      </c>
      <c r="AB128" s="27">
        <f>IF(E128="","",Z128-AA128)</f>
        <v/>
      </c>
      <c r="AC128" s="25">
        <f>IF(E128="","",IFERROR(IF(INDEX(tbl_Onsite[Qwilr Quote],MATCH(E128&amp;"",tbl_Onsite[Job Number],0))="","",INDEX(tbl_Onsite[Qwilr Quote],MATCH(E128&amp;"",tbl_Onsite[Job Number],0))),IFERROR(IF(IF(INDEX(tbl_Production[Current RMS No],MATCH(E128&amp;"",tbl_Production[Job Number],0))="",INDEX(tbl_Production[Qwilr Quote],MATCH(E128&amp;"",tbl_Production[Job Number],0)),INDEX(tbl_Production[Current RMS No],MATCH(E128&amp;"",tbl_Production[Job Number],0)))="","",IF(INDEX(tbl_Production[Current RMS No],MATCH(E128&amp;"",tbl_Production[Job Number],0))="",INDEX(tbl_Production[Qwilr Quote],MATCH(E128&amp;"",tbl_Production[Job Number],0)),INDEX(tbl_Production[Current RMS No],MATCH(E128&amp;"",tbl_Production[Job Number],0)))),IFERROR(IF(INDEX(tbl_Consulting[Qwilr Quote],MATCH(E128&amp;"",tbl_Consulting[Job Number],0))="","",INDEX(tbl_Consulting[Qwilr Quote],MATCH(E128&amp;"",tbl_Consulting[Job Number],0))),""))))</f>
        <v/>
      </c>
      <c r="AD128" s="25">
        <f>IF(AC128="","",IF(AND(LEFT(AC128,4)&lt;&gt;"http",IF(H128="Production",set_RMSBase,set_QwilrBase)=""),"",HYPERLINK(IF(LEFT(AC128,4)="http",AC128,IF(H128="Production",set_RMSBase,set_QwilrBase)&amp;AC128),"Open")))</f>
        <v/>
      </c>
      <c r="AE128" s="27">
        <f>IF(E128="","",IFERROR(INDEX(tbl_Production[Total Expense],MATCH(E128&amp;"",tbl_Production[Job Number],0)),IFERROR(INDEX(tbl_Consulting[Total Expense],MATCH(E128&amp;"",tbl_Consulting[Job Number],0)),0)))</f>
        <v/>
      </c>
      <c r="AF128" s="27">
        <f>IF(E128="","",Z128-N(AE128))</f>
        <v/>
      </c>
      <c r="AG128" s="29">
        <f>IFERROR(AF128/Z128,"")</f>
        <v/>
      </c>
      <c r="AH128" s="25">
        <f>IF(E128="","",IFERROR(IF(INDEX(tbl_Onsite[Notes],MATCH(E128&amp;"",tbl_Onsite[Job Number],0))="","",INDEX(tbl_Onsite[Notes],MATCH(E128&amp;"",tbl_Onsite[Job Number],0))),IFERROR(IF(INDEX(tbl_Production[Notes],MATCH(E128&amp;"",tbl_Production[Job Number],0))="","",INDEX(tbl_Production[Notes],MATCH(E128&amp;"",tbl_Production[Job Number],0))),IFERROR(IF(INDEX(tbl_Consulting[Notes],MATCH(E128&amp;"",tbl_Consulting[Job Number],0))="","",INDEX(tbl_Consulting[Notes],MATCH(E128&amp;"",tbl_Consulting[Job Number],0))),""))))</f>
        <v/>
      </c>
    </row>
    <row r="129" ht="15" customHeight="1">
      <c r="A129" s="22" t="n"/>
      <c r="B129" s="23">
        <f>IF(A129="","",EOMONTH(A129,0))</f>
        <v/>
      </c>
      <c r="C129" s="24" t="n"/>
      <c r="D129" s="24" t="n"/>
      <c r="E129" s="24" t="n"/>
      <c r="F129" s="25">
        <f>IF(E129="","",IF(COUNTIF(lst_Jobs,E129&amp;"")&gt;0,"OK","CHECK"))</f>
        <v/>
      </c>
      <c r="G129" s="24" t="n"/>
      <c r="H129" s="24" t="n"/>
      <c r="I129" s="24" t="n"/>
      <c r="J129" s="24" t="n"/>
      <c r="K129" s="24" t="n"/>
      <c r="L129" s="26" t="n"/>
      <c r="M129" s="27">
        <f>IF(L129="","",IF(K129="GST 10%",ROUND(L129*set_GSTRate,2),0))</f>
        <v/>
      </c>
      <c r="N129" s="27">
        <f>IF(L129="","",L129+M129)</f>
        <v/>
      </c>
      <c r="O129" s="24" t="n"/>
      <c r="P129" s="24" t="n"/>
      <c r="Q129" s="24" t="n"/>
      <c r="R129" s="22" t="n"/>
      <c r="S129" s="22" t="n"/>
      <c r="T129" s="24" t="n"/>
      <c r="U129" s="24" t="n"/>
      <c r="V129" s="25">
        <f>IF(COUNTA(A129,D129,C129,L129)=0,"",IF(A129="","No date - sits outside every month",IF(E129="","No job number",IF(F129="CHECK","Job number is not in the Xero job list",IF(I129="","No cost centre",IF(AND(P129="Y",C129=""),"Marked posted to Xero but has no invoice number",IF(AND(L129&lt;&gt;"",K129=""),"No tax code",IF(AND(L129&lt;&gt;"",O129=""),"No revenue GL code",""))))))))</f>
        <v/>
      </c>
      <c r="W129" s="25">
        <f>IF(E129="","",IF(COUNTIF(tbl_Onsite[Job Number],E129&amp;"")&gt;0,"Onsite",IF(COUNTIF(tbl_Production[Job Number],E129&amp;"")&gt;0,"Production",IF(COUNTIF(tbl_Consulting[Job Number],E129&amp;"")&gt;0,"Consulting","not set up yet"))))</f>
        <v/>
      </c>
      <c r="X129" s="25">
        <f>IF(E129="","",IFERROR(INDEX(lst_JobName,MATCH(E129&amp;"",lst_Jobs,0)),""))</f>
        <v/>
      </c>
      <c r="Y129" s="28">
        <f>IF(E129="","",COUNTIFS(tbl_Finance[Job Number],E129&amp;"",tbl_Finance[Ex GST],"&lt;&gt;"))</f>
        <v/>
      </c>
      <c r="Z129" s="27">
        <f>IF(E129="","",SUMIFS(tbl_Finance[Ex GST],tbl_Finance[Job Number],E129&amp;""))</f>
        <v/>
      </c>
      <c r="AA129" s="27">
        <f>IF(E129="","",SUMIFS(tbl_Finance[Ex GST],tbl_Finance[Job Number],E129&amp;"",tbl_Finance[Xero Invoice No],"&lt;&gt;"))</f>
        <v/>
      </c>
      <c r="AB129" s="27">
        <f>IF(E129="","",Z129-AA129)</f>
        <v/>
      </c>
      <c r="AC129" s="25">
        <f>IF(E129="","",IFERROR(IF(INDEX(tbl_Onsite[Qwilr Quote],MATCH(E129&amp;"",tbl_Onsite[Job Number],0))="","",INDEX(tbl_Onsite[Qwilr Quote],MATCH(E129&amp;"",tbl_Onsite[Job Number],0))),IFERROR(IF(IF(INDEX(tbl_Production[Current RMS No],MATCH(E129&amp;"",tbl_Production[Job Number],0))="",INDEX(tbl_Production[Qwilr Quote],MATCH(E129&amp;"",tbl_Production[Job Number],0)),INDEX(tbl_Production[Current RMS No],MATCH(E129&amp;"",tbl_Production[Job Number],0)))="","",IF(INDEX(tbl_Production[Current RMS No],MATCH(E129&amp;"",tbl_Production[Job Number],0))="",INDEX(tbl_Production[Qwilr Quote],MATCH(E129&amp;"",tbl_Production[Job Number],0)),INDEX(tbl_Production[Current RMS No],MATCH(E129&amp;"",tbl_Production[Job Number],0)))),IFERROR(IF(INDEX(tbl_Consulting[Qwilr Quote],MATCH(E129&amp;"",tbl_Consulting[Job Number],0))="","",INDEX(tbl_Consulting[Qwilr Quote],MATCH(E129&amp;"",tbl_Consulting[Job Number],0))),""))))</f>
        <v/>
      </c>
      <c r="AD129" s="25">
        <f>IF(AC129="","",IF(AND(LEFT(AC129,4)&lt;&gt;"http",IF(H129="Production",set_RMSBase,set_QwilrBase)=""),"",HYPERLINK(IF(LEFT(AC129,4)="http",AC129,IF(H129="Production",set_RMSBase,set_QwilrBase)&amp;AC129),"Open")))</f>
        <v/>
      </c>
      <c r="AE129" s="27">
        <f>IF(E129="","",IFERROR(INDEX(tbl_Production[Total Expense],MATCH(E129&amp;"",tbl_Production[Job Number],0)),IFERROR(INDEX(tbl_Consulting[Total Expense],MATCH(E129&amp;"",tbl_Consulting[Job Number],0)),0)))</f>
        <v/>
      </c>
      <c r="AF129" s="27">
        <f>IF(E129="","",Z129-N(AE129))</f>
        <v/>
      </c>
      <c r="AG129" s="29">
        <f>IFERROR(AF129/Z129,"")</f>
        <v/>
      </c>
      <c r="AH129" s="25">
        <f>IF(E129="","",IFERROR(IF(INDEX(tbl_Onsite[Notes],MATCH(E129&amp;"",tbl_Onsite[Job Number],0))="","",INDEX(tbl_Onsite[Notes],MATCH(E129&amp;"",tbl_Onsite[Job Number],0))),IFERROR(IF(INDEX(tbl_Production[Notes],MATCH(E129&amp;"",tbl_Production[Job Number],0))="","",INDEX(tbl_Production[Notes],MATCH(E129&amp;"",tbl_Production[Job Number],0))),IFERROR(IF(INDEX(tbl_Consulting[Notes],MATCH(E129&amp;"",tbl_Consulting[Job Number],0))="","",INDEX(tbl_Consulting[Notes],MATCH(E129&amp;"",tbl_Consulting[Job Number],0))),""))))</f>
        <v/>
      </c>
    </row>
    <row r="130" ht="15" customHeight="1">
      <c r="A130" s="22" t="n"/>
      <c r="B130" s="23">
        <f>IF(A130="","",EOMONTH(A130,0))</f>
        <v/>
      </c>
      <c r="C130" s="24" t="n"/>
      <c r="D130" s="24" t="n"/>
      <c r="E130" s="24" t="n"/>
      <c r="F130" s="25">
        <f>IF(E130="","",IF(COUNTIF(lst_Jobs,E130&amp;"")&gt;0,"OK","CHECK"))</f>
        <v/>
      </c>
      <c r="G130" s="24" t="n"/>
      <c r="H130" s="24" t="n"/>
      <c r="I130" s="24" t="n"/>
      <c r="J130" s="24" t="n"/>
      <c r="K130" s="24" t="n"/>
      <c r="L130" s="26" t="n"/>
      <c r="M130" s="27">
        <f>IF(L130="","",IF(K130="GST 10%",ROUND(L130*set_GSTRate,2),0))</f>
        <v/>
      </c>
      <c r="N130" s="27">
        <f>IF(L130="","",L130+M130)</f>
        <v/>
      </c>
      <c r="O130" s="24" t="n"/>
      <c r="P130" s="24" t="n"/>
      <c r="Q130" s="24" t="n"/>
      <c r="R130" s="22" t="n"/>
      <c r="S130" s="22" t="n"/>
      <c r="T130" s="24" t="n"/>
      <c r="U130" s="24" t="n"/>
      <c r="V130" s="25">
        <f>IF(COUNTA(A130,D130,C130,L130)=0,"",IF(A130="","No date - sits outside every month",IF(E130="","No job number",IF(F130="CHECK","Job number is not in the Xero job list",IF(I130="","No cost centre",IF(AND(P130="Y",C130=""),"Marked posted to Xero but has no invoice number",IF(AND(L130&lt;&gt;"",K130=""),"No tax code",IF(AND(L130&lt;&gt;"",O130=""),"No revenue GL code",""))))))))</f>
        <v/>
      </c>
      <c r="W130" s="25">
        <f>IF(E130="","",IF(COUNTIF(tbl_Onsite[Job Number],E130&amp;"")&gt;0,"Onsite",IF(COUNTIF(tbl_Production[Job Number],E130&amp;"")&gt;0,"Production",IF(COUNTIF(tbl_Consulting[Job Number],E130&amp;"")&gt;0,"Consulting","not set up yet"))))</f>
        <v/>
      </c>
      <c r="X130" s="25">
        <f>IF(E130="","",IFERROR(INDEX(lst_JobName,MATCH(E130&amp;"",lst_Jobs,0)),""))</f>
        <v/>
      </c>
      <c r="Y130" s="28">
        <f>IF(E130="","",COUNTIFS(tbl_Finance[Job Number],E130&amp;"",tbl_Finance[Ex GST],"&lt;&gt;"))</f>
        <v/>
      </c>
      <c r="Z130" s="27">
        <f>IF(E130="","",SUMIFS(tbl_Finance[Ex GST],tbl_Finance[Job Number],E130&amp;""))</f>
        <v/>
      </c>
      <c r="AA130" s="27">
        <f>IF(E130="","",SUMIFS(tbl_Finance[Ex GST],tbl_Finance[Job Number],E130&amp;"",tbl_Finance[Xero Invoice No],"&lt;&gt;"))</f>
        <v/>
      </c>
      <c r="AB130" s="27">
        <f>IF(E130="","",Z130-AA130)</f>
        <v/>
      </c>
      <c r="AC130" s="25">
        <f>IF(E130="","",IFERROR(IF(INDEX(tbl_Onsite[Qwilr Quote],MATCH(E130&amp;"",tbl_Onsite[Job Number],0))="","",INDEX(tbl_Onsite[Qwilr Quote],MATCH(E130&amp;"",tbl_Onsite[Job Number],0))),IFERROR(IF(IF(INDEX(tbl_Production[Current RMS No],MATCH(E130&amp;"",tbl_Production[Job Number],0))="",INDEX(tbl_Production[Qwilr Quote],MATCH(E130&amp;"",tbl_Production[Job Number],0)),INDEX(tbl_Production[Current RMS No],MATCH(E130&amp;"",tbl_Production[Job Number],0)))="","",IF(INDEX(tbl_Production[Current RMS No],MATCH(E130&amp;"",tbl_Production[Job Number],0))="",INDEX(tbl_Production[Qwilr Quote],MATCH(E130&amp;"",tbl_Production[Job Number],0)),INDEX(tbl_Production[Current RMS No],MATCH(E130&amp;"",tbl_Production[Job Number],0)))),IFERROR(IF(INDEX(tbl_Consulting[Qwilr Quote],MATCH(E130&amp;"",tbl_Consulting[Job Number],0))="","",INDEX(tbl_Consulting[Qwilr Quote],MATCH(E130&amp;"",tbl_Consulting[Job Number],0))),""))))</f>
        <v/>
      </c>
      <c r="AD130" s="25">
        <f>IF(AC130="","",IF(AND(LEFT(AC130,4)&lt;&gt;"http",IF(H130="Production",set_RMSBase,set_QwilrBase)=""),"",HYPERLINK(IF(LEFT(AC130,4)="http",AC130,IF(H130="Production",set_RMSBase,set_QwilrBase)&amp;AC130),"Open")))</f>
        <v/>
      </c>
      <c r="AE130" s="27">
        <f>IF(E130="","",IFERROR(INDEX(tbl_Production[Total Expense],MATCH(E130&amp;"",tbl_Production[Job Number],0)),IFERROR(INDEX(tbl_Consulting[Total Expense],MATCH(E130&amp;"",tbl_Consulting[Job Number],0)),0)))</f>
        <v/>
      </c>
      <c r="AF130" s="27">
        <f>IF(E130="","",Z130-N(AE130))</f>
        <v/>
      </c>
      <c r="AG130" s="29">
        <f>IFERROR(AF130/Z130,"")</f>
        <v/>
      </c>
      <c r="AH130" s="25">
        <f>IF(E130="","",IFERROR(IF(INDEX(tbl_Onsite[Notes],MATCH(E130&amp;"",tbl_Onsite[Job Number],0))="","",INDEX(tbl_Onsite[Notes],MATCH(E130&amp;"",tbl_Onsite[Job Number],0))),IFERROR(IF(INDEX(tbl_Production[Notes],MATCH(E130&amp;"",tbl_Production[Job Number],0))="","",INDEX(tbl_Production[Notes],MATCH(E130&amp;"",tbl_Production[Job Number],0))),IFERROR(IF(INDEX(tbl_Consulting[Notes],MATCH(E130&amp;"",tbl_Consulting[Job Number],0))="","",INDEX(tbl_Consulting[Notes],MATCH(E130&amp;"",tbl_Consulting[Job Number],0))),""))))</f>
        <v/>
      </c>
    </row>
    <row r="131" ht="15" customHeight="1">
      <c r="A131" s="22" t="n"/>
      <c r="B131" s="23">
        <f>IF(A131="","",EOMONTH(A131,0))</f>
        <v/>
      </c>
      <c r="C131" s="24" t="n"/>
      <c r="D131" s="24" t="n"/>
      <c r="E131" s="24" t="n"/>
      <c r="F131" s="25">
        <f>IF(E131="","",IF(COUNTIF(lst_Jobs,E131&amp;"")&gt;0,"OK","CHECK"))</f>
        <v/>
      </c>
      <c r="G131" s="24" t="n"/>
      <c r="H131" s="24" t="n"/>
      <c r="I131" s="24" t="n"/>
      <c r="J131" s="24" t="n"/>
      <c r="K131" s="24" t="n"/>
      <c r="L131" s="26" t="n"/>
      <c r="M131" s="27">
        <f>IF(L131="","",IF(K131="GST 10%",ROUND(L131*set_GSTRate,2),0))</f>
        <v/>
      </c>
      <c r="N131" s="27">
        <f>IF(L131="","",L131+M131)</f>
        <v/>
      </c>
      <c r="O131" s="24" t="n"/>
      <c r="P131" s="24" t="n"/>
      <c r="Q131" s="24" t="n"/>
      <c r="R131" s="22" t="n"/>
      <c r="S131" s="22" t="n"/>
      <c r="T131" s="24" t="n"/>
      <c r="U131" s="24" t="n"/>
      <c r="V131" s="25">
        <f>IF(COUNTA(A131,D131,C131,L131)=0,"",IF(A131="","No date - sits outside every month",IF(E131="","No job number",IF(F131="CHECK","Job number is not in the Xero job list",IF(I131="","No cost centre",IF(AND(P131="Y",C131=""),"Marked posted to Xero but has no invoice number",IF(AND(L131&lt;&gt;"",K131=""),"No tax code",IF(AND(L131&lt;&gt;"",O131=""),"No revenue GL code",""))))))))</f>
        <v/>
      </c>
      <c r="W131" s="25">
        <f>IF(E131="","",IF(COUNTIF(tbl_Onsite[Job Number],E131&amp;"")&gt;0,"Onsite",IF(COUNTIF(tbl_Production[Job Number],E131&amp;"")&gt;0,"Production",IF(COUNTIF(tbl_Consulting[Job Number],E131&amp;"")&gt;0,"Consulting","not set up yet"))))</f>
        <v/>
      </c>
      <c r="X131" s="25">
        <f>IF(E131="","",IFERROR(INDEX(lst_JobName,MATCH(E131&amp;"",lst_Jobs,0)),""))</f>
        <v/>
      </c>
      <c r="Y131" s="28">
        <f>IF(E131="","",COUNTIFS(tbl_Finance[Job Number],E131&amp;"",tbl_Finance[Ex GST],"&lt;&gt;"))</f>
        <v/>
      </c>
      <c r="Z131" s="27">
        <f>IF(E131="","",SUMIFS(tbl_Finance[Ex GST],tbl_Finance[Job Number],E131&amp;""))</f>
        <v/>
      </c>
      <c r="AA131" s="27">
        <f>IF(E131="","",SUMIFS(tbl_Finance[Ex GST],tbl_Finance[Job Number],E131&amp;"",tbl_Finance[Xero Invoice No],"&lt;&gt;"))</f>
        <v/>
      </c>
      <c r="AB131" s="27">
        <f>IF(E131="","",Z131-AA131)</f>
        <v/>
      </c>
      <c r="AC131" s="25">
        <f>IF(E131="","",IFERROR(IF(INDEX(tbl_Onsite[Qwilr Quote],MATCH(E131&amp;"",tbl_Onsite[Job Number],0))="","",INDEX(tbl_Onsite[Qwilr Quote],MATCH(E131&amp;"",tbl_Onsite[Job Number],0))),IFERROR(IF(IF(INDEX(tbl_Production[Current RMS No],MATCH(E131&amp;"",tbl_Production[Job Number],0))="",INDEX(tbl_Production[Qwilr Quote],MATCH(E131&amp;"",tbl_Production[Job Number],0)),INDEX(tbl_Production[Current RMS No],MATCH(E131&amp;"",tbl_Production[Job Number],0)))="","",IF(INDEX(tbl_Production[Current RMS No],MATCH(E131&amp;"",tbl_Production[Job Number],0))="",INDEX(tbl_Production[Qwilr Quote],MATCH(E131&amp;"",tbl_Production[Job Number],0)),INDEX(tbl_Production[Current RMS No],MATCH(E131&amp;"",tbl_Production[Job Number],0)))),IFERROR(IF(INDEX(tbl_Consulting[Qwilr Quote],MATCH(E131&amp;"",tbl_Consulting[Job Number],0))="","",INDEX(tbl_Consulting[Qwilr Quote],MATCH(E131&amp;"",tbl_Consulting[Job Number],0))),""))))</f>
        <v/>
      </c>
      <c r="AD131" s="25">
        <f>IF(AC131="","",IF(AND(LEFT(AC131,4)&lt;&gt;"http",IF(H131="Production",set_RMSBase,set_QwilrBase)=""),"",HYPERLINK(IF(LEFT(AC131,4)="http",AC131,IF(H131="Production",set_RMSBase,set_QwilrBase)&amp;AC131),"Open")))</f>
        <v/>
      </c>
      <c r="AE131" s="27">
        <f>IF(E131="","",IFERROR(INDEX(tbl_Production[Total Expense],MATCH(E131&amp;"",tbl_Production[Job Number],0)),IFERROR(INDEX(tbl_Consulting[Total Expense],MATCH(E131&amp;"",tbl_Consulting[Job Number],0)),0)))</f>
        <v/>
      </c>
      <c r="AF131" s="27">
        <f>IF(E131="","",Z131-N(AE131))</f>
        <v/>
      </c>
      <c r="AG131" s="29">
        <f>IFERROR(AF131/Z131,"")</f>
        <v/>
      </c>
      <c r="AH131" s="25">
        <f>IF(E131="","",IFERROR(IF(INDEX(tbl_Onsite[Notes],MATCH(E131&amp;"",tbl_Onsite[Job Number],0))="","",INDEX(tbl_Onsite[Notes],MATCH(E131&amp;"",tbl_Onsite[Job Number],0))),IFERROR(IF(INDEX(tbl_Production[Notes],MATCH(E131&amp;"",tbl_Production[Job Number],0))="","",INDEX(tbl_Production[Notes],MATCH(E131&amp;"",tbl_Production[Job Number],0))),IFERROR(IF(INDEX(tbl_Consulting[Notes],MATCH(E131&amp;"",tbl_Consulting[Job Number],0))="","",INDEX(tbl_Consulting[Notes],MATCH(E131&amp;"",tbl_Consulting[Job Number],0))),""))))</f>
        <v/>
      </c>
    </row>
    <row r="132" ht="15" customHeight="1">
      <c r="A132" s="22" t="n"/>
      <c r="B132" s="23">
        <f>IF(A132="","",EOMONTH(A132,0))</f>
        <v/>
      </c>
      <c r="C132" s="24" t="n"/>
      <c r="D132" s="24" t="n"/>
      <c r="E132" s="24" t="n"/>
      <c r="F132" s="25">
        <f>IF(E132="","",IF(COUNTIF(lst_Jobs,E132&amp;"")&gt;0,"OK","CHECK"))</f>
        <v/>
      </c>
      <c r="G132" s="24" t="n"/>
      <c r="H132" s="24" t="n"/>
      <c r="I132" s="24" t="n"/>
      <c r="J132" s="24" t="n"/>
      <c r="K132" s="24" t="n"/>
      <c r="L132" s="26" t="n"/>
      <c r="M132" s="27">
        <f>IF(L132="","",IF(K132="GST 10%",ROUND(L132*set_GSTRate,2),0))</f>
        <v/>
      </c>
      <c r="N132" s="27">
        <f>IF(L132="","",L132+M132)</f>
        <v/>
      </c>
      <c r="O132" s="24" t="n"/>
      <c r="P132" s="24" t="n"/>
      <c r="Q132" s="24" t="n"/>
      <c r="R132" s="22" t="n"/>
      <c r="S132" s="22" t="n"/>
      <c r="T132" s="24" t="n"/>
      <c r="U132" s="24" t="n"/>
      <c r="V132" s="25">
        <f>IF(COUNTA(A132,D132,C132,L132)=0,"",IF(A132="","No date - sits outside every month",IF(E132="","No job number",IF(F132="CHECK","Job number is not in the Xero job list",IF(I132="","No cost centre",IF(AND(P132="Y",C132=""),"Marked posted to Xero but has no invoice number",IF(AND(L132&lt;&gt;"",K132=""),"No tax code",IF(AND(L132&lt;&gt;"",O132=""),"No revenue GL code",""))))))))</f>
        <v/>
      </c>
      <c r="W132" s="25">
        <f>IF(E132="","",IF(COUNTIF(tbl_Onsite[Job Number],E132&amp;"")&gt;0,"Onsite",IF(COUNTIF(tbl_Production[Job Number],E132&amp;"")&gt;0,"Production",IF(COUNTIF(tbl_Consulting[Job Number],E132&amp;"")&gt;0,"Consulting","not set up yet"))))</f>
        <v/>
      </c>
      <c r="X132" s="25">
        <f>IF(E132="","",IFERROR(INDEX(lst_JobName,MATCH(E132&amp;"",lst_Jobs,0)),""))</f>
        <v/>
      </c>
      <c r="Y132" s="28">
        <f>IF(E132="","",COUNTIFS(tbl_Finance[Job Number],E132&amp;"",tbl_Finance[Ex GST],"&lt;&gt;"))</f>
        <v/>
      </c>
      <c r="Z132" s="27">
        <f>IF(E132="","",SUMIFS(tbl_Finance[Ex GST],tbl_Finance[Job Number],E132&amp;""))</f>
        <v/>
      </c>
      <c r="AA132" s="27">
        <f>IF(E132="","",SUMIFS(tbl_Finance[Ex GST],tbl_Finance[Job Number],E132&amp;"",tbl_Finance[Xero Invoice No],"&lt;&gt;"))</f>
        <v/>
      </c>
      <c r="AB132" s="27">
        <f>IF(E132="","",Z132-AA132)</f>
        <v/>
      </c>
      <c r="AC132" s="25">
        <f>IF(E132="","",IFERROR(IF(INDEX(tbl_Onsite[Qwilr Quote],MATCH(E132&amp;"",tbl_Onsite[Job Number],0))="","",INDEX(tbl_Onsite[Qwilr Quote],MATCH(E132&amp;"",tbl_Onsite[Job Number],0))),IFERROR(IF(IF(INDEX(tbl_Production[Current RMS No],MATCH(E132&amp;"",tbl_Production[Job Number],0))="",INDEX(tbl_Production[Qwilr Quote],MATCH(E132&amp;"",tbl_Production[Job Number],0)),INDEX(tbl_Production[Current RMS No],MATCH(E132&amp;"",tbl_Production[Job Number],0)))="","",IF(INDEX(tbl_Production[Current RMS No],MATCH(E132&amp;"",tbl_Production[Job Number],0))="",INDEX(tbl_Production[Qwilr Quote],MATCH(E132&amp;"",tbl_Production[Job Number],0)),INDEX(tbl_Production[Current RMS No],MATCH(E132&amp;"",tbl_Production[Job Number],0)))),IFERROR(IF(INDEX(tbl_Consulting[Qwilr Quote],MATCH(E132&amp;"",tbl_Consulting[Job Number],0))="","",INDEX(tbl_Consulting[Qwilr Quote],MATCH(E132&amp;"",tbl_Consulting[Job Number],0))),""))))</f>
        <v/>
      </c>
      <c r="AD132" s="25">
        <f>IF(AC132="","",IF(AND(LEFT(AC132,4)&lt;&gt;"http",IF(H132="Production",set_RMSBase,set_QwilrBase)=""),"",HYPERLINK(IF(LEFT(AC132,4)="http",AC132,IF(H132="Production",set_RMSBase,set_QwilrBase)&amp;AC132),"Open")))</f>
        <v/>
      </c>
      <c r="AE132" s="27">
        <f>IF(E132="","",IFERROR(INDEX(tbl_Production[Total Expense],MATCH(E132&amp;"",tbl_Production[Job Number],0)),IFERROR(INDEX(tbl_Consulting[Total Expense],MATCH(E132&amp;"",tbl_Consulting[Job Number],0)),0)))</f>
        <v/>
      </c>
      <c r="AF132" s="27">
        <f>IF(E132="","",Z132-N(AE132))</f>
        <v/>
      </c>
      <c r="AG132" s="29">
        <f>IFERROR(AF132/Z132,"")</f>
        <v/>
      </c>
      <c r="AH132" s="25">
        <f>IF(E132="","",IFERROR(IF(INDEX(tbl_Onsite[Notes],MATCH(E132&amp;"",tbl_Onsite[Job Number],0))="","",INDEX(tbl_Onsite[Notes],MATCH(E132&amp;"",tbl_Onsite[Job Number],0))),IFERROR(IF(INDEX(tbl_Production[Notes],MATCH(E132&amp;"",tbl_Production[Job Number],0))="","",INDEX(tbl_Production[Notes],MATCH(E132&amp;"",tbl_Production[Job Number],0))),IFERROR(IF(INDEX(tbl_Consulting[Notes],MATCH(E132&amp;"",tbl_Consulting[Job Number],0))="","",INDEX(tbl_Consulting[Notes],MATCH(E132&amp;"",tbl_Consulting[Job Number],0))),""))))</f>
        <v/>
      </c>
    </row>
    <row r="133" ht="15" customHeight="1">
      <c r="A133" s="22" t="n"/>
      <c r="B133" s="23">
        <f>IF(A133="","",EOMONTH(A133,0))</f>
        <v/>
      </c>
      <c r="C133" s="24" t="n"/>
      <c r="D133" s="24" t="n"/>
      <c r="E133" s="24" t="n"/>
      <c r="F133" s="25">
        <f>IF(E133="","",IF(COUNTIF(lst_Jobs,E133&amp;"")&gt;0,"OK","CHECK"))</f>
        <v/>
      </c>
      <c r="G133" s="24" t="n"/>
      <c r="H133" s="24" t="n"/>
      <c r="I133" s="24" t="n"/>
      <c r="J133" s="24" t="n"/>
      <c r="K133" s="24" t="n"/>
      <c r="L133" s="26" t="n"/>
      <c r="M133" s="27">
        <f>IF(L133="","",IF(K133="GST 10%",ROUND(L133*set_GSTRate,2),0))</f>
        <v/>
      </c>
      <c r="N133" s="27">
        <f>IF(L133="","",L133+M133)</f>
        <v/>
      </c>
      <c r="O133" s="24" t="n"/>
      <c r="P133" s="24" t="n"/>
      <c r="Q133" s="24" t="n"/>
      <c r="R133" s="22" t="n"/>
      <c r="S133" s="22" t="n"/>
      <c r="T133" s="24" t="n"/>
      <c r="U133" s="24" t="n"/>
      <c r="V133" s="25">
        <f>IF(COUNTA(A133,D133,C133,L133)=0,"",IF(A133="","No date - sits outside every month",IF(E133="","No job number",IF(F133="CHECK","Job number is not in the Xero job list",IF(I133="","No cost centre",IF(AND(P133="Y",C133=""),"Marked posted to Xero but has no invoice number",IF(AND(L133&lt;&gt;"",K133=""),"No tax code",IF(AND(L133&lt;&gt;"",O133=""),"No revenue GL code",""))))))))</f>
        <v/>
      </c>
      <c r="W133" s="25">
        <f>IF(E133="","",IF(COUNTIF(tbl_Onsite[Job Number],E133&amp;"")&gt;0,"Onsite",IF(COUNTIF(tbl_Production[Job Number],E133&amp;"")&gt;0,"Production",IF(COUNTIF(tbl_Consulting[Job Number],E133&amp;"")&gt;0,"Consulting","not set up yet"))))</f>
        <v/>
      </c>
      <c r="X133" s="25">
        <f>IF(E133="","",IFERROR(INDEX(lst_JobName,MATCH(E133&amp;"",lst_Jobs,0)),""))</f>
        <v/>
      </c>
      <c r="Y133" s="28">
        <f>IF(E133="","",COUNTIFS(tbl_Finance[Job Number],E133&amp;"",tbl_Finance[Ex GST],"&lt;&gt;"))</f>
        <v/>
      </c>
      <c r="Z133" s="27">
        <f>IF(E133="","",SUMIFS(tbl_Finance[Ex GST],tbl_Finance[Job Number],E133&amp;""))</f>
        <v/>
      </c>
      <c r="AA133" s="27">
        <f>IF(E133="","",SUMIFS(tbl_Finance[Ex GST],tbl_Finance[Job Number],E133&amp;"",tbl_Finance[Xero Invoice No],"&lt;&gt;"))</f>
        <v/>
      </c>
      <c r="AB133" s="27">
        <f>IF(E133="","",Z133-AA133)</f>
        <v/>
      </c>
      <c r="AC133" s="25">
        <f>IF(E133="","",IFERROR(IF(INDEX(tbl_Onsite[Qwilr Quote],MATCH(E133&amp;"",tbl_Onsite[Job Number],0))="","",INDEX(tbl_Onsite[Qwilr Quote],MATCH(E133&amp;"",tbl_Onsite[Job Number],0))),IFERROR(IF(IF(INDEX(tbl_Production[Current RMS No],MATCH(E133&amp;"",tbl_Production[Job Number],0))="",INDEX(tbl_Production[Qwilr Quote],MATCH(E133&amp;"",tbl_Production[Job Number],0)),INDEX(tbl_Production[Current RMS No],MATCH(E133&amp;"",tbl_Production[Job Number],0)))="","",IF(INDEX(tbl_Production[Current RMS No],MATCH(E133&amp;"",tbl_Production[Job Number],0))="",INDEX(tbl_Production[Qwilr Quote],MATCH(E133&amp;"",tbl_Production[Job Number],0)),INDEX(tbl_Production[Current RMS No],MATCH(E133&amp;"",tbl_Production[Job Number],0)))),IFERROR(IF(INDEX(tbl_Consulting[Qwilr Quote],MATCH(E133&amp;"",tbl_Consulting[Job Number],0))="","",INDEX(tbl_Consulting[Qwilr Quote],MATCH(E133&amp;"",tbl_Consulting[Job Number],0))),""))))</f>
        <v/>
      </c>
      <c r="AD133" s="25">
        <f>IF(AC133="","",IF(AND(LEFT(AC133,4)&lt;&gt;"http",IF(H133="Production",set_RMSBase,set_QwilrBase)=""),"",HYPERLINK(IF(LEFT(AC133,4)="http",AC133,IF(H133="Production",set_RMSBase,set_QwilrBase)&amp;AC133),"Open")))</f>
        <v/>
      </c>
      <c r="AE133" s="27">
        <f>IF(E133="","",IFERROR(INDEX(tbl_Production[Total Expense],MATCH(E133&amp;"",tbl_Production[Job Number],0)),IFERROR(INDEX(tbl_Consulting[Total Expense],MATCH(E133&amp;"",tbl_Consulting[Job Number],0)),0)))</f>
        <v/>
      </c>
      <c r="AF133" s="27">
        <f>IF(E133="","",Z133-N(AE133))</f>
        <v/>
      </c>
      <c r="AG133" s="29">
        <f>IFERROR(AF133/Z133,"")</f>
        <v/>
      </c>
      <c r="AH133" s="25">
        <f>IF(E133="","",IFERROR(IF(INDEX(tbl_Onsite[Notes],MATCH(E133&amp;"",tbl_Onsite[Job Number],0))="","",INDEX(tbl_Onsite[Notes],MATCH(E133&amp;"",tbl_Onsite[Job Number],0))),IFERROR(IF(INDEX(tbl_Production[Notes],MATCH(E133&amp;"",tbl_Production[Job Number],0))="","",INDEX(tbl_Production[Notes],MATCH(E133&amp;"",tbl_Production[Job Number],0))),IFERROR(IF(INDEX(tbl_Consulting[Notes],MATCH(E133&amp;"",tbl_Consulting[Job Number],0))="","",INDEX(tbl_Consulting[Notes],MATCH(E133&amp;"",tbl_Consulting[Job Number],0))),""))))</f>
        <v/>
      </c>
    </row>
    <row r="134" ht="15" customHeight="1">
      <c r="A134" s="22" t="n"/>
      <c r="B134" s="23">
        <f>IF(A134="","",EOMONTH(A134,0))</f>
        <v/>
      </c>
      <c r="C134" s="24" t="n"/>
      <c r="D134" s="24" t="n"/>
      <c r="E134" s="24" t="n"/>
      <c r="F134" s="25">
        <f>IF(E134="","",IF(COUNTIF(lst_Jobs,E134&amp;"")&gt;0,"OK","CHECK"))</f>
        <v/>
      </c>
      <c r="G134" s="24" t="n"/>
      <c r="H134" s="24" t="n"/>
      <c r="I134" s="24" t="n"/>
      <c r="J134" s="24" t="n"/>
      <c r="K134" s="24" t="n"/>
      <c r="L134" s="26" t="n"/>
      <c r="M134" s="27">
        <f>IF(L134="","",IF(K134="GST 10%",ROUND(L134*set_GSTRate,2),0))</f>
        <v/>
      </c>
      <c r="N134" s="27">
        <f>IF(L134="","",L134+M134)</f>
        <v/>
      </c>
      <c r="O134" s="24" t="n"/>
      <c r="P134" s="24" t="n"/>
      <c r="Q134" s="24" t="n"/>
      <c r="R134" s="22" t="n"/>
      <c r="S134" s="22" t="n"/>
      <c r="T134" s="24" t="n"/>
      <c r="U134" s="24" t="n"/>
      <c r="V134" s="25">
        <f>IF(COUNTA(A134,D134,C134,L134)=0,"",IF(A134="","No date - sits outside every month",IF(E134="","No job number",IF(F134="CHECK","Job number is not in the Xero job list",IF(I134="","No cost centre",IF(AND(P134="Y",C134=""),"Marked posted to Xero but has no invoice number",IF(AND(L134&lt;&gt;"",K134=""),"No tax code",IF(AND(L134&lt;&gt;"",O134=""),"No revenue GL code",""))))))))</f>
        <v/>
      </c>
      <c r="W134" s="25">
        <f>IF(E134="","",IF(COUNTIF(tbl_Onsite[Job Number],E134&amp;"")&gt;0,"Onsite",IF(COUNTIF(tbl_Production[Job Number],E134&amp;"")&gt;0,"Production",IF(COUNTIF(tbl_Consulting[Job Number],E134&amp;"")&gt;0,"Consulting","not set up yet"))))</f>
        <v/>
      </c>
      <c r="X134" s="25">
        <f>IF(E134="","",IFERROR(INDEX(lst_JobName,MATCH(E134&amp;"",lst_Jobs,0)),""))</f>
        <v/>
      </c>
      <c r="Y134" s="28">
        <f>IF(E134="","",COUNTIFS(tbl_Finance[Job Number],E134&amp;"",tbl_Finance[Ex GST],"&lt;&gt;"))</f>
        <v/>
      </c>
      <c r="Z134" s="27">
        <f>IF(E134="","",SUMIFS(tbl_Finance[Ex GST],tbl_Finance[Job Number],E134&amp;""))</f>
        <v/>
      </c>
      <c r="AA134" s="27">
        <f>IF(E134="","",SUMIFS(tbl_Finance[Ex GST],tbl_Finance[Job Number],E134&amp;"",tbl_Finance[Xero Invoice No],"&lt;&gt;"))</f>
        <v/>
      </c>
      <c r="AB134" s="27">
        <f>IF(E134="","",Z134-AA134)</f>
        <v/>
      </c>
      <c r="AC134" s="25">
        <f>IF(E134="","",IFERROR(IF(INDEX(tbl_Onsite[Qwilr Quote],MATCH(E134&amp;"",tbl_Onsite[Job Number],0))="","",INDEX(tbl_Onsite[Qwilr Quote],MATCH(E134&amp;"",tbl_Onsite[Job Number],0))),IFERROR(IF(IF(INDEX(tbl_Production[Current RMS No],MATCH(E134&amp;"",tbl_Production[Job Number],0))="",INDEX(tbl_Production[Qwilr Quote],MATCH(E134&amp;"",tbl_Production[Job Number],0)),INDEX(tbl_Production[Current RMS No],MATCH(E134&amp;"",tbl_Production[Job Number],0)))="","",IF(INDEX(tbl_Production[Current RMS No],MATCH(E134&amp;"",tbl_Production[Job Number],0))="",INDEX(tbl_Production[Qwilr Quote],MATCH(E134&amp;"",tbl_Production[Job Number],0)),INDEX(tbl_Production[Current RMS No],MATCH(E134&amp;"",tbl_Production[Job Number],0)))),IFERROR(IF(INDEX(tbl_Consulting[Qwilr Quote],MATCH(E134&amp;"",tbl_Consulting[Job Number],0))="","",INDEX(tbl_Consulting[Qwilr Quote],MATCH(E134&amp;"",tbl_Consulting[Job Number],0))),""))))</f>
        <v/>
      </c>
      <c r="AD134" s="25">
        <f>IF(AC134="","",IF(AND(LEFT(AC134,4)&lt;&gt;"http",IF(H134="Production",set_RMSBase,set_QwilrBase)=""),"",HYPERLINK(IF(LEFT(AC134,4)="http",AC134,IF(H134="Production",set_RMSBase,set_QwilrBase)&amp;AC134),"Open")))</f>
        <v/>
      </c>
      <c r="AE134" s="27">
        <f>IF(E134="","",IFERROR(INDEX(tbl_Production[Total Expense],MATCH(E134&amp;"",tbl_Production[Job Number],0)),IFERROR(INDEX(tbl_Consulting[Total Expense],MATCH(E134&amp;"",tbl_Consulting[Job Number],0)),0)))</f>
        <v/>
      </c>
      <c r="AF134" s="27">
        <f>IF(E134="","",Z134-N(AE134))</f>
        <v/>
      </c>
      <c r="AG134" s="29">
        <f>IFERROR(AF134/Z134,"")</f>
        <v/>
      </c>
      <c r="AH134" s="25">
        <f>IF(E134="","",IFERROR(IF(INDEX(tbl_Onsite[Notes],MATCH(E134&amp;"",tbl_Onsite[Job Number],0))="","",INDEX(tbl_Onsite[Notes],MATCH(E134&amp;"",tbl_Onsite[Job Number],0))),IFERROR(IF(INDEX(tbl_Production[Notes],MATCH(E134&amp;"",tbl_Production[Job Number],0))="","",INDEX(tbl_Production[Notes],MATCH(E134&amp;"",tbl_Production[Job Number],0))),IFERROR(IF(INDEX(tbl_Consulting[Notes],MATCH(E134&amp;"",tbl_Consulting[Job Number],0))="","",INDEX(tbl_Consulting[Notes],MATCH(E134&amp;"",tbl_Consulting[Job Number],0))),""))))</f>
        <v/>
      </c>
    </row>
    <row r="135" ht="15" customHeight="1">
      <c r="A135" s="22" t="n"/>
      <c r="B135" s="23">
        <f>IF(A135="","",EOMONTH(A135,0))</f>
        <v/>
      </c>
      <c r="C135" s="24" t="n"/>
      <c r="D135" s="24" t="n"/>
      <c r="E135" s="24" t="n"/>
      <c r="F135" s="25">
        <f>IF(E135="","",IF(COUNTIF(lst_Jobs,E135&amp;"")&gt;0,"OK","CHECK"))</f>
        <v/>
      </c>
      <c r="G135" s="24" t="n"/>
      <c r="H135" s="24" t="n"/>
      <c r="I135" s="24" t="n"/>
      <c r="J135" s="24" t="n"/>
      <c r="K135" s="24" t="n"/>
      <c r="L135" s="26" t="n"/>
      <c r="M135" s="27">
        <f>IF(L135="","",IF(K135="GST 10%",ROUND(L135*set_GSTRate,2),0))</f>
        <v/>
      </c>
      <c r="N135" s="27">
        <f>IF(L135="","",L135+M135)</f>
        <v/>
      </c>
      <c r="O135" s="24" t="n"/>
      <c r="P135" s="24" t="n"/>
      <c r="Q135" s="24" t="n"/>
      <c r="R135" s="22" t="n"/>
      <c r="S135" s="22" t="n"/>
      <c r="T135" s="24" t="n"/>
      <c r="U135" s="24" t="n"/>
      <c r="V135" s="25">
        <f>IF(COUNTA(A135,D135,C135,L135)=0,"",IF(A135="","No date - sits outside every month",IF(E135="","No job number",IF(F135="CHECK","Job number is not in the Xero job list",IF(I135="","No cost centre",IF(AND(P135="Y",C135=""),"Marked posted to Xero but has no invoice number",IF(AND(L135&lt;&gt;"",K135=""),"No tax code",IF(AND(L135&lt;&gt;"",O135=""),"No revenue GL code",""))))))))</f>
        <v/>
      </c>
      <c r="W135" s="25">
        <f>IF(E135="","",IF(COUNTIF(tbl_Onsite[Job Number],E135&amp;"")&gt;0,"Onsite",IF(COUNTIF(tbl_Production[Job Number],E135&amp;"")&gt;0,"Production",IF(COUNTIF(tbl_Consulting[Job Number],E135&amp;"")&gt;0,"Consulting","not set up yet"))))</f>
        <v/>
      </c>
      <c r="X135" s="25">
        <f>IF(E135="","",IFERROR(INDEX(lst_JobName,MATCH(E135&amp;"",lst_Jobs,0)),""))</f>
        <v/>
      </c>
      <c r="Y135" s="28">
        <f>IF(E135="","",COUNTIFS(tbl_Finance[Job Number],E135&amp;"",tbl_Finance[Ex GST],"&lt;&gt;"))</f>
        <v/>
      </c>
      <c r="Z135" s="27">
        <f>IF(E135="","",SUMIFS(tbl_Finance[Ex GST],tbl_Finance[Job Number],E135&amp;""))</f>
        <v/>
      </c>
      <c r="AA135" s="27">
        <f>IF(E135="","",SUMIFS(tbl_Finance[Ex GST],tbl_Finance[Job Number],E135&amp;"",tbl_Finance[Xero Invoice No],"&lt;&gt;"))</f>
        <v/>
      </c>
      <c r="AB135" s="27">
        <f>IF(E135="","",Z135-AA135)</f>
        <v/>
      </c>
      <c r="AC135" s="25">
        <f>IF(E135="","",IFERROR(IF(INDEX(tbl_Onsite[Qwilr Quote],MATCH(E135&amp;"",tbl_Onsite[Job Number],0))="","",INDEX(tbl_Onsite[Qwilr Quote],MATCH(E135&amp;"",tbl_Onsite[Job Number],0))),IFERROR(IF(IF(INDEX(tbl_Production[Current RMS No],MATCH(E135&amp;"",tbl_Production[Job Number],0))="",INDEX(tbl_Production[Qwilr Quote],MATCH(E135&amp;"",tbl_Production[Job Number],0)),INDEX(tbl_Production[Current RMS No],MATCH(E135&amp;"",tbl_Production[Job Number],0)))="","",IF(INDEX(tbl_Production[Current RMS No],MATCH(E135&amp;"",tbl_Production[Job Number],0))="",INDEX(tbl_Production[Qwilr Quote],MATCH(E135&amp;"",tbl_Production[Job Number],0)),INDEX(tbl_Production[Current RMS No],MATCH(E135&amp;"",tbl_Production[Job Number],0)))),IFERROR(IF(INDEX(tbl_Consulting[Qwilr Quote],MATCH(E135&amp;"",tbl_Consulting[Job Number],0))="","",INDEX(tbl_Consulting[Qwilr Quote],MATCH(E135&amp;"",tbl_Consulting[Job Number],0))),""))))</f>
        <v/>
      </c>
      <c r="AD135" s="25">
        <f>IF(AC135="","",IF(AND(LEFT(AC135,4)&lt;&gt;"http",IF(H135="Production",set_RMSBase,set_QwilrBase)=""),"",HYPERLINK(IF(LEFT(AC135,4)="http",AC135,IF(H135="Production",set_RMSBase,set_QwilrBase)&amp;AC135),"Open")))</f>
        <v/>
      </c>
      <c r="AE135" s="27">
        <f>IF(E135="","",IFERROR(INDEX(tbl_Production[Total Expense],MATCH(E135&amp;"",tbl_Production[Job Number],0)),IFERROR(INDEX(tbl_Consulting[Total Expense],MATCH(E135&amp;"",tbl_Consulting[Job Number],0)),0)))</f>
        <v/>
      </c>
      <c r="AF135" s="27">
        <f>IF(E135="","",Z135-N(AE135))</f>
        <v/>
      </c>
      <c r="AG135" s="29">
        <f>IFERROR(AF135/Z135,"")</f>
        <v/>
      </c>
      <c r="AH135" s="25">
        <f>IF(E135="","",IFERROR(IF(INDEX(tbl_Onsite[Notes],MATCH(E135&amp;"",tbl_Onsite[Job Number],0))="","",INDEX(tbl_Onsite[Notes],MATCH(E135&amp;"",tbl_Onsite[Job Number],0))),IFERROR(IF(INDEX(tbl_Production[Notes],MATCH(E135&amp;"",tbl_Production[Job Number],0))="","",INDEX(tbl_Production[Notes],MATCH(E135&amp;"",tbl_Production[Job Number],0))),IFERROR(IF(INDEX(tbl_Consulting[Notes],MATCH(E135&amp;"",tbl_Consulting[Job Number],0))="","",INDEX(tbl_Consulting[Notes],MATCH(E135&amp;"",tbl_Consulting[Job Number],0))),""))))</f>
        <v/>
      </c>
    </row>
    <row r="136" ht="15" customHeight="1">
      <c r="A136" s="22" t="n"/>
      <c r="B136" s="23">
        <f>IF(A136="","",EOMONTH(A136,0))</f>
        <v/>
      </c>
      <c r="C136" s="24" t="n"/>
      <c r="D136" s="24" t="n"/>
      <c r="E136" s="24" t="n"/>
      <c r="F136" s="25">
        <f>IF(E136="","",IF(COUNTIF(lst_Jobs,E136&amp;"")&gt;0,"OK","CHECK"))</f>
        <v/>
      </c>
      <c r="G136" s="24" t="n"/>
      <c r="H136" s="24" t="n"/>
      <c r="I136" s="24" t="n"/>
      <c r="J136" s="24" t="n"/>
      <c r="K136" s="24" t="n"/>
      <c r="L136" s="26" t="n"/>
      <c r="M136" s="27">
        <f>IF(L136="","",IF(K136="GST 10%",ROUND(L136*set_GSTRate,2),0))</f>
        <v/>
      </c>
      <c r="N136" s="27">
        <f>IF(L136="","",L136+M136)</f>
        <v/>
      </c>
      <c r="O136" s="24" t="n"/>
      <c r="P136" s="24" t="n"/>
      <c r="Q136" s="24" t="n"/>
      <c r="R136" s="22" t="n"/>
      <c r="S136" s="22" t="n"/>
      <c r="T136" s="24" t="n"/>
      <c r="U136" s="24" t="n"/>
      <c r="V136" s="25">
        <f>IF(COUNTA(A136,D136,C136,L136)=0,"",IF(A136="","No date - sits outside every month",IF(E136="","No job number",IF(F136="CHECK","Job number is not in the Xero job list",IF(I136="","No cost centre",IF(AND(P136="Y",C136=""),"Marked posted to Xero but has no invoice number",IF(AND(L136&lt;&gt;"",K136=""),"No tax code",IF(AND(L136&lt;&gt;"",O136=""),"No revenue GL code",""))))))))</f>
        <v/>
      </c>
      <c r="W136" s="25">
        <f>IF(E136="","",IF(COUNTIF(tbl_Onsite[Job Number],E136&amp;"")&gt;0,"Onsite",IF(COUNTIF(tbl_Production[Job Number],E136&amp;"")&gt;0,"Production",IF(COUNTIF(tbl_Consulting[Job Number],E136&amp;"")&gt;0,"Consulting","not set up yet"))))</f>
        <v/>
      </c>
      <c r="X136" s="25">
        <f>IF(E136="","",IFERROR(INDEX(lst_JobName,MATCH(E136&amp;"",lst_Jobs,0)),""))</f>
        <v/>
      </c>
      <c r="Y136" s="28">
        <f>IF(E136="","",COUNTIFS(tbl_Finance[Job Number],E136&amp;"",tbl_Finance[Ex GST],"&lt;&gt;"))</f>
        <v/>
      </c>
      <c r="Z136" s="27">
        <f>IF(E136="","",SUMIFS(tbl_Finance[Ex GST],tbl_Finance[Job Number],E136&amp;""))</f>
        <v/>
      </c>
      <c r="AA136" s="27">
        <f>IF(E136="","",SUMIFS(tbl_Finance[Ex GST],tbl_Finance[Job Number],E136&amp;"",tbl_Finance[Xero Invoice No],"&lt;&gt;"))</f>
        <v/>
      </c>
      <c r="AB136" s="27">
        <f>IF(E136="","",Z136-AA136)</f>
        <v/>
      </c>
      <c r="AC136" s="25">
        <f>IF(E136="","",IFERROR(IF(INDEX(tbl_Onsite[Qwilr Quote],MATCH(E136&amp;"",tbl_Onsite[Job Number],0))="","",INDEX(tbl_Onsite[Qwilr Quote],MATCH(E136&amp;"",tbl_Onsite[Job Number],0))),IFERROR(IF(IF(INDEX(tbl_Production[Current RMS No],MATCH(E136&amp;"",tbl_Production[Job Number],0))="",INDEX(tbl_Production[Qwilr Quote],MATCH(E136&amp;"",tbl_Production[Job Number],0)),INDEX(tbl_Production[Current RMS No],MATCH(E136&amp;"",tbl_Production[Job Number],0)))="","",IF(INDEX(tbl_Production[Current RMS No],MATCH(E136&amp;"",tbl_Production[Job Number],0))="",INDEX(tbl_Production[Qwilr Quote],MATCH(E136&amp;"",tbl_Production[Job Number],0)),INDEX(tbl_Production[Current RMS No],MATCH(E136&amp;"",tbl_Production[Job Number],0)))),IFERROR(IF(INDEX(tbl_Consulting[Qwilr Quote],MATCH(E136&amp;"",tbl_Consulting[Job Number],0))="","",INDEX(tbl_Consulting[Qwilr Quote],MATCH(E136&amp;"",tbl_Consulting[Job Number],0))),""))))</f>
        <v/>
      </c>
      <c r="AD136" s="25">
        <f>IF(AC136="","",IF(AND(LEFT(AC136,4)&lt;&gt;"http",IF(H136="Production",set_RMSBase,set_QwilrBase)=""),"",HYPERLINK(IF(LEFT(AC136,4)="http",AC136,IF(H136="Production",set_RMSBase,set_QwilrBase)&amp;AC136),"Open")))</f>
        <v/>
      </c>
      <c r="AE136" s="27">
        <f>IF(E136="","",IFERROR(INDEX(tbl_Production[Total Expense],MATCH(E136&amp;"",tbl_Production[Job Number],0)),IFERROR(INDEX(tbl_Consulting[Total Expense],MATCH(E136&amp;"",tbl_Consulting[Job Number],0)),0)))</f>
        <v/>
      </c>
      <c r="AF136" s="27">
        <f>IF(E136="","",Z136-N(AE136))</f>
        <v/>
      </c>
      <c r="AG136" s="29">
        <f>IFERROR(AF136/Z136,"")</f>
        <v/>
      </c>
      <c r="AH136" s="25">
        <f>IF(E136="","",IFERROR(IF(INDEX(tbl_Onsite[Notes],MATCH(E136&amp;"",tbl_Onsite[Job Number],0))="","",INDEX(tbl_Onsite[Notes],MATCH(E136&amp;"",tbl_Onsite[Job Number],0))),IFERROR(IF(INDEX(tbl_Production[Notes],MATCH(E136&amp;"",tbl_Production[Job Number],0))="","",INDEX(tbl_Production[Notes],MATCH(E136&amp;"",tbl_Production[Job Number],0))),IFERROR(IF(INDEX(tbl_Consulting[Notes],MATCH(E136&amp;"",tbl_Consulting[Job Number],0))="","",INDEX(tbl_Consulting[Notes],MATCH(E136&amp;"",tbl_Consulting[Job Number],0))),""))))</f>
        <v/>
      </c>
    </row>
    <row r="137" ht="15" customHeight="1">
      <c r="A137" s="22" t="n"/>
      <c r="B137" s="23">
        <f>IF(A137="","",EOMONTH(A137,0))</f>
        <v/>
      </c>
      <c r="C137" s="24" t="n"/>
      <c r="D137" s="24" t="n"/>
      <c r="E137" s="24" t="n"/>
      <c r="F137" s="25">
        <f>IF(E137="","",IF(COUNTIF(lst_Jobs,E137&amp;"")&gt;0,"OK","CHECK"))</f>
        <v/>
      </c>
      <c r="G137" s="24" t="n"/>
      <c r="H137" s="24" t="n"/>
      <c r="I137" s="24" t="n"/>
      <c r="J137" s="24" t="n"/>
      <c r="K137" s="24" t="n"/>
      <c r="L137" s="26" t="n"/>
      <c r="M137" s="27">
        <f>IF(L137="","",IF(K137="GST 10%",ROUND(L137*set_GSTRate,2),0))</f>
        <v/>
      </c>
      <c r="N137" s="27">
        <f>IF(L137="","",L137+M137)</f>
        <v/>
      </c>
      <c r="O137" s="24" t="n"/>
      <c r="P137" s="24" t="n"/>
      <c r="Q137" s="24" t="n"/>
      <c r="R137" s="22" t="n"/>
      <c r="S137" s="22" t="n"/>
      <c r="T137" s="24" t="n"/>
      <c r="U137" s="24" t="n"/>
      <c r="V137" s="25">
        <f>IF(COUNTA(A137,D137,C137,L137)=0,"",IF(A137="","No date - sits outside every month",IF(E137="","No job number",IF(F137="CHECK","Job number is not in the Xero job list",IF(I137="","No cost centre",IF(AND(P137="Y",C137=""),"Marked posted to Xero but has no invoice number",IF(AND(L137&lt;&gt;"",K137=""),"No tax code",IF(AND(L137&lt;&gt;"",O137=""),"No revenue GL code",""))))))))</f>
        <v/>
      </c>
      <c r="W137" s="25">
        <f>IF(E137="","",IF(COUNTIF(tbl_Onsite[Job Number],E137&amp;"")&gt;0,"Onsite",IF(COUNTIF(tbl_Production[Job Number],E137&amp;"")&gt;0,"Production",IF(COUNTIF(tbl_Consulting[Job Number],E137&amp;"")&gt;0,"Consulting","not set up yet"))))</f>
        <v/>
      </c>
      <c r="X137" s="25">
        <f>IF(E137="","",IFERROR(INDEX(lst_JobName,MATCH(E137&amp;"",lst_Jobs,0)),""))</f>
        <v/>
      </c>
      <c r="Y137" s="28">
        <f>IF(E137="","",COUNTIFS(tbl_Finance[Job Number],E137&amp;"",tbl_Finance[Ex GST],"&lt;&gt;"))</f>
        <v/>
      </c>
      <c r="Z137" s="27">
        <f>IF(E137="","",SUMIFS(tbl_Finance[Ex GST],tbl_Finance[Job Number],E137&amp;""))</f>
        <v/>
      </c>
      <c r="AA137" s="27">
        <f>IF(E137="","",SUMIFS(tbl_Finance[Ex GST],tbl_Finance[Job Number],E137&amp;"",tbl_Finance[Xero Invoice No],"&lt;&gt;"))</f>
        <v/>
      </c>
      <c r="AB137" s="27">
        <f>IF(E137="","",Z137-AA137)</f>
        <v/>
      </c>
      <c r="AC137" s="25">
        <f>IF(E137="","",IFERROR(IF(INDEX(tbl_Onsite[Qwilr Quote],MATCH(E137&amp;"",tbl_Onsite[Job Number],0))="","",INDEX(tbl_Onsite[Qwilr Quote],MATCH(E137&amp;"",tbl_Onsite[Job Number],0))),IFERROR(IF(IF(INDEX(tbl_Production[Current RMS No],MATCH(E137&amp;"",tbl_Production[Job Number],0))="",INDEX(tbl_Production[Qwilr Quote],MATCH(E137&amp;"",tbl_Production[Job Number],0)),INDEX(tbl_Production[Current RMS No],MATCH(E137&amp;"",tbl_Production[Job Number],0)))="","",IF(INDEX(tbl_Production[Current RMS No],MATCH(E137&amp;"",tbl_Production[Job Number],0))="",INDEX(tbl_Production[Qwilr Quote],MATCH(E137&amp;"",tbl_Production[Job Number],0)),INDEX(tbl_Production[Current RMS No],MATCH(E137&amp;"",tbl_Production[Job Number],0)))),IFERROR(IF(INDEX(tbl_Consulting[Qwilr Quote],MATCH(E137&amp;"",tbl_Consulting[Job Number],0))="","",INDEX(tbl_Consulting[Qwilr Quote],MATCH(E137&amp;"",tbl_Consulting[Job Number],0))),""))))</f>
        <v/>
      </c>
      <c r="AD137" s="25">
        <f>IF(AC137="","",IF(AND(LEFT(AC137,4)&lt;&gt;"http",IF(H137="Production",set_RMSBase,set_QwilrBase)=""),"",HYPERLINK(IF(LEFT(AC137,4)="http",AC137,IF(H137="Production",set_RMSBase,set_QwilrBase)&amp;AC137),"Open")))</f>
        <v/>
      </c>
      <c r="AE137" s="27">
        <f>IF(E137="","",IFERROR(INDEX(tbl_Production[Total Expense],MATCH(E137&amp;"",tbl_Production[Job Number],0)),IFERROR(INDEX(tbl_Consulting[Total Expense],MATCH(E137&amp;"",tbl_Consulting[Job Number],0)),0)))</f>
        <v/>
      </c>
      <c r="AF137" s="27">
        <f>IF(E137="","",Z137-N(AE137))</f>
        <v/>
      </c>
      <c r="AG137" s="29">
        <f>IFERROR(AF137/Z137,"")</f>
        <v/>
      </c>
      <c r="AH137" s="25">
        <f>IF(E137="","",IFERROR(IF(INDEX(tbl_Onsite[Notes],MATCH(E137&amp;"",tbl_Onsite[Job Number],0))="","",INDEX(tbl_Onsite[Notes],MATCH(E137&amp;"",tbl_Onsite[Job Number],0))),IFERROR(IF(INDEX(tbl_Production[Notes],MATCH(E137&amp;"",tbl_Production[Job Number],0))="","",INDEX(tbl_Production[Notes],MATCH(E137&amp;"",tbl_Production[Job Number],0))),IFERROR(IF(INDEX(tbl_Consulting[Notes],MATCH(E137&amp;"",tbl_Consulting[Job Number],0))="","",INDEX(tbl_Consulting[Notes],MATCH(E137&amp;"",tbl_Consulting[Job Number],0))),""))))</f>
        <v/>
      </c>
    </row>
    <row r="138" ht="15" customHeight="1">
      <c r="A138" s="22" t="n"/>
      <c r="B138" s="23">
        <f>IF(A138="","",EOMONTH(A138,0))</f>
        <v/>
      </c>
      <c r="C138" s="24" t="n"/>
      <c r="D138" s="24" t="n"/>
      <c r="E138" s="24" t="n"/>
      <c r="F138" s="25">
        <f>IF(E138="","",IF(COUNTIF(lst_Jobs,E138&amp;"")&gt;0,"OK","CHECK"))</f>
        <v/>
      </c>
      <c r="G138" s="24" t="n"/>
      <c r="H138" s="24" t="n"/>
      <c r="I138" s="24" t="n"/>
      <c r="J138" s="24" t="n"/>
      <c r="K138" s="24" t="n"/>
      <c r="L138" s="26" t="n"/>
      <c r="M138" s="27">
        <f>IF(L138="","",IF(K138="GST 10%",ROUND(L138*set_GSTRate,2),0))</f>
        <v/>
      </c>
      <c r="N138" s="27">
        <f>IF(L138="","",L138+M138)</f>
        <v/>
      </c>
      <c r="O138" s="24" t="n"/>
      <c r="P138" s="24" t="n"/>
      <c r="Q138" s="24" t="n"/>
      <c r="R138" s="22" t="n"/>
      <c r="S138" s="22" t="n"/>
      <c r="T138" s="24" t="n"/>
      <c r="U138" s="24" t="n"/>
      <c r="V138" s="25">
        <f>IF(COUNTA(A138,D138,C138,L138)=0,"",IF(A138="","No date - sits outside every month",IF(E138="","No job number",IF(F138="CHECK","Job number is not in the Xero job list",IF(I138="","No cost centre",IF(AND(P138="Y",C138=""),"Marked posted to Xero but has no invoice number",IF(AND(L138&lt;&gt;"",K138=""),"No tax code",IF(AND(L138&lt;&gt;"",O138=""),"No revenue GL code",""))))))))</f>
        <v/>
      </c>
      <c r="W138" s="25">
        <f>IF(E138="","",IF(COUNTIF(tbl_Onsite[Job Number],E138&amp;"")&gt;0,"Onsite",IF(COUNTIF(tbl_Production[Job Number],E138&amp;"")&gt;0,"Production",IF(COUNTIF(tbl_Consulting[Job Number],E138&amp;"")&gt;0,"Consulting","not set up yet"))))</f>
        <v/>
      </c>
      <c r="X138" s="25">
        <f>IF(E138="","",IFERROR(INDEX(lst_JobName,MATCH(E138&amp;"",lst_Jobs,0)),""))</f>
        <v/>
      </c>
      <c r="Y138" s="28">
        <f>IF(E138="","",COUNTIFS(tbl_Finance[Job Number],E138&amp;"",tbl_Finance[Ex GST],"&lt;&gt;"))</f>
        <v/>
      </c>
      <c r="Z138" s="27">
        <f>IF(E138="","",SUMIFS(tbl_Finance[Ex GST],tbl_Finance[Job Number],E138&amp;""))</f>
        <v/>
      </c>
      <c r="AA138" s="27">
        <f>IF(E138="","",SUMIFS(tbl_Finance[Ex GST],tbl_Finance[Job Number],E138&amp;"",tbl_Finance[Xero Invoice No],"&lt;&gt;"))</f>
        <v/>
      </c>
      <c r="AB138" s="27">
        <f>IF(E138="","",Z138-AA138)</f>
        <v/>
      </c>
      <c r="AC138" s="25">
        <f>IF(E138="","",IFERROR(IF(INDEX(tbl_Onsite[Qwilr Quote],MATCH(E138&amp;"",tbl_Onsite[Job Number],0))="","",INDEX(tbl_Onsite[Qwilr Quote],MATCH(E138&amp;"",tbl_Onsite[Job Number],0))),IFERROR(IF(IF(INDEX(tbl_Production[Current RMS No],MATCH(E138&amp;"",tbl_Production[Job Number],0))="",INDEX(tbl_Production[Qwilr Quote],MATCH(E138&amp;"",tbl_Production[Job Number],0)),INDEX(tbl_Production[Current RMS No],MATCH(E138&amp;"",tbl_Production[Job Number],0)))="","",IF(INDEX(tbl_Production[Current RMS No],MATCH(E138&amp;"",tbl_Production[Job Number],0))="",INDEX(tbl_Production[Qwilr Quote],MATCH(E138&amp;"",tbl_Production[Job Number],0)),INDEX(tbl_Production[Current RMS No],MATCH(E138&amp;"",tbl_Production[Job Number],0)))),IFERROR(IF(INDEX(tbl_Consulting[Qwilr Quote],MATCH(E138&amp;"",tbl_Consulting[Job Number],0))="","",INDEX(tbl_Consulting[Qwilr Quote],MATCH(E138&amp;"",tbl_Consulting[Job Number],0))),""))))</f>
        <v/>
      </c>
      <c r="AD138" s="25">
        <f>IF(AC138="","",IF(AND(LEFT(AC138,4)&lt;&gt;"http",IF(H138="Production",set_RMSBase,set_QwilrBase)=""),"",HYPERLINK(IF(LEFT(AC138,4)="http",AC138,IF(H138="Production",set_RMSBase,set_QwilrBase)&amp;AC138),"Open")))</f>
        <v/>
      </c>
      <c r="AE138" s="27">
        <f>IF(E138="","",IFERROR(INDEX(tbl_Production[Total Expense],MATCH(E138&amp;"",tbl_Production[Job Number],0)),IFERROR(INDEX(tbl_Consulting[Total Expense],MATCH(E138&amp;"",tbl_Consulting[Job Number],0)),0)))</f>
        <v/>
      </c>
      <c r="AF138" s="27">
        <f>IF(E138="","",Z138-N(AE138))</f>
        <v/>
      </c>
      <c r="AG138" s="29">
        <f>IFERROR(AF138/Z138,"")</f>
        <v/>
      </c>
      <c r="AH138" s="25">
        <f>IF(E138="","",IFERROR(IF(INDEX(tbl_Onsite[Notes],MATCH(E138&amp;"",tbl_Onsite[Job Number],0))="","",INDEX(tbl_Onsite[Notes],MATCH(E138&amp;"",tbl_Onsite[Job Number],0))),IFERROR(IF(INDEX(tbl_Production[Notes],MATCH(E138&amp;"",tbl_Production[Job Number],0))="","",INDEX(tbl_Production[Notes],MATCH(E138&amp;"",tbl_Production[Job Number],0))),IFERROR(IF(INDEX(tbl_Consulting[Notes],MATCH(E138&amp;"",tbl_Consulting[Job Number],0))="","",INDEX(tbl_Consulting[Notes],MATCH(E138&amp;"",tbl_Consulting[Job Number],0))),""))))</f>
        <v/>
      </c>
    </row>
    <row r="139" ht="15" customHeight="1">
      <c r="A139" s="22" t="n"/>
      <c r="B139" s="23">
        <f>IF(A139="","",EOMONTH(A139,0))</f>
        <v/>
      </c>
      <c r="C139" s="24" t="n"/>
      <c r="D139" s="24" t="n"/>
      <c r="E139" s="24" t="n"/>
      <c r="F139" s="25">
        <f>IF(E139="","",IF(COUNTIF(lst_Jobs,E139&amp;"")&gt;0,"OK","CHECK"))</f>
        <v/>
      </c>
      <c r="G139" s="24" t="n"/>
      <c r="H139" s="24" t="n"/>
      <c r="I139" s="24" t="n"/>
      <c r="J139" s="24" t="n"/>
      <c r="K139" s="24" t="n"/>
      <c r="L139" s="26" t="n"/>
      <c r="M139" s="27">
        <f>IF(L139="","",IF(K139="GST 10%",ROUND(L139*set_GSTRate,2),0))</f>
        <v/>
      </c>
      <c r="N139" s="27">
        <f>IF(L139="","",L139+M139)</f>
        <v/>
      </c>
      <c r="O139" s="24" t="n"/>
      <c r="P139" s="24" t="n"/>
      <c r="Q139" s="24" t="n"/>
      <c r="R139" s="22" t="n"/>
      <c r="S139" s="22" t="n"/>
      <c r="T139" s="24" t="n"/>
      <c r="U139" s="24" t="n"/>
      <c r="V139" s="25">
        <f>IF(COUNTA(A139,D139,C139,L139)=0,"",IF(A139="","No date - sits outside every month",IF(E139="","No job number",IF(F139="CHECK","Job number is not in the Xero job list",IF(I139="","No cost centre",IF(AND(P139="Y",C139=""),"Marked posted to Xero but has no invoice number",IF(AND(L139&lt;&gt;"",K139=""),"No tax code",IF(AND(L139&lt;&gt;"",O139=""),"No revenue GL code",""))))))))</f>
        <v/>
      </c>
      <c r="W139" s="25">
        <f>IF(E139="","",IF(COUNTIF(tbl_Onsite[Job Number],E139&amp;"")&gt;0,"Onsite",IF(COUNTIF(tbl_Production[Job Number],E139&amp;"")&gt;0,"Production",IF(COUNTIF(tbl_Consulting[Job Number],E139&amp;"")&gt;0,"Consulting","not set up yet"))))</f>
        <v/>
      </c>
      <c r="X139" s="25">
        <f>IF(E139="","",IFERROR(INDEX(lst_JobName,MATCH(E139&amp;"",lst_Jobs,0)),""))</f>
        <v/>
      </c>
      <c r="Y139" s="28">
        <f>IF(E139="","",COUNTIFS(tbl_Finance[Job Number],E139&amp;"",tbl_Finance[Ex GST],"&lt;&gt;"))</f>
        <v/>
      </c>
      <c r="Z139" s="27">
        <f>IF(E139="","",SUMIFS(tbl_Finance[Ex GST],tbl_Finance[Job Number],E139&amp;""))</f>
        <v/>
      </c>
      <c r="AA139" s="27">
        <f>IF(E139="","",SUMIFS(tbl_Finance[Ex GST],tbl_Finance[Job Number],E139&amp;"",tbl_Finance[Xero Invoice No],"&lt;&gt;"))</f>
        <v/>
      </c>
      <c r="AB139" s="27">
        <f>IF(E139="","",Z139-AA139)</f>
        <v/>
      </c>
      <c r="AC139" s="25">
        <f>IF(E139="","",IFERROR(IF(INDEX(tbl_Onsite[Qwilr Quote],MATCH(E139&amp;"",tbl_Onsite[Job Number],0))="","",INDEX(tbl_Onsite[Qwilr Quote],MATCH(E139&amp;"",tbl_Onsite[Job Number],0))),IFERROR(IF(IF(INDEX(tbl_Production[Current RMS No],MATCH(E139&amp;"",tbl_Production[Job Number],0))="",INDEX(tbl_Production[Qwilr Quote],MATCH(E139&amp;"",tbl_Production[Job Number],0)),INDEX(tbl_Production[Current RMS No],MATCH(E139&amp;"",tbl_Production[Job Number],0)))="","",IF(INDEX(tbl_Production[Current RMS No],MATCH(E139&amp;"",tbl_Production[Job Number],0))="",INDEX(tbl_Production[Qwilr Quote],MATCH(E139&amp;"",tbl_Production[Job Number],0)),INDEX(tbl_Production[Current RMS No],MATCH(E139&amp;"",tbl_Production[Job Number],0)))),IFERROR(IF(INDEX(tbl_Consulting[Qwilr Quote],MATCH(E139&amp;"",tbl_Consulting[Job Number],0))="","",INDEX(tbl_Consulting[Qwilr Quote],MATCH(E139&amp;"",tbl_Consulting[Job Number],0))),""))))</f>
        <v/>
      </c>
      <c r="AD139" s="25">
        <f>IF(AC139="","",IF(AND(LEFT(AC139,4)&lt;&gt;"http",IF(H139="Production",set_RMSBase,set_QwilrBase)=""),"",HYPERLINK(IF(LEFT(AC139,4)="http",AC139,IF(H139="Production",set_RMSBase,set_QwilrBase)&amp;AC139),"Open")))</f>
        <v/>
      </c>
      <c r="AE139" s="27">
        <f>IF(E139="","",IFERROR(INDEX(tbl_Production[Total Expense],MATCH(E139&amp;"",tbl_Production[Job Number],0)),IFERROR(INDEX(tbl_Consulting[Total Expense],MATCH(E139&amp;"",tbl_Consulting[Job Number],0)),0)))</f>
        <v/>
      </c>
      <c r="AF139" s="27">
        <f>IF(E139="","",Z139-N(AE139))</f>
        <v/>
      </c>
      <c r="AG139" s="29">
        <f>IFERROR(AF139/Z139,"")</f>
        <v/>
      </c>
      <c r="AH139" s="25">
        <f>IF(E139="","",IFERROR(IF(INDEX(tbl_Onsite[Notes],MATCH(E139&amp;"",tbl_Onsite[Job Number],0))="","",INDEX(tbl_Onsite[Notes],MATCH(E139&amp;"",tbl_Onsite[Job Number],0))),IFERROR(IF(INDEX(tbl_Production[Notes],MATCH(E139&amp;"",tbl_Production[Job Number],0))="","",INDEX(tbl_Production[Notes],MATCH(E139&amp;"",tbl_Production[Job Number],0))),IFERROR(IF(INDEX(tbl_Consulting[Notes],MATCH(E139&amp;"",tbl_Consulting[Job Number],0))="","",INDEX(tbl_Consulting[Notes],MATCH(E139&amp;"",tbl_Consulting[Job Number],0))),""))))</f>
        <v/>
      </c>
    </row>
    <row r="140" ht="15" customHeight="1">
      <c r="A140" s="22" t="n"/>
      <c r="B140" s="23">
        <f>IF(A140="","",EOMONTH(A140,0))</f>
        <v/>
      </c>
      <c r="C140" s="24" t="n"/>
      <c r="D140" s="24" t="n"/>
      <c r="E140" s="24" t="n"/>
      <c r="F140" s="25">
        <f>IF(E140="","",IF(COUNTIF(lst_Jobs,E140&amp;"")&gt;0,"OK","CHECK"))</f>
        <v/>
      </c>
      <c r="G140" s="24" t="n"/>
      <c r="H140" s="24" t="n"/>
      <c r="I140" s="24" t="n"/>
      <c r="J140" s="24" t="n"/>
      <c r="K140" s="24" t="n"/>
      <c r="L140" s="26" t="n"/>
      <c r="M140" s="27">
        <f>IF(L140="","",IF(K140="GST 10%",ROUND(L140*set_GSTRate,2),0))</f>
        <v/>
      </c>
      <c r="N140" s="27">
        <f>IF(L140="","",L140+M140)</f>
        <v/>
      </c>
      <c r="O140" s="24" t="n"/>
      <c r="P140" s="24" t="n"/>
      <c r="Q140" s="24" t="n"/>
      <c r="R140" s="22" t="n"/>
      <c r="S140" s="22" t="n"/>
      <c r="T140" s="24" t="n"/>
      <c r="U140" s="24" t="n"/>
      <c r="V140" s="25">
        <f>IF(COUNTA(A140,D140,C140,L140)=0,"",IF(A140="","No date - sits outside every month",IF(E140="","No job number",IF(F140="CHECK","Job number is not in the Xero job list",IF(I140="","No cost centre",IF(AND(P140="Y",C140=""),"Marked posted to Xero but has no invoice number",IF(AND(L140&lt;&gt;"",K140=""),"No tax code",IF(AND(L140&lt;&gt;"",O140=""),"No revenue GL code",""))))))))</f>
        <v/>
      </c>
      <c r="W140" s="25">
        <f>IF(E140="","",IF(COUNTIF(tbl_Onsite[Job Number],E140&amp;"")&gt;0,"Onsite",IF(COUNTIF(tbl_Production[Job Number],E140&amp;"")&gt;0,"Production",IF(COUNTIF(tbl_Consulting[Job Number],E140&amp;"")&gt;0,"Consulting","not set up yet"))))</f>
        <v/>
      </c>
      <c r="X140" s="25">
        <f>IF(E140="","",IFERROR(INDEX(lst_JobName,MATCH(E140&amp;"",lst_Jobs,0)),""))</f>
        <v/>
      </c>
      <c r="Y140" s="28">
        <f>IF(E140="","",COUNTIFS(tbl_Finance[Job Number],E140&amp;"",tbl_Finance[Ex GST],"&lt;&gt;"))</f>
        <v/>
      </c>
      <c r="Z140" s="27">
        <f>IF(E140="","",SUMIFS(tbl_Finance[Ex GST],tbl_Finance[Job Number],E140&amp;""))</f>
        <v/>
      </c>
      <c r="AA140" s="27">
        <f>IF(E140="","",SUMIFS(tbl_Finance[Ex GST],tbl_Finance[Job Number],E140&amp;"",tbl_Finance[Xero Invoice No],"&lt;&gt;"))</f>
        <v/>
      </c>
      <c r="AB140" s="27">
        <f>IF(E140="","",Z140-AA140)</f>
        <v/>
      </c>
      <c r="AC140" s="25">
        <f>IF(E140="","",IFERROR(IF(INDEX(tbl_Onsite[Qwilr Quote],MATCH(E140&amp;"",tbl_Onsite[Job Number],0))="","",INDEX(tbl_Onsite[Qwilr Quote],MATCH(E140&amp;"",tbl_Onsite[Job Number],0))),IFERROR(IF(IF(INDEX(tbl_Production[Current RMS No],MATCH(E140&amp;"",tbl_Production[Job Number],0))="",INDEX(tbl_Production[Qwilr Quote],MATCH(E140&amp;"",tbl_Production[Job Number],0)),INDEX(tbl_Production[Current RMS No],MATCH(E140&amp;"",tbl_Production[Job Number],0)))="","",IF(INDEX(tbl_Production[Current RMS No],MATCH(E140&amp;"",tbl_Production[Job Number],0))="",INDEX(tbl_Production[Qwilr Quote],MATCH(E140&amp;"",tbl_Production[Job Number],0)),INDEX(tbl_Production[Current RMS No],MATCH(E140&amp;"",tbl_Production[Job Number],0)))),IFERROR(IF(INDEX(tbl_Consulting[Qwilr Quote],MATCH(E140&amp;"",tbl_Consulting[Job Number],0))="","",INDEX(tbl_Consulting[Qwilr Quote],MATCH(E140&amp;"",tbl_Consulting[Job Number],0))),""))))</f>
        <v/>
      </c>
      <c r="AD140" s="25">
        <f>IF(AC140="","",IF(AND(LEFT(AC140,4)&lt;&gt;"http",IF(H140="Production",set_RMSBase,set_QwilrBase)=""),"",HYPERLINK(IF(LEFT(AC140,4)="http",AC140,IF(H140="Production",set_RMSBase,set_QwilrBase)&amp;AC140),"Open")))</f>
        <v/>
      </c>
      <c r="AE140" s="27">
        <f>IF(E140="","",IFERROR(INDEX(tbl_Production[Total Expense],MATCH(E140&amp;"",tbl_Production[Job Number],0)),IFERROR(INDEX(tbl_Consulting[Total Expense],MATCH(E140&amp;"",tbl_Consulting[Job Number],0)),0)))</f>
        <v/>
      </c>
      <c r="AF140" s="27">
        <f>IF(E140="","",Z140-N(AE140))</f>
        <v/>
      </c>
      <c r="AG140" s="29">
        <f>IFERROR(AF140/Z140,"")</f>
        <v/>
      </c>
      <c r="AH140" s="25">
        <f>IF(E140="","",IFERROR(IF(INDEX(tbl_Onsite[Notes],MATCH(E140&amp;"",tbl_Onsite[Job Number],0))="","",INDEX(tbl_Onsite[Notes],MATCH(E140&amp;"",tbl_Onsite[Job Number],0))),IFERROR(IF(INDEX(tbl_Production[Notes],MATCH(E140&amp;"",tbl_Production[Job Number],0))="","",INDEX(tbl_Production[Notes],MATCH(E140&amp;"",tbl_Production[Job Number],0))),IFERROR(IF(INDEX(tbl_Consulting[Notes],MATCH(E140&amp;"",tbl_Consulting[Job Number],0))="","",INDEX(tbl_Consulting[Notes],MATCH(E140&amp;"",tbl_Consulting[Job Number],0))),""))))</f>
        <v/>
      </c>
    </row>
    <row r="141" ht="15" customHeight="1">
      <c r="A141" s="22" t="n"/>
      <c r="B141" s="23">
        <f>IF(A141="","",EOMONTH(A141,0))</f>
        <v/>
      </c>
      <c r="C141" s="24" t="n"/>
      <c r="D141" s="24" t="n"/>
      <c r="E141" s="24" t="n"/>
      <c r="F141" s="25">
        <f>IF(E141="","",IF(COUNTIF(lst_Jobs,E141&amp;"")&gt;0,"OK","CHECK"))</f>
        <v/>
      </c>
      <c r="G141" s="24" t="n"/>
      <c r="H141" s="24" t="n"/>
      <c r="I141" s="24" t="n"/>
      <c r="J141" s="24" t="n"/>
      <c r="K141" s="24" t="n"/>
      <c r="L141" s="26" t="n"/>
      <c r="M141" s="27">
        <f>IF(L141="","",IF(K141="GST 10%",ROUND(L141*set_GSTRate,2),0))</f>
        <v/>
      </c>
      <c r="N141" s="27">
        <f>IF(L141="","",L141+M141)</f>
        <v/>
      </c>
      <c r="O141" s="24" t="n"/>
      <c r="P141" s="24" t="n"/>
      <c r="Q141" s="24" t="n"/>
      <c r="R141" s="22" t="n"/>
      <c r="S141" s="22" t="n"/>
      <c r="T141" s="24" t="n"/>
      <c r="U141" s="24" t="n"/>
      <c r="V141" s="25">
        <f>IF(COUNTA(A141,D141,C141,L141)=0,"",IF(A141="","No date - sits outside every month",IF(E141="","No job number",IF(F141="CHECK","Job number is not in the Xero job list",IF(I141="","No cost centre",IF(AND(P141="Y",C141=""),"Marked posted to Xero but has no invoice number",IF(AND(L141&lt;&gt;"",K141=""),"No tax code",IF(AND(L141&lt;&gt;"",O141=""),"No revenue GL code",""))))))))</f>
        <v/>
      </c>
      <c r="W141" s="25">
        <f>IF(E141="","",IF(COUNTIF(tbl_Onsite[Job Number],E141&amp;"")&gt;0,"Onsite",IF(COUNTIF(tbl_Production[Job Number],E141&amp;"")&gt;0,"Production",IF(COUNTIF(tbl_Consulting[Job Number],E141&amp;"")&gt;0,"Consulting","not set up yet"))))</f>
        <v/>
      </c>
      <c r="X141" s="25">
        <f>IF(E141="","",IFERROR(INDEX(lst_JobName,MATCH(E141&amp;"",lst_Jobs,0)),""))</f>
        <v/>
      </c>
      <c r="Y141" s="28">
        <f>IF(E141="","",COUNTIFS(tbl_Finance[Job Number],E141&amp;"",tbl_Finance[Ex GST],"&lt;&gt;"))</f>
        <v/>
      </c>
      <c r="Z141" s="27">
        <f>IF(E141="","",SUMIFS(tbl_Finance[Ex GST],tbl_Finance[Job Number],E141&amp;""))</f>
        <v/>
      </c>
      <c r="AA141" s="27">
        <f>IF(E141="","",SUMIFS(tbl_Finance[Ex GST],tbl_Finance[Job Number],E141&amp;"",tbl_Finance[Xero Invoice No],"&lt;&gt;"))</f>
        <v/>
      </c>
      <c r="AB141" s="27">
        <f>IF(E141="","",Z141-AA141)</f>
        <v/>
      </c>
      <c r="AC141" s="25">
        <f>IF(E141="","",IFERROR(IF(INDEX(tbl_Onsite[Qwilr Quote],MATCH(E141&amp;"",tbl_Onsite[Job Number],0))="","",INDEX(tbl_Onsite[Qwilr Quote],MATCH(E141&amp;"",tbl_Onsite[Job Number],0))),IFERROR(IF(IF(INDEX(tbl_Production[Current RMS No],MATCH(E141&amp;"",tbl_Production[Job Number],0))="",INDEX(tbl_Production[Qwilr Quote],MATCH(E141&amp;"",tbl_Production[Job Number],0)),INDEX(tbl_Production[Current RMS No],MATCH(E141&amp;"",tbl_Production[Job Number],0)))="","",IF(INDEX(tbl_Production[Current RMS No],MATCH(E141&amp;"",tbl_Production[Job Number],0))="",INDEX(tbl_Production[Qwilr Quote],MATCH(E141&amp;"",tbl_Production[Job Number],0)),INDEX(tbl_Production[Current RMS No],MATCH(E141&amp;"",tbl_Production[Job Number],0)))),IFERROR(IF(INDEX(tbl_Consulting[Qwilr Quote],MATCH(E141&amp;"",tbl_Consulting[Job Number],0))="","",INDEX(tbl_Consulting[Qwilr Quote],MATCH(E141&amp;"",tbl_Consulting[Job Number],0))),""))))</f>
        <v/>
      </c>
      <c r="AD141" s="25">
        <f>IF(AC141="","",IF(AND(LEFT(AC141,4)&lt;&gt;"http",IF(H141="Production",set_RMSBase,set_QwilrBase)=""),"",HYPERLINK(IF(LEFT(AC141,4)="http",AC141,IF(H141="Production",set_RMSBase,set_QwilrBase)&amp;AC141),"Open")))</f>
        <v/>
      </c>
      <c r="AE141" s="27">
        <f>IF(E141="","",IFERROR(INDEX(tbl_Production[Total Expense],MATCH(E141&amp;"",tbl_Production[Job Number],0)),IFERROR(INDEX(tbl_Consulting[Total Expense],MATCH(E141&amp;"",tbl_Consulting[Job Number],0)),0)))</f>
        <v/>
      </c>
      <c r="AF141" s="27">
        <f>IF(E141="","",Z141-N(AE141))</f>
        <v/>
      </c>
      <c r="AG141" s="29">
        <f>IFERROR(AF141/Z141,"")</f>
        <v/>
      </c>
      <c r="AH141" s="25">
        <f>IF(E141="","",IFERROR(IF(INDEX(tbl_Onsite[Notes],MATCH(E141&amp;"",tbl_Onsite[Job Number],0))="","",INDEX(tbl_Onsite[Notes],MATCH(E141&amp;"",tbl_Onsite[Job Number],0))),IFERROR(IF(INDEX(tbl_Production[Notes],MATCH(E141&amp;"",tbl_Production[Job Number],0))="","",INDEX(tbl_Production[Notes],MATCH(E141&amp;"",tbl_Production[Job Number],0))),IFERROR(IF(INDEX(tbl_Consulting[Notes],MATCH(E141&amp;"",tbl_Consulting[Job Number],0))="","",INDEX(tbl_Consulting[Notes],MATCH(E141&amp;"",tbl_Consulting[Job Number],0))),""))))</f>
        <v/>
      </c>
    </row>
    <row r="142" ht="15" customHeight="1">
      <c r="A142" s="22" t="n"/>
      <c r="B142" s="23">
        <f>IF(A142="","",EOMONTH(A142,0))</f>
        <v/>
      </c>
      <c r="C142" s="24" t="n"/>
      <c r="D142" s="24" t="n"/>
      <c r="E142" s="24" t="n"/>
      <c r="F142" s="25">
        <f>IF(E142="","",IF(COUNTIF(lst_Jobs,E142&amp;"")&gt;0,"OK","CHECK"))</f>
        <v/>
      </c>
      <c r="G142" s="24" t="n"/>
      <c r="H142" s="24" t="n"/>
      <c r="I142" s="24" t="n"/>
      <c r="J142" s="24" t="n"/>
      <c r="K142" s="24" t="n"/>
      <c r="L142" s="26" t="n"/>
      <c r="M142" s="27">
        <f>IF(L142="","",IF(K142="GST 10%",ROUND(L142*set_GSTRate,2),0))</f>
        <v/>
      </c>
      <c r="N142" s="27">
        <f>IF(L142="","",L142+M142)</f>
        <v/>
      </c>
      <c r="O142" s="24" t="n"/>
      <c r="P142" s="24" t="n"/>
      <c r="Q142" s="24" t="n"/>
      <c r="R142" s="22" t="n"/>
      <c r="S142" s="22" t="n"/>
      <c r="T142" s="24" t="n"/>
      <c r="U142" s="24" t="n"/>
      <c r="V142" s="25">
        <f>IF(COUNTA(A142,D142,C142,L142)=0,"",IF(A142="","No date - sits outside every month",IF(E142="","No job number",IF(F142="CHECK","Job number is not in the Xero job list",IF(I142="","No cost centre",IF(AND(P142="Y",C142=""),"Marked posted to Xero but has no invoice number",IF(AND(L142&lt;&gt;"",K142=""),"No tax code",IF(AND(L142&lt;&gt;"",O142=""),"No revenue GL code",""))))))))</f>
        <v/>
      </c>
      <c r="W142" s="25">
        <f>IF(E142="","",IF(COUNTIF(tbl_Onsite[Job Number],E142&amp;"")&gt;0,"Onsite",IF(COUNTIF(tbl_Production[Job Number],E142&amp;"")&gt;0,"Production",IF(COUNTIF(tbl_Consulting[Job Number],E142&amp;"")&gt;0,"Consulting","not set up yet"))))</f>
        <v/>
      </c>
      <c r="X142" s="25">
        <f>IF(E142="","",IFERROR(INDEX(lst_JobName,MATCH(E142&amp;"",lst_Jobs,0)),""))</f>
        <v/>
      </c>
      <c r="Y142" s="28">
        <f>IF(E142="","",COUNTIFS(tbl_Finance[Job Number],E142&amp;"",tbl_Finance[Ex GST],"&lt;&gt;"))</f>
        <v/>
      </c>
      <c r="Z142" s="27">
        <f>IF(E142="","",SUMIFS(tbl_Finance[Ex GST],tbl_Finance[Job Number],E142&amp;""))</f>
        <v/>
      </c>
      <c r="AA142" s="27">
        <f>IF(E142="","",SUMIFS(tbl_Finance[Ex GST],tbl_Finance[Job Number],E142&amp;"",tbl_Finance[Xero Invoice No],"&lt;&gt;"))</f>
        <v/>
      </c>
      <c r="AB142" s="27">
        <f>IF(E142="","",Z142-AA142)</f>
        <v/>
      </c>
      <c r="AC142" s="25">
        <f>IF(E142="","",IFERROR(IF(INDEX(tbl_Onsite[Qwilr Quote],MATCH(E142&amp;"",tbl_Onsite[Job Number],0))="","",INDEX(tbl_Onsite[Qwilr Quote],MATCH(E142&amp;"",tbl_Onsite[Job Number],0))),IFERROR(IF(IF(INDEX(tbl_Production[Current RMS No],MATCH(E142&amp;"",tbl_Production[Job Number],0))="",INDEX(tbl_Production[Qwilr Quote],MATCH(E142&amp;"",tbl_Production[Job Number],0)),INDEX(tbl_Production[Current RMS No],MATCH(E142&amp;"",tbl_Production[Job Number],0)))="","",IF(INDEX(tbl_Production[Current RMS No],MATCH(E142&amp;"",tbl_Production[Job Number],0))="",INDEX(tbl_Production[Qwilr Quote],MATCH(E142&amp;"",tbl_Production[Job Number],0)),INDEX(tbl_Production[Current RMS No],MATCH(E142&amp;"",tbl_Production[Job Number],0)))),IFERROR(IF(INDEX(tbl_Consulting[Qwilr Quote],MATCH(E142&amp;"",tbl_Consulting[Job Number],0))="","",INDEX(tbl_Consulting[Qwilr Quote],MATCH(E142&amp;"",tbl_Consulting[Job Number],0))),""))))</f>
        <v/>
      </c>
      <c r="AD142" s="25">
        <f>IF(AC142="","",IF(AND(LEFT(AC142,4)&lt;&gt;"http",IF(H142="Production",set_RMSBase,set_QwilrBase)=""),"",HYPERLINK(IF(LEFT(AC142,4)="http",AC142,IF(H142="Production",set_RMSBase,set_QwilrBase)&amp;AC142),"Open")))</f>
        <v/>
      </c>
      <c r="AE142" s="27">
        <f>IF(E142="","",IFERROR(INDEX(tbl_Production[Total Expense],MATCH(E142&amp;"",tbl_Production[Job Number],0)),IFERROR(INDEX(tbl_Consulting[Total Expense],MATCH(E142&amp;"",tbl_Consulting[Job Number],0)),0)))</f>
        <v/>
      </c>
      <c r="AF142" s="27">
        <f>IF(E142="","",Z142-N(AE142))</f>
        <v/>
      </c>
      <c r="AG142" s="29">
        <f>IFERROR(AF142/Z142,"")</f>
        <v/>
      </c>
      <c r="AH142" s="25">
        <f>IF(E142="","",IFERROR(IF(INDEX(tbl_Onsite[Notes],MATCH(E142&amp;"",tbl_Onsite[Job Number],0))="","",INDEX(tbl_Onsite[Notes],MATCH(E142&amp;"",tbl_Onsite[Job Number],0))),IFERROR(IF(INDEX(tbl_Production[Notes],MATCH(E142&amp;"",tbl_Production[Job Number],0))="","",INDEX(tbl_Production[Notes],MATCH(E142&amp;"",tbl_Production[Job Number],0))),IFERROR(IF(INDEX(tbl_Consulting[Notes],MATCH(E142&amp;"",tbl_Consulting[Job Number],0))="","",INDEX(tbl_Consulting[Notes],MATCH(E142&amp;"",tbl_Consulting[Job Number],0))),""))))</f>
        <v/>
      </c>
    </row>
    <row r="143" ht="15" customHeight="1">
      <c r="A143" s="22" t="n"/>
      <c r="B143" s="23">
        <f>IF(A143="","",EOMONTH(A143,0))</f>
        <v/>
      </c>
      <c r="C143" s="24" t="n"/>
      <c r="D143" s="24" t="n"/>
      <c r="E143" s="24" t="n"/>
      <c r="F143" s="25">
        <f>IF(E143="","",IF(COUNTIF(lst_Jobs,E143&amp;"")&gt;0,"OK","CHECK"))</f>
        <v/>
      </c>
      <c r="G143" s="24" t="n"/>
      <c r="H143" s="24" t="n"/>
      <c r="I143" s="24" t="n"/>
      <c r="J143" s="24" t="n"/>
      <c r="K143" s="24" t="n"/>
      <c r="L143" s="26" t="n"/>
      <c r="M143" s="27">
        <f>IF(L143="","",IF(K143="GST 10%",ROUND(L143*set_GSTRate,2),0))</f>
        <v/>
      </c>
      <c r="N143" s="27">
        <f>IF(L143="","",L143+M143)</f>
        <v/>
      </c>
      <c r="O143" s="24" t="n"/>
      <c r="P143" s="24" t="n"/>
      <c r="Q143" s="24" t="n"/>
      <c r="R143" s="22" t="n"/>
      <c r="S143" s="22" t="n"/>
      <c r="T143" s="24" t="n"/>
      <c r="U143" s="24" t="n"/>
      <c r="V143" s="25">
        <f>IF(COUNTA(A143,D143,C143,L143)=0,"",IF(A143="","No date - sits outside every month",IF(E143="","No job number",IF(F143="CHECK","Job number is not in the Xero job list",IF(I143="","No cost centre",IF(AND(P143="Y",C143=""),"Marked posted to Xero but has no invoice number",IF(AND(L143&lt;&gt;"",K143=""),"No tax code",IF(AND(L143&lt;&gt;"",O143=""),"No revenue GL code",""))))))))</f>
        <v/>
      </c>
      <c r="W143" s="25">
        <f>IF(E143="","",IF(COUNTIF(tbl_Onsite[Job Number],E143&amp;"")&gt;0,"Onsite",IF(COUNTIF(tbl_Production[Job Number],E143&amp;"")&gt;0,"Production",IF(COUNTIF(tbl_Consulting[Job Number],E143&amp;"")&gt;0,"Consulting","not set up yet"))))</f>
        <v/>
      </c>
      <c r="X143" s="25">
        <f>IF(E143="","",IFERROR(INDEX(lst_JobName,MATCH(E143&amp;"",lst_Jobs,0)),""))</f>
        <v/>
      </c>
      <c r="Y143" s="28">
        <f>IF(E143="","",COUNTIFS(tbl_Finance[Job Number],E143&amp;"",tbl_Finance[Ex GST],"&lt;&gt;"))</f>
        <v/>
      </c>
      <c r="Z143" s="27">
        <f>IF(E143="","",SUMIFS(tbl_Finance[Ex GST],tbl_Finance[Job Number],E143&amp;""))</f>
        <v/>
      </c>
      <c r="AA143" s="27">
        <f>IF(E143="","",SUMIFS(tbl_Finance[Ex GST],tbl_Finance[Job Number],E143&amp;"",tbl_Finance[Xero Invoice No],"&lt;&gt;"))</f>
        <v/>
      </c>
      <c r="AB143" s="27">
        <f>IF(E143="","",Z143-AA143)</f>
        <v/>
      </c>
      <c r="AC143" s="25">
        <f>IF(E143="","",IFERROR(IF(INDEX(tbl_Onsite[Qwilr Quote],MATCH(E143&amp;"",tbl_Onsite[Job Number],0))="","",INDEX(tbl_Onsite[Qwilr Quote],MATCH(E143&amp;"",tbl_Onsite[Job Number],0))),IFERROR(IF(IF(INDEX(tbl_Production[Current RMS No],MATCH(E143&amp;"",tbl_Production[Job Number],0))="",INDEX(tbl_Production[Qwilr Quote],MATCH(E143&amp;"",tbl_Production[Job Number],0)),INDEX(tbl_Production[Current RMS No],MATCH(E143&amp;"",tbl_Production[Job Number],0)))="","",IF(INDEX(tbl_Production[Current RMS No],MATCH(E143&amp;"",tbl_Production[Job Number],0))="",INDEX(tbl_Production[Qwilr Quote],MATCH(E143&amp;"",tbl_Production[Job Number],0)),INDEX(tbl_Production[Current RMS No],MATCH(E143&amp;"",tbl_Production[Job Number],0)))),IFERROR(IF(INDEX(tbl_Consulting[Qwilr Quote],MATCH(E143&amp;"",tbl_Consulting[Job Number],0))="","",INDEX(tbl_Consulting[Qwilr Quote],MATCH(E143&amp;"",tbl_Consulting[Job Number],0))),""))))</f>
        <v/>
      </c>
      <c r="AD143" s="25">
        <f>IF(AC143="","",IF(AND(LEFT(AC143,4)&lt;&gt;"http",IF(H143="Production",set_RMSBase,set_QwilrBase)=""),"",HYPERLINK(IF(LEFT(AC143,4)="http",AC143,IF(H143="Production",set_RMSBase,set_QwilrBase)&amp;AC143),"Open")))</f>
        <v/>
      </c>
      <c r="AE143" s="27">
        <f>IF(E143="","",IFERROR(INDEX(tbl_Production[Total Expense],MATCH(E143&amp;"",tbl_Production[Job Number],0)),IFERROR(INDEX(tbl_Consulting[Total Expense],MATCH(E143&amp;"",tbl_Consulting[Job Number],0)),0)))</f>
        <v/>
      </c>
      <c r="AF143" s="27">
        <f>IF(E143="","",Z143-N(AE143))</f>
        <v/>
      </c>
      <c r="AG143" s="29">
        <f>IFERROR(AF143/Z143,"")</f>
        <v/>
      </c>
      <c r="AH143" s="25">
        <f>IF(E143="","",IFERROR(IF(INDEX(tbl_Onsite[Notes],MATCH(E143&amp;"",tbl_Onsite[Job Number],0))="","",INDEX(tbl_Onsite[Notes],MATCH(E143&amp;"",tbl_Onsite[Job Number],0))),IFERROR(IF(INDEX(tbl_Production[Notes],MATCH(E143&amp;"",tbl_Production[Job Number],0))="","",INDEX(tbl_Production[Notes],MATCH(E143&amp;"",tbl_Production[Job Number],0))),IFERROR(IF(INDEX(tbl_Consulting[Notes],MATCH(E143&amp;"",tbl_Consulting[Job Number],0))="","",INDEX(tbl_Consulting[Notes],MATCH(E143&amp;"",tbl_Consulting[Job Number],0))),""))))</f>
        <v/>
      </c>
    </row>
    <row r="144" ht="15" customHeight="1">
      <c r="A144" s="22" t="n"/>
      <c r="B144" s="23">
        <f>IF(A144="","",EOMONTH(A144,0))</f>
        <v/>
      </c>
      <c r="C144" s="24" t="n"/>
      <c r="D144" s="24" t="n"/>
      <c r="E144" s="24" t="n"/>
      <c r="F144" s="25">
        <f>IF(E144="","",IF(COUNTIF(lst_Jobs,E144&amp;"")&gt;0,"OK","CHECK"))</f>
        <v/>
      </c>
      <c r="G144" s="24" t="n"/>
      <c r="H144" s="24" t="n"/>
      <c r="I144" s="24" t="n"/>
      <c r="J144" s="24" t="n"/>
      <c r="K144" s="24" t="n"/>
      <c r="L144" s="26" t="n"/>
      <c r="M144" s="27">
        <f>IF(L144="","",IF(K144="GST 10%",ROUND(L144*set_GSTRate,2),0))</f>
        <v/>
      </c>
      <c r="N144" s="27">
        <f>IF(L144="","",L144+M144)</f>
        <v/>
      </c>
      <c r="O144" s="24" t="n"/>
      <c r="P144" s="24" t="n"/>
      <c r="Q144" s="24" t="n"/>
      <c r="R144" s="22" t="n"/>
      <c r="S144" s="22" t="n"/>
      <c r="T144" s="24" t="n"/>
      <c r="U144" s="24" t="n"/>
      <c r="V144" s="25">
        <f>IF(COUNTA(A144,D144,C144,L144)=0,"",IF(A144="","No date - sits outside every month",IF(E144="","No job number",IF(F144="CHECK","Job number is not in the Xero job list",IF(I144="","No cost centre",IF(AND(P144="Y",C144=""),"Marked posted to Xero but has no invoice number",IF(AND(L144&lt;&gt;"",K144=""),"No tax code",IF(AND(L144&lt;&gt;"",O144=""),"No revenue GL code",""))))))))</f>
        <v/>
      </c>
      <c r="W144" s="25">
        <f>IF(E144="","",IF(COUNTIF(tbl_Onsite[Job Number],E144&amp;"")&gt;0,"Onsite",IF(COUNTIF(tbl_Production[Job Number],E144&amp;"")&gt;0,"Production",IF(COUNTIF(tbl_Consulting[Job Number],E144&amp;"")&gt;0,"Consulting","not set up yet"))))</f>
        <v/>
      </c>
      <c r="X144" s="25">
        <f>IF(E144="","",IFERROR(INDEX(lst_JobName,MATCH(E144&amp;"",lst_Jobs,0)),""))</f>
        <v/>
      </c>
      <c r="Y144" s="28">
        <f>IF(E144="","",COUNTIFS(tbl_Finance[Job Number],E144&amp;"",tbl_Finance[Ex GST],"&lt;&gt;"))</f>
        <v/>
      </c>
      <c r="Z144" s="27">
        <f>IF(E144="","",SUMIFS(tbl_Finance[Ex GST],tbl_Finance[Job Number],E144&amp;""))</f>
        <v/>
      </c>
      <c r="AA144" s="27">
        <f>IF(E144="","",SUMIFS(tbl_Finance[Ex GST],tbl_Finance[Job Number],E144&amp;"",tbl_Finance[Xero Invoice No],"&lt;&gt;"))</f>
        <v/>
      </c>
      <c r="AB144" s="27">
        <f>IF(E144="","",Z144-AA144)</f>
        <v/>
      </c>
      <c r="AC144" s="25">
        <f>IF(E144="","",IFERROR(IF(INDEX(tbl_Onsite[Qwilr Quote],MATCH(E144&amp;"",tbl_Onsite[Job Number],0))="","",INDEX(tbl_Onsite[Qwilr Quote],MATCH(E144&amp;"",tbl_Onsite[Job Number],0))),IFERROR(IF(IF(INDEX(tbl_Production[Current RMS No],MATCH(E144&amp;"",tbl_Production[Job Number],0))="",INDEX(tbl_Production[Qwilr Quote],MATCH(E144&amp;"",tbl_Production[Job Number],0)),INDEX(tbl_Production[Current RMS No],MATCH(E144&amp;"",tbl_Production[Job Number],0)))="","",IF(INDEX(tbl_Production[Current RMS No],MATCH(E144&amp;"",tbl_Production[Job Number],0))="",INDEX(tbl_Production[Qwilr Quote],MATCH(E144&amp;"",tbl_Production[Job Number],0)),INDEX(tbl_Production[Current RMS No],MATCH(E144&amp;"",tbl_Production[Job Number],0)))),IFERROR(IF(INDEX(tbl_Consulting[Qwilr Quote],MATCH(E144&amp;"",tbl_Consulting[Job Number],0))="","",INDEX(tbl_Consulting[Qwilr Quote],MATCH(E144&amp;"",tbl_Consulting[Job Number],0))),""))))</f>
        <v/>
      </c>
      <c r="AD144" s="25">
        <f>IF(AC144="","",IF(AND(LEFT(AC144,4)&lt;&gt;"http",IF(H144="Production",set_RMSBase,set_QwilrBase)=""),"",HYPERLINK(IF(LEFT(AC144,4)="http",AC144,IF(H144="Production",set_RMSBase,set_QwilrBase)&amp;AC144),"Open")))</f>
        <v/>
      </c>
      <c r="AE144" s="27">
        <f>IF(E144="","",IFERROR(INDEX(tbl_Production[Total Expense],MATCH(E144&amp;"",tbl_Production[Job Number],0)),IFERROR(INDEX(tbl_Consulting[Total Expense],MATCH(E144&amp;"",tbl_Consulting[Job Number],0)),0)))</f>
        <v/>
      </c>
      <c r="AF144" s="27">
        <f>IF(E144="","",Z144-N(AE144))</f>
        <v/>
      </c>
      <c r="AG144" s="29">
        <f>IFERROR(AF144/Z144,"")</f>
        <v/>
      </c>
      <c r="AH144" s="25">
        <f>IF(E144="","",IFERROR(IF(INDEX(tbl_Onsite[Notes],MATCH(E144&amp;"",tbl_Onsite[Job Number],0))="","",INDEX(tbl_Onsite[Notes],MATCH(E144&amp;"",tbl_Onsite[Job Number],0))),IFERROR(IF(INDEX(tbl_Production[Notes],MATCH(E144&amp;"",tbl_Production[Job Number],0))="","",INDEX(tbl_Production[Notes],MATCH(E144&amp;"",tbl_Production[Job Number],0))),IFERROR(IF(INDEX(tbl_Consulting[Notes],MATCH(E144&amp;"",tbl_Consulting[Job Number],0))="","",INDEX(tbl_Consulting[Notes],MATCH(E144&amp;"",tbl_Consulting[Job Number],0))),""))))</f>
        <v/>
      </c>
    </row>
    <row r="145" ht="15" customHeight="1">
      <c r="A145" s="22" t="n"/>
      <c r="B145" s="23">
        <f>IF(A145="","",EOMONTH(A145,0))</f>
        <v/>
      </c>
      <c r="C145" s="24" t="n"/>
      <c r="D145" s="24" t="n"/>
      <c r="E145" s="24" t="n"/>
      <c r="F145" s="25">
        <f>IF(E145="","",IF(COUNTIF(lst_Jobs,E145&amp;"")&gt;0,"OK","CHECK"))</f>
        <v/>
      </c>
      <c r="G145" s="24" t="n"/>
      <c r="H145" s="24" t="n"/>
      <c r="I145" s="24" t="n"/>
      <c r="J145" s="24" t="n"/>
      <c r="K145" s="24" t="n"/>
      <c r="L145" s="26" t="n"/>
      <c r="M145" s="27">
        <f>IF(L145="","",IF(K145="GST 10%",ROUND(L145*set_GSTRate,2),0))</f>
        <v/>
      </c>
      <c r="N145" s="27">
        <f>IF(L145="","",L145+M145)</f>
        <v/>
      </c>
      <c r="O145" s="24" t="n"/>
      <c r="P145" s="24" t="n"/>
      <c r="Q145" s="24" t="n"/>
      <c r="R145" s="22" t="n"/>
      <c r="S145" s="22" t="n"/>
      <c r="T145" s="24" t="n"/>
      <c r="U145" s="24" t="n"/>
      <c r="V145" s="25">
        <f>IF(COUNTA(A145,D145,C145,L145)=0,"",IF(A145="","No date - sits outside every month",IF(E145="","No job number",IF(F145="CHECK","Job number is not in the Xero job list",IF(I145="","No cost centre",IF(AND(P145="Y",C145=""),"Marked posted to Xero but has no invoice number",IF(AND(L145&lt;&gt;"",K145=""),"No tax code",IF(AND(L145&lt;&gt;"",O145=""),"No revenue GL code",""))))))))</f>
        <v/>
      </c>
      <c r="W145" s="25">
        <f>IF(E145="","",IF(COUNTIF(tbl_Onsite[Job Number],E145&amp;"")&gt;0,"Onsite",IF(COUNTIF(tbl_Production[Job Number],E145&amp;"")&gt;0,"Production",IF(COUNTIF(tbl_Consulting[Job Number],E145&amp;"")&gt;0,"Consulting","not set up yet"))))</f>
        <v/>
      </c>
      <c r="X145" s="25">
        <f>IF(E145="","",IFERROR(INDEX(lst_JobName,MATCH(E145&amp;"",lst_Jobs,0)),""))</f>
        <v/>
      </c>
      <c r="Y145" s="28">
        <f>IF(E145="","",COUNTIFS(tbl_Finance[Job Number],E145&amp;"",tbl_Finance[Ex GST],"&lt;&gt;"))</f>
        <v/>
      </c>
      <c r="Z145" s="27">
        <f>IF(E145="","",SUMIFS(tbl_Finance[Ex GST],tbl_Finance[Job Number],E145&amp;""))</f>
        <v/>
      </c>
      <c r="AA145" s="27">
        <f>IF(E145="","",SUMIFS(tbl_Finance[Ex GST],tbl_Finance[Job Number],E145&amp;"",tbl_Finance[Xero Invoice No],"&lt;&gt;"))</f>
        <v/>
      </c>
      <c r="AB145" s="27">
        <f>IF(E145="","",Z145-AA145)</f>
        <v/>
      </c>
      <c r="AC145" s="25">
        <f>IF(E145="","",IFERROR(IF(INDEX(tbl_Onsite[Qwilr Quote],MATCH(E145&amp;"",tbl_Onsite[Job Number],0))="","",INDEX(tbl_Onsite[Qwilr Quote],MATCH(E145&amp;"",tbl_Onsite[Job Number],0))),IFERROR(IF(IF(INDEX(tbl_Production[Current RMS No],MATCH(E145&amp;"",tbl_Production[Job Number],0))="",INDEX(tbl_Production[Qwilr Quote],MATCH(E145&amp;"",tbl_Production[Job Number],0)),INDEX(tbl_Production[Current RMS No],MATCH(E145&amp;"",tbl_Production[Job Number],0)))="","",IF(INDEX(tbl_Production[Current RMS No],MATCH(E145&amp;"",tbl_Production[Job Number],0))="",INDEX(tbl_Production[Qwilr Quote],MATCH(E145&amp;"",tbl_Production[Job Number],0)),INDEX(tbl_Production[Current RMS No],MATCH(E145&amp;"",tbl_Production[Job Number],0)))),IFERROR(IF(INDEX(tbl_Consulting[Qwilr Quote],MATCH(E145&amp;"",tbl_Consulting[Job Number],0))="","",INDEX(tbl_Consulting[Qwilr Quote],MATCH(E145&amp;"",tbl_Consulting[Job Number],0))),""))))</f>
        <v/>
      </c>
      <c r="AD145" s="25">
        <f>IF(AC145="","",IF(AND(LEFT(AC145,4)&lt;&gt;"http",IF(H145="Production",set_RMSBase,set_QwilrBase)=""),"",HYPERLINK(IF(LEFT(AC145,4)="http",AC145,IF(H145="Production",set_RMSBase,set_QwilrBase)&amp;AC145),"Open")))</f>
        <v/>
      </c>
      <c r="AE145" s="27">
        <f>IF(E145="","",IFERROR(INDEX(tbl_Production[Total Expense],MATCH(E145&amp;"",tbl_Production[Job Number],0)),IFERROR(INDEX(tbl_Consulting[Total Expense],MATCH(E145&amp;"",tbl_Consulting[Job Number],0)),0)))</f>
        <v/>
      </c>
      <c r="AF145" s="27">
        <f>IF(E145="","",Z145-N(AE145))</f>
        <v/>
      </c>
      <c r="AG145" s="29">
        <f>IFERROR(AF145/Z145,"")</f>
        <v/>
      </c>
      <c r="AH145" s="25">
        <f>IF(E145="","",IFERROR(IF(INDEX(tbl_Onsite[Notes],MATCH(E145&amp;"",tbl_Onsite[Job Number],0))="","",INDEX(tbl_Onsite[Notes],MATCH(E145&amp;"",tbl_Onsite[Job Number],0))),IFERROR(IF(INDEX(tbl_Production[Notes],MATCH(E145&amp;"",tbl_Production[Job Number],0))="","",INDEX(tbl_Production[Notes],MATCH(E145&amp;"",tbl_Production[Job Number],0))),IFERROR(IF(INDEX(tbl_Consulting[Notes],MATCH(E145&amp;"",tbl_Consulting[Job Number],0))="","",INDEX(tbl_Consulting[Notes],MATCH(E145&amp;"",tbl_Consulting[Job Number],0))),""))))</f>
        <v/>
      </c>
    </row>
    <row r="146" ht="15" customHeight="1">
      <c r="A146" s="22" t="n"/>
      <c r="B146" s="23">
        <f>IF(A146="","",EOMONTH(A146,0))</f>
        <v/>
      </c>
      <c r="C146" s="24" t="n"/>
      <c r="D146" s="24" t="n"/>
      <c r="E146" s="24" t="n"/>
      <c r="F146" s="25">
        <f>IF(E146="","",IF(COUNTIF(lst_Jobs,E146&amp;"")&gt;0,"OK","CHECK"))</f>
        <v/>
      </c>
      <c r="G146" s="24" t="n"/>
      <c r="H146" s="24" t="n"/>
      <c r="I146" s="24" t="n"/>
      <c r="J146" s="24" t="n"/>
      <c r="K146" s="24" t="n"/>
      <c r="L146" s="26" t="n"/>
      <c r="M146" s="27">
        <f>IF(L146="","",IF(K146="GST 10%",ROUND(L146*set_GSTRate,2),0))</f>
        <v/>
      </c>
      <c r="N146" s="27">
        <f>IF(L146="","",L146+M146)</f>
        <v/>
      </c>
      <c r="O146" s="24" t="n"/>
      <c r="P146" s="24" t="n"/>
      <c r="Q146" s="24" t="n"/>
      <c r="R146" s="22" t="n"/>
      <c r="S146" s="22" t="n"/>
      <c r="T146" s="24" t="n"/>
      <c r="U146" s="24" t="n"/>
      <c r="V146" s="25">
        <f>IF(COUNTA(A146,D146,C146,L146)=0,"",IF(A146="","No date - sits outside every month",IF(E146="","No job number",IF(F146="CHECK","Job number is not in the Xero job list",IF(I146="","No cost centre",IF(AND(P146="Y",C146=""),"Marked posted to Xero but has no invoice number",IF(AND(L146&lt;&gt;"",K146=""),"No tax code",IF(AND(L146&lt;&gt;"",O146=""),"No revenue GL code",""))))))))</f>
        <v/>
      </c>
      <c r="W146" s="25">
        <f>IF(E146="","",IF(COUNTIF(tbl_Onsite[Job Number],E146&amp;"")&gt;0,"Onsite",IF(COUNTIF(tbl_Production[Job Number],E146&amp;"")&gt;0,"Production",IF(COUNTIF(tbl_Consulting[Job Number],E146&amp;"")&gt;0,"Consulting","not set up yet"))))</f>
        <v/>
      </c>
      <c r="X146" s="25">
        <f>IF(E146="","",IFERROR(INDEX(lst_JobName,MATCH(E146&amp;"",lst_Jobs,0)),""))</f>
        <v/>
      </c>
      <c r="Y146" s="28">
        <f>IF(E146="","",COUNTIFS(tbl_Finance[Job Number],E146&amp;"",tbl_Finance[Ex GST],"&lt;&gt;"))</f>
        <v/>
      </c>
      <c r="Z146" s="27">
        <f>IF(E146="","",SUMIFS(tbl_Finance[Ex GST],tbl_Finance[Job Number],E146&amp;""))</f>
        <v/>
      </c>
      <c r="AA146" s="27">
        <f>IF(E146="","",SUMIFS(tbl_Finance[Ex GST],tbl_Finance[Job Number],E146&amp;"",tbl_Finance[Xero Invoice No],"&lt;&gt;"))</f>
        <v/>
      </c>
      <c r="AB146" s="27">
        <f>IF(E146="","",Z146-AA146)</f>
        <v/>
      </c>
      <c r="AC146" s="25">
        <f>IF(E146="","",IFERROR(IF(INDEX(tbl_Onsite[Qwilr Quote],MATCH(E146&amp;"",tbl_Onsite[Job Number],0))="","",INDEX(tbl_Onsite[Qwilr Quote],MATCH(E146&amp;"",tbl_Onsite[Job Number],0))),IFERROR(IF(IF(INDEX(tbl_Production[Current RMS No],MATCH(E146&amp;"",tbl_Production[Job Number],0))="",INDEX(tbl_Production[Qwilr Quote],MATCH(E146&amp;"",tbl_Production[Job Number],0)),INDEX(tbl_Production[Current RMS No],MATCH(E146&amp;"",tbl_Production[Job Number],0)))="","",IF(INDEX(tbl_Production[Current RMS No],MATCH(E146&amp;"",tbl_Production[Job Number],0))="",INDEX(tbl_Production[Qwilr Quote],MATCH(E146&amp;"",tbl_Production[Job Number],0)),INDEX(tbl_Production[Current RMS No],MATCH(E146&amp;"",tbl_Production[Job Number],0)))),IFERROR(IF(INDEX(tbl_Consulting[Qwilr Quote],MATCH(E146&amp;"",tbl_Consulting[Job Number],0))="","",INDEX(tbl_Consulting[Qwilr Quote],MATCH(E146&amp;"",tbl_Consulting[Job Number],0))),""))))</f>
        <v/>
      </c>
      <c r="AD146" s="25">
        <f>IF(AC146="","",IF(AND(LEFT(AC146,4)&lt;&gt;"http",IF(H146="Production",set_RMSBase,set_QwilrBase)=""),"",HYPERLINK(IF(LEFT(AC146,4)="http",AC146,IF(H146="Production",set_RMSBase,set_QwilrBase)&amp;AC146),"Open")))</f>
        <v/>
      </c>
      <c r="AE146" s="27">
        <f>IF(E146="","",IFERROR(INDEX(tbl_Production[Total Expense],MATCH(E146&amp;"",tbl_Production[Job Number],0)),IFERROR(INDEX(tbl_Consulting[Total Expense],MATCH(E146&amp;"",tbl_Consulting[Job Number],0)),0)))</f>
        <v/>
      </c>
      <c r="AF146" s="27">
        <f>IF(E146="","",Z146-N(AE146))</f>
        <v/>
      </c>
      <c r="AG146" s="29">
        <f>IFERROR(AF146/Z146,"")</f>
        <v/>
      </c>
      <c r="AH146" s="25">
        <f>IF(E146="","",IFERROR(IF(INDEX(tbl_Onsite[Notes],MATCH(E146&amp;"",tbl_Onsite[Job Number],0))="","",INDEX(tbl_Onsite[Notes],MATCH(E146&amp;"",tbl_Onsite[Job Number],0))),IFERROR(IF(INDEX(tbl_Production[Notes],MATCH(E146&amp;"",tbl_Production[Job Number],0))="","",INDEX(tbl_Production[Notes],MATCH(E146&amp;"",tbl_Production[Job Number],0))),IFERROR(IF(INDEX(tbl_Consulting[Notes],MATCH(E146&amp;"",tbl_Consulting[Job Number],0))="","",INDEX(tbl_Consulting[Notes],MATCH(E146&amp;"",tbl_Consulting[Job Number],0))),""))))</f>
        <v/>
      </c>
    </row>
    <row r="147" ht="15" customHeight="1">
      <c r="A147" s="22" t="n"/>
      <c r="B147" s="23">
        <f>IF(A147="","",EOMONTH(A147,0))</f>
        <v/>
      </c>
      <c r="C147" s="24" t="n"/>
      <c r="D147" s="24" t="n"/>
      <c r="E147" s="24" t="n"/>
      <c r="F147" s="25">
        <f>IF(E147="","",IF(COUNTIF(lst_Jobs,E147&amp;"")&gt;0,"OK","CHECK"))</f>
        <v/>
      </c>
      <c r="G147" s="24" t="n"/>
      <c r="H147" s="24" t="n"/>
      <c r="I147" s="24" t="n"/>
      <c r="J147" s="24" t="n"/>
      <c r="K147" s="24" t="n"/>
      <c r="L147" s="26" t="n"/>
      <c r="M147" s="27">
        <f>IF(L147="","",IF(K147="GST 10%",ROUND(L147*set_GSTRate,2),0))</f>
        <v/>
      </c>
      <c r="N147" s="27">
        <f>IF(L147="","",L147+M147)</f>
        <v/>
      </c>
      <c r="O147" s="24" t="n"/>
      <c r="P147" s="24" t="n"/>
      <c r="Q147" s="24" t="n"/>
      <c r="R147" s="22" t="n"/>
      <c r="S147" s="22" t="n"/>
      <c r="T147" s="24" t="n"/>
      <c r="U147" s="24" t="n"/>
      <c r="V147" s="25">
        <f>IF(COUNTA(A147,D147,C147,L147)=0,"",IF(A147="","No date - sits outside every month",IF(E147="","No job number",IF(F147="CHECK","Job number is not in the Xero job list",IF(I147="","No cost centre",IF(AND(P147="Y",C147=""),"Marked posted to Xero but has no invoice number",IF(AND(L147&lt;&gt;"",K147=""),"No tax code",IF(AND(L147&lt;&gt;"",O147=""),"No revenue GL code",""))))))))</f>
        <v/>
      </c>
      <c r="W147" s="25">
        <f>IF(E147="","",IF(COUNTIF(tbl_Onsite[Job Number],E147&amp;"")&gt;0,"Onsite",IF(COUNTIF(tbl_Production[Job Number],E147&amp;"")&gt;0,"Production",IF(COUNTIF(tbl_Consulting[Job Number],E147&amp;"")&gt;0,"Consulting","not set up yet"))))</f>
        <v/>
      </c>
      <c r="X147" s="25">
        <f>IF(E147="","",IFERROR(INDEX(lst_JobName,MATCH(E147&amp;"",lst_Jobs,0)),""))</f>
        <v/>
      </c>
      <c r="Y147" s="28">
        <f>IF(E147="","",COUNTIFS(tbl_Finance[Job Number],E147&amp;"",tbl_Finance[Ex GST],"&lt;&gt;"))</f>
        <v/>
      </c>
      <c r="Z147" s="27">
        <f>IF(E147="","",SUMIFS(tbl_Finance[Ex GST],tbl_Finance[Job Number],E147&amp;""))</f>
        <v/>
      </c>
      <c r="AA147" s="27">
        <f>IF(E147="","",SUMIFS(tbl_Finance[Ex GST],tbl_Finance[Job Number],E147&amp;"",tbl_Finance[Xero Invoice No],"&lt;&gt;"))</f>
        <v/>
      </c>
      <c r="AB147" s="27">
        <f>IF(E147="","",Z147-AA147)</f>
        <v/>
      </c>
      <c r="AC147" s="25">
        <f>IF(E147="","",IFERROR(IF(INDEX(tbl_Onsite[Qwilr Quote],MATCH(E147&amp;"",tbl_Onsite[Job Number],0))="","",INDEX(tbl_Onsite[Qwilr Quote],MATCH(E147&amp;"",tbl_Onsite[Job Number],0))),IFERROR(IF(IF(INDEX(tbl_Production[Current RMS No],MATCH(E147&amp;"",tbl_Production[Job Number],0))="",INDEX(tbl_Production[Qwilr Quote],MATCH(E147&amp;"",tbl_Production[Job Number],0)),INDEX(tbl_Production[Current RMS No],MATCH(E147&amp;"",tbl_Production[Job Number],0)))="","",IF(INDEX(tbl_Production[Current RMS No],MATCH(E147&amp;"",tbl_Production[Job Number],0))="",INDEX(tbl_Production[Qwilr Quote],MATCH(E147&amp;"",tbl_Production[Job Number],0)),INDEX(tbl_Production[Current RMS No],MATCH(E147&amp;"",tbl_Production[Job Number],0)))),IFERROR(IF(INDEX(tbl_Consulting[Qwilr Quote],MATCH(E147&amp;"",tbl_Consulting[Job Number],0))="","",INDEX(tbl_Consulting[Qwilr Quote],MATCH(E147&amp;"",tbl_Consulting[Job Number],0))),""))))</f>
        <v/>
      </c>
      <c r="AD147" s="25">
        <f>IF(AC147="","",IF(AND(LEFT(AC147,4)&lt;&gt;"http",IF(H147="Production",set_RMSBase,set_QwilrBase)=""),"",HYPERLINK(IF(LEFT(AC147,4)="http",AC147,IF(H147="Production",set_RMSBase,set_QwilrBase)&amp;AC147),"Open")))</f>
        <v/>
      </c>
      <c r="AE147" s="27">
        <f>IF(E147="","",IFERROR(INDEX(tbl_Production[Total Expense],MATCH(E147&amp;"",tbl_Production[Job Number],0)),IFERROR(INDEX(tbl_Consulting[Total Expense],MATCH(E147&amp;"",tbl_Consulting[Job Number],0)),0)))</f>
        <v/>
      </c>
      <c r="AF147" s="27">
        <f>IF(E147="","",Z147-N(AE147))</f>
        <v/>
      </c>
      <c r="AG147" s="29">
        <f>IFERROR(AF147/Z147,"")</f>
        <v/>
      </c>
      <c r="AH147" s="25">
        <f>IF(E147="","",IFERROR(IF(INDEX(tbl_Onsite[Notes],MATCH(E147&amp;"",tbl_Onsite[Job Number],0))="","",INDEX(tbl_Onsite[Notes],MATCH(E147&amp;"",tbl_Onsite[Job Number],0))),IFERROR(IF(INDEX(tbl_Production[Notes],MATCH(E147&amp;"",tbl_Production[Job Number],0))="","",INDEX(tbl_Production[Notes],MATCH(E147&amp;"",tbl_Production[Job Number],0))),IFERROR(IF(INDEX(tbl_Consulting[Notes],MATCH(E147&amp;"",tbl_Consulting[Job Number],0))="","",INDEX(tbl_Consulting[Notes],MATCH(E147&amp;"",tbl_Consulting[Job Number],0))),""))))</f>
        <v/>
      </c>
    </row>
    <row r="148" ht="15" customHeight="1">
      <c r="A148" s="22" t="n"/>
      <c r="B148" s="23">
        <f>IF(A148="","",EOMONTH(A148,0))</f>
        <v/>
      </c>
      <c r="C148" s="24" t="n"/>
      <c r="D148" s="24" t="n"/>
      <c r="E148" s="24" t="n"/>
      <c r="F148" s="25">
        <f>IF(E148="","",IF(COUNTIF(lst_Jobs,E148&amp;"")&gt;0,"OK","CHECK"))</f>
        <v/>
      </c>
      <c r="G148" s="24" t="n"/>
      <c r="H148" s="24" t="n"/>
      <c r="I148" s="24" t="n"/>
      <c r="J148" s="24" t="n"/>
      <c r="K148" s="24" t="n"/>
      <c r="L148" s="26" t="n"/>
      <c r="M148" s="27">
        <f>IF(L148="","",IF(K148="GST 10%",ROUND(L148*set_GSTRate,2),0))</f>
        <v/>
      </c>
      <c r="N148" s="27">
        <f>IF(L148="","",L148+M148)</f>
        <v/>
      </c>
      <c r="O148" s="24" t="n"/>
      <c r="P148" s="24" t="n"/>
      <c r="Q148" s="24" t="n"/>
      <c r="R148" s="22" t="n"/>
      <c r="S148" s="22" t="n"/>
      <c r="T148" s="24" t="n"/>
      <c r="U148" s="24" t="n"/>
      <c r="V148" s="25">
        <f>IF(COUNTA(A148,D148,C148,L148)=0,"",IF(A148="","No date - sits outside every month",IF(E148="","No job number",IF(F148="CHECK","Job number is not in the Xero job list",IF(I148="","No cost centre",IF(AND(P148="Y",C148=""),"Marked posted to Xero but has no invoice number",IF(AND(L148&lt;&gt;"",K148=""),"No tax code",IF(AND(L148&lt;&gt;"",O148=""),"No revenue GL code",""))))))))</f>
        <v/>
      </c>
      <c r="W148" s="25">
        <f>IF(E148="","",IF(COUNTIF(tbl_Onsite[Job Number],E148&amp;"")&gt;0,"Onsite",IF(COUNTIF(tbl_Production[Job Number],E148&amp;"")&gt;0,"Production",IF(COUNTIF(tbl_Consulting[Job Number],E148&amp;"")&gt;0,"Consulting","not set up yet"))))</f>
        <v/>
      </c>
      <c r="X148" s="25">
        <f>IF(E148="","",IFERROR(INDEX(lst_JobName,MATCH(E148&amp;"",lst_Jobs,0)),""))</f>
        <v/>
      </c>
      <c r="Y148" s="28">
        <f>IF(E148="","",COUNTIFS(tbl_Finance[Job Number],E148&amp;"",tbl_Finance[Ex GST],"&lt;&gt;"))</f>
        <v/>
      </c>
      <c r="Z148" s="27">
        <f>IF(E148="","",SUMIFS(tbl_Finance[Ex GST],tbl_Finance[Job Number],E148&amp;""))</f>
        <v/>
      </c>
      <c r="AA148" s="27">
        <f>IF(E148="","",SUMIFS(tbl_Finance[Ex GST],tbl_Finance[Job Number],E148&amp;"",tbl_Finance[Xero Invoice No],"&lt;&gt;"))</f>
        <v/>
      </c>
      <c r="AB148" s="27">
        <f>IF(E148="","",Z148-AA148)</f>
        <v/>
      </c>
      <c r="AC148" s="25">
        <f>IF(E148="","",IFERROR(IF(INDEX(tbl_Onsite[Qwilr Quote],MATCH(E148&amp;"",tbl_Onsite[Job Number],0))="","",INDEX(tbl_Onsite[Qwilr Quote],MATCH(E148&amp;"",tbl_Onsite[Job Number],0))),IFERROR(IF(IF(INDEX(tbl_Production[Current RMS No],MATCH(E148&amp;"",tbl_Production[Job Number],0))="",INDEX(tbl_Production[Qwilr Quote],MATCH(E148&amp;"",tbl_Production[Job Number],0)),INDEX(tbl_Production[Current RMS No],MATCH(E148&amp;"",tbl_Production[Job Number],0)))="","",IF(INDEX(tbl_Production[Current RMS No],MATCH(E148&amp;"",tbl_Production[Job Number],0))="",INDEX(tbl_Production[Qwilr Quote],MATCH(E148&amp;"",tbl_Production[Job Number],0)),INDEX(tbl_Production[Current RMS No],MATCH(E148&amp;"",tbl_Production[Job Number],0)))),IFERROR(IF(INDEX(tbl_Consulting[Qwilr Quote],MATCH(E148&amp;"",tbl_Consulting[Job Number],0))="","",INDEX(tbl_Consulting[Qwilr Quote],MATCH(E148&amp;"",tbl_Consulting[Job Number],0))),""))))</f>
        <v/>
      </c>
      <c r="AD148" s="25">
        <f>IF(AC148="","",IF(AND(LEFT(AC148,4)&lt;&gt;"http",IF(H148="Production",set_RMSBase,set_QwilrBase)=""),"",HYPERLINK(IF(LEFT(AC148,4)="http",AC148,IF(H148="Production",set_RMSBase,set_QwilrBase)&amp;AC148),"Open")))</f>
        <v/>
      </c>
      <c r="AE148" s="27">
        <f>IF(E148="","",IFERROR(INDEX(tbl_Production[Total Expense],MATCH(E148&amp;"",tbl_Production[Job Number],0)),IFERROR(INDEX(tbl_Consulting[Total Expense],MATCH(E148&amp;"",tbl_Consulting[Job Number],0)),0)))</f>
        <v/>
      </c>
      <c r="AF148" s="27">
        <f>IF(E148="","",Z148-N(AE148))</f>
        <v/>
      </c>
      <c r="AG148" s="29">
        <f>IFERROR(AF148/Z148,"")</f>
        <v/>
      </c>
      <c r="AH148" s="25">
        <f>IF(E148="","",IFERROR(IF(INDEX(tbl_Onsite[Notes],MATCH(E148&amp;"",tbl_Onsite[Job Number],0))="","",INDEX(tbl_Onsite[Notes],MATCH(E148&amp;"",tbl_Onsite[Job Number],0))),IFERROR(IF(INDEX(tbl_Production[Notes],MATCH(E148&amp;"",tbl_Production[Job Number],0))="","",INDEX(tbl_Production[Notes],MATCH(E148&amp;"",tbl_Production[Job Number],0))),IFERROR(IF(INDEX(tbl_Consulting[Notes],MATCH(E148&amp;"",tbl_Consulting[Job Number],0))="","",INDEX(tbl_Consulting[Notes],MATCH(E148&amp;"",tbl_Consulting[Job Number],0))),""))))</f>
        <v/>
      </c>
    </row>
    <row r="149" ht="15" customHeight="1">
      <c r="A149" s="22" t="n"/>
      <c r="B149" s="23">
        <f>IF(A149="","",EOMONTH(A149,0))</f>
        <v/>
      </c>
      <c r="C149" s="24" t="n"/>
      <c r="D149" s="24" t="n"/>
      <c r="E149" s="24" t="n"/>
      <c r="F149" s="25">
        <f>IF(E149="","",IF(COUNTIF(lst_Jobs,E149&amp;"")&gt;0,"OK","CHECK"))</f>
        <v/>
      </c>
      <c r="G149" s="24" t="n"/>
      <c r="H149" s="24" t="n"/>
      <c r="I149" s="24" t="n"/>
      <c r="J149" s="24" t="n"/>
      <c r="K149" s="24" t="n"/>
      <c r="L149" s="26" t="n"/>
      <c r="M149" s="27">
        <f>IF(L149="","",IF(K149="GST 10%",ROUND(L149*set_GSTRate,2),0))</f>
        <v/>
      </c>
      <c r="N149" s="27">
        <f>IF(L149="","",L149+M149)</f>
        <v/>
      </c>
      <c r="O149" s="24" t="n"/>
      <c r="P149" s="24" t="n"/>
      <c r="Q149" s="24" t="n"/>
      <c r="R149" s="22" t="n"/>
      <c r="S149" s="22" t="n"/>
      <c r="T149" s="24" t="n"/>
      <c r="U149" s="24" t="n"/>
      <c r="V149" s="25">
        <f>IF(COUNTA(A149,D149,C149,L149)=0,"",IF(A149="","No date - sits outside every month",IF(E149="","No job number",IF(F149="CHECK","Job number is not in the Xero job list",IF(I149="","No cost centre",IF(AND(P149="Y",C149=""),"Marked posted to Xero but has no invoice number",IF(AND(L149&lt;&gt;"",K149=""),"No tax code",IF(AND(L149&lt;&gt;"",O149=""),"No revenue GL code",""))))))))</f>
        <v/>
      </c>
      <c r="W149" s="25">
        <f>IF(E149="","",IF(COUNTIF(tbl_Onsite[Job Number],E149&amp;"")&gt;0,"Onsite",IF(COUNTIF(tbl_Production[Job Number],E149&amp;"")&gt;0,"Production",IF(COUNTIF(tbl_Consulting[Job Number],E149&amp;"")&gt;0,"Consulting","not set up yet"))))</f>
        <v/>
      </c>
      <c r="X149" s="25">
        <f>IF(E149="","",IFERROR(INDEX(lst_JobName,MATCH(E149&amp;"",lst_Jobs,0)),""))</f>
        <v/>
      </c>
      <c r="Y149" s="28">
        <f>IF(E149="","",COUNTIFS(tbl_Finance[Job Number],E149&amp;"",tbl_Finance[Ex GST],"&lt;&gt;"))</f>
        <v/>
      </c>
      <c r="Z149" s="27">
        <f>IF(E149="","",SUMIFS(tbl_Finance[Ex GST],tbl_Finance[Job Number],E149&amp;""))</f>
        <v/>
      </c>
      <c r="AA149" s="27">
        <f>IF(E149="","",SUMIFS(tbl_Finance[Ex GST],tbl_Finance[Job Number],E149&amp;"",tbl_Finance[Xero Invoice No],"&lt;&gt;"))</f>
        <v/>
      </c>
      <c r="AB149" s="27">
        <f>IF(E149="","",Z149-AA149)</f>
        <v/>
      </c>
      <c r="AC149" s="25">
        <f>IF(E149="","",IFERROR(IF(INDEX(tbl_Onsite[Qwilr Quote],MATCH(E149&amp;"",tbl_Onsite[Job Number],0))="","",INDEX(tbl_Onsite[Qwilr Quote],MATCH(E149&amp;"",tbl_Onsite[Job Number],0))),IFERROR(IF(IF(INDEX(tbl_Production[Current RMS No],MATCH(E149&amp;"",tbl_Production[Job Number],0))="",INDEX(tbl_Production[Qwilr Quote],MATCH(E149&amp;"",tbl_Production[Job Number],0)),INDEX(tbl_Production[Current RMS No],MATCH(E149&amp;"",tbl_Production[Job Number],0)))="","",IF(INDEX(tbl_Production[Current RMS No],MATCH(E149&amp;"",tbl_Production[Job Number],0))="",INDEX(tbl_Production[Qwilr Quote],MATCH(E149&amp;"",tbl_Production[Job Number],0)),INDEX(tbl_Production[Current RMS No],MATCH(E149&amp;"",tbl_Production[Job Number],0)))),IFERROR(IF(INDEX(tbl_Consulting[Qwilr Quote],MATCH(E149&amp;"",tbl_Consulting[Job Number],0))="","",INDEX(tbl_Consulting[Qwilr Quote],MATCH(E149&amp;"",tbl_Consulting[Job Number],0))),""))))</f>
        <v/>
      </c>
      <c r="AD149" s="25">
        <f>IF(AC149="","",IF(AND(LEFT(AC149,4)&lt;&gt;"http",IF(H149="Production",set_RMSBase,set_QwilrBase)=""),"",HYPERLINK(IF(LEFT(AC149,4)="http",AC149,IF(H149="Production",set_RMSBase,set_QwilrBase)&amp;AC149),"Open")))</f>
        <v/>
      </c>
      <c r="AE149" s="27">
        <f>IF(E149="","",IFERROR(INDEX(tbl_Production[Total Expense],MATCH(E149&amp;"",tbl_Production[Job Number],0)),IFERROR(INDEX(tbl_Consulting[Total Expense],MATCH(E149&amp;"",tbl_Consulting[Job Number],0)),0)))</f>
        <v/>
      </c>
      <c r="AF149" s="27">
        <f>IF(E149="","",Z149-N(AE149))</f>
        <v/>
      </c>
      <c r="AG149" s="29">
        <f>IFERROR(AF149/Z149,"")</f>
        <v/>
      </c>
      <c r="AH149" s="25">
        <f>IF(E149="","",IFERROR(IF(INDEX(tbl_Onsite[Notes],MATCH(E149&amp;"",tbl_Onsite[Job Number],0))="","",INDEX(tbl_Onsite[Notes],MATCH(E149&amp;"",tbl_Onsite[Job Number],0))),IFERROR(IF(INDEX(tbl_Production[Notes],MATCH(E149&amp;"",tbl_Production[Job Number],0))="","",INDEX(tbl_Production[Notes],MATCH(E149&amp;"",tbl_Production[Job Number],0))),IFERROR(IF(INDEX(tbl_Consulting[Notes],MATCH(E149&amp;"",tbl_Consulting[Job Number],0))="","",INDEX(tbl_Consulting[Notes],MATCH(E149&amp;"",tbl_Consulting[Job Number],0))),""))))</f>
        <v/>
      </c>
    </row>
    <row r="150" ht="15" customHeight="1">
      <c r="A150" s="22" t="n"/>
      <c r="B150" s="23">
        <f>IF(A150="","",EOMONTH(A150,0))</f>
        <v/>
      </c>
      <c r="C150" s="24" t="n"/>
      <c r="D150" s="24" t="n"/>
      <c r="E150" s="24" t="n"/>
      <c r="F150" s="25">
        <f>IF(E150="","",IF(COUNTIF(lst_Jobs,E150&amp;"")&gt;0,"OK","CHECK"))</f>
        <v/>
      </c>
      <c r="G150" s="24" t="n"/>
      <c r="H150" s="24" t="n"/>
      <c r="I150" s="24" t="n"/>
      <c r="J150" s="24" t="n"/>
      <c r="K150" s="24" t="n"/>
      <c r="L150" s="26" t="n"/>
      <c r="M150" s="27">
        <f>IF(L150="","",IF(K150="GST 10%",ROUND(L150*set_GSTRate,2),0))</f>
        <v/>
      </c>
      <c r="N150" s="27">
        <f>IF(L150="","",L150+M150)</f>
        <v/>
      </c>
      <c r="O150" s="24" t="n"/>
      <c r="P150" s="24" t="n"/>
      <c r="Q150" s="24" t="n"/>
      <c r="R150" s="22" t="n"/>
      <c r="S150" s="22" t="n"/>
      <c r="T150" s="24" t="n"/>
      <c r="U150" s="24" t="n"/>
      <c r="V150" s="25">
        <f>IF(COUNTA(A150,D150,C150,L150)=0,"",IF(A150="","No date - sits outside every month",IF(E150="","No job number",IF(F150="CHECK","Job number is not in the Xero job list",IF(I150="","No cost centre",IF(AND(P150="Y",C150=""),"Marked posted to Xero but has no invoice number",IF(AND(L150&lt;&gt;"",K150=""),"No tax code",IF(AND(L150&lt;&gt;"",O150=""),"No revenue GL code",""))))))))</f>
        <v/>
      </c>
      <c r="W150" s="25">
        <f>IF(E150="","",IF(COUNTIF(tbl_Onsite[Job Number],E150&amp;"")&gt;0,"Onsite",IF(COUNTIF(tbl_Production[Job Number],E150&amp;"")&gt;0,"Production",IF(COUNTIF(tbl_Consulting[Job Number],E150&amp;"")&gt;0,"Consulting","not set up yet"))))</f>
        <v/>
      </c>
      <c r="X150" s="25">
        <f>IF(E150="","",IFERROR(INDEX(lst_JobName,MATCH(E150&amp;"",lst_Jobs,0)),""))</f>
        <v/>
      </c>
      <c r="Y150" s="28">
        <f>IF(E150="","",COUNTIFS(tbl_Finance[Job Number],E150&amp;"",tbl_Finance[Ex GST],"&lt;&gt;"))</f>
        <v/>
      </c>
      <c r="Z150" s="27">
        <f>IF(E150="","",SUMIFS(tbl_Finance[Ex GST],tbl_Finance[Job Number],E150&amp;""))</f>
        <v/>
      </c>
      <c r="AA150" s="27">
        <f>IF(E150="","",SUMIFS(tbl_Finance[Ex GST],tbl_Finance[Job Number],E150&amp;"",tbl_Finance[Xero Invoice No],"&lt;&gt;"))</f>
        <v/>
      </c>
      <c r="AB150" s="27">
        <f>IF(E150="","",Z150-AA150)</f>
        <v/>
      </c>
      <c r="AC150" s="25">
        <f>IF(E150="","",IFERROR(IF(INDEX(tbl_Onsite[Qwilr Quote],MATCH(E150&amp;"",tbl_Onsite[Job Number],0))="","",INDEX(tbl_Onsite[Qwilr Quote],MATCH(E150&amp;"",tbl_Onsite[Job Number],0))),IFERROR(IF(IF(INDEX(tbl_Production[Current RMS No],MATCH(E150&amp;"",tbl_Production[Job Number],0))="",INDEX(tbl_Production[Qwilr Quote],MATCH(E150&amp;"",tbl_Production[Job Number],0)),INDEX(tbl_Production[Current RMS No],MATCH(E150&amp;"",tbl_Production[Job Number],0)))="","",IF(INDEX(tbl_Production[Current RMS No],MATCH(E150&amp;"",tbl_Production[Job Number],0))="",INDEX(tbl_Production[Qwilr Quote],MATCH(E150&amp;"",tbl_Production[Job Number],0)),INDEX(tbl_Production[Current RMS No],MATCH(E150&amp;"",tbl_Production[Job Number],0)))),IFERROR(IF(INDEX(tbl_Consulting[Qwilr Quote],MATCH(E150&amp;"",tbl_Consulting[Job Number],0))="","",INDEX(tbl_Consulting[Qwilr Quote],MATCH(E150&amp;"",tbl_Consulting[Job Number],0))),""))))</f>
        <v/>
      </c>
      <c r="AD150" s="25">
        <f>IF(AC150="","",IF(AND(LEFT(AC150,4)&lt;&gt;"http",IF(H150="Production",set_RMSBase,set_QwilrBase)=""),"",HYPERLINK(IF(LEFT(AC150,4)="http",AC150,IF(H150="Production",set_RMSBase,set_QwilrBase)&amp;AC150),"Open")))</f>
        <v/>
      </c>
      <c r="AE150" s="27">
        <f>IF(E150="","",IFERROR(INDEX(tbl_Production[Total Expense],MATCH(E150&amp;"",tbl_Production[Job Number],0)),IFERROR(INDEX(tbl_Consulting[Total Expense],MATCH(E150&amp;"",tbl_Consulting[Job Number],0)),0)))</f>
        <v/>
      </c>
      <c r="AF150" s="27">
        <f>IF(E150="","",Z150-N(AE150))</f>
        <v/>
      </c>
      <c r="AG150" s="29">
        <f>IFERROR(AF150/Z150,"")</f>
        <v/>
      </c>
      <c r="AH150" s="25">
        <f>IF(E150="","",IFERROR(IF(INDEX(tbl_Onsite[Notes],MATCH(E150&amp;"",tbl_Onsite[Job Number],0))="","",INDEX(tbl_Onsite[Notes],MATCH(E150&amp;"",tbl_Onsite[Job Number],0))),IFERROR(IF(INDEX(tbl_Production[Notes],MATCH(E150&amp;"",tbl_Production[Job Number],0))="","",INDEX(tbl_Production[Notes],MATCH(E150&amp;"",tbl_Production[Job Number],0))),IFERROR(IF(INDEX(tbl_Consulting[Notes],MATCH(E150&amp;"",tbl_Consulting[Job Number],0))="","",INDEX(tbl_Consulting[Notes],MATCH(E150&amp;"",tbl_Consulting[Job Number],0))),""))))</f>
        <v/>
      </c>
    </row>
    <row r="151" ht="15" customHeight="1">
      <c r="A151" s="22" t="n"/>
      <c r="B151" s="23">
        <f>IF(A151="","",EOMONTH(A151,0))</f>
        <v/>
      </c>
      <c r="C151" s="24" t="n"/>
      <c r="D151" s="24" t="n"/>
      <c r="E151" s="24" t="n"/>
      <c r="F151" s="25">
        <f>IF(E151="","",IF(COUNTIF(lst_Jobs,E151&amp;"")&gt;0,"OK","CHECK"))</f>
        <v/>
      </c>
      <c r="G151" s="24" t="n"/>
      <c r="H151" s="24" t="n"/>
      <c r="I151" s="24" t="n"/>
      <c r="J151" s="24" t="n"/>
      <c r="K151" s="24" t="n"/>
      <c r="L151" s="26" t="n"/>
      <c r="M151" s="27">
        <f>IF(L151="","",IF(K151="GST 10%",ROUND(L151*set_GSTRate,2),0))</f>
        <v/>
      </c>
      <c r="N151" s="27">
        <f>IF(L151="","",L151+M151)</f>
        <v/>
      </c>
      <c r="O151" s="24" t="n"/>
      <c r="P151" s="24" t="n"/>
      <c r="Q151" s="24" t="n"/>
      <c r="R151" s="22" t="n"/>
      <c r="S151" s="22" t="n"/>
      <c r="T151" s="24" t="n"/>
      <c r="U151" s="24" t="n"/>
      <c r="V151" s="25">
        <f>IF(COUNTA(A151,D151,C151,L151)=0,"",IF(A151="","No date - sits outside every month",IF(E151="","No job number",IF(F151="CHECK","Job number is not in the Xero job list",IF(I151="","No cost centre",IF(AND(P151="Y",C151=""),"Marked posted to Xero but has no invoice number",IF(AND(L151&lt;&gt;"",K151=""),"No tax code",IF(AND(L151&lt;&gt;"",O151=""),"No revenue GL code",""))))))))</f>
        <v/>
      </c>
      <c r="W151" s="25">
        <f>IF(E151="","",IF(COUNTIF(tbl_Onsite[Job Number],E151&amp;"")&gt;0,"Onsite",IF(COUNTIF(tbl_Production[Job Number],E151&amp;"")&gt;0,"Production",IF(COUNTIF(tbl_Consulting[Job Number],E151&amp;"")&gt;0,"Consulting","not set up yet"))))</f>
        <v/>
      </c>
      <c r="X151" s="25">
        <f>IF(E151="","",IFERROR(INDEX(lst_JobName,MATCH(E151&amp;"",lst_Jobs,0)),""))</f>
        <v/>
      </c>
      <c r="Y151" s="28">
        <f>IF(E151="","",COUNTIFS(tbl_Finance[Job Number],E151&amp;"",tbl_Finance[Ex GST],"&lt;&gt;"))</f>
        <v/>
      </c>
      <c r="Z151" s="27">
        <f>IF(E151="","",SUMIFS(tbl_Finance[Ex GST],tbl_Finance[Job Number],E151&amp;""))</f>
        <v/>
      </c>
      <c r="AA151" s="27">
        <f>IF(E151="","",SUMIFS(tbl_Finance[Ex GST],tbl_Finance[Job Number],E151&amp;"",tbl_Finance[Xero Invoice No],"&lt;&gt;"))</f>
        <v/>
      </c>
      <c r="AB151" s="27">
        <f>IF(E151="","",Z151-AA151)</f>
        <v/>
      </c>
      <c r="AC151" s="25">
        <f>IF(E151="","",IFERROR(IF(INDEX(tbl_Onsite[Qwilr Quote],MATCH(E151&amp;"",tbl_Onsite[Job Number],0))="","",INDEX(tbl_Onsite[Qwilr Quote],MATCH(E151&amp;"",tbl_Onsite[Job Number],0))),IFERROR(IF(IF(INDEX(tbl_Production[Current RMS No],MATCH(E151&amp;"",tbl_Production[Job Number],0))="",INDEX(tbl_Production[Qwilr Quote],MATCH(E151&amp;"",tbl_Production[Job Number],0)),INDEX(tbl_Production[Current RMS No],MATCH(E151&amp;"",tbl_Production[Job Number],0)))="","",IF(INDEX(tbl_Production[Current RMS No],MATCH(E151&amp;"",tbl_Production[Job Number],0))="",INDEX(tbl_Production[Qwilr Quote],MATCH(E151&amp;"",tbl_Production[Job Number],0)),INDEX(tbl_Production[Current RMS No],MATCH(E151&amp;"",tbl_Production[Job Number],0)))),IFERROR(IF(INDEX(tbl_Consulting[Qwilr Quote],MATCH(E151&amp;"",tbl_Consulting[Job Number],0))="","",INDEX(tbl_Consulting[Qwilr Quote],MATCH(E151&amp;"",tbl_Consulting[Job Number],0))),""))))</f>
        <v/>
      </c>
      <c r="AD151" s="25">
        <f>IF(AC151="","",IF(AND(LEFT(AC151,4)&lt;&gt;"http",IF(H151="Production",set_RMSBase,set_QwilrBase)=""),"",HYPERLINK(IF(LEFT(AC151,4)="http",AC151,IF(H151="Production",set_RMSBase,set_QwilrBase)&amp;AC151),"Open")))</f>
        <v/>
      </c>
      <c r="AE151" s="27">
        <f>IF(E151="","",IFERROR(INDEX(tbl_Production[Total Expense],MATCH(E151&amp;"",tbl_Production[Job Number],0)),IFERROR(INDEX(tbl_Consulting[Total Expense],MATCH(E151&amp;"",tbl_Consulting[Job Number],0)),0)))</f>
        <v/>
      </c>
      <c r="AF151" s="27">
        <f>IF(E151="","",Z151-N(AE151))</f>
        <v/>
      </c>
      <c r="AG151" s="29">
        <f>IFERROR(AF151/Z151,"")</f>
        <v/>
      </c>
      <c r="AH151" s="25">
        <f>IF(E151="","",IFERROR(IF(INDEX(tbl_Onsite[Notes],MATCH(E151&amp;"",tbl_Onsite[Job Number],0))="","",INDEX(tbl_Onsite[Notes],MATCH(E151&amp;"",tbl_Onsite[Job Number],0))),IFERROR(IF(INDEX(tbl_Production[Notes],MATCH(E151&amp;"",tbl_Production[Job Number],0))="","",INDEX(tbl_Production[Notes],MATCH(E151&amp;"",tbl_Production[Job Number],0))),IFERROR(IF(INDEX(tbl_Consulting[Notes],MATCH(E151&amp;"",tbl_Consulting[Job Number],0))="","",INDEX(tbl_Consulting[Notes],MATCH(E151&amp;"",tbl_Consulting[Job Number],0))),""))))</f>
        <v/>
      </c>
    </row>
    <row r="152" ht="15" customHeight="1">
      <c r="A152" s="22" t="n"/>
      <c r="B152" s="23">
        <f>IF(A152="","",EOMONTH(A152,0))</f>
        <v/>
      </c>
      <c r="C152" s="24" t="n"/>
      <c r="D152" s="24" t="n"/>
      <c r="E152" s="24" t="n"/>
      <c r="F152" s="25">
        <f>IF(E152="","",IF(COUNTIF(lst_Jobs,E152&amp;"")&gt;0,"OK","CHECK"))</f>
        <v/>
      </c>
      <c r="G152" s="24" t="n"/>
      <c r="H152" s="24" t="n"/>
      <c r="I152" s="24" t="n"/>
      <c r="J152" s="24" t="n"/>
      <c r="K152" s="24" t="n"/>
      <c r="L152" s="26" t="n"/>
      <c r="M152" s="27">
        <f>IF(L152="","",IF(K152="GST 10%",ROUND(L152*set_GSTRate,2),0))</f>
        <v/>
      </c>
      <c r="N152" s="27">
        <f>IF(L152="","",L152+M152)</f>
        <v/>
      </c>
      <c r="O152" s="24" t="n"/>
      <c r="P152" s="24" t="n"/>
      <c r="Q152" s="24" t="n"/>
      <c r="R152" s="22" t="n"/>
      <c r="S152" s="22" t="n"/>
      <c r="T152" s="24" t="n"/>
      <c r="U152" s="24" t="n"/>
      <c r="V152" s="25">
        <f>IF(COUNTA(A152,D152,C152,L152)=0,"",IF(A152="","No date - sits outside every month",IF(E152="","No job number",IF(F152="CHECK","Job number is not in the Xero job list",IF(I152="","No cost centre",IF(AND(P152="Y",C152=""),"Marked posted to Xero but has no invoice number",IF(AND(L152&lt;&gt;"",K152=""),"No tax code",IF(AND(L152&lt;&gt;"",O152=""),"No revenue GL code",""))))))))</f>
        <v/>
      </c>
      <c r="W152" s="25">
        <f>IF(E152="","",IF(COUNTIF(tbl_Onsite[Job Number],E152&amp;"")&gt;0,"Onsite",IF(COUNTIF(tbl_Production[Job Number],E152&amp;"")&gt;0,"Production",IF(COUNTIF(tbl_Consulting[Job Number],E152&amp;"")&gt;0,"Consulting","not set up yet"))))</f>
        <v/>
      </c>
      <c r="X152" s="25">
        <f>IF(E152="","",IFERROR(INDEX(lst_JobName,MATCH(E152&amp;"",lst_Jobs,0)),""))</f>
        <v/>
      </c>
      <c r="Y152" s="28">
        <f>IF(E152="","",COUNTIFS(tbl_Finance[Job Number],E152&amp;"",tbl_Finance[Ex GST],"&lt;&gt;"))</f>
        <v/>
      </c>
      <c r="Z152" s="27">
        <f>IF(E152="","",SUMIFS(tbl_Finance[Ex GST],tbl_Finance[Job Number],E152&amp;""))</f>
        <v/>
      </c>
      <c r="AA152" s="27">
        <f>IF(E152="","",SUMIFS(tbl_Finance[Ex GST],tbl_Finance[Job Number],E152&amp;"",tbl_Finance[Xero Invoice No],"&lt;&gt;"))</f>
        <v/>
      </c>
      <c r="AB152" s="27">
        <f>IF(E152="","",Z152-AA152)</f>
        <v/>
      </c>
      <c r="AC152" s="25">
        <f>IF(E152="","",IFERROR(IF(INDEX(tbl_Onsite[Qwilr Quote],MATCH(E152&amp;"",tbl_Onsite[Job Number],0))="","",INDEX(tbl_Onsite[Qwilr Quote],MATCH(E152&amp;"",tbl_Onsite[Job Number],0))),IFERROR(IF(IF(INDEX(tbl_Production[Current RMS No],MATCH(E152&amp;"",tbl_Production[Job Number],0))="",INDEX(tbl_Production[Qwilr Quote],MATCH(E152&amp;"",tbl_Production[Job Number],0)),INDEX(tbl_Production[Current RMS No],MATCH(E152&amp;"",tbl_Production[Job Number],0)))="","",IF(INDEX(tbl_Production[Current RMS No],MATCH(E152&amp;"",tbl_Production[Job Number],0))="",INDEX(tbl_Production[Qwilr Quote],MATCH(E152&amp;"",tbl_Production[Job Number],0)),INDEX(tbl_Production[Current RMS No],MATCH(E152&amp;"",tbl_Production[Job Number],0)))),IFERROR(IF(INDEX(tbl_Consulting[Qwilr Quote],MATCH(E152&amp;"",tbl_Consulting[Job Number],0))="","",INDEX(tbl_Consulting[Qwilr Quote],MATCH(E152&amp;"",tbl_Consulting[Job Number],0))),""))))</f>
        <v/>
      </c>
      <c r="AD152" s="25">
        <f>IF(AC152="","",IF(AND(LEFT(AC152,4)&lt;&gt;"http",IF(H152="Production",set_RMSBase,set_QwilrBase)=""),"",HYPERLINK(IF(LEFT(AC152,4)="http",AC152,IF(H152="Production",set_RMSBase,set_QwilrBase)&amp;AC152),"Open")))</f>
        <v/>
      </c>
      <c r="AE152" s="27">
        <f>IF(E152="","",IFERROR(INDEX(tbl_Production[Total Expense],MATCH(E152&amp;"",tbl_Production[Job Number],0)),IFERROR(INDEX(tbl_Consulting[Total Expense],MATCH(E152&amp;"",tbl_Consulting[Job Number],0)),0)))</f>
        <v/>
      </c>
      <c r="AF152" s="27">
        <f>IF(E152="","",Z152-N(AE152))</f>
        <v/>
      </c>
      <c r="AG152" s="29">
        <f>IFERROR(AF152/Z152,"")</f>
        <v/>
      </c>
      <c r="AH152" s="25">
        <f>IF(E152="","",IFERROR(IF(INDEX(tbl_Onsite[Notes],MATCH(E152&amp;"",tbl_Onsite[Job Number],0))="","",INDEX(tbl_Onsite[Notes],MATCH(E152&amp;"",tbl_Onsite[Job Number],0))),IFERROR(IF(INDEX(tbl_Production[Notes],MATCH(E152&amp;"",tbl_Production[Job Number],0))="","",INDEX(tbl_Production[Notes],MATCH(E152&amp;"",tbl_Production[Job Number],0))),IFERROR(IF(INDEX(tbl_Consulting[Notes],MATCH(E152&amp;"",tbl_Consulting[Job Number],0))="","",INDEX(tbl_Consulting[Notes],MATCH(E152&amp;"",tbl_Consulting[Job Number],0))),""))))</f>
        <v/>
      </c>
    </row>
    <row r="153" ht="15" customHeight="1">
      <c r="A153" s="22" t="n"/>
      <c r="B153" s="23">
        <f>IF(A153="","",EOMONTH(A153,0))</f>
        <v/>
      </c>
      <c r="C153" s="24" t="n"/>
      <c r="D153" s="24" t="n"/>
      <c r="E153" s="24" t="n"/>
      <c r="F153" s="25">
        <f>IF(E153="","",IF(COUNTIF(lst_Jobs,E153&amp;"")&gt;0,"OK","CHECK"))</f>
        <v/>
      </c>
      <c r="G153" s="24" t="n"/>
      <c r="H153" s="24" t="n"/>
      <c r="I153" s="24" t="n"/>
      <c r="J153" s="24" t="n"/>
      <c r="K153" s="24" t="n"/>
      <c r="L153" s="26" t="n"/>
      <c r="M153" s="27">
        <f>IF(L153="","",IF(K153="GST 10%",ROUND(L153*set_GSTRate,2),0))</f>
        <v/>
      </c>
      <c r="N153" s="27">
        <f>IF(L153="","",L153+M153)</f>
        <v/>
      </c>
      <c r="O153" s="24" t="n"/>
      <c r="P153" s="24" t="n"/>
      <c r="Q153" s="24" t="n"/>
      <c r="R153" s="22" t="n"/>
      <c r="S153" s="22" t="n"/>
      <c r="T153" s="24" t="n"/>
      <c r="U153" s="24" t="n"/>
      <c r="V153" s="25">
        <f>IF(COUNTA(A153,D153,C153,L153)=0,"",IF(A153="","No date - sits outside every month",IF(E153="","No job number",IF(F153="CHECK","Job number is not in the Xero job list",IF(I153="","No cost centre",IF(AND(P153="Y",C153=""),"Marked posted to Xero but has no invoice number",IF(AND(L153&lt;&gt;"",K153=""),"No tax code",IF(AND(L153&lt;&gt;"",O153=""),"No revenue GL code",""))))))))</f>
        <v/>
      </c>
      <c r="W153" s="25">
        <f>IF(E153="","",IF(COUNTIF(tbl_Onsite[Job Number],E153&amp;"")&gt;0,"Onsite",IF(COUNTIF(tbl_Production[Job Number],E153&amp;"")&gt;0,"Production",IF(COUNTIF(tbl_Consulting[Job Number],E153&amp;"")&gt;0,"Consulting","not set up yet"))))</f>
        <v/>
      </c>
      <c r="X153" s="25">
        <f>IF(E153="","",IFERROR(INDEX(lst_JobName,MATCH(E153&amp;"",lst_Jobs,0)),""))</f>
        <v/>
      </c>
      <c r="Y153" s="28">
        <f>IF(E153="","",COUNTIFS(tbl_Finance[Job Number],E153&amp;"",tbl_Finance[Ex GST],"&lt;&gt;"))</f>
        <v/>
      </c>
      <c r="Z153" s="27">
        <f>IF(E153="","",SUMIFS(tbl_Finance[Ex GST],tbl_Finance[Job Number],E153&amp;""))</f>
        <v/>
      </c>
      <c r="AA153" s="27">
        <f>IF(E153="","",SUMIFS(tbl_Finance[Ex GST],tbl_Finance[Job Number],E153&amp;"",tbl_Finance[Xero Invoice No],"&lt;&gt;"))</f>
        <v/>
      </c>
      <c r="AB153" s="27">
        <f>IF(E153="","",Z153-AA153)</f>
        <v/>
      </c>
      <c r="AC153" s="25">
        <f>IF(E153="","",IFERROR(IF(INDEX(tbl_Onsite[Qwilr Quote],MATCH(E153&amp;"",tbl_Onsite[Job Number],0))="","",INDEX(tbl_Onsite[Qwilr Quote],MATCH(E153&amp;"",tbl_Onsite[Job Number],0))),IFERROR(IF(IF(INDEX(tbl_Production[Current RMS No],MATCH(E153&amp;"",tbl_Production[Job Number],0))="",INDEX(tbl_Production[Qwilr Quote],MATCH(E153&amp;"",tbl_Production[Job Number],0)),INDEX(tbl_Production[Current RMS No],MATCH(E153&amp;"",tbl_Production[Job Number],0)))="","",IF(INDEX(tbl_Production[Current RMS No],MATCH(E153&amp;"",tbl_Production[Job Number],0))="",INDEX(tbl_Production[Qwilr Quote],MATCH(E153&amp;"",tbl_Production[Job Number],0)),INDEX(tbl_Production[Current RMS No],MATCH(E153&amp;"",tbl_Production[Job Number],0)))),IFERROR(IF(INDEX(tbl_Consulting[Qwilr Quote],MATCH(E153&amp;"",tbl_Consulting[Job Number],0))="","",INDEX(tbl_Consulting[Qwilr Quote],MATCH(E153&amp;"",tbl_Consulting[Job Number],0))),""))))</f>
        <v/>
      </c>
      <c r="AD153" s="25">
        <f>IF(AC153="","",IF(AND(LEFT(AC153,4)&lt;&gt;"http",IF(H153="Production",set_RMSBase,set_QwilrBase)=""),"",HYPERLINK(IF(LEFT(AC153,4)="http",AC153,IF(H153="Production",set_RMSBase,set_QwilrBase)&amp;AC153),"Open")))</f>
        <v/>
      </c>
      <c r="AE153" s="27">
        <f>IF(E153="","",IFERROR(INDEX(tbl_Production[Total Expense],MATCH(E153&amp;"",tbl_Production[Job Number],0)),IFERROR(INDEX(tbl_Consulting[Total Expense],MATCH(E153&amp;"",tbl_Consulting[Job Number],0)),0)))</f>
        <v/>
      </c>
      <c r="AF153" s="27">
        <f>IF(E153="","",Z153-N(AE153))</f>
        <v/>
      </c>
      <c r="AG153" s="29">
        <f>IFERROR(AF153/Z153,"")</f>
        <v/>
      </c>
      <c r="AH153" s="25">
        <f>IF(E153="","",IFERROR(IF(INDEX(tbl_Onsite[Notes],MATCH(E153&amp;"",tbl_Onsite[Job Number],0))="","",INDEX(tbl_Onsite[Notes],MATCH(E153&amp;"",tbl_Onsite[Job Number],0))),IFERROR(IF(INDEX(tbl_Production[Notes],MATCH(E153&amp;"",tbl_Production[Job Number],0))="","",INDEX(tbl_Production[Notes],MATCH(E153&amp;"",tbl_Production[Job Number],0))),IFERROR(IF(INDEX(tbl_Consulting[Notes],MATCH(E153&amp;"",tbl_Consulting[Job Number],0))="","",INDEX(tbl_Consulting[Notes],MATCH(E153&amp;"",tbl_Consulting[Job Number],0))),""))))</f>
        <v/>
      </c>
    </row>
    <row r="154" ht="15" customHeight="1">
      <c r="A154" s="22" t="n"/>
      <c r="B154" s="23">
        <f>IF(A154="","",EOMONTH(A154,0))</f>
        <v/>
      </c>
      <c r="C154" s="24" t="n"/>
      <c r="D154" s="24" t="n"/>
      <c r="E154" s="24" t="n"/>
      <c r="F154" s="25">
        <f>IF(E154="","",IF(COUNTIF(lst_Jobs,E154&amp;"")&gt;0,"OK","CHECK"))</f>
        <v/>
      </c>
      <c r="G154" s="24" t="n"/>
      <c r="H154" s="24" t="n"/>
      <c r="I154" s="24" t="n"/>
      <c r="J154" s="24" t="n"/>
      <c r="K154" s="24" t="n"/>
      <c r="L154" s="26" t="n"/>
      <c r="M154" s="27">
        <f>IF(L154="","",IF(K154="GST 10%",ROUND(L154*set_GSTRate,2),0))</f>
        <v/>
      </c>
      <c r="N154" s="27">
        <f>IF(L154="","",L154+M154)</f>
        <v/>
      </c>
      <c r="O154" s="24" t="n"/>
      <c r="P154" s="24" t="n"/>
      <c r="Q154" s="24" t="n"/>
      <c r="R154" s="22" t="n"/>
      <c r="S154" s="22" t="n"/>
      <c r="T154" s="24" t="n"/>
      <c r="U154" s="24" t="n"/>
      <c r="V154" s="25">
        <f>IF(COUNTA(A154,D154,C154,L154)=0,"",IF(A154="","No date - sits outside every month",IF(E154="","No job number",IF(F154="CHECK","Job number is not in the Xero job list",IF(I154="","No cost centre",IF(AND(P154="Y",C154=""),"Marked posted to Xero but has no invoice number",IF(AND(L154&lt;&gt;"",K154=""),"No tax code",IF(AND(L154&lt;&gt;"",O154=""),"No revenue GL code",""))))))))</f>
        <v/>
      </c>
      <c r="W154" s="25">
        <f>IF(E154="","",IF(COUNTIF(tbl_Onsite[Job Number],E154&amp;"")&gt;0,"Onsite",IF(COUNTIF(tbl_Production[Job Number],E154&amp;"")&gt;0,"Production",IF(COUNTIF(tbl_Consulting[Job Number],E154&amp;"")&gt;0,"Consulting","not set up yet"))))</f>
        <v/>
      </c>
      <c r="X154" s="25">
        <f>IF(E154="","",IFERROR(INDEX(lst_JobName,MATCH(E154&amp;"",lst_Jobs,0)),""))</f>
        <v/>
      </c>
      <c r="Y154" s="28">
        <f>IF(E154="","",COUNTIFS(tbl_Finance[Job Number],E154&amp;"",tbl_Finance[Ex GST],"&lt;&gt;"))</f>
        <v/>
      </c>
      <c r="Z154" s="27">
        <f>IF(E154="","",SUMIFS(tbl_Finance[Ex GST],tbl_Finance[Job Number],E154&amp;""))</f>
        <v/>
      </c>
      <c r="AA154" s="27">
        <f>IF(E154="","",SUMIFS(tbl_Finance[Ex GST],tbl_Finance[Job Number],E154&amp;"",tbl_Finance[Xero Invoice No],"&lt;&gt;"))</f>
        <v/>
      </c>
      <c r="AB154" s="27">
        <f>IF(E154="","",Z154-AA154)</f>
        <v/>
      </c>
      <c r="AC154" s="25">
        <f>IF(E154="","",IFERROR(IF(INDEX(tbl_Onsite[Qwilr Quote],MATCH(E154&amp;"",tbl_Onsite[Job Number],0))="","",INDEX(tbl_Onsite[Qwilr Quote],MATCH(E154&amp;"",tbl_Onsite[Job Number],0))),IFERROR(IF(IF(INDEX(tbl_Production[Current RMS No],MATCH(E154&amp;"",tbl_Production[Job Number],0))="",INDEX(tbl_Production[Qwilr Quote],MATCH(E154&amp;"",tbl_Production[Job Number],0)),INDEX(tbl_Production[Current RMS No],MATCH(E154&amp;"",tbl_Production[Job Number],0)))="","",IF(INDEX(tbl_Production[Current RMS No],MATCH(E154&amp;"",tbl_Production[Job Number],0))="",INDEX(tbl_Production[Qwilr Quote],MATCH(E154&amp;"",tbl_Production[Job Number],0)),INDEX(tbl_Production[Current RMS No],MATCH(E154&amp;"",tbl_Production[Job Number],0)))),IFERROR(IF(INDEX(tbl_Consulting[Qwilr Quote],MATCH(E154&amp;"",tbl_Consulting[Job Number],0))="","",INDEX(tbl_Consulting[Qwilr Quote],MATCH(E154&amp;"",tbl_Consulting[Job Number],0))),""))))</f>
        <v/>
      </c>
      <c r="AD154" s="25">
        <f>IF(AC154="","",IF(AND(LEFT(AC154,4)&lt;&gt;"http",IF(H154="Production",set_RMSBase,set_QwilrBase)=""),"",HYPERLINK(IF(LEFT(AC154,4)="http",AC154,IF(H154="Production",set_RMSBase,set_QwilrBase)&amp;AC154),"Open")))</f>
        <v/>
      </c>
      <c r="AE154" s="27">
        <f>IF(E154="","",IFERROR(INDEX(tbl_Production[Total Expense],MATCH(E154&amp;"",tbl_Production[Job Number],0)),IFERROR(INDEX(tbl_Consulting[Total Expense],MATCH(E154&amp;"",tbl_Consulting[Job Number],0)),0)))</f>
        <v/>
      </c>
      <c r="AF154" s="27">
        <f>IF(E154="","",Z154-N(AE154))</f>
        <v/>
      </c>
      <c r="AG154" s="29">
        <f>IFERROR(AF154/Z154,"")</f>
        <v/>
      </c>
      <c r="AH154" s="25">
        <f>IF(E154="","",IFERROR(IF(INDEX(tbl_Onsite[Notes],MATCH(E154&amp;"",tbl_Onsite[Job Number],0))="","",INDEX(tbl_Onsite[Notes],MATCH(E154&amp;"",tbl_Onsite[Job Number],0))),IFERROR(IF(INDEX(tbl_Production[Notes],MATCH(E154&amp;"",tbl_Production[Job Number],0))="","",INDEX(tbl_Production[Notes],MATCH(E154&amp;"",tbl_Production[Job Number],0))),IFERROR(IF(INDEX(tbl_Consulting[Notes],MATCH(E154&amp;"",tbl_Consulting[Job Number],0))="","",INDEX(tbl_Consulting[Notes],MATCH(E154&amp;"",tbl_Consulting[Job Number],0))),""))))</f>
        <v/>
      </c>
    </row>
    <row r="155" ht="15" customHeight="1">
      <c r="A155" s="22" t="n"/>
      <c r="B155" s="23">
        <f>IF(A155="","",EOMONTH(A155,0))</f>
        <v/>
      </c>
      <c r="C155" s="24" t="n"/>
      <c r="D155" s="24" t="n"/>
      <c r="E155" s="24" t="n"/>
      <c r="F155" s="25">
        <f>IF(E155="","",IF(COUNTIF(lst_Jobs,E155&amp;"")&gt;0,"OK","CHECK"))</f>
        <v/>
      </c>
      <c r="G155" s="24" t="n"/>
      <c r="H155" s="24" t="n"/>
      <c r="I155" s="24" t="n"/>
      <c r="J155" s="24" t="n"/>
      <c r="K155" s="24" t="n"/>
      <c r="L155" s="26" t="n"/>
      <c r="M155" s="27">
        <f>IF(L155="","",IF(K155="GST 10%",ROUND(L155*set_GSTRate,2),0))</f>
        <v/>
      </c>
      <c r="N155" s="27">
        <f>IF(L155="","",L155+M155)</f>
        <v/>
      </c>
      <c r="O155" s="24" t="n"/>
      <c r="P155" s="24" t="n"/>
      <c r="Q155" s="24" t="n"/>
      <c r="R155" s="22" t="n"/>
      <c r="S155" s="22" t="n"/>
      <c r="T155" s="24" t="n"/>
      <c r="U155" s="24" t="n"/>
      <c r="V155" s="25">
        <f>IF(COUNTA(A155,D155,C155,L155)=0,"",IF(A155="","No date - sits outside every month",IF(E155="","No job number",IF(F155="CHECK","Job number is not in the Xero job list",IF(I155="","No cost centre",IF(AND(P155="Y",C155=""),"Marked posted to Xero but has no invoice number",IF(AND(L155&lt;&gt;"",K155=""),"No tax code",IF(AND(L155&lt;&gt;"",O155=""),"No revenue GL code",""))))))))</f>
        <v/>
      </c>
      <c r="W155" s="25">
        <f>IF(E155="","",IF(COUNTIF(tbl_Onsite[Job Number],E155&amp;"")&gt;0,"Onsite",IF(COUNTIF(tbl_Production[Job Number],E155&amp;"")&gt;0,"Production",IF(COUNTIF(tbl_Consulting[Job Number],E155&amp;"")&gt;0,"Consulting","not set up yet"))))</f>
        <v/>
      </c>
      <c r="X155" s="25">
        <f>IF(E155="","",IFERROR(INDEX(lst_JobName,MATCH(E155&amp;"",lst_Jobs,0)),""))</f>
        <v/>
      </c>
      <c r="Y155" s="28">
        <f>IF(E155="","",COUNTIFS(tbl_Finance[Job Number],E155&amp;"",tbl_Finance[Ex GST],"&lt;&gt;"))</f>
        <v/>
      </c>
      <c r="Z155" s="27">
        <f>IF(E155="","",SUMIFS(tbl_Finance[Ex GST],tbl_Finance[Job Number],E155&amp;""))</f>
        <v/>
      </c>
      <c r="AA155" s="27">
        <f>IF(E155="","",SUMIFS(tbl_Finance[Ex GST],tbl_Finance[Job Number],E155&amp;"",tbl_Finance[Xero Invoice No],"&lt;&gt;"))</f>
        <v/>
      </c>
      <c r="AB155" s="27">
        <f>IF(E155="","",Z155-AA155)</f>
        <v/>
      </c>
      <c r="AC155" s="25">
        <f>IF(E155="","",IFERROR(IF(INDEX(tbl_Onsite[Qwilr Quote],MATCH(E155&amp;"",tbl_Onsite[Job Number],0))="","",INDEX(tbl_Onsite[Qwilr Quote],MATCH(E155&amp;"",tbl_Onsite[Job Number],0))),IFERROR(IF(IF(INDEX(tbl_Production[Current RMS No],MATCH(E155&amp;"",tbl_Production[Job Number],0))="",INDEX(tbl_Production[Qwilr Quote],MATCH(E155&amp;"",tbl_Production[Job Number],0)),INDEX(tbl_Production[Current RMS No],MATCH(E155&amp;"",tbl_Production[Job Number],0)))="","",IF(INDEX(tbl_Production[Current RMS No],MATCH(E155&amp;"",tbl_Production[Job Number],0))="",INDEX(tbl_Production[Qwilr Quote],MATCH(E155&amp;"",tbl_Production[Job Number],0)),INDEX(tbl_Production[Current RMS No],MATCH(E155&amp;"",tbl_Production[Job Number],0)))),IFERROR(IF(INDEX(tbl_Consulting[Qwilr Quote],MATCH(E155&amp;"",tbl_Consulting[Job Number],0))="","",INDEX(tbl_Consulting[Qwilr Quote],MATCH(E155&amp;"",tbl_Consulting[Job Number],0))),""))))</f>
        <v/>
      </c>
      <c r="AD155" s="25">
        <f>IF(AC155="","",IF(AND(LEFT(AC155,4)&lt;&gt;"http",IF(H155="Production",set_RMSBase,set_QwilrBase)=""),"",HYPERLINK(IF(LEFT(AC155,4)="http",AC155,IF(H155="Production",set_RMSBase,set_QwilrBase)&amp;AC155),"Open")))</f>
        <v/>
      </c>
      <c r="AE155" s="27">
        <f>IF(E155="","",IFERROR(INDEX(tbl_Production[Total Expense],MATCH(E155&amp;"",tbl_Production[Job Number],0)),IFERROR(INDEX(tbl_Consulting[Total Expense],MATCH(E155&amp;"",tbl_Consulting[Job Number],0)),0)))</f>
        <v/>
      </c>
      <c r="AF155" s="27">
        <f>IF(E155="","",Z155-N(AE155))</f>
        <v/>
      </c>
      <c r="AG155" s="29">
        <f>IFERROR(AF155/Z155,"")</f>
        <v/>
      </c>
      <c r="AH155" s="25">
        <f>IF(E155="","",IFERROR(IF(INDEX(tbl_Onsite[Notes],MATCH(E155&amp;"",tbl_Onsite[Job Number],0))="","",INDEX(tbl_Onsite[Notes],MATCH(E155&amp;"",tbl_Onsite[Job Number],0))),IFERROR(IF(INDEX(tbl_Production[Notes],MATCH(E155&amp;"",tbl_Production[Job Number],0))="","",INDEX(tbl_Production[Notes],MATCH(E155&amp;"",tbl_Production[Job Number],0))),IFERROR(IF(INDEX(tbl_Consulting[Notes],MATCH(E155&amp;"",tbl_Consulting[Job Number],0))="","",INDEX(tbl_Consulting[Notes],MATCH(E155&amp;"",tbl_Consulting[Job Number],0))),""))))</f>
        <v/>
      </c>
    </row>
    <row r="156" ht="15" customHeight="1">
      <c r="A156" s="22" t="n"/>
      <c r="B156" s="23">
        <f>IF(A156="","",EOMONTH(A156,0))</f>
        <v/>
      </c>
      <c r="C156" s="24" t="n"/>
      <c r="D156" s="24" t="n"/>
      <c r="E156" s="24" t="n"/>
      <c r="F156" s="25">
        <f>IF(E156="","",IF(COUNTIF(lst_Jobs,E156&amp;"")&gt;0,"OK","CHECK"))</f>
        <v/>
      </c>
      <c r="G156" s="24" t="n"/>
      <c r="H156" s="24" t="n"/>
      <c r="I156" s="24" t="n"/>
      <c r="J156" s="24" t="n"/>
      <c r="K156" s="24" t="n"/>
      <c r="L156" s="26" t="n"/>
      <c r="M156" s="27">
        <f>IF(L156="","",IF(K156="GST 10%",ROUND(L156*set_GSTRate,2),0))</f>
        <v/>
      </c>
      <c r="N156" s="27">
        <f>IF(L156="","",L156+M156)</f>
        <v/>
      </c>
      <c r="O156" s="24" t="n"/>
      <c r="P156" s="24" t="n"/>
      <c r="Q156" s="24" t="n"/>
      <c r="R156" s="22" t="n"/>
      <c r="S156" s="22" t="n"/>
      <c r="T156" s="24" t="n"/>
      <c r="U156" s="24" t="n"/>
      <c r="V156" s="25">
        <f>IF(COUNTA(A156,D156,C156,L156)=0,"",IF(A156="","No date - sits outside every month",IF(E156="","No job number",IF(F156="CHECK","Job number is not in the Xero job list",IF(I156="","No cost centre",IF(AND(P156="Y",C156=""),"Marked posted to Xero but has no invoice number",IF(AND(L156&lt;&gt;"",K156=""),"No tax code",IF(AND(L156&lt;&gt;"",O156=""),"No revenue GL code",""))))))))</f>
        <v/>
      </c>
      <c r="W156" s="25">
        <f>IF(E156="","",IF(COUNTIF(tbl_Onsite[Job Number],E156&amp;"")&gt;0,"Onsite",IF(COUNTIF(tbl_Production[Job Number],E156&amp;"")&gt;0,"Production",IF(COUNTIF(tbl_Consulting[Job Number],E156&amp;"")&gt;0,"Consulting","not set up yet"))))</f>
        <v/>
      </c>
      <c r="X156" s="25">
        <f>IF(E156="","",IFERROR(INDEX(lst_JobName,MATCH(E156&amp;"",lst_Jobs,0)),""))</f>
        <v/>
      </c>
      <c r="Y156" s="28">
        <f>IF(E156="","",COUNTIFS(tbl_Finance[Job Number],E156&amp;"",tbl_Finance[Ex GST],"&lt;&gt;"))</f>
        <v/>
      </c>
      <c r="Z156" s="27">
        <f>IF(E156="","",SUMIFS(tbl_Finance[Ex GST],tbl_Finance[Job Number],E156&amp;""))</f>
        <v/>
      </c>
      <c r="AA156" s="27">
        <f>IF(E156="","",SUMIFS(tbl_Finance[Ex GST],tbl_Finance[Job Number],E156&amp;"",tbl_Finance[Xero Invoice No],"&lt;&gt;"))</f>
        <v/>
      </c>
      <c r="AB156" s="27">
        <f>IF(E156="","",Z156-AA156)</f>
        <v/>
      </c>
      <c r="AC156" s="25">
        <f>IF(E156="","",IFERROR(IF(INDEX(tbl_Onsite[Qwilr Quote],MATCH(E156&amp;"",tbl_Onsite[Job Number],0))="","",INDEX(tbl_Onsite[Qwilr Quote],MATCH(E156&amp;"",tbl_Onsite[Job Number],0))),IFERROR(IF(IF(INDEX(tbl_Production[Current RMS No],MATCH(E156&amp;"",tbl_Production[Job Number],0))="",INDEX(tbl_Production[Qwilr Quote],MATCH(E156&amp;"",tbl_Production[Job Number],0)),INDEX(tbl_Production[Current RMS No],MATCH(E156&amp;"",tbl_Production[Job Number],0)))="","",IF(INDEX(tbl_Production[Current RMS No],MATCH(E156&amp;"",tbl_Production[Job Number],0))="",INDEX(tbl_Production[Qwilr Quote],MATCH(E156&amp;"",tbl_Production[Job Number],0)),INDEX(tbl_Production[Current RMS No],MATCH(E156&amp;"",tbl_Production[Job Number],0)))),IFERROR(IF(INDEX(tbl_Consulting[Qwilr Quote],MATCH(E156&amp;"",tbl_Consulting[Job Number],0))="","",INDEX(tbl_Consulting[Qwilr Quote],MATCH(E156&amp;"",tbl_Consulting[Job Number],0))),""))))</f>
        <v/>
      </c>
      <c r="AD156" s="25">
        <f>IF(AC156="","",IF(AND(LEFT(AC156,4)&lt;&gt;"http",IF(H156="Production",set_RMSBase,set_QwilrBase)=""),"",HYPERLINK(IF(LEFT(AC156,4)="http",AC156,IF(H156="Production",set_RMSBase,set_QwilrBase)&amp;AC156),"Open")))</f>
        <v/>
      </c>
      <c r="AE156" s="27">
        <f>IF(E156="","",IFERROR(INDEX(tbl_Production[Total Expense],MATCH(E156&amp;"",tbl_Production[Job Number],0)),IFERROR(INDEX(tbl_Consulting[Total Expense],MATCH(E156&amp;"",tbl_Consulting[Job Number],0)),0)))</f>
        <v/>
      </c>
      <c r="AF156" s="27">
        <f>IF(E156="","",Z156-N(AE156))</f>
        <v/>
      </c>
      <c r="AG156" s="29">
        <f>IFERROR(AF156/Z156,"")</f>
        <v/>
      </c>
      <c r="AH156" s="25">
        <f>IF(E156="","",IFERROR(IF(INDEX(tbl_Onsite[Notes],MATCH(E156&amp;"",tbl_Onsite[Job Number],0))="","",INDEX(tbl_Onsite[Notes],MATCH(E156&amp;"",tbl_Onsite[Job Number],0))),IFERROR(IF(INDEX(tbl_Production[Notes],MATCH(E156&amp;"",tbl_Production[Job Number],0))="","",INDEX(tbl_Production[Notes],MATCH(E156&amp;"",tbl_Production[Job Number],0))),IFERROR(IF(INDEX(tbl_Consulting[Notes],MATCH(E156&amp;"",tbl_Consulting[Job Number],0))="","",INDEX(tbl_Consulting[Notes],MATCH(E156&amp;"",tbl_Consulting[Job Number],0))),""))))</f>
        <v/>
      </c>
    </row>
    <row r="157" ht="15" customHeight="1">
      <c r="A157" s="22" t="n"/>
      <c r="B157" s="23">
        <f>IF(A157="","",EOMONTH(A157,0))</f>
        <v/>
      </c>
      <c r="C157" s="24" t="n"/>
      <c r="D157" s="24" t="n"/>
      <c r="E157" s="24" t="n"/>
      <c r="F157" s="25">
        <f>IF(E157="","",IF(COUNTIF(lst_Jobs,E157&amp;"")&gt;0,"OK","CHECK"))</f>
        <v/>
      </c>
      <c r="G157" s="24" t="n"/>
      <c r="H157" s="24" t="n"/>
      <c r="I157" s="24" t="n"/>
      <c r="J157" s="24" t="n"/>
      <c r="K157" s="24" t="n"/>
      <c r="L157" s="26" t="n"/>
      <c r="M157" s="27">
        <f>IF(L157="","",IF(K157="GST 10%",ROUND(L157*set_GSTRate,2),0))</f>
        <v/>
      </c>
      <c r="N157" s="27">
        <f>IF(L157="","",L157+M157)</f>
        <v/>
      </c>
      <c r="O157" s="24" t="n"/>
      <c r="P157" s="24" t="n"/>
      <c r="Q157" s="24" t="n"/>
      <c r="R157" s="22" t="n"/>
      <c r="S157" s="22" t="n"/>
      <c r="T157" s="24" t="n"/>
      <c r="U157" s="24" t="n"/>
      <c r="V157" s="25">
        <f>IF(COUNTA(A157,D157,C157,L157)=0,"",IF(A157="","No date - sits outside every month",IF(E157="","No job number",IF(F157="CHECK","Job number is not in the Xero job list",IF(I157="","No cost centre",IF(AND(P157="Y",C157=""),"Marked posted to Xero but has no invoice number",IF(AND(L157&lt;&gt;"",K157=""),"No tax code",IF(AND(L157&lt;&gt;"",O157=""),"No revenue GL code",""))))))))</f>
        <v/>
      </c>
      <c r="W157" s="25">
        <f>IF(E157="","",IF(COUNTIF(tbl_Onsite[Job Number],E157&amp;"")&gt;0,"Onsite",IF(COUNTIF(tbl_Production[Job Number],E157&amp;"")&gt;0,"Production",IF(COUNTIF(tbl_Consulting[Job Number],E157&amp;"")&gt;0,"Consulting","not set up yet"))))</f>
        <v/>
      </c>
      <c r="X157" s="25">
        <f>IF(E157="","",IFERROR(INDEX(lst_JobName,MATCH(E157&amp;"",lst_Jobs,0)),""))</f>
        <v/>
      </c>
      <c r="Y157" s="28">
        <f>IF(E157="","",COUNTIFS(tbl_Finance[Job Number],E157&amp;"",tbl_Finance[Ex GST],"&lt;&gt;"))</f>
        <v/>
      </c>
      <c r="Z157" s="27">
        <f>IF(E157="","",SUMIFS(tbl_Finance[Ex GST],tbl_Finance[Job Number],E157&amp;""))</f>
        <v/>
      </c>
      <c r="AA157" s="27">
        <f>IF(E157="","",SUMIFS(tbl_Finance[Ex GST],tbl_Finance[Job Number],E157&amp;"",tbl_Finance[Xero Invoice No],"&lt;&gt;"))</f>
        <v/>
      </c>
      <c r="AB157" s="27">
        <f>IF(E157="","",Z157-AA157)</f>
        <v/>
      </c>
      <c r="AC157" s="25">
        <f>IF(E157="","",IFERROR(IF(INDEX(tbl_Onsite[Qwilr Quote],MATCH(E157&amp;"",tbl_Onsite[Job Number],0))="","",INDEX(tbl_Onsite[Qwilr Quote],MATCH(E157&amp;"",tbl_Onsite[Job Number],0))),IFERROR(IF(IF(INDEX(tbl_Production[Current RMS No],MATCH(E157&amp;"",tbl_Production[Job Number],0))="",INDEX(tbl_Production[Qwilr Quote],MATCH(E157&amp;"",tbl_Production[Job Number],0)),INDEX(tbl_Production[Current RMS No],MATCH(E157&amp;"",tbl_Production[Job Number],0)))="","",IF(INDEX(tbl_Production[Current RMS No],MATCH(E157&amp;"",tbl_Production[Job Number],0))="",INDEX(tbl_Production[Qwilr Quote],MATCH(E157&amp;"",tbl_Production[Job Number],0)),INDEX(tbl_Production[Current RMS No],MATCH(E157&amp;"",tbl_Production[Job Number],0)))),IFERROR(IF(INDEX(tbl_Consulting[Qwilr Quote],MATCH(E157&amp;"",tbl_Consulting[Job Number],0))="","",INDEX(tbl_Consulting[Qwilr Quote],MATCH(E157&amp;"",tbl_Consulting[Job Number],0))),""))))</f>
        <v/>
      </c>
      <c r="AD157" s="25">
        <f>IF(AC157="","",IF(AND(LEFT(AC157,4)&lt;&gt;"http",IF(H157="Production",set_RMSBase,set_QwilrBase)=""),"",HYPERLINK(IF(LEFT(AC157,4)="http",AC157,IF(H157="Production",set_RMSBase,set_QwilrBase)&amp;AC157),"Open")))</f>
        <v/>
      </c>
      <c r="AE157" s="27">
        <f>IF(E157="","",IFERROR(INDEX(tbl_Production[Total Expense],MATCH(E157&amp;"",tbl_Production[Job Number],0)),IFERROR(INDEX(tbl_Consulting[Total Expense],MATCH(E157&amp;"",tbl_Consulting[Job Number],0)),0)))</f>
        <v/>
      </c>
      <c r="AF157" s="27">
        <f>IF(E157="","",Z157-N(AE157))</f>
        <v/>
      </c>
      <c r="AG157" s="29">
        <f>IFERROR(AF157/Z157,"")</f>
        <v/>
      </c>
      <c r="AH157" s="25">
        <f>IF(E157="","",IFERROR(IF(INDEX(tbl_Onsite[Notes],MATCH(E157&amp;"",tbl_Onsite[Job Number],0))="","",INDEX(tbl_Onsite[Notes],MATCH(E157&amp;"",tbl_Onsite[Job Number],0))),IFERROR(IF(INDEX(tbl_Production[Notes],MATCH(E157&amp;"",tbl_Production[Job Number],0))="","",INDEX(tbl_Production[Notes],MATCH(E157&amp;"",tbl_Production[Job Number],0))),IFERROR(IF(INDEX(tbl_Consulting[Notes],MATCH(E157&amp;"",tbl_Consulting[Job Number],0))="","",INDEX(tbl_Consulting[Notes],MATCH(E157&amp;"",tbl_Consulting[Job Number],0))),""))))</f>
        <v/>
      </c>
    </row>
    <row r="158" ht="15" customHeight="1">
      <c r="A158" s="22" t="n"/>
      <c r="B158" s="23">
        <f>IF(A158="","",EOMONTH(A158,0))</f>
        <v/>
      </c>
      <c r="C158" s="24" t="n"/>
      <c r="D158" s="24" t="n"/>
      <c r="E158" s="24" t="n"/>
      <c r="F158" s="25">
        <f>IF(E158="","",IF(COUNTIF(lst_Jobs,E158&amp;"")&gt;0,"OK","CHECK"))</f>
        <v/>
      </c>
      <c r="G158" s="24" t="n"/>
      <c r="H158" s="24" t="n"/>
      <c r="I158" s="24" t="n"/>
      <c r="J158" s="24" t="n"/>
      <c r="K158" s="24" t="n"/>
      <c r="L158" s="26" t="n"/>
      <c r="M158" s="27">
        <f>IF(L158="","",IF(K158="GST 10%",ROUND(L158*set_GSTRate,2),0))</f>
        <v/>
      </c>
      <c r="N158" s="27">
        <f>IF(L158="","",L158+M158)</f>
        <v/>
      </c>
      <c r="O158" s="24" t="n"/>
      <c r="P158" s="24" t="n"/>
      <c r="Q158" s="24" t="n"/>
      <c r="R158" s="22" t="n"/>
      <c r="S158" s="22" t="n"/>
      <c r="T158" s="24" t="n"/>
      <c r="U158" s="24" t="n"/>
      <c r="V158" s="25">
        <f>IF(COUNTA(A158,D158,C158,L158)=0,"",IF(A158="","No date - sits outside every month",IF(E158="","No job number",IF(F158="CHECK","Job number is not in the Xero job list",IF(I158="","No cost centre",IF(AND(P158="Y",C158=""),"Marked posted to Xero but has no invoice number",IF(AND(L158&lt;&gt;"",K158=""),"No tax code",IF(AND(L158&lt;&gt;"",O158=""),"No revenue GL code",""))))))))</f>
        <v/>
      </c>
      <c r="W158" s="25">
        <f>IF(E158="","",IF(COUNTIF(tbl_Onsite[Job Number],E158&amp;"")&gt;0,"Onsite",IF(COUNTIF(tbl_Production[Job Number],E158&amp;"")&gt;0,"Production",IF(COUNTIF(tbl_Consulting[Job Number],E158&amp;"")&gt;0,"Consulting","not set up yet"))))</f>
        <v/>
      </c>
      <c r="X158" s="25">
        <f>IF(E158="","",IFERROR(INDEX(lst_JobName,MATCH(E158&amp;"",lst_Jobs,0)),""))</f>
        <v/>
      </c>
      <c r="Y158" s="28">
        <f>IF(E158="","",COUNTIFS(tbl_Finance[Job Number],E158&amp;"",tbl_Finance[Ex GST],"&lt;&gt;"))</f>
        <v/>
      </c>
      <c r="Z158" s="27">
        <f>IF(E158="","",SUMIFS(tbl_Finance[Ex GST],tbl_Finance[Job Number],E158&amp;""))</f>
        <v/>
      </c>
      <c r="AA158" s="27">
        <f>IF(E158="","",SUMIFS(tbl_Finance[Ex GST],tbl_Finance[Job Number],E158&amp;"",tbl_Finance[Xero Invoice No],"&lt;&gt;"))</f>
        <v/>
      </c>
      <c r="AB158" s="27">
        <f>IF(E158="","",Z158-AA158)</f>
        <v/>
      </c>
      <c r="AC158" s="25">
        <f>IF(E158="","",IFERROR(IF(INDEX(tbl_Onsite[Qwilr Quote],MATCH(E158&amp;"",tbl_Onsite[Job Number],0))="","",INDEX(tbl_Onsite[Qwilr Quote],MATCH(E158&amp;"",tbl_Onsite[Job Number],0))),IFERROR(IF(IF(INDEX(tbl_Production[Current RMS No],MATCH(E158&amp;"",tbl_Production[Job Number],0))="",INDEX(tbl_Production[Qwilr Quote],MATCH(E158&amp;"",tbl_Production[Job Number],0)),INDEX(tbl_Production[Current RMS No],MATCH(E158&amp;"",tbl_Production[Job Number],0)))="","",IF(INDEX(tbl_Production[Current RMS No],MATCH(E158&amp;"",tbl_Production[Job Number],0))="",INDEX(tbl_Production[Qwilr Quote],MATCH(E158&amp;"",tbl_Production[Job Number],0)),INDEX(tbl_Production[Current RMS No],MATCH(E158&amp;"",tbl_Production[Job Number],0)))),IFERROR(IF(INDEX(tbl_Consulting[Qwilr Quote],MATCH(E158&amp;"",tbl_Consulting[Job Number],0))="","",INDEX(tbl_Consulting[Qwilr Quote],MATCH(E158&amp;"",tbl_Consulting[Job Number],0))),""))))</f>
        <v/>
      </c>
      <c r="AD158" s="25">
        <f>IF(AC158="","",IF(AND(LEFT(AC158,4)&lt;&gt;"http",IF(H158="Production",set_RMSBase,set_QwilrBase)=""),"",HYPERLINK(IF(LEFT(AC158,4)="http",AC158,IF(H158="Production",set_RMSBase,set_QwilrBase)&amp;AC158),"Open")))</f>
        <v/>
      </c>
      <c r="AE158" s="27">
        <f>IF(E158="","",IFERROR(INDEX(tbl_Production[Total Expense],MATCH(E158&amp;"",tbl_Production[Job Number],0)),IFERROR(INDEX(tbl_Consulting[Total Expense],MATCH(E158&amp;"",tbl_Consulting[Job Number],0)),0)))</f>
        <v/>
      </c>
      <c r="AF158" s="27">
        <f>IF(E158="","",Z158-N(AE158))</f>
        <v/>
      </c>
      <c r="AG158" s="29">
        <f>IFERROR(AF158/Z158,"")</f>
        <v/>
      </c>
      <c r="AH158" s="25">
        <f>IF(E158="","",IFERROR(IF(INDEX(tbl_Onsite[Notes],MATCH(E158&amp;"",tbl_Onsite[Job Number],0))="","",INDEX(tbl_Onsite[Notes],MATCH(E158&amp;"",tbl_Onsite[Job Number],0))),IFERROR(IF(INDEX(tbl_Production[Notes],MATCH(E158&amp;"",tbl_Production[Job Number],0))="","",INDEX(tbl_Production[Notes],MATCH(E158&amp;"",tbl_Production[Job Number],0))),IFERROR(IF(INDEX(tbl_Consulting[Notes],MATCH(E158&amp;"",tbl_Consulting[Job Number],0))="","",INDEX(tbl_Consulting[Notes],MATCH(E158&amp;"",tbl_Consulting[Job Number],0))),""))))</f>
        <v/>
      </c>
    </row>
    <row r="159" ht="15" customHeight="1">
      <c r="A159" s="22" t="n"/>
      <c r="B159" s="23">
        <f>IF(A159="","",EOMONTH(A159,0))</f>
        <v/>
      </c>
      <c r="C159" s="24" t="n"/>
      <c r="D159" s="24" t="n"/>
      <c r="E159" s="24" t="n"/>
      <c r="F159" s="25">
        <f>IF(E159="","",IF(COUNTIF(lst_Jobs,E159&amp;"")&gt;0,"OK","CHECK"))</f>
        <v/>
      </c>
      <c r="G159" s="24" t="n"/>
      <c r="H159" s="24" t="n"/>
      <c r="I159" s="24" t="n"/>
      <c r="J159" s="24" t="n"/>
      <c r="K159" s="24" t="n"/>
      <c r="L159" s="26" t="n"/>
      <c r="M159" s="27">
        <f>IF(L159="","",IF(K159="GST 10%",ROUND(L159*set_GSTRate,2),0))</f>
        <v/>
      </c>
      <c r="N159" s="27">
        <f>IF(L159="","",L159+M159)</f>
        <v/>
      </c>
      <c r="O159" s="24" t="n"/>
      <c r="P159" s="24" t="n"/>
      <c r="Q159" s="24" t="n"/>
      <c r="R159" s="22" t="n"/>
      <c r="S159" s="22" t="n"/>
      <c r="T159" s="24" t="n"/>
      <c r="U159" s="24" t="n"/>
      <c r="V159" s="25">
        <f>IF(COUNTA(A159,D159,C159,L159)=0,"",IF(A159="","No date - sits outside every month",IF(E159="","No job number",IF(F159="CHECK","Job number is not in the Xero job list",IF(I159="","No cost centre",IF(AND(P159="Y",C159=""),"Marked posted to Xero but has no invoice number",IF(AND(L159&lt;&gt;"",K159=""),"No tax code",IF(AND(L159&lt;&gt;"",O159=""),"No revenue GL code",""))))))))</f>
        <v/>
      </c>
      <c r="W159" s="25">
        <f>IF(E159="","",IF(COUNTIF(tbl_Onsite[Job Number],E159&amp;"")&gt;0,"Onsite",IF(COUNTIF(tbl_Production[Job Number],E159&amp;"")&gt;0,"Production",IF(COUNTIF(tbl_Consulting[Job Number],E159&amp;"")&gt;0,"Consulting","not set up yet"))))</f>
        <v/>
      </c>
      <c r="X159" s="25">
        <f>IF(E159="","",IFERROR(INDEX(lst_JobName,MATCH(E159&amp;"",lst_Jobs,0)),""))</f>
        <v/>
      </c>
      <c r="Y159" s="28">
        <f>IF(E159="","",COUNTIFS(tbl_Finance[Job Number],E159&amp;"",tbl_Finance[Ex GST],"&lt;&gt;"))</f>
        <v/>
      </c>
      <c r="Z159" s="27">
        <f>IF(E159="","",SUMIFS(tbl_Finance[Ex GST],tbl_Finance[Job Number],E159&amp;""))</f>
        <v/>
      </c>
      <c r="AA159" s="27">
        <f>IF(E159="","",SUMIFS(tbl_Finance[Ex GST],tbl_Finance[Job Number],E159&amp;"",tbl_Finance[Xero Invoice No],"&lt;&gt;"))</f>
        <v/>
      </c>
      <c r="AB159" s="27">
        <f>IF(E159="","",Z159-AA159)</f>
        <v/>
      </c>
      <c r="AC159" s="25">
        <f>IF(E159="","",IFERROR(IF(INDEX(tbl_Onsite[Qwilr Quote],MATCH(E159&amp;"",tbl_Onsite[Job Number],0))="","",INDEX(tbl_Onsite[Qwilr Quote],MATCH(E159&amp;"",tbl_Onsite[Job Number],0))),IFERROR(IF(IF(INDEX(tbl_Production[Current RMS No],MATCH(E159&amp;"",tbl_Production[Job Number],0))="",INDEX(tbl_Production[Qwilr Quote],MATCH(E159&amp;"",tbl_Production[Job Number],0)),INDEX(tbl_Production[Current RMS No],MATCH(E159&amp;"",tbl_Production[Job Number],0)))="","",IF(INDEX(tbl_Production[Current RMS No],MATCH(E159&amp;"",tbl_Production[Job Number],0))="",INDEX(tbl_Production[Qwilr Quote],MATCH(E159&amp;"",tbl_Production[Job Number],0)),INDEX(tbl_Production[Current RMS No],MATCH(E159&amp;"",tbl_Production[Job Number],0)))),IFERROR(IF(INDEX(tbl_Consulting[Qwilr Quote],MATCH(E159&amp;"",tbl_Consulting[Job Number],0))="","",INDEX(tbl_Consulting[Qwilr Quote],MATCH(E159&amp;"",tbl_Consulting[Job Number],0))),""))))</f>
        <v/>
      </c>
      <c r="AD159" s="25">
        <f>IF(AC159="","",IF(AND(LEFT(AC159,4)&lt;&gt;"http",IF(H159="Production",set_RMSBase,set_QwilrBase)=""),"",HYPERLINK(IF(LEFT(AC159,4)="http",AC159,IF(H159="Production",set_RMSBase,set_QwilrBase)&amp;AC159),"Open")))</f>
        <v/>
      </c>
      <c r="AE159" s="27">
        <f>IF(E159="","",IFERROR(INDEX(tbl_Production[Total Expense],MATCH(E159&amp;"",tbl_Production[Job Number],0)),IFERROR(INDEX(tbl_Consulting[Total Expense],MATCH(E159&amp;"",tbl_Consulting[Job Number],0)),0)))</f>
        <v/>
      </c>
      <c r="AF159" s="27">
        <f>IF(E159="","",Z159-N(AE159))</f>
        <v/>
      </c>
      <c r="AG159" s="29">
        <f>IFERROR(AF159/Z159,"")</f>
        <v/>
      </c>
      <c r="AH159" s="25">
        <f>IF(E159="","",IFERROR(IF(INDEX(tbl_Onsite[Notes],MATCH(E159&amp;"",tbl_Onsite[Job Number],0))="","",INDEX(tbl_Onsite[Notes],MATCH(E159&amp;"",tbl_Onsite[Job Number],0))),IFERROR(IF(INDEX(tbl_Production[Notes],MATCH(E159&amp;"",tbl_Production[Job Number],0))="","",INDEX(tbl_Production[Notes],MATCH(E159&amp;"",tbl_Production[Job Number],0))),IFERROR(IF(INDEX(tbl_Consulting[Notes],MATCH(E159&amp;"",tbl_Consulting[Job Number],0))="","",INDEX(tbl_Consulting[Notes],MATCH(E159&amp;"",tbl_Consulting[Job Number],0))),""))))</f>
        <v/>
      </c>
    </row>
    <row r="160" ht="15" customHeight="1">
      <c r="A160" s="22" t="n"/>
      <c r="B160" s="23">
        <f>IF(A160="","",EOMONTH(A160,0))</f>
        <v/>
      </c>
      <c r="C160" s="24" t="n"/>
      <c r="D160" s="24" t="n"/>
      <c r="E160" s="24" t="n"/>
      <c r="F160" s="25">
        <f>IF(E160="","",IF(COUNTIF(lst_Jobs,E160&amp;"")&gt;0,"OK","CHECK"))</f>
        <v/>
      </c>
      <c r="G160" s="24" t="n"/>
      <c r="H160" s="24" t="n"/>
      <c r="I160" s="24" t="n"/>
      <c r="J160" s="24" t="n"/>
      <c r="K160" s="24" t="n"/>
      <c r="L160" s="26" t="n"/>
      <c r="M160" s="27">
        <f>IF(L160="","",IF(K160="GST 10%",ROUND(L160*set_GSTRate,2),0))</f>
        <v/>
      </c>
      <c r="N160" s="27">
        <f>IF(L160="","",L160+M160)</f>
        <v/>
      </c>
      <c r="O160" s="24" t="n"/>
      <c r="P160" s="24" t="n"/>
      <c r="Q160" s="24" t="n"/>
      <c r="R160" s="22" t="n"/>
      <c r="S160" s="22" t="n"/>
      <c r="T160" s="24" t="n"/>
      <c r="U160" s="24" t="n"/>
      <c r="V160" s="25">
        <f>IF(COUNTA(A160,D160,C160,L160)=0,"",IF(A160="","No date - sits outside every month",IF(E160="","No job number",IF(F160="CHECK","Job number is not in the Xero job list",IF(I160="","No cost centre",IF(AND(P160="Y",C160=""),"Marked posted to Xero but has no invoice number",IF(AND(L160&lt;&gt;"",K160=""),"No tax code",IF(AND(L160&lt;&gt;"",O160=""),"No revenue GL code",""))))))))</f>
        <v/>
      </c>
      <c r="W160" s="25">
        <f>IF(E160="","",IF(COUNTIF(tbl_Onsite[Job Number],E160&amp;"")&gt;0,"Onsite",IF(COUNTIF(tbl_Production[Job Number],E160&amp;"")&gt;0,"Production",IF(COUNTIF(tbl_Consulting[Job Number],E160&amp;"")&gt;0,"Consulting","not set up yet"))))</f>
        <v/>
      </c>
      <c r="X160" s="25">
        <f>IF(E160="","",IFERROR(INDEX(lst_JobName,MATCH(E160&amp;"",lst_Jobs,0)),""))</f>
        <v/>
      </c>
      <c r="Y160" s="28">
        <f>IF(E160="","",COUNTIFS(tbl_Finance[Job Number],E160&amp;"",tbl_Finance[Ex GST],"&lt;&gt;"))</f>
        <v/>
      </c>
      <c r="Z160" s="27">
        <f>IF(E160="","",SUMIFS(tbl_Finance[Ex GST],tbl_Finance[Job Number],E160&amp;""))</f>
        <v/>
      </c>
      <c r="AA160" s="27">
        <f>IF(E160="","",SUMIFS(tbl_Finance[Ex GST],tbl_Finance[Job Number],E160&amp;"",tbl_Finance[Xero Invoice No],"&lt;&gt;"))</f>
        <v/>
      </c>
      <c r="AB160" s="27">
        <f>IF(E160="","",Z160-AA160)</f>
        <v/>
      </c>
      <c r="AC160" s="25">
        <f>IF(E160="","",IFERROR(IF(INDEX(tbl_Onsite[Qwilr Quote],MATCH(E160&amp;"",tbl_Onsite[Job Number],0))="","",INDEX(tbl_Onsite[Qwilr Quote],MATCH(E160&amp;"",tbl_Onsite[Job Number],0))),IFERROR(IF(IF(INDEX(tbl_Production[Current RMS No],MATCH(E160&amp;"",tbl_Production[Job Number],0))="",INDEX(tbl_Production[Qwilr Quote],MATCH(E160&amp;"",tbl_Production[Job Number],0)),INDEX(tbl_Production[Current RMS No],MATCH(E160&amp;"",tbl_Production[Job Number],0)))="","",IF(INDEX(tbl_Production[Current RMS No],MATCH(E160&amp;"",tbl_Production[Job Number],0))="",INDEX(tbl_Production[Qwilr Quote],MATCH(E160&amp;"",tbl_Production[Job Number],0)),INDEX(tbl_Production[Current RMS No],MATCH(E160&amp;"",tbl_Production[Job Number],0)))),IFERROR(IF(INDEX(tbl_Consulting[Qwilr Quote],MATCH(E160&amp;"",tbl_Consulting[Job Number],0))="","",INDEX(tbl_Consulting[Qwilr Quote],MATCH(E160&amp;"",tbl_Consulting[Job Number],0))),""))))</f>
        <v/>
      </c>
      <c r="AD160" s="25">
        <f>IF(AC160="","",IF(AND(LEFT(AC160,4)&lt;&gt;"http",IF(H160="Production",set_RMSBase,set_QwilrBase)=""),"",HYPERLINK(IF(LEFT(AC160,4)="http",AC160,IF(H160="Production",set_RMSBase,set_QwilrBase)&amp;AC160),"Open")))</f>
        <v/>
      </c>
      <c r="AE160" s="27">
        <f>IF(E160="","",IFERROR(INDEX(tbl_Production[Total Expense],MATCH(E160&amp;"",tbl_Production[Job Number],0)),IFERROR(INDEX(tbl_Consulting[Total Expense],MATCH(E160&amp;"",tbl_Consulting[Job Number],0)),0)))</f>
        <v/>
      </c>
      <c r="AF160" s="27">
        <f>IF(E160="","",Z160-N(AE160))</f>
        <v/>
      </c>
      <c r="AG160" s="29">
        <f>IFERROR(AF160/Z160,"")</f>
        <v/>
      </c>
      <c r="AH160" s="25">
        <f>IF(E160="","",IFERROR(IF(INDEX(tbl_Onsite[Notes],MATCH(E160&amp;"",tbl_Onsite[Job Number],0))="","",INDEX(tbl_Onsite[Notes],MATCH(E160&amp;"",tbl_Onsite[Job Number],0))),IFERROR(IF(INDEX(tbl_Production[Notes],MATCH(E160&amp;"",tbl_Production[Job Number],0))="","",INDEX(tbl_Production[Notes],MATCH(E160&amp;"",tbl_Production[Job Number],0))),IFERROR(IF(INDEX(tbl_Consulting[Notes],MATCH(E160&amp;"",tbl_Consulting[Job Number],0))="","",INDEX(tbl_Consulting[Notes],MATCH(E160&amp;"",tbl_Consulting[Job Number],0))),""))))</f>
        <v/>
      </c>
    </row>
    <row r="161" ht="15" customHeight="1">
      <c r="A161" s="22" t="n"/>
      <c r="B161" s="23">
        <f>IF(A161="","",EOMONTH(A161,0))</f>
        <v/>
      </c>
      <c r="C161" s="24" t="n"/>
      <c r="D161" s="24" t="n"/>
      <c r="E161" s="24" t="n"/>
      <c r="F161" s="25">
        <f>IF(E161="","",IF(COUNTIF(lst_Jobs,E161&amp;"")&gt;0,"OK","CHECK"))</f>
        <v/>
      </c>
      <c r="G161" s="24" t="n"/>
      <c r="H161" s="24" t="n"/>
      <c r="I161" s="24" t="n"/>
      <c r="J161" s="24" t="n"/>
      <c r="K161" s="24" t="n"/>
      <c r="L161" s="26" t="n"/>
      <c r="M161" s="27">
        <f>IF(L161="","",IF(K161="GST 10%",ROUND(L161*set_GSTRate,2),0))</f>
        <v/>
      </c>
      <c r="N161" s="27">
        <f>IF(L161="","",L161+M161)</f>
        <v/>
      </c>
      <c r="O161" s="24" t="n"/>
      <c r="P161" s="24" t="n"/>
      <c r="Q161" s="24" t="n"/>
      <c r="R161" s="22" t="n"/>
      <c r="S161" s="22" t="n"/>
      <c r="T161" s="24" t="n"/>
      <c r="U161" s="24" t="n"/>
      <c r="V161" s="25">
        <f>IF(COUNTA(A161,D161,C161,L161)=0,"",IF(A161="","No date - sits outside every month",IF(E161="","No job number",IF(F161="CHECK","Job number is not in the Xero job list",IF(I161="","No cost centre",IF(AND(P161="Y",C161=""),"Marked posted to Xero but has no invoice number",IF(AND(L161&lt;&gt;"",K161=""),"No tax code",IF(AND(L161&lt;&gt;"",O161=""),"No revenue GL code",""))))))))</f>
        <v/>
      </c>
      <c r="W161" s="25">
        <f>IF(E161="","",IF(COUNTIF(tbl_Onsite[Job Number],E161&amp;"")&gt;0,"Onsite",IF(COUNTIF(tbl_Production[Job Number],E161&amp;"")&gt;0,"Production",IF(COUNTIF(tbl_Consulting[Job Number],E161&amp;"")&gt;0,"Consulting","not set up yet"))))</f>
        <v/>
      </c>
      <c r="X161" s="25">
        <f>IF(E161="","",IFERROR(INDEX(lst_JobName,MATCH(E161&amp;"",lst_Jobs,0)),""))</f>
        <v/>
      </c>
      <c r="Y161" s="28">
        <f>IF(E161="","",COUNTIFS(tbl_Finance[Job Number],E161&amp;"",tbl_Finance[Ex GST],"&lt;&gt;"))</f>
        <v/>
      </c>
      <c r="Z161" s="27">
        <f>IF(E161="","",SUMIFS(tbl_Finance[Ex GST],tbl_Finance[Job Number],E161&amp;""))</f>
        <v/>
      </c>
      <c r="AA161" s="27">
        <f>IF(E161="","",SUMIFS(tbl_Finance[Ex GST],tbl_Finance[Job Number],E161&amp;"",tbl_Finance[Xero Invoice No],"&lt;&gt;"))</f>
        <v/>
      </c>
      <c r="AB161" s="27">
        <f>IF(E161="","",Z161-AA161)</f>
        <v/>
      </c>
      <c r="AC161" s="25">
        <f>IF(E161="","",IFERROR(IF(INDEX(tbl_Onsite[Qwilr Quote],MATCH(E161&amp;"",tbl_Onsite[Job Number],0))="","",INDEX(tbl_Onsite[Qwilr Quote],MATCH(E161&amp;"",tbl_Onsite[Job Number],0))),IFERROR(IF(IF(INDEX(tbl_Production[Current RMS No],MATCH(E161&amp;"",tbl_Production[Job Number],0))="",INDEX(tbl_Production[Qwilr Quote],MATCH(E161&amp;"",tbl_Production[Job Number],0)),INDEX(tbl_Production[Current RMS No],MATCH(E161&amp;"",tbl_Production[Job Number],0)))="","",IF(INDEX(tbl_Production[Current RMS No],MATCH(E161&amp;"",tbl_Production[Job Number],0))="",INDEX(tbl_Production[Qwilr Quote],MATCH(E161&amp;"",tbl_Production[Job Number],0)),INDEX(tbl_Production[Current RMS No],MATCH(E161&amp;"",tbl_Production[Job Number],0)))),IFERROR(IF(INDEX(tbl_Consulting[Qwilr Quote],MATCH(E161&amp;"",tbl_Consulting[Job Number],0))="","",INDEX(tbl_Consulting[Qwilr Quote],MATCH(E161&amp;"",tbl_Consulting[Job Number],0))),""))))</f>
        <v/>
      </c>
      <c r="AD161" s="25">
        <f>IF(AC161="","",IF(AND(LEFT(AC161,4)&lt;&gt;"http",IF(H161="Production",set_RMSBase,set_QwilrBase)=""),"",HYPERLINK(IF(LEFT(AC161,4)="http",AC161,IF(H161="Production",set_RMSBase,set_QwilrBase)&amp;AC161),"Open")))</f>
        <v/>
      </c>
      <c r="AE161" s="27">
        <f>IF(E161="","",IFERROR(INDEX(tbl_Production[Total Expense],MATCH(E161&amp;"",tbl_Production[Job Number],0)),IFERROR(INDEX(tbl_Consulting[Total Expense],MATCH(E161&amp;"",tbl_Consulting[Job Number],0)),0)))</f>
        <v/>
      </c>
      <c r="AF161" s="27">
        <f>IF(E161="","",Z161-N(AE161))</f>
        <v/>
      </c>
      <c r="AG161" s="29">
        <f>IFERROR(AF161/Z161,"")</f>
        <v/>
      </c>
      <c r="AH161" s="25">
        <f>IF(E161="","",IFERROR(IF(INDEX(tbl_Onsite[Notes],MATCH(E161&amp;"",tbl_Onsite[Job Number],0))="","",INDEX(tbl_Onsite[Notes],MATCH(E161&amp;"",tbl_Onsite[Job Number],0))),IFERROR(IF(INDEX(tbl_Production[Notes],MATCH(E161&amp;"",tbl_Production[Job Number],0))="","",INDEX(tbl_Production[Notes],MATCH(E161&amp;"",tbl_Production[Job Number],0))),IFERROR(IF(INDEX(tbl_Consulting[Notes],MATCH(E161&amp;"",tbl_Consulting[Job Number],0))="","",INDEX(tbl_Consulting[Notes],MATCH(E161&amp;"",tbl_Consulting[Job Number],0))),""))))</f>
        <v/>
      </c>
    </row>
    <row r="162" ht="15" customHeight="1">
      <c r="A162" s="22" t="n"/>
      <c r="B162" s="23">
        <f>IF(A162="","",EOMONTH(A162,0))</f>
        <v/>
      </c>
      <c r="C162" s="24" t="n"/>
      <c r="D162" s="24" t="n"/>
      <c r="E162" s="24" t="n"/>
      <c r="F162" s="25">
        <f>IF(E162="","",IF(COUNTIF(lst_Jobs,E162&amp;"")&gt;0,"OK","CHECK"))</f>
        <v/>
      </c>
      <c r="G162" s="24" t="n"/>
      <c r="H162" s="24" t="n"/>
      <c r="I162" s="24" t="n"/>
      <c r="J162" s="24" t="n"/>
      <c r="K162" s="24" t="n"/>
      <c r="L162" s="26" t="n"/>
      <c r="M162" s="27">
        <f>IF(L162="","",IF(K162="GST 10%",ROUND(L162*set_GSTRate,2),0))</f>
        <v/>
      </c>
      <c r="N162" s="27">
        <f>IF(L162="","",L162+M162)</f>
        <v/>
      </c>
      <c r="O162" s="24" t="n"/>
      <c r="P162" s="24" t="n"/>
      <c r="Q162" s="24" t="n"/>
      <c r="R162" s="22" t="n"/>
      <c r="S162" s="22" t="n"/>
      <c r="T162" s="24" t="n"/>
      <c r="U162" s="24" t="n"/>
      <c r="V162" s="25">
        <f>IF(COUNTA(A162,D162,C162,L162)=0,"",IF(A162="","No date - sits outside every month",IF(E162="","No job number",IF(F162="CHECK","Job number is not in the Xero job list",IF(I162="","No cost centre",IF(AND(P162="Y",C162=""),"Marked posted to Xero but has no invoice number",IF(AND(L162&lt;&gt;"",K162=""),"No tax code",IF(AND(L162&lt;&gt;"",O162=""),"No revenue GL code",""))))))))</f>
        <v/>
      </c>
      <c r="W162" s="25">
        <f>IF(E162="","",IF(COUNTIF(tbl_Onsite[Job Number],E162&amp;"")&gt;0,"Onsite",IF(COUNTIF(tbl_Production[Job Number],E162&amp;"")&gt;0,"Production",IF(COUNTIF(tbl_Consulting[Job Number],E162&amp;"")&gt;0,"Consulting","not set up yet"))))</f>
        <v/>
      </c>
      <c r="X162" s="25">
        <f>IF(E162="","",IFERROR(INDEX(lst_JobName,MATCH(E162&amp;"",lst_Jobs,0)),""))</f>
        <v/>
      </c>
      <c r="Y162" s="28">
        <f>IF(E162="","",COUNTIFS(tbl_Finance[Job Number],E162&amp;"",tbl_Finance[Ex GST],"&lt;&gt;"))</f>
        <v/>
      </c>
      <c r="Z162" s="27">
        <f>IF(E162="","",SUMIFS(tbl_Finance[Ex GST],tbl_Finance[Job Number],E162&amp;""))</f>
        <v/>
      </c>
      <c r="AA162" s="27">
        <f>IF(E162="","",SUMIFS(tbl_Finance[Ex GST],tbl_Finance[Job Number],E162&amp;"",tbl_Finance[Xero Invoice No],"&lt;&gt;"))</f>
        <v/>
      </c>
      <c r="AB162" s="27">
        <f>IF(E162="","",Z162-AA162)</f>
        <v/>
      </c>
      <c r="AC162" s="25">
        <f>IF(E162="","",IFERROR(IF(INDEX(tbl_Onsite[Qwilr Quote],MATCH(E162&amp;"",tbl_Onsite[Job Number],0))="","",INDEX(tbl_Onsite[Qwilr Quote],MATCH(E162&amp;"",tbl_Onsite[Job Number],0))),IFERROR(IF(IF(INDEX(tbl_Production[Current RMS No],MATCH(E162&amp;"",tbl_Production[Job Number],0))="",INDEX(tbl_Production[Qwilr Quote],MATCH(E162&amp;"",tbl_Production[Job Number],0)),INDEX(tbl_Production[Current RMS No],MATCH(E162&amp;"",tbl_Production[Job Number],0)))="","",IF(INDEX(tbl_Production[Current RMS No],MATCH(E162&amp;"",tbl_Production[Job Number],0))="",INDEX(tbl_Production[Qwilr Quote],MATCH(E162&amp;"",tbl_Production[Job Number],0)),INDEX(tbl_Production[Current RMS No],MATCH(E162&amp;"",tbl_Production[Job Number],0)))),IFERROR(IF(INDEX(tbl_Consulting[Qwilr Quote],MATCH(E162&amp;"",tbl_Consulting[Job Number],0))="","",INDEX(tbl_Consulting[Qwilr Quote],MATCH(E162&amp;"",tbl_Consulting[Job Number],0))),""))))</f>
        <v/>
      </c>
      <c r="AD162" s="25">
        <f>IF(AC162="","",IF(AND(LEFT(AC162,4)&lt;&gt;"http",IF(H162="Production",set_RMSBase,set_QwilrBase)=""),"",HYPERLINK(IF(LEFT(AC162,4)="http",AC162,IF(H162="Production",set_RMSBase,set_QwilrBase)&amp;AC162),"Open")))</f>
        <v/>
      </c>
      <c r="AE162" s="27">
        <f>IF(E162="","",IFERROR(INDEX(tbl_Production[Total Expense],MATCH(E162&amp;"",tbl_Production[Job Number],0)),IFERROR(INDEX(tbl_Consulting[Total Expense],MATCH(E162&amp;"",tbl_Consulting[Job Number],0)),0)))</f>
        <v/>
      </c>
      <c r="AF162" s="27">
        <f>IF(E162="","",Z162-N(AE162))</f>
        <v/>
      </c>
      <c r="AG162" s="29">
        <f>IFERROR(AF162/Z162,"")</f>
        <v/>
      </c>
      <c r="AH162" s="25">
        <f>IF(E162="","",IFERROR(IF(INDEX(tbl_Onsite[Notes],MATCH(E162&amp;"",tbl_Onsite[Job Number],0))="","",INDEX(tbl_Onsite[Notes],MATCH(E162&amp;"",tbl_Onsite[Job Number],0))),IFERROR(IF(INDEX(tbl_Production[Notes],MATCH(E162&amp;"",tbl_Production[Job Number],0))="","",INDEX(tbl_Production[Notes],MATCH(E162&amp;"",tbl_Production[Job Number],0))),IFERROR(IF(INDEX(tbl_Consulting[Notes],MATCH(E162&amp;"",tbl_Consulting[Job Number],0))="","",INDEX(tbl_Consulting[Notes],MATCH(E162&amp;"",tbl_Consulting[Job Number],0))),""))))</f>
        <v/>
      </c>
    </row>
    <row r="163" ht="15" customHeight="1">
      <c r="A163" s="22" t="n"/>
      <c r="B163" s="23">
        <f>IF(A163="","",EOMONTH(A163,0))</f>
        <v/>
      </c>
      <c r="C163" s="24" t="n"/>
      <c r="D163" s="24" t="n"/>
      <c r="E163" s="24" t="n"/>
      <c r="F163" s="25">
        <f>IF(E163="","",IF(COUNTIF(lst_Jobs,E163&amp;"")&gt;0,"OK","CHECK"))</f>
        <v/>
      </c>
      <c r="G163" s="24" t="n"/>
      <c r="H163" s="24" t="n"/>
      <c r="I163" s="24" t="n"/>
      <c r="J163" s="24" t="n"/>
      <c r="K163" s="24" t="n"/>
      <c r="L163" s="26" t="n"/>
      <c r="M163" s="27">
        <f>IF(L163="","",IF(K163="GST 10%",ROUND(L163*set_GSTRate,2),0))</f>
        <v/>
      </c>
      <c r="N163" s="27">
        <f>IF(L163="","",L163+M163)</f>
        <v/>
      </c>
      <c r="O163" s="24" t="n"/>
      <c r="P163" s="24" t="n"/>
      <c r="Q163" s="24" t="n"/>
      <c r="R163" s="22" t="n"/>
      <c r="S163" s="22" t="n"/>
      <c r="T163" s="24" t="n"/>
      <c r="U163" s="24" t="n"/>
      <c r="V163" s="25">
        <f>IF(COUNTA(A163,D163,C163,L163)=0,"",IF(A163="","No date - sits outside every month",IF(E163="","No job number",IF(F163="CHECK","Job number is not in the Xero job list",IF(I163="","No cost centre",IF(AND(P163="Y",C163=""),"Marked posted to Xero but has no invoice number",IF(AND(L163&lt;&gt;"",K163=""),"No tax code",IF(AND(L163&lt;&gt;"",O163=""),"No revenue GL code",""))))))))</f>
        <v/>
      </c>
      <c r="W163" s="25">
        <f>IF(E163="","",IF(COUNTIF(tbl_Onsite[Job Number],E163&amp;"")&gt;0,"Onsite",IF(COUNTIF(tbl_Production[Job Number],E163&amp;"")&gt;0,"Production",IF(COUNTIF(tbl_Consulting[Job Number],E163&amp;"")&gt;0,"Consulting","not set up yet"))))</f>
        <v/>
      </c>
      <c r="X163" s="25">
        <f>IF(E163="","",IFERROR(INDEX(lst_JobName,MATCH(E163&amp;"",lst_Jobs,0)),""))</f>
        <v/>
      </c>
      <c r="Y163" s="28">
        <f>IF(E163="","",COUNTIFS(tbl_Finance[Job Number],E163&amp;"",tbl_Finance[Ex GST],"&lt;&gt;"))</f>
        <v/>
      </c>
      <c r="Z163" s="27">
        <f>IF(E163="","",SUMIFS(tbl_Finance[Ex GST],tbl_Finance[Job Number],E163&amp;""))</f>
        <v/>
      </c>
      <c r="AA163" s="27">
        <f>IF(E163="","",SUMIFS(tbl_Finance[Ex GST],tbl_Finance[Job Number],E163&amp;"",tbl_Finance[Xero Invoice No],"&lt;&gt;"))</f>
        <v/>
      </c>
      <c r="AB163" s="27">
        <f>IF(E163="","",Z163-AA163)</f>
        <v/>
      </c>
      <c r="AC163" s="25">
        <f>IF(E163="","",IFERROR(IF(INDEX(tbl_Onsite[Qwilr Quote],MATCH(E163&amp;"",tbl_Onsite[Job Number],0))="","",INDEX(tbl_Onsite[Qwilr Quote],MATCH(E163&amp;"",tbl_Onsite[Job Number],0))),IFERROR(IF(IF(INDEX(tbl_Production[Current RMS No],MATCH(E163&amp;"",tbl_Production[Job Number],0))="",INDEX(tbl_Production[Qwilr Quote],MATCH(E163&amp;"",tbl_Production[Job Number],0)),INDEX(tbl_Production[Current RMS No],MATCH(E163&amp;"",tbl_Production[Job Number],0)))="","",IF(INDEX(tbl_Production[Current RMS No],MATCH(E163&amp;"",tbl_Production[Job Number],0))="",INDEX(tbl_Production[Qwilr Quote],MATCH(E163&amp;"",tbl_Production[Job Number],0)),INDEX(tbl_Production[Current RMS No],MATCH(E163&amp;"",tbl_Production[Job Number],0)))),IFERROR(IF(INDEX(tbl_Consulting[Qwilr Quote],MATCH(E163&amp;"",tbl_Consulting[Job Number],0))="","",INDEX(tbl_Consulting[Qwilr Quote],MATCH(E163&amp;"",tbl_Consulting[Job Number],0))),""))))</f>
        <v/>
      </c>
      <c r="AD163" s="25">
        <f>IF(AC163="","",IF(AND(LEFT(AC163,4)&lt;&gt;"http",IF(H163="Production",set_RMSBase,set_QwilrBase)=""),"",HYPERLINK(IF(LEFT(AC163,4)="http",AC163,IF(H163="Production",set_RMSBase,set_QwilrBase)&amp;AC163),"Open")))</f>
        <v/>
      </c>
      <c r="AE163" s="27">
        <f>IF(E163="","",IFERROR(INDEX(tbl_Production[Total Expense],MATCH(E163&amp;"",tbl_Production[Job Number],0)),IFERROR(INDEX(tbl_Consulting[Total Expense],MATCH(E163&amp;"",tbl_Consulting[Job Number],0)),0)))</f>
        <v/>
      </c>
      <c r="AF163" s="27">
        <f>IF(E163="","",Z163-N(AE163))</f>
        <v/>
      </c>
      <c r="AG163" s="29">
        <f>IFERROR(AF163/Z163,"")</f>
        <v/>
      </c>
      <c r="AH163" s="25">
        <f>IF(E163="","",IFERROR(IF(INDEX(tbl_Onsite[Notes],MATCH(E163&amp;"",tbl_Onsite[Job Number],0))="","",INDEX(tbl_Onsite[Notes],MATCH(E163&amp;"",tbl_Onsite[Job Number],0))),IFERROR(IF(INDEX(tbl_Production[Notes],MATCH(E163&amp;"",tbl_Production[Job Number],0))="","",INDEX(tbl_Production[Notes],MATCH(E163&amp;"",tbl_Production[Job Number],0))),IFERROR(IF(INDEX(tbl_Consulting[Notes],MATCH(E163&amp;"",tbl_Consulting[Job Number],0))="","",INDEX(tbl_Consulting[Notes],MATCH(E163&amp;"",tbl_Consulting[Job Number],0))),""))))</f>
        <v/>
      </c>
    </row>
    <row r="164" ht="15" customHeight="1">
      <c r="A164" s="22" t="n"/>
      <c r="B164" s="23">
        <f>IF(A164="","",EOMONTH(A164,0))</f>
        <v/>
      </c>
      <c r="C164" s="24" t="n"/>
      <c r="D164" s="24" t="n"/>
      <c r="E164" s="24" t="n"/>
      <c r="F164" s="25">
        <f>IF(E164="","",IF(COUNTIF(lst_Jobs,E164&amp;"")&gt;0,"OK","CHECK"))</f>
        <v/>
      </c>
      <c r="G164" s="24" t="n"/>
      <c r="H164" s="24" t="n"/>
      <c r="I164" s="24" t="n"/>
      <c r="J164" s="24" t="n"/>
      <c r="K164" s="24" t="n"/>
      <c r="L164" s="26" t="n"/>
      <c r="M164" s="27">
        <f>IF(L164="","",IF(K164="GST 10%",ROUND(L164*set_GSTRate,2),0))</f>
        <v/>
      </c>
      <c r="N164" s="27">
        <f>IF(L164="","",L164+M164)</f>
        <v/>
      </c>
      <c r="O164" s="24" t="n"/>
      <c r="P164" s="24" t="n"/>
      <c r="Q164" s="24" t="n"/>
      <c r="R164" s="22" t="n"/>
      <c r="S164" s="22" t="n"/>
      <c r="T164" s="24" t="n"/>
      <c r="U164" s="24" t="n"/>
      <c r="V164" s="25">
        <f>IF(COUNTA(A164,D164,C164,L164)=0,"",IF(A164="","No date - sits outside every month",IF(E164="","No job number",IF(F164="CHECK","Job number is not in the Xero job list",IF(I164="","No cost centre",IF(AND(P164="Y",C164=""),"Marked posted to Xero but has no invoice number",IF(AND(L164&lt;&gt;"",K164=""),"No tax code",IF(AND(L164&lt;&gt;"",O164=""),"No revenue GL code",""))))))))</f>
        <v/>
      </c>
      <c r="W164" s="25">
        <f>IF(E164="","",IF(COUNTIF(tbl_Onsite[Job Number],E164&amp;"")&gt;0,"Onsite",IF(COUNTIF(tbl_Production[Job Number],E164&amp;"")&gt;0,"Production",IF(COUNTIF(tbl_Consulting[Job Number],E164&amp;"")&gt;0,"Consulting","not set up yet"))))</f>
        <v/>
      </c>
      <c r="X164" s="25">
        <f>IF(E164="","",IFERROR(INDEX(lst_JobName,MATCH(E164&amp;"",lst_Jobs,0)),""))</f>
        <v/>
      </c>
      <c r="Y164" s="28">
        <f>IF(E164="","",COUNTIFS(tbl_Finance[Job Number],E164&amp;"",tbl_Finance[Ex GST],"&lt;&gt;"))</f>
        <v/>
      </c>
      <c r="Z164" s="27">
        <f>IF(E164="","",SUMIFS(tbl_Finance[Ex GST],tbl_Finance[Job Number],E164&amp;""))</f>
        <v/>
      </c>
      <c r="AA164" s="27">
        <f>IF(E164="","",SUMIFS(tbl_Finance[Ex GST],tbl_Finance[Job Number],E164&amp;"",tbl_Finance[Xero Invoice No],"&lt;&gt;"))</f>
        <v/>
      </c>
      <c r="AB164" s="27">
        <f>IF(E164="","",Z164-AA164)</f>
        <v/>
      </c>
      <c r="AC164" s="25">
        <f>IF(E164="","",IFERROR(IF(INDEX(tbl_Onsite[Qwilr Quote],MATCH(E164&amp;"",tbl_Onsite[Job Number],0))="","",INDEX(tbl_Onsite[Qwilr Quote],MATCH(E164&amp;"",tbl_Onsite[Job Number],0))),IFERROR(IF(IF(INDEX(tbl_Production[Current RMS No],MATCH(E164&amp;"",tbl_Production[Job Number],0))="",INDEX(tbl_Production[Qwilr Quote],MATCH(E164&amp;"",tbl_Production[Job Number],0)),INDEX(tbl_Production[Current RMS No],MATCH(E164&amp;"",tbl_Production[Job Number],0)))="","",IF(INDEX(tbl_Production[Current RMS No],MATCH(E164&amp;"",tbl_Production[Job Number],0))="",INDEX(tbl_Production[Qwilr Quote],MATCH(E164&amp;"",tbl_Production[Job Number],0)),INDEX(tbl_Production[Current RMS No],MATCH(E164&amp;"",tbl_Production[Job Number],0)))),IFERROR(IF(INDEX(tbl_Consulting[Qwilr Quote],MATCH(E164&amp;"",tbl_Consulting[Job Number],0))="","",INDEX(tbl_Consulting[Qwilr Quote],MATCH(E164&amp;"",tbl_Consulting[Job Number],0))),""))))</f>
        <v/>
      </c>
      <c r="AD164" s="25">
        <f>IF(AC164="","",IF(AND(LEFT(AC164,4)&lt;&gt;"http",IF(H164="Production",set_RMSBase,set_QwilrBase)=""),"",HYPERLINK(IF(LEFT(AC164,4)="http",AC164,IF(H164="Production",set_RMSBase,set_QwilrBase)&amp;AC164),"Open")))</f>
        <v/>
      </c>
      <c r="AE164" s="27">
        <f>IF(E164="","",IFERROR(INDEX(tbl_Production[Total Expense],MATCH(E164&amp;"",tbl_Production[Job Number],0)),IFERROR(INDEX(tbl_Consulting[Total Expense],MATCH(E164&amp;"",tbl_Consulting[Job Number],0)),0)))</f>
        <v/>
      </c>
      <c r="AF164" s="27">
        <f>IF(E164="","",Z164-N(AE164))</f>
        <v/>
      </c>
      <c r="AG164" s="29">
        <f>IFERROR(AF164/Z164,"")</f>
        <v/>
      </c>
      <c r="AH164" s="25">
        <f>IF(E164="","",IFERROR(IF(INDEX(tbl_Onsite[Notes],MATCH(E164&amp;"",tbl_Onsite[Job Number],0))="","",INDEX(tbl_Onsite[Notes],MATCH(E164&amp;"",tbl_Onsite[Job Number],0))),IFERROR(IF(INDEX(tbl_Production[Notes],MATCH(E164&amp;"",tbl_Production[Job Number],0))="","",INDEX(tbl_Production[Notes],MATCH(E164&amp;"",tbl_Production[Job Number],0))),IFERROR(IF(INDEX(tbl_Consulting[Notes],MATCH(E164&amp;"",tbl_Consulting[Job Number],0))="","",INDEX(tbl_Consulting[Notes],MATCH(E164&amp;"",tbl_Consulting[Job Number],0))),""))))</f>
        <v/>
      </c>
    </row>
    <row r="165" ht="15" customHeight="1">
      <c r="A165" s="22" t="n"/>
      <c r="B165" s="23">
        <f>IF(A165="","",EOMONTH(A165,0))</f>
        <v/>
      </c>
      <c r="C165" s="24" t="n"/>
      <c r="D165" s="24" t="n"/>
      <c r="E165" s="24" t="n"/>
      <c r="F165" s="25">
        <f>IF(E165="","",IF(COUNTIF(lst_Jobs,E165&amp;"")&gt;0,"OK","CHECK"))</f>
        <v/>
      </c>
      <c r="G165" s="24" t="n"/>
      <c r="H165" s="24" t="n"/>
      <c r="I165" s="24" t="n"/>
      <c r="J165" s="24" t="n"/>
      <c r="K165" s="24" t="n"/>
      <c r="L165" s="26" t="n"/>
      <c r="M165" s="27">
        <f>IF(L165="","",IF(K165="GST 10%",ROUND(L165*set_GSTRate,2),0))</f>
        <v/>
      </c>
      <c r="N165" s="27">
        <f>IF(L165="","",L165+M165)</f>
        <v/>
      </c>
      <c r="O165" s="24" t="n"/>
      <c r="P165" s="24" t="n"/>
      <c r="Q165" s="24" t="n"/>
      <c r="R165" s="22" t="n"/>
      <c r="S165" s="22" t="n"/>
      <c r="T165" s="24" t="n"/>
      <c r="U165" s="24" t="n"/>
      <c r="V165" s="25">
        <f>IF(COUNTA(A165,D165,C165,L165)=0,"",IF(A165="","No date - sits outside every month",IF(E165="","No job number",IF(F165="CHECK","Job number is not in the Xero job list",IF(I165="","No cost centre",IF(AND(P165="Y",C165=""),"Marked posted to Xero but has no invoice number",IF(AND(L165&lt;&gt;"",K165=""),"No tax code",IF(AND(L165&lt;&gt;"",O165=""),"No revenue GL code",""))))))))</f>
        <v/>
      </c>
      <c r="W165" s="25">
        <f>IF(E165="","",IF(COUNTIF(tbl_Onsite[Job Number],E165&amp;"")&gt;0,"Onsite",IF(COUNTIF(tbl_Production[Job Number],E165&amp;"")&gt;0,"Production",IF(COUNTIF(tbl_Consulting[Job Number],E165&amp;"")&gt;0,"Consulting","not set up yet"))))</f>
        <v/>
      </c>
      <c r="X165" s="25">
        <f>IF(E165="","",IFERROR(INDEX(lst_JobName,MATCH(E165&amp;"",lst_Jobs,0)),""))</f>
        <v/>
      </c>
      <c r="Y165" s="28">
        <f>IF(E165="","",COUNTIFS(tbl_Finance[Job Number],E165&amp;"",tbl_Finance[Ex GST],"&lt;&gt;"))</f>
        <v/>
      </c>
      <c r="Z165" s="27">
        <f>IF(E165="","",SUMIFS(tbl_Finance[Ex GST],tbl_Finance[Job Number],E165&amp;""))</f>
        <v/>
      </c>
      <c r="AA165" s="27">
        <f>IF(E165="","",SUMIFS(tbl_Finance[Ex GST],tbl_Finance[Job Number],E165&amp;"",tbl_Finance[Xero Invoice No],"&lt;&gt;"))</f>
        <v/>
      </c>
      <c r="AB165" s="27">
        <f>IF(E165="","",Z165-AA165)</f>
        <v/>
      </c>
      <c r="AC165" s="25">
        <f>IF(E165="","",IFERROR(IF(INDEX(tbl_Onsite[Qwilr Quote],MATCH(E165&amp;"",tbl_Onsite[Job Number],0))="","",INDEX(tbl_Onsite[Qwilr Quote],MATCH(E165&amp;"",tbl_Onsite[Job Number],0))),IFERROR(IF(IF(INDEX(tbl_Production[Current RMS No],MATCH(E165&amp;"",tbl_Production[Job Number],0))="",INDEX(tbl_Production[Qwilr Quote],MATCH(E165&amp;"",tbl_Production[Job Number],0)),INDEX(tbl_Production[Current RMS No],MATCH(E165&amp;"",tbl_Production[Job Number],0)))="","",IF(INDEX(tbl_Production[Current RMS No],MATCH(E165&amp;"",tbl_Production[Job Number],0))="",INDEX(tbl_Production[Qwilr Quote],MATCH(E165&amp;"",tbl_Production[Job Number],0)),INDEX(tbl_Production[Current RMS No],MATCH(E165&amp;"",tbl_Production[Job Number],0)))),IFERROR(IF(INDEX(tbl_Consulting[Qwilr Quote],MATCH(E165&amp;"",tbl_Consulting[Job Number],0))="","",INDEX(tbl_Consulting[Qwilr Quote],MATCH(E165&amp;"",tbl_Consulting[Job Number],0))),""))))</f>
        <v/>
      </c>
      <c r="AD165" s="25">
        <f>IF(AC165="","",IF(AND(LEFT(AC165,4)&lt;&gt;"http",IF(H165="Production",set_RMSBase,set_QwilrBase)=""),"",HYPERLINK(IF(LEFT(AC165,4)="http",AC165,IF(H165="Production",set_RMSBase,set_QwilrBase)&amp;AC165),"Open")))</f>
        <v/>
      </c>
      <c r="AE165" s="27">
        <f>IF(E165="","",IFERROR(INDEX(tbl_Production[Total Expense],MATCH(E165&amp;"",tbl_Production[Job Number],0)),IFERROR(INDEX(tbl_Consulting[Total Expense],MATCH(E165&amp;"",tbl_Consulting[Job Number],0)),0)))</f>
        <v/>
      </c>
      <c r="AF165" s="27">
        <f>IF(E165="","",Z165-N(AE165))</f>
        <v/>
      </c>
      <c r="AG165" s="29">
        <f>IFERROR(AF165/Z165,"")</f>
        <v/>
      </c>
      <c r="AH165" s="25">
        <f>IF(E165="","",IFERROR(IF(INDEX(tbl_Onsite[Notes],MATCH(E165&amp;"",tbl_Onsite[Job Number],0))="","",INDEX(tbl_Onsite[Notes],MATCH(E165&amp;"",tbl_Onsite[Job Number],0))),IFERROR(IF(INDEX(tbl_Production[Notes],MATCH(E165&amp;"",tbl_Production[Job Number],0))="","",INDEX(tbl_Production[Notes],MATCH(E165&amp;"",tbl_Production[Job Number],0))),IFERROR(IF(INDEX(tbl_Consulting[Notes],MATCH(E165&amp;"",tbl_Consulting[Job Number],0))="","",INDEX(tbl_Consulting[Notes],MATCH(E165&amp;"",tbl_Consulting[Job Number],0))),""))))</f>
        <v/>
      </c>
    </row>
    <row r="166" ht="15" customHeight="1">
      <c r="A166" s="22" t="n"/>
      <c r="B166" s="23">
        <f>IF(A166="","",EOMONTH(A166,0))</f>
        <v/>
      </c>
      <c r="C166" s="24" t="n"/>
      <c r="D166" s="24" t="n"/>
      <c r="E166" s="24" t="n"/>
      <c r="F166" s="25">
        <f>IF(E166="","",IF(COUNTIF(lst_Jobs,E166&amp;"")&gt;0,"OK","CHECK"))</f>
        <v/>
      </c>
      <c r="G166" s="24" t="n"/>
      <c r="H166" s="24" t="n"/>
      <c r="I166" s="24" t="n"/>
      <c r="J166" s="24" t="n"/>
      <c r="K166" s="24" t="n"/>
      <c r="L166" s="26" t="n"/>
      <c r="M166" s="27">
        <f>IF(L166="","",IF(K166="GST 10%",ROUND(L166*set_GSTRate,2),0))</f>
        <v/>
      </c>
      <c r="N166" s="27">
        <f>IF(L166="","",L166+M166)</f>
        <v/>
      </c>
      <c r="O166" s="24" t="n"/>
      <c r="P166" s="24" t="n"/>
      <c r="Q166" s="24" t="n"/>
      <c r="R166" s="22" t="n"/>
      <c r="S166" s="22" t="n"/>
      <c r="T166" s="24" t="n"/>
      <c r="U166" s="24" t="n"/>
      <c r="V166" s="25">
        <f>IF(COUNTA(A166,D166,C166,L166)=0,"",IF(A166="","No date - sits outside every month",IF(E166="","No job number",IF(F166="CHECK","Job number is not in the Xero job list",IF(I166="","No cost centre",IF(AND(P166="Y",C166=""),"Marked posted to Xero but has no invoice number",IF(AND(L166&lt;&gt;"",K166=""),"No tax code",IF(AND(L166&lt;&gt;"",O166=""),"No revenue GL code",""))))))))</f>
        <v/>
      </c>
      <c r="W166" s="25">
        <f>IF(E166="","",IF(COUNTIF(tbl_Onsite[Job Number],E166&amp;"")&gt;0,"Onsite",IF(COUNTIF(tbl_Production[Job Number],E166&amp;"")&gt;0,"Production",IF(COUNTIF(tbl_Consulting[Job Number],E166&amp;"")&gt;0,"Consulting","not set up yet"))))</f>
        <v/>
      </c>
      <c r="X166" s="25">
        <f>IF(E166="","",IFERROR(INDEX(lst_JobName,MATCH(E166&amp;"",lst_Jobs,0)),""))</f>
        <v/>
      </c>
      <c r="Y166" s="28">
        <f>IF(E166="","",COUNTIFS(tbl_Finance[Job Number],E166&amp;"",tbl_Finance[Ex GST],"&lt;&gt;"))</f>
        <v/>
      </c>
      <c r="Z166" s="27">
        <f>IF(E166="","",SUMIFS(tbl_Finance[Ex GST],tbl_Finance[Job Number],E166&amp;""))</f>
        <v/>
      </c>
      <c r="AA166" s="27">
        <f>IF(E166="","",SUMIFS(tbl_Finance[Ex GST],tbl_Finance[Job Number],E166&amp;"",tbl_Finance[Xero Invoice No],"&lt;&gt;"))</f>
        <v/>
      </c>
      <c r="AB166" s="27">
        <f>IF(E166="","",Z166-AA166)</f>
        <v/>
      </c>
      <c r="AC166" s="25">
        <f>IF(E166="","",IFERROR(IF(INDEX(tbl_Onsite[Qwilr Quote],MATCH(E166&amp;"",tbl_Onsite[Job Number],0))="","",INDEX(tbl_Onsite[Qwilr Quote],MATCH(E166&amp;"",tbl_Onsite[Job Number],0))),IFERROR(IF(IF(INDEX(tbl_Production[Current RMS No],MATCH(E166&amp;"",tbl_Production[Job Number],0))="",INDEX(tbl_Production[Qwilr Quote],MATCH(E166&amp;"",tbl_Production[Job Number],0)),INDEX(tbl_Production[Current RMS No],MATCH(E166&amp;"",tbl_Production[Job Number],0)))="","",IF(INDEX(tbl_Production[Current RMS No],MATCH(E166&amp;"",tbl_Production[Job Number],0))="",INDEX(tbl_Production[Qwilr Quote],MATCH(E166&amp;"",tbl_Production[Job Number],0)),INDEX(tbl_Production[Current RMS No],MATCH(E166&amp;"",tbl_Production[Job Number],0)))),IFERROR(IF(INDEX(tbl_Consulting[Qwilr Quote],MATCH(E166&amp;"",tbl_Consulting[Job Number],0))="","",INDEX(tbl_Consulting[Qwilr Quote],MATCH(E166&amp;"",tbl_Consulting[Job Number],0))),""))))</f>
        <v/>
      </c>
      <c r="AD166" s="25">
        <f>IF(AC166="","",IF(AND(LEFT(AC166,4)&lt;&gt;"http",IF(H166="Production",set_RMSBase,set_QwilrBase)=""),"",HYPERLINK(IF(LEFT(AC166,4)="http",AC166,IF(H166="Production",set_RMSBase,set_QwilrBase)&amp;AC166),"Open")))</f>
        <v/>
      </c>
      <c r="AE166" s="27">
        <f>IF(E166="","",IFERROR(INDEX(tbl_Production[Total Expense],MATCH(E166&amp;"",tbl_Production[Job Number],0)),IFERROR(INDEX(tbl_Consulting[Total Expense],MATCH(E166&amp;"",tbl_Consulting[Job Number],0)),0)))</f>
        <v/>
      </c>
      <c r="AF166" s="27">
        <f>IF(E166="","",Z166-N(AE166))</f>
        <v/>
      </c>
      <c r="AG166" s="29">
        <f>IFERROR(AF166/Z166,"")</f>
        <v/>
      </c>
      <c r="AH166" s="25">
        <f>IF(E166="","",IFERROR(IF(INDEX(tbl_Onsite[Notes],MATCH(E166&amp;"",tbl_Onsite[Job Number],0))="","",INDEX(tbl_Onsite[Notes],MATCH(E166&amp;"",tbl_Onsite[Job Number],0))),IFERROR(IF(INDEX(tbl_Production[Notes],MATCH(E166&amp;"",tbl_Production[Job Number],0))="","",INDEX(tbl_Production[Notes],MATCH(E166&amp;"",tbl_Production[Job Number],0))),IFERROR(IF(INDEX(tbl_Consulting[Notes],MATCH(E166&amp;"",tbl_Consulting[Job Number],0))="","",INDEX(tbl_Consulting[Notes],MATCH(E166&amp;"",tbl_Consulting[Job Number],0))),""))))</f>
        <v/>
      </c>
    </row>
    <row r="167" ht="15" customHeight="1">
      <c r="A167" s="22" t="n"/>
      <c r="B167" s="23">
        <f>IF(A167="","",EOMONTH(A167,0))</f>
        <v/>
      </c>
      <c r="C167" s="24" t="n"/>
      <c r="D167" s="24" t="n"/>
      <c r="E167" s="24" t="n"/>
      <c r="F167" s="25">
        <f>IF(E167="","",IF(COUNTIF(lst_Jobs,E167&amp;"")&gt;0,"OK","CHECK"))</f>
        <v/>
      </c>
      <c r="G167" s="24" t="n"/>
      <c r="H167" s="24" t="n"/>
      <c r="I167" s="24" t="n"/>
      <c r="J167" s="24" t="n"/>
      <c r="K167" s="24" t="n"/>
      <c r="L167" s="26" t="n"/>
      <c r="M167" s="27">
        <f>IF(L167="","",IF(K167="GST 10%",ROUND(L167*set_GSTRate,2),0))</f>
        <v/>
      </c>
      <c r="N167" s="27">
        <f>IF(L167="","",L167+M167)</f>
        <v/>
      </c>
      <c r="O167" s="24" t="n"/>
      <c r="P167" s="24" t="n"/>
      <c r="Q167" s="24" t="n"/>
      <c r="R167" s="22" t="n"/>
      <c r="S167" s="22" t="n"/>
      <c r="T167" s="24" t="n"/>
      <c r="U167" s="24" t="n"/>
      <c r="V167" s="25">
        <f>IF(COUNTA(A167,D167,C167,L167)=0,"",IF(A167="","No date - sits outside every month",IF(E167="","No job number",IF(F167="CHECK","Job number is not in the Xero job list",IF(I167="","No cost centre",IF(AND(P167="Y",C167=""),"Marked posted to Xero but has no invoice number",IF(AND(L167&lt;&gt;"",K167=""),"No tax code",IF(AND(L167&lt;&gt;"",O167=""),"No revenue GL code",""))))))))</f>
        <v/>
      </c>
      <c r="W167" s="25">
        <f>IF(E167="","",IF(COUNTIF(tbl_Onsite[Job Number],E167&amp;"")&gt;0,"Onsite",IF(COUNTIF(tbl_Production[Job Number],E167&amp;"")&gt;0,"Production",IF(COUNTIF(tbl_Consulting[Job Number],E167&amp;"")&gt;0,"Consulting","not set up yet"))))</f>
        <v/>
      </c>
      <c r="X167" s="25">
        <f>IF(E167="","",IFERROR(INDEX(lst_JobName,MATCH(E167&amp;"",lst_Jobs,0)),""))</f>
        <v/>
      </c>
      <c r="Y167" s="28">
        <f>IF(E167="","",COUNTIFS(tbl_Finance[Job Number],E167&amp;"",tbl_Finance[Ex GST],"&lt;&gt;"))</f>
        <v/>
      </c>
      <c r="Z167" s="27">
        <f>IF(E167="","",SUMIFS(tbl_Finance[Ex GST],tbl_Finance[Job Number],E167&amp;""))</f>
        <v/>
      </c>
      <c r="AA167" s="27">
        <f>IF(E167="","",SUMIFS(tbl_Finance[Ex GST],tbl_Finance[Job Number],E167&amp;"",tbl_Finance[Xero Invoice No],"&lt;&gt;"))</f>
        <v/>
      </c>
      <c r="AB167" s="27">
        <f>IF(E167="","",Z167-AA167)</f>
        <v/>
      </c>
      <c r="AC167" s="25">
        <f>IF(E167="","",IFERROR(IF(INDEX(tbl_Onsite[Qwilr Quote],MATCH(E167&amp;"",tbl_Onsite[Job Number],0))="","",INDEX(tbl_Onsite[Qwilr Quote],MATCH(E167&amp;"",tbl_Onsite[Job Number],0))),IFERROR(IF(IF(INDEX(tbl_Production[Current RMS No],MATCH(E167&amp;"",tbl_Production[Job Number],0))="",INDEX(tbl_Production[Qwilr Quote],MATCH(E167&amp;"",tbl_Production[Job Number],0)),INDEX(tbl_Production[Current RMS No],MATCH(E167&amp;"",tbl_Production[Job Number],0)))="","",IF(INDEX(tbl_Production[Current RMS No],MATCH(E167&amp;"",tbl_Production[Job Number],0))="",INDEX(tbl_Production[Qwilr Quote],MATCH(E167&amp;"",tbl_Production[Job Number],0)),INDEX(tbl_Production[Current RMS No],MATCH(E167&amp;"",tbl_Production[Job Number],0)))),IFERROR(IF(INDEX(tbl_Consulting[Qwilr Quote],MATCH(E167&amp;"",tbl_Consulting[Job Number],0))="","",INDEX(tbl_Consulting[Qwilr Quote],MATCH(E167&amp;"",tbl_Consulting[Job Number],0))),""))))</f>
        <v/>
      </c>
      <c r="AD167" s="25">
        <f>IF(AC167="","",IF(AND(LEFT(AC167,4)&lt;&gt;"http",IF(H167="Production",set_RMSBase,set_QwilrBase)=""),"",HYPERLINK(IF(LEFT(AC167,4)="http",AC167,IF(H167="Production",set_RMSBase,set_QwilrBase)&amp;AC167),"Open")))</f>
        <v/>
      </c>
      <c r="AE167" s="27">
        <f>IF(E167="","",IFERROR(INDEX(tbl_Production[Total Expense],MATCH(E167&amp;"",tbl_Production[Job Number],0)),IFERROR(INDEX(tbl_Consulting[Total Expense],MATCH(E167&amp;"",tbl_Consulting[Job Number],0)),0)))</f>
        <v/>
      </c>
      <c r="AF167" s="27">
        <f>IF(E167="","",Z167-N(AE167))</f>
        <v/>
      </c>
      <c r="AG167" s="29">
        <f>IFERROR(AF167/Z167,"")</f>
        <v/>
      </c>
      <c r="AH167" s="25">
        <f>IF(E167="","",IFERROR(IF(INDEX(tbl_Onsite[Notes],MATCH(E167&amp;"",tbl_Onsite[Job Number],0))="","",INDEX(tbl_Onsite[Notes],MATCH(E167&amp;"",tbl_Onsite[Job Number],0))),IFERROR(IF(INDEX(tbl_Production[Notes],MATCH(E167&amp;"",tbl_Production[Job Number],0))="","",INDEX(tbl_Production[Notes],MATCH(E167&amp;"",tbl_Production[Job Number],0))),IFERROR(IF(INDEX(tbl_Consulting[Notes],MATCH(E167&amp;"",tbl_Consulting[Job Number],0))="","",INDEX(tbl_Consulting[Notes],MATCH(E167&amp;"",tbl_Consulting[Job Number],0))),""))))</f>
        <v/>
      </c>
    </row>
    <row r="168" ht="15" customHeight="1">
      <c r="A168" s="22" t="n"/>
      <c r="B168" s="23">
        <f>IF(A168="","",EOMONTH(A168,0))</f>
        <v/>
      </c>
      <c r="C168" s="24" t="n"/>
      <c r="D168" s="24" t="n"/>
      <c r="E168" s="24" t="n"/>
      <c r="F168" s="25">
        <f>IF(E168="","",IF(COUNTIF(lst_Jobs,E168&amp;"")&gt;0,"OK","CHECK"))</f>
        <v/>
      </c>
      <c r="G168" s="24" t="n"/>
      <c r="H168" s="24" t="n"/>
      <c r="I168" s="24" t="n"/>
      <c r="J168" s="24" t="n"/>
      <c r="K168" s="24" t="n"/>
      <c r="L168" s="26" t="n"/>
      <c r="M168" s="27">
        <f>IF(L168="","",IF(K168="GST 10%",ROUND(L168*set_GSTRate,2),0))</f>
        <v/>
      </c>
      <c r="N168" s="27">
        <f>IF(L168="","",L168+M168)</f>
        <v/>
      </c>
      <c r="O168" s="24" t="n"/>
      <c r="P168" s="24" t="n"/>
      <c r="Q168" s="24" t="n"/>
      <c r="R168" s="22" t="n"/>
      <c r="S168" s="22" t="n"/>
      <c r="T168" s="24" t="n"/>
      <c r="U168" s="24" t="n"/>
      <c r="V168" s="25">
        <f>IF(COUNTA(A168,D168,C168,L168)=0,"",IF(A168="","No date - sits outside every month",IF(E168="","No job number",IF(F168="CHECK","Job number is not in the Xero job list",IF(I168="","No cost centre",IF(AND(P168="Y",C168=""),"Marked posted to Xero but has no invoice number",IF(AND(L168&lt;&gt;"",K168=""),"No tax code",IF(AND(L168&lt;&gt;"",O168=""),"No revenue GL code",""))))))))</f>
        <v/>
      </c>
      <c r="W168" s="25">
        <f>IF(E168="","",IF(COUNTIF(tbl_Onsite[Job Number],E168&amp;"")&gt;0,"Onsite",IF(COUNTIF(tbl_Production[Job Number],E168&amp;"")&gt;0,"Production",IF(COUNTIF(tbl_Consulting[Job Number],E168&amp;"")&gt;0,"Consulting","not set up yet"))))</f>
        <v/>
      </c>
      <c r="X168" s="25">
        <f>IF(E168="","",IFERROR(INDEX(lst_JobName,MATCH(E168&amp;"",lst_Jobs,0)),""))</f>
        <v/>
      </c>
      <c r="Y168" s="28">
        <f>IF(E168="","",COUNTIFS(tbl_Finance[Job Number],E168&amp;"",tbl_Finance[Ex GST],"&lt;&gt;"))</f>
        <v/>
      </c>
      <c r="Z168" s="27">
        <f>IF(E168="","",SUMIFS(tbl_Finance[Ex GST],tbl_Finance[Job Number],E168&amp;""))</f>
        <v/>
      </c>
      <c r="AA168" s="27">
        <f>IF(E168="","",SUMIFS(tbl_Finance[Ex GST],tbl_Finance[Job Number],E168&amp;"",tbl_Finance[Xero Invoice No],"&lt;&gt;"))</f>
        <v/>
      </c>
      <c r="AB168" s="27">
        <f>IF(E168="","",Z168-AA168)</f>
        <v/>
      </c>
      <c r="AC168" s="25">
        <f>IF(E168="","",IFERROR(IF(INDEX(tbl_Onsite[Qwilr Quote],MATCH(E168&amp;"",tbl_Onsite[Job Number],0))="","",INDEX(tbl_Onsite[Qwilr Quote],MATCH(E168&amp;"",tbl_Onsite[Job Number],0))),IFERROR(IF(IF(INDEX(tbl_Production[Current RMS No],MATCH(E168&amp;"",tbl_Production[Job Number],0))="",INDEX(tbl_Production[Qwilr Quote],MATCH(E168&amp;"",tbl_Production[Job Number],0)),INDEX(tbl_Production[Current RMS No],MATCH(E168&amp;"",tbl_Production[Job Number],0)))="","",IF(INDEX(tbl_Production[Current RMS No],MATCH(E168&amp;"",tbl_Production[Job Number],0))="",INDEX(tbl_Production[Qwilr Quote],MATCH(E168&amp;"",tbl_Production[Job Number],0)),INDEX(tbl_Production[Current RMS No],MATCH(E168&amp;"",tbl_Production[Job Number],0)))),IFERROR(IF(INDEX(tbl_Consulting[Qwilr Quote],MATCH(E168&amp;"",tbl_Consulting[Job Number],0))="","",INDEX(tbl_Consulting[Qwilr Quote],MATCH(E168&amp;"",tbl_Consulting[Job Number],0))),""))))</f>
        <v/>
      </c>
      <c r="AD168" s="25">
        <f>IF(AC168="","",IF(AND(LEFT(AC168,4)&lt;&gt;"http",IF(H168="Production",set_RMSBase,set_QwilrBase)=""),"",HYPERLINK(IF(LEFT(AC168,4)="http",AC168,IF(H168="Production",set_RMSBase,set_QwilrBase)&amp;AC168),"Open")))</f>
        <v/>
      </c>
      <c r="AE168" s="27">
        <f>IF(E168="","",IFERROR(INDEX(tbl_Production[Total Expense],MATCH(E168&amp;"",tbl_Production[Job Number],0)),IFERROR(INDEX(tbl_Consulting[Total Expense],MATCH(E168&amp;"",tbl_Consulting[Job Number],0)),0)))</f>
        <v/>
      </c>
      <c r="AF168" s="27">
        <f>IF(E168="","",Z168-N(AE168))</f>
        <v/>
      </c>
      <c r="AG168" s="29">
        <f>IFERROR(AF168/Z168,"")</f>
        <v/>
      </c>
      <c r="AH168" s="25">
        <f>IF(E168="","",IFERROR(IF(INDEX(tbl_Onsite[Notes],MATCH(E168&amp;"",tbl_Onsite[Job Number],0))="","",INDEX(tbl_Onsite[Notes],MATCH(E168&amp;"",tbl_Onsite[Job Number],0))),IFERROR(IF(INDEX(tbl_Production[Notes],MATCH(E168&amp;"",tbl_Production[Job Number],0))="","",INDEX(tbl_Production[Notes],MATCH(E168&amp;"",tbl_Production[Job Number],0))),IFERROR(IF(INDEX(tbl_Consulting[Notes],MATCH(E168&amp;"",tbl_Consulting[Job Number],0))="","",INDEX(tbl_Consulting[Notes],MATCH(E168&amp;"",tbl_Consulting[Job Number],0))),""))))</f>
        <v/>
      </c>
    </row>
    <row r="169" ht="15" customHeight="1">
      <c r="A169" s="22" t="n"/>
      <c r="B169" s="23">
        <f>IF(A169="","",EOMONTH(A169,0))</f>
        <v/>
      </c>
      <c r="C169" s="24" t="n"/>
      <c r="D169" s="24" t="n"/>
      <c r="E169" s="24" t="n"/>
      <c r="F169" s="25">
        <f>IF(E169="","",IF(COUNTIF(lst_Jobs,E169&amp;"")&gt;0,"OK","CHECK"))</f>
        <v/>
      </c>
      <c r="G169" s="24" t="n"/>
      <c r="H169" s="24" t="n"/>
      <c r="I169" s="24" t="n"/>
      <c r="J169" s="24" t="n"/>
      <c r="K169" s="24" t="n"/>
      <c r="L169" s="26" t="n"/>
      <c r="M169" s="27">
        <f>IF(L169="","",IF(K169="GST 10%",ROUND(L169*set_GSTRate,2),0))</f>
        <v/>
      </c>
      <c r="N169" s="27">
        <f>IF(L169="","",L169+M169)</f>
        <v/>
      </c>
      <c r="O169" s="24" t="n"/>
      <c r="P169" s="24" t="n"/>
      <c r="Q169" s="24" t="n"/>
      <c r="R169" s="22" t="n"/>
      <c r="S169" s="22" t="n"/>
      <c r="T169" s="24" t="n"/>
      <c r="U169" s="24" t="n"/>
      <c r="V169" s="25">
        <f>IF(COUNTA(A169,D169,C169,L169)=0,"",IF(A169="","No date - sits outside every month",IF(E169="","No job number",IF(F169="CHECK","Job number is not in the Xero job list",IF(I169="","No cost centre",IF(AND(P169="Y",C169=""),"Marked posted to Xero but has no invoice number",IF(AND(L169&lt;&gt;"",K169=""),"No tax code",IF(AND(L169&lt;&gt;"",O169=""),"No revenue GL code",""))))))))</f>
        <v/>
      </c>
      <c r="W169" s="25">
        <f>IF(E169="","",IF(COUNTIF(tbl_Onsite[Job Number],E169&amp;"")&gt;0,"Onsite",IF(COUNTIF(tbl_Production[Job Number],E169&amp;"")&gt;0,"Production",IF(COUNTIF(tbl_Consulting[Job Number],E169&amp;"")&gt;0,"Consulting","not set up yet"))))</f>
        <v/>
      </c>
      <c r="X169" s="25">
        <f>IF(E169="","",IFERROR(INDEX(lst_JobName,MATCH(E169&amp;"",lst_Jobs,0)),""))</f>
        <v/>
      </c>
      <c r="Y169" s="28">
        <f>IF(E169="","",COUNTIFS(tbl_Finance[Job Number],E169&amp;"",tbl_Finance[Ex GST],"&lt;&gt;"))</f>
        <v/>
      </c>
      <c r="Z169" s="27">
        <f>IF(E169="","",SUMIFS(tbl_Finance[Ex GST],tbl_Finance[Job Number],E169&amp;""))</f>
        <v/>
      </c>
      <c r="AA169" s="27">
        <f>IF(E169="","",SUMIFS(tbl_Finance[Ex GST],tbl_Finance[Job Number],E169&amp;"",tbl_Finance[Xero Invoice No],"&lt;&gt;"))</f>
        <v/>
      </c>
      <c r="AB169" s="27">
        <f>IF(E169="","",Z169-AA169)</f>
        <v/>
      </c>
      <c r="AC169" s="25">
        <f>IF(E169="","",IFERROR(IF(INDEX(tbl_Onsite[Qwilr Quote],MATCH(E169&amp;"",tbl_Onsite[Job Number],0))="","",INDEX(tbl_Onsite[Qwilr Quote],MATCH(E169&amp;"",tbl_Onsite[Job Number],0))),IFERROR(IF(IF(INDEX(tbl_Production[Current RMS No],MATCH(E169&amp;"",tbl_Production[Job Number],0))="",INDEX(tbl_Production[Qwilr Quote],MATCH(E169&amp;"",tbl_Production[Job Number],0)),INDEX(tbl_Production[Current RMS No],MATCH(E169&amp;"",tbl_Production[Job Number],0)))="","",IF(INDEX(tbl_Production[Current RMS No],MATCH(E169&amp;"",tbl_Production[Job Number],0))="",INDEX(tbl_Production[Qwilr Quote],MATCH(E169&amp;"",tbl_Production[Job Number],0)),INDEX(tbl_Production[Current RMS No],MATCH(E169&amp;"",tbl_Production[Job Number],0)))),IFERROR(IF(INDEX(tbl_Consulting[Qwilr Quote],MATCH(E169&amp;"",tbl_Consulting[Job Number],0))="","",INDEX(tbl_Consulting[Qwilr Quote],MATCH(E169&amp;"",tbl_Consulting[Job Number],0))),""))))</f>
        <v/>
      </c>
      <c r="AD169" s="25">
        <f>IF(AC169="","",IF(AND(LEFT(AC169,4)&lt;&gt;"http",IF(H169="Production",set_RMSBase,set_QwilrBase)=""),"",HYPERLINK(IF(LEFT(AC169,4)="http",AC169,IF(H169="Production",set_RMSBase,set_QwilrBase)&amp;AC169),"Open")))</f>
        <v/>
      </c>
      <c r="AE169" s="27">
        <f>IF(E169="","",IFERROR(INDEX(tbl_Production[Total Expense],MATCH(E169&amp;"",tbl_Production[Job Number],0)),IFERROR(INDEX(tbl_Consulting[Total Expense],MATCH(E169&amp;"",tbl_Consulting[Job Number],0)),0)))</f>
        <v/>
      </c>
      <c r="AF169" s="27">
        <f>IF(E169="","",Z169-N(AE169))</f>
        <v/>
      </c>
      <c r="AG169" s="29">
        <f>IFERROR(AF169/Z169,"")</f>
        <v/>
      </c>
      <c r="AH169" s="25">
        <f>IF(E169="","",IFERROR(IF(INDEX(tbl_Onsite[Notes],MATCH(E169&amp;"",tbl_Onsite[Job Number],0))="","",INDEX(tbl_Onsite[Notes],MATCH(E169&amp;"",tbl_Onsite[Job Number],0))),IFERROR(IF(INDEX(tbl_Production[Notes],MATCH(E169&amp;"",tbl_Production[Job Number],0))="","",INDEX(tbl_Production[Notes],MATCH(E169&amp;"",tbl_Production[Job Number],0))),IFERROR(IF(INDEX(tbl_Consulting[Notes],MATCH(E169&amp;"",tbl_Consulting[Job Number],0))="","",INDEX(tbl_Consulting[Notes],MATCH(E169&amp;"",tbl_Consulting[Job Number],0))),""))))</f>
        <v/>
      </c>
    </row>
    <row r="170" ht="15" customHeight="1">
      <c r="A170" s="22" t="n"/>
      <c r="B170" s="23">
        <f>IF(A170="","",EOMONTH(A170,0))</f>
        <v/>
      </c>
      <c r="C170" s="24" t="n"/>
      <c r="D170" s="24" t="n"/>
      <c r="E170" s="24" t="n"/>
      <c r="F170" s="25">
        <f>IF(E170="","",IF(COUNTIF(lst_Jobs,E170&amp;"")&gt;0,"OK","CHECK"))</f>
        <v/>
      </c>
      <c r="G170" s="24" t="n"/>
      <c r="H170" s="24" t="n"/>
      <c r="I170" s="24" t="n"/>
      <c r="J170" s="24" t="n"/>
      <c r="K170" s="24" t="n"/>
      <c r="L170" s="26" t="n"/>
      <c r="M170" s="27">
        <f>IF(L170="","",IF(K170="GST 10%",ROUND(L170*set_GSTRate,2),0))</f>
        <v/>
      </c>
      <c r="N170" s="27">
        <f>IF(L170="","",L170+M170)</f>
        <v/>
      </c>
      <c r="O170" s="24" t="n"/>
      <c r="P170" s="24" t="n"/>
      <c r="Q170" s="24" t="n"/>
      <c r="R170" s="22" t="n"/>
      <c r="S170" s="22" t="n"/>
      <c r="T170" s="24" t="n"/>
      <c r="U170" s="24" t="n"/>
      <c r="V170" s="25">
        <f>IF(COUNTA(A170,D170,C170,L170)=0,"",IF(A170="","No date - sits outside every month",IF(E170="","No job number",IF(F170="CHECK","Job number is not in the Xero job list",IF(I170="","No cost centre",IF(AND(P170="Y",C170=""),"Marked posted to Xero but has no invoice number",IF(AND(L170&lt;&gt;"",K170=""),"No tax code",IF(AND(L170&lt;&gt;"",O170=""),"No revenue GL code",""))))))))</f>
        <v/>
      </c>
      <c r="W170" s="25">
        <f>IF(E170="","",IF(COUNTIF(tbl_Onsite[Job Number],E170&amp;"")&gt;0,"Onsite",IF(COUNTIF(tbl_Production[Job Number],E170&amp;"")&gt;0,"Production",IF(COUNTIF(tbl_Consulting[Job Number],E170&amp;"")&gt;0,"Consulting","not set up yet"))))</f>
        <v/>
      </c>
      <c r="X170" s="25">
        <f>IF(E170="","",IFERROR(INDEX(lst_JobName,MATCH(E170&amp;"",lst_Jobs,0)),""))</f>
        <v/>
      </c>
      <c r="Y170" s="28">
        <f>IF(E170="","",COUNTIFS(tbl_Finance[Job Number],E170&amp;"",tbl_Finance[Ex GST],"&lt;&gt;"))</f>
        <v/>
      </c>
      <c r="Z170" s="27">
        <f>IF(E170="","",SUMIFS(tbl_Finance[Ex GST],tbl_Finance[Job Number],E170&amp;""))</f>
        <v/>
      </c>
      <c r="AA170" s="27">
        <f>IF(E170="","",SUMIFS(tbl_Finance[Ex GST],tbl_Finance[Job Number],E170&amp;"",tbl_Finance[Xero Invoice No],"&lt;&gt;"))</f>
        <v/>
      </c>
      <c r="AB170" s="27">
        <f>IF(E170="","",Z170-AA170)</f>
        <v/>
      </c>
      <c r="AC170" s="25">
        <f>IF(E170="","",IFERROR(IF(INDEX(tbl_Onsite[Qwilr Quote],MATCH(E170&amp;"",tbl_Onsite[Job Number],0))="","",INDEX(tbl_Onsite[Qwilr Quote],MATCH(E170&amp;"",tbl_Onsite[Job Number],0))),IFERROR(IF(IF(INDEX(tbl_Production[Current RMS No],MATCH(E170&amp;"",tbl_Production[Job Number],0))="",INDEX(tbl_Production[Qwilr Quote],MATCH(E170&amp;"",tbl_Production[Job Number],0)),INDEX(tbl_Production[Current RMS No],MATCH(E170&amp;"",tbl_Production[Job Number],0)))="","",IF(INDEX(tbl_Production[Current RMS No],MATCH(E170&amp;"",tbl_Production[Job Number],0))="",INDEX(tbl_Production[Qwilr Quote],MATCH(E170&amp;"",tbl_Production[Job Number],0)),INDEX(tbl_Production[Current RMS No],MATCH(E170&amp;"",tbl_Production[Job Number],0)))),IFERROR(IF(INDEX(tbl_Consulting[Qwilr Quote],MATCH(E170&amp;"",tbl_Consulting[Job Number],0))="","",INDEX(tbl_Consulting[Qwilr Quote],MATCH(E170&amp;"",tbl_Consulting[Job Number],0))),""))))</f>
        <v/>
      </c>
      <c r="AD170" s="25">
        <f>IF(AC170="","",IF(AND(LEFT(AC170,4)&lt;&gt;"http",IF(H170="Production",set_RMSBase,set_QwilrBase)=""),"",HYPERLINK(IF(LEFT(AC170,4)="http",AC170,IF(H170="Production",set_RMSBase,set_QwilrBase)&amp;AC170),"Open")))</f>
        <v/>
      </c>
      <c r="AE170" s="27">
        <f>IF(E170="","",IFERROR(INDEX(tbl_Production[Total Expense],MATCH(E170&amp;"",tbl_Production[Job Number],0)),IFERROR(INDEX(tbl_Consulting[Total Expense],MATCH(E170&amp;"",tbl_Consulting[Job Number],0)),0)))</f>
        <v/>
      </c>
      <c r="AF170" s="27">
        <f>IF(E170="","",Z170-N(AE170))</f>
        <v/>
      </c>
      <c r="AG170" s="29">
        <f>IFERROR(AF170/Z170,"")</f>
        <v/>
      </c>
      <c r="AH170" s="25">
        <f>IF(E170="","",IFERROR(IF(INDEX(tbl_Onsite[Notes],MATCH(E170&amp;"",tbl_Onsite[Job Number],0))="","",INDEX(tbl_Onsite[Notes],MATCH(E170&amp;"",tbl_Onsite[Job Number],0))),IFERROR(IF(INDEX(tbl_Production[Notes],MATCH(E170&amp;"",tbl_Production[Job Number],0))="","",INDEX(tbl_Production[Notes],MATCH(E170&amp;"",tbl_Production[Job Number],0))),IFERROR(IF(INDEX(tbl_Consulting[Notes],MATCH(E170&amp;"",tbl_Consulting[Job Number],0))="","",INDEX(tbl_Consulting[Notes],MATCH(E170&amp;"",tbl_Consulting[Job Number],0))),""))))</f>
        <v/>
      </c>
    </row>
    <row r="171" ht="15" customHeight="1">
      <c r="A171" s="22" t="n"/>
      <c r="B171" s="23">
        <f>IF(A171="","",EOMONTH(A171,0))</f>
        <v/>
      </c>
      <c r="C171" s="24" t="n"/>
      <c r="D171" s="24" t="n"/>
      <c r="E171" s="24" t="n"/>
      <c r="F171" s="25">
        <f>IF(E171="","",IF(COUNTIF(lst_Jobs,E171&amp;"")&gt;0,"OK","CHECK"))</f>
        <v/>
      </c>
      <c r="G171" s="24" t="n"/>
      <c r="H171" s="24" t="n"/>
      <c r="I171" s="24" t="n"/>
      <c r="J171" s="24" t="n"/>
      <c r="K171" s="24" t="n"/>
      <c r="L171" s="26" t="n"/>
      <c r="M171" s="27">
        <f>IF(L171="","",IF(K171="GST 10%",ROUND(L171*set_GSTRate,2),0))</f>
        <v/>
      </c>
      <c r="N171" s="27">
        <f>IF(L171="","",L171+M171)</f>
        <v/>
      </c>
      <c r="O171" s="24" t="n"/>
      <c r="P171" s="24" t="n"/>
      <c r="Q171" s="24" t="n"/>
      <c r="R171" s="22" t="n"/>
      <c r="S171" s="22" t="n"/>
      <c r="T171" s="24" t="n"/>
      <c r="U171" s="24" t="n"/>
      <c r="V171" s="25">
        <f>IF(COUNTA(A171,D171,C171,L171)=0,"",IF(A171="","No date - sits outside every month",IF(E171="","No job number",IF(F171="CHECK","Job number is not in the Xero job list",IF(I171="","No cost centre",IF(AND(P171="Y",C171=""),"Marked posted to Xero but has no invoice number",IF(AND(L171&lt;&gt;"",K171=""),"No tax code",IF(AND(L171&lt;&gt;"",O171=""),"No revenue GL code",""))))))))</f>
        <v/>
      </c>
      <c r="W171" s="25">
        <f>IF(E171="","",IF(COUNTIF(tbl_Onsite[Job Number],E171&amp;"")&gt;0,"Onsite",IF(COUNTIF(tbl_Production[Job Number],E171&amp;"")&gt;0,"Production",IF(COUNTIF(tbl_Consulting[Job Number],E171&amp;"")&gt;0,"Consulting","not set up yet"))))</f>
        <v/>
      </c>
      <c r="X171" s="25">
        <f>IF(E171="","",IFERROR(INDEX(lst_JobName,MATCH(E171&amp;"",lst_Jobs,0)),""))</f>
        <v/>
      </c>
      <c r="Y171" s="28">
        <f>IF(E171="","",COUNTIFS(tbl_Finance[Job Number],E171&amp;"",tbl_Finance[Ex GST],"&lt;&gt;"))</f>
        <v/>
      </c>
      <c r="Z171" s="27">
        <f>IF(E171="","",SUMIFS(tbl_Finance[Ex GST],tbl_Finance[Job Number],E171&amp;""))</f>
        <v/>
      </c>
      <c r="AA171" s="27">
        <f>IF(E171="","",SUMIFS(tbl_Finance[Ex GST],tbl_Finance[Job Number],E171&amp;"",tbl_Finance[Xero Invoice No],"&lt;&gt;"))</f>
        <v/>
      </c>
      <c r="AB171" s="27">
        <f>IF(E171="","",Z171-AA171)</f>
        <v/>
      </c>
      <c r="AC171" s="25">
        <f>IF(E171="","",IFERROR(IF(INDEX(tbl_Onsite[Qwilr Quote],MATCH(E171&amp;"",tbl_Onsite[Job Number],0))="","",INDEX(tbl_Onsite[Qwilr Quote],MATCH(E171&amp;"",tbl_Onsite[Job Number],0))),IFERROR(IF(IF(INDEX(tbl_Production[Current RMS No],MATCH(E171&amp;"",tbl_Production[Job Number],0))="",INDEX(tbl_Production[Qwilr Quote],MATCH(E171&amp;"",tbl_Production[Job Number],0)),INDEX(tbl_Production[Current RMS No],MATCH(E171&amp;"",tbl_Production[Job Number],0)))="","",IF(INDEX(tbl_Production[Current RMS No],MATCH(E171&amp;"",tbl_Production[Job Number],0))="",INDEX(tbl_Production[Qwilr Quote],MATCH(E171&amp;"",tbl_Production[Job Number],0)),INDEX(tbl_Production[Current RMS No],MATCH(E171&amp;"",tbl_Production[Job Number],0)))),IFERROR(IF(INDEX(tbl_Consulting[Qwilr Quote],MATCH(E171&amp;"",tbl_Consulting[Job Number],0))="","",INDEX(tbl_Consulting[Qwilr Quote],MATCH(E171&amp;"",tbl_Consulting[Job Number],0))),""))))</f>
        <v/>
      </c>
      <c r="AD171" s="25">
        <f>IF(AC171="","",IF(AND(LEFT(AC171,4)&lt;&gt;"http",IF(H171="Production",set_RMSBase,set_QwilrBase)=""),"",HYPERLINK(IF(LEFT(AC171,4)="http",AC171,IF(H171="Production",set_RMSBase,set_QwilrBase)&amp;AC171),"Open")))</f>
        <v/>
      </c>
      <c r="AE171" s="27">
        <f>IF(E171="","",IFERROR(INDEX(tbl_Production[Total Expense],MATCH(E171&amp;"",tbl_Production[Job Number],0)),IFERROR(INDEX(tbl_Consulting[Total Expense],MATCH(E171&amp;"",tbl_Consulting[Job Number],0)),0)))</f>
        <v/>
      </c>
      <c r="AF171" s="27">
        <f>IF(E171="","",Z171-N(AE171))</f>
        <v/>
      </c>
      <c r="AG171" s="29">
        <f>IFERROR(AF171/Z171,"")</f>
        <v/>
      </c>
      <c r="AH171" s="25">
        <f>IF(E171="","",IFERROR(IF(INDEX(tbl_Onsite[Notes],MATCH(E171&amp;"",tbl_Onsite[Job Number],0))="","",INDEX(tbl_Onsite[Notes],MATCH(E171&amp;"",tbl_Onsite[Job Number],0))),IFERROR(IF(INDEX(tbl_Production[Notes],MATCH(E171&amp;"",tbl_Production[Job Number],0))="","",INDEX(tbl_Production[Notes],MATCH(E171&amp;"",tbl_Production[Job Number],0))),IFERROR(IF(INDEX(tbl_Consulting[Notes],MATCH(E171&amp;"",tbl_Consulting[Job Number],0))="","",INDEX(tbl_Consulting[Notes],MATCH(E171&amp;"",tbl_Consulting[Job Number],0))),""))))</f>
        <v/>
      </c>
    </row>
    <row r="172" ht="15" customHeight="1">
      <c r="A172" s="22" t="n"/>
      <c r="B172" s="23">
        <f>IF(A172="","",EOMONTH(A172,0))</f>
        <v/>
      </c>
      <c r="C172" s="24" t="n"/>
      <c r="D172" s="24" t="n"/>
      <c r="E172" s="24" t="n"/>
      <c r="F172" s="25">
        <f>IF(E172="","",IF(COUNTIF(lst_Jobs,E172&amp;"")&gt;0,"OK","CHECK"))</f>
        <v/>
      </c>
      <c r="G172" s="24" t="n"/>
      <c r="H172" s="24" t="n"/>
      <c r="I172" s="24" t="n"/>
      <c r="J172" s="24" t="n"/>
      <c r="K172" s="24" t="n"/>
      <c r="L172" s="26" t="n"/>
      <c r="M172" s="27">
        <f>IF(L172="","",IF(K172="GST 10%",ROUND(L172*set_GSTRate,2),0))</f>
        <v/>
      </c>
      <c r="N172" s="27">
        <f>IF(L172="","",L172+M172)</f>
        <v/>
      </c>
      <c r="O172" s="24" t="n"/>
      <c r="P172" s="24" t="n"/>
      <c r="Q172" s="24" t="n"/>
      <c r="R172" s="22" t="n"/>
      <c r="S172" s="22" t="n"/>
      <c r="T172" s="24" t="n"/>
      <c r="U172" s="24" t="n"/>
      <c r="V172" s="25">
        <f>IF(COUNTA(A172,D172,C172,L172)=0,"",IF(A172="","No date - sits outside every month",IF(E172="","No job number",IF(F172="CHECK","Job number is not in the Xero job list",IF(I172="","No cost centre",IF(AND(P172="Y",C172=""),"Marked posted to Xero but has no invoice number",IF(AND(L172&lt;&gt;"",K172=""),"No tax code",IF(AND(L172&lt;&gt;"",O172=""),"No revenue GL code",""))))))))</f>
        <v/>
      </c>
      <c r="W172" s="25">
        <f>IF(E172="","",IF(COUNTIF(tbl_Onsite[Job Number],E172&amp;"")&gt;0,"Onsite",IF(COUNTIF(tbl_Production[Job Number],E172&amp;"")&gt;0,"Production",IF(COUNTIF(tbl_Consulting[Job Number],E172&amp;"")&gt;0,"Consulting","not set up yet"))))</f>
        <v/>
      </c>
      <c r="X172" s="25">
        <f>IF(E172="","",IFERROR(INDEX(lst_JobName,MATCH(E172&amp;"",lst_Jobs,0)),""))</f>
        <v/>
      </c>
      <c r="Y172" s="28">
        <f>IF(E172="","",COUNTIFS(tbl_Finance[Job Number],E172&amp;"",tbl_Finance[Ex GST],"&lt;&gt;"))</f>
        <v/>
      </c>
      <c r="Z172" s="27">
        <f>IF(E172="","",SUMIFS(tbl_Finance[Ex GST],tbl_Finance[Job Number],E172&amp;""))</f>
        <v/>
      </c>
      <c r="AA172" s="27">
        <f>IF(E172="","",SUMIFS(tbl_Finance[Ex GST],tbl_Finance[Job Number],E172&amp;"",tbl_Finance[Xero Invoice No],"&lt;&gt;"))</f>
        <v/>
      </c>
      <c r="AB172" s="27">
        <f>IF(E172="","",Z172-AA172)</f>
        <v/>
      </c>
      <c r="AC172" s="25">
        <f>IF(E172="","",IFERROR(IF(INDEX(tbl_Onsite[Qwilr Quote],MATCH(E172&amp;"",tbl_Onsite[Job Number],0))="","",INDEX(tbl_Onsite[Qwilr Quote],MATCH(E172&amp;"",tbl_Onsite[Job Number],0))),IFERROR(IF(IF(INDEX(tbl_Production[Current RMS No],MATCH(E172&amp;"",tbl_Production[Job Number],0))="",INDEX(tbl_Production[Qwilr Quote],MATCH(E172&amp;"",tbl_Production[Job Number],0)),INDEX(tbl_Production[Current RMS No],MATCH(E172&amp;"",tbl_Production[Job Number],0)))="","",IF(INDEX(tbl_Production[Current RMS No],MATCH(E172&amp;"",tbl_Production[Job Number],0))="",INDEX(tbl_Production[Qwilr Quote],MATCH(E172&amp;"",tbl_Production[Job Number],0)),INDEX(tbl_Production[Current RMS No],MATCH(E172&amp;"",tbl_Production[Job Number],0)))),IFERROR(IF(INDEX(tbl_Consulting[Qwilr Quote],MATCH(E172&amp;"",tbl_Consulting[Job Number],0))="","",INDEX(tbl_Consulting[Qwilr Quote],MATCH(E172&amp;"",tbl_Consulting[Job Number],0))),""))))</f>
        <v/>
      </c>
      <c r="AD172" s="25">
        <f>IF(AC172="","",IF(AND(LEFT(AC172,4)&lt;&gt;"http",IF(H172="Production",set_RMSBase,set_QwilrBase)=""),"",HYPERLINK(IF(LEFT(AC172,4)="http",AC172,IF(H172="Production",set_RMSBase,set_QwilrBase)&amp;AC172),"Open")))</f>
        <v/>
      </c>
      <c r="AE172" s="27">
        <f>IF(E172="","",IFERROR(INDEX(tbl_Production[Total Expense],MATCH(E172&amp;"",tbl_Production[Job Number],0)),IFERROR(INDEX(tbl_Consulting[Total Expense],MATCH(E172&amp;"",tbl_Consulting[Job Number],0)),0)))</f>
        <v/>
      </c>
      <c r="AF172" s="27">
        <f>IF(E172="","",Z172-N(AE172))</f>
        <v/>
      </c>
      <c r="AG172" s="29">
        <f>IFERROR(AF172/Z172,"")</f>
        <v/>
      </c>
      <c r="AH172" s="25">
        <f>IF(E172="","",IFERROR(IF(INDEX(tbl_Onsite[Notes],MATCH(E172&amp;"",tbl_Onsite[Job Number],0))="","",INDEX(tbl_Onsite[Notes],MATCH(E172&amp;"",tbl_Onsite[Job Number],0))),IFERROR(IF(INDEX(tbl_Production[Notes],MATCH(E172&amp;"",tbl_Production[Job Number],0))="","",INDEX(tbl_Production[Notes],MATCH(E172&amp;"",tbl_Production[Job Number],0))),IFERROR(IF(INDEX(tbl_Consulting[Notes],MATCH(E172&amp;"",tbl_Consulting[Job Number],0))="","",INDEX(tbl_Consulting[Notes],MATCH(E172&amp;"",tbl_Consulting[Job Number],0))),""))))</f>
        <v/>
      </c>
    </row>
    <row r="173" ht="15" customHeight="1">
      <c r="A173" s="22" t="n"/>
      <c r="B173" s="23">
        <f>IF(A173="","",EOMONTH(A173,0))</f>
        <v/>
      </c>
      <c r="C173" s="24" t="n"/>
      <c r="D173" s="24" t="n"/>
      <c r="E173" s="24" t="n"/>
      <c r="F173" s="25">
        <f>IF(E173="","",IF(COUNTIF(lst_Jobs,E173&amp;"")&gt;0,"OK","CHECK"))</f>
        <v/>
      </c>
      <c r="G173" s="24" t="n"/>
      <c r="H173" s="24" t="n"/>
      <c r="I173" s="24" t="n"/>
      <c r="J173" s="24" t="n"/>
      <c r="K173" s="24" t="n"/>
      <c r="L173" s="26" t="n"/>
      <c r="M173" s="27">
        <f>IF(L173="","",IF(K173="GST 10%",ROUND(L173*set_GSTRate,2),0))</f>
        <v/>
      </c>
      <c r="N173" s="27">
        <f>IF(L173="","",L173+M173)</f>
        <v/>
      </c>
      <c r="O173" s="24" t="n"/>
      <c r="P173" s="24" t="n"/>
      <c r="Q173" s="24" t="n"/>
      <c r="R173" s="22" t="n"/>
      <c r="S173" s="22" t="n"/>
      <c r="T173" s="24" t="n"/>
      <c r="U173" s="24" t="n"/>
      <c r="V173" s="25">
        <f>IF(COUNTA(A173,D173,C173,L173)=0,"",IF(A173="","No date - sits outside every month",IF(E173="","No job number",IF(F173="CHECK","Job number is not in the Xero job list",IF(I173="","No cost centre",IF(AND(P173="Y",C173=""),"Marked posted to Xero but has no invoice number",IF(AND(L173&lt;&gt;"",K173=""),"No tax code",IF(AND(L173&lt;&gt;"",O173=""),"No revenue GL code",""))))))))</f>
        <v/>
      </c>
      <c r="W173" s="25">
        <f>IF(E173="","",IF(COUNTIF(tbl_Onsite[Job Number],E173&amp;"")&gt;0,"Onsite",IF(COUNTIF(tbl_Production[Job Number],E173&amp;"")&gt;0,"Production",IF(COUNTIF(tbl_Consulting[Job Number],E173&amp;"")&gt;0,"Consulting","not set up yet"))))</f>
        <v/>
      </c>
      <c r="X173" s="25">
        <f>IF(E173="","",IFERROR(INDEX(lst_JobName,MATCH(E173&amp;"",lst_Jobs,0)),""))</f>
        <v/>
      </c>
      <c r="Y173" s="28">
        <f>IF(E173="","",COUNTIFS(tbl_Finance[Job Number],E173&amp;"",tbl_Finance[Ex GST],"&lt;&gt;"))</f>
        <v/>
      </c>
      <c r="Z173" s="27">
        <f>IF(E173="","",SUMIFS(tbl_Finance[Ex GST],tbl_Finance[Job Number],E173&amp;""))</f>
        <v/>
      </c>
      <c r="AA173" s="27">
        <f>IF(E173="","",SUMIFS(tbl_Finance[Ex GST],tbl_Finance[Job Number],E173&amp;"",tbl_Finance[Xero Invoice No],"&lt;&gt;"))</f>
        <v/>
      </c>
      <c r="AB173" s="27">
        <f>IF(E173="","",Z173-AA173)</f>
        <v/>
      </c>
      <c r="AC173" s="25">
        <f>IF(E173="","",IFERROR(IF(INDEX(tbl_Onsite[Qwilr Quote],MATCH(E173&amp;"",tbl_Onsite[Job Number],0))="","",INDEX(tbl_Onsite[Qwilr Quote],MATCH(E173&amp;"",tbl_Onsite[Job Number],0))),IFERROR(IF(IF(INDEX(tbl_Production[Current RMS No],MATCH(E173&amp;"",tbl_Production[Job Number],0))="",INDEX(tbl_Production[Qwilr Quote],MATCH(E173&amp;"",tbl_Production[Job Number],0)),INDEX(tbl_Production[Current RMS No],MATCH(E173&amp;"",tbl_Production[Job Number],0)))="","",IF(INDEX(tbl_Production[Current RMS No],MATCH(E173&amp;"",tbl_Production[Job Number],0))="",INDEX(tbl_Production[Qwilr Quote],MATCH(E173&amp;"",tbl_Production[Job Number],0)),INDEX(tbl_Production[Current RMS No],MATCH(E173&amp;"",tbl_Production[Job Number],0)))),IFERROR(IF(INDEX(tbl_Consulting[Qwilr Quote],MATCH(E173&amp;"",tbl_Consulting[Job Number],0))="","",INDEX(tbl_Consulting[Qwilr Quote],MATCH(E173&amp;"",tbl_Consulting[Job Number],0))),""))))</f>
        <v/>
      </c>
      <c r="AD173" s="25">
        <f>IF(AC173="","",IF(AND(LEFT(AC173,4)&lt;&gt;"http",IF(H173="Production",set_RMSBase,set_QwilrBase)=""),"",HYPERLINK(IF(LEFT(AC173,4)="http",AC173,IF(H173="Production",set_RMSBase,set_QwilrBase)&amp;AC173),"Open")))</f>
        <v/>
      </c>
      <c r="AE173" s="27">
        <f>IF(E173="","",IFERROR(INDEX(tbl_Production[Total Expense],MATCH(E173&amp;"",tbl_Production[Job Number],0)),IFERROR(INDEX(tbl_Consulting[Total Expense],MATCH(E173&amp;"",tbl_Consulting[Job Number],0)),0)))</f>
        <v/>
      </c>
      <c r="AF173" s="27">
        <f>IF(E173="","",Z173-N(AE173))</f>
        <v/>
      </c>
      <c r="AG173" s="29">
        <f>IFERROR(AF173/Z173,"")</f>
        <v/>
      </c>
      <c r="AH173" s="25">
        <f>IF(E173="","",IFERROR(IF(INDEX(tbl_Onsite[Notes],MATCH(E173&amp;"",tbl_Onsite[Job Number],0))="","",INDEX(tbl_Onsite[Notes],MATCH(E173&amp;"",tbl_Onsite[Job Number],0))),IFERROR(IF(INDEX(tbl_Production[Notes],MATCH(E173&amp;"",tbl_Production[Job Number],0))="","",INDEX(tbl_Production[Notes],MATCH(E173&amp;"",tbl_Production[Job Number],0))),IFERROR(IF(INDEX(tbl_Consulting[Notes],MATCH(E173&amp;"",tbl_Consulting[Job Number],0))="","",INDEX(tbl_Consulting[Notes],MATCH(E173&amp;"",tbl_Consulting[Job Number],0))),""))))</f>
        <v/>
      </c>
    </row>
    <row r="174" ht="15" customHeight="1">
      <c r="A174" s="22" t="n"/>
      <c r="B174" s="23">
        <f>IF(A174="","",EOMONTH(A174,0))</f>
        <v/>
      </c>
      <c r="C174" s="24" t="n"/>
      <c r="D174" s="24" t="n"/>
      <c r="E174" s="24" t="n"/>
      <c r="F174" s="25">
        <f>IF(E174="","",IF(COUNTIF(lst_Jobs,E174&amp;"")&gt;0,"OK","CHECK"))</f>
        <v/>
      </c>
      <c r="G174" s="24" t="n"/>
      <c r="H174" s="24" t="n"/>
      <c r="I174" s="24" t="n"/>
      <c r="J174" s="24" t="n"/>
      <c r="K174" s="24" t="n"/>
      <c r="L174" s="26" t="n"/>
      <c r="M174" s="27">
        <f>IF(L174="","",IF(K174="GST 10%",ROUND(L174*set_GSTRate,2),0))</f>
        <v/>
      </c>
      <c r="N174" s="27">
        <f>IF(L174="","",L174+M174)</f>
        <v/>
      </c>
      <c r="O174" s="24" t="n"/>
      <c r="P174" s="24" t="n"/>
      <c r="Q174" s="24" t="n"/>
      <c r="R174" s="22" t="n"/>
      <c r="S174" s="22" t="n"/>
      <c r="T174" s="24" t="n"/>
      <c r="U174" s="24" t="n"/>
      <c r="V174" s="25">
        <f>IF(COUNTA(A174,D174,C174,L174)=0,"",IF(A174="","No date - sits outside every month",IF(E174="","No job number",IF(F174="CHECK","Job number is not in the Xero job list",IF(I174="","No cost centre",IF(AND(P174="Y",C174=""),"Marked posted to Xero but has no invoice number",IF(AND(L174&lt;&gt;"",K174=""),"No tax code",IF(AND(L174&lt;&gt;"",O174=""),"No revenue GL code",""))))))))</f>
        <v/>
      </c>
      <c r="W174" s="25">
        <f>IF(E174="","",IF(COUNTIF(tbl_Onsite[Job Number],E174&amp;"")&gt;0,"Onsite",IF(COUNTIF(tbl_Production[Job Number],E174&amp;"")&gt;0,"Production",IF(COUNTIF(tbl_Consulting[Job Number],E174&amp;"")&gt;0,"Consulting","not set up yet"))))</f>
        <v/>
      </c>
      <c r="X174" s="25">
        <f>IF(E174="","",IFERROR(INDEX(lst_JobName,MATCH(E174&amp;"",lst_Jobs,0)),""))</f>
        <v/>
      </c>
      <c r="Y174" s="28">
        <f>IF(E174="","",COUNTIFS(tbl_Finance[Job Number],E174&amp;"",tbl_Finance[Ex GST],"&lt;&gt;"))</f>
        <v/>
      </c>
      <c r="Z174" s="27">
        <f>IF(E174="","",SUMIFS(tbl_Finance[Ex GST],tbl_Finance[Job Number],E174&amp;""))</f>
        <v/>
      </c>
      <c r="AA174" s="27">
        <f>IF(E174="","",SUMIFS(tbl_Finance[Ex GST],tbl_Finance[Job Number],E174&amp;"",tbl_Finance[Xero Invoice No],"&lt;&gt;"))</f>
        <v/>
      </c>
      <c r="AB174" s="27">
        <f>IF(E174="","",Z174-AA174)</f>
        <v/>
      </c>
      <c r="AC174" s="25">
        <f>IF(E174="","",IFERROR(IF(INDEX(tbl_Onsite[Qwilr Quote],MATCH(E174&amp;"",tbl_Onsite[Job Number],0))="","",INDEX(tbl_Onsite[Qwilr Quote],MATCH(E174&amp;"",tbl_Onsite[Job Number],0))),IFERROR(IF(IF(INDEX(tbl_Production[Current RMS No],MATCH(E174&amp;"",tbl_Production[Job Number],0))="",INDEX(tbl_Production[Qwilr Quote],MATCH(E174&amp;"",tbl_Production[Job Number],0)),INDEX(tbl_Production[Current RMS No],MATCH(E174&amp;"",tbl_Production[Job Number],0)))="","",IF(INDEX(tbl_Production[Current RMS No],MATCH(E174&amp;"",tbl_Production[Job Number],0))="",INDEX(tbl_Production[Qwilr Quote],MATCH(E174&amp;"",tbl_Production[Job Number],0)),INDEX(tbl_Production[Current RMS No],MATCH(E174&amp;"",tbl_Production[Job Number],0)))),IFERROR(IF(INDEX(tbl_Consulting[Qwilr Quote],MATCH(E174&amp;"",tbl_Consulting[Job Number],0))="","",INDEX(tbl_Consulting[Qwilr Quote],MATCH(E174&amp;"",tbl_Consulting[Job Number],0))),""))))</f>
        <v/>
      </c>
      <c r="AD174" s="25">
        <f>IF(AC174="","",IF(AND(LEFT(AC174,4)&lt;&gt;"http",IF(H174="Production",set_RMSBase,set_QwilrBase)=""),"",HYPERLINK(IF(LEFT(AC174,4)="http",AC174,IF(H174="Production",set_RMSBase,set_QwilrBase)&amp;AC174),"Open")))</f>
        <v/>
      </c>
      <c r="AE174" s="27">
        <f>IF(E174="","",IFERROR(INDEX(tbl_Production[Total Expense],MATCH(E174&amp;"",tbl_Production[Job Number],0)),IFERROR(INDEX(tbl_Consulting[Total Expense],MATCH(E174&amp;"",tbl_Consulting[Job Number],0)),0)))</f>
        <v/>
      </c>
      <c r="AF174" s="27">
        <f>IF(E174="","",Z174-N(AE174))</f>
        <v/>
      </c>
      <c r="AG174" s="29">
        <f>IFERROR(AF174/Z174,"")</f>
        <v/>
      </c>
      <c r="AH174" s="25">
        <f>IF(E174="","",IFERROR(IF(INDEX(tbl_Onsite[Notes],MATCH(E174&amp;"",tbl_Onsite[Job Number],0))="","",INDEX(tbl_Onsite[Notes],MATCH(E174&amp;"",tbl_Onsite[Job Number],0))),IFERROR(IF(INDEX(tbl_Production[Notes],MATCH(E174&amp;"",tbl_Production[Job Number],0))="","",INDEX(tbl_Production[Notes],MATCH(E174&amp;"",tbl_Production[Job Number],0))),IFERROR(IF(INDEX(tbl_Consulting[Notes],MATCH(E174&amp;"",tbl_Consulting[Job Number],0))="","",INDEX(tbl_Consulting[Notes],MATCH(E174&amp;"",tbl_Consulting[Job Number],0))),""))))</f>
        <v/>
      </c>
    </row>
    <row r="175" ht="15" customHeight="1">
      <c r="A175" s="22" t="n"/>
      <c r="B175" s="23">
        <f>IF(A175="","",EOMONTH(A175,0))</f>
        <v/>
      </c>
      <c r="C175" s="24" t="n"/>
      <c r="D175" s="24" t="n"/>
      <c r="E175" s="24" t="n"/>
      <c r="F175" s="25">
        <f>IF(E175="","",IF(COUNTIF(lst_Jobs,E175&amp;"")&gt;0,"OK","CHECK"))</f>
        <v/>
      </c>
      <c r="G175" s="24" t="n"/>
      <c r="H175" s="24" t="n"/>
      <c r="I175" s="24" t="n"/>
      <c r="J175" s="24" t="n"/>
      <c r="K175" s="24" t="n"/>
      <c r="L175" s="26" t="n"/>
      <c r="M175" s="27">
        <f>IF(L175="","",IF(K175="GST 10%",ROUND(L175*set_GSTRate,2),0))</f>
        <v/>
      </c>
      <c r="N175" s="27">
        <f>IF(L175="","",L175+M175)</f>
        <v/>
      </c>
      <c r="O175" s="24" t="n"/>
      <c r="P175" s="24" t="n"/>
      <c r="Q175" s="24" t="n"/>
      <c r="R175" s="22" t="n"/>
      <c r="S175" s="22" t="n"/>
      <c r="T175" s="24" t="n"/>
      <c r="U175" s="24" t="n"/>
      <c r="V175" s="25">
        <f>IF(COUNTA(A175,D175,C175,L175)=0,"",IF(A175="","No date - sits outside every month",IF(E175="","No job number",IF(F175="CHECK","Job number is not in the Xero job list",IF(I175="","No cost centre",IF(AND(P175="Y",C175=""),"Marked posted to Xero but has no invoice number",IF(AND(L175&lt;&gt;"",K175=""),"No tax code",IF(AND(L175&lt;&gt;"",O175=""),"No revenue GL code",""))))))))</f>
        <v/>
      </c>
      <c r="W175" s="25">
        <f>IF(E175="","",IF(COUNTIF(tbl_Onsite[Job Number],E175&amp;"")&gt;0,"Onsite",IF(COUNTIF(tbl_Production[Job Number],E175&amp;"")&gt;0,"Production",IF(COUNTIF(tbl_Consulting[Job Number],E175&amp;"")&gt;0,"Consulting","not set up yet"))))</f>
        <v/>
      </c>
      <c r="X175" s="25">
        <f>IF(E175="","",IFERROR(INDEX(lst_JobName,MATCH(E175&amp;"",lst_Jobs,0)),""))</f>
        <v/>
      </c>
      <c r="Y175" s="28">
        <f>IF(E175="","",COUNTIFS(tbl_Finance[Job Number],E175&amp;"",tbl_Finance[Ex GST],"&lt;&gt;"))</f>
        <v/>
      </c>
      <c r="Z175" s="27">
        <f>IF(E175="","",SUMIFS(tbl_Finance[Ex GST],tbl_Finance[Job Number],E175&amp;""))</f>
        <v/>
      </c>
      <c r="AA175" s="27">
        <f>IF(E175="","",SUMIFS(tbl_Finance[Ex GST],tbl_Finance[Job Number],E175&amp;"",tbl_Finance[Xero Invoice No],"&lt;&gt;"))</f>
        <v/>
      </c>
      <c r="AB175" s="27">
        <f>IF(E175="","",Z175-AA175)</f>
        <v/>
      </c>
      <c r="AC175" s="25">
        <f>IF(E175="","",IFERROR(IF(INDEX(tbl_Onsite[Qwilr Quote],MATCH(E175&amp;"",tbl_Onsite[Job Number],0))="","",INDEX(tbl_Onsite[Qwilr Quote],MATCH(E175&amp;"",tbl_Onsite[Job Number],0))),IFERROR(IF(IF(INDEX(tbl_Production[Current RMS No],MATCH(E175&amp;"",tbl_Production[Job Number],0))="",INDEX(tbl_Production[Qwilr Quote],MATCH(E175&amp;"",tbl_Production[Job Number],0)),INDEX(tbl_Production[Current RMS No],MATCH(E175&amp;"",tbl_Production[Job Number],0)))="","",IF(INDEX(tbl_Production[Current RMS No],MATCH(E175&amp;"",tbl_Production[Job Number],0))="",INDEX(tbl_Production[Qwilr Quote],MATCH(E175&amp;"",tbl_Production[Job Number],0)),INDEX(tbl_Production[Current RMS No],MATCH(E175&amp;"",tbl_Production[Job Number],0)))),IFERROR(IF(INDEX(tbl_Consulting[Qwilr Quote],MATCH(E175&amp;"",tbl_Consulting[Job Number],0))="","",INDEX(tbl_Consulting[Qwilr Quote],MATCH(E175&amp;"",tbl_Consulting[Job Number],0))),""))))</f>
        <v/>
      </c>
      <c r="AD175" s="25">
        <f>IF(AC175="","",IF(AND(LEFT(AC175,4)&lt;&gt;"http",IF(H175="Production",set_RMSBase,set_QwilrBase)=""),"",HYPERLINK(IF(LEFT(AC175,4)="http",AC175,IF(H175="Production",set_RMSBase,set_QwilrBase)&amp;AC175),"Open")))</f>
        <v/>
      </c>
      <c r="AE175" s="27">
        <f>IF(E175="","",IFERROR(INDEX(tbl_Production[Total Expense],MATCH(E175&amp;"",tbl_Production[Job Number],0)),IFERROR(INDEX(tbl_Consulting[Total Expense],MATCH(E175&amp;"",tbl_Consulting[Job Number],0)),0)))</f>
        <v/>
      </c>
      <c r="AF175" s="27">
        <f>IF(E175="","",Z175-N(AE175))</f>
        <v/>
      </c>
      <c r="AG175" s="29">
        <f>IFERROR(AF175/Z175,"")</f>
        <v/>
      </c>
      <c r="AH175" s="25">
        <f>IF(E175="","",IFERROR(IF(INDEX(tbl_Onsite[Notes],MATCH(E175&amp;"",tbl_Onsite[Job Number],0))="","",INDEX(tbl_Onsite[Notes],MATCH(E175&amp;"",tbl_Onsite[Job Number],0))),IFERROR(IF(INDEX(tbl_Production[Notes],MATCH(E175&amp;"",tbl_Production[Job Number],0))="","",INDEX(tbl_Production[Notes],MATCH(E175&amp;"",tbl_Production[Job Number],0))),IFERROR(IF(INDEX(tbl_Consulting[Notes],MATCH(E175&amp;"",tbl_Consulting[Job Number],0))="","",INDEX(tbl_Consulting[Notes],MATCH(E175&amp;"",tbl_Consulting[Job Number],0))),""))))</f>
        <v/>
      </c>
    </row>
    <row r="176" ht="15" customHeight="1">
      <c r="A176" s="22" t="n"/>
      <c r="B176" s="23">
        <f>IF(A176="","",EOMONTH(A176,0))</f>
        <v/>
      </c>
      <c r="C176" s="24" t="n"/>
      <c r="D176" s="24" t="n"/>
      <c r="E176" s="24" t="n"/>
      <c r="F176" s="25">
        <f>IF(E176="","",IF(COUNTIF(lst_Jobs,E176&amp;"")&gt;0,"OK","CHECK"))</f>
        <v/>
      </c>
      <c r="G176" s="24" t="n"/>
      <c r="H176" s="24" t="n"/>
      <c r="I176" s="24" t="n"/>
      <c r="J176" s="24" t="n"/>
      <c r="K176" s="24" t="n"/>
      <c r="L176" s="26" t="n"/>
      <c r="M176" s="27">
        <f>IF(L176="","",IF(K176="GST 10%",ROUND(L176*set_GSTRate,2),0))</f>
        <v/>
      </c>
      <c r="N176" s="27">
        <f>IF(L176="","",L176+M176)</f>
        <v/>
      </c>
      <c r="O176" s="24" t="n"/>
      <c r="P176" s="24" t="n"/>
      <c r="Q176" s="24" t="n"/>
      <c r="R176" s="22" t="n"/>
      <c r="S176" s="22" t="n"/>
      <c r="T176" s="24" t="n"/>
      <c r="U176" s="24" t="n"/>
      <c r="V176" s="25">
        <f>IF(COUNTA(A176,D176,C176,L176)=0,"",IF(A176="","No date - sits outside every month",IF(E176="","No job number",IF(F176="CHECK","Job number is not in the Xero job list",IF(I176="","No cost centre",IF(AND(P176="Y",C176=""),"Marked posted to Xero but has no invoice number",IF(AND(L176&lt;&gt;"",K176=""),"No tax code",IF(AND(L176&lt;&gt;"",O176=""),"No revenue GL code",""))))))))</f>
        <v/>
      </c>
      <c r="W176" s="25">
        <f>IF(E176="","",IF(COUNTIF(tbl_Onsite[Job Number],E176&amp;"")&gt;0,"Onsite",IF(COUNTIF(tbl_Production[Job Number],E176&amp;"")&gt;0,"Production",IF(COUNTIF(tbl_Consulting[Job Number],E176&amp;"")&gt;0,"Consulting","not set up yet"))))</f>
        <v/>
      </c>
      <c r="X176" s="25">
        <f>IF(E176="","",IFERROR(INDEX(lst_JobName,MATCH(E176&amp;"",lst_Jobs,0)),""))</f>
        <v/>
      </c>
      <c r="Y176" s="28">
        <f>IF(E176="","",COUNTIFS(tbl_Finance[Job Number],E176&amp;"",tbl_Finance[Ex GST],"&lt;&gt;"))</f>
        <v/>
      </c>
      <c r="Z176" s="27">
        <f>IF(E176="","",SUMIFS(tbl_Finance[Ex GST],tbl_Finance[Job Number],E176&amp;""))</f>
        <v/>
      </c>
      <c r="AA176" s="27">
        <f>IF(E176="","",SUMIFS(tbl_Finance[Ex GST],tbl_Finance[Job Number],E176&amp;"",tbl_Finance[Xero Invoice No],"&lt;&gt;"))</f>
        <v/>
      </c>
      <c r="AB176" s="27">
        <f>IF(E176="","",Z176-AA176)</f>
        <v/>
      </c>
      <c r="AC176" s="25">
        <f>IF(E176="","",IFERROR(IF(INDEX(tbl_Onsite[Qwilr Quote],MATCH(E176&amp;"",tbl_Onsite[Job Number],0))="","",INDEX(tbl_Onsite[Qwilr Quote],MATCH(E176&amp;"",tbl_Onsite[Job Number],0))),IFERROR(IF(IF(INDEX(tbl_Production[Current RMS No],MATCH(E176&amp;"",tbl_Production[Job Number],0))="",INDEX(tbl_Production[Qwilr Quote],MATCH(E176&amp;"",tbl_Production[Job Number],0)),INDEX(tbl_Production[Current RMS No],MATCH(E176&amp;"",tbl_Production[Job Number],0)))="","",IF(INDEX(tbl_Production[Current RMS No],MATCH(E176&amp;"",tbl_Production[Job Number],0))="",INDEX(tbl_Production[Qwilr Quote],MATCH(E176&amp;"",tbl_Production[Job Number],0)),INDEX(tbl_Production[Current RMS No],MATCH(E176&amp;"",tbl_Production[Job Number],0)))),IFERROR(IF(INDEX(tbl_Consulting[Qwilr Quote],MATCH(E176&amp;"",tbl_Consulting[Job Number],0))="","",INDEX(tbl_Consulting[Qwilr Quote],MATCH(E176&amp;"",tbl_Consulting[Job Number],0))),""))))</f>
        <v/>
      </c>
      <c r="AD176" s="25">
        <f>IF(AC176="","",IF(AND(LEFT(AC176,4)&lt;&gt;"http",IF(H176="Production",set_RMSBase,set_QwilrBase)=""),"",HYPERLINK(IF(LEFT(AC176,4)="http",AC176,IF(H176="Production",set_RMSBase,set_QwilrBase)&amp;AC176),"Open")))</f>
        <v/>
      </c>
      <c r="AE176" s="27">
        <f>IF(E176="","",IFERROR(INDEX(tbl_Production[Total Expense],MATCH(E176&amp;"",tbl_Production[Job Number],0)),IFERROR(INDEX(tbl_Consulting[Total Expense],MATCH(E176&amp;"",tbl_Consulting[Job Number],0)),0)))</f>
        <v/>
      </c>
      <c r="AF176" s="27">
        <f>IF(E176="","",Z176-N(AE176))</f>
        <v/>
      </c>
      <c r="AG176" s="29">
        <f>IFERROR(AF176/Z176,"")</f>
        <v/>
      </c>
      <c r="AH176" s="25">
        <f>IF(E176="","",IFERROR(IF(INDEX(tbl_Onsite[Notes],MATCH(E176&amp;"",tbl_Onsite[Job Number],0))="","",INDEX(tbl_Onsite[Notes],MATCH(E176&amp;"",tbl_Onsite[Job Number],0))),IFERROR(IF(INDEX(tbl_Production[Notes],MATCH(E176&amp;"",tbl_Production[Job Number],0))="","",INDEX(tbl_Production[Notes],MATCH(E176&amp;"",tbl_Production[Job Number],0))),IFERROR(IF(INDEX(tbl_Consulting[Notes],MATCH(E176&amp;"",tbl_Consulting[Job Number],0))="","",INDEX(tbl_Consulting[Notes],MATCH(E176&amp;"",tbl_Consulting[Job Number],0))),""))))</f>
        <v/>
      </c>
    </row>
    <row r="177" ht="15" customHeight="1">
      <c r="A177" s="22" t="n"/>
      <c r="B177" s="23">
        <f>IF(A177="","",EOMONTH(A177,0))</f>
        <v/>
      </c>
      <c r="C177" s="24" t="n"/>
      <c r="D177" s="24" t="n"/>
      <c r="E177" s="24" t="n"/>
      <c r="F177" s="25">
        <f>IF(E177="","",IF(COUNTIF(lst_Jobs,E177&amp;"")&gt;0,"OK","CHECK"))</f>
        <v/>
      </c>
      <c r="G177" s="24" t="n"/>
      <c r="H177" s="24" t="n"/>
      <c r="I177" s="24" t="n"/>
      <c r="J177" s="24" t="n"/>
      <c r="K177" s="24" t="n"/>
      <c r="L177" s="26" t="n"/>
      <c r="M177" s="27">
        <f>IF(L177="","",IF(K177="GST 10%",ROUND(L177*set_GSTRate,2),0))</f>
        <v/>
      </c>
      <c r="N177" s="27">
        <f>IF(L177="","",L177+M177)</f>
        <v/>
      </c>
      <c r="O177" s="24" t="n"/>
      <c r="P177" s="24" t="n"/>
      <c r="Q177" s="24" t="n"/>
      <c r="R177" s="22" t="n"/>
      <c r="S177" s="22" t="n"/>
      <c r="T177" s="24" t="n"/>
      <c r="U177" s="24" t="n"/>
      <c r="V177" s="25">
        <f>IF(COUNTA(A177,D177,C177,L177)=0,"",IF(A177="","No date - sits outside every month",IF(E177="","No job number",IF(F177="CHECK","Job number is not in the Xero job list",IF(I177="","No cost centre",IF(AND(P177="Y",C177=""),"Marked posted to Xero but has no invoice number",IF(AND(L177&lt;&gt;"",K177=""),"No tax code",IF(AND(L177&lt;&gt;"",O177=""),"No revenue GL code",""))))))))</f>
        <v/>
      </c>
      <c r="W177" s="25">
        <f>IF(E177="","",IF(COUNTIF(tbl_Onsite[Job Number],E177&amp;"")&gt;0,"Onsite",IF(COUNTIF(tbl_Production[Job Number],E177&amp;"")&gt;0,"Production",IF(COUNTIF(tbl_Consulting[Job Number],E177&amp;"")&gt;0,"Consulting","not set up yet"))))</f>
        <v/>
      </c>
      <c r="X177" s="25">
        <f>IF(E177="","",IFERROR(INDEX(lst_JobName,MATCH(E177&amp;"",lst_Jobs,0)),""))</f>
        <v/>
      </c>
      <c r="Y177" s="28">
        <f>IF(E177="","",COUNTIFS(tbl_Finance[Job Number],E177&amp;"",tbl_Finance[Ex GST],"&lt;&gt;"))</f>
        <v/>
      </c>
      <c r="Z177" s="27">
        <f>IF(E177="","",SUMIFS(tbl_Finance[Ex GST],tbl_Finance[Job Number],E177&amp;""))</f>
        <v/>
      </c>
      <c r="AA177" s="27">
        <f>IF(E177="","",SUMIFS(tbl_Finance[Ex GST],tbl_Finance[Job Number],E177&amp;"",tbl_Finance[Xero Invoice No],"&lt;&gt;"))</f>
        <v/>
      </c>
      <c r="AB177" s="27">
        <f>IF(E177="","",Z177-AA177)</f>
        <v/>
      </c>
      <c r="AC177" s="25">
        <f>IF(E177="","",IFERROR(IF(INDEX(tbl_Onsite[Qwilr Quote],MATCH(E177&amp;"",tbl_Onsite[Job Number],0))="","",INDEX(tbl_Onsite[Qwilr Quote],MATCH(E177&amp;"",tbl_Onsite[Job Number],0))),IFERROR(IF(IF(INDEX(tbl_Production[Current RMS No],MATCH(E177&amp;"",tbl_Production[Job Number],0))="",INDEX(tbl_Production[Qwilr Quote],MATCH(E177&amp;"",tbl_Production[Job Number],0)),INDEX(tbl_Production[Current RMS No],MATCH(E177&amp;"",tbl_Production[Job Number],0)))="","",IF(INDEX(tbl_Production[Current RMS No],MATCH(E177&amp;"",tbl_Production[Job Number],0))="",INDEX(tbl_Production[Qwilr Quote],MATCH(E177&amp;"",tbl_Production[Job Number],0)),INDEX(tbl_Production[Current RMS No],MATCH(E177&amp;"",tbl_Production[Job Number],0)))),IFERROR(IF(INDEX(tbl_Consulting[Qwilr Quote],MATCH(E177&amp;"",tbl_Consulting[Job Number],0))="","",INDEX(tbl_Consulting[Qwilr Quote],MATCH(E177&amp;"",tbl_Consulting[Job Number],0))),""))))</f>
        <v/>
      </c>
      <c r="AD177" s="25">
        <f>IF(AC177="","",IF(AND(LEFT(AC177,4)&lt;&gt;"http",IF(H177="Production",set_RMSBase,set_QwilrBase)=""),"",HYPERLINK(IF(LEFT(AC177,4)="http",AC177,IF(H177="Production",set_RMSBase,set_QwilrBase)&amp;AC177),"Open")))</f>
        <v/>
      </c>
      <c r="AE177" s="27">
        <f>IF(E177="","",IFERROR(INDEX(tbl_Production[Total Expense],MATCH(E177&amp;"",tbl_Production[Job Number],0)),IFERROR(INDEX(tbl_Consulting[Total Expense],MATCH(E177&amp;"",tbl_Consulting[Job Number],0)),0)))</f>
        <v/>
      </c>
      <c r="AF177" s="27">
        <f>IF(E177="","",Z177-N(AE177))</f>
        <v/>
      </c>
      <c r="AG177" s="29">
        <f>IFERROR(AF177/Z177,"")</f>
        <v/>
      </c>
      <c r="AH177" s="25">
        <f>IF(E177="","",IFERROR(IF(INDEX(tbl_Onsite[Notes],MATCH(E177&amp;"",tbl_Onsite[Job Number],0))="","",INDEX(tbl_Onsite[Notes],MATCH(E177&amp;"",tbl_Onsite[Job Number],0))),IFERROR(IF(INDEX(tbl_Production[Notes],MATCH(E177&amp;"",tbl_Production[Job Number],0))="","",INDEX(tbl_Production[Notes],MATCH(E177&amp;"",tbl_Production[Job Number],0))),IFERROR(IF(INDEX(tbl_Consulting[Notes],MATCH(E177&amp;"",tbl_Consulting[Job Number],0))="","",INDEX(tbl_Consulting[Notes],MATCH(E177&amp;"",tbl_Consulting[Job Number],0))),""))))</f>
        <v/>
      </c>
    </row>
    <row r="178" ht="15" customHeight="1">
      <c r="A178" s="22" t="n"/>
      <c r="B178" s="23">
        <f>IF(A178="","",EOMONTH(A178,0))</f>
        <v/>
      </c>
      <c r="C178" s="24" t="n"/>
      <c r="D178" s="24" t="n"/>
      <c r="E178" s="24" t="n"/>
      <c r="F178" s="25">
        <f>IF(E178="","",IF(COUNTIF(lst_Jobs,E178&amp;"")&gt;0,"OK","CHECK"))</f>
        <v/>
      </c>
      <c r="G178" s="24" t="n"/>
      <c r="H178" s="24" t="n"/>
      <c r="I178" s="24" t="n"/>
      <c r="J178" s="24" t="n"/>
      <c r="K178" s="24" t="n"/>
      <c r="L178" s="26" t="n"/>
      <c r="M178" s="27">
        <f>IF(L178="","",IF(K178="GST 10%",ROUND(L178*set_GSTRate,2),0))</f>
        <v/>
      </c>
      <c r="N178" s="27">
        <f>IF(L178="","",L178+M178)</f>
        <v/>
      </c>
      <c r="O178" s="24" t="n"/>
      <c r="P178" s="24" t="n"/>
      <c r="Q178" s="24" t="n"/>
      <c r="R178" s="22" t="n"/>
      <c r="S178" s="22" t="n"/>
      <c r="T178" s="24" t="n"/>
      <c r="U178" s="24" t="n"/>
      <c r="V178" s="25">
        <f>IF(COUNTA(A178,D178,C178,L178)=0,"",IF(A178="","No date - sits outside every month",IF(E178="","No job number",IF(F178="CHECK","Job number is not in the Xero job list",IF(I178="","No cost centre",IF(AND(P178="Y",C178=""),"Marked posted to Xero but has no invoice number",IF(AND(L178&lt;&gt;"",K178=""),"No tax code",IF(AND(L178&lt;&gt;"",O178=""),"No revenue GL code",""))))))))</f>
        <v/>
      </c>
      <c r="W178" s="25">
        <f>IF(E178="","",IF(COUNTIF(tbl_Onsite[Job Number],E178&amp;"")&gt;0,"Onsite",IF(COUNTIF(tbl_Production[Job Number],E178&amp;"")&gt;0,"Production",IF(COUNTIF(tbl_Consulting[Job Number],E178&amp;"")&gt;0,"Consulting","not set up yet"))))</f>
        <v/>
      </c>
      <c r="X178" s="25">
        <f>IF(E178="","",IFERROR(INDEX(lst_JobName,MATCH(E178&amp;"",lst_Jobs,0)),""))</f>
        <v/>
      </c>
      <c r="Y178" s="28">
        <f>IF(E178="","",COUNTIFS(tbl_Finance[Job Number],E178&amp;"",tbl_Finance[Ex GST],"&lt;&gt;"))</f>
        <v/>
      </c>
      <c r="Z178" s="27">
        <f>IF(E178="","",SUMIFS(tbl_Finance[Ex GST],tbl_Finance[Job Number],E178&amp;""))</f>
        <v/>
      </c>
      <c r="AA178" s="27">
        <f>IF(E178="","",SUMIFS(tbl_Finance[Ex GST],tbl_Finance[Job Number],E178&amp;"",tbl_Finance[Xero Invoice No],"&lt;&gt;"))</f>
        <v/>
      </c>
      <c r="AB178" s="27">
        <f>IF(E178="","",Z178-AA178)</f>
        <v/>
      </c>
      <c r="AC178" s="25">
        <f>IF(E178="","",IFERROR(IF(INDEX(tbl_Onsite[Qwilr Quote],MATCH(E178&amp;"",tbl_Onsite[Job Number],0))="","",INDEX(tbl_Onsite[Qwilr Quote],MATCH(E178&amp;"",tbl_Onsite[Job Number],0))),IFERROR(IF(IF(INDEX(tbl_Production[Current RMS No],MATCH(E178&amp;"",tbl_Production[Job Number],0))="",INDEX(tbl_Production[Qwilr Quote],MATCH(E178&amp;"",tbl_Production[Job Number],0)),INDEX(tbl_Production[Current RMS No],MATCH(E178&amp;"",tbl_Production[Job Number],0)))="","",IF(INDEX(tbl_Production[Current RMS No],MATCH(E178&amp;"",tbl_Production[Job Number],0))="",INDEX(tbl_Production[Qwilr Quote],MATCH(E178&amp;"",tbl_Production[Job Number],0)),INDEX(tbl_Production[Current RMS No],MATCH(E178&amp;"",tbl_Production[Job Number],0)))),IFERROR(IF(INDEX(tbl_Consulting[Qwilr Quote],MATCH(E178&amp;"",tbl_Consulting[Job Number],0))="","",INDEX(tbl_Consulting[Qwilr Quote],MATCH(E178&amp;"",tbl_Consulting[Job Number],0))),""))))</f>
        <v/>
      </c>
      <c r="AD178" s="25">
        <f>IF(AC178="","",IF(AND(LEFT(AC178,4)&lt;&gt;"http",IF(H178="Production",set_RMSBase,set_QwilrBase)=""),"",HYPERLINK(IF(LEFT(AC178,4)="http",AC178,IF(H178="Production",set_RMSBase,set_QwilrBase)&amp;AC178),"Open")))</f>
        <v/>
      </c>
      <c r="AE178" s="27">
        <f>IF(E178="","",IFERROR(INDEX(tbl_Production[Total Expense],MATCH(E178&amp;"",tbl_Production[Job Number],0)),IFERROR(INDEX(tbl_Consulting[Total Expense],MATCH(E178&amp;"",tbl_Consulting[Job Number],0)),0)))</f>
        <v/>
      </c>
      <c r="AF178" s="27">
        <f>IF(E178="","",Z178-N(AE178))</f>
        <v/>
      </c>
      <c r="AG178" s="29">
        <f>IFERROR(AF178/Z178,"")</f>
        <v/>
      </c>
      <c r="AH178" s="25">
        <f>IF(E178="","",IFERROR(IF(INDEX(tbl_Onsite[Notes],MATCH(E178&amp;"",tbl_Onsite[Job Number],0))="","",INDEX(tbl_Onsite[Notes],MATCH(E178&amp;"",tbl_Onsite[Job Number],0))),IFERROR(IF(INDEX(tbl_Production[Notes],MATCH(E178&amp;"",tbl_Production[Job Number],0))="","",INDEX(tbl_Production[Notes],MATCH(E178&amp;"",tbl_Production[Job Number],0))),IFERROR(IF(INDEX(tbl_Consulting[Notes],MATCH(E178&amp;"",tbl_Consulting[Job Number],0))="","",INDEX(tbl_Consulting[Notes],MATCH(E178&amp;"",tbl_Consulting[Job Number],0))),""))))</f>
        <v/>
      </c>
    </row>
    <row r="179" ht="15" customHeight="1">
      <c r="A179" s="22" t="n"/>
      <c r="B179" s="23">
        <f>IF(A179="","",EOMONTH(A179,0))</f>
        <v/>
      </c>
      <c r="C179" s="24" t="n"/>
      <c r="D179" s="24" t="n"/>
      <c r="E179" s="24" t="n"/>
      <c r="F179" s="25">
        <f>IF(E179="","",IF(COUNTIF(lst_Jobs,E179&amp;"")&gt;0,"OK","CHECK"))</f>
        <v/>
      </c>
      <c r="G179" s="24" t="n"/>
      <c r="H179" s="24" t="n"/>
      <c r="I179" s="24" t="n"/>
      <c r="J179" s="24" t="n"/>
      <c r="K179" s="24" t="n"/>
      <c r="L179" s="26" t="n"/>
      <c r="M179" s="27">
        <f>IF(L179="","",IF(K179="GST 10%",ROUND(L179*set_GSTRate,2),0))</f>
        <v/>
      </c>
      <c r="N179" s="27">
        <f>IF(L179="","",L179+M179)</f>
        <v/>
      </c>
      <c r="O179" s="24" t="n"/>
      <c r="P179" s="24" t="n"/>
      <c r="Q179" s="24" t="n"/>
      <c r="R179" s="22" t="n"/>
      <c r="S179" s="22" t="n"/>
      <c r="T179" s="24" t="n"/>
      <c r="U179" s="24" t="n"/>
      <c r="V179" s="25">
        <f>IF(COUNTA(A179,D179,C179,L179)=0,"",IF(A179="","No date - sits outside every month",IF(E179="","No job number",IF(F179="CHECK","Job number is not in the Xero job list",IF(I179="","No cost centre",IF(AND(P179="Y",C179=""),"Marked posted to Xero but has no invoice number",IF(AND(L179&lt;&gt;"",K179=""),"No tax code",IF(AND(L179&lt;&gt;"",O179=""),"No revenue GL code",""))))))))</f>
        <v/>
      </c>
      <c r="W179" s="25">
        <f>IF(E179="","",IF(COUNTIF(tbl_Onsite[Job Number],E179&amp;"")&gt;0,"Onsite",IF(COUNTIF(tbl_Production[Job Number],E179&amp;"")&gt;0,"Production",IF(COUNTIF(tbl_Consulting[Job Number],E179&amp;"")&gt;0,"Consulting","not set up yet"))))</f>
        <v/>
      </c>
      <c r="X179" s="25">
        <f>IF(E179="","",IFERROR(INDEX(lst_JobName,MATCH(E179&amp;"",lst_Jobs,0)),""))</f>
        <v/>
      </c>
      <c r="Y179" s="28">
        <f>IF(E179="","",COUNTIFS(tbl_Finance[Job Number],E179&amp;"",tbl_Finance[Ex GST],"&lt;&gt;"))</f>
        <v/>
      </c>
      <c r="Z179" s="27">
        <f>IF(E179="","",SUMIFS(tbl_Finance[Ex GST],tbl_Finance[Job Number],E179&amp;""))</f>
        <v/>
      </c>
      <c r="AA179" s="27">
        <f>IF(E179="","",SUMIFS(tbl_Finance[Ex GST],tbl_Finance[Job Number],E179&amp;"",tbl_Finance[Xero Invoice No],"&lt;&gt;"))</f>
        <v/>
      </c>
      <c r="AB179" s="27">
        <f>IF(E179="","",Z179-AA179)</f>
        <v/>
      </c>
      <c r="AC179" s="25">
        <f>IF(E179="","",IFERROR(IF(INDEX(tbl_Onsite[Qwilr Quote],MATCH(E179&amp;"",tbl_Onsite[Job Number],0))="","",INDEX(tbl_Onsite[Qwilr Quote],MATCH(E179&amp;"",tbl_Onsite[Job Number],0))),IFERROR(IF(IF(INDEX(tbl_Production[Current RMS No],MATCH(E179&amp;"",tbl_Production[Job Number],0))="",INDEX(tbl_Production[Qwilr Quote],MATCH(E179&amp;"",tbl_Production[Job Number],0)),INDEX(tbl_Production[Current RMS No],MATCH(E179&amp;"",tbl_Production[Job Number],0)))="","",IF(INDEX(tbl_Production[Current RMS No],MATCH(E179&amp;"",tbl_Production[Job Number],0))="",INDEX(tbl_Production[Qwilr Quote],MATCH(E179&amp;"",tbl_Production[Job Number],0)),INDEX(tbl_Production[Current RMS No],MATCH(E179&amp;"",tbl_Production[Job Number],0)))),IFERROR(IF(INDEX(tbl_Consulting[Qwilr Quote],MATCH(E179&amp;"",tbl_Consulting[Job Number],0))="","",INDEX(tbl_Consulting[Qwilr Quote],MATCH(E179&amp;"",tbl_Consulting[Job Number],0))),""))))</f>
        <v/>
      </c>
      <c r="AD179" s="25">
        <f>IF(AC179="","",IF(AND(LEFT(AC179,4)&lt;&gt;"http",IF(H179="Production",set_RMSBase,set_QwilrBase)=""),"",HYPERLINK(IF(LEFT(AC179,4)="http",AC179,IF(H179="Production",set_RMSBase,set_QwilrBase)&amp;AC179),"Open")))</f>
        <v/>
      </c>
      <c r="AE179" s="27">
        <f>IF(E179="","",IFERROR(INDEX(tbl_Production[Total Expense],MATCH(E179&amp;"",tbl_Production[Job Number],0)),IFERROR(INDEX(tbl_Consulting[Total Expense],MATCH(E179&amp;"",tbl_Consulting[Job Number],0)),0)))</f>
        <v/>
      </c>
      <c r="AF179" s="27">
        <f>IF(E179="","",Z179-N(AE179))</f>
        <v/>
      </c>
      <c r="AG179" s="29">
        <f>IFERROR(AF179/Z179,"")</f>
        <v/>
      </c>
      <c r="AH179" s="25">
        <f>IF(E179="","",IFERROR(IF(INDEX(tbl_Onsite[Notes],MATCH(E179&amp;"",tbl_Onsite[Job Number],0))="","",INDEX(tbl_Onsite[Notes],MATCH(E179&amp;"",tbl_Onsite[Job Number],0))),IFERROR(IF(INDEX(tbl_Production[Notes],MATCH(E179&amp;"",tbl_Production[Job Number],0))="","",INDEX(tbl_Production[Notes],MATCH(E179&amp;"",tbl_Production[Job Number],0))),IFERROR(IF(INDEX(tbl_Consulting[Notes],MATCH(E179&amp;"",tbl_Consulting[Job Number],0))="","",INDEX(tbl_Consulting[Notes],MATCH(E179&amp;"",tbl_Consulting[Job Number],0))),""))))</f>
        <v/>
      </c>
    </row>
    <row r="180" ht="15" customHeight="1">
      <c r="A180" s="22" t="n"/>
      <c r="B180" s="23">
        <f>IF(A180="","",EOMONTH(A180,0))</f>
        <v/>
      </c>
      <c r="C180" s="24" t="n"/>
      <c r="D180" s="24" t="n"/>
      <c r="E180" s="24" t="n"/>
      <c r="F180" s="25">
        <f>IF(E180="","",IF(COUNTIF(lst_Jobs,E180&amp;"")&gt;0,"OK","CHECK"))</f>
        <v/>
      </c>
      <c r="G180" s="24" t="n"/>
      <c r="H180" s="24" t="n"/>
      <c r="I180" s="24" t="n"/>
      <c r="J180" s="24" t="n"/>
      <c r="K180" s="24" t="n"/>
      <c r="L180" s="26" t="n"/>
      <c r="M180" s="27">
        <f>IF(L180="","",IF(K180="GST 10%",ROUND(L180*set_GSTRate,2),0))</f>
        <v/>
      </c>
      <c r="N180" s="27">
        <f>IF(L180="","",L180+M180)</f>
        <v/>
      </c>
      <c r="O180" s="24" t="n"/>
      <c r="P180" s="24" t="n"/>
      <c r="Q180" s="24" t="n"/>
      <c r="R180" s="22" t="n"/>
      <c r="S180" s="22" t="n"/>
      <c r="T180" s="24" t="n"/>
      <c r="U180" s="24" t="n"/>
      <c r="V180" s="25">
        <f>IF(COUNTA(A180,D180,C180,L180)=0,"",IF(A180="","No date - sits outside every month",IF(E180="","No job number",IF(F180="CHECK","Job number is not in the Xero job list",IF(I180="","No cost centre",IF(AND(P180="Y",C180=""),"Marked posted to Xero but has no invoice number",IF(AND(L180&lt;&gt;"",K180=""),"No tax code",IF(AND(L180&lt;&gt;"",O180=""),"No revenue GL code",""))))))))</f>
        <v/>
      </c>
      <c r="W180" s="25">
        <f>IF(E180="","",IF(COUNTIF(tbl_Onsite[Job Number],E180&amp;"")&gt;0,"Onsite",IF(COUNTIF(tbl_Production[Job Number],E180&amp;"")&gt;0,"Production",IF(COUNTIF(tbl_Consulting[Job Number],E180&amp;"")&gt;0,"Consulting","not set up yet"))))</f>
        <v/>
      </c>
      <c r="X180" s="25">
        <f>IF(E180="","",IFERROR(INDEX(lst_JobName,MATCH(E180&amp;"",lst_Jobs,0)),""))</f>
        <v/>
      </c>
      <c r="Y180" s="28">
        <f>IF(E180="","",COUNTIFS(tbl_Finance[Job Number],E180&amp;"",tbl_Finance[Ex GST],"&lt;&gt;"))</f>
        <v/>
      </c>
      <c r="Z180" s="27">
        <f>IF(E180="","",SUMIFS(tbl_Finance[Ex GST],tbl_Finance[Job Number],E180&amp;""))</f>
        <v/>
      </c>
      <c r="AA180" s="27">
        <f>IF(E180="","",SUMIFS(tbl_Finance[Ex GST],tbl_Finance[Job Number],E180&amp;"",tbl_Finance[Xero Invoice No],"&lt;&gt;"))</f>
        <v/>
      </c>
      <c r="AB180" s="27">
        <f>IF(E180="","",Z180-AA180)</f>
        <v/>
      </c>
      <c r="AC180" s="25">
        <f>IF(E180="","",IFERROR(IF(INDEX(tbl_Onsite[Qwilr Quote],MATCH(E180&amp;"",tbl_Onsite[Job Number],0))="","",INDEX(tbl_Onsite[Qwilr Quote],MATCH(E180&amp;"",tbl_Onsite[Job Number],0))),IFERROR(IF(IF(INDEX(tbl_Production[Current RMS No],MATCH(E180&amp;"",tbl_Production[Job Number],0))="",INDEX(tbl_Production[Qwilr Quote],MATCH(E180&amp;"",tbl_Production[Job Number],0)),INDEX(tbl_Production[Current RMS No],MATCH(E180&amp;"",tbl_Production[Job Number],0)))="","",IF(INDEX(tbl_Production[Current RMS No],MATCH(E180&amp;"",tbl_Production[Job Number],0))="",INDEX(tbl_Production[Qwilr Quote],MATCH(E180&amp;"",tbl_Production[Job Number],0)),INDEX(tbl_Production[Current RMS No],MATCH(E180&amp;"",tbl_Production[Job Number],0)))),IFERROR(IF(INDEX(tbl_Consulting[Qwilr Quote],MATCH(E180&amp;"",tbl_Consulting[Job Number],0))="","",INDEX(tbl_Consulting[Qwilr Quote],MATCH(E180&amp;"",tbl_Consulting[Job Number],0))),""))))</f>
        <v/>
      </c>
      <c r="AD180" s="25">
        <f>IF(AC180="","",IF(AND(LEFT(AC180,4)&lt;&gt;"http",IF(H180="Production",set_RMSBase,set_QwilrBase)=""),"",HYPERLINK(IF(LEFT(AC180,4)="http",AC180,IF(H180="Production",set_RMSBase,set_QwilrBase)&amp;AC180),"Open")))</f>
        <v/>
      </c>
      <c r="AE180" s="27">
        <f>IF(E180="","",IFERROR(INDEX(tbl_Production[Total Expense],MATCH(E180&amp;"",tbl_Production[Job Number],0)),IFERROR(INDEX(tbl_Consulting[Total Expense],MATCH(E180&amp;"",tbl_Consulting[Job Number],0)),0)))</f>
        <v/>
      </c>
      <c r="AF180" s="27">
        <f>IF(E180="","",Z180-N(AE180))</f>
        <v/>
      </c>
      <c r="AG180" s="29">
        <f>IFERROR(AF180/Z180,"")</f>
        <v/>
      </c>
      <c r="AH180" s="25">
        <f>IF(E180="","",IFERROR(IF(INDEX(tbl_Onsite[Notes],MATCH(E180&amp;"",tbl_Onsite[Job Number],0))="","",INDEX(tbl_Onsite[Notes],MATCH(E180&amp;"",tbl_Onsite[Job Number],0))),IFERROR(IF(INDEX(tbl_Production[Notes],MATCH(E180&amp;"",tbl_Production[Job Number],0))="","",INDEX(tbl_Production[Notes],MATCH(E180&amp;"",tbl_Production[Job Number],0))),IFERROR(IF(INDEX(tbl_Consulting[Notes],MATCH(E180&amp;"",tbl_Consulting[Job Number],0))="","",INDEX(tbl_Consulting[Notes],MATCH(E180&amp;"",tbl_Consulting[Job Number],0))),""))))</f>
        <v/>
      </c>
    </row>
    <row r="181" ht="15" customHeight="1">
      <c r="A181" s="22" t="n"/>
      <c r="B181" s="23">
        <f>IF(A181="","",EOMONTH(A181,0))</f>
        <v/>
      </c>
      <c r="C181" s="24" t="n"/>
      <c r="D181" s="24" t="n"/>
      <c r="E181" s="24" t="n"/>
      <c r="F181" s="25">
        <f>IF(E181="","",IF(COUNTIF(lst_Jobs,E181&amp;"")&gt;0,"OK","CHECK"))</f>
        <v/>
      </c>
      <c r="G181" s="24" t="n"/>
      <c r="H181" s="24" t="n"/>
      <c r="I181" s="24" t="n"/>
      <c r="J181" s="24" t="n"/>
      <c r="K181" s="24" t="n"/>
      <c r="L181" s="26" t="n"/>
      <c r="M181" s="27">
        <f>IF(L181="","",IF(K181="GST 10%",ROUND(L181*set_GSTRate,2),0))</f>
        <v/>
      </c>
      <c r="N181" s="27">
        <f>IF(L181="","",L181+M181)</f>
        <v/>
      </c>
      <c r="O181" s="24" t="n"/>
      <c r="P181" s="24" t="n"/>
      <c r="Q181" s="24" t="n"/>
      <c r="R181" s="22" t="n"/>
      <c r="S181" s="22" t="n"/>
      <c r="T181" s="24" t="n"/>
      <c r="U181" s="24" t="n"/>
      <c r="V181" s="25">
        <f>IF(COUNTA(A181,D181,C181,L181)=0,"",IF(A181="","No date - sits outside every month",IF(E181="","No job number",IF(F181="CHECK","Job number is not in the Xero job list",IF(I181="","No cost centre",IF(AND(P181="Y",C181=""),"Marked posted to Xero but has no invoice number",IF(AND(L181&lt;&gt;"",K181=""),"No tax code",IF(AND(L181&lt;&gt;"",O181=""),"No revenue GL code",""))))))))</f>
        <v/>
      </c>
      <c r="W181" s="25">
        <f>IF(E181="","",IF(COUNTIF(tbl_Onsite[Job Number],E181&amp;"")&gt;0,"Onsite",IF(COUNTIF(tbl_Production[Job Number],E181&amp;"")&gt;0,"Production",IF(COUNTIF(tbl_Consulting[Job Number],E181&amp;"")&gt;0,"Consulting","not set up yet"))))</f>
        <v/>
      </c>
      <c r="X181" s="25">
        <f>IF(E181="","",IFERROR(INDEX(lst_JobName,MATCH(E181&amp;"",lst_Jobs,0)),""))</f>
        <v/>
      </c>
      <c r="Y181" s="28">
        <f>IF(E181="","",COUNTIFS(tbl_Finance[Job Number],E181&amp;"",tbl_Finance[Ex GST],"&lt;&gt;"))</f>
        <v/>
      </c>
      <c r="Z181" s="27">
        <f>IF(E181="","",SUMIFS(tbl_Finance[Ex GST],tbl_Finance[Job Number],E181&amp;""))</f>
        <v/>
      </c>
      <c r="AA181" s="27">
        <f>IF(E181="","",SUMIFS(tbl_Finance[Ex GST],tbl_Finance[Job Number],E181&amp;"",tbl_Finance[Xero Invoice No],"&lt;&gt;"))</f>
        <v/>
      </c>
      <c r="AB181" s="27">
        <f>IF(E181="","",Z181-AA181)</f>
        <v/>
      </c>
      <c r="AC181" s="25">
        <f>IF(E181="","",IFERROR(IF(INDEX(tbl_Onsite[Qwilr Quote],MATCH(E181&amp;"",tbl_Onsite[Job Number],0))="","",INDEX(tbl_Onsite[Qwilr Quote],MATCH(E181&amp;"",tbl_Onsite[Job Number],0))),IFERROR(IF(IF(INDEX(tbl_Production[Current RMS No],MATCH(E181&amp;"",tbl_Production[Job Number],0))="",INDEX(tbl_Production[Qwilr Quote],MATCH(E181&amp;"",tbl_Production[Job Number],0)),INDEX(tbl_Production[Current RMS No],MATCH(E181&amp;"",tbl_Production[Job Number],0)))="","",IF(INDEX(tbl_Production[Current RMS No],MATCH(E181&amp;"",tbl_Production[Job Number],0))="",INDEX(tbl_Production[Qwilr Quote],MATCH(E181&amp;"",tbl_Production[Job Number],0)),INDEX(tbl_Production[Current RMS No],MATCH(E181&amp;"",tbl_Production[Job Number],0)))),IFERROR(IF(INDEX(tbl_Consulting[Qwilr Quote],MATCH(E181&amp;"",tbl_Consulting[Job Number],0))="","",INDEX(tbl_Consulting[Qwilr Quote],MATCH(E181&amp;"",tbl_Consulting[Job Number],0))),""))))</f>
        <v/>
      </c>
      <c r="AD181" s="25">
        <f>IF(AC181="","",IF(AND(LEFT(AC181,4)&lt;&gt;"http",IF(H181="Production",set_RMSBase,set_QwilrBase)=""),"",HYPERLINK(IF(LEFT(AC181,4)="http",AC181,IF(H181="Production",set_RMSBase,set_QwilrBase)&amp;AC181),"Open")))</f>
        <v/>
      </c>
      <c r="AE181" s="27">
        <f>IF(E181="","",IFERROR(INDEX(tbl_Production[Total Expense],MATCH(E181&amp;"",tbl_Production[Job Number],0)),IFERROR(INDEX(tbl_Consulting[Total Expense],MATCH(E181&amp;"",tbl_Consulting[Job Number],0)),0)))</f>
        <v/>
      </c>
      <c r="AF181" s="27">
        <f>IF(E181="","",Z181-N(AE181))</f>
        <v/>
      </c>
      <c r="AG181" s="29">
        <f>IFERROR(AF181/Z181,"")</f>
        <v/>
      </c>
      <c r="AH181" s="25">
        <f>IF(E181="","",IFERROR(IF(INDEX(tbl_Onsite[Notes],MATCH(E181&amp;"",tbl_Onsite[Job Number],0))="","",INDEX(tbl_Onsite[Notes],MATCH(E181&amp;"",tbl_Onsite[Job Number],0))),IFERROR(IF(INDEX(tbl_Production[Notes],MATCH(E181&amp;"",tbl_Production[Job Number],0))="","",INDEX(tbl_Production[Notes],MATCH(E181&amp;"",tbl_Production[Job Number],0))),IFERROR(IF(INDEX(tbl_Consulting[Notes],MATCH(E181&amp;"",tbl_Consulting[Job Number],0))="","",INDEX(tbl_Consulting[Notes],MATCH(E181&amp;"",tbl_Consulting[Job Number],0))),""))))</f>
        <v/>
      </c>
    </row>
    <row r="182" ht="15" customHeight="1">
      <c r="A182" s="22" t="n"/>
      <c r="B182" s="23">
        <f>IF(A182="","",EOMONTH(A182,0))</f>
        <v/>
      </c>
      <c r="C182" s="24" t="n"/>
      <c r="D182" s="24" t="n"/>
      <c r="E182" s="24" t="n"/>
      <c r="F182" s="25">
        <f>IF(E182="","",IF(COUNTIF(lst_Jobs,E182&amp;"")&gt;0,"OK","CHECK"))</f>
        <v/>
      </c>
      <c r="G182" s="24" t="n"/>
      <c r="H182" s="24" t="n"/>
      <c r="I182" s="24" t="n"/>
      <c r="J182" s="24" t="n"/>
      <c r="K182" s="24" t="n"/>
      <c r="L182" s="26" t="n"/>
      <c r="M182" s="27">
        <f>IF(L182="","",IF(K182="GST 10%",ROUND(L182*set_GSTRate,2),0))</f>
        <v/>
      </c>
      <c r="N182" s="27">
        <f>IF(L182="","",L182+M182)</f>
        <v/>
      </c>
      <c r="O182" s="24" t="n"/>
      <c r="P182" s="24" t="n"/>
      <c r="Q182" s="24" t="n"/>
      <c r="R182" s="22" t="n"/>
      <c r="S182" s="22" t="n"/>
      <c r="T182" s="24" t="n"/>
      <c r="U182" s="24" t="n"/>
      <c r="V182" s="25">
        <f>IF(COUNTA(A182,D182,C182,L182)=0,"",IF(A182="","No date - sits outside every month",IF(E182="","No job number",IF(F182="CHECK","Job number is not in the Xero job list",IF(I182="","No cost centre",IF(AND(P182="Y",C182=""),"Marked posted to Xero but has no invoice number",IF(AND(L182&lt;&gt;"",K182=""),"No tax code",IF(AND(L182&lt;&gt;"",O182=""),"No revenue GL code",""))))))))</f>
        <v/>
      </c>
      <c r="W182" s="25">
        <f>IF(E182="","",IF(COUNTIF(tbl_Onsite[Job Number],E182&amp;"")&gt;0,"Onsite",IF(COUNTIF(tbl_Production[Job Number],E182&amp;"")&gt;0,"Production",IF(COUNTIF(tbl_Consulting[Job Number],E182&amp;"")&gt;0,"Consulting","not set up yet"))))</f>
        <v/>
      </c>
      <c r="X182" s="25">
        <f>IF(E182="","",IFERROR(INDEX(lst_JobName,MATCH(E182&amp;"",lst_Jobs,0)),""))</f>
        <v/>
      </c>
      <c r="Y182" s="28">
        <f>IF(E182="","",COUNTIFS(tbl_Finance[Job Number],E182&amp;"",tbl_Finance[Ex GST],"&lt;&gt;"))</f>
        <v/>
      </c>
      <c r="Z182" s="27">
        <f>IF(E182="","",SUMIFS(tbl_Finance[Ex GST],tbl_Finance[Job Number],E182&amp;""))</f>
        <v/>
      </c>
      <c r="AA182" s="27">
        <f>IF(E182="","",SUMIFS(tbl_Finance[Ex GST],tbl_Finance[Job Number],E182&amp;"",tbl_Finance[Xero Invoice No],"&lt;&gt;"))</f>
        <v/>
      </c>
      <c r="AB182" s="27">
        <f>IF(E182="","",Z182-AA182)</f>
        <v/>
      </c>
      <c r="AC182" s="25">
        <f>IF(E182="","",IFERROR(IF(INDEX(tbl_Onsite[Qwilr Quote],MATCH(E182&amp;"",tbl_Onsite[Job Number],0))="","",INDEX(tbl_Onsite[Qwilr Quote],MATCH(E182&amp;"",tbl_Onsite[Job Number],0))),IFERROR(IF(IF(INDEX(tbl_Production[Current RMS No],MATCH(E182&amp;"",tbl_Production[Job Number],0))="",INDEX(tbl_Production[Qwilr Quote],MATCH(E182&amp;"",tbl_Production[Job Number],0)),INDEX(tbl_Production[Current RMS No],MATCH(E182&amp;"",tbl_Production[Job Number],0)))="","",IF(INDEX(tbl_Production[Current RMS No],MATCH(E182&amp;"",tbl_Production[Job Number],0))="",INDEX(tbl_Production[Qwilr Quote],MATCH(E182&amp;"",tbl_Production[Job Number],0)),INDEX(tbl_Production[Current RMS No],MATCH(E182&amp;"",tbl_Production[Job Number],0)))),IFERROR(IF(INDEX(tbl_Consulting[Qwilr Quote],MATCH(E182&amp;"",tbl_Consulting[Job Number],0))="","",INDEX(tbl_Consulting[Qwilr Quote],MATCH(E182&amp;"",tbl_Consulting[Job Number],0))),""))))</f>
        <v/>
      </c>
      <c r="AD182" s="25">
        <f>IF(AC182="","",IF(AND(LEFT(AC182,4)&lt;&gt;"http",IF(H182="Production",set_RMSBase,set_QwilrBase)=""),"",HYPERLINK(IF(LEFT(AC182,4)="http",AC182,IF(H182="Production",set_RMSBase,set_QwilrBase)&amp;AC182),"Open")))</f>
        <v/>
      </c>
      <c r="AE182" s="27">
        <f>IF(E182="","",IFERROR(INDEX(tbl_Production[Total Expense],MATCH(E182&amp;"",tbl_Production[Job Number],0)),IFERROR(INDEX(tbl_Consulting[Total Expense],MATCH(E182&amp;"",tbl_Consulting[Job Number],0)),0)))</f>
        <v/>
      </c>
      <c r="AF182" s="27">
        <f>IF(E182="","",Z182-N(AE182))</f>
        <v/>
      </c>
      <c r="AG182" s="29">
        <f>IFERROR(AF182/Z182,"")</f>
        <v/>
      </c>
      <c r="AH182" s="25">
        <f>IF(E182="","",IFERROR(IF(INDEX(tbl_Onsite[Notes],MATCH(E182&amp;"",tbl_Onsite[Job Number],0))="","",INDEX(tbl_Onsite[Notes],MATCH(E182&amp;"",tbl_Onsite[Job Number],0))),IFERROR(IF(INDEX(tbl_Production[Notes],MATCH(E182&amp;"",tbl_Production[Job Number],0))="","",INDEX(tbl_Production[Notes],MATCH(E182&amp;"",tbl_Production[Job Number],0))),IFERROR(IF(INDEX(tbl_Consulting[Notes],MATCH(E182&amp;"",tbl_Consulting[Job Number],0))="","",INDEX(tbl_Consulting[Notes],MATCH(E182&amp;"",tbl_Consulting[Job Number],0))),""))))</f>
        <v/>
      </c>
    </row>
    <row r="183" ht="15" customHeight="1">
      <c r="A183" s="22" t="n"/>
      <c r="B183" s="23">
        <f>IF(A183="","",EOMONTH(A183,0))</f>
        <v/>
      </c>
      <c r="C183" s="24" t="n"/>
      <c r="D183" s="24" t="n"/>
      <c r="E183" s="24" t="n"/>
      <c r="F183" s="25">
        <f>IF(E183="","",IF(COUNTIF(lst_Jobs,E183&amp;"")&gt;0,"OK","CHECK"))</f>
        <v/>
      </c>
      <c r="G183" s="24" t="n"/>
      <c r="H183" s="24" t="n"/>
      <c r="I183" s="24" t="n"/>
      <c r="J183" s="24" t="n"/>
      <c r="K183" s="24" t="n"/>
      <c r="L183" s="26" t="n"/>
      <c r="M183" s="27">
        <f>IF(L183="","",IF(K183="GST 10%",ROUND(L183*set_GSTRate,2),0))</f>
        <v/>
      </c>
      <c r="N183" s="27">
        <f>IF(L183="","",L183+M183)</f>
        <v/>
      </c>
      <c r="O183" s="24" t="n"/>
      <c r="P183" s="24" t="n"/>
      <c r="Q183" s="24" t="n"/>
      <c r="R183" s="22" t="n"/>
      <c r="S183" s="22" t="n"/>
      <c r="T183" s="24" t="n"/>
      <c r="U183" s="24" t="n"/>
      <c r="V183" s="25">
        <f>IF(COUNTA(A183,D183,C183,L183)=0,"",IF(A183="","No date - sits outside every month",IF(E183="","No job number",IF(F183="CHECK","Job number is not in the Xero job list",IF(I183="","No cost centre",IF(AND(P183="Y",C183=""),"Marked posted to Xero but has no invoice number",IF(AND(L183&lt;&gt;"",K183=""),"No tax code",IF(AND(L183&lt;&gt;"",O183=""),"No revenue GL code",""))))))))</f>
        <v/>
      </c>
      <c r="W183" s="25">
        <f>IF(E183="","",IF(COUNTIF(tbl_Onsite[Job Number],E183&amp;"")&gt;0,"Onsite",IF(COUNTIF(tbl_Production[Job Number],E183&amp;"")&gt;0,"Production",IF(COUNTIF(tbl_Consulting[Job Number],E183&amp;"")&gt;0,"Consulting","not set up yet"))))</f>
        <v/>
      </c>
      <c r="X183" s="25">
        <f>IF(E183="","",IFERROR(INDEX(lst_JobName,MATCH(E183&amp;"",lst_Jobs,0)),""))</f>
        <v/>
      </c>
      <c r="Y183" s="28">
        <f>IF(E183="","",COUNTIFS(tbl_Finance[Job Number],E183&amp;"",tbl_Finance[Ex GST],"&lt;&gt;"))</f>
        <v/>
      </c>
      <c r="Z183" s="27">
        <f>IF(E183="","",SUMIFS(tbl_Finance[Ex GST],tbl_Finance[Job Number],E183&amp;""))</f>
        <v/>
      </c>
      <c r="AA183" s="27">
        <f>IF(E183="","",SUMIFS(tbl_Finance[Ex GST],tbl_Finance[Job Number],E183&amp;"",tbl_Finance[Xero Invoice No],"&lt;&gt;"))</f>
        <v/>
      </c>
      <c r="AB183" s="27">
        <f>IF(E183="","",Z183-AA183)</f>
        <v/>
      </c>
      <c r="AC183" s="25">
        <f>IF(E183="","",IFERROR(IF(INDEX(tbl_Onsite[Qwilr Quote],MATCH(E183&amp;"",tbl_Onsite[Job Number],0))="","",INDEX(tbl_Onsite[Qwilr Quote],MATCH(E183&amp;"",tbl_Onsite[Job Number],0))),IFERROR(IF(IF(INDEX(tbl_Production[Current RMS No],MATCH(E183&amp;"",tbl_Production[Job Number],0))="",INDEX(tbl_Production[Qwilr Quote],MATCH(E183&amp;"",tbl_Production[Job Number],0)),INDEX(tbl_Production[Current RMS No],MATCH(E183&amp;"",tbl_Production[Job Number],0)))="","",IF(INDEX(tbl_Production[Current RMS No],MATCH(E183&amp;"",tbl_Production[Job Number],0))="",INDEX(tbl_Production[Qwilr Quote],MATCH(E183&amp;"",tbl_Production[Job Number],0)),INDEX(tbl_Production[Current RMS No],MATCH(E183&amp;"",tbl_Production[Job Number],0)))),IFERROR(IF(INDEX(tbl_Consulting[Qwilr Quote],MATCH(E183&amp;"",tbl_Consulting[Job Number],0))="","",INDEX(tbl_Consulting[Qwilr Quote],MATCH(E183&amp;"",tbl_Consulting[Job Number],0))),""))))</f>
        <v/>
      </c>
      <c r="AD183" s="25">
        <f>IF(AC183="","",IF(AND(LEFT(AC183,4)&lt;&gt;"http",IF(H183="Production",set_RMSBase,set_QwilrBase)=""),"",HYPERLINK(IF(LEFT(AC183,4)="http",AC183,IF(H183="Production",set_RMSBase,set_QwilrBase)&amp;AC183),"Open")))</f>
        <v/>
      </c>
      <c r="AE183" s="27">
        <f>IF(E183="","",IFERROR(INDEX(tbl_Production[Total Expense],MATCH(E183&amp;"",tbl_Production[Job Number],0)),IFERROR(INDEX(tbl_Consulting[Total Expense],MATCH(E183&amp;"",tbl_Consulting[Job Number],0)),0)))</f>
        <v/>
      </c>
      <c r="AF183" s="27">
        <f>IF(E183="","",Z183-N(AE183))</f>
        <v/>
      </c>
      <c r="AG183" s="29">
        <f>IFERROR(AF183/Z183,"")</f>
        <v/>
      </c>
      <c r="AH183" s="25">
        <f>IF(E183="","",IFERROR(IF(INDEX(tbl_Onsite[Notes],MATCH(E183&amp;"",tbl_Onsite[Job Number],0))="","",INDEX(tbl_Onsite[Notes],MATCH(E183&amp;"",tbl_Onsite[Job Number],0))),IFERROR(IF(INDEX(tbl_Production[Notes],MATCH(E183&amp;"",tbl_Production[Job Number],0))="","",INDEX(tbl_Production[Notes],MATCH(E183&amp;"",tbl_Production[Job Number],0))),IFERROR(IF(INDEX(tbl_Consulting[Notes],MATCH(E183&amp;"",tbl_Consulting[Job Number],0))="","",INDEX(tbl_Consulting[Notes],MATCH(E183&amp;"",tbl_Consulting[Job Number],0))),""))))</f>
        <v/>
      </c>
    </row>
    <row r="184" ht="15" customHeight="1">
      <c r="A184" s="22" t="n"/>
      <c r="B184" s="23">
        <f>IF(A184="","",EOMONTH(A184,0))</f>
        <v/>
      </c>
      <c r="C184" s="24" t="n"/>
      <c r="D184" s="24" t="n"/>
      <c r="E184" s="24" t="n"/>
      <c r="F184" s="25">
        <f>IF(E184="","",IF(COUNTIF(lst_Jobs,E184&amp;"")&gt;0,"OK","CHECK"))</f>
        <v/>
      </c>
      <c r="G184" s="24" t="n"/>
      <c r="H184" s="24" t="n"/>
      <c r="I184" s="24" t="n"/>
      <c r="J184" s="24" t="n"/>
      <c r="K184" s="24" t="n"/>
      <c r="L184" s="26" t="n"/>
      <c r="M184" s="27">
        <f>IF(L184="","",IF(K184="GST 10%",ROUND(L184*set_GSTRate,2),0))</f>
        <v/>
      </c>
      <c r="N184" s="27">
        <f>IF(L184="","",L184+M184)</f>
        <v/>
      </c>
      <c r="O184" s="24" t="n"/>
      <c r="P184" s="24" t="n"/>
      <c r="Q184" s="24" t="n"/>
      <c r="R184" s="22" t="n"/>
      <c r="S184" s="22" t="n"/>
      <c r="T184" s="24" t="n"/>
      <c r="U184" s="24" t="n"/>
      <c r="V184" s="25">
        <f>IF(COUNTA(A184,D184,C184,L184)=0,"",IF(A184="","No date - sits outside every month",IF(E184="","No job number",IF(F184="CHECK","Job number is not in the Xero job list",IF(I184="","No cost centre",IF(AND(P184="Y",C184=""),"Marked posted to Xero but has no invoice number",IF(AND(L184&lt;&gt;"",K184=""),"No tax code",IF(AND(L184&lt;&gt;"",O184=""),"No revenue GL code",""))))))))</f>
        <v/>
      </c>
      <c r="W184" s="25">
        <f>IF(E184="","",IF(COUNTIF(tbl_Onsite[Job Number],E184&amp;"")&gt;0,"Onsite",IF(COUNTIF(tbl_Production[Job Number],E184&amp;"")&gt;0,"Production",IF(COUNTIF(tbl_Consulting[Job Number],E184&amp;"")&gt;0,"Consulting","not set up yet"))))</f>
        <v/>
      </c>
      <c r="X184" s="25">
        <f>IF(E184="","",IFERROR(INDEX(lst_JobName,MATCH(E184&amp;"",lst_Jobs,0)),""))</f>
        <v/>
      </c>
      <c r="Y184" s="28">
        <f>IF(E184="","",COUNTIFS(tbl_Finance[Job Number],E184&amp;"",tbl_Finance[Ex GST],"&lt;&gt;"))</f>
        <v/>
      </c>
      <c r="Z184" s="27">
        <f>IF(E184="","",SUMIFS(tbl_Finance[Ex GST],tbl_Finance[Job Number],E184&amp;""))</f>
        <v/>
      </c>
      <c r="AA184" s="27">
        <f>IF(E184="","",SUMIFS(tbl_Finance[Ex GST],tbl_Finance[Job Number],E184&amp;"",tbl_Finance[Xero Invoice No],"&lt;&gt;"))</f>
        <v/>
      </c>
      <c r="AB184" s="27">
        <f>IF(E184="","",Z184-AA184)</f>
        <v/>
      </c>
      <c r="AC184" s="25">
        <f>IF(E184="","",IFERROR(IF(INDEX(tbl_Onsite[Qwilr Quote],MATCH(E184&amp;"",tbl_Onsite[Job Number],0))="","",INDEX(tbl_Onsite[Qwilr Quote],MATCH(E184&amp;"",tbl_Onsite[Job Number],0))),IFERROR(IF(IF(INDEX(tbl_Production[Current RMS No],MATCH(E184&amp;"",tbl_Production[Job Number],0))="",INDEX(tbl_Production[Qwilr Quote],MATCH(E184&amp;"",tbl_Production[Job Number],0)),INDEX(tbl_Production[Current RMS No],MATCH(E184&amp;"",tbl_Production[Job Number],0)))="","",IF(INDEX(tbl_Production[Current RMS No],MATCH(E184&amp;"",tbl_Production[Job Number],0))="",INDEX(tbl_Production[Qwilr Quote],MATCH(E184&amp;"",tbl_Production[Job Number],0)),INDEX(tbl_Production[Current RMS No],MATCH(E184&amp;"",tbl_Production[Job Number],0)))),IFERROR(IF(INDEX(tbl_Consulting[Qwilr Quote],MATCH(E184&amp;"",tbl_Consulting[Job Number],0))="","",INDEX(tbl_Consulting[Qwilr Quote],MATCH(E184&amp;"",tbl_Consulting[Job Number],0))),""))))</f>
        <v/>
      </c>
      <c r="AD184" s="25">
        <f>IF(AC184="","",IF(AND(LEFT(AC184,4)&lt;&gt;"http",IF(H184="Production",set_RMSBase,set_QwilrBase)=""),"",HYPERLINK(IF(LEFT(AC184,4)="http",AC184,IF(H184="Production",set_RMSBase,set_QwilrBase)&amp;AC184),"Open")))</f>
        <v/>
      </c>
      <c r="AE184" s="27">
        <f>IF(E184="","",IFERROR(INDEX(tbl_Production[Total Expense],MATCH(E184&amp;"",tbl_Production[Job Number],0)),IFERROR(INDEX(tbl_Consulting[Total Expense],MATCH(E184&amp;"",tbl_Consulting[Job Number],0)),0)))</f>
        <v/>
      </c>
      <c r="AF184" s="27">
        <f>IF(E184="","",Z184-N(AE184))</f>
        <v/>
      </c>
      <c r="AG184" s="29">
        <f>IFERROR(AF184/Z184,"")</f>
        <v/>
      </c>
      <c r="AH184" s="25">
        <f>IF(E184="","",IFERROR(IF(INDEX(tbl_Onsite[Notes],MATCH(E184&amp;"",tbl_Onsite[Job Number],0))="","",INDEX(tbl_Onsite[Notes],MATCH(E184&amp;"",tbl_Onsite[Job Number],0))),IFERROR(IF(INDEX(tbl_Production[Notes],MATCH(E184&amp;"",tbl_Production[Job Number],0))="","",INDEX(tbl_Production[Notes],MATCH(E184&amp;"",tbl_Production[Job Number],0))),IFERROR(IF(INDEX(tbl_Consulting[Notes],MATCH(E184&amp;"",tbl_Consulting[Job Number],0))="","",INDEX(tbl_Consulting[Notes],MATCH(E184&amp;"",tbl_Consulting[Job Number],0))),""))))</f>
        <v/>
      </c>
    </row>
    <row r="185" ht="15" customHeight="1">
      <c r="A185" s="22" t="n"/>
      <c r="B185" s="23">
        <f>IF(A185="","",EOMONTH(A185,0))</f>
        <v/>
      </c>
      <c r="C185" s="24" t="n"/>
      <c r="D185" s="24" t="n"/>
      <c r="E185" s="24" t="n"/>
      <c r="F185" s="25">
        <f>IF(E185="","",IF(COUNTIF(lst_Jobs,E185&amp;"")&gt;0,"OK","CHECK"))</f>
        <v/>
      </c>
      <c r="G185" s="24" t="n"/>
      <c r="H185" s="24" t="n"/>
      <c r="I185" s="24" t="n"/>
      <c r="J185" s="24" t="n"/>
      <c r="K185" s="24" t="n"/>
      <c r="L185" s="26" t="n"/>
      <c r="M185" s="27">
        <f>IF(L185="","",IF(K185="GST 10%",ROUND(L185*set_GSTRate,2),0))</f>
        <v/>
      </c>
      <c r="N185" s="27">
        <f>IF(L185="","",L185+M185)</f>
        <v/>
      </c>
      <c r="O185" s="24" t="n"/>
      <c r="P185" s="24" t="n"/>
      <c r="Q185" s="24" t="n"/>
      <c r="R185" s="22" t="n"/>
      <c r="S185" s="22" t="n"/>
      <c r="T185" s="24" t="n"/>
      <c r="U185" s="24" t="n"/>
      <c r="V185" s="25">
        <f>IF(COUNTA(A185,D185,C185,L185)=0,"",IF(A185="","No date - sits outside every month",IF(E185="","No job number",IF(F185="CHECK","Job number is not in the Xero job list",IF(I185="","No cost centre",IF(AND(P185="Y",C185=""),"Marked posted to Xero but has no invoice number",IF(AND(L185&lt;&gt;"",K185=""),"No tax code",IF(AND(L185&lt;&gt;"",O185=""),"No revenue GL code",""))))))))</f>
        <v/>
      </c>
      <c r="W185" s="25">
        <f>IF(E185="","",IF(COUNTIF(tbl_Onsite[Job Number],E185&amp;"")&gt;0,"Onsite",IF(COUNTIF(tbl_Production[Job Number],E185&amp;"")&gt;0,"Production",IF(COUNTIF(tbl_Consulting[Job Number],E185&amp;"")&gt;0,"Consulting","not set up yet"))))</f>
        <v/>
      </c>
      <c r="X185" s="25">
        <f>IF(E185="","",IFERROR(INDEX(lst_JobName,MATCH(E185&amp;"",lst_Jobs,0)),""))</f>
        <v/>
      </c>
      <c r="Y185" s="28">
        <f>IF(E185="","",COUNTIFS(tbl_Finance[Job Number],E185&amp;"",tbl_Finance[Ex GST],"&lt;&gt;"))</f>
        <v/>
      </c>
      <c r="Z185" s="27">
        <f>IF(E185="","",SUMIFS(tbl_Finance[Ex GST],tbl_Finance[Job Number],E185&amp;""))</f>
        <v/>
      </c>
      <c r="AA185" s="27">
        <f>IF(E185="","",SUMIFS(tbl_Finance[Ex GST],tbl_Finance[Job Number],E185&amp;"",tbl_Finance[Xero Invoice No],"&lt;&gt;"))</f>
        <v/>
      </c>
      <c r="AB185" s="27">
        <f>IF(E185="","",Z185-AA185)</f>
        <v/>
      </c>
      <c r="AC185" s="25">
        <f>IF(E185="","",IFERROR(IF(INDEX(tbl_Onsite[Qwilr Quote],MATCH(E185&amp;"",tbl_Onsite[Job Number],0))="","",INDEX(tbl_Onsite[Qwilr Quote],MATCH(E185&amp;"",tbl_Onsite[Job Number],0))),IFERROR(IF(IF(INDEX(tbl_Production[Current RMS No],MATCH(E185&amp;"",tbl_Production[Job Number],0))="",INDEX(tbl_Production[Qwilr Quote],MATCH(E185&amp;"",tbl_Production[Job Number],0)),INDEX(tbl_Production[Current RMS No],MATCH(E185&amp;"",tbl_Production[Job Number],0)))="","",IF(INDEX(tbl_Production[Current RMS No],MATCH(E185&amp;"",tbl_Production[Job Number],0))="",INDEX(tbl_Production[Qwilr Quote],MATCH(E185&amp;"",tbl_Production[Job Number],0)),INDEX(tbl_Production[Current RMS No],MATCH(E185&amp;"",tbl_Production[Job Number],0)))),IFERROR(IF(INDEX(tbl_Consulting[Qwilr Quote],MATCH(E185&amp;"",tbl_Consulting[Job Number],0))="","",INDEX(tbl_Consulting[Qwilr Quote],MATCH(E185&amp;"",tbl_Consulting[Job Number],0))),""))))</f>
        <v/>
      </c>
      <c r="AD185" s="25">
        <f>IF(AC185="","",IF(AND(LEFT(AC185,4)&lt;&gt;"http",IF(H185="Production",set_RMSBase,set_QwilrBase)=""),"",HYPERLINK(IF(LEFT(AC185,4)="http",AC185,IF(H185="Production",set_RMSBase,set_QwilrBase)&amp;AC185),"Open")))</f>
        <v/>
      </c>
      <c r="AE185" s="27">
        <f>IF(E185="","",IFERROR(INDEX(tbl_Production[Total Expense],MATCH(E185&amp;"",tbl_Production[Job Number],0)),IFERROR(INDEX(tbl_Consulting[Total Expense],MATCH(E185&amp;"",tbl_Consulting[Job Number],0)),0)))</f>
        <v/>
      </c>
      <c r="AF185" s="27">
        <f>IF(E185="","",Z185-N(AE185))</f>
        <v/>
      </c>
      <c r="AG185" s="29">
        <f>IFERROR(AF185/Z185,"")</f>
        <v/>
      </c>
      <c r="AH185" s="25">
        <f>IF(E185="","",IFERROR(IF(INDEX(tbl_Onsite[Notes],MATCH(E185&amp;"",tbl_Onsite[Job Number],0))="","",INDEX(tbl_Onsite[Notes],MATCH(E185&amp;"",tbl_Onsite[Job Number],0))),IFERROR(IF(INDEX(tbl_Production[Notes],MATCH(E185&amp;"",tbl_Production[Job Number],0))="","",INDEX(tbl_Production[Notes],MATCH(E185&amp;"",tbl_Production[Job Number],0))),IFERROR(IF(INDEX(tbl_Consulting[Notes],MATCH(E185&amp;"",tbl_Consulting[Job Number],0))="","",INDEX(tbl_Consulting[Notes],MATCH(E185&amp;"",tbl_Consulting[Job Number],0))),""))))</f>
        <v/>
      </c>
    </row>
    <row r="186" ht="15" customHeight="1">
      <c r="A186" s="22" t="n"/>
      <c r="B186" s="23">
        <f>IF(A186="","",EOMONTH(A186,0))</f>
        <v/>
      </c>
      <c r="C186" s="24" t="n"/>
      <c r="D186" s="24" t="n"/>
      <c r="E186" s="24" t="n"/>
      <c r="F186" s="25">
        <f>IF(E186="","",IF(COUNTIF(lst_Jobs,E186&amp;"")&gt;0,"OK","CHECK"))</f>
        <v/>
      </c>
      <c r="G186" s="24" t="n"/>
      <c r="H186" s="24" t="n"/>
      <c r="I186" s="24" t="n"/>
      <c r="J186" s="24" t="n"/>
      <c r="K186" s="24" t="n"/>
      <c r="L186" s="26" t="n"/>
      <c r="M186" s="27">
        <f>IF(L186="","",IF(K186="GST 10%",ROUND(L186*set_GSTRate,2),0))</f>
        <v/>
      </c>
      <c r="N186" s="27">
        <f>IF(L186="","",L186+M186)</f>
        <v/>
      </c>
      <c r="O186" s="24" t="n"/>
      <c r="P186" s="24" t="n"/>
      <c r="Q186" s="24" t="n"/>
      <c r="R186" s="22" t="n"/>
      <c r="S186" s="22" t="n"/>
      <c r="T186" s="24" t="n"/>
      <c r="U186" s="24" t="n"/>
      <c r="V186" s="25">
        <f>IF(COUNTA(A186,D186,C186,L186)=0,"",IF(A186="","No date - sits outside every month",IF(E186="","No job number",IF(F186="CHECK","Job number is not in the Xero job list",IF(I186="","No cost centre",IF(AND(P186="Y",C186=""),"Marked posted to Xero but has no invoice number",IF(AND(L186&lt;&gt;"",K186=""),"No tax code",IF(AND(L186&lt;&gt;"",O186=""),"No revenue GL code",""))))))))</f>
        <v/>
      </c>
      <c r="W186" s="25">
        <f>IF(E186="","",IF(COUNTIF(tbl_Onsite[Job Number],E186&amp;"")&gt;0,"Onsite",IF(COUNTIF(tbl_Production[Job Number],E186&amp;"")&gt;0,"Production",IF(COUNTIF(tbl_Consulting[Job Number],E186&amp;"")&gt;0,"Consulting","not set up yet"))))</f>
        <v/>
      </c>
      <c r="X186" s="25">
        <f>IF(E186="","",IFERROR(INDEX(lst_JobName,MATCH(E186&amp;"",lst_Jobs,0)),""))</f>
        <v/>
      </c>
      <c r="Y186" s="28">
        <f>IF(E186="","",COUNTIFS(tbl_Finance[Job Number],E186&amp;"",tbl_Finance[Ex GST],"&lt;&gt;"))</f>
        <v/>
      </c>
      <c r="Z186" s="27">
        <f>IF(E186="","",SUMIFS(tbl_Finance[Ex GST],tbl_Finance[Job Number],E186&amp;""))</f>
        <v/>
      </c>
      <c r="AA186" s="27">
        <f>IF(E186="","",SUMIFS(tbl_Finance[Ex GST],tbl_Finance[Job Number],E186&amp;"",tbl_Finance[Xero Invoice No],"&lt;&gt;"))</f>
        <v/>
      </c>
      <c r="AB186" s="27">
        <f>IF(E186="","",Z186-AA186)</f>
        <v/>
      </c>
      <c r="AC186" s="25">
        <f>IF(E186="","",IFERROR(IF(INDEX(tbl_Onsite[Qwilr Quote],MATCH(E186&amp;"",tbl_Onsite[Job Number],0))="","",INDEX(tbl_Onsite[Qwilr Quote],MATCH(E186&amp;"",tbl_Onsite[Job Number],0))),IFERROR(IF(IF(INDEX(tbl_Production[Current RMS No],MATCH(E186&amp;"",tbl_Production[Job Number],0))="",INDEX(tbl_Production[Qwilr Quote],MATCH(E186&amp;"",tbl_Production[Job Number],0)),INDEX(tbl_Production[Current RMS No],MATCH(E186&amp;"",tbl_Production[Job Number],0)))="","",IF(INDEX(tbl_Production[Current RMS No],MATCH(E186&amp;"",tbl_Production[Job Number],0))="",INDEX(tbl_Production[Qwilr Quote],MATCH(E186&amp;"",tbl_Production[Job Number],0)),INDEX(tbl_Production[Current RMS No],MATCH(E186&amp;"",tbl_Production[Job Number],0)))),IFERROR(IF(INDEX(tbl_Consulting[Qwilr Quote],MATCH(E186&amp;"",tbl_Consulting[Job Number],0))="","",INDEX(tbl_Consulting[Qwilr Quote],MATCH(E186&amp;"",tbl_Consulting[Job Number],0))),""))))</f>
        <v/>
      </c>
      <c r="AD186" s="25">
        <f>IF(AC186="","",IF(AND(LEFT(AC186,4)&lt;&gt;"http",IF(H186="Production",set_RMSBase,set_QwilrBase)=""),"",HYPERLINK(IF(LEFT(AC186,4)="http",AC186,IF(H186="Production",set_RMSBase,set_QwilrBase)&amp;AC186),"Open")))</f>
        <v/>
      </c>
      <c r="AE186" s="27">
        <f>IF(E186="","",IFERROR(INDEX(tbl_Production[Total Expense],MATCH(E186&amp;"",tbl_Production[Job Number],0)),IFERROR(INDEX(tbl_Consulting[Total Expense],MATCH(E186&amp;"",tbl_Consulting[Job Number],0)),0)))</f>
        <v/>
      </c>
      <c r="AF186" s="27">
        <f>IF(E186="","",Z186-N(AE186))</f>
        <v/>
      </c>
      <c r="AG186" s="29">
        <f>IFERROR(AF186/Z186,"")</f>
        <v/>
      </c>
      <c r="AH186" s="25">
        <f>IF(E186="","",IFERROR(IF(INDEX(tbl_Onsite[Notes],MATCH(E186&amp;"",tbl_Onsite[Job Number],0))="","",INDEX(tbl_Onsite[Notes],MATCH(E186&amp;"",tbl_Onsite[Job Number],0))),IFERROR(IF(INDEX(tbl_Production[Notes],MATCH(E186&amp;"",tbl_Production[Job Number],0))="","",INDEX(tbl_Production[Notes],MATCH(E186&amp;"",tbl_Production[Job Number],0))),IFERROR(IF(INDEX(tbl_Consulting[Notes],MATCH(E186&amp;"",tbl_Consulting[Job Number],0))="","",INDEX(tbl_Consulting[Notes],MATCH(E186&amp;"",tbl_Consulting[Job Number],0))),""))))</f>
        <v/>
      </c>
    </row>
    <row r="187" ht="15" customHeight="1">
      <c r="A187" s="22" t="n"/>
      <c r="B187" s="23">
        <f>IF(A187="","",EOMONTH(A187,0))</f>
        <v/>
      </c>
      <c r="C187" s="24" t="n"/>
      <c r="D187" s="24" t="n"/>
      <c r="E187" s="24" t="n"/>
      <c r="F187" s="25">
        <f>IF(E187="","",IF(COUNTIF(lst_Jobs,E187&amp;"")&gt;0,"OK","CHECK"))</f>
        <v/>
      </c>
      <c r="G187" s="24" t="n"/>
      <c r="H187" s="24" t="n"/>
      <c r="I187" s="24" t="n"/>
      <c r="J187" s="24" t="n"/>
      <c r="K187" s="24" t="n"/>
      <c r="L187" s="26" t="n"/>
      <c r="M187" s="27">
        <f>IF(L187="","",IF(K187="GST 10%",ROUND(L187*set_GSTRate,2),0))</f>
        <v/>
      </c>
      <c r="N187" s="27">
        <f>IF(L187="","",L187+M187)</f>
        <v/>
      </c>
      <c r="O187" s="24" t="n"/>
      <c r="P187" s="24" t="n"/>
      <c r="Q187" s="24" t="n"/>
      <c r="R187" s="22" t="n"/>
      <c r="S187" s="22" t="n"/>
      <c r="T187" s="24" t="n"/>
      <c r="U187" s="24" t="n"/>
      <c r="V187" s="25">
        <f>IF(COUNTA(A187,D187,C187,L187)=0,"",IF(A187="","No date - sits outside every month",IF(E187="","No job number",IF(F187="CHECK","Job number is not in the Xero job list",IF(I187="","No cost centre",IF(AND(P187="Y",C187=""),"Marked posted to Xero but has no invoice number",IF(AND(L187&lt;&gt;"",K187=""),"No tax code",IF(AND(L187&lt;&gt;"",O187=""),"No revenue GL code",""))))))))</f>
        <v/>
      </c>
      <c r="W187" s="25">
        <f>IF(E187="","",IF(COUNTIF(tbl_Onsite[Job Number],E187&amp;"")&gt;0,"Onsite",IF(COUNTIF(tbl_Production[Job Number],E187&amp;"")&gt;0,"Production",IF(COUNTIF(tbl_Consulting[Job Number],E187&amp;"")&gt;0,"Consulting","not set up yet"))))</f>
        <v/>
      </c>
      <c r="X187" s="25">
        <f>IF(E187="","",IFERROR(INDEX(lst_JobName,MATCH(E187&amp;"",lst_Jobs,0)),""))</f>
        <v/>
      </c>
      <c r="Y187" s="28">
        <f>IF(E187="","",COUNTIFS(tbl_Finance[Job Number],E187&amp;"",tbl_Finance[Ex GST],"&lt;&gt;"))</f>
        <v/>
      </c>
      <c r="Z187" s="27">
        <f>IF(E187="","",SUMIFS(tbl_Finance[Ex GST],tbl_Finance[Job Number],E187&amp;""))</f>
        <v/>
      </c>
      <c r="AA187" s="27">
        <f>IF(E187="","",SUMIFS(tbl_Finance[Ex GST],tbl_Finance[Job Number],E187&amp;"",tbl_Finance[Xero Invoice No],"&lt;&gt;"))</f>
        <v/>
      </c>
      <c r="AB187" s="27">
        <f>IF(E187="","",Z187-AA187)</f>
        <v/>
      </c>
      <c r="AC187" s="25">
        <f>IF(E187="","",IFERROR(IF(INDEX(tbl_Onsite[Qwilr Quote],MATCH(E187&amp;"",tbl_Onsite[Job Number],0))="","",INDEX(tbl_Onsite[Qwilr Quote],MATCH(E187&amp;"",tbl_Onsite[Job Number],0))),IFERROR(IF(IF(INDEX(tbl_Production[Current RMS No],MATCH(E187&amp;"",tbl_Production[Job Number],0))="",INDEX(tbl_Production[Qwilr Quote],MATCH(E187&amp;"",tbl_Production[Job Number],0)),INDEX(tbl_Production[Current RMS No],MATCH(E187&amp;"",tbl_Production[Job Number],0)))="","",IF(INDEX(tbl_Production[Current RMS No],MATCH(E187&amp;"",tbl_Production[Job Number],0))="",INDEX(tbl_Production[Qwilr Quote],MATCH(E187&amp;"",tbl_Production[Job Number],0)),INDEX(tbl_Production[Current RMS No],MATCH(E187&amp;"",tbl_Production[Job Number],0)))),IFERROR(IF(INDEX(tbl_Consulting[Qwilr Quote],MATCH(E187&amp;"",tbl_Consulting[Job Number],0))="","",INDEX(tbl_Consulting[Qwilr Quote],MATCH(E187&amp;"",tbl_Consulting[Job Number],0))),""))))</f>
        <v/>
      </c>
      <c r="AD187" s="25">
        <f>IF(AC187="","",IF(AND(LEFT(AC187,4)&lt;&gt;"http",IF(H187="Production",set_RMSBase,set_QwilrBase)=""),"",HYPERLINK(IF(LEFT(AC187,4)="http",AC187,IF(H187="Production",set_RMSBase,set_QwilrBase)&amp;AC187),"Open")))</f>
        <v/>
      </c>
      <c r="AE187" s="27">
        <f>IF(E187="","",IFERROR(INDEX(tbl_Production[Total Expense],MATCH(E187&amp;"",tbl_Production[Job Number],0)),IFERROR(INDEX(tbl_Consulting[Total Expense],MATCH(E187&amp;"",tbl_Consulting[Job Number],0)),0)))</f>
        <v/>
      </c>
      <c r="AF187" s="27">
        <f>IF(E187="","",Z187-N(AE187))</f>
        <v/>
      </c>
      <c r="AG187" s="29">
        <f>IFERROR(AF187/Z187,"")</f>
        <v/>
      </c>
      <c r="AH187" s="25">
        <f>IF(E187="","",IFERROR(IF(INDEX(tbl_Onsite[Notes],MATCH(E187&amp;"",tbl_Onsite[Job Number],0))="","",INDEX(tbl_Onsite[Notes],MATCH(E187&amp;"",tbl_Onsite[Job Number],0))),IFERROR(IF(INDEX(tbl_Production[Notes],MATCH(E187&amp;"",tbl_Production[Job Number],0))="","",INDEX(tbl_Production[Notes],MATCH(E187&amp;"",tbl_Production[Job Number],0))),IFERROR(IF(INDEX(tbl_Consulting[Notes],MATCH(E187&amp;"",tbl_Consulting[Job Number],0))="","",INDEX(tbl_Consulting[Notes],MATCH(E187&amp;"",tbl_Consulting[Job Number],0))),""))))</f>
        <v/>
      </c>
    </row>
    <row r="188" ht="15" customHeight="1">
      <c r="A188" s="22" t="n"/>
      <c r="B188" s="23">
        <f>IF(A188="","",EOMONTH(A188,0))</f>
        <v/>
      </c>
      <c r="C188" s="24" t="n"/>
      <c r="D188" s="24" t="n"/>
      <c r="E188" s="24" t="n"/>
      <c r="F188" s="25">
        <f>IF(E188="","",IF(COUNTIF(lst_Jobs,E188&amp;"")&gt;0,"OK","CHECK"))</f>
        <v/>
      </c>
      <c r="G188" s="24" t="n"/>
      <c r="H188" s="24" t="n"/>
      <c r="I188" s="24" t="n"/>
      <c r="J188" s="24" t="n"/>
      <c r="K188" s="24" t="n"/>
      <c r="L188" s="26" t="n"/>
      <c r="M188" s="27">
        <f>IF(L188="","",IF(K188="GST 10%",ROUND(L188*set_GSTRate,2),0))</f>
        <v/>
      </c>
      <c r="N188" s="27">
        <f>IF(L188="","",L188+M188)</f>
        <v/>
      </c>
      <c r="O188" s="24" t="n"/>
      <c r="P188" s="24" t="n"/>
      <c r="Q188" s="24" t="n"/>
      <c r="R188" s="22" t="n"/>
      <c r="S188" s="22" t="n"/>
      <c r="T188" s="24" t="n"/>
      <c r="U188" s="24" t="n"/>
      <c r="V188" s="25">
        <f>IF(COUNTA(A188,D188,C188,L188)=0,"",IF(A188="","No date - sits outside every month",IF(E188="","No job number",IF(F188="CHECK","Job number is not in the Xero job list",IF(I188="","No cost centre",IF(AND(P188="Y",C188=""),"Marked posted to Xero but has no invoice number",IF(AND(L188&lt;&gt;"",K188=""),"No tax code",IF(AND(L188&lt;&gt;"",O188=""),"No revenue GL code",""))))))))</f>
        <v/>
      </c>
      <c r="W188" s="25">
        <f>IF(E188="","",IF(COUNTIF(tbl_Onsite[Job Number],E188&amp;"")&gt;0,"Onsite",IF(COUNTIF(tbl_Production[Job Number],E188&amp;"")&gt;0,"Production",IF(COUNTIF(tbl_Consulting[Job Number],E188&amp;"")&gt;0,"Consulting","not set up yet"))))</f>
        <v/>
      </c>
      <c r="X188" s="25">
        <f>IF(E188="","",IFERROR(INDEX(lst_JobName,MATCH(E188&amp;"",lst_Jobs,0)),""))</f>
        <v/>
      </c>
      <c r="Y188" s="28">
        <f>IF(E188="","",COUNTIFS(tbl_Finance[Job Number],E188&amp;"",tbl_Finance[Ex GST],"&lt;&gt;"))</f>
        <v/>
      </c>
      <c r="Z188" s="27">
        <f>IF(E188="","",SUMIFS(tbl_Finance[Ex GST],tbl_Finance[Job Number],E188&amp;""))</f>
        <v/>
      </c>
      <c r="AA188" s="27">
        <f>IF(E188="","",SUMIFS(tbl_Finance[Ex GST],tbl_Finance[Job Number],E188&amp;"",tbl_Finance[Xero Invoice No],"&lt;&gt;"))</f>
        <v/>
      </c>
      <c r="AB188" s="27">
        <f>IF(E188="","",Z188-AA188)</f>
        <v/>
      </c>
      <c r="AC188" s="25">
        <f>IF(E188="","",IFERROR(IF(INDEX(tbl_Onsite[Qwilr Quote],MATCH(E188&amp;"",tbl_Onsite[Job Number],0))="","",INDEX(tbl_Onsite[Qwilr Quote],MATCH(E188&amp;"",tbl_Onsite[Job Number],0))),IFERROR(IF(IF(INDEX(tbl_Production[Current RMS No],MATCH(E188&amp;"",tbl_Production[Job Number],0))="",INDEX(tbl_Production[Qwilr Quote],MATCH(E188&amp;"",tbl_Production[Job Number],0)),INDEX(tbl_Production[Current RMS No],MATCH(E188&amp;"",tbl_Production[Job Number],0)))="","",IF(INDEX(tbl_Production[Current RMS No],MATCH(E188&amp;"",tbl_Production[Job Number],0))="",INDEX(tbl_Production[Qwilr Quote],MATCH(E188&amp;"",tbl_Production[Job Number],0)),INDEX(tbl_Production[Current RMS No],MATCH(E188&amp;"",tbl_Production[Job Number],0)))),IFERROR(IF(INDEX(tbl_Consulting[Qwilr Quote],MATCH(E188&amp;"",tbl_Consulting[Job Number],0))="","",INDEX(tbl_Consulting[Qwilr Quote],MATCH(E188&amp;"",tbl_Consulting[Job Number],0))),""))))</f>
        <v/>
      </c>
      <c r="AD188" s="25">
        <f>IF(AC188="","",IF(AND(LEFT(AC188,4)&lt;&gt;"http",IF(H188="Production",set_RMSBase,set_QwilrBase)=""),"",HYPERLINK(IF(LEFT(AC188,4)="http",AC188,IF(H188="Production",set_RMSBase,set_QwilrBase)&amp;AC188),"Open")))</f>
        <v/>
      </c>
      <c r="AE188" s="27">
        <f>IF(E188="","",IFERROR(INDEX(tbl_Production[Total Expense],MATCH(E188&amp;"",tbl_Production[Job Number],0)),IFERROR(INDEX(tbl_Consulting[Total Expense],MATCH(E188&amp;"",tbl_Consulting[Job Number],0)),0)))</f>
        <v/>
      </c>
      <c r="AF188" s="27">
        <f>IF(E188="","",Z188-N(AE188))</f>
        <v/>
      </c>
      <c r="AG188" s="29">
        <f>IFERROR(AF188/Z188,"")</f>
        <v/>
      </c>
      <c r="AH188" s="25">
        <f>IF(E188="","",IFERROR(IF(INDEX(tbl_Onsite[Notes],MATCH(E188&amp;"",tbl_Onsite[Job Number],0))="","",INDEX(tbl_Onsite[Notes],MATCH(E188&amp;"",tbl_Onsite[Job Number],0))),IFERROR(IF(INDEX(tbl_Production[Notes],MATCH(E188&amp;"",tbl_Production[Job Number],0))="","",INDEX(tbl_Production[Notes],MATCH(E188&amp;"",tbl_Production[Job Number],0))),IFERROR(IF(INDEX(tbl_Consulting[Notes],MATCH(E188&amp;"",tbl_Consulting[Job Number],0))="","",INDEX(tbl_Consulting[Notes],MATCH(E188&amp;"",tbl_Consulting[Job Number],0))),""))))</f>
        <v/>
      </c>
    </row>
    <row r="189" ht="15" customHeight="1">
      <c r="A189" s="22" t="n"/>
      <c r="B189" s="23">
        <f>IF(A189="","",EOMONTH(A189,0))</f>
        <v/>
      </c>
      <c r="C189" s="24" t="n"/>
      <c r="D189" s="24" t="n"/>
      <c r="E189" s="24" t="n"/>
      <c r="F189" s="25">
        <f>IF(E189="","",IF(COUNTIF(lst_Jobs,E189&amp;"")&gt;0,"OK","CHECK"))</f>
        <v/>
      </c>
      <c r="G189" s="24" t="n"/>
      <c r="H189" s="24" t="n"/>
      <c r="I189" s="24" t="n"/>
      <c r="J189" s="24" t="n"/>
      <c r="K189" s="24" t="n"/>
      <c r="L189" s="26" t="n"/>
      <c r="M189" s="27">
        <f>IF(L189="","",IF(K189="GST 10%",ROUND(L189*set_GSTRate,2),0))</f>
        <v/>
      </c>
      <c r="N189" s="27">
        <f>IF(L189="","",L189+M189)</f>
        <v/>
      </c>
      <c r="O189" s="24" t="n"/>
      <c r="P189" s="24" t="n"/>
      <c r="Q189" s="24" t="n"/>
      <c r="R189" s="22" t="n"/>
      <c r="S189" s="22" t="n"/>
      <c r="T189" s="24" t="n"/>
      <c r="U189" s="24" t="n"/>
      <c r="V189" s="25">
        <f>IF(COUNTA(A189,D189,C189,L189)=0,"",IF(A189="","No date - sits outside every month",IF(E189="","No job number",IF(F189="CHECK","Job number is not in the Xero job list",IF(I189="","No cost centre",IF(AND(P189="Y",C189=""),"Marked posted to Xero but has no invoice number",IF(AND(L189&lt;&gt;"",K189=""),"No tax code",IF(AND(L189&lt;&gt;"",O189=""),"No revenue GL code",""))))))))</f>
        <v/>
      </c>
      <c r="W189" s="25">
        <f>IF(E189="","",IF(COUNTIF(tbl_Onsite[Job Number],E189&amp;"")&gt;0,"Onsite",IF(COUNTIF(tbl_Production[Job Number],E189&amp;"")&gt;0,"Production",IF(COUNTIF(tbl_Consulting[Job Number],E189&amp;"")&gt;0,"Consulting","not set up yet"))))</f>
        <v/>
      </c>
      <c r="X189" s="25">
        <f>IF(E189="","",IFERROR(INDEX(lst_JobName,MATCH(E189&amp;"",lst_Jobs,0)),""))</f>
        <v/>
      </c>
      <c r="Y189" s="28">
        <f>IF(E189="","",COUNTIFS(tbl_Finance[Job Number],E189&amp;"",tbl_Finance[Ex GST],"&lt;&gt;"))</f>
        <v/>
      </c>
      <c r="Z189" s="27">
        <f>IF(E189="","",SUMIFS(tbl_Finance[Ex GST],tbl_Finance[Job Number],E189&amp;""))</f>
        <v/>
      </c>
      <c r="AA189" s="27">
        <f>IF(E189="","",SUMIFS(tbl_Finance[Ex GST],tbl_Finance[Job Number],E189&amp;"",tbl_Finance[Xero Invoice No],"&lt;&gt;"))</f>
        <v/>
      </c>
      <c r="AB189" s="27">
        <f>IF(E189="","",Z189-AA189)</f>
        <v/>
      </c>
      <c r="AC189" s="25">
        <f>IF(E189="","",IFERROR(IF(INDEX(tbl_Onsite[Qwilr Quote],MATCH(E189&amp;"",tbl_Onsite[Job Number],0))="","",INDEX(tbl_Onsite[Qwilr Quote],MATCH(E189&amp;"",tbl_Onsite[Job Number],0))),IFERROR(IF(IF(INDEX(tbl_Production[Current RMS No],MATCH(E189&amp;"",tbl_Production[Job Number],0))="",INDEX(tbl_Production[Qwilr Quote],MATCH(E189&amp;"",tbl_Production[Job Number],0)),INDEX(tbl_Production[Current RMS No],MATCH(E189&amp;"",tbl_Production[Job Number],0)))="","",IF(INDEX(tbl_Production[Current RMS No],MATCH(E189&amp;"",tbl_Production[Job Number],0))="",INDEX(tbl_Production[Qwilr Quote],MATCH(E189&amp;"",tbl_Production[Job Number],0)),INDEX(tbl_Production[Current RMS No],MATCH(E189&amp;"",tbl_Production[Job Number],0)))),IFERROR(IF(INDEX(tbl_Consulting[Qwilr Quote],MATCH(E189&amp;"",tbl_Consulting[Job Number],0))="","",INDEX(tbl_Consulting[Qwilr Quote],MATCH(E189&amp;"",tbl_Consulting[Job Number],0))),""))))</f>
        <v/>
      </c>
      <c r="AD189" s="25">
        <f>IF(AC189="","",IF(AND(LEFT(AC189,4)&lt;&gt;"http",IF(H189="Production",set_RMSBase,set_QwilrBase)=""),"",HYPERLINK(IF(LEFT(AC189,4)="http",AC189,IF(H189="Production",set_RMSBase,set_QwilrBase)&amp;AC189),"Open")))</f>
        <v/>
      </c>
      <c r="AE189" s="27">
        <f>IF(E189="","",IFERROR(INDEX(tbl_Production[Total Expense],MATCH(E189&amp;"",tbl_Production[Job Number],0)),IFERROR(INDEX(tbl_Consulting[Total Expense],MATCH(E189&amp;"",tbl_Consulting[Job Number],0)),0)))</f>
        <v/>
      </c>
      <c r="AF189" s="27">
        <f>IF(E189="","",Z189-N(AE189))</f>
        <v/>
      </c>
      <c r="AG189" s="29">
        <f>IFERROR(AF189/Z189,"")</f>
        <v/>
      </c>
      <c r="AH189" s="25">
        <f>IF(E189="","",IFERROR(IF(INDEX(tbl_Onsite[Notes],MATCH(E189&amp;"",tbl_Onsite[Job Number],0))="","",INDEX(tbl_Onsite[Notes],MATCH(E189&amp;"",tbl_Onsite[Job Number],0))),IFERROR(IF(INDEX(tbl_Production[Notes],MATCH(E189&amp;"",tbl_Production[Job Number],0))="","",INDEX(tbl_Production[Notes],MATCH(E189&amp;"",tbl_Production[Job Number],0))),IFERROR(IF(INDEX(tbl_Consulting[Notes],MATCH(E189&amp;"",tbl_Consulting[Job Number],0))="","",INDEX(tbl_Consulting[Notes],MATCH(E189&amp;"",tbl_Consulting[Job Number],0))),""))))</f>
        <v/>
      </c>
    </row>
    <row r="190" ht="15" customHeight="1">
      <c r="A190" s="22" t="n"/>
      <c r="B190" s="23">
        <f>IF(A190="","",EOMONTH(A190,0))</f>
        <v/>
      </c>
      <c r="C190" s="24" t="n"/>
      <c r="D190" s="24" t="n"/>
      <c r="E190" s="24" t="n"/>
      <c r="F190" s="25">
        <f>IF(E190="","",IF(COUNTIF(lst_Jobs,E190&amp;"")&gt;0,"OK","CHECK"))</f>
        <v/>
      </c>
      <c r="G190" s="24" t="n"/>
      <c r="H190" s="24" t="n"/>
      <c r="I190" s="24" t="n"/>
      <c r="J190" s="24" t="n"/>
      <c r="K190" s="24" t="n"/>
      <c r="L190" s="26" t="n"/>
      <c r="M190" s="27">
        <f>IF(L190="","",IF(K190="GST 10%",ROUND(L190*set_GSTRate,2),0))</f>
        <v/>
      </c>
      <c r="N190" s="27">
        <f>IF(L190="","",L190+M190)</f>
        <v/>
      </c>
      <c r="O190" s="24" t="n"/>
      <c r="P190" s="24" t="n"/>
      <c r="Q190" s="24" t="n"/>
      <c r="R190" s="22" t="n"/>
      <c r="S190" s="22" t="n"/>
      <c r="T190" s="24" t="n"/>
      <c r="U190" s="24" t="n"/>
      <c r="V190" s="25">
        <f>IF(COUNTA(A190,D190,C190,L190)=0,"",IF(A190="","No date - sits outside every month",IF(E190="","No job number",IF(F190="CHECK","Job number is not in the Xero job list",IF(I190="","No cost centre",IF(AND(P190="Y",C190=""),"Marked posted to Xero but has no invoice number",IF(AND(L190&lt;&gt;"",K190=""),"No tax code",IF(AND(L190&lt;&gt;"",O190=""),"No revenue GL code",""))))))))</f>
        <v/>
      </c>
      <c r="W190" s="25">
        <f>IF(E190="","",IF(COUNTIF(tbl_Onsite[Job Number],E190&amp;"")&gt;0,"Onsite",IF(COUNTIF(tbl_Production[Job Number],E190&amp;"")&gt;0,"Production",IF(COUNTIF(tbl_Consulting[Job Number],E190&amp;"")&gt;0,"Consulting","not set up yet"))))</f>
        <v/>
      </c>
      <c r="X190" s="25">
        <f>IF(E190="","",IFERROR(INDEX(lst_JobName,MATCH(E190&amp;"",lst_Jobs,0)),""))</f>
        <v/>
      </c>
      <c r="Y190" s="28">
        <f>IF(E190="","",COUNTIFS(tbl_Finance[Job Number],E190&amp;"",tbl_Finance[Ex GST],"&lt;&gt;"))</f>
        <v/>
      </c>
      <c r="Z190" s="27">
        <f>IF(E190="","",SUMIFS(tbl_Finance[Ex GST],tbl_Finance[Job Number],E190&amp;""))</f>
        <v/>
      </c>
      <c r="AA190" s="27">
        <f>IF(E190="","",SUMIFS(tbl_Finance[Ex GST],tbl_Finance[Job Number],E190&amp;"",tbl_Finance[Xero Invoice No],"&lt;&gt;"))</f>
        <v/>
      </c>
      <c r="AB190" s="27">
        <f>IF(E190="","",Z190-AA190)</f>
        <v/>
      </c>
      <c r="AC190" s="25">
        <f>IF(E190="","",IFERROR(IF(INDEX(tbl_Onsite[Qwilr Quote],MATCH(E190&amp;"",tbl_Onsite[Job Number],0))="","",INDEX(tbl_Onsite[Qwilr Quote],MATCH(E190&amp;"",tbl_Onsite[Job Number],0))),IFERROR(IF(IF(INDEX(tbl_Production[Current RMS No],MATCH(E190&amp;"",tbl_Production[Job Number],0))="",INDEX(tbl_Production[Qwilr Quote],MATCH(E190&amp;"",tbl_Production[Job Number],0)),INDEX(tbl_Production[Current RMS No],MATCH(E190&amp;"",tbl_Production[Job Number],0)))="","",IF(INDEX(tbl_Production[Current RMS No],MATCH(E190&amp;"",tbl_Production[Job Number],0))="",INDEX(tbl_Production[Qwilr Quote],MATCH(E190&amp;"",tbl_Production[Job Number],0)),INDEX(tbl_Production[Current RMS No],MATCH(E190&amp;"",tbl_Production[Job Number],0)))),IFERROR(IF(INDEX(tbl_Consulting[Qwilr Quote],MATCH(E190&amp;"",tbl_Consulting[Job Number],0))="","",INDEX(tbl_Consulting[Qwilr Quote],MATCH(E190&amp;"",tbl_Consulting[Job Number],0))),""))))</f>
        <v/>
      </c>
      <c r="AD190" s="25">
        <f>IF(AC190="","",IF(AND(LEFT(AC190,4)&lt;&gt;"http",IF(H190="Production",set_RMSBase,set_QwilrBase)=""),"",HYPERLINK(IF(LEFT(AC190,4)="http",AC190,IF(H190="Production",set_RMSBase,set_QwilrBase)&amp;AC190),"Open")))</f>
        <v/>
      </c>
      <c r="AE190" s="27">
        <f>IF(E190="","",IFERROR(INDEX(tbl_Production[Total Expense],MATCH(E190&amp;"",tbl_Production[Job Number],0)),IFERROR(INDEX(tbl_Consulting[Total Expense],MATCH(E190&amp;"",tbl_Consulting[Job Number],0)),0)))</f>
        <v/>
      </c>
      <c r="AF190" s="27">
        <f>IF(E190="","",Z190-N(AE190))</f>
        <v/>
      </c>
      <c r="AG190" s="29">
        <f>IFERROR(AF190/Z190,"")</f>
        <v/>
      </c>
      <c r="AH190" s="25">
        <f>IF(E190="","",IFERROR(IF(INDEX(tbl_Onsite[Notes],MATCH(E190&amp;"",tbl_Onsite[Job Number],0))="","",INDEX(tbl_Onsite[Notes],MATCH(E190&amp;"",tbl_Onsite[Job Number],0))),IFERROR(IF(INDEX(tbl_Production[Notes],MATCH(E190&amp;"",tbl_Production[Job Number],0))="","",INDEX(tbl_Production[Notes],MATCH(E190&amp;"",tbl_Production[Job Number],0))),IFERROR(IF(INDEX(tbl_Consulting[Notes],MATCH(E190&amp;"",tbl_Consulting[Job Number],0))="","",INDEX(tbl_Consulting[Notes],MATCH(E190&amp;"",tbl_Consulting[Job Number],0))),""))))</f>
        <v/>
      </c>
    </row>
    <row r="191" ht="15" customHeight="1">
      <c r="A191" s="22" t="n"/>
      <c r="B191" s="23">
        <f>IF(A191="","",EOMONTH(A191,0))</f>
        <v/>
      </c>
      <c r="C191" s="24" t="n"/>
      <c r="D191" s="24" t="n"/>
      <c r="E191" s="24" t="n"/>
      <c r="F191" s="25">
        <f>IF(E191="","",IF(COUNTIF(lst_Jobs,E191&amp;"")&gt;0,"OK","CHECK"))</f>
        <v/>
      </c>
      <c r="G191" s="24" t="n"/>
      <c r="H191" s="24" t="n"/>
      <c r="I191" s="24" t="n"/>
      <c r="J191" s="24" t="n"/>
      <c r="K191" s="24" t="n"/>
      <c r="L191" s="26" t="n"/>
      <c r="M191" s="27">
        <f>IF(L191="","",IF(K191="GST 10%",ROUND(L191*set_GSTRate,2),0))</f>
        <v/>
      </c>
      <c r="N191" s="27">
        <f>IF(L191="","",L191+M191)</f>
        <v/>
      </c>
      <c r="O191" s="24" t="n"/>
      <c r="P191" s="24" t="n"/>
      <c r="Q191" s="24" t="n"/>
      <c r="R191" s="22" t="n"/>
      <c r="S191" s="22" t="n"/>
      <c r="T191" s="24" t="n"/>
      <c r="U191" s="24" t="n"/>
      <c r="V191" s="25">
        <f>IF(COUNTA(A191,D191,C191,L191)=0,"",IF(A191="","No date - sits outside every month",IF(E191="","No job number",IF(F191="CHECK","Job number is not in the Xero job list",IF(I191="","No cost centre",IF(AND(P191="Y",C191=""),"Marked posted to Xero but has no invoice number",IF(AND(L191&lt;&gt;"",K191=""),"No tax code",IF(AND(L191&lt;&gt;"",O191=""),"No revenue GL code",""))))))))</f>
        <v/>
      </c>
      <c r="W191" s="25">
        <f>IF(E191="","",IF(COUNTIF(tbl_Onsite[Job Number],E191&amp;"")&gt;0,"Onsite",IF(COUNTIF(tbl_Production[Job Number],E191&amp;"")&gt;0,"Production",IF(COUNTIF(tbl_Consulting[Job Number],E191&amp;"")&gt;0,"Consulting","not set up yet"))))</f>
        <v/>
      </c>
      <c r="X191" s="25">
        <f>IF(E191="","",IFERROR(INDEX(lst_JobName,MATCH(E191&amp;"",lst_Jobs,0)),""))</f>
        <v/>
      </c>
      <c r="Y191" s="28">
        <f>IF(E191="","",COUNTIFS(tbl_Finance[Job Number],E191&amp;"",tbl_Finance[Ex GST],"&lt;&gt;"))</f>
        <v/>
      </c>
      <c r="Z191" s="27">
        <f>IF(E191="","",SUMIFS(tbl_Finance[Ex GST],tbl_Finance[Job Number],E191&amp;""))</f>
        <v/>
      </c>
      <c r="AA191" s="27">
        <f>IF(E191="","",SUMIFS(tbl_Finance[Ex GST],tbl_Finance[Job Number],E191&amp;"",tbl_Finance[Xero Invoice No],"&lt;&gt;"))</f>
        <v/>
      </c>
      <c r="AB191" s="27">
        <f>IF(E191="","",Z191-AA191)</f>
        <v/>
      </c>
      <c r="AC191" s="25">
        <f>IF(E191="","",IFERROR(IF(INDEX(tbl_Onsite[Qwilr Quote],MATCH(E191&amp;"",tbl_Onsite[Job Number],0))="","",INDEX(tbl_Onsite[Qwilr Quote],MATCH(E191&amp;"",tbl_Onsite[Job Number],0))),IFERROR(IF(IF(INDEX(tbl_Production[Current RMS No],MATCH(E191&amp;"",tbl_Production[Job Number],0))="",INDEX(tbl_Production[Qwilr Quote],MATCH(E191&amp;"",tbl_Production[Job Number],0)),INDEX(tbl_Production[Current RMS No],MATCH(E191&amp;"",tbl_Production[Job Number],0)))="","",IF(INDEX(tbl_Production[Current RMS No],MATCH(E191&amp;"",tbl_Production[Job Number],0))="",INDEX(tbl_Production[Qwilr Quote],MATCH(E191&amp;"",tbl_Production[Job Number],0)),INDEX(tbl_Production[Current RMS No],MATCH(E191&amp;"",tbl_Production[Job Number],0)))),IFERROR(IF(INDEX(tbl_Consulting[Qwilr Quote],MATCH(E191&amp;"",tbl_Consulting[Job Number],0))="","",INDEX(tbl_Consulting[Qwilr Quote],MATCH(E191&amp;"",tbl_Consulting[Job Number],0))),""))))</f>
        <v/>
      </c>
      <c r="AD191" s="25">
        <f>IF(AC191="","",IF(AND(LEFT(AC191,4)&lt;&gt;"http",IF(H191="Production",set_RMSBase,set_QwilrBase)=""),"",HYPERLINK(IF(LEFT(AC191,4)="http",AC191,IF(H191="Production",set_RMSBase,set_QwilrBase)&amp;AC191),"Open")))</f>
        <v/>
      </c>
      <c r="AE191" s="27">
        <f>IF(E191="","",IFERROR(INDEX(tbl_Production[Total Expense],MATCH(E191&amp;"",tbl_Production[Job Number],0)),IFERROR(INDEX(tbl_Consulting[Total Expense],MATCH(E191&amp;"",tbl_Consulting[Job Number],0)),0)))</f>
        <v/>
      </c>
      <c r="AF191" s="27">
        <f>IF(E191="","",Z191-N(AE191))</f>
        <v/>
      </c>
      <c r="AG191" s="29">
        <f>IFERROR(AF191/Z191,"")</f>
        <v/>
      </c>
      <c r="AH191" s="25">
        <f>IF(E191="","",IFERROR(IF(INDEX(tbl_Onsite[Notes],MATCH(E191&amp;"",tbl_Onsite[Job Number],0))="","",INDEX(tbl_Onsite[Notes],MATCH(E191&amp;"",tbl_Onsite[Job Number],0))),IFERROR(IF(INDEX(tbl_Production[Notes],MATCH(E191&amp;"",tbl_Production[Job Number],0))="","",INDEX(tbl_Production[Notes],MATCH(E191&amp;"",tbl_Production[Job Number],0))),IFERROR(IF(INDEX(tbl_Consulting[Notes],MATCH(E191&amp;"",tbl_Consulting[Job Number],0))="","",INDEX(tbl_Consulting[Notes],MATCH(E191&amp;"",tbl_Consulting[Job Number],0))),""))))</f>
        <v/>
      </c>
    </row>
    <row r="192" ht="15" customHeight="1">
      <c r="A192" s="22" t="n"/>
      <c r="B192" s="23">
        <f>IF(A192="","",EOMONTH(A192,0))</f>
        <v/>
      </c>
      <c r="C192" s="24" t="n"/>
      <c r="D192" s="24" t="n"/>
      <c r="E192" s="24" t="n"/>
      <c r="F192" s="25">
        <f>IF(E192="","",IF(COUNTIF(lst_Jobs,E192&amp;"")&gt;0,"OK","CHECK"))</f>
        <v/>
      </c>
      <c r="G192" s="24" t="n"/>
      <c r="H192" s="24" t="n"/>
      <c r="I192" s="24" t="n"/>
      <c r="J192" s="24" t="n"/>
      <c r="K192" s="24" t="n"/>
      <c r="L192" s="26" t="n"/>
      <c r="M192" s="27">
        <f>IF(L192="","",IF(K192="GST 10%",ROUND(L192*set_GSTRate,2),0))</f>
        <v/>
      </c>
      <c r="N192" s="27">
        <f>IF(L192="","",L192+M192)</f>
        <v/>
      </c>
      <c r="O192" s="24" t="n"/>
      <c r="P192" s="24" t="n"/>
      <c r="Q192" s="24" t="n"/>
      <c r="R192" s="22" t="n"/>
      <c r="S192" s="22" t="n"/>
      <c r="T192" s="24" t="n"/>
      <c r="U192" s="24" t="n"/>
      <c r="V192" s="25">
        <f>IF(COUNTA(A192,D192,C192,L192)=0,"",IF(A192="","No date - sits outside every month",IF(E192="","No job number",IF(F192="CHECK","Job number is not in the Xero job list",IF(I192="","No cost centre",IF(AND(P192="Y",C192=""),"Marked posted to Xero but has no invoice number",IF(AND(L192&lt;&gt;"",K192=""),"No tax code",IF(AND(L192&lt;&gt;"",O192=""),"No revenue GL code",""))))))))</f>
        <v/>
      </c>
      <c r="W192" s="25">
        <f>IF(E192="","",IF(COUNTIF(tbl_Onsite[Job Number],E192&amp;"")&gt;0,"Onsite",IF(COUNTIF(tbl_Production[Job Number],E192&amp;"")&gt;0,"Production",IF(COUNTIF(tbl_Consulting[Job Number],E192&amp;"")&gt;0,"Consulting","not set up yet"))))</f>
        <v/>
      </c>
      <c r="X192" s="25">
        <f>IF(E192="","",IFERROR(INDEX(lst_JobName,MATCH(E192&amp;"",lst_Jobs,0)),""))</f>
        <v/>
      </c>
      <c r="Y192" s="28">
        <f>IF(E192="","",COUNTIFS(tbl_Finance[Job Number],E192&amp;"",tbl_Finance[Ex GST],"&lt;&gt;"))</f>
        <v/>
      </c>
      <c r="Z192" s="27">
        <f>IF(E192="","",SUMIFS(tbl_Finance[Ex GST],tbl_Finance[Job Number],E192&amp;""))</f>
        <v/>
      </c>
      <c r="AA192" s="27">
        <f>IF(E192="","",SUMIFS(tbl_Finance[Ex GST],tbl_Finance[Job Number],E192&amp;"",tbl_Finance[Xero Invoice No],"&lt;&gt;"))</f>
        <v/>
      </c>
      <c r="AB192" s="27">
        <f>IF(E192="","",Z192-AA192)</f>
        <v/>
      </c>
      <c r="AC192" s="25">
        <f>IF(E192="","",IFERROR(IF(INDEX(tbl_Onsite[Qwilr Quote],MATCH(E192&amp;"",tbl_Onsite[Job Number],0))="","",INDEX(tbl_Onsite[Qwilr Quote],MATCH(E192&amp;"",tbl_Onsite[Job Number],0))),IFERROR(IF(IF(INDEX(tbl_Production[Current RMS No],MATCH(E192&amp;"",tbl_Production[Job Number],0))="",INDEX(tbl_Production[Qwilr Quote],MATCH(E192&amp;"",tbl_Production[Job Number],0)),INDEX(tbl_Production[Current RMS No],MATCH(E192&amp;"",tbl_Production[Job Number],0)))="","",IF(INDEX(tbl_Production[Current RMS No],MATCH(E192&amp;"",tbl_Production[Job Number],0))="",INDEX(tbl_Production[Qwilr Quote],MATCH(E192&amp;"",tbl_Production[Job Number],0)),INDEX(tbl_Production[Current RMS No],MATCH(E192&amp;"",tbl_Production[Job Number],0)))),IFERROR(IF(INDEX(tbl_Consulting[Qwilr Quote],MATCH(E192&amp;"",tbl_Consulting[Job Number],0))="","",INDEX(tbl_Consulting[Qwilr Quote],MATCH(E192&amp;"",tbl_Consulting[Job Number],0))),""))))</f>
        <v/>
      </c>
      <c r="AD192" s="25">
        <f>IF(AC192="","",IF(AND(LEFT(AC192,4)&lt;&gt;"http",IF(H192="Production",set_RMSBase,set_QwilrBase)=""),"",HYPERLINK(IF(LEFT(AC192,4)="http",AC192,IF(H192="Production",set_RMSBase,set_QwilrBase)&amp;AC192),"Open")))</f>
        <v/>
      </c>
      <c r="AE192" s="27">
        <f>IF(E192="","",IFERROR(INDEX(tbl_Production[Total Expense],MATCH(E192&amp;"",tbl_Production[Job Number],0)),IFERROR(INDEX(tbl_Consulting[Total Expense],MATCH(E192&amp;"",tbl_Consulting[Job Number],0)),0)))</f>
        <v/>
      </c>
      <c r="AF192" s="27">
        <f>IF(E192="","",Z192-N(AE192))</f>
        <v/>
      </c>
      <c r="AG192" s="29">
        <f>IFERROR(AF192/Z192,"")</f>
        <v/>
      </c>
      <c r="AH192" s="25">
        <f>IF(E192="","",IFERROR(IF(INDEX(tbl_Onsite[Notes],MATCH(E192&amp;"",tbl_Onsite[Job Number],0))="","",INDEX(tbl_Onsite[Notes],MATCH(E192&amp;"",tbl_Onsite[Job Number],0))),IFERROR(IF(INDEX(tbl_Production[Notes],MATCH(E192&amp;"",tbl_Production[Job Number],0))="","",INDEX(tbl_Production[Notes],MATCH(E192&amp;"",tbl_Production[Job Number],0))),IFERROR(IF(INDEX(tbl_Consulting[Notes],MATCH(E192&amp;"",tbl_Consulting[Job Number],0))="","",INDEX(tbl_Consulting[Notes],MATCH(E192&amp;"",tbl_Consulting[Job Number],0))),""))))</f>
        <v/>
      </c>
    </row>
    <row r="193" ht="15" customHeight="1">
      <c r="A193" s="22" t="n"/>
      <c r="B193" s="23">
        <f>IF(A193="","",EOMONTH(A193,0))</f>
        <v/>
      </c>
      <c r="C193" s="24" t="n"/>
      <c r="D193" s="24" t="n"/>
      <c r="E193" s="24" t="n"/>
      <c r="F193" s="25">
        <f>IF(E193="","",IF(COUNTIF(lst_Jobs,E193&amp;"")&gt;0,"OK","CHECK"))</f>
        <v/>
      </c>
      <c r="G193" s="24" t="n"/>
      <c r="H193" s="24" t="n"/>
      <c r="I193" s="24" t="n"/>
      <c r="J193" s="24" t="n"/>
      <c r="K193" s="24" t="n"/>
      <c r="L193" s="26" t="n"/>
      <c r="M193" s="27">
        <f>IF(L193="","",IF(K193="GST 10%",ROUND(L193*set_GSTRate,2),0))</f>
        <v/>
      </c>
      <c r="N193" s="27">
        <f>IF(L193="","",L193+M193)</f>
        <v/>
      </c>
      <c r="O193" s="24" t="n"/>
      <c r="P193" s="24" t="n"/>
      <c r="Q193" s="24" t="n"/>
      <c r="R193" s="22" t="n"/>
      <c r="S193" s="22" t="n"/>
      <c r="T193" s="24" t="n"/>
      <c r="U193" s="24" t="n"/>
      <c r="V193" s="25">
        <f>IF(COUNTA(A193,D193,C193,L193)=0,"",IF(A193="","No date - sits outside every month",IF(E193="","No job number",IF(F193="CHECK","Job number is not in the Xero job list",IF(I193="","No cost centre",IF(AND(P193="Y",C193=""),"Marked posted to Xero but has no invoice number",IF(AND(L193&lt;&gt;"",K193=""),"No tax code",IF(AND(L193&lt;&gt;"",O193=""),"No revenue GL code",""))))))))</f>
        <v/>
      </c>
      <c r="W193" s="25">
        <f>IF(E193="","",IF(COUNTIF(tbl_Onsite[Job Number],E193&amp;"")&gt;0,"Onsite",IF(COUNTIF(tbl_Production[Job Number],E193&amp;"")&gt;0,"Production",IF(COUNTIF(tbl_Consulting[Job Number],E193&amp;"")&gt;0,"Consulting","not set up yet"))))</f>
        <v/>
      </c>
      <c r="X193" s="25">
        <f>IF(E193="","",IFERROR(INDEX(lst_JobName,MATCH(E193&amp;"",lst_Jobs,0)),""))</f>
        <v/>
      </c>
      <c r="Y193" s="28">
        <f>IF(E193="","",COUNTIFS(tbl_Finance[Job Number],E193&amp;"",tbl_Finance[Ex GST],"&lt;&gt;"))</f>
        <v/>
      </c>
      <c r="Z193" s="27">
        <f>IF(E193="","",SUMIFS(tbl_Finance[Ex GST],tbl_Finance[Job Number],E193&amp;""))</f>
        <v/>
      </c>
      <c r="AA193" s="27">
        <f>IF(E193="","",SUMIFS(tbl_Finance[Ex GST],tbl_Finance[Job Number],E193&amp;"",tbl_Finance[Xero Invoice No],"&lt;&gt;"))</f>
        <v/>
      </c>
      <c r="AB193" s="27">
        <f>IF(E193="","",Z193-AA193)</f>
        <v/>
      </c>
      <c r="AC193" s="25">
        <f>IF(E193="","",IFERROR(IF(INDEX(tbl_Onsite[Qwilr Quote],MATCH(E193&amp;"",tbl_Onsite[Job Number],0))="","",INDEX(tbl_Onsite[Qwilr Quote],MATCH(E193&amp;"",tbl_Onsite[Job Number],0))),IFERROR(IF(IF(INDEX(tbl_Production[Current RMS No],MATCH(E193&amp;"",tbl_Production[Job Number],0))="",INDEX(tbl_Production[Qwilr Quote],MATCH(E193&amp;"",tbl_Production[Job Number],0)),INDEX(tbl_Production[Current RMS No],MATCH(E193&amp;"",tbl_Production[Job Number],0)))="","",IF(INDEX(tbl_Production[Current RMS No],MATCH(E193&amp;"",tbl_Production[Job Number],0))="",INDEX(tbl_Production[Qwilr Quote],MATCH(E193&amp;"",tbl_Production[Job Number],0)),INDEX(tbl_Production[Current RMS No],MATCH(E193&amp;"",tbl_Production[Job Number],0)))),IFERROR(IF(INDEX(tbl_Consulting[Qwilr Quote],MATCH(E193&amp;"",tbl_Consulting[Job Number],0))="","",INDEX(tbl_Consulting[Qwilr Quote],MATCH(E193&amp;"",tbl_Consulting[Job Number],0))),""))))</f>
        <v/>
      </c>
      <c r="AD193" s="25">
        <f>IF(AC193="","",IF(AND(LEFT(AC193,4)&lt;&gt;"http",IF(H193="Production",set_RMSBase,set_QwilrBase)=""),"",HYPERLINK(IF(LEFT(AC193,4)="http",AC193,IF(H193="Production",set_RMSBase,set_QwilrBase)&amp;AC193),"Open")))</f>
        <v/>
      </c>
      <c r="AE193" s="27">
        <f>IF(E193="","",IFERROR(INDEX(tbl_Production[Total Expense],MATCH(E193&amp;"",tbl_Production[Job Number],0)),IFERROR(INDEX(tbl_Consulting[Total Expense],MATCH(E193&amp;"",tbl_Consulting[Job Number],0)),0)))</f>
        <v/>
      </c>
      <c r="AF193" s="27">
        <f>IF(E193="","",Z193-N(AE193))</f>
        <v/>
      </c>
      <c r="AG193" s="29">
        <f>IFERROR(AF193/Z193,"")</f>
        <v/>
      </c>
      <c r="AH193" s="25">
        <f>IF(E193="","",IFERROR(IF(INDEX(tbl_Onsite[Notes],MATCH(E193&amp;"",tbl_Onsite[Job Number],0))="","",INDEX(tbl_Onsite[Notes],MATCH(E193&amp;"",tbl_Onsite[Job Number],0))),IFERROR(IF(INDEX(tbl_Production[Notes],MATCH(E193&amp;"",tbl_Production[Job Number],0))="","",INDEX(tbl_Production[Notes],MATCH(E193&amp;"",tbl_Production[Job Number],0))),IFERROR(IF(INDEX(tbl_Consulting[Notes],MATCH(E193&amp;"",tbl_Consulting[Job Number],0))="","",INDEX(tbl_Consulting[Notes],MATCH(E193&amp;"",tbl_Consulting[Job Number],0))),""))))</f>
        <v/>
      </c>
    </row>
    <row r="194" ht="15" customHeight="1">
      <c r="A194" s="22" t="n"/>
      <c r="B194" s="23">
        <f>IF(A194="","",EOMONTH(A194,0))</f>
        <v/>
      </c>
      <c r="C194" s="24" t="n"/>
      <c r="D194" s="24" t="n"/>
      <c r="E194" s="24" t="n"/>
      <c r="F194" s="25">
        <f>IF(E194="","",IF(COUNTIF(lst_Jobs,E194&amp;"")&gt;0,"OK","CHECK"))</f>
        <v/>
      </c>
      <c r="G194" s="24" t="n"/>
      <c r="H194" s="24" t="n"/>
      <c r="I194" s="24" t="n"/>
      <c r="J194" s="24" t="n"/>
      <c r="K194" s="24" t="n"/>
      <c r="L194" s="26" t="n"/>
      <c r="M194" s="27">
        <f>IF(L194="","",IF(K194="GST 10%",ROUND(L194*set_GSTRate,2),0))</f>
        <v/>
      </c>
      <c r="N194" s="27">
        <f>IF(L194="","",L194+M194)</f>
        <v/>
      </c>
      <c r="O194" s="24" t="n"/>
      <c r="P194" s="24" t="n"/>
      <c r="Q194" s="24" t="n"/>
      <c r="R194" s="22" t="n"/>
      <c r="S194" s="22" t="n"/>
      <c r="T194" s="24" t="n"/>
      <c r="U194" s="24" t="n"/>
      <c r="V194" s="25">
        <f>IF(COUNTA(A194,D194,C194,L194)=0,"",IF(A194="","No date - sits outside every month",IF(E194="","No job number",IF(F194="CHECK","Job number is not in the Xero job list",IF(I194="","No cost centre",IF(AND(P194="Y",C194=""),"Marked posted to Xero but has no invoice number",IF(AND(L194&lt;&gt;"",K194=""),"No tax code",IF(AND(L194&lt;&gt;"",O194=""),"No revenue GL code",""))))))))</f>
        <v/>
      </c>
      <c r="W194" s="25">
        <f>IF(E194="","",IF(COUNTIF(tbl_Onsite[Job Number],E194&amp;"")&gt;0,"Onsite",IF(COUNTIF(tbl_Production[Job Number],E194&amp;"")&gt;0,"Production",IF(COUNTIF(tbl_Consulting[Job Number],E194&amp;"")&gt;0,"Consulting","not set up yet"))))</f>
        <v/>
      </c>
      <c r="X194" s="25">
        <f>IF(E194="","",IFERROR(INDEX(lst_JobName,MATCH(E194&amp;"",lst_Jobs,0)),""))</f>
        <v/>
      </c>
      <c r="Y194" s="28">
        <f>IF(E194="","",COUNTIFS(tbl_Finance[Job Number],E194&amp;"",tbl_Finance[Ex GST],"&lt;&gt;"))</f>
        <v/>
      </c>
      <c r="Z194" s="27">
        <f>IF(E194="","",SUMIFS(tbl_Finance[Ex GST],tbl_Finance[Job Number],E194&amp;""))</f>
        <v/>
      </c>
      <c r="AA194" s="27">
        <f>IF(E194="","",SUMIFS(tbl_Finance[Ex GST],tbl_Finance[Job Number],E194&amp;"",tbl_Finance[Xero Invoice No],"&lt;&gt;"))</f>
        <v/>
      </c>
      <c r="AB194" s="27">
        <f>IF(E194="","",Z194-AA194)</f>
        <v/>
      </c>
      <c r="AC194" s="25">
        <f>IF(E194="","",IFERROR(IF(INDEX(tbl_Onsite[Qwilr Quote],MATCH(E194&amp;"",tbl_Onsite[Job Number],0))="","",INDEX(tbl_Onsite[Qwilr Quote],MATCH(E194&amp;"",tbl_Onsite[Job Number],0))),IFERROR(IF(IF(INDEX(tbl_Production[Current RMS No],MATCH(E194&amp;"",tbl_Production[Job Number],0))="",INDEX(tbl_Production[Qwilr Quote],MATCH(E194&amp;"",tbl_Production[Job Number],0)),INDEX(tbl_Production[Current RMS No],MATCH(E194&amp;"",tbl_Production[Job Number],0)))="","",IF(INDEX(tbl_Production[Current RMS No],MATCH(E194&amp;"",tbl_Production[Job Number],0))="",INDEX(tbl_Production[Qwilr Quote],MATCH(E194&amp;"",tbl_Production[Job Number],0)),INDEX(tbl_Production[Current RMS No],MATCH(E194&amp;"",tbl_Production[Job Number],0)))),IFERROR(IF(INDEX(tbl_Consulting[Qwilr Quote],MATCH(E194&amp;"",tbl_Consulting[Job Number],0))="","",INDEX(tbl_Consulting[Qwilr Quote],MATCH(E194&amp;"",tbl_Consulting[Job Number],0))),""))))</f>
        <v/>
      </c>
      <c r="AD194" s="25">
        <f>IF(AC194="","",IF(AND(LEFT(AC194,4)&lt;&gt;"http",IF(H194="Production",set_RMSBase,set_QwilrBase)=""),"",HYPERLINK(IF(LEFT(AC194,4)="http",AC194,IF(H194="Production",set_RMSBase,set_QwilrBase)&amp;AC194),"Open")))</f>
        <v/>
      </c>
      <c r="AE194" s="27">
        <f>IF(E194="","",IFERROR(INDEX(tbl_Production[Total Expense],MATCH(E194&amp;"",tbl_Production[Job Number],0)),IFERROR(INDEX(tbl_Consulting[Total Expense],MATCH(E194&amp;"",tbl_Consulting[Job Number],0)),0)))</f>
        <v/>
      </c>
      <c r="AF194" s="27">
        <f>IF(E194="","",Z194-N(AE194))</f>
        <v/>
      </c>
      <c r="AG194" s="29">
        <f>IFERROR(AF194/Z194,"")</f>
        <v/>
      </c>
      <c r="AH194" s="25">
        <f>IF(E194="","",IFERROR(IF(INDEX(tbl_Onsite[Notes],MATCH(E194&amp;"",tbl_Onsite[Job Number],0))="","",INDEX(tbl_Onsite[Notes],MATCH(E194&amp;"",tbl_Onsite[Job Number],0))),IFERROR(IF(INDEX(tbl_Production[Notes],MATCH(E194&amp;"",tbl_Production[Job Number],0))="","",INDEX(tbl_Production[Notes],MATCH(E194&amp;"",tbl_Production[Job Number],0))),IFERROR(IF(INDEX(tbl_Consulting[Notes],MATCH(E194&amp;"",tbl_Consulting[Job Number],0))="","",INDEX(tbl_Consulting[Notes],MATCH(E194&amp;"",tbl_Consulting[Job Number],0))),""))))</f>
        <v/>
      </c>
    </row>
    <row r="195" ht="15" customHeight="1">
      <c r="A195" s="22" t="n"/>
      <c r="B195" s="23">
        <f>IF(A195="","",EOMONTH(A195,0))</f>
        <v/>
      </c>
      <c r="C195" s="24" t="n"/>
      <c r="D195" s="24" t="n"/>
      <c r="E195" s="24" t="n"/>
      <c r="F195" s="25">
        <f>IF(E195="","",IF(COUNTIF(lst_Jobs,E195&amp;"")&gt;0,"OK","CHECK"))</f>
        <v/>
      </c>
      <c r="G195" s="24" t="n"/>
      <c r="H195" s="24" t="n"/>
      <c r="I195" s="24" t="n"/>
      <c r="J195" s="24" t="n"/>
      <c r="K195" s="24" t="n"/>
      <c r="L195" s="26" t="n"/>
      <c r="M195" s="27">
        <f>IF(L195="","",IF(K195="GST 10%",ROUND(L195*set_GSTRate,2),0))</f>
        <v/>
      </c>
      <c r="N195" s="27">
        <f>IF(L195="","",L195+M195)</f>
        <v/>
      </c>
      <c r="O195" s="24" t="n"/>
      <c r="P195" s="24" t="n"/>
      <c r="Q195" s="24" t="n"/>
      <c r="R195" s="22" t="n"/>
      <c r="S195" s="22" t="n"/>
      <c r="T195" s="24" t="n"/>
      <c r="U195" s="24" t="n"/>
      <c r="V195" s="25">
        <f>IF(COUNTA(A195,D195,C195,L195)=0,"",IF(A195="","No date - sits outside every month",IF(E195="","No job number",IF(F195="CHECK","Job number is not in the Xero job list",IF(I195="","No cost centre",IF(AND(P195="Y",C195=""),"Marked posted to Xero but has no invoice number",IF(AND(L195&lt;&gt;"",K195=""),"No tax code",IF(AND(L195&lt;&gt;"",O195=""),"No revenue GL code",""))))))))</f>
        <v/>
      </c>
      <c r="W195" s="25">
        <f>IF(E195="","",IF(COUNTIF(tbl_Onsite[Job Number],E195&amp;"")&gt;0,"Onsite",IF(COUNTIF(tbl_Production[Job Number],E195&amp;"")&gt;0,"Production",IF(COUNTIF(tbl_Consulting[Job Number],E195&amp;"")&gt;0,"Consulting","not set up yet"))))</f>
        <v/>
      </c>
      <c r="X195" s="25">
        <f>IF(E195="","",IFERROR(INDEX(lst_JobName,MATCH(E195&amp;"",lst_Jobs,0)),""))</f>
        <v/>
      </c>
      <c r="Y195" s="28">
        <f>IF(E195="","",COUNTIFS(tbl_Finance[Job Number],E195&amp;"",tbl_Finance[Ex GST],"&lt;&gt;"))</f>
        <v/>
      </c>
      <c r="Z195" s="27">
        <f>IF(E195="","",SUMIFS(tbl_Finance[Ex GST],tbl_Finance[Job Number],E195&amp;""))</f>
        <v/>
      </c>
      <c r="AA195" s="27">
        <f>IF(E195="","",SUMIFS(tbl_Finance[Ex GST],tbl_Finance[Job Number],E195&amp;"",tbl_Finance[Xero Invoice No],"&lt;&gt;"))</f>
        <v/>
      </c>
      <c r="AB195" s="27">
        <f>IF(E195="","",Z195-AA195)</f>
        <v/>
      </c>
      <c r="AC195" s="25">
        <f>IF(E195="","",IFERROR(IF(INDEX(tbl_Onsite[Qwilr Quote],MATCH(E195&amp;"",tbl_Onsite[Job Number],0))="","",INDEX(tbl_Onsite[Qwilr Quote],MATCH(E195&amp;"",tbl_Onsite[Job Number],0))),IFERROR(IF(IF(INDEX(tbl_Production[Current RMS No],MATCH(E195&amp;"",tbl_Production[Job Number],0))="",INDEX(tbl_Production[Qwilr Quote],MATCH(E195&amp;"",tbl_Production[Job Number],0)),INDEX(tbl_Production[Current RMS No],MATCH(E195&amp;"",tbl_Production[Job Number],0)))="","",IF(INDEX(tbl_Production[Current RMS No],MATCH(E195&amp;"",tbl_Production[Job Number],0))="",INDEX(tbl_Production[Qwilr Quote],MATCH(E195&amp;"",tbl_Production[Job Number],0)),INDEX(tbl_Production[Current RMS No],MATCH(E195&amp;"",tbl_Production[Job Number],0)))),IFERROR(IF(INDEX(tbl_Consulting[Qwilr Quote],MATCH(E195&amp;"",tbl_Consulting[Job Number],0))="","",INDEX(tbl_Consulting[Qwilr Quote],MATCH(E195&amp;"",tbl_Consulting[Job Number],0))),""))))</f>
        <v/>
      </c>
      <c r="AD195" s="25">
        <f>IF(AC195="","",IF(AND(LEFT(AC195,4)&lt;&gt;"http",IF(H195="Production",set_RMSBase,set_QwilrBase)=""),"",HYPERLINK(IF(LEFT(AC195,4)="http",AC195,IF(H195="Production",set_RMSBase,set_QwilrBase)&amp;AC195),"Open")))</f>
        <v/>
      </c>
      <c r="AE195" s="27">
        <f>IF(E195="","",IFERROR(INDEX(tbl_Production[Total Expense],MATCH(E195&amp;"",tbl_Production[Job Number],0)),IFERROR(INDEX(tbl_Consulting[Total Expense],MATCH(E195&amp;"",tbl_Consulting[Job Number],0)),0)))</f>
        <v/>
      </c>
      <c r="AF195" s="27">
        <f>IF(E195="","",Z195-N(AE195))</f>
        <v/>
      </c>
      <c r="AG195" s="29">
        <f>IFERROR(AF195/Z195,"")</f>
        <v/>
      </c>
      <c r="AH195" s="25">
        <f>IF(E195="","",IFERROR(IF(INDEX(tbl_Onsite[Notes],MATCH(E195&amp;"",tbl_Onsite[Job Number],0))="","",INDEX(tbl_Onsite[Notes],MATCH(E195&amp;"",tbl_Onsite[Job Number],0))),IFERROR(IF(INDEX(tbl_Production[Notes],MATCH(E195&amp;"",tbl_Production[Job Number],0))="","",INDEX(tbl_Production[Notes],MATCH(E195&amp;"",tbl_Production[Job Number],0))),IFERROR(IF(INDEX(tbl_Consulting[Notes],MATCH(E195&amp;"",tbl_Consulting[Job Number],0))="","",INDEX(tbl_Consulting[Notes],MATCH(E195&amp;"",tbl_Consulting[Job Number],0))),""))))</f>
        <v/>
      </c>
    </row>
    <row r="196" ht="15" customHeight="1">
      <c r="A196" s="22" t="n"/>
      <c r="B196" s="23">
        <f>IF(A196="","",EOMONTH(A196,0))</f>
        <v/>
      </c>
      <c r="C196" s="24" t="n"/>
      <c r="D196" s="24" t="n"/>
      <c r="E196" s="24" t="n"/>
      <c r="F196" s="25">
        <f>IF(E196="","",IF(COUNTIF(lst_Jobs,E196&amp;"")&gt;0,"OK","CHECK"))</f>
        <v/>
      </c>
      <c r="G196" s="24" t="n"/>
      <c r="H196" s="24" t="n"/>
      <c r="I196" s="24" t="n"/>
      <c r="J196" s="24" t="n"/>
      <c r="K196" s="24" t="n"/>
      <c r="L196" s="26" t="n"/>
      <c r="M196" s="27">
        <f>IF(L196="","",IF(K196="GST 10%",ROUND(L196*set_GSTRate,2),0))</f>
        <v/>
      </c>
      <c r="N196" s="27">
        <f>IF(L196="","",L196+M196)</f>
        <v/>
      </c>
      <c r="O196" s="24" t="n"/>
      <c r="P196" s="24" t="n"/>
      <c r="Q196" s="24" t="n"/>
      <c r="R196" s="22" t="n"/>
      <c r="S196" s="22" t="n"/>
      <c r="T196" s="24" t="n"/>
      <c r="U196" s="24" t="n"/>
      <c r="V196" s="25">
        <f>IF(COUNTA(A196,D196,C196,L196)=0,"",IF(A196="","No date - sits outside every month",IF(E196="","No job number",IF(F196="CHECK","Job number is not in the Xero job list",IF(I196="","No cost centre",IF(AND(P196="Y",C196=""),"Marked posted to Xero but has no invoice number",IF(AND(L196&lt;&gt;"",K196=""),"No tax code",IF(AND(L196&lt;&gt;"",O196=""),"No revenue GL code",""))))))))</f>
        <v/>
      </c>
      <c r="W196" s="25">
        <f>IF(E196="","",IF(COUNTIF(tbl_Onsite[Job Number],E196&amp;"")&gt;0,"Onsite",IF(COUNTIF(tbl_Production[Job Number],E196&amp;"")&gt;0,"Production",IF(COUNTIF(tbl_Consulting[Job Number],E196&amp;"")&gt;0,"Consulting","not set up yet"))))</f>
        <v/>
      </c>
      <c r="X196" s="25">
        <f>IF(E196="","",IFERROR(INDEX(lst_JobName,MATCH(E196&amp;"",lst_Jobs,0)),""))</f>
        <v/>
      </c>
      <c r="Y196" s="28">
        <f>IF(E196="","",COUNTIFS(tbl_Finance[Job Number],E196&amp;"",tbl_Finance[Ex GST],"&lt;&gt;"))</f>
        <v/>
      </c>
      <c r="Z196" s="27">
        <f>IF(E196="","",SUMIFS(tbl_Finance[Ex GST],tbl_Finance[Job Number],E196&amp;""))</f>
        <v/>
      </c>
      <c r="AA196" s="27">
        <f>IF(E196="","",SUMIFS(tbl_Finance[Ex GST],tbl_Finance[Job Number],E196&amp;"",tbl_Finance[Xero Invoice No],"&lt;&gt;"))</f>
        <v/>
      </c>
      <c r="AB196" s="27">
        <f>IF(E196="","",Z196-AA196)</f>
        <v/>
      </c>
      <c r="AC196" s="25">
        <f>IF(E196="","",IFERROR(IF(INDEX(tbl_Onsite[Qwilr Quote],MATCH(E196&amp;"",tbl_Onsite[Job Number],0))="","",INDEX(tbl_Onsite[Qwilr Quote],MATCH(E196&amp;"",tbl_Onsite[Job Number],0))),IFERROR(IF(IF(INDEX(tbl_Production[Current RMS No],MATCH(E196&amp;"",tbl_Production[Job Number],0))="",INDEX(tbl_Production[Qwilr Quote],MATCH(E196&amp;"",tbl_Production[Job Number],0)),INDEX(tbl_Production[Current RMS No],MATCH(E196&amp;"",tbl_Production[Job Number],0)))="","",IF(INDEX(tbl_Production[Current RMS No],MATCH(E196&amp;"",tbl_Production[Job Number],0))="",INDEX(tbl_Production[Qwilr Quote],MATCH(E196&amp;"",tbl_Production[Job Number],0)),INDEX(tbl_Production[Current RMS No],MATCH(E196&amp;"",tbl_Production[Job Number],0)))),IFERROR(IF(INDEX(tbl_Consulting[Qwilr Quote],MATCH(E196&amp;"",tbl_Consulting[Job Number],0))="","",INDEX(tbl_Consulting[Qwilr Quote],MATCH(E196&amp;"",tbl_Consulting[Job Number],0))),""))))</f>
        <v/>
      </c>
      <c r="AD196" s="25">
        <f>IF(AC196="","",IF(AND(LEFT(AC196,4)&lt;&gt;"http",IF(H196="Production",set_RMSBase,set_QwilrBase)=""),"",HYPERLINK(IF(LEFT(AC196,4)="http",AC196,IF(H196="Production",set_RMSBase,set_QwilrBase)&amp;AC196),"Open")))</f>
        <v/>
      </c>
      <c r="AE196" s="27">
        <f>IF(E196="","",IFERROR(INDEX(tbl_Production[Total Expense],MATCH(E196&amp;"",tbl_Production[Job Number],0)),IFERROR(INDEX(tbl_Consulting[Total Expense],MATCH(E196&amp;"",tbl_Consulting[Job Number],0)),0)))</f>
        <v/>
      </c>
      <c r="AF196" s="27">
        <f>IF(E196="","",Z196-N(AE196))</f>
        <v/>
      </c>
      <c r="AG196" s="29">
        <f>IFERROR(AF196/Z196,"")</f>
        <v/>
      </c>
      <c r="AH196" s="25">
        <f>IF(E196="","",IFERROR(IF(INDEX(tbl_Onsite[Notes],MATCH(E196&amp;"",tbl_Onsite[Job Number],0))="","",INDEX(tbl_Onsite[Notes],MATCH(E196&amp;"",tbl_Onsite[Job Number],0))),IFERROR(IF(INDEX(tbl_Production[Notes],MATCH(E196&amp;"",tbl_Production[Job Number],0))="","",INDEX(tbl_Production[Notes],MATCH(E196&amp;"",tbl_Production[Job Number],0))),IFERROR(IF(INDEX(tbl_Consulting[Notes],MATCH(E196&amp;"",tbl_Consulting[Job Number],0))="","",INDEX(tbl_Consulting[Notes],MATCH(E196&amp;"",tbl_Consulting[Job Number],0))),""))))</f>
        <v/>
      </c>
    </row>
    <row r="197" ht="15" customHeight="1">
      <c r="A197" s="22" t="n"/>
      <c r="B197" s="23">
        <f>IF(A197="","",EOMONTH(A197,0))</f>
        <v/>
      </c>
      <c r="C197" s="24" t="n"/>
      <c r="D197" s="24" t="n"/>
      <c r="E197" s="24" t="n"/>
      <c r="F197" s="25">
        <f>IF(E197="","",IF(COUNTIF(lst_Jobs,E197&amp;"")&gt;0,"OK","CHECK"))</f>
        <v/>
      </c>
      <c r="G197" s="24" t="n"/>
      <c r="H197" s="24" t="n"/>
      <c r="I197" s="24" t="n"/>
      <c r="J197" s="24" t="n"/>
      <c r="K197" s="24" t="n"/>
      <c r="L197" s="26" t="n"/>
      <c r="M197" s="27">
        <f>IF(L197="","",IF(K197="GST 10%",ROUND(L197*set_GSTRate,2),0))</f>
        <v/>
      </c>
      <c r="N197" s="27">
        <f>IF(L197="","",L197+M197)</f>
        <v/>
      </c>
      <c r="O197" s="24" t="n"/>
      <c r="P197" s="24" t="n"/>
      <c r="Q197" s="24" t="n"/>
      <c r="R197" s="22" t="n"/>
      <c r="S197" s="22" t="n"/>
      <c r="T197" s="24" t="n"/>
      <c r="U197" s="24" t="n"/>
      <c r="V197" s="25">
        <f>IF(COUNTA(A197,D197,C197,L197)=0,"",IF(A197="","No date - sits outside every month",IF(E197="","No job number",IF(F197="CHECK","Job number is not in the Xero job list",IF(I197="","No cost centre",IF(AND(P197="Y",C197=""),"Marked posted to Xero but has no invoice number",IF(AND(L197&lt;&gt;"",K197=""),"No tax code",IF(AND(L197&lt;&gt;"",O197=""),"No revenue GL code",""))))))))</f>
        <v/>
      </c>
      <c r="W197" s="25">
        <f>IF(E197="","",IF(COUNTIF(tbl_Onsite[Job Number],E197&amp;"")&gt;0,"Onsite",IF(COUNTIF(tbl_Production[Job Number],E197&amp;"")&gt;0,"Production",IF(COUNTIF(tbl_Consulting[Job Number],E197&amp;"")&gt;0,"Consulting","not set up yet"))))</f>
        <v/>
      </c>
      <c r="X197" s="25">
        <f>IF(E197="","",IFERROR(INDEX(lst_JobName,MATCH(E197&amp;"",lst_Jobs,0)),""))</f>
        <v/>
      </c>
      <c r="Y197" s="28">
        <f>IF(E197="","",COUNTIFS(tbl_Finance[Job Number],E197&amp;"",tbl_Finance[Ex GST],"&lt;&gt;"))</f>
        <v/>
      </c>
      <c r="Z197" s="27">
        <f>IF(E197="","",SUMIFS(tbl_Finance[Ex GST],tbl_Finance[Job Number],E197&amp;""))</f>
        <v/>
      </c>
      <c r="AA197" s="27">
        <f>IF(E197="","",SUMIFS(tbl_Finance[Ex GST],tbl_Finance[Job Number],E197&amp;"",tbl_Finance[Xero Invoice No],"&lt;&gt;"))</f>
        <v/>
      </c>
      <c r="AB197" s="27">
        <f>IF(E197="","",Z197-AA197)</f>
        <v/>
      </c>
      <c r="AC197" s="25">
        <f>IF(E197="","",IFERROR(IF(INDEX(tbl_Onsite[Qwilr Quote],MATCH(E197&amp;"",tbl_Onsite[Job Number],0))="","",INDEX(tbl_Onsite[Qwilr Quote],MATCH(E197&amp;"",tbl_Onsite[Job Number],0))),IFERROR(IF(IF(INDEX(tbl_Production[Current RMS No],MATCH(E197&amp;"",tbl_Production[Job Number],0))="",INDEX(tbl_Production[Qwilr Quote],MATCH(E197&amp;"",tbl_Production[Job Number],0)),INDEX(tbl_Production[Current RMS No],MATCH(E197&amp;"",tbl_Production[Job Number],0)))="","",IF(INDEX(tbl_Production[Current RMS No],MATCH(E197&amp;"",tbl_Production[Job Number],0))="",INDEX(tbl_Production[Qwilr Quote],MATCH(E197&amp;"",tbl_Production[Job Number],0)),INDEX(tbl_Production[Current RMS No],MATCH(E197&amp;"",tbl_Production[Job Number],0)))),IFERROR(IF(INDEX(tbl_Consulting[Qwilr Quote],MATCH(E197&amp;"",tbl_Consulting[Job Number],0))="","",INDEX(tbl_Consulting[Qwilr Quote],MATCH(E197&amp;"",tbl_Consulting[Job Number],0))),""))))</f>
        <v/>
      </c>
      <c r="AD197" s="25">
        <f>IF(AC197="","",IF(AND(LEFT(AC197,4)&lt;&gt;"http",IF(H197="Production",set_RMSBase,set_QwilrBase)=""),"",HYPERLINK(IF(LEFT(AC197,4)="http",AC197,IF(H197="Production",set_RMSBase,set_QwilrBase)&amp;AC197),"Open")))</f>
        <v/>
      </c>
      <c r="AE197" s="27">
        <f>IF(E197="","",IFERROR(INDEX(tbl_Production[Total Expense],MATCH(E197&amp;"",tbl_Production[Job Number],0)),IFERROR(INDEX(tbl_Consulting[Total Expense],MATCH(E197&amp;"",tbl_Consulting[Job Number],0)),0)))</f>
        <v/>
      </c>
      <c r="AF197" s="27">
        <f>IF(E197="","",Z197-N(AE197))</f>
        <v/>
      </c>
      <c r="AG197" s="29">
        <f>IFERROR(AF197/Z197,"")</f>
        <v/>
      </c>
      <c r="AH197" s="25">
        <f>IF(E197="","",IFERROR(IF(INDEX(tbl_Onsite[Notes],MATCH(E197&amp;"",tbl_Onsite[Job Number],0))="","",INDEX(tbl_Onsite[Notes],MATCH(E197&amp;"",tbl_Onsite[Job Number],0))),IFERROR(IF(INDEX(tbl_Production[Notes],MATCH(E197&amp;"",tbl_Production[Job Number],0))="","",INDEX(tbl_Production[Notes],MATCH(E197&amp;"",tbl_Production[Job Number],0))),IFERROR(IF(INDEX(tbl_Consulting[Notes],MATCH(E197&amp;"",tbl_Consulting[Job Number],0))="","",INDEX(tbl_Consulting[Notes],MATCH(E197&amp;"",tbl_Consulting[Job Number],0))),""))))</f>
        <v/>
      </c>
    </row>
    <row r="198" ht="15" customHeight="1">
      <c r="A198" s="22" t="n"/>
      <c r="B198" s="23">
        <f>IF(A198="","",EOMONTH(A198,0))</f>
        <v/>
      </c>
      <c r="C198" s="24" t="n"/>
      <c r="D198" s="24" t="n"/>
      <c r="E198" s="24" t="n"/>
      <c r="F198" s="25">
        <f>IF(E198="","",IF(COUNTIF(lst_Jobs,E198&amp;"")&gt;0,"OK","CHECK"))</f>
        <v/>
      </c>
      <c r="G198" s="24" t="n"/>
      <c r="H198" s="24" t="n"/>
      <c r="I198" s="24" t="n"/>
      <c r="J198" s="24" t="n"/>
      <c r="K198" s="24" t="n"/>
      <c r="L198" s="26" t="n"/>
      <c r="M198" s="27">
        <f>IF(L198="","",IF(K198="GST 10%",ROUND(L198*set_GSTRate,2),0))</f>
        <v/>
      </c>
      <c r="N198" s="27">
        <f>IF(L198="","",L198+M198)</f>
        <v/>
      </c>
      <c r="O198" s="24" t="n"/>
      <c r="P198" s="24" t="n"/>
      <c r="Q198" s="24" t="n"/>
      <c r="R198" s="22" t="n"/>
      <c r="S198" s="22" t="n"/>
      <c r="T198" s="24" t="n"/>
      <c r="U198" s="24" t="n"/>
      <c r="V198" s="25">
        <f>IF(COUNTA(A198,D198,C198,L198)=0,"",IF(A198="","No date - sits outside every month",IF(E198="","No job number",IF(F198="CHECK","Job number is not in the Xero job list",IF(I198="","No cost centre",IF(AND(P198="Y",C198=""),"Marked posted to Xero but has no invoice number",IF(AND(L198&lt;&gt;"",K198=""),"No tax code",IF(AND(L198&lt;&gt;"",O198=""),"No revenue GL code",""))))))))</f>
        <v/>
      </c>
      <c r="W198" s="25">
        <f>IF(E198="","",IF(COUNTIF(tbl_Onsite[Job Number],E198&amp;"")&gt;0,"Onsite",IF(COUNTIF(tbl_Production[Job Number],E198&amp;"")&gt;0,"Production",IF(COUNTIF(tbl_Consulting[Job Number],E198&amp;"")&gt;0,"Consulting","not set up yet"))))</f>
        <v/>
      </c>
      <c r="X198" s="25">
        <f>IF(E198="","",IFERROR(INDEX(lst_JobName,MATCH(E198&amp;"",lst_Jobs,0)),""))</f>
        <v/>
      </c>
      <c r="Y198" s="28">
        <f>IF(E198="","",COUNTIFS(tbl_Finance[Job Number],E198&amp;"",tbl_Finance[Ex GST],"&lt;&gt;"))</f>
        <v/>
      </c>
      <c r="Z198" s="27">
        <f>IF(E198="","",SUMIFS(tbl_Finance[Ex GST],tbl_Finance[Job Number],E198&amp;""))</f>
        <v/>
      </c>
      <c r="AA198" s="27">
        <f>IF(E198="","",SUMIFS(tbl_Finance[Ex GST],tbl_Finance[Job Number],E198&amp;"",tbl_Finance[Xero Invoice No],"&lt;&gt;"))</f>
        <v/>
      </c>
      <c r="AB198" s="27">
        <f>IF(E198="","",Z198-AA198)</f>
        <v/>
      </c>
      <c r="AC198" s="25">
        <f>IF(E198="","",IFERROR(IF(INDEX(tbl_Onsite[Qwilr Quote],MATCH(E198&amp;"",tbl_Onsite[Job Number],0))="","",INDEX(tbl_Onsite[Qwilr Quote],MATCH(E198&amp;"",tbl_Onsite[Job Number],0))),IFERROR(IF(IF(INDEX(tbl_Production[Current RMS No],MATCH(E198&amp;"",tbl_Production[Job Number],0))="",INDEX(tbl_Production[Qwilr Quote],MATCH(E198&amp;"",tbl_Production[Job Number],0)),INDEX(tbl_Production[Current RMS No],MATCH(E198&amp;"",tbl_Production[Job Number],0)))="","",IF(INDEX(tbl_Production[Current RMS No],MATCH(E198&amp;"",tbl_Production[Job Number],0))="",INDEX(tbl_Production[Qwilr Quote],MATCH(E198&amp;"",tbl_Production[Job Number],0)),INDEX(tbl_Production[Current RMS No],MATCH(E198&amp;"",tbl_Production[Job Number],0)))),IFERROR(IF(INDEX(tbl_Consulting[Qwilr Quote],MATCH(E198&amp;"",tbl_Consulting[Job Number],0))="","",INDEX(tbl_Consulting[Qwilr Quote],MATCH(E198&amp;"",tbl_Consulting[Job Number],0))),""))))</f>
        <v/>
      </c>
      <c r="AD198" s="25">
        <f>IF(AC198="","",IF(AND(LEFT(AC198,4)&lt;&gt;"http",IF(H198="Production",set_RMSBase,set_QwilrBase)=""),"",HYPERLINK(IF(LEFT(AC198,4)="http",AC198,IF(H198="Production",set_RMSBase,set_QwilrBase)&amp;AC198),"Open")))</f>
        <v/>
      </c>
      <c r="AE198" s="27">
        <f>IF(E198="","",IFERROR(INDEX(tbl_Production[Total Expense],MATCH(E198&amp;"",tbl_Production[Job Number],0)),IFERROR(INDEX(tbl_Consulting[Total Expense],MATCH(E198&amp;"",tbl_Consulting[Job Number],0)),0)))</f>
        <v/>
      </c>
      <c r="AF198" s="27">
        <f>IF(E198="","",Z198-N(AE198))</f>
        <v/>
      </c>
      <c r="AG198" s="29">
        <f>IFERROR(AF198/Z198,"")</f>
        <v/>
      </c>
      <c r="AH198" s="25">
        <f>IF(E198="","",IFERROR(IF(INDEX(tbl_Onsite[Notes],MATCH(E198&amp;"",tbl_Onsite[Job Number],0))="","",INDEX(tbl_Onsite[Notes],MATCH(E198&amp;"",tbl_Onsite[Job Number],0))),IFERROR(IF(INDEX(tbl_Production[Notes],MATCH(E198&amp;"",tbl_Production[Job Number],0))="","",INDEX(tbl_Production[Notes],MATCH(E198&amp;"",tbl_Production[Job Number],0))),IFERROR(IF(INDEX(tbl_Consulting[Notes],MATCH(E198&amp;"",tbl_Consulting[Job Number],0))="","",INDEX(tbl_Consulting[Notes],MATCH(E198&amp;"",tbl_Consulting[Job Number],0))),""))))</f>
        <v/>
      </c>
    </row>
    <row r="199" ht="15" customHeight="1">
      <c r="A199" s="22" t="n"/>
      <c r="B199" s="23">
        <f>IF(A199="","",EOMONTH(A199,0))</f>
        <v/>
      </c>
      <c r="C199" s="24" t="n"/>
      <c r="D199" s="24" t="n"/>
      <c r="E199" s="24" t="n"/>
      <c r="F199" s="25">
        <f>IF(E199="","",IF(COUNTIF(lst_Jobs,E199&amp;"")&gt;0,"OK","CHECK"))</f>
        <v/>
      </c>
      <c r="G199" s="24" t="n"/>
      <c r="H199" s="24" t="n"/>
      <c r="I199" s="24" t="n"/>
      <c r="J199" s="24" t="n"/>
      <c r="K199" s="24" t="n"/>
      <c r="L199" s="26" t="n"/>
      <c r="M199" s="27">
        <f>IF(L199="","",IF(K199="GST 10%",ROUND(L199*set_GSTRate,2),0))</f>
        <v/>
      </c>
      <c r="N199" s="27">
        <f>IF(L199="","",L199+M199)</f>
        <v/>
      </c>
      <c r="O199" s="24" t="n"/>
      <c r="P199" s="24" t="n"/>
      <c r="Q199" s="24" t="n"/>
      <c r="R199" s="22" t="n"/>
      <c r="S199" s="22" t="n"/>
      <c r="T199" s="24" t="n"/>
      <c r="U199" s="24" t="n"/>
      <c r="V199" s="25">
        <f>IF(COUNTA(A199,D199,C199,L199)=0,"",IF(A199="","No date - sits outside every month",IF(E199="","No job number",IF(F199="CHECK","Job number is not in the Xero job list",IF(I199="","No cost centre",IF(AND(P199="Y",C199=""),"Marked posted to Xero but has no invoice number",IF(AND(L199&lt;&gt;"",K199=""),"No tax code",IF(AND(L199&lt;&gt;"",O199=""),"No revenue GL code",""))))))))</f>
        <v/>
      </c>
      <c r="W199" s="25">
        <f>IF(E199="","",IF(COUNTIF(tbl_Onsite[Job Number],E199&amp;"")&gt;0,"Onsite",IF(COUNTIF(tbl_Production[Job Number],E199&amp;"")&gt;0,"Production",IF(COUNTIF(tbl_Consulting[Job Number],E199&amp;"")&gt;0,"Consulting","not set up yet"))))</f>
        <v/>
      </c>
      <c r="X199" s="25">
        <f>IF(E199="","",IFERROR(INDEX(lst_JobName,MATCH(E199&amp;"",lst_Jobs,0)),""))</f>
        <v/>
      </c>
      <c r="Y199" s="28">
        <f>IF(E199="","",COUNTIFS(tbl_Finance[Job Number],E199&amp;"",tbl_Finance[Ex GST],"&lt;&gt;"))</f>
        <v/>
      </c>
      <c r="Z199" s="27">
        <f>IF(E199="","",SUMIFS(tbl_Finance[Ex GST],tbl_Finance[Job Number],E199&amp;""))</f>
        <v/>
      </c>
      <c r="AA199" s="27">
        <f>IF(E199="","",SUMIFS(tbl_Finance[Ex GST],tbl_Finance[Job Number],E199&amp;"",tbl_Finance[Xero Invoice No],"&lt;&gt;"))</f>
        <v/>
      </c>
      <c r="AB199" s="27">
        <f>IF(E199="","",Z199-AA199)</f>
        <v/>
      </c>
      <c r="AC199" s="25">
        <f>IF(E199="","",IFERROR(IF(INDEX(tbl_Onsite[Qwilr Quote],MATCH(E199&amp;"",tbl_Onsite[Job Number],0))="","",INDEX(tbl_Onsite[Qwilr Quote],MATCH(E199&amp;"",tbl_Onsite[Job Number],0))),IFERROR(IF(IF(INDEX(tbl_Production[Current RMS No],MATCH(E199&amp;"",tbl_Production[Job Number],0))="",INDEX(tbl_Production[Qwilr Quote],MATCH(E199&amp;"",tbl_Production[Job Number],0)),INDEX(tbl_Production[Current RMS No],MATCH(E199&amp;"",tbl_Production[Job Number],0)))="","",IF(INDEX(tbl_Production[Current RMS No],MATCH(E199&amp;"",tbl_Production[Job Number],0))="",INDEX(tbl_Production[Qwilr Quote],MATCH(E199&amp;"",tbl_Production[Job Number],0)),INDEX(tbl_Production[Current RMS No],MATCH(E199&amp;"",tbl_Production[Job Number],0)))),IFERROR(IF(INDEX(tbl_Consulting[Qwilr Quote],MATCH(E199&amp;"",tbl_Consulting[Job Number],0))="","",INDEX(tbl_Consulting[Qwilr Quote],MATCH(E199&amp;"",tbl_Consulting[Job Number],0))),""))))</f>
        <v/>
      </c>
      <c r="AD199" s="25">
        <f>IF(AC199="","",IF(AND(LEFT(AC199,4)&lt;&gt;"http",IF(H199="Production",set_RMSBase,set_QwilrBase)=""),"",HYPERLINK(IF(LEFT(AC199,4)="http",AC199,IF(H199="Production",set_RMSBase,set_QwilrBase)&amp;AC199),"Open")))</f>
        <v/>
      </c>
      <c r="AE199" s="27">
        <f>IF(E199="","",IFERROR(INDEX(tbl_Production[Total Expense],MATCH(E199&amp;"",tbl_Production[Job Number],0)),IFERROR(INDEX(tbl_Consulting[Total Expense],MATCH(E199&amp;"",tbl_Consulting[Job Number],0)),0)))</f>
        <v/>
      </c>
      <c r="AF199" s="27">
        <f>IF(E199="","",Z199-N(AE199))</f>
        <v/>
      </c>
      <c r="AG199" s="29">
        <f>IFERROR(AF199/Z199,"")</f>
        <v/>
      </c>
      <c r="AH199" s="25">
        <f>IF(E199="","",IFERROR(IF(INDEX(tbl_Onsite[Notes],MATCH(E199&amp;"",tbl_Onsite[Job Number],0))="","",INDEX(tbl_Onsite[Notes],MATCH(E199&amp;"",tbl_Onsite[Job Number],0))),IFERROR(IF(INDEX(tbl_Production[Notes],MATCH(E199&amp;"",tbl_Production[Job Number],0))="","",INDEX(tbl_Production[Notes],MATCH(E199&amp;"",tbl_Production[Job Number],0))),IFERROR(IF(INDEX(tbl_Consulting[Notes],MATCH(E199&amp;"",tbl_Consulting[Job Number],0))="","",INDEX(tbl_Consulting[Notes],MATCH(E199&amp;"",tbl_Consulting[Job Number],0))),""))))</f>
        <v/>
      </c>
    </row>
    <row r="200" ht="15" customHeight="1">
      <c r="A200" s="22" t="n"/>
      <c r="B200" s="23">
        <f>IF(A200="","",EOMONTH(A200,0))</f>
        <v/>
      </c>
      <c r="C200" s="24" t="n"/>
      <c r="D200" s="24" t="n"/>
      <c r="E200" s="24" t="n"/>
      <c r="F200" s="25">
        <f>IF(E200="","",IF(COUNTIF(lst_Jobs,E200&amp;"")&gt;0,"OK","CHECK"))</f>
        <v/>
      </c>
      <c r="G200" s="24" t="n"/>
      <c r="H200" s="24" t="n"/>
      <c r="I200" s="24" t="n"/>
      <c r="J200" s="24" t="n"/>
      <c r="K200" s="24" t="n"/>
      <c r="L200" s="26" t="n"/>
      <c r="M200" s="27">
        <f>IF(L200="","",IF(K200="GST 10%",ROUND(L200*set_GSTRate,2),0))</f>
        <v/>
      </c>
      <c r="N200" s="27">
        <f>IF(L200="","",L200+M200)</f>
        <v/>
      </c>
      <c r="O200" s="24" t="n"/>
      <c r="P200" s="24" t="n"/>
      <c r="Q200" s="24" t="n"/>
      <c r="R200" s="22" t="n"/>
      <c r="S200" s="22" t="n"/>
      <c r="T200" s="24" t="n"/>
      <c r="U200" s="24" t="n"/>
      <c r="V200" s="25">
        <f>IF(COUNTA(A200,D200,C200,L200)=0,"",IF(A200="","No date - sits outside every month",IF(E200="","No job number",IF(F200="CHECK","Job number is not in the Xero job list",IF(I200="","No cost centre",IF(AND(P200="Y",C200=""),"Marked posted to Xero but has no invoice number",IF(AND(L200&lt;&gt;"",K200=""),"No tax code",IF(AND(L200&lt;&gt;"",O200=""),"No revenue GL code",""))))))))</f>
        <v/>
      </c>
      <c r="W200" s="25">
        <f>IF(E200="","",IF(COUNTIF(tbl_Onsite[Job Number],E200&amp;"")&gt;0,"Onsite",IF(COUNTIF(tbl_Production[Job Number],E200&amp;"")&gt;0,"Production",IF(COUNTIF(tbl_Consulting[Job Number],E200&amp;"")&gt;0,"Consulting","not set up yet"))))</f>
        <v/>
      </c>
      <c r="X200" s="25">
        <f>IF(E200="","",IFERROR(INDEX(lst_JobName,MATCH(E200&amp;"",lst_Jobs,0)),""))</f>
        <v/>
      </c>
      <c r="Y200" s="28">
        <f>IF(E200="","",COUNTIFS(tbl_Finance[Job Number],E200&amp;"",tbl_Finance[Ex GST],"&lt;&gt;"))</f>
        <v/>
      </c>
      <c r="Z200" s="27">
        <f>IF(E200="","",SUMIFS(tbl_Finance[Ex GST],tbl_Finance[Job Number],E200&amp;""))</f>
        <v/>
      </c>
      <c r="AA200" s="27">
        <f>IF(E200="","",SUMIFS(tbl_Finance[Ex GST],tbl_Finance[Job Number],E200&amp;"",tbl_Finance[Xero Invoice No],"&lt;&gt;"))</f>
        <v/>
      </c>
      <c r="AB200" s="27">
        <f>IF(E200="","",Z200-AA200)</f>
        <v/>
      </c>
      <c r="AC200" s="25">
        <f>IF(E200="","",IFERROR(IF(INDEX(tbl_Onsite[Qwilr Quote],MATCH(E200&amp;"",tbl_Onsite[Job Number],0))="","",INDEX(tbl_Onsite[Qwilr Quote],MATCH(E200&amp;"",tbl_Onsite[Job Number],0))),IFERROR(IF(IF(INDEX(tbl_Production[Current RMS No],MATCH(E200&amp;"",tbl_Production[Job Number],0))="",INDEX(tbl_Production[Qwilr Quote],MATCH(E200&amp;"",tbl_Production[Job Number],0)),INDEX(tbl_Production[Current RMS No],MATCH(E200&amp;"",tbl_Production[Job Number],0)))="","",IF(INDEX(tbl_Production[Current RMS No],MATCH(E200&amp;"",tbl_Production[Job Number],0))="",INDEX(tbl_Production[Qwilr Quote],MATCH(E200&amp;"",tbl_Production[Job Number],0)),INDEX(tbl_Production[Current RMS No],MATCH(E200&amp;"",tbl_Production[Job Number],0)))),IFERROR(IF(INDEX(tbl_Consulting[Qwilr Quote],MATCH(E200&amp;"",tbl_Consulting[Job Number],0))="","",INDEX(tbl_Consulting[Qwilr Quote],MATCH(E200&amp;"",tbl_Consulting[Job Number],0))),""))))</f>
        <v/>
      </c>
      <c r="AD200" s="25">
        <f>IF(AC200="","",IF(AND(LEFT(AC200,4)&lt;&gt;"http",IF(H200="Production",set_RMSBase,set_QwilrBase)=""),"",HYPERLINK(IF(LEFT(AC200,4)="http",AC200,IF(H200="Production",set_RMSBase,set_QwilrBase)&amp;AC200),"Open")))</f>
        <v/>
      </c>
      <c r="AE200" s="27">
        <f>IF(E200="","",IFERROR(INDEX(tbl_Production[Total Expense],MATCH(E200&amp;"",tbl_Production[Job Number],0)),IFERROR(INDEX(tbl_Consulting[Total Expense],MATCH(E200&amp;"",tbl_Consulting[Job Number],0)),0)))</f>
        <v/>
      </c>
      <c r="AF200" s="27">
        <f>IF(E200="","",Z200-N(AE200))</f>
        <v/>
      </c>
      <c r="AG200" s="29">
        <f>IFERROR(AF200/Z200,"")</f>
        <v/>
      </c>
      <c r="AH200" s="25">
        <f>IF(E200="","",IFERROR(IF(INDEX(tbl_Onsite[Notes],MATCH(E200&amp;"",tbl_Onsite[Job Number],0))="","",INDEX(tbl_Onsite[Notes],MATCH(E200&amp;"",tbl_Onsite[Job Number],0))),IFERROR(IF(INDEX(tbl_Production[Notes],MATCH(E200&amp;"",tbl_Production[Job Number],0))="","",INDEX(tbl_Production[Notes],MATCH(E200&amp;"",tbl_Production[Job Number],0))),IFERROR(IF(INDEX(tbl_Consulting[Notes],MATCH(E200&amp;"",tbl_Consulting[Job Number],0))="","",INDEX(tbl_Consulting[Notes],MATCH(E200&amp;"",tbl_Consulting[Job Number],0))),""))))</f>
        <v/>
      </c>
    </row>
    <row r="201" ht="15" customHeight="1">
      <c r="A201" s="22" t="n"/>
      <c r="B201" s="23">
        <f>IF(A201="","",EOMONTH(A201,0))</f>
        <v/>
      </c>
      <c r="C201" s="24" t="n"/>
      <c r="D201" s="24" t="n"/>
      <c r="E201" s="24" t="n"/>
      <c r="F201" s="25">
        <f>IF(E201="","",IF(COUNTIF(lst_Jobs,E201&amp;"")&gt;0,"OK","CHECK"))</f>
        <v/>
      </c>
      <c r="G201" s="24" t="n"/>
      <c r="H201" s="24" t="n"/>
      <c r="I201" s="24" t="n"/>
      <c r="J201" s="24" t="n"/>
      <c r="K201" s="24" t="n"/>
      <c r="L201" s="26" t="n"/>
      <c r="M201" s="27">
        <f>IF(L201="","",IF(K201="GST 10%",ROUND(L201*set_GSTRate,2),0))</f>
        <v/>
      </c>
      <c r="N201" s="27">
        <f>IF(L201="","",L201+M201)</f>
        <v/>
      </c>
      <c r="O201" s="24" t="n"/>
      <c r="P201" s="24" t="n"/>
      <c r="Q201" s="24" t="n"/>
      <c r="R201" s="22" t="n"/>
      <c r="S201" s="22" t="n"/>
      <c r="T201" s="24" t="n"/>
      <c r="U201" s="24" t="n"/>
      <c r="V201" s="25">
        <f>IF(COUNTA(A201,D201,C201,L201)=0,"",IF(A201="","No date - sits outside every month",IF(E201="","No job number",IF(F201="CHECK","Job number is not in the Xero job list",IF(I201="","No cost centre",IF(AND(P201="Y",C201=""),"Marked posted to Xero but has no invoice number",IF(AND(L201&lt;&gt;"",K201=""),"No tax code",IF(AND(L201&lt;&gt;"",O201=""),"No revenue GL code",""))))))))</f>
        <v/>
      </c>
      <c r="W201" s="25">
        <f>IF(E201="","",IF(COUNTIF(tbl_Onsite[Job Number],E201&amp;"")&gt;0,"Onsite",IF(COUNTIF(tbl_Production[Job Number],E201&amp;"")&gt;0,"Production",IF(COUNTIF(tbl_Consulting[Job Number],E201&amp;"")&gt;0,"Consulting","not set up yet"))))</f>
        <v/>
      </c>
      <c r="X201" s="25">
        <f>IF(E201="","",IFERROR(INDEX(lst_JobName,MATCH(E201&amp;"",lst_Jobs,0)),""))</f>
        <v/>
      </c>
      <c r="Y201" s="28">
        <f>IF(E201="","",COUNTIFS(tbl_Finance[Job Number],E201&amp;"",tbl_Finance[Ex GST],"&lt;&gt;"))</f>
        <v/>
      </c>
      <c r="Z201" s="27">
        <f>IF(E201="","",SUMIFS(tbl_Finance[Ex GST],tbl_Finance[Job Number],E201&amp;""))</f>
        <v/>
      </c>
      <c r="AA201" s="27">
        <f>IF(E201="","",SUMIFS(tbl_Finance[Ex GST],tbl_Finance[Job Number],E201&amp;"",tbl_Finance[Xero Invoice No],"&lt;&gt;"))</f>
        <v/>
      </c>
      <c r="AB201" s="27">
        <f>IF(E201="","",Z201-AA201)</f>
        <v/>
      </c>
      <c r="AC201" s="25">
        <f>IF(E201="","",IFERROR(IF(INDEX(tbl_Onsite[Qwilr Quote],MATCH(E201&amp;"",tbl_Onsite[Job Number],0))="","",INDEX(tbl_Onsite[Qwilr Quote],MATCH(E201&amp;"",tbl_Onsite[Job Number],0))),IFERROR(IF(IF(INDEX(tbl_Production[Current RMS No],MATCH(E201&amp;"",tbl_Production[Job Number],0))="",INDEX(tbl_Production[Qwilr Quote],MATCH(E201&amp;"",tbl_Production[Job Number],0)),INDEX(tbl_Production[Current RMS No],MATCH(E201&amp;"",tbl_Production[Job Number],0)))="","",IF(INDEX(tbl_Production[Current RMS No],MATCH(E201&amp;"",tbl_Production[Job Number],0))="",INDEX(tbl_Production[Qwilr Quote],MATCH(E201&amp;"",tbl_Production[Job Number],0)),INDEX(tbl_Production[Current RMS No],MATCH(E201&amp;"",tbl_Production[Job Number],0)))),IFERROR(IF(INDEX(tbl_Consulting[Qwilr Quote],MATCH(E201&amp;"",tbl_Consulting[Job Number],0))="","",INDEX(tbl_Consulting[Qwilr Quote],MATCH(E201&amp;"",tbl_Consulting[Job Number],0))),""))))</f>
        <v/>
      </c>
      <c r="AD201" s="25">
        <f>IF(AC201="","",IF(AND(LEFT(AC201,4)&lt;&gt;"http",IF(H201="Production",set_RMSBase,set_QwilrBase)=""),"",HYPERLINK(IF(LEFT(AC201,4)="http",AC201,IF(H201="Production",set_RMSBase,set_QwilrBase)&amp;AC201),"Open")))</f>
        <v/>
      </c>
      <c r="AE201" s="27">
        <f>IF(E201="","",IFERROR(INDEX(tbl_Production[Total Expense],MATCH(E201&amp;"",tbl_Production[Job Number],0)),IFERROR(INDEX(tbl_Consulting[Total Expense],MATCH(E201&amp;"",tbl_Consulting[Job Number],0)),0)))</f>
        <v/>
      </c>
      <c r="AF201" s="27">
        <f>IF(E201="","",Z201-N(AE201))</f>
        <v/>
      </c>
      <c r="AG201" s="29">
        <f>IFERROR(AF201/Z201,"")</f>
        <v/>
      </c>
      <c r="AH201" s="25">
        <f>IF(E201="","",IFERROR(IF(INDEX(tbl_Onsite[Notes],MATCH(E201&amp;"",tbl_Onsite[Job Number],0))="","",INDEX(tbl_Onsite[Notes],MATCH(E201&amp;"",tbl_Onsite[Job Number],0))),IFERROR(IF(INDEX(tbl_Production[Notes],MATCH(E201&amp;"",tbl_Production[Job Number],0))="","",INDEX(tbl_Production[Notes],MATCH(E201&amp;"",tbl_Production[Job Number],0))),IFERROR(IF(INDEX(tbl_Consulting[Notes],MATCH(E201&amp;"",tbl_Consulting[Job Number],0))="","",INDEX(tbl_Consulting[Notes],MATCH(E201&amp;"",tbl_Consulting[Job Number],0))),""))))</f>
        <v/>
      </c>
    </row>
    <row r="202" ht="15" customHeight="1">
      <c r="A202" s="22" t="n"/>
      <c r="B202" s="23">
        <f>IF(A202="","",EOMONTH(A202,0))</f>
        <v/>
      </c>
      <c r="C202" s="24" t="n"/>
      <c r="D202" s="24" t="n"/>
      <c r="E202" s="24" t="n"/>
      <c r="F202" s="25">
        <f>IF(E202="","",IF(COUNTIF(lst_Jobs,E202&amp;"")&gt;0,"OK","CHECK"))</f>
        <v/>
      </c>
      <c r="G202" s="24" t="n"/>
      <c r="H202" s="24" t="n"/>
      <c r="I202" s="24" t="n"/>
      <c r="J202" s="24" t="n"/>
      <c r="K202" s="24" t="n"/>
      <c r="L202" s="26" t="n"/>
      <c r="M202" s="27">
        <f>IF(L202="","",IF(K202="GST 10%",ROUND(L202*set_GSTRate,2),0))</f>
        <v/>
      </c>
      <c r="N202" s="27">
        <f>IF(L202="","",L202+M202)</f>
        <v/>
      </c>
      <c r="O202" s="24" t="n"/>
      <c r="P202" s="24" t="n"/>
      <c r="Q202" s="24" t="n"/>
      <c r="R202" s="22" t="n"/>
      <c r="S202" s="22" t="n"/>
      <c r="T202" s="24" t="n"/>
      <c r="U202" s="24" t="n"/>
      <c r="V202" s="25">
        <f>IF(COUNTA(A202,D202,C202,L202)=0,"",IF(A202="","No date - sits outside every month",IF(E202="","No job number",IF(F202="CHECK","Job number is not in the Xero job list",IF(I202="","No cost centre",IF(AND(P202="Y",C202=""),"Marked posted to Xero but has no invoice number",IF(AND(L202&lt;&gt;"",K202=""),"No tax code",IF(AND(L202&lt;&gt;"",O202=""),"No revenue GL code",""))))))))</f>
        <v/>
      </c>
      <c r="W202" s="25">
        <f>IF(E202="","",IF(COUNTIF(tbl_Onsite[Job Number],E202&amp;"")&gt;0,"Onsite",IF(COUNTIF(tbl_Production[Job Number],E202&amp;"")&gt;0,"Production",IF(COUNTIF(tbl_Consulting[Job Number],E202&amp;"")&gt;0,"Consulting","not set up yet"))))</f>
        <v/>
      </c>
      <c r="X202" s="25">
        <f>IF(E202="","",IFERROR(INDEX(lst_JobName,MATCH(E202&amp;"",lst_Jobs,0)),""))</f>
        <v/>
      </c>
      <c r="Y202" s="28">
        <f>IF(E202="","",COUNTIFS(tbl_Finance[Job Number],E202&amp;"",tbl_Finance[Ex GST],"&lt;&gt;"))</f>
        <v/>
      </c>
      <c r="Z202" s="27">
        <f>IF(E202="","",SUMIFS(tbl_Finance[Ex GST],tbl_Finance[Job Number],E202&amp;""))</f>
        <v/>
      </c>
      <c r="AA202" s="27">
        <f>IF(E202="","",SUMIFS(tbl_Finance[Ex GST],tbl_Finance[Job Number],E202&amp;"",tbl_Finance[Xero Invoice No],"&lt;&gt;"))</f>
        <v/>
      </c>
      <c r="AB202" s="27">
        <f>IF(E202="","",Z202-AA202)</f>
        <v/>
      </c>
      <c r="AC202" s="25">
        <f>IF(E202="","",IFERROR(IF(INDEX(tbl_Onsite[Qwilr Quote],MATCH(E202&amp;"",tbl_Onsite[Job Number],0))="","",INDEX(tbl_Onsite[Qwilr Quote],MATCH(E202&amp;"",tbl_Onsite[Job Number],0))),IFERROR(IF(IF(INDEX(tbl_Production[Current RMS No],MATCH(E202&amp;"",tbl_Production[Job Number],0))="",INDEX(tbl_Production[Qwilr Quote],MATCH(E202&amp;"",tbl_Production[Job Number],0)),INDEX(tbl_Production[Current RMS No],MATCH(E202&amp;"",tbl_Production[Job Number],0)))="","",IF(INDEX(tbl_Production[Current RMS No],MATCH(E202&amp;"",tbl_Production[Job Number],0))="",INDEX(tbl_Production[Qwilr Quote],MATCH(E202&amp;"",tbl_Production[Job Number],0)),INDEX(tbl_Production[Current RMS No],MATCH(E202&amp;"",tbl_Production[Job Number],0)))),IFERROR(IF(INDEX(tbl_Consulting[Qwilr Quote],MATCH(E202&amp;"",tbl_Consulting[Job Number],0))="","",INDEX(tbl_Consulting[Qwilr Quote],MATCH(E202&amp;"",tbl_Consulting[Job Number],0))),""))))</f>
        <v/>
      </c>
      <c r="AD202" s="25">
        <f>IF(AC202="","",IF(AND(LEFT(AC202,4)&lt;&gt;"http",IF(H202="Production",set_RMSBase,set_QwilrBase)=""),"",HYPERLINK(IF(LEFT(AC202,4)="http",AC202,IF(H202="Production",set_RMSBase,set_QwilrBase)&amp;AC202),"Open")))</f>
        <v/>
      </c>
      <c r="AE202" s="27">
        <f>IF(E202="","",IFERROR(INDEX(tbl_Production[Total Expense],MATCH(E202&amp;"",tbl_Production[Job Number],0)),IFERROR(INDEX(tbl_Consulting[Total Expense],MATCH(E202&amp;"",tbl_Consulting[Job Number],0)),0)))</f>
        <v/>
      </c>
      <c r="AF202" s="27">
        <f>IF(E202="","",Z202-N(AE202))</f>
        <v/>
      </c>
      <c r="AG202" s="29">
        <f>IFERROR(AF202/Z202,"")</f>
        <v/>
      </c>
      <c r="AH202" s="25">
        <f>IF(E202="","",IFERROR(IF(INDEX(tbl_Onsite[Notes],MATCH(E202&amp;"",tbl_Onsite[Job Number],0))="","",INDEX(tbl_Onsite[Notes],MATCH(E202&amp;"",tbl_Onsite[Job Number],0))),IFERROR(IF(INDEX(tbl_Production[Notes],MATCH(E202&amp;"",tbl_Production[Job Number],0))="","",INDEX(tbl_Production[Notes],MATCH(E202&amp;"",tbl_Production[Job Number],0))),IFERROR(IF(INDEX(tbl_Consulting[Notes],MATCH(E202&amp;"",tbl_Consulting[Job Number],0))="","",INDEX(tbl_Consulting[Notes],MATCH(E202&amp;"",tbl_Consulting[Job Number],0))),""))))</f>
        <v/>
      </c>
    </row>
    <row r="203" ht="15" customHeight="1">
      <c r="A203" s="22" t="n"/>
      <c r="B203" s="23">
        <f>IF(A203="","",EOMONTH(A203,0))</f>
        <v/>
      </c>
      <c r="C203" s="24" t="n"/>
      <c r="D203" s="24" t="n"/>
      <c r="E203" s="24" t="n"/>
      <c r="F203" s="25">
        <f>IF(E203="","",IF(COUNTIF(lst_Jobs,E203&amp;"")&gt;0,"OK","CHECK"))</f>
        <v/>
      </c>
      <c r="G203" s="24" t="n"/>
      <c r="H203" s="24" t="n"/>
      <c r="I203" s="24" t="n"/>
      <c r="J203" s="24" t="n"/>
      <c r="K203" s="24" t="n"/>
      <c r="L203" s="26" t="n"/>
      <c r="M203" s="27">
        <f>IF(L203="","",IF(K203="GST 10%",ROUND(L203*set_GSTRate,2),0))</f>
        <v/>
      </c>
      <c r="N203" s="27">
        <f>IF(L203="","",L203+M203)</f>
        <v/>
      </c>
      <c r="O203" s="24" t="n"/>
      <c r="P203" s="24" t="n"/>
      <c r="Q203" s="24" t="n"/>
      <c r="R203" s="22" t="n"/>
      <c r="S203" s="22" t="n"/>
      <c r="T203" s="24" t="n"/>
      <c r="U203" s="24" t="n"/>
      <c r="V203" s="25">
        <f>IF(COUNTA(A203,D203,C203,L203)=0,"",IF(A203="","No date - sits outside every month",IF(E203="","No job number",IF(F203="CHECK","Job number is not in the Xero job list",IF(I203="","No cost centre",IF(AND(P203="Y",C203=""),"Marked posted to Xero but has no invoice number",IF(AND(L203&lt;&gt;"",K203=""),"No tax code",IF(AND(L203&lt;&gt;"",O203=""),"No revenue GL code",""))))))))</f>
        <v/>
      </c>
      <c r="W203" s="25">
        <f>IF(E203="","",IF(COUNTIF(tbl_Onsite[Job Number],E203&amp;"")&gt;0,"Onsite",IF(COUNTIF(tbl_Production[Job Number],E203&amp;"")&gt;0,"Production",IF(COUNTIF(tbl_Consulting[Job Number],E203&amp;"")&gt;0,"Consulting","not set up yet"))))</f>
        <v/>
      </c>
      <c r="X203" s="25">
        <f>IF(E203="","",IFERROR(INDEX(lst_JobName,MATCH(E203&amp;"",lst_Jobs,0)),""))</f>
        <v/>
      </c>
      <c r="Y203" s="28">
        <f>IF(E203="","",COUNTIFS(tbl_Finance[Job Number],E203&amp;"",tbl_Finance[Ex GST],"&lt;&gt;"))</f>
        <v/>
      </c>
      <c r="Z203" s="27">
        <f>IF(E203="","",SUMIFS(tbl_Finance[Ex GST],tbl_Finance[Job Number],E203&amp;""))</f>
        <v/>
      </c>
      <c r="AA203" s="27">
        <f>IF(E203="","",SUMIFS(tbl_Finance[Ex GST],tbl_Finance[Job Number],E203&amp;"",tbl_Finance[Xero Invoice No],"&lt;&gt;"))</f>
        <v/>
      </c>
      <c r="AB203" s="27">
        <f>IF(E203="","",Z203-AA203)</f>
        <v/>
      </c>
      <c r="AC203" s="25">
        <f>IF(E203="","",IFERROR(IF(INDEX(tbl_Onsite[Qwilr Quote],MATCH(E203&amp;"",tbl_Onsite[Job Number],0))="","",INDEX(tbl_Onsite[Qwilr Quote],MATCH(E203&amp;"",tbl_Onsite[Job Number],0))),IFERROR(IF(IF(INDEX(tbl_Production[Current RMS No],MATCH(E203&amp;"",tbl_Production[Job Number],0))="",INDEX(tbl_Production[Qwilr Quote],MATCH(E203&amp;"",tbl_Production[Job Number],0)),INDEX(tbl_Production[Current RMS No],MATCH(E203&amp;"",tbl_Production[Job Number],0)))="","",IF(INDEX(tbl_Production[Current RMS No],MATCH(E203&amp;"",tbl_Production[Job Number],0))="",INDEX(tbl_Production[Qwilr Quote],MATCH(E203&amp;"",tbl_Production[Job Number],0)),INDEX(tbl_Production[Current RMS No],MATCH(E203&amp;"",tbl_Production[Job Number],0)))),IFERROR(IF(INDEX(tbl_Consulting[Qwilr Quote],MATCH(E203&amp;"",tbl_Consulting[Job Number],0))="","",INDEX(tbl_Consulting[Qwilr Quote],MATCH(E203&amp;"",tbl_Consulting[Job Number],0))),""))))</f>
        <v/>
      </c>
      <c r="AD203" s="25">
        <f>IF(AC203="","",IF(AND(LEFT(AC203,4)&lt;&gt;"http",IF(H203="Production",set_RMSBase,set_QwilrBase)=""),"",HYPERLINK(IF(LEFT(AC203,4)="http",AC203,IF(H203="Production",set_RMSBase,set_QwilrBase)&amp;AC203),"Open")))</f>
        <v/>
      </c>
      <c r="AE203" s="27">
        <f>IF(E203="","",IFERROR(INDEX(tbl_Production[Total Expense],MATCH(E203&amp;"",tbl_Production[Job Number],0)),IFERROR(INDEX(tbl_Consulting[Total Expense],MATCH(E203&amp;"",tbl_Consulting[Job Number],0)),0)))</f>
        <v/>
      </c>
      <c r="AF203" s="27">
        <f>IF(E203="","",Z203-N(AE203))</f>
        <v/>
      </c>
      <c r="AG203" s="29">
        <f>IFERROR(AF203/Z203,"")</f>
        <v/>
      </c>
      <c r="AH203" s="25">
        <f>IF(E203="","",IFERROR(IF(INDEX(tbl_Onsite[Notes],MATCH(E203&amp;"",tbl_Onsite[Job Number],0))="","",INDEX(tbl_Onsite[Notes],MATCH(E203&amp;"",tbl_Onsite[Job Number],0))),IFERROR(IF(INDEX(tbl_Production[Notes],MATCH(E203&amp;"",tbl_Production[Job Number],0))="","",INDEX(tbl_Production[Notes],MATCH(E203&amp;"",tbl_Production[Job Number],0))),IFERROR(IF(INDEX(tbl_Consulting[Notes],MATCH(E203&amp;"",tbl_Consulting[Job Number],0))="","",INDEX(tbl_Consulting[Notes],MATCH(E203&amp;"",tbl_Consulting[Job Number],0))),""))))</f>
        <v/>
      </c>
    </row>
    <row r="204" ht="15" customHeight="1">
      <c r="A204" s="22" t="n"/>
      <c r="B204" s="23">
        <f>IF(A204="","",EOMONTH(A204,0))</f>
        <v/>
      </c>
      <c r="C204" s="24" t="n"/>
      <c r="D204" s="24" t="n"/>
      <c r="E204" s="24" t="n"/>
      <c r="F204" s="25">
        <f>IF(E204="","",IF(COUNTIF(lst_Jobs,E204&amp;"")&gt;0,"OK","CHECK"))</f>
        <v/>
      </c>
      <c r="G204" s="24" t="n"/>
      <c r="H204" s="24" t="n"/>
      <c r="I204" s="24" t="n"/>
      <c r="J204" s="24" t="n"/>
      <c r="K204" s="24" t="n"/>
      <c r="L204" s="26" t="n"/>
      <c r="M204" s="27">
        <f>IF(L204="","",IF(K204="GST 10%",ROUND(L204*set_GSTRate,2),0))</f>
        <v/>
      </c>
      <c r="N204" s="27">
        <f>IF(L204="","",L204+M204)</f>
        <v/>
      </c>
      <c r="O204" s="24" t="n"/>
      <c r="P204" s="24" t="n"/>
      <c r="Q204" s="24" t="n"/>
      <c r="R204" s="22" t="n"/>
      <c r="S204" s="22" t="n"/>
      <c r="T204" s="24" t="n"/>
      <c r="U204" s="24" t="n"/>
      <c r="V204" s="25">
        <f>IF(COUNTA(A204,D204,C204,L204)=0,"",IF(A204="","No date - sits outside every month",IF(E204="","No job number",IF(F204="CHECK","Job number is not in the Xero job list",IF(I204="","No cost centre",IF(AND(P204="Y",C204=""),"Marked posted to Xero but has no invoice number",IF(AND(L204&lt;&gt;"",K204=""),"No tax code",IF(AND(L204&lt;&gt;"",O204=""),"No revenue GL code",""))))))))</f>
        <v/>
      </c>
      <c r="W204" s="25">
        <f>IF(E204="","",IF(COUNTIF(tbl_Onsite[Job Number],E204&amp;"")&gt;0,"Onsite",IF(COUNTIF(tbl_Production[Job Number],E204&amp;"")&gt;0,"Production",IF(COUNTIF(tbl_Consulting[Job Number],E204&amp;"")&gt;0,"Consulting","not set up yet"))))</f>
        <v/>
      </c>
      <c r="X204" s="25">
        <f>IF(E204="","",IFERROR(INDEX(lst_JobName,MATCH(E204&amp;"",lst_Jobs,0)),""))</f>
        <v/>
      </c>
      <c r="Y204" s="28">
        <f>IF(E204="","",COUNTIFS(tbl_Finance[Job Number],E204&amp;"",tbl_Finance[Ex GST],"&lt;&gt;"))</f>
        <v/>
      </c>
      <c r="Z204" s="27">
        <f>IF(E204="","",SUMIFS(tbl_Finance[Ex GST],tbl_Finance[Job Number],E204&amp;""))</f>
        <v/>
      </c>
      <c r="AA204" s="27">
        <f>IF(E204="","",SUMIFS(tbl_Finance[Ex GST],tbl_Finance[Job Number],E204&amp;"",tbl_Finance[Xero Invoice No],"&lt;&gt;"))</f>
        <v/>
      </c>
      <c r="AB204" s="27">
        <f>IF(E204="","",Z204-AA204)</f>
        <v/>
      </c>
      <c r="AC204" s="25">
        <f>IF(E204="","",IFERROR(IF(INDEX(tbl_Onsite[Qwilr Quote],MATCH(E204&amp;"",tbl_Onsite[Job Number],0))="","",INDEX(tbl_Onsite[Qwilr Quote],MATCH(E204&amp;"",tbl_Onsite[Job Number],0))),IFERROR(IF(IF(INDEX(tbl_Production[Current RMS No],MATCH(E204&amp;"",tbl_Production[Job Number],0))="",INDEX(tbl_Production[Qwilr Quote],MATCH(E204&amp;"",tbl_Production[Job Number],0)),INDEX(tbl_Production[Current RMS No],MATCH(E204&amp;"",tbl_Production[Job Number],0)))="","",IF(INDEX(tbl_Production[Current RMS No],MATCH(E204&amp;"",tbl_Production[Job Number],0))="",INDEX(tbl_Production[Qwilr Quote],MATCH(E204&amp;"",tbl_Production[Job Number],0)),INDEX(tbl_Production[Current RMS No],MATCH(E204&amp;"",tbl_Production[Job Number],0)))),IFERROR(IF(INDEX(tbl_Consulting[Qwilr Quote],MATCH(E204&amp;"",tbl_Consulting[Job Number],0))="","",INDEX(tbl_Consulting[Qwilr Quote],MATCH(E204&amp;"",tbl_Consulting[Job Number],0))),""))))</f>
        <v/>
      </c>
      <c r="AD204" s="25">
        <f>IF(AC204="","",IF(AND(LEFT(AC204,4)&lt;&gt;"http",IF(H204="Production",set_RMSBase,set_QwilrBase)=""),"",HYPERLINK(IF(LEFT(AC204,4)="http",AC204,IF(H204="Production",set_RMSBase,set_QwilrBase)&amp;AC204),"Open")))</f>
        <v/>
      </c>
      <c r="AE204" s="27">
        <f>IF(E204="","",IFERROR(INDEX(tbl_Production[Total Expense],MATCH(E204&amp;"",tbl_Production[Job Number],0)),IFERROR(INDEX(tbl_Consulting[Total Expense],MATCH(E204&amp;"",tbl_Consulting[Job Number],0)),0)))</f>
        <v/>
      </c>
      <c r="AF204" s="27">
        <f>IF(E204="","",Z204-N(AE204))</f>
        <v/>
      </c>
      <c r="AG204" s="29">
        <f>IFERROR(AF204/Z204,"")</f>
        <v/>
      </c>
      <c r="AH204" s="25">
        <f>IF(E204="","",IFERROR(IF(INDEX(tbl_Onsite[Notes],MATCH(E204&amp;"",tbl_Onsite[Job Number],0))="","",INDEX(tbl_Onsite[Notes],MATCH(E204&amp;"",tbl_Onsite[Job Number],0))),IFERROR(IF(INDEX(tbl_Production[Notes],MATCH(E204&amp;"",tbl_Production[Job Number],0))="","",INDEX(tbl_Production[Notes],MATCH(E204&amp;"",tbl_Production[Job Number],0))),IFERROR(IF(INDEX(tbl_Consulting[Notes],MATCH(E204&amp;"",tbl_Consulting[Job Number],0))="","",INDEX(tbl_Consulting[Notes],MATCH(E204&amp;"",tbl_Consulting[Job Number],0))),""))))</f>
        <v/>
      </c>
    </row>
    <row r="205" ht="15" customHeight="1">
      <c r="A205" s="22" t="n"/>
      <c r="B205" s="23">
        <f>IF(A205="","",EOMONTH(A205,0))</f>
        <v/>
      </c>
      <c r="C205" s="24" t="n"/>
      <c r="D205" s="24" t="n"/>
      <c r="E205" s="24" t="n"/>
      <c r="F205" s="25">
        <f>IF(E205="","",IF(COUNTIF(lst_Jobs,E205&amp;"")&gt;0,"OK","CHECK"))</f>
        <v/>
      </c>
      <c r="G205" s="24" t="n"/>
      <c r="H205" s="24" t="n"/>
      <c r="I205" s="24" t="n"/>
      <c r="J205" s="24" t="n"/>
      <c r="K205" s="24" t="n"/>
      <c r="L205" s="26" t="n"/>
      <c r="M205" s="27">
        <f>IF(L205="","",IF(K205="GST 10%",ROUND(L205*set_GSTRate,2),0))</f>
        <v/>
      </c>
      <c r="N205" s="27">
        <f>IF(L205="","",L205+M205)</f>
        <v/>
      </c>
      <c r="O205" s="24" t="n"/>
      <c r="P205" s="24" t="n"/>
      <c r="Q205" s="24" t="n"/>
      <c r="R205" s="22" t="n"/>
      <c r="S205" s="22" t="n"/>
      <c r="T205" s="24" t="n"/>
      <c r="U205" s="24" t="n"/>
      <c r="V205" s="25">
        <f>IF(COUNTA(A205,D205,C205,L205)=0,"",IF(A205="","No date - sits outside every month",IF(E205="","No job number",IF(F205="CHECK","Job number is not in the Xero job list",IF(I205="","No cost centre",IF(AND(P205="Y",C205=""),"Marked posted to Xero but has no invoice number",IF(AND(L205&lt;&gt;"",K205=""),"No tax code",IF(AND(L205&lt;&gt;"",O205=""),"No revenue GL code",""))))))))</f>
        <v/>
      </c>
      <c r="W205" s="25">
        <f>IF(E205="","",IF(COUNTIF(tbl_Onsite[Job Number],E205&amp;"")&gt;0,"Onsite",IF(COUNTIF(tbl_Production[Job Number],E205&amp;"")&gt;0,"Production",IF(COUNTIF(tbl_Consulting[Job Number],E205&amp;"")&gt;0,"Consulting","not set up yet"))))</f>
        <v/>
      </c>
      <c r="X205" s="25">
        <f>IF(E205="","",IFERROR(INDEX(lst_JobName,MATCH(E205&amp;"",lst_Jobs,0)),""))</f>
        <v/>
      </c>
      <c r="Y205" s="28">
        <f>IF(E205="","",COUNTIFS(tbl_Finance[Job Number],E205&amp;"",tbl_Finance[Ex GST],"&lt;&gt;"))</f>
        <v/>
      </c>
      <c r="Z205" s="27">
        <f>IF(E205="","",SUMIFS(tbl_Finance[Ex GST],tbl_Finance[Job Number],E205&amp;""))</f>
        <v/>
      </c>
      <c r="AA205" s="27">
        <f>IF(E205="","",SUMIFS(tbl_Finance[Ex GST],tbl_Finance[Job Number],E205&amp;"",tbl_Finance[Xero Invoice No],"&lt;&gt;"))</f>
        <v/>
      </c>
      <c r="AB205" s="27">
        <f>IF(E205="","",Z205-AA205)</f>
        <v/>
      </c>
      <c r="AC205" s="25">
        <f>IF(E205="","",IFERROR(IF(INDEX(tbl_Onsite[Qwilr Quote],MATCH(E205&amp;"",tbl_Onsite[Job Number],0))="","",INDEX(tbl_Onsite[Qwilr Quote],MATCH(E205&amp;"",tbl_Onsite[Job Number],0))),IFERROR(IF(IF(INDEX(tbl_Production[Current RMS No],MATCH(E205&amp;"",tbl_Production[Job Number],0))="",INDEX(tbl_Production[Qwilr Quote],MATCH(E205&amp;"",tbl_Production[Job Number],0)),INDEX(tbl_Production[Current RMS No],MATCH(E205&amp;"",tbl_Production[Job Number],0)))="","",IF(INDEX(tbl_Production[Current RMS No],MATCH(E205&amp;"",tbl_Production[Job Number],0))="",INDEX(tbl_Production[Qwilr Quote],MATCH(E205&amp;"",tbl_Production[Job Number],0)),INDEX(tbl_Production[Current RMS No],MATCH(E205&amp;"",tbl_Production[Job Number],0)))),IFERROR(IF(INDEX(tbl_Consulting[Qwilr Quote],MATCH(E205&amp;"",tbl_Consulting[Job Number],0))="","",INDEX(tbl_Consulting[Qwilr Quote],MATCH(E205&amp;"",tbl_Consulting[Job Number],0))),""))))</f>
        <v/>
      </c>
      <c r="AD205" s="25">
        <f>IF(AC205="","",IF(AND(LEFT(AC205,4)&lt;&gt;"http",IF(H205="Production",set_RMSBase,set_QwilrBase)=""),"",HYPERLINK(IF(LEFT(AC205,4)="http",AC205,IF(H205="Production",set_RMSBase,set_QwilrBase)&amp;AC205),"Open")))</f>
        <v/>
      </c>
      <c r="AE205" s="27">
        <f>IF(E205="","",IFERROR(INDEX(tbl_Production[Total Expense],MATCH(E205&amp;"",tbl_Production[Job Number],0)),IFERROR(INDEX(tbl_Consulting[Total Expense],MATCH(E205&amp;"",tbl_Consulting[Job Number],0)),0)))</f>
        <v/>
      </c>
      <c r="AF205" s="27">
        <f>IF(E205="","",Z205-N(AE205))</f>
        <v/>
      </c>
      <c r="AG205" s="29">
        <f>IFERROR(AF205/Z205,"")</f>
        <v/>
      </c>
      <c r="AH205" s="25">
        <f>IF(E205="","",IFERROR(IF(INDEX(tbl_Onsite[Notes],MATCH(E205&amp;"",tbl_Onsite[Job Number],0))="","",INDEX(tbl_Onsite[Notes],MATCH(E205&amp;"",tbl_Onsite[Job Number],0))),IFERROR(IF(INDEX(tbl_Production[Notes],MATCH(E205&amp;"",tbl_Production[Job Number],0))="","",INDEX(tbl_Production[Notes],MATCH(E205&amp;"",tbl_Production[Job Number],0))),IFERROR(IF(INDEX(tbl_Consulting[Notes],MATCH(E205&amp;"",tbl_Consulting[Job Number],0))="","",INDEX(tbl_Consulting[Notes],MATCH(E205&amp;"",tbl_Consulting[Job Number],0))),""))))</f>
        <v/>
      </c>
    </row>
    <row r="206" ht="15" customHeight="1">
      <c r="A206" s="22" t="n"/>
      <c r="B206" s="23">
        <f>IF(A206="","",EOMONTH(A206,0))</f>
        <v/>
      </c>
      <c r="C206" s="24" t="n"/>
      <c r="D206" s="24" t="n"/>
      <c r="E206" s="24" t="n"/>
      <c r="F206" s="25">
        <f>IF(E206="","",IF(COUNTIF(lst_Jobs,E206&amp;"")&gt;0,"OK","CHECK"))</f>
        <v/>
      </c>
      <c r="G206" s="24" t="n"/>
      <c r="H206" s="24" t="n"/>
      <c r="I206" s="24" t="n"/>
      <c r="J206" s="24" t="n"/>
      <c r="K206" s="24" t="n"/>
      <c r="L206" s="26" t="n"/>
      <c r="M206" s="27">
        <f>IF(L206="","",IF(K206="GST 10%",ROUND(L206*set_GSTRate,2),0))</f>
        <v/>
      </c>
      <c r="N206" s="27">
        <f>IF(L206="","",L206+M206)</f>
        <v/>
      </c>
      <c r="O206" s="24" t="n"/>
      <c r="P206" s="24" t="n"/>
      <c r="Q206" s="24" t="n"/>
      <c r="R206" s="22" t="n"/>
      <c r="S206" s="22" t="n"/>
      <c r="T206" s="24" t="n"/>
      <c r="U206" s="24" t="n"/>
      <c r="V206" s="25">
        <f>IF(COUNTA(A206,D206,C206,L206)=0,"",IF(A206="","No date - sits outside every month",IF(E206="","No job number",IF(F206="CHECK","Job number is not in the Xero job list",IF(I206="","No cost centre",IF(AND(P206="Y",C206=""),"Marked posted to Xero but has no invoice number",IF(AND(L206&lt;&gt;"",K206=""),"No tax code",IF(AND(L206&lt;&gt;"",O206=""),"No revenue GL code",""))))))))</f>
        <v/>
      </c>
      <c r="W206" s="25">
        <f>IF(E206="","",IF(COUNTIF(tbl_Onsite[Job Number],E206&amp;"")&gt;0,"Onsite",IF(COUNTIF(tbl_Production[Job Number],E206&amp;"")&gt;0,"Production",IF(COUNTIF(tbl_Consulting[Job Number],E206&amp;"")&gt;0,"Consulting","not set up yet"))))</f>
        <v/>
      </c>
      <c r="X206" s="25">
        <f>IF(E206="","",IFERROR(INDEX(lst_JobName,MATCH(E206&amp;"",lst_Jobs,0)),""))</f>
        <v/>
      </c>
      <c r="Y206" s="28">
        <f>IF(E206="","",COUNTIFS(tbl_Finance[Job Number],E206&amp;"",tbl_Finance[Ex GST],"&lt;&gt;"))</f>
        <v/>
      </c>
      <c r="Z206" s="27">
        <f>IF(E206="","",SUMIFS(tbl_Finance[Ex GST],tbl_Finance[Job Number],E206&amp;""))</f>
        <v/>
      </c>
      <c r="AA206" s="27">
        <f>IF(E206="","",SUMIFS(tbl_Finance[Ex GST],tbl_Finance[Job Number],E206&amp;"",tbl_Finance[Xero Invoice No],"&lt;&gt;"))</f>
        <v/>
      </c>
      <c r="AB206" s="27">
        <f>IF(E206="","",Z206-AA206)</f>
        <v/>
      </c>
      <c r="AC206" s="25">
        <f>IF(E206="","",IFERROR(IF(INDEX(tbl_Onsite[Qwilr Quote],MATCH(E206&amp;"",tbl_Onsite[Job Number],0))="","",INDEX(tbl_Onsite[Qwilr Quote],MATCH(E206&amp;"",tbl_Onsite[Job Number],0))),IFERROR(IF(IF(INDEX(tbl_Production[Current RMS No],MATCH(E206&amp;"",tbl_Production[Job Number],0))="",INDEX(tbl_Production[Qwilr Quote],MATCH(E206&amp;"",tbl_Production[Job Number],0)),INDEX(tbl_Production[Current RMS No],MATCH(E206&amp;"",tbl_Production[Job Number],0)))="","",IF(INDEX(tbl_Production[Current RMS No],MATCH(E206&amp;"",tbl_Production[Job Number],0))="",INDEX(tbl_Production[Qwilr Quote],MATCH(E206&amp;"",tbl_Production[Job Number],0)),INDEX(tbl_Production[Current RMS No],MATCH(E206&amp;"",tbl_Production[Job Number],0)))),IFERROR(IF(INDEX(tbl_Consulting[Qwilr Quote],MATCH(E206&amp;"",tbl_Consulting[Job Number],0))="","",INDEX(tbl_Consulting[Qwilr Quote],MATCH(E206&amp;"",tbl_Consulting[Job Number],0))),""))))</f>
        <v/>
      </c>
      <c r="AD206" s="25">
        <f>IF(AC206="","",IF(AND(LEFT(AC206,4)&lt;&gt;"http",IF(H206="Production",set_RMSBase,set_QwilrBase)=""),"",HYPERLINK(IF(LEFT(AC206,4)="http",AC206,IF(H206="Production",set_RMSBase,set_QwilrBase)&amp;AC206),"Open")))</f>
        <v/>
      </c>
      <c r="AE206" s="27">
        <f>IF(E206="","",IFERROR(INDEX(tbl_Production[Total Expense],MATCH(E206&amp;"",tbl_Production[Job Number],0)),IFERROR(INDEX(tbl_Consulting[Total Expense],MATCH(E206&amp;"",tbl_Consulting[Job Number],0)),0)))</f>
        <v/>
      </c>
      <c r="AF206" s="27">
        <f>IF(E206="","",Z206-N(AE206))</f>
        <v/>
      </c>
      <c r="AG206" s="29">
        <f>IFERROR(AF206/Z206,"")</f>
        <v/>
      </c>
      <c r="AH206" s="25">
        <f>IF(E206="","",IFERROR(IF(INDEX(tbl_Onsite[Notes],MATCH(E206&amp;"",tbl_Onsite[Job Number],0))="","",INDEX(tbl_Onsite[Notes],MATCH(E206&amp;"",tbl_Onsite[Job Number],0))),IFERROR(IF(INDEX(tbl_Production[Notes],MATCH(E206&amp;"",tbl_Production[Job Number],0))="","",INDEX(tbl_Production[Notes],MATCH(E206&amp;"",tbl_Production[Job Number],0))),IFERROR(IF(INDEX(tbl_Consulting[Notes],MATCH(E206&amp;"",tbl_Consulting[Job Number],0))="","",INDEX(tbl_Consulting[Notes],MATCH(E206&amp;"",tbl_Consulting[Job Number],0))),""))))</f>
        <v/>
      </c>
    </row>
    <row r="207" ht="15" customHeight="1">
      <c r="A207" s="22" t="n"/>
      <c r="B207" s="23">
        <f>IF(A207="","",EOMONTH(A207,0))</f>
        <v/>
      </c>
      <c r="C207" s="24" t="n"/>
      <c r="D207" s="24" t="n"/>
      <c r="E207" s="24" t="n"/>
      <c r="F207" s="25">
        <f>IF(E207="","",IF(COUNTIF(lst_Jobs,E207&amp;"")&gt;0,"OK","CHECK"))</f>
        <v/>
      </c>
      <c r="G207" s="24" t="n"/>
      <c r="H207" s="24" t="n"/>
      <c r="I207" s="24" t="n"/>
      <c r="J207" s="24" t="n"/>
      <c r="K207" s="24" t="n"/>
      <c r="L207" s="26" t="n"/>
      <c r="M207" s="27">
        <f>IF(L207="","",IF(K207="GST 10%",ROUND(L207*set_GSTRate,2),0))</f>
        <v/>
      </c>
      <c r="N207" s="27">
        <f>IF(L207="","",L207+M207)</f>
        <v/>
      </c>
      <c r="O207" s="24" t="n"/>
      <c r="P207" s="24" t="n"/>
      <c r="Q207" s="24" t="n"/>
      <c r="R207" s="22" t="n"/>
      <c r="S207" s="22" t="n"/>
      <c r="T207" s="24" t="n"/>
      <c r="U207" s="24" t="n"/>
      <c r="V207" s="25">
        <f>IF(COUNTA(A207,D207,C207,L207)=0,"",IF(A207="","No date - sits outside every month",IF(E207="","No job number",IF(F207="CHECK","Job number is not in the Xero job list",IF(I207="","No cost centre",IF(AND(P207="Y",C207=""),"Marked posted to Xero but has no invoice number",IF(AND(L207&lt;&gt;"",K207=""),"No tax code",IF(AND(L207&lt;&gt;"",O207=""),"No revenue GL code",""))))))))</f>
        <v/>
      </c>
      <c r="W207" s="25">
        <f>IF(E207="","",IF(COUNTIF(tbl_Onsite[Job Number],E207&amp;"")&gt;0,"Onsite",IF(COUNTIF(tbl_Production[Job Number],E207&amp;"")&gt;0,"Production",IF(COUNTIF(tbl_Consulting[Job Number],E207&amp;"")&gt;0,"Consulting","not set up yet"))))</f>
        <v/>
      </c>
      <c r="X207" s="25">
        <f>IF(E207="","",IFERROR(INDEX(lst_JobName,MATCH(E207&amp;"",lst_Jobs,0)),""))</f>
        <v/>
      </c>
      <c r="Y207" s="28">
        <f>IF(E207="","",COUNTIFS(tbl_Finance[Job Number],E207&amp;"",tbl_Finance[Ex GST],"&lt;&gt;"))</f>
        <v/>
      </c>
      <c r="Z207" s="27">
        <f>IF(E207="","",SUMIFS(tbl_Finance[Ex GST],tbl_Finance[Job Number],E207&amp;""))</f>
        <v/>
      </c>
      <c r="AA207" s="27">
        <f>IF(E207="","",SUMIFS(tbl_Finance[Ex GST],tbl_Finance[Job Number],E207&amp;"",tbl_Finance[Xero Invoice No],"&lt;&gt;"))</f>
        <v/>
      </c>
      <c r="AB207" s="27">
        <f>IF(E207="","",Z207-AA207)</f>
        <v/>
      </c>
      <c r="AC207" s="25">
        <f>IF(E207="","",IFERROR(IF(INDEX(tbl_Onsite[Qwilr Quote],MATCH(E207&amp;"",tbl_Onsite[Job Number],0))="","",INDEX(tbl_Onsite[Qwilr Quote],MATCH(E207&amp;"",tbl_Onsite[Job Number],0))),IFERROR(IF(IF(INDEX(tbl_Production[Current RMS No],MATCH(E207&amp;"",tbl_Production[Job Number],0))="",INDEX(tbl_Production[Qwilr Quote],MATCH(E207&amp;"",tbl_Production[Job Number],0)),INDEX(tbl_Production[Current RMS No],MATCH(E207&amp;"",tbl_Production[Job Number],0)))="","",IF(INDEX(tbl_Production[Current RMS No],MATCH(E207&amp;"",tbl_Production[Job Number],0))="",INDEX(tbl_Production[Qwilr Quote],MATCH(E207&amp;"",tbl_Production[Job Number],0)),INDEX(tbl_Production[Current RMS No],MATCH(E207&amp;"",tbl_Production[Job Number],0)))),IFERROR(IF(INDEX(tbl_Consulting[Qwilr Quote],MATCH(E207&amp;"",tbl_Consulting[Job Number],0))="","",INDEX(tbl_Consulting[Qwilr Quote],MATCH(E207&amp;"",tbl_Consulting[Job Number],0))),""))))</f>
        <v/>
      </c>
      <c r="AD207" s="25">
        <f>IF(AC207="","",IF(AND(LEFT(AC207,4)&lt;&gt;"http",IF(H207="Production",set_RMSBase,set_QwilrBase)=""),"",HYPERLINK(IF(LEFT(AC207,4)="http",AC207,IF(H207="Production",set_RMSBase,set_QwilrBase)&amp;AC207),"Open")))</f>
        <v/>
      </c>
      <c r="AE207" s="27">
        <f>IF(E207="","",IFERROR(INDEX(tbl_Production[Total Expense],MATCH(E207&amp;"",tbl_Production[Job Number],0)),IFERROR(INDEX(tbl_Consulting[Total Expense],MATCH(E207&amp;"",tbl_Consulting[Job Number],0)),0)))</f>
        <v/>
      </c>
      <c r="AF207" s="27">
        <f>IF(E207="","",Z207-N(AE207))</f>
        <v/>
      </c>
      <c r="AG207" s="29">
        <f>IFERROR(AF207/Z207,"")</f>
        <v/>
      </c>
      <c r="AH207" s="25">
        <f>IF(E207="","",IFERROR(IF(INDEX(tbl_Onsite[Notes],MATCH(E207&amp;"",tbl_Onsite[Job Number],0))="","",INDEX(tbl_Onsite[Notes],MATCH(E207&amp;"",tbl_Onsite[Job Number],0))),IFERROR(IF(INDEX(tbl_Production[Notes],MATCH(E207&amp;"",tbl_Production[Job Number],0))="","",INDEX(tbl_Production[Notes],MATCH(E207&amp;"",tbl_Production[Job Number],0))),IFERROR(IF(INDEX(tbl_Consulting[Notes],MATCH(E207&amp;"",tbl_Consulting[Job Number],0))="","",INDEX(tbl_Consulting[Notes],MATCH(E207&amp;"",tbl_Consulting[Job Number],0))),""))))</f>
        <v/>
      </c>
    </row>
    <row r="208" ht="15" customHeight="1">
      <c r="A208" s="22" t="n"/>
      <c r="B208" s="23">
        <f>IF(A208="","",EOMONTH(A208,0))</f>
        <v/>
      </c>
      <c r="C208" s="24" t="n"/>
      <c r="D208" s="24" t="n"/>
      <c r="E208" s="24" t="n"/>
      <c r="F208" s="25">
        <f>IF(E208="","",IF(COUNTIF(lst_Jobs,E208&amp;"")&gt;0,"OK","CHECK"))</f>
        <v/>
      </c>
      <c r="G208" s="24" t="n"/>
      <c r="H208" s="24" t="n"/>
      <c r="I208" s="24" t="n"/>
      <c r="J208" s="24" t="n"/>
      <c r="K208" s="24" t="n"/>
      <c r="L208" s="26" t="n"/>
      <c r="M208" s="27">
        <f>IF(L208="","",IF(K208="GST 10%",ROUND(L208*set_GSTRate,2),0))</f>
        <v/>
      </c>
      <c r="N208" s="27">
        <f>IF(L208="","",L208+M208)</f>
        <v/>
      </c>
      <c r="O208" s="24" t="n"/>
      <c r="P208" s="24" t="n"/>
      <c r="Q208" s="24" t="n"/>
      <c r="R208" s="22" t="n"/>
      <c r="S208" s="22" t="n"/>
      <c r="T208" s="24" t="n"/>
      <c r="U208" s="24" t="n"/>
      <c r="V208" s="25">
        <f>IF(COUNTA(A208,D208,C208,L208)=0,"",IF(A208="","No date - sits outside every month",IF(E208="","No job number",IF(F208="CHECK","Job number is not in the Xero job list",IF(I208="","No cost centre",IF(AND(P208="Y",C208=""),"Marked posted to Xero but has no invoice number",IF(AND(L208&lt;&gt;"",K208=""),"No tax code",IF(AND(L208&lt;&gt;"",O208=""),"No revenue GL code",""))))))))</f>
        <v/>
      </c>
      <c r="W208" s="25">
        <f>IF(E208="","",IF(COUNTIF(tbl_Onsite[Job Number],E208&amp;"")&gt;0,"Onsite",IF(COUNTIF(tbl_Production[Job Number],E208&amp;"")&gt;0,"Production",IF(COUNTIF(tbl_Consulting[Job Number],E208&amp;"")&gt;0,"Consulting","not set up yet"))))</f>
        <v/>
      </c>
      <c r="X208" s="25">
        <f>IF(E208="","",IFERROR(INDEX(lst_JobName,MATCH(E208&amp;"",lst_Jobs,0)),""))</f>
        <v/>
      </c>
      <c r="Y208" s="28">
        <f>IF(E208="","",COUNTIFS(tbl_Finance[Job Number],E208&amp;"",tbl_Finance[Ex GST],"&lt;&gt;"))</f>
        <v/>
      </c>
      <c r="Z208" s="27">
        <f>IF(E208="","",SUMIFS(tbl_Finance[Ex GST],tbl_Finance[Job Number],E208&amp;""))</f>
        <v/>
      </c>
      <c r="AA208" s="27">
        <f>IF(E208="","",SUMIFS(tbl_Finance[Ex GST],tbl_Finance[Job Number],E208&amp;"",tbl_Finance[Xero Invoice No],"&lt;&gt;"))</f>
        <v/>
      </c>
      <c r="AB208" s="27">
        <f>IF(E208="","",Z208-AA208)</f>
        <v/>
      </c>
      <c r="AC208" s="25">
        <f>IF(E208="","",IFERROR(IF(INDEX(tbl_Onsite[Qwilr Quote],MATCH(E208&amp;"",tbl_Onsite[Job Number],0))="","",INDEX(tbl_Onsite[Qwilr Quote],MATCH(E208&amp;"",tbl_Onsite[Job Number],0))),IFERROR(IF(IF(INDEX(tbl_Production[Current RMS No],MATCH(E208&amp;"",tbl_Production[Job Number],0))="",INDEX(tbl_Production[Qwilr Quote],MATCH(E208&amp;"",tbl_Production[Job Number],0)),INDEX(tbl_Production[Current RMS No],MATCH(E208&amp;"",tbl_Production[Job Number],0)))="","",IF(INDEX(tbl_Production[Current RMS No],MATCH(E208&amp;"",tbl_Production[Job Number],0))="",INDEX(tbl_Production[Qwilr Quote],MATCH(E208&amp;"",tbl_Production[Job Number],0)),INDEX(tbl_Production[Current RMS No],MATCH(E208&amp;"",tbl_Production[Job Number],0)))),IFERROR(IF(INDEX(tbl_Consulting[Qwilr Quote],MATCH(E208&amp;"",tbl_Consulting[Job Number],0))="","",INDEX(tbl_Consulting[Qwilr Quote],MATCH(E208&amp;"",tbl_Consulting[Job Number],0))),""))))</f>
        <v/>
      </c>
      <c r="AD208" s="25">
        <f>IF(AC208="","",IF(AND(LEFT(AC208,4)&lt;&gt;"http",IF(H208="Production",set_RMSBase,set_QwilrBase)=""),"",HYPERLINK(IF(LEFT(AC208,4)="http",AC208,IF(H208="Production",set_RMSBase,set_QwilrBase)&amp;AC208),"Open")))</f>
        <v/>
      </c>
      <c r="AE208" s="27">
        <f>IF(E208="","",IFERROR(INDEX(tbl_Production[Total Expense],MATCH(E208&amp;"",tbl_Production[Job Number],0)),IFERROR(INDEX(tbl_Consulting[Total Expense],MATCH(E208&amp;"",tbl_Consulting[Job Number],0)),0)))</f>
        <v/>
      </c>
      <c r="AF208" s="27">
        <f>IF(E208="","",Z208-N(AE208))</f>
        <v/>
      </c>
      <c r="AG208" s="29">
        <f>IFERROR(AF208/Z208,"")</f>
        <v/>
      </c>
      <c r="AH208" s="25">
        <f>IF(E208="","",IFERROR(IF(INDEX(tbl_Onsite[Notes],MATCH(E208&amp;"",tbl_Onsite[Job Number],0))="","",INDEX(tbl_Onsite[Notes],MATCH(E208&amp;"",tbl_Onsite[Job Number],0))),IFERROR(IF(INDEX(tbl_Production[Notes],MATCH(E208&amp;"",tbl_Production[Job Number],0))="","",INDEX(tbl_Production[Notes],MATCH(E208&amp;"",tbl_Production[Job Number],0))),IFERROR(IF(INDEX(tbl_Consulting[Notes],MATCH(E208&amp;"",tbl_Consulting[Job Number],0))="","",INDEX(tbl_Consulting[Notes],MATCH(E208&amp;"",tbl_Consulting[Job Number],0))),""))))</f>
        <v/>
      </c>
    </row>
    <row r="209" ht="15" customHeight="1">
      <c r="A209" s="22" t="n"/>
      <c r="B209" s="23">
        <f>IF(A209="","",EOMONTH(A209,0))</f>
        <v/>
      </c>
      <c r="C209" s="24" t="n"/>
      <c r="D209" s="24" t="n"/>
      <c r="E209" s="24" t="n"/>
      <c r="F209" s="25">
        <f>IF(E209="","",IF(COUNTIF(lst_Jobs,E209&amp;"")&gt;0,"OK","CHECK"))</f>
        <v/>
      </c>
      <c r="G209" s="24" t="n"/>
      <c r="H209" s="24" t="n"/>
      <c r="I209" s="24" t="n"/>
      <c r="J209" s="24" t="n"/>
      <c r="K209" s="24" t="n"/>
      <c r="L209" s="26" t="n"/>
      <c r="M209" s="27">
        <f>IF(L209="","",IF(K209="GST 10%",ROUND(L209*set_GSTRate,2),0))</f>
        <v/>
      </c>
      <c r="N209" s="27">
        <f>IF(L209="","",L209+M209)</f>
        <v/>
      </c>
      <c r="O209" s="24" t="n"/>
      <c r="P209" s="24" t="n"/>
      <c r="Q209" s="24" t="n"/>
      <c r="R209" s="22" t="n"/>
      <c r="S209" s="22" t="n"/>
      <c r="T209" s="24" t="n"/>
      <c r="U209" s="24" t="n"/>
      <c r="V209" s="25">
        <f>IF(COUNTA(A209,D209,C209,L209)=0,"",IF(A209="","No date - sits outside every month",IF(E209="","No job number",IF(F209="CHECK","Job number is not in the Xero job list",IF(I209="","No cost centre",IF(AND(P209="Y",C209=""),"Marked posted to Xero but has no invoice number",IF(AND(L209&lt;&gt;"",K209=""),"No tax code",IF(AND(L209&lt;&gt;"",O209=""),"No revenue GL code",""))))))))</f>
        <v/>
      </c>
      <c r="W209" s="25">
        <f>IF(E209="","",IF(COUNTIF(tbl_Onsite[Job Number],E209&amp;"")&gt;0,"Onsite",IF(COUNTIF(tbl_Production[Job Number],E209&amp;"")&gt;0,"Production",IF(COUNTIF(tbl_Consulting[Job Number],E209&amp;"")&gt;0,"Consulting","not set up yet"))))</f>
        <v/>
      </c>
      <c r="X209" s="25">
        <f>IF(E209="","",IFERROR(INDEX(lst_JobName,MATCH(E209&amp;"",lst_Jobs,0)),""))</f>
        <v/>
      </c>
      <c r="Y209" s="28">
        <f>IF(E209="","",COUNTIFS(tbl_Finance[Job Number],E209&amp;"",tbl_Finance[Ex GST],"&lt;&gt;"))</f>
        <v/>
      </c>
      <c r="Z209" s="27">
        <f>IF(E209="","",SUMIFS(tbl_Finance[Ex GST],tbl_Finance[Job Number],E209&amp;""))</f>
        <v/>
      </c>
      <c r="AA209" s="27">
        <f>IF(E209="","",SUMIFS(tbl_Finance[Ex GST],tbl_Finance[Job Number],E209&amp;"",tbl_Finance[Xero Invoice No],"&lt;&gt;"))</f>
        <v/>
      </c>
      <c r="AB209" s="27">
        <f>IF(E209="","",Z209-AA209)</f>
        <v/>
      </c>
      <c r="AC209" s="25">
        <f>IF(E209="","",IFERROR(IF(INDEX(tbl_Onsite[Qwilr Quote],MATCH(E209&amp;"",tbl_Onsite[Job Number],0))="","",INDEX(tbl_Onsite[Qwilr Quote],MATCH(E209&amp;"",tbl_Onsite[Job Number],0))),IFERROR(IF(IF(INDEX(tbl_Production[Current RMS No],MATCH(E209&amp;"",tbl_Production[Job Number],0))="",INDEX(tbl_Production[Qwilr Quote],MATCH(E209&amp;"",tbl_Production[Job Number],0)),INDEX(tbl_Production[Current RMS No],MATCH(E209&amp;"",tbl_Production[Job Number],0)))="","",IF(INDEX(tbl_Production[Current RMS No],MATCH(E209&amp;"",tbl_Production[Job Number],0))="",INDEX(tbl_Production[Qwilr Quote],MATCH(E209&amp;"",tbl_Production[Job Number],0)),INDEX(tbl_Production[Current RMS No],MATCH(E209&amp;"",tbl_Production[Job Number],0)))),IFERROR(IF(INDEX(tbl_Consulting[Qwilr Quote],MATCH(E209&amp;"",tbl_Consulting[Job Number],0))="","",INDEX(tbl_Consulting[Qwilr Quote],MATCH(E209&amp;"",tbl_Consulting[Job Number],0))),""))))</f>
        <v/>
      </c>
      <c r="AD209" s="25">
        <f>IF(AC209="","",IF(AND(LEFT(AC209,4)&lt;&gt;"http",IF(H209="Production",set_RMSBase,set_QwilrBase)=""),"",HYPERLINK(IF(LEFT(AC209,4)="http",AC209,IF(H209="Production",set_RMSBase,set_QwilrBase)&amp;AC209),"Open")))</f>
        <v/>
      </c>
      <c r="AE209" s="27">
        <f>IF(E209="","",IFERROR(INDEX(tbl_Production[Total Expense],MATCH(E209&amp;"",tbl_Production[Job Number],0)),IFERROR(INDEX(tbl_Consulting[Total Expense],MATCH(E209&amp;"",tbl_Consulting[Job Number],0)),0)))</f>
        <v/>
      </c>
      <c r="AF209" s="27">
        <f>IF(E209="","",Z209-N(AE209))</f>
        <v/>
      </c>
      <c r="AG209" s="29">
        <f>IFERROR(AF209/Z209,"")</f>
        <v/>
      </c>
      <c r="AH209" s="25">
        <f>IF(E209="","",IFERROR(IF(INDEX(tbl_Onsite[Notes],MATCH(E209&amp;"",tbl_Onsite[Job Number],0))="","",INDEX(tbl_Onsite[Notes],MATCH(E209&amp;"",tbl_Onsite[Job Number],0))),IFERROR(IF(INDEX(tbl_Production[Notes],MATCH(E209&amp;"",tbl_Production[Job Number],0))="","",INDEX(tbl_Production[Notes],MATCH(E209&amp;"",tbl_Production[Job Number],0))),IFERROR(IF(INDEX(tbl_Consulting[Notes],MATCH(E209&amp;"",tbl_Consulting[Job Number],0))="","",INDEX(tbl_Consulting[Notes],MATCH(E209&amp;"",tbl_Consulting[Job Number],0))),""))))</f>
        <v/>
      </c>
    </row>
    <row r="210" ht="15" customHeight="1">
      <c r="A210" s="22" t="n"/>
      <c r="B210" s="23">
        <f>IF(A210="","",EOMONTH(A210,0))</f>
        <v/>
      </c>
      <c r="C210" s="24" t="n"/>
      <c r="D210" s="24" t="n"/>
      <c r="E210" s="24" t="n"/>
      <c r="F210" s="25">
        <f>IF(E210="","",IF(COUNTIF(lst_Jobs,E210&amp;"")&gt;0,"OK","CHECK"))</f>
        <v/>
      </c>
      <c r="G210" s="24" t="n"/>
      <c r="H210" s="24" t="n"/>
      <c r="I210" s="24" t="n"/>
      <c r="J210" s="24" t="n"/>
      <c r="K210" s="24" t="n"/>
      <c r="L210" s="26" t="n"/>
      <c r="M210" s="27">
        <f>IF(L210="","",IF(K210="GST 10%",ROUND(L210*set_GSTRate,2),0))</f>
        <v/>
      </c>
      <c r="N210" s="27">
        <f>IF(L210="","",L210+M210)</f>
        <v/>
      </c>
      <c r="O210" s="24" t="n"/>
      <c r="P210" s="24" t="n"/>
      <c r="Q210" s="24" t="n"/>
      <c r="R210" s="22" t="n"/>
      <c r="S210" s="22" t="n"/>
      <c r="T210" s="24" t="n"/>
      <c r="U210" s="24" t="n"/>
      <c r="V210" s="25">
        <f>IF(COUNTA(A210,D210,C210,L210)=0,"",IF(A210="","No date - sits outside every month",IF(E210="","No job number",IF(F210="CHECK","Job number is not in the Xero job list",IF(I210="","No cost centre",IF(AND(P210="Y",C210=""),"Marked posted to Xero but has no invoice number",IF(AND(L210&lt;&gt;"",K210=""),"No tax code",IF(AND(L210&lt;&gt;"",O210=""),"No revenue GL code",""))))))))</f>
        <v/>
      </c>
      <c r="W210" s="25">
        <f>IF(E210="","",IF(COUNTIF(tbl_Onsite[Job Number],E210&amp;"")&gt;0,"Onsite",IF(COUNTIF(tbl_Production[Job Number],E210&amp;"")&gt;0,"Production",IF(COUNTIF(tbl_Consulting[Job Number],E210&amp;"")&gt;0,"Consulting","not set up yet"))))</f>
        <v/>
      </c>
      <c r="X210" s="25">
        <f>IF(E210="","",IFERROR(INDEX(lst_JobName,MATCH(E210&amp;"",lst_Jobs,0)),""))</f>
        <v/>
      </c>
      <c r="Y210" s="28">
        <f>IF(E210="","",COUNTIFS(tbl_Finance[Job Number],E210&amp;"",tbl_Finance[Ex GST],"&lt;&gt;"))</f>
        <v/>
      </c>
      <c r="Z210" s="27">
        <f>IF(E210="","",SUMIFS(tbl_Finance[Ex GST],tbl_Finance[Job Number],E210&amp;""))</f>
        <v/>
      </c>
      <c r="AA210" s="27">
        <f>IF(E210="","",SUMIFS(tbl_Finance[Ex GST],tbl_Finance[Job Number],E210&amp;"",tbl_Finance[Xero Invoice No],"&lt;&gt;"))</f>
        <v/>
      </c>
      <c r="AB210" s="27">
        <f>IF(E210="","",Z210-AA210)</f>
        <v/>
      </c>
      <c r="AC210" s="25">
        <f>IF(E210="","",IFERROR(IF(INDEX(tbl_Onsite[Qwilr Quote],MATCH(E210&amp;"",tbl_Onsite[Job Number],0))="","",INDEX(tbl_Onsite[Qwilr Quote],MATCH(E210&amp;"",tbl_Onsite[Job Number],0))),IFERROR(IF(IF(INDEX(tbl_Production[Current RMS No],MATCH(E210&amp;"",tbl_Production[Job Number],0))="",INDEX(tbl_Production[Qwilr Quote],MATCH(E210&amp;"",tbl_Production[Job Number],0)),INDEX(tbl_Production[Current RMS No],MATCH(E210&amp;"",tbl_Production[Job Number],0)))="","",IF(INDEX(tbl_Production[Current RMS No],MATCH(E210&amp;"",tbl_Production[Job Number],0))="",INDEX(tbl_Production[Qwilr Quote],MATCH(E210&amp;"",tbl_Production[Job Number],0)),INDEX(tbl_Production[Current RMS No],MATCH(E210&amp;"",tbl_Production[Job Number],0)))),IFERROR(IF(INDEX(tbl_Consulting[Qwilr Quote],MATCH(E210&amp;"",tbl_Consulting[Job Number],0))="","",INDEX(tbl_Consulting[Qwilr Quote],MATCH(E210&amp;"",tbl_Consulting[Job Number],0))),""))))</f>
        <v/>
      </c>
      <c r="AD210" s="25">
        <f>IF(AC210="","",IF(AND(LEFT(AC210,4)&lt;&gt;"http",IF(H210="Production",set_RMSBase,set_QwilrBase)=""),"",HYPERLINK(IF(LEFT(AC210,4)="http",AC210,IF(H210="Production",set_RMSBase,set_QwilrBase)&amp;AC210),"Open")))</f>
        <v/>
      </c>
      <c r="AE210" s="27">
        <f>IF(E210="","",IFERROR(INDEX(tbl_Production[Total Expense],MATCH(E210&amp;"",tbl_Production[Job Number],0)),IFERROR(INDEX(tbl_Consulting[Total Expense],MATCH(E210&amp;"",tbl_Consulting[Job Number],0)),0)))</f>
        <v/>
      </c>
      <c r="AF210" s="27">
        <f>IF(E210="","",Z210-N(AE210))</f>
        <v/>
      </c>
      <c r="AG210" s="29">
        <f>IFERROR(AF210/Z210,"")</f>
        <v/>
      </c>
      <c r="AH210" s="25">
        <f>IF(E210="","",IFERROR(IF(INDEX(tbl_Onsite[Notes],MATCH(E210&amp;"",tbl_Onsite[Job Number],0))="","",INDEX(tbl_Onsite[Notes],MATCH(E210&amp;"",tbl_Onsite[Job Number],0))),IFERROR(IF(INDEX(tbl_Production[Notes],MATCH(E210&amp;"",tbl_Production[Job Number],0))="","",INDEX(tbl_Production[Notes],MATCH(E210&amp;"",tbl_Production[Job Number],0))),IFERROR(IF(INDEX(tbl_Consulting[Notes],MATCH(E210&amp;"",tbl_Consulting[Job Number],0))="","",INDEX(tbl_Consulting[Notes],MATCH(E210&amp;"",tbl_Consulting[Job Number],0))),""))))</f>
        <v/>
      </c>
    </row>
    <row r="211" ht="15" customHeight="1">
      <c r="A211" s="22" t="n"/>
      <c r="B211" s="23">
        <f>IF(A211="","",EOMONTH(A211,0))</f>
        <v/>
      </c>
      <c r="C211" s="24" t="n"/>
      <c r="D211" s="24" t="n"/>
      <c r="E211" s="24" t="n"/>
      <c r="F211" s="25">
        <f>IF(E211="","",IF(COUNTIF(lst_Jobs,E211&amp;"")&gt;0,"OK","CHECK"))</f>
        <v/>
      </c>
      <c r="G211" s="24" t="n"/>
      <c r="H211" s="24" t="n"/>
      <c r="I211" s="24" t="n"/>
      <c r="J211" s="24" t="n"/>
      <c r="K211" s="24" t="n"/>
      <c r="L211" s="26" t="n"/>
      <c r="M211" s="27">
        <f>IF(L211="","",IF(K211="GST 10%",ROUND(L211*set_GSTRate,2),0))</f>
        <v/>
      </c>
      <c r="N211" s="27">
        <f>IF(L211="","",L211+M211)</f>
        <v/>
      </c>
      <c r="O211" s="24" t="n"/>
      <c r="P211" s="24" t="n"/>
      <c r="Q211" s="24" t="n"/>
      <c r="R211" s="22" t="n"/>
      <c r="S211" s="22" t="n"/>
      <c r="T211" s="24" t="n"/>
      <c r="U211" s="24" t="n"/>
      <c r="V211" s="25">
        <f>IF(COUNTA(A211,D211,C211,L211)=0,"",IF(A211="","No date - sits outside every month",IF(E211="","No job number",IF(F211="CHECK","Job number is not in the Xero job list",IF(I211="","No cost centre",IF(AND(P211="Y",C211=""),"Marked posted to Xero but has no invoice number",IF(AND(L211&lt;&gt;"",K211=""),"No tax code",IF(AND(L211&lt;&gt;"",O211=""),"No revenue GL code",""))))))))</f>
        <v/>
      </c>
      <c r="W211" s="25">
        <f>IF(E211="","",IF(COUNTIF(tbl_Onsite[Job Number],E211&amp;"")&gt;0,"Onsite",IF(COUNTIF(tbl_Production[Job Number],E211&amp;"")&gt;0,"Production",IF(COUNTIF(tbl_Consulting[Job Number],E211&amp;"")&gt;0,"Consulting","not set up yet"))))</f>
        <v/>
      </c>
      <c r="X211" s="25">
        <f>IF(E211="","",IFERROR(INDEX(lst_JobName,MATCH(E211&amp;"",lst_Jobs,0)),""))</f>
        <v/>
      </c>
      <c r="Y211" s="28">
        <f>IF(E211="","",COUNTIFS(tbl_Finance[Job Number],E211&amp;"",tbl_Finance[Ex GST],"&lt;&gt;"))</f>
        <v/>
      </c>
      <c r="Z211" s="27">
        <f>IF(E211="","",SUMIFS(tbl_Finance[Ex GST],tbl_Finance[Job Number],E211&amp;""))</f>
        <v/>
      </c>
      <c r="AA211" s="27">
        <f>IF(E211="","",SUMIFS(tbl_Finance[Ex GST],tbl_Finance[Job Number],E211&amp;"",tbl_Finance[Xero Invoice No],"&lt;&gt;"))</f>
        <v/>
      </c>
      <c r="AB211" s="27">
        <f>IF(E211="","",Z211-AA211)</f>
        <v/>
      </c>
      <c r="AC211" s="25">
        <f>IF(E211="","",IFERROR(IF(INDEX(tbl_Onsite[Qwilr Quote],MATCH(E211&amp;"",tbl_Onsite[Job Number],0))="","",INDEX(tbl_Onsite[Qwilr Quote],MATCH(E211&amp;"",tbl_Onsite[Job Number],0))),IFERROR(IF(IF(INDEX(tbl_Production[Current RMS No],MATCH(E211&amp;"",tbl_Production[Job Number],0))="",INDEX(tbl_Production[Qwilr Quote],MATCH(E211&amp;"",tbl_Production[Job Number],0)),INDEX(tbl_Production[Current RMS No],MATCH(E211&amp;"",tbl_Production[Job Number],0)))="","",IF(INDEX(tbl_Production[Current RMS No],MATCH(E211&amp;"",tbl_Production[Job Number],0))="",INDEX(tbl_Production[Qwilr Quote],MATCH(E211&amp;"",tbl_Production[Job Number],0)),INDEX(tbl_Production[Current RMS No],MATCH(E211&amp;"",tbl_Production[Job Number],0)))),IFERROR(IF(INDEX(tbl_Consulting[Qwilr Quote],MATCH(E211&amp;"",tbl_Consulting[Job Number],0))="","",INDEX(tbl_Consulting[Qwilr Quote],MATCH(E211&amp;"",tbl_Consulting[Job Number],0))),""))))</f>
        <v/>
      </c>
      <c r="AD211" s="25">
        <f>IF(AC211="","",IF(AND(LEFT(AC211,4)&lt;&gt;"http",IF(H211="Production",set_RMSBase,set_QwilrBase)=""),"",HYPERLINK(IF(LEFT(AC211,4)="http",AC211,IF(H211="Production",set_RMSBase,set_QwilrBase)&amp;AC211),"Open")))</f>
        <v/>
      </c>
      <c r="AE211" s="27">
        <f>IF(E211="","",IFERROR(INDEX(tbl_Production[Total Expense],MATCH(E211&amp;"",tbl_Production[Job Number],0)),IFERROR(INDEX(tbl_Consulting[Total Expense],MATCH(E211&amp;"",tbl_Consulting[Job Number],0)),0)))</f>
        <v/>
      </c>
      <c r="AF211" s="27">
        <f>IF(E211="","",Z211-N(AE211))</f>
        <v/>
      </c>
      <c r="AG211" s="29">
        <f>IFERROR(AF211/Z211,"")</f>
        <v/>
      </c>
      <c r="AH211" s="25">
        <f>IF(E211="","",IFERROR(IF(INDEX(tbl_Onsite[Notes],MATCH(E211&amp;"",tbl_Onsite[Job Number],0))="","",INDEX(tbl_Onsite[Notes],MATCH(E211&amp;"",tbl_Onsite[Job Number],0))),IFERROR(IF(INDEX(tbl_Production[Notes],MATCH(E211&amp;"",tbl_Production[Job Number],0))="","",INDEX(tbl_Production[Notes],MATCH(E211&amp;"",tbl_Production[Job Number],0))),IFERROR(IF(INDEX(tbl_Consulting[Notes],MATCH(E211&amp;"",tbl_Consulting[Job Number],0))="","",INDEX(tbl_Consulting[Notes],MATCH(E211&amp;"",tbl_Consulting[Job Number],0))),""))))</f>
        <v/>
      </c>
    </row>
    <row r="212" ht="15" customHeight="1">
      <c r="A212" s="22" t="n"/>
      <c r="B212" s="23">
        <f>IF(A212="","",EOMONTH(A212,0))</f>
        <v/>
      </c>
      <c r="C212" s="24" t="n"/>
      <c r="D212" s="24" t="n"/>
      <c r="E212" s="24" t="n"/>
      <c r="F212" s="25">
        <f>IF(E212="","",IF(COUNTIF(lst_Jobs,E212&amp;"")&gt;0,"OK","CHECK"))</f>
        <v/>
      </c>
      <c r="G212" s="24" t="n"/>
      <c r="H212" s="24" t="n"/>
      <c r="I212" s="24" t="n"/>
      <c r="J212" s="24" t="n"/>
      <c r="K212" s="24" t="n"/>
      <c r="L212" s="26" t="n"/>
      <c r="M212" s="27">
        <f>IF(L212="","",IF(K212="GST 10%",ROUND(L212*set_GSTRate,2),0))</f>
        <v/>
      </c>
      <c r="N212" s="27">
        <f>IF(L212="","",L212+M212)</f>
        <v/>
      </c>
      <c r="O212" s="24" t="n"/>
      <c r="P212" s="24" t="n"/>
      <c r="Q212" s="24" t="n"/>
      <c r="R212" s="22" t="n"/>
      <c r="S212" s="22" t="n"/>
      <c r="T212" s="24" t="n"/>
      <c r="U212" s="24" t="n"/>
      <c r="V212" s="25">
        <f>IF(COUNTA(A212,D212,C212,L212)=0,"",IF(A212="","No date - sits outside every month",IF(E212="","No job number",IF(F212="CHECK","Job number is not in the Xero job list",IF(I212="","No cost centre",IF(AND(P212="Y",C212=""),"Marked posted to Xero but has no invoice number",IF(AND(L212&lt;&gt;"",K212=""),"No tax code",IF(AND(L212&lt;&gt;"",O212=""),"No revenue GL code",""))))))))</f>
        <v/>
      </c>
      <c r="W212" s="25">
        <f>IF(E212="","",IF(COUNTIF(tbl_Onsite[Job Number],E212&amp;"")&gt;0,"Onsite",IF(COUNTIF(tbl_Production[Job Number],E212&amp;"")&gt;0,"Production",IF(COUNTIF(tbl_Consulting[Job Number],E212&amp;"")&gt;0,"Consulting","not set up yet"))))</f>
        <v/>
      </c>
      <c r="X212" s="25">
        <f>IF(E212="","",IFERROR(INDEX(lst_JobName,MATCH(E212&amp;"",lst_Jobs,0)),""))</f>
        <v/>
      </c>
      <c r="Y212" s="28">
        <f>IF(E212="","",COUNTIFS(tbl_Finance[Job Number],E212&amp;"",tbl_Finance[Ex GST],"&lt;&gt;"))</f>
        <v/>
      </c>
      <c r="Z212" s="27">
        <f>IF(E212="","",SUMIFS(tbl_Finance[Ex GST],tbl_Finance[Job Number],E212&amp;""))</f>
        <v/>
      </c>
      <c r="AA212" s="27">
        <f>IF(E212="","",SUMIFS(tbl_Finance[Ex GST],tbl_Finance[Job Number],E212&amp;"",tbl_Finance[Xero Invoice No],"&lt;&gt;"))</f>
        <v/>
      </c>
      <c r="AB212" s="27">
        <f>IF(E212="","",Z212-AA212)</f>
        <v/>
      </c>
      <c r="AC212" s="25">
        <f>IF(E212="","",IFERROR(IF(INDEX(tbl_Onsite[Qwilr Quote],MATCH(E212&amp;"",tbl_Onsite[Job Number],0))="","",INDEX(tbl_Onsite[Qwilr Quote],MATCH(E212&amp;"",tbl_Onsite[Job Number],0))),IFERROR(IF(IF(INDEX(tbl_Production[Current RMS No],MATCH(E212&amp;"",tbl_Production[Job Number],0))="",INDEX(tbl_Production[Qwilr Quote],MATCH(E212&amp;"",tbl_Production[Job Number],0)),INDEX(tbl_Production[Current RMS No],MATCH(E212&amp;"",tbl_Production[Job Number],0)))="","",IF(INDEX(tbl_Production[Current RMS No],MATCH(E212&amp;"",tbl_Production[Job Number],0))="",INDEX(tbl_Production[Qwilr Quote],MATCH(E212&amp;"",tbl_Production[Job Number],0)),INDEX(tbl_Production[Current RMS No],MATCH(E212&amp;"",tbl_Production[Job Number],0)))),IFERROR(IF(INDEX(tbl_Consulting[Qwilr Quote],MATCH(E212&amp;"",tbl_Consulting[Job Number],0))="","",INDEX(tbl_Consulting[Qwilr Quote],MATCH(E212&amp;"",tbl_Consulting[Job Number],0))),""))))</f>
        <v/>
      </c>
      <c r="AD212" s="25">
        <f>IF(AC212="","",IF(AND(LEFT(AC212,4)&lt;&gt;"http",IF(H212="Production",set_RMSBase,set_QwilrBase)=""),"",HYPERLINK(IF(LEFT(AC212,4)="http",AC212,IF(H212="Production",set_RMSBase,set_QwilrBase)&amp;AC212),"Open")))</f>
        <v/>
      </c>
      <c r="AE212" s="27">
        <f>IF(E212="","",IFERROR(INDEX(tbl_Production[Total Expense],MATCH(E212&amp;"",tbl_Production[Job Number],0)),IFERROR(INDEX(tbl_Consulting[Total Expense],MATCH(E212&amp;"",tbl_Consulting[Job Number],0)),0)))</f>
        <v/>
      </c>
      <c r="AF212" s="27">
        <f>IF(E212="","",Z212-N(AE212))</f>
        <v/>
      </c>
      <c r="AG212" s="29">
        <f>IFERROR(AF212/Z212,"")</f>
        <v/>
      </c>
      <c r="AH212" s="25">
        <f>IF(E212="","",IFERROR(IF(INDEX(tbl_Onsite[Notes],MATCH(E212&amp;"",tbl_Onsite[Job Number],0))="","",INDEX(tbl_Onsite[Notes],MATCH(E212&amp;"",tbl_Onsite[Job Number],0))),IFERROR(IF(INDEX(tbl_Production[Notes],MATCH(E212&amp;"",tbl_Production[Job Number],0))="","",INDEX(tbl_Production[Notes],MATCH(E212&amp;"",tbl_Production[Job Number],0))),IFERROR(IF(INDEX(tbl_Consulting[Notes],MATCH(E212&amp;"",tbl_Consulting[Job Number],0))="","",INDEX(tbl_Consulting[Notes],MATCH(E212&amp;"",tbl_Consulting[Job Number],0))),""))))</f>
        <v/>
      </c>
    </row>
    <row r="213" ht="15" customHeight="1">
      <c r="A213" s="22" t="n"/>
      <c r="B213" s="23">
        <f>IF(A213="","",EOMONTH(A213,0))</f>
        <v/>
      </c>
      <c r="C213" s="24" t="n"/>
      <c r="D213" s="24" t="n"/>
      <c r="E213" s="24" t="n"/>
      <c r="F213" s="25">
        <f>IF(E213="","",IF(COUNTIF(lst_Jobs,E213&amp;"")&gt;0,"OK","CHECK"))</f>
        <v/>
      </c>
      <c r="G213" s="24" t="n"/>
      <c r="H213" s="24" t="n"/>
      <c r="I213" s="24" t="n"/>
      <c r="J213" s="24" t="n"/>
      <c r="K213" s="24" t="n"/>
      <c r="L213" s="26" t="n"/>
      <c r="M213" s="27">
        <f>IF(L213="","",IF(K213="GST 10%",ROUND(L213*set_GSTRate,2),0))</f>
        <v/>
      </c>
      <c r="N213" s="27">
        <f>IF(L213="","",L213+M213)</f>
        <v/>
      </c>
      <c r="O213" s="24" t="n"/>
      <c r="P213" s="24" t="n"/>
      <c r="Q213" s="24" t="n"/>
      <c r="R213" s="22" t="n"/>
      <c r="S213" s="22" t="n"/>
      <c r="T213" s="24" t="n"/>
      <c r="U213" s="24" t="n"/>
      <c r="V213" s="25">
        <f>IF(COUNTA(A213,D213,C213,L213)=0,"",IF(A213="","No date - sits outside every month",IF(E213="","No job number",IF(F213="CHECK","Job number is not in the Xero job list",IF(I213="","No cost centre",IF(AND(P213="Y",C213=""),"Marked posted to Xero but has no invoice number",IF(AND(L213&lt;&gt;"",K213=""),"No tax code",IF(AND(L213&lt;&gt;"",O213=""),"No revenue GL code",""))))))))</f>
        <v/>
      </c>
      <c r="W213" s="25">
        <f>IF(E213="","",IF(COUNTIF(tbl_Onsite[Job Number],E213&amp;"")&gt;0,"Onsite",IF(COUNTIF(tbl_Production[Job Number],E213&amp;"")&gt;0,"Production",IF(COUNTIF(tbl_Consulting[Job Number],E213&amp;"")&gt;0,"Consulting","not set up yet"))))</f>
        <v/>
      </c>
      <c r="X213" s="25">
        <f>IF(E213="","",IFERROR(INDEX(lst_JobName,MATCH(E213&amp;"",lst_Jobs,0)),""))</f>
        <v/>
      </c>
      <c r="Y213" s="28">
        <f>IF(E213="","",COUNTIFS(tbl_Finance[Job Number],E213&amp;"",tbl_Finance[Ex GST],"&lt;&gt;"))</f>
        <v/>
      </c>
      <c r="Z213" s="27">
        <f>IF(E213="","",SUMIFS(tbl_Finance[Ex GST],tbl_Finance[Job Number],E213&amp;""))</f>
        <v/>
      </c>
      <c r="AA213" s="27">
        <f>IF(E213="","",SUMIFS(tbl_Finance[Ex GST],tbl_Finance[Job Number],E213&amp;"",tbl_Finance[Xero Invoice No],"&lt;&gt;"))</f>
        <v/>
      </c>
      <c r="AB213" s="27">
        <f>IF(E213="","",Z213-AA213)</f>
        <v/>
      </c>
      <c r="AC213" s="25">
        <f>IF(E213="","",IFERROR(IF(INDEX(tbl_Onsite[Qwilr Quote],MATCH(E213&amp;"",tbl_Onsite[Job Number],0))="","",INDEX(tbl_Onsite[Qwilr Quote],MATCH(E213&amp;"",tbl_Onsite[Job Number],0))),IFERROR(IF(IF(INDEX(tbl_Production[Current RMS No],MATCH(E213&amp;"",tbl_Production[Job Number],0))="",INDEX(tbl_Production[Qwilr Quote],MATCH(E213&amp;"",tbl_Production[Job Number],0)),INDEX(tbl_Production[Current RMS No],MATCH(E213&amp;"",tbl_Production[Job Number],0)))="","",IF(INDEX(tbl_Production[Current RMS No],MATCH(E213&amp;"",tbl_Production[Job Number],0))="",INDEX(tbl_Production[Qwilr Quote],MATCH(E213&amp;"",tbl_Production[Job Number],0)),INDEX(tbl_Production[Current RMS No],MATCH(E213&amp;"",tbl_Production[Job Number],0)))),IFERROR(IF(INDEX(tbl_Consulting[Qwilr Quote],MATCH(E213&amp;"",tbl_Consulting[Job Number],0))="","",INDEX(tbl_Consulting[Qwilr Quote],MATCH(E213&amp;"",tbl_Consulting[Job Number],0))),""))))</f>
        <v/>
      </c>
      <c r="AD213" s="25">
        <f>IF(AC213="","",IF(AND(LEFT(AC213,4)&lt;&gt;"http",IF(H213="Production",set_RMSBase,set_QwilrBase)=""),"",HYPERLINK(IF(LEFT(AC213,4)="http",AC213,IF(H213="Production",set_RMSBase,set_QwilrBase)&amp;AC213),"Open")))</f>
        <v/>
      </c>
      <c r="AE213" s="27">
        <f>IF(E213="","",IFERROR(INDEX(tbl_Production[Total Expense],MATCH(E213&amp;"",tbl_Production[Job Number],0)),IFERROR(INDEX(tbl_Consulting[Total Expense],MATCH(E213&amp;"",tbl_Consulting[Job Number],0)),0)))</f>
        <v/>
      </c>
      <c r="AF213" s="27">
        <f>IF(E213="","",Z213-N(AE213))</f>
        <v/>
      </c>
      <c r="AG213" s="29">
        <f>IFERROR(AF213/Z213,"")</f>
        <v/>
      </c>
      <c r="AH213" s="25">
        <f>IF(E213="","",IFERROR(IF(INDEX(tbl_Onsite[Notes],MATCH(E213&amp;"",tbl_Onsite[Job Number],0))="","",INDEX(tbl_Onsite[Notes],MATCH(E213&amp;"",tbl_Onsite[Job Number],0))),IFERROR(IF(INDEX(tbl_Production[Notes],MATCH(E213&amp;"",tbl_Production[Job Number],0))="","",INDEX(tbl_Production[Notes],MATCH(E213&amp;"",tbl_Production[Job Number],0))),IFERROR(IF(INDEX(tbl_Consulting[Notes],MATCH(E213&amp;"",tbl_Consulting[Job Number],0))="","",INDEX(tbl_Consulting[Notes],MATCH(E213&amp;"",tbl_Consulting[Job Number],0))),""))))</f>
        <v/>
      </c>
    </row>
    <row r="214" ht="15" customHeight="1">
      <c r="A214" s="22" t="n"/>
      <c r="B214" s="23">
        <f>IF(A214="","",EOMONTH(A214,0))</f>
        <v/>
      </c>
      <c r="C214" s="24" t="n"/>
      <c r="D214" s="24" t="n"/>
      <c r="E214" s="24" t="n"/>
      <c r="F214" s="25">
        <f>IF(E214="","",IF(COUNTIF(lst_Jobs,E214&amp;"")&gt;0,"OK","CHECK"))</f>
        <v/>
      </c>
      <c r="G214" s="24" t="n"/>
      <c r="H214" s="24" t="n"/>
      <c r="I214" s="24" t="n"/>
      <c r="J214" s="24" t="n"/>
      <c r="K214" s="24" t="n"/>
      <c r="L214" s="26" t="n"/>
      <c r="M214" s="27">
        <f>IF(L214="","",IF(K214="GST 10%",ROUND(L214*set_GSTRate,2),0))</f>
        <v/>
      </c>
      <c r="N214" s="27">
        <f>IF(L214="","",L214+M214)</f>
        <v/>
      </c>
      <c r="O214" s="24" t="n"/>
      <c r="P214" s="24" t="n"/>
      <c r="Q214" s="24" t="n"/>
      <c r="R214" s="22" t="n"/>
      <c r="S214" s="22" t="n"/>
      <c r="T214" s="24" t="n"/>
      <c r="U214" s="24" t="n"/>
      <c r="V214" s="25">
        <f>IF(COUNTA(A214,D214,C214,L214)=0,"",IF(A214="","No date - sits outside every month",IF(E214="","No job number",IF(F214="CHECK","Job number is not in the Xero job list",IF(I214="","No cost centre",IF(AND(P214="Y",C214=""),"Marked posted to Xero but has no invoice number",IF(AND(L214&lt;&gt;"",K214=""),"No tax code",IF(AND(L214&lt;&gt;"",O214=""),"No revenue GL code",""))))))))</f>
        <v/>
      </c>
      <c r="W214" s="25">
        <f>IF(E214="","",IF(COUNTIF(tbl_Onsite[Job Number],E214&amp;"")&gt;0,"Onsite",IF(COUNTIF(tbl_Production[Job Number],E214&amp;"")&gt;0,"Production",IF(COUNTIF(tbl_Consulting[Job Number],E214&amp;"")&gt;0,"Consulting","not set up yet"))))</f>
        <v/>
      </c>
      <c r="X214" s="25">
        <f>IF(E214="","",IFERROR(INDEX(lst_JobName,MATCH(E214&amp;"",lst_Jobs,0)),""))</f>
        <v/>
      </c>
      <c r="Y214" s="28">
        <f>IF(E214="","",COUNTIFS(tbl_Finance[Job Number],E214&amp;"",tbl_Finance[Ex GST],"&lt;&gt;"))</f>
        <v/>
      </c>
      <c r="Z214" s="27">
        <f>IF(E214="","",SUMIFS(tbl_Finance[Ex GST],tbl_Finance[Job Number],E214&amp;""))</f>
        <v/>
      </c>
      <c r="AA214" s="27">
        <f>IF(E214="","",SUMIFS(tbl_Finance[Ex GST],tbl_Finance[Job Number],E214&amp;"",tbl_Finance[Xero Invoice No],"&lt;&gt;"))</f>
        <v/>
      </c>
      <c r="AB214" s="27">
        <f>IF(E214="","",Z214-AA214)</f>
        <v/>
      </c>
      <c r="AC214" s="25">
        <f>IF(E214="","",IFERROR(IF(INDEX(tbl_Onsite[Qwilr Quote],MATCH(E214&amp;"",tbl_Onsite[Job Number],0))="","",INDEX(tbl_Onsite[Qwilr Quote],MATCH(E214&amp;"",tbl_Onsite[Job Number],0))),IFERROR(IF(IF(INDEX(tbl_Production[Current RMS No],MATCH(E214&amp;"",tbl_Production[Job Number],0))="",INDEX(tbl_Production[Qwilr Quote],MATCH(E214&amp;"",tbl_Production[Job Number],0)),INDEX(tbl_Production[Current RMS No],MATCH(E214&amp;"",tbl_Production[Job Number],0)))="","",IF(INDEX(tbl_Production[Current RMS No],MATCH(E214&amp;"",tbl_Production[Job Number],0))="",INDEX(tbl_Production[Qwilr Quote],MATCH(E214&amp;"",tbl_Production[Job Number],0)),INDEX(tbl_Production[Current RMS No],MATCH(E214&amp;"",tbl_Production[Job Number],0)))),IFERROR(IF(INDEX(tbl_Consulting[Qwilr Quote],MATCH(E214&amp;"",tbl_Consulting[Job Number],0))="","",INDEX(tbl_Consulting[Qwilr Quote],MATCH(E214&amp;"",tbl_Consulting[Job Number],0))),""))))</f>
        <v/>
      </c>
      <c r="AD214" s="25">
        <f>IF(AC214="","",IF(AND(LEFT(AC214,4)&lt;&gt;"http",IF(H214="Production",set_RMSBase,set_QwilrBase)=""),"",HYPERLINK(IF(LEFT(AC214,4)="http",AC214,IF(H214="Production",set_RMSBase,set_QwilrBase)&amp;AC214),"Open")))</f>
        <v/>
      </c>
      <c r="AE214" s="27">
        <f>IF(E214="","",IFERROR(INDEX(tbl_Production[Total Expense],MATCH(E214&amp;"",tbl_Production[Job Number],0)),IFERROR(INDEX(tbl_Consulting[Total Expense],MATCH(E214&amp;"",tbl_Consulting[Job Number],0)),0)))</f>
        <v/>
      </c>
      <c r="AF214" s="27">
        <f>IF(E214="","",Z214-N(AE214))</f>
        <v/>
      </c>
      <c r="AG214" s="29">
        <f>IFERROR(AF214/Z214,"")</f>
        <v/>
      </c>
      <c r="AH214" s="25">
        <f>IF(E214="","",IFERROR(IF(INDEX(tbl_Onsite[Notes],MATCH(E214&amp;"",tbl_Onsite[Job Number],0))="","",INDEX(tbl_Onsite[Notes],MATCH(E214&amp;"",tbl_Onsite[Job Number],0))),IFERROR(IF(INDEX(tbl_Production[Notes],MATCH(E214&amp;"",tbl_Production[Job Number],0))="","",INDEX(tbl_Production[Notes],MATCH(E214&amp;"",tbl_Production[Job Number],0))),IFERROR(IF(INDEX(tbl_Consulting[Notes],MATCH(E214&amp;"",tbl_Consulting[Job Number],0))="","",INDEX(tbl_Consulting[Notes],MATCH(E214&amp;"",tbl_Consulting[Job Number],0))),""))))</f>
        <v/>
      </c>
    </row>
    <row r="215" ht="15" customHeight="1">
      <c r="A215" s="22" t="n"/>
      <c r="B215" s="23">
        <f>IF(A215="","",EOMONTH(A215,0))</f>
        <v/>
      </c>
      <c r="C215" s="24" t="n"/>
      <c r="D215" s="24" t="n"/>
      <c r="E215" s="24" t="n"/>
      <c r="F215" s="25">
        <f>IF(E215="","",IF(COUNTIF(lst_Jobs,E215&amp;"")&gt;0,"OK","CHECK"))</f>
        <v/>
      </c>
      <c r="G215" s="24" t="n"/>
      <c r="H215" s="24" t="n"/>
      <c r="I215" s="24" t="n"/>
      <c r="J215" s="24" t="n"/>
      <c r="K215" s="24" t="n"/>
      <c r="L215" s="26" t="n"/>
      <c r="M215" s="27">
        <f>IF(L215="","",IF(K215="GST 10%",ROUND(L215*set_GSTRate,2),0))</f>
        <v/>
      </c>
      <c r="N215" s="27">
        <f>IF(L215="","",L215+M215)</f>
        <v/>
      </c>
      <c r="O215" s="24" t="n"/>
      <c r="P215" s="24" t="n"/>
      <c r="Q215" s="24" t="n"/>
      <c r="R215" s="22" t="n"/>
      <c r="S215" s="22" t="n"/>
      <c r="T215" s="24" t="n"/>
      <c r="U215" s="24" t="n"/>
      <c r="V215" s="25">
        <f>IF(COUNTA(A215,D215,C215,L215)=0,"",IF(A215="","No date - sits outside every month",IF(E215="","No job number",IF(F215="CHECK","Job number is not in the Xero job list",IF(I215="","No cost centre",IF(AND(P215="Y",C215=""),"Marked posted to Xero but has no invoice number",IF(AND(L215&lt;&gt;"",K215=""),"No tax code",IF(AND(L215&lt;&gt;"",O215=""),"No revenue GL code",""))))))))</f>
        <v/>
      </c>
      <c r="W215" s="25">
        <f>IF(E215="","",IF(COUNTIF(tbl_Onsite[Job Number],E215&amp;"")&gt;0,"Onsite",IF(COUNTIF(tbl_Production[Job Number],E215&amp;"")&gt;0,"Production",IF(COUNTIF(tbl_Consulting[Job Number],E215&amp;"")&gt;0,"Consulting","not set up yet"))))</f>
        <v/>
      </c>
      <c r="X215" s="25">
        <f>IF(E215="","",IFERROR(INDEX(lst_JobName,MATCH(E215&amp;"",lst_Jobs,0)),""))</f>
        <v/>
      </c>
      <c r="Y215" s="28">
        <f>IF(E215="","",COUNTIFS(tbl_Finance[Job Number],E215&amp;"",tbl_Finance[Ex GST],"&lt;&gt;"))</f>
        <v/>
      </c>
      <c r="Z215" s="27">
        <f>IF(E215="","",SUMIFS(tbl_Finance[Ex GST],tbl_Finance[Job Number],E215&amp;""))</f>
        <v/>
      </c>
      <c r="AA215" s="27">
        <f>IF(E215="","",SUMIFS(tbl_Finance[Ex GST],tbl_Finance[Job Number],E215&amp;"",tbl_Finance[Xero Invoice No],"&lt;&gt;"))</f>
        <v/>
      </c>
      <c r="AB215" s="27">
        <f>IF(E215="","",Z215-AA215)</f>
        <v/>
      </c>
      <c r="AC215" s="25">
        <f>IF(E215="","",IFERROR(IF(INDEX(tbl_Onsite[Qwilr Quote],MATCH(E215&amp;"",tbl_Onsite[Job Number],0))="","",INDEX(tbl_Onsite[Qwilr Quote],MATCH(E215&amp;"",tbl_Onsite[Job Number],0))),IFERROR(IF(IF(INDEX(tbl_Production[Current RMS No],MATCH(E215&amp;"",tbl_Production[Job Number],0))="",INDEX(tbl_Production[Qwilr Quote],MATCH(E215&amp;"",tbl_Production[Job Number],0)),INDEX(tbl_Production[Current RMS No],MATCH(E215&amp;"",tbl_Production[Job Number],0)))="","",IF(INDEX(tbl_Production[Current RMS No],MATCH(E215&amp;"",tbl_Production[Job Number],0))="",INDEX(tbl_Production[Qwilr Quote],MATCH(E215&amp;"",tbl_Production[Job Number],0)),INDEX(tbl_Production[Current RMS No],MATCH(E215&amp;"",tbl_Production[Job Number],0)))),IFERROR(IF(INDEX(tbl_Consulting[Qwilr Quote],MATCH(E215&amp;"",tbl_Consulting[Job Number],0))="","",INDEX(tbl_Consulting[Qwilr Quote],MATCH(E215&amp;"",tbl_Consulting[Job Number],0))),""))))</f>
        <v/>
      </c>
      <c r="AD215" s="25">
        <f>IF(AC215="","",IF(AND(LEFT(AC215,4)&lt;&gt;"http",IF(H215="Production",set_RMSBase,set_QwilrBase)=""),"",HYPERLINK(IF(LEFT(AC215,4)="http",AC215,IF(H215="Production",set_RMSBase,set_QwilrBase)&amp;AC215),"Open")))</f>
        <v/>
      </c>
      <c r="AE215" s="27">
        <f>IF(E215="","",IFERROR(INDEX(tbl_Production[Total Expense],MATCH(E215&amp;"",tbl_Production[Job Number],0)),IFERROR(INDEX(tbl_Consulting[Total Expense],MATCH(E215&amp;"",tbl_Consulting[Job Number],0)),0)))</f>
        <v/>
      </c>
      <c r="AF215" s="27">
        <f>IF(E215="","",Z215-N(AE215))</f>
        <v/>
      </c>
      <c r="AG215" s="29">
        <f>IFERROR(AF215/Z215,"")</f>
        <v/>
      </c>
      <c r="AH215" s="25">
        <f>IF(E215="","",IFERROR(IF(INDEX(tbl_Onsite[Notes],MATCH(E215&amp;"",tbl_Onsite[Job Number],0))="","",INDEX(tbl_Onsite[Notes],MATCH(E215&amp;"",tbl_Onsite[Job Number],0))),IFERROR(IF(INDEX(tbl_Production[Notes],MATCH(E215&amp;"",tbl_Production[Job Number],0))="","",INDEX(tbl_Production[Notes],MATCH(E215&amp;"",tbl_Production[Job Number],0))),IFERROR(IF(INDEX(tbl_Consulting[Notes],MATCH(E215&amp;"",tbl_Consulting[Job Number],0))="","",INDEX(tbl_Consulting[Notes],MATCH(E215&amp;"",tbl_Consulting[Job Number],0))),""))))</f>
        <v/>
      </c>
    </row>
    <row r="216" ht="15" customHeight="1">
      <c r="A216" s="22" t="n"/>
      <c r="B216" s="23">
        <f>IF(A216="","",EOMONTH(A216,0))</f>
        <v/>
      </c>
      <c r="C216" s="24" t="n"/>
      <c r="D216" s="24" t="n"/>
      <c r="E216" s="24" t="n"/>
      <c r="F216" s="25">
        <f>IF(E216="","",IF(COUNTIF(lst_Jobs,E216&amp;"")&gt;0,"OK","CHECK"))</f>
        <v/>
      </c>
      <c r="G216" s="24" t="n"/>
      <c r="H216" s="24" t="n"/>
      <c r="I216" s="24" t="n"/>
      <c r="J216" s="24" t="n"/>
      <c r="K216" s="24" t="n"/>
      <c r="L216" s="26" t="n"/>
      <c r="M216" s="27">
        <f>IF(L216="","",IF(K216="GST 10%",ROUND(L216*set_GSTRate,2),0))</f>
        <v/>
      </c>
      <c r="N216" s="27">
        <f>IF(L216="","",L216+M216)</f>
        <v/>
      </c>
      <c r="O216" s="24" t="n"/>
      <c r="P216" s="24" t="n"/>
      <c r="Q216" s="24" t="n"/>
      <c r="R216" s="22" t="n"/>
      <c r="S216" s="22" t="n"/>
      <c r="T216" s="24" t="n"/>
      <c r="U216" s="24" t="n"/>
      <c r="V216" s="25">
        <f>IF(COUNTA(A216,D216,C216,L216)=0,"",IF(A216="","No date - sits outside every month",IF(E216="","No job number",IF(F216="CHECK","Job number is not in the Xero job list",IF(I216="","No cost centre",IF(AND(P216="Y",C216=""),"Marked posted to Xero but has no invoice number",IF(AND(L216&lt;&gt;"",K216=""),"No tax code",IF(AND(L216&lt;&gt;"",O216=""),"No revenue GL code",""))))))))</f>
        <v/>
      </c>
      <c r="W216" s="25">
        <f>IF(E216="","",IF(COUNTIF(tbl_Onsite[Job Number],E216&amp;"")&gt;0,"Onsite",IF(COUNTIF(tbl_Production[Job Number],E216&amp;"")&gt;0,"Production",IF(COUNTIF(tbl_Consulting[Job Number],E216&amp;"")&gt;0,"Consulting","not set up yet"))))</f>
        <v/>
      </c>
      <c r="X216" s="25">
        <f>IF(E216="","",IFERROR(INDEX(lst_JobName,MATCH(E216&amp;"",lst_Jobs,0)),""))</f>
        <v/>
      </c>
      <c r="Y216" s="28">
        <f>IF(E216="","",COUNTIFS(tbl_Finance[Job Number],E216&amp;"",tbl_Finance[Ex GST],"&lt;&gt;"))</f>
        <v/>
      </c>
      <c r="Z216" s="27">
        <f>IF(E216="","",SUMIFS(tbl_Finance[Ex GST],tbl_Finance[Job Number],E216&amp;""))</f>
        <v/>
      </c>
      <c r="AA216" s="27">
        <f>IF(E216="","",SUMIFS(tbl_Finance[Ex GST],tbl_Finance[Job Number],E216&amp;"",tbl_Finance[Xero Invoice No],"&lt;&gt;"))</f>
        <v/>
      </c>
      <c r="AB216" s="27">
        <f>IF(E216="","",Z216-AA216)</f>
        <v/>
      </c>
      <c r="AC216" s="25">
        <f>IF(E216="","",IFERROR(IF(INDEX(tbl_Onsite[Qwilr Quote],MATCH(E216&amp;"",tbl_Onsite[Job Number],0))="","",INDEX(tbl_Onsite[Qwilr Quote],MATCH(E216&amp;"",tbl_Onsite[Job Number],0))),IFERROR(IF(IF(INDEX(tbl_Production[Current RMS No],MATCH(E216&amp;"",tbl_Production[Job Number],0))="",INDEX(tbl_Production[Qwilr Quote],MATCH(E216&amp;"",tbl_Production[Job Number],0)),INDEX(tbl_Production[Current RMS No],MATCH(E216&amp;"",tbl_Production[Job Number],0)))="","",IF(INDEX(tbl_Production[Current RMS No],MATCH(E216&amp;"",tbl_Production[Job Number],0))="",INDEX(tbl_Production[Qwilr Quote],MATCH(E216&amp;"",tbl_Production[Job Number],0)),INDEX(tbl_Production[Current RMS No],MATCH(E216&amp;"",tbl_Production[Job Number],0)))),IFERROR(IF(INDEX(tbl_Consulting[Qwilr Quote],MATCH(E216&amp;"",tbl_Consulting[Job Number],0))="","",INDEX(tbl_Consulting[Qwilr Quote],MATCH(E216&amp;"",tbl_Consulting[Job Number],0))),""))))</f>
        <v/>
      </c>
      <c r="AD216" s="25">
        <f>IF(AC216="","",IF(AND(LEFT(AC216,4)&lt;&gt;"http",IF(H216="Production",set_RMSBase,set_QwilrBase)=""),"",HYPERLINK(IF(LEFT(AC216,4)="http",AC216,IF(H216="Production",set_RMSBase,set_QwilrBase)&amp;AC216),"Open")))</f>
        <v/>
      </c>
      <c r="AE216" s="27">
        <f>IF(E216="","",IFERROR(INDEX(tbl_Production[Total Expense],MATCH(E216&amp;"",tbl_Production[Job Number],0)),IFERROR(INDEX(tbl_Consulting[Total Expense],MATCH(E216&amp;"",tbl_Consulting[Job Number],0)),0)))</f>
        <v/>
      </c>
      <c r="AF216" s="27">
        <f>IF(E216="","",Z216-N(AE216))</f>
        <v/>
      </c>
      <c r="AG216" s="29">
        <f>IFERROR(AF216/Z216,"")</f>
        <v/>
      </c>
      <c r="AH216" s="25">
        <f>IF(E216="","",IFERROR(IF(INDEX(tbl_Onsite[Notes],MATCH(E216&amp;"",tbl_Onsite[Job Number],0))="","",INDEX(tbl_Onsite[Notes],MATCH(E216&amp;"",tbl_Onsite[Job Number],0))),IFERROR(IF(INDEX(tbl_Production[Notes],MATCH(E216&amp;"",tbl_Production[Job Number],0))="","",INDEX(tbl_Production[Notes],MATCH(E216&amp;"",tbl_Production[Job Number],0))),IFERROR(IF(INDEX(tbl_Consulting[Notes],MATCH(E216&amp;"",tbl_Consulting[Job Number],0))="","",INDEX(tbl_Consulting[Notes],MATCH(E216&amp;"",tbl_Consulting[Job Number],0))),""))))</f>
        <v/>
      </c>
    </row>
    <row r="217" ht="15" customHeight="1">
      <c r="A217" s="22" t="n"/>
      <c r="B217" s="23">
        <f>IF(A217="","",EOMONTH(A217,0))</f>
        <v/>
      </c>
      <c r="C217" s="24" t="n"/>
      <c r="D217" s="24" t="n"/>
      <c r="E217" s="24" t="n"/>
      <c r="F217" s="25">
        <f>IF(E217="","",IF(COUNTIF(lst_Jobs,E217&amp;"")&gt;0,"OK","CHECK"))</f>
        <v/>
      </c>
      <c r="G217" s="24" t="n"/>
      <c r="H217" s="24" t="n"/>
      <c r="I217" s="24" t="n"/>
      <c r="J217" s="24" t="n"/>
      <c r="K217" s="24" t="n"/>
      <c r="L217" s="26" t="n"/>
      <c r="M217" s="27">
        <f>IF(L217="","",IF(K217="GST 10%",ROUND(L217*set_GSTRate,2),0))</f>
        <v/>
      </c>
      <c r="N217" s="27">
        <f>IF(L217="","",L217+M217)</f>
        <v/>
      </c>
      <c r="O217" s="24" t="n"/>
      <c r="P217" s="24" t="n"/>
      <c r="Q217" s="24" t="n"/>
      <c r="R217" s="22" t="n"/>
      <c r="S217" s="22" t="n"/>
      <c r="T217" s="24" t="n"/>
      <c r="U217" s="24" t="n"/>
      <c r="V217" s="25">
        <f>IF(COUNTA(A217,D217,C217,L217)=0,"",IF(A217="","No date - sits outside every month",IF(E217="","No job number",IF(F217="CHECK","Job number is not in the Xero job list",IF(I217="","No cost centre",IF(AND(P217="Y",C217=""),"Marked posted to Xero but has no invoice number",IF(AND(L217&lt;&gt;"",K217=""),"No tax code",IF(AND(L217&lt;&gt;"",O217=""),"No revenue GL code",""))))))))</f>
        <v/>
      </c>
      <c r="W217" s="25">
        <f>IF(E217="","",IF(COUNTIF(tbl_Onsite[Job Number],E217&amp;"")&gt;0,"Onsite",IF(COUNTIF(tbl_Production[Job Number],E217&amp;"")&gt;0,"Production",IF(COUNTIF(tbl_Consulting[Job Number],E217&amp;"")&gt;0,"Consulting","not set up yet"))))</f>
        <v/>
      </c>
      <c r="X217" s="25">
        <f>IF(E217="","",IFERROR(INDEX(lst_JobName,MATCH(E217&amp;"",lst_Jobs,0)),""))</f>
        <v/>
      </c>
      <c r="Y217" s="28">
        <f>IF(E217="","",COUNTIFS(tbl_Finance[Job Number],E217&amp;"",tbl_Finance[Ex GST],"&lt;&gt;"))</f>
        <v/>
      </c>
      <c r="Z217" s="27">
        <f>IF(E217="","",SUMIFS(tbl_Finance[Ex GST],tbl_Finance[Job Number],E217&amp;""))</f>
        <v/>
      </c>
      <c r="AA217" s="27">
        <f>IF(E217="","",SUMIFS(tbl_Finance[Ex GST],tbl_Finance[Job Number],E217&amp;"",tbl_Finance[Xero Invoice No],"&lt;&gt;"))</f>
        <v/>
      </c>
      <c r="AB217" s="27">
        <f>IF(E217="","",Z217-AA217)</f>
        <v/>
      </c>
      <c r="AC217" s="25">
        <f>IF(E217="","",IFERROR(IF(INDEX(tbl_Onsite[Qwilr Quote],MATCH(E217&amp;"",tbl_Onsite[Job Number],0))="","",INDEX(tbl_Onsite[Qwilr Quote],MATCH(E217&amp;"",tbl_Onsite[Job Number],0))),IFERROR(IF(IF(INDEX(tbl_Production[Current RMS No],MATCH(E217&amp;"",tbl_Production[Job Number],0))="",INDEX(tbl_Production[Qwilr Quote],MATCH(E217&amp;"",tbl_Production[Job Number],0)),INDEX(tbl_Production[Current RMS No],MATCH(E217&amp;"",tbl_Production[Job Number],0)))="","",IF(INDEX(tbl_Production[Current RMS No],MATCH(E217&amp;"",tbl_Production[Job Number],0))="",INDEX(tbl_Production[Qwilr Quote],MATCH(E217&amp;"",tbl_Production[Job Number],0)),INDEX(tbl_Production[Current RMS No],MATCH(E217&amp;"",tbl_Production[Job Number],0)))),IFERROR(IF(INDEX(tbl_Consulting[Qwilr Quote],MATCH(E217&amp;"",tbl_Consulting[Job Number],0))="","",INDEX(tbl_Consulting[Qwilr Quote],MATCH(E217&amp;"",tbl_Consulting[Job Number],0))),""))))</f>
        <v/>
      </c>
      <c r="AD217" s="25">
        <f>IF(AC217="","",IF(AND(LEFT(AC217,4)&lt;&gt;"http",IF(H217="Production",set_RMSBase,set_QwilrBase)=""),"",HYPERLINK(IF(LEFT(AC217,4)="http",AC217,IF(H217="Production",set_RMSBase,set_QwilrBase)&amp;AC217),"Open")))</f>
        <v/>
      </c>
      <c r="AE217" s="27">
        <f>IF(E217="","",IFERROR(INDEX(tbl_Production[Total Expense],MATCH(E217&amp;"",tbl_Production[Job Number],0)),IFERROR(INDEX(tbl_Consulting[Total Expense],MATCH(E217&amp;"",tbl_Consulting[Job Number],0)),0)))</f>
        <v/>
      </c>
      <c r="AF217" s="27">
        <f>IF(E217="","",Z217-N(AE217))</f>
        <v/>
      </c>
      <c r="AG217" s="29">
        <f>IFERROR(AF217/Z217,"")</f>
        <v/>
      </c>
      <c r="AH217" s="25">
        <f>IF(E217="","",IFERROR(IF(INDEX(tbl_Onsite[Notes],MATCH(E217&amp;"",tbl_Onsite[Job Number],0))="","",INDEX(tbl_Onsite[Notes],MATCH(E217&amp;"",tbl_Onsite[Job Number],0))),IFERROR(IF(INDEX(tbl_Production[Notes],MATCH(E217&amp;"",tbl_Production[Job Number],0))="","",INDEX(tbl_Production[Notes],MATCH(E217&amp;"",tbl_Production[Job Number],0))),IFERROR(IF(INDEX(tbl_Consulting[Notes],MATCH(E217&amp;"",tbl_Consulting[Job Number],0))="","",INDEX(tbl_Consulting[Notes],MATCH(E217&amp;"",tbl_Consulting[Job Number],0))),""))))</f>
        <v/>
      </c>
    </row>
    <row r="218" ht="15" customHeight="1">
      <c r="A218" s="22" t="n"/>
      <c r="B218" s="23">
        <f>IF(A218="","",EOMONTH(A218,0))</f>
        <v/>
      </c>
      <c r="C218" s="24" t="n"/>
      <c r="D218" s="24" t="n"/>
      <c r="E218" s="24" t="n"/>
      <c r="F218" s="25">
        <f>IF(E218="","",IF(COUNTIF(lst_Jobs,E218&amp;"")&gt;0,"OK","CHECK"))</f>
        <v/>
      </c>
      <c r="G218" s="24" t="n"/>
      <c r="H218" s="24" t="n"/>
      <c r="I218" s="24" t="n"/>
      <c r="J218" s="24" t="n"/>
      <c r="K218" s="24" t="n"/>
      <c r="L218" s="26" t="n"/>
      <c r="M218" s="27">
        <f>IF(L218="","",IF(K218="GST 10%",ROUND(L218*set_GSTRate,2),0))</f>
        <v/>
      </c>
      <c r="N218" s="27">
        <f>IF(L218="","",L218+M218)</f>
        <v/>
      </c>
      <c r="O218" s="24" t="n"/>
      <c r="P218" s="24" t="n"/>
      <c r="Q218" s="24" t="n"/>
      <c r="R218" s="22" t="n"/>
      <c r="S218" s="22" t="n"/>
      <c r="T218" s="24" t="n"/>
      <c r="U218" s="24" t="n"/>
      <c r="V218" s="25">
        <f>IF(COUNTA(A218,D218,C218,L218)=0,"",IF(A218="","No date - sits outside every month",IF(E218="","No job number",IF(F218="CHECK","Job number is not in the Xero job list",IF(I218="","No cost centre",IF(AND(P218="Y",C218=""),"Marked posted to Xero but has no invoice number",IF(AND(L218&lt;&gt;"",K218=""),"No tax code",IF(AND(L218&lt;&gt;"",O218=""),"No revenue GL code",""))))))))</f>
        <v/>
      </c>
      <c r="W218" s="25">
        <f>IF(E218="","",IF(COUNTIF(tbl_Onsite[Job Number],E218&amp;"")&gt;0,"Onsite",IF(COUNTIF(tbl_Production[Job Number],E218&amp;"")&gt;0,"Production",IF(COUNTIF(tbl_Consulting[Job Number],E218&amp;"")&gt;0,"Consulting","not set up yet"))))</f>
        <v/>
      </c>
      <c r="X218" s="25">
        <f>IF(E218="","",IFERROR(INDEX(lst_JobName,MATCH(E218&amp;"",lst_Jobs,0)),""))</f>
        <v/>
      </c>
      <c r="Y218" s="28">
        <f>IF(E218="","",COUNTIFS(tbl_Finance[Job Number],E218&amp;"",tbl_Finance[Ex GST],"&lt;&gt;"))</f>
        <v/>
      </c>
      <c r="Z218" s="27">
        <f>IF(E218="","",SUMIFS(tbl_Finance[Ex GST],tbl_Finance[Job Number],E218&amp;""))</f>
        <v/>
      </c>
      <c r="AA218" s="27">
        <f>IF(E218="","",SUMIFS(tbl_Finance[Ex GST],tbl_Finance[Job Number],E218&amp;"",tbl_Finance[Xero Invoice No],"&lt;&gt;"))</f>
        <v/>
      </c>
      <c r="AB218" s="27">
        <f>IF(E218="","",Z218-AA218)</f>
        <v/>
      </c>
      <c r="AC218" s="25">
        <f>IF(E218="","",IFERROR(IF(INDEX(tbl_Onsite[Qwilr Quote],MATCH(E218&amp;"",tbl_Onsite[Job Number],0))="","",INDEX(tbl_Onsite[Qwilr Quote],MATCH(E218&amp;"",tbl_Onsite[Job Number],0))),IFERROR(IF(IF(INDEX(tbl_Production[Current RMS No],MATCH(E218&amp;"",tbl_Production[Job Number],0))="",INDEX(tbl_Production[Qwilr Quote],MATCH(E218&amp;"",tbl_Production[Job Number],0)),INDEX(tbl_Production[Current RMS No],MATCH(E218&amp;"",tbl_Production[Job Number],0)))="","",IF(INDEX(tbl_Production[Current RMS No],MATCH(E218&amp;"",tbl_Production[Job Number],0))="",INDEX(tbl_Production[Qwilr Quote],MATCH(E218&amp;"",tbl_Production[Job Number],0)),INDEX(tbl_Production[Current RMS No],MATCH(E218&amp;"",tbl_Production[Job Number],0)))),IFERROR(IF(INDEX(tbl_Consulting[Qwilr Quote],MATCH(E218&amp;"",tbl_Consulting[Job Number],0))="","",INDEX(tbl_Consulting[Qwilr Quote],MATCH(E218&amp;"",tbl_Consulting[Job Number],0))),""))))</f>
        <v/>
      </c>
      <c r="AD218" s="25">
        <f>IF(AC218="","",IF(AND(LEFT(AC218,4)&lt;&gt;"http",IF(H218="Production",set_RMSBase,set_QwilrBase)=""),"",HYPERLINK(IF(LEFT(AC218,4)="http",AC218,IF(H218="Production",set_RMSBase,set_QwilrBase)&amp;AC218),"Open")))</f>
        <v/>
      </c>
      <c r="AE218" s="27">
        <f>IF(E218="","",IFERROR(INDEX(tbl_Production[Total Expense],MATCH(E218&amp;"",tbl_Production[Job Number],0)),IFERROR(INDEX(tbl_Consulting[Total Expense],MATCH(E218&amp;"",tbl_Consulting[Job Number],0)),0)))</f>
        <v/>
      </c>
      <c r="AF218" s="27">
        <f>IF(E218="","",Z218-N(AE218))</f>
        <v/>
      </c>
      <c r="AG218" s="29">
        <f>IFERROR(AF218/Z218,"")</f>
        <v/>
      </c>
      <c r="AH218" s="25">
        <f>IF(E218="","",IFERROR(IF(INDEX(tbl_Onsite[Notes],MATCH(E218&amp;"",tbl_Onsite[Job Number],0))="","",INDEX(tbl_Onsite[Notes],MATCH(E218&amp;"",tbl_Onsite[Job Number],0))),IFERROR(IF(INDEX(tbl_Production[Notes],MATCH(E218&amp;"",tbl_Production[Job Number],0))="","",INDEX(tbl_Production[Notes],MATCH(E218&amp;"",tbl_Production[Job Number],0))),IFERROR(IF(INDEX(tbl_Consulting[Notes],MATCH(E218&amp;"",tbl_Consulting[Job Number],0))="","",INDEX(tbl_Consulting[Notes],MATCH(E218&amp;"",tbl_Consulting[Job Number],0))),""))))</f>
        <v/>
      </c>
    </row>
    <row r="219" ht="15" customHeight="1">
      <c r="A219" s="22" t="n"/>
      <c r="B219" s="23">
        <f>IF(A219="","",EOMONTH(A219,0))</f>
        <v/>
      </c>
      <c r="C219" s="24" t="n"/>
      <c r="D219" s="24" t="n"/>
      <c r="E219" s="24" t="n"/>
      <c r="F219" s="25">
        <f>IF(E219="","",IF(COUNTIF(lst_Jobs,E219&amp;"")&gt;0,"OK","CHECK"))</f>
        <v/>
      </c>
      <c r="G219" s="24" t="n"/>
      <c r="H219" s="24" t="n"/>
      <c r="I219" s="24" t="n"/>
      <c r="J219" s="24" t="n"/>
      <c r="K219" s="24" t="n"/>
      <c r="L219" s="26" t="n"/>
      <c r="M219" s="27">
        <f>IF(L219="","",IF(K219="GST 10%",ROUND(L219*set_GSTRate,2),0))</f>
        <v/>
      </c>
      <c r="N219" s="27">
        <f>IF(L219="","",L219+M219)</f>
        <v/>
      </c>
      <c r="O219" s="24" t="n"/>
      <c r="P219" s="24" t="n"/>
      <c r="Q219" s="24" t="n"/>
      <c r="R219" s="22" t="n"/>
      <c r="S219" s="22" t="n"/>
      <c r="T219" s="24" t="n"/>
      <c r="U219" s="24" t="n"/>
      <c r="V219" s="25">
        <f>IF(COUNTA(A219,D219,C219,L219)=0,"",IF(A219="","No date - sits outside every month",IF(E219="","No job number",IF(F219="CHECK","Job number is not in the Xero job list",IF(I219="","No cost centre",IF(AND(P219="Y",C219=""),"Marked posted to Xero but has no invoice number",IF(AND(L219&lt;&gt;"",K219=""),"No tax code",IF(AND(L219&lt;&gt;"",O219=""),"No revenue GL code",""))))))))</f>
        <v/>
      </c>
      <c r="W219" s="25">
        <f>IF(E219="","",IF(COUNTIF(tbl_Onsite[Job Number],E219&amp;"")&gt;0,"Onsite",IF(COUNTIF(tbl_Production[Job Number],E219&amp;"")&gt;0,"Production",IF(COUNTIF(tbl_Consulting[Job Number],E219&amp;"")&gt;0,"Consulting","not set up yet"))))</f>
        <v/>
      </c>
      <c r="X219" s="25">
        <f>IF(E219="","",IFERROR(INDEX(lst_JobName,MATCH(E219&amp;"",lst_Jobs,0)),""))</f>
        <v/>
      </c>
      <c r="Y219" s="28">
        <f>IF(E219="","",COUNTIFS(tbl_Finance[Job Number],E219&amp;"",tbl_Finance[Ex GST],"&lt;&gt;"))</f>
        <v/>
      </c>
      <c r="Z219" s="27">
        <f>IF(E219="","",SUMIFS(tbl_Finance[Ex GST],tbl_Finance[Job Number],E219&amp;""))</f>
        <v/>
      </c>
      <c r="AA219" s="27">
        <f>IF(E219="","",SUMIFS(tbl_Finance[Ex GST],tbl_Finance[Job Number],E219&amp;"",tbl_Finance[Xero Invoice No],"&lt;&gt;"))</f>
        <v/>
      </c>
      <c r="AB219" s="27">
        <f>IF(E219="","",Z219-AA219)</f>
        <v/>
      </c>
      <c r="AC219" s="25">
        <f>IF(E219="","",IFERROR(IF(INDEX(tbl_Onsite[Qwilr Quote],MATCH(E219&amp;"",tbl_Onsite[Job Number],0))="","",INDEX(tbl_Onsite[Qwilr Quote],MATCH(E219&amp;"",tbl_Onsite[Job Number],0))),IFERROR(IF(IF(INDEX(tbl_Production[Current RMS No],MATCH(E219&amp;"",tbl_Production[Job Number],0))="",INDEX(tbl_Production[Qwilr Quote],MATCH(E219&amp;"",tbl_Production[Job Number],0)),INDEX(tbl_Production[Current RMS No],MATCH(E219&amp;"",tbl_Production[Job Number],0)))="","",IF(INDEX(tbl_Production[Current RMS No],MATCH(E219&amp;"",tbl_Production[Job Number],0))="",INDEX(tbl_Production[Qwilr Quote],MATCH(E219&amp;"",tbl_Production[Job Number],0)),INDEX(tbl_Production[Current RMS No],MATCH(E219&amp;"",tbl_Production[Job Number],0)))),IFERROR(IF(INDEX(tbl_Consulting[Qwilr Quote],MATCH(E219&amp;"",tbl_Consulting[Job Number],0))="","",INDEX(tbl_Consulting[Qwilr Quote],MATCH(E219&amp;"",tbl_Consulting[Job Number],0))),""))))</f>
        <v/>
      </c>
      <c r="AD219" s="25">
        <f>IF(AC219="","",IF(AND(LEFT(AC219,4)&lt;&gt;"http",IF(H219="Production",set_RMSBase,set_QwilrBase)=""),"",HYPERLINK(IF(LEFT(AC219,4)="http",AC219,IF(H219="Production",set_RMSBase,set_QwilrBase)&amp;AC219),"Open")))</f>
        <v/>
      </c>
      <c r="AE219" s="27">
        <f>IF(E219="","",IFERROR(INDEX(tbl_Production[Total Expense],MATCH(E219&amp;"",tbl_Production[Job Number],0)),IFERROR(INDEX(tbl_Consulting[Total Expense],MATCH(E219&amp;"",tbl_Consulting[Job Number],0)),0)))</f>
        <v/>
      </c>
      <c r="AF219" s="27">
        <f>IF(E219="","",Z219-N(AE219))</f>
        <v/>
      </c>
      <c r="AG219" s="29">
        <f>IFERROR(AF219/Z219,"")</f>
        <v/>
      </c>
      <c r="AH219" s="25">
        <f>IF(E219="","",IFERROR(IF(INDEX(tbl_Onsite[Notes],MATCH(E219&amp;"",tbl_Onsite[Job Number],0))="","",INDEX(tbl_Onsite[Notes],MATCH(E219&amp;"",tbl_Onsite[Job Number],0))),IFERROR(IF(INDEX(tbl_Production[Notes],MATCH(E219&amp;"",tbl_Production[Job Number],0))="","",INDEX(tbl_Production[Notes],MATCH(E219&amp;"",tbl_Production[Job Number],0))),IFERROR(IF(INDEX(tbl_Consulting[Notes],MATCH(E219&amp;"",tbl_Consulting[Job Number],0))="","",INDEX(tbl_Consulting[Notes],MATCH(E219&amp;"",tbl_Consulting[Job Number],0))),""))))</f>
        <v/>
      </c>
    </row>
    <row r="220" ht="15" customHeight="1">
      <c r="A220" s="22" t="n"/>
      <c r="B220" s="23">
        <f>IF(A220="","",EOMONTH(A220,0))</f>
        <v/>
      </c>
      <c r="C220" s="24" t="n"/>
      <c r="D220" s="24" t="n"/>
      <c r="E220" s="24" t="n"/>
      <c r="F220" s="25">
        <f>IF(E220="","",IF(COUNTIF(lst_Jobs,E220&amp;"")&gt;0,"OK","CHECK"))</f>
        <v/>
      </c>
      <c r="G220" s="24" t="n"/>
      <c r="H220" s="24" t="n"/>
      <c r="I220" s="24" t="n"/>
      <c r="J220" s="24" t="n"/>
      <c r="K220" s="24" t="n"/>
      <c r="L220" s="26" t="n"/>
      <c r="M220" s="27">
        <f>IF(L220="","",IF(K220="GST 10%",ROUND(L220*set_GSTRate,2),0))</f>
        <v/>
      </c>
      <c r="N220" s="27">
        <f>IF(L220="","",L220+M220)</f>
        <v/>
      </c>
      <c r="O220" s="24" t="n"/>
      <c r="P220" s="24" t="n"/>
      <c r="Q220" s="24" t="n"/>
      <c r="R220" s="22" t="n"/>
      <c r="S220" s="22" t="n"/>
      <c r="T220" s="24" t="n"/>
      <c r="U220" s="24" t="n"/>
      <c r="V220" s="25">
        <f>IF(COUNTA(A220,D220,C220,L220)=0,"",IF(A220="","No date - sits outside every month",IF(E220="","No job number",IF(F220="CHECK","Job number is not in the Xero job list",IF(I220="","No cost centre",IF(AND(P220="Y",C220=""),"Marked posted to Xero but has no invoice number",IF(AND(L220&lt;&gt;"",K220=""),"No tax code",IF(AND(L220&lt;&gt;"",O220=""),"No revenue GL code",""))))))))</f>
        <v/>
      </c>
      <c r="W220" s="25">
        <f>IF(E220="","",IF(COUNTIF(tbl_Onsite[Job Number],E220&amp;"")&gt;0,"Onsite",IF(COUNTIF(tbl_Production[Job Number],E220&amp;"")&gt;0,"Production",IF(COUNTIF(tbl_Consulting[Job Number],E220&amp;"")&gt;0,"Consulting","not set up yet"))))</f>
        <v/>
      </c>
      <c r="X220" s="25">
        <f>IF(E220="","",IFERROR(INDEX(lst_JobName,MATCH(E220&amp;"",lst_Jobs,0)),""))</f>
        <v/>
      </c>
      <c r="Y220" s="28">
        <f>IF(E220="","",COUNTIFS(tbl_Finance[Job Number],E220&amp;"",tbl_Finance[Ex GST],"&lt;&gt;"))</f>
        <v/>
      </c>
      <c r="Z220" s="27">
        <f>IF(E220="","",SUMIFS(tbl_Finance[Ex GST],tbl_Finance[Job Number],E220&amp;""))</f>
        <v/>
      </c>
      <c r="AA220" s="27">
        <f>IF(E220="","",SUMIFS(tbl_Finance[Ex GST],tbl_Finance[Job Number],E220&amp;"",tbl_Finance[Xero Invoice No],"&lt;&gt;"))</f>
        <v/>
      </c>
      <c r="AB220" s="27">
        <f>IF(E220="","",Z220-AA220)</f>
        <v/>
      </c>
      <c r="AC220" s="25">
        <f>IF(E220="","",IFERROR(IF(INDEX(tbl_Onsite[Qwilr Quote],MATCH(E220&amp;"",tbl_Onsite[Job Number],0))="","",INDEX(tbl_Onsite[Qwilr Quote],MATCH(E220&amp;"",tbl_Onsite[Job Number],0))),IFERROR(IF(IF(INDEX(tbl_Production[Current RMS No],MATCH(E220&amp;"",tbl_Production[Job Number],0))="",INDEX(tbl_Production[Qwilr Quote],MATCH(E220&amp;"",tbl_Production[Job Number],0)),INDEX(tbl_Production[Current RMS No],MATCH(E220&amp;"",tbl_Production[Job Number],0)))="","",IF(INDEX(tbl_Production[Current RMS No],MATCH(E220&amp;"",tbl_Production[Job Number],0))="",INDEX(tbl_Production[Qwilr Quote],MATCH(E220&amp;"",tbl_Production[Job Number],0)),INDEX(tbl_Production[Current RMS No],MATCH(E220&amp;"",tbl_Production[Job Number],0)))),IFERROR(IF(INDEX(tbl_Consulting[Qwilr Quote],MATCH(E220&amp;"",tbl_Consulting[Job Number],0))="","",INDEX(tbl_Consulting[Qwilr Quote],MATCH(E220&amp;"",tbl_Consulting[Job Number],0))),""))))</f>
        <v/>
      </c>
      <c r="AD220" s="25">
        <f>IF(AC220="","",IF(AND(LEFT(AC220,4)&lt;&gt;"http",IF(H220="Production",set_RMSBase,set_QwilrBase)=""),"",HYPERLINK(IF(LEFT(AC220,4)="http",AC220,IF(H220="Production",set_RMSBase,set_QwilrBase)&amp;AC220),"Open")))</f>
        <v/>
      </c>
      <c r="AE220" s="27">
        <f>IF(E220="","",IFERROR(INDEX(tbl_Production[Total Expense],MATCH(E220&amp;"",tbl_Production[Job Number],0)),IFERROR(INDEX(tbl_Consulting[Total Expense],MATCH(E220&amp;"",tbl_Consulting[Job Number],0)),0)))</f>
        <v/>
      </c>
      <c r="AF220" s="27">
        <f>IF(E220="","",Z220-N(AE220))</f>
        <v/>
      </c>
      <c r="AG220" s="29">
        <f>IFERROR(AF220/Z220,"")</f>
        <v/>
      </c>
      <c r="AH220" s="25">
        <f>IF(E220="","",IFERROR(IF(INDEX(tbl_Onsite[Notes],MATCH(E220&amp;"",tbl_Onsite[Job Number],0))="","",INDEX(tbl_Onsite[Notes],MATCH(E220&amp;"",tbl_Onsite[Job Number],0))),IFERROR(IF(INDEX(tbl_Production[Notes],MATCH(E220&amp;"",tbl_Production[Job Number],0))="","",INDEX(tbl_Production[Notes],MATCH(E220&amp;"",tbl_Production[Job Number],0))),IFERROR(IF(INDEX(tbl_Consulting[Notes],MATCH(E220&amp;"",tbl_Consulting[Job Number],0))="","",INDEX(tbl_Consulting[Notes],MATCH(E220&amp;"",tbl_Consulting[Job Number],0))),""))))</f>
        <v/>
      </c>
    </row>
    <row r="221" ht="15" customHeight="1">
      <c r="A221" s="22" t="n"/>
      <c r="B221" s="23">
        <f>IF(A221="","",EOMONTH(A221,0))</f>
        <v/>
      </c>
      <c r="C221" s="24" t="n"/>
      <c r="D221" s="24" t="n"/>
      <c r="E221" s="24" t="n"/>
      <c r="F221" s="25">
        <f>IF(E221="","",IF(COUNTIF(lst_Jobs,E221&amp;"")&gt;0,"OK","CHECK"))</f>
        <v/>
      </c>
      <c r="G221" s="24" t="n"/>
      <c r="H221" s="24" t="n"/>
      <c r="I221" s="24" t="n"/>
      <c r="J221" s="24" t="n"/>
      <c r="K221" s="24" t="n"/>
      <c r="L221" s="26" t="n"/>
      <c r="M221" s="27">
        <f>IF(L221="","",IF(K221="GST 10%",ROUND(L221*set_GSTRate,2),0))</f>
        <v/>
      </c>
      <c r="N221" s="27">
        <f>IF(L221="","",L221+M221)</f>
        <v/>
      </c>
      <c r="O221" s="24" t="n"/>
      <c r="P221" s="24" t="n"/>
      <c r="Q221" s="24" t="n"/>
      <c r="R221" s="22" t="n"/>
      <c r="S221" s="22" t="n"/>
      <c r="T221" s="24" t="n"/>
      <c r="U221" s="24" t="n"/>
      <c r="V221" s="25">
        <f>IF(COUNTA(A221,D221,C221,L221)=0,"",IF(A221="","No date - sits outside every month",IF(E221="","No job number",IF(F221="CHECK","Job number is not in the Xero job list",IF(I221="","No cost centre",IF(AND(P221="Y",C221=""),"Marked posted to Xero but has no invoice number",IF(AND(L221&lt;&gt;"",K221=""),"No tax code",IF(AND(L221&lt;&gt;"",O221=""),"No revenue GL code",""))))))))</f>
        <v/>
      </c>
      <c r="W221" s="25">
        <f>IF(E221="","",IF(COUNTIF(tbl_Onsite[Job Number],E221&amp;"")&gt;0,"Onsite",IF(COUNTIF(tbl_Production[Job Number],E221&amp;"")&gt;0,"Production",IF(COUNTIF(tbl_Consulting[Job Number],E221&amp;"")&gt;0,"Consulting","not set up yet"))))</f>
        <v/>
      </c>
      <c r="X221" s="25">
        <f>IF(E221="","",IFERROR(INDEX(lst_JobName,MATCH(E221&amp;"",lst_Jobs,0)),""))</f>
        <v/>
      </c>
      <c r="Y221" s="28">
        <f>IF(E221="","",COUNTIFS(tbl_Finance[Job Number],E221&amp;"",tbl_Finance[Ex GST],"&lt;&gt;"))</f>
        <v/>
      </c>
      <c r="Z221" s="27">
        <f>IF(E221="","",SUMIFS(tbl_Finance[Ex GST],tbl_Finance[Job Number],E221&amp;""))</f>
        <v/>
      </c>
      <c r="AA221" s="27">
        <f>IF(E221="","",SUMIFS(tbl_Finance[Ex GST],tbl_Finance[Job Number],E221&amp;"",tbl_Finance[Xero Invoice No],"&lt;&gt;"))</f>
        <v/>
      </c>
      <c r="AB221" s="27">
        <f>IF(E221="","",Z221-AA221)</f>
        <v/>
      </c>
      <c r="AC221" s="25">
        <f>IF(E221="","",IFERROR(IF(INDEX(tbl_Onsite[Qwilr Quote],MATCH(E221&amp;"",tbl_Onsite[Job Number],0))="","",INDEX(tbl_Onsite[Qwilr Quote],MATCH(E221&amp;"",tbl_Onsite[Job Number],0))),IFERROR(IF(IF(INDEX(tbl_Production[Current RMS No],MATCH(E221&amp;"",tbl_Production[Job Number],0))="",INDEX(tbl_Production[Qwilr Quote],MATCH(E221&amp;"",tbl_Production[Job Number],0)),INDEX(tbl_Production[Current RMS No],MATCH(E221&amp;"",tbl_Production[Job Number],0)))="","",IF(INDEX(tbl_Production[Current RMS No],MATCH(E221&amp;"",tbl_Production[Job Number],0))="",INDEX(tbl_Production[Qwilr Quote],MATCH(E221&amp;"",tbl_Production[Job Number],0)),INDEX(tbl_Production[Current RMS No],MATCH(E221&amp;"",tbl_Production[Job Number],0)))),IFERROR(IF(INDEX(tbl_Consulting[Qwilr Quote],MATCH(E221&amp;"",tbl_Consulting[Job Number],0))="","",INDEX(tbl_Consulting[Qwilr Quote],MATCH(E221&amp;"",tbl_Consulting[Job Number],0))),""))))</f>
        <v/>
      </c>
      <c r="AD221" s="25">
        <f>IF(AC221="","",IF(AND(LEFT(AC221,4)&lt;&gt;"http",IF(H221="Production",set_RMSBase,set_QwilrBase)=""),"",HYPERLINK(IF(LEFT(AC221,4)="http",AC221,IF(H221="Production",set_RMSBase,set_QwilrBase)&amp;AC221),"Open")))</f>
        <v/>
      </c>
      <c r="AE221" s="27">
        <f>IF(E221="","",IFERROR(INDEX(tbl_Production[Total Expense],MATCH(E221&amp;"",tbl_Production[Job Number],0)),IFERROR(INDEX(tbl_Consulting[Total Expense],MATCH(E221&amp;"",tbl_Consulting[Job Number],0)),0)))</f>
        <v/>
      </c>
      <c r="AF221" s="27">
        <f>IF(E221="","",Z221-N(AE221))</f>
        <v/>
      </c>
      <c r="AG221" s="29">
        <f>IFERROR(AF221/Z221,"")</f>
        <v/>
      </c>
      <c r="AH221" s="25">
        <f>IF(E221="","",IFERROR(IF(INDEX(tbl_Onsite[Notes],MATCH(E221&amp;"",tbl_Onsite[Job Number],0))="","",INDEX(tbl_Onsite[Notes],MATCH(E221&amp;"",tbl_Onsite[Job Number],0))),IFERROR(IF(INDEX(tbl_Production[Notes],MATCH(E221&amp;"",tbl_Production[Job Number],0))="","",INDEX(tbl_Production[Notes],MATCH(E221&amp;"",tbl_Production[Job Number],0))),IFERROR(IF(INDEX(tbl_Consulting[Notes],MATCH(E221&amp;"",tbl_Consulting[Job Number],0))="","",INDEX(tbl_Consulting[Notes],MATCH(E221&amp;"",tbl_Consulting[Job Number],0))),""))))</f>
        <v/>
      </c>
    </row>
    <row r="222" ht="15" customHeight="1">
      <c r="A222" s="22" t="n"/>
      <c r="B222" s="23">
        <f>IF(A222="","",EOMONTH(A222,0))</f>
        <v/>
      </c>
      <c r="C222" s="24" t="n"/>
      <c r="D222" s="24" t="n"/>
      <c r="E222" s="24" t="n"/>
      <c r="F222" s="25">
        <f>IF(E222="","",IF(COUNTIF(lst_Jobs,E222&amp;"")&gt;0,"OK","CHECK"))</f>
        <v/>
      </c>
      <c r="G222" s="24" t="n"/>
      <c r="H222" s="24" t="n"/>
      <c r="I222" s="24" t="n"/>
      <c r="J222" s="24" t="n"/>
      <c r="K222" s="24" t="n"/>
      <c r="L222" s="26" t="n"/>
      <c r="M222" s="27">
        <f>IF(L222="","",IF(K222="GST 10%",ROUND(L222*set_GSTRate,2),0))</f>
        <v/>
      </c>
      <c r="N222" s="27">
        <f>IF(L222="","",L222+M222)</f>
        <v/>
      </c>
      <c r="O222" s="24" t="n"/>
      <c r="P222" s="24" t="n"/>
      <c r="Q222" s="24" t="n"/>
      <c r="R222" s="22" t="n"/>
      <c r="S222" s="22" t="n"/>
      <c r="T222" s="24" t="n"/>
      <c r="U222" s="24" t="n"/>
      <c r="V222" s="25">
        <f>IF(COUNTA(A222,D222,C222,L222)=0,"",IF(A222="","No date - sits outside every month",IF(E222="","No job number",IF(F222="CHECK","Job number is not in the Xero job list",IF(I222="","No cost centre",IF(AND(P222="Y",C222=""),"Marked posted to Xero but has no invoice number",IF(AND(L222&lt;&gt;"",K222=""),"No tax code",IF(AND(L222&lt;&gt;"",O222=""),"No revenue GL code",""))))))))</f>
        <v/>
      </c>
      <c r="W222" s="25">
        <f>IF(E222="","",IF(COUNTIF(tbl_Onsite[Job Number],E222&amp;"")&gt;0,"Onsite",IF(COUNTIF(tbl_Production[Job Number],E222&amp;"")&gt;0,"Production",IF(COUNTIF(tbl_Consulting[Job Number],E222&amp;"")&gt;0,"Consulting","not set up yet"))))</f>
        <v/>
      </c>
      <c r="X222" s="25">
        <f>IF(E222="","",IFERROR(INDEX(lst_JobName,MATCH(E222&amp;"",lst_Jobs,0)),""))</f>
        <v/>
      </c>
      <c r="Y222" s="28">
        <f>IF(E222="","",COUNTIFS(tbl_Finance[Job Number],E222&amp;"",tbl_Finance[Ex GST],"&lt;&gt;"))</f>
        <v/>
      </c>
      <c r="Z222" s="27">
        <f>IF(E222="","",SUMIFS(tbl_Finance[Ex GST],tbl_Finance[Job Number],E222&amp;""))</f>
        <v/>
      </c>
      <c r="AA222" s="27">
        <f>IF(E222="","",SUMIFS(tbl_Finance[Ex GST],tbl_Finance[Job Number],E222&amp;"",tbl_Finance[Xero Invoice No],"&lt;&gt;"))</f>
        <v/>
      </c>
      <c r="AB222" s="27">
        <f>IF(E222="","",Z222-AA222)</f>
        <v/>
      </c>
      <c r="AC222" s="25">
        <f>IF(E222="","",IFERROR(IF(INDEX(tbl_Onsite[Qwilr Quote],MATCH(E222&amp;"",tbl_Onsite[Job Number],0))="","",INDEX(tbl_Onsite[Qwilr Quote],MATCH(E222&amp;"",tbl_Onsite[Job Number],0))),IFERROR(IF(IF(INDEX(tbl_Production[Current RMS No],MATCH(E222&amp;"",tbl_Production[Job Number],0))="",INDEX(tbl_Production[Qwilr Quote],MATCH(E222&amp;"",tbl_Production[Job Number],0)),INDEX(tbl_Production[Current RMS No],MATCH(E222&amp;"",tbl_Production[Job Number],0)))="","",IF(INDEX(tbl_Production[Current RMS No],MATCH(E222&amp;"",tbl_Production[Job Number],0))="",INDEX(tbl_Production[Qwilr Quote],MATCH(E222&amp;"",tbl_Production[Job Number],0)),INDEX(tbl_Production[Current RMS No],MATCH(E222&amp;"",tbl_Production[Job Number],0)))),IFERROR(IF(INDEX(tbl_Consulting[Qwilr Quote],MATCH(E222&amp;"",tbl_Consulting[Job Number],0))="","",INDEX(tbl_Consulting[Qwilr Quote],MATCH(E222&amp;"",tbl_Consulting[Job Number],0))),""))))</f>
        <v/>
      </c>
      <c r="AD222" s="25">
        <f>IF(AC222="","",IF(AND(LEFT(AC222,4)&lt;&gt;"http",IF(H222="Production",set_RMSBase,set_QwilrBase)=""),"",HYPERLINK(IF(LEFT(AC222,4)="http",AC222,IF(H222="Production",set_RMSBase,set_QwilrBase)&amp;AC222),"Open")))</f>
        <v/>
      </c>
      <c r="AE222" s="27">
        <f>IF(E222="","",IFERROR(INDEX(tbl_Production[Total Expense],MATCH(E222&amp;"",tbl_Production[Job Number],0)),IFERROR(INDEX(tbl_Consulting[Total Expense],MATCH(E222&amp;"",tbl_Consulting[Job Number],0)),0)))</f>
        <v/>
      </c>
      <c r="AF222" s="27">
        <f>IF(E222="","",Z222-N(AE222))</f>
        <v/>
      </c>
      <c r="AG222" s="29">
        <f>IFERROR(AF222/Z222,"")</f>
        <v/>
      </c>
      <c r="AH222" s="25">
        <f>IF(E222="","",IFERROR(IF(INDEX(tbl_Onsite[Notes],MATCH(E222&amp;"",tbl_Onsite[Job Number],0))="","",INDEX(tbl_Onsite[Notes],MATCH(E222&amp;"",tbl_Onsite[Job Number],0))),IFERROR(IF(INDEX(tbl_Production[Notes],MATCH(E222&amp;"",tbl_Production[Job Number],0))="","",INDEX(tbl_Production[Notes],MATCH(E222&amp;"",tbl_Production[Job Number],0))),IFERROR(IF(INDEX(tbl_Consulting[Notes],MATCH(E222&amp;"",tbl_Consulting[Job Number],0))="","",INDEX(tbl_Consulting[Notes],MATCH(E222&amp;"",tbl_Consulting[Job Number],0))),""))))</f>
        <v/>
      </c>
    </row>
    <row r="223" ht="15" customHeight="1">
      <c r="A223" s="22" t="n"/>
      <c r="B223" s="23">
        <f>IF(A223="","",EOMONTH(A223,0))</f>
        <v/>
      </c>
      <c r="C223" s="24" t="n"/>
      <c r="D223" s="24" t="n"/>
      <c r="E223" s="24" t="n"/>
      <c r="F223" s="25">
        <f>IF(E223="","",IF(COUNTIF(lst_Jobs,E223&amp;"")&gt;0,"OK","CHECK"))</f>
        <v/>
      </c>
      <c r="G223" s="24" t="n"/>
      <c r="H223" s="24" t="n"/>
      <c r="I223" s="24" t="n"/>
      <c r="J223" s="24" t="n"/>
      <c r="K223" s="24" t="n"/>
      <c r="L223" s="26" t="n"/>
      <c r="M223" s="27">
        <f>IF(L223="","",IF(K223="GST 10%",ROUND(L223*set_GSTRate,2),0))</f>
        <v/>
      </c>
      <c r="N223" s="27">
        <f>IF(L223="","",L223+M223)</f>
        <v/>
      </c>
      <c r="O223" s="24" t="n"/>
      <c r="P223" s="24" t="n"/>
      <c r="Q223" s="24" t="n"/>
      <c r="R223" s="22" t="n"/>
      <c r="S223" s="22" t="n"/>
      <c r="T223" s="24" t="n"/>
      <c r="U223" s="24" t="n"/>
      <c r="V223" s="25">
        <f>IF(COUNTA(A223,D223,C223,L223)=0,"",IF(A223="","No date - sits outside every month",IF(E223="","No job number",IF(F223="CHECK","Job number is not in the Xero job list",IF(I223="","No cost centre",IF(AND(P223="Y",C223=""),"Marked posted to Xero but has no invoice number",IF(AND(L223&lt;&gt;"",K223=""),"No tax code",IF(AND(L223&lt;&gt;"",O223=""),"No revenue GL code",""))))))))</f>
        <v/>
      </c>
      <c r="W223" s="25">
        <f>IF(E223="","",IF(COUNTIF(tbl_Onsite[Job Number],E223&amp;"")&gt;0,"Onsite",IF(COUNTIF(tbl_Production[Job Number],E223&amp;"")&gt;0,"Production",IF(COUNTIF(tbl_Consulting[Job Number],E223&amp;"")&gt;0,"Consulting","not set up yet"))))</f>
        <v/>
      </c>
      <c r="X223" s="25">
        <f>IF(E223="","",IFERROR(INDEX(lst_JobName,MATCH(E223&amp;"",lst_Jobs,0)),""))</f>
        <v/>
      </c>
      <c r="Y223" s="28">
        <f>IF(E223="","",COUNTIFS(tbl_Finance[Job Number],E223&amp;"",tbl_Finance[Ex GST],"&lt;&gt;"))</f>
        <v/>
      </c>
      <c r="Z223" s="27">
        <f>IF(E223="","",SUMIFS(tbl_Finance[Ex GST],tbl_Finance[Job Number],E223&amp;""))</f>
        <v/>
      </c>
      <c r="AA223" s="27">
        <f>IF(E223="","",SUMIFS(tbl_Finance[Ex GST],tbl_Finance[Job Number],E223&amp;"",tbl_Finance[Xero Invoice No],"&lt;&gt;"))</f>
        <v/>
      </c>
      <c r="AB223" s="27">
        <f>IF(E223="","",Z223-AA223)</f>
        <v/>
      </c>
      <c r="AC223" s="25">
        <f>IF(E223="","",IFERROR(IF(INDEX(tbl_Onsite[Qwilr Quote],MATCH(E223&amp;"",tbl_Onsite[Job Number],0))="","",INDEX(tbl_Onsite[Qwilr Quote],MATCH(E223&amp;"",tbl_Onsite[Job Number],0))),IFERROR(IF(IF(INDEX(tbl_Production[Current RMS No],MATCH(E223&amp;"",tbl_Production[Job Number],0))="",INDEX(tbl_Production[Qwilr Quote],MATCH(E223&amp;"",tbl_Production[Job Number],0)),INDEX(tbl_Production[Current RMS No],MATCH(E223&amp;"",tbl_Production[Job Number],0)))="","",IF(INDEX(tbl_Production[Current RMS No],MATCH(E223&amp;"",tbl_Production[Job Number],0))="",INDEX(tbl_Production[Qwilr Quote],MATCH(E223&amp;"",tbl_Production[Job Number],0)),INDEX(tbl_Production[Current RMS No],MATCH(E223&amp;"",tbl_Production[Job Number],0)))),IFERROR(IF(INDEX(tbl_Consulting[Qwilr Quote],MATCH(E223&amp;"",tbl_Consulting[Job Number],0))="","",INDEX(tbl_Consulting[Qwilr Quote],MATCH(E223&amp;"",tbl_Consulting[Job Number],0))),""))))</f>
        <v/>
      </c>
      <c r="AD223" s="25">
        <f>IF(AC223="","",IF(AND(LEFT(AC223,4)&lt;&gt;"http",IF(H223="Production",set_RMSBase,set_QwilrBase)=""),"",HYPERLINK(IF(LEFT(AC223,4)="http",AC223,IF(H223="Production",set_RMSBase,set_QwilrBase)&amp;AC223),"Open")))</f>
        <v/>
      </c>
      <c r="AE223" s="27">
        <f>IF(E223="","",IFERROR(INDEX(tbl_Production[Total Expense],MATCH(E223&amp;"",tbl_Production[Job Number],0)),IFERROR(INDEX(tbl_Consulting[Total Expense],MATCH(E223&amp;"",tbl_Consulting[Job Number],0)),0)))</f>
        <v/>
      </c>
      <c r="AF223" s="27">
        <f>IF(E223="","",Z223-N(AE223))</f>
        <v/>
      </c>
      <c r="AG223" s="29">
        <f>IFERROR(AF223/Z223,"")</f>
        <v/>
      </c>
      <c r="AH223" s="25">
        <f>IF(E223="","",IFERROR(IF(INDEX(tbl_Onsite[Notes],MATCH(E223&amp;"",tbl_Onsite[Job Number],0))="","",INDEX(tbl_Onsite[Notes],MATCH(E223&amp;"",tbl_Onsite[Job Number],0))),IFERROR(IF(INDEX(tbl_Production[Notes],MATCH(E223&amp;"",tbl_Production[Job Number],0))="","",INDEX(tbl_Production[Notes],MATCH(E223&amp;"",tbl_Production[Job Number],0))),IFERROR(IF(INDEX(tbl_Consulting[Notes],MATCH(E223&amp;"",tbl_Consulting[Job Number],0))="","",INDEX(tbl_Consulting[Notes],MATCH(E223&amp;"",tbl_Consulting[Job Number],0))),""))))</f>
        <v/>
      </c>
    </row>
    <row r="224" ht="15" customHeight="1">
      <c r="A224" s="22" t="n"/>
      <c r="B224" s="23">
        <f>IF(A224="","",EOMONTH(A224,0))</f>
        <v/>
      </c>
      <c r="C224" s="24" t="n"/>
      <c r="D224" s="24" t="n"/>
      <c r="E224" s="24" t="n"/>
      <c r="F224" s="25">
        <f>IF(E224="","",IF(COUNTIF(lst_Jobs,E224&amp;"")&gt;0,"OK","CHECK"))</f>
        <v/>
      </c>
      <c r="G224" s="24" t="n"/>
      <c r="H224" s="24" t="n"/>
      <c r="I224" s="24" t="n"/>
      <c r="J224" s="24" t="n"/>
      <c r="K224" s="24" t="n"/>
      <c r="L224" s="26" t="n"/>
      <c r="M224" s="27">
        <f>IF(L224="","",IF(K224="GST 10%",ROUND(L224*set_GSTRate,2),0))</f>
        <v/>
      </c>
      <c r="N224" s="27">
        <f>IF(L224="","",L224+M224)</f>
        <v/>
      </c>
      <c r="O224" s="24" t="n"/>
      <c r="P224" s="24" t="n"/>
      <c r="Q224" s="24" t="n"/>
      <c r="R224" s="22" t="n"/>
      <c r="S224" s="22" t="n"/>
      <c r="T224" s="24" t="n"/>
      <c r="U224" s="24" t="n"/>
      <c r="V224" s="25">
        <f>IF(COUNTA(A224,D224,C224,L224)=0,"",IF(A224="","No date - sits outside every month",IF(E224="","No job number",IF(F224="CHECK","Job number is not in the Xero job list",IF(I224="","No cost centre",IF(AND(P224="Y",C224=""),"Marked posted to Xero but has no invoice number",IF(AND(L224&lt;&gt;"",K224=""),"No tax code",IF(AND(L224&lt;&gt;"",O224=""),"No revenue GL code",""))))))))</f>
        <v/>
      </c>
      <c r="W224" s="25">
        <f>IF(E224="","",IF(COUNTIF(tbl_Onsite[Job Number],E224&amp;"")&gt;0,"Onsite",IF(COUNTIF(tbl_Production[Job Number],E224&amp;"")&gt;0,"Production",IF(COUNTIF(tbl_Consulting[Job Number],E224&amp;"")&gt;0,"Consulting","not set up yet"))))</f>
        <v/>
      </c>
      <c r="X224" s="25">
        <f>IF(E224="","",IFERROR(INDEX(lst_JobName,MATCH(E224&amp;"",lst_Jobs,0)),""))</f>
        <v/>
      </c>
      <c r="Y224" s="28">
        <f>IF(E224="","",COUNTIFS(tbl_Finance[Job Number],E224&amp;"",tbl_Finance[Ex GST],"&lt;&gt;"))</f>
        <v/>
      </c>
      <c r="Z224" s="27">
        <f>IF(E224="","",SUMIFS(tbl_Finance[Ex GST],tbl_Finance[Job Number],E224&amp;""))</f>
        <v/>
      </c>
      <c r="AA224" s="27">
        <f>IF(E224="","",SUMIFS(tbl_Finance[Ex GST],tbl_Finance[Job Number],E224&amp;"",tbl_Finance[Xero Invoice No],"&lt;&gt;"))</f>
        <v/>
      </c>
      <c r="AB224" s="27">
        <f>IF(E224="","",Z224-AA224)</f>
        <v/>
      </c>
      <c r="AC224" s="25">
        <f>IF(E224="","",IFERROR(IF(INDEX(tbl_Onsite[Qwilr Quote],MATCH(E224&amp;"",tbl_Onsite[Job Number],0))="","",INDEX(tbl_Onsite[Qwilr Quote],MATCH(E224&amp;"",tbl_Onsite[Job Number],0))),IFERROR(IF(IF(INDEX(tbl_Production[Current RMS No],MATCH(E224&amp;"",tbl_Production[Job Number],0))="",INDEX(tbl_Production[Qwilr Quote],MATCH(E224&amp;"",tbl_Production[Job Number],0)),INDEX(tbl_Production[Current RMS No],MATCH(E224&amp;"",tbl_Production[Job Number],0)))="","",IF(INDEX(tbl_Production[Current RMS No],MATCH(E224&amp;"",tbl_Production[Job Number],0))="",INDEX(tbl_Production[Qwilr Quote],MATCH(E224&amp;"",tbl_Production[Job Number],0)),INDEX(tbl_Production[Current RMS No],MATCH(E224&amp;"",tbl_Production[Job Number],0)))),IFERROR(IF(INDEX(tbl_Consulting[Qwilr Quote],MATCH(E224&amp;"",tbl_Consulting[Job Number],0))="","",INDEX(tbl_Consulting[Qwilr Quote],MATCH(E224&amp;"",tbl_Consulting[Job Number],0))),""))))</f>
        <v/>
      </c>
      <c r="AD224" s="25">
        <f>IF(AC224="","",IF(AND(LEFT(AC224,4)&lt;&gt;"http",IF(H224="Production",set_RMSBase,set_QwilrBase)=""),"",HYPERLINK(IF(LEFT(AC224,4)="http",AC224,IF(H224="Production",set_RMSBase,set_QwilrBase)&amp;AC224),"Open")))</f>
        <v/>
      </c>
      <c r="AE224" s="27">
        <f>IF(E224="","",IFERROR(INDEX(tbl_Production[Total Expense],MATCH(E224&amp;"",tbl_Production[Job Number],0)),IFERROR(INDEX(tbl_Consulting[Total Expense],MATCH(E224&amp;"",tbl_Consulting[Job Number],0)),0)))</f>
        <v/>
      </c>
      <c r="AF224" s="27">
        <f>IF(E224="","",Z224-N(AE224))</f>
        <v/>
      </c>
      <c r="AG224" s="29">
        <f>IFERROR(AF224/Z224,"")</f>
        <v/>
      </c>
      <c r="AH224" s="25">
        <f>IF(E224="","",IFERROR(IF(INDEX(tbl_Onsite[Notes],MATCH(E224&amp;"",tbl_Onsite[Job Number],0))="","",INDEX(tbl_Onsite[Notes],MATCH(E224&amp;"",tbl_Onsite[Job Number],0))),IFERROR(IF(INDEX(tbl_Production[Notes],MATCH(E224&amp;"",tbl_Production[Job Number],0))="","",INDEX(tbl_Production[Notes],MATCH(E224&amp;"",tbl_Production[Job Number],0))),IFERROR(IF(INDEX(tbl_Consulting[Notes],MATCH(E224&amp;"",tbl_Consulting[Job Number],0))="","",INDEX(tbl_Consulting[Notes],MATCH(E224&amp;"",tbl_Consulting[Job Number],0))),""))))</f>
        <v/>
      </c>
    </row>
    <row r="225" ht="15" customHeight="1">
      <c r="A225" s="22" t="n"/>
      <c r="B225" s="23">
        <f>IF(A225="","",EOMONTH(A225,0))</f>
        <v/>
      </c>
      <c r="C225" s="24" t="n"/>
      <c r="D225" s="24" t="n"/>
      <c r="E225" s="24" t="n"/>
      <c r="F225" s="25">
        <f>IF(E225="","",IF(COUNTIF(lst_Jobs,E225&amp;"")&gt;0,"OK","CHECK"))</f>
        <v/>
      </c>
      <c r="G225" s="24" t="n"/>
      <c r="H225" s="24" t="n"/>
      <c r="I225" s="24" t="n"/>
      <c r="J225" s="24" t="n"/>
      <c r="K225" s="24" t="n"/>
      <c r="L225" s="26" t="n"/>
      <c r="M225" s="27">
        <f>IF(L225="","",IF(K225="GST 10%",ROUND(L225*set_GSTRate,2),0))</f>
        <v/>
      </c>
      <c r="N225" s="27">
        <f>IF(L225="","",L225+M225)</f>
        <v/>
      </c>
      <c r="O225" s="24" t="n"/>
      <c r="P225" s="24" t="n"/>
      <c r="Q225" s="24" t="n"/>
      <c r="R225" s="22" t="n"/>
      <c r="S225" s="22" t="n"/>
      <c r="T225" s="24" t="n"/>
      <c r="U225" s="24" t="n"/>
      <c r="V225" s="25">
        <f>IF(COUNTA(A225,D225,C225,L225)=0,"",IF(A225="","No date - sits outside every month",IF(E225="","No job number",IF(F225="CHECK","Job number is not in the Xero job list",IF(I225="","No cost centre",IF(AND(P225="Y",C225=""),"Marked posted to Xero but has no invoice number",IF(AND(L225&lt;&gt;"",K225=""),"No tax code",IF(AND(L225&lt;&gt;"",O225=""),"No revenue GL code",""))))))))</f>
        <v/>
      </c>
      <c r="W225" s="25">
        <f>IF(E225="","",IF(COUNTIF(tbl_Onsite[Job Number],E225&amp;"")&gt;0,"Onsite",IF(COUNTIF(tbl_Production[Job Number],E225&amp;"")&gt;0,"Production",IF(COUNTIF(tbl_Consulting[Job Number],E225&amp;"")&gt;0,"Consulting","not set up yet"))))</f>
        <v/>
      </c>
      <c r="X225" s="25">
        <f>IF(E225="","",IFERROR(INDEX(lst_JobName,MATCH(E225&amp;"",lst_Jobs,0)),""))</f>
        <v/>
      </c>
      <c r="Y225" s="28">
        <f>IF(E225="","",COUNTIFS(tbl_Finance[Job Number],E225&amp;"",tbl_Finance[Ex GST],"&lt;&gt;"))</f>
        <v/>
      </c>
      <c r="Z225" s="27">
        <f>IF(E225="","",SUMIFS(tbl_Finance[Ex GST],tbl_Finance[Job Number],E225&amp;""))</f>
        <v/>
      </c>
      <c r="AA225" s="27">
        <f>IF(E225="","",SUMIFS(tbl_Finance[Ex GST],tbl_Finance[Job Number],E225&amp;"",tbl_Finance[Xero Invoice No],"&lt;&gt;"))</f>
        <v/>
      </c>
      <c r="AB225" s="27">
        <f>IF(E225="","",Z225-AA225)</f>
        <v/>
      </c>
      <c r="AC225" s="25">
        <f>IF(E225="","",IFERROR(IF(INDEX(tbl_Onsite[Qwilr Quote],MATCH(E225&amp;"",tbl_Onsite[Job Number],0))="","",INDEX(tbl_Onsite[Qwilr Quote],MATCH(E225&amp;"",tbl_Onsite[Job Number],0))),IFERROR(IF(IF(INDEX(tbl_Production[Current RMS No],MATCH(E225&amp;"",tbl_Production[Job Number],0))="",INDEX(tbl_Production[Qwilr Quote],MATCH(E225&amp;"",tbl_Production[Job Number],0)),INDEX(tbl_Production[Current RMS No],MATCH(E225&amp;"",tbl_Production[Job Number],0)))="","",IF(INDEX(tbl_Production[Current RMS No],MATCH(E225&amp;"",tbl_Production[Job Number],0))="",INDEX(tbl_Production[Qwilr Quote],MATCH(E225&amp;"",tbl_Production[Job Number],0)),INDEX(tbl_Production[Current RMS No],MATCH(E225&amp;"",tbl_Production[Job Number],0)))),IFERROR(IF(INDEX(tbl_Consulting[Qwilr Quote],MATCH(E225&amp;"",tbl_Consulting[Job Number],0))="","",INDEX(tbl_Consulting[Qwilr Quote],MATCH(E225&amp;"",tbl_Consulting[Job Number],0))),""))))</f>
        <v/>
      </c>
      <c r="AD225" s="25">
        <f>IF(AC225="","",IF(AND(LEFT(AC225,4)&lt;&gt;"http",IF(H225="Production",set_RMSBase,set_QwilrBase)=""),"",HYPERLINK(IF(LEFT(AC225,4)="http",AC225,IF(H225="Production",set_RMSBase,set_QwilrBase)&amp;AC225),"Open")))</f>
        <v/>
      </c>
      <c r="AE225" s="27">
        <f>IF(E225="","",IFERROR(INDEX(tbl_Production[Total Expense],MATCH(E225&amp;"",tbl_Production[Job Number],0)),IFERROR(INDEX(tbl_Consulting[Total Expense],MATCH(E225&amp;"",tbl_Consulting[Job Number],0)),0)))</f>
        <v/>
      </c>
      <c r="AF225" s="27">
        <f>IF(E225="","",Z225-N(AE225))</f>
        <v/>
      </c>
      <c r="AG225" s="29">
        <f>IFERROR(AF225/Z225,"")</f>
        <v/>
      </c>
      <c r="AH225" s="25">
        <f>IF(E225="","",IFERROR(IF(INDEX(tbl_Onsite[Notes],MATCH(E225&amp;"",tbl_Onsite[Job Number],0))="","",INDEX(tbl_Onsite[Notes],MATCH(E225&amp;"",tbl_Onsite[Job Number],0))),IFERROR(IF(INDEX(tbl_Production[Notes],MATCH(E225&amp;"",tbl_Production[Job Number],0))="","",INDEX(tbl_Production[Notes],MATCH(E225&amp;"",tbl_Production[Job Number],0))),IFERROR(IF(INDEX(tbl_Consulting[Notes],MATCH(E225&amp;"",tbl_Consulting[Job Number],0))="","",INDEX(tbl_Consulting[Notes],MATCH(E225&amp;"",tbl_Consulting[Job Number],0))),""))))</f>
        <v/>
      </c>
    </row>
    <row r="226" ht="15" customHeight="1">
      <c r="A226" s="22" t="n"/>
      <c r="B226" s="23">
        <f>IF(A226="","",EOMONTH(A226,0))</f>
        <v/>
      </c>
      <c r="C226" s="24" t="n"/>
      <c r="D226" s="24" t="n"/>
      <c r="E226" s="24" t="n"/>
      <c r="F226" s="25">
        <f>IF(E226="","",IF(COUNTIF(lst_Jobs,E226&amp;"")&gt;0,"OK","CHECK"))</f>
        <v/>
      </c>
      <c r="G226" s="24" t="n"/>
      <c r="H226" s="24" t="n"/>
      <c r="I226" s="24" t="n"/>
      <c r="J226" s="24" t="n"/>
      <c r="K226" s="24" t="n"/>
      <c r="L226" s="26" t="n"/>
      <c r="M226" s="27">
        <f>IF(L226="","",IF(K226="GST 10%",ROUND(L226*set_GSTRate,2),0))</f>
        <v/>
      </c>
      <c r="N226" s="27">
        <f>IF(L226="","",L226+M226)</f>
        <v/>
      </c>
      <c r="O226" s="24" t="n"/>
      <c r="P226" s="24" t="n"/>
      <c r="Q226" s="24" t="n"/>
      <c r="R226" s="22" t="n"/>
      <c r="S226" s="22" t="n"/>
      <c r="T226" s="24" t="n"/>
      <c r="U226" s="24" t="n"/>
      <c r="V226" s="25">
        <f>IF(COUNTA(A226,D226,C226,L226)=0,"",IF(A226="","No date - sits outside every month",IF(E226="","No job number",IF(F226="CHECK","Job number is not in the Xero job list",IF(I226="","No cost centre",IF(AND(P226="Y",C226=""),"Marked posted to Xero but has no invoice number",IF(AND(L226&lt;&gt;"",K226=""),"No tax code",IF(AND(L226&lt;&gt;"",O226=""),"No revenue GL code",""))))))))</f>
        <v/>
      </c>
      <c r="W226" s="25">
        <f>IF(E226="","",IF(COUNTIF(tbl_Onsite[Job Number],E226&amp;"")&gt;0,"Onsite",IF(COUNTIF(tbl_Production[Job Number],E226&amp;"")&gt;0,"Production",IF(COUNTIF(tbl_Consulting[Job Number],E226&amp;"")&gt;0,"Consulting","not set up yet"))))</f>
        <v/>
      </c>
      <c r="X226" s="25">
        <f>IF(E226="","",IFERROR(INDEX(lst_JobName,MATCH(E226&amp;"",lst_Jobs,0)),""))</f>
        <v/>
      </c>
      <c r="Y226" s="28">
        <f>IF(E226="","",COUNTIFS(tbl_Finance[Job Number],E226&amp;"",tbl_Finance[Ex GST],"&lt;&gt;"))</f>
        <v/>
      </c>
      <c r="Z226" s="27">
        <f>IF(E226="","",SUMIFS(tbl_Finance[Ex GST],tbl_Finance[Job Number],E226&amp;""))</f>
        <v/>
      </c>
      <c r="AA226" s="27">
        <f>IF(E226="","",SUMIFS(tbl_Finance[Ex GST],tbl_Finance[Job Number],E226&amp;"",tbl_Finance[Xero Invoice No],"&lt;&gt;"))</f>
        <v/>
      </c>
      <c r="AB226" s="27">
        <f>IF(E226="","",Z226-AA226)</f>
        <v/>
      </c>
      <c r="AC226" s="25">
        <f>IF(E226="","",IFERROR(IF(INDEX(tbl_Onsite[Qwilr Quote],MATCH(E226&amp;"",tbl_Onsite[Job Number],0))="","",INDEX(tbl_Onsite[Qwilr Quote],MATCH(E226&amp;"",tbl_Onsite[Job Number],0))),IFERROR(IF(IF(INDEX(tbl_Production[Current RMS No],MATCH(E226&amp;"",tbl_Production[Job Number],0))="",INDEX(tbl_Production[Qwilr Quote],MATCH(E226&amp;"",tbl_Production[Job Number],0)),INDEX(tbl_Production[Current RMS No],MATCH(E226&amp;"",tbl_Production[Job Number],0)))="","",IF(INDEX(tbl_Production[Current RMS No],MATCH(E226&amp;"",tbl_Production[Job Number],0))="",INDEX(tbl_Production[Qwilr Quote],MATCH(E226&amp;"",tbl_Production[Job Number],0)),INDEX(tbl_Production[Current RMS No],MATCH(E226&amp;"",tbl_Production[Job Number],0)))),IFERROR(IF(INDEX(tbl_Consulting[Qwilr Quote],MATCH(E226&amp;"",tbl_Consulting[Job Number],0))="","",INDEX(tbl_Consulting[Qwilr Quote],MATCH(E226&amp;"",tbl_Consulting[Job Number],0))),""))))</f>
        <v/>
      </c>
      <c r="AD226" s="25">
        <f>IF(AC226="","",IF(AND(LEFT(AC226,4)&lt;&gt;"http",IF(H226="Production",set_RMSBase,set_QwilrBase)=""),"",HYPERLINK(IF(LEFT(AC226,4)="http",AC226,IF(H226="Production",set_RMSBase,set_QwilrBase)&amp;AC226),"Open")))</f>
        <v/>
      </c>
      <c r="AE226" s="27">
        <f>IF(E226="","",IFERROR(INDEX(tbl_Production[Total Expense],MATCH(E226&amp;"",tbl_Production[Job Number],0)),IFERROR(INDEX(tbl_Consulting[Total Expense],MATCH(E226&amp;"",tbl_Consulting[Job Number],0)),0)))</f>
        <v/>
      </c>
      <c r="AF226" s="27">
        <f>IF(E226="","",Z226-N(AE226))</f>
        <v/>
      </c>
      <c r="AG226" s="29">
        <f>IFERROR(AF226/Z226,"")</f>
        <v/>
      </c>
      <c r="AH226" s="25">
        <f>IF(E226="","",IFERROR(IF(INDEX(tbl_Onsite[Notes],MATCH(E226&amp;"",tbl_Onsite[Job Number],0))="","",INDEX(tbl_Onsite[Notes],MATCH(E226&amp;"",tbl_Onsite[Job Number],0))),IFERROR(IF(INDEX(tbl_Production[Notes],MATCH(E226&amp;"",tbl_Production[Job Number],0))="","",INDEX(tbl_Production[Notes],MATCH(E226&amp;"",tbl_Production[Job Number],0))),IFERROR(IF(INDEX(tbl_Consulting[Notes],MATCH(E226&amp;"",tbl_Consulting[Job Number],0))="","",INDEX(tbl_Consulting[Notes],MATCH(E226&amp;"",tbl_Consulting[Job Number],0))),""))))</f>
        <v/>
      </c>
    </row>
    <row r="227" ht="15" customHeight="1">
      <c r="A227" s="22" t="n"/>
      <c r="B227" s="23">
        <f>IF(A227="","",EOMONTH(A227,0))</f>
        <v/>
      </c>
      <c r="C227" s="24" t="n"/>
      <c r="D227" s="24" t="n"/>
      <c r="E227" s="24" t="n"/>
      <c r="F227" s="25">
        <f>IF(E227="","",IF(COUNTIF(lst_Jobs,E227&amp;"")&gt;0,"OK","CHECK"))</f>
        <v/>
      </c>
      <c r="G227" s="24" t="n"/>
      <c r="H227" s="24" t="n"/>
      <c r="I227" s="24" t="n"/>
      <c r="J227" s="24" t="n"/>
      <c r="K227" s="24" t="n"/>
      <c r="L227" s="26" t="n"/>
      <c r="M227" s="27">
        <f>IF(L227="","",IF(K227="GST 10%",ROUND(L227*set_GSTRate,2),0))</f>
        <v/>
      </c>
      <c r="N227" s="27">
        <f>IF(L227="","",L227+M227)</f>
        <v/>
      </c>
      <c r="O227" s="24" t="n"/>
      <c r="P227" s="24" t="n"/>
      <c r="Q227" s="24" t="n"/>
      <c r="R227" s="22" t="n"/>
      <c r="S227" s="22" t="n"/>
      <c r="T227" s="24" t="n"/>
      <c r="U227" s="24" t="n"/>
      <c r="V227" s="25">
        <f>IF(COUNTA(A227,D227,C227,L227)=0,"",IF(A227="","No date - sits outside every month",IF(E227="","No job number",IF(F227="CHECK","Job number is not in the Xero job list",IF(I227="","No cost centre",IF(AND(P227="Y",C227=""),"Marked posted to Xero but has no invoice number",IF(AND(L227&lt;&gt;"",K227=""),"No tax code",IF(AND(L227&lt;&gt;"",O227=""),"No revenue GL code",""))))))))</f>
        <v/>
      </c>
      <c r="W227" s="25">
        <f>IF(E227="","",IF(COUNTIF(tbl_Onsite[Job Number],E227&amp;"")&gt;0,"Onsite",IF(COUNTIF(tbl_Production[Job Number],E227&amp;"")&gt;0,"Production",IF(COUNTIF(tbl_Consulting[Job Number],E227&amp;"")&gt;0,"Consulting","not set up yet"))))</f>
        <v/>
      </c>
      <c r="X227" s="25">
        <f>IF(E227="","",IFERROR(INDEX(lst_JobName,MATCH(E227&amp;"",lst_Jobs,0)),""))</f>
        <v/>
      </c>
      <c r="Y227" s="28">
        <f>IF(E227="","",COUNTIFS(tbl_Finance[Job Number],E227&amp;"",tbl_Finance[Ex GST],"&lt;&gt;"))</f>
        <v/>
      </c>
      <c r="Z227" s="27">
        <f>IF(E227="","",SUMIFS(tbl_Finance[Ex GST],tbl_Finance[Job Number],E227&amp;""))</f>
        <v/>
      </c>
      <c r="AA227" s="27">
        <f>IF(E227="","",SUMIFS(tbl_Finance[Ex GST],tbl_Finance[Job Number],E227&amp;"",tbl_Finance[Xero Invoice No],"&lt;&gt;"))</f>
        <v/>
      </c>
      <c r="AB227" s="27">
        <f>IF(E227="","",Z227-AA227)</f>
        <v/>
      </c>
      <c r="AC227" s="25">
        <f>IF(E227="","",IFERROR(IF(INDEX(tbl_Onsite[Qwilr Quote],MATCH(E227&amp;"",tbl_Onsite[Job Number],0))="","",INDEX(tbl_Onsite[Qwilr Quote],MATCH(E227&amp;"",tbl_Onsite[Job Number],0))),IFERROR(IF(IF(INDEX(tbl_Production[Current RMS No],MATCH(E227&amp;"",tbl_Production[Job Number],0))="",INDEX(tbl_Production[Qwilr Quote],MATCH(E227&amp;"",tbl_Production[Job Number],0)),INDEX(tbl_Production[Current RMS No],MATCH(E227&amp;"",tbl_Production[Job Number],0)))="","",IF(INDEX(tbl_Production[Current RMS No],MATCH(E227&amp;"",tbl_Production[Job Number],0))="",INDEX(tbl_Production[Qwilr Quote],MATCH(E227&amp;"",tbl_Production[Job Number],0)),INDEX(tbl_Production[Current RMS No],MATCH(E227&amp;"",tbl_Production[Job Number],0)))),IFERROR(IF(INDEX(tbl_Consulting[Qwilr Quote],MATCH(E227&amp;"",tbl_Consulting[Job Number],0))="","",INDEX(tbl_Consulting[Qwilr Quote],MATCH(E227&amp;"",tbl_Consulting[Job Number],0))),""))))</f>
        <v/>
      </c>
      <c r="AD227" s="25">
        <f>IF(AC227="","",IF(AND(LEFT(AC227,4)&lt;&gt;"http",IF(H227="Production",set_RMSBase,set_QwilrBase)=""),"",HYPERLINK(IF(LEFT(AC227,4)="http",AC227,IF(H227="Production",set_RMSBase,set_QwilrBase)&amp;AC227),"Open")))</f>
        <v/>
      </c>
      <c r="AE227" s="27">
        <f>IF(E227="","",IFERROR(INDEX(tbl_Production[Total Expense],MATCH(E227&amp;"",tbl_Production[Job Number],0)),IFERROR(INDEX(tbl_Consulting[Total Expense],MATCH(E227&amp;"",tbl_Consulting[Job Number],0)),0)))</f>
        <v/>
      </c>
      <c r="AF227" s="27">
        <f>IF(E227="","",Z227-N(AE227))</f>
        <v/>
      </c>
      <c r="AG227" s="29">
        <f>IFERROR(AF227/Z227,"")</f>
        <v/>
      </c>
      <c r="AH227" s="25">
        <f>IF(E227="","",IFERROR(IF(INDEX(tbl_Onsite[Notes],MATCH(E227&amp;"",tbl_Onsite[Job Number],0))="","",INDEX(tbl_Onsite[Notes],MATCH(E227&amp;"",tbl_Onsite[Job Number],0))),IFERROR(IF(INDEX(tbl_Production[Notes],MATCH(E227&amp;"",tbl_Production[Job Number],0))="","",INDEX(tbl_Production[Notes],MATCH(E227&amp;"",tbl_Production[Job Number],0))),IFERROR(IF(INDEX(tbl_Consulting[Notes],MATCH(E227&amp;"",tbl_Consulting[Job Number],0))="","",INDEX(tbl_Consulting[Notes],MATCH(E227&amp;"",tbl_Consulting[Job Number],0))),""))))</f>
        <v/>
      </c>
    </row>
    <row r="228" ht="15" customHeight="1">
      <c r="A228" s="22" t="n"/>
      <c r="B228" s="23">
        <f>IF(A228="","",EOMONTH(A228,0))</f>
        <v/>
      </c>
      <c r="C228" s="24" t="n"/>
      <c r="D228" s="24" t="n"/>
      <c r="E228" s="24" t="n"/>
      <c r="F228" s="25">
        <f>IF(E228="","",IF(COUNTIF(lst_Jobs,E228&amp;"")&gt;0,"OK","CHECK"))</f>
        <v/>
      </c>
      <c r="G228" s="24" t="n"/>
      <c r="H228" s="24" t="n"/>
      <c r="I228" s="24" t="n"/>
      <c r="J228" s="24" t="n"/>
      <c r="K228" s="24" t="n"/>
      <c r="L228" s="26" t="n"/>
      <c r="M228" s="27">
        <f>IF(L228="","",IF(K228="GST 10%",ROUND(L228*set_GSTRate,2),0))</f>
        <v/>
      </c>
      <c r="N228" s="27">
        <f>IF(L228="","",L228+M228)</f>
        <v/>
      </c>
      <c r="O228" s="24" t="n"/>
      <c r="P228" s="24" t="n"/>
      <c r="Q228" s="24" t="n"/>
      <c r="R228" s="22" t="n"/>
      <c r="S228" s="22" t="n"/>
      <c r="T228" s="24" t="n"/>
      <c r="U228" s="24" t="n"/>
      <c r="V228" s="25">
        <f>IF(COUNTA(A228,D228,C228,L228)=0,"",IF(A228="","No date - sits outside every month",IF(E228="","No job number",IF(F228="CHECK","Job number is not in the Xero job list",IF(I228="","No cost centre",IF(AND(P228="Y",C228=""),"Marked posted to Xero but has no invoice number",IF(AND(L228&lt;&gt;"",K228=""),"No tax code",IF(AND(L228&lt;&gt;"",O228=""),"No revenue GL code",""))))))))</f>
        <v/>
      </c>
      <c r="W228" s="25">
        <f>IF(E228="","",IF(COUNTIF(tbl_Onsite[Job Number],E228&amp;"")&gt;0,"Onsite",IF(COUNTIF(tbl_Production[Job Number],E228&amp;"")&gt;0,"Production",IF(COUNTIF(tbl_Consulting[Job Number],E228&amp;"")&gt;0,"Consulting","not set up yet"))))</f>
        <v/>
      </c>
      <c r="X228" s="25">
        <f>IF(E228="","",IFERROR(INDEX(lst_JobName,MATCH(E228&amp;"",lst_Jobs,0)),""))</f>
        <v/>
      </c>
      <c r="Y228" s="28">
        <f>IF(E228="","",COUNTIFS(tbl_Finance[Job Number],E228&amp;"",tbl_Finance[Ex GST],"&lt;&gt;"))</f>
        <v/>
      </c>
      <c r="Z228" s="27">
        <f>IF(E228="","",SUMIFS(tbl_Finance[Ex GST],tbl_Finance[Job Number],E228&amp;""))</f>
        <v/>
      </c>
      <c r="AA228" s="27">
        <f>IF(E228="","",SUMIFS(tbl_Finance[Ex GST],tbl_Finance[Job Number],E228&amp;"",tbl_Finance[Xero Invoice No],"&lt;&gt;"))</f>
        <v/>
      </c>
      <c r="AB228" s="27">
        <f>IF(E228="","",Z228-AA228)</f>
        <v/>
      </c>
      <c r="AC228" s="25">
        <f>IF(E228="","",IFERROR(IF(INDEX(tbl_Onsite[Qwilr Quote],MATCH(E228&amp;"",tbl_Onsite[Job Number],0))="","",INDEX(tbl_Onsite[Qwilr Quote],MATCH(E228&amp;"",tbl_Onsite[Job Number],0))),IFERROR(IF(IF(INDEX(tbl_Production[Current RMS No],MATCH(E228&amp;"",tbl_Production[Job Number],0))="",INDEX(tbl_Production[Qwilr Quote],MATCH(E228&amp;"",tbl_Production[Job Number],0)),INDEX(tbl_Production[Current RMS No],MATCH(E228&amp;"",tbl_Production[Job Number],0)))="","",IF(INDEX(tbl_Production[Current RMS No],MATCH(E228&amp;"",tbl_Production[Job Number],0))="",INDEX(tbl_Production[Qwilr Quote],MATCH(E228&amp;"",tbl_Production[Job Number],0)),INDEX(tbl_Production[Current RMS No],MATCH(E228&amp;"",tbl_Production[Job Number],0)))),IFERROR(IF(INDEX(tbl_Consulting[Qwilr Quote],MATCH(E228&amp;"",tbl_Consulting[Job Number],0))="","",INDEX(tbl_Consulting[Qwilr Quote],MATCH(E228&amp;"",tbl_Consulting[Job Number],0))),""))))</f>
        <v/>
      </c>
      <c r="AD228" s="25">
        <f>IF(AC228="","",IF(AND(LEFT(AC228,4)&lt;&gt;"http",IF(H228="Production",set_RMSBase,set_QwilrBase)=""),"",HYPERLINK(IF(LEFT(AC228,4)="http",AC228,IF(H228="Production",set_RMSBase,set_QwilrBase)&amp;AC228),"Open")))</f>
        <v/>
      </c>
      <c r="AE228" s="27">
        <f>IF(E228="","",IFERROR(INDEX(tbl_Production[Total Expense],MATCH(E228&amp;"",tbl_Production[Job Number],0)),IFERROR(INDEX(tbl_Consulting[Total Expense],MATCH(E228&amp;"",tbl_Consulting[Job Number],0)),0)))</f>
        <v/>
      </c>
      <c r="AF228" s="27">
        <f>IF(E228="","",Z228-N(AE228))</f>
        <v/>
      </c>
      <c r="AG228" s="29">
        <f>IFERROR(AF228/Z228,"")</f>
        <v/>
      </c>
      <c r="AH228" s="25">
        <f>IF(E228="","",IFERROR(IF(INDEX(tbl_Onsite[Notes],MATCH(E228&amp;"",tbl_Onsite[Job Number],0))="","",INDEX(tbl_Onsite[Notes],MATCH(E228&amp;"",tbl_Onsite[Job Number],0))),IFERROR(IF(INDEX(tbl_Production[Notes],MATCH(E228&amp;"",tbl_Production[Job Number],0))="","",INDEX(tbl_Production[Notes],MATCH(E228&amp;"",tbl_Production[Job Number],0))),IFERROR(IF(INDEX(tbl_Consulting[Notes],MATCH(E228&amp;"",tbl_Consulting[Job Number],0))="","",INDEX(tbl_Consulting[Notes],MATCH(E228&amp;"",tbl_Consulting[Job Number],0))),""))))</f>
        <v/>
      </c>
    </row>
    <row r="229" ht="15" customHeight="1">
      <c r="A229" s="22" t="n"/>
      <c r="B229" s="23">
        <f>IF(A229="","",EOMONTH(A229,0))</f>
        <v/>
      </c>
      <c r="C229" s="24" t="n"/>
      <c r="D229" s="24" t="n"/>
      <c r="E229" s="24" t="n"/>
      <c r="F229" s="25">
        <f>IF(E229="","",IF(COUNTIF(lst_Jobs,E229&amp;"")&gt;0,"OK","CHECK"))</f>
        <v/>
      </c>
      <c r="G229" s="24" t="n"/>
      <c r="H229" s="24" t="n"/>
      <c r="I229" s="24" t="n"/>
      <c r="J229" s="24" t="n"/>
      <c r="K229" s="24" t="n"/>
      <c r="L229" s="26" t="n"/>
      <c r="M229" s="27">
        <f>IF(L229="","",IF(K229="GST 10%",ROUND(L229*set_GSTRate,2),0))</f>
        <v/>
      </c>
      <c r="N229" s="27">
        <f>IF(L229="","",L229+M229)</f>
        <v/>
      </c>
      <c r="O229" s="24" t="n"/>
      <c r="P229" s="24" t="n"/>
      <c r="Q229" s="24" t="n"/>
      <c r="R229" s="22" t="n"/>
      <c r="S229" s="22" t="n"/>
      <c r="T229" s="24" t="n"/>
      <c r="U229" s="24" t="n"/>
      <c r="V229" s="25">
        <f>IF(COUNTA(A229,D229,C229,L229)=0,"",IF(A229="","No date - sits outside every month",IF(E229="","No job number",IF(F229="CHECK","Job number is not in the Xero job list",IF(I229="","No cost centre",IF(AND(P229="Y",C229=""),"Marked posted to Xero but has no invoice number",IF(AND(L229&lt;&gt;"",K229=""),"No tax code",IF(AND(L229&lt;&gt;"",O229=""),"No revenue GL code",""))))))))</f>
        <v/>
      </c>
      <c r="W229" s="25">
        <f>IF(E229="","",IF(COUNTIF(tbl_Onsite[Job Number],E229&amp;"")&gt;0,"Onsite",IF(COUNTIF(tbl_Production[Job Number],E229&amp;"")&gt;0,"Production",IF(COUNTIF(tbl_Consulting[Job Number],E229&amp;"")&gt;0,"Consulting","not set up yet"))))</f>
        <v/>
      </c>
      <c r="X229" s="25">
        <f>IF(E229="","",IFERROR(INDEX(lst_JobName,MATCH(E229&amp;"",lst_Jobs,0)),""))</f>
        <v/>
      </c>
      <c r="Y229" s="28">
        <f>IF(E229="","",COUNTIFS(tbl_Finance[Job Number],E229&amp;"",tbl_Finance[Ex GST],"&lt;&gt;"))</f>
        <v/>
      </c>
      <c r="Z229" s="27">
        <f>IF(E229="","",SUMIFS(tbl_Finance[Ex GST],tbl_Finance[Job Number],E229&amp;""))</f>
        <v/>
      </c>
      <c r="AA229" s="27">
        <f>IF(E229="","",SUMIFS(tbl_Finance[Ex GST],tbl_Finance[Job Number],E229&amp;"",tbl_Finance[Xero Invoice No],"&lt;&gt;"))</f>
        <v/>
      </c>
      <c r="AB229" s="27">
        <f>IF(E229="","",Z229-AA229)</f>
        <v/>
      </c>
      <c r="AC229" s="25">
        <f>IF(E229="","",IFERROR(IF(INDEX(tbl_Onsite[Qwilr Quote],MATCH(E229&amp;"",tbl_Onsite[Job Number],0))="","",INDEX(tbl_Onsite[Qwilr Quote],MATCH(E229&amp;"",tbl_Onsite[Job Number],0))),IFERROR(IF(IF(INDEX(tbl_Production[Current RMS No],MATCH(E229&amp;"",tbl_Production[Job Number],0))="",INDEX(tbl_Production[Qwilr Quote],MATCH(E229&amp;"",tbl_Production[Job Number],0)),INDEX(tbl_Production[Current RMS No],MATCH(E229&amp;"",tbl_Production[Job Number],0)))="","",IF(INDEX(tbl_Production[Current RMS No],MATCH(E229&amp;"",tbl_Production[Job Number],0))="",INDEX(tbl_Production[Qwilr Quote],MATCH(E229&amp;"",tbl_Production[Job Number],0)),INDEX(tbl_Production[Current RMS No],MATCH(E229&amp;"",tbl_Production[Job Number],0)))),IFERROR(IF(INDEX(tbl_Consulting[Qwilr Quote],MATCH(E229&amp;"",tbl_Consulting[Job Number],0))="","",INDEX(tbl_Consulting[Qwilr Quote],MATCH(E229&amp;"",tbl_Consulting[Job Number],0))),""))))</f>
        <v/>
      </c>
      <c r="AD229" s="25">
        <f>IF(AC229="","",IF(AND(LEFT(AC229,4)&lt;&gt;"http",IF(H229="Production",set_RMSBase,set_QwilrBase)=""),"",HYPERLINK(IF(LEFT(AC229,4)="http",AC229,IF(H229="Production",set_RMSBase,set_QwilrBase)&amp;AC229),"Open")))</f>
        <v/>
      </c>
      <c r="AE229" s="27">
        <f>IF(E229="","",IFERROR(INDEX(tbl_Production[Total Expense],MATCH(E229&amp;"",tbl_Production[Job Number],0)),IFERROR(INDEX(tbl_Consulting[Total Expense],MATCH(E229&amp;"",tbl_Consulting[Job Number],0)),0)))</f>
        <v/>
      </c>
      <c r="AF229" s="27">
        <f>IF(E229="","",Z229-N(AE229))</f>
        <v/>
      </c>
      <c r="AG229" s="29">
        <f>IFERROR(AF229/Z229,"")</f>
        <v/>
      </c>
      <c r="AH229" s="25">
        <f>IF(E229="","",IFERROR(IF(INDEX(tbl_Onsite[Notes],MATCH(E229&amp;"",tbl_Onsite[Job Number],0))="","",INDEX(tbl_Onsite[Notes],MATCH(E229&amp;"",tbl_Onsite[Job Number],0))),IFERROR(IF(INDEX(tbl_Production[Notes],MATCH(E229&amp;"",tbl_Production[Job Number],0))="","",INDEX(tbl_Production[Notes],MATCH(E229&amp;"",tbl_Production[Job Number],0))),IFERROR(IF(INDEX(tbl_Consulting[Notes],MATCH(E229&amp;"",tbl_Consulting[Job Number],0))="","",INDEX(tbl_Consulting[Notes],MATCH(E229&amp;"",tbl_Consulting[Job Number],0))),""))))</f>
        <v/>
      </c>
    </row>
    <row r="230" ht="15" customHeight="1">
      <c r="A230" s="22" t="n"/>
      <c r="B230" s="23">
        <f>IF(A230="","",EOMONTH(A230,0))</f>
        <v/>
      </c>
      <c r="C230" s="24" t="n"/>
      <c r="D230" s="24" t="n"/>
      <c r="E230" s="24" t="n"/>
      <c r="F230" s="25">
        <f>IF(E230="","",IF(COUNTIF(lst_Jobs,E230&amp;"")&gt;0,"OK","CHECK"))</f>
        <v/>
      </c>
      <c r="G230" s="24" t="n"/>
      <c r="H230" s="24" t="n"/>
      <c r="I230" s="24" t="n"/>
      <c r="J230" s="24" t="n"/>
      <c r="K230" s="24" t="n"/>
      <c r="L230" s="26" t="n"/>
      <c r="M230" s="27">
        <f>IF(L230="","",IF(K230="GST 10%",ROUND(L230*set_GSTRate,2),0))</f>
        <v/>
      </c>
      <c r="N230" s="27">
        <f>IF(L230="","",L230+M230)</f>
        <v/>
      </c>
      <c r="O230" s="24" t="n"/>
      <c r="P230" s="24" t="n"/>
      <c r="Q230" s="24" t="n"/>
      <c r="R230" s="22" t="n"/>
      <c r="S230" s="22" t="n"/>
      <c r="T230" s="24" t="n"/>
      <c r="U230" s="24" t="n"/>
      <c r="V230" s="25">
        <f>IF(COUNTA(A230,D230,C230,L230)=0,"",IF(A230="","No date - sits outside every month",IF(E230="","No job number",IF(F230="CHECK","Job number is not in the Xero job list",IF(I230="","No cost centre",IF(AND(P230="Y",C230=""),"Marked posted to Xero but has no invoice number",IF(AND(L230&lt;&gt;"",K230=""),"No tax code",IF(AND(L230&lt;&gt;"",O230=""),"No revenue GL code",""))))))))</f>
        <v/>
      </c>
      <c r="W230" s="25">
        <f>IF(E230="","",IF(COUNTIF(tbl_Onsite[Job Number],E230&amp;"")&gt;0,"Onsite",IF(COUNTIF(tbl_Production[Job Number],E230&amp;"")&gt;0,"Production",IF(COUNTIF(tbl_Consulting[Job Number],E230&amp;"")&gt;0,"Consulting","not set up yet"))))</f>
        <v/>
      </c>
      <c r="X230" s="25">
        <f>IF(E230="","",IFERROR(INDEX(lst_JobName,MATCH(E230&amp;"",lst_Jobs,0)),""))</f>
        <v/>
      </c>
      <c r="Y230" s="28">
        <f>IF(E230="","",COUNTIFS(tbl_Finance[Job Number],E230&amp;"",tbl_Finance[Ex GST],"&lt;&gt;"))</f>
        <v/>
      </c>
      <c r="Z230" s="27">
        <f>IF(E230="","",SUMIFS(tbl_Finance[Ex GST],tbl_Finance[Job Number],E230&amp;""))</f>
        <v/>
      </c>
      <c r="AA230" s="27">
        <f>IF(E230="","",SUMIFS(tbl_Finance[Ex GST],tbl_Finance[Job Number],E230&amp;"",tbl_Finance[Xero Invoice No],"&lt;&gt;"))</f>
        <v/>
      </c>
      <c r="AB230" s="27">
        <f>IF(E230="","",Z230-AA230)</f>
        <v/>
      </c>
      <c r="AC230" s="25">
        <f>IF(E230="","",IFERROR(IF(INDEX(tbl_Onsite[Qwilr Quote],MATCH(E230&amp;"",tbl_Onsite[Job Number],0))="","",INDEX(tbl_Onsite[Qwilr Quote],MATCH(E230&amp;"",tbl_Onsite[Job Number],0))),IFERROR(IF(IF(INDEX(tbl_Production[Current RMS No],MATCH(E230&amp;"",tbl_Production[Job Number],0))="",INDEX(tbl_Production[Qwilr Quote],MATCH(E230&amp;"",tbl_Production[Job Number],0)),INDEX(tbl_Production[Current RMS No],MATCH(E230&amp;"",tbl_Production[Job Number],0)))="","",IF(INDEX(tbl_Production[Current RMS No],MATCH(E230&amp;"",tbl_Production[Job Number],0))="",INDEX(tbl_Production[Qwilr Quote],MATCH(E230&amp;"",tbl_Production[Job Number],0)),INDEX(tbl_Production[Current RMS No],MATCH(E230&amp;"",tbl_Production[Job Number],0)))),IFERROR(IF(INDEX(tbl_Consulting[Qwilr Quote],MATCH(E230&amp;"",tbl_Consulting[Job Number],0))="","",INDEX(tbl_Consulting[Qwilr Quote],MATCH(E230&amp;"",tbl_Consulting[Job Number],0))),""))))</f>
        <v/>
      </c>
      <c r="AD230" s="25">
        <f>IF(AC230="","",IF(AND(LEFT(AC230,4)&lt;&gt;"http",IF(H230="Production",set_RMSBase,set_QwilrBase)=""),"",HYPERLINK(IF(LEFT(AC230,4)="http",AC230,IF(H230="Production",set_RMSBase,set_QwilrBase)&amp;AC230),"Open")))</f>
        <v/>
      </c>
      <c r="AE230" s="27">
        <f>IF(E230="","",IFERROR(INDEX(tbl_Production[Total Expense],MATCH(E230&amp;"",tbl_Production[Job Number],0)),IFERROR(INDEX(tbl_Consulting[Total Expense],MATCH(E230&amp;"",tbl_Consulting[Job Number],0)),0)))</f>
        <v/>
      </c>
      <c r="AF230" s="27">
        <f>IF(E230="","",Z230-N(AE230))</f>
        <v/>
      </c>
      <c r="AG230" s="29">
        <f>IFERROR(AF230/Z230,"")</f>
        <v/>
      </c>
      <c r="AH230" s="25">
        <f>IF(E230="","",IFERROR(IF(INDEX(tbl_Onsite[Notes],MATCH(E230&amp;"",tbl_Onsite[Job Number],0))="","",INDEX(tbl_Onsite[Notes],MATCH(E230&amp;"",tbl_Onsite[Job Number],0))),IFERROR(IF(INDEX(tbl_Production[Notes],MATCH(E230&amp;"",tbl_Production[Job Number],0))="","",INDEX(tbl_Production[Notes],MATCH(E230&amp;"",tbl_Production[Job Number],0))),IFERROR(IF(INDEX(tbl_Consulting[Notes],MATCH(E230&amp;"",tbl_Consulting[Job Number],0))="","",INDEX(tbl_Consulting[Notes],MATCH(E230&amp;"",tbl_Consulting[Job Number],0))),""))))</f>
        <v/>
      </c>
    </row>
    <row r="231" ht="15" customHeight="1">
      <c r="A231" s="22" t="n"/>
      <c r="B231" s="23">
        <f>IF(A231="","",EOMONTH(A231,0))</f>
        <v/>
      </c>
      <c r="C231" s="24" t="n"/>
      <c r="D231" s="24" t="n"/>
      <c r="E231" s="24" t="n"/>
      <c r="F231" s="25">
        <f>IF(E231="","",IF(COUNTIF(lst_Jobs,E231&amp;"")&gt;0,"OK","CHECK"))</f>
        <v/>
      </c>
      <c r="G231" s="24" t="n"/>
      <c r="H231" s="24" t="n"/>
      <c r="I231" s="24" t="n"/>
      <c r="J231" s="24" t="n"/>
      <c r="K231" s="24" t="n"/>
      <c r="L231" s="26" t="n"/>
      <c r="M231" s="27">
        <f>IF(L231="","",IF(K231="GST 10%",ROUND(L231*set_GSTRate,2),0))</f>
        <v/>
      </c>
      <c r="N231" s="27">
        <f>IF(L231="","",L231+M231)</f>
        <v/>
      </c>
      <c r="O231" s="24" t="n"/>
      <c r="P231" s="24" t="n"/>
      <c r="Q231" s="24" t="n"/>
      <c r="R231" s="22" t="n"/>
      <c r="S231" s="22" t="n"/>
      <c r="T231" s="24" t="n"/>
      <c r="U231" s="24" t="n"/>
      <c r="V231" s="25">
        <f>IF(COUNTA(A231,D231,C231,L231)=0,"",IF(A231="","No date - sits outside every month",IF(E231="","No job number",IF(F231="CHECK","Job number is not in the Xero job list",IF(I231="","No cost centre",IF(AND(P231="Y",C231=""),"Marked posted to Xero but has no invoice number",IF(AND(L231&lt;&gt;"",K231=""),"No tax code",IF(AND(L231&lt;&gt;"",O231=""),"No revenue GL code",""))))))))</f>
        <v/>
      </c>
      <c r="W231" s="25">
        <f>IF(E231="","",IF(COUNTIF(tbl_Onsite[Job Number],E231&amp;"")&gt;0,"Onsite",IF(COUNTIF(tbl_Production[Job Number],E231&amp;"")&gt;0,"Production",IF(COUNTIF(tbl_Consulting[Job Number],E231&amp;"")&gt;0,"Consulting","not set up yet"))))</f>
        <v/>
      </c>
      <c r="X231" s="25">
        <f>IF(E231="","",IFERROR(INDEX(lst_JobName,MATCH(E231&amp;"",lst_Jobs,0)),""))</f>
        <v/>
      </c>
      <c r="Y231" s="28">
        <f>IF(E231="","",COUNTIFS(tbl_Finance[Job Number],E231&amp;"",tbl_Finance[Ex GST],"&lt;&gt;"))</f>
        <v/>
      </c>
      <c r="Z231" s="27">
        <f>IF(E231="","",SUMIFS(tbl_Finance[Ex GST],tbl_Finance[Job Number],E231&amp;""))</f>
        <v/>
      </c>
      <c r="AA231" s="27">
        <f>IF(E231="","",SUMIFS(tbl_Finance[Ex GST],tbl_Finance[Job Number],E231&amp;"",tbl_Finance[Xero Invoice No],"&lt;&gt;"))</f>
        <v/>
      </c>
      <c r="AB231" s="27">
        <f>IF(E231="","",Z231-AA231)</f>
        <v/>
      </c>
      <c r="AC231" s="25">
        <f>IF(E231="","",IFERROR(IF(INDEX(tbl_Onsite[Qwilr Quote],MATCH(E231&amp;"",tbl_Onsite[Job Number],0))="","",INDEX(tbl_Onsite[Qwilr Quote],MATCH(E231&amp;"",tbl_Onsite[Job Number],0))),IFERROR(IF(IF(INDEX(tbl_Production[Current RMS No],MATCH(E231&amp;"",tbl_Production[Job Number],0))="",INDEX(tbl_Production[Qwilr Quote],MATCH(E231&amp;"",tbl_Production[Job Number],0)),INDEX(tbl_Production[Current RMS No],MATCH(E231&amp;"",tbl_Production[Job Number],0)))="","",IF(INDEX(tbl_Production[Current RMS No],MATCH(E231&amp;"",tbl_Production[Job Number],0))="",INDEX(tbl_Production[Qwilr Quote],MATCH(E231&amp;"",tbl_Production[Job Number],0)),INDEX(tbl_Production[Current RMS No],MATCH(E231&amp;"",tbl_Production[Job Number],0)))),IFERROR(IF(INDEX(tbl_Consulting[Qwilr Quote],MATCH(E231&amp;"",tbl_Consulting[Job Number],0))="","",INDEX(tbl_Consulting[Qwilr Quote],MATCH(E231&amp;"",tbl_Consulting[Job Number],0))),""))))</f>
        <v/>
      </c>
      <c r="AD231" s="25">
        <f>IF(AC231="","",IF(AND(LEFT(AC231,4)&lt;&gt;"http",IF(H231="Production",set_RMSBase,set_QwilrBase)=""),"",HYPERLINK(IF(LEFT(AC231,4)="http",AC231,IF(H231="Production",set_RMSBase,set_QwilrBase)&amp;AC231),"Open")))</f>
        <v/>
      </c>
      <c r="AE231" s="27">
        <f>IF(E231="","",IFERROR(INDEX(tbl_Production[Total Expense],MATCH(E231&amp;"",tbl_Production[Job Number],0)),IFERROR(INDEX(tbl_Consulting[Total Expense],MATCH(E231&amp;"",tbl_Consulting[Job Number],0)),0)))</f>
        <v/>
      </c>
      <c r="AF231" s="27">
        <f>IF(E231="","",Z231-N(AE231))</f>
        <v/>
      </c>
      <c r="AG231" s="29">
        <f>IFERROR(AF231/Z231,"")</f>
        <v/>
      </c>
      <c r="AH231" s="25">
        <f>IF(E231="","",IFERROR(IF(INDEX(tbl_Onsite[Notes],MATCH(E231&amp;"",tbl_Onsite[Job Number],0))="","",INDEX(tbl_Onsite[Notes],MATCH(E231&amp;"",tbl_Onsite[Job Number],0))),IFERROR(IF(INDEX(tbl_Production[Notes],MATCH(E231&amp;"",tbl_Production[Job Number],0))="","",INDEX(tbl_Production[Notes],MATCH(E231&amp;"",tbl_Production[Job Number],0))),IFERROR(IF(INDEX(tbl_Consulting[Notes],MATCH(E231&amp;"",tbl_Consulting[Job Number],0))="","",INDEX(tbl_Consulting[Notes],MATCH(E231&amp;"",tbl_Consulting[Job Number],0))),""))))</f>
        <v/>
      </c>
    </row>
    <row r="232" ht="15" customHeight="1">
      <c r="A232" s="22" t="n"/>
      <c r="B232" s="23">
        <f>IF(A232="","",EOMONTH(A232,0))</f>
        <v/>
      </c>
      <c r="C232" s="24" t="n"/>
      <c r="D232" s="24" t="n"/>
      <c r="E232" s="24" t="n"/>
      <c r="F232" s="25">
        <f>IF(E232="","",IF(COUNTIF(lst_Jobs,E232&amp;"")&gt;0,"OK","CHECK"))</f>
        <v/>
      </c>
      <c r="G232" s="24" t="n"/>
      <c r="H232" s="24" t="n"/>
      <c r="I232" s="24" t="n"/>
      <c r="J232" s="24" t="n"/>
      <c r="K232" s="24" t="n"/>
      <c r="L232" s="26" t="n"/>
      <c r="M232" s="27">
        <f>IF(L232="","",IF(K232="GST 10%",ROUND(L232*set_GSTRate,2),0))</f>
        <v/>
      </c>
      <c r="N232" s="27">
        <f>IF(L232="","",L232+M232)</f>
        <v/>
      </c>
      <c r="O232" s="24" t="n"/>
      <c r="P232" s="24" t="n"/>
      <c r="Q232" s="24" t="n"/>
      <c r="R232" s="22" t="n"/>
      <c r="S232" s="22" t="n"/>
      <c r="T232" s="24" t="n"/>
      <c r="U232" s="24" t="n"/>
      <c r="V232" s="25">
        <f>IF(COUNTA(A232,D232,C232,L232)=0,"",IF(A232="","No date - sits outside every month",IF(E232="","No job number",IF(F232="CHECK","Job number is not in the Xero job list",IF(I232="","No cost centre",IF(AND(P232="Y",C232=""),"Marked posted to Xero but has no invoice number",IF(AND(L232&lt;&gt;"",K232=""),"No tax code",IF(AND(L232&lt;&gt;"",O232=""),"No revenue GL code",""))))))))</f>
        <v/>
      </c>
      <c r="W232" s="25">
        <f>IF(E232="","",IF(COUNTIF(tbl_Onsite[Job Number],E232&amp;"")&gt;0,"Onsite",IF(COUNTIF(tbl_Production[Job Number],E232&amp;"")&gt;0,"Production",IF(COUNTIF(tbl_Consulting[Job Number],E232&amp;"")&gt;0,"Consulting","not set up yet"))))</f>
        <v/>
      </c>
      <c r="X232" s="25">
        <f>IF(E232="","",IFERROR(INDEX(lst_JobName,MATCH(E232&amp;"",lst_Jobs,0)),""))</f>
        <v/>
      </c>
      <c r="Y232" s="28">
        <f>IF(E232="","",COUNTIFS(tbl_Finance[Job Number],E232&amp;"",tbl_Finance[Ex GST],"&lt;&gt;"))</f>
        <v/>
      </c>
      <c r="Z232" s="27">
        <f>IF(E232="","",SUMIFS(tbl_Finance[Ex GST],tbl_Finance[Job Number],E232&amp;""))</f>
        <v/>
      </c>
      <c r="AA232" s="27">
        <f>IF(E232="","",SUMIFS(tbl_Finance[Ex GST],tbl_Finance[Job Number],E232&amp;"",tbl_Finance[Xero Invoice No],"&lt;&gt;"))</f>
        <v/>
      </c>
      <c r="AB232" s="27">
        <f>IF(E232="","",Z232-AA232)</f>
        <v/>
      </c>
      <c r="AC232" s="25">
        <f>IF(E232="","",IFERROR(IF(INDEX(tbl_Onsite[Qwilr Quote],MATCH(E232&amp;"",tbl_Onsite[Job Number],0))="","",INDEX(tbl_Onsite[Qwilr Quote],MATCH(E232&amp;"",tbl_Onsite[Job Number],0))),IFERROR(IF(IF(INDEX(tbl_Production[Current RMS No],MATCH(E232&amp;"",tbl_Production[Job Number],0))="",INDEX(tbl_Production[Qwilr Quote],MATCH(E232&amp;"",tbl_Production[Job Number],0)),INDEX(tbl_Production[Current RMS No],MATCH(E232&amp;"",tbl_Production[Job Number],0)))="","",IF(INDEX(tbl_Production[Current RMS No],MATCH(E232&amp;"",tbl_Production[Job Number],0))="",INDEX(tbl_Production[Qwilr Quote],MATCH(E232&amp;"",tbl_Production[Job Number],0)),INDEX(tbl_Production[Current RMS No],MATCH(E232&amp;"",tbl_Production[Job Number],0)))),IFERROR(IF(INDEX(tbl_Consulting[Qwilr Quote],MATCH(E232&amp;"",tbl_Consulting[Job Number],0))="","",INDEX(tbl_Consulting[Qwilr Quote],MATCH(E232&amp;"",tbl_Consulting[Job Number],0))),""))))</f>
        <v/>
      </c>
      <c r="AD232" s="25">
        <f>IF(AC232="","",IF(AND(LEFT(AC232,4)&lt;&gt;"http",IF(H232="Production",set_RMSBase,set_QwilrBase)=""),"",HYPERLINK(IF(LEFT(AC232,4)="http",AC232,IF(H232="Production",set_RMSBase,set_QwilrBase)&amp;AC232),"Open")))</f>
        <v/>
      </c>
      <c r="AE232" s="27">
        <f>IF(E232="","",IFERROR(INDEX(tbl_Production[Total Expense],MATCH(E232&amp;"",tbl_Production[Job Number],0)),IFERROR(INDEX(tbl_Consulting[Total Expense],MATCH(E232&amp;"",tbl_Consulting[Job Number],0)),0)))</f>
        <v/>
      </c>
      <c r="AF232" s="27">
        <f>IF(E232="","",Z232-N(AE232))</f>
        <v/>
      </c>
      <c r="AG232" s="29">
        <f>IFERROR(AF232/Z232,"")</f>
        <v/>
      </c>
      <c r="AH232" s="25">
        <f>IF(E232="","",IFERROR(IF(INDEX(tbl_Onsite[Notes],MATCH(E232&amp;"",tbl_Onsite[Job Number],0))="","",INDEX(tbl_Onsite[Notes],MATCH(E232&amp;"",tbl_Onsite[Job Number],0))),IFERROR(IF(INDEX(tbl_Production[Notes],MATCH(E232&amp;"",tbl_Production[Job Number],0))="","",INDEX(tbl_Production[Notes],MATCH(E232&amp;"",tbl_Production[Job Number],0))),IFERROR(IF(INDEX(tbl_Consulting[Notes],MATCH(E232&amp;"",tbl_Consulting[Job Number],0))="","",INDEX(tbl_Consulting[Notes],MATCH(E232&amp;"",tbl_Consulting[Job Number],0))),""))))</f>
        <v/>
      </c>
    </row>
    <row r="233" ht="15" customHeight="1">
      <c r="A233" s="22" t="n"/>
      <c r="B233" s="23">
        <f>IF(A233="","",EOMONTH(A233,0))</f>
        <v/>
      </c>
      <c r="C233" s="24" t="n"/>
      <c r="D233" s="24" t="n"/>
      <c r="E233" s="24" t="n"/>
      <c r="F233" s="25">
        <f>IF(E233="","",IF(COUNTIF(lst_Jobs,E233&amp;"")&gt;0,"OK","CHECK"))</f>
        <v/>
      </c>
      <c r="G233" s="24" t="n"/>
      <c r="H233" s="24" t="n"/>
      <c r="I233" s="24" t="n"/>
      <c r="J233" s="24" t="n"/>
      <c r="K233" s="24" t="n"/>
      <c r="L233" s="26" t="n"/>
      <c r="M233" s="27">
        <f>IF(L233="","",IF(K233="GST 10%",ROUND(L233*set_GSTRate,2),0))</f>
        <v/>
      </c>
      <c r="N233" s="27">
        <f>IF(L233="","",L233+M233)</f>
        <v/>
      </c>
      <c r="O233" s="24" t="n"/>
      <c r="P233" s="24" t="n"/>
      <c r="Q233" s="24" t="n"/>
      <c r="R233" s="22" t="n"/>
      <c r="S233" s="22" t="n"/>
      <c r="T233" s="24" t="n"/>
      <c r="U233" s="24" t="n"/>
      <c r="V233" s="25">
        <f>IF(COUNTA(A233,D233,C233,L233)=0,"",IF(A233="","No date - sits outside every month",IF(E233="","No job number",IF(F233="CHECK","Job number is not in the Xero job list",IF(I233="","No cost centre",IF(AND(P233="Y",C233=""),"Marked posted to Xero but has no invoice number",IF(AND(L233&lt;&gt;"",K233=""),"No tax code",IF(AND(L233&lt;&gt;"",O233=""),"No revenue GL code",""))))))))</f>
        <v/>
      </c>
      <c r="W233" s="25">
        <f>IF(E233="","",IF(COUNTIF(tbl_Onsite[Job Number],E233&amp;"")&gt;0,"Onsite",IF(COUNTIF(tbl_Production[Job Number],E233&amp;"")&gt;0,"Production",IF(COUNTIF(tbl_Consulting[Job Number],E233&amp;"")&gt;0,"Consulting","not set up yet"))))</f>
        <v/>
      </c>
      <c r="X233" s="25">
        <f>IF(E233="","",IFERROR(INDEX(lst_JobName,MATCH(E233&amp;"",lst_Jobs,0)),""))</f>
        <v/>
      </c>
      <c r="Y233" s="28">
        <f>IF(E233="","",COUNTIFS(tbl_Finance[Job Number],E233&amp;"",tbl_Finance[Ex GST],"&lt;&gt;"))</f>
        <v/>
      </c>
      <c r="Z233" s="27">
        <f>IF(E233="","",SUMIFS(tbl_Finance[Ex GST],tbl_Finance[Job Number],E233&amp;""))</f>
        <v/>
      </c>
      <c r="AA233" s="27">
        <f>IF(E233="","",SUMIFS(tbl_Finance[Ex GST],tbl_Finance[Job Number],E233&amp;"",tbl_Finance[Xero Invoice No],"&lt;&gt;"))</f>
        <v/>
      </c>
      <c r="AB233" s="27">
        <f>IF(E233="","",Z233-AA233)</f>
        <v/>
      </c>
      <c r="AC233" s="25">
        <f>IF(E233="","",IFERROR(IF(INDEX(tbl_Onsite[Qwilr Quote],MATCH(E233&amp;"",tbl_Onsite[Job Number],0))="","",INDEX(tbl_Onsite[Qwilr Quote],MATCH(E233&amp;"",tbl_Onsite[Job Number],0))),IFERROR(IF(IF(INDEX(tbl_Production[Current RMS No],MATCH(E233&amp;"",tbl_Production[Job Number],0))="",INDEX(tbl_Production[Qwilr Quote],MATCH(E233&amp;"",tbl_Production[Job Number],0)),INDEX(tbl_Production[Current RMS No],MATCH(E233&amp;"",tbl_Production[Job Number],0)))="","",IF(INDEX(tbl_Production[Current RMS No],MATCH(E233&amp;"",tbl_Production[Job Number],0))="",INDEX(tbl_Production[Qwilr Quote],MATCH(E233&amp;"",tbl_Production[Job Number],0)),INDEX(tbl_Production[Current RMS No],MATCH(E233&amp;"",tbl_Production[Job Number],0)))),IFERROR(IF(INDEX(tbl_Consulting[Qwilr Quote],MATCH(E233&amp;"",tbl_Consulting[Job Number],0))="","",INDEX(tbl_Consulting[Qwilr Quote],MATCH(E233&amp;"",tbl_Consulting[Job Number],0))),""))))</f>
        <v/>
      </c>
      <c r="AD233" s="25">
        <f>IF(AC233="","",IF(AND(LEFT(AC233,4)&lt;&gt;"http",IF(H233="Production",set_RMSBase,set_QwilrBase)=""),"",HYPERLINK(IF(LEFT(AC233,4)="http",AC233,IF(H233="Production",set_RMSBase,set_QwilrBase)&amp;AC233),"Open")))</f>
        <v/>
      </c>
      <c r="AE233" s="27">
        <f>IF(E233="","",IFERROR(INDEX(tbl_Production[Total Expense],MATCH(E233&amp;"",tbl_Production[Job Number],0)),IFERROR(INDEX(tbl_Consulting[Total Expense],MATCH(E233&amp;"",tbl_Consulting[Job Number],0)),0)))</f>
        <v/>
      </c>
      <c r="AF233" s="27">
        <f>IF(E233="","",Z233-N(AE233))</f>
        <v/>
      </c>
      <c r="AG233" s="29">
        <f>IFERROR(AF233/Z233,"")</f>
        <v/>
      </c>
      <c r="AH233" s="25">
        <f>IF(E233="","",IFERROR(IF(INDEX(tbl_Onsite[Notes],MATCH(E233&amp;"",tbl_Onsite[Job Number],0))="","",INDEX(tbl_Onsite[Notes],MATCH(E233&amp;"",tbl_Onsite[Job Number],0))),IFERROR(IF(INDEX(tbl_Production[Notes],MATCH(E233&amp;"",tbl_Production[Job Number],0))="","",INDEX(tbl_Production[Notes],MATCH(E233&amp;"",tbl_Production[Job Number],0))),IFERROR(IF(INDEX(tbl_Consulting[Notes],MATCH(E233&amp;"",tbl_Consulting[Job Number],0))="","",INDEX(tbl_Consulting[Notes],MATCH(E233&amp;"",tbl_Consulting[Job Number],0))),""))))</f>
        <v/>
      </c>
    </row>
    <row r="234" ht="15" customHeight="1">
      <c r="A234" s="22" t="n"/>
      <c r="B234" s="23">
        <f>IF(A234="","",EOMONTH(A234,0))</f>
        <v/>
      </c>
      <c r="C234" s="24" t="n"/>
      <c r="D234" s="24" t="n"/>
      <c r="E234" s="24" t="n"/>
      <c r="F234" s="25">
        <f>IF(E234="","",IF(COUNTIF(lst_Jobs,E234&amp;"")&gt;0,"OK","CHECK"))</f>
        <v/>
      </c>
      <c r="G234" s="24" t="n"/>
      <c r="H234" s="24" t="n"/>
      <c r="I234" s="24" t="n"/>
      <c r="J234" s="24" t="n"/>
      <c r="K234" s="24" t="n"/>
      <c r="L234" s="26" t="n"/>
      <c r="M234" s="27">
        <f>IF(L234="","",IF(K234="GST 10%",ROUND(L234*set_GSTRate,2),0))</f>
        <v/>
      </c>
      <c r="N234" s="27">
        <f>IF(L234="","",L234+M234)</f>
        <v/>
      </c>
      <c r="O234" s="24" t="n"/>
      <c r="P234" s="24" t="n"/>
      <c r="Q234" s="24" t="n"/>
      <c r="R234" s="22" t="n"/>
      <c r="S234" s="22" t="n"/>
      <c r="T234" s="24" t="n"/>
      <c r="U234" s="24" t="n"/>
      <c r="V234" s="25">
        <f>IF(COUNTA(A234,D234,C234,L234)=0,"",IF(A234="","No date - sits outside every month",IF(E234="","No job number",IF(F234="CHECK","Job number is not in the Xero job list",IF(I234="","No cost centre",IF(AND(P234="Y",C234=""),"Marked posted to Xero but has no invoice number",IF(AND(L234&lt;&gt;"",K234=""),"No tax code",IF(AND(L234&lt;&gt;"",O234=""),"No revenue GL code",""))))))))</f>
        <v/>
      </c>
      <c r="W234" s="25">
        <f>IF(E234="","",IF(COUNTIF(tbl_Onsite[Job Number],E234&amp;"")&gt;0,"Onsite",IF(COUNTIF(tbl_Production[Job Number],E234&amp;"")&gt;0,"Production",IF(COUNTIF(tbl_Consulting[Job Number],E234&amp;"")&gt;0,"Consulting","not set up yet"))))</f>
        <v/>
      </c>
      <c r="X234" s="25">
        <f>IF(E234="","",IFERROR(INDEX(lst_JobName,MATCH(E234&amp;"",lst_Jobs,0)),""))</f>
        <v/>
      </c>
      <c r="Y234" s="28">
        <f>IF(E234="","",COUNTIFS(tbl_Finance[Job Number],E234&amp;"",tbl_Finance[Ex GST],"&lt;&gt;"))</f>
        <v/>
      </c>
      <c r="Z234" s="27">
        <f>IF(E234="","",SUMIFS(tbl_Finance[Ex GST],tbl_Finance[Job Number],E234&amp;""))</f>
        <v/>
      </c>
      <c r="AA234" s="27">
        <f>IF(E234="","",SUMIFS(tbl_Finance[Ex GST],tbl_Finance[Job Number],E234&amp;"",tbl_Finance[Xero Invoice No],"&lt;&gt;"))</f>
        <v/>
      </c>
      <c r="AB234" s="27">
        <f>IF(E234="","",Z234-AA234)</f>
        <v/>
      </c>
      <c r="AC234" s="25">
        <f>IF(E234="","",IFERROR(IF(INDEX(tbl_Onsite[Qwilr Quote],MATCH(E234&amp;"",tbl_Onsite[Job Number],0))="","",INDEX(tbl_Onsite[Qwilr Quote],MATCH(E234&amp;"",tbl_Onsite[Job Number],0))),IFERROR(IF(IF(INDEX(tbl_Production[Current RMS No],MATCH(E234&amp;"",tbl_Production[Job Number],0))="",INDEX(tbl_Production[Qwilr Quote],MATCH(E234&amp;"",tbl_Production[Job Number],0)),INDEX(tbl_Production[Current RMS No],MATCH(E234&amp;"",tbl_Production[Job Number],0)))="","",IF(INDEX(tbl_Production[Current RMS No],MATCH(E234&amp;"",tbl_Production[Job Number],0))="",INDEX(tbl_Production[Qwilr Quote],MATCH(E234&amp;"",tbl_Production[Job Number],0)),INDEX(tbl_Production[Current RMS No],MATCH(E234&amp;"",tbl_Production[Job Number],0)))),IFERROR(IF(INDEX(tbl_Consulting[Qwilr Quote],MATCH(E234&amp;"",tbl_Consulting[Job Number],0))="","",INDEX(tbl_Consulting[Qwilr Quote],MATCH(E234&amp;"",tbl_Consulting[Job Number],0))),""))))</f>
        <v/>
      </c>
      <c r="AD234" s="25">
        <f>IF(AC234="","",IF(AND(LEFT(AC234,4)&lt;&gt;"http",IF(H234="Production",set_RMSBase,set_QwilrBase)=""),"",HYPERLINK(IF(LEFT(AC234,4)="http",AC234,IF(H234="Production",set_RMSBase,set_QwilrBase)&amp;AC234),"Open")))</f>
        <v/>
      </c>
      <c r="AE234" s="27">
        <f>IF(E234="","",IFERROR(INDEX(tbl_Production[Total Expense],MATCH(E234&amp;"",tbl_Production[Job Number],0)),IFERROR(INDEX(tbl_Consulting[Total Expense],MATCH(E234&amp;"",tbl_Consulting[Job Number],0)),0)))</f>
        <v/>
      </c>
      <c r="AF234" s="27">
        <f>IF(E234="","",Z234-N(AE234))</f>
        <v/>
      </c>
      <c r="AG234" s="29">
        <f>IFERROR(AF234/Z234,"")</f>
        <v/>
      </c>
      <c r="AH234" s="25">
        <f>IF(E234="","",IFERROR(IF(INDEX(tbl_Onsite[Notes],MATCH(E234&amp;"",tbl_Onsite[Job Number],0))="","",INDEX(tbl_Onsite[Notes],MATCH(E234&amp;"",tbl_Onsite[Job Number],0))),IFERROR(IF(INDEX(tbl_Production[Notes],MATCH(E234&amp;"",tbl_Production[Job Number],0))="","",INDEX(tbl_Production[Notes],MATCH(E234&amp;"",tbl_Production[Job Number],0))),IFERROR(IF(INDEX(tbl_Consulting[Notes],MATCH(E234&amp;"",tbl_Consulting[Job Number],0))="","",INDEX(tbl_Consulting[Notes],MATCH(E234&amp;"",tbl_Consulting[Job Number],0))),""))))</f>
        <v/>
      </c>
    </row>
    <row r="235" ht="15" customHeight="1">
      <c r="A235" s="22" t="n"/>
      <c r="B235" s="23">
        <f>IF(A235="","",EOMONTH(A235,0))</f>
        <v/>
      </c>
      <c r="C235" s="24" t="n"/>
      <c r="D235" s="24" t="n"/>
      <c r="E235" s="24" t="n"/>
      <c r="F235" s="25">
        <f>IF(E235="","",IF(COUNTIF(lst_Jobs,E235&amp;"")&gt;0,"OK","CHECK"))</f>
        <v/>
      </c>
      <c r="G235" s="24" t="n"/>
      <c r="H235" s="24" t="n"/>
      <c r="I235" s="24" t="n"/>
      <c r="J235" s="24" t="n"/>
      <c r="K235" s="24" t="n"/>
      <c r="L235" s="26" t="n"/>
      <c r="M235" s="27">
        <f>IF(L235="","",IF(K235="GST 10%",ROUND(L235*set_GSTRate,2),0))</f>
        <v/>
      </c>
      <c r="N235" s="27">
        <f>IF(L235="","",L235+M235)</f>
        <v/>
      </c>
      <c r="O235" s="24" t="n"/>
      <c r="P235" s="24" t="n"/>
      <c r="Q235" s="24" t="n"/>
      <c r="R235" s="22" t="n"/>
      <c r="S235" s="22" t="n"/>
      <c r="T235" s="24" t="n"/>
      <c r="U235" s="24" t="n"/>
      <c r="V235" s="25">
        <f>IF(COUNTA(A235,D235,C235,L235)=0,"",IF(A235="","No date - sits outside every month",IF(E235="","No job number",IF(F235="CHECK","Job number is not in the Xero job list",IF(I235="","No cost centre",IF(AND(P235="Y",C235=""),"Marked posted to Xero but has no invoice number",IF(AND(L235&lt;&gt;"",K235=""),"No tax code",IF(AND(L235&lt;&gt;"",O235=""),"No revenue GL code",""))))))))</f>
        <v/>
      </c>
      <c r="W235" s="25">
        <f>IF(E235="","",IF(COUNTIF(tbl_Onsite[Job Number],E235&amp;"")&gt;0,"Onsite",IF(COUNTIF(tbl_Production[Job Number],E235&amp;"")&gt;0,"Production",IF(COUNTIF(tbl_Consulting[Job Number],E235&amp;"")&gt;0,"Consulting","not set up yet"))))</f>
        <v/>
      </c>
      <c r="X235" s="25">
        <f>IF(E235="","",IFERROR(INDEX(lst_JobName,MATCH(E235&amp;"",lst_Jobs,0)),""))</f>
        <v/>
      </c>
      <c r="Y235" s="28">
        <f>IF(E235="","",COUNTIFS(tbl_Finance[Job Number],E235&amp;"",tbl_Finance[Ex GST],"&lt;&gt;"))</f>
        <v/>
      </c>
      <c r="Z235" s="27">
        <f>IF(E235="","",SUMIFS(tbl_Finance[Ex GST],tbl_Finance[Job Number],E235&amp;""))</f>
        <v/>
      </c>
      <c r="AA235" s="27">
        <f>IF(E235="","",SUMIFS(tbl_Finance[Ex GST],tbl_Finance[Job Number],E235&amp;"",tbl_Finance[Xero Invoice No],"&lt;&gt;"))</f>
        <v/>
      </c>
      <c r="AB235" s="27">
        <f>IF(E235="","",Z235-AA235)</f>
        <v/>
      </c>
      <c r="AC235" s="25">
        <f>IF(E235="","",IFERROR(IF(INDEX(tbl_Onsite[Qwilr Quote],MATCH(E235&amp;"",tbl_Onsite[Job Number],0))="","",INDEX(tbl_Onsite[Qwilr Quote],MATCH(E235&amp;"",tbl_Onsite[Job Number],0))),IFERROR(IF(IF(INDEX(tbl_Production[Current RMS No],MATCH(E235&amp;"",tbl_Production[Job Number],0))="",INDEX(tbl_Production[Qwilr Quote],MATCH(E235&amp;"",tbl_Production[Job Number],0)),INDEX(tbl_Production[Current RMS No],MATCH(E235&amp;"",tbl_Production[Job Number],0)))="","",IF(INDEX(tbl_Production[Current RMS No],MATCH(E235&amp;"",tbl_Production[Job Number],0))="",INDEX(tbl_Production[Qwilr Quote],MATCH(E235&amp;"",tbl_Production[Job Number],0)),INDEX(tbl_Production[Current RMS No],MATCH(E235&amp;"",tbl_Production[Job Number],0)))),IFERROR(IF(INDEX(tbl_Consulting[Qwilr Quote],MATCH(E235&amp;"",tbl_Consulting[Job Number],0))="","",INDEX(tbl_Consulting[Qwilr Quote],MATCH(E235&amp;"",tbl_Consulting[Job Number],0))),""))))</f>
        <v/>
      </c>
      <c r="AD235" s="25">
        <f>IF(AC235="","",IF(AND(LEFT(AC235,4)&lt;&gt;"http",IF(H235="Production",set_RMSBase,set_QwilrBase)=""),"",HYPERLINK(IF(LEFT(AC235,4)="http",AC235,IF(H235="Production",set_RMSBase,set_QwilrBase)&amp;AC235),"Open")))</f>
        <v/>
      </c>
      <c r="AE235" s="27">
        <f>IF(E235="","",IFERROR(INDEX(tbl_Production[Total Expense],MATCH(E235&amp;"",tbl_Production[Job Number],0)),IFERROR(INDEX(tbl_Consulting[Total Expense],MATCH(E235&amp;"",tbl_Consulting[Job Number],0)),0)))</f>
        <v/>
      </c>
      <c r="AF235" s="27">
        <f>IF(E235="","",Z235-N(AE235))</f>
        <v/>
      </c>
      <c r="AG235" s="29">
        <f>IFERROR(AF235/Z235,"")</f>
        <v/>
      </c>
      <c r="AH235" s="25">
        <f>IF(E235="","",IFERROR(IF(INDEX(tbl_Onsite[Notes],MATCH(E235&amp;"",tbl_Onsite[Job Number],0))="","",INDEX(tbl_Onsite[Notes],MATCH(E235&amp;"",tbl_Onsite[Job Number],0))),IFERROR(IF(INDEX(tbl_Production[Notes],MATCH(E235&amp;"",tbl_Production[Job Number],0))="","",INDEX(tbl_Production[Notes],MATCH(E235&amp;"",tbl_Production[Job Number],0))),IFERROR(IF(INDEX(tbl_Consulting[Notes],MATCH(E235&amp;"",tbl_Consulting[Job Number],0))="","",INDEX(tbl_Consulting[Notes],MATCH(E235&amp;"",tbl_Consulting[Job Number],0))),""))))</f>
        <v/>
      </c>
    </row>
    <row r="236" ht="15" customHeight="1">
      <c r="A236" s="22" t="n"/>
      <c r="B236" s="23">
        <f>IF(A236="","",EOMONTH(A236,0))</f>
        <v/>
      </c>
      <c r="C236" s="24" t="n"/>
      <c r="D236" s="24" t="n"/>
      <c r="E236" s="24" t="n"/>
      <c r="F236" s="25">
        <f>IF(E236="","",IF(COUNTIF(lst_Jobs,E236&amp;"")&gt;0,"OK","CHECK"))</f>
        <v/>
      </c>
      <c r="G236" s="24" t="n"/>
      <c r="H236" s="24" t="n"/>
      <c r="I236" s="24" t="n"/>
      <c r="J236" s="24" t="n"/>
      <c r="K236" s="24" t="n"/>
      <c r="L236" s="26" t="n"/>
      <c r="M236" s="27">
        <f>IF(L236="","",IF(K236="GST 10%",ROUND(L236*set_GSTRate,2),0))</f>
        <v/>
      </c>
      <c r="N236" s="27">
        <f>IF(L236="","",L236+M236)</f>
        <v/>
      </c>
      <c r="O236" s="24" t="n"/>
      <c r="P236" s="24" t="n"/>
      <c r="Q236" s="24" t="n"/>
      <c r="R236" s="22" t="n"/>
      <c r="S236" s="22" t="n"/>
      <c r="T236" s="24" t="n"/>
      <c r="U236" s="24" t="n"/>
      <c r="V236" s="25">
        <f>IF(COUNTA(A236,D236,C236,L236)=0,"",IF(A236="","No date - sits outside every month",IF(E236="","No job number",IF(F236="CHECK","Job number is not in the Xero job list",IF(I236="","No cost centre",IF(AND(P236="Y",C236=""),"Marked posted to Xero but has no invoice number",IF(AND(L236&lt;&gt;"",K236=""),"No tax code",IF(AND(L236&lt;&gt;"",O236=""),"No revenue GL code",""))))))))</f>
        <v/>
      </c>
      <c r="W236" s="25">
        <f>IF(E236="","",IF(COUNTIF(tbl_Onsite[Job Number],E236&amp;"")&gt;0,"Onsite",IF(COUNTIF(tbl_Production[Job Number],E236&amp;"")&gt;0,"Production",IF(COUNTIF(tbl_Consulting[Job Number],E236&amp;"")&gt;0,"Consulting","not set up yet"))))</f>
        <v/>
      </c>
      <c r="X236" s="25">
        <f>IF(E236="","",IFERROR(INDEX(lst_JobName,MATCH(E236&amp;"",lst_Jobs,0)),""))</f>
        <v/>
      </c>
      <c r="Y236" s="28">
        <f>IF(E236="","",COUNTIFS(tbl_Finance[Job Number],E236&amp;"",tbl_Finance[Ex GST],"&lt;&gt;"))</f>
        <v/>
      </c>
      <c r="Z236" s="27">
        <f>IF(E236="","",SUMIFS(tbl_Finance[Ex GST],tbl_Finance[Job Number],E236&amp;""))</f>
        <v/>
      </c>
      <c r="AA236" s="27">
        <f>IF(E236="","",SUMIFS(tbl_Finance[Ex GST],tbl_Finance[Job Number],E236&amp;"",tbl_Finance[Xero Invoice No],"&lt;&gt;"))</f>
        <v/>
      </c>
      <c r="AB236" s="27">
        <f>IF(E236="","",Z236-AA236)</f>
        <v/>
      </c>
      <c r="AC236" s="25">
        <f>IF(E236="","",IFERROR(IF(INDEX(tbl_Onsite[Qwilr Quote],MATCH(E236&amp;"",tbl_Onsite[Job Number],0))="","",INDEX(tbl_Onsite[Qwilr Quote],MATCH(E236&amp;"",tbl_Onsite[Job Number],0))),IFERROR(IF(IF(INDEX(tbl_Production[Current RMS No],MATCH(E236&amp;"",tbl_Production[Job Number],0))="",INDEX(tbl_Production[Qwilr Quote],MATCH(E236&amp;"",tbl_Production[Job Number],0)),INDEX(tbl_Production[Current RMS No],MATCH(E236&amp;"",tbl_Production[Job Number],0)))="","",IF(INDEX(tbl_Production[Current RMS No],MATCH(E236&amp;"",tbl_Production[Job Number],0))="",INDEX(tbl_Production[Qwilr Quote],MATCH(E236&amp;"",tbl_Production[Job Number],0)),INDEX(tbl_Production[Current RMS No],MATCH(E236&amp;"",tbl_Production[Job Number],0)))),IFERROR(IF(INDEX(tbl_Consulting[Qwilr Quote],MATCH(E236&amp;"",tbl_Consulting[Job Number],0))="","",INDEX(tbl_Consulting[Qwilr Quote],MATCH(E236&amp;"",tbl_Consulting[Job Number],0))),""))))</f>
        <v/>
      </c>
      <c r="AD236" s="25">
        <f>IF(AC236="","",IF(AND(LEFT(AC236,4)&lt;&gt;"http",IF(H236="Production",set_RMSBase,set_QwilrBase)=""),"",HYPERLINK(IF(LEFT(AC236,4)="http",AC236,IF(H236="Production",set_RMSBase,set_QwilrBase)&amp;AC236),"Open")))</f>
        <v/>
      </c>
      <c r="AE236" s="27">
        <f>IF(E236="","",IFERROR(INDEX(tbl_Production[Total Expense],MATCH(E236&amp;"",tbl_Production[Job Number],0)),IFERROR(INDEX(tbl_Consulting[Total Expense],MATCH(E236&amp;"",tbl_Consulting[Job Number],0)),0)))</f>
        <v/>
      </c>
      <c r="AF236" s="27">
        <f>IF(E236="","",Z236-N(AE236))</f>
        <v/>
      </c>
      <c r="AG236" s="29">
        <f>IFERROR(AF236/Z236,"")</f>
        <v/>
      </c>
      <c r="AH236" s="25">
        <f>IF(E236="","",IFERROR(IF(INDEX(tbl_Onsite[Notes],MATCH(E236&amp;"",tbl_Onsite[Job Number],0))="","",INDEX(tbl_Onsite[Notes],MATCH(E236&amp;"",tbl_Onsite[Job Number],0))),IFERROR(IF(INDEX(tbl_Production[Notes],MATCH(E236&amp;"",tbl_Production[Job Number],0))="","",INDEX(tbl_Production[Notes],MATCH(E236&amp;"",tbl_Production[Job Number],0))),IFERROR(IF(INDEX(tbl_Consulting[Notes],MATCH(E236&amp;"",tbl_Consulting[Job Number],0))="","",INDEX(tbl_Consulting[Notes],MATCH(E236&amp;"",tbl_Consulting[Job Number],0))),""))))</f>
        <v/>
      </c>
    </row>
    <row r="237" ht="15" customHeight="1">
      <c r="A237" s="22" t="n"/>
      <c r="B237" s="23">
        <f>IF(A237="","",EOMONTH(A237,0))</f>
        <v/>
      </c>
      <c r="C237" s="24" t="n"/>
      <c r="D237" s="24" t="n"/>
      <c r="E237" s="24" t="n"/>
      <c r="F237" s="25">
        <f>IF(E237="","",IF(COUNTIF(lst_Jobs,E237&amp;"")&gt;0,"OK","CHECK"))</f>
        <v/>
      </c>
      <c r="G237" s="24" t="n"/>
      <c r="H237" s="24" t="n"/>
      <c r="I237" s="24" t="n"/>
      <c r="J237" s="24" t="n"/>
      <c r="K237" s="24" t="n"/>
      <c r="L237" s="26" t="n"/>
      <c r="M237" s="27">
        <f>IF(L237="","",IF(K237="GST 10%",ROUND(L237*set_GSTRate,2),0))</f>
        <v/>
      </c>
      <c r="N237" s="27">
        <f>IF(L237="","",L237+M237)</f>
        <v/>
      </c>
      <c r="O237" s="24" t="n"/>
      <c r="P237" s="24" t="n"/>
      <c r="Q237" s="24" t="n"/>
      <c r="R237" s="22" t="n"/>
      <c r="S237" s="22" t="n"/>
      <c r="T237" s="24" t="n"/>
      <c r="U237" s="24" t="n"/>
      <c r="V237" s="25">
        <f>IF(COUNTA(A237,D237,C237,L237)=0,"",IF(A237="","No date - sits outside every month",IF(E237="","No job number",IF(F237="CHECK","Job number is not in the Xero job list",IF(I237="","No cost centre",IF(AND(P237="Y",C237=""),"Marked posted to Xero but has no invoice number",IF(AND(L237&lt;&gt;"",K237=""),"No tax code",IF(AND(L237&lt;&gt;"",O237=""),"No revenue GL code",""))))))))</f>
        <v/>
      </c>
      <c r="W237" s="25">
        <f>IF(E237="","",IF(COUNTIF(tbl_Onsite[Job Number],E237&amp;"")&gt;0,"Onsite",IF(COUNTIF(tbl_Production[Job Number],E237&amp;"")&gt;0,"Production",IF(COUNTIF(tbl_Consulting[Job Number],E237&amp;"")&gt;0,"Consulting","not set up yet"))))</f>
        <v/>
      </c>
      <c r="X237" s="25">
        <f>IF(E237="","",IFERROR(INDEX(lst_JobName,MATCH(E237&amp;"",lst_Jobs,0)),""))</f>
        <v/>
      </c>
      <c r="Y237" s="28">
        <f>IF(E237="","",COUNTIFS(tbl_Finance[Job Number],E237&amp;"",tbl_Finance[Ex GST],"&lt;&gt;"))</f>
        <v/>
      </c>
      <c r="Z237" s="27">
        <f>IF(E237="","",SUMIFS(tbl_Finance[Ex GST],tbl_Finance[Job Number],E237&amp;""))</f>
        <v/>
      </c>
      <c r="AA237" s="27">
        <f>IF(E237="","",SUMIFS(tbl_Finance[Ex GST],tbl_Finance[Job Number],E237&amp;"",tbl_Finance[Xero Invoice No],"&lt;&gt;"))</f>
        <v/>
      </c>
      <c r="AB237" s="27">
        <f>IF(E237="","",Z237-AA237)</f>
        <v/>
      </c>
      <c r="AC237" s="25">
        <f>IF(E237="","",IFERROR(IF(INDEX(tbl_Onsite[Qwilr Quote],MATCH(E237&amp;"",tbl_Onsite[Job Number],0))="","",INDEX(tbl_Onsite[Qwilr Quote],MATCH(E237&amp;"",tbl_Onsite[Job Number],0))),IFERROR(IF(IF(INDEX(tbl_Production[Current RMS No],MATCH(E237&amp;"",tbl_Production[Job Number],0))="",INDEX(tbl_Production[Qwilr Quote],MATCH(E237&amp;"",tbl_Production[Job Number],0)),INDEX(tbl_Production[Current RMS No],MATCH(E237&amp;"",tbl_Production[Job Number],0)))="","",IF(INDEX(tbl_Production[Current RMS No],MATCH(E237&amp;"",tbl_Production[Job Number],0))="",INDEX(tbl_Production[Qwilr Quote],MATCH(E237&amp;"",tbl_Production[Job Number],0)),INDEX(tbl_Production[Current RMS No],MATCH(E237&amp;"",tbl_Production[Job Number],0)))),IFERROR(IF(INDEX(tbl_Consulting[Qwilr Quote],MATCH(E237&amp;"",tbl_Consulting[Job Number],0))="","",INDEX(tbl_Consulting[Qwilr Quote],MATCH(E237&amp;"",tbl_Consulting[Job Number],0))),""))))</f>
        <v/>
      </c>
      <c r="AD237" s="25">
        <f>IF(AC237="","",IF(AND(LEFT(AC237,4)&lt;&gt;"http",IF(H237="Production",set_RMSBase,set_QwilrBase)=""),"",HYPERLINK(IF(LEFT(AC237,4)="http",AC237,IF(H237="Production",set_RMSBase,set_QwilrBase)&amp;AC237),"Open")))</f>
        <v/>
      </c>
      <c r="AE237" s="27">
        <f>IF(E237="","",IFERROR(INDEX(tbl_Production[Total Expense],MATCH(E237&amp;"",tbl_Production[Job Number],0)),IFERROR(INDEX(tbl_Consulting[Total Expense],MATCH(E237&amp;"",tbl_Consulting[Job Number],0)),0)))</f>
        <v/>
      </c>
      <c r="AF237" s="27">
        <f>IF(E237="","",Z237-N(AE237))</f>
        <v/>
      </c>
      <c r="AG237" s="29">
        <f>IFERROR(AF237/Z237,"")</f>
        <v/>
      </c>
      <c r="AH237" s="25">
        <f>IF(E237="","",IFERROR(IF(INDEX(tbl_Onsite[Notes],MATCH(E237&amp;"",tbl_Onsite[Job Number],0))="","",INDEX(tbl_Onsite[Notes],MATCH(E237&amp;"",tbl_Onsite[Job Number],0))),IFERROR(IF(INDEX(tbl_Production[Notes],MATCH(E237&amp;"",tbl_Production[Job Number],0))="","",INDEX(tbl_Production[Notes],MATCH(E237&amp;"",tbl_Production[Job Number],0))),IFERROR(IF(INDEX(tbl_Consulting[Notes],MATCH(E237&amp;"",tbl_Consulting[Job Number],0))="","",INDEX(tbl_Consulting[Notes],MATCH(E237&amp;"",tbl_Consulting[Job Number],0))),""))))</f>
        <v/>
      </c>
    </row>
    <row r="238" ht="15" customHeight="1">
      <c r="A238" s="22" t="n"/>
      <c r="B238" s="23">
        <f>IF(A238="","",EOMONTH(A238,0))</f>
        <v/>
      </c>
      <c r="C238" s="24" t="n"/>
      <c r="D238" s="24" t="n"/>
      <c r="E238" s="24" t="n"/>
      <c r="F238" s="25">
        <f>IF(E238="","",IF(COUNTIF(lst_Jobs,E238&amp;"")&gt;0,"OK","CHECK"))</f>
        <v/>
      </c>
      <c r="G238" s="24" t="n"/>
      <c r="H238" s="24" t="n"/>
      <c r="I238" s="24" t="n"/>
      <c r="J238" s="24" t="n"/>
      <c r="K238" s="24" t="n"/>
      <c r="L238" s="26" t="n"/>
      <c r="M238" s="27">
        <f>IF(L238="","",IF(K238="GST 10%",ROUND(L238*set_GSTRate,2),0))</f>
        <v/>
      </c>
      <c r="N238" s="27">
        <f>IF(L238="","",L238+M238)</f>
        <v/>
      </c>
      <c r="O238" s="24" t="n"/>
      <c r="P238" s="24" t="n"/>
      <c r="Q238" s="24" t="n"/>
      <c r="R238" s="22" t="n"/>
      <c r="S238" s="22" t="n"/>
      <c r="T238" s="24" t="n"/>
      <c r="U238" s="24" t="n"/>
      <c r="V238" s="25">
        <f>IF(COUNTA(A238,D238,C238,L238)=0,"",IF(A238="","No date - sits outside every month",IF(E238="","No job number",IF(F238="CHECK","Job number is not in the Xero job list",IF(I238="","No cost centre",IF(AND(P238="Y",C238=""),"Marked posted to Xero but has no invoice number",IF(AND(L238&lt;&gt;"",K238=""),"No tax code",IF(AND(L238&lt;&gt;"",O238=""),"No revenue GL code",""))))))))</f>
        <v/>
      </c>
      <c r="W238" s="25">
        <f>IF(E238="","",IF(COUNTIF(tbl_Onsite[Job Number],E238&amp;"")&gt;0,"Onsite",IF(COUNTIF(tbl_Production[Job Number],E238&amp;"")&gt;0,"Production",IF(COUNTIF(tbl_Consulting[Job Number],E238&amp;"")&gt;0,"Consulting","not set up yet"))))</f>
        <v/>
      </c>
      <c r="X238" s="25">
        <f>IF(E238="","",IFERROR(INDEX(lst_JobName,MATCH(E238&amp;"",lst_Jobs,0)),""))</f>
        <v/>
      </c>
      <c r="Y238" s="28">
        <f>IF(E238="","",COUNTIFS(tbl_Finance[Job Number],E238&amp;"",tbl_Finance[Ex GST],"&lt;&gt;"))</f>
        <v/>
      </c>
      <c r="Z238" s="27">
        <f>IF(E238="","",SUMIFS(tbl_Finance[Ex GST],tbl_Finance[Job Number],E238&amp;""))</f>
        <v/>
      </c>
      <c r="AA238" s="27">
        <f>IF(E238="","",SUMIFS(tbl_Finance[Ex GST],tbl_Finance[Job Number],E238&amp;"",tbl_Finance[Xero Invoice No],"&lt;&gt;"))</f>
        <v/>
      </c>
      <c r="AB238" s="27">
        <f>IF(E238="","",Z238-AA238)</f>
        <v/>
      </c>
      <c r="AC238" s="25">
        <f>IF(E238="","",IFERROR(IF(INDEX(tbl_Onsite[Qwilr Quote],MATCH(E238&amp;"",tbl_Onsite[Job Number],0))="","",INDEX(tbl_Onsite[Qwilr Quote],MATCH(E238&amp;"",tbl_Onsite[Job Number],0))),IFERROR(IF(IF(INDEX(tbl_Production[Current RMS No],MATCH(E238&amp;"",tbl_Production[Job Number],0))="",INDEX(tbl_Production[Qwilr Quote],MATCH(E238&amp;"",tbl_Production[Job Number],0)),INDEX(tbl_Production[Current RMS No],MATCH(E238&amp;"",tbl_Production[Job Number],0)))="","",IF(INDEX(tbl_Production[Current RMS No],MATCH(E238&amp;"",tbl_Production[Job Number],0))="",INDEX(tbl_Production[Qwilr Quote],MATCH(E238&amp;"",tbl_Production[Job Number],0)),INDEX(tbl_Production[Current RMS No],MATCH(E238&amp;"",tbl_Production[Job Number],0)))),IFERROR(IF(INDEX(tbl_Consulting[Qwilr Quote],MATCH(E238&amp;"",tbl_Consulting[Job Number],0))="","",INDEX(tbl_Consulting[Qwilr Quote],MATCH(E238&amp;"",tbl_Consulting[Job Number],0))),""))))</f>
        <v/>
      </c>
      <c r="AD238" s="25">
        <f>IF(AC238="","",IF(AND(LEFT(AC238,4)&lt;&gt;"http",IF(H238="Production",set_RMSBase,set_QwilrBase)=""),"",HYPERLINK(IF(LEFT(AC238,4)="http",AC238,IF(H238="Production",set_RMSBase,set_QwilrBase)&amp;AC238),"Open")))</f>
        <v/>
      </c>
      <c r="AE238" s="27">
        <f>IF(E238="","",IFERROR(INDEX(tbl_Production[Total Expense],MATCH(E238&amp;"",tbl_Production[Job Number],0)),IFERROR(INDEX(tbl_Consulting[Total Expense],MATCH(E238&amp;"",tbl_Consulting[Job Number],0)),0)))</f>
        <v/>
      </c>
      <c r="AF238" s="27">
        <f>IF(E238="","",Z238-N(AE238))</f>
        <v/>
      </c>
      <c r="AG238" s="29">
        <f>IFERROR(AF238/Z238,"")</f>
        <v/>
      </c>
      <c r="AH238" s="25">
        <f>IF(E238="","",IFERROR(IF(INDEX(tbl_Onsite[Notes],MATCH(E238&amp;"",tbl_Onsite[Job Number],0))="","",INDEX(tbl_Onsite[Notes],MATCH(E238&amp;"",tbl_Onsite[Job Number],0))),IFERROR(IF(INDEX(tbl_Production[Notes],MATCH(E238&amp;"",tbl_Production[Job Number],0))="","",INDEX(tbl_Production[Notes],MATCH(E238&amp;"",tbl_Production[Job Number],0))),IFERROR(IF(INDEX(tbl_Consulting[Notes],MATCH(E238&amp;"",tbl_Consulting[Job Number],0))="","",INDEX(tbl_Consulting[Notes],MATCH(E238&amp;"",tbl_Consulting[Job Number],0))),""))))</f>
        <v/>
      </c>
    </row>
    <row r="239" ht="15" customHeight="1">
      <c r="A239" s="22" t="n"/>
      <c r="B239" s="23">
        <f>IF(A239="","",EOMONTH(A239,0))</f>
        <v/>
      </c>
      <c r="C239" s="24" t="n"/>
      <c r="D239" s="24" t="n"/>
      <c r="E239" s="24" t="n"/>
      <c r="F239" s="25">
        <f>IF(E239="","",IF(COUNTIF(lst_Jobs,E239&amp;"")&gt;0,"OK","CHECK"))</f>
        <v/>
      </c>
      <c r="G239" s="24" t="n"/>
      <c r="H239" s="24" t="n"/>
      <c r="I239" s="24" t="n"/>
      <c r="J239" s="24" t="n"/>
      <c r="K239" s="24" t="n"/>
      <c r="L239" s="26" t="n"/>
      <c r="M239" s="27">
        <f>IF(L239="","",IF(K239="GST 10%",ROUND(L239*set_GSTRate,2),0))</f>
        <v/>
      </c>
      <c r="N239" s="27">
        <f>IF(L239="","",L239+M239)</f>
        <v/>
      </c>
      <c r="O239" s="24" t="n"/>
      <c r="P239" s="24" t="n"/>
      <c r="Q239" s="24" t="n"/>
      <c r="R239" s="22" t="n"/>
      <c r="S239" s="22" t="n"/>
      <c r="T239" s="24" t="n"/>
      <c r="U239" s="24" t="n"/>
      <c r="V239" s="25">
        <f>IF(COUNTA(A239,D239,C239,L239)=0,"",IF(A239="","No date - sits outside every month",IF(E239="","No job number",IF(F239="CHECK","Job number is not in the Xero job list",IF(I239="","No cost centre",IF(AND(P239="Y",C239=""),"Marked posted to Xero but has no invoice number",IF(AND(L239&lt;&gt;"",K239=""),"No tax code",IF(AND(L239&lt;&gt;"",O239=""),"No revenue GL code",""))))))))</f>
        <v/>
      </c>
      <c r="W239" s="25">
        <f>IF(E239="","",IF(COUNTIF(tbl_Onsite[Job Number],E239&amp;"")&gt;0,"Onsite",IF(COUNTIF(tbl_Production[Job Number],E239&amp;"")&gt;0,"Production",IF(COUNTIF(tbl_Consulting[Job Number],E239&amp;"")&gt;0,"Consulting","not set up yet"))))</f>
        <v/>
      </c>
      <c r="X239" s="25">
        <f>IF(E239="","",IFERROR(INDEX(lst_JobName,MATCH(E239&amp;"",lst_Jobs,0)),""))</f>
        <v/>
      </c>
      <c r="Y239" s="28">
        <f>IF(E239="","",COUNTIFS(tbl_Finance[Job Number],E239&amp;"",tbl_Finance[Ex GST],"&lt;&gt;"))</f>
        <v/>
      </c>
      <c r="Z239" s="27">
        <f>IF(E239="","",SUMIFS(tbl_Finance[Ex GST],tbl_Finance[Job Number],E239&amp;""))</f>
        <v/>
      </c>
      <c r="AA239" s="27">
        <f>IF(E239="","",SUMIFS(tbl_Finance[Ex GST],tbl_Finance[Job Number],E239&amp;"",tbl_Finance[Xero Invoice No],"&lt;&gt;"))</f>
        <v/>
      </c>
      <c r="AB239" s="27">
        <f>IF(E239="","",Z239-AA239)</f>
        <v/>
      </c>
      <c r="AC239" s="25">
        <f>IF(E239="","",IFERROR(IF(INDEX(tbl_Onsite[Qwilr Quote],MATCH(E239&amp;"",tbl_Onsite[Job Number],0))="","",INDEX(tbl_Onsite[Qwilr Quote],MATCH(E239&amp;"",tbl_Onsite[Job Number],0))),IFERROR(IF(IF(INDEX(tbl_Production[Current RMS No],MATCH(E239&amp;"",tbl_Production[Job Number],0))="",INDEX(tbl_Production[Qwilr Quote],MATCH(E239&amp;"",tbl_Production[Job Number],0)),INDEX(tbl_Production[Current RMS No],MATCH(E239&amp;"",tbl_Production[Job Number],0)))="","",IF(INDEX(tbl_Production[Current RMS No],MATCH(E239&amp;"",tbl_Production[Job Number],0))="",INDEX(tbl_Production[Qwilr Quote],MATCH(E239&amp;"",tbl_Production[Job Number],0)),INDEX(tbl_Production[Current RMS No],MATCH(E239&amp;"",tbl_Production[Job Number],0)))),IFERROR(IF(INDEX(tbl_Consulting[Qwilr Quote],MATCH(E239&amp;"",tbl_Consulting[Job Number],0))="","",INDEX(tbl_Consulting[Qwilr Quote],MATCH(E239&amp;"",tbl_Consulting[Job Number],0))),""))))</f>
        <v/>
      </c>
      <c r="AD239" s="25">
        <f>IF(AC239="","",IF(AND(LEFT(AC239,4)&lt;&gt;"http",IF(H239="Production",set_RMSBase,set_QwilrBase)=""),"",HYPERLINK(IF(LEFT(AC239,4)="http",AC239,IF(H239="Production",set_RMSBase,set_QwilrBase)&amp;AC239),"Open")))</f>
        <v/>
      </c>
      <c r="AE239" s="27">
        <f>IF(E239="","",IFERROR(INDEX(tbl_Production[Total Expense],MATCH(E239&amp;"",tbl_Production[Job Number],0)),IFERROR(INDEX(tbl_Consulting[Total Expense],MATCH(E239&amp;"",tbl_Consulting[Job Number],0)),0)))</f>
        <v/>
      </c>
      <c r="AF239" s="27">
        <f>IF(E239="","",Z239-N(AE239))</f>
        <v/>
      </c>
      <c r="AG239" s="29">
        <f>IFERROR(AF239/Z239,"")</f>
        <v/>
      </c>
      <c r="AH239" s="25">
        <f>IF(E239="","",IFERROR(IF(INDEX(tbl_Onsite[Notes],MATCH(E239&amp;"",tbl_Onsite[Job Number],0))="","",INDEX(tbl_Onsite[Notes],MATCH(E239&amp;"",tbl_Onsite[Job Number],0))),IFERROR(IF(INDEX(tbl_Production[Notes],MATCH(E239&amp;"",tbl_Production[Job Number],0))="","",INDEX(tbl_Production[Notes],MATCH(E239&amp;"",tbl_Production[Job Number],0))),IFERROR(IF(INDEX(tbl_Consulting[Notes],MATCH(E239&amp;"",tbl_Consulting[Job Number],0))="","",INDEX(tbl_Consulting[Notes],MATCH(E239&amp;"",tbl_Consulting[Job Number],0))),""))))</f>
        <v/>
      </c>
    </row>
    <row r="240" ht="15" customHeight="1">
      <c r="A240" s="22" t="n"/>
      <c r="B240" s="23">
        <f>IF(A240="","",EOMONTH(A240,0))</f>
        <v/>
      </c>
      <c r="C240" s="24" t="n"/>
      <c r="D240" s="24" t="n"/>
      <c r="E240" s="24" t="n"/>
      <c r="F240" s="25">
        <f>IF(E240="","",IF(COUNTIF(lst_Jobs,E240&amp;"")&gt;0,"OK","CHECK"))</f>
        <v/>
      </c>
      <c r="G240" s="24" t="n"/>
      <c r="H240" s="24" t="n"/>
      <c r="I240" s="24" t="n"/>
      <c r="J240" s="24" t="n"/>
      <c r="K240" s="24" t="n"/>
      <c r="L240" s="26" t="n"/>
      <c r="M240" s="27">
        <f>IF(L240="","",IF(K240="GST 10%",ROUND(L240*set_GSTRate,2),0))</f>
        <v/>
      </c>
      <c r="N240" s="27">
        <f>IF(L240="","",L240+M240)</f>
        <v/>
      </c>
      <c r="O240" s="24" t="n"/>
      <c r="P240" s="24" t="n"/>
      <c r="Q240" s="24" t="n"/>
      <c r="R240" s="22" t="n"/>
      <c r="S240" s="22" t="n"/>
      <c r="T240" s="24" t="n"/>
      <c r="U240" s="24" t="n"/>
      <c r="V240" s="25">
        <f>IF(COUNTA(A240,D240,C240,L240)=0,"",IF(A240="","No date - sits outside every month",IF(E240="","No job number",IF(F240="CHECK","Job number is not in the Xero job list",IF(I240="","No cost centre",IF(AND(P240="Y",C240=""),"Marked posted to Xero but has no invoice number",IF(AND(L240&lt;&gt;"",K240=""),"No tax code",IF(AND(L240&lt;&gt;"",O240=""),"No revenue GL code",""))))))))</f>
        <v/>
      </c>
      <c r="W240" s="25">
        <f>IF(E240="","",IF(COUNTIF(tbl_Onsite[Job Number],E240&amp;"")&gt;0,"Onsite",IF(COUNTIF(tbl_Production[Job Number],E240&amp;"")&gt;0,"Production",IF(COUNTIF(tbl_Consulting[Job Number],E240&amp;"")&gt;0,"Consulting","not set up yet"))))</f>
        <v/>
      </c>
      <c r="X240" s="25">
        <f>IF(E240="","",IFERROR(INDEX(lst_JobName,MATCH(E240&amp;"",lst_Jobs,0)),""))</f>
        <v/>
      </c>
      <c r="Y240" s="28">
        <f>IF(E240="","",COUNTIFS(tbl_Finance[Job Number],E240&amp;"",tbl_Finance[Ex GST],"&lt;&gt;"))</f>
        <v/>
      </c>
      <c r="Z240" s="27">
        <f>IF(E240="","",SUMIFS(tbl_Finance[Ex GST],tbl_Finance[Job Number],E240&amp;""))</f>
        <v/>
      </c>
      <c r="AA240" s="27">
        <f>IF(E240="","",SUMIFS(tbl_Finance[Ex GST],tbl_Finance[Job Number],E240&amp;"",tbl_Finance[Xero Invoice No],"&lt;&gt;"))</f>
        <v/>
      </c>
      <c r="AB240" s="27">
        <f>IF(E240="","",Z240-AA240)</f>
        <v/>
      </c>
      <c r="AC240" s="25">
        <f>IF(E240="","",IFERROR(IF(INDEX(tbl_Onsite[Qwilr Quote],MATCH(E240&amp;"",tbl_Onsite[Job Number],0))="","",INDEX(tbl_Onsite[Qwilr Quote],MATCH(E240&amp;"",tbl_Onsite[Job Number],0))),IFERROR(IF(IF(INDEX(tbl_Production[Current RMS No],MATCH(E240&amp;"",tbl_Production[Job Number],0))="",INDEX(tbl_Production[Qwilr Quote],MATCH(E240&amp;"",tbl_Production[Job Number],0)),INDEX(tbl_Production[Current RMS No],MATCH(E240&amp;"",tbl_Production[Job Number],0)))="","",IF(INDEX(tbl_Production[Current RMS No],MATCH(E240&amp;"",tbl_Production[Job Number],0))="",INDEX(tbl_Production[Qwilr Quote],MATCH(E240&amp;"",tbl_Production[Job Number],0)),INDEX(tbl_Production[Current RMS No],MATCH(E240&amp;"",tbl_Production[Job Number],0)))),IFERROR(IF(INDEX(tbl_Consulting[Qwilr Quote],MATCH(E240&amp;"",tbl_Consulting[Job Number],0))="","",INDEX(tbl_Consulting[Qwilr Quote],MATCH(E240&amp;"",tbl_Consulting[Job Number],0))),""))))</f>
        <v/>
      </c>
      <c r="AD240" s="25">
        <f>IF(AC240="","",IF(AND(LEFT(AC240,4)&lt;&gt;"http",IF(H240="Production",set_RMSBase,set_QwilrBase)=""),"",HYPERLINK(IF(LEFT(AC240,4)="http",AC240,IF(H240="Production",set_RMSBase,set_QwilrBase)&amp;AC240),"Open")))</f>
        <v/>
      </c>
      <c r="AE240" s="27">
        <f>IF(E240="","",IFERROR(INDEX(tbl_Production[Total Expense],MATCH(E240&amp;"",tbl_Production[Job Number],0)),IFERROR(INDEX(tbl_Consulting[Total Expense],MATCH(E240&amp;"",tbl_Consulting[Job Number],0)),0)))</f>
        <v/>
      </c>
      <c r="AF240" s="27">
        <f>IF(E240="","",Z240-N(AE240))</f>
        <v/>
      </c>
      <c r="AG240" s="29">
        <f>IFERROR(AF240/Z240,"")</f>
        <v/>
      </c>
      <c r="AH240" s="25">
        <f>IF(E240="","",IFERROR(IF(INDEX(tbl_Onsite[Notes],MATCH(E240&amp;"",tbl_Onsite[Job Number],0))="","",INDEX(tbl_Onsite[Notes],MATCH(E240&amp;"",tbl_Onsite[Job Number],0))),IFERROR(IF(INDEX(tbl_Production[Notes],MATCH(E240&amp;"",tbl_Production[Job Number],0))="","",INDEX(tbl_Production[Notes],MATCH(E240&amp;"",tbl_Production[Job Number],0))),IFERROR(IF(INDEX(tbl_Consulting[Notes],MATCH(E240&amp;"",tbl_Consulting[Job Number],0))="","",INDEX(tbl_Consulting[Notes],MATCH(E240&amp;"",tbl_Consulting[Job Number],0))),""))))</f>
        <v/>
      </c>
    </row>
    <row r="241" ht="15" customHeight="1">
      <c r="A241" s="22" t="n"/>
      <c r="B241" s="23">
        <f>IF(A241="","",EOMONTH(A241,0))</f>
        <v/>
      </c>
      <c r="C241" s="24" t="n"/>
      <c r="D241" s="24" t="n"/>
      <c r="E241" s="24" t="n"/>
      <c r="F241" s="25">
        <f>IF(E241="","",IF(COUNTIF(lst_Jobs,E241&amp;"")&gt;0,"OK","CHECK"))</f>
        <v/>
      </c>
      <c r="G241" s="24" t="n"/>
      <c r="H241" s="24" t="n"/>
      <c r="I241" s="24" t="n"/>
      <c r="J241" s="24" t="n"/>
      <c r="K241" s="24" t="n"/>
      <c r="L241" s="26" t="n"/>
      <c r="M241" s="27">
        <f>IF(L241="","",IF(K241="GST 10%",ROUND(L241*set_GSTRate,2),0))</f>
        <v/>
      </c>
      <c r="N241" s="27">
        <f>IF(L241="","",L241+M241)</f>
        <v/>
      </c>
      <c r="O241" s="24" t="n"/>
      <c r="P241" s="24" t="n"/>
      <c r="Q241" s="24" t="n"/>
      <c r="R241" s="22" t="n"/>
      <c r="S241" s="22" t="n"/>
      <c r="T241" s="24" t="n"/>
      <c r="U241" s="24" t="n"/>
      <c r="V241" s="25">
        <f>IF(COUNTA(A241,D241,C241,L241)=0,"",IF(A241="","No date - sits outside every month",IF(E241="","No job number",IF(F241="CHECK","Job number is not in the Xero job list",IF(I241="","No cost centre",IF(AND(P241="Y",C241=""),"Marked posted to Xero but has no invoice number",IF(AND(L241&lt;&gt;"",K241=""),"No tax code",IF(AND(L241&lt;&gt;"",O241=""),"No revenue GL code",""))))))))</f>
        <v/>
      </c>
      <c r="W241" s="25">
        <f>IF(E241="","",IF(COUNTIF(tbl_Onsite[Job Number],E241&amp;"")&gt;0,"Onsite",IF(COUNTIF(tbl_Production[Job Number],E241&amp;"")&gt;0,"Production",IF(COUNTIF(tbl_Consulting[Job Number],E241&amp;"")&gt;0,"Consulting","not set up yet"))))</f>
        <v/>
      </c>
      <c r="X241" s="25">
        <f>IF(E241="","",IFERROR(INDEX(lst_JobName,MATCH(E241&amp;"",lst_Jobs,0)),""))</f>
        <v/>
      </c>
      <c r="Y241" s="28">
        <f>IF(E241="","",COUNTIFS(tbl_Finance[Job Number],E241&amp;"",tbl_Finance[Ex GST],"&lt;&gt;"))</f>
        <v/>
      </c>
      <c r="Z241" s="27">
        <f>IF(E241="","",SUMIFS(tbl_Finance[Ex GST],tbl_Finance[Job Number],E241&amp;""))</f>
        <v/>
      </c>
      <c r="AA241" s="27">
        <f>IF(E241="","",SUMIFS(tbl_Finance[Ex GST],tbl_Finance[Job Number],E241&amp;"",tbl_Finance[Xero Invoice No],"&lt;&gt;"))</f>
        <v/>
      </c>
      <c r="AB241" s="27">
        <f>IF(E241="","",Z241-AA241)</f>
        <v/>
      </c>
      <c r="AC241" s="25">
        <f>IF(E241="","",IFERROR(IF(INDEX(tbl_Onsite[Qwilr Quote],MATCH(E241&amp;"",tbl_Onsite[Job Number],0))="","",INDEX(tbl_Onsite[Qwilr Quote],MATCH(E241&amp;"",tbl_Onsite[Job Number],0))),IFERROR(IF(IF(INDEX(tbl_Production[Current RMS No],MATCH(E241&amp;"",tbl_Production[Job Number],0))="",INDEX(tbl_Production[Qwilr Quote],MATCH(E241&amp;"",tbl_Production[Job Number],0)),INDEX(tbl_Production[Current RMS No],MATCH(E241&amp;"",tbl_Production[Job Number],0)))="","",IF(INDEX(tbl_Production[Current RMS No],MATCH(E241&amp;"",tbl_Production[Job Number],0))="",INDEX(tbl_Production[Qwilr Quote],MATCH(E241&amp;"",tbl_Production[Job Number],0)),INDEX(tbl_Production[Current RMS No],MATCH(E241&amp;"",tbl_Production[Job Number],0)))),IFERROR(IF(INDEX(tbl_Consulting[Qwilr Quote],MATCH(E241&amp;"",tbl_Consulting[Job Number],0))="","",INDEX(tbl_Consulting[Qwilr Quote],MATCH(E241&amp;"",tbl_Consulting[Job Number],0))),""))))</f>
        <v/>
      </c>
      <c r="AD241" s="25">
        <f>IF(AC241="","",IF(AND(LEFT(AC241,4)&lt;&gt;"http",IF(H241="Production",set_RMSBase,set_QwilrBase)=""),"",HYPERLINK(IF(LEFT(AC241,4)="http",AC241,IF(H241="Production",set_RMSBase,set_QwilrBase)&amp;AC241),"Open")))</f>
        <v/>
      </c>
      <c r="AE241" s="27">
        <f>IF(E241="","",IFERROR(INDEX(tbl_Production[Total Expense],MATCH(E241&amp;"",tbl_Production[Job Number],0)),IFERROR(INDEX(tbl_Consulting[Total Expense],MATCH(E241&amp;"",tbl_Consulting[Job Number],0)),0)))</f>
        <v/>
      </c>
      <c r="AF241" s="27">
        <f>IF(E241="","",Z241-N(AE241))</f>
        <v/>
      </c>
      <c r="AG241" s="29">
        <f>IFERROR(AF241/Z241,"")</f>
        <v/>
      </c>
      <c r="AH241" s="25">
        <f>IF(E241="","",IFERROR(IF(INDEX(tbl_Onsite[Notes],MATCH(E241&amp;"",tbl_Onsite[Job Number],0))="","",INDEX(tbl_Onsite[Notes],MATCH(E241&amp;"",tbl_Onsite[Job Number],0))),IFERROR(IF(INDEX(tbl_Production[Notes],MATCH(E241&amp;"",tbl_Production[Job Number],0))="","",INDEX(tbl_Production[Notes],MATCH(E241&amp;"",tbl_Production[Job Number],0))),IFERROR(IF(INDEX(tbl_Consulting[Notes],MATCH(E241&amp;"",tbl_Consulting[Job Number],0))="","",INDEX(tbl_Consulting[Notes],MATCH(E241&amp;"",tbl_Consulting[Job Number],0))),""))))</f>
        <v/>
      </c>
    </row>
    <row r="242" ht="15" customHeight="1">
      <c r="A242" s="22" t="n"/>
      <c r="B242" s="23">
        <f>IF(A242="","",EOMONTH(A242,0))</f>
        <v/>
      </c>
      <c r="C242" s="24" t="n"/>
      <c r="D242" s="24" t="n"/>
      <c r="E242" s="24" t="n"/>
      <c r="F242" s="25">
        <f>IF(E242="","",IF(COUNTIF(lst_Jobs,E242&amp;"")&gt;0,"OK","CHECK"))</f>
        <v/>
      </c>
      <c r="G242" s="24" t="n"/>
      <c r="H242" s="24" t="n"/>
      <c r="I242" s="24" t="n"/>
      <c r="J242" s="24" t="n"/>
      <c r="K242" s="24" t="n"/>
      <c r="L242" s="26" t="n"/>
      <c r="M242" s="27">
        <f>IF(L242="","",IF(K242="GST 10%",ROUND(L242*set_GSTRate,2),0))</f>
        <v/>
      </c>
      <c r="N242" s="27">
        <f>IF(L242="","",L242+M242)</f>
        <v/>
      </c>
      <c r="O242" s="24" t="n"/>
      <c r="P242" s="24" t="n"/>
      <c r="Q242" s="24" t="n"/>
      <c r="R242" s="22" t="n"/>
      <c r="S242" s="22" t="n"/>
      <c r="T242" s="24" t="n"/>
      <c r="U242" s="24" t="n"/>
      <c r="V242" s="25">
        <f>IF(COUNTA(A242,D242,C242,L242)=0,"",IF(A242="","No date - sits outside every month",IF(E242="","No job number",IF(F242="CHECK","Job number is not in the Xero job list",IF(I242="","No cost centre",IF(AND(P242="Y",C242=""),"Marked posted to Xero but has no invoice number",IF(AND(L242&lt;&gt;"",K242=""),"No tax code",IF(AND(L242&lt;&gt;"",O242=""),"No revenue GL code",""))))))))</f>
        <v/>
      </c>
      <c r="W242" s="25">
        <f>IF(E242="","",IF(COUNTIF(tbl_Onsite[Job Number],E242&amp;"")&gt;0,"Onsite",IF(COUNTIF(tbl_Production[Job Number],E242&amp;"")&gt;0,"Production",IF(COUNTIF(tbl_Consulting[Job Number],E242&amp;"")&gt;0,"Consulting","not set up yet"))))</f>
        <v/>
      </c>
      <c r="X242" s="25">
        <f>IF(E242="","",IFERROR(INDEX(lst_JobName,MATCH(E242&amp;"",lst_Jobs,0)),""))</f>
        <v/>
      </c>
      <c r="Y242" s="28">
        <f>IF(E242="","",COUNTIFS(tbl_Finance[Job Number],E242&amp;"",tbl_Finance[Ex GST],"&lt;&gt;"))</f>
        <v/>
      </c>
      <c r="Z242" s="27">
        <f>IF(E242="","",SUMIFS(tbl_Finance[Ex GST],tbl_Finance[Job Number],E242&amp;""))</f>
        <v/>
      </c>
      <c r="AA242" s="27">
        <f>IF(E242="","",SUMIFS(tbl_Finance[Ex GST],tbl_Finance[Job Number],E242&amp;"",tbl_Finance[Xero Invoice No],"&lt;&gt;"))</f>
        <v/>
      </c>
      <c r="AB242" s="27">
        <f>IF(E242="","",Z242-AA242)</f>
        <v/>
      </c>
      <c r="AC242" s="25">
        <f>IF(E242="","",IFERROR(IF(INDEX(tbl_Onsite[Qwilr Quote],MATCH(E242&amp;"",tbl_Onsite[Job Number],0))="","",INDEX(tbl_Onsite[Qwilr Quote],MATCH(E242&amp;"",tbl_Onsite[Job Number],0))),IFERROR(IF(IF(INDEX(tbl_Production[Current RMS No],MATCH(E242&amp;"",tbl_Production[Job Number],0))="",INDEX(tbl_Production[Qwilr Quote],MATCH(E242&amp;"",tbl_Production[Job Number],0)),INDEX(tbl_Production[Current RMS No],MATCH(E242&amp;"",tbl_Production[Job Number],0)))="","",IF(INDEX(tbl_Production[Current RMS No],MATCH(E242&amp;"",tbl_Production[Job Number],0))="",INDEX(tbl_Production[Qwilr Quote],MATCH(E242&amp;"",tbl_Production[Job Number],0)),INDEX(tbl_Production[Current RMS No],MATCH(E242&amp;"",tbl_Production[Job Number],0)))),IFERROR(IF(INDEX(tbl_Consulting[Qwilr Quote],MATCH(E242&amp;"",tbl_Consulting[Job Number],0))="","",INDEX(tbl_Consulting[Qwilr Quote],MATCH(E242&amp;"",tbl_Consulting[Job Number],0))),""))))</f>
        <v/>
      </c>
      <c r="AD242" s="25">
        <f>IF(AC242="","",IF(AND(LEFT(AC242,4)&lt;&gt;"http",IF(H242="Production",set_RMSBase,set_QwilrBase)=""),"",HYPERLINK(IF(LEFT(AC242,4)="http",AC242,IF(H242="Production",set_RMSBase,set_QwilrBase)&amp;AC242),"Open")))</f>
        <v/>
      </c>
      <c r="AE242" s="27">
        <f>IF(E242="","",IFERROR(INDEX(tbl_Production[Total Expense],MATCH(E242&amp;"",tbl_Production[Job Number],0)),IFERROR(INDEX(tbl_Consulting[Total Expense],MATCH(E242&amp;"",tbl_Consulting[Job Number],0)),0)))</f>
        <v/>
      </c>
      <c r="AF242" s="27">
        <f>IF(E242="","",Z242-N(AE242))</f>
        <v/>
      </c>
      <c r="AG242" s="29">
        <f>IFERROR(AF242/Z242,"")</f>
        <v/>
      </c>
      <c r="AH242" s="25">
        <f>IF(E242="","",IFERROR(IF(INDEX(tbl_Onsite[Notes],MATCH(E242&amp;"",tbl_Onsite[Job Number],0))="","",INDEX(tbl_Onsite[Notes],MATCH(E242&amp;"",tbl_Onsite[Job Number],0))),IFERROR(IF(INDEX(tbl_Production[Notes],MATCH(E242&amp;"",tbl_Production[Job Number],0))="","",INDEX(tbl_Production[Notes],MATCH(E242&amp;"",tbl_Production[Job Number],0))),IFERROR(IF(INDEX(tbl_Consulting[Notes],MATCH(E242&amp;"",tbl_Consulting[Job Number],0))="","",INDEX(tbl_Consulting[Notes],MATCH(E242&amp;"",tbl_Consulting[Job Number],0))),""))))</f>
        <v/>
      </c>
    </row>
    <row r="243" ht="15" customHeight="1">
      <c r="A243" s="22" t="n"/>
      <c r="B243" s="23">
        <f>IF(A243="","",EOMONTH(A243,0))</f>
        <v/>
      </c>
      <c r="C243" s="24" t="n"/>
      <c r="D243" s="24" t="n"/>
      <c r="E243" s="24" t="n"/>
      <c r="F243" s="25">
        <f>IF(E243="","",IF(COUNTIF(lst_Jobs,E243&amp;"")&gt;0,"OK","CHECK"))</f>
        <v/>
      </c>
      <c r="G243" s="24" t="n"/>
      <c r="H243" s="24" t="n"/>
      <c r="I243" s="24" t="n"/>
      <c r="J243" s="24" t="n"/>
      <c r="K243" s="24" t="n"/>
      <c r="L243" s="26" t="n"/>
      <c r="M243" s="27">
        <f>IF(L243="","",IF(K243="GST 10%",ROUND(L243*set_GSTRate,2),0))</f>
        <v/>
      </c>
      <c r="N243" s="27">
        <f>IF(L243="","",L243+M243)</f>
        <v/>
      </c>
      <c r="O243" s="24" t="n"/>
      <c r="P243" s="24" t="n"/>
      <c r="Q243" s="24" t="n"/>
      <c r="R243" s="22" t="n"/>
      <c r="S243" s="22" t="n"/>
      <c r="T243" s="24" t="n"/>
      <c r="U243" s="24" t="n"/>
      <c r="V243" s="25">
        <f>IF(COUNTA(A243,D243,C243,L243)=0,"",IF(A243="","No date - sits outside every month",IF(E243="","No job number",IF(F243="CHECK","Job number is not in the Xero job list",IF(I243="","No cost centre",IF(AND(P243="Y",C243=""),"Marked posted to Xero but has no invoice number",IF(AND(L243&lt;&gt;"",K243=""),"No tax code",IF(AND(L243&lt;&gt;"",O243=""),"No revenue GL code",""))))))))</f>
        <v/>
      </c>
      <c r="W243" s="25">
        <f>IF(E243="","",IF(COUNTIF(tbl_Onsite[Job Number],E243&amp;"")&gt;0,"Onsite",IF(COUNTIF(tbl_Production[Job Number],E243&amp;"")&gt;0,"Production",IF(COUNTIF(tbl_Consulting[Job Number],E243&amp;"")&gt;0,"Consulting","not set up yet"))))</f>
        <v/>
      </c>
      <c r="X243" s="25">
        <f>IF(E243="","",IFERROR(INDEX(lst_JobName,MATCH(E243&amp;"",lst_Jobs,0)),""))</f>
        <v/>
      </c>
      <c r="Y243" s="28">
        <f>IF(E243="","",COUNTIFS(tbl_Finance[Job Number],E243&amp;"",tbl_Finance[Ex GST],"&lt;&gt;"))</f>
        <v/>
      </c>
      <c r="Z243" s="27">
        <f>IF(E243="","",SUMIFS(tbl_Finance[Ex GST],tbl_Finance[Job Number],E243&amp;""))</f>
        <v/>
      </c>
      <c r="AA243" s="27">
        <f>IF(E243="","",SUMIFS(tbl_Finance[Ex GST],tbl_Finance[Job Number],E243&amp;"",tbl_Finance[Xero Invoice No],"&lt;&gt;"))</f>
        <v/>
      </c>
      <c r="AB243" s="27">
        <f>IF(E243="","",Z243-AA243)</f>
        <v/>
      </c>
      <c r="AC243" s="25">
        <f>IF(E243="","",IFERROR(IF(INDEX(tbl_Onsite[Qwilr Quote],MATCH(E243&amp;"",tbl_Onsite[Job Number],0))="","",INDEX(tbl_Onsite[Qwilr Quote],MATCH(E243&amp;"",tbl_Onsite[Job Number],0))),IFERROR(IF(IF(INDEX(tbl_Production[Current RMS No],MATCH(E243&amp;"",tbl_Production[Job Number],0))="",INDEX(tbl_Production[Qwilr Quote],MATCH(E243&amp;"",tbl_Production[Job Number],0)),INDEX(tbl_Production[Current RMS No],MATCH(E243&amp;"",tbl_Production[Job Number],0)))="","",IF(INDEX(tbl_Production[Current RMS No],MATCH(E243&amp;"",tbl_Production[Job Number],0))="",INDEX(tbl_Production[Qwilr Quote],MATCH(E243&amp;"",tbl_Production[Job Number],0)),INDEX(tbl_Production[Current RMS No],MATCH(E243&amp;"",tbl_Production[Job Number],0)))),IFERROR(IF(INDEX(tbl_Consulting[Qwilr Quote],MATCH(E243&amp;"",tbl_Consulting[Job Number],0))="","",INDEX(tbl_Consulting[Qwilr Quote],MATCH(E243&amp;"",tbl_Consulting[Job Number],0))),""))))</f>
        <v/>
      </c>
      <c r="AD243" s="25">
        <f>IF(AC243="","",IF(AND(LEFT(AC243,4)&lt;&gt;"http",IF(H243="Production",set_RMSBase,set_QwilrBase)=""),"",HYPERLINK(IF(LEFT(AC243,4)="http",AC243,IF(H243="Production",set_RMSBase,set_QwilrBase)&amp;AC243),"Open")))</f>
        <v/>
      </c>
      <c r="AE243" s="27">
        <f>IF(E243="","",IFERROR(INDEX(tbl_Production[Total Expense],MATCH(E243&amp;"",tbl_Production[Job Number],0)),IFERROR(INDEX(tbl_Consulting[Total Expense],MATCH(E243&amp;"",tbl_Consulting[Job Number],0)),0)))</f>
        <v/>
      </c>
      <c r="AF243" s="27">
        <f>IF(E243="","",Z243-N(AE243))</f>
        <v/>
      </c>
      <c r="AG243" s="29">
        <f>IFERROR(AF243/Z243,"")</f>
        <v/>
      </c>
      <c r="AH243" s="25">
        <f>IF(E243="","",IFERROR(IF(INDEX(tbl_Onsite[Notes],MATCH(E243&amp;"",tbl_Onsite[Job Number],0))="","",INDEX(tbl_Onsite[Notes],MATCH(E243&amp;"",tbl_Onsite[Job Number],0))),IFERROR(IF(INDEX(tbl_Production[Notes],MATCH(E243&amp;"",tbl_Production[Job Number],0))="","",INDEX(tbl_Production[Notes],MATCH(E243&amp;"",tbl_Production[Job Number],0))),IFERROR(IF(INDEX(tbl_Consulting[Notes],MATCH(E243&amp;"",tbl_Consulting[Job Number],0))="","",INDEX(tbl_Consulting[Notes],MATCH(E243&amp;"",tbl_Consulting[Job Number],0))),""))))</f>
        <v/>
      </c>
    </row>
    <row r="244" ht="15" customHeight="1">
      <c r="A244" s="22" t="n"/>
      <c r="B244" s="23">
        <f>IF(A244="","",EOMONTH(A244,0))</f>
        <v/>
      </c>
      <c r="C244" s="24" t="n"/>
      <c r="D244" s="24" t="n"/>
      <c r="E244" s="24" t="n"/>
      <c r="F244" s="25">
        <f>IF(E244="","",IF(COUNTIF(lst_Jobs,E244&amp;"")&gt;0,"OK","CHECK"))</f>
        <v/>
      </c>
      <c r="G244" s="24" t="n"/>
      <c r="H244" s="24" t="n"/>
      <c r="I244" s="24" t="n"/>
      <c r="J244" s="24" t="n"/>
      <c r="K244" s="24" t="n"/>
      <c r="L244" s="26" t="n"/>
      <c r="M244" s="27">
        <f>IF(L244="","",IF(K244="GST 10%",ROUND(L244*set_GSTRate,2),0))</f>
        <v/>
      </c>
      <c r="N244" s="27">
        <f>IF(L244="","",L244+M244)</f>
        <v/>
      </c>
      <c r="O244" s="24" t="n"/>
      <c r="P244" s="24" t="n"/>
      <c r="Q244" s="24" t="n"/>
      <c r="R244" s="22" t="n"/>
      <c r="S244" s="22" t="n"/>
      <c r="T244" s="24" t="n"/>
      <c r="U244" s="24" t="n"/>
      <c r="V244" s="25">
        <f>IF(COUNTA(A244,D244,C244,L244)=0,"",IF(A244="","No date - sits outside every month",IF(E244="","No job number",IF(F244="CHECK","Job number is not in the Xero job list",IF(I244="","No cost centre",IF(AND(P244="Y",C244=""),"Marked posted to Xero but has no invoice number",IF(AND(L244&lt;&gt;"",K244=""),"No tax code",IF(AND(L244&lt;&gt;"",O244=""),"No revenue GL code",""))))))))</f>
        <v/>
      </c>
      <c r="W244" s="25">
        <f>IF(E244="","",IF(COUNTIF(tbl_Onsite[Job Number],E244&amp;"")&gt;0,"Onsite",IF(COUNTIF(tbl_Production[Job Number],E244&amp;"")&gt;0,"Production",IF(COUNTIF(tbl_Consulting[Job Number],E244&amp;"")&gt;0,"Consulting","not set up yet"))))</f>
        <v/>
      </c>
      <c r="X244" s="25">
        <f>IF(E244="","",IFERROR(INDEX(lst_JobName,MATCH(E244&amp;"",lst_Jobs,0)),""))</f>
        <v/>
      </c>
      <c r="Y244" s="28">
        <f>IF(E244="","",COUNTIFS(tbl_Finance[Job Number],E244&amp;"",tbl_Finance[Ex GST],"&lt;&gt;"))</f>
        <v/>
      </c>
      <c r="Z244" s="27">
        <f>IF(E244="","",SUMIFS(tbl_Finance[Ex GST],tbl_Finance[Job Number],E244&amp;""))</f>
        <v/>
      </c>
      <c r="AA244" s="27">
        <f>IF(E244="","",SUMIFS(tbl_Finance[Ex GST],tbl_Finance[Job Number],E244&amp;"",tbl_Finance[Xero Invoice No],"&lt;&gt;"))</f>
        <v/>
      </c>
      <c r="AB244" s="27">
        <f>IF(E244="","",Z244-AA244)</f>
        <v/>
      </c>
      <c r="AC244" s="25">
        <f>IF(E244="","",IFERROR(IF(INDEX(tbl_Onsite[Qwilr Quote],MATCH(E244&amp;"",tbl_Onsite[Job Number],0))="","",INDEX(tbl_Onsite[Qwilr Quote],MATCH(E244&amp;"",tbl_Onsite[Job Number],0))),IFERROR(IF(IF(INDEX(tbl_Production[Current RMS No],MATCH(E244&amp;"",tbl_Production[Job Number],0))="",INDEX(tbl_Production[Qwilr Quote],MATCH(E244&amp;"",tbl_Production[Job Number],0)),INDEX(tbl_Production[Current RMS No],MATCH(E244&amp;"",tbl_Production[Job Number],0)))="","",IF(INDEX(tbl_Production[Current RMS No],MATCH(E244&amp;"",tbl_Production[Job Number],0))="",INDEX(tbl_Production[Qwilr Quote],MATCH(E244&amp;"",tbl_Production[Job Number],0)),INDEX(tbl_Production[Current RMS No],MATCH(E244&amp;"",tbl_Production[Job Number],0)))),IFERROR(IF(INDEX(tbl_Consulting[Qwilr Quote],MATCH(E244&amp;"",tbl_Consulting[Job Number],0))="","",INDEX(tbl_Consulting[Qwilr Quote],MATCH(E244&amp;"",tbl_Consulting[Job Number],0))),""))))</f>
        <v/>
      </c>
      <c r="AD244" s="25">
        <f>IF(AC244="","",IF(AND(LEFT(AC244,4)&lt;&gt;"http",IF(H244="Production",set_RMSBase,set_QwilrBase)=""),"",HYPERLINK(IF(LEFT(AC244,4)="http",AC244,IF(H244="Production",set_RMSBase,set_QwilrBase)&amp;AC244),"Open")))</f>
        <v/>
      </c>
      <c r="AE244" s="27">
        <f>IF(E244="","",IFERROR(INDEX(tbl_Production[Total Expense],MATCH(E244&amp;"",tbl_Production[Job Number],0)),IFERROR(INDEX(tbl_Consulting[Total Expense],MATCH(E244&amp;"",tbl_Consulting[Job Number],0)),0)))</f>
        <v/>
      </c>
      <c r="AF244" s="27">
        <f>IF(E244="","",Z244-N(AE244))</f>
        <v/>
      </c>
      <c r="AG244" s="29">
        <f>IFERROR(AF244/Z244,"")</f>
        <v/>
      </c>
      <c r="AH244" s="25">
        <f>IF(E244="","",IFERROR(IF(INDEX(tbl_Onsite[Notes],MATCH(E244&amp;"",tbl_Onsite[Job Number],0))="","",INDEX(tbl_Onsite[Notes],MATCH(E244&amp;"",tbl_Onsite[Job Number],0))),IFERROR(IF(INDEX(tbl_Production[Notes],MATCH(E244&amp;"",tbl_Production[Job Number],0))="","",INDEX(tbl_Production[Notes],MATCH(E244&amp;"",tbl_Production[Job Number],0))),IFERROR(IF(INDEX(tbl_Consulting[Notes],MATCH(E244&amp;"",tbl_Consulting[Job Number],0))="","",INDEX(tbl_Consulting[Notes],MATCH(E244&amp;"",tbl_Consulting[Job Number],0))),""))))</f>
        <v/>
      </c>
    </row>
    <row r="245" ht="15" customHeight="1">
      <c r="A245" s="22" t="n"/>
      <c r="B245" s="23">
        <f>IF(A245="","",EOMONTH(A245,0))</f>
        <v/>
      </c>
      <c r="C245" s="24" t="n"/>
      <c r="D245" s="24" t="n"/>
      <c r="E245" s="24" t="n"/>
      <c r="F245" s="25">
        <f>IF(E245="","",IF(COUNTIF(lst_Jobs,E245&amp;"")&gt;0,"OK","CHECK"))</f>
        <v/>
      </c>
      <c r="G245" s="24" t="n"/>
      <c r="H245" s="24" t="n"/>
      <c r="I245" s="24" t="n"/>
      <c r="J245" s="24" t="n"/>
      <c r="K245" s="24" t="n"/>
      <c r="L245" s="26" t="n"/>
      <c r="M245" s="27">
        <f>IF(L245="","",IF(K245="GST 10%",ROUND(L245*set_GSTRate,2),0))</f>
        <v/>
      </c>
      <c r="N245" s="27">
        <f>IF(L245="","",L245+M245)</f>
        <v/>
      </c>
      <c r="O245" s="24" t="n"/>
      <c r="P245" s="24" t="n"/>
      <c r="Q245" s="24" t="n"/>
      <c r="R245" s="22" t="n"/>
      <c r="S245" s="22" t="n"/>
      <c r="T245" s="24" t="n"/>
      <c r="U245" s="24" t="n"/>
      <c r="V245" s="25">
        <f>IF(COUNTA(A245,D245,C245,L245)=0,"",IF(A245="","No date - sits outside every month",IF(E245="","No job number",IF(F245="CHECK","Job number is not in the Xero job list",IF(I245="","No cost centre",IF(AND(P245="Y",C245=""),"Marked posted to Xero but has no invoice number",IF(AND(L245&lt;&gt;"",K245=""),"No tax code",IF(AND(L245&lt;&gt;"",O245=""),"No revenue GL code",""))))))))</f>
        <v/>
      </c>
      <c r="W245" s="25">
        <f>IF(E245="","",IF(COUNTIF(tbl_Onsite[Job Number],E245&amp;"")&gt;0,"Onsite",IF(COUNTIF(tbl_Production[Job Number],E245&amp;"")&gt;0,"Production",IF(COUNTIF(tbl_Consulting[Job Number],E245&amp;"")&gt;0,"Consulting","not set up yet"))))</f>
        <v/>
      </c>
      <c r="X245" s="25">
        <f>IF(E245="","",IFERROR(INDEX(lst_JobName,MATCH(E245&amp;"",lst_Jobs,0)),""))</f>
        <v/>
      </c>
      <c r="Y245" s="28">
        <f>IF(E245="","",COUNTIFS(tbl_Finance[Job Number],E245&amp;"",tbl_Finance[Ex GST],"&lt;&gt;"))</f>
        <v/>
      </c>
      <c r="Z245" s="27">
        <f>IF(E245="","",SUMIFS(tbl_Finance[Ex GST],tbl_Finance[Job Number],E245&amp;""))</f>
        <v/>
      </c>
      <c r="AA245" s="27">
        <f>IF(E245="","",SUMIFS(tbl_Finance[Ex GST],tbl_Finance[Job Number],E245&amp;"",tbl_Finance[Xero Invoice No],"&lt;&gt;"))</f>
        <v/>
      </c>
      <c r="AB245" s="27">
        <f>IF(E245="","",Z245-AA245)</f>
        <v/>
      </c>
      <c r="AC245" s="25">
        <f>IF(E245="","",IFERROR(IF(INDEX(tbl_Onsite[Qwilr Quote],MATCH(E245&amp;"",tbl_Onsite[Job Number],0))="","",INDEX(tbl_Onsite[Qwilr Quote],MATCH(E245&amp;"",tbl_Onsite[Job Number],0))),IFERROR(IF(IF(INDEX(tbl_Production[Current RMS No],MATCH(E245&amp;"",tbl_Production[Job Number],0))="",INDEX(tbl_Production[Qwilr Quote],MATCH(E245&amp;"",tbl_Production[Job Number],0)),INDEX(tbl_Production[Current RMS No],MATCH(E245&amp;"",tbl_Production[Job Number],0)))="","",IF(INDEX(tbl_Production[Current RMS No],MATCH(E245&amp;"",tbl_Production[Job Number],0))="",INDEX(tbl_Production[Qwilr Quote],MATCH(E245&amp;"",tbl_Production[Job Number],0)),INDEX(tbl_Production[Current RMS No],MATCH(E245&amp;"",tbl_Production[Job Number],0)))),IFERROR(IF(INDEX(tbl_Consulting[Qwilr Quote],MATCH(E245&amp;"",tbl_Consulting[Job Number],0))="","",INDEX(tbl_Consulting[Qwilr Quote],MATCH(E245&amp;"",tbl_Consulting[Job Number],0))),""))))</f>
        <v/>
      </c>
      <c r="AD245" s="25">
        <f>IF(AC245="","",IF(AND(LEFT(AC245,4)&lt;&gt;"http",IF(H245="Production",set_RMSBase,set_QwilrBase)=""),"",HYPERLINK(IF(LEFT(AC245,4)="http",AC245,IF(H245="Production",set_RMSBase,set_QwilrBase)&amp;AC245),"Open")))</f>
        <v/>
      </c>
      <c r="AE245" s="27">
        <f>IF(E245="","",IFERROR(INDEX(tbl_Production[Total Expense],MATCH(E245&amp;"",tbl_Production[Job Number],0)),IFERROR(INDEX(tbl_Consulting[Total Expense],MATCH(E245&amp;"",tbl_Consulting[Job Number],0)),0)))</f>
        <v/>
      </c>
      <c r="AF245" s="27">
        <f>IF(E245="","",Z245-N(AE245))</f>
        <v/>
      </c>
      <c r="AG245" s="29">
        <f>IFERROR(AF245/Z245,"")</f>
        <v/>
      </c>
      <c r="AH245" s="25">
        <f>IF(E245="","",IFERROR(IF(INDEX(tbl_Onsite[Notes],MATCH(E245&amp;"",tbl_Onsite[Job Number],0))="","",INDEX(tbl_Onsite[Notes],MATCH(E245&amp;"",tbl_Onsite[Job Number],0))),IFERROR(IF(INDEX(tbl_Production[Notes],MATCH(E245&amp;"",tbl_Production[Job Number],0))="","",INDEX(tbl_Production[Notes],MATCH(E245&amp;"",tbl_Production[Job Number],0))),IFERROR(IF(INDEX(tbl_Consulting[Notes],MATCH(E245&amp;"",tbl_Consulting[Job Number],0))="","",INDEX(tbl_Consulting[Notes],MATCH(E245&amp;"",tbl_Consulting[Job Number],0))),""))))</f>
        <v/>
      </c>
    </row>
    <row r="246" ht="15" customHeight="1">
      <c r="A246" s="22" t="n"/>
      <c r="B246" s="23">
        <f>IF(A246="","",EOMONTH(A246,0))</f>
        <v/>
      </c>
      <c r="C246" s="24" t="n"/>
      <c r="D246" s="24" t="n"/>
      <c r="E246" s="24" t="n"/>
      <c r="F246" s="25">
        <f>IF(E246="","",IF(COUNTIF(lst_Jobs,E246&amp;"")&gt;0,"OK","CHECK"))</f>
        <v/>
      </c>
      <c r="G246" s="24" t="n"/>
      <c r="H246" s="24" t="n"/>
      <c r="I246" s="24" t="n"/>
      <c r="J246" s="24" t="n"/>
      <c r="K246" s="24" t="n"/>
      <c r="L246" s="26" t="n"/>
      <c r="M246" s="27">
        <f>IF(L246="","",IF(K246="GST 10%",ROUND(L246*set_GSTRate,2),0))</f>
        <v/>
      </c>
      <c r="N246" s="27">
        <f>IF(L246="","",L246+M246)</f>
        <v/>
      </c>
      <c r="O246" s="24" t="n"/>
      <c r="P246" s="24" t="n"/>
      <c r="Q246" s="24" t="n"/>
      <c r="R246" s="22" t="n"/>
      <c r="S246" s="22" t="n"/>
      <c r="T246" s="24" t="n"/>
      <c r="U246" s="24" t="n"/>
      <c r="V246" s="25">
        <f>IF(COUNTA(A246,D246,C246,L246)=0,"",IF(A246="","No date - sits outside every month",IF(E246="","No job number",IF(F246="CHECK","Job number is not in the Xero job list",IF(I246="","No cost centre",IF(AND(P246="Y",C246=""),"Marked posted to Xero but has no invoice number",IF(AND(L246&lt;&gt;"",K246=""),"No tax code",IF(AND(L246&lt;&gt;"",O246=""),"No revenue GL code",""))))))))</f>
        <v/>
      </c>
      <c r="W246" s="25">
        <f>IF(E246="","",IF(COUNTIF(tbl_Onsite[Job Number],E246&amp;"")&gt;0,"Onsite",IF(COUNTIF(tbl_Production[Job Number],E246&amp;"")&gt;0,"Production",IF(COUNTIF(tbl_Consulting[Job Number],E246&amp;"")&gt;0,"Consulting","not set up yet"))))</f>
        <v/>
      </c>
      <c r="X246" s="25">
        <f>IF(E246="","",IFERROR(INDEX(lst_JobName,MATCH(E246&amp;"",lst_Jobs,0)),""))</f>
        <v/>
      </c>
      <c r="Y246" s="28">
        <f>IF(E246="","",COUNTIFS(tbl_Finance[Job Number],E246&amp;"",tbl_Finance[Ex GST],"&lt;&gt;"))</f>
        <v/>
      </c>
      <c r="Z246" s="27">
        <f>IF(E246="","",SUMIFS(tbl_Finance[Ex GST],tbl_Finance[Job Number],E246&amp;""))</f>
        <v/>
      </c>
      <c r="AA246" s="27">
        <f>IF(E246="","",SUMIFS(tbl_Finance[Ex GST],tbl_Finance[Job Number],E246&amp;"",tbl_Finance[Xero Invoice No],"&lt;&gt;"))</f>
        <v/>
      </c>
      <c r="AB246" s="27">
        <f>IF(E246="","",Z246-AA246)</f>
        <v/>
      </c>
      <c r="AC246" s="25">
        <f>IF(E246="","",IFERROR(IF(INDEX(tbl_Onsite[Qwilr Quote],MATCH(E246&amp;"",tbl_Onsite[Job Number],0))="","",INDEX(tbl_Onsite[Qwilr Quote],MATCH(E246&amp;"",tbl_Onsite[Job Number],0))),IFERROR(IF(IF(INDEX(tbl_Production[Current RMS No],MATCH(E246&amp;"",tbl_Production[Job Number],0))="",INDEX(tbl_Production[Qwilr Quote],MATCH(E246&amp;"",tbl_Production[Job Number],0)),INDEX(tbl_Production[Current RMS No],MATCH(E246&amp;"",tbl_Production[Job Number],0)))="","",IF(INDEX(tbl_Production[Current RMS No],MATCH(E246&amp;"",tbl_Production[Job Number],0))="",INDEX(tbl_Production[Qwilr Quote],MATCH(E246&amp;"",tbl_Production[Job Number],0)),INDEX(tbl_Production[Current RMS No],MATCH(E246&amp;"",tbl_Production[Job Number],0)))),IFERROR(IF(INDEX(tbl_Consulting[Qwilr Quote],MATCH(E246&amp;"",tbl_Consulting[Job Number],0))="","",INDEX(tbl_Consulting[Qwilr Quote],MATCH(E246&amp;"",tbl_Consulting[Job Number],0))),""))))</f>
        <v/>
      </c>
      <c r="AD246" s="25">
        <f>IF(AC246="","",IF(AND(LEFT(AC246,4)&lt;&gt;"http",IF(H246="Production",set_RMSBase,set_QwilrBase)=""),"",HYPERLINK(IF(LEFT(AC246,4)="http",AC246,IF(H246="Production",set_RMSBase,set_QwilrBase)&amp;AC246),"Open")))</f>
        <v/>
      </c>
      <c r="AE246" s="27">
        <f>IF(E246="","",IFERROR(INDEX(tbl_Production[Total Expense],MATCH(E246&amp;"",tbl_Production[Job Number],0)),IFERROR(INDEX(tbl_Consulting[Total Expense],MATCH(E246&amp;"",tbl_Consulting[Job Number],0)),0)))</f>
        <v/>
      </c>
      <c r="AF246" s="27">
        <f>IF(E246="","",Z246-N(AE246))</f>
        <v/>
      </c>
      <c r="AG246" s="29">
        <f>IFERROR(AF246/Z246,"")</f>
        <v/>
      </c>
      <c r="AH246" s="25">
        <f>IF(E246="","",IFERROR(IF(INDEX(tbl_Onsite[Notes],MATCH(E246&amp;"",tbl_Onsite[Job Number],0))="","",INDEX(tbl_Onsite[Notes],MATCH(E246&amp;"",tbl_Onsite[Job Number],0))),IFERROR(IF(INDEX(tbl_Production[Notes],MATCH(E246&amp;"",tbl_Production[Job Number],0))="","",INDEX(tbl_Production[Notes],MATCH(E246&amp;"",tbl_Production[Job Number],0))),IFERROR(IF(INDEX(tbl_Consulting[Notes],MATCH(E246&amp;"",tbl_Consulting[Job Number],0))="","",INDEX(tbl_Consulting[Notes],MATCH(E246&amp;"",tbl_Consulting[Job Number],0))),""))))</f>
        <v/>
      </c>
    </row>
    <row r="247" ht="15" customHeight="1">
      <c r="A247" s="22" t="n"/>
      <c r="B247" s="23">
        <f>IF(A247="","",EOMONTH(A247,0))</f>
        <v/>
      </c>
      <c r="C247" s="24" t="n"/>
      <c r="D247" s="24" t="n"/>
      <c r="E247" s="24" t="n"/>
      <c r="F247" s="25">
        <f>IF(E247="","",IF(COUNTIF(lst_Jobs,E247&amp;"")&gt;0,"OK","CHECK"))</f>
        <v/>
      </c>
      <c r="G247" s="24" t="n"/>
      <c r="H247" s="24" t="n"/>
      <c r="I247" s="24" t="n"/>
      <c r="J247" s="24" t="n"/>
      <c r="K247" s="24" t="n"/>
      <c r="L247" s="26" t="n"/>
      <c r="M247" s="27">
        <f>IF(L247="","",IF(K247="GST 10%",ROUND(L247*set_GSTRate,2),0))</f>
        <v/>
      </c>
      <c r="N247" s="27">
        <f>IF(L247="","",L247+M247)</f>
        <v/>
      </c>
      <c r="O247" s="24" t="n"/>
      <c r="P247" s="24" t="n"/>
      <c r="Q247" s="24" t="n"/>
      <c r="R247" s="22" t="n"/>
      <c r="S247" s="22" t="n"/>
      <c r="T247" s="24" t="n"/>
      <c r="U247" s="24" t="n"/>
      <c r="V247" s="25">
        <f>IF(COUNTA(A247,D247,C247,L247)=0,"",IF(A247="","No date - sits outside every month",IF(E247="","No job number",IF(F247="CHECK","Job number is not in the Xero job list",IF(I247="","No cost centre",IF(AND(P247="Y",C247=""),"Marked posted to Xero but has no invoice number",IF(AND(L247&lt;&gt;"",K247=""),"No tax code",IF(AND(L247&lt;&gt;"",O247=""),"No revenue GL code",""))))))))</f>
        <v/>
      </c>
      <c r="W247" s="25">
        <f>IF(E247="","",IF(COUNTIF(tbl_Onsite[Job Number],E247&amp;"")&gt;0,"Onsite",IF(COUNTIF(tbl_Production[Job Number],E247&amp;"")&gt;0,"Production",IF(COUNTIF(tbl_Consulting[Job Number],E247&amp;"")&gt;0,"Consulting","not set up yet"))))</f>
        <v/>
      </c>
      <c r="X247" s="25">
        <f>IF(E247="","",IFERROR(INDEX(lst_JobName,MATCH(E247&amp;"",lst_Jobs,0)),""))</f>
        <v/>
      </c>
      <c r="Y247" s="28">
        <f>IF(E247="","",COUNTIFS(tbl_Finance[Job Number],E247&amp;"",tbl_Finance[Ex GST],"&lt;&gt;"))</f>
        <v/>
      </c>
      <c r="Z247" s="27">
        <f>IF(E247="","",SUMIFS(tbl_Finance[Ex GST],tbl_Finance[Job Number],E247&amp;""))</f>
        <v/>
      </c>
      <c r="AA247" s="27">
        <f>IF(E247="","",SUMIFS(tbl_Finance[Ex GST],tbl_Finance[Job Number],E247&amp;"",tbl_Finance[Xero Invoice No],"&lt;&gt;"))</f>
        <v/>
      </c>
      <c r="AB247" s="27">
        <f>IF(E247="","",Z247-AA247)</f>
        <v/>
      </c>
      <c r="AC247" s="25">
        <f>IF(E247="","",IFERROR(IF(INDEX(tbl_Onsite[Qwilr Quote],MATCH(E247&amp;"",tbl_Onsite[Job Number],0))="","",INDEX(tbl_Onsite[Qwilr Quote],MATCH(E247&amp;"",tbl_Onsite[Job Number],0))),IFERROR(IF(IF(INDEX(tbl_Production[Current RMS No],MATCH(E247&amp;"",tbl_Production[Job Number],0))="",INDEX(tbl_Production[Qwilr Quote],MATCH(E247&amp;"",tbl_Production[Job Number],0)),INDEX(tbl_Production[Current RMS No],MATCH(E247&amp;"",tbl_Production[Job Number],0)))="","",IF(INDEX(tbl_Production[Current RMS No],MATCH(E247&amp;"",tbl_Production[Job Number],0))="",INDEX(tbl_Production[Qwilr Quote],MATCH(E247&amp;"",tbl_Production[Job Number],0)),INDEX(tbl_Production[Current RMS No],MATCH(E247&amp;"",tbl_Production[Job Number],0)))),IFERROR(IF(INDEX(tbl_Consulting[Qwilr Quote],MATCH(E247&amp;"",tbl_Consulting[Job Number],0))="","",INDEX(tbl_Consulting[Qwilr Quote],MATCH(E247&amp;"",tbl_Consulting[Job Number],0))),""))))</f>
        <v/>
      </c>
      <c r="AD247" s="25">
        <f>IF(AC247="","",IF(AND(LEFT(AC247,4)&lt;&gt;"http",IF(H247="Production",set_RMSBase,set_QwilrBase)=""),"",HYPERLINK(IF(LEFT(AC247,4)="http",AC247,IF(H247="Production",set_RMSBase,set_QwilrBase)&amp;AC247),"Open")))</f>
        <v/>
      </c>
      <c r="AE247" s="27">
        <f>IF(E247="","",IFERROR(INDEX(tbl_Production[Total Expense],MATCH(E247&amp;"",tbl_Production[Job Number],0)),IFERROR(INDEX(tbl_Consulting[Total Expense],MATCH(E247&amp;"",tbl_Consulting[Job Number],0)),0)))</f>
        <v/>
      </c>
      <c r="AF247" s="27">
        <f>IF(E247="","",Z247-N(AE247))</f>
        <v/>
      </c>
      <c r="AG247" s="29">
        <f>IFERROR(AF247/Z247,"")</f>
        <v/>
      </c>
      <c r="AH247" s="25">
        <f>IF(E247="","",IFERROR(IF(INDEX(tbl_Onsite[Notes],MATCH(E247&amp;"",tbl_Onsite[Job Number],0))="","",INDEX(tbl_Onsite[Notes],MATCH(E247&amp;"",tbl_Onsite[Job Number],0))),IFERROR(IF(INDEX(tbl_Production[Notes],MATCH(E247&amp;"",tbl_Production[Job Number],0))="","",INDEX(tbl_Production[Notes],MATCH(E247&amp;"",tbl_Production[Job Number],0))),IFERROR(IF(INDEX(tbl_Consulting[Notes],MATCH(E247&amp;"",tbl_Consulting[Job Number],0))="","",INDEX(tbl_Consulting[Notes],MATCH(E247&amp;"",tbl_Consulting[Job Number],0))),""))))</f>
        <v/>
      </c>
    </row>
    <row r="248" ht="15" customHeight="1">
      <c r="A248" s="22" t="n"/>
      <c r="B248" s="23">
        <f>IF(A248="","",EOMONTH(A248,0))</f>
        <v/>
      </c>
      <c r="C248" s="24" t="n"/>
      <c r="D248" s="24" t="n"/>
      <c r="E248" s="24" t="n"/>
      <c r="F248" s="25">
        <f>IF(E248="","",IF(COUNTIF(lst_Jobs,E248&amp;"")&gt;0,"OK","CHECK"))</f>
        <v/>
      </c>
      <c r="G248" s="24" t="n"/>
      <c r="H248" s="24" t="n"/>
      <c r="I248" s="24" t="n"/>
      <c r="J248" s="24" t="n"/>
      <c r="K248" s="24" t="n"/>
      <c r="L248" s="26" t="n"/>
      <c r="M248" s="27">
        <f>IF(L248="","",IF(K248="GST 10%",ROUND(L248*set_GSTRate,2),0))</f>
        <v/>
      </c>
      <c r="N248" s="27">
        <f>IF(L248="","",L248+M248)</f>
        <v/>
      </c>
      <c r="O248" s="24" t="n"/>
      <c r="P248" s="24" t="n"/>
      <c r="Q248" s="24" t="n"/>
      <c r="R248" s="22" t="n"/>
      <c r="S248" s="22" t="n"/>
      <c r="T248" s="24" t="n"/>
      <c r="U248" s="24" t="n"/>
      <c r="V248" s="25">
        <f>IF(COUNTA(A248,D248,C248,L248)=0,"",IF(A248="","No date - sits outside every month",IF(E248="","No job number",IF(F248="CHECK","Job number is not in the Xero job list",IF(I248="","No cost centre",IF(AND(P248="Y",C248=""),"Marked posted to Xero but has no invoice number",IF(AND(L248&lt;&gt;"",K248=""),"No tax code",IF(AND(L248&lt;&gt;"",O248=""),"No revenue GL code",""))))))))</f>
        <v/>
      </c>
      <c r="W248" s="25">
        <f>IF(E248="","",IF(COUNTIF(tbl_Onsite[Job Number],E248&amp;"")&gt;0,"Onsite",IF(COUNTIF(tbl_Production[Job Number],E248&amp;"")&gt;0,"Production",IF(COUNTIF(tbl_Consulting[Job Number],E248&amp;"")&gt;0,"Consulting","not set up yet"))))</f>
        <v/>
      </c>
      <c r="X248" s="25">
        <f>IF(E248="","",IFERROR(INDEX(lst_JobName,MATCH(E248&amp;"",lst_Jobs,0)),""))</f>
        <v/>
      </c>
      <c r="Y248" s="28">
        <f>IF(E248="","",COUNTIFS(tbl_Finance[Job Number],E248&amp;"",tbl_Finance[Ex GST],"&lt;&gt;"))</f>
        <v/>
      </c>
      <c r="Z248" s="27">
        <f>IF(E248="","",SUMIFS(tbl_Finance[Ex GST],tbl_Finance[Job Number],E248&amp;""))</f>
        <v/>
      </c>
      <c r="AA248" s="27">
        <f>IF(E248="","",SUMIFS(tbl_Finance[Ex GST],tbl_Finance[Job Number],E248&amp;"",tbl_Finance[Xero Invoice No],"&lt;&gt;"))</f>
        <v/>
      </c>
      <c r="AB248" s="27">
        <f>IF(E248="","",Z248-AA248)</f>
        <v/>
      </c>
      <c r="AC248" s="25">
        <f>IF(E248="","",IFERROR(IF(INDEX(tbl_Onsite[Qwilr Quote],MATCH(E248&amp;"",tbl_Onsite[Job Number],0))="","",INDEX(tbl_Onsite[Qwilr Quote],MATCH(E248&amp;"",tbl_Onsite[Job Number],0))),IFERROR(IF(IF(INDEX(tbl_Production[Current RMS No],MATCH(E248&amp;"",tbl_Production[Job Number],0))="",INDEX(tbl_Production[Qwilr Quote],MATCH(E248&amp;"",tbl_Production[Job Number],0)),INDEX(tbl_Production[Current RMS No],MATCH(E248&amp;"",tbl_Production[Job Number],0)))="","",IF(INDEX(tbl_Production[Current RMS No],MATCH(E248&amp;"",tbl_Production[Job Number],0))="",INDEX(tbl_Production[Qwilr Quote],MATCH(E248&amp;"",tbl_Production[Job Number],0)),INDEX(tbl_Production[Current RMS No],MATCH(E248&amp;"",tbl_Production[Job Number],0)))),IFERROR(IF(INDEX(tbl_Consulting[Qwilr Quote],MATCH(E248&amp;"",tbl_Consulting[Job Number],0))="","",INDEX(tbl_Consulting[Qwilr Quote],MATCH(E248&amp;"",tbl_Consulting[Job Number],0))),""))))</f>
        <v/>
      </c>
      <c r="AD248" s="25">
        <f>IF(AC248="","",IF(AND(LEFT(AC248,4)&lt;&gt;"http",IF(H248="Production",set_RMSBase,set_QwilrBase)=""),"",HYPERLINK(IF(LEFT(AC248,4)="http",AC248,IF(H248="Production",set_RMSBase,set_QwilrBase)&amp;AC248),"Open")))</f>
        <v/>
      </c>
      <c r="AE248" s="27">
        <f>IF(E248="","",IFERROR(INDEX(tbl_Production[Total Expense],MATCH(E248&amp;"",tbl_Production[Job Number],0)),IFERROR(INDEX(tbl_Consulting[Total Expense],MATCH(E248&amp;"",tbl_Consulting[Job Number],0)),0)))</f>
        <v/>
      </c>
      <c r="AF248" s="27">
        <f>IF(E248="","",Z248-N(AE248))</f>
        <v/>
      </c>
      <c r="AG248" s="29">
        <f>IFERROR(AF248/Z248,"")</f>
        <v/>
      </c>
      <c r="AH248" s="25">
        <f>IF(E248="","",IFERROR(IF(INDEX(tbl_Onsite[Notes],MATCH(E248&amp;"",tbl_Onsite[Job Number],0))="","",INDEX(tbl_Onsite[Notes],MATCH(E248&amp;"",tbl_Onsite[Job Number],0))),IFERROR(IF(INDEX(tbl_Production[Notes],MATCH(E248&amp;"",tbl_Production[Job Number],0))="","",INDEX(tbl_Production[Notes],MATCH(E248&amp;"",tbl_Production[Job Number],0))),IFERROR(IF(INDEX(tbl_Consulting[Notes],MATCH(E248&amp;"",tbl_Consulting[Job Number],0))="","",INDEX(tbl_Consulting[Notes],MATCH(E248&amp;"",tbl_Consulting[Job Number],0))),""))))</f>
        <v/>
      </c>
    </row>
    <row r="249" ht="15" customHeight="1">
      <c r="A249" s="22" t="n"/>
      <c r="B249" s="23">
        <f>IF(A249="","",EOMONTH(A249,0))</f>
        <v/>
      </c>
      <c r="C249" s="24" t="n"/>
      <c r="D249" s="24" t="n"/>
      <c r="E249" s="24" t="n"/>
      <c r="F249" s="25">
        <f>IF(E249="","",IF(COUNTIF(lst_Jobs,E249&amp;"")&gt;0,"OK","CHECK"))</f>
        <v/>
      </c>
      <c r="G249" s="24" t="n"/>
      <c r="H249" s="24" t="n"/>
      <c r="I249" s="24" t="n"/>
      <c r="J249" s="24" t="n"/>
      <c r="K249" s="24" t="n"/>
      <c r="L249" s="26" t="n"/>
      <c r="M249" s="27">
        <f>IF(L249="","",IF(K249="GST 10%",ROUND(L249*set_GSTRate,2),0))</f>
        <v/>
      </c>
      <c r="N249" s="27">
        <f>IF(L249="","",L249+M249)</f>
        <v/>
      </c>
      <c r="O249" s="24" t="n"/>
      <c r="P249" s="24" t="n"/>
      <c r="Q249" s="24" t="n"/>
      <c r="R249" s="22" t="n"/>
      <c r="S249" s="22" t="n"/>
      <c r="T249" s="24" t="n"/>
      <c r="U249" s="24" t="n"/>
      <c r="V249" s="25">
        <f>IF(COUNTA(A249,D249,C249,L249)=0,"",IF(A249="","No date - sits outside every month",IF(E249="","No job number",IF(F249="CHECK","Job number is not in the Xero job list",IF(I249="","No cost centre",IF(AND(P249="Y",C249=""),"Marked posted to Xero but has no invoice number",IF(AND(L249&lt;&gt;"",K249=""),"No tax code",IF(AND(L249&lt;&gt;"",O249=""),"No revenue GL code",""))))))))</f>
        <v/>
      </c>
      <c r="W249" s="25">
        <f>IF(E249="","",IF(COUNTIF(tbl_Onsite[Job Number],E249&amp;"")&gt;0,"Onsite",IF(COUNTIF(tbl_Production[Job Number],E249&amp;"")&gt;0,"Production",IF(COUNTIF(tbl_Consulting[Job Number],E249&amp;"")&gt;0,"Consulting","not set up yet"))))</f>
        <v/>
      </c>
      <c r="X249" s="25">
        <f>IF(E249="","",IFERROR(INDEX(lst_JobName,MATCH(E249&amp;"",lst_Jobs,0)),""))</f>
        <v/>
      </c>
      <c r="Y249" s="28">
        <f>IF(E249="","",COUNTIFS(tbl_Finance[Job Number],E249&amp;"",tbl_Finance[Ex GST],"&lt;&gt;"))</f>
        <v/>
      </c>
      <c r="Z249" s="27">
        <f>IF(E249="","",SUMIFS(tbl_Finance[Ex GST],tbl_Finance[Job Number],E249&amp;""))</f>
        <v/>
      </c>
      <c r="AA249" s="27">
        <f>IF(E249="","",SUMIFS(tbl_Finance[Ex GST],tbl_Finance[Job Number],E249&amp;"",tbl_Finance[Xero Invoice No],"&lt;&gt;"))</f>
        <v/>
      </c>
      <c r="AB249" s="27">
        <f>IF(E249="","",Z249-AA249)</f>
        <v/>
      </c>
      <c r="AC249" s="25">
        <f>IF(E249="","",IFERROR(IF(INDEX(tbl_Onsite[Qwilr Quote],MATCH(E249&amp;"",tbl_Onsite[Job Number],0))="","",INDEX(tbl_Onsite[Qwilr Quote],MATCH(E249&amp;"",tbl_Onsite[Job Number],0))),IFERROR(IF(IF(INDEX(tbl_Production[Current RMS No],MATCH(E249&amp;"",tbl_Production[Job Number],0))="",INDEX(tbl_Production[Qwilr Quote],MATCH(E249&amp;"",tbl_Production[Job Number],0)),INDEX(tbl_Production[Current RMS No],MATCH(E249&amp;"",tbl_Production[Job Number],0)))="","",IF(INDEX(tbl_Production[Current RMS No],MATCH(E249&amp;"",tbl_Production[Job Number],0))="",INDEX(tbl_Production[Qwilr Quote],MATCH(E249&amp;"",tbl_Production[Job Number],0)),INDEX(tbl_Production[Current RMS No],MATCH(E249&amp;"",tbl_Production[Job Number],0)))),IFERROR(IF(INDEX(tbl_Consulting[Qwilr Quote],MATCH(E249&amp;"",tbl_Consulting[Job Number],0))="","",INDEX(tbl_Consulting[Qwilr Quote],MATCH(E249&amp;"",tbl_Consulting[Job Number],0))),""))))</f>
        <v/>
      </c>
      <c r="AD249" s="25">
        <f>IF(AC249="","",IF(AND(LEFT(AC249,4)&lt;&gt;"http",IF(H249="Production",set_RMSBase,set_QwilrBase)=""),"",HYPERLINK(IF(LEFT(AC249,4)="http",AC249,IF(H249="Production",set_RMSBase,set_QwilrBase)&amp;AC249),"Open")))</f>
        <v/>
      </c>
      <c r="AE249" s="27">
        <f>IF(E249="","",IFERROR(INDEX(tbl_Production[Total Expense],MATCH(E249&amp;"",tbl_Production[Job Number],0)),IFERROR(INDEX(tbl_Consulting[Total Expense],MATCH(E249&amp;"",tbl_Consulting[Job Number],0)),0)))</f>
        <v/>
      </c>
      <c r="AF249" s="27">
        <f>IF(E249="","",Z249-N(AE249))</f>
        <v/>
      </c>
      <c r="AG249" s="29">
        <f>IFERROR(AF249/Z249,"")</f>
        <v/>
      </c>
      <c r="AH249" s="25">
        <f>IF(E249="","",IFERROR(IF(INDEX(tbl_Onsite[Notes],MATCH(E249&amp;"",tbl_Onsite[Job Number],0))="","",INDEX(tbl_Onsite[Notes],MATCH(E249&amp;"",tbl_Onsite[Job Number],0))),IFERROR(IF(INDEX(tbl_Production[Notes],MATCH(E249&amp;"",tbl_Production[Job Number],0))="","",INDEX(tbl_Production[Notes],MATCH(E249&amp;"",tbl_Production[Job Number],0))),IFERROR(IF(INDEX(tbl_Consulting[Notes],MATCH(E249&amp;"",tbl_Consulting[Job Number],0))="","",INDEX(tbl_Consulting[Notes],MATCH(E249&amp;"",tbl_Consulting[Job Number],0))),""))))</f>
        <v/>
      </c>
    </row>
    <row r="250" ht="15" customHeight="1">
      <c r="A250" s="22" t="n"/>
      <c r="B250" s="23">
        <f>IF(A250="","",EOMONTH(A250,0))</f>
        <v/>
      </c>
      <c r="C250" s="24" t="n"/>
      <c r="D250" s="24" t="n"/>
      <c r="E250" s="24" t="n"/>
      <c r="F250" s="25">
        <f>IF(E250="","",IF(COUNTIF(lst_Jobs,E250&amp;"")&gt;0,"OK","CHECK"))</f>
        <v/>
      </c>
      <c r="G250" s="24" t="n"/>
      <c r="H250" s="24" t="n"/>
      <c r="I250" s="24" t="n"/>
      <c r="J250" s="24" t="n"/>
      <c r="K250" s="24" t="n"/>
      <c r="L250" s="26" t="n"/>
      <c r="M250" s="27">
        <f>IF(L250="","",IF(K250="GST 10%",ROUND(L250*set_GSTRate,2),0))</f>
        <v/>
      </c>
      <c r="N250" s="27">
        <f>IF(L250="","",L250+M250)</f>
        <v/>
      </c>
      <c r="O250" s="24" t="n"/>
      <c r="P250" s="24" t="n"/>
      <c r="Q250" s="24" t="n"/>
      <c r="R250" s="22" t="n"/>
      <c r="S250" s="22" t="n"/>
      <c r="T250" s="24" t="n"/>
      <c r="U250" s="24" t="n"/>
      <c r="V250" s="25">
        <f>IF(COUNTA(A250,D250,C250,L250)=0,"",IF(A250="","No date - sits outside every month",IF(E250="","No job number",IF(F250="CHECK","Job number is not in the Xero job list",IF(I250="","No cost centre",IF(AND(P250="Y",C250=""),"Marked posted to Xero but has no invoice number",IF(AND(L250&lt;&gt;"",K250=""),"No tax code",IF(AND(L250&lt;&gt;"",O250=""),"No revenue GL code",""))))))))</f>
        <v/>
      </c>
      <c r="W250" s="25">
        <f>IF(E250="","",IF(COUNTIF(tbl_Onsite[Job Number],E250&amp;"")&gt;0,"Onsite",IF(COUNTIF(tbl_Production[Job Number],E250&amp;"")&gt;0,"Production",IF(COUNTIF(tbl_Consulting[Job Number],E250&amp;"")&gt;0,"Consulting","not set up yet"))))</f>
        <v/>
      </c>
      <c r="X250" s="25">
        <f>IF(E250="","",IFERROR(INDEX(lst_JobName,MATCH(E250&amp;"",lst_Jobs,0)),""))</f>
        <v/>
      </c>
      <c r="Y250" s="28">
        <f>IF(E250="","",COUNTIFS(tbl_Finance[Job Number],E250&amp;"",tbl_Finance[Ex GST],"&lt;&gt;"))</f>
        <v/>
      </c>
      <c r="Z250" s="27">
        <f>IF(E250="","",SUMIFS(tbl_Finance[Ex GST],tbl_Finance[Job Number],E250&amp;""))</f>
        <v/>
      </c>
      <c r="AA250" s="27">
        <f>IF(E250="","",SUMIFS(tbl_Finance[Ex GST],tbl_Finance[Job Number],E250&amp;"",tbl_Finance[Xero Invoice No],"&lt;&gt;"))</f>
        <v/>
      </c>
      <c r="AB250" s="27">
        <f>IF(E250="","",Z250-AA250)</f>
        <v/>
      </c>
      <c r="AC250" s="25">
        <f>IF(E250="","",IFERROR(IF(INDEX(tbl_Onsite[Qwilr Quote],MATCH(E250&amp;"",tbl_Onsite[Job Number],0))="","",INDEX(tbl_Onsite[Qwilr Quote],MATCH(E250&amp;"",tbl_Onsite[Job Number],0))),IFERROR(IF(IF(INDEX(tbl_Production[Current RMS No],MATCH(E250&amp;"",tbl_Production[Job Number],0))="",INDEX(tbl_Production[Qwilr Quote],MATCH(E250&amp;"",tbl_Production[Job Number],0)),INDEX(tbl_Production[Current RMS No],MATCH(E250&amp;"",tbl_Production[Job Number],0)))="","",IF(INDEX(tbl_Production[Current RMS No],MATCH(E250&amp;"",tbl_Production[Job Number],0))="",INDEX(tbl_Production[Qwilr Quote],MATCH(E250&amp;"",tbl_Production[Job Number],0)),INDEX(tbl_Production[Current RMS No],MATCH(E250&amp;"",tbl_Production[Job Number],0)))),IFERROR(IF(INDEX(tbl_Consulting[Qwilr Quote],MATCH(E250&amp;"",tbl_Consulting[Job Number],0))="","",INDEX(tbl_Consulting[Qwilr Quote],MATCH(E250&amp;"",tbl_Consulting[Job Number],0))),""))))</f>
        <v/>
      </c>
      <c r="AD250" s="25">
        <f>IF(AC250="","",IF(AND(LEFT(AC250,4)&lt;&gt;"http",IF(H250="Production",set_RMSBase,set_QwilrBase)=""),"",HYPERLINK(IF(LEFT(AC250,4)="http",AC250,IF(H250="Production",set_RMSBase,set_QwilrBase)&amp;AC250),"Open")))</f>
        <v/>
      </c>
      <c r="AE250" s="27">
        <f>IF(E250="","",IFERROR(INDEX(tbl_Production[Total Expense],MATCH(E250&amp;"",tbl_Production[Job Number],0)),IFERROR(INDEX(tbl_Consulting[Total Expense],MATCH(E250&amp;"",tbl_Consulting[Job Number],0)),0)))</f>
        <v/>
      </c>
      <c r="AF250" s="27">
        <f>IF(E250="","",Z250-N(AE250))</f>
        <v/>
      </c>
      <c r="AG250" s="29">
        <f>IFERROR(AF250/Z250,"")</f>
        <v/>
      </c>
      <c r="AH250" s="25">
        <f>IF(E250="","",IFERROR(IF(INDEX(tbl_Onsite[Notes],MATCH(E250&amp;"",tbl_Onsite[Job Number],0))="","",INDEX(tbl_Onsite[Notes],MATCH(E250&amp;"",tbl_Onsite[Job Number],0))),IFERROR(IF(INDEX(tbl_Production[Notes],MATCH(E250&amp;"",tbl_Production[Job Number],0))="","",INDEX(tbl_Production[Notes],MATCH(E250&amp;"",tbl_Production[Job Number],0))),IFERROR(IF(INDEX(tbl_Consulting[Notes],MATCH(E250&amp;"",tbl_Consulting[Job Number],0))="","",INDEX(tbl_Consulting[Notes],MATCH(E250&amp;"",tbl_Consulting[Job Number],0))),""))))</f>
        <v/>
      </c>
    </row>
    <row r="251" ht="15" customHeight="1">
      <c r="A251" s="22" t="n"/>
      <c r="B251" s="23">
        <f>IF(A251="","",EOMONTH(A251,0))</f>
        <v/>
      </c>
      <c r="C251" s="24" t="n"/>
      <c r="D251" s="24" t="n"/>
      <c r="E251" s="24" t="n"/>
      <c r="F251" s="25">
        <f>IF(E251="","",IF(COUNTIF(lst_Jobs,E251&amp;"")&gt;0,"OK","CHECK"))</f>
        <v/>
      </c>
      <c r="G251" s="24" t="n"/>
      <c r="H251" s="24" t="n"/>
      <c r="I251" s="24" t="n"/>
      <c r="J251" s="24" t="n"/>
      <c r="K251" s="24" t="n"/>
      <c r="L251" s="26" t="n"/>
      <c r="M251" s="27">
        <f>IF(L251="","",IF(K251="GST 10%",ROUND(L251*set_GSTRate,2),0))</f>
        <v/>
      </c>
      <c r="N251" s="27">
        <f>IF(L251="","",L251+M251)</f>
        <v/>
      </c>
      <c r="O251" s="24" t="n"/>
      <c r="P251" s="24" t="n"/>
      <c r="Q251" s="24" t="n"/>
      <c r="R251" s="22" t="n"/>
      <c r="S251" s="22" t="n"/>
      <c r="T251" s="24" t="n"/>
      <c r="U251" s="24" t="n"/>
      <c r="V251" s="25">
        <f>IF(COUNTA(A251,D251,C251,L251)=0,"",IF(A251="","No date - sits outside every month",IF(E251="","No job number",IF(F251="CHECK","Job number is not in the Xero job list",IF(I251="","No cost centre",IF(AND(P251="Y",C251=""),"Marked posted to Xero but has no invoice number",IF(AND(L251&lt;&gt;"",K251=""),"No tax code",IF(AND(L251&lt;&gt;"",O251=""),"No revenue GL code",""))))))))</f>
        <v/>
      </c>
      <c r="W251" s="25">
        <f>IF(E251="","",IF(COUNTIF(tbl_Onsite[Job Number],E251&amp;"")&gt;0,"Onsite",IF(COUNTIF(tbl_Production[Job Number],E251&amp;"")&gt;0,"Production",IF(COUNTIF(tbl_Consulting[Job Number],E251&amp;"")&gt;0,"Consulting","not set up yet"))))</f>
        <v/>
      </c>
      <c r="X251" s="25">
        <f>IF(E251="","",IFERROR(INDEX(lst_JobName,MATCH(E251&amp;"",lst_Jobs,0)),""))</f>
        <v/>
      </c>
      <c r="Y251" s="28">
        <f>IF(E251="","",COUNTIFS(tbl_Finance[Job Number],E251&amp;"",tbl_Finance[Ex GST],"&lt;&gt;"))</f>
        <v/>
      </c>
      <c r="Z251" s="27">
        <f>IF(E251="","",SUMIFS(tbl_Finance[Ex GST],tbl_Finance[Job Number],E251&amp;""))</f>
        <v/>
      </c>
      <c r="AA251" s="27">
        <f>IF(E251="","",SUMIFS(tbl_Finance[Ex GST],tbl_Finance[Job Number],E251&amp;"",tbl_Finance[Xero Invoice No],"&lt;&gt;"))</f>
        <v/>
      </c>
      <c r="AB251" s="27">
        <f>IF(E251="","",Z251-AA251)</f>
        <v/>
      </c>
      <c r="AC251" s="25">
        <f>IF(E251="","",IFERROR(IF(INDEX(tbl_Onsite[Qwilr Quote],MATCH(E251&amp;"",tbl_Onsite[Job Number],0))="","",INDEX(tbl_Onsite[Qwilr Quote],MATCH(E251&amp;"",tbl_Onsite[Job Number],0))),IFERROR(IF(IF(INDEX(tbl_Production[Current RMS No],MATCH(E251&amp;"",tbl_Production[Job Number],0))="",INDEX(tbl_Production[Qwilr Quote],MATCH(E251&amp;"",tbl_Production[Job Number],0)),INDEX(tbl_Production[Current RMS No],MATCH(E251&amp;"",tbl_Production[Job Number],0)))="","",IF(INDEX(tbl_Production[Current RMS No],MATCH(E251&amp;"",tbl_Production[Job Number],0))="",INDEX(tbl_Production[Qwilr Quote],MATCH(E251&amp;"",tbl_Production[Job Number],0)),INDEX(tbl_Production[Current RMS No],MATCH(E251&amp;"",tbl_Production[Job Number],0)))),IFERROR(IF(INDEX(tbl_Consulting[Qwilr Quote],MATCH(E251&amp;"",tbl_Consulting[Job Number],0))="","",INDEX(tbl_Consulting[Qwilr Quote],MATCH(E251&amp;"",tbl_Consulting[Job Number],0))),""))))</f>
        <v/>
      </c>
      <c r="AD251" s="25">
        <f>IF(AC251="","",IF(AND(LEFT(AC251,4)&lt;&gt;"http",IF(H251="Production",set_RMSBase,set_QwilrBase)=""),"",HYPERLINK(IF(LEFT(AC251,4)="http",AC251,IF(H251="Production",set_RMSBase,set_QwilrBase)&amp;AC251),"Open")))</f>
        <v/>
      </c>
      <c r="AE251" s="27">
        <f>IF(E251="","",IFERROR(INDEX(tbl_Production[Total Expense],MATCH(E251&amp;"",tbl_Production[Job Number],0)),IFERROR(INDEX(tbl_Consulting[Total Expense],MATCH(E251&amp;"",tbl_Consulting[Job Number],0)),0)))</f>
        <v/>
      </c>
      <c r="AF251" s="27">
        <f>IF(E251="","",Z251-N(AE251))</f>
        <v/>
      </c>
      <c r="AG251" s="29">
        <f>IFERROR(AF251/Z251,"")</f>
        <v/>
      </c>
      <c r="AH251" s="25">
        <f>IF(E251="","",IFERROR(IF(INDEX(tbl_Onsite[Notes],MATCH(E251&amp;"",tbl_Onsite[Job Number],0))="","",INDEX(tbl_Onsite[Notes],MATCH(E251&amp;"",tbl_Onsite[Job Number],0))),IFERROR(IF(INDEX(tbl_Production[Notes],MATCH(E251&amp;"",tbl_Production[Job Number],0))="","",INDEX(tbl_Production[Notes],MATCH(E251&amp;"",tbl_Production[Job Number],0))),IFERROR(IF(INDEX(tbl_Consulting[Notes],MATCH(E251&amp;"",tbl_Consulting[Job Number],0))="","",INDEX(tbl_Consulting[Notes],MATCH(E251&amp;"",tbl_Consulting[Job Number],0))),""))))</f>
        <v/>
      </c>
    </row>
    <row r="252" ht="15" customHeight="1">
      <c r="A252" s="22" t="n"/>
      <c r="B252" s="23">
        <f>IF(A252="","",EOMONTH(A252,0))</f>
        <v/>
      </c>
      <c r="C252" s="24" t="n"/>
      <c r="D252" s="24" t="n"/>
      <c r="E252" s="24" t="n"/>
      <c r="F252" s="25">
        <f>IF(E252="","",IF(COUNTIF(lst_Jobs,E252&amp;"")&gt;0,"OK","CHECK"))</f>
        <v/>
      </c>
      <c r="G252" s="24" t="n"/>
      <c r="H252" s="24" t="n"/>
      <c r="I252" s="24" t="n"/>
      <c r="J252" s="24" t="n"/>
      <c r="K252" s="24" t="n"/>
      <c r="L252" s="26" t="n"/>
      <c r="M252" s="27">
        <f>IF(L252="","",IF(K252="GST 10%",ROUND(L252*set_GSTRate,2),0))</f>
        <v/>
      </c>
      <c r="N252" s="27">
        <f>IF(L252="","",L252+M252)</f>
        <v/>
      </c>
      <c r="O252" s="24" t="n"/>
      <c r="P252" s="24" t="n"/>
      <c r="Q252" s="24" t="n"/>
      <c r="R252" s="22" t="n"/>
      <c r="S252" s="22" t="n"/>
      <c r="T252" s="24" t="n"/>
      <c r="U252" s="24" t="n"/>
      <c r="V252" s="25">
        <f>IF(COUNTA(A252,D252,C252,L252)=0,"",IF(A252="","No date - sits outside every month",IF(E252="","No job number",IF(F252="CHECK","Job number is not in the Xero job list",IF(I252="","No cost centre",IF(AND(P252="Y",C252=""),"Marked posted to Xero but has no invoice number",IF(AND(L252&lt;&gt;"",K252=""),"No tax code",IF(AND(L252&lt;&gt;"",O252=""),"No revenue GL code",""))))))))</f>
        <v/>
      </c>
      <c r="W252" s="25">
        <f>IF(E252="","",IF(COUNTIF(tbl_Onsite[Job Number],E252&amp;"")&gt;0,"Onsite",IF(COUNTIF(tbl_Production[Job Number],E252&amp;"")&gt;0,"Production",IF(COUNTIF(tbl_Consulting[Job Number],E252&amp;"")&gt;0,"Consulting","not set up yet"))))</f>
        <v/>
      </c>
      <c r="X252" s="25">
        <f>IF(E252="","",IFERROR(INDEX(lst_JobName,MATCH(E252&amp;"",lst_Jobs,0)),""))</f>
        <v/>
      </c>
      <c r="Y252" s="28">
        <f>IF(E252="","",COUNTIFS(tbl_Finance[Job Number],E252&amp;"",tbl_Finance[Ex GST],"&lt;&gt;"))</f>
        <v/>
      </c>
      <c r="Z252" s="27">
        <f>IF(E252="","",SUMIFS(tbl_Finance[Ex GST],tbl_Finance[Job Number],E252&amp;""))</f>
        <v/>
      </c>
      <c r="AA252" s="27">
        <f>IF(E252="","",SUMIFS(tbl_Finance[Ex GST],tbl_Finance[Job Number],E252&amp;"",tbl_Finance[Xero Invoice No],"&lt;&gt;"))</f>
        <v/>
      </c>
      <c r="AB252" s="27">
        <f>IF(E252="","",Z252-AA252)</f>
        <v/>
      </c>
      <c r="AC252" s="25">
        <f>IF(E252="","",IFERROR(IF(INDEX(tbl_Onsite[Qwilr Quote],MATCH(E252&amp;"",tbl_Onsite[Job Number],0))="","",INDEX(tbl_Onsite[Qwilr Quote],MATCH(E252&amp;"",tbl_Onsite[Job Number],0))),IFERROR(IF(IF(INDEX(tbl_Production[Current RMS No],MATCH(E252&amp;"",tbl_Production[Job Number],0))="",INDEX(tbl_Production[Qwilr Quote],MATCH(E252&amp;"",tbl_Production[Job Number],0)),INDEX(tbl_Production[Current RMS No],MATCH(E252&amp;"",tbl_Production[Job Number],0)))="","",IF(INDEX(tbl_Production[Current RMS No],MATCH(E252&amp;"",tbl_Production[Job Number],0))="",INDEX(tbl_Production[Qwilr Quote],MATCH(E252&amp;"",tbl_Production[Job Number],0)),INDEX(tbl_Production[Current RMS No],MATCH(E252&amp;"",tbl_Production[Job Number],0)))),IFERROR(IF(INDEX(tbl_Consulting[Qwilr Quote],MATCH(E252&amp;"",tbl_Consulting[Job Number],0))="","",INDEX(tbl_Consulting[Qwilr Quote],MATCH(E252&amp;"",tbl_Consulting[Job Number],0))),""))))</f>
        <v/>
      </c>
      <c r="AD252" s="25">
        <f>IF(AC252="","",IF(AND(LEFT(AC252,4)&lt;&gt;"http",IF(H252="Production",set_RMSBase,set_QwilrBase)=""),"",HYPERLINK(IF(LEFT(AC252,4)="http",AC252,IF(H252="Production",set_RMSBase,set_QwilrBase)&amp;AC252),"Open")))</f>
        <v/>
      </c>
      <c r="AE252" s="27">
        <f>IF(E252="","",IFERROR(INDEX(tbl_Production[Total Expense],MATCH(E252&amp;"",tbl_Production[Job Number],0)),IFERROR(INDEX(tbl_Consulting[Total Expense],MATCH(E252&amp;"",tbl_Consulting[Job Number],0)),0)))</f>
        <v/>
      </c>
      <c r="AF252" s="27">
        <f>IF(E252="","",Z252-N(AE252))</f>
        <v/>
      </c>
      <c r="AG252" s="29">
        <f>IFERROR(AF252/Z252,"")</f>
        <v/>
      </c>
      <c r="AH252" s="25">
        <f>IF(E252="","",IFERROR(IF(INDEX(tbl_Onsite[Notes],MATCH(E252&amp;"",tbl_Onsite[Job Number],0))="","",INDEX(tbl_Onsite[Notes],MATCH(E252&amp;"",tbl_Onsite[Job Number],0))),IFERROR(IF(INDEX(tbl_Production[Notes],MATCH(E252&amp;"",tbl_Production[Job Number],0))="","",INDEX(tbl_Production[Notes],MATCH(E252&amp;"",tbl_Production[Job Number],0))),IFERROR(IF(INDEX(tbl_Consulting[Notes],MATCH(E252&amp;"",tbl_Consulting[Job Number],0))="","",INDEX(tbl_Consulting[Notes],MATCH(E252&amp;"",tbl_Consulting[Job Number],0))),""))))</f>
        <v/>
      </c>
    </row>
    <row r="253" ht="15" customHeight="1">
      <c r="A253" s="22" t="n"/>
      <c r="B253" s="23">
        <f>IF(A253="","",EOMONTH(A253,0))</f>
        <v/>
      </c>
      <c r="C253" s="24" t="n"/>
      <c r="D253" s="24" t="n"/>
      <c r="E253" s="24" t="n"/>
      <c r="F253" s="25">
        <f>IF(E253="","",IF(COUNTIF(lst_Jobs,E253&amp;"")&gt;0,"OK","CHECK"))</f>
        <v/>
      </c>
      <c r="G253" s="24" t="n"/>
      <c r="H253" s="24" t="n"/>
      <c r="I253" s="24" t="n"/>
      <c r="J253" s="24" t="n"/>
      <c r="K253" s="24" t="n"/>
      <c r="L253" s="26" t="n"/>
      <c r="M253" s="27">
        <f>IF(L253="","",IF(K253="GST 10%",ROUND(L253*set_GSTRate,2),0))</f>
        <v/>
      </c>
      <c r="N253" s="27">
        <f>IF(L253="","",L253+M253)</f>
        <v/>
      </c>
      <c r="O253" s="24" t="n"/>
      <c r="P253" s="24" t="n"/>
      <c r="Q253" s="24" t="n"/>
      <c r="R253" s="22" t="n"/>
      <c r="S253" s="22" t="n"/>
      <c r="T253" s="24" t="n"/>
      <c r="U253" s="24" t="n"/>
      <c r="V253" s="25">
        <f>IF(COUNTA(A253,D253,C253,L253)=0,"",IF(A253="","No date - sits outside every month",IF(E253="","No job number",IF(F253="CHECK","Job number is not in the Xero job list",IF(I253="","No cost centre",IF(AND(P253="Y",C253=""),"Marked posted to Xero but has no invoice number",IF(AND(L253&lt;&gt;"",K253=""),"No tax code",IF(AND(L253&lt;&gt;"",O253=""),"No revenue GL code",""))))))))</f>
        <v/>
      </c>
      <c r="W253" s="25">
        <f>IF(E253="","",IF(COUNTIF(tbl_Onsite[Job Number],E253&amp;"")&gt;0,"Onsite",IF(COUNTIF(tbl_Production[Job Number],E253&amp;"")&gt;0,"Production",IF(COUNTIF(tbl_Consulting[Job Number],E253&amp;"")&gt;0,"Consulting","not set up yet"))))</f>
        <v/>
      </c>
      <c r="X253" s="25">
        <f>IF(E253="","",IFERROR(INDEX(lst_JobName,MATCH(E253&amp;"",lst_Jobs,0)),""))</f>
        <v/>
      </c>
      <c r="Y253" s="28">
        <f>IF(E253="","",COUNTIFS(tbl_Finance[Job Number],E253&amp;"",tbl_Finance[Ex GST],"&lt;&gt;"))</f>
        <v/>
      </c>
      <c r="Z253" s="27">
        <f>IF(E253="","",SUMIFS(tbl_Finance[Ex GST],tbl_Finance[Job Number],E253&amp;""))</f>
        <v/>
      </c>
      <c r="AA253" s="27">
        <f>IF(E253="","",SUMIFS(tbl_Finance[Ex GST],tbl_Finance[Job Number],E253&amp;"",tbl_Finance[Xero Invoice No],"&lt;&gt;"))</f>
        <v/>
      </c>
      <c r="AB253" s="27">
        <f>IF(E253="","",Z253-AA253)</f>
        <v/>
      </c>
      <c r="AC253" s="25">
        <f>IF(E253="","",IFERROR(IF(INDEX(tbl_Onsite[Qwilr Quote],MATCH(E253&amp;"",tbl_Onsite[Job Number],0))="","",INDEX(tbl_Onsite[Qwilr Quote],MATCH(E253&amp;"",tbl_Onsite[Job Number],0))),IFERROR(IF(IF(INDEX(tbl_Production[Current RMS No],MATCH(E253&amp;"",tbl_Production[Job Number],0))="",INDEX(tbl_Production[Qwilr Quote],MATCH(E253&amp;"",tbl_Production[Job Number],0)),INDEX(tbl_Production[Current RMS No],MATCH(E253&amp;"",tbl_Production[Job Number],0)))="","",IF(INDEX(tbl_Production[Current RMS No],MATCH(E253&amp;"",tbl_Production[Job Number],0))="",INDEX(tbl_Production[Qwilr Quote],MATCH(E253&amp;"",tbl_Production[Job Number],0)),INDEX(tbl_Production[Current RMS No],MATCH(E253&amp;"",tbl_Production[Job Number],0)))),IFERROR(IF(INDEX(tbl_Consulting[Qwilr Quote],MATCH(E253&amp;"",tbl_Consulting[Job Number],0))="","",INDEX(tbl_Consulting[Qwilr Quote],MATCH(E253&amp;"",tbl_Consulting[Job Number],0))),""))))</f>
        <v/>
      </c>
      <c r="AD253" s="25">
        <f>IF(AC253="","",IF(AND(LEFT(AC253,4)&lt;&gt;"http",IF(H253="Production",set_RMSBase,set_QwilrBase)=""),"",HYPERLINK(IF(LEFT(AC253,4)="http",AC253,IF(H253="Production",set_RMSBase,set_QwilrBase)&amp;AC253),"Open")))</f>
        <v/>
      </c>
      <c r="AE253" s="27">
        <f>IF(E253="","",IFERROR(INDEX(tbl_Production[Total Expense],MATCH(E253&amp;"",tbl_Production[Job Number],0)),IFERROR(INDEX(tbl_Consulting[Total Expense],MATCH(E253&amp;"",tbl_Consulting[Job Number],0)),0)))</f>
        <v/>
      </c>
      <c r="AF253" s="27">
        <f>IF(E253="","",Z253-N(AE253))</f>
        <v/>
      </c>
      <c r="AG253" s="29">
        <f>IFERROR(AF253/Z253,"")</f>
        <v/>
      </c>
      <c r="AH253" s="25">
        <f>IF(E253="","",IFERROR(IF(INDEX(tbl_Onsite[Notes],MATCH(E253&amp;"",tbl_Onsite[Job Number],0))="","",INDEX(tbl_Onsite[Notes],MATCH(E253&amp;"",tbl_Onsite[Job Number],0))),IFERROR(IF(INDEX(tbl_Production[Notes],MATCH(E253&amp;"",tbl_Production[Job Number],0))="","",INDEX(tbl_Production[Notes],MATCH(E253&amp;"",tbl_Production[Job Number],0))),IFERROR(IF(INDEX(tbl_Consulting[Notes],MATCH(E253&amp;"",tbl_Consulting[Job Number],0))="","",INDEX(tbl_Consulting[Notes],MATCH(E253&amp;"",tbl_Consulting[Job Number],0))),""))))</f>
        <v/>
      </c>
    </row>
    <row r="254" ht="15" customHeight="1">
      <c r="A254" s="22" t="n"/>
      <c r="B254" s="23">
        <f>IF(A254="","",EOMONTH(A254,0))</f>
        <v/>
      </c>
      <c r="C254" s="24" t="n"/>
      <c r="D254" s="24" t="n"/>
      <c r="E254" s="24" t="n"/>
      <c r="F254" s="25">
        <f>IF(E254="","",IF(COUNTIF(lst_Jobs,E254&amp;"")&gt;0,"OK","CHECK"))</f>
        <v/>
      </c>
      <c r="G254" s="24" t="n"/>
      <c r="H254" s="24" t="n"/>
      <c r="I254" s="24" t="n"/>
      <c r="J254" s="24" t="n"/>
      <c r="K254" s="24" t="n"/>
      <c r="L254" s="26" t="n"/>
      <c r="M254" s="27">
        <f>IF(L254="","",IF(K254="GST 10%",ROUND(L254*set_GSTRate,2),0))</f>
        <v/>
      </c>
      <c r="N254" s="27">
        <f>IF(L254="","",L254+M254)</f>
        <v/>
      </c>
      <c r="O254" s="24" t="n"/>
      <c r="P254" s="24" t="n"/>
      <c r="Q254" s="24" t="n"/>
      <c r="R254" s="22" t="n"/>
      <c r="S254" s="22" t="n"/>
      <c r="T254" s="24" t="n"/>
      <c r="U254" s="24" t="n"/>
      <c r="V254" s="25">
        <f>IF(COUNTA(A254,D254,C254,L254)=0,"",IF(A254="","No date - sits outside every month",IF(E254="","No job number",IF(F254="CHECK","Job number is not in the Xero job list",IF(I254="","No cost centre",IF(AND(P254="Y",C254=""),"Marked posted to Xero but has no invoice number",IF(AND(L254&lt;&gt;"",K254=""),"No tax code",IF(AND(L254&lt;&gt;"",O254=""),"No revenue GL code",""))))))))</f>
        <v/>
      </c>
      <c r="W254" s="25">
        <f>IF(E254="","",IF(COUNTIF(tbl_Onsite[Job Number],E254&amp;"")&gt;0,"Onsite",IF(COUNTIF(tbl_Production[Job Number],E254&amp;"")&gt;0,"Production",IF(COUNTIF(tbl_Consulting[Job Number],E254&amp;"")&gt;0,"Consulting","not set up yet"))))</f>
        <v/>
      </c>
      <c r="X254" s="25">
        <f>IF(E254="","",IFERROR(INDEX(lst_JobName,MATCH(E254&amp;"",lst_Jobs,0)),""))</f>
        <v/>
      </c>
      <c r="Y254" s="28">
        <f>IF(E254="","",COUNTIFS(tbl_Finance[Job Number],E254&amp;"",tbl_Finance[Ex GST],"&lt;&gt;"))</f>
        <v/>
      </c>
      <c r="Z254" s="27">
        <f>IF(E254="","",SUMIFS(tbl_Finance[Ex GST],tbl_Finance[Job Number],E254&amp;""))</f>
        <v/>
      </c>
      <c r="AA254" s="27">
        <f>IF(E254="","",SUMIFS(tbl_Finance[Ex GST],tbl_Finance[Job Number],E254&amp;"",tbl_Finance[Xero Invoice No],"&lt;&gt;"))</f>
        <v/>
      </c>
      <c r="AB254" s="27">
        <f>IF(E254="","",Z254-AA254)</f>
        <v/>
      </c>
      <c r="AC254" s="25">
        <f>IF(E254="","",IFERROR(IF(INDEX(tbl_Onsite[Qwilr Quote],MATCH(E254&amp;"",tbl_Onsite[Job Number],0))="","",INDEX(tbl_Onsite[Qwilr Quote],MATCH(E254&amp;"",tbl_Onsite[Job Number],0))),IFERROR(IF(IF(INDEX(tbl_Production[Current RMS No],MATCH(E254&amp;"",tbl_Production[Job Number],0))="",INDEX(tbl_Production[Qwilr Quote],MATCH(E254&amp;"",tbl_Production[Job Number],0)),INDEX(tbl_Production[Current RMS No],MATCH(E254&amp;"",tbl_Production[Job Number],0)))="","",IF(INDEX(tbl_Production[Current RMS No],MATCH(E254&amp;"",tbl_Production[Job Number],0))="",INDEX(tbl_Production[Qwilr Quote],MATCH(E254&amp;"",tbl_Production[Job Number],0)),INDEX(tbl_Production[Current RMS No],MATCH(E254&amp;"",tbl_Production[Job Number],0)))),IFERROR(IF(INDEX(tbl_Consulting[Qwilr Quote],MATCH(E254&amp;"",tbl_Consulting[Job Number],0))="","",INDEX(tbl_Consulting[Qwilr Quote],MATCH(E254&amp;"",tbl_Consulting[Job Number],0))),""))))</f>
        <v/>
      </c>
      <c r="AD254" s="25">
        <f>IF(AC254="","",IF(AND(LEFT(AC254,4)&lt;&gt;"http",IF(H254="Production",set_RMSBase,set_QwilrBase)=""),"",HYPERLINK(IF(LEFT(AC254,4)="http",AC254,IF(H254="Production",set_RMSBase,set_QwilrBase)&amp;AC254),"Open")))</f>
        <v/>
      </c>
      <c r="AE254" s="27">
        <f>IF(E254="","",IFERROR(INDEX(tbl_Production[Total Expense],MATCH(E254&amp;"",tbl_Production[Job Number],0)),IFERROR(INDEX(tbl_Consulting[Total Expense],MATCH(E254&amp;"",tbl_Consulting[Job Number],0)),0)))</f>
        <v/>
      </c>
      <c r="AF254" s="27">
        <f>IF(E254="","",Z254-N(AE254))</f>
        <v/>
      </c>
      <c r="AG254" s="29">
        <f>IFERROR(AF254/Z254,"")</f>
        <v/>
      </c>
      <c r="AH254" s="25">
        <f>IF(E254="","",IFERROR(IF(INDEX(tbl_Onsite[Notes],MATCH(E254&amp;"",tbl_Onsite[Job Number],0))="","",INDEX(tbl_Onsite[Notes],MATCH(E254&amp;"",tbl_Onsite[Job Number],0))),IFERROR(IF(INDEX(tbl_Production[Notes],MATCH(E254&amp;"",tbl_Production[Job Number],0))="","",INDEX(tbl_Production[Notes],MATCH(E254&amp;"",tbl_Production[Job Number],0))),IFERROR(IF(INDEX(tbl_Consulting[Notes],MATCH(E254&amp;"",tbl_Consulting[Job Number],0))="","",INDEX(tbl_Consulting[Notes],MATCH(E254&amp;"",tbl_Consulting[Job Number],0))),""))))</f>
        <v/>
      </c>
    </row>
    <row r="255" ht="15" customHeight="1">
      <c r="A255" s="22" t="n"/>
      <c r="B255" s="23">
        <f>IF(A255="","",EOMONTH(A255,0))</f>
        <v/>
      </c>
      <c r="C255" s="24" t="n"/>
      <c r="D255" s="24" t="n"/>
      <c r="E255" s="24" t="n"/>
      <c r="F255" s="25">
        <f>IF(E255="","",IF(COUNTIF(lst_Jobs,E255&amp;"")&gt;0,"OK","CHECK"))</f>
        <v/>
      </c>
      <c r="G255" s="24" t="n"/>
      <c r="H255" s="24" t="n"/>
      <c r="I255" s="24" t="n"/>
      <c r="J255" s="24" t="n"/>
      <c r="K255" s="24" t="n"/>
      <c r="L255" s="26" t="n"/>
      <c r="M255" s="27">
        <f>IF(L255="","",IF(K255="GST 10%",ROUND(L255*set_GSTRate,2),0))</f>
        <v/>
      </c>
      <c r="N255" s="27">
        <f>IF(L255="","",L255+M255)</f>
        <v/>
      </c>
      <c r="O255" s="24" t="n"/>
      <c r="P255" s="24" t="n"/>
      <c r="Q255" s="24" t="n"/>
      <c r="R255" s="22" t="n"/>
      <c r="S255" s="22" t="n"/>
      <c r="T255" s="24" t="n"/>
      <c r="U255" s="24" t="n"/>
      <c r="V255" s="25">
        <f>IF(COUNTA(A255,D255,C255,L255)=0,"",IF(A255="","No date - sits outside every month",IF(E255="","No job number",IF(F255="CHECK","Job number is not in the Xero job list",IF(I255="","No cost centre",IF(AND(P255="Y",C255=""),"Marked posted to Xero but has no invoice number",IF(AND(L255&lt;&gt;"",K255=""),"No tax code",IF(AND(L255&lt;&gt;"",O255=""),"No revenue GL code",""))))))))</f>
        <v/>
      </c>
      <c r="W255" s="25">
        <f>IF(E255="","",IF(COUNTIF(tbl_Onsite[Job Number],E255&amp;"")&gt;0,"Onsite",IF(COUNTIF(tbl_Production[Job Number],E255&amp;"")&gt;0,"Production",IF(COUNTIF(tbl_Consulting[Job Number],E255&amp;"")&gt;0,"Consulting","not set up yet"))))</f>
        <v/>
      </c>
      <c r="X255" s="25">
        <f>IF(E255="","",IFERROR(INDEX(lst_JobName,MATCH(E255&amp;"",lst_Jobs,0)),""))</f>
        <v/>
      </c>
      <c r="Y255" s="28">
        <f>IF(E255="","",COUNTIFS(tbl_Finance[Job Number],E255&amp;"",tbl_Finance[Ex GST],"&lt;&gt;"))</f>
        <v/>
      </c>
      <c r="Z255" s="27">
        <f>IF(E255="","",SUMIFS(tbl_Finance[Ex GST],tbl_Finance[Job Number],E255&amp;""))</f>
        <v/>
      </c>
      <c r="AA255" s="27">
        <f>IF(E255="","",SUMIFS(tbl_Finance[Ex GST],tbl_Finance[Job Number],E255&amp;"",tbl_Finance[Xero Invoice No],"&lt;&gt;"))</f>
        <v/>
      </c>
      <c r="AB255" s="27">
        <f>IF(E255="","",Z255-AA255)</f>
        <v/>
      </c>
      <c r="AC255" s="25">
        <f>IF(E255="","",IFERROR(IF(INDEX(tbl_Onsite[Qwilr Quote],MATCH(E255&amp;"",tbl_Onsite[Job Number],0))="","",INDEX(tbl_Onsite[Qwilr Quote],MATCH(E255&amp;"",tbl_Onsite[Job Number],0))),IFERROR(IF(IF(INDEX(tbl_Production[Current RMS No],MATCH(E255&amp;"",tbl_Production[Job Number],0))="",INDEX(tbl_Production[Qwilr Quote],MATCH(E255&amp;"",tbl_Production[Job Number],0)),INDEX(tbl_Production[Current RMS No],MATCH(E255&amp;"",tbl_Production[Job Number],0)))="","",IF(INDEX(tbl_Production[Current RMS No],MATCH(E255&amp;"",tbl_Production[Job Number],0))="",INDEX(tbl_Production[Qwilr Quote],MATCH(E255&amp;"",tbl_Production[Job Number],0)),INDEX(tbl_Production[Current RMS No],MATCH(E255&amp;"",tbl_Production[Job Number],0)))),IFERROR(IF(INDEX(tbl_Consulting[Qwilr Quote],MATCH(E255&amp;"",tbl_Consulting[Job Number],0))="","",INDEX(tbl_Consulting[Qwilr Quote],MATCH(E255&amp;"",tbl_Consulting[Job Number],0))),""))))</f>
        <v/>
      </c>
      <c r="AD255" s="25">
        <f>IF(AC255="","",IF(AND(LEFT(AC255,4)&lt;&gt;"http",IF(H255="Production",set_RMSBase,set_QwilrBase)=""),"",HYPERLINK(IF(LEFT(AC255,4)="http",AC255,IF(H255="Production",set_RMSBase,set_QwilrBase)&amp;AC255),"Open")))</f>
        <v/>
      </c>
      <c r="AE255" s="27">
        <f>IF(E255="","",IFERROR(INDEX(tbl_Production[Total Expense],MATCH(E255&amp;"",tbl_Production[Job Number],0)),IFERROR(INDEX(tbl_Consulting[Total Expense],MATCH(E255&amp;"",tbl_Consulting[Job Number],0)),0)))</f>
        <v/>
      </c>
      <c r="AF255" s="27">
        <f>IF(E255="","",Z255-N(AE255))</f>
        <v/>
      </c>
      <c r="AG255" s="29">
        <f>IFERROR(AF255/Z255,"")</f>
        <v/>
      </c>
      <c r="AH255" s="25">
        <f>IF(E255="","",IFERROR(IF(INDEX(tbl_Onsite[Notes],MATCH(E255&amp;"",tbl_Onsite[Job Number],0))="","",INDEX(tbl_Onsite[Notes],MATCH(E255&amp;"",tbl_Onsite[Job Number],0))),IFERROR(IF(INDEX(tbl_Production[Notes],MATCH(E255&amp;"",tbl_Production[Job Number],0))="","",INDEX(tbl_Production[Notes],MATCH(E255&amp;"",tbl_Production[Job Number],0))),IFERROR(IF(INDEX(tbl_Consulting[Notes],MATCH(E255&amp;"",tbl_Consulting[Job Number],0))="","",INDEX(tbl_Consulting[Notes],MATCH(E255&amp;"",tbl_Consulting[Job Number],0))),""))))</f>
        <v/>
      </c>
    </row>
    <row r="256" ht="15" customHeight="1">
      <c r="A256" s="22" t="n"/>
      <c r="B256" s="23">
        <f>IF(A256="","",EOMONTH(A256,0))</f>
        <v/>
      </c>
      <c r="C256" s="24" t="n"/>
      <c r="D256" s="24" t="n"/>
      <c r="E256" s="24" t="n"/>
      <c r="F256" s="25">
        <f>IF(E256="","",IF(COUNTIF(lst_Jobs,E256&amp;"")&gt;0,"OK","CHECK"))</f>
        <v/>
      </c>
      <c r="G256" s="24" t="n"/>
      <c r="H256" s="24" t="n"/>
      <c r="I256" s="24" t="n"/>
      <c r="J256" s="24" t="n"/>
      <c r="K256" s="24" t="n"/>
      <c r="L256" s="26" t="n"/>
      <c r="M256" s="27">
        <f>IF(L256="","",IF(K256="GST 10%",ROUND(L256*set_GSTRate,2),0))</f>
        <v/>
      </c>
      <c r="N256" s="27">
        <f>IF(L256="","",L256+M256)</f>
        <v/>
      </c>
      <c r="O256" s="24" t="n"/>
      <c r="P256" s="24" t="n"/>
      <c r="Q256" s="24" t="n"/>
      <c r="R256" s="22" t="n"/>
      <c r="S256" s="22" t="n"/>
      <c r="T256" s="24" t="n"/>
      <c r="U256" s="24" t="n"/>
      <c r="V256" s="25">
        <f>IF(COUNTA(A256,D256,C256,L256)=0,"",IF(A256="","No date - sits outside every month",IF(E256="","No job number",IF(F256="CHECK","Job number is not in the Xero job list",IF(I256="","No cost centre",IF(AND(P256="Y",C256=""),"Marked posted to Xero but has no invoice number",IF(AND(L256&lt;&gt;"",K256=""),"No tax code",IF(AND(L256&lt;&gt;"",O256=""),"No revenue GL code",""))))))))</f>
        <v/>
      </c>
      <c r="W256" s="25">
        <f>IF(E256="","",IF(COUNTIF(tbl_Onsite[Job Number],E256&amp;"")&gt;0,"Onsite",IF(COUNTIF(tbl_Production[Job Number],E256&amp;"")&gt;0,"Production",IF(COUNTIF(tbl_Consulting[Job Number],E256&amp;"")&gt;0,"Consulting","not set up yet"))))</f>
        <v/>
      </c>
      <c r="X256" s="25">
        <f>IF(E256="","",IFERROR(INDEX(lst_JobName,MATCH(E256&amp;"",lst_Jobs,0)),""))</f>
        <v/>
      </c>
      <c r="Y256" s="28">
        <f>IF(E256="","",COUNTIFS(tbl_Finance[Job Number],E256&amp;"",tbl_Finance[Ex GST],"&lt;&gt;"))</f>
        <v/>
      </c>
      <c r="Z256" s="27">
        <f>IF(E256="","",SUMIFS(tbl_Finance[Ex GST],tbl_Finance[Job Number],E256&amp;""))</f>
        <v/>
      </c>
      <c r="AA256" s="27">
        <f>IF(E256="","",SUMIFS(tbl_Finance[Ex GST],tbl_Finance[Job Number],E256&amp;"",tbl_Finance[Xero Invoice No],"&lt;&gt;"))</f>
        <v/>
      </c>
      <c r="AB256" s="27">
        <f>IF(E256="","",Z256-AA256)</f>
        <v/>
      </c>
      <c r="AC256" s="25">
        <f>IF(E256="","",IFERROR(IF(INDEX(tbl_Onsite[Qwilr Quote],MATCH(E256&amp;"",tbl_Onsite[Job Number],0))="","",INDEX(tbl_Onsite[Qwilr Quote],MATCH(E256&amp;"",tbl_Onsite[Job Number],0))),IFERROR(IF(IF(INDEX(tbl_Production[Current RMS No],MATCH(E256&amp;"",tbl_Production[Job Number],0))="",INDEX(tbl_Production[Qwilr Quote],MATCH(E256&amp;"",tbl_Production[Job Number],0)),INDEX(tbl_Production[Current RMS No],MATCH(E256&amp;"",tbl_Production[Job Number],0)))="","",IF(INDEX(tbl_Production[Current RMS No],MATCH(E256&amp;"",tbl_Production[Job Number],0))="",INDEX(tbl_Production[Qwilr Quote],MATCH(E256&amp;"",tbl_Production[Job Number],0)),INDEX(tbl_Production[Current RMS No],MATCH(E256&amp;"",tbl_Production[Job Number],0)))),IFERROR(IF(INDEX(tbl_Consulting[Qwilr Quote],MATCH(E256&amp;"",tbl_Consulting[Job Number],0))="","",INDEX(tbl_Consulting[Qwilr Quote],MATCH(E256&amp;"",tbl_Consulting[Job Number],0))),""))))</f>
        <v/>
      </c>
      <c r="AD256" s="25">
        <f>IF(AC256="","",IF(AND(LEFT(AC256,4)&lt;&gt;"http",IF(H256="Production",set_RMSBase,set_QwilrBase)=""),"",HYPERLINK(IF(LEFT(AC256,4)="http",AC256,IF(H256="Production",set_RMSBase,set_QwilrBase)&amp;AC256),"Open")))</f>
        <v/>
      </c>
      <c r="AE256" s="27">
        <f>IF(E256="","",IFERROR(INDEX(tbl_Production[Total Expense],MATCH(E256&amp;"",tbl_Production[Job Number],0)),IFERROR(INDEX(tbl_Consulting[Total Expense],MATCH(E256&amp;"",tbl_Consulting[Job Number],0)),0)))</f>
        <v/>
      </c>
      <c r="AF256" s="27">
        <f>IF(E256="","",Z256-N(AE256))</f>
        <v/>
      </c>
      <c r="AG256" s="29">
        <f>IFERROR(AF256/Z256,"")</f>
        <v/>
      </c>
      <c r="AH256" s="25">
        <f>IF(E256="","",IFERROR(IF(INDEX(tbl_Onsite[Notes],MATCH(E256&amp;"",tbl_Onsite[Job Number],0))="","",INDEX(tbl_Onsite[Notes],MATCH(E256&amp;"",tbl_Onsite[Job Number],0))),IFERROR(IF(INDEX(tbl_Production[Notes],MATCH(E256&amp;"",tbl_Production[Job Number],0))="","",INDEX(tbl_Production[Notes],MATCH(E256&amp;"",tbl_Production[Job Number],0))),IFERROR(IF(INDEX(tbl_Consulting[Notes],MATCH(E256&amp;"",tbl_Consulting[Job Number],0))="","",INDEX(tbl_Consulting[Notes],MATCH(E256&amp;"",tbl_Consulting[Job Number],0))),""))))</f>
        <v/>
      </c>
    </row>
    <row r="257" ht="15" customHeight="1">
      <c r="A257" s="22" t="n"/>
      <c r="B257" s="23">
        <f>IF(A257="","",EOMONTH(A257,0))</f>
        <v/>
      </c>
      <c r="C257" s="24" t="n"/>
      <c r="D257" s="24" t="n"/>
      <c r="E257" s="24" t="n"/>
      <c r="F257" s="25">
        <f>IF(E257="","",IF(COUNTIF(lst_Jobs,E257&amp;"")&gt;0,"OK","CHECK"))</f>
        <v/>
      </c>
      <c r="G257" s="24" t="n"/>
      <c r="H257" s="24" t="n"/>
      <c r="I257" s="24" t="n"/>
      <c r="J257" s="24" t="n"/>
      <c r="K257" s="24" t="n"/>
      <c r="L257" s="26" t="n"/>
      <c r="M257" s="27">
        <f>IF(L257="","",IF(K257="GST 10%",ROUND(L257*set_GSTRate,2),0))</f>
        <v/>
      </c>
      <c r="N257" s="27">
        <f>IF(L257="","",L257+M257)</f>
        <v/>
      </c>
      <c r="O257" s="24" t="n"/>
      <c r="P257" s="24" t="n"/>
      <c r="Q257" s="24" t="n"/>
      <c r="R257" s="22" t="n"/>
      <c r="S257" s="22" t="n"/>
      <c r="T257" s="24" t="n"/>
      <c r="U257" s="24" t="n"/>
      <c r="V257" s="25">
        <f>IF(COUNTA(A257,D257,C257,L257)=0,"",IF(A257="","No date - sits outside every month",IF(E257="","No job number",IF(F257="CHECK","Job number is not in the Xero job list",IF(I257="","No cost centre",IF(AND(P257="Y",C257=""),"Marked posted to Xero but has no invoice number",IF(AND(L257&lt;&gt;"",K257=""),"No tax code",IF(AND(L257&lt;&gt;"",O257=""),"No revenue GL code",""))))))))</f>
        <v/>
      </c>
      <c r="W257" s="25">
        <f>IF(E257="","",IF(COUNTIF(tbl_Onsite[Job Number],E257&amp;"")&gt;0,"Onsite",IF(COUNTIF(tbl_Production[Job Number],E257&amp;"")&gt;0,"Production",IF(COUNTIF(tbl_Consulting[Job Number],E257&amp;"")&gt;0,"Consulting","not set up yet"))))</f>
        <v/>
      </c>
      <c r="X257" s="25">
        <f>IF(E257="","",IFERROR(INDEX(lst_JobName,MATCH(E257&amp;"",lst_Jobs,0)),""))</f>
        <v/>
      </c>
      <c r="Y257" s="28">
        <f>IF(E257="","",COUNTIFS(tbl_Finance[Job Number],E257&amp;"",tbl_Finance[Ex GST],"&lt;&gt;"))</f>
        <v/>
      </c>
      <c r="Z257" s="27">
        <f>IF(E257="","",SUMIFS(tbl_Finance[Ex GST],tbl_Finance[Job Number],E257&amp;""))</f>
        <v/>
      </c>
      <c r="AA257" s="27">
        <f>IF(E257="","",SUMIFS(tbl_Finance[Ex GST],tbl_Finance[Job Number],E257&amp;"",tbl_Finance[Xero Invoice No],"&lt;&gt;"))</f>
        <v/>
      </c>
      <c r="AB257" s="27">
        <f>IF(E257="","",Z257-AA257)</f>
        <v/>
      </c>
      <c r="AC257" s="25">
        <f>IF(E257="","",IFERROR(IF(INDEX(tbl_Onsite[Qwilr Quote],MATCH(E257&amp;"",tbl_Onsite[Job Number],0))="","",INDEX(tbl_Onsite[Qwilr Quote],MATCH(E257&amp;"",tbl_Onsite[Job Number],0))),IFERROR(IF(IF(INDEX(tbl_Production[Current RMS No],MATCH(E257&amp;"",tbl_Production[Job Number],0))="",INDEX(tbl_Production[Qwilr Quote],MATCH(E257&amp;"",tbl_Production[Job Number],0)),INDEX(tbl_Production[Current RMS No],MATCH(E257&amp;"",tbl_Production[Job Number],0)))="","",IF(INDEX(tbl_Production[Current RMS No],MATCH(E257&amp;"",tbl_Production[Job Number],0))="",INDEX(tbl_Production[Qwilr Quote],MATCH(E257&amp;"",tbl_Production[Job Number],0)),INDEX(tbl_Production[Current RMS No],MATCH(E257&amp;"",tbl_Production[Job Number],0)))),IFERROR(IF(INDEX(tbl_Consulting[Qwilr Quote],MATCH(E257&amp;"",tbl_Consulting[Job Number],0))="","",INDEX(tbl_Consulting[Qwilr Quote],MATCH(E257&amp;"",tbl_Consulting[Job Number],0))),""))))</f>
        <v/>
      </c>
      <c r="AD257" s="25">
        <f>IF(AC257="","",IF(AND(LEFT(AC257,4)&lt;&gt;"http",IF(H257="Production",set_RMSBase,set_QwilrBase)=""),"",HYPERLINK(IF(LEFT(AC257,4)="http",AC257,IF(H257="Production",set_RMSBase,set_QwilrBase)&amp;AC257),"Open")))</f>
        <v/>
      </c>
      <c r="AE257" s="27">
        <f>IF(E257="","",IFERROR(INDEX(tbl_Production[Total Expense],MATCH(E257&amp;"",tbl_Production[Job Number],0)),IFERROR(INDEX(tbl_Consulting[Total Expense],MATCH(E257&amp;"",tbl_Consulting[Job Number],0)),0)))</f>
        <v/>
      </c>
      <c r="AF257" s="27">
        <f>IF(E257="","",Z257-N(AE257))</f>
        <v/>
      </c>
      <c r="AG257" s="29">
        <f>IFERROR(AF257/Z257,"")</f>
        <v/>
      </c>
      <c r="AH257" s="25">
        <f>IF(E257="","",IFERROR(IF(INDEX(tbl_Onsite[Notes],MATCH(E257&amp;"",tbl_Onsite[Job Number],0))="","",INDEX(tbl_Onsite[Notes],MATCH(E257&amp;"",tbl_Onsite[Job Number],0))),IFERROR(IF(INDEX(tbl_Production[Notes],MATCH(E257&amp;"",tbl_Production[Job Number],0))="","",INDEX(tbl_Production[Notes],MATCH(E257&amp;"",tbl_Production[Job Number],0))),IFERROR(IF(INDEX(tbl_Consulting[Notes],MATCH(E257&amp;"",tbl_Consulting[Job Number],0))="","",INDEX(tbl_Consulting[Notes],MATCH(E257&amp;"",tbl_Consulting[Job Number],0))),""))))</f>
        <v/>
      </c>
    </row>
    <row r="258" ht="15" customHeight="1">
      <c r="A258" s="22" t="n"/>
      <c r="B258" s="23">
        <f>IF(A258="","",EOMONTH(A258,0))</f>
        <v/>
      </c>
      <c r="C258" s="24" t="n"/>
      <c r="D258" s="24" t="n"/>
      <c r="E258" s="24" t="n"/>
      <c r="F258" s="25">
        <f>IF(E258="","",IF(COUNTIF(lst_Jobs,E258&amp;"")&gt;0,"OK","CHECK"))</f>
        <v/>
      </c>
      <c r="G258" s="24" t="n"/>
      <c r="H258" s="24" t="n"/>
      <c r="I258" s="24" t="n"/>
      <c r="J258" s="24" t="n"/>
      <c r="K258" s="24" t="n"/>
      <c r="L258" s="26" t="n"/>
      <c r="M258" s="27">
        <f>IF(L258="","",IF(K258="GST 10%",ROUND(L258*set_GSTRate,2),0))</f>
        <v/>
      </c>
      <c r="N258" s="27">
        <f>IF(L258="","",L258+M258)</f>
        <v/>
      </c>
      <c r="O258" s="24" t="n"/>
      <c r="P258" s="24" t="n"/>
      <c r="Q258" s="24" t="n"/>
      <c r="R258" s="22" t="n"/>
      <c r="S258" s="22" t="n"/>
      <c r="T258" s="24" t="n"/>
      <c r="U258" s="24" t="n"/>
      <c r="V258" s="25">
        <f>IF(COUNTA(A258,D258,C258,L258)=0,"",IF(A258="","No date - sits outside every month",IF(E258="","No job number",IF(F258="CHECK","Job number is not in the Xero job list",IF(I258="","No cost centre",IF(AND(P258="Y",C258=""),"Marked posted to Xero but has no invoice number",IF(AND(L258&lt;&gt;"",K258=""),"No tax code",IF(AND(L258&lt;&gt;"",O258=""),"No revenue GL code",""))))))))</f>
        <v/>
      </c>
      <c r="W258" s="25">
        <f>IF(E258="","",IF(COUNTIF(tbl_Onsite[Job Number],E258&amp;"")&gt;0,"Onsite",IF(COUNTIF(tbl_Production[Job Number],E258&amp;"")&gt;0,"Production",IF(COUNTIF(tbl_Consulting[Job Number],E258&amp;"")&gt;0,"Consulting","not set up yet"))))</f>
        <v/>
      </c>
      <c r="X258" s="25">
        <f>IF(E258="","",IFERROR(INDEX(lst_JobName,MATCH(E258&amp;"",lst_Jobs,0)),""))</f>
        <v/>
      </c>
      <c r="Y258" s="28">
        <f>IF(E258="","",COUNTIFS(tbl_Finance[Job Number],E258&amp;"",tbl_Finance[Ex GST],"&lt;&gt;"))</f>
        <v/>
      </c>
      <c r="Z258" s="27">
        <f>IF(E258="","",SUMIFS(tbl_Finance[Ex GST],tbl_Finance[Job Number],E258&amp;""))</f>
        <v/>
      </c>
      <c r="AA258" s="27">
        <f>IF(E258="","",SUMIFS(tbl_Finance[Ex GST],tbl_Finance[Job Number],E258&amp;"",tbl_Finance[Xero Invoice No],"&lt;&gt;"))</f>
        <v/>
      </c>
      <c r="AB258" s="27">
        <f>IF(E258="","",Z258-AA258)</f>
        <v/>
      </c>
      <c r="AC258" s="25">
        <f>IF(E258="","",IFERROR(IF(INDEX(tbl_Onsite[Qwilr Quote],MATCH(E258&amp;"",tbl_Onsite[Job Number],0))="","",INDEX(tbl_Onsite[Qwilr Quote],MATCH(E258&amp;"",tbl_Onsite[Job Number],0))),IFERROR(IF(IF(INDEX(tbl_Production[Current RMS No],MATCH(E258&amp;"",tbl_Production[Job Number],0))="",INDEX(tbl_Production[Qwilr Quote],MATCH(E258&amp;"",tbl_Production[Job Number],0)),INDEX(tbl_Production[Current RMS No],MATCH(E258&amp;"",tbl_Production[Job Number],0)))="","",IF(INDEX(tbl_Production[Current RMS No],MATCH(E258&amp;"",tbl_Production[Job Number],0))="",INDEX(tbl_Production[Qwilr Quote],MATCH(E258&amp;"",tbl_Production[Job Number],0)),INDEX(tbl_Production[Current RMS No],MATCH(E258&amp;"",tbl_Production[Job Number],0)))),IFERROR(IF(INDEX(tbl_Consulting[Qwilr Quote],MATCH(E258&amp;"",tbl_Consulting[Job Number],0))="","",INDEX(tbl_Consulting[Qwilr Quote],MATCH(E258&amp;"",tbl_Consulting[Job Number],0))),""))))</f>
        <v/>
      </c>
      <c r="AD258" s="25">
        <f>IF(AC258="","",IF(AND(LEFT(AC258,4)&lt;&gt;"http",IF(H258="Production",set_RMSBase,set_QwilrBase)=""),"",HYPERLINK(IF(LEFT(AC258,4)="http",AC258,IF(H258="Production",set_RMSBase,set_QwilrBase)&amp;AC258),"Open")))</f>
        <v/>
      </c>
      <c r="AE258" s="27">
        <f>IF(E258="","",IFERROR(INDEX(tbl_Production[Total Expense],MATCH(E258&amp;"",tbl_Production[Job Number],0)),IFERROR(INDEX(tbl_Consulting[Total Expense],MATCH(E258&amp;"",tbl_Consulting[Job Number],0)),0)))</f>
        <v/>
      </c>
      <c r="AF258" s="27">
        <f>IF(E258="","",Z258-N(AE258))</f>
        <v/>
      </c>
      <c r="AG258" s="29">
        <f>IFERROR(AF258/Z258,"")</f>
        <v/>
      </c>
      <c r="AH258" s="25">
        <f>IF(E258="","",IFERROR(IF(INDEX(tbl_Onsite[Notes],MATCH(E258&amp;"",tbl_Onsite[Job Number],0))="","",INDEX(tbl_Onsite[Notes],MATCH(E258&amp;"",tbl_Onsite[Job Number],0))),IFERROR(IF(INDEX(tbl_Production[Notes],MATCH(E258&amp;"",tbl_Production[Job Number],0))="","",INDEX(tbl_Production[Notes],MATCH(E258&amp;"",tbl_Production[Job Number],0))),IFERROR(IF(INDEX(tbl_Consulting[Notes],MATCH(E258&amp;"",tbl_Consulting[Job Number],0))="","",INDEX(tbl_Consulting[Notes],MATCH(E258&amp;"",tbl_Consulting[Job Number],0))),""))))</f>
        <v/>
      </c>
    </row>
    <row r="259" ht="15" customHeight="1">
      <c r="A259" s="22" t="n"/>
      <c r="B259" s="23">
        <f>IF(A259="","",EOMONTH(A259,0))</f>
        <v/>
      </c>
      <c r="C259" s="24" t="n"/>
      <c r="D259" s="24" t="n"/>
      <c r="E259" s="24" t="n"/>
      <c r="F259" s="25">
        <f>IF(E259="","",IF(COUNTIF(lst_Jobs,E259&amp;"")&gt;0,"OK","CHECK"))</f>
        <v/>
      </c>
      <c r="G259" s="24" t="n"/>
      <c r="H259" s="24" t="n"/>
      <c r="I259" s="24" t="n"/>
      <c r="J259" s="24" t="n"/>
      <c r="K259" s="24" t="n"/>
      <c r="L259" s="26" t="n"/>
      <c r="M259" s="27">
        <f>IF(L259="","",IF(K259="GST 10%",ROUND(L259*set_GSTRate,2),0))</f>
        <v/>
      </c>
      <c r="N259" s="27">
        <f>IF(L259="","",L259+M259)</f>
        <v/>
      </c>
      <c r="O259" s="24" t="n"/>
      <c r="P259" s="24" t="n"/>
      <c r="Q259" s="24" t="n"/>
      <c r="R259" s="22" t="n"/>
      <c r="S259" s="22" t="n"/>
      <c r="T259" s="24" t="n"/>
      <c r="U259" s="24" t="n"/>
      <c r="V259" s="25">
        <f>IF(COUNTA(A259,D259,C259,L259)=0,"",IF(A259="","No date - sits outside every month",IF(E259="","No job number",IF(F259="CHECK","Job number is not in the Xero job list",IF(I259="","No cost centre",IF(AND(P259="Y",C259=""),"Marked posted to Xero but has no invoice number",IF(AND(L259&lt;&gt;"",K259=""),"No tax code",IF(AND(L259&lt;&gt;"",O259=""),"No revenue GL code",""))))))))</f>
        <v/>
      </c>
      <c r="W259" s="25">
        <f>IF(E259="","",IF(COUNTIF(tbl_Onsite[Job Number],E259&amp;"")&gt;0,"Onsite",IF(COUNTIF(tbl_Production[Job Number],E259&amp;"")&gt;0,"Production",IF(COUNTIF(tbl_Consulting[Job Number],E259&amp;"")&gt;0,"Consulting","not set up yet"))))</f>
        <v/>
      </c>
      <c r="X259" s="25">
        <f>IF(E259="","",IFERROR(INDEX(lst_JobName,MATCH(E259&amp;"",lst_Jobs,0)),""))</f>
        <v/>
      </c>
      <c r="Y259" s="28">
        <f>IF(E259="","",COUNTIFS(tbl_Finance[Job Number],E259&amp;"",tbl_Finance[Ex GST],"&lt;&gt;"))</f>
        <v/>
      </c>
      <c r="Z259" s="27">
        <f>IF(E259="","",SUMIFS(tbl_Finance[Ex GST],tbl_Finance[Job Number],E259&amp;""))</f>
        <v/>
      </c>
      <c r="AA259" s="27">
        <f>IF(E259="","",SUMIFS(tbl_Finance[Ex GST],tbl_Finance[Job Number],E259&amp;"",tbl_Finance[Xero Invoice No],"&lt;&gt;"))</f>
        <v/>
      </c>
      <c r="AB259" s="27">
        <f>IF(E259="","",Z259-AA259)</f>
        <v/>
      </c>
      <c r="AC259" s="25">
        <f>IF(E259="","",IFERROR(IF(INDEX(tbl_Onsite[Qwilr Quote],MATCH(E259&amp;"",tbl_Onsite[Job Number],0))="","",INDEX(tbl_Onsite[Qwilr Quote],MATCH(E259&amp;"",tbl_Onsite[Job Number],0))),IFERROR(IF(IF(INDEX(tbl_Production[Current RMS No],MATCH(E259&amp;"",tbl_Production[Job Number],0))="",INDEX(tbl_Production[Qwilr Quote],MATCH(E259&amp;"",tbl_Production[Job Number],0)),INDEX(tbl_Production[Current RMS No],MATCH(E259&amp;"",tbl_Production[Job Number],0)))="","",IF(INDEX(tbl_Production[Current RMS No],MATCH(E259&amp;"",tbl_Production[Job Number],0))="",INDEX(tbl_Production[Qwilr Quote],MATCH(E259&amp;"",tbl_Production[Job Number],0)),INDEX(tbl_Production[Current RMS No],MATCH(E259&amp;"",tbl_Production[Job Number],0)))),IFERROR(IF(INDEX(tbl_Consulting[Qwilr Quote],MATCH(E259&amp;"",tbl_Consulting[Job Number],0))="","",INDEX(tbl_Consulting[Qwilr Quote],MATCH(E259&amp;"",tbl_Consulting[Job Number],0))),""))))</f>
        <v/>
      </c>
      <c r="AD259" s="25">
        <f>IF(AC259="","",IF(AND(LEFT(AC259,4)&lt;&gt;"http",IF(H259="Production",set_RMSBase,set_QwilrBase)=""),"",HYPERLINK(IF(LEFT(AC259,4)="http",AC259,IF(H259="Production",set_RMSBase,set_QwilrBase)&amp;AC259),"Open")))</f>
        <v/>
      </c>
      <c r="AE259" s="27">
        <f>IF(E259="","",IFERROR(INDEX(tbl_Production[Total Expense],MATCH(E259&amp;"",tbl_Production[Job Number],0)),IFERROR(INDEX(tbl_Consulting[Total Expense],MATCH(E259&amp;"",tbl_Consulting[Job Number],0)),0)))</f>
        <v/>
      </c>
      <c r="AF259" s="27">
        <f>IF(E259="","",Z259-N(AE259))</f>
        <v/>
      </c>
      <c r="AG259" s="29">
        <f>IFERROR(AF259/Z259,"")</f>
        <v/>
      </c>
      <c r="AH259" s="25">
        <f>IF(E259="","",IFERROR(IF(INDEX(tbl_Onsite[Notes],MATCH(E259&amp;"",tbl_Onsite[Job Number],0))="","",INDEX(tbl_Onsite[Notes],MATCH(E259&amp;"",tbl_Onsite[Job Number],0))),IFERROR(IF(INDEX(tbl_Production[Notes],MATCH(E259&amp;"",tbl_Production[Job Number],0))="","",INDEX(tbl_Production[Notes],MATCH(E259&amp;"",tbl_Production[Job Number],0))),IFERROR(IF(INDEX(tbl_Consulting[Notes],MATCH(E259&amp;"",tbl_Consulting[Job Number],0))="","",INDEX(tbl_Consulting[Notes],MATCH(E259&amp;"",tbl_Consulting[Job Number],0))),""))))</f>
        <v/>
      </c>
    </row>
    <row r="260" ht="15" customHeight="1">
      <c r="A260" s="22" t="n"/>
      <c r="B260" s="23">
        <f>IF(A260="","",EOMONTH(A260,0))</f>
        <v/>
      </c>
      <c r="C260" s="24" t="n"/>
      <c r="D260" s="24" t="n"/>
      <c r="E260" s="24" t="n"/>
      <c r="F260" s="25">
        <f>IF(E260="","",IF(COUNTIF(lst_Jobs,E260&amp;"")&gt;0,"OK","CHECK"))</f>
        <v/>
      </c>
      <c r="G260" s="24" t="n"/>
      <c r="H260" s="24" t="n"/>
      <c r="I260" s="24" t="n"/>
      <c r="J260" s="24" t="n"/>
      <c r="K260" s="24" t="n"/>
      <c r="L260" s="26" t="n"/>
      <c r="M260" s="27">
        <f>IF(L260="","",IF(K260="GST 10%",ROUND(L260*set_GSTRate,2),0))</f>
        <v/>
      </c>
      <c r="N260" s="27">
        <f>IF(L260="","",L260+M260)</f>
        <v/>
      </c>
      <c r="O260" s="24" t="n"/>
      <c r="P260" s="24" t="n"/>
      <c r="Q260" s="24" t="n"/>
      <c r="R260" s="22" t="n"/>
      <c r="S260" s="22" t="n"/>
      <c r="T260" s="24" t="n"/>
      <c r="U260" s="24" t="n"/>
      <c r="V260" s="25">
        <f>IF(COUNTA(A260,D260,C260,L260)=0,"",IF(A260="","No date - sits outside every month",IF(E260="","No job number",IF(F260="CHECK","Job number is not in the Xero job list",IF(I260="","No cost centre",IF(AND(P260="Y",C260=""),"Marked posted to Xero but has no invoice number",IF(AND(L260&lt;&gt;"",K260=""),"No tax code",IF(AND(L260&lt;&gt;"",O260=""),"No revenue GL code",""))))))))</f>
        <v/>
      </c>
      <c r="W260" s="25">
        <f>IF(E260="","",IF(COUNTIF(tbl_Onsite[Job Number],E260&amp;"")&gt;0,"Onsite",IF(COUNTIF(tbl_Production[Job Number],E260&amp;"")&gt;0,"Production",IF(COUNTIF(tbl_Consulting[Job Number],E260&amp;"")&gt;0,"Consulting","not set up yet"))))</f>
        <v/>
      </c>
      <c r="X260" s="25">
        <f>IF(E260="","",IFERROR(INDEX(lst_JobName,MATCH(E260&amp;"",lst_Jobs,0)),""))</f>
        <v/>
      </c>
      <c r="Y260" s="28">
        <f>IF(E260="","",COUNTIFS(tbl_Finance[Job Number],E260&amp;"",tbl_Finance[Ex GST],"&lt;&gt;"))</f>
        <v/>
      </c>
      <c r="Z260" s="27">
        <f>IF(E260="","",SUMIFS(tbl_Finance[Ex GST],tbl_Finance[Job Number],E260&amp;""))</f>
        <v/>
      </c>
      <c r="AA260" s="27">
        <f>IF(E260="","",SUMIFS(tbl_Finance[Ex GST],tbl_Finance[Job Number],E260&amp;"",tbl_Finance[Xero Invoice No],"&lt;&gt;"))</f>
        <v/>
      </c>
      <c r="AB260" s="27">
        <f>IF(E260="","",Z260-AA260)</f>
        <v/>
      </c>
      <c r="AC260" s="25">
        <f>IF(E260="","",IFERROR(IF(INDEX(tbl_Onsite[Qwilr Quote],MATCH(E260&amp;"",tbl_Onsite[Job Number],0))="","",INDEX(tbl_Onsite[Qwilr Quote],MATCH(E260&amp;"",tbl_Onsite[Job Number],0))),IFERROR(IF(IF(INDEX(tbl_Production[Current RMS No],MATCH(E260&amp;"",tbl_Production[Job Number],0))="",INDEX(tbl_Production[Qwilr Quote],MATCH(E260&amp;"",tbl_Production[Job Number],0)),INDEX(tbl_Production[Current RMS No],MATCH(E260&amp;"",tbl_Production[Job Number],0)))="","",IF(INDEX(tbl_Production[Current RMS No],MATCH(E260&amp;"",tbl_Production[Job Number],0))="",INDEX(tbl_Production[Qwilr Quote],MATCH(E260&amp;"",tbl_Production[Job Number],0)),INDEX(tbl_Production[Current RMS No],MATCH(E260&amp;"",tbl_Production[Job Number],0)))),IFERROR(IF(INDEX(tbl_Consulting[Qwilr Quote],MATCH(E260&amp;"",tbl_Consulting[Job Number],0))="","",INDEX(tbl_Consulting[Qwilr Quote],MATCH(E260&amp;"",tbl_Consulting[Job Number],0))),""))))</f>
        <v/>
      </c>
      <c r="AD260" s="25">
        <f>IF(AC260="","",IF(AND(LEFT(AC260,4)&lt;&gt;"http",IF(H260="Production",set_RMSBase,set_QwilrBase)=""),"",HYPERLINK(IF(LEFT(AC260,4)="http",AC260,IF(H260="Production",set_RMSBase,set_QwilrBase)&amp;AC260),"Open")))</f>
        <v/>
      </c>
      <c r="AE260" s="27">
        <f>IF(E260="","",IFERROR(INDEX(tbl_Production[Total Expense],MATCH(E260&amp;"",tbl_Production[Job Number],0)),IFERROR(INDEX(tbl_Consulting[Total Expense],MATCH(E260&amp;"",tbl_Consulting[Job Number],0)),0)))</f>
        <v/>
      </c>
      <c r="AF260" s="27">
        <f>IF(E260="","",Z260-N(AE260))</f>
        <v/>
      </c>
      <c r="AG260" s="29">
        <f>IFERROR(AF260/Z260,"")</f>
        <v/>
      </c>
      <c r="AH260" s="25">
        <f>IF(E260="","",IFERROR(IF(INDEX(tbl_Onsite[Notes],MATCH(E260&amp;"",tbl_Onsite[Job Number],0))="","",INDEX(tbl_Onsite[Notes],MATCH(E260&amp;"",tbl_Onsite[Job Number],0))),IFERROR(IF(INDEX(tbl_Production[Notes],MATCH(E260&amp;"",tbl_Production[Job Number],0))="","",INDEX(tbl_Production[Notes],MATCH(E260&amp;"",tbl_Production[Job Number],0))),IFERROR(IF(INDEX(tbl_Consulting[Notes],MATCH(E260&amp;"",tbl_Consulting[Job Number],0))="","",INDEX(tbl_Consulting[Notes],MATCH(E260&amp;"",tbl_Consulting[Job Number],0))),""))))</f>
        <v/>
      </c>
    </row>
    <row r="261" ht="15" customHeight="1">
      <c r="A261" s="22" t="n"/>
      <c r="B261" s="23">
        <f>IF(A261="","",EOMONTH(A261,0))</f>
        <v/>
      </c>
      <c r="C261" s="24" t="n"/>
      <c r="D261" s="24" t="n"/>
      <c r="E261" s="24" t="n"/>
      <c r="F261" s="25">
        <f>IF(E261="","",IF(COUNTIF(lst_Jobs,E261&amp;"")&gt;0,"OK","CHECK"))</f>
        <v/>
      </c>
      <c r="G261" s="24" t="n"/>
      <c r="H261" s="24" t="n"/>
      <c r="I261" s="24" t="n"/>
      <c r="J261" s="24" t="n"/>
      <c r="K261" s="24" t="n"/>
      <c r="L261" s="26" t="n"/>
      <c r="M261" s="27">
        <f>IF(L261="","",IF(K261="GST 10%",ROUND(L261*set_GSTRate,2),0))</f>
        <v/>
      </c>
      <c r="N261" s="27">
        <f>IF(L261="","",L261+M261)</f>
        <v/>
      </c>
      <c r="O261" s="24" t="n"/>
      <c r="P261" s="24" t="n"/>
      <c r="Q261" s="24" t="n"/>
      <c r="R261" s="22" t="n"/>
      <c r="S261" s="22" t="n"/>
      <c r="T261" s="24" t="n"/>
      <c r="U261" s="24" t="n"/>
      <c r="V261" s="25">
        <f>IF(COUNTA(A261,D261,C261,L261)=0,"",IF(A261="","No date - sits outside every month",IF(E261="","No job number",IF(F261="CHECK","Job number is not in the Xero job list",IF(I261="","No cost centre",IF(AND(P261="Y",C261=""),"Marked posted to Xero but has no invoice number",IF(AND(L261&lt;&gt;"",K261=""),"No tax code",IF(AND(L261&lt;&gt;"",O261=""),"No revenue GL code",""))))))))</f>
        <v/>
      </c>
      <c r="W261" s="25">
        <f>IF(E261="","",IF(COUNTIF(tbl_Onsite[Job Number],E261&amp;"")&gt;0,"Onsite",IF(COUNTIF(tbl_Production[Job Number],E261&amp;"")&gt;0,"Production",IF(COUNTIF(tbl_Consulting[Job Number],E261&amp;"")&gt;0,"Consulting","not set up yet"))))</f>
        <v/>
      </c>
      <c r="X261" s="25">
        <f>IF(E261="","",IFERROR(INDEX(lst_JobName,MATCH(E261&amp;"",lst_Jobs,0)),""))</f>
        <v/>
      </c>
      <c r="Y261" s="28">
        <f>IF(E261="","",COUNTIFS(tbl_Finance[Job Number],E261&amp;"",tbl_Finance[Ex GST],"&lt;&gt;"))</f>
        <v/>
      </c>
      <c r="Z261" s="27">
        <f>IF(E261="","",SUMIFS(tbl_Finance[Ex GST],tbl_Finance[Job Number],E261&amp;""))</f>
        <v/>
      </c>
      <c r="AA261" s="27">
        <f>IF(E261="","",SUMIFS(tbl_Finance[Ex GST],tbl_Finance[Job Number],E261&amp;"",tbl_Finance[Xero Invoice No],"&lt;&gt;"))</f>
        <v/>
      </c>
      <c r="AB261" s="27">
        <f>IF(E261="","",Z261-AA261)</f>
        <v/>
      </c>
      <c r="AC261" s="25">
        <f>IF(E261="","",IFERROR(IF(INDEX(tbl_Onsite[Qwilr Quote],MATCH(E261&amp;"",tbl_Onsite[Job Number],0))="","",INDEX(tbl_Onsite[Qwilr Quote],MATCH(E261&amp;"",tbl_Onsite[Job Number],0))),IFERROR(IF(IF(INDEX(tbl_Production[Current RMS No],MATCH(E261&amp;"",tbl_Production[Job Number],0))="",INDEX(tbl_Production[Qwilr Quote],MATCH(E261&amp;"",tbl_Production[Job Number],0)),INDEX(tbl_Production[Current RMS No],MATCH(E261&amp;"",tbl_Production[Job Number],0)))="","",IF(INDEX(tbl_Production[Current RMS No],MATCH(E261&amp;"",tbl_Production[Job Number],0))="",INDEX(tbl_Production[Qwilr Quote],MATCH(E261&amp;"",tbl_Production[Job Number],0)),INDEX(tbl_Production[Current RMS No],MATCH(E261&amp;"",tbl_Production[Job Number],0)))),IFERROR(IF(INDEX(tbl_Consulting[Qwilr Quote],MATCH(E261&amp;"",tbl_Consulting[Job Number],0))="","",INDEX(tbl_Consulting[Qwilr Quote],MATCH(E261&amp;"",tbl_Consulting[Job Number],0))),""))))</f>
        <v/>
      </c>
      <c r="AD261" s="25">
        <f>IF(AC261="","",IF(AND(LEFT(AC261,4)&lt;&gt;"http",IF(H261="Production",set_RMSBase,set_QwilrBase)=""),"",HYPERLINK(IF(LEFT(AC261,4)="http",AC261,IF(H261="Production",set_RMSBase,set_QwilrBase)&amp;AC261),"Open")))</f>
        <v/>
      </c>
      <c r="AE261" s="27">
        <f>IF(E261="","",IFERROR(INDEX(tbl_Production[Total Expense],MATCH(E261&amp;"",tbl_Production[Job Number],0)),IFERROR(INDEX(tbl_Consulting[Total Expense],MATCH(E261&amp;"",tbl_Consulting[Job Number],0)),0)))</f>
        <v/>
      </c>
      <c r="AF261" s="27">
        <f>IF(E261="","",Z261-N(AE261))</f>
        <v/>
      </c>
      <c r="AG261" s="29">
        <f>IFERROR(AF261/Z261,"")</f>
        <v/>
      </c>
      <c r="AH261" s="25">
        <f>IF(E261="","",IFERROR(IF(INDEX(tbl_Onsite[Notes],MATCH(E261&amp;"",tbl_Onsite[Job Number],0))="","",INDEX(tbl_Onsite[Notes],MATCH(E261&amp;"",tbl_Onsite[Job Number],0))),IFERROR(IF(INDEX(tbl_Production[Notes],MATCH(E261&amp;"",tbl_Production[Job Number],0))="","",INDEX(tbl_Production[Notes],MATCH(E261&amp;"",tbl_Production[Job Number],0))),IFERROR(IF(INDEX(tbl_Consulting[Notes],MATCH(E261&amp;"",tbl_Consulting[Job Number],0))="","",INDEX(tbl_Consulting[Notes],MATCH(E261&amp;"",tbl_Consulting[Job Number],0))),""))))</f>
        <v/>
      </c>
    </row>
    <row r="262" ht="15" customHeight="1">
      <c r="A262" s="22" t="n"/>
      <c r="B262" s="23">
        <f>IF(A262="","",EOMONTH(A262,0))</f>
        <v/>
      </c>
      <c r="C262" s="24" t="n"/>
      <c r="D262" s="24" t="n"/>
      <c r="E262" s="24" t="n"/>
      <c r="F262" s="25">
        <f>IF(E262="","",IF(COUNTIF(lst_Jobs,E262&amp;"")&gt;0,"OK","CHECK"))</f>
        <v/>
      </c>
      <c r="G262" s="24" t="n"/>
      <c r="H262" s="24" t="n"/>
      <c r="I262" s="24" t="n"/>
      <c r="J262" s="24" t="n"/>
      <c r="K262" s="24" t="n"/>
      <c r="L262" s="26" t="n"/>
      <c r="M262" s="27">
        <f>IF(L262="","",IF(K262="GST 10%",ROUND(L262*set_GSTRate,2),0))</f>
        <v/>
      </c>
      <c r="N262" s="27">
        <f>IF(L262="","",L262+M262)</f>
        <v/>
      </c>
      <c r="O262" s="24" t="n"/>
      <c r="P262" s="24" t="n"/>
      <c r="Q262" s="24" t="n"/>
      <c r="R262" s="22" t="n"/>
      <c r="S262" s="22" t="n"/>
      <c r="T262" s="24" t="n"/>
      <c r="U262" s="24" t="n"/>
      <c r="V262" s="25">
        <f>IF(COUNTA(A262,D262,C262,L262)=0,"",IF(A262="","No date - sits outside every month",IF(E262="","No job number",IF(F262="CHECK","Job number is not in the Xero job list",IF(I262="","No cost centre",IF(AND(P262="Y",C262=""),"Marked posted to Xero but has no invoice number",IF(AND(L262&lt;&gt;"",K262=""),"No tax code",IF(AND(L262&lt;&gt;"",O262=""),"No revenue GL code",""))))))))</f>
        <v/>
      </c>
      <c r="W262" s="25">
        <f>IF(E262="","",IF(COUNTIF(tbl_Onsite[Job Number],E262&amp;"")&gt;0,"Onsite",IF(COUNTIF(tbl_Production[Job Number],E262&amp;"")&gt;0,"Production",IF(COUNTIF(tbl_Consulting[Job Number],E262&amp;"")&gt;0,"Consulting","not set up yet"))))</f>
        <v/>
      </c>
      <c r="X262" s="25">
        <f>IF(E262="","",IFERROR(INDEX(lst_JobName,MATCH(E262&amp;"",lst_Jobs,0)),""))</f>
        <v/>
      </c>
      <c r="Y262" s="28">
        <f>IF(E262="","",COUNTIFS(tbl_Finance[Job Number],E262&amp;"",tbl_Finance[Ex GST],"&lt;&gt;"))</f>
        <v/>
      </c>
      <c r="Z262" s="27">
        <f>IF(E262="","",SUMIFS(tbl_Finance[Ex GST],tbl_Finance[Job Number],E262&amp;""))</f>
        <v/>
      </c>
      <c r="AA262" s="27">
        <f>IF(E262="","",SUMIFS(tbl_Finance[Ex GST],tbl_Finance[Job Number],E262&amp;"",tbl_Finance[Xero Invoice No],"&lt;&gt;"))</f>
        <v/>
      </c>
      <c r="AB262" s="27">
        <f>IF(E262="","",Z262-AA262)</f>
        <v/>
      </c>
      <c r="AC262" s="25">
        <f>IF(E262="","",IFERROR(IF(INDEX(tbl_Onsite[Qwilr Quote],MATCH(E262&amp;"",tbl_Onsite[Job Number],0))="","",INDEX(tbl_Onsite[Qwilr Quote],MATCH(E262&amp;"",tbl_Onsite[Job Number],0))),IFERROR(IF(IF(INDEX(tbl_Production[Current RMS No],MATCH(E262&amp;"",tbl_Production[Job Number],0))="",INDEX(tbl_Production[Qwilr Quote],MATCH(E262&amp;"",tbl_Production[Job Number],0)),INDEX(tbl_Production[Current RMS No],MATCH(E262&amp;"",tbl_Production[Job Number],0)))="","",IF(INDEX(tbl_Production[Current RMS No],MATCH(E262&amp;"",tbl_Production[Job Number],0))="",INDEX(tbl_Production[Qwilr Quote],MATCH(E262&amp;"",tbl_Production[Job Number],0)),INDEX(tbl_Production[Current RMS No],MATCH(E262&amp;"",tbl_Production[Job Number],0)))),IFERROR(IF(INDEX(tbl_Consulting[Qwilr Quote],MATCH(E262&amp;"",tbl_Consulting[Job Number],0))="","",INDEX(tbl_Consulting[Qwilr Quote],MATCH(E262&amp;"",tbl_Consulting[Job Number],0))),""))))</f>
        <v/>
      </c>
      <c r="AD262" s="25">
        <f>IF(AC262="","",IF(AND(LEFT(AC262,4)&lt;&gt;"http",IF(H262="Production",set_RMSBase,set_QwilrBase)=""),"",HYPERLINK(IF(LEFT(AC262,4)="http",AC262,IF(H262="Production",set_RMSBase,set_QwilrBase)&amp;AC262),"Open")))</f>
        <v/>
      </c>
      <c r="AE262" s="27">
        <f>IF(E262="","",IFERROR(INDEX(tbl_Production[Total Expense],MATCH(E262&amp;"",tbl_Production[Job Number],0)),IFERROR(INDEX(tbl_Consulting[Total Expense],MATCH(E262&amp;"",tbl_Consulting[Job Number],0)),0)))</f>
        <v/>
      </c>
      <c r="AF262" s="27">
        <f>IF(E262="","",Z262-N(AE262))</f>
        <v/>
      </c>
      <c r="AG262" s="29">
        <f>IFERROR(AF262/Z262,"")</f>
        <v/>
      </c>
      <c r="AH262" s="25">
        <f>IF(E262="","",IFERROR(IF(INDEX(tbl_Onsite[Notes],MATCH(E262&amp;"",tbl_Onsite[Job Number],0))="","",INDEX(tbl_Onsite[Notes],MATCH(E262&amp;"",tbl_Onsite[Job Number],0))),IFERROR(IF(INDEX(tbl_Production[Notes],MATCH(E262&amp;"",tbl_Production[Job Number],0))="","",INDEX(tbl_Production[Notes],MATCH(E262&amp;"",tbl_Production[Job Number],0))),IFERROR(IF(INDEX(tbl_Consulting[Notes],MATCH(E262&amp;"",tbl_Consulting[Job Number],0))="","",INDEX(tbl_Consulting[Notes],MATCH(E262&amp;"",tbl_Consulting[Job Number],0))),""))))</f>
        <v/>
      </c>
    </row>
    <row r="263" ht="15" customHeight="1">
      <c r="A263" s="22" t="n"/>
      <c r="B263" s="23">
        <f>IF(A263="","",EOMONTH(A263,0))</f>
        <v/>
      </c>
      <c r="C263" s="24" t="n"/>
      <c r="D263" s="24" t="n"/>
      <c r="E263" s="24" t="n"/>
      <c r="F263" s="25">
        <f>IF(E263="","",IF(COUNTIF(lst_Jobs,E263&amp;"")&gt;0,"OK","CHECK"))</f>
        <v/>
      </c>
      <c r="G263" s="24" t="n"/>
      <c r="H263" s="24" t="n"/>
      <c r="I263" s="24" t="n"/>
      <c r="J263" s="24" t="n"/>
      <c r="K263" s="24" t="n"/>
      <c r="L263" s="26" t="n"/>
      <c r="M263" s="27">
        <f>IF(L263="","",IF(K263="GST 10%",ROUND(L263*set_GSTRate,2),0))</f>
        <v/>
      </c>
      <c r="N263" s="27">
        <f>IF(L263="","",L263+M263)</f>
        <v/>
      </c>
      <c r="O263" s="24" t="n"/>
      <c r="P263" s="24" t="n"/>
      <c r="Q263" s="24" t="n"/>
      <c r="R263" s="22" t="n"/>
      <c r="S263" s="22" t="n"/>
      <c r="T263" s="24" t="n"/>
      <c r="U263" s="24" t="n"/>
      <c r="V263" s="25">
        <f>IF(COUNTA(A263,D263,C263,L263)=0,"",IF(A263="","No date - sits outside every month",IF(E263="","No job number",IF(F263="CHECK","Job number is not in the Xero job list",IF(I263="","No cost centre",IF(AND(P263="Y",C263=""),"Marked posted to Xero but has no invoice number",IF(AND(L263&lt;&gt;"",K263=""),"No tax code",IF(AND(L263&lt;&gt;"",O263=""),"No revenue GL code",""))))))))</f>
        <v/>
      </c>
      <c r="W263" s="25">
        <f>IF(E263="","",IF(COUNTIF(tbl_Onsite[Job Number],E263&amp;"")&gt;0,"Onsite",IF(COUNTIF(tbl_Production[Job Number],E263&amp;"")&gt;0,"Production",IF(COUNTIF(tbl_Consulting[Job Number],E263&amp;"")&gt;0,"Consulting","not set up yet"))))</f>
        <v/>
      </c>
      <c r="X263" s="25">
        <f>IF(E263="","",IFERROR(INDEX(lst_JobName,MATCH(E263&amp;"",lst_Jobs,0)),""))</f>
        <v/>
      </c>
      <c r="Y263" s="28">
        <f>IF(E263="","",COUNTIFS(tbl_Finance[Job Number],E263&amp;"",tbl_Finance[Ex GST],"&lt;&gt;"))</f>
        <v/>
      </c>
      <c r="Z263" s="27">
        <f>IF(E263="","",SUMIFS(tbl_Finance[Ex GST],tbl_Finance[Job Number],E263&amp;""))</f>
        <v/>
      </c>
      <c r="AA263" s="27">
        <f>IF(E263="","",SUMIFS(tbl_Finance[Ex GST],tbl_Finance[Job Number],E263&amp;"",tbl_Finance[Xero Invoice No],"&lt;&gt;"))</f>
        <v/>
      </c>
      <c r="AB263" s="27">
        <f>IF(E263="","",Z263-AA263)</f>
        <v/>
      </c>
      <c r="AC263" s="25">
        <f>IF(E263="","",IFERROR(IF(INDEX(tbl_Onsite[Qwilr Quote],MATCH(E263&amp;"",tbl_Onsite[Job Number],0))="","",INDEX(tbl_Onsite[Qwilr Quote],MATCH(E263&amp;"",tbl_Onsite[Job Number],0))),IFERROR(IF(IF(INDEX(tbl_Production[Current RMS No],MATCH(E263&amp;"",tbl_Production[Job Number],0))="",INDEX(tbl_Production[Qwilr Quote],MATCH(E263&amp;"",tbl_Production[Job Number],0)),INDEX(tbl_Production[Current RMS No],MATCH(E263&amp;"",tbl_Production[Job Number],0)))="","",IF(INDEX(tbl_Production[Current RMS No],MATCH(E263&amp;"",tbl_Production[Job Number],0))="",INDEX(tbl_Production[Qwilr Quote],MATCH(E263&amp;"",tbl_Production[Job Number],0)),INDEX(tbl_Production[Current RMS No],MATCH(E263&amp;"",tbl_Production[Job Number],0)))),IFERROR(IF(INDEX(tbl_Consulting[Qwilr Quote],MATCH(E263&amp;"",tbl_Consulting[Job Number],0))="","",INDEX(tbl_Consulting[Qwilr Quote],MATCH(E263&amp;"",tbl_Consulting[Job Number],0))),""))))</f>
        <v/>
      </c>
      <c r="AD263" s="25">
        <f>IF(AC263="","",IF(AND(LEFT(AC263,4)&lt;&gt;"http",IF(H263="Production",set_RMSBase,set_QwilrBase)=""),"",HYPERLINK(IF(LEFT(AC263,4)="http",AC263,IF(H263="Production",set_RMSBase,set_QwilrBase)&amp;AC263),"Open")))</f>
        <v/>
      </c>
      <c r="AE263" s="27">
        <f>IF(E263="","",IFERROR(INDEX(tbl_Production[Total Expense],MATCH(E263&amp;"",tbl_Production[Job Number],0)),IFERROR(INDEX(tbl_Consulting[Total Expense],MATCH(E263&amp;"",tbl_Consulting[Job Number],0)),0)))</f>
        <v/>
      </c>
      <c r="AF263" s="27">
        <f>IF(E263="","",Z263-N(AE263))</f>
        <v/>
      </c>
      <c r="AG263" s="29">
        <f>IFERROR(AF263/Z263,"")</f>
        <v/>
      </c>
      <c r="AH263" s="25">
        <f>IF(E263="","",IFERROR(IF(INDEX(tbl_Onsite[Notes],MATCH(E263&amp;"",tbl_Onsite[Job Number],0))="","",INDEX(tbl_Onsite[Notes],MATCH(E263&amp;"",tbl_Onsite[Job Number],0))),IFERROR(IF(INDEX(tbl_Production[Notes],MATCH(E263&amp;"",tbl_Production[Job Number],0))="","",INDEX(tbl_Production[Notes],MATCH(E263&amp;"",tbl_Production[Job Number],0))),IFERROR(IF(INDEX(tbl_Consulting[Notes],MATCH(E263&amp;"",tbl_Consulting[Job Number],0))="","",INDEX(tbl_Consulting[Notes],MATCH(E263&amp;"",tbl_Consulting[Job Number],0))),""))))</f>
        <v/>
      </c>
    </row>
    <row r="264" ht="15" customHeight="1">
      <c r="A264" s="22" t="n"/>
      <c r="B264" s="23">
        <f>IF(A264="","",EOMONTH(A264,0))</f>
        <v/>
      </c>
      <c r="C264" s="24" t="n"/>
      <c r="D264" s="24" t="n"/>
      <c r="E264" s="24" t="n"/>
      <c r="F264" s="25">
        <f>IF(E264="","",IF(COUNTIF(lst_Jobs,E264&amp;"")&gt;0,"OK","CHECK"))</f>
        <v/>
      </c>
      <c r="G264" s="24" t="n"/>
      <c r="H264" s="24" t="n"/>
      <c r="I264" s="24" t="n"/>
      <c r="J264" s="24" t="n"/>
      <c r="K264" s="24" t="n"/>
      <c r="L264" s="26" t="n"/>
      <c r="M264" s="27">
        <f>IF(L264="","",IF(K264="GST 10%",ROUND(L264*set_GSTRate,2),0))</f>
        <v/>
      </c>
      <c r="N264" s="27">
        <f>IF(L264="","",L264+M264)</f>
        <v/>
      </c>
      <c r="O264" s="24" t="n"/>
      <c r="P264" s="24" t="n"/>
      <c r="Q264" s="24" t="n"/>
      <c r="R264" s="22" t="n"/>
      <c r="S264" s="22" t="n"/>
      <c r="T264" s="24" t="n"/>
      <c r="U264" s="24" t="n"/>
      <c r="V264" s="25">
        <f>IF(COUNTA(A264,D264,C264,L264)=0,"",IF(A264="","No date - sits outside every month",IF(E264="","No job number",IF(F264="CHECK","Job number is not in the Xero job list",IF(I264="","No cost centre",IF(AND(P264="Y",C264=""),"Marked posted to Xero but has no invoice number",IF(AND(L264&lt;&gt;"",K264=""),"No tax code",IF(AND(L264&lt;&gt;"",O264=""),"No revenue GL code",""))))))))</f>
        <v/>
      </c>
      <c r="W264" s="25">
        <f>IF(E264="","",IF(COUNTIF(tbl_Onsite[Job Number],E264&amp;"")&gt;0,"Onsite",IF(COUNTIF(tbl_Production[Job Number],E264&amp;"")&gt;0,"Production",IF(COUNTIF(tbl_Consulting[Job Number],E264&amp;"")&gt;0,"Consulting","not set up yet"))))</f>
        <v/>
      </c>
      <c r="X264" s="25">
        <f>IF(E264="","",IFERROR(INDEX(lst_JobName,MATCH(E264&amp;"",lst_Jobs,0)),""))</f>
        <v/>
      </c>
      <c r="Y264" s="28">
        <f>IF(E264="","",COUNTIFS(tbl_Finance[Job Number],E264&amp;"",tbl_Finance[Ex GST],"&lt;&gt;"))</f>
        <v/>
      </c>
      <c r="Z264" s="27">
        <f>IF(E264="","",SUMIFS(tbl_Finance[Ex GST],tbl_Finance[Job Number],E264&amp;""))</f>
        <v/>
      </c>
      <c r="AA264" s="27">
        <f>IF(E264="","",SUMIFS(tbl_Finance[Ex GST],tbl_Finance[Job Number],E264&amp;"",tbl_Finance[Xero Invoice No],"&lt;&gt;"))</f>
        <v/>
      </c>
      <c r="AB264" s="27">
        <f>IF(E264="","",Z264-AA264)</f>
        <v/>
      </c>
      <c r="AC264" s="25">
        <f>IF(E264="","",IFERROR(IF(INDEX(tbl_Onsite[Qwilr Quote],MATCH(E264&amp;"",tbl_Onsite[Job Number],0))="","",INDEX(tbl_Onsite[Qwilr Quote],MATCH(E264&amp;"",tbl_Onsite[Job Number],0))),IFERROR(IF(IF(INDEX(tbl_Production[Current RMS No],MATCH(E264&amp;"",tbl_Production[Job Number],0))="",INDEX(tbl_Production[Qwilr Quote],MATCH(E264&amp;"",tbl_Production[Job Number],0)),INDEX(tbl_Production[Current RMS No],MATCH(E264&amp;"",tbl_Production[Job Number],0)))="","",IF(INDEX(tbl_Production[Current RMS No],MATCH(E264&amp;"",tbl_Production[Job Number],0))="",INDEX(tbl_Production[Qwilr Quote],MATCH(E264&amp;"",tbl_Production[Job Number],0)),INDEX(tbl_Production[Current RMS No],MATCH(E264&amp;"",tbl_Production[Job Number],0)))),IFERROR(IF(INDEX(tbl_Consulting[Qwilr Quote],MATCH(E264&amp;"",tbl_Consulting[Job Number],0))="","",INDEX(tbl_Consulting[Qwilr Quote],MATCH(E264&amp;"",tbl_Consulting[Job Number],0))),""))))</f>
        <v/>
      </c>
      <c r="AD264" s="25">
        <f>IF(AC264="","",IF(AND(LEFT(AC264,4)&lt;&gt;"http",IF(H264="Production",set_RMSBase,set_QwilrBase)=""),"",HYPERLINK(IF(LEFT(AC264,4)="http",AC264,IF(H264="Production",set_RMSBase,set_QwilrBase)&amp;AC264),"Open")))</f>
        <v/>
      </c>
      <c r="AE264" s="27">
        <f>IF(E264="","",IFERROR(INDEX(tbl_Production[Total Expense],MATCH(E264&amp;"",tbl_Production[Job Number],0)),IFERROR(INDEX(tbl_Consulting[Total Expense],MATCH(E264&amp;"",tbl_Consulting[Job Number],0)),0)))</f>
        <v/>
      </c>
      <c r="AF264" s="27">
        <f>IF(E264="","",Z264-N(AE264))</f>
        <v/>
      </c>
      <c r="AG264" s="29">
        <f>IFERROR(AF264/Z264,"")</f>
        <v/>
      </c>
      <c r="AH264" s="25">
        <f>IF(E264="","",IFERROR(IF(INDEX(tbl_Onsite[Notes],MATCH(E264&amp;"",tbl_Onsite[Job Number],0))="","",INDEX(tbl_Onsite[Notes],MATCH(E264&amp;"",tbl_Onsite[Job Number],0))),IFERROR(IF(INDEX(tbl_Production[Notes],MATCH(E264&amp;"",tbl_Production[Job Number],0))="","",INDEX(tbl_Production[Notes],MATCH(E264&amp;"",tbl_Production[Job Number],0))),IFERROR(IF(INDEX(tbl_Consulting[Notes],MATCH(E264&amp;"",tbl_Consulting[Job Number],0))="","",INDEX(tbl_Consulting[Notes],MATCH(E264&amp;"",tbl_Consulting[Job Number],0))),""))))</f>
        <v/>
      </c>
    </row>
    <row r="265" ht="15" customHeight="1">
      <c r="A265" s="22" t="n"/>
      <c r="B265" s="23">
        <f>IF(A265="","",EOMONTH(A265,0))</f>
        <v/>
      </c>
      <c r="C265" s="24" t="n"/>
      <c r="D265" s="24" t="n"/>
      <c r="E265" s="24" t="n"/>
      <c r="F265" s="25">
        <f>IF(E265="","",IF(COUNTIF(lst_Jobs,E265&amp;"")&gt;0,"OK","CHECK"))</f>
        <v/>
      </c>
      <c r="G265" s="24" t="n"/>
      <c r="H265" s="24" t="n"/>
      <c r="I265" s="24" t="n"/>
      <c r="J265" s="24" t="n"/>
      <c r="K265" s="24" t="n"/>
      <c r="L265" s="26" t="n"/>
      <c r="M265" s="27">
        <f>IF(L265="","",IF(K265="GST 10%",ROUND(L265*set_GSTRate,2),0))</f>
        <v/>
      </c>
      <c r="N265" s="27">
        <f>IF(L265="","",L265+M265)</f>
        <v/>
      </c>
      <c r="O265" s="24" t="n"/>
      <c r="P265" s="24" t="n"/>
      <c r="Q265" s="24" t="n"/>
      <c r="R265" s="22" t="n"/>
      <c r="S265" s="22" t="n"/>
      <c r="T265" s="24" t="n"/>
      <c r="U265" s="24" t="n"/>
      <c r="V265" s="25">
        <f>IF(COUNTA(A265,D265,C265,L265)=0,"",IF(A265="","No date - sits outside every month",IF(E265="","No job number",IF(F265="CHECK","Job number is not in the Xero job list",IF(I265="","No cost centre",IF(AND(P265="Y",C265=""),"Marked posted to Xero but has no invoice number",IF(AND(L265&lt;&gt;"",K265=""),"No tax code",IF(AND(L265&lt;&gt;"",O265=""),"No revenue GL code",""))))))))</f>
        <v/>
      </c>
      <c r="W265" s="25">
        <f>IF(E265="","",IF(COUNTIF(tbl_Onsite[Job Number],E265&amp;"")&gt;0,"Onsite",IF(COUNTIF(tbl_Production[Job Number],E265&amp;"")&gt;0,"Production",IF(COUNTIF(tbl_Consulting[Job Number],E265&amp;"")&gt;0,"Consulting","not set up yet"))))</f>
        <v/>
      </c>
      <c r="X265" s="25">
        <f>IF(E265="","",IFERROR(INDEX(lst_JobName,MATCH(E265&amp;"",lst_Jobs,0)),""))</f>
        <v/>
      </c>
      <c r="Y265" s="28">
        <f>IF(E265="","",COUNTIFS(tbl_Finance[Job Number],E265&amp;"",tbl_Finance[Ex GST],"&lt;&gt;"))</f>
        <v/>
      </c>
      <c r="Z265" s="27">
        <f>IF(E265="","",SUMIFS(tbl_Finance[Ex GST],tbl_Finance[Job Number],E265&amp;""))</f>
        <v/>
      </c>
      <c r="AA265" s="27">
        <f>IF(E265="","",SUMIFS(tbl_Finance[Ex GST],tbl_Finance[Job Number],E265&amp;"",tbl_Finance[Xero Invoice No],"&lt;&gt;"))</f>
        <v/>
      </c>
      <c r="AB265" s="27">
        <f>IF(E265="","",Z265-AA265)</f>
        <v/>
      </c>
      <c r="AC265" s="25">
        <f>IF(E265="","",IFERROR(IF(INDEX(tbl_Onsite[Qwilr Quote],MATCH(E265&amp;"",tbl_Onsite[Job Number],0))="","",INDEX(tbl_Onsite[Qwilr Quote],MATCH(E265&amp;"",tbl_Onsite[Job Number],0))),IFERROR(IF(IF(INDEX(tbl_Production[Current RMS No],MATCH(E265&amp;"",tbl_Production[Job Number],0))="",INDEX(tbl_Production[Qwilr Quote],MATCH(E265&amp;"",tbl_Production[Job Number],0)),INDEX(tbl_Production[Current RMS No],MATCH(E265&amp;"",tbl_Production[Job Number],0)))="","",IF(INDEX(tbl_Production[Current RMS No],MATCH(E265&amp;"",tbl_Production[Job Number],0))="",INDEX(tbl_Production[Qwilr Quote],MATCH(E265&amp;"",tbl_Production[Job Number],0)),INDEX(tbl_Production[Current RMS No],MATCH(E265&amp;"",tbl_Production[Job Number],0)))),IFERROR(IF(INDEX(tbl_Consulting[Qwilr Quote],MATCH(E265&amp;"",tbl_Consulting[Job Number],0))="","",INDEX(tbl_Consulting[Qwilr Quote],MATCH(E265&amp;"",tbl_Consulting[Job Number],0))),""))))</f>
        <v/>
      </c>
      <c r="AD265" s="25">
        <f>IF(AC265="","",IF(AND(LEFT(AC265,4)&lt;&gt;"http",IF(H265="Production",set_RMSBase,set_QwilrBase)=""),"",HYPERLINK(IF(LEFT(AC265,4)="http",AC265,IF(H265="Production",set_RMSBase,set_QwilrBase)&amp;AC265),"Open")))</f>
        <v/>
      </c>
      <c r="AE265" s="27">
        <f>IF(E265="","",IFERROR(INDEX(tbl_Production[Total Expense],MATCH(E265&amp;"",tbl_Production[Job Number],0)),IFERROR(INDEX(tbl_Consulting[Total Expense],MATCH(E265&amp;"",tbl_Consulting[Job Number],0)),0)))</f>
        <v/>
      </c>
      <c r="AF265" s="27">
        <f>IF(E265="","",Z265-N(AE265))</f>
        <v/>
      </c>
      <c r="AG265" s="29">
        <f>IFERROR(AF265/Z265,"")</f>
        <v/>
      </c>
      <c r="AH265" s="25">
        <f>IF(E265="","",IFERROR(IF(INDEX(tbl_Onsite[Notes],MATCH(E265&amp;"",tbl_Onsite[Job Number],0))="","",INDEX(tbl_Onsite[Notes],MATCH(E265&amp;"",tbl_Onsite[Job Number],0))),IFERROR(IF(INDEX(tbl_Production[Notes],MATCH(E265&amp;"",tbl_Production[Job Number],0))="","",INDEX(tbl_Production[Notes],MATCH(E265&amp;"",tbl_Production[Job Number],0))),IFERROR(IF(INDEX(tbl_Consulting[Notes],MATCH(E265&amp;"",tbl_Consulting[Job Number],0))="","",INDEX(tbl_Consulting[Notes],MATCH(E265&amp;"",tbl_Consulting[Job Number],0))),""))))</f>
        <v/>
      </c>
    </row>
    <row r="266" ht="15" customHeight="1">
      <c r="A266" s="22" t="n"/>
      <c r="B266" s="23">
        <f>IF(A266="","",EOMONTH(A266,0))</f>
        <v/>
      </c>
      <c r="C266" s="24" t="n"/>
      <c r="D266" s="24" t="n"/>
      <c r="E266" s="24" t="n"/>
      <c r="F266" s="25">
        <f>IF(E266="","",IF(COUNTIF(lst_Jobs,E266&amp;"")&gt;0,"OK","CHECK"))</f>
        <v/>
      </c>
      <c r="G266" s="24" t="n"/>
      <c r="H266" s="24" t="n"/>
      <c r="I266" s="24" t="n"/>
      <c r="J266" s="24" t="n"/>
      <c r="K266" s="24" t="n"/>
      <c r="L266" s="26" t="n"/>
      <c r="M266" s="27">
        <f>IF(L266="","",IF(K266="GST 10%",ROUND(L266*set_GSTRate,2),0))</f>
        <v/>
      </c>
      <c r="N266" s="27">
        <f>IF(L266="","",L266+M266)</f>
        <v/>
      </c>
      <c r="O266" s="24" t="n"/>
      <c r="P266" s="24" t="n"/>
      <c r="Q266" s="24" t="n"/>
      <c r="R266" s="22" t="n"/>
      <c r="S266" s="22" t="n"/>
      <c r="T266" s="24" t="n"/>
      <c r="U266" s="24" t="n"/>
      <c r="V266" s="25">
        <f>IF(COUNTA(A266,D266,C266,L266)=0,"",IF(A266="","No date - sits outside every month",IF(E266="","No job number",IF(F266="CHECK","Job number is not in the Xero job list",IF(I266="","No cost centre",IF(AND(P266="Y",C266=""),"Marked posted to Xero but has no invoice number",IF(AND(L266&lt;&gt;"",K266=""),"No tax code",IF(AND(L266&lt;&gt;"",O266=""),"No revenue GL code",""))))))))</f>
        <v/>
      </c>
      <c r="W266" s="25">
        <f>IF(E266="","",IF(COUNTIF(tbl_Onsite[Job Number],E266&amp;"")&gt;0,"Onsite",IF(COUNTIF(tbl_Production[Job Number],E266&amp;"")&gt;0,"Production",IF(COUNTIF(tbl_Consulting[Job Number],E266&amp;"")&gt;0,"Consulting","not set up yet"))))</f>
        <v/>
      </c>
      <c r="X266" s="25">
        <f>IF(E266="","",IFERROR(INDEX(lst_JobName,MATCH(E266&amp;"",lst_Jobs,0)),""))</f>
        <v/>
      </c>
      <c r="Y266" s="28">
        <f>IF(E266="","",COUNTIFS(tbl_Finance[Job Number],E266&amp;"",tbl_Finance[Ex GST],"&lt;&gt;"))</f>
        <v/>
      </c>
      <c r="Z266" s="27">
        <f>IF(E266="","",SUMIFS(tbl_Finance[Ex GST],tbl_Finance[Job Number],E266&amp;""))</f>
        <v/>
      </c>
      <c r="AA266" s="27">
        <f>IF(E266="","",SUMIFS(tbl_Finance[Ex GST],tbl_Finance[Job Number],E266&amp;"",tbl_Finance[Xero Invoice No],"&lt;&gt;"))</f>
        <v/>
      </c>
      <c r="AB266" s="27">
        <f>IF(E266="","",Z266-AA266)</f>
        <v/>
      </c>
      <c r="AC266" s="25">
        <f>IF(E266="","",IFERROR(IF(INDEX(tbl_Onsite[Qwilr Quote],MATCH(E266&amp;"",tbl_Onsite[Job Number],0))="","",INDEX(tbl_Onsite[Qwilr Quote],MATCH(E266&amp;"",tbl_Onsite[Job Number],0))),IFERROR(IF(IF(INDEX(tbl_Production[Current RMS No],MATCH(E266&amp;"",tbl_Production[Job Number],0))="",INDEX(tbl_Production[Qwilr Quote],MATCH(E266&amp;"",tbl_Production[Job Number],0)),INDEX(tbl_Production[Current RMS No],MATCH(E266&amp;"",tbl_Production[Job Number],0)))="","",IF(INDEX(tbl_Production[Current RMS No],MATCH(E266&amp;"",tbl_Production[Job Number],0))="",INDEX(tbl_Production[Qwilr Quote],MATCH(E266&amp;"",tbl_Production[Job Number],0)),INDEX(tbl_Production[Current RMS No],MATCH(E266&amp;"",tbl_Production[Job Number],0)))),IFERROR(IF(INDEX(tbl_Consulting[Qwilr Quote],MATCH(E266&amp;"",tbl_Consulting[Job Number],0))="","",INDEX(tbl_Consulting[Qwilr Quote],MATCH(E266&amp;"",tbl_Consulting[Job Number],0))),""))))</f>
        <v/>
      </c>
      <c r="AD266" s="25">
        <f>IF(AC266="","",IF(AND(LEFT(AC266,4)&lt;&gt;"http",IF(H266="Production",set_RMSBase,set_QwilrBase)=""),"",HYPERLINK(IF(LEFT(AC266,4)="http",AC266,IF(H266="Production",set_RMSBase,set_QwilrBase)&amp;AC266),"Open")))</f>
        <v/>
      </c>
      <c r="AE266" s="27">
        <f>IF(E266="","",IFERROR(INDEX(tbl_Production[Total Expense],MATCH(E266&amp;"",tbl_Production[Job Number],0)),IFERROR(INDEX(tbl_Consulting[Total Expense],MATCH(E266&amp;"",tbl_Consulting[Job Number],0)),0)))</f>
        <v/>
      </c>
      <c r="AF266" s="27">
        <f>IF(E266="","",Z266-N(AE266))</f>
        <v/>
      </c>
      <c r="AG266" s="29">
        <f>IFERROR(AF266/Z266,"")</f>
        <v/>
      </c>
      <c r="AH266" s="25">
        <f>IF(E266="","",IFERROR(IF(INDEX(tbl_Onsite[Notes],MATCH(E266&amp;"",tbl_Onsite[Job Number],0))="","",INDEX(tbl_Onsite[Notes],MATCH(E266&amp;"",tbl_Onsite[Job Number],0))),IFERROR(IF(INDEX(tbl_Production[Notes],MATCH(E266&amp;"",tbl_Production[Job Number],0))="","",INDEX(tbl_Production[Notes],MATCH(E266&amp;"",tbl_Production[Job Number],0))),IFERROR(IF(INDEX(tbl_Consulting[Notes],MATCH(E266&amp;"",tbl_Consulting[Job Number],0))="","",INDEX(tbl_Consulting[Notes],MATCH(E266&amp;"",tbl_Consulting[Job Number],0))),""))))</f>
        <v/>
      </c>
    </row>
    <row r="267" ht="15" customHeight="1">
      <c r="A267" s="22" t="n"/>
      <c r="B267" s="23">
        <f>IF(A267="","",EOMONTH(A267,0))</f>
        <v/>
      </c>
      <c r="C267" s="24" t="n"/>
      <c r="D267" s="24" t="n"/>
      <c r="E267" s="24" t="n"/>
      <c r="F267" s="25">
        <f>IF(E267="","",IF(COUNTIF(lst_Jobs,E267&amp;"")&gt;0,"OK","CHECK"))</f>
        <v/>
      </c>
      <c r="G267" s="24" t="n"/>
      <c r="H267" s="24" t="n"/>
      <c r="I267" s="24" t="n"/>
      <c r="J267" s="24" t="n"/>
      <c r="K267" s="24" t="n"/>
      <c r="L267" s="26" t="n"/>
      <c r="M267" s="27">
        <f>IF(L267="","",IF(K267="GST 10%",ROUND(L267*set_GSTRate,2),0))</f>
        <v/>
      </c>
      <c r="N267" s="27">
        <f>IF(L267="","",L267+M267)</f>
        <v/>
      </c>
      <c r="O267" s="24" t="n"/>
      <c r="P267" s="24" t="n"/>
      <c r="Q267" s="24" t="n"/>
      <c r="R267" s="22" t="n"/>
      <c r="S267" s="22" t="n"/>
      <c r="T267" s="24" t="n"/>
      <c r="U267" s="24" t="n"/>
      <c r="V267" s="25">
        <f>IF(COUNTA(A267,D267,C267,L267)=0,"",IF(A267="","No date - sits outside every month",IF(E267="","No job number",IF(F267="CHECK","Job number is not in the Xero job list",IF(I267="","No cost centre",IF(AND(P267="Y",C267=""),"Marked posted to Xero but has no invoice number",IF(AND(L267&lt;&gt;"",K267=""),"No tax code",IF(AND(L267&lt;&gt;"",O267=""),"No revenue GL code",""))))))))</f>
        <v/>
      </c>
      <c r="W267" s="25">
        <f>IF(E267="","",IF(COUNTIF(tbl_Onsite[Job Number],E267&amp;"")&gt;0,"Onsite",IF(COUNTIF(tbl_Production[Job Number],E267&amp;"")&gt;0,"Production",IF(COUNTIF(tbl_Consulting[Job Number],E267&amp;"")&gt;0,"Consulting","not set up yet"))))</f>
        <v/>
      </c>
      <c r="X267" s="25">
        <f>IF(E267="","",IFERROR(INDEX(lst_JobName,MATCH(E267&amp;"",lst_Jobs,0)),""))</f>
        <v/>
      </c>
      <c r="Y267" s="28">
        <f>IF(E267="","",COUNTIFS(tbl_Finance[Job Number],E267&amp;"",tbl_Finance[Ex GST],"&lt;&gt;"))</f>
        <v/>
      </c>
      <c r="Z267" s="27">
        <f>IF(E267="","",SUMIFS(tbl_Finance[Ex GST],tbl_Finance[Job Number],E267&amp;""))</f>
        <v/>
      </c>
      <c r="AA267" s="27">
        <f>IF(E267="","",SUMIFS(tbl_Finance[Ex GST],tbl_Finance[Job Number],E267&amp;"",tbl_Finance[Xero Invoice No],"&lt;&gt;"))</f>
        <v/>
      </c>
      <c r="AB267" s="27">
        <f>IF(E267="","",Z267-AA267)</f>
        <v/>
      </c>
      <c r="AC267" s="25">
        <f>IF(E267="","",IFERROR(IF(INDEX(tbl_Onsite[Qwilr Quote],MATCH(E267&amp;"",tbl_Onsite[Job Number],0))="","",INDEX(tbl_Onsite[Qwilr Quote],MATCH(E267&amp;"",tbl_Onsite[Job Number],0))),IFERROR(IF(IF(INDEX(tbl_Production[Current RMS No],MATCH(E267&amp;"",tbl_Production[Job Number],0))="",INDEX(tbl_Production[Qwilr Quote],MATCH(E267&amp;"",tbl_Production[Job Number],0)),INDEX(tbl_Production[Current RMS No],MATCH(E267&amp;"",tbl_Production[Job Number],0)))="","",IF(INDEX(tbl_Production[Current RMS No],MATCH(E267&amp;"",tbl_Production[Job Number],0))="",INDEX(tbl_Production[Qwilr Quote],MATCH(E267&amp;"",tbl_Production[Job Number],0)),INDEX(tbl_Production[Current RMS No],MATCH(E267&amp;"",tbl_Production[Job Number],0)))),IFERROR(IF(INDEX(tbl_Consulting[Qwilr Quote],MATCH(E267&amp;"",tbl_Consulting[Job Number],0))="","",INDEX(tbl_Consulting[Qwilr Quote],MATCH(E267&amp;"",tbl_Consulting[Job Number],0))),""))))</f>
        <v/>
      </c>
      <c r="AD267" s="25">
        <f>IF(AC267="","",IF(AND(LEFT(AC267,4)&lt;&gt;"http",IF(H267="Production",set_RMSBase,set_QwilrBase)=""),"",HYPERLINK(IF(LEFT(AC267,4)="http",AC267,IF(H267="Production",set_RMSBase,set_QwilrBase)&amp;AC267),"Open")))</f>
        <v/>
      </c>
      <c r="AE267" s="27">
        <f>IF(E267="","",IFERROR(INDEX(tbl_Production[Total Expense],MATCH(E267&amp;"",tbl_Production[Job Number],0)),IFERROR(INDEX(tbl_Consulting[Total Expense],MATCH(E267&amp;"",tbl_Consulting[Job Number],0)),0)))</f>
        <v/>
      </c>
      <c r="AF267" s="27">
        <f>IF(E267="","",Z267-N(AE267))</f>
        <v/>
      </c>
      <c r="AG267" s="29">
        <f>IFERROR(AF267/Z267,"")</f>
        <v/>
      </c>
      <c r="AH267" s="25">
        <f>IF(E267="","",IFERROR(IF(INDEX(tbl_Onsite[Notes],MATCH(E267&amp;"",tbl_Onsite[Job Number],0))="","",INDEX(tbl_Onsite[Notes],MATCH(E267&amp;"",tbl_Onsite[Job Number],0))),IFERROR(IF(INDEX(tbl_Production[Notes],MATCH(E267&amp;"",tbl_Production[Job Number],0))="","",INDEX(tbl_Production[Notes],MATCH(E267&amp;"",tbl_Production[Job Number],0))),IFERROR(IF(INDEX(tbl_Consulting[Notes],MATCH(E267&amp;"",tbl_Consulting[Job Number],0))="","",INDEX(tbl_Consulting[Notes],MATCH(E267&amp;"",tbl_Consulting[Job Number],0))),""))))</f>
        <v/>
      </c>
    </row>
    <row r="268" ht="15" customHeight="1">
      <c r="A268" s="22" t="n"/>
      <c r="B268" s="23">
        <f>IF(A268="","",EOMONTH(A268,0))</f>
        <v/>
      </c>
      <c r="C268" s="24" t="n"/>
      <c r="D268" s="24" t="n"/>
      <c r="E268" s="24" t="n"/>
      <c r="F268" s="25">
        <f>IF(E268="","",IF(COUNTIF(lst_Jobs,E268&amp;"")&gt;0,"OK","CHECK"))</f>
        <v/>
      </c>
      <c r="G268" s="24" t="n"/>
      <c r="H268" s="24" t="n"/>
      <c r="I268" s="24" t="n"/>
      <c r="J268" s="24" t="n"/>
      <c r="K268" s="24" t="n"/>
      <c r="L268" s="26" t="n"/>
      <c r="M268" s="27">
        <f>IF(L268="","",IF(K268="GST 10%",ROUND(L268*set_GSTRate,2),0))</f>
        <v/>
      </c>
      <c r="N268" s="27">
        <f>IF(L268="","",L268+M268)</f>
        <v/>
      </c>
      <c r="O268" s="24" t="n"/>
      <c r="P268" s="24" t="n"/>
      <c r="Q268" s="24" t="n"/>
      <c r="R268" s="22" t="n"/>
      <c r="S268" s="22" t="n"/>
      <c r="T268" s="24" t="n"/>
      <c r="U268" s="24" t="n"/>
      <c r="V268" s="25">
        <f>IF(COUNTA(A268,D268,C268,L268)=0,"",IF(A268="","No date - sits outside every month",IF(E268="","No job number",IF(F268="CHECK","Job number is not in the Xero job list",IF(I268="","No cost centre",IF(AND(P268="Y",C268=""),"Marked posted to Xero but has no invoice number",IF(AND(L268&lt;&gt;"",K268=""),"No tax code",IF(AND(L268&lt;&gt;"",O268=""),"No revenue GL code",""))))))))</f>
        <v/>
      </c>
      <c r="W268" s="25">
        <f>IF(E268="","",IF(COUNTIF(tbl_Onsite[Job Number],E268&amp;"")&gt;0,"Onsite",IF(COUNTIF(tbl_Production[Job Number],E268&amp;"")&gt;0,"Production",IF(COUNTIF(tbl_Consulting[Job Number],E268&amp;"")&gt;0,"Consulting","not set up yet"))))</f>
        <v/>
      </c>
      <c r="X268" s="25">
        <f>IF(E268="","",IFERROR(INDEX(lst_JobName,MATCH(E268&amp;"",lst_Jobs,0)),""))</f>
        <v/>
      </c>
      <c r="Y268" s="28">
        <f>IF(E268="","",COUNTIFS(tbl_Finance[Job Number],E268&amp;"",tbl_Finance[Ex GST],"&lt;&gt;"))</f>
        <v/>
      </c>
      <c r="Z268" s="27">
        <f>IF(E268="","",SUMIFS(tbl_Finance[Ex GST],tbl_Finance[Job Number],E268&amp;""))</f>
        <v/>
      </c>
      <c r="AA268" s="27">
        <f>IF(E268="","",SUMIFS(tbl_Finance[Ex GST],tbl_Finance[Job Number],E268&amp;"",tbl_Finance[Xero Invoice No],"&lt;&gt;"))</f>
        <v/>
      </c>
      <c r="AB268" s="27">
        <f>IF(E268="","",Z268-AA268)</f>
        <v/>
      </c>
      <c r="AC268" s="25">
        <f>IF(E268="","",IFERROR(IF(INDEX(tbl_Onsite[Qwilr Quote],MATCH(E268&amp;"",tbl_Onsite[Job Number],0))="","",INDEX(tbl_Onsite[Qwilr Quote],MATCH(E268&amp;"",tbl_Onsite[Job Number],0))),IFERROR(IF(IF(INDEX(tbl_Production[Current RMS No],MATCH(E268&amp;"",tbl_Production[Job Number],0))="",INDEX(tbl_Production[Qwilr Quote],MATCH(E268&amp;"",tbl_Production[Job Number],0)),INDEX(tbl_Production[Current RMS No],MATCH(E268&amp;"",tbl_Production[Job Number],0)))="","",IF(INDEX(tbl_Production[Current RMS No],MATCH(E268&amp;"",tbl_Production[Job Number],0))="",INDEX(tbl_Production[Qwilr Quote],MATCH(E268&amp;"",tbl_Production[Job Number],0)),INDEX(tbl_Production[Current RMS No],MATCH(E268&amp;"",tbl_Production[Job Number],0)))),IFERROR(IF(INDEX(tbl_Consulting[Qwilr Quote],MATCH(E268&amp;"",tbl_Consulting[Job Number],0))="","",INDEX(tbl_Consulting[Qwilr Quote],MATCH(E268&amp;"",tbl_Consulting[Job Number],0))),""))))</f>
        <v/>
      </c>
      <c r="AD268" s="25">
        <f>IF(AC268="","",IF(AND(LEFT(AC268,4)&lt;&gt;"http",IF(H268="Production",set_RMSBase,set_QwilrBase)=""),"",HYPERLINK(IF(LEFT(AC268,4)="http",AC268,IF(H268="Production",set_RMSBase,set_QwilrBase)&amp;AC268),"Open")))</f>
        <v/>
      </c>
      <c r="AE268" s="27">
        <f>IF(E268="","",IFERROR(INDEX(tbl_Production[Total Expense],MATCH(E268&amp;"",tbl_Production[Job Number],0)),IFERROR(INDEX(tbl_Consulting[Total Expense],MATCH(E268&amp;"",tbl_Consulting[Job Number],0)),0)))</f>
        <v/>
      </c>
      <c r="AF268" s="27">
        <f>IF(E268="","",Z268-N(AE268))</f>
        <v/>
      </c>
      <c r="AG268" s="29">
        <f>IFERROR(AF268/Z268,"")</f>
        <v/>
      </c>
      <c r="AH268" s="25">
        <f>IF(E268="","",IFERROR(IF(INDEX(tbl_Onsite[Notes],MATCH(E268&amp;"",tbl_Onsite[Job Number],0))="","",INDEX(tbl_Onsite[Notes],MATCH(E268&amp;"",tbl_Onsite[Job Number],0))),IFERROR(IF(INDEX(tbl_Production[Notes],MATCH(E268&amp;"",tbl_Production[Job Number],0))="","",INDEX(tbl_Production[Notes],MATCH(E268&amp;"",tbl_Production[Job Number],0))),IFERROR(IF(INDEX(tbl_Consulting[Notes],MATCH(E268&amp;"",tbl_Consulting[Job Number],0))="","",INDEX(tbl_Consulting[Notes],MATCH(E268&amp;"",tbl_Consulting[Job Number],0))),""))))</f>
        <v/>
      </c>
    </row>
    <row r="269" ht="15" customHeight="1">
      <c r="A269" s="22" t="n"/>
      <c r="B269" s="23">
        <f>IF(A269="","",EOMONTH(A269,0))</f>
        <v/>
      </c>
      <c r="C269" s="24" t="n"/>
      <c r="D269" s="24" t="n"/>
      <c r="E269" s="24" t="n"/>
      <c r="F269" s="25">
        <f>IF(E269="","",IF(COUNTIF(lst_Jobs,E269&amp;"")&gt;0,"OK","CHECK"))</f>
        <v/>
      </c>
      <c r="G269" s="24" t="n"/>
      <c r="H269" s="24" t="n"/>
      <c r="I269" s="24" t="n"/>
      <c r="J269" s="24" t="n"/>
      <c r="K269" s="24" t="n"/>
      <c r="L269" s="26" t="n"/>
      <c r="M269" s="27">
        <f>IF(L269="","",IF(K269="GST 10%",ROUND(L269*set_GSTRate,2),0))</f>
        <v/>
      </c>
      <c r="N269" s="27">
        <f>IF(L269="","",L269+M269)</f>
        <v/>
      </c>
      <c r="O269" s="24" t="n"/>
      <c r="P269" s="24" t="n"/>
      <c r="Q269" s="24" t="n"/>
      <c r="R269" s="22" t="n"/>
      <c r="S269" s="22" t="n"/>
      <c r="T269" s="24" t="n"/>
      <c r="U269" s="24" t="n"/>
      <c r="V269" s="25">
        <f>IF(COUNTA(A269,D269,C269,L269)=0,"",IF(A269="","No date - sits outside every month",IF(E269="","No job number",IF(F269="CHECK","Job number is not in the Xero job list",IF(I269="","No cost centre",IF(AND(P269="Y",C269=""),"Marked posted to Xero but has no invoice number",IF(AND(L269&lt;&gt;"",K269=""),"No tax code",IF(AND(L269&lt;&gt;"",O269=""),"No revenue GL code",""))))))))</f>
        <v/>
      </c>
      <c r="W269" s="25">
        <f>IF(E269="","",IF(COUNTIF(tbl_Onsite[Job Number],E269&amp;"")&gt;0,"Onsite",IF(COUNTIF(tbl_Production[Job Number],E269&amp;"")&gt;0,"Production",IF(COUNTIF(tbl_Consulting[Job Number],E269&amp;"")&gt;0,"Consulting","not set up yet"))))</f>
        <v/>
      </c>
      <c r="X269" s="25">
        <f>IF(E269="","",IFERROR(INDEX(lst_JobName,MATCH(E269&amp;"",lst_Jobs,0)),""))</f>
        <v/>
      </c>
      <c r="Y269" s="28">
        <f>IF(E269="","",COUNTIFS(tbl_Finance[Job Number],E269&amp;"",tbl_Finance[Ex GST],"&lt;&gt;"))</f>
        <v/>
      </c>
      <c r="Z269" s="27">
        <f>IF(E269="","",SUMIFS(tbl_Finance[Ex GST],tbl_Finance[Job Number],E269&amp;""))</f>
        <v/>
      </c>
      <c r="AA269" s="27">
        <f>IF(E269="","",SUMIFS(tbl_Finance[Ex GST],tbl_Finance[Job Number],E269&amp;"",tbl_Finance[Xero Invoice No],"&lt;&gt;"))</f>
        <v/>
      </c>
      <c r="AB269" s="27">
        <f>IF(E269="","",Z269-AA269)</f>
        <v/>
      </c>
      <c r="AC269" s="25">
        <f>IF(E269="","",IFERROR(IF(INDEX(tbl_Onsite[Qwilr Quote],MATCH(E269&amp;"",tbl_Onsite[Job Number],0))="","",INDEX(tbl_Onsite[Qwilr Quote],MATCH(E269&amp;"",tbl_Onsite[Job Number],0))),IFERROR(IF(IF(INDEX(tbl_Production[Current RMS No],MATCH(E269&amp;"",tbl_Production[Job Number],0))="",INDEX(tbl_Production[Qwilr Quote],MATCH(E269&amp;"",tbl_Production[Job Number],0)),INDEX(tbl_Production[Current RMS No],MATCH(E269&amp;"",tbl_Production[Job Number],0)))="","",IF(INDEX(tbl_Production[Current RMS No],MATCH(E269&amp;"",tbl_Production[Job Number],0))="",INDEX(tbl_Production[Qwilr Quote],MATCH(E269&amp;"",tbl_Production[Job Number],0)),INDEX(tbl_Production[Current RMS No],MATCH(E269&amp;"",tbl_Production[Job Number],0)))),IFERROR(IF(INDEX(tbl_Consulting[Qwilr Quote],MATCH(E269&amp;"",tbl_Consulting[Job Number],0))="","",INDEX(tbl_Consulting[Qwilr Quote],MATCH(E269&amp;"",tbl_Consulting[Job Number],0))),""))))</f>
        <v/>
      </c>
      <c r="AD269" s="25">
        <f>IF(AC269="","",IF(AND(LEFT(AC269,4)&lt;&gt;"http",IF(H269="Production",set_RMSBase,set_QwilrBase)=""),"",HYPERLINK(IF(LEFT(AC269,4)="http",AC269,IF(H269="Production",set_RMSBase,set_QwilrBase)&amp;AC269),"Open")))</f>
        <v/>
      </c>
      <c r="AE269" s="27">
        <f>IF(E269="","",IFERROR(INDEX(tbl_Production[Total Expense],MATCH(E269&amp;"",tbl_Production[Job Number],0)),IFERROR(INDEX(tbl_Consulting[Total Expense],MATCH(E269&amp;"",tbl_Consulting[Job Number],0)),0)))</f>
        <v/>
      </c>
      <c r="AF269" s="27">
        <f>IF(E269="","",Z269-N(AE269))</f>
        <v/>
      </c>
      <c r="AG269" s="29">
        <f>IFERROR(AF269/Z269,"")</f>
        <v/>
      </c>
      <c r="AH269" s="25">
        <f>IF(E269="","",IFERROR(IF(INDEX(tbl_Onsite[Notes],MATCH(E269&amp;"",tbl_Onsite[Job Number],0))="","",INDEX(tbl_Onsite[Notes],MATCH(E269&amp;"",tbl_Onsite[Job Number],0))),IFERROR(IF(INDEX(tbl_Production[Notes],MATCH(E269&amp;"",tbl_Production[Job Number],0))="","",INDEX(tbl_Production[Notes],MATCH(E269&amp;"",tbl_Production[Job Number],0))),IFERROR(IF(INDEX(tbl_Consulting[Notes],MATCH(E269&amp;"",tbl_Consulting[Job Number],0))="","",INDEX(tbl_Consulting[Notes],MATCH(E269&amp;"",tbl_Consulting[Job Number],0))),""))))</f>
        <v/>
      </c>
    </row>
    <row r="270" ht="15" customHeight="1">
      <c r="A270" s="22" t="n"/>
      <c r="B270" s="23">
        <f>IF(A270="","",EOMONTH(A270,0))</f>
        <v/>
      </c>
      <c r="C270" s="24" t="n"/>
      <c r="D270" s="24" t="n"/>
      <c r="E270" s="24" t="n"/>
      <c r="F270" s="25">
        <f>IF(E270="","",IF(COUNTIF(lst_Jobs,E270&amp;"")&gt;0,"OK","CHECK"))</f>
        <v/>
      </c>
      <c r="G270" s="24" t="n"/>
      <c r="H270" s="24" t="n"/>
      <c r="I270" s="24" t="n"/>
      <c r="J270" s="24" t="n"/>
      <c r="K270" s="24" t="n"/>
      <c r="L270" s="26" t="n"/>
      <c r="M270" s="27">
        <f>IF(L270="","",IF(K270="GST 10%",ROUND(L270*set_GSTRate,2),0))</f>
        <v/>
      </c>
      <c r="N270" s="27">
        <f>IF(L270="","",L270+M270)</f>
        <v/>
      </c>
      <c r="O270" s="24" t="n"/>
      <c r="P270" s="24" t="n"/>
      <c r="Q270" s="24" t="n"/>
      <c r="R270" s="22" t="n"/>
      <c r="S270" s="22" t="n"/>
      <c r="T270" s="24" t="n"/>
      <c r="U270" s="24" t="n"/>
      <c r="V270" s="25">
        <f>IF(COUNTA(A270,D270,C270,L270)=0,"",IF(A270="","No date - sits outside every month",IF(E270="","No job number",IF(F270="CHECK","Job number is not in the Xero job list",IF(I270="","No cost centre",IF(AND(P270="Y",C270=""),"Marked posted to Xero but has no invoice number",IF(AND(L270&lt;&gt;"",K270=""),"No tax code",IF(AND(L270&lt;&gt;"",O270=""),"No revenue GL code",""))))))))</f>
        <v/>
      </c>
      <c r="W270" s="25">
        <f>IF(E270="","",IF(COUNTIF(tbl_Onsite[Job Number],E270&amp;"")&gt;0,"Onsite",IF(COUNTIF(tbl_Production[Job Number],E270&amp;"")&gt;0,"Production",IF(COUNTIF(tbl_Consulting[Job Number],E270&amp;"")&gt;0,"Consulting","not set up yet"))))</f>
        <v/>
      </c>
      <c r="X270" s="25">
        <f>IF(E270="","",IFERROR(INDEX(lst_JobName,MATCH(E270&amp;"",lst_Jobs,0)),""))</f>
        <v/>
      </c>
      <c r="Y270" s="28">
        <f>IF(E270="","",COUNTIFS(tbl_Finance[Job Number],E270&amp;"",tbl_Finance[Ex GST],"&lt;&gt;"))</f>
        <v/>
      </c>
      <c r="Z270" s="27">
        <f>IF(E270="","",SUMIFS(tbl_Finance[Ex GST],tbl_Finance[Job Number],E270&amp;""))</f>
        <v/>
      </c>
      <c r="AA270" s="27">
        <f>IF(E270="","",SUMIFS(tbl_Finance[Ex GST],tbl_Finance[Job Number],E270&amp;"",tbl_Finance[Xero Invoice No],"&lt;&gt;"))</f>
        <v/>
      </c>
      <c r="AB270" s="27">
        <f>IF(E270="","",Z270-AA270)</f>
        <v/>
      </c>
      <c r="AC270" s="25">
        <f>IF(E270="","",IFERROR(IF(INDEX(tbl_Onsite[Qwilr Quote],MATCH(E270&amp;"",tbl_Onsite[Job Number],0))="","",INDEX(tbl_Onsite[Qwilr Quote],MATCH(E270&amp;"",tbl_Onsite[Job Number],0))),IFERROR(IF(IF(INDEX(tbl_Production[Current RMS No],MATCH(E270&amp;"",tbl_Production[Job Number],0))="",INDEX(tbl_Production[Qwilr Quote],MATCH(E270&amp;"",tbl_Production[Job Number],0)),INDEX(tbl_Production[Current RMS No],MATCH(E270&amp;"",tbl_Production[Job Number],0)))="","",IF(INDEX(tbl_Production[Current RMS No],MATCH(E270&amp;"",tbl_Production[Job Number],0))="",INDEX(tbl_Production[Qwilr Quote],MATCH(E270&amp;"",tbl_Production[Job Number],0)),INDEX(tbl_Production[Current RMS No],MATCH(E270&amp;"",tbl_Production[Job Number],0)))),IFERROR(IF(INDEX(tbl_Consulting[Qwilr Quote],MATCH(E270&amp;"",tbl_Consulting[Job Number],0))="","",INDEX(tbl_Consulting[Qwilr Quote],MATCH(E270&amp;"",tbl_Consulting[Job Number],0))),""))))</f>
        <v/>
      </c>
      <c r="AD270" s="25">
        <f>IF(AC270="","",IF(AND(LEFT(AC270,4)&lt;&gt;"http",IF(H270="Production",set_RMSBase,set_QwilrBase)=""),"",HYPERLINK(IF(LEFT(AC270,4)="http",AC270,IF(H270="Production",set_RMSBase,set_QwilrBase)&amp;AC270),"Open")))</f>
        <v/>
      </c>
      <c r="AE270" s="27">
        <f>IF(E270="","",IFERROR(INDEX(tbl_Production[Total Expense],MATCH(E270&amp;"",tbl_Production[Job Number],0)),IFERROR(INDEX(tbl_Consulting[Total Expense],MATCH(E270&amp;"",tbl_Consulting[Job Number],0)),0)))</f>
        <v/>
      </c>
      <c r="AF270" s="27">
        <f>IF(E270="","",Z270-N(AE270))</f>
        <v/>
      </c>
      <c r="AG270" s="29">
        <f>IFERROR(AF270/Z270,"")</f>
        <v/>
      </c>
      <c r="AH270" s="25">
        <f>IF(E270="","",IFERROR(IF(INDEX(tbl_Onsite[Notes],MATCH(E270&amp;"",tbl_Onsite[Job Number],0))="","",INDEX(tbl_Onsite[Notes],MATCH(E270&amp;"",tbl_Onsite[Job Number],0))),IFERROR(IF(INDEX(tbl_Production[Notes],MATCH(E270&amp;"",tbl_Production[Job Number],0))="","",INDEX(tbl_Production[Notes],MATCH(E270&amp;"",tbl_Production[Job Number],0))),IFERROR(IF(INDEX(tbl_Consulting[Notes],MATCH(E270&amp;"",tbl_Consulting[Job Number],0))="","",INDEX(tbl_Consulting[Notes],MATCH(E270&amp;"",tbl_Consulting[Job Number],0))),""))))</f>
        <v/>
      </c>
    </row>
    <row r="271" ht="15" customHeight="1">
      <c r="A271" s="22" t="n"/>
      <c r="B271" s="23">
        <f>IF(A271="","",EOMONTH(A271,0))</f>
        <v/>
      </c>
      <c r="C271" s="24" t="n"/>
      <c r="D271" s="24" t="n"/>
      <c r="E271" s="24" t="n"/>
      <c r="F271" s="25">
        <f>IF(E271="","",IF(COUNTIF(lst_Jobs,E271&amp;"")&gt;0,"OK","CHECK"))</f>
        <v/>
      </c>
      <c r="G271" s="24" t="n"/>
      <c r="H271" s="24" t="n"/>
      <c r="I271" s="24" t="n"/>
      <c r="J271" s="24" t="n"/>
      <c r="K271" s="24" t="n"/>
      <c r="L271" s="26" t="n"/>
      <c r="M271" s="27">
        <f>IF(L271="","",IF(K271="GST 10%",ROUND(L271*set_GSTRate,2),0))</f>
        <v/>
      </c>
      <c r="N271" s="27">
        <f>IF(L271="","",L271+M271)</f>
        <v/>
      </c>
      <c r="O271" s="24" t="n"/>
      <c r="P271" s="24" t="n"/>
      <c r="Q271" s="24" t="n"/>
      <c r="R271" s="22" t="n"/>
      <c r="S271" s="22" t="n"/>
      <c r="T271" s="24" t="n"/>
      <c r="U271" s="24" t="n"/>
      <c r="V271" s="25">
        <f>IF(COUNTA(A271,D271,C271,L271)=0,"",IF(A271="","No date - sits outside every month",IF(E271="","No job number",IF(F271="CHECK","Job number is not in the Xero job list",IF(I271="","No cost centre",IF(AND(P271="Y",C271=""),"Marked posted to Xero but has no invoice number",IF(AND(L271&lt;&gt;"",K271=""),"No tax code",IF(AND(L271&lt;&gt;"",O271=""),"No revenue GL code",""))))))))</f>
        <v/>
      </c>
      <c r="W271" s="25">
        <f>IF(E271="","",IF(COUNTIF(tbl_Onsite[Job Number],E271&amp;"")&gt;0,"Onsite",IF(COUNTIF(tbl_Production[Job Number],E271&amp;"")&gt;0,"Production",IF(COUNTIF(tbl_Consulting[Job Number],E271&amp;"")&gt;0,"Consulting","not set up yet"))))</f>
        <v/>
      </c>
      <c r="X271" s="25">
        <f>IF(E271="","",IFERROR(INDEX(lst_JobName,MATCH(E271&amp;"",lst_Jobs,0)),""))</f>
        <v/>
      </c>
      <c r="Y271" s="28">
        <f>IF(E271="","",COUNTIFS(tbl_Finance[Job Number],E271&amp;"",tbl_Finance[Ex GST],"&lt;&gt;"))</f>
        <v/>
      </c>
      <c r="Z271" s="27">
        <f>IF(E271="","",SUMIFS(tbl_Finance[Ex GST],tbl_Finance[Job Number],E271&amp;""))</f>
        <v/>
      </c>
      <c r="AA271" s="27">
        <f>IF(E271="","",SUMIFS(tbl_Finance[Ex GST],tbl_Finance[Job Number],E271&amp;"",tbl_Finance[Xero Invoice No],"&lt;&gt;"))</f>
        <v/>
      </c>
      <c r="AB271" s="27">
        <f>IF(E271="","",Z271-AA271)</f>
        <v/>
      </c>
      <c r="AC271" s="25">
        <f>IF(E271="","",IFERROR(IF(INDEX(tbl_Onsite[Qwilr Quote],MATCH(E271&amp;"",tbl_Onsite[Job Number],0))="","",INDEX(tbl_Onsite[Qwilr Quote],MATCH(E271&amp;"",tbl_Onsite[Job Number],0))),IFERROR(IF(IF(INDEX(tbl_Production[Current RMS No],MATCH(E271&amp;"",tbl_Production[Job Number],0))="",INDEX(tbl_Production[Qwilr Quote],MATCH(E271&amp;"",tbl_Production[Job Number],0)),INDEX(tbl_Production[Current RMS No],MATCH(E271&amp;"",tbl_Production[Job Number],0)))="","",IF(INDEX(tbl_Production[Current RMS No],MATCH(E271&amp;"",tbl_Production[Job Number],0))="",INDEX(tbl_Production[Qwilr Quote],MATCH(E271&amp;"",tbl_Production[Job Number],0)),INDEX(tbl_Production[Current RMS No],MATCH(E271&amp;"",tbl_Production[Job Number],0)))),IFERROR(IF(INDEX(tbl_Consulting[Qwilr Quote],MATCH(E271&amp;"",tbl_Consulting[Job Number],0))="","",INDEX(tbl_Consulting[Qwilr Quote],MATCH(E271&amp;"",tbl_Consulting[Job Number],0))),""))))</f>
        <v/>
      </c>
      <c r="AD271" s="25">
        <f>IF(AC271="","",IF(AND(LEFT(AC271,4)&lt;&gt;"http",IF(H271="Production",set_RMSBase,set_QwilrBase)=""),"",HYPERLINK(IF(LEFT(AC271,4)="http",AC271,IF(H271="Production",set_RMSBase,set_QwilrBase)&amp;AC271),"Open")))</f>
        <v/>
      </c>
      <c r="AE271" s="27">
        <f>IF(E271="","",IFERROR(INDEX(tbl_Production[Total Expense],MATCH(E271&amp;"",tbl_Production[Job Number],0)),IFERROR(INDEX(tbl_Consulting[Total Expense],MATCH(E271&amp;"",tbl_Consulting[Job Number],0)),0)))</f>
        <v/>
      </c>
      <c r="AF271" s="27">
        <f>IF(E271="","",Z271-N(AE271))</f>
        <v/>
      </c>
      <c r="AG271" s="29">
        <f>IFERROR(AF271/Z271,"")</f>
        <v/>
      </c>
      <c r="AH271" s="25">
        <f>IF(E271="","",IFERROR(IF(INDEX(tbl_Onsite[Notes],MATCH(E271&amp;"",tbl_Onsite[Job Number],0))="","",INDEX(tbl_Onsite[Notes],MATCH(E271&amp;"",tbl_Onsite[Job Number],0))),IFERROR(IF(INDEX(tbl_Production[Notes],MATCH(E271&amp;"",tbl_Production[Job Number],0))="","",INDEX(tbl_Production[Notes],MATCH(E271&amp;"",tbl_Production[Job Number],0))),IFERROR(IF(INDEX(tbl_Consulting[Notes],MATCH(E271&amp;"",tbl_Consulting[Job Number],0))="","",INDEX(tbl_Consulting[Notes],MATCH(E271&amp;"",tbl_Consulting[Job Number],0))),""))))</f>
        <v/>
      </c>
    </row>
    <row r="272" ht="15" customHeight="1">
      <c r="A272" s="22" t="n"/>
      <c r="B272" s="23">
        <f>IF(A272="","",EOMONTH(A272,0))</f>
        <v/>
      </c>
      <c r="C272" s="24" t="n"/>
      <c r="D272" s="24" t="n"/>
      <c r="E272" s="24" t="n"/>
      <c r="F272" s="25">
        <f>IF(E272="","",IF(COUNTIF(lst_Jobs,E272&amp;"")&gt;0,"OK","CHECK"))</f>
        <v/>
      </c>
      <c r="G272" s="24" t="n"/>
      <c r="H272" s="24" t="n"/>
      <c r="I272" s="24" t="n"/>
      <c r="J272" s="24" t="n"/>
      <c r="K272" s="24" t="n"/>
      <c r="L272" s="26" t="n"/>
      <c r="M272" s="27">
        <f>IF(L272="","",IF(K272="GST 10%",ROUND(L272*set_GSTRate,2),0))</f>
        <v/>
      </c>
      <c r="N272" s="27">
        <f>IF(L272="","",L272+M272)</f>
        <v/>
      </c>
      <c r="O272" s="24" t="n"/>
      <c r="P272" s="24" t="n"/>
      <c r="Q272" s="24" t="n"/>
      <c r="R272" s="22" t="n"/>
      <c r="S272" s="22" t="n"/>
      <c r="T272" s="24" t="n"/>
      <c r="U272" s="24" t="n"/>
      <c r="V272" s="25">
        <f>IF(COUNTA(A272,D272,C272,L272)=0,"",IF(A272="","No date - sits outside every month",IF(E272="","No job number",IF(F272="CHECK","Job number is not in the Xero job list",IF(I272="","No cost centre",IF(AND(P272="Y",C272=""),"Marked posted to Xero but has no invoice number",IF(AND(L272&lt;&gt;"",K272=""),"No tax code",IF(AND(L272&lt;&gt;"",O272=""),"No revenue GL code",""))))))))</f>
        <v/>
      </c>
      <c r="W272" s="25">
        <f>IF(E272="","",IF(COUNTIF(tbl_Onsite[Job Number],E272&amp;"")&gt;0,"Onsite",IF(COUNTIF(tbl_Production[Job Number],E272&amp;"")&gt;0,"Production",IF(COUNTIF(tbl_Consulting[Job Number],E272&amp;"")&gt;0,"Consulting","not set up yet"))))</f>
        <v/>
      </c>
      <c r="X272" s="25">
        <f>IF(E272="","",IFERROR(INDEX(lst_JobName,MATCH(E272&amp;"",lst_Jobs,0)),""))</f>
        <v/>
      </c>
      <c r="Y272" s="28">
        <f>IF(E272="","",COUNTIFS(tbl_Finance[Job Number],E272&amp;"",tbl_Finance[Ex GST],"&lt;&gt;"))</f>
        <v/>
      </c>
      <c r="Z272" s="27">
        <f>IF(E272="","",SUMIFS(tbl_Finance[Ex GST],tbl_Finance[Job Number],E272&amp;""))</f>
        <v/>
      </c>
      <c r="AA272" s="27">
        <f>IF(E272="","",SUMIFS(tbl_Finance[Ex GST],tbl_Finance[Job Number],E272&amp;"",tbl_Finance[Xero Invoice No],"&lt;&gt;"))</f>
        <v/>
      </c>
      <c r="AB272" s="27">
        <f>IF(E272="","",Z272-AA272)</f>
        <v/>
      </c>
      <c r="AC272" s="25">
        <f>IF(E272="","",IFERROR(IF(INDEX(tbl_Onsite[Qwilr Quote],MATCH(E272&amp;"",tbl_Onsite[Job Number],0))="","",INDEX(tbl_Onsite[Qwilr Quote],MATCH(E272&amp;"",tbl_Onsite[Job Number],0))),IFERROR(IF(IF(INDEX(tbl_Production[Current RMS No],MATCH(E272&amp;"",tbl_Production[Job Number],0))="",INDEX(tbl_Production[Qwilr Quote],MATCH(E272&amp;"",tbl_Production[Job Number],0)),INDEX(tbl_Production[Current RMS No],MATCH(E272&amp;"",tbl_Production[Job Number],0)))="","",IF(INDEX(tbl_Production[Current RMS No],MATCH(E272&amp;"",tbl_Production[Job Number],0))="",INDEX(tbl_Production[Qwilr Quote],MATCH(E272&amp;"",tbl_Production[Job Number],0)),INDEX(tbl_Production[Current RMS No],MATCH(E272&amp;"",tbl_Production[Job Number],0)))),IFERROR(IF(INDEX(tbl_Consulting[Qwilr Quote],MATCH(E272&amp;"",tbl_Consulting[Job Number],0))="","",INDEX(tbl_Consulting[Qwilr Quote],MATCH(E272&amp;"",tbl_Consulting[Job Number],0))),""))))</f>
        <v/>
      </c>
      <c r="AD272" s="25">
        <f>IF(AC272="","",IF(AND(LEFT(AC272,4)&lt;&gt;"http",IF(H272="Production",set_RMSBase,set_QwilrBase)=""),"",HYPERLINK(IF(LEFT(AC272,4)="http",AC272,IF(H272="Production",set_RMSBase,set_QwilrBase)&amp;AC272),"Open")))</f>
        <v/>
      </c>
      <c r="AE272" s="27">
        <f>IF(E272="","",IFERROR(INDEX(tbl_Production[Total Expense],MATCH(E272&amp;"",tbl_Production[Job Number],0)),IFERROR(INDEX(tbl_Consulting[Total Expense],MATCH(E272&amp;"",tbl_Consulting[Job Number],0)),0)))</f>
        <v/>
      </c>
      <c r="AF272" s="27">
        <f>IF(E272="","",Z272-N(AE272))</f>
        <v/>
      </c>
      <c r="AG272" s="29">
        <f>IFERROR(AF272/Z272,"")</f>
        <v/>
      </c>
      <c r="AH272" s="25">
        <f>IF(E272="","",IFERROR(IF(INDEX(tbl_Onsite[Notes],MATCH(E272&amp;"",tbl_Onsite[Job Number],0))="","",INDEX(tbl_Onsite[Notes],MATCH(E272&amp;"",tbl_Onsite[Job Number],0))),IFERROR(IF(INDEX(tbl_Production[Notes],MATCH(E272&amp;"",tbl_Production[Job Number],0))="","",INDEX(tbl_Production[Notes],MATCH(E272&amp;"",tbl_Production[Job Number],0))),IFERROR(IF(INDEX(tbl_Consulting[Notes],MATCH(E272&amp;"",tbl_Consulting[Job Number],0))="","",INDEX(tbl_Consulting[Notes],MATCH(E272&amp;"",tbl_Consulting[Job Number],0))),""))))</f>
        <v/>
      </c>
    </row>
    <row r="273" ht="15" customHeight="1">
      <c r="A273" s="22" t="n"/>
      <c r="B273" s="23">
        <f>IF(A273="","",EOMONTH(A273,0))</f>
        <v/>
      </c>
      <c r="C273" s="24" t="n"/>
      <c r="D273" s="24" t="n"/>
      <c r="E273" s="24" t="n"/>
      <c r="F273" s="25">
        <f>IF(E273="","",IF(COUNTIF(lst_Jobs,E273&amp;"")&gt;0,"OK","CHECK"))</f>
        <v/>
      </c>
      <c r="G273" s="24" t="n"/>
      <c r="H273" s="24" t="n"/>
      <c r="I273" s="24" t="n"/>
      <c r="J273" s="24" t="n"/>
      <c r="K273" s="24" t="n"/>
      <c r="L273" s="26" t="n"/>
      <c r="M273" s="27">
        <f>IF(L273="","",IF(K273="GST 10%",ROUND(L273*set_GSTRate,2),0))</f>
        <v/>
      </c>
      <c r="N273" s="27">
        <f>IF(L273="","",L273+M273)</f>
        <v/>
      </c>
      <c r="O273" s="24" t="n"/>
      <c r="P273" s="24" t="n"/>
      <c r="Q273" s="24" t="n"/>
      <c r="R273" s="22" t="n"/>
      <c r="S273" s="22" t="n"/>
      <c r="T273" s="24" t="n"/>
      <c r="U273" s="24" t="n"/>
      <c r="V273" s="25">
        <f>IF(COUNTA(A273,D273,C273,L273)=0,"",IF(A273="","No date - sits outside every month",IF(E273="","No job number",IF(F273="CHECK","Job number is not in the Xero job list",IF(I273="","No cost centre",IF(AND(P273="Y",C273=""),"Marked posted to Xero but has no invoice number",IF(AND(L273&lt;&gt;"",K273=""),"No tax code",IF(AND(L273&lt;&gt;"",O273=""),"No revenue GL code",""))))))))</f>
        <v/>
      </c>
      <c r="W273" s="25">
        <f>IF(E273="","",IF(COUNTIF(tbl_Onsite[Job Number],E273&amp;"")&gt;0,"Onsite",IF(COUNTIF(tbl_Production[Job Number],E273&amp;"")&gt;0,"Production",IF(COUNTIF(tbl_Consulting[Job Number],E273&amp;"")&gt;0,"Consulting","not set up yet"))))</f>
        <v/>
      </c>
      <c r="X273" s="25">
        <f>IF(E273="","",IFERROR(INDEX(lst_JobName,MATCH(E273&amp;"",lst_Jobs,0)),""))</f>
        <v/>
      </c>
      <c r="Y273" s="28">
        <f>IF(E273="","",COUNTIFS(tbl_Finance[Job Number],E273&amp;"",tbl_Finance[Ex GST],"&lt;&gt;"))</f>
        <v/>
      </c>
      <c r="Z273" s="27">
        <f>IF(E273="","",SUMIFS(tbl_Finance[Ex GST],tbl_Finance[Job Number],E273&amp;""))</f>
        <v/>
      </c>
      <c r="AA273" s="27">
        <f>IF(E273="","",SUMIFS(tbl_Finance[Ex GST],tbl_Finance[Job Number],E273&amp;"",tbl_Finance[Xero Invoice No],"&lt;&gt;"))</f>
        <v/>
      </c>
      <c r="AB273" s="27">
        <f>IF(E273="","",Z273-AA273)</f>
        <v/>
      </c>
      <c r="AC273" s="25">
        <f>IF(E273="","",IFERROR(IF(INDEX(tbl_Onsite[Qwilr Quote],MATCH(E273&amp;"",tbl_Onsite[Job Number],0))="","",INDEX(tbl_Onsite[Qwilr Quote],MATCH(E273&amp;"",tbl_Onsite[Job Number],0))),IFERROR(IF(IF(INDEX(tbl_Production[Current RMS No],MATCH(E273&amp;"",tbl_Production[Job Number],0))="",INDEX(tbl_Production[Qwilr Quote],MATCH(E273&amp;"",tbl_Production[Job Number],0)),INDEX(tbl_Production[Current RMS No],MATCH(E273&amp;"",tbl_Production[Job Number],0)))="","",IF(INDEX(tbl_Production[Current RMS No],MATCH(E273&amp;"",tbl_Production[Job Number],0))="",INDEX(tbl_Production[Qwilr Quote],MATCH(E273&amp;"",tbl_Production[Job Number],0)),INDEX(tbl_Production[Current RMS No],MATCH(E273&amp;"",tbl_Production[Job Number],0)))),IFERROR(IF(INDEX(tbl_Consulting[Qwilr Quote],MATCH(E273&amp;"",tbl_Consulting[Job Number],0))="","",INDEX(tbl_Consulting[Qwilr Quote],MATCH(E273&amp;"",tbl_Consulting[Job Number],0))),""))))</f>
        <v/>
      </c>
      <c r="AD273" s="25">
        <f>IF(AC273="","",IF(AND(LEFT(AC273,4)&lt;&gt;"http",IF(H273="Production",set_RMSBase,set_QwilrBase)=""),"",HYPERLINK(IF(LEFT(AC273,4)="http",AC273,IF(H273="Production",set_RMSBase,set_QwilrBase)&amp;AC273),"Open")))</f>
        <v/>
      </c>
      <c r="AE273" s="27">
        <f>IF(E273="","",IFERROR(INDEX(tbl_Production[Total Expense],MATCH(E273&amp;"",tbl_Production[Job Number],0)),IFERROR(INDEX(tbl_Consulting[Total Expense],MATCH(E273&amp;"",tbl_Consulting[Job Number],0)),0)))</f>
        <v/>
      </c>
      <c r="AF273" s="27">
        <f>IF(E273="","",Z273-N(AE273))</f>
        <v/>
      </c>
      <c r="AG273" s="29">
        <f>IFERROR(AF273/Z273,"")</f>
        <v/>
      </c>
      <c r="AH273" s="25">
        <f>IF(E273="","",IFERROR(IF(INDEX(tbl_Onsite[Notes],MATCH(E273&amp;"",tbl_Onsite[Job Number],0))="","",INDEX(tbl_Onsite[Notes],MATCH(E273&amp;"",tbl_Onsite[Job Number],0))),IFERROR(IF(INDEX(tbl_Production[Notes],MATCH(E273&amp;"",tbl_Production[Job Number],0))="","",INDEX(tbl_Production[Notes],MATCH(E273&amp;"",tbl_Production[Job Number],0))),IFERROR(IF(INDEX(tbl_Consulting[Notes],MATCH(E273&amp;"",tbl_Consulting[Job Number],0))="","",INDEX(tbl_Consulting[Notes],MATCH(E273&amp;"",tbl_Consulting[Job Number],0))),""))))</f>
        <v/>
      </c>
    </row>
    <row r="274" ht="15" customHeight="1">
      <c r="A274" s="22" t="n"/>
      <c r="B274" s="23">
        <f>IF(A274="","",EOMONTH(A274,0))</f>
        <v/>
      </c>
      <c r="C274" s="24" t="n"/>
      <c r="D274" s="24" t="n"/>
      <c r="E274" s="24" t="n"/>
      <c r="F274" s="25">
        <f>IF(E274="","",IF(COUNTIF(lst_Jobs,E274&amp;"")&gt;0,"OK","CHECK"))</f>
        <v/>
      </c>
      <c r="G274" s="24" t="n"/>
      <c r="H274" s="24" t="n"/>
      <c r="I274" s="24" t="n"/>
      <c r="J274" s="24" t="n"/>
      <c r="K274" s="24" t="n"/>
      <c r="L274" s="26" t="n"/>
      <c r="M274" s="27">
        <f>IF(L274="","",IF(K274="GST 10%",ROUND(L274*set_GSTRate,2),0))</f>
        <v/>
      </c>
      <c r="N274" s="27">
        <f>IF(L274="","",L274+M274)</f>
        <v/>
      </c>
      <c r="O274" s="24" t="n"/>
      <c r="P274" s="24" t="n"/>
      <c r="Q274" s="24" t="n"/>
      <c r="R274" s="22" t="n"/>
      <c r="S274" s="22" t="n"/>
      <c r="T274" s="24" t="n"/>
      <c r="U274" s="24" t="n"/>
      <c r="V274" s="25">
        <f>IF(COUNTA(A274,D274,C274,L274)=0,"",IF(A274="","No date - sits outside every month",IF(E274="","No job number",IF(F274="CHECK","Job number is not in the Xero job list",IF(I274="","No cost centre",IF(AND(P274="Y",C274=""),"Marked posted to Xero but has no invoice number",IF(AND(L274&lt;&gt;"",K274=""),"No tax code",IF(AND(L274&lt;&gt;"",O274=""),"No revenue GL code",""))))))))</f>
        <v/>
      </c>
      <c r="W274" s="25">
        <f>IF(E274="","",IF(COUNTIF(tbl_Onsite[Job Number],E274&amp;"")&gt;0,"Onsite",IF(COUNTIF(tbl_Production[Job Number],E274&amp;"")&gt;0,"Production",IF(COUNTIF(tbl_Consulting[Job Number],E274&amp;"")&gt;0,"Consulting","not set up yet"))))</f>
        <v/>
      </c>
      <c r="X274" s="25">
        <f>IF(E274="","",IFERROR(INDEX(lst_JobName,MATCH(E274&amp;"",lst_Jobs,0)),""))</f>
        <v/>
      </c>
      <c r="Y274" s="28">
        <f>IF(E274="","",COUNTIFS(tbl_Finance[Job Number],E274&amp;"",tbl_Finance[Ex GST],"&lt;&gt;"))</f>
        <v/>
      </c>
      <c r="Z274" s="27">
        <f>IF(E274="","",SUMIFS(tbl_Finance[Ex GST],tbl_Finance[Job Number],E274&amp;""))</f>
        <v/>
      </c>
      <c r="AA274" s="27">
        <f>IF(E274="","",SUMIFS(tbl_Finance[Ex GST],tbl_Finance[Job Number],E274&amp;"",tbl_Finance[Xero Invoice No],"&lt;&gt;"))</f>
        <v/>
      </c>
      <c r="AB274" s="27">
        <f>IF(E274="","",Z274-AA274)</f>
        <v/>
      </c>
      <c r="AC274" s="25">
        <f>IF(E274="","",IFERROR(IF(INDEX(tbl_Onsite[Qwilr Quote],MATCH(E274&amp;"",tbl_Onsite[Job Number],0))="","",INDEX(tbl_Onsite[Qwilr Quote],MATCH(E274&amp;"",tbl_Onsite[Job Number],0))),IFERROR(IF(IF(INDEX(tbl_Production[Current RMS No],MATCH(E274&amp;"",tbl_Production[Job Number],0))="",INDEX(tbl_Production[Qwilr Quote],MATCH(E274&amp;"",tbl_Production[Job Number],0)),INDEX(tbl_Production[Current RMS No],MATCH(E274&amp;"",tbl_Production[Job Number],0)))="","",IF(INDEX(tbl_Production[Current RMS No],MATCH(E274&amp;"",tbl_Production[Job Number],0))="",INDEX(tbl_Production[Qwilr Quote],MATCH(E274&amp;"",tbl_Production[Job Number],0)),INDEX(tbl_Production[Current RMS No],MATCH(E274&amp;"",tbl_Production[Job Number],0)))),IFERROR(IF(INDEX(tbl_Consulting[Qwilr Quote],MATCH(E274&amp;"",tbl_Consulting[Job Number],0))="","",INDEX(tbl_Consulting[Qwilr Quote],MATCH(E274&amp;"",tbl_Consulting[Job Number],0))),""))))</f>
        <v/>
      </c>
      <c r="AD274" s="25">
        <f>IF(AC274="","",IF(AND(LEFT(AC274,4)&lt;&gt;"http",IF(H274="Production",set_RMSBase,set_QwilrBase)=""),"",HYPERLINK(IF(LEFT(AC274,4)="http",AC274,IF(H274="Production",set_RMSBase,set_QwilrBase)&amp;AC274),"Open")))</f>
        <v/>
      </c>
      <c r="AE274" s="27">
        <f>IF(E274="","",IFERROR(INDEX(tbl_Production[Total Expense],MATCH(E274&amp;"",tbl_Production[Job Number],0)),IFERROR(INDEX(tbl_Consulting[Total Expense],MATCH(E274&amp;"",tbl_Consulting[Job Number],0)),0)))</f>
        <v/>
      </c>
      <c r="AF274" s="27">
        <f>IF(E274="","",Z274-N(AE274))</f>
        <v/>
      </c>
      <c r="AG274" s="29">
        <f>IFERROR(AF274/Z274,"")</f>
        <v/>
      </c>
      <c r="AH274" s="25">
        <f>IF(E274="","",IFERROR(IF(INDEX(tbl_Onsite[Notes],MATCH(E274&amp;"",tbl_Onsite[Job Number],0))="","",INDEX(tbl_Onsite[Notes],MATCH(E274&amp;"",tbl_Onsite[Job Number],0))),IFERROR(IF(INDEX(tbl_Production[Notes],MATCH(E274&amp;"",tbl_Production[Job Number],0))="","",INDEX(tbl_Production[Notes],MATCH(E274&amp;"",tbl_Production[Job Number],0))),IFERROR(IF(INDEX(tbl_Consulting[Notes],MATCH(E274&amp;"",tbl_Consulting[Job Number],0))="","",INDEX(tbl_Consulting[Notes],MATCH(E274&amp;"",tbl_Consulting[Job Number],0))),""))))</f>
        <v/>
      </c>
    </row>
    <row r="275" ht="15" customHeight="1">
      <c r="A275" s="22" t="n"/>
      <c r="B275" s="23">
        <f>IF(A275="","",EOMONTH(A275,0))</f>
        <v/>
      </c>
      <c r="C275" s="24" t="n"/>
      <c r="D275" s="24" t="n"/>
      <c r="E275" s="24" t="n"/>
      <c r="F275" s="25">
        <f>IF(E275="","",IF(COUNTIF(lst_Jobs,E275&amp;"")&gt;0,"OK","CHECK"))</f>
        <v/>
      </c>
      <c r="G275" s="24" t="n"/>
      <c r="H275" s="24" t="n"/>
      <c r="I275" s="24" t="n"/>
      <c r="J275" s="24" t="n"/>
      <c r="K275" s="24" t="n"/>
      <c r="L275" s="26" t="n"/>
      <c r="M275" s="27">
        <f>IF(L275="","",IF(K275="GST 10%",ROUND(L275*set_GSTRate,2),0))</f>
        <v/>
      </c>
      <c r="N275" s="27">
        <f>IF(L275="","",L275+M275)</f>
        <v/>
      </c>
      <c r="O275" s="24" t="n"/>
      <c r="P275" s="24" t="n"/>
      <c r="Q275" s="24" t="n"/>
      <c r="R275" s="22" t="n"/>
      <c r="S275" s="22" t="n"/>
      <c r="T275" s="24" t="n"/>
      <c r="U275" s="24" t="n"/>
      <c r="V275" s="25">
        <f>IF(COUNTA(A275,D275,C275,L275)=0,"",IF(A275="","No date - sits outside every month",IF(E275="","No job number",IF(F275="CHECK","Job number is not in the Xero job list",IF(I275="","No cost centre",IF(AND(P275="Y",C275=""),"Marked posted to Xero but has no invoice number",IF(AND(L275&lt;&gt;"",K275=""),"No tax code",IF(AND(L275&lt;&gt;"",O275=""),"No revenue GL code",""))))))))</f>
        <v/>
      </c>
      <c r="W275" s="25">
        <f>IF(E275="","",IF(COUNTIF(tbl_Onsite[Job Number],E275&amp;"")&gt;0,"Onsite",IF(COUNTIF(tbl_Production[Job Number],E275&amp;"")&gt;0,"Production",IF(COUNTIF(tbl_Consulting[Job Number],E275&amp;"")&gt;0,"Consulting","not set up yet"))))</f>
        <v/>
      </c>
      <c r="X275" s="25">
        <f>IF(E275="","",IFERROR(INDEX(lst_JobName,MATCH(E275&amp;"",lst_Jobs,0)),""))</f>
        <v/>
      </c>
      <c r="Y275" s="28">
        <f>IF(E275="","",COUNTIFS(tbl_Finance[Job Number],E275&amp;"",tbl_Finance[Ex GST],"&lt;&gt;"))</f>
        <v/>
      </c>
      <c r="Z275" s="27">
        <f>IF(E275="","",SUMIFS(tbl_Finance[Ex GST],tbl_Finance[Job Number],E275&amp;""))</f>
        <v/>
      </c>
      <c r="AA275" s="27">
        <f>IF(E275="","",SUMIFS(tbl_Finance[Ex GST],tbl_Finance[Job Number],E275&amp;"",tbl_Finance[Xero Invoice No],"&lt;&gt;"))</f>
        <v/>
      </c>
      <c r="AB275" s="27">
        <f>IF(E275="","",Z275-AA275)</f>
        <v/>
      </c>
      <c r="AC275" s="25">
        <f>IF(E275="","",IFERROR(IF(INDEX(tbl_Onsite[Qwilr Quote],MATCH(E275&amp;"",tbl_Onsite[Job Number],0))="","",INDEX(tbl_Onsite[Qwilr Quote],MATCH(E275&amp;"",tbl_Onsite[Job Number],0))),IFERROR(IF(IF(INDEX(tbl_Production[Current RMS No],MATCH(E275&amp;"",tbl_Production[Job Number],0))="",INDEX(tbl_Production[Qwilr Quote],MATCH(E275&amp;"",tbl_Production[Job Number],0)),INDEX(tbl_Production[Current RMS No],MATCH(E275&amp;"",tbl_Production[Job Number],0)))="","",IF(INDEX(tbl_Production[Current RMS No],MATCH(E275&amp;"",tbl_Production[Job Number],0))="",INDEX(tbl_Production[Qwilr Quote],MATCH(E275&amp;"",tbl_Production[Job Number],0)),INDEX(tbl_Production[Current RMS No],MATCH(E275&amp;"",tbl_Production[Job Number],0)))),IFERROR(IF(INDEX(tbl_Consulting[Qwilr Quote],MATCH(E275&amp;"",tbl_Consulting[Job Number],0))="","",INDEX(tbl_Consulting[Qwilr Quote],MATCH(E275&amp;"",tbl_Consulting[Job Number],0))),""))))</f>
        <v/>
      </c>
      <c r="AD275" s="25">
        <f>IF(AC275="","",IF(AND(LEFT(AC275,4)&lt;&gt;"http",IF(H275="Production",set_RMSBase,set_QwilrBase)=""),"",HYPERLINK(IF(LEFT(AC275,4)="http",AC275,IF(H275="Production",set_RMSBase,set_QwilrBase)&amp;AC275),"Open")))</f>
        <v/>
      </c>
      <c r="AE275" s="27">
        <f>IF(E275="","",IFERROR(INDEX(tbl_Production[Total Expense],MATCH(E275&amp;"",tbl_Production[Job Number],0)),IFERROR(INDEX(tbl_Consulting[Total Expense],MATCH(E275&amp;"",tbl_Consulting[Job Number],0)),0)))</f>
        <v/>
      </c>
      <c r="AF275" s="27">
        <f>IF(E275="","",Z275-N(AE275))</f>
        <v/>
      </c>
      <c r="AG275" s="29">
        <f>IFERROR(AF275/Z275,"")</f>
        <v/>
      </c>
      <c r="AH275" s="25">
        <f>IF(E275="","",IFERROR(IF(INDEX(tbl_Onsite[Notes],MATCH(E275&amp;"",tbl_Onsite[Job Number],0))="","",INDEX(tbl_Onsite[Notes],MATCH(E275&amp;"",tbl_Onsite[Job Number],0))),IFERROR(IF(INDEX(tbl_Production[Notes],MATCH(E275&amp;"",tbl_Production[Job Number],0))="","",INDEX(tbl_Production[Notes],MATCH(E275&amp;"",tbl_Production[Job Number],0))),IFERROR(IF(INDEX(tbl_Consulting[Notes],MATCH(E275&amp;"",tbl_Consulting[Job Number],0))="","",INDEX(tbl_Consulting[Notes],MATCH(E275&amp;"",tbl_Consulting[Job Number],0))),""))))</f>
        <v/>
      </c>
    </row>
    <row r="276" ht="15" customHeight="1">
      <c r="A276" s="22" t="n"/>
      <c r="B276" s="23">
        <f>IF(A276="","",EOMONTH(A276,0))</f>
        <v/>
      </c>
      <c r="C276" s="24" t="n"/>
      <c r="D276" s="24" t="n"/>
      <c r="E276" s="24" t="n"/>
      <c r="F276" s="25">
        <f>IF(E276="","",IF(COUNTIF(lst_Jobs,E276&amp;"")&gt;0,"OK","CHECK"))</f>
        <v/>
      </c>
      <c r="G276" s="24" t="n"/>
      <c r="H276" s="24" t="n"/>
      <c r="I276" s="24" t="n"/>
      <c r="J276" s="24" t="n"/>
      <c r="K276" s="24" t="n"/>
      <c r="L276" s="26" t="n"/>
      <c r="M276" s="27">
        <f>IF(L276="","",IF(K276="GST 10%",ROUND(L276*set_GSTRate,2),0))</f>
        <v/>
      </c>
      <c r="N276" s="27">
        <f>IF(L276="","",L276+M276)</f>
        <v/>
      </c>
      <c r="O276" s="24" t="n"/>
      <c r="P276" s="24" t="n"/>
      <c r="Q276" s="24" t="n"/>
      <c r="R276" s="22" t="n"/>
      <c r="S276" s="22" t="n"/>
      <c r="T276" s="24" t="n"/>
      <c r="U276" s="24" t="n"/>
      <c r="V276" s="25">
        <f>IF(COUNTA(A276,D276,C276,L276)=0,"",IF(A276="","No date - sits outside every month",IF(E276="","No job number",IF(F276="CHECK","Job number is not in the Xero job list",IF(I276="","No cost centre",IF(AND(P276="Y",C276=""),"Marked posted to Xero but has no invoice number",IF(AND(L276&lt;&gt;"",K276=""),"No tax code",IF(AND(L276&lt;&gt;"",O276=""),"No revenue GL code",""))))))))</f>
        <v/>
      </c>
      <c r="W276" s="25">
        <f>IF(E276="","",IF(COUNTIF(tbl_Onsite[Job Number],E276&amp;"")&gt;0,"Onsite",IF(COUNTIF(tbl_Production[Job Number],E276&amp;"")&gt;0,"Production",IF(COUNTIF(tbl_Consulting[Job Number],E276&amp;"")&gt;0,"Consulting","not set up yet"))))</f>
        <v/>
      </c>
      <c r="X276" s="25">
        <f>IF(E276="","",IFERROR(INDEX(lst_JobName,MATCH(E276&amp;"",lst_Jobs,0)),""))</f>
        <v/>
      </c>
      <c r="Y276" s="28">
        <f>IF(E276="","",COUNTIFS(tbl_Finance[Job Number],E276&amp;"",tbl_Finance[Ex GST],"&lt;&gt;"))</f>
        <v/>
      </c>
      <c r="Z276" s="27">
        <f>IF(E276="","",SUMIFS(tbl_Finance[Ex GST],tbl_Finance[Job Number],E276&amp;""))</f>
        <v/>
      </c>
      <c r="AA276" s="27">
        <f>IF(E276="","",SUMIFS(tbl_Finance[Ex GST],tbl_Finance[Job Number],E276&amp;"",tbl_Finance[Xero Invoice No],"&lt;&gt;"))</f>
        <v/>
      </c>
      <c r="AB276" s="27">
        <f>IF(E276="","",Z276-AA276)</f>
        <v/>
      </c>
      <c r="AC276" s="25">
        <f>IF(E276="","",IFERROR(IF(INDEX(tbl_Onsite[Qwilr Quote],MATCH(E276&amp;"",tbl_Onsite[Job Number],0))="","",INDEX(tbl_Onsite[Qwilr Quote],MATCH(E276&amp;"",tbl_Onsite[Job Number],0))),IFERROR(IF(IF(INDEX(tbl_Production[Current RMS No],MATCH(E276&amp;"",tbl_Production[Job Number],0))="",INDEX(tbl_Production[Qwilr Quote],MATCH(E276&amp;"",tbl_Production[Job Number],0)),INDEX(tbl_Production[Current RMS No],MATCH(E276&amp;"",tbl_Production[Job Number],0)))="","",IF(INDEX(tbl_Production[Current RMS No],MATCH(E276&amp;"",tbl_Production[Job Number],0))="",INDEX(tbl_Production[Qwilr Quote],MATCH(E276&amp;"",tbl_Production[Job Number],0)),INDEX(tbl_Production[Current RMS No],MATCH(E276&amp;"",tbl_Production[Job Number],0)))),IFERROR(IF(INDEX(tbl_Consulting[Qwilr Quote],MATCH(E276&amp;"",tbl_Consulting[Job Number],0))="","",INDEX(tbl_Consulting[Qwilr Quote],MATCH(E276&amp;"",tbl_Consulting[Job Number],0))),""))))</f>
        <v/>
      </c>
      <c r="AD276" s="25">
        <f>IF(AC276="","",IF(AND(LEFT(AC276,4)&lt;&gt;"http",IF(H276="Production",set_RMSBase,set_QwilrBase)=""),"",HYPERLINK(IF(LEFT(AC276,4)="http",AC276,IF(H276="Production",set_RMSBase,set_QwilrBase)&amp;AC276),"Open")))</f>
        <v/>
      </c>
      <c r="AE276" s="27">
        <f>IF(E276="","",IFERROR(INDEX(tbl_Production[Total Expense],MATCH(E276&amp;"",tbl_Production[Job Number],0)),IFERROR(INDEX(tbl_Consulting[Total Expense],MATCH(E276&amp;"",tbl_Consulting[Job Number],0)),0)))</f>
        <v/>
      </c>
      <c r="AF276" s="27">
        <f>IF(E276="","",Z276-N(AE276))</f>
        <v/>
      </c>
      <c r="AG276" s="29">
        <f>IFERROR(AF276/Z276,"")</f>
        <v/>
      </c>
      <c r="AH276" s="25">
        <f>IF(E276="","",IFERROR(IF(INDEX(tbl_Onsite[Notes],MATCH(E276&amp;"",tbl_Onsite[Job Number],0))="","",INDEX(tbl_Onsite[Notes],MATCH(E276&amp;"",tbl_Onsite[Job Number],0))),IFERROR(IF(INDEX(tbl_Production[Notes],MATCH(E276&amp;"",tbl_Production[Job Number],0))="","",INDEX(tbl_Production[Notes],MATCH(E276&amp;"",tbl_Production[Job Number],0))),IFERROR(IF(INDEX(tbl_Consulting[Notes],MATCH(E276&amp;"",tbl_Consulting[Job Number],0))="","",INDEX(tbl_Consulting[Notes],MATCH(E276&amp;"",tbl_Consulting[Job Number],0))),""))))</f>
        <v/>
      </c>
    </row>
    <row r="277" ht="15" customHeight="1">
      <c r="A277" s="22" t="n"/>
      <c r="B277" s="23">
        <f>IF(A277="","",EOMONTH(A277,0))</f>
        <v/>
      </c>
      <c r="C277" s="24" t="n"/>
      <c r="D277" s="24" t="n"/>
      <c r="E277" s="24" t="n"/>
      <c r="F277" s="25">
        <f>IF(E277="","",IF(COUNTIF(lst_Jobs,E277&amp;"")&gt;0,"OK","CHECK"))</f>
        <v/>
      </c>
      <c r="G277" s="24" t="n"/>
      <c r="H277" s="24" t="n"/>
      <c r="I277" s="24" t="n"/>
      <c r="J277" s="24" t="n"/>
      <c r="K277" s="24" t="n"/>
      <c r="L277" s="26" t="n"/>
      <c r="M277" s="27">
        <f>IF(L277="","",IF(K277="GST 10%",ROUND(L277*set_GSTRate,2),0))</f>
        <v/>
      </c>
      <c r="N277" s="27">
        <f>IF(L277="","",L277+M277)</f>
        <v/>
      </c>
      <c r="O277" s="24" t="n"/>
      <c r="P277" s="24" t="n"/>
      <c r="Q277" s="24" t="n"/>
      <c r="R277" s="22" t="n"/>
      <c r="S277" s="22" t="n"/>
      <c r="T277" s="24" t="n"/>
      <c r="U277" s="24" t="n"/>
      <c r="V277" s="25">
        <f>IF(COUNTA(A277,D277,C277,L277)=0,"",IF(A277="","No date - sits outside every month",IF(E277="","No job number",IF(F277="CHECK","Job number is not in the Xero job list",IF(I277="","No cost centre",IF(AND(P277="Y",C277=""),"Marked posted to Xero but has no invoice number",IF(AND(L277&lt;&gt;"",K277=""),"No tax code",IF(AND(L277&lt;&gt;"",O277=""),"No revenue GL code",""))))))))</f>
        <v/>
      </c>
      <c r="W277" s="25">
        <f>IF(E277="","",IF(COUNTIF(tbl_Onsite[Job Number],E277&amp;"")&gt;0,"Onsite",IF(COUNTIF(tbl_Production[Job Number],E277&amp;"")&gt;0,"Production",IF(COUNTIF(tbl_Consulting[Job Number],E277&amp;"")&gt;0,"Consulting","not set up yet"))))</f>
        <v/>
      </c>
      <c r="X277" s="25">
        <f>IF(E277="","",IFERROR(INDEX(lst_JobName,MATCH(E277&amp;"",lst_Jobs,0)),""))</f>
        <v/>
      </c>
      <c r="Y277" s="28">
        <f>IF(E277="","",COUNTIFS(tbl_Finance[Job Number],E277&amp;"",tbl_Finance[Ex GST],"&lt;&gt;"))</f>
        <v/>
      </c>
      <c r="Z277" s="27">
        <f>IF(E277="","",SUMIFS(tbl_Finance[Ex GST],tbl_Finance[Job Number],E277&amp;""))</f>
        <v/>
      </c>
      <c r="AA277" s="27">
        <f>IF(E277="","",SUMIFS(tbl_Finance[Ex GST],tbl_Finance[Job Number],E277&amp;"",tbl_Finance[Xero Invoice No],"&lt;&gt;"))</f>
        <v/>
      </c>
      <c r="AB277" s="27">
        <f>IF(E277="","",Z277-AA277)</f>
        <v/>
      </c>
      <c r="AC277" s="25">
        <f>IF(E277="","",IFERROR(IF(INDEX(tbl_Onsite[Qwilr Quote],MATCH(E277&amp;"",tbl_Onsite[Job Number],0))="","",INDEX(tbl_Onsite[Qwilr Quote],MATCH(E277&amp;"",tbl_Onsite[Job Number],0))),IFERROR(IF(IF(INDEX(tbl_Production[Current RMS No],MATCH(E277&amp;"",tbl_Production[Job Number],0))="",INDEX(tbl_Production[Qwilr Quote],MATCH(E277&amp;"",tbl_Production[Job Number],0)),INDEX(tbl_Production[Current RMS No],MATCH(E277&amp;"",tbl_Production[Job Number],0)))="","",IF(INDEX(tbl_Production[Current RMS No],MATCH(E277&amp;"",tbl_Production[Job Number],0))="",INDEX(tbl_Production[Qwilr Quote],MATCH(E277&amp;"",tbl_Production[Job Number],0)),INDEX(tbl_Production[Current RMS No],MATCH(E277&amp;"",tbl_Production[Job Number],0)))),IFERROR(IF(INDEX(tbl_Consulting[Qwilr Quote],MATCH(E277&amp;"",tbl_Consulting[Job Number],0))="","",INDEX(tbl_Consulting[Qwilr Quote],MATCH(E277&amp;"",tbl_Consulting[Job Number],0))),""))))</f>
        <v/>
      </c>
      <c r="AD277" s="25">
        <f>IF(AC277="","",IF(AND(LEFT(AC277,4)&lt;&gt;"http",IF(H277="Production",set_RMSBase,set_QwilrBase)=""),"",HYPERLINK(IF(LEFT(AC277,4)="http",AC277,IF(H277="Production",set_RMSBase,set_QwilrBase)&amp;AC277),"Open")))</f>
        <v/>
      </c>
      <c r="AE277" s="27">
        <f>IF(E277="","",IFERROR(INDEX(tbl_Production[Total Expense],MATCH(E277&amp;"",tbl_Production[Job Number],0)),IFERROR(INDEX(tbl_Consulting[Total Expense],MATCH(E277&amp;"",tbl_Consulting[Job Number],0)),0)))</f>
        <v/>
      </c>
      <c r="AF277" s="27">
        <f>IF(E277="","",Z277-N(AE277))</f>
        <v/>
      </c>
      <c r="AG277" s="29">
        <f>IFERROR(AF277/Z277,"")</f>
        <v/>
      </c>
      <c r="AH277" s="25">
        <f>IF(E277="","",IFERROR(IF(INDEX(tbl_Onsite[Notes],MATCH(E277&amp;"",tbl_Onsite[Job Number],0))="","",INDEX(tbl_Onsite[Notes],MATCH(E277&amp;"",tbl_Onsite[Job Number],0))),IFERROR(IF(INDEX(tbl_Production[Notes],MATCH(E277&amp;"",tbl_Production[Job Number],0))="","",INDEX(tbl_Production[Notes],MATCH(E277&amp;"",tbl_Production[Job Number],0))),IFERROR(IF(INDEX(tbl_Consulting[Notes],MATCH(E277&amp;"",tbl_Consulting[Job Number],0))="","",INDEX(tbl_Consulting[Notes],MATCH(E277&amp;"",tbl_Consulting[Job Number],0))),""))))</f>
        <v/>
      </c>
    </row>
    <row r="278" ht="15" customHeight="1">
      <c r="A278" s="22" t="n"/>
      <c r="B278" s="23">
        <f>IF(A278="","",EOMONTH(A278,0))</f>
        <v/>
      </c>
      <c r="C278" s="24" t="n"/>
      <c r="D278" s="24" t="n"/>
      <c r="E278" s="24" t="n"/>
      <c r="F278" s="25">
        <f>IF(E278="","",IF(COUNTIF(lst_Jobs,E278&amp;"")&gt;0,"OK","CHECK"))</f>
        <v/>
      </c>
      <c r="G278" s="24" t="n"/>
      <c r="H278" s="24" t="n"/>
      <c r="I278" s="24" t="n"/>
      <c r="J278" s="24" t="n"/>
      <c r="K278" s="24" t="n"/>
      <c r="L278" s="26" t="n"/>
      <c r="M278" s="27">
        <f>IF(L278="","",IF(K278="GST 10%",ROUND(L278*set_GSTRate,2),0))</f>
        <v/>
      </c>
      <c r="N278" s="27">
        <f>IF(L278="","",L278+M278)</f>
        <v/>
      </c>
      <c r="O278" s="24" t="n"/>
      <c r="P278" s="24" t="n"/>
      <c r="Q278" s="24" t="n"/>
      <c r="R278" s="22" t="n"/>
      <c r="S278" s="22" t="n"/>
      <c r="T278" s="24" t="n"/>
      <c r="U278" s="24" t="n"/>
      <c r="V278" s="25">
        <f>IF(COUNTA(A278,D278,C278,L278)=0,"",IF(A278="","No date - sits outside every month",IF(E278="","No job number",IF(F278="CHECK","Job number is not in the Xero job list",IF(I278="","No cost centre",IF(AND(P278="Y",C278=""),"Marked posted to Xero but has no invoice number",IF(AND(L278&lt;&gt;"",K278=""),"No tax code",IF(AND(L278&lt;&gt;"",O278=""),"No revenue GL code",""))))))))</f>
        <v/>
      </c>
      <c r="W278" s="25">
        <f>IF(E278="","",IF(COUNTIF(tbl_Onsite[Job Number],E278&amp;"")&gt;0,"Onsite",IF(COUNTIF(tbl_Production[Job Number],E278&amp;"")&gt;0,"Production",IF(COUNTIF(tbl_Consulting[Job Number],E278&amp;"")&gt;0,"Consulting","not set up yet"))))</f>
        <v/>
      </c>
      <c r="X278" s="25">
        <f>IF(E278="","",IFERROR(INDEX(lst_JobName,MATCH(E278&amp;"",lst_Jobs,0)),""))</f>
        <v/>
      </c>
      <c r="Y278" s="28">
        <f>IF(E278="","",COUNTIFS(tbl_Finance[Job Number],E278&amp;"",tbl_Finance[Ex GST],"&lt;&gt;"))</f>
        <v/>
      </c>
      <c r="Z278" s="27">
        <f>IF(E278="","",SUMIFS(tbl_Finance[Ex GST],tbl_Finance[Job Number],E278&amp;""))</f>
        <v/>
      </c>
      <c r="AA278" s="27">
        <f>IF(E278="","",SUMIFS(tbl_Finance[Ex GST],tbl_Finance[Job Number],E278&amp;"",tbl_Finance[Xero Invoice No],"&lt;&gt;"))</f>
        <v/>
      </c>
      <c r="AB278" s="27">
        <f>IF(E278="","",Z278-AA278)</f>
        <v/>
      </c>
      <c r="AC278" s="25">
        <f>IF(E278="","",IFERROR(IF(INDEX(tbl_Onsite[Qwilr Quote],MATCH(E278&amp;"",tbl_Onsite[Job Number],0))="","",INDEX(tbl_Onsite[Qwilr Quote],MATCH(E278&amp;"",tbl_Onsite[Job Number],0))),IFERROR(IF(IF(INDEX(tbl_Production[Current RMS No],MATCH(E278&amp;"",tbl_Production[Job Number],0))="",INDEX(tbl_Production[Qwilr Quote],MATCH(E278&amp;"",tbl_Production[Job Number],0)),INDEX(tbl_Production[Current RMS No],MATCH(E278&amp;"",tbl_Production[Job Number],0)))="","",IF(INDEX(tbl_Production[Current RMS No],MATCH(E278&amp;"",tbl_Production[Job Number],0))="",INDEX(tbl_Production[Qwilr Quote],MATCH(E278&amp;"",tbl_Production[Job Number],0)),INDEX(tbl_Production[Current RMS No],MATCH(E278&amp;"",tbl_Production[Job Number],0)))),IFERROR(IF(INDEX(tbl_Consulting[Qwilr Quote],MATCH(E278&amp;"",tbl_Consulting[Job Number],0))="","",INDEX(tbl_Consulting[Qwilr Quote],MATCH(E278&amp;"",tbl_Consulting[Job Number],0))),""))))</f>
        <v/>
      </c>
      <c r="AD278" s="25">
        <f>IF(AC278="","",IF(AND(LEFT(AC278,4)&lt;&gt;"http",IF(H278="Production",set_RMSBase,set_QwilrBase)=""),"",HYPERLINK(IF(LEFT(AC278,4)="http",AC278,IF(H278="Production",set_RMSBase,set_QwilrBase)&amp;AC278),"Open")))</f>
        <v/>
      </c>
      <c r="AE278" s="27">
        <f>IF(E278="","",IFERROR(INDEX(tbl_Production[Total Expense],MATCH(E278&amp;"",tbl_Production[Job Number],0)),IFERROR(INDEX(tbl_Consulting[Total Expense],MATCH(E278&amp;"",tbl_Consulting[Job Number],0)),0)))</f>
        <v/>
      </c>
      <c r="AF278" s="27">
        <f>IF(E278="","",Z278-N(AE278))</f>
        <v/>
      </c>
      <c r="AG278" s="29">
        <f>IFERROR(AF278/Z278,"")</f>
        <v/>
      </c>
      <c r="AH278" s="25">
        <f>IF(E278="","",IFERROR(IF(INDEX(tbl_Onsite[Notes],MATCH(E278&amp;"",tbl_Onsite[Job Number],0))="","",INDEX(tbl_Onsite[Notes],MATCH(E278&amp;"",tbl_Onsite[Job Number],0))),IFERROR(IF(INDEX(tbl_Production[Notes],MATCH(E278&amp;"",tbl_Production[Job Number],0))="","",INDEX(tbl_Production[Notes],MATCH(E278&amp;"",tbl_Production[Job Number],0))),IFERROR(IF(INDEX(tbl_Consulting[Notes],MATCH(E278&amp;"",tbl_Consulting[Job Number],0))="","",INDEX(tbl_Consulting[Notes],MATCH(E278&amp;"",tbl_Consulting[Job Number],0))),""))))</f>
        <v/>
      </c>
    </row>
    <row r="279" ht="15" customHeight="1">
      <c r="A279" s="22" t="n"/>
      <c r="B279" s="23">
        <f>IF(A279="","",EOMONTH(A279,0))</f>
        <v/>
      </c>
      <c r="C279" s="24" t="n"/>
      <c r="D279" s="24" t="n"/>
      <c r="E279" s="24" t="n"/>
      <c r="F279" s="25">
        <f>IF(E279="","",IF(COUNTIF(lst_Jobs,E279&amp;"")&gt;0,"OK","CHECK"))</f>
        <v/>
      </c>
      <c r="G279" s="24" t="n"/>
      <c r="H279" s="24" t="n"/>
      <c r="I279" s="24" t="n"/>
      <c r="J279" s="24" t="n"/>
      <c r="K279" s="24" t="n"/>
      <c r="L279" s="26" t="n"/>
      <c r="M279" s="27">
        <f>IF(L279="","",IF(K279="GST 10%",ROUND(L279*set_GSTRate,2),0))</f>
        <v/>
      </c>
      <c r="N279" s="27">
        <f>IF(L279="","",L279+M279)</f>
        <v/>
      </c>
      <c r="O279" s="24" t="n"/>
      <c r="P279" s="24" t="n"/>
      <c r="Q279" s="24" t="n"/>
      <c r="R279" s="22" t="n"/>
      <c r="S279" s="22" t="n"/>
      <c r="T279" s="24" t="n"/>
      <c r="U279" s="24" t="n"/>
      <c r="V279" s="25">
        <f>IF(COUNTA(A279,D279,C279,L279)=0,"",IF(A279="","No date - sits outside every month",IF(E279="","No job number",IF(F279="CHECK","Job number is not in the Xero job list",IF(I279="","No cost centre",IF(AND(P279="Y",C279=""),"Marked posted to Xero but has no invoice number",IF(AND(L279&lt;&gt;"",K279=""),"No tax code",IF(AND(L279&lt;&gt;"",O279=""),"No revenue GL code",""))))))))</f>
        <v/>
      </c>
      <c r="W279" s="25">
        <f>IF(E279="","",IF(COUNTIF(tbl_Onsite[Job Number],E279&amp;"")&gt;0,"Onsite",IF(COUNTIF(tbl_Production[Job Number],E279&amp;"")&gt;0,"Production",IF(COUNTIF(tbl_Consulting[Job Number],E279&amp;"")&gt;0,"Consulting","not set up yet"))))</f>
        <v/>
      </c>
      <c r="X279" s="25">
        <f>IF(E279="","",IFERROR(INDEX(lst_JobName,MATCH(E279&amp;"",lst_Jobs,0)),""))</f>
        <v/>
      </c>
      <c r="Y279" s="28">
        <f>IF(E279="","",COUNTIFS(tbl_Finance[Job Number],E279&amp;"",tbl_Finance[Ex GST],"&lt;&gt;"))</f>
        <v/>
      </c>
      <c r="Z279" s="27">
        <f>IF(E279="","",SUMIFS(tbl_Finance[Ex GST],tbl_Finance[Job Number],E279&amp;""))</f>
        <v/>
      </c>
      <c r="AA279" s="27">
        <f>IF(E279="","",SUMIFS(tbl_Finance[Ex GST],tbl_Finance[Job Number],E279&amp;"",tbl_Finance[Xero Invoice No],"&lt;&gt;"))</f>
        <v/>
      </c>
      <c r="AB279" s="27">
        <f>IF(E279="","",Z279-AA279)</f>
        <v/>
      </c>
      <c r="AC279" s="25">
        <f>IF(E279="","",IFERROR(IF(INDEX(tbl_Onsite[Qwilr Quote],MATCH(E279&amp;"",tbl_Onsite[Job Number],0))="","",INDEX(tbl_Onsite[Qwilr Quote],MATCH(E279&amp;"",tbl_Onsite[Job Number],0))),IFERROR(IF(IF(INDEX(tbl_Production[Current RMS No],MATCH(E279&amp;"",tbl_Production[Job Number],0))="",INDEX(tbl_Production[Qwilr Quote],MATCH(E279&amp;"",tbl_Production[Job Number],0)),INDEX(tbl_Production[Current RMS No],MATCH(E279&amp;"",tbl_Production[Job Number],0)))="","",IF(INDEX(tbl_Production[Current RMS No],MATCH(E279&amp;"",tbl_Production[Job Number],0))="",INDEX(tbl_Production[Qwilr Quote],MATCH(E279&amp;"",tbl_Production[Job Number],0)),INDEX(tbl_Production[Current RMS No],MATCH(E279&amp;"",tbl_Production[Job Number],0)))),IFERROR(IF(INDEX(tbl_Consulting[Qwilr Quote],MATCH(E279&amp;"",tbl_Consulting[Job Number],0))="","",INDEX(tbl_Consulting[Qwilr Quote],MATCH(E279&amp;"",tbl_Consulting[Job Number],0))),""))))</f>
        <v/>
      </c>
      <c r="AD279" s="25">
        <f>IF(AC279="","",IF(AND(LEFT(AC279,4)&lt;&gt;"http",IF(H279="Production",set_RMSBase,set_QwilrBase)=""),"",HYPERLINK(IF(LEFT(AC279,4)="http",AC279,IF(H279="Production",set_RMSBase,set_QwilrBase)&amp;AC279),"Open")))</f>
        <v/>
      </c>
      <c r="AE279" s="27">
        <f>IF(E279="","",IFERROR(INDEX(tbl_Production[Total Expense],MATCH(E279&amp;"",tbl_Production[Job Number],0)),IFERROR(INDEX(tbl_Consulting[Total Expense],MATCH(E279&amp;"",tbl_Consulting[Job Number],0)),0)))</f>
        <v/>
      </c>
      <c r="AF279" s="27">
        <f>IF(E279="","",Z279-N(AE279))</f>
        <v/>
      </c>
      <c r="AG279" s="29">
        <f>IFERROR(AF279/Z279,"")</f>
        <v/>
      </c>
      <c r="AH279" s="25">
        <f>IF(E279="","",IFERROR(IF(INDEX(tbl_Onsite[Notes],MATCH(E279&amp;"",tbl_Onsite[Job Number],0))="","",INDEX(tbl_Onsite[Notes],MATCH(E279&amp;"",tbl_Onsite[Job Number],0))),IFERROR(IF(INDEX(tbl_Production[Notes],MATCH(E279&amp;"",tbl_Production[Job Number],0))="","",INDEX(tbl_Production[Notes],MATCH(E279&amp;"",tbl_Production[Job Number],0))),IFERROR(IF(INDEX(tbl_Consulting[Notes],MATCH(E279&amp;"",tbl_Consulting[Job Number],0))="","",INDEX(tbl_Consulting[Notes],MATCH(E279&amp;"",tbl_Consulting[Job Number],0))),""))))</f>
        <v/>
      </c>
    </row>
    <row r="280" ht="15" customHeight="1">
      <c r="A280" s="22" t="n"/>
      <c r="B280" s="23">
        <f>IF(A280="","",EOMONTH(A280,0))</f>
        <v/>
      </c>
      <c r="C280" s="24" t="n"/>
      <c r="D280" s="24" t="n"/>
      <c r="E280" s="24" t="n"/>
      <c r="F280" s="25">
        <f>IF(E280="","",IF(COUNTIF(lst_Jobs,E280&amp;"")&gt;0,"OK","CHECK"))</f>
        <v/>
      </c>
      <c r="G280" s="24" t="n"/>
      <c r="H280" s="24" t="n"/>
      <c r="I280" s="24" t="n"/>
      <c r="J280" s="24" t="n"/>
      <c r="K280" s="24" t="n"/>
      <c r="L280" s="26" t="n"/>
      <c r="M280" s="27">
        <f>IF(L280="","",IF(K280="GST 10%",ROUND(L280*set_GSTRate,2),0))</f>
        <v/>
      </c>
      <c r="N280" s="27">
        <f>IF(L280="","",L280+M280)</f>
        <v/>
      </c>
      <c r="O280" s="24" t="n"/>
      <c r="P280" s="24" t="n"/>
      <c r="Q280" s="24" t="n"/>
      <c r="R280" s="22" t="n"/>
      <c r="S280" s="22" t="n"/>
      <c r="T280" s="24" t="n"/>
      <c r="U280" s="24" t="n"/>
      <c r="V280" s="25">
        <f>IF(COUNTA(A280,D280,C280,L280)=0,"",IF(A280="","No date - sits outside every month",IF(E280="","No job number",IF(F280="CHECK","Job number is not in the Xero job list",IF(I280="","No cost centre",IF(AND(P280="Y",C280=""),"Marked posted to Xero but has no invoice number",IF(AND(L280&lt;&gt;"",K280=""),"No tax code",IF(AND(L280&lt;&gt;"",O280=""),"No revenue GL code",""))))))))</f>
        <v/>
      </c>
      <c r="W280" s="25">
        <f>IF(E280="","",IF(COUNTIF(tbl_Onsite[Job Number],E280&amp;"")&gt;0,"Onsite",IF(COUNTIF(tbl_Production[Job Number],E280&amp;"")&gt;0,"Production",IF(COUNTIF(tbl_Consulting[Job Number],E280&amp;"")&gt;0,"Consulting","not set up yet"))))</f>
        <v/>
      </c>
      <c r="X280" s="25">
        <f>IF(E280="","",IFERROR(INDEX(lst_JobName,MATCH(E280&amp;"",lst_Jobs,0)),""))</f>
        <v/>
      </c>
      <c r="Y280" s="28">
        <f>IF(E280="","",COUNTIFS(tbl_Finance[Job Number],E280&amp;"",tbl_Finance[Ex GST],"&lt;&gt;"))</f>
        <v/>
      </c>
      <c r="Z280" s="27">
        <f>IF(E280="","",SUMIFS(tbl_Finance[Ex GST],tbl_Finance[Job Number],E280&amp;""))</f>
        <v/>
      </c>
      <c r="AA280" s="27">
        <f>IF(E280="","",SUMIFS(tbl_Finance[Ex GST],tbl_Finance[Job Number],E280&amp;"",tbl_Finance[Xero Invoice No],"&lt;&gt;"))</f>
        <v/>
      </c>
      <c r="AB280" s="27">
        <f>IF(E280="","",Z280-AA280)</f>
        <v/>
      </c>
      <c r="AC280" s="25">
        <f>IF(E280="","",IFERROR(IF(INDEX(tbl_Onsite[Qwilr Quote],MATCH(E280&amp;"",tbl_Onsite[Job Number],0))="","",INDEX(tbl_Onsite[Qwilr Quote],MATCH(E280&amp;"",tbl_Onsite[Job Number],0))),IFERROR(IF(IF(INDEX(tbl_Production[Current RMS No],MATCH(E280&amp;"",tbl_Production[Job Number],0))="",INDEX(tbl_Production[Qwilr Quote],MATCH(E280&amp;"",tbl_Production[Job Number],0)),INDEX(tbl_Production[Current RMS No],MATCH(E280&amp;"",tbl_Production[Job Number],0)))="","",IF(INDEX(tbl_Production[Current RMS No],MATCH(E280&amp;"",tbl_Production[Job Number],0))="",INDEX(tbl_Production[Qwilr Quote],MATCH(E280&amp;"",tbl_Production[Job Number],0)),INDEX(tbl_Production[Current RMS No],MATCH(E280&amp;"",tbl_Production[Job Number],0)))),IFERROR(IF(INDEX(tbl_Consulting[Qwilr Quote],MATCH(E280&amp;"",tbl_Consulting[Job Number],0))="","",INDEX(tbl_Consulting[Qwilr Quote],MATCH(E280&amp;"",tbl_Consulting[Job Number],0))),""))))</f>
        <v/>
      </c>
      <c r="AD280" s="25">
        <f>IF(AC280="","",IF(AND(LEFT(AC280,4)&lt;&gt;"http",IF(H280="Production",set_RMSBase,set_QwilrBase)=""),"",HYPERLINK(IF(LEFT(AC280,4)="http",AC280,IF(H280="Production",set_RMSBase,set_QwilrBase)&amp;AC280),"Open")))</f>
        <v/>
      </c>
      <c r="AE280" s="27">
        <f>IF(E280="","",IFERROR(INDEX(tbl_Production[Total Expense],MATCH(E280&amp;"",tbl_Production[Job Number],0)),IFERROR(INDEX(tbl_Consulting[Total Expense],MATCH(E280&amp;"",tbl_Consulting[Job Number],0)),0)))</f>
        <v/>
      </c>
      <c r="AF280" s="27">
        <f>IF(E280="","",Z280-N(AE280))</f>
        <v/>
      </c>
      <c r="AG280" s="29">
        <f>IFERROR(AF280/Z280,"")</f>
        <v/>
      </c>
      <c r="AH280" s="25">
        <f>IF(E280="","",IFERROR(IF(INDEX(tbl_Onsite[Notes],MATCH(E280&amp;"",tbl_Onsite[Job Number],0))="","",INDEX(tbl_Onsite[Notes],MATCH(E280&amp;"",tbl_Onsite[Job Number],0))),IFERROR(IF(INDEX(tbl_Production[Notes],MATCH(E280&amp;"",tbl_Production[Job Number],0))="","",INDEX(tbl_Production[Notes],MATCH(E280&amp;"",tbl_Production[Job Number],0))),IFERROR(IF(INDEX(tbl_Consulting[Notes],MATCH(E280&amp;"",tbl_Consulting[Job Number],0))="","",INDEX(tbl_Consulting[Notes],MATCH(E280&amp;"",tbl_Consulting[Job Number],0))),""))))</f>
        <v/>
      </c>
    </row>
    <row r="281" ht="15" customHeight="1">
      <c r="A281" s="22" t="n"/>
      <c r="B281" s="23">
        <f>IF(A281="","",EOMONTH(A281,0))</f>
        <v/>
      </c>
      <c r="C281" s="24" t="n"/>
      <c r="D281" s="24" t="n"/>
      <c r="E281" s="24" t="n"/>
      <c r="F281" s="25">
        <f>IF(E281="","",IF(COUNTIF(lst_Jobs,E281&amp;"")&gt;0,"OK","CHECK"))</f>
        <v/>
      </c>
      <c r="G281" s="24" t="n"/>
      <c r="H281" s="24" t="n"/>
      <c r="I281" s="24" t="n"/>
      <c r="J281" s="24" t="n"/>
      <c r="K281" s="24" t="n"/>
      <c r="L281" s="26" t="n"/>
      <c r="M281" s="27">
        <f>IF(L281="","",IF(K281="GST 10%",ROUND(L281*set_GSTRate,2),0))</f>
        <v/>
      </c>
      <c r="N281" s="27">
        <f>IF(L281="","",L281+M281)</f>
        <v/>
      </c>
      <c r="O281" s="24" t="n"/>
      <c r="P281" s="24" t="n"/>
      <c r="Q281" s="24" t="n"/>
      <c r="R281" s="22" t="n"/>
      <c r="S281" s="22" t="n"/>
      <c r="T281" s="24" t="n"/>
      <c r="U281" s="24" t="n"/>
      <c r="V281" s="25">
        <f>IF(COUNTA(A281,D281,C281,L281)=0,"",IF(A281="","No date - sits outside every month",IF(E281="","No job number",IF(F281="CHECK","Job number is not in the Xero job list",IF(I281="","No cost centre",IF(AND(P281="Y",C281=""),"Marked posted to Xero but has no invoice number",IF(AND(L281&lt;&gt;"",K281=""),"No tax code",IF(AND(L281&lt;&gt;"",O281=""),"No revenue GL code",""))))))))</f>
        <v/>
      </c>
      <c r="W281" s="25">
        <f>IF(E281="","",IF(COUNTIF(tbl_Onsite[Job Number],E281&amp;"")&gt;0,"Onsite",IF(COUNTIF(tbl_Production[Job Number],E281&amp;"")&gt;0,"Production",IF(COUNTIF(tbl_Consulting[Job Number],E281&amp;"")&gt;0,"Consulting","not set up yet"))))</f>
        <v/>
      </c>
      <c r="X281" s="25">
        <f>IF(E281="","",IFERROR(INDEX(lst_JobName,MATCH(E281&amp;"",lst_Jobs,0)),""))</f>
        <v/>
      </c>
      <c r="Y281" s="28">
        <f>IF(E281="","",COUNTIFS(tbl_Finance[Job Number],E281&amp;"",tbl_Finance[Ex GST],"&lt;&gt;"))</f>
        <v/>
      </c>
      <c r="Z281" s="27">
        <f>IF(E281="","",SUMIFS(tbl_Finance[Ex GST],tbl_Finance[Job Number],E281&amp;""))</f>
        <v/>
      </c>
      <c r="AA281" s="27">
        <f>IF(E281="","",SUMIFS(tbl_Finance[Ex GST],tbl_Finance[Job Number],E281&amp;"",tbl_Finance[Xero Invoice No],"&lt;&gt;"))</f>
        <v/>
      </c>
      <c r="AB281" s="27">
        <f>IF(E281="","",Z281-AA281)</f>
        <v/>
      </c>
      <c r="AC281" s="25">
        <f>IF(E281="","",IFERROR(IF(INDEX(tbl_Onsite[Qwilr Quote],MATCH(E281&amp;"",tbl_Onsite[Job Number],0))="","",INDEX(tbl_Onsite[Qwilr Quote],MATCH(E281&amp;"",tbl_Onsite[Job Number],0))),IFERROR(IF(IF(INDEX(tbl_Production[Current RMS No],MATCH(E281&amp;"",tbl_Production[Job Number],0))="",INDEX(tbl_Production[Qwilr Quote],MATCH(E281&amp;"",tbl_Production[Job Number],0)),INDEX(tbl_Production[Current RMS No],MATCH(E281&amp;"",tbl_Production[Job Number],0)))="","",IF(INDEX(tbl_Production[Current RMS No],MATCH(E281&amp;"",tbl_Production[Job Number],0))="",INDEX(tbl_Production[Qwilr Quote],MATCH(E281&amp;"",tbl_Production[Job Number],0)),INDEX(tbl_Production[Current RMS No],MATCH(E281&amp;"",tbl_Production[Job Number],0)))),IFERROR(IF(INDEX(tbl_Consulting[Qwilr Quote],MATCH(E281&amp;"",tbl_Consulting[Job Number],0))="","",INDEX(tbl_Consulting[Qwilr Quote],MATCH(E281&amp;"",tbl_Consulting[Job Number],0))),""))))</f>
        <v/>
      </c>
      <c r="AD281" s="25">
        <f>IF(AC281="","",IF(AND(LEFT(AC281,4)&lt;&gt;"http",IF(H281="Production",set_RMSBase,set_QwilrBase)=""),"",HYPERLINK(IF(LEFT(AC281,4)="http",AC281,IF(H281="Production",set_RMSBase,set_QwilrBase)&amp;AC281),"Open")))</f>
        <v/>
      </c>
      <c r="AE281" s="27">
        <f>IF(E281="","",IFERROR(INDEX(tbl_Production[Total Expense],MATCH(E281&amp;"",tbl_Production[Job Number],0)),IFERROR(INDEX(tbl_Consulting[Total Expense],MATCH(E281&amp;"",tbl_Consulting[Job Number],0)),0)))</f>
        <v/>
      </c>
      <c r="AF281" s="27">
        <f>IF(E281="","",Z281-N(AE281))</f>
        <v/>
      </c>
      <c r="AG281" s="29">
        <f>IFERROR(AF281/Z281,"")</f>
        <v/>
      </c>
      <c r="AH281" s="25">
        <f>IF(E281="","",IFERROR(IF(INDEX(tbl_Onsite[Notes],MATCH(E281&amp;"",tbl_Onsite[Job Number],0))="","",INDEX(tbl_Onsite[Notes],MATCH(E281&amp;"",tbl_Onsite[Job Number],0))),IFERROR(IF(INDEX(tbl_Production[Notes],MATCH(E281&amp;"",tbl_Production[Job Number],0))="","",INDEX(tbl_Production[Notes],MATCH(E281&amp;"",tbl_Production[Job Number],0))),IFERROR(IF(INDEX(tbl_Consulting[Notes],MATCH(E281&amp;"",tbl_Consulting[Job Number],0))="","",INDEX(tbl_Consulting[Notes],MATCH(E281&amp;"",tbl_Consulting[Job Number],0))),""))))</f>
        <v/>
      </c>
    </row>
    <row r="282" ht="15" customHeight="1">
      <c r="A282" s="22" t="n"/>
      <c r="B282" s="23">
        <f>IF(A282="","",EOMONTH(A282,0))</f>
        <v/>
      </c>
      <c r="C282" s="24" t="n"/>
      <c r="D282" s="24" t="n"/>
      <c r="E282" s="24" t="n"/>
      <c r="F282" s="25">
        <f>IF(E282="","",IF(COUNTIF(lst_Jobs,E282&amp;"")&gt;0,"OK","CHECK"))</f>
        <v/>
      </c>
      <c r="G282" s="24" t="n"/>
      <c r="H282" s="24" t="n"/>
      <c r="I282" s="24" t="n"/>
      <c r="J282" s="24" t="n"/>
      <c r="K282" s="24" t="n"/>
      <c r="L282" s="26" t="n"/>
      <c r="M282" s="27">
        <f>IF(L282="","",IF(K282="GST 10%",ROUND(L282*set_GSTRate,2),0))</f>
        <v/>
      </c>
      <c r="N282" s="27">
        <f>IF(L282="","",L282+M282)</f>
        <v/>
      </c>
      <c r="O282" s="24" t="n"/>
      <c r="P282" s="24" t="n"/>
      <c r="Q282" s="24" t="n"/>
      <c r="R282" s="22" t="n"/>
      <c r="S282" s="22" t="n"/>
      <c r="T282" s="24" t="n"/>
      <c r="U282" s="24" t="n"/>
      <c r="V282" s="25">
        <f>IF(COUNTA(A282,D282,C282,L282)=0,"",IF(A282="","No date - sits outside every month",IF(E282="","No job number",IF(F282="CHECK","Job number is not in the Xero job list",IF(I282="","No cost centre",IF(AND(P282="Y",C282=""),"Marked posted to Xero but has no invoice number",IF(AND(L282&lt;&gt;"",K282=""),"No tax code",IF(AND(L282&lt;&gt;"",O282=""),"No revenue GL code",""))))))))</f>
        <v/>
      </c>
      <c r="W282" s="25">
        <f>IF(E282="","",IF(COUNTIF(tbl_Onsite[Job Number],E282&amp;"")&gt;0,"Onsite",IF(COUNTIF(tbl_Production[Job Number],E282&amp;"")&gt;0,"Production",IF(COUNTIF(tbl_Consulting[Job Number],E282&amp;"")&gt;0,"Consulting","not set up yet"))))</f>
        <v/>
      </c>
      <c r="X282" s="25">
        <f>IF(E282="","",IFERROR(INDEX(lst_JobName,MATCH(E282&amp;"",lst_Jobs,0)),""))</f>
        <v/>
      </c>
      <c r="Y282" s="28">
        <f>IF(E282="","",COUNTIFS(tbl_Finance[Job Number],E282&amp;"",tbl_Finance[Ex GST],"&lt;&gt;"))</f>
        <v/>
      </c>
      <c r="Z282" s="27">
        <f>IF(E282="","",SUMIFS(tbl_Finance[Ex GST],tbl_Finance[Job Number],E282&amp;""))</f>
        <v/>
      </c>
      <c r="AA282" s="27">
        <f>IF(E282="","",SUMIFS(tbl_Finance[Ex GST],tbl_Finance[Job Number],E282&amp;"",tbl_Finance[Xero Invoice No],"&lt;&gt;"))</f>
        <v/>
      </c>
      <c r="AB282" s="27">
        <f>IF(E282="","",Z282-AA282)</f>
        <v/>
      </c>
      <c r="AC282" s="25">
        <f>IF(E282="","",IFERROR(IF(INDEX(tbl_Onsite[Qwilr Quote],MATCH(E282&amp;"",tbl_Onsite[Job Number],0))="","",INDEX(tbl_Onsite[Qwilr Quote],MATCH(E282&amp;"",tbl_Onsite[Job Number],0))),IFERROR(IF(IF(INDEX(tbl_Production[Current RMS No],MATCH(E282&amp;"",tbl_Production[Job Number],0))="",INDEX(tbl_Production[Qwilr Quote],MATCH(E282&amp;"",tbl_Production[Job Number],0)),INDEX(tbl_Production[Current RMS No],MATCH(E282&amp;"",tbl_Production[Job Number],0)))="","",IF(INDEX(tbl_Production[Current RMS No],MATCH(E282&amp;"",tbl_Production[Job Number],0))="",INDEX(tbl_Production[Qwilr Quote],MATCH(E282&amp;"",tbl_Production[Job Number],0)),INDEX(tbl_Production[Current RMS No],MATCH(E282&amp;"",tbl_Production[Job Number],0)))),IFERROR(IF(INDEX(tbl_Consulting[Qwilr Quote],MATCH(E282&amp;"",tbl_Consulting[Job Number],0))="","",INDEX(tbl_Consulting[Qwilr Quote],MATCH(E282&amp;"",tbl_Consulting[Job Number],0))),""))))</f>
        <v/>
      </c>
      <c r="AD282" s="25">
        <f>IF(AC282="","",IF(AND(LEFT(AC282,4)&lt;&gt;"http",IF(H282="Production",set_RMSBase,set_QwilrBase)=""),"",HYPERLINK(IF(LEFT(AC282,4)="http",AC282,IF(H282="Production",set_RMSBase,set_QwilrBase)&amp;AC282),"Open")))</f>
        <v/>
      </c>
      <c r="AE282" s="27">
        <f>IF(E282="","",IFERROR(INDEX(tbl_Production[Total Expense],MATCH(E282&amp;"",tbl_Production[Job Number],0)),IFERROR(INDEX(tbl_Consulting[Total Expense],MATCH(E282&amp;"",tbl_Consulting[Job Number],0)),0)))</f>
        <v/>
      </c>
      <c r="AF282" s="27">
        <f>IF(E282="","",Z282-N(AE282))</f>
        <v/>
      </c>
      <c r="AG282" s="29">
        <f>IFERROR(AF282/Z282,"")</f>
        <v/>
      </c>
      <c r="AH282" s="25">
        <f>IF(E282="","",IFERROR(IF(INDEX(tbl_Onsite[Notes],MATCH(E282&amp;"",tbl_Onsite[Job Number],0))="","",INDEX(tbl_Onsite[Notes],MATCH(E282&amp;"",tbl_Onsite[Job Number],0))),IFERROR(IF(INDEX(tbl_Production[Notes],MATCH(E282&amp;"",tbl_Production[Job Number],0))="","",INDEX(tbl_Production[Notes],MATCH(E282&amp;"",tbl_Production[Job Number],0))),IFERROR(IF(INDEX(tbl_Consulting[Notes],MATCH(E282&amp;"",tbl_Consulting[Job Number],0))="","",INDEX(tbl_Consulting[Notes],MATCH(E282&amp;"",tbl_Consulting[Job Number],0))),""))))</f>
        <v/>
      </c>
    </row>
    <row r="283" ht="15" customHeight="1">
      <c r="A283" s="22" t="n"/>
      <c r="B283" s="23">
        <f>IF(A283="","",EOMONTH(A283,0))</f>
        <v/>
      </c>
      <c r="C283" s="24" t="n"/>
      <c r="D283" s="24" t="n"/>
      <c r="E283" s="24" t="n"/>
      <c r="F283" s="25">
        <f>IF(E283="","",IF(COUNTIF(lst_Jobs,E283&amp;"")&gt;0,"OK","CHECK"))</f>
        <v/>
      </c>
      <c r="G283" s="24" t="n"/>
      <c r="H283" s="24" t="n"/>
      <c r="I283" s="24" t="n"/>
      <c r="J283" s="24" t="n"/>
      <c r="K283" s="24" t="n"/>
      <c r="L283" s="26" t="n"/>
      <c r="M283" s="27">
        <f>IF(L283="","",IF(K283="GST 10%",ROUND(L283*set_GSTRate,2),0))</f>
        <v/>
      </c>
      <c r="N283" s="27">
        <f>IF(L283="","",L283+M283)</f>
        <v/>
      </c>
      <c r="O283" s="24" t="n"/>
      <c r="P283" s="24" t="n"/>
      <c r="Q283" s="24" t="n"/>
      <c r="R283" s="22" t="n"/>
      <c r="S283" s="22" t="n"/>
      <c r="T283" s="24" t="n"/>
      <c r="U283" s="24" t="n"/>
      <c r="V283" s="25">
        <f>IF(COUNTA(A283,D283,C283,L283)=0,"",IF(A283="","No date - sits outside every month",IF(E283="","No job number",IF(F283="CHECK","Job number is not in the Xero job list",IF(I283="","No cost centre",IF(AND(P283="Y",C283=""),"Marked posted to Xero but has no invoice number",IF(AND(L283&lt;&gt;"",K283=""),"No tax code",IF(AND(L283&lt;&gt;"",O283=""),"No revenue GL code",""))))))))</f>
        <v/>
      </c>
      <c r="W283" s="25">
        <f>IF(E283="","",IF(COUNTIF(tbl_Onsite[Job Number],E283&amp;"")&gt;0,"Onsite",IF(COUNTIF(tbl_Production[Job Number],E283&amp;"")&gt;0,"Production",IF(COUNTIF(tbl_Consulting[Job Number],E283&amp;"")&gt;0,"Consulting","not set up yet"))))</f>
        <v/>
      </c>
      <c r="X283" s="25">
        <f>IF(E283="","",IFERROR(INDEX(lst_JobName,MATCH(E283&amp;"",lst_Jobs,0)),""))</f>
        <v/>
      </c>
      <c r="Y283" s="28">
        <f>IF(E283="","",COUNTIFS(tbl_Finance[Job Number],E283&amp;"",tbl_Finance[Ex GST],"&lt;&gt;"))</f>
        <v/>
      </c>
      <c r="Z283" s="27">
        <f>IF(E283="","",SUMIFS(tbl_Finance[Ex GST],tbl_Finance[Job Number],E283&amp;""))</f>
        <v/>
      </c>
      <c r="AA283" s="27">
        <f>IF(E283="","",SUMIFS(tbl_Finance[Ex GST],tbl_Finance[Job Number],E283&amp;"",tbl_Finance[Xero Invoice No],"&lt;&gt;"))</f>
        <v/>
      </c>
      <c r="AB283" s="27">
        <f>IF(E283="","",Z283-AA283)</f>
        <v/>
      </c>
      <c r="AC283" s="25">
        <f>IF(E283="","",IFERROR(IF(INDEX(tbl_Onsite[Qwilr Quote],MATCH(E283&amp;"",tbl_Onsite[Job Number],0))="","",INDEX(tbl_Onsite[Qwilr Quote],MATCH(E283&amp;"",tbl_Onsite[Job Number],0))),IFERROR(IF(IF(INDEX(tbl_Production[Current RMS No],MATCH(E283&amp;"",tbl_Production[Job Number],0))="",INDEX(tbl_Production[Qwilr Quote],MATCH(E283&amp;"",tbl_Production[Job Number],0)),INDEX(tbl_Production[Current RMS No],MATCH(E283&amp;"",tbl_Production[Job Number],0)))="","",IF(INDEX(tbl_Production[Current RMS No],MATCH(E283&amp;"",tbl_Production[Job Number],0))="",INDEX(tbl_Production[Qwilr Quote],MATCH(E283&amp;"",tbl_Production[Job Number],0)),INDEX(tbl_Production[Current RMS No],MATCH(E283&amp;"",tbl_Production[Job Number],0)))),IFERROR(IF(INDEX(tbl_Consulting[Qwilr Quote],MATCH(E283&amp;"",tbl_Consulting[Job Number],0))="","",INDEX(tbl_Consulting[Qwilr Quote],MATCH(E283&amp;"",tbl_Consulting[Job Number],0))),""))))</f>
        <v/>
      </c>
      <c r="AD283" s="25">
        <f>IF(AC283="","",IF(AND(LEFT(AC283,4)&lt;&gt;"http",IF(H283="Production",set_RMSBase,set_QwilrBase)=""),"",HYPERLINK(IF(LEFT(AC283,4)="http",AC283,IF(H283="Production",set_RMSBase,set_QwilrBase)&amp;AC283),"Open")))</f>
        <v/>
      </c>
      <c r="AE283" s="27">
        <f>IF(E283="","",IFERROR(INDEX(tbl_Production[Total Expense],MATCH(E283&amp;"",tbl_Production[Job Number],0)),IFERROR(INDEX(tbl_Consulting[Total Expense],MATCH(E283&amp;"",tbl_Consulting[Job Number],0)),0)))</f>
        <v/>
      </c>
      <c r="AF283" s="27">
        <f>IF(E283="","",Z283-N(AE283))</f>
        <v/>
      </c>
      <c r="AG283" s="29">
        <f>IFERROR(AF283/Z283,"")</f>
        <v/>
      </c>
      <c r="AH283" s="25">
        <f>IF(E283="","",IFERROR(IF(INDEX(tbl_Onsite[Notes],MATCH(E283&amp;"",tbl_Onsite[Job Number],0))="","",INDEX(tbl_Onsite[Notes],MATCH(E283&amp;"",tbl_Onsite[Job Number],0))),IFERROR(IF(INDEX(tbl_Production[Notes],MATCH(E283&amp;"",tbl_Production[Job Number],0))="","",INDEX(tbl_Production[Notes],MATCH(E283&amp;"",tbl_Production[Job Number],0))),IFERROR(IF(INDEX(tbl_Consulting[Notes],MATCH(E283&amp;"",tbl_Consulting[Job Number],0))="","",INDEX(tbl_Consulting[Notes],MATCH(E283&amp;"",tbl_Consulting[Job Number],0))),""))))</f>
        <v/>
      </c>
    </row>
    <row r="284" ht="15" customHeight="1">
      <c r="A284" s="22" t="n"/>
      <c r="B284" s="23">
        <f>IF(A284="","",EOMONTH(A284,0))</f>
        <v/>
      </c>
      <c r="C284" s="24" t="n"/>
      <c r="D284" s="24" t="n"/>
      <c r="E284" s="24" t="n"/>
      <c r="F284" s="25">
        <f>IF(E284="","",IF(COUNTIF(lst_Jobs,E284&amp;"")&gt;0,"OK","CHECK"))</f>
        <v/>
      </c>
      <c r="G284" s="24" t="n"/>
      <c r="H284" s="24" t="n"/>
      <c r="I284" s="24" t="n"/>
      <c r="J284" s="24" t="n"/>
      <c r="K284" s="24" t="n"/>
      <c r="L284" s="26" t="n"/>
      <c r="M284" s="27">
        <f>IF(L284="","",IF(K284="GST 10%",ROUND(L284*set_GSTRate,2),0))</f>
        <v/>
      </c>
      <c r="N284" s="27">
        <f>IF(L284="","",L284+M284)</f>
        <v/>
      </c>
      <c r="O284" s="24" t="n"/>
      <c r="P284" s="24" t="n"/>
      <c r="Q284" s="24" t="n"/>
      <c r="R284" s="22" t="n"/>
      <c r="S284" s="22" t="n"/>
      <c r="T284" s="24" t="n"/>
      <c r="U284" s="24" t="n"/>
      <c r="V284" s="25">
        <f>IF(COUNTA(A284,D284,C284,L284)=0,"",IF(A284="","No date - sits outside every month",IF(E284="","No job number",IF(F284="CHECK","Job number is not in the Xero job list",IF(I284="","No cost centre",IF(AND(P284="Y",C284=""),"Marked posted to Xero but has no invoice number",IF(AND(L284&lt;&gt;"",K284=""),"No tax code",IF(AND(L284&lt;&gt;"",O284=""),"No revenue GL code",""))))))))</f>
        <v/>
      </c>
      <c r="W284" s="25">
        <f>IF(E284="","",IF(COUNTIF(tbl_Onsite[Job Number],E284&amp;"")&gt;0,"Onsite",IF(COUNTIF(tbl_Production[Job Number],E284&amp;"")&gt;0,"Production",IF(COUNTIF(tbl_Consulting[Job Number],E284&amp;"")&gt;0,"Consulting","not set up yet"))))</f>
        <v/>
      </c>
      <c r="X284" s="25">
        <f>IF(E284="","",IFERROR(INDEX(lst_JobName,MATCH(E284&amp;"",lst_Jobs,0)),""))</f>
        <v/>
      </c>
      <c r="Y284" s="28">
        <f>IF(E284="","",COUNTIFS(tbl_Finance[Job Number],E284&amp;"",tbl_Finance[Ex GST],"&lt;&gt;"))</f>
        <v/>
      </c>
      <c r="Z284" s="27">
        <f>IF(E284="","",SUMIFS(tbl_Finance[Ex GST],tbl_Finance[Job Number],E284&amp;""))</f>
        <v/>
      </c>
      <c r="AA284" s="27">
        <f>IF(E284="","",SUMIFS(tbl_Finance[Ex GST],tbl_Finance[Job Number],E284&amp;"",tbl_Finance[Xero Invoice No],"&lt;&gt;"))</f>
        <v/>
      </c>
      <c r="AB284" s="27">
        <f>IF(E284="","",Z284-AA284)</f>
        <v/>
      </c>
      <c r="AC284" s="25">
        <f>IF(E284="","",IFERROR(IF(INDEX(tbl_Onsite[Qwilr Quote],MATCH(E284&amp;"",tbl_Onsite[Job Number],0))="","",INDEX(tbl_Onsite[Qwilr Quote],MATCH(E284&amp;"",tbl_Onsite[Job Number],0))),IFERROR(IF(IF(INDEX(tbl_Production[Current RMS No],MATCH(E284&amp;"",tbl_Production[Job Number],0))="",INDEX(tbl_Production[Qwilr Quote],MATCH(E284&amp;"",tbl_Production[Job Number],0)),INDEX(tbl_Production[Current RMS No],MATCH(E284&amp;"",tbl_Production[Job Number],0)))="","",IF(INDEX(tbl_Production[Current RMS No],MATCH(E284&amp;"",tbl_Production[Job Number],0))="",INDEX(tbl_Production[Qwilr Quote],MATCH(E284&amp;"",tbl_Production[Job Number],0)),INDEX(tbl_Production[Current RMS No],MATCH(E284&amp;"",tbl_Production[Job Number],0)))),IFERROR(IF(INDEX(tbl_Consulting[Qwilr Quote],MATCH(E284&amp;"",tbl_Consulting[Job Number],0))="","",INDEX(tbl_Consulting[Qwilr Quote],MATCH(E284&amp;"",tbl_Consulting[Job Number],0))),""))))</f>
        <v/>
      </c>
      <c r="AD284" s="25">
        <f>IF(AC284="","",IF(AND(LEFT(AC284,4)&lt;&gt;"http",IF(H284="Production",set_RMSBase,set_QwilrBase)=""),"",HYPERLINK(IF(LEFT(AC284,4)="http",AC284,IF(H284="Production",set_RMSBase,set_QwilrBase)&amp;AC284),"Open")))</f>
        <v/>
      </c>
      <c r="AE284" s="27">
        <f>IF(E284="","",IFERROR(INDEX(tbl_Production[Total Expense],MATCH(E284&amp;"",tbl_Production[Job Number],0)),IFERROR(INDEX(tbl_Consulting[Total Expense],MATCH(E284&amp;"",tbl_Consulting[Job Number],0)),0)))</f>
        <v/>
      </c>
      <c r="AF284" s="27">
        <f>IF(E284="","",Z284-N(AE284))</f>
        <v/>
      </c>
      <c r="AG284" s="29">
        <f>IFERROR(AF284/Z284,"")</f>
        <v/>
      </c>
      <c r="AH284" s="25">
        <f>IF(E284="","",IFERROR(IF(INDEX(tbl_Onsite[Notes],MATCH(E284&amp;"",tbl_Onsite[Job Number],0))="","",INDEX(tbl_Onsite[Notes],MATCH(E284&amp;"",tbl_Onsite[Job Number],0))),IFERROR(IF(INDEX(tbl_Production[Notes],MATCH(E284&amp;"",tbl_Production[Job Number],0))="","",INDEX(tbl_Production[Notes],MATCH(E284&amp;"",tbl_Production[Job Number],0))),IFERROR(IF(INDEX(tbl_Consulting[Notes],MATCH(E284&amp;"",tbl_Consulting[Job Number],0))="","",INDEX(tbl_Consulting[Notes],MATCH(E284&amp;"",tbl_Consulting[Job Number],0))),""))))</f>
        <v/>
      </c>
    </row>
    <row r="285" ht="15" customHeight="1">
      <c r="A285" s="22" t="n"/>
      <c r="B285" s="23">
        <f>IF(A285="","",EOMONTH(A285,0))</f>
        <v/>
      </c>
      <c r="C285" s="24" t="n"/>
      <c r="D285" s="24" t="n"/>
      <c r="E285" s="24" t="n"/>
      <c r="F285" s="25">
        <f>IF(E285="","",IF(COUNTIF(lst_Jobs,E285&amp;"")&gt;0,"OK","CHECK"))</f>
        <v/>
      </c>
      <c r="G285" s="24" t="n"/>
      <c r="H285" s="24" t="n"/>
      <c r="I285" s="24" t="n"/>
      <c r="J285" s="24" t="n"/>
      <c r="K285" s="24" t="n"/>
      <c r="L285" s="26" t="n"/>
      <c r="M285" s="27">
        <f>IF(L285="","",IF(K285="GST 10%",ROUND(L285*set_GSTRate,2),0))</f>
        <v/>
      </c>
      <c r="N285" s="27">
        <f>IF(L285="","",L285+M285)</f>
        <v/>
      </c>
      <c r="O285" s="24" t="n"/>
      <c r="P285" s="24" t="n"/>
      <c r="Q285" s="24" t="n"/>
      <c r="R285" s="22" t="n"/>
      <c r="S285" s="22" t="n"/>
      <c r="T285" s="24" t="n"/>
      <c r="U285" s="24" t="n"/>
      <c r="V285" s="25">
        <f>IF(COUNTA(A285,D285,C285,L285)=0,"",IF(A285="","No date - sits outside every month",IF(E285="","No job number",IF(F285="CHECK","Job number is not in the Xero job list",IF(I285="","No cost centre",IF(AND(P285="Y",C285=""),"Marked posted to Xero but has no invoice number",IF(AND(L285&lt;&gt;"",K285=""),"No tax code",IF(AND(L285&lt;&gt;"",O285=""),"No revenue GL code",""))))))))</f>
        <v/>
      </c>
      <c r="W285" s="25">
        <f>IF(E285="","",IF(COUNTIF(tbl_Onsite[Job Number],E285&amp;"")&gt;0,"Onsite",IF(COUNTIF(tbl_Production[Job Number],E285&amp;"")&gt;0,"Production",IF(COUNTIF(tbl_Consulting[Job Number],E285&amp;"")&gt;0,"Consulting","not set up yet"))))</f>
        <v/>
      </c>
      <c r="X285" s="25">
        <f>IF(E285="","",IFERROR(INDEX(lst_JobName,MATCH(E285&amp;"",lst_Jobs,0)),""))</f>
        <v/>
      </c>
      <c r="Y285" s="28">
        <f>IF(E285="","",COUNTIFS(tbl_Finance[Job Number],E285&amp;"",tbl_Finance[Ex GST],"&lt;&gt;"))</f>
        <v/>
      </c>
      <c r="Z285" s="27">
        <f>IF(E285="","",SUMIFS(tbl_Finance[Ex GST],tbl_Finance[Job Number],E285&amp;""))</f>
        <v/>
      </c>
      <c r="AA285" s="27">
        <f>IF(E285="","",SUMIFS(tbl_Finance[Ex GST],tbl_Finance[Job Number],E285&amp;"",tbl_Finance[Xero Invoice No],"&lt;&gt;"))</f>
        <v/>
      </c>
      <c r="AB285" s="27">
        <f>IF(E285="","",Z285-AA285)</f>
        <v/>
      </c>
      <c r="AC285" s="25">
        <f>IF(E285="","",IFERROR(IF(INDEX(tbl_Onsite[Qwilr Quote],MATCH(E285&amp;"",tbl_Onsite[Job Number],0))="","",INDEX(tbl_Onsite[Qwilr Quote],MATCH(E285&amp;"",tbl_Onsite[Job Number],0))),IFERROR(IF(IF(INDEX(tbl_Production[Current RMS No],MATCH(E285&amp;"",tbl_Production[Job Number],0))="",INDEX(tbl_Production[Qwilr Quote],MATCH(E285&amp;"",tbl_Production[Job Number],0)),INDEX(tbl_Production[Current RMS No],MATCH(E285&amp;"",tbl_Production[Job Number],0)))="","",IF(INDEX(tbl_Production[Current RMS No],MATCH(E285&amp;"",tbl_Production[Job Number],0))="",INDEX(tbl_Production[Qwilr Quote],MATCH(E285&amp;"",tbl_Production[Job Number],0)),INDEX(tbl_Production[Current RMS No],MATCH(E285&amp;"",tbl_Production[Job Number],0)))),IFERROR(IF(INDEX(tbl_Consulting[Qwilr Quote],MATCH(E285&amp;"",tbl_Consulting[Job Number],0))="","",INDEX(tbl_Consulting[Qwilr Quote],MATCH(E285&amp;"",tbl_Consulting[Job Number],0))),""))))</f>
        <v/>
      </c>
      <c r="AD285" s="25">
        <f>IF(AC285="","",IF(AND(LEFT(AC285,4)&lt;&gt;"http",IF(H285="Production",set_RMSBase,set_QwilrBase)=""),"",HYPERLINK(IF(LEFT(AC285,4)="http",AC285,IF(H285="Production",set_RMSBase,set_QwilrBase)&amp;AC285),"Open")))</f>
        <v/>
      </c>
      <c r="AE285" s="27">
        <f>IF(E285="","",IFERROR(INDEX(tbl_Production[Total Expense],MATCH(E285&amp;"",tbl_Production[Job Number],0)),IFERROR(INDEX(tbl_Consulting[Total Expense],MATCH(E285&amp;"",tbl_Consulting[Job Number],0)),0)))</f>
        <v/>
      </c>
      <c r="AF285" s="27">
        <f>IF(E285="","",Z285-N(AE285))</f>
        <v/>
      </c>
      <c r="AG285" s="29">
        <f>IFERROR(AF285/Z285,"")</f>
        <v/>
      </c>
      <c r="AH285" s="25">
        <f>IF(E285="","",IFERROR(IF(INDEX(tbl_Onsite[Notes],MATCH(E285&amp;"",tbl_Onsite[Job Number],0))="","",INDEX(tbl_Onsite[Notes],MATCH(E285&amp;"",tbl_Onsite[Job Number],0))),IFERROR(IF(INDEX(tbl_Production[Notes],MATCH(E285&amp;"",tbl_Production[Job Number],0))="","",INDEX(tbl_Production[Notes],MATCH(E285&amp;"",tbl_Production[Job Number],0))),IFERROR(IF(INDEX(tbl_Consulting[Notes],MATCH(E285&amp;"",tbl_Consulting[Job Number],0))="","",INDEX(tbl_Consulting[Notes],MATCH(E285&amp;"",tbl_Consulting[Job Number],0))),""))))</f>
        <v/>
      </c>
    </row>
    <row r="286" ht="15" customHeight="1">
      <c r="A286" s="22" t="n"/>
      <c r="B286" s="23">
        <f>IF(A286="","",EOMONTH(A286,0))</f>
        <v/>
      </c>
      <c r="C286" s="24" t="n"/>
      <c r="D286" s="24" t="n"/>
      <c r="E286" s="24" t="n"/>
      <c r="F286" s="25">
        <f>IF(E286="","",IF(COUNTIF(lst_Jobs,E286&amp;"")&gt;0,"OK","CHECK"))</f>
        <v/>
      </c>
      <c r="G286" s="24" t="n"/>
      <c r="H286" s="24" t="n"/>
      <c r="I286" s="24" t="n"/>
      <c r="J286" s="24" t="n"/>
      <c r="K286" s="24" t="n"/>
      <c r="L286" s="26" t="n"/>
      <c r="M286" s="27">
        <f>IF(L286="","",IF(K286="GST 10%",ROUND(L286*set_GSTRate,2),0))</f>
        <v/>
      </c>
      <c r="N286" s="27">
        <f>IF(L286="","",L286+M286)</f>
        <v/>
      </c>
      <c r="O286" s="24" t="n"/>
      <c r="P286" s="24" t="n"/>
      <c r="Q286" s="24" t="n"/>
      <c r="R286" s="22" t="n"/>
      <c r="S286" s="22" t="n"/>
      <c r="T286" s="24" t="n"/>
      <c r="U286" s="24" t="n"/>
      <c r="V286" s="25">
        <f>IF(COUNTA(A286,D286,C286,L286)=0,"",IF(A286="","No date - sits outside every month",IF(E286="","No job number",IF(F286="CHECK","Job number is not in the Xero job list",IF(I286="","No cost centre",IF(AND(P286="Y",C286=""),"Marked posted to Xero but has no invoice number",IF(AND(L286&lt;&gt;"",K286=""),"No tax code",IF(AND(L286&lt;&gt;"",O286=""),"No revenue GL code",""))))))))</f>
        <v/>
      </c>
      <c r="W286" s="25">
        <f>IF(E286="","",IF(COUNTIF(tbl_Onsite[Job Number],E286&amp;"")&gt;0,"Onsite",IF(COUNTIF(tbl_Production[Job Number],E286&amp;"")&gt;0,"Production",IF(COUNTIF(tbl_Consulting[Job Number],E286&amp;"")&gt;0,"Consulting","not set up yet"))))</f>
        <v/>
      </c>
      <c r="X286" s="25">
        <f>IF(E286="","",IFERROR(INDEX(lst_JobName,MATCH(E286&amp;"",lst_Jobs,0)),""))</f>
        <v/>
      </c>
      <c r="Y286" s="28">
        <f>IF(E286="","",COUNTIFS(tbl_Finance[Job Number],E286&amp;"",tbl_Finance[Ex GST],"&lt;&gt;"))</f>
        <v/>
      </c>
      <c r="Z286" s="27">
        <f>IF(E286="","",SUMIFS(tbl_Finance[Ex GST],tbl_Finance[Job Number],E286&amp;""))</f>
        <v/>
      </c>
      <c r="AA286" s="27">
        <f>IF(E286="","",SUMIFS(tbl_Finance[Ex GST],tbl_Finance[Job Number],E286&amp;"",tbl_Finance[Xero Invoice No],"&lt;&gt;"))</f>
        <v/>
      </c>
      <c r="AB286" s="27">
        <f>IF(E286="","",Z286-AA286)</f>
        <v/>
      </c>
      <c r="AC286" s="25">
        <f>IF(E286="","",IFERROR(IF(INDEX(tbl_Onsite[Qwilr Quote],MATCH(E286&amp;"",tbl_Onsite[Job Number],0))="","",INDEX(tbl_Onsite[Qwilr Quote],MATCH(E286&amp;"",tbl_Onsite[Job Number],0))),IFERROR(IF(IF(INDEX(tbl_Production[Current RMS No],MATCH(E286&amp;"",tbl_Production[Job Number],0))="",INDEX(tbl_Production[Qwilr Quote],MATCH(E286&amp;"",tbl_Production[Job Number],0)),INDEX(tbl_Production[Current RMS No],MATCH(E286&amp;"",tbl_Production[Job Number],0)))="","",IF(INDEX(tbl_Production[Current RMS No],MATCH(E286&amp;"",tbl_Production[Job Number],0))="",INDEX(tbl_Production[Qwilr Quote],MATCH(E286&amp;"",tbl_Production[Job Number],0)),INDEX(tbl_Production[Current RMS No],MATCH(E286&amp;"",tbl_Production[Job Number],0)))),IFERROR(IF(INDEX(tbl_Consulting[Qwilr Quote],MATCH(E286&amp;"",tbl_Consulting[Job Number],0))="","",INDEX(tbl_Consulting[Qwilr Quote],MATCH(E286&amp;"",tbl_Consulting[Job Number],0))),""))))</f>
        <v/>
      </c>
      <c r="AD286" s="25">
        <f>IF(AC286="","",IF(AND(LEFT(AC286,4)&lt;&gt;"http",IF(H286="Production",set_RMSBase,set_QwilrBase)=""),"",HYPERLINK(IF(LEFT(AC286,4)="http",AC286,IF(H286="Production",set_RMSBase,set_QwilrBase)&amp;AC286),"Open")))</f>
        <v/>
      </c>
      <c r="AE286" s="27">
        <f>IF(E286="","",IFERROR(INDEX(tbl_Production[Total Expense],MATCH(E286&amp;"",tbl_Production[Job Number],0)),IFERROR(INDEX(tbl_Consulting[Total Expense],MATCH(E286&amp;"",tbl_Consulting[Job Number],0)),0)))</f>
        <v/>
      </c>
      <c r="AF286" s="27">
        <f>IF(E286="","",Z286-N(AE286))</f>
        <v/>
      </c>
      <c r="AG286" s="29">
        <f>IFERROR(AF286/Z286,"")</f>
        <v/>
      </c>
      <c r="AH286" s="25">
        <f>IF(E286="","",IFERROR(IF(INDEX(tbl_Onsite[Notes],MATCH(E286&amp;"",tbl_Onsite[Job Number],0))="","",INDEX(tbl_Onsite[Notes],MATCH(E286&amp;"",tbl_Onsite[Job Number],0))),IFERROR(IF(INDEX(tbl_Production[Notes],MATCH(E286&amp;"",tbl_Production[Job Number],0))="","",INDEX(tbl_Production[Notes],MATCH(E286&amp;"",tbl_Production[Job Number],0))),IFERROR(IF(INDEX(tbl_Consulting[Notes],MATCH(E286&amp;"",tbl_Consulting[Job Number],0))="","",INDEX(tbl_Consulting[Notes],MATCH(E286&amp;"",tbl_Consulting[Job Number],0))),""))))</f>
        <v/>
      </c>
    </row>
    <row r="287" ht="15" customHeight="1">
      <c r="A287" s="22" t="n"/>
      <c r="B287" s="23">
        <f>IF(A287="","",EOMONTH(A287,0))</f>
        <v/>
      </c>
      <c r="C287" s="24" t="n"/>
      <c r="D287" s="24" t="n"/>
      <c r="E287" s="24" t="n"/>
      <c r="F287" s="25">
        <f>IF(E287="","",IF(COUNTIF(lst_Jobs,E287&amp;"")&gt;0,"OK","CHECK"))</f>
        <v/>
      </c>
      <c r="G287" s="24" t="n"/>
      <c r="H287" s="24" t="n"/>
      <c r="I287" s="24" t="n"/>
      <c r="J287" s="24" t="n"/>
      <c r="K287" s="24" t="n"/>
      <c r="L287" s="26" t="n"/>
      <c r="M287" s="27">
        <f>IF(L287="","",IF(K287="GST 10%",ROUND(L287*set_GSTRate,2),0))</f>
        <v/>
      </c>
      <c r="N287" s="27">
        <f>IF(L287="","",L287+M287)</f>
        <v/>
      </c>
      <c r="O287" s="24" t="n"/>
      <c r="P287" s="24" t="n"/>
      <c r="Q287" s="24" t="n"/>
      <c r="R287" s="22" t="n"/>
      <c r="S287" s="22" t="n"/>
      <c r="T287" s="24" t="n"/>
      <c r="U287" s="24" t="n"/>
      <c r="V287" s="25">
        <f>IF(COUNTA(A287,D287,C287,L287)=0,"",IF(A287="","No date - sits outside every month",IF(E287="","No job number",IF(F287="CHECK","Job number is not in the Xero job list",IF(I287="","No cost centre",IF(AND(P287="Y",C287=""),"Marked posted to Xero but has no invoice number",IF(AND(L287&lt;&gt;"",K287=""),"No tax code",IF(AND(L287&lt;&gt;"",O287=""),"No revenue GL code",""))))))))</f>
        <v/>
      </c>
      <c r="W287" s="25">
        <f>IF(E287="","",IF(COUNTIF(tbl_Onsite[Job Number],E287&amp;"")&gt;0,"Onsite",IF(COUNTIF(tbl_Production[Job Number],E287&amp;"")&gt;0,"Production",IF(COUNTIF(tbl_Consulting[Job Number],E287&amp;"")&gt;0,"Consulting","not set up yet"))))</f>
        <v/>
      </c>
      <c r="X287" s="25">
        <f>IF(E287="","",IFERROR(INDEX(lst_JobName,MATCH(E287&amp;"",lst_Jobs,0)),""))</f>
        <v/>
      </c>
      <c r="Y287" s="28">
        <f>IF(E287="","",COUNTIFS(tbl_Finance[Job Number],E287&amp;"",tbl_Finance[Ex GST],"&lt;&gt;"))</f>
        <v/>
      </c>
      <c r="Z287" s="27">
        <f>IF(E287="","",SUMIFS(tbl_Finance[Ex GST],tbl_Finance[Job Number],E287&amp;""))</f>
        <v/>
      </c>
      <c r="AA287" s="27">
        <f>IF(E287="","",SUMIFS(tbl_Finance[Ex GST],tbl_Finance[Job Number],E287&amp;"",tbl_Finance[Xero Invoice No],"&lt;&gt;"))</f>
        <v/>
      </c>
      <c r="AB287" s="27">
        <f>IF(E287="","",Z287-AA287)</f>
        <v/>
      </c>
      <c r="AC287" s="25">
        <f>IF(E287="","",IFERROR(IF(INDEX(tbl_Onsite[Qwilr Quote],MATCH(E287&amp;"",tbl_Onsite[Job Number],0))="","",INDEX(tbl_Onsite[Qwilr Quote],MATCH(E287&amp;"",tbl_Onsite[Job Number],0))),IFERROR(IF(IF(INDEX(tbl_Production[Current RMS No],MATCH(E287&amp;"",tbl_Production[Job Number],0))="",INDEX(tbl_Production[Qwilr Quote],MATCH(E287&amp;"",tbl_Production[Job Number],0)),INDEX(tbl_Production[Current RMS No],MATCH(E287&amp;"",tbl_Production[Job Number],0)))="","",IF(INDEX(tbl_Production[Current RMS No],MATCH(E287&amp;"",tbl_Production[Job Number],0))="",INDEX(tbl_Production[Qwilr Quote],MATCH(E287&amp;"",tbl_Production[Job Number],0)),INDEX(tbl_Production[Current RMS No],MATCH(E287&amp;"",tbl_Production[Job Number],0)))),IFERROR(IF(INDEX(tbl_Consulting[Qwilr Quote],MATCH(E287&amp;"",tbl_Consulting[Job Number],0))="","",INDEX(tbl_Consulting[Qwilr Quote],MATCH(E287&amp;"",tbl_Consulting[Job Number],0))),""))))</f>
        <v/>
      </c>
      <c r="AD287" s="25">
        <f>IF(AC287="","",IF(AND(LEFT(AC287,4)&lt;&gt;"http",IF(H287="Production",set_RMSBase,set_QwilrBase)=""),"",HYPERLINK(IF(LEFT(AC287,4)="http",AC287,IF(H287="Production",set_RMSBase,set_QwilrBase)&amp;AC287),"Open")))</f>
        <v/>
      </c>
      <c r="AE287" s="27">
        <f>IF(E287="","",IFERROR(INDEX(tbl_Production[Total Expense],MATCH(E287&amp;"",tbl_Production[Job Number],0)),IFERROR(INDEX(tbl_Consulting[Total Expense],MATCH(E287&amp;"",tbl_Consulting[Job Number],0)),0)))</f>
        <v/>
      </c>
      <c r="AF287" s="27">
        <f>IF(E287="","",Z287-N(AE287))</f>
        <v/>
      </c>
      <c r="AG287" s="29">
        <f>IFERROR(AF287/Z287,"")</f>
        <v/>
      </c>
      <c r="AH287" s="25">
        <f>IF(E287="","",IFERROR(IF(INDEX(tbl_Onsite[Notes],MATCH(E287&amp;"",tbl_Onsite[Job Number],0))="","",INDEX(tbl_Onsite[Notes],MATCH(E287&amp;"",tbl_Onsite[Job Number],0))),IFERROR(IF(INDEX(tbl_Production[Notes],MATCH(E287&amp;"",tbl_Production[Job Number],0))="","",INDEX(tbl_Production[Notes],MATCH(E287&amp;"",tbl_Production[Job Number],0))),IFERROR(IF(INDEX(tbl_Consulting[Notes],MATCH(E287&amp;"",tbl_Consulting[Job Number],0))="","",INDEX(tbl_Consulting[Notes],MATCH(E287&amp;"",tbl_Consulting[Job Number],0))),""))))</f>
        <v/>
      </c>
    </row>
    <row r="288" ht="15" customHeight="1">
      <c r="A288" s="22" t="n"/>
      <c r="B288" s="23">
        <f>IF(A288="","",EOMONTH(A288,0))</f>
        <v/>
      </c>
      <c r="C288" s="24" t="n"/>
      <c r="D288" s="24" t="n"/>
      <c r="E288" s="24" t="n"/>
      <c r="F288" s="25">
        <f>IF(E288="","",IF(COUNTIF(lst_Jobs,E288&amp;"")&gt;0,"OK","CHECK"))</f>
        <v/>
      </c>
      <c r="G288" s="24" t="n"/>
      <c r="H288" s="24" t="n"/>
      <c r="I288" s="24" t="n"/>
      <c r="J288" s="24" t="n"/>
      <c r="K288" s="24" t="n"/>
      <c r="L288" s="26" t="n"/>
      <c r="M288" s="27">
        <f>IF(L288="","",IF(K288="GST 10%",ROUND(L288*set_GSTRate,2),0))</f>
        <v/>
      </c>
      <c r="N288" s="27">
        <f>IF(L288="","",L288+M288)</f>
        <v/>
      </c>
      <c r="O288" s="24" t="n"/>
      <c r="P288" s="24" t="n"/>
      <c r="Q288" s="24" t="n"/>
      <c r="R288" s="22" t="n"/>
      <c r="S288" s="22" t="n"/>
      <c r="T288" s="24" t="n"/>
      <c r="U288" s="24" t="n"/>
      <c r="V288" s="25">
        <f>IF(COUNTA(A288,D288,C288,L288)=0,"",IF(A288="","No date - sits outside every month",IF(E288="","No job number",IF(F288="CHECK","Job number is not in the Xero job list",IF(I288="","No cost centre",IF(AND(P288="Y",C288=""),"Marked posted to Xero but has no invoice number",IF(AND(L288&lt;&gt;"",K288=""),"No tax code",IF(AND(L288&lt;&gt;"",O288=""),"No revenue GL code",""))))))))</f>
        <v/>
      </c>
      <c r="W288" s="25">
        <f>IF(E288="","",IF(COUNTIF(tbl_Onsite[Job Number],E288&amp;"")&gt;0,"Onsite",IF(COUNTIF(tbl_Production[Job Number],E288&amp;"")&gt;0,"Production",IF(COUNTIF(tbl_Consulting[Job Number],E288&amp;"")&gt;0,"Consulting","not set up yet"))))</f>
        <v/>
      </c>
      <c r="X288" s="25">
        <f>IF(E288="","",IFERROR(INDEX(lst_JobName,MATCH(E288&amp;"",lst_Jobs,0)),""))</f>
        <v/>
      </c>
      <c r="Y288" s="28">
        <f>IF(E288="","",COUNTIFS(tbl_Finance[Job Number],E288&amp;"",tbl_Finance[Ex GST],"&lt;&gt;"))</f>
        <v/>
      </c>
      <c r="Z288" s="27">
        <f>IF(E288="","",SUMIFS(tbl_Finance[Ex GST],tbl_Finance[Job Number],E288&amp;""))</f>
        <v/>
      </c>
      <c r="AA288" s="27">
        <f>IF(E288="","",SUMIFS(tbl_Finance[Ex GST],tbl_Finance[Job Number],E288&amp;"",tbl_Finance[Xero Invoice No],"&lt;&gt;"))</f>
        <v/>
      </c>
      <c r="AB288" s="27">
        <f>IF(E288="","",Z288-AA288)</f>
        <v/>
      </c>
      <c r="AC288" s="25">
        <f>IF(E288="","",IFERROR(IF(INDEX(tbl_Onsite[Qwilr Quote],MATCH(E288&amp;"",tbl_Onsite[Job Number],0))="","",INDEX(tbl_Onsite[Qwilr Quote],MATCH(E288&amp;"",tbl_Onsite[Job Number],0))),IFERROR(IF(IF(INDEX(tbl_Production[Current RMS No],MATCH(E288&amp;"",tbl_Production[Job Number],0))="",INDEX(tbl_Production[Qwilr Quote],MATCH(E288&amp;"",tbl_Production[Job Number],0)),INDEX(tbl_Production[Current RMS No],MATCH(E288&amp;"",tbl_Production[Job Number],0)))="","",IF(INDEX(tbl_Production[Current RMS No],MATCH(E288&amp;"",tbl_Production[Job Number],0))="",INDEX(tbl_Production[Qwilr Quote],MATCH(E288&amp;"",tbl_Production[Job Number],0)),INDEX(tbl_Production[Current RMS No],MATCH(E288&amp;"",tbl_Production[Job Number],0)))),IFERROR(IF(INDEX(tbl_Consulting[Qwilr Quote],MATCH(E288&amp;"",tbl_Consulting[Job Number],0))="","",INDEX(tbl_Consulting[Qwilr Quote],MATCH(E288&amp;"",tbl_Consulting[Job Number],0))),""))))</f>
        <v/>
      </c>
      <c r="AD288" s="25">
        <f>IF(AC288="","",IF(AND(LEFT(AC288,4)&lt;&gt;"http",IF(H288="Production",set_RMSBase,set_QwilrBase)=""),"",HYPERLINK(IF(LEFT(AC288,4)="http",AC288,IF(H288="Production",set_RMSBase,set_QwilrBase)&amp;AC288),"Open")))</f>
        <v/>
      </c>
      <c r="AE288" s="27">
        <f>IF(E288="","",IFERROR(INDEX(tbl_Production[Total Expense],MATCH(E288&amp;"",tbl_Production[Job Number],0)),IFERROR(INDEX(tbl_Consulting[Total Expense],MATCH(E288&amp;"",tbl_Consulting[Job Number],0)),0)))</f>
        <v/>
      </c>
      <c r="AF288" s="27">
        <f>IF(E288="","",Z288-N(AE288))</f>
        <v/>
      </c>
      <c r="AG288" s="29">
        <f>IFERROR(AF288/Z288,"")</f>
        <v/>
      </c>
      <c r="AH288" s="25">
        <f>IF(E288="","",IFERROR(IF(INDEX(tbl_Onsite[Notes],MATCH(E288&amp;"",tbl_Onsite[Job Number],0))="","",INDEX(tbl_Onsite[Notes],MATCH(E288&amp;"",tbl_Onsite[Job Number],0))),IFERROR(IF(INDEX(tbl_Production[Notes],MATCH(E288&amp;"",tbl_Production[Job Number],0))="","",INDEX(tbl_Production[Notes],MATCH(E288&amp;"",tbl_Production[Job Number],0))),IFERROR(IF(INDEX(tbl_Consulting[Notes],MATCH(E288&amp;"",tbl_Consulting[Job Number],0))="","",INDEX(tbl_Consulting[Notes],MATCH(E288&amp;"",tbl_Consulting[Job Number],0))),""))))</f>
        <v/>
      </c>
    </row>
    <row r="289" ht="15" customHeight="1">
      <c r="A289" s="22" t="n"/>
      <c r="B289" s="23">
        <f>IF(A289="","",EOMONTH(A289,0))</f>
        <v/>
      </c>
      <c r="C289" s="24" t="n"/>
      <c r="D289" s="24" t="n"/>
      <c r="E289" s="24" t="n"/>
      <c r="F289" s="25">
        <f>IF(E289="","",IF(COUNTIF(lst_Jobs,E289&amp;"")&gt;0,"OK","CHECK"))</f>
        <v/>
      </c>
      <c r="G289" s="24" t="n"/>
      <c r="H289" s="24" t="n"/>
      <c r="I289" s="24" t="n"/>
      <c r="J289" s="24" t="n"/>
      <c r="K289" s="24" t="n"/>
      <c r="L289" s="26" t="n"/>
      <c r="M289" s="27">
        <f>IF(L289="","",IF(K289="GST 10%",ROUND(L289*set_GSTRate,2),0))</f>
        <v/>
      </c>
      <c r="N289" s="27">
        <f>IF(L289="","",L289+M289)</f>
        <v/>
      </c>
      <c r="O289" s="24" t="n"/>
      <c r="P289" s="24" t="n"/>
      <c r="Q289" s="24" t="n"/>
      <c r="R289" s="22" t="n"/>
      <c r="S289" s="22" t="n"/>
      <c r="T289" s="24" t="n"/>
      <c r="U289" s="24" t="n"/>
      <c r="V289" s="25">
        <f>IF(COUNTA(A289,D289,C289,L289)=0,"",IF(A289="","No date - sits outside every month",IF(E289="","No job number",IF(F289="CHECK","Job number is not in the Xero job list",IF(I289="","No cost centre",IF(AND(P289="Y",C289=""),"Marked posted to Xero but has no invoice number",IF(AND(L289&lt;&gt;"",K289=""),"No tax code",IF(AND(L289&lt;&gt;"",O289=""),"No revenue GL code",""))))))))</f>
        <v/>
      </c>
      <c r="W289" s="25">
        <f>IF(E289="","",IF(COUNTIF(tbl_Onsite[Job Number],E289&amp;"")&gt;0,"Onsite",IF(COUNTIF(tbl_Production[Job Number],E289&amp;"")&gt;0,"Production",IF(COUNTIF(tbl_Consulting[Job Number],E289&amp;"")&gt;0,"Consulting","not set up yet"))))</f>
        <v/>
      </c>
      <c r="X289" s="25">
        <f>IF(E289="","",IFERROR(INDEX(lst_JobName,MATCH(E289&amp;"",lst_Jobs,0)),""))</f>
        <v/>
      </c>
      <c r="Y289" s="28">
        <f>IF(E289="","",COUNTIFS(tbl_Finance[Job Number],E289&amp;"",tbl_Finance[Ex GST],"&lt;&gt;"))</f>
        <v/>
      </c>
      <c r="Z289" s="27">
        <f>IF(E289="","",SUMIFS(tbl_Finance[Ex GST],tbl_Finance[Job Number],E289&amp;""))</f>
        <v/>
      </c>
      <c r="AA289" s="27">
        <f>IF(E289="","",SUMIFS(tbl_Finance[Ex GST],tbl_Finance[Job Number],E289&amp;"",tbl_Finance[Xero Invoice No],"&lt;&gt;"))</f>
        <v/>
      </c>
      <c r="AB289" s="27">
        <f>IF(E289="","",Z289-AA289)</f>
        <v/>
      </c>
      <c r="AC289" s="25">
        <f>IF(E289="","",IFERROR(IF(INDEX(tbl_Onsite[Qwilr Quote],MATCH(E289&amp;"",tbl_Onsite[Job Number],0))="","",INDEX(tbl_Onsite[Qwilr Quote],MATCH(E289&amp;"",tbl_Onsite[Job Number],0))),IFERROR(IF(IF(INDEX(tbl_Production[Current RMS No],MATCH(E289&amp;"",tbl_Production[Job Number],0))="",INDEX(tbl_Production[Qwilr Quote],MATCH(E289&amp;"",tbl_Production[Job Number],0)),INDEX(tbl_Production[Current RMS No],MATCH(E289&amp;"",tbl_Production[Job Number],0)))="","",IF(INDEX(tbl_Production[Current RMS No],MATCH(E289&amp;"",tbl_Production[Job Number],0))="",INDEX(tbl_Production[Qwilr Quote],MATCH(E289&amp;"",tbl_Production[Job Number],0)),INDEX(tbl_Production[Current RMS No],MATCH(E289&amp;"",tbl_Production[Job Number],0)))),IFERROR(IF(INDEX(tbl_Consulting[Qwilr Quote],MATCH(E289&amp;"",tbl_Consulting[Job Number],0))="","",INDEX(tbl_Consulting[Qwilr Quote],MATCH(E289&amp;"",tbl_Consulting[Job Number],0))),""))))</f>
        <v/>
      </c>
      <c r="AD289" s="25">
        <f>IF(AC289="","",IF(AND(LEFT(AC289,4)&lt;&gt;"http",IF(H289="Production",set_RMSBase,set_QwilrBase)=""),"",HYPERLINK(IF(LEFT(AC289,4)="http",AC289,IF(H289="Production",set_RMSBase,set_QwilrBase)&amp;AC289),"Open")))</f>
        <v/>
      </c>
      <c r="AE289" s="27">
        <f>IF(E289="","",IFERROR(INDEX(tbl_Production[Total Expense],MATCH(E289&amp;"",tbl_Production[Job Number],0)),IFERROR(INDEX(tbl_Consulting[Total Expense],MATCH(E289&amp;"",tbl_Consulting[Job Number],0)),0)))</f>
        <v/>
      </c>
      <c r="AF289" s="27">
        <f>IF(E289="","",Z289-N(AE289))</f>
        <v/>
      </c>
      <c r="AG289" s="29">
        <f>IFERROR(AF289/Z289,"")</f>
        <v/>
      </c>
      <c r="AH289" s="25">
        <f>IF(E289="","",IFERROR(IF(INDEX(tbl_Onsite[Notes],MATCH(E289&amp;"",tbl_Onsite[Job Number],0))="","",INDEX(tbl_Onsite[Notes],MATCH(E289&amp;"",tbl_Onsite[Job Number],0))),IFERROR(IF(INDEX(tbl_Production[Notes],MATCH(E289&amp;"",tbl_Production[Job Number],0))="","",INDEX(tbl_Production[Notes],MATCH(E289&amp;"",tbl_Production[Job Number],0))),IFERROR(IF(INDEX(tbl_Consulting[Notes],MATCH(E289&amp;"",tbl_Consulting[Job Number],0))="","",INDEX(tbl_Consulting[Notes],MATCH(E289&amp;"",tbl_Consulting[Job Number],0))),""))))</f>
        <v/>
      </c>
    </row>
    <row r="290" ht="15" customHeight="1">
      <c r="A290" s="22" t="n"/>
      <c r="B290" s="23">
        <f>IF(A290="","",EOMONTH(A290,0))</f>
        <v/>
      </c>
      <c r="C290" s="24" t="n"/>
      <c r="D290" s="24" t="n"/>
      <c r="E290" s="24" t="n"/>
      <c r="F290" s="25">
        <f>IF(E290="","",IF(COUNTIF(lst_Jobs,E290&amp;"")&gt;0,"OK","CHECK"))</f>
        <v/>
      </c>
      <c r="G290" s="24" t="n"/>
      <c r="H290" s="24" t="n"/>
      <c r="I290" s="24" t="n"/>
      <c r="J290" s="24" t="n"/>
      <c r="K290" s="24" t="n"/>
      <c r="L290" s="26" t="n"/>
      <c r="M290" s="27">
        <f>IF(L290="","",IF(K290="GST 10%",ROUND(L290*set_GSTRate,2),0))</f>
        <v/>
      </c>
      <c r="N290" s="27">
        <f>IF(L290="","",L290+M290)</f>
        <v/>
      </c>
      <c r="O290" s="24" t="n"/>
      <c r="P290" s="24" t="n"/>
      <c r="Q290" s="24" t="n"/>
      <c r="R290" s="22" t="n"/>
      <c r="S290" s="22" t="n"/>
      <c r="T290" s="24" t="n"/>
      <c r="U290" s="24" t="n"/>
      <c r="V290" s="25">
        <f>IF(COUNTA(A290,D290,C290,L290)=0,"",IF(A290="","No date - sits outside every month",IF(E290="","No job number",IF(F290="CHECK","Job number is not in the Xero job list",IF(I290="","No cost centre",IF(AND(P290="Y",C290=""),"Marked posted to Xero but has no invoice number",IF(AND(L290&lt;&gt;"",K290=""),"No tax code",IF(AND(L290&lt;&gt;"",O290=""),"No revenue GL code",""))))))))</f>
        <v/>
      </c>
      <c r="W290" s="25">
        <f>IF(E290="","",IF(COUNTIF(tbl_Onsite[Job Number],E290&amp;"")&gt;0,"Onsite",IF(COUNTIF(tbl_Production[Job Number],E290&amp;"")&gt;0,"Production",IF(COUNTIF(tbl_Consulting[Job Number],E290&amp;"")&gt;0,"Consulting","not set up yet"))))</f>
        <v/>
      </c>
      <c r="X290" s="25">
        <f>IF(E290="","",IFERROR(INDEX(lst_JobName,MATCH(E290&amp;"",lst_Jobs,0)),""))</f>
        <v/>
      </c>
      <c r="Y290" s="28">
        <f>IF(E290="","",COUNTIFS(tbl_Finance[Job Number],E290&amp;"",tbl_Finance[Ex GST],"&lt;&gt;"))</f>
        <v/>
      </c>
      <c r="Z290" s="27">
        <f>IF(E290="","",SUMIFS(tbl_Finance[Ex GST],tbl_Finance[Job Number],E290&amp;""))</f>
        <v/>
      </c>
      <c r="AA290" s="27">
        <f>IF(E290="","",SUMIFS(tbl_Finance[Ex GST],tbl_Finance[Job Number],E290&amp;"",tbl_Finance[Xero Invoice No],"&lt;&gt;"))</f>
        <v/>
      </c>
      <c r="AB290" s="27">
        <f>IF(E290="","",Z290-AA290)</f>
        <v/>
      </c>
      <c r="AC290" s="25">
        <f>IF(E290="","",IFERROR(IF(INDEX(tbl_Onsite[Qwilr Quote],MATCH(E290&amp;"",tbl_Onsite[Job Number],0))="","",INDEX(tbl_Onsite[Qwilr Quote],MATCH(E290&amp;"",tbl_Onsite[Job Number],0))),IFERROR(IF(IF(INDEX(tbl_Production[Current RMS No],MATCH(E290&amp;"",tbl_Production[Job Number],0))="",INDEX(tbl_Production[Qwilr Quote],MATCH(E290&amp;"",tbl_Production[Job Number],0)),INDEX(tbl_Production[Current RMS No],MATCH(E290&amp;"",tbl_Production[Job Number],0)))="","",IF(INDEX(tbl_Production[Current RMS No],MATCH(E290&amp;"",tbl_Production[Job Number],0))="",INDEX(tbl_Production[Qwilr Quote],MATCH(E290&amp;"",tbl_Production[Job Number],0)),INDEX(tbl_Production[Current RMS No],MATCH(E290&amp;"",tbl_Production[Job Number],0)))),IFERROR(IF(INDEX(tbl_Consulting[Qwilr Quote],MATCH(E290&amp;"",tbl_Consulting[Job Number],0))="","",INDEX(tbl_Consulting[Qwilr Quote],MATCH(E290&amp;"",tbl_Consulting[Job Number],0))),""))))</f>
        <v/>
      </c>
      <c r="AD290" s="25">
        <f>IF(AC290="","",IF(AND(LEFT(AC290,4)&lt;&gt;"http",IF(H290="Production",set_RMSBase,set_QwilrBase)=""),"",HYPERLINK(IF(LEFT(AC290,4)="http",AC290,IF(H290="Production",set_RMSBase,set_QwilrBase)&amp;AC290),"Open")))</f>
        <v/>
      </c>
      <c r="AE290" s="27">
        <f>IF(E290="","",IFERROR(INDEX(tbl_Production[Total Expense],MATCH(E290&amp;"",tbl_Production[Job Number],0)),IFERROR(INDEX(tbl_Consulting[Total Expense],MATCH(E290&amp;"",tbl_Consulting[Job Number],0)),0)))</f>
        <v/>
      </c>
      <c r="AF290" s="27">
        <f>IF(E290="","",Z290-N(AE290))</f>
        <v/>
      </c>
      <c r="AG290" s="29">
        <f>IFERROR(AF290/Z290,"")</f>
        <v/>
      </c>
      <c r="AH290" s="25">
        <f>IF(E290="","",IFERROR(IF(INDEX(tbl_Onsite[Notes],MATCH(E290&amp;"",tbl_Onsite[Job Number],0))="","",INDEX(tbl_Onsite[Notes],MATCH(E290&amp;"",tbl_Onsite[Job Number],0))),IFERROR(IF(INDEX(tbl_Production[Notes],MATCH(E290&amp;"",tbl_Production[Job Number],0))="","",INDEX(tbl_Production[Notes],MATCH(E290&amp;"",tbl_Production[Job Number],0))),IFERROR(IF(INDEX(tbl_Consulting[Notes],MATCH(E290&amp;"",tbl_Consulting[Job Number],0))="","",INDEX(tbl_Consulting[Notes],MATCH(E290&amp;"",tbl_Consulting[Job Number],0))),""))))</f>
        <v/>
      </c>
    </row>
    <row r="291" ht="15" customHeight="1">
      <c r="A291" s="22" t="n"/>
      <c r="B291" s="23">
        <f>IF(A291="","",EOMONTH(A291,0))</f>
        <v/>
      </c>
      <c r="C291" s="24" t="n"/>
      <c r="D291" s="24" t="n"/>
      <c r="E291" s="24" t="n"/>
      <c r="F291" s="25">
        <f>IF(E291="","",IF(COUNTIF(lst_Jobs,E291&amp;"")&gt;0,"OK","CHECK"))</f>
        <v/>
      </c>
      <c r="G291" s="24" t="n"/>
      <c r="H291" s="24" t="n"/>
      <c r="I291" s="24" t="n"/>
      <c r="J291" s="24" t="n"/>
      <c r="K291" s="24" t="n"/>
      <c r="L291" s="26" t="n"/>
      <c r="M291" s="27">
        <f>IF(L291="","",IF(K291="GST 10%",ROUND(L291*set_GSTRate,2),0))</f>
        <v/>
      </c>
      <c r="N291" s="27">
        <f>IF(L291="","",L291+M291)</f>
        <v/>
      </c>
      <c r="O291" s="24" t="n"/>
      <c r="P291" s="24" t="n"/>
      <c r="Q291" s="24" t="n"/>
      <c r="R291" s="22" t="n"/>
      <c r="S291" s="22" t="n"/>
      <c r="T291" s="24" t="n"/>
      <c r="U291" s="24" t="n"/>
      <c r="V291" s="25">
        <f>IF(COUNTA(A291,D291,C291,L291)=0,"",IF(A291="","No date - sits outside every month",IF(E291="","No job number",IF(F291="CHECK","Job number is not in the Xero job list",IF(I291="","No cost centre",IF(AND(P291="Y",C291=""),"Marked posted to Xero but has no invoice number",IF(AND(L291&lt;&gt;"",K291=""),"No tax code",IF(AND(L291&lt;&gt;"",O291=""),"No revenue GL code",""))))))))</f>
        <v/>
      </c>
      <c r="W291" s="25">
        <f>IF(E291="","",IF(COUNTIF(tbl_Onsite[Job Number],E291&amp;"")&gt;0,"Onsite",IF(COUNTIF(tbl_Production[Job Number],E291&amp;"")&gt;0,"Production",IF(COUNTIF(tbl_Consulting[Job Number],E291&amp;"")&gt;0,"Consulting","not set up yet"))))</f>
        <v/>
      </c>
      <c r="X291" s="25">
        <f>IF(E291="","",IFERROR(INDEX(lst_JobName,MATCH(E291&amp;"",lst_Jobs,0)),""))</f>
        <v/>
      </c>
      <c r="Y291" s="28">
        <f>IF(E291="","",COUNTIFS(tbl_Finance[Job Number],E291&amp;"",tbl_Finance[Ex GST],"&lt;&gt;"))</f>
        <v/>
      </c>
      <c r="Z291" s="27">
        <f>IF(E291="","",SUMIFS(tbl_Finance[Ex GST],tbl_Finance[Job Number],E291&amp;""))</f>
        <v/>
      </c>
      <c r="AA291" s="27">
        <f>IF(E291="","",SUMIFS(tbl_Finance[Ex GST],tbl_Finance[Job Number],E291&amp;"",tbl_Finance[Xero Invoice No],"&lt;&gt;"))</f>
        <v/>
      </c>
      <c r="AB291" s="27">
        <f>IF(E291="","",Z291-AA291)</f>
        <v/>
      </c>
      <c r="AC291" s="25">
        <f>IF(E291="","",IFERROR(IF(INDEX(tbl_Onsite[Qwilr Quote],MATCH(E291&amp;"",tbl_Onsite[Job Number],0))="","",INDEX(tbl_Onsite[Qwilr Quote],MATCH(E291&amp;"",tbl_Onsite[Job Number],0))),IFERROR(IF(IF(INDEX(tbl_Production[Current RMS No],MATCH(E291&amp;"",tbl_Production[Job Number],0))="",INDEX(tbl_Production[Qwilr Quote],MATCH(E291&amp;"",tbl_Production[Job Number],0)),INDEX(tbl_Production[Current RMS No],MATCH(E291&amp;"",tbl_Production[Job Number],0)))="","",IF(INDEX(tbl_Production[Current RMS No],MATCH(E291&amp;"",tbl_Production[Job Number],0))="",INDEX(tbl_Production[Qwilr Quote],MATCH(E291&amp;"",tbl_Production[Job Number],0)),INDEX(tbl_Production[Current RMS No],MATCH(E291&amp;"",tbl_Production[Job Number],0)))),IFERROR(IF(INDEX(tbl_Consulting[Qwilr Quote],MATCH(E291&amp;"",tbl_Consulting[Job Number],0))="","",INDEX(tbl_Consulting[Qwilr Quote],MATCH(E291&amp;"",tbl_Consulting[Job Number],0))),""))))</f>
        <v/>
      </c>
      <c r="AD291" s="25">
        <f>IF(AC291="","",IF(AND(LEFT(AC291,4)&lt;&gt;"http",IF(H291="Production",set_RMSBase,set_QwilrBase)=""),"",HYPERLINK(IF(LEFT(AC291,4)="http",AC291,IF(H291="Production",set_RMSBase,set_QwilrBase)&amp;AC291),"Open")))</f>
        <v/>
      </c>
      <c r="AE291" s="27">
        <f>IF(E291="","",IFERROR(INDEX(tbl_Production[Total Expense],MATCH(E291&amp;"",tbl_Production[Job Number],0)),IFERROR(INDEX(tbl_Consulting[Total Expense],MATCH(E291&amp;"",tbl_Consulting[Job Number],0)),0)))</f>
        <v/>
      </c>
      <c r="AF291" s="27">
        <f>IF(E291="","",Z291-N(AE291))</f>
        <v/>
      </c>
      <c r="AG291" s="29">
        <f>IFERROR(AF291/Z291,"")</f>
        <v/>
      </c>
      <c r="AH291" s="25">
        <f>IF(E291="","",IFERROR(IF(INDEX(tbl_Onsite[Notes],MATCH(E291&amp;"",tbl_Onsite[Job Number],0))="","",INDEX(tbl_Onsite[Notes],MATCH(E291&amp;"",tbl_Onsite[Job Number],0))),IFERROR(IF(INDEX(tbl_Production[Notes],MATCH(E291&amp;"",tbl_Production[Job Number],0))="","",INDEX(tbl_Production[Notes],MATCH(E291&amp;"",tbl_Production[Job Number],0))),IFERROR(IF(INDEX(tbl_Consulting[Notes],MATCH(E291&amp;"",tbl_Consulting[Job Number],0))="","",INDEX(tbl_Consulting[Notes],MATCH(E291&amp;"",tbl_Consulting[Job Number],0))),""))))</f>
        <v/>
      </c>
    </row>
    <row r="292" ht="15" customHeight="1">
      <c r="A292" s="22" t="n"/>
      <c r="B292" s="23">
        <f>IF(A292="","",EOMONTH(A292,0))</f>
        <v/>
      </c>
      <c r="C292" s="24" t="n"/>
      <c r="D292" s="24" t="n"/>
      <c r="E292" s="24" t="n"/>
      <c r="F292" s="25">
        <f>IF(E292="","",IF(COUNTIF(lst_Jobs,E292&amp;"")&gt;0,"OK","CHECK"))</f>
        <v/>
      </c>
      <c r="G292" s="24" t="n"/>
      <c r="H292" s="24" t="n"/>
      <c r="I292" s="24" t="n"/>
      <c r="J292" s="24" t="n"/>
      <c r="K292" s="24" t="n"/>
      <c r="L292" s="26" t="n"/>
      <c r="M292" s="27">
        <f>IF(L292="","",IF(K292="GST 10%",ROUND(L292*set_GSTRate,2),0))</f>
        <v/>
      </c>
      <c r="N292" s="27">
        <f>IF(L292="","",L292+M292)</f>
        <v/>
      </c>
      <c r="O292" s="24" t="n"/>
      <c r="P292" s="24" t="n"/>
      <c r="Q292" s="24" t="n"/>
      <c r="R292" s="22" t="n"/>
      <c r="S292" s="22" t="n"/>
      <c r="T292" s="24" t="n"/>
      <c r="U292" s="24" t="n"/>
      <c r="V292" s="25">
        <f>IF(COUNTA(A292,D292,C292,L292)=0,"",IF(A292="","No date - sits outside every month",IF(E292="","No job number",IF(F292="CHECK","Job number is not in the Xero job list",IF(I292="","No cost centre",IF(AND(P292="Y",C292=""),"Marked posted to Xero but has no invoice number",IF(AND(L292&lt;&gt;"",K292=""),"No tax code",IF(AND(L292&lt;&gt;"",O292=""),"No revenue GL code",""))))))))</f>
        <v/>
      </c>
      <c r="W292" s="25">
        <f>IF(E292="","",IF(COUNTIF(tbl_Onsite[Job Number],E292&amp;"")&gt;0,"Onsite",IF(COUNTIF(tbl_Production[Job Number],E292&amp;"")&gt;0,"Production",IF(COUNTIF(tbl_Consulting[Job Number],E292&amp;"")&gt;0,"Consulting","not set up yet"))))</f>
        <v/>
      </c>
      <c r="X292" s="25">
        <f>IF(E292="","",IFERROR(INDEX(lst_JobName,MATCH(E292&amp;"",lst_Jobs,0)),""))</f>
        <v/>
      </c>
      <c r="Y292" s="28">
        <f>IF(E292="","",COUNTIFS(tbl_Finance[Job Number],E292&amp;"",tbl_Finance[Ex GST],"&lt;&gt;"))</f>
        <v/>
      </c>
      <c r="Z292" s="27">
        <f>IF(E292="","",SUMIFS(tbl_Finance[Ex GST],tbl_Finance[Job Number],E292&amp;""))</f>
        <v/>
      </c>
      <c r="AA292" s="27">
        <f>IF(E292="","",SUMIFS(tbl_Finance[Ex GST],tbl_Finance[Job Number],E292&amp;"",tbl_Finance[Xero Invoice No],"&lt;&gt;"))</f>
        <v/>
      </c>
      <c r="AB292" s="27">
        <f>IF(E292="","",Z292-AA292)</f>
        <v/>
      </c>
      <c r="AC292" s="25">
        <f>IF(E292="","",IFERROR(IF(INDEX(tbl_Onsite[Qwilr Quote],MATCH(E292&amp;"",tbl_Onsite[Job Number],0))="","",INDEX(tbl_Onsite[Qwilr Quote],MATCH(E292&amp;"",tbl_Onsite[Job Number],0))),IFERROR(IF(IF(INDEX(tbl_Production[Current RMS No],MATCH(E292&amp;"",tbl_Production[Job Number],0))="",INDEX(tbl_Production[Qwilr Quote],MATCH(E292&amp;"",tbl_Production[Job Number],0)),INDEX(tbl_Production[Current RMS No],MATCH(E292&amp;"",tbl_Production[Job Number],0)))="","",IF(INDEX(tbl_Production[Current RMS No],MATCH(E292&amp;"",tbl_Production[Job Number],0))="",INDEX(tbl_Production[Qwilr Quote],MATCH(E292&amp;"",tbl_Production[Job Number],0)),INDEX(tbl_Production[Current RMS No],MATCH(E292&amp;"",tbl_Production[Job Number],0)))),IFERROR(IF(INDEX(tbl_Consulting[Qwilr Quote],MATCH(E292&amp;"",tbl_Consulting[Job Number],0))="","",INDEX(tbl_Consulting[Qwilr Quote],MATCH(E292&amp;"",tbl_Consulting[Job Number],0))),""))))</f>
        <v/>
      </c>
      <c r="AD292" s="25">
        <f>IF(AC292="","",IF(AND(LEFT(AC292,4)&lt;&gt;"http",IF(H292="Production",set_RMSBase,set_QwilrBase)=""),"",HYPERLINK(IF(LEFT(AC292,4)="http",AC292,IF(H292="Production",set_RMSBase,set_QwilrBase)&amp;AC292),"Open")))</f>
        <v/>
      </c>
      <c r="AE292" s="27">
        <f>IF(E292="","",IFERROR(INDEX(tbl_Production[Total Expense],MATCH(E292&amp;"",tbl_Production[Job Number],0)),IFERROR(INDEX(tbl_Consulting[Total Expense],MATCH(E292&amp;"",tbl_Consulting[Job Number],0)),0)))</f>
        <v/>
      </c>
      <c r="AF292" s="27">
        <f>IF(E292="","",Z292-N(AE292))</f>
        <v/>
      </c>
      <c r="AG292" s="29">
        <f>IFERROR(AF292/Z292,"")</f>
        <v/>
      </c>
      <c r="AH292" s="25">
        <f>IF(E292="","",IFERROR(IF(INDEX(tbl_Onsite[Notes],MATCH(E292&amp;"",tbl_Onsite[Job Number],0))="","",INDEX(tbl_Onsite[Notes],MATCH(E292&amp;"",tbl_Onsite[Job Number],0))),IFERROR(IF(INDEX(tbl_Production[Notes],MATCH(E292&amp;"",tbl_Production[Job Number],0))="","",INDEX(tbl_Production[Notes],MATCH(E292&amp;"",tbl_Production[Job Number],0))),IFERROR(IF(INDEX(tbl_Consulting[Notes],MATCH(E292&amp;"",tbl_Consulting[Job Number],0))="","",INDEX(tbl_Consulting[Notes],MATCH(E292&amp;"",tbl_Consulting[Job Number],0))),""))))</f>
        <v/>
      </c>
    </row>
    <row r="293" ht="15" customHeight="1">
      <c r="A293" s="22" t="n"/>
      <c r="B293" s="23">
        <f>IF(A293="","",EOMONTH(A293,0))</f>
        <v/>
      </c>
      <c r="C293" s="24" t="n"/>
      <c r="D293" s="24" t="n"/>
      <c r="E293" s="24" t="n"/>
      <c r="F293" s="25">
        <f>IF(E293="","",IF(COUNTIF(lst_Jobs,E293&amp;"")&gt;0,"OK","CHECK"))</f>
        <v/>
      </c>
      <c r="G293" s="24" t="n"/>
      <c r="H293" s="24" t="n"/>
      <c r="I293" s="24" t="n"/>
      <c r="J293" s="24" t="n"/>
      <c r="K293" s="24" t="n"/>
      <c r="L293" s="26" t="n"/>
      <c r="M293" s="27">
        <f>IF(L293="","",IF(K293="GST 10%",ROUND(L293*set_GSTRate,2),0))</f>
        <v/>
      </c>
      <c r="N293" s="27">
        <f>IF(L293="","",L293+M293)</f>
        <v/>
      </c>
      <c r="O293" s="24" t="n"/>
      <c r="P293" s="24" t="n"/>
      <c r="Q293" s="24" t="n"/>
      <c r="R293" s="22" t="n"/>
      <c r="S293" s="22" t="n"/>
      <c r="T293" s="24" t="n"/>
      <c r="U293" s="24" t="n"/>
      <c r="V293" s="25">
        <f>IF(COUNTA(A293,D293,C293,L293)=0,"",IF(A293="","No date - sits outside every month",IF(E293="","No job number",IF(F293="CHECK","Job number is not in the Xero job list",IF(I293="","No cost centre",IF(AND(P293="Y",C293=""),"Marked posted to Xero but has no invoice number",IF(AND(L293&lt;&gt;"",K293=""),"No tax code",IF(AND(L293&lt;&gt;"",O293=""),"No revenue GL code",""))))))))</f>
        <v/>
      </c>
      <c r="W293" s="25">
        <f>IF(E293="","",IF(COUNTIF(tbl_Onsite[Job Number],E293&amp;"")&gt;0,"Onsite",IF(COUNTIF(tbl_Production[Job Number],E293&amp;"")&gt;0,"Production",IF(COUNTIF(tbl_Consulting[Job Number],E293&amp;"")&gt;0,"Consulting","not set up yet"))))</f>
        <v/>
      </c>
      <c r="X293" s="25">
        <f>IF(E293="","",IFERROR(INDEX(lst_JobName,MATCH(E293&amp;"",lst_Jobs,0)),""))</f>
        <v/>
      </c>
      <c r="Y293" s="28">
        <f>IF(E293="","",COUNTIFS(tbl_Finance[Job Number],E293&amp;"",tbl_Finance[Ex GST],"&lt;&gt;"))</f>
        <v/>
      </c>
      <c r="Z293" s="27">
        <f>IF(E293="","",SUMIFS(tbl_Finance[Ex GST],tbl_Finance[Job Number],E293&amp;""))</f>
        <v/>
      </c>
      <c r="AA293" s="27">
        <f>IF(E293="","",SUMIFS(tbl_Finance[Ex GST],tbl_Finance[Job Number],E293&amp;"",tbl_Finance[Xero Invoice No],"&lt;&gt;"))</f>
        <v/>
      </c>
      <c r="AB293" s="27">
        <f>IF(E293="","",Z293-AA293)</f>
        <v/>
      </c>
      <c r="AC293" s="25">
        <f>IF(E293="","",IFERROR(IF(INDEX(tbl_Onsite[Qwilr Quote],MATCH(E293&amp;"",tbl_Onsite[Job Number],0))="","",INDEX(tbl_Onsite[Qwilr Quote],MATCH(E293&amp;"",tbl_Onsite[Job Number],0))),IFERROR(IF(IF(INDEX(tbl_Production[Current RMS No],MATCH(E293&amp;"",tbl_Production[Job Number],0))="",INDEX(tbl_Production[Qwilr Quote],MATCH(E293&amp;"",tbl_Production[Job Number],0)),INDEX(tbl_Production[Current RMS No],MATCH(E293&amp;"",tbl_Production[Job Number],0)))="","",IF(INDEX(tbl_Production[Current RMS No],MATCH(E293&amp;"",tbl_Production[Job Number],0))="",INDEX(tbl_Production[Qwilr Quote],MATCH(E293&amp;"",tbl_Production[Job Number],0)),INDEX(tbl_Production[Current RMS No],MATCH(E293&amp;"",tbl_Production[Job Number],0)))),IFERROR(IF(INDEX(tbl_Consulting[Qwilr Quote],MATCH(E293&amp;"",tbl_Consulting[Job Number],0))="","",INDEX(tbl_Consulting[Qwilr Quote],MATCH(E293&amp;"",tbl_Consulting[Job Number],0))),""))))</f>
        <v/>
      </c>
      <c r="AD293" s="25">
        <f>IF(AC293="","",IF(AND(LEFT(AC293,4)&lt;&gt;"http",IF(H293="Production",set_RMSBase,set_QwilrBase)=""),"",HYPERLINK(IF(LEFT(AC293,4)="http",AC293,IF(H293="Production",set_RMSBase,set_QwilrBase)&amp;AC293),"Open")))</f>
        <v/>
      </c>
      <c r="AE293" s="27">
        <f>IF(E293="","",IFERROR(INDEX(tbl_Production[Total Expense],MATCH(E293&amp;"",tbl_Production[Job Number],0)),IFERROR(INDEX(tbl_Consulting[Total Expense],MATCH(E293&amp;"",tbl_Consulting[Job Number],0)),0)))</f>
        <v/>
      </c>
      <c r="AF293" s="27">
        <f>IF(E293="","",Z293-N(AE293))</f>
        <v/>
      </c>
      <c r="AG293" s="29">
        <f>IFERROR(AF293/Z293,"")</f>
        <v/>
      </c>
      <c r="AH293" s="25">
        <f>IF(E293="","",IFERROR(IF(INDEX(tbl_Onsite[Notes],MATCH(E293&amp;"",tbl_Onsite[Job Number],0))="","",INDEX(tbl_Onsite[Notes],MATCH(E293&amp;"",tbl_Onsite[Job Number],0))),IFERROR(IF(INDEX(tbl_Production[Notes],MATCH(E293&amp;"",tbl_Production[Job Number],0))="","",INDEX(tbl_Production[Notes],MATCH(E293&amp;"",tbl_Production[Job Number],0))),IFERROR(IF(INDEX(tbl_Consulting[Notes],MATCH(E293&amp;"",tbl_Consulting[Job Number],0))="","",INDEX(tbl_Consulting[Notes],MATCH(E293&amp;"",tbl_Consulting[Job Number],0))),""))))</f>
        <v/>
      </c>
    </row>
    <row r="294" ht="15" customHeight="1">
      <c r="A294" s="22" t="n"/>
      <c r="B294" s="23">
        <f>IF(A294="","",EOMONTH(A294,0))</f>
        <v/>
      </c>
      <c r="C294" s="24" t="n"/>
      <c r="D294" s="24" t="n"/>
      <c r="E294" s="24" t="n"/>
      <c r="F294" s="25">
        <f>IF(E294="","",IF(COUNTIF(lst_Jobs,E294&amp;"")&gt;0,"OK","CHECK"))</f>
        <v/>
      </c>
      <c r="G294" s="24" t="n"/>
      <c r="H294" s="24" t="n"/>
      <c r="I294" s="24" t="n"/>
      <c r="J294" s="24" t="n"/>
      <c r="K294" s="24" t="n"/>
      <c r="L294" s="26" t="n"/>
      <c r="M294" s="27">
        <f>IF(L294="","",IF(K294="GST 10%",ROUND(L294*set_GSTRate,2),0))</f>
        <v/>
      </c>
      <c r="N294" s="27">
        <f>IF(L294="","",L294+M294)</f>
        <v/>
      </c>
      <c r="O294" s="24" t="n"/>
      <c r="P294" s="24" t="n"/>
      <c r="Q294" s="24" t="n"/>
      <c r="R294" s="22" t="n"/>
      <c r="S294" s="22" t="n"/>
      <c r="T294" s="24" t="n"/>
      <c r="U294" s="24" t="n"/>
      <c r="V294" s="25">
        <f>IF(COUNTA(A294,D294,C294,L294)=0,"",IF(A294="","No date - sits outside every month",IF(E294="","No job number",IF(F294="CHECK","Job number is not in the Xero job list",IF(I294="","No cost centre",IF(AND(P294="Y",C294=""),"Marked posted to Xero but has no invoice number",IF(AND(L294&lt;&gt;"",K294=""),"No tax code",IF(AND(L294&lt;&gt;"",O294=""),"No revenue GL code",""))))))))</f>
        <v/>
      </c>
      <c r="W294" s="25">
        <f>IF(E294="","",IF(COUNTIF(tbl_Onsite[Job Number],E294&amp;"")&gt;0,"Onsite",IF(COUNTIF(tbl_Production[Job Number],E294&amp;"")&gt;0,"Production",IF(COUNTIF(tbl_Consulting[Job Number],E294&amp;"")&gt;0,"Consulting","not set up yet"))))</f>
        <v/>
      </c>
      <c r="X294" s="25">
        <f>IF(E294="","",IFERROR(INDEX(lst_JobName,MATCH(E294&amp;"",lst_Jobs,0)),""))</f>
        <v/>
      </c>
      <c r="Y294" s="28">
        <f>IF(E294="","",COUNTIFS(tbl_Finance[Job Number],E294&amp;"",tbl_Finance[Ex GST],"&lt;&gt;"))</f>
        <v/>
      </c>
      <c r="Z294" s="27">
        <f>IF(E294="","",SUMIFS(tbl_Finance[Ex GST],tbl_Finance[Job Number],E294&amp;""))</f>
        <v/>
      </c>
      <c r="AA294" s="27">
        <f>IF(E294="","",SUMIFS(tbl_Finance[Ex GST],tbl_Finance[Job Number],E294&amp;"",tbl_Finance[Xero Invoice No],"&lt;&gt;"))</f>
        <v/>
      </c>
      <c r="AB294" s="27">
        <f>IF(E294="","",Z294-AA294)</f>
        <v/>
      </c>
      <c r="AC294" s="25">
        <f>IF(E294="","",IFERROR(IF(INDEX(tbl_Onsite[Qwilr Quote],MATCH(E294&amp;"",tbl_Onsite[Job Number],0))="","",INDEX(tbl_Onsite[Qwilr Quote],MATCH(E294&amp;"",tbl_Onsite[Job Number],0))),IFERROR(IF(IF(INDEX(tbl_Production[Current RMS No],MATCH(E294&amp;"",tbl_Production[Job Number],0))="",INDEX(tbl_Production[Qwilr Quote],MATCH(E294&amp;"",tbl_Production[Job Number],0)),INDEX(tbl_Production[Current RMS No],MATCH(E294&amp;"",tbl_Production[Job Number],0)))="","",IF(INDEX(tbl_Production[Current RMS No],MATCH(E294&amp;"",tbl_Production[Job Number],0))="",INDEX(tbl_Production[Qwilr Quote],MATCH(E294&amp;"",tbl_Production[Job Number],0)),INDEX(tbl_Production[Current RMS No],MATCH(E294&amp;"",tbl_Production[Job Number],0)))),IFERROR(IF(INDEX(tbl_Consulting[Qwilr Quote],MATCH(E294&amp;"",tbl_Consulting[Job Number],0))="","",INDEX(tbl_Consulting[Qwilr Quote],MATCH(E294&amp;"",tbl_Consulting[Job Number],0))),""))))</f>
        <v/>
      </c>
      <c r="AD294" s="25">
        <f>IF(AC294="","",IF(AND(LEFT(AC294,4)&lt;&gt;"http",IF(H294="Production",set_RMSBase,set_QwilrBase)=""),"",HYPERLINK(IF(LEFT(AC294,4)="http",AC294,IF(H294="Production",set_RMSBase,set_QwilrBase)&amp;AC294),"Open")))</f>
        <v/>
      </c>
      <c r="AE294" s="27">
        <f>IF(E294="","",IFERROR(INDEX(tbl_Production[Total Expense],MATCH(E294&amp;"",tbl_Production[Job Number],0)),IFERROR(INDEX(tbl_Consulting[Total Expense],MATCH(E294&amp;"",tbl_Consulting[Job Number],0)),0)))</f>
        <v/>
      </c>
      <c r="AF294" s="27">
        <f>IF(E294="","",Z294-N(AE294))</f>
        <v/>
      </c>
      <c r="AG294" s="29">
        <f>IFERROR(AF294/Z294,"")</f>
        <v/>
      </c>
      <c r="AH294" s="25">
        <f>IF(E294="","",IFERROR(IF(INDEX(tbl_Onsite[Notes],MATCH(E294&amp;"",tbl_Onsite[Job Number],0))="","",INDEX(tbl_Onsite[Notes],MATCH(E294&amp;"",tbl_Onsite[Job Number],0))),IFERROR(IF(INDEX(tbl_Production[Notes],MATCH(E294&amp;"",tbl_Production[Job Number],0))="","",INDEX(tbl_Production[Notes],MATCH(E294&amp;"",tbl_Production[Job Number],0))),IFERROR(IF(INDEX(tbl_Consulting[Notes],MATCH(E294&amp;"",tbl_Consulting[Job Number],0))="","",INDEX(tbl_Consulting[Notes],MATCH(E294&amp;"",tbl_Consulting[Job Number],0))),""))))</f>
        <v/>
      </c>
    </row>
    <row r="295" ht="15" customHeight="1">
      <c r="A295" s="22" t="n"/>
      <c r="B295" s="23">
        <f>IF(A295="","",EOMONTH(A295,0))</f>
        <v/>
      </c>
      <c r="C295" s="24" t="n"/>
      <c r="D295" s="24" t="n"/>
      <c r="E295" s="24" t="n"/>
      <c r="F295" s="25">
        <f>IF(E295="","",IF(COUNTIF(lst_Jobs,E295&amp;"")&gt;0,"OK","CHECK"))</f>
        <v/>
      </c>
      <c r="G295" s="24" t="n"/>
      <c r="H295" s="24" t="n"/>
      <c r="I295" s="24" t="n"/>
      <c r="J295" s="24" t="n"/>
      <c r="K295" s="24" t="n"/>
      <c r="L295" s="26" t="n"/>
      <c r="M295" s="27">
        <f>IF(L295="","",IF(K295="GST 10%",ROUND(L295*set_GSTRate,2),0))</f>
        <v/>
      </c>
      <c r="N295" s="27">
        <f>IF(L295="","",L295+M295)</f>
        <v/>
      </c>
      <c r="O295" s="24" t="n"/>
      <c r="P295" s="24" t="n"/>
      <c r="Q295" s="24" t="n"/>
      <c r="R295" s="22" t="n"/>
      <c r="S295" s="22" t="n"/>
      <c r="T295" s="24" t="n"/>
      <c r="U295" s="24" t="n"/>
      <c r="V295" s="25">
        <f>IF(COUNTA(A295,D295,C295,L295)=0,"",IF(A295="","No date - sits outside every month",IF(E295="","No job number",IF(F295="CHECK","Job number is not in the Xero job list",IF(I295="","No cost centre",IF(AND(P295="Y",C295=""),"Marked posted to Xero but has no invoice number",IF(AND(L295&lt;&gt;"",K295=""),"No tax code",IF(AND(L295&lt;&gt;"",O295=""),"No revenue GL code",""))))))))</f>
        <v/>
      </c>
      <c r="W295" s="25">
        <f>IF(E295="","",IF(COUNTIF(tbl_Onsite[Job Number],E295&amp;"")&gt;0,"Onsite",IF(COUNTIF(tbl_Production[Job Number],E295&amp;"")&gt;0,"Production",IF(COUNTIF(tbl_Consulting[Job Number],E295&amp;"")&gt;0,"Consulting","not set up yet"))))</f>
        <v/>
      </c>
      <c r="X295" s="25">
        <f>IF(E295="","",IFERROR(INDEX(lst_JobName,MATCH(E295&amp;"",lst_Jobs,0)),""))</f>
        <v/>
      </c>
      <c r="Y295" s="28">
        <f>IF(E295="","",COUNTIFS(tbl_Finance[Job Number],E295&amp;"",tbl_Finance[Ex GST],"&lt;&gt;"))</f>
        <v/>
      </c>
      <c r="Z295" s="27">
        <f>IF(E295="","",SUMIFS(tbl_Finance[Ex GST],tbl_Finance[Job Number],E295&amp;""))</f>
        <v/>
      </c>
      <c r="AA295" s="27">
        <f>IF(E295="","",SUMIFS(tbl_Finance[Ex GST],tbl_Finance[Job Number],E295&amp;"",tbl_Finance[Xero Invoice No],"&lt;&gt;"))</f>
        <v/>
      </c>
      <c r="AB295" s="27">
        <f>IF(E295="","",Z295-AA295)</f>
        <v/>
      </c>
      <c r="AC295" s="25">
        <f>IF(E295="","",IFERROR(IF(INDEX(tbl_Onsite[Qwilr Quote],MATCH(E295&amp;"",tbl_Onsite[Job Number],0))="","",INDEX(tbl_Onsite[Qwilr Quote],MATCH(E295&amp;"",tbl_Onsite[Job Number],0))),IFERROR(IF(IF(INDEX(tbl_Production[Current RMS No],MATCH(E295&amp;"",tbl_Production[Job Number],0))="",INDEX(tbl_Production[Qwilr Quote],MATCH(E295&amp;"",tbl_Production[Job Number],0)),INDEX(tbl_Production[Current RMS No],MATCH(E295&amp;"",tbl_Production[Job Number],0)))="","",IF(INDEX(tbl_Production[Current RMS No],MATCH(E295&amp;"",tbl_Production[Job Number],0))="",INDEX(tbl_Production[Qwilr Quote],MATCH(E295&amp;"",tbl_Production[Job Number],0)),INDEX(tbl_Production[Current RMS No],MATCH(E295&amp;"",tbl_Production[Job Number],0)))),IFERROR(IF(INDEX(tbl_Consulting[Qwilr Quote],MATCH(E295&amp;"",tbl_Consulting[Job Number],0))="","",INDEX(tbl_Consulting[Qwilr Quote],MATCH(E295&amp;"",tbl_Consulting[Job Number],0))),""))))</f>
        <v/>
      </c>
      <c r="AD295" s="25">
        <f>IF(AC295="","",IF(AND(LEFT(AC295,4)&lt;&gt;"http",IF(H295="Production",set_RMSBase,set_QwilrBase)=""),"",HYPERLINK(IF(LEFT(AC295,4)="http",AC295,IF(H295="Production",set_RMSBase,set_QwilrBase)&amp;AC295),"Open")))</f>
        <v/>
      </c>
      <c r="AE295" s="27">
        <f>IF(E295="","",IFERROR(INDEX(tbl_Production[Total Expense],MATCH(E295&amp;"",tbl_Production[Job Number],0)),IFERROR(INDEX(tbl_Consulting[Total Expense],MATCH(E295&amp;"",tbl_Consulting[Job Number],0)),0)))</f>
        <v/>
      </c>
      <c r="AF295" s="27">
        <f>IF(E295="","",Z295-N(AE295))</f>
        <v/>
      </c>
      <c r="AG295" s="29">
        <f>IFERROR(AF295/Z295,"")</f>
        <v/>
      </c>
      <c r="AH295" s="25">
        <f>IF(E295="","",IFERROR(IF(INDEX(tbl_Onsite[Notes],MATCH(E295&amp;"",tbl_Onsite[Job Number],0))="","",INDEX(tbl_Onsite[Notes],MATCH(E295&amp;"",tbl_Onsite[Job Number],0))),IFERROR(IF(INDEX(tbl_Production[Notes],MATCH(E295&amp;"",tbl_Production[Job Number],0))="","",INDEX(tbl_Production[Notes],MATCH(E295&amp;"",tbl_Production[Job Number],0))),IFERROR(IF(INDEX(tbl_Consulting[Notes],MATCH(E295&amp;"",tbl_Consulting[Job Number],0))="","",INDEX(tbl_Consulting[Notes],MATCH(E295&amp;"",tbl_Consulting[Job Number],0))),""))))</f>
        <v/>
      </c>
    </row>
    <row r="296" ht="15" customHeight="1">
      <c r="A296" s="22" t="n"/>
      <c r="B296" s="23">
        <f>IF(A296="","",EOMONTH(A296,0))</f>
        <v/>
      </c>
      <c r="C296" s="24" t="n"/>
      <c r="D296" s="24" t="n"/>
      <c r="E296" s="24" t="n"/>
      <c r="F296" s="25">
        <f>IF(E296="","",IF(COUNTIF(lst_Jobs,E296&amp;"")&gt;0,"OK","CHECK"))</f>
        <v/>
      </c>
      <c r="G296" s="24" t="n"/>
      <c r="H296" s="24" t="n"/>
      <c r="I296" s="24" t="n"/>
      <c r="J296" s="24" t="n"/>
      <c r="K296" s="24" t="n"/>
      <c r="L296" s="26" t="n"/>
      <c r="M296" s="27">
        <f>IF(L296="","",IF(K296="GST 10%",ROUND(L296*set_GSTRate,2),0))</f>
        <v/>
      </c>
      <c r="N296" s="27">
        <f>IF(L296="","",L296+M296)</f>
        <v/>
      </c>
      <c r="O296" s="24" t="n"/>
      <c r="P296" s="24" t="n"/>
      <c r="Q296" s="24" t="n"/>
      <c r="R296" s="22" t="n"/>
      <c r="S296" s="22" t="n"/>
      <c r="T296" s="24" t="n"/>
      <c r="U296" s="24" t="n"/>
      <c r="V296" s="25">
        <f>IF(COUNTA(A296,D296,C296,L296)=0,"",IF(A296="","No date - sits outside every month",IF(E296="","No job number",IF(F296="CHECK","Job number is not in the Xero job list",IF(I296="","No cost centre",IF(AND(P296="Y",C296=""),"Marked posted to Xero but has no invoice number",IF(AND(L296&lt;&gt;"",K296=""),"No tax code",IF(AND(L296&lt;&gt;"",O296=""),"No revenue GL code",""))))))))</f>
        <v/>
      </c>
      <c r="W296" s="25">
        <f>IF(E296="","",IF(COUNTIF(tbl_Onsite[Job Number],E296&amp;"")&gt;0,"Onsite",IF(COUNTIF(tbl_Production[Job Number],E296&amp;"")&gt;0,"Production",IF(COUNTIF(tbl_Consulting[Job Number],E296&amp;"")&gt;0,"Consulting","not set up yet"))))</f>
        <v/>
      </c>
      <c r="X296" s="25">
        <f>IF(E296="","",IFERROR(INDEX(lst_JobName,MATCH(E296&amp;"",lst_Jobs,0)),""))</f>
        <v/>
      </c>
      <c r="Y296" s="28">
        <f>IF(E296="","",COUNTIFS(tbl_Finance[Job Number],E296&amp;"",tbl_Finance[Ex GST],"&lt;&gt;"))</f>
        <v/>
      </c>
      <c r="Z296" s="27">
        <f>IF(E296="","",SUMIFS(tbl_Finance[Ex GST],tbl_Finance[Job Number],E296&amp;""))</f>
        <v/>
      </c>
      <c r="AA296" s="27">
        <f>IF(E296="","",SUMIFS(tbl_Finance[Ex GST],tbl_Finance[Job Number],E296&amp;"",tbl_Finance[Xero Invoice No],"&lt;&gt;"))</f>
        <v/>
      </c>
      <c r="AB296" s="27">
        <f>IF(E296="","",Z296-AA296)</f>
        <v/>
      </c>
      <c r="AC296" s="25">
        <f>IF(E296="","",IFERROR(IF(INDEX(tbl_Onsite[Qwilr Quote],MATCH(E296&amp;"",tbl_Onsite[Job Number],0))="","",INDEX(tbl_Onsite[Qwilr Quote],MATCH(E296&amp;"",tbl_Onsite[Job Number],0))),IFERROR(IF(IF(INDEX(tbl_Production[Current RMS No],MATCH(E296&amp;"",tbl_Production[Job Number],0))="",INDEX(tbl_Production[Qwilr Quote],MATCH(E296&amp;"",tbl_Production[Job Number],0)),INDEX(tbl_Production[Current RMS No],MATCH(E296&amp;"",tbl_Production[Job Number],0)))="","",IF(INDEX(tbl_Production[Current RMS No],MATCH(E296&amp;"",tbl_Production[Job Number],0))="",INDEX(tbl_Production[Qwilr Quote],MATCH(E296&amp;"",tbl_Production[Job Number],0)),INDEX(tbl_Production[Current RMS No],MATCH(E296&amp;"",tbl_Production[Job Number],0)))),IFERROR(IF(INDEX(tbl_Consulting[Qwilr Quote],MATCH(E296&amp;"",tbl_Consulting[Job Number],0))="","",INDEX(tbl_Consulting[Qwilr Quote],MATCH(E296&amp;"",tbl_Consulting[Job Number],0))),""))))</f>
        <v/>
      </c>
      <c r="AD296" s="25">
        <f>IF(AC296="","",IF(AND(LEFT(AC296,4)&lt;&gt;"http",IF(H296="Production",set_RMSBase,set_QwilrBase)=""),"",HYPERLINK(IF(LEFT(AC296,4)="http",AC296,IF(H296="Production",set_RMSBase,set_QwilrBase)&amp;AC296),"Open")))</f>
        <v/>
      </c>
      <c r="AE296" s="27">
        <f>IF(E296="","",IFERROR(INDEX(tbl_Production[Total Expense],MATCH(E296&amp;"",tbl_Production[Job Number],0)),IFERROR(INDEX(tbl_Consulting[Total Expense],MATCH(E296&amp;"",tbl_Consulting[Job Number],0)),0)))</f>
        <v/>
      </c>
      <c r="AF296" s="27">
        <f>IF(E296="","",Z296-N(AE296))</f>
        <v/>
      </c>
      <c r="AG296" s="29">
        <f>IFERROR(AF296/Z296,"")</f>
        <v/>
      </c>
      <c r="AH296" s="25">
        <f>IF(E296="","",IFERROR(IF(INDEX(tbl_Onsite[Notes],MATCH(E296&amp;"",tbl_Onsite[Job Number],0))="","",INDEX(tbl_Onsite[Notes],MATCH(E296&amp;"",tbl_Onsite[Job Number],0))),IFERROR(IF(INDEX(tbl_Production[Notes],MATCH(E296&amp;"",tbl_Production[Job Number],0))="","",INDEX(tbl_Production[Notes],MATCH(E296&amp;"",tbl_Production[Job Number],0))),IFERROR(IF(INDEX(tbl_Consulting[Notes],MATCH(E296&amp;"",tbl_Consulting[Job Number],0))="","",INDEX(tbl_Consulting[Notes],MATCH(E296&amp;"",tbl_Consulting[Job Number],0))),""))))</f>
        <v/>
      </c>
    </row>
    <row r="297" ht="15" customHeight="1">
      <c r="A297" s="22" t="n"/>
      <c r="B297" s="23">
        <f>IF(A297="","",EOMONTH(A297,0))</f>
        <v/>
      </c>
      <c r="C297" s="24" t="n"/>
      <c r="D297" s="24" t="n"/>
      <c r="E297" s="24" t="n"/>
      <c r="F297" s="25">
        <f>IF(E297="","",IF(COUNTIF(lst_Jobs,E297&amp;"")&gt;0,"OK","CHECK"))</f>
        <v/>
      </c>
      <c r="G297" s="24" t="n"/>
      <c r="H297" s="24" t="n"/>
      <c r="I297" s="24" t="n"/>
      <c r="J297" s="24" t="n"/>
      <c r="K297" s="24" t="n"/>
      <c r="L297" s="26" t="n"/>
      <c r="M297" s="27">
        <f>IF(L297="","",IF(K297="GST 10%",ROUND(L297*set_GSTRate,2),0))</f>
        <v/>
      </c>
      <c r="N297" s="27">
        <f>IF(L297="","",L297+M297)</f>
        <v/>
      </c>
      <c r="O297" s="24" t="n"/>
      <c r="P297" s="24" t="n"/>
      <c r="Q297" s="24" t="n"/>
      <c r="R297" s="22" t="n"/>
      <c r="S297" s="22" t="n"/>
      <c r="T297" s="24" t="n"/>
      <c r="U297" s="24" t="n"/>
      <c r="V297" s="25">
        <f>IF(COUNTA(A297,D297,C297,L297)=0,"",IF(A297="","No date - sits outside every month",IF(E297="","No job number",IF(F297="CHECK","Job number is not in the Xero job list",IF(I297="","No cost centre",IF(AND(P297="Y",C297=""),"Marked posted to Xero but has no invoice number",IF(AND(L297&lt;&gt;"",K297=""),"No tax code",IF(AND(L297&lt;&gt;"",O297=""),"No revenue GL code",""))))))))</f>
        <v/>
      </c>
      <c r="W297" s="25">
        <f>IF(E297="","",IF(COUNTIF(tbl_Onsite[Job Number],E297&amp;"")&gt;0,"Onsite",IF(COUNTIF(tbl_Production[Job Number],E297&amp;"")&gt;0,"Production",IF(COUNTIF(tbl_Consulting[Job Number],E297&amp;"")&gt;0,"Consulting","not set up yet"))))</f>
        <v/>
      </c>
      <c r="X297" s="25">
        <f>IF(E297="","",IFERROR(INDEX(lst_JobName,MATCH(E297&amp;"",lst_Jobs,0)),""))</f>
        <v/>
      </c>
      <c r="Y297" s="28">
        <f>IF(E297="","",COUNTIFS(tbl_Finance[Job Number],E297&amp;"",tbl_Finance[Ex GST],"&lt;&gt;"))</f>
        <v/>
      </c>
      <c r="Z297" s="27">
        <f>IF(E297="","",SUMIFS(tbl_Finance[Ex GST],tbl_Finance[Job Number],E297&amp;""))</f>
        <v/>
      </c>
      <c r="AA297" s="27">
        <f>IF(E297="","",SUMIFS(tbl_Finance[Ex GST],tbl_Finance[Job Number],E297&amp;"",tbl_Finance[Xero Invoice No],"&lt;&gt;"))</f>
        <v/>
      </c>
      <c r="AB297" s="27">
        <f>IF(E297="","",Z297-AA297)</f>
        <v/>
      </c>
      <c r="AC297" s="25">
        <f>IF(E297="","",IFERROR(IF(INDEX(tbl_Onsite[Qwilr Quote],MATCH(E297&amp;"",tbl_Onsite[Job Number],0))="","",INDEX(tbl_Onsite[Qwilr Quote],MATCH(E297&amp;"",tbl_Onsite[Job Number],0))),IFERROR(IF(IF(INDEX(tbl_Production[Current RMS No],MATCH(E297&amp;"",tbl_Production[Job Number],0))="",INDEX(tbl_Production[Qwilr Quote],MATCH(E297&amp;"",tbl_Production[Job Number],0)),INDEX(tbl_Production[Current RMS No],MATCH(E297&amp;"",tbl_Production[Job Number],0)))="","",IF(INDEX(tbl_Production[Current RMS No],MATCH(E297&amp;"",tbl_Production[Job Number],0))="",INDEX(tbl_Production[Qwilr Quote],MATCH(E297&amp;"",tbl_Production[Job Number],0)),INDEX(tbl_Production[Current RMS No],MATCH(E297&amp;"",tbl_Production[Job Number],0)))),IFERROR(IF(INDEX(tbl_Consulting[Qwilr Quote],MATCH(E297&amp;"",tbl_Consulting[Job Number],0))="","",INDEX(tbl_Consulting[Qwilr Quote],MATCH(E297&amp;"",tbl_Consulting[Job Number],0))),""))))</f>
        <v/>
      </c>
      <c r="AD297" s="25">
        <f>IF(AC297="","",IF(AND(LEFT(AC297,4)&lt;&gt;"http",IF(H297="Production",set_RMSBase,set_QwilrBase)=""),"",HYPERLINK(IF(LEFT(AC297,4)="http",AC297,IF(H297="Production",set_RMSBase,set_QwilrBase)&amp;AC297),"Open")))</f>
        <v/>
      </c>
      <c r="AE297" s="27">
        <f>IF(E297="","",IFERROR(INDEX(tbl_Production[Total Expense],MATCH(E297&amp;"",tbl_Production[Job Number],0)),IFERROR(INDEX(tbl_Consulting[Total Expense],MATCH(E297&amp;"",tbl_Consulting[Job Number],0)),0)))</f>
        <v/>
      </c>
      <c r="AF297" s="27">
        <f>IF(E297="","",Z297-N(AE297))</f>
        <v/>
      </c>
      <c r="AG297" s="29">
        <f>IFERROR(AF297/Z297,"")</f>
        <v/>
      </c>
      <c r="AH297" s="25">
        <f>IF(E297="","",IFERROR(IF(INDEX(tbl_Onsite[Notes],MATCH(E297&amp;"",tbl_Onsite[Job Number],0))="","",INDEX(tbl_Onsite[Notes],MATCH(E297&amp;"",tbl_Onsite[Job Number],0))),IFERROR(IF(INDEX(tbl_Production[Notes],MATCH(E297&amp;"",tbl_Production[Job Number],0))="","",INDEX(tbl_Production[Notes],MATCH(E297&amp;"",tbl_Production[Job Number],0))),IFERROR(IF(INDEX(tbl_Consulting[Notes],MATCH(E297&amp;"",tbl_Consulting[Job Number],0))="","",INDEX(tbl_Consulting[Notes],MATCH(E297&amp;"",tbl_Consulting[Job Number],0))),""))))</f>
        <v/>
      </c>
    </row>
    <row r="298" ht="15" customHeight="1">
      <c r="A298" s="22" t="n"/>
      <c r="B298" s="23">
        <f>IF(A298="","",EOMONTH(A298,0))</f>
        <v/>
      </c>
      <c r="C298" s="24" t="n"/>
      <c r="D298" s="24" t="n"/>
      <c r="E298" s="24" t="n"/>
      <c r="F298" s="25">
        <f>IF(E298="","",IF(COUNTIF(lst_Jobs,E298&amp;"")&gt;0,"OK","CHECK"))</f>
        <v/>
      </c>
      <c r="G298" s="24" t="n"/>
      <c r="H298" s="24" t="n"/>
      <c r="I298" s="24" t="n"/>
      <c r="J298" s="24" t="n"/>
      <c r="K298" s="24" t="n"/>
      <c r="L298" s="26" t="n"/>
      <c r="M298" s="27">
        <f>IF(L298="","",IF(K298="GST 10%",ROUND(L298*set_GSTRate,2),0))</f>
        <v/>
      </c>
      <c r="N298" s="27">
        <f>IF(L298="","",L298+M298)</f>
        <v/>
      </c>
      <c r="O298" s="24" t="n"/>
      <c r="P298" s="24" t="n"/>
      <c r="Q298" s="24" t="n"/>
      <c r="R298" s="22" t="n"/>
      <c r="S298" s="22" t="n"/>
      <c r="T298" s="24" t="n"/>
      <c r="U298" s="24" t="n"/>
      <c r="V298" s="25">
        <f>IF(COUNTA(A298,D298,C298,L298)=0,"",IF(A298="","No date - sits outside every month",IF(E298="","No job number",IF(F298="CHECK","Job number is not in the Xero job list",IF(I298="","No cost centre",IF(AND(P298="Y",C298=""),"Marked posted to Xero but has no invoice number",IF(AND(L298&lt;&gt;"",K298=""),"No tax code",IF(AND(L298&lt;&gt;"",O298=""),"No revenue GL code",""))))))))</f>
        <v/>
      </c>
      <c r="W298" s="25">
        <f>IF(E298="","",IF(COUNTIF(tbl_Onsite[Job Number],E298&amp;"")&gt;0,"Onsite",IF(COUNTIF(tbl_Production[Job Number],E298&amp;"")&gt;0,"Production",IF(COUNTIF(tbl_Consulting[Job Number],E298&amp;"")&gt;0,"Consulting","not set up yet"))))</f>
        <v/>
      </c>
      <c r="X298" s="25">
        <f>IF(E298="","",IFERROR(INDEX(lst_JobName,MATCH(E298&amp;"",lst_Jobs,0)),""))</f>
        <v/>
      </c>
      <c r="Y298" s="28">
        <f>IF(E298="","",COUNTIFS(tbl_Finance[Job Number],E298&amp;"",tbl_Finance[Ex GST],"&lt;&gt;"))</f>
        <v/>
      </c>
      <c r="Z298" s="27">
        <f>IF(E298="","",SUMIFS(tbl_Finance[Ex GST],tbl_Finance[Job Number],E298&amp;""))</f>
        <v/>
      </c>
      <c r="AA298" s="27">
        <f>IF(E298="","",SUMIFS(tbl_Finance[Ex GST],tbl_Finance[Job Number],E298&amp;"",tbl_Finance[Xero Invoice No],"&lt;&gt;"))</f>
        <v/>
      </c>
      <c r="AB298" s="27">
        <f>IF(E298="","",Z298-AA298)</f>
        <v/>
      </c>
      <c r="AC298" s="25">
        <f>IF(E298="","",IFERROR(IF(INDEX(tbl_Onsite[Qwilr Quote],MATCH(E298&amp;"",tbl_Onsite[Job Number],0))="","",INDEX(tbl_Onsite[Qwilr Quote],MATCH(E298&amp;"",tbl_Onsite[Job Number],0))),IFERROR(IF(IF(INDEX(tbl_Production[Current RMS No],MATCH(E298&amp;"",tbl_Production[Job Number],0))="",INDEX(tbl_Production[Qwilr Quote],MATCH(E298&amp;"",tbl_Production[Job Number],0)),INDEX(tbl_Production[Current RMS No],MATCH(E298&amp;"",tbl_Production[Job Number],0)))="","",IF(INDEX(tbl_Production[Current RMS No],MATCH(E298&amp;"",tbl_Production[Job Number],0))="",INDEX(tbl_Production[Qwilr Quote],MATCH(E298&amp;"",tbl_Production[Job Number],0)),INDEX(tbl_Production[Current RMS No],MATCH(E298&amp;"",tbl_Production[Job Number],0)))),IFERROR(IF(INDEX(tbl_Consulting[Qwilr Quote],MATCH(E298&amp;"",tbl_Consulting[Job Number],0))="","",INDEX(tbl_Consulting[Qwilr Quote],MATCH(E298&amp;"",tbl_Consulting[Job Number],0))),""))))</f>
        <v/>
      </c>
      <c r="AD298" s="25">
        <f>IF(AC298="","",IF(AND(LEFT(AC298,4)&lt;&gt;"http",IF(H298="Production",set_RMSBase,set_QwilrBase)=""),"",HYPERLINK(IF(LEFT(AC298,4)="http",AC298,IF(H298="Production",set_RMSBase,set_QwilrBase)&amp;AC298),"Open")))</f>
        <v/>
      </c>
      <c r="AE298" s="27">
        <f>IF(E298="","",IFERROR(INDEX(tbl_Production[Total Expense],MATCH(E298&amp;"",tbl_Production[Job Number],0)),IFERROR(INDEX(tbl_Consulting[Total Expense],MATCH(E298&amp;"",tbl_Consulting[Job Number],0)),0)))</f>
        <v/>
      </c>
      <c r="AF298" s="27">
        <f>IF(E298="","",Z298-N(AE298))</f>
        <v/>
      </c>
      <c r="AG298" s="29">
        <f>IFERROR(AF298/Z298,"")</f>
        <v/>
      </c>
      <c r="AH298" s="25">
        <f>IF(E298="","",IFERROR(IF(INDEX(tbl_Onsite[Notes],MATCH(E298&amp;"",tbl_Onsite[Job Number],0))="","",INDEX(tbl_Onsite[Notes],MATCH(E298&amp;"",tbl_Onsite[Job Number],0))),IFERROR(IF(INDEX(tbl_Production[Notes],MATCH(E298&amp;"",tbl_Production[Job Number],0))="","",INDEX(tbl_Production[Notes],MATCH(E298&amp;"",tbl_Production[Job Number],0))),IFERROR(IF(INDEX(tbl_Consulting[Notes],MATCH(E298&amp;"",tbl_Consulting[Job Number],0))="","",INDEX(tbl_Consulting[Notes],MATCH(E298&amp;"",tbl_Consulting[Job Number],0))),""))))</f>
        <v/>
      </c>
    </row>
    <row r="299" ht="15" customHeight="1">
      <c r="A299" s="22" t="n"/>
      <c r="B299" s="23">
        <f>IF(A299="","",EOMONTH(A299,0))</f>
        <v/>
      </c>
      <c r="C299" s="24" t="n"/>
      <c r="D299" s="24" t="n"/>
      <c r="E299" s="24" t="n"/>
      <c r="F299" s="25">
        <f>IF(E299="","",IF(COUNTIF(lst_Jobs,E299&amp;"")&gt;0,"OK","CHECK"))</f>
        <v/>
      </c>
      <c r="G299" s="24" t="n"/>
      <c r="H299" s="24" t="n"/>
      <c r="I299" s="24" t="n"/>
      <c r="J299" s="24" t="n"/>
      <c r="K299" s="24" t="n"/>
      <c r="L299" s="26" t="n"/>
      <c r="M299" s="27">
        <f>IF(L299="","",IF(K299="GST 10%",ROUND(L299*set_GSTRate,2),0))</f>
        <v/>
      </c>
      <c r="N299" s="27">
        <f>IF(L299="","",L299+M299)</f>
        <v/>
      </c>
      <c r="O299" s="24" t="n"/>
      <c r="P299" s="24" t="n"/>
      <c r="Q299" s="24" t="n"/>
      <c r="R299" s="22" t="n"/>
      <c r="S299" s="22" t="n"/>
      <c r="T299" s="24" t="n"/>
      <c r="U299" s="24" t="n"/>
      <c r="V299" s="25">
        <f>IF(COUNTA(A299,D299,C299,L299)=0,"",IF(A299="","No date - sits outside every month",IF(E299="","No job number",IF(F299="CHECK","Job number is not in the Xero job list",IF(I299="","No cost centre",IF(AND(P299="Y",C299=""),"Marked posted to Xero but has no invoice number",IF(AND(L299&lt;&gt;"",K299=""),"No tax code",IF(AND(L299&lt;&gt;"",O299=""),"No revenue GL code",""))))))))</f>
        <v/>
      </c>
      <c r="W299" s="25">
        <f>IF(E299="","",IF(COUNTIF(tbl_Onsite[Job Number],E299&amp;"")&gt;0,"Onsite",IF(COUNTIF(tbl_Production[Job Number],E299&amp;"")&gt;0,"Production",IF(COUNTIF(tbl_Consulting[Job Number],E299&amp;"")&gt;0,"Consulting","not set up yet"))))</f>
        <v/>
      </c>
      <c r="X299" s="25">
        <f>IF(E299="","",IFERROR(INDEX(lst_JobName,MATCH(E299&amp;"",lst_Jobs,0)),""))</f>
        <v/>
      </c>
      <c r="Y299" s="28">
        <f>IF(E299="","",COUNTIFS(tbl_Finance[Job Number],E299&amp;"",tbl_Finance[Ex GST],"&lt;&gt;"))</f>
        <v/>
      </c>
      <c r="Z299" s="27">
        <f>IF(E299="","",SUMIFS(tbl_Finance[Ex GST],tbl_Finance[Job Number],E299&amp;""))</f>
        <v/>
      </c>
      <c r="AA299" s="27">
        <f>IF(E299="","",SUMIFS(tbl_Finance[Ex GST],tbl_Finance[Job Number],E299&amp;"",tbl_Finance[Xero Invoice No],"&lt;&gt;"))</f>
        <v/>
      </c>
      <c r="AB299" s="27">
        <f>IF(E299="","",Z299-AA299)</f>
        <v/>
      </c>
      <c r="AC299" s="25">
        <f>IF(E299="","",IFERROR(IF(INDEX(tbl_Onsite[Qwilr Quote],MATCH(E299&amp;"",tbl_Onsite[Job Number],0))="","",INDEX(tbl_Onsite[Qwilr Quote],MATCH(E299&amp;"",tbl_Onsite[Job Number],0))),IFERROR(IF(IF(INDEX(tbl_Production[Current RMS No],MATCH(E299&amp;"",tbl_Production[Job Number],0))="",INDEX(tbl_Production[Qwilr Quote],MATCH(E299&amp;"",tbl_Production[Job Number],0)),INDEX(tbl_Production[Current RMS No],MATCH(E299&amp;"",tbl_Production[Job Number],0)))="","",IF(INDEX(tbl_Production[Current RMS No],MATCH(E299&amp;"",tbl_Production[Job Number],0))="",INDEX(tbl_Production[Qwilr Quote],MATCH(E299&amp;"",tbl_Production[Job Number],0)),INDEX(tbl_Production[Current RMS No],MATCH(E299&amp;"",tbl_Production[Job Number],0)))),IFERROR(IF(INDEX(tbl_Consulting[Qwilr Quote],MATCH(E299&amp;"",tbl_Consulting[Job Number],0))="","",INDEX(tbl_Consulting[Qwilr Quote],MATCH(E299&amp;"",tbl_Consulting[Job Number],0))),""))))</f>
        <v/>
      </c>
      <c r="AD299" s="25">
        <f>IF(AC299="","",IF(AND(LEFT(AC299,4)&lt;&gt;"http",IF(H299="Production",set_RMSBase,set_QwilrBase)=""),"",HYPERLINK(IF(LEFT(AC299,4)="http",AC299,IF(H299="Production",set_RMSBase,set_QwilrBase)&amp;AC299),"Open")))</f>
        <v/>
      </c>
      <c r="AE299" s="27">
        <f>IF(E299="","",IFERROR(INDEX(tbl_Production[Total Expense],MATCH(E299&amp;"",tbl_Production[Job Number],0)),IFERROR(INDEX(tbl_Consulting[Total Expense],MATCH(E299&amp;"",tbl_Consulting[Job Number],0)),0)))</f>
        <v/>
      </c>
      <c r="AF299" s="27">
        <f>IF(E299="","",Z299-N(AE299))</f>
        <v/>
      </c>
      <c r="AG299" s="29">
        <f>IFERROR(AF299/Z299,"")</f>
        <v/>
      </c>
      <c r="AH299" s="25">
        <f>IF(E299="","",IFERROR(IF(INDEX(tbl_Onsite[Notes],MATCH(E299&amp;"",tbl_Onsite[Job Number],0))="","",INDEX(tbl_Onsite[Notes],MATCH(E299&amp;"",tbl_Onsite[Job Number],0))),IFERROR(IF(INDEX(tbl_Production[Notes],MATCH(E299&amp;"",tbl_Production[Job Number],0))="","",INDEX(tbl_Production[Notes],MATCH(E299&amp;"",tbl_Production[Job Number],0))),IFERROR(IF(INDEX(tbl_Consulting[Notes],MATCH(E299&amp;"",tbl_Consulting[Job Number],0))="","",INDEX(tbl_Consulting[Notes],MATCH(E299&amp;"",tbl_Consulting[Job Number],0))),""))))</f>
        <v/>
      </c>
    </row>
    <row r="300" ht="15" customHeight="1">
      <c r="A300" s="22" t="n"/>
      <c r="B300" s="23">
        <f>IF(A300="","",EOMONTH(A300,0))</f>
        <v/>
      </c>
      <c r="C300" s="24" t="n"/>
      <c r="D300" s="24" t="n"/>
      <c r="E300" s="24" t="n"/>
      <c r="F300" s="25">
        <f>IF(E300="","",IF(COUNTIF(lst_Jobs,E300&amp;"")&gt;0,"OK","CHECK"))</f>
        <v/>
      </c>
      <c r="G300" s="24" t="n"/>
      <c r="H300" s="24" t="n"/>
      <c r="I300" s="24" t="n"/>
      <c r="J300" s="24" t="n"/>
      <c r="K300" s="24" t="n"/>
      <c r="L300" s="26" t="n"/>
      <c r="M300" s="27">
        <f>IF(L300="","",IF(K300="GST 10%",ROUND(L300*set_GSTRate,2),0))</f>
        <v/>
      </c>
      <c r="N300" s="27">
        <f>IF(L300="","",L300+M300)</f>
        <v/>
      </c>
      <c r="O300" s="24" t="n"/>
      <c r="P300" s="24" t="n"/>
      <c r="Q300" s="24" t="n"/>
      <c r="R300" s="22" t="n"/>
      <c r="S300" s="22" t="n"/>
      <c r="T300" s="24" t="n"/>
      <c r="U300" s="24" t="n"/>
      <c r="V300" s="25">
        <f>IF(COUNTA(A300,D300,C300,L300)=0,"",IF(A300="","No date - sits outside every month",IF(E300="","No job number",IF(F300="CHECK","Job number is not in the Xero job list",IF(I300="","No cost centre",IF(AND(P300="Y",C300=""),"Marked posted to Xero but has no invoice number",IF(AND(L300&lt;&gt;"",K300=""),"No tax code",IF(AND(L300&lt;&gt;"",O300=""),"No revenue GL code",""))))))))</f>
        <v/>
      </c>
      <c r="W300" s="25">
        <f>IF(E300="","",IF(COUNTIF(tbl_Onsite[Job Number],E300&amp;"")&gt;0,"Onsite",IF(COUNTIF(tbl_Production[Job Number],E300&amp;"")&gt;0,"Production",IF(COUNTIF(tbl_Consulting[Job Number],E300&amp;"")&gt;0,"Consulting","not set up yet"))))</f>
        <v/>
      </c>
      <c r="X300" s="25">
        <f>IF(E300="","",IFERROR(INDEX(lst_JobName,MATCH(E300&amp;"",lst_Jobs,0)),""))</f>
        <v/>
      </c>
      <c r="Y300" s="28">
        <f>IF(E300="","",COUNTIFS(tbl_Finance[Job Number],E300&amp;"",tbl_Finance[Ex GST],"&lt;&gt;"))</f>
        <v/>
      </c>
      <c r="Z300" s="27">
        <f>IF(E300="","",SUMIFS(tbl_Finance[Ex GST],tbl_Finance[Job Number],E300&amp;""))</f>
        <v/>
      </c>
      <c r="AA300" s="27">
        <f>IF(E300="","",SUMIFS(tbl_Finance[Ex GST],tbl_Finance[Job Number],E300&amp;"",tbl_Finance[Xero Invoice No],"&lt;&gt;"))</f>
        <v/>
      </c>
      <c r="AB300" s="27">
        <f>IF(E300="","",Z300-AA300)</f>
        <v/>
      </c>
      <c r="AC300" s="25">
        <f>IF(E300="","",IFERROR(IF(INDEX(tbl_Onsite[Qwilr Quote],MATCH(E300&amp;"",tbl_Onsite[Job Number],0))="","",INDEX(tbl_Onsite[Qwilr Quote],MATCH(E300&amp;"",tbl_Onsite[Job Number],0))),IFERROR(IF(IF(INDEX(tbl_Production[Current RMS No],MATCH(E300&amp;"",tbl_Production[Job Number],0))="",INDEX(tbl_Production[Qwilr Quote],MATCH(E300&amp;"",tbl_Production[Job Number],0)),INDEX(tbl_Production[Current RMS No],MATCH(E300&amp;"",tbl_Production[Job Number],0)))="","",IF(INDEX(tbl_Production[Current RMS No],MATCH(E300&amp;"",tbl_Production[Job Number],0))="",INDEX(tbl_Production[Qwilr Quote],MATCH(E300&amp;"",tbl_Production[Job Number],0)),INDEX(tbl_Production[Current RMS No],MATCH(E300&amp;"",tbl_Production[Job Number],0)))),IFERROR(IF(INDEX(tbl_Consulting[Qwilr Quote],MATCH(E300&amp;"",tbl_Consulting[Job Number],0))="","",INDEX(tbl_Consulting[Qwilr Quote],MATCH(E300&amp;"",tbl_Consulting[Job Number],0))),""))))</f>
        <v/>
      </c>
      <c r="AD300" s="25">
        <f>IF(AC300="","",IF(AND(LEFT(AC300,4)&lt;&gt;"http",IF(H300="Production",set_RMSBase,set_QwilrBase)=""),"",HYPERLINK(IF(LEFT(AC300,4)="http",AC300,IF(H300="Production",set_RMSBase,set_QwilrBase)&amp;AC300),"Open")))</f>
        <v/>
      </c>
      <c r="AE300" s="27">
        <f>IF(E300="","",IFERROR(INDEX(tbl_Production[Total Expense],MATCH(E300&amp;"",tbl_Production[Job Number],0)),IFERROR(INDEX(tbl_Consulting[Total Expense],MATCH(E300&amp;"",tbl_Consulting[Job Number],0)),0)))</f>
        <v/>
      </c>
      <c r="AF300" s="27">
        <f>IF(E300="","",Z300-N(AE300))</f>
        <v/>
      </c>
      <c r="AG300" s="29">
        <f>IFERROR(AF300/Z300,"")</f>
        <v/>
      </c>
      <c r="AH300" s="25">
        <f>IF(E300="","",IFERROR(IF(INDEX(tbl_Onsite[Notes],MATCH(E300&amp;"",tbl_Onsite[Job Number],0))="","",INDEX(tbl_Onsite[Notes],MATCH(E300&amp;"",tbl_Onsite[Job Number],0))),IFERROR(IF(INDEX(tbl_Production[Notes],MATCH(E300&amp;"",tbl_Production[Job Number],0))="","",INDEX(tbl_Production[Notes],MATCH(E300&amp;"",tbl_Production[Job Number],0))),IFERROR(IF(INDEX(tbl_Consulting[Notes],MATCH(E300&amp;"",tbl_Consulting[Job Number],0))="","",INDEX(tbl_Consulting[Notes],MATCH(E300&amp;"",tbl_Consulting[Job Number],0))),""))))</f>
        <v/>
      </c>
    </row>
    <row r="301" ht="15" customHeight="1">
      <c r="A301" s="22" t="n"/>
      <c r="B301" s="23">
        <f>IF(A301="","",EOMONTH(A301,0))</f>
        <v/>
      </c>
      <c r="C301" s="24" t="n"/>
      <c r="D301" s="24" t="n"/>
      <c r="E301" s="24" t="n"/>
      <c r="F301" s="25">
        <f>IF(E301="","",IF(COUNTIF(lst_Jobs,E301&amp;"")&gt;0,"OK","CHECK"))</f>
        <v/>
      </c>
      <c r="G301" s="24" t="n"/>
      <c r="H301" s="24" t="n"/>
      <c r="I301" s="24" t="n"/>
      <c r="J301" s="24" t="n"/>
      <c r="K301" s="24" t="n"/>
      <c r="L301" s="26" t="n"/>
      <c r="M301" s="27">
        <f>IF(L301="","",IF(K301="GST 10%",ROUND(L301*set_GSTRate,2),0))</f>
        <v/>
      </c>
      <c r="N301" s="27">
        <f>IF(L301="","",L301+M301)</f>
        <v/>
      </c>
      <c r="O301" s="24" t="n"/>
      <c r="P301" s="24" t="n"/>
      <c r="Q301" s="24" t="n"/>
      <c r="R301" s="22" t="n"/>
      <c r="S301" s="22" t="n"/>
      <c r="T301" s="24" t="n"/>
      <c r="U301" s="24" t="n"/>
      <c r="V301" s="25">
        <f>IF(COUNTA(A301,D301,C301,L301)=0,"",IF(A301="","No date - sits outside every month",IF(E301="","No job number",IF(F301="CHECK","Job number is not in the Xero job list",IF(I301="","No cost centre",IF(AND(P301="Y",C301=""),"Marked posted to Xero but has no invoice number",IF(AND(L301&lt;&gt;"",K301=""),"No tax code",IF(AND(L301&lt;&gt;"",O301=""),"No revenue GL code",""))))))))</f>
        <v/>
      </c>
      <c r="W301" s="25">
        <f>IF(E301="","",IF(COUNTIF(tbl_Onsite[Job Number],E301&amp;"")&gt;0,"Onsite",IF(COUNTIF(tbl_Production[Job Number],E301&amp;"")&gt;0,"Production",IF(COUNTIF(tbl_Consulting[Job Number],E301&amp;"")&gt;0,"Consulting","not set up yet"))))</f>
        <v/>
      </c>
      <c r="X301" s="25">
        <f>IF(E301="","",IFERROR(INDEX(lst_JobName,MATCH(E301&amp;"",lst_Jobs,0)),""))</f>
        <v/>
      </c>
      <c r="Y301" s="28">
        <f>IF(E301="","",COUNTIFS(tbl_Finance[Job Number],E301&amp;"",tbl_Finance[Ex GST],"&lt;&gt;"))</f>
        <v/>
      </c>
      <c r="Z301" s="27">
        <f>IF(E301="","",SUMIFS(tbl_Finance[Ex GST],tbl_Finance[Job Number],E301&amp;""))</f>
        <v/>
      </c>
      <c r="AA301" s="27">
        <f>IF(E301="","",SUMIFS(tbl_Finance[Ex GST],tbl_Finance[Job Number],E301&amp;"",tbl_Finance[Xero Invoice No],"&lt;&gt;"))</f>
        <v/>
      </c>
      <c r="AB301" s="27">
        <f>IF(E301="","",Z301-AA301)</f>
        <v/>
      </c>
      <c r="AC301" s="25">
        <f>IF(E301="","",IFERROR(IF(INDEX(tbl_Onsite[Qwilr Quote],MATCH(E301&amp;"",tbl_Onsite[Job Number],0))="","",INDEX(tbl_Onsite[Qwilr Quote],MATCH(E301&amp;"",tbl_Onsite[Job Number],0))),IFERROR(IF(IF(INDEX(tbl_Production[Current RMS No],MATCH(E301&amp;"",tbl_Production[Job Number],0))="",INDEX(tbl_Production[Qwilr Quote],MATCH(E301&amp;"",tbl_Production[Job Number],0)),INDEX(tbl_Production[Current RMS No],MATCH(E301&amp;"",tbl_Production[Job Number],0)))="","",IF(INDEX(tbl_Production[Current RMS No],MATCH(E301&amp;"",tbl_Production[Job Number],0))="",INDEX(tbl_Production[Qwilr Quote],MATCH(E301&amp;"",tbl_Production[Job Number],0)),INDEX(tbl_Production[Current RMS No],MATCH(E301&amp;"",tbl_Production[Job Number],0)))),IFERROR(IF(INDEX(tbl_Consulting[Qwilr Quote],MATCH(E301&amp;"",tbl_Consulting[Job Number],0))="","",INDEX(tbl_Consulting[Qwilr Quote],MATCH(E301&amp;"",tbl_Consulting[Job Number],0))),""))))</f>
        <v/>
      </c>
      <c r="AD301" s="25">
        <f>IF(AC301="","",IF(AND(LEFT(AC301,4)&lt;&gt;"http",IF(H301="Production",set_RMSBase,set_QwilrBase)=""),"",HYPERLINK(IF(LEFT(AC301,4)="http",AC301,IF(H301="Production",set_RMSBase,set_QwilrBase)&amp;AC301),"Open")))</f>
        <v/>
      </c>
      <c r="AE301" s="27">
        <f>IF(E301="","",IFERROR(INDEX(tbl_Production[Total Expense],MATCH(E301&amp;"",tbl_Production[Job Number],0)),IFERROR(INDEX(tbl_Consulting[Total Expense],MATCH(E301&amp;"",tbl_Consulting[Job Number],0)),0)))</f>
        <v/>
      </c>
      <c r="AF301" s="27">
        <f>IF(E301="","",Z301-N(AE301))</f>
        <v/>
      </c>
      <c r="AG301" s="29">
        <f>IFERROR(AF301/Z301,"")</f>
        <v/>
      </c>
      <c r="AH301" s="25">
        <f>IF(E301="","",IFERROR(IF(INDEX(tbl_Onsite[Notes],MATCH(E301&amp;"",tbl_Onsite[Job Number],0))="","",INDEX(tbl_Onsite[Notes],MATCH(E301&amp;"",tbl_Onsite[Job Number],0))),IFERROR(IF(INDEX(tbl_Production[Notes],MATCH(E301&amp;"",tbl_Production[Job Number],0))="","",INDEX(tbl_Production[Notes],MATCH(E301&amp;"",tbl_Production[Job Number],0))),IFERROR(IF(INDEX(tbl_Consulting[Notes],MATCH(E301&amp;"",tbl_Consulting[Job Number],0))="","",INDEX(tbl_Consulting[Notes],MATCH(E301&amp;"",tbl_Consulting[Job Number],0))),""))))</f>
        <v/>
      </c>
    </row>
    <row r="302" ht="15" customHeight="1">
      <c r="A302" s="22" t="n"/>
      <c r="B302" s="23">
        <f>IF(A302="","",EOMONTH(A302,0))</f>
        <v/>
      </c>
      <c r="C302" s="24" t="n"/>
      <c r="D302" s="24" t="n"/>
      <c r="E302" s="24" t="n"/>
      <c r="F302" s="25">
        <f>IF(E302="","",IF(COUNTIF(lst_Jobs,E302&amp;"")&gt;0,"OK","CHECK"))</f>
        <v/>
      </c>
      <c r="G302" s="24" t="n"/>
      <c r="H302" s="24" t="n"/>
      <c r="I302" s="24" t="n"/>
      <c r="J302" s="24" t="n"/>
      <c r="K302" s="24" t="n"/>
      <c r="L302" s="26" t="n"/>
      <c r="M302" s="27">
        <f>IF(L302="","",IF(K302="GST 10%",ROUND(L302*set_GSTRate,2),0))</f>
        <v/>
      </c>
      <c r="N302" s="27">
        <f>IF(L302="","",L302+M302)</f>
        <v/>
      </c>
      <c r="O302" s="24" t="n"/>
      <c r="P302" s="24" t="n"/>
      <c r="Q302" s="24" t="n"/>
      <c r="R302" s="22" t="n"/>
      <c r="S302" s="22" t="n"/>
      <c r="T302" s="24" t="n"/>
      <c r="U302" s="24" t="n"/>
      <c r="V302" s="25">
        <f>IF(COUNTA(A302,D302,C302,L302)=0,"",IF(A302="","No date - sits outside every month",IF(E302="","No job number",IF(F302="CHECK","Job number is not in the Xero job list",IF(I302="","No cost centre",IF(AND(P302="Y",C302=""),"Marked posted to Xero but has no invoice number",IF(AND(L302&lt;&gt;"",K302=""),"No tax code",IF(AND(L302&lt;&gt;"",O302=""),"No revenue GL code",""))))))))</f>
        <v/>
      </c>
      <c r="W302" s="25">
        <f>IF(E302="","",IF(COUNTIF(tbl_Onsite[Job Number],E302&amp;"")&gt;0,"Onsite",IF(COUNTIF(tbl_Production[Job Number],E302&amp;"")&gt;0,"Production",IF(COUNTIF(tbl_Consulting[Job Number],E302&amp;"")&gt;0,"Consulting","not set up yet"))))</f>
        <v/>
      </c>
      <c r="X302" s="25">
        <f>IF(E302="","",IFERROR(INDEX(lst_JobName,MATCH(E302&amp;"",lst_Jobs,0)),""))</f>
        <v/>
      </c>
      <c r="Y302" s="28">
        <f>IF(E302="","",COUNTIFS(tbl_Finance[Job Number],E302&amp;"",tbl_Finance[Ex GST],"&lt;&gt;"))</f>
        <v/>
      </c>
      <c r="Z302" s="27">
        <f>IF(E302="","",SUMIFS(tbl_Finance[Ex GST],tbl_Finance[Job Number],E302&amp;""))</f>
        <v/>
      </c>
      <c r="AA302" s="27">
        <f>IF(E302="","",SUMIFS(tbl_Finance[Ex GST],tbl_Finance[Job Number],E302&amp;"",tbl_Finance[Xero Invoice No],"&lt;&gt;"))</f>
        <v/>
      </c>
      <c r="AB302" s="27">
        <f>IF(E302="","",Z302-AA302)</f>
        <v/>
      </c>
      <c r="AC302" s="25">
        <f>IF(E302="","",IFERROR(IF(INDEX(tbl_Onsite[Qwilr Quote],MATCH(E302&amp;"",tbl_Onsite[Job Number],0))="","",INDEX(tbl_Onsite[Qwilr Quote],MATCH(E302&amp;"",tbl_Onsite[Job Number],0))),IFERROR(IF(IF(INDEX(tbl_Production[Current RMS No],MATCH(E302&amp;"",tbl_Production[Job Number],0))="",INDEX(tbl_Production[Qwilr Quote],MATCH(E302&amp;"",tbl_Production[Job Number],0)),INDEX(tbl_Production[Current RMS No],MATCH(E302&amp;"",tbl_Production[Job Number],0)))="","",IF(INDEX(tbl_Production[Current RMS No],MATCH(E302&amp;"",tbl_Production[Job Number],0))="",INDEX(tbl_Production[Qwilr Quote],MATCH(E302&amp;"",tbl_Production[Job Number],0)),INDEX(tbl_Production[Current RMS No],MATCH(E302&amp;"",tbl_Production[Job Number],0)))),IFERROR(IF(INDEX(tbl_Consulting[Qwilr Quote],MATCH(E302&amp;"",tbl_Consulting[Job Number],0))="","",INDEX(tbl_Consulting[Qwilr Quote],MATCH(E302&amp;"",tbl_Consulting[Job Number],0))),""))))</f>
        <v/>
      </c>
      <c r="AD302" s="25">
        <f>IF(AC302="","",IF(AND(LEFT(AC302,4)&lt;&gt;"http",IF(H302="Production",set_RMSBase,set_QwilrBase)=""),"",HYPERLINK(IF(LEFT(AC302,4)="http",AC302,IF(H302="Production",set_RMSBase,set_QwilrBase)&amp;AC302),"Open")))</f>
        <v/>
      </c>
      <c r="AE302" s="27">
        <f>IF(E302="","",IFERROR(INDEX(tbl_Production[Total Expense],MATCH(E302&amp;"",tbl_Production[Job Number],0)),IFERROR(INDEX(tbl_Consulting[Total Expense],MATCH(E302&amp;"",tbl_Consulting[Job Number],0)),0)))</f>
        <v/>
      </c>
      <c r="AF302" s="27">
        <f>IF(E302="","",Z302-N(AE302))</f>
        <v/>
      </c>
      <c r="AG302" s="29">
        <f>IFERROR(AF302/Z302,"")</f>
        <v/>
      </c>
      <c r="AH302" s="25">
        <f>IF(E302="","",IFERROR(IF(INDEX(tbl_Onsite[Notes],MATCH(E302&amp;"",tbl_Onsite[Job Number],0))="","",INDEX(tbl_Onsite[Notes],MATCH(E302&amp;"",tbl_Onsite[Job Number],0))),IFERROR(IF(INDEX(tbl_Production[Notes],MATCH(E302&amp;"",tbl_Production[Job Number],0))="","",INDEX(tbl_Production[Notes],MATCH(E302&amp;"",tbl_Production[Job Number],0))),IFERROR(IF(INDEX(tbl_Consulting[Notes],MATCH(E302&amp;"",tbl_Consulting[Job Number],0))="","",INDEX(tbl_Consulting[Notes],MATCH(E302&amp;"",tbl_Consulting[Job Number],0))),""))))</f>
        <v/>
      </c>
    </row>
    <row r="303" ht="15" customHeight="1">
      <c r="A303" s="22" t="n"/>
      <c r="B303" s="23">
        <f>IF(A303="","",EOMONTH(A303,0))</f>
        <v/>
      </c>
      <c r="C303" s="24" t="n"/>
      <c r="D303" s="24" t="n"/>
      <c r="E303" s="24" t="n"/>
      <c r="F303" s="25">
        <f>IF(E303="","",IF(COUNTIF(lst_Jobs,E303&amp;"")&gt;0,"OK","CHECK"))</f>
        <v/>
      </c>
      <c r="G303" s="24" t="n"/>
      <c r="H303" s="24" t="n"/>
      <c r="I303" s="24" t="n"/>
      <c r="J303" s="24" t="n"/>
      <c r="K303" s="24" t="n"/>
      <c r="L303" s="26" t="n"/>
      <c r="M303" s="27">
        <f>IF(L303="","",IF(K303="GST 10%",ROUND(L303*set_GSTRate,2),0))</f>
        <v/>
      </c>
      <c r="N303" s="27">
        <f>IF(L303="","",L303+M303)</f>
        <v/>
      </c>
      <c r="O303" s="24" t="n"/>
      <c r="P303" s="24" t="n"/>
      <c r="Q303" s="24" t="n"/>
      <c r="R303" s="22" t="n"/>
      <c r="S303" s="22" t="n"/>
      <c r="T303" s="24" t="n"/>
      <c r="U303" s="24" t="n"/>
      <c r="V303" s="25">
        <f>IF(COUNTA(A303,D303,C303,L303)=0,"",IF(A303="","No date - sits outside every month",IF(E303="","No job number",IF(F303="CHECK","Job number is not in the Xero job list",IF(I303="","No cost centre",IF(AND(P303="Y",C303=""),"Marked posted to Xero but has no invoice number",IF(AND(L303&lt;&gt;"",K303=""),"No tax code",IF(AND(L303&lt;&gt;"",O303=""),"No revenue GL code",""))))))))</f>
        <v/>
      </c>
      <c r="W303" s="25">
        <f>IF(E303="","",IF(COUNTIF(tbl_Onsite[Job Number],E303&amp;"")&gt;0,"Onsite",IF(COUNTIF(tbl_Production[Job Number],E303&amp;"")&gt;0,"Production",IF(COUNTIF(tbl_Consulting[Job Number],E303&amp;"")&gt;0,"Consulting","not set up yet"))))</f>
        <v/>
      </c>
      <c r="X303" s="25">
        <f>IF(E303="","",IFERROR(INDEX(lst_JobName,MATCH(E303&amp;"",lst_Jobs,0)),""))</f>
        <v/>
      </c>
      <c r="Y303" s="28">
        <f>IF(E303="","",COUNTIFS(tbl_Finance[Job Number],E303&amp;"",tbl_Finance[Ex GST],"&lt;&gt;"))</f>
        <v/>
      </c>
      <c r="Z303" s="27">
        <f>IF(E303="","",SUMIFS(tbl_Finance[Ex GST],tbl_Finance[Job Number],E303&amp;""))</f>
        <v/>
      </c>
      <c r="AA303" s="27">
        <f>IF(E303="","",SUMIFS(tbl_Finance[Ex GST],tbl_Finance[Job Number],E303&amp;"",tbl_Finance[Xero Invoice No],"&lt;&gt;"))</f>
        <v/>
      </c>
      <c r="AB303" s="27">
        <f>IF(E303="","",Z303-AA303)</f>
        <v/>
      </c>
      <c r="AC303" s="25">
        <f>IF(E303="","",IFERROR(IF(INDEX(tbl_Onsite[Qwilr Quote],MATCH(E303&amp;"",tbl_Onsite[Job Number],0))="","",INDEX(tbl_Onsite[Qwilr Quote],MATCH(E303&amp;"",tbl_Onsite[Job Number],0))),IFERROR(IF(IF(INDEX(tbl_Production[Current RMS No],MATCH(E303&amp;"",tbl_Production[Job Number],0))="",INDEX(tbl_Production[Qwilr Quote],MATCH(E303&amp;"",tbl_Production[Job Number],0)),INDEX(tbl_Production[Current RMS No],MATCH(E303&amp;"",tbl_Production[Job Number],0)))="","",IF(INDEX(tbl_Production[Current RMS No],MATCH(E303&amp;"",tbl_Production[Job Number],0))="",INDEX(tbl_Production[Qwilr Quote],MATCH(E303&amp;"",tbl_Production[Job Number],0)),INDEX(tbl_Production[Current RMS No],MATCH(E303&amp;"",tbl_Production[Job Number],0)))),IFERROR(IF(INDEX(tbl_Consulting[Qwilr Quote],MATCH(E303&amp;"",tbl_Consulting[Job Number],0))="","",INDEX(tbl_Consulting[Qwilr Quote],MATCH(E303&amp;"",tbl_Consulting[Job Number],0))),""))))</f>
        <v/>
      </c>
      <c r="AD303" s="25">
        <f>IF(AC303="","",IF(AND(LEFT(AC303,4)&lt;&gt;"http",IF(H303="Production",set_RMSBase,set_QwilrBase)=""),"",HYPERLINK(IF(LEFT(AC303,4)="http",AC303,IF(H303="Production",set_RMSBase,set_QwilrBase)&amp;AC303),"Open")))</f>
        <v/>
      </c>
      <c r="AE303" s="27">
        <f>IF(E303="","",IFERROR(INDEX(tbl_Production[Total Expense],MATCH(E303&amp;"",tbl_Production[Job Number],0)),IFERROR(INDEX(tbl_Consulting[Total Expense],MATCH(E303&amp;"",tbl_Consulting[Job Number],0)),0)))</f>
        <v/>
      </c>
      <c r="AF303" s="27">
        <f>IF(E303="","",Z303-N(AE303))</f>
        <v/>
      </c>
      <c r="AG303" s="29">
        <f>IFERROR(AF303/Z303,"")</f>
        <v/>
      </c>
      <c r="AH303" s="25">
        <f>IF(E303="","",IFERROR(IF(INDEX(tbl_Onsite[Notes],MATCH(E303&amp;"",tbl_Onsite[Job Number],0))="","",INDEX(tbl_Onsite[Notes],MATCH(E303&amp;"",tbl_Onsite[Job Number],0))),IFERROR(IF(INDEX(tbl_Production[Notes],MATCH(E303&amp;"",tbl_Production[Job Number],0))="","",INDEX(tbl_Production[Notes],MATCH(E303&amp;"",tbl_Production[Job Number],0))),IFERROR(IF(INDEX(tbl_Consulting[Notes],MATCH(E303&amp;"",tbl_Consulting[Job Number],0))="","",INDEX(tbl_Consulting[Notes],MATCH(E303&amp;"",tbl_Consulting[Job Number],0))),""))))</f>
        <v/>
      </c>
    </row>
    <row r="304" ht="15" customHeight="1">
      <c r="A304" s="22" t="n"/>
      <c r="B304" s="23">
        <f>IF(A304="","",EOMONTH(A304,0))</f>
        <v/>
      </c>
      <c r="C304" s="24" t="n"/>
      <c r="D304" s="24" t="n"/>
      <c r="E304" s="24" t="n"/>
      <c r="F304" s="25">
        <f>IF(E304="","",IF(COUNTIF(lst_Jobs,E304&amp;"")&gt;0,"OK","CHECK"))</f>
        <v/>
      </c>
      <c r="G304" s="24" t="n"/>
      <c r="H304" s="24" t="n"/>
      <c r="I304" s="24" t="n"/>
      <c r="J304" s="24" t="n"/>
      <c r="K304" s="24" t="n"/>
      <c r="L304" s="26" t="n"/>
      <c r="M304" s="27">
        <f>IF(L304="","",IF(K304="GST 10%",ROUND(L304*set_GSTRate,2),0))</f>
        <v/>
      </c>
      <c r="N304" s="27">
        <f>IF(L304="","",L304+M304)</f>
        <v/>
      </c>
      <c r="O304" s="24" t="n"/>
      <c r="P304" s="24" t="n"/>
      <c r="Q304" s="24" t="n"/>
      <c r="R304" s="22" t="n"/>
      <c r="S304" s="22" t="n"/>
      <c r="T304" s="24" t="n"/>
      <c r="U304" s="24" t="n"/>
      <c r="V304" s="25">
        <f>IF(COUNTA(A304,D304,C304,L304)=0,"",IF(A304="","No date - sits outside every month",IF(E304="","No job number",IF(F304="CHECK","Job number is not in the Xero job list",IF(I304="","No cost centre",IF(AND(P304="Y",C304=""),"Marked posted to Xero but has no invoice number",IF(AND(L304&lt;&gt;"",K304=""),"No tax code",IF(AND(L304&lt;&gt;"",O304=""),"No revenue GL code",""))))))))</f>
        <v/>
      </c>
      <c r="W304" s="25">
        <f>IF(E304="","",IF(COUNTIF(tbl_Onsite[Job Number],E304&amp;"")&gt;0,"Onsite",IF(COUNTIF(tbl_Production[Job Number],E304&amp;"")&gt;0,"Production",IF(COUNTIF(tbl_Consulting[Job Number],E304&amp;"")&gt;0,"Consulting","not set up yet"))))</f>
        <v/>
      </c>
      <c r="X304" s="25">
        <f>IF(E304="","",IFERROR(INDEX(lst_JobName,MATCH(E304&amp;"",lst_Jobs,0)),""))</f>
        <v/>
      </c>
      <c r="Y304" s="28">
        <f>IF(E304="","",COUNTIFS(tbl_Finance[Job Number],E304&amp;"",tbl_Finance[Ex GST],"&lt;&gt;"))</f>
        <v/>
      </c>
      <c r="Z304" s="27">
        <f>IF(E304="","",SUMIFS(tbl_Finance[Ex GST],tbl_Finance[Job Number],E304&amp;""))</f>
        <v/>
      </c>
      <c r="AA304" s="27">
        <f>IF(E304="","",SUMIFS(tbl_Finance[Ex GST],tbl_Finance[Job Number],E304&amp;"",tbl_Finance[Xero Invoice No],"&lt;&gt;"))</f>
        <v/>
      </c>
      <c r="AB304" s="27">
        <f>IF(E304="","",Z304-AA304)</f>
        <v/>
      </c>
      <c r="AC304" s="25">
        <f>IF(E304="","",IFERROR(IF(INDEX(tbl_Onsite[Qwilr Quote],MATCH(E304&amp;"",tbl_Onsite[Job Number],0))="","",INDEX(tbl_Onsite[Qwilr Quote],MATCH(E304&amp;"",tbl_Onsite[Job Number],0))),IFERROR(IF(IF(INDEX(tbl_Production[Current RMS No],MATCH(E304&amp;"",tbl_Production[Job Number],0))="",INDEX(tbl_Production[Qwilr Quote],MATCH(E304&amp;"",tbl_Production[Job Number],0)),INDEX(tbl_Production[Current RMS No],MATCH(E304&amp;"",tbl_Production[Job Number],0)))="","",IF(INDEX(tbl_Production[Current RMS No],MATCH(E304&amp;"",tbl_Production[Job Number],0))="",INDEX(tbl_Production[Qwilr Quote],MATCH(E304&amp;"",tbl_Production[Job Number],0)),INDEX(tbl_Production[Current RMS No],MATCH(E304&amp;"",tbl_Production[Job Number],0)))),IFERROR(IF(INDEX(tbl_Consulting[Qwilr Quote],MATCH(E304&amp;"",tbl_Consulting[Job Number],0))="","",INDEX(tbl_Consulting[Qwilr Quote],MATCH(E304&amp;"",tbl_Consulting[Job Number],0))),""))))</f>
        <v/>
      </c>
      <c r="AD304" s="25">
        <f>IF(AC304="","",IF(AND(LEFT(AC304,4)&lt;&gt;"http",IF(H304="Production",set_RMSBase,set_QwilrBase)=""),"",HYPERLINK(IF(LEFT(AC304,4)="http",AC304,IF(H304="Production",set_RMSBase,set_QwilrBase)&amp;AC304),"Open")))</f>
        <v/>
      </c>
      <c r="AE304" s="27">
        <f>IF(E304="","",IFERROR(INDEX(tbl_Production[Total Expense],MATCH(E304&amp;"",tbl_Production[Job Number],0)),IFERROR(INDEX(tbl_Consulting[Total Expense],MATCH(E304&amp;"",tbl_Consulting[Job Number],0)),0)))</f>
        <v/>
      </c>
      <c r="AF304" s="27">
        <f>IF(E304="","",Z304-N(AE304))</f>
        <v/>
      </c>
      <c r="AG304" s="29">
        <f>IFERROR(AF304/Z304,"")</f>
        <v/>
      </c>
      <c r="AH304" s="25">
        <f>IF(E304="","",IFERROR(IF(INDEX(tbl_Onsite[Notes],MATCH(E304&amp;"",tbl_Onsite[Job Number],0))="","",INDEX(tbl_Onsite[Notes],MATCH(E304&amp;"",tbl_Onsite[Job Number],0))),IFERROR(IF(INDEX(tbl_Production[Notes],MATCH(E304&amp;"",tbl_Production[Job Number],0))="","",INDEX(tbl_Production[Notes],MATCH(E304&amp;"",tbl_Production[Job Number],0))),IFERROR(IF(INDEX(tbl_Consulting[Notes],MATCH(E304&amp;"",tbl_Consulting[Job Number],0))="","",INDEX(tbl_Consulting[Notes],MATCH(E304&amp;"",tbl_Consulting[Job Number],0))),""))))</f>
        <v/>
      </c>
    </row>
    <row r="305" ht="15" customHeight="1">
      <c r="A305" s="22" t="n"/>
      <c r="B305" s="23">
        <f>IF(A305="","",EOMONTH(A305,0))</f>
        <v/>
      </c>
      <c r="C305" s="24" t="n"/>
      <c r="D305" s="24" t="n"/>
      <c r="E305" s="24" t="n"/>
      <c r="F305" s="25">
        <f>IF(E305="","",IF(COUNTIF(lst_Jobs,E305&amp;"")&gt;0,"OK","CHECK"))</f>
        <v/>
      </c>
      <c r="G305" s="24" t="n"/>
      <c r="H305" s="24" t="n"/>
      <c r="I305" s="24" t="n"/>
      <c r="J305" s="24" t="n"/>
      <c r="K305" s="24" t="n"/>
      <c r="L305" s="26" t="n"/>
      <c r="M305" s="27">
        <f>IF(L305="","",IF(K305="GST 10%",ROUND(L305*set_GSTRate,2),0))</f>
        <v/>
      </c>
      <c r="N305" s="27">
        <f>IF(L305="","",L305+M305)</f>
        <v/>
      </c>
      <c r="O305" s="24" t="n"/>
      <c r="P305" s="24" t="n"/>
      <c r="Q305" s="24" t="n"/>
      <c r="R305" s="22" t="n"/>
      <c r="S305" s="22" t="n"/>
      <c r="T305" s="24" t="n"/>
      <c r="U305" s="24" t="n"/>
      <c r="V305" s="25">
        <f>IF(COUNTA(A305,D305,C305,L305)=0,"",IF(A305="","No date - sits outside every month",IF(E305="","No job number",IF(F305="CHECK","Job number is not in the Xero job list",IF(I305="","No cost centre",IF(AND(P305="Y",C305=""),"Marked posted to Xero but has no invoice number",IF(AND(L305&lt;&gt;"",K305=""),"No tax code",IF(AND(L305&lt;&gt;"",O305=""),"No revenue GL code",""))))))))</f>
        <v/>
      </c>
      <c r="W305" s="25">
        <f>IF(E305="","",IF(COUNTIF(tbl_Onsite[Job Number],E305&amp;"")&gt;0,"Onsite",IF(COUNTIF(tbl_Production[Job Number],E305&amp;"")&gt;0,"Production",IF(COUNTIF(tbl_Consulting[Job Number],E305&amp;"")&gt;0,"Consulting","not set up yet"))))</f>
        <v/>
      </c>
      <c r="X305" s="25">
        <f>IF(E305="","",IFERROR(INDEX(lst_JobName,MATCH(E305&amp;"",lst_Jobs,0)),""))</f>
        <v/>
      </c>
      <c r="Y305" s="28">
        <f>IF(E305="","",COUNTIFS(tbl_Finance[Job Number],E305&amp;"",tbl_Finance[Ex GST],"&lt;&gt;"))</f>
        <v/>
      </c>
      <c r="Z305" s="27">
        <f>IF(E305="","",SUMIFS(tbl_Finance[Ex GST],tbl_Finance[Job Number],E305&amp;""))</f>
        <v/>
      </c>
      <c r="AA305" s="27">
        <f>IF(E305="","",SUMIFS(tbl_Finance[Ex GST],tbl_Finance[Job Number],E305&amp;"",tbl_Finance[Xero Invoice No],"&lt;&gt;"))</f>
        <v/>
      </c>
      <c r="AB305" s="27">
        <f>IF(E305="","",Z305-AA305)</f>
        <v/>
      </c>
      <c r="AC305" s="25">
        <f>IF(E305="","",IFERROR(IF(INDEX(tbl_Onsite[Qwilr Quote],MATCH(E305&amp;"",tbl_Onsite[Job Number],0))="","",INDEX(tbl_Onsite[Qwilr Quote],MATCH(E305&amp;"",tbl_Onsite[Job Number],0))),IFERROR(IF(IF(INDEX(tbl_Production[Current RMS No],MATCH(E305&amp;"",tbl_Production[Job Number],0))="",INDEX(tbl_Production[Qwilr Quote],MATCH(E305&amp;"",tbl_Production[Job Number],0)),INDEX(tbl_Production[Current RMS No],MATCH(E305&amp;"",tbl_Production[Job Number],0)))="","",IF(INDEX(tbl_Production[Current RMS No],MATCH(E305&amp;"",tbl_Production[Job Number],0))="",INDEX(tbl_Production[Qwilr Quote],MATCH(E305&amp;"",tbl_Production[Job Number],0)),INDEX(tbl_Production[Current RMS No],MATCH(E305&amp;"",tbl_Production[Job Number],0)))),IFERROR(IF(INDEX(tbl_Consulting[Qwilr Quote],MATCH(E305&amp;"",tbl_Consulting[Job Number],0))="","",INDEX(tbl_Consulting[Qwilr Quote],MATCH(E305&amp;"",tbl_Consulting[Job Number],0))),""))))</f>
        <v/>
      </c>
      <c r="AD305" s="25">
        <f>IF(AC305="","",IF(AND(LEFT(AC305,4)&lt;&gt;"http",IF(H305="Production",set_RMSBase,set_QwilrBase)=""),"",HYPERLINK(IF(LEFT(AC305,4)="http",AC305,IF(H305="Production",set_RMSBase,set_QwilrBase)&amp;AC305),"Open")))</f>
        <v/>
      </c>
      <c r="AE305" s="27">
        <f>IF(E305="","",IFERROR(INDEX(tbl_Production[Total Expense],MATCH(E305&amp;"",tbl_Production[Job Number],0)),IFERROR(INDEX(tbl_Consulting[Total Expense],MATCH(E305&amp;"",tbl_Consulting[Job Number],0)),0)))</f>
        <v/>
      </c>
      <c r="AF305" s="27">
        <f>IF(E305="","",Z305-N(AE305))</f>
        <v/>
      </c>
      <c r="AG305" s="29">
        <f>IFERROR(AF305/Z305,"")</f>
        <v/>
      </c>
      <c r="AH305" s="25">
        <f>IF(E305="","",IFERROR(IF(INDEX(tbl_Onsite[Notes],MATCH(E305&amp;"",tbl_Onsite[Job Number],0))="","",INDEX(tbl_Onsite[Notes],MATCH(E305&amp;"",tbl_Onsite[Job Number],0))),IFERROR(IF(INDEX(tbl_Production[Notes],MATCH(E305&amp;"",tbl_Production[Job Number],0))="","",INDEX(tbl_Production[Notes],MATCH(E305&amp;"",tbl_Production[Job Number],0))),IFERROR(IF(INDEX(tbl_Consulting[Notes],MATCH(E305&amp;"",tbl_Consulting[Job Number],0))="","",INDEX(tbl_Consulting[Notes],MATCH(E305&amp;"",tbl_Consulting[Job Number],0))),""))))</f>
        <v/>
      </c>
    </row>
    <row r="306" ht="15" customHeight="1">
      <c r="A306" s="22" t="n"/>
      <c r="B306" s="23">
        <f>IF(A306="","",EOMONTH(A306,0))</f>
        <v/>
      </c>
      <c r="C306" s="24" t="n"/>
      <c r="D306" s="24" t="n"/>
      <c r="E306" s="24" t="n"/>
      <c r="F306" s="25">
        <f>IF(E306="","",IF(COUNTIF(lst_Jobs,E306&amp;"")&gt;0,"OK","CHECK"))</f>
        <v/>
      </c>
      <c r="G306" s="24" t="n"/>
      <c r="H306" s="24" t="n"/>
      <c r="I306" s="24" t="n"/>
      <c r="J306" s="24" t="n"/>
      <c r="K306" s="24" t="n"/>
      <c r="L306" s="26" t="n"/>
      <c r="M306" s="27">
        <f>IF(L306="","",IF(K306="GST 10%",ROUND(L306*set_GSTRate,2),0))</f>
        <v/>
      </c>
      <c r="N306" s="27">
        <f>IF(L306="","",L306+M306)</f>
        <v/>
      </c>
      <c r="O306" s="24" t="n"/>
      <c r="P306" s="24" t="n"/>
      <c r="Q306" s="24" t="n"/>
      <c r="R306" s="22" t="n"/>
      <c r="S306" s="22" t="n"/>
      <c r="T306" s="24" t="n"/>
      <c r="U306" s="24" t="n"/>
      <c r="V306" s="25">
        <f>IF(COUNTA(A306,D306,C306,L306)=0,"",IF(A306="","No date - sits outside every month",IF(E306="","No job number",IF(F306="CHECK","Job number is not in the Xero job list",IF(I306="","No cost centre",IF(AND(P306="Y",C306=""),"Marked posted to Xero but has no invoice number",IF(AND(L306&lt;&gt;"",K306=""),"No tax code",IF(AND(L306&lt;&gt;"",O306=""),"No revenue GL code",""))))))))</f>
        <v/>
      </c>
      <c r="W306" s="25">
        <f>IF(E306="","",IF(COUNTIF(tbl_Onsite[Job Number],E306&amp;"")&gt;0,"Onsite",IF(COUNTIF(tbl_Production[Job Number],E306&amp;"")&gt;0,"Production",IF(COUNTIF(tbl_Consulting[Job Number],E306&amp;"")&gt;0,"Consulting","not set up yet"))))</f>
        <v/>
      </c>
      <c r="X306" s="25">
        <f>IF(E306="","",IFERROR(INDEX(lst_JobName,MATCH(E306&amp;"",lst_Jobs,0)),""))</f>
        <v/>
      </c>
      <c r="Y306" s="28">
        <f>IF(E306="","",COUNTIFS(tbl_Finance[Job Number],E306&amp;"",tbl_Finance[Ex GST],"&lt;&gt;"))</f>
        <v/>
      </c>
      <c r="Z306" s="27">
        <f>IF(E306="","",SUMIFS(tbl_Finance[Ex GST],tbl_Finance[Job Number],E306&amp;""))</f>
        <v/>
      </c>
      <c r="AA306" s="27">
        <f>IF(E306="","",SUMIFS(tbl_Finance[Ex GST],tbl_Finance[Job Number],E306&amp;"",tbl_Finance[Xero Invoice No],"&lt;&gt;"))</f>
        <v/>
      </c>
      <c r="AB306" s="27">
        <f>IF(E306="","",Z306-AA306)</f>
        <v/>
      </c>
      <c r="AC306" s="25">
        <f>IF(E306="","",IFERROR(IF(INDEX(tbl_Onsite[Qwilr Quote],MATCH(E306&amp;"",tbl_Onsite[Job Number],0))="","",INDEX(tbl_Onsite[Qwilr Quote],MATCH(E306&amp;"",tbl_Onsite[Job Number],0))),IFERROR(IF(IF(INDEX(tbl_Production[Current RMS No],MATCH(E306&amp;"",tbl_Production[Job Number],0))="",INDEX(tbl_Production[Qwilr Quote],MATCH(E306&amp;"",tbl_Production[Job Number],0)),INDEX(tbl_Production[Current RMS No],MATCH(E306&amp;"",tbl_Production[Job Number],0)))="","",IF(INDEX(tbl_Production[Current RMS No],MATCH(E306&amp;"",tbl_Production[Job Number],0))="",INDEX(tbl_Production[Qwilr Quote],MATCH(E306&amp;"",tbl_Production[Job Number],0)),INDEX(tbl_Production[Current RMS No],MATCH(E306&amp;"",tbl_Production[Job Number],0)))),IFERROR(IF(INDEX(tbl_Consulting[Qwilr Quote],MATCH(E306&amp;"",tbl_Consulting[Job Number],0))="","",INDEX(tbl_Consulting[Qwilr Quote],MATCH(E306&amp;"",tbl_Consulting[Job Number],0))),""))))</f>
        <v/>
      </c>
      <c r="AD306" s="25">
        <f>IF(AC306="","",IF(AND(LEFT(AC306,4)&lt;&gt;"http",IF(H306="Production",set_RMSBase,set_QwilrBase)=""),"",HYPERLINK(IF(LEFT(AC306,4)="http",AC306,IF(H306="Production",set_RMSBase,set_QwilrBase)&amp;AC306),"Open")))</f>
        <v/>
      </c>
      <c r="AE306" s="27">
        <f>IF(E306="","",IFERROR(INDEX(tbl_Production[Total Expense],MATCH(E306&amp;"",tbl_Production[Job Number],0)),IFERROR(INDEX(tbl_Consulting[Total Expense],MATCH(E306&amp;"",tbl_Consulting[Job Number],0)),0)))</f>
        <v/>
      </c>
      <c r="AF306" s="27">
        <f>IF(E306="","",Z306-N(AE306))</f>
        <v/>
      </c>
      <c r="AG306" s="29">
        <f>IFERROR(AF306/Z306,"")</f>
        <v/>
      </c>
      <c r="AH306" s="25">
        <f>IF(E306="","",IFERROR(IF(INDEX(tbl_Onsite[Notes],MATCH(E306&amp;"",tbl_Onsite[Job Number],0))="","",INDEX(tbl_Onsite[Notes],MATCH(E306&amp;"",tbl_Onsite[Job Number],0))),IFERROR(IF(INDEX(tbl_Production[Notes],MATCH(E306&amp;"",tbl_Production[Job Number],0))="","",INDEX(tbl_Production[Notes],MATCH(E306&amp;"",tbl_Production[Job Number],0))),IFERROR(IF(INDEX(tbl_Consulting[Notes],MATCH(E306&amp;"",tbl_Consulting[Job Number],0))="","",INDEX(tbl_Consulting[Notes],MATCH(E306&amp;"",tbl_Consulting[Job Number],0))),""))))</f>
        <v/>
      </c>
    </row>
    <row r="307" ht="15" customHeight="1">
      <c r="A307" s="22" t="n"/>
      <c r="B307" s="23">
        <f>IF(A307="","",EOMONTH(A307,0))</f>
        <v/>
      </c>
      <c r="C307" s="24" t="n"/>
      <c r="D307" s="24" t="n"/>
      <c r="E307" s="24" t="n"/>
      <c r="F307" s="25">
        <f>IF(E307="","",IF(COUNTIF(lst_Jobs,E307&amp;"")&gt;0,"OK","CHECK"))</f>
        <v/>
      </c>
      <c r="G307" s="24" t="n"/>
      <c r="H307" s="24" t="n"/>
      <c r="I307" s="24" t="n"/>
      <c r="J307" s="24" t="n"/>
      <c r="K307" s="24" t="n"/>
      <c r="L307" s="26" t="n"/>
      <c r="M307" s="27">
        <f>IF(L307="","",IF(K307="GST 10%",ROUND(L307*set_GSTRate,2),0))</f>
        <v/>
      </c>
      <c r="N307" s="27">
        <f>IF(L307="","",L307+M307)</f>
        <v/>
      </c>
      <c r="O307" s="24" t="n"/>
      <c r="P307" s="24" t="n"/>
      <c r="Q307" s="24" t="n"/>
      <c r="R307" s="22" t="n"/>
      <c r="S307" s="22" t="n"/>
      <c r="T307" s="24" t="n"/>
      <c r="U307" s="24" t="n"/>
      <c r="V307" s="25">
        <f>IF(COUNTA(A307,D307,C307,L307)=0,"",IF(A307="","No date - sits outside every month",IF(E307="","No job number",IF(F307="CHECK","Job number is not in the Xero job list",IF(I307="","No cost centre",IF(AND(P307="Y",C307=""),"Marked posted to Xero but has no invoice number",IF(AND(L307&lt;&gt;"",K307=""),"No tax code",IF(AND(L307&lt;&gt;"",O307=""),"No revenue GL code",""))))))))</f>
        <v/>
      </c>
      <c r="W307" s="25">
        <f>IF(E307="","",IF(COUNTIF(tbl_Onsite[Job Number],E307&amp;"")&gt;0,"Onsite",IF(COUNTIF(tbl_Production[Job Number],E307&amp;"")&gt;0,"Production",IF(COUNTIF(tbl_Consulting[Job Number],E307&amp;"")&gt;0,"Consulting","not set up yet"))))</f>
        <v/>
      </c>
      <c r="X307" s="25">
        <f>IF(E307="","",IFERROR(INDEX(lst_JobName,MATCH(E307&amp;"",lst_Jobs,0)),""))</f>
        <v/>
      </c>
      <c r="Y307" s="28">
        <f>IF(E307="","",COUNTIFS(tbl_Finance[Job Number],E307&amp;"",tbl_Finance[Ex GST],"&lt;&gt;"))</f>
        <v/>
      </c>
      <c r="Z307" s="27">
        <f>IF(E307="","",SUMIFS(tbl_Finance[Ex GST],tbl_Finance[Job Number],E307&amp;""))</f>
        <v/>
      </c>
      <c r="AA307" s="27">
        <f>IF(E307="","",SUMIFS(tbl_Finance[Ex GST],tbl_Finance[Job Number],E307&amp;"",tbl_Finance[Xero Invoice No],"&lt;&gt;"))</f>
        <v/>
      </c>
      <c r="AB307" s="27">
        <f>IF(E307="","",Z307-AA307)</f>
        <v/>
      </c>
      <c r="AC307" s="25">
        <f>IF(E307="","",IFERROR(IF(INDEX(tbl_Onsite[Qwilr Quote],MATCH(E307&amp;"",tbl_Onsite[Job Number],0))="","",INDEX(tbl_Onsite[Qwilr Quote],MATCH(E307&amp;"",tbl_Onsite[Job Number],0))),IFERROR(IF(IF(INDEX(tbl_Production[Current RMS No],MATCH(E307&amp;"",tbl_Production[Job Number],0))="",INDEX(tbl_Production[Qwilr Quote],MATCH(E307&amp;"",tbl_Production[Job Number],0)),INDEX(tbl_Production[Current RMS No],MATCH(E307&amp;"",tbl_Production[Job Number],0)))="","",IF(INDEX(tbl_Production[Current RMS No],MATCH(E307&amp;"",tbl_Production[Job Number],0))="",INDEX(tbl_Production[Qwilr Quote],MATCH(E307&amp;"",tbl_Production[Job Number],0)),INDEX(tbl_Production[Current RMS No],MATCH(E307&amp;"",tbl_Production[Job Number],0)))),IFERROR(IF(INDEX(tbl_Consulting[Qwilr Quote],MATCH(E307&amp;"",tbl_Consulting[Job Number],0))="","",INDEX(tbl_Consulting[Qwilr Quote],MATCH(E307&amp;"",tbl_Consulting[Job Number],0))),""))))</f>
        <v/>
      </c>
      <c r="AD307" s="25">
        <f>IF(AC307="","",IF(AND(LEFT(AC307,4)&lt;&gt;"http",IF(H307="Production",set_RMSBase,set_QwilrBase)=""),"",HYPERLINK(IF(LEFT(AC307,4)="http",AC307,IF(H307="Production",set_RMSBase,set_QwilrBase)&amp;AC307),"Open")))</f>
        <v/>
      </c>
      <c r="AE307" s="27">
        <f>IF(E307="","",IFERROR(INDEX(tbl_Production[Total Expense],MATCH(E307&amp;"",tbl_Production[Job Number],0)),IFERROR(INDEX(tbl_Consulting[Total Expense],MATCH(E307&amp;"",tbl_Consulting[Job Number],0)),0)))</f>
        <v/>
      </c>
      <c r="AF307" s="27">
        <f>IF(E307="","",Z307-N(AE307))</f>
        <v/>
      </c>
      <c r="AG307" s="29">
        <f>IFERROR(AF307/Z307,"")</f>
        <v/>
      </c>
      <c r="AH307" s="25">
        <f>IF(E307="","",IFERROR(IF(INDEX(tbl_Onsite[Notes],MATCH(E307&amp;"",tbl_Onsite[Job Number],0))="","",INDEX(tbl_Onsite[Notes],MATCH(E307&amp;"",tbl_Onsite[Job Number],0))),IFERROR(IF(INDEX(tbl_Production[Notes],MATCH(E307&amp;"",tbl_Production[Job Number],0))="","",INDEX(tbl_Production[Notes],MATCH(E307&amp;"",tbl_Production[Job Number],0))),IFERROR(IF(INDEX(tbl_Consulting[Notes],MATCH(E307&amp;"",tbl_Consulting[Job Number],0))="","",INDEX(tbl_Consulting[Notes],MATCH(E307&amp;"",tbl_Consulting[Job Number],0))),""))))</f>
        <v/>
      </c>
    </row>
    <row r="308" ht="15" customHeight="1">
      <c r="A308" s="22" t="n"/>
      <c r="B308" s="23">
        <f>IF(A308="","",EOMONTH(A308,0))</f>
        <v/>
      </c>
      <c r="C308" s="24" t="n"/>
      <c r="D308" s="24" t="n"/>
      <c r="E308" s="24" t="n"/>
      <c r="F308" s="25">
        <f>IF(E308="","",IF(COUNTIF(lst_Jobs,E308&amp;"")&gt;0,"OK","CHECK"))</f>
        <v/>
      </c>
      <c r="G308" s="24" t="n"/>
      <c r="H308" s="24" t="n"/>
      <c r="I308" s="24" t="n"/>
      <c r="J308" s="24" t="n"/>
      <c r="K308" s="24" t="n"/>
      <c r="L308" s="26" t="n"/>
      <c r="M308" s="27">
        <f>IF(L308="","",IF(K308="GST 10%",ROUND(L308*set_GSTRate,2),0))</f>
        <v/>
      </c>
      <c r="N308" s="27">
        <f>IF(L308="","",L308+M308)</f>
        <v/>
      </c>
      <c r="O308" s="24" t="n"/>
      <c r="P308" s="24" t="n"/>
      <c r="Q308" s="24" t="n"/>
      <c r="R308" s="22" t="n"/>
      <c r="S308" s="22" t="n"/>
      <c r="T308" s="24" t="n"/>
      <c r="U308" s="24" t="n"/>
      <c r="V308" s="25">
        <f>IF(COUNTA(A308,D308,C308,L308)=0,"",IF(A308="","No date - sits outside every month",IF(E308="","No job number",IF(F308="CHECK","Job number is not in the Xero job list",IF(I308="","No cost centre",IF(AND(P308="Y",C308=""),"Marked posted to Xero but has no invoice number",IF(AND(L308&lt;&gt;"",K308=""),"No tax code",IF(AND(L308&lt;&gt;"",O308=""),"No revenue GL code",""))))))))</f>
        <v/>
      </c>
      <c r="W308" s="25">
        <f>IF(E308="","",IF(COUNTIF(tbl_Onsite[Job Number],E308&amp;"")&gt;0,"Onsite",IF(COUNTIF(tbl_Production[Job Number],E308&amp;"")&gt;0,"Production",IF(COUNTIF(tbl_Consulting[Job Number],E308&amp;"")&gt;0,"Consulting","not set up yet"))))</f>
        <v/>
      </c>
      <c r="X308" s="25">
        <f>IF(E308="","",IFERROR(INDEX(lst_JobName,MATCH(E308&amp;"",lst_Jobs,0)),""))</f>
        <v/>
      </c>
      <c r="Y308" s="28">
        <f>IF(E308="","",COUNTIFS(tbl_Finance[Job Number],E308&amp;"",tbl_Finance[Ex GST],"&lt;&gt;"))</f>
        <v/>
      </c>
      <c r="Z308" s="27">
        <f>IF(E308="","",SUMIFS(tbl_Finance[Ex GST],tbl_Finance[Job Number],E308&amp;""))</f>
        <v/>
      </c>
      <c r="AA308" s="27">
        <f>IF(E308="","",SUMIFS(tbl_Finance[Ex GST],tbl_Finance[Job Number],E308&amp;"",tbl_Finance[Xero Invoice No],"&lt;&gt;"))</f>
        <v/>
      </c>
      <c r="AB308" s="27">
        <f>IF(E308="","",Z308-AA308)</f>
        <v/>
      </c>
      <c r="AC308" s="25">
        <f>IF(E308="","",IFERROR(IF(INDEX(tbl_Onsite[Qwilr Quote],MATCH(E308&amp;"",tbl_Onsite[Job Number],0))="","",INDEX(tbl_Onsite[Qwilr Quote],MATCH(E308&amp;"",tbl_Onsite[Job Number],0))),IFERROR(IF(IF(INDEX(tbl_Production[Current RMS No],MATCH(E308&amp;"",tbl_Production[Job Number],0))="",INDEX(tbl_Production[Qwilr Quote],MATCH(E308&amp;"",tbl_Production[Job Number],0)),INDEX(tbl_Production[Current RMS No],MATCH(E308&amp;"",tbl_Production[Job Number],0)))="","",IF(INDEX(tbl_Production[Current RMS No],MATCH(E308&amp;"",tbl_Production[Job Number],0))="",INDEX(tbl_Production[Qwilr Quote],MATCH(E308&amp;"",tbl_Production[Job Number],0)),INDEX(tbl_Production[Current RMS No],MATCH(E308&amp;"",tbl_Production[Job Number],0)))),IFERROR(IF(INDEX(tbl_Consulting[Qwilr Quote],MATCH(E308&amp;"",tbl_Consulting[Job Number],0))="","",INDEX(tbl_Consulting[Qwilr Quote],MATCH(E308&amp;"",tbl_Consulting[Job Number],0))),""))))</f>
        <v/>
      </c>
      <c r="AD308" s="25">
        <f>IF(AC308="","",IF(AND(LEFT(AC308,4)&lt;&gt;"http",IF(H308="Production",set_RMSBase,set_QwilrBase)=""),"",HYPERLINK(IF(LEFT(AC308,4)="http",AC308,IF(H308="Production",set_RMSBase,set_QwilrBase)&amp;AC308),"Open")))</f>
        <v/>
      </c>
      <c r="AE308" s="27">
        <f>IF(E308="","",IFERROR(INDEX(tbl_Production[Total Expense],MATCH(E308&amp;"",tbl_Production[Job Number],0)),IFERROR(INDEX(tbl_Consulting[Total Expense],MATCH(E308&amp;"",tbl_Consulting[Job Number],0)),0)))</f>
        <v/>
      </c>
      <c r="AF308" s="27">
        <f>IF(E308="","",Z308-N(AE308))</f>
        <v/>
      </c>
      <c r="AG308" s="29">
        <f>IFERROR(AF308/Z308,"")</f>
        <v/>
      </c>
      <c r="AH308" s="25">
        <f>IF(E308="","",IFERROR(IF(INDEX(tbl_Onsite[Notes],MATCH(E308&amp;"",tbl_Onsite[Job Number],0))="","",INDEX(tbl_Onsite[Notes],MATCH(E308&amp;"",tbl_Onsite[Job Number],0))),IFERROR(IF(INDEX(tbl_Production[Notes],MATCH(E308&amp;"",tbl_Production[Job Number],0))="","",INDEX(tbl_Production[Notes],MATCH(E308&amp;"",tbl_Production[Job Number],0))),IFERROR(IF(INDEX(tbl_Consulting[Notes],MATCH(E308&amp;"",tbl_Consulting[Job Number],0))="","",INDEX(tbl_Consulting[Notes],MATCH(E308&amp;"",tbl_Consulting[Job Number],0))),""))))</f>
        <v/>
      </c>
    </row>
    <row r="309" ht="15" customHeight="1">
      <c r="A309" s="22" t="n"/>
      <c r="B309" s="23">
        <f>IF(A309="","",EOMONTH(A309,0))</f>
        <v/>
      </c>
      <c r="C309" s="24" t="n"/>
      <c r="D309" s="24" t="n"/>
      <c r="E309" s="24" t="n"/>
      <c r="F309" s="25">
        <f>IF(E309="","",IF(COUNTIF(lst_Jobs,E309&amp;"")&gt;0,"OK","CHECK"))</f>
        <v/>
      </c>
      <c r="G309" s="24" t="n"/>
      <c r="H309" s="24" t="n"/>
      <c r="I309" s="24" t="n"/>
      <c r="J309" s="24" t="n"/>
      <c r="K309" s="24" t="n"/>
      <c r="L309" s="26" t="n"/>
      <c r="M309" s="27">
        <f>IF(L309="","",IF(K309="GST 10%",ROUND(L309*set_GSTRate,2),0))</f>
        <v/>
      </c>
      <c r="N309" s="27">
        <f>IF(L309="","",L309+M309)</f>
        <v/>
      </c>
      <c r="O309" s="24" t="n"/>
      <c r="P309" s="24" t="n"/>
      <c r="Q309" s="24" t="n"/>
      <c r="R309" s="22" t="n"/>
      <c r="S309" s="22" t="n"/>
      <c r="T309" s="24" t="n"/>
      <c r="U309" s="24" t="n"/>
      <c r="V309" s="25">
        <f>IF(COUNTA(A309,D309,C309,L309)=0,"",IF(A309="","No date - sits outside every month",IF(E309="","No job number",IF(F309="CHECK","Job number is not in the Xero job list",IF(I309="","No cost centre",IF(AND(P309="Y",C309=""),"Marked posted to Xero but has no invoice number",IF(AND(L309&lt;&gt;"",K309=""),"No tax code",IF(AND(L309&lt;&gt;"",O309=""),"No revenue GL code",""))))))))</f>
        <v/>
      </c>
      <c r="W309" s="25">
        <f>IF(E309="","",IF(COUNTIF(tbl_Onsite[Job Number],E309&amp;"")&gt;0,"Onsite",IF(COUNTIF(tbl_Production[Job Number],E309&amp;"")&gt;0,"Production",IF(COUNTIF(tbl_Consulting[Job Number],E309&amp;"")&gt;0,"Consulting","not set up yet"))))</f>
        <v/>
      </c>
      <c r="X309" s="25">
        <f>IF(E309="","",IFERROR(INDEX(lst_JobName,MATCH(E309&amp;"",lst_Jobs,0)),""))</f>
        <v/>
      </c>
      <c r="Y309" s="28">
        <f>IF(E309="","",COUNTIFS(tbl_Finance[Job Number],E309&amp;"",tbl_Finance[Ex GST],"&lt;&gt;"))</f>
        <v/>
      </c>
      <c r="Z309" s="27">
        <f>IF(E309="","",SUMIFS(tbl_Finance[Ex GST],tbl_Finance[Job Number],E309&amp;""))</f>
        <v/>
      </c>
      <c r="AA309" s="27">
        <f>IF(E309="","",SUMIFS(tbl_Finance[Ex GST],tbl_Finance[Job Number],E309&amp;"",tbl_Finance[Xero Invoice No],"&lt;&gt;"))</f>
        <v/>
      </c>
      <c r="AB309" s="27">
        <f>IF(E309="","",Z309-AA309)</f>
        <v/>
      </c>
      <c r="AC309" s="25">
        <f>IF(E309="","",IFERROR(IF(INDEX(tbl_Onsite[Qwilr Quote],MATCH(E309&amp;"",tbl_Onsite[Job Number],0))="","",INDEX(tbl_Onsite[Qwilr Quote],MATCH(E309&amp;"",tbl_Onsite[Job Number],0))),IFERROR(IF(IF(INDEX(tbl_Production[Current RMS No],MATCH(E309&amp;"",tbl_Production[Job Number],0))="",INDEX(tbl_Production[Qwilr Quote],MATCH(E309&amp;"",tbl_Production[Job Number],0)),INDEX(tbl_Production[Current RMS No],MATCH(E309&amp;"",tbl_Production[Job Number],0)))="","",IF(INDEX(tbl_Production[Current RMS No],MATCH(E309&amp;"",tbl_Production[Job Number],0))="",INDEX(tbl_Production[Qwilr Quote],MATCH(E309&amp;"",tbl_Production[Job Number],0)),INDEX(tbl_Production[Current RMS No],MATCH(E309&amp;"",tbl_Production[Job Number],0)))),IFERROR(IF(INDEX(tbl_Consulting[Qwilr Quote],MATCH(E309&amp;"",tbl_Consulting[Job Number],0))="","",INDEX(tbl_Consulting[Qwilr Quote],MATCH(E309&amp;"",tbl_Consulting[Job Number],0))),""))))</f>
        <v/>
      </c>
      <c r="AD309" s="25">
        <f>IF(AC309="","",IF(AND(LEFT(AC309,4)&lt;&gt;"http",IF(H309="Production",set_RMSBase,set_QwilrBase)=""),"",HYPERLINK(IF(LEFT(AC309,4)="http",AC309,IF(H309="Production",set_RMSBase,set_QwilrBase)&amp;AC309),"Open")))</f>
        <v/>
      </c>
      <c r="AE309" s="27">
        <f>IF(E309="","",IFERROR(INDEX(tbl_Production[Total Expense],MATCH(E309&amp;"",tbl_Production[Job Number],0)),IFERROR(INDEX(tbl_Consulting[Total Expense],MATCH(E309&amp;"",tbl_Consulting[Job Number],0)),0)))</f>
        <v/>
      </c>
      <c r="AF309" s="27">
        <f>IF(E309="","",Z309-N(AE309))</f>
        <v/>
      </c>
      <c r="AG309" s="29">
        <f>IFERROR(AF309/Z309,"")</f>
        <v/>
      </c>
      <c r="AH309" s="25">
        <f>IF(E309="","",IFERROR(IF(INDEX(tbl_Onsite[Notes],MATCH(E309&amp;"",tbl_Onsite[Job Number],0))="","",INDEX(tbl_Onsite[Notes],MATCH(E309&amp;"",tbl_Onsite[Job Number],0))),IFERROR(IF(INDEX(tbl_Production[Notes],MATCH(E309&amp;"",tbl_Production[Job Number],0))="","",INDEX(tbl_Production[Notes],MATCH(E309&amp;"",tbl_Production[Job Number],0))),IFERROR(IF(INDEX(tbl_Consulting[Notes],MATCH(E309&amp;"",tbl_Consulting[Job Number],0))="","",INDEX(tbl_Consulting[Notes],MATCH(E309&amp;"",tbl_Consulting[Job Number],0))),""))))</f>
        <v/>
      </c>
    </row>
    <row r="310" ht="15" customHeight="1">
      <c r="A310" s="22" t="n"/>
      <c r="B310" s="23">
        <f>IF(A310="","",EOMONTH(A310,0))</f>
        <v/>
      </c>
      <c r="C310" s="24" t="n"/>
      <c r="D310" s="24" t="n"/>
      <c r="E310" s="24" t="n"/>
      <c r="F310" s="25">
        <f>IF(E310="","",IF(COUNTIF(lst_Jobs,E310&amp;"")&gt;0,"OK","CHECK"))</f>
        <v/>
      </c>
      <c r="G310" s="24" t="n"/>
      <c r="H310" s="24" t="n"/>
      <c r="I310" s="24" t="n"/>
      <c r="J310" s="24" t="n"/>
      <c r="K310" s="24" t="n"/>
      <c r="L310" s="26" t="n"/>
      <c r="M310" s="27">
        <f>IF(L310="","",IF(K310="GST 10%",ROUND(L310*set_GSTRate,2),0))</f>
        <v/>
      </c>
      <c r="N310" s="27">
        <f>IF(L310="","",L310+M310)</f>
        <v/>
      </c>
      <c r="O310" s="24" t="n"/>
      <c r="P310" s="24" t="n"/>
      <c r="Q310" s="24" t="n"/>
      <c r="R310" s="22" t="n"/>
      <c r="S310" s="22" t="n"/>
      <c r="T310" s="24" t="n"/>
      <c r="U310" s="24" t="n"/>
      <c r="V310" s="25">
        <f>IF(COUNTA(A310,D310,C310,L310)=0,"",IF(A310="","No date - sits outside every month",IF(E310="","No job number",IF(F310="CHECK","Job number is not in the Xero job list",IF(I310="","No cost centre",IF(AND(P310="Y",C310=""),"Marked posted to Xero but has no invoice number",IF(AND(L310&lt;&gt;"",K310=""),"No tax code",IF(AND(L310&lt;&gt;"",O310=""),"No revenue GL code",""))))))))</f>
        <v/>
      </c>
      <c r="W310" s="25">
        <f>IF(E310="","",IF(COUNTIF(tbl_Onsite[Job Number],E310&amp;"")&gt;0,"Onsite",IF(COUNTIF(tbl_Production[Job Number],E310&amp;"")&gt;0,"Production",IF(COUNTIF(tbl_Consulting[Job Number],E310&amp;"")&gt;0,"Consulting","not set up yet"))))</f>
        <v/>
      </c>
      <c r="X310" s="25">
        <f>IF(E310="","",IFERROR(INDEX(lst_JobName,MATCH(E310&amp;"",lst_Jobs,0)),""))</f>
        <v/>
      </c>
      <c r="Y310" s="28">
        <f>IF(E310="","",COUNTIFS(tbl_Finance[Job Number],E310&amp;"",tbl_Finance[Ex GST],"&lt;&gt;"))</f>
        <v/>
      </c>
      <c r="Z310" s="27">
        <f>IF(E310="","",SUMIFS(tbl_Finance[Ex GST],tbl_Finance[Job Number],E310&amp;""))</f>
        <v/>
      </c>
      <c r="AA310" s="27">
        <f>IF(E310="","",SUMIFS(tbl_Finance[Ex GST],tbl_Finance[Job Number],E310&amp;"",tbl_Finance[Xero Invoice No],"&lt;&gt;"))</f>
        <v/>
      </c>
      <c r="AB310" s="27">
        <f>IF(E310="","",Z310-AA310)</f>
        <v/>
      </c>
      <c r="AC310" s="25">
        <f>IF(E310="","",IFERROR(IF(INDEX(tbl_Onsite[Qwilr Quote],MATCH(E310&amp;"",tbl_Onsite[Job Number],0))="","",INDEX(tbl_Onsite[Qwilr Quote],MATCH(E310&amp;"",tbl_Onsite[Job Number],0))),IFERROR(IF(IF(INDEX(tbl_Production[Current RMS No],MATCH(E310&amp;"",tbl_Production[Job Number],0))="",INDEX(tbl_Production[Qwilr Quote],MATCH(E310&amp;"",tbl_Production[Job Number],0)),INDEX(tbl_Production[Current RMS No],MATCH(E310&amp;"",tbl_Production[Job Number],0)))="","",IF(INDEX(tbl_Production[Current RMS No],MATCH(E310&amp;"",tbl_Production[Job Number],0))="",INDEX(tbl_Production[Qwilr Quote],MATCH(E310&amp;"",tbl_Production[Job Number],0)),INDEX(tbl_Production[Current RMS No],MATCH(E310&amp;"",tbl_Production[Job Number],0)))),IFERROR(IF(INDEX(tbl_Consulting[Qwilr Quote],MATCH(E310&amp;"",tbl_Consulting[Job Number],0))="","",INDEX(tbl_Consulting[Qwilr Quote],MATCH(E310&amp;"",tbl_Consulting[Job Number],0))),""))))</f>
        <v/>
      </c>
      <c r="AD310" s="25">
        <f>IF(AC310="","",IF(AND(LEFT(AC310,4)&lt;&gt;"http",IF(H310="Production",set_RMSBase,set_QwilrBase)=""),"",HYPERLINK(IF(LEFT(AC310,4)="http",AC310,IF(H310="Production",set_RMSBase,set_QwilrBase)&amp;AC310),"Open")))</f>
        <v/>
      </c>
      <c r="AE310" s="27">
        <f>IF(E310="","",IFERROR(INDEX(tbl_Production[Total Expense],MATCH(E310&amp;"",tbl_Production[Job Number],0)),IFERROR(INDEX(tbl_Consulting[Total Expense],MATCH(E310&amp;"",tbl_Consulting[Job Number],0)),0)))</f>
        <v/>
      </c>
      <c r="AF310" s="27">
        <f>IF(E310="","",Z310-N(AE310))</f>
        <v/>
      </c>
      <c r="AG310" s="29">
        <f>IFERROR(AF310/Z310,"")</f>
        <v/>
      </c>
      <c r="AH310" s="25">
        <f>IF(E310="","",IFERROR(IF(INDEX(tbl_Onsite[Notes],MATCH(E310&amp;"",tbl_Onsite[Job Number],0))="","",INDEX(tbl_Onsite[Notes],MATCH(E310&amp;"",tbl_Onsite[Job Number],0))),IFERROR(IF(INDEX(tbl_Production[Notes],MATCH(E310&amp;"",tbl_Production[Job Number],0))="","",INDEX(tbl_Production[Notes],MATCH(E310&amp;"",tbl_Production[Job Number],0))),IFERROR(IF(INDEX(tbl_Consulting[Notes],MATCH(E310&amp;"",tbl_Consulting[Job Number],0))="","",INDEX(tbl_Consulting[Notes],MATCH(E310&amp;"",tbl_Consulting[Job Number],0))),""))))</f>
        <v/>
      </c>
    </row>
    <row r="311" ht="15" customHeight="1">
      <c r="A311" s="22" t="n"/>
      <c r="B311" s="23">
        <f>IF(A311="","",EOMONTH(A311,0))</f>
        <v/>
      </c>
      <c r="C311" s="24" t="n"/>
      <c r="D311" s="24" t="n"/>
      <c r="E311" s="24" t="n"/>
      <c r="F311" s="25">
        <f>IF(E311="","",IF(COUNTIF(lst_Jobs,E311&amp;"")&gt;0,"OK","CHECK"))</f>
        <v/>
      </c>
      <c r="G311" s="24" t="n"/>
      <c r="H311" s="24" t="n"/>
      <c r="I311" s="24" t="n"/>
      <c r="J311" s="24" t="n"/>
      <c r="K311" s="24" t="n"/>
      <c r="L311" s="26" t="n"/>
      <c r="M311" s="27">
        <f>IF(L311="","",IF(K311="GST 10%",ROUND(L311*set_GSTRate,2),0))</f>
        <v/>
      </c>
      <c r="N311" s="27">
        <f>IF(L311="","",L311+M311)</f>
        <v/>
      </c>
      <c r="O311" s="24" t="n"/>
      <c r="P311" s="24" t="n"/>
      <c r="Q311" s="24" t="n"/>
      <c r="R311" s="22" t="n"/>
      <c r="S311" s="22" t="n"/>
      <c r="T311" s="24" t="n"/>
      <c r="U311" s="24" t="n"/>
      <c r="V311" s="25">
        <f>IF(COUNTA(A311,D311,C311,L311)=0,"",IF(A311="","No date - sits outside every month",IF(E311="","No job number",IF(F311="CHECK","Job number is not in the Xero job list",IF(I311="","No cost centre",IF(AND(P311="Y",C311=""),"Marked posted to Xero but has no invoice number",IF(AND(L311&lt;&gt;"",K311=""),"No tax code",IF(AND(L311&lt;&gt;"",O311=""),"No revenue GL code",""))))))))</f>
        <v/>
      </c>
      <c r="W311" s="25">
        <f>IF(E311="","",IF(COUNTIF(tbl_Onsite[Job Number],E311&amp;"")&gt;0,"Onsite",IF(COUNTIF(tbl_Production[Job Number],E311&amp;"")&gt;0,"Production",IF(COUNTIF(tbl_Consulting[Job Number],E311&amp;"")&gt;0,"Consulting","not set up yet"))))</f>
        <v/>
      </c>
      <c r="X311" s="25">
        <f>IF(E311="","",IFERROR(INDEX(lst_JobName,MATCH(E311&amp;"",lst_Jobs,0)),""))</f>
        <v/>
      </c>
      <c r="Y311" s="28">
        <f>IF(E311="","",COUNTIFS(tbl_Finance[Job Number],E311&amp;"",tbl_Finance[Ex GST],"&lt;&gt;"))</f>
        <v/>
      </c>
      <c r="Z311" s="27">
        <f>IF(E311="","",SUMIFS(tbl_Finance[Ex GST],tbl_Finance[Job Number],E311&amp;""))</f>
        <v/>
      </c>
      <c r="AA311" s="27">
        <f>IF(E311="","",SUMIFS(tbl_Finance[Ex GST],tbl_Finance[Job Number],E311&amp;"",tbl_Finance[Xero Invoice No],"&lt;&gt;"))</f>
        <v/>
      </c>
      <c r="AB311" s="27">
        <f>IF(E311="","",Z311-AA311)</f>
        <v/>
      </c>
      <c r="AC311" s="25">
        <f>IF(E311="","",IFERROR(IF(INDEX(tbl_Onsite[Qwilr Quote],MATCH(E311&amp;"",tbl_Onsite[Job Number],0))="","",INDEX(tbl_Onsite[Qwilr Quote],MATCH(E311&amp;"",tbl_Onsite[Job Number],0))),IFERROR(IF(IF(INDEX(tbl_Production[Current RMS No],MATCH(E311&amp;"",tbl_Production[Job Number],0))="",INDEX(tbl_Production[Qwilr Quote],MATCH(E311&amp;"",tbl_Production[Job Number],0)),INDEX(tbl_Production[Current RMS No],MATCH(E311&amp;"",tbl_Production[Job Number],0)))="","",IF(INDEX(tbl_Production[Current RMS No],MATCH(E311&amp;"",tbl_Production[Job Number],0))="",INDEX(tbl_Production[Qwilr Quote],MATCH(E311&amp;"",tbl_Production[Job Number],0)),INDEX(tbl_Production[Current RMS No],MATCH(E311&amp;"",tbl_Production[Job Number],0)))),IFERROR(IF(INDEX(tbl_Consulting[Qwilr Quote],MATCH(E311&amp;"",tbl_Consulting[Job Number],0))="","",INDEX(tbl_Consulting[Qwilr Quote],MATCH(E311&amp;"",tbl_Consulting[Job Number],0))),""))))</f>
        <v/>
      </c>
      <c r="AD311" s="25">
        <f>IF(AC311="","",IF(AND(LEFT(AC311,4)&lt;&gt;"http",IF(H311="Production",set_RMSBase,set_QwilrBase)=""),"",HYPERLINK(IF(LEFT(AC311,4)="http",AC311,IF(H311="Production",set_RMSBase,set_QwilrBase)&amp;AC311),"Open")))</f>
        <v/>
      </c>
      <c r="AE311" s="27">
        <f>IF(E311="","",IFERROR(INDEX(tbl_Production[Total Expense],MATCH(E311&amp;"",tbl_Production[Job Number],0)),IFERROR(INDEX(tbl_Consulting[Total Expense],MATCH(E311&amp;"",tbl_Consulting[Job Number],0)),0)))</f>
        <v/>
      </c>
      <c r="AF311" s="27">
        <f>IF(E311="","",Z311-N(AE311))</f>
        <v/>
      </c>
      <c r="AG311" s="29">
        <f>IFERROR(AF311/Z311,"")</f>
        <v/>
      </c>
      <c r="AH311" s="25">
        <f>IF(E311="","",IFERROR(IF(INDEX(tbl_Onsite[Notes],MATCH(E311&amp;"",tbl_Onsite[Job Number],0))="","",INDEX(tbl_Onsite[Notes],MATCH(E311&amp;"",tbl_Onsite[Job Number],0))),IFERROR(IF(INDEX(tbl_Production[Notes],MATCH(E311&amp;"",tbl_Production[Job Number],0))="","",INDEX(tbl_Production[Notes],MATCH(E311&amp;"",tbl_Production[Job Number],0))),IFERROR(IF(INDEX(tbl_Consulting[Notes],MATCH(E311&amp;"",tbl_Consulting[Job Number],0))="","",INDEX(tbl_Consulting[Notes],MATCH(E311&amp;"",tbl_Consulting[Job Number],0))),""))))</f>
        <v/>
      </c>
    </row>
    <row r="312" ht="15" customHeight="1">
      <c r="A312" s="22" t="n"/>
      <c r="B312" s="23">
        <f>IF(A312="","",EOMONTH(A312,0))</f>
        <v/>
      </c>
      <c r="C312" s="24" t="n"/>
      <c r="D312" s="24" t="n"/>
      <c r="E312" s="24" t="n"/>
      <c r="F312" s="25">
        <f>IF(E312="","",IF(COUNTIF(lst_Jobs,E312&amp;"")&gt;0,"OK","CHECK"))</f>
        <v/>
      </c>
      <c r="G312" s="24" t="n"/>
      <c r="H312" s="24" t="n"/>
      <c r="I312" s="24" t="n"/>
      <c r="J312" s="24" t="n"/>
      <c r="K312" s="24" t="n"/>
      <c r="L312" s="26" t="n"/>
      <c r="M312" s="27">
        <f>IF(L312="","",IF(K312="GST 10%",ROUND(L312*set_GSTRate,2),0))</f>
        <v/>
      </c>
      <c r="N312" s="27">
        <f>IF(L312="","",L312+M312)</f>
        <v/>
      </c>
      <c r="O312" s="24" t="n"/>
      <c r="P312" s="24" t="n"/>
      <c r="Q312" s="24" t="n"/>
      <c r="R312" s="22" t="n"/>
      <c r="S312" s="22" t="n"/>
      <c r="T312" s="24" t="n"/>
      <c r="U312" s="24" t="n"/>
      <c r="V312" s="25">
        <f>IF(COUNTA(A312,D312,C312,L312)=0,"",IF(A312="","No date - sits outside every month",IF(E312="","No job number",IF(F312="CHECK","Job number is not in the Xero job list",IF(I312="","No cost centre",IF(AND(P312="Y",C312=""),"Marked posted to Xero but has no invoice number",IF(AND(L312&lt;&gt;"",K312=""),"No tax code",IF(AND(L312&lt;&gt;"",O312=""),"No revenue GL code",""))))))))</f>
        <v/>
      </c>
      <c r="W312" s="25">
        <f>IF(E312="","",IF(COUNTIF(tbl_Onsite[Job Number],E312&amp;"")&gt;0,"Onsite",IF(COUNTIF(tbl_Production[Job Number],E312&amp;"")&gt;0,"Production",IF(COUNTIF(tbl_Consulting[Job Number],E312&amp;"")&gt;0,"Consulting","not set up yet"))))</f>
        <v/>
      </c>
      <c r="X312" s="25">
        <f>IF(E312="","",IFERROR(INDEX(lst_JobName,MATCH(E312&amp;"",lst_Jobs,0)),""))</f>
        <v/>
      </c>
      <c r="Y312" s="28">
        <f>IF(E312="","",COUNTIFS(tbl_Finance[Job Number],E312&amp;"",tbl_Finance[Ex GST],"&lt;&gt;"))</f>
        <v/>
      </c>
      <c r="Z312" s="27">
        <f>IF(E312="","",SUMIFS(tbl_Finance[Ex GST],tbl_Finance[Job Number],E312&amp;""))</f>
        <v/>
      </c>
      <c r="AA312" s="27">
        <f>IF(E312="","",SUMIFS(tbl_Finance[Ex GST],tbl_Finance[Job Number],E312&amp;"",tbl_Finance[Xero Invoice No],"&lt;&gt;"))</f>
        <v/>
      </c>
      <c r="AB312" s="27">
        <f>IF(E312="","",Z312-AA312)</f>
        <v/>
      </c>
      <c r="AC312" s="25">
        <f>IF(E312="","",IFERROR(IF(INDEX(tbl_Onsite[Qwilr Quote],MATCH(E312&amp;"",tbl_Onsite[Job Number],0))="","",INDEX(tbl_Onsite[Qwilr Quote],MATCH(E312&amp;"",tbl_Onsite[Job Number],0))),IFERROR(IF(IF(INDEX(tbl_Production[Current RMS No],MATCH(E312&amp;"",tbl_Production[Job Number],0))="",INDEX(tbl_Production[Qwilr Quote],MATCH(E312&amp;"",tbl_Production[Job Number],0)),INDEX(tbl_Production[Current RMS No],MATCH(E312&amp;"",tbl_Production[Job Number],0)))="","",IF(INDEX(tbl_Production[Current RMS No],MATCH(E312&amp;"",tbl_Production[Job Number],0))="",INDEX(tbl_Production[Qwilr Quote],MATCH(E312&amp;"",tbl_Production[Job Number],0)),INDEX(tbl_Production[Current RMS No],MATCH(E312&amp;"",tbl_Production[Job Number],0)))),IFERROR(IF(INDEX(tbl_Consulting[Qwilr Quote],MATCH(E312&amp;"",tbl_Consulting[Job Number],0))="","",INDEX(tbl_Consulting[Qwilr Quote],MATCH(E312&amp;"",tbl_Consulting[Job Number],0))),""))))</f>
        <v/>
      </c>
      <c r="AD312" s="25">
        <f>IF(AC312="","",IF(AND(LEFT(AC312,4)&lt;&gt;"http",IF(H312="Production",set_RMSBase,set_QwilrBase)=""),"",HYPERLINK(IF(LEFT(AC312,4)="http",AC312,IF(H312="Production",set_RMSBase,set_QwilrBase)&amp;AC312),"Open")))</f>
        <v/>
      </c>
      <c r="AE312" s="27">
        <f>IF(E312="","",IFERROR(INDEX(tbl_Production[Total Expense],MATCH(E312&amp;"",tbl_Production[Job Number],0)),IFERROR(INDEX(tbl_Consulting[Total Expense],MATCH(E312&amp;"",tbl_Consulting[Job Number],0)),0)))</f>
        <v/>
      </c>
      <c r="AF312" s="27">
        <f>IF(E312="","",Z312-N(AE312))</f>
        <v/>
      </c>
      <c r="AG312" s="29">
        <f>IFERROR(AF312/Z312,"")</f>
        <v/>
      </c>
      <c r="AH312" s="25">
        <f>IF(E312="","",IFERROR(IF(INDEX(tbl_Onsite[Notes],MATCH(E312&amp;"",tbl_Onsite[Job Number],0))="","",INDEX(tbl_Onsite[Notes],MATCH(E312&amp;"",tbl_Onsite[Job Number],0))),IFERROR(IF(INDEX(tbl_Production[Notes],MATCH(E312&amp;"",tbl_Production[Job Number],0))="","",INDEX(tbl_Production[Notes],MATCH(E312&amp;"",tbl_Production[Job Number],0))),IFERROR(IF(INDEX(tbl_Consulting[Notes],MATCH(E312&amp;"",tbl_Consulting[Job Number],0))="","",INDEX(tbl_Consulting[Notes],MATCH(E312&amp;"",tbl_Consulting[Job Number],0))),""))))</f>
        <v/>
      </c>
    </row>
    <row r="313" ht="15" customHeight="1">
      <c r="A313" s="22" t="n"/>
      <c r="B313" s="23">
        <f>IF(A313="","",EOMONTH(A313,0))</f>
        <v/>
      </c>
      <c r="C313" s="24" t="n"/>
      <c r="D313" s="24" t="n"/>
      <c r="E313" s="24" t="n"/>
      <c r="F313" s="25">
        <f>IF(E313="","",IF(COUNTIF(lst_Jobs,E313&amp;"")&gt;0,"OK","CHECK"))</f>
        <v/>
      </c>
      <c r="G313" s="24" t="n"/>
      <c r="H313" s="24" t="n"/>
      <c r="I313" s="24" t="n"/>
      <c r="J313" s="24" t="n"/>
      <c r="K313" s="24" t="n"/>
      <c r="L313" s="26" t="n"/>
      <c r="M313" s="27">
        <f>IF(L313="","",IF(K313="GST 10%",ROUND(L313*set_GSTRate,2),0))</f>
        <v/>
      </c>
      <c r="N313" s="27">
        <f>IF(L313="","",L313+M313)</f>
        <v/>
      </c>
      <c r="O313" s="24" t="n"/>
      <c r="P313" s="24" t="n"/>
      <c r="Q313" s="24" t="n"/>
      <c r="R313" s="22" t="n"/>
      <c r="S313" s="22" t="n"/>
      <c r="T313" s="24" t="n"/>
      <c r="U313" s="24" t="n"/>
      <c r="V313" s="25">
        <f>IF(COUNTA(A313,D313,C313,L313)=0,"",IF(A313="","No date - sits outside every month",IF(E313="","No job number",IF(F313="CHECK","Job number is not in the Xero job list",IF(I313="","No cost centre",IF(AND(P313="Y",C313=""),"Marked posted to Xero but has no invoice number",IF(AND(L313&lt;&gt;"",K313=""),"No tax code",IF(AND(L313&lt;&gt;"",O313=""),"No revenue GL code",""))))))))</f>
        <v/>
      </c>
      <c r="W313" s="25">
        <f>IF(E313="","",IF(COUNTIF(tbl_Onsite[Job Number],E313&amp;"")&gt;0,"Onsite",IF(COUNTIF(tbl_Production[Job Number],E313&amp;"")&gt;0,"Production",IF(COUNTIF(tbl_Consulting[Job Number],E313&amp;"")&gt;0,"Consulting","not set up yet"))))</f>
        <v/>
      </c>
      <c r="X313" s="25">
        <f>IF(E313="","",IFERROR(INDEX(lst_JobName,MATCH(E313&amp;"",lst_Jobs,0)),""))</f>
        <v/>
      </c>
      <c r="Y313" s="28">
        <f>IF(E313="","",COUNTIFS(tbl_Finance[Job Number],E313&amp;"",tbl_Finance[Ex GST],"&lt;&gt;"))</f>
        <v/>
      </c>
      <c r="Z313" s="27">
        <f>IF(E313="","",SUMIFS(tbl_Finance[Ex GST],tbl_Finance[Job Number],E313&amp;""))</f>
        <v/>
      </c>
      <c r="AA313" s="27">
        <f>IF(E313="","",SUMIFS(tbl_Finance[Ex GST],tbl_Finance[Job Number],E313&amp;"",tbl_Finance[Xero Invoice No],"&lt;&gt;"))</f>
        <v/>
      </c>
      <c r="AB313" s="27">
        <f>IF(E313="","",Z313-AA313)</f>
        <v/>
      </c>
      <c r="AC313" s="25">
        <f>IF(E313="","",IFERROR(IF(INDEX(tbl_Onsite[Qwilr Quote],MATCH(E313&amp;"",tbl_Onsite[Job Number],0))="","",INDEX(tbl_Onsite[Qwilr Quote],MATCH(E313&amp;"",tbl_Onsite[Job Number],0))),IFERROR(IF(IF(INDEX(tbl_Production[Current RMS No],MATCH(E313&amp;"",tbl_Production[Job Number],0))="",INDEX(tbl_Production[Qwilr Quote],MATCH(E313&amp;"",tbl_Production[Job Number],0)),INDEX(tbl_Production[Current RMS No],MATCH(E313&amp;"",tbl_Production[Job Number],0)))="","",IF(INDEX(tbl_Production[Current RMS No],MATCH(E313&amp;"",tbl_Production[Job Number],0))="",INDEX(tbl_Production[Qwilr Quote],MATCH(E313&amp;"",tbl_Production[Job Number],0)),INDEX(tbl_Production[Current RMS No],MATCH(E313&amp;"",tbl_Production[Job Number],0)))),IFERROR(IF(INDEX(tbl_Consulting[Qwilr Quote],MATCH(E313&amp;"",tbl_Consulting[Job Number],0))="","",INDEX(tbl_Consulting[Qwilr Quote],MATCH(E313&amp;"",tbl_Consulting[Job Number],0))),""))))</f>
        <v/>
      </c>
      <c r="AD313" s="25">
        <f>IF(AC313="","",IF(AND(LEFT(AC313,4)&lt;&gt;"http",IF(H313="Production",set_RMSBase,set_QwilrBase)=""),"",HYPERLINK(IF(LEFT(AC313,4)="http",AC313,IF(H313="Production",set_RMSBase,set_QwilrBase)&amp;AC313),"Open")))</f>
        <v/>
      </c>
      <c r="AE313" s="27">
        <f>IF(E313="","",IFERROR(INDEX(tbl_Production[Total Expense],MATCH(E313&amp;"",tbl_Production[Job Number],0)),IFERROR(INDEX(tbl_Consulting[Total Expense],MATCH(E313&amp;"",tbl_Consulting[Job Number],0)),0)))</f>
        <v/>
      </c>
      <c r="AF313" s="27">
        <f>IF(E313="","",Z313-N(AE313))</f>
        <v/>
      </c>
      <c r="AG313" s="29">
        <f>IFERROR(AF313/Z313,"")</f>
        <v/>
      </c>
      <c r="AH313" s="25">
        <f>IF(E313="","",IFERROR(IF(INDEX(tbl_Onsite[Notes],MATCH(E313&amp;"",tbl_Onsite[Job Number],0))="","",INDEX(tbl_Onsite[Notes],MATCH(E313&amp;"",tbl_Onsite[Job Number],0))),IFERROR(IF(INDEX(tbl_Production[Notes],MATCH(E313&amp;"",tbl_Production[Job Number],0))="","",INDEX(tbl_Production[Notes],MATCH(E313&amp;"",tbl_Production[Job Number],0))),IFERROR(IF(INDEX(tbl_Consulting[Notes],MATCH(E313&amp;"",tbl_Consulting[Job Number],0))="","",INDEX(tbl_Consulting[Notes],MATCH(E313&amp;"",tbl_Consulting[Job Number],0))),""))))</f>
        <v/>
      </c>
    </row>
    <row r="314" ht="15" customHeight="1">
      <c r="A314" s="22" t="n"/>
      <c r="B314" s="23">
        <f>IF(A314="","",EOMONTH(A314,0))</f>
        <v/>
      </c>
      <c r="C314" s="24" t="n"/>
      <c r="D314" s="24" t="n"/>
      <c r="E314" s="24" t="n"/>
      <c r="F314" s="25">
        <f>IF(E314="","",IF(COUNTIF(lst_Jobs,E314&amp;"")&gt;0,"OK","CHECK"))</f>
        <v/>
      </c>
      <c r="G314" s="24" t="n"/>
      <c r="H314" s="24" t="n"/>
      <c r="I314" s="24" t="n"/>
      <c r="J314" s="24" t="n"/>
      <c r="K314" s="24" t="n"/>
      <c r="L314" s="26" t="n"/>
      <c r="M314" s="27">
        <f>IF(L314="","",IF(K314="GST 10%",ROUND(L314*set_GSTRate,2),0))</f>
        <v/>
      </c>
      <c r="N314" s="27">
        <f>IF(L314="","",L314+M314)</f>
        <v/>
      </c>
      <c r="O314" s="24" t="n"/>
      <c r="P314" s="24" t="n"/>
      <c r="Q314" s="24" t="n"/>
      <c r="R314" s="22" t="n"/>
      <c r="S314" s="22" t="n"/>
      <c r="T314" s="24" t="n"/>
      <c r="U314" s="24" t="n"/>
      <c r="V314" s="25">
        <f>IF(COUNTA(A314,D314,C314,L314)=0,"",IF(A314="","No date - sits outside every month",IF(E314="","No job number",IF(F314="CHECK","Job number is not in the Xero job list",IF(I314="","No cost centre",IF(AND(P314="Y",C314=""),"Marked posted to Xero but has no invoice number",IF(AND(L314&lt;&gt;"",K314=""),"No tax code",IF(AND(L314&lt;&gt;"",O314=""),"No revenue GL code",""))))))))</f>
        <v/>
      </c>
      <c r="W314" s="25">
        <f>IF(E314="","",IF(COUNTIF(tbl_Onsite[Job Number],E314&amp;"")&gt;0,"Onsite",IF(COUNTIF(tbl_Production[Job Number],E314&amp;"")&gt;0,"Production",IF(COUNTIF(tbl_Consulting[Job Number],E314&amp;"")&gt;0,"Consulting","not set up yet"))))</f>
        <v/>
      </c>
      <c r="X314" s="25">
        <f>IF(E314="","",IFERROR(INDEX(lst_JobName,MATCH(E314&amp;"",lst_Jobs,0)),""))</f>
        <v/>
      </c>
      <c r="Y314" s="28">
        <f>IF(E314="","",COUNTIFS(tbl_Finance[Job Number],E314&amp;"",tbl_Finance[Ex GST],"&lt;&gt;"))</f>
        <v/>
      </c>
      <c r="Z314" s="27">
        <f>IF(E314="","",SUMIFS(tbl_Finance[Ex GST],tbl_Finance[Job Number],E314&amp;""))</f>
        <v/>
      </c>
      <c r="AA314" s="27">
        <f>IF(E314="","",SUMIFS(tbl_Finance[Ex GST],tbl_Finance[Job Number],E314&amp;"",tbl_Finance[Xero Invoice No],"&lt;&gt;"))</f>
        <v/>
      </c>
      <c r="AB314" s="27">
        <f>IF(E314="","",Z314-AA314)</f>
        <v/>
      </c>
      <c r="AC314" s="25">
        <f>IF(E314="","",IFERROR(IF(INDEX(tbl_Onsite[Qwilr Quote],MATCH(E314&amp;"",tbl_Onsite[Job Number],0))="","",INDEX(tbl_Onsite[Qwilr Quote],MATCH(E314&amp;"",tbl_Onsite[Job Number],0))),IFERROR(IF(IF(INDEX(tbl_Production[Current RMS No],MATCH(E314&amp;"",tbl_Production[Job Number],0))="",INDEX(tbl_Production[Qwilr Quote],MATCH(E314&amp;"",tbl_Production[Job Number],0)),INDEX(tbl_Production[Current RMS No],MATCH(E314&amp;"",tbl_Production[Job Number],0)))="","",IF(INDEX(tbl_Production[Current RMS No],MATCH(E314&amp;"",tbl_Production[Job Number],0))="",INDEX(tbl_Production[Qwilr Quote],MATCH(E314&amp;"",tbl_Production[Job Number],0)),INDEX(tbl_Production[Current RMS No],MATCH(E314&amp;"",tbl_Production[Job Number],0)))),IFERROR(IF(INDEX(tbl_Consulting[Qwilr Quote],MATCH(E314&amp;"",tbl_Consulting[Job Number],0))="","",INDEX(tbl_Consulting[Qwilr Quote],MATCH(E314&amp;"",tbl_Consulting[Job Number],0))),""))))</f>
        <v/>
      </c>
      <c r="AD314" s="25">
        <f>IF(AC314="","",IF(AND(LEFT(AC314,4)&lt;&gt;"http",IF(H314="Production",set_RMSBase,set_QwilrBase)=""),"",HYPERLINK(IF(LEFT(AC314,4)="http",AC314,IF(H314="Production",set_RMSBase,set_QwilrBase)&amp;AC314),"Open")))</f>
        <v/>
      </c>
      <c r="AE314" s="27">
        <f>IF(E314="","",IFERROR(INDEX(tbl_Production[Total Expense],MATCH(E314&amp;"",tbl_Production[Job Number],0)),IFERROR(INDEX(tbl_Consulting[Total Expense],MATCH(E314&amp;"",tbl_Consulting[Job Number],0)),0)))</f>
        <v/>
      </c>
      <c r="AF314" s="27">
        <f>IF(E314="","",Z314-N(AE314))</f>
        <v/>
      </c>
      <c r="AG314" s="29">
        <f>IFERROR(AF314/Z314,"")</f>
        <v/>
      </c>
      <c r="AH314" s="25">
        <f>IF(E314="","",IFERROR(IF(INDEX(tbl_Onsite[Notes],MATCH(E314&amp;"",tbl_Onsite[Job Number],0))="","",INDEX(tbl_Onsite[Notes],MATCH(E314&amp;"",tbl_Onsite[Job Number],0))),IFERROR(IF(INDEX(tbl_Production[Notes],MATCH(E314&amp;"",tbl_Production[Job Number],0))="","",INDEX(tbl_Production[Notes],MATCH(E314&amp;"",tbl_Production[Job Number],0))),IFERROR(IF(INDEX(tbl_Consulting[Notes],MATCH(E314&amp;"",tbl_Consulting[Job Number],0))="","",INDEX(tbl_Consulting[Notes],MATCH(E314&amp;"",tbl_Consulting[Job Number],0))),""))))</f>
        <v/>
      </c>
    </row>
    <row r="315" ht="15" customHeight="1">
      <c r="A315" s="22" t="n"/>
      <c r="B315" s="23">
        <f>IF(A315="","",EOMONTH(A315,0))</f>
        <v/>
      </c>
      <c r="C315" s="24" t="n"/>
      <c r="D315" s="24" t="n"/>
      <c r="E315" s="24" t="n"/>
      <c r="F315" s="25">
        <f>IF(E315="","",IF(COUNTIF(lst_Jobs,E315&amp;"")&gt;0,"OK","CHECK"))</f>
        <v/>
      </c>
      <c r="G315" s="24" t="n"/>
      <c r="H315" s="24" t="n"/>
      <c r="I315" s="24" t="n"/>
      <c r="J315" s="24" t="n"/>
      <c r="K315" s="24" t="n"/>
      <c r="L315" s="26" t="n"/>
      <c r="M315" s="27">
        <f>IF(L315="","",IF(K315="GST 10%",ROUND(L315*set_GSTRate,2),0))</f>
        <v/>
      </c>
      <c r="N315" s="27">
        <f>IF(L315="","",L315+M315)</f>
        <v/>
      </c>
      <c r="O315" s="24" t="n"/>
      <c r="P315" s="24" t="n"/>
      <c r="Q315" s="24" t="n"/>
      <c r="R315" s="22" t="n"/>
      <c r="S315" s="22" t="n"/>
      <c r="T315" s="24" t="n"/>
      <c r="U315" s="24" t="n"/>
      <c r="V315" s="25">
        <f>IF(COUNTA(A315,D315,C315,L315)=0,"",IF(A315="","No date - sits outside every month",IF(E315="","No job number",IF(F315="CHECK","Job number is not in the Xero job list",IF(I315="","No cost centre",IF(AND(P315="Y",C315=""),"Marked posted to Xero but has no invoice number",IF(AND(L315&lt;&gt;"",K315=""),"No tax code",IF(AND(L315&lt;&gt;"",O315=""),"No revenue GL code",""))))))))</f>
        <v/>
      </c>
      <c r="W315" s="25">
        <f>IF(E315="","",IF(COUNTIF(tbl_Onsite[Job Number],E315&amp;"")&gt;0,"Onsite",IF(COUNTIF(tbl_Production[Job Number],E315&amp;"")&gt;0,"Production",IF(COUNTIF(tbl_Consulting[Job Number],E315&amp;"")&gt;0,"Consulting","not set up yet"))))</f>
        <v/>
      </c>
      <c r="X315" s="25">
        <f>IF(E315="","",IFERROR(INDEX(lst_JobName,MATCH(E315&amp;"",lst_Jobs,0)),""))</f>
        <v/>
      </c>
      <c r="Y315" s="28">
        <f>IF(E315="","",COUNTIFS(tbl_Finance[Job Number],E315&amp;"",tbl_Finance[Ex GST],"&lt;&gt;"))</f>
        <v/>
      </c>
      <c r="Z315" s="27">
        <f>IF(E315="","",SUMIFS(tbl_Finance[Ex GST],tbl_Finance[Job Number],E315&amp;""))</f>
        <v/>
      </c>
      <c r="AA315" s="27">
        <f>IF(E315="","",SUMIFS(tbl_Finance[Ex GST],tbl_Finance[Job Number],E315&amp;"",tbl_Finance[Xero Invoice No],"&lt;&gt;"))</f>
        <v/>
      </c>
      <c r="AB315" s="27">
        <f>IF(E315="","",Z315-AA315)</f>
        <v/>
      </c>
      <c r="AC315" s="25">
        <f>IF(E315="","",IFERROR(IF(INDEX(tbl_Onsite[Qwilr Quote],MATCH(E315&amp;"",tbl_Onsite[Job Number],0))="","",INDEX(tbl_Onsite[Qwilr Quote],MATCH(E315&amp;"",tbl_Onsite[Job Number],0))),IFERROR(IF(IF(INDEX(tbl_Production[Current RMS No],MATCH(E315&amp;"",tbl_Production[Job Number],0))="",INDEX(tbl_Production[Qwilr Quote],MATCH(E315&amp;"",tbl_Production[Job Number],0)),INDEX(tbl_Production[Current RMS No],MATCH(E315&amp;"",tbl_Production[Job Number],0)))="","",IF(INDEX(tbl_Production[Current RMS No],MATCH(E315&amp;"",tbl_Production[Job Number],0))="",INDEX(tbl_Production[Qwilr Quote],MATCH(E315&amp;"",tbl_Production[Job Number],0)),INDEX(tbl_Production[Current RMS No],MATCH(E315&amp;"",tbl_Production[Job Number],0)))),IFERROR(IF(INDEX(tbl_Consulting[Qwilr Quote],MATCH(E315&amp;"",tbl_Consulting[Job Number],0))="","",INDEX(tbl_Consulting[Qwilr Quote],MATCH(E315&amp;"",tbl_Consulting[Job Number],0))),""))))</f>
        <v/>
      </c>
      <c r="AD315" s="25">
        <f>IF(AC315="","",IF(AND(LEFT(AC315,4)&lt;&gt;"http",IF(H315="Production",set_RMSBase,set_QwilrBase)=""),"",HYPERLINK(IF(LEFT(AC315,4)="http",AC315,IF(H315="Production",set_RMSBase,set_QwilrBase)&amp;AC315),"Open")))</f>
        <v/>
      </c>
      <c r="AE315" s="27">
        <f>IF(E315="","",IFERROR(INDEX(tbl_Production[Total Expense],MATCH(E315&amp;"",tbl_Production[Job Number],0)),IFERROR(INDEX(tbl_Consulting[Total Expense],MATCH(E315&amp;"",tbl_Consulting[Job Number],0)),0)))</f>
        <v/>
      </c>
      <c r="AF315" s="27">
        <f>IF(E315="","",Z315-N(AE315))</f>
        <v/>
      </c>
      <c r="AG315" s="29">
        <f>IFERROR(AF315/Z315,"")</f>
        <v/>
      </c>
      <c r="AH315" s="25">
        <f>IF(E315="","",IFERROR(IF(INDEX(tbl_Onsite[Notes],MATCH(E315&amp;"",tbl_Onsite[Job Number],0))="","",INDEX(tbl_Onsite[Notes],MATCH(E315&amp;"",tbl_Onsite[Job Number],0))),IFERROR(IF(INDEX(tbl_Production[Notes],MATCH(E315&amp;"",tbl_Production[Job Number],0))="","",INDEX(tbl_Production[Notes],MATCH(E315&amp;"",tbl_Production[Job Number],0))),IFERROR(IF(INDEX(tbl_Consulting[Notes],MATCH(E315&amp;"",tbl_Consulting[Job Number],0))="","",INDEX(tbl_Consulting[Notes],MATCH(E315&amp;"",tbl_Consulting[Job Number],0))),""))))</f>
        <v/>
      </c>
    </row>
    <row r="316" ht="15" customHeight="1">
      <c r="A316" s="22" t="n"/>
      <c r="B316" s="23">
        <f>IF(A316="","",EOMONTH(A316,0))</f>
        <v/>
      </c>
      <c r="C316" s="24" t="n"/>
      <c r="D316" s="24" t="n"/>
      <c r="E316" s="24" t="n"/>
      <c r="F316" s="25">
        <f>IF(E316="","",IF(COUNTIF(lst_Jobs,E316&amp;"")&gt;0,"OK","CHECK"))</f>
        <v/>
      </c>
      <c r="G316" s="24" t="n"/>
      <c r="H316" s="24" t="n"/>
      <c r="I316" s="24" t="n"/>
      <c r="J316" s="24" t="n"/>
      <c r="K316" s="24" t="n"/>
      <c r="L316" s="26" t="n"/>
      <c r="M316" s="27">
        <f>IF(L316="","",IF(K316="GST 10%",ROUND(L316*set_GSTRate,2),0))</f>
        <v/>
      </c>
      <c r="N316" s="27">
        <f>IF(L316="","",L316+M316)</f>
        <v/>
      </c>
      <c r="O316" s="24" t="n"/>
      <c r="P316" s="24" t="n"/>
      <c r="Q316" s="24" t="n"/>
      <c r="R316" s="22" t="n"/>
      <c r="S316" s="22" t="n"/>
      <c r="T316" s="24" t="n"/>
      <c r="U316" s="24" t="n"/>
      <c r="V316" s="25">
        <f>IF(COUNTA(A316,D316,C316,L316)=0,"",IF(A316="","No date - sits outside every month",IF(E316="","No job number",IF(F316="CHECK","Job number is not in the Xero job list",IF(I316="","No cost centre",IF(AND(P316="Y",C316=""),"Marked posted to Xero but has no invoice number",IF(AND(L316&lt;&gt;"",K316=""),"No tax code",IF(AND(L316&lt;&gt;"",O316=""),"No revenue GL code",""))))))))</f>
        <v/>
      </c>
      <c r="W316" s="25">
        <f>IF(E316="","",IF(COUNTIF(tbl_Onsite[Job Number],E316&amp;"")&gt;0,"Onsite",IF(COUNTIF(tbl_Production[Job Number],E316&amp;"")&gt;0,"Production",IF(COUNTIF(tbl_Consulting[Job Number],E316&amp;"")&gt;0,"Consulting","not set up yet"))))</f>
        <v/>
      </c>
      <c r="X316" s="25">
        <f>IF(E316="","",IFERROR(INDEX(lst_JobName,MATCH(E316&amp;"",lst_Jobs,0)),""))</f>
        <v/>
      </c>
      <c r="Y316" s="28">
        <f>IF(E316="","",COUNTIFS(tbl_Finance[Job Number],E316&amp;"",tbl_Finance[Ex GST],"&lt;&gt;"))</f>
        <v/>
      </c>
      <c r="Z316" s="27">
        <f>IF(E316="","",SUMIFS(tbl_Finance[Ex GST],tbl_Finance[Job Number],E316&amp;""))</f>
        <v/>
      </c>
      <c r="AA316" s="27">
        <f>IF(E316="","",SUMIFS(tbl_Finance[Ex GST],tbl_Finance[Job Number],E316&amp;"",tbl_Finance[Xero Invoice No],"&lt;&gt;"))</f>
        <v/>
      </c>
      <c r="AB316" s="27">
        <f>IF(E316="","",Z316-AA316)</f>
        <v/>
      </c>
      <c r="AC316" s="25">
        <f>IF(E316="","",IFERROR(IF(INDEX(tbl_Onsite[Qwilr Quote],MATCH(E316&amp;"",tbl_Onsite[Job Number],0))="","",INDEX(tbl_Onsite[Qwilr Quote],MATCH(E316&amp;"",tbl_Onsite[Job Number],0))),IFERROR(IF(IF(INDEX(tbl_Production[Current RMS No],MATCH(E316&amp;"",tbl_Production[Job Number],0))="",INDEX(tbl_Production[Qwilr Quote],MATCH(E316&amp;"",tbl_Production[Job Number],0)),INDEX(tbl_Production[Current RMS No],MATCH(E316&amp;"",tbl_Production[Job Number],0)))="","",IF(INDEX(tbl_Production[Current RMS No],MATCH(E316&amp;"",tbl_Production[Job Number],0))="",INDEX(tbl_Production[Qwilr Quote],MATCH(E316&amp;"",tbl_Production[Job Number],0)),INDEX(tbl_Production[Current RMS No],MATCH(E316&amp;"",tbl_Production[Job Number],0)))),IFERROR(IF(INDEX(tbl_Consulting[Qwilr Quote],MATCH(E316&amp;"",tbl_Consulting[Job Number],0))="","",INDEX(tbl_Consulting[Qwilr Quote],MATCH(E316&amp;"",tbl_Consulting[Job Number],0))),""))))</f>
        <v/>
      </c>
      <c r="AD316" s="25">
        <f>IF(AC316="","",IF(AND(LEFT(AC316,4)&lt;&gt;"http",IF(H316="Production",set_RMSBase,set_QwilrBase)=""),"",HYPERLINK(IF(LEFT(AC316,4)="http",AC316,IF(H316="Production",set_RMSBase,set_QwilrBase)&amp;AC316),"Open")))</f>
        <v/>
      </c>
      <c r="AE316" s="27">
        <f>IF(E316="","",IFERROR(INDEX(tbl_Production[Total Expense],MATCH(E316&amp;"",tbl_Production[Job Number],0)),IFERROR(INDEX(tbl_Consulting[Total Expense],MATCH(E316&amp;"",tbl_Consulting[Job Number],0)),0)))</f>
        <v/>
      </c>
      <c r="AF316" s="27">
        <f>IF(E316="","",Z316-N(AE316))</f>
        <v/>
      </c>
      <c r="AG316" s="29">
        <f>IFERROR(AF316/Z316,"")</f>
        <v/>
      </c>
      <c r="AH316" s="25">
        <f>IF(E316="","",IFERROR(IF(INDEX(tbl_Onsite[Notes],MATCH(E316&amp;"",tbl_Onsite[Job Number],0))="","",INDEX(tbl_Onsite[Notes],MATCH(E316&amp;"",tbl_Onsite[Job Number],0))),IFERROR(IF(INDEX(tbl_Production[Notes],MATCH(E316&amp;"",tbl_Production[Job Number],0))="","",INDEX(tbl_Production[Notes],MATCH(E316&amp;"",tbl_Production[Job Number],0))),IFERROR(IF(INDEX(tbl_Consulting[Notes],MATCH(E316&amp;"",tbl_Consulting[Job Number],0))="","",INDEX(tbl_Consulting[Notes],MATCH(E316&amp;"",tbl_Consulting[Job Number],0))),""))))</f>
        <v/>
      </c>
    </row>
    <row r="317" ht="15" customHeight="1">
      <c r="A317" s="22" t="n"/>
      <c r="B317" s="23">
        <f>IF(A317="","",EOMONTH(A317,0))</f>
        <v/>
      </c>
      <c r="C317" s="24" t="n"/>
      <c r="D317" s="24" t="n"/>
      <c r="E317" s="24" t="n"/>
      <c r="F317" s="25">
        <f>IF(E317="","",IF(COUNTIF(lst_Jobs,E317&amp;"")&gt;0,"OK","CHECK"))</f>
        <v/>
      </c>
      <c r="G317" s="24" t="n"/>
      <c r="H317" s="24" t="n"/>
      <c r="I317" s="24" t="n"/>
      <c r="J317" s="24" t="n"/>
      <c r="K317" s="24" t="n"/>
      <c r="L317" s="26" t="n"/>
      <c r="M317" s="27">
        <f>IF(L317="","",IF(K317="GST 10%",ROUND(L317*set_GSTRate,2),0))</f>
        <v/>
      </c>
      <c r="N317" s="27">
        <f>IF(L317="","",L317+M317)</f>
        <v/>
      </c>
      <c r="O317" s="24" t="n"/>
      <c r="P317" s="24" t="n"/>
      <c r="Q317" s="24" t="n"/>
      <c r="R317" s="22" t="n"/>
      <c r="S317" s="22" t="n"/>
      <c r="T317" s="24" t="n"/>
      <c r="U317" s="24" t="n"/>
      <c r="V317" s="25">
        <f>IF(COUNTA(A317,D317,C317,L317)=0,"",IF(A317="","No date - sits outside every month",IF(E317="","No job number",IF(F317="CHECK","Job number is not in the Xero job list",IF(I317="","No cost centre",IF(AND(P317="Y",C317=""),"Marked posted to Xero but has no invoice number",IF(AND(L317&lt;&gt;"",K317=""),"No tax code",IF(AND(L317&lt;&gt;"",O317=""),"No revenue GL code",""))))))))</f>
        <v/>
      </c>
      <c r="W317" s="25">
        <f>IF(E317="","",IF(COUNTIF(tbl_Onsite[Job Number],E317&amp;"")&gt;0,"Onsite",IF(COUNTIF(tbl_Production[Job Number],E317&amp;"")&gt;0,"Production",IF(COUNTIF(tbl_Consulting[Job Number],E317&amp;"")&gt;0,"Consulting","not set up yet"))))</f>
        <v/>
      </c>
      <c r="X317" s="25">
        <f>IF(E317="","",IFERROR(INDEX(lst_JobName,MATCH(E317&amp;"",lst_Jobs,0)),""))</f>
        <v/>
      </c>
      <c r="Y317" s="28">
        <f>IF(E317="","",COUNTIFS(tbl_Finance[Job Number],E317&amp;"",tbl_Finance[Ex GST],"&lt;&gt;"))</f>
        <v/>
      </c>
      <c r="Z317" s="27">
        <f>IF(E317="","",SUMIFS(tbl_Finance[Ex GST],tbl_Finance[Job Number],E317&amp;""))</f>
        <v/>
      </c>
      <c r="AA317" s="27">
        <f>IF(E317="","",SUMIFS(tbl_Finance[Ex GST],tbl_Finance[Job Number],E317&amp;"",tbl_Finance[Xero Invoice No],"&lt;&gt;"))</f>
        <v/>
      </c>
      <c r="AB317" s="27">
        <f>IF(E317="","",Z317-AA317)</f>
        <v/>
      </c>
      <c r="AC317" s="25">
        <f>IF(E317="","",IFERROR(IF(INDEX(tbl_Onsite[Qwilr Quote],MATCH(E317&amp;"",tbl_Onsite[Job Number],0))="","",INDEX(tbl_Onsite[Qwilr Quote],MATCH(E317&amp;"",tbl_Onsite[Job Number],0))),IFERROR(IF(IF(INDEX(tbl_Production[Current RMS No],MATCH(E317&amp;"",tbl_Production[Job Number],0))="",INDEX(tbl_Production[Qwilr Quote],MATCH(E317&amp;"",tbl_Production[Job Number],0)),INDEX(tbl_Production[Current RMS No],MATCH(E317&amp;"",tbl_Production[Job Number],0)))="","",IF(INDEX(tbl_Production[Current RMS No],MATCH(E317&amp;"",tbl_Production[Job Number],0))="",INDEX(tbl_Production[Qwilr Quote],MATCH(E317&amp;"",tbl_Production[Job Number],0)),INDEX(tbl_Production[Current RMS No],MATCH(E317&amp;"",tbl_Production[Job Number],0)))),IFERROR(IF(INDEX(tbl_Consulting[Qwilr Quote],MATCH(E317&amp;"",tbl_Consulting[Job Number],0))="","",INDEX(tbl_Consulting[Qwilr Quote],MATCH(E317&amp;"",tbl_Consulting[Job Number],0))),""))))</f>
        <v/>
      </c>
      <c r="AD317" s="25">
        <f>IF(AC317="","",IF(AND(LEFT(AC317,4)&lt;&gt;"http",IF(H317="Production",set_RMSBase,set_QwilrBase)=""),"",HYPERLINK(IF(LEFT(AC317,4)="http",AC317,IF(H317="Production",set_RMSBase,set_QwilrBase)&amp;AC317),"Open")))</f>
        <v/>
      </c>
      <c r="AE317" s="27">
        <f>IF(E317="","",IFERROR(INDEX(tbl_Production[Total Expense],MATCH(E317&amp;"",tbl_Production[Job Number],0)),IFERROR(INDEX(tbl_Consulting[Total Expense],MATCH(E317&amp;"",tbl_Consulting[Job Number],0)),0)))</f>
        <v/>
      </c>
      <c r="AF317" s="27">
        <f>IF(E317="","",Z317-N(AE317))</f>
        <v/>
      </c>
      <c r="AG317" s="29">
        <f>IFERROR(AF317/Z317,"")</f>
        <v/>
      </c>
      <c r="AH317" s="25">
        <f>IF(E317="","",IFERROR(IF(INDEX(tbl_Onsite[Notes],MATCH(E317&amp;"",tbl_Onsite[Job Number],0))="","",INDEX(tbl_Onsite[Notes],MATCH(E317&amp;"",tbl_Onsite[Job Number],0))),IFERROR(IF(INDEX(tbl_Production[Notes],MATCH(E317&amp;"",tbl_Production[Job Number],0))="","",INDEX(tbl_Production[Notes],MATCH(E317&amp;"",tbl_Production[Job Number],0))),IFERROR(IF(INDEX(tbl_Consulting[Notes],MATCH(E317&amp;"",tbl_Consulting[Job Number],0))="","",INDEX(tbl_Consulting[Notes],MATCH(E317&amp;"",tbl_Consulting[Job Number],0))),""))))</f>
        <v/>
      </c>
    </row>
    <row r="318" ht="15" customHeight="1">
      <c r="A318" s="22" t="n"/>
      <c r="B318" s="23">
        <f>IF(A318="","",EOMONTH(A318,0))</f>
        <v/>
      </c>
      <c r="C318" s="24" t="n"/>
      <c r="D318" s="24" t="n"/>
      <c r="E318" s="24" t="n"/>
      <c r="F318" s="25">
        <f>IF(E318="","",IF(COUNTIF(lst_Jobs,E318&amp;"")&gt;0,"OK","CHECK"))</f>
        <v/>
      </c>
      <c r="G318" s="24" t="n"/>
      <c r="H318" s="24" t="n"/>
      <c r="I318" s="24" t="n"/>
      <c r="J318" s="24" t="n"/>
      <c r="K318" s="24" t="n"/>
      <c r="L318" s="26" t="n"/>
      <c r="M318" s="27">
        <f>IF(L318="","",IF(K318="GST 10%",ROUND(L318*set_GSTRate,2),0))</f>
        <v/>
      </c>
      <c r="N318" s="27">
        <f>IF(L318="","",L318+M318)</f>
        <v/>
      </c>
      <c r="O318" s="24" t="n"/>
      <c r="P318" s="24" t="n"/>
      <c r="Q318" s="24" t="n"/>
      <c r="R318" s="22" t="n"/>
      <c r="S318" s="22" t="n"/>
      <c r="T318" s="24" t="n"/>
      <c r="U318" s="24" t="n"/>
      <c r="V318" s="25">
        <f>IF(COUNTA(A318,D318,C318,L318)=0,"",IF(A318="","No date - sits outside every month",IF(E318="","No job number",IF(F318="CHECK","Job number is not in the Xero job list",IF(I318="","No cost centre",IF(AND(P318="Y",C318=""),"Marked posted to Xero but has no invoice number",IF(AND(L318&lt;&gt;"",K318=""),"No tax code",IF(AND(L318&lt;&gt;"",O318=""),"No revenue GL code",""))))))))</f>
        <v/>
      </c>
      <c r="W318" s="25">
        <f>IF(E318="","",IF(COUNTIF(tbl_Onsite[Job Number],E318&amp;"")&gt;0,"Onsite",IF(COUNTIF(tbl_Production[Job Number],E318&amp;"")&gt;0,"Production",IF(COUNTIF(tbl_Consulting[Job Number],E318&amp;"")&gt;0,"Consulting","not set up yet"))))</f>
        <v/>
      </c>
      <c r="X318" s="25">
        <f>IF(E318="","",IFERROR(INDEX(lst_JobName,MATCH(E318&amp;"",lst_Jobs,0)),""))</f>
        <v/>
      </c>
      <c r="Y318" s="28">
        <f>IF(E318="","",COUNTIFS(tbl_Finance[Job Number],E318&amp;"",tbl_Finance[Ex GST],"&lt;&gt;"))</f>
        <v/>
      </c>
      <c r="Z318" s="27">
        <f>IF(E318="","",SUMIFS(tbl_Finance[Ex GST],tbl_Finance[Job Number],E318&amp;""))</f>
        <v/>
      </c>
      <c r="AA318" s="27">
        <f>IF(E318="","",SUMIFS(tbl_Finance[Ex GST],tbl_Finance[Job Number],E318&amp;"",tbl_Finance[Xero Invoice No],"&lt;&gt;"))</f>
        <v/>
      </c>
      <c r="AB318" s="27">
        <f>IF(E318="","",Z318-AA318)</f>
        <v/>
      </c>
      <c r="AC318" s="25">
        <f>IF(E318="","",IFERROR(IF(INDEX(tbl_Onsite[Qwilr Quote],MATCH(E318&amp;"",tbl_Onsite[Job Number],0))="","",INDEX(tbl_Onsite[Qwilr Quote],MATCH(E318&amp;"",tbl_Onsite[Job Number],0))),IFERROR(IF(IF(INDEX(tbl_Production[Current RMS No],MATCH(E318&amp;"",tbl_Production[Job Number],0))="",INDEX(tbl_Production[Qwilr Quote],MATCH(E318&amp;"",tbl_Production[Job Number],0)),INDEX(tbl_Production[Current RMS No],MATCH(E318&amp;"",tbl_Production[Job Number],0)))="","",IF(INDEX(tbl_Production[Current RMS No],MATCH(E318&amp;"",tbl_Production[Job Number],0))="",INDEX(tbl_Production[Qwilr Quote],MATCH(E318&amp;"",tbl_Production[Job Number],0)),INDEX(tbl_Production[Current RMS No],MATCH(E318&amp;"",tbl_Production[Job Number],0)))),IFERROR(IF(INDEX(tbl_Consulting[Qwilr Quote],MATCH(E318&amp;"",tbl_Consulting[Job Number],0))="","",INDEX(tbl_Consulting[Qwilr Quote],MATCH(E318&amp;"",tbl_Consulting[Job Number],0))),""))))</f>
        <v/>
      </c>
      <c r="AD318" s="25">
        <f>IF(AC318="","",IF(AND(LEFT(AC318,4)&lt;&gt;"http",IF(H318="Production",set_RMSBase,set_QwilrBase)=""),"",HYPERLINK(IF(LEFT(AC318,4)="http",AC318,IF(H318="Production",set_RMSBase,set_QwilrBase)&amp;AC318),"Open")))</f>
        <v/>
      </c>
      <c r="AE318" s="27">
        <f>IF(E318="","",IFERROR(INDEX(tbl_Production[Total Expense],MATCH(E318&amp;"",tbl_Production[Job Number],0)),IFERROR(INDEX(tbl_Consulting[Total Expense],MATCH(E318&amp;"",tbl_Consulting[Job Number],0)),0)))</f>
        <v/>
      </c>
      <c r="AF318" s="27">
        <f>IF(E318="","",Z318-N(AE318))</f>
        <v/>
      </c>
      <c r="AG318" s="29">
        <f>IFERROR(AF318/Z318,"")</f>
        <v/>
      </c>
      <c r="AH318" s="25">
        <f>IF(E318="","",IFERROR(IF(INDEX(tbl_Onsite[Notes],MATCH(E318&amp;"",tbl_Onsite[Job Number],0))="","",INDEX(tbl_Onsite[Notes],MATCH(E318&amp;"",tbl_Onsite[Job Number],0))),IFERROR(IF(INDEX(tbl_Production[Notes],MATCH(E318&amp;"",tbl_Production[Job Number],0))="","",INDEX(tbl_Production[Notes],MATCH(E318&amp;"",tbl_Production[Job Number],0))),IFERROR(IF(INDEX(tbl_Consulting[Notes],MATCH(E318&amp;"",tbl_Consulting[Job Number],0))="","",INDEX(tbl_Consulting[Notes],MATCH(E318&amp;"",tbl_Consulting[Job Number],0))),""))))</f>
        <v/>
      </c>
    </row>
    <row r="319" ht="15" customHeight="1">
      <c r="A319" s="22" t="n"/>
      <c r="B319" s="23">
        <f>IF(A319="","",EOMONTH(A319,0))</f>
        <v/>
      </c>
      <c r="C319" s="24" t="n"/>
      <c r="D319" s="24" t="n"/>
      <c r="E319" s="24" t="n"/>
      <c r="F319" s="25">
        <f>IF(E319="","",IF(COUNTIF(lst_Jobs,E319&amp;"")&gt;0,"OK","CHECK"))</f>
        <v/>
      </c>
      <c r="G319" s="24" t="n"/>
      <c r="H319" s="24" t="n"/>
      <c r="I319" s="24" t="n"/>
      <c r="J319" s="24" t="n"/>
      <c r="K319" s="24" t="n"/>
      <c r="L319" s="26" t="n"/>
      <c r="M319" s="27">
        <f>IF(L319="","",IF(K319="GST 10%",ROUND(L319*set_GSTRate,2),0))</f>
        <v/>
      </c>
      <c r="N319" s="27">
        <f>IF(L319="","",L319+M319)</f>
        <v/>
      </c>
      <c r="O319" s="24" t="n"/>
      <c r="P319" s="24" t="n"/>
      <c r="Q319" s="24" t="n"/>
      <c r="R319" s="22" t="n"/>
      <c r="S319" s="22" t="n"/>
      <c r="T319" s="24" t="n"/>
      <c r="U319" s="24" t="n"/>
      <c r="V319" s="25">
        <f>IF(COUNTA(A319,D319,C319,L319)=0,"",IF(A319="","No date - sits outside every month",IF(E319="","No job number",IF(F319="CHECK","Job number is not in the Xero job list",IF(I319="","No cost centre",IF(AND(P319="Y",C319=""),"Marked posted to Xero but has no invoice number",IF(AND(L319&lt;&gt;"",K319=""),"No tax code",IF(AND(L319&lt;&gt;"",O319=""),"No revenue GL code",""))))))))</f>
        <v/>
      </c>
      <c r="W319" s="25">
        <f>IF(E319="","",IF(COUNTIF(tbl_Onsite[Job Number],E319&amp;"")&gt;0,"Onsite",IF(COUNTIF(tbl_Production[Job Number],E319&amp;"")&gt;0,"Production",IF(COUNTIF(tbl_Consulting[Job Number],E319&amp;"")&gt;0,"Consulting","not set up yet"))))</f>
        <v/>
      </c>
      <c r="X319" s="25">
        <f>IF(E319="","",IFERROR(INDEX(lst_JobName,MATCH(E319&amp;"",lst_Jobs,0)),""))</f>
        <v/>
      </c>
      <c r="Y319" s="28">
        <f>IF(E319="","",COUNTIFS(tbl_Finance[Job Number],E319&amp;"",tbl_Finance[Ex GST],"&lt;&gt;"))</f>
        <v/>
      </c>
      <c r="Z319" s="27">
        <f>IF(E319="","",SUMIFS(tbl_Finance[Ex GST],tbl_Finance[Job Number],E319&amp;""))</f>
        <v/>
      </c>
      <c r="AA319" s="27">
        <f>IF(E319="","",SUMIFS(tbl_Finance[Ex GST],tbl_Finance[Job Number],E319&amp;"",tbl_Finance[Xero Invoice No],"&lt;&gt;"))</f>
        <v/>
      </c>
      <c r="AB319" s="27">
        <f>IF(E319="","",Z319-AA319)</f>
        <v/>
      </c>
      <c r="AC319" s="25">
        <f>IF(E319="","",IFERROR(IF(INDEX(tbl_Onsite[Qwilr Quote],MATCH(E319&amp;"",tbl_Onsite[Job Number],0))="","",INDEX(tbl_Onsite[Qwilr Quote],MATCH(E319&amp;"",tbl_Onsite[Job Number],0))),IFERROR(IF(IF(INDEX(tbl_Production[Current RMS No],MATCH(E319&amp;"",tbl_Production[Job Number],0))="",INDEX(tbl_Production[Qwilr Quote],MATCH(E319&amp;"",tbl_Production[Job Number],0)),INDEX(tbl_Production[Current RMS No],MATCH(E319&amp;"",tbl_Production[Job Number],0)))="","",IF(INDEX(tbl_Production[Current RMS No],MATCH(E319&amp;"",tbl_Production[Job Number],0))="",INDEX(tbl_Production[Qwilr Quote],MATCH(E319&amp;"",tbl_Production[Job Number],0)),INDEX(tbl_Production[Current RMS No],MATCH(E319&amp;"",tbl_Production[Job Number],0)))),IFERROR(IF(INDEX(tbl_Consulting[Qwilr Quote],MATCH(E319&amp;"",tbl_Consulting[Job Number],0))="","",INDEX(tbl_Consulting[Qwilr Quote],MATCH(E319&amp;"",tbl_Consulting[Job Number],0))),""))))</f>
        <v/>
      </c>
      <c r="AD319" s="25">
        <f>IF(AC319="","",IF(AND(LEFT(AC319,4)&lt;&gt;"http",IF(H319="Production",set_RMSBase,set_QwilrBase)=""),"",HYPERLINK(IF(LEFT(AC319,4)="http",AC319,IF(H319="Production",set_RMSBase,set_QwilrBase)&amp;AC319),"Open")))</f>
        <v/>
      </c>
      <c r="AE319" s="27">
        <f>IF(E319="","",IFERROR(INDEX(tbl_Production[Total Expense],MATCH(E319&amp;"",tbl_Production[Job Number],0)),IFERROR(INDEX(tbl_Consulting[Total Expense],MATCH(E319&amp;"",tbl_Consulting[Job Number],0)),0)))</f>
        <v/>
      </c>
      <c r="AF319" s="27">
        <f>IF(E319="","",Z319-N(AE319))</f>
        <v/>
      </c>
      <c r="AG319" s="29">
        <f>IFERROR(AF319/Z319,"")</f>
        <v/>
      </c>
      <c r="AH319" s="25">
        <f>IF(E319="","",IFERROR(IF(INDEX(tbl_Onsite[Notes],MATCH(E319&amp;"",tbl_Onsite[Job Number],0))="","",INDEX(tbl_Onsite[Notes],MATCH(E319&amp;"",tbl_Onsite[Job Number],0))),IFERROR(IF(INDEX(tbl_Production[Notes],MATCH(E319&amp;"",tbl_Production[Job Number],0))="","",INDEX(tbl_Production[Notes],MATCH(E319&amp;"",tbl_Production[Job Number],0))),IFERROR(IF(INDEX(tbl_Consulting[Notes],MATCH(E319&amp;"",tbl_Consulting[Job Number],0))="","",INDEX(tbl_Consulting[Notes],MATCH(E319&amp;"",tbl_Consulting[Job Number],0))),""))))</f>
        <v/>
      </c>
    </row>
    <row r="320" ht="15" customHeight="1">
      <c r="A320" s="22" t="n"/>
      <c r="B320" s="23">
        <f>IF(A320="","",EOMONTH(A320,0))</f>
        <v/>
      </c>
      <c r="C320" s="24" t="n"/>
      <c r="D320" s="24" t="n"/>
      <c r="E320" s="24" t="n"/>
      <c r="F320" s="25">
        <f>IF(E320="","",IF(COUNTIF(lst_Jobs,E320&amp;"")&gt;0,"OK","CHECK"))</f>
        <v/>
      </c>
      <c r="G320" s="24" t="n"/>
      <c r="H320" s="24" t="n"/>
      <c r="I320" s="24" t="n"/>
      <c r="J320" s="24" t="n"/>
      <c r="K320" s="24" t="n"/>
      <c r="L320" s="26" t="n"/>
      <c r="M320" s="27">
        <f>IF(L320="","",IF(K320="GST 10%",ROUND(L320*set_GSTRate,2),0))</f>
        <v/>
      </c>
      <c r="N320" s="27">
        <f>IF(L320="","",L320+M320)</f>
        <v/>
      </c>
      <c r="O320" s="24" t="n"/>
      <c r="P320" s="24" t="n"/>
      <c r="Q320" s="24" t="n"/>
      <c r="R320" s="22" t="n"/>
      <c r="S320" s="22" t="n"/>
      <c r="T320" s="24" t="n"/>
      <c r="U320" s="24" t="n"/>
      <c r="V320" s="25">
        <f>IF(COUNTA(A320,D320,C320,L320)=0,"",IF(A320="","No date - sits outside every month",IF(E320="","No job number",IF(F320="CHECK","Job number is not in the Xero job list",IF(I320="","No cost centre",IF(AND(P320="Y",C320=""),"Marked posted to Xero but has no invoice number",IF(AND(L320&lt;&gt;"",K320=""),"No tax code",IF(AND(L320&lt;&gt;"",O320=""),"No revenue GL code",""))))))))</f>
        <v/>
      </c>
      <c r="W320" s="25">
        <f>IF(E320="","",IF(COUNTIF(tbl_Onsite[Job Number],E320&amp;"")&gt;0,"Onsite",IF(COUNTIF(tbl_Production[Job Number],E320&amp;"")&gt;0,"Production",IF(COUNTIF(tbl_Consulting[Job Number],E320&amp;"")&gt;0,"Consulting","not set up yet"))))</f>
        <v/>
      </c>
      <c r="X320" s="25">
        <f>IF(E320="","",IFERROR(INDEX(lst_JobName,MATCH(E320&amp;"",lst_Jobs,0)),""))</f>
        <v/>
      </c>
      <c r="Y320" s="28">
        <f>IF(E320="","",COUNTIFS(tbl_Finance[Job Number],E320&amp;"",tbl_Finance[Ex GST],"&lt;&gt;"))</f>
        <v/>
      </c>
      <c r="Z320" s="27">
        <f>IF(E320="","",SUMIFS(tbl_Finance[Ex GST],tbl_Finance[Job Number],E320&amp;""))</f>
        <v/>
      </c>
      <c r="AA320" s="27">
        <f>IF(E320="","",SUMIFS(tbl_Finance[Ex GST],tbl_Finance[Job Number],E320&amp;"",tbl_Finance[Xero Invoice No],"&lt;&gt;"))</f>
        <v/>
      </c>
      <c r="AB320" s="27">
        <f>IF(E320="","",Z320-AA320)</f>
        <v/>
      </c>
      <c r="AC320" s="25">
        <f>IF(E320="","",IFERROR(IF(INDEX(tbl_Onsite[Qwilr Quote],MATCH(E320&amp;"",tbl_Onsite[Job Number],0))="","",INDEX(tbl_Onsite[Qwilr Quote],MATCH(E320&amp;"",tbl_Onsite[Job Number],0))),IFERROR(IF(IF(INDEX(tbl_Production[Current RMS No],MATCH(E320&amp;"",tbl_Production[Job Number],0))="",INDEX(tbl_Production[Qwilr Quote],MATCH(E320&amp;"",tbl_Production[Job Number],0)),INDEX(tbl_Production[Current RMS No],MATCH(E320&amp;"",tbl_Production[Job Number],0)))="","",IF(INDEX(tbl_Production[Current RMS No],MATCH(E320&amp;"",tbl_Production[Job Number],0))="",INDEX(tbl_Production[Qwilr Quote],MATCH(E320&amp;"",tbl_Production[Job Number],0)),INDEX(tbl_Production[Current RMS No],MATCH(E320&amp;"",tbl_Production[Job Number],0)))),IFERROR(IF(INDEX(tbl_Consulting[Qwilr Quote],MATCH(E320&amp;"",tbl_Consulting[Job Number],0))="","",INDEX(tbl_Consulting[Qwilr Quote],MATCH(E320&amp;"",tbl_Consulting[Job Number],0))),""))))</f>
        <v/>
      </c>
      <c r="AD320" s="25">
        <f>IF(AC320="","",IF(AND(LEFT(AC320,4)&lt;&gt;"http",IF(H320="Production",set_RMSBase,set_QwilrBase)=""),"",HYPERLINK(IF(LEFT(AC320,4)="http",AC320,IF(H320="Production",set_RMSBase,set_QwilrBase)&amp;AC320),"Open")))</f>
        <v/>
      </c>
      <c r="AE320" s="27">
        <f>IF(E320="","",IFERROR(INDEX(tbl_Production[Total Expense],MATCH(E320&amp;"",tbl_Production[Job Number],0)),IFERROR(INDEX(tbl_Consulting[Total Expense],MATCH(E320&amp;"",tbl_Consulting[Job Number],0)),0)))</f>
        <v/>
      </c>
      <c r="AF320" s="27">
        <f>IF(E320="","",Z320-N(AE320))</f>
        <v/>
      </c>
      <c r="AG320" s="29">
        <f>IFERROR(AF320/Z320,"")</f>
        <v/>
      </c>
      <c r="AH320" s="25">
        <f>IF(E320="","",IFERROR(IF(INDEX(tbl_Onsite[Notes],MATCH(E320&amp;"",tbl_Onsite[Job Number],0))="","",INDEX(tbl_Onsite[Notes],MATCH(E320&amp;"",tbl_Onsite[Job Number],0))),IFERROR(IF(INDEX(tbl_Production[Notes],MATCH(E320&amp;"",tbl_Production[Job Number],0))="","",INDEX(tbl_Production[Notes],MATCH(E320&amp;"",tbl_Production[Job Number],0))),IFERROR(IF(INDEX(tbl_Consulting[Notes],MATCH(E320&amp;"",tbl_Consulting[Job Number],0))="","",INDEX(tbl_Consulting[Notes],MATCH(E320&amp;"",tbl_Consulting[Job Number],0))),""))))</f>
        <v/>
      </c>
    </row>
    <row r="321" ht="15" customHeight="1">
      <c r="A321" s="22" t="n"/>
      <c r="B321" s="23">
        <f>IF(A321="","",EOMONTH(A321,0))</f>
        <v/>
      </c>
      <c r="C321" s="24" t="n"/>
      <c r="D321" s="24" t="n"/>
      <c r="E321" s="24" t="n"/>
      <c r="F321" s="25">
        <f>IF(E321="","",IF(COUNTIF(lst_Jobs,E321&amp;"")&gt;0,"OK","CHECK"))</f>
        <v/>
      </c>
      <c r="G321" s="24" t="n"/>
      <c r="H321" s="24" t="n"/>
      <c r="I321" s="24" t="n"/>
      <c r="J321" s="24" t="n"/>
      <c r="K321" s="24" t="n"/>
      <c r="L321" s="26" t="n"/>
      <c r="M321" s="27">
        <f>IF(L321="","",IF(K321="GST 10%",ROUND(L321*set_GSTRate,2),0))</f>
        <v/>
      </c>
      <c r="N321" s="27">
        <f>IF(L321="","",L321+M321)</f>
        <v/>
      </c>
      <c r="O321" s="24" t="n"/>
      <c r="P321" s="24" t="n"/>
      <c r="Q321" s="24" t="n"/>
      <c r="R321" s="22" t="n"/>
      <c r="S321" s="22" t="n"/>
      <c r="T321" s="24" t="n"/>
      <c r="U321" s="24" t="n"/>
      <c r="V321" s="25">
        <f>IF(COUNTA(A321,D321,C321,L321)=0,"",IF(A321="","No date - sits outside every month",IF(E321="","No job number",IF(F321="CHECK","Job number is not in the Xero job list",IF(I321="","No cost centre",IF(AND(P321="Y",C321=""),"Marked posted to Xero but has no invoice number",IF(AND(L321&lt;&gt;"",K321=""),"No tax code",IF(AND(L321&lt;&gt;"",O321=""),"No revenue GL code",""))))))))</f>
        <v/>
      </c>
      <c r="W321" s="25">
        <f>IF(E321="","",IF(COUNTIF(tbl_Onsite[Job Number],E321&amp;"")&gt;0,"Onsite",IF(COUNTIF(tbl_Production[Job Number],E321&amp;"")&gt;0,"Production",IF(COUNTIF(tbl_Consulting[Job Number],E321&amp;"")&gt;0,"Consulting","not set up yet"))))</f>
        <v/>
      </c>
      <c r="X321" s="25">
        <f>IF(E321="","",IFERROR(INDEX(lst_JobName,MATCH(E321&amp;"",lst_Jobs,0)),""))</f>
        <v/>
      </c>
      <c r="Y321" s="28">
        <f>IF(E321="","",COUNTIFS(tbl_Finance[Job Number],E321&amp;"",tbl_Finance[Ex GST],"&lt;&gt;"))</f>
        <v/>
      </c>
      <c r="Z321" s="27">
        <f>IF(E321="","",SUMIFS(tbl_Finance[Ex GST],tbl_Finance[Job Number],E321&amp;""))</f>
        <v/>
      </c>
      <c r="AA321" s="27">
        <f>IF(E321="","",SUMIFS(tbl_Finance[Ex GST],tbl_Finance[Job Number],E321&amp;"",tbl_Finance[Xero Invoice No],"&lt;&gt;"))</f>
        <v/>
      </c>
      <c r="AB321" s="27">
        <f>IF(E321="","",Z321-AA321)</f>
        <v/>
      </c>
      <c r="AC321" s="25">
        <f>IF(E321="","",IFERROR(IF(INDEX(tbl_Onsite[Qwilr Quote],MATCH(E321&amp;"",tbl_Onsite[Job Number],0))="","",INDEX(tbl_Onsite[Qwilr Quote],MATCH(E321&amp;"",tbl_Onsite[Job Number],0))),IFERROR(IF(IF(INDEX(tbl_Production[Current RMS No],MATCH(E321&amp;"",tbl_Production[Job Number],0))="",INDEX(tbl_Production[Qwilr Quote],MATCH(E321&amp;"",tbl_Production[Job Number],0)),INDEX(tbl_Production[Current RMS No],MATCH(E321&amp;"",tbl_Production[Job Number],0)))="","",IF(INDEX(tbl_Production[Current RMS No],MATCH(E321&amp;"",tbl_Production[Job Number],0))="",INDEX(tbl_Production[Qwilr Quote],MATCH(E321&amp;"",tbl_Production[Job Number],0)),INDEX(tbl_Production[Current RMS No],MATCH(E321&amp;"",tbl_Production[Job Number],0)))),IFERROR(IF(INDEX(tbl_Consulting[Qwilr Quote],MATCH(E321&amp;"",tbl_Consulting[Job Number],0))="","",INDEX(tbl_Consulting[Qwilr Quote],MATCH(E321&amp;"",tbl_Consulting[Job Number],0))),""))))</f>
        <v/>
      </c>
      <c r="AD321" s="25">
        <f>IF(AC321="","",IF(AND(LEFT(AC321,4)&lt;&gt;"http",IF(H321="Production",set_RMSBase,set_QwilrBase)=""),"",HYPERLINK(IF(LEFT(AC321,4)="http",AC321,IF(H321="Production",set_RMSBase,set_QwilrBase)&amp;AC321),"Open")))</f>
        <v/>
      </c>
      <c r="AE321" s="27">
        <f>IF(E321="","",IFERROR(INDEX(tbl_Production[Total Expense],MATCH(E321&amp;"",tbl_Production[Job Number],0)),IFERROR(INDEX(tbl_Consulting[Total Expense],MATCH(E321&amp;"",tbl_Consulting[Job Number],0)),0)))</f>
        <v/>
      </c>
      <c r="AF321" s="27">
        <f>IF(E321="","",Z321-N(AE321))</f>
        <v/>
      </c>
      <c r="AG321" s="29">
        <f>IFERROR(AF321/Z321,"")</f>
        <v/>
      </c>
      <c r="AH321" s="25">
        <f>IF(E321="","",IFERROR(IF(INDEX(tbl_Onsite[Notes],MATCH(E321&amp;"",tbl_Onsite[Job Number],0))="","",INDEX(tbl_Onsite[Notes],MATCH(E321&amp;"",tbl_Onsite[Job Number],0))),IFERROR(IF(INDEX(tbl_Production[Notes],MATCH(E321&amp;"",tbl_Production[Job Number],0))="","",INDEX(tbl_Production[Notes],MATCH(E321&amp;"",tbl_Production[Job Number],0))),IFERROR(IF(INDEX(tbl_Consulting[Notes],MATCH(E321&amp;"",tbl_Consulting[Job Number],0))="","",INDEX(tbl_Consulting[Notes],MATCH(E321&amp;"",tbl_Consulting[Job Number],0))),""))))</f>
        <v/>
      </c>
    </row>
    <row r="322" ht="15" customHeight="1">
      <c r="A322" s="22" t="n"/>
      <c r="B322" s="23">
        <f>IF(A322="","",EOMONTH(A322,0))</f>
        <v/>
      </c>
      <c r="C322" s="24" t="n"/>
      <c r="D322" s="24" t="n"/>
      <c r="E322" s="24" t="n"/>
      <c r="F322" s="25">
        <f>IF(E322="","",IF(COUNTIF(lst_Jobs,E322&amp;"")&gt;0,"OK","CHECK"))</f>
        <v/>
      </c>
      <c r="G322" s="24" t="n"/>
      <c r="H322" s="24" t="n"/>
      <c r="I322" s="24" t="n"/>
      <c r="J322" s="24" t="n"/>
      <c r="K322" s="24" t="n"/>
      <c r="L322" s="26" t="n"/>
      <c r="M322" s="27">
        <f>IF(L322="","",IF(K322="GST 10%",ROUND(L322*set_GSTRate,2),0))</f>
        <v/>
      </c>
      <c r="N322" s="27">
        <f>IF(L322="","",L322+M322)</f>
        <v/>
      </c>
      <c r="O322" s="24" t="n"/>
      <c r="P322" s="24" t="n"/>
      <c r="Q322" s="24" t="n"/>
      <c r="R322" s="22" t="n"/>
      <c r="S322" s="22" t="n"/>
      <c r="T322" s="24" t="n"/>
      <c r="U322" s="24" t="n"/>
      <c r="V322" s="25">
        <f>IF(COUNTA(A322,D322,C322,L322)=0,"",IF(A322="","No date - sits outside every month",IF(E322="","No job number",IF(F322="CHECK","Job number is not in the Xero job list",IF(I322="","No cost centre",IF(AND(P322="Y",C322=""),"Marked posted to Xero but has no invoice number",IF(AND(L322&lt;&gt;"",K322=""),"No tax code",IF(AND(L322&lt;&gt;"",O322=""),"No revenue GL code",""))))))))</f>
        <v/>
      </c>
      <c r="W322" s="25">
        <f>IF(E322="","",IF(COUNTIF(tbl_Onsite[Job Number],E322&amp;"")&gt;0,"Onsite",IF(COUNTIF(tbl_Production[Job Number],E322&amp;"")&gt;0,"Production",IF(COUNTIF(tbl_Consulting[Job Number],E322&amp;"")&gt;0,"Consulting","not set up yet"))))</f>
        <v/>
      </c>
      <c r="X322" s="25">
        <f>IF(E322="","",IFERROR(INDEX(lst_JobName,MATCH(E322&amp;"",lst_Jobs,0)),""))</f>
        <v/>
      </c>
      <c r="Y322" s="28">
        <f>IF(E322="","",COUNTIFS(tbl_Finance[Job Number],E322&amp;"",tbl_Finance[Ex GST],"&lt;&gt;"))</f>
        <v/>
      </c>
      <c r="Z322" s="27">
        <f>IF(E322="","",SUMIFS(tbl_Finance[Ex GST],tbl_Finance[Job Number],E322&amp;""))</f>
        <v/>
      </c>
      <c r="AA322" s="27">
        <f>IF(E322="","",SUMIFS(tbl_Finance[Ex GST],tbl_Finance[Job Number],E322&amp;"",tbl_Finance[Xero Invoice No],"&lt;&gt;"))</f>
        <v/>
      </c>
      <c r="AB322" s="27">
        <f>IF(E322="","",Z322-AA322)</f>
        <v/>
      </c>
      <c r="AC322" s="25">
        <f>IF(E322="","",IFERROR(IF(INDEX(tbl_Onsite[Qwilr Quote],MATCH(E322&amp;"",tbl_Onsite[Job Number],0))="","",INDEX(tbl_Onsite[Qwilr Quote],MATCH(E322&amp;"",tbl_Onsite[Job Number],0))),IFERROR(IF(IF(INDEX(tbl_Production[Current RMS No],MATCH(E322&amp;"",tbl_Production[Job Number],0))="",INDEX(tbl_Production[Qwilr Quote],MATCH(E322&amp;"",tbl_Production[Job Number],0)),INDEX(tbl_Production[Current RMS No],MATCH(E322&amp;"",tbl_Production[Job Number],0)))="","",IF(INDEX(tbl_Production[Current RMS No],MATCH(E322&amp;"",tbl_Production[Job Number],0))="",INDEX(tbl_Production[Qwilr Quote],MATCH(E322&amp;"",tbl_Production[Job Number],0)),INDEX(tbl_Production[Current RMS No],MATCH(E322&amp;"",tbl_Production[Job Number],0)))),IFERROR(IF(INDEX(tbl_Consulting[Qwilr Quote],MATCH(E322&amp;"",tbl_Consulting[Job Number],0))="","",INDEX(tbl_Consulting[Qwilr Quote],MATCH(E322&amp;"",tbl_Consulting[Job Number],0))),""))))</f>
        <v/>
      </c>
      <c r="AD322" s="25">
        <f>IF(AC322="","",IF(AND(LEFT(AC322,4)&lt;&gt;"http",IF(H322="Production",set_RMSBase,set_QwilrBase)=""),"",HYPERLINK(IF(LEFT(AC322,4)="http",AC322,IF(H322="Production",set_RMSBase,set_QwilrBase)&amp;AC322),"Open")))</f>
        <v/>
      </c>
      <c r="AE322" s="27">
        <f>IF(E322="","",IFERROR(INDEX(tbl_Production[Total Expense],MATCH(E322&amp;"",tbl_Production[Job Number],0)),IFERROR(INDEX(tbl_Consulting[Total Expense],MATCH(E322&amp;"",tbl_Consulting[Job Number],0)),0)))</f>
        <v/>
      </c>
      <c r="AF322" s="27">
        <f>IF(E322="","",Z322-N(AE322))</f>
        <v/>
      </c>
      <c r="AG322" s="29">
        <f>IFERROR(AF322/Z322,"")</f>
        <v/>
      </c>
      <c r="AH322" s="25">
        <f>IF(E322="","",IFERROR(IF(INDEX(tbl_Onsite[Notes],MATCH(E322&amp;"",tbl_Onsite[Job Number],0))="","",INDEX(tbl_Onsite[Notes],MATCH(E322&amp;"",tbl_Onsite[Job Number],0))),IFERROR(IF(INDEX(tbl_Production[Notes],MATCH(E322&amp;"",tbl_Production[Job Number],0))="","",INDEX(tbl_Production[Notes],MATCH(E322&amp;"",tbl_Production[Job Number],0))),IFERROR(IF(INDEX(tbl_Consulting[Notes],MATCH(E322&amp;"",tbl_Consulting[Job Number],0))="","",INDEX(tbl_Consulting[Notes],MATCH(E322&amp;"",tbl_Consulting[Job Number],0))),""))))</f>
        <v/>
      </c>
    </row>
    <row r="323" ht="15" customHeight="1">
      <c r="A323" s="22" t="n"/>
      <c r="B323" s="23">
        <f>IF(A323="","",EOMONTH(A323,0))</f>
        <v/>
      </c>
      <c r="C323" s="24" t="n"/>
      <c r="D323" s="24" t="n"/>
      <c r="E323" s="24" t="n"/>
      <c r="F323" s="25">
        <f>IF(E323="","",IF(COUNTIF(lst_Jobs,E323&amp;"")&gt;0,"OK","CHECK"))</f>
        <v/>
      </c>
      <c r="G323" s="24" t="n"/>
      <c r="H323" s="24" t="n"/>
      <c r="I323" s="24" t="n"/>
      <c r="J323" s="24" t="n"/>
      <c r="K323" s="24" t="n"/>
      <c r="L323" s="26" t="n"/>
      <c r="M323" s="27">
        <f>IF(L323="","",IF(K323="GST 10%",ROUND(L323*set_GSTRate,2),0))</f>
        <v/>
      </c>
      <c r="N323" s="27">
        <f>IF(L323="","",L323+M323)</f>
        <v/>
      </c>
      <c r="O323" s="24" t="n"/>
      <c r="P323" s="24" t="n"/>
      <c r="Q323" s="24" t="n"/>
      <c r="R323" s="22" t="n"/>
      <c r="S323" s="22" t="n"/>
      <c r="T323" s="24" t="n"/>
      <c r="U323" s="24" t="n"/>
      <c r="V323" s="25">
        <f>IF(COUNTA(A323,D323,C323,L323)=0,"",IF(A323="","No date - sits outside every month",IF(E323="","No job number",IF(F323="CHECK","Job number is not in the Xero job list",IF(I323="","No cost centre",IF(AND(P323="Y",C323=""),"Marked posted to Xero but has no invoice number",IF(AND(L323&lt;&gt;"",K323=""),"No tax code",IF(AND(L323&lt;&gt;"",O323=""),"No revenue GL code",""))))))))</f>
        <v/>
      </c>
      <c r="W323" s="25">
        <f>IF(E323="","",IF(COUNTIF(tbl_Onsite[Job Number],E323&amp;"")&gt;0,"Onsite",IF(COUNTIF(tbl_Production[Job Number],E323&amp;"")&gt;0,"Production",IF(COUNTIF(tbl_Consulting[Job Number],E323&amp;"")&gt;0,"Consulting","not set up yet"))))</f>
        <v/>
      </c>
      <c r="X323" s="25">
        <f>IF(E323="","",IFERROR(INDEX(lst_JobName,MATCH(E323&amp;"",lst_Jobs,0)),""))</f>
        <v/>
      </c>
      <c r="Y323" s="28">
        <f>IF(E323="","",COUNTIFS(tbl_Finance[Job Number],E323&amp;"",tbl_Finance[Ex GST],"&lt;&gt;"))</f>
        <v/>
      </c>
      <c r="Z323" s="27">
        <f>IF(E323="","",SUMIFS(tbl_Finance[Ex GST],tbl_Finance[Job Number],E323&amp;""))</f>
        <v/>
      </c>
      <c r="AA323" s="27">
        <f>IF(E323="","",SUMIFS(tbl_Finance[Ex GST],tbl_Finance[Job Number],E323&amp;"",tbl_Finance[Xero Invoice No],"&lt;&gt;"))</f>
        <v/>
      </c>
      <c r="AB323" s="27">
        <f>IF(E323="","",Z323-AA323)</f>
        <v/>
      </c>
      <c r="AC323" s="25">
        <f>IF(E323="","",IFERROR(IF(INDEX(tbl_Onsite[Qwilr Quote],MATCH(E323&amp;"",tbl_Onsite[Job Number],0))="","",INDEX(tbl_Onsite[Qwilr Quote],MATCH(E323&amp;"",tbl_Onsite[Job Number],0))),IFERROR(IF(IF(INDEX(tbl_Production[Current RMS No],MATCH(E323&amp;"",tbl_Production[Job Number],0))="",INDEX(tbl_Production[Qwilr Quote],MATCH(E323&amp;"",tbl_Production[Job Number],0)),INDEX(tbl_Production[Current RMS No],MATCH(E323&amp;"",tbl_Production[Job Number],0)))="","",IF(INDEX(tbl_Production[Current RMS No],MATCH(E323&amp;"",tbl_Production[Job Number],0))="",INDEX(tbl_Production[Qwilr Quote],MATCH(E323&amp;"",tbl_Production[Job Number],0)),INDEX(tbl_Production[Current RMS No],MATCH(E323&amp;"",tbl_Production[Job Number],0)))),IFERROR(IF(INDEX(tbl_Consulting[Qwilr Quote],MATCH(E323&amp;"",tbl_Consulting[Job Number],0))="","",INDEX(tbl_Consulting[Qwilr Quote],MATCH(E323&amp;"",tbl_Consulting[Job Number],0))),""))))</f>
        <v/>
      </c>
      <c r="AD323" s="25">
        <f>IF(AC323="","",IF(AND(LEFT(AC323,4)&lt;&gt;"http",IF(H323="Production",set_RMSBase,set_QwilrBase)=""),"",HYPERLINK(IF(LEFT(AC323,4)="http",AC323,IF(H323="Production",set_RMSBase,set_QwilrBase)&amp;AC323),"Open")))</f>
        <v/>
      </c>
      <c r="AE323" s="27">
        <f>IF(E323="","",IFERROR(INDEX(tbl_Production[Total Expense],MATCH(E323&amp;"",tbl_Production[Job Number],0)),IFERROR(INDEX(tbl_Consulting[Total Expense],MATCH(E323&amp;"",tbl_Consulting[Job Number],0)),0)))</f>
        <v/>
      </c>
      <c r="AF323" s="27">
        <f>IF(E323="","",Z323-N(AE323))</f>
        <v/>
      </c>
      <c r="AG323" s="29">
        <f>IFERROR(AF323/Z323,"")</f>
        <v/>
      </c>
      <c r="AH323" s="25">
        <f>IF(E323="","",IFERROR(IF(INDEX(tbl_Onsite[Notes],MATCH(E323&amp;"",tbl_Onsite[Job Number],0))="","",INDEX(tbl_Onsite[Notes],MATCH(E323&amp;"",tbl_Onsite[Job Number],0))),IFERROR(IF(INDEX(tbl_Production[Notes],MATCH(E323&amp;"",tbl_Production[Job Number],0))="","",INDEX(tbl_Production[Notes],MATCH(E323&amp;"",tbl_Production[Job Number],0))),IFERROR(IF(INDEX(tbl_Consulting[Notes],MATCH(E323&amp;"",tbl_Consulting[Job Number],0))="","",INDEX(tbl_Consulting[Notes],MATCH(E323&amp;"",tbl_Consulting[Job Number],0))),""))))</f>
        <v/>
      </c>
    </row>
    <row r="324" ht="15" customHeight="1">
      <c r="A324" s="22" t="n"/>
      <c r="B324" s="23">
        <f>IF(A324="","",EOMONTH(A324,0))</f>
        <v/>
      </c>
      <c r="C324" s="24" t="n"/>
      <c r="D324" s="24" t="n"/>
      <c r="E324" s="24" t="n"/>
      <c r="F324" s="25">
        <f>IF(E324="","",IF(COUNTIF(lst_Jobs,E324&amp;"")&gt;0,"OK","CHECK"))</f>
        <v/>
      </c>
      <c r="G324" s="24" t="n"/>
      <c r="H324" s="24" t="n"/>
      <c r="I324" s="24" t="n"/>
      <c r="J324" s="24" t="n"/>
      <c r="K324" s="24" t="n"/>
      <c r="L324" s="26" t="n"/>
      <c r="M324" s="27">
        <f>IF(L324="","",IF(K324="GST 10%",ROUND(L324*set_GSTRate,2),0))</f>
        <v/>
      </c>
      <c r="N324" s="27">
        <f>IF(L324="","",L324+M324)</f>
        <v/>
      </c>
      <c r="O324" s="24" t="n"/>
      <c r="P324" s="24" t="n"/>
      <c r="Q324" s="24" t="n"/>
      <c r="R324" s="22" t="n"/>
      <c r="S324" s="22" t="n"/>
      <c r="T324" s="24" t="n"/>
      <c r="U324" s="24" t="n"/>
      <c r="V324" s="25">
        <f>IF(COUNTA(A324,D324,C324,L324)=0,"",IF(A324="","No date - sits outside every month",IF(E324="","No job number",IF(F324="CHECK","Job number is not in the Xero job list",IF(I324="","No cost centre",IF(AND(P324="Y",C324=""),"Marked posted to Xero but has no invoice number",IF(AND(L324&lt;&gt;"",K324=""),"No tax code",IF(AND(L324&lt;&gt;"",O324=""),"No revenue GL code",""))))))))</f>
        <v/>
      </c>
      <c r="W324" s="25">
        <f>IF(E324="","",IF(COUNTIF(tbl_Onsite[Job Number],E324&amp;"")&gt;0,"Onsite",IF(COUNTIF(tbl_Production[Job Number],E324&amp;"")&gt;0,"Production",IF(COUNTIF(tbl_Consulting[Job Number],E324&amp;"")&gt;0,"Consulting","not set up yet"))))</f>
        <v/>
      </c>
      <c r="X324" s="25">
        <f>IF(E324="","",IFERROR(INDEX(lst_JobName,MATCH(E324&amp;"",lst_Jobs,0)),""))</f>
        <v/>
      </c>
      <c r="Y324" s="28">
        <f>IF(E324="","",COUNTIFS(tbl_Finance[Job Number],E324&amp;"",tbl_Finance[Ex GST],"&lt;&gt;"))</f>
        <v/>
      </c>
      <c r="Z324" s="27">
        <f>IF(E324="","",SUMIFS(tbl_Finance[Ex GST],tbl_Finance[Job Number],E324&amp;""))</f>
        <v/>
      </c>
      <c r="AA324" s="27">
        <f>IF(E324="","",SUMIFS(tbl_Finance[Ex GST],tbl_Finance[Job Number],E324&amp;"",tbl_Finance[Xero Invoice No],"&lt;&gt;"))</f>
        <v/>
      </c>
      <c r="AB324" s="27">
        <f>IF(E324="","",Z324-AA324)</f>
        <v/>
      </c>
      <c r="AC324" s="25">
        <f>IF(E324="","",IFERROR(IF(INDEX(tbl_Onsite[Qwilr Quote],MATCH(E324&amp;"",tbl_Onsite[Job Number],0))="","",INDEX(tbl_Onsite[Qwilr Quote],MATCH(E324&amp;"",tbl_Onsite[Job Number],0))),IFERROR(IF(IF(INDEX(tbl_Production[Current RMS No],MATCH(E324&amp;"",tbl_Production[Job Number],0))="",INDEX(tbl_Production[Qwilr Quote],MATCH(E324&amp;"",tbl_Production[Job Number],0)),INDEX(tbl_Production[Current RMS No],MATCH(E324&amp;"",tbl_Production[Job Number],0)))="","",IF(INDEX(tbl_Production[Current RMS No],MATCH(E324&amp;"",tbl_Production[Job Number],0))="",INDEX(tbl_Production[Qwilr Quote],MATCH(E324&amp;"",tbl_Production[Job Number],0)),INDEX(tbl_Production[Current RMS No],MATCH(E324&amp;"",tbl_Production[Job Number],0)))),IFERROR(IF(INDEX(tbl_Consulting[Qwilr Quote],MATCH(E324&amp;"",tbl_Consulting[Job Number],0))="","",INDEX(tbl_Consulting[Qwilr Quote],MATCH(E324&amp;"",tbl_Consulting[Job Number],0))),""))))</f>
        <v/>
      </c>
      <c r="AD324" s="25">
        <f>IF(AC324="","",IF(AND(LEFT(AC324,4)&lt;&gt;"http",IF(H324="Production",set_RMSBase,set_QwilrBase)=""),"",HYPERLINK(IF(LEFT(AC324,4)="http",AC324,IF(H324="Production",set_RMSBase,set_QwilrBase)&amp;AC324),"Open")))</f>
        <v/>
      </c>
      <c r="AE324" s="27">
        <f>IF(E324="","",IFERROR(INDEX(tbl_Production[Total Expense],MATCH(E324&amp;"",tbl_Production[Job Number],0)),IFERROR(INDEX(tbl_Consulting[Total Expense],MATCH(E324&amp;"",tbl_Consulting[Job Number],0)),0)))</f>
        <v/>
      </c>
      <c r="AF324" s="27">
        <f>IF(E324="","",Z324-N(AE324))</f>
        <v/>
      </c>
      <c r="AG324" s="29">
        <f>IFERROR(AF324/Z324,"")</f>
        <v/>
      </c>
      <c r="AH324" s="25">
        <f>IF(E324="","",IFERROR(IF(INDEX(tbl_Onsite[Notes],MATCH(E324&amp;"",tbl_Onsite[Job Number],0))="","",INDEX(tbl_Onsite[Notes],MATCH(E324&amp;"",tbl_Onsite[Job Number],0))),IFERROR(IF(INDEX(tbl_Production[Notes],MATCH(E324&amp;"",tbl_Production[Job Number],0))="","",INDEX(tbl_Production[Notes],MATCH(E324&amp;"",tbl_Production[Job Number],0))),IFERROR(IF(INDEX(tbl_Consulting[Notes],MATCH(E324&amp;"",tbl_Consulting[Job Number],0))="","",INDEX(tbl_Consulting[Notes],MATCH(E324&amp;"",tbl_Consulting[Job Number],0))),""))))</f>
        <v/>
      </c>
    </row>
    <row r="325" ht="15" customHeight="1">
      <c r="A325" s="22" t="n"/>
      <c r="B325" s="23">
        <f>IF(A325="","",EOMONTH(A325,0))</f>
        <v/>
      </c>
      <c r="C325" s="24" t="n"/>
      <c r="D325" s="24" t="n"/>
      <c r="E325" s="24" t="n"/>
      <c r="F325" s="25">
        <f>IF(E325="","",IF(COUNTIF(lst_Jobs,E325&amp;"")&gt;0,"OK","CHECK"))</f>
        <v/>
      </c>
      <c r="G325" s="24" t="n"/>
      <c r="H325" s="24" t="n"/>
      <c r="I325" s="24" t="n"/>
      <c r="J325" s="24" t="n"/>
      <c r="K325" s="24" t="n"/>
      <c r="L325" s="26" t="n"/>
      <c r="M325" s="27">
        <f>IF(L325="","",IF(K325="GST 10%",ROUND(L325*set_GSTRate,2),0))</f>
        <v/>
      </c>
      <c r="N325" s="27">
        <f>IF(L325="","",L325+M325)</f>
        <v/>
      </c>
      <c r="O325" s="24" t="n"/>
      <c r="P325" s="24" t="n"/>
      <c r="Q325" s="24" t="n"/>
      <c r="R325" s="22" t="n"/>
      <c r="S325" s="22" t="n"/>
      <c r="T325" s="24" t="n"/>
      <c r="U325" s="24" t="n"/>
      <c r="V325" s="25">
        <f>IF(COUNTA(A325,D325,C325,L325)=0,"",IF(A325="","No date - sits outside every month",IF(E325="","No job number",IF(F325="CHECK","Job number is not in the Xero job list",IF(I325="","No cost centre",IF(AND(P325="Y",C325=""),"Marked posted to Xero but has no invoice number",IF(AND(L325&lt;&gt;"",K325=""),"No tax code",IF(AND(L325&lt;&gt;"",O325=""),"No revenue GL code",""))))))))</f>
        <v/>
      </c>
      <c r="W325" s="25">
        <f>IF(E325="","",IF(COUNTIF(tbl_Onsite[Job Number],E325&amp;"")&gt;0,"Onsite",IF(COUNTIF(tbl_Production[Job Number],E325&amp;"")&gt;0,"Production",IF(COUNTIF(tbl_Consulting[Job Number],E325&amp;"")&gt;0,"Consulting","not set up yet"))))</f>
        <v/>
      </c>
      <c r="X325" s="25">
        <f>IF(E325="","",IFERROR(INDEX(lst_JobName,MATCH(E325&amp;"",lst_Jobs,0)),""))</f>
        <v/>
      </c>
      <c r="Y325" s="28">
        <f>IF(E325="","",COUNTIFS(tbl_Finance[Job Number],E325&amp;"",tbl_Finance[Ex GST],"&lt;&gt;"))</f>
        <v/>
      </c>
      <c r="Z325" s="27">
        <f>IF(E325="","",SUMIFS(tbl_Finance[Ex GST],tbl_Finance[Job Number],E325&amp;""))</f>
        <v/>
      </c>
      <c r="AA325" s="27">
        <f>IF(E325="","",SUMIFS(tbl_Finance[Ex GST],tbl_Finance[Job Number],E325&amp;"",tbl_Finance[Xero Invoice No],"&lt;&gt;"))</f>
        <v/>
      </c>
      <c r="AB325" s="27">
        <f>IF(E325="","",Z325-AA325)</f>
        <v/>
      </c>
      <c r="AC325" s="25">
        <f>IF(E325="","",IFERROR(IF(INDEX(tbl_Onsite[Qwilr Quote],MATCH(E325&amp;"",tbl_Onsite[Job Number],0))="","",INDEX(tbl_Onsite[Qwilr Quote],MATCH(E325&amp;"",tbl_Onsite[Job Number],0))),IFERROR(IF(IF(INDEX(tbl_Production[Current RMS No],MATCH(E325&amp;"",tbl_Production[Job Number],0))="",INDEX(tbl_Production[Qwilr Quote],MATCH(E325&amp;"",tbl_Production[Job Number],0)),INDEX(tbl_Production[Current RMS No],MATCH(E325&amp;"",tbl_Production[Job Number],0)))="","",IF(INDEX(tbl_Production[Current RMS No],MATCH(E325&amp;"",tbl_Production[Job Number],0))="",INDEX(tbl_Production[Qwilr Quote],MATCH(E325&amp;"",tbl_Production[Job Number],0)),INDEX(tbl_Production[Current RMS No],MATCH(E325&amp;"",tbl_Production[Job Number],0)))),IFERROR(IF(INDEX(tbl_Consulting[Qwilr Quote],MATCH(E325&amp;"",tbl_Consulting[Job Number],0))="","",INDEX(tbl_Consulting[Qwilr Quote],MATCH(E325&amp;"",tbl_Consulting[Job Number],0))),""))))</f>
        <v/>
      </c>
      <c r="AD325" s="25">
        <f>IF(AC325="","",IF(AND(LEFT(AC325,4)&lt;&gt;"http",IF(H325="Production",set_RMSBase,set_QwilrBase)=""),"",HYPERLINK(IF(LEFT(AC325,4)="http",AC325,IF(H325="Production",set_RMSBase,set_QwilrBase)&amp;AC325),"Open")))</f>
        <v/>
      </c>
      <c r="AE325" s="27">
        <f>IF(E325="","",IFERROR(INDEX(tbl_Production[Total Expense],MATCH(E325&amp;"",tbl_Production[Job Number],0)),IFERROR(INDEX(tbl_Consulting[Total Expense],MATCH(E325&amp;"",tbl_Consulting[Job Number],0)),0)))</f>
        <v/>
      </c>
      <c r="AF325" s="27">
        <f>IF(E325="","",Z325-N(AE325))</f>
        <v/>
      </c>
      <c r="AG325" s="29">
        <f>IFERROR(AF325/Z325,"")</f>
        <v/>
      </c>
      <c r="AH325" s="25">
        <f>IF(E325="","",IFERROR(IF(INDEX(tbl_Onsite[Notes],MATCH(E325&amp;"",tbl_Onsite[Job Number],0))="","",INDEX(tbl_Onsite[Notes],MATCH(E325&amp;"",tbl_Onsite[Job Number],0))),IFERROR(IF(INDEX(tbl_Production[Notes],MATCH(E325&amp;"",tbl_Production[Job Number],0))="","",INDEX(tbl_Production[Notes],MATCH(E325&amp;"",tbl_Production[Job Number],0))),IFERROR(IF(INDEX(tbl_Consulting[Notes],MATCH(E325&amp;"",tbl_Consulting[Job Number],0))="","",INDEX(tbl_Consulting[Notes],MATCH(E325&amp;"",tbl_Consulting[Job Number],0))),""))))</f>
        <v/>
      </c>
    </row>
    <row r="326" ht="15" customHeight="1">
      <c r="A326" s="22" t="n"/>
      <c r="B326" s="23">
        <f>IF(A326="","",EOMONTH(A326,0))</f>
        <v/>
      </c>
      <c r="C326" s="24" t="n"/>
      <c r="D326" s="24" t="n"/>
      <c r="E326" s="24" t="n"/>
      <c r="F326" s="25">
        <f>IF(E326="","",IF(COUNTIF(lst_Jobs,E326&amp;"")&gt;0,"OK","CHECK"))</f>
        <v/>
      </c>
      <c r="G326" s="24" t="n"/>
      <c r="H326" s="24" t="n"/>
      <c r="I326" s="24" t="n"/>
      <c r="J326" s="24" t="n"/>
      <c r="K326" s="24" t="n"/>
      <c r="L326" s="26" t="n"/>
      <c r="M326" s="27">
        <f>IF(L326="","",IF(K326="GST 10%",ROUND(L326*set_GSTRate,2),0))</f>
        <v/>
      </c>
      <c r="N326" s="27">
        <f>IF(L326="","",L326+M326)</f>
        <v/>
      </c>
      <c r="O326" s="24" t="n"/>
      <c r="P326" s="24" t="n"/>
      <c r="Q326" s="24" t="n"/>
      <c r="R326" s="22" t="n"/>
      <c r="S326" s="22" t="n"/>
      <c r="T326" s="24" t="n"/>
      <c r="U326" s="24" t="n"/>
      <c r="V326" s="25">
        <f>IF(COUNTA(A326,D326,C326,L326)=0,"",IF(A326="","No date - sits outside every month",IF(E326="","No job number",IF(F326="CHECK","Job number is not in the Xero job list",IF(I326="","No cost centre",IF(AND(P326="Y",C326=""),"Marked posted to Xero but has no invoice number",IF(AND(L326&lt;&gt;"",K326=""),"No tax code",IF(AND(L326&lt;&gt;"",O326=""),"No revenue GL code",""))))))))</f>
        <v/>
      </c>
      <c r="W326" s="25">
        <f>IF(E326="","",IF(COUNTIF(tbl_Onsite[Job Number],E326&amp;"")&gt;0,"Onsite",IF(COUNTIF(tbl_Production[Job Number],E326&amp;"")&gt;0,"Production",IF(COUNTIF(tbl_Consulting[Job Number],E326&amp;"")&gt;0,"Consulting","not set up yet"))))</f>
        <v/>
      </c>
      <c r="X326" s="25">
        <f>IF(E326="","",IFERROR(INDEX(lst_JobName,MATCH(E326&amp;"",lst_Jobs,0)),""))</f>
        <v/>
      </c>
      <c r="Y326" s="28">
        <f>IF(E326="","",COUNTIFS(tbl_Finance[Job Number],E326&amp;"",tbl_Finance[Ex GST],"&lt;&gt;"))</f>
        <v/>
      </c>
      <c r="Z326" s="27">
        <f>IF(E326="","",SUMIFS(tbl_Finance[Ex GST],tbl_Finance[Job Number],E326&amp;""))</f>
        <v/>
      </c>
      <c r="AA326" s="27">
        <f>IF(E326="","",SUMIFS(tbl_Finance[Ex GST],tbl_Finance[Job Number],E326&amp;"",tbl_Finance[Xero Invoice No],"&lt;&gt;"))</f>
        <v/>
      </c>
      <c r="AB326" s="27">
        <f>IF(E326="","",Z326-AA326)</f>
        <v/>
      </c>
      <c r="AC326" s="25">
        <f>IF(E326="","",IFERROR(IF(INDEX(tbl_Onsite[Qwilr Quote],MATCH(E326&amp;"",tbl_Onsite[Job Number],0))="","",INDEX(tbl_Onsite[Qwilr Quote],MATCH(E326&amp;"",tbl_Onsite[Job Number],0))),IFERROR(IF(IF(INDEX(tbl_Production[Current RMS No],MATCH(E326&amp;"",tbl_Production[Job Number],0))="",INDEX(tbl_Production[Qwilr Quote],MATCH(E326&amp;"",tbl_Production[Job Number],0)),INDEX(tbl_Production[Current RMS No],MATCH(E326&amp;"",tbl_Production[Job Number],0)))="","",IF(INDEX(tbl_Production[Current RMS No],MATCH(E326&amp;"",tbl_Production[Job Number],0))="",INDEX(tbl_Production[Qwilr Quote],MATCH(E326&amp;"",tbl_Production[Job Number],0)),INDEX(tbl_Production[Current RMS No],MATCH(E326&amp;"",tbl_Production[Job Number],0)))),IFERROR(IF(INDEX(tbl_Consulting[Qwilr Quote],MATCH(E326&amp;"",tbl_Consulting[Job Number],0))="","",INDEX(tbl_Consulting[Qwilr Quote],MATCH(E326&amp;"",tbl_Consulting[Job Number],0))),""))))</f>
        <v/>
      </c>
      <c r="AD326" s="25">
        <f>IF(AC326="","",IF(AND(LEFT(AC326,4)&lt;&gt;"http",IF(H326="Production",set_RMSBase,set_QwilrBase)=""),"",HYPERLINK(IF(LEFT(AC326,4)="http",AC326,IF(H326="Production",set_RMSBase,set_QwilrBase)&amp;AC326),"Open")))</f>
        <v/>
      </c>
      <c r="AE326" s="27">
        <f>IF(E326="","",IFERROR(INDEX(tbl_Production[Total Expense],MATCH(E326&amp;"",tbl_Production[Job Number],0)),IFERROR(INDEX(tbl_Consulting[Total Expense],MATCH(E326&amp;"",tbl_Consulting[Job Number],0)),0)))</f>
        <v/>
      </c>
      <c r="AF326" s="27">
        <f>IF(E326="","",Z326-N(AE326))</f>
        <v/>
      </c>
      <c r="AG326" s="29">
        <f>IFERROR(AF326/Z326,"")</f>
        <v/>
      </c>
      <c r="AH326" s="25">
        <f>IF(E326="","",IFERROR(IF(INDEX(tbl_Onsite[Notes],MATCH(E326&amp;"",tbl_Onsite[Job Number],0))="","",INDEX(tbl_Onsite[Notes],MATCH(E326&amp;"",tbl_Onsite[Job Number],0))),IFERROR(IF(INDEX(tbl_Production[Notes],MATCH(E326&amp;"",tbl_Production[Job Number],0))="","",INDEX(tbl_Production[Notes],MATCH(E326&amp;"",tbl_Production[Job Number],0))),IFERROR(IF(INDEX(tbl_Consulting[Notes],MATCH(E326&amp;"",tbl_Consulting[Job Number],0))="","",INDEX(tbl_Consulting[Notes],MATCH(E326&amp;"",tbl_Consulting[Job Number],0))),""))))</f>
        <v/>
      </c>
    </row>
    <row r="327" ht="15" customHeight="1">
      <c r="A327" s="22" t="n"/>
      <c r="B327" s="23">
        <f>IF(A327="","",EOMONTH(A327,0))</f>
        <v/>
      </c>
      <c r="C327" s="24" t="n"/>
      <c r="D327" s="24" t="n"/>
      <c r="E327" s="24" t="n"/>
      <c r="F327" s="25">
        <f>IF(E327="","",IF(COUNTIF(lst_Jobs,E327&amp;"")&gt;0,"OK","CHECK"))</f>
        <v/>
      </c>
      <c r="G327" s="24" t="n"/>
      <c r="H327" s="24" t="n"/>
      <c r="I327" s="24" t="n"/>
      <c r="J327" s="24" t="n"/>
      <c r="K327" s="24" t="n"/>
      <c r="L327" s="26" t="n"/>
      <c r="M327" s="27">
        <f>IF(L327="","",IF(K327="GST 10%",ROUND(L327*set_GSTRate,2),0))</f>
        <v/>
      </c>
      <c r="N327" s="27">
        <f>IF(L327="","",L327+M327)</f>
        <v/>
      </c>
      <c r="O327" s="24" t="n"/>
      <c r="P327" s="24" t="n"/>
      <c r="Q327" s="24" t="n"/>
      <c r="R327" s="22" t="n"/>
      <c r="S327" s="22" t="n"/>
      <c r="T327" s="24" t="n"/>
      <c r="U327" s="24" t="n"/>
      <c r="V327" s="25">
        <f>IF(COUNTA(A327,D327,C327,L327)=0,"",IF(A327="","No date - sits outside every month",IF(E327="","No job number",IF(F327="CHECK","Job number is not in the Xero job list",IF(I327="","No cost centre",IF(AND(P327="Y",C327=""),"Marked posted to Xero but has no invoice number",IF(AND(L327&lt;&gt;"",K327=""),"No tax code",IF(AND(L327&lt;&gt;"",O327=""),"No revenue GL code",""))))))))</f>
        <v/>
      </c>
      <c r="W327" s="25">
        <f>IF(E327="","",IF(COUNTIF(tbl_Onsite[Job Number],E327&amp;"")&gt;0,"Onsite",IF(COUNTIF(tbl_Production[Job Number],E327&amp;"")&gt;0,"Production",IF(COUNTIF(tbl_Consulting[Job Number],E327&amp;"")&gt;0,"Consulting","not set up yet"))))</f>
        <v/>
      </c>
      <c r="X327" s="25">
        <f>IF(E327="","",IFERROR(INDEX(lst_JobName,MATCH(E327&amp;"",lst_Jobs,0)),""))</f>
        <v/>
      </c>
      <c r="Y327" s="28">
        <f>IF(E327="","",COUNTIFS(tbl_Finance[Job Number],E327&amp;"",tbl_Finance[Ex GST],"&lt;&gt;"))</f>
        <v/>
      </c>
      <c r="Z327" s="27">
        <f>IF(E327="","",SUMIFS(tbl_Finance[Ex GST],tbl_Finance[Job Number],E327&amp;""))</f>
        <v/>
      </c>
      <c r="AA327" s="27">
        <f>IF(E327="","",SUMIFS(tbl_Finance[Ex GST],tbl_Finance[Job Number],E327&amp;"",tbl_Finance[Xero Invoice No],"&lt;&gt;"))</f>
        <v/>
      </c>
      <c r="AB327" s="27">
        <f>IF(E327="","",Z327-AA327)</f>
        <v/>
      </c>
      <c r="AC327" s="25">
        <f>IF(E327="","",IFERROR(IF(INDEX(tbl_Onsite[Qwilr Quote],MATCH(E327&amp;"",tbl_Onsite[Job Number],0))="","",INDEX(tbl_Onsite[Qwilr Quote],MATCH(E327&amp;"",tbl_Onsite[Job Number],0))),IFERROR(IF(IF(INDEX(tbl_Production[Current RMS No],MATCH(E327&amp;"",tbl_Production[Job Number],0))="",INDEX(tbl_Production[Qwilr Quote],MATCH(E327&amp;"",tbl_Production[Job Number],0)),INDEX(tbl_Production[Current RMS No],MATCH(E327&amp;"",tbl_Production[Job Number],0)))="","",IF(INDEX(tbl_Production[Current RMS No],MATCH(E327&amp;"",tbl_Production[Job Number],0))="",INDEX(tbl_Production[Qwilr Quote],MATCH(E327&amp;"",tbl_Production[Job Number],0)),INDEX(tbl_Production[Current RMS No],MATCH(E327&amp;"",tbl_Production[Job Number],0)))),IFERROR(IF(INDEX(tbl_Consulting[Qwilr Quote],MATCH(E327&amp;"",tbl_Consulting[Job Number],0))="","",INDEX(tbl_Consulting[Qwilr Quote],MATCH(E327&amp;"",tbl_Consulting[Job Number],0))),""))))</f>
        <v/>
      </c>
      <c r="AD327" s="25">
        <f>IF(AC327="","",IF(AND(LEFT(AC327,4)&lt;&gt;"http",IF(H327="Production",set_RMSBase,set_QwilrBase)=""),"",HYPERLINK(IF(LEFT(AC327,4)="http",AC327,IF(H327="Production",set_RMSBase,set_QwilrBase)&amp;AC327),"Open")))</f>
        <v/>
      </c>
      <c r="AE327" s="27">
        <f>IF(E327="","",IFERROR(INDEX(tbl_Production[Total Expense],MATCH(E327&amp;"",tbl_Production[Job Number],0)),IFERROR(INDEX(tbl_Consulting[Total Expense],MATCH(E327&amp;"",tbl_Consulting[Job Number],0)),0)))</f>
        <v/>
      </c>
      <c r="AF327" s="27">
        <f>IF(E327="","",Z327-N(AE327))</f>
        <v/>
      </c>
      <c r="AG327" s="29">
        <f>IFERROR(AF327/Z327,"")</f>
        <v/>
      </c>
      <c r="AH327" s="25">
        <f>IF(E327="","",IFERROR(IF(INDEX(tbl_Onsite[Notes],MATCH(E327&amp;"",tbl_Onsite[Job Number],0))="","",INDEX(tbl_Onsite[Notes],MATCH(E327&amp;"",tbl_Onsite[Job Number],0))),IFERROR(IF(INDEX(tbl_Production[Notes],MATCH(E327&amp;"",tbl_Production[Job Number],0))="","",INDEX(tbl_Production[Notes],MATCH(E327&amp;"",tbl_Production[Job Number],0))),IFERROR(IF(INDEX(tbl_Consulting[Notes],MATCH(E327&amp;"",tbl_Consulting[Job Number],0))="","",INDEX(tbl_Consulting[Notes],MATCH(E327&amp;"",tbl_Consulting[Job Number],0))),""))))</f>
        <v/>
      </c>
    </row>
    <row r="328" ht="15" customHeight="1">
      <c r="A328" s="22" t="n"/>
      <c r="B328" s="23">
        <f>IF(A328="","",EOMONTH(A328,0))</f>
        <v/>
      </c>
      <c r="C328" s="24" t="n"/>
      <c r="D328" s="24" t="n"/>
      <c r="E328" s="24" t="n"/>
      <c r="F328" s="25">
        <f>IF(E328="","",IF(COUNTIF(lst_Jobs,E328&amp;"")&gt;0,"OK","CHECK"))</f>
        <v/>
      </c>
      <c r="G328" s="24" t="n"/>
      <c r="H328" s="24" t="n"/>
      <c r="I328" s="24" t="n"/>
      <c r="J328" s="24" t="n"/>
      <c r="K328" s="24" t="n"/>
      <c r="L328" s="26" t="n"/>
      <c r="M328" s="27">
        <f>IF(L328="","",IF(K328="GST 10%",ROUND(L328*set_GSTRate,2),0))</f>
        <v/>
      </c>
      <c r="N328" s="27">
        <f>IF(L328="","",L328+M328)</f>
        <v/>
      </c>
      <c r="O328" s="24" t="n"/>
      <c r="P328" s="24" t="n"/>
      <c r="Q328" s="24" t="n"/>
      <c r="R328" s="22" t="n"/>
      <c r="S328" s="22" t="n"/>
      <c r="T328" s="24" t="n"/>
      <c r="U328" s="24" t="n"/>
      <c r="V328" s="25">
        <f>IF(COUNTA(A328,D328,C328,L328)=0,"",IF(A328="","No date - sits outside every month",IF(E328="","No job number",IF(F328="CHECK","Job number is not in the Xero job list",IF(I328="","No cost centre",IF(AND(P328="Y",C328=""),"Marked posted to Xero but has no invoice number",IF(AND(L328&lt;&gt;"",K328=""),"No tax code",IF(AND(L328&lt;&gt;"",O328=""),"No revenue GL code",""))))))))</f>
        <v/>
      </c>
      <c r="W328" s="25">
        <f>IF(E328="","",IF(COUNTIF(tbl_Onsite[Job Number],E328&amp;"")&gt;0,"Onsite",IF(COUNTIF(tbl_Production[Job Number],E328&amp;"")&gt;0,"Production",IF(COUNTIF(tbl_Consulting[Job Number],E328&amp;"")&gt;0,"Consulting","not set up yet"))))</f>
        <v/>
      </c>
      <c r="X328" s="25">
        <f>IF(E328="","",IFERROR(INDEX(lst_JobName,MATCH(E328&amp;"",lst_Jobs,0)),""))</f>
        <v/>
      </c>
      <c r="Y328" s="28">
        <f>IF(E328="","",COUNTIFS(tbl_Finance[Job Number],E328&amp;"",tbl_Finance[Ex GST],"&lt;&gt;"))</f>
        <v/>
      </c>
      <c r="Z328" s="27">
        <f>IF(E328="","",SUMIFS(tbl_Finance[Ex GST],tbl_Finance[Job Number],E328&amp;""))</f>
        <v/>
      </c>
      <c r="AA328" s="27">
        <f>IF(E328="","",SUMIFS(tbl_Finance[Ex GST],tbl_Finance[Job Number],E328&amp;"",tbl_Finance[Xero Invoice No],"&lt;&gt;"))</f>
        <v/>
      </c>
      <c r="AB328" s="27">
        <f>IF(E328="","",Z328-AA328)</f>
        <v/>
      </c>
      <c r="AC328" s="25">
        <f>IF(E328="","",IFERROR(IF(INDEX(tbl_Onsite[Qwilr Quote],MATCH(E328&amp;"",tbl_Onsite[Job Number],0))="","",INDEX(tbl_Onsite[Qwilr Quote],MATCH(E328&amp;"",tbl_Onsite[Job Number],0))),IFERROR(IF(IF(INDEX(tbl_Production[Current RMS No],MATCH(E328&amp;"",tbl_Production[Job Number],0))="",INDEX(tbl_Production[Qwilr Quote],MATCH(E328&amp;"",tbl_Production[Job Number],0)),INDEX(tbl_Production[Current RMS No],MATCH(E328&amp;"",tbl_Production[Job Number],0)))="","",IF(INDEX(tbl_Production[Current RMS No],MATCH(E328&amp;"",tbl_Production[Job Number],0))="",INDEX(tbl_Production[Qwilr Quote],MATCH(E328&amp;"",tbl_Production[Job Number],0)),INDEX(tbl_Production[Current RMS No],MATCH(E328&amp;"",tbl_Production[Job Number],0)))),IFERROR(IF(INDEX(tbl_Consulting[Qwilr Quote],MATCH(E328&amp;"",tbl_Consulting[Job Number],0))="","",INDEX(tbl_Consulting[Qwilr Quote],MATCH(E328&amp;"",tbl_Consulting[Job Number],0))),""))))</f>
        <v/>
      </c>
      <c r="AD328" s="25">
        <f>IF(AC328="","",IF(AND(LEFT(AC328,4)&lt;&gt;"http",IF(H328="Production",set_RMSBase,set_QwilrBase)=""),"",HYPERLINK(IF(LEFT(AC328,4)="http",AC328,IF(H328="Production",set_RMSBase,set_QwilrBase)&amp;AC328),"Open")))</f>
        <v/>
      </c>
      <c r="AE328" s="27">
        <f>IF(E328="","",IFERROR(INDEX(tbl_Production[Total Expense],MATCH(E328&amp;"",tbl_Production[Job Number],0)),IFERROR(INDEX(tbl_Consulting[Total Expense],MATCH(E328&amp;"",tbl_Consulting[Job Number],0)),0)))</f>
        <v/>
      </c>
      <c r="AF328" s="27">
        <f>IF(E328="","",Z328-N(AE328))</f>
        <v/>
      </c>
      <c r="AG328" s="29">
        <f>IFERROR(AF328/Z328,"")</f>
        <v/>
      </c>
      <c r="AH328" s="25">
        <f>IF(E328="","",IFERROR(IF(INDEX(tbl_Onsite[Notes],MATCH(E328&amp;"",tbl_Onsite[Job Number],0))="","",INDEX(tbl_Onsite[Notes],MATCH(E328&amp;"",tbl_Onsite[Job Number],0))),IFERROR(IF(INDEX(tbl_Production[Notes],MATCH(E328&amp;"",tbl_Production[Job Number],0))="","",INDEX(tbl_Production[Notes],MATCH(E328&amp;"",tbl_Production[Job Number],0))),IFERROR(IF(INDEX(tbl_Consulting[Notes],MATCH(E328&amp;"",tbl_Consulting[Job Number],0))="","",INDEX(tbl_Consulting[Notes],MATCH(E328&amp;"",tbl_Consulting[Job Number],0))),""))))</f>
        <v/>
      </c>
    </row>
    <row r="329" ht="15" customHeight="1">
      <c r="A329" s="22" t="n"/>
      <c r="B329" s="23">
        <f>IF(A329="","",EOMONTH(A329,0))</f>
        <v/>
      </c>
      <c r="C329" s="24" t="n"/>
      <c r="D329" s="24" t="n"/>
      <c r="E329" s="24" t="n"/>
      <c r="F329" s="25">
        <f>IF(E329="","",IF(COUNTIF(lst_Jobs,E329&amp;"")&gt;0,"OK","CHECK"))</f>
        <v/>
      </c>
      <c r="G329" s="24" t="n"/>
      <c r="H329" s="24" t="n"/>
      <c r="I329" s="24" t="n"/>
      <c r="J329" s="24" t="n"/>
      <c r="K329" s="24" t="n"/>
      <c r="L329" s="26" t="n"/>
      <c r="M329" s="27">
        <f>IF(L329="","",IF(K329="GST 10%",ROUND(L329*set_GSTRate,2),0))</f>
        <v/>
      </c>
      <c r="N329" s="27">
        <f>IF(L329="","",L329+M329)</f>
        <v/>
      </c>
      <c r="O329" s="24" t="n"/>
      <c r="P329" s="24" t="n"/>
      <c r="Q329" s="24" t="n"/>
      <c r="R329" s="22" t="n"/>
      <c r="S329" s="22" t="n"/>
      <c r="T329" s="24" t="n"/>
      <c r="U329" s="24" t="n"/>
      <c r="V329" s="25">
        <f>IF(COUNTA(A329,D329,C329,L329)=0,"",IF(A329="","No date - sits outside every month",IF(E329="","No job number",IF(F329="CHECK","Job number is not in the Xero job list",IF(I329="","No cost centre",IF(AND(P329="Y",C329=""),"Marked posted to Xero but has no invoice number",IF(AND(L329&lt;&gt;"",K329=""),"No tax code",IF(AND(L329&lt;&gt;"",O329=""),"No revenue GL code",""))))))))</f>
        <v/>
      </c>
      <c r="W329" s="25">
        <f>IF(E329="","",IF(COUNTIF(tbl_Onsite[Job Number],E329&amp;"")&gt;0,"Onsite",IF(COUNTIF(tbl_Production[Job Number],E329&amp;"")&gt;0,"Production",IF(COUNTIF(tbl_Consulting[Job Number],E329&amp;"")&gt;0,"Consulting","not set up yet"))))</f>
        <v/>
      </c>
      <c r="X329" s="25">
        <f>IF(E329="","",IFERROR(INDEX(lst_JobName,MATCH(E329&amp;"",lst_Jobs,0)),""))</f>
        <v/>
      </c>
      <c r="Y329" s="28">
        <f>IF(E329="","",COUNTIFS(tbl_Finance[Job Number],E329&amp;"",tbl_Finance[Ex GST],"&lt;&gt;"))</f>
        <v/>
      </c>
      <c r="Z329" s="27">
        <f>IF(E329="","",SUMIFS(tbl_Finance[Ex GST],tbl_Finance[Job Number],E329&amp;""))</f>
        <v/>
      </c>
      <c r="AA329" s="27">
        <f>IF(E329="","",SUMIFS(tbl_Finance[Ex GST],tbl_Finance[Job Number],E329&amp;"",tbl_Finance[Xero Invoice No],"&lt;&gt;"))</f>
        <v/>
      </c>
      <c r="AB329" s="27">
        <f>IF(E329="","",Z329-AA329)</f>
        <v/>
      </c>
      <c r="AC329" s="25">
        <f>IF(E329="","",IFERROR(IF(INDEX(tbl_Onsite[Qwilr Quote],MATCH(E329&amp;"",tbl_Onsite[Job Number],0))="","",INDEX(tbl_Onsite[Qwilr Quote],MATCH(E329&amp;"",tbl_Onsite[Job Number],0))),IFERROR(IF(IF(INDEX(tbl_Production[Current RMS No],MATCH(E329&amp;"",tbl_Production[Job Number],0))="",INDEX(tbl_Production[Qwilr Quote],MATCH(E329&amp;"",tbl_Production[Job Number],0)),INDEX(tbl_Production[Current RMS No],MATCH(E329&amp;"",tbl_Production[Job Number],0)))="","",IF(INDEX(tbl_Production[Current RMS No],MATCH(E329&amp;"",tbl_Production[Job Number],0))="",INDEX(tbl_Production[Qwilr Quote],MATCH(E329&amp;"",tbl_Production[Job Number],0)),INDEX(tbl_Production[Current RMS No],MATCH(E329&amp;"",tbl_Production[Job Number],0)))),IFERROR(IF(INDEX(tbl_Consulting[Qwilr Quote],MATCH(E329&amp;"",tbl_Consulting[Job Number],0))="","",INDEX(tbl_Consulting[Qwilr Quote],MATCH(E329&amp;"",tbl_Consulting[Job Number],0))),""))))</f>
        <v/>
      </c>
      <c r="AD329" s="25">
        <f>IF(AC329="","",IF(AND(LEFT(AC329,4)&lt;&gt;"http",IF(H329="Production",set_RMSBase,set_QwilrBase)=""),"",HYPERLINK(IF(LEFT(AC329,4)="http",AC329,IF(H329="Production",set_RMSBase,set_QwilrBase)&amp;AC329),"Open")))</f>
        <v/>
      </c>
      <c r="AE329" s="27">
        <f>IF(E329="","",IFERROR(INDEX(tbl_Production[Total Expense],MATCH(E329&amp;"",tbl_Production[Job Number],0)),IFERROR(INDEX(tbl_Consulting[Total Expense],MATCH(E329&amp;"",tbl_Consulting[Job Number],0)),0)))</f>
        <v/>
      </c>
      <c r="AF329" s="27">
        <f>IF(E329="","",Z329-N(AE329))</f>
        <v/>
      </c>
      <c r="AG329" s="29">
        <f>IFERROR(AF329/Z329,"")</f>
        <v/>
      </c>
      <c r="AH329" s="25">
        <f>IF(E329="","",IFERROR(IF(INDEX(tbl_Onsite[Notes],MATCH(E329&amp;"",tbl_Onsite[Job Number],0))="","",INDEX(tbl_Onsite[Notes],MATCH(E329&amp;"",tbl_Onsite[Job Number],0))),IFERROR(IF(INDEX(tbl_Production[Notes],MATCH(E329&amp;"",tbl_Production[Job Number],0))="","",INDEX(tbl_Production[Notes],MATCH(E329&amp;"",tbl_Production[Job Number],0))),IFERROR(IF(INDEX(tbl_Consulting[Notes],MATCH(E329&amp;"",tbl_Consulting[Job Number],0))="","",INDEX(tbl_Consulting[Notes],MATCH(E329&amp;"",tbl_Consulting[Job Number],0))),""))))</f>
        <v/>
      </c>
    </row>
    <row r="330" ht="15" customHeight="1">
      <c r="A330" s="22" t="n"/>
      <c r="B330" s="23">
        <f>IF(A330="","",EOMONTH(A330,0))</f>
        <v/>
      </c>
      <c r="C330" s="24" t="n"/>
      <c r="D330" s="24" t="n"/>
      <c r="E330" s="24" t="n"/>
      <c r="F330" s="25">
        <f>IF(E330="","",IF(COUNTIF(lst_Jobs,E330&amp;"")&gt;0,"OK","CHECK"))</f>
        <v/>
      </c>
      <c r="G330" s="24" t="n"/>
      <c r="H330" s="24" t="n"/>
      <c r="I330" s="24" t="n"/>
      <c r="J330" s="24" t="n"/>
      <c r="K330" s="24" t="n"/>
      <c r="L330" s="26" t="n"/>
      <c r="M330" s="27">
        <f>IF(L330="","",IF(K330="GST 10%",ROUND(L330*set_GSTRate,2),0))</f>
        <v/>
      </c>
      <c r="N330" s="27">
        <f>IF(L330="","",L330+M330)</f>
        <v/>
      </c>
      <c r="O330" s="24" t="n"/>
      <c r="P330" s="24" t="n"/>
      <c r="Q330" s="24" t="n"/>
      <c r="R330" s="22" t="n"/>
      <c r="S330" s="22" t="n"/>
      <c r="T330" s="24" t="n"/>
      <c r="U330" s="24" t="n"/>
      <c r="V330" s="25">
        <f>IF(COUNTA(A330,D330,C330,L330)=0,"",IF(A330="","No date - sits outside every month",IF(E330="","No job number",IF(F330="CHECK","Job number is not in the Xero job list",IF(I330="","No cost centre",IF(AND(P330="Y",C330=""),"Marked posted to Xero but has no invoice number",IF(AND(L330&lt;&gt;"",K330=""),"No tax code",IF(AND(L330&lt;&gt;"",O330=""),"No revenue GL code",""))))))))</f>
        <v/>
      </c>
      <c r="W330" s="25">
        <f>IF(E330="","",IF(COUNTIF(tbl_Onsite[Job Number],E330&amp;"")&gt;0,"Onsite",IF(COUNTIF(tbl_Production[Job Number],E330&amp;"")&gt;0,"Production",IF(COUNTIF(tbl_Consulting[Job Number],E330&amp;"")&gt;0,"Consulting","not set up yet"))))</f>
        <v/>
      </c>
      <c r="X330" s="25">
        <f>IF(E330="","",IFERROR(INDEX(lst_JobName,MATCH(E330&amp;"",lst_Jobs,0)),""))</f>
        <v/>
      </c>
      <c r="Y330" s="28">
        <f>IF(E330="","",COUNTIFS(tbl_Finance[Job Number],E330&amp;"",tbl_Finance[Ex GST],"&lt;&gt;"))</f>
        <v/>
      </c>
      <c r="Z330" s="27">
        <f>IF(E330="","",SUMIFS(tbl_Finance[Ex GST],tbl_Finance[Job Number],E330&amp;""))</f>
        <v/>
      </c>
      <c r="AA330" s="27">
        <f>IF(E330="","",SUMIFS(tbl_Finance[Ex GST],tbl_Finance[Job Number],E330&amp;"",tbl_Finance[Xero Invoice No],"&lt;&gt;"))</f>
        <v/>
      </c>
      <c r="AB330" s="27">
        <f>IF(E330="","",Z330-AA330)</f>
        <v/>
      </c>
      <c r="AC330" s="25">
        <f>IF(E330="","",IFERROR(IF(INDEX(tbl_Onsite[Qwilr Quote],MATCH(E330&amp;"",tbl_Onsite[Job Number],0))="","",INDEX(tbl_Onsite[Qwilr Quote],MATCH(E330&amp;"",tbl_Onsite[Job Number],0))),IFERROR(IF(IF(INDEX(tbl_Production[Current RMS No],MATCH(E330&amp;"",tbl_Production[Job Number],0))="",INDEX(tbl_Production[Qwilr Quote],MATCH(E330&amp;"",tbl_Production[Job Number],0)),INDEX(tbl_Production[Current RMS No],MATCH(E330&amp;"",tbl_Production[Job Number],0)))="","",IF(INDEX(tbl_Production[Current RMS No],MATCH(E330&amp;"",tbl_Production[Job Number],0))="",INDEX(tbl_Production[Qwilr Quote],MATCH(E330&amp;"",tbl_Production[Job Number],0)),INDEX(tbl_Production[Current RMS No],MATCH(E330&amp;"",tbl_Production[Job Number],0)))),IFERROR(IF(INDEX(tbl_Consulting[Qwilr Quote],MATCH(E330&amp;"",tbl_Consulting[Job Number],0))="","",INDEX(tbl_Consulting[Qwilr Quote],MATCH(E330&amp;"",tbl_Consulting[Job Number],0))),""))))</f>
        <v/>
      </c>
      <c r="AD330" s="25">
        <f>IF(AC330="","",IF(AND(LEFT(AC330,4)&lt;&gt;"http",IF(H330="Production",set_RMSBase,set_QwilrBase)=""),"",HYPERLINK(IF(LEFT(AC330,4)="http",AC330,IF(H330="Production",set_RMSBase,set_QwilrBase)&amp;AC330),"Open")))</f>
        <v/>
      </c>
      <c r="AE330" s="27">
        <f>IF(E330="","",IFERROR(INDEX(tbl_Production[Total Expense],MATCH(E330&amp;"",tbl_Production[Job Number],0)),IFERROR(INDEX(tbl_Consulting[Total Expense],MATCH(E330&amp;"",tbl_Consulting[Job Number],0)),0)))</f>
        <v/>
      </c>
      <c r="AF330" s="27">
        <f>IF(E330="","",Z330-N(AE330))</f>
        <v/>
      </c>
      <c r="AG330" s="29">
        <f>IFERROR(AF330/Z330,"")</f>
        <v/>
      </c>
      <c r="AH330" s="25">
        <f>IF(E330="","",IFERROR(IF(INDEX(tbl_Onsite[Notes],MATCH(E330&amp;"",tbl_Onsite[Job Number],0))="","",INDEX(tbl_Onsite[Notes],MATCH(E330&amp;"",tbl_Onsite[Job Number],0))),IFERROR(IF(INDEX(tbl_Production[Notes],MATCH(E330&amp;"",tbl_Production[Job Number],0))="","",INDEX(tbl_Production[Notes],MATCH(E330&amp;"",tbl_Production[Job Number],0))),IFERROR(IF(INDEX(tbl_Consulting[Notes],MATCH(E330&amp;"",tbl_Consulting[Job Number],0))="","",INDEX(tbl_Consulting[Notes],MATCH(E330&amp;"",tbl_Consulting[Job Number],0))),""))))</f>
        <v/>
      </c>
    </row>
    <row r="331" ht="15" customHeight="1">
      <c r="A331" s="22" t="n"/>
      <c r="B331" s="23">
        <f>IF(A331="","",EOMONTH(A331,0))</f>
        <v/>
      </c>
      <c r="C331" s="24" t="n"/>
      <c r="D331" s="24" t="n"/>
      <c r="E331" s="24" t="n"/>
      <c r="F331" s="25">
        <f>IF(E331="","",IF(COUNTIF(lst_Jobs,E331&amp;"")&gt;0,"OK","CHECK"))</f>
        <v/>
      </c>
      <c r="G331" s="24" t="n"/>
      <c r="H331" s="24" t="n"/>
      <c r="I331" s="24" t="n"/>
      <c r="J331" s="24" t="n"/>
      <c r="K331" s="24" t="n"/>
      <c r="L331" s="26" t="n"/>
      <c r="M331" s="27">
        <f>IF(L331="","",IF(K331="GST 10%",ROUND(L331*set_GSTRate,2),0))</f>
        <v/>
      </c>
      <c r="N331" s="27">
        <f>IF(L331="","",L331+M331)</f>
        <v/>
      </c>
      <c r="O331" s="24" t="n"/>
      <c r="P331" s="24" t="n"/>
      <c r="Q331" s="24" t="n"/>
      <c r="R331" s="22" t="n"/>
      <c r="S331" s="22" t="n"/>
      <c r="T331" s="24" t="n"/>
      <c r="U331" s="24" t="n"/>
      <c r="V331" s="25">
        <f>IF(COUNTA(A331,D331,C331,L331)=0,"",IF(A331="","No date - sits outside every month",IF(E331="","No job number",IF(F331="CHECK","Job number is not in the Xero job list",IF(I331="","No cost centre",IF(AND(P331="Y",C331=""),"Marked posted to Xero but has no invoice number",IF(AND(L331&lt;&gt;"",K331=""),"No tax code",IF(AND(L331&lt;&gt;"",O331=""),"No revenue GL code",""))))))))</f>
        <v/>
      </c>
      <c r="W331" s="25">
        <f>IF(E331="","",IF(COUNTIF(tbl_Onsite[Job Number],E331&amp;"")&gt;0,"Onsite",IF(COUNTIF(tbl_Production[Job Number],E331&amp;"")&gt;0,"Production",IF(COUNTIF(tbl_Consulting[Job Number],E331&amp;"")&gt;0,"Consulting","not set up yet"))))</f>
        <v/>
      </c>
      <c r="X331" s="25">
        <f>IF(E331="","",IFERROR(INDEX(lst_JobName,MATCH(E331&amp;"",lst_Jobs,0)),""))</f>
        <v/>
      </c>
      <c r="Y331" s="28">
        <f>IF(E331="","",COUNTIFS(tbl_Finance[Job Number],E331&amp;"",tbl_Finance[Ex GST],"&lt;&gt;"))</f>
        <v/>
      </c>
      <c r="Z331" s="27">
        <f>IF(E331="","",SUMIFS(tbl_Finance[Ex GST],tbl_Finance[Job Number],E331&amp;""))</f>
        <v/>
      </c>
      <c r="AA331" s="27">
        <f>IF(E331="","",SUMIFS(tbl_Finance[Ex GST],tbl_Finance[Job Number],E331&amp;"",tbl_Finance[Xero Invoice No],"&lt;&gt;"))</f>
        <v/>
      </c>
      <c r="AB331" s="27">
        <f>IF(E331="","",Z331-AA331)</f>
        <v/>
      </c>
      <c r="AC331" s="25">
        <f>IF(E331="","",IFERROR(IF(INDEX(tbl_Onsite[Qwilr Quote],MATCH(E331&amp;"",tbl_Onsite[Job Number],0))="","",INDEX(tbl_Onsite[Qwilr Quote],MATCH(E331&amp;"",tbl_Onsite[Job Number],0))),IFERROR(IF(IF(INDEX(tbl_Production[Current RMS No],MATCH(E331&amp;"",tbl_Production[Job Number],0))="",INDEX(tbl_Production[Qwilr Quote],MATCH(E331&amp;"",tbl_Production[Job Number],0)),INDEX(tbl_Production[Current RMS No],MATCH(E331&amp;"",tbl_Production[Job Number],0)))="","",IF(INDEX(tbl_Production[Current RMS No],MATCH(E331&amp;"",tbl_Production[Job Number],0))="",INDEX(tbl_Production[Qwilr Quote],MATCH(E331&amp;"",tbl_Production[Job Number],0)),INDEX(tbl_Production[Current RMS No],MATCH(E331&amp;"",tbl_Production[Job Number],0)))),IFERROR(IF(INDEX(tbl_Consulting[Qwilr Quote],MATCH(E331&amp;"",tbl_Consulting[Job Number],0))="","",INDEX(tbl_Consulting[Qwilr Quote],MATCH(E331&amp;"",tbl_Consulting[Job Number],0))),""))))</f>
        <v/>
      </c>
      <c r="AD331" s="25">
        <f>IF(AC331="","",IF(AND(LEFT(AC331,4)&lt;&gt;"http",IF(H331="Production",set_RMSBase,set_QwilrBase)=""),"",HYPERLINK(IF(LEFT(AC331,4)="http",AC331,IF(H331="Production",set_RMSBase,set_QwilrBase)&amp;AC331),"Open")))</f>
        <v/>
      </c>
      <c r="AE331" s="27">
        <f>IF(E331="","",IFERROR(INDEX(tbl_Production[Total Expense],MATCH(E331&amp;"",tbl_Production[Job Number],0)),IFERROR(INDEX(tbl_Consulting[Total Expense],MATCH(E331&amp;"",tbl_Consulting[Job Number],0)),0)))</f>
        <v/>
      </c>
      <c r="AF331" s="27">
        <f>IF(E331="","",Z331-N(AE331))</f>
        <v/>
      </c>
      <c r="AG331" s="29">
        <f>IFERROR(AF331/Z331,"")</f>
        <v/>
      </c>
      <c r="AH331" s="25">
        <f>IF(E331="","",IFERROR(IF(INDEX(tbl_Onsite[Notes],MATCH(E331&amp;"",tbl_Onsite[Job Number],0))="","",INDEX(tbl_Onsite[Notes],MATCH(E331&amp;"",tbl_Onsite[Job Number],0))),IFERROR(IF(INDEX(tbl_Production[Notes],MATCH(E331&amp;"",tbl_Production[Job Number],0))="","",INDEX(tbl_Production[Notes],MATCH(E331&amp;"",tbl_Production[Job Number],0))),IFERROR(IF(INDEX(tbl_Consulting[Notes],MATCH(E331&amp;"",tbl_Consulting[Job Number],0))="","",INDEX(tbl_Consulting[Notes],MATCH(E331&amp;"",tbl_Consulting[Job Number],0))),""))))</f>
        <v/>
      </c>
    </row>
    <row r="332" ht="15" customHeight="1">
      <c r="A332" s="22" t="n"/>
      <c r="B332" s="23">
        <f>IF(A332="","",EOMONTH(A332,0))</f>
        <v/>
      </c>
      <c r="C332" s="24" t="n"/>
      <c r="D332" s="24" t="n"/>
      <c r="E332" s="24" t="n"/>
      <c r="F332" s="25">
        <f>IF(E332="","",IF(COUNTIF(lst_Jobs,E332&amp;"")&gt;0,"OK","CHECK"))</f>
        <v/>
      </c>
      <c r="G332" s="24" t="n"/>
      <c r="H332" s="24" t="n"/>
      <c r="I332" s="24" t="n"/>
      <c r="J332" s="24" t="n"/>
      <c r="K332" s="24" t="n"/>
      <c r="L332" s="26" t="n"/>
      <c r="M332" s="27">
        <f>IF(L332="","",IF(K332="GST 10%",ROUND(L332*set_GSTRate,2),0))</f>
        <v/>
      </c>
      <c r="N332" s="27">
        <f>IF(L332="","",L332+M332)</f>
        <v/>
      </c>
      <c r="O332" s="24" t="n"/>
      <c r="P332" s="24" t="n"/>
      <c r="Q332" s="24" t="n"/>
      <c r="R332" s="22" t="n"/>
      <c r="S332" s="22" t="n"/>
      <c r="T332" s="24" t="n"/>
      <c r="U332" s="24" t="n"/>
      <c r="V332" s="25">
        <f>IF(COUNTA(A332,D332,C332,L332)=0,"",IF(A332="","No date - sits outside every month",IF(E332="","No job number",IF(F332="CHECK","Job number is not in the Xero job list",IF(I332="","No cost centre",IF(AND(P332="Y",C332=""),"Marked posted to Xero but has no invoice number",IF(AND(L332&lt;&gt;"",K332=""),"No tax code",IF(AND(L332&lt;&gt;"",O332=""),"No revenue GL code",""))))))))</f>
        <v/>
      </c>
      <c r="W332" s="25">
        <f>IF(E332="","",IF(COUNTIF(tbl_Onsite[Job Number],E332&amp;"")&gt;0,"Onsite",IF(COUNTIF(tbl_Production[Job Number],E332&amp;"")&gt;0,"Production",IF(COUNTIF(tbl_Consulting[Job Number],E332&amp;"")&gt;0,"Consulting","not set up yet"))))</f>
        <v/>
      </c>
      <c r="X332" s="25">
        <f>IF(E332="","",IFERROR(INDEX(lst_JobName,MATCH(E332&amp;"",lst_Jobs,0)),""))</f>
        <v/>
      </c>
      <c r="Y332" s="28">
        <f>IF(E332="","",COUNTIFS(tbl_Finance[Job Number],E332&amp;"",tbl_Finance[Ex GST],"&lt;&gt;"))</f>
        <v/>
      </c>
      <c r="Z332" s="27">
        <f>IF(E332="","",SUMIFS(tbl_Finance[Ex GST],tbl_Finance[Job Number],E332&amp;""))</f>
        <v/>
      </c>
      <c r="AA332" s="27">
        <f>IF(E332="","",SUMIFS(tbl_Finance[Ex GST],tbl_Finance[Job Number],E332&amp;"",tbl_Finance[Xero Invoice No],"&lt;&gt;"))</f>
        <v/>
      </c>
      <c r="AB332" s="27">
        <f>IF(E332="","",Z332-AA332)</f>
        <v/>
      </c>
      <c r="AC332" s="25">
        <f>IF(E332="","",IFERROR(IF(INDEX(tbl_Onsite[Qwilr Quote],MATCH(E332&amp;"",tbl_Onsite[Job Number],0))="","",INDEX(tbl_Onsite[Qwilr Quote],MATCH(E332&amp;"",tbl_Onsite[Job Number],0))),IFERROR(IF(IF(INDEX(tbl_Production[Current RMS No],MATCH(E332&amp;"",tbl_Production[Job Number],0))="",INDEX(tbl_Production[Qwilr Quote],MATCH(E332&amp;"",tbl_Production[Job Number],0)),INDEX(tbl_Production[Current RMS No],MATCH(E332&amp;"",tbl_Production[Job Number],0)))="","",IF(INDEX(tbl_Production[Current RMS No],MATCH(E332&amp;"",tbl_Production[Job Number],0))="",INDEX(tbl_Production[Qwilr Quote],MATCH(E332&amp;"",tbl_Production[Job Number],0)),INDEX(tbl_Production[Current RMS No],MATCH(E332&amp;"",tbl_Production[Job Number],0)))),IFERROR(IF(INDEX(tbl_Consulting[Qwilr Quote],MATCH(E332&amp;"",tbl_Consulting[Job Number],0))="","",INDEX(tbl_Consulting[Qwilr Quote],MATCH(E332&amp;"",tbl_Consulting[Job Number],0))),""))))</f>
        <v/>
      </c>
      <c r="AD332" s="25">
        <f>IF(AC332="","",IF(AND(LEFT(AC332,4)&lt;&gt;"http",IF(H332="Production",set_RMSBase,set_QwilrBase)=""),"",HYPERLINK(IF(LEFT(AC332,4)="http",AC332,IF(H332="Production",set_RMSBase,set_QwilrBase)&amp;AC332),"Open")))</f>
        <v/>
      </c>
      <c r="AE332" s="27">
        <f>IF(E332="","",IFERROR(INDEX(tbl_Production[Total Expense],MATCH(E332&amp;"",tbl_Production[Job Number],0)),IFERROR(INDEX(tbl_Consulting[Total Expense],MATCH(E332&amp;"",tbl_Consulting[Job Number],0)),0)))</f>
        <v/>
      </c>
      <c r="AF332" s="27">
        <f>IF(E332="","",Z332-N(AE332))</f>
        <v/>
      </c>
      <c r="AG332" s="29">
        <f>IFERROR(AF332/Z332,"")</f>
        <v/>
      </c>
      <c r="AH332" s="25">
        <f>IF(E332="","",IFERROR(IF(INDEX(tbl_Onsite[Notes],MATCH(E332&amp;"",tbl_Onsite[Job Number],0))="","",INDEX(tbl_Onsite[Notes],MATCH(E332&amp;"",tbl_Onsite[Job Number],0))),IFERROR(IF(INDEX(tbl_Production[Notes],MATCH(E332&amp;"",tbl_Production[Job Number],0))="","",INDEX(tbl_Production[Notes],MATCH(E332&amp;"",tbl_Production[Job Number],0))),IFERROR(IF(INDEX(tbl_Consulting[Notes],MATCH(E332&amp;"",tbl_Consulting[Job Number],0))="","",INDEX(tbl_Consulting[Notes],MATCH(E332&amp;"",tbl_Consulting[Job Number],0))),""))))</f>
        <v/>
      </c>
    </row>
    <row r="333" ht="15" customHeight="1">
      <c r="A333" s="22" t="n"/>
      <c r="B333" s="23">
        <f>IF(A333="","",EOMONTH(A333,0))</f>
        <v/>
      </c>
      <c r="C333" s="24" t="n"/>
      <c r="D333" s="24" t="n"/>
      <c r="E333" s="24" t="n"/>
      <c r="F333" s="25">
        <f>IF(E333="","",IF(COUNTIF(lst_Jobs,E333&amp;"")&gt;0,"OK","CHECK"))</f>
        <v/>
      </c>
      <c r="G333" s="24" t="n"/>
      <c r="H333" s="24" t="n"/>
      <c r="I333" s="24" t="n"/>
      <c r="J333" s="24" t="n"/>
      <c r="K333" s="24" t="n"/>
      <c r="L333" s="26" t="n"/>
      <c r="M333" s="27">
        <f>IF(L333="","",IF(K333="GST 10%",ROUND(L333*set_GSTRate,2),0))</f>
        <v/>
      </c>
      <c r="N333" s="27">
        <f>IF(L333="","",L333+M333)</f>
        <v/>
      </c>
      <c r="O333" s="24" t="n"/>
      <c r="P333" s="24" t="n"/>
      <c r="Q333" s="24" t="n"/>
      <c r="R333" s="22" t="n"/>
      <c r="S333" s="22" t="n"/>
      <c r="T333" s="24" t="n"/>
      <c r="U333" s="24" t="n"/>
      <c r="V333" s="25">
        <f>IF(COUNTA(A333,D333,C333,L333)=0,"",IF(A333="","No date - sits outside every month",IF(E333="","No job number",IF(F333="CHECK","Job number is not in the Xero job list",IF(I333="","No cost centre",IF(AND(P333="Y",C333=""),"Marked posted to Xero but has no invoice number",IF(AND(L333&lt;&gt;"",K333=""),"No tax code",IF(AND(L333&lt;&gt;"",O333=""),"No revenue GL code",""))))))))</f>
        <v/>
      </c>
      <c r="W333" s="25">
        <f>IF(E333="","",IF(COUNTIF(tbl_Onsite[Job Number],E333&amp;"")&gt;0,"Onsite",IF(COUNTIF(tbl_Production[Job Number],E333&amp;"")&gt;0,"Production",IF(COUNTIF(tbl_Consulting[Job Number],E333&amp;"")&gt;0,"Consulting","not set up yet"))))</f>
        <v/>
      </c>
      <c r="X333" s="25">
        <f>IF(E333="","",IFERROR(INDEX(lst_JobName,MATCH(E333&amp;"",lst_Jobs,0)),""))</f>
        <v/>
      </c>
      <c r="Y333" s="28">
        <f>IF(E333="","",COUNTIFS(tbl_Finance[Job Number],E333&amp;"",tbl_Finance[Ex GST],"&lt;&gt;"))</f>
        <v/>
      </c>
      <c r="Z333" s="27">
        <f>IF(E333="","",SUMIFS(tbl_Finance[Ex GST],tbl_Finance[Job Number],E333&amp;""))</f>
        <v/>
      </c>
      <c r="AA333" s="27">
        <f>IF(E333="","",SUMIFS(tbl_Finance[Ex GST],tbl_Finance[Job Number],E333&amp;"",tbl_Finance[Xero Invoice No],"&lt;&gt;"))</f>
        <v/>
      </c>
      <c r="AB333" s="27">
        <f>IF(E333="","",Z333-AA333)</f>
        <v/>
      </c>
      <c r="AC333" s="25">
        <f>IF(E333="","",IFERROR(IF(INDEX(tbl_Onsite[Qwilr Quote],MATCH(E333&amp;"",tbl_Onsite[Job Number],0))="","",INDEX(tbl_Onsite[Qwilr Quote],MATCH(E333&amp;"",tbl_Onsite[Job Number],0))),IFERROR(IF(IF(INDEX(tbl_Production[Current RMS No],MATCH(E333&amp;"",tbl_Production[Job Number],0))="",INDEX(tbl_Production[Qwilr Quote],MATCH(E333&amp;"",tbl_Production[Job Number],0)),INDEX(tbl_Production[Current RMS No],MATCH(E333&amp;"",tbl_Production[Job Number],0)))="","",IF(INDEX(tbl_Production[Current RMS No],MATCH(E333&amp;"",tbl_Production[Job Number],0))="",INDEX(tbl_Production[Qwilr Quote],MATCH(E333&amp;"",tbl_Production[Job Number],0)),INDEX(tbl_Production[Current RMS No],MATCH(E333&amp;"",tbl_Production[Job Number],0)))),IFERROR(IF(INDEX(tbl_Consulting[Qwilr Quote],MATCH(E333&amp;"",tbl_Consulting[Job Number],0))="","",INDEX(tbl_Consulting[Qwilr Quote],MATCH(E333&amp;"",tbl_Consulting[Job Number],0))),""))))</f>
        <v/>
      </c>
      <c r="AD333" s="25">
        <f>IF(AC333="","",IF(AND(LEFT(AC333,4)&lt;&gt;"http",IF(H333="Production",set_RMSBase,set_QwilrBase)=""),"",HYPERLINK(IF(LEFT(AC333,4)="http",AC333,IF(H333="Production",set_RMSBase,set_QwilrBase)&amp;AC333),"Open")))</f>
        <v/>
      </c>
      <c r="AE333" s="27">
        <f>IF(E333="","",IFERROR(INDEX(tbl_Production[Total Expense],MATCH(E333&amp;"",tbl_Production[Job Number],0)),IFERROR(INDEX(tbl_Consulting[Total Expense],MATCH(E333&amp;"",tbl_Consulting[Job Number],0)),0)))</f>
        <v/>
      </c>
      <c r="AF333" s="27">
        <f>IF(E333="","",Z333-N(AE333))</f>
        <v/>
      </c>
      <c r="AG333" s="29">
        <f>IFERROR(AF333/Z333,"")</f>
        <v/>
      </c>
      <c r="AH333" s="25">
        <f>IF(E333="","",IFERROR(IF(INDEX(tbl_Onsite[Notes],MATCH(E333&amp;"",tbl_Onsite[Job Number],0))="","",INDEX(tbl_Onsite[Notes],MATCH(E333&amp;"",tbl_Onsite[Job Number],0))),IFERROR(IF(INDEX(tbl_Production[Notes],MATCH(E333&amp;"",tbl_Production[Job Number],0))="","",INDEX(tbl_Production[Notes],MATCH(E333&amp;"",tbl_Production[Job Number],0))),IFERROR(IF(INDEX(tbl_Consulting[Notes],MATCH(E333&amp;"",tbl_Consulting[Job Number],0))="","",INDEX(tbl_Consulting[Notes],MATCH(E333&amp;"",tbl_Consulting[Job Number],0))),""))))</f>
        <v/>
      </c>
    </row>
    <row r="334" ht="15" customHeight="1">
      <c r="A334" s="22" t="n"/>
      <c r="B334" s="23">
        <f>IF(A334="","",EOMONTH(A334,0))</f>
        <v/>
      </c>
      <c r="C334" s="24" t="n"/>
      <c r="D334" s="24" t="n"/>
      <c r="E334" s="24" t="n"/>
      <c r="F334" s="25">
        <f>IF(E334="","",IF(COUNTIF(lst_Jobs,E334&amp;"")&gt;0,"OK","CHECK"))</f>
        <v/>
      </c>
      <c r="G334" s="24" t="n"/>
      <c r="H334" s="24" t="n"/>
      <c r="I334" s="24" t="n"/>
      <c r="J334" s="24" t="n"/>
      <c r="K334" s="24" t="n"/>
      <c r="L334" s="26" t="n"/>
      <c r="M334" s="27">
        <f>IF(L334="","",IF(K334="GST 10%",ROUND(L334*set_GSTRate,2),0))</f>
        <v/>
      </c>
      <c r="N334" s="27">
        <f>IF(L334="","",L334+M334)</f>
        <v/>
      </c>
      <c r="O334" s="24" t="n"/>
      <c r="P334" s="24" t="n"/>
      <c r="Q334" s="24" t="n"/>
      <c r="R334" s="22" t="n"/>
      <c r="S334" s="22" t="n"/>
      <c r="T334" s="24" t="n"/>
      <c r="U334" s="24" t="n"/>
      <c r="V334" s="25">
        <f>IF(COUNTA(A334,D334,C334,L334)=0,"",IF(A334="","No date - sits outside every month",IF(E334="","No job number",IF(F334="CHECK","Job number is not in the Xero job list",IF(I334="","No cost centre",IF(AND(P334="Y",C334=""),"Marked posted to Xero but has no invoice number",IF(AND(L334&lt;&gt;"",K334=""),"No tax code",IF(AND(L334&lt;&gt;"",O334=""),"No revenue GL code",""))))))))</f>
        <v/>
      </c>
      <c r="W334" s="25">
        <f>IF(E334="","",IF(COUNTIF(tbl_Onsite[Job Number],E334&amp;"")&gt;0,"Onsite",IF(COUNTIF(tbl_Production[Job Number],E334&amp;"")&gt;0,"Production",IF(COUNTIF(tbl_Consulting[Job Number],E334&amp;"")&gt;0,"Consulting","not set up yet"))))</f>
        <v/>
      </c>
      <c r="X334" s="25">
        <f>IF(E334="","",IFERROR(INDEX(lst_JobName,MATCH(E334&amp;"",lst_Jobs,0)),""))</f>
        <v/>
      </c>
      <c r="Y334" s="28">
        <f>IF(E334="","",COUNTIFS(tbl_Finance[Job Number],E334&amp;"",tbl_Finance[Ex GST],"&lt;&gt;"))</f>
        <v/>
      </c>
      <c r="Z334" s="27">
        <f>IF(E334="","",SUMIFS(tbl_Finance[Ex GST],tbl_Finance[Job Number],E334&amp;""))</f>
        <v/>
      </c>
      <c r="AA334" s="27">
        <f>IF(E334="","",SUMIFS(tbl_Finance[Ex GST],tbl_Finance[Job Number],E334&amp;"",tbl_Finance[Xero Invoice No],"&lt;&gt;"))</f>
        <v/>
      </c>
      <c r="AB334" s="27">
        <f>IF(E334="","",Z334-AA334)</f>
        <v/>
      </c>
      <c r="AC334" s="25">
        <f>IF(E334="","",IFERROR(IF(INDEX(tbl_Onsite[Qwilr Quote],MATCH(E334&amp;"",tbl_Onsite[Job Number],0))="","",INDEX(tbl_Onsite[Qwilr Quote],MATCH(E334&amp;"",tbl_Onsite[Job Number],0))),IFERROR(IF(IF(INDEX(tbl_Production[Current RMS No],MATCH(E334&amp;"",tbl_Production[Job Number],0))="",INDEX(tbl_Production[Qwilr Quote],MATCH(E334&amp;"",tbl_Production[Job Number],0)),INDEX(tbl_Production[Current RMS No],MATCH(E334&amp;"",tbl_Production[Job Number],0)))="","",IF(INDEX(tbl_Production[Current RMS No],MATCH(E334&amp;"",tbl_Production[Job Number],0))="",INDEX(tbl_Production[Qwilr Quote],MATCH(E334&amp;"",tbl_Production[Job Number],0)),INDEX(tbl_Production[Current RMS No],MATCH(E334&amp;"",tbl_Production[Job Number],0)))),IFERROR(IF(INDEX(tbl_Consulting[Qwilr Quote],MATCH(E334&amp;"",tbl_Consulting[Job Number],0))="","",INDEX(tbl_Consulting[Qwilr Quote],MATCH(E334&amp;"",tbl_Consulting[Job Number],0))),""))))</f>
        <v/>
      </c>
      <c r="AD334" s="25">
        <f>IF(AC334="","",IF(AND(LEFT(AC334,4)&lt;&gt;"http",IF(H334="Production",set_RMSBase,set_QwilrBase)=""),"",HYPERLINK(IF(LEFT(AC334,4)="http",AC334,IF(H334="Production",set_RMSBase,set_QwilrBase)&amp;AC334),"Open")))</f>
        <v/>
      </c>
      <c r="AE334" s="27">
        <f>IF(E334="","",IFERROR(INDEX(tbl_Production[Total Expense],MATCH(E334&amp;"",tbl_Production[Job Number],0)),IFERROR(INDEX(tbl_Consulting[Total Expense],MATCH(E334&amp;"",tbl_Consulting[Job Number],0)),0)))</f>
        <v/>
      </c>
      <c r="AF334" s="27">
        <f>IF(E334="","",Z334-N(AE334))</f>
        <v/>
      </c>
      <c r="AG334" s="29">
        <f>IFERROR(AF334/Z334,"")</f>
        <v/>
      </c>
      <c r="AH334" s="25">
        <f>IF(E334="","",IFERROR(IF(INDEX(tbl_Onsite[Notes],MATCH(E334&amp;"",tbl_Onsite[Job Number],0))="","",INDEX(tbl_Onsite[Notes],MATCH(E334&amp;"",tbl_Onsite[Job Number],0))),IFERROR(IF(INDEX(tbl_Production[Notes],MATCH(E334&amp;"",tbl_Production[Job Number],0))="","",INDEX(tbl_Production[Notes],MATCH(E334&amp;"",tbl_Production[Job Number],0))),IFERROR(IF(INDEX(tbl_Consulting[Notes],MATCH(E334&amp;"",tbl_Consulting[Job Number],0))="","",INDEX(tbl_Consulting[Notes],MATCH(E334&amp;"",tbl_Consulting[Job Number],0))),""))))</f>
        <v/>
      </c>
    </row>
    <row r="335" ht="15" customHeight="1">
      <c r="A335" s="22" t="n"/>
      <c r="B335" s="23">
        <f>IF(A335="","",EOMONTH(A335,0))</f>
        <v/>
      </c>
      <c r="C335" s="24" t="n"/>
      <c r="D335" s="24" t="n"/>
      <c r="E335" s="24" t="n"/>
      <c r="F335" s="25">
        <f>IF(E335="","",IF(COUNTIF(lst_Jobs,E335&amp;"")&gt;0,"OK","CHECK"))</f>
        <v/>
      </c>
      <c r="G335" s="24" t="n"/>
      <c r="H335" s="24" t="n"/>
      <c r="I335" s="24" t="n"/>
      <c r="J335" s="24" t="n"/>
      <c r="K335" s="24" t="n"/>
      <c r="L335" s="26" t="n"/>
      <c r="M335" s="27">
        <f>IF(L335="","",IF(K335="GST 10%",ROUND(L335*set_GSTRate,2),0))</f>
        <v/>
      </c>
      <c r="N335" s="27">
        <f>IF(L335="","",L335+M335)</f>
        <v/>
      </c>
      <c r="O335" s="24" t="n"/>
      <c r="P335" s="24" t="n"/>
      <c r="Q335" s="24" t="n"/>
      <c r="R335" s="22" t="n"/>
      <c r="S335" s="22" t="n"/>
      <c r="T335" s="24" t="n"/>
      <c r="U335" s="24" t="n"/>
      <c r="V335" s="25">
        <f>IF(COUNTA(A335,D335,C335,L335)=0,"",IF(A335="","No date - sits outside every month",IF(E335="","No job number",IF(F335="CHECK","Job number is not in the Xero job list",IF(I335="","No cost centre",IF(AND(P335="Y",C335=""),"Marked posted to Xero but has no invoice number",IF(AND(L335&lt;&gt;"",K335=""),"No tax code",IF(AND(L335&lt;&gt;"",O335=""),"No revenue GL code",""))))))))</f>
        <v/>
      </c>
      <c r="W335" s="25">
        <f>IF(E335="","",IF(COUNTIF(tbl_Onsite[Job Number],E335&amp;"")&gt;0,"Onsite",IF(COUNTIF(tbl_Production[Job Number],E335&amp;"")&gt;0,"Production",IF(COUNTIF(tbl_Consulting[Job Number],E335&amp;"")&gt;0,"Consulting","not set up yet"))))</f>
        <v/>
      </c>
      <c r="X335" s="25">
        <f>IF(E335="","",IFERROR(INDEX(lst_JobName,MATCH(E335&amp;"",lst_Jobs,0)),""))</f>
        <v/>
      </c>
      <c r="Y335" s="28">
        <f>IF(E335="","",COUNTIFS(tbl_Finance[Job Number],E335&amp;"",tbl_Finance[Ex GST],"&lt;&gt;"))</f>
        <v/>
      </c>
      <c r="Z335" s="27">
        <f>IF(E335="","",SUMIFS(tbl_Finance[Ex GST],tbl_Finance[Job Number],E335&amp;""))</f>
        <v/>
      </c>
      <c r="AA335" s="27">
        <f>IF(E335="","",SUMIFS(tbl_Finance[Ex GST],tbl_Finance[Job Number],E335&amp;"",tbl_Finance[Xero Invoice No],"&lt;&gt;"))</f>
        <v/>
      </c>
      <c r="AB335" s="27">
        <f>IF(E335="","",Z335-AA335)</f>
        <v/>
      </c>
      <c r="AC335" s="25">
        <f>IF(E335="","",IFERROR(IF(INDEX(tbl_Onsite[Qwilr Quote],MATCH(E335&amp;"",tbl_Onsite[Job Number],0))="","",INDEX(tbl_Onsite[Qwilr Quote],MATCH(E335&amp;"",tbl_Onsite[Job Number],0))),IFERROR(IF(IF(INDEX(tbl_Production[Current RMS No],MATCH(E335&amp;"",tbl_Production[Job Number],0))="",INDEX(tbl_Production[Qwilr Quote],MATCH(E335&amp;"",tbl_Production[Job Number],0)),INDEX(tbl_Production[Current RMS No],MATCH(E335&amp;"",tbl_Production[Job Number],0)))="","",IF(INDEX(tbl_Production[Current RMS No],MATCH(E335&amp;"",tbl_Production[Job Number],0))="",INDEX(tbl_Production[Qwilr Quote],MATCH(E335&amp;"",tbl_Production[Job Number],0)),INDEX(tbl_Production[Current RMS No],MATCH(E335&amp;"",tbl_Production[Job Number],0)))),IFERROR(IF(INDEX(tbl_Consulting[Qwilr Quote],MATCH(E335&amp;"",tbl_Consulting[Job Number],0))="","",INDEX(tbl_Consulting[Qwilr Quote],MATCH(E335&amp;"",tbl_Consulting[Job Number],0))),""))))</f>
        <v/>
      </c>
      <c r="AD335" s="25">
        <f>IF(AC335="","",IF(AND(LEFT(AC335,4)&lt;&gt;"http",IF(H335="Production",set_RMSBase,set_QwilrBase)=""),"",HYPERLINK(IF(LEFT(AC335,4)="http",AC335,IF(H335="Production",set_RMSBase,set_QwilrBase)&amp;AC335),"Open")))</f>
        <v/>
      </c>
      <c r="AE335" s="27">
        <f>IF(E335="","",IFERROR(INDEX(tbl_Production[Total Expense],MATCH(E335&amp;"",tbl_Production[Job Number],0)),IFERROR(INDEX(tbl_Consulting[Total Expense],MATCH(E335&amp;"",tbl_Consulting[Job Number],0)),0)))</f>
        <v/>
      </c>
      <c r="AF335" s="27">
        <f>IF(E335="","",Z335-N(AE335))</f>
        <v/>
      </c>
      <c r="AG335" s="29">
        <f>IFERROR(AF335/Z335,"")</f>
        <v/>
      </c>
      <c r="AH335" s="25">
        <f>IF(E335="","",IFERROR(IF(INDEX(tbl_Onsite[Notes],MATCH(E335&amp;"",tbl_Onsite[Job Number],0))="","",INDEX(tbl_Onsite[Notes],MATCH(E335&amp;"",tbl_Onsite[Job Number],0))),IFERROR(IF(INDEX(tbl_Production[Notes],MATCH(E335&amp;"",tbl_Production[Job Number],0))="","",INDEX(tbl_Production[Notes],MATCH(E335&amp;"",tbl_Production[Job Number],0))),IFERROR(IF(INDEX(tbl_Consulting[Notes],MATCH(E335&amp;"",tbl_Consulting[Job Number],0))="","",INDEX(tbl_Consulting[Notes],MATCH(E335&amp;"",tbl_Consulting[Job Number],0))),""))))</f>
        <v/>
      </c>
    </row>
    <row r="336" ht="15" customHeight="1">
      <c r="A336" s="22" t="n"/>
      <c r="B336" s="23">
        <f>IF(A336="","",EOMONTH(A336,0))</f>
        <v/>
      </c>
      <c r="C336" s="24" t="n"/>
      <c r="D336" s="24" t="n"/>
      <c r="E336" s="24" t="n"/>
      <c r="F336" s="25">
        <f>IF(E336="","",IF(COUNTIF(lst_Jobs,E336&amp;"")&gt;0,"OK","CHECK"))</f>
        <v/>
      </c>
      <c r="G336" s="24" t="n"/>
      <c r="H336" s="24" t="n"/>
      <c r="I336" s="24" t="n"/>
      <c r="J336" s="24" t="n"/>
      <c r="K336" s="24" t="n"/>
      <c r="L336" s="26" t="n"/>
      <c r="M336" s="27">
        <f>IF(L336="","",IF(K336="GST 10%",ROUND(L336*set_GSTRate,2),0))</f>
        <v/>
      </c>
      <c r="N336" s="27">
        <f>IF(L336="","",L336+M336)</f>
        <v/>
      </c>
      <c r="O336" s="24" t="n"/>
      <c r="P336" s="24" t="n"/>
      <c r="Q336" s="24" t="n"/>
      <c r="R336" s="22" t="n"/>
      <c r="S336" s="22" t="n"/>
      <c r="T336" s="24" t="n"/>
      <c r="U336" s="24" t="n"/>
      <c r="V336" s="25">
        <f>IF(COUNTA(A336,D336,C336,L336)=0,"",IF(A336="","No date - sits outside every month",IF(E336="","No job number",IF(F336="CHECK","Job number is not in the Xero job list",IF(I336="","No cost centre",IF(AND(P336="Y",C336=""),"Marked posted to Xero but has no invoice number",IF(AND(L336&lt;&gt;"",K336=""),"No tax code",IF(AND(L336&lt;&gt;"",O336=""),"No revenue GL code",""))))))))</f>
        <v/>
      </c>
      <c r="W336" s="25">
        <f>IF(E336="","",IF(COUNTIF(tbl_Onsite[Job Number],E336&amp;"")&gt;0,"Onsite",IF(COUNTIF(tbl_Production[Job Number],E336&amp;"")&gt;0,"Production",IF(COUNTIF(tbl_Consulting[Job Number],E336&amp;"")&gt;0,"Consulting","not set up yet"))))</f>
        <v/>
      </c>
      <c r="X336" s="25">
        <f>IF(E336="","",IFERROR(INDEX(lst_JobName,MATCH(E336&amp;"",lst_Jobs,0)),""))</f>
        <v/>
      </c>
      <c r="Y336" s="28">
        <f>IF(E336="","",COUNTIFS(tbl_Finance[Job Number],E336&amp;"",tbl_Finance[Ex GST],"&lt;&gt;"))</f>
        <v/>
      </c>
      <c r="Z336" s="27">
        <f>IF(E336="","",SUMIFS(tbl_Finance[Ex GST],tbl_Finance[Job Number],E336&amp;""))</f>
        <v/>
      </c>
      <c r="AA336" s="27">
        <f>IF(E336="","",SUMIFS(tbl_Finance[Ex GST],tbl_Finance[Job Number],E336&amp;"",tbl_Finance[Xero Invoice No],"&lt;&gt;"))</f>
        <v/>
      </c>
      <c r="AB336" s="27">
        <f>IF(E336="","",Z336-AA336)</f>
        <v/>
      </c>
      <c r="AC336" s="25">
        <f>IF(E336="","",IFERROR(IF(INDEX(tbl_Onsite[Qwilr Quote],MATCH(E336&amp;"",tbl_Onsite[Job Number],0))="","",INDEX(tbl_Onsite[Qwilr Quote],MATCH(E336&amp;"",tbl_Onsite[Job Number],0))),IFERROR(IF(IF(INDEX(tbl_Production[Current RMS No],MATCH(E336&amp;"",tbl_Production[Job Number],0))="",INDEX(tbl_Production[Qwilr Quote],MATCH(E336&amp;"",tbl_Production[Job Number],0)),INDEX(tbl_Production[Current RMS No],MATCH(E336&amp;"",tbl_Production[Job Number],0)))="","",IF(INDEX(tbl_Production[Current RMS No],MATCH(E336&amp;"",tbl_Production[Job Number],0))="",INDEX(tbl_Production[Qwilr Quote],MATCH(E336&amp;"",tbl_Production[Job Number],0)),INDEX(tbl_Production[Current RMS No],MATCH(E336&amp;"",tbl_Production[Job Number],0)))),IFERROR(IF(INDEX(tbl_Consulting[Qwilr Quote],MATCH(E336&amp;"",tbl_Consulting[Job Number],0))="","",INDEX(tbl_Consulting[Qwilr Quote],MATCH(E336&amp;"",tbl_Consulting[Job Number],0))),""))))</f>
        <v/>
      </c>
      <c r="AD336" s="25">
        <f>IF(AC336="","",IF(AND(LEFT(AC336,4)&lt;&gt;"http",IF(H336="Production",set_RMSBase,set_QwilrBase)=""),"",HYPERLINK(IF(LEFT(AC336,4)="http",AC336,IF(H336="Production",set_RMSBase,set_QwilrBase)&amp;AC336),"Open")))</f>
        <v/>
      </c>
      <c r="AE336" s="27">
        <f>IF(E336="","",IFERROR(INDEX(tbl_Production[Total Expense],MATCH(E336&amp;"",tbl_Production[Job Number],0)),IFERROR(INDEX(tbl_Consulting[Total Expense],MATCH(E336&amp;"",tbl_Consulting[Job Number],0)),0)))</f>
        <v/>
      </c>
      <c r="AF336" s="27">
        <f>IF(E336="","",Z336-N(AE336))</f>
        <v/>
      </c>
      <c r="AG336" s="29">
        <f>IFERROR(AF336/Z336,"")</f>
        <v/>
      </c>
      <c r="AH336" s="25">
        <f>IF(E336="","",IFERROR(IF(INDEX(tbl_Onsite[Notes],MATCH(E336&amp;"",tbl_Onsite[Job Number],0))="","",INDEX(tbl_Onsite[Notes],MATCH(E336&amp;"",tbl_Onsite[Job Number],0))),IFERROR(IF(INDEX(tbl_Production[Notes],MATCH(E336&amp;"",tbl_Production[Job Number],0))="","",INDEX(tbl_Production[Notes],MATCH(E336&amp;"",tbl_Production[Job Number],0))),IFERROR(IF(INDEX(tbl_Consulting[Notes],MATCH(E336&amp;"",tbl_Consulting[Job Number],0))="","",INDEX(tbl_Consulting[Notes],MATCH(E336&amp;"",tbl_Consulting[Job Number],0))),""))))</f>
        <v/>
      </c>
    </row>
    <row r="337" ht="15" customHeight="1">
      <c r="A337" s="22" t="n"/>
      <c r="B337" s="23">
        <f>IF(A337="","",EOMONTH(A337,0))</f>
        <v/>
      </c>
      <c r="C337" s="24" t="n"/>
      <c r="D337" s="24" t="n"/>
      <c r="E337" s="24" t="n"/>
      <c r="F337" s="25">
        <f>IF(E337="","",IF(COUNTIF(lst_Jobs,E337&amp;"")&gt;0,"OK","CHECK"))</f>
        <v/>
      </c>
      <c r="G337" s="24" t="n"/>
      <c r="H337" s="24" t="n"/>
      <c r="I337" s="24" t="n"/>
      <c r="J337" s="24" t="n"/>
      <c r="K337" s="24" t="n"/>
      <c r="L337" s="26" t="n"/>
      <c r="M337" s="27">
        <f>IF(L337="","",IF(K337="GST 10%",ROUND(L337*set_GSTRate,2),0))</f>
        <v/>
      </c>
      <c r="N337" s="27">
        <f>IF(L337="","",L337+M337)</f>
        <v/>
      </c>
      <c r="O337" s="24" t="n"/>
      <c r="P337" s="24" t="n"/>
      <c r="Q337" s="24" t="n"/>
      <c r="R337" s="22" t="n"/>
      <c r="S337" s="22" t="n"/>
      <c r="T337" s="24" t="n"/>
      <c r="U337" s="24" t="n"/>
      <c r="V337" s="25">
        <f>IF(COUNTA(A337,D337,C337,L337)=0,"",IF(A337="","No date - sits outside every month",IF(E337="","No job number",IF(F337="CHECK","Job number is not in the Xero job list",IF(I337="","No cost centre",IF(AND(P337="Y",C337=""),"Marked posted to Xero but has no invoice number",IF(AND(L337&lt;&gt;"",K337=""),"No tax code",IF(AND(L337&lt;&gt;"",O337=""),"No revenue GL code",""))))))))</f>
        <v/>
      </c>
      <c r="W337" s="25">
        <f>IF(E337="","",IF(COUNTIF(tbl_Onsite[Job Number],E337&amp;"")&gt;0,"Onsite",IF(COUNTIF(tbl_Production[Job Number],E337&amp;"")&gt;0,"Production",IF(COUNTIF(tbl_Consulting[Job Number],E337&amp;"")&gt;0,"Consulting","not set up yet"))))</f>
        <v/>
      </c>
      <c r="X337" s="25">
        <f>IF(E337="","",IFERROR(INDEX(lst_JobName,MATCH(E337&amp;"",lst_Jobs,0)),""))</f>
        <v/>
      </c>
      <c r="Y337" s="28">
        <f>IF(E337="","",COUNTIFS(tbl_Finance[Job Number],E337&amp;"",tbl_Finance[Ex GST],"&lt;&gt;"))</f>
        <v/>
      </c>
      <c r="Z337" s="27">
        <f>IF(E337="","",SUMIFS(tbl_Finance[Ex GST],tbl_Finance[Job Number],E337&amp;""))</f>
        <v/>
      </c>
      <c r="AA337" s="27">
        <f>IF(E337="","",SUMIFS(tbl_Finance[Ex GST],tbl_Finance[Job Number],E337&amp;"",tbl_Finance[Xero Invoice No],"&lt;&gt;"))</f>
        <v/>
      </c>
      <c r="AB337" s="27">
        <f>IF(E337="","",Z337-AA337)</f>
        <v/>
      </c>
      <c r="AC337" s="25">
        <f>IF(E337="","",IFERROR(IF(INDEX(tbl_Onsite[Qwilr Quote],MATCH(E337&amp;"",tbl_Onsite[Job Number],0))="","",INDEX(tbl_Onsite[Qwilr Quote],MATCH(E337&amp;"",tbl_Onsite[Job Number],0))),IFERROR(IF(IF(INDEX(tbl_Production[Current RMS No],MATCH(E337&amp;"",tbl_Production[Job Number],0))="",INDEX(tbl_Production[Qwilr Quote],MATCH(E337&amp;"",tbl_Production[Job Number],0)),INDEX(tbl_Production[Current RMS No],MATCH(E337&amp;"",tbl_Production[Job Number],0)))="","",IF(INDEX(tbl_Production[Current RMS No],MATCH(E337&amp;"",tbl_Production[Job Number],0))="",INDEX(tbl_Production[Qwilr Quote],MATCH(E337&amp;"",tbl_Production[Job Number],0)),INDEX(tbl_Production[Current RMS No],MATCH(E337&amp;"",tbl_Production[Job Number],0)))),IFERROR(IF(INDEX(tbl_Consulting[Qwilr Quote],MATCH(E337&amp;"",tbl_Consulting[Job Number],0))="","",INDEX(tbl_Consulting[Qwilr Quote],MATCH(E337&amp;"",tbl_Consulting[Job Number],0))),""))))</f>
        <v/>
      </c>
      <c r="AD337" s="25">
        <f>IF(AC337="","",IF(AND(LEFT(AC337,4)&lt;&gt;"http",IF(H337="Production",set_RMSBase,set_QwilrBase)=""),"",HYPERLINK(IF(LEFT(AC337,4)="http",AC337,IF(H337="Production",set_RMSBase,set_QwilrBase)&amp;AC337),"Open")))</f>
        <v/>
      </c>
      <c r="AE337" s="27">
        <f>IF(E337="","",IFERROR(INDEX(tbl_Production[Total Expense],MATCH(E337&amp;"",tbl_Production[Job Number],0)),IFERROR(INDEX(tbl_Consulting[Total Expense],MATCH(E337&amp;"",tbl_Consulting[Job Number],0)),0)))</f>
        <v/>
      </c>
      <c r="AF337" s="27">
        <f>IF(E337="","",Z337-N(AE337))</f>
        <v/>
      </c>
      <c r="AG337" s="29">
        <f>IFERROR(AF337/Z337,"")</f>
        <v/>
      </c>
      <c r="AH337" s="25">
        <f>IF(E337="","",IFERROR(IF(INDEX(tbl_Onsite[Notes],MATCH(E337&amp;"",tbl_Onsite[Job Number],0))="","",INDEX(tbl_Onsite[Notes],MATCH(E337&amp;"",tbl_Onsite[Job Number],0))),IFERROR(IF(INDEX(tbl_Production[Notes],MATCH(E337&amp;"",tbl_Production[Job Number],0))="","",INDEX(tbl_Production[Notes],MATCH(E337&amp;"",tbl_Production[Job Number],0))),IFERROR(IF(INDEX(tbl_Consulting[Notes],MATCH(E337&amp;"",tbl_Consulting[Job Number],0))="","",INDEX(tbl_Consulting[Notes],MATCH(E337&amp;"",tbl_Consulting[Job Number],0))),""))))</f>
        <v/>
      </c>
    </row>
    <row r="338" ht="15" customHeight="1">
      <c r="A338" s="22" t="n"/>
      <c r="B338" s="23">
        <f>IF(A338="","",EOMONTH(A338,0))</f>
        <v/>
      </c>
      <c r="C338" s="24" t="n"/>
      <c r="D338" s="24" t="n"/>
      <c r="E338" s="24" t="n"/>
      <c r="F338" s="25">
        <f>IF(E338="","",IF(COUNTIF(lst_Jobs,E338&amp;"")&gt;0,"OK","CHECK"))</f>
        <v/>
      </c>
      <c r="G338" s="24" t="n"/>
      <c r="H338" s="24" t="n"/>
      <c r="I338" s="24" t="n"/>
      <c r="J338" s="24" t="n"/>
      <c r="K338" s="24" t="n"/>
      <c r="L338" s="26" t="n"/>
      <c r="M338" s="27">
        <f>IF(L338="","",IF(K338="GST 10%",ROUND(L338*set_GSTRate,2),0))</f>
        <v/>
      </c>
      <c r="N338" s="27">
        <f>IF(L338="","",L338+M338)</f>
        <v/>
      </c>
      <c r="O338" s="24" t="n"/>
      <c r="P338" s="24" t="n"/>
      <c r="Q338" s="24" t="n"/>
      <c r="R338" s="22" t="n"/>
      <c r="S338" s="22" t="n"/>
      <c r="T338" s="24" t="n"/>
      <c r="U338" s="24" t="n"/>
      <c r="V338" s="25">
        <f>IF(COUNTA(A338,D338,C338,L338)=0,"",IF(A338="","No date - sits outside every month",IF(E338="","No job number",IF(F338="CHECK","Job number is not in the Xero job list",IF(I338="","No cost centre",IF(AND(P338="Y",C338=""),"Marked posted to Xero but has no invoice number",IF(AND(L338&lt;&gt;"",K338=""),"No tax code",IF(AND(L338&lt;&gt;"",O338=""),"No revenue GL code",""))))))))</f>
        <v/>
      </c>
      <c r="W338" s="25">
        <f>IF(E338="","",IF(COUNTIF(tbl_Onsite[Job Number],E338&amp;"")&gt;0,"Onsite",IF(COUNTIF(tbl_Production[Job Number],E338&amp;"")&gt;0,"Production",IF(COUNTIF(tbl_Consulting[Job Number],E338&amp;"")&gt;0,"Consulting","not set up yet"))))</f>
        <v/>
      </c>
      <c r="X338" s="25">
        <f>IF(E338="","",IFERROR(INDEX(lst_JobName,MATCH(E338&amp;"",lst_Jobs,0)),""))</f>
        <v/>
      </c>
      <c r="Y338" s="28">
        <f>IF(E338="","",COUNTIFS(tbl_Finance[Job Number],E338&amp;"",tbl_Finance[Ex GST],"&lt;&gt;"))</f>
        <v/>
      </c>
      <c r="Z338" s="27">
        <f>IF(E338="","",SUMIFS(tbl_Finance[Ex GST],tbl_Finance[Job Number],E338&amp;""))</f>
        <v/>
      </c>
      <c r="AA338" s="27">
        <f>IF(E338="","",SUMIFS(tbl_Finance[Ex GST],tbl_Finance[Job Number],E338&amp;"",tbl_Finance[Xero Invoice No],"&lt;&gt;"))</f>
        <v/>
      </c>
      <c r="AB338" s="27">
        <f>IF(E338="","",Z338-AA338)</f>
        <v/>
      </c>
      <c r="AC338" s="25">
        <f>IF(E338="","",IFERROR(IF(INDEX(tbl_Onsite[Qwilr Quote],MATCH(E338&amp;"",tbl_Onsite[Job Number],0))="","",INDEX(tbl_Onsite[Qwilr Quote],MATCH(E338&amp;"",tbl_Onsite[Job Number],0))),IFERROR(IF(IF(INDEX(tbl_Production[Current RMS No],MATCH(E338&amp;"",tbl_Production[Job Number],0))="",INDEX(tbl_Production[Qwilr Quote],MATCH(E338&amp;"",tbl_Production[Job Number],0)),INDEX(tbl_Production[Current RMS No],MATCH(E338&amp;"",tbl_Production[Job Number],0)))="","",IF(INDEX(tbl_Production[Current RMS No],MATCH(E338&amp;"",tbl_Production[Job Number],0))="",INDEX(tbl_Production[Qwilr Quote],MATCH(E338&amp;"",tbl_Production[Job Number],0)),INDEX(tbl_Production[Current RMS No],MATCH(E338&amp;"",tbl_Production[Job Number],0)))),IFERROR(IF(INDEX(tbl_Consulting[Qwilr Quote],MATCH(E338&amp;"",tbl_Consulting[Job Number],0))="","",INDEX(tbl_Consulting[Qwilr Quote],MATCH(E338&amp;"",tbl_Consulting[Job Number],0))),""))))</f>
        <v/>
      </c>
      <c r="AD338" s="25">
        <f>IF(AC338="","",IF(AND(LEFT(AC338,4)&lt;&gt;"http",IF(H338="Production",set_RMSBase,set_QwilrBase)=""),"",HYPERLINK(IF(LEFT(AC338,4)="http",AC338,IF(H338="Production",set_RMSBase,set_QwilrBase)&amp;AC338),"Open")))</f>
        <v/>
      </c>
      <c r="AE338" s="27">
        <f>IF(E338="","",IFERROR(INDEX(tbl_Production[Total Expense],MATCH(E338&amp;"",tbl_Production[Job Number],0)),IFERROR(INDEX(tbl_Consulting[Total Expense],MATCH(E338&amp;"",tbl_Consulting[Job Number],0)),0)))</f>
        <v/>
      </c>
      <c r="AF338" s="27">
        <f>IF(E338="","",Z338-N(AE338))</f>
        <v/>
      </c>
      <c r="AG338" s="29">
        <f>IFERROR(AF338/Z338,"")</f>
        <v/>
      </c>
      <c r="AH338" s="25">
        <f>IF(E338="","",IFERROR(IF(INDEX(tbl_Onsite[Notes],MATCH(E338&amp;"",tbl_Onsite[Job Number],0))="","",INDEX(tbl_Onsite[Notes],MATCH(E338&amp;"",tbl_Onsite[Job Number],0))),IFERROR(IF(INDEX(tbl_Production[Notes],MATCH(E338&amp;"",tbl_Production[Job Number],0))="","",INDEX(tbl_Production[Notes],MATCH(E338&amp;"",tbl_Production[Job Number],0))),IFERROR(IF(INDEX(tbl_Consulting[Notes],MATCH(E338&amp;"",tbl_Consulting[Job Number],0))="","",INDEX(tbl_Consulting[Notes],MATCH(E338&amp;"",tbl_Consulting[Job Number],0))),""))))</f>
        <v/>
      </c>
    </row>
    <row r="339" ht="15" customHeight="1">
      <c r="A339" s="22" t="n"/>
      <c r="B339" s="23">
        <f>IF(A339="","",EOMONTH(A339,0))</f>
        <v/>
      </c>
      <c r="C339" s="24" t="n"/>
      <c r="D339" s="24" t="n"/>
      <c r="E339" s="24" t="n"/>
      <c r="F339" s="25">
        <f>IF(E339="","",IF(COUNTIF(lst_Jobs,E339&amp;"")&gt;0,"OK","CHECK"))</f>
        <v/>
      </c>
      <c r="G339" s="24" t="n"/>
      <c r="H339" s="24" t="n"/>
      <c r="I339" s="24" t="n"/>
      <c r="J339" s="24" t="n"/>
      <c r="K339" s="24" t="n"/>
      <c r="L339" s="26" t="n"/>
      <c r="M339" s="27">
        <f>IF(L339="","",IF(K339="GST 10%",ROUND(L339*set_GSTRate,2),0))</f>
        <v/>
      </c>
      <c r="N339" s="27">
        <f>IF(L339="","",L339+M339)</f>
        <v/>
      </c>
      <c r="O339" s="24" t="n"/>
      <c r="P339" s="24" t="n"/>
      <c r="Q339" s="24" t="n"/>
      <c r="R339" s="22" t="n"/>
      <c r="S339" s="22" t="n"/>
      <c r="T339" s="24" t="n"/>
      <c r="U339" s="24" t="n"/>
      <c r="V339" s="25">
        <f>IF(COUNTA(A339,D339,C339,L339)=0,"",IF(A339="","No date - sits outside every month",IF(E339="","No job number",IF(F339="CHECK","Job number is not in the Xero job list",IF(I339="","No cost centre",IF(AND(P339="Y",C339=""),"Marked posted to Xero but has no invoice number",IF(AND(L339&lt;&gt;"",K339=""),"No tax code",IF(AND(L339&lt;&gt;"",O339=""),"No revenue GL code",""))))))))</f>
        <v/>
      </c>
      <c r="W339" s="25">
        <f>IF(E339="","",IF(COUNTIF(tbl_Onsite[Job Number],E339&amp;"")&gt;0,"Onsite",IF(COUNTIF(tbl_Production[Job Number],E339&amp;"")&gt;0,"Production",IF(COUNTIF(tbl_Consulting[Job Number],E339&amp;"")&gt;0,"Consulting","not set up yet"))))</f>
        <v/>
      </c>
      <c r="X339" s="25">
        <f>IF(E339="","",IFERROR(INDEX(lst_JobName,MATCH(E339&amp;"",lst_Jobs,0)),""))</f>
        <v/>
      </c>
      <c r="Y339" s="28">
        <f>IF(E339="","",COUNTIFS(tbl_Finance[Job Number],E339&amp;"",tbl_Finance[Ex GST],"&lt;&gt;"))</f>
        <v/>
      </c>
      <c r="Z339" s="27">
        <f>IF(E339="","",SUMIFS(tbl_Finance[Ex GST],tbl_Finance[Job Number],E339&amp;""))</f>
        <v/>
      </c>
      <c r="AA339" s="27">
        <f>IF(E339="","",SUMIFS(tbl_Finance[Ex GST],tbl_Finance[Job Number],E339&amp;"",tbl_Finance[Xero Invoice No],"&lt;&gt;"))</f>
        <v/>
      </c>
      <c r="AB339" s="27">
        <f>IF(E339="","",Z339-AA339)</f>
        <v/>
      </c>
      <c r="AC339" s="25">
        <f>IF(E339="","",IFERROR(IF(INDEX(tbl_Onsite[Qwilr Quote],MATCH(E339&amp;"",tbl_Onsite[Job Number],0))="","",INDEX(tbl_Onsite[Qwilr Quote],MATCH(E339&amp;"",tbl_Onsite[Job Number],0))),IFERROR(IF(IF(INDEX(tbl_Production[Current RMS No],MATCH(E339&amp;"",tbl_Production[Job Number],0))="",INDEX(tbl_Production[Qwilr Quote],MATCH(E339&amp;"",tbl_Production[Job Number],0)),INDEX(tbl_Production[Current RMS No],MATCH(E339&amp;"",tbl_Production[Job Number],0)))="","",IF(INDEX(tbl_Production[Current RMS No],MATCH(E339&amp;"",tbl_Production[Job Number],0))="",INDEX(tbl_Production[Qwilr Quote],MATCH(E339&amp;"",tbl_Production[Job Number],0)),INDEX(tbl_Production[Current RMS No],MATCH(E339&amp;"",tbl_Production[Job Number],0)))),IFERROR(IF(INDEX(tbl_Consulting[Qwilr Quote],MATCH(E339&amp;"",tbl_Consulting[Job Number],0))="","",INDEX(tbl_Consulting[Qwilr Quote],MATCH(E339&amp;"",tbl_Consulting[Job Number],0))),""))))</f>
        <v/>
      </c>
      <c r="AD339" s="25">
        <f>IF(AC339="","",IF(AND(LEFT(AC339,4)&lt;&gt;"http",IF(H339="Production",set_RMSBase,set_QwilrBase)=""),"",HYPERLINK(IF(LEFT(AC339,4)="http",AC339,IF(H339="Production",set_RMSBase,set_QwilrBase)&amp;AC339),"Open")))</f>
        <v/>
      </c>
      <c r="AE339" s="27">
        <f>IF(E339="","",IFERROR(INDEX(tbl_Production[Total Expense],MATCH(E339&amp;"",tbl_Production[Job Number],0)),IFERROR(INDEX(tbl_Consulting[Total Expense],MATCH(E339&amp;"",tbl_Consulting[Job Number],0)),0)))</f>
        <v/>
      </c>
      <c r="AF339" s="27">
        <f>IF(E339="","",Z339-N(AE339))</f>
        <v/>
      </c>
      <c r="AG339" s="29">
        <f>IFERROR(AF339/Z339,"")</f>
        <v/>
      </c>
      <c r="AH339" s="25">
        <f>IF(E339="","",IFERROR(IF(INDEX(tbl_Onsite[Notes],MATCH(E339&amp;"",tbl_Onsite[Job Number],0))="","",INDEX(tbl_Onsite[Notes],MATCH(E339&amp;"",tbl_Onsite[Job Number],0))),IFERROR(IF(INDEX(tbl_Production[Notes],MATCH(E339&amp;"",tbl_Production[Job Number],0))="","",INDEX(tbl_Production[Notes],MATCH(E339&amp;"",tbl_Production[Job Number],0))),IFERROR(IF(INDEX(tbl_Consulting[Notes],MATCH(E339&amp;"",tbl_Consulting[Job Number],0))="","",INDEX(tbl_Consulting[Notes],MATCH(E339&amp;"",tbl_Consulting[Job Number],0))),""))))</f>
        <v/>
      </c>
    </row>
    <row r="340" ht="15" customHeight="1">
      <c r="A340" s="22" t="n"/>
      <c r="B340" s="23">
        <f>IF(A340="","",EOMONTH(A340,0))</f>
        <v/>
      </c>
      <c r="C340" s="24" t="n"/>
      <c r="D340" s="24" t="n"/>
      <c r="E340" s="24" t="n"/>
      <c r="F340" s="25">
        <f>IF(E340="","",IF(COUNTIF(lst_Jobs,E340&amp;"")&gt;0,"OK","CHECK"))</f>
        <v/>
      </c>
      <c r="G340" s="24" t="n"/>
      <c r="H340" s="24" t="n"/>
      <c r="I340" s="24" t="n"/>
      <c r="J340" s="24" t="n"/>
      <c r="K340" s="24" t="n"/>
      <c r="L340" s="26" t="n"/>
      <c r="M340" s="27">
        <f>IF(L340="","",IF(K340="GST 10%",ROUND(L340*set_GSTRate,2),0))</f>
        <v/>
      </c>
      <c r="N340" s="27">
        <f>IF(L340="","",L340+M340)</f>
        <v/>
      </c>
      <c r="O340" s="24" t="n"/>
      <c r="P340" s="24" t="n"/>
      <c r="Q340" s="24" t="n"/>
      <c r="R340" s="22" t="n"/>
      <c r="S340" s="22" t="n"/>
      <c r="T340" s="24" t="n"/>
      <c r="U340" s="24" t="n"/>
      <c r="V340" s="25">
        <f>IF(COUNTA(A340,D340,C340,L340)=0,"",IF(A340="","No date - sits outside every month",IF(E340="","No job number",IF(F340="CHECK","Job number is not in the Xero job list",IF(I340="","No cost centre",IF(AND(P340="Y",C340=""),"Marked posted to Xero but has no invoice number",IF(AND(L340&lt;&gt;"",K340=""),"No tax code",IF(AND(L340&lt;&gt;"",O340=""),"No revenue GL code",""))))))))</f>
        <v/>
      </c>
      <c r="W340" s="25">
        <f>IF(E340="","",IF(COUNTIF(tbl_Onsite[Job Number],E340&amp;"")&gt;0,"Onsite",IF(COUNTIF(tbl_Production[Job Number],E340&amp;"")&gt;0,"Production",IF(COUNTIF(tbl_Consulting[Job Number],E340&amp;"")&gt;0,"Consulting","not set up yet"))))</f>
        <v/>
      </c>
      <c r="X340" s="25">
        <f>IF(E340="","",IFERROR(INDEX(lst_JobName,MATCH(E340&amp;"",lst_Jobs,0)),""))</f>
        <v/>
      </c>
      <c r="Y340" s="28">
        <f>IF(E340="","",COUNTIFS(tbl_Finance[Job Number],E340&amp;"",tbl_Finance[Ex GST],"&lt;&gt;"))</f>
        <v/>
      </c>
      <c r="Z340" s="27">
        <f>IF(E340="","",SUMIFS(tbl_Finance[Ex GST],tbl_Finance[Job Number],E340&amp;""))</f>
        <v/>
      </c>
      <c r="AA340" s="27">
        <f>IF(E340="","",SUMIFS(tbl_Finance[Ex GST],tbl_Finance[Job Number],E340&amp;"",tbl_Finance[Xero Invoice No],"&lt;&gt;"))</f>
        <v/>
      </c>
      <c r="AB340" s="27">
        <f>IF(E340="","",Z340-AA340)</f>
        <v/>
      </c>
      <c r="AC340" s="25">
        <f>IF(E340="","",IFERROR(IF(INDEX(tbl_Onsite[Qwilr Quote],MATCH(E340&amp;"",tbl_Onsite[Job Number],0))="","",INDEX(tbl_Onsite[Qwilr Quote],MATCH(E340&amp;"",tbl_Onsite[Job Number],0))),IFERROR(IF(IF(INDEX(tbl_Production[Current RMS No],MATCH(E340&amp;"",tbl_Production[Job Number],0))="",INDEX(tbl_Production[Qwilr Quote],MATCH(E340&amp;"",tbl_Production[Job Number],0)),INDEX(tbl_Production[Current RMS No],MATCH(E340&amp;"",tbl_Production[Job Number],0)))="","",IF(INDEX(tbl_Production[Current RMS No],MATCH(E340&amp;"",tbl_Production[Job Number],0))="",INDEX(tbl_Production[Qwilr Quote],MATCH(E340&amp;"",tbl_Production[Job Number],0)),INDEX(tbl_Production[Current RMS No],MATCH(E340&amp;"",tbl_Production[Job Number],0)))),IFERROR(IF(INDEX(tbl_Consulting[Qwilr Quote],MATCH(E340&amp;"",tbl_Consulting[Job Number],0))="","",INDEX(tbl_Consulting[Qwilr Quote],MATCH(E340&amp;"",tbl_Consulting[Job Number],0))),""))))</f>
        <v/>
      </c>
      <c r="AD340" s="25">
        <f>IF(AC340="","",IF(AND(LEFT(AC340,4)&lt;&gt;"http",IF(H340="Production",set_RMSBase,set_QwilrBase)=""),"",HYPERLINK(IF(LEFT(AC340,4)="http",AC340,IF(H340="Production",set_RMSBase,set_QwilrBase)&amp;AC340),"Open")))</f>
        <v/>
      </c>
      <c r="AE340" s="27">
        <f>IF(E340="","",IFERROR(INDEX(tbl_Production[Total Expense],MATCH(E340&amp;"",tbl_Production[Job Number],0)),IFERROR(INDEX(tbl_Consulting[Total Expense],MATCH(E340&amp;"",tbl_Consulting[Job Number],0)),0)))</f>
        <v/>
      </c>
      <c r="AF340" s="27">
        <f>IF(E340="","",Z340-N(AE340))</f>
        <v/>
      </c>
      <c r="AG340" s="29">
        <f>IFERROR(AF340/Z340,"")</f>
        <v/>
      </c>
      <c r="AH340" s="25">
        <f>IF(E340="","",IFERROR(IF(INDEX(tbl_Onsite[Notes],MATCH(E340&amp;"",tbl_Onsite[Job Number],0))="","",INDEX(tbl_Onsite[Notes],MATCH(E340&amp;"",tbl_Onsite[Job Number],0))),IFERROR(IF(INDEX(tbl_Production[Notes],MATCH(E340&amp;"",tbl_Production[Job Number],0))="","",INDEX(tbl_Production[Notes],MATCH(E340&amp;"",tbl_Production[Job Number],0))),IFERROR(IF(INDEX(tbl_Consulting[Notes],MATCH(E340&amp;"",tbl_Consulting[Job Number],0))="","",INDEX(tbl_Consulting[Notes],MATCH(E340&amp;"",tbl_Consulting[Job Number],0))),""))))</f>
        <v/>
      </c>
    </row>
    <row r="341" ht="15" customHeight="1">
      <c r="A341" s="22" t="n"/>
      <c r="B341" s="23">
        <f>IF(A341="","",EOMONTH(A341,0))</f>
        <v/>
      </c>
      <c r="C341" s="24" t="n"/>
      <c r="D341" s="24" t="n"/>
      <c r="E341" s="24" t="n"/>
      <c r="F341" s="25">
        <f>IF(E341="","",IF(COUNTIF(lst_Jobs,E341&amp;"")&gt;0,"OK","CHECK"))</f>
        <v/>
      </c>
      <c r="G341" s="24" t="n"/>
      <c r="H341" s="24" t="n"/>
      <c r="I341" s="24" t="n"/>
      <c r="J341" s="24" t="n"/>
      <c r="K341" s="24" t="n"/>
      <c r="L341" s="26" t="n"/>
      <c r="M341" s="27">
        <f>IF(L341="","",IF(K341="GST 10%",ROUND(L341*set_GSTRate,2),0))</f>
        <v/>
      </c>
      <c r="N341" s="27">
        <f>IF(L341="","",L341+M341)</f>
        <v/>
      </c>
      <c r="O341" s="24" t="n"/>
      <c r="P341" s="24" t="n"/>
      <c r="Q341" s="24" t="n"/>
      <c r="R341" s="22" t="n"/>
      <c r="S341" s="22" t="n"/>
      <c r="T341" s="24" t="n"/>
      <c r="U341" s="24" t="n"/>
      <c r="V341" s="25">
        <f>IF(COUNTA(A341,D341,C341,L341)=0,"",IF(A341="","No date - sits outside every month",IF(E341="","No job number",IF(F341="CHECK","Job number is not in the Xero job list",IF(I341="","No cost centre",IF(AND(P341="Y",C341=""),"Marked posted to Xero but has no invoice number",IF(AND(L341&lt;&gt;"",K341=""),"No tax code",IF(AND(L341&lt;&gt;"",O341=""),"No revenue GL code",""))))))))</f>
        <v/>
      </c>
      <c r="W341" s="25">
        <f>IF(E341="","",IF(COUNTIF(tbl_Onsite[Job Number],E341&amp;"")&gt;0,"Onsite",IF(COUNTIF(tbl_Production[Job Number],E341&amp;"")&gt;0,"Production",IF(COUNTIF(tbl_Consulting[Job Number],E341&amp;"")&gt;0,"Consulting","not set up yet"))))</f>
        <v/>
      </c>
      <c r="X341" s="25">
        <f>IF(E341="","",IFERROR(INDEX(lst_JobName,MATCH(E341&amp;"",lst_Jobs,0)),""))</f>
        <v/>
      </c>
      <c r="Y341" s="28">
        <f>IF(E341="","",COUNTIFS(tbl_Finance[Job Number],E341&amp;"",tbl_Finance[Ex GST],"&lt;&gt;"))</f>
        <v/>
      </c>
      <c r="Z341" s="27">
        <f>IF(E341="","",SUMIFS(tbl_Finance[Ex GST],tbl_Finance[Job Number],E341&amp;""))</f>
        <v/>
      </c>
      <c r="AA341" s="27">
        <f>IF(E341="","",SUMIFS(tbl_Finance[Ex GST],tbl_Finance[Job Number],E341&amp;"",tbl_Finance[Xero Invoice No],"&lt;&gt;"))</f>
        <v/>
      </c>
      <c r="AB341" s="27">
        <f>IF(E341="","",Z341-AA341)</f>
        <v/>
      </c>
      <c r="AC341" s="25">
        <f>IF(E341="","",IFERROR(IF(INDEX(tbl_Onsite[Qwilr Quote],MATCH(E341&amp;"",tbl_Onsite[Job Number],0))="","",INDEX(tbl_Onsite[Qwilr Quote],MATCH(E341&amp;"",tbl_Onsite[Job Number],0))),IFERROR(IF(IF(INDEX(tbl_Production[Current RMS No],MATCH(E341&amp;"",tbl_Production[Job Number],0))="",INDEX(tbl_Production[Qwilr Quote],MATCH(E341&amp;"",tbl_Production[Job Number],0)),INDEX(tbl_Production[Current RMS No],MATCH(E341&amp;"",tbl_Production[Job Number],0)))="","",IF(INDEX(tbl_Production[Current RMS No],MATCH(E341&amp;"",tbl_Production[Job Number],0))="",INDEX(tbl_Production[Qwilr Quote],MATCH(E341&amp;"",tbl_Production[Job Number],0)),INDEX(tbl_Production[Current RMS No],MATCH(E341&amp;"",tbl_Production[Job Number],0)))),IFERROR(IF(INDEX(tbl_Consulting[Qwilr Quote],MATCH(E341&amp;"",tbl_Consulting[Job Number],0))="","",INDEX(tbl_Consulting[Qwilr Quote],MATCH(E341&amp;"",tbl_Consulting[Job Number],0))),""))))</f>
        <v/>
      </c>
      <c r="AD341" s="25">
        <f>IF(AC341="","",IF(AND(LEFT(AC341,4)&lt;&gt;"http",IF(H341="Production",set_RMSBase,set_QwilrBase)=""),"",HYPERLINK(IF(LEFT(AC341,4)="http",AC341,IF(H341="Production",set_RMSBase,set_QwilrBase)&amp;AC341),"Open")))</f>
        <v/>
      </c>
      <c r="AE341" s="27">
        <f>IF(E341="","",IFERROR(INDEX(tbl_Production[Total Expense],MATCH(E341&amp;"",tbl_Production[Job Number],0)),IFERROR(INDEX(tbl_Consulting[Total Expense],MATCH(E341&amp;"",tbl_Consulting[Job Number],0)),0)))</f>
        <v/>
      </c>
      <c r="AF341" s="27">
        <f>IF(E341="","",Z341-N(AE341))</f>
        <v/>
      </c>
      <c r="AG341" s="29">
        <f>IFERROR(AF341/Z341,"")</f>
        <v/>
      </c>
      <c r="AH341" s="25">
        <f>IF(E341="","",IFERROR(IF(INDEX(tbl_Onsite[Notes],MATCH(E341&amp;"",tbl_Onsite[Job Number],0))="","",INDEX(tbl_Onsite[Notes],MATCH(E341&amp;"",tbl_Onsite[Job Number],0))),IFERROR(IF(INDEX(tbl_Production[Notes],MATCH(E341&amp;"",tbl_Production[Job Number],0))="","",INDEX(tbl_Production[Notes],MATCH(E341&amp;"",tbl_Production[Job Number],0))),IFERROR(IF(INDEX(tbl_Consulting[Notes],MATCH(E341&amp;"",tbl_Consulting[Job Number],0))="","",INDEX(tbl_Consulting[Notes],MATCH(E341&amp;"",tbl_Consulting[Job Number],0))),""))))</f>
        <v/>
      </c>
    </row>
    <row r="342" ht="15" customHeight="1">
      <c r="A342" s="22" t="n"/>
      <c r="B342" s="23">
        <f>IF(A342="","",EOMONTH(A342,0))</f>
        <v/>
      </c>
      <c r="C342" s="24" t="n"/>
      <c r="D342" s="24" t="n"/>
      <c r="E342" s="24" t="n"/>
      <c r="F342" s="25">
        <f>IF(E342="","",IF(COUNTIF(lst_Jobs,E342&amp;"")&gt;0,"OK","CHECK"))</f>
        <v/>
      </c>
      <c r="G342" s="24" t="n"/>
      <c r="H342" s="24" t="n"/>
      <c r="I342" s="24" t="n"/>
      <c r="J342" s="24" t="n"/>
      <c r="K342" s="24" t="n"/>
      <c r="L342" s="26" t="n"/>
      <c r="M342" s="27">
        <f>IF(L342="","",IF(K342="GST 10%",ROUND(L342*set_GSTRate,2),0))</f>
        <v/>
      </c>
      <c r="N342" s="27">
        <f>IF(L342="","",L342+M342)</f>
        <v/>
      </c>
      <c r="O342" s="24" t="n"/>
      <c r="P342" s="24" t="n"/>
      <c r="Q342" s="24" t="n"/>
      <c r="R342" s="22" t="n"/>
      <c r="S342" s="22" t="n"/>
      <c r="T342" s="24" t="n"/>
      <c r="U342" s="24" t="n"/>
      <c r="V342" s="25">
        <f>IF(COUNTA(A342,D342,C342,L342)=0,"",IF(A342="","No date - sits outside every month",IF(E342="","No job number",IF(F342="CHECK","Job number is not in the Xero job list",IF(I342="","No cost centre",IF(AND(P342="Y",C342=""),"Marked posted to Xero but has no invoice number",IF(AND(L342&lt;&gt;"",K342=""),"No tax code",IF(AND(L342&lt;&gt;"",O342=""),"No revenue GL code",""))))))))</f>
        <v/>
      </c>
      <c r="W342" s="25">
        <f>IF(E342="","",IF(COUNTIF(tbl_Onsite[Job Number],E342&amp;"")&gt;0,"Onsite",IF(COUNTIF(tbl_Production[Job Number],E342&amp;"")&gt;0,"Production",IF(COUNTIF(tbl_Consulting[Job Number],E342&amp;"")&gt;0,"Consulting","not set up yet"))))</f>
        <v/>
      </c>
      <c r="X342" s="25">
        <f>IF(E342="","",IFERROR(INDEX(lst_JobName,MATCH(E342&amp;"",lst_Jobs,0)),""))</f>
        <v/>
      </c>
      <c r="Y342" s="28">
        <f>IF(E342="","",COUNTIFS(tbl_Finance[Job Number],E342&amp;"",tbl_Finance[Ex GST],"&lt;&gt;"))</f>
        <v/>
      </c>
      <c r="Z342" s="27">
        <f>IF(E342="","",SUMIFS(tbl_Finance[Ex GST],tbl_Finance[Job Number],E342&amp;""))</f>
        <v/>
      </c>
      <c r="AA342" s="27">
        <f>IF(E342="","",SUMIFS(tbl_Finance[Ex GST],tbl_Finance[Job Number],E342&amp;"",tbl_Finance[Xero Invoice No],"&lt;&gt;"))</f>
        <v/>
      </c>
      <c r="AB342" s="27">
        <f>IF(E342="","",Z342-AA342)</f>
        <v/>
      </c>
      <c r="AC342" s="25">
        <f>IF(E342="","",IFERROR(IF(INDEX(tbl_Onsite[Qwilr Quote],MATCH(E342&amp;"",tbl_Onsite[Job Number],0))="","",INDEX(tbl_Onsite[Qwilr Quote],MATCH(E342&amp;"",tbl_Onsite[Job Number],0))),IFERROR(IF(IF(INDEX(tbl_Production[Current RMS No],MATCH(E342&amp;"",tbl_Production[Job Number],0))="",INDEX(tbl_Production[Qwilr Quote],MATCH(E342&amp;"",tbl_Production[Job Number],0)),INDEX(tbl_Production[Current RMS No],MATCH(E342&amp;"",tbl_Production[Job Number],0)))="","",IF(INDEX(tbl_Production[Current RMS No],MATCH(E342&amp;"",tbl_Production[Job Number],0))="",INDEX(tbl_Production[Qwilr Quote],MATCH(E342&amp;"",tbl_Production[Job Number],0)),INDEX(tbl_Production[Current RMS No],MATCH(E342&amp;"",tbl_Production[Job Number],0)))),IFERROR(IF(INDEX(tbl_Consulting[Qwilr Quote],MATCH(E342&amp;"",tbl_Consulting[Job Number],0))="","",INDEX(tbl_Consulting[Qwilr Quote],MATCH(E342&amp;"",tbl_Consulting[Job Number],0))),""))))</f>
        <v/>
      </c>
      <c r="AD342" s="25">
        <f>IF(AC342="","",IF(AND(LEFT(AC342,4)&lt;&gt;"http",IF(H342="Production",set_RMSBase,set_QwilrBase)=""),"",HYPERLINK(IF(LEFT(AC342,4)="http",AC342,IF(H342="Production",set_RMSBase,set_QwilrBase)&amp;AC342),"Open")))</f>
        <v/>
      </c>
      <c r="AE342" s="27">
        <f>IF(E342="","",IFERROR(INDEX(tbl_Production[Total Expense],MATCH(E342&amp;"",tbl_Production[Job Number],0)),IFERROR(INDEX(tbl_Consulting[Total Expense],MATCH(E342&amp;"",tbl_Consulting[Job Number],0)),0)))</f>
        <v/>
      </c>
      <c r="AF342" s="27">
        <f>IF(E342="","",Z342-N(AE342))</f>
        <v/>
      </c>
      <c r="AG342" s="29">
        <f>IFERROR(AF342/Z342,"")</f>
        <v/>
      </c>
      <c r="AH342" s="25">
        <f>IF(E342="","",IFERROR(IF(INDEX(tbl_Onsite[Notes],MATCH(E342&amp;"",tbl_Onsite[Job Number],0))="","",INDEX(tbl_Onsite[Notes],MATCH(E342&amp;"",tbl_Onsite[Job Number],0))),IFERROR(IF(INDEX(tbl_Production[Notes],MATCH(E342&amp;"",tbl_Production[Job Number],0))="","",INDEX(tbl_Production[Notes],MATCH(E342&amp;"",tbl_Production[Job Number],0))),IFERROR(IF(INDEX(tbl_Consulting[Notes],MATCH(E342&amp;"",tbl_Consulting[Job Number],0))="","",INDEX(tbl_Consulting[Notes],MATCH(E342&amp;"",tbl_Consulting[Job Number],0))),""))))</f>
        <v/>
      </c>
    </row>
    <row r="343" ht="15" customHeight="1">
      <c r="A343" s="22" t="n"/>
      <c r="B343" s="23">
        <f>IF(A343="","",EOMONTH(A343,0))</f>
        <v/>
      </c>
      <c r="C343" s="24" t="n"/>
      <c r="D343" s="24" t="n"/>
      <c r="E343" s="24" t="n"/>
      <c r="F343" s="25">
        <f>IF(E343="","",IF(COUNTIF(lst_Jobs,E343&amp;"")&gt;0,"OK","CHECK"))</f>
        <v/>
      </c>
      <c r="G343" s="24" t="n"/>
      <c r="H343" s="24" t="n"/>
      <c r="I343" s="24" t="n"/>
      <c r="J343" s="24" t="n"/>
      <c r="K343" s="24" t="n"/>
      <c r="L343" s="26" t="n"/>
      <c r="M343" s="27">
        <f>IF(L343="","",IF(K343="GST 10%",ROUND(L343*set_GSTRate,2),0))</f>
        <v/>
      </c>
      <c r="N343" s="27">
        <f>IF(L343="","",L343+M343)</f>
        <v/>
      </c>
      <c r="O343" s="24" t="n"/>
      <c r="P343" s="24" t="n"/>
      <c r="Q343" s="24" t="n"/>
      <c r="R343" s="22" t="n"/>
      <c r="S343" s="22" t="n"/>
      <c r="T343" s="24" t="n"/>
      <c r="U343" s="24" t="n"/>
      <c r="V343" s="25">
        <f>IF(COUNTA(A343,D343,C343,L343)=0,"",IF(A343="","No date - sits outside every month",IF(E343="","No job number",IF(F343="CHECK","Job number is not in the Xero job list",IF(I343="","No cost centre",IF(AND(P343="Y",C343=""),"Marked posted to Xero but has no invoice number",IF(AND(L343&lt;&gt;"",K343=""),"No tax code",IF(AND(L343&lt;&gt;"",O343=""),"No revenue GL code",""))))))))</f>
        <v/>
      </c>
      <c r="W343" s="25">
        <f>IF(E343="","",IF(COUNTIF(tbl_Onsite[Job Number],E343&amp;"")&gt;0,"Onsite",IF(COUNTIF(tbl_Production[Job Number],E343&amp;"")&gt;0,"Production",IF(COUNTIF(tbl_Consulting[Job Number],E343&amp;"")&gt;0,"Consulting","not set up yet"))))</f>
        <v/>
      </c>
      <c r="X343" s="25">
        <f>IF(E343="","",IFERROR(INDEX(lst_JobName,MATCH(E343&amp;"",lst_Jobs,0)),""))</f>
        <v/>
      </c>
      <c r="Y343" s="28">
        <f>IF(E343="","",COUNTIFS(tbl_Finance[Job Number],E343&amp;"",tbl_Finance[Ex GST],"&lt;&gt;"))</f>
        <v/>
      </c>
      <c r="Z343" s="27">
        <f>IF(E343="","",SUMIFS(tbl_Finance[Ex GST],tbl_Finance[Job Number],E343&amp;""))</f>
        <v/>
      </c>
      <c r="AA343" s="27">
        <f>IF(E343="","",SUMIFS(tbl_Finance[Ex GST],tbl_Finance[Job Number],E343&amp;"",tbl_Finance[Xero Invoice No],"&lt;&gt;"))</f>
        <v/>
      </c>
      <c r="AB343" s="27">
        <f>IF(E343="","",Z343-AA343)</f>
        <v/>
      </c>
      <c r="AC343" s="25">
        <f>IF(E343="","",IFERROR(IF(INDEX(tbl_Onsite[Qwilr Quote],MATCH(E343&amp;"",tbl_Onsite[Job Number],0))="","",INDEX(tbl_Onsite[Qwilr Quote],MATCH(E343&amp;"",tbl_Onsite[Job Number],0))),IFERROR(IF(IF(INDEX(tbl_Production[Current RMS No],MATCH(E343&amp;"",tbl_Production[Job Number],0))="",INDEX(tbl_Production[Qwilr Quote],MATCH(E343&amp;"",tbl_Production[Job Number],0)),INDEX(tbl_Production[Current RMS No],MATCH(E343&amp;"",tbl_Production[Job Number],0)))="","",IF(INDEX(tbl_Production[Current RMS No],MATCH(E343&amp;"",tbl_Production[Job Number],0))="",INDEX(tbl_Production[Qwilr Quote],MATCH(E343&amp;"",tbl_Production[Job Number],0)),INDEX(tbl_Production[Current RMS No],MATCH(E343&amp;"",tbl_Production[Job Number],0)))),IFERROR(IF(INDEX(tbl_Consulting[Qwilr Quote],MATCH(E343&amp;"",tbl_Consulting[Job Number],0))="","",INDEX(tbl_Consulting[Qwilr Quote],MATCH(E343&amp;"",tbl_Consulting[Job Number],0))),""))))</f>
        <v/>
      </c>
      <c r="AD343" s="25">
        <f>IF(AC343="","",IF(AND(LEFT(AC343,4)&lt;&gt;"http",IF(H343="Production",set_RMSBase,set_QwilrBase)=""),"",HYPERLINK(IF(LEFT(AC343,4)="http",AC343,IF(H343="Production",set_RMSBase,set_QwilrBase)&amp;AC343),"Open")))</f>
        <v/>
      </c>
      <c r="AE343" s="27">
        <f>IF(E343="","",IFERROR(INDEX(tbl_Production[Total Expense],MATCH(E343&amp;"",tbl_Production[Job Number],0)),IFERROR(INDEX(tbl_Consulting[Total Expense],MATCH(E343&amp;"",tbl_Consulting[Job Number],0)),0)))</f>
        <v/>
      </c>
      <c r="AF343" s="27">
        <f>IF(E343="","",Z343-N(AE343))</f>
        <v/>
      </c>
      <c r="AG343" s="29">
        <f>IFERROR(AF343/Z343,"")</f>
        <v/>
      </c>
      <c r="AH343" s="25">
        <f>IF(E343="","",IFERROR(IF(INDEX(tbl_Onsite[Notes],MATCH(E343&amp;"",tbl_Onsite[Job Number],0))="","",INDEX(tbl_Onsite[Notes],MATCH(E343&amp;"",tbl_Onsite[Job Number],0))),IFERROR(IF(INDEX(tbl_Production[Notes],MATCH(E343&amp;"",tbl_Production[Job Number],0))="","",INDEX(tbl_Production[Notes],MATCH(E343&amp;"",tbl_Production[Job Number],0))),IFERROR(IF(INDEX(tbl_Consulting[Notes],MATCH(E343&amp;"",tbl_Consulting[Job Number],0))="","",INDEX(tbl_Consulting[Notes],MATCH(E343&amp;"",tbl_Consulting[Job Number],0))),""))))</f>
        <v/>
      </c>
    </row>
    <row r="344" ht="15" customHeight="1">
      <c r="A344" s="22" t="n"/>
      <c r="B344" s="23">
        <f>IF(A344="","",EOMONTH(A344,0))</f>
        <v/>
      </c>
      <c r="C344" s="24" t="n"/>
      <c r="D344" s="24" t="n"/>
      <c r="E344" s="24" t="n"/>
      <c r="F344" s="25">
        <f>IF(E344="","",IF(COUNTIF(lst_Jobs,E344&amp;"")&gt;0,"OK","CHECK"))</f>
        <v/>
      </c>
      <c r="G344" s="24" t="n"/>
      <c r="H344" s="24" t="n"/>
      <c r="I344" s="24" t="n"/>
      <c r="J344" s="24" t="n"/>
      <c r="K344" s="24" t="n"/>
      <c r="L344" s="26" t="n"/>
      <c r="M344" s="27">
        <f>IF(L344="","",IF(K344="GST 10%",ROUND(L344*set_GSTRate,2),0))</f>
        <v/>
      </c>
      <c r="N344" s="27">
        <f>IF(L344="","",L344+M344)</f>
        <v/>
      </c>
      <c r="O344" s="24" t="n"/>
      <c r="P344" s="24" t="n"/>
      <c r="Q344" s="24" t="n"/>
      <c r="R344" s="22" t="n"/>
      <c r="S344" s="22" t="n"/>
      <c r="T344" s="24" t="n"/>
      <c r="U344" s="24" t="n"/>
      <c r="V344" s="25">
        <f>IF(COUNTA(A344,D344,C344,L344)=0,"",IF(A344="","No date - sits outside every month",IF(E344="","No job number",IF(F344="CHECK","Job number is not in the Xero job list",IF(I344="","No cost centre",IF(AND(P344="Y",C344=""),"Marked posted to Xero but has no invoice number",IF(AND(L344&lt;&gt;"",K344=""),"No tax code",IF(AND(L344&lt;&gt;"",O344=""),"No revenue GL code",""))))))))</f>
        <v/>
      </c>
      <c r="W344" s="25">
        <f>IF(E344="","",IF(COUNTIF(tbl_Onsite[Job Number],E344&amp;"")&gt;0,"Onsite",IF(COUNTIF(tbl_Production[Job Number],E344&amp;"")&gt;0,"Production",IF(COUNTIF(tbl_Consulting[Job Number],E344&amp;"")&gt;0,"Consulting","not set up yet"))))</f>
        <v/>
      </c>
      <c r="X344" s="25">
        <f>IF(E344="","",IFERROR(INDEX(lst_JobName,MATCH(E344&amp;"",lst_Jobs,0)),""))</f>
        <v/>
      </c>
      <c r="Y344" s="28">
        <f>IF(E344="","",COUNTIFS(tbl_Finance[Job Number],E344&amp;"",tbl_Finance[Ex GST],"&lt;&gt;"))</f>
        <v/>
      </c>
      <c r="Z344" s="27">
        <f>IF(E344="","",SUMIFS(tbl_Finance[Ex GST],tbl_Finance[Job Number],E344&amp;""))</f>
        <v/>
      </c>
      <c r="AA344" s="27">
        <f>IF(E344="","",SUMIFS(tbl_Finance[Ex GST],tbl_Finance[Job Number],E344&amp;"",tbl_Finance[Xero Invoice No],"&lt;&gt;"))</f>
        <v/>
      </c>
      <c r="AB344" s="27">
        <f>IF(E344="","",Z344-AA344)</f>
        <v/>
      </c>
      <c r="AC344" s="25">
        <f>IF(E344="","",IFERROR(IF(INDEX(tbl_Onsite[Qwilr Quote],MATCH(E344&amp;"",tbl_Onsite[Job Number],0))="","",INDEX(tbl_Onsite[Qwilr Quote],MATCH(E344&amp;"",tbl_Onsite[Job Number],0))),IFERROR(IF(IF(INDEX(tbl_Production[Current RMS No],MATCH(E344&amp;"",tbl_Production[Job Number],0))="",INDEX(tbl_Production[Qwilr Quote],MATCH(E344&amp;"",tbl_Production[Job Number],0)),INDEX(tbl_Production[Current RMS No],MATCH(E344&amp;"",tbl_Production[Job Number],0)))="","",IF(INDEX(tbl_Production[Current RMS No],MATCH(E344&amp;"",tbl_Production[Job Number],0))="",INDEX(tbl_Production[Qwilr Quote],MATCH(E344&amp;"",tbl_Production[Job Number],0)),INDEX(tbl_Production[Current RMS No],MATCH(E344&amp;"",tbl_Production[Job Number],0)))),IFERROR(IF(INDEX(tbl_Consulting[Qwilr Quote],MATCH(E344&amp;"",tbl_Consulting[Job Number],0))="","",INDEX(tbl_Consulting[Qwilr Quote],MATCH(E344&amp;"",tbl_Consulting[Job Number],0))),""))))</f>
        <v/>
      </c>
      <c r="AD344" s="25">
        <f>IF(AC344="","",IF(AND(LEFT(AC344,4)&lt;&gt;"http",IF(H344="Production",set_RMSBase,set_QwilrBase)=""),"",HYPERLINK(IF(LEFT(AC344,4)="http",AC344,IF(H344="Production",set_RMSBase,set_QwilrBase)&amp;AC344),"Open")))</f>
        <v/>
      </c>
      <c r="AE344" s="27">
        <f>IF(E344="","",IFERROR(INDEX(tbl_Production[Total Expense],MATCH(E344&amp;"",tbl_Production[Job Number],0)),IFERROR(INDEX(tbl_Consulting[Total Expense],MATCH(E344&amp;"",tbl_Consulting[Job Number],0)),0)))</f>
        <v/>
      </c>
      <c r="AF344" s="27">
        <f>IF(E344="","",Z344-N(AE344))</f>
        <v/>
      </c>
      <c r="AG344" s="29">
        <f>IFERROR(AF344/Z344,"")</f>
        <v/>
      </c>
      <c r="AH344" s="25">
        <f>IF(E344="","",IFERROR(IF(INDEX(tbl_Onsite[Notes],MATCH(E344&amp;"",tbl_Onsite[Job Number],0))="","",INDEX(tbl_Onsite[Notes],MATCH(E344&amp;"",tbl_Onsite[Job Number],0))),IFERROR(IF(INDEX(tbl_Production[Notes],MATCH(E344&amp;"",tbl_Production[Job Number],0))="","",INDEX(tbl_Production[Notes],MATCH(E344&amp;"",tbl_Production[Job Number],0))),IFERROR(IF(INDEX(tbl_Consulting[Notes],MATCH(E344&amp;"",tbl_Consulting[Job Number],0))="","",INDEX(tbl_Consulting[Notes],MATCH(E344&amp;"",tbl_Consulting[Job Number],0))),""))))</f>
        <v/>
      </c>
    </row>
    <row r="345" ht="15" customHeight="1">
      <c r="A345" s="22" t="n"/>
      <c r="B345" s="23">
        <f>IF(A345="","",EOMONTH(A345,0))</f>
        <v/>
      </c>
      <c r="C345" s="24" t="n"/>
      <c r="D345" s="24" t="n"/>
      <c r="E345" s="24" t="n"/>
      <c r="F345" s="25">
        <f>IF(E345="","",IF(COUNTIF(lst_Jobs,E345&amp;"")&gt;0,"OK","CHECK"))</f>
        <v/>
      </c>
      <c r="G345" s="24" t="n"/>
      <c r="H345" s="24" t="n"/>
      <c r="I345" s="24" t="n"/>
      <c r="J345" s="24" t="n"/>
      <c r="K345" s="24" t="n"/>
      <c r="L345" s="26" t="n"/>
      <c r="M345" s="27">
        <f>IF(L345="","",IF(K345="GST 10%",ROUND(L345*set_GSTRate,2),0))</f>
        <v/>
      </c>
      <c r="N345" s="27">
        <f>IF(L345="","",L345+M345)</f>
        <v/>
      </c>
      <c r="O345" s="24" t="n"/>
      <c r="P345" s="24" t="n"/>
      <c r="Q345" s="24" t="n"/>
      <c r="R345" s="22" t="n"/>
      <c r="S345" s="22" t="n"/>
      <c r="T345" s="24" t="n"/>
      <c r="U345" s="24" t="n"/>
      <c r="V345" s="25">
        <f>IF(COUNTA(A345,D345,C345,L345)=0,"",IF(A345="","No date - sits outside every month",IF(E345="","No job number",IF(F345="CHECK","Job number is not in the Xero job list",IF(I345="","No cost centre",IF(AND(P345="Y",C345=""),"Marked posted to Xero but has no invoice number",IF(AND(L345&lt;&gt;"",K345=""),"No tax code",IF(AND(L345&lt;&gt;"",O345=""),"No revenue GL code",""))))))))</f>
        <v/>
      </c>
      <c r="W345" s="25">
        <f>IF(E345="","",IF(COUNTIF(tbl_Onsite[Job Number],E345&amp;"")&gt;0,"Onsite",IF(COUNTIF(tbl_Production[Job Number],E345&amp;"")&gt;0,"Production",IF(COUNTIF(tbl_Consulting[Job Number],E345&amp;"")&gt;0,"Consulting","not set up yet"))))</f>
        <v/>
      </c>
      <c r="X345" s="25">
        <f>IF(E345="","",IFERROR(INDEX(lst_JobName,MATCH(E345&amp;"",lst_Jobs,0)),""))</f>
        <v/>
      </c>
      <c r="Y345" s="28">
        <f>IF(E345="","",COUNTIFS(tbl_Finance[Job Number],E345&amp;"",tbl_Finance[Ex GST],"&lt;&gt;"))</f>
        <v/>
      </c>
      <c r="Z345" s="27">
        <f>IF(E345="","",SUMIFS(tbl_Finance[Ex GST],tbl_Finance[Job Number],E345&amp;""))</f>
        <v/>
      </c>
      <c r="AA345" s="27">
        <f>IF(E345="","",SUMIFS(tbl_Finance[Ex GST],tbl_Finance[Job Number],E345&amp;"",tbl_Finance[Xero Invoice No],"&lt;&gt;"))</f>
        <v/>
      </c>
      <c r="AB345" s="27">
        <f>IF(E345="","",Z345-AA345)</f>
        <v/>
      </c>
      <c r="AC345" s="25">
        <f>IF(E345="","",IFERROR(IF(INDEX(tbl_Onsite[Qwilr Quote],MATCH(E345&amp;"",tbl_Onsite[Job Number],0))="","",INDEX(tbl_Onsite[Qwilr Quote],MATCH(E345&amp;"",tbl_Onsite[Job Number],0))),IFERROR(IF(IF(INDEX(tbl_Production[Current RMS No],MATCH(E345&amp;"",tbl_Production[Job Number],0))="",INDEX(tbl_Production[Qwilr Quote],MATCH(E345&amp;"",tbl_Production[Job Number],0)),INDEX(tbl_Production[Current RMS No],MATCH(E345&amp;"",tbl_Production[Job Number],0)))="","",IF(INDEX(tbl_Production[Current RMS No],MATCH(E345&amp;"",tbl_Production[Job Number],0))="",INDEX(tbl_Production[Qwilr Quote],MATCH(E345&amp;"",tbl_Production[Job Number],0)),INDEX(tbl_Production[Current RMS No],MATCH(E345&amp;"",tbl_Production[Job Number],0)))),IFERROR(IF(INDEX(tbl_Consulting[Qwilr Quote],MATCH(E345&amp;"",tbl_Consulting[Job Number],0))="","",INDEX(tbl_Consulting[Qwilr Quote],MATCH(E345&amp;"",tbl_Consulting[Job Number],0))),""))))</f>
        <v/>
      </c>
      <c r="AD345" s="25">
        <f>IF(AC345="","",IF(AND(LEFT(AC345,4)&lt;&gt;"http",IF(H345="Production",set_RMSBase,set_QwilrBase)=""),"",HYPERLINK(IF(LEFT(AC345,4)="http",AC345,IF(H345="Production",set_RMSBase,set_QwilrBase)&amp;AC345),"Open")))</f>
        <v/>
      </c>
      <c r="AE345" s="27">
        <f>IF(E345="","",IFERROR(INDEX(tbl_Production[Total Expense],MATCH(E345&amp;"",tbl_Production[Job Number],0)),IFERROR(INDEX(tbl_Consulting[Total Expense],MATCH(E345&amp;"",tbl_Consulting[Job Number],0)),0)))</f>
        <v/>
      </c>
      <c r="AF345" s="27">
        <f>IF(E345="","",Z345-N(AE345))</f>
        <v/>
      </c>
      <c r="AG345" s="29">
        <f>IFERROR(AF345/Z345,"")</f>
        <v/>
      </c>
      <c r="AH345" s="25">
        <f>IF(E345="","",IFERROR(IF(INDEX(tbl_Onsite[Notes],MATCH(E345&amp;"",tbl_Onsite[Job Number],0))="","",INDEX(tbl_Onsite[Notes],MATCH(E345&amp;"",tbl_Onsite[Job Number],0))),IFERROR(IF(INDEX(tbl_Production[Notes],MATCH(E345&amp;"",tbl_Production[Job Number],0))="","",INDEX(tbl_Production[Notes],MATCH(E345&amp;"",tbl_Production[Job Number],0))),IFERROR(IF(INDEX(tbl_Consulting[Notes],MATCH(E345&amp;"",tbl_Consulting[Job Number],0))="","",INDEX(tbl_Consulting[Notes],MATCH(E345&amp;"",tbl_Consulting[Job Number],0))),""))))</f>
        <v/>
      </c>
    </row>
    <row r="346" ht="15" customHeight="1">
      <c r="A346" s="22" t="n"/>
      <c r="B346" s="23">
        <f>IF(A346="","",EOMONTH(A346,0))</f>
        <v/>
      </c>
      <c r="C346" s="24" t="n"/>
      <c r="D346" s="24" t="n"/>
      <c r="E346" s="24" t="n"/>
      <c r="F346" s="25">
        <f>IF(E346="","",IF(COUNTIF(lst_Jobs,E346&amp;"")&gt;0,"OK","CHECK"))</f>
        <v/>
      </c>
      <c r="G346" s="24" t="n"/>
      <c r="H346" s="24" t="n"/>
      <c r="I346" s="24" t="n"/>
      <c r="J346" s="24" t="n"/>
      <c r="K346" s="24" t="n"/>
      <c r="L346" s="26" t="n"/>
      <c r="M346" s="27">
        <f>IF(L346="","",IF(K346="GST 10%",ROUND(L346*set_GSTRate,2),0))</f>
        <v/>
      </c>
      <c r="N346" s="27">
        <f>IF(L346="","",L346+M346)</f>
        <v/>
      </c>
      <c r="O346" s="24" t="n"/>
      <c r="P346" s="24" t="n"/>
      <c r="Q346" s="24" t="n"/>
      <c r="R346" s="22" t="n"/>
      <c r="S346" s="22" t="n"/>
      <c r="T346" s="24" t="n"/>
      <c r="U346" s="24" t="n"/>
      <c r="V346" s="25">
        <f>IF(COUNTA(A346,D346,C346,L346)=0,"",IF(A346="","No date - sits outside every month",IF(E346="","No job number",IF(F346="CHECK","Job number is not in the Xero job list",IF(I346="","No cost centre",IF(AND(P346="Y",C346=""),"Marked posted to Xero but has no invoice number",IF(AND(L346&lt;&gt;"",K346=""),"No tax code",IF(AND(L346&lt;&gt;"",O346=""),"No revenue GL code",""))))))))</f>
        <v/>
      </c>
      <c r="W346" s="25">
        <f>IF(E346="","",IF(COUNTIF(tbl_Onsite[Job Number],E346&amp;"")&gt;0,"Onsite",IF(COUNTIF(tbl_Production[Job Number],E346&amp;"")&gt;0,"Production",IF(COUNTIF(tbl_Consulting[Job Number],E346&amp;"")&gt;0,"Consulting","not set up yet"))))</f>
        <v/>
      </c>
      <c r="X346" s="25">
        <f>IF(E346="","",IFERROR(INDEX(lst_JobName,MATCH(E346&amp;"",lst_Jobs,0)),""))</f>
        <v/>
      </c>
      <c r="Y346" s="28">
        <f>IF(E346="","",COUNTIFS(tbl_Finance[Job Number],E346&amp;"",tbl_Finance[Ex GST],"&lt;&gt;"))</f>
        <v/>
      </c>
      <c r="Z346" s="27">
        <f>IF(E346="","",SUMIFS(tbl_Finance[Ex GST],tbl_Finance[Job Number],E346&amp;""))</f>
        <v/>
      </c>
      <c r="AA346" s="27">
        <f>IF(E346="","",SUMIFS(tbl_Finance[Ex GST],tbl_Finance[Job Number],E346&amp;"",tbl_Finance[Xero Invoice No],"&lt;&gt;"))</f>
        <v/>
      </c>
      <c r="AB346" s="27">
        <f>IF(E346="","",Z346-AA346)</f>
        <v/>
      </c>
      <c r="AC346" s="25">
        <f>IF(E346="","",IFERROR(IF(INDEX(tbl_Onsite[Qwilr Quote],MATCH(E346&amp;"",tbl_Onsite[Job Number],0))="","",INDEX(tbl_Onsite[Qwilr Quote],MATCH(E346&amp;"",tbl_Onsite[Job Number],0))),IFERROR(IF(IF(INDEX(tbl_Production[Current RMS No],MATCH(E346&amp;"",tbl_Production[Job Number],0))="",INDEX(tbl_Production[Qwilr Quote],MATCH(E346&amp;"",tbl_Production[Job Number],0)),INDEX(tbl_Production[Current RMS No],MATCH(E346&amp;"",tbl_Production[Job Number],0)))="","",IF(INDEX(tbl_Production[Current RMS No],MATCH(E346&amp;"",tbl_Production[Job Number],0))="",INDEX(tbl_Production[Qwilr Quote],MATCH(E346&amp;"",tbl_Production[Job Number],0)),INDEX(tbl_Production[Current RMS No],MATCH(E346&amp;"",tbl_Production[Job Number],0)))),IFERROR(IF(INDEX(tbl_Consulting[Qwilr Quote],MATCH(E346&amp;"",tbl_Consulting[Job Number],0))="","",INDEX(tbl_Consulting[Qwilr Quote],MATCH(E346&amp;"",tbl_Consulting[Job Number],0))),""))))</f>
        <v/>
      </c>
      <c r="AD346" s="25">
        <f>IF(AC346="","",IF(AND(LEFT(AC346,4)&lt;&gt;"http",IF(H346="Production",set_RMSBase,set_QwilrBase)=""),"",HYPERLINK(IF(LEFT(AC346,4)="http",AC346,IF(H346="Production",set_RMSBase,set_QwilrBase)&amp;AC346),"Open")))</f>
        <v/>
      </c>
      <c r="AE346" s="27">
        <f>IF(E346="","",IFERROR(INDEX(tbl_Production[Total Expense],MATCH(E346&amp;"",tbl_Production[Job Number],0)),IFERROR(INDEX(tbl_Consulting[Total Expense],MATCH(E346&amp;"",tbl_Consulting[Job Number],0)),0)))</f>
        <v/>
      </c>
      <c r="AF346" s="27">
        <f>IF(E346="","",Z346-N(AE346))</f>
        <v/>
      </c>
      <c r="AG346" s="29">
        <f>IFERROR(AF346/Z346,"")</f>
        <v/>
      </c>
      <c r="AH346" s="25">
        <f>IF(E346="","",IFERROR(IF(INDEX(tbl_Onsite[Notes],MATCH(E346&amp;"",tbl_Onsite[Job Number],0))="","",INDEX(tbl_Onsite[Notes],MATCH(E346&amp;"",tbl_Onsite[Job Number],0))),IFERROR(IF(INDEX(tbl_Production[Notes],MATCH(E346&amp;"",tbl_Production[Job Number],0))="","",INDEX(tbl_Production[Notes],MATCH(E346&amp;"",tbl_Production[Job Number],0))),IFERROR(IF(INDEX(tbl_Consulting[Notes],MATCH(E346&amp;"",tbl_Consulting[Job Number],0))="","",INDEX(tbl_Consulting[Notes],MATCH(E346&amp;"",tbl_Consulting[Job Number],0))),""))))</f>
        <v/>
      </c>
    </row>
    <row r="347" ht="15" customHeight="1">
      <c r="A347" s="22" t="n"/>
      <c r="B347" s="23">
        <f>IF(A347="","",EOMONTH(A347,0))</f>
        <v/>
      </c>
      <c r="C347" s="24" t="n"/>
      <c r="D347" s="24" t="n"/>
      <c r="E347" s="24" t="n"/>
      <c r="F347" s="25">
        <f>IF(E347="","",IF(COUNTIF(lst_Jobs,E347&amp;"")&gt;0,"OK","CHECK"))</f>
        <v/>
      </c>
      <c r="G347" s="24" t="n"/>
      <c r="H347" s="24" t="n"/>
      <c r="I347" s="24" t="n"/>
      <c r="J347" s="24" t="n"/>
      <c r="K347" s="24" t="n"/>
      <c r="L347" s="26" t="n"/>
      <c r="M347" s="27">
        <f>IF(L347="","",IF(K347="GST 10%",ROUND(L347*set_GSTRate,2),0))</f>
        <v/>
      </c>
      <c r="N347" s="27">
        <f>IF(L347="","",L347+M347)</f>
        <v/>
      </c>
      <c r="O347" s="24" t="n"/>
      <c r="P347" s="24" t="n"/>
      <c r="Q347" s="24" t="n"/>
      <c r="R347" s="22" t="n"/>
      <c r="S347" s="22" t="n"/>
      <c r="T347" s="24" t="n"/>
      <c r="U347" s="24" t="n"/>
      <c r="V347" s="25">
        <f>IF(COUNTA(A347,D347,C347,L347)=0,"",IF(A347="","No date - sits outside every month",IF(E347="","No job number",IF(F347="CHECK","Job number is not in the Xero job list",IF(I347="","No cost centre",IF(AND(P347="Y",C347=""),"Marked posted to Xero but has no invoice number",IF(AND(L347&lt;&gt;"",K347=""),"No tax code",IF(AND(L347&lt;&gt;"",O347=""),"No revenue GL code",""))))))))</f>
        <v/>
      </c>
      <c r="W347" s="25">
        <f>IF(E347="","",IF(COUNTIF(tbl_Onsite[Job Number],E347&amp;"")&gt;0,"Onsite",IF(COUNTIF(tbl_Production[Job Number],E347&amp;"")&gt;0,"Production",IF(COUNTIF(tbl_Consulting[Job Number],E347&amp;"")&gt;0,"Consulting","not set up yet"))))</f>
        <v/>
      </c>
      <c r="X347" s="25">
        <f>IF(E347="","",IFERROR(INDEX(lst_JobName,MATCH(E347&amp;"",lst_Jobs,0)),""))</f>
        <v/>
      </c>
      <c r="Y347" s="28">
        <f>IF(E347="","",COUNTIFS(tbl_Finance[Job Number],E347&amp;"",tbl_Finance[Ex GST],"&lt;&gt;"))</f>
        <v/>
      </c>
      <c r="Z347" s="27">
        <f>IF(E347="","",SUMIFS(tbl_Finance[Ex GST],tbl_Finance[Job Number],E347&amp;""))</f>
        <v/>
      </c>
      <c r="AA347" s="27">
        <f>IF(E347="","",SUMIFS(tbl_Finance[Ex GST],tbl_Finance[Job Number],E347&amp;"",tbl_Finance[Xero Invoice No],"&lt;&gt;"))</f>
        <v/>
      </c>
      <c r="AB347" s="27">
        <f>IF(E347="","",Z347-AA347)</f>
        <v/>
      </c>
      <c r="AC347" s="25">
        <f>IF(E347="","",IFERROR(IF(INDEX(tbl_Onsite[Qwilr Quote],MATCH(E347&amp;"",tbl_Onsite[Job Number],0))="","",INDEX(tbl_Onsite[Qwilr Quote],MATCH(E347&amp;"",tbl_Onsite[Job Number],0))),IFERROR(IF(IF(INDEX(tbl_Production[Current RMS No],MATCH(E347&amp;"",tbl_Production[Job Number],0))="",INDEX(tbl_Production[Qwilr Quote],MATCH(E347&amp;"",tbl_Production[Job Number],0)),INDEX(tbl_Production[Current RMS No],MATCH(E347&amp;"",tbl_Production[Job Number],0)))="","",IF(INDEX(tbl_Production[Current RMS No],MATCH(E347&amp;"",tbl_Production[Job Number],0))="",INDEX(tbl_Production[Qwilr Quote],MATCH(E347&amp;"",tbl_Production[Job Number],0)),INDEX(tbl_Production[Current RMS No],MATCH(E347&amp;"",tbl_Production[Job Number],0)))),IFERROR(IF(INDEX(tbl_Consulting[Qwilr Quote],MATCH(E347&amp;"",tbl_Consulting[Job Number],0))="","",INDEX(tbl_Consulting[Qwilr Quote],MATCH(E347&amp;"",tbl_Consulting[Job Number],0))),""))))</f>
        <v/>
      </c>
      <c r="AD347" s="25">
        <f>IF(AC347="","",IF(AND(LEFT(AC347,4)&lt;&gt;"http",IF(H347="Production",set_RMSBase,set_QwilrBase)=""),"",HYPERLINK(IF(LEFT(AC347,4)="http",AC347,IF(H347="Production",set_RMSBase,set_QwilrBase)&amp;AC347),"Open")))</f>
        <v/>
      </c>
      <c r="AE347" s="27">
        <f>IF(E347="","",IFERROR(INDEX(tbl_Production[Total Expense],MATCH(E347&amp;"",tbl_Production[Job Number],0)),IFERROR(INDEX(tbl_Consulting[Total Expense],MATCH(E347&amp;"",tbl_Consulting[Job Number],0)),0)))</f>
        <v/>
      </c>
      <c r="AF347" s="27">
        <f>IF(E347="","",Z347-N(AE347))</f>
        <v/>
      </c>
      <c r="AG347" s="29">
        <f>IFERROR(AF347/Z347,"")</f>
        <v/>
      </c>
      <c r="AH347" s="25">
        <f>IF(E347="","",IFERROR(IF(INDEX(tbl_Onsite[Notes],MATCH(E347&amp;"",tbl_Onsite[Job Number],0))="","",INDEX(tbl_Onsite[Notes],MATCH(E347&amp;"",tbl_Onsite[Job Number],0))),IFERROR(IF(INDEX(tbl_Production[Notes],MATCH(E347&amp;"",tbl_Production[Job Number],0))="","",INDEX(tbl_Production[Notes],MATCH(E347&amp;"",tbl_Production[Job Number],0))),IFERROR(IF(INDEX(tbl_Consulting[Notes],MATCH(E347&amp;"",tbl_Consulting[Job Number],0))="","",INDEX(tbl_Consulting[Notes],MATCH(E347&amp;"",tbl_Consulting[Job Number],0))),""))))</f>
        <v/>
      </c>
    </row>
    <row r="348" ht="15" customHeight="1">
      <c r="A348" s="22" t="n"/>
      <c r="B348" s="23">
        <f>IF(A348="","",EOMONTH(A348,0))</f>
        <v/>
      </c>
      <c r="C348" s="24" t="n"/>
      <c r="D348" s="24" t="n"/>
      <c r="E348" s="24" t="n"/>
      <c r="F348" s="25">
        <f>IF(E348="","",IF(COUNTIF(lst_Jobs,E348&amp;"")&gt;0,"OK","CHECK"))</f>
        <v/>
      </c>
      <c r="G348" s="24" t="n"/>
      <c r="H348" s="24" t="n"/>
      <c r="I348" s="24" t="n"/>
      <c r="J348" s="24" t="n"/>
      <c r="K348" s="24" t="n"/>
      <c r="L348" s="26" t="n"/>
      <c r="M348" s="27">
        <f>IF(L348="","",IF(K348="GST 10%",ROUND(L348*set_GSTRate,2),0))</f>
        <v/>
      </c>
      <c r="N348" s="27">
        <f>IF(L348="","",L348+M348)</f>
        <v/>
      </c>
      <c r="O348" s="24" t="n"/>
      <c r="P348" s="24" t="n"/>
      <c r="Q348" s="24" t="n"/>
      <c r="R348" s="22" t="n"/>
      <c r="S348" s="22" t="n"/>
      <c r="T348" s="24" t="n"/>
      <c r="U348" s="24" t="n"/>
      <c r="V348" s="25">
        <f>IF(COUNTA(A348,D348,C348,L348)=0,"",IF(A348="","No date - sits outside every month",IF(E348="","No job number",IF(F348="CHECK","Job number is not in the Xero job list",IF(I348="","No cost centre",IF(AND(P348="Y",C348=""),"Marked posted to Xero but has no invoice number",IF(AND(L348&lt;&gt;"",K348=""),"No tax code",IF(AND(L348&lt;&gt;"",O348=""),"No revenue GL code",""))))))))</f>
        <v/>
      </c>
      <c r="W348" s="25">
        <f>IF(E348="","",IF(COUNTIF(tbl_Onsite[Job Number],E348&amp;"")&gt;0,"Onsite",IF(COUNTIF(tbl_Production[Job Number],E348&amp;"")&gt;0,"Production",IF(COUNTIF(tbl_Consulting[Job Number],E348&amp;"")&gt;0,"Consulting","not set up yet"))))</f>
        <v/>
      </c>
      <c r="X348" s="25">
        <f>IF(E348="","",IFERROR(INDEX(lst_JobName,MATCH(E348&amp;"",lst_Jobs,0)),""))</f>
        <v/>
      </c>
      <c r="Y348" s="28">
        <f>IF(E348="","",COUNTIFS(tbl_Finance[Job Number],E348&amp;"",tbl_Finance[Ex GST],"&lt;&gt;"))</f>
        <v/>
      </c>
      <c r="Z348" s="27">
        <f>IF(E348="","",SUMIFS(tbl_Finance[Ex GST],tbl_Finance[Job Number],E348&amp;""))</f>
        <v/>
      </c>
      <c r="AA348" s="27">
        <f>IF(E348="","",SUMIFS(tbl_Finance[Ex GST],tbl_Finance[Job Number],E348&amp;"",tbl_Finance[Xero Invoice No],"&lt;&gt;"))</f>
        <v/>
      </c>
      <c r="AB348" s="27">
        <f>IF(E348="","",Z348-AA348)</f>
        <v/>
      </c>
      <c r="AC348" s="25">
        <f>IF(E348="","",IFERROR(IF(INDEX(tbl_Onsite[Qwilr Quote],MATCH(E348&amp;"",tbl_Onsite[Job Number],0))="","",INDEX(tbl_Onsite[Qwilr Quote],MATCH(E348&amp;"",tbl_Onsite[Job Number],0))),IFERROR(IF(IF(INDEX(tbl_Production[Current RMS No],MATCH(E348&amp;"",tbl_Production[Job Number],0))="",INDEX(tbl_Production[Qwilr Quote],MATCH(E348&amp;"",tbl_Production[Job Number],0)),INDEX(tbl_Production[Current RMS No],MATCH(E348&amp;"",tbl_Production[Job Number],0)))="","",IF(INDEX(tbl_Production[Current RMS No],MATCH(E348&amp;"",tbl_Production[Job Number],0))="",INDEX(tbl_Production[Qwilr Quote],MATCH(E348&amp;"",tbl_Production[Job Number],0)),INDEX(tbl_Production[Current RMS No],MATCH(E348&amp;"",tbl_Production[Job Number],0)))),IFERROR(IF(INDEX(tbl_Consulting[Qwilr Quote],MATCH(E348&amp;"",tbl_Consulting[Job Number],0))="","",INDEX(tbl_Consulting[Qwilr Quote],MATCH(E348&amp;"",tbl_Consulting[Job Number],0))),""))))</f>
        <v/>
      </c>
      <c r="AD348" s="25">
        <f>IF(AC348="","",IF(AND(LEFT(AC348,4)&lt;&gt;"http",IF(H348="Production",set_RMSBase,set_QwilrBase)=""),"",HYPERLINK(IF(LEFT(AC348,4)="http",AC348,IF(H348="Production",set_RMSBase,set_QwilrBase)&amp;AC348),"Open")))</f>
        <v/>
      </c>
      <c r="AE348" s="27">
        <f>IF(E348="","",IFERROR(INDEX(tbl_Production[Total Expense],MATCH(E348&amp;"",tbl_Production[Job Number],0)),IFERROR(INDEX(tbl_Consulting[Total Expense],MATCH(E348&amp;"",tbl_Consulting[Job Number],0)),0)))</f>
        <v/>
      </c>
      <c r="AF348" s="27">
        <f>IF(E348="","",Z348-N(AE348))</f>
        <v/>
      </c>
      <c r="AG348" s="29">
        <f>IFERROR(AF348/Z348,"")</f>
        <v/>
      </c>
      <c r="AH348" s="25">
        <f>IF(E348="","",IFERROR(IF(INDEX(tbl_Onsite[Notes],MATCH(E348&amp;"",tbl_Onsite[Job Number],0))="","",INDEX(tbl_Onsite[Notes],MATCH(E348&amp;"",tbl_Onsite[Job Number],0))),IFERROR(IF(INDEX(tbl_Production[Notes],MATCH(E348&amp;"",tbl_Production[Job Number],0))="","",INDEX(tbl_Production[Notes],MATCH(E348&amp;"",tbl_Production[Job Number],0))),IFERROR(IF(INDEX(tbl_Consulting[Notes],MATCH(E348&amp;"",tbl_Consulting[Job Number],0))="","",INDEX(tbl_Consulting[Notes],MATCH(E348&amp;"",tbl_Consulting[Job Number],0))),""))))</f>
        <v/>
      </c>
    </row>
    <row r="349" ht="15" customHeight="1">
      <c r="A349" s="22" t="n"/>
      <c r="B349" s="23">
        <f>IF(A349="","",EOMONTH(A349,0))</f>
        <v/>
      </c>
      <c r="C349" s="24" t="n"/>
      <c r="D349" s="24" t="n"/>
      <c r="E349" s="24" t="n"/>
      <c r="F349" s="25">
        <f>IF(E349="","",IF(COUNTIF(lst_Jobs,E349&amp;"")&gt;0,"OK","CHECK"))</f>
        <v/>
      </c>
      <c r="G349" s="24" t="n"/>
      <c r="H349" s="24" t="n"/>
      <c r="I349" s="24" t="n"/>
      <c r="J349" s="24" t="n"/>
      <c r="K349" s="24" t="n"/>
      <c r="L349" s="26" t="n"/>
      <c r="M349" s="27">
        <f>IF(L349="","",IF(K349="GST 10%",ROUND(L349*set_GSTRate,2),0))</f>
        <v/>
      </c>
      <c r="N349" s="27">
        <f>IF(L349="","",L349+M349)</f>
        <v/>
      </c>
      <c r="O349" s="24" t="n"/>
      <c r="P349" s="24" t="n"/>
      <c r="Q349" s="24" t="n"/>
      <c r="R349" s="22" t="n"/>
      <c r="S349" s="22" t="n"/>
      <c r="T349" s="24" t="n"/>
      <c r="U349" s="24" t="n"/>
      <c r="V349" s="25">
        <f>IF(COUNTA(A349,D349,C349,L349)=0,"",IF(A349="","No date - sits outside every month",IF(E349="","No job number",IF(F349="CHECK","Job number is not in the Xero job list",IF(I349="","No cost centre",IF(AND(P349="Y",C349=""),"Marked posted to Xero but has no invoice number",IF(AND(L349&lt;&gt;"",K349=""),"No tax code",IF(AND(L349&lt;&gt;"",O349=""),"No revenue GL code",""))))))))</f>
        <v/>
      </c>
      <c r="W349" s="25">
        <f>IF(E349="","",IF(COUNTIF(tbl_Onsite[Job Number],E349&amp;"")&gt;0,"Onsite",IF(COUNTIF(tbl_Production[Job Number],E349&amp;"")&gt;0,"Production",IF(COUNTIF(tbl_Consulting[Job Number],E349&amp;"")&gt;0,"Consulting","not set up yet"))))</f>
        <v/>
      </c>
      <c r="X349" s="25">
        <f>IF(E349="","",IFERROR(INDEX(lst_JobName,MATCH(E349&amp;"",lst_Jobs,0)),""))</f>
        <v/>
      </c>
      <c r="Y349" s="28">
        <f>IF(E349="","",COUNTIFS(tbl_Finance[Job Number],E349&amp;"",tbl_Finance[Ex GST],"&lt;&gt;"))</f>
        <v/>
      </c>
      <c r="Z349" s="27">
        <f>IF(E349="","",SUMIFS(tbl_Finance[Ex GST],tbl_Finance[Job Number],E349&amp;""))</f>
        <v/>
      </c>
      <c r="AA349" s="27">
        <f>IF(E349="","",SUMIFS(tbl_Finance[Ex GST],tbl_Finance[Job Number],E349&amp;"",tbl_Finance[Xero Invoice No],"&lt;&gt;"))</f>
        <v/>
      </c>
      <c r="AB349" s="27">
        <f>IF(E349="","",Z349-AA349)</f>
        <v/>
      </c>
      <c r="AC349" s="25">
        <f>IF(E349="","",IFERROR(IF(INDEX(tbl_Onsite[Qwilr Quote],MATCH(E349&amp;"",tbl_Onsite[Job Number],0))="","",INDEX(tbl_Onsite[Qwilr Quote],MATCH(E349&amp;"",tbl_Onsite[Job Number],0))),IFERROR(IF(IF(INDEX(tbl_Production[Current RMS No],MATCH(E349&amp;"",tbl_Production[Job Number],0))="",INDEX(tbl_Production[Qwilr Quote],MATCH(E349&amp;"",tbl_Production[Job Number],0)),INDEX(tbl_Production[Current RMS No],MATCH(E349&amp;"",tbl_Production[Job Number],0)))="","",IF(INDEX(tbl_Production[Current RMS No],MATCH(E349&amp;"",tbl_Production[Job Number],0))="",INDEX(tbl_Production[Qwilr Quote],MATCH(E349&amp;"",tbl_Production[Job Number],0)),INDEX(tbl_Production[Current RMS No],MATCH(E349&amp;"",tbl_Production[Job Number],0)))),IFERROR(IF(INDEX(tbl_Consulting[Qwilr Quote],MATCH(E349&amp;"",tbl_Consulting[Job Number],0))="","",INDEX(tbl_Consulting[Qwilr Quote],MATCH(E349&amp;"",tbl_Consulting[Job Number],0))),""))))</f>
        <v/>
      </c>
      <c r="AD349" s="25">
        <f>IF(AC349="","",IF(AND(LEFT(AC349,4)&lt;&gt;"http",IF(H349="Production",set_RMSBase,set_QwilrBase)=""),"",HYPERLINK(IF(LEFT(AC349,4)="http",AC349,IF(H349="Production",set_RMSBase,set_QwilrBase)&amp;AC349),"Open")))</f>
        <v/>
      </c>
      <c r="AE349" s="27">
        <f>IF(E349="","",IFERROR(INDEX(tbl_Production[Total Expense],MATCH(E349&amp;"",tbl_Production[Job Number],0)),IFERROR(INDEX(tbl_Consulting[Total Expense],MATCH(E349&amp;"",tbl_Consulting[Job Number],0)),0)))</f>
        <v/>
      </c>
      <c r="AF349" s="27">
        <f>IF(E349="","",Z349-N(AE349))</f>
        <v/>
      </c>
      <c r="AG349" s="29">
        <f>IFERROR(AF349/Z349,"")</f>
        <v/>
      </c>
      <c r="AH349" s="25">
        <f>IF(E349="","",IFERROR(IF(INDEX(tbl_Onsite[Notes],MATCH(E349&amp;"",tbl_Onsite[Job Number],0))="","",INDEX(tbl_Onsite[Notes],MATCH(E349&amp;"",tbl_Onsite[Job Number],0))),IFERROR(IF(INDEX(tbl_Production[Notes],MATCH(E349&amp;"",tbl_Production[Job Number],0))="","",INDEX(tbl_Production[Notes],MATCH(E349&amp;"",tbl_Production[Job Number],0))),IFERROR(IF(INDEX(tbl_Consulting[Notes],MATCH(E349&amp;"",tbl_Consulting[Job Number],0))="","",INDEX(tbl_Consulting[Notes],MATCH(E349&amp;"",tbl_Consulting[Job Number],0))),""))))</f>
        <v/>
      </c>
    </row>
    <row r="350" ht="15" customHeight="1">
      <c r="A350" s="22" t="n"/>
      <c r="B350" s="23">
        <f>IF(A350="","",EOMONTH(A350,0))</f>
        <v/>
      </c>
      <c r="C350" s="24" t="n"/>
      <c r="D350" s="24" t="n"/>
      <c r="E350" s="24" t="n"/>
      <c r="F350" s="25">
        <f>IF(E350="","",IF(COUNTIF(lst_Jobs,E350&amp;"")&gt;0,"OK","CHECK"))</f>
        <v/>
      </c>
      <c r="G350" s="24" t="n"/>
      <c r="H350" s="24" t="n"/>
      <c r="I350" s="24" t="n"/>
      <c r="J350" s="24" t="n"/>
      <c r="K350" s="24" t="n"/>
      <c r="L350" s="26" t="n"/>
      <c r="M350" s="27">
        <f>IF(L350="","",IF(K350="GST 10%",ROUND(L350*set_GSTRate,2),0))</f>
        <v/>
      </c>
      <c r="N350" s="27">
        <f>IF(L350="","",L350+M350)</f>
        <v/>
      </c>
      <c r="O350" s="24" t="n"/>
      <c r="P350" s="24" t="n"/>
      <c r="Q350" s="24" t="n"/>
      <c r="R350" s="22" t="n"/>
      <c r="S350" s="22" t="n"/>
      <c r="T350" s="24" t="n"/>
      <c r="U350" s="24" t="n"/>
      <c r="V350" s="25">
        <f>IF(COUNTA(A350,D350,C350,L350)=0,"",IF(A350="","No date - sits outside every month",IF(E350="","No job number",IF(F350="CHECK","Job number is not in the Xero job list",IF(I350="","No cost centre",IF(AND(P350="Y",C350=""),"Marked posted to Xero but has no invoice number",IF(AND(L350&lt;&gt;"",K350=""),"No tax code",IF(AND(L350&lt;&gt;"",O350=""),"No revenue GL code",""))))))))</f>
        <v/>
      </c>
      <c r="W350" s="25">
        <f>IF(E350="","",IF(COUNTIF(tbl_Onsite[Job Number],E350&amp;"")&gt;0,"Onsite",IF(COUNTIF(tbl_Production[Job Number],E350&amp;"")&gt;0,"Production",IF(COUNTIF(tbl_Consulting[Job Number],E350&amp;"")&gt;0,"Consulting","not set up yet"))))</f>
        <v/>
      </c>
      <c r="X350" s="25">
        <f>IF(E350="","",IFERROR(INDEX(lst_JobName,MATCH(E350&amp;"",lst_Jobs,0)),""))</f>
        <v/>
      </c>
      <c r="Y350" s="28">
        <f>IF(E350="","",COUNTIFS(tbl_Finance[Job Number],E350&amp;"",tbl_Finance[Ex GST],"&lt;&gt;"))</f>
        <v/>
      </c>
      <c r="Z350" s="27">
        <f>IF(E350="","",SUMIFS(tbl_Finance[Ex GST],tbl_Finance[Job Number],E350&amp;""))</f>
        <v/>
      </c>
      <c r="AA350" s="27">
        <f>IF(E350="","",SUMIFS(tbl_Finance[Ex GST],tbl_Finance[Job Number],E350&amp;"",tbl_Finance[Xero Invoice No],"&lt;&gt;"))</f>
        <v/>
      </c>
      <c r="AB350" s="27">
        <f>IF(E350="","",Z350-AA350)</f>
        <v/>
      </c>
      <c r="AC350" s="25">
        <f>IF(E350="","",IFERROR(IF(INDEX(tbl_Onsite[Qwilr Quote],MATCH(E350&amp;"",tbl_Onsite[Job Number],0))="","",INDEX(tbl_Onsite[Qwilr Quote],MATCH(E350&amp;"",tbl_Onsite[Job Number],0))),IFERROR(IF(IF(INDEX(tbl_Production[Current RMS No],MATCH(E350&amp;"",tbl_Production[Job Number],0))="",INDEX(tbl_Production[Qwilr Quote],MATCH(E350&amp;"",tbl_Production[Job Number],0)),INDEX(tbl_Production[Current RMS No],MATCH(E350&amp;"",tbl_Production[Job Number],0)))="","",IF(INDEX(tbl_Production[Current RMS No],MATCH(E350&amp;"",tbl_Production[Job Number],0))="",INDEX(tbl_Production[Qwilr Quote],MATCH(E350&amp;"",tbl_Production[Job Number],0)),INDEX(tbl_Production[Current RMS No],MATCH(E350&amp;"",tbl_Production[Job Number],0)))),IFERROR(IF(INDEX(tbl_Consulting[Qwilr Quote],MATCH(E350&amp;"",tbl_Consulting[Job Number],0))="","",INDEX(tbl_Consulting[Qwilr Quote],MATCH(E350&amp;"",tbl_Consulting[Job Number],0))),""))))</f>
        <v/>
      </c>
      <c r="AD350" s="25">
        <f>IF(AC350="","",IF(AND(LEFT(AC350,4)&lt;&gt;"http",IF(H350="Production",set_RMSBase,set_QwilrBase)=""),"",HYPERLINK(IF(LEFT(AC350,4)="http",AC350,IF(H350="Production",set_RMSBase,set_QwilrBase)&amp;AC350),"Open")))</f>
        <v/>
      </c>
      <c r="AE350" s="27">
        <f>IF(E350="","",IFERROR(INDEX(tbl_Production[Total Expense],MATCH(E350&amp;"",tbl_Production[Job Number],0)),IFERROR(INDEX(tbl_Consulting[Total Expense],MATCH(E350&amp;"",tbl_Consulting[Job Number],0)),0)))</f>
        <v/>
      </c>
      <c r="AF350" s="27">
        <f>IF(E350="","",Z350-N(AE350))</f>
        <v/>
      </c>
      <c r="AG350" s="29">
        <f>IFERROR(AF350/Z350,"")</f>
        <v/>
      </c>
      <c r="AH350" s="25">
        <f>IF(E350="","",IFERROR(IF(INDEX(tbl_Onsite[Notes],MATCH(E350&amp;"",tbl_Onsite[Job Number],0))="","",INDEX(tbl_Onsite[Notes],MATCH(E350&amp;"",tbl_Onsite[Job Number],0))),IFERROR(IF(INDEX(tbl_Production[Notes],MATCH(E350&amp;"",tbl_Production[Job Number],0))="","",INDEX(tbl_Production[Notes],MATCH(E350&amp;"",tbl_Production[Job Number],0))),IFERROR(IF(INDEX(tbl_Consulting[Notes],MATCH(E350&amp;"",tbl_Consulting[Job Number],0))="","",INDEX(tbl_Consulting[Notes],MATCH(E350&amp;"",tbl_Consulting[Job Number],0))),""))))</f>
        <v/>
      </c>
    </row>
    <row r="351" ht="15" customHeight="1">
      <c r="A351" s="22" t="n"/>
      <c r="B351" s="23">
        <f>IF(A351="","",EOMONTH(A351,0))</f>
        <v/>
      </c>
      <c r="C351" s="24" t="n"/>
      <c r="D351" s="24" t="n"/>
      <c r="E351" s="24" t="n"/>
      <c r="F351" s="25">
        <f>IF(E351="","",IF(COUNTIF(lst_Jobs,E351&amp;"")&gt;0,"OK","CHECK"))</f>
        <v/>
      </c>
      <c r="G351" s="24" t="n"/>
      <c r="H351" s="24" t="n"/>
      <c r="I351" s="24" t="n"/>
      <c r="J351" s="24" t="n"/>
      <c r="K351" s="24" t="n"/>
      <c r="L351" s="26" t="n"/>
      <c r="M351" s="27">
        <f>IF(L351="","",IF(K351="GST 10%",ROUND(L351*set_GSTRate,2),0))</f>
        <v/>
      </c>
      <c r="N351" s="27">
        <f>IF(L351="","",L351+M351)</f>
        <v/>
      </c>
      <c r="O351" s="24" t="n"/>
      <c r="P351" s="24" t="n"/>
      <c r="Q351" s="24" t="n"/>
      <c r="R351" s="22" t="n"/>
      <c r="S351" s="22" t="n"/>
      <c r="T351" s="24" t="n"/>
      <c r="U351" s="24" t="n"/>
      <c r="V351" s="25">
        <f>IF(COUNTA(A351,D351,C351,L351)=0,"",IF(A351="","No date - sits outside every month",IF(E351="","No job number",IF(F351="CHECK","Job number is not in the Xero job list",IF(I351="","No cost centre",IF(AND(P351="Y",C351=""),"Marked posted to Xero but has no invoice number",IF(AND(L351&lt;&gt;"",K351=""),"No tax code",IF(AND(L351&lt;&gt;"",O351=""),"No revenue GL code",""))))))))</f>
        <v/>
      </c>
      <c r="W351" s="25">
        <f>IF(E351="","",IF(COUNTIF(tbl_Onsite[Job Number],E351&amp;"")&gt;0,"Onsite",IF(COUNTIF(tbl_Production[Job Number],E351&amp;"")&gt;0,"Production",IF(COUNTIF(tbl_Consulting[Job Number],E351&amp;"")&gt;0,"Consulting","not set up yet"))))</f>
        <v/>
      </c>
      <c r="X351" s="25">
        <f>IF(E351="","",IFERROR(INDEX(lst_JobName,MATCH(E351&amp;"",lst_Jobs,0)),""))</f>
        <v/>
      </c>
      <c r="Y351" s="28">
        <f>IF(E351="","",COUNTIFS(tbl_Finance[Job Number],E351&amp;"",tbl_Finance[Ex GST],"&lt;&gt;"))</f>
        <v/>
      </c>
      <c r="Z351" s="27">
        <f>IF(E351="","",SUMIFS(tbl_Finance[Ex GST],tbl_Finance[Job Number],E351&amp;""))</f>
        <v/>
      </c>
      <c r="AA351" s="27">
        <f>IF(E351="","",SUMIFS(tbl_Finance[Ex GST],tbl_Finance[Job Number],E351&amp;"",tbl_Finance[Xero Invoice No],"&lt;&gt;"))</f>
        <v/>
      </c>
      <c r="AB351" s="27">
        <f>IF(E351="","",Z351-AA351)</f>
        <v/>
      </c>
      <c r="AC351" s="25">
        <f>IF(E351="","",IFERROR(IF(INDEX(tbl_Onsite[Qwilr Quote],MATCH(E351&amp;"",tbl_Onsite[Job Number],0))="","",INDEX(tbl_Onsite[Qwilr Quote],MATCH(E351&amp;"",tbl_Onsite[Job Number],0))),IFERROR(IF(IF(INDEX(tbl_Production[Current RMS No],MATCH(E351&amp;"",tbl_Production[Job Number],0))="",INDEX(tbl_Production[Qwilr Quote],MATCH(E351&amp;"",tbl_Production[Job Number],0)),INDEX(tbl_Production[Current RMS No],MATCH(E351&amp;"",tbl_Production[Job Number],0)))="","",IF(INDEX(tbl_Production[Current RMS No],MATCH(E351&amp;"",tbl_Production[Job Number],0))="",INDEX(tbl_Production[Qwilr Quote],MATCH(E351&amp;"",tbl_Production[Job Number],0)),INDEX(tbl_Production[Current RMS No],MATCH(E351&amp;"",tbl_Production[Job Number],0)))),IFERROR(IF(INDEX(tbl_Consulting[Qwilr Quote],MATCH(E351&amp;"",tbl_Consulting[Job Number],0))="","",INDEX(tbl_Consulting[Qwilr Quote],MATCH(E351&amp;"",tbl_Consulting[Job Number],0))),""))))</f>
        <v/>
      </c>
      <c r="AD351" s="25">
        <f>IF(AC351="","",IF(AND(LEFT(AC351,4)&lt;&gt;"http",IF(H351="Production",set_RMSBase,set_QwilrBase)=""),"",HYPERLINK(IF(LEFT(AC351,4)="http",AC351,IF(H351="Production",set_RMSBase,set_QwilrBase)&amp;AC351),"Open")))</f>
        <v/>
      </c>
      <c r="AE351" s="27">
        <f>IF(E351="","",IFERROR(INDEX(tbl_Production[Total Expense],MATCH(E351&amp;"",tbl_Production[Job Number],0)),IFERROR(INDEX(tbl_Consulting[Total Expense],MATCH(E351&amp;"",tbl_Consulting[Job Number],0)),0)))</f>
        <v/>
      </c>
      <c r="AF351" s="27">
        <f>IF(E351="","",Z351-N(AE351))</f>
        <v/>
      </c>
      <c r="AG351" s="29">
        <f>IFERROR(AF351/Z351,"")</f>
        <v/>
      </c>
      <c r="AH351" s="25">
        <f>IF(E351="","",IFERROR(IF(INDEX(tbl_Onsite[Notes],MATCH(E351&amp;"",tbl_Onsite[Job Number],0))="","",INDEX(tbl_Onsite[Notes],MATCH(E351&amp;"",tbl_Onsite[Job Number],0))),IFERROR(IF(INDEX(tbl_Production[Notes],MATCH(E351&amp;"",tbl_Production[Job Number],0))="","",INDEX(tbl_Production[Notes],MATCH(E351&amp;"",tbl_Production[Job Number],0))),IFERROR(IF(INDEX(tbl_Consulting[Notes],MATCH(E351&amp;"",tbl_Consulting[Job Number],0))="","",INDEX(tbl_Consulting[Notes],MATCH(E351&amp;"",tbl_Consulting[Job Number],0))),""))))</f>
        <v/>
      </c>
    </row>
    <row r="352" ht="15" customHeight="1">
      <c r="A352" s="22" t="n"/>
      <c r="B352" s="23">
        <f>IF(A352="","",EOMONTH(A352,0))</f>
        <v/>
      </c>
      <c r="C352" s="24" t="n"/>
      <c r="D352" s="24" t="n"/>
      <c r="E352" s="24" t="n"/>
      <c r="F352" s="25">
        <f>IF(E352="","",IF(COUNTIF(lst_Jobs,E352&amp;"")&gt;0,"OK","CHECK"))</f>
        <v/>
      </c>
      <c r="G352" s="24" t="n"/>
      <c r="H352" s="24" t="n"/>
      <c r="I352" s="24" t="n"/>
      <c r="J352" s="24" t="n"/>
      <c r="K352" s="24" t="n"/>
      <c r="L352" s="26" t="n"/>
      <c r="M352" s="27">
        <f>IF(L352="","",IF(K352="GST 10%",ROUND(L352*set_GSTRate,2),0))</f>
        <v/>
      </c>
      <c r="N352" s="27">
        <f>IF(L352="","",L352+M352)</f>
        <v/>
      </c>
      <c r="O352" s="24" t="n"/>
      <c r="P352" s="24" t="n"/>
      <c r="Q352" s="24" t="n"/>
      <c r="R352" s="22" t="n"/>
      <c r="S352" s="22" t="n"/>
      <c r="T352" s="24" t="n"/>
      <c r="U352" s="24" t="n"/>
      <c r="V352" s="25">
        <f>IF(COUNTA(A352,D352,C352,L352)=0,"",IF(A352="","No date - sits outside every month",IF(E352="","No job number",IF(F352="CHECK","Job number is not in the Xero job list",IF(I352="","No cost centre",IF(AND(P352="Y",C352=""),"Marked posted to Xero but has no invoice number",IF(AND(L352&lt;&gt;"",K352=""),"No tax code",IF(AND(L352&lt;&gt;"",O352=""),"No revenue GL code",""))))))))</f>
        <v/>
      </c>
      <c r="W352" s="25">
        <f>IF(E352="","",IF(COUNTIF(tbl_Onsite[Job Number],E352&amp;"")&gt;0,"Onsite",IF(COUNTIF(tbl_Production[Job Number],E352&amp;"")&gt;0,"Production",IF(COUNTIF(tbl_Consulting[Job Number],E352&amp;"")&gt;0,"Consulting","not set up yet"))))</f>
        <v/>
      </c>
      <c r="X352" s="25">
        <f>IF(E352="","",IFERROR(INDEX(lst_JobName,MATCH(E352&amp;"",lst_Jobs,0)),""))</f>
        <v/>
      </c>
      <c r="Y352" s="28">
        <f>IF(E352="","",COUNTIFS(tbl_Finance[Job Number],E352&amp;"",tbl_Finance[Ex GST],"&lt;&gt;"))</f>
        <v/>
      </c>
      <c r="Z352" s="27">
        <f>IF(E352="","",SUMIFS(tbl_Finance[Ex GST],tbl_Finance[Job Number],E352&amp;""))</f>
        <v/>
      </c>
      <c r="AA352" s="27">
        <f>IF(E352="","",SUMIFS(tbl_Finance[Ex GST],tbl_Finance[Job Number],E352&amp;"",tbl_Finance[Xero Invoice No],"&lt;&gt;"))</f>
        <v/>
      </c>
      <c r="AB352" s="27">
        <f>IF(E352="","",Z352-AA352)</f>
        <v/>
      </c>
      <c r="AC352" s="25">
        <f>IF(E352="","",IFERROR(IF(INDEX(tbl_Onsite[Qwilr Quote],MATCH(E352&amp;"",tbl_Onsite[Job Number],0))="","",INDEX(tbl_Onsite[Qwilr Quote],MATCH(E352&amp;"",tbl_Onsite[Job Number],0))),IFERROR(IF(IF(INDEX(tbl_Production[Current RMS No],MATCH(E352&amp;"",tbl_Production[Job Number],0))="",INDEX(tbl_Production[Qwilr Quote],MATCH(E352&amp;"",tbl_Production[Job Number],0)),INDEX(tbl_Production[Current RMS No],MATCH(E352&amp;"",tbl_Production[Job Number],0)))="","",IF(INDEX(tbl_Production[Current RMS No],MATCH(E352&amp;"",tbl_Production[Job Number],0))="",INDEX(tbl_Production[Qwilr Quote],MATCH(E352&amp;"",tbl_Production[Job Number],0)),INDEX(tbl_Production[Current RMS No],MATCH(E352&amp;"",tbl_Production[Job Number],0)))),IFERROR(IF(INDEX(tbl_Consulting[Qwilr Quote],MATCH(E352&amp;"",tbl_Consulting[Job Number],0))="","",INDEX(tbl_Consulting[Qwilr Quote],MATCH(E352&amp;"",tbl_Consulting[Job Number],0))),""))))</f>
        <v/>
      </c>
      <c r="AD352" s="25">
        <f>IF(AC352="","",IF(AND(LEFT(AC352,4)&lt;&gt;"http",IF(H352="Production",set_RMSBase,set_QwilrBase)=""),"",HYPERLINK(IF(LEFT(AC352,4)="http",AC352,IF(H352="Production",set_RMSBase,set_QwilrBase)&amp;AC352),"Open")))</f>
        <v/>
      </c>
      <c r="AE352" s="27">
        <f>IF(E352="","",IFERROR(INDEX(tbl_Production[Total Expense],MATCH(E352&amp;"",tbl_Production[Job Number],0)),IFERROR(INDEX(tbl_Consulting[Total Expense],MATCH(E352&amp;"",tbl_Consulting[Job Number],0)),0)))</f>
        <v/>
      </c>
      <c r="AF352" s="27">
        <f>IF(E352="","",Z352-N(AE352))</f>
        <v/>
      </c>
      <c r="AG352" s="29">
        <f>IFERROR(AF352/Z352,"")</f>
        <v/>
      </c>
      <c r="AH352" s="25">
        <f>IF(E352="","",IFERROR(IF(INDEX(tbl_Onsite[Notes],MATCH(E352&amp;"",tbl_Onsite[Job Number],0))="","",INDEX(tbl_Onsite[Notes],MATCH(E352&amp;"",tbl_Onsite[Job Number],0))),IFERROR(IF(INDEX(tbl_Production[Notes],MATCH(E352&amp;"",tbl_Production[Job Number],0))="","",INDEX(tbl_Production[Notes],MATCH(E352&amp;"",tbl_Production[Job Number],0))),IFERROR(IF(INDEX(tbl_Consulting[Notes],MATCH(E352&amp;"",tbl_Consulting[Job Number],0))="","",INDEX(tbl_Consulting[Notes],MATCH(E352&amp;"",tbl_Consulting[Job Number],0))),""))))</f>
        <v/>
      </c>
    </row>
    <row r="353" ht="15" customHeight="1">
      <c r="A353" s="22" t="n"/>
      <c r="B353" s="23">
        <f>IF(A353="","",EOMONTH(A353,0))</f>
        <v/>
      </c>
      <c r="C353" s="24" t="n"/>
      <c r="D353" s="24" t="n"/>
      <c r="E353" s="24" t="n"/>
      <c r="F353" s="25">
        <f>IF(E353="","",IF(COUNTIF(lst_Jobs,E353&amp;"")&gt;0,"OK","CHECK"))</f>
        <v/>
      </c>
      <c r="G353" s="24" t="n"/>
      <c r="H353" s="24" t="n"/>
      <c r="I353" s="24" t="n"/>
      <c r="J353" s="24" t="n"/>
      <c r="K353" s="24" t="n"/>
      <c r="L353" s="26" t="n"/>
      <c r="M353" s="27">
        <f>IF(L353="","",IF(K353="GST 10%",ROUND(L353*set_GSTRate,2),0))</f>
        <v/>
      </c>
      <c r="N353" s="27">
        <f>IF(L353="","",L353+M353)</f>
        <v/>
      </c>
      <c r="O353" s="24" t="n"/>
      <c r="P353" s="24" t="n"/>
      <c r="Q353" s="24" t="n"/>
      <c r="R353" s="22" t="n"/>
      <c r="S353" s="22" t="n"/>
      <c r="T353" s="24" t="n"/>
      <c r="U353" s="24" t="n"/>
      <c r="V353" s="25">
        <f>IF(COUNTA(A353,D353,C353,L353)=0,"",IF(A353="","No date - sits outside every month",IF(E353="","No job number",IF(F353="CHECK","Job number is not in the Xero job list",IF(I353="","No cost centre",IF(AND(P353="Y",C353=""),"Marked posted to Xero but has no invoice number",IF(AND(L353&lt;&gt;"",K353=""),"No tax code",IF(AND(L353&lt;&gt;"",O353=""),"No revenue GL code",""))))))))</f>
        <v/>
      </c>
      <c r="W353" s="25">
        <f>IF(E353="","",IF(COUNTIF(tbl_Onsite[Job Number],E353&amp;"")&gt;0,"Onsite",IF(COUNTIF(tbl_Production[Job Number],E353&amp;"")&gt;0,"Production",IF(COUNTIF(tbl_Consulting[Job Number],E353&amp;"")&gt;0,"Consulting","not set up yet"))))</f>
        <v/>
      </c>
      <c r="X353" s="25">
        <f>IF(E353="","",IFERROR(INDEX(lst_JobName,MATCH(E353&amp;"",lst_Jobs,0)),""))</f>
        <v/>
      </c>
      <c r="Y353" s="28">
        <f>IF(E353="","",COUNTIFS(tbl_Finance[Job Number],E353&amp;"",tbl_Finance[Ex GST],"&lt;&gt;"))</f>
        <v/>
      </c>
      <c r="Z353" s="27">
        <f>IF(E353="","",SUMIFS(tbl_Finance[Ex GST],tbl_Finance[Job Number],E353&amp;""))</f>
        <v/>
      </c>
      <c r="AA353" s="27">
        <f>IF(E353="","",SUMIFS(tbl_Finance[Ex GST],tbl_Finance[Job Number],E353&amp;"",tbl_Finance[Xero Invoice No],"&lt;&gt;"))</f>
        <v/>
      </c>
      <c r="AB353" s="27">
        <f>IF(E353="","",Z353-AA353)</f>
        <v/>
      </c>
      <c r="AC353" s="25">
        <f>IF(E353="","",IFERROR(IF(INDEX(tbl_Onsite[Qwilr Quote],MATCH(E353&amp;"",tbl_Onsite[Job Number],0))="","",INDEX(tbl_Onsite[Qwilr Quote],MATCH(E353&amp;"",tbl_Onsite[Job Number],0))),IFERROR(IF(IF(INDEX(tbl_Production[Current RMS No],MATCH(E353&amp;"",tbl_Production[Job Number],0))="",INDEX(tbl_Production[Qwilr Quote],MATCH(E353&amp;"",tbl_Production[Job Number],0)),INDEX(tbl_Production[Current RMS No],MATCH(E353&amp;"",tbl_Production[Job Number],0)))="","",IF(INDEX(tbl_Production[Current RMS No],MATCH(E353&amp;"",tbl_Production[Job Number],0))="",INDEX(tbl_Production[Qwilr Quote],MATCH(E353&amp;"",tbl_Production[Job Number],0)),INDEX(tbl_Production[Current RMS No],MATCH(E353&amp;"",tbl_Production[Job Number],0)))),IFERROR(IF(INDEX(tbl_Consulting[Qwilr Quote],MATCH(E353&amp;"",tbl_Consulting[Job Number],0))="","",INDEX(tbl_Consulting[Qwilr Quote],MATCH(E353&amp;"",tbl_Consulting[Job Number],0))),""))))</f>
        <v/>
      </c>
      <c r="AD353" s="25">
        <f>IF(AC353="","",IF(AND(LEFT(AC353,4)&lt;&gt;"http",IF(H353="Production",set_RMSBase,set_QwilrBase)=""),"",HYPERLINK(IF(LEFT(AC353,4)="http",AC353,IF(H353="Production",set_RMSBase,set_QwilrBase)&amp;AC353),"Open")))</f>
        <v/>
      </c>
      <c r="AE353" s="27">
        <f>IF(E353="","",IFERROR(INDEX(tbl_Production[Total Expense],MATCH(E353&amp;"",tbl_Production[Job Number],0)),IFERROR(INDEX(tbl_Consulting[Total Expense],MATCH(E353&amp;"",tbl_Consulting[Job Number],0)),0)))</f>
        <v/>
      </c>
      <c r="AF353" s="27">
        <f>IF(E353="","",Z353-N(AE353))</f>
        <v/>
      </c>
      <c r="AG353" s="29">
        <f>IFERROR(AF353/Z353,"")</f>
        <v/>
      </c>
      <c r="AH353" s="25">
        <f>IF(E353="","",IFERROR(IF(INDEX(tbl_Onsite[Notes],MATCH(E353&amp;"",tbl_Onsite[Job Number],0))="","",INDEX(tbl_Onsite[Notes],MATCH(E353&amp;"",tbl_Onsite[Job Number],0))),IFERROR(IF(INDEX(tbl_Production[Notes],MATCH(E353&amp;"",tbl_Production[Job Number],0))="","",INDEX(tbl_Production[Notes],MATCH(E353&amp;"",tbl_Production[Job Number],0))),IFERROR(IF(INDEX(tbl_Consulting[Notes],MATCH(E353&amp;"",tbl_Consulting[Job Number],0))="","",INDEX(tbl_Consulting[Notes],MATCH(E353&amp;"",tbl_Consulting[Job Number],0))),""))))</f>
        <v/>
      </c>
    </row>
    <row r="354" ht="15" customHeight="1">
      <c r="A354" s="22" t="n"/>
      <c r="B354" s="23">
        <f>IF(A354="","",EOMONTH(A354,0))</f>
        <v/>
      </c>
      <c r="C354" s="24" t="n"/>
      <c r="D354" s="24" t="n"/>
      <c r="E354" s="24" t="n"/>
      <c r="F354" s="25">
        <f>IF(E354="","",IF(COUNTIF(lst_Jobs,E354&amp;"")&gt;0,"OK","CHECK"))</f>
        <v/>
      </c>
      <c r="G354" s="24" t="n"/>
      <c r="H354" s="24" t="n"/>
      <c r="I354" s="24" t="n"/>
      <c r="J354" s="24" t="n"/>
      <c r="K354" s="24" t="n"/>
      <c r="L354" s="26" t="n"/>
      <c r="M354" s="27">
        <f>IF(L354="","",IF(K354="GST 10%",ROUND(L354*set_GSTRate,2),0))</f>
        <v/>
      </c>
      <c r="N354" s="27">
        <f>IF(L354="","",L354+M354)</f>
        <v/>
      </c>
      <c r="O354" s="24" t="n"/>
      <c r="P354" s="24" t="n"/>
      <c r="Q354" s="24" t="n"/>
      <c r="R354" s="22" t="n"/>
      <c r="S354" s="22" t="n"/>
      <c r="T354" s="24" t="n"/>
      <c r="U354" s="24" t="n"/>
      <c r="V354" s="25">
        <f>IF(COUNTA(A354,D354,C354,L354)=0,"",IF(A354="","No date - sits outside every month",IF(E354="","No job number",IF(F354="CHECK","Job number is not in the Xero job list",IF(I354="","No cost centre",IF(AND(P354="Y",C354=""),"Marked posted to Xero but has no invoice number",IF(AND(L354&lt;&gt;"",K354=""),"No tax code",IF(AND(L354&lt;&gt;"",O354=""),"No revenue GL code",""))))))))</f>
        <v/>
      </c>
      <c r="W354" s="25">
        <f>IF(E354="","",IF(COUNTIF(tbl_Onsite[Job Number],E354&amp;"")&gt;0,"Onsite",IF(COUNTIF(tbl_Production[Job Number],E354&amp;"")&gt;0,"Production",IF(COUNTIF(tbl_Consulting[Job Number],E354&amp;"")&gt;0,"Consulting","not set up yet"))))</f>
        <v/>
      </c>
      <c r="X354" s="25">
        <f>IF(E354="","",IFERROR(INDEX(lst_JobName,MATCH(E354&amp;"",lst_Jobs,0)),""))</f>
        <v/>
      </c>
      <c r="Y354" s="28">
        <f>IF(E354="","",COUNTIFS(tbl_Finance[Job Number],E354&amp;"",tbl_Finance[Ex GST],"&lt;&gt;"))</f>
        <v/>
      </c>
      <c r="Z354" s="27">
        <f>IF(E354="","",SUMIFS(tbl_Finance[Ex GST],tbl_Finance[Job Number],E354&amp;""))</f>
        <v/>
      </c>
      <c r="AA354" s="27">
        <f>IF(E354="","",SUMIFS(tbl_Finance[Ex GST],tbl_Finance[Job Number],E354&amp;"",tbl_Finance[Xero Invoice No],"&lt;&gt;"))</f>
        <v/>
      </c>
      <c r="AB354" s="27">
        <f>IF(E354="","",Z354-AA354)</f>
        <v/>
      </c>
      <c r="AC354" s="25">
        <f>IF(E354="","",IFERROR(IF(INDEX(tbl_Onsite[Qwilr Quote],MATCH(E354&amp;"",tbl_Onsite[Job Number],0))="","",INDEX(tbl_Onsite[Qwilr Quote],MATCH(E354&amp;"",tbl_Onsite[Job Number],0))),IFERROR(IF(IF(INDEX(tbl_Production[Current RMS No],MATCH(E354&amp;"",tbl_Production[Job Number],0))="",INDEX(tbl_Production[Qwilr Quote],MATCH(E354&amp;"",tbl_Production[Job Number],0)),INDEX(tbl_Production[Current RMS No],MATCH(E354&amp;"",tbl_Production[Job Number],0)))="","",IF(INDEX(tbl_Production[Current RMS No],MATCH(E354&amp;"",tbl_Production[Job Number],0))="",INDEX(tbl_Production[Qwilr Quote],MATCH(E354&amp;"",tbl_Production[Job Number],0)),INDEX(tbl_Production[Current RMS No],MATCH(E354&amp;"",tbl_Production[Job Number],0)))),IFERROR(IF(INDEX(tbl_Consulting[Qwilr Quote],MATCH(E354&amp;"",tbl_Consulting[Job Number],0))="","",INDEX(tbl_Consulting[Qwilr Quote],MATCH(E354&amp;"",tbl_Consulting[Job Number],0))),""))))</f>
        <v/>
      </c>
      <c r="AD354" s="25">
        <f>IF(AC354="","",IF(AND(LEFT(AC354,4)&lt;&gt;"http",IF(H354="Production",set_RMSBase,set_QwilrBase)=""),"",HYPERLINK(IF(LEFT(AC354,4)="http",AC354,IF(H354="Production",set_RMSBase,set_QwilrBase)&amp;AC354),"Open")))</f>
        <v/>
      </c>
      <c r="AE354" s="27">
        <f>IF(E354="","",IFERROR(INDEX(tbl_Production[Total Expense],MATCH(E354&amp;"",tbl_Production[Job Number],0)),IFERROR(INDEX(tbl_Consulting[Total Expense],MATCH(E354&amp;"",tbl_Consulting[Job Number],0)),0)))</f>
        <v/>
      </c>
      <c r="AF354" s="27">
        <f>IF(E354="","",Z354-N(AE354))</f>
        <v/>
      </c>
      <c r="AG354" s="29">
        <f>IFERROR(AF354/Z354,"")</f>
        <v/>
      </c>
      <c r="AH354" s="25">
        <f>IF(E354="","",IFERROR(IF(INDEX(tbl_Onsite[Notes],MATCH(E354&amp;"",tbl_Onsite[Job Number],0))="","",INDEX(tbl_Onsite[Notes],MATCH(E354&amp;"",tbl_Onsite[Job Number],0))),IFERROR(IF(INDEX(tbl_Production[Notes],MATCH(E354&amp;"",tbl_Production[Job Number],0))="","",INDEX(tbl_Production[Notes],MATCH(E354&amp;"",tbl_Production[Job Number],0))),IFERROR(IF(INDEX(tbl_Consulting[Notes],MATCH(E354&amp;"",tbl_Consulting[Job Number],0))="","",INDEX(tbl_Consulting[Notes],MATCH(E354&amp;"",tbl_Consulting[Job Number],0))),""))))</f>
        <v/>
      </c>
    </row>
    <row r="355" ht="15" customHeight="1">
      <c r="A355" s="22" t="n"/>
      <c r="B355" s="23">
        <f>IF(A355="","",EOMONTH(A355,0))</f>
        <v/>
      </c>
      <c r="C355" s="24" t="n"/>
      <c r="D355" s="24" t="n"/>
      <c r="E355" s="24" t="n"/>
      <c r="F355" s="25">
        <f>IF(E355="","",IF(COUNTIF(lst_Jobs,E355&amp;"")&gt;0,"OK","CHECK"))</f>
        <v/>
      </c>
      <c r="G355" s="24" t="n"/>
      <c r="H355" s="24" t="n"/>
      <c r="I355" s="24" t="n"/>
      <c r="J355" s="24" t="n"/>
      <c r="K355" s="24" t="n"/>
      <c r="L355" s="26" t="n"/>
      <c r="M355" s="27">
        <f>IF(L355="","",IF(K355="GST 10%",ROUND(L355*set_GSTRate,2),0))</f>
        <v/>
      </c>
      <c r="N355" s="27">
        <f>IF(L355="","",L355+M355)</f>
        <v/>
      </c>
      <c r="O355" s="24" t="n"/>
      <c r="P355" s="24" t="n"/>
      <c r="Q355" s="24" t="n"/>
      <c r="R355" s="22" t="n"/>
      <c r="S355" s="22" t="n"/>
      <c r="T355" s="24" t="n"/>
      <c r="U355" s="24" t="n"/>
      <c r="V355" s="25">
        <f>IF(COUNTA(A355,D355,C355,L355)=0,"",IF(A355="","No date - sits outside every month",IF(E355="","No job number",IF(F355="CHECK","Job number is not in the Xero job list",IF(I355="","No cost centre",IF(AND(P355="Y",C355=""),"Marked posted to Xero but has no invoice number",IF(AND(L355&lt;&gt;"",K355=""),"No tax code",IF(AND(L355&lt;&gt;"",O355=""),"No revenue GL code",""))))))))</f>
        <v/>
      </c>
      <c r="W355" s="25">
        <f>IF(E355="","",IF(COUNTIF(tbl_Onsite[Job Number],E355&amp;"")&gt;0,"Onsite",IF(COUNTIF(tbl_Production[Job Number],E355&amp;"")&gt;0,"Production",IF(COUNTIF(tbl_Consulting[Job Number],E355&amp;"")&gt;0,"Consulting","not set up yet"))))</f>
        <v/>
      </c>
      <c r="X355" s="25">
        <f>IF(E355="","",IFERROR(INDEX(lst_JobName,MATCH(E355&amp;"",lst_Jobs,0)),""))</f>
        <v/>
      </c>
      <c r="Y355" s="28">
        <f>IF(E355="","",COUNTIFS(tbl_Finance[Job Number],E355&amp;"",tbl_Finance[Ex GST],"&lt;&gt;"))</f>
        <v/>
      </c>
      <c r="Z355" s="27">
        <f>IF(E355="","",SUMIFS(tbl_Finance[Ex GST],tbl_Finance[Job Number],E355&amp;""))</f>
        <v/>
      </c>
      <c r="AA355" s="27">
        <f>IF(E355="","",SUMIFS(tbl_Finance[Ex GST],tbl_Finance[Job Number],E355&amp;"",tbl_Finance[Xero Invoice No],"&lt;&gt;"))</f>
        <v/>
      </c>
      <c r="AB355" s="27">
        <f>IF(E355="","",Z355-AA355)</f>
        <v/>
      </c>
      <c r="AC355" s="25">
        <f>IF(E355="","",IFERROR(IF(INDEX(tbl_Onsite[Qwilr Quote],MATCH(E355&amp;"",tbl_Onsite[Job Number],0))="","",INDEX(tbl_Onsite[Qwilr Quote],MATCH(E355&amp;"",tbl_Onsite[Job Number],0))),IFERROR(IF(IF(INDEX(tbl_Production[Current RMS No],MATCH(E355&amp;"",tbl_Production[Job Number],0))="",INDEX(tbl_Production[Qwilr Quote],MATCH(E355&amp;"",tbl_Production[Job Number],0)),INDEX(tbl_Production[Current RMS No],MATCH(E355&amp;"",tbl_Production[Job Number],0)))="","",IF(INDEX(tbl_Production[Current RMS No],MATCH(E355&amp;"",tbl_Production[Job Number],0))="",INDEX(tbl_Production[Qwilr Quote],MATCH(E355&amp;"",tbl_Production[Job Number],0)),INDEX(tbl_Production[Current RMS No],MATCH(E355&amp;"",tbl_Production[Job Number],0)))),IFERROR(IF(INDEX(tbl_Consulting[Qwilr Quote],MATCH(E355&amp;"",tbl_Consulting[Job Number],0))="","",INDEX(tbl_Consulting[Qwilr Quote],MATCH(E355&amp;"",tbl_Consulting[Job Number],0))),""))))</f>
        <v/>
      </c>
      <c r="AD355" s="25">
        <f>IF(AC355="","",IF(AND(LEFT(AC355,4)&lt;&gt;"http",IF(H355="Production",set_RMSBase,set_QwilrBase)=""),"",HYPERLINK(IF(LEFT(AC355,4)="http",AC355,IF(H355="Production",set_RMSBase,set_QwilrBase)&amp;AC355),"Open")))</f>
        <v/>
      </c>
      <c r="AE355" s="27">
        <f>IF(E355="","",IFERROR(INDEX(tbl_Production[Total Expense],MATCH(E355&amp;"",tbl_Production[Job Number],0)),IFERROR(INDEX(tbl_Consulting[Total Expense],MATCH(E355&amp;"",tbl_Consulting[Job Number],0)),0)))</f>
        <v/>
      </c>
      <c r="AF355" s="27">
        <f>IF(E355="","",Z355-N(AE355))</f>
        <v/>
      </c>
      <c r="AG355" s="29">
        <f>IFERROR(AF355/Z355,"")</f>
        <v/>
      </c>
      <c r="AH355" s="25">
        <f>IF(E355="","",IFERROR(IF(INDEX(tbl_Onsite[Notes],MATCH(E355&amp;"",tbl_Onsite[Job Number],0))="","",INDEX(tbl_Onsite[Notes],MATCH(E355&amp;"",tbl_Onsite[Job Number],0))),IFERROR(IF(INDEX(tbl_Production[Notes],MATCH(E355&amp;"",tbl_Production[Job Number],0))="","",INDEX(tbl_Production[Notes],MATCH(E355&amp;"",tbl_Production[Job Number],0))),IFERROR(IF(INDEX(tbl_Consulting[Notes],MATCH(E355&amp;"",tbl_Consulting[Job Number],0))="","",INDEX(tbl_Consulting[Notes],MATCH(E355&amp;"",tbl_Consulting[Job Number],0))),""))))</f>
        <v/>
      </c>
    </row>
    <row r="356" ht="15" customHeight="1">
      <c r="A356" s="22" t="n"/>
      <c r="B356" s="23">
        <f>IF(A356="","",EOMONTH(A356,0))</f>
        <v/>
      </c>
      <c r="C356" s="24" t="n"/>
      <c r="D356" s="24" t="n"/>
      <c r="E356" s="24" t="n"/>
      <c r="F356" s="25">
        <f>IF(E356="","",IF(COUNTIF(lst_Jobs,E356&amp;"")&gt;0,"OK","CHECK"))</f>
        <v/>
      </c>
      <c r="G356" s="24" t="n"/>
      <c r="H356" s="24" t="n"/>
      <c r="I356" s="24" t="n"/>
      <c r="J356" s="24" t="n"/>
      <c r="K356" s="24" t="n"/>
      <c r="L356" s="26" t="n"/>
      <c r="M356" s="27">
        <f>IF(L356="","",IF(K356="GST 10%",ROUND(L356*set_GSTRate,2),0))</f>
        <v/>
      </c>
      <c r="N356" s="27">
        <f>IF(L356="","",L356+M356)</f>
        <v/>
      </c>
      <c r="O356" s="24" t="n"/>
      <c r="P356" s="24" t="n"/>
      <c r="Q356" s="24" t="n"/>
      <c r="R356" s="22" t="n"/>
      <c r="S356" s="22" t="n"/>
      <c r="T356" s="24" t="n"/>
      <c r="U356" s="24" t="n"/>
      <c r="V356" s="25">
        <f>IF(COUNTA(A356,D356,C356,L356)=0,"",IF(A356="","No date - sits outside every month",IF(E356="","No job number",IF(F356="CHECK","Job number is not in the Xero job list",IF(I356="","No cost centre",IF(AND(P356="Y",C356=""),"Marked posted to Xero but has no invoice number",IF(AND(L356&lt;&gt;"",K356=""),"No tax code",IF(AND(L356&lt;&gt;"",O356=""),"No revenue GL code",""))))))))</f>
        <v/>
      </c>
      <c r="W356" s="25">
        <f>IF(E356="","",IF(COUNTIF(tbl_Onsite[Job Number],E356&amp;"")&gt;0,"Onsite",IF(COUNTIF(tbl_Production[Job Number],E356&amp;"")&gt;0,"Production",IF(COUNTIF(tbl_Consulting[Job Number],E356&amp;"")&gt;0,"Consulting","not set up yet"))))</f>
        <v/>
      </c>
      <c r="X356" s="25">
        <f>IF(E356="","",IFERROR(INDEX(lst_JobName,MATCH(E356&amp;"",lst_Jobs,0)),""))</f>
        <v/>
      </c>
      <c r="Y356" s="28">
        <f>IF(E356="","",COUNTIFS(tbl_Finance[Job Number],E356&amp;"",tbl_Finance[Ex GST],"&lt;&gt;"))</f>
        <v/>
      </c>
      <c r="Z356" s="27">
        <f>IF(E356="","",SUMIFS(tbl_Finance[Ex GST],tbl_Finance[Job Number],E356&amp;""))</f>
        <v/>
      </c>
      <c r="AA356" s="27">
        <f>IF(E356="","",SUMIFS(tbl_Finance[Ex GST],tbl_Finance[Job Number],E356&amp;"",tbl_Finance[Xero Invoice No],"&lt;&gt;"))</f>
        <v/>
      </c>
      <c r="AB356" s="27">
        <f>IF(E356="","",Z356-AA356)</f>
        <v/>
      </c>
      <c r="AC356" s="25">
        <f>IF(E356="","",IFERROR(IF(INDEX(tbl_Onsite[Qwilr Quote],MATCH(E356&amp;"",tbl_Onsite[Job Number],0))="","",INDEX(tbl_Onsite[Qwilr Quote],MATCH(E356&amp;"",tbl_Onsite[Job Number],0))),IFERROR(IF(IF(INDEX(tbl_Production[Current RMS No],MATCH(E356&amp;"",tbl_Production[Job Number],0))="",INDEX(tbl_Production[Qwilr Quote],MATCH(E356&amp;"",tbl_Production[Job Number],0)),INDEX(tbl_Production[Current RMS No],MATCH(E356&amp;"",tbl_Production[Job Number],0)))="","",IF(INDEX(tbl_Production[Current RMS No],MATCH(E356&amp;"",tbl_Production[Job Number],0))="",INDEX(tbl_Production[Qwilr Quote],MATCH(E356&amp;"",tbl_Production[Job Number],0)),INDEX(tbl_Production[Current RMS No],MATCH(E356&amp;"",tbl_Production[Job Number],0)))),IFERROR(IF(INDEX(tbl_Consulting[Qwilr Quote],MATCH(E356&amp;"",tbl_Consulting[Job Number],0))="","",INDEX(tbl_Consulting[Qwilr Quote],MATCH(E356&amp;"",tbl_Consulting[Job Number],0))),""))))</f>
        <v/>
      </c>
      <c r="AD356" s="25">
        <f>IF(AC356="","",IF(AND(LEFT(AC356,4)&lt;&gt;"http",IF(H356="Production",set_RMSBase,set_QwilrBase)=""),"",HYPERLINK(IF(LEFT(AC356,4)="http",AC356,IF(H356="Production",set_RMSBase,set_QwilrBase)&amp;AC356),"Open")))</f>
        <v/>
      </c>
      <c r="AE356" s="27">
        <f>IF(E356="","",IFERROR(INDEX(tbl_Production[Total Expense],MATCH(E356&amp;"",tbl_Production[Job Number],0)),IFERROR(INDEX(tbl_Consulting[Total Expense],MATCH(E356&amp;"",tbl_Consulting[Job Number],0)),0)))</f>
        <v/>
      </c>
      <c r="AF356" s="27">
        <f>IF(E356="","",Z356-N(AE356))</f>
        <v/>
      </c>
      <c r="AG356" s="29">
        <f>IFERROR(AF356/Z356,"")</f>
        <v/>
      </c>
      <c r="AH356" s="25">
        <f>IF(E356="","",IFERROR(IF(INDEX(tbl_Onsite[Notes],MATCH(E356&amp;"",tbl_Onsite[Job Number],0))="","",INDEX(tbl_Onsite[Notes],MATCH(E356&amp;"",tbl_Onsite[Job Number],0))),IFERROR(IF(INDEX(tbl_Production[Notes],MATCH(E356&amp;"",tbl_Production[Job Number],0))="","",INDEX(tbl_Production[Notes],MATCH(E356&amp;"",tbl_Production[Job Number],0))),IFERROR(IF(INDEX(tbl_Consulting[Notes],MATCH(E356&amp;"",tbl_Consulting[Job Number],0))="","",INDEX(tbl_Consulting[Notes],MATCH(E356&amp;"",tbl_Consulting[Job Number],0))),""))))</f>
        <v/>
      </c>
    </row>
    <row r="357" ht="15" customHeight="1">
      <c r="A357" s="22" t="n"/>
      <c r="B357" s="23">
        <f>IF(A357="","",EOMONTH(A357,0))</f>
        <v/>
      </c>
      <c r="C357" s="24" t="n"/>
      <c r="D357" s="24" t="n"/>
      <c r="E357" s="24" t="n"/>
      <c r="F357" s="25">
        <f>IF(E357="","",IF(COUNTIF(lst_Jobs,E357&amp;"")&gt;0,"OK","CHECK"))</f>
        <v/>
      </c>
      <c r="G357" s="24" t="n"/>
      <c r="H357" s="24" t="n"/>
      <c r="I357" s="24" t="n"/>
      <c r="J357" s="24" t="n"/>
      <c r="K357" s="24" t="n"/>
      <c r="L357" s="26" t="n"/>
      <c r="M357" s="27">
        <f>IF(L357="","",IF(K357="GST 10%",ROUND(L357*set_GSTRate,2),0))</f>
        <v/>
      </c>
      <c r="N357" s="27">
        <f>IF(L357="","",L357+M357)</f>
        <v/>
      </c>
      <c r="O357" s="24" t="n"/>
      <c r="P357" s="24" t="n"/>
      <c r="Q357" s="24" t="n"/>
      <c r="R357" s="22" t="n"/>
      <c r="S357" s="22" t="n"/>
      <c r="T357" s="24" t="n"/>
      <c r="U357" s="24" t="n"/>
      <c r="V357" s="25">
        <f>IF(COUNTA(A357,D357,C357,L357)=0,"",IF(A357="","No date - sits outside every month",IF(E357="","No job number",IF(F357="CHECK","Job number is not in the Xero job list",IF(I357="","No cost centre",IF(AND(P357="Y",C357=""),"Marked posted to Xero but has no invoice number",IF(AND(L357&lt;&gt;"",K357=""),"No tax code",IF(AND(L357&lt;&gt;"",O357=""),"No revenue GL code",""))))))))</f>
        <v/>
      </c>
      <c r="W357" s="25">
        <f>IF(E357="","",IF(COUNTIF(tbl_Onsite[Job Number],E357&amp;"")&gt;0,"Onsite",IF(COUNTIF(tbl_Production[Job Number],E357&amp;"")&gt;0,"Production",IF(COUNTIF(tbl_Consulting[Job Number],E357&amp;"")&gt;0,"Consulting","not set up yet"))))</f>
        <v/>
      </c>
      <c r="X357" s="25">
        <f>IF(E357="","",IFERROR(INDEX(lst_JobName,MATCH(E357&amp;"",lst_Jobs,0)),""))</f>
        <v/>
      </c>
      <c r="Y357" s="28">
        <f>IF(E357="","",COUNTIFS(tbl_Finance[Job Number],E357&amp;"",tbl_Finance[Ex GST],"&lt;&gt;"))</f>
        <v/>
      </c>
      <c r="Z357" s="27">
        <f>IF(E357="","",SUMIFS(tbl_Finance[Ex GST],tbl_Finance[Job Number],E357&amp;""))</f>
        <v/>
      </c>
      <c r="AA357" s="27">
        <f>IF(E357="","",SUMIFS(tbl_Finance[Ex GST],tbl_Finance[Job Number],E357&amp;"",tbl_Finance[Xero Invoice No],"&lt;&gt;"))</f>
        <v/>
      </c>
      <c r="AB357" s="27">
        <f>IF(E357="","",Z357-AA357)</f>
        <v/>
      </c>
      <c r="AC357" s="25">
        <f>IF(E357="","",IFERROR(IF(INDEX(tbl_Onsite[Qwilr Quote],MATCH(E357&amp;"",tbl_Onsite[Job Number],0))="","",INDEX(tbl_Onsite[Qwilr Quote],MATCH(E357&amp;"",tbl_Onsite[Job Number],0))),IFERROR(IF(IF(INDEX(tbl_Production[Current RMS No],MATCH(E357&amp;"",tbl_Production[Job Number],0))="",INDEX(tbl_Production[Qwilr Quote],MATCH(E357&amp;"",tbl_Production[Job Number],0)),INDEX(tbl_Production[Current RMS No],MATCH(E357&amp;"",tbl_Production[Job Number],0)))="","",IF(INDEX(tbl_Production[Current RMS No],MATCH(E357&amp;"",tbl_Production[Job Number],0))="",INDEX(tbl_Production[Qwilr Quote],MATCH(E357&amp;"",tbl_Production[Job Number],0)),INDEX(tbl_Production[Current RMS No],MATCH(E357&amp;"",tbl_Production[Job Number],0)))),IFERROR(IF(INDEX(tbl_Consulting[Qwilr Quote],MATCH(E357&amp;"",tbl_Consulting[Job Number],0))="","",INDEX(tbl_Consulting[Qwilr Quote],MATCH(E357&amp;"",tbl_Consulting[Job Number],0))),""))))</f>
        <v/>
      </c>
      <c r="AD357" s="25">
        <f>IF(AC357="","",IF(AND(LEFT(AC357,4)&lt;&gt;"http",IF(H357="Production",set_RMSBase,set_QwilrBase)=""),"",HYPERLINK(IF(LEFT(AC357,4)="http",AC357,IF(H357="Production",set_RMSBase,set_QwilrBase)&amp;AC357),"Open")))</f>
        <v/>
      </c>
      <c r="AE357" s="27">
        <f>IF(E357="","",IFERROR(INDEX(tbl_Production[Total Expense],MATCH(E357&amp;"",tbl_Production[Job Number],0)),IFERROR(INDEX(tbl_Consulting[Total Expense],MATCH(E357&amp;"",tbl_Consulting[Job Number],0)),0)))</f>
        <v/>
      </c>
      <c r="AF357" s="27">
        <f>IF(E357="","",Z357-N(AE357))</f>
        <v/>
      </c>
      <c r="AG357" s="29">
        <f>IFERROR(AF357/Z357,"")</f>
        <v/>
      </c>
      <c r="AH357" s="25">
        <f>IF(E357="","",IFERROR(IF(INDEX(tbl_Onsite[Notes],MATCH(E357&amp;"",tbl_Onsite[Job Number],0))="","",INDEX(tbl_Onsite[Notes],MATCH(E357&amp;"",tbl_Onsite[Job Number],0))),IFERROR(IF(INDEX(tbl_Production[Notes],MATCH(E357&amp;"",tbl_Production[Job Number],0))="","",INDEX(tbl_Production[Notes],MATCH(E357&amp;"",tbl_Production[Job Number],0))),IFERROR(IF(INDEX(tbl_Consulting[Notes],MATCH(E357&amp;"",tbl_Consulting[Job Number],0))="","",INDEX(tbl_Consulting[Notes],MATCH(E357&amp;"",tbl_Consulting[Job Number],0))),""))))</f>
        <v/>
      </c>
    </row>
    <row r="358" ht="15" customHeight="1">
      <c r="A358" s="22" t="n"/>
      <c r="B358" s="23">
        <f>IF(A358="","",EOMONTH(A358,0))</f>
        <v/>
      </c>
      <c r="C358" s="24" t="n"/>
      <c r="D358" s="24" t="n"/>
      <c r="E358" s="24" t="n"/>
      <c r="F358" s="25">
        <f>IF(E358="","",IF(COUNTIF(lst_Jobs,E358&amp;"")&gt;0,"OK","CHECK"))</f>
        <v/>
      </c>
      <c r="G358" s="24" t="n"/>
      <c r="H358" s="24" t="n"/>
      <c r="I358" s="24" t="n"/>
      <c r="J358" s="24" t="n"/>
      <c r="K358" s="24" t="n"/>
      <c r="L358" s="26" t="n"/>
      <c r="M358" s="27">
        <f>IF(L358="","",IF(K358="GST 10%",ROUND(L358*set_GSTRate,2),0))</f>
        <v/>
      </c>
      <c r="N358" s="27">
        <f>IF(L358="","",L358+M358)</f>
        <v/>
      </c>
      <c r="O358" s="24" t="n"/>
      <c r="P358" s="24" t="n"/>
      <c r="Q358" s="24" t="n"/>
      <c r="R358" s="22" t="n"/>
      <c r="S358" s="22" t="n"/>
      <c r="T358" s="24" t="n"/>
      <c r="U358" s="24" t="n"/>
      <c r="V358" s="25">
        <f>IF(COUNTA(A358,D358,C358,L358)=0,"",IF(A358="","No date - sits outside every month",IF(E358="","No job number",IF(F358="CHECK","Job number is not in the Xero job list",IF(I358="","No cost centre",IF(AND(P358="Y",C358=""),"Marked posted to Xero but has no invoice number",IF(AND(L358&lt;&gt;"",K358=""),"No tax code",IF(AND(L358&lt;&gt;"",O358=""),"No revenue GL code",""))))))))</f>
        <v/>
      </c>
      <c r="W358" s="25">
        <f>IF(E358="","",IF(COUNTIF(tbl_Onsite[Job Number],E358&amp;"")&gt;0,"Onsite",IF(COUNTIF(tbl_Production[Job Number],E358&amp;"")&gt;0,"Production",IF(COUNTIF(tbl_Consulting[Job Number],E358&amp;"")&gt;0,"Consulting","not set up yet"))))</f>
        <v/>
      </c>
      <c r="X358" s="25">
        <f>IF(E358="","",IFERROR(INDEX(lst_JobName,MATCH(E358&amp;"",lst_Jobs,0)),""))</f>
        <v/>
      </c>
      <c r="Y358" s="28">
        <f>IF(E358="","",COUNTIFS(tbl_Finance[Job Number],E358&amp;"",tbl_Finance[Ex GST],"&lt;&gt;"))</f>
        <v/>
      </c>
      <c r="Z358" s="27">
        <f>IF(E358="","",SUMIFS(tbl_Finance[Ex GST],tbl_Finance[Job Number],E358&amp;""))</f>
        <v/>
      </c>
      <c r="AA358" s="27">
        <f>IF(E358="","",SUMIFS(tbl_Finance[Ex GST],tbl_Finance[Job Number],E358&amp;"",tbl_Finance[Xero Invoice No],"&lt;&gt;"))</f>
        <v/>
      </c>
      <c r="AB358" s="27">
        <f>IF(E358="","",Z358-AA358)</f>
        <v/>
      </c>
      <c r="AC358" s="25">
        <f>IF(E358="","",IFERROR(IF(INDEX(tbl_Onsite[Qwilr Quote],MATCH(E358&amp;"",tbl_Onsite[Job Number],0))="","",INDEX(tbl_Onsite[Qwilr Quote],MATCH(E358&amp;"",tbl_Onsite[Job Number],0))),IFERROR(IF(IF(INDEX(tbl_Production[Current RMS No],MATCH(E358&amp;"",tbl_Production[Job Number],0))="",INDEX(tbl_Production[Qwilr Quote],MATCH(E358&amp;"",tbl_Production[Job Number],0)),INDEX(tbl_Production[Current RMS No],MATCH(E358&amp;"",tbl_Production[Job Number],0)))="","",IF(INDEX(tbl_Production[Current RMS No],MATCH(E358&amp;"",tbl_Production[Job Number],0))="",INDEX(tbl_Production[Qwilr Quote],MATCH(E358&amp;"",tbl_Production[Job Number],0)),INDEX(tbl_Production[Current RMS No],MATCH(E358&amp;"",tbl_Production[Job Number],0)))),IFERROR(IF(INDEX(tbl_Consulting[Qwilr Quote],MATCH(E358&amp;"",tbl_Consulting[Job Number],0))="","",INDEX(tbl_Consulting[Qwilr Quote],MATCH(E358&amp;"",tbl_Consulting[Job Number],0))),""))))</f>
        <v/>
      </c>
      <c r="AD358" s="25">
        <f>IF(AC358="","",IF(AND(LEFT(AC358,4)&lt;&gt;"http",IF(H358="Production",set_RMSBase,set_QwilrBase)=""),"",HYPERLINK(IF(LEFT(AC358,4)="http",AC358,IF(H358="Production",set_RMSBase,set_QwilrBase)&amp;AC358),"Open")))</f>
        <v/>
      </c>
      <c r="AE358" s="27">
        <f>IF(E358="","",IFERROR(INDEX(tbl_Production[Total Expense],MATCH(E358&amp;"",tbl_Production[Job Number],0)),IFERROR(INDEX(tbl_Consulting[Total Expense],MATCH(E358&amp;"",tbl_Consulting[Job Number],0)),0)))</f>
        <v/>
      </c>
      <c r="AF358" s="27">
        <f>IF(E358="","",Z358-N(AE358))</f>
        <v/>
      </c>
      <c r="AG358" s="29">
        <f>IFERROR(AF358/Z358,"")</f>
        <v/>
      </c>
      <c r="AH358" s="25">
        <f>IF(E358="","",IFERROR(IF(INDEX(tbl_Onsite[Notes],MATCH(E358&amp;"",tbl_Onsite[Job Number],0))="","",INDEX(tbl_Onsite[Notes],MATCH(E358&amp;"",tbl_Onsite[Job Number],0))),IFERROR(IF(INDEX(tbl_Production[Notes],MATCH(E358&amp;"",tbl_Production[Job Number],0))="","",INDEX(tbl_Production[Notes],MATCH(E358&amp;"",tbl_Production[Job Number],0))),IFERROR(IF(INDEX(tbl_Consulting[Notes],MATCH(E358&amp;"",tbl_Consulting[Job Number],0))="","",INDEX(tbl_Consulting[Notes],MATCH(E358&amp;"",tbl_Consulting[Job Number],0))),""))))</f>
        <v/>
      </c>
    </row>
    <row r="359" ht="15" customHeight="1">
      <c r="A359" s="22" t="n"/>
      <c r="B359" s="23">
        <f>IF(A359="","",EOMONTH(A359,0))</f>
        <v/>
      </c>
      <c r="C359" s="24" t="n"/>
      <c r="D359" s="24" t="n"/>
      <c r="E359" s="24" t="n"/>
      <c r="F359" s="25">
        <f>IF(E359="","",IF(COUNTIF(lst_Jobs,E359&amp;"")&gt;0,"OK","CHECK"))</f>
        <v/>
      </c>
      <c r="G359" s="24" t="n"/>
      <c r="H359" s="24" t="n"/>
      <c r="I359" s="24" t="n"/>
      <c r="J359" s="24" t="n"/>
      <c r="K359" s="24" t="n"/>
      <c r="L359" s="26" t="n"/>
      <c r="M359" s="27">
        <f>IF(L359="","",IF(K359="GST 10%",ROUND(L359*set_GSTRate,2),0))</f>
        <v/>
      </c>
      <c r="N359" s="27">
        <f>IF(L359="","",L359+M359)</f>
        <v/>
      </c>
      <c r="O359" s="24" t="n"/>
      <c r="P359" s="24" t="n"/>
      <c r="Q359" s="24" t="n"/>
      <c r="R359" s="22" t="n"/>
      <c r="S359" s="22" t="n"/>
      <c r="T359" s="24" t="n"/>
      <c r="U359" s="24" t="n"/>
      <c r="V359" s="25">
        <f>IF(COUNTA(A359,D359,C359,L359)=0,"",IF(A359="","No date - sits outside every month",IF(E359="","No job number",IF(F359="CHECK","Job number is not in the Xero job list",IF(I359="","No cost centre",IF(AND(P359="Y",C359=""),"Marked posted to Xero but has no invoice number",IF(AND(L359&lt;&gt;"",K359=""),"No tax code",IF(AND(L359&lt;&gt;"",O359=""),"No revenue GL code",""))))))))</f>
        <v/>
      </c>
      <c r="W359" s="25">
        <f>IF(E359="","",IF(COUNTIF(tbl_Onsite[Job Number],E359&amp;"")&gt;0,"Onsite",IF(COUNTIF(tbl_Production[Job Number],E359&amp;"")&gt;0,"Production",IF(COUNTIF(tbl_Consulting[Job Number],E359&amp;"")&gt;0,"Consulting","not set up yet"))))</f>
        <v/>
      </c>
      <c r="X359" s="25">
        <f>IF(E359="","",IFERROR(INDEX(lst_JobName,MATCH(E359&amp;"",lst_Jobs,0)),""))</f>
        <v/>
      </c>
      <c r="Y359" s="28">
        <f>IF(E359="","",COUNTIFS(tbl_Finance[Job Number],E359&amp;"",tbl_Finance[Ex GST],"&lt;&gt;"))</f>
        <v/>
      </c>
      <c r="Z359" s="27">
        <f>IF(E359="","",SUMIFS(tbl_Finance[Ex GST],tbl_Finance[Job Number],E359&amp;""))</f>
        <v/>
      </c>
      <c r="AA359" s="27">
        <f>IF(E359="","",SUMIFS(tbl_Finance[Ex GST],tbl_Finance[Job Number],E359&amp;"",tbl_Finance[Xero Invoice No],"&lt;&gt;"))</f>
        <v/>
      </c>
      <c r="AB359" s="27">
        <f>IF(E359="","",Z359-AA359)</f>
        <v/>
      </c>
      <c r="AC359" s="25">
        <f>IF(E359="","",IFERROR(IF(INDEX(tbl_Onsite[Qwilr Quote],MATCH(E359&amp;"",tbl_Onsite[Job Number],0))="","",INDEX(tbl_Onsite[Qwilr Quote],MATCH(E359&amp;"",tbl_Onsite[Job Number],0))),IFERROR(IF(IF(INDEX(tbl_Production[Current RMS No],MATCH(E359&amp;"",tbl_Production[Job Number],0))="",INDEX(tbl_Production[Qwilr Quote],MATCH(E359&amp;"",tbl_Production[Job Number],0)),INDEX(tbl_Production[Current RMS No],MATCH(E359&amp;"",tbl_Production[Job Number],0)))="","",IF(INDEX(tbl_Production[Current RMS No],MATCH(E359&amp;"",tbl_Production[Job Number],0))="",INDEX(tbl_Production[Qwilr Quote],MATCH(E359&amp;"",tbl_Production[Job Number],0)),INDEX(tbl_Production[Current RMS No],MATCH(E359&amp;"",tbl_Production[Job Number],0)))),IFERROR(IF(INDEX(tbl_Consulting[Qwilr Quote],MATCH(E359&amp;"",tbl_Consulting[Job Number],0))="","",INDEX(tbl_Consulting[Qwilr Quote],MATCH(E359&amp;"",tbl_Consulting[Job Number],0))),""))))</f>
        <v/>
      </c>
      <c r="AD359" s="25">
        <f>IF(AC359="","",IF(AND(LEFT(AC359,4)&lt;&gt;"http",IF(H359="Production",set_RMSBase,set_QwilrBase)=""),"",HYPERLINK(IF(LEFT(AC359,4)="http",AC359,IF(H359="Production",set_RMSBase,set_QwilrBase)&amp;AC359),"Open")))</f>
        <v/>
      </c>
      <c r="AE359" s="27">
        <f>IF(E359="","",IFERROR(INDEX(tbl_Production[Total Expense],MATCH(E359&amp;"",tbl_Production[Job Number],0)),IFERROR(INDEX(tbl_Consulting[Total Expense],MATCH(E359&amp;"",tbl_Consulting[Job Number],0)),0)))</f>
        <v/>
      </c>
      <c r="AF359" s="27">
        <f>IF(E359="","",Z359-N(AE359))</f>
        <v/>
      </c>
      <c r="AG359" s="29">
        <f>IFERROR(AF359/Z359,"")</f>
        <v/>
      </c>
      <c r="AH359" s="25">
        <f>IF(E359="","",IFERROR(IF(INDEX(tbl_Onsite[Notes],MATCH(E359&amp;"",tbl_Onsite[Job Number],0))="","",INDEX(tbl_Onsite[Notes],MATCH(E359&amp;"",tbl_Onsite[Job Number],0))),IFERROR(IF(INDEX(tbl_Production[Notes],MATCH(E359&amp;"",tbl_Production[Job Number],0))="","",INDEX(tbl_Production[Notes],MATCH(E359&amp;"",tbl_Production[Job Number],0))),IFERROR(IF(INDEX(tbl_Consulting[Notes],MATCH(E359&amp;"",tbl_Consulting[Job Number],0))="","",INDEX(tbl_Consulting[Notes],MATCH(E359&amp;"",tbl_Consulting[Job Number],0))),""))))</f>
        <v/>
      </c>
    </row>
    <row r="360" ht="15" customHeight="1">
      <c r="A360" s="22" t="n"/>
      <c r="B360" s="23">
        <f>IF(A360="","",EOMONTH(A360,0))</f>
        <v/>
      </c>
      <c r="C360" s="24" t="n"/>
      <c r="D360" s="24" t="n"/>
      <c r="E360" s="24" t="n"/>
      <c r="F360" s="25">
        <f>IF(E360="","",IF(COUNTIF(lst_Jobs,E360&amp;"")&gt;0,"OK","CHECK"))</f>
        <v/>
      </c>
      <c r="G360" s="24" t="n"/>
      <c r="H360" s="24" t="n"/>
      <c r="I360" s="24" t="n"/>
      <c r="J360" s="24" t="n"/>
      <c r="K360" s="24" t="n"/>
      <c r="L360" s="26" t="n"/>
      <c r="M360" s="27">
        <f>IF(L360="","",IF(K360="GST 10%",ROUND(L360*set_GSTRate,2),0))</f>
        <v/>
      </c>
      <c r="N360" s="27">
        <f>IF(L360="","",L360+M360)</f>
        <v/>
      </c>
      <c r="O360" s="24" t="n"/>
      <c r="P360" s="24" t="n"/>
      <c r="Q360" s="24" t="n"/>
      <c r="R360" s="22" t="n"/>
      <c r="S360" s="22" t="n"/>
      <c r="T360" s="24" t="n"/>
      <c r="U360" s="24" t="n"/>
      <c r="V360" s="25">
        <f>IF(COUNTA(A360,D360,C360,L360)=0,"",IF(A360="","No date - sits outside every month",IF(E360="","No job number",IF(F360="CHECK","Job number is not in the Xero job list",IF(I360="","No cost centre",IF(AND(P360="Y",C360=""),"Marked posted to Xero but has no invoice number",IF(AND(L360&lt;&gt;"",K360=""),"No tax code",IF(AND(L360&lt;&gt;"",O360=""),"No revenue GL code",""))))))))</f>
        <v/>
      </c>
      <c r="W360" s="25">
        <f>IF(E360="","",IF(COUNTIF(tbl_Onsite[Job Number],E360&amp;"")&gt;0,"Onsite",IF(COUNTIF(tbl_Production[Job Number],E360&amp;"")&gt;0,"Production",IF(COUNTIF(tbl_Consulting[Job Number],E360&amp;"")&gt;0,"Consulting","not set up yet"))))</f>
        <v/>
      </c>
      <c r="X360" s="25">
        <f>IF(E360="","",IFERROR(INDEX(lst_JobName,MATCH(E360&amp;"",lst_Jobs,0)),""))</f>
        <v/>
      </c>
      <c r="Y360" s="28">
        <f>IF(E360="","",COUNTIFS(tbl_Finance[Job Number],E360&amp;"",tbl_Finance[Ex GST],"&lt;&gt;"))</f>
        <v/>
      </c>
      <c r="Z360" s="27">
        <f>IF(E360="","",SUMIFS(tbl_Finance[Ex GST],tbl_Finance[Job Number],E360&amp;""))</f>
        <v/>
      </c>
      <c r="AA360" s="27">
        <f>IF(E360="","",SUMIFS(tbl_Finance[Ex GST],tbl_Finance[Job Number],E360&amp;"",tbl_Finance[Xero Invoice No],"&lt;&gt;"))</f>
        <v/>
      </c>
      <c r="AB360" s="27">
        <f>IF(E360="","",Z360-AA360)</f>
        <v/>
      </c>
      <c r="AC360" s="25">
        <f>IF(E360="","",IFERROR(IF(INDEX(tbl_Onsite[Qwilr Quote],MATCH(E360&amp;"",tbl_Onsite[Job Number],0))="","",INDEX(tbl_Onsite[Qwilr Quote],MATCH(E360&amp;"",tbl_Onsite[Job Number],0))),IFERROR(IF(IF(INDEX(tbl_Production[Current RMS No],MATCH(E360&amp;"",tbl_Production[Job Number],0))="",INDEX(tbl_Production[Qwilr Quote],MATCH(E360&amp;"",tbl_Production[Job Number],0)),INDEX(tbl_Production[Current RMS No],MATCH(E360&amp;"",tbl_Production[Job Number],0)))="","",IF(INDEX(tbl_Production[Current RMS No],MATCH(E360&amp;"",tbl_Production[Job Number],0))="",INDEX(tbl_Production[Qwilr Quote],MATCH(E360&amp;"",tbl_Production[Job Number],0)),INDEX(tbl_Production[Current RMS No],MATCH(E360&amp;"",tbl_Production[Job Number],0)))),IFERROR(IF(INDEX(tbl_Consulting[Qwilr Quote],MATCH(E360&amp;"",tbl_Consulting[Job Number],0))="","",INDEX(tbl_Consulting[Qwilr Quote],MATCH(E360&amp;"",tbl_Consulting[Job Number],0))),""))))</f>
        <v/>
      </c>
      <c r="AD360" s="25">
        <f>IF(AC360="","",IF(AND(LEFT(AC360,4)&lt;&gt;"http",IF(H360="Production",set_RMSBase,set_QwilrBase)=""),"",HYPERLINK(IF(LEFT(AC360,4)="http",AC360,IF(H360="Production",set_RMSBase,set_QwilrBase)&amp;AC360),"Open")))</f>
        <v/>
      </c>
      <c r="AE360" s="27">
        <f>IF(E360="","",IFERROR(INDEX(tbl_Production[Total Expense],MATCH(E360&amp;"",tbl_Production[Job Number],0)),IFERROR(INDEX(tbl_Consulting[Total Expense],MATCH(E360&amp;"",tbl_Consulting[Job Number],0)),0)))</f>
        <v/>
      </c>
      <c r="AF360" s="27">
        <f>IF(E360="","",Z360-N(AE360))</f>
        <v/>
      </c>
      <c r="AG360" s="29">
        <f>IFERROR(AF360/Z360,"")</f>
        <v/>
      </c>
      <c r="AH360" s="25">
        <f>IF(E360="","",IFERROR(IF(INDEX(tbl_Onsite[Notes],MATCH(E360&amp;"",tbl_Onsite[Job Number],0))="","",INDEX(tbl_Onsite[Notes],MATCH(E360&amp;"",tbl_Onsite[Job Number],0))),IFERROR(IF(INDEX(tbl_Production[Notes],MATCH(E360&amp;"",tbl_Production[Job Number],0))="","",INDEX(tbl_Production[Notes],MATCH(E360&amp;"",tbl_Production[Job Number],0))),IFERROR(IF(INDEX(tbl_Consulting[Notes],MATCH(E360&amp;"",tbl_Consulting[Job Number],0))="","",INDEX(tbl_Consulting[Notes],MATCH(E360&amp;"",tbl_Consulting[Job Number],0))),""))))</f>
        <v/>
      </c>
    </row>
    <row r="361" ht="15" customHeight="1">
      <c r="A361" s="22" t="n"/>
      <c r="B361" s="23">
        <f>IF(A361="","",EOMONTH(A361,0))</f>
        <v/>
      </c>
      <c r="C361" s="24" t="n"/>
      <c r="D361" s="24" t="n"/>
      <c r="E361" s="24" t="n"/>
      <c r="F361" s="25">
        <f>IF(E361="","",IF(COUNTIF(lst_Jobs,E361&amp;"")&gt;0,"OK","CHECK"))</f>
        <v/>
      </c>
      <c r="G361" s="24" t="n"/>
      <c r="H361" s="24" t="n"/>
      <c r="I361" s="24" t="n"/>
      <c r="J361" s="24" t="n"/>
      <c r="K361" s="24" t="n"/>
      <c r="L361" s="26" t="n"/>
      <c r="M361" s="27">
        <f>IF(L361="","",IF(K361="GST 10%",ROUND(L361*set_GSTRate,2),0))</f>
        <v/>
      </c>
      <c r="N361" s="27">
        <f>IF(L361="","",L361+M361)</f>
        <v/>
      </c>
      <c r="O361" s="24" t="n"/>
      <c r="P361" s="24" t="n"/>
      <c r="Q361" s="24" t="n"/>
      <c r="R361" s="22" t="n"/>
      <c r="S361" s="22" t="n"/>
      <c r="T361" s="24" t="n"/>
      <c r="U361" s="24" t="n"/>
      <c r="V361" s="25">
        <f>IF(COUNTA(A361,D361,C361,L361)=0,"",IF(A361="","No date - sits outside every month",IF(E361="","No job number",IF(F361="CHECK","Job number is not in the Xero job list",IF(I361="","No cost centre",IF(AND(P361="Y",C361=""),"Marked posted to Xero but has no invoice number",IF(AND(L361&lt;&gt;"",K361=""),"No tax code",IF(AND(L361&lt;&gt;"",O361=""),"No revenue GL code",""))))))))</f>
        <v/>
      </c>
      <c r="W361" s="25">
        <f>IF(E361="","",IF(COUNTIF(tbl_Onsite[Job Number],E361&amp;"")&gt;0,"Onsite",IF(COUNTIF(tbl_Production[Job Number],E361&amp;"")&gt;0,"Production",IF(COUNTIF(tbl_Consulting[Job Number],E361&amp;"")&gt;0,"Consulting","not set up yet"))))</f>
        <v/>
      </c>
      <c r="X361" s="25">
        <f>IF(E361="","",IFERROR(INDEX(lst_JobName,MATCH(E361&amp;"",lst_Jobs,0)),""))</f>
        <v/>
      </c>
      <c r="Y361" s="28">
        <f>IF(E361="","",COUNTIFS(tbl_Finance[Job Number],E361&amp;"",tbl_Finance[Ex GST],"&lt;&gt;"))</f>
        <v/>
      </c>
      <c r="Z361" s="27">
        <f>IF(E361="","",SUMIFS(tbl_Finance[Ex GST],tbl_Finance[Job Number],E361&amp;""))</f>
        <v/>
      </c>
      <c r="AA361" s="27">
        <f>IF(E361="","",SUMIFS(tbl_Finance[Ex GST],tbl_Finance[Job Number],E361&amp;"",tbl_Finance[Xero Invoice No],"&lt;&gt;"))</f>
        <v/>
      </c>
      <c r="AB361" s="27">
        <f>IF(E361="","",Z361-AA361)</f>
        <v/>
      </c>
      <c r="AC361" s="25">
        <f>IF(E361="","",IFERROR(IF(INDEX(tbl_Onsite[Qwilr Quote],MATCH(E361&amp;"",tbl_Onsite[Job Number],0))="","",INDEX(tbl_Onsite[Qwilr Quote],MATCH(E361&amp;"",tbl_Onsite[Job Number],0))),IFERROR(IF(IF(INDEX(tbl_Production[Current RMS No],MATCH(E361&amp;"",tbl_Production[Job Number],0))="",INDEX(tbl_Production[Qwilr Quote],MATCH(E361&amp;"",tbl_Production[Job Number],0)),INDEX(tbl_Production[Current RMS No],MATCH(E361&amp;"",tbl_Production[Job Number],0)))="","",IF(INDEX(tbl_Production[Current RMS No],MATCH(E361&amp;"",tbl_Production[Job Number],0))="",INDEX(tbl_Production[Qwilr Quote],MATCH(E361&amp;"",tbl_Production[Job Number],0)),INDEX(tbl_Production[Current RMS No],MATCH(E361&amp;"",tbl_Production[Job Number],0)))),IFERROR(IF(INDEX(tbl_Consulting[Qwilr Quote],MATCH(E361&amp;"",tbl_Consulting[Job Number],0))="","",INDEX(tbl_Consulting[Qwilr Quote],MATCH(E361&amp;"",tbl_Consulting[Job Number],0))),""))))</f>
        <v/>
      </c>
      <c r="AD361" s="25">
        <f>IF(AC361="","",IF(AND(LEFT(AC361,4)&lt;&gt;"http",IF(H361="Production",set_RMSBase,set_QwilrBase)=""),"",HYPERLINK(IF(LEFT(AC361,4)="http",AC361,IF(H361="Production",set_RMSBase,set_QwilrBase)&amp;AC361),"Open")))</f>
        <v/>
      </c>
      <c r="AE361" s="27">
        <f>IF(E361="","",IFERROR(INDEX(tbl_Production[Total Expense],MATCH(E361&amp;"",tbl_Production[Job Number],0)),IFERROR(INDEX(tbl_Consulting[Total Expense],MATCH(E361&amp;"",tbl_Consulting[Job Number],0)),0)))</f>
        <v/>
      </c>
      <c r="AF361" s="27">
        <f>IF(E361="","",Z361-N(AE361))</f>
        <v/>
      </c>
      <c r="AG361" s="29">
        <f>IFERROR(AF361/Z361,"")</f>
        <v/>
      </c>
      <c r="AH361" s="25">
        <f>IF(E361="","",IFERROR(IF(INDEX(tbl_Onsite[Notes],MATCH(E361&amp;"",tbl_Onsite[Job Number],0))="","",INDEX(tbl_Onsite[Notes],MATCH(E361&amp;"",tbl_Onsite[Job Number],0))),IFERROR(IF(INDEX(tbl_Production[Notes],MATCH(E361&amp;"",tbl_Production[Job Number],0))="","",INDEX(tbl_Production[Notes],MATCH(E361&amp;"",tbl_Production[Job Number],0))),IFERROR(IF(INDEX(tbl_Consulting[Notes],MATCH(E361&amp;"",tbl_Consulting[Job Number],0))="","",INDEX(tbl_Consulting[Notes],MATCH(E361&amp;"",tbl_Consulting[Job Number],0))),""))))</f>
        <v/>
      </c>
    </row>
    <row r="362" ht="15" customHeight="1">
      <c r="A362" s="22" t="n"/>
      <c r="B362" s="23">
        <f>IF(A362="","",EOMONTH(A362,0))</f>
        <v/>
      </c>
      <c r="C362" s="24" t="n"/>
      <c r="D362" s="24" t="n"/>
      <c r="E362" s="24" t="n"/>
      <c r="F362" s="25">
        <f>IF(E362="","",IF(COUNTIF(lst_Jobs,E362&amp;"")&gt;0,"OK","CHECK"))</f>
        <v/>
      </c>
      <c r="G362" s="24" t="n"/>
      <c r="H362" s="24" t="n"/>
      <c r="I362" s="24" t="n"/>
      <c r="J362" s="24" t="n"/>
      <c r="K362" s="24" t="n"/>
      <c r="L362" s="26" t="n"/>
      <c r="M362" s="27">
        <f>IF(L362="","",IF(K362="GST 10%",ROUND(L362*set_GSTRate,2),0))</f>
        <v/>
      </c>
      <c r="N362" s="27">
        <f>IF(L362="","",L362+M362)</f>
        <v/>
      </c>
      <c r="O362" s="24" t="n"/>
      <c r="P362" s="24" t="n"/>
      <c r="Q362" s="24" t="n"/>
      <c r="R362" s="22" t="n"/>
      <c r="S362" s="22" t="n"/>
      <c r="T362" s="24" t="n"/>
      <c r="U362" s="24" t="n"/>
      <c r="V362" s="25">
        <f>IF(COUNTA(A362,D362,C362,L362)=0,"",IF(A362="","No date - sits outside every month",IF(E362="","No job number",IF(F362="CHECK","Job number is not in the Xero job list",IF(I362="","No cost centre",IF(AND(P362="Y",C362=""),"Marked posted to Xero but has no invoice number",IF(AND(L362&lt;&gt;"",K362=""),"No tax code",IF(AND(L362&lt;&gt;"",O362=""),"No revenue GL code",""))))))))</f>
        <v/>
      </c>
      <c r="W362" s="25">
        <f>IF(E362="","",IF(COUNTIF(tbl_Onsite[Job Number],E362&amp;"")&gt;0,"Onsite",IF(COUNTIF(tbl_Production[Job Number],E362&amp;"")&gt;0,"Production",IF(COUNTIF(tbl_Consulting[Job Number],E362&amp;"")&gt;0,"Consulting","not set up yet"))))</f>
        <v/>
      </c>
      <c r="X362" s="25">
        <f>IF(E362="","",IFERROR(INDEX(lst_JobName,MATCH(E362&amp;"",lst_Jobs,0)),""))</f>
        <v/>
      </c>
      <c r="Y362" s="28">
        <f>IF(E362="","",COUNTIFS(tbl_Finance[Job Number],E362&amp;"",tbl_Finance[Ex GST],"&lt;&gt;"))</f>
        <v/>
      </c>
      <c r="Z362" s="27">
        <f>IF(E362="","",SUMIFS(tbl_Finance[Ex GST],tbl_Finance[Job Number],E362&amp;""))</f>
        <v/>
      </c>
      <c r="AA362" s="27">
        <f>IF(E362="","",SUMIFS(tbl_Finance[Ex GST],tbl_Finance[Job Number],E362&amp;"",tbl_Finance[Xero Invoice No],"&lt;&gt;"))</f>
        <v/>
      </c>
      <c r="AB362" s="27">
        <f>IF(E362="","",Z362-AA362)</f>
        <v/>
      </c>
      <c r="AC362" s="25">
        <f>IF(E362="","",IFERROR(IF(INDEX(tbl_Onsite[Qwilr Quote],MATCH(E362&amp;"",tbl_Onsite[Job Number],0))="","",INDEX(tbl_Onsite[Qwilr Quote],MATCH(E362&amp;"",tbl_Onsite[Job Number],0))),IFERROR(IF(IF(INDEX(tbl_Production[Current RMS No],MATCH(E362&amp;"",tbl_Production[Job Number],0))="",INDEX(tbl_Production[Qwilr Quote],MATCH(E362&amp;"",tbl_Production[Job Number],0)),INDEX(tbl_Production[Current RMS No],MATCH(E362&amp;"",tbl_Production[Job Number],0)))="","",IF(INDEX(tbl_Production[Current RMS No],MATCH(E362&amp;"",tbl_Production[Job Number],0))="",INDEX(tbl_Production[Qwilr Quote],MATCH(E362&amp;"",tbl_Production[Job Number],0)),INDEX(tbl_Production[Current RMS No],MATCH(E362&amp;"",tbl_Production[Job Number],0)))),IFERROR(IF(INDEX(tbl_Consulting[Qwilr Quote],MATCH(E362&amp;"",tbl_Consulting[Job Number],0))="","",INDEX(tbl_Consulting[Qwilr Quote],MATCH(E362&amp;"",tbl_Consulting[Job Number],0))),""))))</f>
        <v/>
      </c>
      <c r="AD362" s="25">
        <f>IF(AC362="","",IF(AND(LEFT(AC362,4)&lt;&gt;"http",IF(H362="Production",set_RMSBase,set_QwilrBase)=""),"",HYPERLINK(IF(LEFT(AC362,4)="http",AC362,IF(H362="Production",set_RMSBase,set_QwilrBase)&amp;AC362),"Open")))</f>
        <v/>
      </c>
      <c r="AE362" s="27">
        <f>IF(E362="","",IFERROR(INDEX(tbl_Production[Total Expense],MATCH(E362&amp;"",tbl_Production[Job Number],0)),IFERROR(INDEX(tbl_Consulting[Total Expense],MATCH(E362&amp;"",tbl_Consulting[Job Number],0)),0)))</f>
        <v/>
      </c>
      <c r="AF362" s="27">
        <f>IF(E362="","",Z362-N(AE362))</f>
        <v/>
      </c>
      <c r="AG362" s="29">
        <f>IFERROR(AF362/Z362,"")</f>
        <v/>
      </c>
      <c r="AH362" s="25">
        <f>IF(E362="","",IFERROR(IF(INDEX(tbl_Onsite[Notes],MATCH(E362&amp;"",tbl_Onsite[Job Number],0))="","",INDEX(tbl_Onsite[Notes],MATCH(E362&amp;"",tbl_Onsite[Job Number],0))),IFERROR(IF(INDEX(tbl_Production[Notes],MATCH(E362&amp;"",tbl_Production[Job Number],0))="","",INDEX(tbl_Production[Notes],MATCH(E362&amp;"",tbl_Production[Job Number],0))),IFERROR(IF(INDEX(tbl_Consulting[Notes],MATCH(E362&amp;"",tbl_Consulting[Job Number],0))="","",INDEX(tbl_Consulting[Notes],MATCH(E362&amp;"",tbl_Consulting[Job Number],0))),""))))</f>
        <v/>
      </c>
    </row>
    <row r="363" ht="15" customHeight="1">
      <c r="A363" s="22" t="n"/>
      <c r="B363" s="23">
        <f>IF(A363="","",EOMONTH(A363,0))</f>
        <v/>
      </c>
      <c r="C363" s="24" t="n"/>
      <c r="D363" s="24" t="n"/>
      <c r="E363" s="24" t="n"/>
      <c r="F363" s="25">
        <f>IF(E363="","",IF(COUNTIF(lst_Jobs,E363&amp;"")&gt;0,"OK","CHECK"))</f>
        <v/>
      </c>
      <c r="G363" s="24" t="n"/>
      <c r="H363" s="24" t="n"/>
      <c r="I363" s="24" t="n"/>
      <c r="J363" s="24" t="n"/>
      <c r="K363" s="24" t="n"/>
      <c r="L363" s="26" t="n"/>
      <c r="M363" s="27">
        <f>IF(L363="","",IF(K363="GST 10%",ROUND(L363*set_GSTRate,2),0))</f>
        <v/>
      </c>
      <c r="N363" s="27">
        <f>IF(L363="","",L363+M363)</f>
        <v/>
      </c>
      <c r="O363" s="24" t="n"/>
      <c r="P363" s="24" t="n"/>
      <c r="Q363" s="24" t="n"/>
      <c r="R363" s="22" t="n"/>
      <c r="S363" s="22" t="n"/>
      <c r="T363" s="24" t="n"/>
      <c r="U363" s="24" t="n"/>
      <c r="V363" s="25">
        <f>IF(COUNTA(A363,D363,C363,L363)=0,"",IF(A363="","No date - sits outside every month",IF(E363="","No job number",IF(F363="CHECK","Job number is not in the Xero job list",IF(I363="","No cost centre",IF(AND(P363="Y",C363=""),"Marked posted to Xero but has no invoice number",IF(AND(L363&lt;&gt;"",K363=""),"No tax code",IF(AND(L363&lt;&gt;"",O363=""),"No revenue GL code",""))))))))</f>
        <v/>
      </c>
      <c r="W363" s="25">
        <f>IF(E363="","",IF(COUNTIF(tbl_Onsite[Job Number],E363&amp;"")&gt;0,"Onsite",IF(COUNTIF(tbl_Production[Job Number],E363&amp;"")&gt;0,"Production",IF(COUNTIF(tbl_Consulting[Job Number],E363&amp;"")&gt;0,"Consulting","not set up yet"))))</f>
        <v/>
      </c>
      <c r="X363" s="25">
        <f>IF(E363="","",IFERROR(INDEX(lst_JobName,MATCH(E363&amp;"",lst_Jobs,0)),""))</f>
        <v/>
      </c>
      <c r="Y363" s="28">
        <f>IF(E363="","",COUNTIFS(tbl_Finance[Job Number],E363&amp;"",tbl_Finance[Ex GST],"&lt;&gt;"))</f>
        <v/>
      </c>
      <c r="Z363" s="27">
        <f>IF(E363="","",SUMIFS(tbl_Finance[Ex GST],tbl_Finance[Job Number],E363&amp;""))</f>
        <v/>
      </c>
      <c r="AA363" s="27">
        <f>IF(E363="","",SUMIFS(tbl_Finance[Ex GST],tbl_Finance[Job Number],E363&amp;"",tbl_Finance[Xero Invoice No],"&lt;&gt;"))</f>
        <v/>
      </c>
      <c r="AB363" s="27">
        <f>IF(E363="","",Z363-AA363)</f>
        <v/>
      </c>
      <c r="AC363" s="25">
        <f>IF(E363="","",IFERROR(IF(INDEX(tbl_Onsite[Qwilr Quote],MATCH(E363&amp;"",tbl_Onsite[Job Number],0))="","",INDEX(tbl_Onsite[Qwilr Quote],MATCH(E363&amp;"",tbl_Onsite[Job Number],0))),IFERROR(IF(IF(INDEX(tbl_Production[Current RMS No],MATCH(E363&amp;"",tbl_Production[Job Number],0))="",INDEX(tbl_Production[Qwilr Quote],MATCH(E363&amp;"",tbl_Production[Job Number],0)),INDEX(tbl_Production[Current RMS No],MATCH(E363&amp;"",tbl_Production[Job Number],0)))="","",IF(INDEX(tbl_Production[Current RMS No],MATCH(E363&amp;"",tbl_Production[Job Number],0))="",INDEX(tbl_Production[Qwilr Quote],MATCH(E363&amp;"",tbl_Production[Job Number],0)),INDEX(tbl_Production[Current RMS No],MATCH(E363&amp;"",tbl_Production[Job Number],0)))),IFERROR(IF(INDEX(tbl_Consulting[Qwilr Quote],MATCH(E363&amp;"",tbl_Consulting[Job Number],0))="","",INDEX(tbl_Consulting[Qwilr Quote],MATCH(E363&amp;"",tbl_Consulting[Job Number],0))),""))))</f>
        <v/>
      </c>
      <c r="AD363" s="25">
        <f>IF(AC363="","",IF(AND(LEFT(AC363,4)&lt;&gt;"http",IF(H363="Production",set_RMSBase,set_QwilrBase)=""),"",HYPERLINK(IF(LEFT(AC363,4)="http",AC363,IF(H363="Production",set_RMSBase,set_QwilrBase)&amp;AC363),"Open")))</f>
        <v/>
      </c>
      <c r="AE363" s="27">
        <f>IF(E363="","",IFERROR(INDEX(tbl_Production[Total Expense],MATCH(E363&amp;"",tbl_Production[Job Number],0)),IFERROR(INDEX(tbl_Consulting[Total Expense],MATCH(E363&amp;"",tbl_Consulting[Job Number],0)),0)))</f>
        <v/>
      </c>
      <c r="AF363" s="27">
        <f>IF(E363="","",Z363-N(AE363))</f>
        <v/>
      </c>
      <c r="AG363" s="29">
        <f>IFERROR(AF363/Z363,"")</f>
        <v/>
      </c>
      <c r="AH363" s="25">
        <f>IF(E363="","",IFERROR(IF(INDEX(tbl_Onsite[Notes],MATCH(E363&amp;"",tbl_Onsite[Job Number],0))="","",INDEX(tbl_Onsite[Notes],MATCH(E363&amp;"",tbl_Onsite[Job Number],0))),IFERROR(IF(INDEX(tbl_Production[Notes],MATCH(E363&amp;"",tbl_Production[Job Number],0))="","",INDEX(tbl_Production[Notes],MATCH(E363&amp;"",tbl_Production[Job Number],0))),IFERROR(IF(INDEX(tbl_Consulting[Notes],MATCH(E363&amp;"",tbl_Consulting[Job Number],0))="","",INDEX(tbl_Consulting[Notes],MATCH(E363&amp;"",tbl_Consulting[Job Number],0))),""))))</f>
        <v/>
      </c>
    </row>
    <row r="364" ht="15" customHeight="1">
      <c r="A364" s="22" t="n"/>
      <c r="B364" s="23">
        <f>IF(A364="","",EOMONTH(A364,0))</f>
        <v/>
      </c>
      <c r="C364" s="24" t="n"/>
      <c r="D364" s="24" t="n"/>
      <c r="E364" s="24" t="n"/>
      <c r="F364" s="25">
        <f>IF(E364="","",IF(COUNTIF(lst_Jobs,E364&amp;"")&gt;0,"OK","CHECK"))</f>
        <v/>
      </c>
      <c r="G364" s="24" t="n"/>
      <c r="H364" s="24" t="n"/>
      <c r="I364" s="24" t="n"/>
      <c r="J364" s="24" t="n"/>
      <c r="K364" s="24" t="n"/>
      <c r="L364" s="26" t="n"/>
      <c r="M364" s="27">
        <f>IF(L364="","",IF(K364="GST 10%",ROUND(L364*set_GSTRate,2),0))</f>
        <v/>
      </c>
      <c r="N364" s="27">
        <f>IF(L364="","",L364+M364)</f>
        <v/>
      </c>
      <c r="O364" s="24" t="n"/>
      <c r="P364" s="24" t="n"/>
      <c r="Q364" s="24" t="n"/>
      <c r="R364" s="22" t="n"/>
      <c r="S364" s="22" t="n"/>
      <c r="T364" s="24" t="n"/>
      <c r="U364" s="24" t="n"/>
      <c r="V364" s="25">
        <f>IF(COUNTA(A364,D364,C364,L364)=0,"",IF(A364="","No date - sits outside every month",IF(E364="","No job number",IF(F364="CHECK","Job number is not in the Xero job list",IF(I364="","No cost centre",IF(AND(P364="Y",C364=""),"Marked posted to Xero but has no invoice number",IF(AND(L364&lt;&gt;"",K364=""),"No tax code",IF(AND(L364&lt;&gt;"",O364=""),"No revenue GL code",""))))))))</f>
        <v/>
      </c>
      <c r="W364" s="25">
        <f>IF(E364="","",IF(COUNTIF(tbl_Onsite[Job Number],E364&amp;"")&gt;0,"Onsite",IF(COUNTIF(tbl_Production[Job Number],E364&amp;"")&gt;0,"Production",IF(COUNTIF(tbl_Consulting[Job Number],E364&amp;"")&gt;0,"Consulting","not set up yet"))))</f>
        <v/>
      </c>
      <c r="X364" s="25">
        <f>IF(E364="","",IFERROR(INDEX(lst_JobName,MATCH(E364&amp;"",lst_Jobs,0)),""))</f>
        <v/>
      </c>
      <c r="Y364" s="28">
        <f>IF(E364="","",COUNTIFS(tbl_Finance[Job Number],E364&amp;"",tbl_Finance[Ex GST],"&lt;&gt;"))</f>
        <v/>
      </c>
      <c r="Z364" s="27">
        <f>IF(E364="","",SUMIFS(tbl_Finance[Ex GST],tbl_Finance[Job Number],E364&amp;""))</f>
        <v/>
      </c>
      <c r="AA364" s="27">
        <f>IF(E364="","",SUMIFS(tbl_Finance[Ex GST],tbl_Finance[Job Number],E364&amp;"",tbl_Finance[Xero Invoice No],"&lt;&gt;"))</f>
        <v/>
      </c>
      <c r="AB364" s="27">
        <f>IF(E364="","",Z364-AA364)</f>
        <v/>
      </c>
      <c r="AC364" s="25">
        <f>IF(E364="","",IFERROR(IF(INDEX(tbl_Onsite[Qwilr Quote],MATCH(E364&amp;"",tbl_Onsite[Job Number],0))="","",INDEX(tbl_Onsite[Qwilr Quote],MATCH(E364&amp;"",tbl_Onsite[Job Number],0))),IFERROR(IF(IF(INDEX(tbl_Production[Current RMS No],MATCH(E364&amp;"",tbl_Production[Job Number],0))="",INDEX(tbl_Production[Qwilr Quote],MATCH(E364&amp;"",tbl_Production[Job Number],0)),INDEX(tbl_Production[Current RMS No],MATCH(E364&amp;"",tbl_Production[Job Number],0)))="","",IF(INDEX(tbl_Production[Current RMS No],MATCH(E364&amp;"",tbl_Production[Job Number],0))="",INDEX(tbl_Production[Qwilr Quote],MATCH(E364&amp;"",tbl_Production[Job Number],0)),INDEX(tbl_Production[Current RMS No],MATCH(E364&amp;"",tbl_Production[Job Number],0)))),IFERROR(IF(INDEX(tbl_Consulting[Qwilr Quote],MATCH(E364&amp;"",tbl_Consulting[Job Number],0))="","",INDEX(tbl_Consulting[Qwilr Quote],MATCH(E364&amp;"",tbl_Consulting[Job Number],0))),""))))</f>
        <v/>
      </c>
      <c r="AD364" s="25">
        <f>IF(AC364="","",IF(AND(LEFT(AC364,4)&lt;&gt;"http",IF(H364="Production",set_RMSBase,set_QwilrBase)=""),"",HYPERLINK(IF(LEFT(AC364,4)="http",AC364,IF(H364="Production",set_RMSBase,set_QwilrBase)&amp;AC364),"Open")))</f>
        <v/>
      </c>
      <c r="AE364" s="27">
        <f>IF(E364="","",IFERROR(INDEX(tbl_Production[Total Expense],MATCH(E364&amp;"",tbl_Production[Job Number],0)),IFERROR(INDEX(tbl_Consulting[Total Expense],MATCH(E364&amp;"",tbl_Consulting[Job Number],0)),0)))</f>
        <v/>
      </c>
      <c r="AF364" s="27">
        <f>IF(E364="","",Z364-N(AE364))</f>
        <v/>
      </c>
      <c r="AG364" s="29">
        <f>IFERROR(AF364/Z364,"")</f>
        <v/>
      </c>
      <c r="AH364" s="25">
        <f>IF(E364="","",IFERROR(IF(INDEX(tbl_Onsite[Notes],MATCH(E364&amp;"",tbl_Onsite[Job Number],0))="","",INDEX(tbl_Onsite[Notes],MATCH(E364&amp;"",tbl_Onsite[Job Number],0))),IFERROR(IF(INDEX(tbl_Production[Notes],MATCH(E364&amp;"",tbl_Production[Job Number],0))="","",INDEX(tbl_Production[Notes],MATCH(E364&amp;"",tbl_Production[Job Number],0))),IFERROR(IF(INDEX(tbl_Consulting[Notes],MATCH(E364&amp;"",tbl_Consulting[Job Number],0))="","",INDEX(tbl_Consulting[Notes],MATCH(E364&amp;"",tbl_Consulting[Job Number],0))),""))))</f>
        <v/>
      </c>
    </row>
    <row r="365" ht="15" customHeight="1">
      <c r="A365" s="22" t="n"/>
      <c r="B365" s="23">
        <f>IF(A365="","",EOMONTH(A365,0))</f>
        <v/>
      </c>
      <c r="C365" s="24" t="n"/>
      <c r="D365" s="24" t="n"/>
      <c r="E365" s="24" t="n"/>
      <c r="F365" s="25">
        <f>IF(E365="","",IF(COUNTIF(lst_Jobs,E365&amp;"")&gt;0,"OK","CHECK"))</f>
        <v/>
      </c>
      <c r="G365" s="24" t="n"/>
      <c r="H365" s="24" t="n"/>
      <c r="I365" s="24" t="n"/>
      <c r="J365" s="24" t="n"/>
      <c r="K365" s="24" t="n"/>
      <c r="L365" s="26" t="n"/>
      <c r="M365" s="27">
        <f>IF(L365="","",IF(K365="GST 10%",ROUND(L365*set_GSTRate,2),0))</f>
        <v/>
      </c>
      <c r="N365" s="27">
        <f>IF(L365="","",L365+M365)</f>
        <v/>
      </c>
      <c r="O365" s="24" t="n"/>
      <c r="P365" s="24" t="n"/>
      <c r="Q365" s="24" t="n"/>
      <c r="R365" s="22" t="n"/>
      <c r="S365" s="22" t="n"/>
      <c r="T365" s="24" t="n"/>
      <c r="U365" s="24" t="n"/>
      <c r="V365" s="25">
        <f>IF(COUNTA(A365,D365,C365,L365)=0,"",IF(A365="","No date - sits outside every month",IF(E365="","No job number",IF(F365="CHECK","Job number is not in the Xero job list",IF(I365="","No cost centre",IF(AND(P365="Y",C365=""),"Marked posted to Xero but has no invoice number",IF(AND(L365&lt;&gt;"",K365=""),"No tax code",IF(AND(L365&lt;&gt;"",O365=""),"No revenue GL code",""))))))))</f>
        <v/>
      </c>
      <c r="W365" s="25">
        <f>IF(E365="","",IF(COUNTIF(tbl_Onsite[Job Number],E365&amp;"")&gt;0,"Onsite",IF(COUNTIF(tbl_Production[Job Number],E365&amp;"")&gt;0,"Production",IF(COUNTIF(tbl_Consulting[Job Number],E365&amp;"")&gt;0,"Consulting","not set up yet"))))</f>
        <v/>
      </c>
      <c r="X365" s="25">
        <f>IF(E365="","",IFERROR(INDEX(lst_JobName,MATCH(E365&amp;"",lst_Jobs,0)),""))</f>
        <v/>
      </c>
      <c r="Y365" s="28">
        <f>IF(E365="","",COUNTIFS(tbl_Finance[Job Number],E365&amp;"",tbl_Finance[Ex GST],"&lt;&gt;"))</f>
        <v/>
      </c>
      <c r="Z365" s="27">
        <f>IF(E365="","",SUMIFS(tbl_Finance[Ex GST],tbl_Finance[Job Number],E365&amp;""))</f>
        <v/>
      </c>
      <c r="AA365" s="27">
        <f>IF(E365="","",SUMIFS(tbl_Finance[Ex GST],tbl_Finance[Job Number],E365&amp;"",tbl_Finance[Xero Invoice No],"&lt;&gt;"))</f>
        <v/>
      </c>
      <c r="AB365" s="27">
        <f>IF(E365="","",Z365-AA365)</f>
        <v/>
      </c>
      <c r="AC365" s="25">
        <f>IF(E365="","",IFERROR(IF(INDEX(tbl_Onsite[Qwilr Quote],MATCH(E365&amp;"",tbl_Onsite[Job Number],0))="","",INDEX(tbl_Onsite[Qwilr Quote],MATCH(E365&amp;"",tbl_Onsite[Job Number],0))),IFERROR(IF(IF(INDEX(tbl_Production[Current RMS No],MATCH(E365&amp;"",tbl_Production[Job Number],0))="",INDEX(tbl_Production[Qwilr Quote],MATCH(E365&amp;"",tbl_Production[Job Number],0)),INDEX(tbl_Production[Current RMS No],MATCH(E365&amp;"",tbl_Production[Job Number],0)))="","",IF(INDEX(tbl_Production[Current RMS No],MATCH(E365&amp;"",tbl_Production[Job Number],0))="",INDEX(tbl_Production[Qwilr Quote],MATCH(E365&amp;"",tbl_Production[Job Number],0)),INDEX(tbl_Production[Current RMS No],MATCH(E365&amp;"",tbl_Production[Job Number],0)))),IFERROR(IF(INDEX(tbl_Consulting[Qwilr Quote],MATCH(E365&amp;"",tbl_Consulting[Job Number],0))="","",INDEX(tbl_Consulting[Qwilr Quote],MATCH(E365&amp;"",tbl_Consulting[Job Number],0))),""))))</f>
        <v/>
      </c>
      <c r="AD365" s="25">
        <f>IF(AC365="","",IF(AND(LEFT(AC365,4)&lt;&gt;"http",IF(H365="Production",set_RMSBase,set_QwilrBase)=""),"",HYPERLINK(IF(LEFT(AC365,4)="http",AC365,IF(H365="Production",set_RMSBase,set_QwilrBase)&amp;AC365),"Open")))</f>
        <v/>
      </c>
      <c r="AE365" s="27">
        <f>IF(E365="","",IFERROR(INDEX(tbl_Production[Total Expense],MATCH(E365&amp;"",tbl_Production[Job Number],0)),IFERROR(INDEX(tbl_Consulting[Total Expense],MATCH(E365&amp;"",tbl_Consulting[Job Number],0)),0)))</f>
        <v/>
      </c>
      <c r="AF365" s="27">
        <f>IF(E365="","",Z365-N(AE365))</f>
        <v/>
      </c>
      <c r="AG365" s="29">
        <f>IFERROR(AF365/Z365,"")</f>
        <v/>
      </c>
      <c r="AH365" s="25">
        <f>IF(E365="","",IFERROR(IF(INDEX(tbl_Onsite[Notes],MATCH(E365&amp;"",tbl_Onsite[Job Number],0))="","",INDEX(tbl_Onsite[Notes],MATCH(E365&amp;"",tbl_Onsite[Job Number],0))),IFERROR(IF(INDEX(tbl_Production[Notes],MATCH(E365&amp;"",tbl_Production[Job Number],0))="","",INDEX(tbl_Production[Notes],MATCH(E365&amp;"",tbl_Production[Job Number],0))),IFERROR(IF(INDEX(tbl_Consulting[Notes],MATCH(E365&amp;"",tbl_Consulting[Job Number],0))="","",INDEX(tbl_Consulting[Notes],MATCH(E365&amp;"",tbl_Consulting[Job Number],0))),""))))</f>
        <v/>
      </c>
    </row>
    <row r="366" ht="15" customHeight="1">
      <c r="A366" s="22" t="n"/>
      <c r="B366" s="23">
        <f>IF(A366="","",EOMONTH(A366,0))</f>
        <v/>
      </c>
      <c r="C366" s="24" t="n"/>
      <c r="D366" s="24" t="n"/>
      <c r="E366" s="24" t="n"/>
      <c r="F366" s="25">
        <f>IF(E366="","",IF(COUNTIF(lst_Jobs,E366&amp;"")&gt;0,"OK","CHECK"))</f>
        <v/>
      </c>
      <c r="G366" s="24" t="n"/>
      <c r="H366" s="24" t="n"/>
      <c r="I366" s="24" t="n"/>
      <c r="J366" s="24" t="n"/>
      <c r="K366" s="24" t="n"/>
      <c r="L366" s="26" t="n"/>
      <c r="M366" s="27">
        <f>IF(L366="","",IF(K366="GST 10%",ROUND(L366*set_GSTRate,2),0))</f>
        <v/>
      </c>
      <c r="N366" s="27">
        <f>IF(L366="","",L366+M366)</f>
        <v/>
      </c>
      <c r="O366" s="24" t="n"/>
      <c r="P366" s="24" t="n"/>
      <c r="Q366" s="24" t="n"/>
      <c r="R366" s="22" t="n"/>
      <c r="S366" s="22" t="n"/>
      <c r="T366" s="24" t="n"/>
      <c r="U366" s="24" t="n"/>
      <c r="V366" s="25">
        <f>IF(COUNTA(A366,D366,C366,L366)=0,"",IF(A366="","No date - sits outside every month",IF(E366="","No job number",IF(F366="CHECK","Job number is not in the Xero job list",IF(I366="","No cost centre",IF(AND(P366="Y",C366=""),"Marked posted to Xero but has no invoice number",IF(AND(L366&lt;&gt;"",K366=""),"No tax code",IF(AND(L366&lt;&gt;"",O366=""),"No revenue GL code",""))))))))</f>
        <v/>
      </c>
      <c r="W366" s="25">
        <f>IF(E366="","",IF(COUNTIF(tbl_Onsite[Job Number],E366&amp;"")&gt;0,"Onsite",IF(COUNTIF(tbl_Production[Job Number],E366&amp;"")&gt;0,"Production",IF(COUNTIF(tbl_Consulting[Job Number],E366&amp;"")&gt;0,"Consulting","not set up yet"))))</f>
        <v/>
      </c>
      <c r="X366" s="25">
        <f>IF(E366="","",IFERROR(INDEX(lst_JobName,MATCH(E366&amp;"",lst_Jobs,0)),""))</f>
        <v/>
      </c>
      <c r="Y366" s="28">
        <f>IF(E366="","",COUNTIFS(tbl_Finance[Job Number],E366&amp;"",tbl_Finance[Ex GST],"&lt;&gt;"))</f>
        <v/>
      </c>
      <c r="Z366" s="27">
        <f>IF(E366="","",SUMIFS(tbl_Finance[Ex GST],tbl_Finance[Job Number],E366&amp;""))</f>
        <v/>
      </c>
      <c r="AA366" s="27">
        <f>IF(E366="","",SUMIFS(tbl_Finance[Ex GST],tbl_Finance[Job Number],E366&amp;"",tbl_Finance[Xero Invoice No],"&lt;&gt;"))</f>
        <v/>
      </c>
      <c r="AB366" s="27">
        <f>IF(E366="","",Z366-AA366)</f>
        <v/>
      </c>
      <c r="AC366" s="25">
        <f>IF(E366="","",IFERROR(IF(INDEX(tbl_Onsite[Qwilr Quote],MATCH(E366&amp;"",tbl_Onsite[Job Number],0))="","",INDEX(tbl_Onsite[Qwilr Quote],MATCH(E366&amp;"",tbl_Onsite[Job Number],0))),IFERROR(IF(IF(INDEX(tbl_Production[Current RMS No],MATCH(E366&amp;"",tbl_Production[Job Number],0))="",INDEX(tbl_Production[Qwilr Quote],MATCH(E366&amp;"",tbl_Production[Job Number],0)),INDEX(tbl_Production[Current RMS No],MATCH(E366&amp;"",tbl_Production[Job Number],0)))="","",IF(INDEX(tbl_Production[Current RMS No],MATCH(E366&amp;"",tbl_Production[Job Number],0))="",INDEX(tbl_Production[Qwilr Quote],MATCH(E366&amp;"",tbl_Production[Job Number],0)),INDEX(tbl_Production[Current RMS No],MATCH(E366&amp;"",tbl_Production[Job Number],0)))),IFERROR(IF(INDEX(tbl_Consulting[Qwilr Quote],MATCH(E366&amp;"",tbl_Consulting[Job Number],0))="","",INDEX(tbl_Consulting[Qwilr Quote],MATCH(E366&amp;"",tbl_Consulting[Job Number],0))),""))))</f>
        <v/>
      </c>
      <c r="AD366" s="25">
        <f>IF(AC366="","",IF(AND(LEFT(AC366,4)&lt;&gt;"http",IF(H366="Production",set_RMSBase,set_QwilrBase)=""),"",HYPERLINK(IF(LEFT(AC366,4)="http",AC366,IF(H366="Production",set_RMSBase,set_QwilrBase)&amp;AC366),"Open")))</f>
        <v/>
      </c>
      <c r="AE366" s="27">
        <f>IF(E366="","",IFERROR(INDEX(tbl_Production[Total Expense],MATCH(E366&amp;"",tbl_Production[Job Number],0)),IFERROR(INDEX(tbl_Consulting[Total Expense],MATCH(E366&amp;"",tbl_Consulting[Job Number],0)),0)))</f>
        <v/>
      </c>
      <c r="AF366" s="27">
        <f>IF(E366="","",Z366-N(AE366))</f>
        <v/>
      </c>
      <c r="AG366" s="29">
        <f>IFERROR(AF366/Z366,"")</f>
        <v/>
      </c>
      <c r="AH366" s="25">
        <f>IF(E366="","",IFERROR(IF(INDEX(tbl_Onsite[Notes],MATCH(E366&amp;"",tbl_Onsite[Job Number],0))="","",INDEX(tbl_Onsite[Notes],MATCH(E366&amp;"",tbl_Onsite[Job Number],0))),IFERROR(IF(INDEX(tbl_Production[Notes],MATCH(E366&amp;"",tbl_Production[Job Number],0))="","",INDEX(tbl_Production[Notes],MATCH(E366&amp;"",tbl_Production[Job Number],0))),IFERROR(IF(INDEX(tbl_Consulting[Notes],MATCH(E366&amp;"",tbl_Consulting[Job Number],0))="","",INDEX(tbl_Consulting[Notes],MATCH(E366&amp;"",tbl_Consulting[Job Number],0))),""))))</f>
        <v/>
      </c>
    </row>
    <row r="367" ht="15" customHeight="1">
      <c r="A367" s="22" t="n"/>
      <c r="B367" s="23">
        <f>IF(A367="","",EOMONTH(A367,0))</f>
        <v/>
      </c>
      <c r="C367" s="24" t="n"/>
      <c r="D367" s="24" t="n"/>
      <c r="E367" s="24" t="n"/>
      <c r="F367" s="25">
        <f>IF(E367="","",IF(COUNTIF(lst_Jobs,E367&amp;"")&gt;0,"OK","CHECK"))</f>
        <v/>
      </c>
      <c r="G367" s="24" t="n"/>
      <c r="H367" s="24" t="n"/>
      <c r="I367" s="24" t="n"/>
      <c r="J367" s="24" t="n"/>
      <c r="K367" s="24" t="n"/>
      <c r="L367" s="26" t="n"/>
      <c r="M367" s="27">
        <f>IF(L367="","",IF(K367="GST 10%",ROUND(L367*set_GSTRate,2),0))</f>
        <v/>
      </c>
      <c r="N367" s="27">
        <f>IF(L367="","",L367+M367)</f>
        <v/>
      </c>
      <c r="O367" s="24" t="n"/>
      <c r="P367" s="24" t="n"/>
      <c r="Q367" s="24" t="n"/>
      <c r="R367" s="22" t="n"/>
      <c r="S367" s="22" t="n"/>
      <c r="T367" s="24" t="n"/>
      <c r="U367" s="24" t="n"/>
      <c r="V367" s="25">
        <f>IF(COUNTA(A367,D367,C367,L367)=0,"",IF(A367="","No date - sits outside every month",IF(E367="","No job number",IF(F367="CHECK","Job number is not in the Xero job list",IF(I367="","No cost centre",IF(AND(P367="Y",C367=""),"Marked posted to Xero but has no invoice number",IF(AND(L367&lt;&gt;"",K367=""),"No tax code",IF(AND(L367&lt;&gt;"",O367=""),"No revenue GL code",""))))))))</f>
        <v/>
      </c>
      <c r="W367" s="25">
        <f>IF(E367="","",IF(COUNTIF(tbl_Onsite[Job Number],E367&amp;"")&gt;0,"Onsite",IF(COUNTIF(tbl_Production[Job Number],E367&amp;"")&gt;0,"Production",IF(COUNTIF(tbl_Consulting[Job Number],E367&amp;"")&gt;0,"Consulting","not set up yet"))))</f>
        <v/>
      </c>
      <c r="X367" s="25">
        <f>IF(E367="","",IFERROR(INDEX(lst_JobName,MATCH(E367&amp;"",lst_Jobs,0)),""))</f>
        <v/>
      </c>
      <c r="Y367" s="28">
        <f>IF(E367="","",COUNTIFS(tbl_Finance[Job Number],E367&amp;"",tbl_Finance[Ex GST],"&lt;&gt;"))</f>
        <v/>
      </c>
      <c r="Z367" s="27">
        <f>IF(E367="","",SUMIFS(tbl_Finance[Ex GST],tbl_Finance[Job Number],E367&amp;""))</f>
        <v/>
      </c>
      <c r="AA367" s="27">
        <f>IF(E367="","",SUMIFS(tbl_Finance[Ex GST],tbl_Finance[Job Number],E367&amp;"",tbl_Finance[Xero Invoice No],"&lt;&gt;"))</f>
        <v/>
      </c>
      <c r="AB367" s="27">
        <f>IF(E367="","",Z367-AA367)</f>
        <v/>
      </c>
      <c r="AC367" s="25">
        <f>IF(E367="","",IFERROR(IF(INDEX(tbl_Onsite[Qwilr Quote],MATCH(E367&amp;"",tbl_Onsite[Job Number],0))="","",INDEX(tbl_Onsite[Qwilr Quote],MATCH(E367&amp;"",tbl_Onsite[Job Number],0))),IFERROR(IF(IF(INDEX(tbl_Production[Current RMS No],MATCH(E367&amp;"",tbl_Production[Job Number],0))="",INDEX(tbl_Production[Qwilr Quote],MATCH(E367&amp;"",tbl_Production[Job Number],0)),INDEX(tbl_Production[Current RMS No],MATCH(E367&amp;"",tbl_Production[Job Number],0)))="","",IF(INDEX(tbl_Production[Current RMS No],MATCH(E367&amp;"",tbl_Production[Job Number],0))="",INDEX(tbl_Production[Qwilr Quote],MATCH(E367&amp;"",tbl_Production[Job Number],0)),INDEX(tbl_Production[Current RMS No],MATCH(E367&amp;"",tbl_Production[Job Number],0)))),IFERROR(IF(INDEX(tbl_Consulting[Qwilr Quote],MATCH(E367&amp;"",tbl_Consulting[Job Number],0))="","",INDEX(tbl_Consulting[Qwilr Quote],MATCH(E367&amp;"",tbl_Consulting[Job Number],0))),""))))</f>
        <v/>
      </c>
      <c r="AD367" s="25">
        <f>IF(AC367="","",IF(AND(LEFT(AC367,4)&lt;&gt;"http",IF(H367="Production",set_RMSBase,set_QwilrBase)=""),"",HYPERLINK(IF(LEFT(AC367,4)="http",AC367,IF(H367="Production",set_RMSBase,set_QwilrBase)&amp;AC367),"Open")))</f>
        <v/>
      </c>
      <c r="AE367" s="27">
        <f>IF(E367="","",IFERROR(INDEX(tbl_Production[Total Expense],MATCH(E367&amp;"",tbl_Production[Job Number],0)),IFERROR(INDEX(tbl_Consulting[Total Expense],MATCH(E367&amp;"",tbl_Consulting[Job Number],0)),0)))</f>
        <v/>
      </c>
      <c r="AF367" s="27">
        <f>IF(E367="","",Z367-N(AE367))</f>
        <v/>
      </c>
      <c r="AG367" s="29">
        <f>IFERROR(AF367/Z367,"")</f>
        <v/>
      </c>
      <c r="AH367" s="25">
        <f>IF(E367="","",IFERROR(IF(INDEX(tbl_Onsite[Notes],MATCH(E367&amp;"",tbl_Onsite[Job Number],0))="","",INDEX(tbl_Onsite[Notes],MATCH(E367&amp;"",tbl_Onsite[Job Number],0))),IFERROR(IF(INDEX(tbl_Production[Notes],MATCH(E367&amp;"",tbl_Production[Job Number],0))="","",INDEX(tbl_Production[Notes],MATCH(E367&amp;"",tbl_Production[Job Number],0))),IFERROR(IF(INDEX(tbl_Consulting[Notes],MATCH(E367&amp;"",tbl_Consulting[Job Number],0))="","",INDEX(tbl_Consulting[Notes],MATCH(E367&amp;"",tbl_Consulting[Job Number],0))),""))))</f>
        <v/>
      </c>
    </row>
    <row r="368" ht="15" customHeight="1">
      <c r="A368" s="22" t="n"/>
      <c r="B368" s="23">
        <f>IF(A368="","",EOMONTH(A368,0))</f>
        <v/>
      </c>
      <c r="C368" s="24" t="n"/>
      <c r="D368" s="24" t="n"/>
      <c r="E368" s="24" t="n"/>
      <c r="F368" s="25">
        <f>IF(E368="","",IF(COUNTIF(lst_Jobs,E368&amp;"")&gt;0,"OK","CHECK"))</f>
        <v/>
      </c>
      <c r="G368" s="24" t="n"/>
      <c r="H368" s="24" t="n"/>
      <c r="I368" s="24" t="n"/>
      <c r="J368" s="24" t="n"/>
      <c r="K368" s="24" t="n"/>
      <c r="L368" s="26" t="n"/>
      <c r="M368" s="27">
        <f>IF(L368="","",IF(K368="GST 10%",ROUND(L368*set_GSTRate,2),0))</f>
        <v/>
      </c>
      <c r="N368" s="27">
        <f>IF(L368="","",L368+M368)</f>
        <v/>
      </c>
      <c r="O368" s="24" t="n"/>
      <c r="P368" s="24" t="n"/>
      <c r="Q368" s="24" t="n"/>
      <c r="R368" s="22" t="n"/>
      <c r="S368" s="22" t="n"/>
      <c r="T368" s="24" t="n"/>
      <c r="U368" s="24" t="n"/>
      <c r="V368" s="25">
        <f>IF(COUNTA(A368,D368,C368,L368)=0,"",IF(A368="","No date - sits outside every month",IF(E368="","No job number",IF(F368="CHECK","Job number is not in the Xero job list",IF(I368="","No cost centre",IF(AND(P368="Y",C368=""),"Marked posted to Xero but has no invoice number",IF(AND(L368&lt;&gt;"",K368=""),"No tax code",IF(AND(L368&lt;&gt;"",O368=""),"No revenue GL code",""))))))))</f>
        <v/>
      </c>
      <c r="W368" s="25">
        <f>IF(E368="","",IF(COUNTIF(tbl_Onsite[Job Number],E368&amp;"")&gt;0,"Onsite",IF(COUNTIF(tbl_Production[Job Number],E368&amp;"")&gt;0,"Production",IF(COUNTIF(tbl_Consulting[Job Number],E368&amp;"")&gt;0,"Consulting","not set up yet"))))</f>
        <v/>
      </c>
      <c r="X368" s="25">
        <f>IF(E368="","",IFERROR(INDEX(lst_JobName,MATCH(E368&amp;"",lst_Jobs,0)),""))</f>
        <v/>
      </c>
      <c r="Y368" s="28">
        <f>IF(E368="","",COUNTIFS(tbl_Finance[Job Number],E368&amp;"",tbl_Finance[Ex GST],"&lt;&gt;"))</f>
        <v/>
      </c>
      <c r="Z368" s="27">
        <f>IF(E368="","",SUMIFS(tbl_Finance[Ex GST],tbl_Finance[Job Number],E368&amp;""))</f>
        <v/>
      </c>
      <c r="AA368" s="27">
        <f>IF(E368="","",SUMIFS(tbl_Finance[Ex GST],tbl_Finance[Job Number],E368&amp;"",tbl_Finance[Xero Invoice No],"&lt;&gt;"))</f>
        <v/>
      </c>
      <c r="AB368" s="27">
        <f>IF(E368="","",Z368-AA368)</f>
        <v/>
      </c>
      <c r="AC368" s="25">
        <f>IF(E368="","",IFERROR(IF(INDEX(tbl_Onsite[Qwilr Quote],MATCH(E368&amp;"",tbl_Onsite[Job Number],0))="","",INDEX(tbl_Onsite[Qwilr Quote],MATCH(E368&amp;"",tbl_Onsite[Job Number],0))),IFERROR(IF(IF(INDEX(tbl_Production[Current RMS No],MATCH(E368&amp;"",tbl_Production[Job Number],0))="",INDEX(tbl_Production[Qwilr Quote],MATCH(E368&amp;"",tbl_Production[Job Number],0)),INDEX(tbl_Production[Current RMS No],MATCH(E368&amp;"",tbl_Production[Job Number],0)))="","",IF(INDEX(tbl_Production[Current RMS No],MATCH(E368&amp;"",tbl_Production[Job Number],0))="",INDEX(tbl_Production[Qwilr Quote],MATCH(E368&amp;"",tbl_Production[Job Number],0)),INDEX(tbl_Production[Current RMS No],MATCH(E368&amp;"",tbl_Production[Job Number],0)))),IFERROR(IF(INDEX(tbl_Consulting[Qwilr Quote],MATCH(E368&amp;"",tbl_Consulting[Job Number],0))="","",INDEX(tbl_Consulting[Qwilr Quote],MATCH(E368&amp;"",tbl_Consulting[Job Number],0))),""))))</f>
        <v/>
      </c>
      <c r="AD368" s="25">
        <f>IF(AC368="","",IF(AND(LEFT(AC368,4)&lt;&gt;"http",IF(H368="Production",set_RMSBase,set_QwilrBase)=""),"",HYPERLINK(IF(LEFT(AC368,4)="http",AC368,IF(H368="Production",set_RMSBase,set_QwilrBase)&amp;AC368),"Open")))</f>
        <v/>
      </c>
      <c r="AE368" s="27">
        <f>IF(E368="","",IFERROR(INDEX(tbl_Production[Total Expense],MATCH(E368&amp;"",tbl_Production[Job Number],0)),IFERROR(INDEX(tbl_Consulting[Total Expense],MATCH(E368&amp;"",tbl_Consulting[Job Number],0)),0)))</f>
        <v/>
      </c>
      <c r="AF368" s="27">
        <f>IF(E368="","",Z368-N(AE368))</f>
        <v/>
      </c>
      <c r="AG368" s="29">
        <f>IFERROR(AF368/Z368,"")</f>
        <v/>
      </c>
      <c r="AH368" s="25">
        <f>IF(E368="","",IFERROR(IF(INDEX(tbl_Onsite[Notes],MATCH(E368&amp;"",tbl_Onsite[Job Number],0))="","",INDEX(tbl_Onsite[Notes],MATCH(E368&amp;"",tbl_Onsite[Job Number],0))),IFERROR(IF(INDEX(tbl_Production[Notes],MATCH(E368&amp;"",tbl_Production[Job Number],0))="","",INDEX(tbl_Production[Notes],MATCH(E368&amp;"",tbl_Production[Job Number],0))),IFERROR(IF(INDEX(tbl_Consulting[Notes],MATCH(E368&amp;"",tbl_Consulting[Job Number],0))="","",INDEX(tbl_Consulting[Notes],MATCH(E368&amp;"",tbl_Consulting[Job Number],0))),""))))</f>
        <v/>
      </c>
    </row>
    <row r="369" ht="15" customHeight="1">
      <c r="A369" s="22" t="n"/>
      <c r="B369" s="23">
        <f>IF(A369="","",EOMONTH(A369,0))</f>
        <v/>
      </c>
      <c r="C369" s="24" t="n"/>
      <c r="D369" s="24" t="n"/>
      <c r="E369" s="24" t="n"/>
      <c r="F369" s="25">
        <f>IF(E369="","",IF(COUNTIF(lst_Jobs,E369&amp;"")&gt;0,"OK","CHECK"))</f>
        <v/>
      </c>
      <c r="G369" s="24" t="n"/>
      <c r="H369" s="24" t="n"/>
      <c r="I369" s="24" t="n"/>
      <c r="J369" s="24" t="n"/>
      <c r="K369" s="24" t="n"/>
      <c r="L369" s="26" t="n"/>
      <c r="M369" s="27">
        <f>IF(L369="","",IF(K369="GST 10%",ROUND(L369*set_GSTRate,2),0))</f>
        <v/>
      </c>
      <c r="N369" s="27">
        <f>IF(L369="","",L369+M369)</f>
        <v/>
      </c>
      <c r="O369" s="24" t="n"/>
      <c r="P369" s="24" t="n"/>
      <c r="Q369" s="24" t="n"/>
      <c r="R369" s="22" t="n"/>
      <c r="S369" s="22" t="n"/>
      <c r="T369" s="24" t="n"/>
      <c r="U369" s="24" t="n"/>
      <c r="V369" s="25">
        <f>IF(COUNTA(A369,D369,C369,L369)=0,"",IF(A369="","No date - sits outside every month",IF(E369="","No job number",IF(F369="CHECK","Job number is not in the Xero job list",IF(I369="","No cost centre",IF(AND(P369="Y",C369=""),"Marked posted to Xero but has no invoice number",IF(AND(L369&lt;&gt;"",K369=""),"No tax code",IF(AND(L369&lt;&gt;"",O369=""),"No revenue GL code",""))))))))</f>
        <v/>
      </c>
      <c r="W369" s="25">
        <f>IF(E369="","",IF(COUNTIF(tbl_Onsite[Job Number],E369&amp;"")&gt;0,"Onsite",IF(COUNTIF(tbl_Production[Job Number],E369&amp;"")&gt;0,"Production",IF(COUNTIF(tbl_Consulting[Job Number],E369&amp;"")&gt;0,"Consulting","not set up yet"))))</f>
        <v/>
      </c>
      <c r="X369" s="25">
        <f>IF(E369="","",IFERROR(INDEX(lst_JobName,MATCH(E369&amp;"",lst_Jobs,0)),""))</f>
        <v/>
      </c>
      <c r="Y369" s="28">
        <f>IF(E369="","",COUNTIFS(tbl_Finance[Job Number],E369&amp;"",tbl_Finance[Ex GST],"&lt;&gt;"))</f>
        <v/>
      </c>
      <c r="Z369" s="27">
        <f>IF(E369="","",SUMIFS(tbl_Finance[Ex GST],tbl_Finance[Job Number],E369&amp;""))</f>
        <v/>
      </c>
      <c r="AA369" s="27">
        <f>IF(E369="","",SUMIFS(tbl_Finance[Ex GST],tbl_Finance[Job Number],E369&amp;"",tbl_Finance[Xero Invoice No],"&lt;&gt;"))</f>
        <v/>
      </c>
      <c r="AB369" s="27">
        <f>IF(E369="","",Z369-AA369)</f>
        <v/>
      </c>
      <c r="AC369" s="25">
        <f>IF(E369="","",IFERROR(IF(INDEX(tbl_Onsite[Qwilr Quote],MATCH(E369&amp;"",tbl_Onsite[Job Number],0))="","",INDEX(tbl_Onsite[Qwilr Quote],MATCH(E369&amp;"",tbl_Onsite[Job Number],0))),IFERROR(IF(IF(INDEX(tbl_Production[Current RMS No],MATCH(E369&amp;"",tbl_Production[Job Number],0))="",INDEX(tbl_Production[Qwilr Quote],MATCH(E369&amp;"",tbl_Production[Job Number],0)),INDEX(tbl_Production[Current RMS No],MATCH(E369&amp;"",tbl_Production[Job Number],0)))="","",IF(INDEX(tbl_Production[Current RMS No],MATCH(E369&amp;"",tbl_Production[Job Number],0))="",INDEX(tbl_Production[Qwilr Quote],MATCH(E369&amp;"",tbl_Production[Job Number],0)),INDEX(tbl_Production[Current RMS No],MATCH(E369&amp;"",tbl_Production[Job Number],0)))),IFERROR(IF(INDEX(tbl_Consulting[Qwilr Quote],MATCH(E369&amp;"",tbl_Consulting[Job Number],0))="","",INDEX(tbl_Consulting[Qwilr Quote],MATCH(E369&amp;"",tbl_Consulting[Job Number],0))),""))))</f>
        <v/>
      </c>
      <c r="AD369" s="25">
        <f>IF(AC369="","",IF(AND(LEFT(AC369,4)&lt;&gt;"http",IF(H369="Production",set_RMSBase,set_QwilrBase)=""),"",HYPERLINK(IF(LEFT(AC369,4)="http",AC369,IF(H369="Production",set_RMSBase,set_QwilrBase)&amp;AC369),"Open")))</f>
        <v/>
      </c>
      <c r="AE369" s="27">
        <f>IF(E369="","",IFERROR(INDEX(tbl_Production[Total Expense],MATCH(E369&amp;"",tbl_Production[Job Number],0)),IFERROR(INDEX(tbl_Consulting[Total Expense],MATCH(E369&amp;"",tbl_Consulting[Job Number],0)),0)))</f>
        <v/>
      </c>
      <c r="AF369" s="27">
        <f>IF(E369="","",Z369-N(AE369))</f>
        <v/>
      </c>
      <c r="AG369" s="29">
        <f>IFERROR(AF369/Z369,"")</f>
        <v/>
      </c>
      <c r="AH369" s="25">
        <f>IF(E369="","",IFERROR(IF(INDEX(tbl_Onsite[Notes],MATCH(E369&amp;"",tbl_Onsite[Job Number],0))="","",INDEX(tbl_Onsite[Notes],MATCH(E369&amp;"",tbl_Onsite[Job Number],0))),IFERROR(IF(INDEX(tbl_Production[Notes],MATCH(E369&amp;"",tbl_Production[Job Number],0))="","",INDEX(tbl_Production[Notes],MATCH(E369&amp;"",tbl_Production[Job Number],0))),IFERROR(IF(INDEX(tbl_Consulting[Notes],MATCH(E369&amp;"",tbl_Consulting[Job Number],0))="","",INDEX(tbl_Consulting[Notes],MATCH(E369&amp;"",tbl_Consulting[Job Number],0))),""))))</f>
        <v/>
      </c>
    </row>
    <row r="370" ht="15" customHeight="1">
      <c r="A370" s="22" t="n"/>
      <c r="B370" s="23">
        <f>IF(A370="","",EOMONTH(A370,0))</f>
        <v/>
      </c>
      <c r="C370" s="24" t="n"/>
      <c r="D370" s="24" t="n"/>
      <c r="E370" s="24" t="n"/>
      <c r="F370" s="25">
        <f>IF(E370="","",IF(COUNTIF(lst_Jobs,E370&amp;"")&gt;0,"OK","CHECK"))</f>
        <v/>
      </c>
      <c r="G370" s="24" t="n"/>
      <c r="H370" s="24" t="n"/>
      <c r="I370" s="24" t="n"/>
      <c r="J370" s="24" t="n"/>
      <c r="K370" s="24" t="n"/>
      <c r="L370" s="26" t="n"/>
      <c r="M370" s="27">
        <f>IF(L370="","",IF(K370="GST 10%",ROUND(L370*set_GSTRate,2),0))</f>
        <v/>
      </c>
      <c r="N370" s="27">
        <f>IF(L370="","",L370+M370)</f>
        <v/>
      </c>
      <c r="O370" s="24" t="n"/>
      <c r="P370" s="24" t="n"/>
      <c r="Q370" s="24" t="n"/>
      <c r="R370" s="22" t="n"/>
      <c r="S370" s="22" t="n"/>
      <c r="T370" s="24" t="n"/>
      <c r="U370" s="24" t="n"/>
      <c r="V370" s="25">
        <f>IF(COUNTA(A370,D370,C370,L370)=0,"",IF(A370="","No date - sits outside every month",IF(E370="","No job number",IF(F370="CHECK","Job number is not in the Xero job list",IF(I370="","No cost centre",IF(AND(P370="Y",C370=""),"Marked posted to Xero but has no invoice number",IF(AND(L370&lt;&gt;"",K370=""),"No tax code",IF(AND(L370&lt;&gt;"",O370=""),"No revenue GL code",""))))))))</f>
        <v/>
      </c>
      <c r="W370" s="25">
        <f>IF(E370="","",IF(COUNTIF(tbl_Onsite[Job Number],E370&amp;"")&gt;0,"Onsite",IF(COUNTIF(tbl_Production[Job Number],E370&amp;"")&gt;0,"Production",IF(COUNTIF(tbl_Consulting[Job Number],E370&amp;"")&gt;0,"Consulting","not set up yet"))))</f>
        <v/>
      </c>
      <c r="X370" s="25">
        <f>IF(E370="","",IFERROR(INDEX(lst_JobName,MATCH(E370&amp;"",lst_Jobs,0)),""))</f>
        <v/>
      </c>
      <c r="Y370" s="28">
        <f>IF(E370="","",COUNTIFS(tbl_Finance[Job Number],E370&amp;"",tbl_Finance[Ex GST],"&lt;&gt;"))</f>
        <v/>
      </c>
      <c r="Z370" s="27">
        <f>IF(E370="","",SUMIFS(tbl_Finance[Ex GST],tbl_Finance[Job Number],E370&amp;""))</f>
        <v/>
      </c>
      <c r="AA370" s="27">
        <f>IF(E370="","",SUMIFS(tbl_Finance[Ex GST],tbl_Finance[Job Number],E370&amp;"",tbl_Finance[Xero Invoice No],"&lt;&gt;"))</f>
        <v/>
      </c>
      <c r="AB370" s="27">
        <f>IF(E370="","",Z370-AA370)</f>
        <v/>
      </c>
      <c r="AC370" s="25">
        <f>IF(E370="","",IFERROR(IF(INDEX(tbl_Onsite[Qwilr Quote],MATCH(E370&amp;"",tbl_Onsite[Job Number],0))="","",INDEX(tbl_Onsite[Qwilr Quote],MATCH(E370&amp;"",tbl_Onsite[Job Number],0))),IFERROR(IF(IF(INDEX(tbl_Production[Current RMS No],MATCH(E370&amp;"",tbl_Production[Job Number],0))="",INDEX(tbl_Production[Qwilr Quote],MATCH(E370&amp;"",tbl_Production[Job Number],0)),INDEX(tbl_Production[Current RMS No],MATCH(E370&amp;"",tbl_Production[Job Number],0)))="","",IF(INDEX(tbl_Production[Current RMS No],MATCH(E370&amp;"",tbl_Production[Job Number],0))="",INDEX(tbl_Production[Qwilr Quote],MATCH(E370&amp;"",tbl_Production[Job Number],0)),INDEX(tbl_Production[Current RMS No],MATCH(E370&amp;"",tbl_Production[Job Number],0)))),IFERROR(IF(INDEX(tbl_Consulting[Qwilr Quote],MATCH(E370&amp;"",tbl_Consulting[Job Number],0))="","",INDEX(tbl_Consulting[Qwilr Quote],MATCH(E370&amp;"",tbl_Consulting[Job Number],0))),""))))</f>
        <v/>
      </c>
      <c r="AD370" s="25">
        <f>IF(AC370="","",IF(AND(LEFT(AC370,4)&lt;&gt;"http",IF(H370="Production",set_RMSBase,set_QwilrBase)=""),"",HYPERLINK(IF(LEFT(AC370,4)="http",AC370,IF(H370="Production",set_RMSBase,set_QwilrBase)&amp;AC370),"Open")))</f>
        <v/>
      </c>
      <c r="AE370" s="27">
        <f>IF(E370="","",IFERROR(INDEX(tbl_Production[Total Expense],MATCH(E370&amp;"",tbl_Production[Job Number],0)),IFERROR(INDEX(tbl_Consulting[Total Expense],MATCH(E370&amp;"",tbl_Consulting[Job Number],0)),0)))</f>
        <v/>
      </c>
      <c r="AF370" s="27">
        <f>IF(E370="","",Z370-N(AE370))</f>
        <v/>
      </c>
      <c r="AG370" s="29">
        <f>IFERROR(AF370/Z370,"")</f>
        <v/>
      </c>
      <c r="AH370" s="25">
        <f>IF(E370="","",IFERROR(IF(INDEX(tbl_Onsite[Notes],MATCH(E370&amp;"",tbl_Onsite[Job Number],0))="","",INDEX(tbl_Onsite[Notes],MATCH(E370&amp;"",tbl_Onsite[Job Number],0))),IFERROR(IF(INDEX(tbl_Production[Notes],MATCH(E370&amp;"",tbl_Production[Job Number],0))="","",INDEX(tbl_Production[Notes],MATCH(E370&amp;"",tbl_Production[Job Number],0))),IFERROR(IF(INDEX(tbl_Consulting[Notes],MATCH(E370&amp;"",tbl_Consulting[Job Number],0))="","",INDEX(tbl_Consulting[Notes],MATCH(E370&amp;"",tbl_Consulting[Job Number],0))),""))))</f>
        <v/>
      </c>
    </row>
    <row r="371" ht="15" customHeight="1">
      <c r="A371" s="22" t="n"/>
      <c r="B371" s="23">
        <f>IF(A371="","",EOMONTH(A371,0))</f>
        <v/>
      </c>
      <c r="C371" s="24" t="n"/>
      <c r="D371" s="24" t="n"/>
      <c r="E371" s="24" t="n"/>
      <c r="F371" s="25">
        <f>IF(E371="","",IF(COUNTIF(lst_Jobs,E371&amp;"")&gt;0,"OK","CHECK"))</f>
        <v/>
      </c>
      <c r="G371" s="24" t="n"/>
      <c r="H371" s="24" t="n"/>
      <c r="I371" s="24" t="n"/>
      <c r="J371" s="24" t="n"/>
      <c r="K371" s="24" t="n"/>
      <c r="L371" s="26" t="n"/>
      <c r="M371" s="27">
        <f>IF(L371="","",IF(K371="GST 10%",ROUND(L371*set_GSTRate,2),0))</f>
        <v/>
      </c>
      <c r="N371" s="27">
        <f>IF(L371="","",L371+M371)</f>
        <v/>
      </c>
      <c r="O371" s="24" t="n"/>
      <c r="P371" s="24" t="n"/>
      <c r="Q371" s="24" t="n"/>
      <c r="R371" s="22" t="n"/>
      <c r="S371" s="22" t="n"/>
      <c r="T371" s="24" t="n"/>
      <c r="U371" s="24" t="n"/>
      <c r="V371" s="25">
        <f>IF(COUNTA(A371,D371,C371,L371)=0,"",IF(A371="","No date - sits outside every month",IF(E371="","No job number",IF(F371="CHECK","Job number is not in the Xero job list",IF(I371="","No cost centre",IF(AND(P371="Y",C371=""),"Marked posted to Xero but has no invoice number",IF(AND(L371&lt;&gt;"",K371=""),"No tax code",IF(AND(L371&lt;&gt;"",O371=""),"No revenue GL code",""))))))))</f>
        <v/>
      </c>
      <c r="W371" s="25">
        <f>IF(E371="","",IF(COUNTIF(tbl_Onsite[Job Number],E371&amp;"")&gt;0,"Onsite",IF(COUNTIF(tbl_Production[Job Number],E371&amp;"")&gt;0,"Production",IF(COUNTIF(tbl_Consulting[Job Number],E371&amp;"")&gt;0,"Consulting","not set up yet"))))</f>
        <v/>
      </c>
      <c r="X371" s="25">
        <f>IF(E371="","",IFERROR(INDEX(lst_JobName,MATCH(E371&amp;"",lst_Jobs,0)),""))</f>
        <v/>
      </c>
      <c r="Y371" s="28">
        <f>IF(E371="","",COUNTIFS(tbl_Finance[Job Number],E371&amp;"",tbl_Finance[Ex GST],"&lt;&gt;"))</f>
        <v/>
      </c>
      <c r="Z371" s="27">
        <f>IF(E371="","",SUMIFS(tbl_Finance[Ex GST],tbl_Finance[Job Number],E371&amp;""))</f>
        <v/>
      </c>
      <c r="AA371" s="27">
        <f>IF(E371="","",SUMIFS(tbl_Finance[Ex GST],tbl_Finance[Job Number],E371&amp;"",tbl_Finance[Xero Invoice No],"&lt;&gt;"))</f>
        <v/>
      </c>
      <c r="AB371" s="27">
        <f>IF(E371="","",Z371-AA371)</f>
        <v/>
      </c>
      <c r="AC371" s="25">
        <f>IF(E371="","",IFERROR(IF(INDEX(tbl_Onsite[Qwilr Quote],MATCH(E371&amp;"",tbl_Onsite[Job Number],0))="","",INDEX(tbl_Onsite[Qwilr Quote],MATCH(E371&amp;"",tbl_Onsite[Job Number],0))),IFERROR(IF(IF(INDEX(tbl_Production[Current RMS No],MATCH(E371&amp;"",tbl_Production[Job Number],0))="",INDEX(tbl_Production[Qwilr Quote],MATCH(E371&amp;"",tbl_Production[Job Number],0)),INDEX(tbl_Production[Current RMS No],MATCH(E371&amp;"",tbl_Production[Job Number],0)))="","",IF(INDEX(tbl_Production[Current RMS No],MATCH(E371&amp;"",tbl_Production[Job Number],0))="",INDEX(tbl_Production[Qwilr Quote],MATCH(E371&amp;"",tbl_Production[Job Number],0)),INDEX(tbl_Production[Current RMS No],MATCH(E371&amp;"",tbl_Production[Job Number],0)))),IFERROR(IF(INDEX(tbl_Consulting[Qwilr Quote],MATCH(E371&amp;"",tbl_Consulting[Job Number],0))="","",INDEX(tbl_Consulting[Qwilr Quote],MATCH(E371&amp;"",tbl_Consulting[Job Number],0))),""))))</f>
        <v/>
      </c>
      <c r="AD371" s="25">
        <f>IF(AC371="","",IF(AND(LEFT(AC371,4)&lt;&gt;"http",IF(H371="Production",set_RMSBase,set_QwilrBase)=""),"",HYPERLINK(IF(LEFT(AC371,4)="http",AC371,IF(H371="Production",set_RMSBase,set_QwilrBase)&amp;AC371),"Open")))</f>
        <v/>
      </c>
      <c r="AE371" s="27">
        <f>IF(E371="","",IFERROR(INDEX(tbl_Production[Total Expense],MATCH(E371&amp;"",tbl_Production[Job Number],0)),IFERROR(INDEX(tbl_Consulting[Total Expense],MATCH(E371&amp;"",tbl_Consulting[Job Number],0)),0)))</f>
        <v/>
      </c>
      <c r="AF371" s="27">
        <f>IF(E371="","",Z371-N(AE371))</f>
        <v/>
      </c>
      <c r="AG371" s="29">
        <f>IFERROR(AF371/Z371,"")</f>
        <v/>
      </c>
      <c r="AH371" s="25">
        <f>IF(E371="","",IFERROR(IF(INDEX(tbl_Onsite[Notes],MATCH(E371&amp;"",tbl_Onsite[Job Number],0))="","",INDEX(tbl_Onsite[Notes],MATCH(E371&amp;"",tbl_Onsite[Job Number],0))),IFERROR(IF(INDEX(tbl_Production[Notes],MATCH(E371&amp;"",tbl_Production[Job Number],0))="","",INDEX(tbl_Production[Notes],MATCH(E371&amp;"",tbl_Production[Job Number],0))),IFERROR(IF(INDEX(tbl_Consulting[Notes],MATCH(E371&amp;"",tbl_Consulting[Job Number],0))="","",INDEX(tbl_Consulting[Notes],MATCH(E371&amp;"",tbl_Consulting[Job Number],0))),""))))</f>
        <v/>
      </c>
    </row>
    <row r="372" ht="15" customHeight="1">
      <c r="A372" s="22" t="n"/>
      <c r="B372" s="23">
        <f>IF(A372="","",EOMONTH(A372,0))</f>
        <v/>
      </c>
      <c r="C372" s="24" t="n"/>
      <c r="D372" s="24" t="n"/>
      <c r="E372" s="24" t="n"/>
      <c r="F372" s="25">
        <f>IF(E372="","",IF(COUNTIF(lst_Jobs,E372&amp;"")&gt;0,"OK","CHECK"))</f>
        <v/>
      </c>
      <c r="G372" s="24" t="n"/>
      <c r="H372" s="24" t="n"/>
      <c r="I372" s="24" t="n"/>
      <c r="J372" s="24" t="n"/>
      <c r="K372" s="24" t="n"/>
      <c r="L372" s="26" t="n"/>
      <c r="M372" s="27">
        <f>IF(L372="","",IF(K372="GST 10%",ROUND(L372*set_GSTRate,2),0))</f>
        <v/>
      </c>
      <c r="N372" s="27">
        <f>IF(L372="","",L372+M372)</f>
        <v/>
      </c>
      <c r="O372" s="24" t="n"/>
      <c r="P372" s="24" t="n"/>
      <c r="Q372" s="24" t="n"/>
      <c r="R372" s="22" t="n"/>
      <c r="S372" s="22" t="n"/>
      <c r="T372" s="24" t="n"/>
      <c r="U372" s="24" t="n"/>
      <c r="V372" s="25">
        <f>IF(COUNTA(A372,D372,C372,L372)=0,"",IF(A372="","No date - sits outside every month",IF(E372="","No job number",IF(F372="CHECK","Job number is not in the Xero job list",IF(I372="","No cost centre",IF(AND(P372="Y",C372=""),"Marked posted to Xero but has no invoice number",IF(AND(L372&lt;&gt;"",K372=""),"No tax code",IF(AND(L372&lt;&gt;"",O372=""),"No revenue GL code",""))))))))</f>
        <v/>
      </c>
      <c r="W372" s="25">
        <f>IF(E372="","",IF(COUNTIF(tbl_Onsite[Job Number],E372&amp;"")&gt;0,"Onsite",IF(COUNTIF(tbl_Production[Job Number],E372&amp;"")&gt;0,"Production",IF(COUNTIF(tbl_Consulting[Job Number],E372&amp;"")&gt;0,"Consulting","not set up yet"))))</f>
        <v/>
      </c>
      <c r="X372" s="25">
        <f>IF(E372="","",IFERROR(INDEX(lst_JobName,MATCH(E372&amp;"",lst_Jobs,0)),""))</f>
        <v/>
      </c>
      <c r="Y372" s="28">
        <f>IF(E372="","",COUNTIFS(tbl_Finance[Job Number],E372&amp;"",tbl_Finance[Ex GST],"&lt;&gt;"))</f>
        <v/>
      </c>
      <c r="Z372" s="27">
        <f>IF(E372="","",SUMIFS(tbl_Finance[Ex GST],tbl_Finance[Job Number],E372&amp;""))</f>
        <v/>
      </c>
      <c r="AA372" s="27">
        <f>IF(E372="","",SUMIFS(tbl_Finance[Ex GST],tbl_Finance[Job Number],E372&amp;"",tbl_Finance[Xero Invoice No],"&lt;&gt;"))</f>
        <v/>
      </c>
      <c r="AB372" s="27">
        <f>IF(E372="","",Z372-AA372)</f>
        <v/>
      </c>
      <c r="AC372" s="25">
        <f>IF(E372="","",IFERROR(IF(INDEX(tbl_Onsite[Qwilr Quote],MATCH(E372&amp;"",tbl_Onsite[Job Number],0))="","",INDEX(tbl_Onsite[Qwilr Quote],MATCH(E372&amp;"",tbl_Onsite[Job Number],0))),IFERROR(IF(IF(INDEX(tbl_Production[Current RMS No],MATCH(E372&amp;"",tbl_Production[Job Number],0))="",INDEX(tbl_Production[Qwilr Quote],MATCH(E372&amp;"",tbl_Production[Job Number],0)),INDEX(tbl_Production[Current RMS No],MATCH(E372&amp;"",tbl_Production[Job Number],0)))="","",IF(INDEX(tbl_Production[Current RMS No],MATCH(E372&amp;"",tbl_Production[Job Number],0))="",INDEX(tbl_Production[Qwilr Quote],MATCH(E372&amp;"",tbl_Production[Job Number],0)),INDEX(tbl_Production[Current RMS No],MATCH(E372&amp;"",tbl_Production[Job Number],0)))),IFERROR(IF(INDEX(tbl_Consulting[Qwilr Quote],MATCH(E372&amp;"",tbl_Consulting[Job Number],0))="","",INDEX(tbl_Consulting[Qwilr Quote],MATCH(E372&amp;"",tbl_Consulting[Job Number],0))),""))))</f>
        <v/>
      </c>
      <c r="AD372" s="25">
        <f>IF(AC372="","",IF(AND(LEFT(AC372,4)&lt;&gt;"http",IF(H372="Production",set_RMSBase,set_QwilrBase)=""),"",HYPERLINK(IF(LEFT(AC372,4)="http",AC372,IF(H372="Production",set_RMSBase,set_QwilrBase)&amp;AC372),"Open")))</f>
        <v/>
      </c>
      <c r="AE372" s="27">
        <f>IF(E372="","",IFERROR(INDEX(tbl_Production[Total Expense],MATCH(E372&amp;"",tbl_Production[Job Number],0)),IFERROR(INDEX(tbl_Consulting[Total Expense],MATCH(E372&amp;"",tbl_Consulting[Job Number],0)),0)))</f>
        <v/>
      </c>
      <c r="AF372" s="27">
        <f>IF(E372="","",Z372-N(AE372))</f>
        <v/>
      </c>
      <c r="AG372" s="29">
        <f>IFERROR(AF372/Z372,"")</f>
        <v/>
      </c>
      <c r="AH372" s="25">
        <f>IF(E372="","",IFERROR(IF(INDEX(tbl_Onsite[Notes],MATCH(E372&amp;"",tbl_Onsite[Job Number],0))="","",INDEX(tbl_Onsite[Notes],MATCH(E372&amp;"",tbl_Onsite[Job Number],0))),IFERROR(IF(INDEX(tbl_Production[Notes],MATCH(E372&amp;"",tbl_Production[Job Number],0))="","",INDEX(tbl_Production[Notes],MATCH(E372&amp;"",tbl_Production[Job Number],0))),IFERROR(IF(INDEX(tbl_Consulting[Notes],MATCH(E372&amp;"",tbl_Consulting[Job Number],0))="","",INDEX(tbl_Consulting[Notes],MATCH(E372&amp;"",tbl_Consulting[Job Number],0))),""))))</f>
        <v/>
      </c>
    </row>
    <row r="373" ht="15" customHeight="1">
      <c r="A373" s="22" t="n"/>
      <c r="B373" s="23">
        <f>IF(A373="","",EOMONTH(A373,0))</f>
        <v/>
      </c>
      <c r="C373" s="24" t="n"/>
      <c r="D373" s="24" t="n"/>
      <c r="E373" s="24" t="n"/>
      <c r="F373" s="25">
        <f>IF(E373="","",IF(COUNTIF(lst_Jobs,E373&amp;"")&gt;0,"OK","CHECK"))</f>
        <v/>
      </c>
      <c r="G373" s="24" t="n"/>
      <c r="H373" s="24" t="n"/>
      <c r="I373" s="24" t="n"/>
      <c r="J373" s="24" t="n"/>
      <c r="K373" s="24" t="n"/>
      <c r="L373" s="26" t="n"/>
      <c r="M373" s="27">
        <f>IF(L373="","",IF(K373="GST 10%",ROUND(L373*set_GSTRate,2),0))</f>
        <v/>
      </c>
      <c r="N373" s="27">
        <f>IF(L373="","",L373+M373)</f>
        <v/>
      </c>
      <c r="O373" s="24" t="n"/>
      <c r="P373" s="24" t="n"/>
      <c r="Q373" s="24" t="n"/>
      <c r="R373" s="22" t="n"/>
      <c r="S373" s="22" t="n"/>
      <c r="T373" s="24" t="n"/>
      <c r="U373" s="24" t="n"/>
      <c r="V373" s="25">
        <f>IF(COUNTA(A373,D373,C373,L373)=0,"",IF(A373="","No date - sits outside every month",IF(E373="","No job number",IF(F373="CHECK","Job number is not in the Xero job list",IF(I373="","No cost centre",IF(AND(P373="Y",C373=""),"Marked posted to Xero but has no invoice number",IF(AND(L373&lt;&gt;"",K373=""),"No tax code",IF(AND(L373&lt;&gt;"",O373=""),"No revenue GL code",""))))))))</f>
        <v/>
      </c>
      <c r="W373" s="25">
        <f>IF(E373="","",IF(COUNTIF(tbl_Onsite[Job Number],E373&amp;"")&gt;0,"Onsite",IF(COUNTIF(tbl_Production[Job Number],E373&amp;"")&gt;0,"Production",IF(COUNTIF(tbl_Consulting[Job Number],E373&amp;"")&gt;0,"Consulting","not set up yet"))))</f>
        <v/>
      </c>
      <c r="X373" s="25">
        <f>IF(E373="","",IFERROR(INDEX(lst_JobName,MATCH(E373&amp;"",lst_Jobs,0)),""))</f>
        <v/>
      </c>
      <c r="Y373" s="28">
        <f>IF(E373="","",COUNTIFS(tbl_Finance[Job Number],E373&amp;"",tbl_Finance[Ex GST],"&lt;&gt;"))</f>
        <v/>
      </c>
      <c r="Z373" s="27">
        <f>IF(E373="","",SUMIFS(tbl_Finance[Ex GST],tbl_Finance[Job Number],E373&amp;""))</f>
        <v/>
      </c>
      <c r="AA373" s="27">
        <f>IF(E373="","",SUMIFS(tbl_Finance[Ex GST],tbl_Finance[Job Number],E373&amp;"",tbl_Finance[Xero Invoice No],"&lt;&gt;"))</f>
        <v/>
      </c>
      <c r="AB373" s="27">
        <f>IF(E373="","",Z373-AA373)</f>
        <v/>
      </c>
      <c r="AC373" s="25">
        <f>IF(E373="","",IFERROR(IF(INDEX(tbl_Onsite[Qwilr Quote],MATCH(E373&amp;"",tbl_Onsite[Job Number],0))="","",INDEX(tbl_Onsite[Qwilr Quote],MATCH(E373&amp;"",tbl_Onsite[Job Number],0))),IFERROR(IF(IF(INDEX(tbl_Production[Current RMS No],MATCH(E373&amp;"",tbl_Production[Job Number],0))="",INDEX(tbl_Production[Qwilr Quote],MATCH(E373&amp;"",tbl_Production[Job Number],0)),INDEX(tbl_Production[Current RMS No],MATCH(E373&amp;"",tbl_Production[Job Number],0)))="","",IF(INDEX(tbl_Production[Current RMS No],MATCH(E373&amp;"",tbl_Production[Job Number],0))="",INDEX(tbl_Production[Qwilr Quote],MATCH(E373&amp;"",tbl_Production[Job Number],0)),INDEX(tbl_Production[Current RMS No],MATCH(E373&amp;"",tbl_Production[Job Number],0)))),IFERROR(IF(INDEX(tbl_Consulting[Qwilr Quote],MATCH(E373&amp;"",tbl_Consulting[Job Number],0))="","",INDEX(tbl_Consulting[Qwilr Quote],MATCH(E373&amp;"",tbl_Consulting[Job Number],0))),""))))</f>
        <v/>
      </c>
      <c r="AD373" s="25">
        <f>IF(AC373="","",IF(AND(LEFT(AC373,4)&lt;&gt;"http",IF(H373="Production",set_RMSBase,set_QwilrBase)=""),"",HYPERLINK(IF(LEFT(AC373,4)="http",AC373,IF(H373="Production",set_RMSBase,set_QwilrBase)&amp;AC373),"Open")))</f>
        <v/>
      </c>
      <c r="AE373" s="27">
        <f>IF(E373="","",IFERROR(INDEX(tbl_Production[Total Expense],MATCH(E373&amp;"",tbl_Production[Job Number],0)),IFERROR(INDEX(tbl_Consulting[Total Expense],MATCH(E373&amp;"",tbl_Consulting[Job Number],0)),0)))</f>
        <v/>
      </c>
      <c r="AF373" s="27">
        <f>IF(E373="","",Z373-N(AE373))</f>
        <v/>
      </c>
      <c r="AG373" s="29">
        <f>IFERROR(AF373/Z373,"")</f>
        <v/>
      </c>
      <c r="AH373" s="25">
        <f>IF(E373="","",IFERROR(IF(INDEX(tbl_Onsite[Notes],MATCH(E373&amp;"",tbl_Onsite[Job Number],0))="","",INDEX(tbl_Onsite[Notes],MATCH(E373&amp;"",tbl_Onsite[Job Number],0))),IFERROR(IF(INDEX(tbl_Production[Notes],MATCH(E373&amp;"",tbl_Production[Job Number],0))="","",INDEX(tbl_Production[Notes],MATCH(E373&amp;"",tbl_Production[Job Number],0))),IFERROR(IF(INDEX(tbl_Consulting[Notes],MATCH(E373&amp;"",tbl_Consulting[Job Number],0))="","",INDEX(tbl_Consulting[Notes],MATCH(E373&amp;"",tbl_Consulting[Job Number],0))),""))))</f>
        <v/>
      </c>
    </row>
    <row r="374" ht="15" customHeight="1">
      <c r="A374" s="22" t="n"/>
      <c r="B374" s="23">
        <f>IF(A374="","",EOMONTH(A374,0))</f>
        <v/>
      </c>
      <c r="C374" s="24" t="n"/>
      <c r="D374" s="24" t="n"/>
      <c r="E374" s="24" t="n"/>
      <c r="F374" s="25">
        <f>IF(E374="","",IF(COUNTIF(lst_Jobs,E374&amp;"")&gt;0,"OK","CHECK"))</f>
        <v/>
      </c>
      <c r="G374" s="24" t="n"/>
      <c r="H374" s="24" t="n"/>
      <c r="I374" s="24" t="n"/>
      <c r="J374" s="24" t="n"/>
      <c r="K374" s="24" t="n"/>
      <c r="L374" s="26" t="n"/>
      <c r="M374" s="27">
        <f>IF(L374="","",IF(K374="GST 10%",ROUND(L374*set_GSTRate,2),0))</f>
        <v/>
      </c>
      <c r="N374" s="27">
        <f>IF(L374="","",L374+M374)</f>
        <v/>
      </c>
      <c r="O374" s="24" t="n"/>
      <c r="P374" s="24" t="n"/>
      <c r="Q374" s="24" t="n"/>
      <c r="R374" s="22" t="n"/>
      <c r="S374" s="22" t="n"/>
      <c r="T374" s="24" t="n"/>
      <c r="U374" s="24" t="n"/>
      <c r="V374" s="25">
        <f>IF(COUNTA(A374,D374,C374,L374)=0,"",IF(A374="","No date - sits outside every month",IF(E374="","No job number",IF(F374="CHECK","Job number is not in the Xero job list",IF(I374="","No cost centre",IF(AND(P374="Y",C374=""),"Marked posted to Xero but has no invoice number",IF(AND(L374&lt;&gt;"",K374=""),"No tax code",IF(AND(L374&lt;&gt;"",O374=""),"No revenue GL code",""))))))))</f>
        <v/>
      </c>
      <c r="W374" s="25">
        <f>IF(E374="","",IF(COUNTIF(tbl_Onsite[Job Number],E374&amp;"")&gt;0,"Onsite",IF(COUNTIF(tbl_Production[Job Number],E374&amp;"")&gt;0,"Production",IF(COUNTIF(tbl_Consulting[Job Number],E374&amp;"")&gt;0,"Consulting","not set up yet"))))</f>
        <v/>
      </c>
      <c r="X374" s="25">
        <f>IF(E374="","",IFERROR(INDEX(lst_JobName,MATCH(E374&amp;"",lst_Jobs,0)),""))</f>
        <v/>
      </c>
      <c r="Y374" s="28">
        <f>IF(E374="","",COUNTIFS(tbl_Finance[Job Number],E374&amp;"",tbl_Finance[Ex GST],"&lt;&gt;"))</f>
        <v/>
      </c>
      <c r="Z374" s="27">
        <f>IF(E374="","",SUMIFS(tbl_Finance[Ex GST],tbl_Finance[Job Number],E374&amp;""))</f>
        <v/>
      </c>
      <c r="AA374" s="27">
        <f>IF(E374="","",SUMIFS(tbl_Finance[Ex GST],tbl_Finance[Job Number],E374&amp;"",tbl_Finance[Xero Invoice No],"&lt;&gt;"))</f>
        <v/>
      </c>
      <c r="AB374" s="27">
        <f>IF(E374="","",Z374-AA374)</f>
        <v/>
      </c>
      <c r="AC374" s="25">
        <f>IF(E374="","",IFERROR(IF(INDEX(tbl_Onsite[Qwilr Quote],MATCH(E374&amp;"",tbl_Onsite[Job Number],0))="","",INDEX(tbl_Onsite[Qwilr Quote],MATCH(E374&amp;"",tbl_Onsite[Job Number],0))),IFERROR(IF(IF(INDEX(tbl_Production[Current RMS No],MATCH(E374&amp;"",tbl_Production[Job Number],0))="",INDEX(tbl_Production[Qwilr Quote],MATCH(E374&amp;"",tbl_Production[Job Number],0)),INDEX(tbl_Production[Current RMS No],MATCH(E374&amp;"",tbl_Production[Job Number],0)))="","",IF(INDEX(tbl_Production[Current RMS No],MATCH(E374&amp;"",tbl_Production[Job Number],0))="",INDEX(tbl_Production[Qwilr Quote],MATCH(E374&amp;"",tbl_Production[Job Number],0)),INDEX(tbl_Production[Current RMS No],MATCH(E374&amp;"",tbl_Production[Job Number],0)))),IFERROR(IF(INDEX(tbl_Consulting[Qwilr Quote],MATCH(E374&amp;"",tbl_Consulting[Job Number],0))="","",INDEX(tbl_Consulting[Qwilr Quote],MATCH(E374&amp;"",tbl_Consulting[Job Number],0))),""))))</f>
        <v/>
      </c>
      <c r="AD374" s="25">
        <f>IF(AC374="","",IF(AND(LEFT(AC374,4)&lt;&gt;"http",IF(H374="Production",set_RMSBase,set_QwilrBase)=""),"",HYPERLINK(IF(LEFT(AC374,4)="http",AC374,IF(H374="Production",set_RMSBase,set_QwilrBase)&amp;AC374),"Open")))</f>
        <v/>
      </c>
      <c r="AE374" s="27">
        <f>IF(E374="","",IFERROR(INDEX(tbl_Production[Total Expense],MATCH(E374&amp;"",tbl_Production[Job Number],0)),IFERROR(INDEX(tbl_Consulting[Total Expense],MATCH(E374&amp;"",tbl_Consulting[Job Number],0)),0)))</f>
        <v/>
      </c>
      <c r="AF374" s="27">
        <f>IF(E374="","",Z374-N(AE374))</f>
        <v/>
      </c>
      <c r="AG374" s="29">
        <f>IFERROR(AF374/Z374,"")</f>
        <v/>
      </c>
      <c r="AH374" s="25">
        <f>IF(E374="","",IFERROR(IF(INDEX(tbl_Onsite[Notes],MATCH(E374&amp;"",tbl_Onsite[Job Number],0))="","",INDEX(tbl_Onsite[Notes],MATCH(E374&amp;"",tbl_Onsite[Job Number],0))),IFERROR(IF(INDEX(tbl_Production[Notes],MATCH(E374&amp;"",tbl_Production[Job Number],0))="","",INDEX(tbl_Production[Notes],MATCH(E374&amp;"",tbl_Production[Job Number],0))),IFERROR(IF(INDEX(tbl_Consulting[Notes],MATCH(E374&amp;"",tbl_Consulting[Job Number],0))="","",INDEX(tbl_Consulting[Notes],MATCH(E374&amp;"",tbl_Consulting[Job Number],0))),""))))</f>
        <v/>
      </c>
    </row>
    <row r="375" ht="15" customHeight="1">
      <c r="A375" s="22" t="n"/>
      <c r="B375" s="23">
        <f>IF(A375="","",EOMONTH(A375,0))</f>
        <v/>
      </c>
      <c r="C375" s="24" t="n"/>
      <c r="D375" s="24" t="n"/>
      <c r="E375" s="24" t="n"/>
      <c r="F375" s="25">
        <f>IF(E375="","",IF(COUNTIF(lst_Jobs,E375&amp;"")&gt;0,"OK","CHECK"))</f>
        <v/>
      </c>
      <c r="G375" s="24" t="n"/>
      <c r="H375" s="24" t="n"/>
      <c r="I375" s="24" t="n"/>
      <c r="J375" s="24" t="n"/>
      <c r="K375" s="24" t="n"/>
      <c r="L375" s="26" t="n"/>
      <c r="M375" s="27">
        <f>IF(L375="","",IF(K375="GST 10%",ROUND(L375*set_GSTRate,2),0))</f>
        <v/>
      </c>
      <c r="N375" s="27">
        <f>IF(L375="","",L375+M375)</f>
        <v/>
      </c>
      <c r="O375" s="24" t="n"/>
      <c r="P375" s="24" t="n"/>
      <c r="Q375" s="24" t="n"/>
      <c r="R375" s="22" t="n"/>
      <c r="S375" s="22" t="n"/>
      <c r="T375" s="24" t="n"/>
      <c r="U375" s="24" t="n"/>
      <c r="V375" s="25">
        <f>IF(COUNTA(A375,D375,C375,L375)=0,"",IF(A375="","No date - sits outside every month",IF(E375="","No job number",IF(F375="CHECK","Job number is not in the Xero job list",IF(I375="","No cost centre",IF(AND(P375="Y",C375=""),"Marked posted to Xero but has no invoice number",IF(AND(L375&lt;&gt;"",K375=""),"No tax code",IF(AND(L375&lt;&gt;"",O375=""),"No revenue GL code",""))))))))</f>
        <v/>
      </c>
      <c r="W375" s="25">
        <f>IF(E375="","",IF(COUNTIF(tbl_Onsite[Job Number],E375&amp;"")&gt;0,"Onsite",IF(COUNTIF(tbl_Production[Job Number],E375&amp;"")&gt;0,"Production",IF(COUNTIF(tbl_Consulting[Job Number],E375&amp;"")&gt;0,"Consulting","not set up yet"))))</f>
        <v/>
      </c>
      <c r="X375" s="25">
        <f>IF(E375="","",IFERROR(INDEX(lst_JobName,MATCH(E375&amp;"",lst_Jobs,0)),""))</f>
        <v/>
      </c>
      <c r="Y375" s="28">
        <f>IF(E375="","",COUNTIFS(tbl_Finance[Job Number],E375&amp;"",tbl_Finance[Ex GST],"&lt;&gt;"))</f>
        <v/>
      </c>
      <c r="Z375" s="27">
        <f>IF(E375="","",SUMIFS(tbl_Finance[Ex GST],tbl_Finance[Job Number],E375&amp;""))</f>
        <v/>
      </c>
      <c r="AA375" s="27">
        <f>IF(E375="","",SUMIFS(tbl_Finance[Ex GST],tbl_Finance[Job Number],E375&amp;"",tbl_Finance[Xero Invoice No],"&lt;&gt;"))</f>
        <v/>
      </c>
      <c r="AB375" s="27">
        <f>IF(E375="","",Z375-AA375)</f>
        <v/>
      </c>
      <c r="AC375" s="25">
        <f>IF(E375="","",IFERROR(IF(INDEX(tbl_Onsite[Qwilr Quote],MATCH(E375&amp;"",tbl_Onsite[Job Number],0))="","",INDEX(tbl_Onsite[Qwilr Quote],MATCH(E375&amp;"",tbl_Onsite[Job Number],0))),IFERROR(IF(IF(INDEX(tbl_Production[Current RMS No],MATCH(E375&amp;"",tbl_Production[Job Number],0))="",INDEX(tbl_Production[Qwilr Quote],MATCH(E375&amp;"",tbl_Production[Job Number],0)),INDEX(tbl_Production[Current RMS No],MATCH(E375&amp;"",tbl_Production[Job Number],0)))="","",IF(INDEX(tbl_Production[Current RMS No],MATCH(E375&amp;"",tbl_Production[Job Number],0))="",INDEX(tbl_Production[Qwilr Quote],MATCH(E375&amp;"",tbl_Production[Job Number],0)),INDEX(tbl_Production[Current RMS No],MATCH(E375&amp;"",tbl_Production[Job Number],0)))),IFERROR(IF(INDEX(tbl_Consulting[Qwilr Quote],MATCH(E375&amp;"",tbl_Consulting[Job Number],0))="","",INDEX(tbl_Consulting[Qwilr Quote],MATCH(E375&amp;"",tbl_Consulting[Job Number],0))),""))))</f>
        <v/>
      </c>
      <c r="AD375" s="25">
        <f>IF(AC375="","",IF(AND(LEFT(AC375,4)&lt;&gt;"http",IF(H375="Production",set_RMSBase,set_QwilrBase)=""),"",HYPERLINK(IF(LEFT(AC375,4)="http",AC375,IF(H375="Production",set_RMSBase,set_QwilrBase)&amp;AC375),"Open")))</f>
        <v/>
      </c>
      <c r="AE375" s="27">
        <f>IF(E375="","",IFERROR(INDEX(tbl_Production[Total Expense],MATCH(E375&amp;"",tbl_Production[Job Number],0)),IFERROR(INDEX(tbl_Consulting[Total Expense],MATCH(E375&amp;"",tbl_Consulting[Job Number],0)),0)))</f>
        <v/>
      </c>
      <c r="AF375" s="27">
        <f>IF(E375="","",Z375-N(AE375))</f>
        <v/>
      </c>
      <c r="AG375" s="29">
        <f>IFERROR(AF375/Z375,"")</f>
        <v/>
      </c>
      <c r="AH375" s="25">
        <f>IF(E375="","",IFERROR(IF(INDEX(tbl_Onsite[Notes],MATCH(E375&amp;"",tbl_Onsite[Job Number],0))="","",INDEX(tbl_Onsite[Notes],MATCH(E375&amp;"",tbl_Onsite[Job Number],0))),IFERROR(IF(INDEX(tbl_Production[Notes],MATCH(E375&amp;"",tbl_Production[Job Number],0))="","",INDEX(tbl_Production[Notes],MATCH(E375&amp;"",tbl_Production[Job Number],0))),IFERROR(IF(INDEX(tbl_Consulting[Notes],MATCH(E375&amp;"",tbl_Consulting[Job Number],0))="","",INDEX(tbl_Consulting[Notes],MATCH(E375&amp;"",tbl_Consulting[Job Number],0))),""))))</f>
        <v/>
      </c>
    </row>
    <row r="376" ht="15" customHeight="1">
      <c r="A376" s="22" t="n"/>
      <c r="B376" s="23">
        <f>IF(A376="","",EOMONTH(A376,0))</f>
        <v/>
      </c>
      <c r="C376" s="24" t="n"/>
      <c r="D376" s="24" t="n"/>
      <c r="E376" s="24" t="n"/>
      <c r="F376" s="25">
        <f>IF(E376="","",IF(COUNTIF(lst_Jobs,E376&amp;"")&gt;0,"OK","CHECK"))</f>
        <v/>
      </c>
      <c r="G376" s="24" t="n"/>
      <c r="H376" s="24" t="n"/>
      <c r="I376" s="24" t="n"/>
      <c r="J376" s="24" t="n"/>
      <c r="K376" s="24" t="n"/>
      <c r="L376" s="26" t="n"/>
      <c r="M376" s="27">
        <f>IF(L376="","",IF(K376="GST 10%",ROUND(L376*set_GSTRate,2),0))</f>
        <v/>
      </c>
      <c r="N376" s="27">
        <f>IF(L376="","",L376+M376)</f>
        <v/>
      </c>
      <c r="O376" s="24" t="n"/>
      <c r="P376" s="24" t="n"/>
      <c r="Q376" s="24" t="n"/>
      <c r="R376" s="22" t="n"/>
      <c r="S376" s="22" t="n"/>
      <c r="T376" s="24" t="n"/>
      <c r="U376" s="24" t="n"/>
      <c r="V376" s="25">
        <f>IF(COUNTA(A376,D376,C376,L376)=0,"",IF(A376="","No date - sits outside every month",IF(E376="","No job number",IF(F376="CHECK","Job number is not in the Xero job list",IF(I376="","No cost centre",IF(AND(P376="Y",C376=""),"Marked posted to Xero but has no invoice number",IF(AND(L376&lt;&gt;"",K376=""),"No tax code",IF(AND(L376&lt;&gt;"",O376=""),"No revenue GL code",""))))))))</f>
        <v/>
      </c>
      <c r="W376" s="25">
        <f>IF(E376="","",IF(COUNTIF(tbl_Onsite[Job Number],E376&amp;"")&gt;0,"Onsite",IF(COUNTIF(tbl_Production[Job Number],E376&amp;"")&gt;0,"Production",IF(COUNTIF(tbl_Consulting[Job Number],E376&amp;"")&gt;0,"Consulting","not set up yet"))))</f>
        <v/>
      </c>
      <c r="X376" s="25">
        <f>IF(E376="","",IFERROR(INDEX(lst_JobName,MATCH(E376&amp;"",lst_Jobs,0)),""))</f>
        <v/>
      </c>
      <c r="Y376" s="28">
        <f>IF(E376="","",COUNTIFS(tbl_Finance[Job Number],E376&amp;"",tbl_Finance[Ex GST],"&lt;&gt;"))</f>
        <v/>
      </c>
      <c r="Z376" s="27">
        <f>IF(E376="","",SUMIFS(tbl_Finance[Ex GST],tbl_Finance[Job Number],E376&amp;""))</f>
        <v/>
      </c>
      <c r="AA376" s="27">
        <f>IF(E376="","",SUMIFS(tbl_Finance[Ex GST],tbl_Finance[Job Number],E376&amp;"",tbl_Finance[Xero Invoice No],"&lt;&gt;"))</f>
        <v/>
      </c>
      <c r="AB376" s="27">
        <f>IF(E376="","",Z376-AA376)</f>
        <v/>
      </c>
      <c r="AC376" s="25">
        <f>IF(E376="","",IFERROR(IF(INDEX(tbl_Onsite[Qwilr Quote],MATCH(E376&amp;"",tbl_Onsite[Job Number],0))="","",INDEX(tbl_Onsite[Qwilr Quote],MATCH(E376&amp;"",tbl_Onsite[Job Number],0))),IFERROR(IF(IF(INDEX(tbl_Production[Current RMS No],MATCH(E376&amp;"",tbl_Production[Job Number],0))="",INDEX(tbl_Production[Qwilr Quote],MATCH(E376&amp;"",tbl_Production[Job Number],0)),INDEX(tbl_Production[Current RMS No],MATCH(E376&amp;"",tbl_Production[Job Number],0)))="","",IF(INDEX(tbl_Production[Current RMS No],MATCH(E376&amp;"",tbl_Production[Job Number],0))="",INDEX(tbl_Production[Qwilr Quote],MATCH(E376&amp;"",tbl_Production[Job Number],0)),INDEX(tbl_Production[Current RMS No],MATCH(E376&amp;"",tbl_Production[Job Number],0)))),IFERROR(IF(INDEX(tbl_Consulting[Qwilr Quote],MATCH(E376&amp;"",tbl_Consulting[Job Number],0))="","",INDEX(tbl_Consulting[Qwilr Quote],MATCH(E376&amp;"",tbl_Consulting[Job Number],0))),""))))</f>
        <v/>
      </c>
      <c r="AD376" s="25">
        <f>IF(AC376="","",IF(AND(LEFT(AC376,4)&lt;&gt;"http",IF(H376="Production",set_RMSBase,set_QwilrBase)=""),"",HYPERLINK(IF(LEFT(AC376,4)="http",AC376,IF(H376="Production",set_RMSBase,set_QwilrBase)&amp;AC376),"Open")))</f>
        <v/>
      </c>
      <c r="AE376" s="27">
        <f>IF(E376="","",IFERROR(INDEX(tbl_Production[Total Expense],MATCH(E376&amp;"",tbl_Production[Job Number],0)),IFERROR(INDEX(tbl_Consulting[Total Expense],MATCH(E376&amp;"",tbl_Consulting[Job Number],0)),0)))</f>
        <v/>
      </c>
      <c r="AF376" s="27">
        <f>IF(E376="","",Z376-N(AE376))</f>
        <v/>
      </c>
      <c r="AG376" s="29">
        <f>IFERROR(AF376/Z376,"")</f>
        <v/>
      </c>
      <c r="AH376" s="25">
        <f>IF(E376="","",IFERROR(IF(INDEX(tbl_Onsite[Notes],MATCH(E376&amp;"",tbl_Onsite[Job Number],0))="","",INDEX(tbl_Onsite[Notes],MATCH(E376&amp;"",tbl_Onsite[Job Number],0))),IFERROR(IF(INDEX(tbl_Production[Notes],MATCH(E376&amp;"",tbl_Production[Job Number],0))="","",INDEX(tbl_Production[Notes],MATCH(E376&amp;"",tbl_Production[Job Number],0))),IFERROR(IF(INDEX(tbl_Consulting[Notes],MATCH(E376&amp;"",tbl_Consulting[Job Number],0))="","",INDEX(tbl_Consulting[Notes],MATCH(E376&amp;"",tbl_Consulting[Job Number],0))),""))))</f>
        <v/>
      </c>
    </row>
    <row r="377" ht="15" customHeight="1">
      <c r="A377" s="22" t="n"/>
      <c r="B377" s="23">
        <f>IF(A377="","",EOMONTH(A377,0))</f>
        <v/>
      </c>
      <c r="C377" s="24" t="n"/>
      <c r="D377" s="24" t="n"/>
      <c r="E377" s="24" t="n"/>
      <c r="F377" s="25">
        <f>IF(E377="","",IF(COUNTIF(lst_Jobs,E377&amp;"")&gt;0,"OK","CHECK"))</f>
        <v/>
      </c>
      <c r="G377" s="24" t="n"/>
      <c r="H377" s="24" t="n"/>
      <c r="I377" s="24" t="n"/>
      <c r="J377" s="24" t="n"/>
      <c r="K377" s="24" t="n"/>
      <c r="L377" s="26" t="n"/>
      <c r="M377" s="27">
        <f>IF(L377="","",IF(K377="GST 10%",ROUND(L377*set_GSTRate,2),0))</f>
        <v/>
      </c>
      <c r="N377" s="27">
        <f>IF(L377="","",L377+M377)</f>
        <v/>
      </c>
      <c r="O377" s="24" t="n"/>
      <c r="P377" s="24" t="n"/>
      <c r="Q377" s="24" t="n"/>
      <c r="R377" s="22" t="n"/>
      <c r="S377" s="22" t="n"/>
      <c r="T377" s="24" t="n"/>
      <c r="U377" s="24" t="n"/>
      <c r="V377" s="25">
        <f>IF(COUNTA(A377,D377,C377,L377)=0,"",IF(A377="","No date - sits outside every month",IF(E377="","No job number",IF(F377="CHECK","Job number is not in the Xero job list",IF(I377="","No cost centre",IF(AND(P377="Y",C377=""),"Marked posted to Xero but has no invoice number",IF(AND(L377&lt;&gt;"",K377=""),"No tax code",IF(AND(L377&lt;&gt;"",O377=""),"No revenue GL code",""))))))))</f>
        <v/>
      </c>
      <c r="W377" s="25">
        <f>IF(E377="","",IF(COUNTIF(tbl_Onsite[Job Number],E377&amp;"")&gt;0,"Onsite",IF(COUNTIF(tbl_Production[Job Number],E377&amp;"")&gt;0,"Production",IF(COUNTIF(tbl_Consulting[Job Number],E377&amp;"")&gt;0,"Consulting","not set up yet"))))</f>
        <v/>
      </c>
      <c r="X377" s="25">
        <f>IF(E377="","",IFERROR(INDEX(lst_JobName,MATCH(E377&amp;"",lst_Jobs,0)),""))</f>
        <v/>
      </c>
      <c r="Y377" s="28">
        <f>IF(E377="","",COUNTIFS(tbl_Finance[Job Number],E377&amp;"",tbl_Finance[Ex GST],"&lt;&gt;"))</f>
        <v/>
      </c>
      <c r="Z377" s="27">
        <f>IF(E377="","",SUMIFS(tbl_Finance[Ex GST],tbl_Finance[Job Number],E377&amp;""))</f>
        <v/>
      </c>
      <c r="AA377" s="27">
        <f>IF(E377="","",SUMIFS(tbl_Finance[Ex GST],tbl_Finance[Job Number],E377&amp;"",tbl_Finance[Xero Invoice No],"&lt;&gt;"))</f>
        <v/>
      </c>
      <c r="AB377" s="27">
        <f>IF(E377="","",Z377-AA377)</f>
        <v/>
      </c>
      <c r="AC377" s="25">
        <f>IF(E377="","",IFERROR(IF(INDEX(tbl_Onsite[Qwilr Quote],MATCH(E377&amp;"",tbl_Onsite[Job Number],0))="","",INDEX(tbl_Onsite[Qwilr Quote],MATCH(E377&amp;"",tbl_Onsite[Job Number],0))),IFERROR(IF(IF(INDEX(tbl_Production[Current RMS No],MATCH(E377&amp;"",tbl_Production[Job Number],0))="",INDEX(tbl_Production[Qwilr Quote],MATCH(E377&amp;"",tbl_Production[Job Number],0)),INDEX(tbl_Production[Current RMS No],MATCH(E377&amp;"",tbl_Production[Job Number],0)))="","",IF(INDEX(tbl_Production[Current RMS No],MATCH(E377&amp;"",tbl_Production[Job Number],0))="",INDEX(tbl_Production[Qwilr Quote],MATCH(E377&amp;"",tbl_Production[Job Number],0)),INDEX(tbl_Production[Current RMS No],MATCH(E377&amp;"",tbl_Production[Job Number],0)))),IFERROR(IF(INDEX(tbl_Consulting[Qwilr Quote],MATCH(E377&amp;"",tbl_Consulting[Job Number],0))="","",INDEX(tbl_Consulting[Qwilr Quote],MATCH(E377&amp;"",tbl_Consulting[Job Number],0))),""))))</f>
        <v/>
      </c>
      <c r="AD377" s="25">
        <f>IF(AC377="","",IF(AND(LEFT(AC377,4)&lt;&gt;"http",IF(H377="Production",set_RMSBase,set_QwilrBase)=""),"",HYPERLINK(IF(LEFT(AC377,4)="http",AC377,IF(H377="Production",set_RMSBase,set_QwilrBase)&amp;AC377),"Open")))</f>
        <v/>
      </c>
      <c r="AE377" s="27">
        <f>IF(E377="","",IFERROR(INDEX(tbl_Production[Total Expense],MATCH(E377&amp;"",tbl_Production[Job Number],0)),IFERROR(INDEX(tbl_Consulting[Total Expense],MATCH(E377&amp;"",tbl_Consulting[Job Number],0)),0)))</f>
        <v/>
      </c>
      <c r="AF377" s="27">
        <f>IF(E377="","",Z377-N(AE377))</f>
        <v/>
      </c>
      <c r="AG377" s="29">
        <f>IFERROR(AF377/Z377,"")</f>
        <v/>
      </c>
      <c r="AH377" s="25">
        <f>IF(E377="","",IFERROR(IF(INDEX(tbl_Onsite[Notes],MATCH(E377&amp;"",tbl_Onsite[Job Number],0))="","",INDEX(tbl_Onsite[Notes],MATCH(E377&amp;"",tbl_Onsite[Job Number],0))),IFERROR(IF(INDEX(tbl_Production[Notes],MATCH(E377&amp;"",tbl_Production[Job Number],0))="","",INDEX(tbl_Production[Notes],MATCH(E377&amp;"",tbl_Production[Job Number],0))),IFERROR(IF(INDEX(tbl_Consulting[Notes],MATCH(E377&amp;"",tbl_Consulting[Job Number],0))="","",INDEX(tbl_Consulting[Notes],MATCH(E377&amp;"",tbl_Consulting[Job Number],0))),""))))</f>
        <v/>
      </c>
    </row>
    <row r="378" ht="15" customHeight="1">
      <c r="A378" s="22" t="n"/>
      <c r="B378" s="23">
        <f>IF(A378="","",EOMONTH(A378,0))</f>
        <v/>
      </c>
      <c r="C378" s="24" t="n"/>
      <c r="D378" s="24" t="n"/>
      <c r="E378" s="24" t="n"/>
      <c r="F378" s="25">
        <f>IF(E378="","",IF(COUNTIF(lst_Jobs,E378&amp;"")&gt;0,"OK","CHECK"))</f>
        <v/>
      </c>
      <c r="G378" s="24" t="n"/>
      <c r="H378" s="24" t="n"/>
      <c r="I378" s="24" t="n"/>
      <c r="J378" s="24" t="n"/>
      <c r="K378" s="24" t="n"/>
      <c r="L378" s="26" t="n"/>
      <c r="M378" s="27">
        <f>IF(L378="","",IF(K378="GST 10%",ROUND(L378*set_GSTRate,2),0))</f>
        <v/>
      </c>
      <c r="N378" s="27">
        <f>IF(L378="","",L378+M378)</f>
        <v/>
      </c>
      <c r="O378" s="24" t="n"/>
      <c r="P378" s="24" t="n"/>
      <c r="Q378" s="24" t="n"/>
      <c r="R378" s="22" t="n"/>
      <c r="S378" s="22" t="n"/>
      <c r="T378" s="24" t="n"/>
      <c r="U378" s="24" t="n"/>
      <c r="V378" s="25">
        <f>IF(COUNTA(A378,D378,C378,L378)=0,"",IF(A378="","No date - sits outside every month",IF(E378="","No job number",IF(F378="CHECK","Job number is not in the Xero job list",IF(I378="","No cost centre",IF(AND(P378="Y",C378=""),"Marked posted to Xero but has no invoice number",IF(AND(L378&lt;&gt;"",K378=""),"No tax code",IF(AND(L378&lt;&gt;"",O378=""),"No revenue GL code",""))))))))</f>
        <v/>
      </c>
      <c r="W378" s="25">
        <f>IF(E378="","",IF(COUNTIF(tbl_Onsite[Job Number],E378&amp;"")&gt;0,"Onsite",IF(COUNTIF(tbl_Production[Job Number],E378&amp;"")&gt;0,"Production",IF(COUNTIF(tbl_Consulting[Job Number],E378&amp;"")&gt;0,"Consulting","not set up yet"))))</f>
        <v/>
      </c>
      <c r="X378" s="25">
        <f>IF(E378="","",IFERROR(INDEX(lst_JobName,MATCH(E378&amp;"",lst_Jobs,0)),""))</f>
        <v/>
      </c>
      <c r="Y378" s="28">
        <f>IF(E378="","",COUNTIFS(tbl_Finance[Job Number],E378&amp;"",tbl_Finance[Ex GST],"&lt;&gt;"))</f>
        <v/>
      </c>
      <c r="Z378" s="27">
        <f>IF(E378="","",SUMIFS(tbl_Finance[Ex GST],tbl_Finance[Job Number],E378&amp;""))</f>
        <v/>
      </c>
      <c r="AA378" s="27">
        <f>IF(E378="","",SUMIFS(tbl_Finance[Ex GST],tbl_Finance[Job Number],E378&amp;"",tbl_Finance[Xero Invoice No],"&lt;&gt;"))</f>
        <v/>
      </c>
      <c r="AB378" s="27">
        <f>IF(E378="","",Z378-AA378)</f>
        <v/>
      </c>
      <c r="AC378" s="25">
        <f>IF(E378="","",IFERROR(IF(INDEX(tbl_Onsite[Qwilr Quote],MATCH(E378&amp;"",tbl_Onsite[Job Number],0))="","",INDEX(tbl_Onsite[Qwilr Quote],MATCH(E378&amp;"",tbl_Onsite[Job Number],0))),IFERROR(IF(IF(INDEX(tbl_Production[Current RMS No],MATCH(E378&amp;"",tbl_Production[Job Number],0))="",INDEX(tbl_Production[Qwilr Quote],MATCH(E378&amp;"",tbl_Production[Job Number],0)),INDEX(tbl_Production[Current RMS No],MATCH(E378&amp;"",tbl_Production[Job Number],0)))="","",IF(INDEX(tbl_Production[Current RMS No],MATCH(E378&amp;"",tbl_Production[Job Number],0))="",INDEX(tbl_Production[Qwilr Quote],MATCH(E378&amp;"",tbl_Production[Job Number],0)),INDEX(tbl_Production[Current RMS No],MATCH(E378&amp;"",tbl_Production[Job Number],0)))),IFERROR(IF(INDEX(tbl_Consulting[Qwilr Quote],MATCH(E378&amp;"",tbl_Consulting[Job Number],0))="","",INDEX(tbl_Consulting[Qwilr Quote],MATCH(E378&amp;"",tbl_Consulting[Job Number],0))),""))))</f>
        <v/>
      </c>
      <c r="AD378" s="25">
        <f>IF(AC378="","",IF(AND(LEFT(AC378,4)&lt;&gt;"http",IF(H378="Production",set_RMSBase,set_QwilrBase)=""),"",HYPERLINK(IF(LEFT(AC378,4)="http",AC378,IF(H378="Production",set_RMSBase,set_QwilrBase)&amp;AC378),"Open")))</f>
        <v/>
      </c>
      <c r="AE378" s="27">
        <f>IF(E378="","",IFERROR(INDEX(tbl_Production[Total Expense],MATCH(E378&amp;"",tbl_Production[Job Number],0)),IFERROR(INDEX(tbl_Consulting[Total Expense],MATCH(E378&amp;"",tbl_Consulting[Job Number],0)),0)))</f>
        <v/>
      </c>
      <c r="AF378" s="27">
        <f>IF(E378="","",Z378-N(AE378))</f>
        <v/>
      </c>
      <c r="AG378" s="29">
        <f>IFERROR(AF378/Z378,"")</f>
        <v/>
      </c>
      <c r="AH378" s="25">
        <f>IF(E378="","",IFERROR(IF(INDEX(tbl_Onsite[Notes],MATCH(E378&amp;"",tbl_Onsite[Job Number],0))="","",INDEX(tbl_Onsite[Notes],MATCH(E378&amp;"",tbl_Onsite[Job Number],0))),IFERROR(IF(INDEX(tbl_Production[Notes],MATCH(E378&amp;"",tbl_Production[Job Number],0))="","",INDEX(tbl_Production[Notes],MATCH(E378&amp;"",tbl_Production[Job Number],0))),IFERROR(IF(INDEX(tbl_Consulting[Notes],MATCH(E378&amp;"",tbl_Consulting[Job Number],0))="","",INDEX(tbl_Consulting[Notes],MATCH(E378&amp;"",tbl_Consulting[Job Number],0))),""))))</f>
        <v/>
      </c>
    </row>
    <row r="379" ht="15" customHeight="1">
      <c r="A379" s="22" t="n"/>
      <c r="B379" s="23">
        <f>IF(A379="","",EOMONTH(A379,0))</f>
        <v/>
      </c>
      <c r="C379" s="24" t="n"/>
      <c r="D379" s="24" t="n"/>
      <c r="E379" s="24" t="n"/>
      <c r="F379" s="25">
        <f>IF(E379="","",IF(COUNTIF(lst_Jobs,E379&amp;"")&gt;0,"OK","CHECK"))</f>
        <v/>
      </c>
      <c r="G379" s="24" t="n"/>
      <c r="H379" s="24" t="n"/>
      <c r="I379" s="24" t="n"/>
      <c r="J379" s="24" t="n"/>
      <c r="K379" s="24" t="n"/>
      <c r="L379" s="26" t="n"/>
      <c r="M379" s="27">
        <f>IF(L379="","",IF(K379="GST 10%",ROUND(L379*set_GSTRate,2),0))</f>
        <v/>
      </c>
      <c r="N379" s="27">
        <f>IF(L379="","",L379+M379)</f>
        <v/>
      </c>
      <c r="O379" s="24" t="n"/>
      <c r="P379" s="24" t="n"/>
      <c r="Q379" s="24" t="n"/>
      <c r="R379" s="22" t="n"/>
      <c r="S379" s="22" t="n"/>
      <c r="T379" s="24" t="n"/>
      <c r="U379" s="24" t="n"/>
      <c r="V379" s="25">
        <f>IF(COUNTA(A379,D379,C379,L379)=0,"",IF(A379="","No date - sits outside every month",IF(E379="","No job number",IF(F379="CHECK","Job number is not in the Xero job list",IF(I379="","No cost centre",IF(AND(P379="Y",C379=""),"Marked posted to Xero but has no invoice number",IF(AND(L379&lt;&gt;"",K379=""),"No tax code",IF(AND(L379&lt;&gt;"",O379=""),"No revenue GL code",""))))))))</f>
        <v/>
      </c>
      <c r="W379" s="25">
        <f>IF(E379="","",IF(COUNTIF(tbl_Onsite[Job Number],E379&amp;"")&gt;0,"Onsite",IF(COUNTIF(tbl_Production[Job Number],E379&amp;"")&gt;0,"Production",IF(COUNTIF(tbl_Consulting[Job Number],E379&amp;"")&gt;0,"Consulting","not set up yet"))))</f>
        <v/>
      </c>
      <c r="X379" s="25">
        <f>IF(E379="","",IFERROR(INDEX(lst_JobName,MATCH(E379&amp;"",lst_Jobs,0)),""))</f>
        <v/>
      </c>
      <c r="Y379" s="28">
        <f>IF(E379="","",COUNTIFS(tbl_Finance[Job Number],E379&amp;"",tbl_Finance[Ex GST],"&lt;&gt;"))</f>
        <v/>
      </c>
      <c r="Z379" s="27">
        <f>IF(E379="","",SUMIFS(tbl_Finance[Ex GST],tbl_Finance[Job Number],E379&amp;""))</f>
        <v/>
      </c>
      <c r="AA379" s="27">
        <f>IF(E379="","",SUMIFS(tbl_Finance[Ex GST],tbl_Finance[Job Number],E379&amp;"",tbl_Finance[Xero Invoice No],"&lt;&gt;"))</f>
        <v/>
      </c>
      <c r="AB379" s="27">
        <f>IF(E379="","",Z379-AA379)</f>
        <v/>
      </c>
      <c r="AC379" s="25">
        <f>IF(E379="","",IFERROR(IF(INDEX(tbl_Onsite[Qwilr Quote],MATCH(E379&amp;"",tbl_Onsite[Job Number],0))="","",INDEX(tbl_Onsite[Qwilr Quote],MATCH(E379&amp;"",tbl_Onsite[Job Number],0))),IFERROR(IF(IF(INDEX(tbl_Production[Current RMS No],MATCH(E379&amp;"",tbl_Production[Job Number],0))="",INDEX(tbl_Production[Qwilr Quote],MATCH(E379&amp;"",tbl_Production[Job Number],0)),INDEX(tbl_Production[Current RMS No],MATCH(E379&amp;"",tbl_Production[Job Number],0)))="","",IF(INDEX(tbl_Production[Current RMS No],MATCH(E379&amp;"",tbl_Production[Job Number],0))="",INDEX(tbl_Production[Qwilr Quote],MATCH(E379&amp;"",tbl_Production[Job Number],0)),INDEX(tbl_Production[Current RMS No],MATCH(E379&amp;"",tbl_Production[Job Number],0)))),IFERROR(IF(INDEX(tbl_Consulting[Qwilr Quote],MATCH(E379&amp;"",tbl_Consulting[Job Number],0))="","",INDEX(tbl_Consulting[Qwilr Quote],MATCH(E379&amp;"",tbl_Consulting[Job Number],0))),""))))</f>
        <v/>
      </c>
      <c r="AD379" s="25">
        <f>IF(AC379="","",IF(AND(LEFT(AC379,4)&lt;&gt;"http",IF(H379="Production",set_RMSBase,set_QwilrBase)=""),"",HYPERLINK(IF(LEFT(AC379,4)="http",AC379,IF(H379="Production",set_RMSBase,set_QwilrBase)&amp;AC379),"Open")))</f>
        <v/>
      </c>
      <c r="AE379" s="27">
        <f>IF(E379="","",IFERROR(INDEX(tbl_Production[Total Expense],MATCH(E379&amp;"",tbl_Production[Job Number],0)),IFERROR(INDEX(tbl_Consulting[Total Expense],MATCH(E379&amp;"",tbl_Consulting[Job Number],0)),0)))</f>
        <v/>
      </c>
      <c r="AF379" s="27">
        <f>IF(E379="","",Z379-N(AE379))</f>
        <v/>
      </c>
      <c r="AG379" s="29">
        <f>IFERROR(AF379/Z379,"")</f>
        <v/>
      </c>
      <c r="AH379" s="25">
        <f>IF(E379="","",IFERROR(IF(INDEX(tbl_Onsite[Notes],MATCH(E379&amp;"",tbl_Onsite[Job Number],0))="","",INDEX(tbl_Onsite[Notes],MATCH(E379&amp;"",tbl_Onsite[Job Number],0))),IFERROR(IF(INDEX(tbl_Production[Notes],MATCH(E379&amp;"",tbl_Production[Job Number],0))="","",INDEX(tbl_Production[Notes],MATCH(E379&amp;"",tbl_Production[Job Number],0))),IFERROR(IF(INDEX(tbl_Consulting[Notes],MATCH(E379&amp;"",tbl_Consulting[Job Number],0))="","",INDEX(tbl_Consulting[Notes],MATCH(E379&amp;"",tbl_Consulting[Job Number],0))),""))))</f>
        <v/>
      </c>
    </row>
    <row r="380" ht="15" customHeight="1">
      <c r="A380" s="22" t="n"/>
      <c r="B380" s="23">
        <f>IF(A380="","",EOMONTH(A380,0))</f>
        <v/>
      </c>
      <c r="C380" s="24" t="n"/>
      <c r="D380" s="24" t="n"/>
      <c r="E380" s="24" t="n"/>
      <c r="F380" s="25">
        <f>IF(E380="","",IF(COUNTIF(lst_Jobs,E380&amp;"")&gt;0,"OK","CHECK"))</f>
        <v/>
      </c>
      <c r="G380" s="24" t="n"/>
      <c r="H380" s="24" t="n"/>
      <c r="I380" s="24" t="n"/>
      <c r="J380" s="24" t="n"/>
      <c r="K380" s="24" t="n"/>
      <c r="L380" s="26" t="n"/>
      <c r="M380" s="27">
        <f>IF(L380="","",IF(K380="GST 10%",ROUND(L380*set_GSTRate,2),0))</f>
        <v/>
      </c>
      <c r="N380" s="27">
        <f>IF(L380="","",L380+M380)</f>
        <v/>
      </c>
      <c r="O380" s="24" t="n"/>
      <c r="P380" s="24" t="n"/>
      <c r="Q380" s="24" t="n"/>
      <c r="R380" s="22" t="n"/>
      <c r="S380" s="22" t="n"/>
      <c r="T380" s="24" t="n"/>
      <c r="U380" s="24" t="n"/>
      <c r="V380" s="25">
        <f>IF(COUNTA(A380,D380,C380,L380)=0,"",IF(A380="","No date - sits outside every month",IF(E380="","No job number",IF(F380="CHECK","Job number is not in the Xero job list",IF(I380="","No cost centre",IF(AND(P380="Y",C380=""),"Marked posted to Xero but has no invoice number",IF(AND(L380&lt;&gt;"",K380=""),"No tax code",IF(AND(L380&lt;&gt;"",O380=""),"No revenue GL code",""))))))))</f>
        <v/>
      </c>
      <c r="W380" s="25">
        <f>IF(E380="","",IF(COUNTIF(tbl_Onsite[Job Number],E380&amp;"")&gt;0,"Onsite",IF(COUNTIF(tbl_Production[Job Number],E380&amp;"")&gt;0,"Production",IF(COUNTIF(tbl_Consulting[Job Number],E380&amp;"")&gt;0,"Consulting","not set up yet"))))</f>
        <v/>
      </c>
      <c r="X380" s="25">
        <f>IF(E380="","",IFERROR(INDEX(lst_JobName,MATCH(E380&amp;"",lst_Jobs,0)),""))</f>
        <v/>
      </c>
      <c r="Y380" s="28">
        <f>IF(E380="","",COUNTIFS(tbl_Finance[Job Number],E380&amp;"",tbl_Finance[Ex GST],"&lt;&gt;"))</f>
        <v/>
      </c>
      <c r="Z380" s="27">
        <f>IF(E380="","",SUMIFS(tbl_Finance[Ex GST],tbl_Finance[Job Number],E380&amp;""))</f>
        <v/>
      </c>
      <c r="AA380" s="27">
        <f>IF(E380="","",SUMIFS(tbl_Finance[Ex GST],tbl_Finance[Job Number],E380&amp;"",tbl_Finance[Xero Invoice No],"&lt;&gt;"))</f>
        <v/>
      </c>
      <c r="AB380" s="27">
        <f>IF(E380="","",Z380-AA380)</f>
        <v/>
      </c>
      <c r="AC380" s="25">
        <f>IF(E380="","",IFERROR(IF(INDEX(tbl_Onsite[Qwilr Quote],MATCH(E380&amp;"",tbl_Onsite[Job Number],0))="","",INDEX(tbl_Onsite[Qwilr Quote],MATCH(E380&amp;"",tbl_Onsite[Job Number],0))),IFERROR(IF(IF(INDEX(tbl_Production[Current RMS No],MATCH(E380&amp;"",tbl_Production[Job Number],0))="",INDEX(tbl_Production[Qwilr Quote],MATCH(E380&amp;"",tbl_Production[Job Number],0)),INDEX(tbl_Production[Current RMS No],MATCH(E380&amp;"",tbl_Production[Job Number],0)))="","",IF(INDEX(tbl_Production[Current RMS No],MATCH(E380&amp;"",tbl_Production[Job Number],0))="",INDEX(tbl_Production[Qwilr Quote],MATCH(E380&amp;"",tbl_Production[Job Number],0)),INDEX(tbl_Production[Current RMS No],MATCH(E380&amp;"",tbl_Production[Job Number],0)))),IFERROR(IF(INDEX(tbl_Consulting[Qwilr Quote],MATCH(E380&amp;"",tbl_Consulting[Job Number],0))="","",INDEX(tbl_Consulting[Qwilr Quote],MATCH(E380&amp;"",tbl_Consulting[Job Number],0))),""))))</f>
        <v/>
      </c>
      <c r="AD380" s="25">
        <f>IF(AC380="","",IF(AND(LEFT(AC380,4)&lt;&gt;"http",IF(H380="Production",set_RMSBase,set_QwilrBase)=""),"",HYPERLINK(IF(LEFT(AC380,4)="http",AC380,IF(H380="Production",set_RMSBase,set_QwilrBase)&amp;AC380),"Open")))</f>
        <v/>
      </c>
      <c r="AE380" s="27">
        <f>IF(E380="","",IFERROR(INDEX(tbl_Production[Total Expense],MATCH(E380&amp;"",tbl_Production[Job Number],0)),IFERROR(INDEX(tbl_Consulting[Total Expense],MATCH(E380&amp;"",tbl_Consulting[Job Number],0)),0)))</f>
        <v/>
      </c>
      <c r="AF380" s="27">
        <f>IF(E380="","",Z380-N(AE380))</f>
        <v/>
      </c>
      <c r="AG380" s="29">
        <f>IFERROR(AF380/Z380,"")</f>
        <v/>
      </c>
      <c r="AH380" s="25">
        <f>IF(E380="","",IFERROR(IF(INDEX(tbl_Onsite[Notes],MATCH(E380&amp;"",tbl_Onsite[Job Number],0))="","",INDEX(tbl_Onsite[Notes],MATCH(E380&amp;"",tbl_Onsite[Job Number],0))),IFERROR(IF(INDEX(tbl_Production[Notes],MATCH(E380&amp;"",tbl_Production[Job Number],0))="","",INDEX(tbl_Production[Notes],MATCH(E380&amp;"",tbl_Production[Job Number],0))),IFERROR(IF(INDEX(tbl_Consulting[Notes],MATCH(E380&amp;"",tbl_Consulting[Job Number],0))="","",INDEX(tbl_Consulting[Notes],MATCH(E380&amp;"",tbl_Consulting[Job Number],0))),""))))</f>
        <v/>
      </c>
    </row>
    <row r="381" ht="15" customHeight="1">
      <c r="A381" s="22" t="n"/>
      <c r="B381" s="23">
        <f>IF(A381="","",EOMONTH(A381,0))</f>
        <v/>
      </c>
      <c r="C381" s="24" t="n"/>
      <c r="D381" s="24" t="n"/>
      <c r="E381" s="24" t="n"/>
      <c r="F381" s="25">
        <f>IF(E381="","",IF(COUNTIF(lst_Jobs,E381&amp;"")&gt;0,"OK","CHECK"))</f>
        <v/>
      </c>
      <c r="G381" s="24" t="n"/>
      <c r="H381" s="24" t="n"/>
      <c r="I381" s="24" t="n"/>
      <c r="J381" s="24" t="n"/>
      <c r="K381" s="24" t="n"/>
      <c r="L381" s="26" t="n"/>
      <c r="M381" s="27">
        <f>IF(L381="","",IF(K381="GST 10%",ROUND(L381*set_GSTRate,2),0))</f>
        <v/>
      </c>
      <c r="N381" s="27">
        <f>IF(L381="","",L381+M381)</f>
        <v/>
      </c>
      <c r="O381" s="24" t="n"/>
      <c r="P381" s="24" t="n"/>
      <c r="Q381" s="24" t="n"/>
      <c r="R381" s="22" t="n"/>
      <c r="S381" s="22" t="n"/>
      <c r="T381" s="24" t="n"/>
      <c r="U381" s="24" t="n"/>
      <c r="V381" s="25">
        <f>IF(COUNTA(A381,D381,C381,L381)=0,"",IF(A381="","No date - sits outside every month",IF(E381="","No job number",IF(F381="CHECK","Job number is not in the Xero job list",IF(I381="","No cost centre",IF(AND(P381="Y",C381=""),"Marked posted to Xero but has no invoice number",IF(AND(L381&lt;&gt;"",K381=""),"No tax code",IF(AND(L381&lt;&gt;"",O381=""),"No revenue GL code",""))))))))</f>
        <v/>
      </c>
      <c r="W381" s="25">
        <f>IF(E381="","",IF(COUNTIF(tbl_Onsite[Job Number],E381&amp;"")&gt;0,"Onsite",IF(COUNTIF(tbl_Production[Job Number],E381&amp;"")&gt;0,"Production",IF(COUNTIF(tbl_Consulting[Job Number],E381&amp;"")&gt;0,"Consulting","not set up yet"))))</f>
        <v/>
      </c>
      <c r="X381" s="25">
        <f>IF(E381="","",IFERROR(INDEX(lst_JobName,MATCH(E381&amp;"",lst_Jobs,0)),""))</f>
        <v/>
      </c>
      <c r="Y381" s="28">
        <f>IF(E381="","",COUNTIFS(tbl_Finance[Job Number],E381&amp;"",tbl_Finance[Ex GST],"&lt;&gt;"))</f>
        <v/>
      </c>
      <c r="Z381" s="27">
        <f>IF(E381="","",SUMIFS(tbl_Finance[Ex GST],tbl_Finance[Job Number],E381&amp;""))</f>
        <v/>
      </c>
      <c r="AA381" s="27">
        <f>IF(E381="","",SUMIFS(tbl_Finance[Ex GST],tbl_Finance[Job Number],E381&amp;"",tbl_Finance[Xero Invoice No],"&lt;&gt;"))</f>
        <v/>
      </c>
      <c r="AB381" s="27">
        <f>IF(E381="","",Z381-AA381)</f>
        <v/>
      </c>
      <c r="AC381" s="25">
        <f>IF(E381="","",IFERROR(IF(INDEX(tbl_Onsite[Qwilr Quote],MATCH(E381&amp;"",tbl_Onsite[Job Number],0))="","",INDEX(tbl_Onsite[Qwilr Quote],MATCH(E381&amp;"",tbl_Onsite[Job Number],0))),IFERROR(IF(IF(INDEX(tbl_Production[Current RMS No],MATCH(E381&amp;"",tbl_Production[Job Number],0))="",INDEX(tbl_Production[Qwilr Quote],MATCH(E381&amp;"",tbl_Production[Job Number],0)),INDEX(tbl_Production[Current RMS No],MATCH(E381&amp;"",tbl_Production[Job Number],0)))="","",IF(INDEX(tbl_Production[Current RMS No],MATCH(E381&amp;"",tbl_Production[Job Number],0))="",INDEX(tbl_Production[Qwilr Quote],MATCH(E381&amp;"",tbl_Production[Job Number],0)),INDEX(tbl_Production[Current RMS No],MATCH(E381&amp;"",tbl_Production[Job Number],0)))),IFERROR(IF(INDEX(tbl_Consulting[Qwilr Quote],MATCH(E381&amp;"",tbl_Consulting[Job Number],0))="","",INDEX(tbl_Consulting[Qwilr Quote],MATCH(E381&amp;"",tbl_Consulting[Job Number],0))),""))))</f>
        <v/>
      </c>
      <c r="AD381" s="25">
        <f>IF(AC381="","",IF(AND(LEFT(AC381,4)&lt;&gt;"http",IF(H381="Production",set_RMSBase,set_QwilrBase)=""),"",HYPERLINK(IF(LEFT(AC381,4)="http",AC381,IF(H381="Production",set_RMSBase,set_QwilrBase)&amp;AC381),"Open")))</f>
        <v/>
      </c>
      <c r="AE381" s="27">
        <f>IF(E381="","",IFERROR(INDEX(tbl_Production[Total Expense],MATCH(E381&amp;"",tbl_Production[Job Number],0)),IFERROR(INDEX(tbl_Consulting[Total Expense],MATCH(E381&amp;"",tbl_Consulting[Job Number],0)),0)))</f>
        <v/>
      </c>
      <c r="AF381" s="27">
        <f>IF(E381="","",Z381-N(AE381))</f>
        <v/>
      </c>
      <c r="AG381" s="29">
        <f>IFERROR(AF381/Z381,"")</f>
        <v/>
      </c>
      <c r="AH381" s="25">
        <f>IF(E381="","",IFERROR(IF(INDEX(tbl_Onsite[Notes],MATCH(E381&amp;"",tbl_Onsite[Job Number],0))="","",INDEX(tbl_Onsite[Notes],MATCH(E381&amp;"",tbl_Onsite[Job Number],0))),IFERROR(IF(INDEX(tbl_Production[Notes],MATCH(E381&amp;"",tbl_Production[Job Number],0))="","",INDEX(tbl_Production[Notes],MATCH(E381&amp;"",tbl_Production[Job Number],0))),IFERROR(IF(INDEX(tbl_Consulting[Notes],MATCH(E381&amp;"",tbl_Consulting[Job Number],0))="","",INDEX(tbl_Consulting[Notes],MATCH(E381&amp;"",tbl_Consulting[Job Number],0))),""))))</f>
        <v/>
      </c>
    </row>
    <row r="382" ht="15" customHeight="1">
      <c r="A382" s="22" t="n"/>
      <c r="B382" s="23">
        <f>IF(A382="","",EOMONTH(A382,0))</f>
        <v/>
      </c>
      <c r="C382" s="24" t="n"/>
      <c r="D382" s="24" t="n"/>
      <c r="E382" s="24" t="n"/>
      <c r="F382" s="25">
        <f>IF(E382="","",IF(COUNTIF(lst_Jobs,E382&amp;"")&gt;0,"OK","CHECK"))</f>
        <v/>
      </c>
      <c r="G382" s="24" t="n"/>
      <c r="H382" s="24" t="n"/>
      <c r="I382" s="24" t="n"/>
      <c r="J382" s="24" t="n"/>
      <c r="K382" s="24" t="n"/>
      <c r="L382" s="26" t="n"/>
      <c r="M382" s="27">
        <f>IF(L382="","",IF(K382="GST 10%",ROUND(L382*set_GSTRate,2),0))</f>
        <v/>
      </c>
      <c r="N382" s="27">
        <f>IF(L382="","",L382+M382)</f>
        <v/>
      </c>
      <c r="O382" s="24" t="n"/>
      <c r="P382" s="24" t="n"/>
      <c r="Q382" s="24" t="n"/>
      <c r="R382" s="22" t="n"/>
      <c r="S382" s="22" t="n"/>
      <c r="T382" s="24" t="n"/>
      <c r="U382" s="24" t="n"/>
      <c r="V382" s="25">
        <f>IF(COUNTA(A382,D382,C382,L382)=0,"",IF(A382="","No date - sits outside every month",IF(E382="","No job number",IF(F382="CHECK","Job number is not in the Xero job list",IF(I382="","No cost centre",IF(AND(P382="Y",C382=""),"Marked posted to Xero but has no invoice number",IF(AND(L382&lt;&gt;"",K382=""),"No tax code",IF(AND(L382&lt;&gt;"",O382=""),"No revenue GL code",""))))))))</f>
        <v/>
      </c>
      <c r="W382" s="25">
        <f>IF(E382="","",IF(COUNTIF(tbl_Onsite[Job Number],E382&amp;"")&gt;0,"Onsite",IF(COUNTIF(tbl_Production[Job Number],E382&amp;"")&gt;0,"Production",IF(COUNTIF(tbl_Consulting[Job Number],E382&amp;"")&gt;0,"Consulting","not set up yet"))))</f>
        <v/>
      </c>
      <c r="X382" s="25">
        <f>IF(E382="","",IFERROR(INDEX(lst_JobName,MATCH(E382&amp;"",lst_Jobs,0)),""))</f>
        <v/>
      </c>
      <c r="Y382" s="28">
        <f>IF(E382="","",COUNTIFS(tbl_Finance[Job Number],E382&amp;"",tbl_Finance[Ex GST],"&lt;&gt;"))</f>
        <v/>
      </c>
      <c r="Z382" s="27">
        <f>IF(E382="","",SUMIFS(tbl_Finance[Ex GST],tbl_Finance[Job Number],E382&amp;""))</f>
        <v/>
      </c>
      <c r="AA382" s="27">
        <f>IF(E382="","",SUMIFS(tbl_Finance[Ex GST],tbl_Finance[Job Number],E382&amp;"",tbl_Finance[Xero Invoice No],"&lt;&gt;"))</f>
        <v/>
      </c>
      <c r="AB382" s="27">
        <f>IF(E382="","",Z382-AA382)</f>
        <v/>
      </c>
      <c r="AC382" s="25">
        <f>IF(E382="","",IFERROR(IF(INDEX(tbl_Onsite[Qwilr Quote],MATCH(E382&amp;"",tbl_Onsite[Job Number],0))="","",INDEX(tbl_Onsite[Qwilr Quote],MATCH(E382&amp;"",tbl_Onsite[Job Number],0))),IFERROR(IF(IF(INDEX(tbl_Production[Current RMS No],MATCH(E382&amp;"",tbl_Production[Job Number],0))="",INDEX(tbl_Production[Qwilr Quote],MATCH(E382&amp;"",tbl_Production[Job Number],0)),INDEX(tbl_Production[Current RMS No],MATCH(E382&amp;"",tbl_Production[Job Number],0)))="","",IF(INDEX(tbl_Production[Current RMS No],MATCH(E382&amp;"",tbl_Production[Job Number],0))="",INDEX(tbl_Production[Qwilr Quote],MATCH(E382&amp;"",tbl_Production[Job Number],0)),INDEX(tbl_Production[Current RMS No],MATCH(E382&amp;"",tbl_Production[Job Number],0)))),IFERROR(IF(INDEX(tbl_Consulting[Qwilr Quote],MATCH(E382&amp;"",tbl_Consulting[Job Number],0))="","",INDEX(tbl_Consulting[Qwilr Quote],MATCH(E382&amp;"",tbl_Consulting[Job Number],0))),""))))</f>
        <v/>
      </c>
      <c r="AD382" s="25">
        <f>IF(AC382="","",IF(AND(LEFT(AC382,4)&lt;&gt;"http",IF(H382="Production",set_RMSBase,set_QwilrBase)=""),"",HYPERLINK(IF(LEFT(AC382,4)="http",AC382,IF(H382="Production",set_RMSBase,set_QwilrBase)&amp;AC382),"Open")))</f>
        <v/>
      </c>
      <c r="AE382" s="27">
        <f>IF(E382="","",IFERROR(INDEX(tbl_Production[Total Expense],MATCH(E382&amp;"",tbl_Production[Job Number],0)),IFERROR(INDEX(tbl_Consulting[Total Expense],MATCH(E382&amp;"",tbl_Consulting[Job Number],0)),0)))</f>
        <v/>
      </c>
      <c r="AF382" s="27">
        <f>IF(E382="","",Z382-N(AE382))</f>
        <v/>
      </c>
      <c r="AG382" s="29">
        <f>IFERROR(AF382/Z382,"")</f>
        <v/>
      </c>
      <c r="AH382" s="25">
        <f>IF(E382="","",IFERROR(IF(INDEX(tbl_Onsite[Notes],MATCH(E382&amp;"",tbl_Onsite[Job Number],0))="","",INDEX(tbl_Onsite[Notes],MATCH(E382&amp;"",tbl_Onsite[Job Number],0))),IFERROR(IF(INDEX(tbl_Production[Notes],MATCH(E382&amp;"",tbl_Production[Job Number],0))="","",INDEX(tbl_Production[Notes],MATCH(E382&amp;"",tbl_Production[Job Number],0))),IFERROR(IF(INDEX(tbl_Consulting[Notes],MATCH(E382&amp;"",tbl_Consulting[Job Number],0))="","",INDEX(tbl_Consulting[Notes],MATCH(E382&amp;"",tbl_Consulting[Job Number],0))),""))))</f>
        <v/>
      </c>
    </row>
    <row r="383" ht="15" customHeight="1">
      <c r="A383" s="22" t="n"/>
      <c r="B383" s="23">
        <f>IF(A383="","",EOMONTH(A383,0))</f>
        <v/>
      </c>
      <c r="C383" s="24" t="n"/>
      <c r="D383" s="24" t="n"/>
      <c r="E383" s="24" t="n"/>
      <c r="F383" s="25">
        <f>IF(E383="","",IF(COUNTIF(lst_Jobs,E383&amp;"")&gt;0,"OK","CHECK"))</f>
        <v/>
      </c>
      <c r="G383" s="24" t="n"/>
      <c r="H383" s="24" t="n"/>
      <c r="I383" s="24" t="n"/>
      <c r="J383" s="24" t="n"/>
      <c r="K383" s="24" t="n"/>
      <c r="L383" s="26" t="n"/>
      <c r="M383" s="27">
        <f>IF(L383="","",IF(K383="GST 10%",ROUND(L383*set_GSTRate,2),0))</f>
        <v/>
      </c>
      <c r="N383" s="27">
        <f>IF(L383="","",L383+M383)</f>
        <v/>
      </c>
      <c r="O383" s="24" t="n"/>
      <c r="P383" s="24" t="n"/>
      <c r="Q383" s="24" t="n"/>
      <c r="R383" s="22" t="n"/>
      <c r="S383" s="22" t="n"/>
      <c r="T383" s="24" t="n"/>
      <c r="U383" s="24" t="n"/>
      <c r="V383" s="25">
        <f>IF(COUNTA(A383,D383,C383,L383)=0,"",IF(A383="","No date - sits outside every month",IF(E383="","No job number",IF(F383="CHECK","Job number is not in the Xero job list",IF(I383="","No cost centre",IF(AND(P383="Y",C383=""),"Marked posted to Xero but has no invoice number",IF(AND(L383&lt;&gt;"",K383=""),"No tax code",IF(AND(L383&lt;&gt;"",O383=""),"No revenue GL code",""))))))))</f>
        <v/>
      </c>
      <c r="W383" s="25">
        <f>IF(E383="","",IF(COUNTIF(tbl_Onsite[Job Number],E383&amp;"")&gt;0,"Onsite",IF(COUNTIF(tbl_Production[Job Number],E383&amp;"")&gt;0,"Production",IF(COUNTIF(tbl_Consulting[Job Number],E383&amp;"")&gt;0,"Consulting","not set up yet"))))</f>
        <v/>
      </c>
      <c r="X383" s="25">
        <f>IF(E383="","",IFERROR(INDEX(lst_JobName,MATCH(E383&amp;"",lst_Jobs,0)),""))</f>
        <v/>
      </c>
      <c r="Y383" s="28">
        <f>IF(E383="","",COUNTIFS(tbl_Finance[Job Number],E383&amp;"",tbl_Finance[Ex GST],"&lt;&gt;"))</f>
        <v/>
      </c>
      <c r="Z383" s="27">
        <f>IF(E383="","",SUMIFS(tbl_Finance[Ex GST],tbl_Finance[Job Number],E383&amp;""))</f>
        <v/>
      </c>
      <c r="AA383" s="27">
        <f>IF(E383="","",SUMIFS(tbl_Finance[Ex GST],tbl_Finance[Job Number],E383&amp;"",tbl_Finance[Xero Invoice No],"&lt;&gt;"))</f>
        <v/>
      </c>
      <c r="AB383" s="27">
        <f>IF(E383="","",Z383-AA383)</f>
        <v/>
      </c>
      <c r="AC383" s="25">
        <f>IF(E383="","",IFERROR(IF(INDEX(tbl_Onsite[Qwilr Quote],MATCH(E383&amp;"",tbl_Onsite[Job Number],0))="","",INDEX(tbl_Onsite[Qwilr Quote],MATCH(E383&amp;"",tbl_Onsite[Job Number],0))),IFERROR(IF(IF(INDEX(tbl_Production[Current RMS No],MATCH(E383&amp;"",tbl_Production[Job Number],0))="",INDEX(tbl_Production[Qwilr Quote],MATCH(E383&amp;"",tbl_Production[Job Number],0)),INDEX(tbl_Production[Current RMS No],MATCH(E383&amp;"",tbl_Production[Job Number],0)))="","",IF(INDEX(tbl_Production[Current RMS No],MATCH(E383&amp;"",tbl_Production[Job Number],0))="",INDEX(tbl_Production[Qwilr Quote],MATCH(E383&amp;"",tbl_Production[Job Number],0)),INDEX(tbl_Production[Current RMS No],MATCH(E383&amp;"",tbl_Production[Job Number],0)))),IFERROR(IF(INDEX(tbl_Consulting[Qwilr Quote],MATCH(E383&amp;"",tbl_Consulting[Job Number],0))="","",INDEX(tbl_Consulting[Qwilr Quote],MATCH(E383&amp;"",tbl_Consulting[Job Number],0))),""))))</f>
        <v/>
      </c>
      <c r="AD383" s="25">
        <f>IF(AC383="","",IF(AND(LEFT(AC383,4)&lt;&gt;"http",IF(H383="Production",set_RMSBase,set_QwilrBase)=""),"",HYPERLINK(IF(LEFT(AC383,4)="http",AC383,IF(H383="Production",set_RMSBase,set_QwilrBase)&amp;AC383),"Open")))</f>
        <v/>
      </c>
      <c r="AE383" s="27">
        <f>IF(E383="","",IFERROR(INDEX(tbl_Production[Total Expense],MATCH(E383&amp;"",tbl_Production[Job Number],0)),IFERROR(INDEX(tbl_Consulting[Total Expense],MATCH(E383&amp;"",tbl_Consulting[Job Number],0)),0)))</f>
        <v/>
      </c>
      <c r="AF383" s="27">
        <f>IF(E383="","",Z383-N(AE383))</f>
        <v/>
      </c>
      <c r="AG383" s="29">
        <f>IFERROR(AF383/Z383,"")</f>
        <v/>
      </c>
      <c r="AH383" s="25">
        <f>IF(E383="","",IFERROR(IF(INDEX(tbl_Onsite[Notes],MATCH(E383&amp;"",tbl_Onsite[Job Number],0))="","",INDEX(tbl_Onsite[Notes],MATCH(E383&amp;"",tbl_Onsite[Job Number],0))),IFERROR(IF(INDEX(tbl_Production[Notes],MATCH(E383&amp;"",tbl_Production[Job Number],0))="","",INDEX(tbl_Production[Notes],MATCH(E383&amp;"",tbl_Production[Job Number],0))),IFERROR(IF(INDEX(tbl_Consulting[Notes],MATCH(E383&amp;"",tbl_Consulting[Job Number],0))="","",INDEX(tbl_Consulting[Notes],MATCH(E383&amp;"",tbl_Consulting[Job Number],0))),""))))</f>
        <v/>
      </c>
    </row>
    <row r="384" ht="15" customHeight="1">
      <c r="A384" s="22" t="n"/>
      <c r="B384" s="23">
        <f>IF(A384="","",EOMONTH(A384,0))</f>
        <v/>
      </c>
      <c r="C384" s="24" t="n"/>
      <c r="D384" s="24" t="n"/>
      <c r="E384" s="24" t="n"/>
      <c r="F384" s="25">
        <f>IF(E384="","",IF(COUNTIF(lst_Jobs,E384&amp;"")&gt;0,"OK","CHECK"))</f>
        <v/>
      </c>
      <c r="G384" s="24" t="n"/>
      <c r="H384" s="24" t="n"/>
      <c r="I384" s="24" t="n"/>
      <c r="J384" s="24" t="n"/>
      <c r="K384" s="24" t="n"/>
      <c r="L384" s="26" t="n"/>
      <c r="M384" s="27">
        <f>IF(L384="","",IF(K384="GST 10%",ROUND(L384*set_GSTRate,2),0))</f>
        <v/>
      </c>
      <c r="N384" s="27">
        <f>IF(L384="","",L384+M384)</f>
        <v/>
      </c>
      <c r="O384" s="24" t="n"/>
      <c r="P384" s="24" t="n"/>
      <c r="Q384" s="24" t="n"/>
      <c r="R384" s="22" t="n"/>
      <c r="S384" s="22" t="n"/>
      <c r="T384" s="24" t="n"/>
      <c r="U384" s="24" t="n"/>
      <c r="V384" s="25">
        <f>IF(COUNTA(A384,D384,C384,L384)=0,"",IF(A384="","No date - sits outside every month",IF(E384="","No job number",IF(F384="CHECK","Job number is not in the Xero job list",IF(I384="","No cost centre",IF(AND(P384="Y",C384=""),"Marked posted to Xero but has no invoice number",IF(AND(L384&lt;&gt;"",K384=""),"No tax code",IF(AND(L384&lt;&gt;"",O384=""),"No revenue GL code",""))))))))</f>
        <v/>
      </c>
      <c r="W384" s="25">
        <f>IF(E384="","",IF(COUNTIF(tbl_Onsite[Job Number],E384&amp;"")&gt;0,"Onsite",IF(COUNTIF(tbl_Production[Job Number],E384&amp;"")&gt;0,"Production",IF(COUNTIF(tbl_Consulting[Job Number],E384&amp;"")&gt;0,"Consulting","not set up yet"))))</f>
        <v/>
      </c>
      <c r="X384" s="25">
        <f>IF(E384="","",IFERROR(INDEX(lst_JobName,MATCH(E384&amp;"",lst_Jobs,0)),""))</f>
        <v/>
      </c>
      <c r="Y384" s="28">
        <f>IF(E384="","",COUNTIFS(tbl_Finance[Job Number],E384&amp;"",tbl_Finance[Ex GST],"&lt;&gt;"))</f>
        <v/>
      </c>
      <c r="Z384" s="27">
        <f>IF(E384="","",SUMIFS(tbl_Finance[Ex GST],tbl_Finance[Job Number],E384&amp;""))</f>
        <v/>
      </c>
      <c r="AA384" s="27">
        <f>IF(E384="","",SUMIFS(tbl_Finance[Ex GST],tbl_Finance[Job Number],E384&amp;"",tbl_Finance[Xero Invoice No],"&lt;&gt;"))</f>
        <v/>
      </c>
      <c r="AB384" s="27">
        <f>IF(E384="","",Z384-AA384)</f>
        <v/>
      </c>
      <c r="AC384" s="25">
        <f>IF(E384="","",IFERROR(IF(INDEX(tbl_Onsite[Qwilr Quote],MATCH(E384&amp;"",tbl_Onsite[Job Number],0))="","",INDEX(tbl_Onsite[Qwilr Quote],MATCH(E384&amp;"",tbl_Onsite[Job Number],0))),IFERROR(IF(IF(INDEX(tbl_Production[Current RMS No],MATCH(E384&amp;"",tbl_Production[Job Number],0))="",INDEX(tbl_Production[Qwilr Quote],MATCH(E384&amp;"",tbl_Production[Job Number],0)),INDEX(tbl_Production[Current RMS No],MATCH(E384&amp;"",tbl_Production[Job Number],0)))="","",IF(INDEX(tbl_Production[Current RMS No],MATCH(E384&amp;"",tbl_Production[Job Number],0))="",INDEX(tbl_Production[Qwilr Quote],MATCH(E384&amp;"",tbl_Production[Job Number],0)),INDEX(tbl_Production[Current RMS No],MATCH(E384&amp;"",tbl_Production[Job Number],0)))),IFERROR(IF(INDEX(tbl_Consulting[Qwilr Quote],MATCH(E384&amp;"",tbl_Consulting[Job Number],0))="","",INDEX(tbl_Consulting[Qwilr Quote],MATCH(E384&amp;"",tbl_Consulting[Job Number],0))),""))))</f>
        <v/>
      </c>
      <c r="AD384" s="25">
        <f>IF(AC384="","",IF(AND(LEFT(AC384,4)&lt;&gt;"http",IF(H384="Production",set_RMSBase,set_QwilrBase)=""),"",HYPERLINK(IF(LEFT(AC384,4)="http",AC384,IF(H384="Production",set_RMSBase,set_QwilrBase)&amp;AC384),"Open")))</f>
        <v/>
      </c>
      <c r="AE384" s="27">
        <f>IF(E384="","",IFERROR(INDEX(tbl_Production[Total Expense],MATCH(E384&amp;"",tbl_Production[Job Number],0)),IFERROR(INDEX(tbl_Consulting[Total Expense],MATCH(E384&amp;"",tbl_Consulting[Job Number],0)),0)))</f>
        <v/>
      </c>
      <c r="AF384" s="27">
        <f>IF(E384="","",Z384-N(AE384))</f>
        <v/>
      </c>
      <c r="AG384" s="29">
        <f>IFERROR(AF384/Z384,"")</f>
        <v/>
      </c>
      <c r="AH384" s="25">
        <f>IF(E384="","",IFERROR(IF(INDEX(tbl_Onsite[Notes],MATCH(E384&amp;"",tbl_Onsite[Job Number],0))="","",INDEX(tbl_Onsite[Notes],MATCH(E384&amp;"",tbl_Onsite[Job Number],0))),IFERROR(IF(INDEX(tbl_Production[Notes],MATCH(E384&amp;"",tbl_Production[Job Number],0))="","",INDEX(tbl_Production[Notes],MATCH(E384&amp;"",tbl_Production[Job Number],0))),IFERROR(IF(INDEX(tbl_Consulting[Notes],MATCH(E384&amp;"",tbl_Consulting[Job Number],0))="","",INDEX(tbl_Consulting[Notes],MATCH(E384&amp;"",tbl_Consulting[Job Number],0))),""))))</f>
        <v/>
      </c>
    </row>
    <row r="385" ht="15" customHeight="1">
      <c r="A385" s="22" t="n"/>
      <c r="B385" s="23">
        <f>IF(A385="","",EOMONTH(A385,0))</f>
        <v/>
      </c>
      <c r="C385" s="24" t="n"/>
      <c r="D385" s="24" t="n"/>
      <c r="E385" s="24" t="n"/>
      <c r="F385" s="25">
        <f>IF(E385="","",IF(COUNTIF(lst_Jobs,E385&amp;"")&gt;0,"OK","CHECK"))</f>
        <v/>
      </c>
      <c r="G385" s="24" t="n"/>
      <c r="H385" s="24" t="n"/>
      <c r="I385" s="24" t="n"/>
      <c r="J385" s="24" t="n"/>
      <c r="K385" s="24" t="n"/>
      <c r="L385" s="26" t="n"/>
      <c r="M385" s="27">
        <f>IF(L385="","",IF(K385="GST 10%",ROUND(L385*set_GSTRate,2),0))</f>
        <v/>
      </c>
      <c r="N385" s="27">
        <f>IF(L385="","",L385+M385)</f>
        <v/>
      </c>
      <c r="O385" s="24" t="n"/>
      <c r="P385" s="24" t="n"/>
      <c r="Q385" s="24" t="n"/>
      <c r="R385" s="22" t="n"/>
      <c r="S385" s="22" t="n"/>
      <c r="T385" s="24" t="n"/>
      <c r="U385" s="24" t="n"/>
      <c r="V385" s="25">
        <f>IF(COUNTA(A385,D385,C385,L385)=0,"",IF(A385="","No date - sits outside every month",IF(E385="","No job number",IF(F385="CHECK","Job number is not in the Xero job list",IF(I385="","No cost centre",IF(AND(P385="Y",C385=""),"Marked posted to Xero but has no invoice number",IF(AND(L385&lt;&gt;"",K385=""),"No tax code",IF(AND(L385&lt;&gt;"",O385=""),"No revenue GL code",""))))))))</f>
        <v/>
      </c>
      <c r="W385" s="25">
        <f>IF(E385="","",IF(COUNTIF(tbl_Onsite[Job Number],E385&amp;"")&gt;0,"Onsite",IF(COUNTIF(tbl_Production[Job Number],E385&amp;"")&gt;0,"Production",IF(COUNTIF(tbl_Consulting[Job Number],E385&amp;"")&gt;0,"Consulting","not set up yet"))))</f>
        <v/>
      </c>
      <c r="X385" s="25">
        <f>IF(E385="","",IFERROR(INDEX(lst_JobName,MATCH(E385&amp;"",lst_Jobs,0)),""))</f>
        <v/>
      </c>
      <c r="Y385" s="28">
        <f>IF(E385="","",COUNTIFS(tbl_Finance[Job Number],E385&amp;"",tbl_Finance[Ex GST],"&lt;&gt;"))</f>
        <v/>
      </c>
      <c r="Z385" s="27">
        <f>IF(E385="","",SUMIFS(tbl_Finance[Ex GST],tbl_Finance[Job Number],E385&amp;""))</f>
        <v/>
      </c>
      <c r="AA385" s="27">
        <f>IF(E385="","",SUMIFS(tbl_Finance[Ex GST],tbl_Finance[Job Number],E385&amp;"",tbl_Finance[Xero Invoice No],"&lt;&gt;"))</f>
        <v/>
      </c>
      <c r="AB385" s="27">
        <f>IF(E385="","",Z385-AA385)</f>
        <v/>
      </c>
      <c r="AC385" s="25">
        <f>IF(E385="","",IFERROR(IF(INDEX(tbl_Onsite[Qwilr Quote],MATCH(E385&amp;"",tbl_Onsite[Job Number],0))="","",INDEX(tbl_Onsite[Qwilr Quote],MATCH(E385&amp;"",tbl_Onsite[Job Number],0))),IFERROR(IF(IF(INDEX(tbl_Production[Current RMS No],MATCH(E385&amp;"",tbl_Production[Job Number],0))="",INDEX(tbl_Production[Qwilr Quote],MATCH(E385&amp;"",tbl_Production[Job Number],0)),INDEX(tbl_Production[Current RMS No],MATCH(E385&amp;"",tbl_Production[Job Number],0)))="","",IF(INDEX(tbl_Production[Current RMS No],MATCH(E385&amp;"",tbl_Production[Job Number],0))="",INDEX(tbl_Production[Qwilr Quote],MATCH(E385&amp;"",tbl_Production[Job Number],0)),INDEX(tbl_Production[Current RMS No],MATCH(E385&amp;"",tbl_Production[Job Number],0)))),IFERROR(IF(INDEX(tbl_Consulting[Qwilr Quote],MATCH(E385&amp;"",tbl_Consulting[Job Number],0))="","",INDEX(tbl_Consulting[Qwilr Quote],MATCH(E385&amp;"",tbl_Consulting[Job Number],0))),""))))</f>
        <v/>
      </c>
      <c r="AD385" s="25">
        <f>IF(AC385="","",IF(AND(LEFT(AC385,4)&lt;&gt;"http",IF(H385="Production",set_RMSBase,set_QwilrBase)=""),"",HYPERLINK(IF(LEFT(AC385,4)="http",AC385,IF(H385="Production",set_RMSBase,set_QwilrBase)&amp;AC385),"Open")))</f>
        <v/>
      </c>
      <c r="AE385" s="27">
        <f>IF(E385="","",IFERROR(INDEX(tbl_Production[Total Expense],MATCH(E385&amp;"",tbl_Production[Job Number],0)),IFERROR(INDEX(tbl_Consulting[Total Expense],MATCH(E385&amp;"",tbl_Consulting[Job Number],0)),0)))</f>
        <v/>
      </c>
      <c r="AF385" s="27">
        <f>IF(E385="","",Z385-N(AE385))</f>
        <v/>
      </c>
      <c r="AG385" s="29">
        <f>IFERROR(AF385/Z385,"")</f>
        <v/>
      </c>
      <c r="AH385" s="25">
        <f>IF(E385="","",IFERROR(IF(INDEX(tbl_Onsite[Notes],MATCH(E385&amp;"",tbl_Onsite[Job Number],0))="","",INDEX(tbl_Onsite[Notes],MATCH(E385&amp;"",tbl_Onsite[Job Number],0))),IFERROR(IF(INDEX(tbl_Production[Notes],MATCH(E385&amp;"",tbl_Production[Job Number],0))="","",INDEX(tbl_Production[Notes],MATCH(E385&amp;"",tbl_Production[Job Number],0))),IFERROR(IF(INDEX(tbl_Consulting[Notes],MATCH(E385&amp;"",tbl_Consulting[Job Number],0))="","",INDEX(tbl_Consulting[Notes],MATCH(E385&amp;"",tbl_Consulting[Job Number],0))),""))))</f>
        <v/>
      </c>
    </row>
    <row r="386" ht="15" customHeight="1">
      <c r="A386" s="22" t="n"/>
      <c r="B386" s="23">
        <f>IF(A386="","",EOMONTH(A386,0))</f>
        <v/>
      </c>
      <c r="C386" s="24" t="n"/>
      <c r="D386" s="24" t="n"/>
      <c r="E386" s="24" t="n"/>
      <c r="F386" s="25">
        <f>IF(E386="","",IF(COUNTIF(lst_Jobs,E386&amp;"")&gt;0,"OK","CHECK"))</f>
        <v/>
      </c>
      <c r="G386" s="24" t="n"/>
      <c r="H386" s="24" t="n"/>
      <c r="I386" s="24" t="n"/>
      <c r="J386" s="24" t="n"/>
      <c r="K386" s="24" t="n"/>
      <c r="L386" s="26" t="n"/>
      <c r="M386" s="27">
        <f>IF(L386="","",IF(K386="GST 10%",ROUND(L386*set_GSTRate,2),0))</f>
        <v/>
      </c>
      <c r="N386" s="27">
        <f>IF(L386="","",L386+M386)</f>
        <v/>
      </c>
      <c r="O386" s="24" t="n"/>
      <c r="P386" s="24" t="n"/>
      <c r="Q386" s="24" t="n"/>
      <c r="R386" s="22" t="n"/>
      <c r="S386" s="22" t="n"/>
      <c r="T386" s="24" t="n"/>
      <c r="U386" s="24" t="n"/>
      <c r="V386" s="25">
        <f>IF(COUNTA(A386,D386,C386,L386)=0,"",IF(A386="","No date - sits outside every month",IF(E386="","No job number",IF(F386="CHECK","Job number is not in the Xero job list",IF(I386="","No cost centre",IF(AND(P386="Y",C386=""),"Marked posted to Xero but has no invoice number",IF(AND(L386&lt;&gt;"",K386=""),"No tax code",IF(AND(L386&lt;&gt;"",O386=""),"No revenue GL code",""))))))))</f>
        <v/>
      </c>
      <c r="W386" s="25">
        <f>IF(E386="","",IF(COUNTIF(tbl_Onsite[Job Number],E386&amp;"")&gt;0,"Onsite",IF(COUNTIF(tbl_Production[Job Number],E386&amp;"")&gt;0,"Production",IF(COUNTIF(tbl_Consulting[Job Number],E386&amp;"")&gt;0,"Consulting","not set up yet"))))</f>
        <v/>
      </c>
      <c r="X386" s="25">
        <f>IF(E386="","",IFERROR(INDEX(lst_JobName,MATCH(E386&amp;"",lst_Jobs,0)),""))</f>
        <v/>
      </c>
      <c r="Y386" s="28">
        <f>IF(E386="","",COUNTIFS(tbl_Finance[Job Number],E386&amp;"",tbl_Finance[Ex GST],"&lt;&gt;"))</f>
        <v/>
      </c>
      <c r="Z386" s="27">
        <f>IF(E386="","",SUMIFS(tbl_Finance[Ex GST],tbl_Finance[Job Number],E386&amp;""))</f>
        <v/>
      </c>
      <c r="AA386" s="27">
        <f>IF(E386="","",SUMIFS(tbl_Finance[Ex GST],tbl_Finance[Job Number],E386&amp;"",tbl_Finance[Xero Invoice No],"&lt;&gt;"))</f>
        <v/>
      </c>
      <c r="AB386" s="27">
        <f>IF(E386="","",Z386-AA386)</f>
        <v/>
      </c>
      <c r="AC386" s="25">
        <f>IF(E386="","",IFERROR(IF(INDEX(tbl_Onsite[Qwilr Quote],MATCH(E386&amp;"",tbl_Onsite[Job Number],0))="","",INDEX(tbl_Onsite[Qwilr Quote],MATCH(E386&amp;"",tbl_Onsite[Job Number],0))),IFERROR(IF(IF(INDEX(tbl_Production[Current RMS No],MATCH(E386&amp;"",tbl_Production[Job Number],0))="",INDEX(tbl_Production[Qwilr Quote],MATCH(E386&amp;"",tbl_Production[Job Number],0)),INDEX(tbl_Production[Current RMS No],MATCH(E386&amp;"",tbl_Production[Job Number],0)))="","",IF(INDEX(tbl_Production[Current RMS No],MATCH(E386&amp;"",tbl_Production[Job Number],0))="",INDEX(tbl_Production[Qwilr Quote],MATCH(E386&amp;"",tbl_Production[Job Number],0)),INDEX(tbl_Production[Current RMS No],MATCH(E386&amp;"",tbl_Production[Job Number],0)))),IFERROR(IF(INDEX(tbl_Consulting[Qwilr Quote],MATCH(E386&amp;"",tbl_Consulting[Job Number],0))="","",INDEX(tbl_Consulting[Qwilr Quote],MATCH(E386&amp;"",tbl_Consulting[Job Number],0))),""))))</f>
        <v/>
      </c>
      <c r="AD386" s="25">
        <f>IF(AC386="","",IF(AND(LEFT(AC386,4)&lt;&gt;"http",IF(H386="Production",set_RMSBase,set_QwilrBase)=""),"",HYPERLINK(IF(LEFT(AC386,4)="http",AC386,IF(H386="Production",set_RMSBase,set_QwilrBase)&amp;AC386),"Open")))</f>
        <v/>
      </c>
      <c r="AE386" s="27">
        <f>IF(E386="","",IFERROR(INDEX(tbl_Production[Total Expense],MATCH(E386&amp;"",tbl_Production[Job Number],0)),IFERROR(INDEX(tbl_Consulting[Total Expense],MATCH(E386&amp;"",tbl_Consulting[Job Number],0)),0)))</f>
        <v/>
      </c>
      <c r="AF386" s="27">
        <f>IF(E386="","",Z386-N(AE386))</f>
        <v/>
      </c>
      <c r="AG386" s="29">
        <f>IFERROR(AF386/Z386,"")</f>
        <v/>
      </c>
      <c r="AH386" s="25">
        <f>IF(E386="","",IFERROR(IF(INDEX(tbl_Onsite[Notes],MATCH(E386&amp;"",tbl_Onsite[Job Number],0))="","",INDEX(tbl_Onsite[Notes],MATCH(E386&amp;"",tbl_Onsite[Job Number],0))),IFERROR(IF(INDEX(tbl_Production[Notes],MATCH(E386&amp;"",tbl_Production[Job Number],0))="","",INDEX(tbl_Production[Notes],MATCH(E386&amp;"",tbl_Production[Job Number],0))),IFERROR(IF(INDEX(tbl_Consulting[Notes],MATCH(E386&amp;"",tbl_Consulting[Job Number],0))="","",INDEX(tbl_Consulting[Notes],MATCH(E386&amp;"",tbl_Consulting[Job Number],0))),""))))</f>
        <v/>
      </c>
    </row>
    <row r="387" ht="15" customHeight="1">
      <c r="A387" s="22" t="n"/>
      <c r="B387" s="23">
        <f>IF(A387="","",EOMONTH(A387,0))</f>
        <v/>
      </c>
      <c r="C387" s="24" t="n"/>
      <c r="D387" s="24" t="n"/>
      <c r="E387" s="24" t="n"/>
      <c r="F387" s="25">
        <f>IF(E387="","",IF(COUNTIF(lst_Jobs,E387&amp;"")&gt;0,"OK","CHECK"))</f>
        <v/>
      </c>
      <c r="G387" s="24" t="n"/>
      <c r="H387" s="24" t="n"/>
      <c r="I387" s="24" t="n"/>
      <c r="J387" s="24" t="n"/>
      <c r="K387" s="24" t="n"/>
      <c r="L387" s="26" t="n"/>
      <c r="M387" s="27">
        <f>IF(L387="","",IF(K387="GST 10%",ROUND(L387*set_GSTRate,2),0))</f>
        <v/>
      </c>
      <c r="N387" s="27">
        <f>IF(L387="","",L387+M387)</f>
        <v/>
      </c>
      <c r="O387" s="24" t="n"/>
      <c r="P387" s="24" t="n"/>
      <c r="Q387" s="24" t="n"/>
      <c r="R387" s="22" t="n"/>
      <c r="S387" s="22" t="n"/>
      <c r="T387" s="24" t="n"/>
      <c r="U387" s="24" t="n"/>
      <c r="V387" s="25">
        <f>IF(COUNTA(A387,D387,C387,L387)=0,"",IF(A387="","No date - sits outside every month",IF(E387="","No job number",IF(F387="CHECK","Job number is not in the Xero job list",IF(I387="","No cost centre",IF(AND(P387="Y",C387=""),"Marked posted to Xero but has no invoice number",IF(AND(L387&lt;&gt;"",K387=""),"No tax code",IF(AND(L387&lt;&gt;"",O387=""),"No revenue GL code",""))))))))</f>
        <v/>
      </c>
      <c r="W387" s="25">
        <f>IF(E387="","",IF(COUNTIF(tbl_Onsite[Job Number],E387&amp;"")&gt;0,"Onsite",IF(COUNTIF(tbl_Production[Job Number],E387&amp;"")&gt;0,"Production",IF(COUNTIF(tbl_Consulting[Job Number],E387&amp;"")&gt;0,"Consulting","not set up yet"))))</f>
        <v/>
      </c>
      <c r="X387" s="25">
        <f>IF(E387="","",IFERROR(INDEX(lst_JobName,MATCH(E387&amp;"",lst_Jobs,0)),""))</f>
        <v/>
      </c>
      <c r="Y387" s="28">
        <f>IF(E387="","",COUNTIFS(tbl_Finance[Job Number],E387&amp;"",tbl_Finance[Ex GST],"&lt;&gt;"))</f>
        <v/>
      </c>
      <c r="Z387" s="27">
        <f>IF(E387="","",SUMIFS(tbl_Finance[Ex GST],tbl_Finance[Job Number],E387&amp;""))</f>
        <v/>
      </c>
      <c r="AA387" s="27">
        <f>IF(E387="","",SUMIFS(tbl_Finance[Ex GST],tbl_Finance[Job Number],E387&amp;"",tbl_Finance[Xero Invoice No],"&lt;&gt;"))</f>
        <v/>
      </c>
      <c r="AB387" s="27">
        <f>IF(E387="","",Z387-AA387)</f>
        <v/>
      </c>
      <c r="AC387" s="25">
        <f>IF(E387="","",IFERROR(IF(INDEX(tbl_Onsite[Qwilr Quote],MATCH(E387&amp;"",tbl_Onsite[Job Number],0))="","",INDEX(tbl_Onsite[Qwilr Quote],MATCH(E387&amp;"",tbl_Onsite[Job Number],0))),IFERROR(IF(IF(INDEX(tbl_Production[Current RMS No],MATCH(E387&amp;"",tbl_Production[Job Number],0))="",INDEX(tbl_Production[Qwilr Quote],MATCH(E387&amp;"",tbl_Production[Job Number],0)),INDEX(tbl_Production[Current RMS No],MATCH(E387&amp;"",tbl_Production[Job Number],0)))="","",IF(INDEX(tbl_Production[Current RMS No],MATCH(E387&amp;"",tbl_Production[Job Number],0))="",INDEX(tbl_Production[Qwilr Quote],MATCH(E387&amp;"",tbl_Production[Job Number],0)),INDEX(tbl_Production[Current RMS No],MATCH(E387&amp;"",tbl_Production[Job Number],0)))),IFERROR(IF(INDEX(tbl_Consulting[Qwilr Quote],MATCH(E387&amp;"",tbl_Consulting[Job Number],0))="","",INDEX(tbl_Consulting[Qwilr Quote],MATCH(E387&amp;"",tbl_Consulting[Job Number],0))),""))))</f>
        <v/>
      </c>
      <c r="AD387" s="25">
        <f>IF(AC387="","",IF(AND(LEFT(AC387,4)&lt;&gt;"http",IF(H387="Production",set_RMSBase,set_QwilrBase)=""),"",HYPERLINK(IF(LEFT(AC387,4)="http",AC387,IF(H387="Production",set_RMSBase,set_QwilrBase)&amp;AC387),"Open")))</f>
        <v/>
      </c>
      <c r="AE387" s="27">
        <f>IF(E387="","",IFERROR(INDEX(tbl_Production[Total Expense],MATCH(E387&amp;"",tbl_Production[Job Number],0)),IFERROR(INDEX(tbl_Consulting[Total Expense],MATCH(E387&amp;"",tbl_Consulting[Job Number],0)),0)))</f>
        <v/>
      </c>
      <c r="AF387" s="27">
        <f>IF(E387="","",Z387-N(AE387))</f>
        <v/>
      </c>
      <c r="AG387" s="29">
        <f>IFERROR(AF387/Z387,"")</f>
        <v/>
      </c>
      <c r="AH387" s="25">
        <f>IF(E387="","",IFERROR(IF(INDEX(tbl_Onsite[Notes],MATCH(E387&amp;"",tbl_Onsite[Job Number],0))="","",INDEX(tbl_Onsite[Notes],MATCH(E387&amp;"",tbl_Onsite[Job Number],0))),IFERROR(IF(INDEX(tbl_Production[Notes],MATCH(E387&amp;"",tbl_Production[Job Number],0))="","",INDEX(tbl_Production[Notes],MATCH(E387&amp;"",tbl_Production[Job Number],0))),IFERROR(IF(INDEX(tbl_Consulting[Notes],MATCH(E387&amp;"",tbl_Consulting[Job Number],0))="","",INDEX(tbl_Consulting[Notes],MATCH(E387&amp;"",tbl_Consulting[Job Number],0))),""))))</f>
        <v/>
      </c>
    </row>
    <row r="388" ht="15" customHeight="1">
      <c r="A388" s="22" t="n"/>
      <c r="B388" s="23">
        <f>IF(A388="","",EOMONTH(A388,0))</f>
        <v/>
      </c>
      <c r="C388" s="24" t="n"/>
      <c r="D388" s="24" t="n"/>
      <c r="E388" s="24" t="n"/>
      <c r="F388" s="25">
        <f>IF(E388="","",IF(COUNTIF(lst_Jobs,E388&amp;"")&gt;0,"OK","CHECK"))</f>
        <v/>
      </c>
      <c r="G388" s="24" t="n"/>
      <c r="H388" s="24" t="n"/>
      <c r="I388" s="24" t="n"/>
      <c r="J388" s="24" t="n"/>
      <c r="K388" s="24" t="n"/>
      <c r="L388" s="26" t="n"/>
      <c r="M388" s="27">
        <f>IF(L388="","",IF(K388="GST 10%",ROUND(L388*set_GSTRate,2),0))</f>
        <v/>
      </c>
      <c r="N388" s="27">
        <f>IF(L388="","",L388+M388)</f>
        <v/>
      </c>
      <c r="O388" s="24" t="n"/>
      <c r="P388" s="24" t="n"/>
      <c r="Q388" s="24" t="n"/>
      <c r="R388" s="22" t="n"/>
      <c r="S388" s="22" t="n"/>
      <c r="T388" s="24" t="n"/>
      <c r="U388" s="24" t="n"/>
      <c r="V388" s="25">
        <f>IF(COUNTA(A388,D388,C388,L388)=0,"",IF(A388="","No date - sits outside every month",IF(E388="","No job number",IF(F388="CHECK","Job number is not in the Xero job list",IF(I388="","No cost centre",IF(AND(P388="Y",C388=""),"Marked posted to Xero but has no invoice number",IF(AND(L388&lt;&gt;"",K388=""),"No tax code",IF(AND(L388&lt;&gt;"",O388=""),"No revenue GL code",""))))))))</f>
        <v/>
      </c>
      <c r="W388" s="25">
        <f>IF(E388="","",IF(COUNTIF(tbl_Onsite[Job Number],E388&amp;"")&gt;0,"Onsite",IF(COUNTIF(tbl_Production[Job Number],E388&amp;"")&gt;0,"Production",IF(COUNTIF(tbl_Consulting[Job Number],E388&amp;"")&gt;0,"Consulting","not set up yet"))))</f>
        <v/>
      </c>
      <c r="X388" s="25">
        <f>IF(E388="","",IFERROR(INDEX(lst_JobName,MATCH(E388&amp;"",lst_Jobs,0)),""))</f>
        <v/>
      </c>
      <c r="Y388" s="28">
        <f>IF(E388="","",COUNTIFS(tbl_Finance[Job Number],E388&amp;"",tbl_Finance[Ex GST],"&lt;&gt;"))</f>
        <v/>
      </c>
      <c r="Z388" s="27">
        <f>IF(E388="","",SUMIFS(tbl_Finance[Ex GST],tbl_Finance[Job Number],E388&amp;""))</f>
        <v/>
      </c>
      <c r="AA388" s="27">
        <f>IF(E388="","",SUMIFS(tbl_Finance[Ex GST],tbl_Finance[Job Number],E388&amp;"",tbl_Finance[Xero Invoice No],"&lt;&gt;"))</f>
        <v/>
      </c>
      <c r="AB388" s="27">
        <f>IF(E388="","",Z388-AA388)</f>
        <v/>
      </c>
      <c r="AC388" s="25">
        <f>IF(E388="","",IFERROR(IF(INDEX(tbl_Onsite[Qwilr Quote],MATCH(E388&amp;"",tbl_Onsite[Job Number],0))="","",INDEX(tbl_Onsite[Qwilr Quote],MATCH(E388&amp;"",tbl_Onsite[Job Number],0))),IFERROR(IF(IF(INDEX(tbl_Production[Current RMS No],MATCH(E388&amp;"",tbl_Production[Job Number],0))="",INDEX(tbl_Production[Qwilr Quote],MATCH(E388&amp;"",tbl_Production[Job Number],0)),INDEX(tbl_Production[Current RMS No],MATCH(E388&amp;"",tbl_Production[Job Number],0)))="","",IF(INDEX(tbl_Production[Current RMS No],MATCH(E388&amp;"",tbl_Production[Job Number],0))="",INDEX(tbl_Production[Qwilr Quote],MATCH(E388&amp;"",tbl_Production[Job Number],0)),INDEX(tbl_Production[Current RMS No],MATCH(E388&amp;"",tbl_Production[Job Number],0)))),IFERROR(IF(INDEX(tbl_Consulting[Qwilr Quote],MATCH(E388&amp;"",tbl_Consulting[Job Number],0))="","",INDEX(tbl_Consulting[Qwilr Quote],MATCH(E388&amp;"",tbl_Consulting[Job Number],0))),""))))</f>
        <v/>
      </c>
      <c r="AD388" s="25">
        <f>IF(AC388="","",IF(AND(LEFT(AC388,4)&lt;&gt;"http",IF(H388="Production",set_RMSBase,set_QwilrBase)=""),"",HYPERLINK(IF(LEFT(AC388,4)="http",AC388,IF(H388="Production",set_RMSBase,set_QwilrBase)&amp;AC388),"Open")))</f>
        <v/>
      </c>
      <c r="AE388" s="27">
        <f>IF(E388="","",IFERROR(INDEX(tbl_Production[Total Expense],MATCH(E388&amp;"",tbl_Production[Job Number],0)),IFERROR(INDEX(tbl_Consulting[Total Expense],MATCH(E388&amp;"",tbl_Consulting[Job Number],0)),0)))</f>
        <v/>
      </c>
      <c r="AF388" s="27">
        <f>IF(E388="","",Z388-N(AE388))</f>
        <v/>
      </c>
      <c r="AG388" s="29">
        <f>IFERROR(AF388/Z388,"")</f>
        <v/>
      </c>
      <c r="AH388" s="25">
        <f>IF(E388="","",IFERROR(IF(INDEX(tbl_Onsite[Notes],MATCH(E388&amp;"",tbl_Onsite[Job Number],0))="","",INDEX(tbl_Onsite[Notes],MATCH(E388&amp;"",tbl_Onsite[Job Number],0))),IFERROR(IF(INDEX(tbl_Production[Notes],MATCH(E388&amp;"",tbl_Production[Job Number],0))="","",INDEX(tbl_Production[Notes],MATCH(E388&amp;"",tbl_Production[Job Number],0))),IFERROR(IF(INDEX(tbl_Consulting[Notes],MATCH(E388&amp;"",tbl_Consulting[Job Number],0))="","",INDEX(tbl_Consulting[Notes],MATCH(E388&amp;"",tbl_Consulting[Job Number],0))),""))))</f>
        <v/>
      </c>
    </row>
    <row r="389" ht="15" customHeight="1">
      <c r="A389" s="22" t="n"/>
      <c r="B389" s="23">
        <f>IF(A389="","",EOMONTH(A389,0))</f>
        <v/>
      </c>
      <c r="C389" s="24" t="n"/>
      <c r="D389" s="24" t="n"/>
      <c r="E389" s="24" t="n"/>
      <c r="F389" s="25">
        <f>IF(E389="","",IF(COUNTIF(lst_Jobs,E389&amp;"")&gt;0,"OK","CHECK"))</f>
        <v/>
      </c>
      <c r="G389" s="24" t="n"/>
      <c r="H389" s="24" t="n"/>
      <c r="I389" s="24" t="n"/>
      <c r="J389" s="24" t="n"/>
      <c r="K389" s="24" t="n"/>
      <c r="L389" s="26" t="n"/>
      <c r="M389" s="27">
        <f>IF(L389="","",IF(K389="GST 10%",ROUND(L389*set_GSTRate,2),0))</f>
        <v/>
      </c>
      <c r="N389" s="27">
        <f>IF(L389="","",L389+M389)</f>
        <v/>
      </c>
      <c r="O389" s="24" t="n"/>
      <c r="P389" s="24" t="n"/>
      <c r="Q389" s="24" t="n"/>
      <c r="R389" s="22" t="n"/>
      <c r="S389" s="22" t="n"/>
      <c r="T389" s="24" t="n"/>
      <c r="U389" s="24" t="n"/>
      <c r="V389" s="25">
        <f>IF(COUNTA(A389,D389,C389,L389)=0,"",IF(A389="","No date - sits outside every month",IF(E389="","No job number",IF(F389="CHECK","Job number is not in the Xero job list",IF(I389="","No cost centre",IF(AND(P389="Y",C389=""),"Marked posted to Xero but has no invoice number",IF(AND(L389&lt;&gt;"",K389=""),"No tax code",IF(AND(L389&lt;&gt;"",O389=""),"No revenue GL code",""))))))))</f>
        <v/>
      </c>
      <c r="W389" s="25">
        <f>IF(E389="","",IF(COUNTIF(tbl_Onsite[Job Number],E389&amp;"")&gt;0,"Onsite",IF(COUNTIF(tbl_Production[Job Number],E389&amp;"")&gt;0,"Production",IF(COUNTIF(tbl_Consulting[Job Number],E389&amp;"")&gt;0,"Consulting","not set up yet"))))</f>
        <v/>
      </c>
      <c r="X389" s="25">
        <f>IF(E389="","",IFERROR(INDEX(lst_JobName,MATCH(E389&amp;"",lst_Jobs,0)),""))</f>
        <v/>
      </c>
      <c r="Y389" s="28">
        <f>IF(E389="","",COUNTIFS(tbl_Finance[Job Number],E389&amp;"",tbl_Finance[Ex GST],"&lt;&gt;"))</f>
        <v/>
      </c>
      <c r="Z389" s="27">
        <f>IF(E389="","",SUMIFS(tbl_Finance[Ex GST],tbl_Finance[Job Number],E389&amp;""))</f>
        <v/>
      </c>
      <c r="AA389" s="27">
        <f>IF(E389="","",SUMIFS(tbl_Finance[Ex GST],tbl_Finance[Job Number],E389&amp;"",tbl_Finance[Xero Invoice No],"&lt;&gt;"))</f>
        <v/>
      </c>
      <c r="AB389" s="27">
        <f>IF(E389="","",Z389-AA389)</f>
        <v/>
      </c>
      <c r="AC389" s="25">
        <f>IF(E389="","",IFERROR(IF(INDEX(tbl_Onsite[Qwilr Quote],MATCH(E389&amp;"",tbl_Onsite[Job Number],0))="","",INDEX(tbl_Onsite[Qwilr Quote],MATCH(E389&amp;"",tbl_Onsite[Job Number],0))),IFERROR(IF(IF(INDEX(tbl_Production[Current RMS No],MATCH(E389&amp;"",tbl_Production[Job Number],0))="",INDEX(tbl_Production[Qwilr Quote],MATCH(E389&amp;"",tbl_Production[Job Number],0)),INDEX(tbl_Production[Current RMS No],MATCH(E389&amp;"",tbl_Production[Job Number],0)))="","",IF(INDEX(tbl_Production[Current RMS No],MATCH(E389&amp;"",tbl_Production[Job Number],0))="",INDEX(tbl_Production[Qwilr Quote],MATCH(E389&amp;"",tbl_Production[Job Number],0)),INDEX(tbl_Production[Current RMS No],MATCH(E389&amp;"",tbl_Production[Job Number],0)))),IFERROR(IF(INDEX(tbl_Consulting[Qwilr Quote],MATCH(E389&amp;"",tbl_Consulting[Job Number],0))="","",INDEX(tbl_Consulting[Qwilr Quote],MATCH(E389&amp;"",tbl_Consulting[Job Number],0))),""))))</f>
        <v/>
      </c>
      <c r="AD389" s="25">
        <f>IF(AC389="","",IF(AND(LEFT(AC389,4)&lt;&gt;"http",IF(H389="Production",set_RMSBase,set_QwilrBase)=""),"",HYPERLINK(IF(LEFT(AC389,4)="http",AC389,IF(H389="Production",set_RMSBase,set_QwilrBase)&amp;AC389),"Open")))</f>
        <v/>
      </c>
      <c r="AE389" s="27">
        <f>IF(E389="","",IFERROR(INDEX(tbl_Production[Total Expense],MATCH(E389&amp;"",tbl_Production[Job Number],0)),IFERROR(INDEX(tbl_Consulting[Total Expense],MATCH(E389&amp;"",tbl_Consulting[Job Number],0)),0)))</f>
        <v/>
      </c>
      <c r="AF389" s="27">
        <f>IF(E389="","",Z389-N(AE389))</f>
        <v/>
      </c>
      <c r="AG389" s="29">
        <f>IFERROR(AF389/Z389,"")</f>
        <v/>
      </c>
      <c r="AH389" s="25">
        <f>IF(E389="","",IFERROR(IF(INDEX(tbl_Onsite[Notes],MATCH(E389&amp;"",tbl_Onsite[Job Number],0))="","",INDEX(tbl_Onsite[Notes],MATCH(E389&amp;"",tbl_Onsite[Job Number],0))),IFERROR(IF(INDEX(tbl_Production[Notes],MATCH(E389&amp;"",tbl_Production[Job Number],0))="","",INDEX(tbl_Production[Notes],MATCH(E389&amp;"",tbl_Production[Job Number],0))),IFERROR(IF(INDEX(tbl_Consulting[Notes],MATCH(E389&amp;"",tbl_Consulting[Job Number],0))="","",INDEX(tbl_Consulting[Notes],MATCH(E389&amp;"",tbl_Consulting[Job Number],0))),""))))</f>
        <v/>
      </c>
    </row>
    <row r="390" ht="15" customHeight="1">
      <c r="A390" s="22" t="n"/>
      <c r="B390" s="23">
        <f>IF(A390="","",EOMONTH(A390,0))</f>
        <v/>
      </c>
      <c r="C390" s="24" t="n"/>
      <c r="D390" s="24" t="n"/>
      <c r="E390" s="24" t="n"/>
      <c r="F390" s="25">
        <f>IF(E390="","",IF(COUNTIF(lst_Jobs,E390&amp;"")&gt;0,"OK","CHECK"))</f>
        <v/>
      </c>
      <c r="G390" s="24" t="n"/>
      <c r="H390" s="24" t="n"/>
      <c r="I390" s="24" t="n"/>
      <c r="J390" s="24" t="n"/>
      <c r="K390" s="24" t="n"/>
      <c r="L390" s="26" t="n"/>
      <c r="M390" s="27">
        <f>IF(L390="","",IF(K390="GST 10%",ROUND(L390*set_GSTRate,2),0))</f>
        <v/>
      </c>
      <c r="N390" s="27">
        <f>IF(L390="","",L390+M390)</f>
        <v/>
      </c>
      <c r="O390" s="24" t="n"/>
      <c r="P390" s="24" t="n"/>
      <c r="Q390" s="24" t="n"/>
      <c r="R390" s="22" t="n"/>
      <c r="S390" s="22" t="n"/>
      <c r="T390" s="24" t="n"/>
      <c r="U390" s="24" t="n"/>
      <c r="V390" s="25">
        <f>IF(COUNTA(A390,D390,C390,L390)=0,"",IF(A390="","No date - sits outside every month",IF(E390="","No job number",IF(F390="CHECK","Job number is not in the Xero job list",IF(I390="","No cost centre",IF(AND(P390="Y",C390=""),"Marked posted to Xero but has no invoice number",IF(AND(L390&lt;&gt;"",K390=""),"No tax code",IF(AND(L390&lt;&gt;"",O390=""),"No revenue GL code",""))))))))</f>
        <v/>
      </c>
      <c r="W390" s="25">
        <f>IF(E390="","",IF(COUNTIF(tbl_Onsite[Job Number],E390&amp;"")&gt;0,"Onsite",IF(COUNTIF(tbl_Production[Job Number],E390&amp;"")&gt;0,"Production",IF(COUNTIF(tbl_Consulting[Job Number],E390&amp;"")&gt;0,"Consulting","not set up yet"))))</f>
        <v/>
      </c>
      <c r="X390" s="25">
        <f>IF(E390="","",IFERROR(INDEX(lst_JobName,MATCH(E390&amp;"",lst_Jobs,0)),""))</f>
        <v/>
      </c>
      <c r="Y390" s="28">
        <f>IF(E390="","",COUNTIFS(tbl_Finance[Job Number],E390&amp;"",tbl_Finance[Ex GST],"&lt;&gt;"))</f>
        <v/>
      </c>
      <c r="Z390" s="27">
        <f>IF(E390="","",SUMIFS(tbl_Finance[Ex GST],tbl_Finance[Job Number],E390&amp;""))</f>
        <v/>
      </c>
      <c r="AA390" s="27">
        <f>IF(E390="","",SUMIFS(tbl_Finance[Ex GST],tbl_Finance[Job Number],E390&amp;"",tbl_Finance[Xero Invoice No],"&lt;&gt;"))</f>
        <v/>
      </c>
      <c r="AB390" s="27">
        <f>IF(E390="","",Z390-AA390)</f>
        <v/>
      </c>
      <c r="AC390" s="25">
        <f>IF(E390="","",IFERROR(IF(INDEX(tbl_Onsite[Qwilr Quote],MATCH(E390&amp;"",tbl_Onsite[Job Number],0))="","",INDEX(tbl_Onsite[Qwilr Quote],MATCH(E390&amp;"",tbl_Onsite[Job Number],0))),IFERROR(IF(IF(INDEX(tbl_Production[Current RMS No],MATCH(E390&amp;"",tbl_Production[Job Number],0))="",INDEX(tbl_Production[Qwilr Quote],MATCH(E390&amp;"",tbl_Production[Job Number],0)),INDEX(tbl_Production[Current RMS No],MATCH(E390&amp;"",tbl_Production[Job Number],0)))="","",IF(INDEX(tbl_Production[Current RMS No],MATCH(E390&amp;"",tbl_Production[Job Number],0))="",INDEX(tbl_Production[Qwilr Quote],MATCH(E390&amp;"",tbl_Production[Job Number],0)),INDEX(tbl_Production[Current RMS No],MATCH(E390&amp;"",tbl_Production[Job Number],0)))),IFERROR(IF(INDEX(tbl_Consulting[Qwilr Quote],MATCH(E390&amp;"",tbl_Consulting[Job Number],0))="","",INDEX(tbl_Consulting[Qwilr Quote],MATCH(E390&amp;"",tbl_Consulting[Job Number],0))),""))))</f>
        <v/>
      </c>
      <c r="AD390" s="25">
        <f>IF(AC390="","",IF(AND(LEFT(AC390,4)&lt;&gt;"http",IF(H390="Production",set_RMSBase,set_QwilrBase)=""),"",HYPERLINK(IF(LEFT(AC390,4)="http",AC390,IF(H390="Production",set_RMSBase,set_QwilrBase)&amp;AC390),"Open")))</f>
        <v/>
      </c>
      <c r="AE390" s="27">
        <f>IF(E390="","",IFERROR(INDEX(tbl_Production[Total Expense],MATCH(E390&amp;"",tbl_Production[Job Number],0)),IFERROR(INDEX(tbl_Consulting[Total Expense],MATCH(E390&amp;"",tbl_Consulting[Job Number],0)),0)))</f>
        <v/>
      </c>
      <c r="AF390" s="27">
        <f>IF(E390="","",Z390-N(AE390))</f>
        <v/>
      </c>
      <c r="AG390" s="29">
        <f>IFERROR(AF390/Z390,"")</f>
        <v/>
      </c>
      <c r="AH390" s="25">
        <f>IF(E390="","",IFERROR(IF(INDEX(tbl_Onsite[Notes],MATCH(E390&amp;"",tbl_Onsite[Job Number],0))="","",INDEX(tbl_Onsite[Notes],MATCH(E390&amp;"",tbl_Onsite[Job Number],0))),IFERROR(IF(INDEX(tbl_Production[Notes],MATCH(E390&amp;"",tbl_Production[Job Number],0))="","",INDEX(tbl_Production[Notes],MATCH(E390&amp;"",tbl_Production[Job Number],0))),IFERROR(IF(INDEX(tbl_Consulting[Notes],MATCH(E390&amp;"",tbl_Consulting[Job Number],0))="","",INDEX(tbl_Consulting[Notes],MATCH(E390&amp;"",tbl_Consulting[Job Number],0))),""))))</f>
        <v/>
      </c>
    </row>
    <row r="391" ht="15" customHeight="1">
      <c r="A391" s="22" t="n"/>
      <c r="B391" s="23">
        <f>IF(A391="","",EOMONTH(A391,0))</f>
        <v/>
      </c>
      <c r="C391" s="24" t="n"/>
      <c r="D391" s="24" t="n"/>
      <c r="E391" s="24" t="n"/>
      <c r="F391" s="25">
        <f>IF(E391="","",IF(COUNTIF(lst_Jobs,E391&amp;"")&gt;0,"OK","CHECK"))</f>
        <v/>
      </c>
      <c r="G391" s="24" t="n"/>
      <c r="H391" s="24" t="n"/>
      <c r="I391" s="24" t="n"/>
      <c r="J391" s="24" t="n"/>
      <c r="K391" s="24" t="n"/>
      <c r="L391" s="26" t="n"/>
      <c r="M391" s="27">
        <f>IF(L391="","",IF(K391="GST 10%",ROUND(L391*set_GSTRate,2),0))</f>
        <v/>
      </c>
      <c r="N391" s="27">
        <f>IF(L391="","",L391+M391)</f>
        <v/>
      </c>
      <c r="O391" s="24" t="n"/>
      <c r="P391" s="24" t="n"/>
      <c r="Q391" s="24" t="n"/>
      <c r="R391" s="22" t="n"/>
      <c r="S391" s="22" t="n"/>
      <c r="T391" s="24" t="n"/>
      <c r="U391" s="24" t="n"/>
      <c r="V391" s="25">
        <f>IF(COUNTA(A391,D391,C391,L391)=0,"",IF(A391="","No date - sits outside every month",IF(E391="","No job number",IF(F391="CHECK","Job number is not in the Xero job list",IF(I391="","No cost centre",IF(AND(P391="Y",C391=""),"Marked posted to Xero but has no invoice number",IF(AND(L391&lt;&gt;"",K391=""),"No tax code",IF(AND(L391&lt;&gt;"",O391=""),"No revenue GL code",""))))))))</f>
        <v/>
      </c>
      <c r="W391" s="25">
        <f>IF(E391="","",IF(COUNTIF(tbl_Onsite[Job Number],E391&amp;"")&gt;0,"Onsite",IF(COUNTIF(tbl_Production[Job Number],E391&amp;"")&gt;0,"Production",IF(COUNTIF(tbl_Consulting[Job Number],E391&amp;"")&gt;0,"Consulting","not set up yet"))))</f>
        <v/>
      </c>
      <c r="X391" s="25">
        <f>IF(E391="","",IFERROR(INDEX(lst_JobName,MATCH(E391&amp;"",lst_Jobs,0)),""))</f>
        <v/>
      </c>
      <c r="Y391" s="28">
        <f>IF(E391="","",COUNTIFS(tbl_Finance[Job Number],E391&amp;"",tbl_Finance[Ex GST],"&lt;&gt;"))</f>
        <v/>
      </c>
      <c r="Z391" s="27">
        <f>IF(E391="","",SUMIFS(tbl_Finance[Ex GST],tbl_Finance[Job Number],E391&amp;""))</f>
        <v/>
      </c>
      <c r="AA391" s="27">
        <f>IF(E391="","",SUMIFS(tbl_Finance[Ex GST],tbl_Finance[Job Number],E391&amp;"",tbl_Finance[Xero Invoice No],"&lt;&gt;"))</f>
        <v/>
      </c>
      <c r="AB391" s="27">
        <f>IF(E391="","",Z391-AA391)</f>
        <v/>
      </c>
      <c r="AC391" s="25">
        <f>IF(E391="","",IFERROR(IF(INDEX(tbl_Onsite[Qwilr Quote],MATCH(E391&amp;"",tbl_Onsite[Job Number],0))="","",INDEX(tbl_Onsite[Qwilr Quote],MATCH(E391&amp;"",tbl_Onsite[Job Number],0))),IFERROR(IF(IF(INDEX(tbl_Production[Current RMS No],MATCH(E391&amp;"",tbl_Production[Job Number],0))="",INDEX(tbl_Production[Qwilr Quote],MATCH(E391&amp;"",tbl_Production[Job Number],0)),INDEX(tbl_Production[Current RMS No],MATCH(E391&amp;"",tbl_Production[Job Number],0)))="","",IF(INDEX(tbl_Production[Current RMS No],MATCH(E391&amp;"",tbl_Production[Job Number],0))="",INDEX(tbl_Production[Qwilr Quote],MATCH(E391&amp;"",tbl_Production[Job Number],0)),INDEX(tbl_Production[Current RMS No],MATCH(E391&amp;"",tbl_Production[Job Number],0)))),IFERROR(IF(INDEX(tbl_Consulting[Qwilr Quote],MATCH(E391&amp;"",tbl_Consulting[Job Number],0))="","",INDEX(tbl_Consulting[Qwilr Quote],MATCH(E391&amp;"",tbl_Consulting[Job Number],0))),""))))</f>
        <v/>
      </c>
      <c r="AD391" s="25">
        <f>IF(AC391="","",IF(AND(LEFT(AC391,4)&lt;&gt;"http",IF(H391="Production",set_RMSBase,set_QwilrBase)=""),"",HYPERLINK(IF(LEFT(AC391,4)="http",AC391,IF(H391="Production",set_RMSBase,set_QwilrBase)&amp;AC391),"Open")))</f>
        <v/>
      </c>
      <c r="AE391" s="27">
        <f>IF(E391="","",IFERROR(INDEX(tbl_Production[Total Expense],MATCH(E391&amp;"",tbl_Production[Job Number],0)),IFERROR(INDEX(tbl_Consulting[Total Expense],MATCH(E391&amp;"",tbl_Consulting[Job Number],0)),0)))</f>
        <v/>
      </c>
      <c r="AF391" s="27">
        <f>IF(E391="","",Z391-N(AE391))</f>
        <v/>
      </c>
      <c r="AG391" s="29">
        <f>IFERROR(AF391/Z391,"")</f>
        <v/>
      </c>
      <c r="AH391" s="25">
        <f>IF(E391="","",IFERROR(IF(INDEX(tbl_Onsite[Notes],MATCH(E391&amp;"",tbl_Onsite[Job Number],0))="","",INDEX(tbl_Onsite[Notes],MATCH(E391&amp;"",tbl_Onsite[Job Number],0))),IFERROR(IF(INDEX(tbl_Production[Notes],MATCH(E391&amp;"",tbl_Production[Job Number],0))="","",INDEX(tbl_Production[Notes],MATCH(E391&amp;"",tbl_Production[Job Number],0))),IFERROR(IF(INDEX(tbl_Consulting[Notes],MATCH(E391&amp;"",tbl_Consulting[Job Number],0))="","",INDEX(tbl_Consulting[Notes],MATCH(E391&amp;"",tbl_Consulting[Job Number],0))),""))))</f>
        <v/>
      </c>
    </row>
    <row r="392" ht="15" customHeight="1">
      <c r="A392" s="22" t="n"/>
      <c r="B392" s="23">
        <f>IF(A392="","",EOMONTH(A392,0))</f>
        <v/>
      </c>
      <c r="C392" s="24" t="n"/>
      <c r="D392" s="24" t="n"/>
      <c r="E392" s="24" t="n"/>
      <c r="F392" s="25">
        <f>IF(E392="","",IF(COUNTIF(lst_Jobs,E392&amp;"")&gt;0,"OK","CHECK"))</f>
        <v/>
      </c>
      <c r="G392" s="24" t="n"/>
      <c r="H392" s="24" t="n"/>
      <c r="I392" s="24" t="n"/>
      <c r="J392" s="24" t="n"/>
      <c r="K392" s="24" t="n"/>
      <c r="L392" s="26" t="n"/>
      <c r="M392" s="27">
        <f>IF(L392="","",IF(K392="GST 10%",ROUND(L392*set_GSTRate,2),0))</f>
        <v/>
      </c>
      <c r="N392" s="27">
        <f>IF(L392="","",L392+M392)</f>
        <v/>
      </c>
      <c r="O392" s="24" t="n"/>
      <c r="P392" s="24" t="n"/>
      <c r="Q392" s="24" t="n"/>
      <c r="R392" s="22" t="n"/>
      <c r="S392" s="22" t="n"/>
      <c r="T392" s="24" t="n"/>
      <c r="U392" s="24" t="n"/>
      <c r="V392" s="25">
        <f>IF(COUNTA(A392,D392,C392,L392)=0,"",IF(A392="","No date - sits outside every month",IF(E392="","No job number",IF(F392="CHECK","Job number is not in the Xero job list",IF(I392="","No cost centre",IF(AND(P392="Y",C392=""),"Marked posted to Xero but has no invoice number",IF(AND(L392&lt;&gt;"",K392=""),"No tax code",IF(AND(L392&lt;&gt;"",O392=""),"No revenue GL code",""))))))))</f>
        <v/>
      </c>
      <c r="W392" s="25">
        <f>IF(E392="","",IF(COUNTIF(tbl_Onsite[Job Number],E392&amp;"")&gt;0,"Onsite",IF(COUNTIF(tbl_Production[Job Number],E392&amp;"")&gt;0,"Production",IF(COUNTIF(tbl_Consulting[Job Number],E392&amp;"")&gt;0,"Consulting","not set up yet"))))</f>
        <v/>
      </c>
      <c r="X392" s="25">
        <f>IF(E392="","",IFERROR(INDEX(lst_JobName,MATCH(E392&amp;"",lst_Jobs,0)),""))</f>
        <v/>
      </c>
      <c r="Y392" s="28">
        <f>IF(E392="","",COUNTIFS(tbl_Finance[Job Number],E392&amp;"",tbl_Finance[Ex GST],"&lt;&gt;"))</f>
        <v/>
      </c>
      <c r="Z392" s="27">
        <f>IF(E392="","",SUMIFS(tbl_Finance[Ex GST],tbl_Finance[Job Number],E392&amp;""))</f>
        <v/>
      </c>
      <c r="AA392" s="27">
        <f>IF(E392="","",SUMIFS(tbl_Finance[Ex GST],tbl_Finance[Job Number],E392&amp;"",tbl_Finance[Xero Invoice No],"&lt;&gt;"))</f>
        <v/>
      </c>
      <c r="AB392" s="27">
        <f>IF(E392="","",Z392-AA392)</f>
        <v/>
      </c>
      <c r="AC392" s="25">
        <f>IF(E392="","",IFERROR(IF(INDEX(tbl_Onsite[Qwilr Quote],MATCH(E392&amp;"",tbl_Onsite[Job Number],0))="","",INDEX(tbl_Onsite[Qwilr Quote],MATCH(E392&amp;"",tbl_Onsite[Job Number],0))),IFERROR(IF(IF(INDEX(tbl_Production[Current RMS No],MATCH(E392&amp;"",tbl_Production[Job Number],0))="",INDEX(tbl_Production[Qwilr Quote],MATCH(E392&amp;"",tbl_Production[Job Number],0)),INDEX(tbl_Production[Current RMS No],MATCH(E392&amp;"",tbl_Production[Job Number],0)))="","",IF(INDEX(tbl_Production[Current RMS No],MATCH(E392&amp;"",tbl_Production[Job Number],0))="",INDEX(tbl_Production[Qwilr Quote],MATCH(E392&amp;"",tbl_Production[Job Number],0)),INDEX(tbl_Production[Current RMS No],MATCH(E392&amp;"",tbl_Production[Job Number],0)))),IFERROR(IF(INDEX(tbl_Consulting[Qwilr Quote],MATCH(E392&amp;"",tbl_Consulting[Job Number],0))="","",INDEX(tbl_Consulting[Qwilr Quote],MATCH(E392&amp;"",tbl_Consulting[Job Number],0))),""))))</f>
        <v/>
      </c>
      <c r="AD392" s="25">
        <f>IF(AC392="","",IF(AND(LEFT(AC392,4)&lt;&gt;"http",IF(H392="Production",set_RMSBase,set_QwilrBase)=""),"",HYPERLINK(IF(LEFT(AC392,4)="http",AC392,IF(H392="Production",set_RMSBase,set_QwilrBase)&amp;AC392),"Open")))</f>
        <v/>
      </c>
      <c r="AE392" s="27">
        <f>IF(E392="","",IFERROR(INDEX(tbl_Production[Total Expense],MATCH(E392&amp;"",tbl_Production[Job Number],0)),IFERROR(INDEX(tbl_Consulting[Total Expense],MATCH(E392&amp;"",tbl_Consulting[Job Number],0)),0)))</f>
        <v/>
      </c>
      <c r="AF392" s="27">
        <f>IF(E392="","",Z392-N(AE392))</f>
        <v/>
      </c>
      <c r="AG392" s="29">
        <f>IFERROR(AF392/Z392,"")</f>
        <v/>
      </c>
      <c r="AH392" s="25">
        <f>IF(E392="","",IFERROR(IF(INDEX(tbl_Onsite[Notes],MATCH(E392&amp;"",tbl_Onsite[Job Number],0))="","",INDEX(tbl_Onsite[Notes],MATCH(E392&amp;"",tbl_Onsite[Job Number],0))),IFERROR(IF(INDEX(tbl_Production[Notes],MATCH(E392&amp;"",tbl_Production[Job Number],0))="","",INDEX(tbl_Production[Notes],MATCH(E392&amp;"",tbl_Production[Job Number],0))),IFERROR(IF(INDEX(tbl_Consulting[Notes],MATCH(E392&amp;"",tbl_Consulting[Job Number],0))="","",INDEX(tbl_Consulting[Notes],MATCH(E392&amp;"",tbl_Consulting[Job Number],0))),""))))</f>
        <v/>
      </c>
    </row>
    <row r="393" ht="15" customHeight="1">
      <c r="A393" s="22" t="n"/>
      <c r="B393" s="23">
        <f>IF(A393="","",EOMONTH(A393,0))</f>
        <v/>
      </c>
      <c r="C393" s="24" t="n"/>
      <c r="D393" s="24" t="n"/>
      <c r="E393" s="24" t="n"/>
      <c r="F393" s="25">
        <f>IF(E393="","",IF(COUNTIF(lst_Jobs,E393&amp;"")&gt;0,"OK","CHECK"))</f>
        <v/>
      </c>
      <c r="G393" s="24" t="n"/>
      <c r="H393" s="24" t="n"/>
      <c r="I393" s="24" t="n"/>
      <c r="J393" s="24" t="n"/>
      <c r="K393" s="24" t="n"/>
      <c r="L393" s="26" t="n"/>
      <c r="M393" s="27">
        <f>IF(L393="","",IF(K393="GST 10%",ROUND(L393*set_GSTRate,2),0))</f>
        <v/>
      </c>
      <c r="N393" s="27">
        <f>IF(L393="","",L393+M393)</f>
        <v/>
      </c>
      <c r="O393" s="24" t="n"/>
      <c r="P393" s="24" t="n"/>
      <c r="Q393" s="24" t="n"/>
      <c r="R393" s="22" t="n"/>
      <c r="S393" s="22" t="n"/>
      <c r="T393" s="24" t="n"/>
      <c r="U393" s="24" t="n"/>
      <c r="V393" s="25">
        <f>IF(COUNTA(A393,D393,C393,L393)=0,"",IF(A393="","No date - sits outside every month",IF(E393="","No job number",IF(F393="CHECK","Job number is not in the Xero job list",IF(I393="","No cost centre",IF(AND(P393="Y",C393=""),"Marked posted to Xero but has no invoice number",IF(AND(L393&lt;&gt;"",K393=""),"No tax code",IF(AND(L393&lt;&gt;"",O393=""),"No revenue GL code",""))))))))</f>
        <v/>
      </c>
      <c r="W393" s="25">
        <f>IF(E393="","",IF(COUNTIF(tbl_Onsite[Job Number],E393&amp;"")&gt;0,"Onsite",IF(COUNTIF(tbl_Production[Job Number],E393&amp;"")&gt;0,"Production",IF(COUNTIF(tbl_Consulting[Job Number],E393&amp;"")&gt;0,"Consulting","not set up yet"))))</f>
        <v/>
      </c>
      <c r="X393" s="25">
        <f>IF(E393="","",IFERROR(INDEX(lst_JobName,MATCH(E393&amp;"",lst_Jobs,0)),""))</f>
        <v/>
      </c>
      <c r="Y393" s="28">
        <f>IF(E393="","",COUNTIFS(tbl_Finance[Job Number],E393&amp;"",tbl_Finance[Ex GST],"&lt;&gt;"))</f>
        <v/>
      </c>
      <c r="Z393" s="27">
        <f>IF(E393="","",SUMIFS(tbl_Finance[Ex GST],tbl_Finance[Job Number],E393&amp;""))</f>
        <v/>
      </c>
      <c r="AA393" s="27">
        <f>IF(E393="","",SUMIFS(tbl_Finance[Ex GST],tbl_Finance[Job Number],E393&amp;"",tbl_Finance[Xero Invoice No],"&lt;&gt;"))</f>
        <v/>
      </c>
      <c r="AB393" s="27">
        <f>IF(E393="","",Z393-AA393)</f>
        <v/>
      </c>
      <c r="AC393" s="25">
        <f>IF(E393="","",IFERROR(IF(INDEX(tbl_Onsite[Qwilr Quote],MATCH(E393&amp;"",tbl_Onsite[Job Number],0))="","",INDEX(tbl_Onsite[Qwilr Quote],MATCH(E393&amp;"",tbl_Onsite[Job Number],0))),IFERROR(IF(IF(INDEX(tbl_Production[Current RMS No],MATCH(E393&amp;"",tbl_Production[Job Number],0))="",INDEX(tbl_Production[Qwilr Quote],MATCH(E393&amp;"",tbl_Production[Job Number],0)),INDEX(tbl_Production[Current RMS No],MATCH(E393&amp;"",tbl_Production[Job Number],0)))="","",IF(INDEX(tbl_Production[Current RMS No],MATCH(E393&amp;"",tbl_Production[Job Number],0))="",INDEX(tbl_Production[Qwilr Quote],MATCH(E393&amp;"",tbl_Production[Job Number],0)),INDEX(tbl_Production[Current RMS No],MATCH(E393&amp;"",tbl_Production[Job Number],0)))),IFERROR(IF(INDEX(tbl_Consulting[Qwilr Quote],MATCH(E393&amp;"",tbl_Consulting[Job Number],0))="","",INDEX(tbl_Consulting[Qwilr Quote],MATCH(E393&amp;"",tbl_Consulting[Job Number],0))),""))))</f>
        <v/>
      </c>
      <c r="AD393" s="25">
        <f>IF(AC393="","",IF(AND(LEFT(AC393,4)&lt;&gt;"http",IF(H393="Production",set_RMSBase,set_QwilrBase)=""),"",HYPERLINK(IF(LEFT(AC393,4)="http",AC393,IF(H393="Production",set_RMSBase,set_QwilrBase)&amp;AC393),"Open")))</f>
        <v/>
      </c>
      <c r="AE393" s="27">
        <f>IF(E393="","",IFERROR(INDEX(tbl_Production[Total Expense],MATCH(E393&amp;"",tbl_Production[Job Number],0)),IFERROR(INDEX(tbl_Consulting[Total Expense],MATCH(E393&amp;"",tbl_Consulting[Job Number],0)),0)))</f>
        <v/>
      </c>
      <c r="AF393" s="27">
        <f>IF(E393="","",Z393-N(AE393))</f>
        <v/>
      </c>
      <c r="AG393" s="29">
        <f>IFERROR(AF393/Z393,"")</f>
        <v/>
      </c>
      <c r="AH393" s="25">
        <f>IF(E393="","",IFERROR(IF(INDEX(tbl_Onsite[Notes],MATCH(E393&amp;"",tbl_Onsite[Job Number],0))="","",INDEX(tbl_Onsite[Notes],MATCH(E393&amp;"",tbl_Onsite[Job Number],0))),IFERROR(IF(INDEX(tbl_Production[Notes],MATCH(E393&amp;"",tbl_Production[Job Number],0))="","",INDEX(tbl_Production[Notes],MATCH(E393&amp;"",tbl_Production[Job Number],0))),IFERROR(IF(INDEX(tbl_Consulting[Notes],MATCH(E393&amp;"",tbl_Consulting[Job Number],0))="","",INDEX(tbl_Consulting[Notes],MATCH(E393&amp;"",tbl_Consulting[Job Number],0))),""))))</f>
        <v/>
      </c>
    </row>
    <row r="394" ht="15" customHeight="1">
      <c r="A394" s="22" t="n"/>
      <c r="B394" s="23">
        <f>IF(A394="","",EOMONTH(A394,0))</f>
        <v/>
      </c>
      <c r="C394" s="24" t="n"/>
      <c r="D394" s="24" t="n"/>
      <c r="E394" s="24" t="n"/>
      <c r="F394" s="25">
        <f>IF(E394="","",IF(COUNTIF(lst_Jobs,E394&amp;"")&gt;0,"OK","CHECK"))</f>
        <v/>
      </c>
      <c r="G394" s="24" t="n"/>
      <c r="H394" s="24" t="n"/>
      <c r="I394" s="24" t="n"/>
      <c r="J394" s="24" t="n"/>
      <c r="K394" s="24" t="n"/>
      <c r="L394" s="26" t="n"/>
      <c r="M394" s="27">
        <f>IF(L394="","",IF(K394="GST 10%",ROUND(L394*set_GSTRate,2),0))</f>
        <v/>
      </c>
      <c r="N394" s="27">
        <f>IF(L394="","",L394+M394)</f>
        <v/>
      </c>
      <c r="O394" s="24" t="n"/>
      <c r="P394" s="24" t="n"/>
      <c r="Q394" s="24" t="n"/>
      <c r="R394" s="22" t="n"/>
      <c r="S394" s="22" t="n"/>
      <c r="T394" s="24" t="n"/>
      <c r="U394" s="24" t="n"/>
      <c r="V394" s="25">
        <f>IF(COUNTA(A394,D394,C394,L394)=0,"",IF(A394="","No date - sits outside every month",IF(E394="","No job number",IF(F394="CHECK","Job number is not in the Xero job list",IF(I394="","No cost centre",IF(AND(P394="Y",C394=""),"Marked posted to Xero but has no invoice number",IF(AND(L394&lt;&gt;"",K394=""),"No tax code",IF(AND(L394&lt;&gt;"",O394=""),"No revenue GL code",""))))))))</f>
        <v/>
      </c>
      <c r="W394" s="25">
        <f>IF(E394="","",IF(COUNTIF(tbl_Onsite[Job Number],E394&amp;"")&gt;0,"Onsite",IF(COUNTIF(tbl_Production[Job Number],E394&amp;"")&gt;0,"Production",IF(COUNTIF(tbl_Consulting[Job Number],E394&amp;"")&gt;0,"Consulting","not set up yet"))))</f>
        <v/>
      </c>
      <c r="X394" s="25">
        <f>IF(E394="","",IFERROR(INDEX(lst_JobName,MATCH(E394&amp;"",lst_Jobs,0)),""))</f>
        <v/>
      </c>
      <c r="Y394" s="28">
        <f>IF(E394="","",COUNTIFS(tbl_Finance[Job Number],E394&amp;"",tbl_Finance[Ex GST],"&lt;&gt;"))</f>
        <v/>
      </c>
      <c r="Z394" s="27">
        <f>IF(E394="","",SUMIFS(tbl_Finance[Ex GST],tbl_Finance[Job Number],E394&amp;""))</f>
        <v/>
      </c>
      <c r="AA394" s="27">
        <f>IF(E394="","",SUMIFS(tbl_Finance[Ex GST],tbl_Finance[Job Number],E394&amp;"",tbl_Finance[Xero Invoice No],"&lt;&gt;"))</f>
        <v/>
      </c>
      <c r="AB394" s="27">
        <f>IF(E394="","",Z394-AA394)</f>
        <v/>
      </c>
      <c r="AC394" s="25">
        <f>IF(E394="","",IFERROR(IF(INDEX(tbl_Onsite[Qwilr Quote],MATCH(E394&amp;"",tbl_Onsite[Job Number],0))="","",INDEX(tbl_Onsite[Qwilr Quote],MATCH(E394&amp;"",tbl_Onsite[Job Number],0))),IFERROR(IF(IF(INDEX(tbl_Production[Current RMS No],MATCH(E394&amp;"",tbl_Production[Job Number],0))="",INDEX(tbl_Production[Qwilr Quote],MATCH(E394&amp;"",tbl_Production[Job Number],0)),INDEX(tbl_Production[Current RMS No],MATCH(E394&amp;"",tbl_Production[Job Number],0)))="","",IF(INDEX(tbl_Production[Current RMS No],MATCH(E394&amp;"",tbl_Production[Job Number],0))="",INDEX(tbl_Production[Qwilr Quote],MATCH(E394&amp;"",tbl_Production[Job Number],0)),INDEX(tbl_Production[Current RMS No],MATCH(E394&amp;"",tbl_Production[Job Number],0)))),IFERROR(IF(INDEX(tbl_Consulting[Qwilr Quote],MATCH(E394&amp;"",tbl_Consulting[Job Number],0))="","",INDEX(tbl_Consulting[Qwilr Quote],MATCH(E394&amp;"",tbl_Consulting[Job Number],0))),""))))</f>
        <v/>
      </c>
      <c r="AD394" s="25">
        <f>IF(AC394="","",IF(AND(LEFT(AC394,4)&lt;&gt;"http",IF(H394="Production",set_RMSBase,set_QwilrBase)=""),"",HYPERLINK(IF(LEFT(AC394,4)="http",AC394,IF(H394="Production",set_RMSBase,set_QwilrBase)&amp;AC394),"Open")))</f>
        <v/>
      </c>
      <c r="AE394" s="27">
        <f>IF(E394="","",IFERROR(INDEX(tbl_Production[Total Expense],MATCH(E394&amp;"",tbl_Production[Job Number],0)),IFERROR(INDEX(tbl_Consulting[Total Expense],MATCH(E394&amp;"",tbl_Consulting[Job Number],0)),0)))</f>
        <v/>
      </c>
      <c r="AF394" s="27">
        <f>IF(E394="","",Z394-N(AE394))</f>
        <v/>
      </c>
      <c r="AG394" s="29">
        <f>IFERROR(AF394/Z394,"")</f>
        <v/>
      </c>
      <c r="AH394" s="25">
        <f>IF(E394="","",IFERROR(IF(INDEX(tbl_Onsite[Notes],MATCH(E394&amp;"",tbl_Onsite[Job Number],0))="","",INDEX(tbl_Onsite[Notes],MATCH(E394&amp;"",tbl_Onsite[Job Number],0))),IFERROR(IF(INDEX(tbl_Production[Notes],MATCH(E394&amp;"",tbl_Production[Job Number],0))="","",INDEX(tbl_Production[Notes],MATCH(E394&amp;"",tbl_Production[Job Number],0))),IFERROR(IF(INDEX(tbl_Consulting[Notes],MATCH(E394&amp;"",tbl_Consulting[Job Number],0))="","",INDEX(tbl_Consulting[Notes],MATCH(E394&amp;"",tbl_Consulting[Job Number],0))),""))))</f>
        <v/>
      </c>
    </row>
    <row r="395" ht="15" customHeight="1">
      <c r="A395" s="22" t="n"/>
      <c r="B395" s="23">
        <f>IF(A395="","",EOMONTH(A395,0))</f>
        <v/>
      </c>
      <c r="C395" s="24" t="n"/>
      <c r="D395" s="24" t="n"/>
      <c r="E395" s="24" t="n"/>
      <c r="F395" s="25">
        <f>IF(E395="","",IF(COUNTIF(lst_Jobs,E395&amp;"")&gt;0,"OK","CHECK"))</f>
        <v/>
      </c>
      <c r="G395" s="24" t="n"/>
      <c r="H395" s="24" t="n"/>
      <c r="I395" s="24" t="n"/>
      <c r="J395" s="24" t="n"/>
      <c r="K395" s="24" t="n"/>
      <c r="L395" s="26" t="n"/>
      <c r="M395" s="27">
        <f>IF(L395="","",IF(K395="GST 10%",ROUND(L395*set_GSTRate,2),0))</f>
        <v/>
      </c>
      <c r="N395" s="27">
        <f>IF(L395="","",L395+M395)</f>
        <v/>
      </c>
      <c r="O395" s="24" t="n"/>
      <c r="P395" s="24" t="n"/>
      <c r="Q395" s="24" t="n"/>
      <c r="R395" s="22" t="n"/>
      <c r="S395" s="22" t="n"/>
      <c r="T395" s="24" t="n"/>
      <c r="U395" s="24" t="n"/>
      <c r="V395" s="25">
        <f>IF(COUNTA(A395,D395,C395,L395)=0,"",IF(A395="","No date - sits outside every month",IF(E395="","No job number",IF(F395="CHECK","Job number is not in the Xero job list",IF(I395="","No cost centre",IF(AND(P395="Y",C395=""),"Marked posted to Xero but has no invoice number",IF(AND(L395&lt;&gt;"",K395=""),"No tax code",IF(AND(L395&lt;&gt;"",O395=""),"No revenue GL code",""))))))))</f>
        <v/>
      </c>
      <c r="W395" s="25">
        <f>IF(E395="","",IF(COUNTIF(tbl_Onsite[Job Number],E395&amp;"")&gt;0,"Onsite",IF(COUNTIF(tbl_Production[Job Number],E395&amp;"")&gt;0,"Production",IF(COUNTIF(tbl_Consulting[Job Number],E395&amp;"")&gt;0,"Consulting","not set up yet"))))</f>
        <v/>
      </c>
      <c r="X395" s="25">
        <f>IF(E395="","",IFERROR(INDEX(lst_JobName,MATCH(E395&amp;"",lst_Jobs,0)),""))</f>
        <v/>
      </c>
      <c r="Y395" s="28">
        <f>IF(E395="","",COUNTIFS(tbl_Finance[Job Number],E395&amp;"",tbl_Finance[Ex GST],"&lt;&gt;"))</f>
        <v/>
      </c>
      <c r="Z395" s="27">
        <f>IF(E395="","",SUMIFS(tbl_Finance[Ex GST],tbl_Finance[Job Number],E395&amp;""))</f>
        <v/>
      </c>
      <c r="AA395" s="27">
        <f>IF(E395="","",SUMIFS(tbl_Finance[Ex GST],tbl_Finance[Job Number],E395&amp;"",tbl_Finance[Xero Invoice No],"&lt;&gt;"))</f>
        <v/>
      </c>
      <c r="AB395" s="27">
        <f>IF(E395="","",Z395-AA395)</f>
        <v/>
      </c>
      <c r="AC395" s="25">
        <f>IF(E395="","",IFERROR(IF(INDEX(tbl_Onsite[Qwilr Quote],MATCH(E395&amp;"",tbl_Onsite[Job Number],0))="","",INDEX(tbl_Onsite[Qwilr Quote],MATCH(E395&amp;"",tbl_Onsite[Job Number],0))),IFERROR(IF(IF(INDEX(tbl_Production[Current RMS No],MATCH(E395&amp;"",tbl_Production[Job Number],0))="",INDEX(tbl_Production[Qwilr Quote],MATCH(E395&amp;"",tbl_Production[Job Number],0)),INDEX(tbl_Production[Current RMS No],MATCH(E395&amp;"",tbl_Production[Job Number],0)))="","",IF(INDEX(tbl_Production[Current RMS No],MATCH(E395&amp;"",tbl_Production[Job Number],0))="",INDEX(tbl_Production[Qwilr Quote],MATCH(E395&amp;"",tbl_Production[Job Number],0)),INDEX(tbl_Production[Current RMS No],MATCH(E395&amp;"",tbl_Production[Job Number],0)))),IFERROR(IF(INDEX(tbl_Consulting[Qwilr Quote],MATCH(E395&amp;"",tbl_Consulting[Job Number],0))="","",INDEX(tbl_Consulting[Qwilr Quote],MATCH(E395&amp;"",tbl_Consulting[Job Number],0))),""))))</f>
        <v/>
      </c>
      <c r="AD395" s="25">
        <f>IF(AC395="","",IF(AND(LEFT(AC395,4)&lt;&gt;"http",IF(H395="Production",set_RMSBase,set_QwilrBase)=""),"",HYPERLINK(IF(LEFT(AC395,4)="http",AC395,IF(H395="Production",set_RMSBase,set_QwilrBase)&amp;AC395),"Open")))</f>
        <v/>
      </c>
      <c r="AE395" s="27">
        <f>IF(E395="","",IFERROR(INDEX(tbl_Production[Total Expense],MATCH(E395&amp;"",tbl_Production[Job Number],0)),IFERROR(INDEX(tbl_Consulting[Total Expense],MATCH(E395&amp;"",tbl_Consulting[Job Number],0)),0)))</f>
        <v/>
      </c>
      <c r="AF395" s="27">
        <f>IF(E395="","",Z395-N(AE395))</f>
        <v/>
      </c>
      <c r="AG395" s="29">
        <f>IFERROR(AF395/Z395,"")</f>
        <v/>
      </c>
      <c r="AH395" s="25">
        <f>IF(E395="","",IFERROR(IF(INDEX(tbl_Onsite[Notes],MATCH(E395&amp;"",tbl_Onsite[Job Number],0))="","",INDEX(tbl_Onsite[Notes],MATCH(E395&amp;"",tbl_Onsite[Job Number],0))),IFERROR(IF(INDEX(tbl_Production[Notes],MATCH(E395&amp;"",tbl_Production[Job Number],0))="","",INDEX(tbl_Production[Notes],MATCH(E395&amp;"",tbl_Production[Job Number],0))),IFERROR(IF(INDEX(tbl_Consulting[Notes],MATCH(E395&amp;"",tbl_Consulting[Job Number],0))="","",INDEX(tbl_Consulting[Notes],MATCH(E395&amp;"",tbl_Consulting[Job Number],0))),""))))</f>
        <v/>
      </c>
    </row>
    <row r="396" ht="15" customHeight="1">
      <c r="A396" s="22" t="n"/>
      <c r="B396" s="23">
        <f>IF(A396="","",EOMONTH(A396,0))</f>
        <v/>
      </c>
      <c r="C396" s="24" t="n"/>
      <c r="D396" s="24" t="n"/>
      <c r="E396" s="24" t="n"/>
      <c r="F396" s="25">
        <f>IF(E396="","",IF(COUNTIF(lst_Jobs,E396&amp;"")&gt;0,"OK","CHECK"))</f>
        <v/>
      </c>
      <c r="G396" s="24" t="n"/>
      <c r="H396" s="24" t="n"/>
      <c r="I396" s="24" t="n"/>
      <c r="J396" s="24" t="n"/>
      <c r="K396" s="24" t="n"/>
      <c r="L396" s="26" t="n"/>
      <c r="M396" s="27">
        <f>IF(L396="","",IF(K396="GST 10%",ROUND(L396*set_GSTRate,2),0))</f>
        <v/>
      </c>
      <c r="N396" s="27">
        <f>IF(L396="","",L396+M396)</f>
        <v/>
      </c>
      <c r="O396" s="24" t="n"/>
      <c r="P396" s="24" t="n"/>
      <c r="Q396" s="24" t="n"/>
      <c r="R396" s="22" t="n"/>
      <c r="S396" s="22" t="n"/>
      <c r="T396" s="24" t="n"/>
      <c r="U396" s="24" t="n"/>
      <c r="V396" s="25">
        <f>IF(COUNTA(A396,D396,C396,L396)=0,"",IF(A396="","No date - sits outside every month",IF(E396="","No job number",IF(F396="CHECK","Job number is not in the Xero job list",IF(I396="","No cost centre",IF(AND(P396="Y",C396=""),"Marked posted to Xero but has no invoice number",IF(AND(L396&lt;&gt;"",K396=""),"No tax code",IF(AND(L396&lt;&gt;"",O396=""),"No revenue GL code",""))))))))</f>
        <v/>
      </c>
      <c r="W396" s="25">
        <f>IF(E396="","",IF(COUNTIF(tbl_Onsite[Job Number],E396&amp;"")&gt;0,"Onsite",IF(COUNTIF(tbl_Production[Job Number],E396&amp;"")&gt;0,"Production",IF(COUNTIF(tbl_Consulting[Job Number],E396&amp;"")&gt;0,"Consulting","not set up yet"))))</f>
        <v/>
      </c>
      <c r="X396" s="25">
        <f>IF(E396="","",IFERROR(INDEX(lst_JobName,MATCH(E396&amp;"",lst_Jobs,0)),""))</f>
        <v/>
      </c>
      <c r="Y396" s="28">
        <f>IF(E396="","",COUNTIFS(tbl_Finance[Job Number],E396&amp;"",tbl_Finance[Ex GST],"&lt;&gt;"))</f>
        <v/>
      </c>
      <c r="Z396" s="27">
        <f>IF(E396="","",SUMIFS(tbl_Finance[Ex GST],tbl_Finance[Job Number],E396&amp;""))</f>
        <v/>
      </c>
      <c r="AA396" s="27">
        <f>IF(E396="","",SUMIFS(tbl_Finance[Ex GST],tbl_Finance[Job Number],E396&amp;"",tbl_Finance[Xero Invoice No],"&lt;&gt;"))</f>
        <v/>
      </c>
      <c r="AB396" s="27">
        <f>IF(E396="","",Z396-AA396)</f>
        <v/>
      </c>
      <c r="AC396" s="25">
        <f>IF(E396="","",IFERROR(IF(INDEX(tbl_Onsite[Qwilr Quote],MATCH(E396&amp;"",tbl_Onsite[Job Number],0))="","",INDEX(tbl_Onsite[Qwilr Quote],MATCH(E396&amp;"",tbl_Onsite[Job Number],0))),IFERROR(IF(IF(INDEX(tbl_Production[Current RMS No],MATCH(E396&amp;"",tbl_Production[Job Number],0))="",INDEX(tbl_Production[Qwilr Quote],MATCH(E396&amp;"",tbl_Production[Job Number],0)),INDEX(tbl_Production[Current RMS No],MATCH(E396&amp;"",tbl_Production[Job Number],0)))="","",IF(INDEX(tbl_Production[Current RMS No],MATCH(E396&amp;"",tbl_Production[Job Number],0))="",INDEX(tbl_Production[Qwilr Quote],MATCH(E396&amp;"",tbl_Production[Job Number],0)),INDEX(tbl_Production[Current RMS No],MATCH(E396&amp;"",tbl_Production[Job Number],0)))),IFERROR(IF(INDEX(tbl_Consulting[Qwilr Quote],MATCH(E396&amp;"",tbl_Consulting[Job Number],0))="","",INDEX(tbl_Consulting[Qwilr Quote],MATCH(E396&amp;"",tbl_Consulting[Job Number],0))),""))))</f>
        <v/>
      </c>
      <c r="AD396" s="25">
        <f>IF(AC396="","",IF(AND(LEFT(AC396,4)&lt;&gt;"http",IF(H396="Production",set_RMSBase,set_QwilrBase)=""),"",HYPERLINK(IF(LEFT(AC396,4)="http",AC396,IF(H396="Production",set_RMSBase,set_QwilrBase)&amp;AC396),"Open")))</f>
        <v/>
      </c>
      <c r="AE396" s="27">
        <f>IF(E396="","",IFERROR(INDEX(tbl_Production[Total Expense],MATCH(E396&amp;"",tbl_Production[Job Number],0)),IFERROR(INDEX(tbl_Consulting[Total Expense],MATCH(E396&amp;"",tbl_Consulting[Job Number],0)),0)))</f>
        <v/>
      </c>
      <c r="AF396" s="27">
        <f>IF(E396="","",Z396-N(AE396))</f>
        <v/>
      </c>
      <c r="AG396" s="29">
        <f>IFERROR(AF396/Z396,"")</f>
        <v/>
      </c>
      <c r="AH396" s="25">
        <f>IF(E396="","",IFERROR(IF(INDEX(tbl_Onsite[Notes],MATCH(E396&amp;"",tbl_Onsite[Job Number],0))="","",INDEX(tbl_Onsite[Notes],MATCH(E396&amp;"",tbl_Onsite[Job Number],0))),IFERROR(IF(INDEX(tbl_Production[Notes],MATCH(E396&amp;"",tbl_Production[Job Number],0))="","",INDEX(tbl_Production[Notes],MATCH(E396&amp;"",tbl_Production[Job Number],0))),IFERROR(IF(INDEX(tbl_Consulting[Notes],MATCH(E396&amp;"",tbl_Consulting[Job Number],0))="","",INDEX(tbl_Consulting[Notes],MATCH(E396&amp;"",tbl_Consulting[Job Number],0))),""))))</f>
        <v/>
      </c>
    </row>
    <row r="397" ht="15" customHeight="1">
      <c r="A397" s="22" t="n"/>
      <c r="B397" s="23">
        <f>IF(A397="","",EOMONTH(A397,0))</f>
        <v/>
      </c>
      <c r="C397" s="24" t="n"/>
      <c r="D397" s="24" t="n"/>
      <c r="E397" s="24" t="n"/>
      <c r="F397" s="25">
        <f>IF(E397="","",IF(COUNTIF(lst_Jobs,E397&amp;"")&gt;0,"OK","CHECK"))</f>
        <v/>
      </c>
      <c r="G397" s="24" t="n"/>
      <c r="H397" s="24" t="n"/>
      <c r="I397" s="24" t="n"/>
      <c r="J397" s="24" t="n"/>
      <c r="K397" s="24" t="n"/>
      <c r="L397" s="26" t="n"/>
      <c r="M397" s="27">
        <f>IF(L397="","",IF(K397="GST 10%",ROUND(L397*set_GSTRate,2),0))</f>
        <v/>
      </c>
      <c r="N397" s="27">
        <f>IF(L397="","",L397+M397)</f>
        <v/>
      </c>
      <c r="O397" s="24" t="n"/>
      <c r="P397" s="24" t="n"/>
      <c r="Q397" s="24" t="n"/>
      <c r="R397" s="22" t="n"/>
      <c r="S397" s="22" t="n"/>
      <c r="T397" s="24" t="n"/>
      <c r="U397" s="24" t="n"/>
      <c r="V397" s="25">
        <f>IF(COUNTA(A397,D397,C397,L397)=0,"",IF(A397="","No date - sits outside every month",IF(E397="","No job number",IF(F397="CHECK","Job number is not in the Xero job list",IF(I397="","No cost centre",IF(AND(P397="Y",C397=""),"Marked posted to Xero but has no invoice number",IF(AND(L397&lt;&gt;"",K397=""),"No tax code",IF(AND(L397&lt;&gt;"",O397=""),"No revenue GL code",""))))))))</f>
        <v/>
      </c>
      <c r="W397" s="25">
        <f>IF(E397="","",IF(COUNTIF(tbl_Onsite[Job Number],E397&amp;"")&gt;0,"Onsite",IF(COUNTIF(tbl_Production[Job Number],E397&amp;"")&gt;0,"Production",IF(COUNTIF(tbl_Consulting[Job Number],E397&amp;"")&gt;0,"Consulting","not set up yet"))))</f>
        <v/>
      </c>
      <c r="X397" s="25">
        <f>IF(E397="","",IFERROR(INDEX(lst_JobName,MATCH(E397&amp;"",lst_Jobs,0)),""))</f>
        <v/>
      </c>
      <c r="Y397" s="28">
        <f>IF(E397="","",COUNTIFS(tbl_Finance[Job Number],E397&amp;"",tbl_Finance[Ex GST],"&lt;&gt;"))</f>
        <v/>
      </c>
      <c r="Z397" s="27">
        <f>IF(E397="","",SUMIFS(tbl_Finance[Ex GST],tbl_Finance[Job Number],E397&amp;""))</f>
        <v/>
      </c>
      <c r="AA397" s="27">
        <f>IF(E397="","",SUMIFS(tbl_Finance[Ex GST],tbl_Finance[Job Number],E397&amp;"",tbl_Finance[Xero Invoice No],"&lt;&gt;"))</f>
        <v/>
      </c>
      <c r="AB397" s="27">
        <f>IF(E397="","",Z397-AA397)</f>
        <v/>
      </c>
      <c r="AC397" s="25">
        <f>IF(E397="","",IFERROR(IF(INDEX(tbl_Onsite[Qwilr Quote],MATCH(E397&amp;"",tbl_Onsite[Job Number],0))="","",INDEX(tbl_Onsite[Qwilr Quote],MATCH(E397&amp;"",tbl_Onsite[Job Number],0))),IFERROR(IF(IF(INDEX(tbl_Production[Current RMS No],MATCH(E397&amp;"",tbl_Production[Job Number],0))="",INDEX(tbl_Production[Qwilr Quote],MATCH(E397&amp;"",tbl_Production[Job Number],0)),INDEX(tbl_Production[Current RMS No],MATCH(E397&amp;"",tbl_Production[Job Number],0)))="","",IF(INDEX(tbl_Production[Current RMS No],MATCH(E397&amp;"",tbl_Production[Job Number],0))="",INDEX(tbl_Production[Qwilr Quote],MATCH(E397&amp;"",tbl_Production[Job Number],0)),INDEX(tbl_Production[Current RMS No],MATCH(E397&amp;"",tbl_Production[Job Number],0)))),IFERROR(IF(INDEX(tbl_Consulting[Qwilr Quote],MATCH(E397&amp;"",tbl_Consulting[Job Number],0))="","",INDEX(tbl_Consulting[Qwilr Quote],MATCH(E397&amp;"",tbl_Consulting[Job Number],0))),""))))</f>
        <v/>
      </c>
      <c r="AD397" s="25">
        <f>IF(AC397="","",IF(AND(LEFT(AC397,4)&lt;&gt;"http",IF(H397="Production",set_RMSBase,set_QwilrBase)=""),"",HYPERLINK(IF(LEFT(AC397,4)="http",AC397,IF(H397="Production",set_RMSBase,set_QwilrBase)&amp;AC397),"Open")))</f>
        <v/>
      </c>
      <c r="AE397" s="27">
        <f>IF(E397="","",IFERROR(INDEX(tbl_Production[Total Expense],MATCH(E397&amp;"",tbl_Production[Job Number],0)),IFERROR(INDEX(tbl_Consulting[Total Expense],MATCH(E397&amp;"",tbl_Consulting[Job Number],0)),0)))</f>
        <v/>
      </c>
      <c r="AF397" s="27">
        <f>IF(E397="","",Z397-N(AE397))</f>
        <v/>
      </c>
      <c r="AG397" s="29">
        <f>IFERROR(AF397/Z397,"")</f>
        <v/>
      </c>
      <c r="AH397" s="25">
        <f>IF(E397="","",IFERROR(IF(INDEX(tbl_Onsite[Notes],MATCH(E397&amp;"",tbl_Onsite[Job Number],0))="","",INDEX(tbl_Onsite[Notes],MATCH(E397&amp;"",tbl_Onsite[Job Number],0))),IFERROR(IF(INDEX(tbl_Production[Notes],MATCH(E397&amp;"",tbl_Production[Job Number],0))="","",INDEX(tbl_Production[Notes],MATCH(E397&amp;"",tbl_Production[Job Number],0))),IFERROR(IF(INDEX(tbl_Consulting[Notes],MATCH(E397&amp;"",tbl_Consulting[Job Number],0))="","",INDEX(tbl_Consulting[Notes],MATCH(E397&amp;"",tbl_Consulting[Job Number],0))),""))))</f>
        <v/>
      </c>
    </row>
    <row r="398" ht="15" customHeight="1">
      <c r="A398" s="22" t="n"/>
      <c r="B398" s="23">
        <f>IF(A398="","",EOMONTH(A398,0))</f>
        <v/>
      </c>
      <c r="C398" s="24" t="n"/>
      <c r="D398" s="24" t="n"/>
      <c r="E398" s="24" t="n"/>
      <c r="F398" s="25">
        <f>IF(E398="","",IF(COUNTIF(lst_Jobs,E398&amp;"")&gt;0,"OK","CHECK"))</f>
        <v/>
      </c>
      <c r="G398" s="24" t="n"/>
      <c r="H398" s="24" t="n"/>
      <c r="I398" s="24" t="n"/>
      <c r="J398" s="24" t="n"/>
      <c r="K398" s="24" t="n"/>
      <c r="L398" s="26" t="n"/>
      <c r="M398" s="27">
        <f>IF(L398="","",IF(K398="GST 10%",ROUND(L398*set_GSTRate,2),0))</f>
        <v/>
      </c>
      <c r="N398" s="27">
        <f>IF(L398="","",L398+M398)</f>
        <v/>
      </c>
      <c r="O398" s="24" t="n"/>
      <c r="P398" s="24" t="n"/>
      <c r="Q398" s="24" t="n"/>
      <c r="R398" s="22" t="n"/>
      <c r="S398" s="22" t="n"/>
      <c r="T398" s="24" t="n"/>
      <c r="U398" s="24" t="n"/>
      <c r="V398" s="25">
        <f>IF(COUNTA(A398,D398,C398,L398)=0,"",IF(A398="","No date - sits outside every month",IF(E398="","No job number",IF(F398="CHECK","Job number is not in the Xero job list",IF(I398="","No cost centre",IF(AND(P398="Y",C398=""),"Marked posted to Xero but has no invoice number",IF(AND(L398&lt;&gt;"",K398=""),"No tax code",IF(AND(L398&lt;&gt;"",O398=""),"No revenue GL code",""))))))))</f>
        <v/>
      </c>
      <c r="W398" s="25">
        <f>IF(E398="","",IF(COUNTIF(tbl_Onsite[Job Number],E398&amp;"")&gt;0,"Onsite",IF(COUNTIF(tbl_Production[Job Number],E398&amp;"")&gt;0,"Production",IF(COUNTIF(tbl_Consulting[Job Number],E398&amp;"")&gt;0,"Consulting","not set up yet"))))</f>
        <v/>
      </c>
      <c r="X398" s="25">
        <f>IF(E398="","",IFERROR(INDEX(lst_JobName,MATCH(E398&amp;"",lst_Jobs,0)),""))</f>
        <v/>
      </c>
      <c r="Y398" s="28">
        <f>IF(E398="","",COUNTIFS(tbl_Finance[Job Number],E398&amp;"",tbl_Finance[Ex GST],"&lt;&gt;"))</f>
        <v/>
      </c>
      <c r="Z398" s="27">
        <f>IF(E398="","",SUMIFS(tbl_Finance[Ex GST],tbl_Finance[Job Number],E398&amp;""))</f>
        <v/>
      </c>
      <c r="AA398" s="27">
        <f>IF(E398="","",SUMIFS(tbl_Finance[Ex GST],tbl_Finance[Job Number],E398&amp;"",tbl_Finance[Xero Invoice No],"&lt;&gt;"))</f>
        <v/>
      </c>
      <c r="AB398" s="27">
        <f>IF(E398="","",Z398-AA398)</f>
        <v/>
      </c>
      <c r="AC398" s="25">
        <f>IF(E398="","",IFERROR(IF(INDEX(tbl_Onsite[Qwilr Quote],MATCH(E398&amp;"",tbl_Onsite[Job Number],0))="","",INDEX(tbl_Onsite[Qwilr Quote],MATCH(E398&amp;"",tbl_Onsite[Job Number],0))),IFERROR(IF(IF(INDEX(tbl_Production[Current RMS No],MATCH(E398&amp;"",tbl_Production[Job Number],0))="",INDEX(tbl_Production[Qwilr Quote],MATCH(E398&amp;"",tbl_Production[Job Number],0)),INDEX(tbl_Production[Current RMS No],MATCH(E398&amp;"",tbl_Production[Job Number],0)))="","",IF(INDEX(tbl_Production[Current RMS No],MATCH(E398&amp;"",tbl_Production[Job Number],0))="",INDEX(tbl_Production[Qwilr Quote],MATCH(E398&amp;"",tbl_Production[Job Number],0)),INDEX(tbl_Production[Current RMS No],MATCH(E398&amp;"",tbl_Production[Job Number],0)))),IFERROR(IF(INDEX(tbl_Consulting[Qwilr Quote],MATCH(E398&amp;"",tbl_Consulting[Job Number],0))="","",INDEX(tbl_Consulting[Qwilr Quote],MATCH(E398&amp;"",tbl_Consulting[Job Number],0))),""))))</f>
        <v/>
      </c>
      <c r="AD398" s="25">
        <f>IF(AC398="","",IF(AND(LEFT(AC398,4)&lt;&gt;"http",IF(H398="Production",set_RMSBase,set_QwilrBase)=""),"",HYPERLINK(IF(LEFT(AC398,4)="http",AC398,IF(H398="Production",set_RMSBase,set_QwilrBase)&amp;AC398),"Open")))</f>
        <v/>
      </c>
      <c r="AE398" s="27">
        <f>IF(E398="","",IFERROR(INDEX(tbl_Production[Total Expense],MATCH(E398&amp;"",tbl_Production[Job Number],0)),IFERROR(INDEX(tbl_Consulting[Total Expense],MATCH(E398&amp;"",tbl_Consulting[Job Number],0)),0)))</f>
        <v/>
      </c>
      <c r="AF398" s="27">
        <f>IF(E398="","",Z398-N(AE398))</f>
        <v/>
      </c>
      <c r="AG398" s="29">
        <f>IFERROR(AF398/Z398,"")</f>
        <v/>
      </c>
      <c r="AH398" s="25">
        <f>IF(E398="","",IFERROR(IF(INDEX(tbl_Onsite[Notes],MATCH(E398&amp;"",tbl_Onsite[Job Number],0))="","",INDEX(tbl_Onsite[Notes],MATCH(E398&amp;"",tbl_Onsite[Job Number],0))),IFERROR(IF(INDEX(tbl_Production[Notes],MATCH(E398&amp;"",tbl_Production[Job Number],0))="","",INDEX(tbl_Production[Notes],MATCH(E398&amp;"",tbl_Production[Job Number],0))),IFERROR(IF(INDEX(tbl_Consulting[Notes],MATCH(E398&amp;"",tbl_Consulting[Job Number],0))="","",INDEX(tbl_Consulting[Notes],MATCH(E398&amp;"",tbl_Consulting[Job Number],0))),""))))</f>
        <v/>
      </c>
    </row>
    <row r="399" ht="15" customHeight="1">
      <c r="A399" s="22" t="n"/>
      <c r="B399" s="23">
        <f>IF(A399="","",EOMONTH(A399,0))</f>
        <v/>
      </c>
      <c r="C399" s="24" t="n"/>
      <c r="D399" s="24" t="n"/>
      <c r="E399" s="24" t="n"/>
      <c r="F399" s="25">
        <f>IF(E399="","",IF(COUNTIF(lst_Jobs,E399&amp;"")&gt;0,"OK","CHECK"))</f>
        <v/>
      </c>
      <c r="G399" s="24" t="n"/>
      <c r="H399" s="24" t="n"/>
      <c r="I399" s="24" t="n"/>
      <c r="J399" s="24" t="n"/>
      <c r="K399" s="24" t="n"/>
      <c r="L399" s="26" t="n"/>
      <c r="M399" s="27">
        <f>IF(L399="","",IF(K399="GST 10%",ROUND(L399*set_GSTRate,2),0))</f>
        <v/>
      </c>
      <c r="N399" s="27">
        <f>IF(L399="","",L399+M399)</f>
        <v/>
      </c>
      <c r="O399" s="24" t="n"/>
      <c r="P399" s="24" t="n"/>
      <c r="Q399" s="24" t="n"/>
      <c r="R399" s="22" t="n"/>
      <c r="S399" s="22" t="n"/>
      <c r="T399" s="24" t="n"/>
      <c r="U399" s="24" t="n"/>
      <c r="V399" s="25">
        <f>IF(COUNTA(A399,D399,C399,L399)=0,"",IF(A399="","No date - sits outside every month",IF(E399="","No job number",IF(F399="CHECK","Job number is not in the Xero job list",IF(I399="","No cost centre",IF(AND(P399="Y",C399=""),"Marked posted to Xero but has no invoice number",IF(AND(L399&lt;&gt;"",K399=""),"No tax code",IF(AND(L399&lt;&gt;"",O399=""),"No revenue GL code",""))))))))</f>
        <v/>
      </c>
      <c r="W399" s="25">
        <f>IF(E399="","",IF(COUNTIF(tbl_Onsite[Job Number],E399&amp;"")&gt;0,"Onsite",IF(COUNTIF(tbl_Production[Job Number],E399&amp;"")&gt;0,"Production",IF(COUNTIF(tbl_Consulting[Job Number],E399&amp;"")&gt;0,"Consulting","not set up yet"))))</f>
        <v/>
      </c>
      <c r="X399" s="25">
        <f>IF(E399="","",IFERROR(INDEX(lst_JobName,MATCH(E399&amp;"",lst_Jobs,0)),""))</f>
        <v/>
      </c>
      <c r="Y399" s="28">
        <f>IF(E399="","",COUNTIFS(tbl_Finance[Job Number],E399&amp;"",tbl_Finance[Ex GST],"&lt;&gt;"))</f>
        <v/>
      </c>
      <c r="Z399" s="27">
        <f>IF(E399="","",SUMIFS(tbl_Finance[Ex GST],tbl_Finance[Job Number],E399&amp;""))</f>
        <v/>
      </c>
      <c r="AA399" s="27">
        <f>IF(E399="","",SUMIFS(tbl_Finance[Ex GST],tbl_Finance[Job Number],E399&amp;"",tbl_Finance[Xero Invoice No],"&lt;&gt;"))</f>
        <v/>
      </c>
      <c r="AB399" s="27">
        <f>IF(E399="","",Z399-AA399)</f>
        <v/>
      </c>
      <c r="AC399" s="25">
        <f>IF(E399="","",IFERROR(IF(INDEX(tbl_Onsite[Qwilr Quote],MATCH(E399&amp;"",tbl_Onsite[Job Number],0))="","",INDEX(tbl_Onsite[Qwilr Quote],MATCH(E399&amp;"",tbl_Onsite[Job Number],0))),IFERROR(IF(IF(INDEX(tbl_Production[Current RMS No],MATCH(E399&amp;"",tbl_Production[Job Number],0))="",INDEX(tbl_Production[Qwilr Quote],MATCH(E399&amp;"",tbl_Production[Job Number],0)),INDEX(tbl_Production[Current RMS No],MATCH(E399&amp;"",tbl_Production[Job Number],0)))="","",IF(INDEX(tbl_Production[Current RMS No],MATCH(E399&amp;"",tbl_Production[Job Number],0))="",INDEX(tbl_Production[Qwilr Quote],MATCH(E399&amp;"",tbl_Production[Job Number],0)),INDEX(tbl_Production[Current RMS No],MATCH(E399&amp;"",tbl_Production[Job Number],0)))),IFERROR(IF(INDEX(tbl_Consulting[Qwilr Quote],MATCH(E399&amp;"",tbl_Consulting[Job Number],0))="","",INDEX(tbl_Consulting[Qwilr Quote],MATCH(E399&amp;"",tbl_Consulting[Job Number],0))),""))))</f>
        <v/>
      </c>
      <c r="AD399" s="25">
        <f>IF(AC399="","",IF(AND(LEFT(AC399,4)&lt;&gt;"http",IF(H399="Production",set_RMSBase,set_QwilrBase)=""),"",HYPERLINK(IF(LEFT(AC399,4)="http",AC399,IF(H399="Production",set_RMSBase,set_QwilrBase)&amp;AC399),"Open")))</f>
        <v/>
      </c>
      <c r="AE399" s="27">
        <f>IF(E399="","",IFERROR(INDEX(tbl_Production[Total Expense],MATCH(E399&amp;"",tbl_Production[Job Number],0)),IFERROR(INDEX(tbl_Consulting[Total Expense],MATCH(E399&amp;"",tbl_Consulting[Job Number],0)),0)))</f>
        <v/>
      </c>
      <c r="AF399" s="27">
        <f>IF(E399="","",Z399-N(AE399))</f>
        <v/>
      </c>
      <c r="AG399" s="29">
        <f>IFERROR(AF399/Z399,"")</f>
        <v/>
      </c>
      <c r="AH399" s="25">
        <f>IF(E399="","",IFERROR(IF(INDEX(tbl_Onsite[Notes],MATCH(E399&amp;"",tbl_Onsite[Job Number],0))="","",INDEX(tbl_Onsite[Notes],MATCH(E399&amp;"",tbl_Onsite[Job Number],0))),IFERROR(IF(INDEX(tbl_Production[Notes],MATCH(E399&amp;"",tbl_Production[Job Number],0))="","",INDEX(tbl_Production[Notes],MATCH(E399&amp;"",tbl_Production[Job Number],0))),IFERROR(IF(INDEX(tbl_Consulting[Notes],MATCH(E399&amp;"",tbl_Consulting[Job Number],0))="","",INDEX(tbl_Consulting[Notes],MATCH(E399&amp;"",tbl_Consulting[Job Number],0))),""))))</f>
        <v/>
      </c>
    </row>
    <row r="400" ht="15" customHeight="1">
      <c r="A400" s="22" t="n"/>
      <c r="B400" s="23">
        <f>IF(A400="","",EOMONTH(A400,0))</f>
        <v/>
      </c>
      <c r="C400" s="24" t="n"/>
      <c r="D400" s="24" t="n"/>
      <c r="E400" s="24" t="n"/>
      <c r="F400" s="25">
        <f>IF(E400="","",IF(COUNTIF(lst_Jobs,E400&amp;"")&gt;0,"OK","CHECK"))</f>
        <v/>
      </c>
      <c r="G400" s="24" t="n"/>
      <c r="H400" s="24" t="n"/>
      <c r="I400" s="24" t="n"/>
      <c r="J400" s="24" t="n"/>
      <c r="K400" s="24" t="n"/>
      <c r="L400" s="26" t="n"/>
      <c r="M400" s="27">
        <f>IF(L400="","",IF(K400="GST 10%",ROUND(L400*set_GSTRate,2),0))</f>
        <v/>
      </c>
      <c r="N400" s="27">
        <f>IF(L400="","",L400+M400)</f>
        <v/>
      </c>
      <c r="O400" s="24" t="n"/>
      <c r="P400" s="24" t="n"/>
      <c r="Q400" s="24" t="n"/>
      <c r="R400" s="22" t="n"/>
      <c r="S400" s="22" t="n"/>
      <c r="T400" s="24" t="n"/>
      <c r="U400" s="24" t="n"/>
      <c r="V400" s="25">
        <f>IF(COUNTA(A400,D400,C400,L400)=0,"",IF(A400="","No date - sits outside every month",IF(E400="","No job number",IF(F400="CHECK","Job number is not in the Xero job list",IF(I400="","No cost centre",IF(AND(P400="Y",C400=""),"Marked posted to Xero but has no invoice number",IF(AND(L400&lt;&gt;"",K400=""),"No tax code",IF(AND(L400&lt;&gt;"",O400=""),"No revenue GL code",""))))))))</f>
        <v/>
      </c>
      <c r="W400" s="25">
        <f>IF(E400="","",IF(COUNTIF(tbl_Onsite[Job Number],E400&amp;"")&gt;0,"Onsite",IF(COUNTIF(tbl_Production[Job Number],E400&amp;"")&gt;0,"Production",IF(COUNTIF(tbl_Consulting[Job Number],E400&amp;"")&gt;0,"Consulting","not set up yet"))))</f>
        <v/>
      </c>
      <c r="X400" s="25">
        <f>IF(E400="","",IFERROR(INDEX(lst_JobName,MATCH(E400&amp;"",lst_Jobs,0)),""))</f>
        <v/>
      </c>
      <c r="Y400" s="28">
        <f>IF(E400="","",COUNTIFS(tbl_Finance[Job Number],E400&amp;"",tbl_Finance[Ex GST],"&lt;&gt;"))</f>
        <v/>
      </c>
      <c r="Z400" s="27">
        <f>IF(E400="","",SUMIFS(tbl_Finance[Ex GST],tbl_Finance[Job Number],E400&amp;""))</f>
        <v/>
      </c>
      <c r="AA400" s="27">
        <f>IF(E400="","",SUMIFS(tbl_Finance[Ex GST],tbl_Finance[Job Number],E400&amp;"",tbl_Finance[Xero Invoice No],"&lt;&gt;"))</f>
        <v/>
      </c>
      <c r="AB400" s="27">
        <f>IF(E400="","",Z400-AA400)</f>
        <v/>
      </c>
      <c r="AC400" s="25">
        <f>IF(E400="","",IFERROR(IF(INDEX(tbl_Onsite[Qwilr Quote],MATCH(E400&amp;"",tbl_Onsite[Job Number],0))="","",INDEX(tbl_Onsite[Qwilr Quote],MATCH(E400&amp;"",tbl_Onsite[Job Number],0))),IFERROR(IF(IF(INDEX(tbl_Production[Current RMS No],MATCH(E400&amp;"",tbl_Production[Job Number],0))="",INDEX(tbl_Production[Qwilr Quote],MATCH(E400&amp;"",tbl_Production[Job Number],0)),INDEX(tbl_Production[Current RMS No],MATCH(E400&amp;"",tbl_Production[Job Number],0)))="","",IF(INDEX(tbl_Production[Current RMS No],MATCH(E400&amp;"",tbl_Production[Job Number],0))="",INDEX(tbl_Production[Qwilr Quote],MATCH(E400&amp;"",tbl_Production[Job Number],0)),INDEX(tbl_Production[Current RMS No],MATCH(E400&amp;"",tbl_Production[Job Number],0)))),IFERROR(IF(INDEX(tbl_Consulting[Qwilr Quote],MATCH(E400&amp;"",tbl_Consulting[Job Number],0))="","",INDEX(tbl_Consulting[Qwilr Quote],MATCH(E400&amp;"",tbl_Consulting[Job Number],0))),""))))</f>
        <v/>
      </c>
      <c r="AD400" s="25">
        <f>IF(AC400="","",IF(AND(LEFT(AC400,4)&lt;&gt;"http",IF(H400="Production",set_RMSBase,set_QwilrBase)=""),"",HYPERLINK(IF(LEFT(AC400,4)="http",AC400,IF(H400="Production",set_RMSBase,set_QwilrBase)&amp;AC400),"Open")))</f>
        <v/>
      </c>
      <c r="AE400" s="27">
        <f>IF(E400="","",IFERROR(INDEX(tbl_Production[Total Expense],MATCH(E400&amp;"",tbl_Production[Job Number],0)),IFERROR(INDEX(tbl_Consulting[Total Expense],MATCH(E400&amp;"",tbl_Consulting[Job Number],0)),0)))</f>
        <v/>
      </c>
      <c r="AF400" s="27">
        <f>IF(E400="","",Z400-N(AE400))</f>
        <v/>
      </c>
      <c r="AG400" s="29">
        <f>IFERROR(AF400/Z400,"")</f>
        <v/>
      </c>
      <c r="AH400" s="25">
        <f>IF(E400="","",IFERROR(IF(INDEX(tbl_Onsite[Notes],MATCH(E400&amp;"",tbl_Onsite[Job Number],0))="","",INDEX(tbl_Onsite[Notes],MATCH(E400&amp;"",tbl_Onsite[Job Number],0))),IFERROR(IF(INDEX(tbl_Production[Notes],MATCH(E400&amp;"",tbl_Production[Job Number],0))="","",INDEX(tbl_Production[Notes],MATCH(E400&amp;"",tbl_Production[Job Number],0))),IFERROR(IF(INDEX(tbl_Consulting[Notes],MATCH(E400&amp;"",tbl_Consulting[Job Number],0))="","",INDEX(tbl_Consulting[Notes],MATCH(E400&amp;"",tbl_Consulting[Job Number],0))),""))))</f>
        <v/>
      </c>
    </row>
    <row r="401" ht="15" customHeight="1">
      <c r="A401" s="22" t="n"/>
      <c r="B401" s="23">
        <f>IF(A401="","",EOMONTH(A401,0))</f>
        <v/>
      </c>
      <c r="C401" s="24" t="n"/>
      <c r="D401" s="24" t="n"/>
      <c r="E401" s="24" t="n"/>
      <c r="F401" s="25">
        <f>IF(E401="","",IF(COUNTIF(lst_Jobs,E401&amp;"")&gt;0,"OK","CHECK"))</f>
        <v/>
      </c>
      <c r="G401" s="24" t="n"/>
      <c r="H401" s="24" t="n"/>
      <c r="I401" s="24" t="n"/>
      <c r="J401" s="24" t="n"/>
      <c r="K401" s="24" t="n"/>
      <c r="L401" s="26" t="n"/>
      <c r="M401" s="27">
        <f>IF(L401="","",IF(K401="GST 10%",ROUND(L401*set_GSTRate,2),0))</f>
        <v/>
      </c>
      <c r="N401" s="27">
        <f>IF(L401="","",L401+M401)</f>
        <v/>
      </c>
      <c r="O401" s="24" t="n"/>
      <c r="P401" s="24" t="n"/>
      <c r="Q401" s="24" t="n"/>
      <c r="R401" s="22" t="n"/>
      <c r="S401" s="22" t="n"/>
      <c r="T401" s="24" t="n"/>
      <c r="U401" s="24" t="n"/>
      <c r="V401" s="25">
        <f>IF(COUNTA(A401,D401,C401,L401)=0,"",IF(A401="","No date - sits outside every month",IF(E401="","No job number",IF(F401="CHECK","Job number is not in the Xero job list",IF(I401="","No cost centre",IF(AND(P401="Y",C401=""),"Marked posted to Xero but has no invoice number",IF(AND(L401&lt;&gt;"",K401=""),"No tax code",IF(AND(L401&lt;&gt;"",O401=""),"No revenue GL code",""))))))))</f>
        <v/>
      </c>
      <c r="W401" s="25">
        <f>IF(E401="","",IF(COUNTIF(tbl_Onsite[Job Number],E401&amp;"")&gt;0,"Onsite",IF(COUNTIF(tbl_Production[Job Number],E401&amp;"")&gt;0,"Production",IF(COUNTIF(tbl_Consulting[Job Number],E401&amp;"")&gt;0,"Consulting","not set up yet"))))</f>
        <v/>
      </c>
      <c r="X401" s="25">
        <f>IF(E401="","",IFERROR(INDEX(lst_JobName,MATCH(E401&amp;"",lst_Jobs,0)),""))</f>
        <v/>
      </c>
      <c r="Y401" s="28">
        <f>IF(E401="","",COUNTIFS(tbl_Finance[Job Number],E401&amp;"",tbl_Finance[Ex GST],"&lt;&gt;"))</f>
        <v/>
      </c>
      <c r="Z401" s="27">
        <f>IF(E401="","",SUMIFS(tbl_Finance[Ex GST],tbl_Finance[Job Number],E401&amp;""))</f>
        <v/>
      </c>
      <c r="AA401" s="27">
        <f>IF(E401="","",SUMIFS(tbl_Finance[Ex GST],tbl_Finance[Job Number],E401&amp;"",tbl_Finance[Xero Invoice No],"&lt;&gt;"))</f>
        <v/>
      </c>
      <c r="AB401" s="27">
        <f>IF(E401="","",Z401-AA401)</f>
        <v/>
      </c>
      <c r="AC401" s="25">
        <f>IF(E401="","",IFERROR(IF(INDEX(tbl_Onsite[Qwilr Quote],MATCH(E401&amp;"",tbl_Onsite[Job Number],0))="","",INDEX(tbl_Onsite[Qwilr Quote],MATCH(E401&amp;"",tbl_Onsite[Job Number],0))),IFERROR(IF(IF(INDEX(tbl_Production[Current RMS No],MATCH(E401&amp;"",tbl_Production[Job Number],0))="",INDEX(tbl_Production[Qwilr Quote],MATCH(E401&amp;"",tbl_Production[Job Number],0)),INDEX(tbl_Production[Current RMS No],MATCH(E401&amp;"",tbl_Production[Job Number],0)))="","",IF(INDEX(tbl_Production[Current RMS No],MATCH(E401&amp;"",tbl_Production[Job Number],0))="",INDEX(tbl_Production[Qwilr Quote],MATCH(E401&amp;"",tbl_Production[Job Number],0)),INDEX(tbl_Production[Current RMS No],MATCH(E401&amp;"",tbl_Production[Job Number],0)))),IFERROR(IF(INDEX(tbl_Consulting[Qwilr Quote],MATCH(E401&amp;"",tbl_Consulting[Job Number],0))="","",INDEX(tbl_Consulting[Qwilr Quote],MATCH(E401&amp;"",tbl_Consulting[Job Number],0))),""))))</f>
        <v/>
      </c>
      <c r="AD401" s="25">
        <f>IF(AC401="","",IF(AND(LEFT(AC401,4)&lt;&gt;"http",IF(H401="Production",set_RMSBase,set_QwilrBase)=""),"",HYPERLINK(IF(LEFT(AC401,4)="http",AC401,IF(H401="Production",set_RMSBase,set_QwilrBase)&amp;AC401),"Open")))</f>
        <v/>
      </c>
      <c r="AE401" s="27">
        <f>IF(E401="","",IFERROR(INDEX(tbl_Production[Total Expense],MATCH(E401&amp;"",tbl_Production[Job Number],0)),IFERROR(INDEX(tbl_Consulting[Total Expense],MATCH(E401&amp;"",tbl_Consulting[Job Number],0)),0)))</f>
        <v/>
      </c>
      <c r="AF401" s="27">
        <f>IF(E401="","",Z401-N(AE401))</f>
        <v/>
      </c>
      <c r="AG401" s="29">
        <f>IFERROR(AF401/Z401,"")</f>
        <v/>
      </c>
      <c r="AH401" s="25">
        <f>IF(E401="","",IFERROR(IF(INDEX(tbl_Onsite[Notes],MATCH(E401&amp;"",tbl_Onsite[Job Number],0))="","",INDEX(tbl_Onsite[Notes],MATCH(E401&amp;"",tbl_Onsite[Job Number],0))),IFERROR(IF(INDEX(tbl_Production[Notes],MATCH(E401&amp;"",tbl_Production[Job Number],0))="","",INDEX(tbl_Production[Notes],MATCH(E401&amp;"",tbl_Production[Job Number],0))),IFERROR(IF(INDEX(tbl_Consulting[Notes],MATCH(E401&amp;"",tbl_Consulting[Job Number],0))="","",INDEX(tbl_Consulting[Notes],MATCH(E401&amp;"",tbl_Consulting[Job Number],0))),""))))</f>
        <v/>
      </c>
    </row>
    <row r="402" ht="15" customHeight="1">
      <c r="A402" s="22" t="n"/>
      <c r="B402" s="23">
        <f>IF(A402="","",EOMONTH(A402,0))</f>
        <v/>
      </c>
      <c r="C402" s="24" t="n"/>
      <c r="D402" s="24" t="n"/>
      <c r="E402" s="24" t="n"/>
      <c r="F402" s="25">
        <f>IF(E402="","",IF(COUNTIF(lst_Jobs,E402&amp;"")&gt;0,"OK","CHECK"))</f>
        <v/>
      </c>
      <c r="G402" s="24" t="n"/>
      <c r="H402" s="24" t="n"/>
      <c r="I402" s="24" t="n"/>
      <c r="J402" s="24" t="n"/>
      <c r="K402" s="24" t="n"/>
      <c r="L402" s="26" t="n"/>
      <c r="M402" s="27">
        <f>IF(L402="","",IF(K402="GST 10%",ROUND(L402*set_GSTRate,2),0))</f>
        <v/>
      </c>
      <c r="N402" s="27">
        <f>IF(L402="","",L402+M402)</f>
        <v/>
      </c>
      <c r="O402" s="24" t="n"/>
      <c r="P402" s="24" t="n"/>
      <c r="Q402" s="24" t="n"/>
      <c r="R402" s="22" t="n"/>
      <c r="S402" s="22" t="n"/>
      <c r="T402" s="24" t="n"/>
      <c r="U402" s="24" t="n"/>
      <c r="V402" s="25">
        <f>IF(COUNTA(A402,D402,C402,L402)=0,"",IF(A402="","No date - sits outside every month",IF(E402="","No job number",IF(F402="CHECK","Job number is not in the Xero job list",IF(I402="","No cost centre",IF(AND(P402="Y",C402=""),"Marked posted to Xero but has no invoice number",IF(AND(L402&lt;&gt;"",K402=""),"No tax code",IF(AND(L402&lt;&gt;"",O402=""),"No revenue GL code",""))))))))</f>
        <v/>
      </c>
      <c r="W402" s="25">
        <f>IF(E402="","",IF(COUNTIF(tbl_Onsite[Job Number],E402&amp;"")&gt;0,"Onsite",IF(COUNTIF(tbl_Production[Job Number],E402&amp;"")&gt;0,"Production",IF(COUNTIF(tbl_Consulting[Job Number],E402&amp;"")&gt;0,"Consulting","not set up yet"))))</f>
        <v/>
      </c>
      <c r="X402" s="25">
        <f>IF(E402="","",IFERROR(INDEX(lst_JobName,MATCH(E402&amp;"",lst_Jobs,0)),""))</f>
        <v/>
      </c>
      <c r="Y402" s="28">
        <f>IF(E402="","",COUNTIFS(tbl_Finance[Job Number],E402&amp;"",tbl_Finance[Ex GST],"&lt;&gt;"))</f>
        <v/>
      </c>
      <c r="Z402" s="27">
        <f>IF(E402="","",SUMIFS(tbl_Finance[Ex GST],tbl_Finance[Job Number],E402&amp;""))</f>
        <v/>
      </c>
      <c r="AA402" s="27">
        <f>IF(E402="","",SUMIFS(tbl_Finance[Ex GST],tbl_Finance[Job Number],E402&amp;"",tbl_Finance[Xero Invoice No],"&lt;&gt;"))</f>
        <v/>
      </c>
      <c r="AB402" s="27">
        <f>IF(E402="","",Z402-AA402)</f>
        <v/>
      </c>
      <c r="AC402" s="25">
        <f>IF(E402="","",IFERROR(IF(INDEX(tbl_Onsite[Qwilr Quote],MATCH(E402&amp;"",tbl_Onsite[Job Number],0))="","",INDEX(tbl_Onsite[Qwilr Quote],MATCH(E402&amp;"",tbl_Onsite[Job Number],0))),IFERROR(IF(IF(INDEX(tbl_Production[Current RMS No],MATCH(E402&amp;"",tbl_Production[Job Number],0))="",INDEX(tbl_Production[Qwilr Quote],MATCH(E402&amp;"",tbl_Production[Job Number],0)),INDEX(tbl_Production[Current RMS No],MATCH(E402&amp;"",tbl_Production[Job Number],0)))="","",IF(INDEX(tbl_Production[Current RMS No],MATCH(E402&amp;"",tbl_Production[Job Number],0))="",INDEX(tbl_Production[Qwilr Quote],MATCH(E402&amp;"",tbl_Production[Job Number],0)),INDEX(tbl_Production[Current RMS No],MATCH(E402&amp;"",tbl_Production[Job Number],0)))),IFERROR(IF(INDEX(tbl_Consulting[Qwilr Quote],MATCH(E402&amp;"",tbl_Consulting[Job Number],0))="","",INDEX(tbl_Consulting[Qwilr Quote],MATCH(E402&amp;"",tbl_Consulting[Job Number],0))),""))))</f>
        <v/>
      </c>
      <c r="AD402" s="25">
        <f>IF(AC402="","",IF(AND(LEFT(AC402,4)&lt;&gt;"http",IF(H402="Production",set_RMSBase,set_QwilrBase)=""),"",HYPERLINK(IF(LEFT(AC402,4)="http",AC402,IF(H402="Production",set_RMSBase,set_QwilrBase)&amp;AC402),"Open")))</f>
        <v/>
      </c>
      <c r="AE402" s="27">
        <f>IF(E402="","",IFERROR(INDEX(tbl_Production[Total Expense],MATCH(E402&amp;"",tbl_Production[Job Number],0)),IFERROR(INDEX(tbl_Consulting[Total Expense],MATCH(E402&amp;"",tbl_Consulting[Job Number],0)),0)))</f>
        <v/>
      </c>
      <c r="AF402" s="27">
        <f>IF(E402="","",Z402-N(AE402))</f>
        <v/>
      </c>
      <c r="AG402" s="29">
        <f>IFERROR(AF402/Z402,"")</f>
        <v/>
      </c>
      <c r="AH402" s="25">
        <f>IF(E402="","",IFERROR(IF(INDEX(tbl_Onsite[Notes],MATCH(E402&amp;"",tbl_Onsite[Job Number],0))="","",INDEX(tbl_Onsite[Notes],MATCH(E402&amp;"",tbl_Onsite[Job Number],0))),IFERROR(IF(INDEX(tbl_Production[Notes],MATCH(E402&amp;"",tbl_Production[Job Number],0))="","",INDEX(tbl_Production[Notes],MATCH(E402&amp;"",tbl_Production[Job Number],0))),IFERROR(IF(INDEX(tbl_Consulting[Notes],MATCH(E402&amp;"",tbl_Consulting[Job Number],0))="","",INDEX(tbl_Consulting[Notes],MATCH(E402&amp;"",tbl_Consulting[Job Number],0))),""))))</f>
        <v/>
      </c>
    </row>
    <row r="403" ht="15" customHeight="1">
      <c r="A403" s="22" t="n"/>
      <c r="B403" s="23">
        <f>IF(A403="","",EOMONTH(A403,0))</f>
        <v/>
      </c>
      <c r="C403" s="24" t="n"/>
      <c r="D403" s="24" t="n"/>
      <c r="E403" s="24" t="n"/>
      <c r="F403" s="25">
        <f>IF(E403="","",IF(COUNTIF(lst_Jobs,E403&amp;"")&gt;0,"OK","CHECK"))</f>
        <v/>
      </c>
      <c r="G403" s="24" t="n"/>
      <c r="H403" s="24" t="n"/>
      <c r="I403" s="24" t="n"/>
      <c r="J403" s="24" t="n"/>
      <c r="K403" s="24" t="n"/>
      <c r="L403" s="26" t="n"/>
      <c r="M403" s="27">
        <f>IF(L403="","",IF(K403="GST 10%",ROUND(L403*set_GSTRate,2),0))</f>
        <v/>
      </c>
      <c r="N403" s="27">
        <f>IF(L403="","",L403+M403)</f>
        <v/>
      </c>
      <c r="O403" s="24" t="n"/>
      <c r="P403" s="24" t="n"/>
      <c r="Q403" s="24" t="n"/>
      <c r="R403" s="22" t="n"/>
      <c r="S403" s="22" t="n"/>
      <c r="T403" s="24" t="n"/>
      <c r="U403" s="24" t="n"/>
      <c r="V403" s="25">
        <f>IF(COUNTA(A403,D403,C403,L403)=0,"",IF(A403="","No date - sits outside every month",IF(E403="","No job number",IF(F403="CHECK","Job number is not in the Xero job list",IF(I403="","No cost centre",IF(AND(P403="Y",C403=""),"Marked posted to Xero but has no invoice number",IF(AND(L403&lt;&gt;"",K403=""),"No tax code",IF(AND(L403&lt;&gt;"",O403=""),"No revenue GL code",""))))))))</f>
        <v/>
      </c>
      <c r="W403" s="25">
        <f>IF(E403="","",IF(COUNTIF(tbl_Onsite[Job Number],E403&amp;"")&gt;0,"Onsite",IF(COUNTIF(tbl_Production[Job Number],E403&amp;"")&gt;0,"Production",IF(COUNTIF(tbl_Consulting[Job Number],E403&amp;"")&gt;0,"Consulting","not set up yet"))))</f>
        <v/>
      </c>
      <c r="X403" s="25">
        <f>IF(E403="","",IFERROR(INDEX(lst_JobName,MATCH(E403&amp;"",lst_Jobs,0)),""))</f>
        <v/>
      </c>
      <c r="Y403" s="28">
        <f>IF(E403="","",COUNTIFS(tbl_Finance[Job Number],E403&amp;"",tbl_Finance[Ex GST],"&lt;&gt;"))</f>
        <v/>
      </c>
      <c r="Z403" s="27">
        <f>IF(E403="","",SUMIFS(tbl_Finance[Ex GST],tbl_Finance[Job Number],E403&amp;""))</f>
        <v/>
      </c>
      <c r="AA403" s="27">
        <f>IF(E403="","",SUMIFS(tbl_Finance[Ex GST],tbl_Finance[Job Number],E403&amp;"",tbl_Finance[Xero Invoice No],"&lt;&gt;"))</f>
        <v/>
      </c>
      <c r="AB403" s="27">
        <f>IF(E403="","",Z403-AA403)</f>
        <v/>
      </c>
      <c r="AC403" s="25">
        <f>IF(E403="","",IFERROR(IF(INDEX(tbl_Onsite[Qwilr Quote],MATCH(E403&amp;"",tbl_Onsite[Job Number],0))="","",INDEX(tbl_Onsite[Qwilr Quote],MATCH(E403&amp;"",tbl_Onsite[Job Number],0))),IFERROR(IF(IF(INDEX(tbl_Production[Current RMS No],MATCH(E403&amp;"",tbl_Production[Job Number],0))="",INDEX(tbl_Production[Qwilr Quote],MATCH(E403&amp;"",tbl_Production[Job Number],0)),INDEX(tbl_Production[Current RMS No],MATCH(E403&amp;"",tbl_Production[Job Number],0)))="","",IF(INDEX(tbl_Production[Current RMS No],MATCH(E403&amp;"",tbl_Production[Job Number],0))="",INDEX(tbl_Production[Qwilr Quote],MATCH(E403&amp;"",tbl_Production[Job Number],0)),INDEX(tbl_Production[Current RMS No],MATCH(E403&amp;"",tbl_Production[Job Number],0)))),IFERROR(IF(INDEX(tbl_Consulting[Qwilr Quote],MATCH(E403&amp;"",tbl_Consulting[Job Number],0))="","",INDEX(tbl_Consulting[Qwilr Quote],MATCH(E403&amp;"",tbl_Consulting[Job Number],0))),""))))</f>
        <v/>
      </c>
      <c r="AD403" s="25">
        <f>IF(AC403="","",IF(AND(LEFT(AC403,4)&lt;&gt;"http",IF(H403="Production",set_RMSBase,set_QwilrBase)=""),"",HYPERLINK(IF(LEFT(AC403,4)="http",AC403,IF(H403="Production",set_RMSBase,set_QwilrBase)&amp;AC403),"Open")))</f>
        <v/>
      </c>
      <c r="AE403" s="27">
        <f>IF(E403="","",IFERROR(INDEX(tbl_Production[Total Expense],MATCH(E403&amp;"",tbl_Production[Job Number],0)),IFERROR(INDEX(tbl_Consulting[Total Expense],MATCH(E403&amp;"",tbl_Consulting[Job Number],0)),0)))</f>
        <v/>
      </c>
      <c r="AF403" s="27">
        <f>IF(E403="","",Z403-N(AE403))</f>
        <v/>
      </c>
      <c r="AG403" s="29">
        <f>IFERROR(AF403/Z403,"")</f>
        <v/>
      </c>
      <c r="AH403" s="25">
        <f>IF(E403="","",IFERROR(IF(INDEX(tbl_Onsite[Notes],MATCH(E403&amp;"",tbl_Onsite[Job Number],0))="","",INDEX(tbl_Onsite[Notes],MATCH(E403&amp;"",tbl_Onsite[Job Number],0))),IFERROR(IF(INDEX(tbl_Production[Notes],MATCH(E403&amp;"",tbl_Production[Job Number],0))="","",INDEX(tbl_Production[Notes],MATCH(E403&amp;"",tbl_Production[Job Number],0))),IFERROR(IF(INDEX(tbl_Consulting[Notes],MATCH(E403&amp;"",tbl_Consulting[Job Number],0))="","",INDEX(tbl_Consulting[Notes],MATCH(E403&amp;"",tbl_Consulting[Job Number],0))),""))))</f>
        <v/>
      </c>
    </row>
    <row r="404" ht="15" customHeight="1">
      <c r="A404" s="22" t="n"/>
      <c r="B404" s="23">
        <f>IF(A404="","",EOMONTH(A404,0))</f>
        <v/>
      </c>
      <c r="C404" s="24" t="n"/>
      <c r="D404" s="24" t="n"/>
      <c r="E404" s="24" t="n"/>
      <c r="F404" s="25">
        <f>IF(E404="","",IF(COUNTIF(lst_Jobs,E404&amp;"")&gt;0,"OK","CHECK"))</f>
        <v/>
      </c>
      <c r="G404" s="24" t="n"/>
      <c r="H404" s="24" t="n"/>
      <c r="I404" s="24" t="n"/>
      <c r="J404" s="24" t="n"/>
      <c r="K404" s="24" t="n"/>
      <c r="L404" s="26" t="n"/>
      <c r="M404" s="27">
        <f>IF(L404="","",IF(K404="GST 10%",ROUND(L404*set_GSTRate,2),0))</f>
        <v/>
      </c>
      <c r="N404" s="27">
        <f>IF(L404="","",L404+M404)</f>
        <v/>
      </c>
      <c r="O404" s="24" t="n"/>
      <c r="P404" s="24" t="n"/>
      <c r="Q404" s="24" t="n"/>
      <c r="R404" s="22" t="n"/>
      <c r="S404" s="22" t="n"/>
      <c r="T404" s="24" t="n"/>
      <c r="U404" s="24" t="n"/>
      <c r="V404" s="25">
        <f>IF(COUNTA(A404,D404,C404,L404)=0,"",IF(A404="","No date - sits outside every month",IF(E404="","No job number",IF(F404="CHECK","Job number is not in the Xero job list",IF(I404="","No cost centre",IF(AND(P404="Y",C404=""),"Marked posted to Xero but has no invoice number",IF(AND(L404&lt;&gt;"",K404=""),"No tax code",IF(AND(L404&lt;&gt;"",O404=""),"No revenue GL code",""))))))))</f>
        <v/>
      </c>
      <c r="W404" s="25">
        <f>IF(E404="","",IF(COUNTIF(tbl_Onsite[Job Number],E404&amp;"")&gt;0,"Onsite",IF(COUNTIF(tbl_Production[Job Number],E404&amp;"")&gt;0,"Production",IF(COUNTIF(tbl_Consulting[Job Number],E404&amp;"")&gt;0,"Consulting","not set up yet"))))</f>
        <v/>
      </c>
      <c r="X404" s="25">
        <f>IF(E404="","",IFERROR(INDEX(lst_JobName,MATCH(E404&amp;"",lst_Jobs,0)),""))</f>
        <v/>
      </c>
      <c r="Y404" s="28">
        <f>IF(E404="","",COUNTIFS(tbl_Finance[Job Number],E404&amp;"",tbl_Finance[Ex GST],"&lt;&gt;"))</f>
        <v/>
      </c>
      <c r="Z404" s="27">
        <f>IF(E404="","",SUMIFS(tbl_Finance[Ex GST],tbl_Finance[Job Number],E404&amp;""))</f>
        <v/>
      </c>
      <c r="AA404" s="27">
        <f>IF(E404="","",SUMIFS(tbl_Finance[Ex GST],tbl_Finance[Job Number],E404&amp;"",tbl_Finance[Xero Invoice No],"&lt;&gt;"))</f>
        <v/>
      </c>
      <c r="AB404" s="27">
        <f>IF(E404="","",Z404-AA404)</f>
        <v/>
      </c>
      <c r="AC404" s="25">
        <f>IF(E404="","",IFERROR(IF(INDEX(tbl_Onsite[Qwilr Quote],MATCH(E404&amp;"",tbl_Onsite[Job Number],0))="","",INDEX(tbl_Onsite[Qwilr Quote],MATCH(E404&amp;"",tbl_Onsite[Job Number],0))),IFERROR(IF(IF(INDEX(tbl_Production[Current RMS No],MATCH(E404&amp;"",tbl_Production[Job Number],0))="",INDEX(tbl_Production[Qwilr Quote],MATCH(E404&amp;"",tbl_Production[Job Number],0)),INDEX(tbl_Production[Current RMS No],MATCH(E404&amp;"",tbl_Production[Job Number],0)))="","",IF(INDEX(tbl_Production[Current RMS No],MATCH(E404&amp;"",tbl_Production[Job Number],0))="",INDEX(tbl_Production[Qwilr Quote],MATCH(E404&amp;"",tbl_Production[Job Number],0)),INDEX(tbl_Production[Current RMS No],MATCH(E404&amp;"",tbl_Production[Job Number],0)))),IFERROR(IF(INDEX(tbl_Consulting[Qwilr Quote],MATCH(E404&amp;"",tbl_Consulting[Job Number],0))="","",INDEX(tbl_Consulting[Qwilr Quote],MATCH(E404&amp;"",tbl_Consulting[Job Number],0))),""))))</f>
        <v/>
      </c>
      <c r="AD404" s="25">
        <f>IF(AC404="","",IF(AND(LEFT(AC404,4)&lt;&gt;"http",IF(H404="Production",set_RMSBase,set_QwilrBase)=""),"",HYPERLINK(IF(LEFT(AC404,4)="http",AC404,IF(H404="Production",set_RMSBase,set_QwilrBase)&amp;AC404),"Open")))</f>
        <v/>
      </c>
      <c r="AE404" s="27">
        <f>IF(E404="","",IFERROR(INDEX(tbl_Production[Total Expense],MATCH(E404&amp;"",tbl_Production[Job Number],0)),IFERROR(INDEX(tbl_Consulting[Total Expense],MATCH(E404&amp;"",tbl_Consulting[Job Number],0)),0)))</f>
        <v/>
      </c>
      <c r="AF404" s="27">
        <f>IF(E404="","",Z404-N(AE404))</f>
        <v/>
      </c>
      <c r="AG404" s="29">
        <f>IFERROR(AF404/Z404,"")</f>
        <v/>
      </c>
      <c r="AH404" s="25">
        <f>IF(E404="","",IFERROR(IF(INDEX(tbl_Onsite[Notes],MATCH(E404&amp;"",tbl_Onsite[Job Number],0))="","",INDEX(tbl_Onsite[Notes],MATCH(E404&amp;"",tbl_Onsite[Job Number],0))),IFERROR(IF(INDEX(tbl_Production[Notes],MATCH(E404&amp;"",tbl_Production[Job Number],0))="","",INDEX(tbl_Production[Notes],MATCH(E404&amp;"",tbl_Production[Job Number],0))),IFERROR(IF(INDEX(tbl_Consulting[Notes],MATCH(E404&amp;"",tbl_Consulting[Job Number],0))="","",INDEX(tbl_Consulting[Notes],MATCH(E404&amp;"",tbl_Consulting[Job Number],0))),""))))</f>
        <v/>
      </c>
    </row>
  </sheetData>
  <sheetProtection selectLockedCells="0" selectUnlockedCells="0" sheet="1" objects="0" insertRows="0" insertHyperlinks="1" autoFilter="0" scenarios="0" formatColumns="0" deleteColumns="1" insertColumns="1" pivotTables="1" deleteRows="1" formatCells="0" formatRows="0" sort="0" password="DE92"/>
  <mergeCells count="1">
    <mergeCell ref="A3:L3"/>
  </mergeCells>
  <conditionalFormatting sqref="F5:F5000">
    <cfRule type="expression" priority="1" dxfId="0" stopIfTrue="0">
      <formula>F5="CHECK"</formula>
    </cfRule>
  </conditionalFormatting>
  <conditionalFormatting sqref="P5:P5000">
    <cfRule type="expression" priority="2" dxfId="1" stopIfTrue="0">
      <formula>P5="N"</formula>
    </cfRule>
  </conditionalFormatting>
  <conditionalFormatting sqref="V5:V5000">
    <cfRule type="expression" priority="3" dxfId="1" stopIfTrue="0">
      <formula>V5&lt;&gt;""</formula>
    </cfRule>
  </conditionalFormatting>
  <dataValidations count="8">
    <dataValidation sqref="H5:H20000" showDropDown="0" showInputMessage="0" showErrorMessage="1" allowBlank="1" errorTitle="Not on the list" error="&quot;Team&quot; is not on the list in the Lists sheet. Add it there if it is genuinely new." type="list" errorStyle="warning">
      <formula1>lst_Team</formula1>
    </dataValidation>
    <dataValidation sqref="I5:I20000" showDropDown="0" showInputMessage="0" showErrorMessage="1" allowBlank="1" errorTitle="Not on the list" error="&quot;Cost Centre&quot; is not on the list in the Lists sheet. Add it there if it is genuinely new." type="list" errorStyle="warning">
      <formula1>lst_CostCentre</formula1>
    </dataValidation>
    <dataValidation sqref="J5:J20000" showDropDown="0" showInputMessage="0" showErrorMessage="1" allowBlank="1" errorTitle="Not on the list" error="&quot;Invoice Type&quot; is not on the list in the Lists sheet. Add it there if it is genuinely new." type="list" errorStyle="warning">
      <formula1>lst_InvoiceType</formula1>
    </dataValidation>
    <dataValidation sqref="K5:K20000" showDropDown="0" showInputMessage="0" showErrorMessage="1" allowBlank="1" errorTitle="Not on the list" error="&quot;Tax Code&quot; is not on the list in the Lists sheet. Add it there if it is genuinely new." type="list" errorStyle="warning">
      <formula1>lst_TaxCode</formula1>
    </dataValidation>
    <dataValidation sqref="O5:O20000" showDropDown="0" showInputMessage="0" showErrorMessage="1" allowBlank="1" errorTitle="Not on the list" error="&quot;Revenue GL&quot; is not on the list in the Lists sheet. Add it there if it is genuinely new." type="list" errorStyle="warning">
      <formula1>lst_RevGL</formula1>
    </dataValidation>
    <dataValidation sqref="P5:P20000" showDropDown="0" showInputMessage="0" showErrorMessage="1" allowBlank="1" errorTitle="Not on the list" error="&quot;Posted to Xero&quot; is not on the list in the Lists sheet. Add it there if it is genuinely new." type="list" errorStyle="warning">
      <formula1>lst_YN</formula1>
    </dataValidation>
    <dataValidation sqref="Q5:Q20000" showDropDown="0" showInputMessage="0" showErrorMessage="1" allowBlank="1" errorTitle="Not on the list" error="&quot;To WIP&quot; is not on the list in the Lists sheet. Add it there if it is genuinely new." type="list" errorStyle="warning">
      <formula1>lst_YN</formula1>
    </dataValidation>
    <dataValidation sqref="T5:T20000" showDropDown="0" showInputMessage="0" showErrorMessage="1" allowBlank="1" errorTitle="Not on the list" error="&quot;Status&quot; is not on the list in the Lists sheet. Add it there if it is genuinely new." type="list" errorStyle="warning">
      <formula1>lst_Status</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2E6B4F"/>
    <outlinePr summaryBelow="1" summaryRight="1"/>
    <pageSetUpPr/>
  </sheetPr>
  <dimension ref="A1:I102"/>
  <sheetViews>
    <sheetView showGridLines="0" tabSelected="0" zoomScale="90" workbookViewId="0">
      <pane ySplit="4" topLeftCell="A5" activePane="bottomLeft" state="frozen"/>
      <selection pane="bottomLeft" activeCell="A1" sqref="A1"/>
    </sheetView>
  </sheetViews>
  <sheetFormatPr baseColWidth="8" defaultRowHeight="15"/>
  <cols>
    <col width="22" customWidth="1" min="1" max="1"/>
    <col width="16" customWidth="1" min="2" max="2"/>
    <col width="14" customWidth="1" min="3" max="3"/>
    <col width="15" customWidth="1" min="4" max="4"/>
    <col width="16" customWidth="1" min="5" max="5"/>
    <col width="18" customWidth="1" min="6" max="6"/>
    <col width="17" customWidth="1" min="7" max="7"/>
    <col width="15" customWidth="1" min="8" max="8"/>
    <col width="20" customWidth="1" min="9" max="9"/>
  </cols>
  <sheetData>
    <row r="1" ht="24" customHeight="1">
      <c r="A1" s="18" t="inlineStr">
        <is>
          <t>Month-End Revenue Close</t>
        </is>
      </c>
    </row>
    <row r="2" ht="16" customHeight="1">
      <c r="A2" s="2" t="inlineStr">
        <is>
          <t>Pick the month, type the Xero figures into the yellow cells, and work down. Everything white or grey calculates itself.</t>
        </is>
      </c>
    </row>
    <row r="3" ht="6" customHeight="1"/>
    <row r="4">
      <c r="A4" s="30" t="inlineStr">
        <is>
          <t>Month being closed</t>
        </is>
      </c>
      <c r="C4" s="31" t="n">
        <v>46265</v>
      </c>
      <c r="D4" s="32" t="inlineStr">
        <is>
          <t>&lt;- month end date</t>
        </is>
      </c>
    </row>
    <row r="6" ht="20" customHeight="1">
      <c r="A6" s="3" t="inlineStr">
        <is>
          <t>1.  REVENUE BY COST CENTRE  -  tracker vs Xero</t>
        </is>
      </c>
    </row>
    <row r="7" ht="30" customHeight="1">
      <c r="A7" s="33" t="inlineStr">
        <is>
          <t>Cost Centre</t>
        </is>
      </c>
      <c r="B7" s="33" t="inlineStr">
        <is>
          <t>Invoiced Ex GST</t>
        </is>
      </c>
      <c r="C7" s="33" t="inlineStr">
        <is>
          <t>GST</t>
        </is>
      </c>
      <c r="D7" s="33" t="inlineStr">
        <is>
          <t>Inc GST</t>
        </is>
      </c>
      <c r="E7" s="33" t="inlineStr">
        <is>
          <t>WIP Movement</t>
        </is>
      </c>
      <c r="F7" s="33" t="inlineStr">
        <is>
          <t>Revenue Recognised</t>
        </is>
      </c>
      <c r="G7" s="33" t="inlineStr">
        <is>
          <t>Xero Revenue (type in)</t>
        </is>
      </c>
      <c r="H7" s="33" t="inlineStr">
        <is>
          <t>Variance</t>
        </is>
      </c>
      <c r="I7" s="33" t="inlineStr">
        <is>
          <t>Check</t>
        </is>
      </c>
    </row>
    <row r="8">
      <c r="A8" s="34" t="inlineStr">
        <is>
          <t>ONSITE</t>
        </is>
      </c>
      <c r="B8" s="35">
        <f>SUMIFS(tbl_Finance[Ex GST],tbl_Finance[Month],$C$4,tbl_Finance[Cost Centre],$A8)</f>
        <v/>
      </c>
      <c r="C8" s="35">
        <f>SUMIFS(tbl_Finance[GST],tbl_Finance[Month],$C$4,tbl_Finance[Cost Centre],$A8)</f>
        <v/>
      </c>
      <c r="D8" s="36">
        <f>B8+C8</f>
        <v/>
      </c>
      <c r="E8" s="35">
        <f>SUMIFS(tbl_WIP[Amount],tbl_WIP[Month],$C$4,tbl_WIP[Cost Centre],$A8,tbl_WIP[Revenue or Cost],"&lt;&gt;Cost",tbl_WIP[Defer Start],"")+SUMIFS('Deferred Revenue'!$Q$6:$Q$607,'Deferred Revenue'!$F$6:$F$607,$A8,'Deferred Revenue'!$T$6:$T$607,"&lt;&gt;Cost")</f>
        <v/>
      </c>
      <c r="F8" s="36">
        <f>B8+E8</f>
        <v/>
      </c>
      <c r="G8" s="37" t="n"/>
      <c r="H8" s="36">
        <f>IF($G8="","",$F8-$G8)</f>
        <v/>
      </c>
      <c r="I8" s="38">
        <f>IF($G8="","Enter Xero figure",IF(ROUND($H8,2)=0,"Reconciled","CHECK - "&amp;TEXT($H8,"$#,##0.00")))</f>
        <v/>
      </c>
    </row>
    <row r="9">
      <c r="A9" s="34" t="inlineStr">
        <is>
          <t>PRODUCTION</t>
        </is>
      </c>
      <c r="B9" s="35">
        <f>SUMIFS(tbl_Finance[Ex GST],tbl_Finance[Month],$C$4,tbl_Finance[Cost Centre],$A9)</f>
        <v/>
      </c>
      <c r="C9" s="35">
        <f>SUMIFS(tbl_Finance[GST],tbl_Finance[Month],$C$4,tbl_Finance[Cost Centre],$A9)</f>
        <v/>
      </c>
      <c r="D9" s="36">
        <f>B9+C9</f>
        <v/>
      </c>
      <c r="E9" s="35">
        <f>SUMIFS(tbl_WIP[Amount],tbl_WIP[Month],$C$4,tbl_WIP[Cost Centre],$A9,tbl_WIP[Revenue or Cost],"&lt;&gt;Cost",tbl_WIP[Defer Start],"")+SUMIFS('Deferred Revenue'!$Q$6:$Q$607,'Deferred Revenue'!$F$6:$F$607,$A9,'Deferred Revenue'!$T$6:$T$607,"&lt;&gt;Cost")</f>
        <v/>
      </c>
      <c r="F9" s="36">
        <f>B9+E9</f>
        <v/>
      </c>
      <c r="G9" s="37" t="n"/>
      <c r="H9" s="36">
        <f>IF($G9="","",$F9-$G9)</f>
        <v/>
      </c>
      <c r="I9" s="38">
        <f>IF($G9="","Enter Xero figure",IF(ROUND($H9,2)=0,"Reconciled","CHECK - "&amp;TEXT($H9,"$#,##0.00")))</f>
        <v/>
      </c>
    </row>
    <row r="10">
      <c r="A10" s="34" t="inlineStr">
        <is>
          <t>VIDEO</t>
        </is>
      </c>
      <c r="B10" s="35">
        <f>SUMIFS(tbl_Finance[Ex GST],tbl_Finance[Month],$C$4,tbl_Finance[Cost Centre],$A10)</f>
        <v/>
      </c>
      <c r="C10" s="35">
        <f>SUMIFS(tbl_Finance[GST],tbl_Finance[Month],$C$4,tbl_Finance[Cost Centre],$A10)</f>
        <v/>
      </c>
      <c r="D10" s="36">
        <f>B10+C10</f>
        <v/>
      </c>
      <c r="E10" s="35">
        <f>SUMIFS(tbl_WIP[Amount],tbl_WIP[Month],$C$4,tbl_WIP[Cost Centre],$A10,tbl_WIP[Revenue or Cost],"&lt;&gt;Cost",tbl_WIP[Defer Start],"")+SUMIFS('Deferred Revenue'!$Q$6:$Q$607,'Deferred Revenue'!$F$6:$F$607,$A10,'Deferred Revenue'!$T$6:$T$607,"&lt;&gt;Cost")</f>
        <v/>
      </c>
      <c r="F10" s="36">
        <f>B10+E10</f>
        <v/>
      </c>
      <c r="G10" s="37" t="n"/>
      <c r="H10" s="36">
        <f>IF($G10="","",$F10-$G10)</f>
        <v/>
      </c>
      <c r="I10" s="38">
        <f>IF($G10="","Enter Xero figure",IF(ROUND($H10,2)=0,"Reconciled","CHECK - "&amp;TEXT($H10,"$#,##0.00")))</f>
        <v/>
      </c>
    </row>
    <row r="11">
      <c r="A11" s="34" t="inlineStr">
        <is>
          <t>INTEGRATION</t>
        </is>
      </c>
      <c r="B11" s="35">
        <f>SUMIFS(tbl_Finance[Ex GST],tbl_Finance[Month],$C$4,tbl_Finance[Cost Centre],$A11)</f>
        <v/>
      </c>
      <c r="C11" s="35">
        <f>SUMIFS(tbl_Finance[GST],tbl_Finance[Month],$C$4,tbl_Finance[Cost Centre],$A11)</f>
        <v/>
      </c>
      <c r="D11" s="36">
        <f>B11+C11</f>
        <v/>
      </c>
      <c r="E11" s="35">
        <f>SUMIFS(tbl_WIP[Amount],tbl_WIP[Month],$C$4,tbl_WIP[Cost Centre],$A11,tbl_WIP[Revenue or Cost],"&lt;&gt;Cost",tbl_WIP[Defer Start],"")+SUMIFS('Deferred Revenue'!$Q$6:$Q$607,'Deferred Revenue'!$F$6:$F$607,$A11,'Deferred Revenue'!$T$6:$T$607,"&lt;&gt;Cost")</f>
        <v/>
      </c>
      <c r="F11" s="36">
        <f>B11+E11</f>
        <v/>
      </c>
      <c r="G11" s="37" t="n"/>
      <c r="H11" s="36">
        <f>IF($G11="","",$F11-$G11)</f>
        <v/>
      </c>
      <c r="I11" s="38">
        <f>IF($G11="","Enter Xero figure",IF(ROUND($H11,2)=0,"Reconciled","CHECK - "&amp;TEXT($H11,"$#,##0.00")))</f>
        <v/>
      </c>
    </row>
    <row r="12">
      <c r="A12" s="34" t="inlineStr">
        <is>
          <t>CONSULTING</t>
        </is>
      </c>
      <c r="B12" s="35">
        <f>SUMIFS(tbl_Finance[Ex GST],tbl_Finance[Month],$C$4,tbl_Finance[Cost Centre],$A12)</f>
        <v/>
      </c>
      <c r="C12" s="35">
        <f>SUMIFS(tbl_Finance[GST],tbl_Finance[Month],$C$4,tbl_Finance[Cost Centre],$A12)</f>
        <v/>
      </c>
      <c r="D12" s="36">
        <f>B12+C12</f>
        <v/>
      </c>
      <c r="E12" s="35">
        <f>SUMIFS(tbl_WIP[Amount],tbl_WIP[Month],$C$4,tbl_WIP[Cost Centre],$A12,tbl_WIP[Revenue or Cost],"&lt;&gt;Cost",tbl_WIP[Defer Start],"")+SUMIFS('Deferred Revenue'!$Q$6:$Q$607,'Deferred Revenue'!$F$6:$F$607,$A12,'Deferred Revenue'!$T$6:$T$607,"&lt;&gt;Cost")</f>
        <v/>
      </c>
      <c r="F12" s="36">
        <f>B12+E12</f>
        <v/>
      </c>
      <c r="G12" s="37" t="n"/>
      <c r="H12" s="36">
        <f>IF($G12="","",$F12-$G12)</f>
        <v/>
      </c>
      <c r="I12" s="38">
        <f>IF($G12="","Enter Xero figure",IF(ROUND($H12,2)=0,"Reconciled","CHECK - "&amp;TEXT($H12,"$#,##0.00")))</f>
        <v/>
      </c>
    </row>
    <row r="13">
      <c r="A13" s="34" t="inlineStr">
        <is>
          <t>CTS</t>
        </is>
      </c>
      <c r="B13" s="35">
        <f>SUMIFS(tbl_Finance[Ex GST],tbl_Finance[Month],$C$4,tbl_Finance[Cost Centre],$A13)</f>
        <v/>
      </c>
      <c r="C13" s="35">
        <f>SUMIFS(tbl_Finance[GST],tbl_Finance[Month],$C$4,tbl_Finance[Cost Centre],$A13)</f>
        <v/>
      </c>
      <c r="D13" s="36">
        <f>B13+C13</f>
        <v/>
      </c>
      <c r="E13" s="35">
        <f>SUMIFS(tbl_WIP[Amount],tbl_WIP[Month],$C$4,tbl_WIP[Cost Centre],$A13,tbl_WIP[Revenue or Cost],"&lt;&gt;Cost",tbl_WIP[Defer Start],"")+SUMIFS('Deferred Revenue'!$Q$6:$Q$607,'Deferred Revenue'!$F$6:$F$607,$A13,'Deferred Revenue'!$T$6:$T$607,"&lt;&gt;Cost")</f>
        <v/>
      </c>
      <c r="F13" s="36">
        <f>B13+E13</f>
        <v/>
      </c>
      <c r="G13" s="37" t="n"/>
      <c r="H13" s="36">
        <f>IF($G13="","",$F13-$G13)</f>
        <v/>
      </c>
      <c r="I13" s="38">
        <f>IF($G13="","Enter Xero figure",IF(ROUND($H13,2)=0,"Reconciled","CHECK - "&amp;TEXT($H13,"$#,##0.00")))</f>
        <v/>
      </c>
    </row>
    <row r="14">
      <c r="A14" s="39" t="inlineStr">
        <is>
          <t>TOTAL</t>
        </is>
      </c>
      <c r="B14" s="40">
        <f>SUM(B8:B13)</f>
        <v/>
      </c>
      <c r="C14" s="40">
        <f>SUM(C8:C13)</f>
        <v/>
      </c>
      <c r="D14" s="40">
        <f>SUM(D8:D13)</f>
        <v/>
      </c>
      <c r="E14" s="40">
        <f>SUM(E8:E13)</f>
        <v/>
      </c>
      <c r="F14" s="40">
        <f>SUM(F8:F13)</f>
        <v/>
      </c>
      <c r="G14" s="40">
        <f>SUM(G8:G13)</f>
        <v/>
      </c>
      <c r="H14" s="40">
        <f>SUM(H8:H13)</f>
        <v/>
      </c>
      <c r="I14" s="39">
        <f>IF(COUNT($G8:$G13)=0,"Enter Xero figures",IF(ROUND($H14,2)=0,"Reconciled","CHECK - "&amp;TEXT($H14,"$#,##0.00")))</f>
        <v/>
      </c>
    </row>
    <row r="15">
      <c r="A15" s="32" t="inlineStr">
        <is>
          <t>Every line on the Finance sheet carries one cost centre, so these add to the month's invoicing exactly.</t>
        </is>
      </c>
    </row>
    <row r="17" ht="20" customHeight="1">
      <c r="A17" s="3" t="inlineStr">
        <is>
          <t>2.  WORK IN PROGRESS  -  GL 11300</t>
        </is>
      </c>
    </row>
    <row r="18" ht="30" customHeight="1">
      <c r="A18" s="33" t="inlineStr"/>
      <c r="B18" s="33" t="inlineStr">
        <is>
          <t>Total</t>
        </is>
      </c>
      <c r="C18" s="33" t="inlineStr">
        <is>
          <t>Deferred / accrued revenue</t>
        </is>
      </c>
      <c r="D18" s="33" t="inlineStr">
        <is>
          <t>Deferred / accrued cost</t>
        </is>
      </c>
      <c r="E18" s="33" t="inlineStr"/>
      <c r="F18" s="33" t="inlineStr"/>
      <c r="G18" s="33" t="inlineStr"/>
      <c r="H18" s="33" t="inlineStr"/>
      <c r="I18" s="33" t="inlineStr">
        <is>
          <t>Check</t>
        </is>
      </c>
    </row>
    <row r="19">
      <c r="A19" s="41" t="inlineStr">
        <is>
          <t>Opening WIP balance (all months before this one)</t>
        </is>
      </c>
      <c r="B19" s="42">
        <f>C19+D19</f>
        <v/>
      </c>
      <c r="C19" s="43">
        <f>SUMIFS(tbl_WIP[Amount],tbl_WIP[Month],"&lt;&gt;",tbl_WIP[Month],"&lt;"&amp;$C$4,tbl_WIP[Revenue or Cost],"&lt;&gt;Cost",tbl_WIP[Defer Start],"")+SUMIFS('Deferred Revenue'!$P$6:$P$607,'Deferred Revenue'!$T$6:$T$607,"&lt;&gt;Cost")</f>
        <v/>
      </c>
      <c r="D19" s="43">
        <f>SUMIFS(tbl_WIP[Amount],tbl_WIP[Month],"&lt;&gt;",tbl_WIP[Month],"&lt;"&amp;$C$4,tbl_WIP[Revenue or Cost],"Cost",tbl_WIP[Defer Start],"")+SUMIFS('Deferred Revenue'!$P$6:$P$607,'Deferred Revenue'!$T$6:$T$607,"Cost")</f>
        <v/>
      </c>
      <c r="I19" s="44" t="n"/>
    </row>
    <row r="20">
      <c r="A20" s="41" t="inlineStr">
        <is>
          <t>Movement this month</t>
        </is>
      </c>
      <c r="B20" s="42">
        <f>C20+D20</f>
        <v/>
      </c>
      <c r="C20" s="43">
        <f>SUMIFS(tbl_WIP[Amount],tbl_WIP[Month],$C$4,tbl_WIP[Revenue or Cost],"&lt;&gt;Cost",tbl_WIP[Defer Start],"")+SUMIFS('Deferred Revenue'!$Q$6:$Q$607,'Deferred Revenue'!$T$6:$T$607,"&lt;&gt;Cost")</f>
        <v/>
      </c>
      <c r="D20" s="43">
        <f>SUMIFS(tbl_WIP[Amount],tbl_WIP[Month],$C$4,tbl_WIP[Revenue or Cost],"Cost",tbl_WIP[Defer Start],"")+SUMIFS('Deferred Revenue'!$Q$6:$Q$607,'Deferred Revenue'!$T$6:$T$607,"Cost")</f>
        <v/>
      </c>
      <c r="I20" s="44" t="n"/>
    </row>
    <row r="21">
      <c r="A21" s="45" t="inlineStr">
        <is>
          <t>Closing WIP balance per this tracker</t>
        </is>
      </c>
      <c r="B21" s="46">
        <f>B19+B20</f>
        <v/>
      </c>
      <c r="C21" s="46">
        <f>C19+C20</f>
        <v/>
      </c>
      <c r="D21" s="46">
        <f>D19+D20</f>
        <v/>
      </c>
      <c r="I21" s="44" t="n"/>
    </row>
    <row r="22">
      <c r="A22" s="41" t="inlineStr">
        <is>
          <t>Closing balance per the WIP Schedule file</t>
        </is>
      </c>
      <c r="B22" s="37" t="n"/>
      <c r="I22" s="44" t="n"/>
    </row>
    <row r="23">
      <c r="A23" s="45" t="inlineStr">
        <is>
          <t>Variance - tracker vs WIP Schedule</t>
        </is>
      </c>
      <c r="B23" s="42">
        <f>IF(B22="","",B21-B22)</f>
        <v/>
      </c>
      <c r="I23" s="47">
        <f>IF(B22="","Enter WIP Schedule figure",IF(ROUND(B23,2)=0,"Reconciled","CHECK"))</f>
        <v/>
      </c>
    </row>
    <row r="24">
      <c r="A24" s="41" t="inlineStr">
        <is>
          <t>Closing balance per Xero GL 11300</t>
        </is>
      </c>
      <c r="B24" s="37" t="n"/>
      <c r="I24" s="44" t="n"/>
    </row>
    <row r="25">
      <c r="A25" s="45" t="inlineStr">
        <is>
          <t>Variance - tracker vs Xero</t>
        </is>
      </c>
      <c r="B25" s="42">
        <f>IF(B24="","",B21-B24)</f>
        <v/>
      </c>
      <c r="I25" s="47">
        <f>IF(B24="","Enter Xero 11300 balance",IF(ROUND(B25,2)=0,"Reconciled","CHECK"))</f>
        <v/>
      </c>
    </row>
    <row r="26">
      <c r="A26" s="32" t="inlineStr">
        <is>
          <t>GL 11300 nets deferred revenue against deferred cost, so Xero shows one figure and cannot split it. The Revenue or Cost column on WIP Movements splits it here. Only the Total column should be compared to Xero.</t>
        </is>
      </c>
    </row>
    <row r="28" ht="20" customHeight="1">
      <c r="A28" s="3" t="inlineStr">
        <is>
          <t>3.  DATA CHECKS  -  every count should be zero before you close</t>
        </is>
      </c>
    </row>
    <row r="29" ht="30" customHeight="1">
      <c r="A29" s="33" t="inlineStr">
        <is>
          <t>Check</t>
        </is>
      </c>
      <c r="B29" s="33" t="inlineStr">
        <is>
          <t>Count</t>
        </is>
      </c>
      <c r="C29" s="33" t="inlineStr"/>
      <c r="D29" s="33" t="inlineStr"/>
      <c r="E29" s="33" t="inlineStr"/>
      <c r="F29" s="33" t="inlineStr"/>
      <c r="G29" s="33" t="inlineStr"/>
      <c r="H29" s="33" t="inlineStr"/>
      <c r="I29" s="33" t="inlineStr">
        <is>
          <t>Status</t>
        </is>
      </c>
    </row>
    <row r="30">
      <c r="A30" s="41" t="inlineStr">
        <is>
          <t>Invoice lines with an amount but no date</t>
        </is>
      </c>
      <c r="B30" s="48">
        <f>SUMPRODUCT(--(tbl_Finance[Date]=""),--(tbl_Finance[Ex GST]&lt;&gt;""))</f>
        <v/>
      </c>
      <c r="I30" s="47">
        <f>IF(B30=0,"Clear","REVIEW")</f>
        <v/>
      </c>
    </row>
    <row r="31">
      <c r="A31" s="41" t="inlineStr">
        <is>
          <t>Invoice lines with an amount but no job number</t>
        </is>
      </c>
      <c r="B31" s="48">
        <f>COUNTIFS(tbl_Finance[Ex GST],"&lt;&gt;",tbl_Finance[Job Number],"")</f>
        <v/>
      </c>
      <c r="I31" s="47">
        <f>IF(B31=0,"Clear","REVIEW")</f>
        <v/>
      </c>
    </row>
    <row r="32">
      <c r="A32" s="41" t="inlineStr">
        <is>
          <t>Job numbers not found in the Xero job list</t>
        </is>
      </c>
      <c r="B32" s="48">
        <f>COUNTIF(tbl_Finance[Job in Xero?],"CHECK")</f>
        <v/>
      </c>
      <c r="I32" s="47">
        <f>IF(B32=0,"Clear","REVIEW")</f>
        <v/>
      </c>
    </row>
    <row r="33">
      <c r="A33" s="41" t="inlineStr">
        <is>
          <t>Marked posted to Xero but no invoice number</t>
        </is>
      </c>
      <c r="B33" s="48">
        <f>COUNTIFS(tbl_Finance[Posted to Xero],"Y",tbl_Finance[Xero Invoice No],"")</f>
        <v/>
      </c>
      <c r="I33" s="47">
        <f>IF(B33=0,"Clear","REVIEW")</f>
        <v/>
      </c>
    </row>
    <row r="34">
      <c r="A34" s="41" t="inlineStr">
        <is>
          <t>Invoice lines with an amount but no cost centre</t>
        </is>
      </c>
      <c r="B34" s="48">
        <f>COUNTIFS(tbl_Finance[Ex GST],"&lt;&gt;",tbl_Finance[Cost Centre],"")</f>
        <v/>
      </c>
      <c r="I34" s="47">
        <f>IF(B34=0,"Clear","REVIEW")</f>
        <v/>
      </c>
    </row>
    <row r="35">
      <c r="A35" s="41" t="inlineStr">
        <is>
          <t>Invoice lines with an amount but no tax code</t>
        </is>
      </c>
      <c r="B35" s="48">
        <f>COUNTIFS(tbl_Finance[Ex GST],"&lt;&gt;",tbl_Finance[Tax Code],"")</f>
        <v/>
      </c>
      <c r="I35" s="47">
        <f>IF(B35=0,"Clear","REVIEW")</f>
        <v/>
      </c>
    </row>
    <row r="36">
      <c r="A36" s="41" t="inlineStr">
        <is>
          <t>Invoice lines with an amount but no revenue GL code</t>
        </is>
      </c>
      <c r="B36" s="48">
        <f>COUNTIFS(tbl_Finance[Ex GST],"&lt;&gt;",tbl_Finance[Revenue GL],"")</f>
        <v/>
      </c>
      <c r="I36" s="47">
        <f>IF(B36=0,"Clear","REVIEW")</f>
        <v/>
      </c>
    </row>
    <row r="37">
      <c r="A37" s="41" t="inlineStr">
        <is>
          <t>Anything flagged in the Issue column</t>
        </is>
      </c>
      <c r="B37" s="48">
        <f>COUNTIF(tbl_Finance[Issue],"?*")</f>
        <v/>
      </c>
      <c r="I37" s="47">
        <f>IF(B37=0,"Clear","REVIEW")</f>
        <v/>
      </c>
    </row>
    <row r="38">
      <c r="A38" s="41" t="inlineStr">
        <is>
          <t>Flagged "To WIP = Y" but no matching WIP movement</t>
        </is>
      </c>
      <c r="B38" s="48">
        <f>SUMPRODUCT(--(tbl_Finance[To WIP]="Y"),--(tbl_Finance[Xero Invoice No]&lt;&gt;""),--(COUNTIF(tbl_WIP[Xero Invoice No],tbl_Finance[Xero Invoice No]&amp;"")=0))</f>
        <v/>
      </c>
      <c r="I38" s="47">
        <f>IF(B38=0,"Clear","REVIEW")</f>
        <v/>
      </c>
    </row>
    <row r="39">
      <c r="A39" s="41" t="inlineStr">
        <is>
          <t>WIP movements with an amount but no month or no job</t>
        </is>
      </c>
      <c r="B39" s="48">
        <f>COUNTIFS(tbl_WIP[Month],"",tbl_WIP[Amount],"&lt;&gt;")+COUNTIFS(tbl_WIP[Job Number],"",tbl_WIP[Amount],"&lt;&gt;")</f>
        <v/>
      </c>
      <c r="I39" s="47">
        <f>IF(B39=0,"Clear","REVIEW")</f>
        <v/>
      </c>
    </row>
    <row r="40">
      <c r="A40" s="41" t="inlineStr">
        <is>
          <t>WIP job numbers not found in the Xero job list</t>
        </is>
      </c>
      <c r="B40" s="48">
        <f>COUNTIF(tbl_WIP[Job in Xero?],"CHECK")</f>
        <v/>
      </c>
      <c r="I40" s="47">
        <f>IF(B40=0,"Clear","REVIEW")</f>
        <v/>
      </c>
    </row>
    <row r="41">
      <c r="A41" s="41" t="inlineStr">
        <is>
          <t>Consulting revenue split does not equal the job revenue</t>
        </is>
      </c>
      <c r="B41" s="48">
        <f>COUNTIF(tbl_Consulting[Revenue Split Check],"MISMATCH")</f>
        <v/>
      </c>
      <c r="I41" s="47">
        <f>IF(B41=0,"Clear","REVIEW")</f>
        <v/>
      </c>
    </row>
    <row r="42">
      <c r="A42" s="41" t="inlineStr">
        <is>
          <t>Invoiced jobs not set up on any department sheet</t>
        </is>
      </c>
      <c r="B42" s="48">
        <f>COUNTIF(tbl_Finance[On Dept Sheet],"not set up yet")</f>
        <v/>
      </c>
      <c r="I42" s="47">
        <f>IF(B42=0,"Clear","REVIEW")</f>
        <v/>
      </c>
    </row>
    <row r="43">
      <c r="A43" s="41" t="inlineStr">
        <is>
          <t>Job numbers sitting on more than one department sheet</t>
        </is>
      </c>
      <c r="B43" s="48">
        <f>SUMPRODUCT(--(tbl_Onsite[Job Number]&lt;&gt;""),--(COUNTIF(tbl_Production[Job Number],tbl_Onsite[Job Number]&amp;"")&gt;0))+SUMPRODUCT(--(tbl_Onsite[Job Number]&lt;&gt;""),--(COUNTIF(tbl_Consulting[Job Number],tbl_Onsite[Job Number]&amp;"")&gt;0))+SUMPRODUCT(--(tbl_Production[Job Number]&lt;&gt;""),--(COUNTIF(tbl_Consulting[Job Number],tbl_Production[Job Number]&amp;"")&gt;0))</f>
        <v/>
      </c>
      <c r="I43" s="47">
        <f>IF(B43=0,"Clear","REVIEW")</f>
        <v/>
      </c>
    </row>
    <row r="44">
      <c r="A44" s="41" t="inlineStr">
        <is>
          <t>Jobs on a department sheet with no invoice yet</t>
        </is>
      </c>
      <c r="B44" s="48">
        <f>COUNTIFS(tbl_Onsite[Job Number],"&lt;&gt;",tbl_Onsite[Lines on Job],0)+COUNTIFS(tbl_Production[Job Number],"&lt;&gt;",tbl_Production[Lines on Job],0)+COUNTIFS(tbl_Consulting[Job Number],"&lt;&gt;",tbl_Consulting[Lines on Job],0)</f>
        <v/>
      </c>
      <c r="I44" s="47">
        <f>IF(B44=0,"Clear","REVIEW")</f>
        <v/>
      </c>
    </row>
    <row r="45">
      <c r="A45" s="41" t="inlineStr">
        <is>
          <t>Deferred lines that also have a manual WIP journal (would double count)</t>
        </is>
      </c>
      <c r="B45" s="48">
        <f>SUMPRODUCT(--(tbl_Finance[Defer Start]&lt;&gt;""),--(tbl_Finance[Xero Invoice No]&lt;&gt;""),--(COUNTIF(tbl_WIP[Xero Invoice No],tbl_Finance[Xero Invoice No]&amp;"")&gt;0))</f>
        <v/>
      </c>
      <c r="I45" s="47">
        <f>IF(B45=0,"Clear","REVIEW")</f>
        <v/>
      </c>
    </row>
    <row r="46">
      <c r="A46" s="41" t="inlineStr">
        <is>
          <t>Deferred lines missing an end date</t>
        </is>
      </c>
      <c r="B46" s="48">
        <f>SUMPRODUCT(--(tbl_Finance[Defer Start]&lt;&gt;""),--(tbl_Finance[Defer End]=""))+SUMPRODUCT(--(tbl_WIP[Defer Start]&lt;&gt;""),--(tbl_WIP[Defer End]=""))</f>
        <v/>
      </c>
      <c r="I46" s="47">
        <f>IF(B46=0,"Clear","REVIEW")</f>
        <v/>
      </c>
    </row>
    <row r="47">
      <c r="A47" s="41" t="inlineStr">
        <is>
          <t>WIP rows with an amount but Revenue or Cost not set</t>
        </is>
      </c>
      <c r="B47" s="48">
        <f>SUMPRODUCT(--(tbl_WIP[Amount]&lt;&gt;""),--(tbl_WIP[Revenue or Cost]=""))</f>
        <v/>
      </c>
      <c r="I47" s="47">
        <f>IF(B47=0,"Clear","REVIEW")</f>
        <v/>
      </c>
    </row>
    <row r="48">
      <c r="A48" s="41" t="inlineStr">
        <is>
          <t>Deferred cost rows with no P&amp;L Account to credit</t>
        </is>
      </c>
      <c r="B48" s="48">
        <f>COUNTIFS(tbl_WIP[Revenue or Cost],"Cost",tbl_WIP[P&amp;L Account],"",tbl_WIP[Amount],"&lt;&gt;")</f>
        <v/>
      </c>
      <c r="I48" s="47">
        <f>IF(B48=0,"Clear","REVIEW")</f>
        <v/>
      </c>
    </row>
    <row r="49">
      <c r="A49" s="41" t="inlineStr">
        <is>
          <t>Still sitting at "To Invoice" for the selected month</t>
        </is>
      </c>
      <c r="B49" s="48">
        <f>COUNTIFS(tbl_Finance[Month],$C$4,tbl_Finance[Status],"To Invoice")</f>
        <v/>
      </c>
      <c r="I49" s="47">
        <f>IF(B49=0,"Clear","REVIEW")</f>
        <v/>
      </c>
    </row>
    <row r="50">
      <c r="A50" s="41" t="inlineStr">
        <is>
          <t>Revenue dated this month with no invoice number - it is in the forecast</t>
        </is>
      </c>
      <c r="B50" s="48">
        <f>COUNTIFS(tbl_Finance[Month],$C$4,tbl_Finance[Xero Invoice No],"",tbl_Finance[Ex GST],"&lt;&gt;")</f>
        <v/>
      </c>
      <c r="I50" s="47">
        <f>IF(B50=0,"Clear","REVIEW")</f>
        <v/>
      </c>
    </row>
    <row r="51">
      <c r="A51" s="45" t="inlineStr">
        <is>
          <t>Value of invoice lines with no date (excluded from every month)</t>
        </is>
      </c>
      <c r="B51" s="49">
        <f>SUMPRODUCT(--(tbl_Finance[Date]=""),IFERROR(tbl_Finance[Ex GST]*1,0))</f>
        <v/>
      </c>
      <c r="I51" s="47">
        <f>IF(ROUND(B51,2)=0,"Clear","REVIEW")</f>
        <v/>
      </c>
    </row>
    <row r="53" ht="20" customHeight="1">
      <c r="A53" s="3" t="inlineStr">
        <is>
          <t>4.  WIP JOURNAL FOR THE MONTH  -  post this one journal in Xero</t>
        </is>
      </c>
    </row>
    <row r="54" ht="30" customHeight="1">
      <c r="A54" s="33" t="inlineStr">
        <is>
          <t>Account</t>
        </is>
      </c>
      <c r="B54" s="33" t="inlineStr">
        <is>
          <t>Cost Centre</t>
        </is>
      </c>
      <c r="C54" s="33" t="inlineStr">
        <is>
          <t>Debit</t>
        </is>
      </c>
      <c r="D54" s="33" t="inlineStr">
        <is>
          <t>Credit</t>
        </is>
      </c>
    </row>
    <row r="55">
      <c r="A55" s="50">
        <f>set_WIPAsset</f>
        <v/>
      </c>
      <c r="B55" s="50">
        <f>"(no tracking)"</f>
        <v/>
      </c>
      <c r="C55" s="43">
        <f>IF(ROUND((SUMIFS(tbl_WIP[Amount],tbl_WIP[Month],$C$4,tbl_WIP[Defer Start],"",tbl_WIP[Revenue or Cost],"&lt;&gt;Cost")+SUMIFS('Deferred Revenue'!$Q$6:$Q$607,'Deferred Revenue'!$T$6:$T$607,"&lt;&gt;Cost")),2)&gt;0,(SUMIFS(tbl_WIP[Amount],tbl_WIP[Month],$C$4,tbl_WIP[Defer Start],"",tbl_WIP[Revenue or Cost],"&lt;&gt;Cost")+SUMIFS('Deferred Revenue'!$Q$6:$Q$607,'Deferred Revenue'!$T$6:$T$607,"&lt;&gt;Cost")),"")</f>
        <v/>
      </c>
      <c r="D55" s="43">
        <f>IF(ROUND((SUMIFS(tbl_WIP[Amount],tbl_WIP[Month],$C$4,tbl_WIP[Defer Start],"",tbl_WIP[Revenue or Cost],"&lt;&gt;Cost")+SUMIFS('Deferred Revenue'!$Q$6:$Q$607,'Deferred Revenue'!$T$6:$T$607,"&lt;&gt;Cost")),2)&lt;0,-(SUMIFS(tbl_WIP[Amount],tbl_WIP[Month],$C$4,tbl_WIP[Defer Start],"",tbl_WIP[Revenue or Cost],"&lt;&gt;Cost")+SUMIFS('Deferred Revenue'!$Q$6:$Q$607,'Deferred Revenue'!$T$6:$T$607,"&lt;&gt;Cost")),"")</f>
        <v/>
      </c>
    </row>
    <row r="56">
      <c r="A56" s="50">
        <f>set_WIPIncome</f>
        <v/>
      </c>
      <c r="B56" s="50">
        <f>$A$8</f>
        <v/>
      </c>
      <c r="C56" s="43">
        <f>IF(ROUND($E$8,2)&lt;0,-$E$8,"")</f>
        <v/>
      </c>
      <c r="D56" s="43">
        <f>IF(ROUND($E$8,2)&gt;0,$E$8,"")</f>
        <v/>
      </c>
    </row>
    <row r="57">
      <c r="A57" s="50">
        <f>set_WIPIncome</f>
        <v/>
      </c>
      <c r="B57" s="50">
        <f>$A$9</f>
        <v/>
      </c>
      <c r="C57" s="43">
        <f>IF(ROUND($E$9,2)&lt;0,-$E$9,"")</f>
        <v/>
      </c>
      <c r="D57" s="43">
        <f>IF(ROUND($E$9,2)&gt;0,$E$9,"")</f>
        <v/>
      </c>
    </row>
    <row r="58">
      <c r="A58" s="50">
        <f>set_WIPIncome</f>
        <v/>
      </c>
      <c r="B58" s="50">
        <f>$A$10</f>
        <v/>
      </c>
      <c r="C58" s="43">
        <f>IF(ROUND($E$10,2)&lt;0,-$E$10,"")</f>
        <v/>
      </c>
      <c r="D58" s="43">
        <f>IF(ROUND($E$10,2)&gt;0,$E$10,"")</f>
        <v/>
      </c>
    </row>
    <row r="59">
      <c r="A59" s="50">
        <f>set_WIPIncome</f>
        <v/>
      </c>
      <c r="B59" s="50">
        <f>$A$11</f>
        <v/>
      </c>
      <c r="C59" s="43">
        <f>IF(ROUND($E$11,2)&lt;0,-$E$11,"")</f>
        <v/>
      </c>
      <c r="D59" s="43">
        <f>IF(ROUND($E$11,2)&gt;0,$E$11,"")</f>
        <v/>
      </c>
    </row>
    <row r="60">
      <c r="A60" s="50">
        <f>set_WIPIncome</f>
        <v/>
      </c>
      <c r="B60" s="50">
        <f>$A$12</f>
        <v/>
      </c>
      <c r="C60" s="43">
        <f>IF(ROUND($E$12,2)&lt;0,-$E$12,"")</f>
        <v/>
      </c>
      <c r="D60" s="43">
        <f>IF(ROUND($E$12,2)&gt;0,$E$12,"")</f>
        <v/>
      </c>
    </row>
    <row r="61">
      <c r="A61" s="50">
        <f>set_WIPIncome</f>
        <v/>
      </c>
      <c r="B61" s="50">
        <f>$A$13</f>
        <v/>
      </c>
      <c r="C61" s="43">
        <f>IF(ROUND($E$13,2)&lt;0,-$E$13,"")</f>
        <v/>
      </c>
      <c r="D61" s="43">
        <f>IF(ROUND($E$13,2)&gt;0,$E$13,"")</f>
        <v/>
      </c>
    </row>
    <row r="62">
      <c r="A62" s="50">
        <f>set_WIPIncome</f>
        <v/>
      </c>
      <c r="B62" s="50">
        <f>"(cost centre not set - fix it)"</f>
        <v/>
      </c>
      <c r="C62" s="43">
        <f>IF(ROUND(((SUMIFS(tbl_WIP[Amount],tbl_WIP[Month],$C$4,tbl_WIP[Defer Start],"",tbl_WIP[Revenue or Cost],"&lt;&gt;Cost")+SUMIFS('Deferred Revenue'!$Q$6:$Q$607,'Deferred Revenue'!$T$6:$T$607,"&lt;&gt;Cost"))-$E$14),2)&lt;0,-((SUMIFS(tbl_WIP[Amount],tbl_WIP[Month],$C$4,tbl_WIP[Defer Start],"",tbl_WIP[Revenue or Cost],"&lt;&gt;Cost")+SUMIFS('Deferred Revenue'!$Q$6:$Q$607,'Deferred Revenue'!$T$6:$T$607,"&lt;&gt;Cost"))-$E$14),"")</f>
        <v/>
      </c>
      <c r="D62" s="43">
        <f>IF(ROUND(((SUMIFS(tbl_WIP[Amount],tbl_WIP[Month],$C$4,tbl_WIP[Defer Start],"",tbl_WIP[Revenue or Cost],"&lt;&gt;Cost")+SUMIFS('Deferred Revenue'!$Q$6:$Q$607,'Deferred Revenue'!$T$6:$T$607,"&lt;&gt;Cost"))-$E$14),2)&gt;0,((SUMIFS(tbl_WIP[Amount],tbl_WIP[Month],$C$4,tbl_WIP[Defer Start],"",tbl_WIP[Revenue or Cost],"&lt;&gt;Cost")+SUMIFS('Deferred Revenue'!$Q$6:$Q$607,'Deferred Revenue'!$T$6:$T$607,"&lt;&gt;Cost"))-$E$14),"")</f>
        <v/>
      </c>
    </row>
    <row r="63">
      <c r="A63" s="51" t="inlineStr">
        <is>
          <t>TOTAL</t>
        </is>
      </c>
      <c r="B63" s="51" t="n"/>
      <c r="C63" s="42">
        <f>SUM(C55:C62)</f>
        <v/>
      </c>
      <c r="D63" s="42">
        <f>SUM(D55:D62)</f>
        <v/>
      </c>
      <c r="E63" s="45">
        <f>IF(ROUND($C$63,2)=ROUND($D$63,2),"Balanced","CHECK - does not balance")</f>
        <v/>
      </c>
    </row>
    <row r="64">
      <c r="A64" s="32" t="inlineStr">
        <is>
          <t>Narration to use</t>
        </is>
      </c>
      <c r="C64" s="50">
        <f>"WIP movement "&amp;TEXT($C$4,"mmmm yyyy")</f>
        <v/>
      </c>
      <c r="D64" s="52" t="n"/>
    </row>
    <row r="65">
      <c r="A65" s="32" t="inlineStr">
        <is>
          <t>Made up of - manual revenue rows on WIP Movements</t>
        </is>
      </c>
      <c r="C65" s="43">
        <f>SUMIFS(tbl_WIP[Amount],tbl_WIP[Month],$C$4,tbl_WIP[Defer Start],"",tbl_WIP[Revenue or Cost],"&lt;&gt;Cost")</f>
        <v/>
      </c>
    </row>
    <row r="66">
      <c r="A66" s="32" t="inlineStr">
        <is>
          <t>Made up of - revenue that spreads (Deferred Revenue sheet)</t>
        </is>
      </c>
      <c r="C66" s="43">
        <f>SUMIFS('Deferred Revenue'!$Q$6:$Q$607,'Deferred Revenue'!$T$6:$T$607,"&lt;&gt;Cost")</f>
        <v/>
      </c>
    </row>
    <row r="67">
      <c r="A67" s="32" t="inlineStr">
        <is>
          <t>Total revenue movement  -  section 2, revenue column</t>
        </is>
      </c>
      <c r="C67" s="42">
        <f>(SUMIFS(tbl_WIP[Amount],tbl_WIP[Month],$C$4,tbl_WIP[Defer Start],"",tbl_WIP[Revenue or Cost],"&lt;&gt;Cost")+SUMIFS('Deferred Revenue'!$Q$6:$Q$607,'Deferred Revenue'!$T$6:$T$607,"&lt;&gt;Cost"))</f>
        <v/>
      </c>
    </row>
    <row r="68">
      <c r="A68" s="32" t="inlineStr">
        <is>
          <t>Deferred / accrued cost movement  -  post these line by line</t>
        </is>
      </c>
      <c r="C68" s="42">
        <f>(SUMIFS(tbl_WIP[Amount],tbl_WIP[Month],$C$4,tbl_WIP[Defer Start],"",tbl_WIP[Revenue or Cost],"Cost")+SUMIFS('Deferred Revenue'!$Q$6:$Q$607,'Deferred Revenue'!$T$6:$T$607,"Cost"))</f>
        <v/>
      </c>
    </row>
    <row r="69">
      <c r="A69" s="32" t="inlineStr">
        <is>
          <t>Nothing here posts itself. The tracker works the movement out; you key this journal into Xero and put the reference back on the WIP Movements rows. The cost line above is not in this journal: every deferred cost credits the expense account its bill came from, so post those from WIP Movements with Revenue or Cost filtered to Cost.</t>
        </is>
      </c>
    </row>
    <row r="71" ht="20" customHeight="1">
      <c r="A71" s="3" t="inlineStr">
        <is>
          <t>5.  WORK WON  -  ZOHO / Current RMS / Qwilr vs what was invoiced</t>
        </is>
      </c>
    </row>
    <row r="72" ht="30" customHeight="1">
      <c r="A72" s="33" t="inlineStr">
        <is>
          <t>Source</t>
        </is>
      </c>
      <c r="B72" s="33" t="inlineStr">
        <is>
          <t>Opportunities</t>
        </is>
      </c>
      <c r="C72" s="33" t="inlineStr">
        <is>
          <t>Value Ex GST</t>
        </is>
      </c>
      <c r="D72" s="33" t="inlineStr"/>
      <c r="E72" s="33" t="inlineStr"/>
      <c r="F72" s="33" t="inlineStr"/>
      <c r="G72" s="33" t="inlineStr"/>
      <c r="H72" s="33" t="inlineStr"/>
      <c r="I72" s="33" t="inlineStr">
        <is>
          <t>Check</t>
        </is>
      </c>
    </row>
    <row r="73">
      <c r="A73" s="34" t="inlineStr">
        <is>
          <t>ZOHO</t>
        </is>
      </c>
      <c r="B73" s="53">
        <f>COUNTIFS(tbl_Won[Month],$C$4,tbl_Won[Source],$A73,tbl_Won[Status],"Won")</f>
        <v/>
      </c>
      <c r="C73" s="36">
        <f>SUMIFS(tbl_Won[Value Ex GST],tbl_Won[Month],$C$4,tbl_Won[Source],$A73,tbl_Won[Status],"Won")</f>
        <v/>
      </c>
    </row>
    <row r="74">
      <c r="A74" s="34" t="inlineStr">
        <is>
          <t>Current RMS</t>
        </is>
      </c>
      <c r="B74" s="53">
        <f>COUNTIFS(tbl_Won[Month],$C$4,tbl_Won[Source],$A74,tbl_Won[Status],"Won")</f>
        <v/>
      </c>
      <c r="C74" s="36">
        <f>SUMIFS(tbl_Won[Value Ex GST],tbl_Won[Month],$C$4,tbl_Won[Source],$A74,tbl_Won[Status],"Won")</f>
        <v/>
      </c>
    </row>
    <row r="75">
      <c r="A75" s="34" t="inlineStr">
        <is>
          <t>Qwilr</t>
        </is>
      </c>
      <c r="B75" s="53">
        <f>COUNTIFS(tbl_Won[Month],$C$4,tbl_Won[Source],$A75,tbl_Won[Status],"Won")</f>
        <v/>
      </c>
      <c r="C75" s="36">
        <f>SUMIFS(tbl_Won[Value Ex GST],tbl_Won[Month],$C$4,tbl_Won[Source],$A75,tbl_Won[Status],"Won")</f>
        <v/>
      </c>
    </row>
    <row r="76">
      <c r="A76" s="34" t="inlineStr">
        <is>
          <t>Other</t>
        </is>
      </c>
      <c r="B76" s="53">
        <f>COUNTIFS(tbl_Won[Month],$C$4,tbl_Won[Source],$A76,tbl_Won[Status],"Won")</f>
        <v/>
      </c>
      <c r="C76" s="36">
        <f>SUMIFS(tbl_Won[Value Ex GST],tbl_Won[Month],$C$4,tbl_Won[Source],$A76,tbl_Won[Status],"Won")</f>
        <v/>
      </c>
    </row>
    <row r="77">
      <c r="A77" s="34" t="inlineStr">
        <is>
          <t>TOTAL WON THIS MONTH</t>
        </is>
      </c>
      <c r="B77" s="53">
        <f>SUM(B73:B76)</f>
        <v/>
      </c>
      <c r="C77" s="36">
        <f>SUM(C73:C76)</f>
        <v/>
      </c>
    </row>
    <row r="78">
      <c r="A78" s="54" t="inlineStr">
        <is>
          <t>Invoiced this month (Finance, Ex GST)</t>
        </is>
      </c>
      <c r="B78" s="53" t="n"/>
      <c r="C78" s="36">
        <f>$B$14</f>
        <v/>
      </c>
    </row>
    <row r="79">
      <c r="A79" s="34" t="inlineStr">
        <is>
          <t>Won less invoiced</t>
        </is>
      </c>
      <c r="B79" s="53" t="n"/>
      <c r="C79" s="36">
        <f>$C$77-$C$78</f>
        <v/>
      </c>
    </row>
    <row r="80">
      <c r="A80" s="54" t="inlineStr">
        <is>
          <t>Won this month, still not invoiced against the job</t>
        </is>
      </c>
      <c r="B80" s="53" t="n"/>
      <c r="C80" s="36">
        <f>SUMIFS(tbl_Won[Still to Invoice],tbl_Won[Month],$C$4,tbl_Won[Status],"Won")</f>
        <v/>
      </c>
    </row>
    <row r="81">
      <c r="A81" s="54" t="inlineStr">
        <is>
          <t>Won with a job number Xero does not have</t>
        </is>
      </c>
      <c r="B81" s="53" t="n"/>
      <c r="C81" s="36">
        <f>COUNTIFS(tbl_Won[Month],$C$4,tbl_Won[Status],"Won",tbl_Won[Job in Xero?],"CHECK")</f>
        <v/>
      </c>
    </row>
    <row r="82">
      <c r="A82" s="32" t="inlineStr">
        <is>
          <t>A sense check, not a source. Revenue only ever comes off the Finance sheet. A big gap either way is worth a look: work won and never invoiced, or invoiced with no opportunity behind it.</t>
        </is>
      </c>
    </row>
    <row r="84" ht="20" customHeight="1">
      <c r="A84" s="3" t="inlineStr">
        <is>
          <t>6.  FORECAST  -  work with no invoice against it</t>
        </is>
      </c>
    </row>
    <row r="85" ht="30" customHeight="1">
      <c r="A85" s="33" t="inlineStr">
        <is>
          <t>Cost Centre</t>
        </is>
      </c>
      <c r="B85" s="33" t="inlineStr">
        <is>
          <t>Finance: to invoice</t>
        </is>
      </c>
      <c r="C85" s="33" t="inlineStr">
        <is>
          <t>Won, not invoiced</t>
        </is>
      </c>
      <c r="D85" s="33" t="inlineStr">
        <is>
          <t>Total forecast</t>
        </is>
      </c>
      <c r="E85" s="33" t="inlineStr"/>
      <c r="F85" s="33" t="inlineStr"/>
      <c r="G85" s="33" t="inlineStr"/>
      <c r="H85" s="33" t="inlineStr"/>
      <c r="I85" s="33" t="inlineStr"/>
    </row>
    <row r="86">
      <c r="A86" s="50" t="inlineStr">
        <is>
          <t>ONSITE</t>
        </is>
      </c>
      <c r="B86" s="43">
        <f>SUMIFS(tbl_Finance[Ex GST],tbl_Finance[Cost Centre],$A86,tbl_Finance[Xero Invoice No],"")</f>
        <v/>
      </c>
      <c r="C86" s="43">
        <f>SUMIFS(tbl_Won[Still to Invoice],tbl_Won[Cost Centre],$A86,tbl_Won[Status],"Won")</f>
        <v/>
      </c>
      <c r="D86" s="43">
        <f>B86+C86</f>
        <v/>
      </c>
    </row>
    <row r="87">
      <c r="A87" s="50" t="inlineStr">
        <is>
          <t>PRODUCTION</t>
        </is>
      </c>
      <c r="B87" s="43">
        <f>SUMIFS(tbl_Finance[Ex GST],tbl_Finance[Cost Centre],$A87,tbl_Finance[Xero Invoice No],"")</f>
        <v/>
      </c>
      <c r="C87" s="43">
        <f>SUMIFS(tbl_Won[Still to Invoice],tbl_Won[Cost Centre],$A87,tbl_Won[Status],"Won")</f>
        <v/>
      </c>
      <c r="D87" s="43">
        <f>B87+C87</f>
        <v/>
      </c>
    </row>
    <row r="88">
      <c r="A88" s="50" t="inlineStr">
        <is>
          <t>VIDEO</t>
        </is>
      </c>
      <c r="B88" s="43">
        <f>SUMIFS(tbl_Finance[Ex GST],tbl_Finance[Cost Centre],$A88,tbl_Finance[Xero Invoice No],"")</f>
        <v/>
      </c>
      <c r="C88" s="43">
        <f>SUMIFS(tbl_Won[Still to Invoice],tbl_Won[Cost Centre],$A88,tbl_Won[Status],"Won")</f>
        <v/>
      </c>
      <c r="D88" s="43">
        <f>B88+C88</f>
        <v/>
      </c>
    </row>
    <row r="89">
      <c r="A89" s="50" t="inlineStr">
        <is>
          <t>INTEGRATION</t>
        </is>
      </c>
      <c r="B89" s="43">
        <f>SUMIFS(tbl_Finance[Ex GST],tbl_Finance[Cost Centre],$A89,tbl_Finance[Xero Invoice No],"")</f>
        <v/>
      </c>
      <c r="C89" s="43">
        <f>SUMIFS(tbl_Won[Still to Invoice],tbl_Won[Cost Centre],$A89,tbl_Won[Status],"Won")</f>
        <v/>
      </c>
      <c r="D89" s="43">
        <f>B89+C89</f>
        <v/>
      </c>
    </row>
    <row r="90">
      <c r="A90" s="50" t="inlineStr">
        <is>
          <t>CONSULTING</t>
        </is>
      </c>
      <c r="B90" s="43">
        <f>SUMIFS(tbl_Finance[Ex GST],tbl_Finance[Cost Centre],$A90,tbl_Finance[Xero Invoice No],"")</f>
        <v/>
      </c>
      <c r="C90" s="43">
        <f>SUMIFS(tbl_Won[Still to Invoice],tbl_Won[Cost Centre],$A90,tbl_Won[Status],"Won")</f>
        <v/>
      </c>
      <c r="D90" s="43">
        <f>B90+C90</f>
        <v/>
      </c>
    </row>
    <row r="91">
      <c r="A91" s="50" t="inlineStr">
        <is>
          <t>CTS</t>
        </is>
      </c>
      <c r="B91" s="43">
        <f>SUMIFS(tbl_Finance[Ex GST],tbl_Finance[Cost Centre],$A91,tbl_Finance[Xero Invoice No],"")</f>
        <v/>
      </c>
      <c r="C91" s="43">
        <f>SUMIFS(tbl_Won[Still to Invoice],tbl_Won[Cost Centre],$A91,tbl_Won[Status],"Won")</f>
        <v/>
      </c>
      <c r="D91" s="43">
        <f>B91+C91</f>
        <v/>
      </c>
    </row>
    <row r="92">
      <c r="A92" s="51" t="inlineStr">
        <is>
          <t>TOTAL FORECAST</t>
        </is>
      </c>
      <c r="B92" s="42">
        <f>SUM(B86:B91)</f>
        <v/>
      </c>
      <c r="C92" s="42">
        <f>SUM(C86:C91)</f>
        <v/>
      </c>
      <c r="D92" s="42">
        <f>SUM(D86:D91)</f>
        <v/>
      </c>
    </row>
    <row r="93">
      <c r="A93" s="41" t="inlineStr">
        <is>
          <t>Not in the forecast above  -  open opportunities, not yet won</t>
        </is>
      </c>
      <c r="D93" s="36">
        <f>SUMIFS(tbl_Won[Value Ex GST],tbl_Won[Status],"Open")</f>
        <v/>
      </c>
    </row>
    <row r="94">
      <c r="A94" s="41" t="inlineStr">
        <is>
          <t>Not in the forecast above  -  deferred revenue still to release (already invoiced)</t>
        </is>
      </c>
      <c r="D94" s="36">
        <f>-SUMIFS('Deferred Revenue'!$R$6:$R$607,'Deferred Revenue'!$T$6:$T$607,"&lt;&gt;Cost")</f>
        <v/>
      </c>
    </row>
    <row r="95">
      <c r="A95" s="41" t="inlineStr">
        <is>
          <t>Jobs on a department sheet with no invoice line at all (count)</t>
        </is>
      </c>
      <c r="D95" s="53">
        <f>COUNTIFS(tbl_Onsite[Job Number],"&lt;&gt;",tbl_Onsite[Lines on Job],0)+COUNTIFS(tbl_Production[Job Number],"&lt;&gt;",tbl_Production[Lines on Job],0)+COUNTIFS(tbl_Consulting[Job Number],"&lt;&gt;",tbl_Consulting[Lines on Job],0)</f>
        <v/>
      </c>
    </row>
    <row r="96">
      <c r="A96" s="32" t="inlineStr">
        <is>
          <t>Nothing here is revenue yet. Finance: to invoice is a line already on the Finance sheet with no invoice number on it. Won, not invoiced is the value won less everything Finance already holds against that job, so the two columns add up without counting the same work twice.</t>
        </is>
      </c>
    </row>
    <row r="98" ht="20" customHeight="1">
      <c r="A98" s="3" t="inlineStr">
        <is>
          <t>7.  SIGN-OFF</t>
        </is>
      </c>
    </row>
    <row r="99">
      <c r="A99" s="45" t="inlineStr">
        <is>
          <t>Prepared by</t>
        </is>
      </c>
      <c r="B99" s="55" t="n"/>
      <c r="C99" s="56" t="n"/>
      <c r="D99" s="52" t="n"/>
      <c r="E99" s="32" t="inlineStr">
        <is>
          <t>Accounts Assistant</t>
        </is>
      </c>
    </row>
    <row r="100">
      <c r="A100" s="45" t="inlineStr">
        <is>
          <t>Reviewed by</t>
        </is>
      </c>
      <c r="B100" s="55" t="n"/>
      <c r="C100" s="56" t="n"/>
      <c r="D100" s="52" t="n"/>
      <c r="E100" s="32" t="inlineStr">
        <is>
          <t>Finance Operations Manager</t>
        </is>
      </c>
    </row>
    <row r="101">
      <c r="A101" s="45" t="inlineStr">
        <is>
          <t>Date closed</t>
        </is>
      </c>
      <c r="B101" s="55" t="n"/>
      <c r="C101" s="56" t="n"/>
      <c r="D101" s="52" t="n"/>
    </row>
    <row r="102">
      <c r="A102" s="45" t="inlineStr">
        <is>
          <t>Notes / carried forward items</t>
        </is>
      </c>
      <c r="B102" s="55" t="n"/>
      <c r="C102" s="56" t="n"/>
      <c r="D102" s="52" t="n"/>
    </row>
  </sheetData>
  <mergeCells count="12">
    <mergeCell ref="A98:I98"/>
    <mergeCell ref="A71:I71"/>
    <mergeCell ref="A28:I28"/>
    <mergeCell ref="B99:D99"/>
    <mergeCell ref="A84:I84"/>
    <mergeCell ref="B101:D101"/>
    <mergeCell ref="B102:D102"/>
    <mergeCell ref="A17:I17"/>
    <mergeCell ref="A6:I6"/>
    <mergeCell ref="A53:I53"/>
    <mergeCell ref="B100:D100"/>
    <mergeCell ref="C64:D64"/>
  </mergeCells>
  <conditionalFormatting sqref="I8:I14">
    <cfRule type="expression" priority="1" dxfId="1">
      <formula>LEFT(I8,5)="CHECK"</formula>
    </cfRule>
    <cfRule type="expression" priority="2" dxfId="2">
      <formula>I8="Reconciled"</formula>
    </cfRule>
  </conditionalFormatting>
  <conditionalFormatting sqref="I19:I25">
    <cfRule type="expression" priority="3" dxfId="1">
      <formula>I19="CHECK"</formula>
    </cfRule>
    <cfRule type="expression" priority="4" dxfId="2">
      <formula>I19="Reconciled"</formula>
    </cfRule>
  </conditionalFormatting>
  <conditionalFormatting sqref="I30:I51">
    <cfRule type="expression" priority="5" dxfId="1">
      <formula>I30="REVIEW"</formula>
    </cfRule>
    <cfRule type="expression" priority="6" dxfId="2">
      <formula>I30="Clear"</formula>
    </cfRule>
  </conditionalFormatting>
  <conditionalFormatting sqref="B30:B50">
    <cfRule type="cellIs" priority="7" operator="greaterThan" dxfId="0">
      <formula>0</formula>
    </cfRule>
  </conditionalFormatting>
  <conditionalFormatting sqref="E63">
    <cfRule type="expression" priority="8" dxfId="1">
      <formula>LEFT($E$63,5)="CHECK"</formula>
    </cfRule>
  </conditionalFormatting>
  <conditionalFormatting sqref="A62:D62">
    <cfRule type="expression" priority="9" dxfId="1">
      <formula>ROUND(N($C$62)+N($D$62),2)&lt;&gt;0</formula>
    </cfRule>
  </conditionalFormatting>
  <dataValidations count="1">
    <dataValidation sqref="C4" showDropDown="0" showInputMessage="0" showErrorMessage="0" allowBlank="0" type="list" errorStyle="warning">
      <formula1>lst_Months</formula1>
    </dataValidation>
  </dataValidations>
  <pageMargins left="0.75" right="0.75" top="1" bottom="1" header="0.5" footer="0.5"/>
</worksheet>
</file>

<file path=xl/worksheets/sheet5.xml><?xml version="1.0" encoding="utf-8"?>
<worksheet xmlns="http://schemas.openxmlformats.org/spreadsheetml/2006/main">
  <sheetPr>
    <tabColor rgb="002E6B4F"/>
    <outlinePr summaryBelow="1" summaryRight="1"/>
    <pageSetUpPr/>
  </sheetPr>
  <dimension ref="A1:H434"/>
  <sheetViews>
    <sheetView showGridLines="0" tabSelected="0" zoomScale="90" workbookViewId="0">
      <pane ySplit="11" topLeftCell="A12" activePane="bottomLeft" state="frozen"/>
      <selection pane="bottomLeft" activeCell="A1" sqref="A1"/>
    </sheetView>
  </sheetViews>
  <sheetFormatPr baseColWidth="8" defaultRowHeight="15"/>
  <cols>
    <col width="16" customWidth="1" min="1" max="1"/>
    <col width="42" customWidth="1" min="2" max="2"/>
    <col width="15" customWidth="1" min="3" max="3"/>
    <col width="15" customWidth="1" min="4" max="4"/>
    <col width="15" customWidth="1" min="5" max="5"/>
    <col width="13" customWidth="1" min="6" max="6"/>
    <col width="20" customWidth="1" min="7" max="7"/>
    <col width="14" customWidth="1" min="8" max="8"/>
  </cols>
  <sheetData>
    <row r="1" ht="24" customHeight="1">
      <c r="A1" s="18" t="inlineStr">
        <is>
          <t>WIP Balance by Job</t>
        </is>
      </c>
    </row>
    <row r="2" ht="16" customHeight="1">
      <c r="A2" s="2" t="inlineStr">
        <is>
          <t>Job-level WIP for the month selected on the Month-End sheet. Paste the matching balance from the WIP Schedule file into column G and the variance column finds the breaks. Filter column F to hide the nil rows.</t>
        </is>
      </c>
    </row>
    <row r="3" ht="6" customHeight="1"/>
    <row r="4">
      <c r="A4" s="30" t="inlineStr">
        <is>
          <t>Month</t>
        </is>
      </c>
      <c r="C4" s="57">
        <f>'Month-End'!C4</f>
        <v/>
      </c>
      <c r="D4" s="32" t="inlineStr">
        <is>
          <t>&lt;- set this on the Month-End sheet</t>
        </is>
      </c>
    </row>
    <row r="6">
      <c r="A6" s="45" t="inlineStr">
        <is>
          <t>Opening total</t>
        </is>
      </c>
      <c r="B6" s="58">
        <f>SUMIFS(tbl_WIP[Amount],tbl_WIP[Month],"&lt;&gt;",tbl_WIP[Month],"&lt;"&amp;$C$4,tbl_WIP[Defer Start],"")+SUM('Deferred Revenue'!$P$6:$P$607)</f>
        <v/>
      </c>
    </row>
    <row r="7">
      <c r="A7" s="45" t="inlineStr">
        <is>
          <t>Movement this month</t>
        </is>
      </c>
      <c r="B7" s="58">
        <f>SUMIFS(tbl_WIP[Amount],tbl_WIP[Month],$C$4,tbl_WIP[Defer Start],"")+SUM('Deferred Revenue'!$Q$6:$Q$607)</f>
        <v/>
      </c>
    </row>
    <row r="8">
      <c r="A8" s="45" t="inlineStr">
        <is>
          <t>Closing total</t>
        </is>
      </c>
      <c r="B8" s="46">
        <f>B6+B7</f>
        <v/>
      </c>
    </row>
    <row r="9">
      <c r="A9" s="45" t="inlineStr">
        <is>
          <t>Of which is on a job Xero does not have - fix these</t>
        </is>
      </c>
      <c r="B9" s="58">
        <f>SUMIFS(tbl_WIP[Amount],tbl_WIP[Job in Xero?],"CHECK",tbl_WIP[Month],"&lt;="&amp;$C$4,tbl_WIP[Defer Start],"")</f>
        <v/>
      </c>
    </row>
    <row r="10">
      <c r="A10" s="45" t="inlineStr">
        <is>
          <t>Closing listed below, job by job</t>
        </is>
      </c>
      <c r="B10" s="46">
        <f>B8-B9</f>
        <v/>
      </c>
      <c r="D10" s="59">
        <f>COUNTIF($F$12:$F$434,"yes")&amp;" jobs carry a balance  -  filter column F to 'yes' to see only those"</f>
        <v/>
      </c>
    </row>
    <row r="11" ht="30" customHeight="1">
      <c r="A11" s="33" t="inlineStr">
        <is>
          <t>Job Number</t>
        </is>
      </c>
      <c r="B11" s="33" t="inlineStr">
        <is>
          <t>Job Name (Xero)</t>
        </is>
      </c>
      <c r="C11" s="33" t="inlineStr">
        <is>
          <t>Opening</t>
        </is>
      </c>
      <c r="D11" s="33" t="inlineStr">
        <is>
          <t>Movement</t>
        </is>
      </c>
      <c r="E11" s="33" t="inlineStr">
        <is>
          <t>Closing</t>
        </is>
      </c>
      <c r="F11" s="33" t="inlineStr">
        <is>
          <t>Any balance?</t>
        </is>
      </c>
      <c r="G11" s="33" t="inlineStr">
        <is>
          <t>Per WIP Schedule (paste in)</t>
        </is>
      </c>
      <c r="H11" s="33" t="inlineStr">
        <is>
          <t>Variance</t>
        </is>
      </c>
    </row>
    <row r="12">
      <c r="A12" s="60" t="inlineStr">
        <is>
          <t>1144</t>
        </is>
      </c>
      <c r="B12" s="60" t="inlineStr">
        <is>
          <t>Bankwest PER Half Tech</t>
        </is>
      </c>
      <c r="C12" s="43">
        <f>SUMIFS(tbl_WIP[Amount],tbl_WIP[Job Number],$A12,tbl_WIP[Month],"&lt;&gt;",tbl_WIP[Month],"&lt;"&amp;$C$4,tbl_WIP[Defer Start],"")+SUMIF('Deferred Revenue'!$E$6:$E$607,$A12,'Deferred Revenue'!$P$6:$P$607)</f>
        <v/>
      </c>
      <c r="D12" s="43">
        <f>SUMIFS(tbl_WIP[Amount],tbl_WIP[Job Number],$A12,tbl_WIP[Month],$C$4,tbl_WIP[Defer Start],"")+SUMIF('Deferred Revenue'!$E$6:$E$607,$A12,'Deferred Revenue'!$Q$6:$Q$607)</f>
        <v/>
      </c>
      <c r="E12" s="43">
        <f>C12+D12</f>
        <v/>
      </c>
      <c r="F12" s="50">
        <f>IF(ROUND(C12,2)+ROUND(D12,2)=0,"","yes")</f>
        <v/>
      </c>
      <c r="G12" s="61" t="n"/>
      <c r="H12" s="43">
        <f>IF($G12="","",$E12-$G12)</f>
        <v/>
      </c>
    </row>
    <row r="13">
      <c r="A13" s="60" t="inlineStr">
        <is>
          <t>1350</t>
        </is>
      </c>
      <c r="B13" s="60" t="inlineStr">
        <is>
          <t>CBA Brisbane ONS</t>
        </is>
      </c>
      <c r="C13" s="43">
        <f>SUMIFS(tbl_WIP[Amount],tbl_WIP[Job Number],$A13,tbl_WIP[Month],"&lt;&gt;",tbl_WIP[Month],"&lt;"&amp;$C$4,tbl_WIP[Defer Start],"")+SUMIF('Deferred Revenue'!$E$6:$E$607,$A13,'Deferred Revenue'!$P$6:$P$607)</f>
        <v/>
      </c>
      <c r="D13" s="43">
        <f>SUMIFS(tbl_WIP[Amount],tbl_WIP[Job Number],$A13,tbl_WIP[Month],$C$4,tbl_WIP[Defer Start],"")+SUMIF('Deferred Revenue'!$E$6:$E$607,$A13,'Deferred Revenue'!$Q$6:$Q$607)</f>
        <v/>
      </c>
      <c r="E13" s="43">
        <f>C13+D13</f>
        <v/>
      </c>
      <c r="F13" s="50">
        <f>IF(ROUND(C13,2)+ROUND(D13,2)=0,"","yes")</f>
        <v/>
      </c>
      <c r="G13" s="61" t="n"/>
      <c r="H13" s="43">
        <f>IF($G13="","",$E13-$G13)</f>
        <v/>
      </c>
    </row>
    <row r="14">
      <c r="A14" s="60" t="inlineStr">
        <is>
          <t>1400</t>
        </is>
      </c>
      <c r="B14" s="60" t="inlineStr">
        <is>
          <t>DTTL Mel Tech FT 2</t>
        </is>
      </c>
      <c r="C14" s="43">
        <f>SUMIFS(tbl_WIP[Amount],tbl_WIP[Job Number],$A14,tbl_WIP[Month],"&lt;&gt;",tbl_WIP[Month],"&lt;"&amp;$C$4,tbl_WIP[Defer Start],"")+SUMIF('Deferred Revenue'!$E$6:$E$607,$A14,'Deferred Revenue'!$P$6:$P$607)</f>
        <v/>
      </c>
      <c r="D14" s="43">
        <f>SUMIFS(tbl_WIP[Amount],tbl_WIP[Job Number],$A14,tbl_WIP[Month],$C$4,tbl_WIP[Defer Start],"")+SUMIF('Deferred Revenue'!$E$6:$E$607,$A14,'Deferred Revenue'!$Q$6:$Q$607)</f>
        <v/>
      </c>
      <c r="E14" s="43">
        <f>C14+D14</f>
        <v/>
      </c>
      <c r="F14" s="50">
        <f>IF(ROUND(C14,2)+ROUND(D14,2)=0,"","yes")</f>
        <v/>
      </c>
      <c r="G14" s="61" t="n"/>
      <c r="H14" s="43">
        <f>IF($G14="","",$E14-$G14)</f>
        <v/>
      </c>
    </row>
    <row r="15">
      <c r="A15" s="60" t="inlineStr">
        <is>
          <t>1401</t>
        </is>
      </c>
      <c r="B15" s="60" t="inlineStr">
        <is>
          <t>DTTL SYD FT Tech 2</t>
        </is>
      </c>
      <c r="C15" s="43">
        <f>SUMIFS(tbl_WIP[Amount],tbl_WIP[Job Number],$A15,tbl_WIP[Month],"&lt;&gt;",tbl_WIP[Month],"&lt;"&amp;$C$4,tbl_WIP[Defer Start],"")+SUMIF('Deferred Revenue'!$E$6:$E$607,$A15,'Deferred Revenue'!$P$6:$P$607)</f>
        <v/>
      </c>
      <c r="D15" s="43">
        <f>SUMIFS(tbl_WIP[Amount],tbl_WIP[Job Number],$A15,tbl_WIP[Month],$C$4,tbl_WIP[Defer Start],"")+SUMIF('Deferred Revenue'!$E$6:$E$607,$A15,'Deferred Revenue'!$Q$6:$Q$607)</f>
        <v/>
      </c>
      <c r="E15" s="43">
        <f>C15+D15</f>
        <v/>
      </c>
      <c r="F15" s="50">
        <f>IF(ROUND(C15,2)+ROUND(D15,2)=0,"","yes")</f>
        <v/>
      </c>
      <c r="G15" s="61" t="n"/>
      <c r="H15" s="43">
        <f>IF($G15="","",$E15-$G15)</f>
        <v/>
      </c>
    </row>
    <row r="16">
      <c r="A16" s="60" t="inlineStr">
        <is>
          <t>1530</t>
        </is>
      </c>
      <c r="B16" s="60" t="inlineStr">
        <is>
          <t>DTTL BNE Onsite</t>
        </is>
      </c>
      <c r="C16" s="43">
        <f>SUMIFS(tbl_WIP[Amount],tbl_WIP[Job Number],$A16,tbl_WIP[Month],"&lt;&gt;",tbl_WIP[Month],"&lt;"&amp;$C$4,tbl_WIP[Defer Start],"")+SUMIF('Deferred Revenue'!$E$6:$E$607,$A16,'Deferred Revenue'!$P$6:$P$607)</f>
        <v/>
      </c>
      <c r="D16" s="43">
        <f>SUMIFS(tbl_WIP[Amount],tbl_WIP[Job Number],$A16,tbl_WIP[Month],$C$4,tbl_WIP[Defer Start],"")+SUMIF('Deferred Revenue'!$E$6:$E$607,$A16,'Deferred Revenue'!$Q$6:$Q$607)</f>
        <v/>
      </c>
      <c r="E16" s="43">
        <f>C16+D16</f>
        <v/>
      </c>
      <c r="F16" s="50">
        <f>IF(ROUND(C16,2)+ROUND(D16,2)=0,"","yes")</f>
        <v/>
      </c>
      <c r="G16" s="61" t="n"/>
      <c r="H16" s="43">
        <f>IF($G16="","",$E16-$G16)</f>
        <v/>
      </c>
    </row>
    <row r="17">
      <c r="A17" s="60" t="inlineStr">
        <is>
          <t>1668</t>
        </is>
      </c>
      <c r="B17" s="60" t="inlineStr">
        <is>
          <t>CBA Dedicated Tech</t>
        </is>
      </c>
      <c r="C17" s="43">
        <f>SUMIFS(tbl_WIP[Amount],tbl_WIP[Job Number],$A17,tbl_WIP[Month],"&lt;&gt;",tbl_WIP[Month],"&lt;"&amp;$C$4,tbl_WIP[Defer Start],"")+SUMIF('Deferred Revenue'!$E$6:$E$607,$A17,'Deferred Revenue'!$P$6:$P$607)</f>
        <v/>
      </c>
      <c r="D17" s="43">
        <f>SUMIFS(tbl_WIP[Amount],tbl_WIP[Job Number],$A17,tbl_WIP[Month],$C$4,tbl_WIP[Defer Start],"")+SUMIF('Deferred Revenue'!$E$6:$E$607,$A17,'Deferred Revenue'!$Q$6:$Q$607)</f>
        <v/>
      </c>
      <c r="E17" s="43">
        <f>C17+D17</f>
        <v/>
      </c>
      <c r="F17" s="50">
        <f>IF(ROUND(C17,2)+ROUND(D17,2)=0,"","yes")</f>
        <v/>
      </c>
      <c r="G17" s="61" t="n"/>
      <c r="H17" s="43">
        <f>IF($G17="","",$E17-$G17)</f>
        <v/>
      </c>
    </row>
    <row r="18">
      <c r="A18" s="60" t="inlineStr">
        <is>
          <t>1750</t>
        </is>
      </c>
      <c r="B18" s="60" t="inlineStr">
        <is>
          <t>Bankwest Spotify</t>
        </is>
      </c>
      <c r="C18" s="43">
        <f>SUMIFS(tbl_WIP[Amount],tbl_WIP[Job Number],$A18,tbl_WIP[Month],"&lt;&gt;",tbl_WIP[Month],"&lt;"&amp;$C$4,tbl_WIP[Defer Start],"")+SUMIF('Deferred Revenue'!$E$6:$E$607,$A18,'Deferred Revenue'!$P$6:$P$607)</f>
        <v/>
      </c>
      <c r="D18" s="43">
        <f>SUMIFS(tbl_WIP[Amount],tbl_WIP[Job Number],$A18,tbl_WIP[Month],$C$4,tbl_WIP[Defer Start],"")+SUMIF('Deferred Revenue'!$E$6:$E$607,$A18,'Deferred Revenue'!$Q$6:$Q$607)</f>
        <v/>
      </c>
      <c r="E18" s="43">
        <f>C18+D18</f>
        <v/>
      </c>
      <c r="F18" s="50">
        <f>IF(ROUND(C18,2)+ROUND(D18,2)=0,"","yes")</f>
        <v/>
      </c>
      <c r="G18" s="61" t="n"/>
      <c r="H18" s="43">
        <f>IF($G18="","",$E18-$G18)</f>
        <v/>
      </c>
    </row>
    <row r="19">
      <c r="A19" s="60" t="inlineStr">
        <is>
          <t>1755</t>
        </is>
      </c>
      <c r="B19" s="60" t="inlineStr">
        <is>
          <t>CBA Spotify</t>
        </is>
      </c>
      <c r="C19" s="43">
        <f>SUMIFS(tbl_WIP[Amount],tbl_WIP[Job Number],$A19,tbl_WIP[Month],"&lt;&gt;",tbl_WIP[Month],"&lt;"&amp;$C$4,tbl_WIP[Defer Start],"")+SUMIF('Deferred Revenue'!$E$6:$E$607,$A19,'Deferred Revenue'!$P$6:$P$607)</f>
        <v/>
      </c>
      <c r="D19" s="43">
        <f>SUMIFS(tbl_WIP[Amount],tbl_WIP[Job Number],$A19,tbl_WIP[Month],$C$4,tbl_WIP[Defer Start],"")+SUMIF('Deferred Revenue'!$E$6:$E$607,$A19,'Deferred Revenue'!$Q$6:$Q$607)</f>
        <v/>
      </c>
      <c r="E19" s="43">
        <f>C19+D19</f>
        <v/>
      </c>
      <c r="F19" s="50">
        <f>IF(ROUND(C19,2)+ROUND(D19,2)=0,"","yes")</f>
        <v/>
      </c>
      <c r="G19" s="61" t="n"/>
      <c r="H19" s="43">
        <f>IF($G19="","",$E19-$G19)</f>
        <v/>
      </c>
    </row>
    <row r="20">
      <c r="A20" s="60" t="inlineStr">
        <is>
          <t>1771</t>
        </is>
      </c>
      <c r="B20" s="60" t="inlineStr">
        <is>
          <t>Integration - Training</t>
        </is>
      </c>
      <c r="C20" s="43">
        <f>SUMIFS(tbl_WIP[Amount],tbl_WIP[Job Number],$A20,tbl_WIP[Month],"&lt;&gt;",tbl_WIP[Month],"&lt;"&amp;$C$4,tbl_WIP[Defer Start],"")+SUMIF('Deferred Revenue'!$E$6:$E$607,$A20,'Deferred Revenue'!$P$6:$P$607)</f>
        <v/>
      </c>
      <c r="D20" s="43">
        <f>SUMIFS(tbl_WIP[Amount],tbl_WIP[Job Number],$A20,tbl_WIP[Month],$C$4,tbl_WIP[Defer Start],"")+SUMIF('Deferred Revenue'!$E$6:$E$607,$A20,'Deferred Revenue'!$Q$6:$Q$607)</f>
        <v/>
      </c>
      <c r="E20" s="43">
        <f>C20+D20</f>
        <v/>
      </c>
      <c r="F20" s="50">
        <f>IF(ROUND(C20,2)+ROUND(D20,2)=0,"","yes")</f>
        <v/>
      </c>
      <c r="G20" s="61" t="n"/>
      <c r="H20" s="43">
        <f>IF($G20="","",$E20-$G20)</f>
        <v/>
      </c>
    </row>
    <row r="21">
      <c r="A21" s="60" t="inlineStr">
        <is>
          <t>1862</t>
        </is>
      </c>
      <c r="B21" s="60" t="inlineStr">
        <is>
          <t>DTTL ADL Onsite</t>
        </is>
      </c>
      <c r="C21" s="43">
        <f>SUMIFS(tbl_WIP[Amount],tbl_WIP[Job Number],$A21,tbl_WIP[Month],"&lt;&gt;",tbl_WIP[Month],"&lt;"&amp;$C$4,tbl_WIP[Defer Start],"")+SUMIF('Deferred Revenue'!$E$6:$E$607,$A21,'Deferred Revenue'!$P$6:$P$607)</f>
        <v/>
      </c>
      <c r="D21" s="43">
        <f>SUMIFS(tbl_WIP[Amount],tbl_WIP[Job Number],$A21,tbl_WIP[Month],$C$4,tbl_WIP[Defer Start],"")+SUMIF('Deferred Revenue'!$E$6:$E$607,$A21,'Deferred Revenue'!$Q$6:$Q$607)</f>
        <v/>
      </c>
      <c r="E21" s="43">
        <f>C21+D21</f>
        <v/>
      </c>
      <c r="F21" s="50">
        <f>IF(ROUND(C21,2)+ROUND(D21,2)=0,"","yes")</f>
        <v/>
      </c>
      <c r="G21" s="61" t="n"/>
      <c r="H21" s="43">
        <f>IF($G21="","",$E21-$G21)</f>
        <v/>
      </c>
    </row>
    <row r="22">
      <c r="A22" s="60" t="inlineStr">
        <is>
          <t>20250731</t>
        </is>
      </c>
      <c r="B22" s="60" t="inlineStr">
        <is>
          <t>PWC National Pool of Hours</t>
        </is>
      </c>
      <c r="C22" s="43">
        <f>SUMIFS(tbl_WIP[Amount],tbl_WIP[Job Number],$A22,tbl_WIP[Month],"&lt;&gt;",tbl_WIP[Month],"&lt;"&amp;$C$4,tbl_WIP[Defer Start],"")+SUMIF('Deferred Revenue'!$E$6:$E$607,$A22,'Deferred Revenue'!$P$6:$P$607)</f>
        <v/>
      </c>
      <c r="D22" s="43">
        <f>SUMIFS(tbl_WIP[Amount],tbl_WIP[Job Number],$A22,tbl_WIP[Month],$C$4,tbl_WIP[Defer Start],"")+SUMIF('Deferred Revenue'!$E$6:$E$607,$A22,'Deferred Revenue'!$Q$6:$Q$607)</f>
        <v/>
      </c>
      <c r="E22" s="43">
        <f>C22+D22</f>
        <v/>
      </c>
      <c r="F22" s="50">
        <f>IF(ROUND(C22,2)+ROUND(D22,2)=0,"","yes")</f>
        <v/>
      </c>
      <c r="G22" s="61" t="n"/>
      <c r="H22" s="43">
        <f>IF($G22="","",$E22-$G22)</f>
        <v/>
      </c>
    </row>
    <row r="23">
      <c r="A23" s="60" t="inlineStr">
        <is>
          <t>2026021101</t>
        </is>
      </c>
      <c r="B23" s="60" t="inlineStr">
        <is>
          <t>AusPayNet Quarterly AV Support &amp; Maintenance 2026</t>
        </is>
      </c>
      <c r="C23" s="43">
        <f>SUMIFS(tbl_WIP[Amount],tbl_WIP[Job Number],$A23,tbl_WIP[Month],"&lt;&gt;",tbl_WIP[Month],"&lt;"&amp;$C$4,tbl_WIP[Defer Start],"")+SUMIF('Deferred Revenue'!$E$6:$E$607,$A23,'Deferred Revenue'!$P$6:$P$607)</f>
        <v/>
      </c>
      <c r="D23" s="43">
        <f>SUMIFS(tbl_WIP[Amount],tbl_WIP[Job Number],$A23,tbl_WIP[Month],$C$4,tbl_WIP[Defer Start],"")+SUMIF('Deferred Revenue'!$E$6:$E$607,$A23,'Deferred Revenue'!$Q$6:$Q$607)</f>
        <v/>
      </c>
      <c r="E23" s="43">
        <f>C23+D23</f>
        <v/>
      </c>
      <c r="F23" s="50">
        <f>IF(ROUND(C23,2)+ROUND(D23,2)=0,"","yes")</f>
        <v/>
      </c>
      <c r="G23" s="61" t="n"/>
      <c r="H23" s="43">
        <f>IF($G23="","",$E23-$G23)</f>
        <v/>
      </c>
    </row>
    <row r="24">
      <c r="A24" s="60" t="inlineStr">
        <is>
          <t>20260801</t>
        </is>
      </c>
      <c r="B24" s="60" t="inlineStr">
        <is>
          <t>CTS Day 2026</t>
        </is>
      </c>
      <c r="C24" s="43">
        <f>SUMIFS(tbl_WIP[Amount],tbl_WIP[Job Number],$A24,tbl_WIP[Month],"&lt;&gt;",tbl_WIP[Month],"&lt;"&amp;$C$4,tbl_WIP[Defer Start],"")+SUMIF('Deferred Revenue'!$E$6:$E$607,$A24,'Deferred Revenue'!$P$6:$P$607)</f>
        <v/>
      </c>
      <c r="D24" s="43">
        <f>SUMIFS(tbl_WIP[Amount],tbl_WIP[Job Number],$A24,tbl_WIP[Month],$C$4,tbl_WIP[Defer Start],"")+SUMIF('Deferred Revenue'!$E$6:$E$607,$A24,'Deferred Revenue'!$Q$6:$Q$607)</f>
        <v/>
      </c>
      <c r="E24" s="43">
        <f>C24+D24</f>
        <v/>
      </c>
      <c r="F24" s="50">
        <f>IF(ROUND(C24,2)+ROUND(D24,2)=0,"","yes")</f>
        <v/>
      </c>
      <c r="G24" s="61" t="n"/>
      <c r="H24" s="43">
        <f>IF($G24="","",$E24-$G24)</f>
        <v/>
      </c>
    </row>
    <row r="25">
      <c r="A25" s="60" t="inlineStr">
        <is>
          <t>2192</t>
        </is>
      </c>
      <c r="B25" s="60" t="inlineStr">
        <is>
          <t>Bankwest Additional Tech</t>
        </is>
      </c>
      <c r="C25" s="43">
        <f>SUMIFS(tbl_WIP[Amount],tbl_WIP[Job Number],$A25,tbl_WIP[Month],"&lt;&gt;",tbl_WIP[Month],"&lt;"&amp;$C$4,tbl_WIP[Defer Start],"")+SUMIF('Deferred Revenue'!$E$6:$E$607,$A25,'Deferred Revenue'!$P$6:$P$607)</f>
        <v/>
      </c>
      <c r="D25" s="43">
        <f>SUMIFS(tbl_WIP[Amount],tbl_WIP[Job Number],$A25,tbl_WIP[Month],$C$4,tbl_WIP[Defer Start],"")+SUMIF('Deferred Revenue'!$E$6:$E$607,$A25,'Deferred Revenue'!$Q$6:$Q$607)</f>
        <v/>
      </c>
      <c r="E25" s="43">
        <f>C25+D25</f>
        <v/>
      </c>
      <c r="F25" s="50">
        <f>IF(ROUND(C25,2)+ROUND(D25,2)=0,"","yes")</f>
        <v/>
      </c>
      <c r="G25" s="61" t="n"/>
      <c r="H25" s="43">
        <f>IF($G25="","",$E25-$G25)</f>
        <v/>
      </c>
    </row>
    <row r="26">
      <c r="A26" s="60" t="inlineStr">
        <is>
          <t>2347</t>
        </is>
      </c>
      <c r="B26" s="60" t="inlineStr">
        <is>
          <t>DTTL Dedicated Tech</t>
        </is>
      </c>
      <c r="C26" s="43">
        <f>SUMIFS(tbl_WIP[Amount],tbl_WIP[Job Number],$A26,tbl_WIP[Month],"&lt;&gt;",tbl_WIP[Month],"&lt;"&amp;$C$4,tbl_WIP[Defer Start],"")+SUMIF('Deferred Revenue'!$E$6:$E$607,$A26,'Deferred Revenue'!$P$6:$P$607)</f>
        <v/>
      </c>
      <c r="D26" s="43">
        <f>SUMIFS(tbl_WIP[Amount],tbl_WIP[Job Number],$A26,tbl_WIP[Month],$C$4,tbl_WIP[Defer Start],"")+SUMIF('Deferred Revenue'!$E$6:$E$607,$A26,'Deferred Revenue'!$Q$6:$Q$607)</f>
        <v/>
      </c>
      <c r="E26" s="43">
        <f>C26+D26</f>
        <v/>
      </c>
      <c r="F26" s="50">
        <f>IF(ROUND(C26,2)+ROUND(D26,2)=0,"","yes")</f>
        <v/>
      </c>
      <c r="G26" s="61" t="n"/>
      <c r="H26" s="43">
        <f>IF($G26="","",$E26-$G26)</f>
        <v/>
      </c>
    </row>
    <row r="27">
      <c r="A27" s="60" t="inlineStr">
        <is>
          <t>2392</t>
        </is>
      </c>
      <c r="B27" s="60" t="inlineStr">
        <is>
          <t>PWC – MEL Technician</t>
        </is>
      </c>
      <c r="C27" s="43">
        <f>SUMIFS(tbl_WIP[Amount],tbl_WIP[Job Number],$A27,tbl_WIP[Month],"&lt;&gt;",tbl_WIP[Month],"&lt;"&amp;$C$4,tbl_WIP[Defer Start],"")+SUMIF('Deferred Revenue'!$E$6:$E$607,$A27,'Deferred Revenue'!$P$6:$P$607)</f>
        <v/>
      </c>
      <c r="D27" s="43">
        <f>SUMIFS(tbl_WIP[Amount],tbl_WIP[Job Number],$A27,tbl_WIP[Month],$C$4,tbl_WIP[Defer Start],"")+SUMIF('Deferred Revenue'!$E$6:$E$607,$A27,'Deferred Revenue'!$Q$6:$Q$607)</f>
        <v/>
      </c>
      <c r="E27" s="43">
        <f>C27+D27</f>
        <v/>
      </c>
      <c r="F27" s="50">
        <f>IF(ROUND(C27,2)+ROUND(D27,2)=0,"","yes")</f>
        <v/>
      </c>
      <c r="G27" s="61" t="n"/>
      <c r="H27" s="43">
        <f>IF($G27="","",$E27-$G27)</f>
        <v/>
      </c>
    </row>
    <row r="28">
      <c r="A28" s="60" t="inlineStr">
        <is>
          <t>2402</t>
        </is>
      </c>
      <c r="B28" s="60" t="inlineStr">
        <is>
          <t>DTTL SYD FT Tech 1</t>
        </is>
      </c>
      <c r="C28" s="43">
        <f>SUMIFS(tbl_WIP[Amount],tbl_WIP[Job Number],$A28,tbl_WIP[Month],"&lt;&gt;",tbl_WIP[Month],"&lt;"&amp;$C$4,tbl_WIP[Defer Start],"")+SUMIF('Deferred Revenue'!$E$6:$E$607,$A28,'Deferred Revenue'!$P$6:$P$607)</f>
        <v/>
      </c>
      <c r="D28" s="43">
        <f>SUMIFS(tbl_WIP[Amount],tbl_WIP[Job Number],$A28,tbl_WIP[Month],$C$4,tbl_WIP[Defer Start],"")+SUMIF('Deferred Revenue'!$E$6:$E$607,$A28,'Deferred Revenue'!$Q$6:$Q$607)</f>
        <v/>
      </c>
      <c r="E28" s="43">
        <f>C28+D28</f>
        <v/>
      </c>
      <c r="F28" s="50">
        <f>IF(ROUND(C28,2)+ROUND(D28,2)=0,"","yes")</f>
        <v/>
      </c>
      <c r="G28" s="61" t="n"/>
      <c r="H28" s="43">
        <f>IF($G28="","",$E28-$G28)</f>
        <v/>
      </c>
    </row>
    <row r="29">
      <c r="A29" s="60" t="inlineStr">
        <is>
          <t>2407312</t>
        </is>
      </c>
      <c r="B29" s="60" t="inlineStr">
        <is>
          <t>Hills Performance Centre</t>
        </is>
      </c>
      <c r="C29" s="43">
        <f>SUMIFS(tbl_WIP[Amount],tbl_WIP[Job Number],$A29,tbl_WIP[Month],"&lt;&gt;",tbl_WIP[Month],"&lt;"&amp;$C$4,tbl_WIP[Defer Start],"")+SUMIF('Deferred Revenue'!$E$6:$E$607,$A29,'Deferred Revenue'!$P$6:$P$607)</f>
        <v/>
      </c>
      <c r="D29" s="43">
        <f>SUMIFS(tbl_WIP[Amount],tbl_WIP[Job Number],$A29,tbl_WIP[Month],$C$4,tbl_WIP[Defer Start],"")+SUMIF('Deferred Revenue'!$E$6:$E$607,$A29,'Deferred Revenue'!$Q$6:$Q$607)</f>
        <v/>
      </c>
      <c r="E29" s="43">
        <f>C29+D29</f>
        <v/>
      </c>
      <c r="F29" s="50">
        <f>IF(ROUND(C29,2)+ROUND(D29,2)=0,"","yes")</f>
        <v/>
      </c>
      <c r="G29" s="61" t="n"/>
      <c r="H29" s="43">
        <f>IF($G29="","",$E29-$G29)</f>
        <v/>
      </c>
    </row>
    <row r="30">
      <c r="A30" s="60" t="inlineStr">
        <is>
          <t>24102501</t>
        </is>
      </c>
      <c r="B30" s="60" t="inlineStr">
        <is>
          <t>PWC - MEL Tech 12Months</t>
        </is>
      </c>
      <c r="C30" s="43">
        <f>SUMIFS(tbl_WIP[Amount],tbl_WIP[Job Number],$A30,tbl_WIP[Month],"&lt;&gt;",tbl_WIP[Month],"&lt;"&amp;$C$4,tbl_WIP[Defer Start],"")+SUMIF('Deferred Revenue'!$E$6:$E$607,$A30,'Deferred Revenue'!$P$6:$P$607)</f>
        <v/>
      </c>
      <c r="D30" s="43">
        <f>SUMIFS(tbl_WIP[Amount],tbl_WIP[Job Number],$A30,tbl_WIP[Month],$C$4,tbl_WIP[Defer Start],"")+SUMIF('Deferred Revenue'!$E$6:$E$607,$A30,'Deferred Revenue'!$Q$6:$Q$607)</f>
        <v/>
      </c>
      <c r="E30" s="43">
        <f>C30+D30</f>
        <v/>
      </c>
      <c r="F30" s="50">
        <f>IF(ROUND(C30,2)+ROUND(D30,2)=0,"","yes")</f>
        <v/>
      </c>
      <c r="G30" s="61" t="n"/>
      <c r="H30" s="43">
        <f>IF($G30="","",$E30-$G30)</f>
        <v/>
      </c>
    </row>
    <row r="31">
      <c r="A31" s="60" t="inlineStr">
        <is>
          <t>24121001</t>
        </is>
      </c>
      <c r="B31" s="60" t="inlineStr">
        <is>
          <t>BW PER Studio Equipment Supply</t>
        </is>
      </c>
      <c r="C31" s="43">
        <f>SUMIFS(tbl_WIP[Amount],tbl_WIP[Job Number],$A31,tbl_WIP[Month],"&lt;&gt;",tbl_WIP[Month],"&lt;"&amp;$C$4,tbl_WIP[Defer Start],"")+SUMIF('Deferred Revenue'!$E$6:$E$607,$A31,'Deferred Revenue'!$P$6:$P$607)</f>
        <v/>
      </c>
      <c r="D31" s="43">
        <f>SUMIFS(tbl_WIP[Amount],tbl_WIP[Job Number],$A31,tbl_WIP[Month],$C$4,tbl_WIP[Defer Start],"")+SUMIF('Deferred Revenue'!$E$6:$E$607,$A31,'Deferred Revenue'!$Q$6:$Q$607)</f>
        <v/>
      </c>
      <c r="E31" s="43">
        <f>C31+D31</f>
        <v/>
      </c>
      <c r="F31" s="50">
        <f>IF(ROUND(C31,2)+ROUND(D31,2)=0,"","yes")</f>
        <v/>
      </c>
      <c r="G31" s="61" t="n"/>
      <c r="H31" s="43">
        <f>IF($G31="","",$E31-$G31)</f>
        <v/>
      </c>
    </row>
    <row r="32">
      <c r="A32" s="60" t="inlineStr">
        <is>
          <t>2479</t>
        </is>
      </c>
      <c r="B32" s="60" t="inlineStr">
        <is>
          <t>CONSULTING - Quotes</t>
        </is>
      </c>
      <c r="C32" s="43">
        <f>SUMIFS(tbl_WIP[Amount],tbl_WIP[Job Number],$A32,tbl_WIP[Month],"&lt;&gt;",tbl_WIP[Month],"&lt;"&amp;$C$4,tbl_WIP[Defer Start],"")+SUMIF('Deferred Revenue'!$E$6:$E$607,$A32,'Deferred Revenue'!$P$6:$P$607)</f>
        <v/>
      </c>
      <c r="D32" s="43">
        <f>SUMIFS(tbl_WIP[Amount],tbl_WIP[Job Number],$A32,tbl_WIP[Month],$C$4,tbl_WIP[Defer Start],"")+SUMIF('Deferred Revenue'!$E$6:$E$607,$A32,'Deferred Revenue'!$Q$6:$Q$607)</f>
        <v/>
      </c>
      <c r="E32" s="43">
        <f>C32+D32</f>
        <v/>
      </c>
      <c r="F32" s="50">
        <f>IF(ROUND(C32,2)+ROUND(D32,2)=0,"","yes")</f>
        <v/>
      </c>
      <c r="G32" s="61" t="n"/>
      <c r="H32" s="43">
        <f>IF($G32="","",$E32-$G32)</f>
        <v/>
      </c>
    </row>
    <row r="33">
      <c r="A33" s="60" t="inlineStr">
        <is>
          <t>2480</t>
        </is>
      </c>
      <c r="B33" s="60" t="inlineStr">
        <is>
          <t>ONSITE - Quotes</t>
        </is>
      </c>
      <c r="C33" s="43">
        <f>SUMIFS(tbl_WIP[Amount],tbl_WIP[Job Number],$A33,tbl_WIP[Month],"&lt;&gt;",tbl_WIP[Month],"&lt;"&amp;$C$4,tbl_WIP[Defer Start],"")+SUMIF('Deferred Revenue'!$E$6:$E$607,$A33,'Deferred Revenue'!$P$6:$P$607)</f>
        <v/>
      </c>
      <c r="D33" s="43">
        <f>SUMIFS(tbl_WIP[Amount],tbl_WIP[Job Number],$A33,tbl_WIP[Month],$C$4,tbl_WIP[Defer Start],"")+SUMIF('Deferred Revenue'!$E$6:$E$607,$A33,'Deferred Revenue'!$Q$6:$Q$607)</f>
        <v/>
      </c>
      <c r="E33" s="43">
        <f>C33+D33</f>
        <v/>
      </c>
      <c r="F33" s="50">
        <f>IF(ROUND(C33,2)+ROUND(D33,2)=0,"","yes")</f>
        <v/>
      </c>
      <c r="G33" s="61" t="n"/>
      <c r="H33" s="43">
        <f>IF($G33="","",$E33-$G33)</f>
        <v/>
      </c>
    </row>
    <row r="34">
      <c r="A34" s="60" t="inlineStr">
        <is>
          <t>2481</t>
        </is>
      </c>
      <c r="B34" s="60" t="inlineStr">
        <is>
          <t>Production - Quotes</t>
        </is>
      </c>
      <c r="C34" s="43">
        <f>SUMIFS(tbl_WIP[Amount],tbl_WIP[Job Number],$A34,tbl_WIP[Month],"&lt;&gt;",tbl_WIP[Month],"&lt;"&amp;$C$4,tbl_WIP[Defer Start],"")+SUMIF('Deferred Revenue'!$E$6:$E$607,$A34,'Deferred Revenue'!$P$6:$P$607)</f>
        <v/>
      </c>
      <c r="D34" s="43">
        <f>SUMIFS(tbl_WIP[Amount],tbl_WIP[Job Number],$A34,tbl_WIP[Month],$C$4,tbl_WIP[Defer Start],"")+SUMIF('Deferred Revenue'!$E$6:$E$607,$A34,'Deferred Revenue'!$Q$6:$Q$607)</f>
        <v/>
      </c>
      <c r="E34" s="43">
        <f>C34+D34</f>
        <v/>
      </c>
      <c r="F34" s="50">
        <f>IF(ROUND(C34,2)+ROUND(D34,2)=0,"","yes")</f>
        <v/>
      </c>
      <c r="G34" s="61" t="n"/>
      <c r="H34" s="43">
        <f>IF($G34="","",$E34-$G34)</f>
        <v/>
      </c>
    </row>
    <row r="35">
      <c r="A35" s="60" t="inlineStr">
        <is>
          <t>2482</t>
        </is>
      </c>
      <c r="B35" s="60" t="inlineStr">
        <is>
          <t>VIDEO - Quotes</t>
        </is>
      </c>
      <c r="C35" s="43">
        <f>SUMIFS(tbl_WIP[Amount],tbl_WIP[Job Number],$A35,tbl_WIP[Month],"&lt;&gt;",tbl_WIP[Month],"&lt;"&amp;$C$4,tbl_WIP[Defer Start],"")+SUMIF('Deferred Revenue'!$E$6:$E$607,$A35,'Deferred Revenue'!$P$6:$P$607)</f>
        <v/>
      </c>
      <c r="D35" s="43">
        <f>SUMIFS(tbl_WIP[Amount],tbl_WIP[Job Number],$A35,tbl_WIP[Month],$C$4,tbl_WIP[Defer Start],"")+SUMIF('Deferred Revenue'!$E$6:$E$607,$A35,'Deferred Revenue'!$Q$6:$Q$607)</f>
        <v/>
      </c>
      <c r="E35" s="43">
        <f>C35+D35</f>
        <v/>
      </c>
      <c r="F35" s="50">
        <f>IF(ROUND(C35,2)+ROUND(D35,2)=0,"","yes")</f>
        <v/>
      </c>
      <c r="G35" s="61" t="n"/>
      <c r="H35" s="43">
        <f>IF($G35="","",$E35-$G35)</f>
        <v/>
      </c>
    </row>
    <row r="36">
      <c r="A36" s="60" t="inlineStr">
        <is>
          <t>2488</t>
        </is>
      </c>
      <c r="B36" s="60" t="inlineStr">
        <is>
          <t>PWC IT P/T BNE</t>
        </is>
      </c>
      <c r="C36" s="43">
        <f>SUMIFS(tbl_WIP[Amount],tbl_WIP[Job Number],$A36,tbl_WIP[Month],"&lt;&gt;",tbl_WIP[Month],"&lt;"&amp;$C$4,tbl_WIP[Defer Start],"")+SUMIF('Deferred Revenue'!$E$6:$E$607,$A36,'Deferred Revenue'!$P$6:$P$607)</f>
        <v/>
      </c>
      <c r="D36" s="43">
        <f>SUMIFS(tbl_WIP[Amount],tbl_WIP[Job Number],$A36,tbl_WIP[Month],$C$4,tbl_WIP[Defer Start],"")+SUMIF('Deferred Revenue'!$E$6:$E$607,$A36,'Deferred Revenue'!$Q$6:$Q$607)</f>
        <v/>
      </c>
      <c r="E36" s="43">
        <f>C36+D36</f>
        <v/>
      </c>
      <c r="F36" s="50">
        <f>IF(ROUND(C36,2)+ROUND(D36,2)=0,"","yes")</f>
        <v/>
      </c>
      <c r="G36" s="61" t="n"/>
      <c r="H36" s="43">
        <f>IF($G36="","",$E36-$G36)</f>
        <v/>
      </c>
    </row>
    <row r="37">
      <c r="A37" s="60" t="inlineStr">
        <is>
          <t>25011601</t>
        </is>
      </c>
      <c r="B37" s="60" t="inlineStr">
        <is>
          <t>DTTL Hobart ITS AV Ref</t>
        </is>
      </c>
      <c r="C37" s="43">
        <f>SUMIFS(tbl_WIP[Amount],tbl_WIP[Job Number],$A37,tbl_WIP[Month],"&lt;&gt;",tbl_WIP[Month],"&lt;"&amp;$C$4,tbl_WIP[Defer Start],"")+SUMIF('Deferred Revenue'!$E$6:$E$607,$A37,'Deferred Revenue'!$P$6:$P$607)</f>
        <v/>
      </c>
      <c r="D37" s="43">
        <f>SUMIFS(tbl_WIP[Amount],tbl_WIP[Job Number],$A37,tbl_WIP[Month],$C$4,tbl_WIP[Defer Start],"")+SUMIF('Deferred Revenue'!$E$6:$E$607,$A37,'Deferred Revenue'!$Q$6:$Q$607)</f>
        <v/>
      </c>
      <c r="E37" s="43">
        <f>C37+D37</f>
        <v/>
      </c>
      <c r="F37" s="50">
        <f>IF(ROUND(C37,2)+ROUND(D37,2)=0,"","yes")</f>
        <v/>
      </c>
      <c r="G37" s="61" t="n"/>
      <c r="H37" s="43">
        <f>IF($G37="","",$E37-$G37)</f>
        <v/>
      </c>
    </row>
    <row r="38">
      <c r="A38" s="60" t="inlineStr">
        <is>
          <t>2501738</t>
        </is>
      </c>
      <c r="B38" s="60" t="inlineStr">
        <is>
          <t>APA HYR25 &amp; FYR25</t>
        </is>
      </c>
      <c r="C38" s="43">
        <f>SUMIFS(tbl_WIP[Amount],tbl_WIP[Job Number],$A38,tbl_WIP[Month],"&lt;&gt;",tbl_WIP[Month],"&lt;"&amp;$C$4,tbl_WIP[Defer Start],"")+SUMIF('Deferred Revenue'!$E$6:$E$607,$A38,'Deferred Revenue'!$P$6:$P$607)</f>
        <v/>
      </c>
      <c r="D38" s="43">
        <f>SUMIFS(tbl_WIP[Amount],tbl_WIP[Job Number],$A38,tbl_WIP[Month],$C$4,tbl_WIP[Defer Start],"")+SUMIF('Deferred Revenue'!$E$6:$E$607,$A38,'Deferred Revenue'!$Q$6:$Q$607)</f>
        <v/>
      </c>
      <c r="E38" s="43">
        <f>C38+D38</f>
        <v/>
      </c>
      <c r="F38" s="50">
        <f>IF(ROUND(C38,2)+ROUND(D38,2)=0,"","yes")</f>
        <v/>
      </c>
      <c r="G38" s="61" t="n"/>
      <c r="H38" s="43">
        <f>IF($G38="","",$E38-$G38)</f>
        <v/>
      </c>
    </row>
    <row r="39">
      <c r="A39" s="60" t="inlineStr">
        <is>
          <t>2502</t>
        </is>
      </c>
      <c r="B39" s="60" t="inlineStr">
        <is>
          <t>ONS CBA (non-chargeable)</t>
        </is>
      </c>
      <c r="C39" s="43">
        <f>SUMIFS(tbl_WIP[Amount],tbl_WIP[Job Number],$A39,tbl_WIP[Month],"&lt;&gt;",tbl_WIP[Month],"&lt;"&amp;$C$4,tbl_WIP[Defer Start],"")+SUMIF('Deferred Revenue'!$E$6:$E$607,$A39,'Deferred Revenue'!$P$6:$P$607)</f>
        <v/>
      </c>
      <c r="D39" s="43">
        <f>SUMIFS(tbl_WIP[Amount],tbl_WIP[Job Number],$A39,tbl_WIP[Month],$C$4,tbl_WIP[Defer Start],"")+SUMIF('Deferred Revenue'!$E$6:$E$607,$A39,'Deferred Revenue'!$Q$6:$Q$607)</f>
        <v/>
      </c>
      <c r="E39" s="43">
        <f>C39+D39</f>
        <v/>
      </c>
      <c r="F39" s="50">
        <f>IF(ROUND(C39,2)+ROUND(D39,2)=0,"","yes")</f>
        <v/>
      </c>
      <c r="G39" s="61" t="n"/>
      <c r="H39" s="43">
        <f>IF($G39="","",$E39-$G39)</f>
        <v/>
      </c>
    </row>
    <row r="40">
      <c r="A40" s="60" t="inlineStr">
        <is>
          <t>25021901</t>
        </is>
      </c>
      <c r="B40" s="60" t="inlineStr">
        <is>
          <t>DAFF Technology Standard</t>
        </is>
      </c>
      <c r="C40" s="43">
        <f>SUMIFS(tbl_WIP[Amount],tbl_WIP[Job Number],$A40,tbl_WIP[Month],"&lt;&gt;",tbl_WIP[Month],"&lt;"&amp;$C$4,tbl_WIP[Defer Start],"")+SUMIF('Deferred Revenue'!$E$6:$E$607,$A40,'Deferred Revenue'!$P$6:$P$607)</f>
        <v/>
      </c>
      <c r="D40" s="43">
        <f>SUMIFS(tbl_WIP[Amount],tbl_WIP[Job Number],$A40,tbl_WIP[Month],$C$4,tbl_WIP[Defer Start],"")+SUMIF('Deferred Revenue'!$E$6:$E$607,$A40,'Deferred Revenue'!$Q$6:$Q$607)</f>
        <v/>
      </c>
      <c r="E40" s="43">
        <f>C40+D40</f>
        <v/>
      </c>
      <c r="F40" s="50">
        <f>IF(ROUND(C40,2)+ROUND(D40,2)=0,"","yes")</f>
        <v/>
      </c>
      <c r="G40" s="61" t="n"/>
      <c r="H40" s="43">
        <f>IF($G40="","",$E40-$G40)</f>
        <v/>
      </c>
    </row>
    <row r="41">
      <c r="A41" s="60" t="inlineStr">
        <is>
          <t>2503</t>
        </is>
      </c>
      <c r="B41" s="60" t="inlineStr">
        <is>
          <t>ONS DTTL (non-chargeable)</t>
        </is>
      </c>
      <c r="C41" s="43">
        <f>SUMIFS(tbl_WIP[Amount],tbl_WIP[Job Number],$A41,tbl_WIP[Month],"&lt;&gt;",tbl_WIP[Month],"&lt;"&amp;$C$4,tbl_WIP[Defer Start],"")+SUMIF('Deferred Revenue'!$E$6:$E$607,$A41,'Deferred Revenue'!$P$6:$P$607)</f>
        <v/>
      </c>
      <c r="D41" s="43">
        <f>SUMIFS(tbl_WIP[Amount],tbl_WIP[Job Number],$A41,tbl_WIP[Month],$C$4,tbl_WIP[Defer Start],"")+SUMIF('Deferred Revenue'!$E$6:$E$607,$A41,'Deferred Revenue'!$Q$6:$Q$607)</f>
        <v/>
      </c>
      <c r="E41" s="43">
        <f>C41+D41</f>
        <v/>
      </c>
      <c r="F41" s="50">
        <f>IF(ROUND(C41,2)+ROUND(D41,2)=0,"","yes")</f>
        <v/>
      </c>
      <c r="G41" s="61" t="n"/>
      <c r="H41" s="43">
        <f>IF($G41="","",$E41-$G41)</f>
        <v/>
      </c>
    </row>
    <row r="42">
      <c r="A42" s="60" t="inlineStr">
        <is>
          <t>25032701</t>
        </is>
      </c>
      <c r="B42" s="60" t="inlineStr">
        <is>
          <t>St Catherines Chargeable</t>
        </is>
      </c>
      <c r="C42" s="43">
        <f>SUMIFS(tbl_WIP[Amount],tbl_WIP[Job Number],$A42,tbl_WIP[Month],"&lt;&gt;",tbl_WIP[Month],"&lt;"&amp;$C$4,tbl_WIP[Defer Start],"")+SUMIF('Deferred Revenue'!$E$6:$E$607,$A42,'Deferred Revenue'!$P$6:$P$607)</f>
        <v/>
      </c>
      <c r="D42" s="43">
        <f>SUMIFS(tbl_WIP[Amount],tbl_WIP[Job Number],$A42,tbl_WIP[Month],$C$4,tbl_WIP[Defer Start],"")+SUMIF('Deferred Revenue'!$E$6:$E$607,$A42,'Deferred Revenue'!$Q$6:$Q$607)</f>
        <v/>
      </c>
      <c r="E42" s="43">
        <f>C42+D42</f>
        <v/>
      </c>
      <c r="F42" s="50">
        <f>IF(ROUND(C42,2)+ROUND(D42,2)=0,"","yes")</f>
        <v/>
      </c>
      <c r="G42" s="61" t="n"/>
      <c r="H42" s="43">
        <f>IF($G42="","",$E42-$G42)</f>
        <v/>
      </c>
    </row>
    <row r="43">
      <c r="A43" s="60" t="inlineStr">
        <is>
          <t>25032701NC</t>
        </is>
      </c>
      <c r="B43" s="60" t="inlineStr">
        <is>
          <t>St Catherines Non-Chgble</t>
        </is>
      </c>
      <c r="C43" s="43">
        <f>SUMIFS(tbl_WIP[Amount],tbl_WIP[Job Number],$A43,tbl_WIP[Month],"&lt;&gt;",tbl_WIP[Month],"&lt;"&amp;$C$4,tbl_WIP[Defer Start],"")+SUMIF('Deferred Revenue'!$E$6:$E$607,$A43,'Deferred Revenue'!$P$6:$P$607)</f>
        <v/>
      </c>
      <c r="D43" s="43">
        <f>SUMIFS(tbl_WIP[Amount],tbl_WIP[Job Number],$A43,tbl_WIP[Month],$C$4,tbl_WIP[Defer Start],"")+SUMIF('Deferred Revenue'!$E$6:$E$607,$A43,'Deferred Revenue'!$Q$6:$Q$607)</f>
        <v/>
      </c>
      <c r="E43" s="43">
        <f>C43+D43</f>
        <v/>
      </c>
      <c r="F43" s="50">
        <f>IF(ROUND(C43,2)+ROUND(D43,2)=0,"","yes")</f>
        <v/>
      </c>
      <c r="G43" s="61" t="n"/>
      <c r="H43" s="43">
        <f>IF($G43="","",$E43-$G43)</f>
        <v/>
      </c>
    </row>
    <row r="44">
      <c r="A44" s="60" t="inlineStr">
        <is>
          <t>2504</t>
        </is>
      </c>
      <c r="B44" s="60" t="inlineStr">
        <is>
          <t>ONS WBC (non-chargeable)</t>
        </is>
      </c>
      <c r="C44" s="43">
        <f>SUMIFS(tbl_WIP[Amount],tbl_WIP[Job Number],$A44,tbl_WIP[Month],"&lt;&gt;",tbl_WIP[Month],"&lt;"&amp;$C$4,tbl_WIP[Defer Start],"")+SUMIF('Deferred Revenue'!$E$6:$E$607,$A44,'Deferred Revenue'!$P$6:$P$607)</f>
        <v/>
      </c>
      <c r="D44" s="43">
        <f>SUMIFS(tbl_WIP[Amount],tbl_WIP[Job Number],$A44,tbl_WIP[Month],$C$4,tbl_WIP[Defer Start],"")+SUMIF('Deferred Revenue'!$E$6:$E$607,$A44,'Deferred Revenue'!$Q$6:$Q$607)</f>
        <v/>
      </c>
      <c r="E44" s="43">
        <f>C44+D44</f>
        <v/>
      </c>
      <c r="F44" s="50">
        <f>IF(ROUND(C44,2)+ROUND(D44,2)=0,"","yes")</f>
        <v/>
      </c>
      <c r="G44" s="61" t="n"/>
      <c r="H44" s="43">
        <f>IF($G44="","",$E44-$G44)</f>
        <v/>
      </c>
    </row>
    <row r="45">
      <c r="A45" s="60" t="inlineStr">
        <is>
          <t>25041502</t>
        </is>
      </c>
      <c r="B45" s="60" t="inlineStr">
        <is>
          <t>PDNSW DB License Ext</t>
        </is>
      </c>
      <c r="C45" s="43">
        <f>SUMIFS(tbl_WIP[Amount],tbl_WIP[Job Number],$A45,tbl_WIP[Month],"&lt;&gt;",tbl_WIP[Month],"&lt;"&amp;$C$4,tbl_WIP[Defer Start],"")+SUMIF('Deferred Revenue'!$E$6:$E$607,$A45,'Deferred Revenue'!$P$6:$P$607)</f>
        <v/>
      </c>
      <c r="D45" s="43">
        <f>SUMIFS(tbl_WIP[Amount],tbl_WIP[Job Number],$A45,tbl_WIP[Month],$C$4,tbl_WIP[Defer Start],"")+SUMIF('Deferred Revenue'!$E$6:$E$607,$A45,'Deferred Revenue'!$Q$6:$Q$607)</f>
        <v/>
      </c>
      <c r="E45" s="43">
        <f>C45+D45</f>
        <v/>
      </c>
      <c r="F45" s="50">
        <f>IF(ROUND(C45,2)+ROUND(D45,2)=0,"","yes")</f>
        <v/>
      </c>
      <c r="G45" s="61" t="n"/>
      <c r="H45" s="43">
        <f>IF($G45="","",$E45-$G45)</f>
        <v/>
      </c>
    </row>
    <row r="46">
      <c r="A46" s="60" t="inlineStr">
        <is>
          <t>2505</t>
        </is>
      </c>
      <c r="B46" s="60" t="inlineStr">
        <is>
          <t>ONS PWC (non-chargeable)</t>
        </is>
      </c>
      <c r="C46" s="43">
        <f>SUMIFS(tbl_WIP[Amount],tbl_WIP[Job Number],$A46,tbl_WIP[Month],"&lt;&gt;",tbl_WIP[Month],"&lt;"&amp;$C$4,tbl_WIP[Defer Start],"")+SUMIF('Deferred Revenue'!$E$6:$E$607,$A46,'Deferred Revenue'!$P$6:$P$607)</f>
        <v/>
      </c>
      <c r="D46" s="43">
        <f>SUMIFS(tbl_WIP[Amount],tbl_WIP[Job Number],$A46,tbl_WIP[Month],$C$4,tbl_WIP[Defer Start],"")+SUMIF('Deferred Revenue'!$E$6:$E$607,$A46,'Deferred Revenue'!$Q$6:$Q$607)</f>
        <v/>
      </c>
      <c r="E46" s="43">
        <f>C46+D46</f>
        <v/>
      </c>
      <c r="F46" s="50">
        <f>IF(ROUND(C46,2)+ROUND(D46,2)=0,"","yes")</f>
        <v/>
      </c>
      <c r="G46" s="61" t="n"/>
      <c r="H46" s="43">
        <f>IF($G46="","",$E46-$G46)</f>
        <v/>
      </c>
    </row>
    <row r="47">
      <c r="A47" s="60" t="inlineStr">
        <is>
          <t>25051302</t>
        </is>
      </c>
      <c r="B47" s="60" t="inlineStr">
        <is>
          <t>NSW Prop Bradfield Desk Booking + Penrith Additional</t>
        </is>
      </c>
      <c r="C47" s="43">
        <f>SUMIFS(tbl_WIP[Amount],tbl_WIP[Job Number],$A47,tbl_WIP[Month],"&lt;&gt;",tbl_WIP[Month],"&lt;"&amp;$C$4,tbl_WIP[Defer Start],"")+SUMIF('Deferred Revenue'!$E$6:$E$607,$A47,'Deferred Revenue'!$P$6:$P$607)</f>
        <v/>
      </c>
      <c r="D47" s="43">
        <f>SUMIFS(tbl_WIP[Amount],tbl_WIP[Job Number],$A47,tbl_WIP[Month],$C$4,tbl_WIP[Defer Start],"")+SUMIF('Deferred Revenue'!$E$6:$E$607,$A47,'Deferred Revenue'!$Q$6:$Q$607)</f>
        <v/>
      </c>
      <c r="E47" s="43">
        <f>C47+D47</f>
        <v/>
      </c>
      <c r="F47" s="50">
        <f>IF(ROUND(C47,2)+ROUND(D47,2)=0,"","yes")</f>
        <v/>
      </c>
      <c r="G47" s="61" t="n"/>
      <c r="H47" s="43">
        <f>IF($G47="","",$E47-$G47)</f>
        <v/>
      </c>
    </row>
    <row r="48">
      <c r="A48" s="60" t="inlineStr">
        <is>
          <t>25051403</t>
        </is>
      </c>
      <c r="B48" s="60" t="inlineStr">
        <is>
          <t>DTTL SYD Tech Supp TMT AP</t>
        </is>
      </c>
      <c r="C48" s="43">
        <f>SUMIFS(tbl_WIP[Amount],tbl_WIP[Job Number],$A48,tbl_WIP[Month],"&lt;&gt;",tbl_WIP[Month],"&lt;"&amp;$C$4,tbl_WIP[Defer Start],"")+SUMIF('Deferred Revenue'!$E$6:$E$607,$A48,'Deferred Revenue'!$P$6:$P$607)</f>
        <v/>
      </c>
      <c r="D48" s="43">
        <f>SUMIFS(tbl_WIP[Amount],tbl_WIP[Job Number],$A48,tbl_WIP[Month],$C$4,tbl_WIP[Defer Start],"")+SUMIF('Deferred Revenue'!$E$6:$E$607,$A48,'Deferred Revenue'!$Q$6:$Q$607)</f>
        <v/>
      </c>
      <c r="E48" s="43">
        <f>C48+D48</f>
        <v/>
      </c>
      <c r="F48" s="50">
        <f>IF(ROUND(C48,2)+ROUND(D48,2)=0,"","yes")</f>
        <v/>
      </c>
      <c r="G48" s="61" t="n"/>
      <c r="H48" s="43">
        <f>IF($G48="","",$E48-$G48)</f>
        <v/>
      </c>
    </row>
    <row r="49">
      <c r="A49" s="60" t="inlineStr">
        <is>
          <t>25052802</t>
        </is>
      </c>
      <c r="B49" s="60" t="inlineStr">
        <is>
          <t>Aus Retirement Trust Members Meeting 2025</t>
        </is>
      </c>
      <c r="C49" s="43">
        <f>SUMIFS(tbl_WIP[Amount],tbl_WIP[Job Number],$A49,tbl_WIP[Month],"&lt;&gt;",tbl_WIP[Month],"&lt;"&amp;$C$4,tbl_WIP[Defer Start],"")+SUMIF('Deferred Revenue'!$E$6:$E$607,$A49,'Deferred Revenue'!$P$6:$P$607)</f>
        <v/>
      </c>
      <c r="D49" s="43">
        <f>SUMIFS(tbl_WIP[Amount],tbl_WIP[Job Number],$A49,tbl_WIP[Month],$C$4,tbl_WIP[Defer Start],"")+SUMIF('Deferred Revenue'!$E$6:$E$607,$A49,'Deferred Revenue'!$Q$6:$Q$607)</f>
        <v/>
      </c>
      <c r="E49" s="43">
        <f>C49+D49</f>
        <v/>
      </c>
      <c r="F49" s="50">
        <f>IF(ROUND(C49,2)+ROUND(D49,2)=0,"","yes")</f>
        <v/>
      </c>
      <c r="G49" s="61" t="n"/>
      <c r="H49" s="43">
        <f>IF($G49="","",$E49-$G49)</f>
        <v/>
      </c>
    </row>
    <row r="50">
      <c r="A50" s="60" t="inlineStr">
        <is>
          <t>2505901</t>
        </is>
      </c>
      <c r="B50" s="60" t="inlineStr">
        <is>
          <t>COS Projector Lens Supply</t>
        </is>
      </c>
      <c r="C50" s="43">
        <f>SUMIFS(tbl_WIP[Amount],tbl_WIP[Job Number],$A50,tbl_WIP[Month],"&lt;&gt;",tbl_WIP[Month],"&lt;"&amp;$C$4,tbl_WIP[Defer Start],"")+SUMIF('Deferred Revenue'!$E$6:$E$607,$A50,'Deferred Revenue'!$P$6:$P$607)</f>
        <v/>
      </c>
      <c r="D50" s="43">
        <f>SUMIFS(tbl_WIP[Amount],tbl_WIP[Job Number],$A50,tbl_WIP[Month],$C$4,tbl_WIP[Defer Start],"")+SUMIF('Deferred Revenue'!$E$6:$E$607,$A50,'Deferred Revenue'!$Q$6:$Q$607)</f>
        <v/>
      </c>
      <c r="E50" s="43">
        <f>C50+D50</f>
        <v/>
      </c>
      <c r="F50" s="50">
        <f>IF(ROUND(C50,2)+ROUND(D50,2)=0,"","yes")</f>
        <v/>
      </c>
      <c r="G50" s="61" t="n"/>
      <c r="H50" s="43">
        <f>IF($G50="","",$E50-$G50)</f>
        <v/>
      </c>
    </row>
    <row r="51">
      <c r="A51" s="60" t="inlineStr">
        <is>
          <t>2506</t>
        </is>
      </c>
      <c r="B51" s="60" t="inlineStr">
        <is>
          <t>ONS BWEST (non-chargeable)</t>
        </is>
      </c>
      <c r="C51" s="43">
        <f>SUMIFS(tbl_WIP[Amount],tbl_WIP[Job Number],$A51,tbl_WIP[Month],"&lt;&gt;",tbl_WIP[Month],"&lt;"&amp;$C$4,tbl_WIP[Defer Start],"")+SUMIF('Deferred Revenue'!$E$6:$E$607,$A51,'Deferred Revenue'!$P$6:$P$607)</f>
        <v/>
      </c>
      <c r="D51" s="43">
        <f>SUMIFS(tbl_WIP[Amount],tbl_WIP[Job Number],$A51,tbl_WIP[Month],$C$4,tbl_WIP[Defer Start],"")+SUMIF('Deferred Revenue'!$E$6:$E$607,$A51,'Deferred Revenue'!$Q$6:$Q$607)</f>
        <v/>
      </c>
      <c r="E51" s="43">
        <f>C51+D51</f>
        <v/>
      </c>
      <c r="F51" s="50">
        <f>IF(ROUND(C51,2)+ROUND(D51,2)=0,"","yes")</f>
        <v/>
      </c>
      <c r="G51" s="61" t="n"/>
      <c r="H51" s="43">
        <f>IF($G51="","",$E51-$G51)</f>
        <v/>
      </c>
    </row>
    <row r="52">
      <c r="A52" s="60" t="inlineStr">
        <is>
          <t>25060301</t>
        </is>
      </c>
      <c r="B52" s="60" t="inlineStr">
        <is>
          <t>6PSQ L12 Desk Booking</t>
        </is>
      </c>
      <c r="C52" s="43">
        <f>SUMIFS(tbl_WIP[Amount],tbl_WIP[Job Number],$A52,tbl_WIP[Month],"&lt;&gt;",tbl_WIP[Month],"&lt;"&amp;$C$4,tbl_WIP[Defer Start],"")+SUMIF('Deferred Revenue'!$E$6:$E$607,$A52,'Deferred Revenue'!$P$6:$P$607)</f>
        <v/>
      </c>
      <c r="D52" s="43">
        <f>SUMIFS(tbl_WIP[Amount],tbl_WIP[Job Number],$A52,tbl_WIP[Month],$C$4,tbl_WIP[Defer Start],"")+SUMIF('Deferred Revenue'!$E$6:$E$607,$A52,'Deferred Revenue'!$Q$6:$Q$607)</f>
        <v/>
      </c>
      <c r="E52" s="43">
        <f>C52+D52</f>
        <v/>
      </c>
      <c r="F52" s="50">
        <f>IF(ROUND(C52,2)+ROUND(D52,2)=0,"","yes")</f>
        <v/>
      </c>
      <c r="G52" s="61" t="n"/>
      <c r="H52" s="43">
        <f>IF($G52="","",$E52-$G52)</f>
        <v/>
      </c>
    </row>
    <row r="53">
      <c r="A53" s="60" t="inlineStr">
        <is>
          <t>25060307</t>
        </is>
      </c>
      <c r="B53" s="60" t="inlineStr">
        <is>
          <t>DPIE Molesworth St D/B</t>
        </is>
      </c>
      <c r="C53" s="43">
        <f>SUMIFS(tbl_WIP[Amount],tbl_WIP[Job Number],$A53,tbl_WIP[Month],"&lt;&gt;",tbl_WIP[Month],"&lt;"&amp;$C$4,tbl_WIP[Defer Start],"")+SUMIF('Deferred Revenue'!$E$6:$E$607,$A53,'Deferred Revenue'!$P$6:$P$607)</f>
        <v/>
      </c>
      <c r="D53" s="43">
        <f>SUMIFS(tbl_WIP[Amount],tbl_WIP[Job Number],$A53,tbl_WIP[Month],$C$4,tbl_WIP[Defer Start],"")+SUMIF('Deferred Revenue'!$E$6:$E$607,$A53,'Deferred Revenue'!$Q$6:$Q$607)</f>
        <v/>
      </c>
      <c r="E53" s="43">
        <f>C53+D53</f>
        <v/>
      </c>
      <c r="F53" s="50">
        <f>IF(ROUND(C53,2)+ROUND(D53,2)=0,"","yes")</f>
        <v/>
      </c>
      <c r="G53" s="61" t="n"/>
      <c r="H53" s="43">
        <f>IF($G53="","",$E53-$G53)</f>
        <v/>
      </c>
    </row>
    <row r="54">
      <c r="A54" s="60" t="inlineStr">
        <is>
          <t>2506208</t>
        </is>
      </c>
      <c r="B54" s="60" t="inlineStr">
        <is>
          <t>CBA AGM 2026</t>
        </is>
      </c>
      <c r="C54" s="43">
        <f>SUMIFS(tbl_WIP[Amount],tbl_WIP[Job Number],$A54,tbl_WIP[Month],"&lt;&gt;",tbl_WIP[Month],"&lt;"&amp;$C$4,tbl_WIP[Defer Start],"")+SUMIF('Deferred Revenue'!$E$6:$E$607,$A54,'Deferred Revenue'!$P$6:$P$607)</f>
        <v/>
      </c>
      <c r="D54" s="43">
        <f>SUMIFS(tbl_WIP[Amount],tbl_WIP[Job Number],$A54,tbl_WIP[Month],$C$4,tbl_WIP[Defer Start],"")+SUMIF('Deferred Revenue'!$E$6:$E$607,$A54,'Deferred Revenue'!$Q$6:$Q$607)</f>
        <v/>
      </c>
      <c r="E54" s="43">
        <f>C54+D54</f>
        <v/>
      </c>
      <c r="F54" s="50">
        <f>IF(ROUND(C54,2)+ROUND(D54,2)=0,"","yes")</f>
        <v/>
      </c>
      <c r="G54" s="61" t="n"/>
      <c r="H54" s="43">
        <f>IF($G54="","",$E54-$G54)</f>
        <v/>
      </c>
    </row>
    <row r="55">
      <c r="A55" s="60" t="inlineStr">
        <is>
          <t>2506208V</t>
        </is>
      </c>
      <c r="B55" s="60" t="inlineStr">
        <is>
          <t>CBA AGM 2026</t>
        </is>
      </c>
      <c r="C55" s="43">
        <f>SUMIFS(tbl_WIP[Amount],tbl_WIP[Job Number],$A55,tbl_WIP[Month],"&lt;&gt;",tbl_WIP[Month],"&lt;"&amp;$C$4,tbl_WIP[Defer Start],"")+SUMIF('Deferred Revenue'!$E$6:$E$607,$A55,'Deferred Revenue'!$P$6:$P$607)</f>
        <v/>
      </c>
      <c r="D55" s="43">
        <f>SUMIFS(tbl_WIP[Amount],tbl_WIP[Job Number],$A55,tbl_WIP[Month],$C$4,tbl_WIP[Defer Start],"")+SUMIF('Deferred Revenue'!$E$6:$E$607,$A55,'Deferred Revenue'!$Q$6:$Q$607)</f>
        <v/>
      </c>
      <c r="E55" s="43">
        <f>C55+D55</f>
        <v/>
      </c>
      <c r="F55" s="50">
        <f>IF(ROUND(C55,2)+ROUND(D55,2)=0,"","yes")</f>
        <v/>
      </c>
      <c r="G55" s="61" t="n"/>
      <c r="H55" s="43">
        <f>IF($G55="","",$E55-$G55)</f>
        <v/>
      </c>
    </row>
    <row r="56">
      <c r="A56" s="60" t="inlineStr">
        <is>
          <t>25063001V</t>
        </is>
      </c>
      <c r="B56" s="60" t="inlineStr">
        <is>
          <t>APA All Hands Staff</t>
        </is>
      </c>
      <c r="C56" s="43">
        <f>SUMIFS(tbl_WIP[Amount],tbl_WIP[Job Number],$A56,tbl_WIP[Month],"&lt;&gt;",tbl_WIP[Month],"&lt;"&amp;$C$4,tbl_WIP[Defer Start],"")+SUMIF('Deferred Revenue'!$E$6:$E$607,$A56,'Deferred Revenue'!$P$6:$P$607)</f>
        <v/>
      </c>
      <c r="D56" s="43">
        <f>SUMIFS(tbl_WIP[Amount],tbl_WIP[Job Number],$A56,tbl_WIP[Month],$C$4,tbl_WIP[Defer Start],"")+SUMIF('Deferred Revenue'!$E$6:$E$607,$A56,'Deferred Revenue'!$Q$6:$Q$607)</f>
        <v/>
      </c>
      <c r="E56" s="43">
        <f>C56+D56</f>
        <v/>
      </c>
      <c r="F56" s="50">
        <f>IF(ROUND(C56,2)+ROUND(D56,2)=0,"","yes")</f>
        <v/>
      </c>
      <c r="G56" s="61" t="n"/>
      <c r="H56" s="43">
        <f>IF($G56="","",$E56-$G56)</f>
        <v/>
      </c>
    </row>
    <row r="57">
      <c r="A57" s="60" t="inlineStr">
        <is>
          <t>25070702</t>
        </is>
      </c>
      <c r="B57" s="60" t="inlineStr">
        <is>
          <t>APA VMS Brisbane &amp; Darwin</t>
        </is>
      </c>
      <c r="C57" s="43">
        <f>SUMIFS(tbl_WIP[Amount],tbl_WIP[Job Number],$A57,tbl_WIP[Month],"&lt;&gt;",tbl_WIP[Month],"&lt;"&amp;$C$4,tbl_WIP[Defer Start],"")+SUMIF('Deferred Revenue'!$E$6:$E$607,$A57,'Deferred Revenue'!$P$6:$P$607)</f>
        <v/>
      </c>
      <c r="D57" s="43">
        <f>SUMIFS(tbl_WIP[Amount],tbl_WIP[Job Number],$A57,tbl_WIP[Month],$C$4,tbl_WIP[Defer Start],"")+SUMIF('Deferred Revenue'!$E$6:$E$607,$A57,'Deferred Revenue'!$Q$6:$Q$607)</f>
        <v/>
      </c>
      <c r="E57" s="43">
        <f>C57+D57</f>
        <v/>
      </c>
      <c r="F57" s="50">
        <f>IF(ROUND(C57,2)+ROUND(D57,2)=0,"","yes")</f>
        <v/>
      </c>
      <c r="G57" s="61" t="n"/>
      <c r="H57" s="43">
        <f>IF($G57="","",$E57-$G57)</f>
        <v/>
      </c>
    </row>
    <row r="58">
      <c r="A58" s="60" t="inlineStr">
        <is>
          <t>2507203</t>
        </is>
      </c>
      <c r="B58" s="60" t="inlineStr">
        <is>
          <t>Hills Grammar Airmedia Supply</t>
        </is>
      </c>
      <c r="C58" s="43">
        <f>SUMIFS(tbl_WIP[Amount],tbl_WIP[Job Number],$A58,tbl_WIP[Month],"&lt;&gt;",tbl_WIP[Month],"&lt;"&amp;$C$4,tbl_WIP[Defer Start],"")+SUMIF('Deferred Revenue'!$E$6:$E$607,$A58,'Deferred Revenue'!$P$6:$P$607)</f>
        <v/>
      </c>
      <c r="D58" s="43">
        <f>SUMIFS(tbl_WIP[Amount],tbl_WIP[Job Number],$A58,tbl_WIP[Month],$C$4,tbl_WIP[Defer Start],"")+SUMIF('Deferred Revenue'!$E$6:$E$607,$A58,'Deferred Revenue'!$Q$6:$Q$607)</f>
        <v/>
      </c>
      <c r="E58" s="43">
        <f>C58+D58</f>
        <v/>
      </c>
      <c r="F58" s="50">
        <f>IF(ROUND(C58,2)+ROUND(D58,2)=0,"","yes")</f>
        <v/>
      </c>
      <c r="G58" s="61" t="n"/>
      <c r="H58" s="43">
        <f>IF($G58="","",$E58-$G58)</f>
        <v/>
      </c>
    </row>
    <row r="59">
      <c r="A59" s="60" t="inlineStr">
        <is>
          <t>25081402</t>
        </is>
      </c>
      <c r="B59" s="60" t="inlineStr">
        <is>
          <t>Hills Grammar Loan Airmedia Purchase</t>
        </is>
      </c>
      <c r="C59" s="43">
        <f>SUMIFS(tbl_WIP[Amount],tbl_WIP[Job Number],$A59,tbl_WIP[Month],"&lt;&gt;",tbl_WIP[Month],"&lt;"&amp;$C$4,tbl_WIP[Defer Start],"")+SUMIF('Deferred Revenue'!$E$6:$E$607,$A59,'Deferred Revenue'!$P$6:$P$607)</f>
        <v/>
      </c>
      <c r="D59" s="43">
        <f>SUMIFS(tbl_WIP[Amount],tbl_WIP[Job Number],$A59,tbl_WIP[Month],$C$4,tbl_WIP[Defer Start],"")+SUMIF('Deferred Revenue'!$E$6:$E$607,$A59,'Deferred Revenue'!$Q$6:$Q$607)</f>
        <v/>
      </c>
      <c r="E59" s="43">
        <f>C59+D59</f>
        <v/>
      </c>
      <c r="F59" s="50">
        <f>IF(ROUND(C59,2)+ROUND(D59,2)=0,"","yes")</f>
        <v/>
      </c>
      <c r="G59" s="61" t="n"/>
      <c r="H59" s="43">
        <f>IF($G59="","",$E59-$G59)</f>
        <v/>
      </c>
    </row>
    <row r="60">
      <c r="A60" s="60" t="inlineStr">
        <is>
          <t>25082501</t>
        </is>
      </c>
      <c r="B60" s="60" t="inlineStr">
        <is>
          <t>APA Sydney Tablet Brackets</t>
        </is>
      </c>
      <c r="C60" s="43">
        <f>SUMIFS(tbl_WIP[Amount],tbl_WIP[Job Number],$A60,tbl_WIP[Month],"&lt;&gt;",tbl_WIP[Month],"&lt;"&amp;$C$4,tbl_WIP[Defer Start],"")+SUMIF('Deferred Revenue'!$E$6:$E$607,$A60,'Deferred Revenue'!$P$6:$P$607)</f>
        <v/>
      </c>
      <c r="D60" s="43">
        <f>SUMIFS(tbl_WIP[Amount],tbl_WIP[Job Number],$A60,tbl_WIP[Month],$C$4,tbl_WIP[Defer Start],"")+SUMIF('Deferred Revenue'!$E$6:$E$607,$A60,'Deferred Revenue'!$Q$6:$Q$607)</f>
        <v/>
      </c>
      <c r="E60" s="43">
        <f>C60+D60</f>
        <v/>
      </c>
      <c r="F60" s="50">
        <f>IF(ROUND(C60,2)+ROUND(D60,2)=0,"","yes")</f>
        <v/>
      </c>
      <c r="G60" s="61" t="n"/>
      <c r="H60" s="43">
        <f>IF($G60="","",$E60-$G60)</f>
        <v/>
      </c>
    </row>
    <row r="61">
      <c r="A61" s="60" t="inlineStr">
        <is>
          <t>25091703</t>
        </is>
      </c>
      <c r="B61" s="60" t="inlineStr">
        <is>
          <t>Scentre Group Marion Superscreen (D10396) Test and Cert</t>
        </is>
      </c>
      <c r="C61" s="43">
        <f>SUMIFS(tbl_WIP[Amount],tbl_WIP[Job Number],$A61,tbl_WIP[Month],"&lt;&gt;",tbl_WIP[Month],"&lt;"&amp;$C$4,tbl_WIP[Defer Start],"")+SUMIF('Deferred Revenue'!$E$6:$E$607,$A61,'Deferred Revenue'!$P$6:$P$607)</f>
        <v/>
      </c>
      <c r="D61" s="43">
        <f>SUMIFS(tbl_WIP[Amount],tbl_WIP[Job Number],$A61,tbl_WIP[Month],$C$4,tbl_WIP[Defer Start],"")+SUMIF('Deferred Revenue'!$E$6:$E$607,$A61,'Deferred Revenue'!$Q$6:$Q$607)</f>
        <v/>
      </c>
      <c r="E61" s="43">
        <f>C61+D61</f>
        <v/>
      </c>
      <c r="F61" s="50">
        <f>IF(ROUND(C61,2)+ROUND(D61,2)=0,"","yes")</f>
        <v/>
      </c>
      <c r="G61" s="61" t="n"/>
      <c r="H61" s="43">
        <f>IF($G61="","",$E61-$G61)</f>
        <v/>
      </c>
    </row>
    <row r="62">
      <c r="A62" s="60" t="inlineStr">
        <is>
          <t>25101301</t>
        </is>
      </c>
      <c r="B62" s="60" t="inlineStr">
        <is>
          <t>PWC IT Support – Melbourne</t>
        </is>
      </c>
      <c r="C62" s="43">
        <f>SUMIFS(tbl_WIP[Amount],tbl_WIP[Job Number],$A62,tbl_WIP[Month],"&lt;&gt;",tbl_WIP[Month],"&lt;"&amp;$C$4,tbl_WIP[Defer Start],"")+SUMIF('Deferred Revenue'!$E$6:$E$607,$A62,'Deferred Revenue'!$P$6:$P$607)</f>
        <v/>
      </c>
      <c r="D62" s="43">
        <f>SUMIFS(tbl_WIP[Amount],tbl_WIP[Job Number],$A62,tbl_WIP[Month],$C$4,tbl_WIP[Defer Start],"")+SUMIF('Deferred Revenue'!$E$6:$E$607,$A62,'Deferred Revenue'!$Q$6:$Q$607)</f>
        <v/>
      </c>
      <c r="E62" s="43">
        <f>C62+D62</f>
        <v/>
      </c>
      <c r="F62" s="50">
        <f>IF(ROUND(C62,2)+ROUND(D62,2)=0,"","yes")</f>
        <v/>
      </c>
      <c r="G62" s="61" t="n"/>
      <c r="H62" s="43">
        <f>IF($G62="","",$E62-$G62)</f>
        <v/>
      </c>
    </row>
    <row r="63">
      <c r="A63" s="60" t="inlineStr">
        <is>
          <t>25101301B</t>
        </is>
      </c>
      <c r="B63" s="60" t="inlineStr">
        <is>
          <t>PWC IT Support – Sydney</t>
        </is>
      </c>
      <c r="C63" s="43">
        <f>SUMIFS(tbl_WIP[Amount],tbl_WIP[Job Number],$A63,tbl_WIP[Month],"&lt;&gt;",tbl_WIP[Month],"&lt;"&amp;$C$4,tbl_WIP[Defer Start],"")+SUMIF('Deferred Revenue'!$E$6:$E$607,$A63,'Deferred Revenue'!$P$6:$P$607)</f>
        <v/>
      </c>
      <c r="D63" s="43">
        <f>SUMIFS(tbl_WIP[Amount],tbl_WIP[Job Number],$A63,tbl_WIP[Month],$C$4,tbl_WIP[Defer Start],"")+SUMIF('Deferred Revenue'!$E$6:$E$607,$A63,'Deferred Revenue'!$Q$6:$Q$607)</f>
        <v/>
      </c>
      <c r="E63" s="43">
        <f>C63+D63</f>
        <v/>
      </c>
      <c r="F63" s="50">
        <f>IF(ROUND(C63,2)+ROUND(D63,2)=0,"","yes")</f>
        <v/>
      </c>
      <c r="G63" s="61" t="n"/>
      <c r="H63" s="43">
        <f>IF($G63="","",$E63-$G63)</f>
        <v/>
      </c>
    </row>
    <row r="64">
      <c r="A64" s="60" t="inlineStr">
        <is>
          <t>2510202</t>
        </is>
      </c>
      <c r="B64" s="60" t="inlineStr">
        <is>
          <t>HP Poly Room Assessment</t>
        </is>
      </c>
      <c r="C64" s="43">
        <f>SUMIFS(tbl_WIP[Amount],tbl_WIP[Job Number],$A64,tbl_WIP[Month],"&lt;&gt;",tbl_WIP[Month],"&lt;"&amp;$C$4,tbl_WIP[Defer Start],"")+SUMIF('Deferred Revenue'!$E$6:$E$607,$A64,'Deferred Revenue'!$P$6:$P$607)</f>
        <v/>
      </c>
      <c r="D64" s="43">
        <f>SUMIFS(tbl_WIP[Amount],tbl_WIP[Job Number],$A64,tbl_WIP[Month],$C$4,tbl_WIP[Defer Start],"")+SUMIF('Deferred Revenue'!$E$6:$E$607,$A64,'Deferred Revenue'!$Q$6:$Q$607)</f>
        <v/>
      </c>
      <c r="E64" s="43">
        <f>C64+D64</f>
        <v/>
      </c>
      <c r="F64" s="50">
        <f>IF(ROUND(C64,2)+ROUND(D64,2)=0,"","yes")</f>
        <v/>
      </c>
      <c r="G64" s="61" t="n"/>
      <c r="H64" s="43">
        <f>IF($G64="","",$E64-$G64)</f>
        <v/>
      </c>
    </row>
    <row r="65">
      <c r="A65" s="60" t="inlineStr">
        <is>
          <t>2510205</t>
        </is>
      </c>
      <c r="B65" s="60" t="inlineStr">
        <is>
          <t>NSW Property RGB Desk Booking</t>
        </is>
      </c>
      <c r="C65" s="43">
        <f>SUMIFS(tbl_WIP[Amount],tbl_WIP[Job Number],$A65,tbl_WIP[Month],"&lt;&gt;",tbl_WIP[Month],"&lt;"&amp;$C$4,tbl_WIP[Defer Start],"")+SUMIF('Deferred Revenue'!$E$6:$E$607,$A65,'Deferred Revenue'!$P$6:$P$607)</f>
        <v/>
      </c>
      <c r="D65" s="43">
        <f>SUMIFS(tbl_WIP[Amount],tbl_WIP[Job Number],$A65,tbl_WIP[Month],$C$4,tbl_WIP[Defer Start],"")+SUMIF('Deferred Revenue'!$E$6:$E$607,$A65,'Deferred Revenue'!$Q$6:$Q$607)</f>
        <v/>
      </c>
      <c r="E65" s="43">
        <f>C65+D65</f>
        <v/>
      </c>
      <c r="F65" s="50">
        <f>IF(ROUND(C65,2)+ROUND(D65,2)=0,"","yes")</f>
        <v/>
      </c>
      <c r="G65" s="61" t="n"/>
      <c r="H65" s="43">
        <f>IF($G65="","",$E65-$G65)</f>
        <v/>
      </c>
    </row>
    <row r="66">
      <c r="A66" s="60" t="inlineStr">
        <is>
          <t>2510210</t>
        </is>
      </c>
      <c r="B66" s="60" t="inlineStr">
        <is>
          <t>Scentre Group Westfield Bondi Screen Tests</t>
        </is>
      </c>
      <c r="C66" s="43">
        <f>SUMIFS(tbl_WIP[Amount],tbl_WIP[Job Number],$A66,tbl_WIP[Month],"&lt;&gt;",tbl_WIP[Month],"&lt;"&amp;$C$4,tbl_WIP[Defer Start],"")+SUMIF('Deferred Revenue'!$E$6:$E$607,$A66,'Deferred Revenue'!$P$6:$P$607)</f>
        <v/>
      </c>
      <c r="D66" s="43">
        <f>SUMIFS(tbl_WIP[Amount],tbl_WIP[Job Number],$A66,tbl_WIP[Month],$C$4,tbl_WIP[Defer Start],"")+SUMIF('Deferred Revenue'!$E$6:$E$607,$A66,'Deferred Revenue'!$Q$6:$Q$607)</f>
        <v/>
      </c>
      <c r="E66" s="43">
        <f>C66+D66</f>
        <v/>
      </c>
      <c r="F66" s="50">
        <f>IF(ROUND(C66,2)+ROUND(D66,2)=0,"","yes")</f>
        <v/>
      </c>
      <c r="G66" s="61" t="n"/>
      <c r="H66" s="43">
        <f>IF($G66="","",$E66-$G66)</f>
        <v/>
      </c>
    </row>
    <row r="67">
      <c r="A67" s="60" t="inlineStr">
        <is>
          <t>25102701</t>
        </is>
      </c>
      <c r="B67" s="60" t="inlineStr">
        <is>
          <t>DEWR - Studio Upgrade - Consulting, Design</t>
        </is>
      </c>
      <c r="C67" s="43">
        <f>SUMIFS(tbl_WIP[Amount],tbl_WIP[Job Number],$A67,tbl_WIP[Month],"&lt;&gt;",tbl_WIP[Month],"&lt;"&amp;$C$4,tbl_WIP[Defer Start],"")+SUMIF('Deferred Revenue'!$E$6:$E$607,$A67,'Deferred Revenue'!$P$6:$P$607)</f>
        <v/>
      </c>
      <c r="D67" s="43">
        <f>SUMIFS(tbl_WIP[Amount],tbl_WIP[Job Number],$A67,tbl_WIP[Month],$C$4,tbl_WIP[Defer Start],"")+SUMIF('Deferred Revenue'!$E$6:$E$607,$A67,'Deferred Revenue'!$Q$6:$Q$607)</f>
        <v/>
      </c>
      <c r="E67" s="43">
        <f>C67+D67</f>
        <v/>
      </c>
      <c r="F67" s="50">
        <f>IF(ROUND(C67,2)+ROUND(D67,2)=0,"","yes")</f>
        <v/>
      </c>
      <c r="G67" s="61" t="n"/>
      <c r="H67" s="43">
        <f>IF($G67="","",$E67-$G67)</f>
        <v/>
      </c>
    </row>
    <row r="68">
      <c r="A68" s="60" t="inlineStr">
        <is>
          <t>25102801</t>
        </is>
      </c>
      <c r="B68" s="60" t="inlineStr">
        <is>
          <t>DTTL SYD QQT Additional Mics Install in L45 Seminar Space</t>
        </is>
      </c>
      <c r="C68" s="43">
        <f>SUMIFS(tbl_WIP[Amount],tbl_WIP[Job Number],$A68,tbl_WIP[Month],"&lt;&gt;",tbl_WIP[Month],"&lt;"&amp;$C$4,tbl_WIP[Defer Start],"")+SUMIF('Deferred Revenue'!$E$6:$E$607,$A68,'Deferred Revenue'!$P$6:$P$607)</f>
        <v/>
      </c>
      <c r="D68" s="43">
        <f>SUMIFS(tbl_WIP[Amount],tbl_WIP[Job Number],$A68,tbl_WIP[Month],$C$4,tbl_WIP[Defer Start],"")+SUMIF('Deferred Revenue'!$E$6:$E$607,$A68,'Deferred Revenue'!$Q$6:$Q$607)</f>
        <v/>
      </c>
      <c r="E68" s="43">
        <f>C68+D68</f>
        <v/>
      </c>
      <c r="F68" s="50">
        <f>IF(ROUND(C68,2)+ROUND(D68,2)=0,"","yes")</f>
        <v/>
      </c>
      <c r="G68" s="61" t="n"/>
      <c r="H68" s="43">
        <f>IF($G68="","",$E68-$G68)</f>
        <v/>
      </c>
    </row>
    <row r="69">
      <c r="A69" s="60" t="inlineStr">
        <is>
          <t>25102802</t>
        </is>
      </c>
      <c r="B69" s="60" t="inlineStr">
        <is>
          <t>Novigi Meeting Space Inspection</t>
        </is>
      </c>
      <c r="C69" s="43">
        <f>SUMIFS(tbl_WIP[Amount],tbl_WIP[Job Number],$A69,tbl_WIP[Month],"&lt;&gt;",tbl_WIP[Month],"&lt;"&amp;$C$4,tbl_WIP[Defer Start],"")+SUMIF('Deferred Revenue'!$E$6:$E$607,$A69,'Deferred Revenue'!$P$6:$P$607)</f>
        <v/>
      </c>
      <c r="D69" s="43">
        <f>SUMIFS(tbl_WIP[Amount],tbl_WIP[Job Number],$A69,tbl_WIP[Month],$C$4,tbl_WIP[Defer Start],"")+SUMIF('Deferred Revenue'!$E$6:$E$607,$A69,'Deferred Revenue'!$Q$6:$Q$607)</f>
        <v/>
      </c>
      <c r="E69" s="43">
        <f>C69+D69</f>
        <v/>
      </c>
      <c r="F69" s="50">
        <f>IF(ROUND(C69,2)+ROUND(D69,2)=0,"","yes")</f>
        <v/>
      </c>
      <c r="G69" s="61" t="n"/>
      <c r="H69" s="43">
        <f>IF($G69="","",$E69-$G69)</f>
        <v/>
      </c>
    </row>
    <row r="70">
      <c r="A70" s="60" t="inlineStr">
        <is>
          <t>2510804</t>
        </is>
      </c>
      <c r="B70" s="60" t="inlineStr">
        <is>
          <t>CommSecurity Presynct QLD Desk Booking</t>
        </is>
      </c>
      <c r="C70" s="43">
        <f>SUMIFS(tbl_WIP[Amount],tbl_WIP[Job Number],$A70,tbl_WIP[Month],"&lt;&gt;",tbl_WIP[Month],"&lt;"&amp;$C$4,tbl_WIP[Defer Start],"")+SUMIF('Deferred Revenue'!$E$6:$E$607,$A70,'Deferred Revenue'!$P$6:$P$607)</f>
        <v/>
      </c>
      <c r="D70" s="43">
        <f>SUMIFS(tbl_WIP[Amount],tbl_WIP[Job Number],$A70,tbl_WIP[Month],$C$4,tbl_WIP[Defer Start],"")+SUMIF('Deferred Revenue'!$E$6:$E$607,$A70,'Deferred Revenue'!$Q$6:$Q$607)</f>
        <v/>
      </c>
      <c r="E70" s="43">
        <f>C70+D70</f>
        <v/>
      </c>
      <c r="F70" s="50">
        <f>IF(ROUND(C70,2)+ROUND(D70,2)=0,"","yes")</f>
        <v/>
      </c>
      <c r="G70" s="61" t="n"/>
      <c r="H70" s="43">
        <f>IF($G70="","",$E70-$G70)</f>
        <v/>
      </c>
    </row>
    <row r="71">
      <c r="A71" s="60" t="inlineStr">
        <is>
          <t>2510805</t>
        </is>
      </c>
      <c r="B71" s="60" t="inlineStr">
        <is>
          <t>PNSW Reconstruction Authority Newcastle</t>
        </is>
      </c>
      <c r="C71" s="43">
        <f>SUMIFS(tbl_WIP[Amount],tbl_WIP[Job Number],$A71,tbl_WIP[Month],"&lt;&gt;",tbl_WIP[Month],"&lt;"&amp;$C$4,tbl_WIP[Defer Start],"")+SUMIF('Deferred Revenue'!$E$6:$E$607,$A71,'Deferred Revenue'!$P$6:$P$607)</f>
        <v/>
      </c>
      <c r="D71" s="43">
        <f>SUMIFS(tbl_WIP[Amount],tbl_WIP[Job Number],$A71,tbl_WIP[Month],$C$4,tbl_WIP[Defer Start],"")+SUMIF('Deferred Revenue'!$E$6:$E$607,$A71,'Deferred Revenue'!$Q$6:$Q$607)</f>
        <v/>
      </c>
      <c r="E71" s="43">
        <f>C71+D71</f>
        <v/>
      </c>
      <c r="F71" s="50">
        <f>IF(ROUND(C71,2)+ROUND(D71,2)=0,"","yes")</f>
        <v/>
      </c>
      <c r="G71" s="61" t="n"/>
      <c r="H71" s="43">
        <f>IF($G71="","",$E71-$G71)</f>
        <v/>
      </c>
    </row>
    <row r="72">
      <c r="A72" s="60" t="inlineStr">
        <is>
          <t>25111203</t>
        </is>
      </c>
      <c r="B72" s="60" t="inlineStr">
        <is>
          <t>CoS | Barco E3 Sale</t>
        </is>
      </c>
      <c r="C72" s="43">
        <f>SUMIFS(tbl_WIP[Amount],tbl_WIP[Job Number],$A72,tbl_WIP[Month],"&lt;&gt;",tbl_WIP[Month],"&lt;"&amp;$C$4,tbl_WIP[Defer Start],"")+SUMIF('Deferred Revenue'!$E$6:$E$607,$A72,'Deferred Revenue'!$P$6:$P$607)</f>
        <v/>
      </c>
      <c r="D72" s="43">
        <f>SUMIFS(tbl_WIP[Amount],tbl_WIP[Job Number],$A72,tbl_WIP[Month],$C$4,tbl_WIP[Defer Start],"")+SUMIF('Deferred Revenue'!$E$6:$E$607,$A72,'Deferred Revenue'!$Q$6:$Q$607)</f>
        <v/>
      </c>
      <c r="E72" s="43">
        <f>C72+D72</f>
        <v/>
      </c>
      <c r="F72" s="50">
        <f>IF(ROUND(C72,2)+ROUND(D72,2)=0,"","yes")</f>
        <v/>
      </c>
      <c r="G72" s="61" t="n"/>
      <c r="H72" s="43">
        <f>IF($G72="","",$E72-$G72)</f>
        <v/>
      </c>
    </row>
    <row r="73">
      <c r="A73" s="60" t="inlineStr">
        <is>
          <t>25112801</t>
        </is>
      </c>
      <c r="B73" s="60" t="inlineStr">
        <is>
          <t>APA MEL - iPad &amp; Bouncepad Sale</t>
        </is>
      </c>
      <c r="C73" s="43">
        <f>SUMIFS(tbl_WIP[Amount],tbl_WIP[Job Number],$A73,tbl_WIP[Month],"&lt;&gt;",tbl_WIP[Month],"&lt;"&amp;$C$4,tbl_WIP[Defer Start],"")+SUMIF('Deferred Revenue'!$E$6:$E$607,$A73,'Deferred Revenue'!$P$6:$P$607)</f>
        <v/>
      </c>
      <c r="D73" s="43">
        <f>SUMIFS(tbl_WIP[Amount],tbl_WIP[Job Number],$A73,tbl_WIP[Month],$C$4,tbl_WIP[Defer Start],"")+SUMIF('Deferred Revenue'!$E$6:$E$607,$A73,'Deferred Revenue'!$Q$6:$Q$607)</f>
        <v/>
      </c>
      <c r="E73" s="43">
        <f>C73+D73</f>
        <v/>
      </c>
      <c r="F73" s="50">
        <f>IF(ROUND(C73,2)+ROUND(D73,2)=0,"","yes")</f>
        <v/>
      </c>
      <c r="G73" s="61" t="n"/>
      <c r="H73" s="43">
        <f>IF($G73="","",$E73-$G73)</f>
        <v/>
      </c>
    </row>
    <row r="74">
      <c r="A74" s="60" t="inlineStr">
        <is>
          <t>25121001</t>
        </is>
      </c>
      <c r="B74" s="60" t="inlineStr">
        <is>
          <t>HP Poly Mic System Sale and Install at Mission Australia</t>
        </is>
      </c>
      <c r="C74" s="43">
        <f>SUMIFS(tbl_WIP[Amount],tbl_WIP[Job Number],$A74,tbl_WIP[Month],"&lt;&gt;",tbl_WIP[Month],"&lt;"&amp;$C$4,tbl_WIP[Defer Start],"")+SUMIF('Deferred Revenue'!$E$6:$E$607,$A74,'Deferred Revenue'!$P$6:$P$607)</f>
        <v/>
      </c>
      <c r="D74" s="43">
        <f>SUMIFS(tbl_WIP[Amount],tbl_WIP[Job Number],$A74,tbl_WIP[Month],$C$4,tbl_WIP[Defer Start],"")+SUMIF('Deferred Revenue'!$E$6:$E$607,$A74,'Deferred Revenue'!$Q$6:$Q$607)</f>
        <v/>
      </c>
      <c r="E74" s="43">
        <f>C74+D74</f>
        <v/>
      </c>
      <c r="F74" s="50">
        <f>IF(ROUND(C74,2)+ROUND(D74,2)=0,"","yes")</f>
        <v/>
      </c>
      <c r="G74" s="61" t="n"/>
      <c r="H74" s="43">
        <f>IF($G74="","",$E74-$G74)</f>
        <v/>
      </c>
    </row>
    <row r="75">
      <c r="A75" s="60" t="inlineStr">
        <is>
          <t>25121007</t>
        </is>
      </c>
      <c r="B75" s="60" t="inlineStr">
        <is>
          <t>Novigi SYD/MEL boardroom Mic upgrade + Cable Tidy</t>
        </is>
      </c>
      <c r="C75" s="43">
        <f>SUMIFS(tbl_WIP[Amount],tbl_WIP[Job Number],$A75,tbl_WIP[Month],"&lt;&gt;",tbl_WIP[Month],"&lt;"&amp;$C$4,tbl_WIP[Defer Start],"")+SUMIF('Deferred Revenue'!$E$6:$E$607,$A75,'Deferred Revenue'!$P$6:$P$607)</f>
        <v/>
      </c>
      <c r="D75" s="43">
        <f>SUMIFS(tbl_WIP[Amount],tbl_WIP[Job Number],$A75,tbl_WIP[Month],$C$4,tbl_WIP[Defer Start],"")+SUMIF('Deferred Revenue'!$E$6:$E$607,$A75,'Deferred Revenue'!$Q$6:$Q$607)</f>
        <v/>
      </c>
      <c r="E75" s="43">
        <f>C75+D75</f>
        <v/>
      </c>
      <c r="F75" s="50">
        <f>IF(ROUND(C75,2)+ROUND(D75,2)=0,"","yes")</f>
        <v/>
      </c>
      <c r="G75" s="61" t="n"/>
      <c r="H75" s="43">
        <f>IF($G75="","",$E75-$G75)</f>
        <v/>
      </c>
    </row>
    <row r="76">
      <c r="A76" s="60" t="inlineStr">
        <is>
          <t>25121208</t>
        </is>
      </c>
      <c r="B76" s="60" t="inlineStr">
        <is>
          <t>APA HYR &amp; FYR Package 2026</t>
        </is>
      </c>
      <c r="C76" s="43">
        <f>SUMIFS(tbl_WIP[Amount],tbl_WIP[Job Number],$A76,tbl_WIP[Month],"&lt;&gt;",tbl_WIP[Month],"&lt;"&amp;$C$4,tbl_WIP[Defer Start],"")+SUMIF('Deferred Revenue'!$E$6:$E$607,$A76,'Deferred Revenue'!$P$6:$P$607)</f>
        <v/>
      </c>
      <c r="D76" s="43">
        <f>SUMIFS(tbl_WIP[Amount],tbl_WIP[Job Number],$A76,tbl_WIP[Month],$C$4,tbl_WIP[Defer Start],"")+SUMIF('Deferred Revenue'!$E$6:$E$607,$A76,'Deferred Revenue'!$Q$6:$Q$607)</f>
        <v/>
      </c>
      <c r="E76" s="43">
        <f>C76+D76</f>
        <v/>
      </c>
      <c r="F76" s="50">
        <f>IF(ROUND(C76,2)+ROUND(D76,2)=0,"","yes")</f>
        <v/>
      </c>
      <c r="G76" s="61" t="n"/>
      <c r="H76" s="43">
        <f>IF($G76="","",$E76-$G76)</f>
        <v/>
      </c>
    </row>
    <row r="77">
      <c r="A77" s="60" t="inlineStr">
        <is>
          <t>2512503</t>
        </is>
      </c>
      <c r="B77" s="60" t="inlineStr">
        <is>
          <t>Ventia EOY Town Hall 10.12.2025</t>
        </is>
      </c>
      <c r="C77" s="43">
        <f>SUMIFS(tbl_WIP[Amount],tbl_WIP[Job Number],$A77,tbl_WIP[Month],"&lt;&gt;",tbl_WIP[Month],"&lt;"&amp;$C$4,tbl_WIP[Defer Start],"")+SUMIF('Deferred Revenue'!$E$6:$E$607,$A77,'Deferred Revenue'!$P$6:$P$607)</f>
        <v/>
      </c>
      <c r="D77" s="43">
        <f>SUMIFS(tbl_WIP[Amount],tbl_WIP[Job Number],$A77,tbl_WIP[Month],$C$4,tbl_WIP[Defer Start],"")+SUMIF('Deferred Revenue'!$E$6:$E$607,$A77,'Deferred Revenue'!$Q$6:$Q$607)</f>
        <v/>
      </c>
      <c r="E77" s="43">
        <f>C77+D77</f>
        <v/>
      </c>
      <c r="F77" s="50">
        <f>IF(ROUND(C77,2)+ROUND(D77,2)=0,"","yes")</f>
        <v/>
      </c>
      <c r="G77" s="61" t="n"/>
      <c r="H77" s="43">
        <f>IF($G77="","",$E77-$G77)</f>
        <v/>
      </c>
    </row>
    <row r="78">
      <c r="A78" s="60" t="inlineStr">
        <is>
          <t>2512503V</t>
        </is>
      </c>
      <c r="B78" s="60" t="inlineStr">
        <is>
          <t>Ventia EOY Town Hall 10.12.2025</t>
        </is>
      </c>
      <c r="C78" s="43">
        <f>SUMIFS(tbl_WIP[Amount],tbl_WIP[Job Number],$A78,tbl_WIP[Month],"&lt;&gt;",tbl_WIP[Month],"&lt;"&amp;$C$4,tbl_WIP[Defer Start],"")+SUMIF('Deferred Revenue'!$E$6:$E$607,$A78,'Deferred Revenue'!$P$6:$P$607)</f>
        <v/>
      </c>
      <c r="D78" s="43">
        <f>SUMIFS(tbl_WIP[Amount],tbl_WIP[Job Number],$A78,tbl_WIP[Month],$C$4,tbl_WIP[Defer Start],"")+SUMIF('Deferred Revenue'!$E$6:$E$607,$A78,'Deferred Revenue'!$Q$6:$Q$607)</f>
        <v/>
      </c>
      <c r="E78" s="43">
        <f>C78+D78</f>
        <v/>
      </c>
      <c r="F78" s="50">
        <f>IF(ROUND(C78,2)+ROUND(D78,2)=0,"","yes")</f>
        <v/>
      </c>
      <c r="G78" s="61" t="n"/>
      <c r="H78" s="43">
        <f>IF($G78="","",$E78-$G78)</f>
        <v/>
      </c>
    </row>
    <row r="79">
      <c r="A79" s="60" t="inlineStr">
        <is>
          <t>2512804</t>
        </is>
      </c>
      <c r="B79" s="60" t="inlineStr">
        <is>
          <t>RSNSW Ordinary General Meeting 5.8.26</t>
        </is>
      </c>
      <c r="C79" s="43">
        <f>SUMIFS(tbl_WIP[Amount],tbl_WIP[Job Number],$A79,tbl_WIP[Month],"&lt;&gt;",tbl_WIP[Month],"&lt;"&amp;$C$4,tbl_WIP[Defer Start],"")+SUMIF('Deferred Revenue'!$E$6:$E$607,$A79,'Deferred Revenue'!$P$6:$P$607)</f>
        <v/>
      </c>
      <c r="D79" s="43">
        <f>SUMIFS(tbl_WIP[Amount],tbl_WIP[Job Number],$A79,tbl_WIP[Month],$C$4,tbl_WIP[Defer Start],"")+SUMIF('Deferred Revenue'!$E$6:$E$607,$A79,'Deferred Revenue'!$Q$6:$Q$607)</f>
        <v/>
      </c>
      <c r="E79" s="43">
        <f>C79+D79</f>
        <v/>
      </c>
      <c r="F79" s="50">
        <f>IF(ROUND(C79,2)+ROUND(D79,2)=0,"","yes")</f>
        <v/>
      </c>
      <c r="G79" s="61" t="n"/>
      <c r="H79" s="43">
        <f>IF($G79="","",$E79-$G79)</f>
        <v/>
      </c>
    </row>
    <row r="80">
      <c r="A80" s="60" t="inlineStr">
        <is>
          <t>2512804V</t>
        </is>
      </c>
      <c r="B80" s="60" t="inlineStr">
        <is>
          <t>RSNSW Ordinary General Meeting 5.8.26</t>
        </is>
      </c>
      <c r="C80" s="43">
        <f>SUMIFS(tbl_WIP[Amount],tbl_WIP[Job Number],$A80,tbl_WIP[Month],"&lt;&gt;",tbl_WIP[Month],"&lt;"&amp;$C$4,tbl_WIP[Defer Start],"")+SUMIF('Deferred Revenue'!$E$6:$E$607,$A80,'Deferred Revenue'!$P$6:$P$607)</f>
        <v/>
      </c>
      <c r="D80" s="43">
        <f>SUMIFS(tbl_WIP[Amount],tbl_WIP[Job Number],$A80,tbl_WIP[Month],$C$4,tbl_WIP[Defer Start],"")+SUMIF('Deferred Revenue'!$E$6:$E$607,$A80,'Deferred Revenue'!$Q$6:$Q$607)</f>
        <v/>
      </c>
      <c r="E80" s="43">
        <f>C80+D80</f>
        <v/>
      </c>
      <c r="F80" s="50">
        <f>IF(ROUND(C80,2)+ROUND(D80,2)=0,"","yes")</f>
        <v/>
      </c>
      <c r="G80" s="61" t="n"/>
      <c r="H80" s="43">
        <f>IF($G80="","",$E80-$G80)</f>
        <v/>
      </c>
    </row>
    <row r="81">
      <c r="A81" s="60" t="inlineStr">
        <is>
          <t>2512805</t>
        </is>
      </c>
      <c r="B81" s="60" t="inlineStr">
        <is>
          <t>RSNSW Ordinary General Meeting 7.10.2026</t>
        </is>
      </c>
      <c r="C81" s="43">
        <f>SUMIFS(tbl_WIP[Amount],tbl_WIP[Job Number],$A81,tbl_WIP[Month],"&lt;&gt;",tbl_WIP[Month],"&lt;"&amp;$C$4,tbl_WIP[Defer Start],"")+SUMIF('Deferred Revenue'!$E$6:$E$607,$A81,'Deferred Revenue'!$P$6:$P$607)</f>
        <v/>
      </c>
      <c r="D81" s="43">
        <f>SUMIFS(tbl_WIP[Amount],tbl_WIP[Job Number],$A81,tbl_WIP[Month],$C$4,tbl_WIP[Defer Start],"")+SUMIF('Deferred Revenue'!$E$6:$E$607,$A81,'Deferred Revenue'!$Q$6:$Q$607)</f>
        <v/>
      </c>
      <c r="E81" s="43">
        <f>C81+D81</f>
        <v/>
      </c>
      <c r="F81" s="50">
        <f>IF(ROUND(C81,2)+ROUND(D81,2)=0,"","yes")</f>
        <v/>
      </c>
      <c r="G81" s="61" t="n"/>
      <c r="H81" s="43">
        <f>IF($G81="","",$E81-$G81)</f>
        <v/>
      </c>
    </row>
    <row r="82">
      <c r="A82" s="60" t="inlineStr">
        <is>
          <t>2512805V</t>
        </is>
      </c>
      <c r="B82" s="60" t="inlineStr">
        <is>
          <t>RSNSW Ordinary General Meeting 7.10.2026</t>
        </is>
      </c>
      <c r="C82" s="43">
        <f>SUMIFS(tbl_WIP[Amount],tbl_WIP[Job Number],$A82,tbl_WIP[Month],"&lt;&gt;",tbl_WIP[Month],"&lt;"&amp;$C$4,tbl_WIP[Defer Start],"")+SUMIF('Deferred Revenue'!$E$6:$E$607,$A82,'Deferred Revenue'!$P$6:$P$607)</f>
        <v/>
      </c>
      <c r="D82" s="43">
        <f>SUMIFS(tbl_WIP[Amount],tbl_WIP[Job Number],$A82,tbl_WIP[Month],$C$4,tbl_WIP[Defer Start],"")+SUMIF('Deferred Revenue'!$E$6:$E$607,$A82,'Deferred Revenue'!$Q$6:$Q$607)</f>
        <v/>
      </c>
      <c r="E82" s="43">
        <f>C82+D82</f>
        <v/>
      </c>
      <c r="F82" s="50">
        <f>IF(ROUND(C82,2)+ROUND(D82,2)=0,"","yes")</f>
        <v/>
      </c>
      <c r="G82" s="61" t="n"/>
      <c r="H82" s="43">
        <f>IF($G82="","",$E82-$G82)</f>
        <v/>
      </c>
    </row>
    <row r="83">
      <c r="A83" s="60" t="inlineStr">
        <is>
          <t>2512806</t>
        </is>
      </c>
      <c r="B83" s="60" t="inlineStr">
        <is>
          <t>RSNSW Ordinary General Meeting 2.12.26</t>
        </is>
      </c>
      <c r="C83" s="43">
        <f>SUMIFS(tbl_WIP[Amount],tbl_WIP[Job Number],$A83,tbl_WIP[Month],"&lt;&gt;",tbl_WIP[Month],"&lt;"&amp;$C$4,tbl_WIP[Defer Start],"")+SUMIF('Deferred Revenue'!$E$6:$E$607,$A83,'Deferred Revenue'!$P$6:$P$607)</f>
        <v/>
      </c>
      <c r="D83" s="43">
        <f>SUMIFS(tbl_WIP[Amount],tbl_WIP[Job Number],$A83,tbl_WIP[Month],$C$4,tbl_WIP[Defer Start],"")+SUMIF('Deferred Revenue'!$E$6:$E$607,$A83,'Deferred Revenue'!$Q$6:$Q$607)</f>
        <v/>
      </c>
      <c r="E83" s="43">
        <f>C83+D83</f>
        <v/>
      </c>
      <c r="F83" s="50">
        <f>IF(ROUND(C83,2)+ROUND(D83,2)=0,"","yes")</f>
        <v/>
      </c>
      <c r="G83" s="61" t="n"/>
      <c r="H83" s="43">
        <f>IF($G83="","",$E83-$G83)</f>
        <v/>
      </c>
    </row>
    <row r="84">
      <c r="A84" s="60" t="inlineStr">
        <is>
          <t>2512806V</t>
        </is>
      </c>
      <c r="B84" s="60" t="inlineStr">
        <is>
          <t>RSNSW Ordinary General Meeting 2.12.26</t>
        </is>
      </c>
      <c r="C84" s="43">
        <f>SUMIFS(tbl_WIP[Amount],tbl_WIP[Job Number],$A84,tbl_WIP[Month],"&lt;&gt;",tbl_WIP[Month],"&lt;"&amp;$C$4,tbl_WIP[Defer Start],"")+SUMIF('Deferred Revenue'!$E$6:$E$607,$A84,'Deferred Revenue'!$P$6:$P$607)</f>
        <v/>
      </c>
      <c r="D84" s="43">
        <f>SUMIFS(tbl_WIP[Amount],tbl_WIP[Job Number],$A84,tbl_WIP[Month],$C$4,tbl_WIP[Defer Start],"")+SUMIF('Deferred Revenue'!$E$6:$E$607,$A84,'Deferred Revenue'!$Q$6:$Q$607)</f>
        <v/>
      </c>
      <c r="E84" s="43">
        <f>C84+D84</f>
        <v/>
      </c>
      <c r="F84" s="50">
        <f>IF(ROUND(C84,2)+ROUND(D84,2)=0,"","yes")</f>
        <v/>
      </c>
      <c r="G84" s="61" t="n"/>
      <c r="H84" s="43">
        <f>IF($G84="","",$E84-$G84)</f>
        <v/>
      </c>
    </row>
    <row r="85">
      <c r="A85" s="60" t="inlineStr">
        <is>
          <t>2519</t>
        </is>
      </c>
      <c r="B85" s="60" t="inlineStr">
        <is>
          <t>NSW Prop-6PSQ Visitor MG</t>
        </is>
      </c>
      <c r="C85" s="43">
        <f>SUMIFS(tbl_WIP[Amount],tbl_WIP[Job Number],$A85,tbl_WIP[Month],"&lt;&gt;",tbl_WIP[Month],"&lt;"&amp;$C$4,tbl_WIP[Defer Start],"")+SUMIF('Deferred Revenue'!$E$6:$E$607,$A85,'Deferred Revenue'!$P$6:$P$607)</f>
        <v/>
      </c>
      <c r="D85" s="43">
        <f>SUMIFS(tbl_WIP[Amount],tbl_WIP[Job Number],$A85,tbl_WIP[Month],$C$4,tbl_WIP[Defer Start],"")+SUMIF('Deferred Revenue'!$E$6:$E$607,$A85,'Deferred Revenue'!$Q$6:$Q$607)</f>
        <v/>
      </c>
      <c r="E85" s="43">
        <f>C85+D85</f>
        <v/>
      </c>
      <c r="F85" s="50">
        <f>IF(ROUND(C85,2)+ROUND(D85,2)=0,"","yes")</f>
        <v/>
      </c>
      <c r="G85" s="61" t="n"/>
      <c r="H85" s="43">
        <f>IF($G85="","",$E85-$G85)</f>
        <v/>
      </c>
    </row>
    <row r="86">
      <c r="A86" s="60" t="inlineStr">
        <is>
          <t>2521</t>
        </is>
      </c>
      <c r="B86" s="60" t="inlineStr">
        <is>
          <t>PWC - PER Tech</t>
        </is>
      </c>
      <c r="C86" s="43">
        <f>SUMIFS(tbl_WIP[Amount],tbl_WIP[Job Number],$A86,tbl_WIP[Month],"&lt;&gt;",tbl_WIP[Month],"&lt;"&amp;$C$4,tbl_WIP[Defer Start],"")+SUMIF('Deferred Revenue'!$E$6:$E$607,$A86,'Deferred Revenue'!$P$6:$P$607)</f>
        <v/>
      </c>
      <c r="D86" s="43">
        <f>SUMIFS(tbl_WIP[Amount],tbl_WIP[Job Number],$A86,tbl_WIP[Month],$C$4,tbl_WIP[Defer Start],"")+SUMIF('Deferred Revenue'!$E$6:$E$607,$A86,'Deferred Revenue'!$Q$6:$Q$607)</f>
        <v/>
      </c>
      <c r="E86" s="43">
        <f>C86+D86</f>
        <v/>
      </c>
      <c r="F86" s="50">
        <f>IF(ROUND(C86,2)+ROUND(D86,2)=0,"","yes")</f>
        <v/>
      </c>
      <c r="G86" s="61" t="n"/>
      <c r="H86" s="43">
        <f>IF($G86="","",$E86-$G86)</f>
        <v/>
      </c>
    </row>
    <row r="87">
      <c r="A87" s="60" t="inlineStr">
        <is>
          <t>2540</t>
        </is>
      </c>
      <c r="B87" s="60" t="inlineStr">
        <is>
          <t>PWC - SYD Tech</t>
        </is>
      </c>
      <c r="C87" s="43">
        <f>SUMIFS(tbl_WIP[Amount],tbl_WIP[Job Number],$A87,tbl_WIP[Month],"&lt;&gt;",tbl_WIP[Month],"&lt;"&amp;$C$4,tbl_WIP[Defer Start],"")+SUMIF('Deferred Revenue'!$E$6:$E$607,$A87,'Deferred Revenue'!$P$6:$P$607)</f>
        <v/>
      </c>
      <c r="D87" s="43">
        <f>SUMIFS(tbl_WIP[Amount],tbl_WIP[Job Number],$A87,tbl_WIP[Month],$C$4,tbl_WIP[Defer Start],"")+SUMIF('Deferred Revenue'!$E$6:$E$607,$A87,'Deferred Revenue'!$Q$6:$Q$607)</f>
        <v/>
      </c>
      <c r="E87" s="43">
        <f>C87+D87</f>
        <v/>
      </c>
      <c r="F87" s="50">
        <f>IF(ROUND(C87,2)+ROUND(D87,2)=0,"","yes")</f>
        <v/>
      </c>
      <c r="G87" s="61" t="n"/>
      <c r="H87" s="43">
        <f>IF($G87="","",$E87-$G87)</f>
        <v/>
      </c>
    </row>
    <row r="88">
      <c r="A88" s="60" t="inlineStr">
        <is>
          <t>2543</t>
        </is>
      </c>
      <c r="B88" s="60" t="inlineStr">
        <is>
          <t>DTTL MEL Tech (PT)</t>
        </is>
      </c>
      <c r="C88" s="43">
        <f>SUMIFS(tbl_WIP[Amount],tbl_WIP[Job Number],$A88,tbl_WIP[Month],"&lt;&gt;",tbl_WIP[Month],"&lt;"&amp;$C$4,tbl_WIP[Defer Start],"")+SUMIF('Deferred Revenue'!$E$6:$E$607,$A88,'Deferred Revenue'!$P$6:$P$607)</f>
        <v/>
      </c>
      <c r="D88" s="43">
        <f>SUMIFS(tbl_WIP[Amount],tbl_WIP[Job Number],$A88,tbl_WIP[Month],$C$4,tbl_WIP[Defer Start],"")+SUMIF('Deferred Revenue'!$E$6:$E$607,$A88,'Deferred Revenue'!$Q$6:$Q$607)</f>
        <v/>
      </c>
      <c r="E88" s="43">
        <f>C88+D88</f>
        <v/>
      </c>
      <c r="F88" s="50">
        <f>IF(ROUND(C88,2)+ROUND(D88,2)=0,"","yes")</f>
        <v/>
      </c>
      <c r="G88" s="61" t="n"/>
      <c r="H88" s="43">
        <f>IF($G88="","",$E88-$G88)</f>
        <v/>
      </c>
    </row>
    <row r="89">
      <c r="A89" s="60" t="inlineStr">
        <is>
          <t>2591012</t>
        </is>
      </c>
      <c r="B89" s="60" t="inlineStr">
        <is>
          <t>St. Luke's Non-chargeable</t>
        </is>
      </c>
      <c r="C89" s="43">
        <f>SUMIFS(tbl_WIP[Amount],tbl_WIP[Job Number],$A89,tbl_WIP[Month],"&lt;&gt;",tbl_WIP[Month],"&lt;"&amp;$C$4,tbl_WIP[Defer Start],"")+SUMIF('Deferred Revenue'!$E$6:$E$607,$A89,'Deferred Revenue'!$P$6:$P$607)</f>
        <v/>
      </c>
      <c r="D89" s="43">
        <f>SUMIFS(tbl_WIP[Amount],tbl_WIP[Job Number],$A89,tbl_WIP[Month],$C$4,tbl_WIP[Defer Start],"")+SUMIF('Deferred Revenue'!$E$6:$E$607,$A89,'Deferred Revenue'!$Q$6:$Q$607)</f>
        <v/>
      </c>
      <c r="E89" s="43">
        <f>C89+D89</f>
        <v/>
      </c>
      <c r="F89" s="50">
        <f>IF(ROUND(C89,2)+ROUND(D89,2)=0,"","yes")</f>
        <v/>
      </c>
      <c r="G89" s="61" t="n"/>
      <c r="H89" s="43">
        <f>IF($G89="","",$E89-$G89)</f>
        <v/>
      </c>
    </row>
    <row r="90">
      <c r="A90" s="60" t="inlineStr">
        <is>
          <t>2591012C</t>
        </is>
      </c>
      <c r="B90" s="60" t="inlineStr">
        <is>
          <t>St. Luke's Church</t>
        </is>
      </c>
      <c r="C90" s="43">
        <f>SUMIFS(tbl_WIP[Amount],tbl_WIP[Job Number],$A90,tbl_WIP[Month],"&lt;&gt;",tbl_WIP[Month],"&lt;"&amp;$C$4,tbl_WIP[Defer Start],"")+SUMIF('Deferred Revenue'!$E$6:$E$607,$A90,'Deferred Revenue'!$P$6:$P$607)</f>
        <v/>
      </c>
      <c r="D90" s="43">
        <f>SUMIFS(tbl_WIP[Amount],tbl_WIP[Job Number],$A90,tbl_WIP[Month],$C$4,tbl_WIP[Defer Start],"")+SUMIF('Deferred Revenue'!$E$6:$E$607,$A90,'Deferred Revenue'!$Q$6:$Q$607)</f>
        <v/>
      </c>
      <c r="E90" s="43">
        <f>C90+D90</f>
        <v/>
      </c>
      <c r="F90" s="50">
        <f>IF(ROUND(C90,2)+ROUND(D90,2)=0,"","yes")</f>
        <v/>
      </c>
      <c r="G90" s="61" t="n"/>
      <c r="H90" s="43">
        <f>IF($G90="","",$E90-$G90)</f>
        <v/>
      </c>
    </row>
    <row r="91">
      <c r="A91" s="60" t="inlineStr">
        <is>
          <t>2593</t>
        </is>
      </c>
      <c r="B91" s="60" t="inlineStr">
        <is>
          <t>PWC CBR Technician</t>
        </is>
      </c>
      <c r="C91" s="43">
        <f>SUMIFS(tbl_WIP[Amount],tbl_WIP[Job Number],$A91,tbl_WIP[Month],"&lt;&gt;",tbl_WIP[Month],"&lt;"&amp;$C$4,tbl_WIP[Defer Start],"")+SUMIF('Deferred Revenue'!$E$6:$E$607,$A91,'Deferred Revenue'!$P$6:$P$607)</f>
        <v/>
      </c>
      <c r="D91" s="43">
        <f>SUMIFS(tbl_WIP[Amount],tbl_WIP[Job Number],$A91,tbl_WIP[Month],$C$4,tbl_WIP[Defer Start],"")+SUMIF('Deferred Revenue'!$E$6:$E$607,$A91,'Deferred Revenue'!$Q$6:$Q$607)</f>
        <v/>
      </c>
      <c r="E91" s="43">
        <f>C91+D91</f>
        <v/>
      </c>
      <c r="F91" s="50">
        <f>IF(ROUND(C91,2)+ROUND(D91,2)=0,"","yes")</f>
        <v/>
      </c>
      <c r="G91" s="61" t="n"/>
      <c r="H91" s="43">
        <f>IF($G91="","",$E91-$G91)</f>
        <v/>
      </c>
    </row>
    <row r="92">
      <c r="A92" s="60" t="inlineStr">
        <is>
          <t>2598</t>
        </is>
      </c>
      <c r="B92" s="60" t="inlineStr">
        <is>
          <t>DTTL WA Tech</t>
        </is>
      </c>
      <c r="C92" s="43">
        <f>SUMIFS(tbl_WIP[Amount],tbl_WIP[Job Number],$A92,tbl_WIP[Month],"&lt;&gt;",tbl_WIP[Month],"&lt;"&amp;$C$4,tbl_WIP[Defer Start],"")+SUMIF('Deferred Revenue'!$E$6:$E$607,$A92,'Deferred Revenue'!$P$6:$P$607)</f>
        <v/>
      </c>
      <c r="D92" s="43">
        <f>SUMIFS(tbl_WIP[Amount],tbl_WIP[Job Number],$A92,tbl_WIP[Month],$C$4,tbl_WIP[Defer Start],"")+SUMIF('Deferred Revenue'!$E$6:$E$607,$A92,'Deferred Revenue'!$Q$6:$Q$607)</f>
        <v/>
      </c>
      <c r="E92" s="43">
        <f>C92+D92</f>
        <v/>
      </c>
      <c r="F92" s="50">
        <f>IF(ROUND(C92,2)+ROUND(D92,2)=0,"","yes")</f>
        <v/>
      </c>
      <c r="G92" s="61" t="n"/>
      <c r="H92" s="43">
        <f>IF($G92="","",$E92-$G92)</f>
        <v/>
      </c>
    </row>
    <row r="93">
      <c r="A93" s="60" t="inlineStr">
        <is>
          <t>26011404</t>
        </is>
      </c>
      <c r="B93" s="60" t="inlineStr">
        <is>
          <t>ASX CEO Connect (Extended Results) 1.9.26</t>
        </is>
      </c>
      <c r="C93" s="43">
        <f>SUMIFS(tbl_WIP[Amount],tbl_WIP[Job Number],$A93,tbl_WIP[Month],"&lt;&gt;",tbl_WIP[Month],"&lt;"&amp;$C$4,tbl_WIP[Defer Start],"")+SUMIF('Deferred Revenue'!$E$6:$E$607,$A93,'Deferred Revenue'!$P$6:$P$607)</f>
        <v/>
      </c>
      <c r="D93" s="43">
        <f>SUMIFS(tbl_WIP[Amount],tbl_WIP[Job Number],$A93,tbl_WIP[Month],$C$4,tbl_WIP[Defer Start],"")+SUMIF('Deferred Revenue'!$E$6:$E$607,$A93,'Deferred Revenue'!$Q$6:$Q$607)</f>
        <v/>
      </c>
      <c r="E93" s="43">
        <f>C93+D93</f>
        <v/>
      </c>
      <c r="F93" s="50">
        <f>IF(ROUND(C93,2)+ROUND(D93,2)=0,"","yes")</f>
        <v/>
      </c>
      <c r="G93" s="61" t="n"/>
      <c r="H93" s="43">
        <f>IF($G93="","",$E93-$G93)</f>
        <v/>
      </c>
    </row>
    <row r="94">
      <c r="A94" s="60" t="inlineStr">
        <is>
          <t>26011404V</t>
        </is>
      </c>
      <c r="B94" s="60" t="inlineStr">
        <is>
          <t>ASX CEO Connect (Extended Results) 1.9.26</t>
        </is>
      </c>
      <c r="C94" s="43">
        <f>SUMIFS(tbl_WIP[Amount],tbl_WIP[Job Number],$A94,tbl_WIP[Month],"&lt;&gt;",tbl_WIP[Month],"&lt;"&amp;$C$4,tbl_WIP[Defer Start],"")+SUMIF('Deferred Revenue'!$E$6:$E$607,$A94,'Deferred Revenue'!$P$6:$P$607)</f>
        <v/>
      </c>
      <c r="D94" s="43">
        <f>SUMIFS(tbl_WIP[Amount],tbl_WIP[Job Number],$A94,tbl_WIP[Month],$C$4,tbl_WIP[Defer Start],"")+SUMIF('Deferred Revenue'!$E$6:$E$607,$A94,'Deferred Revenue'!$Q$6:$Q$607)</f>
        <v/>
      </c>
      <c r="E94" s="43">
        <f>C94+D94</f>
        <v/>
      </c>
      <c r="F94" s="50">
        <f>IF(ROUND(C94,2)+ROUND(D94,2)=0,"","yes")</f>
        <v/>
      </c>
      <c r="G94" s="61" t="n"/>
      <c r="H94" s="43">
        <f>IF($G94="","",$E94-$G94)</f>
        <v/>
      </c>
    </row>
    <row r="95">
      <c r="A95" s="60" t="inlineStr">
        <is>
          <t>26011407</t>
        </is>
      </c>
      <c r="B95" s="60" t="inlineStr">
        <is>
          <t>ASX CEO Connect 27.10.26</t>
        </is>
      </c>
      <c r="C95" s="43">
        <f>SUMIFS(tbl_WIP[Amount],tbl_WIP[Job Number],$A95,tbl_WIP[Month],"&lt;&gt;",tbl_WIP[Month],"&lt;"&amp;$C$4,tbl_WIP[Defer Start],"")+SUMIF('Deferred Revenue'!$E$6:$E$607,$A95,'Deferred Revenue'!$P$6:$P$607)</f>
        <v/>
      </c>
      <c r="D95" s="43">
        <f>SUMIFS(tbl_WIP[Amount],tbl_WIP[Job Number],$A95,tbl_WIP[Month],$C$4,tbl_WIP[Defer Start],"")+SUMIF('Deferred Revenue'!$E$6:$E$607,$A95,'Deferred Revenue'!$Q$6:$Q$607)</f>
        <v/>
      </c>
      <c r="E95" s="43">
        <f>C95+D95</f>
        <v/>
      </c>
      <c r="F95" s="50">
        <f>IF(ROUND(C95,2)+ROUND(D95,2)=0,"","yes")</f>
        <v/>
      </c>
      <c r="G95" s="61" t="n"/>
      <c r="H95" s="43">
        <f>IF($G95="","",$E95-$G95)</f>
        <v/>
      </c>
    </row>
    <row r="96">
      <c r="A96" s="60" t="inlineStr">
        <is>
          <t>26011407V</t>
        </is>
      </c>
      <c r="B96" s="60" t="inlineStr">
        <is>
          <t>ASX CEO Connect 27.10.26</t>
        </is>
      </c>
      <c r="C96" s="43">
        <f>SUMIFS(tbl_WIP[Amount],tbl_WIP[Job Number],$A96,tbl_WIP[Month],"&lt;&gt;",tbl_WIP[Month],"&lt;"&amp;$C$4,tbl_WIP[Defer Start],"")+SUMIF('Deferred Revenue'!$E$6:$E$607,$A96,'Deferred Revenue'!$P$6:$P$607)</f>
        <v/>
      </c>
      <c r="D96" s="43">
        <f>SUMIFS(tbl_WIP[Amount],tbl_WIP[Job Number],$A96,tbl_WIP[Month],$C$4,tbl_WIP[Defer Start],"")+SUMIF('Deferred Revenue'!$E$6:$E$607,$A96,'Deferred Revenue'!$Q$6:$Q$607)</f>
        <v/>
      </c>
      <c r="E96" s="43">
        <f>C96+D96</f>
        <v/>
      </c>
      <c r="F96" s="50">
        <f>IF(ROUND(C96,2)+ROUND(D96,2)=0,"","yes")</f>
        <v/>
      </c>
      <c r="G96" s="61" t="n"/>
      <c r="H96" s="43">
        <f>IF($G96="","",$E96-$G96)</f>
        <v/>
      </c>
    </row>
    <row r="97">
      <c r="A97" s="60" t="inlineStr">
        <is>
          <t>26011408</t>
        </is>
      </c>
      <c r="B97" s="60" t="inlineStr">
        <is>
          <t>ASX CEO Connect 1.12.26</t>
        </is>
      </c>
      <c r="C97" s="43">
        <f>SUMIFS(tbl_WIP[Amount],tbl_WIP[Job Number],$A97,tbl_WIP[Month],"&lt;&gt;",tbl_WIP[Month],"&lt;"&amp;$C$4,tbl_WIP[Defer Start],"")+SUMIF('Deferred Revenue'!$E$6:$E$607,$A97,'Deferred Revenue'!$P$6:$P$607)</f>
        <v/>
      </c>
      <c r="D97" s="43">
        <f>SUMIFS(tbl_WIP[Amount],tbl_WIP[Job Number],$A97,tbl_WIP[Month],$C$4,tbl_WIP[Defer Start],"")+SUMIF('Deferred Revenue'!$E$6:$E$607,$A97,'Deferred Revenue'!$Q$6:$Q$607)</f>
        <v/>
      </c>
      <c r="E97" s="43">
        <f>C97+D97</f>
        <v/>
      </c>
      <c r="F97" s="50">
        <f>IF(ROUND(C97,2)+ROUND(D97,2)=0,"","yes")</f>
        <v/>
      </c>
      <c r="G97" s="61" t="n"/>
      <c r="H97" s="43">
        <f>IF($G97="","",$E97-$G97)</f>
        <v/>
      </c>
    </row>
    <row r="98">
      <c r="A98" s="60" t="inlineStr">
        <is>
          <t>26011408V</t>
        </is>
      </c>
      <c r="B98" s="60" t="inlineStr">
        <is>
          <t>ASX CEO Connect 1.12.26</t>
        </is>
      </c>
      <c r="C98" s="43">
        <f>SUMIFS(tbl_WIP[Amount],tbl_WIP[Job Number],$A98,tbl_WIP[Month],"&lt;&gt;",tbl_WIP[Month],"&lt;"&amp;$C$4,tbl_WIP[Defer Start],"")+SUMIF('Deferred Revenue'!$E$6:$E$607,$A98,'Deferred Revenue'!$P$6:$P$607)</f>
        <v/>
      </c>
      <c r="D98" s="43">
        <f>SUMIFS(tbl_WIP[Amount],tbl_WIP[Job Number],$A98,tbl_WIP[Month],$C$4,tbl_WIP[Defer Start],"")+SUMIF('Deferred Revenue'!$E$6:$E$607,$A98,'Deferred Revenue'!$Q$6:$Q$607)</f>
        <v/>
      </c>
      <c r="E98" s="43">
        <f>C98+D98</f>
        <v/>
      </c>
      <c r="F98" s="50">
        <f>IF(ROUND(C98,2)+ROUND(D98,2)=0,"","yes")</f>
        <v/>
      </c>
      <c r="G98" s="61" t="n"/>
      <c r="H98" s="43">
        <f>IF($G98="","",$E98-$G98)</f>
        <v/>
      </c>
    </row>
    <row r="99">
      <c r="A99" s="60" t="inlineStr">
        <is>
          <t>26011409</t>
        </is>
      </c>
      <c r="B99" s="60" t="inlineStr">
        <is>
          <t>ASX Investor Days Sydney &amp; Melbourne 2026</t>
        </is>
      </c>
      <c r="C99" s="43">
        <f>SUMIFS(tbl_WIP[Amount],tbl_WIP[Job Number],$A99,tbl_WIP[Month],"&lt;&gt;",tbl_WIP[Month],"&lt;"&amp;$C$4,tbl_WIP[Defer Start],"")+SUMIF('Deferred Revenue'!$E$6:$E$607,$A99,'Deferred Revenue'!$P$6:$P$607)</f>
        <v/>
      </c>
      <c r="D99" s="43">
        <f>SUMIFS(tbl_WIP[Amount],tbl_WIP[Job Number],$A99,tbl_WIP[Month],$C$4,tbl_WIP[Defer Start],"")+SUMIF('Deferred Revenue'!$E$6:$E$607,$A99,'Deferred Revenue'!$Q$6:$Q$607)</f>
        <v/>
      </c>
      <c r="E99" s="43">
        <f>C99+D99</f>
        <v/>
      </c>
      <c r="F99" s="50">
        <f>IF(ROUND(C99,2)+ROUND(D99,2)=0,"","yes")</f>
        <v/>
      </c>
      <c r="G99" s="61" t="n"/>
      <c r="H99" s="43">
        <f>IF($G99="","",$E99-$G99)</f>
        <v/>
      </c>
    </row>
    <row r="100">
      <c r="A100" s="60" t="inlineStr">
        <is>
          <t>26011501</t>
        </is>
      </c>
      <c r="B100" s="60" t="inlineStr">
        <is>
          <t>ASX Refinitiv Charity Golf Classic H/L Vid 2026</t>
        </is>
      </c>
      <c r="C100" s="43">
        <f>SUMIFS(tbl_WIP[Amount],tbl_WIP[Job Number],$A100,tbl_WIP[Month],"&lt;&gt;",tbl_WIP[Month],"&lt;"&amp;$C$4,tbl_WIP[Defer Start],"")+SUMIF('Deferred Revenue'!$E$6:$E$607,$A100,'Deferred Revenue'!$P$6:$P$607)</f>
        <v/>
      </c>
      <c r="D100" s="43">
        <f>SUMIFS(tbl_WIP[Amount],tbl_WIP[Job Number],$A100,tbl_WIP[Month],$C$4,tbl_WIP[Defer Start],"")+SUMIF('Deferred Revenue'!$E$6:$E$607,$A100,'Deferred Revenue'!$Q$6:$Q$607)</f>
        <v/>
      </c>
      <c r="E100" s="43">
        <f>C100+D100</f>
        <v/>
      </c>
      <c r="F100" s="50">
        <f>IF(ROUND(C100,2)+ROUND(D100,2)=0,"","yes")</f>
        <v/>
      </c>
      <c r="G100" s="61" t="n"/>
      <c r="H100" s="43">
        <f>IF($G100="","",$E100-$G100)</f>
        <v/>
      </c>
    </row>
    <row r="101">
      <c r="A101" s="60" t="inlineStr">
        <is>
          <t>26011502</t>
        </is>
      </c>
      <c r="B101" s="60" t="inlineStr">
        <is>
          <t>ASX Charity Regatta Highlights Video 2026</t>
        </is>
      </c>
      <c r="C101" s="43">
        <f>SUMIFS(tbl_WIP[Amount],tbl_WIP[Job Number],$A101,tbl_WIP[Month],"&lt;&gt;",tbl_WIP[Month],"&lt;"&amp;$C$4,tbl_WIP[Defer Start],"")+SUMIF('Deferred Revenue'!$E$6:$E$607,$A101,'Deferred Revenue'!$P$6:$P$607)</f>
        <v/>
      </c>
      <c r="D101" s="43">
        <f>SUMIFS(tbl_WIP[Amount],tbl_WIP[Job Number],$A101,tbl_WIP[Month],$C$4,tbl_WIP[Defer Start],"")+SUMIF('Deferred Revenue'!$E$6:$E$607,$A101,'Deferred Revenue'!$Q$6:$Q$607)</f>
        <v/>
      </c>
      <c r="E101" s="43">
        <f>C101+D101</f>
        <v/>
      </c>
      <c r="F101" s="50">
        <f>IF(ROUND(C101,2)+ROUND(D101,2)=0,"","yes")</f>
        <v/>
      </c>
      <c r="G101" s="61" t="n"/>
      <c r="H101" s="43">
        <f>IF($G101="","",$E101-$G101)</f>
        <v/>
      </c>
    </row>
    <row r="102">
      <c r="A102" s="60" t="inlineStr">
        <is>
          <t>26012301</t>
        </is>
      </c>
      <c r="B102" s="60" t="inlineStr">
        <is>
          <t>PWC IT Support - Brisbane</t>
        </is>
      </c>
      <c r="C102" s="43">
        <f>SUMIFS(tbl_WIP[Amount],tbl_WIP[Job Number],$A102,tbl_WIP[Month],"&lt;&gt;",tbl_WIP[Month],"&lt;"&amp;$C$4,tbl_WIP[Defer Start],"")+SUMIF('Deferred Revenue'!$E$6:$E$607,$A102,'Deferred Revenue'!$P$6:$P$607)</f>
        <v/>
      </c>
      <c r="D102" s="43">
        <f>SUMIFS(tbl_WIP[Amount],tbl_WIP[Job Number],$A102,tbl_WIP[Month],$C$4,tbl_WIP[Defer Start],"")+SUMIF('Deferred Revenue'!$E$6:$E$607,$A102,'Deferred Revenue'!$Q$6:$Q$607)</f>
        <v/>
      </c>
      <c r="E102" s="43">
        <f>C102+D102</f>
        <v/>
      </c>
      <c r="F102" s="50">
        <f>IF(ROUND(C102,2)+ROUND(D102,2)=0,"","yes")</f>
        <v/>
      </c>
      <c r="G102" s="61" t="n"/>
      <c r="H102" s="43">
        <f>IF($G102="","",$E102-$G102)</f>
        <v/>
      </c>
    </row>
    <row r="103">
      <c r="A103" s="60" t="inlineStr">
        <is>
          <t>2601701</t>
        </is>
      </c>
      <c r="B103" s="60" t="inlineStr">
        <is>
          <t>CEOi - TLP Brand Video</t>
        </is>
      </c>
      <c r="C103" s="43">
        <f>SUMIFS(tbl_WIP[Amount],tbl_WIP[Job Number],$A103,tbl_WIP[Month],"&lt;&gt;",tbl_WIP[Month],"&lt;"&amp;$C$4,tbl_WIP[Defer Start],"")+SUMIF('Deferred Revenue'!$E$6:$E$607,$A103,'Deferred Revenue'!$P$6:$P$607)</f>
        <v/>
      </c>
      <c r="D103" s="43">
        <f>SUMIFS(tbl_WIP[Amount],tbl_WIP[Job Number],$A103,tbl_WIP[Month],$C$4,tbl_WIP[Defer Start],"")+SUMIF('Deferred Revenue'!$E$6:$E$607,$A103,'Deferred Revenue'!$Q$6:$Q$607)</f>
        <v/>
      </c>
      <c r="E103" s="43">
        <f>C103+D103</f>
        <v/>
      </c>
      <c r="F103" s="50">
        <f>IF(ROUND(C103,2)+ROUND(D103,2)=0,"","yes")</f>
        <v/>
      </c>
      <c r="G103" s="61" t="n"/>
      <c r="H103" s="43">
        <f>IF($G103="","",$E103-$G103)</f>
        <v/>
      </c>
    </row>
    <row r="104">
      <c r="A104" s="60" t="inlineStr">
        <is>
          <t>26021602</t>
        </is>
      </c>
      <c r="B104" s="60" t="inlineStr">
        <is>
          <t>Gen E ABS AV Support (Canberra)</t>
        </is>
      </c>
      <c r="C104" s="43">
        <f>SUMIFS(tbl_WIP[Amount],tbl_WIP[Job Number],$A104,tbl_WIP[Month],"&lt;&gt;",tbl_WIP[Month],"&lt;"&amp;$C$4,tbl_WIP[Defer Start],"")+SUMIF('Deferred Revenue'!$E$6:$E$607,$A104,'Deferred Revenue'!$P$6:$P$607)</f>
        <v/>
      </c>
      <c r="D104" s="43">
        <f>SUMIFS(tbl_WIP[Amount],tbl_WIP[Job Number],$A104,tbl_WIP[Month],$C$4,tbl_WIP[Defer Start],"")+SUMIF('Deferred Revenue'!$E$6:$E$607,$A104,'Deferred Revenue'!$Q$6:$Q$607)</f>
        <v/>
      </c>
      <c r="E104" s="43">
        <f>C104+D104</f>
        <v/>
      </c>
      <c r="F104" s="50">
        <f>IF(ROUND(C104,2)+ROUND(D104,2)=0,"","yes")</f>
        <v/>
      </c>
      <c r="G104" s="61" t="n"/>
      <c r="H104" s="43">
        <f>IF($G104="","",$E104-$G104)</f>
        <v/>
      </c>
    </row>
    <row r="105">
      <c r="A105" s="60" t="inlineStr">
        <is>
          <t>26021602N</t>
        </is>
      </c>
      <c r="B105" s="60" t="inlineStr">
        <is>
          <t>Gen E ABS AV Support (Canberra) [ONS non-chargeable]</t>
        </is>
      </c>
      <c r="C105" s="43">
        <f>SUMIFS(tbl_WIP[Amount],tbl_WIP[Job Number],$A105,tbl_WIP[Month],"&lt;&gt;",tbl_WIP[Month],"&lt;"&amp;$C$4,tbl_WIP[Defer Start],"")+SUMIF('Deferred Revenue'!$E$6:$E$607,$A105,'Deferred Revenue'!$P$6:$P$607)</f>
        <v/>
      </c>
      <c r="D105" s="43">
        <f>SUMIFS(tbl_WIP[Amount],tbl_WIP[Job Number],$A105,tbl_WIP[Month],$C$4,tbl_WIP[Defer Start],"")+SUMIF('Deferred Revenue'!$E$6:$E$607,$A105,'Deferred Revenue'!$Q$6:$Q$607)</f>
        <v/>
      </c>
      <c r="E105" s="43">
        <f>C105+D105</f>
        <v/>
      </c>
      <c r="F105" s="50">
        <f>IF(ROUND(C105,2)+ROUND(D105,2)=0,"","yes")</f>
        <v/>
      </c>
      <c r="G105" s="61" t="n"/>
      <c r="H105" s="43">
        <f>IF($G105="","",$E105-$G105)</f>
        <v/>
      </c>
    </row>
    <row r="106">
      <c r="A106" s="60" t="inlineStr">
        <is>
          <t>26021801</t>
        </is>
      </c>
      <c r="B106" s="60" t="inlineStr">
        <is>
          <t>Aware Super Seminar Room AV Upgrade</t>
        </is>
      </c>
      <c r="C106" s="43">
        <f>SUMIFS(tbl_WIP[Amount],tbl_WIP[Job Number],$A106,tbl_WIP[Month],"&lt;&gt;",tbl_WIP[Month],"&lt;"&amp;$C$4,tbl_WIP[Defer Start],"")+SUMIF('Deferred Revenue'!$E$6:$E$607,$A106,'Deferred Revenue'!$P$6:$P$607)</f>
        <v/>
      </c>
      <c r="D106" s="43">
        <f>SUMIFS(tbl_WIP[Amount],tbl_WIP[Job Number],$A106,tbl_WIP[Month],$C$4,tbl_WIP[Defer Start],"")+SUMIF('Deferred Revenue'!$E$6:$E$607,$A106,'Deferred Revenue'!$Q$6:$Q$607)</f>
        <v/>
      </c>
      <c r="E106" s="43">
        <f>C106+D106</f>
        <v/>
      </c>
      <c r="F106" s="50">
        <f>IF(ROUND(C106,2)+ROUND(D106,2)=0,"","yes")</f>
        <v/>
      </c>
      <c r="G106" s="61" t="n"/>
      <c r="H106" s="43">
        <f>IF($G106="","",$E106-$G106)</f>
        <v/>
      </c>
    </row>
    <row r="107">
      <c r="A107" s="60" t="inlineStr">
        <is>
          <t>2602203</t>
        </is>
      </c>
      <c r="B107" s="60" t="inlineStr">
        <is>
          <t>YSG Studio Orange Room Upgrade</t>
        </is>
      </c>
      <c r="C107" s="43">
        <f>SUMIFS(tbl_WIP[Amount],tbl_WIP[Job Number],$A107,tbl_WIP[Month],"&lt;&gt;",tbl_WIP[Month],"&lt;"&amp;$C$4,tbl_WIP[Defer Start],"")+SUMIF('Deferred Revenue'!$E$6:$E$607,$A107,'Deferred Revenue'!$P$6:$P$607)</f>
        <v/>
      </c>
      <c r="D107" s="43">
        <f>SUMIFS(tbl_WIP[Amount],tbl_WIP[Job Number],$A107,tbl_WIP[Month],$C$4,tbl_WIP[Defer Start],"")+SUMIF('Deferred Revenue'!$E$6:$E$607,$A107,'Deferred Revenue'!$Q$6:$Q$607)</f>
        <v/>
      </c>
      <c r="E107" s="43">
        <f>C107+D107</f>
        <v/>
      </c>
      <c r="F107" s="50">
        <f>IF(ROUND(C107,2)+ROUND(D107,2)=0,"","yes")</f>
        <v/>
      </c>
      <c r="G107" s="61" t="n"/>
      <c r="H107" s="43">
        <f>IF($G107="","",$E107-$G107)</f>
        <v/>
      </c>
    </row>
    <row r="108">
      <c r="A108" s="60" t="inlineStr">
        <is>
          <t>26022301</t>
        </is>
      </c>
      <c r="B108" s="60" t="inlineStr">
        <is>
          <t>Aware Super AV Maintenance</t>
        </is>
      </c>
      <c r="C108" s="43">
        <f>SUMIFS(tbl_WIP[Amount],tbl_WIP[Job Number],$A108,tbl_WIP[Month],"&lt;&gt;",tbl_WIP[Month],"&lt;"&amp;$C$4,tbl_WIP[Defer Start],"")+SUMIF('Deferred Revenue'!$E$6:$E$607,$A108,'Deferred Revenue'!$P$6:$P$607)</f>
        <v/>
      </c>
      <c r="D108" s="43">
        <f>SUMIFS(tbl_WIP[Amount],tbl_WIP[Job Number],$A108,tbl_WIP[Month],$C$4,tbl_WIP[Defer Start],"")+SUMIF('Deferred Revenue'!$E$6:$E$607,$A108,'Deferred Revenue'!$Q$6:$Q$607)</f>
        <v/>
      </c>
      <c r="E108" s="43">
        <f>C108+D108</f>
        <v/>
      </c>
      <c r="F108" s="50">
        <f>IF(ROUND(C108,2)+ROUND(D108,2)=0,"","yes")</f>
        <v/>
      </c>
      <c r="G108" s="61" t="n"/>
      <c r="H108" s="43">
        <f>IF($G108="","",$E108-$G108)</f>
        <v/>
      </c>
    </row>
    <row r="109">
      <c r="A109" s="60" t="inlineStr">
        <is>
          <t>26022301C</t>
        </is>
      </c>
      <c r="B109" s="60" t="inlineStr">
        <is>
          <t>Aware Super AV Maintenance</t>
        </is>
      </c>
      <c r="C109" s="43">
        <f>SUMIFS(tbl_WIP[Amount],tbl_WIP[Job Number],$A109,tbl_WIP[Month],"&lt;&gt;",tbl_WIP[Month],"&lt;"&amp;$C$4,tbl_WIP[Defer Start],"")+SUMIF('Deferred Revenue'!$E$6:$E$607,$A109,'Deferred Revenue'!$P$6:$P$607)</f>
        <v/>
      </c>
      <c r="D109" s="43">
        <f>SUMIFS(tbl_WIP[Amount],tbl_WIP[Job Number],$A109,tbl_WIP[Month],$C$4,tbl_WIP[Defer Start],"")+SUMIF('Deferred Revenue'!$E$6:$E$607,$A109,'Deferred Revenue'!$Q$6:$Q$607)</f>
        <v/>
      </c>
      <c r="E109" s="43">
        <f>C109+D109</f>
        <v/>
      </c>
      <c r="F109" s="50">
        <f>IF(ROUND(C109,2)+ROUND(D109,2)=0,"","yes")</f>
        <v/>
      </c>
      <c r="G109" s="61" t="n"/>
      <c r="H109" s="43">
        <f>IF($G109="","",$E109-$G109)</f>
        <v/>
      </c>
    </row>
    <row r="110">
      <c r="A110" s="60" t="inlineStr">
        <is>
          <t>26022301NC</t>
        </is>
      </c>
      <c r="B110" s="60" t="inlineStr">
        <is>
          <t>Aware Super AV Maintenance Non-chargeable</t>
        </is>
      </c>
      <c r="C110" s="43">
        <f>SUMIFS(tbl_WIP[Amount],tbl_WIP[Job Number],$A110,tbl_WIP[Month],"&lt;&gt;",tbl_WIP[Month],"&lt;"&amp;$C$4,tbl_WIP[Defer Start],"")+SUMIF('Deferred Revenue'!$E$6:$E$607,$A110,'Deferred Revenue'!$P$6:$P$607)</f>
        <v/>
      </c>
      <c r="D110" s="43">
        <f>SUMIFS(tbl_WIP[Amount],tbl_WIP[Job Number],$A110,tbl_WIP[Month],$C$4,tbl_WIP[Defer Start],"")+SUMIF('Deferred Revenue'!$E$6:$E$607,$A110,'Deferred Revenue'!$Q$6:$Q$607)</f>
        <v/>
      </c>
      <c r="E110" s="43">
        <f>C110+D110</f>
        <v/>
      </c>
      <c r="F110" s="50">
        <f>IF(ROUND(C110,2)+ROUND(D110,2)=0,"","yes")</f>
        <v/>
      </c>
      <c r="G110" s="61" t="n"/>
      <c r="H110" s="43">
        <f>IF($G110="","",$E110-$G110)</f>
        <v/>
      </c>
    </row>
    <row r="111">
      <c r="A111" s="60" t="inlineStr">
        <is>
          <t>26022301P</t>
        </is>
      </c>
      <c r="B111" s="60" t="inlineStr">
        <is>
          <t>Aware Super AV Maintenance</t>
        </is>
      </c>
      <c r="C111" s="43">
        <f>SUMIFS(tbl_WIP[Amount],tbl_WIP[Job Number],$A111,tbl_WIP[Month],"&lt;&gt;",tbl_WIP[Month],"&lt;"&amp;$C$4,tbl_WIP[Defer Start],"")+SUMIF('Deferred Revenue'!$E$6:$E$607,$A111,'Deferred Revenue'!$P$6:$P$607)</f>
        <v/>
      </c>
      <c r="D111" s="43">
        <f>SUMIFS(tbl_WIP[Amount],tbl_WIP[Job Number],$A111,tbl_WIP[Month],$C$4,tbl_WIP[Defer Start],"")+SUMIF('Deferred Revenue'!$E$6:$E$607,$A111,'Deferred Revenue'!$Q$6:$Q$607)</f>
        <v/>
      </c>
      <c r="E111" s="43">
        <f>C111+D111</f>
        <v/>
      </c>
      <c r="F111" s="50">
        <f>IF(ROUND(C111,2)+ROUND(D111,2)=0,"","yes")</f>
        <v/>
      </c>
      <c r="G111" s="61" t="n"/>
      <c r="H111" s="43">
        <f>IF($G111="","",$E111-$G111)</f>
        <v/>
      </c>
    </row>
    <row r="112">
      <c r="A112" s="60" t="inlineStr">
        <is>
          <t>26022302</t>
        </is>
      </c>
      <c r="B112" s="60" t="inlineStr">
        <is>
          <t>GP - Talking Philanthropy - 18.9.26</t>
        </is>
      </c>
      <c r="C112" s="43">
        <f>SUMIFS(tbl_WIP[Amount],tbl_WIP[Job Number],$A112,tbl_WIP[Month],"&lt;&gt;",tbl_WIP[Month],"&lt;"&amp;$C$4,tbl_WIP[Defer Start],"")+SUMIF('Deferred Revenue'!$E$6:$E$607,$A112,'Deferred Revenue'!$P$6:$P$607)</f>
        <v/>
      </c>
      <c r="D112" s="43">
        <f>SUMIFS(tbl_WIP[Amount],tbl_WIP[Job Number],$A112,tbl_WIP[Month],$C$4,tbl_WIP[Defer Start],"")+SUMIF('Deferred Revenue'!$E$6:$E$607,$A112,'Deferred Revenue'!$Q$6:$Q$607)</f>
        <v/>
      </c>
      <c r="E112" s="43">
        <f>C112+D112</f>
        <v/>
      </c>
      <c r="F112" s="50">
        <f>IF(ROUND(C112,2)+ROUND(D112,2)=0,"","yes")</f>
        <v/>
      </c>
      <c r="G112" s="61" t="n"/>
      <c r="H112" s="43">
        <f>IF($G112="","",$E112-$G112)</f>
        <v/>
      </c>
    </row>
    <row r="113">
      <c r="A113" s="60" t="inlineStr">
        <is>
          <t>26022302V</t>
        </is>
      </c>
      <c r="B113" s="60" t="inlineStr">
        <is>
          <t>GP - Talking Philanthropy - 18.9.26</t>
        </is>
      </c>
      <c r="C113" s="43">
        <f>SUMIFS(tbl_WIP[Amount],tbl_WIP[Job Number],$A113,tbl_WIP[Month],"&lt;&gt;",tbl_WIP[Month],"&lt;"&amp;$C$4,tbl_WIP[Defer Start],"")+SUMIF('Deferred Revenue'!$E$6:$E$607,$A113,'Deferred Revenue'!$P$6:$P$607)</f>
        <v/>
      </c>
      <c r="D113" s="43">
        <f>SUMIFS(tbl_WIP[Amount],tbl_WIP[Job Number],$A113,tbl_WIP[Month],$C$4,tbl_WIP[Defer Start],"")+SUMIF('Deferred Revenue'!$E$6:$E$607,$A113,'Deferred Revenue'!$Q$6:$Q$607)</f>
        <v/>
      </c>
      <c r="E113" s="43">
        <f>C113+D113</f>
        <v/>
      </c>
      <c r="F113" s="50">
        <f>IF(ROUND(C113,2)+ROUND(D113,2)=0,"","yes")</f>
        <v/>
      </c>
      <c r="G113" s="61" t="n"/>
      <c r="H113" s="43">
        <f>IF($G113="","",$E113-$G113)</f>
        <v/>
      </c>
    </row>
    <row r="114">
      <c r="A114" s="60" t="inlineStr">
        <is>
          <t>26022601</t>
        </is>
      </c>
      <c r="B114" s="60" t="inlineStr">
        <is>
          <t>ART - Annual Members Meeting - 25.11.26</t>
        </is>
      </c>
      <c r="C114" s="43">
        <f>SUMIFS(tbl_WIP[Amount],tbl_WIP[Job Number],$A114,tbl_WIP[Month],"&lt;&gt;",tbl_WIP[Month],"&lt;"&amp;$C$4,tbl_WIP[Defer Start],"")+SUMIF('Deferred Revenue'!$E$6:$E$607,$A114,'Deferred Revenue'!$P$6:$P$607)</f>
        <v/>
      </c>
      <c r="D114" s="43">
        <f>SUMIFS(tbl_WIP[Amount],tbl_WIP[Job Number],$A114,tbl_WIP[Month],$C$4,tbl_WIP[Defer Start],"")+SUMIF('Deferred Revenue'!$E$6:$E$607,$A114,'Deferred Revenue'!$Q$6:$Q$607)</f>
        <v/>
      </c>
      <c r="E114" s="43">
        <f>C114+D114</f>
        <v/>
      </c>
      <c r="F114" s="50">
        <f>IF(ROUND(C114,2)+ROUND(D114,2)=0,"","yes")</f>
        <v/>
      </c>
      <c r="G114" s="61" t="n"/>
      <c r="H114" s="43">
        <f>IF($G114="","",$E114-$G114)</f>
        <v/>
      </c>
    </row>
    <row r="115">
      <c r="A115" s="60" t="inlineStr">
        <is>
          <t>26022601V</t>
        </is>
      </c>
      <c r="B115" s="60" t="inlineStr">
        <is>
          <t>ART - Annual Members Meeting - 25.11.26</t>
        </is>
      </c>
      <c r="C115" s="43">
        <f>SUMIFS(tbl_WIP[Amount],tbl_WIP[Job Number],$A115,tbl_WIP[Month],"&lt;&gt;",tbl_WIP[Month],"&lt;"&amp;$C$4,tbl_WIP[Defer Start],"")+SUMIF('Deferred Revenue'!$E$6:$E$607,$A115,'Deferred Revenue'!$P$6:$P$607)</f>
        <v/>
      </c>
      <c r="D115" s="43">
        <f>SUMIFS(tbl_WIP[Amount],tbl_WIP[Job Number],$A115,tbl_WIP[Month],$C$4,tbl_WIP[Defer Start],"")+SUMIF('Deferred Revenue'!$E$6:$E$607,$A115,'Deferred Revenue'!$Q$6:$Q$607)</f>
        <v/>
      </c>
      <c r="E115" s="43">
        <f>C115+D115</f>
        <v/>
      </c>
      <c r="F115" s="50">
        <f>IF(ROUND(C115,2)+ROUND(D115,2)=0,"","yes")</f>
        <v/>
      </c>
      <c r="G115" s="61" t="n"/>
      <c r="H115" s="43">
        <f>IF($G115="","",$E115-$G115)</f>
        <v/>
      </c>
    </row>
    <row r="116">
      <c r="A116" s="60" t="inlineStr">
        <is>
          <t>2602901</t>
        </is>
      </c>
      <c r="B116" s="60" t="inlineStr">
        <is>
          <t>HP-Telstra: Phone Modification</t>
        </is>
      </c>
      <c r="C116" s="43">
        <f>SUMIFS(tbl_WIP[Amount],tbl_WIP[Job Number],$A116,tbl_WIP[Month],"&lt;&gt;",tbl_WIP[Month],"&lt;"&amp;$C$4,tbl_WIP[Defer Start],"")+SUMIF('Deferred Revenue'!$E$6:$E$607,$A116,'Deferred Revenue'!$P$6:$P$607)</f>
        <v/>
      </c>
      <c r="D116" s="43">
        <f>SUMIFS(tbl_WIP[Amount],tbl_WIP[Job Number],$A116,tbl_WIP[Month],$C$4,tbl_WIP[Defer Start],"")+SUMIF('Deferred Revenue'!$E$6:$E$607,$A116,'Deferred Revenue'!$Q$6:$Q$607)</f>
        <v/>
      </c>
      <c r="E116" s="43">
        <f>C116+D116</f>
        <v/>
      </c>
      <c r="F116" s="50">
        <f>IF(ROUND(C116,2)+ROUND(D116,2)=0,"","yes")</f>
        <v/>
      </c>
      <c r="G116" s="61" t="n"/>
      <c r="H116" s="43">
        <f>IF($G116="","",$E116-$G116)</f>
        <v/>
      </c>
    </row>
    <row r="117">
      <c r="A117" s="60" t="inlineStr">
        <is>
          <t>2603104</t>
        </is>
      </c>
      <c r="B117" s="60" t="inlineStr">
        <is>
          <t>Cochlear FY26 Results 18.8.26</t>
        </is>
      </c>
      <c r="C117" s="43">
        <f>SUMIFS(tbl_WIP[Amount],tbl_WIP[Job Number],$A117,tbl_WIP[Month],"&lt;&gt;",tbl_WIP[Month],"&lt;"&amp;$C$4,tbl_WIP[Defer Start],"")+SUMIF('Deferred Revenue'!$E$6:$E$607,$A117,'Deferred Revenue'!$P$6:$P$607)</f>
        <v/>
      </c>
      <c r="D117" s="43">
        <f>SUMIFS(tbl_WIP[Amount],tbl_WIP[Job Number],$A117,tbl_WIP[Month],$C$4,tbl_WIP[Defer Start],"")+SUMIF('Deferred Revenue'!$E$6:$E$607,$A117,'Deferred Revenue'!$Q$6:$Q$607)</f>
        <v/>
      </c>
      <c r="E117" s="43">
        <f>C117+D117</f>
        <v/>
      </c>
      <c r="F117" s="50">
        <f>IF(ROUND(C117,2)+ROUND(D117,2)=0,"","yes")</f>
        <v/>
      </c>
      <c r="G117" s="61" t="n"/>
      <c r="H117" s="43">
        <f>IF($G117="","",$E117-$G117)</f>
        <v/>
      </c>
    </row>
    <row r="118">
      <c r="A118" s="60" t="inlineStr">
        <is>
          <t>2603104V</t>
        </is>
      </c>
      <c r="B118" s="60" t="inlineStr">
        <is>
          <t>Cochlear FY26 Results 18.8.26</t>
        </is>
      </c>
      <c r="C118" s="43">
        <f>SUMIFS(tbl_WIP[Amount],tbl_WIP[Job Number],$A118,tbl_WIP[Month],"&lt;&gt;",tbl_WIP[Month],"&lt;"&amp;$C$4,tbl_WIP[Defer Start],"")+SUMIF('Deferred Revenue'!$E$6:$E$607,$A118,'Deferred Revenue'!$P$6:$P$607)</f>
        <v/>
      </c>
      <c r="D118" s="43">
        <f>SUMIFS(tbl_WIP[Amount],tbl_WIP[Job Number],$A118,tbl_WIP[Month],$C$4,tbl_WIP[Defer Start],"")+SUMIF('Deferred Revenue'!$E$6:$E$607,$A118,'Deferred Revenue'!$Q$6:$Q$607)</f>
        <v/>
      </c>
      <c r="E118" s="43">
        <f>C118+D118</f>
        <v/>
      </c>
      <c r="F118" s="50">
        <f>IF(ROUND(C118,2)+ROUND(D118,2)=0,"","yes")</f>
        <v/>
      </c>
      <c r="G118" s="61" t="n"/>
      <c r="H118" s="43">
        <f>IF($G118="","",$E118-$G118)</f>
        <v/>
      </c>
    </row>
    <row r="119">
      <c r="A119" s="60" t="inlineStr">
        <is>
          <t>2603105</t>
        </is>
      </c>
      <c r="B119" s="60" t="inlineStr">
        <is>
          <t>Cochlear - AGM - 26.10.26</t>
        </is>
      </c>
      <c r="C119" s="43">
        <f>SUMIFS(tbl_WIP[Amount],tbl_WIP[Job Number],$A119,tbl_WIP[Month],"&lt;&gt;",tbl_WIP[Month],"&lt;"&amp;$C$4,tbl_WIP[Defer Start],"")+SUMIF('Deferred Revenue'!$E$6:$E$607,$A119,'Deferred Revenue'!$P$6:$P$607)</f>
        <v/>
      </c>
      <c r="D119" s="43">
        <f>SUMIFS(tbl_WIP[Amount],tbl_WIP[Job Number],$A119,tbl_WIP[Month],$C$4,tbl_WIP[Defer Start],"")+SUMIF('Deferred Revenue'!$E$6:$E$607,$A119,'Deferred Revenue'!$Q$6:$Q$607)</f>
        <v/>
      </c>
      <c r="E119" s="43">
        <f>C119+D119</f>
        <v/>
      </c>
      <c r="F119" s="50">
        <f>IF(ROUND(C119,2)+ROUND(D119,2)=0,"","yes")</f>
        <v/>
      </c>
      <c r="G119" s="61" t="n"/>
      <c r="H119" s="43">
        <f>IF($G119="","",$E119-$G119)</f>
        <v/>
      </c>
    </row>
    <row r="120">
      <c r="A120" s="60" t="inlineStr">
        <is>
          <t>2603105V</t>
        </is>
      </c>
      <c r="B120" s="60" t="inlineStr">
        <is>
          <t>Cochlear - AGM - 26.10.26</t>
        </is>
      </c>
      <c r="C120" s="43">
        <f>SUMIFS(tbl_WIP[Amount],tbl_WIP[Job Number],$A120,tbl_WIP[Month],"&lt;&gt;",tbl_WIP[Month],"&lt;"&amp;$C$4,tbl_WIP[Defer Start],"")+SUMIF('Deferred Revenue'!$E$6:$E$607,$A120,'Deferred Revenue'!$P$6:$P$607)</f>
        <v/>
      </c>
      <c r="D120" s="43">
        <f>SUMIFS(tbl_WIP[Amount],tbl_WIP[Job Number],$A120,tbl_WIP[Month],$C$4,tbl_WIP[Defer Start],"")+SUMIF('Deferred Revenue'!$E$6:$E$607,$A120,'Deferred Revenue'!$Q$6:$Q$607)</f>
        <v/>
      </c>
      <c r="E120" s="43">
        <f>C120+D120</f>
        <v/>
      </c>
      <c r="F120" s="50">
        <f>IF(ROUND(C120,2)+ROUND(D120,2)=0,"","yes")</f>
        <v/>
      </c>
      <c r="G120" s="61" t="n"/>
      <c r="H120" s="43">
        <f>IF($G120="","",$E120-$G120)</f>
        <v/>
      </c>
    </row>
    <row r="121">
      <c r="A121" s="60" t="inlineStr">
        <is>
          <t>2603202</t>
        </is>
      </c>
      <c r="B121" s="60" t="inlineStr">
        <is>
          <t>Property NSW 5 O’Keefe Ave Nowra Workplace Hub</t>
        </is>
      </c>
      <c r="C121" s="43">
        <f>SUMIFS(tbl_WIP[Amount],tbl_WIP[Job Number],$A121,tbl_WIP[Month],"&lt;&gt;",tbl_WIP[Month],"&lt;"&amp;$C$4,tbl_WIP[Defer Start],"")+SUMIF('Deferred Revenue'!$E$6:$E$607,$A121,'Deferred Revenue'!$P$6:$P$607)</f>
        <v/>
      </c>
      <c r="D121" s="43">
        <f>SUMIFS(tbl_WIP[Amount],tbl_WIP[Job Number],$A121,tbl_WIP[Month],$C$4,tbl_WIP[Defer Start],"")+SUMIF('Deferred Revenue'!$E$6:$E$607,$A121,'Deferred Revenue'!$Q$6:$Q$607)</f>
        <v/>
      </c>
      <c r="E121" s="43">
        <f>C121+D121</f>
        <v/>
      </c>
      <c r="F121" s="50">
        <f>IF(ROUND(C121,2)+ROUND(D121,2)=0,"","yes")</f>
        <v/>
      </c>
      <c r="G121" s="61" t="n"/>
      <c r="H121" s="43">
        <f>IF($G121="","",$E121-$G121)</f>
        <v/>
      </c>
    </row>
    <row r="122">
      <c r="A122" s="60" t="inlineStr">
        <is>
          <t>26032301</t>
        </is>
      </c>
      <c r="B122" s="60" t="inlineStr">
        <is>
          <t>RSNSW - OGM - 1.7.2026</t>
        </is>
      </c>
      <c r="C122" s="43">
        <f>SUMIFS(tbl_WIP[Amount],tbl_WIP[Job Number],$A122,tbl_WIP[Month],"&lt;&gt;",tbl_WIP[Month],"&lt;"&amp;$C$4,tbl_WIP[Defer Start],"")+SUMIF('Deferred Revenue'!$E$6:$E$607,$A122,'Deferred Revenue'!$P$6:$P$607)</f>
        <v/>
      </c>
      <c r="D122" s="43">
        <f>SUMIFS(tbl_WIP[Amount],tbl_WIP[Job Number],$A122,tbl_WIP[Month],$C$4,tbl_WIP[Defer Start],"")+SUMIF('Deferred Revenue'!$E$6:$E$607,$A122,'Deferred Revenue'!$Q$6:$Q$607)</f>
        <v/>
      </c>
      <c r="E122" s="43">
        <f>C122+D122</f>
        <v/>
      </c>
      <c r="F122" s="50">
        <f>IF(ROUND(C122,2)+ROUND(D122,2)=0,"","yes")</f>
        <v/>
      </c>
      <c r="G122" s="61" t="n"/>
      <c r="H122" s="43">
        <f>IF($G122="","",$E122-$G122)</f>
        <v/>
      </c>
    </row>
    <row r="123">
      <c r="A123" s="60" t="inlineStr">
        <is>
          <t>26032301V</t>
        </is>
      </c>
      <c r="B123" s="60" t="inlineStr">
        <is>
          <t>RSNSW - OGM - 1.7.2026</t>
        </is>
      </c>
      <c r="C123" s="43">
        <f>SUMIFS(tbl_WIP[Amount],tbl_WIP[Job Number],$A123,tbl_WIP[Month],"&lt;&gt;",tbl_WIP[Month],"&lt;"&amp;$C$4,tbl_WIP[Defer Start],"")+SUMIF('Deferred Revenue'!$E$6:$E$607,$A123,'Deferred Revenue'!$P$6:$P$607)</f>
        <v/>
      </c>
      <c r="D123" s="43">
        <f>SUMIFS(tbl_WIP[Amount],tbl_WIP[Job Number],$A123,tbl_WIP[Month],$C$4,tbl_WIP[Defer Start],"")+SUMIF('Deferred Revenue'!$E$6:$E$607,$A123,'Deferred Revenue'!$Q$6:$Q$607)</f>
        <v/>
      </c>
      <c r="E123" s="43">
        <f>C123+D123</f>
        <v/>
      </c>
      <c r="F123" s="50">
        <f>IF(ROUND(C123,2)+ROUND(D123,2)=0,"","yes")</f>
        <v/>
      </c>
      <c r="G123" s="61" t="n"/>
      <c r="H123" s="43">
        <f>IF($G123="","",$E123-$G123)</f>
        <v/>
      </c>
    </row>
    <row r="124">
      <c r="A124" s="60" t="inlineStr">
        <is>
          <t>26032302</t>
        </is>
      </c>
      <c r="B124" s="60" t="inlineStr">
        <is>
          <t>RSNSW - OGM - 2.9.2026</t>
        </is>
      </c>
      <c r="C124" s="43">
        <f>SUMIFS(tbl_WIP[Amount],tbl_WIP[Job Number],$A124,tbl_WIP[Month],"&lt;&gt;",tbl_WIP[Month],"&lt;"&amp;$C$4,tbl_WIP[Defer Start],"")+SUMIF('Deferred Revenue'!$E$6:$E$607,$A124,'Deferred Revenue'!$P$6:$P$607)</f>
        <v/>
      </c>
      <c r="D124" s="43">
        <f>SUMIFS(tbl_WIP[Amount],tbl_WIP[Job Number],$A124,tbl_WIP[Month],$C$4,tbl_WIP[Defer Start],"")+SUMIF('Deferred Revenue'!$E$6:$E$607,$A124,'Deferred Revenue'!$Q$6:$Q$607)</f>
        <v/>
      </c>
      <c r="E124" s="43">
        <f>C124+D124</f>
        <v/>
      </c>
      <c r="F124" s="50">
        <f>IF(ROUND(C124,2)+ROUND(D124,2)=0,"","yes")</f>
        <v/>
      </c>
      <c r="G124" s="61" t="n"/>
      <c r="H124" s="43">
        <f>IF($G124="","",$E124-$G124)</f>
        <v/>
      </c>
    </row>
    <row r="125">
      <c r="A125" s="60" t="inlineStr">
        <is>
          <t>26032302V</t>
        </is>
      </c>
      <c r="B125" s="60" t="inlineStr">
        <is>
          <t>RSNSW - OGM - 2.9.2026</t>
        </is>
      </c>
      <c r="C125" s="43">
        <f>SUMIFS(tbl_WIP[Amount],tbl_WIP[Job Number],$A125,tbl_WIP[Month],"&lt;&gt;",tbl_WIP[Month],"&lt;"&amp;$C$4,tbl_WIP[Defer Start],"")+SUMIF('Deferred Revenue'!$E$6:$E$607,$A125,'Deferred Revenue'!$P$6:$P$607)</f>
        <v/>
      </c>
      <c r="D125" s="43">
        <f>SUMIFS(tbl_WIP[Amount],tbl_WIP[Job Number],$A125,tbl_WIP[Month],$C$4,tbl_WIP[Defer Start],"")+SUMIF('Deferred Revenue'!$E$6:$E$607,$A125,'Deferred Revenue'!$Q$6:$Q$607)</f>
        <v/>
      </c>
      <c r="E125" s="43">
        <f>C125+D125</f>
        <v/>
      </c>
      <c r="F125" s="50">
        <f>IF(ROUND(C125,2)+ROUND(D125,2)=0,"","yes")</f>
        <v/>
      </c>
      <c r="G125" s="61" t="n"/>
      <c r="H125" s="43">
        <f>IF($G125="","",$E125-$G125)</f>
        <v/>
      </c>
    </row>
    <row r="126">
      <c r="A126" s="60" t="inlineStr">
        <is>
          <t>26032501</t>
        </is>
      </c>
      <c r="B126" s="60" t="inlineStr">
        <is>
          <t>ChorusCall - Regal Partners AGM - 28.5.26</t>
        </is>
      </c>
      <c r="C126" s="43">
        <f>SUMIFS(tbl_WIP[Amount],tbl_WIP[Job Number],$A126,tbl_WIP[Month],"&lt;&gt;",tbl_WIP[Month],"&lt;"&amp;$C$4,tbl_WIP[Defer Start],"")+SUMIF('Deferred Revenue'!$E$6:$E$607,$A126,'Deferred Revenue'!$P$6:$P$607)</f>
        <v/>
      </c>
      <c r="D126" s="43">
        <f>SUMIFS(tbl_WIP[Amount],tbl_WIP[Job Number],$A126,tbl_WIP[Month],$C$4,tbl_WIP[Defer Start],"")+SUMIF('Deferred Revenue'!$E$6:$E$607,$A126,'Deferred Revenue'!$Q$6:$Q$607)</f>
        <v/>
      </c>
      <c r="E126" s="43">
        <f>C126+D126</f>
        <v/>
      </c>
      <c r="F126" s="50">
        <f>IF(ROUND(C126,2)+ROUND(D126,2)=0,"","yes")</f>
        <v/>
      </c>
      <c r="G126" s="61" t="n"/>
      <c r="H126" s="43">
        <f>IF($G126="","",$E126-$G126)</f>
        <v/>
      </c>
    </row>
    <row r="127">
      <c r="A127" s="60" t="inlineStr">
        <is>
          <t>26032502</t>
        </is>
      </c>
      <c r="B127" s="60" t="inlineStr">
        <is>
          <t>3YS Owls - Governance Top 100 2026 - 30.10.26</t>
        </is>
      </c>
      <c r="C127" s="43">
        <f>SUMIFS(tbl_WIP[Amount],tbl_WIP[Job Number],$A127,tbl_WIP[Month],"&lt;&gt;",tbl_WIP[Month],"&lt;"&amp;$C$4,tbl_WIP[Defer Start],"")+SUMIF('Deferred Revenue'!$E$6:$E$607,$A127,'Deferred Revenue'!$P$6:$P$607)</f>
        <v/>
      </c>
      <c r="D127" s="43">
        <f>SUMIFS(tbl_WIP[Amount],tbl_WIP[Job Number],$A127,tbl_WIP[Month],$C$4,tbl_WIP[Defer Start],"")+SUMIF('Deferred Revenue'!$E$6:$E$607,$A127,'Deferred Revenue'!$Q$6:$Q$607)</f>
        <v/>
      </c>
      <c r="E127" s="43">
        <f>C127+D127</f>
        <v/>
      </c>
      <c r="F127" s="50">
        <f>IF(ROUND(C127,2)+ROUND(D127,2)=0,"","yes")</f>
        <v/>
      </c>
      <c r="G127" s="61" t="n"/>
      <c r="H127" s="43">
        <f>IF($G127="","",$E127-$G127)</f>
        <v/>
      </c>
    </row>
    <row r="128">
      <c r="A128" s="60" t="inlineStr">
        <is>
          <t>26032502V</t>
        </is>
      </c>
      <c r="B128" s="60" t="inlineStr">
        <is>
          <t>3YS Owls - Governance Top 100 2026 - 30.10.26</t>
        </is>
      </c>
      <c r="C128" s="43">
        <f>SUMIFS(tbl_WIP[Amount],tbl_WIP[Job Number],$A128,tbl_WIP[Month],"&lt;&gt;",tbl_WIP[Month],"&lt;"&amp;$C$4,tbl_WIP[Defer Start],"")+SUMIF('Deferred Revenue'!$E$6:$E$607,$A128,'Deferred Revenue'!$P$6:$P$607)</f>
        <v/>
      </c>
      <c r="D128" s="43">
        <f>SUMIFS(tbl_WIP[Amount],tbl_WIP[Job Number],$A128,tbl_WIP[Month],$C$4,tbl_WIP[Defer Start],"")+SUMIF('Deferred Revenue'!$E$6:$E$607,$A128,'Deferred Revenue'!$Q$6:$Q$607)</f>
        <v/>
      </c>
      <c r="E128" s="43">
        <f>C128+D128</f>
        <v/>
      </c>
      <c r="F128" s="50">
        <f>IF(ROUND(C128,2)+ROUND(D128,2)=0,"","yes")</f>
        <v/>
      </c>
      <c r="G128" s="61" t="n"/>
      <c r="H128" s="43">
        <f>IF($G128="","",$E128-$G128)</f>
        <v/>
      </c>
    </row>
    <row r="129">
      <c r="A129" s="60" t="inlineStr">
        <is>
          <t>26032701</t>
        </is>
      </c>
      <c r="B129" s="60" t="inlineStr">
        <is>
          <t>MUFG - A1N AGM - 7.5.26</t>
        </is>
      </c>
      <c r="C129" s="43">
        <f>SUMIFS(tbl_WIP[Amount],tbl_WIP[Job Number],$A129,tbl_WIP[Month],"&lt;&gt;",tbl_WIP[Month],"&lt;"&amp;$C$4,tbl_WIP[Defer Start],"")+SUMIF('Deferred Revenue'!$E$6:$E$607,$A129,'Deferred Revenue'!$P$6:$P$607)</f>
        <v/>
      </c>
      <c r="D129" s="43">
        <f>SUMIFS(tbl_WIP[Amount],tbl_WIP[Job Number],$A129,tbl_WIP[Month],$C$4,tbl_WIP[Defer Start],"")+SUMIF('Deferred Revenue'!$E$6:$E$607,$A129,'Deferred Revenue'!$Q$6:$Q$607)</f>
        <v/>
      </c>
      <c r="E129" s="43">
        <f>C129+D129</f>
        <v/>
      </c>
      <c r="F129" s="50">
        <f>IF(ROUND(C129,2)+ROUND(D129,2)=0,"","yes")</f>
        <v/>
      </c>
      <c r="G129" s="61" t="n"/>
      <c r="H129" s="43">
        <f>IF($G129="","",$E129-$G129)</f>
        <v/>
      </c>
    </row>
    <row r="130">
      <c r="A130" s="60" t="inlineStr">
        <is>
          <t>26032701V</t>
        </is>
      </c>
      <c r="B130" s="60" t="inlineStr">
        <is>
          <t>MUFG - A1N AGM - 7.5.26</t>
        </is>
      </c>
      <c r="C130" s="43">
        <f>SUMIFS(tbl_WIP[Amount],tbl_WIP[Job Number],$A130,tbl_WIP[Month],"&lt;&gt;",tbl_WIP[Month],"&lt;"&amp;$C$4,tbl_WIP[Defer Start],"")+SUMIF('Deferred Revenue'!$E$6:$E$607,$A130,'Deferred Revenue'!$P$6:$P$607)</f>
        <v/>
      </c>
      <c r="D130" s="43">
        <f>SUMIFS(tbl_WIP[Amount],tbl_WIP[Job Number],$A130,tbl_WIP[Month],$C$4,tbl_WIP[Defer Start],"")+SUMIF('Deferred Revenue'!$E$6:$E$607,$A130,'Deferred Revenue'!$Q$6:$Q$607)</f>
        <v/>
      </c>
      <c r="E130" s="43">
        <f>C130+D130</f>
        <v/>
      </c>
      <c r="F130" s="50">
        <f>IF(ROUND(C130,2)+ROUND(D130,2)=0,"","yes")</f>
        <v/>
      </c>
      <c r="G130" s="61" t="n"/>
      <c r="H130" s="43">
        <f>IF($G130="","",$E130-$G130)</f>
        <v/>
      </c>
    </row>
    <row r="131">
      <c r="A131" s="60" t="inlineStr">
        <is>
          <t>26032702</t>
        </is>
      </c>
      <c r="B131" s="60" t="inlineStr">
        <is>
          <t>Ventia Transport Australia and Ventia Networking 6.5.26</t>
        </is>
      </c>
      <c r="C131" s="43">
        <f>SUMIFS(tbl_WIP[Amount],tbl_WIP[Job Number],$A131,tbl_WIP[Month],"&lt;&gt;",tbl_WIP[Month],"&lt;"&amp;$C$4,tbl_WIP[Defer Start],"")+SUMIF('Deferred Revenue'!$E$6:$E$607,$A131,'Deferred Revenue'!$P$6:$P$607)</f>
        <v/>
      </c>
      <c r="D131" s="43">
        <f>SUMIFS(tbl_WIP[Amount],tbl_WIP[Job Number],$A131,tbl_WIP[Month],$C$4,tbl_WIP[Defer Start],"")+SUMIF('Deferred Revenue'!$E$6:$E$607,$A131,'Deferred Revenue'!$Q$6:$Q$607)</f>
        <v/>
      </c>
      <c r="E131" s="43">
        <f>C131+D131</f>
        <v/>
      </c>
      <c r="F131" s="50">
        <f>IF(ROUND(C131,2)+ROUND(D131,2)=0,"","yes")</f>
        <v/>
      </c>
      <c r="G131" s="61" t="n"/>
      <c r="H131" s="43">
        <f>IF($G131="","",$E131-$G131)</f>
        <v/>
      </c>
    </row>
    <row r="132">
      <c r="A132" s="60" t="inlineStr">
        <is>
          <t>26032704</t>
        </is>
      </c>
      <c r="B132" s="60" t="inlineStr">
        <is>
          <t>CBA LES - April 2026</t>
        </is>
      </c>
      <c r="C132" s="43">
        <f>SUMIFS(tbl_WIP[Amount],tbl_WIP[Job Number],$A132,tbl_WIP[Month],"&lt;&gt;",tbl_WIP[Month],"&lt;"&amp;$C$4,tbl_WIP[Defer Start],"")+SUMIF('Deferred Revenue'!$E$6:$E$607,$A132,'Deferred Revenue'!$P$6:$P$607)</f>
        <v/>
      </c>
      <c r="D132" s="43">
        <f>SUMIFS(tbl_WIP[Amount],tbl_WIP[Job Number],$A132,tbl_WIP[Month],$C$4,tbl_WIP[Defer Start],"")+SUMIF('Deferred Revenue'!$E$6:$E$607,$A132,'Deferred Revenue'!$Q$6:$Q$607)</f>
        <v/>
      </c>
      <c r="E132" s="43">
        <f>C132+D132</f>
        <v/>
      </c>
      <c r="F132" s="50">
        <f>IF(ROUND(C132,2)+ROUND(D132,2)=0,"","yes")</f>
        <v/>
      </c>
      <c r="G132" s="61" t="n"/>
      <c r="H132" s="43">
        <f>IF($G132="","",$E132-$G132)</f>
        <v/>
      </c>
    </row>
    <row r="133">
      <c r="A133" s="60" t="inlineStr">
        <is>
          <t>26033003</t>
        </is>
      </c>
      <c r="B133" s="60" t="inlineStr">
        <is>
          <t>DTTL 8PSQ Dream Big Microphones</t>
        </is>
      </c>
      <c r="C133" s="43">
        <f>SUMIFS(tbl_WIP[Amount],tbl_WIP[Job Number],$A133,tbl_WIP[Month],"&lt;&gt;",tbl_WIP[Month],"&lt;"&amp;$C$4,tbl_WIP[Defer Start],"")+SUMIF('Deferred Revenue'!$E$6:$E$607,$A133,'Deferred Revenue'!$P$6:$P$607)</f>
        <v/>
      </c>
      <c r="D133" s="43">
        <f>SUMIFS(tbl_WIP[Amount],tbl_WIP[Job Number],$A133,tbl_WIP[Month],$C$4,tbl_WIP[Defer Start],"")+SUMIF('Deferred Revenue'!$E$6:$E$607,$A133,'Deferred Revenue'!$Q$6:$Q$607)</f>
        <v/>
      </c>
      <c r="E133" s="43">
        <f>C133+D133</f>
        <v/>
      </c>
      <c r="F133" s="50">
        <f>IF(ROUND(C133,2)+ROUND(D133,2)=0,"","yes")</f>
        <v/>
      </c>
      <c r="G133" s="61" t="n"/>
      <c r="H133" s="43">
        <f>IF($G133="","",$E133-$G133)</f>
        <v/>
      </c>
    </row>
    <row r="134">
      <c r="A134" s="60" t="inlineStr">
        <is>
          <t>26033004</t>
        </is>
      </c>
      <c r="B134" s="60" t="inlineStr">
        <is>
          <t>DTTL Melbourne Bluetooth Audio</t>
        </is>
      </c>
      <c r="C134" s="43">
        <f>SUMIFS(tbl_WIP[Amount],tbl_WIP[Job Number],$A134,tbl_WIP[Month],"&lt;&gt;",tbl_WIP[Month],"&lt;"&amp;$C$4,tbl_WIP[Defer Start],"")+SUMIF('Deferred Revenue'!$E$6:$E$607,$A134,'Deferred Revenue'!$P$6:$P$607)</f>
        <v/>
      </c>
      <c r="D134" s="43">
        <f>SUMIFS(tbl_WIP[Amount],tbl_WIP[Job Number],$A134,tbl_WIP[Month],$C$4,tbl_WIP[Defer Start],"")+SUMIF('Deferred Revenue'!$E$6:$E$607,$A134,'Deferred Revenue'!$Q$6:$Q$607)</f>
        <v/>
      </c>
      <c r="E134" s="43">
        <f>C134+D134</f>
        <v/>
      </c>
      <c r="F134" s="50">
        <f>IF(ROUND(C134,2)+ROUND(D134,2)=0,"","yes")</f>
        <v/>
      </c>
      <c r="G134" s="61" t="n"/>
      <c r="H134" s="43">
        <f>IF($G134="","",$E134-$G134)</f>
        <v/>
      </c>
    </row>
    <row r="135">
      <c r="A135" s="60" t="inlineStr">
        <is>
          <t>26033005</t>
        </is>
      </c>
      <c r="B135" s="60" t="inlineStr">
        <is>
          <t>DTTL QQT &amp; 8PSQ Crestron Connect Adaptor</t>
        </is>
      </c>
      <c r="C135" s="43">
        <f>SUMIFS(tbl_WIP[Amount],tbl_WIP[Job Number],$A135,tbl_WIP[Month],"&lt;&gt;",tbl_WIP[Month],"&lt;"&amp;$C$4,tbl_WIP[Defer Start],"")+SUMIF('Deferred Revenue'!$E$6:$E$607,$A135,'Deferred Revenue'!$P$6:$P$607)</f>
        <v/>
      </c>
      <c r="D135" s="43">
        <f>SUMIFS(tbl_WIP[Amount],tbl_WIP[Job Number],$A135,tbl_WIP[Month],$C$4,tbl_WIP[Defer Start],"")+SUMIF('Deferred Revenue'!$E$6:$E$607,$A135,'Deferred Revenue'!$Q$6:$Q$607)</f>
        <v/>
      </c>
      <c r="E135" s="43">
        <f>C135+D135</f>
        <v/>
      </c>
      <c r="F135" s="50">
        <f>IF(ROUND(C135,2)+ROUND(D135,2)=0,"","yes")</f>
        <v/>
      </c>
      <c r="G135" s="61" t="n"/>
      <c r="H135" s="43">
        <f>IF($G135="","",$E135-$G135)</f>
        <v/>
      </c>
    </row>
    <row r="136">
      <c r="A136" s="60" t="inlineStr">
        <is>
          <t>26033006</t>
        </is>
      </c>
      <c r="B136" s="60" t="inlineStr">
        <is>
          <t>DTTL 8PSQ Bluetooth Audio</t>
        </is>
      </c>
      <c r="C136" s="43">
        <f>SUMIFS(tbl_WIP[Amount],tbl_WIP[Job Number],$A136,tbl_WIP[Month],"&lt;&gt;",tbl_WIP[Month],"&lt;"&amp;$C$4,tbl_WIP[Defer Start],"")+SUMIF('Deferred Revenue'!$E$6:$E$607,$A136,'Deferred Revenue'!$P$6:$P$607)</f>
        <v/>
      </c>
      <c r="D136" s="43">
        <f>SUMIFS(tbl_WIP[Amount],tbl_WIP[Job Number],$A136,tbl_WIP[Month],$C$4,tbl_WIP[Defer Start],"")+SUMIF('Deferred Revenue'!$E$6:$E$607,$A136,'Deferred Revenue'!$Q$6:$Q$607)</f>
        <v/>
      </c>
      <c r="E136" s="43">
        <f>C136+D136</f>
        <v/>
      </c>
      <c r="F136" s="50">
        <f>IF(ROUND(C136,2)+ROUND(D136,2)=0,"","yes")</f>
        <v/>
      </c>
      <c r="G136" s="61" t="n"/>
      <c r="H136" s="43">
        <f>IF($G136="","",$E136-$G136)</f>
        <v/>
      </c>
    </row>
    <row r="137">
      <c r="A137" s="60" t="inlineStr">
        <is>
          <t>26033007</t>
        </is>
      </c>
      <c r="B137" s="60" t="inlineStr">
        <is>
          <t>DTTL QQT Lv45 Seminar Wheels repair</t>
        </is>
      </c>
      <c r="C137" s="43">
        <f>SUMIFS(tbl_WIP[Amount],tbl_WIP[Job Number],$A137,tbl_WIP[Month],"&lt;&gt;",tbl_WIP[Month],"&lt;"&amp;$C$4,tbl_WIP[Defer Start],"")+SUMIF('Deferred Revenue'!$E$6:$E$607,$A137,'Deferred Revenue'!$P$6:$P$607)</f>
        <v/>
      </c>
      <c r="D137" s="43">
        <f>SUMIFS(tbl_WIP[Amount],tbl_WIP[Job Number],$A137,tbl_WIP[Month],$C$4,tbl_WIP[Defer Start],"")+SUMIF('Deferred Revenue'!$E$6:$E$607,$A137,'Deferred Revenue'!$Q$6:$Q$607)</f>
        <v/>
      </c>
      <c r="E137" s="43">
        <f>C137+D137</f>
        <v/>
      </c>
      <c r="F137" s="50">
        <f>IF(ROUND(C137,2)+ROUND(D137,2)=0,"","yes")</f>
        <v/>
      </c>
      <c r="G137" s="61" t="n"/>
      <c r="H137" s="43">
        <f>IF($G137="","",$E137-$G137)</f>
        <v/>
      </c>
    </row>
    <row r="138">
      <c r="A138" s="60" t="inlineStr">
        <is>
          <t>26033008</t>
        </is>
      </c>
      <c r="B138" s="60" t="inlineStr">
        <is>
          <t>DTTL MEL Repair of Lv31 LED panels</t>
        </is>
      </c>
      <c r="C138" s="43">
        <f>SUMIFS(tbl_WIP[Amount],tbl_WIP[Job Number],$A138,tbl_WIP[Month],"&lt;&gt;",tbl_WIP[Month],"&lt;"&amp;$C$4,tbl_WIP[Defer Start],"")+SUMIF('Deferred Revenue'!$E$6:$E$607,$A138,'Deferred Revenue'!$P$6:$P$607)</f>
        <v/>
      </c>
      <c r="D138" s="43">
        <f>SUMIFS(tbl_WIP[Amount],tbl_WIP[Job Number],$A138,tbl_WIP[Month],$C$4,tbl_WIP[Defer Start],"")+SUMIF('Deferred Revenue'!$E$6:$E$607,$A138,'Deferred Revenue'!$Q$6:$Q$607)</f>
        <v/>
      </c>
      <c r="E138" s="43">
        <f>C138+D138</f>
        <v/>
      </c>
      <c r="F138" s="50">
        <f>IF(ROUND(C138,2)+ROUND(D138,2)=0,"","yes")</f>
        <v/>
      </c>
      <c r="G138" s="61" t="n"/>
      <c r="H138" s="43">
        <f>IF($G138="","",$E138-$G138)</f>
        <v/>
      </c>
    </row>
    <row r="139">
      <c r="A139" s="60" t="inlineStr">
        <is>
          <t>26041603</t>
        </is>
      </c>
      <c r="B139" s="60" t="inlineStr">
        <is>
          <t>Optiver - Town Hall - 23.7.26</t>
        </is>
      </c>
      <c r="C139" s="43">
        <f>SUMIFS(tbl_WIP[Amount],tbl_WIP[Job Number],$A139,tbl_WIP[Month],"&lt;&gt;",tbl_WIP[Month],"&lt;"&amp;$C$4,tbl_WIP[Defer Start],"")+SUMIF('Deferred Revenue'!$E$6:$E$607,$A139,'Deferred Revenue'!$P$6:$P$607)</f>
        <v/>
      </c>
      <c r="D139" s="43">
        <f>SUMIFS(tbl_WIP[Amount],tbl_WIP[Job Number],$A139,tbl_WIP[Month],$C$4,tbl_WIP[Defer Start],"")+SUMIF('Deferred Revenue'!$E$6:$E$607,$A139,'Deferred Revenue'!$Q$6:$Q$607)</f>
        <v/>
      </c>
      <c r="E139" s="43">
        <f>C139+D139</f>
        <v/>
      </c>
      <c r="F139" s="50">
        <f>IF(ROUND(C139,2)+ROUND(D139,2)=0,"","yes")</f>
        <v/>
      </c>
      <c r="G139" s="61" t="n"/>
      <c r="H139" s="43">
        <f>IF($G139="","",$E139-$G139)</f>
        <v/>
      </c>
    </row>
    <row r="140">
      <c r="A140" s="60" t="inlineStr">
        <is>
          <t>26041603V</t>
        </is>
      </c>
      <c r="B140" s="60" t="inlineStr">
        <is>
          <t>Optiver - Town Hall - 23.7.26</t>
        </is>
      </c>
      <c r="C140" s="43">
        <f>SUMIFS(tbl_WIP[Amount],tbl_WIP[Job Number],$A140,tbl_WIP[Month],"&lt;&gt;",tbl_WIP[Month],"&lt;"&amp;$C$4,tbl_WIP[Defer Start],"")+SUMIF('Deferred Revenue'!$E$6:$E$607,$A140,'Deferred Revenue'!$P$6:$P$607)</f>
        <v/>
      </c>
      <c r="D140" s="43">
        <f>SUMIFS(tbl_WIP[Amount],tbl_WIP[Job Number],$A140,tbl_WIP[Month],$C$4,tbl_WIP[Defer Start],"")+SUMIF('Deferred Revenue'!$E$6:$E$607,$A140,'Deferred Revenue'!$Q$6:$Q$607)</f>
        <v/>
      </c>
      <c r="E140" s="43">
        <f>C140+D140</f>
        <v/>
      </c>
      <c r="F140" s="50">
        <f>IF(ROUND(C140,2)+ROUND(D140,2)=0,"","yes")</f>
        <v/>
      </c>
      <c r="G140" s="61" t="n"/>
      <c r="H140" s="43">
        <f>IF($G140="","",$E140-$G140)</f>
        <v/>
      </c>
    </row>
    <row r="141">
      <c r="A141" s="60" t="inlineStr">
        <is>
          <t>26041701</t>
        </is>
      </c>
      <c r="B141" s="60" t="inlineStr">
        <is>
          <t>N2 Dance End of Year Concert Videos 2026</t>
        </is>
      </c>
      <c r="C141" s="43">
        <f>SUMIFS(tbl_WIP[Amount],tbl_WIP[Job Number],$A141,tbl_WIP[Month],"&lt;&gt;",tbl_WIP[Month],"&lt;"&amp;$C$4,tbl_WIP[Defer Start],"")+SUMIF('Deferred Revenue'!$E$6:$E$607,$A141,'Deferred Revenue'!$P$6:$P$607)</f>
        <v/>
      </c>
      <c r="D141" s="43">
        <f>SUMIFS(tbl_WIP[Amount],tbl_WIP[Job Number],$A141,tbl_WIP[Month],$C$4,tbl_WIP[Defer Start],"")+SUMIF('Deferred Revenue'!$E$6:$E$607,$A141,'Deferred Revenue'!$Q$6:$Q$607)</f>
        <v/>
      </c>
      <c r="E141" s="43">
        <f>C141+D141</f>
        <v/>
      </c>
      <c r="F141" s="50">
        <f>IF(ROUND(C141,2)+ROUND(D141,2)=0,"","yes")</f>
        <v/>
      </c>
      <c r="G141" s="61" t="n"/>
      <c r="H141" s="43">
        <f>IF($G141="","",$E141-$G141)</f>
        <v/>
      </c>
    </row>
    <row r="142">
      <c r="A142" s="60" t="inlineStr">
        <is>
          <t>26042001</t>
        </is>
      </c>
      <c r="B142" s="60" t="inlineStr">
        <is>
          <t>ASX - AGM - 22.10.26</t>
        </is>
      </c>
      <c r="C142" s="43">
        <f>SUMIFS(tbl_WIP[Amount],tbl_WIP[Job Number],$A142,tbl_WIP[Month],"&lt;&gt;",tbl_WIP[Month],"&lt;"&amp;$C$4,tbl_WIP[Defer Start],"")+SUMIF('Deferred Revenue'!$E$6:$E$607,$A142,'Deferred Revenue'!$P$6:$P$607)</f>
        <v/>
      </c>
      <c r="D142" s="43">
        <f>SUMIFS(tbl_WIP[Amount],tbl_WIP[Job Number],$A142,tbl_WIP[Month],$C$4,tbl_WIP[Defer Start],"")+SUMIF('Deferred Revenue'!$E$6:$E$607,$A142,'Deferred Revenue'!$Q$6:$Q$607)</f>
        <v/>
      </c>
      <c r="E142" s="43">
        <f>C142+D142</f>
        <v/>
      </c>
      <c r="F142" s="50">
        <f>IF(ROUND(C142,2)+ROUND(D142,2)=0,"","yes")</f>
        <v/>
      </c>
      <c r="G142" s="61" t="n"/>
      <c r="H142" s="43">
        <f>IF($G142="","",$E142-$G142)</f>
        <v/>
      </c>
    </row>
    <row r="143">
      <c r="A143" s="60" t="inlineStr">
        <is>
          <t>26042001V</t>
        </is>
      </c>
      <c r="B143" s="60" t="inlineStr">
        <is>
          <t>ASX - AGM - 22.10.26</t>
        </is>
      </c>
      <c r="C143" s="43">
        <f>SUMIFS(tbl_WIP[Amount],tbl_WIP[Job Number],$A143,tbl_WIP[Month],"&lt;&gt;",tbl_WIP[Month],"&lt;"&amp;$C$4,tbl_WIP[Defer Start],"")+SUMIF('Deferred Revenue'!$E$6:$E$607,$A143,'Deferred Revenue'!$P$6:$P$607)</f>
        <v/>
      </c>
      <c r="D143" s="43">
        <f>SUMIFS(tbl_WIP[Amount],tbl_WIP[Job Number],$A143,tbl_WIP[Month],$C$4,tbl_WIP[Defer Start],"")+SUMIF('Deferred Revenue'!$E$6:$E$607,$A143,'Deferred Revenue'!$Q$6:$Q$607)</f>
        <v/>
      </c>
      <c r="E143" s="43">
        <f>C143+D143</f>
        <v/>
      </c>
      <c r="F143" s="50">
        <f>IF(ROUND(C143,2)+ROUND(D143,2)=0,"","yes")</f>
        <v/>
      </c>
      <c r="G143" s="61" t="n"/>
      <c r="H143" s="43">
        <f>IF($G143="","",$E143-$G143)</f>
        <v/>
      </c>
    </row>
    <row r="144">
      <c r="A144" s="60" t="inlineStr">
        <is>
          <t>2604201</t>
        </is>
      </c>
      <c r="B144" s="60" t="inlineStr">
        <is>
          <t>Bankwest - Stage Hire - 27.5.2026</t>
        </is>
      </c>
      <c r="C144" s="43">
        <f>SUMIFS(tbl_WIP[Amount],tbl_WIP[Job Number],$A144,tbl_WIP[Month],"&lt;&gt;",tbl_WIP[Month],"&lt;"&amp;$C$4,tbl_WIP[Defer Start],"")+SUMIF('Deferred Revenue'!$E$6:$E$607,$A144,'Deferred Revenue'!$P$6:$P$607)</f>
        <v/>
      </c>
      <c r="D144" s="43">
        <f>SUMIFS(tbl_WIP[Amount],tbl_WIP[Job Number],$A144,tbl_WIP[Month],$C$4,tbl_WIP[Defer Start],"")+SUMIF('Deferred Revenue'!$E$6:$E$607,$A144,'Deferred Revenue'!$Q$6:$Q$607)</f>
        <v/>
      </c>
      <c r="E144" s="43">
        <f>C144+D144</f>
        <v/>
      </c>
      <c r="F144" s="50">
        <f>IF(ROUND(C144,2)+ROUND(D144,2)=0,"","yes")</f>
        <v/>
      </c>
      <c r="G144" s="61" t="n"/>
      <c r="H144" s="43">
        <f>IF($G144="","",$E144-$G144)</f>
        <v/>
      </c>
    </row>
    <row r="145">
      <c r="A145" s="60" t="inlineStr">
        <is>
          <t>2604202</t>
        </is>
      </c>
      <c r="B145" s="60" t="inlineStr">
        <is>
          <t>Ventia - Ventia Awards - 30.7.26</t>
        </is>
      </c>
      <c r="C145" s="43">
        <f>SUMIFS(tbl_WIP[Amount],tbl_WIP[Job Number],$A145,tbl_WIP[Month],"&lt;&gt;",tbl_WIP[Month],"&lt;"&amp;$C$4,tbl_WIP[Defer Start],"")+SUMIF('Deferred Revenue'!$E$6:$E$607,$A145,'Deferred Revenue'!$P$6:$P$607)</f>
        <v/>
      </c>
      <c r="D145" s="43">
        <f>SUMIFS(tbl_WIP[Amount],tbl_WIP[Job Number],$A145,tbl_WIP[Month],$C$4,tbl_WIP[Defer Start],"")+SUMIF('Deferred Revenue'!$E$6:$E$607,$A145,'Deferred Revenue'!$Q$6:$Q$607)</f>
        <v/>
      </c>
      <c r="E145" s="43">
        <f>C145+D145</f>
        <v/>
      </c>
      <c r="F145" s="50">
        <f>IF(ROUND(C145,2)+ROUND(D145,2)=0,"","yes")</f>
        <v/>
      </c>
      <c r="G145" s="61" t="n"/>
      <c r="H145" s="43">
        <f>IF($G145="","",$E145-$G145)</f>
        <v/>
      </c>
    </row>
    <row r="146">
      <c r="A146" s="60" t="inlineStr">
        <is>
          <t>2604202V</t>
        </is>
      </c>
      <c r="B146" s="60" t="inlineStr">
        <is>
          <t>Ventia - Ventia Awards - 30.7.26</t>
        </is>
      </c>
      <c r="C146" s="43">
        <f>SUMIFS(tbl_WIP[Amount],tbl_WIP[Job Number],$A146,tbl_WIP[Month],"&lt;&gt;",tbl_WIP[Month],"&lt;"&amp;$C$4,tbl_WIP[Defer Start],"")+SUMIF('Deferred Revenue'!$E$6:$E$607,$A146,'Deferred Revenue'!$P$6:$P$607)</f>
        <v/>
      </c>
      <c r="D146" s="43">
        <f>SUMIFS(tbl_WIP[Amount],tbl_WIP[Job Number],$A146,tbl_WIP[Month],$C$4,tbl_WIP[Defer Start],"")+SUMIF('Deferred Revenue'!$E$6:$E$607,$A146,'Deferred Revenue'!$Q$6:$Q$607)</f>
        <v/>
      </c>
      <c r="E146" s="43">
        <f>C146+D146</f>
        <v/>
      </c>
      <c r="F146" s="50">
        <f>IF(ROUND(C146,2)+ROUND(D146,2)=0,"","yes")</f>
        <v/>
      </c>
      <c r="G146" s="61" t="n"/>
      <c r="H146" s="43">
        <f>IF($G146="","",$E146-$G146)</f>
        <v/>
      </c>
    </row>
    <row r="147">
      <c r="A147" s="60" t="inlineStr">
        <is>
          <t>2604203V</t>
        </is>
      </c>
      <c r="B147" s="60" t="inlineStr">
        <is>
          <t>Ventia - Investor Day - 4.5.2026</t>
        </is>
      </c>
      <c r="C147" s="43">
        <f>SUMIFS(tbl_WIP[Amount],tbl_WIP[Job Number],$A147,tbl_WIP[Month],"&lt;&gt;",tbl_WIP[Month],"&lt;"&amp;$C$4,tbl_WIP[Defer Start],"")+SUMIF('Deferred Revenue'!$E$6:$E$607,$A147,'Deferred Revenue'!$P$6:$P$607)</f>
        <v/>
      </c>
      <c r="D147" s="43">
        <f>SUMIFS(tbl_WIP[Amount],tbl_WIP[Job Number],$A147,tbl_WIP[Month],$C$4,tbl_WIP[Defer Start],"")+SUMIF('Deferred Revenue'!$E$6:$E$607,$A147,'Deferred Revenue'!$Q$6:$Q$607)</f>
        <v/>
      </c>
      <c r="E147" s="43">
        <f>C147+D147</f>
        <v/>
      </c>
      <c r="F147" s="50">
        <f>IF(ROUND(C147,2)+ROUND(D147,2)=0,"","yes")</f>
        <v/>
      </c>
      <c r="G147" s="61" t="n"/>
      <c r="H147" s="43">
        <f>IF($G147="","",$E147-$G147)</f>
        <v/>
      </c>
    </row>
    <row r="148">
      <c r="A148" s="60" t="inlineStr">
        <is>
          <t>2604204</t>
        </is>
      </c>
      <c r="B148" s="60" t="inlineStr">
        <is>
          <t>Ventia - AGM - 21.5.26</t>
        </is>
      </c>
      <c r="C148" s="43">
        <f>SUMIFS(tbl_WIP[Amount],tbl_WIP[Job Number],$A148,tbl_WIP[Month],"&lt;&gt;",tbl_WIP[Month],"&lt;"&amp;$C$4,tbl_WIP[Defer Start],"")+SUMIF('Deferred Revenue'!$E$6:$E$607,$A148,'Deferred Revenue'!$P$6:$P$607)</f>
        <v/>
      </c>
      <c r="D148" s="43">
        <f>SUMIFS(tbl_WIP[Amount],tbl_WIP[Job Number],$A148,tbl_WIP[Month],$C$4,tbl_WIP[Defer Start],"")+SUMIF('Deferred Revenue'!$E$6:$E$607,$A148,'Deferred Revenue'!$Q$6:$Q$607)</f>
        <v/>
      </c>
      <c r="E148" s="43">
        <f>C148+D148</f>
        <v/>
      </c>
      <c r="F148" s="50">
        <f>IF(ROUND(C148,2)+ROUND(D148,2)=0,"","yes")</f>
        <v/>
      </c>
      <c r="G148" s="61" t="n"/>
      <c r="H148" s="43">
        <f>IF($G148="","",$E148-$G148)</f>
        <v/>
      </c>
    </row>
    <row r="149">
      <c r="A149" s="60" t="inlineStr">
        <is>
          <t>2604204V</t>
        </is>
      </c>
      <c r="B149" s="60" t="inlineStr">
        <is>
          <t>Ventia - AGM - 21.5.26</t>
        </is>
      </c>
      <c r="C149" s="43">
        <f>SUMIFS(tbl_WIP[Amount],tbl_WIP[Job Number],$A149,tbl_WIP[Month],"&lt;&gt;",tbl_WIP[Month],"&lt;"&amp;$C$4,tbl_WIP[Defer Start],"")+SUMIF('Deferred Revenue'!$E$6:$E$607,$A149,'Deferred Revenue'!$P$6:$P$607)</f>
        <v/>
      </c>
      <c r="D149" s="43">
        <f>SUMIFS(tbl_WIP[Amount],tbl_WIP[Job Number],$A149,tbl_WIP[Month],$C$4,tbl_WIP[Defer Start],"")+SUMIF('Deferred Revenue'!$E$6:$E$607,$A149,'Deferred Revenue'!$Q$6:$Q$607)</f>
        <v/>
      </c>
      <c r="E149" s="43">
        <f>C149+D149</f>
        <v/>
      </c>
      <c r="F149" s="50">
        <f>IF(ROUND(C149,2)+ROUND(D149,2)=0,"","yes")</f>
        <v/>
      </c>
      <c r="G149" s="61" t="n"/>
      <c r="H149" s="43">
        <f>IF($G149="","",$E149-$G149)</f>
        <v/>
      </c>
    </row>
    <row r="150">
      <c r="A150" s="60" t="inlineStr">
        <is>
          <t>26042802</t>
        </is>
      </c>
      <c r="B150" s="60" t="inlineStr">
        <is>
          <t>DTTL DAR Meeting Room Extension Cable Install</t>
        </is>
      </c>
      <c r="C150" s="43">
        <f>SUMIFS(tbl_WIP[Amount],tbl_WIP[Job Number],$A150,tbl_WIP[Month],"&lt;&gt;",tbl_WIP[Month],"&lt;"&amp;$C$4,tbl_WIP[Defer Start],"")+SUMIF('Deferred Revenue'!$E$6:$E$607,$A150,'Deferred Revenue'!$P$6:$P$607)</f>
        <v/>
      </c>
      <c r="D150" s="43">
        <f>SUMIFS(tbl_WIP[Amount],tbl_WIP[Job Number],$A150,tbl_WIP[Month],$C$4,tbl_WIP[Defer Start],"")+SUMIF('Deferred Revenue'!$E$6:$E$607,$A150,'Deferred Revenue'!$Q$6:$Q$607)</f>
        <v/>
      </c>
      <c r="E150" s="43">
        <f>C150+D150</f>
        <v/>
      </c>
      <c r="F150" s="50">
        <f>IF(ROUND(C150,2)+ROUND(D150,2)=0,"","yes")</f>
        <v/>
      </c>
      <c r="G150" s="61" t="n"/>
      <c r="H150" s="43">
        <f>IF($G150="","",$E150-$G150)</f>
        <v/>
      </c>
    </row>
    <row r="151">
      <c r="A151" s="60" t="inlineStr">
        <is>
          <t>26043001</t>
        </is>
      </c>
      <c r="B151" s="60" t="inlineStr">
        <is>
          <t>CBA FT Tech MEL - 12 months</t>
        </is>
      </c>
      <c r="C151" s="43">
        <f>SUMIFS(tbl_WIP[Amount],tbl_WIP[Job Number],$A151,tbl_WIP[Month],"&lt;&gt;",tbl_WIP[Month],"&lt;"&amp;$C$4,tbl_WIP[Defer Start],"")+SUMIF('Deferred Revenue'!$E$6:$E$607,$A151,'Deferred Revenue'!$P$6:$P$607)</f>
        <v/>
      </c>
      <c r="D151" s="43">
        <f>SUMIFS(tbl_WIP[Amount],tbl_WIP[Job Number],$A151,tbl_WIP[Month],$C$4,tbl_WIP[Defer Start],"")+SUMIF('Deferred Revenue'!$E$6:$E$607,$A151,'Deferred Revenue'!$Q$6:$Q$607)</f>
        <v/>
      </c>
      <c r="E151" s="43">
        <f>C151+D151</f>
        <v/>
      </c>
      <c r="F151" s="50">
        <f>IF(ROUND(C151,2)+ROUND(D151,2)=0,"","yes")</f>
        <v/>
      </c>
      <c r="G151" s="61" t="n"/>
      <c r="H151" s="43">
        <f>IF($G151="","",$E151-$G151)</f>
        <v/>
      </c>
    </row>
    <row r="152">
      <c r="A152" s="60" t="inlineStr">
        <is>
          <t>26043002</t>
        </is>
      </c>
      <c r="B152" s="60" t="inlineStr">
        <is>
          <t>CTS Town Hall</t>
        </is>
      </c>
      <c r="C152" s="43">
        <f>SUMIFS(tbl_WIP[Amount],tbl_WIP[Job Number],$A152,tbl_WIP[Month],"&lt;&gt;",tbl_WIP[Month],"&lt;"&amp;$C$4,tbl_WIP[Defer Start],"")+SUMIF('Deferred Revenue'!$E$6:$E$607,$A152,'Deferred Revenue'!$P$6:$P$607)</f>
        <v/>
      </c>
      <c r="D152" s="43">
        <f>SUMIFS(tbl_WIP[Amount],tbl_WIP[Job Number],$A152,tbl_WIP[Month],$C$4,tbl_WIP[Defer Start],"")+SUMIF('Deferred Revenue'!$E$6:$E$607,$A152,'Deferred Revenue'!$Q$6:$Q$607)</f>
        <v/>
      </c>
      <c r="E152" s="43">
        <f>C152+D152</f>
        <v/>
      </c>
      <c r="F152" s="50">
        <f>IF(ROUND(C152,2)+ROUND(D152,2)=0,"","yes")</f>
        <v/>
      </c>
      <c r="G152" s="61" t="n"/>
      <c r="H152" s="43">
        <f>IF($G152="","",$E152-$G152)</f>
        <v/>
      </c>
    </row>
    <row r="153">
      <c r="A153" s="60" t="inlineStr">
        <is>
          <t>26043003</t>
        </is>
      </c>
      <c r="B153" s="60" t="inlineStr">
        <is>
          <t>PwC Screen Replacements SYD+MEL</t>
        </is>
      </c>
      <c r="C153" s="43">
        <f>SUMIFS(tbl_WIP[Amount],tbl_WIP[Job Number],$A153,tbl_WIP[Month],"&lt;&gt;",tbl_WIP[Month],"&lt;"&amp;$C$4,tbl_WIP[Defer Start],"")+SUMIF('Deferred Revenue'!$E$6:$E$607,$A153,'Deferred Revenue'!$P$6:$P$607)</f>
        <v/>
      </c>
      <c r="D153" s="43">
        <f>SUMIFS(tbl_WIP[Amount],tbl_WIP[Job Number],$A153,tbl_WIP[Month],$C$4,tbl_WIP[Defer Start],"")+SUMIF('Deferred Revenue'!$E$6:$E$607,$A153,'Deferred Revenue'!$Q$6:$Q$607)</f>
        <v/>
      </c>
      <c r="E153" s="43">
        <f>C153+D153</f>
        <v/>
      </c>
      <c r="F153" s="50">
        <f>IF(ROUND(C153,2)+ROUND(D153,2)=0,"","yes")</f>
        <v/>
      </c>
      <c r="G153" s="61" t="n"/>
      <c r="H153" s="43">
        <f>IF($G153="","",$E153-$G153)</f>
        <v/>
      </c>
    </row>
    <row r="154">
      <c r="A154" s="60" t="inlineStr">
        <is>
          <t>2604704</t>
        </is>
      </c>
      <c r="B154" s="60" t="inlineStr">
        <is>
          <t>Aware Super Seminar Room Audio Upgrade</t>
        </is>
      </c>
      <c r="C154" s="43">
        <f>SUMIFS(tbl_WIP[Amount],tbl_WIP[Job Number],$A154,tbl_WIP[Month],"&lt;&gt;",tbl_WIP[Month],"&lt;"&amp;$C$4,tbl_WIP[Defer Start],"")+SUMIF('Deferred Revenue'!$E$6:$E$607,$A154,'Deferred Revenue'!$P$6:$P$607)</f>
        <v/>
      </c>
      <c r="D154" s="43">
        <f>SUMIFS(tbl_WIP[Amount],tbl_WIP[Job Number],$A154,tbl_WIP[Month],$C$4,tbl_WIP[Defer Start],"")+SUMIF('Deferred Revenue'!$E$6:$E$607,$A154,'Deferred Revenue'!$Q$6:$Q$607)</f>
        <v/>
      </c>
      <c r="E154" s="43">
        <f>C154+D154</f>
        <v/>
      </c>
      <c r="F154" s="50">
        <f>IF(ROUND(C154,2)+ROUND(D154,2)=0,"","yes")</f>
        <v/>
      </c>
      <c r="G154" s="61" t="n"/>
      <c r="H154" s="43">
        <f>IF($G154="","",$E154-$G154)</f>
        <v/>
      </c>
    </row>
    <row r="155">
      <c r="A155" s="60" t="inlineStr">
        <is>
          <t>2604802</t>
        </is>
      </c>
      <c r="B155" s="60" t="inlineStr">
        <is>
          <t>PwC - Audio Support - 29.4.26</t>
        </is>
      </c>
      <c r="C155" s="43">
        <f>SUMIFS(tbl_WIP[Amount],tbl_WIP[Job Number],$A155,tbl_WIP[Month],"&lt;&gt;",tbl_WIP[Month],"&lt;"&amp;$C$4,tbl_WIP[Defer Start],"")+SUMIF('Deferred Revenue'!$E$6:$E$607,$A155,'Deferred Revenue'!$P$6:$P$607)</f>
        <v/>
      </c>
      <c r="D155" s="43">
        <f>SUMIFS(tbl_WIP[Amount],tbl_WIP[Job Number],$A155,tbl_WIP[Month],$C$4,tbl_WIP[Defer Start],"")+SUMIF('Deferred Revenue'!$E$6:$E$607,$A155,'Deferred Revenue'!$Q$6:$Q$607)</f>
        <v/>
      </c>
      <c r="E155" s="43">
        <f>C155+D155</f>
        <v/>
      </c>
      <c r="F155" s="50">
        <f>IF(ROUND(C155,2)+ROUND(D155,2)=0,"","yes")</f>
        <v/>
      </c>
      <c r="G155" s="61" t="n"/>
      <c r="H155" s="43">
        <f>IF($G155="","",$E155-$G155)</f>
        <v/>
      </c>
    </row>
    <row r="156">
      <c r="A156" s="60" t="inlineStr">
        <is>
          <t>26051101</t>
        </is>
      </c>
      <c r="B156" s="60" t="inlineStr">
        <is>
          <t>DTTL Mardi Gras/Vivid Event 27/05/26</t>
        </is>
      </c>
      <c r="C156" s="43">
        <f>SUMIFS(tbl_WIP[Amount],tbl_WIP[Job Number],$A156,tbl_WIP[Month],"&lt;&gt;",tbl_WIP[Month],"&lt;"&amp;$C$4,tbl_WIP[Defer Start],"")+SUMIF('Deferred Revenue'!$E$6:$E$607,$A156,'Deferred Revenue'!$P$6:$P$607)</f>
        <v/>
      </c>
      <c r="D156" s="43">
        <f>SUMIFS(tbl_WIP[Amount],tbl_WIP[Job Number],$A156,tbl_WIP[Month],$C$4,tbl_WIP[Defer Start],"")+SUMIF('Deferred Revenue'!$E$6:$E$607,$A156,'Deferred Revenue'!$Q$6:$Q$607)</f>
        <v/>
      </c>
      <c r="E156" s="43">
        <f>C156+D156</f>
        <v/>
      </c>
      <c r="F156" s="50">
        <f>IF(ROUND(C156,2)+ROUND(D156,2)=0,"","yes")</f>
        <v/>
      </c>
      <c r="G156" s="61" t="n"/>
      <c r="H156" s="43">
        <f>IF($G156="","",$E156-$G156)</f>
        <v/>
      </c>
    </row>
    <row r="157">
      <c r="A157" s="60" t="inlineStr">
        <is>
          <t>26051101V</t>
        </is>
      </c>
      <c r="B157" s="60" t="inlineStr">
        <is>
          <t>DTTL Mardi Gras/Vivid Event 27/05/26</t>
        </is>
      </c>
      <c r="C157" s="43">
        <f>SUMIFS(tbl_WIP[Amount],tbl_WIP[Job Number],$A157,tbl_WIP[Month],"&lt;&gt;",tbl_WIP[Month],"&lt;"&amp;$C$4,tbl_WIP[Defer Start],"")+SUMIF('Deferred Revenue'!$E$6:$E$607,$A157,'Deferred Revenue'!$P$6:$P$607)</f>
        <v/>
      </c>
      <c r="D157" s="43">
        <f>SUMIFS(tbl_WIP[Amount],tbl_WIP[Job Number],$A157,tbl_WIP[Month],$C$4,tbl_WIP[Defer Start],"")+SUMIF('Deferred Revenue'!$E$6:$E$607,$A157,'Deferred Revenue'!$Q$6:$Q$607)</f>
        <v/>
      </c>
      <c r="E157" s="43">
        <f>C157+D157</f>
        <v/>
      </c>
      <c r="F157" s="50">
        <f>IF(ROUND(C157,2)+ROUND(D157,2)=0,"","yes")</f>
        <v/>
      </c>
      <c r="G157" s="61" t="n"/>
      <c r="H157" s="43">
        <f>IF($G157="","",$E157-$G157)</f>
        <v/>
      </c>
    </row>
    <row r="158">
      <c r="A158" s="60" t="inlineStr">
        <is>
          <t>26051102</t>
        </is>
      </c>
      <c r="B158" s="60" t="inlineStr">
        <is>
          <t>DTTL - CEO Roadshow - 1.6.26</t>
        </is>
      </c>
      <c r="C158" s="43">
        <f>SUMIFS(tbl_WIP[Amount],tbl_WIP[Job Number],$A158,tbl_WIP[Month],"&lt;&gt;",tbl_WIP[Month],"&lt;"&amp;$C$4,tbl_WIP[Defer Start],"")+SUMIF('Deferred Revenue'!$E$6:$E$607,$A158,'Deferred Revenue'!$P$6:$P$607)</f>
        <v/>
      </c>
      <c r="D158" s="43">
        <f>SUMIFS(tbl_WIP[Amount],tbl_WIP[Job Number],$A158,tbl_WIP[Month],$C$4,tbl_WIP[Defer Start],"")+SUMIF('Deferred Revenue'!$E$6:$E$607,$A158,'Deferred Revenue'!$Q$6:$Q$607)</f>
        <v/>
      </c>
      <c r="E158" s="43">
        <f>C158+D158</f>
        <v/>
      </c>
      <c r="F158" s="50">
        <f>IF(ROUND(C158,2)+ROUND(D158,2)=0,"","yes")</f>
        <v/>
      </c>
      <c r="G158" s="61" t="n"/>
      <c r="H158" s="43">
        <f>IF($G158="","",$E158-$G158)</f>
        <v/>
      </c>
    </row>
    <row r="159">
      <c r="A159" s="60" t="inlineStr">
        <is>
          <t>26051102V</t>
        </is>
      </c>
      <c r="B159" s="60" t="inlineStr">
        <is>
          <t>DTTL - CEO Roadshow - 1.6.26</t>
        </is>
      </c>
      <c r="C159" s="43">
        <f>SUMIFS(tbl_WIP[Amount],tbl_WIP[Job Number],$A159,tbl_WIP[Month],"&lt;&gt;",tbl_WIP[Month],"&lt;"&amp;$C$4,tbl_WIP[Defer Start],"")+SUMIF('Deferred Revenue'!$E$6:$E$607,$A159,'Deferred Revenue'!$P$6:$P$607)</f>
        <v/>
      </c>
      <c r="D159" s="43">
        <f>SUMIFS(tbl_WIP[Amount],tbl_WIP[Job Number],$A159,tbl_WIP[Month],$C$4,tbl_WIP[Defer Start],"")+SUMIF('Deferred Revenue'!$E$6:$E$607,$A159,'Deferred Revenue'!$Q$6:$Q$607)</f>
        <v/>
      </c>
      <c r="E159" s="43">
        <f>C159+D159</f>
        <v/>
      </c>
      <c r="F159" s="50">
        <f>IF(ROUND(C159,2)+ROUND(D159,2)=0,"","yes")</f>
        <v/>
      </c>
      <c r="G159" s="61" t="n"/>
      <c r="H159" s="43">
        <f>IF($G159="","",$E159-$G159)</f>
        <v/>
      </c>
    </row>
    <row r="160">
      <c r="A160" s="60" t="inlineStr">
        <is>
          <t>26051103</t>
        </is>
      </c>
      <c r="B160" s="60" t="inlineStr">
        <is>
          <t>PwC PER Studio Support 25.05.26</t>
        </is>
      </c>
      <c r="C160" s="43">
        <f>SUMIFS(tbl_WIP[Amount],tbl_WIP[Job Number],$A160,tbl_WIP[Month],"&lt;&gt;",tbl_WIP[Month],"&lt;"&amp;$C$4,tbl_WIP[Defer Start],"")+SUMIF('Deferred Revenue'!$E$6:$E$607,$A160,'Deferred Revenue'!$P$6:$P$607)</f>
        <v/>
      </c>
      <c r="D160" s="43">
        <f>SUMIFS(tbl_WIP[Amount],tbl_WIP[Job Number],$A160,tbl_WIP[Month],$C$4,tbl_WIP[Defer Start],"")+SUMIF('Deferred Revenue'!$E$6:$E$607,$A160,'Deferred Revenue'!$Q$6:$Q$607)</f>
        <v/>
      </c>
      <c r="E160" s="43">
        <f>C160+D160</f>
        <v/>
      </c>
      <c r="F160" s="50">
        <f>IF(ROUND(C160,2)+ROUND(D160,2)=0,"","yes")</f>
        <v/>
      </c>
      <c r="G160" s="61" t="n"/>
      <c r="H160" s="43">
        <f>IF($G160="","",$E160-$G160)</f>
        <v/>
      </c>
    </row>
    <row r="161">
      <c r="A161" s="60" t="inlineStr">
        <is>
          <t>26051103V</t>
        </is>
      </c>
      <c r="B161" s="60" t="inlineStr">
        <is>
          <t>PwC PER Studio Support 25.05.26</t>
        </is>
      </c>
      <c r="C161" s="43">
        <f>SUMIFS(tbl_WIP[Amount],tbl_WIP[Job Number],$A161,tbl_WIP[Month],"&lt;&gt;",tbl_WIP[Month],"&lt;"&amp;$C$4,tbl_WIP[Defer Start],"")+SUMIF('Deferred Revenue'!$E$6:$E$607,$A161,'Deferred Revenue'!$P$6:$P$607)</f>
        <v/>
      </c>
      <c r="D161" s="43">
        <f>SUMIFS(tbl_WIP[Amount],tbl_WIP[Job Number],$A161,tbl_WIP[Month],$C$4,tbl_WIP[Defer Start],"")+SUMIF('Deferred Revenue'!$E$6:$E$607,$A161,'Deferred Revenue'!$Q$6:$Q$607)</f>
        <v/>
      </c>
      <c r="E161" s="43">
        <f>C161+D161</f>
        <v/>
      </c>
      <c r="F161" s="50">
        <f>IF(ROUND(C161,2)+ROUND(D161,2)=0,"","yes")</f>
        <v/>
      </c>
      <c r="G161" s="61" t="n"/>
      <c r="H161" s="43">
        <f>IF($G161="","",$E161-$G161)</f>
        <v/>
      </c>
    </row>
    <row r="162">
      <c r="A162" s="60" t="inlineStr">
        <is>
          <t>26051201</t>
        </is>
      </c>
      <c r="B162" s="60" t="inlineStr">
        <is>
          <t>ASX CEO Farewell Highlights</t>
        </is>
      </c>
      <c r="C162" s="43">
        <f>SUMIFS(tbl_WIP[Amount],tbl_WIP[Job Number],$A162,tbl_WIP[Month],"&lt;&gt;",tbl_WIP[Month],"&lt;"&amp;$C$4,tbl_WIP[Defer Start],"")+SUMIF('Deferred Revenue'!$E$6:$E$607,$A162,'Deferred Revenue'!$P$6:$P$607)</f>
        <v/>
      </c>
      <c r="D162" s="43">
        <f>SUMIFS(tbl_WIP[Amount],tbl_WIP[Job Number],$A162,tbl_WIP[Month],$C$4,tbl_WIP[Defer Start],"")+SUMIF('Deferred Revenue'!$E$6:$E$607,$A162,'Deferred Revenue'!$Q$6:$Q$607)</f>
        <v/>
      </c>
      <c r="E162" s="43">
        <f>C162+D162</f>
        <v/>
      </c>
      <c r="F162" s="50">
        <f>IF(ROUND(C162,2)+ROUND(D162,2)=0,"","yes")</f>
        <v/>
      </c>
      <c r="G162" s="61" t="n"/>
      <c r="H162" s="43">
        <f>IF($G162="","",$E162-$G162)</f>
        <v/>
      </c>
    </row>
    <row r="163">
      <c r="A163" s="60" t="inlineStr">
        <is>
          <t>26051301</t>
        </is>
      </c>
      <c r="B163" s="60" t="inlineStr">
        <is>
          <t>HP-BAE | Phone Mod</t>
        </is>
      </c>
      <c r="C163" s="43">
        <f>SUMIFS(tbl_WIP[Amount],tbl_WIP[Job Number],$A163,tbl_WIP[Month],"&lt;&gt;",tbl_WIP[Month],"&lt;"&amp;$C$4,tbl_WIP[Defer Start],"")+SUMIF('Deferred Revenue'!$E$6:$E$607,$A163,'Deferred Revenue'!$P$6:$P$607)</f>
        <v/>
      </c>
      <c r="D163" s="43">
        <f>SUMIFS(tbl_WIP[Amount],tbl_WIP[Job Number],$A163,tbl_WIP[Month],$C$4,tbl_WIP[Defer Start],"")+SUMIF('Deferred Revenue'!$E$6:$E$607,$A163,'Deferred Revenue'!$Q$6:$Q$607)</f>
        <v/>
      </c>
      <c r="E163" s="43">
        <f>C163+D163</f>
        <v/>
      </c>
      <c r="F163" s="50">
        <f>IF(ROUND(C163,2)+ROUND(D163,2)=0,"","yes")</f>
        <v/>
      </c>
      <c r="G163" s="61" t="n"/>
      <c r="H163" s="43">
        <f>IF($G163="","",$E163-$G163)</f>
        <v/>
      </c>
    </row>
    <row r="164">
      <c r="A164" s="60" t="inlineStr">
        <is>
          <t>26051401</t>
        </is>
      </c>
      <c r="B164" s="60" t="inlineStr">
        <is>
          <t>ASX - Business Meeting - 27.5.26</t>
        </is>
      </c>
      <c r="C164" s="43">
        <f>SUMIFS(tbl_WIP[Amount],tbl_WIP[Job Number],$A164,tbl_WIP[Month],"&lt;&gt;",tbl_WIP[Month],"&lt;"&amp;$C$4,tbl_WIP[Defer Start],"")+SUMIF('Deferred Revenue'!$E$6:$E$607,$A164,'Deferred Revenue'!$P$6:$P$607)</f>
        <v/>
      </c>
      <c r="D164" s="43">
        <f>SUMIFS(tbl_WIP[Amount],tbl_WIP[Job Number],$A164,tbl_WIP[Month],$C$4,tbl_WIP[Defer Start],"")+SUMIF('Deferred Revenue'!$E$6:$E$607,$A164,'Deferred Revenue'!$Q$6:$Q$607)</f>
        <v/>
      </c>
      <c r="E164" s="43">
        <f>C164+D164</f>
        <v/>
      </c>
      <c r="F164" s="50">
        <f>IF(ROUND(C164,2)+ROUND(D164,2)=0,"","yes")</f>
        <v/>
      </c>
      <c r="G164" s="61" t="n"/>
      <c r="H164" s="43">
        <f>IF($G164="","",$E164-$G164)</f>
        <v/>
      </c>
    </row>
    <row r="165">
      <c r="A165" s="60" t="inlineStr">
        <is>
          <t>26051401V</t>
        </is>
      </c>
      <c r="B165" s="60" t="inlineStr">
        <is>
          <t>ASX - Business Meeting - 27.5.26</t>
        </is>
      </c>
      <c r="C165" s="43">
        <f>SUMIFS(tbl_WIP[Amount],tbl_WIP[Job Number],$A165,tbl_WIP[Month],"&lt;&gt;",tbl_WIP[Month],"&lt;"&amp;$C$4,tbl_WIP[Defer Start],"")+SUMIF('Deferred Revenue'!$E$6:$E$607,$A165,'Deferred Revenue'!$P$6:$P$607)</f>
        <v/>
      </c>
      <c r="D165" s="43">
        <f>SUMIFS(tbl_WIP[Amount],tbl_WIP[Job Number],$A165,tbl_WIP[Month],$C$4,tbl_WIP[Defer Start],"")+SUMIF('Deferred Revenue'!$E$6:$E$607,$A165,'Deferred Revenue'!$Q$6:$Q$607)</f>
        <v/>
      </c>
      <c r="E165" s="43">
        <f>C165+D165</f>
        <v/>
      </c>
      <c r="F165" s="50">
        <f>IF(ROUND(C165,2)+ROUND(D165,2)=0,"","yes")</f>
        <v/>
      </c>
      <c r="G165" s="61" t="n"/>
      <c r="H165" s="43">
        <f>IF($G165="","",$E165-$G165)</f>
        <v/>
      </c>
    </row>
    <row r="166">
      <c r="A166" s="60" t="inlineStr">
        <is>
          <t>26051402</t>
        </is>
      </c>
      <c r="B166" s="60" t="inlineStr">
        <is>
          <t>PwC Foldback Monitor Hire</t>
        </is>
      </c>
      <c r="C166" s="43">
        <f>SUMIFS(tbl_WIP[Amount],tbl_WIP[Job Number],$A166,tbl_WIP[Month],"&lt;&gt;",tbl_WIP[Month],"&lt;"&amp;$C$4,tbl_WIP[Defer Start],"")+SUMIF('Deferred Revenue'!$E$6:$E$607,$A166,'Deferred Revenue'!$P$6:$P$607)</f>
        <v/>
      </c>
      <c r="D166" s="43">
        <f>SUMIFS(tbl_WIP[Amount],tbl_WIP[Job Number],$A166,tbl_WIP[Month],$C$4,tbl_WIP[Defer Start],"")+SUMIF('Deferred Revenue'!$E$6:$E$607,$A166,'Deferred Revenue'!$Q$6:$Q$607)</f>
        <v/>
      </c>
      <c r="E166" s="43">
        <f>C166+D166</f>
        <v/>
      </c>
      <c r="F166" s="50">
        <f>IF(ROUND(C166,2)+ROUND(D166,2)=0,"","yes")</f>
        <v/>
      </c>
      <c r="G166" s="61" t="n"/>
      <c r="H166" s="43">
        <f>IF($G166="","",$E166-$G166)</f>
        <v/>
      </c>
    </row>
    <row r="167">
      <c r="A167" s="60" t="inlineStr">
        <is>
          <t>26051801</t>
        </is>
      </c>
      <c r="B167" s="60" t="inlineStr">
        <is>
          <t>PwC | Mel Studio Equipment</t>
        </is>
      </c>
      <c r="C167" s="43">
        <f>SUMIFS(tbl_WIP[Amount],tbl_WIP[Job Number],$A167,tbl_WIP[Month],"&lt;&gt;",tbl_WIP[Month],"&lt;"&amp;$C$4,tbl_WIP[Defer Start],"")+SUMIF('Deferred Revenue'!$E$6:$E$607,$A167,'Deferred Revenue'!$P$6:$P$607)</f>
        <v/>
      </c>
      <c r="D167" s="43">
        <f>SUMIFS(tbl_WIP[Amount],tbl_WIP[Job Number],$A167,tbl_WIP[Month],$C$4,tbl_WIP[Defer Start],"")+SUMIF('Deferred Revenue'!$E$6:$E$607,$A167,'Deferred Revenue'!$Q$6:$Q$607)</f>
        <v/>
      </c>
      <c r="E167" s="43">
        <f>C167+D167</f>
        <v/>
      </c>
      <c r="F167" s="50">
        <f>IF(ROUND(C167,2)+ROUND(D167,2)=0,"","yes")</f>
        <v/>
      </c>
      <c r="G167" s="61" t="n"/>
      <c r="H167" s="43">
        <f>IF($G167="","",$E167-$G167)</f>
        <v/>
      </c>
    </row>
    <row r="168">
      <c r="A168" s="60" t="inlineStr">
        <is>
          <t>26051803</t>
        </is>
      </c>
      <c r="B168" s="60" t="inlineStr">
        <is>
          <t>AVIT - Taronga ZOO AV Support - May 2026</t>
        </is>
      </c>
      <c r="C168" s="43">
        <f>SUMIFS(tbl_WIP[Amount],tbl_WIP[Job Number],$A168,tbl_WIP[Month],"&lt;&gt;",tbl_WIP[Month],"&lt;"&amp;$C$4,tbl_WIP[Defer Start],"")+SUMIF('Deferred Revenue'!$E$6:$E$607,$A168,'Deferred Revenue'!$P$6:$P$607)</f>
        <v/>
      </c>
      <c r="D168" s="43">
        <f>SUMIFS(tbl_WIP[Amount],tbl_WIP[Job Number],$A168,tbl_WIP[Month],$C$4,tbl_WIP[Defer Start],"")+SUMIF('Deferred Revenue'!$E$6:$E$607,$A168,'Deferred Revenue'!$Q$6:$Q$607)</f>
        <v/>
      </c>
      <c r="E168" s="43">
        <f>C168+D168</f>
        <v/>
      </c>
      <c r="F168" s="50">
        <f>IF(ROUND(C168,2)+ROUND(D168,2)=0,"","yes")</f>
        <v/>
      </c>
      <c r="G168" s="61" t="n"/>
      <c r="H168" s="43">
        <f>IF($G168="","",$E168-$G168)</f>
        <v/>
      </c>
    </row>
    <row r="169">
      <c r="A169" s="60" t="inlineStr">
        <is>
          <t>26052001</t>
        </is>
      </c>
      <c r="B169" s="60" t="inlineStr">
        <is>
          <t>MeetMagic - AI Behaviour Event - 29.5.26</t>
        </is>
      </c>
      <c r="C169" s="43">
        <f>SUMIFS(tbl_WIP[Amount],tbl_WIP[Job Number],$A169,tbl_WIP[Month],"&lt;&gt;",tbl_WIP[Month],"&lt;"&amp;$C$4,tbl_WIP[Defer Start],"")+SUMIF('Deferred Revenue'!$E$6:$E$607,$A169,'Deferred Revenue'!$P$6:$P$607)</f>
        <v/>
      </c>
      <c r="D169" s="43">
        <f>SUMIFS(tbl_WIP[Amount],tbl_WIP[Job Number],$A169,tbl_WIP[Month],$C$4,tbl_WIP[Defer Start],"")+SUMIF('Deferred Revenue'!$E$6:$E$607,$A169,'Deferred Revenue'!$Q$6:$Q$607)</f>
        <v/>
      </c>
      <c r="E169" s="43">
        <f>C169+D169</f>
        <v/>
      </c>
      <c r="F169" s="50">
        <f>IF(ROUND(C169,2)+ROUND(D169,2)=0,"","yes")</f>
        <v/>
      </c>
      <c r="G169" s="61" t="n"/>
      <c r="H169" s="43">
        <f>IF($G169="","",$E169-$G169)</f>
        <v/>
      </c>
    </row>
    <row r="170">
      <c r="A170" s="60" t="inlineStr">
        <is>
          <t>26052001V</t>
        </is>
      </c>
      <c r="B170" s="60" t="inlineStr">
        <is>
          <t>MeetMagic - AI Behaviour Event - 29.5.26</t>
        </is>
      </c>
      <c r="C170" s="43">
        <f>SUMIFS(tbl_WIP[Amount],tbl_WIP[Job Number],$A170,tbl_WIP[Month],"&lt;&gt;",tbl_WIP[Month],"&lt;"&amp;$C$4,tbl_WIP[Defer Start],"")+SUMIF('Deferred Revenue'!$E$6:$E$607,$A170,'Deferred Revenue'!$P$6:$P$607)</f>
        <v/>
      </c>
      <c r="D170" s="43">
        <f>SUMIFS(tbl_WIP[Amount],tbl_WIP[Job Number],$A170,tbl_WIP[Month],$C$4,tbl_WIP[Defer Start],"")+SUMIF('Deferred Revenue'!$E$6:$E$607,$A170,'Deferred Revenue'!$Q$6:$Q$607)</f>
        <v/>
      </c>
      <c r="E170" s="43">
        <f>C170+D170</f>
        <v/>
      </c>
      <c r="F170" s="50">
        <f>IF(ROUND(C170,2)+ROUND(D170,2)=0,"","yes")</f>
        <v/>
      </c>
      <c r="G170" s="61" t="n"/>
      <c r="H170" s="43">
        <f>IF($G170="","",$E170-$G170)</f>
        <v/>
      </c>
    </row>
    <row r="171">
      <c r="A171" s="60" t="inlineStr">
        <is>
          <t>26052002</t>
        </is>
      </c>
      <c r="B171" s="60" t="inlineStr">
        <is>
          <t>DTTL BNE L23 Training Rooms Upgrade</t>
        </is>
      </c>
      <c r="C171" s="43">
        <f>SUMIFS(tbl_WIP[Amount],tbl_WIP[Job Number],$A171,tbl_WIP[Month],"&lt;&gt;",tbl_WIP[Month],"&lt;"&amp;$C$4,tbl_WIP[Defer Start],"")+SUMIF('Deferred Revenue'!$E$6:$E$607,$A171,'Deferred Revenue'!$P$6:$P$607)</f>
        <v/>
      </c>
      <c r="D171" s="43">
        <f>SUMIFS(tbl_WIP[Amount],tbl_WIP[Job Number],$A171,tbl_WIP[Month],$C$4,tbl_WIP[Defer Start],"")+SUMIF('Deferred Revenue'!$E$6:$E$607,$A171,'Deferred Revenue'!$Q$6:$Q$607)</f>
        <v/>
      </c>
      <c r="E171" s="43">
        <f>C171+D171</f>
        <v/>
      </c>
      <c r="F171" s="50">
        <f>IF(ROUND(C171,2)+ROUND(D171,2)=0,"","yes")</f>
        <v/>
      </c>
      <c r="G171" s="61" t="n"/>
      <c r="H171" s="43">
        <f>IF($G171="","",$E171-$G171)</f>
        <v/>
      </c>
    </row>
    <row r="172">
      <c r="A172" s="60" t="inlineStr">
        <is>
          <t>26052003</t>
        </is>
      </c>
      <c r="B172" s="60" t="inlineStr">
        <is>
          <t>DTTL Mobile Commbox Displays</t>
        </is>
      </c>
      <c r="C172" s="43">
        <f>SUMIFS(tbl_WIP[Amount],tbl_WIP[Job Number],$A172,tbl_WIP[Month],"&lt;&gt;",tbl_WIP[Month],"&lt;"&amp;$C$4,tbl_WIP[Defer Start],"")+SUMIF('Deferred Revenue'!$E$6:$E$607,$A172,'Deferred Revenue'!$P$6:$P$607)</f>
        <v/>
      </c>
      <c r="D172" s="43">
        <f>SUMIFS(tbl_WIP[Amount],tbl_WIP[Job Number],$A172,tbl_WIP[Month],$C$4,tbl_WIP[Defer Start],"")+SUMIF('Deferred Revenue'!$E$6:$E$607,$A172,'Deferred Revenue'!$Q$6:$Q$607)</f>
        <v/>
      </c>
      <c r="E172" s="43">
        <f>C172+D172</f>
        <v/>
      </c>
      <c r="F172" s="50">
        <f>IF(ROUND(C172,2)+ROUND(D172,2)=0,"","yes")</f>
        <v/>
      </c>
      <c r="G172" s="61" t="n"/>
      <c r="H172" s="43">
        <f>IF($G172="","",$E172-$G172)</f>
        <v/>
      </c>
    </row>
    <row r="173">
      <c r="A173" s="60" t="inlineStr">
        <is>
          <t>26052004</t>
        </is>
      </c>
      <c r="B173" s="60" t="inlineStr">
        <is>
          <t>CBA - Live Event Support - June 2026</t>
        </is>
      </c>
      <c r="C173" s="43">
        <f>SUMIFS(tbl_WIP[Amount],tbl_WIP[Job Number],$A173,tbl_WIP[Month],"&lt;&gt;",tbl_WIP[Month],"&lt;"&amp;$C$4,tbl_WIP[Defer Start],"")+SUMIF('Deferred Revenue'!$E$6:$E$607,$A173,'Deferred Revenue'!$P$6:$P$607)</f>
        <v/>
      </c>
      <c r="D173" s="43">
        <f>SUMIFS(tbl_WIP[Amount],tbl_WIP[Job Number],$A173,tbl_WIP[Month],$C$4,tbl_WIP[Defer Start],"")+SUMIF('Deferred Revenue'!$E$6:$E$607,$A173,'Deferred Revenue'!$Q$6:$Q$607)</f>
        <v/>
      </c>
      <c r="E173" s="43">
        <f>C173+D173</f>
        <v/>
      </c>
      <c r="F173" s="50">
        <f>IF(ROUND(C173,2)+ROUND(D173,2)=0,"","yes")</f>
        <v/>
      </c>
      <c r="G173" s="61" t="n"/>
      <c r="H173" s="43">
        <f>IF($G173="","",$E173-$G173)</f>
        <v/>
      </c>
    </row>
    <row r="174">
      <c r="A174" s="60" t="inlineStr">
        <is>
          <t>26052101</t>
        </is>
      </c>
      <c r="B174" s="60" t="inlineStr">
        <is>
          <t>MeetMagic - Human AI Event Highlights</t>
        </is>
      </c>
      <c r="C174" s="43">
        <f>SUMIFS(tbl_WIP[Amount],tbl_WIP[Job Number],$A174,tbl_WIP[Month],"&lt;&gt;",tbl_WIP[Month],"&lt;"&amp;$C$4,tbl_WIP[Defer Start],"")+SUMIF('Deferred Revenue'!$E$6:$E$607,$A174,'Deferred Revenue'!$P$6:$P$607)</f>
        <v/>
      </c>
      <c r="D174" s="43">
        <f>SUMIFS(tbl_WIP[Amount],tbl_WIP[Job Number],$A174,tbl_WIP[Month],$C$4,tbl_WIP[Defer Start],"")+SUMIF('Deferred Revenue'!$E$6:$E$607,$A174,'Deferred Revenue'!$Q$6:$Q$607)</f>
        <v/>
      </c>
      <c r="E174" s="43">
        <f>C174+D174</f>
        <v/>
      </c>
      <c r="F174" s="50">
        <f>IF(ROUND(C174,2)+ROUND(D174,2)=0,"","yes")</f>
        <v/>
      </c>
      <c r="G174" s="61" t="n"/>
      <c r="H174" s="43">
        <f>IF($G174="","",$E174-$G174)</f>
        <v/>
      </c>
    </row>
    <row r="175">
      <c r="A175" s="60" t="inlineStr">
        <is>
          <t>26052102</t>
        </is>
      </c>
      <c r="B175" s="60" t="inlineStr">
        <is>
          <t>HP-D3 | Austrac Phone Mods</t>
        </is>
      </c>
      <c r="C175" s="43">
        <f>SUMIFS(tbl_WIP[Amount],tbl_WIP[Job Number],$A175,tbl_WIP[Month],"&lt;&gt;",tbl_WIP[Month],"&lt;"&amp;$C$4,tbl_WIP[Defer Start],"")+SUMIF('Deferred Revenue'!$E$6:$E$607,$A175,'Deferred Revenue'!$P$6:$P$607)</f>
        <v/>
      </c>
      <c r="D175" s="43">
        <f>SUMIFS(tbl_WIP[Amount],tbl_WIP[Job Number],$A175,tbl_WIP[Month],$C$4,tbl_WIP[Defer Start],"")+SUMIF('Deferred Revenue'!$E$6:$E$607,$A175,'Deferred Revenue'!$Q$6:$Q$607)</f>
        <v/>
      </c>
      <c r="E175" s="43">
        <f>C175+D175</f>
        <v/>
      </c>
      <c r="F175" s="50">
        <f>IF(ROUND(C175,2)+ROUND(D175,2)=0,"","yes")</f>
        <v/>
      </c>
      <c r="G175" s="61" t="n"/>
      <c r="H175" s="43">
        <f>IF($G175="","",$E175-$G175)</f>
        <v/>
      </c>
    </row>
    <row r="176">
      <c r="A176" s="60" t="inlineStr">
        <is>
          <t>26052103</t>
        </is>
      </c>
      <c r="B176" s="60" t="inlineStr">
        <is>
          <t>Ventia - LTI FY26 Video Record</t>
        </is>
      </c>
      <c r="C176" s="43">
        <f>SUMIFS(tbl_WIP[Amount],tbl_WIP[Job Number],$A176,tbl_WIP[Month],"&lt;&gt;",tbl_WIP[Month],"&lt;"&amp;$C$4,tbl_WIP[Defer Start],"")+SUMIF('Deferred Revenue'!$E$6:$E$607,$A176,'Deferred Revenue'!$P$6:$P$607)</f>
        <v/>
      </c>
      <c r="D176" s="43">
        <f>SUMIFS(tbl_WIP[Amount],tbl_WIP[Job Number],$A176,tbl_WIP[Month],$C$4,tbl_WIP[Defer Start],"")+SUMIF('Deferred Revenue'!$E$6:$E$607,$A176,'Deferred Revenue'!$Q$6:$Q$607)</f>
        <v/>
      </c>
      <c r="E176" s="43">
        <f>C176+D176</f>
        <v/>
      </c>
      <c r="F176" s="50">
        <f>IF(ROUND(C176,2)+ROUND(D176,2)=0,"","yes")</f>
        <v/>
      </c>
      <c r="G176" s="61" t="n"/>
      <c r="H176" s="43">
        <f>IF($G176="","",$E176-$G176)</f>
        <v/>
      </c>
    </row>
    <row r="177">
      <c r="A177" s="60" t="inlineStr">
        <is>
          <t>26052501V</t>
        </is>
      </c>
      <c r="B177" s="60" t="inlineStr">
        <is>
          <t>AVIT - Taronga AV Event Support - 26-27.5.26</t>
        </is>
      </c>
      <c r="C177" s="43">
        <f>SUMIFS(tbl_WIP[Amount],tbl_WIP[Job Number],$A177,tbl_WIP[Month],"&lt;&gt;",tbl_WIP[Month],"&lt;"&amp;$C$4,tbl_WIP[Defer Start],"")+SUMIF('Deferred Revenue'!$E$6:$E$607,$A177,'Deferred Revenue'!$P$6:$P$607)</f>
        <v/>
      </c>
      <c r="D177" s="43">
        <f>SUMIFS(tbl_WIP[Amount],tbl_WIP[Job Number],$A177,tbl_WIP[Month],$C$4,tbl_WIP[Defer Start],"")+SUMIF('Deferred Revenue'!$E$6:$E$607,$A177,'Deferred Revenue'!$Q$6:$Q$607)</f>
        <v/>
      </c>
      <c r="E177" s="43">
        <f>C177+D177</f>
        <v/>
      </c>
      <c r="F177" s="50">
        <f>IF(ROUND(C177,2)+ROUND(D177,2)=0,"","yes")</f>
        <v/>
      </c>
      <c r="G177" s="61" t="n"/>
      <c r="H177" s="43">
        <f>IF($G177="","",$E177-$G177)</f>
        <v/>
      </c>
    </row>
    <row r="178">
      <c r="A178" s="60" t="inlineStr">
        <is>
          <t>26052502</t>
        </is>
      </c>
      <c r="B178" s="60" t="inlineStr">
        <is>
          <t>AVIT - Taronga AV Event Support 4-5.06.26</t>
        </is>
      </c>
      <c r="C178" s="43">
        <f>SUMIFS(tbl_WIP[Amount],tbl_WIP[Job Number],$A178,tbl_WIP[Month],"&lt;&gt;",tbl_WIP[Month],"&lt;"&amp;$C$4,tbl_WIP[Defer Start],"")+SUMIF('Deferred Revenue'!$E$6:$E$607,$A178,'Deferred Revenue'!$P$6:$P$607)</f>
        <v/>
      </c>
      <c r="D178" s="43">
        <f>SUMIFS(tbl_WIP[Amount],tbl_WIP[Job Number],$A178,tbl_WIP[Month],$C$4,tbl_WIP[Defer Start],"")+SUMIF('Deferred Revenue'!$E$6:$E$607,$A178,'Deferred Revenue'!$Q$6:$Q$607)</f>
        <v/>
      </c>
      <c r="E178" s="43">
        <f>C178+D178</f>
        <v/>
      </c>
      <c r="F178" s="50">
        <f>IF(ROUND(C178,2)+ROUND(D178,2)=0,"","yes")</f>
        <v/>
      </c>
      <c r="G178" s="61" t="n"/>
      <c r="H178" s="43">
        <f>IF($G178="","",$E178-$G178)</f>
        <v/>
      </c>
    </row>
    <row r="179">
      <c r="A179" s="60" t="inlineStr">
        <is>
          <t>26052502V</t>
        </is>
      </c>
      <c r="B179" s="60" t="inlineStr">
        <is>
          <t>AVIT - Taronga AV Event Support 4-5.06.26</t>
        </is>
      </c>
      <c r="C179" s="43">
        <f>SUMIFS(tbl_WIP[Amount],tbl_WIP[Job Number],$A179,tbl_WIP[Month],"&lt;&gt;",tbl_WIP[Month],"&lt;"&amp;$C$4,tbl_WIP[Defer Start],"")+SUMIF('Deferred Revenue'!$E$6:$E$607,$A179,'Deferred Revenue'!$P$6:$P$607)</f>
        <v/>
      </c>
      <c r="D179" s="43">
        <f>SUMIFS(tbl_WIP[Amount],tbl_WIP[Job Number],$A179,tbl_WIP[Month],$C$4,tbl_WIP[Defer Start],"")+SUMIF('Deferred Revenue'!$E$6:$E$607,$A179,'Deferred Revenue'!$Q$6:$Q$607)</f>
        <v/>
      </c>
      <c r="E179" s="43">
        <f>C179+D179</f>
        <v/>
      </c>
      <c r="F179" s="50">
        <f>IF(ROUND(C179,2)+ROUND(D179,2)=0,"","yes")</f>
        <v/>
      </c>
      <c r="G179" s="61" t="n"/>
      <c r="H179" s="43">
        <f>IF($G179="","",$E179-$G179)</f>
        <v/>
      </c>
    </row>
    <row r="180">
      <c r="A180" s="60" t="inlineStr">
        <is>
          <t>26052602</t>
        </is>
      </c>
      <c r="B180" s="60" t="inlineStr">
        <is>
          <t>DTTL MEL Display Supply</t>
        </is>
      </c>
      <c r="C180" s="43">
        <f>SUMIFS(tbl_WIP[Amount],tbl_WIP[Job Number],$A180,tbl_WIP[Month],"&lt;&gt;",tbl_WIP[Month],"&lt;"&amp;$C$4,tbl_WIP[Defer Start],"")+SUMIF('Deferred Revenue'!$E$6:$E$607,$A180,'Deferred Revenue'!$P$6:$P$607)</f>
        <v/>
      </c>
      <c r="D180" s="43">
        <f>SUMIFS(tbl_WIP[Amount],tbl_WIP[Job Number],$A180,tbl_WIP[Month],$C$4,tbl_WIP[Defer Start],"")+SUMIF('Deferred Revenue'!$E$6:$E$607,$A180,'Deferred Revenue'!$Q$6:$Q$607)</f>
        <v/>
      </c>
      <c r="E180" s="43">
        <f>C180+D180</f>
        <v/>
      </c>
      <c r="F180" s="50">
        <f>IF(ROUND(C180,2)+ROUND(D180,2)=0,"","yes")</f>
        <v/>
      </c>
      <c r="G180" s="61" t="n"/>
      <c r="H180" s="43">
        <f>IF($G180="","",$E180-$G180)</f>
        <v/>
      </c>
    </row>
    <row r="181">
      <c r="A181" s="60" t="inlineStr">
        <is>
          <t>26052701</t>
        </is>
      </c>
      <c r="B181" s="60" t="inlineStr">
        <is>
          <t>Aware | SYD 28.06 Equipment</t>
        </is>
      </c>
      <c r="C181" s="43">
        <f>SUMIFS(tbl_WIP[Amount],tbl_WIP[Job Number],$A181,tbl_WIP[Month],"&lt;&gt;",tbl_WIP[Month],"&lt;"&amp;$C$4,tbl_WIP[Defer Start],"")+SUMIF('Deferred Revenue'!$E$6:$E$607,$A181,'Deferred Revenue'!$P$6:$P$607)</f>
        <v/>
      </c>
      <c r="D181" s="43">
        <f>SUMIFS(tbl_WIP[Amount],tbl_WIP[Job Number],$A181,tbl_WIP[Month],$C$4,tbl_WIP[Defer Start],"")+SUMIF('Deferred Revenue'!$E$6:$E$607,$A181,'Deferred Revenue'!$Q$6:$Q$607)</f>
        <v/>
      </c>
      <c r="E181" s="43">
        <f>C181+D181</f>
        <v/>
      </c>
      <c r="F181" s="50">
        <f>IF(ROUND(C181,2)+ROUND(D181,2)=0,"","yes")</f>
        <v/>
      </c>
      <c r="G181" s="61" t="n"/>
      <c r="H181" s="43">
        <f>IF($G181="","",$E181-$G181)</f>
        <v/>
      </c>
    </row>
    <row r="182">
      <c r="A182" s="60" t="inlineStr">
        <is>
          <t>26052702</t>
        </is>
      </c>
      <c r="B182" s="60" t="inlineStr">
        <is>
          <t>ASX - FYR - 13.8.26</t>
        </is>
      </c>
      <c r="C182" s="43">
        <f>SUMIFS(tbl_WIP[Amount],tbl_WIP[Job Number],$A182,tbl_WIP[Month],"&lt;&gt;",tbl_WIP[Month],"&lt;"&amp;$C$4,tbl_WIP[Defer Start],"")+SUMIF('Deferred Revenue'!$E$6:$E$607,$A182,'Deferred Revenue'!$P$6:$P$607)</f>
        <v/>
      </c>
      <c r="D182" s="43">
        <f>SUMIFS(tbl_WIP[Amount],tbl_WIP[Job Number],$A182,tbl_WIP[Month],$C$4,tbl_WIP[Defer Start],"")+SUMIF('Deferred Revenue'!$E$6:$E$607,$A182,'Deferred Revenue'!$Q$6:$Q$607)</f>
        <v/>
      </c>
      <c r="E182" s="43">
        <f>C182+D182</f>
        <v/>
      </c>
      <c r="F182" s="50">
        <f>IF(ROUND(C182,2)+ROUND(D182,2)=0,"","yes")</f>
        <v/>
      </c>
      <c r="G182" s="61" t="n"/>
      <c r="H182" s="43">
        <f>IF($G182="","",$E182-$G182)</f>
        <v/>
      </c>
    </row>
    <row r="183">
      <c r="A183" s="60" t="inlineStr">
        <is>
          <t>26052702V</t>
        </is>
      </c>
      <c r="B183" s="60" t="inlineStr">
        <is>
          <t>ASX - FYR - 13.8.26</t>
        </is>
      </c>
      <c r="C183" s="43">
        <f>SUMIFS(tbl_WIP[Amount],tbl_WIP[Job Number],$A183,tbl_WIP[Month],"&lt;&gt;",tbl_WIP[Month],"&lt;"&amp;$C$4,tbl_WIP[Defer Start],"")+SUMIF('Deferred Revenue'!$E$6:$E$607,$A183,'Deferred Revenue'!$P$6:$P$607)</f>
        <v/>
      </c>
      <c r="D183" s="43">
        <f>SUMIFS(tbl_WIP[Amount],tbl_WIP[Job Number],$A183,tbl_WIP[Month],$C$4,tbl_WIP[Defer Start],"")+SUMIF('Deferred Revenue'!$E$6:$E$607,$A183,'Deferred Revenue'!$Q$6:$Q$607)</f>
        <v/>
      </c>
      <c r="E183" s="43">
        <f>C183+D183</f>
        <v/>
      </c>
      <c r="F183" s="50">
        <f>IF(ROUND(C183,2)+ROUND(D183,2)=0,"","yes")</f>
        <v/>
      </c>
      <c r="G183" s="61" t="n"/>
      <c r="H183" s="43">
        <f>IF($G183="","",$E183-$G183)</f>
        <v/>
      </c>
    </row>
    <row r="184">
      <c r="A184" s="60" t="inlineStr">
        <is>
          <t>26052703</t>
        </is>
      </c>
      <c r="B184" s="60" t="inlineStr">
        <is>
          <t>Microsoft Town Hall - 21.7.26</t>
        </is>
      </c>
      <c r="C184" s="43">
        <f>SUMIFS(tbl_WIP[Amount],tbl_WIP[Job Number],$A184,tbl_WIP[Month],"&lt;&gt;",tbl_WIP[Month],"&lt;"&amp;$C$4,tbl_WIP[Defer Start],"")+SUMIF('Deferred Revenue'!$E$6:$E$607,$A184,'Deferred Revenue'!$P$6:$P$607)</f>
        <v/>
      </c>
      <c r="D184" s="43">
        <f>SUMIFS(tbl_WIP[Amount],tbl_WIP[Job Number],$A184,tbl_WIP[Month],$C$4,tbl_WIP[Defer Start],"")+SUMIF('Deferred Revenue'!$E$6:$E$607,$A184,'Deferred Revenue'!$Q$6:$Q$607)</f>
        <v/>
      </c>
      <c r="E184" s="43">
        <f>C184+D184</f>
        <v/>
      </c>
      <c r="F184" s="50">
        <f>IF(ROUND(C184,2)+ROUND(D184,2)=0,"","yes")</f>
        <v/>
      </c>
      <c r="G184" s="61" t="n"/>
      <c r="H184" s="43">
        <f>IF($G184="","",$E184-$G184)</f>
        <v/>
      </c>
    </row>
    <row r="185">
      <c r="A185" s="60" t="inlineStr">
        <is>
          <t>26052703V</t>
        </is>
      </c>
      <c r="B185" s="60" t="inlineStr">
        <is>
          <t>Microsoft Town Hall - 21.7.26</t>
        </is>
      </c>
      <c r="C185" s="43">
        <f>SUMIFS(tbl_WIP[Amount],tbl_WIP[Job Number],$A185,tbl_WIP[Month],"&lt;&gt;",tbl_WIP[Month],"&lt;"&amp;$C$4,tbl_WIP[Defer Start],"")+SUMIF('Deferred Revenue'!$E$6:$E$607,$A185,'Deferred Revenue'!$P$6:$P$607)</f>
        <v/>
      </c>
      <c r="D185" s="43">
        <f>SUMIFS(tbl_WIP[Amount],tbl_WIP[Job Number],$A185,tbl_WIP[Month],$C$4,tbl_WIP[Defer Start],"")+SUMIF('Deferred Revenue'!$E$6:$E$607,$A185,'Deferred Revenue'!$Q$6:$Q$607)</f>
        <v/>
      </c>
      <c r="E185" s="43">
        <f>C185+D185</f>
        <v/>
      </c>
      <c r="F185" s="50">
        <f>IF(ROUND(C185,2)+ROUND(D185,2)=0,"","yes")</f>
        <v/>
      </c>
      <c r="G185" s="61" t="n"/>
      <c r="H185" s="43">
        <f>IF($G185="","",$E185-$G185)</f>
        <v/>
      </c>
    </row>
    <row r="186">
      <c r="A186" s="60" t="inlineStr">
        <is>
          <t>26052704</t>
        </is>
      </c>
      <c r="B186" s="60" t="inlineStr">
        <is>
          <t>AVIT - Pinsent Masons Technician Callout</t>
        </is>
      </c>
      <c r="C186" s="43">
        <f>SUMIFS(tbl_WIP[Amount],tbl_WIP[Job Number],$A186,tbl_WIP[Month],"&lt;&gt;",tbl_WIP[Month],"&lt;"&amp;$C$4,tbl_WIP[Defer Start],"")+SUMIF('Deferred Revenue'!$E$6:$E$607,$A186,'Deferred Revenue'!$P$6:$P$607)</f>
        <v/>
      </c>
      <c r="D186" s="43">
        <f>SUMIFS(tbl_WIP[Amount],tbl_WIP[Job Number],$A186,tbl_WIP[Month],$C$4,tbl_WIP[Defer Start],"")+SUMIF('Deferred Revenue'!$E$6:$E$607,$A186,'Deferred Revenue'!$Q$6:$Q$607)</f>
        <v/>
      </c>
      <c r="E186" s="43">
        <f>C186+D186</f>
        <v/>
      </c>
      <c r="F186" s="50">
        <f>IF(ROUND(C186,2)+ROUND(D186,2)=0,"","yes")</f>
        <v/>
      </c>
      <c r="G186" s="61" t="n"/>
      <c r="H186" s="43">
        <f>IF($G186="","",$E186-$G186)</f>
        <v/>
      </c>
    </row>
    <row r="187">
      <c r="A187" s="60" t="inlineStr">
        <is>
          <t>26052901</t>
        </is>
      </c>
      <c r="B187" s="60" t="inlineStr">
        <is>
          <t>Causeway Productions - Stool Hire - 1.6.27</t>
        </is>
      </c>
      <c r="C187" s="43">
        <f>SUMIFS(tbl_WIP[Amount],tbl_WIP[Job Number],$A187,tbl_WIP[Month],"&lt;&gt;",tbl_WIP[Month],"&lt;"&amp;$C$4,tbl_WIP[Defer Start],"")+SUMIF('Deferred Revenue'!$E$6:$E$607,$A187,'Deferred Revenue'!$P$6:$P$607)</f>
        <v/>
      </c>
      <c r="D187" s="43">
        <f>SUMIFS(tbl_WIP[Amount],tbl_WIP[Job Number],$A187,tbl_WIP[Month],$C$4,tbl_WIP[Defer Start],"")+SUMIF('Deferred Revenue'!$E$6:$E$607,$A187,'Deferred Revenue'!$Q$6:$Q$607)</f>
        <v/>
      </c>
      <c r="E187" s="43">
        <f>C187+D187</f>
        <v/>
      </c>
      <c r="F187" s="50">
        <f>IF(ROUND(C187,2)+ROUND(D187,2)=0,"","yes")</f>
        <v/>
      </c>
      <c r="G187" s="61" t="n"/>
      <c r="H187" s="43">
        <f>IF($G187="","",$E187-$G187)</f>
        <v/>
      </c>
    </row>
    <row r="188">
      <c r="A188" s="60" t="inlineStr">
        <is>
          <t>26052901V</t>
        </is>
      </c>
      <c r="B188" s="60" t="inlineStr">
        <is>
          <t>Causeway Productions - Stool Hire - 1.6.27</t>
        </is>
      </c>
      <c r="C188" s="43">
        <f>SUMIFS(tbl_WIP[Amount],tbl_WIP[Job Number],$A188,tbl_WIP[Month],"&lt;&gt;",tbl_WIP[Month],"&lt;"&amp;$C$4,tbl_WIP[Defer Start],"")+SUMIF('Deferred Revenue'!$E$6:$E$607,$A188,'Deferred Revenue'!$P$6:$P$607)</f>
        <v/>
      </c>
      <c r="D188" s="43">
        <f>SUMIFS(tbl_WIP[Amount],tbl_WIP[Job Number],$A188,tbl_WIP[Month],$C$4,tbl_WIP[Defer Start],"")+SUMIF('Deferred Revenue'!$E$6:$E$607,$A188,'Deferred Revenue'!$Q$6:$Q$607)</f>
        <v/>
      </c>
      <c r="E188" s="43">
        <f>C188+D188</f>
        <v/>
      </c>
      <c r="F188" s="50">
        <f>IF(ROUND(C188,2)+ROUND(D188,2)=0,"","yes")</f>
        <v/>
      </c>
      <c r="G188" s="61" t="n"/>
      <c r="H188" s="43">
        <f>IF($G188="","",$E188-$G188)</f>
        <v/>
      </c>
    </row>
    <row r="189">
      <c r="A189" s="60" t="inlineStr">
        <is>
          <t>2605401</t>
        </is>
      </c>
      <c r="B189" s="60" t="inlineStr">
        <is>
          <t>AGL FYR - Investor Briefing - 12.8.26</t>
        </is>
      </c>
      <c r="C189" s="43">
        <f>SUMIFS(tbl_WIP[Amount],tbl_WIP[Job Number],$A189,tbl_WIP[Month],"&lt;&gt;",tbl_WIP[Month],"&lt;"&amp;$C$4,tbl_WIP[Defer Start],"")+SUMIF('Deferred Revenue'!$E$6:$E$607,$A189,'Deferred Revenue'!$P$6:$P$607)</f>
        <v/>
      </c>
      <c r="D189" s="43">
        <f>SUMIFS(tbl_WIP[Amount],tbl_WIP[Job Number],$A189,tbl_WIP[Month],$C$4,tbl_WIP[Defer Start],"")+SUMIF('Deferred Revenue'!$E$6:$E$607,$A189,'Deferred Revenue'!$Q$6:$Q$607)</f>
        <v/>
      </c>
      <c r="E189" s="43">
        <f>C189+D189</f>
        <v/>
      </c>
      <c r="F189" s="50">
        <f>IF(ROUND(C189,2)+ROUND(D189,2)=0,"","yes")</f>
        <v/>
      </c>
      <c r="G189" s="61" t="n"/>
      <c r="H189" s="43">
        <f>IF($G189="","",$E189-$G189)</f>
        <v/>
      </c>
    </row>
    <row r="190">
      <c r="A190" s="60" t="inlineStr">
        <is>
          <t>2605401V</t>
        </is>
      </c>
      <c r="B190" s="60" t="inlineStr">
        <is>
          <t>AGL FYR - Investor Briefing - 12.8.26</t>
        </is>
      </c>
      <c r="C190" s="43">
        <f>SUMIFS(tbl_WIP[Amount],tbl_WIP[Job Number],$A190,tbl_WIP[Month],"&lt;&gt;",tbl_WIP[Month],"&lt;"&amp;$C$4,tbl_WIP[Defer Start],"")+SUMIF('Deferred Revenue'!$E$6:$E$607,$A190,'Deferred Revenue'!$P$6:$P$607)</f>
        <v/>
      </c>
      <c r="D190" s="43">
        <f>SUMIFS(tbl_WIP[Amount],tbl_WIP[Job Number],$A190,tbl_WIP[Month],$C$4,tbl_WIP[Defer Start],"")+SUMIF('Deferred Revenue'!$E$6:$E$607,$A190,'Deferred Revenue'!$Q$6:$Q$607)</f>
        <v/>
      </c>
      <c r="E190" s="43">
        <f>C190+D190</f>
        <v/>
      </c>
      <c r="F190" s="50">
        <f>IF(ROUND(C190,2)+ROUND(D190,2)=0,"","yes")</f>
        <v/>
      </c>
      <c r="G190" s="61" t="n"/>
      <c r="H190" s="43">
        <f>IF($G190="","",$E190-$G190)</f>
        <v/>
      </c>
    </row>
    <row r="191">
      <c r="A191" s="60" t="inlineStr">
        <is>
          <t>2605402</t>
        </is>
      </c>
      <c r="B191" s="60" t="inlineStr">
        <is>
          <t>AGL FYR - Employee Town Hall - 12.8.26</t>
        </is>
      </c>
      <c r="C191" s="43">
        <f>SUMIFS(tbl_WIP[Amount],tbl_WIP[Job Number],$A191,tbl_WIP[Month],"&lt;&gt;",tbl_WIP[Month],"&lt;"&amp;$C$4,tbl_WIP[Defer Start],"")+SUMIF('Deferred Revenue'!$E$6:$E$607,$A191,'Deferred Revenue'!$P$6:$P$607)</f>
        <v/>
      </c>
      <c r="D191" s="43">
        <f>SUMIFS(tbl_WIP[Amount],tbl_WIP[Job Number],$A191,tbl_WIP[Month],$C$4,tbl_WIP[Defer Start],"")+SUMIF('Deferred Revenue'!$E$6:$E$607,$A191,'Deferred Revenue'!$Q$6:$Q$607)</f>
        <v/>
      </c>
      <c r="E191" s="43">
        <f>C191+D191</f>
        <v/>
      </c>
      <c r="F191" s="50">
        <f>IF(ROUND(C191,2)+ROUND(D191,2)=0,"","yes")</f>
        <v/>
      </c>
      <c r="G191" s="61" t="n"/>
      <c r="H191" s="43">
        <f>IF($G191="","",$E191-$G191)</f>
        <v/>
      </c>
    </row>
    <row r="192">
      <c r="A192" s="60" t="inlineStr">
        <is>
          <t>2605402V</t>
        </is>
      </c>
      <c r="B192" s="60" t="inlineStr">
        <is>
          <t>AGL FYR - Employee Town Hall - 12.8.26</t>
        </is>
      </c>
      <c r="C192" s="43">
        <f>SUMIFS(tbl_WIP[Amount],tbl_WIP[Job Number],$A192,tbl_WIP[Month],"&lt;&gt;",tbl_WIP[Month],"&lt;"&amp;$C$4,tbl_WIP[Defer Start],"")+SUMIF('Deferred Revenue'!$E$6:$E$607,$A192,'Deferred Revenue'!$P$6:$P$607)</f>
        <v/>
      </c>
      <c r="D192" s="43">
        <f>SUMIFS(tbl_WIP[Amount],tbl_WIP[Job Number],$A192,tbl_WIP[Month],$C$4,tbl_WIP[Defer Start],"")+SUMIF('Deferred Revenue'!$E$6:$E$607,$A192,'Deferred Revenue'!$Q$6:$Q$607)</f>
        <v/>
      </c>
      <c r="E192" s="43">
        <f>C192+D192</f>
        <v/>
      </c>
      <c r="F192" s="50">
        <f>IF(ROUND(C192,2)+ROUND(D192,2)=0,"","yes")</f>
        <v/>
      </c>
      <c r="G192" s="61" t="n"/>
      <c r="H192" s="43">
        <f>IF($G192="","",$E192-$G192)</f>
        <v/>
      </c>
    </row>
    <row r="193">
      <c r="A193" s="60" t="inlineStr">
        <is>
          <t>2605403</t>
        </is>
      </c>
      <c r="B193" s="60" t="inlineStr">
        <is>
          <t>ARUP - Oves Awards - 23.7.26</t>
        </is>
      </c>
      <c r="C193" s="43">
        <f>SUMIFS(tbl_WIP[Amount],tbl_WIP[Job Number],$A193,tbl_WIP[Month],"&lt;&gt;",tbl_WIP[Month],"&lt;"&amp;$C$4,tbl_WIP[Defer Start],"")+SUMIF('Deferred Revenue'!$E$6:$E$607,$A193,'Deferred Revenue'!$P$6:$P$607)</f>
        <v/>
      </c>
      <c r="D193" s="43">
        <f>SUMIFS(tbl_WIP[Amount],tbl_WIP[Job Number],$A193,tbl_WIP[Month],$C$4,tbl_WIP[Defer Start],"")+SUMIF('Deferred Revenue'!$E$6:$E$607,$A193,'Deferred Revenue'!$Q$6:$Q$607)</f>
        <v/>
      </c>
      <c r="E193" s="43">
        <f>C193+D193</f>
        <v/>
      </c>
      <c r="F193" s="50">
        <f>IF(ROUND(C193,2)+ROUND(D193,2)=0,"","yes")</f>
        <v/>
      </c>
      <c r="G193" s="61" t="n"/>
      <c r="H193" s="43">
        <f>IF($G193="","",$E193-$G193)</f>
        <v/>
      </c>
    </row>
    <row r="194">
      <c r="A194" s="60" t="inlineStr">
        <is>
          <t>2605403V</t>
        </is>
      </c>
      <c r="B194" s="60" t="inlineStr">
        <is>
          <t>ARUP - Oves Awards - 23.7.26</t>
        </is>
      </c>
      <c r="C194" s="43">
        <f>SUMIFS(tbl_WIP[Amount],tbl_WIP[Job Number],$A194,tbl_WIP[Month],"&lt;&gt;",tbl_WIP[Month],"&lt;"&amp;$C$4,tbl_WIP[Defer Start],"")+SUMIF('Deferred Revenue'!$E$6:$E$607,$A194,'Deferred Revenue'!$P$6:$P$607)</f>
        <v/>
      </c>
      <c r="D194" s="43">
        <f>SUMIFS(tbl_WIP[Amount],tbl_WIP[Job Number],$A194,tbl_WIP[Month],$C$4,tbl_WIP[Defer Start],"")+SUMIF('Deferred Revenue'!$E$6:$E$607,$A194,'Deferred Revenue'!$Q$6:$Q$607)</f>
        <v/>
      </c>
      <c r="E194" s="43">
        <f>C194+D194</f>
        <v/>
      </c>
      <c r="F194" s="50">
        <f>IF(ROUND(C194,2)+ROUND(D194,2)=0,"","yes")</f>
        <v/>
      </c>
      <c r="G194" s="61" t="n"/>
      <c r="H194" s="43">
        <f>IF($G194="","",$E194-$G194)</f>
        <v/>
      </c>
    </row>
    <row r="195">
      <c r="A195" s="60" t="inlineStr">
        <is>
          <t>2605501</t>
        </is>
      </c>
      <c r="B195" s="60" t="inlineStr">
        <is>
          <t>DTTL Tech Support AWS AP AI Symposium</t>
        </is>
      </c>
      <c r="C195" s="43">
        <f>SUMIFS(tbl_WIP[Amount],tbl_WIP[Job Number],$A195,tbl_WIP[Month],"&lt;&gt;",tbl_WIP[Month],"&lt;"&amp;$C$4,tbl_WIP[Defer Start],"")+SUMIF('Deferred Revenue'!$E$6:$E$607,$A195,'Deferred Revenue'!$P$6:$P$607)</f>
        <v/>
      </c>
      <c r="D195" s="43">
        <f>SUMIFS(tbl_WIP[Amount],tbl_WIP[Job Number],$A195,tbl_WIP[Month],$C$4,tbl_WIP[Defer Start],"")+SUMIF('Deferred Revenue'!$E$6:$E$607,$A195,'Deferred Revenue'!$Q$6:$Q$607)</f>
        <v/>
      </c>
      <c r="E195" s="43">
        <f>C195+D195</f>
        <v/>
      </c>
      <c r="F195" s="50">
        <f>IF(ROUND(C195,2)+ROUND(D195,2)=0,"","yes")</f>
        <v/>
      </c>
      <c r="G195" s="61" t="n"/>
      <c r="H195" s="43">
        <f>IF($G195="","",$E195-$G195)</f>
        <v/>
      </c>
    </row>
    <row r="196">
      <c r="A196" s="60" t="inlineStr">
        <is>
          <t>2605502</t>
        </is>
      </c>
      <c r="B196" s="60" t="inlineStr">
        <is>
          <t>CBA BNE - Event Support - 13.5.26</t>
        </is>
      </c>
      <c r="C196" s="43">
        <f>SUMIFS(tbl_WIP[Amount],tbl_WIP[Job Number],$A196,tbl_WIP[Month],"&lt;&gt;",tbl_WIP[Month],"&lt;"&amp;$C$4,tbl_WIP[Defer Start],"")+SUMIF('Deferred Revenue'!$E$6:$E$607,$A196,'Deferred Revenue'!$P$6:$P$607)</f>
        <v/>
      </c>
      <c r="D196" s="43">
        <f>SUMIFS(tbl_WIP[Amount],tbl_WIP[Job Number],$A196,tbl_WIP[Month],$C$4,tbl_WIP[Defer Start],"")+SUMIF('Deferred Revenue'!$E$6:$E$607,$A196,'Deferred Revenue'!$Q$6:$Q$607)</f>
        <v/>
      </c>
      <c r="E196" s="43">
        <f>C196+D196</f>
        <v/>
      </c>
      <c r="F196" s="50">
        <f>IF(ROUND(C196,2)+ROUND(D196,2)=0,"","yes")</f>
        <v/>
      </c>
      <c r="G196" s="61" t="n"/>
      <c r="H196" s="43">
        <f>IF($G196="","",$E196-$G196)</f>
        <v/>
      </c>
    </row>
    <row r="197">
      <c r="A197" s="60" t="inlineStr">
        <is>
          <t>2605502V</t>
        </is>
      </c>
      <c r="B197" s="60" t="inlineStr">
        <is>
          <t>CBA BNE - Event Support - 13.5.26</t>
        </is>
      </c>
      <c r="C197" s="43">
        <f>SUMIFS(tbl_WIP[Amount],tbl_WIP[Job Number],$A197,tbl_WIP[Month],"&lt;&gt;",tbl_WIP[Month],"&lt;"&amp;$C$4,tbl_WIP[Defer Start],"")+SUMIF('Deferred Revenue'!$E$6:$E$607,$A197,'Deferred Revenue'!$P$6:$P$607)</f>
        <v/>
      </c>
      <c r="D197" s="43">
        <f>SUMIFS(tbl_WIP[Amount],tbl_WIP[Job Number],$A197,tbl_WIP[Month],$C$4,tbl_WIP[Defer Start],"")+SUMIF('Deferred Revenue'!$E$6:$E$607,$A197,'Deferred Revenue'!$Q$6:$Q$607)</f>
        <v/>
      </c>
      <c r="E197" s="43">
        <f>C197+D197</f>
        <v/>
      </c>
      <c r="F197" s="50">
        <f>IF(ROUND(C197,2)+ROUND(D197,2)=0,"","yes")</f>
        <v/>
      </c>
      <c r="G197" s="61" t="n"/>
      <c r="H197" s="43">
        <f>IF($G197="","",$E197-$G197)</f>
        <v/>
      </c>
    </row>
    <row r="198">
      <c r="A198" s="60" t="inlineStr">
        <is>
          <t>2605503</t>
        </is>
      </c>
      <c r="B198" s="60" t="inlineStr">
        <is>
          <t>DTTL L31 reception Led Wall Audio DSP Repair</t>
        </is>
      </c>
      <c r="C198" s="43">
        <f>SUMIFS(tbl_WIP[Amount],tbl_WIP[Job Number],$A198,tbl_WIP[Month],"&lt;&gt;",tbl_WIP[Month],"&lt;"&amp;$C$4,tbl_WIP[Defer Start],"")+SUMIF('Deferred Revenue'!$E$6:$E$607,$A198,'Deferred Revenue'!$P$6:$P$607)</f>
        <v/>
      </c>
      <c r="D198" s="43">
        <f>SUMIFS(tbl_WIP[Amount],tbl_WIP[Job Number],$A198,tbl_WIP[Month],$C$4,tbl_WIP[Defer Start],"")+SUMIF('Deferred Revenue'!$E$6:$E$607,$A198,'Deferred Revenue'!$Q$6:$Q$607)</f>
        <v/>
      </c>
      <c r="E198" s="43">
        <f>C198+D198</f>
        <v/>
      </c>
      <c r="F198" s="50">
        <f>IF(ROUND(C198,2)+ROUND(D198,2)=0,"","yes")</f>
        <v/>
      </c>
      <c r="G198" s="61" t="n"/>
      <c r="H198" s="43">
        <f>IF($G198="","",$E198-$G198)</f>
        <v/>
      </c>
    </row>
    <row r="199">
      <c r="A199" s="60" t="inlineStr">
        <is>
          <t>2605605</t>
        </is>
      </c>
      <c r="B199" s="60" t="inlineStr">
        <is>
          <t>DTTL Hobart AV Fitout</t>
        </is>
      </c>
      <c r="C199" s="43">
        <f>SUMIFS(tbl_WIP[Amount],tbl_WIP[Job Number],$A199,tbl_WIP[Month],"&lt;&gt;",tbl_WIP[Month],"&lt;"&amp;$C$4,tbl_WIP[Defer Start],"")+SUMIF('Deferred Revenue'!$E$6:$E$607,$A199,'Deferred Revenue'!$P$6:$P$607)</f>
        <v/>
      </c>
      <c r="D199" s="43">
        <f>SUMIFS(tbl_WIP[Amount],tbl_WIP[Job Number],$A199,tbl_WIP[Month],$C$4,tbl_WIP[Defer Start],"")+SUMIF('Deferred Revenue'!$E$6:$E$607,$A199,'Deferred Revenue'!$Q$6:$Q$607)</f>
        <v/>
      </c>
      <c r="E199" s="43">
        <f>C199+D199</f>
        <v/>
      </c>
      <c r="F199" s="50">
        <f>IF(ROUND(C199,2)+ROUND(D199,2)=0,"","yes")</f>
        <v/>
      </c>
      <c r="G199" s="61" t="n"/>
      <c r="H199" s="43">
        <f>IF($G199="","",$E199-$G199)</f>
        <v/>
      </c>
    </row>
    <row r="200">
      <c r="A200" s="60" t="inlineStr">
        <is>
          <t>2605606</t>
        </is>
      </c>
      <c r="B200" s="60" t="inlineStr">
        <is>
          <t>Ventia Internal Townhall 8.05.26</t>
        </is>
      </c>
      <c r="C200" s="43">
        <f>SUMIFS(tbl_WIP[Amount],tbl_WIP[Job Number],$A200,tbl_WIP[Month],"&lt;&gt;",tbl_WIP[Month],"&lt;"&amp;$C$4,tbl_WIP[Defer Start],"")+SUMIF('Deferred Revenue'!$E$6:$E$607,$A200,'Deferred Revenue'!$P$6:$P$607)</f>
        <v/>
      </c>
      <c r="D200" s="43">
        <f>SUMIFS(tbl_WIP[Amount],tbl_WIP[Job Number],$A200,tbl_WIP[Month],$C$4,tbl_WIP[Defer Start],"")+SUMIF('Deferred Revenue'!$E$6:$E$607,$A200,'Deferred Revenue'!$Q$6:$Q$607)</f>
        <v/>
      </c>
      <c r="E200" s="43">
        <f>C200+D200</f>
        <v/>
      </c>
      <c r="F200" s="50">
        <f>IF(ROUND(C200,2)+ROUND(D200,2)=0,"","yes")</f>
        <v/>
      </c>
      <c r="G200" s="61" t="n"/>
      <c r="H200" s="43">
        <f>IF($G200="","",$E200-$G200)</f>
        <v/>
      </c>
    </row>
    <row r="201">
      <c r="A201" s="60" t="inlineStr">
        <is>
          <t>2605606V</t>
        </is>
      </c>
      <c r="B201" s="60" t="inlineStr">
        <is>
          <t>Ventia Internal Townhall 8.05.26</t>
        </is>
      </c>
      <c r="C201" s="43">
        <f>SUMIFS(tbl_WIP[Amount],tbl_WIP[Job Number],$A201,tbl_WIP[Month],"&lt;&gt;",tbl_WIP[Month],"&lt;"&amp;$C$4,tbl_WIP[Defer Start],"")+SUMIF('Deferred Revenue'!$E$6:$E$607,$A201,'Deferred Revenue'!$P$6:$P$607)</f>
        <v/>
      </c>
      <c r="D201" s="43">
        <f>SUMIFS(tbl_WIP[Amount],tbl_WIP[Job Number],$A201,tbl_WIP[Month],$C$4,tbl_WIP[Defer Start],"")+SUMIF('Deferred Revenue'!$E$6:$E$607,$A201,'Deferred Revenue'!$Q$6:$Q$607)</f>
        <v/>
      </c>
      <c r="E201" s="43">
        <f>C201+D201</f>
        <v/>
      </c>
      <c r="F201" s="50">
        <f>IF(ROUND(C201,2)+ROUND(D201,2)=0,"","yes")</f>
        <v/>
      </c>
      <c r="G201" s="61" t="n"/>
      <c r="H201" s="43">
        <f>IF($G201="","",$E201-$G201)</f>
        <v/>
      </c>
    </row>
    <row r="202">
      <c r="A202" s="60" t="inlineStr">
        <is>
          <t>2605609</t>
        </is>
      </c>
      <c r="B202" s="60" t="inlineStr">
        <is>
          <t>ASX - CEO Farewell - 27.5.26</t>
        </is>
      </c>
      <c r="C202" s="43">
        <f>SUMIFS(tbl_WIP[Amount],tbl_WIP[Job Number],$A202,tbl_WIP[Month],"&lt;&gt;",tbl_WIP[Month],"&lt;"&amp;$C$4,tbl_WIP[Defer Start],"")+SUMIF('Deferred Revenue'!$E$6:$E$607,$A202,'Deferred Revenue'!$P$6:$P$607)</f>
        <v/>
      </c>
      <c r="D202" s="43">
        <f>SUMIFS(tbl_WIP[Amount],tbl_WIP[Job Number],$A202,tbl_WIP[Month],$C$4,tbl_WIP[Defer Start],"")+SUMIF('Deferred Revenue'!$E$6:$E$607,$A202,'Deferred Revenue'!$Q$6:$Q$607)</f>
        <v/>
      </c>
      <c r="E202" s="43">
        <f>C202+D202</f>
        <v/>
      </c>
      <c r="F202" s="50">
        <f>IF(ROUND(C202,2)+ROUND(D202,2)=0,"","yes")</f>
        <v/>
      </c>
      <c r="G202" s="61" t="n"/>
      <c r="H202" s="43">
        <f>IF($G202="","",$E202-$G202)</f>
        <v/>
      </c>
    </row>
    <row r="203">
      <c r="A203" s="60" t="inlineStr">
        <is>
          <t>2605609V</t>
        </is>
      </c>
      <c r="B203" s="60" t="inlineStr">
        <is>
          <t>ASX - CEO Farewell - 27.5.26</t>
        </is>
      </c>
      <c r="C203" s="43">
        <f>SUMIFS(tbl_WIP[Amount],tbl_WIP[Job Number],$A203,tbl_WIP[Month],"&lt;&gt;",tbl_WIP[Month],"&lt;"&amp;$C$4,tbl_WIP[Defer Start],"")+SUMIF('Deferred Revenue'!$E$6:$E$607,$A203,'Deferred Revenue'!$P$6:$P$607)</f>
        <v/>
      </c>
      <c r="D203" s="43">
        <f>SUMIFS(tbl_WIP[Amount],tbl_WIP[Job Number],$A203,tbl_WIP[Month],$C$4,tbl_WIP[Defer Start],"")+SUMIF('Deferred Revenue'!$E$6:$E$607,$A203,'Deferred Revenue'!$Q$6:$Q$607)</f>
        <v/>
      </c>
      <c r="E203" s="43">
        <f>C203+D203</f>
        <v/>
      </c>
      <c r="F203" s="50">
        <f>IF(ROUND(C203,2)+ROUND(D203,2)=0,"","yes")</f>
        <v/>
      </c>
      <c r="G203" s="61" t="n"/>
      <c r="H203" s="43">
        <f>IF($G203="","",$E203-$G203)</f>
        <v/>
      </c>
    </row>
    <row r="204">
      <c r="A204" s="60" t="inlineStr">
        <is>
          <t>2605610</t>
        </is>
      </c>
      <c r="B204" s="60" t="inlineStr">
        <is>
          <t>ASX CEO Farewell Additional Costs</t>
        </is>
      </c>
      <c r="C204" s="43">
        <f>SUMIFS(tbl_WIP[Amount],tbl_WIP[Job Number],$A204,tbl_WIP[Month],"&lt;&gt;",tbl_WIP[Month],"&lt;"&amp;$C$4,tbl_WIP[Defer Start],"")+SUMIF('Deferred Revenue'!$E$6:$E$607,$A204,'Deferred Revenue'!$P$6:$P$607)</f>
        <v/>
      </c>
      <c r="D204" s="43">
        <f>SUMIFS(tbl_WIP[Amount],tbl_WIP[Job Number],$A204,tbl_WIP[Month],$C$4,tbl_WIP[Defer Start],"")+SUMIF('Deferred Revenue'!$E$6:$E$607,$A204,'Deferred Revenue'!$Q$6:$Q$607)</f>
        <v/>
      </c>
      <c r="E204" s="43">
        <f>C204+D204</f>
        <v/>
      </c>
      <c r="F204" s="50">
        <f>IF(ROUND(C204,2)+ROUND(D204,2)=0,"","yes")</f>
        <v/>
      </c>
      <c r="G204" s="61" t="n"/>
      <c r="H204" s="43">
        <f>IF($G204="","",$E204-$G204)</f>
        <v/>
      </c>
    </row>
    <row r="205">
      <c r="A205" s="60" t="inlineStr">
        <is>
          <t>2605704</t>
        </is>
      </c>
      <c r="B205" s="60" t="inlineStr">
        <is>
          <t>CBA CBPS Auditorium Upgrade</t>
        </is>
      </c>
      <c r="C205" s="43">
        <f>SUMIFS(tbl_WIP[Amount],tbl_WIP[Job Number],$A205,tbl_WIP[Month],"&lt;&gt;",tbl_WIP[Month],"&lt;"&amp;$C$4,tbl_WIP[Defer Start],"")+SUMIF('Deferred Revenue'!$E$6:$E$607,$A205,'Deferred Revenue'!$P$6:$P$607)</f>
        <v/>
      </c>
      <c r="D205" s="43">
        <f>SUMIFS(tbl_WIP[Amount],tbl_WIP[Job Number],$A205,tbl_WIP[Month],$C$4,tbl_WIP[Defer Start],"")+SUMIF('Deferred Revenue'!$E$6:$E$607,$A205,'Deferred Revenue'!$Q$6:$Q$607)</f>
        <v/>
      </c>
      <c r="E205" s="43">
        <f>C205+D205</f>
        <v/>
      </c>
      <c r="F205" s="50">
        <f>IF(ROUND(C205,2)+ROUND(D205,2)=0,"","yes")</f>
        <v/>
      </c>
      <c r="G205" s="61" t="n"/>
      <c r="H205" s="43">
        <f>IF($G205="","",$E205-$G205)</f>
        <v/>
      </c>
    </row>
    <row r="206">
      <c r="A206" s="60" t="inlineStr">
        <is>
          <t>2605801</t>
        </is>
      </c>
      <c r="B206" s="60" t="inlineStr">
        <is>
          <t>Dimensional - AV Support - 3-4.6.26</t>
        </is>
      </c>
      <c r="C206" s="43">
        <f>SUMIFS(tbl_WIP[Amount],tbl_WIP[Job Number],$A206,tbl_WIP[Month],"&lt;&gt;",tbl_WIP[Month],"&lt;"&amp;$C$4,tbl_WIP[Defer Start],"")+SUMIF('Deferred Revenue'!$E$6:$E$607,$A206,'Deferred Revenue'!$P$6:$P$607)</f>
        <v/>
      </c>
      <c r="D206" s="43">
        <f>SUMIFS(tbl_WIP[Amount],tbl_WIP[Job Number],$A206,tbl_WIP[Month],$C$4,tbl_WIP[Defer Start],"")+SUMIF('Deferred Revenue'!$E$6:$E$607,$A206,'Deferred Revenue'!$Q$6:$Q$607)</f>
        <v/>
      </c>
      <c r="E206" s="43">
        <f>C206+D206</f>
        <v/>
      </c>
      <c r="F206" s="50">
        <f>IF(ROUND(C206,2)+ROUND(D206,2)=0,"","yes")</f>
        <v/>
      </c>
      <c r="G206" s="61" t="n"/>
      <c r="H206" s="43">
        <f>IF($G206="","",$E206-$G206)</f>
        <v/>
      </c>
    </row>
    <row r="207">
      <c r="A207" s="60" t="inlineStr">
        <is>
          <t>2605803</t>
        </is>
      </c>
      <c r="B207" s="60" t="inlineStr">
        <is>
          <t>St Catherine's - Dedicated Tech - 12.6.26</t>
        </is>
      </c>
      <c r="C207" s="43">
        <f>SUMIFS(tbl_WIP[Amount],tbl_WIP[Job Number],$A207,tbl_WIP[Month],"&lt;&gt;",tbl_WIP[Month],"&lt;"&amp;$C$4,tbl_WIP[Defer Start],"")+SUMIF('Deferred Revenue'!$E$6:$E$607,$A207,'Deferred Revenue'!$P$6:$P$607)</f>
        <v/>
      </c>
      <c r="D207" s="43">
        <f>SUMIFS(tbl_WIP[Amount],tbl_WIP[Job Number],$A207,tbl_WIP[Month],$C$4,tbl_WIP[Defer Start],"")+SUMIF('Deferred Revenue'!$E$6:$E$607,$A207,'Deferred Revenue'!$Q$6:$Q$607)</f>
        <v/>
      </c>
      <c r="E207" s="43">
        <f>C207+D207</f>
        <v/>
      </c>
      <c r="F207" s="50">
        <f>IF(ROUND(C207,2)+ROUND(D207,2)=0,"","yes")</f>
        <v/>
      </c>
      <c r="G207" s="61" t="n"/>
      <c r="H207" s="43">
        <f>IF($G207="","",$E207-$G207)</f>
        <v/>
      </c>
    </row>
    <row r="208">
      <c r="A208" s="60" t="inlineStr">
        <is>
          <t>2605804</t>
        </is>
      </c>
      <c r="B208" s="60" t="inlineStr">
        <is>
          <t>City of Sydney Supply of Barco Projector Shutters</t>
        </is>
      </c>
      <c r="C208" s="43">
        <f>SUMIFS(tbl_WIP[Amount],tbl_WIP[Job Number],$A208,tbl_WIP[Month],"&lt;&gt;",tbl_WIP[Month],"&lt;"&amp;$C$4,tbl_WIP[Defer Start],"")+SUMIF('Deferred Revenue'!$E$6:$E$607,$A208,'Deferred Revenue'!$P$6:$P$607)</f>
        <v/>
      </c>
      <c r="D208" s="43">
        <f>SUMIFS(tbl_WIP[Amount],tbl_WIP[Job Number],$A208,tbl_WIP[Month],$C$4,tbl_WIP[Defer Start],"")+SUMIF('Deferred Revenue'!$E$6:$E$607,$A208,'Deferred Revenue'!$Q$6:$Q$607)</f>
        <v/>
      </c>
      <c r="E208" s="43">
        <f>C208+D208</f>
        <v/>
      </c>
      <c r="F208" s="50">
        <f>IF(ROUND(C208,2)+ROUND(D208,2)=0,"","yes")</f>
        <v/>
      </c>
      <c r="G208" s="61" t="n"/>
      <c r="H208" s="43">
        <f>IF($G208="","",$E208-$G208)</f>
        <v/>
      </c>
    </row>
    <row r="209">
      <c r="A209" s="60" t="inlineStr">
        <is>
          <t>2605806</t>
        </is>
      </c>
      <c r="B209" s="60" t="inlineStr">
        <is>
          <t>Aware Super AV Fitout @ 555 Collins Street MEL</t>
        </is>
      </c>
      <c r="C209" s="43">
        <f>SUMIFS(tbl_WIP[Amount],tbl_WIP[Job Number],$A209,tbl_WIP[Month],"&lt;&gt;",tbl_WIP[Month],"&lt;"&amp;$C$4,tbl_WIP[Defer Start],"")+SUMIF('Deferred Revenue'!$E$6:$E$607,$A209,'Deferred Revenue'!$P$6:$P$607)</f>
        <v/>
      </c>
      <c r="D209" s="43">
        <f>SUMIFS(tbl_WIP[Amount],tbl_WIP[Job Number],$A209,tbl_WIP[Month],$C$4,tbl_WIP[Defer Start],"")+SUMIF('Deferred Revenue'!$E$6:$E$607,$A209,'Deferred Revenue'!$Q$6:$Q$607)</f>
        <v/>
      </c>
      <c r="E209" s="43">
        <f>C209+D209</f>
        <v/>
      </c>
      <c r="F209" s="50">
        <f>IF(ROUND(C209,2)+ROUND(D209,2)=0,"","yes")</f>
        <v/>
      </c>
      <c r="G209" s="61" t="n"/>
      <c r="H209" s="43">
        <f>IF($G209="","",$E209-$G209)</f>
        <v/>
      </c>
    </row>
    <row r="210">
      <c r="A210" s="60" t="inlineStr">
        <is>
          <t>26061001</t>
        </is>
      </c>
      <c r="B210" s="60" t="inlineStr">
        <is>
          <t>Garvan August All Clear Event 25.8.26</t>
        </is>
      </c>
      <c r="C210" s="43">
        <f>SUMIFS(tbl_WIP[Amount],tbl_WIP[Job Number],$A210,tbl_WIP[Month],"&lt;&gt;",tbl_WIP[Month],"&lt;"&amp;$C$4,tbl_WIP[Defer Start],"")+SUMIF('Deferred Revenue'!$E$6:$E$607,$A210,'Deferred Revenue'!$P$6:$P$607)</f>
        <v/>
      </c>
      <c r="D210" s="43">
        <f>SUMIFS(tbl_WIP[Amount],tbl_WIP[Job Number],$A210,tbl_WIP[Month],$C$4,tbl_WIP[Defer Start],"")+SUMIF('Deferred Revenue'!$E$6:$E$607,$A210,'Deferred Revenue'!$Q$6:$Q$607)</f>
        <v/>
      </c>
      <c r="E210" s="43">
        <f>C210+D210</f>
        <v/>
      </c>
      <c r="F210" s="50">
        <f>IF(ROUND(C210,2)+ROUND(D210,2)=0,"","yes")</f>
        <v/>
      </c>
      <c r="G210" s="61" t="n"/>
      <c r="H210" s="43">
        <f>IF($G210="","",$E210-$G210)</f>
        <v/>
      </c>
    </row>
    <row r="211">
      <c r="A211" s="60" t="inlineStr">
        <is>
          <t>26061002</t>
        </is>
      </c>
      <c r="B211" s="60" t="inlineStr">
        <is>
          <t>Optiver - Fireside Event Support - 18.6.26</t>
        </is>
      </c>
      <c r="C211" s="43">
        <f>SUMIFS(tbl_WIP[Amount],tbl_WIP[Job Number],$A211,tbl_WIP[Month],"&lt;&gt;",tbl_WIP[Month],"&lt;"&amp;$C$4,tbl_WIP[Defer Start],"")+SUMIF('Deferred Revenue'!$E$6:$E$607,$A211,'Deferred Revenue'!$P$6:$P$607)</f>
        <v/>
      </c>
      <c r="D211" s="43">
        <f>SUMIFS(tbl_WIP[Amount],tbl_WIP[Job Number],$A211,tbl_WIP[Month],$C$4,tbl_WIP[Defer Start],"")+SUMIF('Deferred Revenue'!$E$6:$E$607,$A211,'Deferred Revenue'!$Q$6:$Q$607)</f>
        <v/>
      </c>
      <c r="E211" s="43">
        <f>C211+D211</f>
        <v/>
      </c>
      <c r="F211" s="50">
        <f>IF(ROUND(C211,2)+ROUND(D211,2)=0,"","yes")</f>
        <v/>
      </c>
      <c r="G211" s="61" t="n"/>
      <c r="H211" s="43">
        <f>IF($G211="","",$E211-$G211)</f>
        <v/>
      </c>
    </row>
    <row r="212">
      <c r="A212" s="60" t="inlineStr">
        <is>
          <t>26061002V</t>
        </is>
      </c>
      <c r="B212" s="60" t="inlineStr">
        <is>
          <t>Optiver - Fireside Event Support - 18.6.26</t>
        </is>
      </c>
      <c r="C212" s="43">
        <f>SUMIFS(tbl_WIP[Amount],tbl_WIP[Job Number],$A212,tbl_WIP[Month],"&lt;&gt;",tbl_WIP[Month],"&lt;"&amp;$C$4,tbl_WIP[Defer Start],"")+SUMIF('Deferred Revenue'!$E$6:$E$607,$A212,'Deferred Revenue'!$P$6:$P$607)</f>
        <v/>
      </c>
      <c r="D212" s="43">
        <f>SUMIFS(tbl_WIP[Amount],tbl_WIP[Job Number],$A212,tbl_WIP[Month],$C$4,tbl_WIP[Defer Start],"")+SUMIF('Deferred Revenue'!$E$6:$E$607,$A212,'Deferred Revenue'!$Q$6:$Q$607)</f>
        <v/>
      </c>
      <c r="E212" s="43">
        <f>C212+D212</f>
        <v/>
      </c>
      <c r="F212" s="50">
        <f>IF(ROUND(C212,2)+ROUND(D212,2)=0,"","yes")</f>
        <v/>
      </c>
      <c r="G212" s="61" t="n"/>
      <c r="H212" s="43">
        <f>IF($G212="","",$E212-$G212)</f>
        <v/>
      </c>
    </row>
    <row r="213">
      <c r="A213" s="60" t="inlineStr">
        <is>
          <t>26061102</t>
        </is>
      </c>
      <c r="B213" s="60" t="inlineStr">
        <is>
          <t>CSE Invest Sri Lanka | 16.8.26</t>
        </is>
      </c>
      <c r="C213" s="43">
        <f>SUMIFS(tbl_WIP[Amount],tbl_WIP[Job Number],$A213,tbl_WIP[Month],"&lt;&gt;",tbl_WIP[Month],"&lt;"&amp;$C$4,tbl_WIP[Defer Start],"")+SUMIF('Deferred Revenue'!$E$6:$E$607,$A213,'Deferred Revenue'!$P$6:$P$607)</f>
        <v/>
      </c>
      <c r="D213" s="43">
        <f>SUMIFS(tbl_WIP[Amount],tbl_WIP[Job Number],$A213,tbl_WIP[Month],$C$4,tbl_WIP[Defer Start],"")+SUMIF('Deferred Revenue'!$E$6:$E$607,$A213,'Deferred Revenue'!$Q$6:$Q$607)</f>
        <v/>
      </c>
      <c r="E213" s="43">
        <f>C213+D213</f>
        <v/>
      </c>
      <c r="F213" s="50">
        <f>IF(ROUND(C213,2)+ROUND(D213,2)=0,"","yes")</f>
        <v/>
      </c>
      <c r="G213" s="61" t="n"/>
      <c r="H213" s="43">
        <f>IF($G213="","",$E213-$G213)</f>
        <v/>
      </c>
    </row>
    <row r="214">
      <c r="A214" s="60" t="inlineStr">
        <is>
          <t>26061102V</t>
        </is>
      </c>
      <c r="B214" s="60" t="inlineStr">
        <is>
          <t>CSE Invest Sri Lanka | 16.8.26</t>
        </is>
      </c>
      <c r="C214" s="43">
        <f>SUMIFS(tbl_WIP[Amount],tbl_WIP[Job Number],$A214,tbl_WIP[Month],"&lt;&gt;",tbl_WIP[Month],"&lt;"&amp;$C$4,tbl_WIP[Defer Start],"")+SUMIF('Deferred Revenue'!$E$6:$E$607,$A214,'Deferred Revenue'!$P$6:$P$607)</f>
        <v/>
      </c>
      <c r="D214" s="43">
        <f>SUMIFS(tbl_WIP[Amount],tbl_WIP[Job Number],$A214,tbl_WIP[Month],$C$4,tbl_WIP[Defer Start],"")+SUMIF('Deferred Revenue'!$E$6:$E$607,$A214,'Deferred Revenue'!$Q$6:$Q$607)</f>
        <v/>
      </c>
      <c r="E214" s="43">
        <f>C214+D214</f>
        <v/>
      </c>
      <c r="F214" s="50">
        <f>IF(ROUND(C214,2)+ROUND(D214,2)=0,"","yes")</f>
        <v/>
      </c>
      <c r="G214" s="61" t="n"/>
      <c r="H214" s="43">
        <f>IF($G214="","",$E214-$G214)</f>
        <v/>
      </c>
    </row>
    <row r="215">
      <c r="A215" s="60" t="inlineStr">
        <is>
          <t>26061103</t>
        </is>
      </c>
      <c r="B215" s="60" t="inlineStr">
        <is>
          <t>Circadia Australia Elevate | 14.8.26</t>
        </is>
      </c>
      <c r="C215" s="43">
        <f>SUMIFS(tbl_WIP[Amount],tbl_WIP[Job Number],$A215,tbl_WIP[Month],"&lt;&gt;",tbl_WIP[Month],"&lt;"&amp;$C$4,tbl_WIP[Defer Start],"")+SUMIF('Deferred Revenue'!$E$6:$E$607,$A215,'Deferred Revenue'!$P$6:$P$607)</f>
        <v/>
      </c>
      <c r="D215" s="43">
        <f>SUMIFS(tbl_WIP[Amount],tbl_WIP[Job Number],$A215,tbl_WIP[Month],$C$4,tbl_WIP[Defer Start],"")+SUMIF('Deferred Revenue'!$E$6:$E$607,$A215,'Deferred Revenue'!$Q$6:$Q$607)</f>
        <v/>
      </c>
      <c r="E215" s="43">
        <f>C215+D215</f>
        <v/>
      </c>
      <c r="F215" s="50">
        <f>IF(ROUND(C215,2)+ROUND(D215,2)=0,"","yes")</f>
        <v/>
      </c>
      <c r="G215" s="61" t="n"/>
      <c r="H215" s="43">
        <f>IF($G215="","",$E215-$G215)</f>
        <v/>
      </c>
    </row>
    <row r="216">
      <c r="A216" s="60" t="inlineStr">
        <is>
          <t>26061103V</t>
        </is>
      </c>
      <c r="B216" s="60" t="inlineStr">
        <is>
          <t>Circadia Australia Elevate | 14.8.26</t>
        </is>
      </c>
      <c r="C216" s="43">
        <f>SUMIFS(tbl_WIP[Amount],tbl_WIP[Job Number],$A216,tbl_WIP[Month],"&lt;&gt;",tbl_WIP[Month],"&lt;"&amp;$C$4,tbl_WIP[Defer Start],"")+SUMIF('Deferred Revenue'!$E$6:$E$607,$A216,'Deferred Revenue'!$P$6:$P$607)</f>
        <v/>
      </c>
      <c r="D216" s="43">
        <f>SUMIFS(tbl_WIP[Amount],tbl_WIP[Job Number],$A216,tbl_WIP[Month],$C$4,tbl_WIP[Defer Start],"")+SUMIF('Deferred Revenue'!$E$6:$E$607,$A216,'Deferred Revenue'!$Q$6:$Q$607)</f>
        <v/>
      </c>
      <c r="E216" s="43">
        <f>C216+D216</f>
        <v/>
      </c>
      <c r="F216" s="50">
        <f>IF(ROUND(C216,2)+ROUND(D216,2)=0,"","yes")</f>
        <v/>
      </c>
      <c r="G216" s="61" t="n"/>
      <c r="H216" s="43">
        <f>IF($G216="","",$E216-$G216)</f>
        <v/>
      </c>
    </row>
    <row r="217">
      <c r="A217" s="60" t="inlineStr">
        <is>
          <t>26061104</t>
        </is>
      </c>
      <c r="B217" s="60" t="inlineStr">
        <is>
          <t>MUFG - FYR26 - 12.8.26</t>
        </is>
      </c>
      <c r="C217" s="43">
        <f>SUMIFS(tbl_WIP[Amount],tbl_WIP[Job Number],$A217,tbl_WIP[Month],"&lt;&gt;",tbl_WIP[Month],"&lt;"&amp;$C$4,tbl_WIP[Defer Start],"")+SUMIF('Deferred Revenue'!$E$6:$E$607,$A217,'Deferred Revenue'!$P$6:$P$607)</f>
        <v/>
      </c>
      <c r="D217" s="43">
        <f>SUMIFS(tbl_WIP[Amount],tbl_WIP[Job Number],$A217,tbl_WIP[Month],$C$4,tbl_WIP[Defer Start],"")+SUMIF('Deferred Revenue'!$E$6:$E$607,$A217,'Deferred Revenue'!$Q$6:$Q$607)</f>
        <v/>
      </c>
      <c r="E217" s="43">
        <f>C217+D217</f>
        <v/>
      </c>
      <c r="F217" s="50">
        <f>IF(ROUND(C217,2)+ROUND(D217,2)=0,"","yes")</f>
        <v/>
      </c>
      <c r="G217" s="61" t="n"/>
      <c r="H217" s="43">
        <f>IF($G217="","",$E217-$G217)</f>
        <v/>
      </c>
    </row>
    <row r="218">
      <c r="A218" s="60" t="inlineStr">
        <is>
          <t>26061104V</t>
        </is>
      </c>
      <c r="B218" s="60" t="inlineStr">
        <is>
          <t>MUFG - FYR26 - 12.8.26</t>
        </is>
      </c>
      <c r="C218" s="43">
        <f>SUMIFS(tbl_WIP[Amount],tbl_WIP[Job Number],$A218,tbl_WIP[Month],"&lt;&gt;",tbl_WIP[Month],"&lt;"&amp;$C$4,tbl_WIP[Defer Start],"")+SUMIF('Deferred Revenue'!$E$6:$E$607,$A218,'Deferred Revenue'!$P$6:$P$607)</f>
        <v/>
      </c>
      <c r="D218" s="43">
        <f>SUMIFS(tbl_WIP[Amount],tbl_WIP[Job Number],$A218,tbl_WIP[Month],$C$4,tbl_WIP[Defer Start],"")+SUMIF('Deferred Revenue'!$E$6:$E$607,$A218,'Deferred Revenue'!$Q$6:$Q$607)</f>
        <v/>
      </c>
      <c r="E218" s="43">
        <f>C218+D218</f>
        <v/>
      </c>
      <c r="F218" s="50">
        <f>IF(ROUND(C218,2)+ROUND(D218,2)=0,"","yes")</f>
        <v/>
      </c>
      <c r="G218" s="61" t="n"/>
      <c r="H218" s="43">
        <f>IF($G218="","",$E218-$G218)</f>
        <v/>
      </c>
    </row>
    <row r="219">
      <c r="A219" s="60" t="inlineStr">
        <is>
          <t>26061105</t>
        </is>
      </c>
      <c r="B219" s="60" t="inlineStr">
        <is>
          <t>CBA - FYR 2026 - 12.8.26</t>
        </is>
      </c>
      <c r="C219" s="43">
        <f>SUMIFS(tbl_WIP[Amount],tbl_WIP[Job Number],$A219,tbl_WIP[Month],"&lt;&gt;",tbl_WIP[Month],"&lt;"&amp;$C$4,tbl_WIP[Defer Start],"")+SUMIF('Deferred Revenue'!$E$6:$E$607,$A219,'Deferred Revenue'!$P$6:$P$607)</f>
        <v/>
      </c>
      <c r="D219" s="43">
        <f>SUMIFS(tbl_WIP[Amount],tbl_WIP[Job Number],$A219,tbl_WIP[Month],$C$4,tbl_WIP[Defer Start],"")+SUMIF('Deferred Revenue'!$E$6:$E$607,$A219,'Deferred Revenue'!$Q$6:$Q$607)</f>
        <v/>
      </c>
      <c r="E219" s="43">
        <f>C219+D219</f>
        <v/>
      </c>
      <c r="F219" s="50">
        <f>IF(ROUND(C219,2)+ROUND(D219,2)=0,"","yes")</f>
        <v/>
      </c>
      <c r="G219" s="61" t="n"/>
      <c r="H219" s="43">
        <f>IF($G219="","",$E219-$G219)</f>
        <v/>
      </c>
    </row>
    <row r="220">
      <c r="A220" s="60" t="inlineStr">
        <is>
          <t>26061105V</t>
        </is>
      </c>
      <c r="B220" s="60" t="inlineStr">
        <is>
          <t>CBA - FYR 2026 - 12.8.26</t>
        </is>
      </c>
      <c r="C220" s="43">
        <f>SUMIFS(tbl_WIP[Amount],tbl_WIP[Job Number],$A220,tbl_WIP[Month],"&lt;&gt;",tbl_WIP[Month],"&lt;"&amp;$C$4,tbl_WIP[Defer Start],"")+SUMIF('Deferred Revenue'!$E$6:$E$607,$A220,'Deferred Revenue'!$P$6:$P$607)</f>
        <v/>
      </c>
      <c r="D220" s="43">
        <f>SUMIFS(tbl_WIP[Amount],tbl_WIP[Job Number],$A220,tbl_WIP[Month],$C$4,tbl_WIP[Defer Start],"")+SUMIF('Deferred Revenue'!$E$6:$E$607,$A220,'Deferred Revenue'!$Q$6:$Q$607)</f>
        <v/>
      </c>
      <c r="E220" s="43">
        <f>C220+D220</f>
        <v/>
      </c>
      <c r="F220" s="50">
        <f>IF(ROUND(C220,2)+ROUND(D220,2)=0,"","yes")</f>
        <v/>
      </c>
      <c r="G220" s="61" t="n"/>
      <c r="H220" s="43">
        <f>IF($G220="","",$E220-$G220)</f>
        <v/>
      </c>
    </row>
    <row r="221">
      <c r="A221" s="60" t="inlineStr">
        <is>
          <t>26061106</t>
        </is>
      </c>
      <c r="B221" s="60" t="inlineStr">
        <is>
          <t>TLC Full Year Results MEL</t>
        </is>
      </c>
      <c r="C221" s="43">
        <f>SUMIFS(tbl_WIP[Amount],tbl_WIP[Job Number],$A221,tbl_WIP[Month],"&lt;&gt;",tbl_WIP[Month],"&lt;"&amp;$C$4,tbl_WIP[Defer Start],"")+SUMIF('Deferred Revenue'!$E$6:$E$607,$A221,'Deferred Revenue'!$P$6:$P$607)</f>
        <v/>
      </c>
      <c r="D221" s="43">
        <f>SUMIFS(tbl_WIP[Amount],tbl_WIP[Job Number],$A221,tbl_WIP[Month],$C$4,tbl_WIP[Defer Start],"")+SUMIF('Deferred Revenue'!$E$6:$E$607,$A221,'Deferred Revenue'!$Q$6:$Q$607)</f>
        <v/>
      </c>
      <c r="E221" s="43">
        <f>C221+D221</f>
        <v/>
      </c>
      <c r="F221" s="50">
        <f>IF(ROUND(C221,2)+ROUND(D221,2)=0,"","yes")</f>
        <v/>
      </c>
      <c r="G221" s="61" t="n"/>
      <c r="H221" s="43">
        <f>IF($G221="","",$E221-$G221)</f>
        <v/>
      </c>
    </row>
    <row r="222">
      <c r="A222" s="60" t="inlineStr">
        <is>
          <t>26061106V</t>
        </is>
      </c>
      <c r="B222" s="60" t="inlineStr">
        <is>
          <t>TLC Full Year Results MEL</t>
        </is>
      </c>
      <c r="C222" s="43">
        <f>SUMIFS(tbl_WIP[Amount],tbl_WIP[Job Number],$A222,tbl_WIP[Month],"&lt;&gt;",tbl_WIP[Month],"&lt;"&amp;$C$4,tbl_WIP[Defer Start],"")+SUMIF('Deferred Revenue'!$E$6:$E$607,$A222,'Deferred Revenue'!$P$6:$P$607)</f>
        <v/>
      </c>
      <c r="D222" s="43">
        <f>SUMIFS(tbl_WIP[Amount],tbl_WIP[Job Number],$A222,tbl_WIP[Month],$C$4,tbl_WIP[Defer Start],"")+SUMIF('Deferred Revenue'!$E$6:$E$607,$A222,'Deferred Revenue'!$Q$6:$Q$607)</f>
        <v/>
      </c>
      <c r="E222" s="43">
        <f>C222+D222</f>
        <v/>
      </c>
      <c r="F222" s="50">
        <f>IF(ROUND(C222,2)+ROUND(D222,2)=0,"","yes")</f>
        <v/>
      </c>
      <c r="G222" s="61" t="n"/>
      <c r="H222" s="43">
        <f>IF($G222="","",$E222-$G222)</f>
        <v/>
      </c>
    </row>
    <row r="223">
      <c r="A223" s="60" t="inlineStr">
        <is>
          <t>26061107</t>
        </is>
      </c>
      <c r="B223" s="60" t="inlineStr">
        <is>
          <t>Downer - FYR 2026 - 20.8.26</t>
        </is>
      </c>
      <c r="C223" s="43">
        <f>SUMIFS(tbl_WIP[Amount],tbl_WIP[Job Number],$A223,tbl_WIP[Month],"&lt;&gt;",tbl_WIP[Month],"&lt;"&amp;$C$4,tbl_WIP[Defer Start],"")+SUMIF('Deferred Revenue'!$E$6:$E$607,$A223,'Deferred Revenue'!$P$6:$P$607)</f>
        <v/>
      </c>
      <c r="D223" s="43">
        <f>SUMIFS(tbl_WIP[Amount],tbl_WIP[Job Number],$A223,tbl_WIP[Month],$C$4,tbl_WIP[Defer Start],"")+SUMIF('Deferred Revenue'!$E$6:$E$607,$A223,'Deferred Revenue'!$Q$6:$Q$607)</f>
        <v/>
      </c>
      <c r="E223" s="43">
        <f>C223+D223</f>
        <v/>
      </c>
      <c r="F223" s="50">
        <f>IF(ROUND(C223,2)+ROUND(D223,2)=0,"","yes")</f>
        <v/>
      </c>
      <c r="G223" s="61" t="n"/>
      <c r="H223" s="43">
        <f>IF($G223="","",$E223-$G223)</f>
        <v/>
      </c>
    </row>
    <row r="224">
      <c r="A224" s="60" t="inlineStr">
        <is>
          <t>26061107V</t>
        </is>
      </c>
      <c r="B224" s="60" t="inlineStr">
        <is>
          <t>Downer - FYR 2026 - 20.8.26</t>
        </is>
      </c>
      <c r="C224" s="43">
        <f>SUMIFS(tbl_WIP[Amount],tbl_WIP[Job Number],$A224,tbl_WIP[Month],"&lt;&gt;",tbl_WIP[Month],"&lt;"&amp;$C$4,tbl_WIP[Defer Start],"")+SUMIF('Deferred Revenue'!$E$6:$E$607,$A224,'Deferred Revenue'!$P$6:$P$607)</f>
        <v/>
      </c>
      <c r="D224" s="43">
        <f>SUMIFS(tbl_WIP[Amount],tbl_WIP[Job Number],$A224,tbl_WIP[Month],$C$4,tbl_WIP[Defer Start],"")+SUMIF('Deferred Revenue'!$E$6:$E$607,$A224,'Deferred Revenue'!$Q$6:$Q$607)</f>
        <v/>
      </c>
      <c r="E224" s="43">
        <f>C224+D224</f>
        <v/>
      </c>
      <c r="F224" s="50">
        <f>IF(ROUND(C224,2)+ROUND(D224,2)=0,"","yes")</f>
        <v/>
      </c>
      <c r="G224" s="61" t="n"/>
      <c r="H224" s="43">
        <f>IF($G224="","",$E224-$G224)</f>
        <v/>
      </c>
    </row>
    <row r="225">
      <c r="A225" s="60" t="inlineStr">
        <is>
          <t>26061108</t>
        </is>
      </c>
      <c r="B225" s="60" t="inlineStr">
        <is>
          <t>APA - Qtly All Hands FYR26 - 20.8.26</t>
        </is>
      </c>
      <c r="C225" s="43">
        <f>SUMIFS(tbl_WIP[Amount],tbl_WIP[Job Number],$A225,tbl_WIP[Month],"&lt;&gt;",tbl_WIP[Month],"&lt;"&amp;$C$4,tbl_WIP[Defer Start],"")+SUMIF('Deferred Revenue'!$E$6:$E$607,$A225,'Deferred Revenue'!$P$6:$P$607)</f>
        <v/>
      </c>
      <c r="D225" s="43">
        <f>SUMIFS(tbl_WIP[Amount],tbl_WIP[Job Number],$A225,tbl_WIP[Month],$C$4,tbl_WIP[Defer Start],"")+SUMIF('Deferred Revenue'!$E$6:$E$607,$A225,'Deferred Revenue'!$Q$6:$Q$607)</f>
        <v/>
      </c>
      <c r="E225" s="43">
        <f>C225+D225</f>
        <v/>
      </c>
      <c r="F225" s="50">
        <f>IF(ROUND(C225,2)+ROUND(D225,2)=0,"","yes")</f>
        <v/>
      </c>
      <c r="G225" s="61" t="n"/>
      <c r="H225" s="43">
        <f>IF($G225="","",$E225-$G225)</f>
        <v/>
      </c>
    </row>
    <row r="226">
      <c r="A226" s="60" t="inlineStr">
        <is>
          <t>26061108V</t>
        </is>
      </c>
      <c r="B226" s="60" t="inlineStr">
        <is>
          <t>APA - Qtly All Hands FYR26 - 20.8.26</t>
        </is>
      </c>
      <c r="C226" s="43">
        <f>SUMIFS(tbl_WIP[Amount],tbl_WIP[Job Number],$A226,tbl_WIP[Month],"&lt;&gt;",tbl_WIP[Month],"&lt;"&amp;$C$4,tbl_WIP[Defer Start],"")+SUMIF('Deferred Revenue'!$E$6:$E$607,$A226,'Deferred Revenue'!$P$6:$P$607)</f>
        <v/>
      </c>
      <c r="D226" s="43">
        <f>SUMIFS(tbl_WIP[Amount],tbl_WIP[Job Number],$A226,tbl_WIP[Month],$C$4,tbl_WIP[Defer Start],"")+SUMIF('Deferred Revenue'!$E$6:$E$607,$A226,'Deferred Revenue'!$Q$6:$Q$607)</f>
        <v/>
      </c>
      <c r="E226" s="43">
        <f>C226+D226</f>
        <v/>
      </c>
      <c r="F226" s="50">
        <f>IF(ROUND(C226,2)+ROUND(D226,2)=0,"","yes")</f>
        <v/>
      </c>
      <c r="G226" s="61" t="n"/>
      <c r="H226" s="43">
        <f>IF($G226="","",$E226-$G226)</f>
        <v/>
      </c>
    </row>
    <row r="227">
      <c r="A227" s="60" t="inlineStr">
        <is>
          <t>26061109</t>
        </is>
      </c>
      <c r="B227" s="60" t="inlineStr">
        <is>
          <t>Ventia - FYR26 - 24.8.26</t>
        </is>
      </c>
      <c r="C227" s="43">
        <f>SUMIFS(tbl_WIP[Amount],tbl_WIP[Job Number],$A227,tbl_WIP[Month],"&lt;&gt;",tbl_WIP[Month],"&lt;"&amp;$C$4,tbl_WIP[Defer Start],"")+SUMIF('Deferred Revenue'!$E$6:$E$607,$A227,'Deferred Revenue'!$P$6:$P$607)</f>
        <v/>
      </c>
      <c r="D227" s="43">
        <f>SUMIFS(tbl_WIP[Amount],tbl_WIP[Job Number],$A227,tbl_WIP[Month],$C$4,tbl_WIP[Defer Start],"")+SUMIF('Deferred Revenue'!$E$6:$E$607,$A227,'Deferred Revenue'!$Q$6:$Q$607)</f>
        <v/>
      </c>
      <c r="E227" s="43">
        <f>C227+D227</f>
        <v/>
      </c>
      <c r="F227" s="50">
        <f>IF(ROUND(C227,2)+ROUND(D227,2)=0,"","yes")</f>
        <v/>
      </c>
      <c r="G227" s="61" t="n"/>
      <c r="H227" s="43">
        <f>IF($G227="","",$E227-$G227)</f>
        <v/>
      </c>
    </row>
    <row r="228">
      <c r="A228" s="60" t="inlineStr">
        <is>
          <t>26061109V</t>
        </is>
      </c>
      <c r="B228" s="60" t="inlineStr">
        <is>
          <t>Ventia - FYR26 - 24.8.26</t>
        </is>
      </c>
      <c r="C228" s="43">
        <f>SUMIFS(tbl_WIP[Amount],tbl_WIP[Job Number],$A228,tbl_WIP[Month],"&lt;&gt;",tbl_WIP[Month],"&lt;"&amp;$C$4,tbl_WIP[Defer Start],"")+SUMIF('Deferred Revenue'!$E$6:$E$607,$A228,'Deferred Revenue'!$P$6:$P$607)</f>
        <v/>
      </c>
      <c r="D228" s="43">
        <f>SUMIFS(tbl_WIP[Amount],tbl_WIP[Job Number],$A228,tbl_WIP[Month],$C$4,tbl_WIP[Defer Start],"")+SUMIF('Deferred Revenue'!$E$6:$E$607,$A228,'Deferred Revenue'!$Q$6:$Q$607)</f>
        <v/>
      </c>
      <c r="E228" s="43">
        <f>C228+D228</f>
        <v/>
      </c>
      <c r="F228" s="50">
        <f>IF(ROUND(C228,2)+ROUND(D228,2)=0,"","yes")</f>
        <v/>
      </c>
      <c r="G228" s="61" t="n"/>
      <c r="H228" s="43">
        <f>IF($G228="","",$E228-$G228)</f>
        <v/>
      </c>
    </row>
    <row r="229">
      <c r="A229" s="60" t="inlineStr">
        <is>
          <t>26061201</t>
        </is>
      </c>
      <c r="B229" s="60" t="inlineStr">
        <is>
          <t>PWC - Firmwide Webcast - 30.6.26</t>
        </is>
      </c>
      <c r="C229" s="43">
        <f>SUMIFS(tbl_WIP[Amount],tbl_WIP[Job Number],$A229,tbl_WIP[Month],"&lt;&gt;",tbl_WIP[Month],"&lt;"&amp;$C$4,tbl_WIP[Defer Start],"")+SUMIF('Deferred Revenue'!$E$6:$E$607,$A229,'Deferred Revenue'!$P$6:$P$607)</f>
        <v/>
      </c>
      <c r="D229" s="43">
        <f>SUMIFS(tbl_WIP[Amount],tbl_WIP[Job Number],$A229,tbl_WIP[Month],$C$4,tbl_WIP[Defer Start],"")+SUMIF('Deferred Revenue'!$E$6:$E$607,$A229,'Deferred Revenue'!$Q$6:$Q$607)</f>
        <v/>
      </c>
      <c r="E229" s="43">
        <f>C229+D229</f>
        <v/>
      </c>
      <c r="F229" s="50">
        <f>IF(ROUND(C229,2)+ROUND(D229,2)=0,"","yes")</f>
        <v/>
      </c>
      <c r="G229" s="61" t="n"/>
      <c r="H229" s="43">
        <f>IF($G229="","",$E229-$G229)</f>
        <v/>
      </c>
    </row>
    <row r="230">
      <c r="A230" s="60" t="inlineStr">
        <is>
          <t>26061201V</t>
        </is>
      </c>
      <c r="B230" s="60" t="inlineStr">
        <is>
          <t>PWC - Firmwide Webcast - 30.6.26</t>
        </is>
      </c>
      <c r="C230" s="43">
        <f>SUMIFS(tbl_WIP[Amount],tbl_WIP[Job Number],$A230,tbl_WIP[Month],"&lt;&gt;",tbl_WIP[Month],"&lt;"&amp;$C$4,tbl_WIP[Defer Start],"")+SUMIF('Deferred Revenue'!$E$6:$E$607,$A230,'Deferred Revenue'!$P$6:$P$607)</f>
        <v/>
      </c>
      <c r="D230" s="43">
        <f>SUMIFS(tbl_WIP[Amount],tbl_WIP[Job Number],$A230,tbl_WIP[Month],$C$4,tbl_WIP[Defer Start],"")+SUMIF('Deferred Revenue'!$E$6:$E$607,$A230,'Deferred Revenue'!$Q$6:$Q$607)</f>
        <v/>
      </c>
      <c r="E230" s="43">
        <f>C230+D230</f>
        <v/>
      </c>
      <c r="F230" s="50">
        <f>IF(ROUND(C230,2)+ROUND(D230,2)=0,"","yes")</f>
        <v/>
      </c>
      <c r="G230" s="61" t="n"/>
      <c r="H230" s="43">
        <f>IF($G230="","",$E230-$G230)</f>
        <v/>
      </c>
    </row>
    <row r="231">
      <c r="A231" s="60" t="inlineStr">
        <is>
          <t>26061202</t>
        </is>
      </c>
      <c r="B231" s="60" t="inlineStr">
        <is>
          <t>CBA AGM 2027</t>
        </is>
      </c>
      <c r="C231" s="43">
        <f>SUMIFS(tbl_WIP[Amount],tbl_WIP[Job Number],$A231,tbl_WIP[Month],"&lt;&gt;",tbl_WIP[Month],"&lt;"&amp;$C$4,tbl_WIP[Defer Start],"")+SUMIF('Deferred Revenue'!$E$6:$E$607,$A231,'Deferred Revenue'!$P$6:$P$607)</f>
        <v/>
      </c>
      <c r="D231" s="43">
        <f>SUMIFS(tbl_WIP[Amount],tbl_WIP[Job Number],$A231,tbl_WIP[Month],$C$4,tbl_WIP[Defer Start],"")+SUMIF('Deferred Revenue'!$E$6:$E$607,$A231,'Deferred Revenue'!$Q$6:$Q$607)</f>
        <v/>
      </c>
      <c r="E231" s="43">
        <f>C231+D231</f>
        <v/>
      </c>
      <c r="F231" s="50">
        <f>IF(ROUND(C231,2)+ROUND(D231,2)=0,"","yes")</f>
        <v/>
      </c>
      <c r="G231" s="61" t="n"/>
      <c r="H231" s="43">
        <f>IF($G231="","",$E231-$G231)</f>
        <v/>
      </c>
    </row>
    <row r="232">
      <c r="A232" s="60" t="inlineStr">
        <is>
          <t>26061202V</t>
        </is>
      </c>
      <c r="B232" s="60" t="inlineStr">
        <is>
          <t>CBA AGM 2027</t>
        </is>
      </c>
      <c r="C232" s="43">
        <f>SUMIFS(tbl_WIP[Amount],tbl_WIP[Job Number],$A232,tbl_WIP[Month],"&lt;&gt;",tbl_WIP[Month],"&lt;"&amp;$C$4,tbl_WIP[Defer Start],"")+SUMIF('Deferred Revenue'!$E$6:$E$607,$A232,'Deferred Revenue'!$P$6:$P$607)</f>
        <v/>
      </c>
      <c r="D232" s="43">
        <f>SUMIFS(tbl_WIP[Amount],tbl_WIP[Job Number],$A232,tbl_WIP[Month],$C$4,tbl_WIP[Defer Start],"")+SUMIF('Deferred Revenue'!$E$6:$E$607,$A232,'Deferred Revenue'!$Q$6:$Q$607)</f>
        <v/>
      </c>
      <c r="E232" s="43">
        <f>C232+D232</f>
        <v/>
      </c>
      <c r="F232" s="50">
        <f>IF(ROUND(C232,2)+ROUND(D232,2)=0,"","yes")</f>
        <v/>
      </c>
      <c r="G232" s="61" t="n"/>
      <c r="H232" s="43">
        <f>IF($G232="","",$E232-$G232)</f>
        <v/>
      </c>
    </row>
    <row r="233">
      <c r="A233" s="60" t="inlineStr">
        <is>
          <t>26061501</t>
        </is>
      </c>
      <c r="B233" s="60" t="inlineStr">
        <is>
          <t>DTTL MEL Lv29 Display Supply</t>
        </is>
      </c>
      <c r="C233" s="43">
        <f>SUMIFS(tbl_WIP[Amount],tbl_WIP[Job Number],$A233,tbl_WIP[Month],"&lt;&gt;",tbl_WIP[Month],"&lt;"&amp;$C$4,tbl_WIP[Defer Start],"")+SUMIF('Deferred Revenue'!$E$6:$E$607,$A233,'Deferred Revenue'!$P$6:$P$607)</f>
        <v/>
      </c>
      <c r="D233" s="43">
        <f>SUMIFS(tbl_WIP[Amount],tbl_WIP[Job Number],$A233,tbl_WIP[Month],$C$4,tbl_WIP[Defer Start],"")+SUMIF('Deferred Revenue'!$E$6:$E$607,$A233,'Deferred Revenue'!$Q$6:$Q$607)</f>
        <v/>
      </c>
      <c r="E233" s="43">
        <f>C233+D233</f>
        <v/>
      </c>
      <c r="F233" s="50">
        <f>IF(ROUND(C233,2)+ROUND(D233,2)=0,"","yes")</f>
        <v/>
      </c>
      <c r="G233" s="61" t="n"/>
      <c r="H233" s="43">
        <f>IF($G233="","",$E233-$G233)</f>
        <v/>
      </c>
    </row>
    <row r="234">
      <c r="A234" s="60" t="inlineStr">
        <is>
          <t>26061602</t>
        </is>
      </c>
      <c r="B234" s="60" t="inlineStr">
        <is>
          <t>ASX - CEO Connect (Extended) - 1.9.26</t>
        </is>
      </c>
      <c r="C234" s="43">
        <f>SUMIFS(tbl_WIP[Amount],tbl_WIP[Job Number],$A234,tbl_WIP[Month],"&lt;&gt;",tbl_WIP[Month],"&lt;"&amp;$C$4,tbl_WIP[Defer Start],"")+SUMIF('Deferred Revenue'!$E$6:$E$607,$A234,'Deferred Revenue'!$P$6:$P$607)</f>
        <v/>
      </c>
      <c r="D234" s="43">
        <f>SUMIFS(tbl_WIP[Amount],tbl_WIP[Job Number],$A234,tbl_WIP[Month],$C$4,tbl_WIP[Defer Start],"")+SUMIF('Deferred Revenue'!$E$6:$E$607,$A234,'Deferred Revenue'!$Q$6:$Q$607)</f>
        <v/>
      </c>
      <c r="E234" s="43">
        <f>C234+D234</f>
        <v/>
      </c>
      <c r="F234" s="50">
        <f>IF(ROUND(C234,2)+ROUND(D234,2)=0,"","yes")</f>
        <v/>
      </c>
      <c r="G234" s="61" t="n"/>
      <c r="H234" s="43">
        <f>IF($G234="","",$E234-$G234)</f>
        <v/>
      </c>
    </row>
    <row r="235">
      <c r="A235" s="60" t="inlineStr">
        <is>
          <t>26061602V</t>
        </is>
      </c>
      <c r="B235" s="60" t="inlineStr">
        <is>
          <t>ASX - CEO Connect (Extended) - 1.9.26</t>
        </is>
      </c>
      <c r="C235" s="43">
        <f>SUMIFS(tbl_WIP[Amount],tbl_WIP[Job Number],$A235,tbl_WIP[Month],"&lt;&gt;",tbl_WIP[Month],"&lt;"&amp;$C$4,tbl_WIP[Defer Start],"")+SUMIF('Deferred Revenue'!$E$6:$E$607,$A235,'Deferred Revenue'!$P$6:$P$607)</f>
        <v/>
      </c>
      <c r="D235" s="43">
        <f>SUMIFS(tbl_WIP[Amount],tbl_WIP[Job Number],$A235,tbl_WIP[Month],$C$4,tbl_WIP[Defer Start],"")+SUMIF('Deferred Revenue'!$E$6:$E$607,$A235,'Deferred Revenue'!$Q$6:$Q$607)</f>
        <v/>
      </c>
      <c r="E235" s="43">
        <f>C235+D235</f>
        <v/>
      </c>
      <c r="F235" s="50">
        <f>IF(ROUND(C235,2)+ROUND(D235,2)=0,"","yes")</f>
        <v/>
      </c>
      <c r="G235" s="61" t="n"/>
      <c r="H235" s="43">
        <f>IF($G235="","",$E235-$G235)</f>
        <v/>
      </c>
    </row>
    <row r="236">
      <c r="A236" s="60" t="inlineStr">
        <is>
          <t>26061605</t>
        </is>
      </c>
      <c r="B236" s="60" t="inlineStr">
        <is>
          <t>MUFG - IBM Ltd AGM - 27.10.26</t>
        </is>
      </c>
      <c r="C236" s="43">
        <f>SUMIFS(tbl_WIP[Amount],tbl_WIP[Job Number],$A236,tbl_WIP[Month],"&lt;&gt;",tbl_WIP[Month],"&lt;"&amp;$C$4,tbl_WIP[Defer Start],"")+SUMIF('Deferred Revenue'!$E$6:$E$607,$A236,'Deferred Revenue'!$P$6:$P$607)</f>
        <v/>
      </c>
      <c r="D236" s="43">
        <f>SUMIFS(tbl_WIP[Amount],tbl_WIP[Job Number],$A236,tbl_WIP[Month],$C$4,tbl_WIP[Defer Start],"")+SUMIF('Deferred Revenue'!$E$6:$E$607,$A236,'Deferred Revenue'!$Q$6:$Q$607)</f>
        <v/>
      </c>
      <c r="E236" s="43">
        <f>C236+D236</f>
        <v/>
      </c>
      <c r="F236" s="50">
        <f>IF(ROUND(C236,2)+ROUND(D236,2)=0,"","yes")</f>
        <v/>
      </c>
      <c r="G236" s="61" t="n"/>
      <c r="H236" s="43">
        <f>IF($G236="","",$E236-$G236)</f>
        <v/>
      </c>
    </row>
    <row r="237">
      <c r="A237" s="60" t="inlineStr">
        <is>
          <t>26061605V</t>
        </is>
      </c>
      <c r="B237" s="60" t="inlineStr">
        <is>
          <t>MUFG - IBM Ltd AGM - 27.10.26</t>
        </is>
      </c>
      <c r="C237" s="43">
        <f>SUMIFS(tbl_WIP[Amount],tbl_WIP[Job Number],$A237,tbl_WIP[Month],"&lt;&gt;",tbl_WIP[Month],"&lt;"&amp;$C$4,tbl_WIP[Defer Start],"")+SUMIF('Deferred Revenue'!$E$6:$E$607,$A237,'Deferred Revenue'!$P$6:$P$607)</f>
        <v/>
      </c>
      <c r="D237" s="43">
        <f>SUMIFS(tbl_WIP[Amount],tbl_WIP[Job Number],$A237,tbl_WIP[Month],$C$4,tbl_WIP[Defer Start],"")+SUMIF('Deferred Revenue'!$E$6:$E$607,$A237,'Deferred Revenue'!$Q$6:$Q$607)</f>
        <v/>
      </c>
      <c r="E237" s="43">
        <f>C237+D237</f>
        <v/>
      </c>
      <c r="F237" s="50">
        <f>IF(ROUND(C237,2)+ROUND(D237,2)=0,"","yes")</f>
        <v/>
      </c>
      <c r="G237" s="61" t="n"/>
      <c r="H237" s="43">
        <f>IF($G237="","",$E237-$G237)</f>
        <v/>
      </c>
    </row>
    <row r="238">
      <c r="A238" s="60" t="inlineStr">
        <is>
          <t>26061606</t>
        </is>
      </c>
      <c r="B238" s="60" t="inlineStr">
        <is>
          <t>MUFG - Endeavour AGM - 30.10.26</t>
        </is>
      </c>
      <c r="C238" s="43">
        <f>SUMIFS(tbl_WIP[Amount],tbl_WIP[Job Number],$A238,tbl_WIP[Month],"&lt;&gt;",tbl_WIP[Month],"&lt;"&amp;$C$4,tbl_WIP[Defer Start],"")+SUMIF('Deferred Revenue'!$E$6:$E$607,$A238,'Deferred Revenue'!$P$6:$P$607)</f>
        <v/>
      </c>
      <c r="D238" s="43">
        <f>SUMIFS(tbl_WIP[Amount],tbl_WIP[Job Number],$A238,tbl_WIP[Month],$C$4,tbl_WIP[Defer Start],"")+SUMIF('Deferred Revenue'!$E$6:$E$607,$A238,'Deferred Revenue'!$Q$6:$Q$607)</f>
        <v/>
      </c>
      <c r="E238" s="43">
        <f>C238+D238</f>
        <v/>
      </c>
      <c r="F238" s="50">
        <f>IF(ROUND(C238,2)+ROUND(D238,2)=0,"","yes")</f>
        <v/>
      </c>
      <c r="G238" s="61" t="n"/>
      <c r="H238" s="43">
        <f>IF($G238="","",$E238-$G238)</f>
        <v/>
      </c>
    </row>
    <row r="239">
      <c r="A239" s="60" t="inlineStr">
        <is>
          <t>26061606V</t>
        </is>
      </c>
      <c r="B239" s="60" t="inlineStr">
        <is>
          <t>MUFG - Endeavour AGM - 30.10.26</t>
        </is>
      </c>
      <c r="C239" s="43">
        <f>SUMIFS(tbl_WIP[Amount],tbl_WIP[Job Number],$A239,tbl_WIP[Month],"&lt;&gt;",tbl_WIP[Month],"&lt;"&amp;$C$4,tbl_WIP[Defer Start],"")+SUMIF('Deferred Revenue'!$E$6:$E$607,$A239,'Deferred Revenue'!$P$6:$P$607)</f>
        <v/>
      </c>
      <c r="D239" s="43">
        <f>SUMIFS(tbl_WIP[Amount],tbl_WIP[Job Number],$A239,tbl_WIP[Month],$C$4,tbl_WIP[Defer Start],"")+SUMIF('Deferred Revenue'!$E$6:$E$607,$A239,'Deferred Revenue'!$Q$6:$Q$607)</f>
        <v/>
      </c>
      <c r="E239" s="43">
        <f>C239+D239</f>
        <v/>
      </c>
      <c r="F239" s="50">
        <f>IF(ROUND(C239,2)+ROUND(D239,2)=0,"","yes")</f>
        <v/>
      </c>
      <c r="G239" s="61" t="n"/>
      <c r="H239" s="43">
        <f>IF($G239="","",$E239-$G239)</f>
        <v/>
      </c>
    </row>
    <row r="240">
      <c r="A240" s="60" t="inlineStr">
        <is>
          <t>26061607</t>
        </is>
      </c>
      <c r="B240" s="60" t="inlineStr">
        <is>
          <t>APA - Qtly All Hands (BNE) - 4.11.26</t>
        </is>
      </c>
      <c r="C240" s="43">
        <f>SUMIFS(tbl_WIP[Amount],tbl_WIP[Job Number],$A240,tbl_WIP[Month],"&lt;&gt;",tbl_WIP[Month],"&lt;"&amp;$C$4,tbl_WIP[Defer Start],"")+SUMIF('Deferred Revenue'!$E$6:$E$607,$A240,'Deferred Revenue'!$P$6:$P$607)</f>
        <v/>
      </c>
      <c r="D240" s="43">
        <f>SUMIFS(tbl_WIP[Amount],tbl_WIP[Job Number],$A240,tbl_WIP[Month],$C$4,tbl_WIP[Defer Start],"")+SUMIF('Deferred Revenue'!$E$6:$E$607,$A240,'Deferred Revenue'!$Q$6:$Q$607)</f>
        <v/>
      </c>
      <c r="E240" s="43">
        <f>C240+D240</f>
        <v/>
      </c>
      <c r="F240" s="50">
        <f>IF(ROUND(C240,2)+ROUND(D240,2)=0,"","yes")</f>
        <v/>
      </c>
      <c r="G240" s="61" t="n"/>
      <c r="H240" s="43">
        <f>IF($G240="","",$E240-$G240)</f>
        <v/>
      </c>
    </row>
    <row r="241">
      <c r="A241" s="60" t="inlineStr">
        <is>
          <t>26061607V</t>
        </is>
      </c>
      <c r="B241" s="60" t="inlineStr">
        <is>
          <t>APA - Qtly All Hands (BNE) - 4.11.26</t>
        </is>
      </c>
      <c r="C241" s="43">
        <f>SUMIFS(tbl_WIP[Amount],tbl_WIP[Job Number],$A241,tbl_WIP[Month],"&lt;&gt;",tbl_WIP[Month],"&lt;"&amp;$C$4,tbl_WIP[Defer Start],"")+SUMIF('Deferred Revenue'!$E$6:$E$607,$A241,'Deferred Revenue'!$P$6:$P$607)</f>
        <v/>
      </c>
      <c r="D241" s="43">
        <f>SUMIFS(tbl_WIP[Amount],tbl_WIP[Job Number],$A241,tbl_WIP[Month],$C$4,tbl_WIP[Defer Start],"")+SUMIF('Deferred Revenue'!$E$6:$E$607,$A241,'Deferred Revenue'!$Q$6:$Q$607)</f>
        <v/>
      </c>
      <c r="E241" s="43">
        <f>C241+D241</f>
        <v/>
      </c>
      <c r="F241" s="50">
        <f>IF(ROUND(C241,2)+ROUND(D241,2)=0,"","yes")</f>
        <v/>
      </c>
      <c r="G241" s="61" t="n"/>
      <c r="H241" s="43">
        <f>IF($G241="","",$E241-$G241)</f>
        <v/>
      </c>
    </row>
    <row r="242">
      <c r="A242" s="60" t="inlineStr">
        <is>
          <t>26061608</t>
        </is>
      </c>
      <c r="B242" s="60" t="inlineStr">
        <is>
          <t>APA - Qtly All Hands Sydney - Feb 27</t>
        </is>
      </c>
      <c r="C242" s="43">
        <f>SUMIFS(tbl_WIP[Amount],tbl_WIP[Job Number],$A242,tbl_WIP[Month],"&lt;&gt;",tbl_WIP[Month],"&lt;"&amp;$C$4,tbl_WIP[Defer Start],"")+SUMIF('Deferred Revenue'!$E$6:$E$607,$A242,'Deferred Revenue'!$P$6:$P$607)</f>
        <v/>
      </c>
      <c r="D242" s="43">
        <f>SUMIFS(tbl_WIP[Amount],tbl_WIP[Job Number],$A242,tbl_WIP[Month],$C$4,tbl_WIP[Defer Start],"")+SUMIF('Deferred Revenue'!$E$6:$E$607,$A242,'Deferred Revenue'!$Q$6:$Q$607)</f>
        <v/>
      </c>
      <c r="E242" s="43">
        <f>C242+D242</f>
        <v/>
      </c>
      <c r="F242" s="50">
        <f>IF(ROUND(C242,2)+ROUND(D242,2)=0,"","yes")</f>
        <v/>
      </c>
      <c r="G242" s="61" t="n"/>
      <c r="H242" s="43">
        <f>IF($G242="","",$E242-$G242)</f>
        <v/>
      </c>
    </row>
    <row r="243">
      <c r="A243" s="60" t="inlineStr">
        <is>
          <t>26061608V</t>
        </is>
      </c>
      <c r="B243" s="60" t="inlineStr">
        <is>
          <t>APA - Qtly All Hands Sydney - Feb 27</t>
        </is>
      </c>
      <c r="C243" s="43">
        <f>SUMIFS(tbl_WIP[Amount],tbl_WIP[Job Number],$A243,tbl_WIP[Month],"&lt;&gt;",tbl_WIP[Month],"&lt;"&amp;$C$4,tbl_WIP[Defer Start],"")+SUMIF('Deferred Revenue'!$E$6:$E$607,$A243,'Deferred Revenue'!$P$6:$P$607)</f>
        <v/>
      </c>
      <c r="D243" s="43">
        <f>SUMIFS(tbl_WIP[Amount],tbl_WIP[Job Number],$A243,tbl_WIP[Month],$C$4,tbl_WIP[Defer Start],"")+SUMIF('Deferred Revenue'!$E$6:$E$607,$A243,'Deferred Revenue'!$Q$6:$Q$607)</f>
        <v/>
      </c>
      <c r="E243" s="43">
        <f>C243+D243</f>
        <v/>
      </c>
      <c r="F243" s="50">
        <f>IF(ROUND(C243,2)+ROUND(D243,2)=0,"","yes")</f>
        <v/>
      </c>
      <c r="G243" s="61" t="n"/>
      <c r="H243" s="43">
        <f>IF($G243="","",$E243-$G243)</f>
        <v/>
      </c>
    </row>
    <row r="244">
      <c r="A244" s="60" t="inlineStr">
        <is>
          <t>26061609</t>
        </is>
      </c>
      <c r="B244" s="60" t="inlineStr">
        <is>
          <t>APA Qtly All Hands Perth - May 2027</t>
        </is>
      </c>
      <c r="C244" s="43">
        <f>SUMIFS(tbl_WIP[Amount],tbl_WIP[Job Number],$A244,tbl_WIP[Month],"&lt;&gt;",tbl_WIP[Month],"&lt;"&amp;$C$4,tbl_WIP[Defer Start],"")+SUMIF('Deferred Revenue'!$E$6:$E$607,$A244,'Deferred Revenue'!$P$6:$P$607)</f>
        <v/>
      </c>
      <c r="D244" s="43">
        <f>SUMIFS(tbl_WIP[Amount],tbl_WIP[Job Number],$A244,tbl_WIP[Month],$C$4,tbl_WIP[Defer Start],"")+SUMIF('Deferred Revenue'!$E$6:$E$607,$A244,'Deferred Revenue'!$Q$6:$Q$607)</f>
        <v/>
      </c>
      <c r="E244" s="43">
        <f>C244+D244</f>
        <v/>
      </c>
      <c r="F244" s="50">
        <f>IF(ROUND(C244,2)+ROUND(D244,2)=0,"","yes")</f>
        <v/>
      </c>
      <c r="G244" s="61" t="n"/>
      <c r="H244" s="43">
        <f>IF($G244="","",$E244-$G244)</f>
        <v/>
      </c>
    </row>
    <row r="245">
      <c r="A245" s="60" t="inlineStr">
        <is>
          <t>26061609V</t>
        </is>
      </c>
      <c r="B245" s="60" t="inlineStr">
        <is>
          <t>APA Qtly All Hands Perth - May 2027</t>
        </is>
      </c>
      <c r="C245" s="43">
        <f>SUMIFS(tbl_WIP[Amount],tbl_WIP[Job Number],$A245,tbl_WIP[Month],"&lt;&gt;",tbl_WIP[Month],"&lt;"&amp;$C$4,tbl_WIP[Defer Start],"")+SUMIF('Deferred Revenue'!$E$6:$E$607,$A245,'Deferred Revenue'!$P$6:$P$607)</f>
        <v/>
      </c>
      <c r="D245" s="43">
        <f>SUMIFS(tbl_WIP[Amount],tbl_WIP[Job Number],$A245,tbl_WIP[Month],$C$4,tbl_WIP[Defer Start],"")+SUMIF('Deferred Revenue'!$E$6:$E$607,$A245,'Deferred Revenue'!$Q$6:$Q$607)</f>
        <v/>
      </c>
      <c r="E245" s="43">
        <f>C245+D245</f>
        <v/>
      </c>
      <c r="F245" s="50">
        <f>IF(ROUND(C245,2)+ROUND(D245,2)=0,"","yes")</f>
        <v/>
      </c>
      <c r="G245" s="61" t="n"/>
      <c r="H245" s="43">
        <f>IF($G245="","",$E245-$G245)</f>
        <v/>
      </c>
    </row>
    <row r="246">
      <c r="A246" s="60" t="inlineStr">
        <is>
          <t>26061611</t>
        </is>
      </c>
      <c r="B246" s="60" t="inlineStr">
        <is>
          <t>QBE - Keynote Event - 27.10.26</t>
        </is>
      </c>
      <c r="C246" s="43">
        <f>SUMIFS(tbl_WIP[Amount],tbl_WIP[Job Number],$A246,tbl_WIP[Month],"&lt;&gt;",tbl_WIP[Month],"&lt;"&amp;$C$4,tbl_WIP[Defer Start],"")+SUMIF('Deferred Revenue'!$E$6:$E$607,$A246,'Deferred Revenue'!$P$6:$P$607)</f>
        <v/>
      </c>
      <c r="D246" s="43">
        <f>SUMIFS(tbl_WIP[Amount],tbl_WIP[Job Number],$A246,tbl_WIP[Month],$C$4,tbl_WIP[Defer Start],"")+SUMIF('Deferred Revenue'!$E$6:$E$607,$A246,'Deferred Revenue'!$Q$6:$Q$607)</f>
        <v/>
      </c>
      <c r="E246" s="43">
        <f>C246+D246</f>
        <v/>
      </c>
      <c r="F246" s="50">
        <f>IF(ROUND(C246,2)+ROUND(D246,2)=0,"","yes")</f>
        <v/>
      </c>
      <c r="G246" s="61" t="n"/>
      <c r="H246" s="43">
        <f>IF($G246="","",$E246-$G246)</f>
        <v/>
      </c>
    </row>
    <row r="247">
      <c r="A247" s="60" t="inlineStr">
        <is>
          <t>26061611V</t>
        </is>
      </c>
      <c r="B247" s="60" t="inlineStr">
        <is>
          <t>QBE - Keynote Event - 27.10.26</t>
        </is>
      </c>
      <c r="C247" s="43">
        <f>SUMIFS(tbl_WIP[Amount],tbl_WIP[Job Number],$A247,tbl_WIP[Month],"&lt;&gt;",tbl_WIP[Month],"&lt;"&amp;$C$4,tbl_WIP[Defer Start],"")+SUMIF('Deferred Revenue'!$E$6:$E$607,$A247,'Deferred Revenue'!$P$6:$P$607)</f>
        <v/>
      </c>
      <c r="D247" s="43">
        <f>SUMIFS(tbl_WIP[Amount],tbl_WIP[Job Number],$A247,tbl_WIP[Month],$C$4,tbl_WIP[Defer Start],"")+SUMIF('Deferred Revenue'!$E$6:$E$607,$A247,'Deferred Revenue'!$Q$6:$Q$607)</f>
        <v/>
      </c>
      <c r="E247" s="43">
        <f>C247+D247</f>
        <v/>
      </c>
      <c r="F247" s="50">
        <f>IF(ROUND(C247,2)+ROUND(D247,2)=0,"","yes")</f>
        <v/>
      </c>
      <c r="G247" s="61" t="n"/>
      <c r="H247" s="43">
        <f>IF($G247="","",$E247-$G247)</f>
        <v/>
      </c>
    </row>
    <row r="248">
      <c r="A248" s="60" t="inlineStr">
        <is>
          <t>26061612</t>
        </is>
      </c>
      <c r="B248" s="60" t="inlineStr">
        <is>
          <t>Chorus Call - Redox AGM - 7.10.26</t>
        </is>
      </c>
      <c r="C248" s="43">
        <f>SUMIFS(tbl_WIP[Amount],tbl_WIP[Job Number],$A248,tbl_WIP[Month],"&lt;&gt;",tbl_WIP[Month],"&lt;"&amp;$C$4,tbl_WIP[Defer Start],"")+SUMIF('Deferred Revenue'!$E$6:$E$607,$A248,'Deferred Revenue'!$P$6:$P$607)</f>
        <v/>
      </c>
      <c r="D248" s="43">
        <f>SUMIFS(tbl_WIP[Amount],tbl_WIP[Job Number],$A248,tbl_WIP[Month],$C$4,tbl_WIP[Defer Start],"")+SUMIF('Deferred Revenue'!$E$6:$E$607,$A248,'Deferred Revenue'!$Q$6:$Q$607)</f>
        <v/>
      </c>
      <c r="E248" s="43">
        <f>C248+D248</f>
        <v/>
      </c>
      <c r="F248" s="50">
        <f>IF(ROUND(C248,2)+ROUND(D248,2)=0,"","yes")</f>
        <v/>
      </c>
      <c r="G248" s="61" t="n"/>
      <c r="H248" s="43">
        <f>IF($G248="","",$E248-$G248)</f>
        <v/>
      </c>
    </row>
    <row r="249">
      <c r="A249" s="60" t="inlineStr">
        <is>
          <t>26061612V</t>
        </is>
      </c>
      <c r="B249" s="60" t="inlineStr">
        <is>
          <t>Chorus Call - Redox AGM - 7.10.26</t>
        </is>
      </c>
      <c r="C249" s="43">
        <f>SUMIFS(tbl_WIP[Amount],tbl_WIP[Job Number],$A249,tbl_WIP[Month],"&lt;&gt;",tbl_WIP[Month],"&lt;"&amp;$C$4,tbl_WIP[Defer Start],"")+SUMIF('Deferred Revenue'!$E$6:$E$607,$A249,'Deferred Revenue'!$P$6:$P$607)</f>
        <v/>
      </c>
      <c r="D249" s="43">
        <f>SUMIFS(tbl_WIP[Amount],tbl_WIP[Job Number],$A249,tbl_WIP[Month],$C$4,tbl_WIP[Defer Start],"")+SUMIF('Deferred Revenue'!$E$6:$E$607,$A249,'Deferred Revenue'!$Q$6:$Q$607)</f>
        <v/>
      </c>
      <c r="E249" s="43">
        <f>C249+D249</f>
        <v/>
      </c>
      <c r="F249" s="50">
        <f>IF(ROUND(C249,2)+ROUND(D249,2)=0,"","yes")</f>
        <v/>
      </c>
      <c r="G249" s="61" t="n"/>
      <c r="H249" s="43">
        <f>IF($G249="","",$E249-$G249)</f>
        <v/>
      </c>
    </row>
    <row r="250">
      <c r="A250" s="60" t="inlineStr">
        <is>
          <t>26061701</t>
        </is>
      </c>
      <c r="B250" s="60" t="inlineStr">
        <is>
          <t>CBA - LES - July 2026</t>
        </is>
      </c>
      <c r="C250" s="43">
        <f>SUMIFS(tbl_WIP[Amount],tbl_WIP[Job Number],$A250,tbl_WIP[Month],"&lt;&gt;",tbl_WIP[Month],"&lt;"&amp;$C$4,tbl_WIP[Defer Start],"")+SUMIF('Deferred Revenue'!$E$6:$E$607,$A250,'Deferred Revenue'!$P$6:$P$607)</f>
        <v/>
      </c>
      <c r="D250" s="43">
        <f>SUMIFS(tbl_WIP[Amount],tbl_WIP[Job Number],$A250,tbl_WIP[Month],$C$4,tbl_WIP[Defer Start],"")+SUMIF('Deferred Revenue'!$E$6:$E$607,$A250,'Deferred Revenue'!$Q$6:$Q$607)</f>
        <v/>
      </c>
      <c r="E250" s="43">
        <f>C250+D250</f>
        <v/>
      </c>
      <c r="F250" s="50">
        <f>IF(ROUND(C250,2)+ROUND(D250,2)=0,"","yes")</f>
        <v/>
      </c>
      <c r="G250" s="61" t="n"/>
      <c r="H250" s="43">
        <f>IF($G250="","",$E250-$G250)</f>
        <v/>
      </c>
    </row>
    <row r="251">
      <c r="A251" s="60" t="inlineStr">
        <is>
          <t>26061702</t>
        </is>
      </c>
      <c r="B251" s="60" t="inlineStr">
        <is>
          <t>Garvan - Morning Tea Event - 31.7.26</t>
        </is>
      </c>
      <c r="C251" s="43">
        <f>SUMIFS(tbl_WIP[Amount],tbl_WIP[Job Number],$A251,tbl_WIP[Month],"&lt;&gt;",tbl_WIP[Month],"&lt;"&amp;$C$4,tbl_WIP[Defer Start],"")+SUMIF('Deferred Revenue'!$E$6:$E$607,$A251,'Deferred Revenue'!$P$6:$P$607)</f>
        <v/>
      </c>
      <c r="D251" s="43">
        <f>SUMIFS(tbl_WIP[Amount],tbl_WIP[Job Number],$A251,tbl_WIP[Month],$C$4,tbl_WIP[Defer Start],"")+SUMIF('Deferred Revenue'!$E$6:$E$607,$A251,'Deferred Revenue'!$Q$6:$Q$607)</f>
        <v/>
      </c>
      <c r="E251" s="43">
        <f>C251+D251</f>
        <v/>
      </c>
      <c r="F251" s="50">
        <f>IF(ROUND(C251,2)+ROUND(D251,2)=0,"","yes")</f>
        <v/>
      </c>
      <c r="G251" s="61" t="n"/>
      <c r="H251" s="43">
        <f>IF($G251="","",$E251-$G251)</f>
        <v/>
      </c>
    </row>
    <row r="252">
      <c r="A252" s="60" t="inlineStr">
        <is>
          <t>26061801</t>
        </is>
      </c>
      <c r="B252" s="60" t="inlineStr">
        <is>
          <t>APA - Investor Briefing FYR26 - 20.8.26</t>
        </is>
      </c>
      <c r="C252" s="43">
        <f>SUMIFS(tbl_WIP[Amount],tbl_WIP[Job Number],$A252,tbl_WIP[Month],"&lt;&gt;",tbl_WIP[Month],"&lt;"&amp;$C$4,tbl_WIP[Defer Start],"")+SUMIF('Deferred Revenue'!$E$6:$E$607,$A252,'Deferred Revenue'!$P$6:$P$607)</f>
        <v/>
      </c>
      <c r="D252" s="43">
        <f>SUMIFS(tbl_WIP[Amount],tbl_WIP[Job Number],$A252,tbl_WIP[Month],$C$4,tbl_WIP[Defer Start],"")+SUMIF('Deferred Revenue'!$E$6:$E$607,$A252,'Deferred Revenue'!$Q$6:$Q$607)</f>
        <v/>
      </c>
      <c r="E252" s="43">
        <f>C252+D252</f>
        <v/>
      </c>
      <c r="F252" s="50">
        <f>IF(ROUND(C252,2)+ROUND(D252,2)=0,"","yes")</f>
        <v/>
      </c>
      <c r="G252" s="61" t="n"/>
      <c r="H252" s="43">
        <f>IF($G252="","",$E252-$G252)</f>
        <v/>
      </c>
    </row>
    <row r="253">
      <c r="A253" s="60" t="inlineStr">
        <is>
          <t>26061801V</t>
        </is>
      </c>
      <c r="B253" s="60" t="inlineStr">
        <is>
          <t>APA - Investor Briefing FYR26 - 20.8.26</t>
        </is>
      </c>
      <c r="C253" s="43">
        <f>SUMIFS(tbl_WIP[Amount],tbl_WIP[Job Number],$A253,tbl_WIP[Month],"&lt;&gt;",tbl_WIP[Month],"&lt;"&amp;$C$4,tbl_WIP[Defer Start],"")+SUMIF('Deferred Revenue'!$E$6:$E$607,$A253,'Deferred Revenue'!$P$6:$P$607)</f>
        <v/>
      </c>
      <c r="D253" s="43">
        <f>SUMIFS(tbl_WIP[Amount],tbl_WIP[Job Number],$A253,tbl_WIP[Month],$C$4,tbl_WIP[Defer Start],"")+SUMIF('Deferred Revenue'!$E$6:$E$607,$A253,'Deferred Revenue'!$Q$6:$Q$607)</f>
        <v/>
      </c>
      <c r="E253" s="43">
        <f>C253+D253</f>
        <v/>
      </c>
      <c r="F253" s="50">
        <f>IF(ROUND(C253,2)+ROUND(D253,2)=0,"","yes")</f>
        <v/>
      </c>
      <c r="G253" s="61" t="n"/>
      <c r="H253" s="43">
        <f>IF($G253="","",$E253-$G253)</f>
        <v/>
      </c>
    </row>
    <row r="254">
      <c r="A254" s="60" t="inlineStr">
        <is>
          <t>26062201</t>
        </is>
      </c>
      <c r="B254" s="60" t="inlineStr">
        <is>
          <t>PWC - Tax &amp; Legal Webcast 02.07.26</t>
        </is>
      </c>
      <c r="C254" s="43">
        <f>SUMIFS(tbl_WIP[Amount],tbl_WIP[Job Number],$A254,tbl_WIP[Month],"&lt;&gt;",tbl_WIP[Month],"&lt;"&amp;$C$4,tbl_WIP[Defer Start],"")+SUMIF('Deferred Revenue'!$E$6:$E$607,$A254,'Deferred Revenue'!$P$6:$P$607)</f>
        <v/>
      </c>
      <c r="D254" s="43">
        <f>SUMIFS(tbl_WIP[Amount],tbl_WIP[Job Number],$A254,tbl_WIP[Month],$C$4,tbl_WIP[Defer Start],"")+SUMIF('Deferred Revenue'!$E$6:$E$607,$A254,'Deferred Revenue'!$Q$6:$Q$607)</f>
        <v/>
      </c>
      <c r="E254" s="43">
        <f>C254+D254</f>
        <v/>
      </c>
      <c r="F254" s="50">
        <f>IF(ROUND(C254,2)+ROUND(D254,2)=0,"","yes")</f>
        <v/>
      </c>
      <c r="G254" s="61" t="n"/>
      <c r="H254" s="43">
        <f>IF($G254="","",$E254-$G254)</f>
        <v/>
      </c>
    </row>
    <row r="255">
      <c r="A255" s="60" t="inlineStr">
        <is>
          <t>26062201V</t>
        </is>
      </c>
      <c r="B255" s="60" t="inlineStr">
        <is>
          <t>PWC - Tax &amp; Legal Webcast 02.07.26</t>
        </is>
      </c>
      <c r="C255" s="43">
        <f>SUMIFS(tbl_WIP[Amount],tbl_WIP[Job Number],$A255,tbl_WIP[Month],"&lt;&gt;",tbl_WIP[Month],"&lt;"&amp;$C$4,tbl_WIP[Defer Start],"")+SUMIF('Deferred Revenue'!$E$6:$E$607,$A255,'Deferred Revenue'!$P$6:$P$607)</f>
        <v/>
      </c>
      <c r="D255" s="43">
        <f>SUMIFS(tbl_WIP[Amount],tbl_WIP[Job Number],$A255,tbl_WIP[Month],$C$4,tbl_WIP[Defer Start],"")+SUMIF('Deferred Revenue'!$E$6:$E$607,$A255,'Deferred Revenue'!$Q$6:$Q$607)</f>
        <v/>
      </c>
      <c r="E255" s="43">
        <f>C255+D255</f>
        <v/>
      </c>
      <c r="F255" s="50">
        <f>IF(ROUND(C255,2)+ROUND(D255,2)=0,"","yes")</f>
        <v/>
      </c>
      <c r="G255" s="61" t="n"/>
      <c r="H255" s="43">
        <f>IF($G255="","",$E255-$G255)</f>
        <v/>
      </c>
    </row>
    <row r="256">
      <c r="A256" s="60" t="inlineStr">
        <is>
          <t>26062202</t>
        </is>
      </c>
      <c r="B256" s="60" t="inlineStr">
        <is>
          <t>PWC - Early Careers Webcast - 29.7.26</t>
        </is>
      </c>
      <c r="C256" s="43">
        <f>SUMIFS(tbl_WIP[Amount],tbl_WIP[Job Number],$A256,tbl_WIP[Month],"&lt;&gt;",tbl_WIP[Month],"&lt;"&amp;$C$4,tbl_WIP[Defer Start],"")+SUMIF('Deferred Revenue'!$E$6:$E$607,$A256,'Deferred Revenue'!$P$6:$P$607)</f>
        <v/>
      </c>
      <c r="D256" s="43">
        <f>SUMIFS(tbl_WIP[Amount],tbl_WIP[Job Number],$A256,tbl_WIP[Month],$C$4,tbl_WIP[Defer Start],"")+SUMIF('Deferred Revenue'!$E$6:$E$607,$A256,'Deferred Revenue'!$Q$6:$Q$607)</f>
        <v/>
      </c>
      <c r="E256" s="43">
        <f>C256+D256</f>
        <v/>
      </c>
      <c r="F256" s="50">
        <f>IF(ROUND(C256,2)+ROUND(D256,2)=0,"","yes")</f>
        <v/>
      </c>
      <c r="G256" s="61" t="n"/>
      <c r="H256" s="43">
        <f>IF($G256="","",$E256-$G256)</f>
        <v/>
      </c>
    </row>
    <row r="257">
      <c r="A257" s="60" t="inlineStr">
        <is>
          <t>26062202V</t>
        </is>
      </c>
      <c r="B257" s="60" t="inlineStr">
        <is>
          <t>PWC - Early Careers Webcast - 29.7.26</t>
        </is>
      </c>
      <c r="C257" s="43">
        <f>SUMIFS(tbl_WIP[Amount],tbl_WIP[Job Number],$A257,tbl_WIP[Month],"&lt;&gt;",tbl_WIP[Month],"&lt;"&amp;$C$4,tbl_WIP[Defer Start],"")+SUMIF('Deferred Revenue'!$E$6:$E$607,$A257,'Deferred Revenue'!$P$6:$P$607)</f>
        <v/>
      </c>
      <c r="D257" s="43">
        <f>SUMIFS(tbl_WIP[Amount],tbl_WIP[Job Number],$A257,tbl_WIP[Month],$C$4,tbl_WIP[Defer Start],"")+SUMIF('Deferred Revenue'!$E$6:$E$607,$A257,'Deferred Revenue'!$Q$6:$Q$607)</f>
        <v/>
      </c>
      <c r="E257" s="43">
        <f>C257+D257</f>
        <v/>
      </c>
      <c r="F257" s="50">
        <f>IF(ROUND(C257,2)+ROUND(D257,2)=0,"","yes")</f>
        <v/>
      </c>
      <c r="G257" s="61" t="n"/>
      <c r="H257" s="43">
        <f>IF($G257="","",$E257-$G257)</f>
        <v/>
      </c>
    </row>
    <row r="258">
      <c r="A258" s="60" t="inlineStr">
        <is>
          <t>26062403</t>
        </is>
      </c>
      <c r="B258" s="60" t="inlineStr">
        <is>
          <t>CBA - CommBank Private Hosting 25.6.26</t>
        </is>
      </c>
      <c r="C258" s="43">
        <f>SUMIFS(tbl_WIP[Amount],tbl_WIP[Job Number],$A258,tbl_WIP[Month],"&lt;&gt;",tbl_WIP[Month],"&lt;"&amp;$C$4,tbl_WIP[Defer Start],"")+SUMIF('Deferred Revenue'!$E$6:$E$607,$A258,'Deferred Revenue'!$P$6:$P$607)</f>
        <v/>
      </c>
      <c r="D258" s="43">
        <f>SUMIFS(tbl_WIP[Amount],tbl_WIP[Job Number],$A258,tbl_WIP[Month],$C$4,tbl_WIP[Defer Start],"")+SUMIF('Deferred Revenue'!$E$6:$E$607,$A258,'Deferred Revenue'!$Q$6:$Q$607)</f>
        <v/>
      </c>
      <c r="E258" s="43">
        <f>C258+D258</f>
        <v/>
      </c>
      <c r="F258" s="50">
        <f>IF(ROUND(C258,2)+ROUND(D258,2)=0,"","yes")</f>
        <v/>
      </c>
      <c r="G258" s="61" t="n"/>
      <c r="H258" s="43">
        <f>IF($G258="","",$E258-$G258)</f>
        <v/>
      </c>
    </row>
    <row r="259">
      <c r="A259" s="60" t="inlineStr">
        <is>
          <t>26062403V</t>
        </is>
      </c>
      <c r="B259" s="60" t="inlineStr">
        <is>
          <t>CBA - CommBank Private Hosting 25.6.26</t>
        </is>
      </c>
      <c r="C259" s="43">
        <f>SUMIFS(tbl_WIP[Amount],tbl_WIP[Job Number],$A259,tbl_WIP[Month],"&lt;&gt;",tbl_WIP[Month],"&lt;"&amp;$C$4,tbl_WIP[Defer Start],"")+SUMIF('Deferred Revenue'!$E$6:$E$607,$A259,'Deferred Revenue'!$P$6:$P$607)</f>
        <v/>
      </c>
      <c r="D259" s="43">
        <f>SUMIFS(tbl_WIP[Amount],tbl_WIP[Job Number],$A259,tbl_WIP[Month],$C$4,tbl_WIP[Defer Start],"")+SUMIF('Deferred Revenue'!$E$6:$E$607,$A259,'Deferred Revenue'!$Q$6:$Q$607)</f>
        <v/>
      </c>
      <c r="E259" s="43">
        <f>C259+D259</f>
        <v/>
      </c>
      <c r="F259" s="50">
        <f>IF(ROUND(C259,2)+ROUND(D259,2)=0,"","yes")</f>
        <v/>
      </c>
      <c r="G259" s="61" t="n"/>
      <c r="H259" s="43">
        <f>IF($G259="","",$E259-$G259)</f>
        <v/>
      </c>
    </row>
    <row r="260">
      <c r="A260" s="60" t="inlineStr">
        <is>
          <t>26062501</t>
        </is>
      </c>
      <c r="B260" s="60" t="inlineStr">
        <is>
          <t>DTTL STL Travel (SYD-MEL Return)</t>
        </is>
      </c>
      <c r="C260" s="43">
        <f>SUMIFS(tbl_WIP[Amount],tbl_WIP[Job Number],$A260,tbl_WIP[Month],"&lt;&gt;",tbl_WIP[Month],"&lt;"&amp;$C$4,tbl_WIP[Defer Start],"")+SUMIF('Deferred Revenue'!$E$6:$E$607,$A260,'Deferred Revenue'!$P$6:$P$607)</f>
        <v/>
      </c>
      <c r="D260" s="43">
        <f>SUMIFS(tbl_WIP[Amount],tbl_WIP[Job Number],$A260,tbl_WIP[Month],$C$4,tbl_WIP[Defer Start],"")+SUMIF('Deferred Revenue'!$E$6:$E$607,$A260,'Deferred Revenue'!$Q$6:$Q$607)</f>
        <v/>
      </c>
      <c r="E260" s="43">
        <f>C260+D260</f>
        <v/>
      </c>
      <c r="F260" s="50">
        <f>IF(ROUND(C260,2)+ROUND(D260,2)=0,"","yes")</f>
        <v/>
      </c>
      <c r="G260" s="61" t="n"/>
      <c r="H260" s="43">
        <f>IF($G260="","",$E260-$G260)</f>
        <v/>
      </c>
    </row>
    <row r="261">
      <c r="A261" s="60" t="inlineStr">
        <is>
          <t>26062503</t>
        </is>
      </c>
      <c r="B261" s="60" t="inlineStr">
        <is>
          <t>Aware Super 24.16 UC Engine Replacement</t>
        </is>
      </c>
      <c r="C261" s="43">
        <f>SUMIFS(tbl_WIP[Amount],tbl_WIP[Job Number],$A261,tbl_WIP[Month],"&lt;&gt;",tbl_WIP[Month],"&lt;"&amp;$C$4,tbl_WIP[Defer Start],"")+SUMIF('Deferred Revenue'!$E$6:$E$607,$A261,'Deferred Revenue'!$P$6:$P$607)</f>
        <v/>
      </c>
      <c r="D261" s="43">
        <f>SUMIFS(tbl_WIP[Amount],tbl_WIP[Job Number],$A261,tbl_WIP[Month],$C$4,tbl_WIP[Defer Start],"")+SUMIF('Deferred Revenue'!$E$6:$E$607,$A261,'Deferred Revenue'!$Q$6:$Q$607)</f>
        <v/>
      </c>
      <c r="E261" s="43">
        <f>C261+D261</f>
        <v/>
      </c>
      <c r="F261" s="50">
        <f>IF(ROUND(C261,2)+ROUND(D261,2)=0,"","yes")</f>
        <v/>
      </c>
      <c r="G261" s="61" t="n"/>
      <c r="H261" s="43">
        <f>IF($G261="","",$E261-$G261)</f>
        <v/>
      </c>
    </row>
    <row r="262">
      <c r="A262" s="60" t="inlineStr">
        <is>
          <t>26062601</t>
        </is>
      </c>
      <c r="B262" s="60" t="inlineStr">
        <is>
          <t>Ventia - XELT Event - 29.6.26</t>
        </is>
      </c>
      <c r="C262" s="43">
        <f>SUMIFS(tbl_WIP[Amount],tbl_WIP[Job Number],$A262,tbl_WIP[Month],"&lt;&gt;",tbl_WIP[Month],"&lt;"&amp;$C$4,tbl_WIP[Defer Start],"")+SUMIF('Deferred Revenue'!$E$6:$E$607,$A262,'Deferred Revenue'!$P$6:$P$607)</f>
        <v/>
      </c>
      <c r="D262" s="43">
        <f>SUMIFS(tbl_WIP[Amount],tbl_WIP[Job Number],$A262,tbl_WIP[Month],$C$4,tbl_WIP[Defer Start],"")+SUMIF('Deferred Revenue'!$E$6:$E$607,$A262,'Deferred Revenue'!$Q$6:$Q$607)</f>
        <v/>
      </c>
      <c r="E262" s="43">
        <f>C262+D262</f>
        <v/>
      </c>
      <c r="F262" s="50">
        <f>IF(ROUND(C262,2)+ROUND(D262,2)=0,"","yes")</f>
        <v/>
      </c>
      <c r="G262" s="61" t="n"/>
      <c r="H262" s="43">
        <f>IF($G262="","",$E262-$G262)</f>
        <v/>
      </c>
    </row>
    <row r="263">
      <c r="A263" s="60" t="inlineStr">
        <is>
          <t>26062601V</t>
        </is>
      </c>
      <c r="B263" s="60" t="inlineStr">
        <is>
          <t>Ventia - XELT Event - 29.6.26</t>
        </is>
      </c>
      <c r="C263" s="43">
        <f>SUMIFS(tbl_WIP[Amount],tbl_WIP[Job Number],$A263,tbl_WIP[Month],"&lt;&gt;",tbl_WIP[Month],"&lt;"&amp;$C$4,tbl_WIP[Defer Start],"")+SUMIF('Deferred Revenue'!$E$6:$E$607,$A263,'Deferred Revenue'!$P$6:$P$607)</f>
        <v/>
      </c>
      <c r="D263" s="43">
        <f>SUMIFS(tbl_WIP[Amount],tbl_WIP[Job Number],$A263,tbl_WIP[Month],$C$4,tbl_WIP[Defer Start],"")+SUMIF('Deferred Revenue'!$E$6:$E$607,$A263,'Deferred Revenue'!$Q$6:$Q$607)</f>
        <v/>
      </c>
      <c r="E263" s="43">
        <f>C263+D263</f>
        <v/>
      </c>
      <c r="F263" s="50">
        <f>IF(ROUND(C263,2)+ROUND(D263,2)=0,"","yes")</f>
        <v/>
      </c>
      <c r="G263" s="61" t="n"/>
      <c r="H263" s="43">
        <f>IF($G263="","",$E263-$G263)</f>
        <v/>
      </c>
    </row>
    <row r="264">
      <c r="A264" s="60" t="inlineStr">
        <is>
          <t>26062901</t>
        </is>
      </c>
      <c r="B264" s="60" t="inlineStr">
        <is>
          <t>Aware | SYD 28.06 Services</t>
        </is>
      </c>
      <c r="C264" s="43">
        <f>SUMIFS(tbl_WIP[Amount],tbl_WIP[Job Number],$A264,tbl_WIP[Month],"&lt;&gt;",tbl_WIP[Month],"&lt;"&amp;$C$4,tbl_WIP[Defer Start],"")+SUMIF('Deferred Revenue'!$E$6:$E$607,$A264,'Deferred Revenue'!$P$6:$P$607)</f>
        <v/>
      </c>
      <c r="D264" s="43">
        <f>SUMIFS(tbl_WIP[Amount],tbl_WIP[Job Number],$A264,tbl_WIP[Month],$C$4,tbl_WIP[Defer Start],"")+SUMIF('Deferred Revenue'!$E$6:$E$607,$A264,'Deferred Revenue'!$Q$6:$Q$607)</f>
        <v/>
      </c>
      <c r="E264" s="43">
        <f>C264+D264</f>
        <v/>
      </c>
      <c r="F264" s="50">
        <f>IF(ROUND(C264,2)+ROUND(D264,2)=0,"","yes")</f>
        <v/>
      </c>
      <c r="G264" s="61" t="n"/>
      <c r="H264" s="43">
        <f>IF($G264="","",$E264-$G264)</f>
        <v/>
      </c>
    </row>
    <row r="265">
      <c r="A265" s="60" t="inlineStr">
        <is>
          <t>26062902</t>
        </is>
      </c>
      <c r="B265" s="60" t="inlineStr">
        <is>
          <t>Aware | SYD Occupancy Sensors</t>
        </is>
      </c>
      <c r="C265" s="43">
        <f>SUMIFS(tbl_WIP[Amount],tbl_WIP[Job Number],$A265,tbl_WIP[Month],"&lt;&gt;",tbl_WIP[Month],"&lt;"&amp;$C$4,tbl_WIP[Defer Start],"")+SUMIF('Deferred Revenue'!$E$6:$E$607,$A265,'Deferred Revenue'!$P$6:$P$607)</f>
        <v/>
      </c>
      <c r="D265" s="43">
        <f>SUMIFS(tbl_WIP[Amount],tbl_WIP[Job Number],$A265,tbl_WIP[Month],$C$4,tbl_WIP[Defer Start],"")+SUMIF('Deferred Revenue'!$E$6:$E$607,$A265,'Deferred Revenue'!$Q$6:$Q$607)</f>
        <v/>
      </c>
      <c r="E265" s="43">
        <f>C265+D265</f>
        <v/>
      </c>
      <c r="F265" s="50">
        <f>IF(ROUND(C265,2)+ROUND(D265,2)=0,"","yes")</f>
        <v/>
      </c>
      <c r="G265" s="61" t="n"/>
      <c r="H265" s="43">
        <f>IF($G265="","",$E265-$G265)</f>
        <v/>
      </c>
    </row>
    <row r="266">
      <c r="A266" s="60" t="inlineStr">
        <is>
          <t>26063002</t>
        </is>
      </c>
      <c r="B266" s="60" t="inlineStr">
        <is>
          <t>CEOi - CEO Connect - 11.8.26</t>
        </is>
      </c>
      <c r="C266" s="43">
        <f>SUMIFS(tbl_WIP[Amount],tbl_WIP[Job Number],$A266,tbl_WIP[Month],"&lt;&gt;",tbl_WIP[Month],"&lt;"&amp;$C$4,tbl_WIP[Defer Start],"")+SUMIF('Deferred Revenue'!$E$6:$E$607,$A266,'Deferred Revenue'!$P$6:$P$607)</f>
        <v/>
      </c>
      <c r="D266" s="43">
        <f>SUMIFS(tbl_WIP[Amount],tbl_WIP[Job Number],$A266,tbl_WIP[Month],$C$4,tbl_WIP[Defer Start],"")+SUMIF('Deferred Revenue'!$E$6:$E$607,$A266,'Deferred Revenue'!$Q$6:$Q$607)</f>
        <v/>
      </c>
      <c r="E266" s="43">
        <f>C266+D266</f>
        <v/>
      </c>
      <c r="F266" s="50">
        <f>IF(ROUND(C266,2)+ROUND(D266,2)=0,"","yes")</f>
        <v/>
      </c>
      <c r="G266" s="61" t="n"/>
      <c r="H266" s="43">
        <f>IF($G266="","",$E266-$G266)</f>
        <v/>
      </c>
    </row>
    <row r="267">
      <c r="A267" s="60" t="inlineStr">
        <is>
          <t>26063002V</t>
        </is>
      </c>
      <c r="B267" s="60" t="inlineStr">
        <is>
          <t>CEOi - CEO Connect - 11.8.26</t>
        </is>
      </c>
      <c r="C267" s="43">
        <f>SUMIFS(tbl_WIP[Amount],tbl_WIP[Job Number],$A267,tbl_WIP[Month],"&lt;&gt;",tbl_WIP[Month],"&lt;"&amp;$C$4,tbl_WIP[Defer Start],"")+SUMIF('Deferred Revenue'!$E$6:$E$607,$A267,'Deferred Revenue'!$P$6:$P$607)</f>
        <v/>
      </c>
      <c r="D267" s="43">
        <f>SUMIFS(tbl_WIP[Amount],tbl_WIP[Job Number],$A267,tbl_WIP[Month],$C$4,tbl_WIP[Defer Start],"")+SUMIF('Deferred Revenue'!$E$6:$E$607,$A267,'Deferred Revenue'!$Q$6:$Q$607)</f>
        <v/>
      </c>
      <c r="E267" s="43">
        <f>C267+D267</f>
        <v/>
      </c>
      <c r="F267" s="50">
        <f>IF(ROUND(C267,2)+ROUND(D267,2)=0,"","yes")</f>
        <v/>
      </c>
      <c r="G267" s="61" t="n"/>
      <c r="H267" s="43">
        <f>IF($G267="","",$E267-$G267)</f>
        <v/>
      </c>
    </row>
    <row r="268">
      <c r="A268" s="60" t="inlineStr">
        <is>
          <t>2606401V</t>
        </is>
      </c>
      <c r="B268" s="60" t="inlineStr">
        <is>
          <t>PWC - NRW Webcast - 11.6.26</t>
        </is>
      </c>
      <c r="C268" s="43">
        <f>SUMIFS(tbl_WIP[Amount],tbl_WIP[Job Number],$A268,tbl_WIP[Month],"&lt;&gt;",tbl_WIP[Month],"&lt;"&amp;$C$4,tbl_WIP[Defer Start],"")+SUMIF('Deferred Revenue'!$E$6:$E$607,$A268,'Deferred Revenue'!$P$6:$P$607)</f>
        <v/>
      </c>
      <c r="D268" s="43">
        <f>SUMIFS(tbl_WIP[Amount],tbl_WIP[Job Number],$A268,tbl_WIP[Month],$C$4,tbl_WIP[Defer Start],"")+SUMIF('Deferred Revenue'!$E$6:$E$607,$A268,'Deferred Revenue'!$Q$6:$Q$607)</f>
        <v/>
      </c>
      <c r="E268" s="43">
        <f>C268+D268</f>
        <v/>
      </c>
      <c r="F268" s="50">
        <f>IF(ROUND(C268,2)+ROUND(D268,2)=0,"","yes")</f>
        <v/>
      </c>
      <c r="G268" s="61" t="n"/>
      <c r="H268" s="43">
        <f>IF($G268="","",$E268-$G268)</f>
        <v/>
      </c>
    </row>
    <row r="269">
      <c r="A269" s="60" t="inlineStr">
        <is>
          <t>2606901</t>
        </is>
      </c>
      <c r="B269" s="60" t="inlineStr">
        <is>
          <t>PwC | Syd Studio Equipment</t>
        </is>
      </c>
      <c r="C269" s="43">
        <f>SUMIFS(tbl_WIP[Amount],tbl_WIP[Job Number],$A269,tbl_WIP[Month],"&lt;&gt;",tbl_WIP[Month],"&lt;"&amp;$C$4,tbl_WIP[Defer Start],"")+SUMIF('Deferred Revenue'!$E$6:$E$607,$A269,'Deferred Revenue'!$P$6:$P$607)</f>
        <v/>
      </c>
      <c r="D269" s="43">
        <f>SUMIFS(tbl_WIP[Amount],tbl_WIP[Job Number],$A269,tbl_WIP[Month],$C$4,tbl_WIP[Defer Start],"")+SUMIF('Deferred Revenue'!$E$6:$E$607,$A269,'Deferred Revenue'!$Q$6:$Q$607)</f>
        <v/>
      </c>
      <c r="E269" s="43">
        <f>C269+D269</f>
        <v/>
      </c>
      <c r="F269" s="50">
        <f>IF(ROUND(C269,2)+ROUND(D269,2)=0,"","yes")</f>
        <v/>
      </c>
      <c r="G269" s="61" t="n"/>
      <c r="H269" s="43">
        <f>IF($G269="","",$E269-$G269)</f>
        <v/>
      </c>
    </row>
    <row r="270">
      <c r="A270" s="60" t="inlineStr">
        <is>
          <t>2606902</t>
        </is>
      </c>
      <c r="B270" s="60" t="inlineStr">
        <is>
          <t>AVIT - Taronga AV Support - 9-11.6.26</t>
        </is>
      </c>
      <c r="C270" s="43">
        <f>SUMIFS(tbl_WIP[Amount],tbl_WIP[Job Number],$A270,tbl_WIP[Month],"&lt;&gt;",tbl_WIP[Month],"&lt;"&amp;$C$4,tbl_WIP[Defer Start],"")+SUMIF('Deferred Revenue'!$E$6:$E$607,$A270,'Deferred Revenue'!$P$6:$P$607)</f>
        <v/>
      </c>
      <c r="D270" s="43">
        <f>SUMIFS(tbl_WIP[Amount],tbl_WIP[Job Number],$A270,tbl_WIP[Month],$C$4,tbl_WIP[Defer Start],"")+SUMIF('Deferred Revenue'!$E$6:$E$607,$A270,'Deferred Revenue'!$Q$6:$Q$607)</f>
        <v/>
      </c>
      <c r="E270" s="43">
        <f>C270+D270</f>
        <v/>
      </c>
      <c r="F270" s="50">
        <f>IF(ROUND(C270,2)+ROUND(D270,2)=0,"","yes")</f>
        <v/>
      </c>
      <c r="G270" s="61" t="n"/>
      <c r="H270" s="43">
        <f>IF($G270="","",$E270-$G270)</f>
        <v/>
      </c>
    </row>
    <row r="271">
      <c r="A271" s="60" t="inlineStr">
        <is>
          <t>2606903</t>
        </is>
      </c>
      <c r="B271" s="60" t="inlineStr">
        <is>
          <t>Virgin FY26 Results</t>
        </is>
      </c>
      <c r="C271" s="43">
        <f>SUMIFS(tbl_WIP[Amount],tbl_WIP[Job Number],$A271,tbl_WIP[Month],"&lt;&gt;",tbl_WIP[Month],"&lt;"&amp;$C$4,tbl_WIP[Defer Start],"")+SUMIF('Deferred Revenue'!$E$6:$E$607,$A271,'Deferred Revenue'!$P$6:$P$607)</f>
        <v/>
      </c>
      <c r="D271" s="43">
        <f>SUMIFS(tbl_WIP[Amount],tbl_WIP[Job Number],$A271,tbl_WIP[Month],$C$4,tbl_WIP[Defer Start],"")+SUMIF('Deferred Revenue'!$E$6:$E$607,$A271,'Deferred Revenue'!$Q$6:$Q$607)</f>
        <v/>
      </c>
      <c r="E271" s="43">
        <f>C271+D271</f>
        <v/>
      </c>
      <c r="F271" s="50">
        <f>IF(ROUND(C271,2)+ROUND(D271,2)=0,"","yes")</f>
        <v/>
      </c>
      <c r="G271" s="61" t="n"/>
      <c r="H271" s="43">
        <f>IF($G271="","",$E271-$G271)</f>
        <v/>
      </c>
    </row>
    <row r="272">
      <c r="A272" s="60" t="inlineStr">
        <is>
          <t>2606903V</t>
        </is>
      </c>
      <c r="B272" s="60" t="inlineStr">
        <is>
          <t>Virgin FY26 Results</t>
        </is>
      </c>
      <c r="C272" s="43">
        <f>SUMIFS(tbl_WIP[Amount],tbl_WIP[Job Number],$A272,tbl_WIP[Month],"&lt;&gt;",tbl_WIP[Month],"&lt;"&amp;$C$4,tbl_WIP[Defer Start],"")+SUMIF('Deferred Revenue'!$E$6:$E$607,$A272,'Deferred Revenue'!$P$6:$P$607)</f>
        <v/>
      </c>
      <c r="D272" s="43">
        <f>SUMIFS(tbl_WIP[Amount],tbl_WIP[Job Number],$A272,tbl_WIP[Month],$C$4,tbl_WIP[Defer Start],"")+SUMIF('Deferred Revenue'!$E$6:$E$607,$A272,'Deferred Revenue'!$Q$6:$Q$607)</f>
        <v/>
      </c>
      <c r="E272" s="43">
        <f>C272+D272</f>
        <v/>
      </c>
      <c r="F272" s="50">
        <f>IF(ROUND(C272,2)+ROUND(D272,2)=0,"","yes")</f>
        <v/>
      </c>
      <c r="G272" s="61" t="n"/>
      <c r="H272" s="43">
        <f>IF($G272="","",$E272-$G272)</f>
        <v/>
      </c>
    </row>
    <row r="273">
      <c r="A273" s="60" t="inlineStr">
        <is>
          <t>2606904</t>
        </is>
      </c>
      <c r="B273" s="60" t="inlineStr">
        <is>
          <t>Symal - FYR26 (Melb) - 24.8.26</t>
        </is>
      </c>
      <c r="C273" s="43">
        <f>SUMIFS(tbl_WIP[Amount],tbl_WIP[Job Number],$A273,tbl_WIP[Month],"&lt;&gt;",tbl_WIP[Month],"&lt;"&amp;$C$4,tbl_WIP[Defer Start],"")+SUMIF('Deferred Revenue'!$E$6:$E$607,$A273,'Deferred Revenue'!$P$6:$P$607)</f>
        <v/>
      </c>
      <c r="D273" s="43">
        <f>SUMIFS(tbl_WIP[Amount],tbl_WIP[Job Number],$A273,tbl_WIP[Month],$C$4,tbl_WIP[Defer Start],"")+SUMIF('Deferred Revenue'!$E$6:$E$607,$A273,'Deferred Revenue'!$Q$6:$Q$607)</f>
        <v/>
      </c>
      <c r="E273" s="43">
        <f>C273+D273</f>
        <v/>
      </c>
      <c r="F273" s="50">
        <f>IF(ROUND(C273,2)+ROUND(D273,2)=0,"","yes")</f>
        <v/>
      </c>
      <c r="G273" s="61" t="n"/>
      <c r="H273" s="43">
        <f>IF($G273="","",$E273-$G273)</f>
        <v/>
      </c>
    </row>
    <row r="274">
      <c r="A274" s="60" t="inlineStr">
        <is>
          <t>2606904V</t>
        </is>
      </c>
      <c r="B274" s="60" t="inlineStr">
        <is>
          <t>Symal - FYR26 (Melb) - 24.8.26</t>
        </is>
      </c>
      <c r="C274" s="43">
        <f>SUMIFS(tbl_WIP[Amount],tbl_WIP[Job Number],$A274,tbl_WIP[Month],"&lt;&gt;",tbl_WIP[Month],"&lt;"&amp;$C$4,tbl_WIP[Defer Start],"")+SUMIF('Deferred Revenue'!$E$6:$E$607,$A274,'Deferred Revenue'!$P$6:$P$607)</f>
        <v/>
      </c>
      <c r="D274" s="43">
        <f>SUMIFS(tbl_WIP[Amount],tbl_WIP[Job Number],$A274,tbl_WIP[Month],$C$4,tbl_WIP[Defer Start],"")+SUMIF('Deferred Revenue'!$E$6:$E$607,$A274,'Deferred Revenue'!$Q$6:$Q$607)</f>
        <v/>
      </c>
      <c r="E274" s="43">
        <f>C274+D274</f>
        <v/>
      </c>
      <c r="F274" s="50">
        <f>IF(ROUND(C274,2)+ROUND(D274,2)=0,"","yes")</f>
        <v/>
      </c>
      <c r="G274" s="61" t="n"/>
      <c r="H274" s="43">
        <f>IF($G274="","",$E274-$G274)</f>
        <v/>
      </c>
    </row>
    <row r="275">
      <c r="A275" s="60" t="inlineStr">
        <is>
          <t>2606905</t>
        </is>
      </c>
      <c r="B275" s="60" t="inlineStr">
        <is>
          <t>Dimensional - Audio Tech Support - 22.6.26</t>
        </is>
      </c>
      <c r="C275" s="43">
        <f>SUMIFS(tbl_WIP[Amount],tbl_WIP[Job Number],$A275,tbl_WIP[Month],"&lt;&gt;",tbl_WIP[Month],"&lt;"&amp;$C$4,tbl_WIP[Defer Start],"")+SUMIF('Deferred Revenue'!$E$6:$E$607,$A275,'Deferred Revenue'!$P$6:$P$607)</f>
        <v/>
      </c>
      <c r="D275" s="43">
        <f>SUMIFS(tbl_WIP[Amount],tbl_WIP[Job Number],$A275,tbl_WIP[Month],$C$4,tbl_WIP[Defer Start],"")+SUMIF('Deferred Revenue'!$E$6:$E$607,$A275,'Deferred Revenue'!$Q$6:$Q$607)</f>
        <v/>
      </c>
      <c r="E275" s="43">
        <f>C275+D275</f>
        <v/>
      </c>
      <c r="F275" s="50">
        <f>IF(ROUND(C275,2)+ROUND(D275,2)=0,"","yes")</f>
        <v/>
      </c>
      <c r="G275" s="61" t="n"/>
      <c r="H275" s="43">
        <f>IF($G275="","",$E275-$G275)</f>
        <v/>
      </c>
    </row>
    <row r="276">
      <c r="A276" s="60" t="inlineStr">
        <is>
          <t>2606906</t>
        </is>
      </c>
      <c r="B276" s="60" t="inlineStr">
        <is>
          <t>St Catherines Case Study Video Non-Chrgable</t>
        </is>
      </c>
      <c r="C276" s="43">
        <f>SUMIFS(tbl_WIP[Amount],tbl_WIP[Job Number],$A276,tbl_WIP[Month],"&lt;&gt;",tbl_WIP[Month],"&lt;"&amp;$C$4,tbl_WIP[Defer Start],"")+SUMIF('Deferred Revenue'!$E$6:$E$607,$A276,'Deferred Revenue'!$P$6:$P$607)</f>
        <v/>
      </c>
      <c r="D276" s="43">
        <f>SUMIFS(tbl_WIP[Amount],tbl_WIP[Job Number],$A276,tbl_WIP[Month],$C$4,tbl_WIP[Defer Start],"")+SUMIF('Deferred Revenue'!$E$6:$E$607,$A276,'Deferred Revenue'!$Q$6:$Q$607)</f>
        <v/>
      </c>
      <c r="E276" s="43">
        <f>C276+D276</f>
        <v/>
      </c>
      <c r="F276" s="50">
        <f>IF(ROUND(C276,2)+ROUND(D276,2)=0,"","yes")</f>
        <v/>
      </c>
      <c r="G276" s="61" t="n"/>
      <c r="H276" s="43">
        <f>IF($G276="","",$E276-$G276)</f>
        <v/>
      </c>
    </row>
    <row r="277">
      <c r="A277" s="60" t="inlineStr">
        <is>
          <t>26071303</t>
        </is>
      </c>
      <c r="B277" s="60" t="inlineStr">
        <is>
          <t>Ventia - Melbourne Office Event - 30.7.26</t>
        </is>
      </c>
      <c r="C277" s="43">
        <f>SUMIFS(tbl_WIP[Amount],tbl_WIP[Job Number],$A277,tbl_WIP[Month],"&lt;&gt;",tbl_WIP[Month],"&lt;"&amp;$C$4,tbl_WIP[Defer Start],"")+SUMIF('Deferred Revenue'!$E$6:$E$607,$A277,'Deferred Revenue'!$P$6:$P$607)</f>
        <v/>
      </c>
      <c r="D277" s="43">
        <f>SUMIFS(tbl_WIP[Amount],tbl_WIP[Job Number],$A277,tbl_WIP[Month],$C$4,tbl_WIP[Defer Start],"")+SUMIF('Deferred Revenue'!$E$6:$E$607,$A277,'Deferred Revenue'!$Q$6:$Q$607)</f>
        <v/>
      </c>
      <c r="E277" s="43">
        <f>C277+D277</f>
        <v/>
      </c>
      <c r="F277" s="50">
        <f>IF(ROUND(C277,2)+ROUND(D277,2)=0,"","yes")</f>
        <v/>
      </c>
      <c r="G277" s="61" t="n"/>
      <c r="H277" s="43">
        <f>IF($G277="","",$E277-$G277)</f>
        <v/>
      </c>
    </row>
    <row r="278">
      <c r="A278" s="60" t="inlineStr">
        <is>
          <t>26071304</t>
        </is>
      </c>
      <c r="B278" s="60" t="inlineStr">
        <is>
          <t>YSG | Orange Room Upgrade</t>
        </is>
      </c>
      <c r="C278" s="43">
        <f>SUMIFS(tbl_WIP[Amount],tbl_WIP[Job Number],$A278,tbl_WIP[Month],"&lt;&gt;",tbl_WIP[Month],"&lt;"&amp;$C$4,tbl_WIP[Defer Start],"")+SUMIF('Deferred Revenue'!$E$6:$E$607,$A278,'Deferred Revenue'!$P$6:$P$607)</f>
        <v/>
      </c>
      <c r="D278" s="43">
        <f>SUMIFS(tbl_WIP[Amount],tbl_WIP[Job Number],$A278,tbl_WIP[Month],$C$4,tbl_WIP[Defer Start],"")+SUMIF('Deferred Revenue'!$E$6:$E$607,$A278,'Deferred Revenue'!$Q$6:$Q$607)</f>
        <v/>
      </c>
      <c r="E278" s="43">
        <f>C278+D278</f>
        <v/>
      </c>
      <c r="F278" s="50">
        <f>IF(ROUND(C278,2)+ROUND(D278,2)=0,"","yes")</f>
        <v/>
      </c>
      <c r="G278" s="61" t="n"/>
      <c r="H278" s="43">
        <f>IF($G278="","",$E278-$G278)</f>
        <v/>
      </c>
    </row>
    <row r="279">
      <c r="A279" s="60" t="inlineStr">
        <is>
          <t>26071403</t>
        </is>
      </c>
      <c r="B279" s="60" t="inlineStr">
        <is>
          <t>Elkiem - Studio Support - 4.11.26</t>
        </is>
      </c>
      <c r="C279" s="43">
        <f>SUMIFS(tbl_WIP[Amount],tbl_WIP[Job Number],$A279,tbl_WIP[Month],"&lt;&gt;",tbl_WIP[Month],"&lt;"&amp;$C$4,tbl_WIP[Defer Start],"")+SUMIF('Deferred Revenue'!$E$6:$E$607,$A279,'Deferred Revenue'!$P$6:$P$607)</f>
        <v/>
      </c>
      <c r="D279" s="43">
        <f>SUMIFS(tbl_WIP[Amount],tbl_WIP[Job Number],$A279,tbl_WIP[Month],$C$4,tbl_WIP[Defer Start],"")+SUMIF('Deferred Revenue'!$E$6:$E$607,$A279,'Deferred Revenue'!$Q$6:$Q$607)</f>
        <v/>
      </c>
      <c r="E279" s="43">
        <f>C279+D279</f>
        <v/>
      </c>
      <c r="F279" s="50">
        <f>IF(ROUND(C279,2)+ROUND(D279,2)=0,"","yes")</f>
        <v/>
      </c>
      <c r="G279" s="61" t="n"/>
      <c r="H279" s="43">
        <f>IF($G279="","",$E279-$G279)</f>
        <v/>
      </c>
    </row>
    <row r="280">
      <c r="A280" s="60" t="inlineStr">
        <is>
          <t>26071404</t>
        </is>
      </c>
      <c r="B280" s="60" t="inlineStr">
        <is>
          <t>Elkiem - Studio Support - 9.12.26</t>
        </is>
      </c>
      <c r="C280" s="43">
        <f>SUMIFS(tbl_WIP[Amount],tbl_WIP[Job Number],$A280,tbl_WIP[Month],"&lt;&gt;",tbl_WIP[Month],"&lt;"&amp;$C$4,tbl_WIP[Defer Start],"")+SUMIF('Deferred Revenue'!$E$6:$E$607,$A280,'Deferred Revenue'!$P$6:$P$607)</f>
        <v/>
      </c>
      <c r="D280" s="43">
        <f>SUMIFS(tbl_WIP[Amount],tbl_WIP[Job Number],$A280,tbl_WIP[Month],$C$4,tbl_WIP[Defer Start],"")+SUMIF('Deferred Revenue'!$E$6:$E$607,$A280,'Deferred Revenue'!$Q$6:$Q$607)</f>
        <v/>
      </c>
      <c r="E280" s="43">
        <f>C280+D280</f>
        <v/>
      </c>
      <c r="F280" s="50">
        <f>IF(ROUND(C280,2)+ROUND(D280,2)=0,"","yes")</f>
        <v/>
      </c>
      <c r="G280" s="61" t="n"/>
      <c r="H280" s="43">
        <f>IF($G280="","",$E280-$G280)</f>
        <v/>
      </c>
    </row>
    <row r="281">
      <c r="A281" s="60" t="inlineStr">
        <is>
          <t>26071405</t>
        </is>
      </c>
      <c r="B281" s="60" t="inlineStr">
        <is>
          <t>PWC - Event Technician - 29.7.26</t>
        </is>
      </c>
      <c r="C281" s="43">
        <f>SUMIFS(tbl_WIP[Amount],tbl_WIP[Job Number],$A281,tbl_WIP[Month],"&lt;&gt;",tbl_WIP[Month],"&lt;"&amp;$C$4,tbl_WIP[Defer Start],"")+SUMIF('Deferred Revenue'!$E$6:$E$607,$A281,'Deferred Revenue'!$P$6:$P$607)</f>
        <v/>
      </c>
      <c r="D281" s="43">
        <f>SUMIFS(tbl_WIP[Amount],tbl_WIP[Job Number],$A281,tbl_WIP[Month],$C$4,tbl_WIP[Defer Start],"")+SUMIF('Deferred Revenue'!$E$6:$E$607,$A281,'Deferred Revenue'!$Q$6:$Q$607)</f>
        <v/>
      </c>
      <c r="E281" s="43">
        <f>C281+D281</f>
        <v/>
      </c>
      <c r="F281" s="50">
        <f>IF(ROUND(C281,2)+ROUND(D281,2)=0,"","yes")</f>
        <v/>
      </c>
      <c r="G281" s="61" t="n"/>
      <c r="H281" s="43">
        <f>IF($G281="","",$E281-$G281)</f>
        <v/>
      </c>
    </row>
    <row r="282">
      <c r="A282" s="60" t="inlineStr">
        <is>
          <t>26071501</t>
        </is>
      </c>
      <c r="B282" s="60" t="inlineStr">
        <is>
          <t>Ventia - Half Year Results Briefing - 24.8.26</t>
        </is>
      </c>
      <c r="C282" s="43">
        <f>SUMIFS(tbl_WIP[Amount],tbl_WIP[Job Number],$A282,tbl_WIP[Month],"&lt;&gt;",tbl_WIP[Month],"&lt;"&amp;$C$4,tbl_WIP[Defer Start],"")+SUMIF('Deferred Revenue'!$E$6:$E$607,$A282,'Deferred Revenue'!$P$6:$P$607)</f>
        <v/>
      </c>
      <c r="D282" s="43">
        <f>SUMIFS(tbl_WIP[Amount],tbl_WIP[Job Number],$A282,tbl_WIP[Month],$C$4,tbl_WIP[Defer Start],"")+SUMIF('Deferred Revenue'!$E$6:$E$607,$A282,'Deferred Revenue'!$Q$6:$Q$607)</f>
        <v/>
      </c>
      <c r="E282" s="43">
        <f>C282+D282</f>
        <v/>
      </c>
      <c r="F282" s="50">
        <f>IF(ROUND(C282,2)+ROUND(D282,2)=0,"","yes")</f>
        <v/>
      </c>
      <c r="G282" s="61" t="n"/>
      <c r="H282" s="43">
        <f>IF($G282="","",$E282-$G282)</f>
        <v/>
      </c>
    </row>
    <row r="283">
      <c r="A283" s="60" t="inlineStr">
        <is>
          <t>26071501V</t>
        </is>
      </c>
      <c r="B283" s="60" t="inlineStr">
        <is>
          <t>Ventia - Half Year Results Briefing - 24.8.26</t>
        </is>
      </c>
      <c r="C283" s="43">
        <f>SUMIFS(tbl_WIP[Amount],tbl_WIP[Job Number],$A283,tbl_WIP[Month],"&lt;&gt;",tbl_WIP[Month],"&lt;"&amp;$C$4,tbl_WIP[Defer Start],"")+SUMIF('Deferred Revenue'!$E$6:$E$607,$A283,'Deferred Revenue'!$P$6:$P$607)</f>
        <v/>
      </c>
      <c r="D283" s="43">
        <f>SUMIFS(tbl_WIP[Amount],tbl_WIP[Job Number],$A283,tbl_WIP[Month],$C$4,tbl_WIP[Defer Start],"")+SUMIF('Deferred Revenue'!$E$6:$E$607,$A283,'Deferred Revenue'!$Q$6:$Q$607)</f>
        <v/>
      </c>
      <c r="E283" s="43">
        <f>C283+D283</f>
        <v/>
      </c>
      <c r="F283" s="50">
        <f>IF(ROUND(C283,2)+ROUND(D283,2)=0,"","yes")</f>
        <v/>
      </c>
      <c r="G283" s="61" t="n"/>
      <c r="H283" s="43">
        <f>IF($G283="","",$E283-$G283)</f>
        <v/>
      </c>
    </row>
    <row r="284">
      <c r="A284" s="60" t="inlineStr">
        <is>
          <t>26071601</t>
        </is>
      </c>
      <c r="B284" s="60" t="inlineStr">
        <is>
          <t>Aware | PER | Barry Marshall and Albany Rooms BYOD USB-C Replcmnt</t>
        </is>
      </c>
      <c r="C284" s="43">
        <f>SUMIFS(tbl_WIP[Amount],tbl_WIP[Job Number],$A284,tbl_WIP[Month],"&lt;&gt;",tbl_WIP[Month],"&lt;"&amp;$C$4,tbl_WIP[Defer Start],"")+SUMIF('Deferred Revenue'!$E$6:$E$607,$A284,'Deferred Revenue'!$P$6:$P$607)</f>
        <v/>
      </c>
      <c r="D284" s="43">
        <f>SUMIFS(tbl_WIP[Amount],tbl_WIP[Job Number],$A284,tbl_WIP[Month],$C$4,tbl_WIP[Defer Start],"")+SUMIF('Deferred Revenue'!$E$6:$E$607,$A284,'Deferred Revenue'!$Q$6:$Q$607)</f>
        <v/>
      </c>
      <c r="E284" s="43">
        <f>C284+D284</f>
        <v/>
      </c>
      <c r="F284" s="50">
        <f>IF(ROUND(C284,2)+ROUND(D284,2)=0,"","yes")</f>
        <v/>
      </c>
      <c r="G284" s="61" t="n"/>
      <c r="H284" s="43">
        <f>IF($G284="","",$E284-$G284)</f>
        <v/>
      </c>
    </row>
    <row r="285">
      <c r="A285" s="60" t="inlineStr">
        <is>
          <t>26071701</t>
        </is>
      </c>
      <c r="B285" s="60" t="inlineStr">
        <is>
          <t>ASX Live - 9.9.26</t>
        </is>
      </c>
      <c r="C285" s="43">
        <f>SUMIFS(tbl_WIP[Amount],tbl_WIP[Job Number],$A285,tbl_WIP[Month],"&lt;&gt;",tbl_WIP[Month],"&lt;"&amp;$C$4,tbl_WIP[Defer Start],"")+SUMIF('Deferred Revenue'!$E$6:$E$607,$A285,'Deferred Revenue'!$P$6:$P$607)</f>
        <v/>
      </c>
      <c r="D285" s="43">
        <f>SUMIFS(tbl_WIP[Amount],tbl_WIP[Job Number],$A285,tbl_WIP[Month],$C$4,tbl_WIP[Defer Start],"")+SUMIF('Deferred Revenue'!$E$6:$E$607,$A285,'Deferred Revenue'!$Q$6:$Q$607)</f>
        <v/>
      </c>
      <c r="E285" s="43">
        <f>C285+D285</f>
        <v/>
      </c>
      <c r="F285" s="50">
        <f>IF(ROUND(C285,2)+ROUND(D285,2)=0,"","yes")</f>
        <v/>
      </c>
      <c r="G285" s="61" t="n"/>
      <c r="H285" s="43">
        <f>IF($G285="","",$E285-$G285)</f>
        <v/>
      </c>
    </row>
    <row r="286">
      <c r="A286" s="60" t="inlineStr">
        <is>
          <t>26071701V</t>
        </is>
      </c>
      <c r="B286" s="60" t="inlineStr">
        <is>
          <t>ASX Live - 9.9.26</t>
        </is>
      </c>
      <c r="C286" s="43">
        <f>SUMIFS(tbl_WIP[Amount],tbl_WIP[Job Number],$A286,tbl_WIP[Month],"&lt;&gt;",tbl_WIP[Month],"&lt;"&amp;$C$4,tbl_WIP[Defer Start],"")+SUMIF('Deferred Revenue'!$E$6:$E$607,$A286,'Deferred Revenue'!$P$6:$P$607)</f>
        <v/>
      </c>
      <c r="D286" s="43">
        <f>SUMIFS(tbl_WIP[Amount],tbl_WIP[Job Number],$A286,tbl_WIP[Month],$C$4,tbl_WIP[Defer Start],"")+SUMIF('Deferred Revenue'!$E$6:$E$607,$A286,'Deferred Revenue'!$Q$6:$Q$607)</f>
        <v/>
      </c>
      <c r="E286" s="43">
        <f>C286+D286</f>
        <v/>
      </c>
      <c r="F286" s="50">
        <f>IF(ROUND(C286,2)+ROUND(D286,2)=0,"","yes")</f>
        <v/>
      </c>
      <c r="G286" s="61" t="n"/>
      <c r="H286" s="43">
        <f>IF($G286="","",$E286-$G286)</f>
        <v/>
      </c>
    </row>
    <row r="287">
      <c r="A287" s="60" t="inlineStr">
        <is>
          <t>26071901</t>
        </is>
      </c>
      <c r="B287" s="60" t="inlineStr">
        <is>
          <t>Elkiem - Studio Support - 11.8.26</t>
        </is>
      </c>
      <c r="C287" s="43">
        <f>SUMIFS(tbl_WIP[Amount],tbl_WIP[Job Number],$A287,tbl_WIP[Month],"&lt;&gt;",tbl_WIP[Month],"&lt;"&amp;$C$4,tbl_WIP[Defer Start],"")+SUMIF('Deferred Revenue'!$E$6:$E$607,$A287,'Deferred Revenue'!$P$6:$P$607)</f>
        <v/>
      </c>
      <c r="D287" s="43">
        <f>SUMIFS(tbl_WIP[Amount],tbl_WIP[Job Number],$A287,tbl_WIP[Month],$C$4,tbl_WIP[Defer Start],"")+SUMIF('Deferred Revenue'!$E$6:$E$607,$A287,'Deferred Revenue'!$Q$6:$Q$607)</f>
        <v/>
      </c>
      <c r="E287" s="43">
        <f>C287+D287</f>
        <v/>
      </c>
      <c r="F287" s="50">
        <f>IF(ROUND(C287,2)+ROUND(D287,2)=0,"","yes")</f>
        <v/>
      </c>
      <c r="G287" s="61" t="n"/>
      <c r="H287" s="43">
        <f>IF($G287="","",$E287-$G287)</f>
        <v/>
      </c>
    </row>
    <row r="288">
      <c r="A288" s="60" t="inlineStr">
        <is>
          <t>26072003</t>
        </is>
      </c>
      <c r="B288" s="60" t="inlineStr">
        <is>
          <t>CBA Live Event Support August 2026</t>
        </is>
      </c>
      <c r="C288" s="43">
        <f>SUMIFS(tbl_WIP[Amount],tbl_WIP[Job Number],$A288,tbl_WIP[Month],"&lt;&gt;",tbl_WIP[Month],"&lt;"&amp;$C$4,tbl_WIP[Defer Start],"")+SUMIF('Deferred Revenue'!$E$6:$E$607,$A288,'Deferred Revenue'!$P$6:$P$607)</f>
        <v/>
      </c>
      <c r="D288" s="43">
        <f>SUMIFS(tbl_WIP[Amount],tbl_WIP[Job Number],$A288,tbl_WIP[Month],$C$4,tbl_WIP[Defer Start],"")+SUMIF('Deferred Revenue'!$E$6:$E$607,$A288,'Deferred Revenue'!$Q$6:$Q$607)</f>
        <v/>
      </c>
      <c r="E288" s="43">
        <f>C288+D288</f>
        <v/>
      </c>
      <c r="F288" s="50">
        <f>IF(ROUND(C288,2)+ROUND(D288,2)=0,"","yes")</f>
        <v/>
      </c>
      <c r="G288" s="61" t="n"/>
      <c r="H288" s="43">
        <f>IF($G288="","",$E288-$G288)</f>
        <v/>
      </c>
    </row>
    <row r="289">
      <c r="A289" s="60" t="inlineStr">
        <is>
          <t>26072101</t>
        </is>
      </c>
      <c r="B289" s="60" t="inlineStr">
        <is>
          <t>Aware MEL 17.02 Amp Replacement</t>
        </is>
      </c>
      <c r="C289" s="43">
        <f>SUMIFS(tbl_WIP[Amount],tbl_WIP[Job Number],$A289,tbl_WIP[Month],"&lt;&gt;",tbl_WIP[Month],"&lt;"&amp;$C$4,tbl_WIP[Defer Start],"")+SUMIF('Deferred Revenue'!$E$6:$E$607,$A289,'Deferred Revenue'!$P$6:$P$607)</f>
        <v/>
      </c>
      <c r="D289" s="43">
        <f>SUMIFS(tbl_WIP[Amount],tbl_WIP[Job Number],$A289,tbl_WIP[Month],$C$4,tbl_WIP[Defer Start],"")+SUMIF('Deferred Revenue'!$E$6:$E$607,$A289,'Deferred Revenue'!$Q$6:$Q$607)</f>
        <v/>
      </c>
      <c r="E289" s="43">
        <f>C289+D289</f>
        <v/>
      </c>
      <c r="F289" s="50">
        <f>IF(ROUND(C289,2)+ROUND(D289,2)=0,"","yes")</f>
        <v/>
      </c>
      <c r="G289" s="61" t="n"/>
      <c r="H289" s="43">
        <f>IF($G289="","",$E289-$G289)</f>
        <v/>
      </c>
    </row>
    <row r="290">
      <c r="A290" s="60" t="inlineStr">
        <is>
          <t>26072101</t>
        </is>
      </c>
      <c r="B290" s="60" t="inlineStr">
        <is>
          <t>Aware_Mel 17.02 Amp Replacement</t>
        </is>
      </c>
      <c r="C290" s="43">
        <f>SUMIFS(tbl_WIP[Amount],tbl_WIP[Job Number],$A290,tbl_WIP[Month],"&lt;&gt;",tbl_WIP[Month],"&lt;"&amp;$C$4,tbl_WIP[Defer Start],"")+SUMIF('Deferred Revenue'!$E$6:$E$607,$A290,'Deferred Revenue'!$P$6:$P$607)</f>
        <v/>
      </c>
      <c r="D290" s="43">
        <f>SUMIFS(tbl_WIP[Amount],tbl_WIP[Job Number],$A290,tbl_WIP[Month],$C$4,tbl_WIP[Defer Start],"")+SUMIF('Deferred Revenue'!$E$6:$E$607,$A290,'Deferred Revenue'!$Q$6:$Q$607)</f>
        <v/>
      </c>
      <c r="E290" s="43">
        <f>C290+D290</f>
        <v/>
      </c>
      <c r="F290" s="50">
        <f>IF(ROUND(C290,2)+ROUND(D290,2)=0,"","yes")</f>
        <v/>
      </c>
      <c r="G290" s="61" t="n"/>
      <c r="H290" s="43">
        <f>IF($G290="","",$E290-$G290)</f>
        <v/>
      </c>
    </row>
    <row r="291">
      <c r="A291" s="60" t="inlineStr">
        <is>
          <t>26072102</t>
        </is>
      </c>
      <c r="B291" s="60" t="inlineStr">
        <is>
          <t>Ventia - RUOK? Day - 10.09.2026</t>
        </is>
      </c>
      <c r="C291" s="43">
        <f>SUMIFS(tbl_WIP[Amount],tbl_WIP[Job Number],$A291,tbl_WIP[Month],"&lt;&gt;",tbl_WIP[Month],"&lt;"&amp;$C$4,tbl_WIP[Defer Start],"")+SUMIF('Deferred Revenue'!$E$6:$E$607,$A291,'Deferred Revenue'!$P$6:$P$607)</f>
        <v/>
      </c>
      <c r="D291" s="43">
        <f>SUMIFS(tbl_WIP[Amount],tbl_WIP[Job Number],$A291,tbl_WIP[Month],$C$4,tbl_WIP[Defer Start],"")+SUMIF('Deferred Revenue'!$E$6:$E$607,$A291,'Deferred Revenue'!$Q$6:$Q$607)</f>
        <v/>
      </c>
      <c r="E291" s="43">
        <f>C291+D291</f>
        <v/>
      </c>
      <c r="F291" s="50">
        <f>IF(ROUND(C291,2)+ROUND(D291,2)=0,"","yes")</f>
        <v/>
      </c>
      <c r="G291" s="61" t="n"/>
      <c r="H291" s="43">
        <f>IF($G291="","",$E291-$G291)</f>
        <v/>
      </c>
    </row>
    <row r="292">
      <c r="A292" s="60" t="inlineStr">
        <is>
          <t>26072102V</t>
        </is>
      </c>
      <c r="B292" s="60" t="inlineStr">
        <is>
          <t>Ventia - RUOK? Day - 10.09.2026</t>
        </is>
      </c>
      <c r="C292" s="43">
        <f>SUMIFS(tbl_WIP[Amount],tbl_WIP[Job Number],$A292,tbl_WIP[Month],"&lt;&gt;",tbl_WIP[Month],"&lt;"&amp;$C$4,tbl_WIP[Defer Start],"")+SUMIF('Deferred Revenue'!$E$6:$E$607,$A292,'Deferred Revenue'!$P$6:$P$607)</f>
        <v/>
      </c>
      <c r="D292" s="43">
        <f>SUMIFS(tbl_WIP[Amount],tbl_WIP[Job Number],$A292,tbl_WIP[Month],$C$4,tbl_WIP[Defer Start],"")+SUMIF('Deferred Revenue'!$E$6:$E$607,$A292,'Deferred Revenue'!$Q$6:$Q$607)</f>
        <v/>
      </c>
      <c r="E292" s="43">
        <f>C292+D292</f>
        <v/>
      </c>
      <c r="F292" s="50">
        <f>IF(ROUND(C292,2)+ROUND(D292,2)=0,"","yes")</f>
        <v/>
      </c>
      <c r="G292" s="61" t="n"/>
      <c r="H292" s="43">
        <f>IF($G292="","",$E292-$G292)</f>
        <v/>
      </c>
    </row>
    <row r="293">
      <c r="A293" s="60" t="inlineStr">
        <is>
          <t>26072802</t>
        </is>
      </c>
      <c r="B293" s="60" t="inlineStr">
        <is>
          <t>ON24 KWM Sydney Event - 18.08.2026</t>
        </is>
      </c>
      <c r="C293" s="43">
        <f>SUMIFS(tbl_WIP[Amount],tbl_WIP[Job Number],$A293,tbl_WIP[Month],"&lt;&gt;",tbl_WIP[Month],"&lt;"&amp;$C$4,tbl_WIP[Defer Start],"")+SUMIF('Deferred Revenue'!$E$6:$E$607,$A293,'Deferred Revenue'!$P$6:$P$607)</f>
        <v/>
      </c>
      <c r="D293" s="43">
        <f>SUMIFS(tbl_WIP[Amount],tbl_WIP[Job Number],$A293,tbl_WIP[Month],$C$4,tbl_WIP[Defer Start],"")+SUMIF('Deferred Revenue'!$E$6:$E$607,$A293,'Deferred Revenue'!$Q$6:$Q$607)</f>
        <v/>
      </c>
      <c r="E293" s="43">
        <f>C293+D293</f>
        <v/>
      </c>
      <c r="F293" s="50">
        <f>IF(ROUND(C293,2)+ROUND(D293,2)=0,"","yes")</f>
        <v/>
      </c>
      <c r="G293" s="61" t="n"/>
      <c r="H293" s="43">
        <f>IF($G293="","",$E293-$G293)</f>
        <v/>
      </c>
    </row>
    <row r="294">
      <c r="A294" s="60" t="inlineStr">
        <is>
          <t>26072802V</t>
        </is>
      </c>
      <c r="B294" s="60" t="inlineStr">
        <is>
          <t>ON24 KWM Sydney Event - 18.08.2026</t>
        </is>
      </c>
      <c r="C294" s="43">
        <f>SUMIFS(tbl_WIP[Amount],tbl_WIP[Job Number],$A294,tbl_WIP[Month],"&lt;&gt;",tbl_WIP[Month],"&lt;"&amp;$C$4,tbl_WIP[Defer Start],"")+SUMIF('Deferred Revenue'!$E$6:$E$607,$A294,'Deferred Revenue'!$P$6:$P$607)</f>
        <v/>
      </c>
      <c r="D294" s="43">
        <f>SUMIFS(tbl_WIP[Amount],tbl_WIP[Job Number],$A294,tbl_WIP[Month],$C$4,tbl_WIP[Defer Start],"")+SUMIF('Deferred Revenue'!$E$6:$E$607,$A294,'Deferred Revenue'!$Q$6:$Q$607)</f>
        <v/>
      </c>
      <c r="E294" s="43">
        <f>C294+D294</f>
        <v/>
      </c>
      <c r="F294" s="50">
        <f>IF(ROUND(C294,2)+ROUND(D294,2)=0,"","yes")</f>
        <v/>
      </c>
      <c r="G294" s="61" t="n"/>
      <c r="H294" s="43">
        <f>IF($G294="","",$E294-$G294)</f>
        <v/>
      </c>
    </row>
    <row r="295">
      <c r="A295" s="60" t="inlineStr">
        <is>
          <t>26072902</t>
        </is>
      </c>
      <c r="B295" s="60" t="inlineStr">
        <is>
          <t>PWC AI Townhall 6.8.26</t>
        </is>
      </c>
      <c r="C295" s="43">
        <f>SUMIFS(tbl_WIP[Amount],tbl_WIP[Job Number],$A295,tbl_WIP[Month],"&lt;&gt;",tbl_WIP[Month],"&lt;"&amp;$C$4,tbl_WIP[Defer Start],"")+SUMIF('Deferred Revenue'!$E$6:$E$607,$A295,'Deferred Revenue'!$P$6:$P$607)</f>
        <v/>
      </c>
      <c r="D295" s="43">
        <f>SUMIFS(tbl_WIP[Amount],tbl_WIP[Job Number],$A295,tbl_WIP[Month],$C$4,tbl_WIP[Defer Start],"")+SUMIF('Deferred Revenue'!$E$6:$E$607,$A295,'Deferred Revenue'!$Q$6:$Q$607)</f>
        <v/>
      </c>
      <c r="E295" s="43">
        <f>C295+D295</f>
        <v/>
      </c>
      <c r="F295" s="50">
        <f>IF(ROUND(C295,2)+ROUND(D295,2)=0,"","yes")</f>
        <v/>
      </c>
      <c r="G295" s="61" t="n"/>
      <c r="H295" s="43">
        <f>IF($G295="","",$E295-$G295)</f>
        <v/>
      </c>
    </row>
    <row r="296">
      <c r="A296" s="60" t="inlineStr">
        <is>
          <t>26072902V</t>
        </is>
      </c>
      <c r="B296" s="60" t="inlineStr">
        <is>
          <t>PWC AI Townhall 6.8.26</t>
        </is>
      </c>
      <c r="C296" s="43">
        <f>SUMIFS(tbl_WIP[Amount],tbl_WIP[Job Number],$A296,tbl_WIP[Month],"&lt;&gt;",tbl_WIP[Month],"&lt;"&amp;$C$4,tbl_WIP[Defer Start],"")+SUMIF('Deferred Revenue'!$E$6:$E$607,$A296,'Deferred Revenue'!$P$6:$P$607)</f>
        <v/>
      </c>
      <c r="D296" s="43">
        <f>SUMIFS(tbl_WIP[Amount],tbl_WIP[Job Number],$A296,tbl_WIP[Month],$C$4,tbl_WIP[Defer Start],"")+SUMIF('Deferred Revenue'!$E$6:$E$607,$A296,'Deferred Revenue'!$Q$6:$Q$607)</f>
        <v/>
      </c>
      <c r="E296" s="43">
        <f>C296+D296</f>
        <v/>
      </c>
      <c r="F296" s="50">
        <f>IF(ROUND(C296,2)+ROUND(D296,2)=0,"","yes")</f>
        <v/>
      </c>
      <c r="G296" s="61" t="n"/>
      <c r="H296" s="43">
        <f>IF($G296="","",$E296-$G296)</f>
        <v/>
      </c>
    </row>
    <row r="297">
      <c r="A297" s="60" t="inlineStr">
        <is>
          <t>26072903</t>
        </is>
      </c>
      <c r="B297" s="60" t="inlineStr">
        <is>
          <t>PWC - GB Webcast - 11.8.26</t>
        </is>
      </c>
      <c r="C297" s="43">
        <f>SUMIFS(tbl_WIP[Amount],tbl_WIP[Job Number],$A297,tbl_WIP[Month],"&lt;&gt;",tbl_WIP[Month],"&lt;"&amp;$C$4,tbl_WIP[Defer Start],"")+SUMIF('Deferred Revenue'!$E$6:$E$607,$A297,'Deferred Revenue'!$P$6:$P$607)</f>
        <v/>
      </c>
      <c r="D297" s="43">
        <f>SUMIFS(tbl_WIP[Amount],tbl_WIP[Job Number],$A297,tbl_WIP[Month],$C$4,tbl_WIP[Defer Start],"")+SUMIF('Deferred Revenue'!$E$6:$E$607,$A297,'Deferred Revenue'!$Q$6:$Q$607)</f>
        <v/>
      </c>
      <c r="E297" s="43">
        <f>C297+D297</f>
        <v/>
      </c>
      <c r="F297" s="50">
        <f>IF(ROUND(C297,2)+ROUND(D297,2)=0,"","yes")</f>
        <v/>
      </c>
      <c r="G297" s="61" t="n"/>
      <c r="H297" s="43">
        <f>IF($G297="","",$E297-$G297)</f>
        <v/>
      </c>
    </row>
    <row r="298">
      <c r="A298" s="60" t="inlineStr">
        <is>
          <t>26072903V</t>
        </is>
      </c>
      <c r="B298" s="60" t="inlineStr">
        <is>
          <t>PWC - GB Webcast - 11.8.26</t>
        </is>
      </c>
      <c r="C298" s="43">
        <f>SUMIFS(tbl_WIP[Amount],tbl_WIP[Job Number],$A298,tbl_WIP[Month],"&lt;&gt;",tbl_WIP[Month],"&lt;"&amp;$C$4,tbl_WIP[Defer Start],"")+SUMIF('Deferred Revenue'!$E$6:$E$607,$A298,'Deferred Revenue'!$P$6:$P$607)</f>
        <v/>
      </c>
      <c r="D298" s="43">
        <f>SUMIFS(tbl_WIP[Amount],tbl_WIP[Job Number],$A298,tbl_WIP[Month],$C$4,tbl_WIP[Defer Start],"")+SUMIF('Deferred Revenue'!$E$6:$E$607,$A298,'Deferred Revenue'!$Q$6:$Q$607)</f>
        <v/>
      </c>
      <c r="E298" s="43">
        <f>C298+D298</f>
        <v/>
      </c>
      <c r="F298" s="50">
        <f>IF(ROUND(C298,2)+ROUND(D298,2)=0,"","yes")</f>
        <v/>
      </c>
      <c r="G298" s="61" t="n"/>
      <c r="H298" s="43">
        <f>IF($G298="","",$E298-$G298)</f>
        <v/>
      </c>
    </row>
    <row r="299">
      <c r="A299" s="60" t="inlineStr">
        <is>
          <t>26072906</t>
        </is>
      </c>
      <c r="B299" s="60" t="inlineStr">
        <is>
          <t>ASX Advisory Group on Corporate Governance</t>
        </is>
      </c>
      <c r="C299" s="43">
        <f>SUMIFS(tbl_WIP[Amount],tbl_WIP[Job Number],$A299,tbl_WIP[Month],"&lt;&gt;",tbl_WIP[Month],"&lt;"&amp;$C$4,tbl_WIP[Defer Start],"")+SUMIF('Deferred Revenue'!$E$6:$E$607,$A299,'Deferred Revenue'!$P$6:$P$607)</f>
        <v/>
      </c>
      <c r="D299" s="43">
        <f>SUMIFS(tbl_WIP[Amount],tbl_WIP[Job Number],$A299,tbl_WIP[Month],$C$4,tbl_WIP[Defer Start],"")+SUMIF('Deferred Revenue'!$E$6:$E$607,$A299,'Deferred Revenue'!$Q$6:$Q$607)</f>
        <v/>
      </c>
      <c r="E299" s="43">
        <f>C299+D299</f>
        <v/>
      </c>
      <c r="F299" s="50">
        <f>IF(ROUND(C299,2)+ROUND(D299,2)=0,"","yes")</f>
        <v/>
      </c>
      <c r="G299" s="61" t="n"/>
      <c r="H299" s="43">
        <f>IF($G299="","",$E299-$G299)</f>
        <v/>
      </c>
    </row>
    <row r="300">
      <c r="A300" s="60" t="inlineStr">
        <is>
          <t>26072906V</t>
        </is>
      </c>
      <c r="B300" s="60" t="inlineStr">
        <is>
          <t>ASX Advisory Group on Corporate Governance</t>
        </is>
      </c>
      <c r="C300" s="43">
        <f>SUMIFS(tbl_WIP[Amount],tbl_WIP[Job Number],$A300,tbl_WIP[Month],"&lt;&gt;",tbl_WIP[Month],"&lt;"&amp;$C$4,tbl_WIP[Defer Start],"")+SUMIF('Deferred Revenue'!$E$6:$E$607,$A300,'Deferred Revenue'!$P$6:$P$607)</f>
        <v/>
      </c>
      <c r="D300" s="43">
        <f>SUMIFS(tbl_WIP[Amount],tbl_WIP[Job Number],$A300,tbl_WIP[Month],$C$4,tbl_WIP[Defer Start],"")+SUMIF('Deferred Revenue'!$E$6:$E$607,$A300,'Deferred Revenue'!$Q$6:$Q$607)</f>
        <v/>
      </c>
      <c r="E300" s="43">
        <f>C300+D300</f>
        <v/>
      </c>
      <c r="F300" s="50">
        <f>IF(ROUND(C300,2)+ROUND(D300,2)=0,"","yes")</f>
        <v/>
      </c>
      <c r="G300" s="61" t="n"/>
      <c r="H300" s="43">
        <f>IF($G300="","",$E300-$G300)</f>
        <v/>
      </c>
    </row>
    <row r="301">
      <c r="A301" s="60" t="inlineStr">
        <is>
          <t>26073103</t>
        </is>
      </c>
      <c r="B301" s="60" t="inlineStr">
        <is>
          <t>DTTL PER AV &amp; Hospitality Tech (SEP26-FEB27)</t>
        </is>
      </c>
      <c r="C301" s="43">
        <f>SUMIFS(tbl_WIP[Amount],tbl_WIP[Job Number],$A301,tbl_WIP[Month],"&lt;&gt;",tbl_WIP[Month],"&lt;"&amp;$C$4,tbl_WIP[Defer Start],"")+SUMIF('Deferred Revenue'!$E$6:$E$607,$A301,'Deferred Revenue'!$P$6:$P$607)</f>
        <v/>
      </c>
      <c r="D301" s="43">
        <f>SUMIFS(tbl_WIP[Amount],tbl_WIP[Job Number],$A301,tbl_WIP[Month],$C$4,tbl_WIP[Defer Start],"")+SUMIF('Deferred Revenue'!$E$6:$E$607,$A301,'Deferred Revenue'!$Q$6:$Q$607)</f>
        <v/>
      </c>
      <c r="E301" s="43">
        <f>C301+D301</f>
        <v/>
      </c>
      <c r="F301" s="50">
        <f>IF(ROUND(C301,2)+ROUND(D301,2)=0,"","yes")</f>
        <v/>
      </c>
      <c r="G301" s="61" t="n"/>
      <c r="H301" s="43">
        <f>IF($G301="","",$E301-$G301)</f>
        <v/>
      </c>
    </row>
    <row r="302">
      <c r="A302" s="60" t="inlineStr">
        <is>
          <t>26073103N</t>
        </is>
      </c>
      <c r="B302" s="60" t="inlineStr">
        <is>
          <t>DTTL PER AV &amp; Hospitality Tech (SEP26-FEB27) [ONS] non-chargeable</t>
        </is>
      </c>
      <c r="C302" s="43">
        <f>SUMIFS(tbl_WIP[Amount],tbl_WIP[Job Number],$A302,tbl_WIP[Month],"&lt;&gt;",tbl_WIP[Month],"&lt;"&amp;$C$4,tbl_WIP[Defer Start],"")+SUMIF('Deferred Revenue'!$E$6:$E$607,$A302,'Deferred Revenue'!$P$6:$P$607)</f>
        <v/>
      </c>
      <c r="D302" s="43">
        <f>SUMIFS(tbl_WIP[Amount],tbl_WIP[Job Number],$A302,tbl_WIP[Month],$C$4,tbl_WIP[Defer Start],"")+SUMIF('Deferred Revenue'!$E$6:$E$607,$A302,'Deferred Revenue'!$Q$6:$Q$607)</f>
        <v/>
      </c>
      <c r="E302" s="43">
        <f>C302+D302</f>
        <v/>
      </c>
      <c r="F302" s="50">
        <f>IF(ROUND(C302,2)+ROUND(D302,2)=0,"","yes")</f>
        <v/>
      </c>
      <c r="G302" s="61" t="n"/>
      <c r="H302" s="43">
        <f>IF($G302="","",$E302-$G302)</f>
        <v/>
      </c>
    </row>
    <row r="303">
      <c r="A303" s="60" t="inlineStr">
        <is>
          <t>26073105</t>
        </is>
      </c>
      <c r="B303" s="60" t="inlineStr">
        <is>
          <t>Elkiem - Studio Support - 25.8.26</t>
        </is>
      </c>
      <c r="C303" s="43">
        <f>SUMIFS(tbl_WIP[Amount],tbl_WIP[Job Number],$A303,tbl_WIP[Month],"&lt;&gt;",tbl_WIP[Month],"&lt;"&amp;$C$4,tbl_WIP[Defer Start],"")+SUMIF('Deferred Revenue'!$E$6:$E$607,$A303,'Deferred Revenue'!$P$6:$P$607)</f>
        <v/>
      </c>
      <c r="D303" s="43">
        <f>SUMIFS(tbl_WIP[Amount],tbl_WIP[Job Number],$A303,tbl_WIP[Month],$C$4,tbl_WIP[Defer Start],"")+SUMIF('Deferred Revenue'!$E$6:$E$607,$A303,'Deferred Revenue'!$Q$6:$Q$607)</f>
        <v/>
      </c>
      <c r="E303" s="43">
        <f>C303+D303</f>
        <v/>
      </c>
      <c r="F303" s="50">
        <f>IF(ROUND(C303,2)+ROUND(D303,2)=0,"","yes")</f>
        <v/>
      </c>
      <c r="G303" s="61" t="n"/>
      <c r="H303" s="43">
        <f>IF($G303="","",$E303-$G303)</f>
        <v/>
      </c>
    </row>
    <row r="304">
      <c r="A304" s="60" t="inlineStr">
        <is>
          <t>26073106</t>
        </is>
      </c>
      <c r="B304" s="60" t="inlineStr">
        <is>
          <t>Elkiem - Studio Support - 18.9.26</t>
        </is>
      </c>
      <c r="C304" s="43">
        <f>SUMIFS(tbl_WIP[Amount],tbl_WIP[Job Number],$A304,tbl_WIP[Month],"&lt;&gt;",tbl_WIP[Month],"&lt;"&amp;$C$4,tbl_WIP[Defer Start],"")+SUMIF('Deferred Revenue'!$E$6:$E$607,$A304,'Deferred Revenue'!$P$6:$P$607)</f>
        <v/>
      </c>
      <c r="D304" s="43">
        <f>SUMIFS(tbl_WIP[Amount],tbl_WIP[Job Number],$A304,tbl_WIP[Month],$C$4,tbl_WIP[Defer Start],"")+SUMIF('Deferred Revenue'!$E$6:$E$607,$A304,'Deferred Revenue'!$Q$6:$Q$607)</f>
        <v/>
      </c>
      <c r="E304" s="43">
        <f>C304+D304</f>
        <v/>
      </c>
      <c r="F304" s="50">
        <f>IF(ROUND(C304,2)+ROUND(D304,2)=0,"","yes")</f>
        <v/>
      </c>
      <c r="G304" s="61" t="n"/>
      <c r="H304" s="43">
        <f>IF($G304="","",$E304-$G304)</f>
        <v/>
      </c>
    </row>
    <row r="305">
      <c r="A305" s="60" t="inlineStr">
        <is>
          <t>26073107</t>
        </is>
      </c>
      <c r="B305" s="60" t="inlineStr">
        <is>
          <t>DTTL Travel for Technician &amp; Coverage ADL-HOB</t>
        </is>
      </c>
      <c r="C305" s="43">
        <f>SUMIFS(tbl_WIP[Amount],tbl_WIP[Job Number],$A305,tbl_WIP[Month],"&lt;&gt;",tbl_WIP[Month],"&lt;"&amp;$C$4,tbl_WIP[Defer Start],"")+SUMIF('Deferred Revenue'!$E$6:$E$607,$A305,'Deferred Revenue'!$P$6:$P$607)</f>
        <v/>
      </c>
      <c r="D305" s="43">
        <f>SUMIFS(tbl_WIP[Amount],tbl_WIP[Job Number],$A305,tbl_WIP[Month],$C$4,tbl_WIP[Defer Start],"")+SUMIF('Deferred Revenue'!$E$6:$E$607,$A305,'Deferred Revenue'!$Q$6:$Q$607)</f>
        <v/>
      </c>
      <c r="E305" s="43">
        <f>C305+D305</f>
        <v/>
      </c>
      <c r="F305" s="50">
        <f>IF(ROUND(C305,2)+ROUND(D305,2)=0,"","yes")</f>
        <v/>
      </c>
      <c r="G305" s="61" t="n"/>
      <c r="H305" s="43">
        <f>IF($G305="","",$E305-$G305)</f>
        <v/>
      </c>
    </row>
    <row r="306">
      <c r="A306" s="60" t="inlineStr">
        <is>
          <t>26073110</t>
        </is>
      </c>
      <c r="B306" s="60" t="inlineStr">
        <is>
          <t>Garvan - Weizmann Dinner Event - 20.8.26</t>
        </is>
      </c>
      <c r="C306" s="43">
        <f>SUMIFS(tbl_WIP[Amount],tbl_WIP[Job Number],$A306,tbl_WIP[Month],"&lt;&gt;",tbl_WIP[Month],"&lt;"&amp;$C$4,tbl_WIP[Defer Start],"")+SUMIF('Deferred Revenue'!$E$6:$E$607,$A306,'Deferred Revenue'!$P$6:$P$607)</f>
        <v/>
      </c>
      <c r="D306" s="43">
        <f>SUMIFS(tbl_WIP[Amount],tbl_WIP[Job Number],$A306,tbl_WIP[Month],$C$4,tbl_WIP[Defer Start],"")+SUMIF('Deferred Revenue'!$E$6:$E$607,$A306,'Deferred Revenue'!$Q$6:$Q$607)</f>
        <v/>
      </c>
      <c r="E306" s="43">
        <f>C306+D306</f>
        <v/>
      </c>
      <c r="F306" s="50">
        <f>IF(ROUND(C306,2)+ROUND(D306,2)=0,"","yes")</f>
        <v/>
      </c>
      <c r="G306" s="61" t="n"/>
      <c r="H306" s="43">
        <f>IF($G306="","",$E306-$G306)</f>
        <v/>
      </c>
    </row>
    <row r="307">
      <c r="A307" s="60" t="inlineStr">
        <is>
          <t>26073110V</t>
        </is>
      </c>
      <c r="B307" s="60" t="inlineStr">
        <is>
          <t>Garvan - Weizmann Dinner Event - 20.8.26</t>
        </is>
      </c>
      <c r="C307" s="43">
        <f>SUMIFS(tbl_WIP[Amount],tbl_WIP[Job Number],$A307,tbl_WIP[Month],"&lt;&gt;",tbl_WIP[Month],"&lt;"&amp;$C$4,tbl_WIP[Defer Start],"")+SUMIF('Deferred Revenue'!$E$6:$E$607,$A307,'Deferred Revenue'!$P$6:$P$607)</f>
        <v/>
      </c>
      <c r="D307" s="43">
        <f>SUMIFS(tbl_WIP[Amount],tbl_WIP[Job Number],$A307,tbl_WIP[Month],$C$4,tbl_WIP[Defer Start],"")+SUMIF('Deferred Revenue'!$E$6:$E$607,$A307,'Deferred Revenue'!$Q$6:$Q$607)</f>
        <v/>
      </c>
      <c r="E307" s="43">
        <f>C307+D307</f>
        <v/>
      </c>
      <c r="F307" s="50">
        <f>IF(ROUND(C307,2)+ROUND(D307,2)=0,"","yes")</f>
        <v/>
      </c>
      <c r="G307" s="61" t="n"/>
      <c r="H307" s="43">
        <f>IF($G307="","",$E307-$G307)</f>
        <v/>
      </c>
    </row>
    <row r="308">
      <c r="A308" s="60" t="inlineStr">
        <is>
          <t>26073111</t>
        </is>
      </c>
      <c r="B308" s="60" t="inlineStr">
        <is>
          <t>Downer - FYR &amp; Employee Webcast - 25.8.26</t>
        </is>
      </c>
      <c r="C308" s="43">
        <f>SUMIFS(tbl_WIP[Amount],tbl_WIP[Job Number],$A308,tbl_WIP[Month],"&lt;&gt;",tbl_WIP[Month],"&lt;"&amp;$C$4,tbl_WIP[Defer Start],"")+SUMIF('Deferred Revenue'!$E$6:$E$607,$A308,'Deferred Revenue'!$P$6:$P$607)</f>
        <v/>
      </c>
      <c r="D308" s="43">
        <f>SUMIFS(tbl_WIP[Amount],tbl_WIP[Job Number],$A308,tbl_WIP[Month],$C$4,tbl_WIP[Defer Start],"")+SUMIF('Deferred Revenue'!$E$6:$E$607,$A308,'Deferred Revenue'!$Q$6:$Q$607)</f>
        <v/>
      </c>
      <c r="E308" s="43">
        <f>C308+D308</f>
        <v/>
      </c>
      <c r="F308" s="50">
        <f>IF(ROUND(C308,2)+ROUND(D308,2)=0,"","yes")</f>
        <v/>
      </c>
      <c r="G308" s="61" t="n"/>
      <c r="H308" s="43">
        <f>IF($G308="","",$E308-$G308)</f>
        <v/>
      </c>
    </row>
    <row r="309">
      <c r="A309" s="60" t="inlineStr">
        <is>
          <t>26073111V</t>
        </is>
      </c>
      <c r="B309" s="60" t="inlineStr">
        <is>
          <t>Downer - FYR &amp; Employee Webcast - 25.8.26</t>
        </is>
      </c>
      <c r="C309" s="43">
        <f>SUMIFS(tbl_WIP[Amount],tbl_WIP[Job Number],$A309,tbl_WIP[Month],"&lt;&gt;",tbl_WIP[Month],"&lt;"&amp;$C$4,tbl_WIP[Defer Start],"")+SUMIF('Deferred Revenue'!$E$6:$E$607,$A309,'Deferred Revenue'!$P$6:$P$607)</f>
        <v/>
      </c>
      <c r="D309" s="43">
        <f>SUMIFS(tbl_WIP[Amount],tbl_WIP[Job Number],$A309,tbl_WIP[Month],$C$4,tbl_WIP[Defer Start],"")+SUMIF('Deferred Revenue'!$E$6:$E$607,$A309,'Deferred Revenue'!$Q$6:$Q$607)</f>
        <v/>
      </c>
      <c r="E309" s="43">
        <f>C309+D309</f>
        <v/>
      </c>
      <c r="F309" s="50">
        <f>IF(ROUND(C309,2)+ROUND(D309,2)=0,"","yes")</f>
        <v/>
      </c>
      <c r="G309" s="61" t="n"/>
      <c r="H309" s="43">
        <f>IF($G309="","",$E309-$G309)</f>
        <v/>
      </c>
    </row>
    <row r="310">
      <c r="A310" s="60" t="inlineStr">
        <is>
          <t>2607703</t>
        </is>
      </c>
      <c r="B310" s="60" t="inlineStr">
        <is>
          <t>Garvan - YPO Event - 6.8.2026</t>
        </is>
      </c>
      <c r="C310" s="43">
        <f>SUMIFS(tbl_WIP[Amount],tbl_WIP[Job Number],$A310,tbl_WIP[Month],"&lt;&gt;",tbl_WIP[Month],"&lt;"&amp;$C$4,tbl_WIP[Defer Start],"")+SUMIF('Deferred Revenue'!$E$6:$E$607,$A310,'Deferred Revenue'!$P$6:$P$607)</f>
        <v/>
      </c>
      <c r="D310" s="43">
        <f>SUMIFS(tbl_WIP[Amount],tbl_WIP[Job Number],$A310,tbl_WIP[Month],$C$4,tbl_WIP[Defer Start],"")+SUMIF('Deferred Revenue'!$E$6:$E$607,$A310,'Deferred Revenue'!$Q$6:$Q$607)</f>
        <v/>
      </c>
      <c r="E310" s="43">
        <f>C310+D310</f>
        <v/>
      </c>
      <c r="F310" s="50">
        <f>IF(ROUND(C310,2)+ROUND(D310,2)=0,"","yes")</f>
        <v/>
      </c>
      <c r="G310" s="61" t="n"/>
      <c r="H310" s="43">
        <f>IF($G310="","",$E310-$G310)</f>
        <v/>
      </c>
    </row>
    <row r="311">
      <c r="A311" s="60" t="inlineStr">
        <is>
          <t>2607703V</t>
        </is>
      </c>
      <c r="B311" s="60" t="inlineStr">
        <is>
          <t>Garvan - YPO Event - 6.8.2026</t>
        </is>
      </c>
      <c r="C311" s="43">
        <f>SUMIFS(tbl_WIP[Amount],tbl_WIP[Job Number],$A311,tbl_WIP[Month],"&lt;&gt;",tbl_WIP[Month],"&lt;"&amp;$C$4,tbl_WIP[Defer Start],"")+SUMIF('Deferred Revenue'!$E$6:$E$607,$A311,'Deferred Revenue'!$P$6:$P$607)</f>
        <v/>
      </c>
      <c r="D311" s="43">
        <f>SUMIFS(tbl_WIP[Amount],tbl_WIP[Job Number],$A311,tbl_WIP[Month],$C$4,tbl_WIP[Defer Start],"")+SUMIF('Deferred Revenue'!$E$6:$E$607,$A311,'Deferred Revenue'!$Q$6:$Q$607)</f>
        <v/>
      </c>
      <c r="E311" s="43">
        <f>C311+D311</f>
        <v/>
      </c>
      <c r="F311" s="50">
        <f>IF(ROUND(C311,2)+ROUND(D311,2)=0,"","yes")</f>
        <v/>
      </c>
      <c r="G311" s="61" t="n"/>
      <c r="H311" s="43">
        <f>IF($G311="","",$E311-$G311)</f>
        <v/>
      </c>
    </row>
    <row r="312">
      <c r="A312" s="60" t="inlineStr">
        <is>
          <t>2608101</t>
        </is>
      </c>
      <c r="B312" s="60" t="inlineStr">
        <is>
          <t>ART - AMM Captioning - 25.11.26</t>
        </is>
      </c>
      <c r="C312" s="43">
        <f>SUMIFS(tbl_WIP[Amount],tbl_WIP[Job Number],$A312,tbl_WIP[Month],"&lt;&gt;",tbl_WIP[Month],"&lt;"&amp;$C$4,tbl_WIP[Defer Start],"")+SUMIF('Deferred Revenue'!$E$6:$E$607,$A312,'Deferred Revenue'!$P$6:$P$607)</f>
        <v/>
      </c>
      <c r="D312" s="43">
        <f>SUMIFS(tbl_WIP[Amount],tbl_WIP[Job Number],$A312,tbl_WIP[Month],$C$4,tbl_WIP[Defer Start],"")+SUMIF('Deferred Revenue'!$E$6:$E$607,$A312,'Deferred Revenue'!$Q$6:$Q$607)</f>
        <v/>
      </c>
      <c r="E312" s="43">
        <f>C312+D312</f>
        <v/>
      </c>
      <c r="F312" s="50">
        <f>IF(ROUND(C312,2)+ROUND(D312,2)=0,"","yes")</f>
        <v/>
      </c>
      <c r="G312" s="61" t="n"/>
      <c r="H312" s="43">
        <f>IF($G312="","",$E312-$G312)</f>
        <v/>
      </c>
    </row>
    <row r="313">
      <c r="A313" s="60" t="inlineStr">
        <is>
          <t>2608101V</t>
        </is>
      </c>
      <c r="B313" s="60" t="inlineStr">
        <is>
          <t>ART - AMM Captioning - 25.11.26</t>
        </is>
      </c>
      <c r="C313" s="43">
        <f>SUMIFS(tbl_WIP[Amount],tbl_WIP[Job Number],$A313,tbl_WIP[Month],"&lt;&gt;",tbl_WIP[Month],"&lt;"&amp;$C$4,tbl_WIP[Defer Start],"")+SUMIF('Deferred Revenue'!$E$6:$E$607,$A313,'Deferred Revenue'!$P$6:$P$607)</f>
        <v/>
      </c>
      <c r="D313" s="43">
        <f>SUMIFS(tbl_WIP[Amount],tbl_WIP[Job Number],$A313,tbl_WIP[Month],$C$4,tbl_WIP[Defer Start],"")+SUMIF('Deferred Revenue'!$E$6:$E$607,$A313,'Deferred Revenue'!$Q$6:$Q$607)</f>
        <v/>
      </c>
      <c r="E313" s="43">
        <f>C313+D313</f>
        <v/>
      </c>
      <c r="F313" s="50">
        <f>IF(ROUND(C313,2)+ROUND(D313,2)=0,"","yes")</f>
        <v/>
      </c>
      <c r="G313" s="61" t="n"/>
      <c r="H313" s="43">
        <f>IF($G313="","",$E313-$G313)</f>
        <v/>
      </c>
    </row>
    <row r="314">
      <c r="A314" s="60" t="inlineStr">
        <is>
          <t>2608102</t>
        </is>
      </c>
      <c r="B314" s="60" t="inlineStr">
        <is>
          <t>ART - Education Session Captioning - 25.11.26</t>
        </is>
      </c>
      <c r="C314" s="43">
        <f>SUMIFS(tbl_WIP[Amount],tbl_WIP[Job Number],$A314,tbl_WIP[Month],"&lt;&gt;",tbl_WIP[Month],"&lt;"&amp;$C$4,tbl_WIP[Defer Start],"")+SUMIF('Deferred Revenue'!$E$6:$E$607,$A314,'Deferred Revenue'!$P$6:$P$607)</f>
        <v/>
      </c>
      <c r="D314" s="43">
        <f>SUMIFS(tbl_WIP[Amount],tbl_WIP[Job Number],$A314,tbl_WIP[Month],$C$4,tbl_WIP[Defer Start],"")+SUMIF('Deferred Revenue'!$E$6:$E$607,$A314,'Deferred Revenue'!$Q$6:$Q$607)</f>
        <v/>
      </c>
      <c r="E314" s="43">
        <f>C314+D314</f>
        <v/>
      </c>
      <c r="F314" s="50">
        <f>IF(ROUND(C314,2)+ROUND(D314,2)=0,"","yes")</f>
        <v/>
      </c>
      <c r="G314" s="61" t="n"/>
      <c r="H314" s="43">
        <f>IF($G314="","",$E314-$G314)</f>
        <v/>
      </c>
    </row>
    <row r="315">
      <c r="A315" s="60" t="inlineStr">
        <is>
          <t>26081101</t>
        </is>
      </c>
      <c r="B315" s="60" t="inlineStr">
        <is>
          <t>Vega Global - Payments Forum - 17.9.26</t>
        </is>
      </c>
      <c r="C315" s="43">
        <f>SUMIFS(tbl_WIP[Amount],tbl_WIP[Job Number],$A315,tbl_WIP[Month],"&lt;&gt;",tbl_WIP[Month],"&lt;"&amp;$C$4,tbl_WIP[Defer Start],"")+SUMIF('Deferred Revenue'!$E$6:$E$607,$A315,'Deferred Revenue'!$P$6:$P$607)</f>
        <v/>
      </c>
      <c r="D315" s="43">
        <f>SUMIFS(tbl_WIP[Amount],tbl_WIP[Job Number],$A315,tbl_WIP[Month],$C$4,tbl_WIP[Defer Start],"")+SUMIF('Deferred Revenue'!$E$6:$E$607,$A315,'Deferred Revenue'!$Q$6:$Q$607)</f>
        <v/>
      </c>
      <c r="E315" s="43">
        <f>C315+D315</f>
        <v/>
      </c>
      <c r="F315" s="50">
        <f>IF(ROUND(C315,2)+ROUND(D315,2)=0,"","yes")</f>
        <v/>
      </c>
      <c r="G315" s="61" t="n"/>
      <c r="H315" s="43">
        <f>IF($G315="","",$E315-$G315)</f>
        <v/>
      </c>
    </row>
    <row r="316">
      <c r="A316" s="60" t="inlineStr">
        <is>
          <t>26081302</t>
        </is>
      </c>
      <c r="B316" s="60" t="inlineStr">
        <is>
          <t>Ubank - Volunteer Day - 11.11.26</t>
        </is>
      </c>
      <c r="C316" s="43">
        <f>SUMIFS(tbl_WIP[Amount],tbl_WIP[Job Number],$A316,tbl_WIP[Month],"&lt;&gt;",tbl_WIP[Month],"&lt;"&amp;$C$4,tbl_WIP[Defer Start],"")+SUMIF('Deferred Revenue'!$E$6:$E$607,$A316,'Deferred Revenue'!$P$6:$P$607)</f>
        <v/>
      </c>
      <c r="D316" s="43">
        <f>SUMIFS(tbl_WIP[Amount],tbl_WIP[Job Number],$A316,tbl_WIP[Month],$C$4,tbl_WIP[Defer Start],"")+SUMIF('Deferred Revenue'!$E$6:$E$607,$A316,'Deferred Revenue'!$Q$6:$Q$607)</f>
        <v/>
      </c>
      <c r="E316" s="43">
        <f>C316+D316</f>
        <v/>
      </c>
      <c r="F316" s="50">
        <f>IF(ROUND(C316,2)+ROUND(D316,2)=0,"","yes")</f>
        <v/>
      </c>
      <c r="G316" s="61" t="n"/>
      <c r="H316" s="43">
        <f>IF($G316="","",$E316-$G316)</f>
        <v/>
      </c>
    </row>
    <row r="317">
      <c r="A317" s="60" t="inlineStr">
        <is>
          <t>26081302V</t>
        </is>
      </c>
      <c r="B317" s="60" t="inlineStr">
        <is>
          <t>Ubank - Volunteer Day - 11.11.26</t>
        </is>
      </c>
      <c r="C317" s="43">
        <f>SUMIFS(tbl_WIP[Amount],tbl_WIP[Job Number],$A317,tbl_WIP[Month],"&lt;&gt;",tbl_WIP[Month],"&lt;"&amp;$C$4,tbl_WIP[Defer Start],"")+SUMIF('Deferred Revenue'!$E$6:$E$607,$A317,'Deferred Revenue'!$P$6:$P$607)</f>
        <v/>
      </c>
      <c r="D317" s="43">
        <f>SUMIFS(tbl_WIP[Amount],tbl_WIP[Job Number],$A317,tbl_WIP[Month],$C$4,tbl_WIP[Defer Start],"")+SUMIF('Deferred Revenue'!$E$6:$E$607,$A317,'Deferred Revenue'!$Q$6:$Q$607)</f>
        <v/>
      </c>
      <c r="E317" s="43">
        <f>C317+D317</f>
        <v/>
      </c>
      <c r="F317" s="50">
        <f>IF(ROUND(C317,2)+ROUND(D317,2)=0,"","yes")</f>
        <v/>
      </c>
      <c r="G317" s="61" t="n"/>
      <c r="H317" s="43">
        <f>IF($G317="","",$E317-$G317)</f>
        <v/>
      </c>
    </row>
    <row r="318">
      <c r="A318" s="60" t="inlineStr">
        <is>
          <t>26081402</t>
        </is>
      </c>
      <c r="B318" s="60" t="inlineStr">
        <is>
          <t>Dimensional - AV Support - 19.8.26</t>
        </is>
      </c>
      <c r="C318" s="43">
        <f>SUMIFS(tbl_WIP[Amount],tbl_WIP[Job Number],$A318,tbl_WIP[Month],"&lt;&gt;",tbl_WIP[Month],"&lt;"&amp;$C$4,tbl_WIP[Defer Start],"")+SUMIF('Deferred Revenue'!$E$6:$E$607,$A318,'Deferred Revenue'!$P$6:$P$607)</f>
        <v/>
      </c>
      <c r="D318" s="43">
        <f>SUMIFS(tbl_WIP[Amount],tbl_WIP[Job Number],$A318,tbl_WIP[Month],$C$4,tbl_WIP[Defer Start],"")+SUMIF('Deferred Revenue'!$E$6:$E$607,$A318,'Deferred Revenue'!$Q$6:$Q$607)</f>
        <v/>
      </c>
      <c r="E318" s="43">
        <f>C318+D318</f>
        <v/>
      </c>
      <c r="F318" s="50">
        <f>IF(ROUND(C318,2)+ROUND(D318,2)=0,"","yes")</f>
        <v/>
      </c>
      <c r="G318" s="61" t="n"/>
      <c r="H318" s="43">
        <f>IF($G318="","",$E318-$G318)</f>
        <v/>
      </c>
    </row>
    <row r="319">
      <c r="A319" s="60" t="inlineStr">
        <is>
          <t>26081801</t>
        </is>
      </c>
      <c r="B319" s="60" t="inlineStr">
        <is>
          <t>Microsoft - SME&amp;C Town Hall 14.10.2026</t>
        </is>
      </c>
      <c r="C319" s="43">
        <f>SUMIFS(tbl_WIP[Amount],tbl_WIP[Job Number],$A319,tbl_WIP[Month],"&lt;&gt;",tbl_WIP[Month],"&lt;"&amp;$C$4,tbl_WIP[Defer Start],"")+SUMIF('Deferred Revenue'!$E$6:$E$607,$A319,'Deferred Revenue'!$P$6:$P$607)</f>
        <v/>
      </c>
      <c r="D319" s="43">
        <f>SUMIFS(tbl_WIP[Amount],tbl_WIP[Job Number],$A319,tbl_WIP[Month],$C$4,tbl_WIP[Defer Start],"")+SUMIF('Deferred Revenue'!$E$6:$E$607,$A319,'Deferred Revenue'!$Q$6:$Q$607)</f>
        <v/>
      </c>
      <c r="E319" s="43">
        <f>C319+D319</f>
        <v/>
      </c>
      <c r="F319" s="50">
        <f>IF(ROUND(C319,2)+ROUND(D319,2)=0,"","yes")</f>
        <v/>
      </c>
      <c r="G319" s="61" t="n"/>
      <c r="H319" s="43">
        <f>IF($G319="","",$E319-$G319)</f>
        <v/>
      </c>
    </row>
    <row r="320">
      <c r="A320" s="60" t="inlineStr">
        <is>
          <t>26081801V</t>
        </is>
      </c>
      <c r="B320" s="60" t="inlineStr">
        <is>
          <t>Microsoft - SME&amp;C Town Hall 14.10.2026</t>
        </is>
      </c>
      <c r="C320" s="43">
        <f>SUMIFS(tbl_WIP[Amount],tbl_WIP[Job Number],$A320,tbl_WIP[Month],"&lt;&gt;",tbl_WIP[Month],"&lt;"&amp;$C$4,tbl_WIP[Defer Start],"")+SUMIF('Deferred Revenue'!$E$6:$E$607,$A320,'Deferred Revenue'!$P$6:$P$607)</f>
        <v/>
      </c>
      <c r="D320" s="43">
        <f>SUMIFS(tbl_WIP[Amount],tbl_WIP[Job Number],$A320,tbl_WIP[Month],$C$4,tbl_WIP[Defer Start],"")+SUMIF('Deferred Revenue'!$E$6:$E$607,$A320,'Deferred Revenue'!$Q$6:$Q$607)</f>
        <v/>
      </c>
      <c r="E320" s="43">
        <f>C320+D320</f>
        <v/>
      </c>
      <c r="F320" s="50">
        <f>IF(ROUND(C320,2)+ROUND(D320,2)=0,"","yes")</f>
        <v/>
      </c>
      <c r="G320" s="61" t="n"/>
      <c r="H320" s="43">
        <f>IF($G320="","",$E320-$G320)</f>
        <v/>
      </c>
    </row>
    <row r="321">
      <c r="A321" s="60" t="inlineStr">
        <is>
          <t>26081901</t>
        </is>
      </c>
      <c r="B321" s="60" t="inlineStr">
        <is>
          <t>AusPayNet Logitech Essentials for Room License Renewal</t>
        </is>
      </c>
      <c r="C321" s="43">
        <f>SUMIFS(tbl_WIP[Amount],tbl_WIP[Job Number],$A321,tbl_WIP[Month],"&lt;&gt;",tbl_WIP[Month],"&lt;"&amp;$C$4,tbl_WIP[Defer Start],"")+SUMIF('Deferred Revenue'!$E$6:$E$607,$A321,'Deferred Revenue'!$P$6:$P$607)</f>
        <v/>
      </c>
      <c r="D321" s="43">
        <f>SUMIFS(tbl_WIP[Amount],tbl_WIP[Job Number],$A321,tbl_WIP[Month],$C$4,tbl_WIP[Defer Start],"")+SUMIF('Deferred Revenue'!$E$6:$E$607,$A321,'Deferred Revenue'!$Q$6:$Q$607)</f>
        <v/>
      </c>
      <c r="E321" s="43">
        <f>C321+D321</f>
        <v/>
      </c>
      <c r="F321" s="50">
        <f>IF(ROUND(C321,2)+ROUND(D321,2)=0,"","yes")</f>
        <v/>
      </c>
      <c r="G321" s="61" t="n"/>
      <c r="H321" s="43">
        <f>IF($G321="","",$E321-$G321)</f>
        <v/>
      </c>
    </row>
    <row r="322">
      <c r="A322" s="60" t="inlineStr">
        <is>
          <t>26081904</t>
        </is>
      </c>
      <c r="B322" s="60" t="inlineStr">
        <is>
          <t>Garvan - AllClear Program Meeting - 2.9.26</t>
        </is>
      </c>
      <c r="C322" s="43">
        <f>SUMIFS(tbl_WIP[Amount],tbl_WIP[Job Number],$A322,tbl_WIP[Month],"&lt;&gt;",tbl_WIP[Month],"&lt;"&amp;$C$4,tbl_WIP[Defer Start],"")+SUMIF('Deferred Revenue'!$E$6:$E$607,$A322,'Deferred Revenue'!$P$6:$P$607)</f>
        <v/>
      </c>
      <c r="D322" s="43">
        <f>SUMIFS(tbl_WIP[Amount],tbl_WIP[Job Number],$A322,tbl_WIP[Month],$C$4,tbl_WIP[Defer Start],"")+SUMIF('Deferred Revenue'!$E$6:$E$607,$A322,'Deferred Revenue'!$Q$6:$Q$607)</f>
        <v/>
      </c>
      <c r="E322" s="43">
        <f>C322+D322</f>
        <v/>
      </c>
      <c r="F322" s="50">
        <f>IF(ROUND(C322,2)+ROUND(D322,2)=0,"","yes")</f>
        <v/>
      </c>
      <c r="G322" s="61" t="n"/>
      <c r="H322" s="43">
        <f>IF($G322="","",$E322-$G322)</f>
        <v/>
      </c>
    </row>
    <row r="323">
      <c r="A323" s="60" t="inlineStr">
        <is>
          <t>26082402</t>
        </is>
      </c>
      <c r="B323" s="60" t="inlineStr">
        <is>
          <t>TLC - 2026 AGM - 14.10.26</t>
        </is>
      </c>
      <c r="C323" s="43">
        <f>SUMIFS(tbl_WIP[Amount],tbl_WIP[Job Number],$A323,tbl_WIP[Month],"&lt;&gt;",tbl_WIP[Month],"&lt;"&amp;$C$4,tbl_WIP[Defer Start],"")+SUMIF('Deferred Revenue'!$E$6:$E$607,$A323,'Deferred Revenue'!$P$6:$P$607)</f>
        <v/>
      </c>
      <c r="D323" s="43">
        <f>SUMIFS(tbl_WIP[Amount],tbl_WIP[Job Number],$A323,tbl_WIP[Month],$C$4,tbl_WIP[Defer Start],"")+SUMIF('Deferred Revenue'!$E$6:$E$607,$A323,'Deferred Revenue'!$Q$6:$Q$607)</f>
        <v/>
      </c>
      <c r="E323" s="43">
        <f>C323+D323</f>
        <v/>
      </c>
      <c r="F323" s="50">
        <f>IF(ROUND(C323,2)+ROUND(D323,2)=0,"","yes")</f>
        <v/>
      </c>
      <c r="G323" s="61" t="n"/>
      <c r="H323" s="43">
        <f>IF($G323="","",$E323-$G323)</f>
        <v/>
      </c>
    </row>
    <row r="324">
      <c r="A324" s="60" t="inlineStr">
        <is>
          <t>26082402V</t>
        </is>
      </c>
      <c r="B324" s="60" t="inlineStr">
        <is>
          <t>TLC - 2026 AGM - 14.10.26</t>
        </is>
      </c>
      <c r="C324" s="43">
        <f>SUMIFS(tbl_WIP[Amount],tbl_WIP[Job Number],$A324,tbl_WIP[Month],"&lt;&gt;",tbl_WIP[Month],"&lt;"&amp;$C$4,tbl_WIP[Defer Start],"")+SUMIF('Deferred Revenue'!$E$6:$E$607,$A324,'Deferred Revenue'!$P$6:$P$607)</f>
        <v/>
      </c>
      <c r="D324" s="43">
        <f>SUMIFS(tbl_WIP[Amount],tbl_WIP[Job Number],$A324,tbl_WIP[Month],$C$4,tbl_WIP[Defer Start],"")+SUMIF('Deferred Revenue'!$E$6:$E$607,$A324,'Deferred Revenue'!$Q$6:$Q$607)</f>
        <v/>
      </c>
      <c r="E324" s="43">
        <f>C324+D324</f>
        <v/>
      </c>
      <c r="F324" s="50">
        <f>IF(ROUND(C324,2)+ROUND(D324,2)=0,"","yes")</f>
        <v/>
      </c>
      <c r="G324" s="61" t="n"/>
      <c r="H324" s="43">
        <f>IF($G324="","",$E324-$G324)</f>
        <v/>
      </c>
    </row>
    <row r="325">
      <c r="A325" s="60" t="inlineStr">
        <is>
          <t>26082501</t>
        </is>
      </c>
      <c r="B325" s="60" t="inlineStr">
        <is>
          <t>CBA - LES - September 2026</t>
        </is>
      </c>
      <c r="C325" s="43">
        <f>SUMIFS(tbl_WIP[Amount],tbl_WIP[Job Number],$A325,tbl_WIP[Month],"&lt;&gt;",tbl_WIP[Month],"&lt;"&amp;$C$4,tbl_WIP[Defer Start],"")+SUMIF('Deferred Revenue'!$E$6:$E$607,$A325,'Deferred Revenue'!$P$6:$P$607)</f>
        <v/>
      </c>
      <c r="D325" s="43">
        <f>SUMIFS(tbl_WIP[Amount],tbl_WIP[Job Number],$A325,tbl_WIP[Month],$C$4,tbl_WIP[Defer Start],"")+SUMIF('Deferred Revenue'!$E$6:$E$607,$A325,'Deferred Revenue'!$Q$6:$Q$607)</f>
        <v/>
      </c>
      <c r="E325" s="43">
        <f>C325+D325</f>
        <v/>
      </c>
      <c r="F325" s="50">
        <f>IF(ROUND(C325,2)+ROUND(D325,2)=0,"","yes")</f>
        <v/>
      </c>
      <c r="G325" s="61" t="n"/>
      <c r="H325" s="43">
        <f>IF($G325="","",$E325-$G325)</f>
        <v/>
      </c>
    </row>
    <row r="326">
      <c r="A326" s="60" t="inlineStr">
        <is>
          <t>26082502</t>
        </is>
      </c>
      <c r="B326" s="60" t="inlineStr">
        <is>
          <t>ICC - Presenter &amp; Speaker Preparation - September 2026</t>
        </is>
      </c>
      <c r="C326" s="43">
        <f>SUMIFS(tbl_WIP[Amount],tbl_WIP[Job Number],$A326,tbl_WIP[Month],"&lt;&gt;",tbl_WIP[Month],"&lt;"&amp;$C$4,tbl_WIP[Defer Start],"")+SUMIF('Deferred Revenue'!$E$6:$E$607,$A326,'Deferred Revenue'!$P$6:$P$607)</f>
        <v/>
      </c>
      <c r="D326" s="43">
        <f>SUMIFS(tbl_WIP[Amount],tbl_WIP[Job Number],$A326,tbl_WIP[Month],$C$4,tbl_WIP[Defer Start],"")+SUMIF('Deferred Revenue'!$E$6:$E$607,$A326,'Deferred Revenue'!$Q$6:$Q$607)</f>
        <v/>
      </c>
      <c r="E326" s="43">
        <f>C326+D326</f>
        <v/>
      </c>
      <c r="F326" s="50">
        <f>IF(ROUND(C326,2)+ROUND(D326,2)=0,"","yes")</f>
        <v/>
      </c>
      <c r="G326" s="61" t="n"/>
      <c r="H326" s="43">
        <f>IF($G326="","",$E326-$G326)</f>
        <v/>
      </c>
    </row>
    <row r="327">
      <c r="A327" s="60" t="inlineStr">
        <is>
          <t>26082502V</t>
        </is>
      </c>
      <c r="B327" s="60" t="inlineStr">
        <is>
          <t>ICC - Presenter &amp; Speaker Preparation - September 2026</t>
        </is>
      </c>
      <c r="C327" s="43">
        <f>SUMIFS(tbl_WIP[Amount],tbl_WIP[Job Number],$A327,tbl_WIP[Month],"&lt;&gt;",tbl_WIP[Month],"&lt;"&amp;$C$4,tbl_WIP[Defer Start],"")+SUMIF('Deferred Revenue'!$E$6:$E$607,$A327,'Deferred Revenue'!$P$6:$P$607)</f>
        <v/>
      </c>
      <c r="D327" s="43">
        <f>SUMIFS(tbl_WIP[Amount],tbl_WIP[Job Number],$A327,tbl_WIP[Month],$C$4,tbl_WIP[Defer Start],"")+SUMIF('Deferred Revenue'!$E$6:$E$607,$A327,'Deferred Revenue'!$Q$6:$Q$607)</f>
        <v/>
      </c>
      <c r="E327" s="43">
        <f>C327+D327</f>
        <v/>
      </c>
      <c r="F327" s="50">
        <f>IF(ROUND(C327,2)+ROUND(D327,2)=0,"","yes")</f>
        <v/>
      </c>
      <c r="G327" s="61" t="n"/>
      <c r="H327" s="43">
        <f>IF($G327="","",$E327-$G327)</f>
        <v/>
      </c>
    </row>
    <row r="328">
      <c r="A328" s="60" t="inlineStr">
        <is>
          <t>26082702</t>
        </is>
      </c>
      <c r="B328" s="60" t="inlineStr">
        <is>
          <t>Garvan - Breast Cancer Public Lecture - 1.10.26</t>
        </is>
      </c>
      <c r="C328" s="43">
        <f>SUMIFS(tbl_WIP[Amount],tbl_WIP[Job Number],$A328,tbl_WIP[Month],"&lt;&gt;",tbl_WIP[Month],"&lt;"&amp;$C$4,tbl_WIP[Defer Start],"")+SUMIF('Deferred Revenue'!$E$6:$E$607,$A328,'Deferred Revenue'!$P$6:$P$607)</f>
        <v/>
      </c>
      <c r="D328" s="43">
        <f>SUMIFS(tbl_WIP[Amount],tbl_WIP[Job Number],$A328,tbl_WIP[Month],$C$4,tbl_WIP[Defer Start],"")+SUMIF('Deferred Revenue'!$E$6:$E$607,$A328,'Deferred Revenue'!$Q$6:$Q$607)</f>
        <v/>
      </c>
      <c r="E328" s="43">
        <f>C328+D328</f>
        <v/>
      </c>
      <c r="F328" s="50">
        <f>IF(ROUND(C328,2)+ROUND(D328,2)=0,"","yes")</f>
        <v/>
      </c>
      <c r="G328" s="61" t="n"/>
      <c r="H328" s="43">
        <f>IF($G328="","",$E328-$G328)</f>
        <v/>
      </c>
    </row>
    <row r="329">
      <c r="A329" s="60" t="inlineStr">
        <is>
          <t>26082703</t>
        </is>
      </c>
      <c r="B329" s="60" t="inlineStr">
        <is>
          <t>APA - RUOK Day - 10.9.26</t>
        </is>
      </c>
      <c r="C329" s="43">
        <f>SUMIFS(tbl_WIP[Amount],tbl_WIP[Job Number],$A329,tbl_WIP[Month],"&lt;&gt;",tbl_WIP[Month],"&lt;"&amp;$C$4,tbl_WIP[Defer Start],"")+SUMIF('Deferred Revenue'!$E$6:$E$607,$A329,'Deferred Revenue'!$P$6:$P$607)</f>
        <v/>
      </c>
      <c r="D329" s="43">
        <f>SUMIFS(tbl_WIP[Amount],tbl_WIP[Job Number],$A329,tbl_WIP[Month],$C$4,tbl_WIP[Defer Start],"")+SUMIF('Deferred Revenue'!$E$6:$E$607,$A329,'Deferred Revenue'!$Q$6:$Q$607)</f>
        <v/>
      </c>
      <c r="E329" s="43">
        <f>C329+D329</f>
        <v/>
      </c>
      <c r="F329" s="50">
        <f>IF(ROUND(C329,2)+ROUND(D329,2)=0,"","yes")</f>
        <v/>
      </c>
      <c r="G329" s="61" t="n"/>
      <c r="H329" s="43">
        <f>IF($G329="","",$E329-$G329)</f>
        <v/>
      </c>
    </row>
    <row r="330">
      <c r="A330" s="60" t="inlineStr">
        <is>
          <t>26082703V</t>
        </is>
      </c>
      <c r="B330" s="60" t="inlineStr">
        <is>
          <t>APA - RUOK Day - 10.9.26</t>
        </is>
      </c>
      <c r="C330" s="43">
        <f>SUMIFS(tbl_WIP[Amount],tbl_WIP[Job Number],$A330,tbl_WIP[Month],"&lt;&gt;",tbl_WIP[Month],"&lt;"&amp;$C$4,tbl_WIP[Defer Start],"")+SUMIF('Deferred Revenue'!$E$6:$E$607,$A330,'Deferred Revenue'!$P$6:$P$607)</f>
        <v/>
      </c>
      <c r="D330" s="43">
        <f>SUMIFS(tbl_WIP[Amount],tbl_WIP[Job Number],$A330,tbl_WIP[Month],$C$4,tbl_WIP[Defer Start],"")+SUMIF('Deferred Revenue'!$E$6:$E$607,$A330,'Deferred Revenue'!$Q$6:$Q$607)</f>
        <v/>
      </c>
      <c r="E330" s="43">
        <f>C330+D330</f>
        <v/>
      </c>
      <c r="F330" s="50">
        <f>IF(ROUND(C330,2)+ROUND(D330,2)=0,"","yes")</f>
        <v/>
      </c>
      <c r="G330" s="61" t="n"/>
      <c r="H330" s="43">
        <f>IF($G330="","",$E330-$G330)</f>
        <v/>
      </c>
    </row>
    <row r="331">
      <c r="A331" s="60" t="inlineStr">
        <is>
          <t>26082704</t>
        </is>
      </c>
      <c r="B331" s="60" t="inlineStr">
        <is>
          <t>DTTL Travel for National STL &amp; Coverage SYD-PER</t>
        </is>
      </c>
      <c r="C331" s="43">
        <f>SUMIFS(tbl_WIP[Amount],tbl_WIP[Job Number],$A331,tbl_WIP[Month],"&lt;&gt;",tbl_WIP[Month],"&lt;"&amp;$C$4,tbl_WIP[Defer Start],"")+SUMIF('Deferred Revenue'!$E$6:$E$607,$A331,'Deferred Revenue'!$P$6:$P$607)</f>
        <v/>
      </c>
      <c r="D331" s="43">
        <f>SUMIFS(tbl_WIP[Amount],tbl_WIP[Job Number],$A331,tbl_WIP[Month],$C$4,tbl_WIP[Defer Start],"")+SUMIF('Deferred Revenue'!$E$6:$E$607,$A331,'Deferred Revenue'!$Q$6:$Q$607)</f>
        <v/>
      </c>
      <c r="E331" s="43">
        <f>C331+D331</f>
        <v/>
      </c>
      <c r="F331" s="50">
        <f>IF(ROUND(C331,2)+ROUND(D331,2)=0,"","yes")</f>
        <v/>
      </c>
      <c r="G331" s="61" t="n"/>
      <c r="H331" s="43">
        <f>IF($G331="","",$E331-$G331)</f>
        <v/>
      </c>
    </row>
    <row r="332">
      <c r="A332" s="60" t="inlineStr">
        <is>
          <t>26082801</t>
        </is>
      </c>
      <c r="B332" s="60" t="inlineStr">
        <is>
          <t>Ricoh Australia - SHELL AV Support</t>
        </is>
      </c>
      <c r="C332" s="43">
        <f>SUMIFS(tbl_WIP[Amount],tbl_WIP[Job Number],$A332,tbl_WIP[Month],"&lt;&gt;",tbl_WIP[Month],"&lt;"&amp;$C$4,tbl_WIP[Defer Start],"")+SUMIF('Deferred Revenue'!$E$6:$E$607,$A332,'Deferred Revenue'!$P$6:$P$607)</f>
        <v/>
      </c>
      <c r="D332" s="43">
        <f>SUMIFS(tbl_WIP[Amount],tbl_WIP[Job Number],$A332,tbl_WIP[Month],$C$4,tbl_WIP[Defer Start],"")+SUMIF('Deferred Revenue'!$E$6:$E$607,$A332,'Deferred Revenue'!$Q$6:$Q$607)</f>
        <v/>
      </c>
      <c r="E332" s="43">
        <f>C332+D332</f>
        <v/>
      </c>
      <c r="F332" s="50">
        <f>IF(ROUND(C332,2)+ROUND(D332,2)=0,"","yes")</f>
        <v/>
      </c>
      <c r="G332" s="61" t="n"/>
      <c r="H332" s="43">
        <f>IF($G332="","",$E332-$G332)</f>
        <v/>
      </c>
    </row>
    <row r="333">
      <c r="A333" s="60" t="inlineStr">
        <is>
          <t>2608402</t>
        </is>
      </c>
      <c r="B333" s="60" t="inlineStr">
        <is>
          <t>Garvan - Suttons Event - 15.10.26</t>
        </is>
      </c>
      <c r="C333" s="43">
        <f>SUMIFS(tbl_WIP[Amount],tbl_WIP[Job Number],$A333,tbl_WIP[Month],"&lt;&gt;",tbl_WIP[Month],"&lt;"&amp;$C$4,tbl_WIP[Defer Start],"")+SUMIF('Deferred Revenue'!$E$6:$E$607,$A333,'Deferred Revenue'!$P$6:$P$607)</f>
        <v/>
      </c>
      <c r="D333" s="43">
        <f>SUMIFS(tbl_WIP[Amount],tbl_WIP[Job Number],$A333,tbl_WIP[Month],$C$4,tbl_WIP[Defer Start],"")+SUMIF('Deferred Revenue'!$E$6:$E$607,$A333,'Deferred Revenue'!$Q$6:$Q$607)</f>
        <v/>
      </c>
      <c r="E333" s="43">
        <f>C333+D333</f>
        <v/>
      </c>
      <c r="F333" s="50">
        <f>IF(ROUND(C333,2)+ROUND(D333,2)=0,"","yes")</f>
        <v/>
      </c>
      <c r="G333" s="61" t="n"/>
      <c r="H333" s="43">
        <f>IF($G333="","",$E333-$G333)</f>
        <v/>
      </c>
    </row>
    <row r="334">
      <c r="A334" s="60" t="inlineStr">
        <is>
          <t>2608404</t>
        </is>
      </c>
      <c r="B334" s="60" t="inlineStr">
        <is>
          <t>St Vincents Public Hospital - Awards Night - 26.8.25</t>
        </is>
      </c>
      <c r="C334" s="43">
        <f>SUMIFS(tbl_WIP[Amount],tbl_WIP[Job Number],$A334,tbl_WIP[Month],"&lt;&gt;",tbl_WIP[Month],"&lt;"&amp;$C$4,tbl_WIP[Defer Start],"")+SUMIF('Deferred Revenue'!$E$6:$E$607,$A334,'Deferred Revenue'!$P$6:$P$607)</f>
        <v/>
      </c>
      <c r="D334" s="43">
        <f>SUMIFS(tbl_WIP[Amount],tbl_WIP[Job Number],$A334,tbl_WIP[Month],$C$4,tbl_WIP[Defer Start],"")+SUMIF('Deferred Revenue'!$E$6:$E$607,$A334,'Deferred Revenue'!$Q$6:$Q$607)</f>
        <v/>
      </c>
      <c r="E334" s="43">
        <f>C334+D334</f>
        <v/>
      </c>
      <c r="F334" s="50">
        <f>IF(ROUND(C334,2)+ROUND(D334,2)=0,"","yes")</f>
        <v/>
      </c>
      <c r="G334" s="61" t="n"/>
      <c r="H334" s="43">
        <f>IF($G334="","",$E334-$G334)</f>
        <v/>
      </c>
    </row>
    <row r="335">
      <c r="A335" s="60" t="inlineStr">
        <is>
          <t>2608404V</t>
        </is>
      </c>
      <c r="B335" s="60" t="inlineStr">
        <is>
          <t>St Vincents Public Hospital - Awards Night - 26.8.25</t>
        </is>
      </c>
      <c r="C335" s="43">
        <f>SUMIFS(tbl_WIP[Amount],tbl_WIP[Job Number],$A335,tbl_WIP[Month],"&lt;&gt;",tbl_WIP[Month],"&lt;"&amp;$C$4,tbl_WIP[Defer Start],"")+SUMIF('Deferred Revenue'!$E$6:$E$607,$A335,'Deferred Revenue'!$P$6:$P$607)</f>
        <v/>
      </c>
      <c r="D335" s="43">
        <f>SUMIFS(tbl_WIP[Amount],tbl_WIP[Job Number],$A335,tbl_WIP[Month],$C$4,tbl_WIP[Defer Start],"")+SUMIF('Deferred Revenue'!$E$6:$E$607,$A335,'Deferred Revenue'!$Q$6:$Q$607)</f>
        <v/>
      </c>
      <c r="E335" s="43">
        <f>C335+D335</f>
        <v/>
      </c>
      <c r="F335" s="50">
        <f>IF(ROUND(C335,2)+ROUND(D335,2)=0,"","yes")</f>
        <v/>
      </c>
      <c r="G335" s="61" t="n"/>
      <c r="H335" s="43">
        <f>IF($G335="","",$E335-$G335)</f>
        <v/>
      </c>
    </row>
    <row r="336">
      <c r="A336" s="60" t="inlineStr">
        <is>
          <t>2608604</t>
        </is>
      </c>
      <c r="B336" s="60" t="inlineStr">
        <is>
          <t>ASX - FYR Employee Town Hall - 13.8.26</t>
        </is>
      </c>
      <c r="C336" s="43">
        <f>SUMIFS(tbl_WIP[Amount],tbl_WIP[Job Number],$A336,tbl_WIP[Month],"&lt;&gt;",tbl_WIP[Month],"&lt;"&amp;$C$4,tbl_WIP[Defer Start],"")+SUMIF('Deferred Revenue'!$E$6:$E$607,$A336,'Deferred Revenue'!$P$6:$P$607)</f>
        <v/>
      </c>
      <c r="D336" s="43">
        <f>SUMIFS(tbl_WIP[Amount],tbl_WIP[Job Number],$A336,tbl_WIP[Month],$C$4,tbl_WIP[Defer Start],"")+SUMIF('Deferred Revenue'!$E$6:$E$607,$A336,'Deferred Revenue'!$Q$6:$Q$607)</f>
        <v/>
      </c>
      <c r="E336" s="43">
        <f>C336+D336</f>
        <v/>
      </c>
      <c r="F336" s="50">
        <f>IF(ROUND(C336,2)+ROUND(D336,2)=0,"","yes")</f>
        <v/>
      </c>
      <c r="G336" s="61" t="n"/>
      <c r="H336" s="43">
        <f>IF($G336="","",$E336-$G336)</f>
        <v/>
      </c>
    </row>
    <row r="337">
      <c r="A337" s="60" t="inlineStr">
        <is>
          <t>2608604V</t>
        </is>
      </c>
      <c r="B337" s="60" t="inlineStr">
        <is>
          <t>ASX - FYR Employee Town Hall - 13.8.26</t>
        </is>
      </c>
      <c r="C337" s="43">
        <f>SUMIFS(tbl_WIP[Amount],tbl_WIP[Job Number],$A337,tbl_WIP[Month],"&lt;&gt;",tbl_WIP[Month],"&lt;"&amp;$C$4,tbl_WIP[Defer Start],"")+SUMIF('Deferred Revenue'!$E$6:$E$607,$A337,'Deferred Revenue'!$P$6:$P$607)</f>
        <v/>
      </c>
      <c r="D337" s="43">
        <f>SUMIFS(tbl_WIP[Amount],tbl_WIP[Job Number],$A337,tbl_WIP[Month],$C$4,tbl_WIP[Defer Start],"")+SUMIF('Deferred Revenue'!$E$6:$E$607,$A337,'Deferred Revenue'!$Q$6:$Q$607)</f>
        <v/>
      </c>
      <c r="E337" s="43">
        <f>C337+D337</f>
        <v/>
      </c>
      <c r="F337" s="50">
        <f>IF(ROUND(C337,2)+ROUND(D337,2)=0,"","yes")</f>
        <v/>
      </c>
      <c r="G337" s="61" t="n"/>
      <c r="H337" s="43">
        <f>IF($G337="","",$E337-$G337)</f>
        <v/>
      </c>
    </row>
    <row r="338">
      <c r="A338" s="60" t="inlineStr">
        <is>
          <t>2608701</t>
        </is>
      </c>
      <c r="B338" s="60" t="inlineStr">
        <is>
          <t>Elkeim - Studio Support - 10.9.26</t>
        </is>
      </c>
      <c r="C338" s="43">
        <f>SUMIFS(tbl_WIP[Amount],tbl_WIP[Job Number],$A338,tbl_WIP[Month],"&lt;&gt;",tbl_WIP[Month],"&lt;"&amp;$C$4,tbl_WIP[Defer Start],"")+SUMIF('Deferred Revenue'!$E$6:$E$607,$A338,'Deferred Revenue'!$P$6:$P$607)</f>
        <v/>
      </c>
      <c r="D338" s="43">
        <f>SUMIFS(tbl_WIP[Amount],tbl_WIP[Job Number],$A338,tbl_WIP[Month],$C$4,tbl_WIP[Defer Start],"")+SUMIF('Deferred Revenue'!$E$6:$E$607,$A338,'Deferred Revenue'!$Q$6:$Q$607)</f>
        <v/>
      </c>
      <c r="E338" s="43">
        <f>C338+D338</f>
        <v/>
      </c>
      <c r="F338" s="50">
        <f>IF(ROUND(C338,2)+ROUND(D338,2)=0,"","yes")</f>
        <v/>
      </c>
      <c r="G338" s="61" t="n"/>
      <c r="H338" s="43">
        <f>IF($G338="","",$E338-$G338)</f>
        <v/>
      </c>
    </row>
    <row r="339">
      <c r="A339" s="60" t="inlineStr">
        <is>
          <t>2608702</t>
        </is>
      </c>
      <c r="B339" s="60" t="inlineStr">
        <is>
          <t>APA - Qtly All Hands SYD Screen Hire - 20.8.26</t>
        </is>
      </c>
      <c r="C339" s="43">
        <f>SUMIFS(tbl_WIP[Amount],tbl_WIP[Job Number],$A339,tbl_WIP[Month],"&lt;&gt;",tbl_WIP[Month],"&lt;"&amp;$C$4,tbl_WIP[Defer Start],"")+SUMIF('Deferred Revenue'!$E$6:$E$607,$A339,'Deferred Revenue'!$P$6:$P$607)</f>
        <v/>
      </c>
      <c r="D339" s="43">
        <f>SUMIFS(tbl_WIP[Amount],tbl_WIP[Job Number],$A339,tbl_WIP[Month],$C$4,tbl_WIP[Defer Start],"")+SUMIF('Deferred Revenue'!$E$6:$E$607,$A339,'Deferred Revenue'!$Q$6:$Q$607)</f>
        <v/>
      </c>
      <c r="E339" s="43">
        <f>C339+D339</f>
        <v/>
      </c>
      <c r="F339" s="50">
        <f>IF(ROUND(C339,2)+ROUND(D339,2)=0,"","yes")</f>
        <v/>
      </c>
      <c r="G339" s="61" t="n"/>
      <c r="H339" s="43">
        <f>IF($G339="","",$E339-$G339)</f>
        <v/>
      </c>
    </row>
    <row r="340">
      <c r="A340" s="60" t="inlineStr">
        <is>
          <t>26091002</t>
        </is>
      </c>
      <c r="B340" s="60" t="inlineStr">
        <is>
          <t>GP - Talking Philanthropy - Event Videography 18.9.26</t>
        </is>
      </c>
      <c r="C340" s="43">
        <f>SUMIFS(tbl_WIP[Amount],tbl_WIP[Job Number],$A340,tbl_WIP[Month],"&lt;&gt;",tbl_WIP[Month],"&lt;"&amp;$C$4,tbl_WIP[Defer Start],"")+SUMIF('Deferred Revenue'!$E$6:$E$607,$A340,'Deferred Revenue'!$P$6:$P$607)</f>
        <v/>
      </c>
      <c r="D340" s="43">
        <f>SUMIFS(tbl_WIP[Amount],tbl_WIP[Job Number],$A340,tbl_WIP[Month],$C$4,tbl_WIP[Defer Start],"")+SUMIF('Deferred Revenue'!$E$6:$E$607,$A340,'Deferred Revenue'!$Q$6:$Q$607)</f>
        <v/>
      </c>
      <c r="E340" s="43">
        <f>C340+D340</f>
        <v/>
      </c>
      <c r="F340" s="50">
        <f>IF(ROUND(C340,2)+ROUND(D340,2)=0,"","yes")</f>
        <v/>
      </c>
      <c r="G340" s="61" t="n"/>
      <c r="H340" s="43">
        <f>IF($G340="","",$E340-$G340)</f>
        <v/>
      </c>
    </row>
    <row r="341">
      <c r="A341" s="60" t="inlineStr">
        <is>
          <t>26091002V</t>
        </is>
      </c>
      <c r="B341" s="60" t="inlineStr">
        <is>
          <t>GP - Talking Philanthropy - Event Videography 18.9.26</t>
        </is>
      </c>
      <c r="C341" s="43">
        <f>SUMIFS(tbl_WIP[Amount],tbl_WIP[Job Number],$A341,tbl_WIP[Month],"&lt;&gt;",tbl_WIP[Month],"&lt;"&amp;$C$4,tbl_WIP[Defer Start],"")+SUMIF('Deferred Revenue'!$E$6:$E$607,$A341,'Deferred Revenue'!$P$6:$P$607)</f>
        <v/>
      </c>
      <c r="D341" s="43">
        <f>SUMIFS(tbl_WIP[Amount],tbl_WIP[Job Number],$A341,tbl_WIP[Month],$C$4,tbl_WIP[Defer Start],"")+SUMIF('Deferred Revenue'!$E$6:$E$607,$A341,'Deferred Revenue'!$Q$6:$Q$607)</f>
        <v/>
      </c>
      <c r="E341" s="43">
        <f>C341+D341</f>
        <v/>
      </c>
      <c r="F341" s="50">
        <f>IF(ROUND(C341,2)+ROUND(D341,2)=0,"","yes")</f>
        <v/>
      </c>
      <c r="G341" s="61" t="n"/>
      <c r="H341" s="43">
        <f>IF($G341="","",$E341-$G341)</f>
        <v/>
      </c>
    </row>
    <row r="342">
      <c r="A342" s="60" t="inlineStr">
        <is>
          <t>26091601</t>
        </is>
      </c>
      <c r="B342" s="60" t="inlineStr">
        <is>
          <t>Automic - September All Hands - 25.9.26</t>
        </is>
      </c>
      <c r="C342" s="43">
        <f>SUMIFS(tbl_WIP[Amount],tbl_WIP[Job Number],$A342,tbl_WIP[Month],"&lt;&gt;",tbl_WIP[Month],"&lt;"&amp;$C$4,tbl_WIP[Defer Start],"")+SUMIF('Deferred Revenue'!$E$6:$E$607,$A342,'Deferred Revenue'!$P$6:$P$607)</f>
        <v/>
      </c>
      <c r="D342" s="43">
        <f>SUMIFS(tbl_WIP[Amount],tbl_WIP[Job Number],$A342,tbl_WIP[Month],$C$4,tbl_WIP[Defer Start],"")+SUMIF('Deferred Revenue'!$E$6:$E$607,$A342,'Deferred Revenue'!$Q$6:$Q$607)</f>
        <v/>
      </c>
      <c r="E342" s="43">
        <f>C342+D342</f>
        <v/>
      </c>
      <c r="F342" s="50">
        <f>IF(ROUND(C342,2)+ROUND(D342,2)=0,"","yes")</f>
        <v/>
      </c>
      <c r="G342" s="61" t="n"/>
      <c r="H342" s="43">
        <f>IF($G342="","",$E342-$G342)</f>
        <v/>
      </c>
    </row>
    <row r="343">
      <c r="A343" s="60" t="inlineStr">
        <is>
          <t>26091601V</t>
        </is>
      </c>
      <c r="B343" s="60" t="inlineStr">
        <is>
          <t>Automic - September All Hands - 25.9.26</t>
        </is>
      </c>
      <c r="C343" s="43">
        <f>SUMIFS(tbl_WIP[Amount],tbl_WIP[Job Number],$A343,tbl_WIP[Month],"&lt;&gt;",tbl_WIP[Month],"&lt;"&amp;$C$4,tbl_WIP[Defer Start],"")+SUMIF('Deferred Revenue'!$E$6:$E$607,$A343,'Deferred Revenue'!$P$6:$P$607)</f>
        <v/>
      </c>
      <c r="D343" s="43">
        <f>SUMIFS(tbl_WIP[Amount],tbl_WIP[Job Number],$A343,tbl_WIP[Month],$C$4,tbl_WIP[Defer Start],"")+SUMIF('Deferred Revenue'!$E$6:$E$607,$A343,'Deferred Revenue'!$Q$6:$Q$607)</f>
        <v/>
      </c>
      <c r="E343" s="43">
        <f>C343+D343</f>
        <v/>
      </c>
      <c r="F343" s="50">
        <f>IF(ROUND(C343,2)+ROUND(D343,2)=0,"","yes")</f>
        <v/>
      </c>
      <c r="G343" s="61" t="n"/>
      <c r="H343" s="43">
        <f>IF($G343="","",$E343-$G343)</f>
        <v/>
      </c>
    </row>
    <row r="344">
      <c r="A344" s="60" t="inlineStr">
        <is>
          <t>26091604</t>
        </is>
      </c>
      <c r="B344" s="60" t="inlineStr">
        <is>
          <t>The George Institute - SYD CV Symposium - 29-30.10.26</t>
        </is>
      </c>
      <c r="C344" s="43">
        <f>SUMIFS(tbl_WIP[Amount],tbl_WIP[Job Number],$A344,tbl_WIP[Month],"&lt;&gt;",tbl_WIP[Month],"&lt;"&amp;$C$4,tbl_WIP[Defer Start],"")+SUMIF('Deferred Revenue'!$E$6:$E$607,$A344,'Deferred Revenue'!$P$6:$P$607)</f>
        <v/>
      </c>
      <c r="D344" s="43">
        <f>SUMIFS(tbl_WIP[Amount],tbl_WIP[Job Number],$A344,tbl_WIP[Month],$C$4,tbl_WIP[Defer Start],"")+SUMIF('Deferred Revenue'!$E$6:$E$607,$A344,'Deferred Revenue'!$Q$6:$Q$607)</f>
        <v/>
      </c>
      <c r="E344" s="43">
        <f>C344+D344</f>
        <v/>
      </c>
      <c r="F344" s="50">
        <f>IF(ROUND(C344,2)+ROUND(D344,2)=0,"","yes")</f>
        <v/>
      </c>
      <c r="G344" s="61" t="n"/>
      <c r="H344" s="43">
        <f>IF($G344="","",$E344-$G344)</f>
        <v/>
      </c>
    </row>
    <row r="345">
      <c r="A345" s="60" t="inlineStr">
        <is>
          <t>26091604V</t>
        </is>
      </c>
      <c r="B345" s="60" t="inlineStr">
        <is>
          <t>The George Institute - SYD CV Symposium - 29-30.10.26</t>
        </is>
      </c>
      <c r="C345" s="43">
        <f>SUMIFS(tbl_WIP[Amount],tbl_WIP[Job Number],$A345,tbl_WIP[Month],"&lt;&gt;",tbl_WIP[Month],"&lt;"&amp;$C$4,tbl_WIP[Defer Start],"")+SUMIF('Deferred Revenue'!$E$6:$E$607,$A345,'Deferred Revenue'!$P$6:$P$607)</f>
        <v/>
      </c>
      <c r="D345" s="43">
        <f>SUMIFS(tbl_WIP[Amount],tbl_WIP[Job Number],$A345,tbl_WIP[Month],$C$4,tbl_WIP[Defer Start],"")+SUMIF('Deferred Revenue'!$E$6:$E$607,$A345,'Deferred Revenue'!$Q$6:$Q$607)</f>
        <v/>
      </c>
      <c r="E345" s="43">
        <f>C345+D345</f>
        <v/>
      </c>
      <c r="F345" s="50">
        <f>IF(ROUND(C345,2)+ROUND(D345,2)=0,"","yes")</f>
        <v/>
      </c>
      <c r="G345" s="61" t="n"/>
      <c r="H345" s="43">
        <f>IF($G345="","",$E345-$G345)</f>
        <v/>
      </c>
    </row>
    <row r="346">
      <c r="A346" s="60" t="inlineStr">
        <is>
          <t>2609402</t>
        </is>
      </c>
      <c r="B346" s="60" t="inlineStr">
        <is>
          <t>MUFG - SUN Investor Day - 29.10.26</t>
        </is>
      </c>
      <c r="C346" s="43">
        <f>SUMIFS(tbl_WIP[Amount],tbl_WIP[Job Number],$A346,tbl_WIP[Month],"&lt;&gt;",tbl_WIP[Month],"&lt;"&amp;$C$4,tbl_WIP[Defer Start],"")+SUMIF('Deferred Revenue'!$E$6:$E$607,$A346,'Deferred Revenue'!$P$6:$P$607)</f>
        <v/>
      </c>
      <c r="D346" s="43">
        <f>SUMIFS(tbl_WIP[Amount],tbl_WIP[Job Number],$A346,tbl_WIP[Month],$C$4,tbl_WIP[Defer Start],"")+SUMIF('Deferred Revenue'!$E$6:$E$607,$A346,'Deferred Revenue'!$Q$6:$Q$607)</f>
        <v/>
      </c>
      <c r="E346" s="43">
        <f>C346+D346</f>
        <v/>
      </c>
      <c r="F346" s="50">
        <f>IF(ROUND(C346,2)+ROUND(D346,2)=0,"","yes")</f>
        <v/>
      </c>
      <c r="G346" s="61" t="n"/>
      <c r="H346" s="43">
        <f>IF($G346="","",$E346-$G346)</f>
        <v/>
      </c>
    </row>
    <row r="347">
      <c r="A347" s="60" t="inlineStr">
        <is>
          <t>2609402V</t>
        </is>
      </c>
      <c r="B347" s="60" t="inlineStr">
        <is>
          <t>MUFG - SUN Investor Day - 29.10.26</t>
        </is>
      </c>
      <c r="C347" s="43">
        <f>SUMIFS(tbl_WIP[Amount],tbl_WIP[Job Number],$A347,tbl_WIP[Month],"&lt;&gt;",tbl_WIP[Month],"&lt;"&amp;$C$4,tbl_WIP[Defer Start],"")+SUMIF('Deferred Revenue'!$E$6:$E$607,$A347,'Deferred Revenue'!$P$6:$P$607)</f>
        <v/>
      </c>
      <c r="D347" s="43">
        <f>SUMIFS(tbl_WIP[Amount],tbl_WIP[Job Number],$A347,tbl_WIP[Month],$C$4,tbl_WIP[Defer Start],"")+SUMIF('Deferred Revenue'!$E$6:$E$607,$A347,'Deferred Revenue'!$Q$6:$Q$607)</f>
        <v/>
      </c>
      <c r="E347" s="43">
        <f>C347+D347</f>
        <v/>
      </c>
      <c r="F347" s="50">
        <f>IF(ROUND(C347,2)+ROUND(D347,2)=0,"","yes")</f>
        <v/>
      </c>
      <c r="G347" s="61" t="n"/>
      <c r="H347" s="43">
        <f>IF($G347="","",$E347-$G347)</f>
        <v/>
      </c>
    </row>
    <row r="348">
      <c r="A348" s="60" t="inlineStr">
        <is>
          <t>2609801</t>
        </is>
      </c>
      <c r="B348" s="60" t="inlineStr">
        <is>
          <t>Elkiem - Studio Support - 16.9.26</t>
        </is>
      </c>
      <c r="C348" s="43">
        <f>SUMIFS(tbl_WIP[Amount],tbl_WIP[Job Number],$A348,tbl_WIP[Month],"&lt;&gt;",tbl_WIP[Month],"&lt;"&amp;$C$4,tbl_WIP[Defer Start],"")+SUMIF('Deferred Revenue'!$E$6:$E$607,$A348,'Deferred Revenue'!$P$6:$P$607)</f>
        <v/>
      </c>
      <c r="D348" s="43">
        <f>SUMIFS(tbl_WIP[Amount],tbl_WIP[Job Number],$A348,tbl_WIP[Month],$C$4,tbl_WIP[Defer Start],"")+SUMIF('Deferred Revenue'!$E$6:$E$607,$A348,'Deferred Revenue'!$Q$6:$Q$607)</f>
        <v/>
      </c>
      <c r="E348" s="43">
        <f>C348+D348</f>
        <v/>
      </c>
      <c r="F348" s="50">
        <f>IF(ROUND(C348,2)+ROUND(D348,2)=0,"","yes")</f>
        <v/>
      </c>
      <c r="G348" s="61" t="n"/>
      <c r="H348" s="43">
        <f>IF($G348="","",$E348-$G348)</f>
        <v/>
      </c>
    </row>
    <row r="349">
      <c r="A349" s="60" t="inlineStr">
        <is>
          <t>2645</t>
        </is>
      </c>
      <c r="B349" s="60" t="inlineStr">
        <is>
          <t>EY SYD Tech Support</t>
        </is>
      </c>
      <c r="C349" s="43">
        <f>SUMIFS(tbl_WIP[Amount],tbl_WIP[Job Number],$A349,tbl_WIP[Month],"&lt;&gt;",tbl_WIP[Month],"&lt;"&amp;$C$4,tbl_WIP[Defer Start],"")+SUMIF('Deferred Revenue'!$E$6:$E$607,$A349,'Deferred Revenue'!$P$6:$P$607)</f>
        <v/>
      </c>
      <c r="D349" s="43">
        <f>SUMIFS(tbl_WIP[Amount],tbl_WIP[Job Number],$A349,tbl_WIP[Month],$C$4,tbl_WIP[Defer Start],"")+SUMIF('Deferred Revenue'!$E$6:$E$607,$A349,'Deferred Revenue'!$Q$6:$Q$607)</f>
        <v/>
      </c>
      <c r="E349" s="43">
        <f>C349+D349</f>
        <v/>
      </c>
      <c r="F349" s="50">
        <f>IF(ROUND(C349,2)+ROUND(D349,2)=0,"","yes")</f>
        <v/>
      </c>
      <c r="G349" s="61" t="n"/>
      <c r="H349" s="43">
        <f>IF($G349="","",$E349-$G349)</f>
        <v/>
      </c>
    </row>
    <row r="350">
      <c r="A350" s="60" t="inlineStr">
        <is>
          <t>2648</t>
        </is>
      </c>
      <c r="B350" s="60" t="inlineStr">
        <is>
          <t>DTTL MEL Additional Tech</t>
        </is>
      </c>
      <c r="C350" s="43">
        <f>SUMIFS(tbl_WIP[Amount],tbl_WIP[Job Number],$A350,tbl_WIP[Month],"&lt;&gt;",tbl_WIP[Month],"&lt;"&amp;$C$4,tbl_WIP[Defer Start],"")+SUMIF('Deferred Revenue'!$E$6:$E$607,$A350,'Deferred Revenue'!$P$6:$P$607)</f>
        <v/>
      </c>
      <c r="D350" s="43">
        <f>SUMIFS(tbl_WIP[Amount],tbl_WIP[Job Number],$A350,tbl_WIP[Month],$C$4,tbl_WIP[Defer Start],"")+SUMIF('Deferred Revenue'!$E$6:$E$607,$A350,'Deferred Revenue'!$Q$6:$Q$607)</f>
        <v/>
      </c>
      <c r="E350" s="43">
        <f>C350+D350</f>
        <v/>
      </c>
      <c r="F350" s="50">
        <f>IF(ROUND(C350,2)+ROUND(D350,2)=0,"","yes")</f>
        <v/>
      </c>
      <c r="G350" s="61" t="n"/>
      <c r="H350" s="43">
        <f>IF($G350="","",$E350-$G350)</f>
        <v/>
      </c>
    </row>
    <row r="351">
      <c r="A351" s="60" t="inlineStr">
        <is>
          <t>2658</t>
        </is>
      </c>
      <c r="B351" s="60" t="inlineStr">
        <is>
          <t>EY MELB Tech</t>
        </is>
      </c>
      <c r="C351" s="43">
        <f>SUMIFS(tbl_WIP[Amount],tbl_WIP[Job Number],$A351,tbl_WIP[Month],"&lt;&gt;",tbl_WIP[Month],"&lt;"&amp;$C$4,tbl_WIP[Defer Start],"")+SUMIF('Deferred Revenue'!$E$6:$E$607,$A351,'Deferred Revenue'!$P$6:$P$607)</f>
        <v/>
      </c>
      <c r="D351" s="43">
        <f>SUMIFS(tbl_WIP[Amount],tbl_WIP[Job Number],$A351,tbl_WIP[Month],$C$4,tbl_WIP[Defer Start],"")+SUMIF('Deferred Revenue'!$E$6:$E$607,$A351,'Deferred Revenue'!$Q$6:$Q$607)</f>
        <v/>
      </c>
      <c r="E351" s="43">
        <f>C351+D351</f>
        <v/>
      </c>
      <c r="F351" s="50">
        <f>IF(ROUND(C351,2)+ROUND(D351,2)=0,"","yes")</f>
        <v/>
      </c>
      <c r="G351" s="61" t="n"/>
      <c r="H351" s="43">
        <f>IF($G351="","",$E351-$G351)</f>
        <v/>
      </c>
    </row>
    <row r="352">
      <c r="A352" s="60" t="inlineStr">
        <is>
          <t>2675</t>
        </is>
      </c>
      <c r="B352" s="60" t="inlineStr">
        <is>
          <t>ONS EY (non-chargeable)</t>
        </is>
      </c>
      <c r="C352" s="43">
        <f>SUMIFS(tbl_WIP[Amount],tbl_WIP[Job Number],$A352,tbl_WIP[Month],"&lt;&gt;",tbl_WIP[Month],"&lt;"&amp;$C$4,tbl_WIP[Defer Start],"")+SUMIF('Deferred Revenue'!$E$6:$E$607,$A352,'Deferred Revenue'!$P$6:$P$607)</f>
        <v/>
      </c>
      <c r="D352" s="43">
        <f>SUMIFS(tbl_WIP[Amount],tbl_WIP[Job Number],$A352,tbl_WIP[Month],$C$4,tbl_WIP[Defer Start],"")+SUMIF('Deferred Revenue'!$E$6:$E$607,$A352,'Deferred Revenue'!$Q$6:$Q$607)</f>
        <v/>
      </c>
      <c r="E352" s="43">
        <f>C352+D352</f>
        <v/>
      </c>
      <c r="F352" s="50">
        <f>IF(ROUND(C352,2)+ROUND(D352,2)=0,"","yes")</f>
        <v/>
      </c>
      <c r="G352" s="61" t="n"/>
      <c r="H352" s="43">
        <f>IF($G352="","",$E352-$G352)</f>
        <v/>
      </c>
    </row>
    <row r="353">
      <c r="A353" s="60" t="inlineStr">
        <is>
          <t>2685</t>
        </is>
      </c>
      <c r="B353" s="60" t="inlineStr">
        <is>
          <t>APA Proxyclick BNE &amp; DRW</t>
        </is>
      </c>
      <c r="C353" s="43">
        <f>SUMIFS(tbl_WIP[Amount],tbl_WIP[Job Number],$A353,tbl_WIP[Month],"&lt;&gt;",tbl_WIP[Month],"&lt;"&amp;$C$4,tbl_WIP[Defer Start],"")+SUMIF('Deferred Revenue'!$E$6:$E$607,$A353,'Deferred Revenue'!$P$6:$P$607)</f>
        <v/>
      </c>
      <c r="D353" s="43">
        <f>SUMIFS(tbl_WIP[Amount],tbl_WIP[Job Number],$A353,tbl_WIP[Month],$C$4,tbl_WIP[Defer Start],"")+SUMIF('Deferred Revenue'!$E$6:$E$607,$A353,'Deferred Revenue'!$Q$6:$Q$607)</f>
        <v/>
      </c>
      <c r="E353" s="43">
        <f>C353+D353</f>
        <v/>
      </c>
      <c r="F353" s="50">
        <f>IF(ROUND(C353,2)+ROUND(D353,2)=0,"","yes")</f>
        <v/>
      </c>
      <c r="G353" s="61" t="n"/>
      <c r="H353" s="43">
        <f>IF($G353="","",$E353-$G353)</f>
        <v/>
      </c>
    </row>
    <row r="354">
      <c r="A354" s="60" t="inlineStr">
        <is>
          <t>2706</t>
        </is>
      </c>
      <c r="B354" s="60" t="inlineStr">
        <is>
          <t>EPA 6PSQ Proxyclick VMS</t>
        </is>
      </c>
      <c r="C354" s="43">
        <f>SUMIFS(tbl_WIP[Amount],tbl_WIP[Job Number],$A354,tbl_WIP[Month],"&lt;&gt;",tbl_WIP[Month],"&lt;"&amp;$C$4,tbl_WIP[Defer Start],"")+SUMIF('Deferred Revenue'!$E$6:$E$607,$A354,'Deferred Revenue'!$P$6:$P$607)</f>
        <v/>
      </c>
      <c r="D354" s="43">
        <f>SUMIFS(tbl_WIP[Amount],tbl_WIP[Job Number],$A354,tbl_WIP[Month],$C$4,tbl_WIP[Defer Start],"")+SUMIF('Deferred Revenue'!$E$6:$E$607,$A354,'Deferred Revenue'!$Q$6:$Q$607)</f>
        <v/>
      </c>
      <c r="E354" s="43">
        <f>C354+D354</f>
        <v/>
      </c>
      <c r="F354" s="50">
        <f>IF(ROUND(C354,2)+ROUND(D354,2)=0,"","yes")</f>
        <v/>
      </c>
      <c r="G354" s="61" t="n"/>
      <c r="H354" s="43">
        <f>IF($G354="","",$E354-$G354)</f>
        <v/>
      </c>
    </row>
    <row r="355">
      <c r="A355" s="60" t="inlineStr">
        <is>
          <t>2719</t>
        </is>
      </c>
      <c r="B355" s="60" t="inlineStr">
        <is>
          <t>GSP - 6PSQProxyclickOnb</t>
        </is>
      </c>
      <c r="C355" s="43">
        <f>SUMIFS(tbl_WIP[Amount],tbl_WIP[Job Number],$A355,tbl_WIP[Month],"&lt;&gt;",tbl_WIP[Month],"&lt;"&amp;$C$4,tbl_WIP[Defer Start],"")+SUMIF('Deferred Revenue'!$E$6:$E$607,$A355,'Deferred Revenue'!$P$6:$P$607)</f>
        <v/>
      </c>
      <c r="D355" s="43">
        <f>SUMIFS(tbl_WIP[Amount],tbl_WIP[Job Number],$A355,tbl_WIP[Month],$C$4,tbl_WIP[Defer Start],"")+SUMIF('Deferred Revenue'!$E$6:$E$607,$A355,'Deferred Revenue'!$Q$6:$Q$607)</f>
        <v/>
      </c>
      <c r="E355" s="43">
        <f>C355+D355</f>
        <v/>
      </c>
      <c r="F355" s="50">
        <f>IF(ROUND(C355,2)+ROUND(D355,2)=0,"","yes")</f>
        <v/>
      </c>
      <c r="G355" s="61" t="n"/>
      <c r="H355" s="43">
        <f>IF($G355="","",$E355-$G355)</f>
        <v/>
      </c>
    </row>
    <row r="356">
      <c r="A356" s="60" t="inlineStr">
        <is>
          <t>2722</t>
        </is>
      </c>
      <c r="B356" s="60" t="inlineStr">
        <is>
          <t>PWC Monthly Consulting</t>
        </is>
      </c>
      <c r="C356" s="43">
        <f>SUMIFS(tbl_WIP[Amount],tbl_WIP[Job Number],$A356,tbl_WIP[Month],"&lt;&gt;",tbl_WIP[Month],"&lt;"&amp;$C$4,tbl_WIP[Defer Start],"")+SUMIF('Deferred Revenue'!$E$6:$E$607,$A356,'Deferred Revenue'!$P$6:$P$607)</f>
        <v/>
      </c>
      <c r="D356" s="43">
        <f>SUMIFS(tbl_WIP[Amount],tbl_WIP[Job Number],$A356,tbl_WIP[Month],$C$4,tbl_WIP[Defer Start],"")+SUMIF('Deferred Revenue'!$E$6:$E$607,$A356,'Deferred Revenue'!$Q$6:$Q$607)</f>
        <v/>
      </c>
      <c r="E356" s="43">
        <f>C356+D356</f>
        <v/>
      </c>
      <c r="F356" s="50">
        <f>IF(ROUND(C356,2)+ROUND(D356,2)=0,"","yes")</f>
        <v/>
      </c>
      <c r="G356" s="61" t="n"/>
      <c r="H356" s="43">
        <f>IF($G356="","",$E356-$G356)</f>
        <v/>
      </c>
    </row>
    <row r="357">
      <c r="A357" s="60" t="inlineStr">
        <is>
          <t>2726</t>
        </is>
      </c>
      <c r="B357" s="60" t="inlineStr">
        <is>
          <t>KPMG MEL Tech</t>
        </is>
      </c>
      <c r="C357" s="43">
        <f>SUMIFS(tbl_WIP[Amount],tbl_WIP[Job Number],$A357,tbl_WIP[Month],"&lt;&gt;",tbl_WIP[Month],"&lt;"&amp;$C$4,tbl_WIP[Defer Start],"")+SUMIF('Deferred Revenue'!$E$6:$E$607,$A357,'Deferred Revenue'!$P$6:$P$607)</f>
        <v/>
      </c>
      <c r="D357" s="43">
        <f>SUMIFS(tbl_WIP[Amount],tbl_WIP[Job Number],$A357,tbl_WIP[Month],$C$4,tbl_WIP[Defer Start],"")+SUMIF('Deferred Revenue'!$E$6:$E$607,$A357,'Deferred Revenue'!$Q$6:$Q$607)</f>
        <v/>
      </c>
      <c r="E357" s="43">
        <f>C357+D357</f>
        <v/>
      </c>
      <c r="F357" s="50">
        <f>IF(ROUND(C357,2)+ROUND(D357,2)=0,"","yes")</f>
        <v/>
      </c>
      <c r="G357" s="61" t="n"/>
      <c r="H357" s="43">
        <f>IF($G357="","",$E357-$G357)</f>
        <v/>
      </c>
    </row>
    <row r="358">
      <c r="A358" s="60" t="inlineStr">
        <is>
          <t>2756</t>
        </is>
      </c>
      <c r="B358" s="60" t="inlineStr">
        <is>
          <t>CTS Mgmt Meetings</t>
        </is>
      </c>
      <c r="C358" s="43">
        <f>SUMIFS(tbl_WIP[Amount],tbl_WIP[Job Number],$A358,tbl_WIP[Month],"&lt;&gt;",tbl_WIP[Month],"&lt;"&amp;$C$4,tbl_WIP[Defer Start],"")+SUMIF('Deferred Revenue'!$E$6:$E$607,$A358,'Deferred Revenue'!$P$6:$P$607)</f>
        <v/>
      </c>
      <c r="D358" s="43">
        <f>SUMIFS(tbl_WIP[Amount],tbl_WIP[Job Number],$A358,tbl_WIP[Month],$C$4,tbl_WIP[Defer Start],"")+SUMIF('Deferred Revenue'!$E$6:$E$607,$A358,'Deferred Revenue'!$Q$6:$Q$607)</f>
        <v/>
      </c>
      <c r="E358" s="43">
        <f>C358+D358</f>
        <v/>
      </c>
      <c r="F358" s="50">
        <f>IF(ROUND(C358,2)+ROUND(D358,2)=0,"","yes")</f>
        <v/>
      </c>
      <c r="G358" s="61" t="n"/>
      <c r="H358" s="43">
        <f>IF($G358="","",$E358-$G358)</f>
        <v/>
      </c>
    </row>
    <row r="359">
      <c r="A359" s="60" t="inlineStr">
        <is>
          <t>2834</t>
        </is>
      </c>
      <c r="B359" s="60" t="inlineStr">
        <is>
          <t>APA Young - Visitor Mgmt</t>
        </is>
      </c>
      <c r="C359" s="43">
        <f>SUMIFS(tbl_WIP[Amount],tbl_WIP[Job Number],$A359,tbl_WIP[Month],"&lt;&gt;",tbl_WIP[Month],"&lt;"&amp;$C$4,tbl_WIP[Defer Start],"")+SUMIF('Deferred Revenue'!$E$6:$E$607,$A359,'Deferred Revenue'!$P$6:$P$607)</f>
        <v/>
      </c>
      <c r="D359" s="43">
        <f>SUMIFS(tbl_WIP[Amount],tbl_WIP[Job Number],$A359,tbl_WIP[Month],$C$4,tbl_WIP[Defer Start],"")+SUMIF('Deferred Revenue'!$E$6:$E$607,$A359,'Deferred Revenue'!$Q$6:$Q$607)</f>
        <v/>
      </c>
      <c r="E359" s="43">
        <f>C359+D359</f>
        <v/>
      </c>
      <c r="F359" s="50">
        <f>IF(ROUND(C359,2)+ROUND(D359,2)=0,"","yes")</f>
        <v/>
      </c>
      <c r="G359" s="61" t="n"/>
      <c r="H359" s="43">
        <f>IF($G359="","",$E359-$G359)</f>
        <v/>
      </c>
    </row>
    <row r="360">
      <c r="A360" s="60" t="inlineStr">
        <is>
          <t>2838</t>
        </is>
      </c>
      <c r="B360" s="60" t="inlineStr">
        <is>
          <t>KPMG SYD Tech</t>
        </is>
      </c>
      <c r="C360" s="43">
        <f>SUMIFS(tbl_WIP[Amount],tbl_WIP[Job Number],$A360,tbl_WIP[Month],"&lt;&gt;",tbl_WIP[Month],"&lt;"&amp;$C$4,tbl_WIP[Defer Start],"")+SUMIF('Deferred Revenue'!$E$6:$E$607,$A360,'Deferred Revenue'!$P$6:$P$607)</f>
        <v/>
      </c>
      <c r="D360" s="43">
        <f>SUMIFS(tbl_WIP[Amount],tbl_WIP[Job Number],$A360,tbl_WIP[Month],$C$4,tbl_WIP[Defer Start],"")+SUMIF('Deferred Revenue'!$E$6:$E$607,$A360,'Deferred Revenue'!$Q$6:$Q$607)</f>
        <v/>
      </c>
      <c r="E360" s="43">
        <f>C360+D360</f>
        <v/>
      </c>
      <c r="F360" s="50">
        <f>IF(ROUND(C360,2)+ROUND(D360,2)=0,"","yes")</f>
        <v/>
      </c>
      <c r="G360" s="61" t="n"/>
      <c r="H360" s="43">
        <f>IF($G360="","",$E360-$G360)</f>
        <v/>
      </c>
    </row>
    <row r="361">
      <c r="A361" s="60" t="inlineStr">
        <is>
          <t>2846</t>
        </is>
      </c>
      <c r="B361" s="60" t="inlineStr">
        <is>
          <t>DTTL National STL</t>
        </is>
      </c>
      <c r="C361" s="43">
        <f>SUMIFS(tbl_WIP[Amount],tbl_WIP[Job Number],$A361,tbl_WIP[Month],"&lt;&gt;",tbl_WIP[Month],"&lt;"&amp;$C$4,tbl_WIP[Defer Start],"")+SUMIF('Deferred Revenue'!$E$6:$E$607,$A361,'Deferred Revenue'!$P$6:$P$607)</f>
        <v/>
      </c>
      <c r="D361" s="43">
        <f>SUMIFS(tbl_WIP[Amount],tbl_WIP[Job Number],$A361,tbl_WIP[Month],$C$4,tbl_WIP[Defer Start],"")+SUMIF('Deferred Revenue'!$E$6:$E$607,$A361,'Deferred Revenue'!$Q$6:$Q$607)</f>
        <v/>
      </c>
      <c r="E361" s="43">
        <f>C361+D361</f>
        <v/>
      </c>
      <c r="F361" s="50">
        <f>IF(ROUND(C361,2)+ROUND(D361,2)=0,"","yes")</f>
        <v/>
      </c>
      <c r="G361" s="61" t="n"/>
      <c r="H361" s="43">
        <f>IF($G361="","",$E361-$G361)</f>
        <v/>
      </c>
    </row>
    <row r="362">
      <c r="A362" s="60" t="inlineStr">
        <is>
          <t>2848</t>
        </is>
      </c>
      <c r="B362" s="60" t="inlineStr">
        <is>
          <t>APA ADL Visitor Mgmt</t>
        </is>
      </c>
      <c r="C362" s="43">
        <f>SUMIFS(tbl_WIP[Amount],tbl_WIP[Job Number],$A362,tbl_WIP[Month],"&lt;&gt;",tbl_WIP[Month],"&lt;"&amp;$C$4,tbl_WIP[Defer Start],"")+SUMIF('Deferred Revenue'!$E$6:$E$607,$A362,'Deferred Revenue'!$P$6:$P$607)</f>
        <v/>
      </c>
      <c r="D362" s="43">
        <f>SUMIFS(tbl_WIP[Amount],tbl_WIP[Job Number],$A362,tbl_WIP[Month],$C$4,tbl_WIP[Defer Start],"")+SUMIF('Deferred Revenue'!$E$6:$E$607,$A362,'Deferred Revenue'!$Q$6:$Q$607)</f>
        <v/>
      </c>
      <c r="E362" s="43">
        <f>C362+D362</f>
        <v/>
      </c>
      <c r="F362" s="50">
        <f>IF(ROUND(C362,2)+ROUND(D362,2)=0,"","yes")</f>
        <v/>
      </c>
      <c r="G362" s="61" t="n"/>
      <c r="H362" s="43">
        <f>IF($G362="","",$E362-$G362)</f>
        <v/>
      </c>
    </row>
    <row r="363">
      <c r="A363" s="60" t="inlineStr">
        <is>
          <t>2849</t>
        </is>
      </c>
      <c r="B363" s="60" t="inlineStr">
        <is>
          <t>DTTL SYD Internal</t>
        </is>
      </c>
      <c r="C363" s="43">
        <f>SUMIFS(tbl_WIP[Amount],tbl_WIP[Job Number],$A363,tbl_WIP[Month],"&lt;&gt;",tbl_WIP[Month],"&lt;"&amp;$C$4,tbl_WIP[Defer Start],"")+SUMIF('Deferred Revenue'!$E$6:$E$607,$A363,'Deferred Revenue'!$P$6:$P$607)</f>
        <v/>
      </c>
      <c r="D363" s="43">
        <f>SUMIFS(tbl_WIP[Amount],tbl_WIP[Job Number],$A363,tbl_WIP[Month],$C$4,tbl_WIP[Defer Start],"")+SUMIF('Deferred Revenue'!$E$6:$E$607,$A363,'Deferred Revenue'!$Q$6:$Q$607)</f>
        <v/>
      </c>
      <c r="E363" s="43">
        <f>C363+D363</f>
        <v/>
      </c>
      <c r="F363" s="50">
        <f>IF(ROUND(C363,2)+ROUND(D363,2)=0,"","yes")</f>
        <v/>
      </c>
      <c r="G363" s="61" t="n"/>
      <c r="H363" s="43">
        <f>IF($G363="","",$E363-$G363)</f>
        <v/>
      </c>
    </row>
    <row r="364">
      <c r="A364" s="60" t="inlineStr">
        <is>
          <t>2855</t>
        </is>
      </c>
      <c r="B364" s="60" t="inlineStr">
        <is>
          <t>APA Melbourne VMS</t>
        </is>
      </c>
      <c r="C364" s="43">
        <f>SUMIFS(tbl_WIP[Amount],tbl_WIP[Job Number],$A364,tbl_WIP[Month],"&lt;&gt;",tbl_WIP[Month],"&lt;"&amp;$C$4,tbl_WIP[Defer Start],"")+SUMIF('Deferred Revenue'!$E$6:$E$607,$A364,'Deferred Revenue'!$P$6:$P$607)</f>
        <v/>
      </c>
      <c r="D364" s="43">
        <f>SUMIFS(tbl_WIP[Amount],tbl_WIP[Job Number],$A364,tbl_WIP[Month],$C$4,tbl_WIP[Defer Start],"")+SUMIF('Deferred Revenue'!$E$6:$E$607,$A364,'Deferred Revenue'!$Q$6:$Q$607)</f>
        <v/>
      </c>
      <c r="E364" s="43">
        <f>C364+D364</f>
        <v/>
      </c>
      <c r="F364" s="50">
        <f>IF(ROUND(C364,2)+ROUND(D364,2)=0,"","yes")</f>
        <v/>
      </c>
      <c r="G364" s="61" t="n"/>
      <c r="H364" s="43">
        <f>IF($G364="","",$E364-$G364)</f>
        <v/>
      </c>
    </row>
    <row r="365">
      <c r="A365" s="60" t="inlineStr">
        <is>
          <t>2857</t>
        </is>
      </c>
      <c r="B365" s="60" t="inlineStr">
        <is>
          <t>APA Sydney Visitor Mgmt</t>
        </is>
      </c>
      <c r="C365" s="43">
        <f>SUMIFS(tbl_WIP[Amount],tbl_WIP[Job Number],$A365,tbl_WIP[Month],"&lt;&gt;",tbl_WIP[Month],"&lt;"&amp;$C$4,tbl_WIP[Defer Start],"")+SUMIF('Deferred Revenue'!$E$6:$E$607,$A365,'Deferred Revenue'!$P$6:$P$607)</f>
        <v/>
      </c>
      <c r="D365" s="43">
        <f>SUMIFS(tbl_WIP[Amount],tbl_WIP[Job Number],$A365,tbl_WIP[Month],$C$4,tbl_WIP[Defer Start],"")+SUMIF('Deferred Revenue'!$E$6:$E$607,$A365,'Deferred Revenue'!$Q$6:$Q$607)</f>
        <v/>
      </c>
      <c r="E365" s="43">
        <f>C365+D365</f>
        <v/>
      </c>
      <c r="F365" s="50">
        <f>IF(ROUND(C365,2)+ROUND(D365,2)=0,"","yes")</f>
        <v/>
      </c>
      <c r="G365" s="61" t="n"/>
      <c r="H365" s="43">
        <f>IF($G365="","",$E365-$G365)</f>
        <v/>
      </c>
    </row>
    <row r="366">
      <c r="A366" s="60" t="inlineStr">
        <is>
          <t>2877</t>
        </is>
      </c>
      <c r="B366" s="60" t="inlineStr">
        <is>
          <t>DEWR Maintenance Ext</t>
        </is>
      </c>
      <c r="C366" s="43">
        <f>SUMIFS(tbl_WIP[Amount],tbl_WIP[Job Number],$A366,tbl_WIP[Month],"&lt;&gt;",tbl_WIP[Month],"&lt;"&amp;$C$4,tbl_WIP[Defer Start],"")+SUMIF('Deferred Revenue'!$E$6:$E$607,$A366,'Deferred Revenue'!$P$6:$P$607)</f>
        <v/>
      </c>
      <c r="D366" s="43">
        <f>SUMIFS(tbl_WIP[Amount],tbl_WIP[Job Number],$A366,tbl_WIP[Month],$C$4,tbl_WIP[Defer Start],"")+SUMIF('Deferred Revenue'!$E$6:$E$607,$A366,'Deferred Revenue'!$Q$6:$Q$607)</f>
        <v/>
      </c>
      <c r="E366" s="43">
        <f>C366+D366</f>
        <v/>
      </c>
      <c r="F366" s="50">
        <f>IF(ROUND(C366,2)+ROUND(D366,2)=0,"","yes")</f>
        <v/>
      </c>
      <c r="G366" s="61" t="n"/>
      <c r="H366" s="43">
        <f>IF($G366="","",$E366-$G366)</f>
        <v/>
      </c>
    </row>
    <row r="367">
      <c r="A367" s="60" t="inlineStr">
        <is>
          <t>2879</t>
        </is>
      </c>
      <c r="B367" s="60" t="inlineStr">
        <is>
          <t>ONS Ricoh-QANTAS (non-chgble)</t>
        </is>
      </c>
      <c r="C367" s="43">
        <f>SUMIFS(tbl_WIP[Amount],tbl_WIP[Job Number],$A367,tbl_WIP[Month],"&lt;&gt;",tbl_WIP[Month],"&lt;"&amp;$C$4,tbl_WIP[Defer Start],"")+SUMIF('Deferred Revenue'!$E$6:$E$607,$A367,'Deferred Revenue'!$P$6:$P$607)</f>
        <v/>
      </c>
      <c r="D367" s="43">
        <f>SUMIFS(tbl_WIP[Amount],tbl_WIP[Job Number],$A367,tbl_WIP[Month],$C$4,tbl_WIP[Defer Start],"")+SUMIF('Deferred Revenue'!$E$6:$E$607,$A367,'Deferred Revenue'!$Q$6:$Q$607)</f>
        <v/>
      </c>
      <c r="E367" s="43">
        <f>C367+D367</f>
        <v/>
      </c>
      <c r="F367" s="50">
        <f>IF(ROUND(C367,2)+ROUND(D367,2)=0,"","yes")</f>
        <v/>
      </c>
      <c r="G367" s="61" t="n"/>
      <c r="H367" s="43">
        <f>IF($G367="","",$E367-$G367)</f>
        <v/>
      </c>
    </row>
    <row r="368">
      <c r="A368" s="60" t="inlineStr">
        <is>
          <t>2880</t>
        </is>
      </c>
      <c r="B368" s="60" t="inlineStr">
        <is>
          <t>Ricoh - QANTAS</t>
        </is>
      </c>
      <c r="C368" s="43">
        <f>SUMIFS(tbl_WIP[Amount],tbl_WIP[Job Number],$A368,tbl_WIP[Month],"&lt;&gt;",tbl_WIP[Month],"&lt;"&amp;$C$4,tbl_WIP[Defer Start],"")+SUMIF('Deferred Revenue'!$E$6:$E$607,$A368,'Deferred Revenue'!$P$6:$P$607)</f>
        <v/>
      </c>
      <c r="D368" s="43">
        <f>SUMIFS(tbl_WIP[Amount],tbl_WIP[Job Number],$A368,tbl_WIP[Month],$C$4,tbl_WIP[Defer Start],"")+SUMIF('Deferred Revenue'!$E$6:$E$607,$A368,'Deferred Revenue'!$Q$6:$Q$607)</f>
        <v/>
      </c>
      <c r="E368" s="43">
        <f>C368+D368</f>
        <v/>
      </c>
      <c r="F368" s="50">
        <f>IF(ROUND(C368,2)+ROUND(D368,2)=0,"","yes")</f>
        <v/>
      </c>
      <c r="G368" s="61" t="n"/>
      <c r="H368" s="43">
        <f>IF($G368="","",$E368-$G368)</f>
        <v/>
      </c>
    </row>
    <row r="369">
      <c r="A369" s="60" t="inlineStr">
        <is>
          <t>2892</t>
        </is>
      </c>
      <c r="B369" s="60" t="inlineStr">
        <is>
          <t>JP Morgan Onsite Tech</t>
        </is>
      </c>
      <c r="C369" s="43">
        <f>SUMIFS(tbl_WIP[Amount],tbl_WIP[Job Number],$A369,tbl_WIP[Month],"&lt;&gt;",tbl_WIP[Month],"&lt;"&amp;$C$4,tbl_WIP[Defer Start],"")+SUMIF('Deferred Revenue'!$E$6:$E$607,$A369,'Deferred Revenue'!$P$6:$P$607)</f>
        <v/>
      </c>
      <c r="D369" s="43">
        <f>SUMIFS(tbl_WIP[Amount],tbl_WIP[Job Number],$A369,tbl_WIP[Month],$C$4,tbl_WIP[Defer Start],"")+SUMIF('Deferred Revenue'!$E$6:$E$607,$A369,'Deferred Revenue'!$Q$6:$Q$607)</f>
        <v/>
      </c>
      <c r="E369" s="43">
        <f>C369+D369</f>
        <v/>
      </c>
      <c r="F369" s="50">
        <f>IF(ROUND(C369,2)+ROUND(D369,2)=0,"","yes")</f>
        <v/>
      </c>
      <c r="G369" s="61" t="n"/>
      <c r="H369" s="43">
        <f>IF($G369="","",$E369-$G369)</f>
        <v/>
      </c>
    </row>
    <row r="370">
      <c r="A370" s="60" t="inlineStr">
        <is>
          <t>2896</t>
        </is>
      </c>
      <c r="B370" s="60" t="inlineStr">
        <is>
          <t>ONS KPMG (non-chargeable)</t>
        </is>
      </c>
      <c r="C370" s="43">
        <f>SUMIFS(tbl_WIP[Amount],tbl_WIP[Job Number],$A370,tbl_WIP[Month],"&lt;&gt;",tbl_WIP[Month],"&lt;"&amp;$C$4,tbl_WIP[Defer Start],"")+SUMIF('Deferred Revenue'!$E$6:$E$607,$A370,'Deferred Revenue'!$P$6:$P$607)</f>
        <v/>
      </c>
      <c r="D370" s="43">
        <f>SUMIFS(tbl_WIP[Amount],tbl_WIP[Job Number],$A370,tbl_WIP[Month],$C$4,tbl_WIP[Defer Start],"")+SUMIF('Deferred Revenue'!$E$6:$E$607,$A370,'Deferred Revenue'!$Q$6:$Q$607)</f>
        <v/>
      </c>
      <c r="E370" s="43">
        <f>C370+D370</f>
        <v/>
      </c>
      <c r="F370" s="50">
        <f>IF(ROUND(C370,2)+ROUND(D370,2)=0,"","yes")</f>
        <v/>
      </c>
      <c r="G370" s="61" t="n"/>
      <c r="H370" s="43">
        <f>IF($G370="","",$E370-$G370)</f>
        <v/>
      </c>
    </row>
    <row r="371">
      <c r="A371" s="60" t="inlineStr">
        <is>
          <t>2897</t>
        </is>
      </c>
      <c r="B371" s="60" t="inlineStr">
        <is>
          <t>ONS JPM (non-chargeable)</t>
        </is>
      </c>
      <c r="C371" s="43">
        <f>SUMIFS(tbl_WIP[Amount],tbl_WIP[Job Number],$A371,tbl_WIP[Month],"&lt;&gt;",tbl_WIP[Month],"&lt;"&amp;$C$4,tbl_WIP[Defer Start],"")+SUMIF('Deferred Revenue'!$E$6:$E$607,$A371,'Deferred Revenue'!$P$6:$P$607)</f>
        <v/>
      </c>
      <c r="D371" s="43">
        <f>SUMIFS(tbl_WIP[Amount],tbl_WIP[Job Number],$A371,tbl_WIP[Month],$C$4,tbl_WIP[Defer Start],"")+SUMIF('Deferred Revenue'!$E$6:$E$607,$A371,'Deferred Revenue'!$Q$6:$Q$607)</f>
        <v/>
      </c>
      <c r="E371" s="43">
        <f>C371+D371</f>
        <v/>
      </c>
      <c r="F371" s="50">
        <f>IF(ROUND(C371,2)+ROUND(D371,2)=0,"","yes")</f>
        <v/>
      </c>
      <c r="G371" s="61" t="n"/>
      <c r="H371" s="43">
        <f>IF($G371="","",$E371-$G371)</f>
        <v/>
      </c>
    </row>
    <row r="372">
      <c r="A372" s="60" t="inlineStr">
        <is>
          <t>2900</t>
        </is>
      </c>
      <c r="B372" s="60" t="inlineStr">
        <is>
          <t>ONS Ammacus-Woolworths (non-chargeable)</t>
        </is>
      </c>
      <c r="C372" s="43">
        <f>SUMIFS(tbl_WIP[Amount],tbl_WIP[Job Number],$A372,tbl_WIP[Month],"&lt;&gt;",tbl_WIP[Month],"&lt;"&amp;$C$4,tbl_WIP[Defer Start],"")+SUMIF('Deferred Revenue'!$E$6:$E$607,$A372,'Deferred Revenue'!$P$6:$P$607)</f>
        <v/>
      </c>
      <c r="D372" s="43">
        <f>SUMIFS(tbl_WIP[Amount],tbl_WIP[Job Number],$A372,tbl_WIP[Month],$C$4,tbl_WIP[Defer Start],"")+SUMIF('Deferred Revenue'!$E$6:$E$607,$A372,'Deferred Revenue'!$Q$6:$Q$607)</f>
        <v/>
      </c>
      <c r="E372" s="43">
        <f>C372+D372</f>
        <v/>
      </c>
      <c r="F372" s="50">
        <f>IF(ROUND(C372,2)+ROUND(D372,2)=0,"","yes")</f>
        <v/>
      </c>
      <c r="G372" s="61" t="n"/>
      <c r="H372" s="43">
        <f>IF($G372="","",$E372-$G372)</f>
        <v/>
      </c>
    </row>
    <row r="373">
      <c r="A373" s="60" t="inlineStr">
        <is>
          <t>2906</t>
        </is>
      </c>
      <c r="B373" s="60" t="inlineStr">
        <is>
          <t>KPMG BNE Tech</t>
        </is>
      </c>
      <c r="C373" s="43">
        <f>SUMIFS(tbl_WIP[Amount],tbl_WIP[Job Number],$A373,tbl_WIP[Month],"&lt;&gt;",tbl_WIP[Month],"&lt;"&amp;$C$4,tbl_WIP[Defer Start],"")+SUMIF('Deferred Revenue'!$E$6:$E$607,$A373,'Deferred Revenue'!$P$6:$P$607)</f>
        <v/>
      </c>
      <c r="D373" s="43">
        <f>SUMIFS(tbl_WIP[Amount],tbl_WIP[Job Number],$A373,tbl_WIP[Month],$C$4,tbl_WIP[Defer Start],"")+SUMIF('Deferred Revenue'!$E$6:$E$607,$A373,'Deferred Revenue'!$Q$6:$Q$607)</f>
        <v/>
      </c>
      <c r="E373" s="43">
        <f>C373+D373</f>
        <v/>
      </c>
      <c r="F373" s="50">
        <f>IF(ROUND(C373,2)+ROUND(D373,2)=0,"","yes")</f>
        <v/>
      </c>
      <c r="G373" s="61" t="n"/>
      <c r="H373" s="43">
        <f>IF($G373="","",$E373-$G373)</f>
        <v/>
      </c>
    </row>
    <row r="374">
      <c r="A374" s="60" t="inlineStr">
        <is>
          <t>2907</t>
        </is>
      </c>
      <c r="B374" s="60" t="inlineStr">
        <is>
          <t>Ammacus-Woolworths Tech</t>
        </is>
      </c>
      <c r="C374" s="43">
        <f>SUMIFS(tbl_WIP[Amount],tbl_WIP[Job Number],$A374,tbl_WIP[Month],"&lt;&gt;",tbl_WIP[Month],"&lt;"&amp;$C$4,tbl_WIP[Defer Start],"")+SUMIF('Deferred Revenue'!$E$6:$E$607,$A374,'Deferred Revenue'!$P$6:$P$607)</f>
        <v/>
      </c>
      <c r="D374" s="43">
        <f>SUMIFS(tbl_WIP[Amount],tbl_WIP[Job Number],$A374,tbl_WIP[Month],$C$4,tbl_WIP[Defer Start],"")+SUMIF('Deferred Revenue'!$E$6:$E$607,$A374,'Deferred Revenue'!$Q$6:$Q$607)</f>
        <v/>
      </c>
      <c r="E374" s="43">
        <f>C374+D374</f>
        <v/>
      </c>
      <c r="F374" s="50">
        <f>IF(ROUND(C374,2)+ROUND(D374,2)=0,"","yes")</f>
        <v/>
      </c>
      <c r="G374" s="61" t="n"/>
      <c r="H374" s="43">
        <f>IF($G374="","",$E374-$G374)</f>
        <v/>
      </c>
    </row>
    <row r="375">
      <c r="A375" s="60" t="inlineStr">
        <is>
          <t>2910</t>
        </is>
      </c>
      <c r="B375" s="60" t="inlineStr">
        <is>
          <t>Office Move 2024</t>
        </is>
      </c>
      <c r="C375" s="43">
        <f>SUMIFS(tbl_WIP[Amount],tbl_WIP[Job Number],$A375,tbl_WIP[Month],"&lt;&gt;",tbl_WIP[Month],"&lt;"&amp;$C$4,tbl_WIP[Defer Start],"")+SUMIF('Deferred Revenue'!$E$6:$E$607,$A375,'Deferred Revenue'!$P$6:$P$607)</f>
        <v/>
      </c>
      <c r="D375" s="43">
        <f>SUMIFS(tbl_WIP[Amount],tbl_WIP[Job Number],$A375,tbl_WIP[Month],$C$4,tbl_WIP[Defer Start],"")+SUMIF('Deferred Revenue'!$E$6:$E$607,$A375,'Deferred Revenue'!$Q$6:$Q$607)</f>
        <v/>
      </c>
      <c r="E375" s="43">
        <f>C375+D375</f>
        <v/>
      </c>
      <c r="F375" s="50">
        <f>IF(ROUND(C375,2)+ROUND(D375,2)=0,"","yes")</f>
        <v/>
      </c>
      <c r="G375" s="61" t="n"/>
      <c r="H375" s="43">
        <f>IF($G375="","",$E375-$G375)</f>
        <v/>
      </c>
    </row>
    <row r="376">
      <c r="A376" s="60" t="inlineStr">
        <is>
          <t>2977</t>
        </is>
      </c>
      <c r="B376" s="60" t="inlineStr">
        <is>
          <t>St Catherine's School (CONS)</t>
        </is>
      </c>
      <c r="C376" s="43">
        <f>SUMIFS(tbl_WIP[Amount],tbl_WIP[Job Number],$A376,tbl_WIP[Month],"&lt;&gt;",tbl_WIP[Month],"&lt;"&amp;$C$4,tbl_WIP[Defer Start],"")+SUMIF('Deferred Revenue'!$E$6:$E$607,$A376,'Deferred Revenue'!$P$6:$P$607)</f>
        <v/>
      </c>
      <c r="D376" s="43">
        <f>SUMIFS(tbl_WIP[Amount],tbl_WIP[Job Number],$A376,tbl_WIP[Month],$C$4,tbl_WIP[Defer Start],"")+SUMIF('Deferred Revenue'!$E$6:$E$607,$A376,'Deferred Revenue'!$Q$6:$Q$607)</f>
        <v/>
      </c>
      <c r="E376" s="43">
        <f>C376+D376</f>
        <v/>
      </c>
      <c r="F376" s="50">
        <f>IF(ROUND(C376,2)+ROUND(D376,2)=0,"","yes")</f>
        <v/>
      </c>
      <c r="G376" s="61" t="n"/>
      <c r="H376" s="43">
        <f>IF($G376="","",$E376-$G376)</f>
        <v/>
      </c>
    </row>
    <row r="377">
      <c r="A377" s="60" t="inlineStr">
        <is>
          <t>3014</t>
        </is>
      </c>
      <c r="B377" s="60" t="inlineStr">
        <is>
          <t>ONS Ricoh/Campari (Chargeable)</t>
        </is>
      </c>
      <c r="C377" s="43">
        <f>SUMIFS(tbl_WIP[Amount],tbl_WIP[Job Number],$A377,tbl_WIP[Month],"&lt;&gt;",tbl_WIP[Month],"&lt;"&amp;$C$4,tbl_WIP[Defer Start],"")+SUMIF('Deferred Revenue'!$E$6:$E$607,$A377,'Deferred Revenue'!$P$6:$P$607)</f>
        <v/>
      </c>
      <c r="D377" s="43">
        <f>SUMIFS(tbl_WIP[Amount],tbl_WIP[Job Number],$A377,tbl_WIP[Month],$C$4,tbl_WIP[Defer Start],"")+SUMIF('Deferred Revenue'!$E$6:$E$607,$A377,'Deferred Revenue'!$Q$6:$Q$607)</f>
        <v/>
      </c>
      <c r="E377" s="43">
        <f>C377+D377</f>
        <v/>
      </c>
      <c r="F377" s="50">
        <f>IF(ROUND(C377,2)+ROUND(D377,2)=0,"","yes")</f>
        <v/>
      </c>
      <c r="G377" s="61" t="n"/>
      <c r="H377" s="43">
        <f>IF($G377="","",$E377-$G377)</f>
        <v/>
      </c>
    </row>
    <row r="378">
      <c r="A378" s="60" t="inlineStr">
        <is>
          <t>3015</t>
        </is>
      </c>
      <c r="B378" s="60" t="inlineStr">
        <is>
          <t>ONS Ricoh/Campari (Non Chgble)</t>
        </is>
      </c>
      <c r="C378" s="43">
        <f>SUMIFS(tbl_WIP[Amount],tbl_WIP[Job Number],$A378,tbl_WIP[Month],"&lt;&gt;",tbl_WIP[Month],"&lt;"&amp;$C$4,tbl_WIP[Defer Start],"")+SUMIF('Deferred Revenue'!$E$6:$E$607,$A378,'Deferred Revenue'!$P$6:$P$607)</f>
        <v/>
      </c>
      <c r="D378" s="43">
        <f>SUMIFS(tbl_WIP[Amount],tbl_WIP[Job Number],$A378,tbl_WIP[Month],$C$4,tbl_WIP[Defer Start],"")+SUMIF('Deferred Revenue'!$E$6:$E$607,$A378,'Deferred Revenue'!$Q$6:$Q$607)</f>
        <v/>
      </c>
      <c r="E378" s="43">
        <f>C378+D378</f>
        <v/>
      </c>
      <c r="F378" s="50">
        <f>IF(ROUND(C378,2)+ROUND(D378,2)=0,"","yes")</f>
        <v/>
      </c>
      <c r="G378" s="61" t="n"/>
      <c r="H378" s="43">
        <f>IF($G378="","",$E378-$G378)</f>
        <v/>
      </c>
    </row>
    <row r="379">
      <c r="A379" s="60" t="inlineStr">
        <is>
          <t>3027</t>
        </is>
      </c>
      <c r="B379" s="60" t="inlineStr">
        <is>
          <t>DPIE Elizabeth St Booking</t>
        </is>
      </c>
      <c r="C379" s="43">
        <f>SUMIFS(tbl_WIP[Amount],tbl_WIP[Job Number],$A379,tbl_WIP[Month],"&lt;&gt;",tbl_WIP[Month],"&lt;"&amp;$C$4,tbl_WIP[Defer Start],"")+SUMIF('Deferred Revenue'!$E$6:$E$607,$A379,'Deferred Revenue'!$P$6:$P$607)</f>
        <v/>
      </c>
      <c r="D379" s="43">
        <f>SUMIFS(tbl_WIP[Amount],tbl_WIP[Job Number],$A379,tbl_WIP[Month],$C$4,tbl_WIP[Defer Start],"")+SUMIF('Deferred Revenue'!$E$6:$E$607,$A379,'Deferred Revenue'!$Q$6:$Q$607)</f>
        <v/>
      </c>
      <c r="E379" s="43">
        <f>C379+D379</f>
        <v/>
      </c>
      <c r="F379" s="50">
        <f>IF(ROUND(C379,2)+ROUND(D379,2)=0,"","yes")</f>
        <v/>
      </c>
      <c r="G379" s="61" t="n"/>
      <c r="H379" s="43">
        <f>IF($G379="","",$E379-$G379)</f>
        <v/>
      </c>
    </row>
    <row r="380">
      <c r="A380" s="60" t="inlineStr">
        <is>
          <t>3028</t>
        </is>
      </c>
      <c r="B380" s="60" t="inlineStr">
        <is>
          <t>APA Kidman Park VMS</t>
        </is>
      </c>
      <c r="C380" s="43">
        <f>SUMIFS(tbl_WIP[Amount],tbl_WIP[Job Number],$A380,tbl_WIP[Month],"&lt;&gt;",tbl_WIP[Month],"&lt;"&amp;$C$4,tbl_WIP[Defer Start],"")+SUMIF('Deferred Revenue'!$E$6:$E$607,$A380,'Deferred Revenue'!$P$6:$P$607)</f>
        <v/>
      </c>
      <c r="D380" s="43">
        <f>SUMIFS(tbl_WIP[Amount],tbl_WIP[Job Number],$A380,tbl_WIP[Month],$C$4,tbl_WIP[Defer Start],"")+SUMIF('Deferred Revenue'!$E$6:$E$607,$A380,'Deferred Revenue'!$Q$6:$Q$607)</f>
        <v/>
      </c>
      <c r="E380" s="43">
        <f>C380+D380</f>
        <v/>
      </c>
      <c r="F380" s="50">
        <f>IF(ROUND(C380,2)+ROUND(D380,2)=0,"","yes")</f>
        <v/>
      </c>
      <c r="G380" s="61" t="n"/>
      <c r="H380" s="43">
        <f>IF($G380="","",$E380-$G380)</f>
        <v/>
      </c>
    </row>
    <row r="381">
      <c r="A381" s="60" t="inlineStr">
        <is>
          <t>3034</t>
        </is>
      </c>
      <c r="B381" s="60" t="inlineStr">
        <is>
          <t>ARUP ONS (non-chargeable)</t>
        </is>
      </c>
      <c r="C381" s="43">
        <f>SUMIFS(tbl_WIP[Amount],tbl_WIP[Job Number],$A381,tbl_WIP[Month],"&lt;&gt;",tbl_WIP[Month],"&lt;"&amp;$C$4,tbl_WIP[Defer Start],"")+SUMIF('Deferred Revenue'!$E$6:$E$607,$A381,'Deferred Revenue'!$P$6:$P$607)</f>
        <v/>
      </c>
      <c r="D381" s="43">
        <f>SUMIFS(tbl_WIP[Amount],tbl_WIP[Job Number],$A381,tbl_WIP[Month],$C$4,tbl_WIP[Defer Start],"")+SUMIF('Deferred Revenue'!$E$6:$E$607,$A381,'Deferred Revenue'!$Q$6:$Q$607)</f>
        <v/>
      </c>
      <c r="E381" s="43">
        <f>C381+D381</f>
        <v/>
      </c>
      <c r="F381" s="50">
        <f>IF(ROUND(C381,2)+ROUND(D381,2)=0,"","yes")</f>
        <v/>
      </c>
      <c r="G381" s="61" t="n"/>
      <c r="H381" s="43">
        <f>IF($G381="","",$E381-$G381)</f>
        <v/>
      </c>
    </row>
    <row r="382">
      <c r="A382" s="60" t="inlineStr">
        <is>
          <t>3035</t>
        </is>
      </c>
      <c r="B382" s="60" t="inlineStr">
        <is>
          <t>ARUP ONS National (Chargeable)</t>
        </is>
      </c>
      <c r="C382" s="43">
        <f>SUMIFS(tbl_WIP[Amount],tbl_WIP[Job Number],$A382,tbl_WIP[Month],"&lt;&gt;",tbl_WIP[Month],"&lt;"&amp;$C$4,tbl_WIP[Defer Start],"")+SUMIF('Deferred Revenue'!$E$6:$E$607,$A382,'Deferred Revenue'!$P$6:$P$607)</f>
        <v/>
      </c>
      <c r="D382" s="43">
        <f>SUMIFS(tbl_WIP[Amount],tbl_WIP[Job Number],$A382,tbl_WIP[Month],$C$4,tbl_WIP[Defer Start],"")+SUMIF('Deferred Revenue'!$E$6:$E$607,$A382,'Deferred Revenue'!$Q$6:$Q$607)</f>
        <v/>
      </c>
      <c r="E382" s="43">
        <f>C382+D382</f>
        <v/>
      </c>
      <c r="F382" s="50">
        <f>IF(ROUND(C382,2)+ROUND(D382,2)=0,"","yes")</f>
        <v/>
      </c>
      <c r="G382" s="61" t="n"/>
      <c r="H382" s="43">
        <f>IF($G382="","",$E382-$G382)</f>
        <v/>
      </c>
    </row>
    <row r="383">
      <c r="A383" s="60" t="inlineStr">
        <is>
          <t>3040</t>
        </is>
      </c>
      <c r="B383" s="60" t="inlineStr">
        <is>
          <t>Corrs MELB Office Reloc</t>
        </is>
      </c>
      <c r="C383" s="43">
        <f>SUMIFS(tbl_WIP[Amount],tbl_WIP[Job Number],$A383,tbl_WIP[Month],"&lt;&gt;",tbl_WIP[Month],"&lt;"&amp;$C$4,tbl_WIP[Defer Start],"")+SUMIF('Deferred Revenue'!$E$6:$E$607,$A383,'Deferred Revenue'!$P$6:$P$607)</f>
        <v/>
      </c>
      <c r="D383" s="43">
        <f>SUMIFS(tbl_WIP[Amount],tbl_WIP[Job Number],$A383,tbl_WIP[Month],$C$4,tbl_WIP[Defer Start],"")+SUMIF('Deferred Revenue'!$E$6:$E$607,$A383,'Deferred Revenue'!$Q$6:$Q$607)</f>
        <v/>
      </c>
      <c r="E383" s="43">
        <f>C383+D383</f>
        <v/>
      </c>
      <c r="F383" s="50">
        <f>IF(ROUND(C383,2)+ROUND(D383,2)=0,"","yes")</f>
        <v/>
      </c>
      <c r="G383" s="61" t="n"/>
      <c r="H383" s="43">
        <f>IF($G383="","",$E383-$G383)</f>
        <v/>
      </c>
    </row>
    <row r="384">
      <c r="A384" s="60" t="inlineStr">
        <is>
          <t>3042</t>
        </is>
      </c>
      <c r="B384" s="60" t="inlineStr">
        <is>
          <t>Corrs-PER Office Reloc</t>
        </is>
      </c>
      <c r="C384" s="43">
        <f>SUMIFS(tbl_WIP[Amount],tbl_WIP[Job Number],$A384,tbl_WIP[Month],"&lt;&gt;",tbl_WIP[Month],"&lt;"&amp;$C$4,tbl_WIP[Defer Start],"")+SUMIF('Deferred Revenue'!$E$6:$E$607,$A384,'Deferred Revenue'!$P$6:$P$607)</f>
        <v/>
      </c>
      <c r="D384" s="43">
        <f>SUMIFS(tbl_WIP[Amount],tbl_WIP[Job Number],$A384,tbl_WIP[Month],$C$4,tbl_WIP[Defer Start],"")+SUMIF('Deferred Revenue'!$E$6:$E$607,$A384,'Deferred Revenue'!$Q$6:$Q$607)</f>
        <v/>
      </c>
      <c r="E384" s="43">
        <f>C384+D384</f>
        <v/>
      </c>
      <c r="F384" s="50">
        <f>IF(ROUND(C384,2)+ROUND(D384,2)=0,"","yes")</f>
        <v/>
      </c>
      <c r="G384" s="61" t="n"/>
      <c r="H384" s="43">
        <f>IF($G384="","",$E384-$G384)</f>
        <v/>
      </c>
    </row>
    <row r="385">
      <c r="A385" s="60" t="inlineStr">
        <is>
          <t>3046</t>
        </is>
      </c>
      <c r="B385" s="60" t="inlineStr">
        <is>
          <t>Stone&amp;Chalk ONS [chargeable]</t>
        </is>
      </c>
      <c r="C385" s="43">
        <f>SUMIFS(tbl_WIP[Amount],tbl_WIP[Job Number],$A385,tbl_WIP[Month],"&lt;&gt;",tbl_WIP[Month],"&lt;"&amp;$C$4,tbl_WIP[Defer Start],"")+SUMIF('Deferred Revenue'!$E$6:$E$607,$A385,'Deferred Revenue'!$P$6:$P$607)</f>
        <v/>
      </c>
      <c r="D385" s="43">
        <f>SUMIFS(tbl_WIP[Amount],tbl_WIP[Job Number],$A385,tbl_WIP[Month],$C$4,tbl_WIP[Defer Start],"")+SUMIF('Deferred Revenue'!$E$6:$E$607,$A385,'Deferred Revenue'!$Q$6:$Q$607)</f>
        <v/>
      </c>
      <c r="E385" s="43">
        <f>C385+D385</f>
        <v/>
      </c>
      <c r="F385" s="50">
        <f>IF(ROUND(C385,2)+ROUND(D385,2)=0,"","yes")</f>
        <v/>
      </c>
      <c r="G385" s="61" t="n"/>
      <c r="H385" s="43">
        <f>IF($G385="","",$E385-$G385)</f>
        <v/>
      </c>
    </row>
    <row r="386">
      <c r="A386" s="60" t="inlineStr">
        <is>
          <t>3047</t>
        </is>
      </c>
      <c r="B386" s="60" t="inlineStr">
        <is>
          <t>Stone&amp;Chalk ONS [non-chargable]</t>
        </is>
      </c>
      <c r="C386" s="43">
        <f>SUMIFS(tbl_WIP[Amount],tbl_WIP[Job Number],$A386,tbl_WIP[Month],"&lt;&gt;",tbl_WIP[Month],"&lt;"&amp;$C$4,tbl_WIP[Defer Start],"")+SUMIF('Deferred Revenue'!$E$6:$E$607,$A386,'Deferred Revenue'!$P$6:$P$607)</f>
        <v/>
      </c>
      <c r="D386" s="43">
        <f>SUMIFS(tbl_WIP[Amount],tbl_WIP[Job Number],$A386,tbl_WIP[Month],$C$4,tbl_WIP[Defer Start],"")+SUMIF('Deferred Revenue'!$E$6:$E$607,$A386,'Deferred Revenue'!$Q$6:$Q$607)</f>
        <v/>
      </c>
      <c r="E386" s="43">
        <f>C386+D386</f>
        <v/>
      </c>
      <c r="F386" s="50">
        <f>IF(ROUND(C386,2)+ROUND(D386,2)=0,"","yes")</f>
        <v/>
      </c>
      <c r="G386" s="61" t="n"/>
      <c r="H386" s="43">
        <f>IF($G386="","",$E386-$G386)</f>
        <v/>
      </c>
    </row>
    <row r="387">
      <c r="A387" s="60" t="inlineStr">
        <is>
          <t>3048</t>
        </is>
      </c>
      <c r="B387" s="60" t="inlineStr">
        <is>
          <t>Stone &amp; Chalk Audit 2</t>
        </is>
      </c>
      <c r="C387" s="43">
        <f>SUMIFS(tbl_WIP[Amount],tbl_WIP[Job Number],$A387,tbl_WIP[Month],"&lt;&gt;",tbl_WIP[Month],"&lt;"&amp;$C$4,tbl_WIP[Defer Start],"")+SUMIF('Deferred Revenue'!$E$6:$E$607,$A387,'Deferred Revenue'!$P$6:$P$607)</f>
        <v/>
      </c>
      <c r="D387" s="43">
        <f>SUMIFS(tbl_WIP[Amount],tbl_WIP[Job Number],$A387,tbl_WIP[Month],$C$4,tbl_WIP[Defer Start],"")+SUMIF('Deferred Revenue'!$E$6:$E$607,$A387,'Deferred Revenue'!$Q$6:$Q$607)</f>
        <v/>
      </c>
      <c r="E387" s="43">
        <f>C387+D387</f>
        <v/>
      </c>
      <c r="F387" s="50">
        <f>IF(ROUND(C387,2)+ROUND(D387,2)=0,"","yes")</f>
        <v/>
      </c>
      <c r="G387" s="61" t="n"/>
      <c r="H387" s="43">
        <f>IF($G387="","",$E387-$G387)</f>
        <v/>
      </c>
    </row>
    <row r="388">
      <c r="A388" s="60" t="inlineStr">
        <is>
          <t>3056</t>
        </is>
      </c>
      <c r="B388" s="60" t="inlineStr">
        <is>
          <t>AusPayNet Onsite [Chargeable]</t>
        </is>
      </c>
      <c r="C388" s="43">
        <f>SUMIFS(tbl_WIP[Amount],tbl_WIP[Job Number],$A388,tbl_WIP[Month],"&lt;&gt;",tbl_WIP[Month],"&lt;"&amp;$C$4,tbl_WIP[Defer Start],"")+SUMIF('Deferred Revenue'!$E$6:$E$607,$A388,'Deferred Revenue'!$P$6:$P$607)</f>
        <v/>
      </c>
      <c r="D388" s="43">
        <f>SUMIFS(tbl_WIP[Amount],tbl_WIP[Job Number],$A388,tbl_WIP[Month],$C$4,tbl_WIP[Defer Start],"")+SUMIF('Deferred Revenue'!$E$6:$E$607,$A388,'Deferred Revenue'!$Q$6:$Q$607)</f>
        <v/>
      </c>
      <c r="E388" s="43">
        <f>C388+D388</f>
        <v/>
      </c>
      <c r="F388" s="50">
        <f>IF(ROUND(C388,2)+ROUND(D388,2)=0,"","yes")</f>
        <v/>
      </c>
      <c r="G388" s="61" t="n"/>
      <c r="H388" s="43">
        <f>IF($G388="","",$E388-$G388)</f>
        <v/>
      </c>
    </row>
    <row r="389">
      <c r="A389" s="60" t="inlineStr">
        <is>
          <t>3057</t>
        </is>
      </c>
      <c r="B389" s="60" t="inlineStr">
        <is>
          <t>AusPayNet ONS[Non-Chargeable]</t>
        </is>
      </c>
      <c r="C389" s="43">
        <f>SUMIFS(tbl_WIP[Amount],tbl_WIP[Job Number],$A389,tbl_WIP[Month],"&lt;&gt;",tbl_WIP[Month],"&lt;"&amp;$C$4,tbl_WIP[Defer Start],"")+SUMIF('Deferred Revenue'!$E$6:$E$607,$A389,'Deferred Revenue'!$P$6:$P$607)</f>
        <v/>
      </c>
      <c r="D389" s="43">
        <f>SUMIFS(tbl_WIP[Amount],tbl_WIP[Job Number],$A389,tbl_WIP[Month],$C$4,tbl_WIP[Defer Start],"")+SUMIF('Deferred Revenue'!$E$6:$E$607,$A389,'Deferred Revenue'!$Q$6:$Q$607)</f>
        <v/>
      </c>
      <c r="E389" s="43">
        <f>C389+D389</f>
        <v/>
      </c>
      <c r="F389" s="50">
        <f>IF(ROUND(C389,2)+ROUND(D389,2)=0,"","yes")</f>
        <v/>
      </c>
      <c r="G389" s="61" t="n"/>
      <c r="H389" s="43">
        <f>IF($G389="","",$E389-$G389)</f>
        <v/>
      </c>
    </row>
    <row r="390">
      <c r="A390" s="60" t="inlineStr">
        <is>
          <t>3059</t>
        </is>
      </c>
      <c r="B390" s="60" t="inlineStr">
        <is>
          <t>CBA AGM 2025</t>
        </is>
      </c>
      <c r="C390" s="43">
        <f>SUMIFS(tbl_WIP[Amount],tbl_WIP[Job Number],$A390,tbl_WIP[Month],"&lt;&gt;",tbl_WIP[Month],"&lt;"&amp;$C$4,tbl_WIP[Defer Start],"")+SUMIF('Deferred Revenue'!$E$6:$E$607,$A390,'Deferred Revenue'!$P$6:$P$607)</f>
        <v/>
      </c>
      <c r="D390" s="43">
        <f>SUMIFS(tbl_WIP[Amount],tbl_WIP[Job Number],$A390,tbl_WIP[Month],$C$4,tbl_WIP[Defer Start],"")+SUMIF('Deferred Revenue'!$E$6:$E$607,$A390,'Deferred Revenue'!$Q$6:$Q$607)</f>
        <v/>
      </c>
      <c r="E390" s="43">
        <f>C390+D390</f>
        <v/>
      </c>
      <c r="F390" s="50">
        <f>IF(ROUND(C390,2)+ROUND(D390,2)=0,"","yes")</f>
        <v/>
      </c>
      <c r="G390" s="61" t="n"/>
      <c r="H390" s="43">
        <f>IF($G390="","",$E390-$G390)</f>
        <v/>
      </c>
    </row>
    <row r="391">
      <c r="A391" s="60" t="inlineStr">
        <is>
          <t>3068</t>
        </is>
      </c>
      <c r="B391" s="60" t="inlineStr">
        <is>
          <t>DPIE Pitt and Penrith</t>
        </is>
      </c>
      <c r="C391" s="43">
        <f>SUMIFS(tbl_WIP[Amount],tbl_WIP[Job Number],$A391,tbl_WIP[Month],"&lt;&gt;",tbl_WIP[Month],"&lt;"&amp;$C$4,tbl_WIP[Defer Start],"")+SUMIF('Deferred Revenue'!$E$6:$E$607,$A391,'Deferred Revenue'!$P$6:$P$607)</f>
        <v/>
      </c>
      <c r="D391" s="43">
        <f>SUMIFS(tbl_WIP[Amount],tbl_WIP[Job Number],$A391,tbl_WIP[Month],$C$4,tbl_WIP[Defer Start],"")+SUMIF('Deferred Revenue'!$E$6:$E$607,$A391,'Deferred Revenue'!$Q$6:$Q$607)</f>
        <v/>
      </c>
      <c r="E391" s="43">
        <f>C391+D391</f>
        <v/>
      </c>
      <c r="F391" s="50">
        <f>IF(ROUND(C391,2)+ROUND(D391,2)=0,"","yes")</f>
        <v/>
      </c>
      <c r="G391" s="61" t="n"/>
      <c r="H391" s="43">
        <f>IF($G391="","",$E391-$G391)</f>
        <v/>
      </c>
    </row>
    <row r="392">
      <c r="A392" s="60" t="inlineStr">
        <is>
          <t>3072</t>
        </is>
      </c>
      <c r="B392" s="60" t="inlineStr">
        <is>
          <t>APA Thomastown</t>
        </is>
      </c>
      <c r="C392" s="43">
        <f>SUMIFS(tbl_WIP[Amount],tbl_WIP[Job Number],$A392,tbl_WIP[Month],"&lt;&gt;",tbl_WIP[Month],"&lt;"&amp;$C$4,tbl_WIP[Defer Start],"")+SUMIF('Deferred Revenue'!$E$6:$E$607,$A392,'Deferred Revenue'!$P$6:$P$607)</f>
        <v/>
      </c>
      <c r="D392" s="43">
        <f>SUMIFS(tbl_WIP[Amount],tbl_WIP[Job Number],$A392,tbl_WIP[Month],$C$4,tbl_WIP[Defer Start],"")+SUMIF('Deferred Revenue'!$E$6:$E$607,$A392,'Deferred Revenue'!$Q$6:$Q$607)</f>
        <v/>
      </c>
      <c r="E392" s="43">
        <f>C392+D392</f>
        <v/>
      </c>
      <c r="F392" s="50">
        <f>IF(ROUND(C392,2)+ROUND(D392,2)=0,"","yes")</f>
        <v/>
      </c>
      <c r="G392" s="61" t="n"/>
      <c r="H392" s="43">
        <f>IF($G392="","",$E392-$G392)</f>
        <v/>
      </c>
    </row>
    <row r="393">
      <c r="A393" s="60" t="inlineStr">
        <is>
          <t>585</t>
        </is>
      </c>
      <c r="B393" s="60" t="inlineStr">
        <is>
          <t>CBA Team Leader</t>
        </is>
      </c>
      <c r="C393" s="43">
        <f>SUMIFS(tbl_WIP[Amount],tbl_WIP[Job Number],$A393,tbl_WIP[Month],"&lt;&gt;",tbl_WIP[Month],"&lt;"&amp;$C$4,tbl_WIP[Defer Start],"")+SUMIF('Deferred Revenue'!$E$6:$E$607,$A393,'Deferred Revenue'!$P$6:$P$607)</f>
        <v/>
      </c>
      <c r="D393" s="43">
        <f>SUMIFS(tbl_WIP[Amount],tbl_WIP[Job Number],$A393,tbl_WIP[Month],$C$4,tbl_WIP[Defer Start],"")+SUMIF('Deferred Revenue'!$E$6:$E$607,$A393,'Deferred Revenue'!$Q$6:$Q$607)</f>
        <v/>
      </c>
      <c r="E393" s="43">
        <f>C393+D393</f>
        <v/>
      </c>
      <c r="F393" s="50">
        <f>IF(ROUND(C393,2)+ROUND(D393,2)=0,"","yes")</f>
        <v/>
      </c>
      <c r="G393" s="61" t="n"/>
      <c r="H393" s="43">
        <f>IF($G393="","",$E393-$G393)</f>
        <v/>
      </c>
    </row>
    <row r="394">
      <c r="A394" s="60" t="inlineStr">
        <is>
          <t>586</t>
        </is>
      </c>
      <c r="B394" s="60" t="inlineStr">
        <is>
          <t>CBA Tech NP</t>
        </is>
      </c>
      <c r="C394" s="43">
        <f>SUMIFS(tbl_WIP[Amount],tbl_WIP[Job Number],$A394,tbl_WIP[Month],"&lt;&gt;",tbl_WIP[Month],"&lt;"&amp;$C$4,tbl_WIP[Defer Start],"")+SUMIF('Deferred Revenue'!$E$6:$E$607,$A394,'Deferred Revenue'!$P$6:$P$607)</f>
        <v/>
      </c>
      <c r="D394" s="43">
        <f>SUMIFS(tbl_WIP[Amount],tbl_WIP[Job Number],$A394,tbl_WIP[Month],$C$4,tbl_WIP[Defer Start],"")+SUMIF('Deferred Revenue'!$E$6:$E$607,$A394,'Deferred Revenue'!$Q$6:$Q$607)</f>
        <v/>
      </c>
      <c r="E394" s="43">
        <f>C394+D394</f>
        <v/>
      </c>
      <c r="F394" s="50">
        <f>IF(ROUND(C394,2)+ROUND(D394,2)=0,"","yes")</f>
        <v/>
      </c>
      <c r="G394" s="61" t="n"/>
      <c r="H394" s="43">
        <f>IF($G394="","",$E394-$G394)</f>
        <v/>
      </c>
    </row>
    <row r="395">
      <c r="A395" s="60" t="inlineStr">
        <is>
          <t>587</t>
        </is>
      </c>
      <c r="B395" s="60" t="inlineStr">
        <is>
          <t>CBA Tech TN</t>
        </is>
      </c>
      <c r="C395" s="43">
        <f>SUMIFS(tbl_WIP[Amount],tbl_WIP[Job Number],$A395,tbl_WIP[Month],"&lt;&gt;",tbl_WIP[Month],"&lt;"&amp;$C$4,tbl_WIP[Defer Start],"")+SUMIF('Deferred Revenue'!$E$6:$E$607,$A395,'Deferred Revenue'!$P$6:$P$607)</f>
        <v/>
      </c>
      <c r="D395" s="43">
        <f>SUMIFS(tbl_WIP[Amount],tbl_WIP[Job Number],$A395,tbl_WIP[Month],$C$4,tbl_WIP[Defer Start],"")+SUMIF('Deferred Revenue'!$E$6:$E$607,$A395,'Deferred Revenue'!$Q$6:$Q$607)</f>
        <v/>
      </c>
      <c r="E395" s="43">
        <f>C395+D395</f>
        <v/>
      </c>
      <c r="F395" s="50">
        <f>IF(ROUND(C395,2)+ROUND(D395,2)=0,"","yes")</f>
        <v/>
      </c>
      <c r="G395" s="61" t="n"/>
      <c r="H395" s="43">
        <f>IF($G395="","",$E395-$G395)</f>
        <v/>
      </c>
    </row>
    <row r="396">
      <c r="A396" s="60" t="inlineStr">
        <is>
          <t>724</t>
        </is>
      </c>
      <c r="B396" s="60" t="inlineStr">
        <is>
          <t>DTTL SYD NTSL</t>
        </is>
      </c>
      <c r="C396" s="43">
        <f>SUMIFS(tbl_WIP[Amount],tbl_WIP[Job Number],$A396,tbl_WIP[Month],"&lt;&gt;",tbl_WIP[Month],"&lt;"&amp;$C$4,tbl_WIP[Defer Start],"")+SUMIF('Deferred Revenue'!$E$6:$E$607,$A396,'Deferred Revenue'!$P$6:$P$607)</f>
        <v/>
      </c>
      <c r="D396" s="43">
        <f>SUMIFS(tbl_WIP[Amount],tbl_WIP[Job Number],$A396,tbl_WIP[Month],$C$4,tbl_WIP[Defer Start],"")+SUMIF('Deferred Revenue'!$E$6:$E$607,$A396,'Deferred Revenue'!$Q$6:$Q$607)</f>
        <v/>
      </c>
      <c r="E396" s="43">
        <f>C396+D396</f>
        <v/>
      </c>
      <c r="F396" s="50">
        <f>IF(ROUND(C396,2)+ROUND(D396,2)=0,"","yes")</f>
        <v/>
      </c>
      <c r="G396" s="61" t="n"/>
      <c r="H396" s="43">
        <f>IF($G396="","",$E396-$G396)</f>
        <v/>
      </c>
    </row>
    <row r="397">
      <c r="A397" s="60" t="inlineStr">
        <is>
          <t>725</t>
        </is>
      </c>
      <c r="B397" s="60" t="inlineStr">
        <is>
          <t>DTTL Mel Tech FT 1</t>
        </is>
      </c>
      <c r="C397" s="43">
        <f>SUMIFS(tbl_WIP[Amount],tbl_WIP[Job Number],$A397,tbl_WIP[Month],"&lt;&gt;",tbl_WIP[Month],"&lt;"&amp;$C$4,tbl_WIP[Defer Start],"")+SUMIF('Deferred Revenue'!$E$6:$E$607,$A397,'Deferred Revenue'!$P$6:$P$607)</f>
        <v/>
      </c>
      <c r="D397" s="43">
        <f>SUMIFS(tbl_WIP[Amount],tbl_WIP[Job Number],$A397,tbl_WIP[Month],$C$4,tbl_WIP[Defer Start],"")+SUMIF('Deferred Revenue'!$E$6:$E$607,$A397,'Deferred Revenue'!$Q$6:$Q$607)</f>
        <v/>
      </c>
      <c r="E397" s="43">
        <f>C397+D397</f>
        <v/>
      </c>
      <c r="F397" s="50">
        <f>IF(ROUND(C397,2)+ROUND(D397,2)=0,"","yes")</f>
        <v/>
      </c>
      <c r="G397" s="61" t="n"/>
      <c r="H397" s="43">
        <f>IF($G397="","",$E397-$G397)</f>
        <v/>
      </c>
    </row>
    <row r="398">
      <c r="A398" s="60" t="inlineStr">
        <is>
          <t>729</t>
        </is>
      </c>
      <c r="B398" s="60" t="inlineStr">
        <is>
          <t>DTTL Consulting</t>
        </is>
      </c>
      <c r="C398" s="43">
        <f>SUMIFS(tbl_WIP[Amount],tbl_WIP[Job Number],$A398,tbl_WIP[Month],"&lt;&gt;",tbl_WIP[Month],"&lt;"&amp;$C$4,tbl_WIP[Defer Start],"")+SUMIF('Deferred Revenue'!$E$6:$E$607,$A398,'Deferred Revenue'!$P$6:$P$607)</f>
        <v/>
      </c>
      <c r="D398" s="43">
        <f>SUMIFS(tbl_WIP[Amount],tbl_WIP[Job Number],$A398,tbl_WIP[Month],$C$4,tbl_WIP[Defer Start],"")+SUMIF('Deferred Revenue'!$E$6:$E$607,$A398,'Deferred Revenue'!$Q$6:$Q$607)</f>
        <v/>
      </c>
      <c r="E398" s="43">
        <f>C398+D398</f>
        <v/>
      </c>
      <c r="F398" s="50">
        <f>IF(ROUND(C398,2)+ROUND(D398,2)=0,"","yes")</f>
        <v/>
      </c>
      <c r="G398" s="61" t="n"/>
      <c r="H398" s="43">
        <f>IF($G398="","",$E398-$G398)</f>
        <v/>
      </c>
    </row>
    <row r="399">
      <c r="A399" s="60" t="inlineStr">
        <is>
          <t>732</t>
        </is>
      </c>
      <c r="B399" s="60" t="inlineStr">
        <is>
          <t>Bank West Contract</t>
        </is>
      </c>
      <c r="C399" s="43">
        <f>SUMIFS(tbl_WIP[Amount],tbl_WIP[Job Number],$A399,tbl_WIP[Month],"&lt;&gt;",tbl_WIP[Month],"&lt;"&amp;$C$4,tbl_WIP[Defer Start],"")+SUMIF('Deferred Revenue'!$E$6:$E$607,$A399,'Deferred Revenue'!$P$6:$P$607)</f>
        <v/>
      </c>
      <c r="D399" s="43">
        <f>SUMIFS(tbl_WIP[Amount],tbl_WIP[Job Number],$A399,tbl_WIP[Month],$C$4,tbl_WIP[Defer Start],"")+SUMIF('Deferred Revenue'!$E$6:$E$607,$A399,'Deferred Revenue'!$Q$6:$Q$607)</f>
        <v/>
      </c>
      <c r="E399" s="43">
        <f>C399+D399</f>
        <v/>
      </c>
      <c r="F399" s="50">
        <f>IF(ROUND(C399,2)+ROUND(D399,2)=0,"","yes")</f>
        <v/>
      </c>
      <c r="G399" s="61" t="n"/>
      <c r="H399" s="43">
        <f>IF($G399="","",$E399-$G399)</f>
        <v/>
      </c>
    </row>
    <row r="400">
      <c r="A400" s="60" t="inlineStr">
        <is>
          <t>9000</t>
        </is>
      </c>
      <c r="B400" s="60" t="inlineStr">
        <is>
          <t>OFFICE / ADMIN</t>
        </is>
      </c>
      <c r="C400" s="43">
        <f>SUMIFS(tbl_WIP[Amount],tbl_WIP[Job Number],$A400,tbl_WIP[Month],"&lt;&gt;",tbl_WIP[Month],"&lt;"&amp;$C$4,tbl_WIP[Defer Start],"")+SUMIF('Deferred Revenue'!$E$6:$E$607,$A400,'Deferred Revenue'!$P$6:$P$607)</f>
        <v/>
      </c>
      <c r="D400" s="43">
        <f>SUMIFS(tbl_WIP[Amount],tbl_WIP[Job Number],$A400,tbl_WIP[Month],$C$4,tbl_WIP[Defer Start],"")+SUMIF('Deferred Revenue'!$E$6:$E$607,$A400,'Deferred Revenue'!$Q$6:$Q$607)</f>
        <v/>
      </c>
      <c r="E400" s="43">
        <f>C400+D400</f>
        <v/>
      </c>
      <c r="F400" s="50">
        <f>IF(ROUND(C400,2)+ROUND(D400,2)=0,"","yes")</f>
        <v/>
      </c>
      <c r="G400" s="61" t="n"/>
      <c r="H400" s="43">
        <f>IF($G400="","",$E400-$G400)</f>
        <v/>
      </c>
    </row>
    <row r="401">
      <c r="A401" s="60" t="inlineStr">
        <is>
          <t>9001</t>
        </is>
      </c>
      <c r="B401" s="60" t="inlineStr">
        <is>
          <t>OFFICE/ADMIN Orientation</t>
        </is>
      </c>
      <c r="C401" s="43">
        <f>SUMIFS(tbl_WIP[Amount],tbl_WIP[Job Number],$A401,tbl_WIP[Month],"&lt;&gt;",tbl_WIP[Month],"&lt;"&amp;$C$4,tbl_WIP[Defer Start],"")+SUMIF('Deferred Revenue'!$E$6:$E$607,$A401,'Deferred Revenue'!$P$6:$P$607)</f>
        <v/>
      </c>
      <c r="D401" s="43">
        <f>SUMIFS(tbl_WIP[Amount],tbl_WIP[Job Number],$A401,tbl_WIP[Month],$C$4,tbl_WIP[Defer Start],"")+SUMIF('Deferred Revenue'!$E$6:$E$607,$A401,'Deferred Revenue'!$Q$6:$Q$607)</f>
        <v/>
      </c>
      <c r="E401" s="43">
        <f>C401+D401</f>
        <v/>
      </c>
      <c r="F401" s="50">
        <f>IF(ROUND(C401,2)+ROUND(D401,2)=0,"","yes")</f>
        <v/>
      </c>
      <c r="G401" s="61" t="n"/>
      <c r="H401" s="43">
        <f>IF($G401="","",$E401-$G401)</f>
        <v/>
      </c>
    </row>
    <row r="402">
      <c r="A402" s="60" t="inlineStr">
        <is>
          <t>9050</t>
        </is>
      </c>
      <c r="B402" s="60" t="inlineStr">
        <is>
          <t>OFFICE ASSETS</t>
        </is>
      </c>
      <c r="C402" s="43">
        <f>SUMIFS(tbl_WIP[Amount],tbl_WIP[Job Number],$A402,tbl_WIP[Month],"&lt;&gt;",tbl_WIP[Month],"&lt;"&amp;$C$4,tbl_WIP[Defer Start],"")+SUMIF('Deferred Revenue'!$E$6:$E$607,$A402,'Deferred Revenue'!$P$6:$P$607)</f>
        <v/>
      </c>
      <c r="D402" s="43">
        <f>SUMIFS(tbl_WIP[Amount],tbl_WIP[Job Number],$A402,tbl_WIP[Month],$C$4,tbl_WIP[Defer Start],"")+SUMIF('Deferred Revenue'!$E$6:$E$607,$A402,'Deferred Revenue'!$Q$6:$Q$607)</f>
        <v/>
      </c>
      <c r="E402" s="43">
        <f>C402+D402</f>
        <v/>
      </c>
      <c r="F402" s="50">
        <f>IF(ROUND(C402,2)+ROUND(D402,2)=0,"","yes")</f>
        <v/>
      </c>
      <c r="G402" s="61" t="n"/>
      <c r="H402" s="43">
        <f>IF($G402="","",$E402-$G402)</f>
        <v/>
      </c>
    </row>
    <row r="403">
      <c r="A403" s="60" t="inlineStr">
        <is>
          <t>9100</t>
        </is>
      </c>
      <c r="B403" s="60" t="inlineStr">
        <is>
          <t>PRODUCTION</t>
        </is>
      </c>
      <c r="C403" s="43">
        <f>SUMIFS(tbl_WIP[Amount],tbl_WIP[Job Number],$A403,tbl_WIP[Month],"&lt;&gt;",tbl_WIP[Month],"&lt;"&amp;$C$4,tbl_WIP[Defer Start],"")+SUMIF('Deferred Revenue'!$E$6:$E$607,$A403,'Deferred Revenue'!$P$6:$P$607)</f>
        <v/>
      </c>
      <c r="D403" s="43">
        <f>SUMIFS(tbl_WIP[Amount],tbl_WIP[Job Number],$A403,tbl_WIP[Month],$C$4,tbl_WIP[Defer Start],"")+SUMIF('Deferred Revenue'!$E$6:$E$607,$A403,'Deferred Revenue'!$Q$6:$Q$607)</f>
        <v/>
      </c>
      <c r="E403" s="43">
        <f>C403+D403</f>
        <v/>
      </c>
      <c r="F403" s="50">
        <f>IF(ROUND(C403,2)+ROUND(D403,2)=0,"","yes")</f>
        <v/>
      </c>
      <c r="G403" s="61" t="n"/>
      <c r="H403" s="43">
        <f>IF($G403="","",$E403-$G403)</f>
        <v/>
      </c>
    </row>
    <row r="404">
      <c r="A404" s="60" t="inlineStr">
        <is>
          <t>9101</t>
        </is>
      </c>
      <c r="B404" s="60" t="inlineStr">
        <is>
          <t>PRODUCTION - Orientation</t>
        </is>
      </c>
      <c r="C404" s="43">
        <f>SUMIFS(tbl_WIP[Amount],tbl_WIP[Job Number],$A404,tbl_WIP[Month],"&lt;&gt;",tbl_WIP[Month],"&lt;"&amp;$C$4,tbl_WIP[Defer Start],"")+SUMIF('Deferred Revenue'!$E$6:$E$607,$A404,'Deferred Revenue'!$P$6:$P$607)</f>
        <v/>
      </c>
      <c r="D404" s="43">
        <f>SUMIFS(tbl_WIP[Amount],tbl_WIP[Job Number],$A404,tbl_WIP[Month],$C$4,tbl_WIP[Defer Start],"")+SUMIF('Deferred Revenue'!$E$6:$E$607,$A404,'Deferred Revenue'!$Q$6:$Q$607)</f>
        <v/>
      </c>
      <c r="E404" s="43">
        <f>C404+D404</f>
        <v/>
      </c>
      <c r="F404" s="50">
        <f>IF(ROUND(C404,2)+ROUND(D404,2)=0,"","yes")</f>
        <v/>
      </c>
      <c r="G404" s="61" t="n"/>
      <c r="H404" s="43">
        <f>IF($G404="","",$E404-$G404)</f>
        <v/>
      </c>
    </row>
    <row r="405">
      <c r="A405" s="60" t="inlineStr">
        <is>
          <t>9102</t>
        </is>
      </c>
      <c r="B405" s="60" t="inlineStr">
        <is>
          <t>Production - Training</t>
        </is>
      </c>
      <c r="C405" s="43">
        <f>SUMIFS(tbl_WIP[Amount],tbl_WIP[Job Number],$A405,tbl_WIP[Month],"&lt;&gt;",tbl_WIP[Month],"&lt;"&amp;$C$4,tbl_WIP[Defer Start],"")+SUMIF('Deferred Revenue'!$E$6:$E$607,$A405,'Deferred Revenue'!$P$6:$P$607)</f>
        <v/>
      </c>
      <c r="D405" s="43">
        <f>SUMIFS(tbl_WIP[Amount],tbl_WIP[Job Number],$A405,tbl_WIP[Month],$C$4,tbl_WIP[Defer Start],"")+SUMIF('Deferred Revenue'!$E$6:$E$607,$A405,'Deferred Revenue'!$Q$6:$Q$607)</f>
        <v/>
      </c>
      <c r="E405" s="43">
        <f>C405+D405</f>
        <v/>
      </c>
      <c r="F405" s="50">
        <f>IF(ROUND(C405,2)+ROUND(D405,2)=0,"","yes")</f>
        <v/>
      </c>
      <c r="G405" s="61" t="n"/>
      <c r="H405" s="43">
        <f>IF($G405="","",$E405-$G405)</f>
        <v/>
      </c>
    </row>
    <row r="406">
      <c r="A406" s="60" t="inlineStr">
        <is>
          <t>9105</t>
        </is>
      </c>
      <c r="B406" s="60" t="inlineStr">
        <is>
          <t>ONSITE (including PROD backup)</t>
        </is>
      </c>
      <c r="C406" s="43">
        <f>SUMIFS(tbl_WIP[Amount],tbl_WIP[Job Number],$A406,tbl_WIP[Month],"&lt;&gt;",tbl_WIP[Month],"&lt;"&amp;$C$4,tbl_WIP[Defer Start],"")+SUMIF('Deferred Revenue'!$E$6:$E$607,$A406,'Deferred Revenue'!$P$6:$P$607)</f>
        <v/>
      </c>
      <c r="D406" s="43">
        <f>SUMIFS(tbl_WIP[Amount],tbl_WIP[Job Number],$A406,tbl_WIP[Month],$C$4,tbl_WIP[Defer Start],"")+SUMIF('Deferred Revenue'!$E$6:$E$607,$A406,'Deferred Revenue'!$Q$6:$Q$607)</f>
        <v/>
      </c>
      <c r="E406" s="43">
        <f>C406+D406</f>
        <v/>
      </c>
      <c r="F406" s="50">
        <f>IF(ROUND(C406,2)+ROUND(D406,2)=0,"","yes")</f>
        <v/>
      </c>
      <c r="G406" s="61" t="n"/>
      <c r="H406" s="43">
        <f>IF($G406="","",$E406-$G406)</f>
        <v/>
      </c>
    </row>
    <row r="407">
      <c r="A407" s="60" t="inlineStr">
        <is>
          <t>9106</t>
        </is>
      </c>
      <c r="B407" s="60" t="inlineStr">
        <is>
          <t>ONSITE - Orientation</t>
        </is>
      </c>
      <c r="C407" s="43">
        <f>SUMIFS(tbl_WIP[Amount],tbl_WIP[Job Number],$A407,tbl_WIP[Month],"&lt;&gt;",tbl_WIP[Month],"&lt;"&amp;$C$4,tbl_WIP[Defer Start],"")+SUMIF('Deferred Revenue'!$E$6:$E$607,$A407,'Deferred Revenue'!$P$6:$P$607)</f>
        <v/>
      </c>
      <c r="D407" s="43">
        <f>SUMIFS(tbl_WIP[Amount],tbl_WIP[Job Number],$A407,tbl_WIP[Month],$C$4,tbl_WIP[Defer Start],"")+SUMIF('Deferred Revenue'!$E$6:$E$607,$A407,'Deferred Revenue'!$Q$6:$Q$607)</f>
        <v/>
      </c>
      <c r="E407" s="43">
        <f>C407+D407</f>
        <v/>
      </c>
      <c r="F407" s="50">
        <f>IF(ROUND(C407,2)+ROUND(D407,2)=0,"","yes")</f>
        <v/>
      </c>
      <c r="G407" s="61" t="n"/>
      <c r="H407" s="43">
        <f>IF($G407="","",$E407-$G407)</f>
        <v/>
      </c>
    </row>
    <row r="408">
      <c r="A408" s="60" t="inlineStr">
        <is>
          <t>9107</t>
        </is>
      </c>
      <c r="B408" s="60" t="inlineStr">
        <is>
          <t>ONSITE - Assets</t>
        </is>
      </c>
      <c r="C408" s="43">
        <f>SUMIFS(tbl_WIP[Amount],tbl_WIP[Job Number],$A408,tbl_WIP[Month],"&lt;&gt;",tbl_WIP[Month],"&lt;"&amp;$C$4,tbl_WIP[Defer Start],"")+SUMIF('Deferred Revenue'!$E$6:$E$607,$A408,'Deferred Revenue'!$P$6:$P$607)</f>
        <v/>
      </c>
      <c r="D408" s="43">
        <f>SUMIFS(tbl_WIP[Amount],tbl_WIP[Job Number],$A408,tbl_WIP[Month],$C$4,tbl_WIP[Defer Start],"")+SUMIF('Deferred Revenue'!$E$6:$E$607,$A408,'Deferred Revenue'!$Q$6:$Q$607)</f>
        <v/>
      </c>
      <c r="E408" s="43">
        <f>C408+D408</f>
        <v/>
      </c>
      <c r="F408" s="50">
        <f>IF(ROUND(C408,2)+ROUND(D408,2)=0,"","yes")</f>
        <v/>
      </c>
      <c r="G408" s="61" t="n"/>
      <c r="H408" s="43">
        <f>IF($G408="","",$E408-$G408)</f>
        <v/>
      </c>
    </row>
    <row r="409">
      <c r="A409" s="60" t="inlineStr">
        <is>
          <t>9108</t>
        </is>
      </c>
      <c r="B409" s="60" t="inlineStr">
        <is>
          <t>ONSITE - Sales</t>
        </is>
      </c>
      <c r="C409" s="43">
        <f>SUMIFS(tbl_WIP[Amount],tbl_WIP[Job Number],$A409,tbl_WIP[Month],"&lt;&gt;",tbl_WIP[Month],"&lt;"&amp;$C$4,tbl_WIP[Defer Start],"")+SUMIF('Deferred Revenue'!$E$6:$E$607,$A409,'Deferred Revenue'!$P$6:$P$607)</f>
        <v/>
      </c>
      <c r="D409" s="43">
        <f>SUMIFS(tbl_WIP[Amount],tbl_WIP[Job Number],$A409,tbl_WIP[Month],$C$4,tbl_WIP[Defer Start],"")+SUMIF('Deferred Revenue'!$E$6:$E$607,$A409,'Deferred Revenue'!$Q$6:$Q$607)</f>
        <v/>
      </c>
      <c r="E409" s="43">
        <f>C409+D409</f>
        <v/>
      </c>
      <c r="F409" s="50">
        <f>IF(ROUND(C409,2)+ROUND(D409,2)=0,"","yes")</f>
        <v/>
      </c>
      <c r="G409" s="61" t="n"/>
      <c r="H409" s="43">
        <f>IF($G409="","",$E409-$G409)</f>
        <v/>
      </c>
    </row>
    <row r="410">
      <c r="A410" s="60" t="inlineStr">
        <is>
          <t>9109</t>
        </is>
      </c>
      <c r="B410" s="60" t="inlineStr">
        <is>
          <t>ONSITE - Marketing</t>
        </is>
      </c>
      <c r="C410" s="43">
        <f>SUMIFS(tbl_WIP[Amount],tbl_WIP[Job Number],$A410,tbl_WIP[Month],"&lt;&gt;",tbl_WIP[Month],"&lt;"&amp;$C$4,tbl_WIP[Defer Start],"")+SUMIF('Deferred Revenue'!$E$6:$E$607,$A410,'Deferred Revenue'!$P$6:$P$607)</f>
        <v/>
      </c>
      <c r="D410" s="43">
        <f>SUMIFS(tbl_WIP[Amount],tbl_WIP[Job Number],$A410,tbl_WIP[Month],$C$4,tbl_WIP[Defer Start],"")+SUMIF('Deferred Revenue'!$E$6:$E$607,$A410,'Deferred Revenue'!$Q$6:$Q$607)</f>
        <v/>
      </c>
      <c r="E410" s="43">
        <f>C410+D410</f>
        <v/>
      </c>
      <c r="F410" s="50">
        <f>IF(ROUND(C410,2)+ROUND(D410,2)=0,"","yes")</f>
        <v/>
      </c>
      <c r="G410" s="61" t="n"/>
      <c r="H410" s="43">
        <f>IF($G410="","",$E410-$G410)</f>
        <v/>
      </c>
    </row>
    <row r="411">
      <c r="A411" s="60" t="inlineStr">
        <is>
          <t>9125</t>
        </is>
      </c>
      <c r="B411" s="60" t="inlineStr">
        <is>
          <t>VIDEO DEPT</t>
        </is>
      </c>
      <c r="C411" s="43">
        <f>SUMIFS(tbl_WIP[Amount],tbl_WIP[Job Number],$A411,tbl_WIP[Month],"&lt;&gt;",tbl_WIP[Month],"&lt;"&amp;$C$4,tbl_WIP[Defer Start],"")+SUMIF('Deferred Revenue'!$E$6:$E$607,$A411,'Deferred Revenue'!$P$6:$P$607)</f>
        <v/>
      </c>
      <c r="D411" s="43">
        <f>SUMIFS(tbl_WIP[Amount],tbl_WIP[Job Number],$A411,tbl_WIP[Month],$C$4,tbl_WIP[Defer Start],"")+SUMIF('Deferred Revenue'!$E$6:$E$607,$A411,'Deferred Revenue'!$Q$6:$Q$607)</f>
        <v/>
      </c>
      <c r="E411" s="43">
        <f>C411+D411</f>
        <v/>
      </c>
      <c r="F411" s="50">
        <f>IF(ROUND(C411,2)+ROUND(D411,2)=0,"","yes")</f>
        <v/>
      </c>
      <c r="G411" s="61" t="n"/>
      <c r="H411" s="43">
        <f>IF($G411="","",$E411-$G411)</f>
        <v/>
      </c>
    </row>
    <row r="412">
      <c r="A412" s="60" t="inlineStr">
        <is>
          <t>9126</t>
        </is>
      </c>
      <c r="B412" s="60" t="inlineStr">
        <is>
          <t>VIDEO - Orientation</t>
        </is>
      </c>
      <c r="C412" s="43">
        <f>SUMIFS(tbl_WIP[Amount],tbl_WIP[Job Number],$A412,tbl_WIP[Month],"&lt;&gt;",tbl_WIP[Month],"&lt;"&amp;$C$4,tbl_WIP[Defer Start],"")+SUMIF('Deferred Revenue'!$E$6:$E$607,$A412,'Deferred Revenue'!$P$6:$P$607)</f>
        <v/>
      </c>
      <c r="D412" s="43">
        <f>SUMIFS(tbl_WIP[Amount],tbl_WIP[Job Number],$A412,tbl_WIP[Month],$C$4,tbl_WIP[Defer Start],"")+SUMIF('Deferred Revenue'!$E$6:$E$607,$A412,'Deferred Revenue'!$Q$6:$Q$607)</f>
        <v/>
      </c>
      <c r="E412" s="43">
        <f>C412+D412</f>
        <v/>
      </c>
      <c r="F412" s="50">
        <f>IF(ROUND(C412,2)+ROUND(D412,2)=0,"","yes")</f>
        <v/>
      </c>
      <c r="G412" s="61" t="n"/>
      <c r="H412" s="43">
        <f>IF($G412="","",$E412-$G412)</f>
        <v/>
      </c>
    </row>
    <row r="413">
      <c r="A413" s="60" t="inlineStr">
        <is>
          <t>9127</t>
        </is>
      </c>
      <c r="B413" s="60" t="inlineStr">
        <is>
          <t>VIDEO - Assets</t>
        </is>
      </c>
      <c r="C413" s="43">
        <f>SUMIFS(tbl_WIP[Amount],tbl_WIP[Job Number],$A413,tbl_WIP[Month],"&lt;&gt;",tbl_WIP[Month],"&lt;"&amp;$C$4,tbl_WIP[Defer Start],"")+SUMIF('Deferred Revenue'!$E$6:$E$607,$A413,'Deferred Revenue'!$P$6:$P$607)</f>
        <v/>
      </c>
      <c r="D413" s="43">
        <f>SUMIFS(tbl_WIP[Amount],tbl_WIP[Job Number],$A413,tbl_WIP[Month],$C$4,tbl_WIP[Defer Start],"")+SUMIF('Deferred Revenue'!$E$6:$E$607,$A413,'Deferred Revenue'!$Q$6:$Q$607)</f>
        <v/>
      </c>
      <c r="E413" s="43">
        <f>C413+D413</f>
        <v/>
      </c>
      <c r="F413" s="50">
        <f>IF(ROUND(C413,2)+ROUND(D413,2)=0,"","yes")</f>
        <v/>
      </c>
      <c r="G413" s="61" t="n"/>
      <c r="H413" s="43">
        <f>IF($G413="","",$E413-$G413)</f>
        <v/>
      </c>
    </row>
    <row r="414">
      <c r="A414" s="60" t="inlineStr">
        <is>
          <t>9128</t>
        </is>
      </c>
      <c r="B414" s="60" t="inlineStr">
        <is>
          <t>VIDEO - Sales</t>
        </is>
      </c>
      <c r="C414" s="43">
        <f>SUMIFS(tbl_WIP[Amount],tbl_WIP[Job Number],$A414,tbl_WIP[Month],"&lt;&gt;",tbl_WIP[Month],"&lt;"&amp;$C$4,tbl_WIP[Defer Start],"")+SUMIF('Deferred Revenue'!$E$6:$E$607,$A414,'Deferred Revenue'!$P$6:$P$607)</f>
        <v/>
      </c>
      <c r="D414" s="43">
        <f>SUMIFS(tbl_WIP[Amount],tbl_WIP[Job Number],$A414,tbl_WIP[Month],$C$4,tbl_WIP[Defer Start],"")+SUMIF('Deferred Revenue'!$E$6:$E$607,$A414,'Deferred Revenue'!$Q$6:$Q$607)</f>
        <v/>
      </c>
      <c r="E414" s="43">
        <f>C414+D414</f>
        <v/>
      </c>
      <c r="F414" s="50">
        <f>IF(ROUND(C414,2)+ROUND(D414,2)=0,"","yes")</f>
        <v/>
      </c>
      <c r="G414" s="61" t="n"/>
      <c r="H414" s="43">
        <f>IF($G414="","",$E414-$G414)</f>
        <v/>
      </c>
    </row>
    <row r="415">
      <c r="A415" s="60" t="inlineStr">
        <is>
          <t>9129</t>
        </is>
      </c>
      <c r="B415" s="60" t="inlineStr">
        <is>
          <t>VIDEO - Marketing</t>
        </is>
      </c>
      <c r="C415" s="43">
        <f>SUMIFS(tbl_WIP[Amount],tbl_WIP[Job Number],$A415,tbl_WIP[Month],"&lt;&gt;",tbl_WIP[Month],"&lt;"&amp;$C$4,tbl_WIP[Defer Start],"")+SUMIF('Deferred Revenue'!$E$6:$E$607,$A415,'Deferred Revenue'!$P$6:$P$607)</f>
        <v/>
      </c>
      <c r="D415" s="43">
        <f>SUMIFS(tbl_WIP[Amount],tbl_WIP[Job Number],$A415,tbl_WIP[Month],$C$4,tbl_WIP[Defer Start],"")+SUMIF('Deferred Revenue'!$E$6:$E$607,$A415,'Deferred Revenue'!$Q$6:$Q$607)</f>
        <v/>
      </c>
      <c r="E415" s="43">
        <f>C415+D415</f>
        <v/>
      </c>
      <c r="F415" s="50">
        <f>IF(ROUND(C415,2)+ROUND(D415,2)=0,"","yes")</f>
        <v/>
      </c>
      <c r="G415" s="61" t="n"/>
      <c r="H415" s="43">
        <f>IF($G415="","",$E415-$G415)</f>
        <v/>
      </c>
    </row>
    <row r="416">
      <c r="A416" s="60" t="inlineStr">
        <is>
          <t>9150</t>
        </is>
      </c>
      <c r="B416" s="60" t="inlineStr">
        <is>
          <t>PRODUCTION - Assets</t>
        </is>
      </c>
      <c r="C416" s="43">
        <f>SUMIFS(tbl_WIP[Amount],tbl_WIP[Job Number],$A416,tbl_WIP[Month],"&lt;&gt;",tbl_WIP[Month],"&lt;"&amp;$C$4,tbl_WIP[Defer Start],"")+SUMIF('Deferred Revenue'!$E$6:$E$607,$A416,'Deferred Revenue'!$P$6:$P$607)</f>
        <v/>
      </c>
      <c r="D416" s="43">
        <f>SUMIFS(tbl_WIP[Amount],tbl_WIP[Job Number],$A416,tbl_WIP[Month],$C$4,tbl_WIP[Defer Start],"")+SUMIF('Deferred Revenue'!$E$6:$E$607,$A416,'Deferred Revenue'!$Q$6:$Q$607)</f>
        <v/>
      </c>
      <c r="E416" s="43">
        <f>C416+D416</f>
        <v/>
      </c>
      <c r="F416" s="50">
        <f>IF(ROUND(C416,2)+ROUND(D416,2)=0,"","yes")</f>
        <v/>
      </c>
      <c r="G416" s="61" t="n"/>
      <c r="H416" s="43">
        <f>IF($G416="","",$E416-$G416)</f>
        <v/>
      </c>
    </row>
    <row r="417">
      <c r="A417" s="60" t="inlineStr">
        <is>
          <t>9175</t>
        </is>
      </c>
      <c r="B417" s="60" t="inlineStr">
        <is>
          <t>PRODUCTION - Sales</t>
        </is>
      </c>
      <c r="C417" s="43">
        <f>SUMIFS(tbl_WIP[Amount],tbl_WIP[Job Number],$A417,tbl_WIP[Month],"&lt;&gt;",tbl_WIP[Month],"&lt;"&amp;$C$4,tbl_WIP[Defer Start],"")+SUMIF('Deferred Revenue'!$E$6:$E$607,$A417,'Deferred Revenue'!$P$6:$P$607)</f>
        <v/>
      </c>
      <c r="D417" s="43">
        <f>SUMIFS(tbl_WIP[Amount],tbl_WIP[Job Number],$A417,tbl_WIP[Month],$C$4,tbl_WIP[Defer Start],"")+SUMIF('Deferred Revenue'!$E$6:$E$607,$A417,'Deferred Revenue'!$Q$6:$Q$607)</f>
        <v/>
      </c>
      <c r="E417" s="43">
        <f>C417+D417</f>
        <v/>
      </c>
      <c r="F417" s="50">
        <f>IF(ROUND(C417,2)+ROUND(D417,2)=0,"","yes")</f>
        <v/>
      </c>
      <c r="G417" s="61" t="n"/>
      <c r="H417" s="43">
        <f>IF($G417="","",$E417-$G417)</f>
        <v/>
      </c>
    </row>
    <row r="418">
      <c r="A418" s="60" t="inlineStr">
        <is>
          <t>9176</t>
        </is>
      </c>
      <c r="B418" s="60" t="inlineStr">
        <is>
          <t>Production - Marketing</t>
        </is>
      </c>
      <c r="C418" s="43">
        <f>SUMIFS(tbl_WIP[Amount],tbl_WIP[Job Number],$A418,tbl_WIP[Month],"&lt;&gt;",tbl_WIP[Month],"&lt;"&amp;$C$4,tbl_WIP[Defer Start],"")+SUMIF('Deferred Revenue'!$E$6:$E$607,$A418,'Deferred Revenue'!$P$6:$P$607)</f>
        <v/>
      </c>
      <c r="D418" s="43">
        <f>SUMIFS(tbl_WIP[Amount],tbl_WIP[Job Number],$A418,tbl_WIP[Month],$C$4,tbl_WIP[Defer Start],"")+SUMIF('Deferred Revenue'!$E$6:$E$607,$A418,'Deferred Revenue'!$Q$6:$Q$607)</f>
        <v/>
      </c>
      <c r="E418" s="43">
        <f>C418+D418</f>
        <v/>
      </c>
      <c r="F418" s="50">
        <f>IF(ROUND(C418,2)+ROUND(D418,2)=0,"","yes")</f>
        <v/>
      </c>
      <c r="G418" s="61" t="n"/>
      <c r="H418" s="43">
        <f>IF($G418="","",$E418-$G418)</f>
        <v/>
      </c>
    </row>
    <row r="419">
      <c r="A419" s="60" t="inlineStr">
        <is>
          <t>9178</t>
        </is>
      </c>
      <c r="B419" s="60" t="inlineStr">
        <is>
          <t>Production – Webcasts</t>
        </is>
      </c>
      <c r="C419" s="43">
        <f>SUMIFS(tbl_WIP[Amount],tbl_WIP[Job Number],$A419,tbl_WIP[Month],"&lt;&gt;",tbl_WIP[Month],"&lt;"&amp;$C$4,tbl_WIP[Defer Start],"")+SUMIF('Deferred Revenue'!$E$6:$E$607,$A419,'Deferred Revenue'!$P$6:$P$607)</f>
        <v/>
      </c>
      <c r="D419" s="43">
        <f>SUMIFS(tbl_WIP[Amount],tbl_WIP[Job Number],$A419,tbl_WIP[Month],$C$4,tbl_WIP[Defer Start],"")+SUMIF('Deferred Revenue'!$E$6:$E$607,$A419,'Deferred Revenue'!$Q$6:$Q$607)</f>
        <v/>
      </c>
      <c r="E419" s="43">
        <f>C419+D419</f>
        <v/>
      </c>
      <c r="F419" s="50">
        <f>IF(ROUND(C419,2)+ROUND(D419,2)=0,"","yes")</f>
        <v/>
      </c>
      <c r="G419" s="61" t="n"/>
      <c r="H419" s="43">
        <f>IF($G419="","",$E419-$G419)</f>
        <v/>
      </c>
    </row>
    <row r="420">
      <c r="A420" s="60" t="inlineStr">
        <is>
          <t>9200</t>
        </is>
      </c>
      <c r="B420" s="60" t="inlineStr">
        <is>
          <t>INTEGRATION</t>
        </is>
      </c>
      <c r="C420" s="43">
        <f>SUMIFS(tbl_WIP[Amount],tbl_WIP[Job Number],$A420,tbl_WIP[Month],"&lt;&gt;",tbl_WIP[Month],"&lt;"&amp;$C$4,tbl_WIP[Defer Start],"")+SUMIF('Deferred Revenue'!$E$6:$E$607,$A420,'Deferred Revenue'!$P$6:$P$607)</f>
        <v/>
      </c>
      <c r="D420" s="43">
        <f>SUMIFS(tbl_WIP[Amount],tbl_WIP[Job Number],$A420,tbl_WIP[Month],$C$4,tbl_WIP[Defer Start],"")+SUMIF('Deferred Revenue'!$E$6:$E$607,$A420,'Deferred Revenue'!$Q$6:$Q$607)</f>
        <v/>
      </c>
      <c r="E420" s="43">
        <f>C420+D420</f>
        <v/>
      </c>
      <c r="F420" s="50">
        <f>IF(ROUND(C420,2)+ROUND(D420,2)=0,"","yes")</f>
        <v/>
      </c>
      <c r="G420" s="61" t="n"/>
      <c r="H420" s="43">
        <f>IF($G420="","",$E420-$G420)</f>
        <v/>
      </c>
    </row>
    <row r="421">
      <c r="A421" s="60" t="inlineStr">
        <is>
          <t>9201</t>
        </is>
      </c>
      <c r="B421" s="60" t="inlineStr">
        <is>
          <t>INTEGRATION - Orientation [INT</t>
        </is>
      </c>
      <c r="C421" s="43">
        <f>SUMIFS(tbl_WIP[Amount],tbl_WIP[Job Number],$A421,tbl_WIP[Month],"&lt;&gt;",tbl_WIP[Month],"&lt;"&amp;$C$4,tbl_WIP[Defer Start],"")+SUMIF('Deferred Revenue'!$E$6:$E$607,$A421,'Deferred Revenue'!$P$6:$P$607)</f>
        <v/>
      </c>
      <c r="D421" s="43">
        <f>SUMIFS(tbl_WIP[Amount],tbl_WIP[Job Number],$A421,tbl_WIP[Month],$C$4,tbl_WIP[Defer Start],"")+SUMIF('Deferred Revenue'!$E$6:$E$607,$A421,'Deferred Revenue'!$Q$6:$Q$607)</f>
        <v/>
      </c>
      <c r="E421" s="43">
        <f>C421+D421</f>
        <v/>
      </c>
      <c r="F421" s="50">
        <f>IF(ROUND(C421,2)+ROUND(D421,2)=0,"","yes")</f>
        <v/>
      </c>
      <c r="G421" s="61" t="n"/>
      <c r="H421" s="43">
        <f>IF($G421="","",$E421-$G421)</f>
        <v/>
      </c>
    </row>
    <row r="422">
      <c r="A422" s="60" t="inlineStr">
        <is>
          <t>9202</t>
        </is>
      </c>
      <c r="B422" s="60" t="inlineStr">
        <is>
          <t>INTEGRATION - Quotes</t>
        </is>
      </c>
      <c r="C422" s="43">
        <f>SUMIFS(tbl_WIP[Amount],tbl_WIP[Job Number],$A422,tbl_WIP[Month],"&lt;&gt;",tbl_WIP[Month],"&lt;"&amp;$C$4,tbl_WIP[Defer Start],"")+SUMIF('Deferred Revenue'!$E$6:$E$607,$A422,'Deferred Revenue'!$P$6:$P$607)</f>
        <v/>
      </c>
      <c r="D422" s="43">
        <f>SUMIFS(tbl_WIP[Amount],tbl_WIP[Job Number],$A422,tbl_WIP[Month],$C$4,tbl_WIP[Defer Start],"")+SUMIF('Deferred Revenue'!$E$6:$E$607,$A422,'Deferred Revenue'!$Q$6:$Q$607)</f>
        <v/>
      </c>
      <c r="E422" s="43">
        <f>C422+D422</f>
        <v/>
      </c>
      <c r="F422" s="50">
        <f>IF(ROUND(C422,2)+ROUND(D422,2)=0,"","yes")</f>
        <v/>
      </c>
      <c r="G422" s="61" t="n"/>
      <c r="H422" s="43">
        <f>IF($G422="","",$E422-$G422)</f>
        <v/>
      </c>
    </row>
    <row r="423">
      <c r="A423" s="60" t="inlineStr">
        <is>
          <t>9225</t>
        </is>
      </c>
      <c r="B423" s="60" t="inlineStr">
        <is>
          <t>Integration - SALES</t>
        </is>
      </c>
      <c r="C423" s="43">
        <f>SUMIFS(tbl_WIP[Amount],tbl_WIP[Job Number],$A423,tbl_WIP[Month],"&lt;&gt;",tbl_WIP[Month],"&lt;"&amp;$C$4,tbl_WIP[Defer Start],"")+SUMIF('Deferred Revenue'!$E$6:$E$607,$A423,'Deferred Revenue'!$P$6:$P$607)</f>
        <v/>
      </c>
      <c r="D423" s="43">
        <f>SUMIFS(tbl_WIP[Amount],tbl_WIP[Job Number],$A423,tbl_WIP[Month],$C$4,tbl_WIP[Defer Start],"")+SUMIF('Deferred Revenue'!$E$6:$E$607,$A423,'Deferred Revenue'!$Q$6:$Q$607)</f>
        <v/>
      </c>
      <c r="E423" s="43">
        <f>C423+D423</f>
        <v/>
      </c>
      <c r="F423" s="50">
        <f>IF(ROUND(C423,2)+ROUND(D423,2)=0,"","yes")</f>
        <v/>
      </c>
      <c r="G423" s="61" t="n"/>
      <c r="H423" s="43">
        <f>IF($G423="","",$E423-$G423)</f>
        <v/>
      </c>
    </row>
    <row r="424">
      <c r="A424" s="60" t="inlineStr">
        <is>
          <t>9226</t>
        </is>
      </c>
      <c r="B424" s="60" t="inlineStr">
        <is>
          <t>Integration - Marketing</t>
        </is>
      </c>
      <c r="C424" s="43">
        <f>SUMIFS(tbl_WIP[Amount],tbl_WIP[Job Number],$A424,tbl_WIP[Month],"&lt;&gt;",tbl_WIP[Month],"&lt;"&amp;$C$4,tbl_WIP[Defer Start],"")+SUMIF('Deferred Revenue'!$E$6:$E$607,$A424,'Deferred Revenue'!$P$6:$P$607)</f>
        <v/>
      </c>
      <c r="D424" s="43">
        <f>SUMIFS(tbl_WIP[Amount],tbl_WIP[Job Number],$A424,tbl_WIP[Month],$C$4,tbl_WIP[Defer Start],"")+SUMIF('Deferred Revenue'!$E$6:$E$607,$A424,'Deferred Revenue'!$Q$6:$Q$607)</f>
        <v/>
      </c>
      <c r="E424" s="43">
        <f>C424+D424</f>
        <v/>
      </c>
      <c r="F424" s="50">
        <f>IF(ROUND(C424,2)+ROUND(D424,2)=0,"","yes")</f>
        <v/>
      </c>
      <c r="G424" s="61" t="n"/>
      <c r="H424" s="43">
        <f>IF($G424="","",$E424-$G424)</f>
        <v/>
      </c>
    </row>
    <row r="425">
      <c r="A425" s="60" t="inlineStr">
        <is>
          <t>9300</t>
        </is>
      </c>
      <c r="B425" s="60" t="inlineStr">
        <is>
          <t>HUMAN RESOURCES</t>
        </is>
      </c>
      <c r="C425" s="43">
        <f>SUMIFS(tbl_WIP[Amount],tbl_WIP[Job Number],$A425,tbl_WIP[Month],"&lt;&gt;",tbl_WIP[Month],"&lt;"&amp;$C$4,tbl_WIP[Defer Start],"")+SUMIF('Deferred Revenue'!$E$6:$E$607,$A425,'Deferred Revenue'!$P$6:$P$607)</f>
        <v/>
      </c>
      <c r="D425" s="43">
        <f>SUMIFS(tbl_WIP[Amount],tbl_WIP[Job Number],$A425,tbl_WIP[Month],$C$4,tbl_WIP[Defer Start],"")+SUMIF('Deferred Revenue'!$E$6:$E$607,$A425,'Deferred Revenue'!$Q$6:$Q$607)</f>
        <v/>
      </c>
      <c r="E425" s="43">
        <f>C425+D425</f>
        <v/>
      </c>
      <c r="F425" s="50">
        <f>IF(ROUND(C425,2)+ROUND(D425,2)=0,"","yes")</f>
        <v/>
      </c>
      <c r="G425" s="61" t="n"/>
      <c r="H425" s="43">
        <f>IF($G425="","",$E425-$G425)</f>
        <v/>
      </c>
    </row>
    <row r="426">
      <c r="A426" s="60" t="inlineStr">
        <is>
          <t>9301</t>
        </is>
      </c>
      <c r="B426" s="60" t="inlineStr">
        <is>
          <t>Recruitment</t>
        </is>
      </c>
      <c r="C426" s="43">
        <f>SUMIFS(tbl_WIP[Amount],tbl_WIP[Job Number],$A426,tbl_WIP[Month],"&lt;&gt;",tbl_WIP[Month],"&lt;"&amp;$C$4,tbl_WIP[Defer Start],"")+SUMIF('Deferred Revenue'!$E$6:$E$607,$A426,'Deferred Revenue'!$P$6:$P$607)</f>
        <v/>
      </c>
      <c r="D426" s="43">
        <f>SUMIFS(tbl_WIP[Amount],tbl_WIP[Job Number],$A426,tbl_WIP[Month],$C$4,tbl_WIP[Defer Start],"")+SUMIF('Deferred Revenue'!$E$6:$E$607,$A426,'Deferred Revenue'!$Q$6:$Q$607)</f>
        <v/>
      </c>
      <c r="E426" s="43">
        <f>C426+D426</f>
        <v/>
      </c>
      <c r="F426" s="50">
        <f>IF(ROUND(C426,2)+ROUND(D426,2)=0,"","yes")</f>
        <v/>
      </c>
      <c r="G426" s="61" t="n"/>
      <c r="H426" s="43">
        <f>IF($G426="","",$E426-$G426)</f>
        <v/>
      </c>
    </row>
    <row r="427">
      <c r="A427" s="60" t="inlineStr">
        <is>
          <t>9350</t>
        </is>
      </c>
      <c r="B427" s="60" t="inlineStr">
        <is>
          <t>MARKETING (external)</t>
        </is>
      </c>
      <c r="C427" s="43">
        <f>SUMIFS(tbl_WIP[Amount],tbl_WIP[Job Number],$A427,tbl_WIP[Month],"&lt;&gt;",tbl_WIP[Month],"&lt;"&amp;$C$4,tbl_WIP[Defer Start],"")+SUMIF('Deferred Revenue'!$E$6:$E$607,$A427,'Deferred Revenue'!$P$6:$P$607)</f>
        <v/>
      </c>
      <c r="D427" s="43">
        <f>SUMIFS(tbl_WIP[Amount],tbl_WIP[Job Number],$A427,tbl_WIP[Month],$C$4,tbl_WIP[Defer Start],"")+SUMIF('Deferred Revenue'!$E$6:$E$607,$A427,'Deferred Revenue'!$Q$6:$Q$607)</f>
        <v/>
      </c>
      <c r="E427" s="43">
        <f>C427+D427</f>
        <v/>
      </c>
      <c r="F427" s="50">
        <f>IF(ROUND(C427,2)+ROUND(D427,2)=0,"","yes")</f>
        <v/>
      </c>
      <c r="G427" s="61" t="n"/>
      <c r="H427" s="43">
        <f>IF($G427="","",$E427-$G427)</f>
        <v/>
      </c>
    </row>
    <row r="428">
      <c r="A428" s="60" t="inlineStr">
        <is>
          <t>9375</t>
        </is>
      </c>
      <c r="B428" s="60" t="inlineStr">
        <is>
          <t>MARKETING / COMMS</t>
        </is>
      </c>
      <c r="C428" s="43">
        <f>SUMIFS(tbl_WIP[Amount],tbl_WIP[Job Number],$A428,tbl_WIP[Month],"&lt;&gt;",tbl_WIP[Month],"&lt;"&amp;$C$4,tbl_WIP[Defer Start],"")+SUMIF('Deferred Revenue'!$E$6:$E$607,$A428,'Deferred Revenue'!$P$6:$P$607)</f>
        <v/>
      </c>
      <c r="D428" s="43">
        <f>SUMIFS(tbl_WIP[Amount],tbl_WIP[Job Number],$A428,tbl_WIP[Month],$C$4,tbl_WIP[Defer Start],"")+SUMIF('Deferred Revenue'!$E$6:$E$607,$A428,'Deferred Revenue'!$Q$6:$Q$607)</f>
        <v/>
      </c>
      <c r="E428" s="43">
        <f>C428+D428</f>
        <v/>
      </c>
      <c r="F428" s="50">
        <f>IF(ROUND(C428,2)+ROUND(D428,2)=0,"","yes")</f>
        <v/>
      </c>
      <c r="G428" s="61" t="n"/>
      <c r="H428" s="43">
        <f>IF($G428="","",$E428-$G428)</f>
        <v/>
      </c>
    </row>
    <row r="429">
      <c r="A429" s="60" t="inlineStr">
        <is>
          <t>9400</t>
        </is>
      </c>
      <c r="B429" s="60" t="inlineStr">
        <is>
          <t>CONSULTING</t>
        </is>
      </c>
      <c r="C429" s="43">
        <f>SUMIFS(tbl_WIP[Amount],tbl_WIP[Job Number],$A429,tbl_WIP[Month],"&lt;&gt;",tbl_WIP[Month],"&lt;"&amp;$C$4,tbl_WIP[Defer Start],"")+SUMIF('Deferred Revenue'!$E$6:$E$607,$A429,'Deferred Revenue'!$P$6:$P$607)</f>
        <v/>
      </c>
      <c r="D429" s="43">
        <f>SUMIFS(tbl_WIP[Amount],tbl_WIP[Job Number],$A429,tbl_WIP[Month],$C$4,tbl_WIP[Defer Start],"")+SUMIF('Deferred Revenue'!$E$6:$E$607,$A429,'Deferred Revenue'!$Q$6:$Q$607)</f>
        <v/>
      </c>
      <c r="E429" s="43">
        <f>C429+D429</f>
        <v/>
      </c>
      <c r="F429" s="50">
        <f>IF(ROUND(C429,2)+ROUND(D429,2)=0,"","yes")</f>
        <v/>
      </c>
      <c r="G429" s="61" t="n"/>
      <c r="H429" s="43">
        <f>IF($G429="","",$E429-$G429)</f>
        <v/>
      </c>
    </row>
    <row r="430">
      <c r="A430" s="60" t="inlineStr">
        <is>
          <t>9402</t>
        </is>
      </c>
      <c r="B430" s="60" t="inlineStr">
        <is>
          <t>CONSULTING - Assets</t>
        </is>
      </c>
      <c r="C430" s="43">
        <f>SUMIFS(tbl_WIP[Amount],tbl_WIP[Job Number],$A430,tbl_WIP[Month],"&lt;&gt;",tbl_WIP[Month],"&lt;"&amp;$C$4,tbl_WIP[Defer Start],"")+SUMIF('Deferred Revenue'!$E$6:$E$607,$A430,'Deferred Revenue'!$P$6:$P$607)</f>
        <v/>
      </c>
      <c r="D430" s="43">
        <f>SUMIFS(tbl_WIP[Amount],tbl_WIP[Job Number],$A430,tbl_WIP[Month],$C$4,tbl_WIP[Defer Start],"")+SUMIF('Deferred Revenue'!$E$6:$E$607,$A430,'Deferred Revenue'!$Q$6:$Q$607)</f>
        <v/>
      </c>
      <c r="E430" s="43">
        <f>C430+D430</f>
        <v/>
      </c>
      <c r="F430" s="50">
        <f>IF(ROUND(C430,2)+ROUND(D430,2)=0,"","yes")</f>
        <v/>
      </c>
      <c r="G430" s="61" t="n"/>
      <c r="H430" s="43">
        <f>IF($G430="","",$E430-$G430)</f>
        <v/>
      </c>
    </row>
    <row r="431">
      <c r="A431" s="60" t="inlineStr">
        <is>
          <t>9403</t>
        </is>
      </c>
      <c r="B431" s="60" t="inlineStr">
        <is>
          <t>CONSULTING - Sales</t>
        </is>
      </c>
      <c r="C431" s="43">
        <f>SUMIFS(tbl_WIP[Amount],tbl_WIP[Job Number],$A431,tbl_WIP[Month],"&lt;&gt;",tbl_WIP[Month],"&lt;"&amp;$C$4,tbl_WIP[Defer Start],"")+SUMIF('Deferred Revenue'!$E$6:$E$607,$A431,'Deferred Revenue'!$P$6:$P$607)</f>
        <v/>
      </c>
      <c r="D431" s="43">
        <f>SUMIFS(tbl_WIP[Amount],tbl_WIP[Job Number],$A431,tbl_WIP[Month],$C$4,tbl_WIP[Defer Start],"")+SUMIF('Deferred Revenue'!$E$6:$E$607,$A431,'Deferred Revenue'!$Q$6:$Q$607)</f>
        <v/>
      </c>
      <c r="E431" s="43">
        <f>C431+D431</f>
        <v/>
      </c>
      <c r="F431" s="50">
        <f>IF(ROUND(C431,2)+ROUND(D431,2)=0,"","yes")</f>
        <v/>
      </c>
      <c r="G431" s="61" t="n"/>
      <c r="H431" s="43">
        <f>IF($G431="","",$E431-$G431)</f>
        <v/>
      </c>
    </row>
    <row r="432">
      <c r="A432" s="60" t="inlineStr">
        <is>
          <t>9405</t>
        </is>
      </c>
      <c r="B432" s="60" t="inlineStr">
        <is>
          <t>CONSULTING - Marketing</t>
        </is>
      </c>
      <c r="C432" s="43">
        <f>SUMIFS(tbl_WIP[Amount],tbl_WIP[Job Number],$A432,tbl_WIP[Month],"&lt;&gt;",tbl_WIP[Month],"&lt;"&amp;$C$4,tbl_WIP[Defer Start],"")+SUMIF('Deferred Revenue'!$E$6:$E$607,$A432,'Deferred Revenue'!$P$6:$P$607)</f>
        <v/>
      </c>
      <c r="D432" s="43">
        <f>SUMIFS(tbl_WIP[Amount],tbl_WIP[Job Number],$A432,tbl_WIP[Month],$C$4,tbl_WIP[Defer Start],"")+SUMIF('Deferred Revenue'!$E$6:$E$607,$A432,'Deferred Revenue'!$Q$6:$Q$607)</f>
        <v/>
      </c>
      <c r="E432" s="43">
        <f>C432+D432</f>
        <v/>
      </c>
      <c r="F432" s="50">
        <f>IF(ROUND(C432,2)+ROUND(D432,2)=0,"","yes")</f>
        <v/>
      </c>
      <c r="G432" s="61" t="n"/>
      <c r="H432" s="43">
        <f>IF($G432="","",$E432-$G432)</f>
        <v/>
      </c>
    </row>
    <row r="433">
      <c r="A433" s="60" t="inlineStr">
        <is>
          <t>9407</t>
        </is>
      </c>
      <c r="B433" s="60" t="inlineStr">
        <is>
          <t>CONSULTING - Training</t>
        </is>
      </c>
      <c r="C433" s="43">
        <f>SUMIFS(tbl_WIP[Amount],tbl_WIP[Job Number],$A433,tbl_WIP[Month],"&lt;&gt;",tbl_WIP[Month],"&lt;"&amp;$C$4,tbl_WIP[Defer Start],"")+SUMIF('Deferred Revenue'!$E$6:$E$607,$A433,'Deferred Revenue'!$P$6:$P$607)</f>
        <v/>
      </c>
      <c r="D433" s="43">
        <f>SUMIFS(tbl_WIP[Amount],tbl_WIP[Job Number],$A433,tbl_WIP[Month],$C$4,tbl_WIP[Defer Start],"")+SUMIF('Deferred Revenue'!$E$6:$E$607,$A433,'Deferred Revenue'!$Q$6:$Q$607)</f>
        <v/>
      </c>
      <c r="E433" s="43">
        <f>C433+D433</f>
        <v/>
      </c>
      <c r="F433" s="50">
        <f>IF(ROUND(C433,2)+ROUND(D433,2)=0,"","yes")</f>
        <v/>
      </c>
      <c r="G433" s="61" t="n"/>
      <c r="H433" s="43">
        <f>IF($G433="","",$E433-$G433)</f>
        <v/>
      </c>
    </row>
    <row r="434">
      <c r="A434" s="60" t="inlineStr">
        <is>
          <t>974</t>
        </is>
      </c>
      <c r="B434" s="60" t="inlineStr">
        <is>
          <t>DTTL 1300 Number</t>
        </is>
      </c>
      <c r="C434" s="43">
        <f>SUMIFS(tbl_WIP[Amount],tbl_WIP[Job Number],$A434,tbl_WIP[Month],"&lt;&gt;",tbl_WIP[Month],"&lt;"&amp;$C$4,tbl_WIP[Defer Start],"")+SUMIF('Deferred Revenue'!$E$6:$E$607,$A434,'Deferred Revenue'!$P$6:$P$607)</f>
        <v/>
      </c>
      <c r="D434" s="43">
        <f>SUMIFS(tbl_WIP[Amount],tbl_WIP[Job Number],$A434,tbl_WIP[Month],$C$4,tbl_WIP[Defer Start],"")+SUMIF('Deferred Revenue'!$E$6:$E$607,$A434,'Deferred Revenue'!$Q$6:$Q$607)</f>
        <v/>
      </c>
      <c r="E434" s="43">
        <f>C434+D434</f>
        <v/>
      </c>
      <c r="F434" s="50">
        <f>IF(ROUND(C434,2)+ROUND(D434,2)=0,"","yes")</f>
        <v/>
      </c>
      <c r="G434" s="61" t="n"/>
      <c r="H434" s="43">
        <f>IF($G434="","",$E434-$G434)</f>
        <v/>
      </c>
    </row>
  </sheetData>
  <autoFilter ref="A11:H434"/>
  <conditionalFormatting sqref="B9">
    <cfRule type="expression" priority="1" dxfId="1">
      <formula>ROUND(B9,2)&lt;&gt;0</formula>
    </cfRule>
  </conditionalFormatting>
  <conditionalFormatting sqref="H12:H434">
    <cfRule type="expression" priority="2" dxfId="1">
      <formula>AND(H12&lt;&gt;"",ROUND(H12,2)&lt;&gt;0)</formula>
    </cfRule>
  </conditionalFormatting>
  <pageMargins left="0.75" right="0.75" top="1" bottom="1" header="0.5" footer="0.5"/>
</worksheet>
</file>

<file path=xl/worksheets/sheet6.xml><?xml version="1.0" encoding="utf-8"?>
<worksheet xmlns="http://schemas.openxmlformats.org/spreadsheetml/2006/main">
  <sheetPr>
    <tabColor rgb="008B6A2B"/>
    <outlinePr summaryBelow="1" summaryRight="1"/>
    <pageSetUpPr/>
  </sheetPr>
  <dimension ref="A1:T607"/>
  <sheetViews>
    <sheetView showGridLines="0" tabSelected="0" zoomScale="90"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5" customWidth="1" min="3" max="3"/>
    <col width="22" customWidth="1" min="4" max="4"/>
    <col width="14" customWidth="1" min="5" max="5"/>
    <col width="14" customWidth="1" min="6" max="6"/>
    <col width="14" customWidth="1" min="7" max="7"/>
    <col width="12" customWidth="1" min="8" max="8"/>
    <col width="12" customWidth="1" min="9" max="9"/>
    <col width="9" customWidth="1" min="10" max="10"/>
    <col width="14" customWidth="1" min="11" max="11"/>
    <col width="17" customWidth="1" min="12" max="12"/>
    <col width="18" customWidth="1" min="13" max="13"/>
    <col width="16" customWidth="1" min="14" max="14"/>
    <col width="17" customWidth="1" min="15" max="15"/>
    <col width="14" customWidth="1" min="16" max="16"/>
    <col width="14" customWidth="1" min="17" max="17"/>
    <col width="14" customWidth="1" min="18" max="18"/>
    <col width="16" customWidth="1" min="19" max="19"/>
    <col width="11" customWidth="1" min="20" max="20"/>
  </cols>
  <sheetData>
    <row r="1" ht="24" customHeight="1">
      <c r="A1" s="18" t="inlineStr">
        <is>
          <t>Deferrals - revenue and cost, released automatically</t>
        </is>
      </c>
    </row>
    <row r="2" ht="16" customHeight="1">
      <c r="A2" s="2" t="inlineStr">
        <is>
          <t>Every line that carries a Defer Start and a Defer End - Finance invoices in the top block, WIP Movements rows in the block below it. The amount spreads evenly across those months and the WIP movement works itself out. Nothing is typed here.</t>
        </is>
      </c>
    </row>
    <row r="3" ht="6" customHeight="1">
      <c r="A3" s="30" t="inlineStr">
        <is>
          <t>Month</t>
        </is>
      </c>
      <c r="C3" s="57">
        <f>'Month-End'!C4</f>
        <v/>
      </c>
      <c r="D3" s="32" t="inlineStr">
        <is>
          <t>&lt;- set on the Month-End sheet</t>
        </is>
      </c>
    </row>
    <row r="5" ht="32" customHeight="1">
      <c r="A5" s="62" t="inlineStr">
        <is>
          <t>Line</t>
        </is>
      </c>
      <c r="B5" s="62" t="inlineStr">
        <is>
          <t>Date</t>
        </is>
      </c>
      <c r="C5" s="62" t="inlineStr">
        <is>
          <t>Xero Invoice No</t>
        </is>
      </c>
      <c r="D5" s="62" t="inlineStr">
        <is>
          <t>Client</t>
        </is>
      </c>
      <c r="E5" s="62" t="inlineStr">
        <is>
          <t>Job Number</t>
        </is>
      </c>
      <c r="F5" s="62" t="inlineStr">
        <is>
          <t>Cost Centre</t>
        </is>
      </c>
      <c r="G5" s="62" t="inlineStr">
        <is>
          <t>Ex GST</t>
        </is>
      </c>
      <c r="H5" s="62" t="inlineStr">
        <is>
          <t>Defer Start</t>
        </is>
      </c>
      <c r="I5" s="62" t="inlineStr">
        <is>
          <t>Defer End</t>
        </is>
      </c>
      <c r="J5" s="62" t="inlineStr">
        <is>
          <t>Months</t>
        </is>
      </c>
      <c r="K5" s="62" t="inlineStr">
        <is>
          <t>Per Month</t>
        </is>
      </c>
      <c r="L5" s="62" t="inlineStr">
        <is>
          <t>Recognised to date</t>
        </is>
      </c>
      <c r="M5" s="62" t="inlineStr">
        <is>
          <t>Recognised to prior</t>
        </is>
      </c>
      <c r="N5" s="62" t="inlineStr">
        <is>
          <t>Invoiced to date</t>
        </is>
      </c>
      <c r="O5" s="62" t="inlineStr">
        <is>
          <t>Invoiced to prior</t>
        </is>
      </c>
      <c r="P5" s="62" t="inlineStr">
        <is>
          <t>Opening WIP</t>
        </is>
      </c>
      <c r="Q5" s="62" t="inlineStr">
        <is>
          <t>Movement</t>
        </is>
      </c>
      <c r="R5" s="62" t="inlineStr">
        <is>
          <t>Closing WIP</t>
        </is>
      </c>
      <c r="S5" s="62" t="inlineStr">
        <is>
          <t>Source</t>
        </is>
      </c>
      <c r="T5" s="62" t="inlineStr">
        <is>
          <t>Rev/Cost</t>
        </is>
      </c>
    </row>
    <row r="6">
      <c r="A6" s="63">
        <f>ROW()-5</f>
        <v/>
      </c>
      <c r="B6" s="64">
        <f>IFERROR(INDEX(tbl_Finance[Date],$A6),"")</f>
        <v/>
      </c>
      <c r="C6" s="65">
        <f>IFERROR(INDEX(tbl_Finance[Xero Invoice No],$A6),"")</f>
        <v/>
      </c>
      <c r="D6" s="65">
        <f>IFERROR(INDEX(tbl_Finance[Client],$A6),"")</f>
        <v/>
      </c>
      <c r="E6" s="65">
        <f>IFERROR(INDEX(tbl_Finance[Job Number],$A6),"")</f>
        <v/>
      </c>
      <c r="F6" s="65">
        <f>IFERROR(INDEX(tbl_Finance[Cost Centre],$A6),"")</f>
        <v/>
      </c>
      <c r="G6" s="66">
        <f>IFERROR(INDEX(tbl_Finance[Ex GST],$A6),"")</f>
        <v/>
      </c>
      <c r="H6" s="64">
        <f>IFERROR(INDEX(tbl_Finance[Defer Start],$A6),"")</f>
        <v/>
      </c>
      <c r="I6" s="64">
        <f>IFERROR(INDEX(tbl_Finance[Defer End],$A6),"")</f>
        <v/>
      </c>
      <c r="J6" s="63">
        <f>IF(OR($H6="",$I6="",$G6=""),"",MAX(1,(YEAR($I6)-YEAR($H6))*12+MONTH($I6)-MONTH($H6)+1))</f>
        <v/>
      </c>
      <c r="K6" s="66">
        <f>IF($J6="","",$G6/$J6)</f>
        <v/>
      </c>
      <c r="L6" s="66">
        <f>IF($J6="",0,$K6*MAX(0,MIN(YEAR($C$3)*12+MONTH($C$3),YEAR($I6)*12+MONTH($I6))-(YEAR($H6)*12+MONTH($H6))+1))</f>
        <v/>
      </c>
      <c r="M6" s="66">
        <f>IF($J6="",0,$K6*MAX(0,MIN(YEAR($C$3)*12+MONTH($C$3)-1,YEAR($I6)*12+MONTH($I6))-(YEAR($H6)*12+MONTH($H6))+1))</f>
        <v/>
      </c>
      <c r="N6" s="66">
        <f>IF(OR($J6="",$B6=""),0,IF(YEAR($B6)*12+MONTH($B6)&lt;=YEAR($C$3)*12+MONTH($C$3),$G6,0))</f>
        <v/>
      </c>
      <c r="O6" s="66">
        <f>IF(OR($J6="",$B6=""),0,IF(YEAR($B6)*12+MONTH($B6)&lt;=YEAR($C$3)*12+MONTH($C$3)-1,$G6,0))</f>
        <v/>
      </c>
      <c r="P6" s="66">
        <f>$M6-$O6</f>
        <v/>
      </c>
      <c r="Q6" s="66">
        <f>($L6-$M6)-($N6-$O6)</f>
        <v/>
      </c>
      <c r="R6" s="66">
        <f>$L6-$N6</f>
        <v/>
      </c>
      <c r="S6" s="65">
        <f>"Finance invoice"</f>
        <v/>
      </c>
      <c r="T6" s="65">
        <f>"Revenue"</f>
        <v/>
      </c>
    </row>
    <row r="7">
      <c r="A7" s="63">
        <f>ROW()-5</f>
        <v/>
      </c>
      <c r="B7" s="64">
        <f>IFERROR(INDEX(tbl_Finance[Date],$A7),"")</f>
        <v/>
      </c>
      <c r="C7" s="65">
        <f>IFERROR(INDEX(tbl_Finance[Xero Invoice No],$A7),"")</f>
        <v/>
      </c>
      <c r="D7" s="65">
        <f>IFERROR(INDEX(tbl_Finance[Client],$A7),"")</f>
        <v/>
      </c>
      <c r="E7" s="65">
        <f>IFERROR(INDEX(tbl_Finance[Job Number],$A7),"")</f>
        <v/>
      </c>
      <c r="F7" s="65">
        <f>IFERROR(INDEX(tbl_Finance[Cost Centre],$A7),"")</f>
        <v/>
      </c>
      <c r="G7" s="66">
        <f>IFERROR(INDEX(tbl_Finance[Ex GST],$A7),"")</f>
        <v/>
      </c>
      <c r="H7" s="64">
        <f>IFERROR(INDEX(tbl_Finance[Defer Start],$A7),"")</f>
        <v/>
      </c>
      <c r="I7" s="64">
        <f>IFERROR(INDEX(tbl_Finance[Defer End],$A7),"")</f>
        <v/>
      </c>
      <c r="J7" s="63">
        <f>IF(OR($H7="",$I7="",$G7=""),"",MAX(1,(YEAR($I7)-YEAR($H7))*12+MONTH($I7)-MONTH($H7)+1))</f>
        <v/>
      </c>
      <c r="K7" s="66">
        <f>IF($J7="","",$G7/$J7)</f>
        <v/>
      </c>
      <c r="L7" s="66">
        <f>IF($J7="",0,$K7*MAX(0,MIN(YEAR($C$3)*12+MONTH($C$3),YEAR($I7)*12+MONTH($I7))-(YEAR($H7)*12+MONTH($H7))+1))</f>
        <v/>
      </c>
      <c r="M7" s="66">
        <f>IF($J7="",0,$K7*MAX(0,MIN(YEAR($C$3)*12+MONTH($C$3)-1,YEAR($I7)*12+MONTH($I7))-(YEAR($H7)*12+MONTH($H7))+1))</f>
        <v/>
      </c>
      <c r="N7" s="66">
        <f>IF(OR($J7="",$B7=""),0,IF(YEAR($B7)*12+MONTH($B7)&lt;=YEAR($C$3)*12+MONTH($C$3),$G7,0))</f>
        <v/>
      </c>
      <c r="O7" s="66">
        <f>IF(OR($J7="",$B7=""),0,IF(YEAR($B7)*12+MONTH($B7)&lt;=YEAR($C$3)*12+MONTH($C$3)-1,$G7,0))</f>
        <v/>
      </c>
      <c r="P7" s="66">
        <f>$M7-$O7</f>
        <v/>
      </c>
      <c r="Q7" s="66">
        <f>($L7-$M7)-($N7-$O7)</f>
        <v/>
      </c>
      <c r="R7" s="66">
        <f>$L7-$N7</f>
        <v/>
      </c>
      <c r="S7" s="65">
        <f>"Finance invoice"</f>
        <v/>
      </c>
      <c r="T7" s="65">
        <f>"Revenue"</f>
        <v/>
      </c>
    </row>
    <row r="8">
      <c r="A8" s="63">
        <f>ROW()-5</f>
        <v/>
      </c>
      <c r="B8" s="64">
        <f>IFERROR(INDEX(tbl_Finance[Date],$A8),"")</f>
        <v/>
      </c>
      <c r="C8" s="65">
        <f>IFERROR(INDEX(tbl_Finance[Xero Invoice No],$A8),"")</f>
        <v/>
      </c>
      <c r="D8" s="65">
        <f>IFERROR(INDEX(tbl_Finance[Client],$A8),"")</f>
        <v/>
      </c>
      <c r="E8" s="65">
        <f>IFERROR(INDEX(tbl_Finance[Job Number],$A8),"")</f>
        <v/>
      </c>
      <c r="F8" s="65">
        <f>IFERROR(INDEX(tbl_Finance[Cost Centre],$A8),"")</f>
        <v/>
      </c>
      <c r="G8" s="66">
        <f>IFERROR(INDEX(tbl_Finance[Ex GST],$A8),"")</f>
        <v/>
      </c>
      <c r="H8" s="64">
        <f>IFERROR(INDEX(tbl_Finance[Defer Start],$A8),"")</f>
        <v/>
      </c>
      <c r="I8" s="64">
        <f>IFERROR(INDEX(tbl_Finance[Defer End],$A8),"")</f>
        <v/>
      </c>
      <c r="J8" s="63">
        <f>IF(OR($H8="",$I8="",$G8=""),"",MAX(1,(YEAR($I8)-YEAR($H8))*12+MONTH($I8)-MONTH($H8)+1))</f>
        <v/>
      </c>
      <c r="K8" s="66">
        <f>IF($J8="","",$G8/$J8)</f>
        <v/>
      </c>
      <c r="L8" s="66">
        <f>IF($J8="",0,$K8*MAX(0,MIN(YEAR($C$3)*12+MONTH($C$3),YEAR($I8)*12+MONTH($I8))-(YEAR($H8)*12+MONTH($H8))+1))</f>
        <v/>
      </c>
      <c r="M8" s="66">
        <f>IF($J8="",0,$K8*MAX(0,MIN(YEAR($C$3)*12+MONTH($C$3)-1,YEAR($I8)*12+MONTH($I8))-(YEAR($H8)*12+MONTH($H8))+1))</f>
        <v/>
      </c>
      <c r="N8" s="66">
        <f>IF(OR($J8="",$B8=""),0,IF(YEAR($B8)*12+MONTH($B8)&lt;=YEAR($C$3)*12+MONTH($C$3),$G8,0))</f>
        <v/>
      </c>
      <c r="O8" s="66">
        <f>IF(OR($J8="",$B8=""),0,IF(YEAR($B8)*12+MONTH($B8)&lt;=YEAR($C$3)*12+MONTH($C$3)-1,$G8,0))</f>
        <v/>
      </c>
      <c r="P8" s="66">
        <f>$M8-$O8</f>
        <v/>
      </c>
      <c r="Q8" s="66">
        <f>($L8-$M8)-($N8-$O8)</f>
        <v/>
      </c>
      <c r="R8" s="66">
        <f>$L8-$N8</f>
        <v/>
      </c>
      <c r="S8" s="65">
        <f>"Finance invoice"</f>
        <v/>
      </c>
      <c r="T8" s="65">
        <f>"Revenue"</f>
        <v/>
      </c>
    </row>
    <row r="9">
      <c r="A9" s="63">
        <f>ROW()-5</f>
        <v/>
      </c>
      <c r="B9" s="64">
        <f>IFERROR(INDEX(tbl_Finance[Date],$A9),"")</f>
        <v/>
      </c>
      <c r="C9" s="65">
        <f>IFERROR(INDEX(tbl_Finance[Xero Invoice No],$A9),"")</f>
        <v/>
      </c>
      <c r="D9" s="65">
        <f>IFERROR(INDEX(tbl_Finance[Client],$A9),"")</f>
        <v/>
      </c>
      <c r="E9" s="65">
        <f>IFERROR(INDEX(tbl_Finance[Job Number],$A9),"")</f>
        <v/>
      </c>
      <c r="F9" s="65">
        <f>IFERROR(INDEX(tbl_Finance[Cost Centre],$A9),"")</f>
        <v/>
      </c>
      <c r="G9" s="66">
        <f>IFERROR(INDEX(tbl_Finance[Ex GST],$A9),"")</f>
        <v/>
      </c>
      <c r="H9" s="64">
        <f>IFERROR(INDEX(tbl_Finance[Defer Start],$A9),"")</f>
        <v/>
      </c>
      <c r="I9" s="64">
        <f>IFERROR(INDEX(tbl_Finance[Defer End],$A9),"")</f>
        <v/>
      </c>
      <c r="J9" s="63">
        <f>IF(OR($H9="",$I9="",$G9=""),"",MAX(1,(YEAR($I9)-YEAR($H9))*12+MONTH($I9)-MONTH($H9)+1))</f>
        <v/>
      </c>
      <c r="K9" s="66">
        <f>IF($J9="","",$G9/$J9)</f>
        <v/>
      </c>
      <c r="L9" s="66">
        <f>IF($J9="",0,$K9*MAX(0,MIN(YEAR($C$3)*12+MONTH($C$3),YEAR($I9)*12+MONTH($I9))-(YEAR($H9)*12+MONTH($H9))+1))</f>
        <v/>
      </c>
      <c r="M9" s="66">
        <f>IF($J9="",0,$K9*MAX(0,MIN(YEAR($C$3)*12+MONTH($C$3)-1,YEAR($I9)*12+MONTH($I9))-(YEAR($H9)*12+MONTH($H9))+1))</f>
        <v/>
      </c>
      <c r="N9" s="66">
        <f>IF(OR($J9="",$B9=""),0,IF(YEAR($B9)*12+MONTH($B9)&lt;=YEAR($C$3)*12+MONTH($C$3),$G9,0))</f>
        <v/>
      </c>
      <c r="O9" s="66">
        <f>IF(OR($J9="",$B9=""),0,IF(YEAR($B9)*12+MONTH($B9)&lt;=YEAR($C$3)*12+MONTH($C$3)-1,$G9,0))</f>
        <v/>
      </c>
      <c r="P9" s="66">
        <f>$M9-$O9</f>
        <v/>
      </c>
      <c r="Q9" s="66">
        <f>($L9-$M9)-($N9-$O9)</f>
        <v/>
      </c>
      <c r="R9" s="66">
        <f>$L9-$N9</f>
        <v/>
      </c>
      <c r="S9" s="65">
        <f>"Finance invoice"</f>
        <v/>
      </c>
      <c r="T9" s="65">
        <f>"Revenue"</f>
        <v/>
      </c>
    </row>
    <row r="10">
      <c r="A10" s="63">
        <f>ROW()-5</f>
        <v/>
      </c>
      <c r="B10" s="64">
        <f>IFERROR(INDEX(tbl_Finance[Date],$A10),"")</f>
        <v/>
      </c>
      <c r="C10" s="65">
        <f>IFERROR(INDEX(tbl_Finance[Xero Invoice No],$A10),"")</f>
        <v/>
      </c>
      <c r="D10" s="65">
        <f>IFERROR(INDEX(tbl_Finance[Client],$A10),"")</f>
        <v/>
      </c>
      <c r="E10" s="65">
        <f>IFERROR(INDEX(tbl_Finance[Job Number],$A10),"")</f>
        <v/>
      </c>
      <c r="F10" s="65">
        <f>IFERROR(INDEX(tbl_Finance[Cost Centre],$A10),"")</f>
        <v/>
      </c>
      <c r="G10" s="66">
        <f>IFERROR(INDEX(tbl_Finance[Ex GST],$A10),"")</f>
        <v/>
      </c>
      <c r="H10" s="64">
        <f>IFERROR(INDEX(tbl_Finance[Defer Start],$A10),"")</f>
        <v/>
      </c>
      <c r="I10" s="64">
        <f>IFERROR(INDEX(tbl_Finance[Defer End],$A10),"")</f>
        <v/>
      </c>
      <c r="J10" s="63">
        <f>IF(OR($H10="",$I10="",$G10=""),"",MAX(1,(YEAR($I10)-YEAR($H10))*12+MONTH($I10)-MONTH($H10)+1))</f>
        <v/>
      </c>
      <c r="K10" s="66">
        <f>IF($J10="","",$G10/$J10)</f>
        <v/>
      </c>
      <c r="L10" s="66">
        <f>IF($J10="",0,$K10*MAX(0,MIN(YEAR($C$3)*12+MONTH($C$3),YEAR($I10)*12+MONTH($I10))-(YEAR($H10)*12+MONTH($H10))+1))</f>
        <v/>
      </c>
      <c r="M10" s="66">
        <f>IF($J10="",0,$K10*MAX(0,MIN(YEAR($C$3)*12+MONTH($C$3)-1,YEAR($I10)*12+MONTH($I10))-(YEAR($H10)*12+MONTH($H10))+1))</f>
        <v/>
      </c>
      <c r="N10" s="66">
        <f>IF(OR($J10="",$B10=""),0,IF(YEAR($B10)*12+MONTH($B10)&lt;=YEAR($C$3)*12+MONTH($C$3),$G10,0))</f>
        <v/>
      </c>
      <c r="O10" s="66">
        <f>IF(OR($J10="",$B10=""),0,IF(YEAR($B10)*12+MONTH($B10)&lt;=YEAR($C$3)*12+MONTH($C$3)-1,$G10,0))</f>
        <v/>
      </c>
      <c r="P10" s="66">
        <f>$M10-$O10</f>
        <v/>
      </c>
      <c r="Q10" s="66">
        <f>($L10-$M10)-($N10-$O10)</f>
        <v/>
      </c>
      <c r="R10" s="66">
        <f>$L10-$N10</f>
        <v/>
      </c>
      <c r="S10" s="65">
        <f>"Finance invoice"</f>
        <v/>
      </c>
      <c r="T10" s="65">
        <f>"Revenue"</f>
        <v/>
      </c>
    </row>
    <row r="11">
      <c r="A11" s="63">
        <f>ROW()-5</f>
        <v/>
      </c>
      <c r="B11" s="64">
        <f>IFERROR(INDEX(tbl_Finance[Date],$A11),"")</f>
        <v/>
      </c>
      <c r="C11" s="65">
        <f>IFERROR(INDEX(tbl_Finance[Xero Invoice No],$A11),"")</f>
        <v/>
      </c>
      <c r="D11" s="65">
        <f>IFERROR(INDEX(tbl_Finance[Client],$A11),"")</f>
        <v/>
      </c>
      <c r="E11" s="65">
        <f>IFERROR(INDEX(tbl_Finance[Job Number],$A11),"")</f>
        <v/>
      </c>
      <c r="F11" s="65">
        <f>IFERROR(INDEX(tbl_Finance[Cost Centre],$A11),"")</f>
        <v/>
      </c>
      <c r="G11" s="66">
        <f>IFERROR(INDEX(tbl_Finance[Ex GST],$A11),"")</f>
        <v/>
      </c>
      <c r="H11" s="64">
        <f>IFERROR(INDEX(tbl_Finance[Defer Start],$A11),"")</f>
        <v/>
      </c>
      <c r="I11" s="64">
        <f>IFERROR(INDEX(tbl_Finance[Defer End],$A11),"")</f>
        <v/>
      </c>
      <c r="J11" s="63">
        <f>IF(OR($H11="",$I11="",$G11=""),"",MAX(1,(YEAR($I11)-YEAR($H11))*12+MONTH($I11)-MONTH($H11)+1))</f>
        <v/>
      </c>
      <c r="K11" s="66">
        <f>IF($J11="","",$G11/$J11)</f>
        <v/>
      </c>
      <c r="L11" s="66">
        <f>IF($J11="",0,$K11*MAX(0,MIN(YEAR($C$3)*12+MONTH($C$3),YEAR($I11)*12+MONTH($I11))-(YEAR($H11)*12+MONTH($H11))+1))</f>
        <v/>
      </c>
      <c r="M11" s="66">
        <f>IF($J11="",0,$K11*MAX(0,MIN(YEAR($C$3)*12+MONTH($C$3)-1,YEAR($I11)*12+MONTH($I11))-(YEAR($H11)*12+MONTH($H11))+1))</f>
        <v/>
      </c>
      <c r="N11" s="66">
        <f>IF(OR($J11="",$B11=""),0,IF(YEAR($B11)*12+MONTH($B11)&lt;=YEAR($C$3)*12+MONTH($C$3),$G11,0))</f>
        <v/>
      </c>
      <c r="O11" s="66">
        <f>IF(OR($J11="",$B11=""),0,IF(YEAR($B11)*12+MONTH($B11)&lt;=YEAR($C$3)*12+MONTH($C$3)-1,$G11,0))</f>
        <v/>
      </c>
      <c r="P11" s="66">
        <f>$M11-$O11</f>
        <v/>
      </c>
      <c r="Q11" s="66">
        <f>($L11-$M11)-($N11-$O11)</f>
        <v/>
      </c>
      <c r="R11" s="66">
        <f>$L11-$N11</f>
        <v/>
      </c>
      <c r="S11" s="65">
        <f>"Finance invoice"</f>
        <v/>
      </c>
      <c r="T11" s="65">
        <f>"Revenue"</f>
        <v/>
      </c>
    </row>
    <row r="12">
      <c r="A12" s="63">
        <f>ROW()-5</f>
        <v/>
      </c>
      <c r="B12" s="64">
        <f>IFERROR(INDEX(tbl_Finance[Date],$A12),"")</f>
        <v/>
      </c>
      <c r="C12" s="65">
        <f>IFERROR(INDEX(tbl_Finance[Xero Invoice No],$A12),"")</f>
        <v/>
      </c>
      <c r="D12" s="65">
        <f>IFERROR(INDEX(tbl_Finance[Client],$A12),"")</f>
        <v/>
      </c>
      <c r="E12" s="65">
        <f>IFERROR(INDEX(tbl_Finance[Job Number],$A12),"")</f>
        <v/>
      </c>
      <c r="F12" s="65">
        <f>IFERROR(INDEX(tbl_Finance[Cost Centre],$A12),"")</f>
        <v/>
      </c>
      <c r="G12" s="66">
        <f>IFERROR(INDEX(tbl_Finance[Ex GST],$A12),"")</f>
        <v/>
      </c>
      <c r="H12" s="64">
        <f>IFERROR(INDEX(tbl_Finance[Defer Start],$A12),"")</f>
        <v/>
      </c>
      <c r="I12" s="64">
        <f>IFERROR(INDEX(tbl_Finance[Defer End],$A12),"")</f>
        <v/>
      </c>
      <c r="J12" s="63">
        <f>IF(OR($H12="",$I12="",$G12=""),"",MAX(1,(YEAR($I12)-YEAR($H12))*12+MONTH($I12)-MONTH($H12)+1))</f>
        <v/>
      </c>
      <c r="K12" s="66">
        <f>IF($J12="","",$G12/$J12)</f>
        <v/>
      </c>
      <c r="L12" s="66">
        <f>IF($J12="",0,$K12*MAX(0,MIN(YEAR($C$3)*12+MONTH($C$3),YEAR($I12)*12+MONTH($I12))-(YEAR($H12)*12+MONTH($H12))+1))</f>
        <v/>
      </c>
      <c r="M12" s="66">
        <f>IF($J12="",0,$K12*MAX(0,MIN(YEAR($C$3)*12+MONTH($C$3)-1,YEAR($I12)*12+MONTH($I12))-(YEAR($H12)*12+MONTH($H12))+1))</f>
        <v/>
      </c>
      <c r="N12" s="66">
        <f>IF(OR($J12="",$B12=""),0,IF(YEAR($B12)*12+MONTH($B12)&lt;=YEAR($C$3)*12+MONTH($C$3),$G12,0))</f>
        <v/>
      </c>
      <c r="O12" s="66">
        <f>IF(OR($J12="",$B12=""),0,IF(YEAR($B12)*12+MONTH($B12)&lt;=YEAR($C$3)*12+MONTH($C$3)-1,$G12,0))</f>
        <v/>
      </c>
      <c r="P12" s="66">
        <f>$M12-$O12</f>
        <v/>
      </c>
      <c r="Q12" s="66">
        <f>($L12-$M12)-($N12-$O12)</f>
        <v/>
      </c>
      <c r="R12" s="66">
        <f>$L12-$N12</f>
        <v/>
      </c>
      <c r="S12" s="65">
        <f>"Finance invoice"</f>
        <v/>
      </c>
      <c r="T12" s="65">
        <f>"Revenue"</f>
        <v/>
      </c>
    </row>
    <row r="13">
      <c r="A13" s="63">
        <f>ROW()-5</f>
        <v/>
      </c>
      <c r="B13" s="64">
        <f>IFERROR(INDEX(tbl_Finance[Date],$A13),"")</f>
        <v/>
      </c>
      <c r="C13" s="65">
        <f>IFERROR(INDEX(tbl_Finance[Xero Invoice No],$A13),"")</f>
        <v/>
      </c>
      <c r="D13" s="65">
        <f>IFERROR(INDEX(tbl_Finance[Client],$A13),"")</f>
        <v/>
      </c>
      <c r="E13" s="65">
        <f>IFERROR(INDEX(tbl_Finance[Job Number],$A13),"")</f>
        <v/>
      </c>
      <c r="F13" s="65">
        <f>IFERROR(INDEX(tbl_Finance[Cost Centre],$A13),"")</f>
        <v/>
      </c>
      <c r="G13" s="66">
        <f>IFERROR(INDEX(tbl_Finance[Ex GST],$A13),"")</f>
        <v/>
      </c>
      <c r="H13" s="64">
        <f>IFERROR(INDEX(tbl_Finance[Defer Start],$A13),"")</f>
        <v/>
      </c>
      <c r="I13" s="64">
        <f>IFERROR(INDEX(tbl_Finance[Defer End],$A13),"")</f>
        <v/>
      </c>
      <c r="J13" s="63">
        <f>IF(OR($H13="",$I13="",$G13=""),"",MAX(1,(YEAR($I13)-YEAR($H13))*12+MONTH($I13)-MONTH($H13)+1))</f>
        <v/>
      </c>
      <c r="K13" s="66">
        <f>IF($J13="","",$G13/$J13)</f>
        <v/>
      </c>
      <c r="L13" s="66">
        <f>IF($J13="",0,$K13*MAX(0,MIN(YEAR($C$3)*12+MONTH($C$3),YEAR($I13)*12+MONTH($I13))-(YEAR($H13)*12+MONTH($H13))+1))</f>
        <v/>
      </c>
      <c r="M13" s="66">
        <f>IF($J13="",0,$K13*MAX(0,MIN(YEAR($C$3)*12+MONTH($C$3)-1,YEAR($I13)*12+MONTH($I13))-(YEAR($H13)*12+MONTH($H13))+1))</f>
        <v/>
      </c>
      <c r="N13" s="66">
        <f>IF(OR($J13="",$B13=""),0,IF(YEAR($B13)*12+MONTH($B13)&lt;=YEAR($C$3)*12+MONTH($C$3),$G13,0))</f>
        <v/>
      </c>
      <c r="O13" s="66">
        <f>IF(OR($J13="",$B13=""),0,IF(YEAR($B13)*12+MONTH($B13)&lt;=YEAR($C$3)*12+MONTH($C$3)-1,$G13,0))</f>
        <v/>
      </c>
      <c r="P13" s="66">
        <f>$M13-$O13</f>
        <v/>
      </c>
      <c r="Q13" s="66">
        <f>($L13-$M13)-($N13-$O13)</f>
        <v/>
      </c>
      <c r="R13" s="66">
        <f>$L13-$N13</f>
        <v/>
      </c>
      <c r="S13" s="65">
        <f>"Finance invoice"</f>
        <v/>
      </c>
      <c r="T13" s="65">
        <f>"Revenue"</f>
        <v/>
      </c>
    </row>
    <row r="14">
      <c r="A14" s="63">
        <f>ROW()-5</f>
        <v/>
      </c>
      <c r="B14" s="64">
        <f>IFERROR(INDEX(tbl_Finance[Date],$A14),"")</f>
        <v/>
      </c>
      <c r="C14" s="65">
        <f>IFERROR(INDEX(tbl_Finance[Xero Invoice No],$A14),"")</f>
        <v/>
      </c>
      <c r="D14" s="65">
        <f>IFERROR(INDEX(tbl_Finance[Client],$A14),"")</f>
        <v/>
      </c>
      <c r="E14" s="65">
        <f>IFERROR(INDEX(tbl_Finance[Job Number],$A14),"")</f>
        <v/>
      </c>
      <c r="F14" s="65">
        <f>IFERROR(INDEX(tbl_Finance[Cost Centre],$A14),"")</f>
        <v/>
      </c>
      <c r="G14" s="66">
        <f>IFERROR(INDEX(tbl_Finance[Ex GST],$A14),"")</f>
        <v/>
      </c>
      <c r="H14" s="64">
        <f>IFERROR(INDEX(tbl_Finance[Defer Start],$A14),"")</f>
        <v/>
      </c>
      <c r="I14" s="64">
        <f>IFERROR(INDEX(tbl_Finance[Defer End],$A14),"")</f>
        <v/>
      </c>
      <c r="J14" s="63">
        <f>IF(OR($H14="",$I14="",$G14=""),"",MAX(1,(YEAR($I14)-YEAR($H14))*12+MONTH($I14)-MONTH($H14)+1))</f>
        <v/>
      </c>
      <c r="K14" s="66">
        <f>IF($J14="","",$G14/$J14)</f>
        <v/>
      </c>
      <c r="L14" s="66">
        <f>IF($J14="",0,$K14*MAX(0,MIN(YEAR($C$3)*12+MONTH($C$3),YEAR($I14)*12+MONTH($I14))-(YEAR($H14)*12+MONTH($H14))+1))</f>
        <v/>
      </c>
      <c r="M14" s="66">
        <f>IF($J14="",0,$K14*MAX(0,MIN(YEAR($C$3)*12+MONTH($C$3)-1,YEAR($I14)*12+MONTH($I14))-(YEAR($H14)*12+MONTH($H14))+1))</f>
        <v/>
      </c>
      <c r="N14" s="66">
        <f>IF(OR($J14="",$B14=""),0,IF(YEAR($B14)*12+MONTH($B14)&lt;=YEAR($C$3)*12+MONTH($C$3),$G14,0))</f>
        <v/>
      </c>
      <c r="O14" s="66">
        <f>IF(OR($J14="",$B14=""),0,IF(YEAR($B14)*12+MONTH($B14)&lt;=YEAR($C$3)*12+MONTH($C$3)-1,$G14,0))</f>
        <v/>
      </c>
      <c r="P14" s="66">
        <f>$M14-$O14</f>
        <v/>
      </c>
      <c r="Q14" s="66">
        <f>($L14-$M14)-($N14-$O14)</f>
        <v/>
      </c>
      <c r="R14" s="66">
        <f>$L14-$N14</f>
        <v/>
      </c>
      <c r="S14" s="65">
        <f>"Finance invoice"</f>
        <v/>
      </c>
      <c r="T14" s="65">
        <f>"Revenue"</f>
        <v/>
      </c>
    </row>
    <row r="15">
      <c r="A15" s="63">
        <f>ROW()-5</f>
        <v/>
      </c>
      <c r="B15" s="64">
        <f>IFERROR(INDEX(tbl_Finance[Date],$A15),"")</f>
        <v/>
      </c>
      <c r="C15" s="65">
        <f>IFERROR(INDEX(tbl_Finance[Xero Invoice No],$A15),"")</f>
        <v/>
      </c>
      <c r="D15" s="65">
        <f>IFERROR(INDEX(tbl_Finance[Client],$A15),"")</f>
        <v/>
      </c>
      <c r="E15" s="65">
        <f>IFERROR(INDEX(tbl_Finance[Job Number],$A15),"")</f>
        <v/>
      </c>
      <c r="F15" s="65">
        <f>IFERROR(INDEX(tbl_Finance[Cost Centre],$A15),"")</f>
        <v/>
      </c>
      <c r="G15" s="66">
        <f>IFERROR(INDEX(tbl_Finance[Ex GST],$A15),"")</f>
        <v/>
      </c>
      <c r="H15" s="64">
        <f>IFERROR(INDEX(tbl_Finance[Defer Start],$A15),"")</f>
        <v/>
      </c>
      <c r="I15" s="64">
        <f>IFERROR(INDEX(tbl_Finance[Defer End],$A15),"")</f>
        <v/>
      </c>
      <c r="J15" s="63">
        <f>IF(OR($H15="",$I15="",$G15=""),"",MAX(1,(YEAR($I15)-YEAR($H15))*12+MONTH($I15)-MONTH($H15)+1))</f>
        <v/>
      </c>
      <c r="K15" s="66">
        <f>IF($J15="","",$G15/$J15)</f>
        <v/>
      </c>
      <c r="L15" s="66">
        <f>IF($J15="",0,$K15*MAX(0,MIN(YEAR($C$3)*12+MONTH($C$3),YEAR($I15)*12+MONTH($I15))-(YEAR($H15)*12+MONTH($H15))+1))</f>
        <v/>
      </c>
      <c r="M15" s="66">
        <f>IF($J15="",0,$K15*MAX(0,MIN(YEAR($C$3)*12+MONTH($C$3)-1,YEAR($I15)*12+MONTH($I15))-(YEAR($H15)*12+MONTH($H15))+1))</f>
        <v/>
      </c>
      <c r="N15" s="66">
        <f>IF(OR($J15="",$B15=""),0,IF(YEAR($B15)*12+MONTH($B15)&lt;=YEAR($C$3)*12+MONTH($C$3),$G15,0))</f>
        <v/>
      </c>
      <c r="O15" s="66">
        <f>IF(OR($J15="",$B15=""),0,IF(YEAR($B15)*12+MONTH($B15)&lt;=YEAR($C$3)*12+MONTH($C$3)-1,$G15,0))</f>
        <v/>
      </c>
      <c r="P15" s="66">
        <f>$M15-$O15</f>
        <v/>
      </c>
      <c r="Q15" s="66">
        <f>($L15-$M15)-($N15-$O15)</f>
        <v/>
      </c>
      <c r="R15" s="66">
        <f>$L15-$N15</f>
        <v/>
      </c>
      <c r="S15" s="65">
        <f>"Finance invoice"</f>
        <v/>
      </c>
      <c r="T15" s="65">
        <f>"Revenue"</f>
        <v/>
      </c>
    </row>
    <row r="16">
      <c r="A16" s="63">
        <f>ROW()-5</f>
        <v/>
      </c>
      <c r="B16" s="64">
        <f>IFERROR(INDEX(tbl_Finance[Date],$A16),"")</f>
        <v/>
      </c>
      <c r="C16" s="65">
        <f>IFERROR(INDEX(tbl_Finance[Xero Invoice No],$A16),"")</f>
        <v/>
      </c>
      <c r="D16" s="65">
        <f>IFERROR(INDEX(tbl_Finance[Client],$A16),"")</f>
        <v/>
      </c>
      <c r="E16" s="65">
        <f>IFERROR(INDEX(tbl_Finance[Job Number],$A16),"")</f>
        <v/>
      </c>
      <c r="F16" s="65">
        <f>IFERROR(INDEX(tbl_Finance[Cost Centre],$A16),"")</f>
        <v/>
      </c>
      <c r="G16" s="66">
        <f>IFERROR(INDEX(tbl_Finance[Ex GST],$A16),"")</f>
        <v/>
      </c>
      <c r="H16" s="64">
        <f>IFERROR(INDEX(tbl_Finance[Defer Start],$A16),"")</f>
        <v/>
      </c>
      <c r="I16" s="64">
        <f>IFERROR(INDEX(tbl_Finance[Defer End],$A16),"")</f>
        <v/>
      </c>
      <c r="J16" s="63">
        <f>IF(OR($H16="",$I16="",$G16=""),"",MAX(1,(YEAR($I16)-YEAR($H16))*12+MONTH($I16)-MONTH($H16)+1))</f>
        <v/>
      </c>
      <c r="K16" s="66">
        <f>IF($J16="","",$G16/$J16)</f>
        <v/>
      </c>
      <c r="L16" s="66">
        <f>IF($J16="",0,$K16*MAX(0,MIN(YEAR($C$3)*12+MONTH($C$3),YEAR($I16)*12+MONTH($I16))-(YEAR($H16)*12+MONTH($H16))+1))</f>
        <v/>
      </c>
      <c r="M16" s="66">
        <f>IF($J16="",0,$K16*MAX(0,MIN(YEAR($C$3)*12+MONTH($C$3)-1,YEAR($I16)*12+MONTH($I16))-(YEAR($H16)*12+MONTH($H16))+1))</f>
        <v/>
      </c>
      <c r="N16" s="66">
        <f>IF(OR($J16="",$B16=""),0,IF(YEAR($B16)*12+MONTH($B16)&lt;=YEAR($C$3)*12+MONTH($C$3),$G16,0))</f>
        <v/>
      </c>
      <c r="O16" s="66">
        <f>IF(OR($J16="",$B16=""),0,IF(YEAR($B16)*12+MONTH($B16)&lt;=YEAR($C$3)*12+MONTH($C$3)-1,$G16,0))</f>
        <v/>
      </c>
      <c r="P16" s="66">
        <f>$M16-$O16</f>
        <v/>
      </c>
      <c r="Q16" s="66">
        <f>($L16-$M16)-($N16-$O16)</f>
        <v/>
      </c>
      <c r="R16" s="66">
        <f>$L16-$N16</f>
        <v/>
      </c>
      <c r="S16" s="65">
        <f>"Finance invoice"</f>
        <v/>
      </c>
      <c r="T16" s="65">
        <f>"Revenue"</f>
        <v/>
      </c>
    </row>
    <row r="17">
      <c r="A17" s="63">
        <f>ROW()-5</f>
        <v/>
      </c>
      <c r="B17" s="64">
        <f>IFERROR(INDEX(tbl_Finance[Date],$A17),"")</f>
        <v/>
      </c>
      <c r="C17" s="65">
        <f>IFERROR(INDEX(tbl_Finance[Xero Invoice No],$A17),"")</f>
        <v/>
      </c>
      <c r="D17" s="65">
        <f>IFERROR(INDEX(tbl_Finance[Client],$A17),"")</f>
        <v/>
      </c>
      <c r="E17" s="65">
        <f>IFERROR(INDEX(tbl_Finance[Job Number],$A17),"")</f>
        <v/>
      </c>
      <c r="F17" s="65">
        <f>IFERROR(INDEX(tbl_Finance[Cost Centre],$A17),"")</f>
        <v/>
      </c>
      <c r="G17" s="66">
        <f>IFERROR(INDEX(tbl_Finance[Ex GST],$A17),"")</f>
        <v/>
      </c>
      <c r="H17" s="64">
        <f>IFERROR(INDEX(tbl_Finance[Defer Start],$A17),"")</f>
        <v/>
      </c>
      <c r="I17" s="64">
        <f>IFERROR(INDEX(tbl_Finance[Defer End],$A17),"")</f>
        <v/>
      </c>
      <c r="J17" s="63">
        <f>IF(OR($H17="",$I17="",$G17=""),"",MAX(1,(YEAR($I17)-YEAR($H17))*12+MONTH($I17)-MONTH($H17)+1))</f>
        <v/>
      </c>
      <c r="K17" s="66">
        <f>IF($J17="","",$G17/$J17)</f>
        <v/>
      </c>
      <c r="L17" s="66">
        <f>IF($J17="",0,$K17*MAX(0,MIN(YEAR($C$3)*12+MONTH($C$3),YEAR($I17)*12+MONTH($I17))-(YEAR($H17)*12+MONTH($H17))+1))</f>
        <v/>
      </c>
      <c r="M17" s="66">
        <f>IF($J17="",0,$K17*MAX(0,MIN(YEAR($C$3)*12+MONTH($C$3)-1,YEAR($I17)*12+MONTH($I17))-(YEAR($H17)*12+MONTH($H17))+1))</f>
        <v/>
      </c>
      <c r="N17" s="66">
        <f>IF(OR($J17="",$B17=""),0,IF(YEAR($B17)*12+MONTH($B17)&lt;=YEAR($C$3)*12+MONTH($C$3),$G17,0))</f>
        <v/>
      </c>
      <c r="O17" s="66">
        <f>IF(OR($J17="",$B17=""),0,IF(YEAR($B17)*12+MONTH($B17)&lt;=YEAR($C$3)*12+MONTH($C$3)-1,$G17,0))</f>
        <v/>
      </c>
      <c r="P17" s="66">
        <f>$M17-$O17</f>
        <v/>
      </c>
      <c r="Q17" s="66">
        <f>($L17-$M17)-($N17-$O17)</f>
        <v/>
      </c>
      <c r="R17" s="66">
        <f>$L17-$N17</f>
        <v/>
      </c>
      <c r="S17" s="65">
        <f>"Finance invoice"</f>
        <v/>
      </c>
      <c r="T17" s="65">
        <f>"Revenue"</f>
        <v/>
      </c>
    </row>
    <row r="18">
      <c r="A18" s="63">
        <f>ROW()-5</f>
        <v/>
      </c>
      <c r="B18" s="64">
        <f>IFERROR(INDEX(tbl_Finance[Date],$A18),"")</f>
        <v/>
      </c>
      <c r="C18" s="65">
        <f>IFERROR(INDEX(tbl_Finance[Xero Invoice No],$A18),"")</f>
        <v/>
      </c>
      <c r="D18" s="65">
        <f>IFERROR(INDEX(tbl_Finance[Client],$A18),"")</f>
        <v/>
      </c>
      <c r="E18" s="65">
        <f>IFERROR(INDEX(tbl_Finance[Job Number],$A18),"")</f>
        <v/>
      </c>
      <c r="F18" s="65">
        <f>IFERROR(INDEX(tbl_Finance[Cost Centre],$A18),"")</f>
        <v/>
      </c>
      <c r="G18" s="66">
        <f>IFERROR(INDEX(tbl_Finance[Ex GST],$A18),"")</f>
        <v/>
      </c>
      <c r="H18" s="64">
        <f>IFERROR(INDEX(tbl_Finance[Defer Start],$A18),"")</f>
        <v/>
      </c>
      <c r="I18" s="64">
        <f>IFERROR(INDEX(tbl_Finance[Defer End],$A18),"")</f>
        <v/>
      </c>
      <c r="J18" s="63">
        <f>IF(OR($H18="",$I18="",$G18=""),"",MAX(1,(YEAR($I18)-YEAR($H18))*12+MONTH($I18)-MONTH($H18)+1))</f>
        <v/>
      </c>
      <c r="K18" s="66">
        <f>IF($J18="","",$G18/$J18)</f>
        <v/>
      </c>
      <c r="L18" s="66">
        <f>IF($J18="",0,$K18*MAX(0,MIN(YEAR($C$3)*12+MONTH($C$3),YEAR($I18)*12+MONTH($I18))-(YEAR($H18)*12+MONTH($H18))+1))</f>
        <v/>
      </c>
      <c r="M18" s="66">
        <f>IF($J18="",0,$K18*MAX(0,MIN(YEAR($C$3)*12+MONTH($C$3)-1,YEAR($I18)*12+MONTH($I18))-(YEAR($H18)*12+MONTH($H18))+1))</f>
        <v/>
      </c>
      <c r="N18" s="66">
        <f>IF(OR($J18="",$B18=""),0,IF(YEAR($B18)*12+MONTH($B18)&lt;=YEAR($C$3)*12+MONTH($C$3),$G18,0))</f>
        <v/>
      </c>
      <c r="O18" s="66">
        <f>IF(OR($J18="",$B18=""),0,IF(YEAR($B18)*12+MONTH($B18)&lt;=YEAR($C$3)*12+MONTH($C$3)-1,$G18,0))</f>
        <v/>
      </c>
      <c r="P18" s="66">
        <f>$M18-$O18</f>
        <v/>
      </c>
      <c r="Q18" s="66">
        <f>($L18-$M18)-($N18-$O18)</f>
        <v/>
      </c>
      <c r="R18" s="66">
        <f>$L18-$N18</f>
        <v/>
      </c>
      <c r="S18" s="65">
        <f>"Finance invoice"</f>
        <v/>
      </c>
      <c r="T18" s="65">
        <f>"Revenue"</f>
        <v/>
      </c>
    </row>
    <row r="19">
      <c r="A19" s="63">
        <f>ROW()-5</f>
        <v/>
      </c>
      <c r="B19" s="64">
        <f>IFERROR(INDEX(tbl_Finance[Date],$A19),"")</f>
        <v/>
      </c>
      <c r="C19" s="65">
        <f>IFERROR(INDEX(tbl_Finance[Xero Invoice No],$A19),"")</f>
        <v/>
      </c>
      <c r="D19" s="65">
        <f>IFERROR(INDEX(tbl_Finance[Client],$A19),"")</f>
        <v/>
      </c>
      <c r="E19" s="65">
        <f>IFERROR(INDEX(tbl_Finance[Job Number],$A19),"")</f>
        <v/>
      </c>
      <c r="F19" s="65">
        <f>IFERROR(INDEX(tbl_Finance[Cost Centre],$A19),"")</f>
        <v/>
      </c>
      <c r="G19" s="66">
        <f>IFERROR(INDEX(tbl_Finance[Ex GST],$A19),"")</f>
        <v/>
      </c>
      <c r="H19" s="64">
        <f>IFERROR(INDEX(tbl_Finance[Defer Start],$A19),"")</f>
        <v/>
      </c>
      <c r="I19" s="64">
        <f>IFERROR(INDEX(tbl_Finance[Defer End],$A19),"")</f>
        <v/>
      </c>
      <c r="J19" s="63">
        <f>IF(OR($H19="",$I19="",$G19=""),"",MAX(1,(YEAR($I19)-YEAR($H19))*12+MONTH($I19)-MONTH($H19)+1))</f>
        <v/>
      </c>
      <c r="K19" s="66">
        <f>IF($J19="","",$G19/$J19)</f>
        <v/>
      </c>
      <c r="L19" s="66">
        <f>IF($J19="",0,$K19*MAX(0,MIN(YEAR($C$3)*12+MONTH($C$3),YEAR($I19)*12+MONTH($I19))-(YEAR($H19)*12+MONTH($H19))+1))</f>
        <v/>
      </c>
      <c r="M19" s="66">
        <f>IF($J19="",0,$K19*MAX(0,MIN(YEAR($C$3)*12+MONTH($C$3)-1,YEAR($I19)*12+MONTH($I19))-(YEAR($H19)*12+MONTH($H19))+1))</f>
        <v/>
      </c>
      <c r="N19" s="66">
        <f>IF(OR($J19="",$B19=""),0,IF(YEAR($B19)*12+MONTH($B19)&lt;=YEAR($C$3)*12+MONTH($C$3),$G19,0))</f>
        <v/>
      </c>
      <c r="O19" s="66">
        <f>IF(OR($J19="",$B19=""),0,IF(YEAR($B19)*12+MONTH($B19)&lt;=YEAR($C$3)*12+MONTH($C$3)-1,$G19,0))</f>
        <v/>
      </c>
      <c r="P19" s="66">
        <f>$M19-$O19</f>
        <v/>
      </c>
      <c r="Q19" s="66">
        <f>($L19-$M19)-($N19-$O19)</f>
        <v/>
      </c>
      <c r="R19" s="66">
        <f>$L19-$N19</f>
        <v/>
      </c>
      <c r="S19" s="65">
        <f>"Finance invoice"</f>
        <v/>
      </c>
      <c r="T19" s="65">
        <f>"Revenue"</f>
        <v/>
      </c>
    </row>
    <row r="20">
      <c r="A20" s="63">
        <f>ROW()-5</f>
        <v/>
      </c>
      <c r="B20" s="64">
        <f>IFERROR(INDEX(tbl_Finance[Date],$A20),"")</f>
        <v/>
      </c>
      <c r="C20" s="65">
        <f>IFERROR(INDEX(tbl_Finance[Xero Invoice No],$A20),"")</f>
        <v/>
      </c>
      <c r="D20" s="65">
        <f>IFERROR(INDEX(tbl_Finance[Client],$A20),"")</f>
        <v/>
      </c>
      <c r="E20" s="65">
        <f>IFERROR(INDEX(tbl_Finance[Job Number],$A20),"")</f>
        <v/>
      </c>
      <c r="F20" s="65">
        <f>IFERROR(INDEX(tbl_Finance[Cost Centre],$A20),"")</f>
        <v/>
      </c>
      <c r="G20" s="66">
        <f>IFERROR(INDEX(tbl_Finance[Ex GST],$A20),"")</f>
        <v/>
      </c>
      <c r="H20" s="64">
        <f>IFERROR(INDEX(tbl_Finance[Defer Start],$A20),"")</f>
        <v/>
      </c>
      <c r="I20" s="64">
        <f>IFERROR(INDEX(tbl_Finance[Defer End],$A20),"")</f>
        <v/>
      </c>
      <c r="J20" s="63">
        <f>IF(OR($H20="",$I20="",$G20=""),"",MAX(1,(YEAR($I20)-YEAR($H20))*12+MONTH($I20)-MONTH($H20)+1))</f>
        <v/>
      </c>
      <c r="K20" s="66">
        <f>IF($J20="","",$G20/$J20)</f>
        <v/>
      </c>
      <c r="L20" s="66">
        <f>IF($J20="",0,$K20*MAX(0,MIN(YEAR($C$3)*12+MONTH($C$3),YEAR($I20)*12+MONTH($I20))-(YEAR($H20)*12+MONTH($H20))+1))</f>
        <v/>
      </c>
      <c r="M20" s="66">
        <f>IF($J20="",0,$K20*MAX(0,MIN(YEAR($C$3)*12+MONTH($C$3)-1,YEAR($I20)*12+MONTH($I20))-(YEAR($H20)*12+MONTH($H20))+1))</f>
        <v/>
      </c>
      <c r="N20" s="66">
        <f>IF(OR($J20="",$B20=""),0,IF(YEAR($B20)*12+MONTH($B20)&lt;=YEAR($C$3)*12+MONTH($C$3),$G20,0))</f>
        <v/>
      </c>
      <c r="O20" s="66">
        <f>IF(OR($J20="",$B20=""),0,IF(YEAR($B20)*12+MONTH($B20)&lt;=YEAR($C$3)*12+MONTH($C$3)-1,$G20,0))</f>
        <v/>
      </c>
      <c r="P20" s="66">
        <f>$M20-$O20</f>
        <v/>
      </c>
      <c r="Q20" s="66">
        <f>($L20-$M20)-($N20-$O20)</f>
        <v/>
      </c>
      <c r="R20" s="66">
        <f>$L20-$N20</f>
        <v/>
      </c>
      <c r="S20" s="65">
        <f>"Finance invoice"</f>
        <v/>
      </c>
      <c r="T20" s="65">
        <f>"Revenue"</f>
        <v/>
      </c>
    </row>
    <row r="21">
      <c r="A21" s="63">
        <f>ROW()-5</f>
        <v/>
      </c>
      <c r="B21" s="64">
        <f>IFERROR(INDEX(tbl_Finance[Date],$A21),"")</f>
        <v/>
      </c>
      <c r="C21" s="65">
        <f>IFERROR(INDEX(tbl_Finance[Xero Invoice No],$A21),"")</f>
        <v/>
      </c>
      <c r="D21" s="65">
        <f>IFERROR(INDEX(tbl_Finance[Client],$A21),"")</f>
        <v/>
      </c>
      <c r="E21" s="65">
        <f>IFERROR(INDEX(tbl_Finance[Job Number],$A21),"")</f>
        <v/>
      </c>
      <c r="F21" s="65">
        <f>IFERROR(INDEX(tbl_Finance[Cost Centre],$A21),"")</f>
        <v/>
      </c>
      <c r="G21" s="66">
        <f>IFERROR(INDEX(tbl_Finance[Ex GST],$A21),"")</f>
        <v/>
      </c>
      <c r="H21" s="64">
        <f>IFERROR(INDEX(tbl_Finance[Defer Start],$A21),"")</f>
        <v/>
      </c>
      <c r="I21" s="64">
        <f>IFERROR(INDEX(tbl_Finance[Defer End],$A21),"")</f>
        <v/>
      </c>
      <c r="J21" s="63">
        <f>IF(OR($H21="",$I21="",$G21=""),"",MAX(1,(YEAR($I21)-YEAR($H21))*12+MONTH($I21)-MONTH($H21)+1))</f>
        <v/>
      </c>
      <c r="K21" s="66">
        <f>IF($J21="","",$G21/$J21)</f>
        <v/>
      </c>
      <c r="L21" s="66">
        <f>IF($J21="",0,$K21*MAX(0,MIN(YEAR($C$3)*12+MONTH($C$3),YEAR($I21)*12+MONTH($I21))-(YEAR($H21)*12+MONTH($H21))+1))</f>
        <v/>
      </c>
      <c r="M21" s="66">
        <f>IF($J21="",0,$K21*MAX(0,MIN(YEAR($C$3)*12+MONTH($C$3)-1,YEAR($I21)*12+MONTH($I21))-(YEAR($H21)*12+MONTH($H21))+1))</f>
        <v/>
      </c>
      <c r="N21" s="66">
        <f>IF(OR($J21="",$B21=""),0,IF(YEAR($B21)*12+MONTH($B21)&lt;=YEAR($C$3)*12+MONTH($C$3),$G21,0))</f>
        <v/>
      </c>
      <c r="O21" s="66">
        <f>IF(OR($J21="",$B21=""),0,IF(YEAR($B21)*12+MONTH($B21)&lt;=YEAR($C$3)*12+MONTH($C$3)-1,$G21,0))</f>
        <v/>
      </c>
      <c r="P21" s="66">
        <f>$M21-$O21</f>
        <v/>
      </c>
      <c r="Q21" s="66">
        <f>($L21-$M21)-($N21-$O21)</f>
        <v/>
      </c>
      <c r="R21" s="66">
        <f>$L21-$N21</f>
        <v/>
      </c>
      <c r="S21" s="65">
        <f>"Finance invoice"</f>
        <v/>
      </c>
      <c r="T21" s="65">
        <f>"Revenue"</f>
        <v/>
      </c>
    </row>
    <row r="22">
      <c r="A22" s="63">
        <f>ROW()-5</f>
        <v/>
      </c>
      <c r="B22" s="64">
        <f>IFERROR(INDEX(tbl_Finance[Date],$A22),"")</f>
        <v/>
      </c>
      <c r="C22" s="65">
        <f>IFERROR(INDEX(tbl_Finance[Xero Invoice No],$A22),"")</f>
        <v/>
      </c>
      <c r="D22" s="65">
        <f>IFERROR(INDEX(tbl_Finance[Client],$A22),"")</f>
        <v/>
      </c>
      <c r="E22" s="65">
        <f>IFERROR(INDEX(tbl_Finance[Job Number],$A22),"")</f>
        <v/>
      </c>
      <c r="F22" s="65">
        <f>IFERROR(INDEX(tbl_Finance[Cost Centre],$A22),"")</f>
        <v/>
      </c>
      <c r="G22" s="66">
        <f>IFERROR(INDEX(tbl_Finance[Ex GST],$A22),"")</f>
        <v/>
      </c>
      <c r="H22" s="64">
        <f>IFERROR(INDEX(tbl_Finance[Defer Start],$A22),"")</f>
        <v/>
      </c>
      <c r="I22" s="64">
        <f>IFERROR(INDEX(tbl_Finance[Defer End],$A22),"")</f>
        <v/>
      </c>
      <c r="J22" s="63">
        <f>IF(OR($H22="",$I22="",$G22=""),"",MAX(1,(YEAR($I22)-YEAR($H22))*12+MONTH($I22)-MONTH($H22)+1))</f>
        <v/>
      </c>
      <c r="K22" s="66">
        <f>IF($J22="","",$G22/$J22)</f>
        <v/>
      </c>
      <c r="L22" s="66">
        <f>IF($J22="",0,$K22*MAX(0,MIN(YEAR($C$3)*12+MONTH($C$3),YEAR($I22)*12+MONTH($I22))-(YEAR($H22)*12+MONTH($H22))+1))</f>
        <v/>
      </c>
      <c r="M22" s="66">
        <f>IF($J22="",0,$K22*MAX(0,MIN(YEAR($C$3)*12+MONTH($C$3)-1,YEAR($I22)*12+MONTH($I22))-(YEAR($H22)*12+MONTH($H22))+1))</f>
        <v/>
      </c>
      <c r="N22" s="66">
        <f>IF(OR($J22="",$B22=""),0,IF(YEAR($B22)*12+MONTH($B22)&lt;=YEAR($C$3)*12+MONTH($C$3),$G22,0))</f>
        <v/>
      </c>
      <c r="O22" s="66">
        <f>IF(OR($J22="",$B22=""),0,IF(YEAR($B22)*12+MONTH($B22)&lt;=YEAR($C$3)*12+MONTH($C$3)-1,$G22,0))</f>
        <v/>
      </c>
      <c r="P22" s="66">
        <f>$M22-$O22</f>
        <v/>
      </c>
      <c r="Q22" s="66">
        <f>($L22-$M22)-($N22-$O22)</f>
        <v/>
      </c>
      <c r="R22" s="66">
        <f>$L22-$N22</f>
        <v/>
      </c>
      <c r="S22" s="65">
        <f>"Finance invoice"</f>
        <v/>
      </c>
      <c r="T22" s="65">
        <f>"Revenue"</f>
        <v/>
      </c>
    </row>
    <row r="23">
      <c r="A23" s="63">
        <f>ROW()-5</f>
        <v/>
      </c>
      <c r="B23" s="64">
        <f>IFERROR(INDEX(tbl_Finance[Date],$A23),"")</f>
        <v/>
      </c>
      <c r="C23" s="65">
        <f>IFERROR(INDEX(tbl_Finance[Xero Invoice No],$A23),"")</f>
        <v/>
      </c>
      <c r="D23" s="65">
        <f>IFERROR(INDEX(tbl_Finance[Client],$A23),"")</f>
        <v/>
      </c>
      <c r="E23" s="65">
        <f>IFERROR(INDEX(tbl_Finance[Job Number],$A23),"")</f>
        <v/>
      </c>
      <c r="F23" s="65">
        <f>IFERROR(INDEX(tbl_Finance[Cost Centre],$A23),"")</f>
        <v/>
      </c>
      <c r="G23" s="66">
        <f>IFERROR(INDEX(tbl_Finance[Ex GST],$A23),"")</f>
        <v/>
      </c>
      <c r="H23" s="64">
        <f>IFERROR(INDEX(tbl_Finance[Defer Start],$A23),"")</f>
        <v/>
      </c>
      <c r="I23" s="64">
        <f>IFERROR(INDEX(tbl_Finance[Defer End],$A23),"")</f>
        <v/>
      </c>
      <c r="J23" s="63">
        <f>IF(OR($H23="",$I23="",$G23=""),"",MAX(1,(YEAR($I23)-YEAR($H23))*12+MONTH($I23)-MONTH($H23)+1))</f>
        <v/>
      </c>
      <c r="K23" s="66">
        <f>IF($J23="","",$G23/$J23)</f>
        <v/>
      </c>
      <c r="L23" s="66">
        <f>IF($J23="",0,$K23*MAX(0,MIN(YEAR($C$3)*12+MONTH($C$3),YEAR($I23)*12+MONTH($I23))-(YEAR($H23)*12+MONTH($H23))+1))</f>
        <v/>
      </c>
      <c r="M23" s="66">
        <f>IF($J23="",0,$K23*MAX(0,MIN(YEAR($C$3)*12+MONTH($C$3)-1,YEAR($I23)*12+MONTH($I23))-(YEAR($H23)*12+MONTH($H23))+1))</f>
        <v/>
      </c>
      <c r="N23" s="66">
        <f>IF(OR($J23="",$B23=""),0,IF(YEAR($B23)*12+MONTH($B23)&lt;=YEAR($C$3)*12+MONTH($C$3),$G23,0))</f>
        <v/>
      </c>
      <c r="O23" s="66">
        <f>IF(OR($J23="",$B23=""),0,IF(YEAR($B23)*12+MONTH($B23)&lt;=YEAR($C$3)*12+MONTH($C$3)-1,$G23,0))</f>
        <v/>
      </c>
      <c r="P23" s="66">
        <f>$M23-$O23</f>
        <v/>
      </c>
      <c r="Q23" s="66">
        <f>($L23-$M23)-($N23-$O23)</f>
        <v/>
      </c>
      <c r="R23" s="66">
        <f>$L23-$N23</f>
        <v/>
      </c>
      <c r="S23" s="65">
        <f>"Finance invoice"</f>
        <v/>
      </c>
      <c r="T23" s="65">
        <f>"Revenue"</f>
        <v/>
      </c>
    </row>
    <row r="24">
      <c r="A24" s="63">
        <f>ROW()-5</f>
        <v/>
      </c>
      <c r="B24" s="64">
        <f>IFERROR(INDEX(tbl_Finance[Date],$A24),"")</f>
        <v/>
      </c>
      <c r="C24" s="65">
        <f>IFERROR(INDEX(tbl_Finance[Xero Invoice No],$A24),"")</f>
        <v/>
      </c>
      <c r="D24" s="65">
        <f>IFERROR(INDEX(tbl_Finance[Client],$A24),"")</f>
        <v/>
      </c>
      <c r="E24" s="65">
        <f>IFERROR(INDEX(tbl_Finance[Job Number],$A24),"")</f>
        <v/>
      </c>
      <c r="F24" s="65">
        <f>IFERROR(INDEX(tbl_Finance[Cost Centre],$A24),"")</f>
        <v/>
      </c>
      <c r="G24" s="66">
        <f>IFERROR(INDEX(tbl_Finance[Ex GST],$A24),"")</f>
        <v/>
      </c>
      <c r="H24" s="64">
        <f>IFERROR(INDEX(tbl_Finance[Defer Start],$A24),"")</f>
        <v/>
      </c>
      <c r="I24" s="64">
        <f>IFERROR(INDEX(tbl_Finance[Defer End],$A24),"")</f>
        <v/>
      </c>
      <c r="J24" s="63">
        <f>IF(OR($H24="",$I24="",$G24=""),"",MAX(1,(YEAR($I24)-YEAR($H24))*12+MONTH($I24)-MONTH($H24)+1))</f>
        <v/>
      </c>
      <c r="K24" s="66">
        <f>IF($J24="","",$G24/$J24)</f>
        <v/>
      </c>
      <c r="L24" s="66">
        <f>IF($J24="",0,$K24*MAX(0,MIN(YEAR($C$3)*12+MONTH($C$3),YEAR($I24)*12+MONTH($I24))-(YEAR($H24)*12+MONTH($H24))+1))</f>
        <v/>
      </c>
      <c r="M24" s="66">
        <f>IF($J24="",0,$K24*MAX(0,MIN(YEAR($C$3)*12+MONTH($C$3)-1,YEAR($I24)*12+MONTH($I24))-(YEAR($H24)*12+MONTH($H24))+1))</f>
        <v/>
      </c>
      <c r="N24" s="66">
        <f>IF(OR($J24="",$B24=""),0,IF(YEAR($B24)*12+MONTH($B24)&lt;=YEAR($C$3)*12+MONTH($C$3),$G24,0))</f>
        <v/>
      </c>
      <c r="O24" s="66">
        <f>IF(OR($J24="",$B24=""),0,IF(YEAR($B24)*12+MONTH($B24)&lt;=YEAR($C$3)*12+MONTH($C$3)-1,$G24,0))</f>
        <v/>
      </c>
      <c r="P24" s="66">
        <f>$M24-$O24</f>
        <v/>
      </c>
      <c r="Q24" s="66">
        <f>($L24-$M24)-($N24-$O24)</f>
        <v/>
      </c>
      <c r="R24" s="66">
        <f>$L24-$N24</f>
        <v/>
      </c>
      <c r="S24" s="65">
        <f>"Finance invoice"</f>
        <v/>
      </c>
      <c r="T24" s="65">
        <f>"Revenue"</f>
        <v/>
      </c>
    </row>
    <row r="25">
      <c r="A25" s="63">
        <f>ROW()-5</f>
        <v/>
      </c>
      <c r="B25" s="64">
        <f>IFERROR(INDEX(tbl_Finance[Date],$A25),"")</f>
        <v/>
      </c>
      <c r="C25" s="65">
        <f>IFERROR(INDEX(tbl_Finance[Xero Invoice No],$A25),"")</f>
        <v/>
      </c>
      <c r="D25" s="65">
        <f>IFERROR(INDEX(tbl_Finance[Client],$A25),"")</f>
        <v/>
      </c>
      <c r="E25" s="65">
        <f>IFERROR(INDEX(tbl_Finance[Job Number],$A25),"")</f>
        <v/>
      </c>
      <c r="F25" s="65">
        <f>IFERROR(INDEX(tbl_Finance[Cost Centre],$A25),"")</f>
        <v/>
      </c>
      <c r="G25" s="66">
        <f>IFERROR(INDEX(tbl_Finance[Ex GST],$A25),"")</f>
        <v/>
      </c>
      <c r="H25" s="64">
        <f>IFERROR(INDEX(tbl_Finance[Defer Start],$A25),"")</f>
        <v/>
      </c>
      <c r="I25" s="64">
        <f>IFERROR(INDEX(tbl_Finance[Defer End],$A25),"")</f>
        <v/>
      </c>
      <c r="J25" s="63">
        <f>IF(OR($H25="",$I25="",$G25=""),"",MAX(1,(YEAR($I25)-YEAR($H25))*12+MONTH($I25)-MONTH($H25)+1))</f>
        <v/>
      </c>
      <c r="K25" s="66">
        <f>IF($J25="","",$G25/$J25)</f>
        <v/>
      </c>
      <c r="L25" s="66">
        <f>IF($J25="",0,$K25*MAX(0,MIN(YEAR($C$3)*12+MONTH($C$3),YEAR($I25)*12+MONTH($I25))-(YEAR($H25)*12+MONTH($H25))+1))</f>
        <v/>
      </c>
      <c r="M25" s="66">
        <f>IF($J25="",0,$K25*MAX(0,MIN(YEAR($C$3)*12+MONTH($C$3)-1,YEAR($I25)*12+MONTH($I25))-(YEAR($H25)*12+MONTH($H25))+1))</f>
        <v/>
      </c>
      <c r="N25" s="66">
        <f>IF(OR($J25="",$B25=""),0,IF(YEAR($B25)*12+MONTH($B25)&lt;=YEAR($C$3)*12+MONTH($C$3),$G25,0))</f>
        <v/>
      </c>
      <c r="O25" s="66">
        <f>IF(OR($J25="",$B25=""),0,IF(YEAR($B25)*12+MONTH($B25)&lt;=YEAR($C$3)*12+MONTH($C$3)-1,$G25,0))</f>
        <v/>
      </c>
      <c r="P25" s="66">
        <f>$M25-$O25</f>
        <v/>
      </c>
      <c r="Q25" s="66">
        <f>($L25-$M25)-($N25-$O25)</f>
        <v/>
      </c>
      <c r="R25" s="66">
        <f>$L25-$N25</f>
        <v/>
      </c>
      <c r="S25" s="65">
        <f>"Finance invoice"</f>
        <v/>
      </c>
      <c r="T25" s="65">
        <f>"Revenue"</f>
        <v/>
      </c>
    </row>
    <row r="26">
      <c r="A26" s="63">
        <f>ROW()-5</f>
        <v/>
      </c>
      <c r="B26" s="64">
        <f>IFERROR(INDEX(tbl_Finance[Date],$A26),"")</f>
        <v/>
      </c>
      <c r="C26" s="65">
        <f>IFERROR(INDEX(tbl_Finance[Xero Invoice No],$A26),"")</f>
        <v/>
      </c>
      <c r="D26" s="65">
        <f>IFERROR(INDEX(tbl_Finance[Client],$A26),"")</f>
        <v/>
      </c>
      <c r="E26" s="65">
        <f>IFERROR(INDEX(tbl_Finance[Job Number],$A26),"")</f>
        <v/>
      </c>
      <c r="F26" s="65">
        <f>IFERROR(INDEX(tbl_Finance[Cost Centre],$A26),"")</f>
        <v/>
      </c>
      <c r="G26" s="66">
        <f>IFERROR(INDEX(tbl_Finance[Ex GST],$A26),"")</f>
        <v/>
      </c>
      <c r="H26" s="64">
        <f>IFERROR(INDEX(tbl_Finance[Defer Start],$A26),"")</f>
        <v/>
      </c>
      <c r="I26" s="64">
        <f>IFERROR(INDEX(tbl_Finance[Defer End],$A26),"")</f>
        <v/>
      </c>
      <c r="J26" s="63">
        <f>IF(OR($H26="",$I26="",$G26=""),"",MAX(1,(YEAR($I26)-YEAR($H26))*12+MONTH($I26)-MONTH($H26)+1))</f>
        <v/>
      </c>
      <c r="K26" s="66">
        <f>IF($J26="","",$G26/$J26)</f>
        <v/>
      </c>
      <c r="L26" s="66">
        <f>IF($J26="",0,$K26*MAX(0,MIN(YEAR($C$3)*12+MONTH($C$3),YEAR($I26)*12+MONTH($I26))-(YEAR($H26)*12+MONTH($H26))+1))</f>
        <v/>
      </c>
      <c r="M26" s="66">
        <f>IF($J26="",0,$K26*MAX(0,MIN(YEAR($C$3)*12+MONTH($C$3)-1,YEAR($I26)*12+MONTH($I26))-(YEAR($H26)*12+MONTH($H26))+1))</f>
        <v/>
      </c>
      <c r="N26" s="66">
        <f>IF(OR($J26="",$B26=""),0,IF(YEAR($B26)*12+MONTH($B26)&lt;=YEAR($C$3)*12+MONTH($C$3),$G26,0))</f>
        <v/>
      </c>
      <c r="O26" s="66">
        <f>IF(OR($J26="",$B26=""),0,IF(YEAR($B26)*12+MONTH($B26)&lt;=YEAR($C$3)*12+MONTH($C$3)-1,$G26,0))</f>
        <v/>
      </c>
      <c r="P26" s="66">
        <f>$M26-$O26</f>
        <v/>
      </c>
      <c r="Q26" s="66">
        <f>($L26-$M26)-($N26-$O26)</f>
        <v/>
      </c>
      <c r="R26" s="66">
        <f>$L26-$N26</f>
        <v/>
      </c>
      <c r="S26" s="65">
        <f>"Finance invoice"</f>
        <v/>
      </c>
      <c r="T26" s="65">
        <f>"Revenue"</f>
        <v/>
      </c>
    </row>
    <row r="27">
      <c r="A27" s="63">
        <f>ROW()-5</f>
        <v/>
      </c>
      <c r="B27" s="64">
        <f>IFERROR(INDEX(tbl_Finance[Date],$A27),"")</f>
        <v/>
      </c>
      <c r="C27" s="65">
        <f>IFERROR(INDEX(tbl_Finance[Xero Invoice No],$A27),"")</f>
        <v/>
      </c>
      <c r="D27" s="65">
        <f>IFERROR(INDEX(tbl_Finance[Client],$A27),"")</f>
        <v/>
      </c>
      <c r="E27" s="65">
        <f>IFERROR(INDEX(tbl_Finance[Job Number],$A27),"")</f>
        <v/>
      </c>
      <c r="F27" s="65">
        <f>IFERROR(INDEX(tbl_Finance[Cost Centre],$A27),"")</f>
        <v/>
      </c>
      <c r="G27" s="66">
        <f>IFERROR(INDEX(tbl_Finance[Ex GST],$A27),"")</f>
        <v/>
      </c>
      <c r="H27" s="64">
        <f>IFERROR(INDEX(tbl_Finance[Defer Start],$A27),"")</f>
        <v/>
      </c>
      <c r="I27" s="64">
        <f>IFERROR(INDEX(tbl_Finance[Defer End],$A27),"")</f>
        <v/>
      </c>
      <c r="J27" s="63">
        <f>IF(OR($H27="",$I27="",$G27=""),"",MAX(1,(YEAR($I27)-YEAR($H27))*12+MONTH($I27)-MONTH($H27)+1))</f>
        <v/>
      </c>
      <c r="K27" s="66">
        <f>IF($J27="","",$G27/$J27)</f>
        <v/>
      </c>
      <c r="L27" s="66">
        <f>IF($J27="",0,$K27*MAX(0,MIN(YEAR($C$3)*12+MONTH($C$3),YEAR($I27)*12+MONTH($I27))-(YEAR($H27)*12+MONTH($H27))+1))</f>
        <v/>
      </c>
      <c r="M27" s="66">
        <f>IF($J27="",0,$K27*MAX(0,MIN(YEAR($C$3)*12+MONTH($C$3)-1,YEAR($I27)*12+MONTH($I27))-(YEAR($H27)*12+MONTH($H27))+1))</f>
        <v/>
      </c>
      <c r="N27" s="66">
        <f>IF(OR($J27="",$B27=""),0,IF(YEAR($B27)*12+MONTH($B27)&lt;=YEAR($C$3)*12+MONTH($C$3),$G27,0))</f>
        <v/>
      </c>
      <c r="O27" s="66">
        <f>IF(OR($J27="",$B27=""),0,IF(YEAR($B27)*12+MONTH($B27)&lt;=YEAR($C$3)*12+MONTH($C$3)-1,$G27,0))</f>
        <v/>
      </c>
      <c r="P27" s="66">
        <f>$M27-$O27</f>
        <v/>
      </c>
      <c r="Q27" s="66">
        <f>($L27-$M27)-($N27-$O27)</f>
        <v/>
      </c>
      <c r="R27" s="66">
        <f>$L27-$N27</f>
        <v/>
      </c>
      <c r="S27" s="65">
        <f>"Finance invoice"</f>
        <v/>
      </c>
      <c r="T27" s="65">
        <f>"Revenue"</f>
        <v/>
      </c>
    </row>
    <row r="28">
      <c r="A28" s="63">
        <f>ROW()-5</f>
        <v/>
      </c>
      <c r="B28" s="64">
        <f>IFERROR(INDEX(tbl_Finance[Date],$A28),"")</f>
        <v/>
      </c>
      <c r="C28" s="65">
        <f>IFERROR(INDEX(tbl_Finance[Xero Invoice No],$A28),"")</f>
        <v/>
      </c>
      <c r="D28" s="65">
        <f>IFERROR(INDEX(tbl_Finance[Client],$A28),"")</f>
        <v/>
      </c>
      <c r="E28" s="65">
        <f>IFERROR(INDEX(tbl_Finance[Job Number],$A28),"")</f>
        <v/>
      </c>
      <c r="F28" s="65">
        <f>IFERROR(INDEX(tbl_Finance[Cost Centre],$A28),"")</f>
        <v/>
      </c>
      <c r="G28" s="66">
        <f>IFERROR(INDEX(tbl_Finance[Ex GST],$A28),"")</f>
        <v/>
      </c>
      <c r="H28" s="64">
        <f>IFERROR(INDEX(tbl_Finance[Defer Start],$A28),"")</f>
        <v/>
      </c>
      <c r="I28" s="64">
        <f>IFERROR(INDEX(tbl_Finance[Defer End],$A28),"")</f>
        <v/>
      </c>
      <c r="J28" s="63">
        <f>IF(OR($H28="",$I28="",$G28=""),"",MAX(1,(YEAR($I28)-YEAR($H28))*12+MONTH($I28)-MONTH($H28)+1))</f>
        <v/>
      </c>
      <c r="K28" s="66">
        <f>IF($J28="","",$G28/$J28)</f>
        <v/>
      </c>
      <c r="L28" s="66">
        <f>IF($J28="",0,$K28*MAX(0,MIN(YEAR($C$3)*12+MONTH($C$3),YEAR($I28)*12+MONTH($I28))-(YEAR($H28)*12+MONTH($H28))+1))</f>
        <v/>
      </c>
      <c r="M28" s="66">
        <f>IF($J28="",0,$K28*MAX(0,MIN(YEAR($C$3)*12+MONTH($C$3)-1,YEAR($I28)*12+MONTH($I28))-(YEAR($H28)*12+MONTH($H28))+1))</f>
        <v/>
      </c>
      <c r="N28" s="66">
        <f>IF(OR($J28="",$B28=""),0,IF(YEAR($B28)*12+MONTH($B28)&lt;=YEAR($C$3)*12+MONTH($C$3),$G28,0))</f>
        <v/>
      </c>
      <c r="O28" s="66">
        <f>IF(OR($J28="",$B28=""),0,IF(YEAR($B28)*12+MONTH($B28)&lt;=YEAR($C$3)*12+MONTH($C$3)-1,$G28,0))</f>
        <v/>
      </c>
      <c r="P28" s="66">
        <f>$M28-$O28</f>
        <v/>
      </c>
      <c r="Q28" s="66">
        <f>($L28-$M28)-($N28-$O28)</f>
        <v/>
      </c>
      <c r="R28" s="66">
        <f>$L28-$N28</f>
        <v/>
      </c>
      <c r="S28" s="65">
        <f>"Finance invoice"</f>
        <v/>
      </c>
      <c r="T28" s="65">
        <f>"Revenue"</f>
        <v/>
      </c>
    </row>
    <row r="29">
      <c r="A29" s="63">
        <f>ROW()-5</f>
        <v/>
      </c>
      <c r="B29" s="64">
        <f>IFERROR(INDEX(tbl_Finance[Date],$A29),"")</f>
        <v/>
      </c>
      <c r="C29" s="65">
        <f>IFERROR(INDEX(tbl_Finance[Xero Invoice No],$A29),"")</f>
        <v/>
      </c>
      <c r="D29" s="65">
        <f>IFERROR(INDEX(tbl_Finance[Client],$A29),"")</f>
        <v/>
      </c>
      <c r="E29" s="65">
        <f>IFERROR(INDEX(tbl_Finance[Job Number],$A29),"")</f>
        <v/>
      </c>
      <c r="F29" s="65">
        <f>IFERROR(INDEX(tbl_Finance[Cost Centre],$A29),"")</f>
        <v/>
      </c>
      <c r="G29" s="66">
        <f>IFERROR(INDEX(tbl_Finance[Ex GST],$A29),"")</f>
        <v/>
      </c>
      <c r="H29" s="64">
        <f>IFERROR(INDEX(tbl_Finance[Defer Start],$A29),"")</f>
        <v/>
      </c>
      <c r="I29" s="64">
        <f>IFERROR(INDEX(tbl_Finance[Defer End],$A29),"")</f>
        <v/>
      </c>
      <c r="J29" s="63">
        <f>IF(OR($H29="",$I29="",$G29=""),"",MAX(1,(YEAR($I29)-YEAR($H29))*12+MONTH($I29)-MONTH($H29)+1))</f>
        <v/>
      </c>
      <c r="K29" s="66">
        <f>IF($J29="","",$G29/$J29)</f>
        <v/>
      </c>
      <c r="L29" s="66">
        <f>IF($J29="",0,$K29*MAX(0,MIN(YEAR($C$3)*12+MONTH($C$3),YEAR($I29)*12+MONTH($I29))-(YEAR($H29)*12+MONTH($H29))+1))</f>
        <v/>
      </c>
      <c r="M29" s="66">
        <f>IF($J29="",0,$K29*MAX(0,MIN(YEAR($C$3)*12+MONTH($C$3)-1,YEAR($I29)*12+MONTH($I29))-(YEAR($H29)*12+MONTH($H29))+1))</f>
        <v/>
      </c>
      <c r="N29" s="66">
        <f>IF(OR($J29="",$B29=""),0,IF(YEAR($B29)*12+MONTH($B29)&lt;=YEAR($C$3)*12+MONTH($C$3),$G29,0))</f>
        <v/>
      </c>
      <c r="O29" s="66">
        <f>IF(OR($J29="",$B29=""),0,IF(YEAR($B29)*12+MONTH($B29)&lt;=YEAR($C$3)*12+MONTH($C$3)-1,$G29,0))</f>
        <v/>
      </c>
      <c r="P29" s="66">
        <f>$M29-$O29</f>
        <v/>
      </c>
      <c r="Q29" s="66">
        <f>($L29-$M29)-($N29-$O29)</f>
        <v/>
      </c>
      <c r="R29" s="66">
        <f>$L29-$N29</f>
        <v/>
      </c>
      <c r="S29" s="65">
        <f>"Finance invoice"</f>
        <v/>
      </c>
      <c r="T29" s="65">
        <f>"Revenue"</f>
        <v/>
      </c>
    </row>
    <row r="30">
      <c r="A30" s="63">
        <f>ROW()-5</f>
        <v/>
      </c>
      <c r="B30" s="64">
        <f>IFERROR(INDEX(tbl_Finance[Date],$A30),"")</f>
        <v/>
      </c>
      <c r="C30" s="65">
        <f>IFERROR(INDEX(tbl_Finance[Xero Invoice No],$A30),"")</f>
        <v/>
      </c>
      <c r="D30" s="65">
        <f>IFERROR(INDEX(tbl_Finance[Client],$A30),"")</f>
        <v/>
      </c>
      <c r="E30" s="65">
        <f>IFERROR(INDEX(tbl_Finance[Job Number],$A30),"")</f>
        <v/>
      </c>
      <c r="F30" s="65">
        <f>IFERROR(INDEX(tbl_Finance[Cost Centre],$A30),"")</f>
        <v/>
      </c>
      <c r="G30" s="66">
        <f>IFERROR(INDEX(tbl_Finance[Ex GST],$A30),"")</f>
        <v/>
      </c>
      <c r="H30" s="64">
        <f>IFERROR(INDEX(tbl_Finance[Defer Start],$A30),"")</f>
        <v/>
      </c>
      <c r="I30" s="64">
        <f>IFERROR(INDEX(tbl_Finance[Defer End],$A30),"")</f>
        <v/>
      </c>
      <c r="J30" s="63">
        <f>IF(OR($H30="",$I30="",$G30=""),"",MAX(1,(YEAR($I30)-YEAR($H30))*12+MONTH($I30)-MONTH($H30)+1))</f>
        <v/>
      </c>
      <c r="K30" s="66">
        <f>IF($J30="","",$G30/$J30)</f>
        <v/>
      </c>
      <c r="L30" s="66">
        <f>IF($J30="",0,$K30*MAX(0,MIN(YEAR($C$3)*12+MONTH($C$3),YEAR($I30)*12+MONTH($I30))-(YEAR($H30)*12+MONTH($H30))+1))</f>
        <v/>
      </c>
      <c r="M30" s="66">
        <f>IF($J30="",0,$K30*MAX(0,MIN(YEAR($C$3)*12+MONTH($C$3)-1,YEAR($I30)*12+MONTH($I30))-(YEAR($H30)*12+MONTH($H30))+1))</f>
        <v/>
      </c>
      <c r="N30" s="66">
        <f>IF(OR($J30="",$B30=""),0,IF(YEAR($B30)*12+MONTH($B30)&lt;=YEAR($C$3)*12+MONTH($C$3),$G30,0))</f>
        <v/>
      </c>
      <c r="O30" s="66">
        <f>IF(OR($J30="",$B30=""),0,IF(YEAR($B30)*12+MONTH($B30)&lt;=YEAR($C$3)*12+MONTH($C$3)-1,$G30,0))</f>
        <v/>
      </c>
      <c r="P30" s="66">
        <f>$M30-$O30</f>
        <v/>
      </c>
      <c r="Q30" s="66">
        <f>($L30-$M30)-($N30-$O30)</f>
        <v/>
      </c>
      <c r="R30" s="66">
        <f>$L30-$N30</f>
        <v/>
      </c>
      <c r="S30" s="65">
        <f>"Finance invoice"</f>
        <v/>
      </c>
      <c r="T30" s="65">
        <f>"Revenue"</f>
        <v/>
      </c>
    </row>
    <row r="31">
      <c r="A31" s="63">
        <f>ROW()-5</f>
        <v/>
      </c>
      <c r="B31" s="64">
        <f>IFERROR(INDEX(tbl_Finance[Date],$A31),"")</f>
        <v/>
      </c>
      <c r="C31" s="65">
        <f>IFERROR(INDEX(tbl_Finance[Xero Invoice No],$A31),"")</f>
        <v/>
      </c>
      <c r="D31" s="65">
        <f>IFERROR(INDEX(tbl_Finance[Client],$A31),"")</f>
        <v/>
      </c>
      <c r="E31" s="65">
        <f>IFERROR(INDEX(tbl_Finance[Job Number],$A31),"")</f>
        <v/>
      </c>
      <c r="F31" s="65">
        <f>IFERROR(INDEX(tbl_Finance[Cost Centre],$A31),"")</f>
        <v/>
      </c>
      <c r="G31" s="66">
        <f>IFERROR(INDEX(tbl_Finance[Ex GST],$A31),"")</f>
        <v/>
      </c>
      <c r="H31" s="64">
        <f>IFERROR(INDEX(tbl_Finance[Defer Start],$A31),"")</f>
        <v/>
      </c>
      <c r="I31" s="64">
        <f>IFERROR(INDEX(tbl_Finance[Defer End],$A31),"")</f>
        <v/>
      </c>
      <c r="J31" s="63">
        <f>IF(OR($H31="",$I31="",$G31=""),"",MAX(1,(YEAR($I31)-YEAR($H31))*12+MONTH($I31)-MONTH($H31)+1))</f>
        <v/>
      </c>
      <c r="K31" s="66">
        <f>IF($J31="","",$G31/$J31)</f>
        <v/>
      </c>
      <c r="L31" s="66">
        <f>IF($J31="",0,$K31*MAX(0,MIN(YEAR($C$3)*12+MONTH($C$3),YEAR($I31)*12+MONTH($I31))-(YEAR($H31)*12+MONTH($H31))+1))</f>
        <v/>
      </c>
      <c r="M31" s="66">
        <f>IF($J31="",0,$K31*MAX(0,MIN(YEAR($C$3)*12+MONTH($C$3)-1,YEAR($I31)*12+MONTH($I31))-(YEAR($H31)*12+MONTH($H31))+1))</f>
        <v/>
      </c>
      <c r="N31" s="66">
        <f>IF(OR($J31="",$B31=""),0,IF(YEAR($B31)*12+MONTH($B31)&lt;=YEAR($C$3)*12+MONTH($C$3),$G31,0))</f>
        <v/>
      </c>
      <c r="O31" s="66">
        <f>IF(OR($J31="",$B31=""),0,IF(YEAR($B31)*12+MONTH($B31)&lt;=YEAR($C$3)*12+MONTH($C$3)-1,$G31,0))</f>
        <v/>
      </c>
      <c r="P31" s="66">
        <f>$M31-$O31</f>
        <v/>
      </c>
      <c r="Q31" s="66">
        <f>($L31-$M31)-($N31-$O31)</f>
        <v/>
      </c>
      <c r="R31" s="66">
        <f>$L31-$N31</f>
        <v/>
      </c>
      <c r="S31" s="65">
        <f>"Finance invoice"</f>
        <v/>
      </c>
      <c r="T31" s="65">
        <f>"Revenue"</f>
        <v/>
      </c>
    </row>
    <row r="32">
      <c r="A32" s="63">
        <f>ROW()-5</f>
        <v/>
      </c>
      <c r="B32" s="64">
        <f>IFERROR(INDEX(tbl_Finance[Date],$A32),"")</f>
        <v/>
      </c>
      <c r="C32" s="65">
        <f>IFERROR(INDEX(tbl_Finance[Xero Invoice No],$A32),"")</f>
        <v/>
      </c>
      <c r="D32" s="65">
        <f>IFERROR(INDEX(tbl_Finance[Client],$A32),"")</f>
        <v/>
      </c>
      <c r="E32" s="65">
        <f>IFERROR(INDEX(tbl_Finance[Job Number],$A32),"")</f>
        <v/>
      </c>
      <c r="F32" s="65">
        <f>IFERROR(INDEX(tbl_Finance[Cost Centre],$A32),"")</f>
        <v/>
      </c>
      <c r="G32" s="66">
        <f>IFERROR(INDEX(tbl_Finance[Ex GST],$A32),"")</f>
        <v/>
      </c>
      <c r="H32" s="64">
        <f>IFERROR(INDEX(tbl_Finance[Defer Start],$A32),"")</f>
        <v/>
      </c>
      <c r="I32" s="64">
        <f>IFERROR(INDEX(tbl_Finance[Defer End],$A32),"")</f>
        <v/>
      </c>
      <c r="J32" s="63">
        <f>IF(OR($H32="",$I32="",$G32=""),"",MAX(1,(YEAR($I32)-YEAR($H32))*12+MONTH($I32)-MONTH($H32)+1))</f>
        <v/>
      </c>
      <c r="K32" s="66">
        <f>IF($J32="","",$G32/$J32)</f>
        <v/>
      </c>
      <c r="L32" s="66">
        <f>IF($J32="",0,$K32*MAX(0,MIN(YEAR($C$3)*12+MONTH($C$3),YEAR($I32)*12+MONTH($I32))-(YEAR($H32)*12+MONTH($H32))+1))</f>
        <v/>
      </c>
      <c r="M32" s="66">
        <f>IF($J32="",0,$K32*MAX(0,MIN(YEAR($C$3)*12+MONTH($C$3)-1,YEAR($I32)*12+MONTH($I32))-(YEAR($H32)*12+MONTH($H32))+1))</f>
        <v/>
      </c>
      <c r="N32" s="66">
        <f>IF(OR($J32="",$B32=""),0,IF(YEAR($B32)*12+MONTH($B32)&lt;=YEAR($C$3)*12+MONTH($C$3),$G32,0))</f>
        <v/>
      </c>
      <c r="O32" s="66">
        <f>IF(OR($J32="",$B32=""),0,IF(YEAR($B32)*12+MONTH($B32)&lt;=YEAR($C$3)*12+MONTH($C$3)-1,$G32,0))</f>
        <v/>
      </c>
      <c r="P32" s="66">
        <f>$M32-$O32</f>
        <v/>
      </c>
      <c r="Q32" s="66">
        <f>($L32-$M32)-($N32-$O32)</f>
        <v/>
      </c>
      <c r="R32" s="66">
        <f>$L32-$N32</f>
        <v/>
      </c>
      <c r="S32" s="65">
        <f>"Finance invoice"</f>
        <v/>
      </c>
      <c r="T32" s="65">
        <f>"Revenue"</f>
        <v/>
      </c>
    </row>
    <row r="33">
      <c r="A33" s="63">
        <f>ROW()-5</f>
        <v/>
      </c>
      <c r="B33" s="64">
        <f>IFERROR(INDEX(tbl_Finance[Date],$A33),"")</f>
        <v/>
      </c>
      <c r="C33" s="65">
        <f>IFERROR(INDEX(tbl_Finance[Xero Invoice No],$A33),"")</f>
        <v/>
      </c>
      <c r="D33" s="65">
        <f>IFERROR(INDEX(tbl_Finance[Client],$A33),"")</f>
        <v/>
      </c>
      <c r="E33" s="65">
        <f>IFERROR(INDEX(tbl_Finance[Job Number],$A33),"")</f>
        <v/>
      </c>
      <c r="F33" s="65">
        <f>IFERROR(INDEX(tbl_Finance[Cost Centre],$A33),"")</f>
        <v/>
      </c>
      <c r="G33" s="66">
        <f>IFERROR(INDEX(tbl_Finance[Ex GST],$A33),"")</f>
        <v/>
      </c>
      <c r="H33" s="64">
        <f>IFERROR(INDEX(tbl_Finance[Defer Start],$A33),"")</f>
        <v/>
      </c>
      <c r="I33" s="64">
        <f>IFERROR(INDEX(tbl_Finance[Defer End],$A33),"")</f>
        <v/>
      </c>
      <c r="J33" s="63">
        <f>IF(OR($H33="",$I33="",$G33=""),"",MAX(1,(YEAR($I33)-YEAR($H33))*12+MONTH($I33)-MONTH($H33)+1))</f>
        <v/>
      </c>
      <c r="K33" s="66">
        <f>IF($J33="","",$G33/$J33)</f>
        <v/>
      </c>
      <c r="L33" s="66">
        <f>IF($J33="",0,$K33*MAX(0,MIN(YEAR($C$3)*12+MONTH($C$3),YEAR($I33)*12+MONTH($I33))-(YEAR($H33)*12+MONTH($H33))+1))</f>
        <v/>
      </c>
      <c r="M33" s="66">
        <f>IF($J33="",0,$K33*MAX(0,MIN(YEAR($C$3)*12+MONTH($C$3)-1,YEAR($I33)*12+MONTH($I33))-(YEAR($H33)*12+MONTH($H33))+1))</f>
        <v/>
      </c>
      <c r="N33" s="66">
        <f>IF(OR($J33="",$B33=""),0,IF(YEAR($B33)*12+MONTH($B33)&lt;=YEAR($C$3)*12+MONTH($C$3),$G33,0))</f>
        <v/>
      </c>
      <c r="O33" s="66">
        <f>IF(OR($J33="",$B33=""),0,IF(YEAR($B33)*12+MONTH($B33)&lt;=YEAR($C$3)*12+MONTH($C$3)-1,$G33,0))</f>
        <v/>
      </c>
      <c r="P33" s="66">
        <f>$M33-$O33</f>
        <v/>
      </c>
      <c r="Q33" s="66">
        <f>($L33-$M33)-($N33-$O33)</f>
        <v/>
      </c>
      <c r="R33" s="66">
        <f>$L33-$N33</f>
        <v/>
      </c>
      <c r="S33" s="65">
        <f>"Finance invoice"</f>
        <v/>
      </c>
      <c r="T33" s="65">
        <f>"Revenue"</f>
        <v/>
      </c>
    </row>
    <row r="34">
      <c r="A34" s="63">
        <f>ROW()-5</f>
        <v/>
      </c>
      <c r="B34" s="64">
        <f>IFERROR(INDEX(tbl_Finance[Date],$A34),"")</f>
        <v/>
      </c>
      <c r="C34" s="65">
        <f>IFERROR(INDEX(tbl_Finance[Xero Invoice No],$A34),"")</f>
        <v/>
      </c>
      <c r="D34" s="65">
        <f>IFERROR(INDEX(tbl_Finance[Client],$A34),"")</f>
        <v/>
      </c>
      <c r="E34" s="65">
        <f>IFERROR(INDEX(tbl_Finance[Job Number],$A34),"")</f>
        <v/>
      </c>
      <c r="F34" s="65">
        <f>IFERROR(INDEX(tbl_Finance[Cost Centre],$A34),"")</f>
        <v/>
      </c>
      <c r="G34" s="66">
        <f>IFERROR(INDEX(tbl_Finance[Ex GST],$A34),"")</f>
        <v/>
      </c>
      <c r="H34" s="64">
        <f>IFERROR(INDEX(tbl_Finance[Defer Start],$A34),"")</f>
        <v/>
      </c>
      <c r="I34" s="64">
        <f>IFERROR(INDEX(tbl_Finance[Defer End],$A34),"")</f>
        <v/>
      </c>
      <c r="J34" s="63">
        <f>IF(OR($H34="",$I34="",$G34=""),"",MAX(1,(YEAR($I34)-YEAR($H34))*12+MONTH($I34)-MONTH($H34)+1))</f>
        <v/>
      </c>
      <c r="K34" s="66">
        <f>IF($J34="","",$G34/$J34)</f>
        <v/>
      </c>
      <c r="L34" s="66">
        <f>IF($J34="",0,$K34*MAX(0,MIN(YEAR($C$3)*12+MONTH($C$3),YEAR($I34)*12+MONTH($I34))-(YEAR($H34)*12+MONTH($H34))+1))</f>
        <v/>
      </c>
      <c r="M34" s="66">
        <f>IF($J34="",0,$K34*MAX(0,MIN(YEAR($C$3)*12+MONTH($C$3)-1,YEAR($I34)*12+MONTH($I34))-(YEAR($H34)*12+MONTH($H34))+1))</f>
        <v/>
      </c>
      <c r="N34" s="66">
        <f>IF(OR($J34="",$B34=""),0,IF(YEAR($B34)*12+MONTH($B34)&lt;=YEAR($C$3)*12+MONTH($C$3),$G34,0))</f>
        <v/>
      </c>
      <c r="O34" s="66">
        <f>IF(OR($J34="",$B34=""),0,IF(YEAR($B34)*12+MONTH($B34)&lt;=YEAR($C$3)*12+MONTH($C$3)-1,$G34,0))</f>
        <v/>
      </c>
      <c r="P34" s="66">
        <f>$M34-$O34</f>
        <v/>
      </c>
      <c r="Q34" s="66">
        <f>($L34-$M34)-($N34-$O34)</f>
        <v/>
      </c>
      <c r="R34" s="66">
        <f>$L34-$N34</f>
        <v/>
      </c>
      <c r="S34" s="65">
        <f>"Finance invoice"</f>
        <v/>
      </c>
      <c r="T34" s="65">
        <f>"Revenue"</f>
        <v/>
      </c>
    </row>
    <row r="35">
      <c r="A35" s="63">
        <f>ROW()-5</f>
        <v/>
      </c>
      <c r="B35" s="64">
        <f>IFERROR(INDEX(tbl_Finance[Date],$A35),"")</f>
        <v/>
      </c>
      <c r="C35" s="65">
        <f>IFERROR(INDEX(tbl_Finance[Xero Invoice No],$A35),"")</f>
        <v/>
      </c>
      <c r="D35" s="65">
        <f>IFERROR(INDEX(tbl_Finance[Client],$A35),"")</f>
        <v/>
      </c>
      <c r="E35" s="65">
        <f>IFERROR(INDEX(tbl_Finance[Job Number],$A35),"")</f>
        <v/>
      </c>
      <c r="F35" s="65">
        <f>IFERROR(INDEX(tbl_Finance[Cost Centre],$A35),"")</f>
        <v/>
      </c>
      <c r="G35" s="66">
        <f>IFERROR(INDEX(tbl_Finance[Ex GST],$A35),"")</f>
        <v/>
      </c>
      <c r="H35" s="64">
        <f>IFERROR(INDEX(tbl_Finance[Defer Start],$A35),"")</f>
        <v/>
      </c>
      <c r="I35" s="64">
        <f>IFERROR(INDEX(tbl_Finance[Defer End],$A35),"")</f>
        <v/>
      </c>
      <c r="J35" s="63">
        <f>IF(OR($H35="",$I35="",$G35=""),"",MAX(1,(YEAR($I35)-YEAR($H35))*12+MONTH($I35)-MONTH($H35)+1))</f>
        <v/>
      </c>
      <c r="K35" s="66">
        <f>IF($J35="","",$G35/$J35)</f>
        <v/>
      </c>
      <c r="L35" s="66">
        <f>IF($J35="",0,$K35*MAX(0,MIN(YEAR($C$3)*12+MONTH($C$3),YEAR($I35)*12+MONTH($I35))-(YEAR($H35)*12+MONTH($H35))+1))</f>
        <v/>
      </c>
      <c r="M35" s="66">
        <f>IF($J35="",0,$K35*MAX(0,MIN(YEAR($C$3)*12+MONTH($C$3)-1,YEAR($I35)*12+MONTH($I35))-(YEAR($H35)*12+MONTH($H35))+1))</f>
        <v/>
      </c>
      <c r="N35" s="66">
        <f>IF(OR($J35="",$B35=""),0,IF(YEAR($B35)*12+MONTH($B35)&lt;=YEAR($C$3)*12+MONTH($C$3),$G35,0))</f>
        <v/>
      </c>
      <c r="O35" s="66">
        <f>IF(OR($J35="",$B35=""),0,IF(YEAR($B35)*12+MONTH($B35)&lt;=YEAR($C$3)*12+MONTH($C$3)-1,$G35,0))</f>
        <v/>
      </c>
      <c r="P35" s="66">
        <f>$M35-$O35</f>
        <v/>
      </c>
      <c r="Q35" s="66">
        <f>($L35-$M35)-($N35-$O35)</f>
        <v/>
      </c>
      <c r="R35" s="66">
        <f>$L35-$N35</f>
        <v/>
      </c>
      <c r="S35" s="65">
        <f>"Finance invoice"</f>
        <v/>
      </c>
      <c r="T35" s="65">
        <f>"Revenue"</f>
        <v/>
      </c>
    </row>
    <row r="36">
      <c r="A36" s="63">
        <f>ROW()-5</f>
        <v/>
      </c>
      <c r="B36" s="64">
        <f>IFERROR(INDEX(tbl_Finance[Date],$A36),"")</f>
        <v/>
      </c>
      <c r="C36" s="65">
        <f>IFERROR(INDEX(tbl_Finance[Xero Invoice No],$A36),"")</f>
        <v/>
      </c>
      <c r="D36" s="65">
        <f>IFERROR(INDEX(tbl_Finance[Client],$A36),"")</f>
        <v/>
      </c>
      <c r="E36" s="65">
        <f>IFERROR(INDEX(tbl_Finance[Job Number],$A36),"")</f>
        <v/>
      </c>
      <c r="F36" s="65">
        <f>IFERROR(INDEX(tbl_Finance[Cost Centre],$A36),"")</f>
        <v/>
      </c>
      <c r="G36" s="66">
        <f>IFERROR(INDEX(tbl_Finance[Ex GST],$A36),"")</f>
        <v/>
      </c>
      <c r="H36" s="64">
        <f>IFERROR(INDEX(tbl_Finance[Defer Start],$A36),"")</f>
        <v/>
      </c>
      <c r="I36" s="64">
        <f>IFERROR(INDEX(tbl_Finance[Defer End],$A36),"")</f>
        <v/>
      </c>
      <c r="J36" s="63">
        <f>IF(OR($H36="",$I36="",$G36=""),"",MAX(1,(YEAR($I36)-YEAR($H36))*12+MONTH($I36)-MONTH($H36)+1))</f>
        <v/>
      </c>
      <c r="K36" s="66">
        <f>IF($J36="","",$G36/$J36)</f>
        <v/>
      </c>
      <c r="L36" s="66">
        <f>IF($J36="",0,$K36*MAX(0,MIN(YEAR($C$3)*12+MONTH($C$3),YEAR($I36)*12+MONTH($I36))-(YEAR($H36)*12+MONTH($H36))+1))</f>
        <v/>
      </c>
      <c r="M36" s="66">
        <f>IF($J36="",0,$K36*MAX(0,MIN(YEAR($C$3)*12+MONTH($C$3)-1,YEAR($I36)*12+MONTH($I36))-(YEAR($H36)*12+MONTH($H36))+1))</f>
        <v/>
      </c>
      <c r="N36" s="66">
        <f>IF(OR($J36="",$B36=""),0,IF(YEAR($B36)*12+MONTH($B36)&lt;=YEAR($C$3)*12+MONTH($C$3),$G36,0))</f>
        <v/>
      </c>
      <c r="O36" s="66">
        <f>IF(OR($J36="",$B36=""),0,IF(YEAR($B36)*12+MONTH($B36)&lt;=YEAR($C$3)*12+MONTH($C$3)-1,$G36,0))</f>
        <v/>
      </c>
      <c r="P36" s="66">
        <f>$M36-$O36</f>
        <v/>
      </c>
      <c r="Q36" s="66">
        <f>($L36-$M36)-($N36-$O36)</f>
        <v/>
      </c>
      <c r="R36" s="66">
        <f>$L36-$N36</f>
        <v/>
      </c>
      <c r="S36" s="65">
        <f>"Finance invoice"</f>
        <v/>
      </c>
      <c r="T36" s="65">
        <f>"Revenue"</f>
        <v/>
      </c>
    </row>
    <row r="37">
      <c r="A37" s="63">
        <f>ROW()-5</f>
        <v/>
      </c>
      <c r="B37" s="64">
        <f>IFERROR(INDEX(tbl_Finance[Date],$A37),"")</f>
        <v/>
      </c>
      <c r="C37" s="65">
        <f>IFERROR(INDEX(tbl_Finance[Xero Invoice No],$A37),"")</f>
        <v/>
      </c>
      <c r="D37" s="65">
        <f>IFERROR(INDEX(tbl_Finance[Client],$A37),"")</f>
        <v/>
      </c>
      <c r="E37" s="65">
        <f>IFERROR(INDEX(tbl_Finance[Job Number],$A37),"")</f>
        <v/>
      </c>
      <c r="F37" s="65">
        <f>IFERROR(INDEX(tbl_Finance[Cost Centre],$A37),"")</f>
        <v/>
      </c>
      <c r="G37" s="66">
        <f>IFERROR(INDEX(tbl_Finance[Ex GST],$A37),"")</f>
        <v/>
      </c>
      <c r="H37" s="64">
        <f>IFERROR(INDEX(tbl_Finance[Defer Start],$A37),"")</f>
        <v/>
      </c>
      <c r="I37" s="64">
        <f>IFERROR(INDEX(tbl_Finance[Defer End],$A37),"")</f>
        <v/>
      </c>
      <c r="J37" s="63">
        <f>IF(OR($H37="",$I37="",$G37=""),"",MAX(1,(YEAR($I37)-YEAR($H37))*12+MONTH($I37)-MONTH($H37)+1))</f>
        <v/>
      </c>
      <c r="K37" s="66">
        <f>IF($J37="","",$G37/$J37)</f>
        <v/>
      </c>
      <c r="L37" s="66">
        <f>IF($J37="",0,$K37*MAX(0,MIN(YEAR($C$3)*12+MONTH($C$3),YEAR($I37)*12+MONTH($I37))-(YEAR($H37)*12+MONTH($H37))+1))</f>
        <v/>
      </c>
      <c r="M37" s="66">
        <f>IF($J37="",0,$K37*MAX(0,MIN(YEAR($C$3)*12+MONTH($C$3)-1,YEAR($I37)*12+MONTH($I37))-(YEAR($H37)*12+MONTH($H37))+1))</f>
        <v/>
      </c>
      <c r="N37" s="66">
        <f>IF(OR($J37="",$B37=""),0,IF(YEAR($B37)*12+MONTH($B37)&lt;=YEAR($C$3)*12+MONTH($C$3),$G37,0))</f>
        <v/>
      </c>
      <c r="O37" s="66">
        <f>IF(OR($J37="",$B37=""),0,IF(YEAR($B37)*12+MONTH($B37)&lt;=YEAR($C$3)*12+MONTH($C$3)-1,$G37,0))</f>
        <v/>
      </c>
      <c r="P37" s="66">
        <f>$M37-$O37</f>
        <v/>
      </c>
      <c r="Q37" s="66">
        <f>($L37-$M37)-($N37-$O37)</f>
        <v/>
      </c>
      <c r="R37" s="66">
        <f>$L37-$N37</f>
        <v/>
      </c>
      <c r="S37" s="65">
        <f>"Finance invoice"</f>
        <v/>
      </c>
      <c r="T37" s="65">
        <f>"Revenue"</f>
        <v/>
      </c>
    </row>
    <row r="38">
      <c r="A38" s="63">
        <f>ROW()-5</f>
        <v/>
      </c>
      <c r="B38" s="64">
        <f>IFERROR(INDEX(tbl_Finance[Date],$A38),"")</f>
        <v/>
      </c>
      <c r="C38" s="65">
        <f>IFERROR(INDEX(tbl_Finance[Xero Invoice No],$A38),"")</f>
        <v/>
      </c>
      <c r="D38" s="65">
        <f>IFERROR(INDEX(tbl_Finance[Client],$A38),"")</f>
        <v/>
      </c>
      <c r="E38" s="65">
        <f>IFERROR(INDEX(tbl_Finance[Job Number],$A38),"")</f>
        <v/>
      </c>
      <c r="F38" s="65">
        <f>IFERROR(INDEX(tbl_Finance[Cost Centre],$A38),"")</f>
        <v/>
      </c>
      <c r="G38" s="66">
        <f>IFERROR(INDEX(tbl_Finance[Ex GST],$A38),"")</f>
        <v/>
      </c>
      <c r="H38" s="64">
        <f>IFERROR(INDEX(tbl_Finance[Defer Start],$A38),"")</f>
        <v/>
      </c>
      <c r="I38" s="64">
        <f>IFERROR(INDEX(tbl_Finance[Defer End],$A38),"")</f>
        <v/>
      </c>
      <c r="J38" s="63">
        <f>IF(OR($H38="",$I38="",$G38=""),"",MAX(1,(YEAR($I38)-YEAR($H38))*12+MONTH($I38)-MONTH($H38)+1))</f>
        <v/>
      </c>
      <c r="K38" s="66">
        <f>IF($J38="","",$G38/$J38)</f>
        <v/>
      </c>
      <c r="L38" s="66">
        <f>IF($J38="",0,$K38*MAX(0,MIN(YEAR($C$3)*12+MONTH($C$3),YEAR($I38)*12+MONTH($I38))-(YEAR($H38)*12+MONTH($H38))+1))</f>
        <v/>
      </c>
      <c r="M38" s="66">
        <f>IF($J38="",0,$K38*MAX(0,MIN(YEAR($C$3)*12+MONTH($C$3)-1,YEAR($I38)*12+MONTH($I38))-(YEAR($H38)*12+MONTH($H38))+1))</f>
        <v/>
      </c>
      <c r="N38" s="66">
        <f>IF(OR($J38="",$B38=""),0,IF(YEAR($B38)*12+MONTH($B38)&lt;=YEAR($C$3)*12+MONTH($C$3),$G38,0))</f>
        <v/>
      </c>
      <c r="O38" s="66">
        <f>IF(OR($J38="",$B38=""),0,IF(YEAR($B38)*12+MONTH($B38)&lt;=YEAR($C$3)*12+MONTH($C$3)-1,$G38,0))</f>
        <v/>
      </c>
      <c r="P38" s="66">
        <f>$M38-$O38</f>
        <v/>
      </c>
      <c r="Q38" s="66">
        <f>($L38-$M38)-($N38-$O38)</f>
        <v/>
      </c>
      <c r="R38" s="66">
        <f>$L38-$N38</f>
        <v/>
      </c>
      <c r="S38" s="65">
        <f>"Finance invoice"</f>
        <v/>
      </c>
      <c r="T38" s="65">
        <f>"Revenue"</f>
        <v/>
      </c>
    </row>
    <row r="39">
      <c r="A39" s="63">
        <f>ROW()-5</f>
        <v/>
      </c>
      <c r="B39" s="64">
        <f>IFERROR(INDEX(tbl_Finance[Date],$A39),"")</f>
        <v/>
      </c>
      <c r="C39" s="65">
        <f>IFERROR(INDEX(tbl_Finance[Xero Invoice No],$A39),"")</f>
        <v/>
      </c>
      <c r="D39" s="65">
        <f>IFERROR(INDEX(tbl_Finance[Client],$A39),"")</f>
        <v/>
      </c>
      <c r="E39" s="65">
        <f>IFERROR(INDEX(tbl_Finance[Job Number],$A39),"")</f>
        <v/>
      </c>
      <c r="F39" s="65">
        <f>IFERROR(INDEX(tbl_Finance[Cost Centre],$A39),"")</f>
        <v/>
      </c>
      <c r="G39" s="66">
        <f>IFERROR(INDEX(tbl_Finance[Ex GST],$A39),"")</f>
        <v/>
      </c>
      <c r="H39" s="64">
        <f>IFERROR(INDEX(tbl_Finance[Defer Start],$A39),"")</f>
        <v/>
      </c>
      <c r="I39" s="64">
        <f>IFERROR(INDEX(tbl_Finance[Defer End],$A39),"")</f>
        <v/>
      </c>
      <c r="J39" s="63">
        <f>IF(OR($H39="",$I39="",$G39=""),"",MAX(1,(YEAR($I39)-YEAR($H39))*12+MONTH($I39)-MONTH($H39)+1))</f>
        <v/>
      </c>
      <c r="K39" s="66">
        <f>IF($J39="","",$G39/$J39)</f>
        <v/>
      </c>
      <c r="L39" s="66">
        <f>IF($J39="",0,$K39*MAX(0,MIN(YEAR($C$3)*12+MONTH($C$3),YEAR($I39)*12+MONTH($I39))-(YEAR($H39)*12+MONTH($H39))+1))</f>
        <v/>
      </c>
      <c r="M39" s="66">
        <f>IF($J39="",0,$K39*MAX(0,MIN(YEAR($C$3)*12+MONTH($C$3)-1,YEAR($I39)*12+MONTH($I39))-(YEAR($H39)*12+MONTH($H39))+1))</f>
        <v/>
      </c>
      <c r="N39" s="66">
        <f>IF(OR($J39="",$B39=""),0,IF(YEAR($B39)*12+MONTH($B39)&lt;=YEAR($C$3)*12+MONTH($C$3),$G39,0))</f>
        <v/>
      </c>
      <c r="O39" s="66">
        <f>IF(OR($J39="",$B39=""),0,IF(YEAR($B39)*12+MONTH($B39)&lt;=YEAR($C$3)*12+MONTH($C$3)-1,$G39,0))</f>
        <v/>
      </c>
      <c r="P39" s="66">
        <f>$M39-$O39</f>
        <v/>
      </c>
      <c r="Q39" s="66">
        <f>($L39-$M39)-($N39-$O39)</f>
        <v/>
      </c>
      <c r="R39" s="66">
        <f>$L39-$N39</f>
        <v/>
      </c>
      <c r="S39" s="65">
        <f>"Finance invoice"</f>
        <v/>
      </c>
      <c r="T39" s="65">
        <f>"Revenue"</f>
        <v/>
      </c>
    </row>
    <row r="40">
      <c r="A40" s="63">
        <f>ROW()-5</f>
        <v/>
      </c>
      <c r="B40" s="64">
        <f>IFERROR(INDEX(tbl_Finance[Date],$A40),"")</f>
        <v/>
      </c>
      <c r="C40" s="65">
        <f>IFERROR(INDEX(tbl_Finance[Xero Invoice No],$A40),"")</f>
        <v/>
      </c>
      <c r="D40" s="65">
        <f>IFERROR(INDEX(tbl_Finance[Client],$A40),"")</f>
        <v/>
      </c>
      <c r="E40" s="65">
        <f>IFERROR(INDEX(tbl_Finance[Job Number],$A40),"")</f>
        <v/>
      </c>
      <c r="F40" s="65">
        <f>IFERROR(INDEX(tbl_Finance[Cost Centre],$A40),"")</f>
        <v/>
      </c>
      <c r="G40" s="66">
        <f>IFERROR(INDEX(tbl_Finance[Ex GST],$A40),"")</f>
        <v/>
      </c>
      <c r="H40" s="64">
        <f>IFERROR(INDEX(tbl_Finance[Defer Start],$A40),"")</f>
        <v/>
      </c>
      <c r="I40" s="64">
        <f>IFERROR(INDEX(tbl_Finance[Defer End],$A40),"")</f>
        <v/>
      </c>
      <c r="J40" s="63">
        <f>IF(OR($H40="",$I40="",$G40=""),"",MAX(1,(YEAR($I40)-YEAR($H40))*12+MONTH($I40)-MONTH($H40)+1))</f>
        <v/>
      </c>
      <c r="K40" s="66">
        <f>IF($J40="","",$G40/$J40)</f>
        <v/>
      </c>
      <c r="L40" s="66">
        <f>IF($J40="",0,$K40*MAX(0,MIN(YEAR($C$3)*12+MONTH($C$3),YEAR($I40)*12+MONTH($I40))-(YEAR($H40)*12+MONTH($H40))+1))</f>
        <v/>
      </c>
      <c r="M40" s="66">
        <f>IF($J40="",0,$K40*MAX(0,MIN(YEAR($C$3)*12+MONTH($C$3)-1,YEAR($I40)*12+MONTH($I40))-(YEAR($H40)*12+MONTH($H40))+1))</f>
        <v/>
      </c>
      <c r="N40" s="66">
        <f>IF(OR($J40="",$B40=""),0,IF(YEAR($B40)*12+MONTH($B40)&lt;=YEAR($C$3)*12+MONTH($C$3),$G40,0))</f>
        <v/>
      </c>
      <c r="O40" s="66">
        <f>IF(OR($J40="",$B40=""),0,IF(YEAR($B40)*12+MONTH($B40)&lt;=YEAR($C$3)*12+MONTH($C$3)-1,$G40,0))</f>
        <v/>
      </c>
      <c r="P40" s="66">
        <f>$M40-$O40</f>
        <v/>
      </c>
      <c r="Q40" s="66">
        <f>($L40-$M40)-($N40-$O40)</f>
        <v/>
      </c>
      <c r="R40" s="66">
        <f>$L40-$N40</f>
        <v/>
      </c>
      <c r="S40" s="65">
        <f>"Finance invoice"</f>
        <v/>
      </c>
      <c r="T40" s="65">
        <f>"Revenue"</f>
        <v/>
      </c>
    </row>
    <row r="41">
      <c r="A41" s="63">
        <f>ROW()-5</f>
        <v/>
      </c>
      <c r="B41" s="64">
        <f>IFERROR(INDEX(tbl_Finance[Date],$A41),"")</f>
        <v/>
      </c>
      <c r="C41" s="65">
        <f>IFERROR(INDEX(tbl_Finance[Xero Invoice No],$A41),"")</f>
        <v/>
      </c>
      <c r="D41" s="65">
        <f>IFERROR(INDEX(tbl_Finance[Client],$A41),"")</f>
        <v/>
      </c>
      <c r="E41" s="65">
        <f>IFERROR(INDEX(tbl_Finance[Job Number],$A41),"")</f>
        <v/>
      </c>
      <c r="F41" s="65">
        <f>IFERROR(INDEX(tbl_Finance[Cost Centre],$A41),"")</f>
        <v/>
      </c>
      <c r="G41" s="66">
        <f>IFERROR(INDEX(tbl_Finance[Ex GST],$A41),"")</f>
        <v/>
      </c>
      <c r="H41" s="64">
        <f>IFERROR(INDEX(tbl_Finance[Defer Start],$A41),"")</f>
        <v/>
      </c>
      <c r="I41" s="64">
        <f>IFERROR(INDEX(tbl_Finance[Defer End],$A41),"")</f>
        <v/>
      </c>
      <c r="J41" s="63">
        <f>IF(OR($H41="",$I41="",$G41=""),"",MAX(1,(YEAR($I41)-YEAR($H41))*12+MONTH($I41)-MONTH($H41)+1))</f>
        <v/>
      </c>
      <c r="K41" s="66">
        <f>IF($J41="","",$G41/$J41)</f>
        <v/>
      </c>
      <c r="L41" s="66">
        <f>IF($J41="",0,$K41*MAX(0,MIN(YEAR($C$3)*12+MONTH($C$3),YEAR($I41)*12+MONTH($I41))-(YEAR($H41)*12+MONTH($H41))+1))</f>
        <v/>
      </c>
      <c r="M41" s="66">
        <f>IF($J41="",0,$K41*MAX(0,MIN(YEAR($C$3)*12+MONTH($C$3)-1,YEAR($I41)*12+MONTH($I41))-(YEAR($H41)*12+MONTH($H41))+1))</f>
        <v/>
      </c>
      <c r="N41" s="66">
        <f>IF(OR($J41="",$B41=""),0,IF(YEAR($B41)*12+MONTH($B41)&lt;=YEAR($C$3)*12+MONTH($C$3),$G41,0))</f>
        <v/>
      </c>
      <c r="O41" s="66">
        <f>IF(OR($J41="",$B41=""),0,IF(YEAR($B41)*12+MONTH($B41)&lt;=YEAR($C$3)*12+MONTH($C$3)-1,$G41,0))</f>
        <v/>
      </c>
      <c r="P41" s="66">
        <f>$M41-$O41</f>
        <v/>
      </c>
      <c r="Q41" s="66">
        <f>($L41-$M41)-($N41-$O41)</f>
        <v/>
      </c>
      <c r="R41" s="66">
        <f>$L41-$N41</f>
        <v/>
      </c>
      <c r="S41" s="65">
        <f>"Finance invoice"</f>
        <v/>
      </c>
      <c r="T41" s="65">
        <f>"Revenue"</f>
        <v/>
      </c>
    </row>
    <row r="42">
      <c r="A42" s="63">
        <f>ROW()-5</f>
        <v/>
      </c>
      <c r="B42" s="64">
        <f>IFERROR(INDEX(tbl_Finance[Date],$A42),"")</f>
        <v/>
      </c>
      <c r="C42" s="65">
        <f>IFERROR(INDEX(tbl_Finance[Xero Invoice No],$A42),"")</f>
        <v/>
      </c>
      <c r="D42" s="65">
        <f>IFERROR(INDEX(tbl_Finance[Client],$A42),"")</f>
        <v/>
      </c>
      <c r="E42" s="65">
        <f>IFERROR(INDEX(tbl_Finance[Job Number],$A42),"")</f>
        <v/>
      </c>
      <c r="F42" s="65">
        <f>IFERROR(INDEX(tbl_Finance[Cost Centre],$A42),"")</f>
        <v/>
      </c>
      <c r="G42" s="66">
        <f>IFERROR(INDEX(tbl_Finance[Ex GST],$A42),"")</f>
        <v/>
      </c>
      <c r="H42" s="64">
        <f>IFERROR(INDEX(tbl_Finance[Defer Start],$A42),"")</f>
        <v/>
      </c>
      <c r="I42" s="64">
        <f>IFERROR(INDEX(tbl_Finance[Defer End],$A42),"")</f>
        <v/>
      </c>
      <c r="J42" s="63">
        <f>IF(OR($H42="",$I42="",$G42=""),"",MAX(1,(YEAR($I42)-YEAR($H42))*12+MONTH($I42)-MONTH($H42)+1))</f>
        <v/>
      </c>
      <c r="K42" s="66">
        <f>IF($J42="","",$G42/$J42)</f>
        <v/>
      </c>
      <c r="L42" s="66">
        <f>IF($J42="",0,$K42*MAX(0,MIN(YEAR($C$3)*12+MONTH($C$3),YEAR($I42)*12+MONTH($I42))-(YEAR($H42)*12+MONTH($H42))+1))</f>
        <v/>
      </c>
      <c r="M42" s="66">
        <f>IF($J42="",0,$K42*MAX(0,MIN(YEAR($C$3)*12+MONTH($C$3)-1,YEAR($I42)*12+MONTH($I42))-(YEAR($H42)*12+MONTH($H42))+1))</f>
        <v/>
      </c>
      <c r="N42" s="66">
        <f>IF(OR($J42="",$B42=""),0,IF(YEAR($B42)*12+MONTH($B42)&lt;=YEAR($C$3)*12+MONTH($C$3),$G42,0))</f>
        <v/>
      </c>
      <c r="O42" s="66">
        <f>IF(OR($J42="",$B42=""),0,IF(YEAR($B42)*12+MONTH($B42)&lt;=YEAR($C$3)*12+MONTH($C$3)-1,$G42,0))</f>
        <v/>
      </c>
      <c r="P42" s="66">
        <f>$M42-$O42</f>
        <v/>
      </c>
      <c r="Q42" s="66">
        <f>($L42-$M42)-($N42-$O42)</f>
        <v/>
      </c>
      <c r="R42" s="66">
        <f>$L42-$N42</f>
        <v/>
      </c>
      <c r="S42" s="65">
        <f>"Finance invoice"</f>
        <v/>
      </c>
      <c r="T42" s="65">
        <f>"Revenue"</f>
        <v/>
      </c>
    </row>
    <row r="43">
      <c r="A43" s="63">
        <f>ROW()-5</f>
        <v/>
      </c>
      <c r="B43" s="64">
        <f>IFERROR(INDEX(tbl_Finance[Date],$A43),"")</f>
        <v/>
      </c>
      <c r="C43" s="65">
        <f>IFERROR(INDEX(tbl_Finance[Xero Invoice No],$A43),"")</f>
        <v/>
      </c>
      <c r="D43" s="65">
        <f>IFERROR(INDEX(tbl_Finance[Client],$A43),"")</f>
        <v/>
      </c>
      <c r="E43" s="65">
        <f>IFERROR(INDEX(tbl_Finance[Job Number],$A43),"")</f>
        <v/>
      </c>
      <c r="F43" s="65">
        <f>IFERROR(INDEX(tbl_Finance[Cost Centre],$A43),"")</f>
        <v/>
      </c>
      <c r="G43" s="66">
        <f>IFERROR(INDEX(tbl_Finance[Ex GST],$A43),"")</f>
        <v/>
      </c>
      <c r="H43" s="64">
        <f>IFERROR(INDEX(tbl_Finance[Defer Start],$A43),"")</f>
        <v/>
      </c>
      <c r="I43" s="64">
        <f>IFERROR(INDEX(tbl_Finance[Defer End],$A43),"")</f>
        <v/>
      </c>
      <c r="J43" s="63">
        <f>IF(OR($H43="",$I43="",$G43=""),"",MAX(1,(YEAR($I43)-YEAR($H43))*12+MONTH($I43)-MONTH($H43)+1))</f>
        <v/>
      </c>
      <c r="K43" s="66">
        <f>IF($J43="","",$G43/$J43)</f>
        <v/>
      </c>
      <c r="L43" s="66">
        <f>IF($J43="",0,$K43*MAX(0,MIN(YEAR($C$3)*12+MONTH($C$3),YEAR($I43)*12+MONTH($I43))-(YEAR($H43)*12+MONTH($H43))+1))</f>
        <v/>
      </c>
      <c r="M43" s="66">
        <f>IF($J43="",0,$K43*MAX(0,MIN(YEAR($C$3)*12+MONTH($C$3)-1,YEAR($I43)*12+MONTH($I43))-(YEAR($H43)*12+MONTH($H43))+1))</f>
        <v/>
      </c>
      <c r="N43" s="66">
        <f>IF(OR($J43="",$B43=""),0,IF(YEAR($B43)*12+MONTH($B43)&lt;=YEAR($C$3)*12+MONTH($C$3),$G43,0))</f>
        <v/>
      </c>
      <c r="O43" s="66">
        <f>IF(OR($J43="",$B43=""),0,IF(YEAR($B43)*12+MONTH($B43)&lt;=YEAR($C$3)*12+MONTH($C$3)-1,$G43,0))</f>
        <v/>
      </c>
      <c r="P43" s="66">
        <f>$M43-$O43</f>
        <v/>
      </c>
      <c r="Q43" s="66">
        <f>($L43-$M43)-($N43-$O43)</f>
        <v/>
      </c>
      <c r="R43" s="66">
        <f>$L43-$N43</f>
        <v/>
      </c>
      <c r="S43" s="65">
        <f>"Finance invoice"</f>
        <v/>
      </c>
      <c r="T43" s="65">
        <f>"Revenue"</f>
        <v/>
      </c>
    </row>
    <row r="44">
      <c r="A44" s="63">
        <f>ROW()-5</f>
        <v/>
      </c>
      <c r="B44" s="64">
        <f>IFERROR(INDEX(tbl_Finance[Date],$A44),"")</f>
        <v/>
      </c>
      <c r="C44" s="65">
        <f>IFERROR(INDEX(tbl_Finance[Xero Invoice No],$A44),"")</f>
        <v/>
      </c>
      <c r="D44" s="65">
        <f>IFERROR(INDEX(tbl_Finance[Client],$A44),"")</f>
        <v/>
      </c>
      <c r="E44" s="65">
        <f>IFERROR(INDEX(tbl_Finance[Job Number],$A44),"")</f>
        <v/>
      </c>
      <c r="F44" s="65">
        <f>IFERROR(INDEX(tbl_Finance[Cost Centre],$A44),"")</f>
        <v/>
      </c>
      <c r="G44" s="66">
        <f>IFERROR(INDEX(tbl_Finance[Ex GST],$A44),"")</f>
        <v/>
      </c>
      <c r="H44" s="64">
        <f>IFERROR(INDEX(tbl_Finance[Defer Start],$A44),"")</f>
        <v/>
      </c>
      <c r="I44" s="64">
        <f>IFERROR(INDEX(tbl_Finance[Defer End],$A44),"")</f>
        <v/>
      </c>
      <c r="J44" s="63">
        <f>IF(OR($H44="",$I44="",$G44=""),"",MAX(1,(YEAR($I44)-YEAR($H44))*12+MONTH($I44)-MONTH($H44)+1))</f>
        <v/>
      </c>
      <c r="K44" s="66">
        <f>IF($J44="","",$G44/$J44)</f>
        <v/>
      </c>
      <c r="L44" s="66">
        <f>IF($J44="",0,$K44*MAX(0,MIN(YEAR($C$3)*12+MONTH($C$3),YEAR($I44)*12+MONTH($I44))-(YEAR($H44)*12+MONTH($H44))+1))</f>
        <v/>
      </c>
      <c r="M44" s="66">
        <f>IF($J44="",0,$K44*MAX(0,MIN(YEAR($C$3)*12+MONTH($C$3)-1,YEAR($I44)*12+MONTH($I44))-(YEAR($H44)*12+MONTH($H44))+1))</f>
        <v/>
      </c>
      <c r="N44" s="66">
        <f>IF(OR($J44="",$B44=""),0,IF(YEAR($B44)*12+MONTH($B44)&lt;=YEAR($C$3)*12+MONTH($C$3),$G44,0))</f>
        <v/>
      </c>
      <c r="O44" s="66">
        <f>IF(OR($J44="",$B44=""),0,IF(YEAR($B44)*12+MONTH($B44)&lt;=YEAR($C$3)*12+MONTH($C$3)-1,$G44,0))</f>
        <v/>
      </c>
      <c r="P44" s="66">
        <f>$M44-$O44</f>
        <v/>
      </c>
      <c r="Q44" s="66">
        <f>($L44-$M44)-($N44-$O44)</f>
        <v/>
      </c>
      <c r="R44" s="66">
        <f>$L44-$N44</f>
        <v/>
      </c>
      <c r="S44" s="65">
        <f>"Finance invoice"</f>
        <v/>
      </c>
      <c r="T44" s="65">
        <f>"Revenue"</f>
        <v/>
      </c>
    </row>
    <row r="45">
      <c r="A45" s="63">
        <f>ROW()-5</f>
        <v/>
      </c>
      <c r="B45" s="64">
        <f>IFERROR(INDEX(tbl_Finance[Date],$A45),"")</f>
        <v/>
      </c>
      <c r="C45" s="65">
        <f>IFERROR(INDEX(tbl_Finance[Xero Invoice No],$A45),"")</f>
        <v/>
      </c>
      <c r="D45" s="65">
        <f>IFERROR(INDEX(tbl_Finance[Client],$A45),"")</f>
        <v/>
      </c>
      <c r="E45" s="65">
        <f>IFERROR(INDEX(tbl_Finance[Job Number],$A45),"")</f>
        <v/>
      </c>
      <c r="F45" s="65">
        <f>IFERROR(INDEX(tbl_Finance[Cost Centre],$A45),"")</f>
        <v/>
      </c>
      <c r="G45" s="66">
        <f>IFERROR(INDEX(tbl_Finance[Ex GST],$A45),"")</f>
        <v/>
      </c>
      <c r="H45" s="64">
        <f>IFERROR(INDEX(tbl_Finance[Defer Start],$A45),"")</f>
        <v/>
      </c>
      <c r="I45" s="64">
        <f>IFERROR(INDEX(tbl_Finance[Defer End],$A45),"")</f>
        <v/>
      </c>
      <c r="J45" s="63">
        <f>IF(OR($H45="",$I45="",$G45=""),"",MAX(1,(YEAR($I45)-YEAR($H45))*12+MONTH($I45)-MONTH($H45)+1))</f>
        <v/>
      </c>
      <c r="K45" s="66">
        <f>IF($J45="","",$G45/$J45)</f>
        <v/>
      </c>
      <c r="L45" s="66">
        <f>IF($J45="",0,$K45*MAX(0,MIN(YEAR($C$3)*12+MONTH($C$3),YEAR($I45)*12+MONTH($I45))-(YEAR($H45)*12+MONTH($H45))+1))</f>
        <v/>
      </c>
      <c r="M45" s="66">
        <f>IF($J45="",0,$K45*MAX(0,MIN(YEAR($C$3)*12+MONTH($C$3)-1,YEAR($I45)*12+MONTH($I45))-(YEAR($H45)*12+MONTH($H45))+1))</f>
        <v/>
      </c>
      <c r="N45" s="66">
        <f>IF(OR($J45="",$B45=""),0,IF(YEAR($B45)*12+MONTH($B45)&lt;=YEAR($C$3)*12+MONTH($C$3),$G45,0))</f>
        <v/>
      </c>
      <c r="O45" s="66">
        <f>IF(OR($J45="",$B45=""),0,IF(YEAR($B45)*12+MONTH($B45)&lt;=YEAR($C$3)*12+MONTH($C$3)-1,$G45,0))</f>
        <v/>
      </c>
      <c r="P45" s="66">
        <f>$M45-$O45</f>
        <v/>
      </c>
      <c r="Q45" s="66">
        <f>($L45-$M45)-($N45-$O45)</f>
        <v/>
      </c>
      <c r="R45" s="66">
        <f>$L45-$N45</f>
        <v/>
      </c>
      <c r="S45" s="65">
        <f>"Finance invoice"</f>
        <v/>
      </c>
      <c r="T45" s="65">
        <f>"Revenue"</f>
        <v/>
      </c>
    </row>
    <row r="46">
      <c r="A46" s="63">
        <f>ROW()-5</f>
        <v/>
      </c>
      <c r="B46" s="64">
        <f>IFERROR(INDEX(tbl_Finance[Date],$A46),"")</f>
        <v/>
      </c>
      <c r="C46" s="65">
        <f>IFERROR(INDEX(tbl_Finance[Xero Invoice No],$A46),"")</f>
        <v/>
      </c>
      <c r="D46" s="65">
        <f>IFERROR(INDEX(tbl_Finance[Client],$A46),"")</f>
        <v/>
      </c>
      <c r="E46" s="65">
        <f>IFERROR(INDEX(tbl_Finance[Job Number],$A46),"")</f>
        <v/>
      </c>
      <c r="F46" s="65">
        <f>IFERROR(INDEX(tbl_Finance[Cost Centre],$A46),"")</f>
        <v/>
      </c>
      <c r="G46" s="66">
        <f>IFERROR(INDEX(tbl_Finance[Ex GST],$A46),"")</f>
        <v/>
      </c>
      <c r="H46" s="64">
        <f>IFERROR(INDEX(tbl_Finance[Defer Start],$A46),"")</f>
        <v/>
      </c>
      <c r="I46" s="64">
        <f>IFERROR(INDEX(tbl_Finance[Defer End],$A46),"")</f>
        <v/>
      </c>
      <c r="J46" s="63">
        <f>IF(OR($H46="",$I46="",$G46=""),"",MAX(1,(YEAR($I46)-YEAR($H46))*12+MONTH($I46)-MONTH($H46)+1))</f>
        <v/>
      </c>
      <c r="K46" s="66">
        <f>IF($J46="","",$G46/$J46)</f>
        <v/>
      </c>
      <c r="L46" s="66">
        <f>IF($J46="",0,$K46*MAX(0,MIN(YEAR($C$3)*12+MONTH($C$3),YEAR($I46)*12+MONTH($I46))-(YEAR($H46)*12+MONTH($H46))+1))</f>
        <v/>
      </c>
      <c r="M46" s="66">
        <f>IF($J46="",0,$K46*MAX(0,MIN(YEAR($C$3)*12+MONTH($C$3)-1,YEAR($I46)*12+MONTH($I46))-(YEAR($H46)*12+MONTH($H46))+1))</f>
        <v/>
      </c>
      <c r="N46" s="66">
        <f>IF(OR($J46="",$B46=""),0,IF(YEAR($B46)*12+MONTH($B46)&lt;=YEAR($C$3)*12+MONTH($C$3),$G46,0))</f>
        <v/>
      </c>
      <c r="O46" s="66">
        <f>IF(OR($J46="",$B46=""),0,IF(YEAR($B46)*12+MONTH($B46)&lt;=YEAR($C$3)*12+MONTH($C$3)-1,$G46,0))</f>
        <v/>
      </c>
      <c r="P46" s="66">
        <f>$M46-$O46</f>
        <v/>
      </c>
      <c r="Q46" s="66">
        <f>($L46-$M46)-($N46-$O46)</f>
        <v/>
      </c>
      <c r="R46" s="66">
        <f>$L46-$N46</f>
        <v/>
      </c>
      <c r="S46" s="65">
        <f>"Finance invoice"</f>
        <v/>
      </c>
      <c r="T46" s="65">
        <f>"Revenue"</f>
        <v/>
      </c>
    </row>
    <row r="47">
      <c r="A47" s="63">
        <f>ROW()-5</f>
        <v/>
      </c>
      <c r="B47" s="64">
        <f>IFERROR(INDEX(tbl_Finance[Date],$A47),"")</f>
        <v/>
      </c>
      <c r="C47" s="65">
        <f>IFERROR(INDEX(tbl_Finance[Xero Invoice No],$A47),"")</f>
        <v/>
      </c>
      <c r="D47" s="65">
        <f>IFERROR(INDEX(tbl_Finance[Client],$A47),"")</f>
        <v/>
      </c>
      <c r="E47" s="65">
        <f>IFERROR(INDEX(tbl_Finance[Job Number],$A47),"")</f>
        <v/>
      </c>
      <c r="F47" s="65">
        <f>IFERROR(INDEX(tbl_Finance[Cost Centre],$A47),"")</f>
        <v/>
      </c>
      <c r="G47" s="66">
        <f>IFERROR(INDEX(tbl_Finance[Ex GST],$A47),"")</f>
        <v/>
      </c>
      <c r="H47" s="64">
        <f>IFERROR(INDEX(tbl_Finance[Defer Start],$A47),"")</f>
        <v/>
      </c>
      <c r="I47" s="64">
        <f>IFERROR(INDEX(tbl_Finance[Defer End],$A47),"")</f>
        <v/>
      </c>
      <c r="J47" s="63">
        <f>IF(OR($H47="",$I47="",$G47=""),"",MAX(1,(YEAR($I47)-YEAR($H47))*12+MONTH($I47)-MONTH($H47)+1))</f>
        <v/>
      </c>
      <c r="K47" s="66">
        <f>IF($J47="","",$G47/$J47)</f>
        <v/>
      </c>
      <c r="L47" s="66">
        <f>IF($J47="",0,$K47*MAX(0,MIN(YEAR($C$3)*12+MONTH($C$3),YEAR($I47)*12+MONTH($I47))-(YEAR($H47)*12+MONTH($H47))+1))</f>
        <v/>
      </c>
      <c r="M47" s="66">
        <f>IF($J47="",0,$K47*MAX(0,MIN(YEAR($C$3)*12+MONTH($C$3)-1,YEAR($I47)*12+MONTH($I47))-(YEAR($H47)*12+MONTH($H47))+1))</f>
        <v/>
      </c>
      <c r="N47" s="66">
        <f>IF(OR($J47="",$B47=""),0,IF(YEAR($B47)*12+MONTH($B47)&lt;=YEAR($C$3)*12+MONTH($C$3),$G47,0))</f>
        <v/>
      </c>
      <c r="O47" s="66">
        <f>IF(OR($J47="",$B47=""),0,IF(YEAR($B47)*12+MONTH($B47)&lt;=YEAR($C$3)*12+MONTH($C$3)-1,$G47,0))</f>
        <v/>
      </c>
      <c r="P47" s="66">
        <f>$M47-$O47</f>
        <v/>
      </c>
      <c r="Q47" s="66">
        <f>($L47-$M47)-($N47-$O47)</f>
        <v/>
      </c>
      <c r="R47" s="66">
        <f>$L47-$N47</f>
        <v/>
      </c>
      <c r="S47" s="65">
        <f>"Finance invoice"</f>
        <v/>
      </c>
      <c r="T47" s="65">
        <f>"Revenue"</f>
        <v/>
      </c>
    </row>
    <row r="48">
      <c r="A48" s="63">
        <f>ROW()-5</f>
        <v/>
      </c>
      <c r="B48" s="64">
        <f>IFERROR(INDEX(tbl_Finance[Date],$A48),"")</f>
        <v/>
      </c>
      <c r="C48" s="65">
        <f>IFERROR(INDEX(tbl_Finance[Xero Invoice No],$A48),"")</f>
        <v/>
      </c>
      <c r="D48" s="65">
        <f>IFERROR(INDEX(tbl_Finance[Client],$A48),"")</f>
        <v/>
      </c>
      <c r="E48" s="65">
        <f>IFERROR(INDEX(tbl_Finance[Job Number],$A48),"")</f>
        <v/>
      </c>
      <c r="F48" s="65">
        <f>IFERROR(INDEX(tbl_Finance[Cost Centre],$A48),"")</f>
        <v/>
      </c>
      <c r="G48" s="66">
        <f>IFERROR(INDEX(tbl_Finance[Ex GST],$A48),"")</f>
        <v/>
      </c>
      <c r="H48" s="64">
        <f>IFERROR(INDEX(tbl_Finance[Defer Start],$A48),"")</f>
        <v/>
      </c>
      <c r="I48" s="64">
        <f>IFERROR(INDEX(tbl_Finance[Defer End],$A48),"")</f>
        <v/>
      </c>
      <c r="J48" s="63">
        <f>IF(OR($H48="",$I48="",$G48=""),"",MAX(1,(YEAR($I48)-YEAR($H48))*12+MONTH($I48)-MONTH($H48)+1))</f>
        <v/>
      </c>
      <c r="K48" s="66">
        <f>IF($J48="","",$G48/$J48)</f>
        <v/>
      </c>
      <c r="L48" s="66">
        <f>IF($J48="",0,$K48*MAX(0,MIN(YEAR($C$3)*12+MONTH($C$3),YEAR($I48)*12+MONTH($I48))-(YEAR($H48)*12+MONTH($H48))+1))</f>
        <v/>
      </c>
      <c r="M48" s="66">
        <f>IF($J48="",0,$K48*MAX(0,MIN(YEAR($C$3)*12+MONTH($C$3)-1,YEAR($I48)*12+MONTH($I48))-(YEAR($H48)*12+MONTH($H48))+1))</f>
        <v/>
      </c>
      <c r="N48" s="66">
        <f>IF(OR($J48="",$B48=""),0,IF(YEAR($B48)*12+MONTH($B48)&lt;=YEAR($C$3)*12+MONTH($C$3),$G48,0))</f>
        <v/>
      </c>
      <c r="O48" s="66">
        <f>IF(OR($J48="",$B48=""),0,IF(YEAR($B48)*12+MONTH($B48)&lt;=YEAR($C$3)*12+MONTH($C$3)-1,$G48,0))</f>
        <v/>
      </c>
      <c r="P48" s="66">
        <f>$M48-$O48</f>
        <v/>
      </c>
      <c r="Q48" s="66">
        <f>($L48-$M48)-($N48-$O48)</f>
        <v/>
      </c>
      <c r="R48" s="66">
        <f>$L48-$N48</f>
        <v/>
      </c>
      <c r="S48" s="65">
        <f>"Finance invoice"</f>
        <v/>
      </c>
      <c r="T48" s="65">
        <f>"Revenue"</f>
        <v/>
      </c>
    </row>
    <row r="49">
      <c r="A49" s="63">
        <f>ROW()-5</f>
        <v/>
      </c>
      <c r="B49" s="64">
        <f>IFERROR(INDEX(tbl_Finance[Date],$A49),"")</f>
        <v/>
      </c>
      <c r="C49" s="65">
        <f>IFERROR(INDEX(tbl_Finance[Xero Invoice No],$A49),"")</f>
        <v/>
      </c>
      <c r="D49" s="65">
        <f>IFERROR(INDEX(tbl_Finance[Client],$A49),"")</f>
        <v/>
      </c>
      <c r="E49" s="65">
        <f>IFERROR(INDEX(tbl_Finance[Job Number],$A49),"")</f>
        <v/>
      </c>
      <c r="F49" s="65">
        <f>IFERROR(INDEX(tbl_Finance[Cost Centre],$A49),"")</f>
        <v/>
      </c>
      <c r="G49" s="66">
        <f>IFERROR(INDEX(tbl_Finance[Ex GST],$A49),"")</f>
        <v/>
      </c>
      <c r="H49" s="64">
        <f>IFERROR(INDEX(tbl_Finance[Defer Start],$A49),"")</f>
        <v/>
      </c>
      <c r="I49" s="64">
        <f>IFERROR(INDEX(tbl_Finance[Defer End],$A49),"")</f>
        <v/>
      </c>
      <c r="J49" s="63">
        <f>IF(OR($H49="",$I49="",$G49=""),"",MAX(1,(YEAR($I49)-YEAR($H49))*12+MONTH($I49)-MONTH($H49)+1))</f>
        <v/>
      </c>
      <c r="K49" s="66">
        <f>IF($J49="","",$G49/$J49)</f>
        <v/>
      </c>
      <c r="L49" s="66">
        <f>IF($J49="",0,$K49*MAX(0,MIN(YEAR($C$3)*12+MONTH($C$3),YEAR($I49)*12+MONTH($I49))-(YEAR($H49)*12+MONTH($H49))+1))</f>
        <v/>
      </c>
      <c r="M49" s="66">
        <f>IF($J49="",0,$K49*MAX(0,MIN(YEAR($C$3)*12+MONTH($C$3)-1,YEAR($I49)*12+MONTH($I49))-(YEAR($H49)*12+MONTH($H49))+1))</f>
        <v/>
      </c>
      <c r="N49" s="66">
        <f>IF(OR($J49="",$B49=""),0,IF(YEAR($B49)*12+MONTH($B49)&lt;=YEAR($C$3)*12+MONTH($C$3),$G49,0))</f>
        <v/>
      </c>
      <c r="O49" s="66">
        <f>IF(OR($J49="",$B49=""),0,IF(YEAR($B49)*12+MONTH($B49)&lt;=YEAR($C$3)*12+MONTH($C$3)-1,$G49,0))</f>
        <v/>
      </c>
      <c r="P49" s="66">
        <f>$M49-$O49</f>
        <v/>
      </c>
      <c r="Q49" s="66">
        <f>($L49-$M49)-($N49-$O49)</f>
        <v/>
      </c>
      <c r="R49" s="66">
        <f>$L49-$N49</f>
        <v/>
      </c>
      <c r="S49" s="65">
        <f>"Finance invoice"</f>
        <v/>
      </c>
      <c r="T49" s="65">
        <f>"Revenue"</f>
        <v/>
      </c>
    </row>
    <row r="50">
      <c r="A50" s="63">
        <f>ROW()-5</f>
        <v/>
      </c>
      <c r="B50" s="64">
        <f>IFERROR(INDEX(tbl_Finance[Date],$A50),"")</f>
        <v/>
      </c>
      <c r="C50" s="65">
        <f>IFERROR(INDEX(tbl_Finance[Xero Invoice No],$A50),"")</f>
        <v/>
      </c>
      <c r="D50" s="65">
        <f>IFERROR(INDEX(tbl_Finance[Client],$A50),"")</f>
        <v/>
      </c>
      <c r="E50" s="65">
        <f>IFERROR(INDEX(tbl_Finance[Job Number],$A50),"")</f>
        <v/>
      </c>
      <c r="F50" s="65">
        <f>IFERROR(INDEX(tbl_Finance[Cost Centre],$A50),"")</f>
        <v/>
      </c>
      <c r="G50" s="66">
        <f>IFERROR(INDEX(tbl_Finance[Ex GST],$A50),"")</f>
        <v/>
      </c>
      <c r="H50" s="64">
        <f>IFERROR(INDEX(tbl_Finance[Defer Start],$A50),"")</f>
        <v/>
      </c>
      <c r="I50" s="64">
        <f>IFERROR(INDEX(tbl_Finance[Defer End],$A50),"")</f>
        <v/>
      </c>
      <c r="J50" s="63">
        <f>IF(OR($H50="",$I50="",$G50=""),"",MAX(1,(YEAR($I50)-YEAR($H50))*12+MONTH($I50)-MONTH($H50)+1))</f>
        <v/>
      </c>
      <c r="K50" s="66">
        <f>IF($J50="","",$G50/$J50)</f>
        <v/>
      </c>
      <c r="L50" s="66">
        <f>IF($J50="",0,$K50*MAX(0,MIN(YEAR($C$3)*12+MONTH($C$3),YEAR($I50)*12+MONTH($I50))-(YEAR($H50)*12+MONTH($H50))+1))</f>
        <v/>
      </c>
      <c r="M50" s="66">
        <f>IF($J50="",0,$K50*MAX(0,MIN(YEAR($C$3)*12+MONTH($C$3)-1,YEAR($I50)*12+MONTH($I50))-(YEAR($H50)*12+MONTH($H50))+1))</f>
        <v/>
      </c>
      <c r="N50" s="66">
        <f>IF(OR($J50="",$B50=""),0,IF(YEAR($B50)*12+MONTH($B50)&lt;=YEAR($C$3)*12+MONTH($C$3),$G50,0))</f>
        <v/>
      </c>
      <c r="O50" s="66">
        <f>IF(OR($J50="",$B50=""),0,IF(YEAR($B50)*12+MONTH($B50)&lt;=YEAR($C$3)*12+MONTH($C$3)-1,$G50,0))</f>
        <v/>
      </c>
      <c r="P50" s="66">
        <f>$M50-$O50</f>
        <v/>
      </c>
      <c r="Q50" s="66">
        <f>($L50-$M50)-($N50-$O50)</f>
        <v/>
      </c>
      <c r="R50" s="66">
        <f>$L50-$N50</f>
        <v/>
      </c>
      <c r="S50" s="65">
        <f>"Finance invoice"</f>
        <v/>
      </c>
      <c r="T50" s="65">
        <f>"Revenue"</f>
        <v/>
      </c>
    </row>
    <row r="51">
      <c r="A51" s="63">
        <f>ROW()-5</f>
        <v/>
      </c>
      <c r="B51" s="64">
        <f>IFERROR(INDEX(tbl_Finance[Date],$A51),"")</f>
        <v/>
      </c>
      <c r="C51" s="65">
        <f>IFERROR(INDEX(tbl_Finance[Xero Invoice No],$A51),"")</f>
        <v/>
      </c>
      <c r="D51" s="65">
        <f>IFERROR(INDEX(tbl_Finance[Client],$A51),"")</f>
        <v/>
      </c>
      <c r="E51" s="65">
        <f>IFERROR(INDEX(tbl_Finance[Job Number],$A51),"")</f>
        <v/>
      </c>
      <c r="F51" s="65">
        <f>IFERROR(INDEX(tbl_Finance[Cost Centre],$A51),"")</f>
        <v/>
      </c>
      <c r="G51" s="66">
        <f>IFERROR(INDEX(tbl_Finance[Ex GST],$A51),"")</f>
        <v/>
      </c>
      <c r="H51" s="64">
        <f>IFERROR(INDEX(tbl_Finance[Defer Start],$A51),"")</f>
        <v/>
      </c>
      <c r="I51" s="64">
        <f>IFERROR(INDEX(tbl_Finance[Defer End],$A51),"")</f>
        <v/>
      </c>
      <c r="J51" s="63">
        <f>IF(OR($H51="",$I51="",$G51=""),"",MAX(1,(YEAR($I51)-YEAR($H51))*12+MONTH($I51)-MONTH($H51)+1))</f>
        <v/>
      </c>
      <c r="K51" s="66">
        <f>IF($J51="","",$G51/$J51)</f>
        <v/>
      </c>
      <c r="L51" s="66">
        <f>IF($J51="",0,$K51*MAX(0,MIN(YEAR($C$3)*12+MONTH($C$3),YEAR($I51)*12+MONTH($I51))-(YEAR($H51)*12+MONTH($H51))+1))</f>
        <v/>
      </c>
      <c r="M51" s="66">
        <f>IF($J51="",0,$K51*MAX(0,MIN(YEAR($C$3)*12+MONTH($C$3)-1,YEAR($I51)*12+MONTH($I51))-(YEAR($H51)*12+MONTH($H51))+1))</f>
        <v/>
      </c>
      <c r="N51" s="66">
        <f>IF(OR($J51="",$B51=""),0,IF(YEAR($B51)*12+MONTH($B51)&lt;=YEAR($C$3)*12+MONTH($C$3),$G51,0))</f>
        <v/>
      </c>
      <c r="O51" s="66">
        <f>IF(OR($J51="",$B51=""),0,IF(YEAR($B51)*12+MONTH($B51)&lt;=YEAR($C$3)*12+MONTH($C$3)-1,$G51,0))</f>
        <v/>
      </c>
      <c r="P51" s="66">
        <f>$M51-$O51</f>
        <v/>
      </c>
      <c r="Q51" s="66">
        <f>($L51-$M51)-($N51-$O51)</f>
        <v/>
      </c>
      <c r="R51" s="66">
        <f>$L51-$N51</f>
        <v/>
      </c>
      <c r="S51" s="65">
        <f>"Finance invoice"</f>
        <v/>
      </c>
      <c r="T51" s="65">
        <f>"Revenue"</f>
        <v/>
      </c>
    </row>
    <row r="52">
      <c r="A52" s="63">
        <f>ROW()-5</f>
        <v/>
      </c>
      <c r="B52" s="64">
        <f>IFERROR(INDEX(tbl_Finance[Date],$A52),"")</f>
        <v/>
      </c>
      <c r="C52" s="65">
        <f>IFERROR(INDEX(tbl_Finance[Xero Invoice No],$A52),"")</f>
        <v/>
      </c>
      <c r="D52" s="65">
        <f>IFERROR(INDEX(tbl_Finance[Client],$A52),"")</f>
        <v/>
      </c>
      <c r="E52" s="65">
        <f>IFERROR(INDEX(tbl_Finance[Job Number],$A52),"")</f>
        <v/>
      </c>
      <c r="F52" s="65">
        <f>IFERROR(INDEX(tbl_Finance[Cost Centre],$A52),"")</f>
        <v/>
      </c>
      <c r="G52" s="66">
        <f>IFERROR(INDEX(tbl_Finance[Ex GST],$A52),"")</f>
        <v/>
      </c>
      <c r="H52" s="64">
        <f>IFERROR(INDEX(tbl_Finance[Defer Start],$A52),"")</f>
        <v/>
      </c>
      <c r="I52" s="64">
        <f>IFERROR(INDEX(tbl_Finance[Defer End],$A52),"")</f>
        <v/>
      </c>
      <c r="J52" s="63">
        <f>IF(OR($H52="",$I52="",$G52=""),"",MAX(1,(YEAR($I52)-YEAR($H52))*12+MONTH($I52)-MONTH($H52)+1))</f>
        <v/>
      </c>
      <c r="K52" s="66">
        <f>IF($J52="","",$G52/$J52)</f>
        <v/>
      </c>
      <c r="L52" s="66">
        <f>IF($J52="",0,$K52*MAX(0,MIN(YEAR($C$3)*12+MONTH($C$3),YEAR($I52)*12+MONTH($I52))-(YEAR($H52)*12+MONTH($H52))+1))</f>
        <v/>
      </c>
      <c r="M52" s="66">
        <f>IF($J52="",0,$K52*MAX(0,MIN(YEAR($C$3)*12+MONTH($C$3)-1,YEAR($I52)*12+MONTH($I52))-(YEAR($H52)*12+MONTH($H52))+1))</f>
        <v/>
      </c>
      <c r="N52" s="66">
        <f>IF(OR($J52="",$B52=""),0,IF(YEAR($B52)*12+MONTH($B52)&lt;=YEAR($C$3)*12+MONTH($C$3),$G52,0))</f>
        <v/>
      </c>
      <c r="O52" s="66">
        <f>IF(OR($J52="",$B52=""),0,IF(YEAR($B52)*12+MONTH($B52)&lt;=YEAR($C$3)*12+MONTH($C$3)-1,$G52,0))</f>
        <v/>
      </c>
      <c r="P52" s="66">
        <f>$M52-$O52</f>
        <v/>
      </c>
      <c r="Q52" s="66">
        <f>($L52-$M52)-($N52-$O52)</f>
        <v/>
      </c>
      <c r="R52" s="66">
        <f>$L52-$N52</f>
        <v/>
      </c>
      <c r="S52" s="65">
        <f>"Finance invoice"</f>
        <v/>
      </c>
      <c r="T52" s="65">
        <f>"Revenue"</f>
        <v/>
      </c>
    </row>
    <row r="53">
      <c r="A53" s="63">
        <f>ROW()-5</f>
        <v/>
      </c>
      <c r="B53" s="64">
        <f>IFERROR(INDEX(tbl_Finance[Date],$A53),"")</f>
        <v/>
      </c>
      <c r="C53" s="65">
        <f>IFERROR(INDEX(tbl_Finance[Xero Invoice No],$A53),"")</f>
        <v/>
      </c>
      <c r="D53" s="65">
        <f>IFERROR(INDEX(tbl_Finance[Client],$A53),"")</f>
        <v/>
      </c>
      <c r="E53" s="65">
        <f>IFERROR(INDEX(tbl_Finance[Job Number],$A53),"")</f>
        <v/>
      </c>
      <c r="F53" s="65">
        <f>IFERROR(INDEX(tbl_Finance[Cost Centre],$A53),"")</f>
        <v/>
      </c>
      <c r="G53" s="66">
        <f>IFERROR(INDEX(tbl_Finance[Ex GST],$A53),"")</f>
        <v/>
      </c>
      <c r="H53" s="64">
        <f>IFERROR(INDEX(tbl_Finance[Defer Start],$A53),"")</f>
        <v/>
      </c>
      <c r="I53" s="64">
        <f>IFERROR(INDEX(tbl_Finance[Defer End],$A53),"")</f>
        <v/>
      </c>
      <c r="J53" s="63">
        <f>IF(OR($H53="",$I53="",$G53=""),"",MAX(1,(YEAR($I53)-YEAR($H53))*12+MONTH($I53)-MONTH($H53)+1))</f>
        <v/>
      </c>
      <c r="K53" s="66">
        <f>IF($J53="","",$G53/$J53)</f>
        <v/>
      </c>
      <c r="L53" s="66">
        <f>IF($J53="",0,$K53*MAX(0,MIN(YEAR($C$3)*12+MONTH($C$3),YEAR($I53)*12+MONTH($I53))-(YEAR($H53)*12+MONTH($H53))+1))</f>
        <v/>
      </c>
      <c r="M53" s="66">
        <f>IF($J53="",0,$K53*MAX(0,MIN(YEAR($C$3)*12+MONTH($C$3)-1,YEAR($I53)*12+MONTH($I53))-(YEAR($H53)*12+MONTH($H53))+1))</f>
        <v/>
      </c>
      <c r="N53" s="66">
        <f>IF(OR($J53="",$B53=""),0,IF(YEAR($B53)*12+MONTH($B53)&lt;=YEAR($C$3)*12+MONTH($C$3),$G53,0))</f>
        <v/>
      </c>
      <c r="O53" s="66">
        <f>IF(OR($J53="",$B53=""),0,IF(YEAR($B53)*12+MONTH($B53)&lt;=YEAR($C$3)*12+MONTH($C$3)-1,$G53,0))</f>
        <v/>
      </c>
      <c r="P53" s="66">
        <f>$M53-$O53</f>
        <v/>
      </c>
      <c r="Q53" s="66">
        <f>($L53-$M53)-($N53-$O53)</f>
        <v/>
      </c>
      <c r="R53" s="66">
        <f>$L53-$N53</f>
        <v/>
      </c>
      <c r="S53" s="65">
        <f>"Finance invoice"</f>
        <v/>
      </c>
      <c r="T53" s="65">
        <f>"Revenue"</f>
        <v/>
      </c>
    </row>
    <row r="54">
      <c r="A54" s="63">
        <f>ROW()-5</f>
        <v/>
      </c>
      <c r="B54" s="64">
        <f>IFERROR(INDEX(tbl_Finance[Date],$A54),"")</f>
        <v/>
      </c>
      <c r="C54" s="65">
        <f>IFERROR(INDEX(tbl_Finance[Xero Invoice No],$A54),"")</f>
        <v/>
      </c>
      <c r="D54" s="65">
        <f>IFERROR(INDEX(tbl_Finance[Client],$A54),"")</f>
        <v/>
      </c>
      <c r="E54" s="65">
        <f>IFERROR(INDEX(tbl_Finance[Job Number],$A54),"")</f>
        <v/>
      </c>
      <c r="F54" s="65">
        <f>IFERROR(INDEX(tbl_Finance[Cost Centre],$A54),"")</f>
        <v/>
      </c>
      <c r="G54" s="66">
        <f>IFERROR(INDEX(tbl_Finance[Ex GST],$A54),"")</f>
        <v/>
      </c>
      <c r="H54" s="64">
        <f>IFERROR(INDEX(tbl_Finance[Defer Start],$A54),"")</f>
        <v/>
      </c>
      <c r="I54" s="64">
        <f>IFERROR(INDEX(tbl_Finance[Defer End],$A54),"")</f>
        <v/>
      </c>
      <c r="J54" s="63">
        <f>IF(OR($H54="",$I54="",$G54=""),"",MAX(1,(YEAR($I54)-YEAR($H54))*12+MONTH($I54)-MONTH($H54)+1))</f>
        <v/>
      </c>
      <c r="K54" s="66">
        <f>IF($J54="","",$G54/$J54)</f>
        <v/>
      </c>
      <c r="L54" s="66">
        <f>IF($J54="",0,$K54*MAX(0,MIN(YEAR($C$3)*12+MONTH($C$3),YEAR($I54)*12+MONTH($I54))-(YEAR($H54)*12+MONTH($H54))+1))</f>
        <v/>
      </c>
      <c r="M54" s="66">
        <f>IF($J54="",0,$K54*MAX(0,MIN(YEAR($C$3)*12+MONTH($C$3)-1,YEAR($I54)*12+MONTH($I54))-(YEAR($H54)*12+MONTH($H54))+1))</f>
        <v/>
      </c>
      <c r="N54" s="66">
        <f>IF(OR($J54="",$B54=""),0,IF(YEAR($B54)*12+MONTH($B54)&lt;=YEAR($C$3)*12+MONTH($C$3),$G54,0))</f>
        <v/>
      </c>
      <c r="O54" s="66">
        <f>IF(OR($J54="",$B54=""),0,IF(YEAR($B54)*12+MONTH($B54)&lt;=YEAR($C$3)*12+MONTH($C$3)-1,$G54,0))</f>
        <v/>
      </c>
      <c r="P54" s="66">
        <f>$M54-$O54</f>
        <v/>
      </c>
      <c r="Q54" s="66">
        <f>($L54-$M54)-($N54-$O54)</f>
        <v/>
      </c>
      <c r="R54" s="66">
        <f>$L54-$N54</f>
        <v/>
      </c>
      <c r="S54" s="65">
        <f>"Finance invoice"</f>
        <v/>
      </c>
      <c r="T54" s="65">
        <f>"Revenue"</f>
        <v/>
      </c>
    </row>
    <row r="55">
      <c r="A55" s="63">
        <f>ROW()-5</f>
        <v/>
      </c>
      <c r="B55" s="64">
        <f>IFERROR(INDEX(tbl_Finance[Date],$A55),"")</f>
        <v/>
      </c>
      <c r="C55" s="65">
        <f>IFERROR(INDEX(tbl_Finance[Xero Invoice No],$A55),"")</f>
        <v/>
      </c>
      <c r="D55" s="65">
        <f>IFERROR(INDEX(tbl_Finance[Client],$A55),"")</f>
        <v/>
      </c>
      <c r="E55" s="65">
        <f>IFERROR(INDEX(tbl_Finance[Job Number],$A55),"")</f>
        <v/>
      </c>
      <c r="F55" s="65">
        <f>IFERROR(INDEX(tbl_Finance[Cost Centre],$A55),"")</f>
        <v/>
      </c>
      <c r="G55" s="66">
        <f>IFERROR(INDEX(tbl_Finance[Ex GST],$A55),"")</f>
        <v/>
      </c>
      <c r="H55" s="64">
        <f>IFERROR(INDEX(tbl_Finance[Defer Start],$A55),"")</f>
        <v/>
      </c>
      <c r="I55" s="64">
        <f>IFERROR(INDEX(tbl_Finance[Defer End],$A55),"")</f>
        <v/>
      </c>
      <c r="J55" s="63">
        <f>IF(OR($H55="",$I55="",$G55=""),"",MAX(1,(YEAR($I55)-YEAR($H55))*12+MONTH($I55)-MONTH($H55)+1))</f>
        <v/>
      </c>
      <c r="K55" s="66">
        <f>IF($J55="","",$G55/$J55)</f>
        <v/>
      </c>
      <c r="L55" s="66">
        <f>IF($J55="",0,$K55*MAX(0,MIN(YEAR($C$3)*12+MONTH($C$3),YEAR($I55)*12+MONTH($I55))-(YEAR($H55)*12+MONTH($H55))+1))</f>
        <v/>
      </c>
      <c r="M55" s="66">
        <f>IF($J55="",0,$K55*MAX(0,MIN(YEAR($C$3)*12+MONTH($C$3)-1,YEAR($I55)*12+MONTH($I55))-(YEAR($H55)*12+MONTH($H55))+1))</f>
        <v/>
      </c>
      <c r="N55" s="66">
        <f>IF(OR($J55="",$B55=""),0,IF(YEAR($B55)*12+MONTH($B55)&lt;=YEAR($C$3)*12+MONTH($C$3),$G55,0))</f>
        <v/>
      </c>
      <c r="O55" s="66">
        <f>IF(OR($J55="",$B55=""),0,IF(YEAR($B55)*12+MONTH($B55)&lt;=YEAR($C$3)*12+MONTH($C$3)-1,$G55,0))</f>
        <v/>
      </c>
      <c r="P55" s="66">
        <f>$M55-$O55</f>
        <v/>
      </c>
      <c r="Q55" s="66">
        <f>($L55-$M55)-($N55-$O55)</f>
        <v/>
      </c>
      <c r="R55" s="66">
        <f>$L55-$N55</f>
        <v/>
      </c>
      <c r="S55" s="65">
        <f>"Finance invoice"</f>
        <v/>
      </c>
      <c r="T55" s="65">
        <f>"Revenue"</f>
        <v/>
      </c>
    </row>
    <row r="56">
      <c r="A56" s="63">
        <f>ROW()-5</f>
        <v/>
      </c>
      <c r="B56" s="64">
        <f>IFERROR(INDEX(tbl_Finance[Date],$A56),"")</f>
        <v/>
      </c>
      <c r="C56" s="65">
        <f>IFERROR(INDEX(tbl_Finance[Xero Invoice No],$A56),"")</f>
        <v/>
      </c>
      <c r="D56" s="65">
        <f>IFERROR(INDEX(tbl_Finance[Client],$A56),"")</f>
        <v/>
      </c>
      <c r="E56" s="65">
        <f>IFERROR(INDEX(tbl_Finance[Job Number],$A56),"")</f>
        <v/>
      </c>
      <c r="F56" s="65">
        <f>IFERROR(INDEX(tbl_Finance[Cost Centre],$A56),"")</f>
        <v/>
      </c>
      <c r="G56" s="66">
        <f>IFERROR(INDEX(tbl_Finance[Ex GST],$A56),"")</f>
        <v/>
      </c>
      <c r="H56" s="64">
        <f>IFERROR(INDEX(tbl_Finance[Defer Start],$A56),"")</f>
        <v/>
      </c>
      <c r="I56" s="64">
        <f>IFERROR(INDEX(tbl_Finance[Defer End],$A56),"")</f>
        <v/>
      </c>
      <c r="J56" s="63">
        <f>IF(OR($H56="",$I56="",$G56=""),"",MAX(1,(YEAR($I56)-YEAR($H56))*12+MONTH($I56)-MONTH($H56)+1))</f>
        <v/>
      </c>
      <c r="K56" s="66">
        <f>IF($J56="","",$G56/$J56)</f>
        <v/>
      </c>
      <c r="L56" s="66">
        <f>IF($J56="",0,$K56*MAX(0,MIN(YEAR($C$3)*12+MONTH($C$3),YEAR($I56)*12+MONTH($I56))-(YEAR($H56)*12+MONTH($H56))+1))</f>
        <v/>
      </c>
      <c r="M56" s="66">
        <f>IF($J56="",0,$K56*MAX(0,MIN(YEAR($C$3)*12+MONTH($C$3)-1,YEAR($I56)*12+MONTH($I56))-(YEAR($H56)*12+MONTH($H56))+1))</f>
        <v/>
      </c>
      <c r="N56" s="66">
        <f>IF(OR($J56="",$B56=""),0,IF(YEAR($B56)*12+MONTH($B56)&lt;=YEAR($C$3)*12+MONTH($C$3),$G56,0))</f>
        <v/>
      </c>
      <c r="O56" s="66">
        <f>IF(OR($J56="",$B56=""),0,IF(YEAR($B56)*12+MONTH($B56)&lt;=YEAR($C$3)*12+MONTH($C$3)-1,$G56,0))</f>
        <v/>
      </c>
      <c r="P56" s="66">
        <f>$M56-$O56</f>
        <v/>
      </c>
      <c r="Q56" s="66">
        <f>($L56-$M56)-($N56-$O56)</f>
        <v/>
      </c>
      <c r="R56" s="66">
        <f>$L56-$N56</f>
        <v/>
      </c>
      <c r="S56" s="65">
        <f>"Finance invoice"</f>
        <v/>
      </c>
      <c r="T56" s="65">
        <f>"Revenue"</f>
        <v/>
      </c>
    </row>
    <row r="57">
      <c r="A57" s="63">
        <f>ROW()-5</f>
        <v/>
      </c>
      <c r="B57" s="64">
        <f>IFERROR(INDEX(tbl_Finance[Date],$A57),"")</f>
        <v/>
      </c>
      <c r="C57" s="65">
        <f>IFERROR(INDEX(tbl_Finance[Xero Invoice No],$A57),"")</f>
        <v/>
      </c>
      <c r="D57" s="65">
        <f>IFERROR(INDEX(tbl_Finance[Client],$A57),"")</f>
        <v/>
      </c>
      <c r="E57" s="65">
        <f>IFERROR(INDEX(tbl_Finance[Job Number],$A57),"")</f>
        <v/>
      </c>
      <c r="F57" s="65">
        <f>IFERROR(INDEX(tbl_Finance[Cost Centre],$A57),"")</f>
        <v/>
      </c>
      <c r="G57" s="66">
        <f>IFERROR(INDEX(tbl_Finance[Ex GST],$A57),"")</f>
        <v/>
      </c>
      <c r="H57" s="64">
        <f>IFERROR(INDEX(tbl_Finance[Defer Start],$A57),"")</f>
        <v/>
      </c>
      <c r="I57" s="64">
        <f>IFERROR(INDEX(tbl_Finance[Defer End],$A57),"")</f>
        <v/>
      </c>
      <c r="J57" s="63">
        <f>IF(OR($H57="",$I57="",$G57=""),"",MAX(1,(YEAR($I57)-YEAR($H57))*12+MONTH($I57)-MONTH($H57)+1))</f>
        <v/>
      </c>
      <c r="K57" s="66">
        <f>IF($J57="","",$G57/$J57)</f>
        <v/>
      </c>
      <c r="L57" s="66">
        <f>IF($J57="",0,$K57*MAX(0,MIN(YEAR($C$3)*12+MONTH($C$3),YEAR($I57)*12+MONTH($I57))-(YEAR($H57)*12+MONTH($H57))+1))</f>
        <v/>
      </c>
      <c r="M57" s="66">
        <f>IF($J57="",0,$K57*MAX(0,MIN(YEAR($C$3)*12+MONTH($C$3)-1,YEAR($I57)*12+MONTH($I57))-(YEAR($H57)*12+MONTH($H57))+1))</f>
        <v/>
      </c>
      <c r="N57" s="66">
        <f>IF(OR($J57="",$B57=""),0,IF(YEAR($B57)*12+MONTH($B57)&lt;=YEAR($C$3)*12+MONTH($C$3),$G57,0))</f>
        <v/>
      </c>
      <c r="O57" s="66">
        <f>IF(OR($J57="",$B57=""),0,IF(YEAR($B57)*12+MONTH($B57)&lt;=YEAR($C$3)*12+MONTH($C$3)-1,$G57,0))</f>
        <v/>
      </c>
      <c r="P57" s="66">
        <f>$M57-$O57</f>
        <v/>
      </c>
      <c r="Q57" s="66">
        <f>($L57-$M57)-($N57-$O57)</f>
        <v/>
      </c>
      <c r="R57" s="66">
        <f>$L57-$N57</f>
        <v/>
      </c>
      <c r="S57" s="65">
        <f>"Finance invoice"</f>
        <v/>
      </c>
      <c r="T57" s="65">
        <f>"Revenue"</f>
        <v/>
      </c>
    </row>
    <row r="58">
      <c r="A58" s="63">
        <f>ROW()-5</f>
        <v/>
      </c>
      <c r="B58" s="64">
        <f>IFERROR(INDEX(tbl_Finance[Date],$A58),"")</f>
        <v/>
      </c>
      <c r="C58" s="65">
        <f>IFERROR(INDEX(tbl_Finance[Xero Invoice No],$A58),"")</f>
        <v/>
      </c>
      <c r="D58" s="65">
        <f>IFERROR(INDEX(tbl_Finance[Client],$A58),"")</f>
        <v/>
      </c>
      <c r="E58" s="65">
        <f>IFERROR(INDEX(tbl_Finance[Job Number],$A58),"")</f>
        <v/>
      </c>
      <c r="F58" s="65">
        <f>IFERROR(INDEX(tbl_Finance[Cost Centre],$A58),"")</f>
        <v/>
      </c>
      <c r="G58" s="66">
        <f>IFERROR(INDEX(tbl_Finance[Ex GST],$A58),"")</f>
        <v/>
      </c>
      <c r="H58" s="64">
        <f>IFERROR(INDEX(tbl_Finance[Defer Start],$A58),"")</f>
        <v/>
      </c>
      <c r="I58" s="64">
        <f>IFERROR(INDEX(tbl_Finance[Defer End],$A58),"")</f>
        <v/>
      </c>
      <c r="J58" s="63">
        <f>IF(OR($H58="",$I58="",$G58=""),"",MAX(1,(YEAR($I58)-YEAR($H58))*12+MONTH($I58)-MONTH($H58)+1))</f>
        <v/>
      </c>
      <c r="K58" s="66">
        <f>IF($J58="","",$G58/$J58)</f>
        <v/>
      </c>
      <c r="L58" s="66">
        <f>IF($J58="",0,$K58*MAX(0,MIN(YEAR($C$3)*12+MONTH($C$3),YEAR($I58)*12+MONTH($I58))-(YEAR($H58)*12+MONTH($H58))+1))</f>
        <v/>
      </c>
      <c r="M58" s="66">
        <f>IF($J58="",0,$K58*MAX(0,MIN(YEAR($C$3)*12+MONTH($C$3)-1,YEAR($I58)*12+MONTH($I58))-(YEAR($H58)*12+MONTH($H58))+1))</f>
        <v/>
      </c>
      <c r="N58" s="66">
        <f>IF(OR($J58="",$B58=""),0,IF(YEAR($B58)*12+MONTH($B58)&lt;=YEAR($C$3)*12+MONTH($C$3),$G58,0))</f>
        <v/>
      </c>
      <c r="O58" s="66">
        <f>IF(OR($J58="",$B58=""),0,IF(YEAR($B58)*12+MONTH($B58)&lt;=YEAR($C$3)*12+MONTH($C$3)-1,$G58,0))</f>
        <v/>
      </c>
      <c r="P58" s="66">
        <f>$M58-$O58</f>
        <v/>
      </c>
      <c r="Q58" s="66">
        <f>($L58-$M58)-($N58-$O58)</f>
        <v/>
      </c>
      <c r="R58" s="66">
        <f>$L58-$N58</f>
        <v/>
      </c>
      <c r="S58" s="65">
        <f>"Finance invoice"</f>
        <v/>
      </c>
      <c r="T58" s="65">
        <f>"Revenue"</f>
        <v/>
      </c>
    </row>
    <row r="59">
      <c r="A59" s="63">
        <f>ROW()-5</f>
        <v/>
      </c>
      <c r="B59" s="64">
        <f>IFERROR(INDEX(tbl_Finance[Date],$A59),"")</f>
        <v/>
      </c>
      <c r="C59" s="65">
        <f>IFERROR(INDEX(tbl_Finance[Xero Invoice No],$A59),"")</f>
        <v/>
      </c>
      <c r="D59" s="65">
        <f>IFERROR(INDEX(tbl_Finance[Client],$A59),"")</f>
        <v/>
      </c>
      <c r="E59" s="65">
        <f>IFERROR(INDEX(tbl_Finance[Job Number],$A59),"")</f>
        <v/>
      </c>
      <c r="F59" s="65">
        <f>IFERROR(INDEX(tbl_Finance[Cost Centre],$A59),"")</f>
        <v/>
      </c>
      <c r="G59" s="66">
        <f>IFERROR(INDEX(tbl_Finance[Ex GST],$A59),"")</f>
        <v/>
      </c>
      <c r="H59" s="64">
        <f>IFERROR(INDEX(tbl_Finance[Defer Start],$A59),"")</f>
        <v/>
      </c>
      <c r="I59" s="64">
        <f>IFERROR(INDEX(tbl_Finance[Defer End],$A59),"")</f>
        <v/>
      </c>
      <c r="J59" s="63">
        <f>IF(OR($H59="",$I59="",$G59=""),"",MAX(1,(YEAR($I59)-YEAR($H59))*12+MONTH($I59)-MONTH($H59)+1))</f>
        <v/>
      </c>
      <c r="K59" s="66">
        <f>IF($J59="","",$G59/$J59)</f>
        <v/>
      </c>
      <c r="L59" s="66">
        <f>IF($J59="",0,$K59*MAX(0,MIN(YEAR($C$3)*12+MONTH($C$3),YEAR($I59)*12+MONTH($I59))-(YEAR($H59)*12+MONTH($H59))+1))</f>
        <v/>
      </c>
      <c r="M59" s="66">
        <f>IF($J59="",0,$K59*MAX(0,MIN(YEAR($C$3)*12+MONTH($C$3)-1,YEAR($I59)*12+MONTH($I59))-(YEAR($H59)*12+MONTH($H59))+1))</f>
        <v/>
      </c>
      <c r="N59" s="66">
        <f>IF(OR($J59="",$B59=""),0,IF(YEAR($B59)*12+MONTH($B59)&lt;=YEAR($C$3)*12+MONTH($C$3),$G59,0))</f>
        <v/>
      </c>
      <c r="O59" s="66">
        <f>IF(OR($J59="",$B59=""),0,IF(YEAR($B59)*12+MONTH($B59)&lt;=YEAR($C$3)*12+MONTH($C$3)-1,$G59,0))</f>
        <v/>
      </c>
      <c r="P59" s="66">
        <f>$M59-$O59</f>
        <v/>
      </c>
      <c r="Q59" s="66">
        <f>($L59-$M59)-($N59-$O59)</f>
        <v/>
      </c>
      <c r="R59" s="66">
        <f>$L59-$N59</f>
        <v/>
      </c>
      <c r="S59" s="65">
        <f>"Finance invoice"</f>
        <v/>
      </c>
      <c r="T59" s="65">
        <f>"Revenue"</f>
        <v/>
      </c>
    </row>
    <row r="60">
      <c r="A60" s="63">
        <f>ROW()-5</f>
        <v/>
      </c>
      <c r="B60" s="64">
        <f>IFERROR(INDEX(tbl_Finance[Date],$A60),"")</f>
        <v/>
      </c>
      <c r="C60" s="65">
        <f>IFERROR(INDEX(tbl_Finance[Xero Invoice No],$A60),"")</f>
        <v/>
      </c>
      <c r="D60" s="65">
        <f>IFERROR(INDEX(tbl_Finance[Client],$A60),"")</f>
        <v/>
      </c>
      <c r="E60" s="65">
        <f>IFERROR(INDEX(tbl_Finance[Job Number],$A60),"")</f>
        <v/>
      </c>
      <c r="F60" s="65">
        <f>IFERROR(INDEX(tbl_Finance[Cost Centre],$A60),"")</f>
        <v/>
      </c>
      <c r="G60" s="66">
        <f>IFERROR(INDEX(tbl_Finance[Ex GST],$A60),"")</f>
        <v/>
      </c>
      <c r="H60" s="64">
        <f>IFERROR(INDEX(tbl_Finance[Defer Start],$A60),"")</f>
        <v/>
      </c>
      <c r="I60" s="64">
        <f>IFERROR(INDEX(tbl_Finance[Defer End],$A60),"")</f>
        <v/>
      </c>
      <c r="J60" s="63">
        <f>IF(OR($H60="",$I60="",$G60=""),"",MAX(1,(YEAR($I60)-YEAR($H60))*12+MONTH($I60)-MONTH($H60)+1))</f>
        <v/>
      </c>
      <c r="K60" s="66">
        <f>IF($J60="","",$G60/$J60)</f>
        <v/>
      </c>
      <c r="L60" s="66">
        <f>IF($J60="",0,$K60*MAX(0,MIN(YEAR($C$3)*12+MONTH($C$3),YEAR($I60)*12+MONTH($I60))-(YEAR($H60)*12+MONTH($H60))+1))</f>
        <v/>
      </c>
      <c r="M60" s="66">
        <f>IF($J60="",0,$K60*MAX(0,MIN(YEAR($C$3)*12+MONTH($C$3)-1,YEAR($I60)*12+MONTH($I60))-(YEAR($H60)*12+MONTH($H60))+1))</f>
        <v/>
      </c>
      <c r="N60" s="66">
        <f>IF(OR($J60="",$B60=""),0,IF(YEAR($B60)*12+MONTH($B60)&lt;=YEAR($C$3)*12+MONTH($C$3),$G60,0))</f>
        <v/>
      </c>
      <c r="O60" s="66">
        <f>IF(OR($J60="",$B60=""),0,IF(YEAR($B60)*12+MONTH($B60)&lt;=YEAR($C$3)*12+MONTH($C$3)-1,$G60,0))</f>
        <v/>
      </c>
      <c r="P60" s="66">
        <f>$M60-$O60</f>
        <v/>
      </c>
      <c r="Q60" s="66">
        <f>($L60-$M60)-($N60-$O60)</f>
        <v/>
      </c>
      <c r="R60" s="66">
        <f>$L60-$N60</f>
        <v/>
      </c>
      <c r="S60" s="65">
        <f>"Finance invoice"</f>
        <v/>
      </c>
      <c r="T60" s="65">
        <f>"Revenue"</f>
        <v/>
      </c>
    </row>
    <row r="61">
      <c r="A61" s="63">
        <f>ROW()-5</f>
        <v/>
      </c>
      <c r="B61" s="64">
        <f>IFERROR(INDEX(tbl_Finance[Date],$A61),"")</f>
        <v/>
      </c>
      <c r="C61" s="65">
        <f>IFERROR(INDEX(tbl_Finance[Xero Invoice No],$A61),"")</f>
        <v/>
      </c>
      <c r="D61" s="65">
        <f>IFERROR(INDEX(tbl_Finance[Client],$A61),"")</f>
        <v/>
      </c>
      <c r="E61" s="65">
        <f>IFERROR(INDEX(tbl_Finance[Job Number],$A61),"")</f>
        <v/>
      </c>
      <c r="F61" s="65">
        <f>IFERROR(INDEX(tbl_Finance[Cost Centre],$A61),"")</f>
        <v/>
      </c>
      <c r="G61" s="66">
        <f>IFERROR(INDEX(tbl_Finance[Ex GST],$A61),"")</f>
        <v/>
      </c>
      <c r="H61" s="64">
        <f>IFERROR(INDEX(tbl_Finance[Defer Start],$A61),"")</f>
        <v/>
      </c>
      <c r="I61" s="64">
        <f>IFERROR(INDEX(tbl_Finance[Defer End],$A61),"")</f>
        <v/>
      </c>
      <c r="J61" s="63">
        <f>IF(OR($H61="",$I61="",$G61=""),"",MAX(1,(YEAR($I61)-YEAR($H61))*12+MONTH($I61)-MONTH($H61)+1))</f>
        <v/>
      </c>
      <c r="K61" s="66">
        <f>IF($J61="","",$G61/$J61)</f>
        <v/>
      </c>
      <c r="L61" s="66">
        <f>IF($J61="",0,$K61*MAX(0,MIN(YEAR($C$3)*12+MONTH($C$3),YEAR($I61)*12+MONTH($I61))-(YEAR($H61)*12+MONTH($H61))+1))</f>
        <v/>
      </c>
      <c r="M61" s="66">
        <f>IF($J61="",0,$K61*MAX(0,MIN(YEAR($C$3)*12+MONTH($C$3)-1,YEAR($I61)*12+MONTH($I61))-(YEAR($H61)*12+MONTH($H61))+1))</f>
        <v/>
      </c>
      <c r="N61" s="66">
        <f>IF(OR($J61="",$B61=""),0,IF(YEAR($B61)*12+MONTH($B61)&lt;=YEAR($C$3)*12+MONTH($C$3),$G61,0))</f>
        <v/>
      </c>
      <c r="O61" s="66">
        <f>IF(OR($J61="",$B61=""),0,IF(YEAR($B61)*12+MONTH($B61)&lt;=YEAR($C$3)*12+MONTH($C$3)-1,$G61,0))</f>
        <v/>
      </c>
      <c r="P61" s="66">
        <f>$M61-$O61</f>
        <v/>
      </c>
      <c r="Q61" s="66">
        <f>($L61-$M61)-($N61-$O61)</f>
        <v/>
      </c>
      <c r="R61" s="66">
        <f>$L61-$N61</f>
        <v/>
      </c>
      <c r="S61" s="65">
        <f>"Finance invoice"</f>
        <v/>
      </c>
      <c r="T61" s="65">
        <f>"Revenue"</f>
        <v/>
      </c>
    </row>
    <row r="62">
      <c r="A62" s="63">
        <f>ROW()-5</f>
        <v/>
      </c>
      <c r="B62" s="64">
        <f>IFERROR(INDEX(tbl_Finance[Date],$A62),"")</f>
        <v/>
      </c>
      <c r="C62" s="65">
        <f>IFERROR(INDEX(tbl_Finance[Xero Invoice No],$A62),"")</f>
        <v/>
      </c>
      <c r="D62" s="65">
        <f>IFERROR(INDEX(tbl_Finance[Client],$A62),"")</f>
        <v/>
      </c>
      <c r="E62" s="65">
        <f>IFERROR(INDEX(tbl_Finance[Job Number],$A62),"")</f>
        <v/>
      </c>
      <c r="F62" s="65">
        <f>IFERROR(INDEX(tbl_Finance[Cost Centre],$A62),"")</f>
        <v/>
      </c>
      <c r="G62" s="66">
        <f>IFERROR(INDEX(tbl_Finance[Ex GST],$A62),"")</f>
        <v/>
      </c>
      <c r="H62" s="64">
        <f>IFERROR(INDEX(tbl_Finance[Defer Start],$A62),"")</f>
        <v/>
      </c>
      <c r="I62" s="64">
        <f>IFERROR(INDEX(tbl_Finance[Defer End],$A62),"")</f>
        <v/>
      </c>
      <c r="J62" s="63">
        <f>IF(OR($H62="",$I62="",$G62=""),"",MAX(1,(YEAR($I62)-YEAR($H62))*12+MONTH($I62)-MONTH($H62)+1))</f>
        <v/>
      </c>
      <c r="K62" s="66">
        <f>IF($J62="","",$G62/$J62)</f>
        <v/>
      </c>
      <c r="L62" s="66">
        <f>IF($J62="",0,$K62*MAX(0,MIN(YEAR($C$3)*12+MONTH($C$3),YEAR($I62)*12+MONTH($I62))-(YEAR($H62)*12+MONTH($H62))+1))</f>
        <v/>
      </c>
      <c r="M62" s="66">
        <f>IF($J62="",0,$K62*MAX(0,MIN(YEAR($C$3)*12+MONTH($C$3)-1,YEAR($I62)*12+MONTH($I62))-(YEAR($H62)*12+MONTH($H62))+1))</f>
        <v/>
      </c>
      <c r="N62" s="66">
        <f>IF(OR($J62="",$B62=""),0,IF(YEAR($B62)*12+MONTH($B62)&lt;=YEAR($C$3)*12+MONTH($C$3),$G62,0))</f>
        <v/>
      </c>
      <c r="O62" s="66">
        <f>IF(OR($J62="",$B62=""),0,IF(YEAR($B62)*12+MONTH($B62)&lt;=YEAR($C$3)*12+MONTH($C$3)-1,$G62,0))</f>
        <v/>
      </c>
      <c r="P62" s="66">
        <f>$M62-$O62</f>
        <v/>
      </c>
      <c r="Q62" s="66">
        <f>($L62-$M62)-($N62-$O62)</f>
        <v/>
      </c>
      <c r="R62" s="66">
        <f>$L62-$N62</f>
        <v/>
      </c>
      <c r="S62" s="65">
        <f>"Finance invoice"</f>
        <v/>
      </c>
      <c r="T62" s="65">
        <f>"Revenue"</f>
        <v/>
      </c>
    </row>
    <row r="63">
      <c r="A63" s="63">
        <f>ROW()-5</f>
        <v/>
      </c>
      <c r="B63" s="64">
        <f>IFERROR(INDEX(tbl_Finance[Date],$A63),"")</f>
        <v/>
      </c>
      <c r="C63" s="65">
        <f>IFERROR(INDEX(tbl_Finance[Xero Invoice No],$A63),"")</f>
        <v/>
      </c>
      <c r="D63" s="65">
        <f>IFERROR(INDEX(tbl_Finance[Client],$A63),"")</f>
        <v/>
      </c>
      <c r="E63" s="65">
        <f>IFERROR(INDEX(tbl_Finance[Job Number],$A63),"")</f>
        <v/>
      </c>
      <c r="F63" s="65">
        <f>IFERROR(INDEX(tbl_Finance[Cost Centre],$A63),"")</f>
        <v/>
      </c>
      <c r="G63" s="66">
        <f>IFERROR(INDEX(tbl_Finance[Ex GST],$A63),"")</f>
        <v/>
      </c>
      <c r="H63" s="64">
        <f>IFERROR(INDEX(tbl_Finance[Defer Start],$A63),"")</f>
        <v/>
      </c>
      <c r="I63" s="64">
        <f>IFERROR(INDEX(tbl_Finance[Defer End],$A63),"")</f>
        <v/>
      </c>
      <c r="J63" s="63">
        <f>IF(OR($H63="",$I63="",$G63=""),"",MAX(1,(YEAR($I63)-YEAR($H63))*12+MONTH($I63)-MONTH($H63)+1))</f>
        <v/>
      </c>
      <c r="K63" s="66">
        <f>IF($J63="","",$G63/$J63)</f>
        <v/>
      </c>
      <c r="L63" s="66">
        <f>IF($J63="",0,$K63*MAX(0,MIN(YEAR($C$3)*12+MONTH($C$3),YEAR($I63)*12+MONTH($I63))-(YEAR($H63)*12+MONTH($H63))+1))</f>
        <v/>
      </c>
      <c r="M63" s="66">
        <f>IF($J63="",0,$K63*MAX(0,MIN(YEAR($C$3)*12+MONTH($C$3)-1,YEAR($I63)*12+MONTH($I63))-(YEAR($H63)*12+MONTH($H63))+1))</f>
        <v/>
      </c>
      <c r="N63" s="66">
        <f>IF(OR($J63="",$B63=""),0,IF(YEAR($B63)*12+MONTH($B63)&lt;=YEAR($C$3)*12+MONTH($C$3),$G63,0))</f>
        <v/>
      </c>
      <c r="O63" s="66">
        <f>IF(OR($J63="",$B63=""),0,IF(YEAR($B63)*12+MONTH($B63)&lt;=YEAR($C$3)*12+MONTH($C$3)-1,$G63,0))</f>
        <v/>
      </c>
      <c r="P63" s="66">
        <f>$M63-$O63</f>
        <v/>
      </c>
      <c r="Q63" s="66">
        <f>($L63-$M63)-($N63-$O63)</f>
        <v/>
      </c>
      <c r="R63" s="66">
        <f>$L63-$N63</f>
        <v/>
      </c>
      <c r="S63" s="65">
        <f>"Finance invoice"</f>
        <v/>
      </c>
      <c r="T63" s="65">
        <f>"Revenue"</f>
        <v/>
      </c>
    </row>
    <row r="64">
      <c r="A64" s="63">
        <f>ROW()-5</f>
        <v/>
      </c>
      <c r="B64" s="64">
        <f>IFERROR(INDEX(tbl_Finance[Date],$A64),"")</f>
        <v/>
      </c>
      <c r="C64" s="65">
        <f>IFERROR(INDEX(tbl_Finance[Xero Invoice No],$A64),"")</f>
        <v/>
      </c>
      <c r="D64" s="65">
        <f>IFERROR(INDEX(tbl_Finance[Client],$A64),"")</f>
        <v/>
      </c>
      <c r="E64" s="65">
        <f>IFERROR(INDEX(tbl_Finance[Job Number],$A64),"")</f>
        <v/>
      </c>
      <c r="F64" s="65">
        <f>IFERROR(INDEX(tbl_Finance[Cost Centre],$A64),"")</f>
        <v/>
      </c>
      <c r="G64" s="66">
        <f>IFERROR(INDEX(tbl_Finance[Ex GST],$A64),"")</f>
        <v/>
      </c>
      <c r="H64" s="64">
        <f>IFERROR(INDEX(tbl_Finance[Defer Start],$A64),"")</f>
        <v/>
      </c>
      <c r="I64" s="64">
        <f>IFERROR(INDEX(tbl_Finance[Defer End],$A64),"")</f>
        <v/>
      </c>
      <c r="J64" s="63">
        <f>IF(OR($H64="",$I64="",$G64=""),"",MAX(1,(YEAR($I64)-YEAR($H64))*12+MONTH($I64)-MONTH($H64)+1))</f>
        <v/>
      </c>
      <c r="K64" s="66">
        <f>IF($J64="","",$G64/$J64)</f>
        <v/>
      </c>
      <c r="L64" s="66">
        <f>IF($J64="",0,$K64*MAX(0,MIN(YEAR($C$3)*12+MONTH($C$3),YEAR($I64)*12+MONTH($I64))-(YEAR($H64)*12+MONTH($H64))+1))</f>
        <v/>
      </c>
      <c r="M64" s="66">
        <f>IF($J64="",0,$K64*MAX(0,MIN(YEAR($C$3)*12+MONTH($C$3)-1,YEAR($I64)*12+MONTH($I64))-(YEAR($H64)*12+MONTH($H64))+1))</f>
        <v/>
      </c>
      <c r="N64" s="66">
        <f>IF(OR($J64="",$B64=""),0,IF(YEAR($B64)*12+MONTH($B64)&lt;=YEAR($C$3)*12+MONTH($C$3),$G64,0))</f>
        <v/>
      </c>
      <c r="O64" s="66">
        <f>IF(OR($J64="",$B64=""),0,IF(YEAR($B64)*12+MONTH($B64)&lt;=YEAR($C$3)*12+MONTH($C$3)-1,$G64,0))</f>
        <v/>
      </c>
      <c r="P64" s="66">
        <f>$M64-$O64</f>
        <v/>
      </c>
      <c r="Q64" s="66">
        <f>($L64-$M64)-($N64-$O64)</f>
        <v/>
      </c>
      <c r="R64" s="66">
        <f>$L64-$N64</f>
        <v/>
      </c>
      <c r="S64" s="65">
        <f>"Finance invoice"</f>
        <v/>
      </c>
      <c r="T64" s="65">
        <f>"Revenue"</f>
        <v/>
      </c>
    </row>
    <row r="65">
      <c r="A65" s="63">
        <f>ROW()-5</f>
        <v/>
      </c>
      <c r="B65" s="64">
        <f>IFERROR(INDEX(tbl_Finance[Date],$A65),"")</f>
        <v/>
      </c>
      <c r="C65" s="65">
        <f>IFERROR(INDEX(tbl_Finance[Xero Invoice No],$A65),"")</f>
        <v/>
      </c>
      <c r="D65" s="65">
        <f>IFERROR(INDEX(tbl_Finance[Client],$A65),"")</f>
        <v/>
      </c>
      <c r="E65" s="65">
        <f>IFERROR(INDEX(tbl_Finance[Job Number],$A65),"")</f>
        <v/>
      </c>
      <c r="F65" s="65">
        <f>IFERROR(INDEX(tbl_Finance[Cost Centre],$A65),"")</f>
        <v/>
      </c>
      <c r="G65" s="66">
        <f>IFERROR(INDEX(tbl_Finance[Ex GST],$A65),"")</f>
        <v/>
      </c>
      <c r="H65" s="64">
        <f>IFERROR(INDEX(tbl_Finance[Defer Start],$A65),"")</f>
        <v/>
      </c>
      <c r="I65" s="64">
        <f>IFERROR(INDEX(tbl_Finance[Defer End],$A65),"")</f>
        <v/>
      </c>
      <c r="J65" s="63">
        <f>IF(OR($H65="",$I65="",$G65=""),"",MAX(1,(YEAR($I65)-YEAR($H65))*12+MONTH($I65)-MONTH($H65)+1))</f>
        <v/>
      </c>
      <c r="K65" s="66">
        <f>IF($J65="","",$G65/$J65)</f>
        <v/>
      </c>
      <c r="L65" s="66">
        <f>IF($J65="",0,$K65*MAX(0,MIN(YEAR($C$3)*12+MONTH($C$3),YEAR($I65)*12+MONTH($I65))-(YEAR($H65)*12+MONTH($H65))+1))</f>
        <v/>
      </c>
      <c r="M65" s="66">
        <f>IF($J65="",0,$K65*MAX(0,MIN(YEAR($C$3)*12+MONTH($C$3)-1,YEAR($I65)*12+MONTH($I65))-(YEAR($H65)*12+MONTH($H65))+1))</f>
        <v/>
      </c>
      <c r="N65" s="66">
        <f>IF(OR($J65="",$B65=""),0,IF(YEAR($B65)*12+MONTH($B65)&lt;=YEAR($C$3)*12+MONTH($C$3),$G65,0))</f>
        <v/>
      </c>
      <c r="O65" s="66">
        <f>IF(OR($J65="",$B65=""),0,IF(YEAR($B65)*12+MONTH($B65)&lt;=YEAR($C$3)*12+MONTH($C$3)-1,$G65,0))</f>
        <v/>
      </c>
      <c r="P65" s="66">
        <f>$M65-$O65</f>
        <v/>
      </c>
      <c r="Q65" s="66">
        <f>($L65-$M65)-($N65-$O65)</f>
        <v/>
      </c>
      <c r="R65" s="66">
        <f>$L65-$N65</f>
        <v/>
      </c>
      <c r="S65" s="65">
        <f>"Finance invoice"</f>
        <v/>
      </c>
      <c r="T65" s="65">
        <f>"Revenue"</f>
        <v/>
      </c>
    </row>
    <row r="66">
      <c r="A66" s="63">
        <f>ROW()-5</f>
        <v/>
      </c>
      <c r="B66" s="64">
        <f>IFERROR(INDEX(tbl_Finance[Date],$A66),"")</f>
        <v/>
      </c>
      <c r="C66" s="65">
        <f>IFERROR(INDEX(tbl_Finance[Xero Invoice No],$A66),"")</f>
        <v/>
      </c>
      <c r="D66" s="65">
        <f>IFERROR(INDEX(tbl_Finance[Client],$A66),"")</f>
        <v/>
      </c>
      <c r="E66" s="65">
        <f>IFERROR(INDEX(tbl_Finance[Job Number],$A66),"")</f>
        <v/>
      </c>
      <c r="F66" s="65">
        <f>IFERROR(INDEX(tbl_Finance[Cost Centre],$A66),"")</f>
        <v/>
      </c>
      <c r="G66" s="66">
        <f>IFERROR(INDEX(tbl_Finance[Ex GST],$A66),"")</f>
        <v/>
      </c>
      <c r="H66" s="64">
        <f>IFERROR(INDEX(tbl_Finance[Defer Start],$A66),"")</f>
        <v/>
      </c>
      <c r="I66" s="64">
        <f>IFERROR(INDEX(tbl_Finance[Defer End],$A66),"")</f>
        <v/>
      </c>
      <c r="J66" s="63">
        <f>IF(OR($H66="",$I66="",$G66=""),"",MAX(1,(YEAR($I66)-YEAR($H66))*12+MONTH($I66)-MONTH($H66)+1))</f>
        <v/>
      </c>
      <c r="K66" s="66">
        <f>IF($J66="","",$G66/$J66)</f>
        <v/>
      </c>
      <c r="L66" s="66">
        <f>IF($J66="",0,$K66*MAX(0,MIN(YEAR($C$3)*12+MONTH($C$3),YEAR($I66)*12+MONTH($I66))-(YEAR($H66)*12+MONTH($H66))+1))</f>
        <v/>
      </c>
      <c r="M66" s="66">
        <f>IF($J66="",0,$K66*MAX(0,MIN(YEAR($C$3)*12+MONTH($C$3)-1,YEAR($I66)*12+MONTH($I66))-(YEAR($H66)*12+MONTH($H66))+1))</f>
        <v/>
      </c>
      <c r="N66" s="66">
        <f>IF(OR($J66="",$B66=""),0,IF(YEAR($B66)*12+MONTH($B66)&lt;=YEAR($C$3)*12+MONTH($C$3),$G66,0))</f>
        <v/>
      </c>
      <c r="O66" s="66">
        <f>IF(OR($J66="",$B66=""),0,IF(YEAR($B66)*12+MONTH($B66)&lt;=YEAR($C$3)*12+MONTH($C$3)-1,$G66,0))</f>
        <v/>
      </c>
      <c r="P66" s="66">
        <f>$M66-$O66</f>
        <v/>
      </c>
      <c r="Q66" s="66">
        <f>($L66-$M66)-($N66-$O66)</f>
        <v/>
      </c>
      <c r="R66" s="66">
        <f>$L66-$N66</f>
        <v/>
      </c>
      <c r="S66" s="65">
        <f>"Finance invoice"</f>
        <v/>
      </c>
      <c r="T66" s="65">
        <f>"Revenue"</f>
        <v/>
      </c>
    </row>
    <row r="67">
      <c r="A67" s="63">
        <f>ROW()-5</f>
        <v/>
      </c>
      <c r="B67" s="64">
        <f>IFERROR(INDEX(tbl_Finance[Date],$A67),"")</f>
        <v/>
      </c>
      <c r="C67" s="65">
        <f>IFERROR(INDEX(tbl_Finance[Xero Invoice No],$A67),"")</f>
        <v/>
      </c>
      <c r="D67" s="65">
        <f>IFERROR(INDEX(tbl_Finance[Client],$A67),"")</f>
        <v/>
      </c>
      <c r="E67" s="65">
        <f>IFERROR(INDEX(tbl_Finance[Job Number],$A67),"")</f>
        <v/>
      </c>
      <c r="F67" s="65">
        <f>IFERROR(INDEX(tbl_Finance[Cost Centre],$A67),"")</f>
        <v/>
      </c>
      <c r="G67" s="66">
        <f>IFERROR(INDEX(tbl_Finance[Ex GST],$A67),"")</f>
        <v/>
      </c>
      <c r="H67" s="64">
        <f>IFERROR(INDEX(tbl_Finance[Defer Start],$A67),"")</f>
        <v/>
      </c>
      <c r="I67" s="64">
        <f>IFERROR(INDEX(tbl_Finance[Defer End],$A67),"")</f>
        <v/>
      </c>
      <c r="J67" s="63">
        <f>IF(OR($H67="",$I67="",$G67=""),"",MAX(1,(YEAR($I67)-YEAR($H67))*12+MONTH($I67)-MONTH($H67)+1))</f>
        <v/>
      </c>
      <c r="K67" s="66">
        <f>IF($J67="","",$G67/$J67)</f>
        <v/>
      </c>
      <c r="L67" s="66">
        <f>IF($J67="",0,$K67*MAX(0,MIN(YEAR($C$3)*12+MONTH($C$3),YEAR($I67)*12+MONTH($I67))-(YEAR($H67)*12+MONTH($H67))+1))</f>
        <v/>
      </c>
      <c r="M67" s="66">
        <f>IF($J67="",0,$K67*MAX(0,MIN(YEAR($C$3)*12+MONTH($C$3)-1,YEAR($I67)*12+MONTH($I67))-(YEAR($H67)*12+MONTH($H67))+1))</f>
        <v/>
      </c>
      <c r="N67" s="66">
        <f>IF(OR($J67="",$B67=""),0,IF(YEAR($B67)*12+MONTH($B67)&lt;=YEAR($C$3)*12+MONTH($C$3),$G67,0))</f>
        <v/>
      </c>
      <c r="O67" s="66">
        <f>IF(OR($J67="",$B67=""),0,IF(YEAR($B67)*12+MONTH($B67)&lt;=YEAR($C$3)*12+MONTH($C$3)-1,$G67,0))</f>
        <v/>
      </c>
      <c r="P67" s="66">
        <f>$M67-$O67</f>
        <v/>
      </c>
      <c r="Q67" s="66">
        <f>($L67-$M67)-($N67-$O67)</f>
        <v/>
      </c>
      <c r="R67" s="66">
        <f>$L67-$N67</f>
        <v/>
      </c>
      <c r="S67" s="65">
        <f>"Finance invoice"</f>
        <v/>
      </c>
      <c r="T67" s="65">
        <f>"Revenue"</f>
        <v/>
      </c>
    </row>
    <row r="68">
      <c r="A68" s="63">
        <f>ROW()-5</f>
        <v/>
      </c>
      <c r="B68" s="64">
        <f>IFERROR(INDEX(tbl_Finance[Date],$A68),"")</f>
        <v/>
      </c>
      <c r="C68" s="65">
        <f>IFERROR(INDEX(tbl_Finance[Xero Invoice No],$A68),"")</f>
        <v/>
      </c>
      <c r="D68" s="65">
        <f>IFERROR(INDEX(tbl_Finance[Client],$A68),"")</f>
        <v/>
      </c>
      <c r="E68" s="65">
        <f>IFERROR(INDEX(tbl_Finance[Job Number],$A68),"")</f>
        <v/>
      </c>
      <c r="F68" s="65">
        <f>IFERROR(INDEX(tbl_Finance[Cost Centre],$A68),"")</f>
        <v/>
      </c>
      <c r="G68" s="66">
        <f>IFERROR(INDEX(tbl_Finance[Ex GST],$A68),"")</f>
        <v/>
      </c>
      <c r="H68" s="64">
        <f>IFERROR(INDEX(tbl_Finance[Defer Start],$A68),"")</f>
        <v/>
      </c>
      <c r="I68" s="64">
        <f>IFERROR(INDEX(tbl_Finance[Defer End],$A68),"")</f>
        <v/>
      </c>
      <c r="J68" s="63">
        <f>IF(OR($H68="",$I68="",$G68=""),"",MAX(1,(YEAR($I68)-YEAR($H68))*12+MONTH($I68)-MONTH($H68)+1))</f>
        <v/>
      </c>
      <c r="K68" s="66">
        <f>IF($J68="","",$G68/$J68)</f>
        <v/>
      </c>
      <c r="L68" s="66">
        <f>IF($J68="",0,$K68*MAX(0,MIN(YEAR($C$3)*12+MONTH($C$3),YEAR($I68)*12+MONTH($I68))-(YEAR($H68)*12+MONTH($H68))+1))</f>
        <v/>
      </c>
      <c r="M68" s="66">
        <f>IF($J68="",0,$K68*MAX(0,MIN(YEAR($C$3)*12+MONTH($C$3)-1,YEAR($I68)*12+MONTH($I68))-(YEAR($H68)*12+MONTH($H68))+1))</f>
        <v/>
      </c>
      <c r="N68" s="66">
        <f>IF(OR($J68="",$B68=""),0,IF(YEAR($B68)*12+MONTH($B68)&lt;=YEAR($C$3)*12+MONTH($C$3),$G68,0))</f>
        <v/>
      </c>
      <c r="O68" s="66">
        <f>IF(OR($J68="",$B68=""),0,IF(YEAR($B68)*12+MONTH($B68)&lt;=YEAR($C$3)*12+MONTH($C$3)-1,$G68,0))</f>
        <v/>
      </c>
      <c r="P68" s="66">
        <f>$M68-$O68</f>
        <v/>
      </c>
      <c r="Q68" s="66">
        <f>($L68-$M68)-($N68-$O68)</f>
        <v/>
      </c>
      <c r="R68" s="66">
        <f>$L68-$N68</f>
        <v/>
      </c>
      <c r="S68" s="65">
        <f>"Finance invoice"</f>
        <v/>
      </c>
      <c r="T68" s="65">
        <f>"Revenue"</f>
        <v/>
      </c>
    </row>
    <row r="69">
      <c r="A69" s="63">
        <f>ROW()-5</f>
        <v/>
      </c>
      <c r="B69" s="64">
        <f>IFERROR(INDEX(tbl_Finance[Date],$A69),"")</f>
        <v/>
      </c>
      <c r="C69" s="65">
        <f>IFERROR(INDEX(tbl_Finance[Xero Invoice No],$A69),"")</f>
        <v/>
      </c>
      <c r="D69" s="65">
        <f>IFERROR(INDEX(tbl_Finance[Client],$A69),"")</f>
        <v/>
      </c>
      <c r="E69" s="65">
        <f>IFERROR(INDEX(tbl_Finance[Job Number],$A69),"")</f>
        <v/>
      </c>
      <c r="F69" s="65">
        <f>IFERROR(INDEX(tbl_Finance[Cost Centre],$A69),"")</f>
        <v/>
      </c>
      <c r="G69" s="66">
        <f>IFERROR(INDEX(tbl_Finance[Ex GST],$A69),"")</f>
        <v/>
      </c>
      <c r="H69" s="64">
        <f>IFERROR(INDEX(tbl_Finance[Defer Start],$A69),"")</f>
        <v/>
      </c>
      <c r="I69" s="64">
        <f>IFERROR(INDEX(tbl_Finance[Defer End],$A69),"")</f>
        <v/>
      </c>
      <c r="J69" s="63">
        <f>IF(OR($H69="",$I69="",$G69=""),"",MAX(1,(YEAR($I69)-YEAR($H69))*12+MONTH($I69)-MONTH($H69)+1))</f>
        <v/>
      </c>
      <c r="K69" s="66">
        <f>IF($J69="","",$G69/$J69)</f>
        <v/>
      </c>
      <c r="L69" s="66">
        <f>IF($J69="",0,$K69*MAX(0,MIN(YEAR($C$3)*12+MONTH($C$3),YEAR($I69)*12+MONTH($I69))-(YEAR($H69)*12+MONTH($H69))+1))</f>
        <v/>
      </c>
      <c r="M69" s="66">
        <f>IF($J69="",0,$K69*MAX(0,MIN(YEAR($C$3)*12+MONTH($C$3)-1,YEAR($I69)*12+MONTH($I69))-(YEAR($H69)*12+MONTH($H69))+1))</f>
        <v/>
      </c>
      <c r="N69" s="66">
        <f>IF(OR($J69="",$B69=""),0,IF(YEAR($B69)*12+MONTH($B69)&lt;=YEAR($C$3)*12+MONTH($C$3),$G69,0))</f>
        <v/>
      </c>
      <c r="O69" s="66">
        <f>IF(OR($J69="",$B69=""),0,IF(YEAR($B69)*12+MONTH($B69)&lt;=YEAR($C$3)*12+MONTH($C$3)-1,$G69,0))</f>
        <v/>
      </c>
      <c r="P69" s="66">
        <f>$M69-$O69</f>
        <v/>
      </c>
      <c r="Q69" s="66">
        <f>($L69-$M69)-($N69-$O69)</f>
        <v/>
      </c>
      <c r="R69" s="66">
        <f>$L69-$N69</f>
        <v/>
      </c>
      <c r="S69" s="65">
        <f>"Finance invoice"</f>
        <v/>
      </c>
      <c r="T69" s="65">
        <f>"Revenue"</f>
        <v/>
      </c>
    </row>
    <row r="70">
      <c r="A70" s="63">
        <f>ROW()-5</f>
        <v/>
      </c>
      <c r="B70" s="64">
        <f>IFERROR(INDEX(tbl_Finance[Date],$A70),"")</f>
        <v/>
      </c>
      <c r="C70" s="65">
        <f>IFERROR(INDEX(tbl_Finance[Xero Invoice No],$A70),"")</f>
        <v/>
      </c>
      <c r="D70" s="65">
        <f>IFERROR(INDEX(tbl_Finance[Client],$A70),"")</f>
        <v/>
      </c>
      <c r="E70" s="65">
        <f>IFERROR(INDEX(tbl_Finance[Job Number],$A70),"")</f>
        <v/>
      </c>
      <c r="F70" s="65">
        <f>IFERROR(INDEX(tbl_Finance[Cost Centre],$A70),"")</f>
        <v/>
      </c>
      <c r="G70" s="66">
        <f>IFERROR(INDEX(tbl_Finance[Ex GST],$A70),"")</f>
        <v/>
      </c>
      <c r="H70" s="64">
        <f>IFERROR(INDEX(tbl_Finance[Defer Start],$A70),"")</f>
        <v/>
      </c>
      <c r="I70" s="64">
        <f>IFERROR(INDEX(tbl_Finance[Defer End],$A70),"")</f>
        <v/>
      </c>
      <c r="J70" s="63">
        <f>IF(OR($H70="",$I70="",$G70=""),"",MAX(1,(YEAR($I70)-YEAR($H70))*12+MONTH($I70)-MONTH($H70)+1))</f>
        <v/>
      </c>
      <c r="K70" s="66">
        <f>IF($J70="","",$G70/$J70)</f>
        <v/>
      </c>
      <c r="L70" s="66">
        <f>IF($J70="",0,$K70*MAX(0,MIN(YEAR($C$3)*12+MONTH($C$3),YEAR($I70)*12+MONTH($I70))-(YEAR($H70)*12+MONTH($H70))+1))</f>
        <v/>
      </c>
      <c r="M70" s="66">
        <f>IF($J70="",0,$K70*MAX(0,MIN(YEAR($C$3)*12+MONTH($C$3)-1,YEAR($I70)*12+MONTH($I70))-(YEAR($H70)*12+MONTH($H70))+1))</f>
        <v/>
      </c>
      <c r="N70" s="66">
        <f>IF(OR($J70="",$B70=""),0,IF(YEAR($B70)*12+MONTH($B70)&lt;=YEAR($C$3)*12+MONTH($C$3),$G70,0))</f>
        <v/>
      </c>
      <c r="O70" s="66">
        <f>IF(OR($J70="",$B70=""),0,IF(YEAR($B70)*12+MONTH($B70)&lt;=YEAR($C$3)*12+MONTH($C$3)-1,$G70,0))</f>
        <v/>
      </c>
      <c r="P70" s="66">
        <f>$M70-$O70</f>
        <v/>
      </c>
      <c r="Q70" s="66">
        <f>($L70-$M70)-($N70-$O70)</f>
        <v/>
      </c>
      <c r="R70" s="66">
        <f>$L70-$N70</f>
        <v/>
      </c>
      <c r="S70" s="65">
        <f>"Finance invoice"</f>
        <v/>
      </c>
      <c r="T70" s="65">
        <f>"Revenue"</f>
        <v/>
      </c>
    </row>
    <row r="71">
      <c r="A71" s="63">
        <f>ROW()-5</f>
        <v/>
      </c>
      <c r="B71" s="64">
        <f>IFERROR(INDEX(tbl_Finance[Date],$A71),"")</f>
        <v/>
      </c>
      <c r="C71" s="65">
        <f>IFERROR(INDEX(tbl_Finance[Xero Invoice No],$A71),"")</f>
        <v/>
      </c>
      <c r="D71" s="65">
        <f>IFERROR(INDEX(tbl_Finance[Client],$A71),"")</f>
        <v/>
      </c>
      <c r="E71" s="65">
        <f>IFERROR(INDEX(tbl_Finance[Job Number],$A71),"")</f>
        <v/>
      </c>
      <c r="F71" s="65">
        <f>IFERROR(INDEX(tbl_Finance[Cost Centre],$A71),"")</f>
        <v/>
      </c>
      <c r="G71" s="66">
        <f>IFERROR(INDEX(tbl_Finance[Ex GST],$A71),"")</f>
        <v/>
      </c>
      <c r="H71" s="64">
        <f>IFERROR(INDEX(tbl_Finance[Defer Start],$A71),"")</f>
        <v/>
      </c>
      <c r="I71" s="64">
        <f>IFERROR(INDEX(tbl_Finance[Defer End],$A71),"")</f>
        <v/>
      </c>
      <c r="J71" s="63">
        <f>IF(OR($H71="",$I71="",$G71=""),"",MAX(1,(YEAR($I71)-YEAR($H71))*12+MONTH($I71)-MONTH($H71)+1))</f>
        <v/>
      </c>
      <c r="K71" s="66">
        <f>IF($J71="","",$G71/$J71)</f>
        <v/>
      </c>
      <c r="L71" s="66">
        <f>IF($J71="",0,$K71*MAX(0,MIN(YEAR($C$3)*12+MONTH($C$3),YEAR($I71)*12+MONTH($I71))-(YEAR($H71)*12+MONTH($H71))+1))</f>
        <v/>
      </c>
      <c r="M71" s="66">
        <f>IF($J71="",0,$K71*MAX(0,MIN(YEAR($C$3)*12+MONTH($C$3)-1,YEAR($I71)*12+MONTH($I71))-(YEAR($H71)*12+MONTH($H71))+1))</f>
        <v/>
      </c>
      <c r="N71" s="66">
        <f>IF(OR($J71="",$B71=""),0,IF(YEAR($B71)*12+MONTH($B71)&lt;=YEAR($C$3)*12+MONTH($C$3),$G71,0))</f>
        <v/>
      </c>
      <c r="O71" s="66">
        <f>IF(OR($J71="",$B71=""),0,IF(YEAR($B71)*12+MONTH($B71)&lt;=YEAR($C$3)*12+MONTH($C$3)-1,$G71,0))</f>
        <v/>
      </c>
      <c r="P71" s="66">
        <f>$M71-$O71</f>
        <v/>
      </c>
      <c r="Q71" s="66">
        <f>($L71-$M71)-($N71-$O71)</f>
        <v/>
      </c>
      <c r="R71" s="66">
        <f>$L71-$N71</f>
        <v/>
      </c>
      <c r="S71" s="65">
        <f>"Finance invoice"</f>
        <v/>
      </c>
      <c r="T71" s="65">
        <f>"Revenue"</f>
        <v/>
      </c>
    </row>
    <row r="72">
      <c r="A72" s="63">
        <f>ROW()-5</f>
        <v/>
      </c>
      <c r="B72" s="64">
        <f>IFERROR(INDEX(tbl_Finance[Date],$A72),"")</f>
        <v/>
      </c>
      <c r="C72" s="65">
        <f>IFERROR(INDEX(tbl_Finance[Xero Invoice No],$A72),"")</f>
        <v/>
      </c>
      <c r="D72" s="65">
        <f>IFERROR(INDEX(tbl_Finance[Client],$A72),"")</f>
        <v/>
      </c>
      <c r="E72" s="65">
        <f>IFERROR(INDEX(tbl_Finance[Job Number],$A72),"")</f>
        <v/>
      </c>
      <c r="F72" s="65">
        <f>IFERROR(INDEX(tbl_Finance[Cost Centre],$A72),"")</f>
        <v/>
      </c>
      <c r="G72" s="66">
        <f>IFERROR(INDEX(tbl_Finance[Ex GST],$A72),"")</f>
        <v/>
      </c>
      <c r="H72" s="64">
        <f>IFERROR(INDEX(tbl_Finance[Defer Start],$A72),"")</f>
        <v/>
      </c>
      <c r="I72" s="64">
        <f>IFERROR(INDEX(tbl_Finance[Defer End],$A72),"")</f>
        <v/>
      </c>
      <c r="J72" s="63">
        <f>IF(OR($H72="",$I72="",$G72=""),"",MAX(1,(YEAR($I72)-YEAR($H72))*12+MONTH($I72)-MONTH($H72)+1))</f>
        <v/>
      </c>
      <c r="K72" s="66">
        <f>IF($J72="","",$G72/$J72)</f>
        <v/>
      </c>
      <c r="L72" s="66">
        <f>IF($J72="",0,$K72*MAX(0,MIN(YEAR($C$3)*12+MONTH($C$3),YEAR($I72)*12+MONTH($I72))-(YEAR($H72)*12+MONTH($H72))+1))</f>
        <v/>
      </c>
      <c r="M72" s="66">
        <f>IF($J72="",0,$K72*MAX(0,MIN(YEAR($C$3)*12+MONTH($C$3)-1,YEAR($I72)*12+MONTH($I72))-(YEAR($H72)*12+MONTH($H72))+1))</f>
        <v/>
      </c>
      <c r="N72" s="66">
        <f>IF(OR($J72="",$B72=""),0,IF(YEAR($B72)*12+MONTH($B72)&lt;=YEAR($C$3)*12+MONTH($C$3),$G72,0))</f>
        <v/>
      </c>
      <c r="O72" s="66">
        <f>IF(OR($J72="",$B72=""),0,IF(YEAR($B72)*12+MONTH($B72)&lt;=YEAR($C$3)*12+MONTH($C$3)-1,$G72,0))</f>
        <v/>
      </c>
      <c r="P72" s="66">
        <f>$M72-$O72</f>
        <v/>
      </c>
      <c r="Q72" s="66">
        <f>($L72-$M72)-($N72-$O72)</f>
        <v/>
      </c>
      <c r="R72" s="66">
        <f>$L72-$N72</f>
        <v/>
      </c>
      <c r="S72" s="65">
        <f>"Finance invoice"</f>
        <v/>
      </c>
      <c r="T72" s="65">
        <f>"Revenue"</f>
        <v/>
      </c>
    </row>
    <row r="73">
      <c r="A73" s="63">
        <f>ROW()-5</f>
        <v/>
      </c>
      <c r="B73" s="64">
        <f>IFERROR(INDEX(tbl_Finance[Date],$A73),"")</f>
        <v/>
      </c>
      <c r="C73" s="65">
        <f>IFERROR(INDEX(tbl_Finance[Xero Invoice No],$A73),"")</f>
        <v/>
      </c>
      <c r="D73" s="65">
        <f>IFERROR(INDEX(tbl_Finance[Client],$A73),"")</f>
        <v/>
      </c>
      <c r="E73" s="65">
        <f>IFERROR(INDEX(tbl_Finance[Job Number],$A73),"")</f>
        <v/>
      </c>
      <c r="F73" s="65">
        <f>IFERROR(INDEX(tbl_Finance[Cost Centre],$A73),"")</f>
        <v/>
      </c>
      <c r="G73" s="66">
        <f>IFERROR(INDEX(tbl_Finance[Ex GST],$A73),"")</f>
        <v/>
      </c>
      <c r="H73" s="64">
        <f>IFERROR(INDEX(tbl_Finance[Defer Start],$A73),"")</f>
        <v/>
      </c>
      <c r="I73" s="64">
        <f>IFERROR(INDEX(tbl_Finance[Defer End],$A73),"")</f>
        <v/>
      </c>
      <c r="J73" s="63">
        <f>IF(OR($H73="",$I73="",$G73=""),"",MAX(1,(YEAR($I73)-YEAR($H73))*12+MONTH($I73)-MONTH($H73)+1))</f>
        <v/>
      </c>
      <c r="K73" s="66">
        <f>IF($J73="","",$G73/$J73)</f>
        <v/>
      </c>
      <c r="L73" s="66">
        <f>IF($J73="",0,$K73*MAX(0,MIN(YEAR($C$3)*12+MONTH($C$3),YEAR($I73)*12+MONTH($I73))-(YEAR($H73)*12+MONTH($H73))+1))</f>
        <v/>
      </c>
      <c r="M73" s="66">
        <f>IF($J73="",0,$K73*MAX(0,MIN(YEAR($C$3)*12+MONTH($C$3)-1,YEAR($I73)*12+MONTH($I73))-(YEAR($H73)*12+MONTH($H73))+1))</f>
        <v/>
      </c>
      <c r="N73" s="66">
        <f>IF(OR($J73="",$B73=""),0,IF(YEAR($B73)*12+MONTH($B73)&lt;=YEAR($C$3)*12+MONTH($C$3),$G73,0))</f>
        <v/>
      </c>
      <c r="O73" s="66">
        <f>IF(OR($J73="",$B73=""),0,IF(YEAR($B73)*12+MONTH($B73)&lt;=YEAR($C$3)*12+MONTH($C$3)-1,$G73,0))</f>
        <v/>
      </c>
      <c r="P73" s="66">
        <f>$M73-$O73</f>
        <v/>
      </c>
      <c r="Q73" s="66">
        <f>($L73-$M73)-($N73-$O73)</f>
        <v/>
      </c>
      <c r="R73" s="66">
        <f>$L73-$N73</f>
        <v/>
      </c>
      <c r="S73" s="65">
        <f>"Finance invoice"</f>
        <v/>
      </c>
      <c r="T73" s="65">
        <f>"Revenue"</f>
        <v/>
      </c>
    </row>
    <row r="74">
      <c r="A74" s="63">
        <f>ROW()-5</f>
        <v/>
      </c>
      <c r="B74" s="64">
        <f>IFERROR(INDEX(tbl_Finance[Date],$A74),"")</f>
        <v/>
      </c>
      <c r="C74" s="65">
        <f>IFERROR(INDEX(tbl_Finance[Xero Invoice No],$A74),"")</f>
        <v/>
      </c>
      <c r="D74" s="65">
        <f>IFERROR(INDEX(tbl_Finance[Client],$A74),"")</f>
        <v/>
      </c>
      <c r="E74" s="65">
        <f>IFERROR(INDEX(tbl_Finance[Job Number],$A74),"")</f>
        <v/>
      </c>
      <c r="F74" s="65">
        <f>IFERROR(INDEX(tbl_Finance[Cost Centre],$A74),"")</f>
        <v/>
      </c>
      <c r="G74" s="66">
        <f>IFERROR(INDEX(tbl_Finance[Ex GST],$A74),"")</f>
        <v/>
      </c>
      <c r="H74" s="64">
        <f>IFERROR(INDEX(tbl_Finance[Defer Start],$A74),"")</f>
        <v/>
      </c>
      <c r="I74" s="64">
        <f>IFERROR(INDEX(tbl_Finance[Defer End],$A74),"")</f>
        <v/>
      </c>
      <c r="J74" s="63">
        <f>IF(OR($H74="",$I74="",$G74=""),"",MAX(1,(YEAR($I74)-YEAR($H74))*12+MONTH($I74)-MONTH($H74)+1))</f>
        <v/>
      </c>
      <c r="K74" s="66">
        <f>IF($J74="","",$G74/$J74)</f>
        <v/>
      </c>
      <c r="L74" s="66">
        <f>IF($J74="",0,$K74*MAX(0,MIN(YEAR($C$3)*12+MONTH($C$3),YEAR($I74)*12+MONTH($I74))-(YEAR($H74)*12+MONTH($H74))+1))</f>
        <v/>
      </c>
      <c r="M74" s="66">
        <f>IF($J74="",0,$K74*MAX(0,MIN(YEAR($C$3)*12+MONTH($C$3)-1,YEAR($I74)*12+MONTH($I74))-(YEAR($H74)*12+MONTH($H74))+1))</f>
        <v/>
      </c>
      <c r="N74" s="66">
        <f>IF(OR($J74="",$B74=""),0,IF(YEAR($B74)*12+MONTH($B74)&lt;=YEAR($C$3)*12+MONTH($C$3),$G74,0))</f>
        <v/>
      </c>
      <c r="O74" s="66">
        <f>IF(OR($J74="",$B74=""),0,IF(YEAR($B74)*12+MONTH($B74)&lt;=YEAR($C$3)*12+MONTH($C$3)-1,$G74,0))</f>
        <v/>
      </c>
      <c r="P74" s="66">
        <f>$M74-$O74</f>
        <v/>
      </c>
      <c r="Q74" s="66">
        <f>($L74-$M74)-($N74-$O74)</f>
        <v/>
      </c>
      <c r="R74" s="66">
        <f>$L74-$N74</f>
        <v/>
      </c>
      <c r="S74" s="65">
        <f>"Finance invoice"</f>
        <v/>
      </c>
      <c r="T74" s="65">
        <f>"Revenue"</f>
        <v/>
      </c>
    </row>
    <row r="75">
      <c r="A75" s="63">
        <f>ROW()-5</f>
        <v/>
      </c>
      <c r="B75" s="64">
        <f>IFERROR(INDEX(tbl_Finance[Date],$A75),"")</f>
        <v/>
      </c>
      <c r="C75" s="65">
        <f>IFERROR(INDEX(tbl_Finance[Xero Invoice No],$A75),"")</f>
        <v/>
      </c>
      <c r="D75" s="65">
        <f>IFERROR(INDEX(tbl_Finance[Client],$A75),"")</f>
        <v/>
      </c>
      <c r="E75" s="65">
        <f>IFERROR(INDEX(tbl_Finance[Job Number],$A75),"")</f>
        <v/>
      </c>
      <c r="F75" s="65">
        <f>IFERROR(INDEX(tbl_Finance[Cost Centre],$A75),"")</f>
        <v/>
      </c>
      <c r="G75" s="66">
        <f>IFERROR(INDEX(tbl_Finance[Ex GST],$A75),"")</f>
        <v/>
      </c>
      <c r="H75" s="64">
        <f>IFERROR(INDEX(tbl_Finance[Defer Start],$A75),"")</f>
        <v/>
      </c>
      <c r="I75" s="64">
        <f>IFERROR(INDEX(tbl_Finance[Defer End],$A75),"")</f>
        <v/>
      </c>
      <c r="J75" s="63">
        <f>IF(OR($H75="",$I75="",$G75=""),"",MAX(1,(YEAR($I75)-YEAR($H75))*12+MONTH($I75)-MONTH($H75)+1))</f>
        <v/>
      </c>
      <c r="K75" s="66">
        <f>IF($J75="","",$G75/$J75)</f>
        <v/>
      </c>
      <c r="L75" s="66">
        <f>IF($J75="",0,$K75*MAX(0,MIN(YEAR($C$3)*12+MONTH($C$3),YEAR($I75)*12+MONTH($I75))-(YEAR($H75)*12+MONTH($H75))+1))</f>
        <v/>
      </c>
      <c r="M75" s="66">
        <f>IF($J75="",0,$K75*MAX(0,MIN(YEAR($C$3)*12+MONTH($C$3)-1,YEAR($I75)*12+MONTH($I75))-(YEAR($H75)*12+MONTH($H75))+1))</f>
        <v/>
      </c>
      <c r="N75" s="66">
        <f>IF(OR($J75="",$B75=""),0,IF(YEAR($B75)*12+MONTH($B75)&lt;=YEAR($C$3)*12+MONTH($C$3),$G75,0))</f>
        <v/>
      </c>
      <c r="O75" s="66">
        <f>IF(OR($J75="",$B75=""),0,IF(YEAR($B75)*12+MONTH($B75)&lt;=YEAR($C$3)*12+MONTH($C$3)-1,$G75,0))</f>
        <v/>
      </c>
      <c r="P75" s="66">
        <f>$M75-$O75</f>
        <v/>
      </c>
      <c r="Q75" s="66">
        <f>($L75-$M75)-($N75-$O75)</f>
        <v/>
      </c>
      <c r="R75" s="66">
        <f>$L75-$N75</f>
        <v/>
      </c>
      <c r="S75" s="65">
        <f>"Finance invoice"</f>
        <v/>
      </c>
      <c r="T75" s="65">
        <f>"Revenue"</f>
        <v/>
      </c>
    </row>
    <row r="76">
      <c r="A76" s="63">
        <f>ROW()-5</f>
        <v/>
      </c>
      <c r="B76" s="64">
        <f>IFERROR(INDEX(tbl_Finance[Date],$A76),"")</f>
        <v/>
      </c>
      <c r="C76" s="65">
        <f>IFERROR(INDEX(tbl_Finance[Xero Invoice No],$A76),"")</f>
        <v/>
      </c>
      <c r="D76" s="65">
        <f>IFERROR(INDEX(tbl_Finance[Client],$A76),"")</f>
        <v/>
      </c>
      <c r="E76" s="65">
        <f>IFERROR(INDEX(tbl_Finance[Job Number],$A76),"")</f>
        <v/>
      </c>
      <c r="F76" s="65">
        <f>IFERROR(INDEX(tbl_Finance[Cost Centre],$A76),"")</f>
        <v/>
      </c>
      <c r="G76" s="66">
        <f>IFERROR(INDEX(tbl_Finance[Ex GST],$A76),"")</f>
        <v/>
      </c>
      <c r="H76" s="64">
        <f>IFERROR(INDEX(tbl_Finance[Defer Start],$A76),"")</f>
        <v/>
      </c>
      <c r="I76" s="64">
        <f>IFERROR(INDEX(tbl_Finance[Defer End],$A76),"")</f>
        <v/>
      </c>
      <c r="J76" s="63">
        <f>IF(OR($H76="",$I76="",$G76=""),"",MAX(1,(YEAR($I76)-YEAR($H76))*12+MONTH($I76)-MONTH($H76)+1))</f>
        <v/>
      </c>
      <c r="K76" s="66">
        <f>IF($J76="","",$G76/$J76)</f>
        <v/>
      </c>
      <c r="L76" s="66">
        <f>IF($J76="",0,$K76*MAX(0,MIN(YEAR($C$3)*12+MONTH($C$3),YEAR($I76)*12+MONTH($I76))-(YEAR($H76)*12+MONTH($H76))+1))</f>
        <v/>
      </c>
      <c r="M76" s="66">
        <f>IF($J76="",0,$K76*MAX(0,MIN(YEAR($C$3)*12+MONTH($C$3)-1,YEAR($I76)*12+MONTH($I76))-(YEAR($H76)*12+MONTH($H76))+1))</f>
        <v/>
      </c>
      <c r="N76" s="66">
        <f>IF(OR($J76="",$B76=""),0,IF(YEAR($B76)*12+MONTH($B76)&lt;=YEAR($C$3)*12+MONTH($C$3),$G76,0))</f>
        <v/>
      </c>
      <c r="O76" s="66">
        <f>IF(OR($J76="",$B76=""),0,IF(YEAR($B76)*12+MONTH($B76)&lt;=YEAR($C$3)*12+MONTH($C$3)-1,$G76,0))</f>
        <v/>
      </c>
      <c r="P76" s="66">
        <f>$M76-$O76</f>
        <v/>
      </c>
      <c r="Q76" s="66">
        <f>($L76-$M76)-($N76-$O76)</f>
        <v/>
      </c>
      <c r="R76" s="66">
        <f>$L76-$N76</f>
        <v/>
      </c>
      <c r="S76" s="65">
        <f>"Finance invoice"</f>
        <v/>
      </c>
      <c r="T76" s="65">
        <f>"Revenue"</f>
        <v/>
      </c>
    </row>
    <row r="77">
      <c r="A77" s="63">
        <f>ROW()-5</f>
        <v/>
      </c>
      <c r="B77" s="64">
        <f>IFERROR(INDEX(tbl_Finance[Date],$A77),"")</f>
        <v/>
      </c>
      <c r="C77" s="65">
        <f>IFERROR(INDEX(tbl_Finance[Xero Invoice No],$A77),"")</f>
        <v/>
      </c>
      <c r="D77" s="65">
        <f>IFERROR(INDEX(tbl_Finance[Client],$A77),"")</f>
        <v/>
      </c>
      <c r="E77" s="65">
        <f>IFERROR(INDEX(tbl_Finance[Job Number],$A77),"")</f>
        <v/>
      </c>
      <c r="F77" s="65">
        <f>IFERROR(INDEX(tbl_Finance[Cost Centre],$A77),"")</f>
        <v/>
      </c>
      <c r="G77" s="66">
        <f>IFERROR(INDEX(tbl_Finance[Ex GST],$A77),"")</f>
        <v/>
      </c>
      <c r="H77" s="64">
        <f>IFERROR(INDEX(tbl_Finance[Defer Start],$A77),"")</f>
        <v/>
      </c>
      <c r="I77" s="64">
        <f>IFERROR(INDEX(tbl_Finance[Defer End],$A77),"")</f>
        <v/>
      </c>
      <c r="J77" s="63">
        <f>IF(OR($H77="",$I77="",$G77=""),"",MAX(1,(YEAR($I77)-YEAR($H77))*12+MONTH($I77)-MONTH($H77)+1))</f>
        <v/>
      </c>
      <c r="K77" s="66">
        <f>IF($J77="","",$G77/$J77)</f>
        <v/>
      </c>
      <c r="L77" s="66">
        <f>IF($J77="",0,$K77*MAX(0,MIN(YEAR($C$3)*12+MONTH($C$3),YEAR($I77)*12+MONTH($I77))-(YEAR($H77)*12+MONTH($H77))+1))</f>
        <v/>
      </c>
      <c r="M77" s="66">
        <f>IF($J77="",0,$K77*MAX(0,MIN(YEAR($C$3)*12+MONTH($C$3)-1,YEAR($I77)*12+MONTH($I77))-(YEAR($H77)*12+MONTH($H77))+1))</f>
        <v/>
      </c>
      <c r="N77" s="66">
        <f>IF(OR($J77="",$B77=""),0,IF(YEAR($B77)*12+MONTH($B77)&lt;=YEAR($C$3)*12+MONTH($C$3),$G77,0))</f>
        <v/>
      </c>
      <c r="O77" s="66">
        <f>IF(OR($J77="",$B77=""),0,IF(YEAR($B77)*12+MONTH($B77)&lt;=YEAR($C$3)*12+MONTH($C$3)-1,$G77,0))</f>
        <v/>
      </c>
      <c r="P77" s="66">
        <f>$M77-$O77</f>
        <v/>
      </c>
      <c r="Q77" s="66">
        <f>($L77-$M77)-($N77-$O77)</f>
        <v/>
      </c>
      <c r="R77" s="66">
        <f>$L77-$N77</f>
        <v/>
      </c>
      <c r="S77" s="65">
        <f>"Finance invoice"</f>
        <v/>
      </c>
      <c r="T77" s="65">
        <f>"Revenue"</f>
        <v/>
      </c>
    </row>
    <row r="78">
      <c r="A78" s="63">
        <f>ROW()-5</f>
        <v/>
      </c>
      <c r="B78" s="64">
        <f>IFERROR(INDEX(tbl_Finance[Date],$A78),"")</f>
        <v/>
      </c>
      <c r="C78" s="65">
        <f>IFERROR(INDEX(tbl_Finance[Xero Invoice No],$A78),"")</f>
        <v/>
      </c>
      <c r="D78" s="65">
        <f>IFERROR(INDEX(tbl_Finance[Client],$A78),"")</f>
        <v/>
      </c>
      <c r="E78" s="65">
        <f>IFERROR(INDEX(tbl_Finance[Job Number],$A78),"")</f>
        <v/>
      </c>
      <c r="F78" s="65">
        <f>IFERROR(INDEX(tbl_Finance[Cost Centre],$A78),"")</f>
        <v/>
      </c>
      <c r="G78" s="66">
        <f>IFERROR(INDEX(tbl_Finance[Ex GST],$A78),"")</f>
        <v/>
      </c>
      <c r="H78" s="64">
        <f>IFERROR(INDEX(tbl_Finance[Defer Start],$A78),"")</f>
        <v/>
      </c>
      <c r="I78" s="64">
        <f>IFERROR(INDEX(tbl_Finance[Defer End],$A78),"")</f>
        <v/>
      </c>
      <c r="J78" s="63">
        <f>IF(OR($H78="",$I78="",$G78=""),"",MAX(1,(YEAR($I78)-YEAR($H78))*12+MONTH($I78)-MONTH($H78)+1))</f>
        <v/>
      </c>
      <c r="K78" s="66">
        <f>IF($J78="","",$G78/$J78)</f>
        <v/>
      </c>
      <c r="L78" s="66">
        <f>IF($J78="",0,$K78*MAX(0,MIN(YEAR($C$3)*12+MONTH($C$3),YEAR($I78)*12+MONTH($I78))-(YEAR($H78)*12+MONTH($H78))+1))</f>
        <v/>
      </c>
      <c r="M78" s="66">
        <f>IF($J78="",0,$K78*MAX(0,MIN(YEAR($C$3)*12+MONTH($C$3)-1,YEAR($I78)*12+MONTH($I78))-(YEAR($H78)*12+MONTH($H78))+1))</f>
        <v/>
      </c>
      <c r="N78" s="66">
        <f>IF(OR($J78="",$B78=""),0,IF(YEAR($B78)*12+MONTH($B78)&lt;=YEAR($C$3)*12+MONTH($C$3),$G78,0))</f>
        <v/>
      </c>
      <c r="O78" s="66">
        <f>IF(OR($J78="",$B78=""),0,IF(YEAR($B78)*12+MONTH($B78)&lt;=YEAR($C$3)*12+MONTH($C$3)-1,$G78,0))</f>
        <v/>
      </c>
      <c r="P78" s="66">
        <f>$M78-$O78</f>
        <v/>
      </c>
      <c r="Q78" s="66">
        <f>($L78-$M78)-($N78-$O78)</f>
        <v/>
      </c>
      <c r="R78" s="66">
        <f>$L78-$N78</f>
        <v/>
      </c>
      <c r="S78" s="65">
        <f>"Finance invoice"</f>
        <v/>
      </c>
      <c r="T78" s="65">
        <f>"Revenue"</f>
        <v/>
      </c>
    </row>
    <row r="79">
      <c r="A79" s="63">
        <f>ROW()-5</f>
        <v/>
      </c>
      <c r="B79" s="64">
        <f>IFERROR(INDEX(tbl_Finance[Date],$A79),"")</f>
        <v/>
      </c>
      <c r="C79" s="65">
        <f>IFERROR(INDEX(tbl_Finance[Xero Invoice No],$A79),"")</f>
        <v/>
      </c>
      <c r="D79" s="65">
        <f>IFERROR(INDEX(tbl_Finance[Client],$A79),"")</f>
        <v/>
      </c>
      <c r="E79" s="65">
        <f>IFERROR(INDEX(tbl_Finance[Job Number],$A79),"")</f>
        <v/>
      </c>
      <c r="F79" s="65">
        <f>IFERROR(INDEX(tbl_Finance[Cost Centre],$A79),"")</f>
        <v/>
      </c>
      <c r="G79" s="66">
        <f>IFERROR(INDEX(tbl_Finance[Ex GST],$A79),"")</f>
        <v/>
      </c>
      <c r="H79" s="64">
        <f>IFERROR(INDEX(tbl_Finance[Defer Start],$A79),"")</f>
        <v/>
      </c>
      <c r="I79" s="64">
        <f>IFERROR(INDEX(tbl_Finance[Defer End],$A79),"")</f>
        <v/>
      </c>
      <c r="J79" s="63">
        <f>IF(OR($H79="",$I79="",$G79=""),"",MAX(1,(YEAR($I79)-YEAR($H79))*12+MONTH($I79)-MONTH($H79)+1))</f>
        <v/>
      </c>
      <c r="K79" s="66">
        <f>IF($J79="","",$G79/$J79)</f>
        <v/>
      </c>
      <c r="L79" s="66">
        <f>IF($J79="",0,$K79*MAX(0,MIN(YEAR($C$3)*12+MONTH($C$3),YEAR($I79)*12+MONTH($I79))-(YEAR($H79)*12+MONTH($H79))+1))</f>
        <v/>
      </c>
      <c r="M79" s="66">
        <f>IF($J79="",0,$K79*MAX(0,MIN(YEAR($C$3)*12+MONTH($C$3)-1,YEAR($I79)*12+MONTH($I79))-(YEAR($H79)*12+MONTH($H79))+1))</f>
        <v/>
      </c>
      <c r="N79" s="66">
        <f>IF(OR($J79="",$B79=""),0,IF(YEAR($B79)*12+MONTH($B79)&lt;=YEAR($C$3)*12+MONTH($C$3),$G79,0))</f>
        <v/>
      </c>
      <c r="O79" s="66">
        <f>IF(OR($J79="",$B79=""),0,IF(YEAR($B79)*12+MONTH($B79)&lt;=YEAR($C$3)*12+MONTH($C$3)-1,$G79,0))</f>
        <v/>
      </c>
      <c r="P79" s="66">
        <f>$M79-$O79</f>
        <v/>
      </c>
      <c r="Q79" s="66">
        <f>($L79-$M79)-($N79-$O79)</f>
        <v/>
      </c>
      <c r="R79" s="66">
        <f>$L79-$N79</f>
        <v/>
      </c>
      <c r="S79" s="65">
        <f>"Finance invoice"</f>
        <v/>
      </c>
      <c r="T79" s="65">
        <f>"Revenue"</f>
        <v/>
      </c>
    </row>
    <row r="80">
      <c r="A80" s="63">
        <f>ROW()-5</f>
        <v/>
      </c>
      <c r="B80" s="64">
        <f>IFERROR(INDEX(tbl_Finance[Date],$A80),"")</f>
        <v/>
      </c>
      <c r="C80" s="65">
        <f>IFERROR(INDEX(tbl_Finance[Xero Invoice No],$A80),"")</f>
        <v/>
      </c>
      <c r="D80" s="65">
        <f>IFERROR(INDEX(tbl_Finance[Client],$A80),"")</f>
        <v/>
      </c>
      <c r="E80" s="65">
        <f>IFERROR(INDEX(tbl_Finance[Job Number],$A80),"")</f>
        <v/>
      </c>
      <c r="F80" s="65">
        <f>IFERROR(INDEX(tbl_Finance[Cost Centre],$A80),"")</f>
        <v/>
      </c>
      <c r="G80" s="66">
        <f>IFERROR(INDEX(tbl_Finance[Ex GST],$A80),"")</f>
        <v/>
      </c>
      <c r="H80" s="64">
        <f>IFERROR(INDEX(tbl_Finance[Defer Start],$A80),"")</f>
        <v/>
      </c>
      <c r="I80" s="64">
        <f>IFERROR(INDEX(tbl_Finance[Defer End],$A80),"")</f>
        <v/>
      </c>
      <c r="J80" s="63">
        <f>IF(OR($H80="",$I80="",$G80=""),"",MAX(1,(YEAR($I80)-YEAR($H80))*12+MONTH($I80)-MONTH($H80)+1))</f>
        <v/>
      </c>
      <c r="K80" s="66">
        <f>IF($J80="","",$G80/$J80)</f>
        <v/>
      </c>
      <c r="L80" s="66">
        <f>IF($J80="",0,$K80*MAX(0,MIN(YEAR($C$3)*12+MONTH($C$3),YEAR($I80)*12+MONTH($I80))-(YEAR($H80)*12+MONTH($H80))+1))</f>
        <v/>
      </c>
      <c r="M80" s="66">
        <f>IF($J80="",0,$K80*MAX(0,MIN(YEAR($C$3)*12+MONTH($C$3)-1,YEAR($I80)*12+MONTH($I80))-(YEAR($H80)*12+MONTH($H80))+1))</f>
        <v/>
      </c>
      <c r="N80" s="66">
        <f>IF(OR($J80="",$B80=""),0,IF(YEAR($B80)*12+MONTH($B80)&lt;=YEAR($C$3)*12+MONTH($C$3),$G80,0))</f>
        <v/>
      </c>
      <c r="O80" s="66">
        <f>IF(OR($J80="",$B80=""),0,IF(YEAR($B80)*12+MONTH($B80)&lt;=YEAR($C$3)*12+MONTH($C$3)-1,$G80,0))</f>
        <v/>
      </c>
      <c r="P80" s="66">
        <f>$M80-$O80</f>
        <v/>
      </c>
      <c r="Q80" s="66">
        <f>($L80-$M80)-($N80-$O80)</f>
        <v/>
      </c>
      <c r="R80" s="66">
        <f>$L80-$N80</f>
        <v/>
      </c>
      <c r="S80" s="65">
        <f>"Finance invoice"</f>
        <v/>
      </c>
      <c r="T80" s="65">
        <f>"Revenue"</f>
        <v/>
      </c>
    </row>
    <row r="81">
      <c r="A81" s="63">
        <f>ROW()-5</f>
        <v/>
      </c>
      <c r="B81" s="64">
        <f>IFERROR(INDEX(tbl_Finance[Date],$A81),"")</f>
        <v/>
      </c>
      <c r="C81" s="65">
        <f>IFERROR(INDEX(tbl_Finance[Xero Invoice No],$A81),"")</f>
        <v/>
      </c>
      <c r="D81" s="65">
        <f>IFERROR(INDEX(tbl_Finance[Client],$A81),"")</f>
        <v/>
      </c>
      <c r="E81" s="65">
        <f>IFERROR(INDEX(tbl_Finance[Job Number],$A81),"")</f>
        <v/>
      </c>
      <c r="F81" s="65">
        <f>IFERROR(INDEX(tbl_Finance[Cost Centre],$A81),"")</f>
        <v/>
      </c>
      <c r="G81" s="66">
        <f>IFERROR(INDEX(tbl_Finance[Ex GST],$A81),"")</f>
        <v/>
      </c>
      <c r="H81" s="64">
        <f>IFERROR(INDEX(tbl_Finance[Defer Start],$A81),"")</f>
        <v/>
      </c>
      <c r="I81" s="64">
        <f>IFERROR(INDEX(tbl_Finance[Defer End],$A81),"")</f>
        <v/>
      </c>
      <c r="J81" s="63">
        <f>IF(OR($H81="",$I81="",$G81=""),"",MAX(1,(YEAR($I81)-YEAR($H81))*12+MONTH($I81)-MONTH($H81)+1))</f>
        <v/>
      </c>
      <c r="K81" s="66">
        <f>IF($J81="","",$G81/$J81)</f>
        <v/>
      </c>
      <c r="L81" s="66">
        <f>IF($J81="",0,$K81*MAX(0,MIN(YEAR($C$3)*12+MONTH($C$3),YEAR($I81)*12+MONTH($I81))-(YEAR($H81)*12+MONTH($H81))+1))</f>
        <v/>
      </c>
      <c r="M81" s="66">
        <f>IF($J81="",0,$K81*MAX(0,MIN(YEAR($C$3)*12+MONTH($C$3)-1,YEAR($I81)*12+MONTH($I81))-(YEAR($H81)*12+MONTH($H81))+1))</f>
        <v/>
      </c>
      <c r="N81" s="66">
        <f>IF(OR($J81="",$B81=""),0,IF(YEAR($B81)*12+MONTH($B81)&lt;=YEAR($C$3)*12+MONTH($C$3),$G81,0))</f>
        <v/>
      </c>
      <c r="O81" s="66">
        <f>IF(OR($J81="",$B81=""),0,IF(YEAR($B81)*12+MONTH($B81)&lt;=YEAR($C$3)*12+MONTH($C$3)-1,$G81,0))</f>
        <v/>
      </c>
      <c r="P81" s="66">
        <f>$M81-$O81</f>
        <v/>
      </c>
      <c r="Q81" s="66">
        <f>($L81-$M81)-($N81-$O81)</f>
        <v/>
      </c>
      <c r="R81" s="66">
        <f>$L81-$N81</f>
        <v/>
      </c>
      <c r="S81" s="65">
        <f>"Finance invoice"</f>
        <v/>
      </c>
      <c r="T81" s="65">
        <f>"Revenue"</f>
        <v/>
      </c>
    </row>
    <row r="82">
      <c r="A82" s="63">
        <f>ROW()-5</f>
        <v/>
      </c>
      <c r="B82" s="64">
        <f>IFERROR(INDEX(tbl_Finance[Date],$A82),"")</f>
        <v/>
      </c>
      <c r="C82" s="65">
        <f>IFERROR(INDEX(tbl_Finance[Xero Invoice No],$A82),"")</f>
        <v/>
      </c>
      <c r="D82" s="65">
        <f>IFERROR(INDEX(tbl_Finance[Client],$A82),"")</f>
        <v/>
      </c>
      <c r="E82" s="65">
        <f>IFERROR(INDEX(tbl_Finance[Job Number],$A82),"")</f>
        <v/>
      </c>
      <c r="F82" s="65">
        <f>IFERROR(INDEX(tbl_Finance[Cost Centre],$A82),"")</f>
        <v/>
      </c>
      <c r="G82" s="66">
        <f>IFERROR(INDEX(tbl_Finance[Ex GST],$A82),"")</f>
        <v/>
      </c>
      <c r="H82" s="64">
        <f>IFERROR(INDEX(tbl_Finance[Defer Start],$A82),"")</f>
        <v/>
      </c>
      <c r="I82" s="64">
        <f>IFERROR(INDEX(tbl_Finance[Defer End],$A82),"")</f>
        <v/>
      </c>
      <c r="J82" s="63">
        <f>IF(OR($H82="",$I82="",$G82=""),"",MAX(1,(YEAR($I82)-YEAR($H82))*12+MONTH($I82)-MONTH($H82)+1))</f>
        <v/>
      </c>
      <c r="K82" s="66">
        <f>IF($J82="","",$G82/$J82)</f>
        <v/>
      </c>
      <c r="L82" s="66">
        <f>IF($J82="",0,$K82*MAX(0,MIN(YEAR($C$3)*12+MONTH($C$3),YEAR($I82)*12+MONTH($I82))-(YEAR($H82)*12+MONTH($H82))+1))</f>
        <v/>
      </c>
      <c r="M82" s="66">
        <f>IF($J82="",0,$K82*MAX(0,MIN(YEAR($C$3)*12+MONTH($C$3)-1,YEAR($I82)*12+MONTH($I82))-(YEAR($H82)*12+MONTH($H82))+1))</f>
        <v/>
      </c>
      <c r="N82" s="66">
        <f>IF(OR($J82="",$B82=""),0,IF(YEAR($B82)*12+MONTH($B82)&lt;=YEAR($C$3)*12+MONTH($C$3),$G82,0))</f>
        <v/>
      </c>
      <c r="O82" s="66">
        <f>IF(OR($J82="",$B82=""),0,IF(YEAR($B82)*12+MONTH($B82)&lt;=YEAR($C$3)*12+MONTH($C$3)-1,$G82,0))</f>
        <v/>
      </c>
      <c r="P82" s="66">
        <f>$M82-$O82</f>
        <v/>
      </c>
      <c r="Q82" s="66">
        <f>($L82-$M82)-($N82-$O82)</f>
        <v/>
      </c>
      <c r="R82" s="66">
        <f>$L82-$N82</f>
        <v/>
      </c>
      <c r="S82" s="65">
        <f>"Finance invoice"</f>
        <v/>
      </c>
      <c r="T82" s="65">
        <f>"Revenue"</f>
        <v/>
      </c>
    </row>
    <row r="83">
      <c r="A83" s="63">
        <f>ROW()-5</f>
        <v/>
      </c>
      <c r="B83" s="64">
        <f>IFERROR(INDEX(tbl_Finance[Date],$A83),"")</f>
        <v/>
      </c>
      <c r="C83" s="65">
        <f>IFERROR(INDEX(tbl_Finance[Xero Invoice No],$A83),"")</f>
        <v/>
      </c>
      <c r="D83" s="65">
        <f>IFERROR(INDEX(tbl_Finance[Client],$A83),"")</f>
        <v/>
      </c>
      <c r="E83" s="65">
        <f>IFERROR(INDEX(tbl_Finance[Job Number],$A83),"")</f>
        <v/>
      </c>
      <c r="F83" s="65">
        <f>IFERROR(INDEX(tbl_Finance[Cost Centre],$A83),"")</f>
        <v/>
      </c>
      <c r="G83" s="66">
        <f>IFERROR(INDEX(tbl_Finance[Ex GST],$A83),"")</f>
        <v/>
      </c>
      <c r="H83" s="64">
        <f>IFERROR(INDEX(tbl_Finance[Defer Start],$A83),"")</f>
        <v/>
      </c>
      <c r="I83" s="64">
        <f>IFERROR(INDEX(tbl_Finance[Defer End],$A83),"")</f>
        <v/>
      </c>
      <c r="J83" s="63">
        <f>IF(OR($H83="",$I83="",$G83=""),"",MAX(1,(YEAR($I83)-YEAR($H83))*12+MONTH($I83)-MONTH($H83)+1))</f>
        <v/>
      </c>
      <c r="K83" s="66">
        <f>IF($J83="","",$G83/$J83)</f>
        <v/>
      </c>
      <c r="L83" s="66">
        <f>IF($J83="",0,$K83*MAX(0,MIN(YEAR($C$3)*12+MONTH($C$3),YEAR($I83)*12+MONTH($I83))-(YEAR($H83)*12+MONTH($H83))+1))</f>
        <v/>
      </c>
      <c r="M83" s="66">
        <f>IF($J83="",0,$K83*MAX(0,MIN(YEAR($C$3)*12+MONTH($C$3)-1,YEAR($I83)*12+MONTH($I83))-(YEAR($H83)*12+MONTH($H83))+1))</f>
        <v/>
      </c>
      <c r="N83" s="66">
        <f>IF(OR($J83="",$B83=""),0,IF(YEAR($B83)*12+MONTH($B83)&lt;=YEAR($C$3)*12+MONTH($C$3),$G83,0))</f>
        <v/>
      </c>
      <c r="O83" s="66">
        <f>IF(OR($J83="",$B83=""),0,IF(YEAR($B83)*12+MONTH($B83)&lt;=YEAR($C$3)*12+MONTH($C$3)-1,$G83,0))</f>
        <v/>
      </c>
      <c r="P83" s="66">
        <f>$M83-$O83</f>
        <v/>
      </c>
      <c r="Q83" s="66">
        <f>($L83-$M83)-($N83-$O83)</f>
        <v/>
      </c>
      <c r="R83" s="66">
        <f>$L83-$N83</f>
        <v/>
      </c>
      <c r="S83" s="65">
        <f>"Finance invoice"</f>
        <v/>
      </c>
      <c r="T83" s="65">
        <f>"Revenue"</f>
        <v/>
      </c>
    </row>
    <row r="84">
      <c r="A84" s="63">
        <f>ROW()-5</f>
        <v/>
      </c>
      <c r="B84" s="64">
        <f>IFERROR(INDEX(tbl_Finance[Date],$A84),"")</f>
        <v/>
      </c>
      <c r="C84" s="65">
        <f>IFERROR(INDEX(tbl_Finance[Xero Invoice No],$A84),"")</f>
        <v/>
      </c>
      <c r="D84" s="65">
        <f>IFERROR(INDEX(tbl_Finance[Client],$A84),"")</f>
        <v/>
      </c>
      <c r="E84" s="65">
        <f>IFERROR(INDEX(tbl_Finance[Job Number],$A84),"")</f>
        <v/>
      </c>
      <c r="F84" s="65">
        <f>IFERROR(INDEX(tbl_Finance[Cost Centre],$A84),"")</f>
        <v/>
      </c>
      <c r="G84" s="66">
        <f>IFERROR(INDEX(tbl_Finance[Ex GST],$A84),"")</f>
        <v/>
      </c>
      <c r="H84" s="64">
        <f>IFERROR(INDEX(tbl_Finance[Defer Start],$A84),"")</f>
        <v/>
      </c>
      <c r="I84" s="64">
        <f>IFERROR(INDEX(tbl_Finance[Defer End],$A84),"")</f>
        <v/>
      </c>
      <c r="J84" s="63">
        <f>IF(OR($H84="",$I84="",$G84=""),"",MAX(1,(YEAR($I84)-YEAR($H84))*12+MONTH($I84)-MONTH($H84)+1))</f>
        <v/>
      </c>
      <c r="K84" s="66">
        <f>IF($J84="","",$G84/$J84)</f>
        <v/>
      </c>
      <c r="L84" s="66">
        <f>IF($J84="",0,$K84*MAX(0,MIN(YEAR($C$3)*12+MONTH($C$3),YEAR($I84)*12+MONTH($I84))-(YEAR($H84)*12+MONTH($H84))+1))</f>
        <v/>
      </c>
      <c r="M84" s="66">
        <f>IF($J84="",0,$K84*MAX(0,MIN(YEAR($C$3)*12+MONTH($C$3)-1,YEAR($I84)*12+MONTH($I84))-(YEAR($H84)*12+MONTH($H84))+1))</f>
        <v/>
      </c>
      <c r="N84" s="66">
        <f>IF(OR($J84="",$B84=""),0,IF(YEAR($B84)*12+MONTH($B84)&lt;=YEAR($C$3)*12+MONTH($C$3),$G84,0))</f>
        <v/>
      </c>
      <c r="O84" s="66">
        <f>IF(OR($J84="",$B84=""),0,IF(YEAR($B84)*12+MONTH($B84)&lt;=YEAR($C$3)*12+MONTH($C$3)-1,$G84,0))</f>
        <v/>
      </c>
      <c r="P84" s="66">
        <f>$M84-$O84</f>
        <v/>
      </c>
      <c r="Q84" s="66">
        <f>($L84-$M84)-($N84-$O84)</f>
        <v/>
      </c>
      <c r="R84" s="66">
        <f>$L84-$N84</f>
        <v/>
      </c>
      <c r="S84" s="65">
        <f>"Finance invoice"</f>
        <v/>
      </c>
      <c r="T84" s="65">
        <f>"Revenue"</f>
        <v/>
      </c>
    </row>
    <row r="85">
      <c r="A85" s="63">
        <f>ROW()-5</f>
        <v/>
      </c>
      <c r="B85" s="64">
        <f>IFERROR(INDEX(tbl_Finance[Date],$A85),"")</f>
        <v/>
      </c>
      <c r="C85" s="65">
        <f>IFERROR(INDEX(tbl_Finance[Xero Invoice No],$A85),"")</f>
        <v/>
      </c>
      <c r="D85" s="65">
        <f>IFERROR(INDEX(tbl_Finance[Client],$A85),"")</f>
        <v/>
      </c>
      <c r="E85" s="65">
        <f>IFERROR(INDEX(tbl_Finance[Job Number],$A85),"")</f>
        <v/>
      </c>
      <c r="F85" s="65">
        <f>IFERROR(INDEX(tbl_Finance[Cost Centre],$A85),"")</f>
        <v/>
      </c>
      <c r="G85" s="66">
        <f>IFERROR(INDEX(tbl_Finance[Ex GST],$A85),"")</f>
        <v/>
      </c>
      <c r="H85" s="64">
        <f>IFERROR(INDEX(tbl_Finance[Defer Start],$A85),"")</f>
        <v/>
      </c>
      <c r="I85" s="64">
        <f>IFERROR(INDEX(tbl_Finance[Defer End],$A85),"")</f>
        <v/>
      </c>
      <c r="J85" s="63">
        <f>IF(OR($H85="",$I85="",$G85=""),"",MAX(1,(YEAR($I85)-YEAR($H85))*12+MONTH($I85)-MONTH($H85)+1))</f>
        <v/>
      </c>
      <c r="K85" s="66">
        <f>IF($J85="","",$G85/$J85)</f>
        <v/>
      </c>
      <c r="L85" s="66">
        <f>IF($J85="",0,$K85*MAX(0,MIN(YEAR($C$3)*12+MONTH($C$3),YEAR($I85)*12+MONTH($I85))-(YEAR($H85)*12+MONTH($H85))+1))</f>
        <v/>
      </c>
      <c r="M85" s="66">
        <f>IF($J85="",0,$K85*MAX(0,MIN(YEAR($C$3)*12+MONTH($C$3)-1,YEAR($I85)*12+MONTH($I85))-(YEAR($H85)*12+MONTH($H85))+1))</f>
        <v/>
      </c>
      <c r="N85" s="66">
        <f>IF(OR($J85="",$B85=""),0,IF(YEAR($B85)*12+MONTH($B85)&lt;=YEAR($C$3)*12+MONTH($C$3),$G85,0))</f>
        <v/>
      </c>
      <c r="O85" s="66">
        <f>IF(OR($J85="",$B85=""),0,IF(YEAR($B85)*12+MONTH($B85)&lt;=YEAR($C$3)*12+MONTH($C$3)-1,$G85,0))</f>
        <v/>
      </c>
      <c r="P85" s="66">
        <f>$M85-$O85</f>
        <v/>
      </c>
      <c r="Q85" s="66">
        <f>($L85-$M85)-($N85-$O85)</f>
        <v/>
      </c>
      <c r="R85" s="66">
        <f>$L85-$N85</f>
        <v/>
      </c>
      <c r="S85" s="65">
        <f>"Finance invoice"</f>
        <v/>
      </c>
      <c r="T85" s="65">
        <f>"Revenue"</f>
        <v/>
      </c>
    </row>
    <row r="86">
      <c r="A86" s="63">
        <f>ROW()-5</f>
        <v/>
      </c>
      <c r="B86" s="64">
        <f>IFERROR(INDEX(tbl_Finance[Date],$A86),"")</f>
        <v/>
      </c>
      <c r="C86" s="65">
        <f>IFERROR(INDEX(tbl_Finance[Xero Invoice No],$A86),"")</f>
        <v/>
      </c>
      <c r="D86" s="65">
        <f>IFERROR(INDEX(tbl_Finance[Client],$A86),"")</f>
        <v/>
      </c>
      <c r="E86" s="65">
        <f>IFERROR(INDEX(tbl_Finance[Job Number],$A86),"")</f>
        <v/>
      </c>
      <c r="F86" s="65">
        <f>IFERROR(INDEX(tbl_Finance[Cost Centre],$A86),"")</f>
        <v/>
      </c>
      <c r="G86" s="66">
        <f>IFERROR(INDEX(tbl_Finance[Ex GST],$A86),"")</f>
        <v/>
      </c>
      <c r="H86" s="64">
        <f>IFERROR(INDEX(tbl_Finance[Defer Start],$A86),"")</f>
        <v/>
      </c>
      <c r="I86" s="64">
        <f>IFERROR(INDEX(tbl_Finance[Defer End],$A86),"")</f>
        <v/>
      </c>
      <c r="J86" s="63">
        <f>IF(OR($H86="",$I86="",$G86=""),"",MAX(1,(YEAR($I86)-YEAR($H86))*12+MONTH($I86)-MONTH($H86)+1))</f>
        <v/>
      </c>
      <c r="K86" s="66">
        <f>IF($J86="","",$G86/$J86)</f>
        <v/>
      </c>
      <c r="L86" s="66">
        <f>IF($J86="",0,$K86*MAX(0,MIN(YEAR($C$3)*12+MONTH($C$3),YEAR($I86)*12+MONTH($I86))-(YEAR($H86)*12+MONTH($H86))+1))</f>
        <v/>
      </c>
      <c r="M86" s="66">
        <f>IF($J86="",0,$K86*MAX(0,MIN(YEAR($C$3)*12+MONTH($C$3)-1,YEAR($I86)*12+MONTH($I86))-(YEAR($H86)*12+MONTH($H86))+1))</f>
        <v/>
      </c>
      <c r="N86" s="66">
        <f>IF(OR($J86="",$B86=""),0,IF(YEAR($B86)*12+MONTH($B86)&lt;=YEAR($C$3)*12+MONTH($C$3),$G86,0))</f>
        <v/>
      </c>
      <c r="O86" s="66">
        <f>IF(OR($J86="",$B86=""),0,IF(YEAR($B86)*12+MONTH($B86)&lt;=YEAR($C$3)*12+MONTH($C$3)-1,$G86,0))</f>
        <v/>
      </c>
      <c r="P86" s="66">
        <f>$M86-$O86</f>
        <v/>
      </c>
      <c r="Q86" s="66">
        <f>($L86-$M86)-($N86-$O86)</f>
        <v/>
      </c>
      <c r="R86" s="66">
        <f>$L86-$N86</f>
        <v/>
      </c>
      <c r="S86" s="65">
        <f>"Finance invoice"</f>
        <v/>
      </c>
      <c r="T86" s="65">
        <f>"Revenue"</f>
        <v/>
      </c>
    </row>
    <row r="87">
      <c r="A87" s="63">
        <f>ROW()-5</f>
        <v/>
      </c>
      <c r="B87" s="64">
        <f>IFERROR(INDEX(tbl_Finance[Date],$A87),"")</f>
        <v/>
      </c>
      <c r="C87" s="65">
        <f>IFERROR(INDEX(tbl_Finance[Xero Invoice No],$A87),"")</f>
        <v/>
      </c>
      <c r="D87" s="65">
        <f>IFERROR(INDEX(tbl_Finance[Client],$A87),"")</f>
        <v/>
      </c>
      <c r="E87" s="65">
        <f>IFERROR(INDEX(tbl_Finance[Job Number],$A87),"")</f>
        <v/>
      </c>
      <c r="F87" s="65">
        <f>IFERROR(INDEX(tbl_Finance[Cost Centre],$A87),"")</f>
        <v/>
      </c>
      <c r="G87" s="66">
        <f>IFERROR(INDEX(tbl_Finance[Ex GST],$A87),"")</f>
        <v/>
      </c>
      <c r="H87" s="64">
        <f>IFERROR(INDEX(tbl_Finance[Defer Start],$A87),"")</f>
        <v/>
      </c>
      <c r="I87" s="64">
        <f>IFERROR(INDEX(tbl_Finance[Defer End],$A87),"")</f>
        <v/>
      </c>
      <c r="J87" s="63">
        <f>IF(OR($H87="",$I87="",$G87=""),"",MAX(1,(YEAR($I87)-YEAR($H87))*12+MONTH($I87)-MONTH($H87)+1))</f>
        <v/>
      </c>
      <c r="K87" s="66">
        <f>IF($J87="","",$G87/$J87)</f>
        <v/>
      </c>
      <c r="L87" s="66">
        <f>IF($J87="",0,$K87*MAX(0,MIN(YEAR($C$3)*12+MONTH($C$3),YEAR($I87)*12+MONTH($I87))-(YEAR($H87)*12+MONTH($H87))+1))</f>
        <v/>
      </c>
      <c r="M87" s="66">
        <f>IF($J87="",0,$K87*MAX(0,MIN(YEAR($C$3)*12+MONTH($C$3)-1,YEAR($I87)*12+MONTH($I87))-(YEAR($H87)*12+MONTH($H87))+1))</f>
        <v/>
      </c>
      <c r="N87" s="66">
        <f>IF(OR($J87="",$B87=""),0,IF(YEAR($B87)*12+MONTH($B87)&lt;=YEAR($C$3)*12+MONTH($C$3),$G87,0))</f>
        <v/>
      </c>
      <c r="O87" s="66">
        <f>IF(OR($J87="",$B87=""),0,IF(YEAR($B87)*12+MONTH($B87)&lt;=YEAR($C$3)*12+MONTH($C$3)-1,$G87,0))</f>
        <v/>
      </c>
      <c r="P87" s="66">
        <f>$M87-$O87</f>
        <v/>
      </c>
      <c r="Q87" s="66">
        <f>($L87-$M87)-($N87-$O87)</f>
        <v/>
      </c>
      <c r="R87" s="66">
        <f>$L87-$N87</f>
        <v/>
      </c>
      <c r="S87" s="65">
        <f>"Finance invoice"</f>
        <v/>
      </c>
      <c r="T87" s="65">
        <f>"Revenue"</f>
        <v/>
      </c>
    </row>
    <row r="88">
      <c r="A88" s="63">
        <f>ROW()-5</f>
        <v/>
      </c>
      <c r="B88" s="64">
        <f>IFERROR(INDEX(tbl_Finance[Date],$A88),"")</f>
        <v/>
      </c>
      <c r="C88" s="65">
        <f>IFERROR(INDEX(tbl_Finance[Xero Invoice No],$A88),"")</f>
        <v/>
      </c>
      <c r="D88" s="65">
        <f>IFERROR(INDEX(tbl_Finance[Client],$A88),"")</f>
        <v/>
      </c>
      <c r="E88" s="65">
        <f>IFERROR(INDEX(tbl_Finance[Job Number],$A88),"")</f>
        <v/>
      </c>
      <c r="F88" s="65">
        <f>IFERROR(INDEX(tbl_Finance[Cost Centre],$A88),"")</f>
        <v/>
      </c>
      <c r="G88" s="66">
        <f>IFERROR(INDEX(tbl_Finance[Ex GST],$A88),"")</f>
        <v/>
      </c>
      <c r="H88" s="64">
        <f>IFERROR(INDEX(tbl_Finance[Defer Start],$A88),"")</f>
        <v/>
      </c>
      <c r="I88" s="64">
        <f>IFERROR(INDEX(tbl_Finance[Defer End],$A88),"")</f>
        <v/>
      </c>
      <c r="J88" s="63">
        <f>IF(OR($H88="",$I88="",$G88=""),"",MAX(1,(YEAR($I88)-YEAR($H88))*12+MONTH($I88)-MONTH($H88)+1))</f>
        <v/>
      </c>
      <c r="K88" s="66">
        <f>IF($J88="","",$G88/$J88)</f>
        <v/>
      </c>
      <c r="L88" s="66">
        <f>IF($J88="",0,$K88*MAX(0,MIN(YEAR($C$3)*12+MONTH($C$3),YEAR($I88)*12+MONTH($I88))-(YEAR($H88)*12+MONTH($H88))+1))</f>
        <v/>
      </c>
      <c r="M88" s="66">
        <f>IF($J88="",0,$K88*MAX(0,MIN(YEAR($C$3)*12+MONTH($C$3)-1,YEAR($I88)*12+MONTH($I88))-(YEAR($H88)*12+MONTH($H88))+1))</f>
        <v/>
      </c>
      <c r="N88" s="66">
        <f>IF(OR($J88="",$B88=""),0,IF(YEAR($B88)*12+MONTH($B88)&lt;=YEAR($C$3)*12+MONTH($C$3),$G88,0))</f>
        <v/>
      </c>
      <c r="O88" s="66">
        <f>IF(OR($J88="",$B88=""),0,IF(YEAR($B88)*12+MONTH($B88)&lt;=YEAR($C$3)*12+MONTH($C$3)-1,$G88,0))</f>
        <v/>
      </c>
      <c r="P88" s="66">
        <f>$M88-$O88</f>
        <v/>
      </c>
      <c r="Q88" s="66">
        <f>($L88-$M88)-($N88-$O88)</f>
        <v/>
      </c>
      <c r="R88" s="66">
        <f>$L88-$N88</f>
        <v/>
      </c>
      <c r="S88" s="65">
        <f>"Finance invoice"</f>
        <v/>
      </c>
      <c r="T88" s="65">
        <f>"Revenue"</f>
        <v/>
      </c>
    </row>
    <row r="89">
      <c r="A89" s="63">
        <f>ROW()-5</f>
        <v/>
      </c>
      <c r="B89" s="64">
        <f>IFERROR(INDEX(tbl_Finance[Date],$A89),"")</f>
        <v/>
      </c>
      <c r="C89" s="65">
        <f>IFERROR(INDEX(tbl_Finance[Xero Invoice No],$A89),"")</f>
        <v/>
      </c>
      <c r="D89" s="65">
        <f>IFERROR(INDEX(tbl_Finance[Client],$A89),"")</f>
        <v/>
      </c>
      <c r="E89" s="65">
        <f>IFERROR(INDEX(tbl_Finance[Job Number],$A89),"")</f>
        <v/>
      </c>
      <c r="F89" s="65">
        <f>IFERROR(INDEX(tbl_Finance[Cost Centre],$A89),"")</f>
        <v/>
      </c>
      <c r="G89" s="66">
        <f>IFERROR(INDEX(tbl_Finance[Ex GST],$A89),"")</f>
        <v/>
      </c>
      <c r="H89" s="64">
        <f>IFERROR(INDEX(tbl_Finance[Defer Start],$A89),"")</f>
        <v/>
      </c>
      <c r="I89" s="64">
        <f>IFERROR(INDEX(tbl_Finance[Defer End],$A89),"")</f>
        <v/>
      </c>
      <c r="J89" s="63">
        <f>IF(OR($H89="",$I89="",$G89=""),"",MAX(1,(YEAR($I89)-YEAR($H89))*12+MONTH($I89)-MONTH($H89)+1))</f>
        <v/>
      </c>
      <c r="K89" s="66">
        <f>IF($J89="","",$G89/$J89)</f>
        <v/>
      </c>
      <c r="L89" s="66">
        <f>IF($J89="",0,$K89*MAX(0,MIN(YEAR($C$3)*12+MONTH($C$3),YEAR($I89)*12+MONTH($I89))-(YEAR($H89)*12+MONTH($H89))+1))</f>
        <v/>
      </c>
      <c r="M89" s="66">
        <f>IF($J89="",0,$K89*MAX(0,MIN(YEAR($C$3)*12+MONTH($C$3)-1,YEAR($I89)*12+MONTH($I89))-(YEAR($H89)*12+MONTH($H89))+1))</f>
        <v/>
      </c>
      <c r="N89" s="66">
        <f>IF(OR($J89="",$B89=""),0,IF(YEAR($B89)*12+MONTH($B89)&lt;=YEAR($C$3)*12+MONTH($C$3),$G89,0))</f>
        <v/>
      </c>
      <c r="O89" s="66">
        <f>IF(OR($J89="",$B89=""),0,IF(YEAR($B89)*12+MONTH($B89)&lt;=YEAR($C$3)*12+MONTH($C$3)-1,$G89,0))</f>
        <v/>
      </c>
      <c r="P89" s="66">
        <f>$M89-$O89</f>
        <v/>
      </c>
      <c r="Q89" s="66">
        <f>($L89-$M89)-($N89-$O89)</f>
        <v/>
      </c>
      <c r="R89" s="66">
        <f>$L89-$N89</f>
        <v/>
      </c>
      <c r="S89" s="65">
        <f>"Finance invoice"</f>
        <v/>
      </c>
      <c r="T89" s="65">
        <f>"Revenue"</f>
        <v/>
      </c>
    </row>
    <row r="90">
      <c r="A90" s="63">
        <f>ROW()-5</f>
        <v/>
      </c>
      <c r="B90" s="64">
        <f>IFERROR(INDEX(tbl_Finance[Date],$A90),"")</f>
        <v/>
      </c>
      <c r="C90" s="65">
        <f>IFERROR(INDEX(tbl_Finance[Xero Invoice No],$A90),"")</f>
        <v/>
      </c>
      <c r="D90" s="65">
        <f>IFERROR(INDEX(tbl_Finance[Client],$A90),"")</f>
        <v/>
      </c>
      <c r="E90" s="65">
        <f>IFERROR(INDEX(tbl_Finance[Job Number],$A90),"")</f>
        <v/>
      </c>
      <c r="F90" s="65">
        <f>IFERROR(INDEX(tbl_Finance[Cost Centre],$A90),"")</f>
        <v/>
      </c>
      <c r="G90" s="66">
        <f>IFERROR(INDEX(tbl_Finance[Ex GST],$A90),"")</f>
        <v/>
      </c>
      <c r="H90" s="64">
        <f>IFERROR(INDEX(tbl_Finance[Defer Start],$A90),"")</f>
        <v/>
      </c>
      <c r="I90" s="64">
        <f>IFERROR(INDEX(tbl_Finance[Defer End],$A90),"")</f>
        <v/>
      </c>
      <c r="J90" s="63">
        <f>IF(OR($H90="",$I90="",$G90=""),"",MAX(1,(YEAR($I90)-YEAR($H90))*12+MONTH($I90)-MONTH($H90)+1))</f>
        <v/>
      </c>
      <c r="K90" s="66">
        <f>IF($J90="","",$G90/$J90)</f>
        <v/>
      </c>
      <c r="L90" s="66">
        <f>IF($J90="",0,$K90*MAX(0,MIN(YEAR($C$3)*12+MONTH($C$3),YEAR($I90)*12+MONTH($I90))-(YEAR($H90)*12+MONTH($H90))+1))</f>
        <v/>
      </c>
      <c r="M90" s="66">
        <f>IF($J90="",0,$K90*MAX(0,MIN(YEAR($C$3)*12+MONTH($C$3)-1,YEAR($I90)*12+MONTH($I90))-(YEAR($H90)*12+MONTH($H90))+1))</f>
        <v/>
      </c>
      <c r="N90" s="66">
        <f>IF(OR($J90="",$B90=""),0,IF(YEAR($B90)*12+MONTH($B90)&lt;=YEAR($C$3)*12+MONTH($C$3),$G90,0))</f>
        <v/>
      </c>
      <c r="O90" s="66">
        <f>IF(OR($J90="",$B90=""),0,IF(YEAR($B90)*12+MONTH($B90)&lt;=YEAR($C$3)*12+MONTH($C$3)-1,$G90,0))</f>
        <v/>
      </c>
      <c r="P90" s="66">
        <f>$M90-$O90</f>
        <v/>
      </c>
      <c r="Q90" s="66">
        <f>($L90-$M90)-($N90-$O90)</f>
        <v/>
      </c>
      <c r="R90" s="66">
        <f>$L90-$N90</f>
        <v/>
      </c>
      <c r="S90" s="65">
        <f>"Finance invoice"</f>
        <v/>
      </c>
      <c r="T90" s="65">
        <f>"Revenue"</f>
        <v/>
      </c>
    </row>
    <row r="91">
      <c r="A91" s="63">
        <f>ROW()-5</f>
        <v/>
      </c>
      <c r="B91" s="64">
        <f>IFERROR(INDEX(tbl_Finance[Date],$A91),"")</f>
        <v/>
      </c>
      <c r="C91" s="65">
        <f>IFERROR(INDEX(tbl_Finance[Xero Invoice No],$A91),"")</f>
        <v/>
      </c>
      <c r="D91" s="65">
        <f>IFERROR(INDEX(tbl_Finance[Client],$A91),"")</f>
        <v/>
      </c>
      <c r="E91" s="65">
        <f>IFERROR(INDEX(tbl_Finance[Job Number],$A91),"")</f>
        <v/>
      </c>
      <c r="F91" s="65">
        <f>IFERROR(INDEX(tbl_Finance[Cost Centre],$A91),"")</f>
        <v/>
      </c>
      <c r="G91" s="66">
        <f>IFERROR(INDEX(tbl_Finance[Ex GST],$A91),"")</f>
        <v/>
      </c>
      <c r="H91" s="64">
        <f>IFERROR(INDEX(tbl_Finance[Defer Start],$A91),"")</f>
        <v/>
      </c>
      <c r="I91" s="64">
        <f>IFERROR(INDEX(tbl_Finance[Defer End],$A91),"")</f>
        <v/>
      </c>
      <c r="J91" s="63">
        <f>IF(OR($H91="",$I91="",$G91=""),"",MAX(1,(YEAR($I91)-YEAR($H91))*12+MONTH($I91)-MONTH($H91)+1))</f>
        <v/>
      </c>
      <c r="K91" s="66">
        <f>IF($J91="","",$G91/$J91)</f>
        <v/>
      </c>
      <c r="L91" s="66">
        <f>IF($J91="",0,$K91*MAX(0,MIN(YEAR($C$3)*12+MONTH($C$3),YEAR($I91)*12+MONTH($I91))-(YEAR($H91)*12+MONTH($H91))+1))</f>
        <v/>
      </c>
      <c r="M91" s="66">
        <f>IF($J91="",0,$K91*MAX(0,MIN(YEAR($C$3)*12+MONTH($C$3)-1,YEAR($I91)*12+MONTH($I91))-(YEAR($H91)*12+MONTH($H91))+1))</f>
        <v/>
      </c>
      <c r="N91" s="66">
        <f>IF(OR($J91="",$B91=""),0,IF(YEAR($B91)*12+MONTH($B91)&lt;=YEAR($C$3)*12+MONTH($C$3),$G91,0))</f>
        <v/>
      </c>
      <c r="O91" s="66">
        <f>IF(OR($J91="",$B91=""),0,IF(YEAR($B91)*12+MONTH($B91)&lt;=YEAR($C$3)*12+MONTH($C$3)-1,$G91,0))</f>
        <v/>
      </c>
      <c r="P91" s="66">
        <f>$M91-$O91</f>
        <v/>
      </c>
      <c r="Q91" s="66">
        <f>($L91-$M91)-($N91-$O91)</f>
        <v/>
      </c>
      <c r="R91" s="66">
        <f>$L91-$N91</f>
        <v/>
      </c>
      <c r="S91" s="65">
        <f>"Finance invoice"</f>
        <v/>
      </c>
      <c r="T91" s="65">
        <f>"Revenue"</f>
        <v/>
      </c>
    </row>
    <row r="92">
      <c r="A92" s="63">
        <f>ROW()-5</f>
        <v/>
      </c>
      <c r="B92" s="64">
        <f>IFERROR(INDEX(tbl_Finance[Date],$A92),"")</f>
        <v/>
      </c>
      <c r="C92" s="65">
        <f>IFERROR(INDEX(tbl_Finance[Xero Invoice No],$A92),"")</f>
        <v/>
      </c>
      <c r="D92" s="65">
        <f>IFERROR(INDEX(tbl_Finance[Client],$A92),"")</f>
        <v/>
      </c>
      <c r="E92" s="65">
        <f>IFERROR(INDEX(tbl_Finance[Job Number],$A92),"")</f>
        <v/>
      </c>
      <c r="F92" s="65">
        <f>IFERROR(INDEX(tbl_Finance[Cost Centre],$A92),"")</f>
        <v/>
      </c>
      <c r="G92" s="66">
        <f>IFERROR(INDEX(tbl_Finance[Ex GST],$A92),"")</f>
        <v/>
      </c>
      <c r="H92" s="64">
        <f>IFERROR(INDEX(tbl_Finance[Defer Start],$A92),"")</f>
        <v/>
      </c>
      <c r="I92" s="64">
        <f>IFERROR(INDEX(tbl_Finance[Defer End],$A92),"")</f>
        <v/>
      </c>
      <c r="J92" s="63">
        <f>IF(OR($H92="",$I92="",$G92=""),"",MAX(1,(YEAR($I92)-YEAR($H92))*12+MONTH($I92)-MONTH($H92)+1))</f>
        <v/>
      </c>
      <c r="K92" s="66">
        <f>IF($J92="","",$G92/$J92)</f>
        <v/>
      </c>
      <c r="L92" s="66">
        <f>IF($J92="",0,$K92*MAX(0,MIN(YEAR($C$3)*12+MONTH($C$3),YEAR($I92)*12+MONTH($I92))-(YEAR($H92)*12+MONTH($H92))+1))</f>
        <v/>
      </c>
      <c r="M92" s="66">
        <f>IF($J92="",0,$K92*MAX(0,MIN(YEAR($C$3)*12+MONTH($C$3)-1,YEAR($I92)*12+MONTH($I92))-(YEAR($H92)*12+MONTH($H92))+1))</f>
        <v/>
      </c>
      <c r="N92" s="66">
        <f>IF(OR($J92="",$B92=""),0,IF(YEAR($B92)*12+MONTH($B92)&lt;=YEAR($C$3)*12+MONTH($C$3),$G92,0))</f>
        <v/>
      </c>
      <c r="O92" s="66">
        <f>IF(OR($J92="",$B92=""),0,IF(YEAR($B92)*12+MONTH($B92)&lt;=YEAR($C$3)*12+MONTH($C$3)-1,$G92,0))</f>
        <v/>
      </c>
      <c r="P92" s="66">
        <f>$M92-$O92</f>
        <v/>
      </c>
      <c r="Q92" s="66">
        <f>($L92-$M92)-($N92-$O92)</f>
        <v/>
      </c>
      <c r="R92" s="66">
        <f>$L92-$N92</f>
        <v/>
      </c>
      <c r="S92" s="65">
        <f>"Finance invoice"</f>
        <v/>
      </c>
      <c r="T92" s="65">
        <f>"Revenue"</f>
        <v/>
      </c>
    </row>
    <row r="93">
      <c r="A93" s="63">
        <f>ROW()-5</f>
        <v/>
      </c>
      <c r="B93" s="64">
        <f>IFERROR(INDEX(tbl_Finance[Date],$A93),"")</f>
        <v/>
      </c>
      <c r="C93" s="65">
        <f>IFERROR(INDEX(tbl_Finance[Xero Invoice No],$A93),"")</f>
        <v/>
      </c>
      <c r="D93" s="65">
        <f>IFERROR(INDEX(tbl_Finance[Client],$A93),"")</f>
        <v/>
      </c>
      <c r="E93" s="65">
        <f>IFERROR(INDEX(tbl_Finance[Job Number],$A93),"")</f>
        <v/>
      </c>
      <c r="F93" s="65">
        <f>IFERROR(INDEX(tbl_Finance[Cost Centre],$A93),"")</f>
        <v/>
      </c>
      <c r="G93" s="66">
        <f>IFERROR(INDEX(tbl_Finance[Ex GST],$A93),"")</f>
        <v/>
      </c>
      <c r="H93" s="64">
        <f>IFERROR(INDEX(tbl_Finance[Defer Start],$A93),"")</f>
        <v/>
      </c>
      <c r="I93" s="64">
        <f>IFERROR(INDEX(tbl_Finance[Defer End],$A93),"")</f>
        <v/>
      </c>
      <c r="J93" s="63">
        <f>IF(OR($H93="",$I93="",$G93=""),"",MAX(1,(YEAR($I93)-YEAR($H93))*12+MONTH($I93)-MONTH($H93)+1))</f>
        <v/>
      </c>
      <c r="K93" s="66">
        <f>IF($J93="","",$G93/$J93)</f>
        <v/>
      </c>
      <c r="L93" s="66">
        <f>IF($J93="",0,$K93*MAX(0,MIN(YEAR($C$3)*12+MONTH($C$3),YEAR($I93)*12+MONTH($I93))-(YEAR($H93)*12+MONTH($H93))+1))</f>
        <v/>
      </c>
      <c r="M93" s="66">
        <f>IF($J93="",0,$K93*MAX(0,MIN(YEAR($C$3)*12+MONTH($C$3)-1,YEAR($I93)*12+MONTH($I93))-(YEAR($H93)*12+MONTH($H93))+1))</f>
        <v/>
      </c>
      <c r="N93" s="66">
        <f>IF(OR($J93="",$B93=""),0,IF(YEAR($B93)*12+MONTH($B93)&lt;=YEAR($C$3)*12+MONTH($C$3),$G93,0))</f>
        <v/>
      </c>
      <c r="O93" s="66">
        <f>IF(OR($J93="",$B93=""),0,IF(YEAR($B93)*12+MONTH($B93)&lt;=YEAR($C$3)*12+MONTH($C$3)-1,$G93,0))</f>
        <v/>
      </c>
      <c r="P93" s="66">
        <f>$M93-$O93</f>
        <v/>
      </c>
      <c r="Q93" s="66">
        <f>($L93-$M93)-($N93-$O93)</f>
        <v/>
      </c>
      <c r="R93" s="66">
        <f>$L93-$N93</f>
        <v/>
      </c>
      <c r="S93" s="65">
        <f>"Finance invoice"</f>
        <v/>
      </c>
      <c r="T93" s="65">
        <f>"Revenue"</f>
        <v/>
      </c>
    </row>
    <row r="94">
      <c r="A94" s="63">
        <f>ROW()-5</f>
        <v/>
      </c>
      <c r="B94" s="64">
        <f>IFERROR(INDEX(tbl_Finance[Date],$A94),"")</f>
        <v/>
      </c>
      <c r="C94" s="65">
        <f>IFERROR(INDEX(tbl_Finance[Xero Invoice No],$A94),"")</f>
        <v/>
      </c>
      <c r="D94" s="65">
        <f>IFERROR(INDEX(tbl_Finance[Client],$A94),"")</f>
        <v/>
      </c>
      <c r="E94" s="65">
        <f>IFERROR(INDEX(tbl_Finance[Job Number],$A94),"")</f>
        <v/>
      </c>
      <c r="F94" s="65">
        <f>IFERROR(INDEX(tbl_Finance[Cost Centre],$A94),"")</f>
        <v/>
      </c>
      <c r="G94" s="66">
        <f>IFERROR(INDEX(tbl_Finance[Ex GST],$A94),"")</f>
        <v/>
      </c>
      <c r="H94" s="64">
        <f>IFERROR(INDEX(tbl_Finance[Defer Start],$A94),"")</f>
        <v/>
      </c>
      <c r="I94" s="64">
        <f>IFERROR(INDEX(tbl_Finance[Defer End],$A94),"")</f>
        <v/>
      </c>
      <c r="J94" s="63">
        <f>IF(OR($H94="",$I94="",$G94=""),"",MAX(1,(YEAR($I94)-YEAR($H94))*12+MONTH($I94)-MONTH($H94)+1))</f>
        <v/>
      </c>
      <c r="K94" s="66">
        <f>IF($J94="","",$G94/$J94)</f>
        <v/>
      </c>
      <c r="L94" s="66">
        <f>IF($J94="",0,$K94*MAX(0,MIN(YEAR($C$3)*12+MONTH($C$3),YEAR($I94)*12+MONTH($I94))-(YEAR($H94)*12+MONTH($H94))+1))</f>
        <v/>
      </c>
      <c r="M94" s="66">
        <f>IF($J94="",0,$K94*MAX(0,MIN(YEAR($C$3)*12+MONTH($C$3)-1,YEAR($I94)*12+MONTH($I94))-(YEAR($H94)*12+MONTH($H94))+1))</f>
        <v/>
      </c>
      <c r="N94" s="66">
        <f>IF(OR($J94="",$B94=""),0,IF(YEAR($B94)*12+MONTH($B94)&lt;=YEAR($C$3)*12+MONTH($C$3),$G94,0))</f>
        <v/>
      </c>
      <c r="O94" s="66">
        <f>IF(OR($J94="",$B94=""),0,IF(YEAR($B94)*12+MONTH($B94)&lt;=YEAR($C$3)*12+MONTH($C$3)-1,$G94,0))</f>
        <v/>
      </c>
      <c r="P94" s="66">
        <f>$M94-$O94</f>
        <v/>
      </c>
      <c r="Q94" s="66">
        <f>($L94-$M94)-($N94-$O94)</f>
        <v/>
      </c>
      <c r="R94" s="66">
        <f>$L94-$N94</f>
        <v/>
      </c>
      <c r="S94" s="65">
        <f>"Finance invoice"</f>
        <v/>
      </c>
      <c r="T94" s="65">
        <f>"Revenue"</f>
        <v/>
      </c>
    </row>
    <row r="95">
      <c r="A95" s="63">
        <f>ROW()-5</f>
        <v/>
      </c>
      <c r="B95" s="64">
        <f>IFERROR(INDEX(tbl_Finance[Date],$A95),"")</f>
        <v/>
      </c>
      <c r="C95" s="65">
        <f>IFERROR(INDEX(tbl_Finance[Xero Invoice No],$A95),"")</f>
        <v/>
      </c>
      <c r="D95" s="65">
        <f>IFERROR(INDEX(tbl_Finance[Client],$A95),"")</f>
        <v/>
      </c>
      <c r="E95" s="65">
        <f>IFERROR(INDEX(tbl_Finance[Job Number],$A95),"")</f>
        <v/>
      </c>
      <c r="F95" s="65">
        <f>IFERROR(INDEX(tbl_Finance[Cost Centre],$A95),"")</f>
        <v/>
      </c>
      <c r="G95" s="66">
        <f>IFERROR(INDEX(tbl_Finance[Ex GST],$A95),"")</f>
        <v/>
      </c>
      <c r="H95" s="64">
        <f>IFERROR(INDEX(tbl_Finance[Defer Start],$A95),"")</f>
        <v/>
      </c>
      <c r="I95" s="64">
        <f>IFERROR(INDEX(tbl_Finance[Defer End],$A95),"")</f>
        <v/>
      </c>
      <c r="J95" s="63">
        <f>IF(OR($H95="",$I95="",$G95=""),"",MAX(1,(YEAR($I95)-YEAR($H95))*12+MONTH($I95)-MONTH($H95)+1))</f>
        <v/>
      </c>
      <c r="K95" s="66">
        <f>IF($J95="","",$G95/$J95)</f>
        <v/>
      </c>
      <c r="L95" s="66">
        <f>IF($J95="",0,$K95*MAX(0,MIN(YEAR($C$3)*12+MONTH($C$3),YEAR($I95)*12+MONTH($I95))-(YEAR($H95)*12+MONTH($H95))+1))</f>
        <v/>
      </c>
      <c r="M95" s="66">
        <f>IF($J95="",0,$K95*MAX(0,MIN(YEAR($C$3)*12+MONTH($C$3)-1,YEAR($I95)*12+MONTH($I95))-(YEAR($H95)*12+MONTH($H95))+1))</f>
        <v/>
      </c>
      <c r="N95" s="66">
        <f>IF(OR($J95="",$B95=""),0,IF(YEAR($B95)*12+MONTH($B95)&lt;=YEAR($C$3)*12+MONTH($C$3),$G95,0))</f>
        <v/>
      </c>
      <c r="O95" s="66">
        <f>IF(OR($J95="",$B95=""),0,IF(YEAR($B95)*12+MONTH($B95)&lt;=YEAR($C$3)*12+MONTH($C$3)-1,$G95,0))</f>
        <v/>
      </c>
      <c r="P95" s="66">
        <f>$M95-$O95</f>
        <v/>
      </c>
      <c r="Q95" s="66">
        <f>($L95-$M95)-($N95-$O95)</f>
        <v/>
      </c>
      <c r="R95" s="66">
        <f>$L95-$N95</f>
        <v/>
      </c>
      <c r="S95" s="65">
        <f>"Finance invoice"</f>
        <v/>
      </c>
      <c r="T95" s="65">
        <f>"Revenue"</f>
        <v/>
      </c>
    </row>
    <row r="96">
      <c r="A96" s="63">
        <f>ROW()-5</f>
        <v/>
      </c>
      <c r="B96" s="64">
        <f>IFERROR(INDEX(tbl_Finance[Date],$A96),"")</f>
        <v/>
      </c>
      <c r="C96" s="65">
        <f>IFERROR(INDEX(tbl_Finance[Xero Invoice No],$A96),"")</f>
        <v/>
      </c>
      <c r="D96" s="65">
        <f>IFERROR(INDEX(tbl_Finance[Client],$A96),"")</f>
        <v/>
      </c>
      <c r="E96" s="65">
        <f>IFERROR(INDEX(tbl_Finance[Job Number],$A96),"")</f>
        <v/>
      </c>
      <c r="F96" s="65">
        <f>IFERROR(INDEX(tbl_Finance[Cost Centre],$A96),"")</f>
        <v/>
      </c>
      <c r="G96" s="66">
        <f>IFERROR(INDEX(tbl_Finance[Ex GST],$A96),"")</f>
        <v/>
      </c>
      <c r="H96" s="64">
        <f>IFERROR(INDEX(tbl_Finance[Defer Start],$A96),"")</f>
        <v/>
      </c>
      <c r="I96" s="64">
        <f>IFERROR(INDEX(tbl_Finance[Defer End],$A96),"")</f>
        <v/>
      </c>
      <c r="J96" s="63">
        <f>IF(OR($H96="",$I96="",$G96=""),"",MAX(1,(YEAR($I96)-YEAR($H96))*12+MONTH($I96)-MONTH($H96)+1))</f>
        <v/>
      </c>
      <c r="K96" s="66">
        <f>IF($J96="","",$G96/$J96)</f>
        <v/>
      </c>
      <c r="L96" s="66">
        <f>IF($J96="",0,$K96*MAX(0,MIN(YEAR($C$3)*12+MONTH($C$3),YEAR($I96)*12+MONTH($I96))-(YEAR($H96)*12+MONTH($H96))+1))</f>
        <v/>
      </c>
      <c r="M96" s="66">
        <f>IF($J96="",0,$K96*MAX(0,MIN(YEAR($C$3)*12+MONTH($C$3)-1,YEAR($I96)*12+MONTH($I96))-(YEAR($H96)*12+MONTH($H96))+1))</f>
        <v/>
      </c>
      <c r="N96" s="66">
        <f>IF(OR($J96="",$B96=""),0,IF(YEAR($B96)*12+MONTH($B96)&lt;=YEAR($C$3)*12+MONTH($C$3),$G96,0))</f>
        <v/>
      </c>
      <c r="O96" s="66">
        <f>IF(OR($J96="",$B96=""),0,IF(YEAR($B96)*12+MONTH($B96)&lt;=YEAR($C$3)*12+MONTH($C$3)-1,$G96,0))</f>
        <v/>
      </c>
      <c r="P96" s="66">
        <f>$M96-$O96</f>
        <v/>
      </c>
      <c r="Q96" s="66">
        <f>($L96-$M96)-($N96-$O96)</f>
        <v/>
      </c>
      <c r="R96" s="66">
        <f>$L96-$N96</f>
        <v/>
      </c>
      <c r="S96" s="65">
        <f>"Finance invoice"</f>
        <v/>
      </c>
      <c r="T96" s="65">
        <f>"Revenue"</f>
        <v/>
      </c>
    </row>
    <row r="97">
      <c r="A97" s="63">
        <f>ROW()-5</f>
        <v/>
      </c>
      <c r="B97" s="64">
        <f>IFERROR(INDEX(tbl_Finance[Date],$A97),"")</f>
        <v/>
      </c>
      <c r="C97" s="65">
        <f>IFERROR(INDEX(tbl_Finance[Xero Invoice No],$A97),"")</f>
        <v/>
      </c>
      <c r="D97" s="65">
        <f>IFERROR(INDEX(tbl_Finance[Client],$A97),"")</f>
        <v/>
      </c>
      <c r="E97" s="65">
        <f>IFERROR(INDEX(tbl_Finance[Job Number],$A97),"")</f>
        <v/>
      </c>
      <c r="F97" s="65">
        <f>IFERROR(INDEX(tbl_Finance[Cost Centre],$A97),"")</f>
        <v/>
      </c>
      <c r="G97" s="66">
        <f>IFERROR(INDEX(tbl_Finance[Ex GST],$A97),"")</f>
        <v/>
      </c>
      <c r="H97" s="64">
        <f>IFERROR(INDEX(tbl_Finance[Defer Start],$A97),"")</f>
        <v/>
      </c>
      <c r="I97" s="64">
        <f>IFERROR(INDEX(tbl_Finance[Defer End],$A97),"")</f>
        <v/>
      </c>
      <c r="J97" s="63">
        <f>IF(OR($H97="",$I97="",$G97=""),"",MAX(1,(YEAR($I97)-YEAR($H97))*12+MONTH($I97)-MONTH($H97)+1))</f>
        <v/>
      </c>
      <c r="K97" s="66">
        <f>IF($J97="","",$G97/$J97)</f>
        <v/>
      </c>
      <c r="L97" s="66">
        <f>IF($J97="",0,$K97*MAX(0,MIN(YEAR($C$3)*12+MONTH($C$3),YEAR($I97)*12+MONTH($I97))-(YEAR($H97)*12+MONTH($H97))+1))</f>
        <v/>
      </c>
      <c r="M97" s="66">
        <f>IF($J97="",0,$K97*MAX(0,MIN(YEAR($C$3)*12+MONTH($C$3)-1,YEAR($I97)*12+MONTH($I97))-(YEAR($H97)*12+MONTH($H97))+1))</f>
        <v/>
      </c>
      <c r="N97" s="66">
        <f>IF(OR($J97="",$B97=""),0,IF(YEAR($B97)*12+MONTH($B97)&lt;=YEAR($C$3)*12+MONTH($C$3),$G97,0))</f>
        <v/>
      </c>
      <c r="O97" s="66">
        <f>IF(OR($J97="",$B97=""),0,IF(YEAR($B97)*12+MONTH($B97)&lt;=YEAR($C$3)*12+MONTH($C$3)-1,$G97,0))</f>
        <v/>
      </c>
      <c r="P97" s="66">
        <f>$M97-$O97</f>
        <v/>
      </c>
      <c r="Q97" s="66">
        <f>($L97-$M97)-($N97-$O97)</f>
        <v/>
      </c>
      <c r="R97" s="66">
        <f>$L97-$N97</f>
        <v/>
      </c>
      <c r="S97" s="65">
        <f>"Finance invoice"</f>
        <v/>
      </c>
      <c r="T97" s="65">
        <f>"Revenue"</f>
        <v/>
      </c>
    </row>
    <row r="98">
      <c r="A98" s="63">
        <f>ROW()-5</f>
        <v/>
      </c>
      <c r="B98" s="64">
        <f>IFERROR(INDEX(tbl_Finance[Date],$A98),"")</f>
        <v/>
      </c>
      <c r="C98" s="65">
        <f>IFERROR(INDEX(tbl_Finance[Xero Invoice No],$A98),"")</f>
        <v/>
      </c>
      <c r="D98" s="65">
        <f>IFERROR(INDEX(tbl_Finance[Client],$A98),"")</f>
        <v/>
      </c>
      <c r="E98" s="65">
        <f>IFERROR(INDEX(tbl_Finance[Job Number],$A98),"")</f>
        <v/>
      </c>
      <c r="F98" s="65">
        <f>IFERROR(INDEX(tbl_Finance[Cost Centre],$A98),"")</f>
        <v/>
      </c>
      <c r="G98" s="66">
        <f>IFERROR(INDEX(tbl_Finance[Ex GST],$A98),"")</f>
        <v/>
      </c>
      <c r="H98" s="64">
        <f>IFERROR(INDEX(tbl_Finance[Defer Start],$A98),"")</f>
        <v/>
      </c>
      <c r="I98" s="64">
        <f>IFERROR(INDEX(tbl_Finance[Defer End],$A98),"")</f>
        <v/>
      </c>
      <c r="J98" s="63">
        <f>IF(OR($H98="",$I98="",$G98=""),"",MAX(1,(YEAR($I98)-YEAR($H98))*12+MONTH($I98)-MONTH($H98)+1))</f>
        <v/>
      </c>
      <c r="K98" s="66">
        <f>IF($J98="","",$G98/$J98)</f>
        <v/>
      </c>
      <c r="L98" s="66">
        <f>IF($J98="",0,$K98*MAX(0,MIN(YEAR($C$3)*12+MONTH($C$3),YEAR($I98)*12+MONTH($I98))-(YEAR($H98)*12+MONTH($H98))+1))</f>
        <v/>
      </c>
      <c r="M98" s="66">
        <f>IF($J98="",0,$K98*MAX(0,MIN(YEAR($C$3)*12+MONTH($C$3)-1,YEAR($I98)*12+MONTH($I98))-(YEAR($H98)*12+MONTH($H98))+1))</f>
        <v/>
      </c>
      <c r="N98" s="66">
        <f>IF(OR($J98="",$B98=""),0,IF(YEAR($B98)*12+MONTH($B98)&lt;=YEAR($C$3)*12+MONTH($C$3),$G98,0))</f>
        <v/>
      </c>
      <c r="O98" s="66">
        <f>IF(OR($J98="",$B98=""),0,IF(YEAR($B98)*12+MONTH($B98)&lt;=YEAR($C$3)*12+MONTH($C$3)-1,$G98,0))</f>
        <v/>
      </c>
      <c r="P98" s="66">
        <f>$M98-$O98</f>
        <v/>
      </c>
      <c r="Q98" s="66">
        <f>($L98-$M98)-($N98-$O98)</f>
        <v/>
      </c>
      <c r="R98" s="66">
        <f>$L98-$N98</f>
        <v/>
      </c>
      <c r="S98" s="65">
        <f>"Finance invoice"</f>
        <v/>
      </c>
      <c r="T98" s="65">
        <f>"Revenue"</f>
        <v/>
      </c>
    </row>
    <row r="99">
      <c r="A99" s="63">
        <f>ROW()-5</f>
        <v/>
      </c>
      <c r="B99" s="64">
        <f>IFERROR(INDEX(tbl_Finance[Date],$A99),"")</f>
        <v/>
      </c>
      <c r="C99" s="65">
        <f>IFERROR(INDEX(tbl_Finance[Xero Invoice No],$A99),"")</f>
        <v/>
      </c>
      <c r="D99" s="65">
        <f>IFERROR(INDEX(tbl_Finance[Client],$A99),"")</f>
        <v/>
      </c>
      <c r="E99" s="65">
        <f>IFERROR(INDEX(tbl_Finance[Job Number],$A99),"")</f>
        <v/>
      </c>
      <c r="F99" s="65">
        <f>IFERROR(INDEX(tbl_Finance[Cost Centre],$A99),"")</f>
        <v/>
      </c>
      <c r="G99" s="66">
        <f>IFERROR(INDEX(tbl_Finance[Ex GST],$A99),"")</f>
        <v/>
      </c>
      <c r="H99" s="64">
        <f>IFERROR(INDEX(tbl_Finance[Defer Start],$A99),"")</f>
        <v/>
      </c>
      <c r="I99" s="64">
        <f>IFERROR(INDEX(tbl_Finance[Defer End],$A99),"")</f>
        <v/>
      </c>
      <c r="J99" s="63">
        <f>IF(OR($H99="",$I99="",$G99=""),"",MAX(1,(YEAR($I99)-YEAR($H99))*12+MONTH($I99)-MONTH($H99)+1))</f>
        <v/>
      </c>
      <c r="K99" s="66">
        <f>IF($J99="","",$G99/$J99)</f>
        <v/>
      </c>
      <c r="L99" s="66">
        <f>IF($J99="",0,$K99*MAX(0,MIN(YEAR($C$3)*12+MONTH($C$3),YEAR($I99)*12+MONTH($I99))-(YEAR($H99)*12+MONTH($H99))+1))</f>
        <v/>
      </c>
      <c r="M99" s="66">
        <f>IF($J99="",0,$K99*MAX(0,MIN(YEAR($C$3)*12+MONTH($C$3)-1,YEAR($I99)*12+MONTH($I99))-(YEAR($H99)*12+MONTH($H99))+1))</f>
        <v/>
      </c>
      <c r="N99" s="66">
        <f>IF(OR($J99="",$B99=""),0,IF(YEAR($B99)*12+MONTH($B99)&lt;=YEAR($C$3)*12+MONTH($C$3),$G99,0))</f>
        <v/>
      </c>
      <c r="O99" s="66">
        <f>IF(OR($J99="",$B99=""),0,IF(YEAR($B99)*12+MONTH($B99)&lt;=YEAR($C$3)*12+MONTH($C$3)-1,$G99,0))</f>
        <v/>
      </c>
      <c r="P99" s="66">
        <f>$M99-$O99</f>
        <v/>
      </c>
      <c r="Q99" s="66">
        <f>($L99-$M99)-($N99-$O99)</f>
        <v/>
      </c>
      <c r="R99" s="66">
        <f>$L99-$N99</f>
        <v/>
      </c>
      <c r="S99" s="65">
        <f>"Finance invoice"</f>
        <v/>
      </c>
      <c r="T99" s="65">
        <f>"Revenue"</f>
        <v/>
      </c>
    </row>
    <row r="100">
      <c r="A100" s="63">
        <f>ROW()-5</f>
        <v/>
      </c>
      <c r="B100" s="64">
        <f>IFERROR(INDEX(tbl_Finance[Date],$A100),"")</f>
        <v/>
      </c>
      <c r="C100" s="65">
        <f>IFERROR(INDEX(tbl_Finance[Xero Invoice No],$A100),"")</f>
        <v/>
      </c>
      <c r="D100" s="65">
        <f>IFERROR(INDEX(tbl_Finance[Client],$A100),"")</f>
        <v/>
      </c>
      <c r="E100" s="65">
        <f>IFERROR(INDEX(tbl_Finance[Job Number],$A100),"")</f>
        <v/>
      </c>
      <c r="F100" s="65">
        <f>IFERROR(INDEX(tbl_Finance[Cost Centre],$A100),"")</f>
        <v/>
      </c>
      <c r="G100" s="66">
        <f>IFERROR(INDEX(tbl_Finance[Ex GST],$A100),"")</f>
        <v/>
      </c>
      <c r="H100" s="64">
        <f>IFERROR(INDEX(tbl_Finance[Defer Start],$A100),"")</f>
        <v/>
      </c>
      <c r="I100" s="64">
        <f>IFERROR(INDEX(tbl_Finance[Defer End],$A100),"")</f>
        <v/>
      </c>
      <c r="J100" s="63">
        <f>IF(OR($H100="",$I100="",$G100=""),"",MAX(1,(YEAR($I100)-YEAR($H100))*12+MONTH($I100)-MONTH($H100)+1))</f>
        <v/>
      </c>
      <c r="K100" s="66">
        <f>IF($J100="","",$G100/$J100)</f>
        <v/>
      </c>
      <c r="L100" s="66">
        <f>IF($J100="",0,$K100*MAX(0,MIN(YEAR($C$3)*12+MONTH($C$3),YEAR($I100)*12+MONTH($I100))-(YEAR($H100)*12+MONTH($H100))+1))</f>
        <v/>
      </c>
      <c r="M100" s="66">
        <f>IF($J100="",0,$K100*MAX(0,MIN(YEAR($C$3)*12+MONTH($C$3)-1,YEAR($I100)*12+MONTH($I100))-(YEAR($H100)*12+MONTH($H100))+1))</f>
        <v/>
      </c>
      <c r="N100" s="66">
        <f>IF(OR($J100="",$B100=""),0,IF(YEAR($B100)*12+MONTH($B100)&lt;=YEAR($C$3)*12+MONTH($C$3),$G100,0))</f>
        <v/>
      </c>
      <c r="O100" s="66">
        <f>IF(OR($J100="",$B100=""),0,IF(YEAR($B100)*12+MONTH($B100)&lt;=YEAR($C$3)*12+MONTH($C$3)-1,$G100,0))</f>
        <v/>
      </c>
      <c r="P100" s="66">
        <f>$M100-$O100</f>
        <v/>
      </c>
      <c r="Q100" s="66">
        <f>($L100-$M100)-($N100-$O100)</f>
        <v/>
      </c>
      <c r="R100" s="66">
        <f>$L100-$N100</f>
        <v/>
      </c>
      <c r="S100" s="65">
        <f>"Finance invoice"</f>
        <v/>
      </c>
      <c r="T100" s="65">
        <f>"Revenue"</f>
        <v/>
      </c>
    </row>
    <row r="101">
      <c r="A101" s="63">
        <f>ROW()-5</f>
        <v/>
      </c>
      <c r="B101" s="64">
        <f>IFERROR(INDEX(tbl_Finance[Date],$A101),"")</f>
        <v/>
      </c>
      <c r="C101" s="65">
        <f>IFERROR(INDEX(tbl_Finance[Xero Invoice No],$A101),"")</f>
        <v/>
      </c>
      <c r="D101" s="65">
        <f>IFERROR(INDEX(tbl_Finance[Client],$A101),"")</f>
        <v/>
      </c>
      <c r="E101" s="65">
        <f>IFERROR(INDEX(tbl_Finance[Job Number],$A101),"")</f>
        <v/>
      </c>
      <c r="F101" s="65">
        <f>IFERROR(INDEX(tbl_Finance[Cost Centre],$A101),"")</f>
        <v/>
      </c>
      <c r="G101" s="66">
        <f>IFERROR(INDEX(tbl_Finance[Ex GST],$A101),"")</f>
        <v/>
      </c>
      <c r="H101" s="64">
        <f>IFERROR(INDEX(tbl_Finance[Defer Start],$A101),"")</f>
        <v/>
      </c>
      <c r="I101" s="64">
        <f>IFERROR(INDEX(tbl_Finance[Defer End],$A101),"")</f>
        <v/>
      </c>
      <c r="J101" s="63">
        <f>IF(OR($H101="",$I101="",$G101=""),"",MAX(1,(YEAR($I101)-YEAR($H101))*12+MONTH($I101)-MONTH($H101)+1))</f>
        <v/>
      </c>
      <c r="K101" s="66">
        <f>IF($J101="","",$G101/$J101)</f>
        <v/>
      </c>
      <c r="L101" s="66">
        <f>IF($J101="",0,$K101*MAX(0,MIN(YEAR($C$3)*12+MONTH($C$3),YEAR($I101)*12+MONTH($I101))-(YEAR($H101)*12+MONTH($H101))+1))</f>
        <v/>
      </c>
      <c r="M101" s="66">
        <f>IF($J101="",0,$K101*MAX(0,MIN(YEAR($C$3)*12+MONTH($C$3)-1,YEAR($I101)*12+MONTH($I101))-(YEAR($H101)*12+MONTH($H101))+1))</f>
        <v/>
      </c>
      <c r="N101" s="66">
        <f>IF(OR($J101="",$B101=""),0,IF(YEAR($B101)*12+MONTH($B101)&lt;=YEAR($C$3)*12+MONTH($C$3),$G101,0))</f>
        <v/>
      </c>
      <c r="O101" s="66">
        <f>IF(OR($J101="",$B101=""),0,IF(YEAR($B101)*12+MONTH($B101)&lt;=YEAR($C$3)*12+MONTH($C$3)-1,$G101,0))</f>
        <v/>
      </c>
      <c r="P101" s="66">
        <f>$M101-$O101</f>
        <v/>
      </c>
      <c r="Q101" s="66">
        <f>($L101-$M101)-($N101-$O101)</f>
        <v/>
      </c>
      <c r="R101" s="66">
        <f>$L101-$N101</f>
        <v/>
      </c>
      <c r="S101" s="65">
        <f>"Finance invoice"</f>
        <v/>
      </c>
      <c r="T101" s="65">
        <f>"Revenue"</f>
        <v/>
      </c>
    </row>
    <row r="102">
      <c r="A102" s="63">
        <f>ROW()-5</f>
        <v/>
      </c>
      <c r="B102" s="64">
        <f>IFERROR(INDEX(tbl_Finance[Date],$A102),"")</f>
        <v/>
      </c>
      <c r="C102" s="65">
        <f>IFERROR(INDEX(tbl_Finance[Xero Invoice No],$A102),"")</f>
        <v/>
      </c>
      <c r="D102" s="65">
        <f>IFERROR(INDEX(tbl_Finance[Client],$A102),"")</f>
        <v/>
      </c>
      <c r="E102" s="65">
        <f>IFERROR(INDEX(tbl_Finance[Job Number],$A102),"")</f>
        <v/>
      </c>
      <c r="F102" s="65">
        <f>IFERROR(INDEX(tbl_Finance[Cost Centre],$A102),"")</f>
        <v/>
      </c>
      <c r="G102" s="66">
        <f>IFERROR(INDEX(tbl_Finance[Ex GST],$A102),"")</f>
        <v/>
      </c>
      <c r="H102" s="64">
        <f>IFERROR(INDEX(tbl_Finance[Defer Start],$A102),"")</f>
        <v/>
      </c>
      <c r="I102" s="64">
        <f>IFERROR(INDEX(tbl_Finance[Defer End],$A102),"")</f>
        <v/>
      </c>
      <c r="J102" s="63">
        <f>IF(OR($H102="",$I102="",$G102=""),"",MAX(1,(YEAR($I102)-YEAR($H102))*12+MONTH($I102)-MONTH($H102)+1))</f>
        <v/>
      </c>
      <c r="K102" s="66">
        <f>IF($J102="","",$G102/$J102)</f>
        <v/>
      </c>
      <c r="L102" s="66">
        <f>IF($J102="",0,$K102*MAX(0,MIN(YEAR($C$3)*12+MONTH($C$3),YEAR($I102)*12+MONTH($I102))-(YEAR($H102)*12+MONTH($H102))+1))</f>
        <v/>
      </c>
      <c r="M102" s="66">
        <f>IF($J102="",0,$K102*MAX(0,MIN(YEAR($C$3)*12+MONTH($C$3)-1,YEAR($I102)*12+MONTH($I102))-(YEAR($H102)*12+MONTH($H102))+1))</f>
        <v/>
      </c>
      <c r="N102" s="66">
        <f>IF(OR($J102="",$B102=""),0,IF(YEAR($B102)*12+MONTH($B102)&lt;=YEAR($C$3)*12+MONTH($C$3),$G102,0))</f>
        <v/>
      </c>
      <c r="O102" s="66">
        <f>IF(OR($J102="",$B102=""),0,IF(YEAR($B102)*12+MONTH($B102)&lt;=YEAR($C$3)*12+MONTH($C$3)-1,$G102,0))</f>
        <v/>
      </c>
      <c r="P102" s="66">
        <f>$M102-$O102</f>
        <v/>
      </c>
      <c r="Q102" s="66">
        <f>($L102-$M102)-($N102-$O102)</f>
        <v/>
      </c>
      <c r="R102" s="66">
        <f>$L102-$N102</f>
        <v/>
      </c>
      <c r="S102" s="65">
        <f>"Finance invoice"</f>
        <v/>
      </c>
      <c r="T102" s="65">
        <f>"Revenue"</f>
        <v/>
      </c>
    </row>
    <row r="103">
      <c r="A103" s="63">
        <f>ROW()-5</f>
        <v/>
      </c>
      <c r="B103" s="64">
        <f>IFERROR(INDEX(tbl_Finance[Date],$A103),"")</f>
        <v/>
      </c>
      <c r="C103" s="65">
        <f>IFERROR(INDEX(tbl_Finance[Xero Invoice No],$A103),"")</f>
        <v/>
      </c>
      <c r="D103" s="65">
        <f>IFERROR(INDEX(tbl_Finance[Client],$A103),"")</f>
        <v/>
      </c>
      <c r="E103" s="65">
        <f>IFERROR(INDEX(tbl_Finance[Job Number],$A103),"")</f>
        <v/>
      </c>
      <c r="F103" s="65">
        <f>IFERROR(INDEX(tbl_Finance[Cost Centre],$A103),"")</f>
        <v/>
      </c>
      <c r="G103" s="66">
        <f>IFERROR(INDEX(tbl_Finance[Ex GST],$A103),"")</f>
        <v/>
      </c>
      <c r="H103" s="64">
        <f>IFERROR(INDEX(tbl_Finance[Defer Start],$A103),"")</f>
        <v/>
      </c>
      <c r="I103" s="64">
        <f>IFERROR(INDEX(tbl_Finance[Defer End],$A103),"")</f>
        <v/>
      </c>
      <c r="J103" s="63">
        <f>IF(OR($H103="",$I103="",$G103=""),"",MAX(1,(YEAR($I103)-YEAR($H103))*12+MONTH($I103)-MONTH($H103)+1))</f>
        <v/>
      </c>
      <c r="K103" s="66">
        <f>IF($J103="","",$G103/$J103)</f>
        <v/>
      </c>
      <c r="L103" s="66">
        <f>IF($J103="",0,$K103*MAX(0,MIN(YEAR($C$3)*12+MONTH($C$3),YEAR($I103)*12+MONTH($I103))-(YEAR($H103)*12+MONTH($H103))+1))</f>
        <v/>
      </c>
      <c r="M103" s="66">
        <f>IF($J103="",0,$K103*MAX(0,MIN(YEAR($C$3)*12+MONTH($C$3)-1,YEAR($I103)*12+MONTH($I103))-(YEAR($H103)*12+MONTH($H103))+1))</f>
        <v/>
      </c>
      <c r="N103" s="66">
        <f>IF(OR($J103="",$B103=""),0,IF(YEAR($B103)*12+MONTH($B103)&lt;=YEAR($C$3)*12+MONTH($C$3),$G103,0))</f>
        <v/>
      </c>
      <c r="O103" s="66">
        <f>IF(OR($J103="",$B103=""),0,IF(YEAR($B103)*12+MONTH($B103)&lt;=YEAR($C$3)*12+MONTH($C$3)-1,$G103,0))</f>
        <v/>
      </c>
      <c r="P103" s="66">
        <f>$M103-$O103</f>
        <v/>
      </c>
      <c r="Q103" s="66">
        <f>($L103-$M103)-($N103-$O103)</f>
        <v/>
      </c>
      <c r="R103" s="66">
        <f>$L103-$N103</f>
        <v/>
      </c>
      <c r="S103" s="65">
        <f>"Finance invoice"</f>
        <v/>
      </c>
      <c r="T103" s="65">
        <f>"Revenue"</f>
        <v/>
      </c>
    </row>
    <row r="104">
      <c r="A104" s="63">
        <f>ROW()-5</f>
        <v/>
      </c>
      <c r="B104" s="64">
        <f>IFERROR(INDEX(tbl_Finance[Date],$A104),"")</f>
        <v/>
      </c>
      <c r="C104" s="65">
        <f>IFERROR(INDEX(tbl_Finance[Xero Invoice No],$A104),"")</f>
        <v/>
      </c>
      <c r="D104" s="65">
        <f>IFERROR(INDEX(tbl_Finance[Client],$A104),"")</f>
        <v/>
      </c>
      <c r="E104" s="65">
        <f>IFERROR(INDEX(tbl_Finance[Job Number],$A104),"")</f>
        <v/>
      </c>
      <c r="F104" s="65">
        <f>IFERROR(INDEX(tbl_Finance[Cost Centre],$A104),"")</f>
        <v/>
      </c>
      <c r="G104" s="66">
        <f>IFERROR(INDEX(tbl_Finance[Ex GST],$A104),"")</f>
        <v/>
      </c>
      <c r="H104" s="64">
        <f>IFERROR(INDEX(tbl_Finance[Defer Start],$A104),"")</f>
        <v/>
      </c>
      <c r="I104" s="64">
        <f>IFERROR(INDEX(tbl_Finance[Defer End],$A104),"")</f>
        <v/>
      </c>
      <c r="J104" s="63">
        <f>IF(OR($H104="",$I104="",$G104=""),"",MAX(1,(YEAR($I104)-YEAR($H104))*12+MONTH($I104)-MONTH($H104)+1))</f>
        <v/>
      </c>
      <c r="K104" s="66">
        <f>IF($J104="","",$G104/$J104)</f>
        <v/>
      </c>
      <c r="L104" s="66">
        <f>IF($J104="",0,$K104*MAX(0,MIN(YEAR($C$3)*12+MONTH($C$3),YEAR($I104)*12+MONTH($I104))-(YEAR($H104)*12+MONTH($H104))+1))</f>
        <v/>
      </c>
      <c r="M104" s="66">
        <f>IF($J104="",0,$K104*MAX(0,MIN(YEAR($C$3)*12+MONTH($C$3)-1,YEAR($I104)*12+MONTH($I104))-(YEAR($H104)*12+MONTH($H104))+1))</f>
        <v/>
      </c>
      <c r="N104" s="66">
        <f>IF(OR($J104="",$B104=""),0,IF(YEAR($B104)*12+MONTH($B104)&lt;=YEAR($C$3)*12+MONTH($C$3),$G104,0))</f>
        <v/>
      </c>
      <c r="O104" s="66">
        <f>IF(OR($J104="",$B104=""),0,IF(YEAR($B104)*12+MONTH($B104)&lt;=YEAR($C$3)*12+MONTH($C$3)-1,$G104,0))</f>
        <v/>
      </c>
      <c r="P104" s="66">
        <f>$M104-$O104</f>
        <v/>
      </c>
      <c r="Q104" s="66">
        <f>($L104-$M104)-($N104-$O104)</f>
        <v/>
      </c>
      <c r="R104" s="66">
        <f>$L104-$N104</f>
        <v/>
      </c>
      <c r="S104" s="65">
        <f>"Finance invoice"</f>
        <v/>
      </c>
      <c r="T104" s="65">
        <f>"Revenue"</f>
        <v/>
      </c>
    </row>
    <row r="105">
      <c r="A105" s="63">
        <f>ROW()-5</f>
        <v/>
      </c>
      <c r="B105" s="64">
        <f>IFERROR(INDEX(tbl_Finance[Date],$A105),"")</f>
        <v/>
      </c>
      <c r="C105" s="65">
        <f>IFERROR(INDEX(tbl_Finance[Xero Invoice No],$A105),"")</f>
        <v/>
      </c>
      <c r="D105" s="65">
        <f>IFERROR(INDEX(tbl_Finance[Client],$A105),"")</f>
        <v/>
      </c>
      <c r="E105" s="65">
        <f>IFERROR(INDEX(tbl_Finance[Job Number],$A105),"")</f>
        <v/>
      </c>
      <c r="F105" s="65">
        <f>IFERROR(INDEX(tbl_Finance[Cost Centre],$A105),"")</f>
        <v/>
      </c>
      <c r="G105" s="66">
        <f>IFERROR(INDEX(tbl_Finance[Ex GST],$A105),"")</f>
        <v/>
      </c>
      <c r="H105" s="64">
        <f>IFERROR(INDEX(tbl_Finance[Defer Start],$A105),"")</f>
        <v/>
      </c>
      <c r="I105" s="64">
        <f>IFERROR(INDEX(tbl_Finance[Defer End],$A105),"")</f>
        <v/>
      </c>
      <c r="J105" s="63">
        <f>IF(OR($H105="",$I105="",$G105=""),"",MAX(1,(YEAR($I105)-YEAR($H105))*12+MONTH($I105)-MONTH($H105)+1))</f>
        <v/>
      </c>
      <c r="K105" s="66">
        <f>IF($J105="","",$G105/$J105)</f>
        <v/>
      </c>
      <c r="L105" s="66">
        <f>IF($J105="",0,$K105*MAX(0,MIN(YEAR($C$3)*12+MONTH($C$3),YEAR($I105)*12+MONTH($I105))-(YEAR($H105)*12+MONTH($H105))+1))</f>
        <v/>
      </c>
      <c r="M105" s="66">
        <f>IF($J105="",0,$K105*MAX(0,MIN(YEAR($C$3)*12+MONTH($C$3)-1,YEAR($I105)*12+MONTH($I105))-(YEAR($H105)*12+MONTH($H105))+1))</f>
        <v/>
      </c>
      <c r="N105" s="66">
        <f>IF(OR($J105="",$B105=""),0,IF(YEAR($B105)*12+MONTH($B105)&lt;=YEAR($C$3)*12+MONTH($C$3),$G105,0))</f>
        <v/>
      </c>
      <c r="O105" s="66">
        <f>IF(OR($J105="",$B105=""),0,IF(YEAR($B105)*12+MONTH($B105)&lt;=YEAR($C$3)*12+MONTH($C$3)-1,$G105,0))</f>
        <v/>
      </c>
      <c r="P105" s="66">
        <f>$M105-$O105</f>
        <v/>
      </c>
      <c r="Q105" s="66">
        <f>($L105-$M105)-($N105-$O105)</f>
        <v/>
      </c>
      <c r="R105" s="66">
        <f>$L105-$N105</f>
        <v/>
      </c>
      <c r="S105" s="65">
        <f>"Finance invoice"</f>
        <v/>
      </c>
      <c r="T105" s="65">
        <f>"Revenue"</f>
        <v/>
      </c>
    </row>
    <row r="106">
      <c r="A106" s="63">
        <f>ROW()-5</f>
        <v/>
      </c>
      <c r="B106" s="64">
        <f>IFERROR(INDEX(tbl_Finance[Date],$A106),"")</f>
        <v/>
      </c>
      <c r="C106" s="65">
        <f>IFERROR(INDEX(tbl_Finance[Xero Invoice No],$A106),"")</f>
        <v/>
      </c>
      <c r="D106" s="65">
        <f>IFERROR(INDEX(tbl_Finance[Client],$A106),"")</f>
        <v/>
      </c>
      <c r="E106" s="65">
        <f>IFERROR(INDEX(tbl_Finance[Job Number],$A106),"")</f>
        <v/>
      </c>
      <c r="F106" s="65">
        <f>IFERROR(INDEX(tbl_Finance[Cost Centre],$A106),"")</f>
        <v/>
      </c>
      <c r="G106" s="66">
        <f>IFERROR(INDEX(tbl_Finance[Ex GST],$A106),"")</f>
        <v/>
      </c>
      <c r="H106" s="64">
        <f>IFERROR(INDEX(tbl_Finance[Defer Start],$A106),"")</f>
        <v/>
      </c>
      <c r="I106" s="64">
        <f>IFERROR(INDEX(tbl_Finance[Defer End],$A106),"")</f>
        <v/>
      </c>
      <c r="J106" s="63">
        <f>IF(OR($H106="",$I106="",$G106=""),"",MAX(1,(YEAR($I106)-YEAR($H106))*12+MONTH($I106)-MONTH($H106)+1))</f>
        <v/>
      </c>
      <c r="K106" s="66">
        <f>IF($J106="","",$G106/$J106)</f>
        <v/>
      </c>
      <c r="L106" s="66">
        <f>IF($J106="",0,$K106*MAX(0,MIN(YEAR($C$3)*12+MONTH($C$3),YEAR($I106)*12+MONTH($I106))-(YEAR($H106)*12+MONTH($H106))+1))</f>
        <v/>
      </c>
      <c r="M106" s="66">
        <f>IF($J106="",0,$K106*MAX(0,MIN(YEAR($C$3)*12+MONTH($C$3)-1,YEAR($I106)*12+MONTH($I106))-(YEAR($H106)*12+MONTH($H106))+1))</f>
        <v/>
      </c>
      <c r="N106" s="66">
        <f>IF(OR($J106="",$B106=""),0,IF(YEAR($B106)*12+MONTH($B106)&lt;=YEAR($C$3)*12+MONTH($C$3),$G106,0))</f>
        <v/>
      </c>
      <c r="O106" s="66">
        <f>IF(OR($J106="",$B106=""),0,IF(YEAR($B106)*12+MONTH($B106)&lt;=YEAR($C$3)*12+MONTH($C$3)-1,$G106,0))</f>
        <v/>
      </c>
      <c r="P106" s="66">
        <f>$M106-$O106</f>
        <v/>
      </c>
      <c r="Q106" s="66">
        <f>($L106-$M106)-($N106-$O106)</f>
        <v/>
      </c>
      <c r="R106" s="66">
        <f>$L106-$N106</f>
        <v/>
      </c>
      <c r="S106" s="65">
        <f>"Finance invoice"</f>
        <v/>
      </c>
      <c r="T106" s="65">
        <f>"Revenue"</f>
        <v/>
      </c>
    </row>
    <row r="107">
      <c r="A107" s="63">
        <f>ROW()-5</f>
        <v/>
      </c>
      <c r="B107" s="64">
        <f>IFERROR(INDEX(tbl_Finance[Date],$A107),"")</f>
        <v/>
      </c>
      <c r="C107" s="65">
        <f>IFERROR(INDEX(tbl_Finance[Xero Invoice No],$A107),"")</f>
        <v/>
      </c>
      <c r="D107" s="65">
        <f>IFERROR(INDEX(tbl_Finance[Client],$A107),"")</f>
        <v/>
      </c>
      <c r="E107" s="65">
        <f>IFERROR(INDEX(tbl_Finance[Job Number],$A107),"")</f>
        <v/>
      </c>
      <c r="F107" s="65">
        <f>IFERROR(INDEX(tbl_Finance[Cost Centre],$A107),"")</f>
        <v/>
      </c>
      <c r="G107" s="66">
        <f>IFERROR(INDEX(tbl_Finance[Ex GST],$A107),"")</f>
        <v/>
      </c>
      <c r="H107" s="64">
        <f>IFERROR(INDEX(tbl_Finance[Defer Start],$A107),"")</f>
        <v/>
      </c>
      <c r="I107" s="64">
        <f>IFERROR(INDEX(tbl_Finance[Defer End],$A107),"")</f>
        <v/>
      </c>
      <c r="J107" s="63">
        <f>IF(OR($H107="",$I107="",$G107=""),"",MAX(1,(YEAR($I107)-YEAR($H107))*12+MONTH($I107)-MONTH($H107)+1))</f>
        <v/>
      </c>
      <c r="K107" s="66">
        <f>IF($J107="","",$G107/$J107)</f>
        <v/>
      </c>
      <c r="L107" s="66">
        <f>IF($J107="",0,$K107*MAX(0,MIN(YEAR($C$3)*12+MONTH($C$3),YEAR($I107)*12+MONTH($I107))-(YEAR($H107)*12+MONTH($H107))+1))</f>
        <v/>
      </c>
      <c r="M107" s="66">
        <f>IF($J107="",0,$K107*MAX(0,MIN(YEAR($C$3)*12+MONTH($C$3)-1,YEAR($I107)*12+MONTH($I107))-(YEAR($H107)*12+MONTH($H107))+1))</f>
        <v/>
      </c>
      <c r="N107" s="66">
        <f>IF(OR($J107="",$B107=""),0,IF(YEAR($B107)*12+MONTH($B107)&lt;=YEAR($C$3)*12+MONTH($C$3),$G107,0))</f>
        <v/>
      </c>
      <c r="O107" s="66">
        <f>IF(OR($J107="",$B107=""),0,IF(YEAR($B107)*12+MONTH($B107)&lt;=YEAR($C$3)*12+MONTH($C$3)-1,$G107,0))</f>
        <v/>
      </c>
      <c r="P107" s="66">
        <f>$M107-$O107</f>
        <v/>
      </c>
      <c r="Q107" s="66">
        <f>($L107-$M107)-($N107-$O107)</f>
        <v/>
      </c>
      <c r="R107" s="66">
        <f>$L107-$N107</f>
        <v/>
      </c>
      <c r="S107" s="65">
        <f>"Finance invoice"</f>
        <v/>
      </c>
      <c r="T107" s="65">
        <f>"Revenue"</f>
        <v/>
      </c>
    </row>
    <row r="108">
      <c r="A108" s="63">
        <f>ROW()-5</f>
        <v/>
      </c>
      <c r="B108" s="64">
        <f>IFERROR(INDEX(tbl_Finance[Date],$A108),"")</f>
        <v/>
      </c>
      <c r="C108" s="65">
        <f>IFERROR(INDEX(tbl_Finance[Xero Invoice No],$A108),"")</f>
        <v/>
      </c>
      <c r="D108" s="65">
        <f>IFERROR(INDEX(tbl_Finance[Client],$A108),"")</f>
        <v/>
      </c>
      <c r="E108" s="65">
        <f>IFERROR(INDEX(tbl_Finance[Job Number],$A108),"")</f>
        <v/>
      </c>
      <c r="F108" s="65">
        <f>IFERROR(INDEX(tbl_Finance[Cost Centre],$A108),"")</f>
        <v/>
      </c>
      <c r="G108" s="66">
        <f>IFERROR(INDEX(tbl_Finance[Ex GST],$A108),"")</f>
        <v/>
      </c>
      <c r="H108" s="64">
        <f>IFERROR(INDEX(tbl_Finance[Defer Start],$A108),"")</f>
        <v/>
      </c>
      <c r="I108" s="64">
        <f>IFERROR(INDEX(tbl_Finance[Defer End],$A108),"")</f>
        <v/>
      </c>
      <c r="J108" s="63">
        <f>IF(OR($H108="",$I108="",$G108=""),"",MAX(1,(YEAR($I108)-YEAR($H108))*12+MONTH($I108)-MONTH($H108)+1))</f>
        <v/>
      </c>
      <c r="K108" s="66">
        <f>IF($J108="","",$G108/$J108)</f>
        <v/>
      </c>
      <c r="L108" s="66">
        <f>IF($J108="",0,$K108*MAX(0,MIN(YEAR($C$3)*12+MONTH($C$3),YEAR($I108)*12+MONTH($I108))-(YEAR($H108)*12+MONTH($H108))+1))</f>
        <v/>
      </c>
      <c r="M108" s="66">
        <f>IF($J108="",0,$K108*MAX(0,MIN(YEAR($C$3)*12+MONTH($C$3)-1,YEAR($I108)*12+MONTH($I108))-(YEAR($H108)*12+MONTH($H108))+1))</f>
        <v/>
      </c>
      <c r="N108" s="66">
        <f>IF(OR($J108="",$B108=""),0,IF(YEAR($B108)*12+MONTH($B108)&lt;=YEAR($C$3)*12+MONTH($C$3),$G108,0))</f>
        <v/>
      </c>
      <c r="O108" s="66">
        <f>IF(OR($J108="",$B108=""),0,IF(YEAR($B108)*12+MONTH($B108)&lt;=YEAR($C$3)*12+MONTH($C$3)-1,$G108,0))</f>
        <v/>
      </c>
      <c r="P108" s="66">
        <f>$M108-$O108</f>
        <v/>
      </c>
      <c r="Q108" s="66">
        <f>($L108-$M108)-($N108-$O108)</f>
        <v/>
      </c>
      <c r="R108" s="66">
        <f>$L108-$N108</f>
        <v/>
      </c>
      <c r="S108" s="65">
        <f>"Finance invoice"</f>
        <v/>
      </c>
      <c r="T108" s="65">
        <f>"Revenue"</f>
        <v/>
      </c>
    </row>
    <row r="109">
      <c r="A109" s="63">
        <f>ROW()-5</f>
        <v/>
      </c>
      <c r="B109" s="64">
        <f>IFERROR(INDEX(tbl_Finance[Date],$A109),"")</f>
        <v/>
      </c>
      <c r="C109" s="65">
        <f>IFERROR(INDEX(tbl_Finance[Xero Invoice No],$A109),"")</f>
        <v/>
      </c>
      <c r="D109" s="65">
        <f>IFERROR(INDEX(tbl_Finance[Client],$A109),"")</f>
        <v/>
      </c>
      <c r="E109" s="65">
        <f>IFERROR(INDEX(tbl_Finance[Job Number],$A109),"")</f>
        <v/>
      </c>
      <c r="F109" s="65">
        <f>IFERROR(INDEX(tbl_Finance[Cost Centre],$A109),"")</f>
        <v/>
      </c>
      <c r="G109" s="66">
        <f>IFERROR(INDEX(tbl_Finance[Ex GST],$A109),"")</f>
        <v/>
      </c>
      <c r="H109" s="64">
        <f>IFERROR(INDEX(tbl_Finance[Defer Start],$A109),"")</f>
        <v/>
      </c>
      <c r="I109" s="64">
        <f>IFERROR(INDEX(tbl_Finance[Defer End],$A109),"")</f>
        <v/>
      </c>
      <c r="J109" s="63">
        <f>IF(OR($H109="",$I109="",$G109=""),"",MAX(1,(YEAR($I109)-YEAR($H109))*12+MONTH($I109)-MONTH($H109)+1))</f>
        <v/>
      </c>
      <c r="K109" s="66">
        <f>IF($J109="","",$G109/$J109)</f>
        <v/>
      </c>
      <c r="L109" s="66">
        <f>IF($J109="",0,$K109*MAX(0,MIN(YEAR($C$3)*12+MONTH($C$3),YEAR($I109)*12+MONTH($I109))-(YEAR($H109)*12+MONTH($H109))+1))</f>
        <v/>
      </c>
      <c r="M109" s="66">
        <f>IF($J109="",0,$K109*MAX(0,MIN(YEAR($C$3)*12+MONTH($C$3)-1,YEAR($I109)*12+MONTH($I109))-(YEAR($H109)*12+MONTH($H109))+1))</f>
        <v/>
      </c>
      <c r="N109" s="66">
        <f>IF(OR($J109="",$B109=""),0,IF(YEAR($B109)*12+MONTH($B109)&lt;=YEAR($C$3)*12+MONTH($C$3),$G109,0))</f>
        <v/>
      </c>
      <c r="O109" s="66">
        <f>IF(OR($J109="",$B109=""),0,IF(YEAR($B109)*12+MONTH($B109)&lt;=YEAR($C$3)*12+MONTH($C$3)-1,$G109,0))</f>
        <v/>
      </c>
      <c r="P109" s="66">
        <f>$M109-$O109</f>
        <v/>
      </c>
      <c r="Q109" s="66">
        <f>($L109-$M109)-($N109-$O109)</f>
        <v/>
      </c>
      <c r="R109" s="66">
        <f>$L109-$N109</f>
        <v/>
      </c>
      <c r="S109" s="65">
        <f>"Finance invoice"</f>
        <v/>
      </c>
      <c r="T109" s="65">
        <f>"Revenue"</f>
        <v/>
      </c>
    </row>
    <row r="110">
      <c r="A110" s="63">
        <f>ROW()-5</f>
        <v/>
      </c>
      <c r="B110" s="64">
        <f>IFERROR(INDEX(tbl_Finance[Date],$A110),"")</f>
        <v/>
      </c>
      <c r="C110" s="65">
        <f>IFERROR(INDEX(tbl_Finance[Xero Invoice No],$A110),"")</f>
        <v/>
      </c>
      <c r="D110" s="65">
        <f>IFERROR(INDEX(tbl_Finance[Client],$A110),"")</f>
        <v/>
      </c>
      <c r="E110" s="65">
        <f>IFERROR(INDEX(tbl_Finance[Job Number],$A110),"")</f>
        <v/>
      </c>
      <c r="F110" s="65">
        <f>IFERROR(INDEX(tbl_Finance[Cost Centre],$A110),"")</f>
        <v/>
      </c>
      <c r="G110" s="66">
        <f>IFERROR(INDEX(tbl_Finance[Ex GST],$A110),"")</f>
        <v/>
      </c>
      <c r="H110" s="64">
        <f>IFERROR(INDEX(tbl_Finance[Defer Start],$A110),"")</f>
        <v/>
      </c>
      <c r="I110" s="64">
        <f>IFERROR(INDEX(tbl_Finance[Defer End],$A110),"")</f>
        <v/>
      </c>
      <c r="J110" s="63">
        <f>IF(OR($H110="",$I110="",$G110=""),"",MAX(1,(YEAR($I110)-YEAR($H110))*12+MONTH($I110)-MONTH($H110)+1))</f>
        <v/>
      </c>
      <c r="K110" s="66">
        <f>IF($J110="","",$G110/$J110)</f>
        <v/>
      </c>
      <c r="L110" s="66">
        <f>IF($J110="",0,$K110*MAX(0,MIN(YEAR($C$3)*12+MONTH($C$3),YEAR($I110)*12+MONTH($I110))-(YEAR($H110)*12+MONTH($H110))+1))</f>
        <v/>
      </c>
      <c r="M110" s="66">
        <f>IF($J110="",0,$K110*MAX(0,MIN(YEAR($C$3)*12+MONTH($C$3)-1,YEAR($I110)*12+MONTH($I110))-(YEAR($H110)*12+MONTH($H110))+1))</f>
        <v/>
      </c>
      <c r="N110" s="66">
        <f>IF(OR($J110="",$B110=""),0,IF(YEAR($B110)*12+MONTH($B110)&lt;=YEAR($C$3)*12+MONTH($C$3),$G110,0))</f>
        <v/>
      </c>
      <c r="O110" s="66">
        <f>IF(OR($J110="",$B110=""),0,IF(YEAR($B110)*12+MONTH($B110)&lt;=YEAR($C$3)*12+MONTH($C$3)-1,$G110,0))</f>
        <v/>
      </c>
      <c r="P110" s="66">
        <f>$M110-$O110</f>
        <v/>
      </c>
      <c r="Q110" s="66">
        <f>($L110-$M110)-($N110-$O110)</f>
        <v/>
      </c>
      <c r="R110" s="66">
        <f>$L110-$N110</f>
        <v/>
      </c>
      <c r="S110" s="65">
        <f>"Finance invoice"</f>
        <v/>
      </c>
      <c r="T110" s="65">
        <f>"Revenue"</f>
        <v/>
      </c>
    </row>
    <row r="111">
      <c r="A111" s="63">
        <f>ROW()-5</f>
        <v/>
      </c>
      <c r="B111" s="64">
        <f>IFERROR(INDEX(tbl_Finance[Date],$A111),"")</f>
        <v/>
      </c>
      <c r="C111" s="65">
        <f>IFERROR(INDEX(tbl_Finance[Xero Invoice No],$A111),"")</f>
        <v/>
      </c>
      <c r="D111" s="65">
        <f>IFERROR(INDEX(tbl_Finance[Client],$A111),"")</f>
        <v/>
      </c>
      <c r="E111" s="65">
        <f>IFERROR(INDEX(tbl_Finance[Job Number],$A111),"")</f>
        <v/>
      </c>
      <c r="F111" s="65">
        <f>IFERROR(INDEX(tbl_Finance[Cost Centre],$A111),"")</f>
        <v/>
      </c>
      <c r="G111" s="66">
        <f>IFERROR(INDEX(tbl_Finance[Ex GST],$A111),"")</f>
        <v/>
      </c>
      <c r="H111" s="64">
        <f>IFERROR(INDEX(tbl_Finance[Defer Start],$A111),"")</f>
        <v/>
      </c>
      <c r="I111" s="64">
        <f>IFERROR(INDEX(tbl_Finance[Defer End],$A111),"")</f>
        <v/>
      </c>
      <c r="J111" s="63">
        <f>IF(OR($H111="",$I111="",$G111=""),"",MAX(1,(YEAR($I111)-YEAR($H111))*12+MONTH($I111)-MONTH($H111)+1))</f>
        <v/>
      </c>
      <c r="K111" s="66">
        <f>IF($J111="","",$G111/$J111)</f>
        <v/>
      </c>
      <c r="L111" s="66">
        <f>IF($J111="",0,$K111*MAX(0,MIN(YEAR($C$3)*12+MONTH($C$3),YEAR($I111)*12+MONTH($I111))-(YEAR($H111)*12+MONTH($H111))+1))</f>
        <v/>
      </c>
      <c r="M111" s="66">
        <f>IF($J111="",0,$K111*MAX(0,MIN(YEAR($C$3)*12+MONTH($C$3)-1,YEAR($I111)*12+MONTH($I111))-(YEAR($H111)*12+MONTH($H111))+1))</f>
        <v/>
      </c>
      <c r="N111" s="66">
        <f>IF(OR($J111="",$B111=""),0,IF(YEAR($B111)*12+MONTH($B111)&lt;=YEAR($C$3)*12+MONTH($C$3),$G111,0))</f>
        <v/>
      </c>
      <c r="O111" s="66">
        <f>IF(OR($J111="",$B111=""),0,IF(YEAR($B111)*12+MONTH($B111)&lt;=YEAR($C$3)*12+MONTH($C$3)-1,$G111,0))</f>
        <v/>
      </c>
      <c r="P111" s="66">
        <f>$M111-$O111</f>
        <v/>
      </c>
      <c r="Q111" s="66">
        <f>($L111-$M111)-($N111-$O111)</f>
        <v/>
      </c>
      <c r="R111" s="66">
        <f>$L111-$N111</f>
        <v/>
      </c>
      <c r="S111" s="65">
        <f>"Finance invoice"</f>
        <v/>
      </c>
      <c r="T111" s="65">
        <f>"Revenue"</f>
        <v/>
      </c>
    </row>
    <row r="112">
      <c r="A112" s="63">
        <f>ROW()-5</f>
        <v/>
      </c>
      <c r="B112" s="64">
        <f>IFERROR(INDEX(tbl_Finance[Date],$A112),"")</f>
        <v/>
      </c>
      <c r="C112" s="65">
        <f>IFERROR(INDEX(tbl_Finance[Xero Invoice No],$A112),"")</f>
        <v/>
      </c>
      <c r="D112" s="65">
        <f>IFERROR(INDEX(tbl_Finance[Client],$A112),"")</f>
        <v/>
      </c>
      <c r="E112" s="65">
        <f>IFERROR(INDEX(tbl_Finance[Job Number],$A112),"")</f>
        <v/>
      </c>
      <c r="F112" s="65">
        <f>IFERROR(INDEX(tbl_Finance[Cost Centre],$A112),"")</f>
        <v/>
      </c>
      <c r="G112" s="66">
        <f>IFERROR(INDEX(tbl_Finance[Ex GST],$A112),"")</f>
        <v/>
      </c>
      <c r="H112" s="64">
        <f>IFERROR(INDEX(tbl_Finance[Defer Start],$A112),"")</f>
        <v/>
      </c>
      <c r="I112" s="64">
        <f>IFERROR(INDEX(tbl_Finance[Defer End],$A112),"")</f>
        <v/>
      </c>
      <c r="J112" s="63">
        <f>IF(OR($H112="",$I112="",$G112=""),"",MAX(1,(YEAR($I112)-YEAR($H112))*12+MONTH($I112)-MONTH($H112)+1))</f>
        <v/>
      </c>
      <c r="K112" s="66">
        <f>IF($J112="","",$G112/$J112)</f>
        <v/>
      </c>
      <c r="L112" s="66">
        <f>IF($J112="",0,$K112*MAX(0,MIN(YEAR($C$3)*12+MONTH($C$3),YEAR($I112)*12+MONTH($I112))-(YEAR($H112)*12+MONTH($H112))+1))</f>
        <v/>
      </c>
      <c r="M112" s="66">
        <f>IF($J112="",0,$K112*MAX(0,MIN(YEAR($C$3)*12+MONTH($C$3)-1,YEAR($I112)*12+MONTH($I112))-(YEAR($H112)*12+MONTH($H112))+1))</f>
        <v/>
      </c>
      <c r="N112" s="66">
        <f>IF(OR($J112="",$B112=""),0,IF(YEAR($B112)*12+MONTH($B112)&lt;=YEAR($C$3)*12+MONTH($C$3),$G112,0))</f>
        <v/>
      </c>
      <c r="O112" s="66">
        <f>IF(OR($J112="",$B112=""),0,IF(YEAR($B112)*12+MONTH($B112)&lt;=YEAR($C$3)*12+MONTH($C$3)-1,$G112,0))</f>
        <v/>
      </c>
      <c r="P112" s="66">
        <f>$M112-$O112</f>
        <v/>
      </c>
      <c r="Q112" s="66">
        <f>($L112-$M112)-($N112-$O112)</f>
        <v/>
      </c>
      <c r="R112" s="66">
        <f>$L112-$N112</f>
        <v/>
      </c>
      <c r="S112" s="65">
        <f>"Finance invoice"</f>
        <v/>
      </c>
      <c r="T112" s="65">
        <f>"Revenue"</f>
        <v/>
      </c>
    </row>
    <row r="113">
      <c r="A113" s="63">
        <f>ROW()-5</f>
        <v/>
      </c>
      <c r="B113" s="64">
        <f>IFERROR(INDEX(tbl_Finance[Date],$A113),"")</f>
        <v/>
      </c>
      <c r="C113" s="65">
        <f>IFERROR(INDEX(tbl_Finance[Xero Invoice No],$A113),"")</f>
        <v/>
      </c>
      <c r="D113" s="65">
        <f>IFERROR(INDEX(tbl_Finance[Client],$A113),"")</f>
        <v/>
      </c>
      <c r="E113" s="65">
        <f>IFERROR(INDEX(tbl_Finance[Job Number],$A113),"")</f>
        <v/>
      </c>
      <c r="F113" s="65">
        <f>IFERROR(INDEX(tbl_Finance[Cost Centre],$A113),"")</f>
        <v/>
      </c>
      <c r="G113" s="66">
        <f>IFERROR(INDEX(tbl_Finance[Ex GST],$A113),"")</f>
        <v/>
      </c>
      <c r="H113" s="64">
        <f>IFERROR(INDEX(tbl_Finance[Defer Start],$A113),"")</f>
        <v/>
      </c>
      <c r="I113" s="64">
        <f>IFERROR(INDEX(tbl_Finance[Defer End],$A113),"")</f>
        <v/>
      </c>
      <c r="J113" s="63">
        <f>IF(OR($H113="",$I113="",$G113=""),"",MAX(1,(YEAR($I113)-YEAR($H113))*12+MONTH($I113)-MONTH($H113)+1))</f>
        <v/>
      </c>
      <c r="K113" s="66">
        <f>IF($J113="","",$G113/$J113)</f>
        <v/>
      </c>
      <c r="L113" s="66">
        <f>IF($J113="",0,$K113*MAX(0,MIN(YEAR($C$3)*12+MONTH($C$3),YEAR($I113)*12+MONTH($I113))-(YEAR($H113)*12+MONTH($H113))+1))</f>
        <v/>
      </c>
      <c r="M113" s="66">
        <f>IF($J113="",0,$K113*MAX(0,MIN(YEAR($C$3)*12+MONTH($C$3)-1,YEAR($I113)*12+MONTH($I113))-(YEAR($H113)*12+MONTH($H113))+1))</f>
        <v/>
      </c>
      <c r="N113" s="66">
        <f>IF(OR($J113="",$B113=""),0,IF(YEAR($B113)*12+MONTH($B113)&lt;=YEAR($C$3)*12+MONTH($C$3),$G113,0))</f>
        <v/>
      </c>
      <c r="O113" s="66">
        <f>IF(OR($J113="",$B113=""),0,IF(YEAR($B113)*12+MONTH($B113)&lt;=YEAR($C$3)*12+MONTH($C$3)-1,$G113,0))</f>
        <v/>
      </c>
      <c r="P113" s="66">
        <f>$M113-$O113</f>
        <v/>
      </c>
      <c r="Q113" s="66">
        <f>($L113-$M113)-($N113-$O113)</f>
        <v/>
      </c>
      <c r="R113" s="66">
        <f>$L113-$N113</f>
        <v/>
      </c>
      <c r="S113" s="65">
        <f>"Finance invoice"</f>
        <v/>
      </c>
      <c r="T113" s="65">
        <f>"Revenue"</f>
        <v/>
      </c>
    </row>
    <row r="114">
      <c r="A114" s="63">
        <f>ROW()-5</f>
        <v/>
      </c>
      <c r="B114" s="64">
        <f>IFERROR(INDEX(tbl_Finance[Date],$A114),"")</f>
        <v/>
      </c>
      <c r="C114" s="65">
        <f>IFERROR(INDEX(tbl_Finance[Xero Invoice No],$A114),"")</f>
        <v/>
      </c>
      <c r="D114" s="65">
        <f>IFERROR(INDEX(tbl_Finance[Client],$A114),"")</f>
        <v/>
      </c>
      <c r="E114" s="65">
        <f>IFERROR(INDEX(tbl_Finance[Job Number],$A114),"")</f>
        <v/>
      </c>
      <c r="F114" s="65">
        <f>IFERROR(INDEX(tbl_Finance[Cost Centre],$A114),"")</f>
        <v/>
      </c>
      <c r="G114" s="66">
        <f>IFERROR(INDEX(tbl_Finance[Ex GST],$A114),"")</f>
        <v/>
      </c>
      <c r="H114" s="64">
        <f>IFERROR(INDEX(tbl_Finance[Defer Start],$A114),"")</f>
        <v/>
      </c>
      <c r="I114" s="64">
        <f>IFERROR(INDEX(tbl_Finance[Defer End],$A114),"")</f>
        <v/>
      </c>
      <c r="J114" s="63">
        <f>IF(OR($H114="",$I114="",$G114=""),"",MAX(1,(YEAR($I114)-YEAR($H114))*12+MONTH($I114)-MONTH($H114)+1))</f>
        <v/>
      </c>
      <c r="K114" s="66">
        <f>IF($J114="","",$G114/$J114)</f>
        <v/>
      </c>
      <c r="L114" s="66">
        <f>IF($J114="",0,$K114*MAX(0,MIN(YEAR($C$3)*12+MONTH($C$3),YEAR($I114)*12+MONTH($I114))-(YEAR($H114)*12+MONTH($H114))+1))</f>
        <v/>
      </c>
      <c r="M114" s="66">
        <f>IF($J114="",0,$K114*MAX(0,MIN(YEAR($C$3)*12+MONTH($C$3)-1,YEAR($I114)*12+MONTH($I114))-(YEAR($H114)*12+MONTH($H114))+1))</f>
        <v/>
      </c>
      <c r="N114" s="66">
        <f>IF(OR($J114="",$B114=""),0,IF(YEAR($B114)*12+MONTH($B114)&lt;=YEAR($C$3)*12+MONTH($C$3),$G114,0))</f>
        <v/>
      </c>
      <c r="O114" s="66">
        <f>IF(OR($J114="",$B114=""),0,IF(YEAR($B114)*12+MONTH($B114)&lt;=YEAR($C$3)*12+MONTH($C$3)-1,$G114,0))</f>
        <v/>
      </c>
      <c r="P114" s="66">
        <f>$M114-$O114</f>
        <v/>
      </c>
      <c r="Q114" s="66">
        <f>($L114-$M114)-($N114-$O114)</f>
        <v/>
      </c>
      <c r="R114" s="66">
        <f>$L114-$N114</f>
        <v/>
      </c>
      <c r="S114" s="65">
        <f>"Finance invoice"</f>
        <v/>
      </c>
      <c r="T114" s="65">
        <f>"Revenue"</f>
        <v/>
      </c>
    </row>
    <row r="115">
      <c r="A115" s="63">
        <f>ROW()-5</f>
        <v/>
      </c>
      <c r="B115" s="64">
        <f>IFERROR(INDEX(tbl_Finance[Date],$A115),"")</f>
        <v/>
      </c>
      <c r="C115" s="65">
        <f>IFERROR(INDEX(tbl_Finance[Xero Invoice No],$A115),"")</f>
        <v/>
      </c>
      <c r="D115" s="65">
        <f>IFERROR(INDEX(tbl_Finance[Client],$A115),"")</f>
        <v/>
      </c>
      <c r="E115" s="65">
        <f>IFERROR(INDEX(tbl_Finance[Job Number],$A115),"")</f>
        <v/>
      </c>
      <c r="F115" s="65">
        <f>IFERROR(INDEX(tbl_Finance[Cost Centre],$A115),"")</f>
        <v/>
      </c>
      <c r="G115" s="66">
        <f>IFERROR(INDEX(tbl_Finance[Ex GST],$A115),"")</f>
        <v/>
      </c>
      <c r="H115" s="64">
        <f>IFERROR(INDEX(tbl_Finance[Defer Start],$A115),"")</f>
        <v/>
      </c>
      <c r="I115" s="64">
        <f>IFERROR(INDEX(tbl_Finance[Defer End],$A115),"")</f>
        <v/>
      </c>
      <c r="J115" s="63">
        <f>IF(OR($H115="",$I115="",$G115=""),"",MAX(1,(YEAR($I115)-YEAR($H115))*12+MONTH($I115)-MONTH($H115)+1))</f>
        <v/>
      </c>
      <c r="K115" s="66">
        <f>IF($J115="","",$G115/$J115)</f>
        <v/>
      </c>
      <c r="L115" s="66">
        <f>IF($J115="",0,$K115*MAX(0,MIN(YEAR($C$3)*12+MONTH($C$3),YEAR($I115)*12+MONTH($I115))-(YEAR($H115)*12+MONTH($H115))+1))</f>
        <v/>
      </c>
      <c r="M115" s="66">
        <f>IF($J115="",0,$K115*MAX(0,MIN(YEAR($C$3)*12+MONTH($C$3)-1,YEAR($I115)*12+MONTH($I115))-(YEAR($H115)*12+MONTH($H115))+1))</f>
        <v/>
      </c>
      <c r="N115" s="66">
        <f>IF(OR($J115="",$B115=""),0,IF(YEAR($B115)*12+MONTH($B115)&lt;=YEAR($C$3)*12+MONTH($C$3),$G115,0))</f>
        <v/>
      </c>
      <c r="O115" s="66">
        <f>IF(OR($J115="",$B115=""),0,IF(YEAR($B115)*12+MONTH($B115)&lt;=YEAR($C$3)*12+MONTH($C$3)-1,$G115,0))</f>
        <v/>
      </c>
      <c r="P115" s="66">
        <f>$M115-$O115</f>
        <v/>
      </c>
      <c r="Q115" s="66">
        <f>($L115-$M115)-($N115-$O115)</f>
        <v/>
      </c>
      <c r="R115" s="66">
        <f>$L115-$N115</f>
        <v/>
      </c>
      <c r="S115" s="65">
        <f>"Finance invoice"</f>
        <v/>
      </c>
      <c r="T115" s="65">
        <f>"Revenue"</f>
        <v/>
      </c>
    </row>
    <row r="116">
      <c r="A116" s="63">
        <f>ROW()-5</f>
        <v/>
      </c>
      <c r="B116" s="64">
        <f>IFERROR(INDEX(tbl_Finance[Date],$A116),"")</f>
        <v/>
      </c>
      <c r="C116" s="65">
        <f>IFERROR(INDEX(tbl_Finance[Xero Invoice No],$A116),"")</f>
        <v/>
      </c>
      <c r="D116" s="65">
        <f>IFERROR(INDEX(tbl_Finance[Client],$A116),"")</f>
        <v/>
      </c>
      <c r="E116" s="65">
        <f>IFERROR(INDEX(tbl_Finance[Job Number],$A116),"")</f>
        <v/>
      </c>
      <c r="F116" s="65">
        <f>IFERROR(INDEX(tbl_Finance[Cost Centre],$A116),"")</f>
        <v/>
      </c>
      <c r="G116" s="66">
        <f>IFERROR(INDEX(tbl_Finance[Ex GST],$A116),"")</f>
        <v/>
      </c>
      <c r="H116" s="64">
        <f>IFERROR(INDEX(tbl_Finance[Defer Start],$A116),"")</f>
        <v/>
      </c>
      <c r="I116" s="64">
        <f>IFERROR(INDEX(tbl_Finance[Defer End],$A116),"")</f>
        <v/>
      </c>
      <c r="J116" s="63">
        <f>IF(OR($H116="",$I116="",$G116=""),"",MAX(1,(YEAR($I116)-YEAR($H116))*12+MONTH($I116)-MONTH($H116)+1))</f>
        <v/>
      </c>
      <c r="K116" s="66">
        <f>IF($J116="","",$G116/$J116)</f>
        <v/>
      </c>
      <c r="L116" s="66">
        <f>IF($J116="",0,$K116*MAX(0,MIN(YEAR($C$3)*12+MONTH($C$3),YEAR($I116)*12+MONTH($I116))-(YEAR($H116)*12+MONTH($H116))+1))</f>
        <v/>
      </c>
      <c r="M116" s="66">
        <f>IF($J116="",0,$K116*MAX(0,MIN(YEAR($C$3)*12+MONTH($C$3)-1,YEAR($I116)*12+MONTH($I116))-(YEAR($H116)*12+MONTH($H116))+1))</f>
        <v/>
      </c>
      <c r="N116" s="66">
        <f>IF(OR($J116="",$B116=""),0,IF(YEAR($B116)*12+MONTH($B116)&lt;=YEAR($C$3)*12+MONTH($C$3),$G116,0))</f>
        <v/>
      </c>
      <c r="O116" s="66">
        <f>IF(OR($J116="",$B116=""),0,IF(YEAR($B116)*12+MONTH($B116)&lt;=YEAR($C$3)*12+MONTH($C$3)-1,$G116,0))</f>
        <v/>
      </c>
      <c r="P116" s="66">
        <f>$M116-$O116</f>
        <v/>
      </c>
      <c r="Q116" s="66">
        <f>($L116-$M116)-($N116-$O116)</f>
        <v/>
      </c>
      <c r="R116" s="66">
        <f>$L116-$N116</f>
        <v/>
      </c>
      <c r="S116" s="65">
        <f>"Finance invoice"</f>
        <v/>
      </c>
      <c r="T116" s="65">
        <f>"Revenue"</f>
        <v/>
      </c>
    </row>
    <row r="117">
      <c r="A117" s="63">
        <f>ROW()-5</f>
        <v/>
      </c>
      <c r="B117" s="64">
        <f>IFERROR(INDEX(tbl_Finance[Date],$A117),"")</f>
        <v/>
      </c>
      <c r="C117" s="65">
        <f>IFERROR(INDEX(tbl_Finance[Xero Invoice No],$A117),"")</f>
        <v/>
      </c>
      <c r="D117" s="65">
        <f>IFERROR(INDEX(tbl_Finance[Client],$A117),"")</f>
        <v/>
      </c>
      <c r="E117" s="65">
        <f>IFERROR(INDEX(tbl_Finance[Job Number],$A117),"")</f>
        <v/>
      </c>
      <c r="F117" s="65">
        <f>IFERROR(INDEX(tbl_Finance[Cost Centre],$A117),"")</f>
        <v/>
      </c>
      <c r="G117" s="66">
        <f>IFERROR(INDEX(tbl_Finance[Ex GST],$A117),"")</f>
        <v/>
      </c>
      <c r="H117" s="64">
        <f>IFERROR(INDEX(tbl_Finance[Defer Start],$A117),"")</f>
        <v/>
      </c>
      <c r="I117" s="64">
        <f>IFERROR(INDEX(tbl_Finance[Defer End],$A117),"")</f>
        <v/>
      </c>
      <c r="J117" s="63">
        <f>IF(OR($H117="",$I117="",$G117=""),"",MAX(1,(YEAR($I117)-YEAR($H117))*12+MONTH($I117)-MONTH($H117)+1))</f>
        <v/>
      </c>
      <c r="K117" s="66">
        <f>IF($J117="","",$G117/$J117)</f>
        <v/>
      </c>
      <c r="L117" s="66">
        <f>IF($J117="",0,$K117*MAX(0,MIN(YEAR($C$3)*12+MONTH($C$3),YEAR($I117)*12+MONTH($I117))-(YEAR($H117)*12+MONTH($H117))+1))</f>
        <v/>
      </c>
      <c r="M117" s="66">
        <f>IF($J117="",0,$K117*MAX(0,MIN(YEAR($C$3)*12+MONTH($C$3)-1,YEAR($I117)*12+MONTH($I117))-(YEAR($H117)*12+MONTH($H117))+1))</f>
        <v/>
      </c>
      <c r="N117" s="66">
        <f>IF(OR($J117="",$B117=""),0,IF(YEAR($B117)*12+MONTH($B117)&lt;=YEAR($C$3)*12+MONTH($C$3),$G117,0))</f>
        <v/>
      </c>
      <c r="O117" s="66">
        <f>IF(OR($J117="",$B117=""),0,IF(YEAR($B117)*12+MONTH($B117)&lt;=YEAR($C$3)*12+MONTH($C$3)-1,$G117,0))</f>
        <v/>
      </c>
      <c r="P117" s="66">
        <f>$M117-$O117</f>
        <v/>
      </c>
      <c r="Q117" s="66">
        <f>($L117-$M117)-($N117-$O117)</f>
        <v/>
      </c>
      <c r="R117" s="66">
        <f>$L117-$N117</f>
        <v/>
      </c>
      <c r="S117" s="65">
        <f>"Finance invoice"</f>
        <v/>
      </c>
      <c r="T117" s="65">
        <f>"Revenue"</f>
        <v/>
      </c>
    </row>
    <row r="118">
      <c r="A118" s="63">
        <f>ROW()-5</f>
        <v/>
      </c>
      <c r="B118" s="64">
        <f>IFERROR(INDEX(tbl_Finance[Date],$A118),"")</f>
        <v/>
      </c>
      <c r="C118" s="65">
        <f>IFERROR(INDEX(tbl_Finance[Xero Invoice No],$A118),"")</f>
        <v/>
      </c>
      <c r="D118" s="65">
        <f>IFERROR(INDEX(tbl_Finance[Client],$A118),"")</f>
        <v/>
      </c>
      <c r="E118" s="65">
        <f>IFERROR(INDEX(tbl_Finance[Job Number],$A118),"")</f>
        <v/>
      </c>
      <c r="F118" s="65">
        <f>IFERROR(INDEX(tbl_Finance[Cost Centre],$A118),"")</f>
        <v/>
      </c>
      <c r="G118" s="66">
        <f>IFERROR(INDEX(tbl_Finance[Ex GST],$A118),"")</f>
        <v/>
      </c>
      <c r="H118" s="64">
        <f>IFERROR(INDEX(tbl_Finance[Defer Start],$A118),"")</f>
        <v/>
      </c>
      <c r="I118" s="64">
        <f>IFERROR(INDEX(tbl_Finance[Defer End],$A118),"")</f>
        <v/>
      </c>
      <c r="J118" s="63">
        <f>IF(OR($H118="",$I118="",$G118=""),"",MAX(1,(YEAR($I118)-YEAR($H118))*12+MONTH($I118)-MONTH($H118)+1))</f>
        <v/>
      </c>
      <c r="K118" s="66">
        <f>IF($J118="","",$G118/$J118)</f>
        <v/>
      </c>
      <c r="L118" s="66">
        <f>IF($J118="",0,$K118*MAX(0,MIN(YEAR($C$3)*12+MONTH($C$3),YEAR($I118)*12+MONTH($I118))-(YEAR($H118)*12+MONTH($H118))+1))</f>
        <v/>
      </c>
      <c r="M118" s="66">
        <f>IF($J118="",0,$K118*MAX(0,MIN(YEAR($C$3)*12+MONTH($C$3)-1,YEAR($I118)*12+MONTH($I118))-(YEAR($H118)*12+MONTH($H118))+1))</f>
        <v/>
      </c>
      <c r="N118" s="66">
        <f>IF(OR($J118="",$B118=""),0,IF(YEAR($B118)*12+MONTH($B118)&lt;=YEAR($C$3)*12+MONTH($C$3),$G118,0))</f>
        <v/>
      </c>
      <c r="O118" s="66">
        <f>IF(OR($J118="",$B118=""),0,IF(YEAR($B118)*12+MONTH($B118)&lt;=YEAR($C$3)*12+MONTH($C$3)-1,$G118,0))</f>
        <v/>
      </c>
      <c r="P118" s="66">
        <f>$M118-$O118</f>
        <v/>
      </c>
      <c r="Q118" s="66">
        <f>($L118-$M118)-($N118-$O118)</f>
        <v/>
      </c>
      <c r="R118" s="66">
        <f>$L118-$N118</f>
        <v/>
      </c>
      <c r="S118" s="65">
        <f>"Finance invoice"</f>
        <v/>
      </c>
      <c r="T118" s="65">
        <f>"Revenue"</f>
        <v/>
      </c>
    </row>
    <row r="119">
      <c r="A119" s="63">
        <f>ROW()-5</f>
        <v/>
      </c>
      <c r="B119" s="64">
        <f>IFERROR(INDEX(tbl_Finance[Date],$A119),"")</f>
        <v/>
      </c>
      <c r="C119" s="65">
        <f>IFERROR(INDEX(tbl_Finance[Xero Invoice No],$A119),"")</f>
        <v/>
      </c>
      <c r="D119" s="65">
        <f>IFERROR(INDEX(tbl_Finance[Client],$A119),"")</f>
        <v/>
      </c>
      <c r="E119" s="65">
        <f>IFERROR(INDEX(tbl_Finance[Job Number],$A119),"")</f>
        <v/>
      </c>
      <c r="F119" s="65">
        <f>IFERROR(INDEX(tbl_Finance[Cost Centre],$A119),"")</f>
        <v/>
      </c>
      <c r="G119" s="66">
        <f>IFERROR(INDEX(tbl_Finance[Ex GST],$A119),"")</f>
        <v/>
      </c>
      <c r="H119" s="64">
        <f>IFERROR(INDEX(tbl_Finance[Defer Start],$A119),"")</f>
        <v/>
      </c>
      <c r="I119" s="64">
        <f>IFERROR(INDEX(tbl_Finance[Defer End],$A119),"")</f>
        <v/>
      </c>
      <c r="J119" s="63">
        <f>IF(OR($H119="",$I119="",$G119=""),"",MAX(1,(YEAR($I119)-YEAR($H119))*12+MONTH($I119)-MONTH($H119)+1))</f>
        <v/>
      </c>
      <c r="K119" s="66">
        <f>IF($J119="","",$G119/$J119)</f>
        <v/>
      </c>
      <c r="L119" s="66">
        <f>IF($J119="",0,$K119*MAX(0,MIN(YEAR($C$3)*12+MONTH($C$3),YEAR($I119)*12+MONTH($I119))-(YEAR($H119)*12+MONTH($H119))+1))</f>
        <v/>
      </c>
      <c r="M119" s="66">
        <f>IF($J119="",0,$K119*MAX(0,MIN(YEAR($C$3)*12+MONTH($C$3)-1,YEAR($I119)*12+MONTH($I119))-(YEAR($H119)*12+MONTH($H119))+1))</f>
        <v/>
      </c>
      <c r="N119" s="66">
        <f>IF(OR($J119="",$B119=""),0,IF(YEAR($B119)*12+MONTH($B119)&lt;=YEAR($C$3)*12+MONTH($C$3),$G119,0))</f>
        <v/>
      </c>
      <c r="O119" s="66">
        <f>IF(OR($J119="",$B119=""),0,IF(YEAR($B119)*12+MONTH($B119)&lt;=YEAR($C$3)*12+MONTH($C$3)-1,$G119,0))</f>
        <v/>
      </c>
      <c r="P119" s="66">
        <f>$M119-$O119</f>
        <v/>
      </c>
      <c r="Q119" s="66">
        <f>($L119-$M119)-($N119-$O119)</f>
        <v/>
      </c>
      <c r="R119" s="66">
        <f>$L119-$N119</f>
        <v/>
      </c>
      <c r="S119" s="65">
        <f>"Finance invoice"</f>
        <v/>
      </c>
      <c r="T119" s="65">
        <f>"Revenue"</f>
        <v/>
      </c>
    </row>
    <row r="120">
      <c r="A120" s="63">
        <f>ROW()-5</f>
        <v/>
      </c>
      <c r="B120" s="64">
        <f>IFERROR(INDEX(tbl_Finance[Date],$A120),"")</f>
        <v/>
      </c>
      <c r="C120" s="65">
        <f>IFERROR(INDEX(tbl_Finance[Xero Invoice No],$A120),"")</f>
        <v/>
      </c>
      <c r="D120" s="65">
        <f>IFERROR(INDEX(tbl_Finance[Client],$A120),"")</f>
        <v/>
      </c>
      <c r="E120" s="65">
        <f>IFERROR(INDEX(tbl_Finance[Job Number],$A120),"")</f>
        <v/>
      </c>
      <c r="F120" s="65">
        <f>IFERROR(INDEX(tbl_Finance[Cost Centre],$A120),"")</f>
        <v/>
      </c>
      <c r="G120" s="66">
        <f>IFERROR(INDEX(tbl_Finance[Ex GST],$A120),"")</f>
        <v/>
      </c>
      <c r="H120" s="64">
        <f>IFERROR(INDEX(tbl_Finance[Defer Start],$A120),"")</f>
        <v/>
      </c>
      <c r="I120" s="64">
        <f>IFERROR(INDEX(tbl_Finance[Defer End],$A120),"")</f>
        <v/>
      </c>
      <c r="J120" s="63">
        <f>IF(OR($H120="",$I120="",$G120=""),"",MAX(1,(YEAR($I120)-YEAR($H120))*12+MONTH($I120)-MONTH($H120)+1))</f>
        <v/>
      </c>
      <c r="K120" s="66">
        <f>IF($J120="","",$G120/$J120)</f>
        <v/>
      </c>
      <c r="L120" s="66">
        <f>IF($J120="",0,$K120*MAX(0,MIN(YEAR($C$3)*12+MONTH($C$3),YEAR($I120)*12+MONTH($I120))-(YEAR($H120)*12+MONTH($H120))+1))</f>
        <v/>
      </c>
      <c r="M120" s="66">
        <f>IF($J120="",0,$K120*MAX(0,MIN(YEAR($C$3)*12+MONTH($C$3)-1,YEAR($I120)*12+MONTH($I120))-(YEAR($H120)*12+MONTH($H120))+1))</f>
        <v/>
      </c>
      <c r="N120" s="66">
        <f>IF(OR($J120="",$B120=""),0,IF(YEAR($B120)*12+MONTH($B120)&lt;=YEAR($C$3)*12+MONTH($C$3),$G120,0))</f>
        <v/>
      </c>
      <c r="O120" s="66">
        <f>IF(OR($J120="",$B120=""),0,IF(YEAR($B120)*12+MONTH($B120)&lt;=YEAR($C$3)*12+MONTH($C$3)-1,$G120,0))</f>
        <v/>
      </c>
      <c r="P120" s="66">
        <f>$M120-$O120</f>
        <v/>
      </c>
      <c r="Q120" s="66">
        <f>($L120-$M120)-($N120-$O120)</f>
        <v/>
      </c>
      <c r="R120" s="66">
        <f>$L120-$N120</f>
        <v/>
      </c>
      <c r="S120" s="65">
        <f>"Finance invoice"</f>
        <v/>
      </c>
      <c r="T120" s="65">
        <f>"Revenue"</f>
        <v/>
      </c>
    </row>
    <row r="121">
      <c r="A121" s="63">
        <f>ROW()-5</f>
        <v/>
      </c>
      <c r="B121" s="64">
        <f>IFERROR(INDEX(tbl_Finance[Date],$A121),"")</f>
        <v/>
      </c>
      <c r="C121" s="65">
        <f>IFERROR(INDEX(tbl_Finance[Xero Invoice No],$A121),"")</f>
        <v/>
      </c>
      <c r="D121" s="65">
        <f>IFERROR(INDEX(tbl_Finance[Client],$A121),"")</f>
        <v/>
      </c>
      <c r="E121" s="65">
        <f>IFERROR(INDEX(tbl_Finance[Job Number],$A121),"")</f>
        <v/>
      </c>
      <c r="F121" s="65">
        <f>IFERROR(INDEX(tbl_Finance[Cost Centre],$A121),"")</f>
        <v/>
      </c>
      <c r="G121" s="66">
        <f>IFERROR(INDEX(tbl_Finance[Ex GST],$A121),"")</f>
        <v/>
      </c>
      <c r="H121" s="64">
        <f>IFERROR(INDEX(tbl_Finance[Defer Start],$A121),"")</f>
        <v/>
      </c>
      <c r="I121" s="64">
        <f>IFERROR(INDEX(tbl_Finance[Defer End],$A121),"")</f>
        <v/>
      </c>
      <c r="J121" s="63">
        <f>IF(OR($H121="",$I121="",$G121=""),"",MAX(1,(YEAR($I121)-YEAR($H121))*12+MONTH($I121)-MONTH($H121)+1))</f>
        <v/>
      </c>
      <c r="K121" s="66">
        <f>IF($J121="","",$G121/$J121)</f>
        <v/>
      </c>
      <c r="L121" s="66">
        <f>IF($J121="",0,$K121*MAX(0,MIN(YEAR($C$3)*12+MONTH($C$3),YEAR($I121)*12+MONTH($I121))-(YEAR($H121)*12+MONTH($H121))+1))</f>
        <v/>
      </c>
      <c r="M121" s="66">
        <f>IF($J121="",0,$K121*MAX(0,MIN(YEAR($C$3)*12+MONTH($C$3)-1,YEAR($I121)*12+MONTH($I121))-(YEAR($H121)*12+MONTH($H121))+1))</f>
        <v/>
      </c>
      <c r="N121" s="66">
        <f>IF(OR($J121="",$B121=""),0,IF(YEAR($B121)*12+MONTH($B121)&lt;=YEAR($C$3)*12+MONTH($C$3),$G121,0))</f>
        <v/>
      </c>
      <c r="O121" s="66">
        <f>IF(OR($J121="",$B121=""),0,IF(YEAR($B121)*12+MONTH($B121)&lt;=YEAR($C$3)*12+MONTH($C$3)-1,$G121,0))</f>
        <v/>
      </c>
      <c r="P121" s="66">
        <f>$M121-$O121</f>
        <v/>
      </c>
      <c r="Q121" s="66">
        <f>($L121-$M121)-($N121-$O121)</f>
        <v/>
      </c>
      <c r="R121" s="66">
        <f>$L121-$N121</f>
        <v/>
      </c>
      <c r="S121" s="65">
        <f>"Finance invoice"</f>
        <v/>
      </c>
      <c r="T121" s="65">
        <f>"Revenue"</f>
        <v/>
      </c>
    </row>
    <row r="122">
      <c r="A122" s="63">
        <f>ROW()-5</f>
        <v/>
      </c>
      <c r="B122" s="64">
        <f>IFERROR(INDEX(tbl_Finance[Date],$A122),"")</f>
        <v/>
      </c>
      <c r="C122" s="65">
        <f>IFERROR(INDEX(tbl_Finance[Xero Invoice No],$A122),"")</f>
        <v/>
      </c>
      <c r="D122" s="65">
        <f>IFERROR(INDEX(tbl_Finance[Client],$A122),"")</f>
        <v/>
      </c>
      <c r="E122" s="65">
        <f>IFERROR(INDEX(tbl_Finance[Job Number],$A122),"")</f>
        <v/>
      </c>
      <c r="F122" s="65">
        <f>IFERROR(INDEX(tbl_Finance[Cost Centre],$A122),"")</f>
        <v/>
      </c>
      <c r="G122" s="66">
        <f>IFERROR(INDEX(tbl_Finance[Ex GST],$A122),"")</f>
        <v/>
      </c>
      <c r="H122" s="64">
        <f>IFERROR(INDEX(tbl_Finance[Defer Start],$A122),"")</f>
        <v/>
      </c>
      <c r="I122" s="64">
        <f>IFERROR(INDEX(tbl_Finance[Defer End],$A122),"")</f>
        <v/>
      </c>
      <c r="J122" s="63">
        <f>IF(OR($H122="",$I122="",$G122=""),"",MAX(1,(YEAR($I122)-YEAR($H122))*12+MONTH($I122)-MONTH($H122)+1))</f>
        <v/>
      </c>
      <c r="K122" s="66">
        <f>IF($J122="","",$G122/$J122)</f>
        <v/>
      </c>
      <c r="L122" s="66">
        <f>IF($J122="",0,$K122*MAX(0,MIN(YEAR($C$3)*12+MONTH($C$3),YEAR($I122)*12+MONTH($I122))-(YEAR($H122)*12+MONTH($H122))+1))</f>
        <v/>
      </c>
      <c r="M122" s="66">
        <f>IF($J122="",0,$K122*MAX(0,MIN(YEAR($C$3)*12+MONTH($C$3)-1,YEAR($I122)*12+MONTH($I122))-(YEAR($H122)*12+MONTH($H122))+1))</f>
        <v/>
      </c>
      <c r="N122" s="66">
        <f>IF(OR($J122="",$B122=""),0,IF(YEAR($B122)*12+MONTH($B122)&lt;=YEAR($C$3)*12+MONTH($C$3),$G122,0))</f>
        <v/>
      </c>
      <c r="O122" s="66">
        <f>IF(OR($J122="",$B122=""),0,IF(YEAR($B122)*12+MONTH($B122)&lt;=YEAR($C$3)*12+MONTH($C$3)-1,$G122,0))</f>
        <v/>
      </c>
      <c r="P122" s="66">
        <f>$M122-$O122</f>
        <v/>
      </c>
      <c r="Q122" s="66">
        <f>($L122-$M122)-($N122-$O122)</f>
        <v/>
      </c>
      <c r="R122" s="66">
        <f>$L122-$N122</f>
        <v/>
      </c>
      <c r="S122" s="65">
        <f>"Finance invoice"</f>
        <v/>
      </c>
      <c r="T122" s="65">
        <f>"Revenue"</f>
        <v/>
      </c>
    </row>
    <row r="123">
      <c r="A123" s="63">
        <f>ROW()-5</f>
        <v/>
      </c>
      <c r="B123" s="64">
        <f>IFERROR(INDEX(tbl_Finance[Date],$A123),"")</f>
        <v/>
      </c>
      <c r="C123" s="65">
        <f>IFERROR(INDEX(tbl_Finance[Xero Invoice No],$A123),"")</f>
        <v/>
      </c>
      <c r="D123" s="65">
        <f>IFERROR(INDEX(tbl_Finance[Client],$A123),"")</f>
        <v/>
      </c>
      <c r="E123" s="65">
        <f>IFERROR(INDEX(tbl_Finance[Job Number],$A123),"")</f>
        <v/>
      </c>
      <c r="F123" s="65">
        <f>IFERROR(INDEX(tbl_Finance[Cost Centre],$A123),"")</f>
        <v/>
      </c>
      <c r="G123" s="66">
        <f>IFERROR(INDEX(tbl_Finance[Ex GST],$A123),"")</f>
        <v/>
      </c>
      <c r="H123" s="64">
        <f>IFERROR(INDEX(tbl_Finance[Defer Start],$A123),"")</f>
        <v/>
      </c>
      <c r="I123" s="64">
        <f>IFERROR(INDEX(tbl_Finance[Defer End],$A123),"")</f>
        <v/>
      </c>
      <c r="J123" s="63">
        <f>IF(OR($H123="",$I123="",$G123=""),"",MAX(1,(YEAR($I123)-YEAR($H123))*12+MONTH($I123)-MONTH($H123)+1))</f>
        <v/>
      </c>
      <c r="K123" s="66">
        <f>IF($J123="","",$G123/$J123)</f>
        <v/>
      </c>
      <c r="L123" s="66">
        <f>IF($J123="",0,$K123*MAX(0,MIN(YEAR($C$3)*12+MONTH($C$3),YEAR($I123)*12+MONTH($I123))-(YEAR($H123)*12+MONTH($H123))+1))</f>
        <v/>
      </c>
      <c r="M123" s="66">
        <f>IF($J123="",0,$K123*MAX(0,MIN(YEAR($C$3)*12+MONTH($C$3)-1,YEAR($I123)*12+MONTH($I123))-(YEAR($H123)*12+MONTH($H123))+1))</f>
        <v/>
      </c>
      <c r="N123" s="66">
        <f>IF(OR($J123="",$B123=""),0,IF(YEAR($B123)*12+MONTH($B123)&lt;=YEAR($C$3)*12+MONTH($C$3),$G123,0))</f>
        <v/>
      </c>
      <c r="O123" s="66">
        <f>IF(OR($J123="",$B123=""),0,IF(YEAR($B123)*12+MONTH($B123)&lt;=YEAR($C$3)*12+MONTH($C$3)-1,$G123,0))</f>
        <v/>
      </c>
      <c r="P123" s="66">
        <f>$M123-$O123</f>
        <v/>
      </c>
      <c r="Q123" s="66">
        <f>($L123-$M123)-($N123-$O123)</f>
        <v/>
      </c>
      <c r="R123" s="66">
        <f>$L123-$N123</f>
        <v/>
      </c>
      <c r="S123" s="65">
        <f>"Finance invoice"</f>
        <v/>
      </c>
      <c r="T123" s="65">
        <f>"Revenue"</f>
        <v/>
      </c>
    </row>
    <row r="124">
      <c r="A124" s="63">
        <f>ROW()-5</f>
        <v/>
      </c>
      <c r="B124" s="64">
        <f>IFERROR(INDEX(tbl_Finance[Date],$A124),"")</f>
        <v/>
      </c>
      <c r="C124" s="65">
        <f>IFERROR(INDEX(tbl_Finance[Xero Invoice No],$A124),"")</f>
        <v/>
      </c>
      <c r="D124" s="65">
        <f>IFERROR(INDEX(tbl_Finance[Client],$A124),"")</f>
        <v/>
      </c>
      <c r="E124" s="65">
        <f>IFERROR(INDEX(tbl_Finance[Job Number],$A124),"")</f>
        <v/>
      </c>
      <c r="F124" s="65">
        <f>IFERROR(INDEX(tbl_Finance[Cost Centre],$A124),"")</f>
        <v/>
      </c>
      <c r="G124" s="66">
        <f>IFERROR(INDEX(tbl_Finance[Ex GST],$A124),"")</f>
        <v/>
      </c>
      <c r="H124" s="64">
        <f>IFERROR(INDEX(tbl_Finance[Defer Start],$A124),"")</f>
        <v/>
      </c>
      <c r="I124" s="64">
        <f>IFERROR(INDEX(tbl_Finance[Defer End],$A124),"")</f>
        <v/>
      </c>
      <c r="J124" s="63">
        <f>IF(OR($H124="",$I124="",$G124=""),"",MAX(1,(YEAR($I124)-YEAR($H124))*12+MONTH($I124)-MONTH($H124)+1))</f>
        <v/>
      </c>
      <c r="K124" s="66">
        <f>IF($J124="","",$G124/$J124)</f>
        <v/>
      </c>
      <c r="L124" s="66">
        <f>IF($J124="",0,$K124*MAX(0,MIN(YEAR($C$3)*12+MONTH($C$3),YEAR($I124)*12+MONTH($I124))-(YEAR($H124)*12+MONTH($H124))+1))</f>
        <v/>
      </c>
      <c r="M124" s="66">
        <f>IF($J124="",0,$K124*MAX(0,MIN(YEAR($C$3)*12+MONTH($C$3)-1,YEAR($I124)*12+MONTH($I124))-(YEAR($H124)*12+MONTH($H124))+1))</f>
        <v/>
      </c>
      <c r="N124" s="66">
        <f>IF(OR($J124="",$B124=""),0,IF(YEAR($B124)*12+MONTH($B124)&lt;=YEAR($C$3)*12+MONTH($C$3),$G124,0))</f>
        <v/>
      </c>
      <c r="O124" s="66">
        <f>IF(OR($J124="",$B124=""),0,IF(YEAR($B124)*12+MONTH($B124)&lt;=YEAR($C$3)*12+MONTH($C$3)-1,$G124,0))</f>
        <v/>
      </c>
      <c r="P124" s="66">
        <f>$M124-$O124</f>
        <v/>
      </c>
      <c r="Q124" s="66">
        <f>($L124-$M124)-($N124-$O124)</f>
        <v/>
      </c>
      <c r="R124" s="66">
        <f>$L124-$N124</f>
        <v/>
      </c>
      <c r="S124" s="65">
        <f>"Finance invoice"</f>
        <v/>
      </c>
      <c r="T124" s="65">
        <f>"Revenue"</f>
        <v/>
      </c>
    </row>
    <row r="125">
      <c r="A125" s="63">
        <f>ROW()-5</f>
        <v/>
      </c>
      <c r="B125" s="64">
        <f>IFERROR(INDEX(tbl_Finance[Date],$A125),"")</f>
        <v/>
      </c>
      <c r="C125" s="65">
        <f>IFERROR(INDEX(tbl_Finance[Xero Invoice No],$A125),"")</f>
        <v/>
      </c>
      <c r="D125" s="65">
        <f>IFERROR(INDEX(tbl_Finance[Client],$A125),"")</f>
        <v/>
      </c>
      <c r="E125" s="65">
        <f>IFERROR(INDEX(tbl_Finance[Job Number],$A125),"")</f>
        <v/>
      </c>
      <c r="F125" s="65">
        <f>IFERROR(INDEX(tbl_Finance[Cost Centre],$A125),"")</f>
        <v/>
      </c>
      <c r="G125" s="66">
        <f>IFERROR(INDEX(tbl_Finance[Ex GST],$A125),"")</f>
        <v/>
      </c>
      <c r="H125" s="64">
        <f>IFERROR(INDEX(tbl_Finance[Defer Start],$A125),"")</f>
        <v/>
      </c>
      <c r="I125" s="64">
        <f>IFERROR(INDEX(tbl_Finance[Defer End],$A125),"")</f>
        <v/>
      </c>
      <c r="J125" s="63">
        <f>IF(OR($H125="",$I125="",$G125=""),"",MAX(1,(YEAR($I125)-YEAR($H125))*12+MONTH($I125)-MONTH($H125)+1))</f>
        <v/>
      </c>
      <c r="K125" s="66">
        <f>IF($J125="","",$G125/$J125)</f>
        <v/>
      </c>
      <c r="L125" s="66">
        <f>IF($J125="",0,$K125*MAX(0,MIN(YEAR($C$3)*12+MONTH($C$3),YEAR($I125)*12+MONTH($I125))-(YEAR($H125)*12+MONTH($H125))+1))</f>
        <v/>
      </c>
      <c r="M125" s="66">
        <f>IF($J125="",0,$K125*MAX(0,MIN(YEAR($C$3)*12+MONTH($C$3)-1,YEAR($I125)*12+MONTH($I125))-(YEAR($H125)*12+MONTH($H125))+1))</f>
        <v/>
      </c>
      <c r="N125" s="66">
        <f>IF(OR($J125="",$B125=""),0,IF(YEAR($B125)*12+MONTH($B125)&lt;=YEAR($C$3)*12+MONTH($C$3),$G125,0))</f>
        <v/>
      </c>
      <c r="O125" s="66">
        <f>IF(OR($J125="",$B125=""),0,IF(YEAR($B125)*12+MONTH($B125)&lt;=YEAR($C$3)*12+MONTH($C$3)-1,$G125,0))</f>
        <v/>
      </c>
      <c r="P125" s="66">
        <f>$M125-$O125</f>
        <v/>
      </c>
      <c r="Q125" s="66">
        <f>($L125-$M125)-($N125-$O125)</f>
        <v/>
      </c>
      <c r="R125" s="66">
        <f>$L125-$N125</f>
        <v/>
      </c>
      <c r="S125" s="65">
        <f>"Finance invoice"</f>
        <v/>
      </c>
      <c r="T125" s="65">
        <f>"Revenue"</f>
        <v/>
      </c>
    </row>
    <row r="126">
      <c r="A126" s="63">
        <f>ROW()-5</f>
        <v/>
      </c>
      <c r="B126" s="64">
        <f>IFERROR(INDEX(tbl_Finance[Date],$A126),"")</f>
        <v/>
      </c>
      <c r="C126" s="65">
        <f>IFERROR(INDEX(tbl_Finance[Xero Invoice No],$A126),"")</f>
        <v/>
      </c>
      <c r="D126" s="65">
        <f>IFERROR(INDEX(tbl_Finance[Client],$A126),"")</f>
        <v/>
      </c>
      <c r="E126" s="65">
        <f>IFERROR(INDEX(tbl_Finance[Job Number],$A126),"")</f>
        <v/>
      </c>
      <c r="F126" s="65">
        <f>IFERROR(INDEX(tbl_Finance[Cost Centre],$A126),"")</f>
        <v/>
      </c>
      <c r="G126" s="66">
        <f>IFERROR(INDEX(tbl_Finance[Ex GST],$A126),"")</f>
        <v/>
      </c>
      <c r="H126" s="64">
        <f>IFERROR(INDEX(tbl_Finance[Defer Start],$A126),"")</f>
        <v/>
      </c>
      <c r="I126" s="64">
        <f>IFERROR(INDEX(tbl_Finance[Defer End],$A126),"")</f>
        <v/>
      </c>
      <c r="J126" s="63">
        <f>IF(OR($H126="",$I126="",$G126=""),"",MAX(1,(YEAR($I126)-YEAR($H126))*12+MONTH($I126)-MONTH($H126)+1))</f>
        <v/>
      </c>
      <c r="K126" s="66">
        <f>IF($J126="","",$G126/$J126)</f>
        <v/>
      </c>
      <c r="L126" s="66">
        <f>IF($J126="",0,$K126*MAX(0,MIN(YEAR($C$3)*12+MONTH($C$3),YEAR($I126)*12+MONTH($I126))-(YEAR($H126)*12+MONTH($H126))+1))</f>
        <v/>
      </c>
      <c r="M126" s="66">
        <f>IF($J126="",0,$K126*MAX(0,MIN(YEAR($C$3)*12+MONTH($C$3)-1,YEAR($I126)*12+MONTH($I126))-(YEAR($H126)*12+MONTH($H126))+1))</f>
        <v/>
      </c>
      <c r="N126" s="66">
        <f>IF(OR($J126="",$B126=""),0,IF(YEAR($B126)*12+MONTH($B126)&lt;=YEAR($C$3)*12+MONTH($C$3),$G126,0))</f>
        <v/>
      </c>
      <c r="O126" s="66">
        <f>IF(OR($J126="",$B126=""),0,IF(YEAR($B126)*12+MONTH($B126)&lt;=YEAR($C$3)*12+MONTH($C$3)-1,$G126,0))</f>
        <v/>
      </c>
      <c r="P126" s="66">
        <f>$M126-$O126</f>
        <v/>
      </c>
      <c r="Q126" s="66">
        <f>($L126-$M126)-($N126-$O126)</f>
        <v/>
      </c>
      <c r="R126" s="66">
        <f>$L126-$N126</f>
        <v/>
      </c>
      <c r="S126" s="65">
        <f>"Finance invoice"</f>
        <v/>
      </c>
      <c r="T126" s="65">
        <f>"Revenue"</f>
        <v/>
      </c>
    </row>
    <row r="127">
      <c r="A127" s="63">
        <f>ROW()-5</f>
        <v/>
      </c>
      <c r="B127" s="64">
        <f>IFERROR(INDEX(tbl_Finance[Date],$A127),"")</f>
        <v/>
      </c>
      <c r="C127" s="65">
        <f>IFERROR(INDEX(tbl_Finance[Xero Invoice No],$A127),"")</f>
        <v/>
      </c>
      <c r="D127" s="65">
        <f>IFERROR(INDEX(tbl_Finance[Client],$A127),"")</f>
        <v/>
      </c>
      <c r="E127" s="65">
        <f>IFERROR(INDEX(tbl_Finance[Job Number],$A127),"")</f>
        <v/>
      </c>
      <c r="F127" s="65">
        <f>IFERROR(INDEX(tbl_Finance[Cost Centre],$A127),"")</f>
        <v/>
      </c>
      <c r="G127" s="66">
        <f>IFERROR(INDEX(tbl_Finance[Ex GST],$A127),"")</f>
        <v/>
      </c>
      <c r="H127" s="64">
        <f>IFERROR(INDEX(tbl_Finance[Defer Start],$A127),"")</f>
        <v/>
      </c>
      <c r="I127" s="64">
        <f>IFERROR(INDEX(tbl_Finance[Defer End],$A127),"")</f>
        <v/>
      </c>
      <c r="J127" s="63">
        <f>IF(OR($H127="",$I127="",$G127=""),"",MAX(1,(YEAR($I127)-YEAR($H127))*12+MONTH($I127)-MONTH($H127)+1))</f>
        <v/>
      </c>
      <c r="K127" s="66">
        <f>IF($J127="","",$G127/$J127)</f>
        <v/>
      </c>
      <c r="L127" s="66">
        <f>IF($J127="",0,$K127*MAX(0,MIN(YEAR($C$3)*12+MONTH($C$3),YEAR($I127)*12+MONTH($I127))-(YEAR($H127)*12+MONTH($H127))+1))</f>
        <v/>
      </c>
      <c r="M127" s="66">
        <f>IF($J127="",0,$K127*MAX(0,MIN(YEAR($C$3)*12+MONTH($C$3)-1,YEAR($I127)*12+MONTH($I127))-(YEAR($H127)*12+MONTH($H127))+1))</f>
        <v/>
      </c>
      <c r="N127" s="66">
        <f>IF(OR($J127="",$B127=""),0,IF(YEAR($B127)*12+MONTH($B127)&lt;=YEAR($C$3)*12+MONTH($C$3),$G127,0))</f>
        <v/>
      </c>
      <c r="O127" s="66">
        <f>IF(OR($J127="",$B127=""),0,IF(YEAR($B127)*12+MONTH($B127)&lt;=YEAR($C$3)*12+MONTH($C$3)-1,$G127,0))</f>
        <v/>
      </c>
      <c r="P127" s="66">
        <f>$M127-$O127</f>
        <v/>
      </c>
      <c r="Q127" s="66">
        <f>($L127-$M127)-($N127-$O127)</f>
        <v/>
      </c>
      <c r="R127" s="66">
        <f>$L127-$N127</f>
        <v/>
      </c>
      <c r="S127" s="65">
        <f>"Finance invoice"</f>
        <v/>
      </c>
      <c r="T127" s="65">
        <f>"Revenue"</f>
        <v/>
      </c>
    </row>
    <row r="128">
      <c r="A128" s="63">
        <f>ROW()-5</f>
        <v/>
      </c>
      <c r="B128" s="64">
        <f>IFERROR(INDEX(tbl_Finance[Date],$A128),"")</f>
        <v/>
      </c>
      <c r="C128" s="65">
        <f>IFERROR(INDEX(tbl_Finance[Xero Invoice No],$A128),"")</f>
        <v/>
      </c>
      <c r="D128" s="65">
        <f>IFERROR(INDEX(tbl_Finance[Client],$A128),"")</f>
        <v/>
      </c>
      <c r="E128" s="65">
        <f>IFERROR(INDEX(tbl_Finance[Job Number],$A128),"")</f>
        <v/>
      </c>
      <c r="F128" s="65">
        <f>IFERROR(INDEX(tbl_Finance[Cost Centre],$A128),"")</f>
        <v/>
      </c>
      <c r="G128" s="66">
        <f>IFERROR(INDEX(tbl_Finance[Ex GST],$A128),"")</f>
        <v/>
      </c>
      <c r="H128" s="64">
        <f>IFERROR(INDEX(tbl_Finance[Defer Start],$A128),"")</f>
        <v/>
      </c>
      <c r="I128" s="64">
        <f>IFERROR(INDEX(tbl_Finance[Defer End],$A128),"")</f>
        <v/>
      </c>
      <c r="J128" s="63">
        <f>IF(OR($H128="",$I128="",$G128=""),"",MAX(1,(YEAR($I128)-YEAR($H128))*12+MONTH($I128)-MONTH($H128)+1))</f>
        <v/>
      </c>
      <c r="K128" s="66">
        <f>IF($J128="","",$G128/$J128)</f>
        <v/>
      </c>
      <c r="L128" s="66">
        <f>IF($J128="",0,$K128*MAX(0,MIN(YEAR($C$3)*12+MONTH($C$3),YEAR($I128)*12+MONTH($I128))-(YEAR($H128)*12+MONTH($H128))+1))</f>
        <v/>
      </c>
      <c r="M128" s="66">
        <f>IF($J128="",0,$K128*MAX(0,MIN(YEAR($C$3)*12+MONTH($C$3)-1,YEAR($I128)*12+MONTH($I128))-(YEAR($H128)*12+MONTH($H128))+1))</f>
        <v/>
      </c>
      <c r="N128" s="66">
        <f>IF(OR($J128="",$B128=""),0,IF(YEAR($B128)*12+MONTH($B128)&lt;=YEAR($C$3)*12+MONTH($C$3),$G128,0))</f>
        <v/>
      </c>
      <c r="O128" s="66">
        <f>IF(OR($J128="",$B128=""),0,IF(YEAR($B128)*12+MONTH($B128)&lt;=YEAR($C$3)*12+MONTH($C$3)-1,$G128,0))</f>
        <v/>
      </c>
      <c r="P128" s="66">
        <f>$M128-$O128</f>
        <v/>
      </c>
      <c r="Q128" s="66">
        <f>($L128-$M128)-($N128-$O128)</f>
        <v/>
      </c>
      <c r="R128" s="66">
        <f>$L128-$N128</f>
        <v/>
      </c>
      <c r="S128" s="65">
        <f>"Finance invoice"</f>
        <v/>
      </c>
      <c r="T128" s="65">
        <f>"Revenue"</f>
        <v/>
      </c>
    </row>
    <row r="129">
      <c r="A129" s="63">
        <f>ROW()-5</f>
        <v/>
      </c>
      <c r="B129" s="64">
        <f>IFERROR(INDEX(tbl_Finance[Date],$A129),"")</f>
        <v/>
      </c>
      <c r="C129" s="65">
        <f>IFERROR(INDEX(tbl_Finance[Xero Invoice No],$A129),"")</f>
        <v/>
      </c>
      <c r="D129" s="65">
        <f>IFERROR(INDEX(tbl_Finance[Client],$A129),"")</f>
        <v/>
      </c>
      <c r="E129" s="65">
        <f>IFERROR(INDEX(tbl_Finance[Job Number],$A129),"")</f>
        <v/>
      </c>
      <c r="F129" s="65">
        <f>IFERROR(INDEX(tbl_Finance[Cost Centre],$A129),"")</f>
        <v/>
      </c>
      <c r="G129" s="66">
        <f>IFERROR(INDEX(tbl_Finance[Ex GST],$A129),"")</f>
        <v/>
      </c>
      <c r="H129" s="64">
        <f>IFERROR(INDEX(tbl_Finance[Defer Start],$A129),"")</f>
        <v/>
      </c>
      <c r="I129" s="64">
        <f>IFERROR(INDEX(tbl_Finance[Defer End],$A129),"")</f>
        <v/>
      </c>
      <c r="J129" s="63">
        <f>IF(OR($H129="",$I129="",$G129=""),"",MAX(1,(YEAR($I129)-YEAR($H129))*12+MONTH($I129)-MONTH($H129)+1))</f>
        <v/>
      </c>
      <c r="K129" s="66">
        <f>IF($J129="","",$G129/$J129)</f>
        <v/>
      </c>
      <c r="L129" s="66">
        <f>IF($J129="",0,$K129*MAX(0,MIN(YEAR($C$3)*12+MONTH($C$3),YEAR($I129)*12+MONTH($I129))-(YEAR($H129)*12+MONTH($H129))+1))</f>
        <v/>
      </c>
      <c r="M129" s="66">
        <f>IF($J129="",0,$K129*MAX(0,MIN(YEAR($C$3)*12+MONTH($C$3)-1,YEAR($I129)*12+MONTH($I129))-(YEAR($H129)*12+MONTH($H129))+1))</f>
        <v/>
      </c>
      <c r="N129" s="66">
        <f>IF(OR($J129="",$B129=""),0,IF(YEAR($B129)*12+MONTH($B129)&lt;=YEAR($C$3)*12+MONTH($C$3),$G129,0))</f>
        <v/>
      </c>
      <c r="O129" s="66">
        <f>IF(OR($J129="",$B129=""),0,IF(YEAR($B129)*12+MONTH($B129)&lt;=YEAR($C$3)*12+MONTH($C$3)-1,$G129,0))</f>
        <v/>
      </c>
      <c r="P129" s="66">
        <f>$M129-$O129</f>
        <v/>
      </c>
      <c r="Q129" s="66">
        <f>($L129-$M129)-($N129-$O129)</f>
        <v/>
      </c>
      <c r="R129" s="66">
        <f>$L129-$N129</f>
        <v/>
      </c>
      <c r="S129" s="65">
        <f>"Finance invoice"</f>
        <v/>
      </c>
      <c r="T129" s="65">
        <f>"Revenue"</f>
        <v/>
      </c>
    </row>
    <row r="130">
      <c r="A130" s="63">
        <f>ROW()-5</f>
        <v/>
      </c>
      <c r="B130" s="64">
        <f>IFERROR(INDEX(tbl_Finance[Date],$A130),"")</f>
        <v/>
      </c>
      <c r="C130" s="65">
        <f>IFERROR(INDEX(tbl_Finance[Xero Invoice No],$A130),"")</f>
        <v/>
      </c>
      <c r="D130" s="65">
        <f>IFERROR(INDEX(tbl_Finance[Client],$A130),"")</f>
        <v/>
      </c>
      <c r="E130" s="65">
        <f>IFERROR(INDEX(tbl_Finance[Job Number],$A130),"")</f>
        <v/>
      </c>
      <c r="F130" s="65">
        <f>IFERROR(INDEX(tbl_Finance[Cost Centre],$A130),"")</f>
        <v/>
      </c>
      <c r="G130" s="66">
        <f>IFERROR(INDEX(tbl_Finance[Ex GST],$A130),"")</f>
        <v/>
      </c>
      <c r="H130" s="64">
        <f>IFERROR(INDEX(tbl_Finance[Defer Start],$A130),"")</f>
        <v/>
      </c>
      <c r="I130" s="64">
        <f>IFERROR(INDEX(tbl_Finance[Defer End],$A130),"")</f>
        <v/>
      </c>
      <c r="J130" s="63">
        <f>IF(OR($H130="",$I130="",$G130=""),"",MAX(1,(YEAR($I130)-YEAR($H130))*12+MONTH($I130)-MONTH($H130)+1))</f>
        <v/>
      </c>
      <c r="K130" s="66">
        <f>IF($J130="","",$G130/$J130)</f>
        <v/>
      </c>
      <c r="L130" s="66">
        <f>IF($J130="",0,$K130*MAX(0,MIN(YEAR($C$3)*12+MONTH($C$3),YEAR($I130)*12+MONTH($I130))-(YEAR($H130)*12+MONTH($H130))+1))</f>
        <v/>
      </c>
      <c r="M130" s="66">
        <f>IF($J130="",0,$K130*MAX(0,MIN(YEAR($C$3)*12+MONTH($C$3)-1,YEAR($I130)*12+MONTH($I130))-(YEAR($H130)*12+MONTH($H130))+1))</f>
        <v/>
      </c>
      <c r="N130" s="66">
        <f>IF(OR($J130="",$B130=""),0,IF(YEAR($B130)*12+MONTH($B130)&lt;=YEAR($C$3)*12+MONTH($C$3),$G130,0))</f>
        <v/>
      </c>
      <c r="O130" s="66">
        <f>IF(OR($J130="",$B130=""),0,IF(YEAR($B130)*12+MONTH($B130)&lt;=YEAR($C$3)*12+MONTH($C$3)-1,$G130,0))</f>
        <v/>
      </c>
      <c r="P130" s="66">
        <f>$M130-$O130</f>
        <v/>
      </c>
      <c r="Q130" s="66">
        <f>($L130-$M130)-($N130-$O130)</f>
        <v/>
      </c>
      <c r="R130" s="66">
        <f>$L130-$N130</f>
        <v/>
      </c>
      <c r="S130" s="65">
        <f>"Finance invoice"</f>
        <v/>
      </c>
      <c r="T130" s="65">
        <f>"Revenue"</f>
        <v/>
      </c>
    </row>
    <row r="131">
      <c r="A131" s="63">
        <f>ROW()-5</f>
        <v/>
      </c>
      <c r="B131" s="64">
        <f>IFERROR(INDEX(tbl_Finance[Date],$A131),"")</f>
        <v/>
      </c>
      <c r="C131" s="65">
        <f>IFERROR(INDEX(tbl_Finance[Xero Invoice No],$A131),"")</f>
        <v/>
      </c>
      <c r="D131" s="65">
        <f>IFERROR(INDEX(tbl_Finance[Client],$A131),"")</f>
        <v/>
      </c>
      <c r="E131" s="65">
        <f>IFERROR(INDEX(tbl_Finance[Job Number],$A131),"")</f>
        <v/>
      </c>
      <c r="F131" s="65">
        <f>IFERROR(INDEX(tbl_Finance[Cost Centre],$A131),"")</f>
        <v/>
      </c>
      <c r="G131" s="66">
        <f>IFERROR(INDEX(tbl_Finance[Ex GST],$A131),"")</f>
        <v/>
      </c>
      <c r="H131" s="64">
        <f>IFERROR(INDEX(tbl_Finance[Defer Start],$A131),"")</f>
        <v/>
      </c>
      <c r="I131" s="64">
        <f>IFERROR(INDEX(tbl_Finance[Defer End],$A131),"")</f>
        <v/>
      </c>
      <c r="J131" s="63">
        <f>IF(OR($H131="",$I131="",$G131=""),"",MAX(1,(YEAR($I131)-YEAR($H131))*12+MONTH($I131)-MONTH($H131)+1))</f>
        <v/>
      </c>
      <c r="K131" s="66">
        <f>IF($J131="","",$G131/$J131)</f>
        <v/>
      </c>
      <c r="L131" s="66">
        <f>IF($J131="",0,$K131*MAX(0,MIN(YEAR($C$3)*12+MONTH($C$3),YEAR($I131)*12+MONTH($I131))-(YEAR($H131)*12+MONTH($H131))+1))</f>
        <v/>
      </c>
      <c r="M131" s="66">
        <f>IF($J131="",0,$K131*MAX(0,MIN(YEAR($C$3)*12+MONTH($C$3)-1,YEAR($I131)*12+MONTH($I131))-(YEAR($H131)*12+MONTH($H131))+1))</f>
        <v/>
      </c>
      <c r="N131" s="66">
        <f>IF(OR($J131="",$B131=""),0,IF(YEAR($B131)*12+MONTH($B131)&lt;=YEAR($C$3)*12+MONTH($C$3),$G131,0))</f>
        <v/>
      </c>
      <c r="O131" s="66">
        <f>IF(OR($J131="",$B131=""),0,IF(YEAR($B131)*12+MONTH($B131)&lt;=YEAR($C$3)*12+MONTH($C$3)-1,$G131,0))</f>
        <v/>
      </c>
      <c r="P131" s="66">
        <f>$M131-$O131</f>
        <v/>
      </c>
      <c r="Q131" s="66">
        <f>($L131-$M131)-($N131-$O131)</f>
        <v/>
      </c>
      <c r="R131" s="66">
        <f>$L131-$N131</f>
        <v/>
      </c>
      <c r="S131" s="65">
        <f>"Finance invoice"</f>
        <v/>
      </c>
      <c r="T131" s="65">
        <f>"Revenue"</f>
        <v/>
      </c>
    </row>
    <row r="132">
      <c r="A132" s="63">
        <f>ROW()-5</f>
        <v/>
      </c>
      <c r="B132" s="64">
        <f>IFERROR(INDEX(tbl_Finance[Date],$A132),"")</f>
        <v/>
      </c>
      <c r="C132" s="65">
        <f>IFERROR(INDEX(tbl_Finance[Xero Invoice No],$A132),"")</f>
        <v/>
      </c>
      <c r="D132" s="65">
        <f>IFERROR(INDEX(tbl_Finance[Client],$A132),"")</f>
        <v/>
      </c>
      <c r="E132" s="65">
        <f>IFERROR(INDEX(tbl_Finance[Job Number],$A132),"")</f>
        <v/>
      </c>
      <c r="F132" s="65">
        <f>IFERROR(INDEX(tbl_Finance[Cost Centre],$A132),"")</f>
        <v/>
      </c>
      <c r="G132" s="66">
        <f>IFERROR(INDEX(tbl_Finance[Ex GST],$A132),"")</f>
        <v/>
      </c>
      <c r="H132" s="64">
        <f>IFERROR(INDEX(tbl_Finance[Defer Start],$A132),"")</f>
        <v/>
      </c>
      <c r="I132" s="64">
        <f>IFERROR(INDEX(tbl_Finance[Defer End],$A132),"")</f>
        <v/>
      </c>
      <c r="J132" s="63">
        <f>IF(OR($H132="",$I132="",$G132=""),"",MAX(1,(YEAR($I132)-YEAR($H132))*12+MONTH($I132)-MONTH($H132)+1))</f>
        <v/>
      </c>
      <c r="K132" s="66">
        <f>IF($J132="","",$G132/$J132)</f>
        <v/>
      </c>
      <c r="L132" s="66">
        <f>IF($J132="",0,$K132*MAX(0,MIN(YEAR($C$3)*12+MONTH($C$3),YEAR($I132)*12+MONTH($I132))-(YEAR($H132)*12+MONTH($H132))+1))</f>
        <v/>
      </c>
      <c r="M132" s="66">
        <f>IF($J132="",0,$K132*MAX(0,MIN(YEAR($C$3)*12+MONTH($C$3)-1,YEAR($I132)*12+MONTH($I132))-(YEAR($H132)*12+MONTH($H132))+1))</f>
        <v/>
      </c>
      <c r="N132" s="66">
        <f>IF(OR($J132="",$B132=""),0,IF(YEAR($B132)*12+MONTH($B132)&lt;=YEAR($C$3)*12+MONTH($C$3),$G132,0))</f>
        <v/>
      </c>
      <c r="O132" s="66">
        <f>IF(OR($J132="",$B132=""),0,IF(YEAR($B132)*12+MONTH($B132)&lt;=YEAR($C$3)*12+MONTH($C$3)-1,$G132,0))</f>
        <v/>
      </c>
      <c r="P132" s="66">
        <f>$M132-$O132</f>
        <v/>
      </c>
      <c r="Q132" s="66">
        <f>($L132-$M132)-($N132-$O132)</f>
        <v/>
      </c>
      <c r="R132" s="66">
        <f>$L132-$N132</f>
        <v/>
      </c>
      <c r="S132" s="65">
        <f>"Finance invoice"</f>
        <v/>
      </c>
      <c r="T132" s="65">
        <f>"Revenue"</f>
        <v/>
      </c>
    </row>
    <row r="133">
      <c r="A133" s="63">
        <f>ROW()-5</f>
        <v/>
      </c>
      <c r="B133" s="64">
        <f>IFERROR(INDEX(tbl_Finance[Date],$A133),"")</f>
        <v/>
      </c>
      <c r="C133" s="65">
        <f>IFERROR(INDEX(tbl_Finance[Xero Invoice No],$A133),"")</f>
        <v/>
      </c>
      <c r="D133" s="65">
        <f>IFERROR(INDEX(tbl_Finance[Client],$A133),"")</f>
        <v/>
      </c>
      <c r="E133" s="65">
        <f>IFERROR(INDEX(tbl_Finance[Job Number],$A133),"")</f>
        <v/>
      </c>
      <c r="F133" s="65">
        <f>IFERROR(INDEX(tbl_Finance[Cost Centre],$A133),"")</f>
        <v/>
      </c>
      <c r="G133" s="66">
        <f>IFERROR(INDEX(tbl_Finance[Ex GST],$A133),"")</f>
        <v/>
      </c>
      <c r="H133" s="64">
        <f>IFERROR(INDEX(tbl_Finance[Defer Start],$A133),"")</f>
        <v/>
      </c>
      <c r="I133" s="64">
        <f>IFERROR(INDEX(tbl_Finance[Defer End],$A133),"")</f>
        <v/>
      </c>
      <c r="J133" s="63">
        <f>IF(OR($H133="",$I133="",$G133=""),"",MAX(1,(YEAR($I133)-YEAR($H133))*12+MONTH($I133)-MONTH($H133)+1))</f>
        <v/>
      </c>
      <c r="K133" s="66">
        <f>IF($J133="","",$G133/$J133)</f>
        <v/>
      </c>
      <c r="L133" s="66">
        <f>IF($J133="",0,$K133*MAX(0,MIN(YEAR($C$3)*12+MONTH($C$3),YEAR($I133)*12+MONTH($I133))-(YEAR($H133)*12+MONTH($H133))+1))</f>
        <v/>
      </c>
      <c r="M133" s="66">
        <f>IF($J133="",0,$K133*MAX(0,MIN(YEAR($C$3)*12+MONTH($C$3)-1,YEAR($I133)*12+MONTH($I133))-(YEAR($H133)*12+MONTH($H133))+1))</f>
        <v/>
      </c>
      <c r="N133" s="66">
        <f>IF(OR($J133="",$B133=""),0,IF(YEAR($B133)*12+MONTH($B133)&lt;=YEAR($C$3)*12+MONTH($C$3),$G133,0))</f>
        <v/>
      </c>
      <c r="O133" s="66">
        <f>IF(OR($J133="",$B133=""),0,IF(YEAR($B133)*12+MONTH($B133)&lt;=YEAR($C$3)*12+MONTH($C$3)-1,$G133,0))</f>
        <v/>
      </c>
      <c r="P133" s="66">
        <f>$M133-$O133</f>
        <v/>
      </c>
      <c r="Q133" s="66">
        <f>($L133-$M133)-($N133-$O133)</f>
        <v/>
      </c>
      <c r="R133" s="66">
        <f>$L133-$N133</f>
        <v/>
      </c>
      <c r="S133" s="65">
        <f>"Finance invoice"</f>
        <v/>
      </c>
      <c r="T133" s="65">
        <f>"Revenue"</f>
        <v/>
      </c>
    </row>
    <row r="134">
      <c r="A134" s="63">
        <f>ROW()-5</f>
        <v/>
      </c>
      <c r="B134" s="64">
        <f>IFERROR(INDEX(tbl_Finance[Date],$A134),"")</f>
        <v/>
      </c>
      <c r="C134" s="65">
        <f>IFERROR(INDEX(tbl_Finance[Xero Invoice No],$A134),"")</f>
        <v/>
      </c>
      <c r="D134" s="65">
        <f>IFERROR(INDEX(tbl_Finance[Client],$A134),"")</f>
        <v/>
      </c>
      <c r="E134" s="65">
        <f>IFERROR(INDEX(tbl_Finance[Job Number],$A134),"")</f>
        <v/>
      </c>
      <c r="F134" s="65">
        <f>IFERROR(INDEX(tbl_Finance[Cost Centre],$A134),"")</f>
        <v/>
      </c>
      <c r="G134" s="66">
        <f>IFERROR(INDEX(tbl_Finance[Ex GST],$A134),"")</f>
        <v/>
      </c>
      <c r="H134" s="64">
        <f>IFERROR(INDEX(tbl_Finance[Defer Start],$A134),"")</f>
        <v/>
      </c>
      <c r="I134" s="64">
        <f>IFERROR(INDEX(tbl_Finance[Defer End],$A134),"")</f>
        <v/>
      </c>
      <c r="J134" s="63">
        <f>IF(OR($H134="",$I134="",$G134=""),"",MAX(1,(YEAR($I134)-YEAR($H134))*12+MONTH($I134)-MONTH($H134)+1))</f>
        <v/>
      </c>
      <c r="K134" s="66">
        <f>IF($J134="","",$G134/$J134)</f>
        <v/>
      </c>
      <c r="L134" s="66">
        <f>IF($J134="",0,$K134*MAX(0,MIN(YEAR($C$3)*12+MONTH($C$3),YEAR($I134)*12+MONTH($I134))-(YEAR($H134)*12+MONTH($H134))+1))</f>
        <v/>
      </c>
      <c r="M134" s="66">
        <f>IF($J134="",0,$K134*MAX(0,MIN(YEAR($C$3)*12+MONTH($C$3)-1,YEAR($I134)*12+MONTH($I134))-(YEAR($H134)*12+MONTH($H134))+1))</f>
        <v/>
      </c>
      <c r="N134" s="66">
        <f>IF(OR($J134="",$B134=""),0,IF(YEAR($B134)*12+MONTH($B134)&lt;=YEAR($C$3)*12+MONTH($C$3),$G134,0))</f>
        <v/>
      </c>
      <c r="O134" s="66">
        <f>IF(OR($J134="",$B134=""),0,IF(YEAR($B134)*12+MONTH($B134)&lt;=YEAR($C$3)*12+MONTH($C$3)-1,$G134,0))</f>
        <v/>
      </c>
      <c r="P134" s="66">
        <f>$M134-$O134</f>
        <v/>
      </c>
      <c r="Q134" s="66">
        <f>($L134-$M134)-($N134-$O134)</f>
        <v/>
      </c>
      <c r="R134" s="66">
        <f>$L134-$N134</f>
        <v/>
      </c>
      <c r="S134" s="65">
        <f>"Finance invoice"</f>
        <v/>
      </c>
      <c r="T134" s="65">
        <f>"Revenue"</f>
        <v/>
      </c>
    </row>
    <row r="135">
      <c r="A135" s="63">
        <f>ROW()-5</f>
        <v/>
      </c>
      <c r="B135" s="64">
        <f>IFERROR(INDEX(tbl_Finance[Date],$A135),"")</f>
        <v/>
      </c>
      <c r="C135" s="65">
        <f>IFERROR(INDEX(tbl_Finance[Xero Invoice No],$A135),"")</f>
        <v/>
      </c>
      <c r="D135" s="65">
        <f>IFERROR(INDEX(tbl_Finance[Client],$A135),"")</f>
        <v/>
      </c>
      <c r="E135" s="65">
        <f>IFERROR(INDEX(tbl_Finance[Job Number],$A135),"")</f>
        <v/>
      </c>
      <c r="F135" s="65">
        <f>IFERROR(INDEX(tbl_Finance[Cost Centre],$A135),"")</f>
        <v/>
      </c>
      <c r="G135" s="66">
        <f>IFERROR(INDEX(tbl_Finance[Ex GST],$A135),"")</f>
        <v/>
      </c>
      <c r="H135" s="64">
        <f>IFERROR(INDEX(tbl_Finance[Defer Start],$A135),"")</f>
        <v/>
      </c>
      <c r="I135" s="64">
        <f>IFERROR(INDEX(tbl_Finance[Defer End],$A135),"")</f>
        <v/>
      </c>
      <c r="J135" s="63">
        <f>IF(OR($H135="",$I135="",$G135=""),"",MAX(1,(YEAR($I135)-YEAR($H135))*12+MONTH($I135)-MONTH($H135)+1))</f>
        <v/>
      </c>
      <c r="K135" s="66">
        <f>IF($J135="","",$G135/$J135)</f>
        <v/>
      </c>
      <c r="L135" s="66">
        <f>IF($J135="",0,$K135*MAX(0,MIN(YEAR($C$3)*12+MONTH($C$3),YEAR($I135)*12+MONTH($I135))-(YEAR($H135)*12+MONTH($H135))+1))</f>
        <v/>
      </c>
      <c r="M135" s="66">
        <f>IF($J135="",0,$K135*MAX(0,MIN(YEAR($C$3)*12+MONTH($C$3)-1,YEAR($I135)*12+MONTH($I135))-(YEAR($H135)*12+MONTH($H135))+1))</f>
        <v/>
      </c>
      <c r="N135" s="66">
        <f>IF(OR($J135="",$B135=""),0,IF(YEAR($B135)*12+MONTH($B135)&lt;=YEAR($C$3)*12+MONTH($C$3),$G135,0))</f>
        <v/>
      </c>
      <c r="O135" s="66">
        <f>IF(OR($J135="",$B135=""),0,IF(YEAR($B135)*12+MONTH($B135)&lt;=YEAR($C$3)*12+MONTH($C$3)-1,$G135,0))</f>
        <v/>
      </c>
      <c r="P135" s="66">
        <f>$M135-$O135</f>
        <v/>
      </c>
      <c r="Q135" s="66">
        <f>($L135-$M135)-($N135-$O135)</f>
        <v/>
      </c>
      <c r="R135" s="66">
        <f>$L135-$N135</f>
        <v/>
      </c>
      <c r="S135" s="65">
        <f>"Finance invoice"</f>
        <v/>
      </c>
      <c r="T135" s="65">
        <f>"Revenue"</f>
        <v/>
      </c>
    </row>
    <row r="136">
      <c r="A136" s="63">
        <f>ROW()-5</f>
        <v/>
      </c>
      <c r="B136" s="64">
        <f>IFERROR(INDEX(tbl_Finance[Date],$A136),"")</f>
        <v/>
      </c>
      <c r="C136" s="65">
        <f>IFERROR(INDEX(tbl_Finance[Xero Invoice No],$A136),"")</f>
        <v/>
      </c>
      <c r="D136" s="65">
        <f>IFERROR(INDEX(tbl_Finance[Client],$A136),"")</f>
        <v/>
      </c>
      <c r="E136" s="65">
        <f>IFERROR(INDEX(tbl_Finance[Job Number],$A136),"")</f>
        <v/>
      </c>
      <c r="F136" s="65">
        <f>IFERROR(INDEX(tbl_Finance[Cost Centre],$A136),"")</f>
        <v/>
      </c>
      <c r="G136" s="66">
        <f>IFERROR(INDEX(tbl_Finance[Ex GST],$A136),"")</f>
        <v/>
      </c>
      <c r="H136" s="64">
        <f>IFERROR(INDEX(tbl_Finance[Defer Start],$A136),"")</f>
        <v/>
      </c>
      <c r="I136" s="64">
        <f>IFERROR(INDEX(tbl_Finance[Defer End],$A136),"")</f>
        <v/>
      </c>
      <c r="J136" s="63">
        <f>IF(OR($H136="",$I136="",$G136=""),"",MAX(1,(YEAR($I136)-YEAR($H136))*12+MONTH($I136)-MONTH($H136)+1))</f>
        <v/>
      </c>
      <c r="K136" s="66">
        <f>IF($J136="","",$G136/$J136)</f>
        <v/>
      </c>
      <c r="L136" s="66">
        <f>IF($J136="",0,$K136*MAX(0,MIN(YEAR($C$3)*12+MONTH($C$3),YEAR($I136)*12+MONTH($I136))-(YEAR($H136)*12+MONTH($H136))+1))</f>
        <v/>
      </c>
      <c r="M136" s="66">
        <f>IF($J136="",0,$K136*MAX(0,MIN(YEAR($C$3)*12+MONTH($C$3)-1,YEAR($I136)*12+MONTH($I136))-(YEAR($H136)*12+MONTH($H136))+1))</f>
        <v/>
      </c>
      <c r="N136" s="66">
        <f>IF(OR($J136="",$B136=""),0,IF(YEAR($B136)*12+MONTH($B136)&lt;=YEAR($C$3)*12+MONTH($C$3),$G136,0))</f>
        <v/>
      </c>
      <c r="O136" s="66">
        <f>IF(OR($J136="",$B136=""),0,IF(YEAR($B136)*12+MONTH($B136)&lt;=YEAR($C$3)*12+MONTH($C$3)-1,$G136,0))</f>
        <v/>
      </c>
      <c r="P136" s="66">
        <f>$M136-$O136</f>
        <v/>
      </c>
      <c r="Q136" s="66">
        <f>($L136-$M136)-($N136-$O136)</f>
        <v/>
      </c>
      <c r="R136" s="66">
        <f>$L136-$N136</f>
        <v/>
      </c>
      <c r="S136" s="65">
        <f>"Finance invoice"</f>
        <v/>
      </c>
      <c r="T136" s="65">
        <f>"Revenue"</f>
        <v/>
      </c>
    </row>
    <row r="137">
      <c r="A137" s="63">
        <f>ROW()-5</f>
        <v/>
      </c>
      <c r="B137" s="64">
        <f>IFERROR(INDEX(tbl_Finance[Date],$A137),"")</f>
        <v/>
      </c>
      <c r="C137" s="65">
        <f>IFERROR(INDEX(tbl_Finance[Xero Invoice No],$A137),"")</f>
        <v/>
      </c>
      <c r="D137" s="65">
        <f>IFERROR(INDEX(tbl_Finance[Client],$A137),"")</f>
        <v/>
      </c>
      <c r="E137" s="65">
        <f>IFERROR(INDEX(tbl_Finance[Job Number],$A137),"")</f>
        <v/>
      </c>
      <c r="F137" s="65">
        <f>IFERROR(INDEX(tbl_Finance[Cost Centre],$A137),"")</f>
        <v/>
      </c>
      <c r="G137" s="66">
        <f>IFERROR(INDEX(tbl_Finance[Ex GST],$A137),"")</f>
        <v/>
      </c>
      <c r="H137" s="64">
        <f>IFERROR(INDEX(tbl_Finance[Defer Start],$A137),"")</f>
        <v/>
      </c>
      <c r="I137" s="64">
        <f>IFERROR(INDEX(tbl_Finance[Defer End],$A137),"")</f>
        <v/>
      </c>
      <c r="J137" s="63">
        <f>IF(OR($H137="",$I137="",$G137=""),"",MAX(1,(YEAR($I137)-YEAR($H137))*12+MONTH($I137)-MONTH($H137)+1))</f>
        <v/>
      </c>
      <c r="K137" s="66">
        <f>IF($J137="","",$G137/$J137)</f>
        <v/>
      </c>
      <c r="L137" s="66">
        <f>IF($J137="",0,$K137*MAX(0,MIN(YEAR($C$3)*12+MONTH($C$3),YEAR($I137)*12+MONTH($I137))-(YEAR($H137)*12+MONTH($H137))+1))</f>
        <v/>
      </c>
      <c r="M137" s="66">
        <f>IF($J137="",0,$K137*MAX(0,MIN(YEAR($C$3)*12+MONTH($C$3)-1,YEAR($I137)*12+MONTH($I137))-(YEAR($H137)*12+MONTH($H137))+1))</f>
        <v/>
      </c>
      <c r="N137" s="66">
        <f>IF(OR($J137="",$B137=""),0,IF(YEAR($B137)*12+MONTH($B137)&lt;=YEAR($C$3)*12+MONTH($C$3),$G137,0))</f>
        <v/>
      </c>
      <c r="O137" s="66">
        <f>IF(OR($J137="",$B137=""),0,IF(YEAR($B137)*12+MONTH($B137)&lt;=YEAR($C$3)*12+MONTH($C$3)-1,$G137,0))</f>
        <v/>
      </c>
      <c r="P137" s="66">
        <f>$M137-$O137</f>
        <v/>
      </c>
      <c r="Q137" s="66">
        <f>($L137-$M137)-($N137-$O137)</f>
        <v/>
      </c>
      <c r="R137" s="66">
        <f>$L137-$N137</f>
        <v/>
      </c>
      <c r="S137" s="65">
        <f>"Finance invoice"</f>
        <v/>
      </c>
      <c r="T137" s="65">
        <f>"Revenue"</f>
        <v/>
      </c>
    </row>
    <row r="138">
      <c r="A138" s="63">
        <f>ROW()-5</f>
        <v/>
      </c>
      <c r="B138" s="64">
        <f>IFERROR(INDEX(tbl_Finance[Date],$A138),"")</f>
        <v/>
      </c>
      <c r="C138" s="65">
        <f>IFERROR(INDEX(tbl_Finance[Xero Invoice No],$A138),"")</f>
        <v/>
      </c>
      <c r="D138" s="65">
        <f>IFERROR(INDEX(tbl_Finance[Client],$A138),"")</f>
        <v/>
      </c>
      <c r="E138" s="65">
        <f>IFERROR(INDEX(tbl_Finance[Job Number],$A138),"")</f>
        <v/>
      </c>
      <c r="F138" s="65">
        <f>IFERROR(INDEX(tbl_Finance[Cost Centre],$A138),"")</f>
        <v/>
      </c>
      <c r="G138" s="66">
        <f>IFERROR(INDEX(tbl_Finance[Ex GST],$A138),"")</f>
        <v/>
      </c>
      <c r="H138" s="64">
        <f>IFERROR(INDEX(tbl_Finance[Defer Start],$A138),"")</f>
        <v/>
      </c>
      <c r="I138" s="64">
        <f>IFERROR(INDEX(tbl_Finance[Defer End],$A138),"")</f>
        <v/>
      </c>
      <c r="J138" s="63">
        <f>IF(OR($H138="",$I138="",$G138=""),"",MAX(1,(YEAR($I138)-YEAR($H138))*12+MONTH($I138)-MONTH($H138)+1))</f>
        <v/>
      </c>
      <c r="K138" s="66">
        <f>IF($J138="","",$G138/$J138)</f>
        <v/>
      </c>
      <c r="L138" s="66">
        <f>IF($J138="",0,$K138*MAX(0,MIN(YEAR($C$3)*12+MONTH($C$3),YEAR($I138)*12+MONTH($I138))-(YEAR($H138)*12+MONTH($H138))+1))</f>
        <v/>
      </c>
      <c r="M138" s="66">
        <f>IF($J138="",0,$K138*MAX(0,MIN(YEAR($C$3)*12+MONTH($C$3)-1,YEAR($I138)*12+MONTH($I138))-(YEAR($H138)*12+MONTH($H138))+1))</f>
        <v/>
      </c>
      <c r="N138" s="66">
        <f>IF(OR($J138="",$B138=""),0,IF(YEAR($B138)*12+MONTH($B138)&lt;=YEAR($C$3)*12+MONTH($C$3),$G138,0))</f>
        <v/>
      </c>
      <c r="O138" s="66">
        <f>IF(OR($J138="",$B138=""),0,IF(YEAR($B138)*12+MONTH($B138)&lt;=YEAR($C$3)*12+MONTH($C$3)-1,$G138,0))</f>
        <v/>
      </c>
      <c r="P138" s="66">
        <f>$M138-$O138</f>
        <v/>
      </c>
      <c r="Q138" s="66">
        <f>($L138-$M138)-($N138-$O138)</f>
        <v/>
      </c>
      <c r="R138" s="66">
        <f>$L138-$N138</f>
        <v/>
      </c>
      <c r="S138" s="65">
        <f>"Finance invoice"</f>
        <v/>
      </c>
      <c r="T138" s="65">
        <f>"Revenue"</f>
        <v/>
      </c>
    </row>
    <row r="139">
      <c r="A139" s="63">
        <f>ROW()-5</f>
        <v/>
      </c>
      <c r="B139" s="64">
        <f>IFERROR(INDEX(tbl_Finance[Date],$A139),"")</f>
        <v/>
      </c>
      <c r="C139" s="65">
        <f>IFERROR(INDEX(tbl_Finance[Xero Invoice No],$A139),"")</f>
        <v/>
      </c>
      <c r="D139" s="65">
        <f>IFERROR(INDEX(tbl_Finance[Client],$A139),"")</f>
        <v/>
      </c>
      <c r="E139" s="65">
        <f>IFERROR(INDEX(tbl_Finance[Job Number],$A139),"")</f>
        <v/>
      </c>
      <c r="F139" s="65">
        <f>IFERROR(INDEX(tbl_Finance[Cost Centre],$A139),"")</f>
        <v/>
      </c>
      <c r="G139" s="66">
        <f>IFERROR(INDEX(tbl_Finance[Ex GST],$A139),"")</f>
        <v/>
      </c>
      <c r="H139" s="64">
        <f>IFERROR(INDEX(tbl_Finance[Defer Start],$A139),"")</f>
        <v/>
      </c>
      <c r="I139" s="64">
        <f>IFERROR(INDEX(tbl_Finance[Defer End],$A139),"")</f>
        <v/>
      </c>
      <c r="J139" s="63">
        <f>IF(OR($H139="",$I139="",$G139=""),"",MAX(1,(YEAR($I139)-YEAR($H139))*12+MONTH($I139)-MONTH($H139)+1))</f>
        <v/>
      </c>
      <c r="K139" s="66">
        <f>IF($J139="","",$G139/$J139)</f>
        <v/>
      </c>
      <c r="L139" s="66">
        <f>IF($J139="",0,$K139*MAX(0,MIN(YEAR($C$3)*12+MONTH($C$3),YEAR($I139)*12+MONTH($I139))-(YEAR($H139)*12+MONTH($H139))+1))</f>
        <v/>
      </c>
      <c r="M139" s="66">
        <f>IF($J139="",0,$K139*MAX(0,MIN(YEAR($C$3)*12+MONTH($C$3)-1,YEAR($I139)*12+MONTH($I139))-(YEAR($H139)*12+MONTH($H139))+1))</f>
        <v/>
      </c>
      <c r="N139" s="66">
        <f>IF(OR($J139="",$B139=""),0,IF(YEAR($B139)*12+MONTH($B139)&lt;=YEAR($C$3)*12+MONTH($C$3),$G139,0))</f>
        <v/>
      </c>
      <c r="O139" s="66">
        <f>IF(OR($J139="",$B139=""),0,IF(YEAR($B139)*12+MONTH($B139)&lt;=YEAR($C$3)*12+MONTH($C$3)-1,$G139,0))</f>
        <v/>
      </c>
      <c r="P139" s="66">
        <f>$M139-$O139</f>
        <v/>
      </c>
      <c r="Q139" s="66">
        <f>($L139-$M139)-($N139-$O139)</f>
        <v/>
      </c>
      <c r="R139" s="66">
        <f>$L139-$N139</f>
        <v/>
      </c>
      <c r="S139" s="65">
        <f>"Finance invoice"</f>
        <v/>
      </c>
      <c r="T139" s="65">
        <f>"Revenue"</f>
        <v/>
      </c>
    </row>
    <row r="140">
      <c r="A140" s="63">
        <f>ROW()-5</f>
        <v/>
      </c>
      <c r="B140" s="64">
        <f>IFERROR(INDEX(tbl_Finance[Date],$A140),"")</f>
        <v/>
      </c>
      <c r="C140" s="65">
        <f>IFERROR(INDEX(tbl_Finance[Xero Invoice No],$A140),"")</f>
        <v/>
      </c>
      <c r="D140" s="65">
        <f>IFERROR(INDEX(tbl_Finance[Client],$A140),"")</f>
        <v/>
      </c>
      <c r="E140" s="65">
        <f>IFERROR(INDEX(tbl_Finance[Job Number],$A140),"")</f>
        <v/>
      </c>
      <c r="F140" s="65">
        <f>IFERROR(INDEX(tbl_Finance[Cost Centre],$A140),"")</f>
        <v/>
      </c>
      <c r="G140" s="66">
        <f>IFERROR(INDEX(tbl_Finance[Ex GST],$A140),"")</f>
        <v/>
      </c>
      <c r="H140" s="64">
        <f>IFERROR(INDEX(tbl_Finance[Defer Start],$A140),"")</f>
        <v/>
      </c>
      <c r="I140" s="64">
        <f>IFERROR(INDEX(tbl_Finance[Defer End],$A140),"")</f>
        <v/>
      </c>
      <c r="J140" s="63">
        <f>IF(OR($H140="",$I140="",$G140=""),"",MAX(1,(YEAR($I140)-YEAR($H140))*12+MONTH($I140)-MONTH($H140)+1))</f>
        <v/>
      </c>
      <c r="K140" s="66">
        <f>IF($J140="","",$G140/$J140)</f>
        <v/>
      </c>
      <c r="L140" s="66">
        <f>IF($J140="",0,$K140*MAX(0,MIN(YEAR($C$3)*12+MONTH($C$3),YEAR($I140)*12+MONTH($I140))-(YEAR($H140)*12+MONTH($H140))+1))</f>
        <v/>
      </c>
      <c r="M140" s="66">
        <f>IF($J140="",0,$K140*MAX(0,MIN(YEAR($C$3)*12+MONTH($C$3)-1,YEAR($I140)*12+MONTH($I140))-(YEAR($H140)*12+MONTH($H140))+1))</f>
        <v/>
      </c>
      <c r="N140" s="66">
        <f>IF(OR($J140="",$B140=""),0,IF(YEAR($B140)*12+MONTH($B140)&lt;=YEAR($C$3)*12+MONTH($C$3),$G140,0))</f>
        <v/>
      </c>
      <c r="O140" s="66">
        <f>IF(OR($J140="",$B140=""),0,IF(YEAR($B140)*12+MONTH($B140)&lt;=YEAR($C$3)*12+MONTH($C$3)-1,$G140,0))</f>
        <v/>
      </c>
      <c r="P140" s="66">
        <f>$M140-$O140</f>
        <v/>
      </c>
      <c r="Q140" s="66">
        <f>($L140-$M140)-($N140-$O140)</f>
        <v/>
      </c>
      <c r="R140" s="66">
        <f>$L140-$N140</f>
        <v/>
      </c>
      <c r="S140" s="65">
        <f>"Finance invoice"</f>
        <v/>
      </c>
      <c r="T140" s="65">
        <f>"Revenue"</f>
        <v/>
      </c>
    </row>
    <row r="141">
      <c r="A141" s="63">
        <f>ROW()-5</f>
        <v/>
      </c>
      <c r="B141" s="64">
        <f>IFERROR(INDEX(tbl_Finance[Date],$A141),"")</f>
        <v/>
      </c>
      <c r="C141" s="65">
        <f>IFERROR(INDEX(tbl_Finance[Xero Invoice No],$A141),"")</f>
        <v/>
      </c>
      <c r="D141" s="65">
        <f>IFERROR(INDEX(tbl_Finance[Client],$A141),"")</f>
        <v/>
      </c>
      <c r="E141" s="65">
        <f>IFERROR(INDEX(tbl_Finance[Job Number],$A141),"")</f>
        <v/>
      </c>
      <c r="F141" s="65">
        <f>IFERROR(INDEX(tbl_Finance[Cost Centre],$A141),"")</f>
        <v/>
      </c>
      <c r="G141" s="66">
        <f>IFERROR(INDEX(tbl_Finance[Ex GST],$A141),"")</f>
        <v/>
      </c>
      <c r="H141" s="64">
        <f>IFERROR(INDEX(tbl_Finance[Defer Start],$A141),"")</f>
        <v/>
      </c>
      <c r="I141" s="64">
        <f>IFERROR(INDEX(tbl_Finance[Defer End],$A141),"")</f>
        <v/>
      </c>
      <c r="J141" s="63">
        <f>IF(OR($H141="",$I141="",$G141=""),"",MAX(1,(YEAR($I141)-YEAR($H141))*12+MONTH($I141)-MONTH($H141)+1))</f>
        <v/>
      </c>
      <c r="K141" s="66">
        <f>IF($J141="","",$G141/$J141)</f>
        <v/>
      </c>
      <c r="L141" s="66">
        <f>IF($J141="",0,$K141*MAX(0,MIN(YEAR($C$3)*12+MONTH($C$3),YEAR($I141)*12+MONTH($I141))-(YEAR($H141)*12+MONTH($H141))+1))</f>
        <v/>
      </c>
      <c r="M141" s="66">
        <f>IF($J141="",0,$K141*MAX(0,MIN(YEAR($C$3)*12+MONTH($C$3)-1,YEAR($I141)*12+MONTH($I141))-(YEAR($H141)*12+MONTH($H141))+1))</f>
        <v/>
      </c>
      <c r="N141" s="66">
        <f>IF(OR($J141="",$B141=""),0,IF(YEAR($B141)*12+MONTH($B141)&lt;=YEAR($C$3)*12+MONTH($C$3),$G141,0))</f>
        <v/>
      </c>
      <c r="O141" s="66">
        <f>IF(OR($J141="",$B141=""),0,IF(YEAR($B141)*12+MONTH($B141)&lt;=YEAR($C$3)*12+MONTH($C$3)-1,$G141,0))</f>
        <v/>
      </c>
      <c r="P141" s="66">
        <f>$M141-$O141</f>
        <v/>
      </c>
      <c r="Q141" s="66">
        <f>($L141-$M141)-($N141-$O141)</f>
        <v/>
      </c>
      <c r="R141" s="66">
        <f>$L141-$N141</f>
        <v/>
      </c>
      <c r="S141" s="65">
        <f>"Finance invoice"</f>
        <v/>
      </c>
      <c r="T141" s="65">
        <f>"Revenue"</f>
        <v/>
      </c>
    </row>
    <row r="142">
      <c r="A142" s="63">
        <f>ROW()-5</f>
        <v/>
      </c>
      <c r="B142" s="64">
        <f>IFERROR(INDEX(tbl_Finance[Date],$A142),"")</f>
        <v/>
      </c>
      <c r="C142" s="65">
        <f>IFERROR(INDEX(tbl_Finance[Xero Invoice No],$A142),"")</f>
        <v/>
      </c>
      <c r="D142" s="65">
        <f>IFERROR(INDEX(tbl_Finance[Client],$A142),"")</f>
        <v/>
      </c>
      <c r="E142" s="65">
        <f>IFERROR(INDEX(tbl_Finance[Job Number],$A142),"")</f>
        <v/>
      </c>
      <c r="F142" s="65">
        <f>IFERROR(INDEX(tbl_Finance[Cost Centre],$A142),"")</f>
        <v/>
      </c>
      <c r="G142" s="66">
        <f>IFERROR(INDEX(tbl_Finance[Ex GST],$A142),"")</f>
        <v/>
      </c>
      <c r="H142" s="64">
        <f>IFERROR(INDEX(tbl_Finance[Defer Start],$A142),"")</f>
        <v/>
      </c>
      <c r="I142" s="64">
        <f>IFERROR(INDEX(tbl_Finance[Defer End],$A142),"")</f>
        <v/>
      </c>
      <c r="J142" s="63">
        <f>IF(OR($H142="",$I142="",$G142=""),"",MAX(1,(YEAR($I142)-YEAR($H142))*12+MONTH($I142)-MONTH($H142)+1))</f>
        <v/>
      </c>
      <c r="K142" s="66">
        <f>IF($J142="","",$G142/$J142)</f>
        <v/>
      </c>
      <c r="L142" s="66">
        <f>IF($J142="",0,$K142*MAX(0,MIN(YEAR($C$3)*12+MONTH($C$3),YEAR($I142)*12+MONTH($I142))-(YEAR($H142)*12+MONTH($H142))+1))</f>
        <v/>
      </c>
      <c r="M142" s="66">
        <f>IF($J142="",0,$K142*MAX(0,MIN(YEAR($C$3)*12+MONTH($C$3)-1,YEAR($I142)*12+MONTH($I142))-(YEAR($H142)*12+MONTH($H142))+1))</f>
        <v/>
      </c>
      <c r="N142" s="66">
        <f>IF(OR($J142="",$B142=""),0,IF(YEAR($B142)*12+MONTH($B142)&lt;=YEAR($C$3)*12+MONTH($C$3),$G142,0))</f>
        <v/>
      </c>
      <c r="O142" s="66">
        <f>IF(OR($J142="",$B142=""),0,IF(YEAR($B142)*12+MONTH($B142)&lt;=YEAR($C$3)*12+MONTH($C$3)-1,$G142,0))</f>
        <v/>
      </c>
      <c r="P142" s="66">
        <f>$M142-$O142</f>
        <v/>
      </c>
      <c r="Q142" s="66">
        <f>($L142-$M142)-($N142-$O142)</f>
        <v/>
      </c>
      <c r="R142" s="66">
        <f>$L142-$N142</f>
        <v/>
      </c>
      <c r="S142" s="65">
        <f>"Finance invoice"</f>
        <v/>
      </c>
      <c r="T142" s="65">
        <f>"Revenue"</f>
        <v/>
      </c>
    </row>
    <row r="143">
      <c r="A143" s="63">
        <f>ROW()-5</f>
        <v/>
      </c>
      <c r="B143" s="64">
        <f>IFERROR(INDEX(tbl_Finance[Date],$A143),"")</f>
        <v/>
      </c>
      <c r="C143" s="65">
        <f>IFERROR(INDEX(tbl_Finance[Xero Invoice No],$A143),"")</f>
        <v/>
      </c>
      <c r="D143" s="65">
        <f>IFERROR(INDEX(tbl_Finance[Client],$A143),"")</f>
        <v/>
      </c>
      <c r="E143" s="65">
        <f>IFERROR(INDEX(tbl_Finance[Job Number],$A143),"")</f>
        <v/>
      </c>
      <c r="F143" s="65">
        <f>IFERROR(INDEX(tbl_Finance[Cost Centre],$A143),"")</f>
        <v/>
      </c>
      <c r="G143" s="66">
        <f>IFERROR(INDEX(tbl_Finance[Ex GST],$A143),"")</f>
        <v/>
      </c>
      <c r="H143" s="64">
        <f>IFERROR(INDEX(tbl_Finance[Defer Start],$A143),"")</f>
        <v/>
      </c>
      <c r="I143" s="64">
        <f>IFERROR(INDEX(tbl_Finance[Defer End],$A143),"")</f>
        <v/>
      </c>
      <c r="J143" s="63">
        <f>IF(OR($H143="",$I143="",$G143=""),"",MAX(1,(YEAR($I143)-YEAR($H143))*12+MONTH($I143)-MONTH($H143)+1))</f>
        <v/>
      </c>
      <c r="K143" s="66">
        <f>IF($J143="","",$G143/$J143)</f>
        <v/>
      </c>
      <c r="L143" s="66">
        <f>IF($J143="",0,$K143*MAX(0,MIN(YEAR($C$3)*12+MONTH($C$3),YEAR($I143)*12+MONTH($I143))-(YEAR($H143)*12+MONTH($H143))+1))</f>
        <v/>
      </c>
      <c r="M143" s="66">
        <f>IF($J143="",0,$K143*MAX(0,MIN(YEAR($C$3)*12+MONTH($C$3)-1,YEAR($I143)*12+MONTH($I143))-(YEAR($H143)*12+MONTH($H143))+1))</f>
        <v/>
      </c>
      <c r="N143" s="66">
        <f>IF(OR($J143="",$B143=""),0,IF(YEAR($B143)*12+MONTH($B143)&lt;=YEAR($C$3)*12+MONTH($C$3),$G143,0))</f>
        <v/>
      </c>
      <c r="O143" s="66">
        <f>IF(OR($J143="",$B143=""),0,IF(YEAR($B143)*12+MONTH($B143)&lt;=YEAR($C$3)*12+MONTH($C$3)-1,$G143,0))</f>
        <v/>
      </c>
      <c r="P143" s="66">
        <f>$M143-$O143</f>
        <v/>
      </c>
      <c r="Q143" s="66">
        <f>($L143-$M143)-($N143-$O143)</f>
        <v/>
      </c>
      <c r="R143" s="66">
        <f>$L143-$N143</f>
        <v/>
      </c>
      <c r="S143" s="65">
        <f>"Finance invoice"</f>
        <v/>
      </c>
      <c r="T143" s="65">
        <f>"Revenue"</f>
        <v/>
      </c>
    </row>
    <row r="144">
      <c r="A144" s="63">
        <f>ROW()-5</f>
        <v/>
      </c>
      <c r="B144" s="64">
        <f>IFERROR(INDEX(tbl_Finance[Date],$A144),"")</f>
        <v/>
      </c>
      <c r="C144" s="65">
        <f>IFERROR(INDEX(tbl_Finance[Xero Invoice No],$A144),"")</f>
        <v/>
      </c>
      <c r="D144" s="65">
        <f>IFERROR(INDEX(tbl_Finance[Client],$A144),"")</f>
        <v/>
      </c>
      <c r="E144" s="65">
        <f>IFERROR(INDEX(tbl_Finance[Job Number],$A144),"")</f>
        <v/>
      </c>
      <c r="F144" s="65">
        <f>IFERROR(INDEX(tbl_Finance[Cost Centre],$A144),"")</f>
        <v/>
      </c>
      <c r="G144" s="66">
        <f>IFERROR(INDEX(tbl_Finance[Ex GST],$A144),"")</f>
        <v/>
      </c>
      <c r="H144" s="64">
        <f>IFERROR(INDEX(tbl_Finance[Defer Start],$A144),"")</f>
        <v/>
      </c>
      <c r="I144" s="64">
        <f>IFERROR(INDEX(tbl_Finance[Defer End],$A144),"")</f>
        <v/>
      </c>
      <c r="J144" s="63">
        <f>IF(OR($H144="",$I144="",$G144=""),"",MAX(1,(YEAR($I144)-YEAR($H144))*12+MONTH($I144)-MONTH($H144)+1))</f>
        <v/>
      </c>
      <c r="K144" s="66">
        <f>IF($J144="","",$G144/$J144)</f>
        <v/>
      </c>
      <c r="L144" s="66">
        <f>IF($J144="",0,$K144*MAX(0,MIN(YEAR($C$3)*12+MONTH($C$3),YEAR($I144)*12+MONTH($I144))-(YEAR($H144)*12+MONTH($H144))+1))</f>
        <v/>
      </c>
      <c r="M144" s="66">
        <f>IF($J144="",0,$K144*MAX(0,MIN(YEAR($C$3)*12+MONTH($C$3)-1,YEAR($I144)*12+MONTH($I144))-(YEAR($H144)*12+MONTH($H144))+1))</f>
        <v/>
      </c>
      <c r="N144" s="66">
        <f>IF(OR($J144="",$B144=""),0,IF(YEAR($B144)*12+MONTH($B144)&lt;=YEAR($C$3)*12+MONTH($C$3),$G144,0))</f>
        <v/>
      </c>
      <c r="O144" s="66">
        <f>IF(OR($J144="",$B144=""),0,IF(YEAR($B144)*12+MONTH($B144)&lt;=YEAR($C$3)*12+MONTH($C$3)-1,$G144,0))</f>
        <v/>
      </c>
      <c r="P144" s="66">
        <f>$M144-$O144</f>
        <v/>
      </c>
      <c r="Q144" s="66">
        <f>($L144-$M144)-($N144-$O144)</f>
        <v/>
      </c>
      <c r="R144" s="66">
        <f>$L144-$N144</f>
        <v/>
      </c>
      <c r="S144" s="65">
        <f>"Finance invoice"</f>
        <v/>
      </c>
      <c r="T144" s="65">
        <f>"Revenue"</f>
        <v/>
      </c>
    </row>
    <row r="145">
      <c r="A145" s="63">
        <f>ROW()-5</f>
        <v/>
      </c>
      <c r="B145" s="64">
        <f>IFERROR(INDEX(tbl_Finance[Date],$A145),"")</f>
        <v/>
      </c>
      <c r="C145" s="65">
        <f>IFERROR(INDEX(tbl_Finance[Xero Invoice No],$A145),"")</f>
        <v/>
      </c>
      <c r="D145" s="65">
        <f>IFERROR(INDEX(tbl_Finance[Client],$A145),"")</f>
        <v/>
      </c>
      <c r="E145" s="65">
        <f>IFERROR(INDEX(tbl_Finance[Job Number],$A145),"")</f>
        <v/>
      </c>
      <c r="F145" s="65">
        <f>IFERROR(INDEX(tbl_Finance[Cost Centre],$A145),"")</f>
        <v/>
      </c>
      <c r="G145" s="66">
        <f>IFERROR(INDEX(tbl_Finance[Ex GST],$A145),"")</f>
        <v/>
      </c>
      <c r="H145" s="64">
        <f>IFERROR(INDEX(tbl_Finance[Defer Start],$A145),"")</f>
        <v/>
      </c>
      <c r="I145" s="64">
        <f>IFERROR(INDEX(tbl_Finance[Defer End],$A145),"")</f>
        <v/>
      </c>
      <c r="J145" s="63">
        <f>IF(OR($H145="",$I145="",$G145=""),"",MAX(1,(YEAR($I145)-YEAR($H145))*12+MONTH($I145)-MONTH($H145)+1))</f>
        <v/>
      </c>
      <c r="K145" s="66">
        <f>IF($J145="","",$G145/$J145)</f>
        <v/>
      </c>
      <c r="L145" s="66">
        <f>IF($J145="",0,$K145*MAX(0,MIN(YEAR($C$3)*12+MONTH($C$3),YEAR($I145)*12+MONTH($I145))-(YEAR($H145)*12+MONTH($H145))+1))</f>
        <v/>
      </c>
      <c r="M145" s="66">
        <f>IF($J145="",0,$K145*MAX(0,MIN(YEAR($C$3)*12+MONTH($C$3)-1,YEAR($I145)*12+MONTH($I145))-(YEAR($H145)*12+MONTH($H145))+1))</f>
        <v/>
      </c>
      <c r="N145" s="66">
        <f>IF(OR($J145="",$B145=""),0,IF(YEAR($B145)*12+MONTH($B145)&lt;=YEAR($C$3)*12+MONTH($C$3),$G145,0))</f>
        <v/>
      </c>
      <c r="O145" s="66">
        <f>IF(OR($J145="",$B145=""),0,IF(YEAR($B145)*12+MONTH($B145)&lt;=YEAR($C$3)*12+MONTH($C$3)-1,$G145,0))</f>
        <v/>
      </c>
      <c r="P145" s="66">
        <f>$M145-$O145</f>
        <v/>
      </c>
      <c r="Q145" s="66">
        <f>($L145-$M145)-($N145-$O145)</f>
        <v/>
      </c>
      <c r="R145" s="66">
        <f>$L145-$N145</f>
        <v/>
      </c>
      <c r="S145" s="65">
        <f>"Finance invoice"</f>
        <v/>
      </c>
      <c r="T145" s="65">
        <f>"Revenue"</f>
        <v/>
      </c>
    </row>
    <row r="146">
      <c r="A146" s="63">
        <f>ROW()-5</f>
        <v/>
      </c>
      <c r="B146" s="64">
        <f>IFERROR(INDEX(tbl_Finance[Date],$A146),"")</f>
        <v/>
      </c>
      <c r="C146" s="65">
        <f>IFERROR(INDEX(tbl_Finance[Xero Invoice No],$A146),"")</f>
        <v/>
      </c>
      <c r="D146" s="65">
        <f>IFERROR(INDEX(tbl_Finance[Client],$A146),"")</f>
        <v/>
      </c>
      <c r="E146" s="65">
        <f>IFERROR(INDEX(tbl_Finance[Job Number],$A146),"")</f>
        <v/>
      </c>
      <c r="F146" s="65">
        <f>IFERROR(INDEX(tbl_Finance[Cost Centre],$A146),"")</f>
        <v/>
      </c>
      <c r="G146" s="66">
        <f>IFERROR(INDEX(tbl_Finance[Ex GST],$A146),"")</f>
        <v/>
      </c>
      <c r="H146" s="64">
        <f>IFERROR(INDEX(tbl_Finance[Defer Start],$A146),"")</f>
        <v/>
      </c>
      <c r="I146" s="64">
        <f>IFERROR(INDEX(tbl_Finance[Defer End],$A146),"")</f>
        <v/>
      </c>
      <c r="J146" s="63">
        <f>IF(OR($H146="",$I146="",$G146=""),"",MAX(1,(YEAR($I146)-YEAR($H146))*12+MONTH($I146)-MONTH($H146)+1))</f>
        <v/>
      </c>
      <c r="K146" s="66">
        <f>IF($J146="","",$G146/$J146)</f>
        <v/>
      </c>
      <c r="L146" s="66">
        <f>IF($J146="",0,$K146*MAX(0,MIN(YEAR($C$3)*12+MONTH($C$3),YEAR($I146)*12+MONTH($I146))-(YEAR($H146)*12+MONTH($H146))+1))</f>
        <v/>
      </c>
      <c r="M146" s="66">
        <f>IF($J146="",0,$K146*MAX(0,MIN(YEAR($C$3)*12+MONTH($C$3)-1,YEAR($I146)*12+MONTH($I146))-(YEAR($H146)*12+MONTH($H146))+1))</f>
        <v/>
      </c>
      <c r="N146" s="66">
        <f>IF(OR($J146="",$B146=""),0,IF(YEAR($B146)*12+MONTH($B146)&lt;=YEAR($C$3)*12+MONTH($C$3),$G146,0))</f>
        <v/>
      </c>
      <c r="O146" s="66">
        <f>IF(OR($J146="",$B146=""),0,IF(YEAR($B146)*12+MONTH($B146)&lt;=YEAR($C$3)*12+MONTH($C$3)-1,$G146,0))</f>
        <v/>
      </c>
      <c r="P146" s="66">
        <f>$M146-$O146</f>
        <v/>
      </c>
      <c r="Q146" s="66">
        <f>($L146-$M146)-($N146-$O146)</f>
        <v/>
      </c>
      <c r="R146" s="66">
        <f>$L146-$N146</f>
        <v/>
      </c>
      <c r="S146" s="65">
        <f>"Finance invoice"</f>
        <v/>
      </c>
      <c r="T146" s="65">
        <f>"Revenue"</f>
        <v/>
      </c>
    </row>
    <row r="147">
      <c r="A147" s="63">
        <f>ROW()-5</f>
        <v/>
      </c>
      <c r="B147" s="64">
        <f>IFERROR(INDEX(tbl_Finance[Date],$A147),"")</f>
        <v/>
      </c>
      <c r="C147" s="65">
        <f>IFERROR(INDEX(tbl_Finance[Xero Invoice No],$A147),"")</f>
        <v/>
      </c>
      <c r="D147" s="65">
        <f>IFERROR(INDEX(tbl_Finance[Client],$A147),"")</f>
        <v/>
      </c>
      <c r="E147" s="65">
        <f>IFERROR(INDEX(tbl_Finance[Job Number],$A147),"")</f>
        <v/>
      </c>
      <c r="F147" s="65">
        <f>IFERROR(INDEX(tbl_Finance[Cost Centre],$A147),"")</f>
        <v/>
      </c>
      <c r="G147" s="66">
        <f>IFERROR(INDEX(tbl_Finance[Ex GST],$A147),"")</f>
        <v/>
      </c>
      <c r="H147" s="64">
        <f>IFERROR(INDEX(tbl_Finance[Defer Start],$A147),"")</f>
        <v/>
      </c>
      <c r="I147" s="64">
        <f>IFERROR(INDEX(tbl_Finance[Defer End],$A147),"")</f>
        <v/>
      </c>
      <c r="J147" s="63">
        <f>IF(OR($H147="",$I147="",$G147=""),"",MAX(1,(YEAR($I147)-YEAR($H147))*12+MONTH($I147)-MONTH($H147)+1))</f>
        <v/>
      </c>
      <c r="K147" s="66">
        <f>IF($J147="","",$G147/$J147)</f>
        <v/>
      </c>
      <c r="L147" s="66">
        <f>IF($J147="",0,$K147*MAX(0,MIN(YEAR($C$3)*12+MONTH($C$3),YEAR($I147)*12+MONTH($I147))-(YEAR($H147)*12+MONTH($H147))+1))</f>
        <v/>
      </c>
      <c r="M147" s="66">
        <f>IF($J147="",0,$K147*MAX(0,MIN(YEAR($C$3)*12+MONTH($C$3)-1,YEAR($I147)*12+MONTH($I147))-(YEAR($H147)*12+MONTH($H147))+1))</f>
        <v/>
      </c>
      <c r="N147" s="66">
        <f>IF(OR($J147="",$B147=""),0,IF(YEAR($B147)*12+MONTH($B147)&lt;=YEAR($C$3)*12+MONTH($C$3),$G147,0))</f>
        <v/>
      </c>
      <c r="O147" s="66">
        <f>IF(OR($J147="",$B147=""),0,IF(YEAR($B147)*12+MONTH($B147)&lt;=YEAR($C$3)*12+MONTH($C$3)-1,$G147,0))</f>
        <v/>
      </c>
      <c r="P147" s="66">
        <f>$M147-$O147</f>
        <v/>
      </c>
      <c r="Q147" s="66">
        <f>($L147-$M147)-($N147-$O147)</f>
        <v/>
      </c>
      <c r="R147" s="66">
        <f>$L147-$N147</f>
        <v/>
      </c>
      <c r="S147" s="65">
        <f>"Finance invoice"</f>
        <v/>
      </c>
      <c r="T147" s="65">
        <f>"Revenue"</f>
        <v/>
      </c>
    </row>
    <row r="148">
      <c r="A148" s="63">
        <f>ROW()-5</f>
        <v/>
      </c>
      <c r="B148" s="64">
        <f>IFERROR(INDEX(tbl_Finance[Date],$A148),"")</f>
        <v/>
      </c>
      <c r="C148" s="65">
        <f>IFERROR(INDEX(tbl_Finance[Xero Invoice No],$A148),"")</f>
        <v/>
      </c>
      <c r="D148" s="65">
        <f>IFERROR(INDEX(tbl_Finance[Client],$A148),"")</f>
        <v/>
      </c>
      <c r="E148" s="65">
        <f>IFERROR(INDEX(tbl_Finance[Job Number],$A148),"")</f>
        <v/>
      </c>
      <c r="F148" s="65">
        <f>IFERROR(INDEX(tbl_Finance[Cost Centre],$A148),"")</f>
        <v/>
      </c>
      <c r="G148" s="66">
        <f>IFERROR(INDEX(tbl_Finance[Ex GST],$A148),"")</f>
        <v/>
      </c>
      <c r="H148" s="64">
        <f>IFERROR(INDEX(tbl_Finance[Defer Start],$A148),"")</f>
        <v/>
      </c>
      <c r="I148" s="64">
        <f>IFERROR(INDEX(tbl_Finance[Defer End],$A148),"")</f>
        <v/>
      </c>
      <c r="J148" s="63">
        <f>IF(OR($H148="",$I148="",$G148=""),"",MAX(1,(YEAR($I148)-YEAR($H148))*12+MONTH($I148)-MONTH($H148)+1))</f>
        <v/>
      </c>
      <c r="K148" s="66">
        <f>IF($J148="","",$G148/$J148)</f>
        <v/>
      </c>
      <c r="L148" s="66">
        <f>IF($J148="",0,$K148*MAX(0,MIN(YEAR($C$3)*12+MONTH($C$3),YEAR($I148)*12+MONTH($I148))-(YEAR($H148)*12+MONTH($H148))+1))</f>
        <v/>
      </c>
      <c r="M148" s="66">
        <f>IF($J148="",0,$K148*MAX(0,MIN(YEAR($C$3)*12+MONTH($C$3)-1,YEAR($I148)*12+MONTH($I148))-(YEAR($H148)*12+MONTH($H148))+1))</f>
        <v/>
      </c>
      <c r="N148" s="66">
        <f>IF(OR($J148="",$B148=""),0,IF(YEAR($B148)*12+MONTH($B148)&lt;=YEAR($C$3)*12+MONTH($C$3),$G148,0))</f>
        <v/>
      </c>
      <c r="O148" s="66">
        <f>IF(OR($J148="",$B148=""),0,IF(YEAR($B148)*12+MONTH($B148)&lt;=YEAR($C$3)*12+MONTH($C$3)-1,$G148,0))</f>
        <v/>
      </c>
      <c r="P148" s="66">
        <f>$M148-$O148</f>
        <v/>
      </c>
      <c r="Q148" s="66">
        <f>($L148-$M148)-($N148-$O148)</f>
        <v/>
      </c>
      <c r="R148" s="66">
        <f>$L148-$N148</f>
        <v/>
      </c>
      <c r="S148" s="65">
        <f>"Finance invoice"</f>
        <v/>
      </c>
      <c r="T148" s="65">
        <f>"Revenue"</f>
        <v/>
      </c>
    </row>
    <row r="149">
      <c r="A149" s="63">
        <f>ROW()-5</f>
        <v/>
      </c>
      <c r="B149" s="64">
        <f>IFERROR(INDEX(tbl_Finance[Date],$A149),"")</f>
        <v/>
      </c>
      <c r="C149" s="65">
        <f>IFERROR(INDEX(tbl_Finance[Xero Invoice No],$A149),"")</f>
        <v/>
      </c>
      <c r="D149" s="65">
        <f>IFERROR(INDEX(tbl_Finance[Client],$A149),"")</f>
        <v/>
      </c>
      <c r="E149" s="65">
        <f>IFERROR(INDEX(tbl_Finance[Job Number],$A149),"")</f>
        <v/>
      </c>
      <c r="F149" s="65">
        <f>IFERROR(INDEX(tbl_Finance[Cost Centre],$A149),"")</f>
        <v/>
      </c>
      <c r="G149" s="66">
        <f>IFERROR(INDEX(tbl_Finance[Ex GST],$A149),"")</f>
        <v/>
      </c>
      <c r="H149" s="64">
        <f>IFERROR(INDEX(tbl_Finance[Defer Start],$A149),"")</f>
        <v/>
      </c>
      <c r="I149" s="64">
        <f>IFERROR(INDEX(tbl_Finance[Defer End],$A149),"")</f>
        <v/>
      </c>
      <c r="J149" s="63">
        <f>IF(OR($H149="",$I149="",$G149=""),"",MAX(1,(YEAR($I149)-YEAR($H149))*12+MONTH($I149)-MONTH($H149)+1))</f>
        <v/>
      </c>
      <c r="K149" s="66">
        <f>IF($J149="","",$G149/$J149)</f>
        <v/>
      </c>
      <c r="L149" s="66">
        <f>IF($J149="",0,$K149*MAX(0,MIN(YEAR($C$3)*12+MONTH($C$3),YEAR($I149)*12+MONTH($I149))-(YEAR($H149)*12+MONTH($H149))+1))</f>
        <v/>
      </c>
      <c r="M149" s="66">
        <f>IF($J149="",0,$K149*MAX(0,MIN(YEAR($C$3)*12+MONTH($C$3)-1,YEAR($I149)*12+MONTH($I149))-(YEAR($H149)*12+MONTH($H149))+1))</f>
        <v/>
      </c>
      <c r="N149" s="66">
        <f>IF(OR($J149="",$B149=""),0,IF(YEAR($B149)*12+MONTH($B149)&lt;=YEAR($C$3)*12+MONTH($C$3),$G149,0))</f>
        <v/>
      </c>
      <c r="O149" s="66">
        <f>IF(OR($J149="",$B149=""),0,IF(YEAR($B149)*12+MONTH($B149)&lt;=YEAR($C$3)*12+MONTH($C$3)-1,$G149,0))</f>
        <v/>
      </c>
      <c r="P149" s="66">
        <f>$M149-$O149</f>
        <v/>
      </c>
      <c r="Q149" s="66">
        <f>($L149-$M149)-($N149-$O149)</f>
        <v/>
      </c>
      <c r="R149" s="66">
        <f>$L149-$N149</f>
        <v/>
      </c>
      <c r="S149" s="65">
        <f>"Finance invoice"</f>
        <v/>
      </c>
      <c r="T149" s="65">
        <f>"Revenue"</f>
        <v/>
      </c>
    </row>
    <row r="150">
      <c r="A150" s="63">
        <f>ROW()-5</f>
        <v/>
      </c>
      <c r="B150" s="64">
        <f>IFERROR(INDEX(tbl_Finance[Date],$A150),"")</f>
        <v/>
      </c>
      <c r="C150" s="65">
        <f>IFERROR(INDEX(tbl_Finance[Xero Invoice No],$A150),"")</f>
        <v/>
      </c>
      <c r="D150" s="65">
        <f>IFERROR(INDEX(tbl_Finance[Client],$A150),"")</f>
        <v/>
      </c>
      <c r="E150" s="65">
        <f>IFERROR(INDEX(tbl_Finance[Job Number],$A150),"")</f>
        <v/>
      </c>
      <c r="F150" s="65">
        <f>IFERROR(INDEX(tbl_Finance[Cost Centre],$A150),"")</f>
        <v/>
      </c>
      <c r="G150" s="66">
        <f>IFERROR(INDEX(tbl_Finance[Ex GST],$A150),"")</f>
        <v/>
      </c>
      <c r="H150" s="64">
        <f>IFERROR(INDEX(tbl_Finance[Defer Start],$A150),"")</f>
        <v/>
      </c>
      <c r="I150" s="64">
        <f>IFERROR(INDEX(tbl_Finance[Defer End],$A150),"")</f>
        <v/>
      </c>
      <c r="J150" s="63">
        <f>IF(OR($H150="",$I150="",$G150=""),"",MAX(1,(YEAR($I150)-YEAR($H150))*12+MONTH($I150)-MONTH($H150)+1))</f>
        <v/>
      </c>
      <c r="K150" s="66">
        <f>IF($J150="","",$G150/$J150)</f>
        <v/>
      </c>
      <c r="L150" s="66">
        <f>IF($J150="",0,$K150*MAX(0,MIN(YEAR($C$3)*12+MONTH($C$3),YEAR($I150)*12+MONTH($I150))-(YEAR($H150)*12+MONTH($H150))+1))</f>
        <v/>
      </c>
      <c r="M150" s="66">
        <f>IF($J150="",0,$K150*MAX(0,MIN(YEAR($C$3)*12+MONTH($C$3)-1,YEAR($I150)*12+MONTH($I150))-(YEAR($H150)*12+MONTH($H150))+1))</f>
        <v/>
      </c>
      <c r="N150" s="66">
        <f>IF(OR($J150="",$B150=""),0,IF(YEAR($B150)*12+MONTH($B150)&lt;=YEAR($C$3)*12+MONTH($C$3),$G150,0))</f>
        <v/>
      </c>
      <c r="O150" s="66">
        <f>IF(OR($J150="",$B150=""),0,IF(YEAR($B150)*12+MONTH($B150)&lt;=YEAR($C$3)*12+MONTH($C$3)-1,$G150,0))</f>
        <v/>
      </c>
      <c r="P150" s="66">
        <f>$M150-$O150</f>
        <v/>
      </c>
      <c r="Q150" s="66">
        <f>($L150-$M150)-($N150-$O150)</f>
        <v/>
      </c>
      <c r="R150" s="66">
        <f>$L150-$N150</f>
        <v/>
      </c>
      <c r="S150" s="65">
        <f>"Finance invoice"</f>
        <v/>
      </c>
      <c r="T150" s="65">
        <f>"Revenue"</f>
        <v/>
      </c>
    </row>
    <row r="151">
      <c r="A151" s="63">
        <f>ROW()-5</f>
        <v/>
      </c>
      <c r="B151" s="64">
        <f>IFERROR(INDEX(tbl_Finance[Date],$A151),"")</f>
        <v/>
      </c>
      <c r="C151" s="65">
        <f>IFERROR(INDEX(tbl_Finance[Xero Invoice No],$A151),"")</f>
        <v/>
      </c>
      <c r="D151" s="65">
        <f>IFERROR(INDEX(tbl_Finance[Client],$A151),"")</f>
        <v/>
      </c>
      <c r="E151" s="65">
        <f>IFERROR(INDEX(tbl_Finance[Job Number],$A151),"")</f>
        <v/>
      </c>
      <c r="F151" s="65">
        <f>IFERROR(INDEX(tbl_Finance[Cost Centre],$A151),"")</f>
        <v/>
      </c>
      <c r="G151" s="66">
        <f>IFERROR(INDEX(tbl_Finance[Ex GST],$A151),"")</f>
        <v/>
      </c>
      <c r="H151" s="64">
        <f>IFERROR(INDEX(tbl_Finance[Defer Start],$A151),"")</f>
        <v/>
      </c>
      <c r="I151" s="64">
        <f>IFERROR(INDEX(tbl_Finance[Defer End],$A151),"")</f>
        <v/>
      </c>
      <c r="J151" s="63">
        <f>IF(OR($H151="",$I151="",$G151=""),"",MAX(1,(YEAR($I151)-YEAR($H151))*12+MONTH($I151)-MONTH($H151)+1))</f>
        <v/>
      </c>
      <c r="K151" s="66">
        <f>IF($J151="","",$G151/$J151)</f>
        <v/>
      </c>
      <c r="L151" s="66">
        <f>IF($J151="",0,$K151*MAX(0,MIN(YEAR($C$3)*12+MONTH($C$3),YEAR($I151)*12+MONTH($I151))-(YEAR($H151)*12+MONTH($H151))+1))</f>
        <v/>
      </c>
      <c r="M151" s="66">
        <f>IF($J151="",0,$K151*MAX(0,MIN(YEAR($C$3)*12+MONTH($C$3)-1,YEAR($I151)*12+MONTH($I151))-(YEAR($H151)*12+MONTH($H151))+1))</f>
        <v/>
      </c>
      <c r="N151" s="66">
        <f>IF(OR($J151="",$B151=""),0,IF(YEAR($B151)*12+MONTH($B151)&lt;=YEAR($C$3)*12+MONTH($C$3),$G151,0))</f>
        <v/>
      </c>
      <c r="O151" s="66">
        <f>IF(OR($J151="",$B151=""),0,IF(YEAR($B151)*12+MONTH($B151)&lt;=YEAR($C$3)*12+MONTH($C$3)-1,$G151,0))</f>
        <v/>
      </c>
      <c r="P151" s="66">
        <f>$M151-$O151</f>
        <v/>
      </c>
      <c r="Q151" s="66">
        <f>($L151-$M151)-($N151-$O151)</f>
        <v/>
      </c>
      <c r="R151" s="66">
        <f>$L151-$N151</f>
        <v/>
      </c>
      <c r="S151" s="65">
        <f>"Finance invoice"</f>
        <v/>
      </c>
      <c r="T151" s="65">
        <f>"Revenue"</f>
        <v/>
      </c>
    </row>
    <row r="152">
      <c r="A152" s="63">
        <f>ROW()-5</f>
        <v/>
      </c>
      <c r="B152" s="64">
        <f>IFERROR(INDEX(tbl_Finance[Date],$A152),"")</f>
        <v/>
      </c>
      <c r="C152" s="65">
        <f>IFERROR(INDEX(tbl_Finance[Xero Invoice No],$A152),"")</f>
        <v/>
      </c>
      <c r="D152" s="65">
        <f>IFERROR(INDEX(tbl_Finance[Client],$A152),"")</f>
        <v/>
      </c>
      <c r="E152" s="65">
        <f>IFERROR(INDEX(tbl_Finance[Job Number],$A152),"")</f>
        <v/>
      </c>
      <c r="F152" s="65">
        <f>IFERROR(INDEX(tbl_Finance[Cost Centre],$A152),"")</f>
        <v/>
      </c>
      <c r="G152" s="66">
        <f>IFERROR(INDEX(tbl_Finance[Ex GST],$A152),"")</f>
        <v/>
      </c>
      <c r="H152" s="64">
        <f>IFERROR(INDEX(tbl_Finance[Defer Start],$A152),"")</f>
        <v/>
      </c>
      <c r="I152" s="64">
        <f>IFERROR(INDEX(tbl_Finance[Defer End],$A152),"")</f>
        <v/>
      </c>
      <c r="J152" s="63">
        <f>IF(OR($H152="",$I152="",$G152=""),"",MAX(1,(YEAR($I152)-YEAR($H152))*12+MONTH($I152)-MONTH($H152)+1))</f>
        <v/>
      </c>
      <c r="K152" s="66">
        <f>IF($J152="","",$G152/$J152)</f>
        <v/>
      </c>
      <c r="L152" s="66">
        <f>IF($J152="",0,$K152*MAX(0,MIN(YEAR($C$3)*12+MONTH($C$3),YEAR($I152)*12+MONTH($I152))-(YEAR($H152)*12+MONTH($H152))+1))</f>
        <v/>
      </c>
      <c r="M152" s="66">
        <f>IF($J152="",0,$K152*MAX(0,MIN(YEAR($C$3)*12+MONTH($C$3)-1,YEAR($I152)*12+MONTH($I152))-(YEAR($H152)*12+MONTH($H152))+1))</f>
        <v/>
      </c>
      <c r="N152" s="66">
        <f>IF(OR($J152="",$B152=""),0,IF(YEAR($B152)*12+MONTH($B152)&lt;=YEAR($C$3)*12+MONTH($C$3),$G152,0))</f>
        <v/>
      </c>
      <c r="O152" s="66">
        <f>IF(OR($J152="",$B152=""),0,IF(YEAR($B152)*12+MONTH($B152)&lt;=YEAR($C$3)*12+MONTH($C$3)-1,$G152,0))</f>
        <v/>
      </c>
      <c r="P152" s="66">
        <f>$M152-$O152</f>
        <v/>
      </c>
      <c r="Q152" s="66">
        <f>($L152-$M152)-($N152-$O152)</f>
        <v/>
      </c>
      <c r="R152" s="66">
        <f>$L152-$N152</f>
        <v/>
      </c>
      <c r="S152" s="65">
        <f>"Finance invoice"</f>
        <v/>
      </c>
      <c r="T152" s="65">
        <f>"Revenue"</f>
        <v/>
      </c>
    </row>
    <row r="153">
      <c r="A153" s="63">
        <f>ROW()-5</f>
        <v/>
      </c>
      <c r="B153" s="64">
        <f>IFERROR(INDEX(tbl_Finance[Date],$A153),"")</f>
        <v/>
      </c>
      <c r="C153" s="65">
        <f>IFERROR(INDEX(tbl_Finance[Xero Invoice No],$A153),"")</f>
        <v/>
      </c>
      <c r="D153" s="65">
        <f>IFERROR(INDEX(tbl_Finance[Client],$A153),"")</f>
        <v/>
      </c>
      <c r="E153" s="65">
        <f>IFERROR(INDEX(tbl_Finance[Job Number],$A153),"")</f>
        <v/>
      </c>
      <c r="F153" s="65">
        <f>IFERROR(INDEX(tbl_Finance[Cost Centre],$A153),"")</f>
        <v/>
      </c>
      <c r="G153" s="66">
        <f>IFERROR(INDEX(tbl_Finance[Ex GST],$A153),"")</f>
        <v/>
      </c>
      <c r="H153" s="64">
        <f>IFERROR(INDEX(tbl_Finance[Defer Start],$A153),"")</f>
        <v/>
      </c>
      <c r="I153" s="64">
        <f>IFERROR(INDEX(tbl_Finance[Defer End],$A153),"")</f>
        <v/>
      </c>
      <c r="J153" s="63">
        <f>IF(OR($H153="",$I153="",$G153=""),"",MAX(1,(YEAR($I153)-YEAR($H153))*12+MONTH($I153)-MONTH($H153)+1))</f>
        <v/>
      </c>
      <c r="K153" s="66">
        <f>IF($J153="","",$G153/$J153)</f>
        <v/>
      </c>
      <c r="L153" s="66">
        <f>IF($J153="",0,$K153*MAX(0,MIN(YEAR($C$3)*12+MONTH($C$3),YEAR($I153)*12+MONTH($I153))-(YEAR($H153)*12+MONTH($H153))+1))</f>
        <v/>
      </c>
      <c r="M153" s="66">
        <f>IF($J153="",0,$K153*MAX(0,MIN(YEAR($C$3)*12+MONTH($C$3)-1,YEAR($I153)*12+MONTH($I153))-(YEAR($H153)*12+MONTH($H153))+1))</f>
        <v/>
      </c>
      <c r="N153" s="66">
        <f>IF(OR($J153="",$B153=""),0,IF(YEAR($B153)*12+MONTH($B153)&lt;=YEAR($C$3)*12+MONTH($C$3),$G153,0))</f>
        <v/>
      </c>
      <c r="O153" s="66">
        <f>IF(OR($J153="",$B153=""),0,IF(YEAR($B153)*12+MONTH($B153)&lt;=YEAR($C$3)*12+MONTH($C$3)-1,$G153,0))</f>
        <v/>
      </c>
      <c r="P153" s="66">
        <f>$M153-$O153</f>
        <v/>
      </c>
      <c r="Q153" s="66">
        <f>($L153-$M153)-($N153-$O153)</f>
        <v/>
      </c>
      <c r="R153" s="66">
        <f>$L153-$N153</f>
        <v/>
      </c>
      <c r="S153" s="65">
        <f>"Finance invoice"</f>
        <v/>
      </c>
      <c r="T153" s="65">
        <f>"Revenue"</f>
        <v/>
      </c>
    </row>
    <row r="154">
      <c r="A154" s="63">
        <f>ROW()-5</f>
        <v/>
      </c>
      <c r="B154" s="64">
        <f>IFERROR(INDEX(tbl_Finance[Date],$A154),"")</f>
        <v/>
      </c>
      <c r="C154" s="65">
        <f>IFERROR(INDEX(tbl_Finance[Xero Invoice No],$A154),"")</f>
        <v/>
      </c>
      <c r="D154" s="65">
        <f>IFERROR(INDEX(tbl_Finance[Client],$A154),"")</f>
        <v/>
      </c>
      <c r="E154" s="65">
        <f>IFERROR(INDEX(tbl_Finance[Job Number],$A154),"")</f>
        <v/>
      </c>
      <c r="F154" s="65">
        <f>IFERROR(INDEX(tbl_Finance[Cost Centre],$A154),"")</f>
        <v/>
      </c>
      <c r="G154" s="66">
        <f>IFERROR(INDEX(tbl_Finance[Ex GST],$A154),"")</f>
        <v/>
      </c>
      <c r="H154" s="64">
        <f>IFERROR(INDEX(tbl_Finance[Defer Start],$A154),"")</f>
        <v/>
      </c>
      <c r="I154" s="64">
        <f>IFERROR(INDEX(tbl_Finance[Defer End],$A154),"")</f>
        <v/>
      </c>
      <c r="J154" s="63">
        <f>IF(OR($H154="",$I154="",$G154=""),"",MAX(1,(YEAR($I154)-YEAR($H154))*12+MONTH($I154)-MONTH($H154)+1))</f>
        <v/>
      </c>
      <c r="K154" s="66">
        <f>IF($J154="","",$G154/$J154)</f>
        <v/>
      </c>
      <c r="L154" s="66">
        <f>IF($J154="",0,$K154*MAX(0,MIN(YEAR($C$3)*12+MONTH($C$3),YEAR($I154)*12+MONTH($I154))-(YEAR($H154)*12+MONTH($H154))+1))</f>
        <v/>
      </c>
      <c r="M154" s="66">
        <f>IF($J154="",0,$K154*MAX(0,MIN(YEAR($C$3)*12+MONTH($C$3)-1,YEAR($I154)*12+MONTH($I154))-(YEAR($H154)*12+MONTH($H154))+1))</f>
        <v/>
      </c>
      <c r="N154" s="66">
        <f>IF(OR($J154="",$B154=""),0,IF(YEAR($B154)*12+MONTH($B154)&lt;=YEAR($C$3)*12+MONTH($C$3),$G154,0))</f>
        <v/>
      </c>
      <c r="O154" s="66">
        <f>IF(OR($J154="",$B154=""),0,IF(YEAR($B154)*12+MONTH($B154)&lt;=YEAR($C$3)*12+MONTH($C$3)-1,$G154,0))</f>
        <v/>
      </c>
      <c r="P154" s="66">
        <f>$M154-$O154</f>
        <v/>
      </c>
      <c r="Q154" s="66">
        <f>($L154-$M154)-($N154-$O154)</f>
        <v/>
      </c>
      <c r="R154" s="66">
        <f>$L154-$N154</f>
        <v/>
      </c>
      <c r="S154" s="65">
        <f>"Finance invoice"</f>
        <v/>
      </c>
      <c r="T154" s="65">
        <f>"Revenue"</f>
        <v/>
      </c>
    </row>
    <row r="155">
      <c r="A155" s="63">
        <f>ROW()-5</f>
        <v/>
      </c>
      <c r="B155" s="64">
        <f>IFERROR(INDEX(tbl_Finance[Date],$A155),"")</f>
        <v/>
      </c>
      <c r="C155" s="65">
        <f>IFERROR(INDEX(tbl_Finance[Xero Invoice No],$A155),"")</f>
        <v/>
      </c>
      <c r="D155" s="65">
        <f>IFERROR(INDEX(tbl_Finance[Client],$A155),"")</f>
        <v/>
      </c>
      <c r="E155" s="65">
        <f>IFERROR(INDEX(tbl_Finance[Job Number],$A155),"")</f>
        <v/>
      </c>
      <c r="F155" s="65">
        <f>IFERROR(INDEX(tbl_Finance[Cost Centre],$A155),"")</f>
        <v/>
      </c>
      <c r="G155" s="66">
        <f>IFERROR(INDEX(tbl_Finance[Ex GST],$A155),"")</f>
        <v/>
      </c>
      <c r="H155" s="64">
        <f>IFERROR(INDEX(tbl_Finance[Defer Start],$A155),"")</f>
        <v/>
      </c>
      <c r="I155" s="64">
        <f>IFERROR(INDEX(tbl_Finance[Defer End],$A155),"")</f>
        <v/>
      </c>
      <c r="J155" s="63">
        <f>IF(OR($H155="",$I155="",$G155=""),"",MAX(1,(YEAR($I155)-YEAR($H155))*12+MONTH($I155)-MONTH($H155)+1))</f>
        <v/>
      </c>
      <c r="K155" s="66">
        <f>IF($J155="","",$G155/$J155)</f>
        <v/>
      </c>
      <c r="L155" s="66">
        <f>IF($J155="",0,$K155*MAX(0,MIN(YEAR($C$3)*12+MONTH($C$3),YEAR($I155)*12+MONTH($I155))-(YEAR($H155)*12+MONTH($H155))+1))</f>
        <v/>
      </c>
      <c r="M155" s="66">
        <f>IF($J155="",0,$K155*MAX(0,MIN(YEAR($C$3)*12+MONTH($C$3)-1,YEAR($I155)*12+MONTH($I155))-(YEAR($H155)*12+MONTH($H155))+1))</f>
        <v/>
      </c>
      <c r="N155" s="66">
        <f>IF(OR($J155="",$B155=""),0,IF(YEAR($B155)*12+MONTH($B155)&lt;=YEAR($C$3)*12+MONTH($C$3),$G155,0))</f>
        <v/>
      </c>
      <c r="O155" s="66">
        <f>IF(OR($J155="",$B155=""),0,IF(YEAR($B155)*12+MONTH($B155)&lt;=YEAR($C$3)*12+MONTH($C$3)-1,$G155,0))</f>
        <v/>
      </c>
      <c r="P155" s="66">
        <f>$M155-$O155</f>
        <v/>
      </c>
      <c r="Q155" s="66">
        <f>($L155-$M155)-($N155-$O155)</f>
        <v/>
      </c>
      <c r="R155" s="66">
        <f>$L155-$N155</f>
        <v/>
      </c>
      <c r="S155" s="65">
        <f>"Finance invoice"</f>
        <v/>
      </c>
      <c r="T155" s="65">
        <f>"Revenue"</f>
        <v/>
      </c>
    </row>
    <row r="156">
      <c r="A156" s="63">
        <f>ROW()-5</f>
        <v/>
      </c>
      <c r="B156" s="64">
        <f>IFERROR(INDEX(tbl_Finance[Date],$A156),"")</f>
        <v/>
      </c>
      <c r="C156" s="65">
        <f>IFERROR(INDEX(tbl_Finance[Xero Invoice No],$A156),"")</f>
        <v/>
      </c>
      <c r="D156" s="65">
        <f>IFERROR(INDEX(tbl_Finance[Client],$A156),"")</f>
        <v/>
      </c>
      <c r="E156" s="65">
        <f>IFERROR(INDEX(tbl_Finance[Job Number],$A156),"")</f>
        <v/>
      </c>
      <c r="F156" s="65">
        <f>IFERROR(INDEX(tbl_Finance[Cost Centre],$A156),"")</f>
        <v/>
      </c>
      <c r="G156" s="66">
        <f>IFERROR(INDEX(tbl_Finance[Ex GST],$A156),"")</f>
        <v/>
      </c>
      <c r="H156" s="64">
        <f>IFERROR(INDEX(tbl_Finance[Defer Start],$A156),"")</f>
        <v/>
      </c>
      <c r="I156" s="64">
        <f>IFERROR(INDEX(tbl_Finance[Defer End],$A156),"")</f>
        <v/>
      </c>
      <c r="J156" s="63">
        <f>IF(OR($H156="",$I156="",$G156=""),"",MAX(1,(YEAR($I156)-YEAR($H156))*12+MONTH($I156)-MONTH($H156)+1))</f>
        <v/>
      </c>
      <c r="K156" s="66">
        <f>IF($J156="","",$G156/$J156)</f>
        <v/>
      </c>
      <c r="L156" s="66">
        <f>IF($J156="",0,$K156*MAX(0,MIN(YEAR($C$3)*12+MONTH($C$3),YEAR($I156)*12+MONTH($I156))-(YEAR($H156)*12+MONTH($H156))+1))</f>
        <v/>
      </c>
      <c r="M156" s="66">
        <f>IF($J156="",0,$K156*MAX(0,MIN(YEAR($C$3)*12+MONTH($C$3)-1,YEAR($I156)*12+MONTH($I156))-(YEAR($H156)*12+MONTH($H156))+1))</f>
        <v/>
      </c>
      <c r="N156" s="66">
        <f>IF(OR($J156="",$B156=""),0,IF(YEAR($B156)*12+MONTH($B156)&lt;=YEAR($C$3)*12+MONTH($C$3),$G156,0))</f>
        <v/>
      </c>
      <c r="O156" s="66">
        <f>IF(OR($J156="",$B156=""),0,IF(YEAR($B156)*12+MONTH($B156)&lt;=YEAR($C$3)*12+MONTH($C$3)-1,$G156,0))</f>
        <v/>
      </c>
      <c r="P156" s="66">
        <f>$M156-$O156</f>
        <v/>
      </c>
      <c r="Q156" s="66">
        <f>($L156-$M156)-($N156-$O156)</f>
        <v/>
      </c>
      <c r="R156" s="66">
        <f>$L156-$N156</f>
        <v/>
      </c>
      <c r="S156" s="65">
        <f>"Finance invoice"</f>
        <v/>
      </c>
      <c r="T156" s="65">
        <f>"Revenue"</f>
        <v/>
      </c>
    </row>
    <row r="157">
      <c r="A157" s="63">
        <f>ROW()-5</f>
        <v/>
      </c>
      <c r="B157" s="64">
        <f>IFERROR(INDEX(tbl_Finance[Date],$A157),"")</f>
        <v/>
      </c>
      <c r="C157" s="65">
        <f>IFERROR(INDEX(tbl_Finance[Xero Invoice No],$A157),"")</f>
        <v/>
      </c>
      <c r="D157" s="65">
        <f>IFERROR(INDEX(tbl_Finance[Client],$A157),"")</f>
        <v/>
      </c>
      <c r="E157" s="65">
        <f>IFERROR(INDEX(tbl_Finance[Job Number],$A157),"")</f>
        <v/>
      </c>
      <c r="F157" s="65">
        <f>IFERROR(INDEX(tbl_Finance[Cost Centre],$A157),"")</f>
        <v/>
      </c>
      <c r="G157" s="66">
        <f>IFERROR(INDEX(tbl_Finance[Ex GST],$A157),"")</f>
        <v/>
      </c>
      <c r="H157" s="64">
        <f>IFERROR(INDEX(tbl_Finance[Defer Start],$A157),"")</f>
        <v/>
      </c>
      <c r="I157" s="64">
        <f>IFERROR(INDEX(tbl_Finance[Defer End],$A157),"")</f>
        <v/>
      </c>
      <c r="J157" s="63">
        <f>IF(OR($H157="",$I157="",$G157=""),"",MAX(1,(YEAR($I157)-YEAR($H157))*12+MONTH($I157)-MONTH($H157)+1))</f>
        <v/>
      </c>
      <c r="K157" s="66">
        <f>IF($J157="","",$G157/$J157)</f>
        <v/>
      </c>
      <c r="L157" s="66">
        <f>IF($J157="",0,$K157*MAX(0,MIN(YEAR($C$3)*12+MONTH($C$3),YEAR($I157)*12+MONTH($I157))-(YEAR($H157)*12+MONTH($H157))+1))</f>
        <v/>
      </c>
      <c r="M157" s="66">
        <f>IF($J157="",0,$K157*MAX(0,MIN(YEAR($C$3)*12+MONTH($C$3)-1,YEAR($I157)*12+MONTH($I157))-(YEAR($H157)*12+MONTH($H157))+1))</f>
        <v/>
      </c>
      <c r="N157" s="66">
        <f>IF(OR($J157="",$B157=""),0,IF(YEAR($B157)*12+MONTH($B157)&lt;=YEAR($C$3)*12+MONTH($C$3),$G157,0))</f>
        <v/>
      </c>
      <c r="O157" s="66">
        <f>IF(OR($J157="",$B157=""),0,IF(YEAR($B157)*12+MONTH($B157)&lt;=YEAR($C$3)*12+MONTH($C$3)-1,$G157,0))</f>
        <v/>
      </c>
      <c r="P157" s="66">
        <f>$M157-$O157</f>
        <v/>
      </c>
      <c r="Q157" s="66">
        <f>($L157-$M157)-($N157-$O157)</f>
        <v/>
      </c>
      <c r="R157" s="66">
        <f>$L157-$N157</f>
        <v/>
      </c>
      <c r="S157" s="65">
        <f>"Finance invoice"</f>
        <v/>
      </c>
      <c r="T157" s="65">
        <f>"Revenue"</f>
        <v/>
      </c>
    </row>
    <row r="158">
      <c r="A158" s="63">
        <f>ROW()-5</f>
        <v/>
      </c>
      <c r="B158" s="64">
        <f>IFERROR(INDEX(tbl_Finance[Date],$A158),"")</f>
        <v/>
      </c>
      <c r="C158" s="65">
        <f>IFERROR(INDEX(tbl_Finance[Xero Invoice No],$A158),"")</f>
        <v/>
      </c>
      <c r="D158" s="65">
        <f>IFERROR(INDEX(tbl_Finance[Client],$A158),"")</f>
        <v/>
      </c>
      <c r="E158" s="65">
        <f>IFERROR(INDEX(tbl_Finance[Job Number],$A158),"")</f>
        <v/>
      </c>
      <c r="F158" s="65">
        <f>IFERROR(INDEX(tbl_Finance[Cost Centre],$A158),"")</f>
        <v/>
      </c>
      <c r="G158" s="66">
        <f>IFERROR(INDEX(tbl_Finance[Ex GST],$A158),"")</f>
        <v/>
      </c>
      <c r="H158" s="64">
        <f>IFERROR(INDEX(tbl_Finance[Defer Start],$A158),"")</f>
        <v/>
      </c>
      <c r="I158" s="64">
        <f>IFERROR(INDEX(tbl_Finance[Defer End],$A158),"")</f>
        <v/>
      </c>
      <c r="J158" s="63">
        <f>IF(OR($H158="",$I158="",$G158=""),"",MAX(1,(YEAR($I158)-YEAR($H158))*12+MONTH($I158)-MONTH($H158)+1))</f>
        <v/>
      </c>
      <c r="K158" s="66">
        <f>IF($J158="","",$G158/$J158)</f>
        <v/>
      </c>
      <c r="L158" s="66">
        <f>IF($J158="",0,$K158*MAX(0,MIN(YEAR($C$3)*12+MONTH($C$3),YEAR($I158)*12+MONTH($I158))-(YEAR($H158)*12+MONTH($H158))+1))</f>
        <v/>
      </c>
      <c r="M158" s="66">
        <f>IF($J158="",0,$K158*MAX(0,MIN(YEAR($C$3)*12+MONTH($C$3)-1,YEAR($I158)*12+MONTH($I158))-(YEAR($H158)*12+MONTH($H158))+1))</f>
        <v/>
      </c>
      <c r="N158" s="66">
        <f>IF(OR($J158="",$B158=""),0,IF(YEAR($B158)*12+MONTH($B158)&lt;=YEAR($C$3)*12+MONTH($C$3),$G158,0))</f>
        <v/>
      </c>
      <c r="O158" s="66">
        <f>IF(OR($J158="",$B158=""),0,IF(YEAR($B158)*12+MONTH($B158)&lt;=YEAR($C$3)*12+MONTH($C$3)-1,$G158,0))</f>
        <v/>
      </c>
      <c r="P158" s="66">
        <f>$M158-$O158</f>
        <v/>
      </c>
      <c r="Q158" s="66">
        <f>($L158-$M158)-($N158-$O158)</f>
        <v/>
      </c>
      <c r="R158" s="66">
        <f>$L158-$N158</f>
        <v/>
      </c>
      <c r="S158" s="65">
        <f>"Finance invoice"</f>
        <v/>
      </c>
      <c r="T158" s="65">
        <f>"Revenue"</f>
        <v/>
      </c>
    </row>
    <row r="159">
      <c r="A159" s="63">
        <f>ROW()-5</f>
        <v/>
      </c>
      <c r="B159" s="64">
        <f>IFERROR(INDEX(tbl_Finance[Date],$A159),"")</f>
        <v/>
      </c>
      <c r="C159" s="65">
        <f>IFERROR(INDEX(tbl_Finance[Xero Invoice No],$A159),"")</f>
        <v/>
      </c>
      <c r="D159" s="65">
        <f>IFERROR(INDEX(tbl_Finance[Client],$A159),"")</f>
        <v/>
      </c>
      <c r="E159" s="65">
        <f>IFERROR(INDEX(tbl_Finance[Job Number],$A159),"")</f>
        <v/>
      </c>
      <c r="F159" s="65">
        <f>IFERROR(INDEX(tbl_Finance[Cost Centre],$A159),"")</f>
        <v/>
      </c>
      <c r="G159" s="66">
        <f>IFERROR(INDEX(tbl_Finance[Ex GST],$A159),"")</f>
        <v/>
      </c>
      <c r="H159" s="64">
        <f>IFERROR(INDEX(tbl_Finance[Defer Start],$A159),"")</f>
        <v/>
      </c>
      <c r="I159" s="64">
        <f>IFERROR(INDEX(tbl_Finance[Defer End],$A159),"")</f>
        <v/>
      </c>
      <c r="J159" s="63">
        <f>IF(OR($H159="",$I159="",$G159=""),"",MAX(1,(YEAR($I159)-YEAR($H159))*12+MONTH($I159)-MONTH($H159)+1))</f>
        <v/>
      </c>
      <c r="K159" s="66">
        <f>IF($J159="","",$G159/$J159)</f>
        <v/>
      </c>
      <c r="L159" s="66">
        <f>IF($J159="",0,$K159*MAX(0,MIN(YEAR($C$3)*12+MONTH($C$3),YEAR($I159)*12+MONTH($I159))-(YEAR($H159)*12+MONTH($H159))+1))</f>
        <v/>
      </c>
      <c r="M159" s="66">
        <f>IF($J159="",0,$K159*MAX(0,MIN(YEAR($C$3)*12+MONTH($C$3)-1,YEAR($I159)*12+MONTH($I159))-(YEAR($H159)*12+MONTH($H159))+1))</f>
        <v/>
      </c>
      <c r="N159" s="66">
        <f>IF(OR($J159="",$B159=""),0,IF(YEAR($B159)*12+MONTH($B159)&lt;=YEAR($C$3)*12+MONTH($C$3),$G159,0))</f>
        <v/>
      </c>
      <c r="O159" s="66">
        <f>IF(OR($J159="",$B159=""),0,IF(YEAR($B159)*12+MONTH($B159)&lt;=YEAR($C$3)*12+MONTH($C$3)-1,$G159,0))</f>
        <v/>
      </c>
      <c r="P159" s="66">
        <f>$M159-$O159</f>
        <v/>
      </c>
      <c r="Q159" s="66">
        <f>($L159-$M159)-($N159-$O159)</f>
        <v/>
      </c>
      <c r="R159" s="66">
        <f>$L159-$N159</f>
        <v/>
      </c>
      <c r="S159" s="65">
        <f>"Finance invoice"</f>
        <v/>
      </c>
      <c r="T159" s="65">
        <f>"Revenue"</f>
        <v/>
      </c>
    </row>
    <row r="160">
      <c r="A160" s="63">
        <f>ROW()-5</f>
        <v/>
      </c>
      <c r="B160" s="64">
        <f>IFERROR(INDEX(tbl_Finance[Date],$A160),"")</f>
        <v/>
      </c>
      <c r="C160" s="65">
        <f>IFERROR(INDEX(tbl_Finance[Xero Invoice No],$A160),"")</f>
        <v/>
      </c>
      <c r="D160" s="65">
        <f>IFERROR(INDEX(tbl_Finance[Client],$A160),"")</f>
        <v/>
      </c>
      <c r="E160" s="65">
        <f>IFERROR(INDEX(tbl_Finance[Job Number],$A160),"")</f>
        <v/>
      </c>
      <c r="F160" s="65">
        <f>IFERROR(INDEX(tbl_Finance[Cost Centre],$A160),"")</f>
        <v/>
      </c>
      <c r="G160" s="66">
        <f>IFERROR(INDEX(tbl_Finance[Ex GST],$A160),"")</f>
        <v/>
      </c>
      <c r="H160" s="64">
        <f>IFERROR(INDEX(tbl_Finance[Defer Start],$A160),"")</f>
        <v/>
      </c>
      <c r="I160" s="64">
        <f>IFERROR(INDEX(tbl_Finance[Defer End],$A160),"")</f>
        <v/>
      </c>
      <c r="J160" s="63">
        <f>IF(OR($H160="",$I160="",$G160=""),"",MAX(1,(YEAR($I160)-YEAR($H160))*12+MONTH($I160)-MONTH($H160)+1))</f>
        <v/>
      </c>
      <c r="K160" s="66">
        <f>IF($J160="","",$G160/$J160)</f>
        <v/>
      </c>
      <c r="L160" s="66">
        <f>IF($J160="",0,$K160*MAX(0,MIN(YEAR($C$3)*12+MONTH($C$3),YEAR($I160)*12+MONTH($I160))-(YEAR($H160)*12+MONTH($H160))+1))</f>
        <v/>
      </c>
      <c r="M160" s="66">
        <f>IF($J160="",0,$K160*MAX(0,MIN(YEAR($C$3)*12+MONTH($C$3)-1,YEAR($I160)*12+MONTH($I160))-(YEAR($H160)*12+MONTH($H160))+1))</f>
        <v/>
      </c>
      <c r="N160" s="66">
        <f>IF(OR($J160="",$B160=""),0,IF(YEAR($B160)*12+MONTH($B160)&lt;=YEAR($C$3)*12+MONTH($C$3),$G160,0))</f>
        <v/>
      </c>
      <c r="O160" s="66">
        <f>IF(OR($J160="",$B160=""),0,IF(YEAR($B160)*12+MONTH($B160)&lt;=YEAR($C$3)*12+MONTH($C$3)-1,$G160,0))</f>
        <v/>
      </c>
      <c r="P160" s="66">
        <f>$M160-$O160</f>
        <v/>
      </c>
      <c r="Q160" s="66">
        <f>($L160-$M160)-($N160-$O160)</f>
        <v/>
      </c>
      <c r="R160" s="66">
        <f>$L160-$N160</f>
        <v/>
      </c>
      <c r="S160" s="65">
        <f>"Finance invoice"</f>
        <v/>
      </c>
      <c r="T160" s="65">
        <f>"Revenue"</f>
        <v/>
      </c>
    </row>
    <row r="161">
      <c r="A161" s="63">
        <f>ROW()-5</f>
        <v/>
      </c>
      <c r="B161" s="64">
        <f>IFERROR(INDEX(tbl_Finance[Date],$A161),"")</f>
        <v/>
      </c>
      <c r="C161" s="65">
        <f>IFERROR(INDEX(tbl_Finance[Xero Invoice No],$A161),"")</f>
        <v/>
      </c>
      <c r="D161" s="65">
        <f>IFERROR(INDEX(tbl_Finance[Client],$A161),"")</f>
        <v/>
      </c>
      <c r="E161" s="65">
        <f>IFERROR(INDEX(tbl_Finance[Job Number],$A161),"")</f>
        <v/>
      </c>
      <c r="F161" s="65">
        <f>IFERROR(INDEX(tbl_Finance[Cost Centre],$A161),"")</f>
        <v/>
      </c>
      <c r="G161" s="66">
        <f>IFERROR(INDEX(tbl_Finance[Ex GST],$A161),"")</f>
        <v/>
      </c>
      <c r="H161" s="64">
        <f>IFERROR(INDEX(tbl_Finance[Defer Start],$A161),"")</f>
        <v/>
      </c>
      <c r="I161" s="64">
        <f>IFERROR(INDEX(tbl_Finance[Defer End],$A161),"")</f>
        <v/>
      </c>
      <c r="J161" s="63">
        <f>IF(OR($H161="",$I161="",$G161=""),"",MAX(1,(YEAR($I161)-YEAR($H161))*12+MONTH($I161)-MONTH($H161)+1))</f>
        <v/>
      </c>
      <c r="K161" s="66">
        <f>IF($J161="","",$G161/$J161)</f>
        <v/>
      </c>
      <c r="L161" s="66">
        <f>IF($J161="",0,$K161*MAX(0,MIN(YEAR($C$3)*12+MONTH($C$3),YEAR($I161)*12+MONTH($I161))-(YEAR($H161)*12+MONTH($H161))+1))</f>
        <v/>
      </c>
      <c r="M161" s="66">
        <f>IF($J161="",0,$K161*MAX(0,MIN(YEAR($C$3)*12+MONTH($C$3)-1,YEAR($I161)*12+MONTH($I161))-(YEAR($H161)*12+MONTH($H161))+1))</f>
        <v/>
      </c>
      <c r="N161" s="66">
        <f>IF(OR($J161="",$B161=""),0,IF(YEAR($B161)*12+MONTH($B161)&lt;=YEAR($C$3)*12+MONTH($C$3),$G161,0))</f>
        <v/>
      </c>
      <c r="O161" s="66">
        <f>IF(OR($J161="",$B161=""),0,IF(YEAR($B161)*12+MONTH($B161)&lt;=YEAR($C$3)*12+MONTH($C$3)-1,$G161,0))</f>
        <v/>
      </c>
      <c r="P161" s="66">
        <f>$M161-$O161</f>
        <v/>
      </c>
      <c r="Q161" s="66">
        <f>($L161-$M161)-($N161-$O161)</f>
        <v/>
      </c>
      <c r="R161" s="66">
        <f>$L161-$N161</f>
        <v/>
      </c>
      <c r="S161" s="65">
        <f>"Finance invoice"</f>
        <v/>
      </c>
      <c r="T161" s="65">
        <f>"Revenue"</f>
        <v/>
      </c>
    </row>
    <row r="162">
      <c r="A162" s="63">
        <f>ROW()-5</f>
        <v/>
      </c>
      <c r="B162" s="64">
        <f>IFERROR(INDEX(tbl_Finance[Date],$A162),"")</f>
        <v/>
      </c>
      <c r="C162" s="65">
        <f>IFERROR(INDEX(tbl_Finance[Xero Invoice No],$A162),"")</f>
        <v/>
      </c>
      <c r="D162" s="65">
        <f>IFERROR(INDEX(tbl_Finance[Client],$A162),"")</f>
        <v/>
      </c>
      <c r="E162" s="65">
        <f>IFERROR(INDEX(tbl_Finance[Job Number],$A162),"")</f>
        <v/>
      </c>
      <c r="F162" s="65">
        <f>IFERROR(INDEX(tbl_Finance[Cost Centre],$A162),"")</f>
        <v/>
      </c>
      <c r="G162" s="66">
        <f>IFERROR(INDEX(tbl_Finance[Ex GST],$A162),"")</f>
        <v/>
      </c>
      <c r="H162" s="64">
        <f>IFERROR(INDEX(tbl_Finance[Defer Start],$A162),"")</f>
        <v/>
      </c>
      <c r="I162" s="64">
        <f>IFERROR(INDEX(tbl_Finance[Defer End],$A162),"")</f>
        <v/>
      </c>
      <c r="J162" s="63">
        <f>IF(OR($H162="",$I162="",$G162=""),"",MAX(1,(YEAR($I162)-YEAR($H162))*12+MONTH($I162)-MONTH($H162)+1))</f>
        <v/>
      </c>
      <c r="K162" s="66">
        <f>IF($J162="","",$G162/$J162)</f>
        <v/>
      </c>
      <c r="L162" s="66">
        <f>IF($J162="",0,$K162*MAX(0,MIN(YEAR($C$3)*12+MONTH($C$3),YEAR($I162)*12+MONTH($I162))-(YEAR($H162)*12+MONTH($H162))+1))</f>
        <v/>
      </c>
      <c r="M162" s="66">
        <f>IF($J162="",0,$K162*MAX(0,MIN(YEAR($C$3)*12+MONTH($C$3)-1,YEAR($I162)*12+MONTH($I162))-(YEAR($H162)*12+MONTH($H162))+1))</f>
        <v/>
      </c>
      <c r="N162" s="66">
        <f>IF(OR($J162="",$B162=""),0,IF(YEAR($B162)*12+MONTH($B162)&lt;=YEAR($C$3)*12+MONTH($C$3),$G162,0))</f>
        <v/>
      </c>
      <c r="O162" s="66">
        <f>IF(OR($J162="",$B162=""),0,IF(YEAR($B162)*12+MONTH($B162)&lt;=YEAR($C$3)*12+MONTH($C$3)-1,$G162,0))</f>
        <v/>
      </c>
      <c r="P162" s="66">
        <f>$M162-$O162</f>
        <v/>
      </c>
      <c r="Q162" s="66">
        <f>($L162-$M162)-($N162-$O162)</f>
        <v/>
      </c>
      <c r="R162" s="66">
        <f>$L162-$N162</f>
        <v/>
      </c>
      <c r="S162" s="65">
        <f>"Finance invoice"</f>
        <v/>
      </c>
      <c r="T162" s="65">
        <f>"Revenue"</f>
        <v/>
      </c>
    </row>
    <row r="163">
      <c r="A163" s="63">
        <f>ROW()-5</f>
        <v/>
      </c>
      <c r="B163" s="64">
        <f>IFERROR(INDEX(tbl_Finance[Date],$A163),"")</f>
        <v/>
      </c>
      <c r="C163" s="65">
        <f>IFERROR(INDEX(tbl_Finance[Xero Invoice No],$A163),"")</f>
        <v/>
      </c>
      <c r="D163" s="65">
        <f>IFERROR(INDEX(tbl_Finance[Client],$A163),"")</f>
        <v/>
      </c>
      <c r="E163" s="65">
        <f>IFERROR(INDEX(tbl_Finance[Job Number],$A163),"")</f>
        <v/>
      </c>
      <c r="F163" s="65">
        <f>IFERROR(INDEX(tbl_Finance[Cost Centre],$A163),"")</f>
        <v/>
      </c>
      <c r="G163" s="66">
        <f>IFERROR(INDEX(tbl_Finance[Ex GST],$A163),"")</f>
        <v/>
      </c>
      <c r="H163" s="64">
        <f>IFERROR(INDEX(tbl_Finance[Defer Start],$A163),"")</f>
        <v/>
      </c>
      <c r="I163" s="64">
        <f>IFERROR(INDEX(tbl_Finance[Defer End],$A163),"")</f>
        <v/>
      </c>
      <c r="J163" s="63">
        <f>IF(OR($H163="",$I163="",$G163=""),"",MAX(1,(YEAR($I163)-YEAR($H163))*12+MONTH($I163)-MONTH($H163)+1))</f>
        <v/>
      </c>
      <c r="K163" s="66">
        <f>IF($J163="","",$G163/$J163)</f>
        <v/>
      </c>
      <c r="L163" s="66">
        <f>IF($J163="",0,$K163*MAX(0,MIN(YEAR($C$3)*12+MONTH($C$3),YEAR($I163)*12+MONTH($I163))-(YEAR($H163)*12+MONTH($H163))+1))</f>
        <v/>
      </c>
      <c r="M163" s="66">
        <f>IF($J163="",0,$K163*MAX(0,MIN(YEAR($C$3)*12+MONTH($C$3)-1,YEAR($I163)*12+MONTH($I163))-(YEAR($H163)*12+MONTH($H163))+1))</f>
        <v/>
      </c>
      <c r="N163" s="66">
        <f>IF(OR($J163="",$B163=""),0,IF(YEAR($B163)*12+MONTH($B163)&lt;=YEAR($C$3)*12+MONTH($C$3),$G163,0))</f>
        <v/>
      </c>
      <c r="O163" s="66">
        <f>IF(OR($J163="",$B163=""),0,IF(YEAR($B163)*12+MONTH($B163)&lt;=YEAR($C$3)*12+MONTH($C$3)-1,$G163,0))</f>
        <v/>
      </c>
      <c r="P163" s="66">
        <f>$M163-$O163</f>
        <v/>
      </c>
      <c r="Q163" s="66">
        <f>($L163-$M163)-($N163-$O163)</f>
        <v/>
      </c>
      <c r="R163" s="66">
        <f>$L163-$N163</f>
        <v/>
      </c>
      <c r="S163" s="65">
        <f>"Finance invoice"</f>
        <v/>
      </c>
      <c r="T163" s="65">
        <f>"Revenue"</f>
        <v/>
      </c>
    </row>
    <row r="164">
      <c r="A164" s="63">
        <f>ROW()-5</f>
        <v/>
      </c>
      <c r="B164" s="64">
        <f>IFERROR(INDEX(tbl_Finance[Date],$A164),"")</f>
        <v/>
      </c>
      <c r="C164" s="65">
        <f>IFERROR(INDEX(tbl_Finance[Xero Invoice No],$A164),"")</f>
        <v/>
      </c>
      <c r="D164" s="65">
        <f>IFERROR(INDEX(tbl_Finance[Client],$A164),"")</f>
        <v/>
      </c>
      <c r="E164" s="65">
        <f>IFERROR(INDEX(tbl_Finance[Job Number],$A164),"")</f>
        <v/>
      </c>
      <c r="F164" s="65">
        <f>IFERROR(INDEX(tbl_Finance[Cost Centre],$A164),"")</f>
        <v/>
      </c>
      <c r="G164" s="66">
        <f>IFERROR(INDEX(tbl_Finance[Ex GST],$A164),"")</f>
        <v/>
      </c>
      <c r="H164" s="64">
        <f>IFERROR(INDEX(tbl_Finance[Defer Start],$A164),"")</f>
        <v/>
      </c>
      <c r="I164" s="64">
        <f>IFERROR(INDEX(tbl_Finance[Defer End],$A164),"")</f>
        <v/>
      </c>
      <c r="J164" s="63">
        <f>IF(OR($H164="",$I164="",$G164=""),"",MAX(1,(YEAR($I164)-YEAR($H164))*12+MONTH($I164)-MONTH($H164)+1))</f>
        <v/>
      </c>
      <c r="K164" s="66">
        <f>IF($J164="","",$G164/$J164)</f>
        <v/>
      </c>
      <c r="L164" s="66">
        <f>IF($J164="",0,$K164*MAX(0,MIN(YEAR($C$3)*12+MONTH($C$3),YEAR($I164)*12+MONTH($I164))-(YEAR($H164)*12+MONTH($H164))+1))</f>
        <v/>
      </c>
      <c r="M164" s="66">
        <f>IF($J164="",0,$K164*MAX(0,MIN(YEAR($C$3)*12+MONTH($C$3)-1,YEAR($I164)*12+MONTH($I164))-(YEAR($H164)*12+MONTH($H164))+1))</f>
        <v/>
      </c>
      <c r="N164" s="66">
        <f>IF(OR($J164="",$B164=""),0,IF(YEAR($B164)*12+MONTH($B164)&lt;=YEAR($C$3)*12+MONTH($C$3),$G164,0))</f>
        <v/>
      </c>
      <c r="O164" s="66">
        <f>IF(OR($J164="",$B164=""),0,IF(YEAR($B164)*12+MONTH($B164)&lt;=YEAR($C$3)*12+MONTH($C$3)-1,$G164,0))</f>
        <v/>
      </c>
      <c r="P164" s="66">
        <f>$M164-$O164</f>
        <v/>
      </c>
      <c r="Q164" s="66">
        <f>($L164-$M164)-($N164-$O164)</f>
        <v/>
      </c>
      <c r="R164" s="66">
        <f>$L164-$N164</f>
        <v/>
      </c>
      <c r="S164" s="65">
        <f>"Finance invoice"</f>
        <v/>
      </c>
      <c r="T164" s="65">
        <f>"Revenue"</f>
        <v/>
      </c>
    </row>
    <row r="165">
      <c r="A165" s="63">
        <f>ROW()-5</f>
        <v/>
      </c>
      <c r="B165" s="64">
        <f>IFERROR(INDEX(tbl_Finance[Date],$A165),"")</f>
        <v/>
      </c>
      <c r="C165" s="65">
        <f>IFERROR(INDEX(tbl_Finance[Xero Invoice No],$A165),"")</f>
        <v/>
      </c>
      <c r="D165" s="65">
        <f>IFERROR(INDEX(tbl_Finance[Client],$A165),"")</f>
        <v/>
      </c>
      <c r="E165" s="65">
        <f>IFERROR(INDEX(tbl_Finance[Job Number],$A165),"")</f>
        <v/>
      </c>
      <c r="F165" s="65">
        <f>IFERROR(INDEX(tbl_Finance[Cost Centre],$A165),"")</f>
        <v/>
      </c>
      <c r="G165" s="66">
        <f>IFERROR(INDEX(tbl_Finance[Ex GST],$A165),"")</f>
        <v/>
      </c>
      <c r="H165" s="64">
        <f>IFERROR(INDEX(tbl_Finance[Defer Start],$A165),"")</f>
        <v/>
      </c>
      <c r="I165" s="64">
        <f>IFERROR(INDEX(tbl_Finance[Defer End],$A165),"")</f>
        <v/>
      </c>
      <c r="J165" s="63">
        <f>IF(OR($H165="",$I165="",$G165=""),"",MAX(1,(YEAR($I165)-YEAR($H165))*12+MONTH($I165)-MONTH($H165)+1))</f>
        <v/>
      </c>
      <c r="K165" s="66">
        <f>IF($J165="","",$G165/$J165)</f>
        <v/>
      </c>
      <c r="L165" s="66">
        <f>IF($J165="",0,$K165*MAX(0,MIN(YEAR($C$3)*12+MONTH($C$3),YEAR($I165)*12+MONTH($I165))-(YEAR($H165)*12+MONTH($H165))+1))</f>
        <v/>
      </c>
      <c r="M165" s="66">
        <f>IF($J165="",0,$K165*MAX(0,MIN(YEAR($C$3)*12+MONTH($C$3)-1,YEAR($I165)*12+MONTH($I165))-(YEAR($H165)*12+MONTH($H165))+1))</f>
        <v/>
      </c>
      <c r="N165" s="66">
        <f>IF(OR($J165="",$B165=""),0,IF(YEAR($B165)*12+MONTH($B165)&lt;=YEAR($C$3)*12+MONTH($C$3),$G165,0))</f>
        <v/>
      </c>
      <c r="O165" s="66">
        <f>IF(OR($J165="",$B165=""),0,IF(YEAR($B165)*12+MONTH($B165)&lt;=YEAR($C$3)*12+MONTH($C$3)-1,$G165,0))</f>
        <v/>
      </c>
      <c r="P165" s="66">
        <f>$M165-$O165</f>
        <v/>
      </c>
      <c r="Q165" s="66">
        <f>($L165-$M165)-($N165-$O165)</f>
        <v/>
      </c>
      <c r="R165" s="66">
        <f>$L165-$N165</f>
        <v/>
      </c>
      <c r="S165" s="65">
        <f>"Finance invoice"</f>
        <v/>
      </c>
      <c r="T165" s="65">
        <f>"Revenue"</f>
        <v/>
      </c>
    </row>
    <row r="166">
      <c r="A166" s="63">
        <f>ROW()-5</f>
        <v/>
      </c>
      <c r="B166" s="64">
        <f>IFERROR(INDEX(tbl_Finance[Date],$A166),"")</f>
        <v/>
      </c>
      <c r="C166" s="65">
        <f>IFERROR(INDEX(tbl_Finance[Xero Invoice No],$A166),"")</f>
        <v/>
      </c>
      <c r="D166" s="65">
        <f>IFERROR(INDEX(tbl_Finance[Client],$A166),"")</f>
        <v/>
      </c>
      <c r="E166" s="65">
        <f>IFERROR(INDEX(tbl_Finance[Job Number],$A166),"")</f>
        <v/>
      </c>
      <c r="F166" s="65">
        <f>IFERROR(INDEX(tbl_Finance[Cost Centre],$A166),"")</f>
        <v/>
      </c>
      <c r="G166" s="66">
        <f>IFERROR(INDEX(tbl_Finance[Ex GST],$A166),"")</f>
        <v/>
      </c>
      <c r="H166" s="64">
        <f>IFERROR(INDEX(tbl_Finance[Defer Start],$A166),"")</f>
        <v/>
      </c>
      <c r="I166" s="64">
        <f>IFERROR(INDEX(tbl_Finance[Defer End],$A166),"")</f>
        <v/>
      </c>
      <c r="J166" s="63">
        <f>IF(OR($H166="",$I166="",$G166=""),"",MAX(1,(YEAR($I166)-YEAR($H166))*12+MONTH($I166)-MONTH($H166)+1))</f>
        <v/>
      </c>
      <c r="K166" s="66">
        <f>IF($J166="","",$G166/$J166)</f>
        <v/>
      </c>
      <c r="L166" s="66">
        <f>IF($J166="",0,$K166*MAX(0,MIN(YEAR($C$3)*12+MONTH($C$3),YEAR($I166)*12+MONTH($I166))-(YEAR($H166)*12+MONTH($H166))+1))</f>
        <v/>
      </c>
      <c r="M166" s="66">
        <f>IF($J166="",0,$K166*MAX(0,MIN(YEAR($C$3)*12+MONTH($C$3)-1,YEAR($I166)*12+MONTH($I166))-(YEAR($H166)*12+MONTH($H166))+1))</f>
        <v/>
      </c>
      <c r="N166" s="66">
        <f>IF(OR($J166="",$B166=""),0,IF(YEAR($B166)*12+MONTH($B166)&lt;=YEAR($C$3)*12+MONTH($C$3),$G166,0))</f>
        <v/>
      </c>
      <c r="O166" s="66">
        <f>IF(OR($J166="",$B166=""),0,IF(YEAR($B166)*12+MONTH($B166)&lt;=YEAR($C$3)*12+MONTH($C$3)-1,$G166,0))</f>
        <v/>
      </c>
      <c r="P166" s="66">
        <f>$M166-$O166</f>
        <v/>
      </c>
      <c r="Q166" s="66">
        <f>($L166-$M166)-($N166-$O166)</f>
        <v/>
      </c>
      <c r="R166" s="66">
        <f>$L166-$N166</f>
        <v/>
      </c>
      <c r="S166" s="65">
        <f>"Finance invoice"</f>
        <v/>
      </c>
      <c r="T166" s="65">
        <f>"Revenue"</f>
        <v/>
      </c>
    </row>
    <row r="167">
      <c r="A167" s="63">
        <f>ROW()-5</f>
        <v/>
      </c>
      <c r="B167" s="64">
        <f>IFERROR(INDEX(tbl_Finance[Date],$A167),"")</f>
        <v/>
      </c>
      <c r="C167" s="65">
        <f>IFERROR(INDEX(tbl_Finance[Xero Invoice No],$A167),"")</f>
        <v/>
      </c>
      <c r="D167" s="65">
        <f>IFERROR(INDEX(tbl_Finance[Client],$A167),"")</f>
        <v/>
      </c>
      <c r="E167" s="65">
        <f>IFERROR(INDEX(tbl_Finance[Job Number],$A167),"")</f>
        <v/>
      </c>
      <c r="F167" s="65">
        <f>IFERROR(INDEX(tbl_Finance[Cost Centre],$A167),"")</f>
        <v/>
      </c>
      <c r="G167" s="66">
        <f>IFERROR(INDEX(tbl_Finance[Ex GST],$A167),"")</f>
        <v/>
      </c>
      <c r="H167" s="64">
        <f>IFERROR(INDEX(tbl_Finance[Defer Start],$A167),"")</f>
        <v/>
      </c>
      <c r="I167" s="64">
        <f>IFERROR(INDEX(tbl_Finance[Defer End],$A167),"")</f>
        <v/>
      </c>
      <c r="J167" s="63">
        <f>IF(OR($H167="",$I167="",$G167=""),"",MAX(1,(YEAR($I167)-YEAR($H167))*12+MONTH($I167)-MONTH($H167)+1))</f>
        <v/>
      </c>
      <c r="K167" s="66">
        <f>IF($J167="","",$G167/$J167)</f>
        <v/>
      </c>
      <c r="L167" s="66">
        <f>IF($J167="",0,$K167*MAX(0,MIN(YEAR($C$3)*12+MONTH($C$3),YEAR($I167)*12+MONTH($I167))-(YEAR($H167)*12+MONTH($H167))+1))</f>
        <v/>
      </c>
      <c r="M167" s="66">
        <f>IF($J167="",0,$K167*MAX(0,MIN(YEAR($C$3)*12+MONTH($C$3)-1,YEAR($I167)*12+MONTH($I167))-(YEAR($H167)*12+MONTH($H167))+1))</f>
        <v/>
      </c>
      <c r="N167" s="66">
        <f>IF(OR($J167="",$B167=""),0,IF(YEAR($B167)*12+MONTH($B167)&lt;=YEAR($C$3)*12+MONTH($C$3),$G167,0))</f>
        <v/>
      </c>
      <c r="O167" s="66">
        <f>IF(OR($J167="",$B167=""),0,IF(YEAR($B167)*12+MONTH($B167)&lt;=YEAR($C$3)*12+MONTH($C$3)-1,$G167,0))</f>
        <v/>
      </c>
      <c r="P167" s="66">
        <f>$M167-$O167</f>
        <v/>
      </c>
      <c r="Q167" s="66">
        <f>($L167-$M167)-($N167-$O167)</f>
        <v/>
      </c>
      <c r="R167" s="66">
        <f>$L167-$N167</f>
        <v/>
      </c>
      <c r="S167" s="65">
        <f>"Finance invoice"</f>
        <v/>
      </c>
      <c r="T167" s="65">
        <f>"Revenue"</f>
        <v/>
      </c>
    </row>
    <row r="168">
      <c r="A168" s="63">
        <f>ROW()-5</f>
        <v/>
      </c>
      <c r="B168" s="64">
        <f>IFERROR(INDEX(tbl_Finance[Date],$A168),"")</f>
        <v/>
      </c>
      <c r="C168" s="65">
        <f>IFERROR(INDEX(tbl_Finance[Xero Invoice No],$A168),"")</f>
        <v/>
      </c>
      <c r="D168" s="65">
        <f>IFERROR(INDEX(tbl_Finance[Client],$A168),"")</f>
        <v/>
      </c>
      <c r="E168" s="65">
        <f>IFERROR(INDEX(tbl_Finance[Job Number],$A168),"")</f>
        <v/>
      </c>
      <c r="F168" s="65">
        <f>IFERROR(INDEX(tbl_Finance[Cost Centre],$A168),"")</f>
        <v/>
      </c>
      <c r="G168" s="66">
        <f>IFERROR(INDEX(tbl_Finance[Ex GST],$A168),"")</f>
        <v/>
      </c>
      <c r="H168" s="64">
        <f>IFERROR(INDEX(tbl_Finance[Defer Start],$A168),"")</f>
        <v/>
      </c>
      <c r="I168" s="64">
        <f>IFERROR(INDEX(tbl_Finance[Defer End],$A168),"")</f>
        <v/>
      </c>
      <c r="J168" s="63">
        <f>IF(OR($H168="",$I168="",$G168=""),"",MAX(1,(YEAR($I168)-YEAR($H168))*12+MONTH($I168)-MONTH($H168)+1))</f>
        <v/>
      </c>
      <c r="K168" s="66">
        <f>IF($J168="","",$G168/$J168)</f>
        <v/>
      </c>
      <c r="L168" s="66">
        <f>IF($J168="",0,$K168*MAX(0,MIN(YEAR($C$3)*12+MONTH($C$3),YEAR($I168)*12+MONTH($I168))-(YEAR($H168)*12+MONTH($H168))+1))</f>
        <v/>
      </c>
      <c r="M168" s="66">
        <f>IF($J168="",0,$K168*MAX(0,MIN(YEAR($C$3)*12+MONTH($C$3)-1,YEAR($I168)*12+MONTH($I168))-(YEAR($H168)*12+MONTH($H168))+1))</f>
        <v/>
      </c>
      <c r="N168" s="66">
        <f>IF(OR($J168="",$B168=""),0,IF(YEAR($B168)*12+MONTH($B168)&lt;=YEAR($C$3)*12+MONTH($C$3),$G168,0))</f>
        <v/>
      </c>
      <c r="O168" s="66">
        <f>IF(OR($J168="",$B168=""),0,IF(YEAR($B168)*12+MONTH($B168)&lt;=YEAR($C$3)*12+MONTH($C$3)-1,$G168,0))</f>
        <v/>
      </c>
      <c r="P168" s="66">
        <f>$M168-$O168</f>
        <v/>
      </c>
      <c r="Q168" s="66">
        <f>($L168-$M168)-($N168-$O168)</f>
        <v/>
      </c>
      <c r="R168" s="66">
        <f>$L168-$N168</f>
        <v/>
      </c>
      <c r="S168" s="65">
        <f>"Finance invoice"</f>
        <v/>
      </c>
      <c r="T168" s="65">
        <f>"Revenue"</f>
        <v/>
      </c>
    </row>
    <row r="169">
      <c r="A169" s="63">
        <f>ROW()-5</f>
        <v/>
      </c>
      <c r="B169" s="64">
        <f>IFERROR(INDEX(tbl_Finance[Date],$A169),"")</f>
        <v/>
      </c>
      <c r="C169" s="65">
        <f>IFERROR(INDEX(tbl_Finance[Xero Invoice No],$A169),"")</f>
        <v/>
      </c>
      <c r="D169" s="65">
        <f>IFERROR(INDEX(tbl_Finance[Client],$A169),"")</f>
        <v/>
      </c>
      <c r="E169" s="65">
        <f>IFERROR(INDEX(tbl_Finance[Job Number],$A169),"")</f>
        <v/>
      </c>
      <c r="F169" s="65">
        <f>IFERROR(INDEX(tbl_Finance[Cost Centre],$A169),"")</f>
        <v/>
      </c>
      <c r="G169" s="66">
        <f>IFERROR(INDEX(tbl_Finance[Ex GST],$A169),"")</f>
        <v/>
      </c>
      <c r="H169" s="64">
        <f>IFERROR(INDEX(tbl_Finance[Defer Start],$A169),"")</f>
        <v/>
      </c>
      <c r="I169" s="64">
        <f>IFERROR(INDEX(tbl_Finance[Defer End],$A169),"")</f>
        <v/>
      </c>
      <c r="J169" s="63">
        <f>IF(OR($H169="",$I169="",$G169=""),"",MAX(1,(YEAR($I169)-YEAR($H169))*12+MONTH($I169)-MONTH($H169)+1))</f>
        <v/>
      </c>
      <c r="K169" s="66">
        <f>IF($J169="","",$G169/$J169)</f>
        <v/>
      </c>
      <c r="L169" s="66">
        <f>IF($J169="",0,$K169*MAX(0,MIN(YEAR($C$3)*12+MONTH($C$3),YEAR($I169)*12+MONTH($I169))-(YEAR($H169)*12+MONTH($H169))+1))</f>
        <v/>
      </c>
      <c r="M169" s="66">
        <f>IF($J169="",0,$K169*MAX(0,MIN(YEAR($C$3)*12+MONTH($C$3)-1,YEAR($I169)*12+MONTH($I169))-(YEAR($H169)*12+MONTH($H169))+1))</f>
        <v/>
      </c>
      <c r="N169" s="66">
        <f>IF(OR($J169="",$B169=""),0,IF(YEAR($B169)*12+MONTH($B169)&lt;=YEAR($C$3)*12+MONTH($C$3),$G169,0))</f>
        <v/>
      </c>
      <c r="O169" s="66">
        <f>IF(OR($J169="",$B169=""),0,IF(YEAR($B169)*12+MONTH($B169)&lt;=YEAR($C$3)*12+MONTH($C$3)-1,$G169,0))</f>
        <v/>
      </c>
      <c r="P169" s="66">
        <f>$M169-$O169</f>
        <v/>
      </c>
      <c r="Q169" s="66">
        <f>($L169-$M169)-($N169-$O169)</f>
        <v/>
      </c>
      <c r="R169" s="66">
        <f>$L169-$N169</f>
        <v/>
      </c>
      <c r="S169" s="65">
        <f>"Finance invoice"</f>
        <v/>
      </c>
      <c r="T169" s="65">
        <f>"Revenue"</f>
        <v/>
      </c>
    </row>
    <row r="170">
      <c r="A170" s="63">
        <f>ROW()-5</f>
        <v/>
      </c>
      <c r="B170" s="64">
        <f>IFERROR(INDEX(tbl_Finance[Date],$A170),"")</f>
        <v/>
      </c>
      <c r="C170" s="65">
        <f>IFERROR(INDEX(tbl_Finance[Xero Invoice No],$A170),"")</f>
        <v/>
      </c>
      <c r="D170" s="65">
        <f>IFERROR(INDEX(tbl_Finance[Client],$A170),"")</f>
        <v/>
      </c>
      <c r="E170" s="65">
        <f>IFERROR(INDEX(tbl_Finance[Job Number],$A170),"")</f>
        <v/>
      </c>
      <c r="F170" s="65">
        <f>IFERROR(INDEX(tbl_Finance[Cost Centre],$A170),"")</f>
        <v/>
      </c>
      <c r="G170" s="66">
        <f>IFERROR(INDEX(tbl_Finance[Ex GST],$A170),"")</f>
        <v/>
      </c>
      <c r="H170" s="64">
        <f>IFERROR(INDEX(tbl_Finance[Defer Start],$A170),"")</f>
        <v/>
      </c>
      <c r="I170" s="64">
        <f>IFERROR(INDEX(tbl_Finance[Defer End],$A170),"")</f>
        <v/>
      </c>
      <c r="J170" s="63">
        <f>IF(OR($H170="",$I170="",$G170=""),"",MAX(1,(YEAR($I170)-YEAR($H170))*12+MONTH($I170)-MONTH($H170)+1))</f>
        <v/>
      </c>
      <c r="K170" s="66">
        <f>IF($J170="","",$G170/$J170)</f>
        <v/>
      </c>
      <c r="L170" s="66">
        <f>IF($J170="",0,$K170*MAX(0,MIN(YEAR($C$3)*12+MONTH($C$3),YEAR($I170)*12+MONTH($I170))-(YEAR($H170)*12+MONTH($H170))+1))</f>
        <v/>
      </c>
      <c r="M170" s="66">
        <f>IF($J170="",0,$K170*MAX(0,MIN(YEAR($C$3)*12+MONTH($C$3)-1,YEAR($I170)*12+MONTH($I170))-(YEAR($H170)*12+MONTH($H170))+1))</f>
        <v/>
      </c>
      <c r="N170" s="66">
        <f>IF(OR($J170="",$B170=""),0,IF(YEAR($B170)*12+MONTH($B170)&lt;=YEAR($C$3)*12+MONTH($C$3),$G170,0))</f>
        <v/>
      </c>
      <c r="O170" s="66">
        <f>IF(OR($J170="",$B170=""),0,IF(YEAR($B170)*12+MONTH($B170)&lt;=YEAR($C$3)*12+MONTH($C$3)-1,$G170,0))</f>
        <v/>
      </c>
      <c r="P170" s="66">
        <f>$M170-$O170</f>
        <v/>
      </c>
      <c r="Q170" s="66">
        <f>($L170-$M170)-($N170-$O170)</f>
        <v/>
      </c>
      <c r="R170" s="66">
        <f>$L170-$N170</f>
        <v/>
      </c>
      <c r="S170" s="65">
        <f>"Finance invoice"</f>
        <v/>
      </c>
      <c r="T170" s="65">
        <f>"Revenue"</f>
        <v/>
      </c>
    </row>
    <row r="171">
      <c r="A171" s="63">
        <f>ROW()-5</f>
        <v/>
      </c>
      <c r="B171" s="64">
        <f>IFERROR(INDEX(tbl_Finance[Date],$A171),"")</f>
        <v/>
      </c>
      <c r="C171" s="65">
        <f>IFERROR(INDEX(tbl_Finance[Xero Invoice No],$A171),"")</f>
        <v/>
      </c>
      <c r="D171" s="65">
        <f>IFERROR(INDEX(tbl_Finance[Client],$A171),"")</f>
        <v/>
      </c>
      <c r="E171" s="65">
        <f>IFERROR(INDEX(tbl_Finance[Job Number],$A171),"")</f>
        <v/>
      </c>
      <c r="F171" s="65">
        <f>IFERROR(INDEX(tbl_Finance[Cost Centre],$A171),"")</f>
        <v/>
      </c>
      <c r="G171" s="66">
        <f>IFERROR(INDEX(tbl_Finance[Ex GST],$A171),"")</f>
        <v/>
      </c>
      <c r="H171" s="64">
        <f>IFERROR(INDEX(tbl_Finance[Defer Start],$A171),"")</f>
        <v/>
      </c>
      <c r="I171" s="64">
        <f>IFERROR(INDEX(tbl_Finance[Defer End],$A171),"")</f>
        <v/>
      </c>
      <c r="J171" s="63">
        <f>IF(OR($H171="",$I171="",$G171=""),"",MAX(1,(YEAR($I171)-YEAR($H171))*12+MONTH($I171)-MONTH($H171)+1))</f>
        <v/>
      </c>
      <c r="K171" s="66">
        <f>IF($J171="","",$G171/$J171)</f>
        <v/>
      </c>
      <c r="L171" s="66">
        <f>IF($J171="",0,$K171*MAX(0,MIN(YEAR($C$3)*12+MONTH($C$3),YEAR($I171)*12+MONTH($I171))-(YEAR($H171)*12+MONTH($H171))+1))</f>
        <v/>
      </c>
      <c r="M171" s="66">
        <f>IF($J171="",0,$K171*MAX(0,MIN(YEAR($C$3)*12+MONTH($C$3)-1,YEAR($I171)*12+MONTH($I171))-(YEAR($H171)*12+MONTH($H171))+1))</f>
        <v/>
      </c>
      <c r="N171" s="66">
        <f>IF(OR($J171="",$B171=""),0,IF(YEAR($B171)*12+MONTH($B171)&lt;=YEAR($C$3)*12+MONTH($C$3),$G171,0))</f>
        <v/>
      </c>
      <c r="O171" s="66">
        <f>IF(OR($J171="",$B171=""),0,IF(YEAR($B171)*12+MONTH($B171)&lt;=YEAR($C$3)*12+MONTH($C$3)-1,$G171,0))</f>
        <v/>
      </c>
      <c r="P171" s="66">
        <f>$M171-$O171</f>
        <v/>
      </c>
      <c r="Q171" s="66">
        <f>($L171-$M171)-($N171-$O171)</f>
        <v/>
      </c>
      <c r="R171" s="66">
        <f>$L171-$N171</f>
        <v/>
      </c>
      <c r="S171" s="65">
        <f>"Finance invoice"</f>
        <v/>
      </c>
      <c r="T171" s="65">
        <f>"Revenue"</f>
        <v/>
      </c>
    </row>
    <row r="172">
      <c r="A172" s="63">
        <f>ROW()-5</f>
        <v/>
      </c>
      <c r="B172" s="64">
        <f>IFERROR(INDEX(tbl_Finance[Date],$A172),"")</f>
        <v/>
      </c>
      <c r="C172" s="65">
        <f>IFERROR(INDEX(tbl_Finance[Xero Invoice No],$A172),"")</f>
        <v/>
      </c>
      <c r="D172" s="65">
        <f>IFERROR(INDEX(tbl_Finance[Client],$A172),"")</f>
        <v/>
      </c>
      <c r="E172" s="65">
        <f>IFERROR(INDEX(tbl_Finance[Job Number],$A172),"")</f>
        <v/>
      </c>
      <c r="F172" s="65">
        <f>IFERROR(INDEX(tbl_Finance[Cost Centre],$A172),"")</f>
        <v/>
      </c>
      <c r="G172" s="66">
        <f>IFERROR(INDEX(tbl_Finance[Ex GST],$A172),"")</f>
        <v/>
      </c>
      <c r="H172" s="64">
        <f>IFERROR(INDEX(tbl_Finance[Defer Start],$A172),"")</f>
        <v/>
      </c>
      <c r="I172" s="64">
        <f>IFERROR(INDEX(tbl_Finance[Defer End],$A172),"")</f>
        <v/>
      </c>
      <c r="J172" s="63">
        <f>IF(OR($H172="",$I172="",$G172=""),"",MAX(1,(YEAR($I172)-YEAR($H172))*12+MONTH($I172)-MONTH($H172)+1))</f>
        <v/>
      </c>
      <c r="K172" s="66">
        <f>IF($J172="","",$G172/$J172)</f>
        <v/>
      </c>
      <c r="L172" s="66">
        <f>IF($J172="",0,$K172*MAX(0,MIN(YEAR($C$3)*12+MONTH($C$3),YEAR($I172)*12+MONTH($I172))-(YEAR($H172)*12+MONTH($H172))+1))</f>
        <v/>
      </c>
      <c r="M172" s="66">
        <f>IF($J172="",0,$K172*MAX(0,MIN(YEAR($C$3)*12+MONTH($C$3)-1,YEAR($I172)*12+MONTH($I172))-(YEAR($H172)*12+MONTH($H172))+1))</f>
        <v/>
      </c>
      <c r="N172" s="66">
        <f>IF(OR($J172="",$B172=""),0,IF(YEAR($B172)*12+MONTH($B172)&lt;=YEAR($C$3)*12+MONTH($C$3),$G172,0))</f>
        <v/>
      </c>
      <c r="O172" s="66">
        <f>IF(OR($J172="",$B172=""),0,IF(YEAR($B172)*12+MONTH($B172)&lt;=YEAR($C$3)*12+MONTH($C$3)-1,$G172,0))</f>
        <v/>
      </c>
      <c r="P172" s="66">
        <f>$M172-$O172</f>
        <v/>
      </c>
      <c r="Q172" s="66">
        <f>($L172-$M172)-($N172-$O172)</f>
        <v/>
      </c>
      <c r="R172" s="66">
        <f>$L172-$N172</f>
        <v/>
      </c>
      <c r="S172" s="65">
        <f>"Finance invoice"</f>
        <v/>
      </c>
      <c r="T172" s="65">
        <f>"Revenue"</f>
        <v/>
      </c>
    </row>
    <row r="173">
      <c r="A173" s="63">
        <f>ROW()-5</f>
        <v/>
      </c>
      <c r="B173" s="64">
        <f>IFERROR(INDEX(tbl_Finance[Date],$A173),"")</f>
        <v/>
      </c>
      <c r="C173" s="65">
        <f>IFERROR(INDEX(tbl_Finance[Xero Invoice No],$A173),"")</f>
        <v/>
      </c>
      <c r="D173" s="65">
        <f>IFERROR(INDEX(tbl_Finance[Client],$A173),"")</f>
        <v/>
      </c>
      <c r="E173" s="65">
        <f>IFERROR(INDEX(tbl_Finance[Job Number],$A173),"")</f>
        <v/>
      </c>
      <c r="F173" s="65">
        <f>IFERROR(INDEX(tbl_Finance[Cost Centre],$A173),"")</f>
        <v/>
      </c>
      <c r="G173" s="66">
        <f>IFERROR(INDEX(tbl_Finance[Ex GST],$A173),"")</f>
        <v/>
      </c>
      <c r="H173" s="64">
        <f>IFERROR(INDEX(tbl_Finance[Defer Start],$A173),"")</f>
        <v/>
      </c>
      <c r="I173" s="64">
        <f>IFERROR(INDEX(tbl_Finance[Defer End],$A173),"")</f>
        <v/>
      </c>
      <c r="J173" s="63">
        <f>IF(OR($H173="",$I173="",$G173=""),"",MAX(1,(YEAR($I173)-YEAR($H173))*12+MONTH($I173)-MONTH($H173)+1))</f>
        <v/>
      </c>
      <c r="K173" s="66">
        <f>IF($J173="","",$G173/$J173)</f>
        <v/>
      </c>
      <c r="L173" s="66">
        <f>IF($J173="",0,$K173*MAX(0,MIN(YEAR($C$3)*12+MONTH($C$3),YEAR($I173)*12+MONTH($I173))-(YEAR($H173)*12+MONTH($H173))+1))</f>
        <v/>
      </c>
      <c r="M173" s="66">
        <f>IF($J173="",0,$K173*MAX(0,MIN(YEAR($C$3)*12+MONTH($C$3)-1,YEAR($I173)*12+MONTH($I173))-(YEAR($H173)*12+MONTH($H173))+1))</f>
        <v/>
      </c>
      <c r="N173" s="66">
        <f>IF(OR($J173="",$B173=""),0,IF(YEAR($B173)*12+MONTH($B173)&lt;=YEAR($C$3)*12+MONTH($C$3),$G173,0))</f>
        <v/>
      </c>
      <c r="O173" s="66">
        <f>IF(OR($J173="",$B173=""),0,IF(YEAR($B173)*12+MONTH($B173)&lt;=YEAR($C$3)*12+MONTH($C$3)-1,$G173,0))</f>
        <v/>
      </c>
      <c r="P173" s="66">
        <f>$M173-$O173</f>
        <v/>
      </c>
      <c r="Q173" s="66">
        <f>($L173-$M173)-($N173-$O173)</f>
        <v/>
      </c>
      <c r="R173" s="66">
        <f>$L173-$N173</f>
        <v/>
      </c>
      <c r="S173" s="65">
        <f>"Finance invoice"</f>
        <v/>
      </c>
      <c r="T173" s="65">
        <f>"Revenue"</f>
        <v/>
      </c>
    </row>
    <row r="174">
      <c r="A174" s="63">
        <f>ROW()-5</f>
        <v/>
      </c>
      <c r="B174" s="64">
        <f>IFERROR(INDEX(tbl_Finance[Date],$A174),"")</f>
        <v/>
      </c>
      <c r="C174" s="65">
        <f>IFERROR(INDEX(tbl_Finance[Xero Invoice No],$A174),"")</f>
        <v/>
      </c>
      <c r="D174" s="65">
        <f>IFERROR(INDEX(tbl_Finance[Client],$A174),"")</f>
        <v/>
      </c>
      <c r="E174" s="65">
        <f>IFERROR(INDEX(tbl_Finance[Job Number],$A174),"")</f>
        <v/>
      </c>
      <c r="F174" s="65">
        <f>IFERROR(INDEX(tbl_Finance[Cost Centre],$A174),"")</f>
        <v/>
      </c>
      <c r="G174" s="66">
        <f>IFERROR(INDEX(tbl_Finance[Ex GST],$A174),"")</f>
        <v/>
      </c>
      <c r="H174" s="64">
        <f>IFERROR(INDEX(tbl_Finance[Defer Start],$A174),"")</f>
        <v/>
      </c>
      <c r="I174" s="64">
        <f>IFERROR(INDEX(tbl_Finance[Defer End],$A174),"")</f>
        <v/>
      </c>
      <c r="J174" s="63">
        <f>IF(OR($H174="",$I174="",$G174=""),"",MAX(1,(YEAR($I174)-YEAR($H174))*12+MONTH($I174)-MONTH($H174)+1))</f>
        <v/>
      </c>
      <c r="K174" s="66">
        <f>IF($J174="","",$G174/$J174)</f>
        <v/>
      </c>
      <c r="L174" s="66">
        <f>IF($J174="",0,$K174*MAX(0,MIN(YEAR($C$3)*12+MONTH($C$3),YEAR($I174)*12+MONTH($I174))-(YEAR($H174)*12+MONTH($H174))+1))</f>
        <v/>
      </c>
      <c r="M174" s="66">
        <f>IF($J174="",0,$K174*MAX(0,MIN(YEAR($C$3)*12+MONTH($C$3)-1,YEAR($I174)*12+MONTH($I174))-(YEAR($H174)*12+MONTH($H174))+1))</f>
        <v/>
      </c>
      <c r="N174" s="66">
        <f>IF(OR($J174="",$B174=""),0,IF(YEAR($B174)*12+MONTH($B174)&lt;=YEAR($C$3)*12+MONTH($C$3),$G174,0))</f>
        <v/>
      </c>
      <c r="O174" s="66">
        <f>IF(OR($J174="",$B174=""),0,IF(YEAR($B174)*12+MONTH($B174)&lt;=YEAR($C$3)*12+MONTH($C$3)-1,$G174,0))</f>
        <v/>
      </c>
      <c r="P174" s="66">
        <f>$M174-$O174</f>
        <v/>
      </c>
      <c r="Q174" s="66">
        <f>($L174-$M174)-($N174-$O174)</f>
        <v/>
      </c>
      <c r="R174" s="66">
        <f>$L174-$N174</f>
        <v/>
      </c>
      <c r="S174" s="65">
        <f>"Finance invoice"</f>
        <v/>
      </c>
      <c r="T174" s="65">
        <f>"Revenue"</f>
        <v/>
      </c>
    </row>
    <row r="175">
      <c r="A175" s="63">
        <f>ROW()-5</f>
        <v/>
      </c>
      <c r="B175" s="64">
        <f>IFERROR(INDEX(tbl_Finance[Date],$A175),"")</f>
        <v/>
      </c>
      <c r="C175" s="65">
        <f>IFERROR(INDEX(tbl_Finance[Xero Invoice No],$A175),"")</f>
        <v/>
      </c>
      <c r="D175" s="65">
        <f>IFERROR(INDEX(tbl_Finance[Client],$A175),"")</f>
        <v/>
      </c>
      <c r="E175" s="65">
        <f>IFERROR(INDEX(tbl_Finance[Job Number],$A175),"")</f>
        <v/>
      </c>
      <c r="F175" s="65">
        <f>IFERROR(INDEX(tbl_Finance[Cost Centre],$A175),"")</f>
        <v/>
      </c>
      <c r="G175" s="66">
        <f>IFERROR(INDEX(tbl_Finance[Ex GST],$A175),"")</f>
        <v/>
      </c>
      <c r="H175" s="64">
        <f>IFERROR(INDEX(tbl_Finance[Defer Start],$A175),"")</f>
        <v/>
      </c>
      <c r="I175" s="64">
        <f>IFERROR(INDEX(tbl_Finance[Defer End],$A175),"")</f>
        <v/>
      </c>
      <c r="J175" s="63">
        <f>IF(OR($H175="",$I175="",$G175=""),"",MAX(1,(YEAR($I175)-YEAR($H175))*12+MONTH($I175)-MONTH($H175)+1))</f>
        <v/>
      </c>
      <c r="K175" s="66">
        <f>IF($J175="","",$G175/$J175)</f>
        <v/>
      </c>
      <c r="L175" s="66">
        <f>IF($J175="",0,$K175*MAX(0,MIN(YEAR($C$3)*12+MONTH($C$3),YEAR($I175)*12+MONTH($I175))-(YEAR($H175)*12+MONTH($H175))+1))</f>
        <v/>
      </c>
      <c r="M175" s="66">
        <f>IF($J175="",0,$K175*MAX(0,MIN(YEAR($C$3)*12+MONTH($C$3)-1,YEAR($I175)*12+MONTH($I175))-(YEAR($H175)*12+MONTH($H175))+1))</f>
        <v/>
      </c>
      <c r="N175" s="66">
        <f>IF(OR($J175="",$B175=""),0,IF(YEAR($B175)*12+MONTH($B175)&lt;=YEAR($C$3)*12+MONTH($C$3),$G175,0))</f>
        <v/>
      </c>
      <c r="O175" s="66">
        <f>IF(OR($J175="",$B175=""),0,IF(YEAR($B175)*12+MONTH($B175)&lt;=YEAR($C$3)*12+MONTH($C$3)-1,$G175,0))</f>
        <v/>
      </c>
      <c r="P175" s="66">
        <f>$M175-$O175</f>
        <v/>
      </c>
      <c r="Q175" s="66">
        <f>($L175-$M175)-($N175-$O175)</f>
        <v/>
      </c>
      <c r="R175" s="66">
        <f>$L175-$N175</f>
        <v/>
      </c>
      <c r="S175" s="65">
        <f>"Finance invoice"</f>
        <v/>
      </c>
      <c r="T175" s="65">
        <f>"Revenue"</f>
        <v/>
      </c>
    </row>
    <row r="176">
      <c r="A176" s="63">
        <f>ROW()-5</f>
        <v/>
      </c>
      <c r="B176" s="64">
        <f>IFERROR(INDEX(tbl_Finance[Date],$A176),"")</f>
        <v/>
      </c>
      <c r="C176" s="65">
        <f>IFERROR(INDEX(tbl_Finance[Xero Invoice No],$A176),"")</f>
        <v/>
      </c>
      <c r="D176" s="65">
        <f>IFERROR(INDEX(tbl_Finance[Client],$A176),"")</f>
        <v/>
      </c>
      <c r="E176" s="65">
        <f>IFERROR(INDEX(tbl_Finance[Job Number],$A176),"")</f>
        <v/>
      </c>
      <c r="F176" s="65">
        <f>IFERROR(INDEX(tbl_Finance[Cost Centre],$A176),"")</f>
        <v/>
      </c>
      <c r="G176" s="66">
        <f>IFERROR(INDEX(tbl_Finance[Ex GST],$A176),"")</f>
        <v/>
      </c>
      <c r="H176" s="64">
        <f>IFERROR(INDEX(tbl_Finance[Defer Start],$A176),"")</f>
        <v/>
      </c>
      <c r="I176" s="64">
        <f>IFERROR(INDEX(tbl_Finance[Defer End],$A176),"")</f>
        <v/>
      </c>
      <c r="J176" s="63">
        <f>IF(OR($H176="",$I176="",$G176=""),"",MAX(1,(YEAR($I176)-YEAR($H176))*12+MONTH($I176)-MONTH($H176)+1))</f>
        <v/>
      </c>
      <c r="K176" s="66">
        <f>IF($J176="","",$G176/$J176)</f>
        <v/>
      </c>
      <c r="L176" s="66">
        <f>IF($J176="",0,$K176*MAX(0,MIN(YEAR($C$3)*12+MONTH($C$3),YEAR($I176)*12+MONTH($I176))-(YEAR($H176)*12+MONTH($H176))+1))</f>
        <v/>
      </c>
      <c r="M176" s="66">
        <f>IF($J176="",0,$K176*MAX(0,MIN(YEAR($C$3)*12+MONTH($C$3)-1,YEAR($I176)*12+MONTH($I176))-(YEAR($H176)*12+MONTH($H176))+1))</f>
        <v/>
      </c>
      <c r="N176" s="66">
        <f>IF(OR($J176="",$B176=""),0,IF(YEAR($B176)*12+MONTH($B176)&lt;=YEAR($C$3)*12+MONTH($C$3),$G176,0))</f>
        <v/>
      </c>
      <c r="O176" s="66">
        <f>IF(OR($J176="",$B176=""),0,IF(YEAR($B176)*12+MONTH($B176)&lt;=YEAR($C$3)*12+MONTH($C$3)-1,$G176,0))</f>
        <v/>
      </c>
      <c r="P176" s="66">
        <f>$M176-$O176</f>
        <v/>
      </c>
      <c r="Q176" s="66">
        <f>($L176-$M176)-($N176-$O176)</f>
        <v/>
      </c>
      <c r="R176" s="66">
        <f>$L176-$N176</f>
        <v/>
      </c>
      <c r="S176" s="65">
        <f>"Finance invoice"</f>
        <v/>
      </c>
      <c r="T176" s="65">
        <f>"Revenue"</f>
        <v/>
      </c>
    </row>
    <row r="177">
      <c r="A177" s="63">
        <f>ROW()-5</f>
        <v/>
      </c>
      <c r="B177" s="64">
        <f>IFERROR(INDEX(tbl_Finance[Date],$A177),"")</f>
        <v/>
      </c>
      <c r="C177" s="65">
        <f>IFERROR(INDEX(tbl_Finance[Xero Invoice No],$A177),"")</f>
        <v/>
      </c>
      <c r="D177" s="65">
        <f>IFERROR(INDEX(tbl_Finance[Client],$A177),"")</f>
        <v/>
      </c>
      <c r="E177" s="65">
        <f>IFERROR(INDEX(tbl_Finance[Job Number],$A177),"")</f>
        <v/>
      </c>
      <c r="F177" s="65">
        <f>IFERROR(INDEX(tbl_Finance[Cost Centre],$A177),"")</f>
        <v/>
      </c>
      <c r="G177" s="66">
        <f>IFERROR(INDEX(tbl_Finance[Ex GST],$A177),"")</f>
        <v/>
      </c>
      <c r="H177" s="64">
        <f>IFERROR(INDEX(tbl_Finance[Defer Start],$A177),"")</f>
        <v/>
      </c>
      <c r="I177" s="64">
        <f>IFERROR(INDEX(tbl_Finance[Defer End],$A177),"")</f>
        <v/>
      </c>
      <c r="J177" s="63">
        <f>IF(OR($H177="",$I177="",$G177=""),"",MAX(1,(YEAR($I177)-YEAR($H177))*12+MONTH($I177)-MONTH($H177)+1))</f>
        <v/>
      </c>
      <c r="K177" s="66">
        <f>IF($J177="","",$G177/$J177)</f>
        <v/>
      </c>
      <c r="L177" s="66">
        <f>IF($J177="",0,$K177*MAX(0,MIN(YEAR($C$3)*12+MONTH($C$3),YEAR($I177)*12+MONTH($I177))-(YEAR($H177)*12+MONTH($H177))+1))</f>
        <v/>
      </c>
      <c r="M177" s="66">
        <f>IF($J177="",0,$K177*MAX(0,MIN(YEAR($C$3)*12+MONTH($C$3)-1,YEAR($I177)*12+MONTH($I177))-(YEAR($H177)*12+MONTH($H177))+1))</f>
        <v/>
      </c>
      <c r="N177" s="66">
        <f>IF(OR($J177="",$B177=""),0,IF(YEAR($B177)*12+MONTH($B177)&lt;=YEAR($C$3)*12+MONTH($C$3),$G177,0))</f>
        <v/>
      </c>
      <c r="O177" s="66">
        <f>IF(OR($J177="",$B177=""),0,IF(YEAR($B177)*12+MONTH($B177)&lt;=YEAR($C$3)*12+MONTH($C$3)-1,$G177,0))</f>
        <v/>
      </c>
      <c r="P177" s="66">
        <f>$M177-$O177</f>
        <v/>
      </c>
      <c r="Q177" s="66">
        <f>($L177-$M177)-($N177-$O177)</f>
        <v/>
      </c>
      <c r="R177" s="66">
        <f>$L177-$N177</f>
        <v/>
      </c>
      <c r="S177" s="65">
        <f>"Finance invoice"</f>
        <v/>
      </c>
      <c r="T177" s="65">
        <f>"Revenue"</f>
        <v/>
      </c>
    </row>
    <row r="178">
      <c r="A178" s="63">
        <f>ROW()-5</f>
        <v/>
      </c>
      <c r="B178" s="64">
        <f>IFERROR(INDEX(tbl_Finance[Date],$A178),"")</f>
        <v/>
      </c>
      <c r="C178" s="65">
        <f>IFERROR(INDEX(tbl_Finance[Xero Invoice No],$A178),"")</f>
        <v/>
      </c>
      <c r="D178" s="65">
        <f>IFERROR(INDEX(tbl_Finance[Client],$A178),"")</f>
        <v/>
      </c>
      <c r="E178" s="65">
        <f>IFERROR(INDEX(tbl_Finance[Job Number],$A178),"")</f>
        <v/>
      </c>
      <c r="F178" s="65">
        <f>IFERROR(INDEX(tbl_Finance[Cost Centre],$A178),"")</f>
        <v/>
      </c>
      <c r="G178" s="66">
        <f>IFERROR(INDEX(tbl_Finance[Ex GST],$A178),"")</f>
        <v/>
      </c>
      <c r="H178" s="64">
        <f>IFERROR(INDEX(tbl_Finance[Defer Start],$A178),"")</f>
        <v/>
      </c>
      <c r="I178" s="64">
        <f>IFERROR(INDEX(tbl_Finance[Defer End],$A178),"")</f>
        <v/>
      </c>
      <c r="J178" s="63">
        <f>IF(OR($H178="",$I178="",$G178=""),"",MAX(1,(YEAR($I178)-YEAR($H178))*12+MONTH($I178)-MONTH($H178)+1))</f>
        <v/>
      </c>
      <c r="K178" s="66">
        <f>IF($J178="","",$G178/$J178)</f>
        <v/>
      </c>
      <c r="L178" s="66">
        <f>IF($J178="",0,$K178*MAX(0,MIN(YEAR($C$3)*12+MONTH($C$3),YEAR($I178)*12+MONTH($I178))-(YEAR($H178)*12+MONTH($H178))+1))</f>
        <v/>
      </c>
      <c r="M178" s="66">
        <f>IF($J178="",0,$K178*MAX(0,MIN(YEAR($C$3)*12+MONTH($C$3)-1,YEAR($I178)*12+MONTH($I178))-(YEAR($H178)*12+MONTH($H178))+1))</f>
        <v/>
      </c>
      <c r="N178" s="66">
        <f>IF(OR($J178="",$B178=""),0,IF(YEAR($B178)*12+MONTH($B178)&lt;=YEAR($C$3)*12+MONTH($C$3),$G178,0))</f>
        <v/>
      </c>
      <c r="O178" s="66">
        <f>IF(OR($J178="",$B178=""),0,IF(YEAR($B178)*12+MONTH($B178)&lt;=YEAR($C$3)*12+MONTH($C$3)-1,$G178,0))</f>
        <v/>
      </c>
      <c r="P178" s="66">
        <f>$M178-$O178</f>
        <v/>
      </c>
      <c r="Q178" s="66">
        <f>($L178-$M178)-($N178-$O178)</f>
        <v/>
      </c>
      <c r="R178" s="66">
        <f>$L178-$N178</f>
        <v/>
      </c>
      <c r="S178" s="65">
        <f>"Finance invoice"</f>
        <v/>
      </c>
      <c r="T178" s="65">
        <f>"Revenue"</f>
        <v/>
      </c>
    </row>
    <row r="179">
      <c r="A179" s="63">
        <f>ROW()-5</f>
        <v/>
      </c>
      <c r="B179" s="64">
        <f>IFERROR(INDEX(tbl_Finance[Date],$A179),"")</f>
        <v/>
      </c>
      <c r="C179" s="65">
        <f>IFERROR(INDEX(tbl_Finance[Xero Invoice No],$A179),"")</f>
        <v/>
      </c>
      <c r="D179" s="65">
        <f>IFERROR(INDEX(tbl_Finance[Client],$A179),"")</f>
        <v/>
      </c>
      <c r="E179" s="65">
        <f>IFERROR(INDEX(tbl_Finance[Job Number],$A179),"")</f>
        <v/>
      </c>
      <c r="F179" s="65">
        <f>IFERROR(INDEX(tbl_Finance[Cost Centre],$A179),"")</f>
        <v/>
      </c>
      <c r="G179" s="66">
        <f>IFERROR(INDEX(tbl_Finance[Ex GST],$A179),"")</f>
        <v/>
      </c>
      <c r="H179" s="64">
        <f>IFERROR(INDEX(tbl_Finance[Defer Start],$A179),"")</f>
        <v/>
      </c>
      <c r="I179" s="64">
        <f>IFERROR(INDEX(tbl_Finance[Defer End],$A179),"")</f>
        <v/>
      </c>
      <c r="J179" s="63">
        <f>IF(OR($H179="",$I179="",$G179=""),"",MAX(1,(YEAR($I179)-YEAR($H179))*12+MONTH($I179)-MONTH($H179)+1))</f>
        <v/>
      </c>
      <c r="K179" s="66">
        <f>IF($J179="","",$G179/$J179)</f>
        <v/>
      </c>
      <c r="L179" s="66">
        <f>IF($J179="",0,$K179*MAX(0,MIN(YEAR($C$3)*12+MONTH($C$3),YEAR($I179)*12+MONTH($I179))-(YEAR($H179)*12+MONTH($H179))+1))</f>
        <v/>
      </c>
      <c r="M179" s="66">
        <f>IF($J179="",0,$K179*MAX(0,MIN(YEAR($C$3)*12+MONTH($C$3)-1,YEAR($I179)*12+MONTH($I179))-(YEAR($H179)*12+MONTH($H179))+1))</f>
        <v/>
      </c>
      <c r="N179" s="66">
        <f>IF(OR($J179="",$B179=""),0,IF(YEAR($B179)*12+MONTH($B179)&lt;=YEAR($C$3)*12+MONTH($C$3),$G179,0))</f>
        <v/>
      </c>
      <c r="O179" s="66">
        <f>IF(OR($J179="",$B179=""),0,IF(YEAR($B179)*12+MONTH($B179)&lt;=YEAR($C$3)*12+MONTH($C$3)-1,$G179,0))</f>
        <v/>
      </c>
      <c r="P179" s="66">
        <f>$M179-$O179</f>
        <v/>
      </c>
      <c r="Q179" s="66">
        <f>($L179-$M179)-($N179-$O179)</f>
        <v/>
      </c>
      <c r="R179" s="66">
        <f>$L179-$N179</f>
        <v/>
      </c>
      <c r="S179" s="65">
        <f>"Finance invoice"</f>
        <v/>
      </c>
      <c r="T179" s="65">
        <f>"Revenue"</f>
        <v/>
      </c>
    </row>
    <row r="180">
      <c r="A180" s="63">
        <f>ROW()-5</f>
        <v/>
      </c>
      <c r="B180" s="64">
        <f>IFERROR(INDEX(tbl_Finance[Date],$A180),"")</f>
        <v/>
      </c>
      <c r="C180" s="65">
        <f>IFERROR(INDEX(tbl_Finance[Xero Invoice No],$A180),"")</f>
        <v/>
      </c>
      <c r="D180" s="65">
        <f>IFERROR(INDEX(tbl_Finance[Client],$A180),"")</f>
        <v/>
      </c>
      <c r="E180" s="65">
        <f>IFERROR(INDEX(tbl_Finance[Job Number],$A180),"")</f>
        <v/>
      </c>
      <c r="F180" s="65">
        <f>IFERROR(INDEX(tbl_Finance[Cost Centre],$A180),"")</f>
        <v/>
      </c>
      <c r="G180" s="66">
        <f>IFERROR(INDEX(tbl_Finance[Ex GST],$A180),"")</f>
        <v/>
      </c>
      <c r="H180" s="64">
        <f>IFERROR(INDEX(tbl_Finance[Defer Start],$A180),"")</f>
        <v/>
      </c>
      <c r="I180" s="64">
        <f>IFERROR(INDEX(tbl_Finance[Defer End],$A180),"")</f>
        <v/>
      </c>
      <c r="J180" s="63">
        <f>IF(OR($H180="",$I180="",$G180=""),"",MAX(1,(YEAR($I180)-YEAR($H180))*12+MONTH($I180)-MONTH($H180)+1))</f>
        <v/>
      </c>
      <c r="K180" s="66">
        <f>IF($J180="","",$G180/$J180)</f>
        <v/>
      </c>
      <c r="L180" s="66">
        <f>IF($J180="",0,$K180*MAX(0,MIN(YEAR($C$3)*12+MONTH($C$3),YEAR($I180)*12+MONTH($I180))-(YEAR($H180)*12+MONTH($H180))+1))</f>
        <v/>
      </c>
      <c r="M180" s="66">
        <f>IF($J180="",0,$K180*MAX(0,MIN(YEAR($C$3)*12+MONTH($C$3)-1,YEAR($I180)*12+MONTH($I180))-(YEAR($H180)*12+MONTH($H180))+1))</f>
        <v/>
      </c>
      <c r="N180" s="66">
        <f>IF(OR($J180="",$B180=""),0,IF(YEAR($B180)*12+MONTH($B180)&lt;=YEAR($C$3)*12+MONTH($C$3),$G180,0))</f>
        <v/>
      </c>
      <c r="O180" s="66">
        <f>IF(OR($J180="",$B180=""),0,IF(YEAR($B180)*12+MONTH($B180)&lt;=YEAR($C$3)*12+MONTH($C$3)-1,$G180,0))</f>
        <v/>
      </c>
      <c r="P180" s="66">
        <f>$M180-$O180</f>
        <v/>
      </c>
      <c r="Q180" s="66">
        <f>($L180-$M180)-($N180-$O180)</f>
        <v/>
      </c>
      <c r="R180" s="66">
        <f>$L180-$N180</f>
        <v/>
      </c>
      <c r="S180" s="65">
        <f>"Finance invoice"</f>
        <v/>
      </c>
      <c r="T180" s="65">
        <f>"Revenue"</f>
        <v/>
      </c>
    </row>
    <row r="181">
      <c r="A181" s="63">
        <f>ROW()-5</f>
        <v/>
      </c>
      <c r="B181" s="64">
        <f>IFERROR(INDEX(tbl_Finance[Date],$A181),"")</f>
        <v/>
      </c>
      <c r="C181" s="65">
        <f>IFERROR(INDEX(tbl_Finance[Xero Invoice No],$A181),"")</f>
        <v/>
      </c>
      <c r="D181" s="65">
        <f>IFERROR(INDEX(tbl_Finance[Client],$A181),"")</f>
        <v/>
      </c>
      <c r="E181" s="65">
        <f>IFERROR(INDEX(tbl_Finance[Job Number],$A181),"")</f>
        <v/>
      </c>
      <c r="F181" s="65">
        <f>IFERROR(INDEX(tbl_Finance[Cost Centre],$A181),"")</f>
        <v/>
      </c>
      <c r="G181" s="66">
        <f>IFERROR(INDEX(tbl_Finance[Ex GST],$A181),"")</f>
        <v/>
      </c>
      <c r="H181" s="64">
        <f>IFERROR(INDEX(tbl_Finance[Defer Start],$A181),"")</f>
        <v/>
      </c>
      <c r="I181" s="64">
        <f>IFERROR(INDEX(tbl_Finance[Defer End],$A181),"")</f>
        <v/>
      </c>
      <c r="J181" s="63">
        <f>IF(OR($H181="",$I181="",$G181=""),"",MAX(1,(YEAR($I181)-YEAR($H181))*12+MONTH($I181)-MONTH($H181)+1))</f>
        <v/>
      </c>
      <c r="K181" s="66">
        <f>IF($J181="","",$G181/$J181)</f>
        <v/>
      </c>
      <c r="L181" s="66">
        <f>IF($J181="",0,$K181*MAX(0,MIN(YEAR($C$3)*12+MONTH($C$3),YEAR($I181)*12+MONTH($I181))-(YEAR($H181)*12+MONTH($H181))+1))</f>
        <v/>
      </c>
      <c r="M181" s="66">
        <f>IF($J181="",0,$K181*MAX(0,MIN(YEAR($C$3)*12+MONTH($C$3)-1,YEAR($I181)*12+MONTH($I181))-(YEAR($H181)*12+MONTH($H181))+1))</f>
        <v/>
      </c>
      <c r="N181" s="66">
        <f>IF(OR($J181="",$B181=""),0,IF(YEAR($B181)*12+MONTH($B181)&lt;=YEAR($C$3)*12+MONTH($C$3),$G181,0))</f>
        <v/>
      </c>
      <c r="O181" s="66">
        <f>IF(OR($J181="",$B181=""),0,IF(YEAR($B181)*12+MONTH($B181)&lt;=YEAR($C$3)*12+MONTH($C$3)-1,$G181,0))</f>
        <v/>
      </c>
      <c r="P181" s="66">
        <f>$M181-$O181</f>
        <v/>
      </c>
      <c r="Q181" s="66">
        <f>($L181-$M181)-($N181-$O181)</f>
        <v/>
      </c>
      <c r="R181" s="66">
        <f>$L181-$N181</f>
        <v/>
      </c>
      <c r="S181" s="65">
        <f>"Finance invoice"</f>
        <v/>
      </c>
      <c r="T181" s="65">
        <f>"Revenue"</f>
        <v/>
      </c>
    </row>
    <row r="182">
      <c r="A182" s="63">
        <f>ROW()-5</f>
        <v/>
      </c>
      <c r="B182" s="64">
        <f>IFERROR(INDEX(tbl_Finance[Date],$A182),"")</f>
        <v/>
      </c>
      <c r="C182" s="65">
        <f>IFERROR(INDEX(tbl_Finance[Xero Invoice No],$A182),"")</f>
        <v/>
      </c>
      <c r="D182" s="65">
        <f>IFERROR(INDEX(tbl_Finance[Client],$A182),"")</f>
        <v/>
      </c>
      <c r="E182" s="65">
        <f>IFERROR(INDEX(tbl_Finance[Job Number],$A182),"")</f>
        <v/>
      </c>
      <c r="F182" s="65">
        <f>IFERROR(INDEX(tbl_Finance[Cost Centre],$A182),"")</f>
        <v/>
      </c>
      <c r="G182" s="66">
        <f>IFERROR(INDEX(tbl_Finance[Ex GST],$A182),"")</f>
        <v/>
      </c>
      <c r="H182" s="64">
        <f>IFERROR(INDEX(tbl_Finance[Defer Start],$A182),"")</f>
        <v/>
      </c>
      <c r="I182" s="64">
        <f>IFERROR(INDEX(tbl_Finance[Defer End],$A182),"")</f>
        <v/>
      </c>
      <c r="J182" s="63">
        <f>IF(OR($H182="",$I182="",$G182=""),"",MAX(1,(YEAR($I182)-YEAR($H182))*12+MONTH($I182)-MONTH($H182)+1))</f>
        <v/>
      </c>
      <c r="K182" s="66">
        <f>IF($J182="","",$G182/$J182)</f>
        <v/>
      </c>
      <c r="L182" s="66">
        <f>IF($J182="",0,$K182*MAX(0,MIN(YEAR($C$3)*12+MONTH($C$3),YEAR($I182)*12+MONTH($I182))-(YEAR($H182)*12+MONTH($H182))+1))</f>
        <v/>
      </c>
      <c r="M182" s="66">
        <f>IF($J182="",0,$K182*MAX(0,MIN(YEAR($C$3)*12+MONTH($C$3)-1,YEAR($I182)*12+MONTH($I182))-(YEAR($H182)*12+MONTH($H182))+1))</f>
        <v/>
      </c>
      <c r="N182" s="66">
        <f>IF(OR($J182="",$B182=""),0,IF(YEAR($B182)*12+MONTH($B182)&lt;=YEAR($C$3)*12+MONTH($C$3),$G182,0))</f>
        <v/>
      </c>
      <c r="O182" s="66">
        <f>IF(OR($J182="",$B182=""),0,IF(YEAR($B182)*12+MONTH($B182)&lt;=YEAR($C$3)*12+MONTH($C$3)-1,$G182,0))</f>
        <v/>
      </c>
      <c r="P182" s="66">
        <f>$M182-$O182</f>
        <v/>
      </c>
      <c r="Q182" s="66">
        <f>($L182-$M182)-($N182-$O182)</f>
        <v/>
      </c>
      <c r="R182" s="66">
        <f>$L182-$N182</f>
        <v/>
      </c>
      <c r="S182" s="65">
        <f>"Finance invoice"</f>
        <v/>
      </c>
      <c r="T182" s="65">
        <f>"Revenue"</f>
        <v/>
      </c>
    </row>
    <row r="183">
      <c r="A183" s="63">
        <f>ROW()-5</f>
        <v/>
      </c>
      <c r="B183" s="64">
        <f>IFERROR(INDEX(tbl_Finance[Date],$A183),"")</f>
        <v/>
      </c>
      <c r="C183" s="65">
        <f>IFERROR(INDEX(tbl_Finance[Xero Invoice No],$A183),"")</f>
        <v/>
      </c>
      <c r="D183" s="65">
        <f>IFERROR(INDEX(tbl_Finance[Client],$A183),"")</f>
        <v/>
      </c>
      <c r="E183" s="65">
        <f>IFERROR(INDEX(tbl_Finance[Job Number],$A183),"")</f>
        <v/>
      </c>
      <c r="F183" s="65">
        <f>IFERROR(INDEX(tbl_Finance[Cost Centre],$A183),"")</f>
        <v/>
      </c>
      <c r="G183" s="66">
        <f>IFERROR(INDEX(tbl_Finance[Ex GST],$A183),"")</f>
        <v/>
      </c>
      <c r="H183" s="64">
        <f>IFERROR(INDEX(tbl_Finance[Defer Start],$A183),"")</f>
        <v/>
      </c>
      <c r="I183" s="64">
        <f>IFERROR(INDEX(tbl_Finance[Defer End],$A183),"")</f>
        <v/>
      </c>
      <c r="J183" s="63">
        <f>IF(OR($H183="",$I183="",$G183=""),"",MAX(1,(YEAR($I183)-YEAR($H183))*12+MONTH($I183)-MONTH($H183)+1))</f>
        <v/>
      </c>
      <c r="K183" s="66">
        <f>IF($J183="","",$G183/$J183)</f>
        <v/>
      </c>
      <c r="L183" s="66">
        <f>IF($J183="",0,$K183*MAX(0,MIN(YEAR($C$3)*12+MONTH($C$3),YEAR($I183)*12+MONTH($I183))-(YEAR($H183)*12+MONTH($H183))+1))</f>
        <v/>
      </c>
      <c r="M183" s="66">
        <f>IF($J183="",0,$K183*MAX(0,MIN(YEAR($C$3)*12+MONTH($C$3)-1,YEAR($I183)*12+MONTH($I183))-(YEAR($H183)*12+MONTH($H183))+1))</f>
        <v/>
      </c>
      <c r="N183" s="66">
        <f>IF(OR($J183="",$B183=""),0,IF(YEAR($B183)*12+MONTH($B183)&lt;=YEAR($C$3)*12+MONTH($C$3),$G183,0))</f>
        <v/>
      </c>
      <c r="O183" s="66">
        <f>IF(OR($J183="",$B183=""),0,IF(YEAR($B183)*12+MONTH($B183)&lt;=YEAR($C$3)*12+MONTH($C$3)-1,$G183,0))</f>
        <v/>
      </c>
      <c r="P183" s="66">
        <f>$M183-$O183</f>
        <v/>
      </c>
      <c r="Q183" s="66">
        <f>($L183-$M183)-($N183-$O183)</f>
        <v/>
      </c>
      <c r="R183" s="66">
        <f>$L183-$N183</f>
        <v/>
      </c>
      <c r="S183" s="65">
        <f>"Finance invoice"</f>
        <v/>
      </c>
      <c r="T183" s="65">
        <f>"Revenue"</f>
        <v/>
      </c>
    </row>
    <row r="184">
      <c r="A184" s="63">
        <f>ROW()-5</f>
        <v/>
      </c>
      <c r="B184" s="64">
        <f>IFERROR(INDEX(tbl_Finance[Date],$A184),"")</f>
        <v/>
      </c>
      <c r="C184" s="65">
        <f>IFERROR(INDEX(tbl_Finance[Xero Invoice No],$A184),"")</f>
        <v/>
      </c>
      <c r="D184" s="65">
        <f>IFERROR(INDEX(tbl_Finance[Client],$A184),"")</f>
        <v/>
      </c>
      <c r="E184" s="65">
        <f>IFERROR(INDEX(tbl_Finance[Job Number],$A184),"")</f>
        <v/>
      </c>
      <c r="F184" s="65">
        <f>IFERROR(INDEX(tbl_Finance[Cost Centre],$A184),"")</f>
        <v/>
      </c>
      <c r="G184" s="66">
        <f>IFERROR(INDEX(tbl_Finance[Ex GST],$A184),"")</f>
        <v/>
      </c>
      <c r="H184" s="64">
        <f>IFERROR(INDEX(tbl_Finance[Defer Start],$A184),"")</f>
        <v/>
      </c>
      <c r="I184" s="64">
        <f>IFERROR(INDEX(tbl_Finance[Defer End],$A184),"")</f>
        <v/>
      </c>
      <c r="J184" s="63">
        <f>IF(OR($H184="",$I184="",$G184=""),"",MAX(1,(YEAR($I184)-YEAR($H184))*12+MONTH($I184)-MONTH($H184)+1))</f>
        <v/>
      </c>
      <c r="K184" s="66">
        <f>IF($J184="","",$G184/$J184)</f>
        <v/>
      </c>
      <c r="L184" s="66">
        <f>IF($J184="",0,$K184*MAX(0,MIN(YEAR($C$3)*12+MONTH($C$3),YEAR($I184)*12+MONTH($I184))-(YEAR($H184)*12+MONTH($H184))+1))</f>
        <v/>
      </c>
      <c r="M184" s="66">
        <f>IF($J184="",0,$K184*MAX(0,MIN(YEAR($C$3)*12+MONTH($C$3)-1,YEAR($I184)*12+MONTH($I184))-(YEAR($H184)*12+MONTH($H184))+1))</f>
        <v/>
      </c>
      <c r="N184" s="66">
        <f>IF(OR($J184="",$B184=""),0,IF(YEAR($B184)*12+MONTH($B184)&lt;=YEAR($C$3)*12+MONTH($C$3),$G184,0))</f>
        <v/>
      </c>
      <c r="O184" s="66">
        <f>IF(OR($J184="",$B184=""),0,IF(YEAR($B184)*12+MONTH($B184)&lt;=YEAR($C$3)*12+MONTH($C$3)-1,$G184,0))</f>
        <v/>
      </c>
      <c r="P184" s="66">
        <f>$M184-$O184</f>
        <v/>
      </c>
      <c r="Q184" s="66">
        <f>($L184-$M184)-($N184-$O184)</f>
        <v/>
      </c>
      <c r="R184" s="66">
        <f>$L184-$N184</f>
        <v/>
      </c>
      <c r="S184" s="65">
        <f>"Finance invoice"</f>
        <v/>
      </c>
      <c r="T184" s="65">
        <f>"Revenue"</f>
        <v/>
      </c>
    </row>
    <row r="185">
      <c r="A185" s="63">
        <f>ROW()-5</f>
        <v/>
      </c>
      <c r="B185" s="64">
        <f>IFERROR(INDEX(tbl_Finance[Date],$A185),"")</f>
        <v/>
      </c>
      <c r="C185" s="65">
        <f>IFERROR(INDEX(tbl_Finance[Xero Invoice No],$A185),"")</f>
        <v/>
      </c>
      <c r="D185" s="65">
        <f>IFERROR(INDEX(tbl_Finance[Client],$A185),"")</f>
        <v/>
      </c>
      <c r="E185" s="65">
        <f>IFERROR(INDEX(tbl_Finance[Job Number],$A185),"")</f>
        <v/>
      </c>
      <c r="F185" s="65">
        <f>IFERROR(INDEX(tbl_Finance[Cost Centre],$A185),"")</f>
        <v/>
      </c>
      <c r="G185" s="66">
        <f>IFERROR(INDEX(tbl_Finance[Ex GST],$A185),"")</f>
        <v/>
      </c>
      <c r="H185" s="64">
        <f>IFERROR(INDEX(tbl_Finance[Defer Start],$A185),"")</f>
        <v/>
      </c>
      <c r="I185" s="64">
        <f>IFERROR(INDEX(tbl_Finance[Defer End],$A185),"")</f>
        <v/>
      </c>
      <c r="J185" s="63">
        <f>IF(OR($H185="",$I185="",$G185=""),"",MAX(1,(YEAR($I185)-YEAR($H185))*12+MONTH($I185)-MONTH($H185)+1))</f>
        <v/>
      </c>
      <c r="K185" s="66">
        <f>IF($J185="","",$G185/$J185)</f>
        <v/>
      </c>
      <c r="L185" s="66">
        <f>IF($J185="",0,$K185*MAX(0,MIN(YEAR($C$3)*12+MONTH($C$3),YEAR($I185)*12+MONTH($I185))-(YEAR($H185)*12+MONTH($H185))+1))</f>
        <v/>
      </c>
      <c r="M185" s="66">
        <f>IF($J185="",0,$K185*MAX(0,MIN(YEAR($C$3)*12+MONTH($C$3)-1,YEAR($I185)*12+MONTH($I185))-(YEAR($H185)*12+MONTH($H185))+1))</f>
        <v/>
      </c>
      <c r="N185" s="66">
        <f>IF(OR($J185="",$B185=""),0,IF(YEAR($B185)*12+MONTH($B185)&lt;=YEAR($C$3)*12+MONTH($C$3),$G185,0))</f>
        <v/>
      </c>
      <c r="O185" s="66">
        <f>IF(OR($J185="",$B185=""),0,IF(YEAR($B185)*12+MONTH($B185)&lt;=YEAR($C$3)*12+MONTH($C$3)-1,$G185,0))</f>
        <v/>
      </c>
      <c r="P185" s="66">
        <f>$M185-$O185</f>
        <v/>
      </c>
      <c r="Q185" s="66">
        <f>($L185-$M185)-($N185-$O185)</f>
        <v/>
      </c>
      <c r="R185" s="66">
        <f>$L185-$N185</f>
        <v/>
      </c>
      <c r="S185" s="65">
        <f>"Finance invoice"</f>
        <v/>
      </c>
      <c r="T185" s="65">
        <f>"Revenue"</f>
        <v/>
      </c>
    </row>
    <row r="186">
      <c r="A186" s="63">
        <f>ROW()-5</f>
        <v/>
      </c>
      <c r="B186" s="64">
        <f>IFERROR(INDEX(tbl_Finance[Date],$A186),"")</f>
        <v/>
      </c>
      <c r="C186" s="65">
        <f>IFERROR(INDEX(tbl_Finance[Xero Invoice No],$A186),"")</f>
        <v/>
      </c>
      <c r="D186" s="65">
        <f>IFERROR(INDEX(tbl_Finance[Client],$A186),"")</f>
        <v/>
      </c>
      <c r="E186" s="65">
        <f>IFERROR(INDEX(tbl_Finance[Job Number],$A186),"")</f>
        <v/>
      </c>
      <c r="F186" s="65">
        <f>IFERROR(INDEX(tbl_Finance[Cost Centre],$A186),"")</f>
        <v/>
      </c>
      <c r="G186" s="66">
        <f>IFERROR(INDEX(tbl_Finance[Ex GST],$A186),"")</f>
        <v/>
      </c>
      <c r="H186" s="64">
        <f>IFERROR(INDEX(tbl_Finance[Defer Start],$A186),"")</f>
        <v/>
      </c>
      <c r="I186" s="64">
        <f>IFERROR(INDEX(tbl_Finance[Defer End],$A186),"")</f>
        <v/>
      </c>
      <c r="J186" s="63">
        <f>IF(OR($H186="",$I186="",$G186=""),"",MAX(1,(YEAR($I186)-YEAR($H186))*12+MONTH($I186)-MONTH($H186)+1))</f>
        <v/>
      </c>
      <c r="K186" s="66">
        <f>IF($J186="","",$G186/$J186)</f>
        <v/>
      </c>
      <c r="L186" s="66">
        <f>IF($J186="",0,$K186*MAX(0,MIN(YEAR($C$3)*12+MONTH($C$3),YEAR($I186)*12+MONTH($I186))-(YEAR($H186)*12+MONTH($H186))+1))</f>
        <v/>
      </c>
      <c r="M186" s="66">
        <f>IF($J186="",0,$K186*MAX(0,MIN(YEAR($C$3)*12+MONTH($C$3)-1,YEAR($I186)*12+MONTH($I186))-(YEAR($H186)*12+MONTH($H186))+1))</f>
        <v/>
      </c>
      <c r="N186" s="66">
        <f>IF(OR($J186="",$B186=""),0,IF(YEAR($B186)*12+MONTH($B186)&lt;=YEAR($C$3)*12+MONTH($C$3),$G186,0))</f>
        <v/>
      </c>
      <c r="O186" s="66">
        <f>IF(OR($J186="",$B186=""),0,IF(YEAR($B186)*12+MONTH($B186)&lt;=YEAR($C$3)*12+MONTH($C$3)-1,$G186,0))</f>
        <v/>
      </c>
      <c r="P186" s="66">
        <f>$M186-$O186</f>
        <v/>
      </c>
      <c r="Q186" s="66">
        <f>($L186-$M186)-($N186-$O186)</f>
        <v/>
      </c>
      <c r="R186" s="66">
        <f>$L186-$N186</f>
        <v/>
      </c>
      <c r="S186" s="65">
        <f>"Finance invoice"</f>
        <v/>
      </c>
      <c r="T186" s="65">
        <f>"Revenue"</f>
        <v/>
      </c>
    </row>
    <row r="187">
      <c r="A187" s="63">
        <f>ROW()-5</f>
        <v/>
      </c>
      <c r="B187" s="64">
        <f>IFERROR(INDEX(tbl_Finance[Date],$A187),"")</f>
        <v/>
      </c>
      <c r="C187" s="65">
        <f>IFERROR(INDEX(tbl_Finance[Xero Invoice No],$A187),"")</f>
        <v/>
      </c>
      <c r="D187" s="65">
        <f>IFERROR(INDEX(tbl_Finance[Client],$A187),"")</f>
        <v/>
      </c>
      <c r="E187" s="65">
        <f>IFERROR(INDEX(tbl_Finance[Job Number],$A187),"")</f>
        <v/>
      </c>
      <c r="F187" s="65">
        <f>IFERROR(INDEX(tbl_Finance[Cost Centre],$A187),"")</f>
        <v/>
      </c>
      <c r="G187" s="66">
        <f>IFERROR(INDEX(tbl_Finance[Ex GST],$A187),"")</f>
        <v/>
      </c>
      <c r="H187" s="64">
        <f>IFERROR(INDEX(tbl_Finance[Defer Start],$A187),"")</f>
        <v/>
      </c>
      <c r="I187" s="64">
        <f>IFERROR(INDEX(tbl_Finance[Defer End],$A187),"")</f>
        <v/>
      </c>
      <c r="J187" s="63">
        <f>IF(OR($H187="",$I187="",$G187=""),"",MAX(1,(YEAR($I187)-YEAR($H187))*12+MONTH($I187)-MONTH($H187)+1))</f>
        <v/>
      </c>
      <c r="K187" s="66">
        <f>IF($J187="","",$G187/$J187)</f>
        <v/>
      </c>
      <c r="L187" s="66">
        <f>IF($J187="",0,$K187*MAX(0,MIN(YEAR($C$3)*12+MONTH($C$3),YEAR($I187)*12+MONTH($I187))-(YEAR($H187)*12+MONTH($H187))+1))</f>
        <v/>
      </c>
      <c r="M187" s="66">
        <f>IF($J187="",0,$K187*MAX(0,MIN(YEAR($C$3)*12+MONTH($C$3)-1,YEAR($I187)*12+MONTH($I187))-(YEAR($H187)*12+MONTH($H187))+1))</f>
        <v/>
      </c>
      <c r="N187" s="66">
        <f>IF(OR($J187="",$B187=""),0,IF(YEAR($B187)*12+MONTH($B187)&lt;=YEAR($C$3)*12+MONTH($C$3),$G187,0))</f>
        <v/>
      </c>
      <c r="O187" s="66">
        <f>IF(OR($J187="",$B187=""),0,IF(YEAR($B187)*12+MONTH($B187)&lt;=YEAR($C$3)*12+MONTH($C$3)-1,$G187,0))</f>
        <v/>
      </c>
      <c r="P187" s="66">
        <f>$M187-$O187</f>
        <v/>
      </c>
      <c r="Q187" s="66">
        <f>($L187-$M187)-($N187-$O187)</f>
        <v/>
      </c>
      <c r="R187" s="66">
        <f>$L187-$N187</f>
        <v/>
      </c>
      <c r="S187" s="65">
        <f>"Finance invoice"</f>
        <v/>
      </c>
      <c r="T187" s="65">
        <f>"Revenue"</f>
        <v/>
      </c>
    </row>
    <row r="188">
      <c r="A188" s="63">
        <f>ROW()-5</f>
        <v/>
      </c>
      <c r="B188" s="64">
        <f>IFERROR(INDEX(tbl_Finance[Date],$A188),"")</f>
        <v/>
      </c>
      <c r="C188" s="65">
        <f>IFERROR(INDEX(tbl_Finance[Xero Invoice No],$A188),"")</f>
        <v/>
      </c>
      <c r="D188" s="65">
        <f>IFERROR(INDEX(tbl_Finance[Client],$A188),"")</f>
        <v/>
      </c>
      <c r="E188" s="65">
        <f>IFERROR(INDEX(tbl_Finance[Job Number],$A188),"")</f>
        <v/>
      </c>
      <c r="F188" s="65">
        <f>IFERROR(INDEX(tbl_Finance[Cost Centre],$A188),"")</f>
        <v/>
      </c>
      <c r="G188" s="66">
        <f>IFERROR(INDEX(tbl_Finance[Ex GST],$A188),"")</f>
        <v/>
      </c>
      <c r="H188" s="64">
        <f>IFERROR(INDEX(tbl_Finance[Defer Start],$A188),"")</f>
        <v/>
      </c>
      <c r="I188" s="64">
        <f>IFERROR(INDEX(tbl_Finance[Defer End],$A188),"")</f>
        <v/>
      </c>
      <c r="J188" s="63">
        <f>IF(OR($H188="",$I188="",$G188=""),"",MAX(1,(YEAR($I188)-YEAR($H188))*12+MONTH($I188)-MONTH($H188)+1))</f>
        <v/>
      </c>
      <c r="K188" s="66">
        <f>IF($J188="","",$G188/$J188)</f>
        <v/>
      </c>
      <c r="L188" s="66">
        <f>IF($J188="",0,$K188*MAX(0,MIN(YEAR($C$3)*12+MONTH($C$3),YEAR($I188)*12+MONTH($I188))-(YEAR($H188)*12+MONTH($H188))+1))</f>
        <v/>
      </c>
      <c r="M188" s="66">
        <f>IF($J188="",0,$K188*MAX(0,MIN(YEAR($C$3)*12+MONTH($C$3)-1,YEAR($I188)*12+MONTH($I188))-(YEAR($H188)*12+MONTH($H188))+1))</f>
        <v/>
      </c>
      <c r="N188" s="66">
        <f>IF(OR($J188="",$B188=""),0,IF(YEAR($B188)*12+MONTH($B188)&lt;=YEAR($C$3)*12+MONTH($C$3),$G188,0))</f>
        <v/>
      </c>
      <c r="O188" s="66">
        <f>IF(OR($J188="",$B188=""),0,IF(YEAR($B188)*12+MONTH($B188)&lt;=YEAR($C$3)*12+MONTH($C$3)-1,$G188,0))</f>
        <v/>
      </c>
      <c r="P188" s="66">
        <f>$M188-$O188</f>
        <v/>
      </c>
      <c r="Q188" s="66">
        <f>($L188-$M188)-($N188-$O188)</f>
        <v/>
      </c>
      <c r="R188" s="66">
        <f>$L188-$N188</f>
        <v/>
      </c>
      <c r="S188" s="65">
        <f>"Finance invoice"</f>
        <v/>
      </c>
      <c r="T188" s="65">
        <f>"Revenue"</f>
        <v/>
      </c>
    </row>
    <row r="189">
      <c r="A189" s="63">
        <f>ROW()-5</f>
        <v/>
      </c>
      <c r="B189" s="64">
        <f>IFERROR(INDEX(tbl_Finance[Date],$A189),"")</f>
        <v/>
      </c>
      <c r="C189" s="65">
        <f>IFERROR(INDEX(tbl_Finance[Xero Invoice No],$A189),"")</f>
        <v/>
      </c>
      <c r="D189" s="65">
        <f>IFERROR(INDEX(tbl_Finance[Client],$A189),"")</f>
        <v/>
      </c>
      <c r="E189" s="65">
        <f>IFERROR(INDEX(tbl_Finance[Job Number],$A189),"")</f>
        <v/>
      </c>
      <c r="F189" s="65">
        <f>IFERROR(INDEX(tbl_Finance[Cost Centre],$A189),"")</f>
        <v/>
      </c>
      <c r="G189" s="66">
        <f>IFERROR(INDEX(tbl_Finance[Ex GST],$A189),"")</f>
        <v/>
      </c>
      <c r="H189" s="64">
        <f>IFERROR(INDEX(tbl_Finance[Defer Start],$A189),"")</f>
        <v/>
      </c>
      <c r="I189" s="64">
        <f>IFERROR(INDEX(tbl_Finance[Defer End],$A189),"")</f>
        <v/>
      </c>
      <c r="J189" s="63">
        <f>IF(OR($H189="",$I189="",$G189=""),"",MAX(1,(YEAR($I189)-YEAR($H189))*12+MONTH($I189)-MONTH($H189)+1))</f>
        <v/>
      </c>
      <c r="K189" s="66">
        <f>IF($J189="","",$G189/$J189)</f>
        <v/>
      </c>
      <c r="L189" s="66">
        <f>IF($J189="",0,$K189*MAX(0,MIN(YEAR($C$3)*12+MONTH($C$3),YEAR($I189)*12+MONTH($I189))-(YEAR($H189)*12+MONTH($H189))+1))</f>
        <v/>
      </c>
      <c r="M189" s="66">
        <f>IF($J189="",0,$K189*MAX(0,MIN(YEAR($C$3)*12+MONTH($C$3)-1,YEAR($I189)*12+MONTH($I189))-(YEAR($H189)*12+MONTH($H189))+1))</f>
        <v/>
      </c>
      <c r="N189" s="66">
        <f>IF(OR($J189="",$B189=""),0,IF(YEAR($B189)*12+MONTH($B189)&lt;=YEAR($C$3)*12+MONTH($C$3),$G189,0))</f>
        <v/>
      </c>
      <c r="O189" s="66">
        <f>IF(OR($J189="",$B189=""),0,IF(YEAR($B189)*12+MONTH($B189)&lt;=YEAR($C$3)*12+MONTH($C$3)-1,$G189,0))</f>
        <v/>
      </c>
      <c r="P189" s="66">
        <f>$M189-$O189</f>
        <v/>
      </c>
      <c r="Q189" s="66">
        <f>($L189-$M189)-($N189-$O189)</f>
        <v/>
      </c>
      <c r="R189" s="66">
        <f>$L189-$N189</f>
        <v/>
      </c>
      <c r="S189" s="65">
        <f>"Finance invoice"</f>
        <v/>
      </c>
      <c r="T189" s="65">
        <f>"Revenue"</f>
        <v/>
      </c>
    </row>
    <row r="190">
      <c r="A190" s="63">
        <f>ROW()-5</f>
        <v/>
      </c>
      <c r="B190" s="64">
        <f>IFERROR(INDEX(tbl_Finance[Date],$A190),"")</f>
        <v/>
      </c>
      <c r="C190" s="65">
        <f>IFERROR(INDEX(tbl_Finance[Xero Invoice No],$A190),"")</f>
        <v/>
      </c>
      <c r="D190" s="65">
        <f>IFERROR(INDEX(tbl_Finance[Client],$A190),"")</f>
        <v/>
      </c>
      <c r="E190" s="65">
        <f>IFERROR(INDEX(tbl_Finance[Job Number],$A190),"")</f>
        <v/>
      </c>
      <c r="F190" s="65">
        <f>IFERROR(INDEX(tbl_Finance[Cost Centre],$A190),"")</f>
        <v/>
      </c>
      <c r="G190" s="66">
        <f>IFERROR(INDEX(tbl_Finance[Ex GST],$A190),"")</f>
        <v/>
      </c>
      <c r="H190" s="64">
        <f>IFERROR(INDEX(tbl_Finance[Defer Start],$A190),"")</f>
        <v/>
      </c>
      <c r="I190" s="64">
        <f>IFERROR(INDEX(tbl_Finance[Defer End],$A190),"")</f>
        <v/>
      </c>
      <c r="J190" s="63">
        <f>IF(OR($H190="",$I190="",$G190=""),"",MAX(1,(YEAR($I190)-YEAR($H190))*12+MONTH($I190)-MONTH($H190)+1))</f>
        <v/>
      </c>
      <c r="K190" s="66">
        <f>IF($J190="","",$G190/$J190)</f>
        <v/>
      </c>
      <c r="L190" s="66">
        <f>IF($J190="",0,$K190*MAX(0,MIN(YEAR($C$3)*12+MONTH($C$3),YEAR($I190)*12+MONTH($I190))-(YEAR($H190)*12+MONTH($H190))+1))</f>
        <v/>
      </c>
      <c r="M190" s="66">
        <f>IF($J190="",0,$K190*MAX(0,MIN(YEAR($C$3)*12+MONTH($C$3)-1,YEAR($I190)*12+MONTH($I190))-(YEAR($H190)*12+MONTH($H190))+1))</f>
        <v/>
      </c>
      <c r="N190" s="66">
        <f>IF(OR($J190="",$B190=""),0,IF(YEAR($B190)*12+MONTH($B190)&lt;=YEAR($C$3)*12+MONTH($C$3),$G190,0))</f>
        <v/>
      </c>
      <c r="O190" s="66">
        <f>IF(OR($J190="",$B190=""),0,IF(YEAR($B190)*12+MONTH($B190)&lt;=YEAR($C$3)*12+MONTH($C$3)-1,$G190,0))</f>
        <v/>
      </c>
      <c r="P190" s="66">
        <f>$M190-$O190</f>
        <v/>
      </c>
      <c r="Q190" s="66">
        <f>($L190-$M190)-($N190-$O190)</f>
        <v/>
      </c>
      <c r="R190" s="66">
        <f>$L190-$N190</f>
        <v/>
      </c>
      <c r="S190" s="65">
        <f>"Finance invoice"</f>
        <v/>
      </c>
      <c r="T190" s="65">
        <f>"Revenue"</f>
        <v/>
      </c>
    </row>
    <row r="191">
      <c r="A191" s="63">
        <f>ROW()-5</f>
        <v/>
      </c>
      <c r="B191" s="64">
        <f>IFERROR(INDEX(tbl_Finance[Date],$A191),"")</f>
        <v/>
      </c>
      <c r="C191" s="65">
        <f>IFERROR(INDEX(tbl_Finance[Xero Invoice No],$A191),"")</f>
        <v/>
      </c>
      <c r="D191" s="65">
        <f>IFERROR(INDEX(tbl_Finance[Client],$A191),"")</f>
        <v/>
      </c>
      <c r="E191" s="65">
        <f>IFERROR(INDEX(tbl_Finance[Job Number],$A191),"")</f>
        <v/>
      </c>
      <c r="F191" s="65">
        <f>IFERROR(INDEX(tbl_Finance[Cost Centre],$A191),"")</f>
        <v/>
      </c>
      <c r="G191" s="66">
        <f>IFERROR(INDEX(tbl_Finance[Ex GST],$A191),"")</f>
        <v/>
      </c>
      <c r="H191" s="64">
        <f>IFERROR(INDEX(tbl_Finance[Defer Start],$A191),"")</f>
        <v/>
      </c>
      <c r="I191" s="64">
        <f>IFERROR(INDEX(tbl_Finance[Defer End],$A191),"")</f>
        <v/>
      </c>
      <c r="J191" s="63">
        <f>IF(OR($H191="",$I191="",$G191=""),"",MAX(1,(YEAR($I191)-YEAR($H191))*12+MONTH($I191)-MONTH($H191)+1))</f>
        <v/>
      </c>
      <c r="K191" s="66">
        <f>IF($J191="","",$G191/$J191)</f>
        <v/>
      </c>
      <c r="L191" s="66">
        <f>IF($J191="",0,$K191*MAX(0,MIN(YEAR($C$3)*12+MONTH($C$3),YEAR($I191)*12+MONTH($I191))-(YEAR($H191)*12+MONTH($H191))+1))</f>
        <v/>
      </c>
      <c r="M191" s="66">
        <f>IF($J191="",0,$K191*MAX(0,MIN(YEAR($C$3)*12+MONTH($C$3)-1,YEAR($I191)*12+MONTH($I191))-(YEAR($H191)*12+MONTH($H191))+1))</f>
        <v/>
      </c>
      <c r="N191" s="66">
        <f>IF(OR($J191="",$B191=""),0,IF(YEAR($B191)*12+MONTH($B191)&lt;=YEAR($C$3)*12+MONTH($C$3),$G191,0))</f>
        <v/>
      </c>
      <c r="O191" s="66">
        <f>IF(OR($J191="",$B191=""),0,IF(YEAR($B191)*12+MONTH($B191)&lt;=YEAR($C$3)*12+MONTH($C$3)-1,$G191,0))</f>
        <v/>
      </c>
      <c r="P191" s="66">
        <f>$M191-$O191</f>
        <v/>
      </c>
      <c r="Q191" s="66">
        <f>($L191-$M191)-($N191-$O191)</f>
        <v/>
      </c>
      <c r="R191" s="66">
        <f>$L191-$N191</f>
        <v/>
      </c>
      <c r="S191" s="65">
        <f>"Finance invoice"</f>
        <v/>
      </c>
      <c r="T191" s="65">
        <f>"Revenue"</f>
        <v/>
      </c>
    </row>
    <row r="192">
      <c r="A192" s="63">
        <f>ROW()-5</f>
        <v/>
      </c>
      <c r="B192" s="64">
        <f>IFERROR(INDEX(tbl_Finance[Date],$A192),"")</f>
        <v/>
      </c>
      <c r="C192" s="65">
        <f>IFERROR(INDEX(tbl_Finance[Xero Invoice No],$A192),"")</f>
        <v/>
      </c>
      <c r="D192" s="65">
        <f>IFERROR(INDEX(tbl_Finance[Client],$A192),"")</f>
        <v/>
      </c>
      <c r="E192" s="65">
        <f>IFERROR(INDEX(tbl_Finance[Job Number],$A192),"")</f>
        <v/>
      </c>
      <c r="F192" s="65">
        <f>IFERROR(INDEX(tbl_Finance[Cost Centre],$A192),"")</f>
        <v/>
      </c>
      <c r="G192" s="66">
        <f>IFERROR(INDEX(tbl_Finance[Ex GST],$A192),"")</f>
        <v/>
      </c>
      <c r="H192" s="64">
        <f>IFERROR(INDEX(tbl_Finance[Defer Start],$A192),"")</f>
        <v/>
      </c>
      <c r="I192" s="64">
        <f>IFERROR(INDEX(tbl_Finance[Defer End],$A192),"")</f>
        <v/>
      </c>
      <c r="J192" s="63">
        <f>IF(OR($H192="",$I192="",$G192=""),"",MAX(1,(YEAR($I192)-YEAR($H192))*12+MONTH($I192)-MONTH($H192)+1))</f>
        <v/>
      </c>
      <c r="K192" s="66">
        <f>IF($J192="","",$G192/$J192)</f>
        <v/>
      </c>
      <c r="L192" s="66">
        <f>IF($J192="",0,$K192*MAX(0,MIN(YEAR($C$3)*12+MONTH($C$3),YEAR($I192)*12+MONTH($I192))-(YEAR($H192)*12+MONTH($H192))+1))</f>
        <v/>
      </c>
      <c r="M192" s="66">
        <f>IF($J192="",0,$K192*MAX(0,MIN(YEAR($C$3)*12+MONTH($C$3)-1,YEAR($I192)*12+MONTH($I192))-(YEAR($H192)*12+MONTH($H192))+1))</f>
        <v/>
      </c>
      <c r="N192" s="66">
        <f>IF(OR($J192="",$B192=""),0,IF(YEAR($B192)*12+MONTH($B192)&lt;=YEAR($C$3)*12+MONTH($C$3),$G192,0))</f>
        <v/>
      </c>
      <c r="O192" s="66">
        <f>IF(OR($J192="",$B192=""),0,IF(YEAR($B192)*12+MONTH($B192)&lt;=YEAR($C$3)*12+MONTH($C$3)-1,$G192,0))</f>
        <v/>
      </c>
      <c r="P192" s="66">
        <f>$M192-$O192</f>
        <v/>
      </c>
      <c r="Q192" s="66">
        <f>($L192-$M192)-($N192-$O192)</f>
        <v/>
      </c>
      <c r="R192" s="66">
        <f>$L192-$N192</f>
        <v/>
      </c>
      <c r="S192" s="65">
        <f>"Finance invoice"</f>
        <v/>
      </c>
      <c r="T192" s="65">
        <f>"Revenue"</f>
        <v/>
      </c>
    </row>
    <row r="193">
      <c r="A193" s="63">
        <f>ROW()-5</f>
        <v/>
      </c>
      <c r="B193" s="64">
        <f>IFERROR(INDEX(tbl_Finance[Date],$A193),"")</f>
        <v/>
      </c>
      <c r="C193" s="65">
        <f>IFERROR(INDEX(tbl_Finance[Xero Invoice No],$A193),"")</f>
        <v/>
      </c>
      <c r="D193" s="65">
        <f>IFERROR(INDEX(tbl_Finance[Client],$A193),"")</f>
        <v/>
      </c>
      <c r="E193" s="65">
        <f>IFERROR(INDEX(tbl_Finance[Job Number],$A193),"")</f>
        <v/>
      </c>
      <c r="F193" s="65">
        <f>IFERROR(INDEX(tbl_Finance[Cost Centre],$A193),"")</f>
        <v/>
      </c>
      <c r="G193" s="66">
        <f>IFERROR(INDEX(tbl_Finance[Ex GST],$A193),"")</f>
        <v/>
      </c>
      <c r="H193" s="64">
        <f>IFERROR(INDEX(tbl_Finance[Defer Start],$A193),"")</f>
        <v/>
      </c>
      <c r="I193" s="64">
        <f>IFERROR(INDEX(tbl_Finance[Defer End],$A193),"")</f>
        <v/>
      </c>
      <c r="J193" s="63">
        <f>IF(OR($H193="",$I193="",$G193=""),"",MAX(1,(YEAR($I193)-YEAR($H193))*12+MONTH($I193)-MONTH($H193)+1))</f>
        <v/>
      </c>
      <c r="K193" s="66">
        <f>IF($J193="","",$G193/$J193)</f>
        <v/>
      </c>
      <c r="L193" s="66">
        <f>IF($J193="",0,$K193*MAX(0,MIN(YEAR($C$3)*12+MONTH($C$3),YEAR($I193)*12+MONTH($I193))-(YEAR($H193)*12+MONTH($H193))+1))</f>
        <v/>
      </c>
      <c r="M193" s="66">
        <f>IF($J193="",0,$K193*MAX(0,MIN(YEAR($C$3)*12+MONTH($C$3)-1,YEAR($I193)*12+MONTH($I193))-(YEAR($H193)*12+MONTH($H193))+1))</f>
        <v/>
      </c>
      <c r="N193" s="66">
        <f>IF(OR($J193="",$B193=""),0,IF(YEAR($B193)*12+MONTH($B193)&lt;=YEAR($C$3)*12+MONTH($C$3),$G193,0))</f>
        <v/>
      </c>
      <c r="O193" s="66">
        <f>IF(OR($J193="",$B193=""),0,IF(YEAR($B193)*12+MONTH($B193)&lt;=YEAR($C$3)*12+MONTH($C$3)-1,$G193,0))</f>
        <v/>
      </c>
      <c r="P193" s="66">
        <f>$M193-$O193</f>
        <v/>
      </c>
      <c r="Q193" s="66">
        <f>($L193-$M193)-($N193-$O193)</f>
        <v/>
      </c>
      <c r="R193" s="66">
        <f>$L193-$N193</f>
        <v/>
      </c>
      <c r="S193" s="65">
        <f>"Finance invoice"</f>
        <v/>
      </c>
      <c r="T193" s="65">
        <f>"Revenue"</f>
        <v/>
      </c>
    </row>
    <row r="194">
      <c r="A194" s="63">
        <f>ROW()-5</f>
        <v/>
      </c>
      <c r="B194" s="64">
        <f>IFERROR(INDEX(tbl_Finance[Date],$A194),"")</f>
        <v/>
      </c>
      <c r="C194" s="65">
        <f>IFERROR(INDEX(tbl_Finance[Xero Invoice No],$A194),"")</f>
        <v/>
      </c>
      <c r="D194" s="65">
        <f>IFERROR(INDEX(tbl_Finance[Client],$A194),"")</f>
        <v/>
      </c>
      <c r="E194" s="65">
        <f>IFERROR(INDEX(tbl_Finance[Job Number],$A194),"")</f>
        <v/>
      </c>
      <c r="F194" s="65">
        <f>IFERROR(INDEX(tbl_Finance[Cost Centre],$A194),"")</f>
        <v/>
      </c>
      <c r="G194" s="66">
        <f>IFERROR(INDEX(tbl_Finance[Ex GST],$A194),"")</f>
        <v/>
      </c>
      <c r="H194" s="64">
        <f>IFERROR(INDEX(tbl_Finance[Defer Start],$A194),"")</f>
        <v/>
      </c>
      <c r="I194" s="64">
        <f>IFERROR(INDEX(tbl_Finance[Defer End],$A194),"")</f>
        <v/>
      </c>
      <c r="J194" s="63">
        <f>IF(OR($H194="",$I194="",$G194=""),"",MAX(1,(YEAR($I194)-YEAR($H194))*12+MONTH($I194)-MONTH($H194)+1))</f>
        <v/>
      </c>
      <c r="K194" s="66">
        <f>IF($J194="","",$G194/$J194)</f>
        <v/>
      </c>
      <c r="L194" s="66">
        <f>IF($J194="",0,$K194*MAX(0,MIN(YEAR($C$3)*12+MONTH($C$3),YEAR($I194)*12+MONTH($I194))-(YEAR($H194)*12+MONTH($H194))+1))</f>
        <v/>
      </c>
      <c r="M194" s="66">
        <f>IF($J194="",0,$K194*MAX(0,MIN(YEAR($C$3)*12+MONTH($C$3)-1,YEAR($I194)*12+MONTH($I194))-(YEAR($H194)*12+MONTH($H194))+1))</f>
        <v/>
      </c>
      <c r="N194" s="66">
        <f>IF(OR($J194="",$B194=""),0,IF(YEAR($B194)*12+MONTH($B194)&lt;=YEAR($C$3)*12+MONTH($C$3),$G194,0))</f>
        <v/>
      </c>
      <c r="O194" s="66">
        <f>IF(OR($J194="",$B194=""),0,IF(YEAR($B194)*12+MONTH($B194)&lt;=YEAR($C$3)*12+MONTH($C$3)-1,$G194,0))</f>
        <v/>
      </c>
      <c r="P194" s="66">
        <f>$M194-$O194</f>
        <v/>
      </c>
      <c r="Q194" s="66">
        <f>($L194-$M194)-($N194-$O194)</f>
        <v/>
      </c>
      <c r="R194" s="66">
        <f>$L194-$N194</f>
        <v/>
      </c>
      <c r="S194" s="65">
        <f>"Finance invoice"</f>
        <v/>
      </c>
      <c r="T194" s="65">
        <f>"Revenue"</f>
        <v/>
      </c>
    </row>
    <row r="195">
      <c r="A195" s="63">
        <f>ROW()-5</f>
        <v/>
      </c>
      <c r="B195" s="64">
        <f>IFERROR(INDEX(tbl_Finance[Date],$A195),"")</f>
        <v/>
      </c>
      <c r="C195" s="65">
        <f>IFERROR(INDEX(tbl_Finance[Xero Invoice No],$A195),"")</f>
        <v/>
      </c>
      <c r="D195" s="65">
        <f>IFERROR(INDEX(tbl_Finance[Client],$A195),"")</f>
        <v/>
      </c>
      <c r="E195" s="65">
        <f>IFERROR(INDEX(tbl_Finance[Job Number],$A195),"")</f>
        <v/>
      </c>
      <c r="F195" s="65">
        <f>IFERROR(INDEX(tbl_Finance[Cost Centre],$A195),"")</f>
        <v/>
      </c>
      <c r="G195" s="66">
        <f>IFERROR(INDEX(tbl_Finance[Ex GST],$A195),"")</f>
        <v/>
      </c>
      <c r="H195" s="64">
        <f>IFERROR(INDEX(tbl_Finance[Defer Start],$A195),"")</f>
        <v/>
      </c>
      <c r="I195" s="64">
        <f>IFERROR(INDEX(tbl_Finance[Defer End],$A195),"")</f>
        <v/>
      </c>
      <c r="J195" s="63">
        <f>IF(OR($H195="",$I195="",$G195=""),"",MAX(1,(YEAR($I195)-YEAR($H195))*12+MONTH($I195)-MONTH($H195)+1))</f>
        <v/>
      </c>
      <c r="K195" s="66">
        <f>IF($J195="","",$G195/$J195)</f>
        <v/>
      </c>
      <c r="L195" s="66">
        <f>IF($J195="",0,$K195*MAX(0,MIN(YEAR($C$3)*12+MONTH($C$3),YEAR($I195)*12+MONTH($I195))-(YEAR($H195)*12+MONTH($H195))+1))</f>
        <v/>
      </c>
      <c r="M195" s="66">
        <f>IF($J195="",0,$K195*MAX(0,MIN(YEAR($C$3)*12+MONTH($C$3)-1,YEAR($I195)*12+MONTH($I195))-(YEAR($H195)*12+MONTH($H195))+1))</f>
        <v/>
      </c>
      <c r="N195" s="66">
        <f>IF(OR($J195="",$B195=""),0,IF(YEAR($B195)*12+MONTH($B195)&lt;=YEAR($C$3)*12+MONTH($C$3),$G195,0))</f>
        <v/>
      </c>
      <c r="O195" s="66">
        <f>IF(OR($J195="",$B195=""),0,IF(YEAR($B195)*12+MONTH($B195)&lt;=YEAR($C$3)*12+MONTH($C$3)-1,$G195,0))</f>
        <v/>
      </c>
      <c r="P195" s="66">
        <f>$M195-$O195</f>
        <v/>
      </c>
      <c r="Q195" s="66">
        <f>($L195-$M195)-($N195-$O195)</f>
        <v/>
      </c>
      <c r="R195" s="66">
        <f>$L195-$N195</f>
        <v/>
      </c>
      <c r="S195" s="65">
        <f>"Finance invoice"</f>
        <v/>
      </c>
      <c r="T195" s="65">
        <f>"Revenue"</f>
        <v/>
      </c>
    </row>
    <row r="196">
      <c r="A196" s="63">
        <f>ROW()-5</f>
        <v/>
      </c>
      <c r="B196" s="64">
        <f>IFERROR(INDEX(tbl_Finance[Date],$A196),"")</f>
        <v/>
      </c>
      <c r="C196" s="65">
        <f>IFERROR(INDEX(tbl_Finance[Xero Invoice No],$A196),"")</f>
        <v/>
      </c>
      <c r="D196" s="65">
        <f>IFERROR(INDEX(tbl_Finance[Client],$A196),"")</f>
        <v/>
      </c>
      <c r="E196" s="65">
        <f>IFERROR(INDEX(tbl_Finance[Job Number],$A196),"")</f>
        <v/>
      </c>
      <c r="F196" s="65">
        <f>IFERROR(INDEX(tbl_Finance[Cost Centre],$A196),"")</f>
        <v/>
      </c>
      <c r="G196" s="66">
        <f>IFERROR(INDEX(tbl_Finance[Ex GST],$A196),"")</f>
        <v/>
      </c>
      <c r="H196" s="64">
        <f>IFERROR(INDEX(tbl_Finance[Defer Start],$A196),"")</f>
        <v/>
      </c>
      <c r="I196" s="64">
        <f>IFERROR(INDEX(tbl_Finance[Defer End],$A196),"")</f>
        <v/>
      </c>
      <c r="J196" s="63">
        <f>IF(OR($H196="",$I196="",$G196=""),"",MAX(1,(YEAR($I196)-YEAR($H196))*12+MONTH($I196)-MONTH($H196)+1))</f>
        <v/>
      </c>
      <c r="K196" s="66">
        <f>IF($J196="","",$G196/$J196)</f>
        <v/>
      </c>
      <c r="L196" s="66">
        <f>IF($J196="",0,$K196*MAX(0,MIN(YEAR($C$3)*12+MONTH($C$3),YEAR($I196)*12+MONTH($I196))-(YEAR($H196)*12+MONTH($H196))+1))</f>
        <v/>
      </c>
      <c r="M196" s="66">
        <f>IF($J196="",0,$K196*MAX(0,MIN(YEAR($C$3)*12+MONTH($C$3)-1,YEAR($I196)*12+MONTH($I196))-(YEAR($H196)*12+MONTH($H196))+1))</f>
        <v/>
      </c>
      <c r="N196" s="66">
        <f>IF(OR($J196="",$B196=""),0,IF(YEAR($B196)*12+MONTH($B196)&lt;=YEAR($C$3)*12+MONTH($C$3),$G196,0))</f>
        <v/>
      </c>
      <c r="O196" s="66">
        <f>IF(OR($J196="",$B196=""),0,IF(YEAR($B196)*12+MONTH($B196)&lt;=YEAR($C$3)*12+MONTH($C$3)-1,$G196,0))</f>
        <v/>
      </c>
      <c r="P196" s="66">
        <f>$M196-$O196</f>
        <v/>
      </c>
      <c r="Q196" s="66">
        <f>($L196-$M196)-($N196-$O196)</f>
        <v/>
      </c>
      <c r="R196" s="66">
        <f>$L196-$N196</f>
        <v/>
      </c>
      <c r="S196" s="65">
        <f>"Finance invoice"</f>
        <v/>
      </c>
      <c r="T196" s="65">
        <f>"Revenue"</f>
        <v/>
      </c>
    </row>
    <row r="197">
      <c r="A197" s="63">
        <f>ROW()-5</f>
        <v/>
      </c>
      <c r="B197" s="64">
        <f>IFERROR(INDEX(tbl_Finance[Date],$A197),"")</f>
        <v/>
      </c>
      <c r="C197" s="65">
        <f>IFERROR(INDEX(tbl_Finance[Xero Invoice No],$A197),"")</f>
        <v/>
      </c>
      <c r="D197" s="65">
        <f>IFERROR(INDEX(tbl_Finance[Client],$A197),"")</f>
        <v/>
      </c>
      <c r="E197" s="65">
        <f>IFERROR(INDEX(tbl_Finance[Job Number],$A197),"")</f>
        <v/>
      </c>
      <c r="F197" s="65">
        <f>IFERROR(INDEX(tbl_Finance[Cost Centre],$A197),"")</f>
        <v/>
      </c>
      <c r="G197" s="66">
        <f>IFERROR(INDEX(tbl_Finance[Ex GST],$A197),"")</f>
        <v/>
      </c>
      <c r="H197" s="64">
        <f>IFERROR(INDEX(tbl_Finance[Defer Start],$A197),"")</f>
        <v/>
      </c>
      <c r="I197" s="64">
        <f>IFERROR(INDEX(tbl_Finance[Defer End],$A197),"")</f>
        <v/>
      </c>
      <c r="J197" s="63">
        <f>IF(OR($H197="",$I197="",$G197=""),"",MAX(1,(YEAR($I197)-YEAR($H197))*12+MONTH($I197)-MONTH($H197)+1))</f>
        <v/>
      </c>
      <c r="K197" s="66">
        <f>IF($J197="","",$G197/$J197)</f>
        <v/>
      </c>
      <c r="L197" s="66">
        <f>IF($J197="",0,$K197*MAX(0,MIN(YEAR($C$3)*12+MONTH($C$3),YEAR($I197)*12+MONTH($I197))-(YEAR($H197)*12+MONTH($H197))+1))</f>
        <v/>
      </c>
      <c r="M197" s="66">
        <f>IF($J197="",0,$K197*MAX(0,MIN(YEAR($C$3)*12+MONTH($C$3)-1,YEAR($I197)*12+MONTH($I197))-(YEAR($H197)*12+MONTH($H197))+1))</f>
        <v/>
      </c>
      <c r="N197" s="66">
        <f>IF(OR($J197="",$B197=""),0,IF(YEAR($B197)*12+MONTH($B197)&lt;=YEAR($C$3)*12+MONTH($C$3),$G197,0))</f>
        <v/>
      </c>
      <c r="O197" s="66">
        <f>IF(OR($J197="",$B197=""),0,IF(YEAR($B197)*12+MONTH($B197)&lt;=YEAR($C$3)*12+MONTH($C$3)-1,$G197,0))</f>
        <v/>
      </c>
      <c r="P197" s="66">
        <f>$M197-$O197</f>
        <v/>
      </c>
      <c r="Q197" s="66">
        <f>($L197-$M197)-($N197-$O197)</f>
        <v/>
      </c>
      <c r="R197" s="66">
        <f>$L197-$N197</f>
        <v/>
      </c>
      <c r="S197" s="65">
        <f>"Finance invoice"</f>
        <v/>
      </c>
      <c r="T197" s="65">
        <f>"Revenue"</f>
        <v/>
      </c>
    </row>
    <row r="198">
      <c r="A198" s="63">
        <f>ROW()-5</f>
        <v/>
      </c>
      <c r="B198" s="64">
        <f>IFERROR(INDEX(tbl_Finance[Date],$A198),"")</f>
        <v/>
      </c>
      <c r="C198" s="65">
        <f>IFERROR(INDEX(tbl_Finance[Xero Invoice No],$A198),"")</f>
        <v/>
      </c>
      <c r="D198" s="65">
        <f>IFERROR(INDEX(tbl_Finance[Client],$A198),"")</f>
        <v/>
      </c>
      <c r="E198" s="65">
        <f>IFERROR(INDEX(tbl_Finance[Job Number],$A198),"")</f>
        <v/>
      </c>
      <c r="F198" s="65">
        <f>IFERROR(INDEX(tbl_Finance[Cost Centre],$A198),"")</f>
        <v/>
      </c>
      <c r="G198" s="66">
        <f>IFERROR(INDEX(tbl_Finance[Ex GST],$A198),"")</f>
        <v/>
      </c>
      <c r="H198" s="64">
        <f>IFERROR(INDEX(tbl_Finance[Defer Start],$A198),"")</f>
        <v/>
      </c>
      <c r="I198" s="64">
        <f>IFERROR(INDEX(tbl_Finance[Defer End],$A198),"")</f>
        <v/>
      </c>
      <c r="J198" s="63">
        <f>IF(OR($H198="",$I198="",$G198=""),"",MAX(1,(YEAR($I198)-YEAR($H198))*12+MONTH($I198)-MONTH($H198)+1))</f>
        <v/>
      </c>
      <c r="K198" s="66">
        <f>IF($J198="","",$G198/$J198)</f>
        <v/>
      </c>
      <c r="L198" s="66">
        <f>IF($J198="",0,$K198*MAX(0,MIN(YEAR($C$3)*12+MONTH($C$3),YEAR($I198)*12+MONTH($I198))-(YEAR($H198)*12+MONTH($H198))+1))</f>
        <v/>
      </c>
      <c r="M198" s="66">
        <f>IF($J198="",0,$K198*MAX(0,MIN(YEAR($C$3)*12+MONTH($C$3)-1,YEAR($I198)*12+MONTH($I198))-(YEAR($H198)*12+MONTH($H198))+1))</f>
        <v/>
      </c>
      <c r="N198" s="66">
        <f>IF(OR($J198="",$B198=""),0,IF(YEAR($B198)*12+MONTH($B198)&lt;=YEAR($C$3)*12+MONTH($C$3),$G198,0))</f>
        <v/>
      </c>
      <c r="O198" s="66">
        <f>IF(OR($J198="",$B198=""),0,IF(YEAR($B198)*12+MONTH($B198)&lt;=YEAR($C$3)*12+MONTH($C$3)-1,$G198,0))</f>
        <v/>
      </c>
      <c r="P198" s="66">
        <f>$M198-$O198</f>
        <v/>
      </c>
      <c r="Q198" s="66">
        <f>($L198-$M198)-($N198-$O198)</f>
        <v/>
      </c>
      <c r="R198" s="66">
        <f>$L198-$N198</f>
        <v/>
      </c>
      <c r="S198" s="65">
        <f>"Finance invoice"</f>
        <v/>
      </c>
      <c r="T198" s="65">
        <f>"Revenue"</f>
        <v/>
      </c>
    </row>
    <row r="199">
      <c r="A199" s="63">
        <f>ROW()-5</f>
        <v/>
      </c>
      <c r="B199" s="64">
        <f>IFERROR(INDEX(tbl_Finance[Date],$A199),"")</f>
        <v/>
      </c>
      <c r="C199" s="65">
        <f>IFERROR(INDEX(tbl_Finance[Xero Invoice No],$A199),"")</f>
        <v/>
      </c>
      <c r="D199" s="65">
        <f>IFERROR(INDEX(tbl_Finance[Client],$A199),"")</f>
        <v/>
      </c>
      <c r="E199" s="65">
        <f>IFERROR(INDEX(tbl_Finance[Job Number],$A199),"")</f>
        <v/>
      </c>
      <c r="F199" s="65">
        <f>IFERROR(INDEX(tbl_Finance[Cost Centre],$A199),"")</f>
        <v/>
      </c>
      <c r="G199" s="66">
        <f>IFERROR(INDEX(tbl_Finance[Ex GST],$A199),"")</f>
        <v/>
      </c>
      <c r="H199" s="64">
        <f>IFERROR(INDEX(tbl_Finance[Defer Start],$A199),"")</f>
        <v/>
      </c>
      <c r="I199" s="64">
        <f>IFERROR(INDEX(tbl_Finance[Defer End],$A199),"")</f>
        <v/>
      </c>
      <c r="J199" s="63">
        <f>IF(OR($H199="",$I199="",$G199=""),"",MAX(1,(YEAR($I199)-YEAR($H199))*12+MONTH($I199)-MONTH($H199)+1))</f>
        <v/>
      </c>
      <c r="K199" s="66">
        <f>IF($J199="","",$G199/$J199)</f>
        <v/>
      </c>
      <c r="L199" s="66">
        <f>IF($J199="",0,$K199*MAX(0,MIN(YEAR($C$3)*12+MONTH($C$3),YEAR($I199)*12+MONTH($I199))-(YEAR($H199)*12+MONTH($H199))+1))</f>
        <v/>
      </c>
      <c r="M199" s="66">
        <f>IF($J199="",0,$K199*MAX(0,MIN(YEAR($C$3)*12+MONTH($C$3)-1,YEAR($I199)*12+MONTH($I199))-(YEAR($H199)*12+MONTH($H199))+1))</f>
        <v/>
      </c>
      <c r="N199" s="66">
        <f>IF(OR($J199="",$B199=""),0,IF(YEAR($B199)*12+MONTH($B199)&lt;=YEAR($C$3)*12+MONTH($C$3),$G199,0))</f>
        <v/>
      </c>
      <c r="O199" s="66">
        <f>IF(OR($J199="",$B199=""),0,IF(YEAR($B199)*12+MONTH($B199)&lt;=YEAR($C$3)*12+MONTH($C$3)-1,$G199,0))</f>
        <v/>
      </c>
      <c r="P199" s="66">
        <f>$M199-$O199</f>
        <v/>
      </c>
      <c r="Q199" s="66">
        <f>($L199-$M199)-($N199-$O199)</f>
        <v/>
      </c>
      <c r="R199" s="66">
        <f>$L199-$N199</f>
        <v/>
      </c>
      <c r="S199" s="65">
        <f>"Finance invoice"</f>
        <v/>
      </c>
      <c r="T199" s="65">
        <f>"Revenue"</f>
        <v/>
      </c>
    </row>
    <row r="200">
      <c r="A200" s="63">
        <f>ROW()-5</f>
        <v/>
      </c>
      <c r="B200" s="64">
        <f>IFERROR(INDEX(tbl_Finance[Date],$A200),"")</f>
        <v/>
      </c>
      <c r="C200" s="65">
        <f>IFERROR(INDEX(tbl_Finance[Xero Invoice No],$A200),"")</f>
        <v/>
      </c>
      <c r="D200" s="65">
        <f>IFERROR(INDEX(tbl_Finance[Client],$A200),"")</f>
        <v/>
      </c>
      <c r="E200" s="65">
        <f>IFERROR(INDEX(tbl_Finance[Job Number],$A200),"")</f>
        <v/>
      </c>
      <c r="F200" s="65">
        <f>IFERROR(INDEX(tbl_Finance[Cost Centre],$A200),"")</f>
        <v/>
      </c>
      <c r="G200" s="66">
        <f>IFERROR(INDEX(tbl_Finance[Ex GST],$A200),"")</f>
        <v/>
      </c>
      <c r="H200" s="64">
        <f>IFERROR(INDEX(tbl_Finance[Defer Start],$A200),"")</f>
        <v/>
      </c>
      <c r="I200" s="64">
        <f>IFERROR(INDEX(tbl_Finance[Defer End],$A200),"")</f>
        <v/>
      </c>
      <c r="J200" s="63">
        <f>IF(OR($H200="",$I200="",$G200=""),"",MAX(1,(YEAR($I200)-YEAR($H200))*12+MONTH($I200)-MONTH($H200)+1))</f>
        <v/>
      </c>
      <c r="K200" s="66">
        <f>IF($J200="","",$G200/$J200)</f>
        <v/>
      </c>
      <c r="L200" s="66">
        <f>IF($J200="",0,$K200*MAX(0,MIN(YEAR($C$3)*12+MONTH($C$3),YEAR($I200)*12+MONTH($I200))-(YEAR($H200)*12+MONTH($H200))+1))</f>
        <v/>
      </c>
      <c r="M200" s="66">
        <f>IF($J200="",0,$K200*MAX(0,MIN(YEAR($C$3)*12+MONTH($C$3)-1,YEAR($I200)*12+MONTH($I200))-(YEAR($H200)*12+MONTH($H200))+1))</f>
        <v/>
      </c>
      <c r="N200" s="66">
        <f>IF(OR($J200="",$B200=""),0,IF(YEAR($B200)*12+MONTH($B200)&lt;=YEAR($C$3)*12+MONTH($C$3),$G200,0))</f>
        <v/>
      </c>
      <c r="O200" s="66">
        <f>IF(OR($J200="",$B200=""),0,IF(YEAR($B200)*12+MONTH($B200)&lt;=YEAR($C$3)*12+MONTH($C$3)-1,$G200,0))</f>
        <v/>
      </c>
      <c r="P200" s="66">
        <f>$M200-$O200</f>
        <v/>
      </c>
      <c r="Q200" s="66">
        <f>($L200-$M200)-($N200-$O200)</f>
        <v/>
      </c>
      <c r="R200" s="66">
        <f>$L200-$N200</f>
        <v/>
      </c>
      <c r="S200" s="65">
        <f>"Finance invoice"</f>
        <v/>
      </c>
      <c r="T200" s="65">
        <f>"Revenue"</f>
        <v/>
      </c>
    </row>
    <row r="201">
      <c r="A201" s="63">
        <f>ROW()-5</f>
        <v/>
      </c>
      <c r="B201" s="64">
        <f>IFERROR(INDEX(tbl_Finance[Date],$A201),"")</f>
        <v/>
      </c>
      <c r="C201" s="65">
        <f>IFERROR(INDEX(tbl_Finance[Xero Invoice No],$A201),"")</f>
        <v/>
      </c>
      <c r="D201" s="65">
        <f>IFERROR(INDEX(tbl_Finance[Client],$A201),"")</f>
        <v/>
      </c>
      <c r="E201" s="65">
        <f>IFERROR(INDEX(tbl_Finance[Job Number],$A201),"")</f>
        <v/>
      </c>
      <c r="F201" s="65">
        <f>IFERROR(INDEX(tbl_Finance[Cost Centre],$A201),"")</f>
        <v/>
      </c>
      <c r="G201" s="66">
        <f>IFERROR(INDEX(tbl_Finance[Ex GST],$A201),"")</f>
        <v/>
      </c>
      <c r="H201" s="64">
        <f>IFERROR(INDEX(tbl_Finance[Defer Start],$A201),"")</f>
        <v/>
      </c>
      <c r="I201" s="64">
        <f>IFERROR(INDEX(tbl_Finance[Defer End],$A201),"")</f>
        <v/>
      </c>
      <c r="J201" s="63">
        <f>IF(OR($H201="",$I201="",$G201=""),"",MAX(1,(YEAR($I201)-YEAR($H201))*12+MONTH($I201)-MONTH($H201)+1))</f>
        <v/>
      </c>
      <c r="K201" s="66">
        <f>IF($J201="","",$G201/$J201)</f>
        <v/>
      </c>
      <c r="L201" s="66">
        <f>IF($J201="",0,$K201*MAX(0,MIN(YEAR($C$3)*12+MONTH($C$3),YEAR($I201)*12+MONTH($I201))-(YEAR($H201)*12+MONTH($H201))+1))</f>
        <v/>
      </c>
      <c r="M201" s="66">
        <f>IF($J201="",0,$K201*MAX(0,MIN(YEAR($C$3)*12+MONTH($C$3)-1,YEAR($I201)*12+MONTH($I201))-(YEAR($H201)*12+MONTH($H201))+1))</f>
        <v/>
      </c>
      <c r="N201" s="66">
        <f>IF(OR($J201="",$B201=""),0,IF(YEAR($B201)*12+MONTH($B201)&lt;=YEAR($C$3)*12+MONTH($C$3),$G201,0))</f>
        <v/>
      </c>
      <c r="O201" s="66">
        <f>IF(OR($J201="",$B201=""),0,IF(YEAR($B201)*12+MONTH($B201)&lt;=YEAR($C$3)*12+MONTH($C$3)-1,$G201,0))</f>
        <v/>
      </c>
      <c r="P201" s="66">
        <f>$M201-$O201</f>
        <v/>
      </c>
      <c r="Q201" s="66">
        <f>($L201-$M201)-($N201-$O201)</f>
        <v/>
      </c>
      <c r="R201" s="66">
        <f>$L201-$N201</f>
        <v/>
      </c>
      <c r="S201" s="65">
        <f>"Finance invoice"</f>
        <v/>
      </c>
      <c r="T201" s="65">
        <f>"Revenue"</f>
        <v/>
      </c>
    </row>
    <row r="202">
      <c r="A202" s="63">
        <f>ROW()-5</f>
        <v/>
      </c>
      <c r="B202" s="64">
        <f>IFERROR(INDEX(tbl_Finance[Date],$A202),"")</f>
        <v/>
      </c>
      <c r="C202" s="65">
        <f>IFERROR(INDEX(tbl_Finance[Xero Invoice No],$A202),"")</f>
        <v/>
      </c>
      <c r="D202" s="65">
        <f>IFERROR(INDEX(tbl_Finance[Client],$A202),"")</f>
        <v/>
      </c>
      <c r="E202" s="65">
        <f>IFERROR(INDEX(tbl_Finance[Job Number],$A202),"")</f>
        <v/>
      </c>
      <c r="F202" s="65">
        <f>IFERROR(INDEX(tbl_Finance[Cost Centre],$A202),"")</f>
        <v/>
      </c>
      <c r="G202" s="66">
        <f>IFERROR(INDEX(tbl_Finance[Ex GST],$A202),"")</f>
        <v/>
      </c>
      <c r="H202" s="64">
        <f>IFERROR(INDEX(tbl_Finance[Defer Start],$A202),"")</f>
        <v/>
      </c>
      <c r="I202" s="64">
        <f>IFERROR(INDEX(tbl_Finance[Defer End],$A202),"")</f>
        <v/>
      </c>
      <c r="J202" s="63">
        <f>IF(OR($H202="",$I202="",$G202=""),"",MAX(1,(YEAR($I202)-YEAR($H202))*12+MONTH($I202)-MONTH($H202)+1))</f>
        <v/>
      </c>
      <c r="K202" s="66">
        <f>IF($J202="","",$G202/$J202)</f>
        <v/>
      </c>
      <c r="L202" s="66">
        <f>IF($J202="",0,$K202*MAX(0,MIN(YEAR($C$3)*12+MONTH($C$3),YEAR($I202)*12+MONTH($I202))-(YEAR($H202)*12+MONTH($H202))+1))</f>
        <v/>
      </c>
      <c r="M202" s="66">
        <f>IF($J202="",0,$K202*MAX(0,MIN(YEAR($C$3)*12+MONTH($C$3)-1,YEAR($I202)*12+MONTH($I202))-(YEAR($H202)*12+MONTH($H202))+1))</f>
        <v/>
      </c>
      <c r="N202" s="66">
        <f>IF(OR($J202="",$B202=""),0,IF(YEAR($B202)*12+MONTH($B202)&lt;=YEAR($C$3)*12+MONTH($C$3),$G202,0))</f>
        <v/>
      </c>
      <c r="O202" s="66">
        <f>IF(OR($J202="",$B202=""),0,IF(YEAR($B202)*12+MONTH($B202)&lt;=YEAR($C$3)*12+MONTH($C$3)-1,$G202,0))</f>
        <v/>
      </c>
      <c r="P202" s="66">
        <f>$M202-$O202</f>
        <v/>
      </c>
      <c r="Q202" s="66">
        <f>($L202-$M202)-($N202-$O202)</f>
        <v/>
      </c>
      <c r="R202" s="66">
        <f>$L202-$N202</f>
        <v/>
      </c>
      <c r="S202" s="65">
        <f>"Finance invoice"</f>
        <v/>
      </c>
      <c r="T202" s="65">
        <f>"Revenue"</f>
        <v/>
      </c>
    </row>
    <row r="203">
      <c r="A203" s="63">
        <f>ROW()-5</f>
        <v/>
      </c>
      <c r="B203" s="64">
        <f>IFERROR(INDEX(tbl_Finance[Date],$A203),"")</f>
        <v/>
      </c>
      <c r="C203" s="65">
        <f>IFERROR(INDEX(tbl_Finance[Xero Invoice No],$A203),"")</f>
        <v/>
      </c>
      <c r="D203" s="65">
        <f>IFERROR(INDEX(tbl_Finance[Client],$A203),"")</f>
        <v/>
      </c>
      <c r="E203" s="65">
        <f>IFERROR(INDEX(tbl_Finance[Job Number],$A203),"")</f>
        <v/>
      </c>
      <c r="F203" s="65">
        <f>IFERROR(INDEX(tbl_Finance[Cost Centre],$A203),"")</f>
        <v/>
      </c>
      <c r="G203" s="66">
        <f>IFERROR(INDEX(tbl_Finance[Ex GST],$A203),"")</f>
        <v/>
      </c>
      <c r="H203" s="64">
        <f>IFERROR(INDEX(tbl_Finance[Defer Start],$A203),"")</f>
        <v/>
      </c>
      <c r="I203" s="64">
        <f>IFERROR(INDEX(tbl_Finance[Defer End],$A203),"")</f>
        <v/>
      </c>
      <c r="J203" s="63">
        <f>IF(OR($H203="",$I203="",$G203=""),"",MAX(1,(YEAR($I203)-YEAR($H203))*12+MONTH($I203)-MONTH($H203)+1))</f>
        <v/>
      </c>
      <c r="K203" s="66">
        <f>IF($J203="","",$G203/$J203)</f>
        <v/>
      </c>
      <c r="L203" s="66">
        <f>IF($J203="",0,$K203*MAX(0,MIN(YEAR($C$3)*12+MONTH($C$3),YEAR($I203)*12+MONTH($I203))-(YEAR($H203)*12+MONTH($H203))+1))</f>
        <v/>
      </c>
      <c r="M203" s="66">
        <f>IF($J203="",0,$K203*MAX(0,MIN(YEAR($C$3)*12+MONTH($C$3)-1,YEAR($I203)*12+MONTH($I203))-(YEAR($H203)*12+MONTH($H203))+1))</f>
        <v/>
      </c>
      <c r="N203" s="66">
        <f>IF(OR($J203="",$B203=""),0,IF(YEAR($B203)*12+MONTH($B203)&lt;=YEAR($C$3)*12+MONTH($C$3),$G203,0))</f>
        <v/>
      </c>
      <c r="O203" s="66">
        <f>IF(OR($J203="",$B203=""),0,IF(YEAR($B203)*12+MONTH($B203)&lt;=YEAR($C$3)*12+MONTH($C$3)-1,$G203,0))</f>
        <v/>
      </c>
      <c r="P203" s="66">
        <f>$M203-$O203</f>
        <v/>
      </c>
      <c r="Q203" s="66">
        <f>($L203-$M203)-($N203-$O203)</f>
        <v/>
      </c>
      <c r="R203" s="66">
        <f>$L203-$N203</f>
        <v/>
      </c>
      <c r="S203" s="65">
        <f>"Finance invoice"</f>
        <v/>
      </c>
      <c r="T203" s="65">
        <f>"Revenue"</f>
        <v/>
      </c>
    </row>
    <row r="204">
      <c r="A204" s="63">
        <f>ROW()-5</f>
        <v/>
      </c>
      <c r="B204" s="64">
        <f>IFERROR(INDEX(tbl_Finance[Date],$A204),"")</f>
        <v/>
      </c>
      <c r="C204" s="65">
        <f>IFERROR(INDEX(tbl_Finance[Xero Invoice No],$A204),"")</f>
        <v/>
      </c>
      <c r="D204" s="65">
        <f>IFERROR(INDEX(tbl_Finance[Client],$A204),"")</f>
        <v/>
      </c>
      <c r="E204" s="65">
        <f>IFERROR(INDEX(tbl_Finance[Job Number],$A204),"")</f>
        <v/>
      </c>
      <c r="F204" s="65">
        <f>IFERROR(INDEX(tbl_Finance[Cost Centre],$A204),"")</f>
        <v/>
      </c>
      <c r="G204" s="66">
        <f>IFERROR(INDEX(tbl_Finance[Ex GST],$A204),"")</f>
        <v/>
      </c>
      <c r="H204" s="64">
        <f>IFERROR(INDEX(tbl_Finance[Defer Start],$A204),"")</f>
        <v/>
      </c>
      <c r="I204" s="64">
        <f>IFERROR(INDEX(tbl_Finance[Defer End],$A204),"")</f>
        <v/>
      </c>
      <c r="J204" s="63">
        <f>IF(OR($H204="",$I204="",$G204=""),"",MAX(1,(YEAR($I204)-YEAR($H204))*12+MONTH($I204)-MONTH($H204)+1))</f>
        <v/>
      </c>
      <c r="K204" s="66">
        <f>IF($J204="","",$G204/$J204)</f>
        <v/>
      </c>
      <c r="L204" s="66">
        <f>IF($J204="",0,$K204*MAX(0,MIN(YEAR($C$3)*12+MONTH($C$3),YEAR($I204)*12+MONTH($I204))-(YEAR($H204)*12+MONTH($H204))+1))</f>
        <v/>
      </c>
      <c r="M204" s="66">
        <f>IF($J204="",0,$K204*MAX(0,MIN(YEAR($C$3)*12+MONTH($C$3)-1,YEAR($I204)*12+MONTH($I204))-(YEAR($H204)*12+MONTH($H204))+1))</f>
        <v/>
      </c>
      <c r="N204" s="66">
        <f>IF(OR($J204="",$B204=""),0,IF(YEAR($B204)*12+MONTH($B204)&lt;=YEAR($C$3)*12+MONTH($C$3),$G204,0))</f>
        <v/>
      </c>
      <c r="O204" s="66">
        <f>IF(OR($J204="",$B204=""),0,IF(YEAR($B204)*12+MONTH($B204)&lt;=YEAR($C$3)*12+MONTH($C$3)-1,$G204,0))</f>
        <v/>
      </c>
      <c r="P204" s="66">
        <f>$M204-$O204</f>
        <v/>
      </c>
      <c r="Q204" s="66">
        <f>($L204-$M204)-($N204-$O204)</f>
        <v/>
      </c>
      <c r="R204" s="66">
        <f>$L204-$N204</f>
        <v/>
      </c>
      <c r="S204" s="65">
        <f>"Finance invoice"</f>
        <v/>
      </c>
      <c r="T204" s="65">
        <f>"Revenue"</f>
        <v/>
      </c>
    </row>
    <row r="205">
      <c r="A205" s="63">
        <f>ROW()-5</f>
        <v/>
      </c>
      <c r="B205" s="64">
        <f>IFERROR(INDEX(tbl_Finance[Date],$A205),"")</f>
        <v/>
      </c>
      <c r="C205" s="65">
        <f>IFERROR(INDEX(tbl_Finance[Xero Invoice No],$A205),"")</f>
        <v/>
      </c>
      <c r="D205" s="65">
        <f>IFERROR(INDEX(tbl_Finance[Client],$A205),"")</f>
        <v/>
      </c>
      <c r="E205" s="65">
        <f>IFERROR(INDEX(tbl_Finance[Job Number],$A205),"")</f>
        <v/>
      </c>
      <c r="F205" s="65">
        <f>IFERROR(INDEX(tbl_Finance[Cost Centre],$A205),"")</f>
        <v/>
      </c>
      <c r="G205" s="66">
        <f>IFERROR(INDEX(tbl_Finance[Ex GST],$A205),"")</f>
        <v/>
      </c>
      <c r="H205" s="64">
        <f>IFERROR(INDEX(tbl_Finance[Defer Start],$A205),"")</f>
        <v/>
      </c>
      <c r="I205" s="64">
        <f>IFERROR(INDEX(tbl_Finance[Defer End],$A205),"")</f>
        <v/>
      </c>
      <c r="J205" s="63">
        <f>IF(OR($H205="",$I205="",$G205=""),"",MAX(1,(YEAR($I205)-YEAR($H205))*12+MONTH($I205)-MONTH($H205)+1))</f>
        <v/>
      </c>
      <c r="K205" s="66">
        <f>IF($J205="","",$G205/$J205)</f>
        <v/>
      </c>
      <c r="L205" s="66">
        <f>IF($J205="",0,$K205*MAX(0,MIN(YEAR($C$3)*12+MONTH($C$3),YEAR($I205)*12+MONTH($I205))-(YEAR($H205)*12+MONTH($H205))+1))</f>
        <v/>
      </c>
      <c r="M205" s="66">
        <f>IF($J205="",0,$K205*MAX(0,MIN(YEAR($C$3)*12+MONTH($C$3)-1,YEAR($I205)*12+MONTH($I205))-(YEAR($H205)*12+MONTH($H205))+1))</f>
        <v/>
      </c>
      <c r="N205" s="66">
        <f>IF(OR($J205="",$B205=""),0,IF(YEAR($B205)*12+MONTH($B205)&lt;=YEAR($C$3)*12+MONTH($C$3),$G205,0))</f>
        <v/>
      </c>
      <c r="O205" s="66">
        <f>IF(OR($J205="",$B205=""),0,IF(YEAR($B205)*12+MONTH($B205)&lt;=YEAR($C$3)*12+MONTH($C$3)-1,$G205,0))</f>
        <v/>
      </c>
      <c r="P205" s="66">
        <f>$M205-$O205</f>
        <v/>
      </c>
      <c r="Q205" s="66">
        <f>($L205-$M205)-($N205-$O205)</f>
        <v/>
      </c>
      <c r="R205" s="66">
        <f>$L205-$N205</f>
        <v/>
      </c>
      <c r="S205" s="65">
        <f>"Finance invoice"</f>
        <v/>
      </c>
      <c r="T205" s="65">
        <f>"Revenue"</f>
        <v/>
      </c>
    </row>
    <row r="206">
      <c r="A206" s="63">
        <f>ROW()-5</f>
        <v/>
      </c>
      <c r="B206" s="64">
        <f>IFERROR(INDEX(tbl_Finance[Date],$A206),"")</f>
        <v/>
      </c>
      <c r="C206" s="65">
        <f>IFERROR(INDEX(tbl_Finance[Xero Invoice No],$A206),"")</f>
        <v/>
      </c>
      <c r="D206" s="65">
        <f>IFERROR(INDEX(tbl_Finance[Client],$A206),"")</f>
        <v/>
      </c>
      <c r="E206" s="65">
        <f>IFERROR(INDEX(tbl_Finance[Job Number],$A206),"")</f>
        <v/>
      </c>
      <c r="F206" s="65">
        <f>IFERROR(INDEX(tbl_Finance[Cost Centre],$A206),"")</f>
        <v/>
      </c>
      <c r="G206" s="66">
        <f>IFERROR(INDEX(tbl_Finance[Ex GST],$A206),"")</f>
        <v/>
      </c>
      <c r="H206" s="64">
        <f>IFERROR(INDEX(tbl_Finance[Defer Start],$A206),"")</f>
        <v/>
      </c>
      <c r="I206" s="64">
        <f>IFERROR(INDEX(tbl_Finance[Defer End],$A206),"")</f>
        <v/>
      </c>
      <c r="J206" s="63">
        <f>IF(OR($H206="",$I206="",$G206=""),"",MAX(1,(YEAR($I206)-YEAR($H206))*12+MONTH($I206)-MONTH($H206)+1))</f>
        <v/>
      </c>
      <c r="K206" s="66">
        <f>IF($J206="","",$G206/$J206)</f>
        <v/>
      </c>
      <c r="L206" s="66">
        <f>IF($J206="",0,$K206*MAX(0,MIN(YEAR($C$3)*12+MONTH($C$3),YEAR($I206)*12+MONTH($I206))-(YEAR($H206)*12+MONTH($H206))+1))</f>
        <v/>
      </c>
      <c r="M206" s="66">
        <f>IF($J206="",0,$K206*MAX(0,MIN(YEAR($C$3)*12+MONTH($C$3)-1,YEAR($I206)*12+MONTH($I206))-(YEAR($H206)*12+MONTH($H206))+1))</f>
        <v/>
      </c>
      <c r="N206" s="66">
        <f>IF(OR($J206="",$B206=""),0,IF(YEAR($B206)*12+MONTH($B206)&lt;=YEAR($C$3)*12+MONTH($C$3),$G206,0))</f>
        <v/>
      </c>
      <c r="O206" s="66">
        <f>IF(OR($J206="",$B206=""),0,IF(YEAR($B206)*12+MONTH($B206)&lt;=YEAR($C$3)*12+MONTH($C$3)-1,$G206,0))</f>
        <v/>
      </c>
      <c r="P206" s="66">
        <f>$M206-$O206</f>
        <v/>
      </c>
      <c r="Q206" s="66">
        <f>($L206-$M206)-($N206-$O206)</f>
        <v/>
      </c>
      <c r="R206" s="66">
        <f>$L206-$N206</f>
        <v/>
      </c>
      <c r="S206" s="65">
        <f>"Finance invoice"</f>
        <v/>
      </c>
      <c r="T206" s="65">
        <f>"Revenue"</f>
        <v/>
      </c>
    </row>
    <row r="207">
      <c r="A207" s="63">
        <f>ROW()-5</f>
        <v/>
      </c>
      <c r="B207" s="64">
        <f>IFERROR(INDEX(tbl_Finance[Date],$A207),"")</f>
        <v/>
      </c>
      <c r="C207" s="65">
        <f>IFERROR(INDEX(tbl_Finance[Xero Invoice No],$A207),"")</f>
        <v/>
      </c>
      <c r="D207" s="65">
        <f>IFERROR(INDEX(tbl_Finance[Client],$A207),"")</f>
        <v/>
      </c>
      <c r="E207" s="65">
        <f>IFERROR(INDEX(tbl_Finance[Job Number],$A207),"")</f>
        <v/>
      </c>
      <c r="F207" s="65">
        <f>IFERROR(INDEX(tbl_Finance[Cost Centre],$A207),"")</f>
        <v/>
      </c>
      <c r="G207" s="66">
        <f>IFERROR(INDEX(tbl_Finance[Ex GST],$A207),"")</f>
        <v/>
      </c>
      <c r="H207" s="64">
        <f>IFERROR(INDEX(tbl_Finance[Defer Start],$A207),"")</f>
        <v/>
      </c>
      <c r="I207" s="64">
        <f>IFERROR(INDEX(tbl_Finance[Defer End],$A207),"")</f>
        <v/>
      </c>
      <c r="J207" s="63">
        <f>IF(OR($H207="",$I207="",$G207=""),"",MAX(1,(YEAR($I207)-YEAR($H207))*12+MONTH($I207)-MONTH($H207)+1))</f>
        <v/>
      </c>
      <c r="K207" s="66">
        <f>IF($J207="","",$G207/$J207)</f>
        <v/>
      </c>
      <c r="L207" s="66">
        <f>IF($J207="",0,$K207*MAX(0,MIN(YEAR($C$3)*12+MONTH($C$3),YEAR($I207)*12+MONTH($I207))-(YEAR($H207)*12+MONTH($H207))+1))</f>
        <v/>
      </c>
      <c r="M207" s="66">
        <f>IF($J207="",0,$K207*MAX(0,MIN(YEAR($C$3)*12+MONTH($C$3)-1,YEAR($I207)*12+MONTH($I207))-(YEAR($H207)*12+MONTH($H207))+1))</f>
        <v/>
      </c>
      <c r="N207" s="66">
        <f>IF(OR($J207="",$B207=""),0,IF(YEAR($B207)*12+MONTH($B207)&lt;=YEAR($C$3)*12+MONTH($C$3),$G207,0))</f>
        <v/>
      </c>
      <c r="O207" s="66">
        <f>IF(OR($J207="",$B207=""),0,IF(YEAR($B207)*12+MONTH($B207)&lt;=YEAR($C$3)*12+MONTH($C$3)-1,$G207,0))</f>
        <v/>
      </c>
      <c r="P207" s="66">
        <f>$M207-$O207</f>
        <v/>
      </c>
      <c r="Q207" s="66">
        <f>($L207-$M207)-($N207-$O207)</f>
        <v/>
      </c>
      <c r="R207" s="66">
        <f>$L207-$N207</f>
        <v/>
      </c>
      <c r="S207" s="65">
        <f>"Finance invoice"</f>
        <v/>
      </c>
      <c r="T207" s="65">
        <f>"Revenue"</f>
        <v/>
      </c>
    </row>
    <row r="208">
      <c r="A208" s="63">
        <f>ROW()-5</f>
        <v/>
      </c>
      <c r="B208" s="64">
        <f>IFERROR(INDEX(tbl_Finance[Date],$A208),"")</f>
        <v/>
      </c>
      <c r="C208" s="65">
        <f>IFERROR(INDEX(tbl_Finance[Xero Invoice No],$A208),"")</f>
        <v/>
      </c>
      <c r="D208" s="65">
        <f>IFERROR(INDEX(tbl_Finance[Client],$A208),"")</f>
        <v/>
      </c>
      <c r="E208" s="65">
        <f>IFERROR(INDEX(tbl_Finance[Job Number],$A208),"")</f>
        <v/>
      </c>
      <c r="F208" s="65">
        <f>IFERROR(INDEX(tbl_Finance[Cost Centre],$A208),"")</f>
        <v/>
      </c>
      <c r="G208" s="66">
        <f>IFERROR(INDEX(tbl_Finance[Ex GST],$A208),"")</f>
        <v/>
      </c>
      <c r="H208" s="64">
        <f>IFERROR(INDEX(tbl_Finance[Defer Start],$A208),"")</f>
        <v/>
      </c>
      <c r="I208" s="64">
        <f>IFERROR(INDEX(tbl_Finance[Defer End],$A208),"")</f>
        <v/>
      </c>
      <c r="J208" s="63">
        <f>IF(OR($H208="",$I208="",$G208=""),"",MAX(1,(YEAR($I208)-YEAR($H208))*12+MONTH($I208)-MONTH($H208)+1))</f>
        <v/>
      </c>
      <c r="K208" s="66">
        <f>IF($J208="","",$G208/$J208)</f>
        <v/>
      </c>
      <c r="L208" s="66">
        <f>IF($J208="",0,$K208*MAX(0,MIN(YEAR($C$3)*12+MONTH($C$3),YEAR($I208)*12+MONTH($I208))-(YEAR($H208)*12+MONTH($H208))+1))</f>
        <v/>
      </c>
      <c r="M208" s="66">
        <f>IF($J208="",0,$K208*MAX(0,MIN(YEAR($C$3)*12+MONTH($C$3)-1,YEAR($I208)*12+MONTH($I208))-(YEAR($H208)*12+MONTH($H208))+1))</f>
        <v/>
      </c>
      <c r="N208" s="66">
        <f>IF(OR($J208="",$B208=""),0,IF(YEAR($B208)*12+MONTH($B208)&lt;=YEAR($C$3)*12+MONTH($C$3),$G208,0))</f>
        <v/>
      </c>
      <c r="O208" s="66">
        <f>IF(OR($J208="",$B208=""),0,IF(YEAR($B208)*12+MONTH($B208)&lt;=YEAR($C$3)*12+MONTH($C$3)-1,$G208,0))</f>
        <v/>
      </c>
      <c r="P208" s="66">
        <f>$M208-$O208</f>
        <v/>
      </c>
      <c r="Q208" s="66">
        <f>($L208-$M208)-($N208-$O208)</f>
        <v/>
      </c>
      <c r="R208" s="66">
        <f>$L208-$N208</f>
        <v/>
      </c>
      <c r="S208" s="65">
        <f>"Finance invoice"</f>
        <v/>
      </c>
      <c r="T208" s="65">
        <f>"Revenue"</f>
        <v/>
      </c>
    </row>
    <row r="209">
      <c r="A209" s="63">
        <f>ROW()-5</f>
        <v/>
      </c>
      <c r="B209" s="64">
        <f>IFERROR(INDEX(tbl_Finance[Date],$A209),"")</f>
        <v/>
      </c>
      <c r="C209" s="65">
        <f>IFERROR(INDEX(tbl_Finance[Xero Invoice No],$A209),"")</f>
        <v/>
      </c>
      <c r="D209" s="65">
        <f>IFERROR(INDEX(tbl_Finance[Client],$A209),"")</f>
        <v/>
      </c>
      <c r="E209" s="65">
        <f>IFERROR(INDEX(tbl_Finance[Job Number],$A209),"")</f>
        <v/>
      </c>
      <c r="F209" s="65">
        <f>IFERROR(INDEX(tbl_Finance[Cost Centre],$A209),"")</f>
        <v/>
      </c>
      <c r="G209" s="66">
        <f>IFERROR(INDEX(tbl_Finance[Ex GST],$A209),"")</f>
        <v/>
      </c>
      <c r="H209" s="64">
        <f>IFERROR(INDEX(tbl_Finance[Defer Start],$A209),"")</f>
        <v/>
      </c>
      <c r="I209" s="64">
        <f>IFERROR(INDEX(tbl_Finance[Defer End],$A209),"")</f>
        <v/>
      </c>
      <c r="J209" s="63">
        <f>IF(OR($H209="",$I209="",$G209=""),"",MAX(1,(YEAR($I209)-YEAR($H209))*12+MONTH($I209)-MONTH($H209)+1))</f>
        <v/>
      </c>
      <c r="K209" s="66">
        <f>IF($J209="","",$G209/$J209)</f>
        <v/>
      </c>
      <c r="L209" s="66">
        <f>IF($J209="",0,$K209*MAX(0,MIN(YEAR($C$3)*12+MONTH($C$3),YEAR($I209)*12+MONTH($I209))-(YEAR($H209)*12+MONTH($H209))+1))</f>
        <v/>
      </c>
      <c r="M209" s="66">
        <f>IF($J209="",0,$K209*MAX(0,MIN(YEAR($C$3)*12+MONTH($C$3)-1,YEAR($I209)*12+MONTH($I209))-(YEAR($H209)*12+MONTH($H209))+1))</f>
        <v/>
      </c>
      <c r="N209" s="66">
        <f>IF(OR($J209="",$B209=""),0,IF(YEAR($B209)*12+MONTH($B209)&lt;=YEAR($C$3)*12+MONTH($C$3),$G209,0))</f>
        <v/>
      </c>
      <c r="O209" s="66">
        <f>IF(OR($J209="",$B209=""),0,IF(YEAR($B209)*12+MONTH($B209)&lt;=YEAR($C$3)*12+MONTH($C$3)-1,$G209,0))</f>
        <v/>
      </c>
      <c r="P209" s="66">
        <f>$M209-$O209</f>
        <v/>
      </c>
      <c r="Q209" s="66">
        <f>($L209-$M209)-($N209-$O209)</f>
        <v/>
      </c>
      <c r="R209" s="66">
        <f>$L209-$N209</f>
        <v/>
      </c>
      <c r="S209" s="65">
        <f>"Finance invoice"</f>
        <v/>
      </c>
      <c r="T209" s="65">
        <f>"Revenue"</f>
        <v/>
      </c>
    </row>
    <row r="210">
      <c r="A210" s="63">
        <f>ROW()-5</f>
        <v/>
      </c>
      <c r="B210" s="64">
        <f>IFERROR(INDEX(tbl_Finance[Date],$A210),"")</f>
        <v/>
      </c>
      <c r="C210" s="65">
        <f>IFERROR(INDEX(tbl_Finance[Xero Invoice No],$A210),"")</f>
        <v/>
      </c>
      <c r="D210" s="65">
        <f>IFERROR(INDEX(tbl_Finance[Client],$A210),"")</f>
        <v/>
      </c>
      <c r="E210" s="65">
        <f>IFERROR(INDEX(tbl_Finance[Job Number],$A210),"")</f>
        <v/>
      </c>
      <c r="F210" s="65">
        <f>IFERROR(INDEX(tbl_Finance[Cost Centre],$A210),"")</f>
        <v/>
      </c>
      <c r="G210" s="66">
        <f>IFERROR(INDEX(tbl_Finance[Ex GST],$A210),"")</f>
        <v/>
      </c>
      <c r="H210" s="64">
        <f>IFERROR(INDEX(tbl_Finance[Defer Start],$A210),"")</f>
        <v/>
      </c>
      <c r="I210" s="64">
        <f>IFERROR(INDEX(tbl_Finance[Defer End],$A210),"")</f>
        <v/>
      </c>
      <c r="J210" s="63">
        <f>IF(OR($H210="",$I210="",$G210=""),"",MAX(1,(YEAR($I210)-YEAR($H210))*12+MONTH($I210)-MONTH($H210)+1))</f>
        <v/>
      </c>
      <c r="K210" s="66">
        <f>IF($J210="","",$G210/$J210)</f>
        <v/>
      </c>
      <c r="L210" s="66">
        <f>IF($J210="",0,$K210*MAX(0,MIN(YEAR($C$3)*12+MONTH($C$3),YEAR($I210)*12+MONTH($I210))-(YEAR($H210)*12+MONTH($H210))+1))</f>
        <v/>
      </c>
      <c r="M210" s="66">
        <f>IF($J210="",0,$K210*MAX(0,MIN(YEAR($C$3)*12+MONTH($C$3)-1,YEAR($I210)*12+MONTH($I210))-(YEAR($H210)*12+MONTH($H210))+1))</f>
        <v/>
      </c>
      <c r="N210" s="66">
        <f>IF(OR($J210="",$B210=""),0,IF(YEAR($B210)*12+MONTH($B210)&lt;=YEAR($C$3)*12+MONTH($C$3),$G210,0))</f>
        <v/>
      </c>
      <c r="O210" s="66">
        <f>IF(OR($J210="",$B210=""),0,IF(YEAR($B210)*12+MONTH($B210)&lt;=YEAR($C$3)*12+MONTH($C$3)-1,$G210,0))</f>
        <v/>
      </c>
      <c r="P210" s="66">
        <f>$M210-$O210</f>
        <v/>
      </c>
      <c r="Q210" s="66">
        <f>($L210-$M210)-($N210-$O210)</f>
        <v/>
      </c>
      <c r="R210" s="66">
        <f>$L210-$N210</f>
        <v/>
      </c>
      <c r="S210" s="65">
        <f>"Finance invoice"</f>
        <v/>
      </c>
      <c r="T210" s="65">
        <f>"Revenue"</f>
        <v/>
      </c>
    </row>
    <row r="211">
      <c r="A211" s="63">
        <f>ROW()-5</f>
        <v/>
      </c>
      <c r="B211" s="64">
        <f>IFERROR(INDEX(tbl_Finance[Date],$A211),"")</f>
        <v/>
      </c>
      <c r="C211" s="65">
        <f>IFERROR(INDEX(tbl_Finance[Xero Invoice No],$A211),"")</f>
        <v/>
      </c>
      <c r="D211" s="65">
        <f>IFERROR(INDEX(tbl_Finance[Client],$A211),"")</f>
        <v/>
      </c>
      <c r="E211" s="65">
        <f>IFERROR(INDEX(tbl_Finance[Job Number],$A211),"")</f>
        <v/>
      </c>
      <c r="F211" s="65">
        <f>IFERROR(INDEX(tbl_Finance[Cost Centre],$A211),"")</f>
        <v/>
      </c>
      <c r="G211" s="66">
        <f>IFERROR(INDEX(tbl_Finance[Ex GST],$A211),"")</f>
        <v/>
      </c>
      <c r="H211" s="64">
        <f>IFERROR(INDEX(tbl_Finance[Defer Start],$A211),"")</f>
        <v/>
      </c>
      <c r="I211" s="64">
        <f>IFERROR(INDEX(tbl_Finance[Defer End],$A211),"")</f>
        <v/>
      </c>
      <c r="J211" s="63">
        <f>IF(OR($H211="",$I211="",$G211=""),"",MAX(1,(YEAR($I211)-YEAR($H211))*12+MONTH($I211)-MONTH($H211)+1))</f>
        <v/>
      </c>
      <c r="K211" s="66">
        <f>IF($J211="","",$G211/$J211)</f>
        <v/>
      </c>
      <c r="L211" s="66">
        <f>IF($J211="",0,$K211*MAX(0,MIN(YEAR($C$3)*12+MONTH($C$3),YEAR($I211)*12+MONTH($I211))-(YEAR($H211)*12+MONTH($H211))+1))</f>
        <v/>
      </c>
      <c r="M211" s="66">
        <f>IF($J211="",0,$K211*MAX(0,MIN(YEAR($C$3)*12+MONTH($C$3)-1,YEAR($I211)*12+MONTH($I211))-(YEAR($H211)*12+MONTH($H211))+1))</f>
        <v/>
      </c>
      <c r="N211" s="66">
        <f>IF(OR($J211="",$B211=""),0,IF(YEAR($B211)*12+MONTH($B211)&lt;=YEAR($C$3)*12+MONTH($C$3),$G211,0))</f>
        <v/>
      </c>
      <c r="O211" s="66">
        <f>IF(OR($J211="",$B211=""),0,IF(YEAR($B211)*12+MONTH($B211)&lt;=YEAR($C$3)*12+MONTH($C$3)-1,$G211,0))</f>
        <v/>
      </c>
      <c r="P211" s="66">
        <f>$M211-$O211</f>
        <v/>
      </c>
      <c r="Q211" s="66">
        <f>($L211-$M211)-($N211-$O211)</f>
        <v/>
      </c>
      <c r="R211" s="66">
        <f>$L211-$N211</f>
        <v/>
      </c>
      <c r="S211" s="65">
        <f>"Finance invoice"</f>
        <v/>
      </c>
      <c r="T211" s="65">
        <f>"Revenue"</f>
        <v/>
      </c>
    </row>
    <row r="212">
      <c r="A212" s="63">
        <f>ROW()-5</f>
        <v/>
      </c>
      <c r="B212" s="64">
        <f>IFERROR(INDEX(tbl_Finance[Date],$A212),"")</f>
        <v/>
      </c>
      <c r="C212" s="65">
        <f>IFERROR(INDEX(tbl_Finance[Xero Invoice No],$A212),"")</f>
        <v/>
      </c>
      <c r="D212" s="65">
        <f>IFERROR(INDEX(tbl_Finance[Client],$A212),"")</f>
        <v/>
      </c>
      <c r="E212" s="65">
        <f>IFERROR(INDEX(tbl_Finance[Job Number],$A212),"")</f>
        <v/>
      </c>
      <c r="F212" s="65">
        <f>IFERROR(INDEX(tbl_Finance[Cost Centre],$A212),"")</f>
        <v/>
      </c>
      <c r="G212" s="66">
        <f>IFERROR(INDEX(tbl_Finance[Ex GST],$A212),"")</f>
        <v/>
      </c>
      <c r="H212" s="64">
        <f>IFERROR(INDEX(tbl_Finance[Defer Start],$A212),"")</f>
        <v/>
      </c>
      <c r="I212" s="64">
        <f>IFERROR(INDEX(tbl_Finance[Defer End],$A212),"")</f>
        <v/>
      </c>
      <c r="J212" s="63">
        <f>IF(OR($H212="",$I212="",$G212=""),"",MAX(1,(YEAR($I212)-YEAR($H212))*12+MONTH($I212)-MONTH($H212)+1))</f>
        <v/>
      </c>
      <c r="K212" s="66">
        <f>IF($J212="","",$G212/$J212)</f>
        <v/>
      </c>
      <c r="L212" s="66">
        <f>IF($J212="",0,$K212*MAX(0,MIN(YEAR($C$3)*12+MONTH($C$3),YEAR($I212)*12+MONTH($I212))-(YEAR($H212)*12+MONTH($H212))+1))</f>
        <v/>
      </c>
      <c r="M212" s="66">
        <f>IF($J212="",0,$K212*MAX(0,MIN(YEAR($C$3)*12+MONTH($C$3)-1,YEAR($I212)*12+MONTH($I212))-(YEAR($H212)*12+MONTH($H212))+1))</f>
        <v/>
      </c>
      <c r="N212" s="66">
        <f>IF(OR($J212="",$B212=""),0,IF(YEAR($B212)*12+MONTH($B212)&lt;=YEAR($C$3)*12+MONTH($C$3),$G212,0))</f>
        <v/>
      </c>
      <c r="O212" s="66">
        <f>IF(OR($J212="",$B212=""),0,IF(YEAR($B212)*12+MONTH($B212)&lt;=YEAR($C$3)*12+MONTH($C$3)-1,$G212,0))</f>
        <v/>
      </c>
      <c r="P212" s="66">
        <f>$M212-$O212</f>
        <v/>
      </c>
      <c r="Q212" s="66">
        <f>($L212-$M212)-($N212-$O212)</f>
        <v/>
      </c>
      <c r="R212" s="66">
        <f>$L212-$N212</f>
        <v/>
      </c>
      <c r="S212" s="65">
        <f>"Finance invoice"</f>
        <v/>
      </c>
      <c r="T212" s="65">
        <f>"Revenue"</f>
        <v/>
      </c>
    </row>
    <row r="213">
      <c r="A213" s="63">
        <f>ROW()-5</f>
        <v/>
      </c>
      <c r="B213" s="64">
        <f>IFERROR(INDEX(tbl_Finance[Date],$A213),"")</f>
        <v/>
      </c>
      <c r="C213" s="65">
        <f>IFERROR(INDEX(tbl_Finance[Xero Invoice No],$A213),"")</f>
        <v/>
      </c>
      <c r="D213" s="65">
        <f>IFERROR(INDEX(tbl_Finance[Client],$A213),"")</f>
        <v/>
      </c>
      <c r="E213" s="65">
        <f>IFERROR(INDEX(tbl_Finance[Job Number],$A213),"")</f>
        <v/>
      </c>
      <c r="F213" s="65">
        <f>IFERROR(INDEX(tbl_Finance[Cost Centre],$A213),"")</f>
        <v/>
      </c>
      <c r="G213" s="66">
        <f>IFERROR(INDEX(tbl_Finance[Ex GST],$A213),"")</f>
        <v/>
      </c>
      <c r="H213" s="64">
        <f>IFERROR(INDEX(tbl_Finance[Defer Start],$A213),"")</f>
        <v/>
      </c>
      <c r="I213" s="64">
        <f>IFERROR(INDEX(tbl_Finance[Defer End],$A213),"")</f>
        <v/>
      </c>
      <c r="J213" s="63">
        <f>IF(OR($H213="",$I213="",$G213=""),"",MAX(1,(YEAR($I213)-YEAR($H213))*12+MONTH($I213)-MONTH($H213)+1))</f>
        <v/>
      </c>
      <c r="K213" s="66">
        <f>IF($J213="","",$G213/$J213)</f>
        <v/>
      </c>
      <c r="L213" s="66">
        <f>IF($J213="",0,$K213*MAX(0,MIN(YEAR($C$3)*12+MONTH($C$3),YEAR($I213)*12+MONTH($I213))-(YEAR($H213)*12+MONTH($H213))+1))</f>
        <v/>
      </c>
      <c r="M213" s="66">
        <f>IF($J213="",0,$K213*MAX(0,MIN(YEAR($C$3)*12+MONTH($C$3)-1,YEAR($I213)*12+MONTH($I213))-(YEAR($H213)*12+MONTH($H213))+1))</f>
        <v/>
      </c>
      <c r="N213" s="66">
        <f>IF(OR($J213="",$B213=""),0,IF(YEAR($B213)*12+MONTH($B213)&lt;=YEAR($C$3)*12+MONTH($C$3),$G213,0))</f>
        <v/>
      </c>
      <c r="O213" s="66">
        <f>IF(OR($J213="",$B213=""),0,IF(YEAR($B213)*12+MONTH($B213)&lt;=YEAR($C$3)*12+MONTH($C$3)-1,$G213,0))</f>
        <v/>
      </c>
      <c r="P213" s="66">
        <f>$M213-$O213</f>
        <v/>
      </c>
      <c r="Q213" s="66">
        <f>($L213-$M213)-($N213-$O213)</f>
        <v/>
      </c>
      <c r="R213" s="66">
        <f>$L213-$N213</f>
        <v/>
      </c>
      <c r="S213" s="65">
        <f>"Finance invoice"</f>
        <v/>
      </c>
      <c r="T213" s="65">
        <f>"Revenue"</f>
        <v/>
      </c>
    </row>
    <row r="214">
      <c r="A214" s="63">
        <f>ROW()-5</f>
        <v/>
      </c>
      <c r="B214" s="64">
        <f>IFERROR(INDEX(tbl_Finance[Date],$A214),"")</f>
        <v/>
      </c>
      <c r="C214" s="65">
        <f>IFERROR(INDEX(tbl_Finance[Xero Invoice No],$A214),"")</f>
        <v/>
      </c>
      <c r="D214" s="65">
        <f>IFERROR(INDEX(tbl_Finance[Client],$A214),"")</f>
        <v/>
      </c>
      <c r="E214" s="65">
        <f>IFERROR(INDEX(tbl_Finance[Job Number],$A214),"")</f>
        <v/>
      </c>
      <c r="F214" s="65">
        <f>IFERROR(INDEX(tbl_Finance[Cost Centre],$A214),"")</f>
        <v/>
      </c>
      <c r="G214" s="66">
        <f>IFERROR(INDEX(tbl_Finance[Ex GST],$A214),"")</f>
        <v/>
      </c>
      <c r="H214" s="64">
        <f>IFERROR(INDEX(tbl_Finance[Defer Start],$A214),"")</f>
        <v/>
      </c>
      <c r="I214" s="64">
        <f>IFERROR(INDEX(tbl_Finance[Defer End],$A214),"")</f>
        <v/>
      </c>
      <c r="J214" s="63">
        <f>IF(OR($H214="",$I214="",$G214=""),"",MAX(1,(YEAR($I214)-YEAR($H214))*12+MONTH($I214)-MONTH($H214)+1))</f>
        <v/>
      </c>
      <c r="K214" s="66">
        <f>IF($J214="","",$G214/$J214)</f>
        <v/>
      </c>
      <c r="L214" s="66">
        <f>IF($J214="",0,$K214*MAX(0,MIN(YEAR($C$3)*12+MONTH($C$3),YEAR($I214)*12+MONTH($I214))-(YEAR($H214)*12+MONTH($H214))+1))</f>
        <v/>
      </c>
      <c r="M214" s="66">
        <f>IF($J214="",0,$K214*MAX(0,MIN(YEAR($C$3)*12+MONTH($C$3)-1,YEAR($I214)*12+MONTH($I214))-(YEAR($H214)*12+MONTH($H214))+1))</f>
        <v/>
      </c>
      <c r="N214" s="66">
        <f>IF(OR($J214="",$B214=""),0,IF(YEAR($B214)*12+MONTH($B214)&lt;=YEAR($C$3)*12+MONTH($C$3),$G214,0))</f>
        <v/>
      </c>
      <c r="O214" s="66">
        <f>IF(OR($J214="",$B214=""),0,IF(YEAR($B214)*12+MONTH($B214)&lt;=YEAR($C$3)*12+MONTH($C$3)-1,$G214,0))</f>
        <v/>
      </c>
      <c r="P214" s="66">
        <f>$M214-$O214</f>
        <v/>
      </c>
      <c r="Q214" s="66">
        <f>($L214-$M214)-($N214-$O214)</f>
        <v/>
      </c>
      <c r="R214" s="66">
        <f>$L214-$N214</f>
        <v/>
      </c>
      <c r="S214" s="65">
        <f>"Finance invoice"</f>
        <v/>
      </c>
      <c r="T214" s="65">
        <f>"Revenue"</f>
        <v/>
      </c>
    </row>
    <row r="215">
      <c r="A215" s="63">
        <f>ROW()-5</f>
        <v/>
      </c>
      <c r="B215" s="64">
        <f>IFERROR(INDEX(tbl_Finance[Date],$A215),"")</f>
        <v/>
      </c>
      <c r="C215" s="65">
        <f>IFERROR(INDEX(tbl_Finance[Xero Invoice No],$A215),"")</f>
        <v/>
      </c>
      <c r="D215" s="65">
        <f>IFERROR(INDEX(tbl_Finance[Client],$A215),"")</f>
        <v/>
      </c>
      <c r="E215" s="65">
        <f>IFERROR(INDEX(tbl_Finance[Job Number],$A215),"")</f>
        <v/>
      </c>
      <c r="F215" s="65">
        <f>IFERROR(INDEX(tbl_Finance[Cost Centre],$A215),"")</f>
        <v/>
      </c>
      <c r="G215" s="66">
        <f>IFERROR(INDEX(tbl_Finance[Ex GST],$A215),"")</f>
        <v/>
      </c>
      <c r="H215" s="64">
        <f>IFERROR(INDEX(tbl_Finance[Defer Start],$A215),"")</f>
        <v/>
      </c>
      <c r="I215" s="64">
        <f>IFERROR(INDEX(tbl_Finance[Defer End],$A215),"")</f>
        <v/>
      </c>
      <c r="J215" s="63">
        <f>IF(OR($H215="",$I215="",$G215=""),"",MAX(1,(YEAR($I215)-YEAR($H215))*12+MONTH($I215)-MONTH($H215)+1))</f>
        <v/>
      </c>
      <c r="K215" s="66">
        <f>IF($J215="","",$G215/$J215)</f>
        <v/>
      </c>
      <c r="L215" s="66">
        <f>IF($J215="",0,$K215*MAX(0,MIN(YEAR($C$3)*12+MONTH($C$3),YEAR($I215)*12+MONTH($I215))-(YEAR($H215)*12+MONTH($H215))+1))</f>
        <v/>
      </c>
      <c r="M215" s="66">
        <f>IF($J215="",0,$K215*MAX(0,MIN(YEAR($C$3)*12+MONTH($C$3)-1,YEAR($I215)*12+MONTH($I215))-(YEAR($H215)*12+MONTH($H215))+1))</f>
        <v/>
      </c>
      <c r="N215" s="66">
        <f>IF(OR($J215="",$B215=""),0,IF(YEAR($B215)*12+MONTH($B215)&lt;=YEAR($C$3)*12+MONTH($C$3),$G215,0))</f>
        <v/>
      </c>
      <c r="O215" s="66">
        <f>IF(OR($J215="",$B215=""),0,IF(YEAR($B215)*12+MONTH($B215)&lt;=YEAR($C$3)*12+MONTH($C$3)-1,$G215,0))</f>
        <v/>
      </c>
      <c r="P215" s="66">
        <f>$M215-$O215</f>
        <v/>
      </c>
      <c r="Q215" s="66">
        <f>($L215-$M215)-($N215-$O215)</f>
        <v/>
      </c>
      <c r="R215" s="66">
        <f>$L215-$N215</f>
        <v/>
      </c>
      <c r="S215" s="65">
        <f>"Finance invoice"</f>
        <v/>
      </c>
      <c r="T215" s="65">
        <f>"Revenue"</f>
        <v/>
      </c>
    </row>
    <row r="216">
      <c r="A216" s="63">
        <f>ROW()-5</f>
        <v/>
      </c>
      <c r="B216" s="64">
        <f>IFERROR(INDEX(tbl_Finance[Date],$A216),"")</f>
        <v/>
      </c>
      <c r="C216" s="65">
        <f>IFERROR(INDEX(tbl_Finance[Xero Invoice No],$A216),"")</f>
        <v/>
      </c>
      <c r="D216" s="65">
        <f>IFERROR(INDEX(tbl_Finance[Client],$A216),"")</f>
        <v/>
      </c>
      <c r="E216" s="65">
        <f>IFERROR(INDEX(tbl_Finance[Job Number],$A216),"")</f>
        <v/>
      </c>
      <c r="F216" s="65">
        <f>IFERROR(INDEX(tbl_Finance[Cost Centre],$A216),"")</f>
        <v/>
      </c>
      <c r="G216" s="66">
        <f>IFERROR(INDEX(tbl_Finance[Ex GST],$A216),"")</f>
        <v/>
      </c>
      <c r="H216" s="64">
        <f>IFERROR(INDEX(tbl_Finance[Defer Start],$A216),"")</f>
        <v/>
      </c>
      <c r="I216" s="64">
        <f>IFERROR(INDEX(tbl_Finance[Defer End],$A216),"")</f>
        <v/>
      </c>
      <c r="J216" s="63">
        <f>IF(OR($H216="",$I216="",$G216=""),"",MAX(1,(YEAR($I216)-YEAR($H216))*12+MONTH($I216)-MONTH($H216)+1))</f>
        <v/>
      </c>
      <c r="K216" s="66">
        <f>IF($J216="","",$G216/$J216)</f>
        <v/>
      </c>
      <c r="L216" s="66">
        <f>IF($J216="",0,$K216*MAX(0,MIN(YEAR($C$3)*12+MONTH($C$3),YEAR($I216)*12+MONTH($I216))-(YEAR($H216)*12+MONTH($H216))+1))</f>
        <v/>
      </c>
      <c r="M216" s="66">
        <f>IF($J216="",0,$K216*MAX(0,MIN(YEAR($C$3)*12+MONTH($C$3)-1,YEAR($I216)*12+MONTH($I216))-(YEAR($H216)*12+MONTH($H216))+1))</f>
        <v/>
      </c>
      <c r="N216" s="66">
        <f>IF(OR($J216="",$B216=""),0,IF(YEAR($B216)*12+MONTH($B216)&lt;=YEAR($C$3)*12+MONTH($C$3),$G216,0))</f>
        <v/>
      </c>
      <c r="O216" s="66">
        <f>IF(OR($J216="",$B216=""),0,IF(YEAR($B216)*12+MONTH($B216)&lt;=YEAR($C$3)*12+MONTH($C$3)-1,$G216,0))</f>
        <v/>
      </c>
      <c r="P216" s="66">
        <f>$M216-$O216</f>
        <v/>
      </c>
      <c r="Q216" s="66">
        <f>($L216-$M216)-($N216-$O216)</f>
        <v/>
      </c>
      <c r="R216" s="66">
        <f>$L216-$N216</f>
        <v/>
      </c>
      <c r="S216" s="65">
        <f>"Finance invoice"</f>
        <v/>
      </c>
      <c r="T216" s="65">
        <f>"Revenue"</f>
        <v/>
      </c>
    </row>
    <row r="217">
      <c r="A217" s="63">
        <f>ROW()-5</f>
        <v/>
      </c>
      <c r="B217" s="64">
        <f>IFERROR(INDEX(tbl_Finance[Date],$A217),"")</f>
        <v/>
      </c>
      <c r="C217" s="65">
        <f>IFERROR(INDEX(tbl_Finance[Xero Invoice No],$A217),"")</f>
        <v/>
      </c>
      <c r="D217" s="65">
        <f>IFERROR(INDEX(tbl_Finance[Client],$A217),"")</f>
        <v/>
      </c>
      <c r="E217" s="65">
        <f>IFERROR(INDEX(tbl_Finance[Job Number],$A217),"")</f>
        <v/>
      </c>
      <c r="F217" s="65">
        <f>IFERROR(INDEX(tbl_Finance[Cost Centre],$A217),"")</f>
        <v/>
      </c>
      <c r="G217" s="66">
        <f>IFERROR(INDEX(tbl_Finance[Ex GST],$A217),"")</f>
        <v/>
      </c>
      <c r="H217" s="64">
        <f>IFERROR(INDEX(tbl_Finance[Defer Start],$A217),"")</f>
        <v/>
      </c>
      <c r="I217" s="64">
        <f>IFERROR(INDEX(tbl_Finance[Defer End],$A217),"")</f>
        <v/>
      </c>
      <c r="J217" s="63">
        <f>IF(OR($H217="",$I217="",$G217=""),"",MAX(1,(YEAR($I217)-YEAR($H217))*12+MONTH($I217)-MONTH($H217)+1))</f>
        <v/>
      </c>
      <c r="K217" s="66">
        <f>IF($J217="","",$G217/$J217)</f>
        <v/>
      </c>
      <c r="L217" s="66">
        <f>IF($J217="",0,$K217*MAX(0,MIN(YEAR($C$3)*12+MONTH($C$3),YEAR($I217)*12+MONTH($I217))-(YEAR($H217)*12+MONTH($H217))+1))</f>
        <v/>
      </c>
      <c r="M217" s="66">
        <f>IF($J217="",0,$K217*MAX(0,MIN(YEAR($C$3)*12+MONTH($C$3)-1,YEAR($I217)*12+MONTH($I217))-(YEAR($H217)*12+MONTH($H217))+1))</f>
        <v/>
      </c>
      <c r="N217" s="66">
        <f>IF(OR($J217="",$B217=""),0,IF(YEAR($B217)*12+MONTH($B217)&lt;=YEAR($C$3)*12+MONTH($C$3),$G217,0))</f>
        <v/>
      </c>
      <c r="O217" s="66">
        <f>IF(OR($J217="",$B217=""),0,IF(YEAR($B217)*12+MONTH($B217)&lt;=YEAR($C$3)*12+MONTH($C$3)-1,$G217,0))</f>
        <v/>
      </c>
      <c r="P217" s="66">
        <f>$M217-$O217</f>
        <v/>
      </c>
      <c r="Q217" s="66">
        <f>($L217-$M217)-($N217-$O217)</f>
        <v/>
      </c>
      <c r="R217" s="66">
        <f>$L217-$N217</f>
        <v/>
      </c>
      <c r="S217" s="65">
        <f>"Finance invoice"</f>
        <v/>
      </c>
      <c r="T217" s="65">
        <f>"Revenue"</f>
        <v/>
      </c>
    </row>
    <row r="218">
      <c r="A218" s="63">
        <f>ROW()-5</f>
        <v/>
      </c>
      <c r="B218" s="64">
        <f>IFERROR(INDEX(tbl_Finance[Date],$A218),"")</f>
        <v/>
      </c>
      <c r="C218" s="65">
        <f>IFERROR(INDEX(tbl_Finance[Xero Invoice No],$A218),"")</f>
        <v/>
      </c>
      <c r="D218" s="65">
        <f>IFERROR(INDEX(tbl_Finance[Client],$A218),"")</f>
        <v/>
      </c>
      <c r="E218" s="65">
        <f>IFERROR(INDEX(tbl_Finance[Job Number],$A218),"")</f>
        <v/>
      </c>
      <c r="F218" s="65">
        <f>IFERROR(INDEX(tbl_Finance[Cost Centre],$A218),"")</f>
        <v/>
      </c>
      <c r="G218" s="66">
        <f>IFERROR(INDEX(tbl_Finance[Ex GST],$A218),"")</f>
        <v/>
      </c>
      <c r="H218" s="64">
        <f>IFERROR(INDEX(tbl_Finance[Defer Start],$A218),"")</f>
        <v/>
      </c>
      <c r="I218" s="64">
        <f>IFERROR(INDEX(tbl_Finance[Defer End],$A218),"")</f>
        <v/>
      </c>
      <c r="J218" s="63">
        <f>IF(OR($H218="",$I218="",$G218=""),"",MAX(1,(YEAR($I218)-YEAR($H218))*12+MONTH($I218)-MONTH($H218)+1))</f>
        <v/>
      </c>
      <c r="K218" s="66">
        <f>IF($J218="","",$G218/$J218)</f>
        <v/>
      </c>
      <c r="L218" s="66">
        <f>IF($J218="",0,$K218*MAX(0,MIN(YEAR($C$3)*12+MONTH($C$3),YEAR($I218)*12+MONTH($I218))-(YEAR($H218)*12+MONTH($H218))+1))</f>
        <v/>
      </c>
      <c r="M218" s="66">
        <f>IF($J218="",0,$K218*MAX(0,MIN(YEAR($C$3)*12+MONTH($C$3)-1,YEAR($I218)*12+MONTH($I218))-(YEAR($H218)*12+MONTH($H218))+1))</f>
        <v/>
      </c>
      <c r="N218" s="66">
        <f>IF(OR($J218="",$B218=""),0,IF(YEAR($B218)*12+MONTH($B218)&lt;=YEAR($C$3)*12+MONTH($C$3),$G218,0))</f>
        <v/>
      </c>
      <c r="O218" s="66">
        <f>IF(OR($J218="",$B218=""),0,IF(YEAR($B218)*12+MONTH($B218)&lt;=YEAR($C$3)*12+MONTH($C$3)-1,$G218,0))</f>
        <v/>
      </c>
      <c r="P218" s="66">
        <f>$M218-$O218</f>
        <v/>
      </c>
      <c r="Q218" s="66">
        <f>($L218-$M218)-($N218-$O218)</f>
        <v/>
      </c>
      <c r="R218" s="66">
        <f>$L218-$N218</f>
        <v/>
      </c>
      <c r="S218" s="65">
        <f>"Finance invoice"</f>
        <v/>
      </c>
      <c r="T218" s="65">
        <f>"Revenue"</f>
        <v/>
      </c>
    </row>
    <row r="219">
      <c r="A219" s="63">
        <f>ROW()-5</f>
        <v/>
      </c>
      <c r="B219" s="64">
        <f>IFERROR(INDEX(tbl_Finance[Date],$A219),"")</f>
        <v/>
      </c>
      <c r="C219" s="65">
        <f>IFERROR(INDEX(tbl_Finance[Xero Invoice No],$A219),"")</f>
        <v/>
      </c>
      <c r="D219" s="65">
        <f>IFERROR(INDEX(tbl_Finance[Client],$A219),"")</f>
        <v/>
      </c>
      <c r="E219" s="65">
        <f>IFERROR(INDEX(tbl_Finance[Job Number],$A219),"")</f>
        <v/>
      </c>
      <c r="F219" s="65">
        <f>IFERROR(INDEX(tbl_Finance[Cost Centre],$A219),"")</f>
        <v/>
      </c>
      <c r="G219" s="66">
        <f>IFERROR(INDEX(tbl_Finance[Ex GST],$A219),"")</f>
        <v/>
      </c>
      <c r="H219" s="64">
        <f>IFERROR(INDEX(tbl_Finance[Defer Start],$A219),"")</f>
        <v/>
      </c>
      <c r="I219" s="64">
        <f>IFERROR(INDEX(tbl_Finance[Defer End],$A219),"")</f>
        <v/>
      </c>
      <c r="J219" s="63">
        <f>IF(OR($H219="",$I219="",$G219=""),"",MAX(1,(YEAR($I219)-YEAR($H219))*12+MONTH($I219)-MONTH($H219)+1))</f>
        <v/>
      </c>
      <c r="K219" s="66">
        <f>IF($J219="","",$G219/$J219)</f>
        <v/>
      </c>
      <c r="L219" s="66">
        <f>IF($J219="",0,$K219*MAX(0,MIN(YEAR($C$3)*12+MONTH($C$3),YEAR($I219)*12+MONTH($I219))-(YEAR($H219)*12+MONTH($H219))+1))</f>
        <v/>
      </c>
      <c r="M219" s="66">
        <f>IF($J219="",0,$K219*MAX(0,MIN(YEAR($C$3)*12+MONTH($C$3)-1,YEAR($I219)*12+MONTH($I219))-(YEAR($H219)*12+MONTH($H219))+1))</f>
        <v/>
      </c>
      <c r="N219" s="66">
        <f>IF(OR($J219="",$B219=""),0,IF(YEAR($B219)*12+MONTH($B219)&lt;=YEAR($C$3)*12+MONTH($C$3),$G219,0))</f>
        <v/>
      </c>
      <c r="O219" s="66">
        <f>IF(OR($J219="",$B219=""),0,IF(YEAR($B219)*12+MONTH($B219)&lt;=YEAR($C$3)*12+MONTH($C$3)-1,$G219,0))</f>
        <v/>
      </c>
      <c r="P219" s="66">
        <f>$M219-$O219</f>
        <v/>
      </c>
      <c r="Q219" s="66">
        <f>($L219-$M219)-($N219-$O219)</f>
        <v/>
      </c>
      <c r="R219" s="66">
        <f>$L219-$N219</f>
        <v/>
      </c>
      <c r="S219" s="65">
        <f>"Finance invoice"</f>
        <v/>
      </c>
      <c r="T219" s="65">
        <f>"Revenue"</f>
        <v/>
      </c>
    </row>
    <row r="220">
      <c r="A220" s="63">
        <f>ROW()-5</f>
        <v/>
      </c>
      <c r="B220" s="64">
        <f>IFERROR(INDEX(tbl_Finance[Date],$A220),"")</f>
        <v/>
      </c>
      <c r="C220" s="65">
        <f>IFERROR(INDEX(tbl_Finance[Xero Invoice No],$A220),"")</f>
        <v/>
      </c>
      <c r="D220" s="65">
        <f>IFERROR(INDEX(tbl_Finance[Client],$A220),"")</f>
        <v/>
      </c>
      <c r="E220" s="65">
        <f>IFERROR(INDEX(tbl_Finance[Job Number],$A220),"")</f>
        <v/>
      </c>
      <c r="F220" s="65">
        <f>IFERROR(INDEX(tbl_Finance[Cost Centre],$A220),"")</f>
        <v/>
      </c>
      <c r="G220" s="66">
        <f>IFERROR(INDEX(tbl_Finance[Ex GST],$A220),"")</f>
        <v/>
      </c>
      <c r="H220" s="64">
        <f>IFERROR(INDEX(tbl_Finance[Defer Start],$A220),"")</f>
        <v/>
      </c>
      <c r="I220" s="64">
        <f>IFERROR(INDEX(tbl_Finance[Defer End],$A220),"")</f>
        <v/>
      </c>
      <c r="J220" s="63">
        <f>IF(OR($H220="",$I220="",$G220=""),"",MAX(1,(YEAR($I220)-YEAR($H220))*12+MONTH($I220)-MONTH($H220)+1))</f>
        <v/>
      </c>
      <c r="K220" s="66">
        <f>IF($J220="","",$G220/$J220)</f>
        <v/>
      </c>
      <c r="L220" s="66">
        <f>IF($J220="",0,$K220*MAX(0,MIN(YEAR($C$3)*12+MONTH($C$3),YEAR($I220)*12+MONTH($I220))-(YEAR($H220)*12+MONTH($H220))+1))</f>
        <v/>
      </c>
      <c r="M220" s="66">
        <f>IF($J220="",0,$K220*MAX(0,MIN(YEAR($C$3)*12+MONTH($C$3)-1,YEAR($I220)*12+MONTH($I220))-(YEAR($H220)*12+MONTH($H220))+1))</f>
        <v/>
      </c>
      <c r="N220" s="66">
        <f>IF(OR($J220="",$B220=""),0,IF(YEAR($B220)*12+MONTH($B220)&lt;=YEAR($C$3)*12+MONTH($C$3),$G220,0))</f>
        <v/>
      </c>
      <c r="O220" s="66">
        <f>IF(OR($J220="",$B220=""),0,IF(YEAR($B220)*12+MONTH($B220)&lt;=YEAR($C$3)*12+MONTH($C$3)-1,$G220,0))</f>
        <v/>
      </c>
      <c r="P220" s="66">
        <f>$M220-$O220</f>
        <v/>
      </c>
      <c r="Q220" s="66">
        <f>($L220-$M220)-($N220-$O220)</f>
        <v/>
      </c>
      <c r="R220" s="66">
        <f>$L220-$N220</f>
        <v/>
      </c>
      <c r="S220" s="65">
        <f>"Finance invoice"</f>
        <v/>
      </c>
      <c r="T220" s="65">
        <f>"Revenue"</f>
        <v/>
      </c>
    </row>
    <row r="221">
      <c r="A221" s="63">
        <f>ROW()-5</f>
        <v/>
      </c>
      <c r="B221" s="64">
        <f>IFERROR(INDEX(tbl_Finance[Date],$A221),"")</f>
        <v/>
      </c>
      <c r="C221" s="65">
        <f>IFERROR(INDEX(tbl_Finance[Xero Invoice No],$A221),"")</f>
        <v/>
      </c>
      <c r="D221" s="65">
        <f>IFERROR(INDEX(tbl_Finance[Client],$A221),"")</f>
        <v/>
      </c>
      <c r="E221" s="65">
        <f>IFERROR(INDEX(tbl_Finance[Job Number],$A221),"")</f>
        <v/>
      </c>
      <c r="F221" s="65">
        <f>IFERROR(INDEX(tbl_Finance[Cost Centre],$A221),"")</f>
        <v/>
      </c>
      <c r="G221" s="66">
        <f>IFERROR(INDEX(tbl_Finance[Ex GST],$A221),"")</f>
        <v/>
      </c>
      <c r="H221" s="64">
        <f>IFERROR(INDEX(tbl_Finance[Defer Start],$A221),"")</f>
        <v/>
      </c>
      <c r="I221" s="64">
        <f>IFERROR(INDEX(tbl_Finance[Defer End],$A221),"")</f>
        <v/>
      </c>
      <c r="J221" s="63">
        <f>IF(OR($H221="",$I221="",$G221=""),"",MAX(1,(YEAR($I221)-YEAR($H221))*12+MONTH($I221)-MONTH($H221)+1))</f>
        <v/>
      </c>
      <c r="K221" s="66">
        <f>IF($J221="","",$G221/$J221)</f>
        <v/>
      </c>
      <c r="L221" s="66">
        <f>IF($J221="",0,$K221*MAX(0,MIN(YEAR($C$3)*12+MONTH($C$3),YEAR($I221)*12+MONTH($I221))-(YEAR($H221)*12+MONTH($H221))+1))</f>
        <v/>
      </c>
      <c r="M221" s="66">
        <f>IF($J221="",0,$K221*MAX(0,MIN(YEAR($C$3)*12+MONTH($C$3)-1,YEAR($I221)*12+MONTH($I221))-(YEAR($H221)*12+MONTH($H221))+1))</f>
        <v/>
      </c>
      <c r="N221" s="66">
        <f>IF(OR($J221="",$B221=""),0,IF(YEAR($B221)*12+MONTH($B221)&lt;=YEAR($C$3)*12+MONTH($C$3),$G221,0))</f>
        <v/>
      </c>
      <c r="O221" s="66">
        <f>IF(OR($J221="",$B221=""),0,IF(YEAR($B221)*12+MONTH($B221)&lt;=YEAR($C$3)*12+MONTH($C$3)-1,$G221,0))</f>
        <v/>
      </c>
      <c r="P221" s="66">
        <f>$M221-$O221</f>
        <v/>
      </c>
      <c r="Q221" s="66">
        <f>($L221-$M221)-($N221-$O221)</f>
        <v/>
      </c>
      <c r="R221" s="66">
        <f>$L221-$N221</f>
        <v/>
      </c>
      <c r="S221" s="65">
        <f>"Finance invoice"</f>
        <v/>
      </c>
      <c r="T221" s="65">
        <f>"Revenue"</f>
        <v/>
      </c>
    </row>
    <row r="222">
      <c r="A222" s="63">
        <f>ROW()-5</f>
        <v/>
      </c>
      <c r="B222" s="64">
        <f>IFERROR(INDEX(tbl_Finance[Date],$A222),"")</f>
        <v/>
      </c>
      <c r="C222" s="65">
        <f>IFERROR(INDEX(tbl_Finance[Xero Invoice No],$A222),"")</f>
        <v/>
      </c>
      <c r="D222" s="65">
        <f>IFERROR(INDEX(tbl_Finance[Client],$A222),"")</f>
        <v/>
      </c>
      <c r="E222" s="65">
        <f>IFERROR(INDEX(tbl_Finance[Job Number],$A222),"")</f>
        <v/>
      </c>
      <c r="F222" s="65">
        <f>IFERROR(INDEX(tbl_Finance[Cost Centre],$A222),"")</f>
        <v/>
      </c>
      <c r="G222" s="66">
        <f>IFERROR(INDEX(tbl_Finance[Ex GST],$A222),"")</f>
        <v/>
      </c>
      <c r="H222" s="64">
        <f>IFERROR(INDEX(tbl_Finance[Defer Start],$A222),"")</f>
        <v/>
      </c>
      <c r="I222" s="64">
        <f>IFERROR(INDEX(tbl_Finance[Defer End],$A222),"")</f>
        <v/>
      </c>
      <c r="J222" s="63">
        <f>IF(OR($H222="",$I222="",$G222=""),"",MAX(1,(YEAR($I222)-YEAR($H222))*12+MONTH($I222)-MONTH($H222)+1))</f>
        <v/>
      </c>
      <c r="K222" s="66">
        <f>IF($J222="","",$G222/$J222)</f>
        <v/>
      </c>
      <c r="L222" s="66">
        <f>IF($J222="",0,$K222*MAX(0,MIN(YEAR($C$3)*12+MONTH($C$3),YEAR($I222)*12+MONTH($I222))-(YEAR($H222)*12+MONTH($H222))+1))</f>
        <v/>
      </c>
      <c r="M222" s="66">
        <f>IF($J222="",0,$K222*MAX(0,MIN(YEAR($C$3)*12+MONTH($C$3)-1,YEAR($I222)*12+MONTH($I222))-(YEAR($H222)*12+MONTH($H222))+1))</f>
        <v/>
      </c>
      <c r="N222" s="66">
        <f>IF(OR($J222="",$B222=""),0,IF(YEAR($B222)*12+MONTH($B222)&lt;=YEAR($C$3)*12+MONTH($C$3),$G222,0))</f>
        <v/>
      </c>
      <c r="O222" s="66">
        <f>IF(OR($J222="",$B222=""),0,IF(YEAR($B222)*12+MONTH($B222)&lt;=YEAR($C$3)*12+MONTH($C$3)-1,$G222,0))</f>
        <v/>
      </c>
      <c r="P222" s="66">
        <f>$M222-$O222</f>
        <v/>
      </c>
      <c r="Q222" s="66">
        <f>($L222-$M222)-($N222-$O222)</f>
        <v/>
      </c>
      <c r="R222" s="66">
        <f>$L222-$N222</f>
        <v/>
      </c>
      <c r="S222" s="65">
        <f>"Finance invoice"</f>
        <v/>
      </c>
      <c r="T222" s="65">
        <f>"Revenue"</f>
        <v/>
      </c>
    </row>
    <row r="223">
      <c r="A223" s="63">
        <f>ROW()-5</f>
        <v/>
      </c>
      <c r="B223" s="64">
        <f>IFERROR(INDEX(tbl_Finance[Date],$A223),"")</f>
        <v/>
      </c>
      <c r="C223" s="65">
        <f>IFERROR(INDEX(tbl_Finance[Xero Invoice No],$A223),"")</f>
        <v/>
      </c>
      <c r="D223" s="65">
        <f>IFERROR(INDEX(tbl_Finance[Client],$A223),"")</f>
        <v/>
      </c>
      <c r="E223" s="65">
        <f>IFERROR(INDEX(tbl_Finance[Job Number],$A223),"")</f>
        <v/>
      </c>
      <c r="F223" s="65">
        <f>IFERROR(INDEX(tbl_Finance[Cost Centre],$A223),"")</f>
        <v/>
      </c>
      <c r="G223" s="66">
        <f>IFERROR(INDEX(tbl_Finance[Ex GST],$A223),"")</f>
        <v/>
      </c>
      <c r="H223" s="64">
        <f>IFERROR(INDEX(tbl_Finance[Defer Start],$A223),"")</f>
        <v/>
      </c>
      <c r="I223" s="64">
        <f>IFERROR(INDEX(tbl_Finance[Defer End],$A223),"")</f>
        <v/>
      </c>
      <c r="J223" s="63">
        <f>IF(OR($H223="",$I223="",$G223=""),"",MAX(1,(YEAR($I223)-YEAR($H223))*12+MONTH($I223)-MONTH($H223)+1))</f>
        <v/>
      </c>
      <c r="K223" s="66">
        <f>IF($J223="","",$G223/$J223)</f>
        <v/>
      </c>
      <c r="L223" s="66">
        <f>IF($J223="",0,$K223*MAX(0,MIN(YEAR($C$3)*12+MONTH($C$3),YEAR($I223)*12+MONTH($I223))-(YEAR($H223)*12+MONTH($H223))+1))</f>
        <v/>
      </c>
      <c r="M223" s="66">
        <f>IF($J223="",0,$K223*MAX(0,MIN(YEAR($C$3)*12+MONTH($C$3)-1,YEAR($I223)*12+MONTH($I223))-(YEAR($H223)*12+MONTH($H223))+1))</f>
        <v/>
      </c>
      <c r="N223" s="66">
        <f>IF(OR($J223="",$B223=""),0,IF(YEAR($B223)*12+MONTH($B223)&lt;=YEAR($C$3)*12+MONTH($C$3),$G223,0))</f>
        <v/>
      </c>
      <c r="O223" s="66">
        <f>IF(OR($J223="",$B223=""),0,IF(YEAR($B223)*12+MONTH($B223)&lt;=YEAR($C$3)*12+MONTH($C$3)-1,$G223,0))</f>
        <v/>
      </c>
      <c r="P223" s="66">
        <f>$M223-$O223</f>
        <v/>
      </c>
      <c r="Q223" s="66">
        <f>($L223-$M223)-($N223-$O223)</f>
        <v/>
      </c>
      <c r="R223" s="66">
        <f>$L223-$N223</f>
        <v/>
      </c>
      <c r="S223" s="65">
        <f>"Finance invoice"</f>
        <v/>
      </c>
      <c r="T223" s="65">
        <f>"Revenue"</f>
        <v/>
      </c>
    </row>
    <row r="224">
      <c r="A224" s="63">
        <f>ROW()-5</f>
        <v/>
      </c>
      <c r="B224" s="64">
        <f>IFERROR(INDEX(tbl_Finance[Date],$A224),"")</f>
        <v/>
      </c>
      <c r="C224" s="65">
        <f>IFERROR(INDEX(tbl_Finance[Xero Invoice No],$A224),"")</f>
        <v/>
      </c>
      <c r="D224" s="65">
        <f>IFERROR(INDEX(tbl_Finance[Client],$A224),"")</f>
        <v/>
      </c>
      <c r="E224" s="65">
        <f>IFERROR(INDEX(tbl_Finance[Job Number],$A224),"")</f>
        <v/>
      </c>
      <c r="F224" s="65">
        <f>IFERROR(INDEX(tbl_Finance[Cost Centre],$A224),"")</f>
        <v/>
      </c>
      <c r="G224" s="66">
        <f>IFERROR(INDEX(tbl_Finance[Ex GST],$A224),"")</f>
        <v/>
      </c>
      <c r="H224" s="64">
        <f>IFERROR(INDEX(tbl_Finance[Defer Start],$A224),"")</f>
        <v/>
      </c>
      <c r="I224" s="64">
        <f>IFERROR(INDEX(tbl_Finance[Defer End],$A224),"")</f>
        <v/>
      </c>
      <c r="J224" s="63">
        <f>IF(OR($H224="",$I224="",$G224=""),"",MAX(1,(YEAR($I224)-YEAR($H224))*12+MONTH($I224)-MONTH($H224)+1))</f>
        <v/>
      </c>
      <c r="K224" s="66">
        <f>IF($J224="","",$G224/$J224)</f>
        <v/>
      </c>
      <c r="L224" s="66">
        <f>IF($J224="",0,$K224*MAX(0,MIN(YEAR($C$3)*12+MONTH($C$3),YEAR($I224)*12+MONTH($I224))-(YEAR($H224)*12+MONTH($H224))+1))</f>
        <v/>
      </c>
      <c r="M224" s="66">
        <f>IF($J224="",0,$K224*MAX(0,MIN(YEAR($C$3)*12+MONTH($C$3)-1,YEAR($I224)*12+MONTH($I224))-(YEAR($H224)*12+MONTH($H224))+1))</f>
        <v/>
      </c>
      <c r="N224" s="66">
        <f>IF(OR($J224="",$B224=""),0,IF(YEAR($B224)*12+MONTH($B224)&lt;=YEAR($C$3)*12+MONTH($C$3),$G224,0))</f>
        <v/>
      </c>
      <c r="O224" s="66">
        <f>IF(OR($J224="",$B224=""),0,IF(YEAR($B224)*12+MONTH($B224)&lt;=YEAR($C$3)*12+MONTH($C$3)-1,$G224,0))</f>
        <v/>
      </c>
      <c r="P224" s="66">
        <f>$M224-$O224</f>
        <v/>
      </c>
      <c r="Q224" s="66">
        <f>($L224-$M224)-($N224-$O224)</f>
        <v/>
      </c>
      <c r="R224" s="66">
        <f>$L224-$N224</f>
        <v/>
      </c>
      <c r="S224" s="65">
        <f>"Finance invoice"</f>
        <v/>
      </c>
      <c r="T224" s="65">
        <f>"Revenue"</f>
        <v/>
      </c>
    </row>
    <row r="225">
      <c r="A225" s="63">
        <f>ROW()-5</f>
        <v/>
      </c>
      <c r="B225" s="64">
        <f>IFERROR(INDEX(tbl_Finance[Date],$A225),"")</f>
        <v/>
      </c>
      <c r="C225" s="65">
        <f>IFERROR(INDEX(tbl_Finance[Xero Invoice No],$A225),"")</f>
        <v/>
      </c>
      <c r="D225" s="65">
        <f>IFERROR(INDEX(tbl_Finance[Client],$A225),"")</f>
        <v/>
      </c>
      <c r="E225" s="65">
        <f>IFERROR(INDEX(tbl_Finance[Job Number],$A225),"")</f>
        <v/>
      </c>
      <c r="F225" s="65">
        <f>IFERROR(INDEX(tbl_Finance[Cost Centre],$A225),"")</f>
        <v/>
      </c>
      <c r="G225" s="66">
        <f>IFERROR(INDEX(tbl_Finance[Ex GST],$A225),"")</f>
        <v/>
      </c>
      <c r="H225" s="64">
        <f>IFERROR(INDEX(tbl_Finance[Defer Start],$A225),"")</f>
        <v/>
      </c>
      <c r="I225" s="64">
        <f>IFERROR(INDEX(tbl_Finance[Defer End],$A225),"")</f>
        <v/>
      </c>
      <c r="J225" s="63">
        <f>IF(OR($H225="",$I225="",$G225=""),"",MAX(1,(YEAR($I225)-YEAR($H225))*12+MONTH($I225)-MONTH($H225)+1))</f>
        <v/>
      </c>
      <c r="K225" s="66">
        <f>IF($J225="","",$G225/$J225)</f>
        <v/>
      </c>
      <c r="L225" s="66">
        <f>IF($J225="",0,$K225*MAX(0,MIN(YEAR($C$3)*12+MONTH($C$3),YEAR($I225)*12+MONTH($I225))-(YEAR($H225)*12+MONTH($H225))+1))</f>
        <v/>
      </c>
      <c r="M225" s="66">
        <f>IF($J225="",0,$K225*MAX(0,MIN(YEAR($C$3)*12+MONTH($C$3)-1,YEAR($I225)*12+MONTH($I225))-(YEAR($H225)*12+MONTH($H225))+1))</f>
        <v/>
      </c>
      <c r="N225" s="66">
        <f>IF(OR($J225="",$B225=""),0,IF(YEAR($B225)*12+MONTH($B225)&lt;=YEAR($C$3)*12+MONTH($C$3),$G225,0))</f>
        <v/>
      </c>
      <c r="O225" s="66">
        <f>IF(OR($J225="",$B225=""),0,IF(YEAR($B225)*12+MONTH($B225)&lt;=YEAR($C$3)*12+MONTH($C$3)-1,$G225,0))</f>
        <v/>
      </c>
      <c r="P225" s="66">
        <f>$M225-$O225</f>
        <v/>
      </c>
      <c r="Q225" s="66">
        <f>($L225-$M225)-($N225-$O225)</f>
        <v/>
      </c>
      <c r="R225" s="66">
        <f>$L225-$N225</f>
        <v/>
      </c>
      <c r="S225" s="65">
        <f>"Finance invoice"</f>
        <v/>
      </c>
      <c r="T225" s="65">
        <f>"Revenue"</f>
        <v/>
      </c>
    </row>
    <row r="226">
      <c r="A226" s="63">
        <f>ROW()-5</f>
        <v/>
      </c>
      <c r="B226" s="64">
        <f>IFERROR(INDEX(tbl_Finance[Date],$A226),"")</f>
        <v/>
      </c>
      <c r="C226" s="65">
        <f>IFERROR(INDEX(tbl_Finance[Xero Invoice No],$A226),"")</f>
        <v/>
      </c>
      <c r="D226" s="65">
        <f>IFERROR(INDEX(tbl_Finance[Client],$A226),"")</f>
        <v/>
      </c>
      <c r="E226" s="65">
        <f>IFERROR(INDEX(tbl_Finance[Job Number],$A226),"")</f>
        <v/>
      </c>
      <c r="F226" s="65">
        <f>IFERROR(INDEX(tbl_Finance[Cost Centre],$A226),"")</f>
        <v/>
      </c>
      <c r="G226" s="66">
        <f>IFERROR(INDEX(tbl_Finance[Ex GST],$A226),"")</f>
        <v/>
      </c>
      <c r="H226" s="64">
        <f>IFERROR(INDEX(tbl_Finance[Defer Start],$A226),"")</f>
        <v/>
      </c>
      <c r="I226" s="64">
        <f>IFERROR(INDEX(tbl_Finance[Defer End],$A226),"")</f>
        <v/>
      </c>
      <c r="J226" s="63">
        <f>IF(OR($H226="",$I226="",$G226=""),"",MAX(1,(YEAR($I226)-YEAR($H226))*12+MONTH($I226)-MONTH($H226)+1))</f>
        <v/>
      </c>
      <c r="K226" s="66">
        <f>IF($J226="","",$G226/$J226)</f>
        <v/>
      </c>
      <c r="L226" s="66">
        <f>IF($J226="",0,$K226*MAX(0,MIN(YEAR($C$3)*12+MONTH($C$3),YEAR($I226)*12+MONTH($I226))-(YEAR($H226)*12+MONTH($H226))+1))</f>
        <v/>
      </c>
      <c r="M226" s="66">
        <f>IF($J226="",0,$K226*MAX(0,MIN(YEAR($C$3)*12+MONTH($C$3)-1,YEAR($I226)*12+MONTH($I226))-(YEAR($H226)*12+MONTH($H226))+1))</f>
        <v/>
      </c>
      <c r="N226" s="66">
        <f>IF(OR($J226="",$B226=""),0,IF(YEAR($B226)*12+MONTH($B226)&lt;=YEAR($C$3)*12+MONTH($C$3),$G226,0))</f>
        <v/>
      </c>
      <c r="O226" s="66">
        <f>IF(OR($J226="",$B226=""),0,IF(YEAR($B226)*12+MONTH($B226)&lt;=YEAR($C$3)*12+MONTH($C$3)-1,$G226,0))</f>
        <v/>
      </c>
      <c r="P226" s="66">
        <f>$M226-$O226</f>
        <v/>
      </c>
      <c r="Q226" s="66">
        <f>($L226-$M226)-($N226-$O226)</f>
        <v/>
      </c>
      <c r="R226" s="66">
        <f>$L226-$N226</f>
        <v/>
      </c>
      <c r="S226" s="65">
        <f>"Finance invoice"</f>
        <v/>
      </c>
      <c r="T226" s="65">
        <f>"Revenue"</f>
        <v/>
      </c>
    </row>
    <row r="227">
      <c r="A227" s="63">
        <f>ROW()-5</f>
        <v/>
      </c>
      <c r="B227" s="64">
        <f>IFERROR(INDEX(tbl_Finance[Date],$A227),"")</f>
        <v/>
      </c>
      <c r="C227" s="65">
        <f>IFERROR(INDEX(tbl_Finance[Xero Invoice No],$A227),"")</f>
        <v/>
      </c>
      <c r="D227" s="65">
        <f>IFERROR(INDEX(tbl_Finance[Client],$A227),"")</f>
        <v/>
      </c>
      <c r="E227" s="65">
        <f>IFERROR(INDEX(tbl_Finance[Job Number],$A227),"")</f>
        <v/>
      </c>
      <c r="F227" s="65">
        <f>IFERROR(INDEX(tbl_Finance[Cost Centre],$A227),"")</f>
        <v/>
      </c>
      <c r="G227" s="66">
        <f>IFERROR(INDEX(tbl_Finance[Ex GST],$A227),"")</f>
        <v/>
      </c>
      <c r="H227" s="64">
        <f>IFERROR(INDEX(tbl_Finance[Defer Start],$A227),"")</f>
        <v/>
      </c>
      <c r="I227" s="64">
        <f>IFERROR(INDEX(tbl_Finance[Defer End],$A227),"")</f>
        <v/>
      </c>
      <c r="J227" s="63">
        <f>IF(OR($H227="",$I227="",$G227=""),"",MAX(1,(YEAR($I227)-YEAR($H227))*12+MONTH($I227)-MONTH($H227)+1))</f>
        <v/>
      </c>
      <c r="K227" s="66">
        <f>IF($J227="","",$G227/$J227)</f>
        <v/>
      </c>
      <c r="L227" s="66">
        <f>IF($J227="",0,$K227*MAX(0,MIN(YEAR($C$3)*12+MONTH($C$3),YEAR($I227)*12+MONTH($I227))-(YEAR($H227)*12+MONTH($H227))+1))</f>
        <v/>
      </c>
      <c r="M227" s="66">
        <f>IF($J227="",0,$K227*MAX(0,MIN(YEAR($C$3)*12+MONTH($C$3)-1,YEAR($I227)*12+MONTH($I227))-(YEAR($H227)*12+MONTH($H227))+1))</f>
        <v/>
      </c>
      <c r="N227" s="66">
        <f>IF(OR($J227="",$B227=""),0,IF(YEAR($B227)*12+MONTH($B227)&lt;=YEAR($C$3)*12+MONTH($C$3),$G227,0))</f>
        <v/>
      </c>
      <c r="O227" s="66">
        <f>IF(OR($J227="",$B227=""),0,IF(YEAR($B227)*12+MONTH($B227)&lt;=YEAR($C$3)*12+MONTH($C$3)-1,$G227,0))</f>
        <v/>
      </c>
      <c r="P227" s="66">
        <f>$M227-$O227</f>
        <v/>
      </c>
      <c r="Q227" s="66">
        <f>($L227-$M227)-($N227-$O227)</f>
        <v/>
      </c>
      <c r="R227" s="66">
        <f>$L227-$N227</f>
        <v/>
      </c>
      <c r="S227" s="65">
        <f>"Finance invoice"</f>
        <v/>
      </c>
      <c r="T227" s="65">
        <f>"Revenue"</f>
        <v/>
      </c>
    </row>
    <row r="228">
      <c r="A228" s="63">
        <f>ROW()-5</f>
        <v/>
      </c>
      <c r="B228" s="64">
        <f>IFERROR(INDEX(tbl_Finance[Date],$A228),"")</f>
        <v/>
      </c>
      <c r="C228" s="65">
        <f>IFERROR(INDEX(tbl_Finance[Xero Invoice No],$A228),"")</f>
        <v/>
      </c>
      <c r="D228" s="65">
        <f>IFERROR(INDEX(tbl_Finance[Client],$A228),"")</f>
        <v/>
      </c>
      <c r="E228" s="65">
        <f>IFERROR(INDEX(tbl_Finance[Job Number],$A228),"")</f>
        <v/>
      </c>
      <c r="F228" s="65">
        <f>IFERROR(INDEX(tbl_Finance[Cost Centre],$A228),"")</f>
        <v/>
      </c>
      <c r="G228" s="66">
        <f>IFERROR(INDEX(tbl_Finance[Ex GST],$A228),"")</f>
        <v/>
      </c>
      <c r="H228" s="64">
        <f>IFERROR(INDEX(tbl_Finance[Defer Start],$A228),"")</f>
        <v/>
      </c>
      <c r="I228" s="64">
        <f>IFERROR(INDEX(tbl_Finance[Defer End],$A228),"")</f>
        <v/>
      </c>
      <c r="J228" s="63">
        <f>IF(OR($H228="",$I228="",$G228=""),"",MAX(1,(YEAR($I228)-YEAR($H228))*12+MONTH($I228)-MONTH($H228)+1))</f>
        <v/>
      </c>
      <c r="K228" s="66">
        <f>IF($J228="","",$G228/$J228)</f>
        <v/>
      </c>
      <c r="L228" s="66">
        <f>IF($J228="",0,$K228*MAX(0,MIN(YEAR($C$3)*12+MONTH($C$3),YEAR($I228)*12+MONTH($I228))-(YEAR($H228)*12+MONTH($H228))+1))</f>
        <v/>
      </c>
      <c r="M228" s="66">
        <f>IF($J228="",0,$K228*MAX(0,MIN(YEAR($C$3)*12+MONTH($C$3)-1,YEAR($I228)*12+MONTH($I228))-(YEAR($H228)*12+MONTH($H228))+1))</f>
        <v/>
      </c>
      <c r="N228" s="66">
        <f>IF(OR($J228="",$B228=""),0,IF(YEAR($B228)*12+MONTH($B228)&lt;=YEAR($C$3)*12+MONTH($C$3),$G228,0))</f>
        <v/>
      </c>
      <c r="O228" s="66">
        <f>IF(OR($J228="",$B228=""),0,IF(YEAR($B228)*12+MONTH($B228)&lt;=YEAR($C$3)*12+MONTH($C$3)-1,$G228,0))</f>
        <v/>
      </c>
      <c r="P228" s="66">
        <f>$M228-$O228</f>
        <v/>
      </c>
      <c r="Q228" s="66">
        <f>($L228-$M228)-($N228-$O228)</f>
        <v/>
      </c>
      <c r="R228" s="66">
        <f>$L228-$N228</f>
        <v/>
      </c>
      <c r="S228" s="65">
        <f>"Finance invoice"</f>
        <v/>
      </c>
      <c r="T228" s="65">
        <f>"Revenue"</f>
        <v/>
      </c>
    </row>
    <row r="229">
      <c r="A229" s="63">
        <f>ROW()-5</f>
        <v/>
      </c>
      <c r="B229" s="64">
        <f>IFERROR(INDEX(tbl_Finance[Date],$A229),"")</f>
        <v/>
      </c>
      <c r="C229" s="65">
        <f>IFERROR(INDEX(tbl_Finance[Xero Invoice No],$A229),"")</f>
        <v/>
      </c>
      <c r="D229" s="65">
        <f>IFERROR(INDEX(tbl_Finance[Client],$A229),"")</f>
        <v/>
      </c>
      <c r="E229" s="65">
        <f>IFERROR(INDEX(tbl_Finance[Job Number],$A229),"")</f>
        <v/>
      </c>
      <c r="F229" s="65">
        <f>IFERROR(INDEX(tbl_Finance[Cost Centre],$A229),"")</f>
        <v/>
      </c>
      <c r="G229" s="66">
        <f>IFERROR(INDEX(tbl_Finance[Ex GST],$A229),"")</f>
        <v/>
      </c>
      <c r="H229" s="64">
        <f>IFERROR(INDEX(tbl_Finance[Defer Start],$A229),"")</f>
        <v/>
      </c>
      <c r="I229" s="64">
        <f>IFERROR(INDEX(tbl_Finance[Defer End],$A229),"")</f>
        <v/>
      </c>
      <c r="J229" s="63">
        <f>IF(OR($H229="",$I229="",$G229=""),"",MAX(1,(YEAR($I229)-YEAR($H229))*12+MONTH($I229)-MONTH($H229)+1))</f>
        <v/>
      </c>
      <c r="K229" s="66">
        <f>IF($J229="","",$G229/$J229)</f>
        <v/>
      </c>
      <c r="L229" s="66">
        <f>IF($J229="",0,$K229*MAX(0,MIN(YEAR($C$3)*12+MONTH($C$3),YEAR($I229)*12+MONTH($I229))-(YEAR($H229)*12+MONTH($H229))+1))</f>
        <v/>
      </c>
      <c r="M229" s="66">
        <f>IF($J229="",0,$K229*MAX(0,MIN(YEAR($C$3)*12+MONTH($C$3)-1,YEAR($I229)*12+MONTH($I229))-(YEAR($H229)*12+MONTH($H229))+1))</f>
        <v/>
      </c>
      <c r="N229" s="66">
        <f>IF(OR($J229="",$B229=""),0,IF(YEAR($B229)*12+MONTH($B229)&lt;=YEAR($C$3)*12+MONTH($C$3),$G229,0))</f>
        <v/>
      </c>
      <c r="O229" s="66">
        <f>IF(OR($J229="",$B229=""),0,IF(YEAR($B229)*12+MONTH($B229)&lt;=YEAR($C$3)*12+MONTH($C$3)-1,$G229,0))</f>
        <v/>
      </c>
      <c r="P229" s="66">
        <f>$M229-$O229</f>
        <v/>
      </c>
      <c r="Q229" s="66">
        <f>($L229-$M229)-($N229-$O229)</f>
        <v/>
      </c>
      <c r="R229" s="66">
        <f>$L229-$N229</f>
        <v/>
      </c>
      <c r="S229" s="65">
        <f>"Finance invoice"</f>
        <v/>
      </c>
      <c r="T229" s="65">
        <f>"Revenue"</f>
        <v/>
      </c>
    </row>
    <row r="230">
      <c r="A230" s="63">
        <f>ROW()-5</f>
        <v/>
      </c>
      <c r="B230" s="64">
        <f>IFERROR(INDEX(tbl_Finance[Date],$A230),"")</f>
        <v/>
      </c>
      <c r="C230" s="65">
        <f>IFERROR(INDEX(tbl_Finance[Xero Invoice No],$A230),"")</f>
        <v/>
      </c>
      <c r="D230" s="65">
        <f>IFERROR(INDEX(tbl_Finance[Client],$A230),"")</f>
        <v/>
      </c>
      <c r="E230" s="65">
        <f>IFERROR(INDEX(tbl_Finance[Job Number],$A230),"")</f>
        <v/>
      </c>
      <c r="F230" s="65">
        <f>IFERROR(INDEX(tbl_Finance[Cost Centre],$A230),"")</f>
        <v/>
      </c>
      <c r="G230" s="66">
        <f>IFERROR(INDEX(tbl_Finance[Ex GST],$A230),"")</f>
        <v/>
      </c>
      <c r="H230" s="64">
        <f>IFERROR(INDEX(tbl_Finance[Defer Start],$A230),"")</f>
        <v/>
      </c>
      <c r="I230" s="64">
        <f>IFERROR(INDEX(tbl_Finance[Defer End],$A230),"")</f>
        <v/>
      </c>
      <c r="J230" s="63">
        <f>IF(OR($H230="",$I230="",$G230=""),"",MAX(1,(YEAR($I230)-YEAR($H230))*12+MONTH($I230)-MONTH($H230)+1))</f>
        <v/>
      </c>
      <c r="K230" s="66">
        <f>IF($J230="","",$G230/$J230)</f>
        <v/>
      </c>
      <c r="L230" s="66">
        <f>IF($J230="",0,$K230*MAX(0,MIN(YEAR($C$3)*12+MONTH($C$3),YEAR($I230)*12+MONTH($I230))-(YEAR($H230)*12+MONTH($H230))+1))</f>
        <v/>
      </c>
      <c r="M230" s="66">
        <f>IF($J230="",0,$K230*MAX(0,MIN(YEAR($C$3)*12+MONTH($C$3)-1,YEAR($I230)*12+MONTH($I230))-(YEAR($H230)*12+MONTH($H230))+1))</f>
        <v/>
      </c>
      <c r="N230" s="66">
        <f>IF(OR($J230="",$B230=""),0,IF(YEAR($B230)*12+MONTH($B230)&lt;=YEAR($C$3)*12+MONTH($C$3),$G230,0))</f>
        <v/>
      </c>
      <c r="O230" s="66">
        <f>IF(OR($J230="",$B230=""),0,IF(YEAR($B230)*12+MONTH($B230)&lt;=YEAR($C$3)*12+MONTH($C$3)-1,$G230,0))</f>
        <v/>
      </c>
      <c r="P230" s="66">
        <f>$M230-$O230</f>
        <v/>
      </c>
      <c r="Q230" s="66">
        <f>($L230-$M230)-($N230-$O230)</f>
        <v/>
      </c>
      <c r="R230" s="66">
        <f>$L230-$N230</f>
        <v/>
      </c>
      <c r="S230" s="65">
        <f>"Finance invoice"</f>
        <v/>
      </c>
      <c r="T230" s="65">
        <f>"Revenue"</f>
        <v/>
      </c>
    </row>
    <row r="231">
      <c r="A231" s="63">
        <f>ROW()-5</f>
        <v/>
      </c>
      <c r="B231" s="64">
        <f>IFERROR(INDEX(tbl_Finance[Date],$A231),"")</f>
        <v/>
      </c>
      <c r="C231" s="65">
        <f>IFERROR(INDEX(tbl_Finance[Xero Invoice No],$A231),"")</f>
        <v/>
      </c>
      <c r="D231" s="65">
        <f>IFERROR(INDEX(tbl_Finance[Client],$A231),"")</f>
        <v/>
      </c>
      <c r="E231" s="65">
        <f>IFERROR(INDEX(tbl_Finance[Job Number],$A231),"")</f>
        <v/>
      </c>
      <c r="F231" s="65">
        <f>IFERROR(INDEX(tbl_Finance[Cost Centre],$A231),"")</f>
        <v/>
      </c>
      <c r="G231" s="66">
        <f>IFERROR(INDEX(tbl_Finance[Ex GST],$A231),"")</f>
        <v/>
      </c>
      <c r="H231" s="64">
        <f>IFERROR(INDEX(tbl_Finance[Defer Start],$A231),"")</f>
        <v/>
      </c>
      <c r="I231" s="64">
        <f>IFERROR(INDEX(tbl_Finance[Defer End],$A231),"")</f>
        <v/>
      </c>
      <c r="J231" s="63">
        <f>IF(OR($H231="",$I231="",$G231=""),"",MAX(1,(YEAR($I231)-YEAR($H231))*12+MONTH($I231)-MONTH($H231)+1))</f>
        <v/>
      </c>
      <c r="K231" s="66">
        <f>IF($J231="","",$G231/$J231)</f>
        <v/>
      </c>
      <c r="L231" s="66">
        <f>IF($J231="",0,$K231*MAX(0,MIN(YEAR($C$3)*12+MONTH($C$3),YEAR($I231)*12+MONTH($I231))-(YEAR($H231)*12+MONTH($H231))+1))</f>
        <v/>
      </c>
      <c r="M231" s="66">
        <f>IF($J231="",0,$K231*MAX(0,MIN(YEAR($C$3)*12+MONTH($C$3)-1,YEAR($I231)*12+MONTH($I231))-(YEAR($H231)*12+MONTH($H231))+1))</f>
        <v/>
      </c>
      <c r="N231" s="66">
        <f>IF(OR($J231="",$B231=""),0,IF(YEAR($B231)*12+MONTH($B231)&lt;=YEAR($C$3)*12+MONTH($C$3),$G231,0))</f>
        <v/>
      </c>
      <c r="O231" s="66">
        <f>IF(OR($J231="",$B231=""),0,IF(YEAR($B231)*12+MONTH($B231)&lt;=YEAR($C$3)*12+MONTH($C$3)-1,$G231,0))</f>
        <v/>
      </c>
      <c r="P231" s="66">
        <f>$M231-$O231</f>
        <v/>
      </c>
      <c r="Q231" s="66">
        <f>($L231-$M231)-($N231-$O231)</f>
        <v/>
      </c>
      <c r="R231" s="66">
        <f>$L231-$N231</f>
        <v/>
      </c>
      <c r="S231" s="65">
        <f>"Finance invoice"</f>
        <v/>
      </c>
      <c r="T231" s="65">
        <f>"Revenue"</f>
        <v/>
      </c>
    </row>
    <row r="232">
      <c r="A232" s="63">
        <f>ROW()-5</f>
        <v/>
      </c>
      <c r="B232" s="64">
        <f>IFERROR(INDEX(tbl_Finance[Date],$A232),"")</f>
        <v/>
      </c>
      <c r="C232" s="65">
        <f>IFERROR(INDEX(tbl_Finance[Xero Invoice No],$A232),"")</f>
        <v/>
      </c>
      <c r="D232" s="65">
        <f>IFERROR(INDEX(tbl_Finance[Client],$A232),"")</f>
        <v/>
      </c>
      <c r="E232" s="65">
        <f>IFERROR(INDEX(tbl_Finance[Job Number],$A232),"")</f>
        <v/>
      </c>
      <c r="F232" s="65">
        <f>IFERROR(INDEX(tbl_Finance[Cost Centre],$A232),"")</f>
        <v/>
      </c>
      <c r="G232" s="66">
        <f>IFERROR(INDEX(tbl_Finance[Ex GST],$A232),"")</f>
        <v/>
      </c>
      <c r="H232" s="64">
        <f>IFERROR(INDEX(tbl_Finance[Defer Start],$A232),"")</f>
        <v/>
      </c>
      <c r="I232" s="64">
        <f>IFERROR(INDEX(tbl_Finance[Defer End],$A232),"")</f>
        <v/>
      </c>
      <c r="J232" s="63">
        <f>IF(OR($H232="",$I232="",$G232=""),"",MAX(1,(YEAR($I232)-YEAR($H232))*12+MONTH($I232)-MONTH($H232)+1))</f>
        <v/>
      </c>
      <c r="K232" s="66">
        <f>IF($J232="","",$G232/$J232)</f>
        <v/>
      </c>
      <c r="L232" s="66">
        <f>IF($J232="",0,$K232*MAX(0,MIN(YEAR($C$3)*12+MONTH($C$3),YEAR($I232)*12+MONTH($I232))-(YEAR($H232)*12+MONTH($H232))+1))</f>
        <v/>
      </c>
      <c r="M232" s="66">
        <f>IF($J232="",0,$K232*MAX(0,MIN(YEAR($C$3)*12+MONTH($C$3)-1,YEAR($I232)*12+MONTH($I232))-(YEAR($H232)*12+MONTH($H232))+1))</f>
        <v/>
      </c>
      <c r="N232" s="66">
        <f>IF(OR($J232="",$B232=""),0,IF(YEAR($B232)*12+MONTH($B232)&lt;=YEAR($C$3)*12+MONTH($C$3),$G232,0))</f>
        <v/>
      </c>
      <c r="O232" s="66">
        <f>IF(OR($J232="",$B232=""),0,IF(YEAR($B232)*12+MONTH($B232)&lt;=YEAR($C$3)*12+MONTH($C$3)-1,$G232,0))</f>
        <v/>
      </c>
      <c r="P232" s="66">
        <f>$M232-$O232</f>
        <v/>
      </c>
      <c r="Q232" s="66">
        <f>($L232-$M232)-($N232-$O232)</f>
        <v/>
      </c>
      <c r="R232" s="66">
        <f>$L232-$N232</f>
        <v/>
      </c>
      <c r="S232" s="65">
        <f>"Finance invoice"</f>
        <v/>
      </c>
      <c r="T232" s="65">
        <f>"Revenue"</f>
        <v/>
      </c>
    </row>
    <row r="233">
      <c r="A233" s="63">
        <f>ROW()-5</f>
        <v/>
      </c>
      <c r="B233" s="64">
        <f>IFERROR(INDEX(tbl_Finance[Date],$A233),"")</f>
        <v/>
      </c>
      <c r="C233" s="65">
        <f>IFERROR(INDEX(tbl_Finance[Xero Invoice No],$A233),"")</f>
        <v/>
      </c>
      <c r="D233" s="65">
        <f>IFERROR(INDEX(tbl_Finance[Client],$A233),"")</f>
        <v/>
      </c>
      <c r="E233" s="65">
        <f>IFERROR(INDEX(tbl_Finance[Job Number],$A233),"")</f>
        <v/>
      </c>
      <c r="F233" s="65">
        <f>IFERROR(INDEX(tbl_Finance[Cost Centre],$A233),"")</f>
        <v/>
      </c>
      <c r="G233" s="66">
        <f>IFERROR(INDEX(tbl_Finance[Ex GST],$A233),"")</f>
        <v/>
      </c>
      <c r="H233" s="64">
        <f>IFERROR(INDEX(tbl_Finance[Defer Start],$A233),"")</f>
        <v/>
      </c>
      <c r="I233" s="64">
        <f>IFERROR(INDEX(tbl_Finance[Defer End],$A233),"")</f>
        <v/>
      </c>
      <c r="J233" s="63">
        <f>IF(OR($H233="",$I233="",$G233=""),"",MAX(1,(YEAR($I233)-YEAR($H233))*12+MONTH($I233)-MONTH($H233)+1))</f>
        <v/>
      </c>
      <c r="K233" s="66">
        <f>IF($J233="","",$G233/$J233)</f>
        <v/>
      </c>
      <c r="L233" s="66">
        <f>IF($J233="",0,$K233*MAX(0,MIN(YEAR($C$3)*12+MONTH($C$3),YEAR($I233)*12+MONTH($I233))-(YEAR($H233)*12+MONTH($H233))+1))</f>
        <v/>
      </c>
      <c r="M233" s="66">
        <f>IF($J233="",0,$K233*MAX(0,MIN(YEAR($C$3)*12+MONTH($C$3)-1,YEAR($I233)*12+MONTH($I233))-(YEAR($H233)*12+MONTH($H233))+1))</f>
        <v/>
      </c>
      <c r="N233" s="66">
        <f>IF(OR($J233="",$B233=""),0,IF(YEAR($B233)*12+MONTH($B233)&lt;=YEAR($C$3)*12+MONTH($C$3),$G233,0))</f>
        <v/>
      </c>
      <c r="O233" s="66">
        <f>IF(OR($J233="",$B233=""),0,IF(YEAR($B233)*12+MONTH($B233)&lt;=YEAR($C$3)*12+MONTH($C$3)-1,$G233,0))</f>
        <v/>
      </c>
      <c r="P233" s="66">
        <f>$M233-$O233</f>
        <v/>
      </c>
      <c r="Q233" s="66">
        <f>($L233-$M233)-($N233-$O233)</f>
        <v/>
      </c>
      <c r="R233" s="66">
        <f>$L233-$N233</f>
        <v/>
      </c>
      <c r="S233" s="65">
        <f>"Finance invoice"</f>
        <v/>
      </c>
      <c r="T233" s="65">
        <f>"Revenue"</f>
        <v/>
      </c>
    </row>
    <row r="234">
      <c r="A234" s="63">
        <f>ROW()-5</f>
        <v/>
      </c>
      <c r="B234" s="64">
        <f>IFERROR(INDEX(tbl_Finance[Date],$A234),"")</f>
        <v/>
      </c>
      <c r="C234" s="65">
        <f>IFERROR(INDEX(tbl_Finance[Xero Invoice No],$A234),"")</f>
        <v/>
      </c>
      <c r="D234" s="65">
        <f>IFERROR(INDEX(tbl_Finance[Client],$A234),"")</f>
        <v/>
      </c>
      <c r="E234" s="65">
        <f>IFERROR(INDEX(tbl_Finance[Job Number],$A234),"")</f>
        <v/>
      </c>
      <c r="F234" s="65">
        <f>IFERROR(INDEX(tbl_Finance[Cost Centre],$A234),"")</f>
        <v/>
      </c>
      <c r="G234" s="66">
        <f>IFERROR(INDEX(tbl_Finance[Ex GST],$A234),"")</f>
        <v/>
      </c>
      <c r="H234" s="64">
        <f>IFERROR(INDEX(tbl_Finance[Defer Start],$A234),"")</f>
        <v/>
      </c>
      <c r="I234" s="64">
        <f>IFERROR(INDEX(tbl_Finance[Defer End],$A234),"")</f>
        <v/>
      </c>
      <c r="J234" s="63">
        <f>IF(OR($H234="",$I234="",$G234=""),"",MAX(1,(YEAR($I234)-YEAR($H234))*12+MONTH($I234)-MONTH($H234)+1))</f>
        <v/>
      </c>
      <c r="K234" s="66">
        <f>IF($J234="","",$G234/$J234)</f>
        <v/>
      </c>
      <c r="L234" s="66">
        <f>IF($J234="",0,$K234*MAX(0,MIN(YEAR($C$3)*12+MONTH($C$3),YEAR($I234)*12+MONTH($I234))-(YEAR($H234)*12+MONTH($H234))+1))</f>
        <v/>
      </c>
      <c r="M234" s="66">
        <f>IF($J234="",0,$K234*MAX(0,MIN(YEAR($C$3)*12+MONTH($C$3)-1,YEAR($I234)*12+MONTH($I234))-(YEAR($H234)*12+MONTH($H234))+1))</f>
        <v/>
      </c>
      <c r="N234" s="66">
        <f>IF(OR($J234="",$B234=""),0,IF(YEAR($B234)*12+MONTH($B234)&lt;=YEAR($C$3)*12+MONTH($C$3),$G234,0))</f>
        <v/>
      </c>
      <c r="O234" s="66">
        <f>IF(OR($J234="",$B234=""),0,IF(YEAR($B234)*12+MONTH($B234)&lt;=YEAR($C$3)*12+MONTH($C$3)-1,$G234,0))</f>
        <v/>
      </c>
      <c r="P234" s="66">
        <f>$M234-$O234</f>
        <v/>
      </c>
      <c r="Q234" s="66">
        <f>($L234-$M234)-($N234-$O234)</f>
        <v/>
      </c>
      <c r="R234" s="66">
        <f>$L234-$N234</f>
        <v/>
      </c>
      <c r="S234" s="65">
        <f>"Finance invoice"</f>
        <v/>
      </c>
      <c r="T234" s="65">
        <f>"Revenue"</f>
        <v/>
      </c>
    </row>
    <row r="235">
      <c r="A235" s="63">
        <f>ROW()-5</f>
        <v/>
      </c>
      <c r="B235" s="64">
        <f>IFERROR(INDEX(tbl_Finance[Date],$A235),"")</f>
        <v/>
      </c>
      <c r="C235" s="65">
        <f>IFERROR(INDEX(tbl_Finance[Xero Invoice No],$A235),"")</f>
        <v/>
      </c>
      <c r="D235" s="65">
        <f>IFERROR(INDEX(tbl_Finance[Client],$A235),"")</f>
        <v/>
      </c>
      <c r="E235" s="65">
        <f>IFERROR(INDEX(tbl_Finance[Job Number],$A235),"")</f>
        <v/>
      </c>
      <c r="F235" s="65">
        <f>IFERROR(INDEX(tbl_Finance[Cost Centre],$A235),"")</f>
        <v/>
      </c>
      <c r="G235" s="66">
        <f>IFERROR(INDEX(tbl_Finance[Ex GST],$A235),"")</f>
        <v/>
      </c>
      <c r="H235" s="64">
        <f>IFERROR(INDEX(tbl_Finance[Defer Start],$A235),"")</f>
        <v/>
      </c>
      <c r="I235" s="64">
        <f>IFERROR(INDEX(tbl_Finance[Defer End],$A235),"")</f>
        <v/>
      </c>
      <c r="J235" s="63">
        <f>IF(OR($H235="",$I235="",$G235=""),"",MAX(1,(YEAR($I235)-YEAR($H235))*12+MONTH($I235)-MONTH($H235)+1))</f>
        <v/>
      </c>
      <c r="K235" s="66">
        <f>IF($J235="","",$G235/$J235)</f>
        <v/>
      </c>
      <c r="L235" s="66">
        <f>IF($J235="",0,$K235*MAX(0,MIN(YEAR($C$3)*12+MONTH($C$3),YEAR($I235)*12+MONTH($I235))-(YEAR($H235)*12+MONTH($H235))+1))</f>
        <v/>
      </c>
      <c r="M235" s="66">
        <f>IF($J235="",0,$K235*MAX(0,MIN(YEAR($C$3)*12+MONTH($C$3)-1,YEAR($I235)*12+MONTH($I235))-(YEAR($H235)*12+MONTH($H235))+1))</f>
        <v/>
      </c>
      <c r="N235" s="66">
        <f>IF(OR($J235="",$B235=""),0,IF(YEAR($B235)*12+MONTH($B235)&lt;=YEAR($C$3)*12+MONTH($C$3),$G235,0))</f>
        <v/>
      </c>
      <c r="O235" s="66">
        <f>IF(OR($J235="",$B235=""),0,IF(YEAR($B235)*12+MONTH($B235)&lt;=YEAR($C$3)*12+MONTH($C$3)-1,$G235,0))</f>
        <v/>
      </c>
      <c r="P235" s="66">
        <f>$M235-$O235</f>
        <v/>
      </c>
      <c r="Q235" s="66">
        <f>($L235-$M235)-($N235-$O235)</f>
        <v/>
      </c>
      <c r="R235" s="66">
        <f>$L235-$N235</f>
        <v/>
      </c>
      <c r="S235" s="65">
        <f>"Finance invoice"</f>
        <v/>
      </c>
      <c r="T235" s="65">
        <f>"Revenue"</f>
        <v/>
      </c>
    </row>
    <row r="236">
      <c r="A236" s="63">
        <f>ROW()-5</f>
        <v/>
      </c>
      <c r="B236" s="64">
        <f>IFERROR(INDEX(tbl_Finance[Date],$A236),"")</f>
        <v/>
      </c>
      <c r="C236" s="65">
        <f>IFERROR(INDEX(tbl_Finance[Xero Invoice No],$A236),"")</f>
        <v/>
      </c>
      <c r="D236" s="65">
        <f>IFERROR(INDEX(tbl_Finance[Client],$A236),"")</f>
        <v/>
      </c>
      <c r="E236" s="65">
        <f>IFERROR(INDEX(tbl_Finance[Job Number],$A236),"")</f>
        <v/>
      </c>
      <c r="F236" s="65">
        <f>IFERROR(INDEX(tbl_Finance[Cost Centre],$A236),"")</f>
        <v/>
      </c>
      <c r="G236" s="66">
        <f>IFERROR(INDEX(tbl_Finance[Ex GST],$A236),"")</f>
        <v/>
      </c>
      <c r="H236" s="64">
        <f>IFERROR(INDEX(tbl_Finance[Defer Start],$A236),"")</f>
        <v/>
      </c>
      <c r="I236" s="64">
        <f>IFERROR(INDEX(tbl_Finance[Defer End],$A236),"")</f>
        <v/>
      </c>
      <c r="J236" s="63">
        <f>IF(OR($H236="",$I236="",$G236=""),"",MAX(1,(YEAR($I236)-YEAR($H236))*12+MONTH($I236)-MONTH($H236)+1))</f>
        <v/>
      </c>
      <c r="K236" s="66">
        <f>IF($J236="","",$G236/$J236)</f>
        <v/>
      </c>
      <c r="L236" s="66">
        <f>IF($J236="",0,$K236*MAX(0,MIN(YEAR($C$3)*12+MONTH($C$3),YEAR($I236)*12+MONTH($I236))-(YEAR($H236)*12+MONTH($H236))+1))</f>
        <v/>
      </c>
      <c r="M236" s="66">
        <f>IF($J236="",0,$K236*MAX(0,MIN(YEAR($C$3)*12+MONTH($C$3)-1,YEAR($I236)*12+MONTH($I236))-(YEAR($H236)*12+MONTH($H236))+1))</f>
        <v/>
      </c>
      <c r="N236" s="66">
        <f>IF(OR($J236="",$B236=""),0,IF(YEAR($B236)*12+MONTH($B236)&lt;=YEAR($C$3)*12+MONTH($C$3),$G236,0))</f>
        <v/>
      </c>
      <c r="O236" s="66">
        <f>IF(OR($J236="",$B236=""),0,IF(YEAR($B236)*12+MONTH($B236)&lt;=YEAR($C$3)*12+MONTH($C$3)-1,$G236,0))</f>
        <v/>
      </c>
      <c r="P236" s="66">
        <f>$M236-$O236</f>
        <v/>
      </c>
      <c r="Q236" s="66">
        <f>($L236-$M236)-($N236-$O236)</f>
        <v/>
      </c>
      <c r="R236" s="66">
        <f>$L236-$N236</f>
        <v/>
      </c>
      <c r="S236" s="65">
        <f>"Finance invoice"</f>
        <v/>
      </c>
      <c r="T236" s="65">
        <f>"Revenue"</f>
        <v/>
      </c>
    </row>
    <row r="237">
      <c r="A237" s="63">
        <f>ROW()-5</f>
        <v/>
      </c>
      <c r="B237" s="64">
        <f>IFERROR(INDEX(tbl_Finance[Date],$A237),"")</f>
        <v/>
      </c>
      <c r="C237" s="65">
        <f>IFERROR(INDEX(tbl_Finance[Xero Invoice No],$A237),"")</f>
        <v/>
      </c>
      <c r="D237" s="65">
        <f>IFERROR(INDEX(tbl_Finance[Client],$A237),"")</f>
        <v/>
      </c>
      <c r="E237" s="65">
        <f>IFERROR(INDEX(tbl_Finance[Job Number],$A237),"")</f>
        <v/>
      </c>
      <c r="F237" s="65">
        <f>IFERROR(INDEX(tbl_Finance[Cost Centre],$A237),"")</f>
        <v/>
      </c>
      <c r="G237" s="66">
        <f>IFERROR(INDEX(tbl_Finance[Ex GST],$A237),"")</f>
        <v/>
      </c>
      <c r="H237" s="64">
        <f>IFERROR(INDEX(tbl_Finance[Defer Start],$A237),"")</f>
        <v/>
      </c>
      <c r="I237" s="64">
        <f>IFERROR(INDEX(tbl_Finance[Defer End],$A237),"")</f>
        <v/>
      </c>
      <c r="J237" s="63">
        <f>IF(OR($H237="",$I237="",$G237=""),"",MAX(1,(YEAR($I237)-YEAR($H237))*12+MONTH($I237)-MONTH($H237)+1))</f>
        <v/>
      </c>
      <c r="K237" s="66">
        <f>IF($J237="","",$G237/$J237)</f>
        <v/>
      </c>
      <c r="L237" s="66">
        <f>IF($J237="",0,$K237*MAX(0,MIN(YEAR($C$3)*12+MONTH($C$3),YEAR($I237)*12+MONTH($I237))-(YEAR($H237)*12+MONTH($H237))+1))</f>
        <v/>
      </c>
      <c r="M237" s="66">
        <f>IF($J237="",0,$K237*MAX(0,MIN(YEAR($C$3)*12+MONTH($C$3)-1,YEAR($I237)*12+MONTH($I237))-(YEAR($H237)*12+MONTH($H237))+1))</f>
        <v/>
      </c>
      <c r="N237" s="66">
        <f>IF(OR($J237="",$B237=""),0,IF(YEAR($B237)*12+MONTH($B237)&lt;=YEAR($C$3)*12+MONTH($C$3),$G237,0))</f>
        <v/>
      </c>
      <c r="O237" s="66">
        <f>IF(OR($J237="",$B237=""),0,IF(YEAR($B237)*12+MONTH($B237)&lt;=YEAR($C$3)*12+MONTH($C$3)-1,$G237,0))</f>
        <v/>
      </c>
      <c r="P237" s="66">
        <f>$M237-$O237</f>
        <v/>
      </c>
      <c r="Q237" s="66">
        <f>($L237-$M237)-($N237-$O237)</f>
        <v/>
      </c>
      <c r="R237" s="66">
        <f>$L237-$N237</f>
        <v/>
      </c>
      <c r="S237" s="65">
        <f>"Finance invoice"</f>
        <v/>
      </c>
      <c r="T237" s="65">
        <f>"Revenue"</f>
        <v/>
      </c>
    </row>
    <row r="238">
      <c r="A238" s="63">
        <f>ROW()-5</f>
        <v/>
      </c>
      <c r="B238" s="64">
        <f>IFERROR(INDEX(tbl_Finance[Date],$A238),"")</f>
        <v/>
      </c>
      <c r="C238" s="65">
        <f>IFERROR(INDEX(tbl_Finance[Xero Invoice No],$A238),"")</f>
        <v/>
      </c>
      <c r="D238" s="65">
        <f>IFERROR(INDEX(tbl_Finance[Client],$A238),"")</f>
        <v/>
      </c>
      <c r="E238" s="65">
        <f>IFERROR(INDEX(tbl_Finance[Job Number],$A238),"")</f>
        <v/>
      </c>
      <c r="F238" s="65">
        <f>IFERROR(INDEX(tbl_Finance[Cost Centre],$A238),"")</f>
        <v/>
      </c>
      <c r="G238" s="66">
        <f>IFERROR(INDEX(tbl_Finance[Ex GST],$A238),"")</f>
        <v/>
      </c>
      <c r="H238" s="64">
        <f>IFERROR(INDEX(tbl_Finance[Defer Start],$A238),"")</f>
        <v/>
      </c>
      <c r="I238" s="64">
        <f>IFERROR(INDEX(tbl_Finance[Defer End],$A238),"")</f>
        <v/>
      </c>
      <c r="J238" s="63">
        <f>IF(OR($H238="",$I238="",$G238=""),"",MAX(1,(YEAR($I238)-YEAR($H238))*12+MONTH($I238)-MONTH($H238)+1))</f>
        <v/>
      </c>
      <c r="K238" s="66">
        <f>IF($J238="","",$G238/$J238)</f>
        <v/>
      </c>
      <c r="L238" s="66">
        <f>IF($J238="",0,$K238*MAX(0,MIN(YEAR($C$3)*12+MONTH($C$3),YEAR($I238)*12+MONTH($I238))-(YEAR($H238)*12+MONTH($H238))+1))</f>
        <v/>
      </c>
      <c r="M238" s="66">
        <f>IF($J238="",0,$K238*MAX(0,MIN(YEAR($C$3)*12+MONTH($C$3)-1,YEAR($I238)*12+MONTH($I238))-(YEAR($H238)*12+MONTH($H238))+1))</f>
        <v/>
      </c>
      <c r="N238" s="66">
        <f>IF(OR($J238="",$B238=""),0,IF(YEAR($B238)*12+MONTH($B238)&lt;=YEAR($C$3)*12+MONTH($C$3),$G238,0))</f>
        <v/>
      </c>
      <c r="O238" s="66">
        <f>IF(OR($J238="",$B238=""),0,IF(YEAR($B238)*12+MONTH($B238)&lt;=YEAR($C$3)*12+MONTH($C$3)-1,$G238,0))</f>
        <v/>
      </c>
      <c r="P238" s="66">
        <f>$M238-$O238</f>
        <v/>
      </c>
      <c r="Q238" s="66">
        <f>($L238-$M238)-($N238-$O238)</f>
        <v/>
      </c>
      <c r="R238" s="66">
        <f>$L238-$N238</f>
        <v/>
      </c>
      <c r="S238" s="65">
        <f>"Finance invoice"</f>
        <v/>
      </c>
      <c r="T238" s="65">
        <f>"Revenue"</f>
        <v/>
      </c>
    </row>
    <row r="239">
      <c r="A239" s="63">
        <f>ROW()-5</f>
        <v/>
      </c>
      <c r="B239" s="64">
        <f>IFERROR(INDEX(tbl_Finance[Date],$A239),"")</f>
        <v/>
      </c>
      <c r="C239" s="65">
        <f>IFERROR(INDEX(tbl_Finance[Xero Invoice No],$A239),"")</f>
        <v/>
      </c>
      <c r="D239" s="65">
        <f>IFERROR(INDEX(tbl_Finance[Client],$A239),"")</f>
        <v/>
      </c>
      <c r="E239" s="65">
        <f>IFERROR(INDEX(tbl_Finance[Job Number],$A239),"")</f>
        <v/>
      </c>
      <c r="F239" s="65">
        <f>IFERROR(INDEX(tbl_Finance[Cost Centre],$A239),"")</f>
        <v/>
      </c>
      <c r="G239" s="66">
        <f>IFERROR(INDEX(tbl_Finance[Ex GST],$A239),"")</f>
        <v/>
      </c>
      <c r="H239" s="64">
        <f>IFERROR(INDEX(tbl_Finance[Defer Start],$A239),"")</f>
        <v/>
      </c>
      <c r="I239" s="64">
        <f>IFERROR(INDEX(tbl_Finance[Defer End],$A239),"")</f>
        <v/>
      </c>
      <c r="J239" s="63">
        <f>IF(OR($H239="",$I239="",$G239=""),"",MAX(1,(YEAR($I239)-YEAR($H239))*12+MONTH($I239)-MONTH($H239)+1))</f>
        <v/>
      </c>
      <c r="K239" s="66">
        <f>IF($J239="","",$G239/$J239)</f>
        <v/>
      </c>
      <c r="L239" s="66">
        <f>IF($J239="",0,$K239*MAX(0,MIN(YEAR($C$3)*12+MONTH($C$3),YEAR($I239)*12+MONTH($I239))-(YEAR($H239)*12+MONTH($H239))+1))</f>
        <v/>
      </c>
      <c r="M239" s="66">
        <f>IF($J239="",0,$K239*MAX(0,MIN(YEAR($C$3)*12+MONTH($C$3)-1,YEAR($I239)*12+MONTH($I239))-(YEAR($H239)*12+MONTH($H239))+1))</f>
        <v/>
      </c>
      <c r="N239" s="66">
        <f>IF(OR($J239="",$B239=""),0,IF(YEAR($B239)*12+MONTH($B239)&lt;=YEAR($C$3)*12+MONTH($C$3),$G239,0))</f>
        <v/>
      </c>
      <c r="O239" s="66">
        <f>IF(OR($J239="",$B239=""),0,IF(YEAR($B239)*12+MONTH($B239)&lt;=YEAR($C$3)*12+MONTH($C$3)-1,$G239,0))</f>
        <v/>
      </c>
      <c r="P239" s="66">
        <f>$M239-$O239</f>
        <v/>
      </c>
      <c r="Q239" s="66">
        <f>($L239-$M239)-($N239-$O239)</f>
        <v/>
      </c>
      <c r="R239" s="66">
        <f>$L239-$N239</f>
        <v/>
      </c>
      <c r="S239" s="65">
        <f>"Finance invoice"</f>
        <v/>
      </c>
      <c r="T239" s="65">
        <f>"Revenue"</f>
        <v/>
      </c>
    </row>
    <row r="240">
      <c r="A240" s="63">
        <f>ROW()-5</f>
        <v/>
      </c>
      <c r="B240" s="64">
        <f>IFERROR(INDEX(tbl_Finance[Date],$A240),"")</f>
        <v/>
      </c>
      <c r="C240" s="65">
        <f>IFERROR(INDEX(tbl_Finance[Xero Invoice No],$A240),"")</f>
        <v/>
      </c>
      <c r="D240" s="65">
        <f>IFERROR(INDEX(tbl_Finance[Client],$A240),"")</f>
        <v/>
      </c>
      <c r="E240" s="65">
        <f>IFERROR(INDEX(tbl_Finance[Job Number],$A240),"")</f>
        <v/>
      </c>
      <c r="F240" s="65">
        <f>IFERROR(INDEX(tbl_Finance[Cost Centre],$A240),"")</f>
        <v/>
      </c>
      <c r="G240" s="66">
        <f>IFERROR(INDEX(tbl_Finance[Ex GST],$A240),"")</f>
        <v/>
      </c>
      <c r="H240" s="64">
        <f>IFERROR(INDEX(tbl_Finance[Defer Start],$A240),"")</f>
        <v/>
      </c>
      <c r="I240" s="64">
        <f>IFERROR(INDEX(tbl_Finance[Defer End],$A240),"")</f>
        <v/>
      </c>
      <c r="J240" s="63">
        <f>IF(OR($H240="",$I240="",$G240=""),"",MAX(1,(YEAR($I240)-YEAR($H240))*12+MONTH($I240)-MONTH($H240)+1))</f>
        <v/>
      </c>
      <c r="K240" s="66">
        <f>IF($J240="","",$G240/$J240)</f>
        <v/>
      </c>
      <c r="L240" s="66">
        <f>IF($J240="",0,$K240*MAX(0,MIN(YEAR($C$3)*12+MONTH($C$3),YEAR($I240)*12+MONTH($I240))-(YEAR($H240)*12+MONTH($H240))+1))</f>
        <v/>
      </c>
      <c r="M240" s="66">
        <f>IF($J240="",0,$K240*MAX(0,MIN(YEAR($C$3)*12+MONTH($C$3)-1,YEAR($I240)*12+MONTH($I240))-(YEAR($H240)*12+MONTH($H240))+1))</f>
        <v/>
      </c>
      <c r="N240" s="66">
        <f>IF(OR($J240="",$B240=""),0,IF(YEAR($B240)*12+MONTH($B240)&lt;=YEAR($C$3)*12+MONTH($C$3),$G240,0))</f>
        <v/>
      </c>
      <c r="O240" s="66">
        <f>IF(OR($J240="",$B240=""),0,IF(YEAR($B240)*12+MONTH($B240)&lt;=YEAR($C$3)*12+MONTH($C$3)-1,$G240,0))</f>
        <v/>
      </c>
      <c r="P240" s="66">
        <f>$M240-$O240</f>
        <v/>
      </c>
      <c r="Q240" s="66">
        <f>($L240-$M240)-($N240-$O240)</f>
        <v/>
      </c>
      <c r="R240" s="66">
        <f>$L240-$N240</f>
        <v/>
      </c>
      <c r="S240" s="65">
        <f>"Finance invoice"</f>
        <v/>
      </c>
      <c r="T240" s="65">
        <f>"Revenue"</f>
        <v/>
      </c>
    </row>
    <row r="241">
      <c r="A241" s="63">
        <f>ROW()-5</f>
        <v/>
      </c>
      <c r="B241" s="64">
        <f>IFERROR(INDEX(tbl_Finance[Date],$A241),"")</f>
        <v/>
      </c>
      <c r="C241" s="65">
        <f>IFERROR(INDEX(tbl_Finance[Xero Invoice No],$A241),"")</f>
        <v/>
      </c>
      <c r="D241" s="65">
        <f>IFERROR(INDEX(tbl_Finance[Client],$A241),"")</f>
        <v/>
      </c>
      <c r="E241" s="65">
        <f>IFERROR(INDEX(tbl_Finance[Job Number],$A241),"")</f>
        <v/>
      </c>
      <c r="F241" s="65">
        <f>IFERROR(INDEX(tbl_Finance[Cost Centre],$A241),"")</f>
        <v/>
      </c>
      <c r="G241" s="66">
        <f>IFERROR(INDEX(tbl_Finance[Ex GST],$A241),"")</f>
        <v/>
      </c>
      <c r="H241" s="64">
        <f>IFERROR(INDEX(tbl_Finance[Defer Start],$A241),"")</f>
        <v/>
      </c>
      <c r="I241" s="64">
        <f>IFERROR(INDEX(tbl_Finance[Defer End],$A241),"")</f>
        <v/>
      </c>
      <c r="J241" s="63">
        <f>IF(OR($H241="",$I241="",$G241=""),"",MAX(1,(YEAR($I241)-YEAR($H241))*12+MONTH($I241)-MONTH($H241)+1))</f>
        <v/>
      </c>
      <c r="K241" s="66">
        <f>IF($J241="","",$G241/$J241)</f>
        <v/>
      </c>
      <c r="L241" s="66">
        <f>IF($J241="",0,$K241*MAX(0,MIN(YEAR($C$3)*12+MONTH($C$3),YEAR($I241)*12+MONTH($I241))-(YEAR($H241)*12+MONTH($H241))+1))</f>
        <v/>
      </c>
      <c r="M241" s="66">
        <f>IF($J241="",0,$K241*MAX(0,MIN(YEAR($C$3)*12+MONTH($C$3)-1,YEAR($I241)*12+MONTH($I241))-(YEAR($H241)*12+MONTH($H241))+1))</f>
        <v/>
      </c>
      <c r="N241" s="66">
        <f>IF(OR($J241="",$B241=""),0,IF(YEAR($B241)*12+MONTH($B241)&lt;=YEAR($C$3)*12+MONTH($C$3),$G241,0))</f>
        <v/>
      </c>
      <c r="O241" s="66">
        <f>IF(OR($J241="",$B241=""),0,IF(YEAR($B241)*12+MONTH($B241)&lt;=YEAR($C$3)*12+MONTH($C$3)-1,$G241,0))</f>
        <v/>
      </c>
      <c r="P241" s="66">
        <f>$M241-$O241</f>
        <v/>
      </c>
      <c r="Q241" s="66">
        <f>($L241-$M241)-($N241-$O241)</f>
        <v/>
      </c>
      <c r="R241" s="66">
        <f>$L241-$N241</f>
        <v/>
      </c>
      <c r="S241" s="65">
        <f>"Finance invoice"</f>
        <v/>
      </c>
      <c r="T241" s="65">
        <f>"Revenue"</f>
        <v/>
      </c>
    </row>
    <row r="242">
      <c r="A242" s="63">
        <f>ROW()-5</f>
        <v/>
      </c>
      <c r="B242" s="64">
        <f>IFERROR(INDEX(tbl_Finance[Date],$A242),"")</f>
        <v/>
      </c>
      <c r="C242" s="65">
        <f>IFERROR(INDEX(tbl_Finance[Xero Invoice No],$A242),"")</f>
        <v/>
      </c>
      <c r="D242" s="65">
        <f>IFERROR(INDEX(tbl_Finance[Client],$A242),"")</f>
        <v/>
      </c>
      <c r="E242" s="65">
        <f>IFERROR(INDEX(tbl_Finance[Job Number],$A242),"")</f>
        <v/>
      </c>
      <c r="F242" s="65">
        <f>IFERROR(INDEX(tbl_Finance[Cost Centre],$A242),"")</f>
        <v/>
      </c>
      <c r="G242" s="66">
        <f>IFERROR(INDEX(tbl_Finance[Ex GST],$A242),"")</f>
        <v/>
      </c>
      <c r="H242" s="64">
        <f>IFERROR(INDEX(tbl_Finance[Defer Start],$A242),"")</f>
        <v/>
      </c>
      <c r="I242" s="64">
        <f>IFERROR(INDEX(tbl_Finance[Defer End],$A242),"")</f>
        <v/>
      </c>
      <c r="J242" s="63">
        <f>IF(OR($H242="",$I242="",$G242=""),"",MAX(1,(YEAR($I242)-YEAR($H242))*12+MONTH($I242)-MONTH($H242)+1))</f>
        <v/>
      </c>
      <c r="K242" s="66">
        <f>IF($J242="","",$G242/$J242)</f>
        <v/>
      </c>
      <c r="L242" s="66">
        <f>IF($J242="",0,$K242*MAX(0,MIN(YEAR($C$3)*12+MONTH($C$3),YEAR($I242)*12+MONTH($I242))-(YEAR($H242)*12+MONTH($H242))+1))</f>
        <v/>
      </c>
      <c r="M242" s="66">
        <f>IF($J242="",0,$K242*MAX(0,MIN(YEAR($C$3)*12+MONTH($C$3)-1,YEAR($I242)*12+MONTH($I242))-(YEAR($H242)*12+MONTH($H242))+1))</f>
        <v/>
      </c>
      <c r="N242" s="66">
        <f>IF(OR($J242="",$B242=""),0,IF(YEAR($B242)*12+MONTH($B242)&lt;=YEAR($C$3)*12+MONTH($C$3),$G242,0))</f>
        <v/>
      </c>
      <c r="O242" s="66">
        <f>IF(OR($J242="",$B242=""),0,IF(YEAR($B242)*12+MONTH($B242)&lt;=YEAR($C$3)*12+MONTH($C$3)-1,$G242,0))</f>
        <v/>
      </c>
      <c r="P242" s="66">
        <f>$M242-$O242</f>
        <v/>
      </c>
      <c r="Q242" s="66">
        <f>($L242-$M242)-($N242-$O242)</f>
        <v/>
      </c>
      <c r="R242" s="66">
        <f>$L242-$N242</f>
        <v/>
      </c>
      <c r="S242" s="65">
        <f>"Finance invoice"</f>
        <v/>
      </c>
      <c r="T242" s="65">
        <f>"Revenue"</f>
        <v/>
      </c>
    </row>
    <row r="243">
      <c r="A243" s="63">
        <f>ROW()-5</f>
        <v/>
      </c>
      <c r="B243" s="64">
        <f>IFERROR(INDEX(tbl_Finance[Date],$A243),"")</f>
        <v/>
      </c>
      <c r="C243" s="65">
        <f>IFERROR(INDEX(tbl_Finance[Xero Invoice No],$A243),"")</f>
        <v/>
      </c>
      <c r="D243" s="65">
        <f>IFERROR(INDEX(tbl_Finance[Client],$A243),"")</f>
        <v/>
      </c>
      <c r="E243" s="65">
        <f>IFERROR(INDEX(tbl_Finance[Job Number],$A243),"")</f>
        <v/>
      </c>
      <c r="F243" s="65">
        <f>IFERROR(INDEX(tbl_Finance[Cost Centre],$A243),"")</f>
        <v/>
      </c>
      <c r="G243" s="66">
        <f>IFERROR(INDEX(tbl_Finance[Ex GST],$A243),"")</f>
        <v/>
      </c>
      <c r="H243" s="64">
        <f>IFERROR(INDEX(tbl_Finance[Defer Start],$A243),"")</f>
        <v/>
      </c>
      <c r="I243" s="64">
        <f>IFERROR(INDEX(tbl_Finance[Defer End],$A243),"")</f>
        <v/>
      </c>
      <c r="J243" s="63">
        <f>IF(OR($H243="",$I243="",$G243=""),"",MAX(1,(YEAR($I243)-YEAR($H243))*12+MONTH($I243)-MONTH($H243)+1))</f>
        <v/>
      </c>
      <c r="K243" s="66">
        <f>IF($J243="","",$G243/$J243)</f>
        <v/>
      </c>
      <c r="L243" s="66">
        <f>IF($J243="",0,$K243*MAX(0,MIN(YEAR($C$3)*12+MONTH($C$3),YEAR($I243)*12+MONTH($I243))-(YEAR($H243)*12+MONTH($H243))+1))</f>
        <v/>
      </c>
      <c r="M243" s="66">
        <f>IF($J243="",0,$K243*MAX(0,MIN(YEAR($C$3)*12+MONTH($C$3)-1,YEAR($I243)*12+MONTH($I243))-(YEAR($H243)*12+MONTH($H243))+1))</f>
        <v/>
      </c>
      <c r="N243" s="66">
        <f>IF(OR($J243="",$B243=""),0,IF(YEAR($B243)*12+MONTH($B243)&lt;=YEAR($C$3)*12+MONTH($C$3),$G243,0))</f>
        <v/>
      </c>
      <c r="O243" s="66">
        <f>IF(OR($J243="",$B243=""),0,IF(YEAR($B243)*12+MONTH($B243)&lt;=YEAR($C$3)*12+MONTH($C$3)-1,$G243,0))</f>
        <v/>
      </c>
      <c r="P243" s="66">
        <f>$M243-$O243</f>
        <v/>
      </c>
      <c r="Q243" s="66">
        <f>($L243-$M243)-($N243-$O243)</f>
        <v/>
      </c>
      <c r="R243" s="66">
        <f>$L243-$N243</f>
        <v/>
      </c>
      <c r="S243" s="65">
        <f>"Finance invoice"</f>
        <v/>
      </c>
      <c r="T243" s="65">
        <f>"Revenue"</f>
        <v/>
      </c>
    </row>
    <row r="244">
      <c r="A244" s="63">
        <f>ROW()-5</f>
        <v/>
      </c>
      <c r="B244" s="64">
        <f>IFERROR(INDEX(tbl_Finance[Date],$A244),"")</f>
        <v/>
      </c>
      <c r="C244" s="65">
        <f>IFERROR(INDEX(tbl_Finance[Xero Invoice No],$A244),"")</f>
        <v/>
      </c>
      <c r="D244" s="65">
        <f>IFERROR(INDEX(tbl_Finance[Client],$A244),"")</f>
        <v/>
      </c>
      <c r="E244" s="65">
        <f>IFERROR(INDEX(tbl_Finance[Job Number],$A244),"")</f>
        <v/>
      </c>
      <c r="F244" s="65">
        <f>IFERROR(INDEX(tbl_Finance[Cost Centre],$A244),"")</f>
        <v/>
      </c>
      <c r="G244" s="66">
        <f>IFERROR(INDEX(tbl_Finance[Ex GST],$A244),"")</f>
        <v/>
      </c>
      <c r="H244" s="64">
        <f>IFERROR(INDEX(tbl_Finance[Defer Start],$A244),"")</f>
        <v/>
      </c>
      <c r="I244" s="64">
        <f>IFERROR(INDEX(tbl_Finance[Defer End],$A244),"")</f>
        <v/>
      </c>
      <c r="J244" s="63">
        <f>IF(OR($H244="",$I244="",$G244=""),"",MAX(1,(YEAR($I244)-YEAR($H244))*12+MONTH($I244)-MONTH($H244)+1))</f>
        <v/>
      </c>
      <c r="K244" s="66">
        <f>IF($J244="","",$G244/$J244)</f>
        <v/>
      </c>
      <c r="L244" s="66">
        <f>IF($J244="",0,$K244*MAX(0,MIN(YEAR($C$3)*12+MONTH($C$3),YEAR($I244)*12+MONTH($I244))-(YEAR($H244)*12+MONTH($H244))+1))</f>
        <v/>
      </c>
      <c r="M244" s="66">
        <f>IF($J244="",0,$K244*MAX(0,MIN(YEAR($C$3)*12+MONTH($C$3)-1,YEAR($I244)*12+MONTH($I244))-(YEAR($H244)*12+MONTH($H244))+1))</f>
        <v/>
      </c>
      <c r="N244" s="66">
        <f>IF(OR($J244="",$B244=""),0,IF(YEAR($B244)*12+MONTH($B244)&lt;=YEAR($C$3)*12+MONTH($C$3),$G244,0))</f>
        <v/>
      </c>
      <c r="O244" s="66">
        <f>IF(OR($J244="",$B244=""),0,IF(YEAR($B244)*12+MONTH($B244)&lt;=YEAR($C$3)*12+MONTH($C$3)-1,$G244,0))</f>
        <v/>
      </c>
      <c r="P244" s="66">
        <f>$M244-$O244</f>
        <v/>
      </c>
      <c r="Q244" s="66">
        <f>($L244-$M244)-($N244-$O244)</f>
        <v/>
      </c>
      <c r="R244" s="66">
        <f>$L244-$N244</f>
        <v/>
      </c>
      <c r="S244" s="65">
        <f>"Finance invoice"</f>
        <v/>
      </c>
      <c r="T244" s="65">
        <f>"Revenue"</f>
        <v/>
      </c>
    </row>
    <row r="245">
      <c r="A245" s="63">
        <f>ROW()-5</f>
        <v/>
      </c>
      <c r="B245" s="64">
        <f>IFERROR(INDEX(tbl_Finance[Date],$A245),"")</f>
        <v/>
      </c>
      <c r="C245" s="65">
        <f>IFERROR(INDEX(tbl_Finance[Xero Invoice No],$A245),"")</f>
        <v/>
      </c>
      <c r="D245" s="65">
        <f>IFERROR(INDEX(tbl_Finance[Client],$A245),"")</f>
        <v/>
      </c>
      <c r="E245" s="65">
        <f>IFERROR(INDEX(tbl_Finance[Job Number],$A245),"")</f>
        <v/>
      </c>
      <c r="F245" s="65">
        <f>IFERROR(INDEX(tbl_Finance[Cost Centre],$A245),"")</f>
        <v/>
      </c>
      <c r="G245" s="66">
        <f>IFERROR(INDEX(tbl_Finance[Ex GST],$A245),"")</f>
        <v/>
      </c>
      <c r="H245" s="64">
        <f>IFERROR(INDEX(tbl_Finance[Defer Start],$A245),"")</f>
        <v/>
      </c>
      <c r="I245" s="64">
        <f>IFERROR(INDEX(tbl_Finance[Defer End],$A245),"")</f>
        <v/>
      </c>
      <c r="J245" s="63">
        <f>IF(OR($H245="",$I245="",$G245=""),"",MAX(1,(YEAR($I245)-YEAR($H245))*12+MONTH($I245)-MONTH($H245)+1))</f>
        <v/>
      </c>
      <c r="K245" s="66">
        <f>IF($J245="","",$G245/$J245)</f>
        <v/>
      </c>
      <c r="L245" s="66">
        <f>IF($J245="",0,$K245*MAX(0,MIN(YEAR($C$3)*12+MONTH($C$3),YEAR($I245)*12+MONTH($I245))-(YEAR($H245)*12+MONTH($H245))+1))</f>
        <v/>
      </c>
      <c r="M245" s="66">
        <f>IF($J245="",0,$K245*MAX(0,MIN(YEAR($C$3)*12+MONTH($C$3)-1,YEAR($I245)*12+MONTH($I245))-(YEAR($H245)*12+MONTH($H245))+1))</f>
        <v/>
      </c>
      <c r="N245" s="66">
        <f>IF(OR($J245="",$B245=""),0,IF(YEAR($B245)*12+MONTH($B245)&lt;=YEAR($C$3)*12+MONTH($C$3),$G245,0))</f>
        <v/>
      </c>
      <c r="O245" s="66">
        <f>IF(OR($J245="",$B245=""),0,IF(YEAR($B245)*12+MONTH($B245)&lt;=YEAR($C$3)*12+MONTH($C$3)-1,$G245,0))</f>
        <v/>
      </c>
      <c r="P245" s="66">
        <f>$M245-$O245</f>
        <v/>
      </c>
      <c r="Q245" s="66">
        <f>($L245-$M245)-($N245-$O245)</f>
        <v/>
      </c>
      <c r="R245" s="66">
        <f>$L245-$N245</f>
        <v/>
      </c>
      <c r="S245" s="65">
        <f>"Finance invoice"</f>
        <v/>
      </c>
      <c r="T245" s="65">
        <f>"Revenue"</f>
        <v/>
      </c>
    </row>
    <row r="246">
      <c r="A246" s="63">
        <f>ROW()-5</f>
        <v/>
      </c>
      <c r="B246" s="64">
        <f>IFERROR(INDEX(tbl_Finance[Date],$A246),"")</f>
        <v/>
      </c>
      <c r="C246" s="65">
        <f>IFERROR(INDEX(tbl_Finance[Xero Invoice No],$A246),"")</f>
        <v/>
      </c>
      <c r="D246" s="65">
        <f>IFERROR(INDEX(tbl_Finance[Client],$A246),"")</f>
        <v/>
      </c>
      <c r="E246" s="65">
        <f>IFERROR(INDEX(tbl_Finance[Job Number],$A246),"")</f>
        <v/>
      </c>
      <c r="F246" s="65">
        <f>IFERROR(INDEX(tbl_Finance[Cost Centre],$A246),"")</f>
        <v/>
      </c>
      <c r="G246" s="66">
        <f>IFERROR(INDEX(tbl_Finance[Ex GST],$A246),"")</f>
        <v/>
      </c>
      <c r="H246" s="64">
        <f>IFERROR(INDEX(tbl_Finance[Defer Start],$A246),"")</f>
        <v/>
      </c>
      <c r="I246" s="64">
        <f>IFERROR(INDEX(tbl_Finance[Defer End],$A246),"")</f>
        <v/>
      </c>
      <c r="J246" s="63">
        <f>IF(OR($H246="",$I246="",$G246=""),"",MAX(1,(YEAR($I246)-YEAR($H246))*12+MONTH($I246)-MONTH($H246)+1))</f>
        <v/>
      </c>
      <c r="K246" s="66">
        <f>IF($J246="","",$G246/$J246)</f>
        <v/>
      </c>
      <c r="L246" s="66">
        <f>IF($J246="",0,$K246*MAX(0,MIN(YEAR($C$3)*12+MONTH($C$3),YEAR($I246)*12+MONTH($I246))-(YEAR($H246)*12+MONTH($H246))+1))</f>
        <v/>
      </c>
      <c r="M246" s="66">
        <f>IF($J246="",0,$K246*MAX(0,MIN(YEAR($C$3)*12+MONTH($C$3)-1,YEAR($I246)*12+MONTH($I246))-(YEAR($H246)*12+MONTH($H246))+1))</f>
        <v/>
      </c>
      <c r="N246" s="66">
        <f>IF(OR($J246="",$B246=""),0,IF(YEAR($B246)*12+MONTH($B246)&lt;=YEAR($C$3)*12+MONTH($C$3),$G246,0))</f>
        <v/>
      </c>
      <c r="O246" s="66">
        <f>IF(OR($J246="",$B246=""),0,IF(YEAR($B246)*12+MONTH($B246)&lt;=YEAR($C$3)*12+MONTH($C$3)-1,$G246,0))</f>
        <v/>
      </c>
      <c r="P246" s="66">
        <f>$M246-$O246</f>
        <v/>
      </c>
      <c r="Q246" s="66">
        <f>($L246-$M246)-($N246-$O246)</f>
        <v/>
      </c>
      <c r="R246" s="66">
        <f>$L246-$N246</f>
        <v/>
      </c>
      <c r="S246" s="65">
        <f>"Finance invoice"</f>
        <v/>
      </c>
      <c r="T246" s="65">
        <f>"Revenue"</f>
        <v/>
      </c>
    </row>
    <row r="247">
      <c r="A247" s="63">
        <f>ROW()-5</f>
        <v/>
      </c>
      <c r="B247" s="64">
        <f>IFERROR(INDEX(tbl_Finance[Date],$A247),"")</f>
        <v/>
      </c>
      <c r="C247" s="65">
        <f>IFERROR(INDEX(tbl_Finance[Xero Invoice No],$A247),"")</f>
        <v/>
      </c>
      <c r="D247" s="65">
        <f>IFERROR(INDEX(tbl_Finance[Client],$A247),"")</f>
        <v/>
      </c>
      <c r="E247" s="65">
        <f>IFERROR(INDEX(tbl_Finance[Job Number],$A247),"")</f>
        <v/>
      </c>
      <c r="F247" s="65">
        <f>IFERROR(INDEX(tbl_Finance[Cost Centre],$A247),"")</f>
        <v/>
      </c>
      <c r="G247" s="66">
        <f>IFERROR(INDEX(tbl_Finance[Ex GST],$A247),"")</f>
        <v/>
      </c>
      <c r="H247" s="64">
        <f>IFERROR(INDEX(tbl_Finance[Defer Start],$A247),"")</f>
        <v/>
      </c>
      <c r="I247" s="64">
        <f>IFERROR(INDEX(tbl_Finance[Defer End],$A247),"")</f>
        <v/>
      </c>
      <c r="J247" s="63">
        <f>IF(OR($H247="",$I247="",$G247=""),"",MAX(1,(YEAR($I247)-YEAR($H247))*12+MONTH($I247)-MONTH($H247)+1))</f>
        <v/>
      </c>
      <c r="K247" s="66">
        <f>IF($J247="","",$G247/$J247)</f>
        <v/>
      </c>
      <c r="L247" s="66">
        <f>IF($J247="",0,$K247*MAX(0,MIN(YEAR($C$3)*12+MONTH($C$3),YEAR($I247)*12+MONTH($I247))-(YEAR($H247)*12+MONTH($H247))+1))</f>
        <v/>
      </c>
      <c r="M247" s="66">
        <f>IF($J247="",0,$K247*MAX(0,MIN(YEAR($C$3)*12+MONTH($C$3)-1,YEAR($I247)*12+MONTH($I247))-(YEAR($H247)*12+MONTH($H247))+1))</f>
        <v/>
      </c>
      <c r="N247" s="66">
        <f>IF(OR($J247="",$B247=""),0,IF(YEAR($B247)*12+MONTH($B247)&lt;=YEAR($C$3)*12+MONTH($C$3),$G247,0))</f>
        <v/>
      </c>
      <c r="O247" s="66">
        <f>IF(OR($J247="",$B247=""),0,IF(YEAR($B247)*12+MONTH($B247)&lt;=YEAR($C$3)*12+MONTH($C$3)-1,$G247,0))</f>
        <v/>
      </c>
      <c r="P247" s="66">
        <f>$M247-$O247</f>
        <v/>
      </c>
      <c r="Q247" s="66">
        <f>($L247-$M247)-($N247-$O247)</f>
        <v/>
      </c>
      <c r="R247" s="66">
        <f>$L247-$N247</f>
        <v/>
      </c>
      <c r="S247" s="65">
        <f>"Finance invoice"</f>
        <v/>
      </c>
      <c r="T247" s="65">
        <f>"Revenue"</f>
        <v/>
      </c>
    </row>
    <row r="248">
      <c r="A248" s="63">
        <f>ROW()-5</f>
        <v/>
      </c>
      <c r="B248" s="64">
        <f>IFERROR(INDEX(tbl_Finance[Date],$A248),"")</f>
        <v/>
      </c>
      <c r="C248" s="65">
        <f>IFERROR(INDEX(tbl_Finance[Xero Invoice No],$A248),"")</f>
        <v/>
      </c>
      <c r="D248" s="65">
        <f>IFERROR(INDEX(tbl_Finance[Client],$A248),"")</f>
        <v/>
      </c>
      <c r="E248" s="65">
        <f>IFERROR(INDEX(tbl_Finance[Job Number],$A248),"")</f>
        <v/>
      </c>
      <c r="F248" s="65">
        <f>IFERROR(INDEX(tbl_Finance[Cost Centre],$A248),"")</f>
        <v/>
      </c>
      <c r="G248" s="66">
        <f>IFERROR(INDEX(tbl_Finance[Ex GST],$A248),"")</f>
        <v/>
      </c>
      <c r="H248" s="64">
        <f>IFERROR(INDEX(tbl_Finance[Defer Start],$A248),"")</f>
        <v/>
      </c>
      <c r="I248" s="64">
        <f>IFERROR(INDEX(tbl_Finance[Defer End],$A248),"")</f>
        <v/>
      </c>
      <c r="J248" s="63">
        <f>IF(OR($H248="",$I248="",$G248=""),"",MAX(1,(YEAR($I248)-YEAR($H248))*12+MONTH($I248)-MONTH($H248)+1))</f>
        <v/>
      </c>
      <c r="K248" s="66">
        <f>IF($J248="","",$G248/$J248)</f>
        <v/>
      </c>
      <c r="L248" s="66">
        <f>IF($J248="",0,$K248*MAX(0,MIN(YEAR($C$3)*12+MONTH($C$3),YEAR($I248)*12+MONTH($I248))-(YEAR($H248)*12+MONTH($H248))+1))</f>
        <v/>
      </c>
      <c r="M248" s="66">
        <f>IF($J248="",0,$K248*MAX(0,MIN(YEAR($C$3)*12+MONTH($C$3)-1,YEAR($I248)*12+MONTH($I248))-(YEAR($H248)*12+MONTH($H248))+1))</f>
        <v/>
      </c>
      <c r="N248" s="66">
        <f>IF(OR($J248="",$B248=""),0,IF(YEAR($B248)*12+MONTH($B248)&lt;=YEAR($C$3)*12+MONTH($C$3),$G248,0))</f>
        <v/>
      </c>
      <c r="O248" s="66">
        <f>IF(OR($J248="",$B248=""),0,IF(YEAR($B248)*12+MONTH($B248)&lt;=YEAR($C$3)*12+MONTH($C$3)-1,$G248,0))</f>
        <v/>
      </c>
      <c r="P248" s="66">
        <f>$M248-$O248</f>
        <v/>
      </c>
      <c r="Q248" s="66">
        <f>($L248-$M248)-($N248-$O248)</f>
        <v/>
      </c>
      <c r="R248" s="66">
        <f>$L248-$N248</f>
        <v/>
      </c>
      <c r="S248" s="65">
        <f>"Finance invoice"</f>
        <v/>
      </c>
      <c r="T248" s="65">
        <f>"Revenue"</f>
        <v/>
      </c>
    </row>
    <row r="249">
      <c r="A249" s="63">
        <f>ROW()-5</f>
        <v/>
      </c>
      <c r="B249" s="64">
        <f>IFERROR(INDEX(tbl_Finance[Date],$A249),"")</f>
        <v/>
      </c>
      <c r="C249" s="65">
        <f>IFERROR(INDEX(tbl_Finance[Xero Invoice No],$A249),"")</f>
        <v/>
      </c>
      <c r="D249" s="65">
        <f>IFERROR(INDEX(tbl_Finance[Client],$A249),"")</f>
        <v/>
      </c>
      <c r="E249" s="65">
        <f>IFERROR(INDEX(tbl_Finance[Job Number],$A249),"")</f>
        <v/>
      </c>
      <c r="F249" s="65">
        <f>IFERROR(INDEX(tbl_Finance[Cost Centre],$A249),"")</f>
        <v/>
      </c>
      <c r="G249" s="66">
        <f>IFERROR(INDEX(tbl_Finance[Ex GST],$A249),"")</f>
        <v/>
      </c>
      <c r="H249" s="64">
        <f>IFERROR(INDEX(tbl_Finance[Defer Start],$A249),"")</f>
        <v/>
      </c>
      <c r="I249" s="64">
        <f>IFERROR(INDEX(tbl_Finance[Defer End],$A249),"")</f>
        <v/>
      </c>
      <c r="J249" s="63">
        <f>IF(OR($H249="",$I249="",$G249=""),"",MAX(1,(YEAR($I249)-YEAR($H249))*12+MONTH($I249)-MONTH($H249)+1))</f>
        <v/>
      </c>
      <c r="K249" s="66">
        <f>IF($J249="","",$G249/$J249)</f>
        <v/>
      </c>
      <c r="L249" s="66">
        <f>IF($J249="",0,$K249*MAX(0,MIN(YEAR($C$3)*12+MONTH($C$3),YEAR($I249)*12+MONTH($I249))-(YEAR($H249)*12+MONTH($H249))+1))</f>
        <v/>
      </c>
      <c r="M249" s="66">
        <f>IF($J249="",0,$K249*MAX(0,MIN(YEAR($C$3)*12+MONTH($C$3)-1,YEAR($I249)*12+MONTH($I249))-(YEAR($H249)*12+MONTH($H249))+1))</f>
        <v/>
      </c>
      <c r="N249" s="66">
        <f>IF(OR($J249="",$B249=""),0,IF(YEAR($B249)*12+MONTH($B249)&lt;=YEAR($C$3)*12+MONTH($C$3),$G249,0))</f>
        <v/>
      </c>
      <c r="O249" s="66">
        <f>IF(OR($J249="",$B249=""),0,IF(YEAR($B249)*12+MONTH($B249)&lt;=YEAR($C$3)*12+MONTH($C$3)-1,$G249,0))</f>
        <v/>
      </c>
      <c r="P249" s="66">
        <f>$M249-$O249</f>
        <v/>
      </c>
      <c r="Q249" s="66">
        <f>($L249-$M249)-($N249-$O249)</f>
        <v/>
      </c>
      <c r="R249" s="66">
        <f>$L249-$N249</f>
        <v/>
      </c>
      <c r="S249" s="65">
        <f>"Finance invoice"</f>
        <v/>
      </c>
      <c r="T249" s="65">
        <f>"Revenue"</f>
        <v/>
      </c>
    </row>
    <row r="250">
      <c r="A250" s="63">
        <f>ROW()-5</f>
        <v/>
      </c>
      <c r="B250" s="64">
        <f>IFERROR(INDEX(tbl_Finance[Date],$A250),"")</f>
        <v/>
      </c>
      <c r="C250" s="65">
        <f>IFERROR(INDEX(tbl_Finance[Xero Invoice No],$A250),"")</f>
        <v/>
      </c>
      <c r="D250" s="65">
        <f>IFERROR(INDEX(tbl_Finance[Client],$A250),"")</f>
        <v/>
      </c>
      <c r="E250" s="65">
        <f>IFERROR(INDEX(tbl_Finance[Job Number],$A250),"")</f>
        <v/>
      </c>
      <c r="F250" s="65">
        <f>IFERROR(INDEX(tbl_Finance[Cost Centre],$A250),"")</f>
        <v/>
      </c>
      <c r="G250" s="66">
        <f>IFERROR(INDEX(tbl_Finance[Ex GST],$A250),"")</f>
        <v/>
      </c>
      <c r="H250" s="64">
        <f>IFERROR(INDEX(tbl_Finance[Defer Start],$A250),"")</f>
        <v/>
      </c>
      <c r="I250" s="64">
        <f>IFERROR(INDEX(tbl_Finance[Defer End],$A250),"")</f>
        <v/>
      </c>
      <c r="J250" s="63">
        <f>IF(OR($H250="",$I250="",$G250=""),"",MAX(1,(YEAR($I250)-YEAR($H250))*12+MONTH($I250)-MONTH($H250)+1))</f>
        <v/>
      </c>
      <c r="K250" s="66">
        <f>IF($J250="","",$G250/$J250)</f>
        <v/>
      </c>
      <c r="L250" s="66">
        <f>IF($J250="",0,$K250*MAX(0,MIN(YEAR($C$3)*12+MONTH($C$3),YEAR($I250)*12+MONTH($I250))-(YEAR($H250)*12+MONTH($H250))+1))</f>
        <v/>
      </c>
      <c r="M250" s="66">
        <f>IF($J250="",0,$K250*MAX(0,MIN(YEAR($C$3)*12+MONTH($C$3)-1,YEAR($I250)*12+MONTH($I250))-(YEAR($H250)*12+MONTH($H250))+1))</f>
        <v/>
      </c>
      <c r="N250" s="66">
        <f>IF(OR($J250="",$B250=""),0,IF(YEAR($B250)*12+MONTH($B250)&lt;=YEAR($C$3)*12+MONTH($C$3),$G250,0))</f>
        <v/>
      </c>
      <c r="O250" s="66">
        <f>IF(OR($J250="",$B250=""),0,IF(YEAR($B250)*12+MONTH($B250)&lt;=YEAR($C$3)*12+MONTH($C$3)-1,$G250,0))</f>
        <v/>
      </c>
      <c r="P250" s="66">
        <f>$M250-$O250</f>
        <v/>
      </c>
      <c r="Q250" s="66">
        <f>($L250-$M250)-($N250-$O250)</f>
        <v/>
      </c>
      <c r="R250" s="66">
        <f>$L250-$N250</f>
        <v/>
      </c>
      <c r="S250" s="65">
        <f>"Finance invoice"</f>
        <v/>
      </c>
      <c r="T250" s="65">
        <f>"Revenue"</f>
        <v/>
      </c>
    </row>
    <row r="251">
      <c r="A251" s="63">
        <f>ROW()-5</f>
        <v/>
      </c>
      <c r="B251" s="64">
        <f>IFERROR(INDEX(tbl_Finance[Date],$A251),"")</f>
        <v/>
      </c>
      <c r="C251" s="65">
        <f>IFERROR(INDEX(tbl_Finance[Xero Invoice No],$A251),"")</f>
        <v/>
      </c>
      <c r="D251" s="65">
        <f>IFERROR(INDEX(tbl_Finance[Client],$A251),"")</f>
        <v/>
      </c>
      <c r="E251" s="65">
        <f>IFERROR(INDEX(tbl_Finance[Job Number],$A251),"")</f>
        <v/>
      </c>
      <c r="F251" s="65">
        <f>IFERROR(INDEX(tbl_Finance[Cost Centre],$A251),"")</f>
        <v/>
      </c>
      <c r="G251" s="66">
        <f>IFERROR(INDEX(tbl_Finance[Ex GST],$A251),"")</f>
        <v/>
      </c>
      <c r="H251" s="64">
        <f>IFERROR(INDEX(tbl_Finance[Defer Start],$A251),"")</f>
        <v/>
      </c>
      <c r="I251" s="64">
        <f>IFERROR(INDEX(tbl_Finance[Defer End],$A251),"")</f>
        <v/>
      </c>
      <c r="J251" s="63">
        <f>IF(OR($H251="",$I251="",$G251=""),"",MAX(1,(YEAR($I251)-YEAR($H251))*12+MONTH($I251)-MONTH($H251)+1))</f>
        <v/>
      </c>
      <c r="K251" s="66">
        <f>IF($J251="","",$G251/$J251)</f>
        <v/>
      </c>
      <c r="L251" s="66">
        <f>IF($J251="",0,$K251*MAX(0,MIN(YEAR($C$3)*12+MONTH($C$3),YEAR($I251)*12+MONTH($I251))-(YEAR($H251)*12+MONTH($H251))+1))</f>
        <v/>
      </c>
      <c r="M251" s="66">
        <f>IF($J251="",0,$K251*MAX(0,MIN(YEAR($C$3)*12+MONTH($C$3)-1,YEAR($I251)*12+MONTH($I251))-(YEAR($H251)*12+MONTH($H251))+1))</f>
        <v/>
      </c>
      <c r="N251" s="66">
        <f>IF(OR($J251="",$B251=""),0,IF(YEAR($B251)*12+MONTH($B251)&lt;=YEAR($C$3)*12+MONTH($C$3),$G251,0))</f>
        <v/>
      </c>
      <c r="O251" s="66">
        <f>IF(OR($J251="",$B251=""),0,IF(YEAR($B251)*12+MONTH($B251)&lt;=YEAR($C$3)*12+MONTH($C$3)-1,$G251,0))</f>
        <v/>
      </c>
      <c r="P251" s="66">
        <f>$M251-$O251</f>
        <v/>
      </c>
      <c r="Q251" s="66">
        <f>($L251-$M251)-($N251-$O251)</f>
        <v/>
      </c>
      <c r="R251" s="66">
        <f>$L251-$N251</f>
        <v/>
      </c>
      <c r="S251" s="65">
        <f>"Finance invoice"</f>
        <v/>
      </c>
      <c r="T251" s="65">
        <f>"Revenue"</f>
        <v/>
      </c>
    </row>
    <row r="252">
      <c r="A252" s="63">
        <f>ROW()-5</f>
        <v/>
      </c>
      <c r="B252" s="64">
        <f>IFERROR(INDEX(tbl_Finance[Date],$A252),"")</f>
        <v/>
      </c>
      <c r="C252" s="65">
        <f>IFERROR(INDEX(tbl_Finance[Xero Invoice No],$A252),"")</f>
        <v/>
      </c>
      <c r="D252" s="65">
        <f>IFERROR(INDEX(tbl_Finance[Client],$A252),"")</f>
        <v/>
      </c>
      <c r="E252" s="65">
        <f>IFERROR(INDEX(tbl_Finance[Job Number],$A252),"")</f>
        <v/>
      </c>
      <c r="F252" s="65">
        <f>IFERROR(INDEX(tbl_Finance[Cost Centre],$A252),"")</f>
        <v/>
      </c>
      <c r="G252" s="66">
        <f>IFERROR(INDEX(tbl_Finance[Ex GST],$A252),"")</f>
        <v/>
      </c>
      <c r="H252" s="64">
        <f>IFERROR(INDEX(tbl_Finance[Defer Start],$A252),"")</f>
        <v/>
      </c>
      <c r="I252" s="64">
        <f>IFERROR(INDEX(tbl_Finance[Defer End],$A252),"")</f>
        <v/>
      </c>
      <c r="J252" s="63">
        <f>IF(OR($H252="",$I252="",$G252=""),"",MAX(1,(YEAR($I252)-YEAR($H252))*12+MONTH($I252)-MONTH($H252)+1))</f>
        <v/>
      </c>
      <c r="K252" s="66">
        <f>IF($J252="","",$G252/$J252)</f>
        <v/>
      </c>
      <c r="L252" s="66">
        <f>IF($J252="",0,$K252*MAX(0,MIN(YEAR($C$3)*12+MONTH($C$3),YEAR($I252)*12+MONTH($I252))-(YEAR($H252)*12+MONTH($H252))+1))</f>
        <v/>
      </c>
      <c r="M252" s="66">
        <f>IF($J252="",0,$K252*MAX(0,MIN(YEAR($C$3)*12+MONTH($C$3)-1,YEAR($I252)*12+MONTH($I252))-(YEAR($H252)*12+MONTH($H252))+1))</f>
        <v/>
      </c>
      <c r="N252" s="66">
        <f>IF(OR($J252="",$B252=""),0,IF(YEAR($B252)*12+MONTH($B252)&lt;=YEAR($C$3)*12+MONTH($C$3),$G252,0))</f>
        <v/>
      </c>
      <c r="O252" s="66">
        <f>IF(OR($J252="",$B252=""),0,IF(YEAR($B252)*12+MONTH($B252)&lt;=YEAR($C$3)*12+MONTH($C$3)-1,$G252,0))</f>
        <v/>
      </c>
      <c r="P252" s="66">
        <f>$M252-$O252</f>
        <v/>
      </c>
      <c r="Q252" s="66">
        <f>($L252-$M252)-($N252-$O252)</f>
        <v/>
      </c>
      <c r="R252" s="66">
        <f>$L252-$N252</f>
        <v/>
      </c>
      <c r="S252" s="65">
        <f>"Finance invoice"</f>
        <v/>
      </c>
      <c r="T252" s="65">
        <f>"Revenue"</f>
        <v/>
      </c>
    </row>
    <row r="253">
      <c r="A253" s="63">
        <f>ROW()-5</f>
        <v/>
      </c>
      <c r="B253" s="64">
        <f>IFERROR(INDEX(tbl_Finance[Date],$A253),"")</f>
        <v/>
      </c>
      <c r="C253" s="65">
        <f>IFERROR(INDEX(tbl_Finance[Xero Invoice No],$A253),"")</f>
        <v/>
      </c>
      <c r="D253" s="65">
        <f>IFERROR(INDEX(tbl_Finance[Client],$A253),"")</f>
        <v/>
      </c>
      <c r="E253" s="65">
        <f>IFERROR(INDEX(tbl_Finance[Job Number],$A253),"")</f>
        <v/>
      </c>
      <c r="F253" s="65">
        <f>IFERROR(INDEX(tbl_Finance[Cost Centre],$A253),"")</f>
        <v/>
      </c>
      <c r="G253" s="66">
        <f>IFERROR(INDEX(tbl_Finance[Ex GST],$A253),"")</f>
        <v/>
      </c>
      <c r="H253" s="64">
        <f>IFERROR(INDEX(tbl_Finance[Defer Start],$A253),"")</f>
        <v/>
      </c>
      <c r="I253" s="64">
        <f>IFERROR(INDEX(tbl_Finance[Defer End],$A253),"")</f>
        <v/>
      </c>
      <c r="J253" s="63">
        <f>IF(OR($H253="",$I253="",$G253=""),"",MAX(1,(YEAR($I253)-YEAR($H253))*12+MONTH($I253)-MONTH($H253)+1))</f>
        <v/>
      </c>
      <c r="K253" s="66">
        <f>IF($J253="","",$G253/$J253)</f>
        <v/>
      </c>
      <c r="L253" s="66">
        <f>IF($J253="",0,$K253*MAX(0,MIN(YEAR($C$3)*12+MONTH($C$3),YEAR($I253)*12+MONTH($I253))-(YEAR($H253)*12+MONTH($H253))+1))</f>
        <v/>
      </c>
      <c r="M253" s="66">
        <f>IF($J253="",0,$K253*MAX(0,MIN(YEAR($C$3)*12+MONTH($C$3)-1,YEAR($I253)*12+MONTH($I253))-(YEAR($H253)*12+MONTH($H253))+1))</f>
        <v/>
      </c>
      <c r="N253" s="66">
        <f>IF(OR($J253="",$B253=""),0,IF(YEAR($B253)*12+MONTH($B253)&lt;=YEAR($C$3)*12+MONTH($C$3),$G253,0))</f>
        <v/>
      </c>
      <c r="O253" s="66">
        <f>IF(OR($J253="",$B253=""),0,IF(YEAR($B253)*12+MONTH($B253)&lt;=YEAR($C$3)*12+MONTH($C$3)-1,$G253,0))</f>
        <v/>
      </c>
      <c r="P253" s="66">
        <f>$M253-$O253</f>
        <v/>
      </c>
      <c r="Q253" s="66">
        <f>($L253-$M253)-($N253-$O253)</f>
        <v/>
      </c>
      <c r="R253" s="66">
        <f>$L253-$N253</f>
        <v/>
      </c>
      <c r="S253" s="65">
        <f>"Finance invoice"</f>
        <v/>
      </c>
      <c r="T253" s="65">
        <f>"Revenue"</f>
        <v/>
      </c>
    </row>
    <row r="254">
      <c r="A254" s="63">
        <f>ROW()-5</f>
        <v/>
      </c>
      <c r="B254" s="64">
        <f>IFERROR(INDEX(tbl_Finance[Date],$A254),"")</f>
        <v/>
      </c>
      <c r="C254" s="65">
        <f>IFERROR(INDEX(tbl_Finance[Xero Invoice No],$A254),"")</f>
        <v/>
      </c>
      <c r="D254" s="65">
        <f>IFERROR(INDEX(tbl_Finance[Client],$A254),"")</f>
        <v/>
      </c>
      <c r="E254" s="65">
        <f>IFERROR(INDEX(tbl_Finance[Job Number],$A254),"")</f>
        <v/>
      </c>
      <c r="F254" s="65">
        <f>IFERROR(INDEX(tbl_Finance[Cost Centre],$A254),"")</f>
        <v/>
      </c>
      <c r="G254" s="66">
        <f>IFERROR(INDEX(tbl_Finance[Ex GST],$A254),"")</f>
        <v/>
      </c>
      <c r="H254" s="64">
        <f>IFERROR(INDEX(tbl_Finance[Defer Start],$A254),"")</f>
        <v/>
      </c>
      <c r="I254" s="64">
        <f>IFERROR(INDEX(tbl_Finance[Defer End],$A254),"")</f>
        <v/>
      </c>
      <c r="J254" s="63">
        <f>IF(OR($H254="",$I254="",$G254=""),"",MAX(1,(YEAR($I254)-YEAR($H254))*12+MONTH($I254)-MONTH($H254)+1))</f>
        <v/>
      </c>
      <c r="K254" s="66">
        <f>IF($J254="","",$G254/$J254)</f>
        <v/>
      </c>
      <c r="L254" s="66">
        <f>IF($J254="",0,$K254*MAX(0,MIN(YEAR($C$3)*12+MONTH($C$3),YEAR($I254)*12+MONTH($I254))-(YEAR($H254)*12+MONTH($H254))+1))</f>
        <v/>
      </c>
      <c r="M254" s="66">
        <f>IF($J254="",0,$K254*MAX(0,MIN(YEAR($C$3)*12+MONTH($C$3)-1,YEAR($I254)*12+MONTH($I254))-(YEAR($H254)*12+MONTH($H254))+1))</f>
        <v/>
      </c>
      <c r="N254" s="66">
        <f>IF(OR($J254="",$B254=""),0,IF(YEAR($B254)*12+MONTH($B254)&lt;=YEAR($C$3)*12+MONTH($C$3),$G254,0))</f>
        <v/>
      </c>
      <c r="O254" s="66">
        <f>IF(OR($J254="",$B254=""),0,IF(YEAR($B254)*12+MONTH($B254)&lt;=YEAR($C$3)*12+MONTH($C$3)-1,$G254,0))</f>
        <v/>
      </c>
      <c r="P254" s="66">
        <f>$M254-$O254</f>
        <v/>
      </c>
      <c r="Q254" s="66">
        <f>($L254-$M254)-($N254-$O254)</f>
        <v/>
      </c>
      <c r="R254" s="66">
        <f>$L254-$N254</f>
        <v/>
      </c>
      <c r="S254" s="65">
        <f>"Finance invoice"</f>
        <v/>
      </c>
      <c r="T254" s="65">
        <f>"Revenue"</f>
        <v/>
      </c>
    </row>
    <row r="255">
      <c r="A255" s="63">
        <f>ROW()-5</f>
        <v/>
      </c>
      <c r="B255" s="64">
        <f>IFERROR(INDEX(tbl_Finance[Date],$A255),"")</f>
        <v/>
      </c>
      <c r="C255" s="65">
        <f>IFERROR(INDEX(tbl_Finance[Xero Invoice No],$A255),"")</f>
        <v/>
      </c>
      <c r="D255" s="65">
        <f>IFERROR(INDEX(tbl_Finance[Client],$A255),"")</f>
        <v/>
      </c>
      <c r="E255" s="65">
        <f>IFERROR(INDEX(tbl_Finance[Job Number],$A255),"")</f>
        <v/>
      </c>
      <c r="F255" s="65">
        <f>IFERROR(INDEX(tbl_Finance[Cost Centre],$A255),"")</f>
        <v/>
      </c>
      <c r="G255" s="66">
        <f>IFERROR(INDEX(tbl_Finance[Ex GST],$A255),"")</f>
        <v/>
      </c>
      <c r="H255" s="64">
        <f>IFERROR(INDEX(tbl_Finance[Defer Start],$A255),"")</f>
        <v/>
      </c>
      <c r="I255" s="64">
        <f>IFERROR(INDEX(tbl_Finance[Defer End],$A255),"")</f>
        <v/>
      </c>
      <c r="J255" s="63">
        <f>IF(OR($H255="",$I255="",$G255=""),"",MAX(1,(YEAR($I255)-YEAR($H255))*12+MONTH($I255)-MONTH($H255)+1))</f>
        <v/>
      </c>
      <c r="K255" s="66">
        <f>IF($J255="","",$G255/$J255)</f>
        <v/>
      </c>
      <c r="L255" s="66">
        <f>IF($J255="",0,$K255*MAX(0,MIN(YEAR($C$3)*12+MONTH($C$3),YEAR($I255)*12+MONTH($I255))-(YEAR($H255)*12+MONTH($H255))+1))</f>
        <v/>
      </c>
      <c r="M255" s="66">
        <f>IF($J255="",0,$K255*MAX(0,MIN(YEAR($C$3)*12+MONTH($C$3)-1,YEAR($I255)*12+MONTH($I255))-(YEAR($H255)*12+MONTH($H255))+1))</f>
        <v/>
      </c>
      <c r="N255" s="66">
        <f>IF(OR($J255="",$B255=""),0,IF(YEAR($B255)*12+MONTH($B255)&lt;=YEAR($C$3)*12+MONTH($C$3),$G255,0))</f>
        <v/>
      </c>
      <c r="O255" s="66">
        <f>IF(OR($J255="",$B255=""),0,IF(YEAR($B255)*12+MONTH($B255)&lt;=YEAR($C$3)*12+MONTH($C$3)-1,$G255,0))</f>
        <v/>
      </c>
      <c r="P255" s="66">
        <f>$M255-$O255</f>
        <v/>
      </c>
      <c r="Q255" s="66">
        <f>($L255-$M255)-($N255-$O255)</f>
        <v/>
      </c>
      <c r="R255" s="66">
        <f>$L255-$N255</f>
        <v/>
      </c>
      <c r="S255" s="65">
        <f>"Finance invoice"</f>
        <v/>
      </c>
      <c r="T255" s="65">
        <f>"Revenue"</f>
        <v/>
      </c>
    </row>
    <row r="256">
      <c r="A256" s="63">
        <f>ROW()-5</f>
        <v/>
      </c>
      <c r="B256" s="64">
        <f>IFERROR(INDEX(tbl_Finance[Date],$A256),"")</f>
        <v/>
      </c>
      <c r="C256" s="65">
        <f>IFERROR(INDEX(tbl_Finance[Xero Invoice No],$A256),"")</f>
        <v/>
      </c>
      <c r="D256" s="65">
        <f>IFERROR(INDEX(tbl_Finance[Client],$A256),"")</f>
        <v/>
      </c>
      <c r="E256" s="65">
        <f>IFERROR(INDEX(tbl_Finance[Job Number],$A256),"")</f>
        <v/>
      </c>
      <c r="F256" s="65">
        <f>IFERROR(INDEX(tbl_Finance[Cost Centre],$A256),"")</f>
        <v/>
      </c>
      <c r="G256" s="66">
        <f>IFERROR(INDEX(tbl_Finance[Ex GST],$A256),"")</f>
        <v/>
      </c>
      <c r="H256" s="64">
        <f>IFERROR(INDEX(tbl_Finance[Defer Start],$A256),"")</f>
        <v/>
      </c>
      <c r="I256" s="64">
        <f>IFERROR(INDEX(tbl_Finance[Defer End],$A256),"")</f>
        <v/>
      </c>
      <c r="J256" s="63">
        <f>IF(OR($H256="",$I256="",$G256=""),"",MAX(1,(YEAR($I256)-YEAR($H256))*12+MONTH($I256)-MONTH($H256)+1))</f>
        <v/>
      </c>
      <c r="K256" s="66">
        <f>IF($J256="","",$G256/$J256)</f>
        <v/>
      </c>
      <c r="L256" s="66">
        <f>IF($J256="",0,$K256*MAX(0,MIN(YEAR($C$3)*12+MONTH($C$3),YEAR($I256)*12+MONTH($I256))-(YEAR($H256)*12+MONTH($H256))+1))</f>
        <v/>
      </c>
      <c r="M256" s="66">
        <f>IF($J256="",0,$K256*MAX(0,MIN(YEAR($C$3)*12+MONTH($C$3)-1,YEAR($I256)*12+MONTH($I256))-(YEAR($H256)*12+MONTH($H256))+1))</f>
        <v/>
      </c>
      <c r="N256" s="66">
        <f>IF(OR($J256="",$B256=""),0,IF(YEAR($B256)*12+MONTH($B256)&lt;=YEAR($C$3)*12+MONTH($C$3),$G256,0))</f>
        <v/>
      </c>
      <c r="O256" s="66">
        <f>IF(OR($J256="",$B256=""),0,IF(YEAR($B256)*12+MONTH($B256)&lt;=YEAR($C$3)*12+MONTH($C$3)-1,$G256,0))</f>
        <v/>
      </c>
      <c r="P256" s="66">
        <f>$M256-$O256</f>
        <v/>
      </c>
      <c r="Q256" s="66">
        <f>($L256-$M256)-($N256-$O256)</f>
        <v/>
      </c>
      <c r="R256" s="66">
        <f>$L256-$N256</f>
        <v/>
      </c>
      <c r="S256" s="65">
        <f>"Finance invoice"</f>
        <v/>
      </c>
      <c r="T256" s="65">
        <f>"Revenue"</f>
        <v/>
      </c>
    </row>
    <row r="257">
      <c r="A257" s="63">
        <f>ROW()-5</f>
        <v/>
      </c>
      <c r="B257" s="64">
        <f>IFERROR(INDEX(tbl_Finance[Date],$A257),"")</f>
        <v/>
      </c>
      <c r="C257" s="65">
        <f>IFERROR(INDEX(tbl_Finance[Xero Invoice No],$A257),"")</f>
        <v/>
      </c>
      <c r="D257" s="65">
        <f>IFERROR(INDEX(tbl_Finance[Client],$A257),"")</f>
        <v/>
      </c>
      <c r="E257" s="65">
        <f>IFERROR(INDEX(tbl_Finance[Job Number],$A257),"")</f>
        <v/>
      </c>
      <c r="F257" s="65">
        <f>IFERROR(INDEX(tbl_Finance[Cost Centre],$A257),"")</f>
        <v/>
      </c>
      <c r="G257" s="66">
        <f>IFERROR(INDEX(tbl_Finance[Ex GST],$A257),"")</f>
        <v/>
      </c>
      <c r="H257" s="64">
        <f>IFERROR(INDEX(tbl_Finance[Defer Start],$A257),"")</f>
        <v/>
      </c>
      <c r="I257" s="64">
        <f>IFERROR(INDEX(tbl_Finance[Defer End],$A257),"")</f>
        <v/>
      </c>
      <c r="J257" s="63">
        <f>IF(OR($H257="",$I257="",$G257=""),"",MAX(1,(YEAR($I257)-YEAR($H257))*12+MONTH($I257)-MONTH($H257)+1))</f>
        <v/>
      </c>
      <c r="K257" s="66">
        <f>IF($J257="","",$G257/$J257)</f>
        <v/>
      </c>
      <c r="L257" s="66">
        <f>IF($J257="",0,$K257*MAX(0,MIN(YEAR($C$3)*12+MONTH($C$3),YEAR($I257)*12+MONTH($I257))-(YEAR($H257)*12+MONTH($H257))+1))</f>
        <v/>
      </c>
      <c r="M257" s="66">
        <f>IF($J257="",0,$K257*MAX(0,MIN(YEAR($C$3)*12+MONTH($C$3)-1,YEAR($I257)*12+MONTH($I257))-(YEAR($H257)*12+MONTH($H257))+1))</f>
        <v/>
      </c>
      <c r="N257" s="66">
        <f>IF(OR($J257="",$B257=""),0,IF(YEAR($B257)*12+MONTH($B257)&lt;=YEAR($C$3)*12+MONTH($C$3),$G257,0))</f>
        <v/>
      </c>
      <c r="O257" s="66">
        <f>IF(OR($J257="",$B257=""),0,IF(YEAR($B257)*12+MONTH($B257)&lt;=YEAR($C$3)*12+MONTH($C$3)-1,$G257,0))</f>
        <v/>
      </c>
      <c r="P257" s="66">
        <f>$M257-$O257</f>
        <v/>
      </c>
      <c r="Q257" s="66">
        <f>($L257-$M257)-($N257-$O257)</f>
        <v/>
      </c>
      <c r="R257" s="66">
        <f>$L257-$N257</f>
        <v/>
      </c>
      <c r="S257" s="65">
        <f>"Finance invoice"</f>
        <v/>
      </c>
      <c r="T257" s="65">
        <f>"Revenue"</f>
        <v/>
      </c>
    </row>
    <row r="258">
      <c r="A258" s="63">
        <f>ROW()-5</f>
        <v/>
      </c>
      <c r="B258" s="64">
        <f>IFERROR(INDEX(tbl_Finance[Date],$A258),"")</f>
        <v/>
      </c>
      <c r="C258" s="65">
        <f>IFERROR(INDEX(tbl_Finance[Xero Invoice No],$A258),"")</f>
        <v/>
      </c>
      <c r="D258" s="65">
        <f>IFERROR(INDEX(tbl_Finance[Client],$A258),"")</f>
        <v/>
      </c>
      <c r="E258" s="65">
        <f>IFERROR(INDEX(tbl_Finance[Job Number],$A258),"")</f>
        <v/>
      </c>
      <c r="F258" s="65">
        <f>IFERROR(INDEX(tbl_Finance[Cost Centre],$A258),"")</f>
        <v/>
      </c>
      <c r="G258" s="66">
        <f>IFERROR(INDEX(tbl_Finance[Ex GST],$A258),"")</f>
        <v/>
      </c>
      <c r="H258" s="64">
        <f>IFERROR(INDEX(tbl_Finance[Defer Start],$A258),"")</f>
        <v/>
      </c>
      <c r="I258" s="64">
        <f>IFERROR(INDEX(tbl_Finance[Defer End],$A258),"")</f>
        <v/>
      </c>
      <c r="J258" s="63">
        <f>IF(OR($H258="",$I258="",$G258=""),"",MAX(1,(YEAR($I258)-YEAR($H258))*12+MONTH($I258)-MONTH($H258)+1))</f>
        <v/>
      </c>
      <c r="K258" s="66">
        <f>IF($J258="","",$G258/$J258)</f>
        <v/>
      </c>
      <c r="L258" s="66">
        <f>IF($J258="",0,$K258*MAX(0,MIN(YEAR($C$3)*12+MONTH($C$3),YEAR($I258)*12+MONTH($I258))-(YEAR($H258)*12+MONTH($H258))+1))</f>
        <v/>
      </c>
      <c r="M258" s="66">
        <f>IF($J258="",0,$K258*MAX(0,MIN(YEAR($C$3)*12+MONTH($C$3)-1,YEAR($I258)*12+MONTH($I258))-(YEAR($H258)*12+MONTH($H258))+1))</f>
        <v/>
      </c>
      <c r="N258" s="66">
        <f>IF(OR($J258="",$B258=""),0,IF(YEAR($B258)*12+MONTH($B258)&lt;=YEAR($C$3)*12+MONTH($C$3),$G258,0))</f>
        <v/>
      </c>
      <c r="O258" s="66">
        <f>IF(OR($J258="",$B258=""),0,IF(YEAR($B258)*12+MONTH($B258)&lt;=YEAR($C$3)*12+MONTH($C$3)-1,$G258,0))</f>
        <v/>
      </c>
      <c r="P258" s="66">
        <f>$M258-$O258</f>
        <v/>
      </c>
      <c r="Q258" s="66">
        <f>($L258-$M258)-($N258-$O258)</f>
        <v/>
      </c>
      <c r="R258" s="66">
        <f>$L258-$N258</f>
        <v/>
      </c>
      <c r="S258" s="65">
        <f>"Finance invoice"</f>
        <v/>
      </c>
      <c r="T258" s="65">
        <f>"Revenue"</f>
        <v/>
      </c>
    </row>
    <row r="259">
      <c r="A259" s="63">
        <f>ROW()-5</f>
        <v/>
      </c>
      <c r="B259" s="64">
        <f>IFERROR(INDEX(tbl_Finance[Date],$A259),"")</f>
        <v/>
      </c>
      <c r="C259" s="65">
        <f>IFERROR(INDEX(tbl_Finance[Xero Invoice No],$A259),"")</f>
        <v/>
      </c>
      <c r="D259" s="65">
        <f>IFERROR(INDEX(tbl_Finance[Client],$A259),"")</f>
        <v/>
      </c>
      <c r="E259" s="65">
        <f>IFERROR(INDEX(tbl_Finance[Job Number],$A259),"")</f>
        <v/>
      </c>
      <c r="F259" s="65">
        <f>IFERROR(INDEX(tbl_Finance[Cost Centre],$A259),"")</f>
        <v/>
      </c>
      <c r="G259" s="66">
        <f>IFERROR(INDEX(tbl_Finance[Ex GST],$A259),"")</f>
        <v/>
      </c>
      <c r="H259" s="64">
        <f>IFERROR(INDEX(tbl_Finance[Defer Start],$A259),"")</f>
        <v/>
      </c>
      <c r="I259" s="64">
        <f>IFERROR(INDEX(tbl_Finance[Defer End],$A259),"")</f>
        <v/>
      </c>
      <c r="J259" s="63">
        <f>IF(OR($H259="",$I259="",$G259=""),"",MAX(1,(YEAR($I259)-YEAR($H259))*12+MONTH($I259)-MONTH($H259)+1))</f>
        <v/>
      </c>
      <c r="K259" s="66">
        <f>IF($J259="","",$G259/$J259)</f>
        <v/>
      </c>
      <c r="L259" s="66">
        <f>IF($J259="",0,$K259*MAX(0,MIN(YEAR($C$3)*12+MONTH($C$3),YEAR($I259)*12+MONTH($I259))-(YEAR($H259)*12+MONTH($H259))+1))</f>
        <v/>
      </c>
      <c r="M259" s="66">
        <f>IF($J259="",0,$K259*MAX(0,MIN(YEAR($C$3)*12+MONTH($C$3)-1,YEAR($I259)*12+MONTH($I259))-(YEAR($H259)*12+MONTH($H259))+1))</f>
        <v/>
      </c>
      <c r="N259" s="66">
        <f>IF(OR($J259="",$B259=""),0,IF(YEAR($B259)*12+MONTH($B259)&lt;=YEAR($C$3)*12+MONTH($C$3),$G259,0))</f>
        <v/>
      </c>
      <c r="O259" s="66">
        <f>IF(OR($J259="",$B259=""),0,IF(YEAR($B259)*12+MONTH($B259)&lt;=YEAR($C$3)*12+MONTH($C$3)-1,$G259,0))</f>
        <v/>
      </c>
      <c r="P259" s="66">
        <f>$M259-$O259</f>
        <v/>
      </c>
      <c r="Q259" s="66">
        <f>($L259-$M259)-($N259-$O259)</f>
        <v/>
      </c>
      <c r="R259" s="66">
        <f>$L259-$N259</f>
        <v/>
      </c>
      <c r="S259" s="65">
        <f>"Finance invoice"</f>
        <v/>
      </c>
      <c r="T259" s="65">
        <f>"Revenue"</f>
        <v/>
      </c>
    </row>
    <row r="260">
      <c r="A260" s="63">
        <f>ROW()-5</f>
        <v/>
      </c>
      <c r="B260" s="64">
        <f>IFERROR(INDEX(tbl_Finance[Date],$A260),"")</f>
        <v/>
      </c>
      <c r="C260" s="65">
        <f>IFERROR(INDEX(tbl_Finance[Xero Invoice No],$A260),"")</f>
        <v/>
      </c>
      <c r="D260" s="65">
        <f>IFERROR(INDEX(tbl_Finance[Client],$A260),"")</f>
        <v/>
      </c>
      <c r="E260" s="65">
        <f>IFERROR(INDEX(tbl_Finance[Job Number],$A260),"")</f>
        <v/>
      </c>
      <c r="F260" s="65">
        <f>IFERROR(INDEX(tbl_Finance[Cost Centre],$A260),"")</f>
        <v/>
      </c>
      <c r="G260" s="66">
        <f>IFERROR(INDEX(tbl_Finance[Ex GST],$A260),"")</f>
        <v/>
      </c>
      <c r="H260" s="64">
        <f>IFERROR(INDEX(tbl_Finance[Defer Start],$A260),"")</f>
        <v/>
      </c>
      <c r="I260" s="64">
        <f>IFERROR(INDEX(tbl_Finance[Defer End],$A260),"")</f>
        <v/>
      </c>
      <c r="J260" s="63">
        <f>IF(OR($H260="",$I260="",$G260=""),"",MAX(1,(YEAR($I260)-YEAR($H260))*12+MONTH($I260)-MONTH($H260)+1))</f>
        <v/>
      </c>
      <c r="K260" s="66">
        <f>IF($J260="","",$G260/$J260)</f>
        <v/>
      </c>
      <c r="L260" s="66">
        <f>IF($J260="",0,$K260*MAX(0,MIN(YEAR($C$3)*12+MONTH($C$3),YEAR($I260)*12+MONTH($I260))-(YEAR($H260)*12+MONTH($H260))+1))</f>
        <v/>
      </c>
      <c r="M260" s="66">
        <f>IF($J260="",0,$K260*MAX(0,MIN(YEAR($C$3)*12+MONTH($C$3)-1,YEAR($I260)*12+MONTH($I260))-(YEAR($H260)*12+MONTH($H260))+1))</f>
        <v/>
      </c>
      <c r="N260" s="66">
        <f>IF(OR($J260="",$B260=""),0,IF(YEAR($B260)*12+MONTH($B260)&lt;=YEAR($C$3)*12+MONTH($C$3),$G260,0))</f>
        <v/>
      </c>
      <c r="O260" s="66">
        <f>IF(OR($J260="",$B260=""),0,IF(YEAR($B260)*12+MONTH($B260)&lt;=YEAR($C$3)*12+MONTH($C$3)-1,$G260,0))</f>
        <v/>
      </c>
      <c r="P260" s="66">
        <f>$M260-$O260</f>
        <v/>
      </c>
      <c r="Q260" s="66">
        <f>($L260-$M260)-($N260-$O260)</f>
        <v/>
      </c>
      <c r="R260" s="66">
        <f>$L260-$N260</f>
        <v/>
      </c>
      <c r="S260" s="65">
        <f>"Finance invoice"</f>
        <v/>
      </c>
      <c r="T260" s="65">
        <f>"Revenue"</f>
        <v/>
      </c>
    </row>
    <row r="261">
      <c r="A261" s="63">
        <f>ROW()-5</f>
        <v/>
      </c>
      <c r="B261" s="64">
        <f>IFERROR(INDEX(tbl_Finance[Date],$A261),"")</f>
        <v/>
      </c>
      <c r="C261" s="65">
        <f>IFERROR(INDEX(tbl_Finance[Xero Invoice No],$A261),"")</f>
        <v/>
      </c>
      <c r="D261" s="65">
        <f>IFERROR(INDEX(tbl_Finance[Client],$A261),"")</f>
        <v/>
      </c>
      <c r="E261" s="65">
        <f>IFERROR(INDEX(tbl_Finance[Job Number],$A261),"")</f>
        <v/>
      </c>
      <c r="F261" s="65">
        <f>IFERROR(INDEX(tbl_Finance[Cost Centre],$A261),"")</f>
        <v/>
      </c>
      <c r="G261" s="66">
        <f>IFERROR(INDEX(tbl_Finance[Ex GST],$A261),"")</f>
        <v/>
      </c>
      <c r="H261" s="64">
        <f>IFERROR(INDEX(tbl_Finance[Defer Start],$A261),"")</f>
        <v/>
      </c>
      <c r="I261" s="64">
        <f>IFERROR(INDEX(tbl_Finance[Defer End],$A261),"")</f>
        <v/>
      </c>
      <c r="J261" s="63">
        <f>IF(OR($H261="",$I261="",$G261=""),"",MAX(1,(YEAR($I261)-YEAR($H261))*12+MONTH($I261)-MONTH($H261)+1))</f>
        <v/>
      </c>
      <c r="K261" s="66">
        <f>IF($J261="","",$G261/$J261)</f>
        <v/>
      </c>
      <c r="L261" s="66">
        <f>IF($J261="",0,$K261*MAX(0,MIN(YEAR($C$3)*12+MONTH($C$3),YEAR($I261)*12+MONTH($I261))-(YEAR($H261)*12+MONTH($H261))+1))</f>
        <v/>
      </c>
      <c r="M261" s="66">
        <f>IF($J261="",0,$K261*MAX(0,MIN(YEAR($C$3)*12+MONTH($C$3)-1,YEAR($I261)*12+MONTH($I261))-(YEAR($H261)*12+MONTH($H261))+1))</f>
        <v/>
      </c>
      <c r="N261" s="66">
        <f>IF(OR($J261="",$B261=""),0,IF(YEAR($B261)*12+MONTH($B261)&lt;=YEAR($C$3)*12+MONTH($C$3),$G261,0))</f>
        <v/>
      </c>
      <c r="O261" s="66">
        <f>IF(OR($J261="",$B261=""),0,IF(YEAR($B261)*12+MONTH($B261)&lt;=YEAR($C$3)*12+MONTH($C$3)-1,$G261,0))</f>
        <v/>
      </c>
      <c r="P261" s="66">
        <f>$M261-$O261</f>
        <v/>
      </c>
      <c r="Q261" s="66">
        <f>($L261-$M261)-($N261-$O261)</f>
        <v/>
      </c>
      <c r="R261" s="66">
        <f>$L261-$N261</f>
        <v/>
      </c>
      <c r="S261" s="65">
        <f>"Finance invoice"</f>
        <v/>
      </c>
      <c r="T261" s="65">
        <f>"Revenue"</f>
        <v/>
      </c>
    </row>
    <row r="262">
      <c r="A262" s="63">
        <f>ROW()-5</f>
        <v/>
      </c>
      <c r="B262" s="64">
        <f>IFERROR(INDEX(tbl_Finance[Date],$A262),"")</f>
        <v/>
      </c>
      <c r="C262" s="65">
        <f>IFERROR(INDEX(tbl_Finance[Xero Invoice No],$A262),"")</f>
        <v/>
      </c>
      <c r="D262" s="65">
        <f>IFERROR(INDEX(tbl_Finance[Client],$A262),"")</f>
        <v/>
      </c>
      <c r="E262" s="65">
        <f>IFERROR(INDEX(tbl_Finance[Job Number],$A262),"")</f>
        <v/>
      </c>
      <c r="F262" s="65">
        <f>IFERROR(INDEX(tbl_Finance[Cost Centre],$A262),"")</f>
        <v/>
      </c>
      <c r="G262" s="66">
        <f>IFERROR(INDEX(tbl_Finance[Ex GST],$A262),"")</f>
        <v/>
      </c>
      <c r="H262" s="64">
        <f>IFERROR(INDEX(tbl_Finance[Defer Start],$A262),"")</f>
        <v/>
      </c>
      <c r="I262" s="64">
        <f>IFERROR(INDEX(tbl_Finance[Defer End],$A262),"")</f>
        <v/>
      </c>
      <c r="J262" s="63">
        <f>IF(OR($H262="",$I262="",$G262=""),"",MAX(1,(YEAR($I262)-YEAR($H262))*12+MONTH($I262)-MONTH($H262)+1))</f>
        <v/>
      </c>
      <c r="K262" s="66">
        <f>IF($J262="","",$G262/$J262)</f>
        <v/>
      </c>
      <c r="L262" s="66">
        <f>IF($J262="",0,$K262*MAX(0,MIN(YEAR($C$3)*12+MONTH($C$3),YEAR($I262)*12+MONTH($I262))-(YEAR($H262)*12+MONTH($H262))+1))</f>
        <v/>
      </c>
      <c r="M262" s="66">
        <f>IF($J262="",0,$K262*MAX(0,MIN(YEAR($C$3)*12+MONTH($C$3)-1,YEAR($I262)*12+MONTH($I262))-(YEAR($H262)*12+MONTH($H262))+1))</f>
        <v/>
      </c>
      <c r="N262" s="66">
        <f>IF(OR($J262="",$B262=""),0,IF(YEAR($B262)*12+MONTH($B262)&lt;=YEAR($C$3)*12+MONTH($C$3),$G262,0))</f>
        <v/>
      </c>
      <c r="O262" s="66">
        <f>IF(OR($J262="",$B262=""),0,IF(YEAR($B262)*12+MONTH($B262)&lt;=YEAR($C$3)*12+MONTH($C$3)-1,$G262,0))</f>
        <v/>
      </c>
      <c r="P262" s="66">
        <f>$M262-$O262</f>
        <v/>
      </c>
      <c r="Q262" s="66">
        <f>($L262-$M262)-($N262-$O262)</f>
        <v/>
      </c>
      <c r="R262" s="66">
        <f>$L262-$N262</f>
        <v/>
      </c>
      <c r="S262" s="65">
        <f>"Finance invoice"</f>
        <v/>
      </c>
      <c r="T262" s="65">
        <f>"Revenue"</f>
        <v/>
      </c>
    </row>
    <row r="263">
      <c r="A263" s="63">
        <f>ROW()-5</f>
        <v/>
      </c>
      <c r="B263" s="64">
        <f>IFERROR(INDEX(tbl_Finance[Date],$A263),"")</f>
        <v/>
      </c>
      <c r="C263" s="65">
        <f>IFERROR(INDEX(tbl_Finance[Xero Invoice No],$A263),"")</f>
        <v/>
      </c>
      <c r="D263" s="65">
        <f>IFERROR(INDEX(tbl_Finance[Client],$A263),"")</f>
        <v/>
      </c>
      <c r="E263" s="65">
        <f>IFERROR(INDEX(tbl_Finance[Job Number],$A263),"")</f>
        <v/>
      </c>
      <c r="F263" s="65">
        <f>IFERROR(INDEX(tbl_Finance[Cost Centre],$A263),"")</f>
        <v/>
      </c>
      <c r="G263" s="66">
        <f>IFERROR(INDEX(tbl_Finance[Ex GST],$A263),"")</f>
        <v/>
      </c>
      <c r="H263" s="64">
        <f>IFERROR(INDEX(tbl_Finance[Defer Start],$A263),"")</f>
        <v/>
      </c>
      <c r="I263" s="64">
        <f>IFERROR(INDEX(tbl_Finance[Defer End],$A263),"")</f>
        <v/>
      </c>
      <c r="J263" s="63">
        <f>IF(OR($H263="",$I263="",$G263=""),"",MAX(1,(YEAR($I263)-YEAR($H263))*12+MONTH($I263)-MONTH($H263)+1))</f>
        <v/>
      </c>
      <c r="K263" s="66">
        <f>IF($J263="","",$G263/$J263)</f>
        <v/>
      </c>
      <c r="L263" s="66">
        <f>IF($J263="",0,$K263*MAX(0,MIN(YEAR($C$3)*12+MONTH($C$3),YEAR($I263)*12+MONTH($I263))-(YEAR($H263)*12+MONTH($H263))+1))</f>
        <v/>
      </c>
      <c r="M263" s="66">
        <f>IF($J263="",0,$K263*MAX(0,MIN(YEAR($C$3)*12+MONTH($C$3)-1,YEAR($I263)*12+MONTH($I263))-(YEAR($H263)*12+MONTH($H263))+1))</f>
        <v/>
      </c>
      <c r="N263" s="66">
        <f>IF(OR($J263="",$B263=""),0,IF(YEAR($B263)*12+MONTH($B263)&lt;=YEAR($C$3)*12+MONTH($C$3),$G263,0))</f>
        <v/>
      </c>
      <c r="O263" s="66">
        <f>IF(OR($J263="",$B263=""),0,IF(YEAR($B263)*12+MONTH($B263)&lt;=YEAR($C$3)*12+MONTH($C$3)-1,$G263,0))</f>
        <v/>
      </c>
      <c r="P263" s="66">
        <f>$M263-$O263</f>
        <v/>
      </c>
      <c r="Q263" s="66">
        <f>($L263-$M263)-($N263-$O263)</f>
        <v/>
      </c>
      <c r="R263" s="66">
        <f>$L263-$N263</f>
        <v/>
      </c>
      <c r="S263" s="65">
        <f>"Finance invoice"</f>
        <v/>
      </c>
      <c r="T263" s="65">
        <f>"Revenue"</f>
        <v/>
      </c>
    </row>
    <row r="264">
      <c r="A264" s="63">
        <f>ROW()-5</f>
        <v/>
      </c>
      <c r="B264" s="64">
        <f>IFERROR(INDEX(tbl_Finance[Date],$A264),"")</f>
        <v/>
      </c>
      <c r="C264" s="65">
        <f>IFERROR(INDEX(tbl_Finance[Xero Invoice No],$A264),"")</f>
        <v/>
      </c>
      <c r="D264" s="65">
        <f>IFERROR(INDEX(tbl_Finance[Client],$A264),"")</f>
        <v/>
      </c>
      <c r="E264" s="65">
        <f>IFERROR(INDEX(tbl_Finance[Job Number],$A264),"")</f>
        <v/>
      </c>
      <c r="F264" s="65">
        <f>IFERROR(INDEX(tbl_Finance[Cost Centre],$A264),"")</f>
        <v/>
      </c>
      <c r="G264" s="66">
        <f>IFERROR(INDEX(tbl_Finance[Ex GST],$A264),"")</f>
        <v/>
      </c>
      <c r="H264" s="64">
        <f>IFERROR(INDEX(tbl_Finance[Defer Start],$A264),"")</f>
        <v/>
      </c>
      <c r="I264" s="64">
        <f>IFERROR(INDEX(tbl_Finance[Defer End],$A264),"")</f>
        <v/>
      </c>
      <c r="J264" s="63">
        <f>IF(OR($H264="",$I264="",$G264=""),"",MAX(1,(YEAR($I264)-YEAR($H264))*12+MONTH($I264)-MONTH($H264)+1))</f>
        <v/>
      </c>
      <c r="K264" s="66">
        <f>IF($J264="","",$G264/$J264)</f>
        <v/>
      </c>
      <c r="L264" s="66">
        <f>IF($J264="",0,$K264*MAX(0,MIN(YEAR($C$3)*12+MONTH($C$3),YEAR($I264)*12+MONTH($I264))-(YEAR($H264)*12+MONTH($H264))+1))</f>
        <v/>
      </c>
      <c r="M264" s="66">
        <f>IF($J264="",0,$K264*MAX(0,MIN(YEAR($C$3)*12+MONTH($C$3)-1,YEAR($I264)*12+MONTH($I264))-(YEAR($H264)*12+MONTH($H264))+1))</f>
        <v/>
      </c>
      <c r="N264" s="66">
        <f>IF(OR($J264="",$B264=""),0,IF(YEAR($B264)*12+MONTH($B264)&lt;=YEAR($C$3)*12+MONTH($C$3),$G264,0))</f>
        <v/>
      </c>
      <c r="O264" s="66">
        <f>IF(OR($J264="",$B264=""),0,IF(YEAR($B264)*12+MONTH($B264)&lt;=YEAR($C$3)*12+MONTH($C$3)-1,$G264,0))</f>
        <v/>
      </c>
      <c r="P264" s="66">
        <f>$M264-$O264</f>
        <v/>
      </c>
      <c r="Q264" s="66">
        <f>($L264-$M264)-($N264-$O264)</f>
        <v/>
      </c>
      <c r="R264" s="66">
        <f>$L264-$N264</f>
        <v/>
      </c>
      <c r="S264" s="65">
        <f>"Finance invoice"</f>
        <v/>
      </c>
      <c r="T264" s="65">
        <f>"Revenue"</f>
        <v/>
      </c>
    </row>
    <row r="265">
      <c r="A265" s="63">
        <f>ROW()-5</f>
        <v/>
      </c>
      <c r="B265" s="64">
        <f>IFERROR(INDEX(tbl_Finance[Date],$A265),"")</f>
        <v/>
      </c>
      <c r="C265" s="65">
        <f>IFERROR(INDEX(tbl_Finance[Xero Invoice No],$A265),"")</f>
        <v/>
      </c>
      <c r="D265" s="65">
        <f>IFERROR(INDEX(tbl_Finance[Client],$A265),"")</f>
        <v/>
      </c>
      <c r="E265" s="65">
        <f>IFERROR(INDEX(tbl_Finance[Job Number],$A265),"")</f>
        <v/>
      </c>
      <c r="F265" s="65">
        <f>IFERROR(INDEX(tbl_Finance[Cost Centre],$A265),"")</f>
        <v/>
      </c>
      <c r="G265" s="66">
        <f>IFERROR(INDEX(tbl_Finance[Ex GST],$A265),"")</f>
        <v/>
      </c>
      <c r="H265" s="64">
        <f>IFERROR(INDEX(tbl_Finance[Defer Start],$A265),"")</f>
        <v/>
      </c>
      <c r="I265" s="64">
        <f>IFERROR(INDEX(tbl_Finance[Defer End],$A265),"")</f>
        <v/>
      </c>
      <c r="J265" s="63">
        <f>IF(OR($H265="",$I265="",$G265=""),"",MAX(1,(YEAR($I265)-YEAR($H265))*12+MONTH($I265)-MONTH($H265)+1))</f>
        <v/>
      </c>
      <c r="K265" s="66">
        <f>IF($J265="","",$G265/$J265)</f>
        <v/>
      </c>
      <c r="L265" s="66">
        <f>IF($J265="",0,$K265*MAX(0,MIN(YEAR($C$3)*12+MONTH($C$3),YEAR($I265)*12+MONTH($I265))-(YEAR($H265)*12+MONTH($H265))+1))</f>
        <v/>
      </c>
      <c r="M265" s="66">
        <f>IF($J265="",0,$K265*MAX(0,MIN(YEAR($C$3)*12+MONTH($C$3)-1,YEAR($I265)*12+MONTH($I265))-(YEAR($H265)*12+MONTH($H265))+1))</f>
        <v/>
      </c>
      <c r="N265" s="66">
        <f>IF(OR($J265="",$B265=""),0,IF(YEAR($B265)*12+MONTH($B265)&lt;=YEAR($C$3)*12+MONTH($C$3),$G265,0))</f>
        <v/>
      </c>
      <c r="O265" s="66">
        <f>IF(OR($J265="",$B265=""),0,IF(YEAR($B265)*12+MONTH($B265)&lt;=YEAR($C$3)*12+MONTH($C$3)-1,$G265,0))</f>
        <v/>
      </c>
      <c r="P265" s="66">
        <f>$M265-$O265</f>
        <v/>
      </c>
      <c r="Q265" s="66">
        <f>($L265-$M265)-($N265-$O265)</f>
        <v/>
      </c>
      <c r="R265" s="66">
        <f>$L265-$N265</f>
        <v/>
      </c>
      <c r="S265" s="65">
        <f>"Finance invoice"</f>
        <v/>
      </c>
      <c r="T265" s="65">
        <f>"Revenue"</f>
        <v/>
      </c>
    </row>
    <row r="266">
      <c r="A266" s="63">
        <f>ROW()-5</f>
        <v/>
      </c>
      <c r="B266" s="64">
        <f>IFERROR(INDEX(tbl_Finance[Date],$A266),"")</f>
        <v/>
      </c>
      <c r="C266" s="65">
        <f>IFERROR(INDEX(tbl_Finance[Xero Invoice No],$A266),"")</f>
        <v/>
      </c>
      <c r="D266" s="65">
        <f>IFERROR(INDEX(tbl_Finance[Client],$A266),"")</f>
        <v/>
      </c>
      <c r="E266" s="65">
        <f>IFERROR(INDEX(tbl_Finance[Job Number],$A266),"")</f>
        <v/>
      </c>
      <c r="F266" s="65">
        <f>IFERROR(INDEX(tbl_Finance[Cost Centre],$A266),"")</f>
        <v/>
      </c>
      <c r="G266" s="66">
        <f>IFERROR(INDEX(tbl_Finance[Ex GST],$A266),"")</f>
        <v/>
      </c>
      <c r="H266" s="64">
        <f>IFERROR(INDEX(tbl_Finance[Defer Start],$A266),"")</f>
        <v/>
      </c>
      <c r="I266" s="64">
        <f>IFERROR(INDEX(tbl_Finance[Defer End],$A266),"")</f>
        <v/>
      </c>
      <c r="J266" s="63">
        <f>IF(OR($H266="",$I266="",$G266=""),"",MAX(1,(YEAR($I266)-YEAR($H266))*12+MONTH($I266)-MONTH($H266)+1))</f>
        <v/>
      </c>
      <c r="K266" s="66">
        <f>IF($J266="","",$G266/$J266)</f>
        <v/>
      </c>
      <c r="L266" s="66">
        <f>IF($J266="",0,$K266*MAX(0,MIN(YEAR($C$3)*12+MONTH($C$3),YEAR($I266)*12+MONTH($I266))-(YEAR($H266)*12+MONTH($H266))+1))</f>
        <v/>
      </c>
      <c r="M266" s="66">
        <f>IF($J266="",0,$K266*MAX(0,MIN(YEAR($C$3)*12+MONTH($C$3)-1,YEAR($I266)*12+MONTH($I266))-(YEAR($H266)*12+MONTH($H266))+1))</f>
        <v/>
      </c>
      <c r="N266" s="66">
        <f>IF(OR($J266="",$B266=""),0,IF(YEAR($B266)*12+MONTH($B266)&lt;=YEAR($C$3)*12+MONTH($C$3),$G266,0))</f>
        <v/>
      </c>
      <c r="O266" s="66">
        <f>IF(OR($J266="",$B266=""),0,IF(YEAR($B266)*12+MONTH($B266)&lt;=YEAR($C$3)*12+MONTH($C$3)-1,$G266,0))</f>
        <v/>
      </c>
      <c r="P266" s="66">
        <f>$M266-$O266</f>
        <v/>
      </c>
      <c r="Q266" s="66">
        <f>($L266-$M266)-($N266-$O266)</f>
        <v/>
      </c>
      <c r="R266" s="66">
        <f>$L266-$N266</f>
        <v/>
      </c>
      <c r="S266" s="65">
        <f>"Finance invoice"</f>
        <v/>
      </c>
      <c r="T266" s="65">
        <f>"Revenue"</f>
        <v/>
      </c>
    </row>
    <row r="267">
      <c r="A267" s="63">
        <f>ROW()-5</f>
        <v/>
      </c>
      <c r="B267" s="64">
        <f>IFERROR(INDEX(tbl_Finance[Date],$A267),"")</f>
        <v/>
      </c>
      <c r="C267" s="65">
        <f>IFERROR(INDEX(tbl_Finance[Xero Invoice No],$A267),"")</f>
        <v/>
      </c>
      <c r="D267" s="65">
        <f>IFERROR(INDEX(tbl_Finance[Client],$A267),"")</f>
        <v/>
      </c>
      <c r="E267" s="65">
        <f>IFERROR(INDEX(tbl_Finance[Job Number],$A267),"")</f>
        <v/>
      </c>
      <c r="F267" s="65">
        <f>IFERROR(INDEX(tbl_Finance[Cost Centre],$A267),"")</f>
        <v/>
      </c>
      <c r="G267" s="66">
        <f>IFERROR(INDEX(tbl_Finance[Ex GST],$A267),"")</f>
        <v/>
      </c>
      <c r="H267" s="64">
        <f>IFERROR(INDEX(tbl_Finance[Defer Start],$A267),"")</f>
        <v/>
      </c>
      <c r="I267" s="64">
        <f>IFERROR(INDEX(tbl_Finance[Defer End],$A267),"")</f>
        <v/>
      </c>
      <c r="J267" s="63">
        <f>IF(OR($H267="",$I267="",$G267=""),"",MAX(1,(YEAR($I267)-YEAR($H267))*12+MONTH($I267)-MONTH($H267)+1))</f>
        <v/>
      </c>
      <c r="K267" s="66">
        <f>IF($J267="","",$G267/$J267)</f>
        <v/>
      </c>
      <c r="L267" s="66">
        <f>IF($J267="",0,$K267*MAX(0,MIN(YEAR($C$3)*12+MONTH($C$3),YEAR($I267)*12+MONTH($I267))-(YEAR($H267)*12+MONTH($H267))+1))</f>
        <v/>
      </c>
      <c r="M267" s="66">
        <f>IF($J267="",0,$K267*MAX(0,MIN(YEAR($C$3)*12+MONTH($C$3)-1,YEAR($I267)*12+MONTH($I267))-(YEAR($H267)*12+MONTH($H267))+1))</f>
        <v/>
      </c>
      <c r="N267" s="66">
        <f>IF(OR($J267="",$B267=""),0,IF(YEAR($B267)*12+MONTH($B267)&lt;=YEAR($C$3)*12+MONTH($C$3),$G267,0))</f>
        <v/>
      </c>
      <c r="O267" s="66">
        <f>IF(OR($J267="",$B267=""),0,IF(YEAR($B267)*12+MONTH($B267)&lt;=YEAR($C$3)*12+MONTH($C$3)-1,$G267,0))</f>
        <v/>
      </c>
      <c r="P267" s="66">
        <f>$M267-$O267</f>
        <v/>
      </c>
      <c r="Q267" s="66">
        <f>($L267-$M267)-($N267-$O267)</f>
        <v/>
      </c>
      <c r="R267" s="66">
        <f>$L267-$N267</f>
        <v/>
      </c>
      <c r="S267" s="65">
        <f>"Finance invoice"</f>
        <v/>
      </c>
      <c r="T267" s="65">
        <f>"Revenue"</f>
        <v/>
      </c>
    </row>
    <row r="268">
      <c r="A268" s="63">
        <f>ROW()-5</f>
        <v/>
      </c>
      <c r="B268" s="64">
        <f>IFERROR(INDEX(tbl_Finance[Date],$A268),"")</f>
        <v/>
      </c>
      <c r="C268" s="65">
        <f>IFERROR(INDEX(tbl_Finance[Xero Invoice No],$A268),"")</f>
        <v/>
      </c>
      <c r="D268" s="65">
        <f>IFERROR(INDEX(tbl_Finance[Client],$A268),"")</f>
        <v/>
      </c>
      <c r="E268" s="65">
        <f>IFERROR(INDEX(tbl_Finance[Job Number],$A268),"")</f>
        <v/>
      </c>
      <c r="F268" s="65">
        <f>IFERROR(INDEX(tbl_Finance[Cost Centre],$A268),"")</f>
        <v/>
      </c>
      <c r="G268" s="66">
        <f>IFERROR(INDEX(tbl_Finance[Ex GST],$A268),"")</f>
        <v/>
      </c>
      <c r="H268" s="64">
        <f>IFERROR(INDEX(tbl_Finance[Defer Start],$A268),"")</f>
        <v/>
      </c>
      <c r="I268" s="64">
        <f>IFERROR(INDEX(tbl_Finance[Defer End],$A268),"")</f>
        <v/>
      </c>
      <c r="J268" s="63">
        <f>IF(OR($H268="",$I268="",$G268=""),"",MAX(1,(YEAR($I268)-YEAR($H268))*12+MONTH($I268)-MONTH($H268)+1))</f>
        <v/>
      </c>
      <c r="K268" s="66">
        <f>IF($J268="","",$G268/$J268)</f>
        <v/>
      </c>
      <c r="L268" s="66">
        <f>IF($J268="",0,$K268*MAX(0,MIN(YEAR($C$3)*12+MONTH($C$3),YEAR($I268)*12+MONTH($I268))-(YEAR($H268)*12+MONTH($H268))+1))</f>
        <v/>
      </c>
      <c r="M268" s="66">
        <f>IF($J268="",0,$K268*MAX(0,MIN(YEAR($C$3)*12+MONTH($C$3)-1,YEAR($I268)*12+MONTH($I268))-(YEAR($H268)*12+MONTH($H268))+1))</f>
        <v/>
      </c>
      <c r="N268" s="66">
        <f>IF(OR($J268="",$B268=""),0,IF(YEAR($B268)*12+MONTH($B268)&lt;=YEAR($C$3)*12+MONTH($C$3),$G268,0))</f>
        <v/>
      </c>
      <c r="O268" s="66">
        <f>IF(OR($J268="",$B268=""),0,IF(YEAR($B268)*12+MONTH($B268)&lt;=YEAR($C$3)*12+MONTH($C$3)-1,$G268,0))</f>
        <v/>
      </c>
      <c r="P268" s="66">
        <f>$M268-$O268</f>
        <v/>
      </c>
      <c r="Q268" s="66">
        <f>($L268-$M268)-($N268-$O268)</f>
        <v/>
      </c>
      <c r="R268" s="66">
        <f>$L268-$N268</f>
        <v/>
      </c>
      <c r="S268" s="65">
        <f>"Finance invoice"</f>
        <v/>
      </c>
      <c r="T268" s="65">
        <f>"Revenue"</f>
        <v/>
      </c>
    </row>
    <row r="269">
      <c r="A269" s="63">
        <f>ROW()-5</f>
        <v/>
      </c>
      <c r="B269" s="64">
        <f>IFERROR(INDEX(tbl_Finance[Date],$A269),"")</f>
        <v/>
      </c>
      <c r="C269" s="65">
        <f>IFERROR(INDEX(tbl_Finance[Xero Invoice No],$A269),"")</f>
        <v/>
      </c>
      <c r="D269" s="65">
        <f>IFERROR(INDEX(tbl_Finance[Client],$A269),"")</f>
        <v/>
      </c>
      <c r="E269" s="65">
        <f>IFERROR(INDEX(tbl_Finance[Job Number],$A269),"")</f>
        <v/>
      </c>
      <c r="F269" s="65">
        <f>IFERROR(INDEX(tbl_Finance[Cost Centre],$A269),"")</f>
        <v/>
      </c>
      <c r="G269" s="66">
        <f>IFERROR(INDEX(tbl_Finance[Ex GST],$A269),"")</f>
        <v/>
      </c>
      <c r="H269" s="64">
        <f>IFERROR(INDEX(tbl_Finance[Defer Start],$A269),"")</f>
        <v/>
      </c>
      <c r="I269" s="64">
        <f>IFERROR(INDEX(tbl_Finance[Defer End],$A269),"")</f>
        <v/>
      </c>
      <c r="J269" s="63">
        <f>IF(OR($H269="",$I269="",$G269=""),"",MAX(1,(YEAR($I269)-YEAR($H269))*12+MONTH($I269)-MONTH($H269)+1))</f>
        <v/>
      </c>
      <c r="K269" s="66">
        <f>IF($J269="","",$G269/$J269)</f>
        <v/>
      </c>
      <c r="L269" s="66">
        <f>IF($J269="",0,$K269*MAX(0,MIN(YEAR($C$3)*12+MONTH($C$3),YEAR($I269)*12+MONTH($I269))-(YEAR($H269)*12+MONTH($H269))+1))</f>
        <v/>
      </c>
      <c r="M269" s="66">
        <f>IF($J269="",0,$K269*MAX(0,MIN(YEAR($C$3)*12+MONTH($C$3)-1,YEAR($I269)*12+MONTH($I269))-(YEAR($H269)*12+MONTH($H269))+1))</f>
        <v/>
      </c>
      <c r="N269" s="66">
        <f>IF(OR($J269="",$B269=""),0,IF(YEAR($B269)*12+MONTH($B269)&lt;=YEAR($C$3)*12+MONTH($C$3),$G269,0))</f>
        <v/>
      </c>
      <c r="O269" s="66">
        <f>IF(OR($J269="",$B269=""),0,IF(YEAR($B269)*12+MONTH($B269)&lt;=YEAR($C$3)*12+MONTH($C$3)-1,$G269,0))</f>
        <v/>
      </c>
      <c r="P269" s="66">
        <f>$M269-$O269</f>
        <v/>
      </c>
      <c r="Q269" s="66">
        <f>($L269-$M269)-($N269-$O269)</f>
        <v/>
      </c>
      <c r="R269" s="66">
        <f>$L269-$N269</f>
        <v/>
      </c>
      <c r="S269" s="65">
        <f>"Finance invoice"</f>
        <v/>
      </c>
      <c r="T269" s="65">
        <f>"Revenue"</f>
        <v/>
      </c>
    </row>
    <row r="270">
      <c r="A270" s="63">
        <f>ROW()-5</f>
        <v/>
      </c>
      <c r="B270" s="64">
        <f>IFERROR(INDEX(tbl_Finance[Date],$A270),"")</f>
        <v/>
      </c>
      <c r="C270" s="65">
        <f>IFERROR(INDEX(tbl_Finance[Xero Invoice No],$A270),"")</f>
        <v/>
      </c>
      <c r="D270" s="65">
        <f>IFERROR(INDEX(tbl_Finance[Client],$A270),"")</f>
        <v/>
      </c>
      <c r="E270" s="65">
        <f>IFERROR(INDEX(tbl_Finance[Job Number],$A270),"")</f>
        <v/>
      </c>
      <c r="F270" s="65">
        <f>IFERROR(INDEX(tbl_Finance[Cost Centre],$A270),"")</f>
        <v/>
      </c>
      <c r="G270" s="66">
        <f>IFERROR(INDEX(tbl_Finance[Ex GST],$A270),"")</f>
        <v/>
      </c>
      <c r="H270" s="64">
        <f>IFERROR(INDEX(tbl_Finance[Defer Start],$A270),"")</f>
        <v/>
      </c>
      <c r="I270" s="64">
        <f>IFERROR(INDEX(tbl_Finance[Defer End],$A270),"")</f>
        <v/>
      </c>
      <c r="J270" s="63">
        <f>IF(OR($H270="",$I270="",$G270=""),"",MAX(1,(YEAR($I270)-YEAR($H270))*12+MONTH($I270)-MONTH($H270)+1))</f>
        <v/>
      </c>
      <c r="K270" s="66">
        <f>IF($J270="","",$G270/$J270)</f>
        <v/>
      </c>
      <c r="L270" s="66">
        <f>IF($J270="",0,$K270*MAX(0,MIN(YEAR($C$3)*12+MONTH($C$3),YEAR($I270)*12+MONTH($I270))-(YEAR($H270)*12+MONTH($H270))+1))</f>
        <v/>
      </c>
      <c r="M270" s="66">
        <f>IF($J270="",0,$K270*MAX(0,MIN(YEAR($C$3)*12+MONTH($C$3)-1,YEAR($I270)*12+MONTH($I270))-(YEAR($H270)*12+MONTH($H270))+1))</f>
        <v/>
      </c>
      <c r="N270" s="66">
        <f>IF(OR($J270="",$B270=""),0,IF(YEAR($B270)*12+MONTH($B270)&lt;=YEAR($C$3)*12+MONTH($C$3),$G270,0))</f>
        <v/>
      </c>
      <c r="O270" s="66">
        <f>IF(OR($J270="",$B270=""),0,IF(YEAR($B270)*12+MONTH($B270)&lt;=YEAR($C$3)*12+MONTH($C$3)-1,$G270,0))</f>
        <v/>
      </c>
      <c r="P270" s="66">
        <f>$M270-$O270</f>
        <v/>
      </c>
      <c r="Q270" s="66">
        <f>($L270-$M270)-($N270-$O270)</f>
        <v/>
      </c>
      <c r="R270" s="66">
        <f>$L270-$N270</f>
        <v/>
      </c>
      <c r="S270" s="65">
        <f>"Finance invoice"</f>
        <v/>
      </c>
      <c r="T270" s="65">
        <f>"Revenue"</f>
        <v/>
      </c>
    </row>
    <row r="271">
      <c r="A271" s="63">
        <f>ROW()-5</f>
        <v/>
      </c>
      <c r="B271" s="64">
        <f>IFERROR(INDEX(tbl_Finance[Date],$A271),"")</f>
        <v/>
      </c>
      <c r="C271" s="65">
        <f>IFERROR(INDEX(tbl_Finance[Xero Invoice No],$A271),"")</f>
        <v/>
      </c>
      <c r="D271" s="65">
        <f>IFERROR(INDEX(tbl_Finance[Client],$A271),"")</f>
        <v/>
      </c>
      <c r="E271" s="65">
        <f>IFERROR(INDEX(tbl_Finance[Job Number],$A271),"")</f>
        <v/>
      </c>
      <c r="F271" s="65">
        <f>IFERROR(INDEX(tbl_Finance[Cost Centre],$A271),"")</f>
        <v/>
      </c>
      <c r="G271" s="66">
        <f>IFERROR(INDEX(tbl_Finance[Ex GST],$A271),"")</f>
        <v/>
      </c>
      <c r="H271" s="64">
        <f>IFERROR(INDEX(tbl_Finance[Defer Start],$A271),"")</f>
        <v/>
      </c>
      <c r="I271" s="64">
        <f>IFERROR(INDEX(tbl_Finance[Defer End],$A271),"")</f>
        <v/>
      </c>
      <c r="J271" s="63">
        <f>IF(OR($H271="",$I271="",$G271=""),"",MAX(1,(YEAR($I271)-YEAR($H271))*12+MONTH($I271)-MONTH($H271)+1))</f>
        <v/>
      </c>
      <c r="K271" s="66">
        <f>IF($J271="","",$G271/$J271)</f>
        <v/>
      </c>
      <c r="L271" s="66">
        <f>IF($J271="",0,$K271*MAX(0,MIN(YEAR($C$3)*12+MONTH($C$3),YEAR($I271)*12+MONTH($I271))-(YEAR($H271)*12+MONTH($H271))+1))</f>
        <v/>
      </c>
      <c r="M271" s="66">
        <f>IF($J271="",0,$K271*MAX(0,MIN(YEAR($C$3)*12+MONTH($C$3)-1,YEAR($I271)*12+MONTH($I271))-(YEAR($H271)*12+MONTH($H271))+1))</f>
        <v/>
      </c>
      <c r="N271" s="66">
        <f>IF(OR($J271="",$B271=""),0,IF(YEAR($B271)*12+MONTH($B271)&lt;=YEAR($C$3)*12+MONTH($C$3),$G271,0))</f>
        <v/>
      </c>
      <c r="O271" s="66">
        <f>IF(OR($J271="",$B271=""),0,IF(YEAR($B271)*12+MONTH($B271)&lt;=YEAR($C$3)*12+MONTH($C$3)-1,$G271,0))</f>
        <v/>
      </c>
      <c r="P271" s="66">
        <f>$M271-$O271</f>
        <v/>
      </c>
      <c r="Q271" s="66">
        <f>($L271-$M271)-($N271-$O271)</f>
        <v/>
      </c>
      <c r="R271" s="66">
        <f>$L271-$N271</f>
        <v/>
      </c>
      <c r="S271" s="65">
        <f>"Finance invoice"</f>
        <v/>
      </c>
      <c r="T271" s="65">
        <f>"Revenue"</f>
        <v/>
      </c>
    </row>
    <row r="272">
      <c r="A272" s="63">
        <f>ROW()-5</f>
        <v/>
      </c>
      <c r="B272" s="64">
        <f>IFERROR(INDEX(tbl_Finance[Date],$A272),"")</f>
        <v/>
      </c>
      <c r="C272" s="65">
        <f>IFERROR(INDEX(tbl_Finance[Xero Invoice No],$A272),"")</f>
        <v/>
      </c>
      <c r="D272" s="65">
        <f>IFERROR(INDEX(tbl_Finance[Client],$A272),"")</f>
        <v/>
      </c>
      <c r="E272" s="65">
        <f>IFERROR(INDEX(tbl_Finance[Job Number],$A272),"")</f>
        <v/>
      </c>
      <c r="F272" s="65">
        <f>IFERROR(INDEX(tbl_Finance[Cost Centre],$A272),"")</f>
        <v/>
      </c>
      <c r="G272" s="66">
        <f>IFERROR(INDEX(tbl_Finance[Ex GST],$A272),"")</f>
        <v/>
      </c>
      <c r="H272" s="64">
        <f>IFERROR(INDEX(tbl_Finance[Defer Start],$A272),"")</f>
        <v/>
      </c>
      <c r="I272" s="64">
        <f>IFERROR(INDEX(tbl_Finance[Defer End],$A272),"")</f>
        <v/>
      </c>
      <c r="J272" s="63">
        <f>IF(OR($H272="",$I272="",$G272=""),"",MAX(1,(YEAR($I272)-YEAR($H272))*12+MONTH($I272)-MONTH($H272)+1))</f>
        <v/>
      </c>
      <c r="K272" s="66">
        <f>IF($J272="","",$G272/$J272)</f>
        <v/>
      </c>
      <c r="L272" s="66">
        <f>IF($J272="",0,$K272*MAX(0,MIN(YEAR($C$3)*12+MONTH($C$3),YEAR($I272)*12+MONTH($I272))-(YEAR($H272)*12+MONTH($H272))+1))</f>
        <v/>
      </c>
      <c r="M272" s="66">
        <f>IF($J272="",0,$K272*MAX(0,MIN(YEAR($C$3)*12+MONTH($C$3)-1,YEAR($I272)*12+MONTH($I272))-(YEAR($H272)*12+MONTH($H272))+1))</f>
        <v/>
      </c>
      <c r="N272" s="66">
        <f>IF(OR($J272="",$B272=""),0,IF(YEAR($B272)*12+MONTH($B272)&lt;=YEAR($C$3)*12+MONTH($C$3),$G272,0))</f>
        <v/>
      </c>
      <c r="O272" s="66">
        <f>IF(OR($J272="",$B272=""),0,IF(YEAR($B272)*12+MONTH($B272)&lt;=YEAR($C$3)*12+MONTH($C$3)-1,$G272,0))</f>
        <v/>
      </c>
      <c r="P272" s="66">
        <f>$M272-$O272</f>
        <v/>
      </c>
      <c r="Q272" s="66">
        <f>($L272-$M272)-($N272-$O272)</f>
        <v/>
      </c>
      <c r="R272" s="66">
        <f>$L272-$N272</f>
        <v/>
      </c>
      <c r="S272" s="65">
        <f>"Finance invoice"</f>
        <v/>
      </c>
      <c r="T272" s="65">
        <f>"Revenue"</f>
        <v/>
      </c>
    </row>
    <row r="273">
      <c r="A273" s="63">
        <f>ROW()-5</f>
        <v/>
      </c>
      <c r="B273" s="64">
        <f>IFERROR(INDEX(tbl_Finance[Date],$A273),"")</f>
        <v/>
      </c>
      <c r="C273" s="65">
        <f>IFERROR(INDEX(tbl_Finance[Xero Invoice No],$A273),"")</f>
        <v/>
      </c>
      <c r="D273" s="65">
        <f>IFERROR(INDEX(tbl_Finance[Client],$A273),"")</f>
        <v/>
      </c>
      <c r="E273" s="65">
        <f>IFERROR(INDEX(tbl_Finance[Job Number],$A273),"")</f>
        <v/>
      </c>
      <c r="F273" s="65">
        <f>IFERROR(INDEX(tbl_Finance[Cost Centre],$A273),"")</f>
        <v/>
      </c>
      <c r="G273" s="66">
        <f>IFERROR(INDEX(tbl_Finance[Ex GST],$A273),"")</f>
        <v/>
      </c>
      <c r="H273" s="64">
        <f>IFERROR(INDEX(tbl_Finance[Defer Start],$A273),"")</f>
        <v/>
      </c>
      <c r="I273" s="64">
        <f>IFERROR(INDEX(tbl_Finance[Defer End],$A273),"")</f>
        <v/>
      </c>
      <c r="J273" s="63">
        <f>IF(OR($H273="",$I273="",$G273=""),"",MAX(1,(YEAR($I273)-YEAR($H273))*12+MONTH($I273)-MONTH($H273)+1))</f>
        <v/>
      </c>
      <c r="K273" s="66">
        <f>IF($J273="","",$G273/$J273)</f>
        <v/>
      </c>
      <c r="L273" s="66">
        <f>IF($J273="",0,$K273*MAX(0,MIN(YEAR($C$3)*12+MONTH($C$3),YEAR($I273)*12+MONTH($I273))-(YEAR($H273)*12+MONTH($H273))+1))</f>
        <v/>
      </c>
      <c r="M273" s="66">
        <f>IF($J273="",0,$K273*MAX(0,MIN(YEAR($C$3)*12+MONTH($C$3)-1,YEAR($I273)*12+MONTH($I273))-(YEAR($H273)*12+MONTH($H273))+1))</f>
        <v/>
      </c>
      <c r="N273" s="66">
        <f>IF(OR($J273="",$B273=""),0,IF(YEAR($B273)*12+MONTH($B273)&lt;=YEAR($C$3)*12+MONTH($C$3),$G273,0))</f>
        <v/>
      </c>
      <c r="O273" s="66">
        <f>IF(OR($J273="",$B273=""),0,IF(YEAR($B273)*12+MONTH($B273)&lt;=YEAR($C$3)*12+MONTH($C$3)-1,$G273,0))</f>
        <v/>
      </c>
      <c r="P273" s="66">
        <f>$M273-$O273</f>
        <v/>
      </c>
      <c r="Q273" s="66">
        <f>($L273-$M273)-($N273-$O273)</f>
        <v/>
      </c>
      <c r="R273" s="66">
        <f>$L273-$N273</f>
        <v/>
      </c>
      <c r="S273" s="65">
        <f>"Finance invoice"</f>
        <v/>
      </c>
      <c r="T273" s="65">
        <f>"Revenue"</f>
        <v/>
      </c>
    </row>
    <row r="274">
      <c r="A274" s="63">
        <f>ROW()-5</f>
        <v/>
      </c>
      <c r="B274" s="64">
        <f>IFERROR(INDEX(tbl_Finance[Date],$A274),"")</f>
        <v/>
      </c>
      <c r="C274" s="65">
        <f>IFERROR(INDEX(tbl_Finance[Xero Invoice No],$A274),"")</f>
        <v/>
      </c>
      <c r="D274" s="65">
        <f>IFERROR(INDEX(tbl_Finance[Client],$A274),"")</f>
        <v/>
      </c>
      <c r="E274" s="65">
        <f>IFERROR(INDEX(tbl_Finance[Job Number],$A274),"")</f>
        <v/>
      </c>
      <c r="F274" s="65">
        <f>IFERROR(INDEX(tbl_Finance[Cost Centre],$A274),"")</f>
        <v/>
      </c>
      <c r="G274" s="66">
        <f>IFERROR(INDEX(tbl_Finance[Ex GST],$A274),"")</f>
        <v/>
      </c>
      <c r="H274" s="64">
        <f>IFERROR(INDEX(tbl_Finance[Defer Start],$A274),"")</f>
        <v/>
      </c>
      <c r="I274" s="64">
        <f>IFERROR(INDEX(tbl_Finance[Defer End],$A274),"")</f>
        <v/>
      </c>
      <c r="J274" s="63">
        <f>IF(OR($H274="",$I274="",$G274=""),"",MAX(1,(YEAR($I274)-YEAR($H274))*12+MONTH($I274)-MONTH($H274)+1))</f>
        <v/>
      </c>
      <c r="K274" s="66">
        <f>IF($J274="","",$G274/$J274)</f>
        <v/>
      </c>
      <c r="L274" s="66">
        <f>IF($J274="",0,$K274*MAX(0,MIN(YEAR($C$3)*12+MONTH($C$3),YEAR($I274)*12+MONTH($I274))-(YEAR($H274)*12+MONTH($H274))+1))</f>
        <v/>
      </c>
      <c r="M274" s="66">
        <f>IF($J274="",0,$K274*MAX(0,MIN(YEAR($C$3)*12+MONTH($C$3)-1,YEAR($I274)*12+MONTH($I274))-(YEAR($H274)*12+MONTH($H274))+1))</f>
        <v/>
      </c>
      <c r="N274" s="66">
        <f>IF(OR($J274="",$B274=""),0,IF(YEAR($B274)*12+MONTH($B274)&lt;=YEAR($C$3)*12+MONTH($C$3),$G274,0))</f>
        <v/>
      </c>
      <c r="O274" s="66">
        <f>IF(OR($J274="",$B274=""),0,IF(YEAR($B274)*12+MONTH($B274)&lt;=YEAR($C$3)*12+MONTH($C$3)-1,$G274,0))</f>
        <v/>
      </c>
      <c r="P274" s="66">
        <f>$M274-$O274</f>
        <v/>
      </c>
      <c r="Q274" s="66">
        <f>($L274-$M274)-($N274-$O274)</f>
        <v/>
      </c>
      <c r="R274" s="66">
        <f>$L274-$N274</f>
        <v/>
      </c>
      <c r="S274" s="65">
        <f>"Finance invoice"</f>
        <v/>
      </c>
      <c r="T274" s="65">
        <f>"Revenue"</f>
        <v/>
      </c>
    </row>
    <row r="275">
      <c r="A275" s="63">
        <f>ROW()-5</f>
        <v/>
      </c>
      <c r="B275" s="64">
        <f>IFERROR(INDEX(tbl_Finance[Date],$A275),"")</f>
        <v/>
      </c>
      <c r="C275" s="65">
        <f>IFERROR(INDEX(tbl_Finance[Xero Invoice No],$A275),"")</f>
        <v/>
      </c>
      <c r="D275" s="65">
        <f>IFERROR(INDEX(tbl_Finance[Client],$A275),"")</f>
        <v/>
      </c>
      <c r="E275" s="65">
        <f>IFERROR(INDEX(tbl_Finance[Job Number],$A275),"")</f>
        <v/>
      </c>
      <c r="F275" s="65">
        <f>IFERROR(INDEX(tbl_Finance[Cost Centre],$A275),"")</f>
        <v/>
      </c>
      <c r="G275" s="66">
        <f>IFERROR(INDEX(tbl_Finance[Ex GST],$A275),"")</f>
        <v/>
      </c>
      <c r="H275" s="64">
        <f>IFERROR(INDEX(tbl_Finance[Defer Start],$A275),"")</f>
        <v/>
      </c>
      <c r="I275" s="64">
        <f>IFERROR(INDEX(tbl_Finance[Defer End],$A275),"")</f>
        <v/>
      </c>
      <c r="J275" s="63">
        <f>IF(OR($H275="",$I275="",$G275=""),"",MAX(1,(YEAR($I275)-YEAR($H275))*12+MONTH($I275)-MONTH($H275)+1))</f>
        <v/>
      </c>
      <c r="K275" s="66">
        <f>IF($J275="","",$G275/$J275)</f>
        <v/>
      </c>
      <c r="L275" s="66">
        <f>IF($J275="",0,$K275*MAX(0,MIN(YEAR($C$3)*12+MONTH($C$3),YEAR($I275)*12+MONTH($I275))-(YEAR($H275)*12+MONTH($H275))+1))</f>
        <v/>
      </c>
      <c r="M275" s="66">
        <f>IF($J275="",0,$K275*MAX(0,MIN(YEAR($C$3)*12+MONTH($C$3)-1,YEAR($I275)*12+MONTH($I275))-(YEAR($H275)*12+MONTH($H275))+1))</f>
        <v/>
      </c>
      <c r="N275" s="66">
        <f>IF(OR($J275="",$B275=""),0,IF(YEAR($B275)*12+MONTH($B275)&lt;=YEAR($C$3)*12+MONTH($C$3),$G275,0))</f>
        <v/>
      </c>
      <c r="O275" s="66">
        <f>IF(OR($J275="",$B275=""),0,IF(YEAR($B275)*12+MONTH($B275)&lt;=YEAR($C$3)*12+MONTH($C$3)-1,$G275,0))</f>
        <v/>
      </c>
      <c r="P275" s="66">
        <f>$M275-$O275</f>
        <v/>
      </c>
      <c r="Q275" s="66">
        <f>($L275-$M275)-($N275-$O275)</f>
        <v/>
      </c>
      <c r="R275" s="66">
        <f>$L275-$N275</f>
        <v/>
      </c>
      <c r="S275" s="65">
        <f>"Finance invoice"</f>
        <v/>
      </c>
      <c r="T275" s="65">
        <f>"Revenue"</f>
        <v/>
      </c>
    </row>
    <row r="276">
      <c r="A276" s="63">
        <f>ROW()-5</f>
        <v/>
      </c>
      <c r="B276" s="64">
        <f>IFERROR(INDEX(tbl_Finance[Date],$A276),"")</f>
        <v/>
      </c>
      <c r="C276" s="65">
        <f>IFERROR(INDEX(tbl_Finance[Xero Invoice No],$A276),"")</f>
        <v/>
      </c>
      <c r="D276" s="65">
        <f>IFERROR(INDEX(tbl_Finance[Client],$A276),"")</f>
        <v/>
      </c>
      <c r="E276" s="65">
        <f>IFERROR(INDEX(tbl_Finance[Job Number],$A276),"")</f>
        <v/>
      </c>
      <c r="F276" s="65">
        <f>IFERROR(INDEX(tbl_Finance[Cost Centre],$A276),"")</f>
        <v/>
      </c>
      <c r="G276" s="66">
        <f>IFERROR(INDEX(tbl_Finance[Ex GST],$A276),"")</f>
        <v/>
      </c>
      <c r="H276" s="64">
        <f>IFERROR(INDEX(tbl_Finance[Defer Start],$A276),"")</f>
        <v/>
      </c>
      <c r="I276" s="64">
        <f>IFERROR(INDEX(tbl_Finance[Defer End],$A276),"")</f>
        <v/>
      </c>
      <c r="J276" s="63">
        <f>IF(OR($H276="",$I276="",$G276=""),"",MAX(1,(YEAR($I276)-YEAR($H276))*12+MONTH($I276)-MONTH($H276)+1))</f>
        <v/>
      </c>
      <c r="K276" s="66">
        <f>IF($J276="","",$G276/$J276)</f>
        <v/>
      </c>
      <c r="L276" s="66">
        <f>IF($J276="",0,$K276*MAX(0,MIN(YEAR($C$3)*12+MONTH($C$3),YEAR($I276)*12+MONTH($I276))-(YEAR($H276)*12+MONTH($H276))+1))</f>
        <v/>
      </c>
      <c r="M276" s="66">
        <f>IF($J276="",0,$K276*MAX(0,MIN(YEAR($C$3)*12+MONTH($C$3)-1,YEAR($I276)*12+MONTH($I276))-(YEAR($H276)*12+MONTH($H276))+1))</f>
        <v/>
      </c>
      <c r="N276" s="66">
        <f>IF(OR($J276="",$B276=""),0,IF(YEAR($B276)*12+MONTH($B276)&lt;=YEAR($C$3)*12+MONTH($C$3),$G276,0))</f>
        <v/>
      </c>
      <c r="O276" s="66">
        <f>IF(OR($J276="",$B276=""),0,IF(YEAR($B276)*12+MONTH($B276)&lt;=YEAR($C$3)*12+MONTH($C$3)-1,$G276,0))</f>
        <v/>
      </c>
      <c r="P276" s="66">
        <f>$M276-$O276</f>
        <v/>
      </c>
      <c r="Q276" s="66">
        <f>($L276-$M276)-($N276-$O276)</f>
        <v/>
      </c>
      <c r="R276" s="66">
        <f>$L276-$N276</f>
        <v/>
      </c>
      <c r="S276" s="65">
        <f>"Finance invoice"</f>
        <v/>
      </c>
      <c r="T276" s="65">
        <f>"Revenue"</f>
        <v/>
      </c>
    </row>
    <row r="277">
      <c r="A277" s="63">
        <f>ROW()-5</f>
        <v/>
      </c>
      <c r="B277" s="64">
        <f>IFERROR(INDEX(tbl_Finance[Date],$A277),"")</f>
        <v/>
      </c>
      <c r="C277" s="65">
        <f>IFERROR(INDEX(tbl_Finance[Xero Invoice No],$A277),"")</f>
        <v/>
      </c>
      <c r="D277" s="65">
        <f>IFERROR(INDEX(tbl_Finance[Client],$A277),"")</f>
        <v/>
      </c>
      <c r="E277" s="65">
        <f>IFERROR(INDEX(tbl_Finance[Job Number],$A277),"")</f>
        <v/>
      </c>
      <c r="F277" s="65">
        <f>IFERROR(INDEX(tbl_Finance[Cost Centre],$A277),"")</f>
        <v/>
      </c>
      <c r="G277" s="66">
        <f>IFERROR(INDEX(tbl_Finance[Ex GST],$A277),"")</f>
        <v/>
      </c>
      <c r="H277" s="64">
        <f>IFERROR(INDEX(tbl_Finance[Defer Start],$A277),"")</f>
        <v/>
      </c>
      <c r="I277" s="64">
        <f>IFERROR(INDEX(tbl_Finance[Defer End],$A277),"")</f>
        <v/>
      </c>
      <c r="J277" s="63">
        <f>IF(OR($H277="",$I277="",$G277=""),"",MAX(1,(YEAR($I277)-YEAR($H277))*12+MONTH($I277)-MONTH($H277)+1))</f>
        <v/>
      </c>
      <c r="K277" s="66">
        <f>IF($J277="","",$G277/$J277)</f>
        <v/>
      </c>
      <c r="L277" s="66">
        <f>IF($J277="",0,$K277*MAX(0,MIN(YEAR($C$3)*12+MONTH($C$3),YEAR($I277)*12+MONTH($I277))-(YEAR($H277)*12+MONTH($H277))+1))</f>
        <v/>
      </c>
      <c r="M277" s="66">
        <f>IF($J277="",0,$K277*MAX(0,MIN(YEAR($C$3)*12+MONTH($C$3)-1,YEAR($I277)*12+MONTH($I277))-(YEAR($H277)*12+MONTH($H277))+1))</f>
        <v/>
      </c>
      <c r="N277" s="66">
        <f>IF(OR($J277="",$B277=""),0,IF(YEAR($B277)*12+MONTH($B277)&lt;=YEAR($C$3)*12+MONTH($C$3),$G277,0))</f>
        <v/>
      </c>
      <c r="O277" s="66">
        <f>IF(OR($J277="",$B277=""),0,IF(YEAR($B277)*12+MONTH($B277)&lt;=YEAR($C$3)*12+MONTH($C$3)-1,$G277,0))</f>
        <v/>
      </c>
      <c r="P277" s="66">
        <f>$M277-$O277</f>
        <v/>
      </c>
      <c r="Q277" s="66">
        <f>($L277-$M277)-($N277-$O277)</f>
        <v/>
      </c>
      <c r="R277" s="66">
        <f>$L277-$N277</f>
        <v/>
      </c>
      <c r="S277" s="65">
        <f>"Finance invoice"</f>
        <v/>
      </c>
      <c r="T277" s="65">
        <f>"Revenue"</f>
        <v/>
      </c>
    </row>
    <row r="278">
      <c r="A278" s="63">
        <f>ROW()-5</f>
        <v/>
      </c>
      <c r="B278" s="64">
        <f>IFERROR(INDEX(tbl_Finance[Date],$A278),"")</f>
        <v/>
      </c>
      <c r="C278" s="65">
        <f>IFERROR(INDEX(tbl_Finance[Xero Invoice No],$A278),"")</f>
        <v/>
      </c>
      <c r="D278" s="65">
        <f>IFERROR(INDEX(tbl_Finance[Client],$A278),"")</f>
        <v/>
      </c>
      <c r="E278" s="65">
        <f>IFERROR(INDEX(tbl_Finance[Job Number],$A278),"")</f>
        <v/>
      </c>
      <c r="F278" s="65">
        <f>IFERROR(INDEX(tbl_Finance[Cost Centre],$A278),"")</f>
        <v/>
      </c>
      <c r="G278" s="66">
        <f>IFERROR(INDEX(tbl_Finance[Ex GST],$A278),"")</f>
        <v/>
      </c>
      <c r="H278" s="64">
        <f>IFERROR(INDEX(tbl_Finance[Defer Start],$A278),"")</f>
        <v/>
      </c>
      <c r="I278" s="64">
        <f>IFERROR(INDEX(tbl_Finance[Defer End],$A278),"")</f>
        <v/>
      </c>
      <c r="J278" s="63">
        <f>IF(OR($H278="",$I278="",$G278=""),"",MAX(1,(YEAR($I278)-YEAR($H278))*12+MONTH($I278)-MONTH($H278)+1))</f>
        <v/>
      </c>
      <c r="K278" s="66">
        <f>IF($J278="","",$G278/$J278)</f>
        <v/>
      </c>
      <c r="L278" s="66">
        <f>IF($J278="",0,$K278*MAX(0,MIN(YEAR($C$3)*12+MONTH($C$3),YEAR($I278)*12+MONTH($I278))-(YEAR($H278)*12+MONTH($H278))+1))</f>
        <v/>
      </c>
      <c r="M278" s="66">
        <f>IF($J278="",0,$K278*MAX(0,MIN(YEAR($C$3)*12+MONTH($C$3)-1,YEAR($I278)*12+MONTH($I278))-(YEAR($H278)*12+MONTH($H278))+1))</f>
        <v/>
      </c>
      <c r="N278" s="66">
        <f>IF(OR($J278="",$B278=""),0,IF(YEAR($B278)*12+MONTH($B278)&lt;=YEAR($C$3)*12+MONTH($C$3),$G278,0))</f>
        <v/>
      </c>
      <c r="O278" s="66">
        <f>IF(OR($J278="",$B278=""),0,IF(YEAR($B278)*12+MONTH($B278)&lt;=YEAR($C$3)*12+MONTH($C$3)-1,$G278,0))</f>
        <v/>
      </c>
      <c r="P278" s="66">
        <f>$M278-$O278</f>
        <v/>
      </c>
      <c r="Q278" s="66">
        <f>($L278-$M278)-($N278-$O278)</f>
        <v/>
      </c>
      <c r="R278" s="66">
        <f>$L278-$N278</f>
        <v/>
      </c>
      <c r="S278" s="65">
        <f>"Finance invoice"</f>
        <v/>
      </c>
      <c r="T278" s="65">
        <f>"Revenue"</f>
        <v/>
      </c>
    </row>
    <row r="279">
      <c r="A279" s="63">
        <f>ROW()-5</f>
        <v/>
      </c>
      <c r="B279" s="64">
        <f>IFERROR(INDEX(tbl_Finance[Date],$A279),"")</f>
        <v/>
      </c>
      <c r="C279" s="65">
        <f>IFERROR(INDEX(tbl_Finance[Xero Invoice No],$A279),"")</f>
        <v/>
      </c>
      <c r="D279" s="65">
        <f>IFERROR(INDEX(tbl_Finance[Client],$A279),"")</f>
        <v/>
      </c>
      <c r="E279" s="65">
        <f>IFERROR(INDEX(tbl_Finance[Job Number],$A279),"")</f>
        <v/>
      </c>
      <c r="F279" s="65">
        <f>IFERROR(INDEX(tbl_Finance[Cost Centre],$A279),"")</f>
        <v/>
      </c>
      <c r="G279" s="66">
        <f>IFERROR(INDEX(tbl_Finance[Ex GST],$A279),"")</f>
        <v/>
      </c>
      <c r="H279" s="64">
        <f>IFERROR(INDEX(tbl_Finance[Defer Start],$A279),"")</f>
        <v/>
      </c>
      <c r="I279" s="64">
        <f>IFERROR(INDEX(tbl_Finance[Defer End],$A279),"")</f>
        <v/>
      </c>
      <c r="J279" s="63">
        <f>IF(OR($H279="",$I279="",$G279=""),"",MAX(1,(YEAR($I279)-YEAR($H279))*12+MONTH($I279)-MONTH($H279)+1))</f>
        <v/>
      </c>
      <c r="K279" s="66">
        <f>IF($J279="","",$G279/$J279)</f>
        <v/>
      </c>
      <c r="L279" s="66">
        <f>IF($J279="",0,$K279*MAX(0,MIN(YEAR($C$3)*12+MONTH($C$3),YEAR($I279)*12+MONTH($I279))-(YEAR($H279)*12+MONTH($H279))+1))</f>
        <v/>
      </c>
      <c r="M279" s="66">
        <f>IF($J279="",0,$K279*MAX(0,MIN(YEAR($C$3)*12+MONTH($C$3)-1,YEAR($I279)*12+MONTH($I279))-(YEAR($H279)*12+MONTH($H279))+1))</f>
        <v/>
      </c>
      <c r="N279" s="66">
        <f>IF(OR($J279="",$B279=""),0,IF(YEAR($B279)*12+MONTH($B279)&lt;=YEAR($C$3)*12+MONTH($C$3),$G279,0))</f>
        <v/>
      </c>
      <c r="O279" s="66">
        <f>IF(OR($J279="",$B279=""),0,IF(YEAR($B279)*12+MONTH($B279)&lt;=YEAR($C$3)*12+MONTH($C$3)-1,$G279,0))</f>
        <v/>
      </c>
      <c r="P279" s="66">
        <f>$M279-$O279</f>
        <v/>
      </c>
      <c r="Q279" s="66">
        <f>($L279-$M279)-($N279-$O279)</f>
        <v/>
      </c>
      <c r="R279" s="66">
        <f>$L279-$N279</f>
        <v/>
      </c>
      <c r="S279" s="65">
        <f>"Finance invoice"</f>
        <v/>
      </c>
      <c r="T279" s="65">
        <f>"Revenue"</f>
        <v/>
      </c>
    </row>
    <row r="280">
      <c r="A280" s="63">
        <f>ROW()-5</f>
        <v/>
      </c>
      <c r="B280" s="64">
        <f>IFERROR(INDEX(tbl_Finance[Date],$A280),"")</f>
        <v/>
      </c>
      <c r="C280" s="65">
        <f>IFERROR(INDEX(tbl_Finance[Xero Invoice No],$A280),"")</f>
        <v/>
      </c>
      <c r="D280" s="65">
        <f>IFERROR(INDEX(tbl_Finance[Client],$A280),"")</f>
        <v/>
      </c>
      <c r="E280" s="65">
        <f>IFERROR(INDEX(tbl_Finance[Job Number],$A280),"")</f>
        <v/>
      </c>
      <c r="F280" s="65">
        <f>IFERROR(INDEX(tbl_Finance[Cost Centre],$A280),"")</f>
        <v/>
      </c>
      <c r="G280" s="66">
        <f>IFERROR(INDEX(tbl_Finance[Ex GST],$A280),"")</f>
        <v/>
      </c>
      <c r="H280" s="64">
        <f>IFERROR(INDEX(tbl_Finance[Defer Start],$A280),"")</f>
        <v/>
      </c>
      <c r="I280" s="64">
        <f>IFERROR(INDEX(tbl_Finance[Defer End],$A280),"")</f>
        <v/>
      </c>
      <c r="J280" s="63">
        <f>IF(OR($H280="",$I280="",$G280=""),"",MAX(1,(YEAR($I280)-YEAR($H280))*12+MONTH($I280)-MONTH($H280)+1))</f>
        <v/>
      </c>
      <c r="K280" s="66">
        <f>IF($J280="","",$G280/$J280)</f>
        <v/>
      </c>
      <c r="L280" s="66">
        <f>IF($J280="",0,$K280*MAX(0,MIN(YEAR($C$3)*12+MONTH($C$3),YEAR($I280)*12+MONTH($I280))-(YEAR($H280)*12+MONTH($H280))+1))</f>
        <v/>
      </c>
      <c r="M280" s="66">
        <f>IF($J280="",0,$K280*MAX(0,MIN(YEAR($C$3)*12+MONTH($C$3)-1,YEAR($I280)*12+MONTH($I280))-(YEAR($H280)*12+MONTH($H280))+1))</f>
        <v/>
      </c>
      <c r="N280" s="66">
        <f>IF(OR($J280="",$B280=""),0,IF(YEAR($B280)*12+MONTH($B280)&lt;=YEAR($C$3)*12+MONTH($C$3),$G280,0))</f>
        <v/>
      </c>
      <c r="O280" s="66">
        <f>IF(OR($J280="",$B280=""),0,IF(YEAR($B280)*12+MONTH($B280)&lt;=YEAR($C$3)*12+MONTH($C$3)-1,$G280,0))</f>
        <v/>
      </c>
      <c r="P280" s="66">
        <f>$M280-$O280</f>
        <v/>
      </c>
      <c r="Q280" s="66">
        <f>($L280-$M280)-($N280-$O280)</f>
        <v/>
      </c>
      <c r="R280" s="66">
        <f>$L280-$N280</f>
        <v/>
      </c>
      <c r="S280" s="65">
        <f>"Finance invoice"</f>
        <v/>
      </c>
      <c r="T280" s="65">
        <f>"Revenue"</f>
        <v/>
      </c>
    </row>
    <row r="281">
      <c r="A281" s="63">
        <f>ROW()-5</f>
        <v/>
      </c>
      <c r="B281" s="64">
        <f>IFERROR(INDEX(tbl_Finance[Date],$A281),"")</f>
        <v/>
      </c>
      <c r="C281" s="65">
        <f>IFERROR(INDEX(tbl_Finance[Xero Invoice No],$A281),"")</f>
        <v/>
      </c>
      <c r="D281" s="65">
        <f>IFERROR(INDEX(tbl_Finance[Client],$A281),"")</f>
        <v/>
      </c>
      <c r="E281" s="65">
        <f>IFERROR(INDEX(tbl_Finance[Job Number],$A281),"")</f>
        <v/>
      </c>
      <c r="F281" s="65">
        <f>IFERROR(INDEX(tbl_Finance[Cost Centre],$A281),"")</f>
        <v/>
      </c>
      <c r="G281" s="66">
        <f>IFERROR(INDEX(tbl_Finance[Ex GST],$A281),"")</f>
        <v/>
      </c>
      <c r="H281" s="64">
        <f>IFERROR(INDEX(tbl_Finance[Defer Start],$A281),"")</f>
        <v/>
      </c>
      <c r="I281" s="64">
        <f>IFERROR(INDEX(tbl_Finance[Defer End],$A281),"")</f>
        <v/>
      </c>
      <c r="J281" s="63">
        <f>IF(OR($H281="",$I281="",$G281=""),"",MAX(1,(YEAR($I281)-YEAR($H281))*12+MONTH($I281)-MONTH($H281)+1))</f>
        <v/>
      </c>
      <c r="K281" s="66">
        <f>IF($J281="","",$G281/$J281)</f>
        <v/>
      </c>
      <c r="L281" s="66">
        <f>IF($J281="",0,$K281*MAX(0,MIN(YEAR($C$3)*12+MONTH($C$3),YEAR($I281)*12+MONTH($I281))-(YEAR($H281)*12+MONTH($H281))+1))</f>
        <v/>
      </c>
      <c r="M281" s="66">
        <f>IF($J281="",0,$K281*MAX(0,MIN(YEAR($C$3)*12+MONTH($C$3)-1,YEAR($I281)*12+MONTH($I281))-(YEAR($H281)*12+MONTH($H281))+1))</f>
        <v/>
      </c>
      <c r="N281" s="66">
        <f>IF(OR($J281="",$B281=""),0,IF(YEAR($B281)*12+MONTH($B281)&lt;=YEAR($C$3)*12+MONTH($C$3),$G281,0))</f>
        <v/>
      </c>
      <c r="O281" s="66">
        <f>IF(OR($J281="",$B281=""),0,IF(YEAR($B281)*12+MONTH($B281)&lt;=YEAR($C$3)*12+MONTH($C$3)-1,$G281,0))</f>
        <v/>
      </c>
      <c r="P281" s="66">
        <f>$M281-$O281</f>
        <v/>
      </c>
      <c r="Q281" s="66">
        <f>($L281-$M281)-($N281-$O281)</f>
        <v/>
      </c>
      <c r="R281" s="66">
        <f>$L281-$N281</f>
        <v/>
      </c>
      <c r="S281" s="65">
        <f>"Finance invoice"</f>
        <v/>
      </c>
      <c r="T281" s="65">
        <f>"Revenue"</f>
        <v/>
      </c>
    </row>
    <row r="282">
      <c r="A282" s="63">
        <f>ROW()-5</f>
        <v/>
      </c>
      <c r="B282" s="64">
        <f>IFERROR(INDEX(tbl_Finance[Date],$A282),"")</f>
        <v/>
      </c>
      <c r="C282" s="65">
        <f>IFERROR(INDEX(tbl_Finance[Xero Invoice No],$A282),"")</f>
        <v/>
      </c>
      <c r="D282" s="65">
        <f>IFERROR(INDEX(tbl_Finance[Client],$A282),"")</f>
        <v/>
      </c>
      <c r="E282" s="65">
        <f>IFERROR(INDEX(tbl_Finance[Job Number],$A282),"")</f>
        <v/>
      </c>
      <c r="F282" s="65">
        <f>IFERROR(INDEX(tbl_Finance[Cost Centre],$A282),"")</f>
        <v/>
      </c>
      <c r="G282" s="66">
        <f>IFERROR(INDEX(tbl_Finance[Ex GST],$A282),"")</f>
        <v/>
      </c>
      <c r="H282" s="64">
        <f>IFERROR(INDEX(tbl_Finance[Defer Start],$A282),"")</f>
        <v/>
      </c>
      <c r="I282" s="64">
        <f>IFERROR(INDEX(tbl_Finance[Defer End],$A282),"")</f>
        <v/>
      </c>
      <c r="J282" s="63">
        <f>IF(OR($H282="",$I282="",$G282=""),"",MAX(1,(YEAR($I282)-YEAR($H282))*12+MONTH($I282)-MONTH($H282)+1))</f>
        <v/>
      </c>
      <c r="K282" s="66">
        <f>IF($J282="","",$G282/$J282)</f>
        <v/>
      </c>
      <c r="L282" s="66">
        <f>IF($J282="",0,$K282*MAX(0,MIN(YEAR($C$3)*12+MONTH($C$3),YEAR($I282)*12+MONTH($I282))-(YEAR($H282)*12+MONTH($H282))+1))</f>
        <v/>
      </c>
      <c r="M282" s="66">
        <f>IF($J282="",0,$K282*MAX(0,MIN(YEAR($C$3)*12+MONTH($C$3)-1,YEAR($I282)*12+MONTH($I282))-(YEAR($H282)*12+MONTH($H282))+1))</f>
        <v/>
      </c>
      <c r="N282" s="66">
        <f>IF(OR($J282="",$B282=""),0,IF(YEAR($B282)*12+MONTH($B282)&lt;=YEAR($C$3)*12+MONTH($C$3),$G282,0))</f>
        <v/>
      </c>
      <c r="O282" s="66">
        <f>IF(OR($J282="",$B282=""),0,IF(YEAR($B282)*12+MONTH($B282)&lt;=YEAR($C$3)*12+MONTH($C$3)-1,$G282,0))</f>
        <v/>
      </c>
      <c r="P282" s="66">
        <f>$M282-$O282</f>
        <v/>
      </c>
      <c r="Q282" s="66">
        <f>($L282-$M282)-($N282-$O282)</f>
        <v/>
      </c>
      <c r="R282" s="66">
        <f>$L282-$N282</f>
        <v/>
      </c>
      <c r="S282" s="65">
        <f>"Finance invoice"</f>
        <v/>
      </c>
      <c r="T282" s="65">
        <f>"Revenue"</f>
        <v/>
      </c>
    </row>
    <row r="283">
      <c r="A283" s="63">
        <f>ROW()-5</f>
        <v/>
      </c>
      <c r="B283" s="64">
        <f>IFERROR(INDEX(tbl_Finance[Date],$A283),"")</f>
        <v/>
      </c>
      <c r="C283" s="65">
        <f>IFERROR(INDEX(tbl_Finance[Xero Invoice No],$A283),"")</f>
        <v/>
      </c>
      <c r="D283" s="65">
        <f>IFERROR(INDEX(tbl_Finance[Client],$A283),"")</f>
        <v/>
      </c>
      <c r="E283" s="65">
        <f>IFERROR(INDEX(tbl_Finance[Job Number],$A283),"")</f>
        <v/>
      </c>
      <c r="F283" s="65">
        <f>IFERROR(INDEX(tbl_Finance[Cost Centre],$A283),"")</f>
        <v/>
      </c>
      <c r="G283" s="66">
        <f>IFERROR(INDEX(tbl_Finance[Ex GST],$A283),"")</f>
        <v/>
      </c>
      <c r="H283" s="64">
        <f>IFERROR(INDEX(tbl_Finance[Defer Start],$A283),"")</f>
        <v/>
      </c>
      <c r="I283" s="64">
        <f>IFERROR(INDEX(tbl_Finance[Defer End],$A283),"")</f>
        <v/>
      </c>
      <c r="J283" s="63">
        <f>IF(OR($H283="",$I283="",$G283=""),"",MAX(1,(YEAR($I283)-YEAR($H283))*12+MONTH($I283)-MONTH($H283)+1))</f>
        <v/>
      </c>
      <c r="K283" s="66">
        <f>IF($J283="","",$G283/$J283)</f>
        <v/>
      </c>
      <c r="L283" s="66">
        <f>IF($J283="",0,$K283*MAX(0,MIN(YEAR($C$3)*12+MONTH($C$3),YEAR($I283)*12+MONTH($I283))-(YEAR($H283)*12+MONTH($H283))+1))</f>
        <v/>
      </c>
      <c r="M283" s="66">
        <f>IF($J283="",0,$K283*MAX(0,MIN(YEAR($C$3)*12+MONTH($C$3)-1,YEAR($I283)*12+MONTH($I283))-(YEAR($H283)*12+MONTH($H283))+1))</f>
        <v/>
      </c>
      <c r="N283" s="66">
        <f>IF(OR($J283="",$B283=""),0,IF(YEAR($B283)*12+MONTH($B283)&lt;=YEAR($C$3)*12+MONTH($C$3),$G283,0))</f>
        <v/>
      </c>
      <c r="O283" s="66">
        <f>IF(OR($J283="",$B283=""),0,IF(YEAR($B283)*12+MONTH($B283)&lt;=YEAR($C$3)*12+MONTH($C$3)-1,$G283,0))</f>
        <v/>
      </c>
      <c r="P283" s="66">
        <f>$M283-$O283</f>
        <v/>
      </c>
      <c r="Q283" s="66">
        <f>($L283-$M283)-($N283-$O283)</f>
        <v/>
      </c>
      <c r="R283" s="66">
        <f>$L283-$N283</f>
        <v/>
      </c>
      <c r="S283" s="65">
        <f>"Finance invoice"</f>
        <v/>
      </c>
      <c r="T283" s="65">
        <f>"Revenue"</f>
        <v/>
      </c>
    </row>
    <row r="284">
      <c r="A284" s="63">
        <f>ROW()-5</f>
        <v/>
      </c>
      <c r="B284" s="64">
        <f>IFERROR(INDEX(tbl_Finance[Date],$A284),"")</f>
        <v/>
      </c>
      <c r="C284" s="65">
        <f>IFERROR(INDEX(tbl_Finance[Xero Invoice No],$A284),"")</f>
        <v/>
      </c>
      <c r="D284" s="65">
        <f>IFERROR(INDEX(tbl_Finance[Client],$A284),"")</f>
        <v/>
      </c>
      <c r="E284" s="65">
        <f>IFERROR(INDEX(tbl_Finance[Job Number],$A284),"")</f>
        <v/>
      </c>
      <c r="F284" s="65">
        <f>IFERROR(INDEX(tbl_Finance[Cost Centre],$A284),"")</f>
        <v/>
      </c>
      <c r="G284" s="66">
        <f>IFERROR(INDEX(tbl_Finance[Ex GST],$A284),"")</f>
        <v/>
      </c>
      <c r="H284" s="64">
        <f>IFERROR(INDEX(tbl_Finance[Defer Start],$A284),"")</f>
        <v/>
      </c>
      <c r="I284" s="64">
        <f>IFERROR(INDEX(tbl_Finance[Defer End],$A284),"")</f>
        <v/>
      </c>
      <c r="J284" s="63">
        <f>IF(OR($H284="",$I284="",$G284=""),"",MAX(1,(YEAR($I284)-YEAR($H284))*12+MONTH($I284)-MONTH($H284)+1))</f>
        <v/>
      </c>
      <c r="K284" s="66">
        <f>IF($J284="","",$G284/$J284)</f>
        <v/>
      </c>
      <c r="L284" s="66">
        <f>IF($J284="",0,$K284*MAX(0,MIN(YEAR($C$3)*12+MONTH($C$3),YEAR($I284)*12+MONTH($I284))-(YEAR($H284)*12+MONTH($H284))+1))</f>
        <v/>
      </c>
      <c r="M284" s="66">
        <f>IF($J284="",0,$K284*MAX(0,MIN(YEAR($C$3)*12+MONTH($C$3)-1,YEAR($I284)*12+MONTH($I284))-(YEAR($H284)*12+MONTH($H284))+1))</f>
        <v/>
      </c>
      <c r="N284" s="66">
        <f>IF(OR($J284="",$B284=""),0,IF(YEAR($B284)*12+MONTH($B284)&lt;=YEAR($C$3)*12+MONTH($C$3),$G284,0))</f>
        <v/>
      </c>
      <c r="O284" s="66">
        <f>IF(OR($J284="",$B284=""),0,IF(YEAR($B284)*12+MONTH($B284)&lt;=YEAR($C$3)*12+MONTH($C$3)-1,$G284,0))</f>
        <v/>
      </c>
      <c r="P284" s="66">
        <f>$M284-$O284</f>
        <v/>
      </c>
      <c r="Q284" s="66">
        <f>($L284-$M284)-($N284-$O284)</f>
        <v/>
      </c>
      <c r="R284" s="66">
        <f>$L284-$N284</f>
        <v/>
      </c>
      <c r="S284" s="65">
        <f>"Finance invoice"</f>
        <v/>
      </c>
      <c r="T284" s="65">
        <f>"Revenue"</f>
        <v/>
      </c>
    </row>
    <row r="285">
      <c r="A285" s="63">
        <f>ROW()-5</f>
        <v/>
      </c>
      <c r="B285" s="64">
        <f>IFERROR(INDEX(tbl_Finance[Date],$A285),"")</f>
        <v/>
      </c>
      <c r="C285" s="65">
        <f>IFERROR(INDEX(tbl_Finance[Xero Invoice No],$A285),"")</f>
        <v/>
      </c>
      <c r="D285" s="65">
        <f>IFERROR(INDEX(tbl_Finance[Client],$A285),"")</f>
        <v/>
      </c>
      <c r="E285" s="65">
        <f>IFERROR(INDEX(tbl_Finance[Job Number],$A285),"")</f>
        <v/>
      </c>
      <c r="F285" s="65">
        <f>IFERROR(INDEX(tbl_Finance[Cost Centre],$A285),"")</f>
        <v/>
      </c>
      <c r="G285" s="66">
        <f>IFERROR(INDEX(tbl_Finance[Ex GST],$A285),"")</f>
        <v/>
      </c>
      <c r="H285" s="64">
        <f>IFERROR(INDEX(tbl_Finance[Defer Start],$A285),"")</f>
        <v/>
      </c>
      <c r="I285" s="64">
        <f>IFERROR(INDEX(tbl_Finance[Defer End],$A285),"")</f>
        <v/>
      </c>
      <c r="J285" s="63">
        <f>IF(OR($H285="",$I285="",$G285=""),"",MAX(1,(YEAR($I285)-YEAR($H285))*12+MONTH($I285)-MONTH($H285)+1))</f>
        <v/>
      </c>
      <c r="K285" s="66">
        <f>IF($J285="","",$G285/$J285)</f>
        <v/>
      </c>
      <c r="L285" s="66">
        <f>IF($J285="",0,$K285*MAX(0,MIN(YEAR($C$3)*12+MONTH($C$3),YEAR($I285)*12+MONTH($I285))-(YEAR($H285)*12+MONTH($H285))+1))</f>
        <v/>
      </c>
      <c r="M285" s="66">
        <f>IF($J285="",0,$K285*MAX(0,MIN(YEAR($C$3)*12+MONTH($C$3)-1,YEAR($I285)*12+MONTH($I285))-(YEAR($H285)*12+MONTH($H285))+1))</f>
        <v/>
      </c>
      <c r="N285" s="66">
        <f>IF(OR($J285="",$B285=""),0,IF(YEAR($B285)*12+MONTH($B285)&lt;=YEAR($C$3)*12+MONTH($C$3),$G285,0))</f>
        <v/>
      </c>
      <c r="O285" s="66">
        <f>IF(OR($J285="",$B285=""),0,IF(YEAR($B285)*12+MONTH($B285)&lt;=YEAR($C$3)*12+MONTH($C$3)-1,$G285,0))</f>
        <v/>
      </c>
      <c r="P285" s="66">
        <f>$M285-$O285</f>
        <v/>
      </c>
      <c r="Q285" s="66">
        <f>($L285-$M285)-($N285-$O285)</f>
        <v/>
      </c>
      <c r="R285" s="66">
        <f>$L285-$N285</f>
        <v/>
      </c>
      <c r="S285" s="65">
        <f>"Finance invoice"</f>
        <v/>
      </c>
      <c r="T285" s="65">
        <f>"Revenue"</f>
        <v/>
      </c>
    </row>
    <row r="286">
      <c r="A286" s="63">
        <f>ROW()-5</f>
        <v/>
      </c>
      <c r="B286" s="64">
        <f>IFERROR(INDEX(tbl_Finance[Date],$A286),"")</f>
        <v/>
      </c>
      <c r="C286" s="65">
        <f>IFERROR(INDEX(tbl_Finance[Xero Invoice No],$A286),"")</f>
        <v/>
      </c>
      <c r="D286" s="65">
        <f>IFERROR(INDEX(tbl_Finance[Client],$A286),"")</f>
        <v/>
      </c>
      <c r="E286" s="65">
        <f>IFERROR(INDEX(tbl_Finance[Job Number],$A286),"")</f>
        <v/>
      </c>
      <c r="F286" s="65">
        <f>IFERROR(INDEX(tbl_Finance[Cost Centre],$A286),"")</f>
        <v/>
      </c>
      <c r="G286" s="66">
        <f>IFERROR(INDEX(tbl_Finance[Ex GST],$A286),"")</f>
        <v/>
      </c>
      <c r="H286" s="64">
        <f>IFERROR(INDEX(tbl_Finance[Defer Start],$A286),"")</f>
        <v/>
      </c>
      <c r="I286" s="64">
        <f>IFERROR(INDEX(tbl_Finance[Defer End],$A286),"")</f>
        <v/>
      </c>
      <c r="J286" s="63">
        <f>IF(OR($H286="",$I286="",$G286=""),"",MAX(1,(YEAR($I286)-YEAR($H286))*12+MONTH($I286)-MONTH($H286)+1))</f>
        <v/>
      </c>
      <c r="K286" s="66">
        <f>IF($J286="","",$G286/$J286)</f>
        <v/>
      </c>
      <c r="L286" s="66">
        <f>IF($J286="",0,$K286*MAX(0,MIN(YEAR($C$3)*12+MONTH($C$3),YEAR($I286)*12+MONTH($I286))-(YEAR($H286)*12+MONTH($H286))+1))</f>
        <v/>
      </c>
      <c r="M286" s="66">
        <f>IF($J286="",0,$K286*MAX(0,MIN(YEAR($C$3)*12+MONTH($C$3)-1,YEAR($I286)*12+MONTH($I286))-(YEAR($H286)*12+MONTH($H286))+1))</f>
        <v/>
      </c>
      <c r="N286" s="66">
        <f>IF(OR($J286="",$B286=""),0,IF(YEAR($B286)*12+MONTH($B286)&lt;=YEAR($C$3)*12+MONTH($C$3),$G286,0))</f>
        <v/>
      </c>
      <c r="O286" s="66">
        <f>IF(OR($J286="",$B286=""),0,IF(YEAR($B286)*12+MONTH($B286)&lt;=YEAR($C$3)*12+MONTH($C$3)-1,$G286,0))</f>
        <v/>
      </c>
      <c r="P286" s="66">
        <f>$M286-$O286</f>
        <v/>
      </c>
      <c r="Q286" s="66">
        <f>($L286-$M286)-($N286-$O286)</f>
        <v/>
      </c>
      <c r="R286" s="66">
        <f>$L286-$N286</f>
        <v/>
      </c>
      <c r="S286" s="65">
        <f>"Finance invoice"</f>
        <v/>
      </c>
      <c r="T286" s="65">
        <f>"Revenue"</f>
        <v/>
      </c>
    </row>
    <row r="287">
      <c r="A287" s="63">
        <f>ROW()-5</f>
        <v/>
      </c>
      <c r="B287" s="64">
        <f>IFERROR(INDEX(tbl_Finance[Date],$A287),"")</f>
        <v/>
      </c>
      <c r="C287" s="65">
        <f>IFERROR(INDEX(tbl_Finance[Xero Invoice No],$A287),"")</f>
        <v/>
      </c>
      <c r="D287" s="65">
        <f>IFERROR(INDEX(tbl_Finance[Client],$A287),"")</f>
        <v/>
      </c>
      <c r="E287" s="65">
        <f>IFERROR(INDEX(tbl_Finance[Job Number],$A287),"")</f>
        <v/>
      </c>
      <c r="F287" s="65">
        <f>IFERROR(INDEX(tbl_Finance[Cost Centre],$A287),"")</f>
        <v/>
      </c>
      <c r="G287" s="66">
        <f>IFERROR(INDEX(tbl_Finance[Ex GST],$A287),"")</f>
        <v/>
      </c>
      <c r="H287" s="64">
        <f>IFERROR(INDEX(tbl_Finance[Defer Start],$A287),"")</f>
        <v/>
      </c>
      <c r="I287" s="64">
        <f>IFERROR(INDEX(tbl_Finance[Defer End],$A287),"")</f>
        <v/>
      </c>
      <c r="J287" s="63">
        <f>IF(OR($H287="",$I287="",$G287=""),"",MAX(1,(YEAR($I287)-YEAR($H287))*12+MONTH($I287)-MONTH($H287)+1))</f>
        <v/>
      </c>
      <c r="K287" s="66">
        <f>IF($J287="","",$G287/$J287)</f>
        <v/>
      </c>
      <c r="L287" s="66">
        <f>IF($J287="",0,$K287*MAX(0,MIN(YEAR($C$3)*12+MONTH($C$3),YEAR($I287)*12+MONTH($I287))-(YEAR($H287)*12+MONTH($H287))+1))</f>
        <v/>
      </c>
      <c r="M287" s="66">
        <f>IF($J287="",0,$K287*MAX(0,MIN(YEAR($C$3)*12+MONTH($C$3)-1,YEAR($I287)*12+MONTH($I287))-(YEAR($H287)*12+MONTH($H287))+1))</f>
        <v/>
      </c>
      <c r="N287" s="66">
        <f>IF(OR($J287="",$B287=""),0,IF(YEAR($B287)*12+MONTH($B287)&lt;=YEAR($C$3)*12+MONTH($C$3),$G287,0))</f>
        <v/>
      </c>
      <c r="O287" s="66">
        <f>IF(OR($J287="",$B287=""),0,IF(YEAR($B287)*12+MONTH($B287)&lt;=YEAR($C$3)*12+MONTH($C$3)-1,$G287,0))</f>
        <v/>
      </c>
      <c r="P287" s="66">
        <f>$M287-$O287</f>
        <v/>
      </c>
      <c r="Q287" s="66">
        <f>($L287-$M287)-($N287-$O287)</f>
        <v/>
      </c>
      <c r="R287" s="66">
        <f>$L287-$N287</f>
        <v/>
      </c>
      <c r="S287" s="65">
        <f>"Finance invoice"</f>
        <v/>
      </c>
      <c r="T287" s="65">
        <f>"Revenue"</f>
        <v/>
      </c>
    </row>
    <row r="288">
      <c r="A288" s="63">
        <f>ROW()-5</f>
        <v/>
      </c>
      <c r="B288" s="64">
        <f>IFERROR(INDEX(tbl_Finance[Date],$A288),"")</f>
        <v/>
      </c>
      <c r="C288" s="65">
        <f>IFERROR(INDEX(tbl_Finance[Xero Invoice No],$A288),"")</f>
        <v/>
      </c>
      <c r="D288" s="65">
        <f>IFERROR(INDEX(tbl_Finance[Client],$A288),"")</f>
        <v/>
      </c>
      <c r="E288" s="65">
        <f>IFERROR(INDEX(tbl_Finance[Job Number],$A288),"")</f>
        <v/>
      </c>
      <c r="F288" s="65">
        <f>IFERROR(INDEX(tbl_Finance[Cost Centre],$A288),"")</f>
        <v/>
      </c>
      <c r="G288" s="66">
        <f>IFERROR(INDEX(tbl_Finance[Ex GST],$A288),"")</f>
        <v/>
      </c>
      <c r="H288" s="64">
        <f>IFERROR(INDEX(tbl_Finance[Defer Start],$A288),"")</f>
        <v/>
      </c>
      <c r="I288" s="64">
        <f>IFERROR(INDEX(tbl_Finance[Defer End],$A288),"")</f>
        <v/>
      </c>
      <c r="J288" s="63">
        <f>IF(OR($H288="",$I288="",$G288=""),"",MAX(1,(YEAR($I288)-YEAR($H288))*12+MONTH($I288)-MONTH($H288)+1))</f>
        <v/>
      </c>
      <c r="K288" s="66">
        <f>IF($J288="","",$G288/$J288)</f>
        <v/>
      </c>
      <c r="L288" s="66">
        <f>IF($J288="",0,$K288*MAX(0,MIN(YEAR($C$3)*12+MONTH($C$3),YEAR($I288)*12+MONTH($I288))-(YEAR($H288)*12+MONTH($H288))+1))</f>
        <v/>
      </c>
      <c r="M288" s="66">
        <f>IF($J288="",0,$K288*MAX(0,MIN(YEAR($C$3)*12+MONTH($C$3)-1,YEAR($I288)*12+MONTH($I288))-(YEAR($H288)*12+MONTH($H288))+1))</f>
        <v/>
      </c>
      <c r="N288" s="66">
        <f>IF(OR($J288="",$B288=""),0,IF(YEAR($B288)*12+MONTH($B288)&lt;=YEAR($C$3)*12+MONTH($C$3),$G288,0))</f>
        <v/>
      </c>
      <c r="O288" s="66">
        <f>IF(OR($J288="",$B288=""),0,IF(YEAR($B288)*12+MONTH($B288)&lt;=YEAR($C$3)*12+MONTH($C$3)-1,$G288,0))</f>
        <v/>
      </c>
      <c r="P288" s="66">
        <f>$M288-$O288</f>
        <v/>
      </c>
      <c r="Q288" s="66">
        <f>($L288-$M288)-($N288-$O288)</f>
        <v/>
      </c>
      <c r="R288" s="66">
        <f>$L288-$N288</f>
        <v/>
      </c>
      <c r="S288" s="65">
        <f>"Finance invoice"</f>
        <v/>
      </c>
      <c r="T288" s="65">
        <f>"Revenue"</f>
        <v/>
      </c>
    </row>
    <row r="289">
      <c r="A289" s="63">
        <f>ROW()-5</f>
        <v/>
      </c>
      <c r="B289" s="64">
        <f>IFERROR(INDEX(tbl_Finance[Date],$A289),"")</f>
        <v/>
      </c>
      <c r="C289" s="65">
        <f>IFERROR(INDEX(tbl_Finance[Xero Invoice No],$A289),"")</f>
        <v/>
      </c>
      <c r="D289" s="65">
        <f>IFERROR(INDEX(tbl_Finance[Client],$A289),"")</f>
        <v/>
      </c>
      <c r="E289" s="65">
        <f>IFERROR(INDEX(tbl_Finance[Job Number],$A289),"")</f>
        <v/>
      </c>
      <c r="F289" s="65">
        <f>IFERROR(INDEX(tbl_Finance[Cost Centre],$A289),"")</f>
        <v/>
      </c>
      <c r="G289" s="66">
        <f>IFERROR(INDEX(tbl_Finance[Ex GST],$A289),"")</f>
        <v/>
      </c>
      <c r="H289" s="64">
        <f>IFERROR(INDEX(tbl_Finance[Defer Start],$A289),"")</f>
        <v/>
      </c>
      <c r="I289" s="64">
        <f>IFERROR(INDEX(tbl_Finance[Defer End],$A289),"")</f>
        <v/>
      </c>
      <c r="J289" s="63">
        <f>IF(OR($H289="",$I289="",$G289=""),"",MAX(1,(YEAR($I289)-YEAR($H289))*12+MONTH($I289)-MONTH($H289)+1))</f>
        <v/>
      </c>
      <c r="K289" s="66">
        <f>IF($J289="","",$G289/$J289)</f>
        <v/>
      </c>
      <c r="L289" s="66">
        <f>IF($J289="",0,$K289*MAX(0,MIN(YEAR($C$3)*12+MONTH($C$3),YEAR($I289)*12+MONTH($I289))-(YEAR($H289)*12+MONTH($H289))+1))</f>
        <v/>
      </c>
      <c r="M289" s="66">
        <f>IF($J289="",0,$K289*MAX(0,MIN(YEAR($C$3)*12+MONTH($C$3)-1,YEAR($I289)*12+MONTH($I289))-(YEAR($H289)*12+MONTH($H289))+1))</f>
        <v/>
      </c>
      <c r="N289" s="66">
        <f>IF(OR($J289="",$B289=""),0,IF(YEAR($B289)*12+MONTH($B289)&lt;=YEAR($C$3)*12+MONTH($C$3),$G289,0))</f>
        <v/>
      </c>
      <c r="O289" s="66">
        <f>IF(OR($J289="",$B289=""),0,IF(YEAR($B289)*12+MONTH($B289)&lt;=YEAR($C$3)*12+MONTH($C$3)-1,$G289,0))</f>
        <v/>
      </c>
      <c r="P289" s="66">
        <f>$M289-$O289</f>
        <v/>
      </c>
      <c r="Q289" s="66">
        <f>($L289-$M289)-($N289-$O289)</f>
        <v/>
      </c>
      <c r="R289" s="66">
        <f>$L289-$N289</f>
        <v/>
      </c>
      <c r="S289" s="65">
        <f>"Finance invoice"</f>
        <v/>
      </c>
      <c r="T289" s="65">
        <f>"Revenue"</f>
        <v/>
      </c>
    </row>
    <row r="290">
      <c r="A290" s="63">
        <f>ROW()-5</f>
        <v/>
      </c>
      <c r="B290" s="64">
        <f>IFERROR(INDEX(tbl_Finance[Date],$A290),"")</f>
        <v/>
      </c>
      <c r="C290" s="65">
        <f>IFERROR(INDEX(tbl_Finance[Xero Invoice No],$A290),"")</f>
        <v/>
      </c>
      <c r="D290" s="65">
        <f>IFERROR(INDEX(tbl_Finance[Client],$A290),"")</f>
        <v/>
      </c>
      <c r="E290" s="65">
        <f>IFERROR(INDEX(tbl_Finance[Job Number],$A290),"")</f>
        <v/>
      </c>
      <c r="F290" s="65">
        <f>IFERROR(INDEX(tbl_Finance[Cost Centre],$A290),"")</f>
        <v/>
      </c>
      <c r="G290" s="66">
        <f>IFERROR(INDEX(tbl_Finance[Ex GST],$A290),"")</f>
        <v/>
      </c>
      <c r="H290" s="64">
        <f>IFERROR(INDEX(tbl_Finance[Defer Start],$A290),"")</f>
        <v/>
      </c>
      <c r="I290" s="64">
        <f>IFERROR(INDEX(tbl_Finance[Defer End],$A290),"")</f>
        <v/>
      </c>
      <c r="J290" s="63">
        <f>IF(OR($H290="",$I290="",$G290=""),"",MAX(1,(YEAR($I290)-YEAR($H290))*12+MONTH($I290)-MONTH($H290)+1))</f>
        <v/>
      </c>
      <c r="K290" s="66">
        <f>IF($J290="","",$G290/$J290)</f>
        <v/>
      </c>
      <c r="L290" s="66">
        <f>IF($J290="",0,$K290*MAX(0,MIN(YEAR($C$3)*12+MONTH($C$3),YEAR($I290)*12+MONTH($I290))-(YEAR($H290)*12+MONTH($H290))+1))</f>
        <v/>
      </c>
      <c r="M290" s="66">
        <f>IF($J290="",0,$K290*MAX(0,MIN(YEAR($C$3)*12+MONTH($C$3)-1,YEAR($I290)*12+MONTH($I290))-(YEAR($H290)*12+MONTH($H290))+1))</f>
        <v/>
      </c>
      <c r="N290" s="66">
        <f>IF(OR($J290="",$B290=""),0,IF(YEAR($B290)*12+MONTH($B290)&lt;=YEAR($C$3)*12+MONTH($C$3),$G290,0))</f>
        <v/>
      </c>
      <c r="O290" s="66">
        <f>IF(OR($J290="",$B290=""),0,IF(YEAR($B290)*12+MONTH($B290)&lt;=YEAR($C$3)*12+MONTH($C$3)-1,$G290,0))</f>
        <v/>
      </c>
      <c r="P290" s="66">
        <f>$M290-$O290</f>
        <v/>
      </c>
      <c r="Q290" s="66">
        <f>($L290-$M290)-($N290-$O290)</f>
        <v/>
      </c>
      <c r="R290" s="66">
        <f>$L290-$N290</f>
        <v/>
      </c>
      <c r="S290" s="65">
        <f>"Finance invoice"</f>
        <v/>
      </c>
      <c r="T290" s="65">
        <f>"Revenue"</f>
        <v/>
      </c>
    </row>
    <row r="291">
      <c r="A291" s="63">
        <f>ROW()-5</f>
        <v/>
      </c>
      <c r="B291" s="64">
        <f>IFERROR(INDEX(tbl_Finance[Date],$A291),"")</f>
        <v/>
      </c>
      <c r="C291" s="65">
        <f>IFERROR(INDEX(tbl_Finance[Xero Invoice No],$A291),"")</f>
        <v/>
      </c>
      <c r="D291" s="65">
        <f>IFERROR(INDEX(tbl_Finance[Client],$A291),"")</f>
        <v/>
      </c>
      <c r="E291" s="65">
        <f>IFERROR(INDEX(tbl_Finance[Job Number],$A291),"")</f>
        <v/>
      </c>
      <c r="F291" s="65">
        <f>IFERROR(INDEX(tbl_Finance[Cost Centre],$A291),"")</f>
        <v/>
      </c>
      <c r="G291" s="66">
        <f>IFERROR(INDEX(tbl_Finance[Ex GST],$A291),"")</f>
        <v/>
      </c>
      <c r="H291" s="64">
        <f>IFERROR(INDEX(tbl_Finance[Defer Start],$A291),"")</f>
        <v/>
      </c>
      <c r="I291" s="64">
        <f>IFERROR(INDEX(tbl_Finance[Defer End],$A291),"")</f>
        <v/>
      </c>
      <c r="J291" s="63">
        <f>IF(OR($H291="",$I291="",$G291=""),"",MAX(1,(YEAR($I291)-YEAR($H291))*12+MONTH($I291)-MONTH($H291)+1))</f>
        <v/>
      </c>
      <c r="K291" s="66">
        <f>IF($J291="","",$G291/$J291)</f>
        <v/>
      </c>
      <c r="L291" s="66">
        <f>IF($J291="",0,$K291*MAX(0,MIN(YEAR($C$3)*12+MONTH($C$3),YEAR($I291)*12+MONTH($I291))-(YEAR($H291)*12+MONTH($H291))+1))</f>
        <v/>
      </c>
      <c r="M291" s="66">
        <f>IF($J291="",0,$K291*MAX(0,MIN(YEAR($C$3)*12+MONTH($C$3)-1,YEAR($I291)*12+MONTH($I291))-(YEAR($H291)*12+MONTH($H291))+1))</f>
        <v/>
      </c>
      <c r="N291" s="66">
        <f>IF(OR($J291="",$B291=""),0,IF(YEAR($B291)*12+MONTH($B291)&lt;=YEAR($C$3)*12+MONTH($C$3),$G291,0))</f>
        <v/>
      </c>
      <c r="O291" s="66">
        <f>IF(OR($J291="",$B291=""),0,IF(YEAR($B291)*12+MONTH($B291)&lt;=YEAR($C$3)*12+MONTH($C$3)-1,$G291,0))</f>
        <v/>
      </c>
      <c r="P291" s="66">
        <f>$M291-$O291</f>
        <v/>
      </c>
      <c r="Q291" s="66">
        <f>($L291-$M291)-($N291-$O291)</f>
        <v/>
      </c>
      <c r="R291" s="66">
        <f>$L291-$N291</f>
        <v/>
      </c>
      <c r="S291" s="65">
        <f>"Finance invoice"</f>
        <v/>
      </c>
      <c r="T291" s="65">
        <f>"Revenue"</f>
        <v/>
      </c>
    </row>
    <row r="292">
      <c r="A292" s="63">
        <f>ROW()-5</f>
        <v/>
      </c>
      <c r="B292" s="64">
        <f>IFERROR(INDEX(tbl_Finance[Date],$A292),"")</f>
        <v/>
      </c>
      <c r="C292" s="65">
        <f>IFERROR(INDEX(tbl_Finance[Xero Invoice No],$A292),"")</f>
        <v/>
      </c>
      <c r="D292" s="65">
        <f>IFERROR(INDEX(tbl_Finance[Client],$A292),"")</f>
        <v/>
      </c>
      <c r="E292" s="65">
        <f>IFERROR(INDEX(tbl_Finance[Job Number],$A292),"")</f>
        <v/>
      </c>
      <c r="F292" s="65">
        <f>IFERROR(INDEX(tbl_Finance[Cost Centre],$A292),"")</f>
        <v/>
      </c>
      <c r="G292" s="66">
        <f>IFERROR(INDEX(tbl_Finance[Ex GST],$A292),"")</f>
        <v/>
      </c>
      <c r="H292" s="64">
        <f>IFERROR(INDEX(tbl_Finance[Defer Start],$A292),"")</f>
        <v/>
      </c>
      <c r="I292" s="64">
        <f>IFERROR(INDEX(tbl_Finance[Defer End],$A292),"")</f>
        <v/>
      </c>
      <c r="J292" s="63">
        <f>IF(OR($H292="",$I292="",$G292=""),"",MAX(1,(YEAR($I292)-YEAR($H292))*12+MONTH($I292)-MONTH($H292)+1))</f>
        <v/>
      </c>
      <c r="K292" s="66">
        <f>IF($J292="","",$G292/$J292)</f>
        <v/>
      </c>
      <c r="L292" s="66">
        <f>IF($J292="",0,$K292*MAX(0,MIN(YEAR($C$3)*12+MONTH($C$3),YEAR($I292)*12+MONTH($I292))-(YEAR($H292)*12+MONTH($H292))+1))</f>
        <v/>
      </c>
      <c r="M292" s="66">
        <f>IF($J292="",0,$K292*MAX(0,MIN(YEAR($C$3)*12+MONTH($C$3)-1,YEAR($I292)*12+MONTH($I292))-(YEAR($H292)*12+MONTH($H292))+1))</f>
        <v/>
      </c>
      <c r="N292" s="66">
        <f>IF(OR($J292="",$B292=""),0,IF(YEAR($B292)*12+MONTH($B292)&lt;=YEAR($C$3)*12+MONTH($C$3),$G292,0))</f>
        <v/>
      </c>
      <c r="O292" s="66">
        <f>IF(OR($J292="",$B292=""),0,IF(YEAR($B292)*12+MONTH($B292)&lt;=YEAR($C$3)*12+MONTH($C$3)-1,$G292,0))</f>
        <v/>
      </c>
      <c r="P292" s="66">
        <f>$M292-$O292</f>
        <v/>
      </c>
      <c r="Q292" s="66">
        <f>($L292-$M292)-($N292-$O292)</f>
        <v/>
      </c>
      <c r="R292" s="66">
        <f>$L292-$N292</f>
        <v/>
      </c>
      <c r="S292" s="65">
        <f>"Finance invoice"</f>
        <v/>
      </c>
      <c r="T292" s="65">
        <f>"Revenue"</f>
        <v/>
      </c>
    </row>
    <row r="293">
      <c r="A293" s="63">
        <f>ROW()-5</f>
        <v/>
      </c>
      <c r="B293" s="64">
        <f>IFERROR(INDEX(tbl_Finance[Date],$A293),"")</f>
        <v/>
      </c>
      <c r="C293" s="65">
        <f>IFERROR(INDEX(tbl_Finance[Xero Invoice No],$A293),"")</f>
        <v/>
      </c>
      <c r="D293" s="65">
        <f>IFERROR(INDEX(tbl_Finance[Client],$A293),"")</f>
        <v/>
      </c>
      <c r="E293" s="65">
        <f>IFERROR(INDEX(tbl_Finance[Job Number],$A293),"")</f>
        <v/>
      </c>
      <c r="F293" s="65">
        <f>IFERROR(INDEX(tbl_Finance[Cost Centre],$A293),"")</f>
        <v/>
      </c>
      <c r="G293" s="66">
        <f>IFERROR(INDEX(tbl_Finance[Ex GST],$A293),"")</f>
        <v/>
      </c>
      <c r="H293" s="64">
        <f>IFERROR(INDEX(tbl_Finance[Defer Start],$A293),"")</f>
        <v/>
      </c>
      <c r="I293" s="64">
        <f>IFERROR(INDEX(tbl_Finance[Defer End],$A293),"")</f>
        <v/>
      </c>
      <c r="J293" s="63">
        <f>IF(OR($H293="",$I293="",$G293=""),"",MAX(1,(YEAR($I293)-YEAR($H293))*12+MONTH($I293)-MONTH($H293)+1))</f>
        <v/>
      </c>
      <c r="K293" s="66">
        <f>IF($J293="","",$G293/$J293)</f>
        <v/>
      </c>
      <c r="L293" s="66">
        <f>IF($J293="",0,$K293*MAX(0,MIN(YEAR($C$3)*12+MONTH($C$3),YEAR($I293)*12+MONTH($I293))-(YEAR($H293)*12+MONTH($H293))+1))</f>
        <v/>
      </c>
      <c r="M293" s="66">
        <f>IF($J293="",0,$K293*MAX(0,MIN(YEAR($C$3)*12+MONTH($C$3)-1,YEAR($I293)*12+MONTH($I293))-(YEAR($H293)*12+MONTH($H293))+1))</f>
        <v/>
      </c>
      <c r="N293" s="66">
        <f>IF(OR($J293="",$B293=""),0,IF(YEAR($B293)*12+MONTH($B293)&lt;=YEAR($C$3)*12+MONTH($C$3),$G293,0))</f>
        <v/>
      </c>
      <c r="O293" s="66">
        <f>IF(OR($J293="",$B293=""),0,IF(YEAR($B293)*12+MONTH($B293)&lt;=YEAR($C$3)*12+MONTH($C$3)-1,$G293,0))</f>
        <v/>
      </c>
      <c r="P293" s="66">
        <f>$M293-$O293</f>
        <v/>
      </c>
      <c r="Q293" s="66">
        <f>($L293-$M293)-($N293-$O293)</f>
        <v/>
      </c>
      <c r="R293" s="66">
        <f>$L293-$N293</f>
        <v/>
      </c>
      <c r="S293" s="65">
        <f>"Finance invoice"</f>
        <v/>
      </c>
      <c r="T293" s="65">
        <f>"Revenue"</f>
        <v/>
      </c>
    </row>
    <row r="294">
      <c r="A294" s="63">
        <f>ROW()-5</f>
        <v/>
      </c>
      <c r="B294" s="64">
        <f>IFERROR(INDEX(tbl_Finance[Date],$A294),"")</f>
        <v/>
      </c>
      <c r="C294" s="65">
        <f>IFERROR(INDEX(tbl_Finance[Xero Invoice No],$A294),"")</f>
        <v/>
      </c>
      <c r="D294" s="65">
        <f>IFERROR(INDEX(tbl_Finance[Client],$A294),"")</f>
        <v/>
      </c>
      <c r="E294" s="65">
        <f>IFERROR(INDEX(tbl_Finance[Job Number],$A294),"")</f>
        <v/>
      </c>
      <c r="F294" s="65">
        <f>IFERROR(INDEX(tbl_Finance[Cost Centre],$A294),"")</f>
        <v/>
      </c>
      <c r="G294" s="66">
        <f>IFERROR(INDEX(tbl_Finance[Ex GST],$A294),"")</f>
        <v/>
      </c>
      <c r="H294" s="64">
        <f>IFERROR(INDEX(tbl_Finance[Defer Start],$A294),"")</f>
        <v/>
      </c>
      <c r="I294" s="64">
        <f>IFERROR(INDEX(tbl_Finance[Defer End],$A294),"")</f>
        <v/>
      </c>
      <c r="J294" s="63">
        <f>IF(OR($H294="",$I294="",$G294=""),"",MAX(1,(YEAR($I294)-YEAR($H294))*12+MONTH($I294)-MONTH($H294)+1))</f>
        <v/>
      </c>
      <c r="K294" s="66">
        <f>IF($J294="","",$G294/$J294)</f>
        <v/>
      </c>
      <c r="L294" s="66">
        <f>IF($J294="",0,$K294*MAX(0,MIN(YEAR($C$3)*12+MONTH($C$3),YEAR($I294)*12+MONTH($I294))-(YEAR($H294)*12+MONTH($H294))+1))</f>
        <v/>
      </c>
      <c r="M294" s="66">
        <f>IF($J294="",0,$K294*MAX(0,MIN(YEAR($C$3)*12+MONTH($C$3)-1,YEAR($I294)*12+MONTH($I294))-(YEAR($H294)*12+MONTH($H294))+1))</f>
        <v/>
      </c>
      <c r="N294" s="66">
        <f>IF(OR($J294="",$B294=""),0,IF(YEAR($B294)*12+MONTH($B294)&lt;=YEAR($C$3)*12+MONTH($C$3),$G294,0))</f>
        <v/>
      </c>
      <c r="O294" s="66">
        <f>IF(OR($J294="",$B294=""),0,IF(YEAR($B294)*12+MONTH($B294)&lt;=YEAR($C$3)*12+MONTH($C$3)-1,$G294,0))</f>
        <v/>
      </c>
      <c r="P294" s="66">
        <f>$M294-$O294</f>
        <v/>
      </c>
      <c r="Q294" s="66">
        <f>($L294-$M294)-($N294-$O294)</f>
        <v/>
      </c>
      <c r="R294" s="66">
        <f>$L294-$N294</f>
        <v/>
      </c>
      <c r="S294" s="65">
        <f>"Finance invoice"</f>
        <v/>
      </c>
      <c r="T294" s="65">
        <f>"Revenue"</f>
        <v/>
      </c>
    </row>
    <row r="295">
      <c r="A295" s="63">
        <f>ROW()-5</f>
        <v/>
      </c>
      <c r="B295" s="64">
        <f>IFERROR(INDEX(tbl_Finance[Date],$A295),"")</f>
        <v/>
      </c>
      <c r="C295" s="65">
        <f>IFERROR(INDEX(tbl_Finance[Xero Invoice No],$A295),"")</f>
        <v/>
      </c>
      <c r="D295" s="65">
        <f>IFERROR(INDEX(tbl_Finance[Client],$A295),"")</f>
        <v/>
      </c>
      <c r="E295" s="65">
        <f>IFERROR(INDEX(tbl_Finance[Job Number],$A295),"")</f>
        <v/>
      </c>
      <c r="F295" s="65">
        <f>IFERROR(INDEX(tbl_Finance[Cost Centre],$A295),"")</f>
        <v/>
      </c>
      <c r="G295" s="66">
        <f>IFERROR(INDEX(tbl_Finance[Ex GST],$A295),"")</f>
        <v/>
      </c>
      <c r="H295" s="64">
        <f>IFERROR(INDEX(tbl_Finance[Defer Start],$A295),"")</f>
        <v/>
      </c>
      <c r="I295" s="64">
        <f>IFERROR(INDEX(tbl_Finance[Defer End],$A295),"")</f>
        <v/>
      </c>
      <c r="J295" s="63">
        <f>IF(OR($H295="",$I295="",$G295=""),"",MAX(1,(YEAR($I295)-YEAR($H295))*12+MONTH($I295)-MONTH($H295)+1))</f>
        <v/>
      </c>
      <c r="K295" s="66">
        <f>IF($J295="","",$G295/$J295)</f>
        <v/>
      </c>
      <c r="L295" s="66">
        <f>IF($J295="",0,$K295*MAX(0,MIN(YEAR($C$3)*12+MONTH($C$3),YEAR($I295)*12+MONTH($I295))-(YEAR($H295)*12+MONTH($H295))+1))</f>
        <v/>
      </c>
      <c r="M295" s="66">
        <f>IF($J295="",0,$K295*MAX(0,MIN(YEAR($C$3)*12+MONTH($C$3)-1,YEAR($I295)*12+MONTH($I295))-(YEAR($H295)*12+MONTH($H295))+1))</f>
        <v/>
      </c>
      <c r="N295" s="66">
        <f>IF(OR($J295="",$B295=""),0,IF(YEAR($B295)*12+MONTH($B295)&lt;=YEAR($C$3)*12+MONTH($C$3),$G295,0))</f>
        <v/>
      </c>
      <c r="O295" s="66">
        <f>IF(OR($J295="",$B295=""),0,IF(YEAR($B295)*12+MONTH($B295)&lt;=YEAR($C$3)*12+MONTH($C$3)-1,$G295,0))</f>
        <v/>
      </c>
      <c r="P295" s="66">
        <f>$M295-$O295</f>
        <v/>
      </c>
      <c r="Q295" s="66">
        <f>($L295-$M295)-($N295-$O295)</f>
        <v/>
      </c>
      <c r="R295" s="66">
        <f>$L295-$N295</f>
        <v/>
      </c>
      <c r="S295" s="65">
        <f>"Finance invoice"</f>
        <v/>
      </c>
      <c r="T295" s="65">
        <f>"Revenue"</f>
        <v/>
      </c>
    </row>
    <row r="296">
      <c r="A296" s="63">
        <f>ROW()-5</f>
        <v/>
      </c>
      <c r="B296" s="64">
        <f>IFERROR(INDEX(tbl_Finance[Date],$A296),"")</f>
        <v/>
      </c>
      <c r="C296" s="65">
        <f>IFERROR(INDEX(tbl_Finance[Xero Invoice No],$A296),"")</f>
        <v/>
      </c>
      <c r="D296" s="65">
        <f>IFERROR(INDEX(tbl_Finance[Client],$A296),"")</f>
        <v/>
      </c>
      <c r="E296" s="65">
        <f>IFERROR(INDEX(tbl_Finance[Job Number],$A296),"")</f>
        <v/>
      </c>
      <c r="F296" s="65">
        <f>IFERROR(INDEX(tbl_Finance[Cost Centre],$A296),"")</f>
        <v/>
      </c>
      <c r="G296" s="66">
        <f>IFERROR(INDEX(tbl_Finance[Ex GST],$A296),"")</f>
        <v/>
      </c>
      <c r="H296" s="64">
        <f>IFERROR(INDEX(tbl_Finance[Defer Start],$A296),"")</f>
        <v/>
      </c>
      <c r="I296" s="64">
        <f>IFERROR(INDEX(tbl_Finance[Defer End],$A296),"")</f>
        <v/>
      </c>
      <c r="J296" s="63">
        <f>IF(OR($H296="",$I296="",$G296=""),"",MAX(1,(YEAR($I296)-YEAR($H296))*12+MONTH($I296)-MONTH($H296)+1))</f>
        <v/>
      </c>
      <c r="K296" s="66">
        <f>IF($J296="","",$G296/$J296)</f>
        <v/>
      </c>
      <c r="L296" s="66">
        <f>IF($J296="",0,$K296*MAX(0,MIN(YEAR($C$3)*12+MONTH($C$3),YEAR($I296)*12+MONTH($I296))-(YEAR($H296)*12+MONTH($H296))+1))</f>
        <v/>
      </c>
      <c r="M296" s="66">
        <f>IF($J296="",0,$K296*MAX(0,MIN(YEAR($C$3)*12+MONTH($C$3)-1,YEAR($I296)*12+MONTH($I296))-(YEAR($H296)*12+MONTH($H296))+1))</f>
        <v/>
      </c>
      <c r="N296" s="66">
        <f>IF(OR($J296="",$B296=""),0,IF(YEAR($B296)*12+MONTH($B296)&lt;=YEAR($C$3)*12+MONTH($C$3),$G296,0))</f>
        <v/>
      </c>
      <c r="O296" s="66">
        <f>IF(OR($J296="",$B296=""),0,IF(YEAR($B296)*12+MONTH($B296)&lt;=YEAR($C$3)*12+MONTH($C$3)-1,$G296,0))</f>
        <v/>
      </c>
      <c r="P296" s="66">
        <f>$M296-$O296</f>
        <v/>
      </c>
      <c r="Q296" s="66">
        <f>($L296-$M296)-($N296-$O296)</f>
        <v/>
      </c>
      <c r="R296" s="66">
        <f>$L296-$N296</f>
        <v/>
      </c>
      <c r="S296" s="65">
        <f>"Finance invoice"</f>
        <v/>
      </c>
      <c r="T296" s="65">
        <f>"Revenue"</f>
        <v/>
      </c>
    </row>
    <row r="297">
      <c r="A297" s="63">
        <f>ROW()-5</f>
        <v/>
      </c>
      <c r="B297" s="64">
        <f>IFERROR(INDEX(tbl_Finance[Date],$A297),"")</f>
        <v/>
      </c>
      <c r="C297" s="65">
        <f>IFERROR(INDEX(tbl_Finance[Xero Invoice No],$A297),"")</f>
        <v/>
      </c>
      <c r="D297" s="65">
        <f>IFERROR(INDEX(tbl_Finance[Client],$A297),"")</f>
        <v/>
      </c>
      <c r="E297" s="65">
        <f>IFERROR(INDEX(tbl_Finance[Job Number],$A297),"")</f>
        <v/>
      </c>
      <c r="F297" s="65">
        <f>IFERROR(INDEX(tbl_Finance[Cost Centre],$A297),"")</f>
        <v/>
      </c>
      <c r="G297" s="66">
        <f>IFERROR(INDEX(tbl_Finance[Ex GST],$A297),"")</f>
        <v/>
      </c>
      <c r="H297" s="64">
        <f>IFERROR(INDEX(tbl_Finance[Defer Start],$A297),"")</f>
        <v/>
      </c>
      <c r="I297" s="64">
        <f>IFERROR(INDEX(tbl_Finance[Defer End],$A297),"")</f>
        <v/>
      </c>
      <c r="J297" s="63">
        <f>IF(OR($H297="",$I297="",$G297=""),"",MAX(1,(YEAR($I297)-YEAR($H297))*12+MONTH($I297)-MONTH($H297)+1))</f>
        <v/>
      </c>
      <c r="K297" s="66">
        <f>IF($J297="","",$G297/$J297)</f>
        <v/>
      </c>
      <c r="L297" s="66">
        <f>IF($J297="",0,$K297*MAX(0,MIN(YEAR($C$3)*12+MONTH($C$3),YEAR($I297)*12+MONTH($I297))-(YEAR($H297)*12+MONTH($H297))+1))</f>
        <v/>
      </c>
      <c r="M297" s="66">
        <f>IF($J297="",0,$K297*MAX(0,MIN(YEAR($C$3)*12+MONTH($C$3)-1,YEAR($I297)*12+MONTH($I297))-(YEAR($H297)*12+MONTH($H297))+1))</f>
        <v/>
      </c>
      <c r="N297" s="66">
        <f>IF(OR($J297="",$B297=""),0,IF(YEAR($B297)*12+MONTH($B297)&lt;=YEAR($C$3)*12+MONTH($C$3),$G297,0))</f>
        <v/>
      </c>
      <c r="O297" s="66">
        <f>IF(OR($J297="",$B297=""),0,IF(YEAR($B297)*12+MONTH($B297)&lt;=YEAR($C$3)*12+MONTH($C$3)-1,$G297,0))</f>
        <v/>
      </c>
      <c r="P297" s="66">
        <f>$M297-$O297</f>
        <v/>
      </c>
      <c r="Q297" s="66">
        <f>($L297-$M297)-($N297-$O297)</f>
        <v/>
      </c>
      <c r="R297" s="66">
        <f>$L297-$N297</f>
        <v/>
      </c>
      <c r="S297" s="65">
        <f>"Finance invoice"</f>
        <v/>
      </c>
      <c r="T297" s="65">
        <f>"Revenue"</f>
        <v/>
      </c>
    </row>
    <row r="298">
      <c r="A298" s="63">
        <f>ROW()-5</f>
        <v/>
      </c>
      <c r="B298" s="64">
        <f>IFERROR(INDEX(tbl_Finance[Date],$A298),"")</f>
        <v/>
      </c>
      <c r="C298" s="65">
        <f>IFERROR(INDEX(tbl_Finance[Xero Invoice No],$A298),"")</f>
        <v/>
      </c>
      <c r="D298" s="65">
        <f>IFERROR(INDEX(tbl_Finance[Client],$A298),"")</f>
        <v/>
      </c>
      <c r="E298" s="65">
        <f>IFERROR(INDEX(tbl_Finance[Job Number],$A298),"")</f>
        <v/>
      </c>
      <c r="F298" s="65">
        <f>IFERROR(INDEX(tbl_Finance[Cost Centre],$A298),"")</f>
        <v/>
      </c>
      <c r="G298" s="66">
        <f>IFERROR(INDEX(tbl_Finance[Ex GST],$A298),"")</f>
        <v/>
      </c>
      <c r="H298" s="64">
        <f>IFERROR(INDEX(tbl_Finance[Defer Start],$A298),"")</f>
        <v/>
      </c>
      <c r="I298" s="64">
        <f>IFERROR(INDEX(tbl_Finance[Defer End],$A298),"")</f>
        <v/>
      </c>
      <c r="J298" s="63">
        <f>IF(OR($H298="",$I298="",$G298=""),"",MAX(1,(YEAR($I298)-YEAR($H298))*12+MONTH($I298)-MONTH($H298)+1))</f>
        <v/>
      </c>
      <c r="K298" s="66">
        <f>IF($J298="","",$G298/$J298)</f>
        <v/>
      </c>
      <c r="L298" s="66">
        <f>IF($J298="",0,$K298*MAX(0,MIN(YEAR($C$3)*12+MONTH($C$3),YEAR($I298)*12+MONTH($I298))-(YEAR($H298)*12+MONTH($H298))+1))</f>
        <v/>
      </c>
      <c r="M298" s="66">
        <f>IF($J298="",0,$K298*MAX(0,MIN(YEAR($C$3)*12+MONTH($C$3)-1,YEAR($I298)*12+MONTH($I298))-(YEAR($H298)*12+MONTH($H298))+1))</f>
        <v/>
      </c>
      <c r="N298" s="66">
        <f>IF(OR($J298="",$B298=""),0,IF(YEAR($B298)*12+MONTH($B298)&lt;=YEAR($C$3)*12+MONTH($C$3),$G298,0))</f>
        <v/>
      </c>
      <c r="O298" s="66">
        <f>IF(OR($J298="",$B298=""),0,IF(YEAR($B298)*12+MONTH($B298)&lt;=YEAR($C$3)*12+MONTH($C$3)-1,$G298,0))</f>
        <v/>
      </c>
      <c r="P298" s="66">
        <f>$M298-$O298</f>
        <v/>
      </c>
      <c r="Q298" s="66">
        <f>($L298-$M298)-($N298-$O298)</f>
        <v/>
      </c>
      <c r="R298" s="66">
        <f>$L298-$N298</f>
        <v/>
      </c>
      <c r="S298" s="65">
        <f>"Finance invoice"</f>
        <v/>
      </c>
      <c r="T298" s="65">
        <f>"Revenue"</f>
        <v/>
      </c>
    </row>
    <row r="299">
      <c r="A299" s="63">
        <f>ROW()-5</f>
        <v/>
      </c>
      <c r="B299" s="64">
        <f>IFERROR(INDEX(tbl_Finance[Date],$A299),"")</f>
        <v/>
      </c>
      <c r="C299" s="65">
        <f>IFERROR(INDEX(tbl_Finance[Xero Invoice No],$A299),"")</f>
        <v/>
      </c>
      <c r="D299" s="65">
        <f>IFERROR(INDEX(tbl_Finance[Client],$A299),"")</f>
        <v/>
      </c>
      <c r="E299" s="65">
        <f>IFERROR(INDEX(tbl_Finance[Job Number],$A299),"")</f>
        <v/>
      </c>
      <c r="F299" s="65">
        <f>IFERROR(INDEX(tbl_Finance[Cost Centre],$A299),"")</f>
        <v/>
      </c>
      <c r="G299" s="66">
        <f>IFERROR(INDEX(tbl_Finance[Ex GST],$A299),"")</f>
        <v/>
      </c>
      <c r="H299" s="64">
        <f>IFERROR(INDEX(tbl_Finance[Defer Start],$A299),"")</f>
        <v/>
      </c>
      <c r="I299" s="64">
        <f>IFERROR(INDEX(tbl_Finance[Defer End],$A299),"")</f>
        <v/>
      </c>
      <c r="J299" s="63">
        <f>IF(OR($H299="",$I299="",$G299=""),"",MAX(1,(YEAR($I299)-YEAR($H299))*12+MONTH($I299)-MONTH($H299)+1))</f>
        <v/>
      </c>
      <c r="K299" s="66">
        <f>IF($J299="","",$G299/$J299)</f>
        <v/>
      </c>
      <c r="L299" s="66">
        <f>IF($J299="",0,$K299*MAX(0,MIN(YEAR($C$3)*12+MONTH($C$3),YEAR($I299)*12+MONTH($I299))-(YEAR($H299)*12+MONTH($H299))+1))</f>
        <v/>
      </c>
      <c r="M299" s="66">
        <f>IF($J299="",0,$K299*MAX(0,MIN(YEAR($C$3)*12+MONTH($C$3)-1,YEAR($I299)*12+MONTH($I299))-(YEAR($H299)*12+MONTH($H299))+1))</f>
        <v/>
      </c>
      <c r="N299" s="66">
        <f>IF(OR($J299="",$B299=""),0,IF(YEAR($B299)*12+MONTH($B299)&lt;=YEAR($C$3)*12+MONTH($C$3),$G299,0))</f>
        <v/>
      </c>
      <c r="O299" s="66">
        <f>IF(OR($J299="",$B299=""),0,IF(YEAR($B299)*12+MONTH($B299)&lt;=YEAR($C$3)*12+MONTH($C$3)-1,$G299,0))</f>
        <v/>
      </c>
      <c r="P299" s="66">
        <f>$M299-$O299</f>
        <v/>
      </c>
      <c r="Q299" s="66">
        <f>($L299-$M299)-($N299-$O299)</f>
        <v/>
      </c>
      <c r="R299" s="66">
        <f>$L299-$N299</f>
        <v/>
      </c>
      <c r="S299" s="65">
        <f>"Finance invoice"</f>
        <v/>
      </c>
      <c r="T299" s="65">
        <f>"Revenue"</f>
        <v/>
      </c>
    </row>
    <row r="300">
      <c r="A300" s="63">
        <f>ROW()-5</f>
        <v/>
      </c>
      <c r="B300" s="64">
        <f>IFERROR(INDEX(tbl_Finance[Date],$A300),"")</f>
        <v/>
      </c>
      <c r="C300" s="65">
        <f>IFERROR(INDEX(tbl_Finance[Xero Invoice No],$A300),"")</f>
        <v/>
      </c>
      <c r="D300" s="65">
        <f>IFERROR(INDEX(tbl_Finance[Client],$A300),"")</f>
        <v/>
      </c>
      <c r="E300" s="65">
        <f>IFERROR(INDEX(tbl_Finance[Job Number],$A300),"")</f>
        <v/>
      </c>
      <c r="F300" s="65">
        <f>IFERROR(INDEX(tbl_Finance[Cost Centre],$A300),"")</f>
        <v/>
      </c>
      <c r="G300" s="66">
        <f>IFERROR(INDEX(tbl_Finance[Ex GST],$A300),"")</f>
        <v/>
      </c>
      <c r="H300" s="64">
        <f>IFERROR(INDEX(tbl_Finance[Defer Start],$A300),"")</f>
        <v/>
      </c>
      <c r="I300" s="64">
        <f>IFERROR(INDEX(tbl_Finance[Defer End],$A300),"")</f>
        <v/>
      </c>
      <c r="J300" s="63">
        <f>IF(OR($H300="",$I300="",$G300=""),"",MAX(1,(YEAR($I300)-YEAR($H300))*12+MONTH($I300)-MONTH($H300)+1))</f>
        <v/>
      </c>
      <c r="K300" s="66">
        <f>IF($J300="","",$G300/$J300)</f>
        <v/>
      </c>
      <c r="L300" s="66">
        <f>IF($J300="",0,$K300*MAX(0,MIN(YEAR($C$3)*12+MONTH($C$3),YEAR($I300)*12+MONTH($I300))-(YEAR($H300)*12+MONTH($H300))+1))</f>
        <v/>
      </c>
      <c r="M300" s="66">
        <f>IF($J300="",0,$K300*MAX(0,MIN(YEAR($C$3)*12+MONTH($C$3)-1,YEAR($I300)*12+MONTH($I300))-(YEAR($H300)*12+MONTH($H300))+1))</f>
        <v/>
      </c>
      <c r="N300" s="66">
        <f>IF(OR($J300="",$B300=""),0,IF(YEAR($B300)*12+MONTH($B300)&lt;=YEAR($C$3)*12+MONTH($C$3),$G300,0))</f>
        <v/>
      </c>
      <c r="O300" s="66">
        <f>IF(OR($J300="",$B300=""),0,IF(YEAR($B300)*12+MONTH($B300)&lt;=YEAR($C$3)*12+MONTH($C$3)-1,$G300,0))</f>
        <v/>
      </c>
      <c r="P300" s="66">
        <f>$M300-$O300</f>
        <v/>
      </c>
      <c r="Q300" s="66">
        <f>($L300-$M300)-($N300-$O300)</f>
        <v/>
      </c>
      <c r="R300" s="66">
        <f>$L300-$N300</f>
        <v/>
      </c>
      <c r="S300" s="65">
        <f>"Finance invoice"</f>
        <v/>
      </c>
      <c r="T300" s="65">
        <f>"Revenue"</f>
        <v/>
      </c>
    </row>
    <row r="301">
      <c r="A301" s="63">
        <f>ROW()-5</f>
        <v/>
      </c>
      <c r="B301" s="64">
        <f>IFERROR(INDEX(tbl_Finance[Date],$A301),"")</f>
        <v/>
      </c>
      <c r="C301" s="65">
        <f>IFERROR(INDEX(tbl_Finance[Xero Invoice No],$A301),"")</f>
        <v/>
      </c>
      <c r="D301" s="65">
        <f>IFERROR(INDEX(tbl_Finance[Client],$A301),"")</f>
        <v/>
      </c>
      <c r="E301" s="65">
        <f>IFERROR(INDEX(tbl_Finance[Job Number],$A301),"")</f>
        <v/>
      </c>
      <c r="F301" s="65">
        <f>IFERROR(INDEX(tbl_Finance[Cost Centre],$A301),"")</f>
        <v/>
      </c>
      <c r="G301" s="66">
        <f>IFERROR(INDEX(tbl_Finance[Ex GST],$A301),"")</f>
        <v/>
      </c>
      <c r="H301" s="64">
        <f>IFERROR(INDEX(tbl_Finance[Defer Start],$A301),"")</f>
        <v/>
      </c>
      <c r="I301" s="64">
        <f>IFERROR(INDEX(tbl_Finance[Defer End],$A301),"")</f>
        <v/>
      </c>
      <c r="J301" s="63">
        <f>IF(OR($H301="",$I301="",$G301=""),"",MAX(1,(YEAR($I301)-YEAR($H301))*12+MONTH($I301)-MONTH($H301)+1))</f>
        <v/>
      </c>
      <c r="K301" s="66">
        <f>IF($J301="","",$G301/$J301)</f>
        <v/>
      </c>
      <c r="L301" s="66">
        <f>IF($J301="",0,$K301*MAX(0,MIN(YEAR($C$3)*12+MONTH($C$3),YEAR($I301)*12+MONTH($I301))-(YEAR($H301)*12+MONTH($H301))+1))</f>
        <v/>
      </c>
      <c r="M301" s="66">
        <f>IF($J301="",0,$K301*MAX(0,MIN(YEAR($C$3)*12+MONTH($C$3)-1,YEAR($I301)*12+MONTH($I301))-(YEAR($H301)*12+MONTH($H301))+1))</f>
        <v/>
      </c>
      <c r="N301" s="66">
        <f>IF(OR($J301="",$B301=""),0,IF(YEAR($B301)*12+MONTH($B301)&lt;=YEAR($C$3)*12+MONTH($C$3),$G301,0))</f>
        <v/>
      </c>
      <c r="O301" s="66">
        <f>IF(OR($J301="",$B301=""),0,IF(YEAR($B301)*12+MONTH($B301)&lt;=YEAR($C$3)*12+MONTH($C$3)-1,$G301,0))</f>
        <v/>
      </c>
      <c r="P301" s="66">
        <f>$M301-$O301</f>
        <v/>
      </c>
      <c r="Q301" s="66">
        <f>($L301-$M301)-($N301-$O301)</f>
        <v/>
      </c>
      <c r="R301" s="66">
        <f>$L301-$N301</f>
        <v/>
      </c>
      <c r="S301" s="65">
        <f>"Finance invoice"</f>
        <v/>
      </c>
      <c r="T301" s="65">
        <f>"Revenue"</f>
        <v/>
      </c>
    </row>
    <row r="302">
      <c r="A302" s="63">
        <f>ROW()-5</f>
        <v/>
      </c>
      <c r="B302" s="64">
        <f>IFERROR(INDEX(tbl_Finance[Date],$A302),"")</f>
        <v/>
      </c>
      <c r="C302" s="65">
        <f>IFERROR(INDEX(tbl_Finance[Xero Invoice No],$A302),"")</f>
        <v/>
      </c>
      <c r="D302" s="65">
        <f>IFERROR(INDEX(tbl_Finance[Client],$A302),"")</f>
        <v/>
      </c>
      <c r="E302" s="65">
        <f>IFERROR(INDEX(tbl_Finance[Job Number],$A302),"")</f>
        <v/>
      </c>
      <c r="F302" s="65">
        <f>IFERROR(INDEX(tbl_Finance[Cost Centre],$A302),"")</f>
        <v/>
      </c>
      <c r="G302" s="66">
        <f>IFERROR(INDEX(tbl_Finance[Ex GST],$A302),"")</f>
        <v/>
      </c>
      <c r="H302" s="64">
        <f>IFERROR(INDEX(tbl_Finance[Defer Start],$A302),"")</f>
        <v/>
      </c>
      <c r="I302" s="64">
        <f>IFERROR(INDEX(tbl_Finance[Defer End],$A302),"")</f>
        <v/>
      </c>
      <c r="J302" s="63">
        <f>IF(OR($H302="",$I302="",$G302=""),"",MAX(1,(YEAR($I302)-YEAR($H302))*12+MONTH($I302)-MONTH($H302)+1))</f>
        <v/>
      </c>
      <c r="K302" s="66">
        <f>IF($J302="","",$G302/$J302)</f>
        <v/>
      </c>
      <c r="L302" s="66">
        <f>IF($J302="",0,$K302*MAX(0,MIN(YEAR($C$3)*12+MONTH($C$3),YEAR($I302)*12+MONTH($I302))-(YEAR($H302)*12+MONTH($H302))+1))</f>
        <v/>
      </c>
      <c r="M302" s="66">
        <f>IF($J302="",0,$K302*MAX(0,MIN(YEAR($C$3)*12+MONTH($C$3)-1,YEAR($I302)*12+MONTH($I302))-(YEAR($H302)*12+MONTH($H302))+1))</f>
        <v/>
      </c>
      <c r="N302" s="66">
        <f>IF(OR($J302="",$B302=""),0,IF(YEAR($B302)*12+MONTH($B302)&lt;=YEAR($C$3)*12+MONTH($C$3),$G302,0))</f>
        <v/>
      </c>
      <c r="O302" s="66">
        <f>IF(OR($J302="",$B302=""),0,IF(YEAR($B302)*12+MONTH($B302)&lt;=YEAR($C$3)*12+MONTH($C$3)-1,$G302,0))</f>
        <v/>
      </c>
      <c r="P302" s="66">
        <f>$M302-$O302</f>
        <v/>
      </c>
      <c r="Q302" s="66">
        <f>($L302-$M302)-($N302-$O302)</f>
        <v/>
      </c>
      <c r="R302" s="66">
        <f>$L302-$N302</f>
        <v/>
      </c>
      <c r="S302" s="65">
        <f>"Finance invoice"</f>
        <v/>
      </c>
      <c r="T302" s="65">
        <f>"Revenue"</f>
        <v/>
      </c>
    </row>
    <row r="303">
      <c r="A303" s="63">
        <f>ROW()-5</f>
        <v/>
      </c>
      <c r="B303" s="64">
        <f>IFERROR(INDEX(tbl_Finance[Date],$A303),"")</f>
        <v/>
      </c>
      <c r="C303" s="65">
        <f>IFERROR(INDEX(tbl_Finance[Xero Invoice No],$A303),"")</f>
        <v/>
      </c>
      <c r="D303" s="65">
        <f>IFERROR(INDEX(tbl_Finance[Client],$A303),"")</f>
        <v/>
      </c>
      <c r="E303" s="65">
        <f>IFERROR(INDEX(tbl_Finance[Job Number],$A303),"")</f>
        <v/>
      </c>
      <c r="F303" s="65">
        <f>IFERROR(INDEX(tbl_Finance[Cost Centre],$A303),"")</f>
        <v/>
      </c>
      <c r="G303" s="66">
        <f>IFERROR(INDEX(tbl_Finance[Ex GST],$A303),"")</f>
        <v/>
      </c>
      <c r="H303" s="64">
        <f>IFERROR(INDEX(tbl_Finance[Defer Start],$A303),"")</f>
        <v/>
      </c>
      <c r="I303" s="64">
        <f>IFERROR(INDEX(tbl_Finance[Defer End],$A303),"")</f>
        <v/>
      </c>
      <c r="J303" s="63">
        <f>IF(OR($H303="",$I303="",$G303=""),"",MAX(1,(YEAR($I303)-YEAR($H303))*12+MONTH($I303)-MONTH($H303)+1))</f>
        <v/>
      </c>
      <c r="K303" s="66">
        <f>IF($J303="","",$G303/$J303)</f>
        <v/>
      </c>
      <c r="L303" s="66">
        <f>IF($J303="",0,$K303*MAX(0,MIN(YEAR($C$3)*12+MONTH($C$3),YEAR($I303)*12+MONTH($I303))-(YEAR($H303)*12+MONTH($H303))+1))</f>
        <v/>
      </c>
      <c r="M303" s="66">
        <f>IF($J303="",0,$K303*MAX(0,MIN(YEAR($C$3)*12+MONTH($C$3)-1,YEAR($I303)*12+MONTH($I303))-(YEAR($H303)*12+MONTH($H303))+1))</f>
        <v/>
      </c>
      <c r="N303" s="66">
        <f>IF(OR($J303="",$B303=""),0,IF(YEAR($B303)*12+MONTH($B303)&lt;=YEAR($C$3)*12+MONTH($C$3),$G303,0))</f>
        <v/>
      </c>
      <c r="O303" s="66">
        <f>IF(OR($J303="",$B303=""),0,IF(YEAR($B303)*12+MONTH($B303)&lt;=YEAR($C$3)*12+MONTH($C$3)-1,$G303,0))</f>
        <v/>
      </c>
      <c r="P303" s="66">
        <f>$M303-$O303</f>
        <v/>
      </c>
      <c r="Q303" s="66">
        <f>($L303-$M303)-($N303-$O303)</f>
        <v/>
      </c>
      <c r="R303" s="66">
        <f>$L303-$N303</f>
        <v/>
      </c>
      <c r="S303" s="65">
        <f>"Finance invoice"</f>
        <v/>
      </c>
      <c r="T303" s="65">
        <f>"Revenue"</f>
        <v/>
      </c>
    </row>
    <row r="304">
      <c r="A304" s="63">
        <f>ROW()-5</f>
        <v/>
      </c>
      <c r="B304" s="64">
        <f>IFERROR(INDEX(tbl_Finance[Date],$A304),"")</f>
        <v/>
      </c>
      <c r="C304" s="65">
        <f>IFERROR(INDEX(tbl_Finance[Xero Invoice No],$A304),"")</f>
        <v/>
      </c>
      <c r="D304" s="65">
        <f>IFERROR(INDEX(tbl_Finance[Client],$A304),"")</f>
        <v/>
      </c>
      <c r="E304" s="65">
        <f>IFERROR(INDEX(tbl_Finance[Job Number],$A304),"")</f>
        <v/>
      </c>
      <c r="F304" s="65">
        <f>IFERROR(INDEX(tbl_Finance[Cost Centre],$A304),"")</f>
        <v/>
      </c>
      <c r="G304" s="66">
        <f>IFERROR(INDEX(tbl_Finance[Ex GST],$A304),"")</f>
        <v/>
      </c>
      <c r="H304" s="64">
        <f>IFERROR(INDEX(tbl_Finance[Defer Start],$A304),"")</f>
        <v/>
      </c>
      <c r="I304" s="64">
        <f>IFERROR(INDEX(tbl_Finance[Defer End],$A304),"")</f>
        <v/>
      </c>
      <c r="J304" s="63">
        <f>IF(OR($H304="",$I304="",$G304=""),"",MAX(1,(YEAR($I304)-YEAR($H304))*12+MONTH($I304)-MONTH($H304)+1))</f>
        <v/>
      </c>
      <c r="K304" s="66">
        <f>IF($J304="","",$G304/$J304)</f>
        <v/>
      </c>
      <c r="L304" s="66">
        <f>IF($J304="",0,$K304*MAX(0,MIN(YEAR($C$3)*12+MONTH($C$3),YEAR($I304)*12+MONTH($I304))-(YEAR($H304)*12+MONTH($H304))+1))</f>
        <v/>
      </c>
      <c r="M304" s="66">
        <f>IF($J304="",0,$K304*MAX(0,MIN(YEAR($C$3)*12+MONTH($C$3)-1,YEAR($I304)*12+MONTH($I304))-(YEAR($H304)*12+MONTH($H304))+1))</f>
        <v/>
      </c>
      <c r="N304" s="66">
        <f>IF(OR($J304="",$B304=""),0,IF(YEAR($B304)*12+MONTH($B304)&lt;=YEAR($C$3)*12+MONTH($C$3),$G304,0))</f>
        <v/>
      </c>
      <c r="O304" s="66">
        <f>IF(OR($J304="",$B304=""),0,IF(YEAR($B304)*12+MONTH($B304)&lt;=YEAR($C$3)*12+MONTH($C$3)-1,$G304,0))</f>
        <v/>
      </c>
      <c r="P304" s="66">
        <f>$M304-$O304</f>
        <v/>
      </c>
      <c r="Q304" s="66">
        <f>($L304-$M304)-($N304-$O304)</f>
        <v/>
      </c>
      <c r="R304" s="66">
        <f>$L304-$N304</f>
        <v/>
      </c>
      <c r="S304" s="65">
        <f>"Finance invoice"</f>
        <v/>
      </c>
      <c r="T304" s="65">
        <f>"Revenue"</f>
        <v/>
      </c>
    </row>
    <row r="305">
      <c r="A305" s="63">
        <f>ROW()-5</f>
        <v/>
      </c>
      <c r="B305" s="64">
        <f>IFERROR(INDEX(tbl_Finance[Date],$A305),"")</f>
        <v/>
      </c>
      <c r="C305" s="65">
        <f>IFERROR(INDEX(tbl_Finance[Xero Invoice No],$A305),"")</f>
        <v/>
      </c>
      <c r="D305" s="65">
        <f>IFERROR(INDEX(tbl_Finance[Client],$A305),"")</f>
        <v/>
      </c>
      <c r="E305" s="65">
        <f>IFERROR(INDEX(tbl_Finance[Job Number],$A305),"")</f>
        <v/>
      </c>
      <c r="F305" s="65">
        <f>IFERROR(INDEX(tbl_Finance[Cost Centre],$A305),"")</f>
        <v/>
      </c>
      <c r="G305" s="66">
        <f>IFERROR(INDEX(tbl_Finance[Ex GST],$A305),"")</f>
        <v/>
      </c>
      <c r="H305" s="64">
        <f>IFERROR(INDEX(tbl_Finance[Defer Start],$A305),"")</f>
        <v/>
      </c>
      <c r="I305" s="64">
        <f>IFERROR(INDEX(tbl_Finance[Defer End],$A305),"")</f>
        <v/>
      </c>
      <c r="J305" s="63">
        <f>IF(OR($H305="",$I305="",$G305=""),"",MAX(1,(YEAR($I305)-YEAR($H305))*12+MONTH($I305)-MONTH($H305)+1))</f>
        <v/>
      </c>
      <c r="K305" s="66">
        <f>IF($J305="","",$G305/$J305)</f>
        <v/>
      </c>
      <c r="L305" s="66">
        <f>IF($J305="",0,$K305*MAX(0,MIN(YEAR($C$3)*12+MONTH($C$3),YEAR($I305)*12+MONTH($I305))-(YEAR($H305)*12+MONTH($H305))+1))</f>
        <v/>
      </c>
      <c r="M305" s="66">
        <f>IF($J305="",0,$K305*MAX(0,MIN(YEAR($C$3)*12+MONTH($C$3)-1,YEAR($I305)*12+MONTH($I305))-(YEAR($H305)*12+MONTH($H305))+1))</f>
        <v/>
      </c>
      <c r="N305" s="66">
        <f>IF(OR($J305="",$B305=""),0,IF(YEAR($B305)*12+MONTH($B305)&lt;=YEAR($C$3)*12+MONTH($C$3),$G305,0))</f>
        <v/>
      </c>
      <c r="O305" s="66">
        <f>IF(OR($J305="",$B305=""),0,IF(YEAR($B305)*12+MONTH($B305)&lt;=YEAR($C$3)*12+MONTH($C$3)-1,$G305,0))</f>
        <v/>
      </c>
      <c r="P305" s="66">
        <f>$M305-$O305</f>
        <v/>
      </c>
      <c r="Q305" s="66">
        <f>($L305-$M305)-($N305-$O305)</f>
        <v/>
      </c>
      <c r="R305" s="66">
        <f>$L305-$N305</f>
        <v/>
      </c>
      <c r="S305" s="65">
        <f>"Finance invoice"</f>
        <v/>
      </c>
      <c r="T305" s="65">
        <f>"Revenue"</f>
        <v/>
      </c>
    </row>
    <row r="306">
      <c r="A306" s="63">
        <f>ROW()-5</f>
        <v/>
      </c>
      <c r="B306" s="64">
        <f>IFERROR(INDEX(tbl_Finance[Date],$A306),"")</f>
        <v/>
      </c>
      <c r="C306" s="65">
        <f>IFERROR(INDEX(tbl_Finance[Xero Invoice No],$A306),"")</f>
        <v/>
      </c>
      <c r="D306" s="65">
        <f>IFERROR(INDEX(tbl_Finance[Client],$A306),"")</f>
        <v/>
      </c>
      <c r="E306" s="65">
        <f>IFERROR(INDEX(tbl_Finance[Job Number],$A306),"")</f>
        <v/>
      </c>
      <c r="F306" s="65">
        <f>IFERROR(INDEX(tbl_Finance[Cost Centre],$A306),"")</f>
        <v/>
      </c>
      <c r="G306" s="66">
        <f>IFERROR(INDEX(tbl_Finance[Ex GST],$A306),"")</f>
        <v/>
      </c>
      <c r="H306" s="64">
        <f>IFERROR(INDEX(tbl_Finance[Defer Start],$A306),"")</f>
        <v/>
      </c>
      <c r="I306" s="64">
        <f>IFERROR(INDEX(tbl_Finance[Defer End],$A306),"")</f>
        <v/>
      </c>
      <c r="J306" s="63">
        <f>IF(OR($H306="",$I306="",$G306=""),"",MAX(1,(YEAR($I306)-YEAR($H306))*12+MONTH($I306)-MONTH($H306)+1))</f>
        <v/>
      </c>
      <c r="K306" s="66">
        <f>IF($J306="","",$G306/$J306)</f>
        <v/>
      </c>
      <c r="L306" s="66">
        <f>IF($J306="",0,$K306*MAX(0,MIN(YEAR($C$3)*12+MONTH($C$3),YEAR($I306)*12+MONTH($I306))-(YEAR($H306)*12+MONTH($H306))+1))</f>
        <v/>
      </c>
      <c r="M306" s="66">
        <f>IF($J306="",0,$K306*MAX(0,MIN(YEAR($C$3)*12+MONTH($C$3)-1,YEAR($I306)*12+MONTH($I306))-(YEAR($H306)*12+MONTH($H306))+1))</f>
        <v/>
      </c>
      <c r="N306" s="66">
        <f>IF(OR($J306="",$B306=""),0,IF(YEAR($B306)*12+MONTH($B306)&lt;=YEAR($C$3)*12+MONTH($C$3),$G306,0))</f>
        <v/>
      </c>
      <c r="O306" s="66">
        <f>IF(OR($J306="",$B306=""),0,IF(YEAR($B306)*12+MONTH($B306)&lt;=YEAR($C$3)*12+MONTH($C$3)-1,$G306,0))</f>
        <v/>
      </c>
      <c r="P306" s="66">
        <f>$M306-$O306</f>
        <v/>
      </c>
      <c r="Q306" s="66">
        <f>($L306-$M306)-($N306-$O306)</f>
        <v/>
      </c>
      <c r="R306" s="66">
        <f>$L306-$N306</f>
        <v/>
      </c>
      <c r="S306" s="65">
        <f>"Finance invoice"</f>
        <v/>
      </c>
      <c r="T306" s="65">
        <f>"Revenue"</f>
        <v/>
      </c>
    </row>
    <row r="307">
      <c r="A307" s="63">
        <f>ROW()-5</f>
        <v/>
      </c>
      <c r="B307" s="64">
        <f>IFERROR(INDEX(tbl_Finance[Date],$A307),"")</f>
        <v/>
      </c>
      <c r="C307" s="65">
        <f>IFERROR(INDEX(tbl_Finance[Xero Invoice No],$A307),"")</f>
        <v/>
      </c>
      <c r="D307" s="65">
        <f>IFERROR(INDEX(tbl_Finance[Client],$A307),"")</f>
        <v/>
      </c>
      <c r="E307" s="65">
        <f>IFERROR(INDEX(tbl_Finance[Job Number],$A307),"")</f>
        <v/>
      </c>
      <c r="F307" s="65">
        <f>IFERROR(INDEX(tbl_Finance[Cost Centre],$A307),"")</f>
        <v/>
      </c>
      <c r="G307" s="66">
        <f>IFERROR(INDEX(tbl_Finance[Ex GST],$A307),"")</f>
        <v/>
      </c>
      <c r="H307" s="64">
        <f>IFERROR(INDEX(tbl_Finance[Defer Start],$A307),"")</f>
        <v/>
      </c>
      <c r="I307" s="64">
        <f>IFERROR(INDEX(tbl_Finance[Defer End],$A307),"")</f>
        <v/>
      </c>
      <c r="J307" s="63">
        <f>IF(OR($H307="",$I307="",$G307=""),"",MAX(1,(YEAR($I307)-YEAR($H307))*12+MONTH($I307)-MONTH($H307)+1))</f>
        <v/>
      </c>
      <c r="K307" s="66">
        <f>IF($J307="","",$G307/$J307)</f>
        <v/>
      </c>
      <c r="L307" s="66">
        <f>IF($J307="",0,$K307*MAX(0,MIN(YEAR($C$3)*12+MONTH($C$3),YEAR($I307)*12+MONTH($I307))-(YEAR($H307)*12+MONTH($H307))+1))</f>
        <v/>
      </c>
      <c r="M307" s="66">
        <f>IF($J307="",0,$K307*MAX(0,MIN(YEAR($C$3)*12+MONTH($C$3)-1,YEAR($I307)*12+MONTH($I307))-(YEAR($H307)*12+MONTH($H307))+1))</f>
        <v/>
      </c>
      <c r="N307" s="66">
        <f>IF(OR($J307="",$B307=""),0,IF(YEAR($B307)*12+MONTH($B307)&lt;=YEAR($C$3)*12+MONTH($C$3),$G307,0))</f>
        <v/>
      </c>
      <c r="O307" s="66">
        <f>IF(OR($J307="",$B307=""),0,IF(YEAR($B307)*12+MONTH($B307)&lt;=YEAR($C$3)*12+MONTH($C$3)-1,$G307,0))</f>
        <v/>
      </c>
      <c r="P307" s="66">
        <f>$M307-$O307</f>
        <v/>
      </c>
      <c r="Q307" s="66">
        <f>($L307-$M307)-($N307-$O307)</f>
        <v/>
      </c>
      <c r="R307" s="66">
        <f>$L307-$N307</f>
        <v/>
      </c>
      <c r="S307" s="65">
        <f>"Finance invoice"</f>
        <v/>
      </c>
      <c r="T307" s="65">
        <f>"Revenue"</f>
        <v/>
      </c>
    </row>
    <row r="308">
      <c r="A308" s="63">
        <f>ROW()-5</f>
        <v/>
      </c>
      <c r="B308" s="64">
        <f>IFERROR(INDEX(tbl_Finance[Date],$A308),"")</f>
        <v/>
      </c>
      <c r="C308" s="65">
        <f>IFERROR(INDEX(tbl_Finance[Xero Invoice No],$A308),"")</f>
        <v/>
      </c>
      <c r="D308" s="65">
        <f>IFERROR(INDEX(tbl_Finance[Client],$A308),"")</f>
        <v/>
      </c>
      <c r="E308" s="65">
        <f>IFERROR(INDEX(tbl_Finance[Job Number],$A308),"")</f>
        <v/>
      </c>
      <c r="F308" s="65">
        <f>IFERROR(INDEX(tbl_Finance[Cost Centre],$A308),"")</f>
        <v/>
      </c>
      <c r="G308" s="66">
        <f>IFERROR(INDEX(tbl_Finance[Ex GST],$A308),"")</f>
        <v/>
      </c>
      <c r="H308" s="64">
        <f>IFERROR(INDEX(tbl_Finance[Defer Start],$A308),"")</f>
        <v/>
      </c>
      <c r="I308" s="64">
        <f>IFERROR(INDEX(tbl_Finance[Defer End],$A308),"")</f>
        <v/>
      </c>
      <c r="J308" s="63">
        <f>IF(OR($H308="",$I308="",$G308=""),"",MAX(1,(YEAR($I308)-YEAR($H308))*12+MONTH($I308)-MONTH($H308)+1))</f>
        <v/>
      </c>
      <c r="K308" s="66">
        <f>IF($J308="","",$G308/$J308)</f>
        <v/>
      </c>
      <c r="L308" s="66">
        <f>IF($J308="",0,$K308*MAX(0,MIN(YEAR($C$3)*12+MONTH($C$3),YEAR($I308)*12+MONTH($I308))-(YEAR($H308)*12+MONTH($H308))+1))</f>
        <v/>
      </c>
      <c r="M308" s="66">
        <f>IF($J308="",0,$K308*MAX(0,MIN(YEAR($C$3)*12+MONTH($C$3)-1,YEAR($I308)*12+MONTH($I308))-(YEAR($H308)*12+MONTH($H308))+1))</f>
        <v/>
      </c>
      <c r="N308" s="66">
        <f>IF(OR($J308="",$B308=""),0,IF(YEAR($B308)*12+MONTH($B308)&lt;=YEAR($C$3)*12+MONTH($C$3),$G308,0))</f>
        <v/>
      </c>
      <c r="O308" s="66">
        <f>IF(OR($J308="",$B308=""),0,IF(YEAR($B308)*12+MONTH($B308)&lt;=YEAR($C$3)*12+MONTH($C$3)-1,$G308,0))</f>
        <v/>
      </c>
      <c r="P308" s="66">
        <f>$M308-$O308</f>
        <v/>
      </c>
      <c r="Q308" s="66">
        <f>($L308-$M308)-($N308-$O308)</f>
        <v/>
      </c>
      <c r="R308" s="66">
        <f>$L308-$N308</f>
        <v/>
      </c>
      <c r="S308" s="65">
        <f>"Finance invoice"</f>
        <v/>
      </c>
      <c r="T308" s="65">
        <f>"Revenue"</f>
        <v/>
      </c>
    </row>
    <row r="309">
      <c r="A309" s="63">
        <f>ROW()-5</f>
        <v/>
      </c>
      <c r="B309" s="64">
        <f>IFERROR(INDEX(tbl_Finance[Date],$A309),"")</f>
        <v/>
      </c>
      <c r="C309" s="65">
        <f>IFERROR(INDEX(tbl_Finance[Xero Invoice No],$A309),"")</f>
        <v/>
      </c>
      <c r="D309" s="65">
        <f>IFERROR(INDEX(tbl_Finance[Client],$A309),"")</f>
        <v/>
      </c>
      <c r="E309" s="65">
        <f>IFERROR(INDEX(tbl_Finance[Job Number],$A309),"")</f>
        <v/>
      </c>
      <c r="F309" s="65">
        <f>IFERROR(INDEX(tbl_Finance[Cost Centre],$A309),"")</f>
        <v/>
      </c>
      <c r="G309" s="66">
        <f>IFERROR(INDEX(tbl_Finance[Ex GST],$A309),"")</f>
        <v/>
      </c>
      <c r="H309" s="64">
        <f>IFERROR(INDEX(tbl_Finance[Defer Start],$A309),"")</f>
        <v/>
      </c>
      <c r="I309" s="64">
        <f>IFERROR(INDEX(tbl_Finance[Defer End],$A309),"")</f>
        <v/>
      </c>
      <c r="J309" s="63">
        <f>IF(OR($H309="",$I309="",$G309=""),"",MAX(1,(YEAR($I309)-YEAR($H309))*12+MONTH($I309)-MONTH($H309)+1))</f>
        <v/>
      </c>
      <c r="K309" s="66">
        <f>IF($J309="","",$G309/$J309)</f>
        <v/>
      </c>
      <c r="L309" s="66">
        <f>IF($J309="",0,$K309*MAX(0,MIN(YEAR($C$3)*12+MONTH($C$3),YEAR($I309)*12+MONTH($I309))-(YEAR($H309)*12+MONTH($H309))+1))</f>
        <v/>
      </c>
      <c r="M309" s="66">
        <f>IF($J309="",0,$K309*MAX(0,MIN(YEAR($C$3)*12+MONTH($C$3)-1,YEAR($I309)*12+MONTH($I309))-(YEAR($H309)*12+MONTH($H309))+1))</f>
        <v/>
      </c>
      <c r="N309" s="66">
        <f>IF(OR($J309="",$B309=""),0,IF(YEAR($B309)*12+MONTH($B309)&lt;=YEAR($C$3)*12+MONTH($C$3),$G309,0))</f>
        <v/>
      </c>
      <c r="O309" s="66">
        <f>IF(OR($J309="",$B309=""),0,IF(YEAR($B309)*12+MONTH($B309)&lt;=YEAR($C$3)*12+MONTH($C$3)-1,$G309,0))</f>
        <v/>
      </c>
      <c r="P309" s="66">
        <f>$M309-$O309</f>
        <v/>
      </c>
      <c r="Q309" s="66">
        <f>($L309-$M309)-($N309-$O309)</f>
        <v/>
      </c>
      <c r="R309" s="66">
        <f>$L309-$N309</f>
        <v/>
      </c>
      <c r="S309" s="65">
        <f>"Finance invoice"</f>
        <v/>
      </c>
      <c r="T309" s="65">
        <f>"Revenue"</f>
        <v/>
      </c>
    </row>
    <row r="310">
      <c r="A310" s="63">
        <f>ROW()-5</f>
        <v/>
      </c>
      <c r="B310" s="64">
        <f>IFERROR(INDEX(tbl_Finance[Date],$A310),"")</f>
        <v/>
      </c>
      <c r="C310" s="65">
        <f>IFERROR(INDEX(tbl_Finance[Xero Invoice No],$A310),"")</f>
        <v/>
      </c>
      <c r="D310" s="65">
        <f>IFERROR(INDEX(tbl_Finance[Client],$A310),"")</f>
        <v/>
      </c>
      <c r="E310" s="65">
        <f>IFERROR(INDEX(tbl_Finance[Job Number],$A310),"")</f>
        <v/>
      </c>
      <c r="F310" s="65">
        <f>IFERROR(INDEX(tbl_Finance[Cost Centre],$A310),"")</f>
        <v/>
      </c>
      <c r="G310" s="66">
        <f>IFERROR(INDEX(tbl_Finance[Ex GST],$A310),"")</f>
        <v/>
      </c>
      <c r="H310" s="64">
        <f>IFERROR(INDEX(tbl_Finance[Defer Start],$A310),"")</f>
        <v/>
      </c>
      <c r="I310" s="64">
        <f>IFERROR(INDEX(tbl_Finance[Defer End],$A310),"")</f>
        <v/>
      </c>
      <c r="J310" s="63">
        <f>IF(OR($H310="",$I310="",$G310=""),"",MAX(1,(YEAR($I310)-YEAR($H310))*12+MONTH($I310)-MONTH($H310)+1))</f>
        <v/>
      </c>
      <c r="K310" s="66">
        <f>IF($J310="","",$G310/$J310)</f>
        <v/>
      </c>
      <c r="L310" s="66">
        <f>IF($J310="",0,$K310*MAX(0,MIN(YEAR($C$3)*12+MONTH($C$3),YEAR($I310)*12+MONTH($I310))-(YEAR($H310)*12+MONTH($H310))+1))</f>
        <v/>
      </c>
      <c r="M310" s="66">
        <f>IF($J310="",0,$K310*MAX(0,MIN(YEAR($C$3)*12+MONTH($C$3)-1,YEAR($I310)*12+MONTH($I310))-(YEAR($H310)*12+MONTH($H310))+1))</f>
        <v/>
      </c>
      <c r="N310" s="66">
        <f>IF(OR($J310="",$B310=""),0,IF(YEAR($B310)*12+MONTH($B310)&lt;=YEAR($C$3)*12+MONTH($C$3),$G310,0))</f>
        <v/>
      </c>
      <c r="O310" s="66">
        <f>IF(OR($J310="",$B310=""),0,IF(YEAR($B310)*12+MONTH($B310)&lt;=YEAR($C$3)*12+MONTH($C$3)-1,$G310,0))</f>
        <v/>
      </c>
      <c r="P310" s="66">
        <f>$M310-$O310</f>
        <v/>
      </c>
      <c r="Q310" s="66">
        <f>($L310-$M310)-($N310-$O310)</f>
        <v/>
      </c>
      <c r="R310" s="66">
        <f>$L310-$N310</f>
        <v/>
      </c>
      <c r="S310" s="65">
        <f>"Finance invoice"</f>
        <v/>
      </c>
      <c r="T310" s="65">
        <f>"Revenue"</f>
        <v/>
      </c>
    </row>
    <row r="311">
      <c r="A311" s="63">
        <f>ROW()-5</f>
        <v/>
      </c>
      <c r="B311" s="64">
        <f>IFERROR(INDEX(tbl_Finance[Date],$A311),"")</f>
        <v/>
      </c>
      <c r="C311" s="65">
        <f>IFERROR(INDEX(tbl_Finance[Xero Invoice No],$A311),"")</f>
        <v/>
      </c>
      <c r="D311" s="65">
        <f>IFERROR(INDEX(tbl_Finance[Client],$A311),"")</f>
        <v/>
      </c>
      <c r="E311" s="65">
        <f>IFERROR(INDEX(tbl_Finance[Job Number],$A311),"")</f>
        <v/>
      </c>
      <c r="F311" s="65">
        <f>IFERROR(INDEX(tbl_Finance[Cost Centre],$A311),"")</f>
        <v/>
      </c>
      <c r="G311" s="66">
        <f>IFERROR(INDEX(tbl_Finance[Ex GST],$A311),"")</f>
        <v/>
      </c>
      <c r="H311" s="64">
        <f>IFERROR(INDEX(tbl_Finance[Defer Start],$A311),"")</f>
        <v/>
      </c>
      <c r="I311" s="64">
        <f>IFERROR(INDEX(tbl_Finance[Defer End],$A311),"")</f>
        <v/>
      </c>
      <c r="J311" s="63">
        <f>IF(OR($H311="",$I311="",$G311=""),"",MAX(1,(YEAR($I311)-YEAR($H311))*12+MONTH($I311)-MONTH($H311)+1))</f>
        <v/>
      </c>
      <c r="K311" s="66">
        <f>IF($J311="","",$G311/$J311)</f>
        <v/>
      </c>
      <c r="L311" s="66">
        <f>IF($J311="",0,$K311*MAX(0,MIN(YEAR($C$3)*12+MONTH($C$3),YEAR($I311)*12+MONTH($I311))-(YEAR($H311)*12+MONTH($H311))+1))</f>
        <v/>
      </c>
      <c r="M311" s="66">
        <f>IF($J311="",0,$K311*MAX(0,MIN(YEAR($C$3)*12+MONTH($C$3)-1,YEAR($I311)*12+MONTH($I311))-(YEAR($H311)*12+MONTH($H311))+1))</f>
        <v/>
      </c>
      <c r="N311" s="66">
        <f>IF(OR($J311="",$B311=""),0,IF(YEAR($B311)*12+MONTH($B311)&lt;=YEAR($C$3)*12+MONTH($C$3),$G311,0))</f>
        <v/>
      </c>
      <c r="O311" s="66">
        <f>IF(OR($J311="",$B311=""),0,IF(YEAR($B311)*12+MONTH($B311)&lt;=YEAR($C$3)*12+MONTH($C$3)-1,$G311,0))</f>
        <v/>
      </c>
      <c r="P311" s="66">
        <f>$M311-$O311</f>
        <v/>
      </c>
      <c r="Q311" s="66">
        <f>($L311-$M311)-($N311-$O311)</f>
        <v/>
      </c>
      <c r="R311" s="66">
        <f>$L311-$N311</f>
        <v/>
      </c>
      <c r="S311" s="65">
        <f>"Finance invoice"</f>
        <v/>
      </c>
      <c r="T311" s="65">
        <f>"Revenue"</f>
        <v/>
      </c>
    </row>
    <row r="312">
      <c r="A312" s="63">
        <f>ROW()-5</f>
        <v/>
      </c>
      <c r="B312" s="64">
        <f>IFERROR(INDEX(tbl_Finance[Date],$A312),"")</f>
        <v/>
      </c>
      <c r="C312" s="65">
        <f>IFERROR(INDEX(tbl_Finance[Xero Invoice No],$A312),"")</f>
        <v/>
      </c>
      <c r="D312" s="65">
        <f>IFERROR(INDEX(tbl_Finance[Client],$A312),"")</f>
        <v/>
      </c>
      <c r="E312" s="65">
        <f>IFERROR(INDEX(tbl_Finance[Job Number],$A312),"")</f>
        <v/>
      </c>
      <c r="F312" s="65">
        <f>IFERROR(INDEX(tbl_Finance[Cost Centre],$A312),"")</f>
        <v/>
      </c>
      <c r="G312" s="66">
        <f>IFERROR(INDEX(tbl_Finance[Ex GST],$A312),"")</f>
        <v/>
      </c>
      <c r="H312" s="64">
        <f>IFERROR(INDEX(tbl_Finance[Defer Start],$A312),"")</f>
        <v/>
      </c>
      <c r="I312" s="64">
        <f>IFERROR(INDEX(tbl_Finance[Defer End],$A312),"")</f>
        <v/>
      </c>
      <c r="J312" s="63">
        <f>IF(OR($H312="",$I312="",$G312=""),"",MAX(1,(YEAR($I312)-YEAR($H312))*12+MONTH($I312)-MONTH($H312)+1))</f>
        <v/>
      </c>
      <c r="K312" s="66">
        <f>IF($J312="","",$G312/$J312)</f>
        <v/>
      </c>
      <c r="L312" s="66">
        <f>IF($J312="",0,$K312*MAX(0,MIN(YEAR($C$3)*12+MONTH($C$3),YEAR($I312)*12+MONTH($I312))-(YEAR($H312)*12+MONTH($H312))+1))</f>
        <v/>
      </c>
      <c r="M312" s="66">
        <f>IF($J312="",0,$K312*MAX(0,MIN(YEAR($C$3)*12+MONTH($C$3)-1,YEAR($I312)*12+MONTH($I312))-(YEAR($H312)*12+MONTH($H312))+1))</f>
        <v/>
      </c>
      <c r="N312" s="66">
        <f>IF(OR($J312="",$B312=""),0,IF(YEAR($B312)*12+MONTH($B312)&lt;=YEAR($C$3)*12+MONTH($C$3),$G312,0))</f>
        <v/>
      </c>
      <c r="O312" s="66">
        <f>IF(OR($J312="",$B312=""),0,IF(YEAR($B312)*12+MONTH($B312)&lt;=YEAR($C$3)*12+MONTH($C$3)-1,$G312,0))</f>
        <v/>
      </c>
      <c r="P312" s="66">
        <f>$M312-$O312</f>
        <v/>
      </c>
      <c r="Q312" s="66">
        <f>($L312-$M312)-($N312-$O312)</f>
        <v/>
      </c>
      <c r="R312" s="66">
        <f>$L312-$N312</f>
        <v/>
      </c>
      <c r="S312" s="65">
        <f>"Finance invoice"</f>
        <v/>
      </c>
      <c r="T312" s="65">
        <f>"Revenue"</f>
        <v/>
      </c>
    </row>
    <row r="313">
      <c r="A313" s="63">
        <f>ROW()-5</f>
        <v/>
      </c>
      <c r="B313" s="64">
        <f>IFERROR(INDEX(tbl_Finance[Date],$A313),"")</f>
        <v/>
      </c>
      <c r="C313" s="65">
        <f>IFERROR(INDEX(tbl_Finance[Xero Invoice No],$A313),"")</f>
        <v/>
      </c>
      <c r="D313" s="65">
        <f>IFERROR(INDEX(tbl_Finance[Client],$A313),"")</f>
        <v/>
      </c>
      <c r="E313" s="65">
        <f>IFERROR(INDEX(tbl_Finance[Job Number],$A313),"")</f>
        <v/>
      </c>
      <c r="F313" s="65">
        <f>IFERROR(INDEX(tbl_Finance[Cost Centre],$A313),"")</f>
        <v/>
      </c>
      <c r="G313" s="66">
        <f>IFERROR(INDEX(tbl_Finance[Ex GST],$A313),"")</f>
        <v/>
      </c>
      <c r="H313" s="64">
        <f>IFERROR(INDEX(tbl_Finance[Defer Start],$A313),"")</f>
        <v/>
      </c>
      <c r="I313" s="64">
        <f>IFERROR(INDEX(tbl_Finance[Defer End],$A313),"")</f>
        <v/>
      </c>
      <c r="J313" s="63">
        <f>IF(OR($H313="",$I313="",$G313=""),"",MAX(1,(YEAR($I313)-YEAR($H313))*12+MONTH($I313)-MONTH($H313)+1))</f>
        <v/>
      </c>
      <c r="K313" s="66">
        <f>IF($J313="","",$G313/$J313)</f>
        <v/>
      </c>
      <c r="L313" s="66">
        <f>IF($J313="",0,$K313*MAX(0,MIN(YEAR($C$3)*12+MONTH($C$3),YEAR($I313)*12+MONTH($I313))-(YEAR($H313)*12+MONTH($H313))+1))</f>
        <v/>
      </c>
      <c r="M313" s="66">
        <f>IF($J313="",0,$K313*MAX(0,MIN(YEAR($C$3)*12+MONTH($C$3)-1,YEAR($I313)*12+MONTH($I313))-(YEAR($H313)*12+MONTH($H313))+1))</f>
        <v/>
      </c>
      <c r="N313" s="66">
        <f>IF(OR($J313="",$B313=""),0,IF(YEAR($B313)*12+MONTH($B313)&lt;=YEAR($C$3)*12+MONTH($C$3),$G313,0))</f>
        <v/>
      </c>
      <c r="O313" s="66">
        <f>IF(OR($J313="",$B313=""),0,IF(YEAR($B313)*12+MONTH($B313)&lt;=YEAR($C$3)*12+MONTH($C$3)-1,$G313,0))</f>
        <v/>
      </c>
      <c r="P313" s="66">
        <f>$M313-$O313</f>
        <v/>
      </c>
      <c r="Q313" s="66">
        <f>($L313-$M313)-($N313-$O313)</f>
        <v/>
      </c>
      <c r="R313" s="66">
        <f>$L313-$N313</f>
        <v/>
      </c>
      <c r="S313" s="65">
        <f>"Finance invoice"</f>
        <v/>
      </c>
      <c r="T313" s="65">
        <f>"Revenue"</f>
        <v/>
      </c>
    </row>
    <row r="314">
      <c r="A314" s="63">
        <f>ROW()-5</f>
        <v/>
      </c>
      <c r="B314" s="64">
        <f>IFERROR(INDEX(tbl_Finance[Date],$A314),"")</f>
        <v/>
      </c>
      <c r="C314" s="65">
        <f>IFERROR(INDEX(tbl_Finance[Xero Invoice No],$A314),"")</f>
        <v/>
      </c>
      <c r="D314" s="65">
        <f>IFERROR(INDEX(tbl_Finance[Client],$A314),"")</f>
        <v/>
      </c>
      <c r="E314" s="65">
        <f>IFERROR(INDEX(tbl_Finance[Job Number],$A314),"")</f>
        <v/>
      </c>
      <c r="F314" s="65">
        <f>IFERROR(INDEX(tbl_Finance[Cost Centre],$A314),"")</f>
        <v/>
      </c>
      <c r="G314" s="66">
        <f>IFERROR(INDEX(tbl_Finance[Ex GST],$A314),"")</f>
        <v/>
      </c>
      <c r="H314" s="64">
        <f>IFERROR(INDEX(tbl_Finance[Defer Start],$A314),"")</f>
        <v/>
      </c>
      <c r="I314" s="64">
        <f>IFERROR(INDEX(tbl_Finance[Defer End],$A314),"")</f>
        <v/>
      </c>
      <c r="J314" s="63">
        <f>IF(OR($H314="",$I314="",$G314=""),"",MAX(1,(YEAR($I314)-YEAR($H314))*12+MONTH($I314)-MONTH($H314)+1))</f>
        <v/>
      </c>
      <c r="K314" s="66">
        <f>IF($J314="","",$G314/$J314)</f>
        <v/>
      </c>
      <c r="L314" s="66">
        <f>IF($J314="",0,$K314*MAX(0,MIN(YEAR($C$3)*12+MONTH($C$3),YEAR($I314)*12+MONTH($I314))-(YEAR($H314)*12+MONTH($H314))+1))</f>
        <v/>
      </c>
      <c r="M314" s="66">
        <f>IF($J314="",0,$K314*MAX(0,MIN(YEAR($C$3)*12+MONTH($C$3)-1,YEAR($I314)*12+MONTH($I314))-(YEAR($H314)*12+MONTH($H314))+1))</f>
        <v/>
      </c>
      <c r="N314" s="66">
        <f>IF(OR($J314="",$B314=""),0,IF(YEAR($B314)*12+MONTH($B314)&lt;=YEAR($C$3)*12+MONTH($C$3),$G314,0))</f>
        <v/>
      </c>
      <c r="O314" s="66">
        <f>IF(OR($J314="",$B314=""),0,IF(YEAR($B314)*12+MONTH($B314)&lt;=YEAR($C$3)*12+MONTH($C$3)-1,$G314,0))</f>
        <v/>
      </c>
      <c r="P314" s="66">
        <f>$M314-$O314</f>
        <v/>
      </c>
      <c r="Q314" s="66">
        <f>($L314-$M314)-($N314-$O314)</f>
        <v/>
      </c>
      <c r="R314" s="66">
        <f>$L314-$N314</f>
        <v/>
      </c>
      <c r="S314" s="65">
        <f>"Finance invoice"</f>
        <v/>
      </c>
      <c r="T314" s="65">
        <f>"Revenue"</f>
        <v/>
      </c>
    </row>
    <row r="315">
      <c r="A315" s="63">
        <f>ROW()-5</f>
        <v/>
      </c>
      <c r="B315" s="64">
        <f>IFERROR(INDEX(tbl_Finance[Date],$A315),"")</f>
        <v/>
      </c>
      <c r="C315" s="65">
        <f>IFERROR(INDEX(tbl_Finance[Xero Invoice No],$A315),"")</f>
        <v/>
      </c>
      <c r="D315" s="65">
        <f>IFERROR(INDEX(tbl_Finance[Client],$A315),"")</f>
        <v/>
      </c>
      <c r="E315" s="65">
        <f>IFERROR(INDEX(tbl_Finance[Job Number],$A315),"")</f>
        <v/>
      </c>
      <c r="F315" s="65">
        <f>IFERROR(INDEX(tbl_Finance[Cost Centre],$A315),"")</f>
        <v/>
      </c>
      <c r="G315" s="66">
        <f>IFERROR(INDEX(tbl_Finance[Ex GST],$A315),"")</f>
        <v/>
      </c>
      <c r="H315" s="64">
        <f>IFERROR(INDEX(tbl_Finance[Defer Start],$A315),"")</f>
        <v/>
      </c>
      <c r="I315" s="64">
        <f>IFERROR(INDEX(tbl_Finance[Defer End],$A315),"")</f>
        <v/>
      </c>
      <c r="J315" s="63">
        <f>IF(OR($H315="",$I315="",$G315=""),"",MAX(1,(YEAR($I315)-YEAR($H315))*12+MONTH($I315)-MONTH($H315)+1))</f>
        <v/>
      </c>
      <c r="K315" s="66">
        <f>IF($J315="","",$G315/$J315)</f>
        <v/>
      </c>
      <c r="L315" s="66">
        <f>IF($J315="",0,$K315*MAX(0,MIN(YEAR($C$3)*12+MONTH($C$3),YEAR($I315)*12+MONTH($I315))-(YEAR($H315)*12+MONTH($H315))+1))</f>
        <v/>
      </c>
      <c r="M315" s="66">
        <f>IF($J315="",0,$K315*MAX(0,MIN(YEAR($C$3)*12+MONTH($C$3)-1,YEAR($I315)*12+MONTH($I315))-(YEAR($H315)*12+MONTH($H315))+1))</f>
        <v/>
      </c>
      <c r="N315" s="66">
        <f>IF(OR($J315="",$B315=""),0,IF(YEAR($B315)*12+MONTH($B315)&lt;=YEAR($C$3)*12+MONTH($C$3),$G315,0))</f>
        <v/>
      </c>
      <c r="O315" s="66">
        <f>IF(OR($J315="",$B315=""),0,IF(YEAR($B315)*12+MONTH($B315)&lt;=YEAR($C$3)*12+MONTH($C$3)-1,$G315,0))</f>
        <v/>
      </c>
      <c r="P315" s="66">
        <f>$M315-$O315</f>
        <v/>
      </c>
      <c r="Q315" s="66">
        <f>($L315-$M315)-($N315-$O315)</f>
        <v/>
      </c>
      <c r="R315" s="66">
        <f>$L315-$N315</f>
        <v/>
      </c>
      <c r="S315" s="65">
        <f>"Finance invoice"</f>
        <v/>
      </c>
      <c r="T315" s="65">
        <f>"Revenue"</f>
        <v/>
      </c>
    </row>
    <row r="316">
      <c r="A316" s="63">
        <f>ROW()-5</f>
        <v/>
      </c>
      <c r="B316" s="64">
        <f>IFERROR(INDEX(tbl_Finance[Date],$A316),"")</f>
        <v/>
      </c>
      <c r="C316" s="65">
        <f>IFERROR(INDEX(tbl_Finance[Xero Invoice No],$A316),"")</f>
        <v/>
      </c>
      <c r="D316" s="65">
        <f>IFERROR(INDEX(tbl_Finance[Client],$A316),"")</f>
        <v/>
      </c>
      <c r="E316" s="65">
        <f>IFERROR(INDEX(tbl_Finance[Job Number],$A316),"")</f>
        <v/>
      </c>
      <c r="F316" s="65">
        <f>IFERROR(INDEX(tbl_Finance[Cost Centre],$A316),"")</f>
        <v/>
      </c>
      <c r="G316" s="66">
        <f>IFERROR(INDEX(tbl_Finance[Ex GST],$A316),"")</f>
        <v/>
      </c>
      <c r="H316" s="64">
        <f>IFERROR(INDEX(tbl_Finance[Defer Start],$A316),"")</f>
        <v/>
      </c>
      <c r="I316" s="64">
        <f>IFERROR(INDEX(tbl_Finance[Defer End],$A316),"")</f>
        <v/>
      </c>
      <c r="J316" s="63">
        <f>IF(OR($H316="",$I316="",$G316=""),"",MAX(1,(YEAR($I316)-YEAR($H316))*12+MONTH($I316)-MONTH($H316)+1))</f>
        <v/>
      </c>
      <c r="K316" s="66">
        <f>IF($J316="","",$G316/$J316)</f>
        <v/>
      </c>
      <c r="L316" s="66">
        <f>IF($J316="",0,$K316*MAX(0,MIN(YEAR($C$3)*12+MONTH($C$3),YEAR($I316)*12+MONTH($I316))-(YEAR($H316)*12+MONTH($H316))+1))</f>
        <v/>
      </c>
      <c r="M316" s="66">
        <f>IF($J316="",0,$K316*MAX(0,MIN(YEAR($C$3)*12+MONTH($C$3)-1,YEAR($I316)*12+MONTH($I316))-(YEAR($H316)*12+MONTH($H316))+1))</f>
        <v/>
      </c>
      <c r="N316" s="66">
        <f>IF(OR($J316="",$B316=""),0,IF(YEAR($B316)*12+MONTH($B316)&lt;=YEAR($C$3)*12+MONTH($C$3),$G316,0))</f>
        <v/>
      </c>
      <c r="O316" s="66">
        <f>IF(OR($J316="",$B316=""),0,IF(YEAR($B316)*12+MONTH($B316)&lt;=YEAR($C$3)*12+MONTH($C$3)-1,$G316,0))</f>
        <v/>
      </c>
      <c r="P316" s="66">
        <f>$M316-$O316</f>
        <v/>
      </c>
      <c r="Q316" s="66">
        <f>($L316-$M316)-($N316-$O316)</f>
        <v/>
      </c>
      <c r="R316" s="66">
        <f>$L316-$N316</f>
        <v/>
      </c>
      <c r="S316" s="65">
        <f>"Finance invoice"</f>
        <v/>
      </c>
      <c r="T316" s="65">
        <f>"Revenue"</f>
        <v/>
      </c>
    </row>
    <row r="317">
      <c r="A317" s="63">
        <f>ROW()-5</f>
        <v/>
      </c>
      <c r="B317" s="64">
        <f>IFERROR(INDEX(tbl_Finance[Date],$A317),"")</f>
        <v/>
      </c>
      <c r="C317" s="65">
        <f>IFERROR(INDEX(tbl_Finance[Xero Invoice No],$A317),"")</f>
        <v/>
      </c>
      <c r="D317" s="65">
        <f>IFERROR(INDEX(tbl_Finance[Client],$A317),"")</f>
        <v/>
      </c>
      <c r="E317" s="65">
        <f>IFERROR(INDEX(tbl_Finance[Job Number],$A317),"")</f>
        <v/>
      </c>
      <c r="F317" s="65">
        <f>IFERROR(INDEX(tbl_Finance[Cost Centre],$A317),"")</f>
        <v/>
      </c>
      <c r="G317" s="66">
        <f>IFERROR(INDEX(tbl_Finance[Ex GST],$A317),"")</f>
        <v/>
      </c>
      <c r="H317" s="64">
        <f>IFERROR(INDEX(tbl_Finance[Defer Start],$A317),"")</f>
        <v/>
      </c>
      <c r="I317" s="64">
        <f>IFERROR(INDEX(tbl_Finance[Defer End],$A317),"")</f>
        <v/>
      </c>
      <c r="J317" s="63">
        <f>IF(OR($H317="",$I317="",$G317=""),"",MAX(1,(YEAR($I317)-YEAR($H317))*12+MONTH($I317)-MONTH($H317)+1))</f>
        <v/>
      </c>
      <c r="K317" s="66">
        <f>IF($J317="","",$G317/$J317)</f>
        <v/>
      </c>
      <c r="L317" s="66">
        <f>IF($J317="",0,$K317*MAX(0,MIN(YEAR($C$3)*12+MONTH($C$3),YEAR($I317)*12+MONTH($I317))-(YEAR($H317)*12+MONTH($H317))+1))</f>
        <v/>
      </c>
      <c r="M317" s="66">
        <f>IF($J317="",0,$K317*MAX(0,MIN(YEAR($C$3)*12+MONTH($C$3)-1,YEAR($I317)*12+MONTH($I317))-(YEAR($H317)*12+MONTH($H317))+1))</f>
        <v/>
      </c>
      <c r="N317" s="66">
        <f>IF(OR($J317="",$B317=""),0,IF(YEAR($B317)*12+MONTH($B317)&lt;=YEAR($C$3)*12+MONTH($C$3),$G317,0))</f>
        <v/>
      </c>
      <c r="O317" s="66">
        <f>IF(OR($J317="",$B317=""),0,IF(YEAR($B317)*12+MONTH($B317)&lt;=YEAR($C$3)*12+MONTH($C$3)-1,$G317,0))</f>
        <v/>
      </c>
      <c r="P317" s="66">
        <f>$M317-$O317</f>
        <v/>
      </c>
      <c r="Q317" s="66">
        <f>($L317-$M317)-($N317-$O317)</f>
        <v/>
      </c>
      <c r="R317" s="66">
        <f>$L317-$N317</f>
        <v/>
      </c>
      <c r="S317" s="65">
        <f>"Finance invoice"</f>
        <v/>
      </c>
      <c r="T317" s="65">
        <f>"Revenue"</f>
        <v/>
      </c>
    </row>
    <row r="318">
      <c r="A318" s="63">
        <f>ROW()-5</f>
        <v/>
      </c>
      <c r="B318" s="64">
        <f>IFERROR(INDEX(tbl_Finance[Date],$A318),"")</f>
        <v/>
      </c>
      <c r="C318" s="65">
        <f>IFERROR(INDEX(tbl_Finance[Xero Invoice No],$A318),"")</f>
        <v/>
      </c>
      <c r="D318" s="65">
        <f>IFERROR(INDEX(tbl_Finance[Client],$A318),"")</f>
        <v/>
      </c>
      <c r="E318" s="65">
        <f>IFERROR(INDEX(tbl_Finance[Job Number],$A318),"")</f>
        <v/>
      </c>
      <c r="F318" s="65">
        <f>IFERROR(INDEX(tbl_Finance[Cost Centre],$A318),"")</f>
        <v/>
      </c>
      <c r="G318" s="66">
        <f>IFERROR(INDEX(tbl_Finance[Ex GST],$A318),"")</f>
        <v/>
      </c>
      <c r="H318" s="64">
        <f>IFERROR(INDEX(tbl_Finance[Defer Start],$A318),"")</f>
        <v/>
      </c>
      <c r="I318" s="64">
        <f>IFERROR(INDEX(tbl_Finance[Defer End],$A318),"")</f>
        <v/>
      </c>
      <c r="J318" s="63">
        <f>IF(OR($H318="",$I318="",$G318=""),"",MAX(1,(YEAR($I318)-YEAR($H318))*12+MONTH($I318)-MONTH($H318)+1))</f>
        <v/>
      </c>
      <c r="K318" s="66">
        <f>IF($J318="","",$G318/$J318)</f>
        <v/>
      </c>
      <c r="L318" s="66">
        <f>IF($J318="",0,$K318*MAX(0,MIN(YEAR($C$3)*12+MONTH($C$3),YEAR($I318)*12+MONTH($I318))-(YEAR($H318)*12+MONTH($H318))+1))</f>
        <v/>
      </c>
      <c r="M318" s="66">
        <f>IF($J318="",0,$K318*MAX(0,MIN(YEAR($C$3)*12+MONTH($C$3)-1,YEAR($I318)*12+MONTH($I318))-(YEAR($H318)*12+MONTH($H318))+1))</f>
        <v/>
      </c>
      <c r="N318" s="66">
        <f>IF(OR($J318="",$B318=""),0,IF(YEAR($B318)*12+MONTH($B318)&lt;=YEAR($C$3)*12+MONTH($C$3),$G318,0))</f>
        <v/>
      </c>
      <c r="O318" s="66">
        <f>IF(OR($J318="",$B318=""),0,IF(YEAR($B318)*12+MONTH($B318)&lt;=YEAR($C$3)*12+MONTH($C$3)-1,$G318,0))</f>
        <v/>
      </c>
      <c r="P318" s="66">
        <f>$M318-$O318</f>
        <v/>
      </c>
      <c r="Q318" s="66">
        <f>($L318-$M318)-($N318-$O318)</f>
        <v/>
      </c>
      <c r="R318" s="66">
        <f>$L318-$N318</f>
        <v/>
      </c>
      <c r="S318" s="65">
        <f>"Finance invoice"</f>
        <v/>
      </c>
      <c r="T318" s="65">
        <f>"Revenue"</f>
        <v/>
      </c>
    </row>
    <row r="319">
      <c r="A319" s="63">
        <f>ROW()-5</f>
        <v/>
      </c>
      <c r="B319" s="64">
        <f>IFERROR(INDEX(tbl_Finance[Date],$A319),"")</f>
        <v/>
      </c>
      <c r="C319" s="65">
        <f>IFERROR(INDEX(tbl_Finance[Xero Invoice No],$A319),"")</f>
        <v/>
      </c>
      <c r="D319" s="65">
        <f>IFERROR(INDEX(tbl_Finance[Client],$A319),"")</f>
        <v/>
      </c>
      <c r="E319" s="65">
        <f>IFERROR(INDEX(tbl_Finance[Job Number],$A319),"")</f>
        <v/>
      </c>
      <c r="F319" s="65">
        <f>IFERROR(INDEX(tbl_Finance[Cost Centre],$A319),"")</f>
        <v/>
      </c>
      <c r="G319" s="66">
        <f>IFERROR(INDEX(tbl_Finance[Ex GST],$A319),"")</f>
        <v/>
      </c>
      <c r="H319" s="64">
        <f>IFERROR(INDEX(tbl_Finance[Defer Start],$A319),"")</f>
        <v/>
      </c>
      <c r="I319" s="64">
        <f>IFERROR(INDEX(tbl_Finance[Defer End],$A319),"")</f>
        <v/>
      </c>
      <c r="J319" s="63">
        <f>IF(OR($H319="",$I319="",$G319=""),"",MAX(1,(YEAR($I319)-YEAR($H319))*12+MONTH($I319)-MONTH($H319)+1))</f>
        <v/>
      </c>
      <c r="K319" s="66">
        <f>IF($J319="","",$G319/$J319)</f>
        <v/>
      </c>
      <c r="L319" s="66">
        <f>IF($J319="",0,$K319*MAX(0,MIN(YEAR($C$3)*12+MONTH($C$3),YEAR($I319)*12+MONTH($I319))-(YEAR($H319)*12+MONTH($H319))+1))</f>
        <v/>
      </c>
      <c r="M319" s="66">
        <f>IF($J319="",0,$K319*MAX(0,MIN(YEAR($C$3)*12+MONTH($C$3)-1,YEAR($I319)*12+MONTH($I319))-(YEAR($H319)*12+MONTH($H319))+1))</f>
        <v/>
      </c>
      <c r="N319" s="66">
        <f>IF(OR($J319="",$B319=""),0,IF(YEAR($B319)*12+MONTH($B319)&lt;=YEAR($C$3)*12+MONTH($C$3),$G319,0))</f>
        <v/>
      </c>
      <c r="O319" s="66">
        <f>IF(OR($J319="",$B319=""),0,IF(YEAR($B319)*12+MONTH($B319)&lt;=YEAR($C$3)*12+MONTH($C$3)-1,$G319,0))</f>
        <v/>
      </c>
      <c r="P319" s="66">
        <f>$M319-$O319</f>
        <v/>
      </c>
      <c r="Q319" s="66">
        <f>($L319-$M319)-($N319-$O319)</f>
        <v/>
      </c>
      <c r="R319" s="66">
        <f>$L319-$N319</f>
        <v/>
      </c>
      <c r="S319" s="65">
        <f>"Finance invoice"</f>
        <v/>
      </c>
      <c r="T319" s="65">
        <f>"Revenue"</f>
        <v/>
      </c>
    </row>
    <row r="320">
      <c r="A320" s="63">
        <f>ROW()-5</f>
        <v/>
      </c>
      <c r="B320" s="64">
        <f>IFERROR(INDEX(tbl_Finance[Date],$A320),"")</f>
        <v/>
      </c>
      <c r="C320" s="65">
        <f>IFERROR(INDEX(tbl_Finance[Xero Invoice No],$A320),"")</f>
        <v/>
      </c>
      <c r="D320" s="65">
        <f>IFERROR(INDEX(tbl_Finance[Client],$A320),"")</f>
        <v/>
      </c>
      <c r="E320" s="65">
        <f>IFERROR(INDEX(tbl_Finance[Job Number],$A320),"")</f>
        <v/>
      </c>
      <c r="F320" s="65">
        <f>IFERROR(INDEX(tbl_Finance[Cost Centre],$A320),"")</f>
        <v/>
      </c>
      <c r="G320" s="66">
        <f>IFERROR(INDEX(tbl_Finance[Ex GST],$A320),"")</f>
        <v/>
      </c>
      <c r="H320" s="64">
        <f>IFERROR(INDEX(tbl_Finance[Defer Start],$A320),"")</f>
        <v/>
      </c>
      <c r="I320" s="64">
        <f>IFERROR(INDEX(tbl_Finance[Defer End],$A320),"")</f>
        <v/>
      </c>
      <c r="J320" s="63">
        <f>IF(OR($H320="",$I320="",$G320=""),"",MAX(1,(YEAR($I320)-YEAR($H320))*12+MONTH($I320)-MONTH($H320)+1))</f>
        <v/>
      </c>
      <c r="K320" s="66">
        <f>IF($J320="","",$G320/$J320)</f>
        <v/>
      </c>
      <c r="L320" s="66">
        <f>IF($J320="",0,$K320*MAX(0,MIN(YEAR($C$3)*12+MONTH($C$3),YEAR($I320)*12+MONTH($I320))-(YEAR($H320)*12+MONTH($H320))+1))</f>
        <v/>
      </c>
      <c r="M320" s="66">
        <f>IF($J320="",0,$K320*MAX(0,MIN(YEAR($C$3)*12+MONTH($C$3)-1,YEAR($I320)*12+MONTH($I320))-(YEAR($H320)*12+MONTH($H320))+1))</f>
        <v/>
      </c>
      <c r="N320" s="66">
        <f>IF(OR($J320="",$B320=""),0,IF(YEAR($B320)*12+MONTH($B320)&lt;=YEAR($C$3)*12+MONTH($C$3),$G320,0))</f>
        <v/>
      </c>
      <c r="O320" s="66">
        <f>IF(OR($J320="",$B320=""),0,IF(YEAR($B320)*12+MONTH($B320)&lt;=YEAR($C$3)*12+MONTH($C$3)-1,$G320,0))</f>
        <v/>
      </c>
      <c r="P320" s="66">
        <f>$M320-$O320</f>
        <v/>
      </c>
      <c r="Q320" s="66">
        <f>($L320-$M320)-($N320-$O320)</f>
        <v/>
      </c>
      <c r="R320" s="66">
        <f>$L320-$N320</f>
        <v/>
      </c>
      <c r="S320" s="65">
        <f>"Finance invoice"</f>
        <v/>
      </c>
      <c r="T320" s="65">
        <f>"Revenue"</f>
        <v/>
      </c>
    </row>
    <row r="321">
      <c r="A321" s="63">
        <f>ROW()-5</f>
        <v/>
      </c>
      <c r="B321" s="64">
        <f>IFERROR(INDEX(tbl_Finance[Date],$A321),"")</f>
        <v/>
      </c>
      <c r="C321" s="65">
        <f>IFERROR(INDEX(tbl_Finance[Xero Invoice No],$A321),"")</f>
        <v/>
      </c>
      <c r="D321" s="65">
        <f>IFERROR(INDEX(tbl_Finance[Client],$A321),"")</f>
        <v/>
      </c>
      <c r="E321" s="65">
        <f>IFERROR(INDEX(tbl_Finance[Job Number],$A321),"")</f>
        <v/>
      </c>
      <c r="F321" s="65">
        <f>IFERROR(INDEX(tbl_Finance[Cost Centre],$A321),"")</f>
        <v/>
      </c>
      <c r="G321" s="66">
        <f>IFERROR(INDEX(tbl_Finance[Ex GST],$A321),"")</f>
        <v/>
      </c>
      <c r="H321" s="64">
        <f>IFERROR(INDEX(tbl_Finance[Defer Start],$A321),"")</f>
        <v/>
      </c>
      <c r="I321" s="64">
        <f>IFERROR(INDEX(tbl_Finance[Defer End],$A321),"")</f>
        <v/>
      </c>
      <c r="J321" s="63">
        <f>IF(OR($H321="",$I321="",$G321=""),"",MAX(1,(YEAR($I321)-YEAR($H321))*12+MONTH($I321)-MONTH($H321)+1))</f>
        <v/>
      </c>
      <c r="K321" s="66">
        <f>IF($J321="","",$G321/$J321)</f>
        <v/>
      </c>
      <c r="L321" s="66">
        <f>IF($J321="",0,$K321*MAX(0,MIN(YEAR($C$3)*12+MONTH($C$3),YEAR($I321)*12+MONTH($I321))-(YEAR($H321)*12+MONTH($H321))+1))</f>
        <v/>
      </c>
      <c r="M321" s="66">
        <f>IF($J321="",0,$K321*MAX(0,MIN(YEAR($C$3)*12+MONTH($C$3)-1,YEAR($I321)*12+MONTH($I321))-(YEAR($H321)*12+MONTH($H321))+1))</f>
        <v/>
      </c>
      <c r="N321" s="66">
        <f>IF(OR($J321="",$B321=""),0,IF(YEAR($B321)*12+MONTH($B321)&lt;=YEAR($C$3)*12+MONTH($C$3),$G321,0))</f>
        <v/>
      </c>
      <c r="O321" s="66">
        <f>IF(OR($J321="",$B321=""),0,IF(YEAR($B321)*12+MONTH($B321)&lt;=YEAR($C$3)*12+MONTH($C$3)-1,$G321,0))</f>
        <v/>
      </c>
      <c r="P321" s="66">
        <f>$M321-$O321</f>
        <v/>
      </c>
      <c r="Q321" s="66">
        <f>($L321-$M321)-($N321-$O321)</f>
        <v/>
      </c>
      <c r="R321" s="66">
        <f>$L321-$N321</f>
        <v/>
      </c>
      <c r="S321" s="65">
        <f>"Finance invoice"</f>
        <v/>
      </c>
      <c r="T321" s="65">
        <f>"Revenue"</f>
        <v/>
      </c>
    </row>
    <row r="322">
      <c r="A322" s="63">
        <f>ROW()-5</f>
        <v/>
      </c>
      <c r="B322" s="64">
        <f>IFERROR(INDEX(tbl_Finance[Date],$A322),"")</f>
        <v/>
      </c>
      <c r="C322" s="65">
        <f>IFERROR(INDEX(tbl_Finance[Xero Invoice No],$A322),"")</f>
        <v/>
      </c>
      <c r="D322" s="65">
        <f>IFERROR(INDEX(tbl_Finance[Client],$A322),"")</f>
        <v/>
      </c>
      <c r="E322" s="65">
        <f>IFERROR(INDEX(tbl_Finance[Job Number],$A322),"")</f>
        <v/>
      </c>
      <c r="F322" s="65">
        <f>IFERROR(INDEX(tbl_Finance[Cost Centre],$A322),"")</f>
        <v/>
      </c>
      <c r="G322" s="66">
        <f>IFERROR(INDEX(tbl_Finance[Ex GST],$A322),"")</f>
        <v/>
      </c>
      <c r="H322" s="64">
        <f>IFERROR(INDEX(tbl_Finance[Defer Start],$A322),"")</f>
        <v/>
      </c>
      <c r="I322" s="64">
        <f>IFERROR(INDEX(tbl_Finance[Defer End],$A322),"")</f>
        <v/>
      </c>
      <c r="J322" s="63">
        <f>IF(OR($H322="",$I322="",$G322=""),"",MAX(1,(YEAR($I322)-YEAR($H322))*12+MONTH($I322)-MONTH($H322)+1))</f>
        <v/>
      </c>
      <c r="K322" s="66">
        <f>IF($J322="","",$G322/$J322)</f>
        <v/>
      </c>
      <c r="L322" s="66">
        <f>IF($J322="",0,$K322*MAX(0,MIN(YEAR($C$3)*12+MONTH($C$3),YEAR($I322)*12+MONTH($I322))-(YEAR($H322)*12+MONTH($H322))+1))</f>
        <v/>
      </c>
      <c r="M322" s="66">
        <f>IF($J322="",0,$K322*MAX(0,MIN(YEAR($C$3)*12+MONTH($C$3)-1,YEAR($I322)*12+MONTH($I322))-(YEAR($H322)*12+MONTH($H322))+1))</f>
        <v/>
      </c>
      <c r="N322" s="66">
        <f>IF(OR($J322="",$B322=""),0,IF(YEAR($B322)*12+MONTH($B322)&lt;=YEAR($C$3)*12+MONTH($C$3),$G322,0))</f>
        <v/>
      </c>
      <c r="O322" s="66">
        <f>IF(OR($J322="",$B322=""),0,IF(YEAR($B322)*12+MONTH($B322)&lt;=YEAR($C$3)*12+MONTH($C$3)-1,$G322,0))</f>
        <v/>
      </c>
      <c r="P322" s="66">
        <f>$M322-$O322</f>
        <v/>
      </c>
      <c r="Q322" s="66">
        <f>($L322-$M322)-($N322-$O322)</f>
        <v/>
      </c>
      <c r="R322" s="66">
        <f>$L322-$N322</f>
        <v/>
      </c>
      <c r="S322" s="65">
        <f>"Finance invoice"</f>
        <v/>
      </c>
      <c r="T322" s="65">
        <f>"Revenue"</f>
        <v/>
      </c>
    </row>
    <row r="323">
      <c r="A323" s="63">
        <f>ROW()-5</f>
        <v/>
      </c>
      <c r="B323" s="64">
        <f>IFERROR(INDEX(tbl_Finance[Date],$A323),"")</f>
        <v/>
      </c>
      <c r="C323" s="65">
        <f>IFERROR(INDEX(tbl_Finance[Xero Invoice No],$A323),"")</f>
        <v/>
      </c>
      <c r="D323" s="65">
        <f>IFERROR(INDEX(tbl_Finance[Client],$A323),"")</f>
        <v/>
      </c>
      <c r="E323" s="65">
        <f>IFERROR(INDEX(tbl_Finance[Job Number],$A323),"")</f>
        <v/>
      </c>
      <c r="F323" s="65">
        <f>IFERROR(INDEX(tbl_Finance[Cost Centre],$A323),"")</f>
        <v/>
      </c>
      <c r="G323" s="66">
        <f>IFERROR(INDEX(tbl_Finance[Ex GST],$A323),"")</f>
        <v/>
      </c>
      <c r="H323" s="64">
        <f>IFERROR(INDEX(tbl_Finance[Defer Start],$A323),"")</f>
        <v/>
      </c>
      <c r="I323" s="64">
        <f>IFERROR(INDEX(tbl_Finance[Defer End],$A323),"")</f>
        <v/>
      </c>
      <c r="J323" s="63">
        <f>IF(OR($H323="",$I323="",$G323=""),"",MAX(1,(YEAR($I323)-YEAR($H323))*12+MONTH($I323)-MONTH($H323)+1))</f>
        <v/>
      </c>
      <c r="K323" s="66">
        <f>IF($J323="","",$G323/$J323)</f>
        <v/>
      </c>
      <c r="L323" s="66">
        <f>IF($J323="",0,$K323*MAX(0,MIN(YEAR($C$3)*12+MONTH($C$3),YEAR($I323)*12+MONTH($I323))-(YEAR($H323)*12+MONTH($H323))+1))</f>
        <v/>
      </c>
      <c r="M323" s="66">
        <f>IF($J323="",0,$K323*MAX(0,MIN(YEAR($C$3)*12+MONTH($C$3)-1,YEAR($I323)*12+MONTH($I323))-(YEAR($H323)*12+MONTH($H323))+1))</f>
        <v/>
      </c>
      <c r="N323" s="66">
        <f>IF(OR($J323="",$B323=""),0,IF(YEAR($B323)*12+MONTH($B323)&lt;=YEAR($C$3)*12+MONTH($C$3),$G323,0))</f>
        <v/>
      </c>
      <c r="O323" s="66">
        <f>IF(OR($J323="",$B323=""),0,IF(YEAR($B323)*12+MONTH($B323)&lt;=YEAR($C$3)*12+MONTH($C$3)-1,$G323,0))</f>
        <v/>
      </c>
      <c r="P323" s="66">
        <f>$M323-$O323</f>
        <v/>
      </c>
      <c r="Q323" s="66">
        <f>($L323-$M323)-($N323-$O323)</f>
        <v/>
      </c>
      <c r="R323" s="66">
        <f>$L323-$N323</f>
        <v/>
      </c>
      <c r="S323" s="65">
        <f>"Finance invoice"</f>
        <v/>
      </c>
      <c r="T323" s="65">
        <f>"Revenue"</f>
        <v/>
      </c>
    </row>
    <row r="324">
      <c r="A324" s="63">
        <f>ROW()-5</f>
        <v/>
      </c>
      <c r="B324" s="64">
        <f>IFERROR(INDEX(tbl_Finance[Date],$A324),"")</f>
        <v/>
      </c>
      <c r="C324" s="65">
        <f>IFERROR(INDEX(tbl_Finance[Xero Invoice No],$A324),"")</f>
        <v/>
      </c>
      <c r="D324" s="65">
        <f>IFERROR(INDEX(tbl_Finance[Client],$A324),"")</f>
        <v/>
      </c>
      <c r="E324" s="65">
        <f>IFERROR(INDEX(tbl_Finance[Job Number],$A324),"")</f>
        <v/>
      </c>
      <c r="F324" s="65">
        <f>IFERROR(INDEX(tbl_Finance[Cost Centre],$A324),"")</f>
        <v/>
      </c>
      <c r="G324" s="66">
        <f>IFERROR(INDEX(tbl_Finance[Ex GST],$A324),"")</f>
        <v/>
      </c>
      <c r="H324" s="64">
        <f>IFERROR(INDEX(tbl_Finance[Defer Start],$A324),"")</f>
        <v/>
      </c>
      <c r="I324" s="64">
        <f>IFERROR(INDEX(tbl_Finance[Defer End],$A324),"")</f>
        <v/>
      </c>
      <c r="J324" s="63">
        <f>IF(OR($H324="",$I324="",$G324=""),"",MAX(1,(YEAR($I324)-YEAR($H324))*12+MONTH($I324)-MONTH($H324)+1))</f>
        <v/>
      </c>
      <c r="K324" s="66">
        <f>IF($J324="","",$G324/$J324)</f>
        <v/>
      </c>
      <c r="L324" s="66">
        <f>IF($J324="",0,$K324*MAX(0,MIN(YEAR($C$3)*12+MONTH($C$3),YEAR($I324)*12+MONTH($I324))-(YEAR($H324)*12+MONTH($H324))+1))</f>
        <v/>
      </c>
      <c r="M324" s="66">
        <f>IF($J324="",0,$K324*MAX(0,MIN(YEAR($C$3)*12+MONTH($C$3)-1,YEAR($I324)*12+MONTH($I324))-(YEAR($H324)*12+MONTH($H324))+1))</f>
        <v/>
      </c>
      <c r="N324" s="66">
        <f>IF(OR($J324="",$B324=""),0,IF(YEAR($B324)*12+MONTH($B324)&lt;=YEAR($C$3)*12+MONTH($C$3),$G324,0))</f>
        <v/>
      </c>
      <c r="O324" s="66">
        <f>IF(OR($J324="",$B324=""),0,IF(YEAR($B324)*12+MONTH($B324)&lt;=YEAR($C$3)*12+MONTH($C$3)-1,$G324,0))</f>
        <v/>
      </c>
      <c r="P324" s="66">
        <f>$M324-$O324</f>
        <v/>
      </c>
      <c r="Q324" s="66">
        <f>($L324-$M324)-($N324-$O324)</f>
        <v/>
      </c>
      <c r="R324" s="66">
        <f>$L324-$N324</f>
        <v/>
      </c>
      <c r="S324" s="65">
        <f>"Finance invoice"</f>
        <v/>
      </c>
      <c r="T324" s="65">
        <f>"Revenue"</f>
        <v/>
      </c>
    </row>
    <row r="325">
      <c r="A325" s="63">
        <f>ROW()-5</f>
        <v/>
      </c>
      <c r="B325" s="64">
        <f>IFERROR(INDEX(tbl_Finance[Date],$A325),"")</f>
        <v/>
      </c>
      <c r="C325" s="65">
        <f>IFERROR(INDEX(tbl_Finance[Xero Invoice No],$A325),"")</f>
        <v/>
      </c>
      <c r="D325" s="65">
        <f>IFERROR(INDEX(tbl_Finance[Client],$A325),"")</f>
        <v/>
      </c>
      <c r="E325" s="65">
        <f>IFERROR(INDEX(tbl_Finance[Job Number],$A325),"")</f>
        <v/>
      </c>
      <c r="F325" s="65">
        <f>IFERROR(INDEX(tbl_Finance[Cost Centre],$A325),"")</f>
        <v/>
      </c>
      <c r="G325" s="66">
        <f>IFERROR(INDEX(tbl_Finance[Ex GST],$A325),"")</f>
        <v/>
      </c>
      <c r="H325" s="64">
        <f>IFERROR(INDEX(tbl_Finance[Defer Start],$A325),"")</f>
        <v/>
      </c>
      <c r="I325" s="64">
        <f>IFERROR(INDEX(tbl_Finance[Defer End],$A325),"")</f>
        <v/>
      </c>
      <c r="J325" s="63">
        <f>IF(OR($H325="",$I325="",$G325=""),"",MAX(1,(YEAR($I325)-YEAR($H325))*12+MONTH($I325)-MONTH($H325)+1))</f>
        <v/>
      </c>
      <c r="K325" s="66">
        <f>IF($J325="","",$G325/$J325)</f>
        <v/>
      </c>
      <c r="L325" s="66">
        <f>IF($J325="",0,$K325*MAX(0,MIN(YEAR($C$3)*12+MONTH($C$3),YEAR($I325)*12+MONTH($I325))-(YEAR($H325)*12+MONTH($H325))+1))</f>
        <v/>
      </c>
      <c r="M325" s="66">
        <f>IF($J325="",0,$K325*MAX(0,MIN(YEAR($C$3)*12+MONTH($C$3)-1,YEAR($I325)*12+MONTH($I325))-(YEAR($H325)*12+MONTH($H325))+1))</f>
        <v/>
      </c>
      <c r="N325" s="66">
        <f>IF(OR($J325="",$B325=""),0,IF(YEAR($B325)*12+MONTH($B325)&lt;=YEAR($C$3)*12+MONTH($C$3),$G325,0))</f>
        <v/>
      </c>
      <c r="O325" s="66">
        <f>IF(OR($J325="",$B325=""),0,IF(YEAR($B325)*12+MONTH($B325)&lt;=YEAR($C$3)*12+MONTH($C$3)-1,$G325,0))</f>
        <v/>
      </c>
      <c r="P325" s="66">
        <f>$M325-$O325</f>
        <v/>
      </c>
      <c r="Q325" s="66">
        <f>($L325-$M325)-($N325-$O325)</f>
        <v/>
      </c>
      <c r="R325" s="66">
        <f>$L325-$N325</f>
        <v/>
      </c>
      <c r="S325" s="65">
        <f>"Finance invoice"</f>
        <v/>
      </c>
      <c r="T325" s="65">
        <f>"Revenue"</f>
        <v/>
      </c>
    </row>
    <row r="326">
      <c r="A326" s="63">
        <f>ROW()-5</f>
        <v/>
      </c>
      <c r="B326" s="64">
        <f>IFERROR(INDEX(tbl_Finance[Date],$A326),"")</f>
        <v/>
      </c>
      <c r="C326" s="65">
        <f>IFERROR(INDEX(tbl_Finance[Xero Invoice No],$A326),"")</f>
        <v/>
      </c>
      <c r="D326" s="65">
        <f>IFERROR(INDEX(tbl_Finance[Client],$A326),"")</f>
        <v/>
      </c>
      <c r="E326" s="65">
        <f>IFERROR(INDEX(tbl_Finance[Job Number],$A326),"")</f>
        <v/>
      </c>
      <c r="F326" s="65">
        <f>IFERROR(INDEX(tbl_Finance[Cost Centre],$A326),"")</f>
        <v/>
      </c>
      <c r="G326" s="66">
        <f>IFERROR(INDEX(tbl_Finance[Ex GST],$A326),"")</f>
        <v/>
      </c>
      <c r="H326" s="64">
        <f>IFERROR(INDEX(tbl_Finance[Defer Start],$A326),"")</f>
        <v/>
      </c>
      <c r="I326" s="64">
        <f>IFERROR(INDEX(tbl_Finance[Defer End],$A326),"")</f>
        <v/>
      </c>
      <c r="J326" s="63">
        <f>IF(OR($H326="",$I326="",$G326=""),"",MAX(1,(YEAR($I326)-YEAR($H326))*12+MONTH($I326)-MONTH($H326)+1))</f>
        <v/>
      </c>
      <c r="K326" s="66">
        <f>IF($J326="","",$G326/$J326)</f>
        <v/>
      </c>
      <c r="L326" s="66">
        <f>IF($J326="",0,$K326*MAX(0,MIN(YEAR($C$3)*12+MONTH($C$3),YEAR($I326)*12+MONTH($I326))-(YEAR($H326)*12+MONTH($H326))+1))</f>
        <v/>
      </c>
      <c r="M326" s="66">
        <f>IF($J326="",0,$K326*MAX(0,MIN(YEAR($C$3)*12+MONTH($C$3)-1,YEAR($I326)*12+MONTH($I326))-(YEAR($H326)*12+MONTH($H326))+1))</f>
        <v/>
      </c>
      <c r="N326" s="66">
        <f>IF(OR($J326="",$B326=""),0,IF(YEAR($B326)*12+MONTH($B326)&lt;=YEAR($C$3)*12+MONTH($C$3),$G326,0))</f>
        <v/>
      </c>
      <c r="O326" s="66">
        <f>IF(OR($J326="",$B326=""),0,IF(YEAR($B326)*12+MONTH($B326)&lt;=YEAR($C$3)*12+MONTH($C$3)-1,$G326,0))</f>
        <v/>
      </c>
      <c r="P326" s="66">
        <f>$M326-$O326</f>
        <v/>
      </c>
      <c r="Q326" s="66">
        <f>($L326-$M326)-($N326-$O326)</f>
        <v/>
      </c>
      <c r="R326" s="66">
        <f>$L326-$N326</f>
        <v/>
      </c>
      <c r="S326" s="65">
        <f>"Finance invoice"</f>
        <v/>
      </c>
      <c r="T326" s="65">
        <f>"Revenue"</f>
        <v/>
      </c>
    </row>
    <row r="327">
      <c r="A327" s="63">
        <f>ROW()-5</f>
        <v/>
      </c>
      <c r="B327" s="64">
        <f>IFERROR(INDEX(tbl_Finance[Date],$A327),"")</f>
        <v/>
      </c>
      <c r="C327" s="65">
        <f>IFERROR(INDEX(tbl_Finance[Xero Invoice No],$A327),"")</f>
        <v/>
      </c>
      <c r="D327" s="65">
        <f>IFERROR(INDEX(tbl_Finance[Client],$A327),"")</f>
        <v/>
      </c>
      <c r="E327" s="65">
        <f>IFERROR(INDEX(tbl_Finance[Job Number],$A327),"")</f>
        <v/>
      </c>
      <c r="F327" s="65">
        <f>IFERROR(INDEX(tbl_Finance[Cost Centre],$A327),"")</f>
        <v/>
      </c>
      <c r="G327" s="66">
        <f>IFERROR(INDEX(tbl_Finance[Ex GST],$A327),"")</f>
        <v/>
      </c>
      <c r="H327" s="64">
        <f>IFERROR(INDEX(tbl_Finance[Defer Start],$A327),"")</f>
        <v/>
      </c>
      <c r="I327" s="64">
        <f>IFERROR(INDEX(tbl_Finance[Defer End],$A327),"")</f>
        <v/>
      </c>
      <c r="J327" s="63">
        <f>IF(OR($H327="",$I327="",$G327=""),"",MAX(1,(YEAR($I327)-YEAR($H327))*12+MONTH($I327)-MONTH($H327)+1))</f>
        <v/>
      </c>
      <c r="K327" s="66">
        <f>IF($J327="","",$G327/$J327)</f>
        <v/>
      </c>
      <c r="L327" s="66">
        <f>IF($J327="",0,$K327*MAX(0,MIN(YEAR($C$3)*12+MONTH($C$3),YEAR($I327)*12+MONTH($I327))-(YEAR($H327)*12+MONTH($H327))+1))</f>
        <v/>
      </c>
      <c r="M327" s="66">
        <f>IF($J327="",0,$K327*MAX(0,MIN(YEAR($C$3)*12+MONTH($C$3)-1,YEAR($I327)*12+MONTH($I327))-(YEAR($H327)*12+MONTH($H327))+1))</f>
        <v/>
      </c>
      <c r="N327" s="66">
        <f>IF(OR($J327="",$B327=""),0,IF(YEAR($B327)*12+MONTH($B327)&lt;=YEAR($C$3)*12+MONTH($C$3),$G327,0))</f>
        <v/>
      </c>
      <c r="O327" s="66">
        <f>IF(OR($J327="",$B327=""),0,IF(YEAR($B327)*12+MONTH($B327)&lt;=YEAR($C$3)*12+MONTH($C$3)-1,$G327,0))</f>
        <v/>
      </c>
      <c r="P327" s="66">
        <f>$M327-$O327</f>
        <v/>
      </c>
      <c r="Q327" s="66">
        <f>($L327-$M327)-($N327-$O327)</f>
        <v/>
      </c>
      <c r="R327" s="66">
        <f>$L327-$N327</f>
        <v/>
      </c>
      <c r="S327" s="65">
        <f>"Finance invoice"</f>
        <v/>
      </c>
      <c r="T327" s="65">
        <f>"Revenue"</f>
        <v/>
      </c>
    </row>
    <row r="328">
      <c r="A328" s="63">
        <f>ROW()-5</f>
        <v/>
      </c>
      <c r="B328" s="64">
        <f>IFERROR(INDEX(tbl_Finance[Date],$A328),"")</f>
        <v/>
      </c>
      <c r="C328" s="65">
        <f>IFERROR(INDEX(tbl_Finance[Xero Invoice No],$A328),"")</f>
        <v/>
      </c>
      <c r="D328" s="65">
        <f>IFERROR(INDEX(tbl_Finance[Client],$A328),"")</f>
        <v/>
      </c>
      <c r="E328" s="65">
        <f>IFERROR(INDEX(tbl_Finance[Job Number],$A328),"")</f>
        <v/>
      </c>
      <c r="F328" s="65">
        <f>IFERROR(INDEX(tbl_Finance[Cost Centre],$A328),"")</f>
        <v/>
      </c>
      <c r="G328" s="66">
        <f>IFERROR(INDEX(tbl_Finance[Ex GST],$A328),"")</f>
        <v/>
      </c>
      <c r="H328" s="64">
        <f>IFERROR(INDEX(tbl_Finance[Defer Start],$A328),"")</f>
        <v/>
      </c>
      <c r="I328" s="64">
        <f>IFERROR(INDEX(tbl_Finance[Defer End],$A328),"")</f>
        <v/>
      </c>
      <c r="J328" s="63">
        <f>IF(OR($H328="",$I328="",$G328=""),"",MAX(1,(YEAR($I328)-YEAR($H328))*12+MONTH($I328)-MONTH($H328)+1))</f>
        <v/>
      </c>
      <c r="K328" s="66">
        <f>IF($J328="","",$G328/$J328)</f>
        <v/>
      </c>
      <c r="L328" s="66">
        <f>IF($J328="",0,$K328*MAX(0,MIN(YEAR($C$3)*12+MONTH($C$3),YEAR($I328)*12+MONTH($I328))-(YEAR($H328)*12+MONTH($H328))+1))</f>
        <v/>
      </c>
      <c r="M328" s="66">
        <f>IF($J328="",0,$K328*MAX(0,MIN(YEAR($C$3)*12+MONTH($C$3)-1,YEAR($I328)*12+MONTH($I328))-(YEAR($H328)*12+MONTH($H328))+1))</f>
        <v/>
      </c>
      <c r="N328" s="66">
        <f>IF(OR($J328="",$B328=""),0,IF(YEAR($B328)*12+MONTH($B328)&lt;=YEAR($C$3)*12+MONTH($C$3),$G328,0))</f>
        <v/>
      </c>
      <c r="O328" s="66">
        <f>IF(OR($J328="",$B328=""),0,IF(YEAR($B328)*12+MONTH($B328)&lt;=YEAR($C$3)*12+MONTH($C$3)-1,$G328,0))</f>
        <v/>
      </c>
      <c r="P328" s="66">
        <f>$M328-$O328</f>
        <v/>
      </c>
      <c r="Q328" s="66">
        <f>($L328-$M328)-($N328-$O328)</f>
        <v/>
      </c>
      <c r="R328" s="66">
        <f>$L328-$N328</f>
        <v/>
      </c>
      <c r="S328" s="65">
        <f>"Finance invoice"</f>
        <v/>
      </c>
      <c r="T328" s="65">
        <f>"Revenue"</f>
        <v/>
      </c>
    </row>
    <row r="329">
      <c r="A329" s="63">
        <f>ROW()-5</f>
        <v/>
      </c>
      <c r="B329" s="64">
        <f>IFERROR(INDEX(tbl_Finance[Date],$A329),"")</f>
        <v/>
      </c>
      <c r="C329" s="65">
        <f>IFERROR(INDEX(tbl_Finance[Xero Invoice No],$A329),"")</f>
        <v/>
      </c>
      <c r="D329" s="65">
        <f>IFERROR(INDEX(tbl_Finance[Client],$A329),"")</f>
        <v/>
      </c>
      <c r="E329" s="65">
        <f>IFERROR(INDEX(tbl_Finance[Job Number],$A329),"")</f>
        <v/>
      </c>
      <c r="F329" s="65">
        <f>IFERROR(INDEX(tbl_Finance[Cost Centre],$A329),"")</f>
        <v/>
      </c>
      <c r="G329" s="66">
        <f>IFERROR(INDEX(tbl_Finance[Ex GST],$A329),"")</f>
        <v/>
      </c>
      <c r="H329" s="64">
        <f>IFERROR(INDEX(tbl_Finance[Defer Start],$A329),"")</f>
        <v/>
      </c>
      <c r="I329" s="64">
        <f>IFERROR(INDEX(tbl_Finance[Defer End],$A329),"")</f>
        <v/>
      </c>
      <c r="J329" s="63">
        <f>IF(OR($H329="",$I329="",$G329=""),"",MAX(1,(YEAR($I329)-YEAR($H329))*12+MONTH($I329)-MONTH($H329)+1))</f>
        <v/>
      </c>
      <c r="K329" s="66">
        <f>IF($J329="","",$G329/$J329)</f>
        <v/>
      </c>
      <c r="L329" s="66">
        <f>IF($J329="",0,$K329*MAX(0,MIN(YEAR($C$3)*12+MONTH($C$3),YEAR($I329)*12+MONTH($I329))-(YEAR($H329)*12+MONTH($H329))+1))</f>
        <v/>
      </c>
      <c r="M329" s="66">
        <f>IF($J329="",0,$K329*MAX(0,MIN(YEAR($C$3)*12+MONTH($C$3)-1,YEAR($I329)*12+MONTH($I329))-(YEAR($H329)*12+MONTH($H329))+1))</f>
        <v/>
      </c>
      <c r="N329" s="66">
        <f>IF(OR($J329="",$B329=""),0,IF(YEAR($B329)*12+MONTH($B329)&lt;=YEAR($C$3)*12+MONTH($C$3),$G329,0))</f>
        <v/>
      </c>
      <c r="O329" s="66">
        <f>IF(OR($J329="",$B329=""),0,IF(YEAR($B329)*12+MONTH($B329)&lt;=YEAR($C$3)*12+MONTH($C$3)-1,$G329,0))</f>
        <v/>
      </c>
      <c r="P329" s="66">
        <f>$M329-$O329</f>
        <v/>
      </c>
      <c r="Q329" s="66">
        <f>($L329-$M329)-($N329-$O329)</f>
        <v/>
      </c>
      <c r="R329" s="66">
        <f>$L329-$N329</f>
        <v/>
      </c>
      <c r="S329" s="65">
        <f>"Finance invoice"</f>
        <v/>
      </c>
      <c r="T329" s="65">
        <f>"Revenue"</f>
        <v/>
      </c>
    </row>
    <row r="330">
      <c r="A330" s="63">
        <f>ROW()-5</f>
        <v/>
      </c>
      <c r="B330" s="64">
        <f>IFERROR(INDEX(tbl_Finance[Date],$A330),"")</f>
        <v/>
      </c>
      <c r="C330" s="65">
        <f>IFERROR(INDEX(tbl_Finance[Xero Invoice No],$A330),"")</f>
        <v/>
      </c>
      <c r="D330" s="65">
        <f>IFERROR(INDEX(tbl_Finance[Client],$A330),"")</f>
        <v/>
      </c>
      <c r="E330" s="65">
        <f>IFERROR(INDEX(tbl_Finance[Job Number],$A330),"")</f>
        <v/>
      </c>
      <c r="F330" s="65">
        <f>IFERROR(INDEX(tbl_Finance[Cost Centre],$A330),"")</f>
        <v/>
      </c>
      <c r="G330" s="66">
        <f>IFERROR(INDEX(tbl_Finance[Ex GST],$A330),"")</f>
        <v/>
      </c>
      <c r="H330" s="64">
        <f>IFERROR(INDEX(tbl_Finance[Defer Start],$A330),"")</f>
        <v/>
      </c>
      <c r="I330" s="64">
        <f>IFERROR(INDEX(tbl_Finance[Defer End],$A330),"")</f>
        <v/>
      </c>
      <c r="J330" s="63">
        <f>IF(OR($H330="",$I330="",$G330=""),"",MAX(1,(YEAR($I330)-YEAR($H330))*12+MONTH($I330)-MONTH($H330)+1))</f>
        <v/>
      </c>
      <c r="K330" s="66">
        <f>IF($J330="","",$G330/$J330)</f>
        <v/>
      </c>
      <c r="L330" s="66">
        <f>IF($J330="",0,$K330*MAX(0,MIN(YEAR($C$3)*12+MONTH($C$3),YEAR($I330)*12+MONTH($I330))-(YEAR($H330)*12+MONTH($H330))+1))</f>
        <v/>
      </c>
      <c r="M330" s="66">
        <f>IF($J330="",0,$K330*MAX(0,MIN(YEAR($C$3)*12+MONTH($C$3)-1,YEAR($I330)*12+MONTH($I330))-(YEAR($H330)*12+MONTH($H330))+1))</f>
        <v/>
      </c>
      <c r="N330" s="66">
        <f>IF(OR($J330="",$B330=""),0,IF(YEAR($B330)*12+MONTH($B330)&lt;=YEAR($C$3)*12+MONTH($C$3),$G330,0))</f>
        <v/>
      </c>
      <c r="O330" s="66">
        <f>IF(OR($J330="",$B330=""),0,IF(YEAR($B330)*12+MONTH($B330)&lt;=YEAR($C$3)*12+MONTH($C$3)-1,$G330,0))</f>
        <v/>
      </c>
      <c r="P330" s="66">
        <f>$M330-$O330</f>
        <v/>
      </c>
      <c r="Q330" s="66">
        <f>($L330-$M330)-($N330-$O330)</f>
        <v/>
      </c>
      <c r="R330" s="66">
        <f>$L330-$N330</f>
        <v/>
      </c>
      <c r="S330" s="65">
        <f>"Finance invoice"</f>
        <v/>
      </c>
      <c r="T330" s="65">
        <f>"Revenue"</f>
        <v/>
      </c>
    </row>
    <row r="331">
      <c r="A331" s="63">
        <f>ROW()-5</f>
        <v/>
      </c>
      <c r="B331" s="64">
        <f>IFERROR(INDEX(tbl_Finance[Date],$A331),"")</f>
        <v/>
      </c>
      <c r="C331" s="65">
        <f>IFERROR(INDEX(tbl_Finance[Xero Invoice No],$A331),"")</f>
        <v/>
      </c>
      <c r="D331" s="65">
        <f>IFERROR(INDEX(tbl_Finance[Client],$A331),"")</f>
        <v/>
      </c>
      <c r="E331" s="65">
        <f>IFERROR(INDEX(tbl_Finance[Job Number],$A331),"")</f>
        <v/>
      </c>
      <c r="F331" s="65">
        <f>IFERROR(INDEX(tbl_Finance[Cost Centre],$A331),"")</f>
        <v/>
      </c>
      <c r="G331" s="66">
        <f>IFERROR(INDEX(tbl_Finance[Ex GST],$A331),"")</f>
        <v/>
      </c>
      <c r="H331" s="64">
        <f>IFERROR(INDEX(tbl_Finance[Defer Start],$A331),"")</f>
        <v/>
      </c>
      <c r="I331" s="64">
        <f>IFERROR(INDEX(tbl_Finance[Defer End],$A331),"")</f>
        <v/>
      </c>
      <c r="J331" s="63">
        <f>IF(OR($H331="",$I331="",$G331=""),"",MAX(1,(YEAR($I331)-YEAR($H331))*12+MONTH($I331)-MONTH($H331)+1))</f>
        <v/>
      </c>
      <c r="K331" s="66">
        <f>IF($J331="","",$G331/$J331)</f>
        <v/>
      </c>
      <c r="L331" s="66">
        <f>IF($J331="",0,$K331*MAX(0,MIN(YEAR($C$3)*12+MONTH($C$3),YEAR($I331)*12+MONTH($I331))-(YEAR($H331)*12+MONTH($H331))+1))</f>
        <v/>
      </c>
      <c r="M331" s="66">
        <f>IF($J331="",0,$K331*MAX(0,MIN(YEAR($C$3)*12+MONTH($C$3)-1,YEAR($I331)*12+MONTH($I331))-(YEAR($H331)*12+MONTH($H331))+1))</f>
        <v/>
      </c>
      <c r="N331" s="66">
        <f>IF(OR($J331="",$B331=""),0,IF(YEAR($B331)*12+MONTH($B331)&lt;=YEAR($C$3)*12+MONTH($C$3),$G331,0))</f>
        <v/>
      </c>
      <c r="O331" s="66">
        <f>IF(OR($J331="",$B331=""),0,IF(YEAR($B331)*12+MONTH($B331)&lt;=YEAR($C$3)*12+MONTH($C$3)-1,$G331,0))</f>
        <v/>
      </c>
      <c r="P331" s="66">
        <f>$M331-$O331</f>
        <v/>
      </c>
      <c r="Q331" s="66">
        <f>($L331-$M331)-($N331-$O331)</f>
        <v/>
      </c>
      <c r="R331" s="66">
        <f>$L331-$N331</f>
        <v/>
      </c>
      <c r="S331" s="65">
        <f>"Finance invoice"</f>
        <v/>
      </c>
      <c r="T331" s="65">
        <f>"Revenue"</f>
        <v/>
      </c>
    </row>
    <row r="332">
      <c r="A332" s="63">
        <f>ROW()-5</f>
        <v/>
      </c>
      <c r="B332" s="64">
        <f>IFERROR(INDEX(tbl_Finance[Date],$A332),"")</f>
        <v/>
      </c>
      <c r="C332" s="65">
        <f>IFERROR(INDEX(tbl_Finance[Xero Invoice No],$A332),"")</f>
        <v/>
      </c>
      <c r="D332" s="65">
        <f>IFERROR(INDEX(tbl_Finance[Client],$A332),"")</f>
        <v/>
      </c>
      <c r="E332" s="65">
        <f>IFERROR(INDEX(tbl_Finance[Job Number],$A332),"")</f>
        <v/>
      </c>
      <c r="F332" s="65">
        <f>IFERROR(INDEX(tbl_Finance[Cost Centre],$A332),"")</f>
        <v/>
      </c>
      <c r="G332" s="66">
        <f>IFERROR(INDEX(tbl_Finance[Ex GST],$A332),"")</f>
        <v/>
      </c>
      <c r="H332" s="64">
        <f>IFERROR(INDEX(tbl_Finance[Defer Start],$A332),"")</f>
        <v/>
      </c>
      <c r="I332" s="64">
        <f>IFERROR(INDEX(tbl_Finance[Defer End],$A332),"")</f>
        <v/>
      </c>
      <c r="J332" s="63">
        <f>IF(OR($H332="",$I332="",$G332=""),"",MAX(1,(YEAR($I332)-YEAR($H332))*12+MONTH($I332)-MONTH($H332)+1))</f>
        <v/>
      </c>
      <c r="K332" s="66">
        <f>IF($J332="","",$G332/$J332)</f>
        <v/>
      </c>
      <c r="L332" s="66">
        <f>IF($J332="",0,$K332*MAX(0,MIN(YEAR($C$3)*12+MONTH($C$3),YEAR($I332)*12+MONTH($I332))-(YEAR($H332)*12+MONTH($H332))+1))</f>
        <v/>
      </c>
      <c r="M332" s="66">
        <f>IF($J332="",0,$K332*MAX(0,MIN(YEAR($C$3)*12+MONTH($C$3)-1,YEAR($I332)*12+MONTH($I332))-(YEAR($H332)*12+MONTH($H332))+1))</f>
        <v/>
      </c>
      <c r="N332" s="66">
        <f>IF(OR($J332="",$B332=""),0,IF(YEAR($B332)*12+MONTH($B332)&lt;=YEAR($C$3)*12+MONTH($C$3),$G332,0))</f>
        <v/>
      </c>
      <c r="O332" s="66">
        <f>IF(OR($J332="",$B332=""),0,IF(YEAR($B332)*12+MONTH($B332)&lt;=YEAR($C$3)*12+MONTH($C$3)-1,$G332,0))</f>
        <v/>
      </c>
      <c r="P332" s="66">
        <f>$M332-$O332</f>
        <v/>
      </c>
      <c r="Q332" s="66">
        <f>($L332-$M332)-($N332-$O332)</f>
        <v/>
      </c>
      <c r="R332" s="66">
        <f>$L332-$N332</f>
        <v/>
      </c>
      <c r="S332" s="65">
        <f>"Finance invoice"</f>
        <v/>
      </c>
      <c r="T332" s="65">
        <f>"Revenue"</f>
        <v/>
      </c>
    </row>
    <row r="333">
      <c r="A333" s="63">
        <f>ROW()-5</f>
        <v/>
      </c>
      <c r="B333" s="64">
        <f>IFERROR(INDEX(tbl_Finance[Date],$A333),"")</f>
        <v/>
      </c>
      <c r="C333" s="65">
        <f>IFERROR(INDEX(tbl_Finance[Xero Invoice No],$A333),"")</f>
        <v/>
      </c>
      <c r="D333" s="65">
        <f>IFERROR(INDEX(tbl_Finance[Client],$A333),"")</f>
        <v/>
      </c>
      <c r="E333" s="65">
        <f>IFERROR(INDEX(tbl_Finance[Job Number],$A333),"")</f>
        <v/>
      </c>
      <c r="F333" s="65">
        <f>IFERROR(INDEX(tbl_Finance[Cost Centre],$A333),"")</f>
        <v/>
      </c>
      <c r="G333" s="66">
        <f>IFERROR(INDEX(tbl_Finance[Ex GST],$A333),"")</f>
        <v/>
      </c>
      <c r="H333" s="64">
        <f>IFERROR(INDEX(tbl_Finance[Defer Start],$A333),"")</f>
        <v/>
      </c>
      <c r="I333" s="64">
        <f>IFERROR(INDEX(tbl_Finance[Defer End],$A333),"")</f>
        <v/>
      </c>
      <c r="J333" s="63">
        <f>IF(OR($H333="",$I333="",$G333=""),"",MAX(1,(YEAR($I333)-YEAR($H333))*12+MONTH($I333)-MONTH($H333)+1))</f>
        <v/>
      </c>
      <c r="K333" s="66">
        <f>IF($J333="","",$G333/$J333)</f>
        <v/>
      </c>
      <c r="L333" s="66">
        <f>IF($J333="",0,$K333*MAX(0,MIN(YEAR($C$3)*12+MONTH($C$3),YEAR($I333)*12+MONTH($I333))-(YEAR($H333)*12+MONTH($H333))+1))</f>
        <v/>
      </c>
      <c r="M333" s="66">
        <f>IF($J333="",0,$K333*MAX(0,MIN(YEAR($C$3)*12+MONTH($C$3)-1,YEAR($I333)*12+MONTH($I333))-(YEAR($H333)*12+MONTH($H333))+1))</f>
        <v/>
      </c>
      <c r="N333" s="66">
        <f>IF(OR($J333="",$B333=""),0,IF(YEAR($B333)*12+MONTH($B333)&lt;=YEAR($C$3)*12+MONTH($C$3),$G333,0))</f>
        <v/>
      </c>
      <c r="O333" s="66">
        <f>IF(OR($J333="",$B333=""),0,IF(YEAR($B333)*12+MONTH($B333)&lt;=YEAR($C$3)*12+MONTH($C$3)-1,$G333,0))</f>
        <v/>
      </c>
      <c r="P333" s="66">
        <f>$M333-$O333</f>
        <v/>
      </c>
      <c r="Q333" s="66">
        <f>($L333-$M333)-($N333-$O333)</f>
        <v/>
      </c>
      <c r="R333" s="66">
        <f>$L333-$N333</f>
        <v/>
      </c>
      <c r="S333" s="65">
        <f>"Finance invoice"</f>
        <v/>
      </c>
      <c r="T333" s="65">
        <f>"Revenue"</f>
        <v/>
      </c>
    </row>
    <row r="334">
      <c r="A334" s="63">
        <f>ROW()-5</f>
        <v/>
      </c>
      <c r="B334" s="64">
        <f>IFERROR(INDEX(tbl_Finance[Date],$A334),"")</f>
        <v/>
      </c>
      <c r="C334" s="65">
        <f>IFERROR(INDEX(tbl_Finance[Xero Invoice No],$A334),"")</f>
        <v/>
      </c>
      <c r="D334" s="65">
        <f>IFERROR(INDEX(tbl_Finance[Client],$A334),"")</f>
        <v/>
      </c>
      <c r="E334" s="65">
        <f>IFERROR(INDEX(tbl_Finance[Job Number],$A334),"")</f>
        <v/>
      </c>
      <c r="F334" s="65">
        <f>IFERROR(INDEX(tbl_Finance[Cost Centre],$A334),"")</f>
        <v/>
      </c>
      <c r="G334" s="66">
        <f>IFERROR(INDEX(tbl_Finance[Ex GST],$A334),"")</f>
        <v/>
      </c>
      <c r="H334" s="64">
        <f>IFERROR(INDEX(tbl_Finance[Defer Start],$A334),"")</f>
        <v/>
      </c>
      <c r="I334" s="64">
        <f>IFERROR(INDEX(tbl_Finance[Defer End],$A334),"")</f>
        <v/>
      </c>
      <c r="J334" s="63">
        <f>IF(OR($H334="",$I334="",$G334=""),"",MAX(1,(YEAR($I334)-YEAR($H334))*12+MONTH($I334)-MONTH($H334)+1))</f>
        <v/>
      </c>
      <c r="K334" s="66">
        <f>IF($J334="","",$G334/$J334)</f>
        <v/>
      </c>
      <c r="L334" s="66">
        <f>IF($J334="",0,$K334*MAX(0,MIN(YEAR($C$3)*12+MONTH($C$3),YEAR($I334)*12+MONTH($I334))-(YEAR($H334)*12+MONTH($H334))+1))</f>
        <v/>
      </c>
      <c r="M334" s="66">
        <f>IF($J334="",0,$K334*MAX(0,MIN(YEAR($C$3)*12+MONTH($C$3)-1,YEAR($I334)*12+MONTH($I334))-(YEAR($H334)*12+MONTH($H334))+1))</f>
        <v/>
      </c>
      <c r="N334" s="66">
        <f>IF(OR($J334="",$B334=""),0,IF(YEAR($B334)*12+MONTH($B334)&lt;=YEAR($C$3)*12+MONTH($C$3),$G334,0))</f>
        <v/>
      </c>
      <c r="O334" s="66">
        <f>IF(OR($J334="",$B334=""),0,IF(YEAR($B334)*12+MONTH($B334)&lt;=YEAR($C$3)*12+MONTH($C$3)-1,$G334,0))</f>
        <v/>
      </c>
      <c r="P334" s="66">
        <f>$M334-$O334</f>
        <v/>
      </c>
      <c r="Q334" s="66">
        <f>($L334-$M334)-($N334-$O334)</f>
        <v/>
      </c>
      <c r="R334" s="66">
        <f>$L334-$N334</f>
        <v/>
      </c>
      <c r="S334" s="65">
        <f>"Finance invoice"</f>
        <v/>
      </c>
      <c r="T334" s="65">
        <f>"Revenue"</f>
        <v/>
      </c>
    </row>
    <row r="335">
      <c r="A335" s="63">
        <f>ROW()-5</f>
        <v/>
      </c>
      <c r="B335" s="64">
        <f>IFERROR(INDEX(tbl_Finance[Date],$A335),"")</f>
        <v/>
      </c>
      <c r="C335" s="65">
        <f>IFERROR(INDEX(tbl_Finance[Xero Invoice No],$A335),"")</f>
        <v/>
      </c>
      <c r="D335" s="65">
        <f>IFERROR(INDEX(tbl_Finance[Client],$A335),"")</f>
        <v/>
      </c>
      <c r="E335" s="65">
        <f>IFERROR(INDEX(tbl_Finance[Job Number],$A335),"")</f>
        <v/>
      </c>
      <c r="F335" s="65">
        <f>IFERROR(INDEX(tbl_Finance[Cost Centre],$A335),"")</f>
        <v/>
      </c>
      <c r="G335" s="66">
        <f>IFERROR(INDEX(tbl_Finance[Ex GST],$A335),"")</f>
        <v/>
      </c>
      <c r="H335" s="64">
        <f>IFERROR(INDEX(tbl_Finance[Defer Start],$A335),"")</f>
        <v/>
      </c>
      <c r="I335" s="64">
        <f>IFERROR(INDEX(tbl_Finance[Defer End],$A335),"")</f>
        <v/>
      </c>
      <c r="J335" s="63">
        <f>IF(OR($H335="",$I335="",$G335=""),"",MAX(1,(YEAR($I335)-YEAR($H335))*12+MONTH($I335)-MONTH($H335)+1))</f>
        <v/>
      </c>
      <c r="K335" s="66">
        <f>IF($J335="","",$G335/$J335)</f>
        <v/>
      </c>
      <c r="L335" s="66">
        <f>IF($J335="",0,$K335*MAX(0,MIN(YEAR($C$3)*12+MONTH($C$3),YEAR($I335)*12+MONTH($I335))-(YEAR($H335)*12+MONTH($H335))+1))</f>
        <v/>
      </c>
      <c r="M335" s="66">
        <f>IF($J335="",0,$K335*MAX(0,MIN(YEAR($C$3)*12+MONTH($C$3)-1,YEAR($I335)*12+MONTH($I335))-(YEAR($H335)*12+MONTH($H335))+1))</f>
        <v/>
      </c>
      <c r="N335" s="66">
        <f>IF(OR($J335="",$B335=""),0,IF(YEAR($B335)*12+MONTH($B335)&lt;=YEAR($C$3)*12+MONTH($C$3),$G335,0))</f>
        <v/>
      </c>
      <c r="O335" s="66">
        <f>IF(OR($J335="",$B335=""),0,IF(YEAR($B335)*12+MONTH($B335)&lt;=YEAR($C$3)*12+MONTH($C$3)-1,$G335,0))</f>
        <v/>
      </c>
      <c r="P335" s="66">
        <f>$M335-$O335</f>
        <v/>
      </c>
      <c r="Q335" s="66">
        <f>($L335-$M335)-($N335-$O335)</f>
        <v/>
      </c>
      <c r="R335" s="66">
        <f>$L335-$N335</f>
        <v/>
      </c>
      <c r="S335" s="65">
        <f>"Finance invoice"</f>
        <v/>
      </c>
      <c r="T335" s="65">
        <f>"Revenue"</f>
        <v/>
      </c>
    </row>
    <row r="336">
      <c r="A336" s="63">
        <f>ROW()-5</f>
        <v/>
      </c>
      <c r="B336" s="64">
        <f>IFERROR(INDEX(tbl_Finance[Date],$A336),"")</f>
        <v/>
      </c>
      <c r="C336" s="65">
        <f>IFERROR(INDEX(tbl_Finance[Xero Invoice No],$A336),"")</f>
        <v/>
      </c>
      <c r="D336" s="65">
        <f>IFERROR(INDEX(tbl_Finance[Client],$A336),"")</f>
        <v/>
      </c>
      <c r="E336" s="65">
        <f>IFERROR(INDEX(tbl_Finance[Job Number],$A336),"")</f>
        <v/>
      </c>
      <c r="F336" s="65">
        <f>IFERROR(INDEX(tbl_Finance[Cost Centre],$A336),"")</f>
        <v/>
      </c>
      <c r="G336" s="66">
        <f>IFERROR(INDEX(tbl_Finance[Ex GST],$A336),"")</f>
        <v/>
      </c>
      <c r="H336" s="64">
        <f>IFERROR(INDEX(tbl_Finance[Defer Start],$A336),"")</f>
        <v/>
      </c>
      <c r="I336" s="64">
        <f>IFERROR(INDEX(tbl_Finance[Defer End],$A336),"")</f>
        <v/>
      </c>
      <c r="J336" s="63">
        <f>IF(OR($H336="",$I336="",$G336=""),"",MAX(1,(YEAR($I336)-YEAR($H336))*12+MONTH($I336)-MONTH($H336)+1))</f>
        <v/>
      </c>
      <c r="K336" s="66">
        <f>IF($J336="","",$G336/$J336)</f>
        <v/>
      </c>
      <c r="L336" s="66">
        <f>IF($J336="",0,$K336*MAX(0,MIN(YEAR($C$3)*12+MONTH($C$3),YEAR($I336)*12+MONTH($I336))-(YEAR($H336)*12+MONTH($H336))+1))</f>
        <v/>
      </c>
      <c r="M336" s="66">
        <f>IF($J336="",0,$K336*MAX(0,MIN(YEAR($C$3)*12+MONTH($C$3)-1,YEAR($I336)*12+MONTH($I336))-(YEAR($H336)*12+MONTH($H336))+1))</f>
        <v/>
      </c>
      <c r="N336" s="66">
        <f>IF(OR($J336="",$B336=""),0,IF(YEAR($B336)*12+MONTH($B336)&lt;=YEAR($C$3)*12+MONTH($C$3),$G336,0))</f>
        <v/>
      </c>
      <c r="O336" s="66">
        <f>IF(OR($J336="",$B336=""),0,IF(YEAR($B336)*12+MONTH($B336)&lt;=YEAR($C$3)*12+MONTH($C$3)-1,$G336,0))</f>
        <v/>
      </c>
      <c r="P336" s="66">
        <f>$M336-$O336</f>
        <v/>
      </c>
      <c r="Q336" s="66">
        <f>($L336-$M336)-($N336-$O336)</f>
        <v/>
      </c>
      <c r="R336" s="66">
        <f>$L336-$N336</f>
        <v/>
      </c>
      <c r="S336" s="65">
        <f>"Finance invoice"</f>
        <v/>
      </c>
      <c r="T336" s="65">
        <f>"Revenue"</f>
        <v/>
      </c>
    </row>
    <row r="337">
      <c r="A337" s="63">
        <f>ROW()-5</f>
        <v/>
      </c>
      <c r="B337" s="64">
        <f>IFERROR(INDEX(tbl_Finance[Date],$A337),"")</f>
        <v/>
      </c>
      <c r="C337" s="65">
        <f>IFERROR(INDEX(tbl_Finance[Xero Invoice No],$A337),"")</f>
        <v/>
      </c>
      <c r="D337" s="65">
        <f>IFERROR(INDEX(tbl_Finance[Client],$A337),"")</f>
        <v/>
      </c>
      <c r="E337" s="65">
        <f>IFERROR(INDEX(tbl_Finance[Job Number],$A337),"")</f>
        <v/>
      </c>
      <c r="F337" s="65">
        <f>IFERROR(INDEX(tbl_Finance[Cost Centre],$A337),"")</f>
        <v/>
      </c>
      <c r="G337" s="66">
        <f>IFERROR(INDEX(tbl_Finance[Ex GST],$A337),"")</f>
        <v/>
      </c>
      <c r="H337" s="64">
        <f>IFERROR(INDEX(tbl_Finance[Defer Start],$A337),"")</f>
        <v/>
      </c>
      <c r="I337" s="64">
        <f>IFERROR(INDEX(tbl_Finance[Defer End],$A337),"")</f>
        <v/>
      </c>
      <c r="J337" s="63">
        <f>IF(OR($H337="",$I337="",$G337=""),"",MAX(1,(YEAR($I337)-YEAR($H337))*12+MONTH($I337)-MONTH($H337)+1))</f>
        <v/>
      </c>
      <c r="K337" s="66">
        <f>IF($J337="","",$G337/$J337)</f>
        <v/>
      </c>
      <c r="L337" s="66">
        <f>IF($J337="",0,$K337*MAX(0,MIN(YEAR($C$3)*12+MONTH($C$3),YEAR($I337)*12+MONTH($I337))-(YEAR($H337)*12+MONTH($H337))+1))</f>
        <v/>
      </c>
      <c r="M337" s="66">
        <f>IF($J337="",0,$K337*MAX(0,MIN(YEAR($C$3)*12+MONTH($C$3)-1,YEAR($I337)*12+MONTH($I337))-(YEAR($H337)*12+MONTH($H337))+1))</f>
        <v/>
      </c>
      <c r="N337" s="66">
        <f>IF(OR($J337="",$B337=""),0,IF(YEAR($B337)*12+MONTH($B337)&lt;=YEAR($C$3)*12+MONTH($C$3),$G337,0))</f>
        <v/>
      </c>
      <c r="O337" s="66">
        <f>IF(OR($J337="",$B337=""),0,IF(YEAR($B337)*12+MONTH($B337)&lt;=YEAR($C$3)*12+MONTH($C$3)-1,$G337,0))</f>
        <v/>
      </c>
      <c r="P337" s="66">
        <f>$M337-$O337</f>
        <v/>
      </c>
      <c r="Q337" s="66">
        <f>($L337-$M337)-($N337-$O337)</f>
        <v/>
      </c>
      <c r="R337" s="66">
        <f>$L337-$N337</f>
        <v/>
      </c>
      <c r="S337" s="65">
        <f>"Finance invoice"</f>
        <v/>
      </c>
      <c r="T337" s="65">
        <f>"Revenue"</f>
        <v/>
      </c>
    </row>
    <row r="338">
      <c r="A338" s="63">
        <f>ROW()-5</f>
        <v/>
      </c>
      <c r="B338" s="64">
        <f>IFERROR(INDEX(tbl_Finance[Date],$A338),"")</f>
        <v/>
      </c>
      <c r="C338" s="65">
        <f>IFERROR(INDEX(tbl_Finance[Xero Invoice No],$A338),"")</f>
        <v/>
      </c>
      <c r="D338" s="65">
        <f>IFERROR(INDEX(tbl_Finance[Client],$A338),"")</f>
        <v/>
      </c>
      <c r="E338" s="65">
        <f>IFERROR(INDEX(tbl_Finance[Job Number],$A338),"")</f>
        <v/>
      </c>
      <c r="F338" s="65">
        <f>IFERROR(INDEX(tbl_Finance[Cost Centre],$A338),"")</f>
        <v/>
      </c>
      <c r="G338" s="66">
        <f>IFERROR(INDEX(tbl_Finance[Ex GST],$A338),"")</f>
        <v/>
      </c>
      <c r="H338" s="64">
        <f>IFERROR(INDEX(tbl_Finance[Defer Start],$A338),"")</f>
        <v/>
      </c>
      <c r="I338" s="64">
        <f>IFERROR(INDEX(tbl_Finance[Defer End],$A338),"")</f>
        <v/>
      </c>
      <c r="J338" s="63">
        <f>IF(OR($H338="",$I338="",$G338=""),"",MAX(1,(YEAR($I338)-YEAR($H338))*12+MONTH($I338)-MONTH($H338)+1))</f>
        <v/>
      </c>
      <c r="K338" s="66">
        <f>IF($J338="","",$G338/$J338)</f>
        <v/>
      </c>
      <c r="L338" s="66">
        <f>IF($J338="",0,$K338*MAX(0,MIN(YEAR($C$3)*12+MONTH($C$3),YEAR($I338)*12+MONTH($I338))-(YEAR($H338)*12+MONTH($H338))+1))</f>
        <v/>
      </c>
      <c r="M338" s="66">
        <f>IF($J338="",0,$K338*MAX(0,MIN(YEAR($C$3)*12+MONTH($C$3)-1,YEAR($I338)*12+MONTH($I338))-(YEAR($H338)*12+MONTH($H338))+1))</f>
        <v/>
      </c>
      <c r="N338" s="66">
        <f>IF(OR($J338="",$B338=""),0,IF(YEAR($B338)*12+MONTH($B338)&lt;=YEAR($C$3)*12+MONTH($C$3),$G338,0))</f>
        <v/>
      </c>
      <c r="O338" s="66">
        <f>IF(OR($J338="",$B338=""),0,IF(YEAR($B338)*12+MONTH($B338)&lt;=YEAR($C$3)*12+MONTH($C$3)-1,$G338,0))</f>
        <v/>
      </c>
      <c r="P338" s="66">
        <f>$M338-$O338</f>
        <v/>
      </c>
      <c r="Q338" s="66">
        <f>($L338-$M338)-($N338-$O338)</f>
        <v/>
      </c>
      <c r="R338" s="66">
        <f>$L338-$N338</f>
        <v/>
      </c>
      <c r="S338" s="65">
        <f>"Finance invoice"</f>
        <v/>
      </c>
      <c r="T338" s="65">
        <f>"Revenue"</f>
        <v/>
      </c>
    </row>
    <row r="339">
      <c r="A339" s="63">
        <f>ROW()-5</f>
        <v/>
      </c>
      <c r="B339" s="64">
        <f>IFERROR(INDEX(tbl_Finance[Date],$A339),"")</f>
        <v/>
      </c>
      <c r="C339" s="65">
        <f>IFERROR(INDEX(tbl_Finance[Xero Invoice No],$A339),"")</f>
        <v/>
      </c>
      <c r="D339" s="65">
        <f>IFERROR(INDEX(tbl_Finance[Client],$A339),"")</f>
        <v/>
      </c>
      <c r="E339" s="65">
        <f>IFERROR(INDEX(tbl_Finance[Job Number],$A339),"")</f>
        <v/>
      </c>
      <c r="F339" s="65">
        <f>IFERROR(INDEX(tbl_Finance[Cost Centre],$A339),"")</f>
        <v/>
      </c>
      <c r="G339" s="66">
        <f>IFERROR(INDEX(tbl_Finance[Ex GST],$A339),"")</f>
        <v/>
      </c>
      <c r="H339" s="64">
        <f>IFERROR(INDEX(tbl_Finance[Defer Start],$A339),"")</f>
        <v/>
      </c>
      <c r="I339" s="64">
        <f>IFERROR(INDEX(tbl_Finance[Defer End],$A339),"")</f>
        <v/>
      </c>
      <c r="J339" s="63">
        <f>IF(OR($H339="",$I339="",$G339=""),"",MAX(1,(YEAR($I339)-YEAR($H339))*12+MONTH($I339)-MONTH($H339)+1))</f>
        <v/>
      </c>
      <c r="K339" s="66">
        <f>IF($J339="","",$G339/$J339)</f>
        <v/>
      </c>
      <c r="L339" s="66">
        <f>IF($J339="",0,$K339*MAX(0,MIN(YEAR($C$3)*12+MONTH($C$3),YEAR($I339)*12+MONTH($I339))-(YEAR($H339)*12+MONTH($H339))+1))</f>
        <v/>
      </c>
      <c r="M339" s="66">
        <f>IF($J339="",0,$K339*MAX(0,MIN(YEAR($C$3)*12+MONTH($C$3)-1,YEAR($I339)*12+MONTH($I339))-(YEAR($H339)*12+MONTH($H339))+1))</f>
        <v/>
      </c>
      <c r="N339" s="66">
        <f>IF(OR($J339="",$B339=""),0,IF(YEAR($B339)*12+MONTH($B339)&lt;=YEAR($C$3)*12+MONTH($C$3),$G339,0))</f>
        <v/>
      </c>
      <c r="O339" s="66">
        <f>IF(OR($J339="",$B339=""),0,IF(YEAR($B339)*12+MONTH($B339)&lt;=YEAR($C$3)*12+MONTH($C$3)-1,$G339,0))</f>
        <v/>
      </c>
      <c r="P339" s="66">
        <f>$M339-$O339</f>
        <v/>
      </c>
      <c r="Q339" s="66">
        <f>($L339-$M339)-($N339-$O339)</f>
        <v/>
      </c>
      <c r="R339" s="66">
        <f>$L339-$N339</f>
        <v/>
      </c>
      <c r="S339" s="65">
        <f>"Finance invoice"</f>
        <v/>
      </c>
      <c r="T339" s="65">
        <f>"Revenue"</f>
        <v/>
      </c>
    </row>
    <row r="340">
      <c r="A340" s="63">
        <f>ROW()-5</f>
        <v/>
      </c>
      <c r="B340" s="64">
        <f>IFERROR(INDEX(tbl_Finance[Date],$A340),"")</f>
        <v/>
      </c>
      <c r="C340" s="65">
        <f>IFERROR(INDEX(tbl_Finance[Xero Invoice No],$A340),"")</f>
        <v/>
      </c>
      <c r="D340" s="65">
        <f>IFERROR(INDEX(tbl_Finance[Client],$A340),"")</f>
        <v/>
      </c>
      <c r="E340" s="65">
        <f>IFERROR(INDEX(tbl_Finance[Job Number],$A340),"")</f>
        <v/>
      </c>
      <c r="F340" s="65">
        <f>IFERROR(INDEX(tbl_Finance[Cost Centre],$A340),"")</f>
        <v/>
      </c>
      <c r="G340" s="66">
        <f>IFERROR(INDEX(tbl_Finance[Ex GST],$A340),"")</f>
        <v/>
      </c>
      <c r="H340" s="64">
        <f>IFERROR(INDEX(tbl_Finance[Defer Start],$A340),"")</f>
        <v/>
      </c>
      <c r="I340" s="64">
        <f>IFERROR(INDEX(tbl_Finance[Defer End],$A340),"")</f>
        <v/>
      </c>
      <c r="J340" s="63">
        <f>IF(OR($H340="",$I340="",$G340=""),"",MAX(1,(YEAR($I340)-YEAR($H340))*12+MONTH($I340)-MONTH($H340)+1))</f>
        <v/>
      </c>
      <c r="K340" s="66">
        <f>IF($J340="","",$G340/$J340)</f>
        <v/>
      </c>
      <c r="L340" s="66">
        <f>IF($J340="",0,$K340*MAX(0,MIN(YEAR($C$3)*12+MONTH($C$3),YEAR($I340)*12+MONTH($I340))-(YEAR($H340)*12+MONTH($H340))+1))</f>
        <v/>
      </c>
      <c r="M340" s="66">
        <f>IF($J340="",0,$K340*MAX(0,MIN(YEAR($C$3)*12+MONTH($C$3)-1,YEAR($I340)*12+MONTH($I340))-(YEAR($H340)*12+MONTH($H340))+1))</f>
        <v/>
      </c>
      <c r="N340" s="66">
        <f>IF(OR($J340="",$B340=""),0,IF(YEAR($B340)*12+MONTH($B340)&lt;=YEAR($C$3)*12+MONTH($C$3),$G340,0))</f>
        <v/>
      </c>
      <c r="O340" s="66">
        <f>IF(OR($J340="",$B340=""),0,IF(YEAR($B340)*12+MONTH($B340)&lt;=YEAR($C$3)*12+MONTH($C$3)-1,$G340,0))</f>
        <v/>
      </c>
      <c r="P340" s="66">
        <f>$M340-$O340</f>
        <v/>
      </c>
      <c r="Q340" s="66">
        <f>($L340-$M340)-($N340-$O340)</f>
        <v/>
      </c>
      <c r="R340" s="66">
        <f>$L340-$N340</f>
        <v/>
      </c>
      <c r="S340" s="65">
        <f>"Finance invoice"</f>
        <v/>
      </c>
      <c r="T340" s="65">
        <f>"Revenue"</f>
        <v/>
      </c>
    </row>
    <row r="341">
      <c r="A341" s="63">
        <f>ROW()-5</f>
        <v/>
      </c>
      <c r="B341" s="64">
        <f>IFERROR(INDEX(tbl_Finance[Date],$A341),"")</f>
        <v/>
      </c>
      <c r="C341" s="65">
        <f>IFERROR(INDEX(tbl_Finance[Xero Invoice No],$A341),"")</f>
        <v/>
      </c>
      <c r="D341" s="65">
        <f>IFERROR(INDEX(tbl_Finance[Client],$A341),"")</f>
        <v/>
      </c>
      <c r="E341" s="65">
        <f>IFERROR(INDEX(tbl_Finance[Job Number],$A341),"")</f>
        <v/>
      </c>
      <c r="F341" s="65">
        <f>IFERROR(INDEX(tbl_Finance[Cost Centre],$A341),"")</f>
        <v/>
      </c>
      <c r="G341" s="66">
        <f>IFERROR(INDEX(tbl_Finance[Ex GST],$A341),"")</f>
        <v/>
      </c>
      <c r="H341" s="64">
        <f>IFERROR(INDEX(tbl_Finance[Defer Start],$A341),"")</f>
        <v/>
      </c>
      <c r="I341" s="64">
        <f>IFERROR(INDEX(tbl_Finance[Defer End],$A341),"")</f>
        <v/>
      </c>
      <c r="J341" s="63">
        <f>IF(OR($H341="",$I341="",$G341=""),"",MAX(1,(YEAR($I341)-YEAR($H341))*12+MONTH($I341)-MONTH($H341)+1))</f>
        <v/>
      </c>
      <c r="K341" s="66">
        <f>IF($J341="","",$G341/$J341)</f>
        <v/>
      </c>
      <c r="L341" s="66">
        <f>IF($J341="",0,$K341*MAX(0,MIN(YEAR($C$3)*12+MONTH($C$3),YEAR($I341)*12+MONTH($I341))-(YEAR($H341)*12+MONTH($H341))+1))</f>
        <v/>
      </c>
      <c r="M341" s="66">
        <f>IF($J341="",0,$K341*MAX(0,MIN(YEAR($C$3)*12+MONTH($C$3)-1,YEAR($I341)*12+MONTH($I341))-(YEAR($H341)*12+MONTH($H341))+1))</f>
        <v/>
      </c>
      <c r="N341" s="66">
        <f>IF(OR($J341="",$B341=""),0,IF(YEAR($B341)*12+MONTH($B341)&lt;=YEAR($C$3)*12+MONTH($C$3),$G341,0))</f>
        <v/>
      </c>
      <c r="O341" s="66">
        <f>IF(OR($J341="",$B341=""),0,IF(YEAR($B341)*12+MONTH($B341)&lt;=YEAR($C$3)*12+MONTH($C$3)-1,$G341,0))</f>
        <v/>
      </c>
      <c r="P341" s="66">
        <f>$M341-$O341</f>
        <v/>
      </c>
      <c r="Q341" s="66">
        <f>($L341-$M341)-($N341-$O341)</f>
        <v/>
      </c>
      <c r="R341" s="66">
        <f>$L341-$N341</f>
        <v/>
      </c>
      <c r="S341" s="65">
        <f>"Finance invoice"</f>
        <v/>
      </c>
      <c r="T341" s="65">
        <f>"Revenue"</f>
        <v/>
      </c>
    </row>
    <row r="342">
      <c r="A342" s="63">
        <f>ROW()-5</f>
        <v/>
      </c>
      <c r="B342" s="64">
        <f>IFERROR(INDEX(tbl_Finance[Date],$A342),"")</f>
        <v/>
      </c>
      <c r="C342" s="65">
        <f>IFERROR(INDEX(tbl_Finance[Xero Invoice No],$A342),"")</f>
        <v/>
      </c>
      <c r="D342" s="65">
        <f>IFERROR(INDEX(tbl_Finance[Client],$A342),"")</f>
        <v/>
      </c>
      <c r="E342" s="65">
        <f>IFERROR(INDEX(tbl_Finance[Job Number],$A342),"")</f>
        <v/>
      </c>
      <c r="F342" s="65">
        <f>IFERROR(INDEX(tbl_Finance[Cost Centre],$A342),"")</f>
        <v/>
      </c>
      <c r="G342" s="66">
        <f>IFERROR(INDEX(tbl_Finance[Ex GST],$A342),"")</f>
        <v/>
      </c>
      <c r="H342" s="64">
        <f>IFERROR(INDEX(tbl_Finance[Defer Start],$A342),"")</f>
        <v/>
      </c>
      <c r="I342" s="64">
        <f>IFERROR(INDEX(tbl_Finance[Defer End],$A342),"")</f>
        <v/>
      </c>
      <c r="J342" s="63">
        <f>IF(OR($H342="",$I342="",$G342=""),"",MAX(1,(YEAR($I342)-YEAR($H342))*12+MONTH($I342)-MONTH($H342)+1))</f>
        <v/>
      </c>
      <c r="K342" s="66">
        <f>IF($J342="","",$G342/$J342)</f>
        <v/>
      </c>
      <c r="L342" s="66">
        <f>IF($J342="",0,$K342*MAX(0,MIN(YEAR($C$3)*12+MONTH($C$3),YEAR($I342)*12+MONTH($I342))-(YEAR($H342)*12+MONTH($H342))+1))</f>
        <v/>
      </c>
      <c r="M342" s="66">
        <f>IF($J342="",0,$K342*MAX(0,MIN(YEAR($C$3)*12+MONTH($C$3)-1,YEAR($I342)*12+MONTH($I342))-(YEAR($H342)*12+MONTH($H342))+1))</f>
        <v/>
      </c>
      <c r="N342" s="66">
        <f>IF(OR($J342="",$B342=""),0,IF(YEAR($B342)*12+MONTH($B342)&lt;=YEAR($C$3)*12+MONTH($C$3),$G342,0))</f>
        <v/>
      </c>
      <c r="O342" s="66">
        <f>IF(OR($J342="",$B342=""),0,IF(YEAR($B342)*12+MONTH($B342)&lt;=YEAR($C$3)*12+MONTH($C$3)-1,$G342,0))</f>
        <v/>
      </c>
      <c r="P342" s="66">
        <f>$M342-$O342</f>
        <v/>
      </c>
      <c r="Q342" s="66">
        <f>($L342-$M342)-($N342-$O342)</f>
        <v/>
      </c>
      <c r="R342" s="66">
        <f>$L342-$N342</f>
        <v/>
      </c>
      <c r="S342" s="65">
        <f>"Finance invoice"</f>
        <v/>
      </c>
      <c r="T342" s="65">
        <f>"Revenue"</f>
        <v/>
      </c>
    </row>
    <row r="343">
      <c r="A343" s="63">
        <f>ROW()-5</f>
        <v/>
      </c>
      <c r="B343" s="64">
        <f>IFERROR(INDEX(tbl_Finance[Date],$A343),"")</f>
        <v/>
      </c>
      <c r="C343" s="65">
        <f>IFERROR(INDEX(tbl_Finance[Xero Invoice No],$A343),"")</f>
        <v/>
      </c>
      <c r="D343" s="65">
        <f>IFERROR(INDEX(tbl_Finance[Client],$A343),"")</f>
        <v/>
      </c>
      <c r="E343" s="65">
        <f>IFERROR(INDEX(tbl_Finance[Job Number],$A343),"")</f>
        <v/>
      </c>
      <c r="F343" s="65">
        <f>IFERROR(INDEX(tbl_Finance[Cost Centre],$A343),"")</f>
        <v/>
      </c>
      <c r="G343" s="66">
        <f>IFERROR(INDEX(tbl_Finance[Ex GST],$A343),"")</f>
        <v/>
      </c>
      <c r="H343" s="64">
        <f>IFERROR(INDEX(tbl_Finance[Defer Start],$A343),"")</f>
        <v/>
      </c>
      <c r="I343" s="64">
        <f>IFERROR(INDEX(tbl_Finance[Defer End],$A343),"")</f>
        <v/>
      </c>
      <c r="J343" s="63">
        <f>IF(OR($H343="",$I343="",$G343=""),"",MAX(1,(YEAR($I343)-YEAR($H343))*12+MONTH($I343)-MONTH($H343)+1))</f>
        <v/>
      </c>
      <c r="K343" s="66">
        <f>IF($J343="","",$G343/$J343)</f>
        <v/>
      </c>
      <c r="L343" s="66">
        <f>IF($J343="",0,$K343*MAX(0,MIN(YEAR($C$3)*12+MONTH($C$3),YEAR($I343)*12+MONTH($I343))-(YEAR($H343)*12+MONTH($H343))+1))</f>
        <v/>
      </c>
      <c r="M343" s="66">
        <f>IF($J343="",0,$K343*MAX(0,MIN(YEAR($C$3)*12+MONTH($C$3)-1,YEAR($I343)*12+MONTH($I343))-(YEAR($H343)*12+MONTH($H343))+1))</f>
        <v/>
      </c>
      <c r="N343" s="66">
        <f>IF(OR($J343="",$B343=""),0,IF(YEAR($B343)*12+MONTH($B343)&lt;=YEAR($C$3)*12+MONTH($C$3),$G343,0))</f>
        <v/>
      </c>
      <c r="O343" s="66">
        <f>IF(OR($J343="",$B343=""),0,IF(YEAR($B343)*12+MONTH($B343)&lt;=YEAR($C$3)*12+MONTH($C$3)-1,$G343,0))</f>
        <v/>
      </c>
      <c r="P343" s="66">
        <f>$M343-$O343</f>
        <v/>
      </c>
      <c r="Q343" s="66">
        <f>($L343-$M343)-($N343-$O343)</f>
        <v/>
      </c>
      <c r="R343" s="66">
        <f>$L343-$N343</f>
        <v/>
      </c>
      <c r="S343" s="65">
        <f>"Finance invoice"</f>
        <v/>
      </c>
      <c r="T343" s="65">
        <f>"Revenue"</f>
        <v/>
      </c>
    </row>
    <row r="344">
      <c r="A344" s="63">
        <f>ROW()-5</f>
        <v/>
      </c>
      <c r="B344" s="64">
        <f>IFERROR(INDEX(tbl_Finance[Date],$A344),"")</f>
        <v/>
      </c>
      <c r="C344" s="65">
        <f>IFERROR(INDEX(tbl_Finance[Xero Invoice No],$A344),"")</f>
        <v/>
      </c>
      <c r="D344" s="65">
        <f>IFERROR(INDEX(tbl_Finance[Client],$A344),"")</f>
        <v/>
      </c>
      <c r="E344" s="65">
        <f>IFERROR(INDEX(tbl_Finance[Job Number],$A344),"")</f>
        <v/>
      </c>
      <c r="F344" s="65">
        <f>IFERROR(INDEX(tbl_Finance[Cost Centre],$A344),"")</f>
        <v/>
      </c>
      <c r="G344" s="66">
        <f>IFERROR(INDEX(tbl_Finance[Ex GST],$A344),"")</f>
        <v/>
      </c>
      <c r="H344" s="64">
        <f>IFERROR(INDEX(tbl_Finance[Defer Start],$A344),"")</f>
        <v/>
      </c>
      <c r="I344" s="64">
        <f>IFERROR(INDEX(tbl_Finance[Defer End],$A344),"")</f>
        <v/>
      </c>
      <c r="J344" s="63">
        <f>IF(OR($H344="",$I344="",$G344=""),"",MAX(1,(YEAR($I344)-YEAR($H344))*12+MONTH($I344)-MONTH($H344)+1))</f>
        <v/>
      </c>
      <c r="K344" s="66">
        <f>IF($J344="","",$G344/$J344)</f>
        <v/>
      </c>
      <c r="L344" s="66">
        <f>IF($J344="",0,$K344*MAX(0,MIN(YEAR($C$3)*12+MONTH($C$3),YEAR($I344)*12+MONTH($I344))-(YEAR($H344)*12+MONTH($H344))+1))</f>
        <v/>
      </c>
      <c r="M344" s="66">
        <f>IF($J344="",0,$K344*MAX(0,MIN(YEAR($C$3)*12+MONTH($C$3)-1,YEAR($I344)*12+MONTH($I344))-(YEAR($H344)*12+MONTH($H344))+1))</f>
        <v/>
      </c>
      <c r="N344" s="66">
        <f>IF(OR($J344="",$B344=""),0,IF(YEAR($B344)*12+MONTH($B344)&lt;=YEAR($C$3)*12+MONTH($C$3),$G344,0))</f>
        <v/>
      </c>
      <c r="O344" s="66">
        <f>IF(OR($J344="",$B344=""),0,IF(YEAR($B344)*12+MONTH($B344)&lt;=YEAR($C$3)*12+MONTH($C$3)-1,$G344,0))</f>
        <v/>
      </c>
      <c r="P344" s="66">
        <f>$M344-$O344</f>
        <v/>
      </c>
      <c r="Q344" s="66">
        <f>($L344-$M344)-($N344-$O344)</f>
        <v/>
      </c>
      <c r="R344" s="66">
        <f>$L344-$N344</f>
        <v/>
      </c>
      <c r="S344" s="65">
        <f>"Finance invoice"</f>
        <v/>
      </c>
      <c r="T344" s="65">
        <f>"Revenue"</f>
        <v/>
      </c>
    </row>
    <row r="345">
      <c r="A345" s="63">
        <f>ROW()-5</f>
        <v/>
      </c>
      <c r="B345" s="64">
        <f>IFERROR(INDEX(tbl_Finance[Date],$A345),"")</f>
        <v/>
      </c>
      <c r="C345" s="65">
        <f>IFERROR(INDEX(tbl_Finance[Xero Invoice No],$A345),"")</f>
        <v/>
      </c>
      <c r="D345" s="65">
        <f>IFERROR(INDEX(tbl_Finance[Client],$A345),"")</f>
        <v/>
      </c>
      <c r="E345" s="65">
        <f>IFERROR(INDEX(tbl_Finance[Job Number],$A345),"")</f>
        <v/>
      </c>
      <c r="F345" s="65">
        <f>IFERROR(INDEX(tbl_Finance[Cost Centre],$A345),"")</f>
        <v/>
      </c>
      <c r="G345" s="66">
        <f>IFERROR(INDEX(tbl_Finance[Ex GST],$A345),"")</f>
        <v/>
      </c>
      <c r="H345" s="64">
        <f>IFERROR(INDEX(tbl_Finance[Defer Start],$A345),"")</f>
        <v/>
      </c>
      <c r="I345" s="64">
        <f>IFERROR(INDEX(tbl_Finance[Defer End],$A345),"")</f>
        <v/>
      </c>
      <c r="J345" s="63">
        <f>IF(OR($H345="",$I345="",$G345=""),"",MAX(1,(YEAR($I345)-YEAR($H345))*12+MONTH($I345)-MONTH($H345)+1))</f>
        <v/>
      </c>
      <c r="K345" s="66">
        <f>IF($J345="","",$G345/$J345)</f>
        <v/>
      </c>
      <c r="L345" s="66">
        <f>IF($J345="",0,$K345*MAX(0,MIN(YEAR($C$3)*12+MONTH($C$3),YEAR($I345)*12+MONTH($I345))-(YEAR($H345)*12+MONTH($H345))+1))</f>
        <v/>
      </c>
      <c r="M345" s="66">
        <f>IF($J345="",0,$K345*MAX(0,MIN(YEAR($C$3)*12+MONTH($C$3)-1,YEAR($I345)*12+MONTH($I345))-(YEAR($H345)*12+MONTH($H345))+1))</f>
        <v/>
      </c>
      <c r="N345" s="66">
        <f>IF(OR($J345="",$B345=""),0,IF(YEAR($B345)*12+MONTH($B345)&lt;=YEAR($C$3)*12+MONTH($C$3),$G345,0))</f>
        <v/>
      </c>
      <c r="O345" s="66">
        <f>IF(OR($J345="",$B345=""),0,IF(YEAR($B345)*12+MONTH($B345)&lt;=YEAR($C$3)*12+MONTH($C$3)-1,$G345,0))</f>
        <v/>
      </c>
      <c r="P345" s="66">
        <f>$M345-$O345</f>
        <v/>
      </c>
      <c r="Q345" s="66">
        <f>($L345-$M345)-($N345-$O345)</f>
        <v/>
      </c>
      <c r="R345" s="66">
        <f>$L345-$N345</f>
        <v/>
      </c>
      <c r="S345" s="65">
        <f>"Finance invoice"</f>
        <v/>
      </c>
      <c r="T345" s="65">
        <f>"Revenue"</f>
        <v/>
      </c>
    </row>
    <row r="346">
      <c r="A346" s="63">
        <f>ROW()-5</f>
        <v/>
      </c>
      <c r="B346" s="64">
        <f>IFERROR(INDEX(tbl_Finance[Date],$A346),"")</f>
        <v/>
      </c>
      <c r="C346" s="65">
        <f>IFERROR(INDEX(tbl_Finance[Xero Invoice No],$A346),"")</f>
        <v/>
      </c>
      <c r="D346" s="65">
        <f>IFERROR(INDEX(tbl_Finance[Client],$A346),"")</f>
        <v/>
      </c>
      <c r="E346" s="65">
        <f>IFERROR(INDEX(tbl_Finance[Job Number],$A346),"")</f>
        <v/>
      </c>
      <c r="F346" s="65">
        <f>IFERROR(INDEX(tbl_Finance[Cost Centre],$A346),"")</f>
        <v/>
      </c>
      <c r="G346" s="66">
        <f>IFERROR(INDEX(tbl_Finance[Ex GST],$A346),"")</f>
        <v/>
      </c>
      <c r="H346" s="64">
        <f>IFERROR(INDEX(tbl_Finance[Defer Start],$A346),"")</f>
        <v/>
      </c>
      <c r="I346" s="64">
        <f>IFERROR(INDEX(tbl_Finance[Defer End],$A346),"")</f>
        <v/>
      </c>
      <c r="J346" s="63">
        <f>IF(OR($H346="",$I346="",$G346=""),"",MAX(1,(YEAR($I346)-YEAR($H346))*12+MONTH($I346)-MONTH($H346)+1))</f>
        <v/>
      </c>
      <c r="K346" s="66">
        <f>IF($J346="","",$G346/$J346)</f>
        <v/>
      </c>
      <c r="L346" s="66">
        <f>IF($J346="",0,$K346*MAX(0,MIN(YEAR($C$3)*12+MONTH($C$3),YEAR($I346)*12+MONTH($I346))-(YEAR($H346)*12+MONTH($H346))+1))</f>
        <v/>
      </c>
      <c r="M346" s="66">
        <f>IF($J346="",0,$K346*MAX(0,MIN(YEAR($C$3)*12+MONTH($C$3)-1,YEAR($I346)*12+MONTH($I346))-(YEAR($H346)*12+MONTH($H346))+1))</f>
        <v/>
      </c>
      <c r="N346" s="66">
        <f>IF(OR($J346="",$B346=""),0,IF(YEAR($B346)*12+MONTH($B346)&lt;=YEAR($C$3)*12+MONTH($C$3),$G346,0))</f>
        <v/>
      </c>
      <c r="O346" s="66">
        <f>IF(OR($J346="",$B346=""),0,IF(YEAR($B346)*12+MONTH($B346)&lt;=YEAR($C$3)*12+MONTH($C$3)-1,$G346,0))</f>
        <v/>
      </c>
      <c r="P346" s="66">
        <f>$M346-$O346</f>
        <v/>
      </c>
      <c r="Q346" s="66">
        <f>($L346-$M346)-($N346-$O346)</f>
        <v/>
      </c>
      <c r="R346" s="66">
        <f>$L346-$N346</f>
        <v/>
      </c>
      <c r="S346" s="65">
        <f>"Finance invoice"</f>
        <v/>
      </c>
      <c r="T346" s="65">
        <f>"Revenue"</f>
        <v/>
      </c>
    </row>
    <row r="347">
      <c r="A347" s="63">
        <f>ROW()-5</f>
        <v/>
      </c>
      <c r="B347" s="64">
        <f>IFERROR(INDEX(tbl_Finance[Date],$A347),"")</f>
        <v/>
      </c>
      <c r="C347" s="65">
        <f>IFERROR(INDEX(tbl_Finance[Xero Invoice No],$A347),"")</f>
        <v/>
      </c>
      <c r="D347" s="65">
        <f>IFERROR(INDEX(tbl_Finance[Client],$A347),"")</f>
        <v/>
      </c>
      <c r="E347" s="65">
        <f>IFERROR(INDEX(tbl_Finance[Job Number],$A347),"")</f>
        <v/>
      </c>
      <c r="F347" s="65">
        <f>IFERROR(INDEX(tbl_Finance[Cost Centre],$A347),"")</f>
        <v/>
      </c>
      <c r="G347" s="66">
        <f>IFERROR(INDEX(tbl_Finance[Ex GST],$A347),"")</f>
        <v/>
      </c>
      <c r="H347" s="64">
        <f>IFERROR(INDEX(tbl_Finance[Defer Start],$A347),"")</f>
        <v/>
      </c>
      <c r="I347" s="64">
        <f>IFERROR(INDEX(tbl_Finance[Defer End],$A347),"")</f>
        <v/>
      </c>
      <c r="J347" s="63">
        <f>IF(OR($H347="",$I347="",$G347=""),"",MAX(1,(YEAR($I347)-YEAR($H347))*12+MONTH($I347)-MONTH($H347)+1))</f>
        <v/>
      </c>
      <c r="K347" s="66">
        <f>IF($J347="","",$G347/$J347)</f>
        <v/>
      </c>
      <c r="L347" s="66">
        <f>IF($J347="",0,$K347*MAX(0,MIN(YEAR($C$3)*12+MONTH($C$3),YEAR($I347)*12+MONTH($I347))-(YEAR($H347)*12+MONTH($H347))+1))</f>
        <v/>
      </c>
      <c r="M347" s="66">
        <f>IF($J347="",0,$K347*MAX(0,MIN(YEAR($C$3)*12+MONTH($C$3)-1,YEAR($I347)*12+MONTH($I347))-(YEAR($H347)*12+MONTH($H347))+1))</f>
        <v/>
      </c>
      <c r="N347" s="66">
        <f>IF(OR($J347="",$B347=""),0,IF(YEAR($B347)*12+MONTH($B347)&lt;=YEAR($C$3)*12+MONTH($C$3),$G347,0))</f>
        <v/>
      </c>
      <c r="O347" s="66">
        <f>IF(OR($J347="",$B347=""),0,IF(YEAR($B347)*12+MONTH($B347)&lt;=YEAR($C$3)*12+MONTH($C$3)-1,$G347,0))</f>
        <v/>
      </c>
      <c r="P347" s="66">
        <f>$M347-$O347</f>
        <v/>
      </c>
      <c r="Q347" s="66">
        <f>($L347-$M347)-($N347-$O347)</f>
        <v/>
      </c>
      <c r="R347" s="66">
        <f>$L347-$N347</f>
        <v/>
      </c>
      <c r="S347" s="65">
        <f>"Finance invoice"</f>
        <v/>
      </c>
      <c r="T347" s="65">
        <f>"Revenue"</f>
        <v/>
      </c>
    </row>
    <row r="348">
      <c r="A348" s="63">
        <f>ROW()-5</f>
        <v/>
      </c>
      <c r="B348" s="64">
        <f>IFERROR(INDEX(tbl_Finance[Date],$A348),"")</f>
        <v/>
      </c>
      <c r="C348" s="65">
        <f>IFERROR(INDEX(tbl_Finance[Xero Invoice No],$A348),"")</f>
        <v/>
      </c>
      <c r="D348" s="65">
        <f>IFERROR(INDEX(tbl_Finance[Client],$A348),"")</f>
        <v/>
      </c>
      <c r="E348" s="65">
        <f>IFERROR(INDEX(tbl_Finance[Job Number],$A348),"")</f>
        <v/>
      </c>
      <c r="F348" s="65">
        <f>IFERROR(INDEX(tbl_Finance[Cost Centre],$A348),"")</f>
        <v/>
      </c>
      <c r="G348" s="66">
        <f>IFERROR(INDEX(tbl_Finance[Ex GST],$A348),"")</f>
        <v/>
      </c>
      <c r="H348" s="64">
        <f>IFERROR(INDEX(tbl_Finance[Defer Start],$A348),"")</f>
        <v/>
      </c>
      <c r="I348" s="64">
        <f>IFERROR(INDEX(tbl_Finance[Defer End],$A348),"")</f>
        <v/>
      </c>
      <c r="J348" s="63">
        <f>IF(OR($H348="",$I348="",$G348=""),"",MAX(1,(YEAR($I348)-YEAR($H348))*12+MONTH($I348)-MONTH($H348)+1))</f>
        <v/>
      </c>
      <c r="K348" s="66">
        <f>IF($J348="","",$G348/$J348)</f>
        <v/>
      </c>
      <c r="L348" s="66">
        <f>IF($J348="",0,$K348*MAX(0,MIN(YEAR($C$3)*12+MONTH($C$3),YEAR($I348)*12+MONTH($I348))-(YEAR($H348)*12+MONTH($H348))+1))</f>
        <v/>
      </c>
      <c r="M348" s="66">
        <f>IF($J348="",0,$K348*MAX(0,MIN(YEAR($C$3)*12+MONTH($C$3)-1,YEAR($I348)*12+MONTH($I348))-(YEAR($H348)*12+MONTH($H348))+1))</f>
        <v/>
      </c>
      <c r="N348" s="66">
        <f>IF(OR($J348="",$B348=""),0,IF(YEAR($B348)*12+MONTH($B348)&lt;=YEAR($C$3)*12+MONTH($C$3),$G348,0))</f>
        <v/>
      </c>
      <c r="O348" s="66">
        <f>IF(OR($J348="",$B348=""),0,IF(YEAR($B348)*12+MONTH($B348)&lt;=YEAR($C$3)*12+MONTH($C$3)-1,$G348,0))</f>
        <v/>
      </c>
      <c r="P348" s="66">
        <f>$M348-$O348</f>
        <v/>
      </c>
      <c r="Q348" s="66">
        <f>($L348-$M348)-($N348-$O348)</f>
        <v/>
      </c>
      <c r="R348" s="66">
        <f>$L348-$N348</f>
        <v/>
      </c>
      <c r="S348" s="65">
        <f>"Finance invoice"</f>
        <v/>
      </c>
      <c r="T348" s="65">
        <f>"Revenue"</f>
        <v/>
      </c>
    </row>
    <row r="349">
      <c r="A349" s="63">
        <f>ROW()-5</f>
        <v/>
      </c>
      <c r="B349" s="64">
        <f>IFERROR(INDEX(tbl_Finance[Date],$A349),"")</f>
        <v/>
      </c>
      <c r="C349" s="65">
        <f>IFERROR(INDEX(tbl_Finance[Xero Invoice No],$A349),"")</f>
        <v/>
      </c>
      <c r="D349" s="65">
        <f>IFERROR(INDEX(tbl_Finance[Client],$A349),"")</f>
        <v/>
      </c>
      <c r="E349" s="65">
        <f>IFERROR(INDEX(tbl_Finance[Job Number],$A349),"")</f>
        <v/>
      </c>
      <c r="F349" s="65">
        <f>IFERROR(INDEX(tbl_Finance[Cost Centre],$A349),"")</f>
        <v/>
      </c>
      <c r="G349" s="66">
        <f>IFERROR(INDEX(tbl_Finance[Ex GST],$A349),"")</f>
        <v/>
      </c>
      <c r="H349" s="64">
        <f>IFERROR(INDEX(tbl_Finance[Defer Start],$A349),"")</f>
        <v/>
      </c>
      <c r="I349" s="64">
        <f>IFERROR(INDEX(tbl_Finance[Defer End],$A349),"")</f>
        <v/>
      </c>
      <c r="J349" s="63">
        <f>IF(OR($H349="",$I349="",$G349=""),"",MAX(1,(YEAR($I349)-YEAR($H349))*12+MONTH($I349)-MONTH($H349)+1))</f>
        <v/>
      </c>
      <c r="K349" s="66">
        <f>IF($J349="","",$G349/$J349)</f>
        <v/>
      </c>
      <c r="L349" s="66">
        <f>IF($J349="",0,$K349*MAX(0,MIN(YEAR($C$3)*12+MONTH($C$3),YEAR($I349)*12+MONTH($I349))-(YEAR($H349)*12+MONTH($H349))+1))</f>
        <v/>
      </c>
      <c r="M349" s="66">
        <f>IF($J349="",0,$K349*MAX(0,MIN(YEAR($C$3)*12+MONTH($C$3)-1,YEAR($I349)*12+MONTH($I349))-(YEAR($H349)*12+MONTH($H349))+1))</f>
        <v/>
      </c>
      <c r="N349" s="66">
        <f>IF(OR($J349="",$B349=""),0,IF(YEAR($B349)*12+MONTH($B349)&lt;=YEAR($C$3)*12+MONTH($C$3),$G349,0))</f>
        <v/>
      </c>
      <c r="O349" s="66">
        <f>IF(OR($J349="",$B349=""),0,IF(YEAR($B349)*12+MONTH($B349)&lt;=YEAR($C$3)*12+MONTH($C$3)-1,$G349,0))</f>
        <v/>
      </c>
      <c r="P349" s="66">
        <f>$M349-$O349</f>
        <v/>
      </c>
      <c r="Q349" s="66">
        <f>($L349-$M349)-($N349-$O349)</f>
        <v/>
      </c>
      <c r="R349" s="66">
        <f>$L349-$N349</f>
        <v/>
      </c>
      <c r="S349" s="65">
        <f>"Finance invoice"</f>
        <v/>
      </c>
      <c r="T349" s="65">
        <f>"Revenue"</f>
        <v/>
      </c>
    </row>
    <row r="350">
      <c r="A350" s="63">
        <f>ROW()-5</f>
        <v/>
      </c>
      <c r="B350" s="64">
        <f>IFERROR(INDEX(tbl_Finance[Date],$A350),"")</f>
        <v/>
      </c>
      <c r="C350" s="65">
        <f>IFERROR(INDEX(tbl_Finance[Xero Invoice No],$A350),"")</f>
        <v/>
      </c>
      <c r="D350" s="65">
        <f>IFERROR(INDEX(tbl_Finance[Client],$A350),"")</f>
        <v/>
      </c>
      <c r="E350" s="65">
        <f>IFERROR(INDEX(tbl_Finance[Job Number],$A350),"")</f>
        <v/>
      </c>
      <c r="F350" s="65">
        <f>IFERROR(INDEX(tbl_Finance[Cost Centre],$A350),"")</f>
        <v/>
      </c>
      <c r="G350" s="66">
        <f>IFERROR(INDEX(tbl_Finance[Ex GST],$A350),"")</f>
        <v/>
      </c>
      <c r="H350" s="64">
        <f>IFERROR(INDEX(tbl_Finance[Defer Start],$A350),"")</f>
        <v/>
      </c>
      <c r="I350" s="64">
        <f>IFERROR(INDEX(tbl_Finance[Defer End],$A350),"")</f>
        <v/>
      </c>
      <c r="J350" s="63">
        <f>IF(OR($H350="",$I350="",$G350=""),"",MAX(1,(YEAR($I350)-YEAR($H350))*12+MONTH($I350)-MONTH($H350)+1))</f>
        <v/>
      </c>
      <c r="K350" s="66">
        <f>IF($J350="","",$G350/$J350)</f>
        <v/>
      </c>
      <c r="L350" s="66">
        <f>IF($J350="",0,$K350*MAX(0,MIN(YEAR($C$3)*12+MONTH($C$3),YEAR($I350)*12+MONTH($I350))-(YEAR($H350)*12+MONTH($H350))+1))</f>
        <v/>
      </c>
      <c r="M350" s="66">
        <f>IF($J350="",0,$K350*MAX(0,MIN(YEAR($C$3)*12+MONTH($C$3)-1,YEAR($I350)*12+MONTH($I350))-(YEAR($H350)*12+MONTH($H350))+1))</f>
        <v/>
      </c>
      <c r="N350" s="66">
        <f>IF(OR($J350="",$B350=""),0,IF(YEAR($B350)*12+MONTH($B350)&lt;=YEAR($C$3)*12+MONTH($C$3),$G350,0))</f>
        <v/>
      </c>
      <c r="O350" s="66">
        <f>IF(OR($J350="",$B350=""),0,IF(YEAR($B350)*12+MONTH($B350)&lt;=YEAR($C$3)*12+MONTH($C$3)-1,$G350,0))</f>
        <v/>
      </c>
      <c r="P350" s="66">
        <f>$M350-$O350</f>
        <v/>
      </c>
      <c r="Q350" s="66">
        <f>($L350-$M350)-($N350-$O350)</f>
        <v/>
      </c>
      <c r="R350" s="66">
        <f>$L350-$N350</f>
        <v/>
      </c>
      <c r="S350" s="65">
        <f>"Finance invoice"</f>
        <v/>
      </c>
      <c r="T350" s="65">
        <f>"Revenue"</f>
        <v/>
      </c>
    </row>
    <row r="351">
      <c r="A351" s="63">
        <f>ROW()-5</f>
        <v/>
      </c>
      <c r="B351" s="64">
        <f>IFERROR(INDEX(tbl_Finance[Date],$A351),"")</f>
        <v/>
      </c>
      <c r="C351" s="65">
        <f>IFERROR(INDEX(tbl_Finance[Xero Invoice No],$A351),"")</f>
        <v/>
      </c>
      <c r="D351" s="65">
        <f>IFERROR(INDEX(tbl_Finance[Client],$A351),"")</f>
        <v/>
      </c>
      <c r="E351" s="65">
        <f>IFERROR(INDEX(tbl_Finance[Job Number],$A351),"")</f>
        <v/>
      </c>
      <c r="F351" s="65">
        <f>IFERROR(INDEX(tbl_Finance[Cost Centre],$A351),"")</f>
        <v/>
      </c>
      <c r="G351" s="66">
        <f>IFERROR(INDEX(tbl_Finance[Ex GST],$A351),"")</f>
        <v/>
      </c>
      <c r="H351" s="64">
        <f>IFERROR(INDEX(tbl_Finance[Defer Start],$A351),"")</f>
        <v/>
      </c>
      <c r="I351" s="64">
        <f>IFERROR(INDEX(tbl_Finance[Defer End],$A351),"")</f>
        <v/>
      </c>
      <c r="J351" s="63">
        <f>IF(OR($H351="",$I351="",$G351=""),"",MAX(1,(YEAR($I351)-YEAR($H351))*12+MONTH($I351)-MONTH($H351)+1))</f>
        <v/>
      </c>
      <c r="K351" s="66">
        <f>IF($J351="","",$G351/$J351)</f>
        <v/>
      </c>
      <c r="L351" s="66">
        <f>IF($J351="",0,$K351*MAX(0,MIN(YEAR($C$3)*12+MONTH($C$3),YEAR($I351)*12+MONTH($I351))-(YEAR($H351)*12+MONTH($H351))+1))</f>
        <v/>
      </c>
      <c r="M351" s="66">
        <f>IF($J351="",0,$K351*MAX(0,MIN(YEAR($C$3)*12+MONTH($C$3)-1,YEAR($I351)*12+MONTH($I351))-(YEAR($H351)*12+MONTH($H351))+1))</f>
        <v/>
      </c>
      <c r="N351" s="66">
        <f>IF(OR($J351="",$B351=""),0,IF(YEAR($B351)*12+MONTH($B351)&lt;=YEAR($C$3)*12+MONTH($C$3),$G351,0))</f>
        <v/>
      </c>
      <c r="O351" s="66">
        <f>IF(OR($J351="",$B351=""),0,IF(YEAR($B351)*12+MONTH($B351)&lt;=YEAR($C$3)*12+MONTH($C$3)-1,$G351,0))</f>
        <v/>
      </c>
      <c r="P351" s="66">
        <f>$M351-$O351</f>
        <v/>
      </c>
      <c r="Q351" s="66">
        <f>($L351-$M351)-($N351-$O351)</f>
        <v/>
      </c>
      <c r="R351" s="66">
        <f>$L351-$N351</f>
        <v/>
      </c>
      <c r="S351" s="65">
        <f>"Finance invoice"</f>
        <v/>
      </c>
      <c r="T351" s="65">
        <f>"Revenue"</f>
        <v/>
      </c>
    </row>
    <row r="352">
      <c r="A352" s="63">
        <f>ROW()-5</f>
        <v/>
      </c>
      <c r="B352" s="64">
        <f>IFERROR(INDEX(tbl_Finance[Date],$A352),"")</f>
        <v/>
      </c>
      <c r="C352" s="65">
        <f>IFERROR(INDEX(tbl_Finance[Xero Invoice No],$A352),"")</f>
        <v/>
      </c>
      <c r="D352" s="65">
        <f>IFERROR(INDEX(tbl_Finance[Client],$A352),"")</f>
        <v/>
      </c>
      <c r="E352" s="65">
        <f>IFERROR(INDEX(tbl_Finance[Job Number],$A352),"")</f>
        <v/>
      </c>
      <c r="F352" s="65">
        <f>IFERROR(INDEX(tbl_Finance[Cost Centre],$A352),"")</f>
        <v/>
      </c>
      <c r="G352" s="66">
        <f>IFERROR(INDEX(tbl_Finance[Ex GST],$A352),"")</f>
        <v/>
      </c>
      <c r="H352" s="64">
        <f>IFERROR(INDEX(tbl_Finance[Defer Start],$A352),"")</f>
        <v/>
      </c>
      <c r="I352" s="64">
        <f>IFERROR(INDEX(tbl_Finance[Defer End],$A352),"")</f>
        <v/>
      </c>
      <c r="J352" s="63">
        <f>IF(OR($H352="",$I352="",$G352=""),"",MAX(1,(YEAR($I352)-YEAR($H352))*12+MONTH($I352)-MONTH($H352)+1))</f>
        <v/>
      </c>
      <c r="K352" s="66">
        <f>IF($J352="","",$G352/$J352)</f>
        <v/>
      </c>
      <c r="L352" s="66">
        <f>IF($J352="",0,$K352*MAX(0,MIN(YEAR($C$3)*12+MONTH($C$3),YEAR($I352)*12+MONTH($I352))-(YEAR($H352)*12+MONTH($H352))+1))</f>
        <v/>
      </c>
      <c r="M352" s="66">
        <f>IF($J352="",0,$K352*MAX(0,MIN(YEAR($C$3)*12+MONTH($C$3)-1,YEAR($I352)*12+MONTH($I352))-(YEAR($H352)*12+MONTH($H352))+1))</f>
        <v/>
      </c>
      <c r="N352" s="66">
        <f>IF(OR($J352="",$B352=""),0,IF(YEAR($B352)*12+MONTH($B352)&lt;=YEAR($C$3)*12+MONTH($C$3),$G352,0))</f>
        <v/>
      </c>
      <c r="O352" s="66">
        <f>IF(OR($J352="",$B352=""),0,IF(YEAR($B352)*12+MONTH($B352)&lt;=YEAR($C$3)*12+MONTH($C$3)-1,$G352,0))</f>
        <v/>
      </c>
      <c r="P352" s="66">
        <f>$M352-$O352</f>
        <v/>
      </c>
      <c r="Q352" s="66">
        <f>($L352-$M352)-($N352-$O352)</f>
        <v/>
      </c>
      <c r="R352" s="66">
        <f>$L352-$N352</f>
        <v/>
      </c>
      <c r="S352" s="65">
        <f>"Finance invoice"</f>
        <v/>
      </c>
      <c r="T352" s="65">
        <f>"Revenue"</f>
        <v/>
      </c>
    </row>
    <row r="353">
      <c r="A353" s="63">
        <f>ROW()-5</f>
        <v/>
      </c>
      <c r="B353" s="64">
        <f>IFERROR(INDEX(tbl_Finance[Date],$A353),"")</f>
        <v/>
      </c>
      <c r="C353" s="65">
        <f>IFERROR(INDEX(tbl_Finance[Xero Invoice No],$A353),"")</f>
        <v/>
      </c>
      <c r="D353" s="65">
        <f>IFERROR(INDEX(tbl_Finance[Client],$A353),"")</f>
        <v/>
      </c>
      <c r="E353" s="65">
        <f>IFERROR(INDEX(tbl_Finance[Job Number],$A353),"")</f>
        <v/>
      </c>
      <c r="F353" s="65">
        <f>IFERROR(INDEX(tbl_Finance[Cost Centre],$A353),"")</f>
        <v/>
      </c>
      <c r="G353" s="66">
        <f>IFERROR(INDEX(tbl_Finance[Ex GST],$A353),"")</f>
        <v/>
      </c>
      <c r="H353" s="64">
        <f>IFERROR(INDEX(tbl_Finance[Defer Start],$A353),"")</f>
        <v/>
      </c>
      <c r="I353" s="64">
        <f>IFERROR(INDEX(tbl_Finance[Defer End],$A353),"")</f>
        <v/>
      </c>
      <c r="J353" s="63">
        <f>IF(OR($H353="",$I353="",$G353=""),"",MAX(1,(YEAR($I353)-YEAR($H353))*12+MONTH($I353)-MONTH($H353)+1))</f>
        <v/>
      </c>
      <c r="K353" s="66">
        <f>IF($J353="","",$G353/$J353)</f>
        <v/>
      </c>
      <c r="L353" s="66">
        <f>IF($J353="",0,$K353*MAX(0,MIN(YEAR($C$3)*12+MONTH($C$3),YEAR($I353)*12+MONTH($I353))-(YEAR($H353)*12+MONTH($H353))+1))</f>
        <v/>
      </c>
      <c r="M353" s="66">
        <f>IF($J353="",0,$K353*MAX(0,MIN(YEAR($C$3)*12+MONTH($C$3)-1,YEAR($I353)*12+MONTH($I353))-(YEAR($H353)*12+MONTH($H353))+1))</f>
        <v/>
      </c>
      <c r="N353" s="66">
        <f>IF(OR($J353="",$B353=""),0,IF(YEAR($B353)*12+MONTH($B353)&lt;=YEAR($C$3)*12+MONTH($C$3),$G353,0))</f>
        <v/>
      </c>
      <c r="O353" s="66">
        <f>IF(OR($J353="",$B353=""),0,IF(YEAR($B353)*12+MONTH($B353)&lt;=YEAR($C$3)*12+MONTH($C$3)-1,$G353,0))</f>
        <v/>
      </c>
      <c r="P353" s="66">
        <f>$M353-$O353</f>
        <v/>
      </c>
      <c r="Q353" s="66">
        <f>($L353-$M353)-($N353-$O353)</f>
        <v/>
      </c>
      <c r="R353" s="66">
        <f>$L353-$N353</f>
        <v/>
      </c>
      <c r="S353" s="65">
        <f>"Finance invoice"</f>
        <v/>
      </c>
      <c r="T353" s="65">
        <f>"Revenue"</f>
        <v/>
      </c>
    </row>
    <row r="354">
      <c r="A354" s="63">
        <f>ROW()-5</f>
        <v/>
      </c>
      <c r="B354" s="64">
        <f>IFERROR(INDEX(tbl_Finance[Date],$A354),"")</f>
        <v/>
      </c>
      <c r="C354" s="65">
        <f>IFERROR(INDEX(tbl_Finance[Xero Invoice No],$A354),"")</f>
        <v/>
      </c>
      <c r="D354" s="65">
        <f>IFERROR(INDEX(tbl_Finance[Client],$A354),"")</f>
        <v/>
      </c>
      <c r="E354" s="65">
        <f>IFERROR(INDEX(tbl_Finance[Job Number],$A354),"")</f>
        <v/>
      </c>
      <c r="F354" s="65">
        <f>IFERROR(INDEX(tbl_Finance[Cost Centre],$A354),"")</f>
        <v/>
      </c>
      <c r="G354" s="66">
        <f>IFERROR(INDEX(tbl_Finance[Ex GST],$A354),"")</f>
        <v/>
      </c>
      <c r="H354" s="64">
        <f>IFERROR(INDEX(tbl_Finance[Defer Start],$A354),"")</f>
        <v/>
      </c>
      <c r="I354" s="64">
        <f>IFERROR(INDEX(tbl_Finance[Defer End],$A354),"")</f>
        <v/>
      </c>
      <c r="J354" s="63">
        <f>IF(OR($H354="",$I354="",$G354=""),"",MAX(1,(YEAR($I354)-YEAR($H354))*12+MONTH($I354)-MONTH($H354)+1))</f>
        <v/>
      </c>
      <c r="K354" s="66">
        <f>IF($J354="","",$G354/$J354)</f>
        <v/>
      </c>
      <c r="L354" s="66">
        <f>IF($J354="",0,$K354*MAX(0,MIN(YEAR($C$3)*12+MONTH($C$3),YEAR($I354)*12+MONTH($I354))-(YEAR($H354)*12+MONTH($H354))+1))</f>
        <v/>
      </c>
      <c r="M354" s="66">
        <f>IF($J354="",0,$K354*MAX(0,MIN(YEAR($C$3)*12+MONTH($C$3)-1,YEAR($I354)*12+MONTH($I354))-(YEAR($H354)*12+MONTH($H354))+1))</f>
        <v/>
      </c>
      <c r="N354" s="66">
        <f>IF(OR($J354="",$B354=""),0,IF(YEAR($B354)*12+MONTH($B354)&lt;=YEAR($C$3)*12+MONTH($C$3),$G354,0))</f>
        <v/>
      </c>
      <c r="O354" s="66">
        <f>IF(OR($J354="",$B354=""),0,IF(YEAR($B354)*12+MONTH($B354)&lt;=YEAR($C$3)*12+MONTH($C$3)-1,$G354,0))</f>
        <v/>
      </c>
      <c r="P354" s="66">
        <f>$M354-$O354</f>
        <v/>
      </c>
      <c r="Q354" s="66">
        <f>($L354-$M354)-($N354-$O354)</f>
        <v/>
      </c>
      <c r="R354" s="66">
        <f>$L354-$N354</f>
        <v/>
      </c>
      <c r="S354" s="65">
        <f>"Finance invoice"</f>
        <v/>
      </c>
      <c r="T354" s="65">
        <f>"Revenue"</f>
        <v/>
      </c>
    </row>
    <row r="355">
      <c r="A355" s="63">
        <f>ROW()-5</f>
        <v/>
      </c>
      <c r="B355" s="64">
        <f>IFERROR(INDEX(tbl_Finance[Date],$A355),"")</f>
        <v/>
      </c>
      <c r="C355" s="65">
        <f>IFERROR(INDEX(tbl_Finance[Xero Invoice No],$A355),"")</f>
        <v/>
      </c>
      <c r="D355" s="65">
        <f>IFERROR(INDEX(tbl_Finance[Client],$A355),"")</f>
        <v/>
      </c>
      <c r="E355" s="65">
        <f>IFERROR(INDEX(tbl_Finance[Job Number],$A355),"")</f>
        <v/>
      </c>
      <c r="F355" s="65">
        <f>IFERROR(INDEX(tbl_Finance[Cost Centre],$A355),"")</f>
        <v/>
      </c>
      <c r="G355" s="66">
        <f>IFERROR(INDEX(tbl_Finance[Ex GST],$A355),"")</f>
        <v/>
      </c>
      <c r="H355" s="64">
        <f>IFERROR(INDEX(tbl_Finance[Defer Start],$A355),"")</f>
        <v/>
      </c>
      <c r="I355" s="64">
        <f>IFERROR(INDEX(tbl_Finance[Defer End],$A355),"")</f>
        <v/>
      </c>
      <c r="J355" s="63">
        <f>IF(OR($H355="",$I355="",$G355=""),"",MAX(1,(YEAR($I355)-YEAR($H355))*12+MONTH($I355)-MONTH($H355)+1))</f>
        <v/>
      </c>
      <c r="K355" s="66">
        <f>IF($J355="","",$G355/$J355)</f>
        <v/>
      </c>
      <c r="L355" s="66">
        <f>IF($J355="",0,$K355*MAX(0,MIN(YEAR($C$3)*12+MONTH($C$3),YEAR($I355)*12+MONTH($I355))-(YEAR($H355)*12+MONTH($H355))+1))</f>
        <v/>
      </c>
      <c r="M355" s="66">
        <f>IF($J355="",0,$K355*MAX(0,MIN(YEAR($C$3)*12+MONTH($C$3)-1,YEAR($I355)*12+MONTH($I355))-(YEAR($H355)*12+MONTH($H355))+1))</f>
        <v/>
      </c>
      <c r="N355" s="66">
        <f>IF(OR($J355="",$B355=""),0,IF(YEAR($B355)*12+MONTH($B355)&lt;=YEAR($C$3)*12+MONTH($C$3),$G355,0))</f>
        <v/>
      </c>
      <c r="O355" s="66">
        <f>IF(OR($J355="",$B355=""),0,IF(YEAR($B355)*12+MONTH($B355)&lt;=YEAR($C$3)*12+MONTH($C$3)-1,$G355,0))</f>
        <v/>
      </c>
      <c r="P355" s="66">
        <f>$M355-$O355</f>
        <v/>
      </c>
      <c r="Q355" s="66">
        <f>($L355-$M355)-($N355-$O355)</f>
        <v/>
      </c>
      <c r="R355" s="66">
        <f>$L355-$N355</f>
        <v/>
      </c>
      <c r="S355" s="65">
        <f>"Finance invoice"</f>
        <v/>
      </c>
      <c r="T355" s="65">
        <f>"Revenue"</f>
        <v/>
      </c>
    </row>
    <row r="356">
      <c r="A356" s="63">
        <f>ROW()-5</f>
        <v/>
      </c>
      <c r="B356" s="64">
        <f>IFERROR(INDEX(tbl_Finance[Date],$A356),"")</f>
        <v/>
      </c>
      <c r="C356" s="65">
        <f>IFERROR(INDEX(tbl_Finance[Xero Invoice No],$A356),"")</f>
        <v/>
      </c>
      <c r="D356" s="65">
        <f>IFERROR(INDEX(tbl_Finance[Client],$A356),"")</f>
        <v/>
      </c>
      <c r="E356" s="65">
        <f>IFERROR(INDEX(tbl_Finance[Job Number],$A356),"")</f>
        <v/>
      </c>
      <c r="F356" s="65">
        <f>IFERROR(INDEX(tbl_Finance[Cost Centre],$A356),"")</f>
        <v/>
      </c>
      <c r="G356" s="66">
        <f>IFERROR(INDEX(tbl_Finance[Ex GST],$A356),"")</f>
        <v/>
      </c>
      <c r="H356" s="64">
        <f>IFERROR(INDEX(tbl_Finance[Defer Start],$A356),"")</f>
        <v/>
      </c>
      <c r="I356" s="64">
        <f>IFERROR(INDEX(tbl_Finance[Defer End],$A356),"")</f>
        <v/>
      </c>
      <c r="J356" s="63">
        <f>IF(OR($H356="",$I356="",$G356=""),"",MAX(1,(YEAR($I356)-YEAR($H356))*12+MONTH($I356)-MONTH($H356)+1))</f>
        <v/>
      </c>
      <c r="K356" s="66">
        <f>IF($J356="","",$G356/$J356)</f>
        <v/>
      </c>
      <c r="L356" s="66">
        <f>IF($J356="",0,$K356*MAX(0,MIN(YEAR($C$3)*12+MONTH($C$3),YEAR($I356)*12+MONTH($I356))-(YEAR($H356)*12+MONTH($H356))+1))</f>
        <v/>
      </c>
      <c r="M356" s="66">
        <f>IF($J356="",0,$K356*MAX(0,MIN(YEAR($C$3)*12+MONTH($C$3)-1,YEAR($I356)*12+MONTH($I356))-(YEAR($H356)*12+MONTH($H356))+1))</f>
        <v/>
      </c>
      <c r="N356" s="66">
        <f>IF(OR($J356="",$B356=""),0,IF(YEAR($B356)*12+MONTH($B356)&lt;=YEAR($C$3)*12+MONTH($C$3),$G356,0))</f>
        <v/>
      </c>
      <c r="O356" s="66">
        <f>IF(OR($J356="",$B356=""),0,IF(YEAR($B356)*12+MONTH($B356)&lt;=YEAR($C$3)*12+MONTH($C$3)-1,$G356,0))</f>
        <v/>
      </c>
      <c r="P356" s="66">
        <f>$M356-$O356</f>
        <v/>
      </c>
      <c r="Q356" s="66">
        <f>($L356-$M356)-($N356-$O356)</f>
        <v/>
      </c>
      <c r="R356" s="66">
        <f>$L356-$N356</f>
        <v/>
      </c>
      <c r="S356" s="65">
        <f>"Finance invoice"</f>
        <v/>
      </c>
      <c r="T356" s="65">
        <f>"Revenue"</f>
        <v/>
      </c>
    </row>
    <row r="357">
      <c r="A357" s="63">
        <f>ROW()-5</f>
        <v/>
      </c>
      <c r="B357" s="64">
        <f>IFERROR(INDEX(tbl_Finance[Date],$A357),"")</f>
        <v/>
      </c>
      <c r="C357" s="65">
        <f>IFERROR(INDEX(tbl_Finance[Xero Invoice No],$A357),"")</f>
        <v/>
      </c>
      <c r="D357" s="65">
        <f>IFERROR(INDEX(tbl_Finance[Client],$A357),"")</f>
        <v/>
      </c>
      <c r="E357" s="65">
        <f>IFERROR(INDEX(tbl_Finance[Job Number],$A357),"")</f>
        <v/>
      </c>
      <c r="F357" s="65">
        <f>IFERROR(INDEX(tbl_Finance[Cost Centre],$A357),"")</f>
        <v/>
      </c>
      <c r="G357" s="66">
        <f>IFERROR(INDEX(tbl_Finance[Ex GST],$A357),"")</f>
        <v/>
      </c>
      <c r="H357" s="64">
        <f>IFERROR(INDEX(tbl_Finance[Defer Start],$A357),"")</f>
        <v/>
      </c>
      <c r="I357" s="64">
        <f>IFERROR(INDEX(tbl_Finance[Defer End],$A357),"")</f>
        <v/>
      </c>
      <c r="J357" s="63">
        <f>IF(OR($H357="",$I357="",$G357=""),"",MAX(1,(YEAR($I357)-YEAR($H357))*12+MONTH($I357)-MONTH($H357)+1))</f>
        <v/>
      </c>
      <c r="K357" s="66">
        <f>IF($J357="","",$G357/$J357)</f>
        <v/>
      </c>
      <c r="L357" s="66">
        <f>IF($J357="",0,$K357*MAX(0,MIN(YEAR($C$3)*12+MONTH($C$3),YEAR($I357)*12+MONTH($I357))-(YEAR($H357)*12+MONTH($H357))+1))</f>
        <v/>
      </c>
      <c r="M357" s="66">
        <f>IF($J357="",0,$K357*MAX(0,MIN(YEAR($C$3)*12+MONTH($C$3)-1,YEAR($I357)*12+MONTH($I357))-(YEAR($H357)*12+MONTH($H357))+1))</f>
        <v/>
      </c>
      <c r="N357" s="66">
        <f>IF(OR($J357="",$B357=""),0,IF(YEAR($B357)*12+MONTH($B357)&lt;=YEAR($C$3)*12+MONTH($C$3),$G357,0))</f>
        <v/>
      </c>
      <c r="O357" s="66">
        <f>IF(OR($J357="",$B357=""),0,IF(YEAR($B357)*12+MONTH($B357)&lt;=YEAR($C$3)*12+MONTH($C$3)-1,$G357,0))</f>
        <v/>
      </c>
      <c r="P357" s="66">
        <f>$M357-$O357</f>
        <v/>
      </c>
      <c r="Q357" s="66">
        <f>($L357-$M357)-($N357-$O357)</f>
        <v/>
      </c>
      <c r="R357" s="66">
        <f>$L357-$N357</f>
        <v/>
      </c>
      <c r="S357" s="65">
        <f>"Finance invoice"</f>
        <v/>
      </c>
      <c r="T357" s="65">
        <f>"Revenue"</f>
        <v/>
      </c>
    </row>
    <row r="358">
      <c r="A358" s="63">
        <f>ROW()-5</f>
        <v/>
      </c>
      <c r="B358" s="64">
        <f>IFERROR(INDEX(tbl_Finance[Date],$A358),"")</f>
        <v/>
      </c>
      <c r="C358" s="65">
        <f>IFERROR(INDEX(tbl_Finance[Xero Invoice No],$A358),"")</f>
        <v/>
      </c>
      <c r="D358" s="65">
        <f>IFERROR(INDEX(tbl_Finance[Client],$A358),"")</f>
        <v/>
      </c>
      <c r="E358" s="65">
        <f>IFERROR(INDEX(tbl_Finance[Job Number],$A358),"")</f>
        <v/>
      </c>
      <c r="F358" s="65">
        <f>IFERROR(INDEX(tbl_Finance[Cost Centre],$A358),"")</f>
        <v/>
      </c>
      <c r="G358" s="66">
        <f>IFERROR(INDEX(tbl_Finance[Ex GST],$A358),"")</f>
        <v/>
      </c>
      <c r="H358" s="64">
        <f>IFERROR(INDEX(tbl_Finance[Defer Start],$A358),"")</f>
        <v/>
      </c>
      <c r="I358" s="64">
        <f>IFERROR(INDEX(tbl_Finance[Defer End],$A358),"")</f>
        <v/>
      </c>
      <c r="J358" s="63">
        <f>IF(OR($H358="",$I358="",$G358=""),"",MAX(1,(YEAR($I358)-YEAR($H358))*12+MONTH($I358)-MONTH($H358)+1))</f>
        <v/>
      </c>
      <c r="K358" s="66">
        <f>IF($J358="","",$G358/$J358)</f>
        <v/>
      </c>
      <c r="L358" s="66">
        <f>IF($J358="",0,$K358*MAX(0,MIN(YEAR($C$3)*12+MONTH($C$3),YEAR($I358)*12+MONTH($I358))-(YEAR($H358)*12+MONTH($H358))+1))</f>
        <v/>
      </c>
      <c r="M358" s="66">
        <f>IF($J358="",0,$K358*MAX(0,MIN(YEAR($C$3)*12+MONTH($C$3)-1,YEAR($I358)*12+MONTH($I358))-(YEAR($H358)*12+MONTH($H358))+1))</f>
        <v/>
      </c>
      <c r="N358" s="66">
        <f>IF(OR($J358="",$B358=""),0,IF(YEAR($B358)*12+MONTH($B358)&lt;=YEAR($C$3)*12+MONTH($C$3),$G358,0))</f>
        <v/>
      </c>
      <c r="O358" s="66">
        <f>IF(OR($J358="",$B358=""),0,IF(YEAR($B358)*12+MONTH($B358)&lt;=YEAR($C$3)*12+MONTH($C$3)-1,$G358,0))</f>
        <v/>
      </c>
      <c r="P358" s="66">
        <f>$M358-$O358</f>
        <v/>
      </c>
      <c r="Q358" s="66">
        <f>($L358-$M358)-($N358-$O358)</f>
        <v/>
      </c>
      <c r="R358" s="66">
        <f>$L358-$N358</f>
        <v/>
      </c>
      <c r="S358" s="65">
        <f>"Finance invoice"</f>
        <v/>
      </c>
      <c r="T358" s="65">
        <f>"Revenue"</f>
        <v/>
      </c>
    </row>
    <row r="359">
      <c r="A359" s="63">
        <f>ROW()-5</f>
        <v/>
      </c>
      <c r="B359" s="64">
        <f>IFERROR(INDEX(tbl_Finance[Date],$A359),"")</f>
        <v/>
      </c>
      <c r="C359" s="65">
        <f>IFERROR(INDEX(tbl_Finance[Xero Invoice No],$A359),"")</f>
        <v/>
      </c>
      <c r="D359" s="65">
        <f>IFERROR(INDEX(tbl_Finance[Client],$A359),"")</f>
        <v/>
      </c>
      <c r="E359" s="65">
        <f>IFERROR(INDEX(tbl_Finance[Job Number],$A359),"")</f>
        <v/>
      </c>
      <c r="F359" s="65">
        <f>IFERROR(INDEX(tbl_Finance[Cost Centre],$A359),"")</f>
        <v/>
      </c>
      <c r="G359" s="66">
        <f>IFERROR(INDEX(tbl_Finance[Ex GST],$A359),"")</f>
        <v/>
      </c>
      <c r="H359" s="64">
        <f>IFERROR(INDEX(tbl_Finance[Defer Start],$A359),"")</f>
        <v/>
      </c>
      <c r="I359" s="64">
        <f>IFERROR(INDEX(tbl_Finance[Defer End],$A359),"")</f>
        <v/>
      </c>
      <c r="J359" s="63">
        <f>IF(OR($H359="",$I359="",$G359=""),"",MAX(1,(YEAR($I359)-YEAR($H359))*12+MONTH($I359)-MONTH($H359)+1))</f>
        <v/>
      </c>
      <c r="K359" s="66">
        <f>IF($J359="","",$G359/$J359)</f>
        <v/>
      </c>
      <c r="L359" s="66">
        <f>IF($J359="",0,$K359*MAX(0,MIN(YEAR($C$3)*12+MONTH($C$3),YEAR($I359)*12+MONTH($I359))-(YEAR($H359)*12+MONTH($H359))+1))</f>
        <v/>
      </c>
      <c r="M359" s="66">
        <f>IF($J359="",0,$K359*MAX(0,MIN(YEAR($C$3)*12+MONTH($C$3)-1,YEAR($I359)*12+MONTH($I359))-(YEAR($H359)*12+MONTH($H359))+1))</f>
        <v/>
      </c>
      <c r="N359" s="66">
        <f>IF(OR($J359="",$B359=""),0,IF(YEAR($B359)*12+MONTH($B359)&lt;=YEAR($C$3)*12+MONTH($C$3),$G359,0))</f>
        <v/>
      </c>
      <c r="O359" s="66">
        <f>IF(OR($J359="",$B359=""),0,IF(YEAR($B359)*12+MONTH($B359)&lt;=YEAR($C$3)*12+MONTH($C$3)-1,$G359,0))</f>
        <v/>
      </c>
      <c r="P359" s="66">
        <f>$M359-$O359</f>
        <v/>
      </c>
      <c r="Q359" s="66">
        <f>($L359-$M359)-($N359-$O359)</f>
        <v/>
      </c>
      <c r="R359" s="66">
        <f>$L359-$N359</f>
        <v/>
      </c>
      <c r="S359" s="65">
        <f>"Finance invoice"</f>
        <v/>
      </c>
      <c r="T359" s="65">
        <f>"Revenue"</f>
        <v/>
      </c>
    </row>
    <row r="360">
      <c r="A360" s="63">
        <f>ROW()-5</f>
        <v/>
      </c>
      <c r="B360" s="64">
        <f>IFERROR(INDEX(tbl_Finance[Date],$A360),"")</f>
        <v/>
      </c>
      <c r="C360" s="65">
        <f>IFERROR(INDEX(tbl_Finance[Xero Invoice No],$A360),"")</f>
        <v/>
      </c>
      <c r="D360" s="65">
        <f>IFERROR(INDEX(tbl_Finance[Client],$A360),"")</f>
        <v/>
      </c>
      <c r="E360" s="65">
        <f>IFERROR(INDEX(tbl_Finance[Job Number],$A360),"")</f>
        <v/>
      </c>
      <c r="F360" s="65">
        <f>IFERROR(INDEX(tbl_Finance[Cost Centre],$A360),"")</f>
        <v/>
      </c>
      <c r="G360" s="66">
        <f>IFERROR(INDEX(tbl_Finance[Ex GST],$A360),"")</f>
        <v/>
      </c>
      <c r="H360" s="64">
        <f>IFERROR(INDEX(tbl_Finance[Defer Start],$A360),"")</f>
        <v/>
      </c>
      <c r="I360" s="64">
        <f>IFERROR(INDEX(tbl_Finance[Defer End],$A360),"")</f>
        <v/>
      </c>
      <c r="J360" s="63">
        <f>IF(OR($H360="",$I360="",$G360=""),"",MAX(1,(YEAR($I360)-YEAR($H360))*12+MONTH($I360)-MONTH($H360)+1))</f>
        <v/>
      </c>
      <c r="K360" s="66">
        <f>IF($J360="","",$G360/$J360)</f>
        <v/>
      </c>
      <c r="L360" s="66">
        <f>IF($J360="",0,$K360*MAX(0,MIN(YEAR($C$3)*12+MONTH($C$3),YEAR($I360)*12+MONTH($I360))-(YEAR($H360)*12+MONTH($H360))+1))</f>
        <v/>
      </c>
      <c r="M360" s="66">
        <f>IF($J360="",0,$K360*MAX(0,MIN(YEAR($C$3)*12+MONTH($C$3)-1,YEAR($I360)*12+MONTH($I360))-(YEAR($H360)*12+MONTH($H360))+1))</f>
        <v/>
      </c>
      <c r="N360" s="66">
        <f>IF(OR($J360="",$B360=""),0,IF(YEAR($B360)*12+MONTH($B360)&lt;=YEAR($C$3)*12+MONTH($C$3),$G360,0))</f>
        <v/>
      </c>
      <c r="O360" s="66">
        <f>IF(OR($J360="",$B360=""),0,IF(YEAR($B360)*12+MONTH($B360)&lt;=YEAR($C$3)*12+MONTH($C$3)-1,$G360,0))</f>
        <v/>
      </c>
      <c r="P360" s="66">
        <f>$M360-$O360</f>
        <v/>
      </c>
      <c r="Q360" s="66">
        <f>($L360-$M360)-($N360-$O360)</f>
        <v/>
      </c>
      <c r="R360" s="66">
        <f>$L360-$N360</f>
        <v/>
      </c>
      <c r="S360" s="65">
        <f>"Finance invoice"</f>
        <v/>
      </c>
      <c r="T360" s="65">
        <f>"Revenue"</f>
        <v/>
      </c>
    </row>
    <row r="361">
      <c r="A361" s="63">
        <f>ROW()-5</f>
        <v/>
      </c>
      <c r="B361" s="64">
        <f>IFERROR(INDEX(tbl_Finance[Date],$A361),"")</f>
        <v/>
      </c>
      <c r="C361" s="65">
        <f>IFERROR(INDEX(tbl_Finance[Xero Invoice No],$A361),"")</f>
        <v/>
      </c>
      <c r="D361" s="65">
        <f>IFERROR(INDEX(tbl_Finance[Client],$A361),"")</f>
        <v/>
      </c>
      <c r="E361" s="65">
        <f>IFERROR(INDEX(tbl_Finance[Job Number],$A361),"")</f>
        <v/>
      </c>
      <c r="F361" s="65">
        <f>IFERROR(INDEX(tbl_Finance[Cost Centre],$A361),"")</f>
        <v/>
      </c>
      <c r="G361" s="66">
        <f>IFERROR(INDEX(tbl_Finance[Ex GST],$A361),"")</f>
        <v/>
      </c>
      <c r="H361" s="64">
        <f>IFERROR(INDEX(tbl_Finance[Defer Start],$A361),"")</f>
        <v/>
      </c>
      <c r="I361" s="64">
        <f>IFERROR(INDEX(tbl_Finance[Defer End],$A361),"")</f>
        <v/>
      </c>
      <c r="J361" s="63">
        <f>IF(OR($H361="",$I361="",$G361=""),"",MAX(1,(YEAR($I361)-YEAR($H361))*12+MONTH($I361)-MONTH($H361)+1))</f>
        <v/>
      </c>
      <c r="K361" s="66">
        <f>IF($J361="","",$G361/$J361)</f>
        <v/>
      </c>
      <c r="L361" s="66">
        <f>IF($J361="",0,$K361*MAX(0,MIN(YEAR($C$3)*12+MONTH($C$3),YEAR($I361)*12+MONTH($I361))-(YEAR($H361)*12+MONTH($H361))+1))</f>
        <v/>
      </c>
      <c r="M361" s="66">
        <f>IF($J361="",0,$K361*MAX(0,MIN(YEAR($C$3)*12+MONTH($C$3)-1,YEAR($I361)*12+MONTH($I361))-(YEAR($H361)*12+MONTH($H361))+1))</f>
        <v/>
      </c>
      <c r="N361" s="66">
        <f>IF(OR($J361="",$B361=""),0,IF(YEAR($B361)*12+MONTH($B361)&lt;=YEAR($C$3)*12+MONTH($C$3),$G361,0))</f>
        <v/>
      </c>
      <c r="O361" s="66">
        <f>IF(OR($J361="",$B361=""),0,IF(YEAR($B361)*12+MONTH($B361)&lt;=YEAR($C$3)*12+MONTH($C$3)-1,$G361,0))</f>
        <v/>
      </c>
      <c r="P361" s="66">
        <f>$M361-$O361</f>
        <v/>
      </c>
      <c r="Q361" s="66">
        <f>($L361-$M361)-($N361-$O361)</f>
        <v/>
      </c>
      <c r="R361" s="66">
        <f>$L361-$N361</f>
        <v/>
      </c>
      <c r="S361" s="65">
        <f>"Finance invoice"</f>
        <v/>
      </c>
      <c r="T361" s="65">
        <f>"Revenue"</f>
        <v/>
      </c>
    </row>
    <row r="362">
      <c r="A362" s="63">
        <f>ROW()-5</f>
        <v/>
      </c>
      <c r="B362" s="64">
        <f>IFERROR(INDEX(tbl_Finance[Date],$A362),"")</f>
        <v/>
      </c>
      <c r="C362" s="65">
        <f>IFERROR(INDEX(tbl_Finance[Xero Invoice No],$A362),"")</f>
        <v/>
      </c>
      <c r="D362" s="65">
        <f>IFERROR(INDEX(tbl_Finance[Client],$A362),"")</f>
        <v/>
      </c>
      <c r="E362" s="65">
        <f>IFERROR(INDEX(tbl_Finance[Job Number],$A362),"")</f>
        <v/>
      </c>
      <c r="F362" s="65">
        <f>IFERROR(INDEX(tbl_Finance[Cost Centre],$A362),"")</f>
        <v/>
      </c>
      <c r="G362" s="66">
        <f>IFERROR(INDEX(tbl_Finance[Ex GST],$A362),"")</f>
        <v/>
      </c>
      <c r="H362" s="64">
        <f>IFERROR(INDEX(tbl_Finance[Defer Start],$A362),"")</f>
        <v/>
      </c>
      <c r="I362" s="64">
        <f>IFERROR(INDEX(tbl_Finance[Defer End],$A362),"")</f>
        <v/>
      </c>
      <c r="J362" s="63">
        <f>IF(OR($H362="",$I362="",$G362=""),"",MAX(1,(YEAR($I362)-YEAR($H362))*12+MONTH($I362)-MONTH($H362)+1))</f>
        <v/>
      </c>
      <c r="K362" s="66">
        <f>IF($J362="","",$G362/$J362)</f>
        <v/>
      </c>
      <c r="L362" s="66">
        <f>IF($J362="",0,$K362*MAX(0,MIN(YEAR($C$3)*12+MONTH($C$3),YEAR($I362)*12+MONTH($I362))-(YEAR($H362)*12+MONTH($H362))+1))</f>
        <v/>
      </c>
      <c r="M362" s="66">
        <f>IF($J362="",0,$K362*MAX(0,MIN(YEAR($C$3)*12+MONTH($C$3)-1,YEAR($I362)*12+MONTH($I362))-(YEAR($H362)*12+MONTH($H362))+1))</f>
        <v/>
      </c>
      <c r="N362" s="66">
        <f>IF(OR($J362="",$B362=""),0,IF(YEAR($B362)*12+MONTH($B362)&lt;=YEAR($C$3)*12+MONTH($C$3),$G362,0))</f>
        <v/>
      </c>
      <c r="O362" s="66">
        <f>IF(OR($J362="",$B362=""),0,IF(YEAR($B362)*12+MONTH($B362)&lt;=YEAR($C$3)*12+MONTH($C$3)-1,$G362,0))</f>
        <v/>
      </c>
      <c r="P362" s="66">
        <f>$M362-$O362</f>
        <v/>
      </c>
      <c r="Q362" s="66">
        <f>($L362-$M362)-($N362-$O362)</f>
        <v/>
      </c>
      <c r="R362" s="66">
        <f>$L362-$N362</f>
        <v/>
      </c>
      <c r="S362" s="65">
        <f>"Finance invoice"</f>
        <v/>
      </c>
      <c r="T362" s="65">
        <f>"Revenue"</f>
        <v/>
      </c>
    </row>
    <row r="363">
      <c r="A363" s="63">
        <f>ROW()-5</f>
        <v/>
      </c>
      <c r="B363" s="64">
        <f>IFERROR(INDEX(tbl_Finance[Date],$A363),"")</f>
        <v/>
      </c>
      <c r="C363" s="65">
        <f>IFERROR(INDEX(tbl_Finance[Xero Invoice No],$A363),"")</f>
        <v/>
      </c>
      <c r="D363" s="65">
        <f>IFERROR(INDEX(tbl_Finance[Client],$A363),"")</f>
        <v/>
      </c>
      <c r="E363" s="65">
        <f>IFERROR(INDEX(tbl_Finance[Job Number],$A363),"")</f>
        <v/>
      </c>
      <c r="F363" s="65">
        <f>IFERROR(INDEX(tbl_Finance[Cost Centre],$A363),"")</f>
        <v/>
      </c>
      <c r="G363" s="66">
        <f>IFERROR(INDEX(tbl_Finance[Ex GST],$A363),"")</f>
        <v/>
      </c>
      <c r="H363" s="64">
        <f>IFERROR(INDEX(tbl_Finance[Defer Start],$A363),"")</f>
        <v/>
      </c>
      <c r="I363" s="64">
        <f>IFERROR(INDEX(tbl_Finance[Defer End],$A363),"")</f>
        <v/>
      </c>
      <c r="J363" s="63">
        <f>IF(OR($H363="",$I363="",$G363=""),"",MAX(1,(YEAR($I363)-YEAR($H363))*12+MONTH($I363)-MONTH($H363)+1))</f>
        <v/>
      </c>
      <c r="K363" s="66">
        <f>IF($J363="","",$G363/$J363)</f>
        <v/>
      </c>
      <c r="L363" s="66">
        <f>IF($J363="",0,$K363*MAX(0,MIN(YEAR($C$3)*12+MONTH($C$3),YEAR($I363)*12+MONTH($I363))-(YEAR($H363)*12+MONTH($H363))+1))</f>
        <v/>
      </c>
      <c r="M363" s="66">
        <f>IF($J363="",0,$K363*MAX(0,MIN(YEAR($C$3)*12+MONTH($C$3)-1,YEAR($I363)*12+MONTH($I363))-(YEAR($H363)*12+MONTH($H363))+1))</f>
        <v/>
      </c>
      <c r="N363" s="66">
        <f>IF(OR($J363="",$B363=""),0,IF(YEAR($B363)*12+MONTH($B363)&lt;=YEAR($C$3)*12+MONTH($C$3),$G363,0))</f>
        <v/>
      </c>
      <c r="O363" s="66">
        <f>IF(OR($J363="",$B363=""),0,IF(YEAR($B363)*12+MONTH($B363)&lt;=YEAR($C$3)*12+MONTH($C$3)-1,$G363,0))</f>
        <v/>
      </c>
      <c r="P363" s="66">
        <f>$M363-$O363</f>
        <v/>
      </c>
      <c r="Q363" s="66">
        <f>($L363-$M363)-($N363-$O363)</f>
        <v/>
      </c>
      <c r="R363" s="66">
        <f>$L363-$N363</f>
        <v/>
      </c>
      <c r="S363" s="65">
        <f>"Finance invoice"</f>
        <v/>
      </c>
      <c r="T363" s="65">
        <f>"Revenue"</f>
        <v/>
      </c>
    </row>
    <row r="364">
      <c r="A364" s="63">
        <f>ROW()-5</f>
        <v/>
      </c>
      <c r="B364" s="64">
        <f>IFERROR(INDEX(tbl_Finance[Date],$A364),"")</f>
        <v/>
      </c>
      <c r="C364" s="65">
        <f>IFERROR(INDEX(tbl_Finance[Xero Invoice No],$A364),"")</f>
        <v/>
      </c>
      <c r="D364" s="65">
        <f>IFERROR(INDEX(tbl_Finance[Client],$A364),"")</f>
        <v/>
      </c>
      <c r="E364" s="65">
        <f>IFERROR(INDEX(tbl_Finance[Job Number],$A364),"")</f>
        <v/>
      </c>
      <c r="F364" s="65">
        <f>IFERROR(INDEX(tbl_Finance[Cost Centre],$A364),"")</f>
        <v/>
      </c>
      <c r="G364" s="66">
        <f>IFERROR(INDEX(tbl_Finance[Ex GST],$A364),"")</f>
        <v/>
      </c>
      <c r="H364" s="64">
        <f>IFERROR(INDEX(tbl_Finance[Defer Start],$A364),"")</f>
        <v/>
      </c>
      <c r="I364" s="64">
        <f>IFERROR(INDEX(tbl_Finance[Defer End],$A364),"")</f>
        <v/>
      </c>
      <c r="J364" s="63">
        <f>IF(OR($H364="",$I364="",$G364=""),"",MAX(1,(YEAR($I364)-YEAR($H364))*12+MONTH($I364)-MONTH($H364)+1))</f>
        <v/>
      </c>
      <c r="K364" s="66">
        <f>IF($J364="","",$G364/$J364)</f>
        <v/>
      </c>
      <c r="L364" s="66">
        <f>IF($J364="",0,$K364*MAX(0,MIN(YEAR($C$3)*12+MONTH($C$3),YEAR($I364)*12+MONTH($I364))-(YEAR($H364)*12+MONTH($H364))+1))</f>
        <v/>
      </c>
      <c r="M364" s="66">
        <f>IF($J364="",0,$K364*MAX(0,MIN(YEAR($C$3)*12+MONTH($C$3)-1,YEAR($I364)*12+MONTH($I364))-(YEAR($H364)*12+MONTH($H364))+1))</f>
        <v/>
      </c>
      <c r="N364" s="66">
        <f>IF(OR($J364="",$B364=""),0,IF(YEAR($B364)*12+MONTH($B364)&lt;=YEAR($C$3)*12+MONTH($C$3),$G364,0))</f>
        <v/>
      </c>
      <c r="O364" s="66">
        <f>IF(OR($J364="",$B364=""),0,IF(YEAR($B364)*12+MONTH($B364)&lt;=YEAR($C$3)*12+MONTH($C$3)-1,$G364,0))</f>
        <v/>
      </c>
      <c r="P364" s="66">
        <f>$M364-$O364</f>
        <v/>
      </c>
      <c r="Q364" s="66">
        <f>($L364-$M364)-($N364-$O364)</f>
        <v/>
      </c>
      <c r="R364" s="66">
        <f>$L364-$N364</f>
        <v/>
      </c>
      <c r="S364" s="65">
        <f>"Finance invoice"</f>
        <v/>
      </c>
      <c r="T364" s="65">
        <f>"Revenue"</f>
        <v/>
      </c>
    </row>
    <row r="365">
      <c r="A365" s="63">
        <f>ROW()-5</f>
        <v/>
      </c>
      <c r="B365" s="64">
        <f>IFERROR(INDEX(tbl_Finance[Date],$A365),"")</f>
        <v/>
      </c>
      <c r="C365" s="65">
        <f>IFERROR(INDEX(tbl_Finance[Xero Invoice No],$A365),"")</f>
        <v/>
      </c>
      <c r="D365" s="65">
        <f>IFERROR(INDEX(tbl_Finance[Client],$A365),"")</f>
        <v/>
      </c>
      <c r="E365" s="65">
        <f>IFERROR(INDEX(tbl_Finance[Job Number],$A365),"")</f>
        <v/>
      </c>
      <c r="F365" s="65">
        <f>IFERROR(INDEX(tbl_Finance[Cost Centre],$A365),"")</f>
        <v/>
      </c>
      <c r="G365" s="66">
        <f>IFERROR(INDEX(tbl_Finance[Ex GST],$A365),"")</f>
        <v/>
      </c>
      <c r="H365" s="64">
        <f>IFERROR(INDEX(tbl_Finance[Defer Start],$A365),"")</f>
        <v/>
      </c>
      <c r="I365" s="64">
        <f>IFERROR(INDEX(tbl_Finance[Defer End],$A365),"")</f>
        <v/>
      </c>
      <c r="J365" s="63">
        <f>IF(OR($H365="",$I365="",$G365=""),"",MAX(1,(YEAR($I365)-YEAR($H365))*12+MONTH($I365)-MONTH($H365)+1))</f>
        <v/>
      </c>
      <c r="K365" s="66">
        <f>IF($J365="","",$G365/$J365)</f>
        <v/>
      </c>
      <c r="L365" s="66">
        <f>IF($J365="",0,$K365*MAX(0,MIN(YEAR($C$3)*12+MONTH($C$3),YEAR($I365)*12+MONTH($I365))-(YEAR($H365)*12+MONTH($H365))+1))</f>
        <v/>
      </c>
      <c r="M365" s="66">
        <f>IF($J365="",0,$K365*MAX(0,MIN(YEAR($C$3)*12+MONTH($C$3)-1,YEAR($I365)*12+MONTH($I365))-(YEAR($H365)*12+MONTH($H365))+1))</f>
        <v/>
      </c>
      <c r="N365" s="66">
        <f>IF(OR($J365="",$B365=""),0,IF(YEAR($B365)*12+MONTH($B365)&lt;=YEAR($C$3)*12+MONTH($C$3),$G365,0))</f>
        <v/>
      </c>
      <c r="O365" s="66">
        <f>IF(OR($J365="",$B365=""),0,IF(YEAR($B365)*12+MONTH($B365)&lt;=YEAR($C$3)*12+MONTH($C$3)-1,$G365,0))</f>
        <v/>
      </c>
      <c r="P365" s="66">
        <f>$M365-$O365</f>
        <v/>
      </c>
      <c r="Q365" s="66">
        <f>($L365-$M365)-($N365-$O365)</f>
        <v/>
      </c>
      <c r="R365" s="66">
        <f>$L365-$N365</f>
        <v/>
      </c>
      <c r="S365" s="65">
        <f>"Finance invoice"</f>
        <v/>
      </c>
      <c r="T365" s="65">
        <f>"Revenue"</f>
        <v/>
      </c>
    </row>
    <row r="366">
      <c r="A366" s="63">
        <f>ROW()-5</f>
        <v/>
      </c>
      <c r="B366" s="64">
        <f>IFERROR(INDEX(tbl_Finance[Date],$A366),"")</f>
        <v/>
      </c>
      <c r="C366" s="65">
        <f>IFERROR(INDEX(tbl_Finance[Xero Invoice No],$A366),"")</f>
        <v/>
      </c>
      <c r="D366" s="65">
        <f>IFERROR(INDEX(tbl_Finance[Client],$A366),"")</f>
        <v/>
      </c>
      <c r="E366" s="65">
        <f>IFERROR(INDEX(tbl_Finance[Job Number],$A366),"")</f>
        <v/>
      </c>
      <c r="F366" s="65">
        <f>IFERROR(INDEX(tbl_Finance[Cost Centre],$A366),"")</f>
        <v/>
      </c>
      <c r="G366" s="66">
        <f>IFERROR(INDEX(tbl_Finance[Ex GST],$A366),"")</f>
        <v/>
      </c>
      <c r="H366" s="64">
        <f>IFERROR(INDEX(tbl_Finance[Defer Start],$A366),"")</f>
        <v/>
      </c>
      <c r="I366" s="64">
        <f>IFERROR(INDEX(tbl_Finance[Defer End],$A366),"")</f>
        <v/>
      </c>
      <c r="J366" s="63">
        <f>IF(OR($H366="",$I366="",$G366=""),"",MAX(1,(YEAR($I366)-YEAR($H366))*12+MONTH($I366)-MONTH($H366)+1))</f>
        <v/>
      </c>
      <c r="K366" s="66">
        <f>IF($J366="","",$G366/$J366)</f>
        <v/>
      </c>
      <c r="L366" s="66">
        <f>IF($J366="",0,$K366*MAX(0,MIN(YEAR($C$3)*12+MONTH($C$3),YEAR($I366)*12+MONTH($I366))-(YEAR($H366)*12+MONTH($H366))+1))</f>
        <v/>
      </c>
      <c r="M366" s="66">
        <f>IF($J366="",0,$K366*MAX(0,MIN(YEAR($C$3)*12+MONTH($C$3)-1,YEAR($I366)*12+MONTH($I366))-(YEAR($H366)*12+MONTH($H366))+1))</f>
        <v/>
      </c>
      <c r="N366" s="66">
        <f>IF(OR($J366="",$B366=""),0,IF(YEAR($B366)*12+MONTH($B366)&lt;=YEAR($C$3)*12+MONTH($C$3),$G366,0))</f>
        <v/>
      </c>
      <c r="O366" s="66">
        <f>IF(OR($J366="",$B366=""),0,IF(YEAR($B366)*12+MONTH($B366)&lt;=YEAR($C$3)*12+MONTH($C$3)-1,$G366,0))</f>
        <v/>
      </c>
      <c r="P366" s="66">
        <f>$M366-$O366</f>
        <v/>
      </c>
      <c r="Q366" s="66">
        <f>($L366-$M366)-($N366-$O366)</f>
        <v/>
      </c>
      <c r="R366" s="66">
        <f>$L366-$N366</f>
        <v/>
      </c>
      <c r="S366" s="65">
        <f>"Finance invoice"</f>
        <v/>
      </c>
      <c r="T366" s="65">
        <f>"Revenue"</f>
        <v/>
      </c>
    </row>
    <row r="367">
      <c r="A367" s="63">
        <f>ROW()-5</f>
        <v/>
      </c>
      <c r="B367" s="64">
        <f>IFERROR(INDEX(tbl_Finance[Date],$A367),"")</f>
        <v/>
      </c>
      <c r="C367" s="65">
        <f>IFERROR(INDEX(tbl_Finance[Xero Invoice No],$A367),"")</f>
        <v/>
      </c>
      <c r="D367" s="65">
        <f>IFERROR(INDEX(tbl_Finance[Client],$A367),"")</f>
        <v/>
      </c>
      <c r="E367" s="65">
        <f>IFERROR(INDEX(tbl_Finance[Job Number],$A367),"")</f>
        <v/>
      </c>
      <c r="F367" s="65">
        <f>IFERROR(INDEX(tbl_Finance[Cost Centre],$A367),"")</f>
        <v/>
      </c>
      <c r="G367" s="66">
        <f>IFERROR(INDEX(tbl_Finance[Ex GST],$A367),"")</f>
        <v/>
      </c>
      <c r="H367" s="64">
        <f>IFERROR(INDEX(tbl_Finance[Defer Start],$A367),"")</f>
        <v/>
      </c>
      <c r="I367" s="64">
        <f>IFERROR(INDEX(tbl_Finance[Defer End],$A367),"")</f>
        <v/>
      </c>
      <c r="J367" s="63">
        <f>IF(OR($H367="",$I367="",$G367=""),"",MAX(1,(YEAR($I367)-YEAR($H367))*12+MONTH($I367)-MONTH($H367)+1))</f>
        <v/>
      </c>
      <c r="K367" s="66">
        <f>IF($J367="","",$G367/$J367)</f>
        <v/>
      </c>
      <c r="L367" s="66">
        <f>IF($J367="",0,$K367*MAX(0,MIN(YEAR($C$3)*12+MONTH($C$3),YEAR($I367)*12+MONTH($I367))-(YEAR($H367)*12+MONTH($H367))+1))</f>
        <v/>
      </c>
      <c r="M367" s="66">
        <f>IF($J367="",0,$K367*MAX(0,MIN(YEAR($C$3)*12+MONTH($C$3)-1,YEAR($I367)*12+MONTH($I367))-(YEAR($H367)*12+MONTH($H367))+1))</f>
        <v/>
      </c>
      <c r="N367" s="66">
        <f>IF(OR($J367="",$B367=""),0,IF(YEAR($B367)*12+MONTH($B367)&lt;=YEAR($C$3)*12+MONTH($C$3),$G367,0))</f>
        <v/>
      </c>
      <c r="O367" s="66">
        <f>IF(OR($J367="",$B367=""),0,IF(YEAR($B367)*12+MONTH($B367)&lt;=YEAR($C$3)*12+MONTH($C$3)-1,$G367,0))</f>
        <v/>
      </c>
      <c r="P367" s="66">
        <f>$M367-$O367</f>
        <v/>
      </c>
      <c r="Q367" s="66">
        <f>($L367-$M367)-($N367-$O367)</f>
        <v/>
      </c>
      <c r="R367" s="66">
        <f>$L367-$N367</f>
        <v/>
      </c>
      <c r="S367" s="65">
        <f>"Finance invoice"</f>
        <v/>
      </c>
      <c r="T367" s="65">
        <f>"Revenue"</f>
        <v/>
      </c>
    </row>
    <row r="368">
      <c r="A368" s="63">
        <f>ROW()-5</f>
        <v/>
      </c>
      <c r="B368" s="64">
        <f>IFERROR(INDEX(tbl_Finance[Date],$A368),"")</f>
        <v/>
      </c>
      <c r="C368" s="65">
        <f>IFERROR(INDEX(tbl_Finance[Xero Invoice No],$A368),"")</f>
        <v/>
      </c>
      <c r="D368" s="65">
        <f>IFERROR(INDEX(tbl_Finance[Client],$A368),"")</f>
        <v/>
      </c>
      <c r="E368" s="65">
        <f>IFERROR(INDEX(tbl_Finance[Job Number],$A368),"")</f>
        <v/>
      </c>
      <c r="F368" s="65">
        <f>IFERROR(INDEX(tbl_Finance[Cost Centre],$A368),"")</f>
        <v/>
      </c>
      <c r="G368" s="66">
        <f>IFERROR(INDEX(tbl_Finance[Ex GST],$A368),"")</f>
        <v/>
      </c>
      <c r="H368" s="64">
        <f>IFERROR(INDEX(tbl_Finance[Defer Start],$A368),"")</f>
        <v/>
      </c>
      <c r="I368" s="64">
        <f>IFERROR(INDEX(tbl_Finance[Defer End],$A368),"")</f>
        <v/>
      </c>
      <c r="J368" s="63">
        <f>IF(OR($H368="",$I368="",$G368=""),"",MAX(1,(YEAR($I368)-YEAR($H368))*12+MONTH($I368)-MONTH($H368)+1))</f>
        <v/>
      </c>
      <c r="K368" s="66">
        <f>IF($J368="","",$G368/$J368)</f>
        <v/>
      </c>
      <c r="L368" s="66">
        <f>IF($J368="",0,$K368*MAX(0,MIN(YEAR($C$3)*12+MONTH($C$3),YEAR($I368)*12+MONTH($I368))-(YEAR($H368)*12+MONTH($H368))+1))</f>
        <v/>
      </c>
      <c r="M368" s="66">
        <f>IF($J368="",0,$K368*MAX(0,MIN(YEAR($C$3)*12+MONTH($C$3)-1,YEAR($I368)*12+MONTH($I368))-(YEAR($H368)*12+MONTH($H368))+1))</f>
        <v/>
      </c>
      <c r="N368" s="66">
        <f>IF(OR($J368="",$B368=""),0,IF(YEAR($B368)*12+MONTH($B368)&lt;=YEAR($C$3)*12+MONTH($C$3),$G368,0))</f>
        <v/>
      </c>
      <c r="O368" s="66">
        <f>IF(OR($J368="",$B368=""),0,IF(YEAR($B368)*12+MONTH($B368)&lt;=YEAR($C$3)*12+MONTH($C$3)-1,$G368,0))</f>
        <v/>
      </c>
      <c r="P368" s="66">
        <f>$M368-$O368</f>
        <v/>
      </c>
      <c r="Q368" s="66">
        <f>($L368-$M368)-($N368-$O368)</f>
        <v/>
      </c>
      <c r="R368" s="66">
        <f>$L368-$N368</f>
        <v/>
      </c>
      <c r="S368" s="65">
        <f>"Finance invoice"</f>
        <v/>
      </c>
      <c r="T368" s="65">
        <f>"Revenue"</f>
        <v/>
      </c>
    </row>
    <row r="369">
      <c r="A369" s="63">
        <f>ROW()-5</f>
        <v/>
      </c>
      <c r="B369" s="64">
        <f>IFERROR(INDEX(tbl_Finance[Date],$A369),"")</f>
        <v/>
      </c>
      <c r="C369" s="65">
        <f>IFERROR(INDEX(tbl_Finance[Xero Invoice No],$A369),"")</f>
        <v/>
      </c>
      <c r="D369" s="65">
        <f>IFERROR(INDEX(tbl_Finance[Client],$A369),"")</f>
        <v/>
      </c>
      <c r="E369" s="65">
        <f>IFERROR(INDEX(tbl_Finance[Job Number],$A369),"")</f>
        <v/>
      </c>
      <c r="F369" s="65">
        <f>IFERROR(INDEX(tbl_Finance[Cost Centre],$A369),"")</f>
        <v/>
      </c>
      <c r="G369" s="66">
        <f>IFERROR(INDEX(tbl_Finance[Ex GST],$A369),"")</f>
        <v/>
      </c>
      <c r="H369" s="64">
        <f>IFERROR(INDEX(tbl_Finance[Defer Start],$A369),"")</f>
        <v/>
      </c>
      <c r="I369" s="64">
        <f>IFERROR(INDEX(tbl_Finance[Defer End],$A369),"")</f>
        <v/>
      </c>
      <c r="J369" s="63">
        <f>IF(OR($H369="",$I369="",$G369=""),"",MAX(1,(YEAR($I369)-YEAR($H369))*12+MONTH($I369)-MONTH($H369)+1))</f>
        <v/>
      </c>
      <c r="K369" s="66">
        <f>IF($J369="","",$G369/$J369)</f>
        <v/>
      </c>
      <c r="L369" s="66">
        <f>IF($J369="",0,$K369*MAX(0,MIN(YEAR($C$3)*12+MONTH($C$3),YEAR($I369)*12+MONTH($I369))-(YEAR($H369)*12+MONTH($H369))+1))</f>
        <v/>
      </c>
      <c r="M369" s="66">
        <f>IF($J369="",0,$K369*MAX(0,MIN(YEAR($C$3)*12+MONTH($C$3)-1,YEAR($I369)*12+MONTH($I369))-(YEAR($H369)*12+MONTH($H369))+1))</f>
        <v/>
      </c>
      <c r="N369" s="66">
        <f>IF(OR($J369="",$B369=""),0,IF(YEAR($B369)*12+MONTH($B369)&lt;=YEAR($C$3)*12+MONTH($C$3),$G369,0))</f>
        <v/>
      </c>
      <c r="O369" s="66">
        <f>IF(OR($J369="",$B369=""),0,IF(YEAR($B369)*12+MONTH($B369)&lt;=YEAR($C$3)*12+MONTH($C$3)-1,$G369,0))</f>
        <v/>
      </c>
      <c r="P369" s="66">
        <f>$M369-$O369</f>
        <v/>
      </c>
      <c r="Q369" s="66">
        <f>($L369-$M369)-($N369-$O369)</f>
        <v/>
      </c>
      <c r="R369" s="66">
        <f>$L369-$N369</f>
        <v/>
      </c>
      <c r="S369" s="65">
        <f>"Finance invoice"</f>
        <v/>
      </c>
      <c r="T369" s="65">
        <f>"Revenue"</f>
        <v/>
      </c>
    </row>
    <row r="370">
      <c r="A370" s="63">
        <f>ROW()-5</f>
        <v/>
      </c>
      <c r="B370" s="64">
        <f>IFERROR(INDEX(tbl_Finance[Date],$A370),"")</f>
        <v/>
      </c>
      <c r="C370" s="65">
        <f>IFERROR(INDEX(tbl_Finance[Xero Invoice No],$A370),"")</f>
        <v/>
      </c>
      <c r="D370" s="65">
        <f>IFERROR(INDEX(tbl_Finance[Client],$A370),"")</f>
        <v/>
      </c>
      <c r="E370" s="65">
        <f>IFERROR(INDEX(tbl_Finance[Job Number],$A370),"")</f>
        <v/>
      </c>
      <c r="F370" s="65">
        <f>IFERROR(INDEX(tbl_Finance[Cost Centre],$A370),"")</f>
        <v/>
      </c>
      <c r="G370" s="66">
        <f>IFERROR(INDEX(tbl_Finance[Ex GST],$A370),"")</f>
        <v/>
      </c>
      <c r="H370" s="64">
        <f>IFERROR(INDEX(tbl_Finance[Defer Start],$A370),"")</f>
        <v/>
      </c>
      <c r="I370" s="64">
        <f>IFERROR(INDEX(tbl_Finance[Defer End],$A370),"")</f>
        <v/>
      </c>
      <c r="J370" s="63">
        <f>IF(OR($H370="",$I370="",$G370=""),"",MAX(1,(YEAR($I370)-YEAR($H370))*12+MONTH($I370)-MONTH($H370)+1))</f>
        <v/>
      </c>
      <c r="K370" s="66">
        <f>IF($J370="","",$G370/$J370)</f>
        <v/>
      </c>
      <c r="L370" s="66">
        <f>IF($J370="",0,$K370*MAX(0,MIN(YEAR($C$3)*12+MONTH($C$3),YEAR($I370)*12+MONTH($I370))-(YEAR($H370)*12+MONTH($H370))+1))</f>
        <v/>
      </c>
      <c r="M370" s="66">
        <f>IF($J370="",0,$K370*MAX(0,MIN(YEAR($C$3)*12+MONTH($C$3)-1,YEAR($I370)*12+MONTH($I370))-(YEAR($H370)*12+MONTH($H370))+1))</f>
        <v/>
      </c>
      <c r="N370" s="66">
        <f>IF(OR($J370="",$B370=""),0,IF(YEAR($B370)*12+MONTH($B370)&lt;=YEAR($C$3)*12+MONTH($C$3),$G370,0))</f>
        <v/>
      </c>
      <c r="O370" s="66">
        <f>IF(OR($J370="",$B370=""),0,IF(YEAR($B370)*12+MONTH($B370)&lt;=YEAR($C$3)*12+MONTH($C$3)-1,$G370,0))</f>
        <v/>
      </c>
      <c r="P370" s="66">
        <f>$M370-$O370</f>
        <v/>
      </c>
      <c r="Q370" s="66">
        <f>($L370-$M370)-($N370-$O370)</f>
        <v/>
      </c>
      <c r="R370" s="66">
        <f>$L370-$N370</f>
        <v/>
      </c>
      <c r="S370" s="65">
        <f>"Finance invoice"</f>
        <v/>
      </c>
      <c r="T370" s="65">
        <f>"Revenue"</f>
        <v/>
      </c>
    </row>
    <row r="371">
      <c r="A371" s="63">
        <f>ROW()-5</f>
        <v/>
      </c>
      <c r="B371" s="64">
        <f>IFERROR(INDEX(tbl_Finance[Date],$A371),"")</f>
        <v/>
      </c>
      <c r="C371" s="65">
        <f>IFERROR(INDEX(tbl_Finance[Xero Invoice No],$A371),"")</f>
        <v/>
      </c>
      <c r="D371" s="65">
        <f>IFERROR(INDEX(tbl_Finance[Client],$A371),"")</f>
        <v/>
      </c>
      <c r="E371" s="65">
        <f>IFERROR(INDEX(tbl_Finance[Job Number],$A371),"")</f>
        <v/>
      </c>
      <c r="F371" s="65">
        <f>IFERROR(INDEX(tbl_Finance[Cost Centre],$A371),"")</f>
        <v/>
      </c>
      <c r="G371" s="66">
        <f>IFERROR(INDEX(tbl_Finance[Ex GST],$A371),"")</f>
        <v/>
      </c>
      <c r="H371" s="64">
        <f>IFERROR(INDEX(tbl_Finance[Defer Start],$A371),"")</f>
        <v/>
      </c>
      <c r="I371" s="64">
        <f>IFERROR(INDEX(tbl_Finance[Defer End],$A371),"")</f>
        <v/>
      </c>
      <c r="J371" s="63">
        <f>IF(OR($H371="",$I371="",$G371=""),"",MAX(1,(YEAR($I371)-YEAR($H371))*12+MONTH($I371)-MONTH($H371)+1))</f>
        <v/>
      </c>
      <c r="K371" s="66">
        <f>IF($J371="","",$G371/$J371)</f>
        <v/>
      </c>
      <c r="L371" s="66">
        <f>IF($J371="",0,$K371*MAX(0,MIN(YEAR($C$3)*12+MONTH($C$3),YEAR($I371)*12+MONTH($I371))-(YEAR($H371)*12+MONTH($H371))+1))</f>
        <v/>
      </c>
      <c r="M371" s="66">
        <f>IF($J371="",0,$K371*MAX(0,MIN(YEAR($C$3)*12+MONTH($C$3)-1,YEAR($I371)*12+MONTH($I371))-(YEAR($H371)*12+MONTH($H371))+1))</f>
        <v/>
      </c>
      <c r="N371" s="66">
        <f>IF(OR($J371="",$B371=""),0,IF(YEAR($B371)*12+MONTH($B371)&lt;=YEAR($C$3)*12+MONTH($C$3),$G371,0))</f>
        <v/>
      </c>
      <c r="O371" s="66">
        <f>IF(OR($J371="",$B371=""),0,IF(YEAR($B371)*12+MONTH($B371)&lt;=YEAR($C$3)*12+MONTH($C$3)-1,$G371,0))</f>
        <v/>
      </c>
      <c r="P371" s="66">
        <f>$M371-$O371</f>
        <v/>
      </c>
      <c r="Q371" s="66">
        <f>($L371-$M371)-($N371-$O371)</f>
        <v/>
      </c>
      <c r="R371" s="66">
        <f>$L371-$N371</f>
        <v/>
      </c>
      <c r="S371" s="65">
        <f>"Finance invoice"</f>
        <v/>
      </c>
      <c r="T371" s="65">
        <f>"Revenue"</f>
        <v/>
      </c>
    </row>
    <row r="372">
      <c r="A372" s="63">
        <f>ROW()-5</f>
        <v/>
      </c>
      <c r="B372" s="64">
        <f>IFERROR(INDEX(tbl_Finance[Date],$A372),"")</f>
        <v/>
      </c>
      <c r="C372" s="65">
        <f>IFERROR(INDEX(tbl_Finance[Xero Invoice No],$A372),"")</f>
        <v/>
      </c>
      <c r="D372" s="65">
        <f>IFERROR(INDEX(tbl_Finance[Client],$A372),"")</f>
        <v/>
      </c>
      <c r="E372" s="65">
        <f>IFERROR(INDEX(tbl_Finance[Job Number],$A372),"")</f>
        <v/>
      </c>
      <c r="F372" s="65">
        <f>IFERROR(INDEX(tbl_Finance[Cost Centre],$A372),"")</f>
        <v/>
      </c>
      <c r="G372" s="66">
        <f>IFERROR(INDEX(tbl_Finance[Ex GST],$A372),"")</f>
        <v/>
      </c>
      <c r="H372" s="64">
        <f>IFERROR(INDEX(tbl_Finance[Defer Start],$A372),"")</f>
        <v/>
      </c>
      <c r="I372" s="64">
        <f>IFERROR(INDEX(tbl_Finance[Defer End],$A372),"")</f>
        <v/>
      </c>
      <c r="J372" s="63">
        <f>IF(OR($H372="",$I372="",$G372=""),"",MAX(1,(YEAR($I372)-YEAR($H372))*12+MONTH($I372)-MONTH($H372)+1))</f>
        <v/>
      </c>
      <c r="K372" s="66">
        <f>IF($J372="","",$G372/$J372)</f>
        <v/>
      </c>
      <c r="L372" s="66">
        <f>IF($J372="",0,$K372*MAX(0,MIN(YEAR($C$3)*12+MONTH($C$3),YEAR($I372)*12+MONTH($I372))-(YEAR($H372)*12+MONTH($H372))+1))</f>
        <v/>
      </c>
      <c r="M372" s="66">
        <f>IF($J372="",0,$K372*MAX(0,MIN(YEAR($C$3)*12+MONTH($C$3)-1,YEAR($I372)*12+MONTH($I372))-(YEAR($H372)*12+MONTH($H372))+1))</f>
        <v/>
      </c>
      <c r="N372" s="66">
        <f>IF(OR($J372="",$B372=""),0,IF(YEAR($B372)*12+MONTH($B372)&lt;=YEAR($C$3)*12+MONTH($C$3),$G372,0))</f>
        <v/>
      </c>
      <c r="O372" s="66">
        <f>IF(OR($J372="",$B372=""),0,IF(YEAR($B372)*12+MONTH($B372)&lt;=YEAR($C$3)*12+MONTH($C$3)-1,$G372,0))</f>
        <v/>
      </c>
      <c r="P372" s="66">
        <f>$M372-$O372</f>
        <v/>
      </c>
      <c r="Q372" s="66">
        <f>($L372-$M372)-($N372-$O372)</f>
        <v/>
      </c>
      <c r="R372" s="66">
        <f>$L372-$N372</f>
        <v/>
      </c>
      <c r="S372" s="65">
        <f>"Finance invoice"</f>
        <v/>
      </c>
      <c r="T372" s="65">
        <f>"Revenue"</f>
        <v/>
      </c>
    </row>
    <row r="373">
      <c r="A373" s="63">
        <f>ROW()-5</f>
        <v/>
      </c>
      <c r="B373" s="64">
        <f>IFERROR(INDEX(tbl_Finance[Date],$A373),"")</f>
        <v/>
      </c>
      <c r="C373" s="65">
        <f>IFERROR(INDEX(tbl_Finance[Xero Invoice No],$A373),"")</f>
        <v/>
      </c>
      <c r="D373" s="65">
        <f>IFERROR(INDEX(tbl_Finance[Client],$A373),"")</f>
        <v/>
      </c>
      <c r="E373" s="65">
        <f>IFERROR(INDEX(tbl_Finance[Job Number],$A373),"")</f>
        <v/>
      </c>
      <c r="F373" s="65">
        <f>IFERROR(INDEX(tbl_Finance[Cost Centre],$A373),"")</f>
        <v/>
      </c>
      <c r="G373" s="66">
        <f>IFERROR(INDEX(tbl_Finance[Ex GST],$A373),"")</f>
        <v/>
      </c>
      <c r="H373" s="64">
        <f>IFERROR(INDEX(tbl_Finance[Defer Start],$A373),"")</f>
        <v/>
      </c>
      <c r="I373" s="64">
        <f>IFERROR(INDEX(tbl_Finance[Defer End],$A373),"")</f>
        <v/>
      </c>
      <c r="J373" s="63">
        <f>IF(OR($H373="",$I373="",$G373=""),"",MAX(1,(YEAR($I373)-YEAR($H373))*12+MONTH($I373)-MONTH($H373)+1))</f>
        <v/>
      </c>
      <c r="K373" s="66">
        <f>IF($J373="","",$G373/$J373)</f>
        <v/>
      </c>
      <c r="L373" s="66">
        <f>IF($J373="",0,$K373*MAX(0,MIN(YEAR($C$3)*12+MONTH($C$3),YEAR($I373)*12+MONTH($I373))-(YEAR($H373)*12+MONTH($H373))+1))</f>
        <v/>
      </c>
      <c r="M373" s="66">
        <f>IF($J373="",0,$K373*MAX(0,MIN(YEAR($C$3)*12+MONTH($C$3)-1,YEAR($I373)*12+MONTH($I373))-(YEAR($H373)*12+MONTH($H373))+1))</f>
        <v/>
      </c>
      <c r="N373" s="66">
        <f>IF(OR($J373="",$B373=""),0,IF(YEAR($B373)*12+MONTH($B373)&lt;=YEAR($C$3)*12+MONTH($C$3),$G373,0))</f>
        <v/>
      </c>
      <c r="O373" s="66">
        <f>IF(OR($J373="",$B373=""),0,IF(YEAR($B373)*12+MONTH($B373)&lt;=YEAR($C$3)*12+MONTH($C$3)-1,$G373,0))</f>
        <v/>
      </c>
      <c r="P373" s="66">
        <f>$M373-$O373</f>
        <v/>
      </c>
      <c r="Q373" s="66">
        <f>($L373-$M373)-($N373-$O373)</f>
        <v/>
      </c>
      <c r="R373" s="66">
        <f>$L373-$N373</f>
        <v/>
      </c>
      <c r="S373" s="65">
        <f>"Finance invoice"</f>
        <v/>
      </c>
      <c r="T373" s="65">
        <f>"Revenue"</f>
        <v/>
      </c>
    </row>
    <row r="374">
      <c r="A374" s="63">
        <f>ROW()-5</f>
        <v/>
      </c>
      <c r="B374" s="64">
        <f>IFERROR(INDEX(tbl_Finance[Date],$A374),"")</f>
        <v/>
      </c>
      <c r="C374" s="65">
        <f>IFERROR(INDEX(tbl_Finance[Xero Invoice No],$A374),"")</f>
        <v/>
      </c>
      <c r="D374" s="65">
        <f>IFERROR(INDEX(tbl_Finance[Client],$A374),"")</f>
        <v/>
      </c>
      <c r="E374" s="65">
        <f>IFERROR(INDEX(tbl_Finance[Job Number],$A374),"")</f>
        <v/>
      </c>
      <c r="F374" s="65">
        <f>IFERROR(INDEX(tbl_Finance[Cost Centre],$A374),"")</f>
        <v/>
      </c>
      <c r="G374" s="66">
        <f>IFERROR(INDEX(tbl_Finance[Ex GST],$A374),"")</f>
        <v/>
      </c>
      <c r="H374" s="64">
        <f>IFERROR(INDEX(tbl_Finance[Defer Start],$A374),"")</f>
        <v/>
      </c>
      <c r="I374" s="64">
        <f>IFERROR(INDEX(tbl_Finance[Defer End],$A374),"")</f>
        <v/>
      </c>
      <c r="J374" s="63">
        <f>IF(OR($H374="",$I374="",$G374=""),"",MAX(1,(YEAR($I374)-YEAR($H374))*12+MONTH($I374)-MONTH($H374)+1))</f>
        <v/>
      </c>
      <c r="K374" s="66">
        <f>IF($J374="","",$G374/$J374)</f>
        <v/>
      </c>
      <c r="L374" s="66">
        <f>IF($J374="",0,$K374*MAX(0,MIN(YEAR($C$3)*12+MONTH($C$3),YEAR($I374)*12+MONTH($I374))-(YEAR($H374)*12+MONTH($H374))+1))</f>
        <v/>
      </c>
      <c r="M374" s="66">
        <f>IF($J374="",0,$K374*MAX(0,MIN(YEAR($C$3)*12+MONTH($C$3)-1,YEAR($I374)*12+MONTH($I374))-(YEAR($H374)*12+MONTH($H374))+1))</f>
        <v/>
      </c>
      <c r="N374" s="66">
        <f>IF(OR($J374="",$B374=""),0,IF(YEAR($B374)*12+MONTH($B374)&lt;=YEAR($C$3)*12+MONTH($C$3),$G374,0))</f>
        <v/>
      </c>
      <c r="O374" s="66">
        <f>IF(OR($J374="",$B374=""),0,IF(YEAR($B374)*12+MONTH($B374)&lt;=YEAR($C$3)*12+MONTH($C$3)-1,$G374,0))</f>
        <v/>
      </c>
      <c r="P374" s="66">
        <f>$M374-$O374</f>
        <v/>
      </c>
      <c r="Q374" s="66">
        <f>($L374-$M374)-($N374-$O374)</f>
        <v/>
      </c>
      <c r="R374" s="66">
        <f>$L374-$N374</f>
        <v/>
      </c>
      <c r="S374" s="65">
        <f>"Finance invoice"</f>
        <v/>
      </c>
      <c r="T374" s="65">
        <f>"Revenue"</f>
        <v/>
      </c>
    </row>
    <row r="375">
      <c r="A375" s="63">
        <f>ROW()-5</f>
        <v/>
      </c>
      <c r="B375" s="64">
        <f>IFERROR(INDEX(tbl_Finance[Date],$A375),"")</f>
        <v/>
      </c>
      <c r="C375" s="65">
        <f>IFERROR(INDEX(tbl_Finance[Xero Invoice No],$A375),"")</f>
        <v/>
      </c>
      <c r="D375" s="65">
        <f>IFERROR(INDEX(tbl_Finance[Client],$A375),"")</f>
        <v/>
      </c>
      <c r="E375" s="65">
        <f>IFERROR(INDEX(tbl_Finance[Job Number],$A375),"")</f>
        <v/>
      </c>
      <c r="F375" s="65">
        <f>IFERROR(INDEX(tbl_Finance[Cost Centre],$A375),"")</f>
        <v/>
      </c>
      <c r="G375" s="66">
        <f>IFERROR(INDEX(tbl_Finance[Ex GST],$A375),"")</f>
        <v/>
      </c>
      <c r="H375" s="64">
        <f>IFERROR(INDEX(tbl_Finance[Defer Start],$A375),"")</f>
        <v/>
      </c>
      <c r="I375" s="64">
        <f>IFERROR(INDEX(tbl_Finance[Defer End],$A375),"")</f>
        <v/>
      </c>
      <c r="J375" s="63">
        <f>IF(OR($H375="",$I375="",$G375=""),"",MAX(1,(YEAR($I375)-YEAR($H375))*12+MONTH($I375)-MONTH($H375)+1))</f>
        <v/>
      </c>
      <c r="K375" s="66">
        <f>IF($J375="","",$G375/$J375)</f>
        <v/>
      </c>
      <c r="L375" s="66">
        <f>IF($J375="",0,$K375*MAX(0,MIN(YEAR($C$3)*12+MONTH($C$3),YEAR($I375)*12+MONTH($I375))-(YEAR($H375)*12+MONTH($H375))+1))</f>
        <v/>
      </c>
      <c r="M375" s="66">
        <f>IF($J375="",0,$K375*MAX(0,MIN(YEAR($C$3)*12+MONTH($C$3)-1,YEAR($I375)*12+MONTH($I375))-(YEAR($H375)*12+MONTH($H375))+1))</f>
        <v/>
      </c>
      <c r="N375" s="66">
        <f>IF(OR($J375="",$B375=""),0,IF(YEAR($B375)*12+MONTH($B375)&lt;=YEAR($C$3)*12+MONTH($C$3),$G375,0))</f>
        <v/>
      </c>
      <c r="O375" s="66">
        <f>IF(OR($J375="",$B375=""),0,IF(YEAR($B375)*12+MONTH($B375)&lt;=YEAR($C$3)*12+MONTH($C$3)-1,$G375,0))</f>
        <v/>
      </c>
      <c r="P375" s="66">
        <f>$M375-$O375</f>
        <v/>
      </c>
      <c r="Q375" s="66">
        <f>($L375-$M375)-($N375-$O375)</f>
        <v/>
      </c>
      <c r="R375" s="66">
        <f>$L375-$N375</f>
        <v/>
      </c>
      <c r="S375" s="65">
        <f>"Finance invoice"</f>
        <v/>
      </c>
      <c r="T375" s="65">
        <f>"Revenue"</f>
        <v/>
      </c>
    </row>
    <row r="376">
      <c r="A376" s="63">
        <f>ROW()-5</f>
        <v/>
      </c>
      <c r="B376" s="64">
        <f>IFERROR(INDEX(tbl_Finance[Date],$A376),"")</f>
        <v/>
      </c>
      <c r="C376" s="65">
        <f>IFERROR(INDEX(tbl_Finance[Xero Invoice No],$A376),"")</f>
        <v/>
      </c>
      <c r="D376" s="65">
        <f>IFERROR(INDEX(tbl_Finance[Client],$A376),"")</f>
        <v/>
      </c>
      <c r="E376" s="65">
        <f>IFERROR(INDEX(tbl_Finance[Job Number],$A376),"")</f>
        <v/>
      </c>
      <c r="F376" s="65">
        <f>IFERROR(INDEX(tbl_Finance[Cost Centre],$A376),"")</f>
        <v/>
      </c>
      <c r="G376" s="66">
        <f>IFERROR(INDEX(tbl_Finance[Ex GST],$A376),"")</f>
        <v/>
      </c>
      <c r="H376" s="64">
        <f>IFERROR(INDEX(tbl_Finance[Defer Start],$A376),"")</f>
        <v/>
      </c>
      <c r="I376" s="64">
        <f>IFERROR(INDEX(tbl_Finance[Defer End],$A376),"")</f>
        <v/>
      </c>
      <c r="J376" s="63">
        <f>IF(OR($H376="",$I376="",$G376=""),"",MAX(1,(YEAR($I376)-YEAR($H376))*12+MONTH($I376)-MONTH($H376)+1))</f>
        <v/>
      </c>
      <c r="K376" s="66">
        <f>IF($J376="","",$G376/$J376)</f>
        <v/>
      </c>
      <c r="L376" s="66">
        <f>IF($J376="",0,$K376*MAX(0,MIN(YEAR($C$3)*12+MONTH($C$3),YEAR($I376)*12+MONTH($I376))-(YEAR($H376)*12+MONTH($H376))+1))</f>
        <v/>
      </c>
      <c r="M376" s="66">
        <f>IF($J376="",0,$K376*MAX(0,MIN(YEAR($C$3)*12+MONTH($C$3)-1,YEAR($I376)*12+MONTH($I376))-(YEAR($H376)*12+MONTH($H376))+1))</f>
        <v/>
      </c>
      <c r="N376" s="66">
        <f>IF(OR($J376="",$B376=""),0,IF(YEAR($B376)*12+MONTH($B376)&lt;=YEAR($C$3)*12+MONTH($C$3),$G376,0))</f>
        <v/>
      </c>
      <c r="O376" s="66">
        <f>IF(OR($J376="",$B376=""),0,IF(YEAR($B376)*12+MONTH($B376)&lt;=YEAR($C$3)*12+MONTH($C$3)-1,$G376,0))</f>
        <v/>
      </c>
      <c r="P376" s="66">
        <f>$M376-$O376</f>
        <v/>
      </c>
      <c r="Q376" s="66">
        <f>($L376-$M376)-($N376-$O376)</f>
        <v/>
      </c>
      <c r="R376" s="66">
        <f>$L376-$N376</f>
        <v/>
      </c>
      <c r="S376" s="65">
        <f>"Finance invoice"</f>
        <v/>
      </c>
      <c r="T376" s="65">
        <f>"Revenue"</f>
        <v/>
      </c>
    </row>
    <row r="377">
      <c r="A377" s="63">
        <f>ROW()-5</f>
        <v/>
      </c>
      <c r="B377" s="64">
        <f>IFERROR(INDEX(tbl_Finance[Date],$A377),"")</f>
        <v/>
      </c>
      <c r="C377" s="65">
        <f>IFERROR(INDEX(tbl_Finance[Xero Invoice No],$A377),"")</f>
        <v/>
      </c>
      <c r="D377" s="65">
        <f>IFERROR(INDEX(tbl_Finance[Client],$A377),"")</f>
        <v/>
      </c>
      <c r="E377" s="65">
        <f>IFERROR(INDEX(tbl_Finance[Job Number],$A377),"")</f>
        <v/>
      </c>
      <c r="F377" s="65">
        <f>IFERROR(INDEX(tbl_Finance[Cost Centre],$A377),"")</f>
        <v/>
      </c>
      <c r="G377" s="66">
        <f>IFERROR(INDEX(tbl_Finance[Ex GST],$A377),"")</f>
        <v/>
      </c>
      <c r="H377" s="64">
        <f>IFERROR(INDEX(tbl_Finance[Defer Start],$A377),"")</f>
        <v/>
      </c>
      <c r="I377" s="64">
        <f>IFERROR(INDEX(tbl_Finance[Defer End],$A377),"")</f>
        <v/>
      </c>
      <c r="J377" s="63">
        <f>IF(OR($H377="",$I377="",$G377=""),"",MAX(1,(YEAR($I377)-YEAR($H377))*12+MONTH($I377)-MONTH($H377)+1))</f>
        <v/>
      </c>
      <c r="K377" s="66">
        <f>IF($J377="","",$G377/$J377)</f>
        <v/>
      </c>
      <c r="L377" s="66">
        <f>IF($J377="",0,$K377*MAX(0,MIN(YEAR($C$3)*12+MONTH($C$3),YEAR($I377)*12+MONTH($I377))-(YEAR($H377)*12+MONTH($H377))+1))</f>
        <v/>
      </c>
      <c r="M377" s="66">
        <f>IF($J377="",0,$K377*MAX(0,MIN(YEAR($C$3)*12+MONTH($C$3)-1,YEAR($I377)*12+MONTH($I377))-(YEAR($H377)*12+MONTH($H377))+1))</f>
        <v/>
      </c>
      <c r="N377" s="66">
        <f>IF(OR($J377="",$B377=""),0,IF(YEAR($B377)*12+MONTH($B377)&lt;=YEAR($C$3)*12+MONTH($C$3),$G377,0))</f>
        <v/>
      </c>
      <c r="O377" s="66">
        <f>IF(OR($J377="",$B377=""),0,IF(YEAR($B377)*12+MONTH($B377)&lt;=YEAR($C$3)*12+MONTH($C$3)-1,$G377,0))</f>
        <v/>
      </c>
      <c r="P377" s="66">
        <f>$M377-$O377</f>
        <v/>
      </c>
      <c r="Q377" s="66">
        <f>($L377-$M377)-($N377-$O377)</f>
        <v/>
      </c>
      <c r="R377" s="66">
        <f>$L377-$N377</f>
        <v/>
      </c>
      <c r="S377" s="65">
        <f>"Finance invoice"</f>
        <v/>
      </c>
      <c r="T377" s="65">
        <f>"Revenue"</f>
        <v/>
      </c>
    </row>
    <row r="378">
      <c r="A378" s="63">
        <f>ROW()-5</f>
        <v/>
      </c>
      <c r="B378" s="64">
        <f>IFERROR(INDEX(tbl_Finance[Date],$A378),"")</f>
        <v/>
      </c>
      <c r="C378" s="65">
        <f>IFERROR(INDEX(tbl_Finance[Xero Invoice No],$A378),"")</f>
        <v/>
      </c>
      <c r="D378" s="65">
        <f>IFERROR(INDEX(tbl_Finance[Client],$A378),"")</f>
        <v/>
      </c>
      <c r="E378" s="65">
        <f>IFERROR(INDEX(tbl_Finance[Job Number],$A378),"")</f>
        <v/>
      </c>
      <c r="F378" s="65">
        <f>IFERROR(INDEX(tbl_Finance[Cost Centre],$A378),"")</f>
        <v/>
      </c>
      <c r="G378" s="66">
        <f>IFERROR(INDEX(tbl_Finance[Ex GST],$A378),"")</f>
        <v/>
      </c>
      <c r="H378" s="64">
        <f>IFERROR(INDEX(tbl_Finance[Defer Start],$A378),"")</f>
        <v/>
      </c>
      <c r="I378" s="64">
        <f>IFERROR(INDEX(tbl_Finance[Defer End],$A378),"")</f>
        <v/>
      </c>
      <c r="J378" s="63">
        <f>IF(OR($H378="",$I378="",$G378=""),"",MAX(1,(YEAR($I378)-YEAR($H378))*12+MONTH($I378)-MONTH($H378)+1))</f>
        <v/>
      </c>
      <c r="K378" s="66">
        <f>IF($J378="","",$G378/$J378)</f>
        <v/>
      </c>
      <c r="L378" s="66">
        <f>IF($J378="",0,$K378*MAX(0,MIN(YEAR($C$3)*12+MONTH($C$3),YEAR($I378)*12+MONTH($I378))-(YEAR($H378)*12+MONTH($H378))+1))</f>
        <v/>
      </c>
      <c r="M378" s="66">
        <f>IF($J378="",0,$K378*MAX(0,MIN(YEAR($C$3)*12+MONTH($C$3)-1,YEAR($I378)*12+MONTH($I378))-(YEAR($H378)*12+MONTH($H378))+1))</f>
        <v/>
      </c>
      <c r="N378" s="66">
        <f>IF(OR($J378="",$B378=""),0,IF(YEAR($B378)*12+MONTH($B378)&lt;=YEAR($C$3)*12+MONTH($C$3),$G378,0))</f>
        <v/>
      </c>
      <c r="O378" s="66">
        <f>IF(OR($J378="",$B378=""),0,IF(YEAR($B378)*12+MONTH($B378)&lt;=YEAR($C$3)*12+MONTH($C$3)-1,$G378,0))</f>
        <v/>
      </c>
      <c r="P378" s="66">
        <f>$M378-$O378</f>
        <v/>
      </c>
      <c r="Q378" s="66">
        <f>($L378-$M378)-($N378-$O378)</f>
        <v/>
      </c>
      <c r="R378" s="66">
        <f>$L378-$N378</f>
        <v/>
      </c>
      <c r="S378" s="65">
        <f>"Finance invoice"</f>
        <v/>
      </c>
      <c r="T378" s="65">
        <f>"Revenue"</f>
        <v/>
      </c>
    </row>
    <row r="379">
      <c r="A379" s="63">
        <f>ROW()-5</f>
        <v/>
      </c>
      <c r="B379" s="64">
        <f>IFERROR(INDEX(tbl_Finance[Date],$A379),"")</f>
        <v/>
      </c>
      <c r="C379" s="65">
        <f>IFERROR(INDEX(tbl_Finance[Xero Invoice No],$A379),"")</f>
        <v/>
      </c>
      <c r="D379" s="65">
        <f>IFERROR(INDEX(tbl_Finance[Client],$A379),"")</f>
        <v/>
      </c>
      <c r="E379" s="65">
        <f>IFERROR(INDEX(tbl_Finance[Job Number],$A379),"")</f>
        <v/>
      </c>
      <c r="F379" s="65">
        <f>IFERROR(INDEX(tbl_Finance[Cost Centre],$A379),"")</f>
        <v/>
      </c>
      <c r="G379" s="66">
        <f>IFERROR(INDEX(tbl_Finance[Ex GST],$A379),"")</f>
        <v/>
      </c>
      <c r="H379" s="64">
        <f>IFERROR(INDEX(tbl_Finance[Defer Start],$A379),"")</f>
        <v/>
      </c>
      <c r="I379" s="64">
        <f>IFERROR(INDEX(tbl_Finance[Defer End],$A379),"")</f>
        <v/>
      </c>
      <c r="J379" s="63">
        <f>IF(OR($H379="",$I379="",$G379=""),"",MAX(1,(YEAR($I379)-YEAR($H379))*12+MONTH($I379)-MONTH($H379)+1))</f>
        <v/>
      </c>
      <c r="K379" s="66">
        <f>IF($J379="","",$G379/$J379)</f>
        <v/>
      </c>
      <c r="L379" s="66">
        <f>IF($J379="",0,$K379*MAX(0,MIN(YEAR($C$3)*12+MONTH($C$3),YEAR($I379)*12+MONTH($I379))-(YEAR($H379)*12+MONTH($H379))+1))</f>
        <v/>
      </c>
      <c r="M379" s="66">
        <f>IF($J379="",0,$K379*MAX(0,MIN(YEAR($C$3)*12+MONTH($C$3)-1,YEAR($I379)*12+MONTH($I379))-(YEAR($H379)*12+MONTH($H379))+1))</f>
        <v/>
      </c>
      <c r="N379" s="66">
        <f>IF(OR($J379="",$B379=""),0,IF(YEAR($B379)*12+MONTH($B379)&lt;=YEAR($C$3)*12+MONTH($C$3),$G379,0))</f>
        <v/>
      </c>
      <c r="O379" s="66">
        <f>IF(OR($J379="",$B379=""),0,IF(YEAR($B379)*12+MONTH($B379)&lt;=YEAR($C$3)*12+MONTH($C$3)-1,$G379,0))</f>
        <v/>
      </c>
      <c r="P379" s="66">
        <f>$M379-$O379</f>
        <v/>
      </c>
      <c r="Q379" s="66">
        <f>($L379-$M379)-($N379-$O379)</f>
        <v/>
      </c>
      <c r="R379" s="66">
        <f>$L379-$N379</f>
        <v/>
      </c>
      <c r="S379" s="65">
        <f>"Finance invoice"</f>
        <v/>
      </c>
      <c r="T379" s="65">
        <f>"Revenue"</f>
        <v/>
      </c>
    </row>
    <row r="380">
      <c r="A380" s="63">
        <f>ROW()-5</f>
        <v/>
      </c>
      <c r="B380" s="64">
        <f>IFERROR(INDEX(tbl_Finance[Date],$A380),"")</f>
        <v/>
      </c>
      <c r="C380" s="65">
        <f>IFERROR(INDEX(tbl_Finance[Xero Invoice No],$A380),"")</f>
        <v/>
      </c>
      <c r="D380" s="65">
        <f>IFERROR(INDEX(tbl_Finance[Client],$A380),"")</f>
        <v/>
      </c>
      <c r="E380" s="65">
        <f>IFERROR(INDEX(tbl_Finance[Job Number],$A380),"")</f>
        <v/>
      </c>
      <c r="F380" s="65">
        <f>IFERROR(INDEX(tbl_Finance[Cost Centre],$A380),"")</f>
        <v/>
      </c>
      <c r="G380" s="66">
        <f>IFERROR(INDEX(tbl_Finance[Ex GST],$A380),"")</f>
        <v/>
      </c>
      <c r="H380" s="64">
        <f>IFERROR(INDEX(tbl_Finance[Defer Start],$A380),"")</f>
        <v/>
      </c>
      <c r="I380" s="64">
        <f>IFERROR(INDEX(tbl_Finance[Defer End],$A380),"")</f>
        <v/>
      </c>
      <c r="J380" s="63">
        <f>IF(OR($H380="",$I380="",$G380=""),"",MAX(1,(YEAR($I380)-YEAR($H380))*12+MONTH($I380)-MONTH($H380)+1))</f>
        <v/>
      </c>
      <c r="K380" s="66">
        <f>IF($J380="","",$G380/$J380)</f>
        <v/>
      </c>
      <c r="L380" s="66">
        <f>IF($J380="",0,$K380*MAX(0,MIN(YEAR($C$3)*12+MONTH($C$3),YEAR($I380)*12+MONTH($I380))-(YEAR($H380)*12+MONTH($H380))+1))</f>
        <v/>
      </c>
      <c r="M380" s="66">
        <f>IF($J380="",0,$K380*MAX(0,MIN(YEAR($C$3)*12+MONTH($C$3)-1,YEAR($I380)*12+MONTH($I380))-(YEAR($H380)*12+MONTH($H380))+1))</f>
        <v/>
      </c>
      <c r="N380" s="66">
        <f>IF(OR($J380="",$B380=""),0,IF(YEAR($B380)*12+MONTH($B380)&lt;=YEAR($C$3)*12+MONTH($C$3),$G380,0))</f>
        <v/>
      </c>
      <c r="O380" s="66">
        <f>IF(OR($J380="",$B380=""),0,IF(YEAR($B380)*12+MONTH($B380)&lt;=YEAR($C$3)*12+MONTH($C$3)-1,$G380,0))</f>
        <v/>
      </c>
      <c r="P380" s="66">
        <f>$M380-$O380</f>
        <v/>
      </c>
      <c r="Q380" s="66">
        <f>($L380-$M380)-($N380-$O380)</f>
        <v/>
      </c>
      <c r="R380" s="66">
        <f>$L380-$N380</f>
        <v/>
      </c>
      <c r="S380" s="65">
        <f>"Finance invoice"</f>
        <v/>
      </c>
      <c r="T380" s="65">
        <f>"Revenue"</f>
        <v/>
      </c>
    </row>
    <row r="381">
      <c r="A381" s="63">
        <f>ROW()-5</f>
        <v/>
      </c>
      <c r="B381" s="64">
        <f>IFERROR(INDEX(tbl_Finance[Date],$A381),"")</f>
        <v/>
      </c>
      <c r="C381" s="65">
        <f>IFERROR(INDEX(tbl_Finance[Xero Invoice No],$A381),"")</f>
        <v/>
      </c>
      <c r="D381" s="65">
        <f>IFERROR(INDEX(tbl_Finance[Client],$A381),"")</f>
        <v/>
      </c>
      <c r="E381" s="65">
        <f>IFERROR(INDEX(tbl_Finance[Job Number],$A381),"")</f>
        <v/>
      </c>
      <c r="F381" s="65">
        <f>IFERROR(INDEX(tbl_Finance[Cost Centre],$A381),"")</f>
        <v/>
      </c>
      <c r="G381" s="66">
        <f>IFERROR(INDEX(tbl_Finance[Ex GST],$A381),"")</f>
        <v/>
      </c>
      <c r="H381" s="64">
        <f>IFERROR(INDEX(tbl_Finance[Defer Start],$A381),"")</f>
        <v/>
      </c>
      <c r="I381" s="64">
        <f>IFERROR(INDEX(tbl_Finance[Defer End],$A381),"")</f>
        <v/>
      </c>
      <c r="J381" s="63">
        <f>IF(OR($H381="",$I381="",$G381=""),"",MAX(1,(YEAR($I381)-YEAR($H381))*12+MONTH($I381)-MONTH($H381)+1))</f>
        <v/>
      </c>
      <c r="K381" s="66">
        <f>IF($J381="","",$G381/$J381)</f>
        <v/>
      </c>
      <c r="L381" s="66">
        <f>IF($J381="",0,$K381*MAX(0,MIN(YEAR($C$3)*12+MONTH($C$3),YEAR($I381)*12+MONTH($I381))-(YEAR($H381)*12+MONTH($H381))+1))</f>
        <v/>
      </c>
      <c r="M381" s="66">
        <f>IF($J381="",0,$K381*MAX(0,MIN(YEAR($C$3)*12+MONTH($C$3)-1,YEAR($I381)*12+MONTH($I381))-(YEAR($H381)*12+MONTH($H381))+1))</f>
        <v/>
      </c>
      <c r="N381" s="66">
        <f>IF(OR($J381="",$B381=""),0,IF(YEAR($B381)*12+MONTH($B381)&lt;=YEAR($C$3)*12+MONTH($C$3),$G381,0))</f>
        <v/>
      </c>
      <c r="O381" s="66">
        <f>IF(OR($J381="",$B381=""),0,IF(YEAR($B381)*12+MONTH($B381)&lt;=YEAR($C$3)*12+MONTH($C$3)-1,$G381,0))</f>
        <v/>
      </c>
      <c r="P381" s="66">
        <f>$M381-$O381</f>
        <v/>
      </c>
      <c r="Q381" s="66">
        <f>($L381-$M381)-($N381-$O381)</f>
        <v/>
      </c>
      <c r="R381" s="66">
        <f>$L381-$N381</f>
        <v/>
      </c>
      <c r="S381" s="65">
        <f>"Finance invoice"</f>
        <v/>
      </c>
      <c r="T381" s="65">
        <f>"Revenue"</f>
        <v/>
      </c>
    </row>
    <row r="382">
      <c r="A382" s="63">
        <f>ROW()-5</f>
        <v/>
      </c>
      <c r="B382" s="64">
        <f>IFERROR(INDEX(tbl_Finance[Date],$A382),"")</f>
        <v/>
      </c>
      <c r="C382" s="65">
        <f>IFERROR(INDEX(tbl_Finance[Xero Invoice No],$A382),"")</f>
        <v/>
      </c>
      <c r="D382" s="65">
        <f>IFERROR(INDEX(tbl_Finance[Client],$A382),"")</f>
        <v/>
      </c>
      <c r="E382" s="65">
        <f>IFERROR(INDEX(tbl_Finance[Job Number],$A382),"")</f>
        <v/>
      </c>
      <c r="F382" s="65">
        <f>IFERROR(INDEX(tbl_Finance[Cost Centre],$A382),"")</f>
        <v/>
      </c>
      <c r="G382" s="66">
        <f>IFERROR(INDEX(tbl_Finance[Ex GST],$A382),"")</f>
        <v/>
      </c>
      <c r="H382" s="64">
        <f>IFERROR(INDEX(tbl_Finance[Defer Start],$A382),"")</f>
        <v/>
      </c>
      <c r="I382" s="64">
        <f>IFERROR(INDEX(tbl_Finance[Defer End],$A382),"")</f>
        <v/>
      </c>
      <c r="J382" s="63">
        <f>IF(OR($H382="",$I382="",$G382=""),"",MAX(1,(YEAR($I382)-YEAR($H382))*12+MONTH($I382)-MONTH($H382)+1))</f>
        <v/>
      </c>
      <c r="K382" s="66">
        <f>IF($J382="","",$G382/$J382)</f>
        <v/>
      </c>
      <c r="L382" s="66">
        <f>IF($J382="",0,$K382*MAX(0,MIN(YEAR($C$3)*12+MONTH($C$3),YEAR($I382)*12+MONTH($I382))-(YEAR($H382)*12+MONTH($H382))+1))</f>
        <v/>
      </c>
      <c r="M382" s="66">
        <f>IF($J382="",0,$K382*MAX(0,MIN(YEAR($C$3)*12+MONTH($C$3)-1,YEAR($I382)*12+MONTH($I382))-(YEAR($H382)*12+MONTH($H382))+1))</f>
        <v/>
      </c>
      <c r="N382" s="66">
        <f>IF(OR($J382="",$B382=""),0,IF(YEAR($B382)*12+MONTH($B382)&lt;=YEAR($C$3)*12+MONTH($C$3),$G382,0))</f>
        <v/>
      </c>
      <c r="O382" s="66">
        <f>IF(OR($J382="",$B382=""),0,IF(YEAR($B382)*12+MONTH($B382)&lt;=YEAR($C$3)*12+MONTH($C$3)-1,$G382,0))</f>
        <v/>
      </c>
      <c r="P382" s="66">
        <f>$M382-$O382</f>
        <v/>
      </c>
      <c r="Q382" s="66">
        <f>($L382-$M382)-($N382-$O382)</f>
        <v/>
      </c>
      <c r="R382" s="66">
        <f>$L382-$N382</f>
        <v/>
      </c>
      <c r="S382" s="65">
        <f>"Finance invoice"</f>
        <v/>
      </c>
      <c r="T382" s="65">
        <f>"Revenue"</f>
        <v/>
      </c>
    </row>
    <row r="383">
      <c r="A383" s="63">
        <f>ROW()-5</f>
        <v/>
      </c>
      <c r="B383" s="64">
        <f>IFERROR(INDEX(tbl_Finance[Date],$A383),"")</f>
        <v/>
      </c>
      <c r="C383" s="65">
        <f>IFERROR(INDEX(tbl_Finance[Xero Invoice No],$A383),"")</f>
        <v/>
      </c>
      <c r="D383" s="65">
        <f>IFERROR(INDEX(tbl_Finance[Client],$A383),"")</f>
        <v/>
      </c>
      <c r="E383" s="65">
        <f>IFERROR(INDEX(tbl_Finance[Job Number],$A383),"")</f>
        <v/>
      </c>
      <c r="F383" s="65">
        <f>IFERROR(INDEX(tbl_Finance[Cost Centre],$A383),"")</f>
        <v/>
      </c>
      <c r="G383" s="66">
        <f>IFERROR(INDEX(tbl_Finance[Ex GST],$A383),"")</f>
        <v/>
      </c>
      <c r="H383" s="64">
        <f>IFERROR(INDEX(tbl_Finance[Defer Start],$A383),"")</f>
        <v/>
      </c>
      <c r="I383" s="64">
        <f>IFERROR(INDEX(tbl_Finance[Defer End],$A383),"")</f>
        <v/>
      </c>
      <c r="J383" s="63">
        <f>IF(OR($H383="",$I383="",$G383=""),"",MAX(1,(YEAR($I383)-YEAR($H383))*12+MONTH($I383)-MONTH($H383)+1))</f>
        <v/>
      </c>
      <c r="K383" s="66">
        <f>IF($J383="","",$G383/$J383)</f>
        <v/>
      </c>
      <c r="L383" s="66">
        <f>IF($J383="",0,$K383*MAX(0,MIN(YEAR($C$3)*12+MONTH($C$3),YEAR($I383)*12+MONTH($I383))-(YEAR($H383)*12+MONTH($H383))+1))</f>
        <v/>
      </c>
      <c r="M383" s="66">
        <f>IF($J383="",0,$K383*MAX(0,MIN(YEAR($C$3)*12+MONTH($C$3)-1,YEAR($I383)*12+MONTH($I383))-(YEAR($H383)*12+MONTH($H383))+1))</f>
        <v/>
      </c>
      <c r="N383" s="66">
        <f>IF(OR($J383="",$B383=""),0,IF(YEAR($B383)*12+MONTH($B383)&lt;=YEAR($C$3)*12+MONTH($C$3),$G383,0))</f>
        <v/>
      </c>
      <c r="O383" s="66">
        <f>IF(OR($J383="",$B383=""),0,IF(YEAR($B383)*12+MONTH($B383)&lt;=YEAR($C$3)*12+MONTH($C$3)-1,$G383,0))</f>
        <v/>
      </c>
      <c r="P383" s="66">
        <f>$M383-$O383</f>
        <v/>
      </c>
      <c r="Q383" s="66">
        <f>($L383-$M383)-($N383-$O383)</f>
        <v/>
      </c>
      <c r="R383" s="66">
        <f>$L383-$N383</f>
        <v/>
      </c>
      <c r="S383" s="65">
        <f>"Finance invoice"</f>
        <v/>
      </c>
      <c r="T383" s="65">
        <f>"Revenue"</f>
        <v/>
      </c>
    </row>
    <row r="384">
      <c r="A384" s="63">
        <f>ROW()-5</f>
        <v/>
      </c>
      <c r="B384" s="64">
        <f>IFERROR(INDEX(tbl_Finance[Date],$A384),"")</f>
        <v/>
      </c>
      <c r="C384" s="65">
        <f>IFERROR(INDEX(tbl_Finance[Xero Invoice No],$A384),"")</f>
        <v/>
      </c>
      <c r="D384" s="65">
        <f>IFERROR(INDEX(tbl_Finance[Client],$A384),"")</f>
        <v/>
      </c>
      <c r="E384" s="65">
        <f>IFERROR(INDEX(tbl_Finance[Job Number],$A384),"")</f>
        <v/>
      </c>
      <c r="F384" s="65">
        <f>IFERROR(INDEX(tbl_Finance[Cost Centre],$A384),"")</f>
        <v/>
      </c>
      <c r="G384" s="66">
        <f>IFERROR(INDEX(tbl_Finance[Ex GST],$A384),"")</f>
        <v/>
      </c>
      <c r="H384" s="64">
        <f>IFERROR(INDEX(tbl_Finance[Defer Start],$A384),"")</f>
        <v/>
      </c>
      <c r="I384" s="64">
        <f>IFERROR(INDEX(tbl_Finance[Defer End],$A384),"")</f>
        <v/>
      </c>
      <c r="J384" s="63">
        <f>IF(OR($H384="",$I384="",$G384=""),"",MAX(1,(YEAR($I384)-YEAR($H384))*12+MONTH($I384)-MONTH($H384)+1))</f>
        <v/>
      </c>
      <c r="K384" s="66">
        <f>IF($J384="","",$G384/$J384)</f>
        <v/>
      </c>
      <c r="L384" s="66">
        <f>IF($J384="",0,$K384*MAX(0,MIN(YEAR($C$3)*12+MONTH($C$3),YEAR($I384)*12+MONTH($I384))-(YEAR($H384)*12+MONTH($H384))+1))</f>
        <v/>
      </c>
      <c r="M384" s="66">
        <f>IF($J384="",0,$K384*MAX(0,MIN(YEAR($C$3)*12+MONTH($C$3)-1,YEAR($I384)*12+MONTH($I384))-(YEAR($H384)*12+MONTH($H384))+1))</f>
        <v/>
      </c>
      <c r="N384" s="66">
        <f>IF(OR($J384="",$B384=""),0,IF(YEAR($B384)*12+MONTH($B384)&lt;=YEAR($C$3)*12+MONTH($C$3),$G384,0))</f>
        <v/>
      </c>
      <c r="O384" s="66">
        <f>IF(OR($J384="",$B384=""),0,IF(YEAR($B384)*12+MONTH($B384)&lt;=YEAR($C$3)*12+MONTH($C$3)-1,$G384,0))</f>
        <v/>
      </c>
      <c r="P384" s="66">
        <f>$M384-$O384</f>
        <v/>
      </c>
      <c r="Q384" s="66">
        <f>($L384-$M384)-($N384-$O384)</f>
        <v/>
      </c>
      <c r="R384" s="66">
        <f>$L384-$N384</f>
        <v/>
      </c>
      <c r="S384" s="65">
        <f>"Finance invoice"</f>
        <v/>
      </c>
      <c r="T384" s="65">
        <f>"Revenue"</f>
        <v/>
      </c>
    </row>
    <row r="385">
      <c r="A385" s="63">
        <f>ROW()-5</f>
        <v/>
      </c>
      <c r="B385" s="64">
        <f>IFERROR(INDEX(tbl_Finance[Date],$A385),"")</f>
        <v/>
      </c>
      <c r="C385" s="65">
        <f>IFERROR(INDEX(tbl_Finance[Xero Invoice No],$A385),"")</f>
        <v/>
      </c>
      <c r="D385" s="65">
        <f>IFERROR(INDEX(tbl_Finance[Client],$A385),"")</f>
        <v/>
      </c>
      <c r="E385" s="65">
        <f>IFERROR(INDEX(tbl_Finance[Job Number],$A385),"")</f>
        <v/>
      </c>
      <c r="F385" s="65">
        <f>IFERROR(INDEX(tbl_Finance[Cost Centre],$A385),"")</f>
        <v/>
      </c>
      <c r="G385" s="66">
        <f>IFERROR(INDEX(tbl_Finance[Ex GST],$A385),"")</f>
        <v/>
      </c>
      <c r="H385" s="64">
        <f>IFERROR(INDEX(tbl_Finance[Defer Start],$A385),"")</f>
        <v/>
      </c>
      <c r="I385" s="64">
        <f>IFERROR(INDEX(tbl_Finance[Defer End],$A385),"")</f>
        <v/>
      </c>
      <c r="J385" s="63">
        <f>IF(OR($H385="",$I385="",$G385=""),"",MAX(1,(YEAR($I385)-YEAR($H385))*12+MONTH($I385)-MONTH($H385)+1))</f>
        <v/>
      </c>
      <c r="K385" s="66">
        <f>IF($J385="","",$G385/$J385)</f>
        <v/>
      </c>
      <c r="L385" s="66">
        <f>IF($J385="",0,$K385*MAX(0,MIN(YEAR($C$3)*12+MONTH($C$3),YEAR($I385)*12+MONTH($I385))-(YEAR($H385)*12+MONTH($H385))+1))</f>
        <v/>
      </c>
      <c r="M385" s="66">
        <f>IF($J385="",0,$K385*MAX(0,MIN(YEAR($C$3)*12+MONTH($C$3)-1,YEAR($I385)*12+MONTH($I385))-(YEAR($H385)*12+MONTH($H385))+1))</f>
        <v/>
      </c>
      <c r="N385" s="66">
        <f>IF(OR($J385="",$B385=""),0,IF(YEAR($B385)*12+MONTH($B385)&lt;=YEAR($C$3)*12+MONTH($C$3),$G385,0))</f>
        <v/>
      </c>
      <c r="O385" s="66">
        <f>IF(OR($J385="",$B385=""),0,IF(YEAR($B385)*12+MONTH($B385)&lt;=YEAR($C$3)*12+MONTH($C$3)-1,$G385,0))</f>
        <v/>
      </c>
      <c r="P385" s="66">
        <f>$M385-$O385</f>
        <v/>
      </c>
      <c r="Q385" s="66">
        <f>($L385-$M385)-($N385-$O385)</f>
        <v/>
      </c>
      <c r="R385" s="66">
        <f>$L385-$N385</f>
        <v/>
      </c>
      <c r="S385" s="65">
        <f>"Finance invoice"</f>
        <v/>
      </c>
      <c r="T385" s="65">
        <f>"Revenue"</f>
        <v/>
      </c>
    </row>
    <row r="386">
      <c r="A386" s="63">
        <f>ROW()-5</f>
        <v/>
      </c>
      <c r="B386" s="64">
        <f>IFERROR(INDEX(tbl_Finance[Date],$A386),"")</f>
        <v/>
      </c>
      <c r="C386" s="65">
        <f>IFERROR(INDEX(tbl_Finance[Xero Invoice No],$A386),"")</f>
        <v/>
      </c>
      <c r="D386" s="65">
        <f>IFERROR(INDEX(tbl_Finance[Client],$A386),"")</f>
        <v/>
      </c>
      <c r="E386" s="65">
        <f>IFERROR(INDEX(tbl_Finance[Job Number],$A386),"")</f>
        <v/>
      </c>
      <c r="F386" s="65">
        <f>IFERROR(INDEX(tbl_Finance[Cost Centre],$A386),"")</f>
        <v/>
      </c>
      <c r="G386" s="66">
        <f>IFERROR(INDEX(tbl_Finance[Ex GST],$A386),"")</f>
        <v/>
      </c>
      <c r="H386" s="64">
        <f>IFERROR(INDEX(tbl_Finance[Defer Start],$A386),"")</f>
        <v/>
      </c>
      <c r="I386" s="64">
        <f>IFERROR(INDEX(tbl_Finance[Defer End],$A386),"")</f>
        <v/>
      </c>
      <c r="J386" s="63">
        <f>IF(OR($H386="",$I386="",$G386=""),"",MAX(1,(YEAR($I386)-YEAR($H386))*12+MONTH($I386)-MONTH($H386)+1))</f>
        <v/>
      </c>
      <c r="K386" s="66">
        <f>IF($J386="","",$G386/$J386)</f>
        <v/>
      </c>
      <c r="L386" s="66">
        <f>IF($J386="",0,$K386*MAX(0,MIN(YEAR($C$3)*12+MONTH($C$3),YEAR($I386)*12+MONTH($I386))-(YEAR($H386)*12+MONTH($H386))+1))</f>
        <v/>
      </c>
      <c r="M386" s="66">
        <f>IF($J386="",0,$K386*MAX(0,MIN(YEAR($C$3)*12+MONTH($C$3)-1,YEAR($I386)*12+MONTH($I386))-(YEAR($H386)*12+MONTH($H386))+1))</f>
        <v/>
      </c>
      <c r="N386" s="66">
        <f>IF(OR($J386="",$B386=""),0,IF(YEAR($B386)*12+MONTH($B386)&lt;=YEAR($C$3)*12+MONTH($C$3),$G386,0))</f>
        <v/>
      </c>
      <c r="O386" s="66">
        <f>IF(OR($J386="",$B386=""),0,IF(YEAR($B386)*12+MONTH($B386)&lt;=YEAR($C$3)*12+MONTH($C$3)-1,$G386,0))</f>
        <v/>
      </c>
      <c r="P386" s="66">
        <f>$M386-$O386</f>
        <v/>
      </c>
      <c r="Q386" s="66">
        <f>($L386-$M386)-($N386-$O386)</f>
        <v/>
      </c>
      <c r="R386" s="66">
        <f>$L386-$N386</f>
        <v/>
      </c>
      <c r="S386" s="65">
        <f>"Finance invoice"</f>
        <v/>
      </c>
      <c r="T386" s="65">
        <f>"Revenue"</f>
        <v/>
      </c>
    </row>
    <row r="387">
      <c r="A387" s="63">
        <f>ROW()-5</f>
        <v/>
      </c>
      <c r="B387" s="64">
        <f>IFERROR(INDEX(tbl_Finance[Date],$A387),"")</f>
        <v/>
      </c>
      <c r="C387" s="65">
        <f>IFERROR(INDEX(tbl_Finance[Xero Invoice No],$A387),"")</f>
        <v/>
      </c>
      <c r="D387" s="65">
        <f>IFERROR(INDEX(tbl_Finance[Client],$A387),"")</f>
        <v/>
      </c>
      <c r="E387" s="65">
        <f>IFERROR(INDEX(tbl_Finance[Job Number],$A387),"")</f>
        <v/>
      </c>
      <c r="F387" s="65">
        <f>IFERROR(INDEX(tbl_Finance[Cost Centre],$A387),"")</f>
        <v/>
      </c>
      <c r="G387" s="66">
        <f>IFERROR(INDEX(tbl_Finance[Ex GST],$A387),"")</f>
        <v/>
      </c>
      <c r="H387" s="64">
        <f>IFERROR(INDEX(tbl_Finance[Defer Start],$A387),"")</f>
        <v/>
      </c>
      <c r="I387" s="64">
        <f>IFERROR(INDEX(tbl_Finance[Defer End],$A387),"")</f>
        <v/>
      </c>
      <c r="J387" s="63">
        <f>IF(OR($H387="",$I387="",$G387=""),"",MAX(1,(YEAR($I387)-YEAR($H387))*12+MONTH($I387)-MONTH($H387)+1))</f>
        <v/>
      </c>
      <c r="K387" s="66">
        <f>IF($J387="","",$G387/$J387)</f>
        <v/>
      </c>
      <c r="L387" s="66">
        <f>IF($J387="",0,$K387*MAX(0,MIN(YEAR($C$3)*12+MONTH($C$3),YEAR($I387)*12+MONTH($I387))-(YEAR($H387)*12+MONTH($H387))+1))</f>
        <v/>
      </c>
      <c r="M387" s="66">
        <f>IF($J387="",0,$K387*MAX(0,MIN(YEAR($C$3)*12+MONTH($C$3)-1,YEAR($I387)*12+MONTH($I387))-(YEAR($H387)*12+MONTH($H387))+1))</f>
        <v/>
      </c>
      <c r="N387" s="66">
        <f>IF(OR($J387="",$B387=""),0,IF(YEAR($B387)*12+MONTH($B387)&lt;=YEAR($C$3)*12+MONTH($C$3),$G387,0))</f>
        <v/>
      </c>
      <c r="O387" s="66">
        <f>IF(OR($J387="",$B387=""),0,IF(YEAR($B387)*12+MONTH($B387)&lt;=YEAR($C$3)*12+MONTH($C$3)-1,$G387,0))</f>
        <v/>
      </c>
      <c r="P387" s="66">
        <f>$M387-$O387</f>
        <v/>
      </c>
      <c r="Q387" s="66">
        <f>($L387-$M387)-($N387-$O387)</f>
        <v/>
      </c>
      <c r="R387" s="66">
        <f>$L387-$N387</f>
        <v/>
      </c>
      <c r="S387" s="65">
        <f>"Finance invoice"</f>
        <v/>
      </c>
      <c r="T387" s="65">
        <f>"Revenue"</f>
        <v/>
      </c>
    </row>
    <row r="388">
      <c r="A388" s="63">
        <f>ROW()-5</f>
        <v/>
      </c>
      <c r="B388" s="64">
        <f>IFERROR(INDEX(tbl_Finance[Date],$A388),"")</f>
        <v/>
      </c>
      <c r="C388" s="65">
        <f>IFERROR(INDEX(tbl_Finance[Xero Invoice No],$A388),"")</f>
        <v/>
      </c>
      <c r="D388" s="65">
        <f>IFERROR(INDEX(tbl_Finance[Client],$A388),"")</f>
        <v/>
      </c>
      <c r="E388" s="65">
        <f>IFERROR(INDEX(tbl_Finance[Job Number],$A388),"")</f>
        <v/>
      </c>
      <c r="F388" s="65">
        <f>IFERROR(INDEX(tbl_Finance[Cost Centre],$A388),"")</f>
        <v/>
      </c>
      <c r="G388" s="66">
        <f>IFERROR(INDEX(tbl_Finance[Ex GST],$A388),"")</f>
        <v/>
      </c>
      <c r="H388" s="64">
        <f>IFERROR(INDEX(tbl_Finance[Defer Start],$A388),"")</f>
        <v/>
      </c>
      <c r="I388" s="64">
        <f>IFERROR(INDEX(tbl_Finance[Defer End],$A388),"")</f>
        <v/>
      </c>
      <c r="J388" s="63">
        <f>IF(OR($H388="",$I388="",$G388=""),"",MAX(1,(YEAR($I388)-YEAR($H388))*12+MONTH($I388)-MONTH($H388)+1))</f>
        <v/>
      </c>
      <c r="K388" s="66">
        <f>IF($J388="","",$G388/$J388)</f>
        <v/>
      </c>
      <c r="L388" s="66">
        <f>IF($J388="",0,$K388*MAX(0,MIN(YEAR($C$3)*12+MONTH($C$3),YEAR($I388)*12+MONTH($I388))-(YEAR($H388)*12+MONTH($H388))+1))</f>
        <v/>
      </c>
      <c r="M388" s="66">
        <f>IF($J388="",0,$K388*MAX(0,MIN(YEAR($C$3)*12+MONTH($C$3)-1,YEAR($I388)*12+MONTH($I388))-(YEAR($H388)*12+MONTH($H388))+1))</f>
        <v/>
      </c>
      <c r="N388" s="66">
        <f>IF(OR($J388="",$B388=""),0,IF(YEAR($B388)*12+MONTH($B388)&lt;=YEAR($C$3)*12+MONTH($C$3),$G388,0))</f>
        <v/>
      </c>
      <c r="O388" s="66">
        <f>IF(OR($J388="",$B388=""),0,IF(YEAR($B388)*12+MONTH($B388)&lt;=YEAR($C$3)*12+MONTH($C$3)-1,$G388,0))</f>
        <v/>
      </c>
      <c r="P388" s="66">
        <f>$M388-$O388</f>
        <v/>
      </c>
      <c r="Q388" s="66">
        <f>($L388-$M388)-($N388-$O388)</f>
        <v/>
      </c>
      <c r="R388" s="66">
        <f>$L388-$N388</f>
        <v/>
      </c>
      <c r="S388" s="65">
        <f>"Finance invoice"</f>
        <v/>
      </c>
      <c r="T388" s="65">
        <f>"Revenue"</f>
        <v/>
      </c>
    </row>
    <row r="389">
      <c r="A389" s="63">
        <f>ROW()-5</f>
        <v/>
      </c>
      <c r="B389" s="64">
        <f>IFERROR(INDEX(tbl_Finance[Date],$A389),"")</f>
        <v/>
      </c>
      <c r="C389" s="65">
        <f>IFERROR(INDEX(tbl_Finance[Xero Invoice No],$A389),"")</f>
        <v/>
      </c>
      <c r="D389" s="65">
        <f>IFERROR(INDEX(tbl_Finance[Client],$A389),"")</f>
        <v/>
      </c>
      <c r="E389" s="65">
        <f>IFERROR(INDEX(tbl_Finance[Job Number],$A389),"")</f>
        <v/>
      </c>
      <c r="F389" s="65">
        <f>IFERROR(INDEX(tbl_Finance[Cost Centre],$A389),"")</f>
        <v/>
      </c>
      <c r="G389" s="66">
        <f>IFERROR(INDEX(tbl_Finance[Ex GST],$A389),"")</f>
        <v/>
      </c>
      <c r="H389" s="64">
        <f>IFERROR(INDEX(tbl_Finance[Defer Start],$A389),"")</f>
        <v/>
      </c>
      <c r="I389" s="64">
        <f>IFERROR(INDEX(tbl_Finance[Defer End],$A389),"")</f>
        <v/>
      </c>
      <c r="J389" s="63">
        <f>IF(OR($H389="",$I389="",$G389=""),"",MAX(1,(YEAR($I389)-YEAR($H389))*12+MONTH($I389)-MONTH($H389)+1))</f>
        <v/>
      </c>
      <c r="K389" s="66">
        <f>IF($J389="","",$G389/$J389)</f>
        <v/>
      </c>
      <c r="L389" s="66">
        <f>IF($J389="",0,$K389*MAX(0,MIN(YEAR($C$3)*12+MONTH($C$3),YEAR($I389)*12+MONTH($I389))-(YEAR($H389)*12+MONTH($H389))+1))</f>
        <v/>
      </c>
      <c r="M389" s="66">
        <f>IF($J389="",0,$K389*MAX(0,MIN(YEAR($C$3)*12+MONTH($C$3)-1,YEAR($I389)*12+MONTH($I389))-(YEAR($H389)*12+MONTH($H389))+1))</f>
        <v/>
      </c>
      <c r="N389" s="66">
        <f>IF(OR($J389="",$B389=""),0,IF(YEAR($B389)*12+MONTH($B389)&lt;=YEAR($C$3)*12+MONTH($C$3),$G389,0))</f>
        <v/>
      </c>
      <c r="O389" s="66">
        <f>IF(OR($J389="",$B389=""),0,IF(YEAR($B389)*12+MONTH($B389)&lt;=YEAR($C$3)*12+MONTH($C$3)-1,$G389,0))</f>
        <v/>
      </c>
      <c r="P389" s="66">
        <f>$M389-$O389</f>
        <v/>
      </c>
      <c r="Q389" s="66">
        <f>($L389-$M389)-($N389-$O389)</f>
        <v/>
      </c>
      <c r="R389" s="66">
        <f>$L389-$N389</f>
        <v/>
      </c>
      <c r="S389" s="65">
        <f>"Finance invoice"</f>
        <v/>
      </c>
      <c r="T389" s="65">
        <f>"Revenue"</f>
        <v/>
      </c>
    </row>
    <row r="390">
      <c r="A390" s="63">
        <f>ROW()-5</f>
        <v/>
      </c>
      <c r="B390" s="64">
        <f>IFERROR(INDEX(tbl_Finance[Date],$A390),"")</f>
        <v/>
      </c>
      <c r="C390" s="65">
        <f>IFERROR(INDEX(tbl_Finance[Xero Invoice No],$A390),"")</f>
        <v/>
      </c>
      <c r="D390" s="65">
        <f>IFERROR(INDEX(tbl_Finance[Client],$A390),"")</f>
        <v/>
      </c>
      <c r="E390" s="65">
        <f>IFERROR(INDEX(tbl_Finance[Job Number],$A390),"")</f>
        <v/>
      </c>
      <c r="F390" s="65">
        <f>IFERROR(INDEX(tbl_Finance[Cost Centre],$A390),"")</f>
        <v/>
      </c>
      <c r="G390" s="66">
        <f>IFERROR(INDEX(tbl_Finance[Ex GST],$A390),"")</f>
        <v/>
      </c>
      <c r="H390" s="64">
        <f>IFERROR(INDEX(tbl_Finance[Defer Start],$A390),"")</f>
        <v/>
      </c>
      <c r="I390" s="64">
        <f>IFERROR(INDEX(tbl_Finance[Defer End],$A390),"")</f>
        <v/>
      </c>
      <c r="J390" s="63">
        <f>IF(OR($H390="",$I390="",$G390=""),"",MAX(1,(YEAR($I390)-YEAR($H390))*12+MONTH($I390)-MONTH($H390)+1))</f>
        <v/>
      </c>
      <c r="K390" s="66">
        <f>IF($J390="","",$G390/$J390)</f>
        <v/>
      </c>
      <c r="L390" s="66">
        <f>IF($J390="",0,$K390*MAX(0,MIN(YEAR($C$3)*12+MONTH($C$3),YEAR($I390)*12+MONTH($I390))-(YEAR($H390)*12+MONTH($H390))+1))</f>
        <v/>
      </c>
      <c r="M390" s="66">
        <f>IF($J390="",0,$K390*MAX(0,MIN(YEAR($C$3)*12+MONTH($C$3)-1,YEAR($I390)*12+MONTH($I390))-(YEAR($H390)*12+MONTH($H390))+1))</f>
        <v/>
      </c>
      <c r="N390" s="66">
        <f>IF(OR($J390="",$B390=""),0,IF(YEAR($B390)*12+MONTH($B390)&lt;=YEAR($C$3)*12+MONTH($C$3),$G390,0))</f>
        <v/>
      </c>
      <c r="O390" s="66">
        <f>IF(OR($J390="",$B390=""),0,IF(YEAR($B390)*12+MONTH($B390)&lt;=YEAR($C$3)*12+MONTH($C$3)-1,$G390,0))</f>
        <v/>
      </c>
      <c r="P390" s="66">
        <f>$M390-$O390</f>
        <v/>
      </c>
      <c r="Q390" s="66">
        <f>($L390-$M390)-($N390-$O390)</f>
        <v/>
      </c>
      <c r="R390" s="66">
        <f>$L390-$N390</f>
        <v/>
      </c>
      <c r="S390" s="65">
        <f>"Finance invoice"</f>
        <v/>
      </c>
      <c r="T390" s="65">
        <f>"Revenue"</f>
        <v/>
      </c>
    </row>
    <row r="391">
      <c r="A391" s="63">
        <f>ROW()-5</f>
        <v/>
      </c>
      <c r="B391" s="64">
        <f>IFERROR(INDEX(tbl_Finance[Date],$A391),"")</f>
        <v/>
      </c>
      <c r="C391" s="65">
        <f>IFERROR(INDEX(tbl_Finance[Xero Invoice No],$A391),"")</f>
        <v/>
      </c>
      <c r="D391" s="65">
        <f>IFERROR(INDEX(tbl_Finance[Client],$A391),"")</f>
        <v/>
      </c>
      <c r="E391" s="65">
        <f>IFERROR(INDEX(tbl_Finance[Job Number],$A391),"")</f>
        <v/>
      </c>
      <c r="F391" s="65">
        <f>IFERROR(INDEX(tbl_Finance[Cost Centre],$A391),"")</f>
        <v/>
      </c>
      <c r="G391" s="66">
        <f>IFERROR(INDEX(tbl_Finance[Ex GST],$A391),"")</f>
        <v/>
      </c>
      <c r="H391" s="64">
        <f>IFERROR(INDEX(tbl_Finance[Defer Start],$A391),"")</f>
        <v/>
      </c>
      <c r="I391" s="64">
        <f>IFERROR(INDEX(tbl_Finance[Defer End],$A391),"")</f>
        <v/>
      </c>
      <c r="J391" s="63">
        <f>IF(OR($H391="",$I391="",$G391=""),"",MAX(1,(YEAR($I391)-YEAR($H391))*12+MONTH($I391)-MONTH($H391)+1))</f>
        <v/>
      </c>
      <c r="K391" s="66">
        <f>IF($J391="","",$G391/$J391)</f>
        <v/>
      </c>
      <c r="L391" s="66">
        <f>IF($J391="",0,$K391*MAX(0,MIN(YEAR($C$3)*12+MONTH($C$3),YEAR($I391)*12+MONTH($I391))-(YEAR($H391)*12+MONTH($H391))+1))</f>
        <v/>
      </c>
      <c r="M391" s="66">
        <f>IF($J391="",0,$K391*MAX(0,MIN(YEAR($C$3)*12+MONTH($C$3)-1,YEAR($I391)*12+MONTH($I391))-(YEAR($H391)*12+MONTH($H391))+1))</f>
        <v/>
      </c>
      <c r="N391" s="66">
        <f>IF(OR($J391="",$B391=""),0,IF(YEAR($B391)*12+MONTH($B391)&lt;=YEAR($C$3)*12+MONTH($C$3),$G391,0))</f>
        <v/>
      </c>
      <c r="O391" s="66">
        <f>IF(OR($J391="",$B391=""),0,IF(YEAR($B391)*12+MONTH($B391)&lt;=YEAR($C$3)*12+MONTH($C$3)-1,$G391,0))</f>
        <v/>
      </c>
      <c r="P391" s="66">
        <f>$M391-$O391</f>
        <v/>
      </c>
      <c r="Q391" s="66">
        <f>($L391-$M391)-($N391-$O391)</f>
        <v/>
      </c>
      <c r="R391" s="66">
        <f>$L391-$N391</f>
        <v/>
      </c>
      <c r="S391" s="65">
        <f>"Finance invoice"</f>
        <v/>
      </c>
      <c r="T391" s="65">
        <f>"Revenue"</f>
        <v/>
      </c>
    </row>
    <row r="392">
      <c r="A392" s="63">
        <f>ROW()-5</f>
        <v/>
      </c>
      <c r="B392" s="64">
        <f>IFERROR(INDEX(tbl_Finance[Date],$A392),"")</f>
        <v/>
      </c>
      <c r="C392" s="65">
        <f>IFERROR(INDEX(tbl_Finance[Xero Invoice No],$A392),"")</f>
        <v/>
      </c>
      <c r="D392" s="65">
        <f>IFERROR(INDEX(tbl_Finance[Client],$A392),"")</f>
        <v/>
      </c>
      <c r="E392" s="65">
        <f>IFERROR(INDEX(tbl_Finance[Job Number],$A392),"")</f>
        <v/>
      </c>
      <c r="F392" s="65">
        <f>IFERROR(INDEX(tbl_Finance[Cost Centre],$A392),"")</f>
        <v/>
      </c>
      <c r="G392" s="66">
        <f>IFERROR(INDEX(tbl_Finance[Ex GST],$A392),"")</f>
        <v/>
      </c>
      <c r="H392" s="64">
        <f>IFERROR(INDEX(tbl_Finance[Defer Start],$A392),"")</f>
        <v/>
      </c>
      <c r="I392" s="64">
        <f>IFERROR(INDEX(tbl_Finance[Defer End],$A392),"")</f>
        <v/>
      </c>
      <c r="J392" s="63">
        <f>IF(OR($H392="",$I392="",$G392=""),"",MAX(1,(YEAR($I392)-YEAR($H392))*12+MONTH($I392)-MONTH($H392)+1))</f>
        <v/>
      </c>
      <c r="K392" s="66">
        <f>IF($J392="","",$G392/$J392)</f>
        <v/>
      </c>
      <c r="L392" s="66">
        <f>IF($J392="",0,$K392*MAX(0,MIN(YEAR($C$3)*12+MONTH($C$3),YEAR($I392)*12+MONTH($I392))-(YEAR($H392)*12+MONTH($H392))+1))</f>
        <v/>
      </c>
      <c r="M392" s="66">
        <f>IF($J392="",0,$K392*MAX(0,MIN(YEAR($C$3)*12+MONTH($C$3)-1,YEAR($I392)*12+MONTH($I392))-(YEAR($H392)*12+MONTH($H392))+1))</f>
        <v/>
      </c>
      <c r="N392" s="66">
        <f>IF(OR($J392="",$B392=""),0,IF(YEAR($B392)*12+MONTH($B392)&lt;=YEAR($C$3)*12+MONTH($C$3),$G392,0))</f>
        <v/>
      </c>
      <c r="O392" s="66">
        <f>IF(OR($J392="",$B392=""),0,IF(YEAR($B392)*12+MONTH($B392)&lt;=YEAR($C$3)*12+MONTH($C$3)-1,$G392,0))</f>
        <v/>
      </c>
      <c r="P392" s="66">
        <f>$M392-$O392</f>
        <v/>
      </c>
      <c r="Q392" s="66">
        <f>($L392-$M392)-($N392-$O392)</f>
        <v/>
      </c>
      <c r="R392" s="66">
        <f>$L392-$N392</f>
        <v/>
      </c>
      <c r="S392" s="65">
        <f>"Finance invoice"</f>
        <v/>
      </c>
      <c r="T392" s="65">
        <f>"Revenue"</f>
        <v/>
      </c>
    </row>
    <row r="393">
      <c r="A393" s="63">
        <f>ROW()-5</f>
        <v/>
      </c>
      <c r="B393" s="64">
        <f>IFERROR(INDEX(tbl_Finance[Date],$A393),"")</f>
        <v/>
      </c>
      <c r="C393" s="65">
        <f>IFERROR(INDEX(tbl_Finance[Xero Invoice No],$A393),"")</f>
        <v/>
      </c>
      <c r="D393" s="65">
        <f>IFERROR(INDEX(tbl_Finance[Client],$A393),"")</f>
        <v/>
      </c>
      <c r="E393" s="65">
        <f>IFERROR(INDEX(tbl_Finance[Job Number],$A393),"")</f>
        <v/>
      </c>
      <c r="F393" s="65">
        <f>IFERROR(INDEX(tbl_Finance[Cost Centre],$A393),"")</f>
        <v/>
      </c>
      <c r="G393" s="66">
        <f>IFERROR(INDEX(tbl_Finance[Ex GST],$A393),"")</f>
        <v/>
      </c>
      <c r="H393" s="64">
        <f>IFERROR(INDEX(tbl_Finance[Defer Start],$A393),"")</f>
        <v/>
      </c>
      <c r="I393" s="64">
        <f>IFERROR(INDEX(tbl_Finance[Defer End],$A393),"")</f>
        <v/>
      </c>
      <c r="J393" s="63">
        <f>IF(OR($H393="",$I393="",$G393=""),"",MAX(1,(YEAR($I393)-YEAR($H393))*12+MONTH($I393)-MONTH($H393)+1))</f>
        <v/>
      </c>
      <c r="K393" s="66">
        <f>IF($J393="","",$G393/$J393)</f>
        <v/>
      </c>
      <c r="L393" s="66">
        <f>IF($J393="",0,$K393*MAX(0,MIN(YEAR($C$3)*12+MONTH($C$3),YEAR($I393)*12+MONTH($I393))-(YEAR($H393)*12+MONTH($H393))+1))</f>
        <v/>
      </c>
      <c r="M393" s="66">
        <f>IF($J393="",0,$K393*MAX(0,MIN(YEAR($C$3)*12+MONTH($C$3)-1,YEAR($I393)*12+MONTH($I393))-(YEAR($H393)*12+MONTH($H393))+1))</f>
        <v/>
      </c>
      <c r="N393" s="66">
        <f>IF(OR($J393="",$B393=""),0,IF(YEAR($B393)*12+MONTH($B393)&lt;=YEAR($C$3)*12+MONTH($C$3),$G393,0))</f>
        <v/>
      </c>
      <c r="O393" s="66">
        <f>IF(OR($J393="",$B393=""),0,IF(YEAR($B393)*12+MONTH($B393)&lt;=YEAR($C$3)*12+MONTH($C$3)-1,$G393,0))</f>
        <v/>
      </c>
      <c r="P393" s="66">
        <f>$M393-$O393</f>
        <v/>
      </c>
      <c r="Q393" s="66">
        <f>($L393-$M393)-($N393-$O393)</f>
        <v/>
      </c>
      <c r="R393" s="66">
        <f>$L393-$N393</f>
        <v/>
      </c>
      <c r="S393" s="65">
        <f>"Finance invoice"</f>
        <v/>
      </c>
      <c r="T393" s="65">
        <f>"Revenue"</f>
        <v/>
      </c>
    </row>
    <row r="394">
      <c r="A394" s="63">
        <f>ROW()-5</f>
        <v/>
      </c>
      <c r="B394" s="64">
        <f>IFERROR(INDEX(tbl_Finance[Date],$A394),"")</f>
        <v/>
      </c>
      <c r="C394" s="65">
        <f>IFERROR(INDEX(tbl_Finance[Xero Invoice No],$A394),"")</f>
        <v/>
      </c>
      <c r="D394" s="65">
        <f>IFERROR(INDEX(tbl_Finance[Client],$A394),"")</f>
        <v/>
      </c>
      <c r="E394" s="65">
        <f>IFERROR(INDEX(tbl_Finance[Job Number],$A394),"")</f>
        <v/>
      </c>
      <c r="F394" s="65">
        <f>IFERROR(INDEX(tbl_Finance[Cost Centre],$A394),"")</f>
        <v/>
      </c>
      <c r="G394" s="66">
        <f>IFERROR(INDEX(tbl_Finance[Ex GST],$A394),"")</f>
        <v/>
      </c>
      <c r="H394" s="64">
        <f>IFERROR(INDEX(tbl_Finance[Defer Start],$A394),"")</f>
        <v/>
      </c>
      <c r="I394" s="64">
        <f>IFERROR(INDEX(tbl_Finance[Defer End],$A394),"")</f>
        <v/>
      </c>
      <c r="J394" s="63">
        <f>IF(OR($H394="",$I394="",$G394=""),"",MAX(1,(YEAR($I394)-YEAR($H394))*12+MONTH($I394)-MONTH($H394)+1))</f>
        <v/>
      </c>
      <c r="K394" s="66">
        <f>IF($J394="","",$G394/$J394)</f>
        <v/>
      </c>
      <c r="L394" s="66">
        <f>IF($J394="",0,$K394*MAX(0,MIN(YEAR($C$3)*12+MONTH($C$3),YEAR($I394)*12+MONTH($I394))-(YEAR($H394)*12+MONTH($H394))+1))</f>
        <v/>
      </c>
      <c r="M394" s="66">
        <f>IF($J394="",0,$K394*MAX(0,MIN(YEAR($C$3)*12+MONTH($C$3)-1,YEAR($I394)*12+MONTH($I394))-(YEAR($H394)*12+MONTH($H394))+1))</f>
        <v/>
      </c>
      <c r="N394" s="66">
        <f>IF(OR($J394="",$B394=""),0,IF(YEAR($B394)*12+MONTH($B394)&lt;=YEAR($C$3)*12+MONTH($C$3),$G394,0))</f>
        <v/>
      </c>
      <c r="O394" s="66">
        <f>IF(OR($J394="",$B394=""),0,IF(YEAR($B394)*12+MONTH($B394)&lt;=YEAR($C$3)*12+MONTH($C$3)-1,$G394,0))</f>
        <v/>
      </c>
      <c r="P394" s="66">
        <f>$M394-$O394</f>
        <v/>
      </c>
      <c r="Q394" s="66">
        <f>($L394-$M394)-($N394-$O394)</f>
        <v/>
      </c>
      <c r="R394" s="66">
        <f>$L394-$N394</f>
        <v/>
      </c>
      <c r="S394" s="65">
        <f>"Finance invoice"</f>
        <v/>
      </c>
      <c r="T394" s="65">
        <f>"Revenue"</f>
        <v/>
      </c>
    </row>
    <row r="395">
      <c r="A395" s="63">
        <f>ROW()-5</f>
        <v/>
      </c>
      <c r="B395" s="64">
        <f>IFERROR(INDEX(tbl_Finance[Date],$A395),"")</f>
        <v/>
      </c>
      <c r="C395" s="65">
        <f>IFERROR(INDEX(tbl_Finance[Xero Invoice No],$A395),"")</f>
        <v/>
      </c>
      <c r="D395" s="65">
        <f>IFERROR(INDEX(tbl_Finance[Client],$A395),"")</f>
        <v/>
      </c>
      <c r="E395" s="65">
        <f>IFERROR(INDEX(tbl_Finance[Job Number],$A395),"")</f>
        <v/>
      </c>
      <c r="F395" s="65">
        <f>IFERROR(INDEX(tbl_Finance[Cost Centre],$A395),"")</f>
        <v/>
      </c>
      <c r="G395" s="66">
        <f>IFERROR(INDEX(tbl_Finance[Ex GST],$A395),"")</f>
        <v/>
      </c>
      <c r="H395" s="64">
        <f>IFERROR(INDEX(tbl_Finance[Defer Start],$A395),"")</f>
        <v/>
      </c>
      <c r="I395" s="64">
        <f>IFERROR(INDEX(tbl_Finance[Defer End],$A395),"")</f>
        <v/>
      </c>
      <c r="J395" s="63">
        <f>IF(OR($H395="",$I395="",$G395=""),"",MAX(1,(YEAR($I395)-YEAR($H395))*12+MONTH($I395)-MONTH($H395)+1))</f>
        <v/>
      </c>
      <c r="K395" s="66">
        <f>IF($J395="","",$G395/$J395)</f>
        <v/>
      </c>
      <c r="L395" s="66">
        <f>IF($J395="",0,$K395*MAX(0,MIN(YEAR($C$3)*12+MONTH($C$3),YEAR($I395)*12+MONTH($I395))-(YEAR($H395)*12+MONTH($H395))+1))</f>
        <v/>
      </c>
      <c r="M395" s="66">
        <f>IF($J395="",0,$K395*MAX(0,MIN(YEAR($C$3)*12+MONTH($C$3)-1,YEAR($I395)*12+MONTH($I395))-(YEAR($H395)*12+MONTH($H395))+1))</f>
        <v/>
      </c>
      <c r="N395" s="66">
        <f>IF(OR($J395="",$B395=""),0,IF(YEAR($B395)*12+MONTH($B395)&lt;=YEAR($C$3)*12+MONTH($C$3),$G395,0))</f>
        <v/>
      </c>
      <c r="O395" s="66">
        <f>IF(OR($J395="",$B395=""),0,IF(YEAR($B395)*12+MONTH($B395)&lt;=YEAR($C$3)*12+MONTH($C$3)-1,$G395,0))</f>
        <v/>
      </c>
      <c r="P395" s="66">
        <f>$M395-$O395</f>
        <v/>
      </c>
      <c r="Q395" s="66">
        <f>($L395-$M395)-($N395-$O395)</f>
        <v/>
      </c>
      <c r="R395" s="66">
        <f>$L395-$N395</f>
        <v/>
      </c>
      <c r="S395" s="65">
        <f>"Finance invoice"</f>
        <v/>
      </c>
      <c r="T395" s="65">
        <f>"Revenue"</f>
        <v/>
      </c>
    </row>
    <row r="396">
      <c r="A396" s="63">
        <f>ROW()-5</f>
        <v/>
      </c>
      <c r="B396" s="64">
        <f>IFERROR(INDEX(tbl_Finance[Date],$A396),"")</f>
        <v/>
      </c>
      <c r="C396" s="65">
        <f>IFERROR(INDEX(tbl_Finance[Xero Invoice No],$A396),"")</f>
        <v/>
      </c>
      <c r="D396" s="65">
        <f>IFERROR(INDEX(tbl_Finance[Client],$A396),"")</f>
        <v/>
      </c>
      <c r="E396" s="65">
        <f>IFERROR(INDEX(tbl_Finance[Job Number],$A396),"")</f>
        <v/>
      </c>
      <c r="F396" s="65">
        <f>IFERROR(INDEX(tbl_Finance[Cost Centre],$A396),"")</f>
        <v/>
      </c>
      <c r="G396" s="66">
        <f>IFERROR(INDEX(tbl_Finance[Ex GST],$A396),"")</f>
        <v/>
      </c>
      <c r="H396" s="64">
        <f>IFERROR(INDEX(tbl_Finance[Defer Start],$A396),"")</f>
        <v/>
      </c>
      <c r="I396" s="64">
        <f>IFERROR(INDEX(tbl_Finance[Defer End],$A396),"")</f>
        <v/>
      </c>
      <c r="J396" s="63">
        <f>IF(OR($H396="",$I396="",$G396=""),"",MAX(1,(YEAR($I396)-YEAR($H396))*12+MONTH($I396)-MONTH($H396)+1))</f>
        <v/>
      </c>
      <c r="K396" s="66">
        <f>IF($J396="","",$G396/$J396)</f>
        <v/>
      </c>
      <c r="L396" s="66">
        <f>IF($J396="",0,$K396*MAX(0,MIN(YEAR($C$3)*12+MONTH($C$3),YEAR($I396)*12+MONTH($I396))-(YEAR($H396)*12+MONTH($H396))+1))</f>
        <v/>
      </c>
      <c r="M396" s="66">
        <f>IF($J396="",0,$K396*MAX(0,MIN(YEAR($C$3)*12+MONTH($C$3)-1,YEAR($I396)*12+MONTH($I396))-(YEAR($H396)*12+MONTH($H396))+1))</f>
        <v/>
      </c>
      <c r="N396" s="66">
        <f>IF(OR($J396="",$B396=""),0,IF(YEAR($B396)*12+MONTH($B396)&lt;=YEAR($C$3)*12+MONTH($C$3),$G396,0))</f>
        <v/>
      </c>
      <c r="O396" s="66">
        <f>IF(OR($J396="",$B396=""),0,IF(YEAR($B396)*12+MONTH($B396)&lt;=YEAR($C$3)*12+MONTH($C$3)-1,$G396,0))</f>
        <v/>
      </c>
      <c r="P396" s="66">
        <f>$M396-$O396</f>
        <v/>
      </c>
      <c r="Q396" s="66">
        <f>($L396-$M396)-($N396-$O396)</f>
        <v/>
      </c>
      <c r="R396" s="66">
        <f>$L396-$N396</f>
        <v/>
      </c>
      <c r="S396" s="65">
        <f>"Finance invoice"</f>
        <v/>
      </c>
      <c r="T396" s="65">
        <f>"Revenue"</f>
        <v/>
      </c>
    </row>
    <row r="397">
      <c r="A397" s="63">
        <f>ROW()-5</f>
        <v/>
      </c>
      <c r="B397" s="64">
        <f>IFERROR(INDEX(tbl_Finance[Date],$A397),"")</f>
        <v/>
      </c>
      <c r="C397" s="65">
        <f>IFERROR(INDEX(tbl_Finance[Xero Invoice No],$A397),"")</f>
        <v/>
      </c>
      <c r="D397" s="65">
        <f>IFERROR(INDEX(tbl_Finance[Client],$A397),"")</f>
        <v/>
      </c>
      <c r="E397" s="65">
        <f>IFERROR(INDEX(tbl_Finance[Job Number],$A397),"")</f>
        <v/>
      </c>
      <c r="F397" s="65">
        <f>IFERROR(INDEX(tbl_Finance[Cost Centre],$A397),"")</f>
        <v/>
      </c>
      <c r="G397" s="66">
        <f>IFERROR(INDEX(tbl_Finance[Ex GST],$A397),"")</f>
        <v/>
      </c>
      <c r="H397" s="64">
        <f>IFERROR(INDEX(tbl_Finance[Defer Start],$A397),"")</f>
        <v/>
      </c>
      <c r="I397" s="64">
        <f>IFERROR(INDEX(tbl_Finance[Defer End],$A397),"")</f>
        <v/>
      </c>
      <c r="J397" s="63">
        <f>IF(OR($H397="",$I397="",$G397=""),"",MAX(1,(YEAR($I397)-YEAR($H397))*12+MONTH($I397)-MONTH($H397)+1))</f>
        <v/>
      </c>
      <c r="K397" s="66">
        <f>IF($J397="","",$G397/$J397)</f>
        <v/>
      </c>
      <c r="L397" s="66">
        <f>IF($J397="",0,$K397*MAX(0,MIN(YEAR($C$3)*12+MONTH($C$3),YEAR($I397)*12+MONTH($I397))-(YEAR($H397)*12+MONTH($H397))+1))</f>
        <v/>
      </c>
      <c r="M397" s="66">
        <f>IF($J397="",0,$K397*MAX(0,MIN(YEAR($C$3)*12+MONTH($C$3)-1,YEAR($I397)*12+MONTH($I397))-(YEAR($H397)*12+MONTH($H397))+1))</f>
        <v/>
      </c>
      <c r="N397" s="66">
        <f>IF(OR($J397="",$B397=""),0,IF(YEAR($B397)*12+MONTH($B397)&lt;=YEAR($C$3)*12+MONTH($C$3),$G397,0))</f>
        <v/>
      </c>
      <c r="O397" s="66">
        <f>IF(OR($J397="",$B397=""),0,IF(YEAR($B397)*12+MONTH($B397)&lt;=YEAR($C$3)*12+MONTH($C$3)-1,$G397,0))</f>
        <v/>
      </c>
      <c r="P397" s="66">
        <f>$M397-$O397</f>
        <v/>
      </c>
      <c r="Q397" s="66">
        <f>($L397-$M397)-($N397-$O397)</f>
        <v/>
      </c>
      <c r="R397" s="66">
        <f>$L397-$N397</f>
        <v/>
      </c>
      <c r="S397" s="65">
        <f>"Finance invoice"</f>
        <v/>
      </c>
      <c r="T397" s="65">
        <f>"Revenue"</f>
        <v/>
      </c>
    </row>
    <row r="398">
      <c r="A398" s="63">
        <f>ROW()-5</f>
        <v/>
      </c>
      <c r="B398" s="64">
        <f>IFERROR(INDEX(tbl_Finance[Date],$A398),"")</f>
        <v/>
      </c>
      <c r="C398" s="65">
        <f>IFERROR(INDEX(tbl_Finance[Xero Invoice No],$A398),"")</f>
        <v/>
      </c>
      <c r="D398" s="65">
        <f>IFERROR(INDEX(tbl_Finance[Client],$A398),"")</f>
        <v/>
      </c>
      <c r="E398" s="65">
        <f>IFERROR(INDEX(tbl_Finance[Job Number],$A398),"")</f>
        <v/>
      </c>
      <c r="F398" s="65">
        <f>IFERROR(INDEX(tbl_Finance[Cost Centre],$A398),"")</f>
        <v/>
      </c>
      <c r="G398" s="66">
        <f>IFERROR(INDEX(tbl_Finance[Ex GST],$A398),"")</f>
        <v/>
      </c>
      <c r="H398" s="64">
        <f>IFERROR(INDEX(tbl_Finance[Defer Start],$A398),"")</f>
        <v/>
      </c>
      <c r="I398" s="64">
        <f>IFERROR(INDEX(tbl_Finance[Defer End],$A398),"")</f>
        <v/>
      </c>
      <c r="J398" s="63">
        <f>IF(OR($H398="",$I398="",$G398=""),"",MAX(1,(YEAR($I398)-YEAR($H398))*12+MONTH($I398)-MONTH($H398)+1))</f>
        <v/>
      </c>
      <c r="K398" s="66">
        <f>IF($J398="","",$G398/$J398)</f>
        <v/>
      </c>
      <c r="L398" s="66">
        <f>IF($J398="",0,$K398*MAX(0,MIN(YEAR($C$3)*12+MONTH($C$3),YEAR($I398)*12+MONTH($I398))-(YEAR($H398)*12+MONTH($H398))+1))</f>
        <v/>
      </c>
      <c r="M398" s="66">
        <f>IF($J398="",0,$K398*MAX(0,MIN(YEAR($C$3)*12+MONTH($C$3)-1,YEAR($I398)*12+MONTH($I398))-(YEAR($H398)*12+MONTH($H398))+1))</f>
        <v/>
      </c>
      <c r="N398" s="66">
        <f>IF(OR($J398="",$B398=""),0,IF(YEAR($B398)*12+MONTH($B398)&lt;=YEAR($C$3)*12+MONTH($C$3),$G398,0))</f>
        <v/>
      </c>
      <c r="O398" s="66">
        <f>IF(OR($J398="",$B398=""),0,IF(YEAR($B398)*12+MONTH($B398)&lt;=YEAR($C$3)*12+MONTH($C$3)-1,$G398,0))</f>
        <v/>
      </c>
      <c r="P398" s="66">
        <f>$M398-$O398</f>
        <v/>
      </c>
      <c r="Q398" s="66">
        <f>($L398-$M398)-($N398-$O398)</f>
        <v/>
      </c>
      <c r="R398" s="66">
        <f>$L398-$N398</f>
        <v/>
      </c>
      <c r="S398" s="65">
        <f>"Finance invoice"</f>
        <v/>
      </c>
      <c r="T398" s="65">
        <f>"Revenue"</f>
        <v/>
      </c>
    </row>
    <row r="399">
      <c r="A399" s="63">
        <f>ROW()-5</f>
        <v/>
      </c>
      <c r="B399" s="64">
        <f>IFERROR(INDEX(tbl_Finance[Date],$A399),"")</f>
        <v/>
      </c>
      <c r="C399" s="65">
        <f>IFERROR(INDEX(tbl_Finance[Xero Invoice No],$A399),"")</f>
        <v/>
      </c>
      <c r="D399" s="65">
        <f>IFERROR(INDEX(tbl_Finance[Client],$A399),"")</f>
        <v/>
      </c>
      <c r="E399" s="65">
        <f>IFERROR(INDEX(tbl_Finance[Job Number],$A399),"")</f>
        <v/>
      </c>
      <c r="F399" s="65">
        <f>IFERROR(INDEX(tbl_Finance[Cost Centre],$A399),"")</f>
        <v/>
      </c>
      <c r="G399" s="66">
        <f>IFERROR(INDEX(tbl_Finance[Ex GST],$A399),"")</f>
        <v/>
      </c>
      <c r="H399" s="64">
        <f>IFERROR(INDEX(tbl_Finance[Defer Start],$A399),"")</f>
        <v/>
      </c>
      <c r="I399" s="64">
        <f>IFERROR(INDEX(tbl_Finance[Defer End],$A399),"")</f>
        <v/>
      </c>
      <c r="J399" s="63">
        <f>IF(OR($H399="",$I399="",$G399=""),"",MAX(1,(YEAR($I399)-YEAR($H399))*12+MONTH($I399)-MONTH($H399)+1))</f>
        <v/>
      </c>
      <c r="K399" s="66">
        <f>IF($J399="","",$G399/$J399)</f>
        <v/>
      </c>
      <c r="L399" s="66">
        <f>IF($J399="",0,$K399*MAX(0,MIN(YEAR($C$3)*12+MONTH($C$3),YEAR($I399)*12+MONTH($I399))-(YEAR($H399)*12+MONTH($H399))+1))</f>
        <v/>
      </c>
      <c r="M399" s="66">
        <f>IF($J399="",0,$K399*MAX(0,MIN(YEAR($C$3)*12+MONTH($C$3)-1,YEAR($I399)*12+MONTH($I399))-(YEAR($H399)*12+MONTH($H399))+1))</f>
        <v/>
      </c>
      <c r="N399" s="66">
        <f>IF(OR($J399="",$B399=""),0,IF(YEAR($B399)*12+MONTH($B399)&lt;=YEAR($C$3)*12+MONTH($C$3),$G399,0))</f>
        <v/>
      </c>
      <c r="O399" s="66">
        <f>IF(OR($J399="",$B399=""),0,IF(YEAR($B399)*12+MONTH($B399)&lt;=YEAR($C$3)*12+MONTH($C$3)-1,$G399,0))</f>
        <v/>
      </c>
      <c r="P399" s="66">
        <f>$M399-$O399</f>
        <v/>
      </c>
      <c r="Q399" s="66">
        <f>($L399-$M399)-($N399-$O399)</f>
        <v/>
      </c>
      <c r="R399" s="66">
        <f>$L399-$N399</f>
        <v/>
      </c>
      <c r="S399" s="65">
        <f>"Finance invoice"</f>
        <v/>
      </c>
      <c r="T399" s="65">
        <f>"Revenue"</f>
        <v/>
      </c>
    </row>
    <row r="400">
      <c r="A400" s="63">
        <f>ROW()-5</f>
        <v/>
      </c>
      <c r="B400" s="64">
        <f>IFERROR(INDEX(tbl_Finance[Date],$A400),"")</f>
        <v/>
      </c>
      <c r="C400" s="65">
        <f>IFERROR(INDEX(tbl_Finance[Xero Invoice No],$A400),"")</f>
        <v/>
      </c>
      <c r="D400" s="65">
        <f>IFERROR(INDEX(tbl_Finance[Client],$A400),"")</f>
        <v/>
      </c>
      <c r="E400" s="65">
        <f>IFERROR(INDEX(tbl_Finance[Job Number],$A400),"")</f>
        <v/>
      </c>
      <c r="F400" s="65">
        <f>IFERROR(INDEX(tbl_Finance[Cost Centre],$A400),"")</f>
        <v/>
      </c>
      <c r="G400" s="66">
        <f>IFERROR(INDEX(tbl_Finance[Ex GST],$A400),"")</f>
        <v/>
      </c>
      <c r="H400" s="64">
        <f>IFERROR(INDEX(tbl_Finance[Defer Start],$A400),"")</f>
        <v/>
      </c>
      <c r="I400" s="64">
        <f>IFERROR(INDEX(tbl_Finance[Defer End],$A400),"")</f>
        <v/>
      </c>
      <c r="J400" s="63">
        <f>IF(OR($H400="",$I400="",$G400=""),"",MAX(1,(YEAR($I400)-YEAR($H400))*12+MONTH($I400)-MONTH($H400)+1))</f>
        <v/>
      </c>
      <c r="K400" s="66">
        <f>IF($J400="","",$G400/$J400)</f>
        <v/>
      </c>
      <c r="L400" s="66">
        <f>IF($J400="",0,$K400*MAX(0,MIN(YEAR($C$3)*12+MONTH($C$3),YEAR($I400)*12+MONTH($I400))-(YEAR($H400)*12+MONTH($H400))+1))</f>
        <v/>
      </c>
      <c r="M400" s="66">
        <f>IF($J400="",0,$K400*MAX(0,MIN(YEAR($C$3)*12+MONTH($C$3)-1,YEAR($I400)*12+MONTH($I400))-(YEAR($H400)*12+MONTH($H400))+1))</f>
        <v/>
      </c>
      <c r="N400" s="66">
        <f>IF(OR($J400="",$B400=""),0,IF(YEAR($B400)*12+MONTH($B400)&lt;=YEAR($C$3)*12+MONTH($C$3),$G400,0))</f>
        <v/>
      </c>
      <c r="O400" s="66">
        <f>IF(OR($J400="",$B400=""),0,IF(YEAR($B400)*12+MONTH($B400)&lt;=YEAR($C$3)*12+MONTH($C$3)-1,$G400,0))</f>
        <v/>
      </c>
      <c r="P400" s="66">
        <f>$M400-$O400</f>
        <v/>
      </c>
      <c r="Q400" s="66">
        <f>($L400-$M400)-($N400-$O400)</f>
        <v/>
      </c>
      <c r="R400" s="66">
        <f>$L400-$N400</f>
        <v/>
      </c>
      <c r="S400" s="65">
        <f>"Finance invoice"</f>
        <v/>
      </c>
      <c r="T400" s="65">
        <f>"Revenue"</f>
        <v/>
      </c>
    </row>
    <row r="401">
      <c r="A401" s="63">
        <f>ROW()-5</f>
        <v/>
      </c>
      <c r="B401" s="64">
        <f>IFERROR(INDEX(tbl_Finance[Date],$A401),"")</f>
        <v/>
      </c>
      <c r="C401" s="65">
        <f>IFERROR(INDEX(tbl_Finance[Xero Invoice No],$A401),"")</f>
        <v/>
      </c>
      <c r="D401" s="65">
        <f>IFERROR(INDEX(tbl_Finance[Client],$A401),"")</f>
        <v/>
      </c>
      <c r="E401" s="65">
        <f>IFERROR(INDEX(tbl_Finance[Job Number],$A401),"")</f>
        <v/>
      </c>
      <c r="F401" s="65">
        <f>IFERROR(INDEX(tbl_Finance[Cost Centre],$A401),"")</f>
        <v/>
      </c>
      <c r="G401" s="66">
        <f>IFERROR(INDEX(tbl_Finance[Ex GST],$A401),"")</f>
        <v/>
      </c>
      <c r="H401" s="64">
        <f>IFERROR(INDEX(tbl_Finance[Defer Start],$A401),"")</f>
        <v/>
      </c>
      <c r="I401" s="64">
        <f>IFERROR(INDEX(tbl_Finance[Defer End],$A401),"")</f>
        <v/>
      </c>
      <c r="J401" s="63">
        <f>IF(OR($H401="",$I401="",$G401=""),"",MAX(1,(YEAR($I401)-YEAR($H401))*12+MONTH($I401)-MONTH($H401)+1))</f>
        <v/>
      </c>
      <c r="K401" s="66">
        <f>IF($J401="","",$G401/$J401)</f>
        <v/>
      </c>
      <c r="L401" s="66">
        <f>IF($J401="",0,$K401*MAX(0,MIN(YEAR($C$3)*12+MONTH($C$3),YEAR($I401)*12+MONTH($I401))-(YEAR($H401)*12+MONTH($H401))+1))</f>
        <v/>
      </c>
      <c r="M401" s="66">
        <f>IF($J401="",0,$K401*MAX(0,MIN(YEAR($C$3)*12+MONTH($C$3)-1,YEAR($I401)*12+MONTH($I401))-(YEAR($H401)*12+MONTH($H401))+1))</f>
        <v/>
      </c>
      <c r="N401" s="66">
        <f>IF(OR($J401="",$B401=""),0,IF(YEAR($B401)*12+MONTH($B401)&lt;=YEAR($C$3)*12+MONTH($C$3),$G401,0))</f>
        <v/>
      </c>
      <c r="O401" s="66">
        <f>IF(OR($J401="",$B401=""),0,IF(YEAR($B401)*12+MONTH($B401)&lt;=YEAR($C$3)*12+MONTH($C$3)-1,$G401,0))</f>
        <v/>
      </c>
      <c r="P401" s="66">
        <f>$M401-$O401</f>
        <v/>
      </c>
      <c r="Q401" s="66">
        <f>($L401-$M401)-($N401-$O401)</f>
        <v/>
      </c>
      <c r="R401" s="66">
        <f>$L401-$N401</f>
        <v/>
      </c>
      <c r="S401" s="65">
        <f>"Finance invoice"</f>
        <v/>
      </c>
      <c r="T401" s="65">
        <f>"Revenue"</f>
        <v/>
      </c>
    </row>
    <row r="402">
      <c r="A402" s="63">
        <f>ROW()-5</f>
        <v/>
      </c>
      <c r="B402" s="64">
        <f>IFERROR(INDEX(tbl_Finance[Date],$A402),"")</f>
        <v/>
      </c>
      <c r="C402" s="65">
        <f>IFERROR(INDEX(tbl_Finance[Xero Invoice No],$A402),"")</f>
        <v/>
      </c>
      <c r="D402" s="65">
        <f>IFERROR(INDEX(tbl_Finance[Client],$A402),"")</f>
        <v/>
      </c>
      <c r="E402" s="65">
        <f>IFERROR(INDEX(tbl_Finance[Job Number],$A402),"")</f>
        <v/>
      </c>
      <c r="F402" s="65">
        <f>IFERROR(INDEX(tbl_Finance[Cost Centre],$A402),"")</f>
        <v/>
      </c>
      <c r="G402" s="66">
        <f>IFERROR(INDEX(tbl_Finance[Ex GST],$A402),"")</f>
        <v/>
      </c>
      <c r="H402" s="64">
        <f>IFERROR(INDEX(tbl_Finance[Defer Start],$A402),"")</f>
        <v/>
      </c>
      <c r="I402" s="64">
        <f>IFERROR(INDEX(tbl_Finance[Defer End],$A402),"")</f>
        <v/>
      </c>
      <c r="J402" s="63">
        <f>IF(OR($H402="",$I402="",$G402=""),"",MAX(1,(YEAR($I402)-YEAR($H402))*12+MONTH($I402)-MONTH($H402)+1))</f>
        <v/>
      </c>
      <c r="K402" s="66">
        <f>IF($J402="","",$G402/$J402)</f>
        <v/>
      </c>
      <c r="L402" s="66">
        <f>IF($J402="",0,$K402*MAX(0,MIN(YEAR($C$3)*12+MONTH($C$3),YEAR($I402)*12+MONTH($I402))-(YEAR($H402)*12+MONTH($H402))+1))</f>
        <v/>
      </c>
      <c r="M402" s="66">
        <f>IF($J402="",0,$K402*MAX(0,MIN(YEAR($C$3)*12+MONTH($C$3)-1,YEAR($I402)*12+MONTH($I402))-(YEAR($H402)*12+MONTH($H402))+1))</f>
        <v/>
      </c>
      <c r="N402" s="66">
        <f>IF(OR($J402="",$B402=""),0,IF(YEAR($B402)*12+MONTH($B402)&lt;=YEAR($C$3)*12+MONTH($C$3),$G402,0))</f>
        <v/>
      </c>
      <c r="O402" s="66">
        <f>IF(OR($J402="",$B402=""),0,IF(YEAR($B402)*12+MONTH($B402)&lt;=YEAR($C$3)*12+MONTH($C$3)-1,$G402,0))</f>
        <v/>
      </c>
      <c r="P402" s="66">
        <f>$M402-$O402</f>
        <v/>
      </c>
      <c r="Q402" s="66">
        <f>($L402-$M402)-($N402-$O402)</f>
        <v/>
      </c>
      <c r="R402" s="66">
        <f>$L402-$N402</f>
        <v/>
      </c>
      <c r="S402" s="65">
        <f>"Finance invoice"</f>
        <v/>
      </c>
      <c r="T402" s="65">
        <f>"Revenue"</f>
        <v/>
      </c>
    </row>
    <row r="403">
      <c r="A403" s="63">
        <f>ROW()-5</f>
        <v/>
      </c>
      <c r="B403" s="64">
        <f>IFERROR(INDEX(tbl_Finance[Date],$A403),"")</f>
        <v/>
      </c>
      <c r="C403" s="65">
        <f>IFERROR(INDEX(tbl_Finance[Xero Invoice No],$A403),"")</f>
        <v/>
      </c>
      <c r="D403" s="65">
        <f>IFERROR(INDEX(tbl_Finance[Client],$A403),"")</f>
        <v/>
      </c>
      <c r="E403" s="65">
        <f>IFERROR(INDEX(tbl_Finance[Job Number],$A403),"")</f>
        <v/>
      </c>
      <c r="F403" s="65">
        <f>IFERROR(INDEX(tbl_Finance[Cost Centre],$A403),"")</f>
        <v/>
      </c>
      <c r="G403" s="66">
        <f>IFERROR(INDEX(tbl_Finance[Ex GST],$A403),"")</f>
        <v/>
      </c>
      <c r="H403" s="64">
        <f>IFERROR(INDEX(tbl_Finance[Defer Start],$A403),"")</f>
        <v/>
      </c>
      <c r="I403" s="64">
        <f>IFERROR(INDEX(tbl_Finance[Defer End],$A403),"")</f>
        <v/>
      </c>
      <c r="J403" s="63">
        <f>IF(OR($H403="",$I403="",$G403=""),"",MAX(1,(YEAR($I403)-YEAR($H403))*12+MONTH($I403)-MONTH($H403)+1))</f>
        <v/>
      </c>
      <c r="K403" s="66">
        <f>IF($J403="","",$G403/$J403)</f>
        <v/>
      </c>
      <c r="L403" s="66">
        <f>IF($J403="",0,$K403*MAX(0,MIN(YEAR($C$3)*12+MONTH($C$3),YEAR($I403)*12+MONTH($I403))-(YEAR($H403)*12+MONTH($H403))+1))</f>
        <v/>
      </c>
      <c r="M403" s="66">
        <f>IF($J403="",0,$K403*MAX(0,MIN(YEAR($C$3)*12+MONTH($C$3)-1,YEAR($I403)*12+MONTH($I403))-(YEAR($H403)*12+MONTH($H403))+1))</f>
        <v/>
      </c>
      <c r="N403" s="66">
        <f>IF(OR($J403="",$B403=""),0,IF(YEAR($B403)*12+MONTH($B403)&lt;=YEAR($C$3)*12+MONTH($C$3),$G403,0))</f>
        <v/>
      </c>
      <c r="O403" s="66">
        <f>IF(OR($J403="",$B403=""),0,IF(YEAR($B403)*12+MONTH($B403)&lt;=YEAR($C$3)*12+MONTH($C$3)-1,$G403,0))</f>
        <v/>
      </c>
      <c r="P403" s="66">
        <f>$M403-$O403</f>
        <v/>
      </c>
      <c r="Q403" s="66">
        <f>($L403-$M403)-($N403-$O403)</f>
        <v/>
      </c>
      <c r="R403" s="66">
        <f>$L403-$N403</f>
        <v/>
      </c>
      <c r="S403" s="65">
        <f>"Finance invoice"</f>
        <v/>
      </c>
      <c r="T403" s="65">
        <f>"Revenue"</f>
        <v/>
      </c>
    </row>
    <row r="404">
      <c r="A404" s="63">
        <f>ROW()-5</f>
        <v/>
      </c>
      <c r="B404" s="64">
        <f>IFERROR(INDEX(tbl_Finance[Date],$A404),"")</f>
        <v/>
      </c>
      <c r="C404" s="65">
        <f>IFERROR(INDEX(tbl_Finance[Xero Invoice No],$A404),"")</f>
        <v/>
      </c>
      <c r="D404" s="65">
        <f>IFERROR(INDEX(tbl_Finance[Client],$A404),"")</f>
        <v/>
      </c>
      <c r="E404" s="65">
        <f>IFERROR(INDEX(tbl_Finance[Job Number],$A404),"")</f>
        <v/>
      </c>
      <c r="F404" s="65">
        <f>IFERROR(INDEX(tbl_Finance[Cost Centre],$A404),"")</f>
        <v/>
      </c>
      <c r="G404" s="66">
        <f>IFERROR(INDEX(tbl_Finance[Ex GST],$A404),"")</f>
        <v/>
      </c>
      <c r="H404" s="64">
        <f>IFERROR(INDEX(tbl_Finance[Defer Start],$A404),"")</f>
        <v/>
      </c>
      <c r="I404" s="64">
        <f>IFERROR(INDEX(tbl_Finance[Defer End],$A404),"")</f>
        <v/>
      </c>
      <c r="J404" s="63">
        <f>IF(OR($H404="",$I404="",$G404=""),"",MAX(1,(YEAR($I404)-YEAR($H404))*12+MONTH($I404)-MONTH($H404)+1))</f>
        <v/>
      </c>
      <c r="K404" s="66">
        <f>IF($J404="","",$G404/$J404)</f>
        <v/>
      </c>
      <c r="L404" s="66">
        <f>IF($J404="",0,$K404*MAX(0,MIN(YEAR($C$3)*12+MONTH($C$3),YEAR($I404)*12+MONTH($I404))-(YEAR($H404)*12+MONTH($H404))+1))</f>
        <v/>
      </c>
      <c r="M404" s="66">
        <f>IF($J404="",0,$K404*MAX(0,MIN(YEAR($C$3)*12+MONTH($C$3)-1,YEAR($I404)*12+MONTH($I404))-(YEAR($H404)*12+MONTH($H404))+1))</f>
        <v/>
      </c>
      <c r="N404" s="66">
        <f>IF(OR($J404="",$B404=""),0,IF(YEAR($B404)*12+MONTH($B404)&lt;=YEAR($C$3)*12+MONTH($C$3),$G404,0))</f>
        <v/>
      </c>
      <c r="O404" s="66">
        <f>IF(OR($J404="",$B404=""),0,IF(YEAR($B404)*12+MONTH($B404)&lt;=YEAR($C$3)*12+MONTH($C$3)-1,$G404,0))</f>
        <v/>
      </c>
      <c r="P404" s="66">
        <f>$M404-$O404</f>
        <v/>
      </c>
      <c r="Q404" s="66">
        <f>($L404-$M404)-($N404-$O404)</f>
        <v/>
      </c>
      <c r="R404" s="66">
        <f>$L404-$N404</f>
        <v/>
      </c>
      <c r="S404" s="65">
        <f>"Finance invoice"</f>
        <v/>
      </c>
      <c r="T404" s="65">
        <f>"Revenue"</f>
        <v/>
      </c>
    </row>
    <row r="405">
      <c r="A405" s="63">
        <f>ROW()-5</f>
        <v/>
      </c>
      <c r="B405" s="64">
        <f>IFERROR(INDEX(tbl_Finance[Date],$A405),"")</f>
        <v/>
      </c>
      <c r="C405" s="65">
        <f>IFERROR(INDEX(tbl_Finance[Xero Invoice No],$A405),"")</f>
        <v/>
      </c>
      <c r="D405" s="65">
        <f>IFERROR(INDEX(tbl_Finance[Client],$A405),"")</f>
        <v/>
      </c>
      <c r="E405" s="65">
        <f>IFERROR(INDEX(tbl_Finance[Job Number],$A405),"")</f>
        <v/>
      </c>
      <c r="F405" s="65">
        <f>IFERROR(INDEX(tbl_Finance[Cost Centre],$A405),"")</f>
        <v/>
      </c>
      <c r="G405" s="66">
        <f>IFERROR(INDEX(tbl_Finance[Ex GST],$A405),"")</f>
        <v/>
      </c>
      <c r="H405" s="64">
        <f>IFERROR(INDEX(tbl_Finance[Defer Start],$A405),"")</f>
        <v/>
      </c>
      <c r="I405" s="64">
        <f>IFERROR(INDEX(tbl_Finance[Defer End],$A405),"")</f>
        <v/>
      </c>
      <c r="J405" s="63">
        <f>IF(OR($H405="",$I405="",$G405=""),"",MAX(1,(YEAR($I405)-YEAR($H405))*12+MONTH($I405)-MONTH($H405)+1))</f>
        <v/>
      </c>
      <c r="K405" s="66">
        <f>IF($J405="","",$G405/$J405)</f>
        <v/>
      </c>
      <c r="L405" s="66">
        <f>IF($J405="",0,$K405*MAX(0,MIN(YEAR($C$3)*12+MONTH($C$3),YEAR($I405)*12+MONTH($I405))-(YEAR($H405)*12+MONTH($H405))+1))</f>
        <v/>
      </c>
      <c r="M405" s="66">
        <f>IF($J405="",0,$K405*MAX(0,MIN(YEAR($C$3)*12+MONTH($C$3)-1,YEAR($I405)*12+MONTH($I405))-(YEAR($H405)*12+MONTH($H405))+1))</f>
        <v/>
      </c>
      <c r="N405" s="66">
        <f>IF(OR($J405="",$B405=""),0,IF(YEAR($B405)*12+MONTH($B405)&lt;=YEAR($C$3)*12+MONTH($C$3),$G405,0))</f>
        <v/>
      </c>
      <c r="O405" s="66">
        <f>IF(OR($J405="",$B405=""),0,IF(YEAR($B405)*12+MONTH($B405)&lt;=YEAR($C$3)*12+MONTH($C$3)-1,$G405,0))</f>
        <v/>
      </c>
      <c r="P405" s="66">
        <f>$M405-$O405</f>
        <v/>
      </c>
      <c r="Q405" s="66">
        <f>($L405-$M405)-($N405-$O405)</f>
        <v/>
      </c>
      <c r="R405" s="66">
        <f>$L405-$N405</f>
        <v/>
      </c>
      <c r="S405" s="65">
        <f>"Finance invoice"</f>
        <v/>
      </c>
      <c r="T405" s="65">
        <f>"Revenue"</f>
        <v/>
      </c>
    </row>
    <row r="407">
      <c r="A407" s="67" t="inlineStr">
        <is>
          <t>WIP Movements rows that spread over months  -  deferred cost and manual deferred revenue</t>
        </is>
      </c>
    </row>
    <row r="408">
      <c r="A408" s="63">
        <f>ROW()-407</f>
        <v/>
      </c>
      <c r="B408" s="64">
        <f>IFERROR(INDEX(tbl_WIP[Month],$A408),"")</f>
        <v/>
      </c>
      <c r="C408" s="65">
        <f>IFERROR(INDEX(tbl_WIP[Xero Invoice No],$A408),"")</f>
        <v/>
      </c>
      <c r="D408" s="65">
        <f>IFERROR(INDEX(tbl_WIP[Client],$A408),"")</f>
        <v/>
      </c>
      <c r="E408" s="65">
        <f>IFERROR(INDEX(tbl_WIP[Job Number],$A408),"")</f>
        <v/>
      </c>
      <c r="F408" s="65">
        <f>IFERROR(INDEX(tbl_WIP[Cost Centre],$A408),"")</f>
        <v/>
      </c>
      <c r="G408" s="66">
        <f>IFERROR(IF(INDEX(tbl_WIP[Defer Start],$A408)="","",IF(INDEX(tbl_WIP[Revenue or Cost],$A408)="Cost",-1,1)*INDEX(tbl_WIP[Amount],$A408)),"")</f>
        <v/>
      </c>
      <c r="H408" s="64">
        <f>IFERROR(INDEX(tbl_WIP[Defer Start],$A408),"")</f>
        <v/>
      </c>
      <c r="I408" s="64">
        <f>IFERROR(INDEX(tbl_WIP[Defer End],$A408),"")</f>
        <v/>
      </c>
      <c r="J408" s="63">
        <f>IF(OR($H408="",$I408="",$G408=""),"",MAX(1,(YEAR($I408)-YEAR($H408))*12+MONTH($I408)-MONTH($H408)+1))</f>
        <v/>
      </c>
      <c r="K408" s="66">
        <f>IF($J408="","",$G408/$J408)</f>
        <v/>
      </c>
      <c r="L408" s="66">
        <f>IF($J408="",0,$K408*MAX(0,MIN(YEAR($C$3)*12+MONTH($C$3),YEAR($I408)*12+MONTH($I408))-(YEAR($H408)*12+MONTH($H408))+1))</f>
        <v/>
      </c>
      <c r="M408" s="66">
        <f>IF($J408="",0,$K408*MAX(0,MIN(YEAR($C$3)*12+MONTH($C$3)-1,YEAR($I408)*12+MONTH($I408))-(YEAR($H408)*12+MONTH($H408))+1))</f>
        <v/>
      </c>
      <c r="N408" s="66">
        <f>IF(OR($J408="",$B408=""),0,IF(YEAR($B408)*12+MONTH($B408)&lt;=YEAR($C$3)*12+MONTH($C$3),$G408,0))</f>
        <v/>
      </c>
      <c r="O408" s="66">
        <f>IF(OR($J408="",$B408=""),0,IF(YEAR($B408)*12+MONTH($B408)&lt;=YEAR($C$3)*12+MONTH($C$3)-1,$G408,0))</f>
        <v/>
      </c>
      <c r="P408" s="66">
        <f>$M408-$O408</f>
        <v/>
      </c>
      <c r="Q408" s="66">
        <f>($L408-$M408)-($N408-$O408)</f>
        <v/>
      </c>
      <c r="R408" s="66">
        <f>$L408-$N408</f>
        <v/>
      </c>
      <c r="S408" s="65">
        <f>"WIP journal"</f>
        <v/>
      </c>
      <c r="T408" s="65">
        <f>IFERROR(INDEX(tbl_WIP[Revenue or Cost],$A408),"")</f>
        <v/>
      </c>
    </row>
    <row r="409">
      <c r="A409" s="63">
        <f>ROW()-407</f>
        <v/>
      </c>
      <c r="B409" s="64">
        <f>IFERROR(INDEX(tbl_WIP[Month],$A409),"")</f>
        <v/>
      </c>
      <c r="C409" s="65">
        <f>IFERROR(INDEX(tbl_WIP[Xero Invoice No],$A409),"")</f>
        <v/>
      </c>
      <c r="D409" s="65">
        <f>IFERROR(INDEX(tbl_WIP[Client],$A409),"")</f>
        <v/>
      </c>
      <c r="E409" s="65">
        <f>IFERROR(INDEX(tbl_WIP[Job Number],$A409),"")</f>
        <v/>
      </c>
      <c r="F409" s="65">
        <f>IFERROR(INDEX(tbl_WIP[Cost Centre],$A409),"")</f>
        <v/>
      </c>
      <c r="G409" s="66">
        <f>IFERROR(IF(INDEX(tbl_WIP[Defer Start],$A409)="","",IF(INDEX(tbl_WIP[Revenue or Cost],$A409)="Cost",-1,1)*INDEX(tbl_WIP[Amount],$A409)),"")</f>
        <v/>
      </c>
      <c r="H409" s="64">
        <f>IFERROR(INDEX(tbl_WIP[Defer Start],$A409),"")</f>
        <v/>
      </c>
      <c r="I409" s="64">
        <f>IFERROR(INDEX(tbl_WIP[Defer End],$A409),"")</f>
        <v/>
      </c>
      <c r="J409" s="63">
        <f>IF(OR($H409="",$I409="",$G409=""),"",MAX(1,(YEAR($I409)-YEAR($H409))*12+MONTH($I409)-MONTH($H409)+1))</f>
        <v/>
      </c>
      <c r="K409" s="66">
        <f>IF($J409="","",$G409/$J409)</f>
        <v/>
      </c>
      <c r="L409" s="66">
        <f>IF($J409="",0,$K409*MAX(0,MIN(YEAR($C$3)*12+MONTH($C$3),YEAR($I409)*12+MONTH($I409))-(YEAR($H409)*12+MONTH($H409))+1))</f>
        <v/>
      </c>
      <c r="M409" s="66">
        <f>IF($J409="",0,$K409*MAX(0,MIN(YEAR($C$3)*12+MONTH($C$3)-1,YEAR($I409)*12+MONTH($I409))-(YEAR($H409)*12+MONTH($H409))+1))</f>
        <v/>
      </c>
      <c r="N409" s="66">
        <f>IF(OR($J409="",$B409=""),0,IF(YEAR($B409)*12+MONTH($B409)&lt;=YEAR($C$3)*12+MONTH($C$3),$G409,0))</f>
        <v/>
      </c>
      <c r="O409" s="66">
        <f>IF(OR($J409="",$B409=""),0,IF(YEAR($B409)*12+MONTH($B409)&lt;=YEAR($C$3)*12+MONTH($C$3)-1,$G409,0))</f>
        <v/>
      </c>
      <c r="P409" s="66">
        <f>$M409-$O409</f>
        <v/>
      </c>
      <c r="Q409" s="66">
        <f>($L409-$M409)-($N409-$O409)</f>
        <v/>
      </c>
      <c r="R409" s="66">
        <f>$L409-$N409</f>
        <v/>
      </c>
      <c r="S409" s="65">
        <f>"WIP journal"</f>
        <v/>
      </c>
      <c r="T409" s="65">
        <f>IFERROR(INDEX(tbl_WIP[Revenue or Cost],$A409),"")</f>
        <v/>
      </c>
    </row>
    <row r="410">
      <c r="A410" s="63">
        <f>ROW()-407</f>
        <v/>
      </c>
      <c r="B410" s="64">
        <f>IFERROR(INDEX(tbl_WIP[Month],$A410),"")</f>
        <v/>
      </c>
      <c r="C410" s="65">
        <f>IFERROR(INDEX(tbl_WIP[Xero Invoice No],$A410),"")</f>
        <v/>
      </c>
      <c r="D410" s="65">
        <f>IFERROR(INDEX(tbl_WIP[Client],$A410),"")</f>
        <v/>
      </c>
      <c r="E410" s="65">
        <f>IFERROR(INDEX(tbl_WIP[Job Number],$A410),"")</f>
        <v/>
      </c>
      <c r="F410" s="65">
        <f>IFERROR(INDEX(tbl_WIP[Cost Centre],$A410),"")</f>
        <v/>
      </c>
      <c r="G410" s="66">
        <f>IFERROR(IF(INDEX(tbl_WIP[Defer Start],$A410)="","",IF(INDEX(tbl_WIP[Revenue or Cost],$A410)="Cost",-1,1)*INDEX(tbl_WIP[Amount],$A410)),"")</f>
        <v/>
      </c>
      <c r="H410" s="64">
        <f>IFERROR(INDEX(tbl_WIP[Defer Start],$A410),"")</f>
        <v/>
      </c>
      <c r="I410" s="64">
        <f>IFERROR(INDEX(tbl_WIP[Defer End],$A410),"")</f>
        <v/>
      </c>
      <c r="J410" s="63">
        <f>IF(OR($H410="",$I410="",$G410=""),"",MAX(1,(YEAR($I410)-YEAR($H410))*12+MONTH($I410)-MONTH($H410)+1))</f>
        <v/>
      </c>
      <c r="K410" s="66">
        <f>IF($J410="","",$G410/$J410)</f>
        <v/>
      </c>
      <c r="L410" s="66">
        <f>IF($J410="",0,$K410*MAX(0,MIN(YEAR($C$3)*12+MONTH($C$3),YEAR($I410)*12+MONTH($I410))-(YEAR($H410)*12+MONTH($H410))+1))</f>
        <v/>
      </c>
      <c r="M410" s="66">
        <f>IF($J410="",0,$K410*MAX(0,MIN(YEAR($C$3)*12+MONTH($C$3)-1,YEAR($I410)*12+MONTH($I410))-(YEAR($H410)*12+MONTH($H410))+1))</f>
        <v/>
      </c>
      <c r="N410" s="66">
        <f>IF(OR($J410="",$B410=""),0,IF(YEAR($B410)*12+MONTH($B410)&lt;=YEAR($C$3)*12+MONTH($C$3),$G410,0))</f>
        <v/>
      </c>
      <c r="O410" s="66">
        <f>IF(OR($J410="",$B410=""),0,IF(YEAR($B410)*12+MONTH($B410)&lt;=YEAR($C$3)*12+MONTH($C$3)-1,$G410,0))</f>
        <v/>
      </c>
      <c r="P410" s="66">
        <f>$M410-$O410</f>
        <v/>
      </c>
      <c r="Q410" s="66">
        <f>($L410-$M410)-($N410-$O410)</f>
        <v/>
      </c>
      <c r="R410" s="66">
        <f>$L410-$N410</f>
        <v/>
      </c>
      <c r="S410" s="65">
        <f>"WIP journal"</f>
        <v/>
      </c>
      <c r="T410" s="65">
        <f>IFERROR(INDEX(tbl_WIP[Revenue or Cost],$A410),"")</f>
        <v/>
      </c>
    </row>
    <row r="411">
      <c r="A411" s="63">
        <f>ROW()-407</f>
        <v/>
      </c>
      <c r="B411" s="64">
        <f>IFERROR(INDEX(tbl_WIP[Month],$A411),"")</f>
        <v/>
      </c>
      <c r="C411" s="65">
        <f>IFERROR(INDEX(tbl_WIP[Xero Invoice No],$A411),"")</f>
        <v/>
      </c>
      <c r="D411" s="65">
        <f>IFERROR(INDEX(tbl_WIP[Client],$A411),"")</f>
        <v/>
      </c>
      <c r="E411" s="65">
        <f>IFERROR(INDEX(tbl_WIP[Job Number],$A411),"")</f>
        <v/>
      </c>
      <c r="F411" s="65">
        <f>IFERROR(INDEX(tbl_WIP[Cost Centre],$A411),"")</f>
        <v/>
      </c>
      <c r="G411" s="66">
        <f>IFERROR(IF(INDEX(tbl_WIP[Defer Start],$A411)="","",IF(INDEX(tbl_WIP[Revenue or Cost],$A411)="Cost",-1,1)*INDEX(tbl_WIP[Amount],$A411)),"")</f>
        <v/>
      </c>
      <c r="H411" s="64">
        <f>IFERROR(INDEX(tbl_WIP[Defer Start],$A411),"")</f>
        <v/>
      </c>
      <c r="I411" s="64">
        <f>IFERROR(INDEX(tbl_WIP[Defer End],$A411),"")</f>
        <v/>
      </c>
      <c r="J411" s="63">
        <f>IF(OR($H411="",$I411="",$G411=""),"",MAX(1,(YEAR($I411)-YEAR($H411))*12+MONTH($I411)-MONTH($H411)+1))</f>
        <v/>
      </c>
      <c r="K411" s="66">
        <f>IF($J411="","",$G411/$J411)</f>
        <v/>
      </c>
      <c r="L411" s="66">
        <f>IF($J411="",0,$K411*MAX(0,MIN(YEAR($C$3)*12+MONTH($C$3),YEAR($I411)*12+MONTH($I411))-(YEAR($H411)*12+MONTH($H411))+1))</f>
        <v/>
      </c>
      <c r="M411" s="66">
        <f>IF($J411="",0,$K411*MAX(0,MIN(YEAR($C$3)*12+MONTH($C$3)-1,YEAR($I411)*12+MONTH($I411))-(YEAR($H411)*12+MONTH($H411))+1))</f>
        <v/>
      </c>
      <c r="N411" s="66">
        <f>IF(OR($J411="",$B411=""),0,IF(YEAR($B411)*12+MONTH($B411)&lt;=YEAR($C$3)*12+MONTH($C$3),$G411,0))</f>
        <v/>
      </c>
      <c r="O411" s="66">
        <f>IF(OR($J411="",$B411=""),0,IF(YEAR($B411)*12+MONTH($B411)&lt;=YEAR($C$3)*12+MONTH($C$3)-1,$G411,0))</f>
        <v/>
      </c>
      <c r="P411" s="66">
        <f>$M411-$O411</f>
        <v/>
      </c>
      <c r="Q411" s="66">
        <f>($L411-$M411)-($N411-$O411)</f>
        <v/>
      </c>
      <c r="R411" s="66">
        <f>$L411-$N411</f>
        <v/>
      </c>
      <c r="S411" s="65">
        <f>"WIP journal"</f>
        <v/>
      </c>
      <c r="T411" s="65">
        <f>IFERROR(INDEX(tbl_WIP[Revenue or Cost],$A411),"")</f>
        <v/>
      </c>
    </row>
    <row r="412">
      <c r="A412" s="63">
        <f>ROW()-407</f>
        <v/>
      </c>
      <c r="B412" s="64">
        <f>IFERROR(INDEX(tbl_WIP[Month],$A412),"")</f>
        <v/>
      </c>
      <c r="C412" s="65">
        <f>IFERROR(INDEX(tbl_WIP[Xero Invoice No],$A412),"")</f>
        <v/>
      </c>
      <c r="D412" s="65">
        <f>IFERROR(INDEX(tbl_WIP[Client],$A412),"")</f>
        <v/>
      </c>
      <c r="E412" s="65">
        <f>IFERROR(INDEX(tbl_WIP[Job Number],$A412),"")</f>
        <v/>
      </c>
      <c r="F412" s="65">
        <f>IFERROR(INDEX(tbl_WIP[Cost Centre],$A412),"")</f>
        <v/>
      </c>
      <c r="G412" s="66">
        <f>IFERROR(IF(INDEX(tbl_WIP[Defer Start],$A412)="","",IF(INDEX(tbl_WIP[Revenue or Cost],$A412)="Cost",-1,1)*INDEX(tbl_WIP[Amount],$A412)),"")</f>
        <v/>
      </c>
      <c r="H412" s="64">
        <f>IFERROR(INDEX(tbl_WIP[Defer Start],$A412),"")</f>
        <v/>
      </c>
      <c r="I412" s="64">
        <f>IFERROR(INDEX(tbl_WIP[Defer End],$A412),"")</f>
        <v/>
      </c>
      <c r="J412" s="63">
        <f>IF(OR($H412="",$I412="",$G412=""),"",MAX(1,(YEAR($I412)-YEAR($H412))*12+MONTH($I412)-MONTH($H412)+1))</f>
        <v/>
      </c>
      <c r="K412" s="66">
        <f>IF($J412="","",$G412/$J412)</f>
        <v/>
      </c>
      <c r="L412" s="66">
        <f>IF($J412="",0,$K412*MAX(0,MIN(YEAR($C$3)*12+MONTH($C$3),YEAR($I412)*12+MONTH($I412))-(YEAR($H412)*12+MONTH($H412))+1))</f>
        <v/>
      </c>
      <c r="M412" s="66">
        <f>IF($J412="",0,$K412*MAX(0,MIN(YEAR($C$3)*12+MONTH($C$3)-1,YEAR($I412)*12+MONTH($I412))-(YEAR($H412)*12+MONTH($H412))+1))</f>
        <v/>
      </c>
      <c r="N412" s="66">
        <f>IF(OR($J412="",$B412=""),0,IF(YEAR($B412)*12+MONTH($B412)&lt;=YEAR($C$3)*12+MONTH($C$3),$G412,0))</f>
        <v/>
      </c>
      <c r="O412" s="66">
        <f>IF(OR($J412="",$B412=""),0,IF(YEAR($B412)*12+MONTH($B412)&lt;=YEAR($C$3)*12+MONTH($C$3)-1,$G412,0))</f>
        <v/>
      </c>
      <c r="P412" s="66">
        <f>$M412-$O412</f>
        <v/>
      </c>
      <c r="Q412" s="66">
        <f>($L412-$M412)-($N412-$O412)</f>
        <v/>
      </c>
      <c r="R412" s="66">
        <f>$L412-$N412</f>
        <v/>
      </c>
      <c r="S412" s="65">
        <f>"WIP journal"</f>
        <v/>
      </c>
      <c r="T412" s="65">
        <f>IFERROR(INDEX(tbl_WIP[Revenue or Cost],$A412),"")</f>
        <v/>
      </c>
    </row>
    <row r="413">
      <c r="A413" s="63">
        <f>ROW()-407</f>
        <v/>
      </c>
      <c r="B413" s="64">
        <f>IFERROR(INDEX(tbl_WIP[Month],$A413),"")</f>
        <v/>
      </c>
      <c r="C413" s="65">
        <f>IFERROR(INDEX(tbl_WIP[Xero Invoice No],$A413),"")</f>
        <v/>
      </c>
      <c r="D413" s="65">
        <f>IFERROR(INDEX(tbl_WIP[Client],$A413),"")</f>
        <v/>
      </c>
      <c r="E413" s="65">
        <f>IFERROR(INDEX(tbl_WIP[Job Number],$A413),"")</f>
        <v/>
      </c>
      <c r="F413" s="65">
        <f>IFERROR(INDEX(tbl_WIP[Cost Centre],$A413),"")</f>
        <v/>
      </c>
      <c r="G413" s="66">
        <f>IFERROR(IF(INDEX(tbl_WIP[Defer Start],$A413)="","",IF(INDEX(tbl_WIP[Revenue or Cost],$A413)="Cost",-1,1)*INDEX(tbl_WIP[Amount],$A413)),"")</f>
        <v/>
      </c>
      <c r="H413" s="64">
        <f>IFERROR(INDEX(tbl_WIP[Defer Start],$A413),"")</f>
        <v/>
      </c>
      <c r="I413" s="64">
        <f>IFERROR(INDEX(tbl_WIP[Defer End],$A413),"")</f>
        <v/>
      </c>
      <c r="J413" s="63">
        <f>IF(OR($H413="",$I413="",$G413=""),"",MAX(1,(YEAR($I413)-YEAR($H413))*12+MONTH($I413)-MONTH($H413)+1))</f>
        <v/>
      </c>
      <c r="K413" s="66">
        <f>IF($J413="","",$G413/$J413)</f>
        <v/>
      </c>
      <c r="L413" s="66">
        <f>IF($J413="",0,$K413*MAX(0,MIN(YEAR($C$3)*12+MONTH($C$3),YEAR($I413)*12+MONTH($I413))-(YEAR($H413)*12+MONTH($H413))+1))</f>
        <v/>
      </c>
      <c r="M413" s="66">
        <f>IF($J413="",0,$K413*MAX(0,MIN(YEAR($C$3)*12+MONTH($C$3)-1,YEAR($I413)*12+MONTH($I413))-(YEAR($H413)*12+MONTH($H413))+1))</f>
        <v/>
      </c>
      <c r="N413" s="66">
        <f>IF(OR($J413="",$B413=""),0,IF(YEAR($B413)*12+MONTH($B413)&lt;=YEAR($C$3)*12+MONTH($C$3),$G413,0))</f>
        <v/>
      </c>
      <c r="O413" s="66">
        <f>IF(OR($J413="",$B413=""),0,IF(YEAR($B413)*12+MONTH($B413)&lt;=YEAR($C$3)*12+MONTH($C$3)-1,$G413,0))</f>
        <v/>
      </c>
      <c r="P413" s="66">
        <f>$M413-$O413</f>
        <v/>
      </c>
      <c r="Q413" s="66">
        <f>($L413-$M413)-($N413-$O413)</f>
        <v/>
      </c>
      <c r="R413" s="66">
        <f>$L413-$N413</f>
        <v/>
      </c>
      <c r="S413" s="65">
        <f>"WIP journal"</f>
        <v/>
      </c>
      <c r="T413" s="65">
        <f>IFERROR(INDEX(tbl_WIP[Revenue or Cost],$A413),"")</f>
        <v/>
      </c>
    </row>
    <row r="414">
      <c r="A414" s="63">
        <f>ROW()-407</f>
        <v/>
      </c>
      <c r="B414" s="64">
        <f>IFERROR(INDEX(tbl_WIP[Month],$A414),"")</f>
        <v/>
      </c>
      <c r="C414" s="65">
        <f>IFERROR(INDEX(tbl_WIP[Xero Invoice No],$A414),"")</f>
        <v/>
      </c>
      <c r="D414" s="65">
        <f>IFERROR(INDEX(tbl_WIP[Client],$A414),"")</f>
        <v/>
      </c>
      <c r="E414" s="65">
        <f>IFERROR(INDEX(tbl_WIP[Job Number],$A414),"")</f>
        <v/>
      </c>
      <c r="F414" s="65">
        <f>IFERROR(INDEX(tbl_WIP[Cost Centre],$A414),"")</f>
        <v/>
      </c>
      <c r="G414" s="66">
        <f>IFERROR(IF(INDEX(tbl_WIP[Defer Start],$A414)="","",IF(INDEX(tbl_WIP[Revenue or Cost],$A414)="Cost",-1,1)*INDEX(tbl_WIP[Amount],$A414)),"")</f>
        <v/>
      </c>
      <c r="H414" s="64">
        <f>IFERROR(INDEX(tbl_WIP[Defer Start],$A414),"")</f>
        <v/>
      </c>
      <c r="I414" s="64">
        <f>IFERROR(INDEX(tbl_WIP[Defer End],$A414),"")</f>
        <v/>
      </c>
      <c r="J414" s="63">
        <f>IF(OR($H414="",$I414="",$G414=""),"",MAX(1,(YEAR($I414)-YEAR($H414))*12+MONTH($I414)-MONTH($H414)+1))</f>
        <v/>
      </c>
      <c r="K414" s="66">
        <f>IF($J414="","",$G414/$J414)</f>
        <v/>
      </c>
      <c r="L414" s="66">
        <f>IF($J414="",0,$K414*MAX(0,MIN(YEAR($C$3)*12+MONTH($C$3),YEAR($I414)*12+MONTH($I414))-(YEAR($H414)*12+MONTH($H414))+1))</f>
        <v/>
      </c>
      <c r="M414" s="66">
        <f>IF($J414="",0,$K414*MAX(0,MIN(YEAR($C$3)*12+MONTH($C$3)-1,YEAR($I414)*12+MONTH($I414))-(YEAR($H414)*12+MONTH($H414))+1))</f>
        <v/>
      </c>
      <c r="N414" s="66">
        <f>IF(OR($J414="",$B414=""),0,IF(YEAR($B414)*12+MONTH($B414)&lt;=YEAR($C$3)*12+MONTH($C$3),$G414,0))</f>
        <v/>
      </c>
      <c r="O414" s="66">
        <f>IF(OR($J414="",$B414=""),0,IF(YEAR($B414)*12+MONTH($B414)&lt;=YEAR($C$3)*12+MONTH($C$3)-1,$G414,0))</f>
        <v/>
      </c>
      <c r="P414" s="66">
        <f>$M414-$O414</f>
        <v/>
      </c>
      <c r="Q414" s="66">
        <f>($L414-$M414)-($N414-$O414)</f>
        <v/>
      </c>
      <c r="R414" s="66">
        <f>$L414-$N414</f>
        <v/>
      </c>
      <c r="S414" s="65">
        <f>"WIP journal"</f>
        <v/>
      </c>
      <c r="T414" s="65">
        <f>IFERROR(INDEX(tbl_WIP[Revenue or Cost],$A414),"")</f>
        <v/>
      </c>
    </row>
    <row r="415">
      <c r="A415" s="63">
        <f>ROW()-407</f>
        <v/>
      </c>
      <c r="B415" s="64">
        <f>IFERROR(INDEX(tbl_WIP[Month],$A415),"")</f>
        <v/>
      </c>
      <c r="C415" s="65">
        <f>IFERROR(INDEX(tbl_WIP[Xero Invoice No],$A415),"")</f>
        <v/>
      </c>
      <c r="D415" s="65">
        <f>IFERROR(INDEX(tbl_WIP[Client],$A415),"")</f>
        <v/>
      </c>
      <c r="E415" s="65">
        <f>IFERROR(INDEX(tbl_WIP[Job Number],$A415),"")</f>
        <v/>
      </c>
      <c r="F415" s="65">
        <f>IFERROR(INDEX(tbl_WIP[Cost Centre],$A415),"")</f>
        <v/>
      </c>
      <c r="G415" s="66">
        <f>IFERROR(IF(INDEX(tbl_WIP[Defer Start],$A415)="","",IF(INDEX(tbl_WIP[Revenue or Cost],$A415)="Cost",-1,1)*INDEX(tbl_WIP[Amount],$A415)),"")</f>
        <v/>
      </c>
      <c r="H415" s="64">
        <f>IFERROR(INDEX(tbl_WIP[Defer Start],$A415),"")</f>
        <v/>
      </c>
      <c r="I415" s="64">
        <f>IFERROR(INDEX(tbl_WIP[Defer End],$A415),"")</f>
        <v/>
      </c>
      <c r="J415" s="63">
        <f>IF(OR($H415="",$I415="",$G415=""),"",MAX(1,(YEAR($I415)-YEAR($H415))*12+MONTH($I415)-MONTH($H415)+1))</f>
        <v/>
      </c>
      <c r="K415" s="66">
        <f>IF($J415="","",$G415/$J415)</f>
        <v/>
      </c>
      <c r="L415" s="66">
        <f>IF($J415="",0,$K415*MAX(0,MIN(YEAR($C$3)*12+MONTH($C$3),YEAR($I415)*12+MONTH($I415))-(YEAR($H415)*12+MONTH($H415))+1))</f>
        <v/>
      </c>
      <c r="M415" s="66">
        <f>IF($J415="",0,$K415*MAX(0,MIN(YEAR($C$3)*12+MONTH($C$3)-1,YEAR($I415)*12+MONTH($I415))-(YEAR($H415)*12+MONTH($H415))+1))</f>
        <v/>
      </c>
      <c r="N415" s="66">
        <f>IF(OR($J415="",$B415=""),0,IF(YEAR($B415)*12+MONTH($B415)&lt;=YEAR($C$3)*12+MONTH($C$3),$G415,0))</f>
        <v/>
      </c>
      <c r="O415" s="66">
        <f>IF(OR($J415="",$B415=""),0,IF(YEAR($B415)*12+MONTH($B415)&lt;=YEAR($C$3)*12+MONTH($C$3)-1,$G415,0))</f>
        <v/>
      </c>
      <c r="P415" s="66">
        <f>$M415-$O415</f>
        <v/>
      </c>
      <c r="Q415" s="66">
        <f>($L415-$M415)-($N415-$O415)</f>
        <v/>
      </c>
      <c r="R415" s="66">
        <f>$L415-$N415</f>
        <v/>
      </c>
      <c r="S415" s="65">
        <f>"WIP journal"</f>
        <v/>
      </c>
      <c r="T415" s="65">
        <f>IFERROR(INDEX(tbl_WIP[Revenue or Cost],$A415),"")</f>
        <v/>
      </c>
    </row>
    <row r="416">
      <c r="A416" s="63">
        <f>ROW()-407</f>
        <v/>
      </c>
      <c r="B416" s="64">
        <f>IFERROR(INDEX(tbl_WIP[Month],$A416),"")</f>
        <v/>
      </c>
      <c r="C416" s="65">
        <f>IFERROR(INDEX(tbl_WIP[Xero Invoice No],$A416),"")</f>
        <v/>
      </c>
      <c r="D416" s="65">
        <f>IFERROR(INDEX(tbl_WIP[Client],$A416),"")</f>
        <v/>
      </c>
      <c r="E416" s="65">
        <f>IFERROR(INDEX(tbl_WIP[Job Number],$A416),"")</f>
        <v/>
      </c>
      <c r="F416" s="65">
        <f>IFERROR(INDEX(tbl_WIP[Cost Centre],$A416),"")</f>
        <v/>
      </c>
      <c r="G416" s="66">
        <f>IFERROR(IF(INDEX(tbl_WIP[Defer Start],$A416)="","",IF(INDEX(tbl_WIP[Revenue or Cost],$A416)="Cost",-1,1)*INDEX(tbl_WIP[Amount],$A416)),"")</f>
        <v/>
      </c>
      <c r="H416" s="64">
        <f>IFERROR(INDEX(tbl_WIP[Defer Start],$A416),"")</f>
        <v/>
      </c>
      <c r="I416" s="64">
        <f>IFERROR(INDEX(tbl_WIP[Defer End],$A416),"")</f>
        <v/>
      </c>
      <c r="J416" s="63">
        <f>IF(OR($H416="",$I416="",$G416=""),"",MAX(1,(YEAR($I416)-YEAR($H416))*12+MONTH($I416)-MONTH($H416)+1))</f>
        <v/>
      </c>
      <c r="K416" s="66">
        <f>IF($J416="","",$G416/$J416)</f>
        <v/>
      </c>
      <c r="L416" s="66">
        <f>IF($J416="",0,$K416*MAX(0,MIN(YEAR($C$3)*12+MONTH($C$3),YEAR($I416)*12+MONTH($I416))-(YEAR($H416)*12+MONTH($H416))+1))</f>
        <v/>
      </c>
      <c r="M416" s="66">
        <f>IF($J416="",0,$K416*MAX(0,MIN(YEAR($C$3)*12+MONTH($C$3)-1,YEAR($I416)*12+MONTH($I416))-(YEAR($H416)*12+MONTH($H416))+1))</f>
        <v/>
      </c>
      <c r="N416" s="66">
        <f>IF(OR($J416="",$B416=""),0,IF(YEAR($B416)*12+MONTH($B416)&lt;=YEAR($C$3)*12+MONTH($C$3),$G416,0))</f>
        <v/>
      </c>
      <c r="O416" s="66">
        <f>IF(OR($J416="",$B416=""),0,IF(YEAR($B416)*12+MONTH($B416)&lt;=YEAR($C$3)*12+MONTH($C$3)-1,$G416,0))</f>
        <v/>
      </c>
      <c r="P416" s="66">
        <f>$M416-$O416</f>
        <v/>
      </c>
      <c r="Q416" s="66">
        <f>($L416-$M416)-($N416-$O416)</f>
        <v/>
      </c>
      <c r="R416" s="66">
        <f>$L416-$N416</f>
        <v/>
      </c>
      <c r="S416" s="65">
        <f>"WIP journal"</f>
        <v/>
      </c>
      <c r="T416" s="65">
        <f>IFERROR(INDEX(tbl_WIP[Revenue or Cost],$A416),"")</f>
        <v/>
      </c>
    </row>
    <row r="417">
      <c r="A417" s="63">
        <f>ROW()-407</f>
        <v/>
      </c>
      <c r="B417" s="64">
        <f>IFERROR(INDEX(tbl_WIP[Month],$A417),"")</f>
        <v/>
      </c>
      <c r="C417" s="65">
        <f>IFERROR(INDEX(tbl_WIP[Xero Invoice No],$A417),"")</f>
        <v/>
      </c>
      <c r="D417" s="65">
        <f>IFERROR(INDEX(tbl_WIP[Client],$A417),"")</f>
        <v/>
      </c>
      <c r="E417" s="65">
        <f>IFERROR(INDEX(tbl_WIP[Job Number],$A417),"")</f>
        <v/>
      </c>
      <c r="F417" s="65">
        <f>IFERROR(INDEX(tbl_WIP[Cost Centre],$A417),"")</f>
        <v/>
      </c>
      <c r="G417" s="66">
        <f>IFERROR(IF(INDEX(tbl_WIP[Defer Start],$A417)="","",IF(INDEX(tbl_WIP[Revenue or Cost],$A417)="Cost",-1,1)*INDEX(tbl_WIP[Amount],$A417)),"")</f>
        <v/>
      </c>
      <c r="H417" s="64">
        <f>IFERROR(INDEX(tbl_WIP[Defer Start],$A417),"")</f>
        <v/>
      </c>
      <c r="I417" s="64">
        <f>IFERROR(INDEX(tbl_WIP[Defer End],$A417),"")</f>
        <v/>
      </c>
      <c r="J417" s="63">
        <f>IF(OR($H417="",$I417="",$G417=""),"",MAX(1,(YEAR($I417)-YEAR($H417))*12+MONTH($I417)-MONTH($H417)+1))</f>
        <v/>
      </c>
      <c r="K417" s="66">
        <f>IF($J417="","",$G417/$J417)</f>
        <v/>
      </c>
      <c r="L417" s="66">
        <f>IF($J417="",0,$K417*MAX(0,MIN(YEAR($C$3)*12+MONTH($C$3),YEAR($I417)*12+MONTH($I417))-(YEAR($H417)*12+MONTH($H417))+1))</f>
        <v/>
      </c>
      <c r="M417" s="66">
        <f>IF($J417="",0,$K417*MAX(0,MIN(YEAR($C$3)*12+MONTH($C$3)-1,YEAR($I417)*12+MONTH($I417))-(YEAR($H417)*12+MONTH($H417))+1))</f>
        <v/>
      </c>
      <c r="N417" s="66">
        <f>IF(OR($J417="",$B417=""),0,IF(YEAR($B417)*12+MONTH($B417)&lt;=YEAR($C$3)*12+MONTH($C$3),$G417,0))</f>
        <v/>
      </c>
      <c r="O417" s="66">
        <f>IF(OR($J417="",$B417=""),0,IF(YEAR($B417)*12+MONTH($B417)&lt;=YEAR($C$3)*12+MONTH($C$3)-1,$G417,0))</f>
        <v/>
      </c>
      <c r="P417" s="66">
        <f>$M417-$O417</f>
        <v/>
      </c>
      <c r="Q417" s="66">
        <f>($L417-$M417)-($N417-$O417)</f>
        <v/>
      </c>
      <c r="R417" s="66">
        <f>$L417-$N417</f>
        <v/>
      </c>
      <c r="S417" s="65">
        <f>"WIP journal"</f>
        <v/>
      </c>
      <c r="T417" s="65">
        <f>IFERROR(INDEX(tbl_WIP[Revenue or Cost],$A417),"")</f>
        <v/>
      </c>
    </row>
    <row r="418">
      <c r="A418" s="63">
        <f>ROW()-407</f>
        <v/>
      </c>
      <c r="B418" s="64">
        <f>IFERROR(INDEX(tbl_WIP[Month],$A418),"")</f>
        <v/>
      </c>
      <c r="C418" s="65">
        <f>IFERROR(INDEX(tbl_WIP[Xero Invoice No],$A418),"")</f>
        <v/>
      </c>
      <c r="D418" s="65">
        <f>IFERROR(INDEX(tbl_WIP[Client],$A418),"")</f>
        <v/>
      </c>
      <c r="E418" s="65">
        <f>IFERROR(INDEX(tbl_WIP[Job Number],$A418),"")</f>
        <v/>
      </c>
      <c r="F418" s="65">
        <f>IFERROR(INDEX(tbl_WIP[Cost Centre],$A418),"")</f>
        <v/>
      </c>
      <c r="G418" s="66">
        <f>IFERROR(IF(INDEX(tbl_WIP[Defer Start],$A418)="","",IF(INDEX(tbl_WIP[Revenue or Cost],$A418)="Cost",-1,1)*INDEX(tbl_WIP[Amount],$A418)),"")</f>
        <v/>
      </c>
      <c r="H418" s="64">
        <f>IFERROR(INDEX(tbl_WIP[Defer Start],$A418),"")</f>
        <v/>
      </c>
      <c r="I418" s="64">
        <f>IFERROR(INDEX(tbl_WIP[Defer End],$A418),"")</f>
        <v/>
      </c>
      <c r="J418" s="63">
        <f>IF(OR($H418="",$I418="",$G418=""),"",MAX(1,(YEAR($I418)-YEAR($H418))*12+MONTH($I418)-MONTH($H418)+1))</f>
        <v/>
      </c>
      <c r="K418" s="66">
        <f>IF($J418="","",$G418/$J418)</f>
        <v/>
      </c>
      <c r="L418" s="66">
        <f>IF($J418="",0,$K418*MAX(0,MIN(YEAR($C$3)*12+MONTH($C$3),YEAR($I418)*12+MONTH($I418))-(YEAR($H418)*12+MONTH($H418))+1))</f>
        <v/>
      </c>
      <c r="M418" s="66">
        <f>IF($J418="",0,$K418*MAX(0,MIN(YEAR($C$3)*12+MONTH($C$3)-1,YEAR($I418)*12+MONTH($I418))-(YEAR($H418)*12+MONTH($H418))+1))</f>
        <v/>
      </c>
      <c r="N418" s="66">
        <f>IF(OR($J418="",$B418=""),0,IF(YEAR($B418)*12+MONTH($B418)&lt;=YEAR($C$3)*12+MONTH($C$3),$G418,0))</f>
        <v/>
      </c>
      <c r="O418" s="66">
        <f>IF(OR($J418="",$B418=""),0,IF(YEAR($B418)*12+MONTH($B418)&lt;=YEAR($C$3)*12+MONTH($C$3)-1,$G418,0))</f>
        <v/>
      </c>
      <c r="P418" s="66">
        <f>$M418-$O418</f>
        <v/>
      </c>
      <c r="Q418" s="66">
        <f>($L418-$M418)-($N418-$O418)</f>
        <v/>
      </c>
      <c r="R418" s="66">
        <f>$L418-$N418</f>
        <v/>
      </c>
      <c r="S418" s="65">
        <f>"WIP journal"</f>
        <v/>
      </c>
      <c r="T418" s="65">
        <f>IFERROR(INDEX(tbl_WIP[Revenue or Cost],$A418),"")</f>
        <v/>
      </c>
    </row>
    <row r="419">
      <c r="A419" s="63">
        <f>ROW()-407</f>
        <v/>
      </c>
      <c r="B419" s="64">
        <f>IFERROR(INDEX(tbl_WIP[Month],$A419),"")</f>
        <v/>
      </c>
      <c r="C419" s="65">
        <f>IFERROR(INDEX(tbl_WIP[Xero Invoice No],$A419),"")</f>
        <v/>
      </c>
      <c r="D419" s="65">
        <f>IFERROR(INDEX(tbl_WIP[Client],$A419),"")</f>
        <v/>
      </c>
      <c r="E419" s="65">
        <f>IFERROR(INDEX(tbl_WIP[Job Number],$A419),"")</f>
        <v/>
      </c>
      <c r="F419" s="65">
        <f>IFERROR(INDEX(tbl_WIP[Cost Centre],$A419),"")</f>
        <v/>
      </c>
      <c r="G419" s="66">
        <f>IFERROR(IF(INDEX(tbl_WIP[Defer Start],$A419)="","",IF(INDEX(tbl_WIP[Revenue or Cost],$A419)="Cost",-1,1)*INDEX(tbl_WIP[Amount],$A419)),"")</f>
        <v/>
      </c>
      <c r="H419" s="64">
        <f>IFERROR(INDEX(tbl_WIP[Defer Start],$A419),"")</f>
        <v/>
      </c>
      <c r="I419" s="64">
        <f>IFERROR(INDEX(tbl_WIP[Defer End],$A419),"")</f>
        <v/>
      </c>
      <c r="J419" s="63">
        <f>IF(OR($H419="",$I419="",$G419=""),"",MAX(1,(YEAR($I419)-YEAR($H419))*12+MONTH($I419)-MONTH($H419)+1))</f>
        <v/>
      </c>
      <c r="K419" s="66">
        <f>IF($J419="","",$G419/$J419)</f>
        <v/>
      </c>
      <c r="L419" s="66">
        <f>IF($J419="",0,$K419*MAX(0,MIN(YEAR($C$3)*12+MONTH($C$3),YEAR($I419)*12+MONTH($I419))-(YEAR($H419)*12+MONTH($H419))+1))</f>
        <v/>
      </c>
      <c r="M419" s="66">
        <f>IF($J419="",0,$K419*MAX(0,MIN(YEAR($C$3)*12+MONTH($C$3)-1,YEAR($I419)*12+MONTH($I419))-(YEAR($H419)*12+MONTH($H419))+1))</f>
        <v/>
      </c>
      <c r="N419" s="66">
        <f>IF(OR($J419="",$B419=""),0,IF(YEAR($B419)*12+MONTH($B419)&lt;=YEAR($C$3)*12+MONTH($C$3),$G419,0))</f>
        <v/>
      </c>
      <c r="O419" s="66">
        <f>IF(OR($J419="",$B419=""),0,IF(YEAR($B419)*12+MONTH($B419)&lt;=YEAR($C$3)*12+MONTH($C$3)-1,$G419,0))</f>
        <v/>
      </c>
      <c r="P419" s="66">
        <f>$M419-$O419</f>
        <v/>
      </c>
      <c r="Q419" s="66">
        <f>($L419-$M419)-($N419-$O419)</f>
        <v/>
      </c>
      <c r="R419" s="66">
        <f>$L419-$N419</f>
        <v/>
      </c>
      <c r="S419" s="65">
        <f>"WIP journal"</f>
        <v/>
      </c>
      <c r="T419" s="65">
        <f>IFERROR(INDEX(tbl_WIP[Revenue or Cost],$A419),"")</f>
        <v/>
      </c>
    </row>
    <row r="420">
      <c r="A420" s="63">
        <f>ROW()-407</f>
        <v/>
      </c>
      <c r="B420" s="64">
        <f>IFERROR(INDEX(tbl_WIP[Month],$A420),"")</f>
        <v/>
      </c>
      <c r="C420" s="65">
        <f>IFERROR(INDEX(tbl_WIP[Xero Invoice No],$A420),"")</f>
        <v/>
      </c>
      <c r="D420" s="65">
        <f>IFERROR(INDEX(tbl_WIP[Client],$A420),"")</f>
        <v/>
      </c>
      <c r="E420" s="65">
        <f>IFERROR(INDEX(tbl_WIP[Job Number],$A420),"")</f>
        <v/>
      </c>
      <c r="F420" s="65">
        <f>IFERROR(INDEX(tbl_WIP[Cost Centre],$A420),"")</f>
        <v/>
      </c>
      <c r="G420" s="66">
        <f>IFERROR(IF(INDEX(tbl_WIP[Defer Start],$A420)="","",IF(INDEX(tbl_WIP[Revenue or Cost],$A420)="Cost",-1,1)*INDEX(tbl_WIP[Amount],$A420)),"")</f>
        <v/>
      </c>
      <c r="H420" s="64">
        <f>IFERROR(INDEX(tbl_WIP[Defer Start],$A420),"")</f>
        <v/>
      </c>
      <c r="I420" s="64">
        <f>IFERROR(INDEX(tbl_WIP[Defer End],$A420),"")</f>
        <v/>
      </c>
      <c r="J420" s="63">
        <f>IF(OR($H420="",$I420="",$G420=""),"",MAX(1,(YEAR($I420)-YEAR($H420))*12+MONTH($I420)-MONTH($H420)+1))</f>
        <v/>
      </c>
      <c r="K420" s="66">
        <f>IF($J420="","",$G420/$J420)</f>
        <v/>
      </c>
      <c r="L420" s="66">
        <f>IF($J420="",0,$K420*MAX(0,MIN(YEAR($C$3)*12+MONTH($C$3),YEAR($I420)*12+MONTH($I420))-(YEAR($H420)*12+MONTH($H420))+1))</f>
        <v/>
      </c>
      <c r="M420" s="66">
        <f>IF($J420="",0,$K420*MAX(0,MIN(YEAR($C$3)*12+MONTH($C$3)-1,YEAR($I420)*12+MONTH($I420))-(YEAR($H420)*12+MONTH($H420))+1))</f>
        <v/>
      </c>
      <c r="N420" s="66">
        <f>IF(OR($J420="",$B420=""),0,IF(YEAR($B420)*12+MONTH($B420)&lt;=YEAR($C$3)*12+MONTH($C$3),$G420,0))</f>
        <v/>
      </c>
      <c r="O420" s="66">
        <f>IF(OR($J420="",$B420=""),0,IF(YEAR($B420)*12+MONTH($B420)&lt;=YEAR($C$3)*12+MONTH($C$3)-1,$G420,0))</f>
        <v/>
      </c>
      <c r="P420" s="66">
        <f>$M420-$O420</f>
        <v/>
      </c>
      <c r="Q420" s="66">
        <f>($L420-$M420)-($N420-$O420)</f>
        <v/>
      </c>
      <c r="R420" s="66">
        <f>$L420-$N420</f>
        <v/>
      </c>
      <c r="S420" s="65">
        <f>"WIP journal"</f>
        <v/>
      </c>
      <c r="T420" s="65">
        <f>IFERROR(INDEX(tbl_WIP[Revenue or Cost],$A420),"")</f>
        <v/>
      </c>
    </row>
    <row r="421">
      <c r="A421" s="63">
        <f>ROW()-407</f>
        <v/>
      </c>
      <c r="B421" s="64">
        <f>IFERROR(INDEX(tbl_WIP[Month],$A421),"")</f>
        <v/>
      </c>
      <c r="C421" s="65">
        <f>IFERROR(INDEX(tbl_WIP[Xero Invoice No],$A421),"")</f>
        <v/>
      </c>
      <c r="D421" s="65">
        <f>IFERROR(INDEX(tbl_WIP[Client],$A421),"")</f>
        <v/>
      </c>
      <c r="E421" s="65">
        <f>IFERROR(INDEX(tbl_WIP[Job Number],$A421),"")</f>
        <v/>
      </c>
      <c r="F421" s="65">
        <f>IFERROR(INDEX(tbl_WIP[Cost Centre],$A421),"")</f>
        <v/>
      </c>
      <c r="G421" s="66">
        <f>IFERROR(IF(INDEX(tbl_WIP[Defer Start],$A421)="","",IF(INDEX(tbl_WIP[Revenue or Cost],$A421)="Cost",-1,1)*INDEX(tbl_WIP[Amount],$A421)),"")</f>
        <v/>
      </c>
      <c r="H421" s="64">
        <f>IFERROR(INDEX(tbl_WIP[Defer Start],$A421),"")</f>
        <v/>
      </c>
      <c r="I421" s="64">
        <f>IFERROR(INDEX(tbl_WIP[Defer End],$A421),"")</f>
        <v/>
      </c>
      <c r="J421" s="63">
        <f>IF(OR($H421="",$I421="",$G421=""),"",MAX(1,(YEAR($I421)-YEAR($H421))*12+MONTH($I421)-MONTH($H421)+1))</f>
        <v/>
      </c>
      <c r="K421" s="66">
        <f>IF($J421="","",$G421/$J421)</f>
        <v/>
      </c>
      <c r="L421" s="66">
        <f>IF($J421="",0,$K421*MAX(0,MIN(YEAR($C$3)*12+MONTH($C$3),YEAR($I421)*12+MONTH($I421))-(YEAR($H421)*12+MONTH($H421))+1))</f>
        <v/>
      </c>
      <c r="M421" s="66">
        <f>IF($J421="",0,$K421*MAX(0,MIN(YEAR($C$3)*12+MONTH($C$3)-1,YEAR($I421)*12+MONTH($I421))-(YEAR($H421)*12+MONTH($H421))+1))</f>
        <v/>
      </c>
      <c r="N421" s="66">
        <f>IF(OR($J421="",$B421=""),0,IF(YEAR($B421)*12+MONTH($B421)&lt;=YEAR($C$3)*12+MONTH($C$3),$G421,0))</f>
        <v/>
      </c>
      <c r="O421" s="66">
        <f>IF(OR($J421="",$B421=""),0,IF(YEAR($B421)*12+MONTH($B421)&lt;=YEAR($C$3)*12+MONTH($C$3)-1,$G421,0))</f>
        <v/>
      </c>
      <c r="P421" s="66">
        <f>$M421-$O421</f>
        <v/>
      </c>
      <c r="Q421" s="66">
        <f>($L421-$M421)-($N421-$O421)</f>
        <v/>
      </c>
      <c r="R421" s="66">
        <f>$L421-$N421</f>
        <v/>
      </c>
      <c r="S421" s="65">
        <f>"WIP journal"</f>
        <v/>
      </c>
      <c r="T421" s="65">
        <f>IFERROR(INDEX(tbl_WIP[Revenue or Cost],$A421),"")</f>
        <v/>
      </c>
    </row>
    <row r="422">
      <c r="A422" s="63">
        <f>ROW()-407</f>
        <v/>
      </c>
      <c r="B422" s="64">
        <f>IFERROR(INDEX(tbl_WIP[Month],$A422),"")</f>
        <v/>
      </c>
      <c r="C422" s="65">
        <f>IFERROR(INDEX(tbl_WIP[Xero Invoice No],$A422),"")</f>
        <v/>
      </c>
      <c r="D422" s="65">
        <f>IFERROR(INDEX(tbl_WIP[Client],$A422),"")</f>
        <v/>
      </c>
      <c r="E422" s="65">
        <f>IFERROR(INDEX(tbl_WIP[Job Number],$A422),"")</f>
        <v/>
      </c>
      <c r="F422" s="65">
        <f>IFERROR(INDEX(tbl_WIP[Cost Centre],$A422),"")</f>
        <v/>
      </c>
      <c r="G422" s="66">
        <f>IFERROR(IF(INDEX(tbl_WIP[Defer Start],$A422)="","",IF(INDEX(tbl_WIP[Revenue or Cost],$A422)="Cost",-1,1)*INDEX(tbl_WIP[Amount],$A422)),"")</f>
        <v/>
      </c>
      <c r="H422" s="64">
        <f>IFERROR(INDEX(tbl_WIP[Defer Start],$A422),"")</f>
        <v/>
      </c>
      <c r="I422" s="64">
        <f>IFERROR(INDEX(tbl_WIP[Defer End],$A422),"")</f>
        <v/>
      </c>
      <c r="J422" s="63">
        <f>IF(OR($H422="",$I422="",$G422=""),"",MAX(1,(YEAR($I422)-YEAR($H422))*12+MONTH($I422)-MONTH($H422)+1))</f>
        <v/>
      </c>
      <c r="K422" s="66">
        <f>IF($J422="","",$G422/$J422)</f>
        <v/>
      </c>
      <c r="L422" s="66">
        <f>IF($J422="",0,$K422*MAX(0,MIN(YEAR($C$3)*12+MONTH($C$3),YEAR($I422)*12+MONTH($I422))-(YEAR($H422)*12+MONTH($H422))+1))</f>
        <v/>
      </c>
      <c r="M422" s="66">
        <f>IF($J422="",0,$K422*MAX(0,MIN(YEAR($C$3)*12+MONTH($C$3)-1,YEAR($I422)*12+MONTH($I422))-(YEAR($H422)*12+MONTH($H422))+1))</f>
        <v/>
      </c>
      <c r="N422" s="66">
        <f>IF(OR($J422="",$B422=""),0,IF(YEAR($B422)*12+MONTH($B422)&lt;=YEAR($C$3)*12+MONTH($C$3),$G422,0))</f>
        <v/>
      </c>
      <c r="O422" s="66">
        <f>IF(OR($J422="",$B422=""),0,IF(YEAR($B422)*12+MONTH($B422)&lt;=YEAR($C$3)*12+MONTH($C$3)-1,$G422,0))</f>
        <v/>
      </c>
      <c r="P422" s="66">
        <f>$M422-$O422</f>
        <v/>
      </c>
      <c r="Q422" s="66">
        <f>($L422-$M422)-($N422-$O422)</f>
        <v/>
      </c>
      <c r="R422" s="66">
        <f>$L422-$N422</f>
        <v/>
      </c>
      <c r="S422" s="65">
        <f>"WIP journal"</f>
        <v/>
      </c>
      <c r="T422" s="65">
        <f>IFERROR(INDEX(tbl_WIP[Revenue or Cost],$A422),"")</f>
        <v/>
      </c>
    </row>
    <row r="423">
      <c r="A423" s="63">
        <f>ROW()-407</f>
        <v/>
      </c>
      <c r="B423" s="64">
        <f>IFERROR(INDEX(tbl_WIP[Month],$A423),"")</f>
        <v/>
      </c>
      <c r="C423" s="65">
        <f>IFERROR(INDEX(tbl_WIP[Xero Invoice No],$A423),"")</f>
        <v/>
      </c>
      <c r="D423" s="65">
        <f>IFERROR(INDEX(tbl_WIP[Client],$A423),"")</f>
        <v/>
      </c>
      <c r="E423" s="65">
        <f>IFERROR(INDEX(tbl_WIP[Job Number],$A423),"")</f>
        <v/>
      </c>
      <c r="F423" s="65">
        <f>IFERROR(INDEX(tbl_WIP[Cost Centre],$A423),"")</f>
        <v/>
      </c>
      <c r="G423" s="66">
        <f>IFERROR(IF(INDEX(tbl_WIP[Defer Start],$A423)="","",IF(INDEX(tbl_WIP[Revenue or Cost],$A423)="Cost",-1,1)*INDEX(tbl_WIP[Amount],$A423)),"")</f>
        <v/>
      </c>
      <c r="H423" s="64">
        <f>IFERROR(INDEX(tbl_WIP[Defer Start],$A423),"")</f>
        <v/>
      </c>
      <c r="I423" s="64">
        <f>IFERROR(INDEX(tbl_WIP[Defer End],$A423),"")</f>
        <v/>
      </c>
      <c r="J423" s="63">
        <f>IF(OR($H423="",$I423="",$G423=""),"",MAX(1,(YEAR($I423)-YEAR($H423))*12+MONTH($I423)-MONTH($H423)+1))</f>
        <v/>
      </c>
      <c r="K423" s="66">
        <f>IF($J423="","",$G423/$J423)</f>
        <v/>
      </c>
      <c r="L423" s="66">
        <f>IF($J423="",0,$K423*MAX(0,MIN(YEAR($C$3)*12+MONTH($C$3),YEAR($I423)*12+MONTH($I423))-(YEAR($H423)*12+MONTH($H423))+1))</f>
        <v/>
      </c>
      <c r="M423" s="66">
        <f>IF($J423="",0,$K423*MAX(0,MIN(YEAR($C$3)*12+MONTH($C$3)-1,YEAR($I423)*12+MONTH($I423))-(YEAR($H423)*12+MONTH($H423))+1))</f>
        <v/>
      </c>
      <c r="N423" s="66">
        <f>IF(OR($J423="",$B423=""),0,IF(YEAR($B423)*12+MONTH($B423)&lt;=YEAR($C$3)*12+MONTH($C$3),$G423,0))</f>
        <v/>
      </c>
      <c r="O423" s="66">
        <f>IF(OR($J423="",$B423=""),0,IF(YEAR($B423)*12+MONTH($B423)&lt;=YEAR($C$3)*12+MONTH($C$3)-1,$G423,0))</f>
        <v/>
      </c>
      <c r="P423" s="66">
        <f>$M423-$O423</f>
        <v/>
      </c>
      <c r="Q423" s="66">
        <f>($L423-$M423)-($N423-$O423)</f>
        <v/>
      </c>
      <c r="R423" s="66">
        <f>$L423-$N423</f>
        <v/>
      </c>
      <c r="S423" s="65">
        <f>"WIP journal"</f>
        <v/>
      </c>
      <c r="T423" s="65">
        <f>IFERROR(INDEX(tbl_WIP[Revenue or Cost],$A423),"")</f>
        <v/>
      </c>
    </row>
    <row r="424">
      <c r="A424" s="63">
        <f>ROW()-407</f>
        <v/>
      </c>
      <c r="B424" s="64">
        <f>IFERROR(INDEX(tbl_WIP[Month],$A424),"")</f>
        <v/>
      </c>
      <c r="C424" s="65">
        <f>IFERROR(INDEX(tbl_WIP[Xero Invoice No],$A424),"")</f>
        <v/>
      </c>
      <c r="D424" s="65">
        <f>IFERROR(INDEX(tbl_WIP[Client],$A424),"")</f>
        <v/>
      </c>
      <c r="E424" s="65">
        <f>IFERROR(INDEX(tbl_WIP[Job Number],$A424),"")</f>
        <v/>
      </c>
      <c r="F424" s="65">
        <f>IFERROR(INDEX(tbl_WIP[Cost Centre],$A424),"")</f>
        <v/>
      </c>
      <c r="G424" s="66">
        <f>IFERROR(IF(INDEX(tbl_WIP[Defer Start],$A424)="","",IF(INDEX(tbl_WIP[Revenue or Cost],$A424)="Cost",-1,1)*INDEX(tbl_WIP[Amount],$A424)),"")</f>
        <v/>
      </c>
      <c r="H424" s="64">
        <f>IFERROR(INDEX(tbl_WIP[Defer Start],$A424),"")</f>
        <v/>
      </c>
      <c r="I424" s="64">
        <f>IFERROR(INDEX(tbl_WIP[Defer End],$A424),"")</f>
        <v/>
      </c>
      <c r="J424" s="63">
        <f>IF(OR($H424="",$I424="",$G424=""),"",MAX(1,(YEAR($I424)-YEAR($H424))*12+MONTH($I424)-MONTH($H424)+1))</f>
        <v/>
      </c>
      <c r="K424" s="66">
        <f>IF($J424="","",$G424/$J424)</f>
        <v/>
      </c>
      <c r="L424" s="66">
        <f>IF($J424="",0,$K424*MAX(0,MIN(YEAR($C$3)*12+MONTH($C$3),YEAR($I424)*12+MONTH($I424))-(YEAR($H424)*12+MONTH($H424))+1))</f>
        <v/>
      </c>
      <c r="M424" s="66">
        <f>IF($J424="",0,$K424*MAX(0,MIN(YEAR($C$3)*12+MONTH($C$3)-1,YEAR($I424)*12+MONTH($I424))-(YEAR($H424)*12+MONTH($H424))+1))</f>
        <v/>
      </c>
      <c r="N424" s="66">
        <f>IF(OR($J424="",$B424=""),0,IF(YEAR($B424)*12+MONTH($B424)&lt;=YEAR($C$3)*12+MONTH($C$3),$G424,0))</f>
        <v/>
      </c>
      <c r="O424" s="66">
        <f>IF(OR($J424="",$B424=""),0,IF(YEAR($B424)*12+MONTH($B424)&lt;=YEAR($C$3)*12+MONTH($C$3)-1,$G424,0))</f>
        <v/>
      </c>
      <c r="P424" s="66">
        <f>$M424-$O424</f>
        <v/>
      </c>
      <c r="Q424" s="66">
        <f>($L424-$M424)-($N424-$O424)</f>
        <v/>
      </c>
      <c r="R424" s="66">
        <f>$L424-$N424</f>
        <v/>
      </c>
      <c r="S424" s="65">
        <f>"WIP journal"</f>
        <v/>
      </c>
      <c r="T424" s="65">
        <f>IFERROR(INDEX(tbl_WIP[Revenue or Cost],$A424),"")</f>
        <v/>
      </c>
    </row>
    <row r="425">
      <c r="A425" s="63">
        <f>ROW()-407</f>
        <v/>
      </c>
      <c r="B425" s="64">
        <f>IFERROR(INDEX(tbl_WIP[Month],$A425),"")</f>
        <v/>
      </c>
      <c r="C425" s="65">
        <f>IFERROR(INDEX(tbl_WIP[Xero Invoice No],$A425),"")</f>
        <v/>
      </c>
      <c r="D425" s="65">
        <f>IFERROR(INDEX(tbl_WIP[Client],$A425),"")</f>
        <v/>
      </c>
      <c r="E425" s="65">
        <f>IFERROR(INDEX(tbl_WIP[Job Number],$A425),"")</f>
        <v/>
      </c>
      <c r="F425" s="65">
        <f>IFERROR(INDEX(tbl_WIP[Cost Centre],$A425),"")</f>
        <v/>
      </c>
      <c r="G425" s="66">
        <f>IFERROR(IF(INDEX(tbl_WIP[Defer Start],$A425)="","",IF(INDEX(tbl_WIP[Revenue or Cost],$A425)="Cost",-1,1)*INDEX(tbl_WIP[Amount],$A425)),"")</f>
        <v/>
      </c>
      <c r="H425" s="64">
        <f>IFERROR(INDEX(tbl_WIP[Defer Start],$A425),"")</f>
        <v/>
      </c>
      <c r="I425" s="64">
        <f>IFERROR(INDEX(tbl_WIP[Defer End],$A425),"")</f>
        <v/>
      </c>
      <c r="J425" s="63">
        <f>IF(OR($H425="",$I425="",$G425=""),"",MAX(1,(YEAR($I425)-YEAR($H425))*12+MONTH($I425)-MONTH($H425)+1))</f>
        <v/>
      </c>
      <c r="K425" s="66">
        <f>IF($J425="","",$G425/$J425)</f>
        <v/>
      </c>
      <c r="L425" s="66">
        <f>IF($J425="",0,$K425*MAX(0,MIN(YEAR($C$3)*12+MONTH($C$3),YEAR($I425)*12+MONTH($I425))-(YEAR($H425)*12+MONTH($H425))+1))</f>
        <v/>
      </c>
      <c r="M425" s="66">
        <f>IF($J425="",0,$K425*MAX(0,MIN(YEAR($C$3)*12+MONTH($C$3)-1,YEAR($I425)*12+MONTH($I425))-(YEAR($H425)*12+MONTH($H425))+1))</f>
        <v/>
      </c>
      <c r="N425" s="66">
        <f>IF(OR($J425="",$B425=""),0,IF(YEAR($B425)*12+MONTH($B425)&lt;=YEAR($C$3)*12+MONTH($C$3),$G425,0))</f>
        <v/>
      </c>
      <c r="O425" s="66">
        <f>IF(OR($J425="",$B425=""),0,IF(YEAR($B425)*12+MONTH($B425)&lt;=YEAR($C$3)*12+MONTH($C$3)-1,$G425,0))</f>
        <v/>
      </c>
      <c r="P425" s="66">
        <f>$M425-$O425</f>
        <v/>
      </c>
      <c r="Q425" s="66">
        <f>($L425-$M425)-($N425-$O425)</f>
        <v/>
      </c>
      <c r="R425" s="66">
        <f>$L425-$N425</f>
        <v/>
      </c>
      <c r="S425" s="65">
        <f>"WIP journal"</f>
        <v/>
      </c>
      <c r="T425" s="65">
        <f>IFERROR(INDEX(tbl_WIP[Revenue or Cost],$A425),"")</f>
        <v/>
      </c>
    </row>
    <row r="426">
      <c r="A426" s="63">
        <f>ROW()-407</f>
        <v/>
      </c>
      <c r="B426" s="64">
        <f>IFERROR(INDEX(tbl_WIP[Month],$A426),"")</f>
        <v/>
      </c>
      <c r="C426" s="65">
        <f>IFERROR(INDEX(tbl_WIP[Xero Invoice No],$A426),"")</f>
        <v/>
      </c>
      <c r="D426" s="65">
        <f>IFERROR(INDEX(tbl_WIP[Client],$A426),"")</f>
        <v/>
      </c>
      <c r="E426" s="65">
        <f>IFERROR(INDEX(tbl_WIP[Job Number],$A426),"")</f>
        <v/>
      </c>
      <c r="F426" s="65">
        <f>IFERROR(INDEX(tbl_WIP[Cost Centre],$A426),"")</f>
        <v/>
      </c>
      <c r="G426" s="66">
        <f>IFERROR(IF(INDEX(tbl_WIP[Defer Start],$A426)="","",IF(INDEX(tbl_WIP[Revenue or Cost],$A426)="Cost",-1,1)*INDEX(tbl_WIP[Amount],$A426)),"")</f>
        <v/>
      </c>
      <c r="H426" s="64">
        <f>IFERROR(INDEX(tbl_WIP[Defer Start],$A426),"")</f>
        <v/>
      </c>
      <c r="I426" s="64">
        <f>IFERROR(INDEX(tbl_WIP[Defer End],$A426),"")</f>
        <v/>
      </c>
      <c r="J426" s="63">
        <f>IF(OR($H426="",$I426="",$G426=""),"",MAX(1,(YEAR($I426)-YEAR($H426))*12+MONTH($I426)-MONTH($H426)+1))</f>
        <v/>
      </c>
      <c r="K426" s="66">
        <f>IF($J426="","",$G426/$J426)</f>
        <v/>
      </c>
      <c r="L426" s="66">
        <f>IF($J426="",0,$K426*MAX(0,MIN(YEAR($C$3)*12+MONTH($C$3),YEAR($I426)*12+MONTH($I426))-(YEAR($H426)*12+MONTH($H426))+1))</f>
        <v/>
      </c>
      <c r="M426" s="66">
        <f>IF($J426="",0,$K426*MAX(0,MIN(YEAR($C$3)*12+MONTH($C$3)-1,YEAR($I426)*12+MONTH($I426))-(YEAR($H426)*12+MONTH($H426))+1))</f>
        <v/>
      </c>
      <c r="N426" s="66">
        <f>IF(OR($J426="",$B426=""),0,IF(YEAR($B426)*12+MONTH($B426)&lt;=YEAR($C$3)*12+MONTH($C$3),$G426,0))</f>
        <v/>
      </c>
      <c r="O426" s="66">
        <f>IF(OR($J426="",$B426=""),0,IF(YEAR($B426)*12+MONTH($B426)&lt;=YEAR($C$3)*12+MONTH($C$3)-1,$G426,0))</f>
        <v/>
      </c>
      <c r="P426" s="66">
        <f>$M426-$O426</f>
        <v/>
      </c>
      <c r="Q426" s="66">
        <f>($L426-$M426)-($N426-$O426)</f>
        <v/>
      </c>
      <c r="R426" s="66">
        <f>$L426-$N426</f>
        <v/>
      </c>
      <c r="S426" s="65">
        <f>"WIP journal"</f>
        <v/>
      </c>
      <c r="T426" s="65">
        <f>IFERROR(INDEX(tbl_WIP[Revenue or Cost],$A426),"")</f>
        <v/>
      </c>
    </row>
    <row r="427">
      <c r="A427" s="63">
        <f>ROW()-407</f>
        <v/>
      </c>
      <c r="B427" s="64">
        <f>IFERROR(INDEX(tbl_WIP[Month],$A427),"")</f>
        <v/>
      </c>
      <c r="C427" s="65">
        <f>IFERROR(INDEX(tbl_WIP[Xero Invoice No],$A427),"")</f>
        <v/>
      </c>
      <c r="D427" s="65">
        <f>IFERROR(INDEX(tbl_WIP[Client],$A427),"")</f>
        <v/>
      </c>
      <c r="E427" s="65">
        <f>IFERROR(INDEX(tbl_WIP[Job Number],$A427),"")</f>
        <v/>
      </c>
      <c r="F427" s="65">
        <f>IFERROR(INDEX(tbl_WIP[Cost Centre],$A427),"")</f>
        <v/>
      </c>
      <c r="G427" s="66">
        <f>IFERROR(IF(INDEX(tbl_WIP[Defer Start],$A427)="","",IF(INDEX(tbl_WIP[Revenue or Cost],$A427)="Cost",-1,1)*INDEX(tbl_WIP[Amount],$A427)),"")</f>
        <v/>
      </c>
      <c r="H427" s="64">
        <f>IFERROR(INDEX(tbl_WIP[Defer Start],$A427),"")</f>
        <v/>
      </c>
      <c r="I427" s="64">
        <f>IFERROR(INDEX(tbl_WIP[Defer End],$A427),"")</f>
        <v/>
      </c>
      <c r="J427" s="63">
        <f>IF(OR($H427="",$I427="",$G427=""),"",MAX(1,(YEAR($I427)-YEAR($H427))*12+MONTH($I427)-MONTH($H427)+1))</f>
        <v/>
      </c>
      <c r="K427" s="66">
        <f>IF($J427="","",$G427/$J427)</f>
        <v/>
      </c>
      <c r="L427" s="66">
        <f>IF($J427="",0,$K427*MAX(0,MIN(YEAR($C$3)*12+MONTH($C$3),YEAR($I427)*12+MONTH($I427))-(YEAR($H427)*12+MONTH($H427))+1))</f>
        <v/>
      </c>
      <c r="M427" s="66">
        <f>IF($J427="",0,$K427*MAX(0,MIN(YEAR($C$3)*12+MONTH($C$3)-1,YEAR($I427)*12+MONTH($I427))-(YEAR($H427)*12+MONTH($H427))+1))</f>
        <v/>
      </c>
      <c r="N427" s="66">
        <f>IF(OR($J427="",$B427=""),0,IF(YEAR($B427)*12+MONTH($B427)&lt;=YEAR($C$3)*12+MONTH($C$3),$G427,0))</f>
        <v/>
      </c>
      <c r="O427" s="66">
        <f>IF(OR($J427="",$B427=""),0,IF(YEAR($B427)*12+MONTH($B427)&lt;=YEAR($C$3)*12+MONTH($C$3)-1,$G427,0))</f>
        <v/>
      </c>
      <c r="P427" s="66">
        <f>$M427-$O427</f>
        <v/>
      </c>
      <c r="Q427" s="66">
        <f>($L427-$M427)-($N427-$O427)</f>
        <v/>
      </c>
      <c r="R427" s="66">
        <f>$L427-$N427</f>
        <v/>
      </c>
      <c r="S427" s="65">
        <f>"WIP journal"</f>
        <v/>
      </c>
      <c r="T427" s="65">
        <f>IFERROR(INDEX(tbl_WIP[Revenue or Cost],$A427),"")</f>
        <v/>
      </c>
    </row>
    <row r="428">
      <c r="A428" s="63">
        <f>ROW()-407</f>
        <v/>
      </c>
      <c r="B428" s="64">
        <f>IFERROR(INDEX(tbl_WIP[Month],$A428),"")</f>
        <v/>
      </c>
      <c r="C428" s="65">
        <f>IFERROR(INDEX(tbl_WIP[Xero Invoice No],$A428),"")</f>
        <v/>
      </c>
      <c r="D428" s="65">
        <f>IFERROR(INDEX(tbl_WIP[Client],$A428),"")</f>
        <v/>
      </c>
      <c r="E428" s="65">
        <f>IFERROR(INDEX(tbl_WIP[Job Number],$A428),"")</f>
        <v/>
      </c>
      <c r="F428" s="65">
        <f>IFERROR(INDEX(tbl_WIP[Cost Centre],$A428),"")</f>
        <v/>
      </c>
      <c r="G428" s="66">
        <f>IFERROR(IF(INDEX(tbl_WIP[Defer Start],$A428)="","",IF(INDEX(tbl_WIP[Revenue or Cost],$A428)="Cost",-1,1)*INDEX(tbl_WIP[Amount],$A428)),"")</f>
        <v/>
      </c>
      <c r="H428" s="64">
        <f>IFERROR(INDEX(tbl_WIP[Defer Start],$A428),"")</f>
        <v/>
      </c>
      <c r="I428" s="64">
        <f>IFERROR(INDEX(tbl_WIP[Defer End],$A428),"")</f>
        <v/>
      </c>
      <c r="J428" s="63">
        <f>IF(OR($H428="",$I428="",$G428=""),"",MAX(1,(YEAR($I428)-YEAR($H428))*12+MONTH($I428)-MONTH($H428)+1))</f>
        <v/>
      </c>
      <c r="K428" s="66">
        <f>IF($J428="","",$G428/$J428)</f>
        <v/>
      </c>
      <c r="L428" s="66">
        <f>IF($J428="",0,$K428*MAX(0,MIN(YEAR($C$3)*12+MONTH($C$3),YEAR($I428)*12+MONTH($I428))-(YEAR($H428)*12+MONTH($H428))+1))</f>
        <v/>
      </c>
      <c r="M428" s="66">
        <f>IF($J428="",0,$K428*MAX(0,MIN(YEAR($C$3)*12+MONTH($C$3)-1,YEAR($I428)*12+MONTH($I428))-(YEAR($H428)*12+MONTH($H428))+1))</f>
        <v/>
      </c>
      <c r="N428" s="66">
        <f>IF(OR($J428="",$B428=""),0,IF(YEAR($B428)*12+MONTH($B428)&lt;=YEAR($C$3)*12+MONTH($C$3),$G428,0))</f>
        <v/>
      </c>
      <c r="O428" s="66">
        <f>IF(OR($J428="",$B428=""),0,IF(YEAR($B428)*12+MONTH($B428)&lt;=YEAR($C$3)*12+MONTH($C$3)-1,$G428,0))</f>
        <v/>
      </c>
      <c r="P428" s="66">
        <f>$M428-$O428</f>
        <v/>
      </c>
      <c r="Q428" s="66">
        <f>($L428-$M428)-($N428-$O428)</f>
        <v/>
      </c>
      <c r="R428" s="66">
        <f>$L428-$N428</f>
        <v/>
      </c>
      <c r="S428" s="65">
        <f>"WIP journal"</f>
        <v/>
      </c>
      <c r="T428" s="65">
        <f>IFERROR(INDEX(tbl_WIP[Revenue or Cost],$A428),"")</f>
        <v/>
      </c>
    </row>
    <row r="429">
      <c r="A429" s="63">
        <f>ROW()-407</f>
        <v/>
      </c>
      <c r="B429" s="64">
        <f>IFERROR(INDEX(tbl_WIP[Month],$A429),"")</f>
        <v/>
      </c>
      <c r="C429" s="65">
        <f>IFERROR(INDEX(tbl_WIP[Xero Invoice No],$A429),"")</f>
        <v/>
      </c>
      <c r="D429" s="65">
        <f>IFERROR(INDEX(tbl_WIP[Client],$A429),"")</f>
        <v/>
      </c>
      <c r="E429" s="65">
        <f>IFERROR(INDEX(tbl_WIP[Job Number],$A429),"")</f>
        <v/>
      </c>
      <c r="F429" s="65">
        <f>IFERROR(INDEX(tbl_WIP[Cost Centre],$A429),"")</f>
        <v/>
      </c>
      <c r="G429" s="66">
        <f>IFERROR(IF(INDEX(tbl_WIP[Defer Start],$A429)="","",IF(INDEX(tbl_WIP[Revenue or Cost],$A429)="Cost",-1,1)*INDEX(tbl_WIP[Amount],$A429)),"")</f>
        <v/>
      </c>
      <c r="H429" s="64">
        <f>IFERROR(INDEX(tbl_WIP[Defer Start],$A429),"")</f>
        <v/>
      </c>
      <c r="I429" s="64">
        <f>IFERROR(INDEX(tbl_WIP[Defer End],$A429),"")</f>
        <v/>
      </c>
      <c r="J429" s="63">
        <f>IF(OR($H429="",$I429="",$G429=""),"",MAX(1,(YEAR($I429)-YEAR($H429))*12+MONTH($I429)-MONTH($H429)+1))</f>
        <v/>
      </c>
      <c r="K429" s="66">
        <f>IF($J429="","",$G429/$J429)</f>
        <v/>
      </c>
      <c r="L429" s="66">
        <f>IF($J429="",0,$K429*MAX(0,MIN(YEAR($C$3)*12+MONTH($C$3),YEAR($I429)*12+MONTH($I429))-(YEAR($H429)*12+MONTH($H429))+1))</f>
        <v/>
      </c>
      <c r="M429" s="66">
        <f>IF($J429="",0,$K429*MAX(0,MIN(YEAR($C$3)*12+MONTH($C$3)-1,YEAR($I429)*12+MONTH($I429))-(YEAR($H429)*12+MONTH($H429))+1))</f>
        <v/>
      </c>
      <c r="N429" s="66">
        <f>IF(OR($J429="",$B429=""),0,IF(YEAR($B429)*12+MONTH($B429)&lt;=YEAR($C$3)*12+MONTH($C$3),$G429,0))</f>
        <v/>
      </c>
      <c r="O429" s="66">
        <f>IF(OR($J429="",$B429=""),0,IF(YEAR($B429)*12+MONTH($B429)&lt;=YEAR($C$3)*12+MONTH($C$3)-1,$G429,0))</f>
        <v/>
      </c>
      <c r="P429" s="66">
        <f>$M429-$O429</f>
        <v/>
      </c>
      <c r="Q429" s="66">
        <f>($L429-$M429)-($N429-$O429)</f>
        <v/>
      </c>
      <c r="R429" s="66">
        <f>$L429-$N429</f>
        <v/>
      </c>
      <c r="S429" s="65">
        <f>"WIP journal"</f>
        <v/>
      </c>
      <c r="T429" s="65">
        <f>IFERROR(INDEX(tbl_WIP[Revenue or Cost],$A429),"")</f>
        <v/>
      </c>
    </row>
    <row r="430">
      <c r="A430" s="63">
        <f>ROW()-407</f>
        <v/>
      </c>
      <c r="B430" s="64">
        <f>IFERROR(INDEX(tbl_WIP[Month],$A430),"")</f>
        <v/>
      </c>
      <c r="C430" s="65">
        <f>IFERROR(INDEX(tbl_WIP[Xero Invoice No],$A430),"")</f>
        <v/>
      </c>
      <c r="D430" s="65">
        <f>IFERROR(INDEX(tbl_WIP[Client],$A430),"")</f>
        <v/>
      </c>
      <c r="E430" s="65">
        <f>IFERROR(INDEX(tbl_WIP[Job Number],$A430),"")</f>
        <v/>
      </c>
      <c r="F430" s="65">
        <f>IFERROR(INDEX(tbl_WIP[Cost Centre],$A430),"")</f>
        <v/>
      </c>
      <c r="G430" s="66">
        <f>IFERROR(IF(INDEX(tbl_WIP[Defer Start],$A430)="","",IF(INDEX(tbl_WIP[Revenue or Cost],$A430)="Cost",-1,1)*INDEX(tbl_WIP[Amount],$A430)),"")</f>
        <v/>
      </c>
      <c r="H430" s="64">
        <f>IFERROR(INDEX(tbl_WIP[Defer Start],$A430),"")</f>
        <v/>
      </c>
      <c r="I430" s="64">
        <f>IFERROR(INDEX(tbl_WIP[Defer End],$A430),"")</f>
        <v/>
      </c>
      <c r="J430" s="63">
        <f>IF(OR($H430="",$I430="",$G430=""),"",MAX(1,(YEAR($I430)-YEAR($H430))*12+MONTH($I430)-MONTH($H430)+1))</f>
        <v/>
      </c>
      <c r="K430" s="66">
        <f>IF($J430="","",$G430/$J430)</f>
        <v/>
      </c>
      <c r="L430" s="66">
        <f>IF($J430="",0,$K430*MAX(0,MIN(YEAR($C$3)*12+MONTH($C$3),YEAR($I430)*12+MONTH($I430))-(YEAR($H430)*12+MONTH($H430))+1))</f>
        <v/>
      </c>
      <c r="M430" s="66">
        <f>IF($J430="",0,$K430*MAX(0,MIN(YEAR($C$3)*12+MONTH($C$3)-1,YEAR($I430)*12+MONTH($I430))-(YEAR($H430)*12+MONTH($H430))+1))</f>
        <v/>
      </c>
      <c r="N430" s="66">
        <f>IF(OR($J430="",$B430=""),0,IF(YEAR($B430)*12+MONTH($B430)&lt;=YEAR($C$3)*12+MONTH($C$3),$G430,0))</f>
        <v/>
      </c>
      <c r="O430" s="66">
        <f>IF(OR($J430="",$B430=""),0,IF(YEAR($B430)*12+MONTH($B430)&lt;=YEAR($C$3)*12+MONTH($C$3)-1,$G430,0))</f>
        <v/>
      </c>
      <c r="P430" s="66">
        <f>$M430-$O430</f>
        <v/>
      </c>
      <c r="Q430" s="66">
        <f>($L430-$M430)-($N430-$O430)</f>
        <v/>
      </c>
      <c r="R430" s="66">
        <f>$L430-$N430</f>
        <v/>
      </c>
      <c r="S430" s="65">
        <f>"WIP journal"</f>
        <v/>
      </c>
      <c r="T430" s="65">
        <f>IFERROR(INDEX(tbl_WIP[Revenue or Cost],$A430),"")</f>
        <v/>
      </c>
    </row>
    <row r="431">
      <c r="A431" s="63">
        <f>ROW()-407</f>
        <v/>
      </c>
      <c r="B431" s="64">
        <f>IFERROR(INDEX(tbl_WIP[Month],$A431),"")</f>
        <v/>
      </c>
      <c r="C431" s="65">
        <f>IFERROR(INDEX(tbl_WIP[Xero Invoice No],$A431),"")</f>
        <v/>
      </c>
      <c r="D431" s="65">
        <f>IFERROR(INDEX(tbl_WIP[Client],$A431),"")</f>
        <v/>
      </c>
      <c r="E431" s="65">
        <f>IFERROR(INDEX(tbl_WIP[Job Number],$A431),"")</f>
        <v/>
      </c>
      <c r="F431" s="65">
        <f>IFERROR(INDEX(tbl_WIP[Cost Centre],$A431),"")</f>
        <v/>
      </c>
      <c r="G431" s="66">
        <f>IFERROR(IF(INDEX(tbl_WIP[Defer Start],$A431)="","",IF(INDEX(tbl_WIP[Revenue or Cost],$A431)="Cost",-1,1)*INDEX(tbl_WIP[Amount],$A431)),"")</f>
        <v/>
      </c>
      <c r="H431" s="64">
        <f>IFERROR(INDEX(tbl_WIP[Defer Start],$A431),"")</f>
        <v/>
      </c>
      <c r="I431" s="64">
        <f>IFERROR(INDEX(tbl_WIP[Defer End],$A431),"")</f>
        <v/>
      </c>
      <c r="J431" s="63">
        <f>IF(OR($H431="",$I431="",$G431=""),"",MAX(1,(YEAR($I431)-YEAR($H431))*12+MONTH($I431)-MONTH($H431)+1))</f>
        <v/>
      </c>
      <c r="K431" s="66">
        <f>IF($J431="","",$G431/$J431)</f>
        <v/>
      </c>
      <c r="L431" s="66">
        <f>IF($J431="",0,$K431*MAX(0,MIN(YEAR($C$3)*12+MONTH($C$3),YEAR($I431)*12+MONTH($I431))-(YEAR($H431)*12+MONTH($H431))+1))</f>
        <v/>
      </c>
      <c r="M431" s="66">
        <f>IF($J431="",0,$K431*MAX(0,MIN(YEAR($C$3)*12+MONTH($C$3)-1,YEAR($I431)*12+MONTH($I431))-(YEAR($H431)*12+MONTH($H431))+1))</f>
        <v/>
      </c>
      <c r="N431" s="66">
        <f>IF(OR($J431="",$B431=""),0,IF(YEAR($B431)*12+MONTH($B431)&lt;=YEAR($C$3)*12+MONTH($C$3),$G431,0))</f>
        <v/>
      </c>
      <c r="O431" s="66">
        <f>IF(OR($J431="",$B431=""),0,IF(YEAR($B431)*12+MONTH($B431)&lt;=YEAR($C$3)*12+MONTH($C$3)-1,$G431,0))</f>
        <v/>
      </c>
      <c r="P431" s="66">
        <f>$M431-$O431</f>
        <v/>
      </c>
      <c r="Q431" s="66">
        <f>($L431-$M431)-($N431-$O431)</f>
        <v/>
      </c>
      <c r="R431" s="66">
        <f>$L431-$N431</f>
        <v/>
      </c>
      <c r="S431" s="65">
        <f>"WIP journal"</f>
        <v/>
      </c>
      <c r="T431" s="65">
        <f>IFERROR(INDEX(tbl_WIP[Revenue or Cost],$A431),"")</f>
        <v/>
      </c>
    </row>
    <row r="432">
      <c r="A432" s="63">
        <f>ROW()-407</f>
        <v/>
      </c>
      <c r="B432" s="64">
        <f>IFERROR(INDEX(tbl_WIP[Month],$A432),"")</f>
        <v/>
      </c>
      <c r="C432" s="65">
        <f>IFERROR(INDEX(tbl_WIP[Xero Invoice No],$A432),"")</f>
        <v/>
      </c>
      <c r="D432" s="65">
        <f>IFERROR(INDEX(tbl_WIP[Client],$A432),"")</f>
        <v/>
      </c>
      <c r="E432" s="65">
        <f>IFERROR(INDEX(tbl_WIP[Job Number],$A432),"")</f>
        <v/>
      </c>
      <c r="F432" s="65">
        <f>IFERROR(INDEX(tbl_WIP[Cost Centre],$A432),"")</f>
        <v/>
      </c>
      <c r="G432" s="66">
        <f>IFERROR(IF(INDEX(tbl_WIP[Defer Start],$A432)="","",IF(INDEX(tbl_WIP[Revenue or Cost],$A432)="Cost",-1,1)*INDEX(tbl_WIP[Amount],$A432)),"")</f>
        <v/>
      </c>
      <c r="H432" s="64">
        <f>IFERROR(INDEX(tbl_WIP[Defer Start],$A432),"")</f>
        <v/>
      </c>
      <c r="I432" s="64">
        <f>IFERROR(INDEX(tbl_WIP[Defer End],$A432),"")</f>
        <v/>
      </c>
      <c r="J432" s="63">
        <f>IF(OR($H432="",$I432="",$G432=""),"",MAX(1,(YEAR($I432)-YEAR($H432))*12+MONTH($I432)-MONTH($H432)+1))</f>
        <v/>
      </c>
      <c r="K432" s="66">
        <f>IF($J432="","",$G432/$J432)</f>
        <v/>
      </c>
      <c r="L432" s="66">
        <f>IF($J432="",0,$K432*MAX(0,MIN(YEAR($C$3)*12+MONTH($C$3),YEAR($I432)*12+MONTH($I432))-(YEAR($H432)*12+MONTH($H432))+1))</f>
        <v/>
      </c>
      <c r="M432" s="66">
        <f>IF($J432="",0,$K432*MAX(0,MIN(YEAR($C$3)*12+MONTH($C$3)-1,YEAR($I432)*12+MONTH($I432))-(YEAR($H432)*12+MONTH($H432))+1))</f>
        <v/>
      </c>
      <c r="N432" s="66">
        <f>IF(OR($J432="",$B432=""),0,IF(YEAR($B432)*12+MONTH($B432)&lt;=YEAR($C$3)*12+MONTH($C$3),$G432,0))</f>
        <v/>
      </c>
      <c r="O432" s="66">
        <f>IF(OR($J432="",$B432=""),0,IF(YEAR($B432)*12+MONTH($B432)&lt;=YEAR($C$3)*12+MONTH($C$3)-1,$G432,0))</f>
        <v/>
      </c>
      <c r="P432" s="66">
        <f>$M432-$O432</f>
        <v/>
      </c>
      <c r="Q432" s="66">
        <f>($L432-$M432)-($N432-$O432)</f>
        <v/>
      </c>
      <c r="R432" s="66">
        <f>$L432-$N432</f>
        <v/>
      </c>
      <c r="S432" s="65">
        <f>"WIP journal"</f>
        <v/>
      </c>
      <c r="T432" s="65">
        <f>IFERROR(INDEX(tbl_WIP[Revenue or Cost],$A432),"")</f>
        <v/>
      </c>
    </row>
    <row r="433">
      <c r="A433" s="63">
        <f>ROW()-407</f>
        <v/>
      </c>
      <c r="B433" s="64">
        <f>IFERROR(INDEX(tbl_WIP[Month],$A433),"")</f>
        <v/>
      </c>
      <c r="C433" s="65">
        <f>IFERROR(INDEX(tbl_WIP[Xero Invoice No],$A433),"")</f>
        <v/>
      </c>
      <c r="D433" s="65">
        <f>IFERROR(INDEX(tbl_WIP[Client],$A433),"")</f>
        <v/>
      </c>
      <c r="E433" s="65">
        <f>IFERROR(INDEX(tbl_WIP[Job Number],$A433),"")</f>
        <v/>
      </c>
      <c r="F433" s="65">
        <f>IFERROR(INDEX(tbl_WIP[Cost Centre],$A433),"")</f>
        <v/>
      </c>
      <c r="G433" s="66">
        <f>IFERROR(IF(INDEX(tbl_WIP[Defer Start],$A433)="","",IF(INDEX(tbl_WIP[Revenue or Cost],$A433)="Cost",-1,1)*INDEX(tbl_WIP[Amount],$A433)),"")</f>
        <v/>
      </c>
      <c r="H433" s="64">
        <f>IFERROR(INDEX(tbl_WIP[Defer Start],$A433),"")</f>
        <v/>
      </c>
      <c r="I433" s="64">
        <f>IFERROR(INDEX(tbl_WIP[Defer End],$A433),"")</f>
        <v/>
      </c>
      <c r="J433" s="63">
        <f>IF(OR($H433="",$I433="",$G433=""),"",MAX(1,(YEAR($I433)-YEAR($H433))*12+MONTH($I433)-MONTH($H433)+1))</f>
        <v/>
      </c>
      <c r="K433" s="66">
        <f>IF($J433="","",$G433/$J433)</f>
        <v/>
      </c>
      <c r="L433" s="66">
        <f>IF($J433="",0,$K433*MAX(0,MIN(YEAR($C$3)*12+MONTH($C$3),YEAR($I433)*12+MONTH($I433))-(YEAR($H433)*12+MONTH($H433))+1))</f>
        <v/>
      </c>
      <c r="M433" s="66">
        <f>IF($J433="",0,$K433*MAX(0,MIN(YEAR($C$3)*12+MONTH($C$3)-1,YEAR($I433)*12+MONTH($I433))-(YEAR($H433)*12+MONTH($H433))+1))</f>
        <v/>
      </c>
      <c r="N433" s="66">
        <f>IF(OR($J433="",$B433=""),0,IF(YEAR($B433)*12+MONTH($B433)&lt;=YEAR($C$3)*12+MONTH($C$3),$G433,0))</f>
        <v/>
      </c>
      <c r="O433" s="66">
        <f>IF(OR($J433="",$B433=""),0,IF(YEAR($B433)*12+MONTH($B433)&lt;=YEAR($C$3)*12+MONTH($C$3)-1,$G433,0))</f>
        <v/>
      </c>
      <c r="P433" s="66">
        <f>$M433-$O433</f>
        <v/>
      </c>
      <c r="Q433" s="66">
        <f>($L433-$M433)-($N433-$O433)</f>
        <v/>
      </c>
      <c r="R433" s="66">
        <f>$L433-$N433</f>
        <v/>
      </c>
      <c r="S433" s="65">
        <f>"WIP journal"</f>
        <v/>
      </c>
      <c r="T433" s="65">
        <f>IFERROR(INDEX(tbl_WIP[Revenue or Cost],$A433),"")</f>
        <v/>
      </c>
    </row>
    <row r="434">
      <c r="A434" s="63">
        <f>ROW()-407</f>
        <v/>
      </c>
      <c r="B434" s="64">
        <f>IFERROR(INDEX(tbl_WIP[Month],$A434),"")</f>
        <v/>
      </c>
      <c r="C434" s="65">
        <f>IFERROR(INDEX(tbl_WIP[Xero Invoice No],$A434),"")</f>
        <v/>
      </c>
      <c r="D434" s="65">
        <f>IFERROR(INDEX(tbl_WIP[Client],$A434),"")</f>
        <v/>
      </c>
      <c r="E434" s="65">
        <f>IFERROR(INDEX(tbl_WIP[Job Number],$A434),"")</f>
        <v/>
      </c>
      <c r="F434" s="65">
        <f>IFERROR(INDEX(tbl_WIP[Cost Centre],$A434),"")</f>
        <v/>
      </c>
      <c r="G434" s="66">
        <f>IFERROR(IF(INDEX(tbl_WIP[Defer Start],$A434)="","",IF(INDEX(tbl_WIP[Revenue or Cost],$A434)="Cost",-1,1)*INDEX(tbl_WIP[Amount],$A434)),"")</f>
        <v/>
      </c>
      <c r="H434" s="64">
        <f>IFERROR(INDEX(tbl_WIP[Defer Start],$A434),"")</f>
        <v/>
      </c>
      <c r="I434" s="64">
        <f>IFERROR(INDEX(tbl_WIP[Defer End],$A434),"")</f>
        <v/>
      </c>
      <c r="J434" s="63">
        <f>IF(OR($H434="",$I434="",$G434=""),"",MAX(1,(YEAR($I434)-YEAR($H434))*12+MONTH($I434)-MONTH($H434)+1))</f>
        <v/>
      </c>
      <c r="K434" s="66">
        <f>IF($J434="","",$G434/$J434)</f>
        <v/>
      </c>
      <c r="L434" s="66">
        <f>IF($J434="",0,$K434*MAX(0,MIN(YEAR($C$3)*12+MONTH($C$3),YEAR($I434)*12+MONTH($I434))-(YEAR($H434)*12+MONTH($H434))+1))</f>
        <v/>
      </c>
      <c r="M434" s="66">
        <f>IF($J434="",0,$K434*MAX(0,MIN(YEAR($C$3)*12+MONTH($C$3)-1,YEAR($I434)*12+MONTH($I434))-(YEAR($H434)*12+MONTH($H434))+1))</f>
        <v/>
      </c>
      <c r="N434" s="66">
        <f>IF(OR($J434="",$B434=""),0,IF(YEAR($B434)*12+MONTH($B434)&lt;=YEAR($C$3)*12+MONTH($C$3),$G434,0))</f>
        <v/>
      </c>
      <c r="O434" s="66">
        <f>IF(OR($J434="",$B434=""),0,IF(YEAR($B434)*12+MONTH($B434)&lt;=YEAR($C$3)*12+MONTH($C$3)-1,$G434,0))</f>
        <v/>
      </c>
      <c r="P434" s="66">
        <f>$M434-$O434</f>
        <v/>
      </c>
      <c r="Q434" s="66">
        <f>($L434-$M434)-($N434-$O434)</f>
        <v/>
      </c>
      <c r="R434" s="66">
        <f>$L434-$N434</f>
        <v/>
      </c>
      <c r="S434" s="65">
        <f>"WIP journal"</f>
        <v/>
      </c>
      <c r="T434" s="65">
        <f>IFERROR(INDEX(tbl_WIP[Revenue or Cost],$A434),"")</f>
        <v/>
      </c>
    </row>
    <row r="435">
      <c r="A435" s="63">
        <f>ROW()-407</f>
        <v/>
      </c>
      <c r="B435" s="64">
        <f>IFERROR(INDEX(tbl_WIP[Month],$A435),"")</f>
        <v/>
      </c>
      <c r="C435" s="65">
        <f>IFERROR(INDEX(tbl_WIP[Xero Invoice No],$A435),"")</f>
        <v/>
      </c>
      <c r="D435" s="65">
        <f>IFERROR(INDEX(tbl_WIP[Client],$A435),"")</f>
        <v/>
      </c>
      <c r="E435" s="65">
        <f>IFERROR(INDEX(tbl_WIP[Job Number],$A435),"")</f>
        <v/>
      </c>
      <c r="F435" s="65">
        <f>IFERROR(INDEX(tbl_WIP[Cost Centre],$A435),"")</f>
        <v/>
      </c>
      <c r="G435" s="66">
        <f>IFERROR(IF(INDEX(tbl_WIP[Defer Start],$A435)="","",IF(INDEX(tbl_WIP[Revenue or Cost],$A435)="Cost",-1,1)*INDEX(tbl_WIP[Amount],$A435)),"")</f>
        <v/>
      </c>
      <c r="H435" s="64">
        <f>IFERROR(INDEX(tbl_WIP[Defer Start],$A435),"")</f>
        <v/>
      </c>
      <c r="I435" s="64">
        <f>IFERROR(INDEX(tbl_WIP[Defer End],$A435),"")</f>
        <v/>
      </c>
      <c r="J435" s="63">
        <f>IF(OR($H435="",$I435="",$G435=""),"",MAX(1,(YEAR($I435)-YEAR($H435))*12+MONTH($I435)-MONTH($H435)+1))</f>
        <v/>
      </c>
      <c r="K435" s="66">
        <f>IF($J435="","",$G435/$J435)</f>
        <v/>
      </c>
      <c r="L435" s="66">
        <f>IF($J435="",0,$K435*MAX(0,MIN(YEAR($C$3)*12+MONTH($C$3),YEAR($I435)*12+MONTH($I435))-(YEAR($H435)*12+MONTH($H435))+1))</f>
        <v/>
      </c>
      <c r="M435" s="66">
        <f>IF($J435="",0,$K435*MAX(0,MIN(YEAR($C$3)*12+MONTH($C$3)-1,YEAR($I435)*12+MONTH($I435))-(YEAR($H435)*12+MONTH($H435))+1))</f>
        <v/>
      </c>
      <c r="N435" s="66">
        <f>IF(OR($J435="",$B435=""),0,IF(YEAR($B435)*12+MONTH($B435)&lt;=YEAR($C$3)*12+MONTH($C$3),$G435,0))</f>
        <v/>
      </c>
      <c r="O435" s="66">
        <f>IF(OR($J435="",$B435=""),0,IF(YEAR($B435)*12+MONTH($B435)&lt;=YEAR($C$3)*12+MONTH($C$3)-1,$G435,0))</f>
        <v/>
      </c>
      <c r="P435" s="66">
        <f>$M435-$O435</f>
        <v/>
      </c>
      <c r="Q435" s="66">
        <f>($L435-$M435)-($N435-$O435)</f>
        <v/>
      </c>
      <c r="R435" s="66">
        <f>$L435-$N435</f>
        <v/>
      </c>
      <c r="S435" s="65">
        <f>"WIP journal"</f>
        <v/>
      </c>
      <c r="T435" s="65">
        <f>IFERROR(INDEX(tbl_WIP[Revenue or Cost],$A435),"")</f>
        <v/>
      </c>
    </row>
    <row r="436">
      <c r="A436" s="63">
        <f>ROW()-407</f>
        <v/>
      </c>
      <c r="B436" s="64">
        <f>IFERROR(INDEX(tbl_WIP[Month],$A436),"")</f>
        <v/>
      </c>
      <c r="C436" s="65">
        <f>IFERROR(INDEX(tbl_WIP[Xero Invoice No],$A436),"")</f>
        <v/>
      </c>
      <c r="D436" s="65">
        <f>IFERROR(INDEX(tbl_WIP[Client],$A436),"")</f>
        <v/>
      </c>
      <c r="E436" s="65">
        <f>IFERROR(INDEX(tbl_WIP[Job Number],$A436),"")</f>
        <v/>
      </c>
      <c r="F436" s="65">
        <f>IFERROR(INDEX(tbl_WIP[Cost Centre],$A436),"")</f>
        <v/>
      </c>
      <c r="G436" s="66">
        <f>IFERROR(IF(INDEX(tbl_WIP[Defer Start],$A436)="","",IF(INDEX(tbl_WIP[Revenue or Cost],$A436)="Cost",-1,1)*INDEX(tbl_WIP[Amount],$A436)),"")</f>
        <v/>
      </c>
      <c r="H436" s="64">
        <f>IFERROR(INDEX(tbl_WIP[Defer Start],$A436),"")</f>
        <v/>
      </c>
      <c r="I436" s="64">
        <f>IFERROR(INDEX(tbl_WIP[Defer End],$A436),"")</f>
        <v/>
      </c>
      <c r="J436" s="63">
        <f>IF(OR($H436="",$I436="",$G436=""),"",MAX(1,(YEAR($I436)-YEAR($H436))*12+MONTH($I436)-MONTH($H436)+1))</f>
        <v/>
      </c>
      <c r="K436" s="66">
        <f>IF($J436="","",$G436/$J436)</f>
        <v/>
      </c>
      <c r="L436" s="66">
        <f>IF($J436="",0,$K436*MAX(0,MIN(YEAR($C$3)*12+MONTH($C$3),YEAR($I436)*12+MONTH($I436))-(YEAR($H436)*12+MONTH($H436))+1))</f>
        <v/>
      </c>
      <c r="M436" s="66">
        <f>IF($J436="",0,$K436*MAX(0,MIN(YEAR($C$3)*12+MONTH($C$3)-1,YEAR($I436)*12+MONTH($I436))-(YEAR($H436)*12+MONTH($H436))+1))</f>
        <v/>
      </c>
      <c r="N436" s="66">
        <f>IF(OR($J436="",$B436=""),0,IF(YEAR($B436)*12+MONTH($B436)&lt;=YEAR($C$3)*12+MONTH($C$3),$G436,0))</f>
        <v/>
      </c>
      <c r="O436" s="66">
        <f>IF(OR($J436="",$B436=""),0,IF(YEAR($B436)*12+MONTH($B436)&lt;=YEAR($C$3)*12+MONTH($C$3)-1,$G436,0))</f>
        <v/>
      </c>
      <c r="P436" s="66">
        <f>$M436-$O436</f>
        <v/>
      </c>
      <c r="Q436" s="66">
        <f>($L436-$M436)-($N436-$O436)</f>
        <v/>
      </c>
      <c r="R436" s="66">
        <f>$L436-$N436</f>
        <v/>
      </c>
      <c r="S436" s="65">
        <f>"WIP journal"</f>
        <v/>
      </c>
      <c r="T436" s="65">
        <f>IFERROR(INDEX(tbl_WIP[Revenue or Cost],$A436),"")</f>
        <v/>
      </c>
    </row>
    <row r="437">
      <c r="A437" s="63">
        <f>ROW()-407</f>
        <v/>
      </c>
      <c r="B437" s="64">
        <f>IFERROR(INDEX(tbl_WIP[Month],$A437),"")</f>
        <v/>
      </c>
      <c r="C437" s="65">
        <f>IFERROR(INDEX(tbl_WIP[Xero Invoice No],$A437),"")</f>
        <v/>
      </c>
      <c r="D437" s="65">
        <f>IFERROR(INDEX(tbl_WIP[Client],$A437),"")</f>
        <v/>
      </c>
      <c r="E437" s="65">
        <f>IFERROR(INDEX(tbl_WIP[Job Number],$A437),"")</f>
        <v/>
      </c>
      <c r="F437" s="65">
        <f>IFERROR(INDEX(tbl_WIP[Cost Centre],$A437),"")</f>
        <v/>
      </c>
      <c r="G437" s="66">
        <f>IFERROR(IF(INDEX(tbl_WIP[Defer Start],$A437)="","",IF(INDEX(tbl_WIP[Revenue or Cost],$A437)="Cost",-1,1)*INDEX(tbl_WIP[Amount],$A437)),"")</f>
        <v/>
      </c>
      <c r="H437" s="64">
        <f>IFERROR(INDEX(tbl_WIP[Defer Start],$A437),"")</f>
        <v/>
      </c>
      <c r="I437" s="64">
        <f>IFERROR(INDEX(tbl_WIP[Defer End],$A437),"")</f>
        <v/>
      </c>
      <c r="J437" s="63">
        <f>IF(OR($H437="",$I437="",$G437=""),"",MAX(1,(YEAR($I437)-YEAR($H437))*12+MONTH($I437)-MONTH($H437)+1))</f>
        <v/>
      </c>
      <c r="K437" s="66">
        <f>IF($J437="","",$G437/$J437)</f>
        <v/>
      </c>
      <c r="L437" s="66">
        <f>IF($J437="",0,$K437*MAX(0,MIN(YEAR($C$3)*12+MONTH($C$3),YEAR($I437)*12+MONTH($I437))-(YEAR($H437)*12+MONTH($H437))+1))</f>
        <v/>
      </c>
      <c r="M437" s="66">
        <f>IF($J437="",0,$K437*MAX(0,MIN(YEAR($C$3)*12+MONTH($C$3)-1,YEAR($I437)*12+MONTH($I437))-(YEAR($H437)*12+MONTH($H437))+1))</f>
        <v/>
      </c>
      <c r="N437" s="66">
        <f>IF(OR($J437="",$B437=""),0,IF(YEAR($B437)*12+MONTH($B437)&lt;=YEAR($C$3)*12+MONTH($C$3),$G437,0))</f>
        <v/>
      </c>
      <c r="O437" s="66">
        <f>IF(OR($J437="",$B437=""),0,IF(YEAR($B437)*12+MONTH($B437)&lt;=YEAR($C$3)*12+MONTH($C$3)-1,$G437,0))</f>
        <v/>
      </c>
      <c r="P437" s="66">
        <f>$M437-$O437</f>
        <v/>
      </c>
      <c r="Q437" s="66">
        <f>($L437-$M437)-($N437-$O437)</f>
        <v/>
      </c>
      <c r="R437" s="66">
        <f>$L437-$N437</f>
        <v/>
      </c>
      <c r="S437" s="65">
        <f>"WIP journal"</f>
        <v/>
      </c>
      <c r="T437" s="65">
        <f>IFERROR(INDEX(tbl_WIP[Revenue or Cost],$A437),"")</f>
        <v/>
      </c>
    </row>
    <row r="438">
      <c r="A438" s="63">
        <f>ROW()-407</f>
        <v/>
      </c>
      <c r="B438" s="64">
        <f>IFERROR(INDEX(tbl_WIP[Month],$A438),"")</f>
        <v/>
      </c>
      <c r="C438" s="65">
        <f>IFERROR(INDEX(tbl_WIP[Xero Invoice No],$A438),"")</f>
        <v/>
      </c>
      <c r="D438" s="65">
        <f>IFERROR(INDEX(tbl_WIP[Client],$A438),"")</f>
        <v/>
      </c>
      <c r="E438" s="65">
        <f>IFERROR(INDEX(tbl_WIP[Job Number],$A438),"")</f>
        <v/>
      </c>
      <c r="F438" s="65">
        <f>IFERROR(INDEX(tbl_WIP[Cost Centre],$A438),"")</f>
        <v/>
      </c>
      <c r="G438" s="66">
        <f>IFERROR(IF(INDEX(tbl_WIP[Defer Start],$A438)="","",IF(INDEX(tbl_WIP[Revenue or Cost],$A438)="Cost",-1,1)*INDEX(tbl_WIP[Amount],$A438)),"")</f>
        <v/>
      </c>
      <c r="H438" s="64">
        <f>IFERROR(INDEX(tbl_WIP[Defer Start],$A438),"")</f>
        <v/>
      </c>
      <c r="I438" s="64">
        <f>IFERROR(INDEX(tbl_WIP[Defer End],$A438),"")</f>
        <v/>
      </c>
      <c r="J438" s="63">
        <f>IF(OR($H438="",$I438="",$G438=""),"",MAX(1,(YEAR($I438)-YEAR($H438))*12+MONTH($I438)-MONTH($H438)+1))</f>
        <v/>
      </c>
      <c r="K438" s="66">
        <f>IF($J438="","",$G438/$J438)</f>
        <v/>
      </c>
      <c r="L438" s="66">
        <f>IF($J438="",0,$K438*MAX(0,MIN(YEAR($C$3)*12+MONTH($C$3),YEAR($I438)*12+MONTH($I438))-(YEAR($H438)*12+MONTH($H438))+1))</f>
        <v/>
      </c>
      <c r="M438" s="66">
        <f>IF($J438="",0,$K438*MAX(0,MIN(YEAR($C$3)*12+MONTH($C$3)-1,YEAR($I438)*12+MONTH($I438))-(YEAR($H438)*12+MONTH($H438))+1))</f>
        <v/>
      </c>
      <c r="N438" s="66">
        <f>IF(OR($J438="",$B438=""),0,IF(YEAR($B438)*12+MONTH($B438)&lt;=YEAR($C$3)*12+MONTH($C$3),$G438,0))</f>
        <v/>
      </c>
      <c r="O438" s="66">
        <f>IF(OR($J438="",$B438=""),0,IF(YEAR($B438)*12+MONTH($B438)&lt;=YEAR($C$3)*12+MONTH($C$3)-1,$G438,0))</f>
        <v/>
      </c>
      <c r="P438" s="66">
        <f>$M438-$O438</f>
        <v/>
      </c>
      <c r="Q438" s="66">
        <f>($L438-$M438)-($N438-$O438)</f>
        <v/>
      </c>
      <c r="R438" s="66">
        <f>$L438-$N438</f>
        <v/>
      </c>
      <c r="S438" s="65">
        <f>"WIP journal"</f>
        <v/>
      </c>
      <c r="T438" s="65">
        <f>IFERROR(INDEX(tbl_WIP[Revenue or Cost],$A438),"")</f>
        <v/>
      </c>
    </row>
    <row r="439">
      <c r="A439" s="63">
        <f>ROW()-407</f>
        <v/>
      </c>
      <c r="B439" s="64">
        <f>IFERROR(INDEX(tbl_WIP[Month],$A439),"")</f>
        <v/>
      </c>
      <c r="C439" s="65">
        <f>IFERROR(INDEX(tbl_WIP[Xero Invoice No],$A439),"")</f>
        <v/>
      </c>
      <c r="D439" s="65">
        <f>IFERROR(INDEX(tbl_WIP[Client],$A439),"")</f>
        <v/>
      </c>
      <c r="E439" s="65">
        <f>IFERROR(INDEX(tbl_WIP[Job Number],$A439),"")</f>
        <v/>
      </c>
      <c r="F439" s="65">
        <f>IFERROR(INDEX(tbl_WIP[Cost Centre],$A439),"")</f>
        <v/>
      </c>
      <c r="G439" s="66">
        <f>IFERROR(IF(INDEX(tbl_WIP[Defer Start],$A439)="","",IF(INDEX(tbl_WIP[Revenue or Cost],$A439)="Cost",-1,1)*INDEX(tbl_WIP[Amount],$A439)),"")</f>
        <v/>
      </c>
      <c r="H439" s="64">
        <f>IFERROR(INDEX(tbl_WIP[Defer Start],$A439),"")</f>
        <v/>
      </c>
      <c r="I439" s="64">
        <f>IFERROR(INDEX(tbl_WIP[Defer End],$A439),"")</f>
        <v/>
      </c>
      <c r="J439" s="63">
        <f>IF(OR($H439="",$I439="",$G439=""),"",MAX(1,(YEAR($I439)-YEAR($H439))*12+MONTH($I439)-MONTH($H439)+1))</f>
        <v/>
      </c>
      <c r="K439" s="66">
        <f>IF($J439="","",$G439/$J439)</f>
        <v/>
      </c>
      <c r="L439" s="66">
        <f>IF($J439="",0,$K439*MAX(0,MIN(YEAR($C$3)*12+MONTH($C$3),YEAR($I439)*12+MONTH($I439))-(YEAR($H439)*12+MONTH($H439))+1))</f>
        <v/>
      </c>
      <c r="M439" s="66">
        <f>IF($J439="",0,$K439*MAX(0,MIN(YEAR($C$3)*12+MONTH($C$3)-1,YEAR($I439)*12+MONTH($I439))-(YEAR($H439)*12+MONTH($H439))+1))</f>
        <v/>
      </c>
      <c r="N439" s="66">
        <f>IF(OR($J439="",$B439=""),0,IF(YEAR($B439)*12+MONTH($B439)&lt;=YEAR($C$3)*12+MONTH($C$3),$G439,0))</f>
        <v/>
      </c>
      <c r="O439" s="66">
        <f>IF(OR($J439="",$B439=""),0,IF(YEAR($B439)*12+MONTH($B439)&lt;=YEAR($C$3)*12+MONTH($C$3)-1,$G439,0))</f>
        <v/>
      </c>
      <c r="P439" s="66">
        <f>$M439-$O439</f>
        <v/>
      </c>
      <c r="Q439" s="66">
        <f>($L439-$M439)-($N439-$O439)</f>
        <v/>
      </c>
      <c r="R439" s="66">
        <f>$L439-$N439</f>
        <v/>
      </c>
      <c r="S439" s="65">
        <f>"WIP journal"</f>
        <v/>
      </c>
      <c r="T439" s="65">
        <f>IFERROR(INDEX(tbl_WIP[Revenue or Cost],$A439),"")</f>
        <v/>
      </c>
    </row>
    <row r="440">
      <c r="A440" s="63">
        <f>ROW()-407</f>
        <v/>
      </c>
      <c r="B440" s="64">
        <f>IFERROR(INDEX(tbl_WIP[Month],$A440),"")</f>
        <v/>
      </c>
      <c r="C440" s="65">
        <f>IFERROR(INDEX(tbl_WIP[Xero Invoice No],$A440),"")</f>
        <v/>
      </c>
      <c r="D440" s="65">
        <f>IFERROR(INDEX(tbl_WIP[Client],$A440),"")</f>
        <v/>
      </c>
      <c r="E440" s="65">
        <f>IFERROR(INDEX(tbl_WIP[Job Number],$A440),"")</f>
        <v/>
      </c>
      <c r="F440" s="65">
        <f>IFERROR(INDEX(tbl_WIP[Cost Centre],$A440),"")</f>
        <v/>
      </c>
      <c r="G440" s="66">
        <f>IFERROR(IF(INDEX(tbl_WIP[Defer Start],$A440)="","",IF(INDEX(tbl_WIP[Revenue or Cost],$A440)="Cost",-1,1)*INDEX(tbl_WIP[Amount],$A440)),"")</f>
        <v/>
      </c>
      <c r="H440" s="64">
        <f>IFERROR(INDEX(tbl_WIP[Defer Start],$A440),"")</f>
        <v/>
      </c>
      <c r="I440" s="64">
        <f>IFERROR(INDEX(tbl_WIP[Defer End],$A440),"")</f>
        <v/>
      </c>
      <c r="J440" s="63">
        <f>IF(OR($H440="",$I440="",$G440=""),"",MAX(1,(YEAR($I440)-YEAR($H440))*12+MONTH($I440)-MONTH($H440)+1))</f>
        <v/>
      </c>
      <c r="K440" s="66">
        <f>IF($J440="","",$G440/$J440)</f>
        <v/>
      </c>
      <c r="L440" s="66">
        <f>IF($J440="",0,$K440*MAX(0,MIN(YEAR($C$3)*12+MONTH($C$3),YEAR($I440)*12+MONTH($I440))-(YEAR($H440)*12+MONTH($H440))+1))</f>
        <v/>
      </c>
      <c r="M440" s="66">
        <f>IF($J440="",0,$K440*MAX(0,MIN(YEAR($C$3)*12+MONTH($C$3)-1,YEAR($I440)*12+MONTH($I440))-(YEAR($H440)*12+MONTH($H440))+1))</f>
        <v/>
      </c>
      <c r="N440" s="66">
        <f>IF(OR($J440="",$B440=""),0,IF(YEAR($B440)*12+MONTH($B440)&lt;=YEAR($C$3)*12+MONTH($C$3),$G440,0))</f>
        <v/>
      </c>
      <c r="O440" s="66">
        <f>IF(OR($J440="",$B440=""),0,IF(YEAR($B440)*12+MONTH($B440)&lt;=YEAR($C$3)*12+MONTH($C$3)-1,$G440,0))</f>
        <v/>
      </c>
      <c r="P440" s="66">
        <f>$M440-$O440</f>
        <v/>
      </c>
      <c r="Q440" s="66">
        <f>($L440-$M440)-($N440-$O440)</f>
        <v/>
      </c>
      <c r="R440" s="66">
        <f>$L440-$N440</f>
        <v/>
      </c>
      <c r="S440" s="65">
        <f>"WIP journal"</f>
        <v/>
      </c>
      <c r="T440" s="65">
        <f>IFERROR(INDEX(tbl_WIP[Revenue or Cost],$A440),"")</f>
        <v/>
      </c>
    </row>
    <row r="441">
      <c r="A441" s="63">
        <f>ROW()-407</f>
        <v/>
      </c>
      <c r="B441" s="64">
        <f>IFERROR(INDEX(tbl_WIP[Month],$A441),"")</f>
        <v/>
      </c>
      <c r="C441" s="65">
        <f>IFERROR(INDEX(tbl_WIP[Xero Invoice No],$A441),"")</f>
        <v/>
      </c>
      <c r="D441" s="65">
        <f>IFERROR(INDEX(tbl_WIP[Client],$A441),"")</f>
        <v/>
      </c>
      <c r="E441" s="65">
        <f>IFERROR(INDEX(tbl_WIP[Job Number],$A441),"")</f>
        <v/>
      </c>
      <c r="F441" s="65">
        <f>IFERROR(INDEX(tbl_WIP[Cost Centre],$A441),"")</f>
        <v/>
      </c>
      <c r="G441" s="66">
        <f>IFERROR(IF(INDEX(tbl_WIP[Defer Start],$A441)="","",IF(INDEX(tbl_WIP[Revenue or Cost],$A441)="Cost",-1,1)*INDEX(tbl_WIP[Amount],$A441)),"")</f>
        <v/>
      </c>
      <c r="H441" s="64">
        <f>IFERROR(INDEX(tbl_WIP[Defer Start],$A441),"")</f>
        <v/>
      </c>
      <c r="I441" s="64">
        <f>IFERROR(INDEX(tbl_WIP[Defer End],$A441),"")</f>
        <v/>
      </c>
      <c r="J441" s="63">
        <f>IF(OR($H441="",$I441="",$G441=""),"",MAX(1,(YEAR($I441)-YEAR($H441))*12+MONTH($I441)-MONTH($H441)+1))</f>
        <v/>
      </c>
      <c r="K441" s="66">
        <f>IF($J441="","",$G441/$J441)</f>
        <v/>
      </c>
      <c r="L441" s="66">
        <f>IF($J441="",0,$K441*MAX(0,MIN(YEAR($C$3)*12+MONTH($C$3),YEAR($I441)*12+MONTH($I441))-(YEAR($H441)*12+MONTH($H441))+1))</f>
        <v/>
      </c>
      <c r="M441" s="66">
        <f>IF($J441="",0,$K441*MAX(0,MIN(YEAR($C$3)*12+MONTH($C$3)-1,YEAR($I441)*12+MONTH($I441))-(YEAR($H441)*12+MONTH($H441))+1))</f>
        <v/>
      </c>
      <c r="N441" s="66">
        <f>IF(OR($J441="",$B441=""),0,IF(YEAR($B441)*12+MONTH($B441)&lt;=YEAR($C$3)*12+MONTH($C$3),$G441,0))</f>
        <v/>
      </c>
      <c r="O441" s="66">
        <f>IF(OR($J441="",$B441=""),0,IF(YEAR($B441)*12+MONTH($B441)&lt;=YEAR($C$3)*12+MONTH($C$3)-1,$G441,0))</f>
        <v/>
      </c>
      <c r="P441" s="66">
        <f>$M441-$O441</f>
        <v/>
      </c>
      <c r="Q441" s="66">
        <f>($L441-$M441)-($N441-$O441)</f>
        <v/>
      </c>
      <c r="R441" s="66">
        <f>$L441-$N441</f>
        <v/>
      </c>
      <c r="S441" s="65">
        <f>"WIP journal"</f>
        <v/>
      </c>
      <c r="T441" s="65">
        <f>IFERROR(INDEX(tbl_WIP[Revenue or Cost],$A441),"")</f>
        <v/>
      </c>
    </row>
    <row r="442">
      <c r="A442" s="63">
        <f>ROW()-407</f>
        <v/>
      </c>
      <c r="B442" s="64">
        <f>IFERROR(INDEX(tbl_WIP[Month],$A442),"")</f>
        <v/>
      </c>
      <c r="C442" s="65">
        <f>IFERROR(INDEX(tbl_WIP[Xero Invoice No],$A442),"")</f>
        <v/>
      </c>
      <c r="D442" s="65">
        <f>IFERROR(INDEX(tbl_WIP[Client],$A442),"")</f>
        <v/>
      </c>
      <c r="E442" s="65">
        <f>IFERROR(INDEX(tbl_WIP[Job Number],$A442),"")</f>
        <v/>
      </c>
      <c r="F442" s="65">
        <f>IFERROR(INDEX(tbl_WIP[Cost Centre],$A442),"")</f>
        <v/>
      </c>
      <c r="G442" s="66">
        <f>IFERROR(IF(INDEX(tbl_WIP[Defer Start],$A442)="","",IF(INDEX(tbl_WIP[Revenue or Cost],$A442)="Cost",-1,1)*INDEX(tbl_WIP[Amount],$A442)),"")</f>
        <v/>
      </c>
      <c r="H442" s="64">
        <f>IFERROR(INDEX(tbl_WIP[Defer Start],$A442),"")</f>
        <v/>
      </c>
      <c r="I442" s="64">
        <f>IFERROR(INDEX(tbl_WIP[Defer End],$A442),"")</f>
        <v/>
      </c>
      <c r="J442" s="63">
        <f>IF(OR($H442="",$I442="",$G442=""),"",MAX(1,(YEAR($I442)-YEAR($H442))*12+MONTH($I442)-MONTH($H442)+1))</f>
        <v/>
      </c>
      <c r="K442" s="66">
        <f>IF($J442="","",$G442/$J442)</f>
        <v/>
      </c>
      <c r="L442" s="66">
        <f>IF($J442="",0,$K442*MAX(0,MIN(YEAR($C$3)*12+MONTH($C$3),YEAR($I442)*12+MONTH($I442))-(YEAR($H442)*12+MONTH($H442))+1))</f>
        <v/>
      </c>
      <c r="M442" s="66">
        <f>IF($J442="",0,$K442*MAX(0,MIN(YEAR($C$3)*12+MONTH($C$3)-1,YEAR($I442)*12+MONTH($I442))-(YEAR($H442)*12+MONTH($H442))+1))</f>
        <v/>
      </c>
      <c r="N442" s="66">
        <f>IF(OR($J442="",$B442=""),0,IF(YEAR($B442)*12+MONTH($B442)&lt;=YEAR($C$3)*12+MONTH($C$3),$G442,0))</f>
        <v/>
      </c>
      <c r="O442" s="66">
        <f>IF(OR($J442="",$B442=""),0,IF(YEAR($B442)*12+MONTH($B442)&lt;=YEAR($C$3)*12+MONTH($C$3)-1,$G442,0))</f>
        <v/>
      </c>
      <c r="P442" s="66">
        <f>$M442-$O442</f>
        <v/>
      </c>
      <c r="Q442" s="66">
        <f>($L442-$M442)-($N442-$O442)</f>
        <v/>
      </c>
      <c r="R442" s="66">
        <f>$L442-$N442</f>
        <v/>
      </c>
      <c r="S442" s="65">
        <f>"WIP journal"</f>
        <v/>
      </c>
      <c r="T442" s="65">
        <f>IFERROR(INDEX(tbl_WIP[Revenue or Cost],$A442),"")</f>
        <v/>
      </c>
    </row>
    <row r="443">
      <c r="A443" s="63">
        <f>ROW()-407</f>
        <v/>
      </c>
      <c r="B443" s="64">
        <f>IFERROR(INDEX(tbl_WIP[Month],$A443),"")</f>
        <v/>
      </c>
      <c r="C443" s="65">
        <f>IFERROR(INDEX(tbl_WIP[Xero Invoice No],$A443),"")</f>
        <v/>
      </c>
      <c r="D443" s="65">
        <f>IFERROR(INDEX(tbl_WIP[Client],$A443),"")</f>
        <v/>
      </c>
      <c r="E443" s="65">
        <f>IFERROR(INDEX(tbl_WIP[Job Number],$A443),"")</f>
        <v/>
      </c>
      <c r="F443" s="65">
        <f>IFERROR(INDEX(tbl_WIP[Cost Centre],$A443),"")</f>
        <v/>
      </c>
      <c r="G443" s="66">
        <f>IFERROR(IF(INDEX(tbl_WIP[Defer Start],$A443)="","",IF(INDEX(tbl_WIP[Revenue or Cost],$A443)="Cost",-1,1)*INDEX(tbl_WIP[Amount],$A443)),"")</f>
        <v/>
      </c>
      <c r="H443" s="64">
        <f>IFERROR(INDEX(tbl_WIP[Defer Start],$A443),"")</f>
        <v/>
      </c>
      <c r="I443" s="64">
        <f>IFERROR(INDEX(tbl_WIP[Defer End],$A443),"")</f>
        <v/>
      </c>
      <c r="J443" s="63">
        <f>IF(OR($H443="",$I443="",$G443=""),"",MAX(1,(YEAR($I443)-YEAR($H443))*12+MONTH($I443)-MONTH($H443)+1))</f>
        <v/>
      </c>
      <c r="K443" s="66">
        <f>IF($J443="","",$G443/$J443)</f>
        <v/>
      </c>
      <c r="L443" s="66">
        <f>IF($J443="",0,$K443*MAX(0,MIN(YEAR($C$3)*12+MONTH($C$3),YEAR($I443)*12+MONTH($I443))-(YEAR($H443)*12+MONTH($H443))+1))</f>
        <v/>
      </c>
      <c r="M443" s="66">
        <f>IF($J443="",0,$K443*MAX(0,MIN(YEAR($C$3)*12+MONTH($C$3)-1,YEAR($I443)*12+MONTH($I443))-(YEAR($H443)*12+MONTH($H443))+1))</f>
        <v/>
      </c>
      <c r="N443" s="66">
        <f>IF(OR($J443="",$B443=""),0,IF(YEAR($B443)*12+MONTH($B443)&lt;=YEAR($C$3)*12+MONTH($C$3),$G443,0))</f>
        <v/>
      </c>
      <c r="O443" s="66">
        <f>IF(OR($J443="",$B443=""),0,IF(YEAR($B443)*12+MONTH($B443)&lt;=YEAR($C$3)*12+MONTH($C$3)-1,$G443,0))</f>
        <v/>
      </c>
      <c r="P443" s="66">
        <f>$M443-$O443</f>
        <v/>
      </c>
      <c r="Q443" s="66">
        <f>($L443-$M443)-($N443-$O443)</f>
        <v/>
      </c>
      <c r="R443" s="66">
        <f>$L443-$N443</f>
        <v/>
      </c>
      <c r="S443" s="65">
        <f>"WIP journal"</f>
        <v/>
      </c>
      <c r="T443" s="65">
        <f>IFERROR(INDEX(tbl_WIP[Revenue or Cost],$A443),"")</f>
        <v/>
      </c>
    </row>
    <row r="444">
      <c r="A444" s="63">
        <f>ROW()-407</f>
        <v/>
      </c>
      <c r="B444" s="64">
        <f>IFERROR(INDEX(tbl_WIP[Month],$A444),"")</f>
        <v/>
      </c>
      <c r="C444" s="65">
        <f>IFERROR(INDEX(tbl_WIP[Xero Invoice No],$A444),"")</f>
        <v/>
      </c>
      <c r="D444" s="65">
        <f>IFERROR(INDEX(tbl_WIP[Client],$A444),"")</f>
        <v/>
      </c>
      <c r="E444" s="65">
        <f>IFERROR(INDEX(tbl_WIP[Job Number],$A444),"")</f>
        <v/>
      </c>
      <c r="F444" s="65">
        <f>IFERROR(INDEX(tbl_WIP[Cost Centre],$A444),"")</f>
        <v/>
      </c>
      <c r="G444" s="66">
        <f>IFERROR(IF(INDEX(tbl_WIP[Defer Start],$A444)="","",IF(INDEX(tbl_WIP[Revenue or Cost],$A444)="Cost",-1,1)*INDEX(tbl_WIP[Amount],$A444)),"")</f>
        <v/>
      </c>
      <c r="H444" s="64">
        <f>IFERROR(INDEX(tbl_WIP[Defer Start],$A444),"")</f>
        <v/>
      </c>
      <c r="I444" s="64">
        <f>IFERROR(INDEX(tbl_WIP[Defer End],$A444),"")</f>
        <v/>
      </c>
      <c r="J444" s="63">
        <f>IF(OR($H444="",$I444="",$G444=""),"",MAX(1,(YEAR($I444)-YEAR($H444))*12+MONTH($I444)-MONTH($H444)+1))</f>
        <v/>
      </c>
      <c r="K444" s="66">
        <f>IF($J444="","",$G444/$J444)</f>
        <v/>
      </c>
      <c r="L444" s="66">
        <f>IF($J444="",0,$K444*MAX(0,MIN(YEAR($C$3)*12+MONTH($C$3),YEAR($I444)*12+MONTH($I444))-(YEAR($H444)*12+MONTH($H444))+1))</f>
        <v/>
      </c>
      <c r="M444" s="66">
        <f>IF($J444="",0,$K444*MAX(0,MIN(YEAR($C$3)*12+MONTH($C$3)-1,YEAR($I444)*12+MONTH($I444))-(YEAR($H444)*12+MONTH($H444))+1))</f>
        <v/>
      </c>
      <c r="N444" s="66">
        <f>IF(OR($J444="",$B444=""),0,IF(YEAR($B444)*12+MONTH($B444)&lt;=YEAR($C$3)*12+MONTH($C$3),$G444,0))</f>
        <v/>
      </c>
      <c r="O444" s="66">
        <f>IF(OR($J444="",$B444=""),0,IF(YEAR($B444)*12+MONTH($B444)&lt;=YEAR($C$3)*12+MONTH($C$3)-1,$G444,0))</f>
        <v/>
      </c>
      <c r="P444" s="66">
        <f>$M444-$O444</f>
        <v/>
      </c>
      <c r="Q444" s="66">
        <f>($L444-$M444)-($N444-$O444)</f>
        <v/>
      </c>
      <c r="R444" s="66">
        <f>$L444-$N444</f>
        <v/>
      </c>
      <c r="S444" s="65">
        <f>"WIP journal"</f>
        <v/>
      </c>
      <c r="T444" s="65">
        <f>IFERROR(INDEX(tbl_WIP[Revenue or Cost],$A444),"")</f>
        <v/>
      </c>
    </row>
    <row r="445">
      <c r="A445" s="63">
        <f>ROW()-407</f>
        <v/>
      </c>
      <c r="B445" s="64">
        <f>IFERROR(INDEX(tbl_WIP[Month],$A445),"")</f>
        <v/>
      </c>
      <c r="C445" s="65">
        <f>IFERROR(INDEX(tbl_WIP[Xero Invoice No],$A445),"")</f>
        <v/>
      </c>
      <c r="D445" s="65">
        <f>IFERROR(INDEX(tbl_WIP[Client],$A445),"")</f>
        <v/>
      </c>
      <c r="E445" s="65">
        <f>IFERROR(INDEX(tbl_WIP[Job Number],$A445),"")</f>
        <v/>
      </c>
      <c r="F445" s="65">
        <f>IFERROR(INDEX(tbl_WIP[Cost Centre],$A445),"")</f>
        <v/>
      </c>
      <c r="G445" s="66">
        <f>IFERROR(IF(INDEX(tbl_WIP[Defer Start],$A445)="","",IF(INDEX(tbl_WIP[Revenue or Cost],$A445)="Cost",-1,1)*INDEX(tbl_WIP[Amount],$A445)),"")</f>
        <v/>
      </c>
      <c r="H445" s="64">
        <f>IFERROR(INDEX(tbl_WIP[Defer Start],$A445),"")</f>
        <v/>
      </c>
      <c r="I445" s="64">
        <f>IFERROR(INDEX(tbl_WIP[Defer End],$A445),"")</f>
        <v/>
      </c>
      <c r="J445" s="63">
        <f>IF(OR($H445="",$I445="",$G445=""),"",MAX(1,(YEAR($I445)-YEAR($H445))*12+MONTH($I445)-MONTH($H445)+1))</f>
        <v/>
      </c>
      <c r="K445" s="66">
        <f>IF($J445="","",$G445/$J445)</f>
        <v/>
      </c>
      <c r="L445" s="66">
        <f>IF($J445="",0,$K445*MAX(0,MIN(YEAR($C$3)*12+MONTH($C$3),YEAR($I445)*12+MONTH($I445))-(YEAR($H445)*12+MONTH($H445))+1))</f>
        <v/>
      </c>
      <c r="M445" s="66">
        <f>IF($J445="",0,$K445*MAX(0,MIN(YEAR($C$3)*12+MONTH($C$3)-1,YEAR($I445)*12+MONTH($I445))-(YEAR($H445)*12+MONTH($H445))+1))</f>
        <v/>
      </c>
      <c r="N445" s="66">
        <f>IF(OR($J445="",$B445=""),0,IF(YEAR($B445)*12+MONTH($B445)&lt;=YEAR($C$3)*12+MONTH($C$3),$G445,0))</f>
        <v/>
      </c>
      <c r="O445" s="66">
        <f>IF(OR($J445="",$B445=""),0,IF(YEAR($B445)*12+MONTH($B445)&lt;=YEAR($C$3)*12+MONTH($C$3)-1,$G445,0))</f>
        <v/>
      </c>
      <c r="P445" s="66">
        <f>$M445-$O445</f>
        <v/>
      </c>
      <c r="Q445" s="66">
        <f>($L445-$M445)-($N445-$O445)</f>
        <v/>
      </c>
      <c r="R445" s="66">
        <f>$L445-$N445</f>
        <v/>
      </c>
      <c r="S445" s="65">
        <f>"WIP journal"</f>
        <v/>
      </c>
      <c r="T445" s="65">
        <f>IFERROR(INDEX(tbl_WIP[Revenue or Cost],$A445),"")</f>
        <v/>
      </c>
    </row>
    <row r="446">
      <c r="A446" s="63">
        <f>ROW()-407</f>
        <v/>
      </c>
      <c r="B446" s="64">
        <f>IFERROR(INDEX(tbl_WIP[Month],$A446),"")</f>
        <v/>
      </c>
      <c r="C446" s="65">
        <f>IFERROR(INDEX(tbl_WIP[Xero Invoice No],$A446),"")</f>
        <v/>
      </c>
      <c r="D446" s="65">
        <f>IFERROR(INDEX(tbl_WIP[Client],$A446),"")</f>
        <v/>
      </c>
      <c r="E446" s="65">
        <f>IFERROR(INDEX(tbl_WIP[Job Number],$A446),"")</f>
        <v/>
      </c>
      <c r="F446" s="65">
        <f>IFERROR(INDEX(tbl_WIP[Cost Centre],$A446),"")</f>
        <v/>
      </c>
      <c r="G446" s="66">
        <f>IFERROR(IF(INDEX(tbl_WIP[Defer Start],$A446)="","",IF(INDEX(tbl_WIP[Revenue or Cost],$A446)="Cost",-1,1)*INDEX(tbl_WIP[Amount],$A446)),"")</f>
        <v/>
      </c>
      <c r="H446" s="64">
        <f>IFERROR(INDEX(tbl_WIP[Defer Start],$A446),"")</f>
        <v/>
      </c>
      <c r="I446" s="64">
        <f>IFERROR(INDEX(tbl_WIP[Defer End],$A446),"")</f>
        <v/>
      </c>
      <c r="J446" s="63">
        <f>IF(OR($H446="",$I446="",$G446=""),"",MAX(1,(YEAR($I446)-YEAR($H446))*12+MONTH($I446)-MONTH($H446)+1))</f>
        <v/>
      </c>
      <c r="K446" s="66">
        <f>IF($J446="","",$G446/$J446)</f>
        <v/>
      </c>
      <c r="L446" s="66">
        <f>IF($J446="",0,$K446*MAX(0,MIN(YEAR($C$3)*12+MONTH($C$3),YEAR($I446)*12+MONTH($I446))-(YEAR($H446)*12+MONTH($H446))+1))</f>
        <v/>
      </c>
      <c r="M446" s="66">
        <f>IF($J446="",0,$K446*MAX(0,MIN(YEAR($C$3)*12+MONTH($C$3)-1,YEAR($I446)*12+MONTH($I446))-(YEAR($H446)*12+MONTH($H446))+1))</f>
        <v/>
      </c>
      <c r="N446" s="66">
        <f>IF(OR($J446="",$B446=""),0,IF(YEAR($B446)*12+MONTH($B446)&lt;=YEAR($C$3)*12+MONTH($C$3),$G446,0))</f>
        <v/>
      </c>
      <c r="O446" s="66">
        <f>IF(OR($J446="",$B446=""),0,IF(YEAR($B446)*12+MONTH($B446)&lt;=YEAR($C$3)*12+MONTH($C$3)-1,$G446,0))</f>
        <v/>
      </c>
      <c r="P446" s="66">
        <f>$M446-$O446</f>
        <v/>
      </c>
      <c r="Q446" s="66">
        <f>($L446-$M446)-($N446-$O446)</f>
        <v/>
      </c>
      <c r="R446" s="66">
        <f>$L446-$N446</f>
        <v/>
      </c>
      <c r="S446" s="65">
        <f>"WIP journal"</f>
        <v/>
      </c>
      <c r="T446" s="65">
        <f>IFERROR(INDEX(tbl_WIP[Revenue or Cost],$A446),"")</f>
        <v/>
      </c>
    </row>
    <row r="447">
      <c r="A447" s="63">
        <f>ROW()-407</f>
        <v/>
      </c>
      <c r="B447" s="64">
        <f>IFERROR(INDEX(tbl_WIP[Month],$A447),"")</f>
        <v/>
      </c>
      <c r="C447" s="65">
        <f>IFERROR(INDEX(tbl_WIP[Xero Invoice No],$A447),"")</f>
        <v/>
      </c>
      <c r="D447" s="65">
        <f>IFERROR(INDEX(tbl_WIP[Client],$A447),"")</f>
        <v/>
      </c>
      <c r="E447" s="65">
        <f>IFERROR(INDEX(tbl_WIP[Job Number],$A447),"")</f>
        <v/>
      </c>
      <c r="F447" s="65">
        <f>IFERROR(INDEX(tbl_WIP[Cost Centre],$A447),"")</f>
        <v/>
      </c>
      <c r="G447" s="66">
        <f>IFERROR(IF(INDEX(tbl_WIP[Defer Start],$A447)="","",IF(INDEX(tbl_WIP[Revenue or Cost],$A447)="Cost",-1,1)*INDEX(tbl_WIP[Amount],$A447)),"")</f>
        <v/>
      </c>
      <c r="H447" s="64">
        <f>IFERROR(INDEX(tbl_WIP[Defer Start],$A447),"")</f>
        <v/>
      </c>
      <c r="I447" s="64">
        <f>IFERROR(INDEX(tbl_WIP[Defer End],$A447),"")</f>
        <v/>
      </c>
      <c r="J447" s="63">
        <f>IF(OR($H447="",$I447="",$G447=""),"",MAX(1,(YEAR($I447)-YEAR($H447))*12+MONTH($I447)-MONTH($H447)+1))</f>
        <v/>
      </c>
      <c r="K447" s="66">
        <f>IF($J447="","",$G447/$J447)</f>
        <v/>
      </c>
      <c r="L447" s="66">
        <f>IF($J447="",0,$K447*MAX(0,MIN(YEAR($C$3)*12+MONTH($C$3),YEAR($I447)*12+MONTH($I447))-(YEAR($H447)*12+MONTH($H447))+1))</f>
        <v/>
      </c>
      <c r="M447" s="66">
        <f>IF($J447="",0,$K447*MAX(0,MIN(YEAR($C$3)*12+MONTH($C$3)-1,YEAR($I447)*12+MONTH($I447))-(YEAR($H447)*12+MONTH($H447))+1))</f>
        <v/>
      </c>
      <c r="N447" s="66">
        <f>IF(OR($J447="",$B447=""),0,IF(YEAR($B447)*12+MONTH($B447)&lt;=YEAR($C$3)*12+MONTH($C$3),$G447,0))</f>
        <v/>
      </c>
      <c r="O447" s="66">
        <f>IF(OR($J447="",$B447=""),0,IF(YEAR($B447)*12+MONTH($B447)&lt;=YEAR($C$3)*12+MONTH($C$3)-1,$G447,0))</f>
        <v/>
      </c>
      <c r="P447" s="66">
        <f>$M447-$O447</f>
        <v/>
      </c>
      <c r="Q447" s="66">
        <f>($L447-$M447)-($N447-$O447)</f>
        <v/>
      </c>
      <c r="R447" s="66">
        <f>$L447-$N447</f>
        <v/>
      </c>
      <c r="S447" s="65">
        <f>"WIP journal"</f>
        <v/>
      </c>
      <c r="T447" s="65">
        <f>IFERROR(INDEX(tbl_WIP[Revenue or Cost],$A447),"")</f>
        <v/>
      </c>
    </row>
    <row r="448">
      <c r="A448" s="63">
        <f>ROW()-407</f>
        <v/>
      </c>
      <c r="B448" s="64">
        <f>IFERROR(INDEX(tbl_WIP[Month],$A448),"")</f>
        <v/>
      </c>
      <c r="C448" s="65">
        <f>IFERROR(INDEX(tbl_WIP[Xero Invoice No],$A448),"")</f>
        <v/>
      </c>
      <c r="D448" s="65">
        <f>IFERROR(INDEX(tbl_WIP[Client],$A448),"")</f>
        <v/>
      </c>
      <c r="E448" s="65">
        <f>IFERROR(INDEX(tbl_WIP[Job Number],$A448),"")</f>
        <v/>
      </c>
      <c r="F448" s="65">
        <f>IFERROR(INDEX(tbl_WIP[Cost Centre],$A448),"")</f>
        <v/>
      </c>
      <c r="G448" s="66">
        <f>IFERROR(IF(INDEX(tbl_WIP[Defer Start],$A448)="","",IF(INDEX(tbl_WIP[Revenue or Cost],$A448)="Cost",-1,1)*INDEX(tbl_WIP[Amount],$A448)),"")</f>
        <v/>
      </c>
      <c r="H448" s="64">
        <f>IFERROR(INDEX(tbl_WIP[Defer Start],$A448),"")</f>
        <v/>
      </c>
      <c r="I448" s="64">
        <f>IFERROR(INDEX(tbl_WIP[Defer End],$A448),"")</f>
        <v/>
      </c>
      <c r="J448" s="63">
        <f>IF(OR($H448="",$I448="",$G448=""),"",MAX(1,(YEAR($I448)-YEAR($H448))*12+MONTH($I448)-MONTH($H448)+1))</f>
        <v/>
      </c>
      <c r="K448" s="66">
        <f>IF($J448="","",$G448/$J448)</f>
        <v/>
      </c>
      <c r="L448" s="66">
        <f>IF($J448="",0,$K448*MAX(0,MIN(YEAR($C$3)*12+MONTH($C$3),YEAR($I448)*12+MONTH($I448))-(YEAR($H448)*12+MONTH($H448))+1))</f>
        <v/>
      </c>
      <c r="M448" s="66">
        <f>IF($J448="",0,$K448*MAX(0,MIN(YEAR($C$3)*12+MONTH($C$3)-1,YEAR($I448)*12+MONTH($I448))-(YEAR($H448)*12+MONTH($H448))+1))</f>
        <v/>
      </c>
      <c r="N448" s="66">
        <f>IF(OR($J448="",$B448=""),0,IF(YEAR($B448)*12+MONTH($B448)&lt;=YEAR($C$3)*12+MONTH($C$3),$G448,0))</f>
        <v/>
      </c>
      <c r="O448" s="66">
        <f>IF(OR($J448="",$B448=""),0,IF(YEAR($B448)*12+MONTH($B448)&lt;=YEAR($C$3)*12+MONTH($C$3)-1,$G448,0))</f>
        <v/>
      </c>
      <c r="P448" s="66">
        <f>$M448-$O448</f>
        <v/>
      </c>
      <c r="Q448" s="66">
        <f>($L448-$M448)-($N448-$O448)</f>
        <v/>
      </c>
      <c r="R448" s="66">
        <f>$L448-$N448</f>
        <v/>
      </c>
      <c r="S448" s="65">
        <f>"WIP journal"</f>
        <v/>
      </c>
      <c r="T448" s="65">
        <f>IFERROR(INDEX(tbl_WIP[Revenue or Cost],$A448),"")</f>
        <v/>
      </c>
    </row>
    <row r="449">
      <c r="A449" s="63">
        <f>ROW()-407</f>
        <v/>
      </c>
      <c r="B449" s="64">
        <f>IFERROR(INDEX(tbl_WIP[Month],$A449),"")</f>
        <v/>
      </c>
      <c r="C449" s="65">
        <f>IFERROR(INDEX(tbl_WIP[Xero Invoice No],$A449),"")</f>
        <v/>
      </c>
      <c r="D449" s="65">
        <f>IFERROR(INDEX(tbl_WIP[Client],$A449),"")</f>
        <v/>
      </c>
      <c r="E449" s="65">
        <f>IFERROR(INDEX(tbl_WIP[Job Number],$A449),"")</f>
        <v/>
      </c>
      <c r="F449" s="65">
        <f>IFERROR(INDEX(tbl_WIP[Cost Centre],$A449),"")</f>
        <v/>
      </c>
      <c r="G449" s="66">
        <f>IFERROR(IF(INDEX(tbl_WIP[Defer Start],$A449)="","",IF(INDEX(tbl_WIP[Revenue or Cost],$A449)="Cost",-1,1)*INDEX(tbl_WIP[Amount],$A449)),"")</f>
        <v/>
      </c>
      <c r="H449" s="64">
        <f>IFERROR(INDEX(tbl_WIP[Defer Start],$A449),"")</f>
        <v/>
      </c>
      <c r="I449" s="64">
        <f>IFERROR(INDEX(tbl_WIP[Defer End],$A449),"")</f>
        <v/>
      </c>
      <c r="J449" s="63">
        <f>IF(OR($H449="",$I449="",$G449=""),"",MAX(1,(YEAR($I449)-YEAR($H449))*12+MONTH($I449)-MONTH($H449)+1))</f>
        <v/>
      </c>
      <c r="K449" s="66">
        <f>IF($J449="","",$G449/$J449)</f>
        <v/>
      </c>
      <c r="L449" s="66">
        <f>IF($J449="",0,$K449*MAX(0,MIN(YEAR($C$3)*12+MONTH($C$3),YEAR($I449)*12+MONTH($I449))-(YEAR($H449)*12+MONTH($H449))+1))</f>
        <v/>
      </c>
      <c r="M449" s="66">
        <f>IF($J449="",0,$K449*MAX(0,MIN(YEAR($C$3)*12+MONTH($C$3)-1,YEAR($I449)*12+MONTH($I449))-(YEAR($H449)*12+MONTH($H449))+1))</f>
        <v/>
      </c>
      <c r="N449" s="66">
        <f>IF(OR($J449="",$B449=""),0,IF(YEAR($B449)*12+MONTH($B449)&lt;=YEAR($C$3)*12+MONTH($C$3),$G449,0))</f>
        <v/>
      </c>
      <c r="O449" s="66">
        <f>IF(OR($J449="",$B449=""),0,IF(YEAR($B449)*12+MONTH($B449)&lt;=YEAR($C$3)*12+MONTH($C$3)-1,$G449,0))</f>
        <v/>
      </c>
      <c r="P449" s="66">
        <f>$M449-$O449</f>
        <v/>
      </c>
      <c r="Q449" s="66">
        <f>($L449-$M449)-($N449-$O449)</f>
        <v/>
      </c>
      <c r="R449" s="66">
        <f>$L449-$N449</f>
        <v/>
      </c>
      <c r="S449" s="65">
        <f>"WIP journal"</f>
        <v/>
      </c>
      <c r="T449" s="65">
        <f>IFERROR(INDEX(tbl_WIP[Revenue or Cost],$A449),"")</f>
        <v/>
      </c>
    </row>
    <row r="450">
      <c r="A450" s="63">
        <f>ROW()-407</f>
        <v/>
      </c>
      <c r="B450" s="64">
        <f>IFERROR(INDEX(tbl_WIP[Month],$A450),"")</f>
        <v/>
      </c>
      <c r="C450" s="65">
        <f>IFERROR(INDEX(tbl_WIP[Xero Invoice No],$A450),"")</f>
        <v/>
      </c>
      <c r="D450" s="65">
        <f>IFERROR(INDEX(tbl_WIP[Client],$A450),"")</f>
        <v/>
      </c>
      <c r="E450" s="65">
        <f>IFERROR(INDEX(tbl_WIP[Job Number],$A450),"")</f>
        <v/>
      </c>
      <c r="F450" s="65">
        <f>IFERROR(INDEX(tbl_WIP[Cost Centre],$A450),"")</f>
        <v/>
      </c>
      <c r="G450" s="66">
        <f>IFERROR(IF(INDEX(tbl_WIP[Defer Start],$A450)="","",IF(INDEX(tbl_WIP[Revenue or Cost],$A450)="Cost",-1,1)*INDEX(tbl_WIP[Amount],$A450)),"")</f>
        <v/>
      </c>
      <c r="H450" s="64">
        <f>IFERROR(INDEX(tbl_WIP[Defer Start],$A450),"")</f>
        <v/>
      </c>
      <c r="I450" s="64">
        <f>IFERROR(INDEX(tbl_WIP[Defer End],$A450),"")</f>
        <v/>
      </c>
      <c r="J450" s="63">
        <f>IF(OR($H450="",$I450="",$G450=""),"",MAX(1,(YEAR($I450)-YEAR($H450))*12+MONTH($I450)-MONTH($H450)+1))</f>
        <v/>
      </c>
      <c r="K450" s="66">
        <f>IF($J450="","",$G450/$J450)</f>
        <v/>
      </c>
      <c r="L450" s="66">
        <f>IF($J450="",0,$K450*MAX(0,MIN(YEAR($C$3)*12+MONTH($C$3),YEAR($I450)*12+MONTH($I450))-(YEAR($H450)*12+MONTH($H450))+1))</f>
        <v/>
      </c>
      <c r="M450" s="66">
        <f>IF($J450="",0,$K450*MAX(0,MIN(YEAR($C$3)*12+MONTH($C$3)-1,YEAR($I450)*12+MONTH($I450))-(YEAR($H450)*12+MONTH($H450))+1))</f>
        <v/>
      </c>
      <c r="N450" s="66">
        <f>IF(OR($J450="",$B450=""),0,IF(YEAR($B450)*12+MONTH($B450)&lt;=YEAR($C$3)*12+MONTH($C$3),$G450,0))</f>
        <v/>
      </c>
      <c r="O450" s="66">
        <f>IF(OR($J450="",$B450=""),0,IF(YEAR($B450)*12+MONTH($B450)&lt;=YEAR($C$3)*12+MONTH($C$3)-1,$G450,0))</f>
        <v/>
      </c>
      <c r="P450" s="66">
        <f>$M450-$O450</f>
        <v/>
      </c>
      <c r="Q450" s="66">
        <f>($L450-$M450)-($N450-$O450)</f>
        <v/>
      </c>
      <c r="R450" s="66">
        <f>$L450-$N450</f>
        <v/>
      </c>
      <c r="S450" s="65">
        <f>"WIP journal"</f>
        <v/>
      </c>
      <c r="T450" s="65">
        <f>IFERROR(INDEX(tbl_WIP[Revenue or Cost],$A450),"")</f>
        <v/>
      </c>
    </row>
    <row r="451">
      <c r="A451" s="63">
        <f>ROW()-407</f>
        <v/>
      </c>
      <c r="B451" s="64">
        <f>IFERROR(INDEX(tbl_WIP[Month],$A451),"")</f>
        <v/>
      </c>
      <c r="C451" s="65">
        <f>IFERROR(INDEX(tbl_WIP[Xero Invoice No],$A451),"")</f>
        <v/>
      </c>
      <c r="D451" s="65">
        <f>IFERROR(INDEX(tbl_WIP[Client],$A451),"")</f>
        <v/>
      </c>
      <c r="E451" s="65">
        <f>IFERROR(INDEX(tbl_WIP[Job Number],$A451),"")</f>
        <v/>
      </c>
      <c r="F451" s="65">
        <f>IFERROR(INDEX(tbl_WIP[Cost Centre],$A451),"")</f>
        <v/>
      </c>
      <c r="G451" s="66">
        <f>IFERROR(IF(INDEX(tbl_WIP[Defer Start],$A451)="","",IF(INDEX(tbl_WIP[Revenue or Cost],$A451)="Cost",-1,1)*INDEX(tbl_WIP[Amount],$A451)),"")</f>
        <v/>
      </c>
      <c r="H451" s="64">
        <f>IFERROR(INDEX(tbl_WIP[Defer Start],$A451),"")</f>
        <v/>
      </c>
      <c r="I451" s="64">
        <f>IFERROR(INDEX(tbl_WIP[Defer End],$A451),"")</f>
        <v/>
      </c>
      <c r="J451" s="63">
        <f>IF(OR($H451="",$I451="",$G451=""),"",MAX(1,(YEAR($I451)-YEAR($H451))*12+MONTH($I451)-MONTH($H451)+1))</f>
        <v/>
      </c>
      <c r="K451" s="66">
        <f>IF($J451="","",$G451/$J451)</f>
        <v/>
      </c>
      <c r="L451" s="66">
        <f>IF($J451="",0,$K451*MAX(0,MIN(YEAR($C$3)*12+MONTH($C$3),YEAR($I451)*12+MONTH($I451))-(YEAR($H451)*12+MONTH($H451))+1))</f>
        <v/>
      </c>
      <c r="M451" s="66">
        <f>IF($J451="",0,$K451*MAX(0,MIN(YEAR($C$3)*12+MONTH($C$3)-1,YEAR($I451)*12+MONTH($I451))-(YEAR($H451)*12+MONTH($H451))+1))</f>
        <v/>
      </c>
      <c r="N451" s="66">
        <f>IF(OR($J451="",$B451=""),0,IF(YEAR($B451)*12+MONTH($B451)&lt;=YEAR($C$3)*12+MONTH($C$3),$G451,0))</f>
        <v/>
      </c>
      <c r="O451" s="66">
        <f>IF(OR($J451="",$B451=""),0,IF(YEAR($B451)*12+MONTH($B451)&lt;=YEAR($C$3)*12+MONTH($C$3)-1,$G451,0))</f>
        <v/>
      </c>
      <c r="P451" s="66">
        <f>$M451-$O451</f>
        <v/>
      </c>
      <c r="Q451" s="66">
        <f>($L451-$M451)-($N451-$O451)</f>
        <v/>
      </c>
      <c r="R451" s="66">
        <f>$L451-$N451</f>
        <v/>
      </c>
      <c r="S451" s="65">
        <f>"WIP journal"</f>
        <v/>
      </c>
      <c r="T451" s="65">
        <f>IFERROR(INDEX(tbl_WIP[Revenue or Cost],$A451),"")</f>
        <v/>
      </c>
    </row>
    <row r="452">
      <c r="A452" s="63">
        <f>ROW()-407</f>
        <v/>
      </c>
      <c r="B452" s="64">
        <f>IFERROR(INDEX(tbl_WIP[Month],$A452),"")</f>
        <v/>
      </c>
      <c r="C452" s="65">
        <f>IFERROR(INDEX(tbl_WIP[Xero Invoice No],$A452),"")</f>
        <v/>
      </c>
      <c r="D452" s="65">
        <f>IFERROR(INDEX(tbl_WIP[Client],$A452),"")</f>
        <v/>
      </c>
      <c r="E452" s="65">
        <f>IFERROR(INDEX(tbl_WIP[Job Number],$A452),"")</f>
        <v/>
      </c>
      <c r="F452" s="65">
        <f>IFERROR(INDEX(tbl_WIP[Cost Centre],$A452),"")</f>
        <v/>
      </c>
      <c r="G452" s="66">
        <f>IFERROR(IF(INDEX(tbl_WIP[Defer Start],$A452)="","",IF(INDEX(tbl_WIP[Revenue or Cost],$A452)="Cost",-1,1)*INDEX(tbl_WIP[Amount],$A452)),"")</f>
        <v/>
      </c>
      <c r="H452" s="64">
        <f>IFERROR(INDEX(tbl_WIP[Defer Start],$A452),"")</f>
        <v/>
      </c>
      <c r="I452" s="64">
        <f>IFERROR(INDEX(tbl_WIP[Defer End],$A452),"")</f>
        <v/>
      </c>
      <c r="J452" s="63">
        <f>IF(OR($H452="",$I452="",$G452=""),"",MAX(1,(YEAR($I452)-YEAR($H452))*12+MONTH($I452)-MONTH($H452)+1))</f>
        <v/>
      </c>
      <c r="K452" s="66">
        <f>IF($J452="","",$G452/$J452)</f>
        <v/>
      </c>
      <c r="L452" s="66">
        <f>IF($J452="",0,$K452*MAX(0,MIN(YEAR($C$3)*12+MONTH($C$3),YEAR($I452)*12+MONTH($I452))-(YEAR($H452)*12+MONTH($H452))+1))</f>
        <v/>
      </c>
      <c r="M452" s="66">
        <f>IF($J452="",0,$K452*MAX(0,MIN(YEAR($C$3)*12+MONTH($C$3)-1,YEAR($I452)*12+MONTH($I452))-(YEAR($H452)*12+MONTH($H452))+1))</f>
        <v/>
      </c>
      <c r="N452" s="66">
        <f>IF(OR($J452="",$B452=""),0,IF(YEAR($B452)*12+MONTH($B452)&lt;=YEAR($C$3)*12+MONTH($C$3),$G452,0))</f>
        <v/>
      </c>
      <c r="O452" s="66">
        <f>IF(OR($J452="",$B452=""),0,IF(YEAR($B452)*12+MONTH($B452)&lt;=YEAR($C$3)*12+MONTH($C$3)-1,$G452,0))</f>
        <v/>
      </c>
      <c r="P452" s="66">
        <f>$M452-$O452</f>
        <v/>
      </c>
      <c r="Q452" s="66">
        <f>($L452-$M452)-($N452-$O452)</f>
        <v/>
      </c>
      <c r="R452" s="66">
        <f>$L452-$N452</f>
        <v/>
      </c>
      <c r="S452" s="65">
        <f>"WIP journal"</f>
        <v/>
      </c>
      <c r="T452" s="65">
        <f>IFERROR(INDEX(tbl_WIP[Revenue or Cost],$A452),"")</f>
        <v/>
      </c>
    </row>
    <row r="453">
      <c r="A453" s="63">
        <f>ROW()-407</f>
        <v/>
      </c>
      <c r="B453" s="64">
        <f>IFERROR(INDEX(tbl_WIP[Month],$A453),"")</f>
        <v/>
      </c>
      <c r="C453" s="65">
        <f>IFERROR(INDEX(tbl_WIP[Xero Invoice No],$A453),"")</f>
        <v/>
      </c>
      <c r="D453" s="65">
        <f>IFERROR(INDEX(tbl_WIP[Client],$A453),"")</f>
        <v/>
      </c>
      <c r="E453" s="65">
        <f>IFERROR(INDEX(tbl_WIP[Job Number],$A453),"")</f>
        <v/>
      </c>
      <c r="F453" s="65">
        <f>IFERROR(INDEX(tbl_WIP[Cost Centre],$A453),"")</f>
        <v/>
      </c>
      <c r="G453" s="66">
        <f>IFERROR(IF(INDEX(tbl_WIP[Defer Start],$A453)="","",IF(INDEX(tbl_WIP[Revenue or Cost],$A453)="Cost",-1,1)*INDEX(tbl_WIP[Amount],$A453)),"")</f>
        <v/>
      </c>
      <c r="H453" s="64">
        <f>IFERROR(INDEX(tbl_WIP[Defer Start],$A453),"")</f>
        <v/>
      </c>
      <c r="I453" s="64">
        <f>IFERROR(INDEX(tbl_WIP[Defer End],$A453),"")</f>
        <v/>
      </c>
      <c r="J453" s="63">
        <f>IF(OR($H453="",$I453="",$G453=""),"",MAX(1,(YEAR($I453)-YEAR($H453))*12+MONTH($I453)-MONTH($H453)+1))</f>
        <v/>
      </c>
      <c r="K453" s="66">
        <f>IF($J453="","",$G453/$J453)</f>
        <v/>
      </c>
      <c r="L453" s="66">
        <f>IF($J453="",0,$K453*MAX(0,MIN(YEAR($C$3)*12+MONTH($C$3),YEAR($I453)*12+MONTH($I453))-(YEAR($H453)*12+MONTH($H453))+1))</f>
        <v/>
      </c>
      <c r="M453" s="66">
        <f>IF($J453="",0,$K453*MAX(0,MIN(YEAR($C$3)*12+MONTH($C$3)-1,YEAR($I453)*12+MONTH($I453))-(YEAR($H453)*12+MONTH($H453))+1))</f>
        <v/>
      </c>
      <c r="N453" s="66">
        <f>IF(OR($J453="",$B453=""),0,IF(YEAR($B453)*12+MONTH($B453)&lt;=YEAR($C$3)*12+MONTH($C$3),$G453,0))</f>
        <v/>
      </c>
      <c r="O453" s="66">
        <f>IF(OR($J453="",$B453=""),0,IF(YEAR($B453)*12+MONTH($B453)&lt;=YEAR($C$3)*12+MONTH($C$3)-1,$G453,0))</f>
        <v/>
      </c>
      <c r="P453" s="66">
        <f>$M453-$O453</f>
        <v/>
      </c>
      <c r="Q453" s="66">
        <f>($L453-$M453)-($N453-$O453)</f>
        <v/>
      </c>
      <c r="R453" s="66">
        <f>$L453-$N453</f>
        <v/>
      </c>
      <c r="S453" s="65">
        <f>"WIP journal"</f>
        <v/>
      </c>
      <c r="T453" s="65">
        <f>IFERROR(INDEX(tbl_WIP[Revenue or Cost],$A453),"")</f>
        <v/>
      </c>
    </row>
    <row r="454">
      <c r="A454" s="63">
        <f>ROW()-407</f>
        <v/>
      </c>
      <c r="B454" s="64">
        <f>IFERROR(INDEX(tbl_WIP[Month],$A454),"")</f>
        <v/>
      </c>
      <c r="C454" s="65">
        <f>IFERROR(INDEX(tbl_WIP[Xero Invoice No],$A454),"")</f>
        <v/>
      </c>
      <c r="D454" s="65">
        <f>IFERROR(INDEX(tbl_WIP[Client],$A454),"")</f>
        <v/>
      </c>
      <c r="E454" s="65">
        <f>IFERROR(INDEX(tbl_WIP[Job Number],$A454),"")</f>
        <v/>
      </c>
      <c r="F454" s="65">
        <f>IFERROR(INDEX(tbl_WIP[Cost Centre],$A454),"")</f>
        <v/>
      </c>
      <c r="G454" s="66">
        <f>IFERROR(IF(INDEX(tbl_WIP[Defer Start],$A454)="","",IF(INDEX(tbl_WIP[Revenue or Cost],$A454)="Cost",-1,1)*INDEX(tbl_WIP[Amount],$A454)),"")</f>
        <v/>
      </c>
      <c r="H454" s="64">
        <f>IFERROR(INDEX(tbl_WIP[Defer Start],$A454),"")</f>
        <v/>
      </c>
      <c r="I454" s="64">
        <f>IFERROR(INDEX(tbl_WIP[Defer End],$A454),"")</f>
        <v/>
      </c>
      <c r="J454" s="63">
        <f>IF(OR($H454="",$I454="",$G454=""),"",MAX(1,(YEAR($I454)-YEAR($H454))*12+MONTH($I454)-MONTH($H454)+1))</f>
        <v/>
      </c>
      <c r="K454" s="66">
        <f>IF($J454="","",$G454/$J454)</f>
        <v/>
      </c>
      <c r="L454" s="66">
        <f>IF($J454="",0,$K454*MAX(0,MIN(YEAR($C$3)*12+MONTH($C$3),YEAR($I454)*12+MONTH($I454))-(YEAR($H454)*12+MONTH($H454))+1))</f>
        <v/>
      </c>
      <c r="M454" s="66">
        <f>IF($J454="",0,$K454*MAX(0,MIN(YEAR($C$3)*12+MONTH($C$3)-1,YEAR($I454)*12+MONTH($I454))-(YEAR($H454)*12+MONTH($H454))+1))</f>
        <v/>
      </c>
      <c r="N454" s="66">
        <f>IF(OR($J454="",$B454=""),0,IF(YEAR($B454)*12+MONTH($B454)&lt;=YEAR($C$3)*12+MONTH($C$3),$G454,0))</f>
        <v/>
      </c>
      <c r="O454" s="66">
        <f>IF(OR($J454="",$B454=""),0,IF(YEAR($B454)*12+MONTH($B454)&lt;=YEAR($C$3)*12+MONTH($C$3)-1,$G454,0))</f>
        <v/>
      </c>
      <c r="P454" s="66">
        <f>$M454-$O454</f>
        <v/>
      </c>
      <c r="Q454" s="66">
        <f>($L454-$M454)-($N454-$O454)</f>
        <v/>
      </c>
      <c r="R454" s="66">
        <f>$L454-$N454</f>
        <v/>
      </c>
      <c r="S454" s="65">
        <f>"WIP journal"</f>
        <v/>
      </c>
      <c r="T454" s="65">
        <f>IFERROR(INDEX(tbl_WIP[Revenue or Cost],$A454),"")</f>
        <v/>
      </c>
    </row>
    <row r="455">
      <c r="A455" s="63">
        <f>ROW()-407</f>
        <v/>
      </c>
      <c r="B455" s="64">
        <f>IFERROR(INDEX(tbl_WIP[Month],$A455),"")</f>
        <v/>
      </c>
      <c r="C455" s="65">
        <f>IFERROR(INDEX(tbl_WIP[Xero Invoice No],$A455),"")</f>
        <v/>
      </c>
      <c r="D455" s="65">
        <f>IFERROR(INDEX(tbl_WIP[Client],$A455),"")</f>
        <v/>
      </c>
      <c r="E455" s="65">
        <f>IFERROR(INDEX(tbl_WIP[Job Number],$A455),"")</f>
        <v/>
      </c>
      <c r="F455" s="65">
        <f>IFERROR(INDEX(tbl_WIP[Cost Centre],$A455),"")</f>
        <v/>
      </c>
      <c r="G455" s="66">
        <f>IFERROR(IF(INDEX(tbl_WIP[Defer Start],$A455)="","",IF(INDEX(tbl_WIP[Revenue or Cost],$A455)="Cost",-1,1)*INDEX(tbl_WIP[Amount],$A455)),"")</f>
        <v/>
      </c>
      <c r="H455" s="64">
        <f>IFERROR(INDEX(tbl_WIP[Defer Start],$A455),"")</f>
        <v/>
      </c>
      <c r="I455" s="64">
        <f>IFERROR(INDEX(tbl_WIP[Defer End],$A455),"")</f>
        <v/>
      </c>
      <c r="J455" s="63">
        <f>IF(OR($H455="",$I455="",$G455=""),"",MAX(1,(YEAR($I455)-YEAR($H455))*12+MONTH($I455)-MONTH($H455)+1))</f>
        <v/>
      </c>
      <c r="K455" s="66">
        <f>IF($J455="","",$G455/$J455)</f>
        <v/>
      </c>
      <c r="L455" s="66">
        <f>IF($J455="",0,$K455*MAX(0,MIN(YEAR($C$3)*12+MONTH($C$3),YEAR($I455)*12+MONTH($I455))-(YEAR($H455)*12+MONTH($H455))+1))</f>
        <v/>
      </c>
      <c r="M455" s="66">
        <f>IF($J455="",0,$K455*MAX(0,MIN(YEAR($C$3)*12+MONTH($C$3)-1,YEAR($I455)*12+MONTH($I455))-(YEAR($H455)*12+MONTH($H455))+1))</f>
        <v/>
      </c>
      <c r="N455" s="66">
        <f>IF(OR($J455="",$B455=""),0,IF(YEAR($B455)*12+MONTH($B455)&lt;=YEAR($C$3)*12+MONTH($C$3),$G455,0))</f>
        <v/>
      </c>
      <c r="O455" s="66">
        <f>IF(OR($J455="",$B455=""),0,IF(YEAR($B455)*12+MONTH($B455)&lt;=YEAR($C$3)*12+MONTH($C$3)-1,$G455,0))</f>
        <v/>
      </c>
      <c r="P455" s="66">
        <f>$M455-$O455</f>
        <v/>
      </c>
      <c r="Q455" s="66">
        <f>($L455-$M455)-($N455-$O455)</f>
        <v/>
      </c>
      <c r="R455" s="66">
        <f>$L455-$N455</f>
        <v/>
      </c>
      <c r="S455" s="65">
        <f>"WIP journal"</f>
        <v/>
      </c>
      <c r="T455" s="65">
        <f>IFERROR(INDEX(tbl_WIP[Revenue or Cost],$A455),"")</f>
        <v/>
      </c>
    </row>
    <row r="456">
      <c r="A456" s="63">
        <f>ROW()-407</f>
        <v/>
      </c>
      <c r="B456" s="64">
        <f>IFERROR(INDEX(tbl_WIP[Month],$A456),"")</f>
        <v/>
      </c>
      <c r="C456" s="65">
        <f>IFERROR(INDEX(tbl_WIP[Xero Invoice No],$A456),"")</f>
        <v/>
      </c>
      <c r="D456" s="65">
        <f>IFERROR(INDEX(tbl_WIP[Client],$A456),"")</f>
        <v/>
      </c>
      <c r="E456" s="65">
        <f>IFERROR(INDEX(tbl_WIP[Job Number],$A456),"")</f>
        <v/>
      </c>
      <c r="F456" s="65">
        <f>IFERROR(INDEX(tbl_WIP[Cost Centre],$A456),"")</f>
        <v/>
      </c>
      <c r="G456" s="66">
        <f>IFERROR(IF(INDEX(tbl_WIP[Defer Start],$A456)="","",IF(INDEX(tbl_WIP[Revenue or Cost],$A456)="Cost",-1,1)*INDEX(tbl_WIP[Amount],$A456)),"")</f>
        <v/>
      </c>
      <c r="H456" s="64">
        <f>IFERROR(INDEX(tbl_WIP[Defer Start],$A456),"")</f>
        <v/>
      </c>
      <c r="I456" s="64">
        <f>IFERROR(INDEX(tbl_WIP[Defer End],$A456),"")</f>
        <v/>
      </c>
      <c r="J456" s="63">
        <f>IF(OR($H456="",$I456="",$G456=""),"",MAX(1,(YEAR($I456)-YEAR($H456))*12+MONTH($I456)-MONTH($H456)+1))</f>
        <v/>
      </c>
      <c r="K456" s="66">
        <f>IF($J456="","",$G456/$J456)</f>
        <v/>
      </c>
      <c r="L456" s="66">
        <f>IF($J456="",0,$K456*MAX(0,MIN(YEAR($C$3)*12+MONTH($C$3),YEAR($I456)*12+MONTH($I456))-(YEAR($H456)*12+MONTH($H456))+1))</f>
        <v/>
      </c>
      <c r="M456" s="66">
        <f>IF($J456="",0,$K456*MAX(0,MIN(YEAR($C$3)*12+MONTH($C$3)-1,YEAR($I456)*12+MONTH($I456))-(YEAR($H456)*12+MONTH($H456))+1))</f>
        <v/>
      </c>
      <c r="N456" s="66">
        <f>IF(OR($J456="",$B456=""),0,IF(YEAR($B456)*12+MONTH($B456)&lt;=YEAR($C$3)*12+MONTH($C$3),$G456,0))</f>
        <v/>
      </c>
      <c r="O456" s="66">
        <f>IF(OR($J456="",$B456=""),0,IF(YEAR($B456)*12+MONTH($B456)&lt;=YEAR($C$3)*12+MONTH($C$3)-1,$G456,0))</f>
        <v/>
      </c>
      <c r="P456" s="66">
        <f>$M456-$O456</f>
        <v/>
      </c>
      <c r="Q456" s="66">
        <f>($L456-$M456)-($N456-$O456)</f>
        <v/>
      </c>
      <c r="R456" s="66">
        <f>$L456-$N456</f>
        <v/>
      </c>
      <c r="S456" s="65">
        <f>"WIP journal"</f>
        <v/>
      </c>
      <c r="T456" s="65">
        <f>IFERROR(INDEX(tbl_WIP[Revenue or Cost],$A456),"")</f>
        <v/>
      </c>
    </row>
    <row r="457">
      <c r="A457" s="63">
        <f>ROW()-407</f>
        <v/>
      </c>
      <c r="B457" s="64">
        <f>IFERROR(INDEX(tbl_WIP[Month],$A457),"")</f>
        <v/>
      </c>
      <c r="C457" s="65">
        <f>IFERROR(INDEX(tbl_WIP[Xero Invoice No],$A457),"")</f>
        <v/>
      </c>
      <c r="D457" s="65">
        <f>IFERROR(INDEX(tbl_WIP[Client],$A457),"")</f>
        <v/>
      </c>
      <c r="E457" s="65">
        <f>IFERROR(INDEX(tbl_WIP[Job Number],$A457),"")</f>
        <v/>
      </c>
      <c r="F457" s="65">
        <f>IFERROR(INDEX(tbl_WIP[Cost Centre],$A457),"")</f>
        <v/>
      </c>
      <c r="G457" s="66">
        <f>IFERROR(IF(INDEX(tbl_WIP[Defer Start],$A457)="","",IF(INDEX(tbl_WIP[Revenue or Cost],$A457)="Cost",-1,1)*INDEX(tbl_WIP[Amount],$A457)),"")</f>
        <v/>
      </c>
      <c r="H457" s="64">
        <f>IFERROR(INDEX(tbl_WIP[Defer Start],$A457),"")</f>
        <v/>
      </c>
      <c r="I457" s="64">
        <f>IFERROR(INDEX(tbl_WIP[Defer End],$A457),"")</f>
        <v/>
      </c>
      <c r="J457" s="63">
        <f>IF(OR($H457="",$I457="",$G457=""),"",MAX(1,(YEAR($I457)-YEAR($H457))*12+MONTH($I457)-MONTH($H457)+1))</f>
        <v/>
      </c>
      <c r="K457" s="66">
        <f>IF($J457="","",$G457/$J457)</f>
        <v/>
      </c>
      <c r="L457" s="66">
        <f>IF($J457="",0,$K457*MAX(0,MIN(YEAR($C$3)*12+MONTH($C$3),YEAR($I457)*12+MONTH($I457))-(YEAR($H457)*12+MONTH($H457))+1))</f>
        <v/>
      </c>
      <c r="M457" s="66">
        <f>IF($J457="",0,$K457*MAX(0,MIN(YEAR($C$3)*12+MONTH($C$3)-1,YEAR($I457)*12+MONTH($I457))-(YEAR($H457)*12+MONTH($H457))+1))</f>
        <v/>
      </c>
      <c r="N457" s="66">
        <f>IF(OR($J457="",$B457=""),0,IF(YEAR($B457)*12+MONTH($B457)&lt;=YEAR($C$3)*12+MONTH($C$3),$G457,0))</f>
        <v/>
      </c>
      <c r="O457" s="66">
        <f>IF(OR($J457="",$B457=""),0,IF(YEAR($B457)*12+MONTH($B457)&lt;=YEAR($C$3)*12+MONTH($C$3)-1,$G457,0))</f>
        <v/>
      </c>
      <c r="P457" s="66">
        <f>$M457-$O457</f>
        <v/>
      </c>
      <c r="Q457" s="66">
        <f>($L457-$M457)-($N457-$O457)</f>
        <v/>
      </c>
      <c r="R457" s="66">
        <f>$L457-$N457</f>
        <v/>
      </c>
      <c r="S457" s="65">
        <f>"WIP journal"</f>
        <v/>
      </c>
      <c r="T457" s="65">
        <f>IFERROR(INDEX(tbl_WIP[Revenue or Cost],$A457),"")</f>
        <v/>
      </c>
    </row>
    <row r="458">
      <c r="A458" s="63">
        <f>ROW()-407</f>
        <v/>
      </c>
      <c r="B458" s="64">
        <f>IFERROR(INDEX(tbl_WIP[Month],$A458),"")</f>
        <v/>
      </c>
      <c r="C458" s="65">
        <f>IFERROR(INDEX(tbl_WIP[Xero Invoice No],$A458),"")</f>
        <v/>
      </c>
      <c r="D458" s="65">
        <f>IFERROR(INDEX(tbl_WIP[Client],$A458),"")</f>
        <v/>
      </c>
      <c r="E458" s="65">
        <f>IFERROR(INDEX(tbl_WIP[Job Number],$A458),"")</f>
        <v/>
      </c>
      <c r="F458" s="65">
        <f>IFERROR(INDEX(tbl_WIP[Cost Centre],$A458),"")</f>
        <v/>
      </c>
      <c r="G458" s="66">
        <f>IFERROR(IF(INDEX(tbl_WIP[Defer Start],$A458)="","",IF(INDEX(tbl_WIP[Revenue or Cost],$A458)="Cost",-1,1)*INDEX(tbl_WIP[Amount],$A458)),"")</f>
        <v/>
      </c>
      <c r="H458" s="64">
        <f>IFERROR(INDEX(tbl_WIP[Defer Start],$A458),"")</f>
        <v/>
      </c>
      <c r="I458" s="64">
        <f>IFERROR(INDEX(tbl_WIP[Defer End],$A458),"")</f>
        <v/>
      </c>
      <c r="J458" s="63">
        <f>IF(OR($H458="",$I458="",$G458=""),"",MAX(1,(YEAR($I458)-YEAR($H458))*12+MONTH($I458)-MONTH($H458)+1))</f>
        <v/>
      </c>
      <c r="K458" s="66">
        <f>IF($J458="","",$G458/$J458)</f>
        <v/>
      </c>
      <c r="L458" s="66">
        <f>IF($J458="",0,$K458*MAX(0,MIN(YEAR($C$3)*12+MONTH($C$3),YEAR($I458)*12+MONTH($I458))-(YEAR($H458)*12+MONTH($H458))+1))</f>
        <v/>
      </c>
      <c r="M458" s="66">
        <f>IF($J458="",0,$K458*MAX(0,MIN(YEAR($C$3)*12+MONTH($C$3)-1,YEAR($I458)*12+MONTH($I458))-(YEAR($H458)*12+MONTH($H458))+1))</f>
        <v/>
      </c>
      <c r="N458" s="66">
        <f>IF(OR($J458="",$B458=""),0,IF(YEAR($B458)*12+MONTH($B458)&lt;=YEAR($C$3)*12+MONTH($C$3),$G458,0))</f>
        <v/>
      </c>
      <c r="O458" s="66">
        <f>IF(OR($J458="",$B458=""),0,IF(YEAR($B458)*12+MONTH($B458)&lt;=YEAR($C$3)*12+MONTH($C$3)-1,$G458,0))</f>
        <v/>
      </c>
      <c r="P458" s="66">
        <f>$M458-$O458</f>
        <v/>
      </c>
      <c r="Q458" s="66">
        <f>($L458-$M458)-($N458-$O458)</f>
        <v/>
      </c>
      <c r="R458" s="66">
        <f>$L458-$N458</f>
        <v/>
      </c>
      <c r="S458" s="65">
        <f>"WIP journal"</f>
        <v/>
      </c>
      <c r="T458" s="65">
        <f>IFERROR(INDEX(tbl_WIP[Revenue or Cost],$A458),"")</f>
        <v/>
      </c>
    </row>
    <row r="459">
      <c r="A459" s="63">
        <f>ROW()-407</f>
        <v/>
      </c>
      <c r="B459" s="64">
        <f>IFERROR(INDEX(tbl_WIP[Month],$A459),"")</f>
        <v/>
      </c>
      <c r="C459" s="65">
        <f>IFERROR(INDEX(tbl_WIP[Xero Invoice No],$A459),"")</f>
        <v/>
      </c>
      <c r="D459" s="65">
        <f>IFERROR(INDEX(tbl_WIP[Client],$A459),"")</f>
        <v/>
      </c>
      <c r="E459" s="65">
        <f>IFERROR(INDEX(tbl_WIP[Job Number],$A459),"")</f>
        <v/>
      </c>
      <c r="F459" s="65">
        <f>IFERROR(INDEX(tbl_WIP[Cost Centre],$A459),"")</f>
        <v/>
      </c>
      <c r="G459" s="66">
        <f>IFERROR(IF(INDEX(tbl_WIP[Defer Start],$A459)="","",IF(INDEX(tbl_WIP[Revenue or Cost],$A459)="Cost",-1,1)*INDEX(tbl_WIP[Amount],$A459)),"")</f>
        <v/>
      </c>
      <c r="H459" s="64">
        <f>IFERROR(INDEX(tbl_WIP[Defer Start],$A459),"")</f>
        <v/>
      </c>
      <c r="I459" s="64">
        <f>IFERROR(INDEX(tbl_WIP[Defer End],$A459),"")</f>
        <v/>
      </c>
      <c r="J459" s="63">
        <f>IF(OR($H459="",$I459="",$G459=""),"",MAX(1,(YEAR($I459)-YEAR($H459))*12+MONTH($I459)-MONTH($H459)+1))</f>
        <v/>
      </c>
      <c r="K459" s="66">
        <f>IF($J459="","",$G459/$J459)</f>
        <v/>
      </c>
      <c r="L459" s="66">
        <f>IF($J459="",0,$K459*MAX(0,MIN(YEAR($C$3)*12+MONTH($C$3),YEAR($I459)*12+MONTH($I459))-(YEAR($H459)*12+MONTH($H459))+1))</f>
        <v/>
      </c>
      <c r="M459" s="66">
        <f>IF($J459="",0,$K459*MAX(0,MIN(YEAR($C$3)*12+MONTH($C$3)-1,YEAR($I459)*12+MONTH($I459))-(YEAR($H459)*12+MONTH($H459))+1))</f>
        <v/>
      </c>
      <c r="N459" s="66">
        <f>IF(OR($J459="",$B459=""),0,IF(YEAR($B459)*12+MONTH($B459)&lt;=YEAR($C$3)*12+MONTH($C$3),$G459,0))</f>
        <v/>
      </c>
      <c r="O459" s="66">
        <f>IF(OR($J459="",$B459=""),0,IF(YEAR($B459)*12+MONTH($B459)&lt;=YEAR($C$3)*12+MONTH($C$3)-1,$G459,0))</f>
        <v/>
      </c>
      <c r="P459" s="66">
        <f>$M459-$O459</f>
        <v/>
      </c>
      <c r="Q459" s="66">
        <f>($L459-$M459)-($N459-$O459)</f>
        <v/>
      </c>
      <c r="R459" s="66">
        <f>$L459-$N459</f>
        <v/>
      </c>
      <c r="S459" s="65">
        <f>"WIP journal"</f>
        <v/>
      </c>
      <c r="T459" s="65">
        <f>IFERROR(INDEX(tbl_WIP[Revenue or Cost],$A459),"")</f>
        <v/>
      </c>
    </row>
    <row r="460">
      <c r="A460" s="63">
        <f>ROW()-407</f>
        <v/>
      </c>
      <c r="B460" s="64">
        <f>IFERROR(INDEX(tbl_WIP[Month],$A460),"")</f>
        <v/>
      </c>
      <c r="C460" s="65">
        <f>IFERROR(INDEX(tbl_WIP[Xero Invoice No],$A460),"")</f>
        <v/>
      </c>
      <c r="D460" s="65">
        <f>IFERROR(INDEX(tbl_WIP[Client],$A460),"")</f>
        <v/>
      </c>
      <c r="E460" s="65">
        <f>IFERROR(INDEX(tbl_WIP[Job Number],$A460),"")</f>
        <v/>
      </c>
      <c r="F460" s="65">
        <f>IFERROR(INDEX(tbl_WIP[Cost Centre],$A460),"")</f>
        <v/>
      </c>
      <c r="G460" s="66">
        <f>IFERROR(IF(INDEX(tbl_WIP[Defer Start],$A460)="","",IF(INDEX(tbl_WIP[Revenue or Cost],$A460)="Cost",-1,1)*INDEX(tbl_WIP[Amount],$A460)),"")</f>
        <v/>
      </c>
      <c r="H460" s="64">
        <f>IFERROR(INDEX(tbl_WIP[Defer Start],$A460),"")</f>
        <v/>
      </c>
      <c r="I460" s="64">
        <f>IFERROR(INDEX(tbl_WIP[Defer End],$A460),"")</f>
        <v/>
      </c>
      <c r="J460" s="63">
        <f>IF(OR($H460="",$I460="",$G460=""),"",MAX(1,(YEAR($I460)-YEAR($H460))*12+MONTH($I460)-MONTH($H460)+1))</f>
        <v/>
      </c>
      <c r="K460" s="66">
        <f>IF($J460="","",$G460/$J460)</f>
        <v/>
      </c>
      <c r="L460" s="66">
        <f>IF($J460="",0,$K460*MAX(0,MIN(YEAR($C$3)*12+MONTH($C$3),YEAR($I460)*12+MONTH($I460))-(YEAR($H460)*12+MONTH($H460))+1))</f>
        <v/>
      </c>
      <c r="M460" s="66">
        <f>IF($J460="",0,$K460*MAX(0,MIN(YEAR($C$3)*12+MONTH($C$3)-1,YEAR($I460)*12+MONTH($I460))-(YEAR($H460)*12+MONTH($H460))+1))</f>
        <v/>
      </c>
      <c r="N460" s="66">
        <f>IF(OR($J460="",$B460=""),0,IF(YEAR($B460)*12+MONTH($B460)&lt;=YEAR($C$3)*12+MONTH($C$3),$G460,0))</f>
        <v/>
      </c>
      <c r="O460" s="66">
        <f>IF(OR($J460="",$B460=""),0,IF(YEAR($B460)*12+MONTH($B460)&lt;=YEAR($C$3)*12+MONTH($C$3)-1,$G460,0))</f>
        <v/>
      </c>
      <c r="P460" s="66">
        <f>$M460-$O460</f>
        <v/>
      </c>
      <c r="Q460" s="66">
        <f>($L460-$M460)-($N460-$O460)</f>
        <v/>
      </c>
      <c r="R460" s="66">
        <f>$L460-$N460</f>
        <v/>
      </c>
      <c r="S460" s="65">
        <f>"WIP journal"</f>
        <v/>
      </c>
      <c r="T460" s="65">
        <f>IFERROR(INDEX(tbl_WIP[Revenue or Cost],$A460),"")</f>
        <v/>
      </c>
    </row>
    <row r="461">
      <c r="A461" s="63">
        <f>ROW()-407</f>
        <v/>
      </c>
      <c r="B461" s="64">
        <f>IFERROR(INDEX(tbl_WIP[Month],$A461),"")</f>
        <v/>
      </c>
      <c r="C461" s="65">
        <f>IFERROR(INDEX(tbl_WIP[Xero Invoice No],$A461),"")</f>
        <v/>
      </c>
      <c r="D461" s="65">
        <f>IFERROR(INDEX(tbl_WIP[Client],$A461),"")</f>
        <v/>
      </c>
      <c r="E461" s="65">
        <f>IFERROR(INDEX(tbl_WIP[Job Number],$A461),"")</f>
        <v/>
      </c>
      <c r="F461" s="65">
        <f>IFERROR(INDEX(tbl_WIP[Cost Centre],$A461),"")</f>
        <v/>
      </c>
      <c r="G461" s="66">
        <f>IFERROR(IF(INDEX(tbl_WIP[Defer Start],$A461)="","",IF(INDEX(tbl_WIP[Revenue or Cost],$A461)="Cost",-1,1)*INDEX(tbl_WIP[Amount],$A461)),"")</f>
        <v/>
      </c>
      <c r="H461" s="64">
        <f>IFERROR(INDEX(tbl_WIP[Defer Start],$A461),"")</f>
        <v/>
      </c>
      <c r="I461" s="64">
        <f>IFERROR(INDEX(tbl_WIP[Defer End],$A461),"")</f>
        <v/>
      </c>
      <c r="J461" s="63">
        <f>IF(OR($H461="",$I461="",$G461=""),"",MAX(1,(YEAR($I461)-YEAR($H461))*12+MONTH($I461)-MONTH($H461)+1))</f>
        <v/>
      </c>
      <c r="K461" s="66">
        <f>IF($J461="","",$G461/$J461)</f>
        <v/>
      </c>
      <c r="L461" s="66">
        <f>IF($J461="",0,$K461*MAX(0,MIN(YEAR($C$3)*12+MONTH($C$3),YEAR($I461)*12+MONTH($I461))-(YEAR($H461)*12+MONTH($H461))+1))</f>
        <v/>
      </c>
      <c r="M461" s="66">
        <f>IF($J461="",0,$K461*MAX(0,MIN(YEAR($C$3)*12+MONTH($C$3)-1,YEAR($I461)*12+MONTH($I461))-(YEAR($H461)*12+MONTH($H461))+1))</f>
        <v/>
      </c>
      <c r="N461" s="66">
        <f>IF(OR($J461="",$B461=""),0,IF(YEAR($B461)*12+MONTH($B461)&lt;=YEAR($C$3)*12+MONTH($C$3),$G461,0))</f>
        <v/>
      </c>
      <c r="O461" s="66">
        <f>IF(OR($J461="",$B461=""),0,IF(YEAR($B461)*12+MONTH($B461)&lt;=YEAR($C$3)*12+MONTH($C$3)-1,$G461,0))</f>
        <v/>
      </c>
      <c r="P461" s="66">
        <f>$M461-$O461</f>
        <v/>
      </c>
      <c r="Q461" s="66">
        <f>($L461-$M461)-($N461-$O461)</f>
        <v/>
      </c>
      <c r="R461" s="66">
        <f>$L461-$N461</f>
        <v/>
      </c>
      <c r="S461" s="65">
        <f>"WIP journal"</f>
        <v/>
      </c>
      <c r="T461" s="65">
        <f>IFERROR(INDEX(tbl_WIP[Revenue or Cost],$A461),"")</f>
        <v/>
      </c>
    </row>
    <row r="462">
      <c r="A462" s="63">
        <f>ROW()-407</f>
        <v/>
      </c>
      <c r="B462" s="64">
        <f>IFERROR(INDEX(tbl_WIP[Month],$A462),"")</f>
        <v/>
      </c>
      <c r="C462" s="65">
        <f>IFERROR(INDEX(tbl_WIP[Xero Invoice No],$A462),"")</f>
        <v/>
      </c>
      <c r="D462" s="65">
        <f>IFERROR(INDEX(tbl_WIP[Client],$A462),"")</f>
        <v/>
      </c>
      <c r="E462" s="65">
        <f>IFERROR(INDEX(tbl_WIP[Job Number],$A462),"")</f>
        <v/>
      </c>
      <c r="F462" s="65">
        <f>IFERROR(INDEX(tbl_WIP[Cost Centre],$A462),"")</f>
        <v/>
      </c>
      <c r="G462" s="66">
        <f>IFERROR(IF(INDEX(tbl_WIP[Defer Start],$A462)="","",IF(INDEX(tbl_WIP[Revenue or Cost],$A462)="Cost",-1,1)*INDEX(tbl_WIP[Amount],$A462)),"")</f>
        <v/>
      </c>
      <c r="H462" s="64">
        <f>IFERROR(INDEX(tbl_WIP[Defer Start],$A462),"")</f>
        <v/>
      </c>
      <c r="I462" s="64">
        <f>IFERROR(INDEX(tbl_WIP[Defer End],$A462),"")</f>
        <v/>
      </c>
      <c r="J462" s="63">
        <f>IF(OR($H462="",$I462="",$G462=""),"",MAX(1,(YEAR($I462)-YEAR($H462))*12+MONTH($I462)-MONTH($H462)+1))</f>
        <v/>
      </c>
      <c r="K462" s="66">
        <f>IF($J462="","",$G462/$J462)</f>
        <v/>
      </c>
      <c r="L462" s="66">
        <f>IF($J462="",0,$K462*MAX(0,MIN(YEAR($C$3)*12+MONTH($C$3),YEAR($I462)*12+MONTH($I462))-(YEAR($H462)*12+MONTH($H462))+1))</f>
        <v/>
      </c>
      <c r="M462" s="66">
        <f>IF($J462="",0,$K462*MAX(0,MIN(YEAR($C$3)*12+MONTH($C$3)-1,YEAR($I462)*12+MONTH($I462))-(YEAR($H462)*12+MONTH($H462))+1))</f>
        <v/>
      </c>
      <c r="N462" s="66">
        <f>IF(OR($J462="",$B462=""),0,IF(YEAR($B462)*12+MONTH($B462)&lt;=YEAR($C$3)*12+MONTH($C$3),$G462,0))</f>
        <v/>
      </c>
      <c r="O462" s="66">
        <f>IF(OR($J462="",$B462=""),0,IF(YEAR($B462)*12+MONTH($B462)&lt;=YEAR($C$3)*12+MONTH($C$3)-1,$G462,0))</f>
        <v/>
      </c>
      <c r="P462" s="66">
        <f>$M462-$O462</f>
        <v/>
      </c>
      <c r="Q462" s="66">
        <f>($L462-$M462)-($N462-$O462)</f>
        <v/>
      </c>
      <c r="R462" s="66">
        <f>$L462-$N462</f>
        <v/>
      </c>
      <c r="S462" s="65">
        <f>"WIP journal"</f>
        <v/>
      </c>
      <c r="T462" s="65">
        <f>IFERROR(INDEX(tbl_WIP[Revenue or Cost],$A462),"")</f>
        <v/>
      </c>
    </row>
    <row r="463">
      <c r="A463" s="63">
        <f>ROW()-407</f>
        <v/>
      </c>
      <c r="B463" s="64">
        <f>IFERROR(INDEX(tbl_WIP[Month],$A463),"")</f>
        <v/>
      </c>
      <c r="C463" s="65">
        <f>IFERROR(INDEX(tbl_WIP[Xero Invoice No],$A463),"")</f>
        <v/>
      </c>
      <c r="D463" s="65">
        <f>IFERROR(INDEX(tbl_WIP[Client],$A463),"")</f>
        <v/>
      </c>
      <c r="E463" s="65">
        <f>IFERROR(INDEX(tbl_WIP[Job Number],$A463),"")</f>
        <v/>
      </c>
      <c r="F463" s="65">
        <f>IFERROR(INDEX(tbl_WIP[Cost Centre],$A463),"")</f>
        <v/>
      </c>
      <c r="G463" s="66">
        <f>IFERROR(IF(INDEX(tbl_WIP[Defer Start],$A463)="","",IF(INDEX(tbl_WIP[Revenue or Cost],$A463)="Cost",-1,1)*INDEX(tbl_WIP[Amount],$A463)),"")</f>
        <v/>
      </c>
      <c r="H463" s="64">
        <f>IFERROR(INDEX(tbl_WIP[Defer Start],$A463),"")</f>
        <v/>
      </c>
      <c r="I463" s="64">
        <f>IFERROR(INDEX(tbl_WIP[Defer End],$A463),"")</f>
        <v/>
      </c>
      <c r="J463" s="63">
        <f>IF(OR($H463="",$I463="",$G463=""),"",MAX(1,(YEAR($I463)-YEAR($H463))*12+MONTH($I463)-MONTH($H463)+1))</f>
        <v/>
      </c>
      <c r="K463" s="66">
        <f>IF($J463="","",$G463/$J463)</f>
        <v/>
      </c>
      <c r="L463" s="66">
        <f>IF($J463="",0,$K463*MAX(0,MIN(YEAR($C$3)*12+MONTH($C$3),YEAR($I463)*12+MONTH($I463))-(YEAR($H463)*12+MONTH($H463))+1))</f>
        <v/>
      </c>
      <c r="M463" s="66">
        <f>IF($J463="",0,$K463*MAX(0,MIN(YEAR($C$3)*12+MONTH($C$3)-1,YEAR($I463)*12+MONTH($I463))-(YEAR($H463)*12+MONTH($H463))+1))</f>
        <v/>
      </c>
      <c r="N463" s="66">
        <f>IF(OR($J463="",$B463=""),0,IF(YEAR($B463)*12+MONTH($B463)&lt;=YEAR($C$3)*12+MONTH($C$3),$G463,0))</f>
        <v/>
      </c>
      <c r="O463" s="66">
        <f>IF(OR($J463="",$B463=""),0,IF(YEAR($B463)*12+MONTH($B463)&lt;=YEAR($C$3)*12+MONTH($C$3)-1,$G463,0))</f>
        <v/>
      </c>
      <c r="P463" s="66">
        <f>$M463-$O463</f>
        <v/>
      </c>
      <c r="Q463" s="66">
        <f>($L463-$M463)-($N463-$O463)</f>
        <v/>
      </c>
      <c r="R463" s="66">
        <f>$L463-$N463</f>
        <v/>
      </c>
      <c r="S463" s="65">
        <f>"WIP journal"</f>
        <v/>
      </c>
      <c r="T463" s="65">
        <f>IFERROR(INDEX(tbl_WIP[Revenue or Cost],$A463),"")</f>
        <v/>
      </c>
    </row>
    <row r="464">
      <c r="A464" s="63">
        <f>ROW()-407</f>
        <v/>
      </c>
      <c r="B464" s="64">
        <f>IFERROR(INDEX(tbl_WIP[Month],$A464),"")</f>
        <v/>
      </c>
      <c r="C464" s="65">
        <f>IFERROR(INDEX(tbl_WIP[Xero Invoice No],$A464),"")</f>
        <v/>
      </c>
      <c r="D464" s="65">
        <f>IFERROR(INDEX(tbl_WIP[Client],$A464),"")</f>
        <v/>
      </c>
      <c r="E464" s="65">
        <f>IFERROR(INDEX(tbl_WIP[Job Number],$A464),"")</f>
        <v/>
      </c>
      <c r="F464" s="65">
        <f>IFERROR(INDEX(tbl_WIP[Cost Centre],$A464),"")</f>
        <v/>
      </c>
      <c r="G464" s="66">
        <f>IFERROR(IF(INDEX(tbl_WIP[Defer Start],$A464)="","",IF(INDEX(tbl_WIP[Revenue or Cost],$A464)="Cost",-1,1)*INDEX(tbl_WIP[Amount],$A464)),"")</f>
        <v/>
      </c>
      <c r="H464" s="64">
        <f>IFERROR(INDEX(tbl_WIP[Defer Start],$A464),"")</f>
        <v/>
      </c>
      <c r="I464" s="64">
        <f>IFERROR(INDEX(tbl_WIP[Defer End],$A464),"")</f>
        <v/>
      </c>
      <c r="J464" s="63">
        <f>IF(OR($H464="",$I464="",$G464=""),"",MAX(1,(YEAR($I464)-YEAR($H464))*12+MONTH($I464)-MONTH($H464)+1))</f>
        <v/>
      </c>
      <c r="K464" s="66">
        <f>IF($J464="","",$G464/$J464)</f>
        <v/>
      </c>
      <c r="L464" s="66">
        <f>IF($J464="",0,$K464*MAX(0,MIN(YEAR($C$3)*12+MONTH($C$3),YEAR($I464)*12+MONTH($I464))-(YEAR($H464)*12+MONTH($H464))+1))</f>
        <v/>
      </c>
      <c r="M464" s="66">
        <f>IF($J464="",0,$K464*MAX(0,MIN(YEAR($C$3)*12+MONTH($C$3)-1,YEAR($I464)*12+MONTH($I464))-(YEAR($H464)*12+MONTH($H464))+1))</f>
        <v/>
      </c>
      <c r="N464" s="66">
        <f>IF(OR($J464="",$B464=""),0,IF(YEAR($B464)*12+MONTH($B464)&lt;=YEAR($C$3)*12+MONTH($C$3),$G464,0))</f>
        <v/>
      </c>
      <c r="O464" s="66">
        <f>IF(OR($J464="",$B464=""),0,IF(YEAR($B464)*12+MONTH($B464)&lt;=YEAR($C$3)*12+MONTH($C$3)-1,$G464,0))</f>
        <v/>
      </c>
      <c r="P464" s="66">
        <f>$M464-$O464</f>
        <v/>
      </c>
      <c r="Q464" s="66">
        <f>($L464-$M464)-($N464-$O464)</f>
        <v/>
      </c>
      <c r="R464" s="66">
        <f>$L464-$N464</f>
        <v/>
      </c>
      <c r="S464" s="65">
        <f>"WIP journal"</f>
        <v/>
      </c>
      <c r="T464" s="65">
        <f>IFERROR(INDEX(tbl_WIP[Revenue or Cost],$A464),"")</f>
        <v/>
      </c>
    </row>
    <row r="465">
      <c r="A465" s="63">
        <f>ROW()-407</f>
        <v/>
      </c>
      <c r="B465" s="64">
        <f>IFERROR(INDEX(tbl_WIP[Month],$A465),"")</f>
        <v/>
      </c>
      <c r="C465" s="65">
        <f>IFERROR(INDEX(tbl_WIP[Xero Invoice No],$A465),"")</f>
        <v/>
      </c>
      <c r="D465" s="65">
        <f>IFERROR(INDEX(tbl_WIP[Client],$A465),"")</f>
        <v/>
      </c>
      <c r="E465" s="65">
        <f>IFERROR(INDEX(tbl_WIP[Job Number],$A465),"")</f>
        <v/>
      </c>
      <c r="F465" s="65">
        <f>IFERROR(INDEX(tbl_WIP[Cost Centre],$A465),"")</f>
        <v/>
      </c>
      <c r="G465" s="66">
        <f>IFERROR(IF(INDEX(tbl_WIP[Defer Start],$A465)="","",IF(INDEX(tbl_WIP[Revenue or Cost],$A465)="Cost",-1,1)*INDEX(tbl_WIP[Amount],$A465)),"")</f>
        <v/>
      </c>
      <c r="H465" s="64">
        <f>IFERROR(INDEX(tbl_WIP[Defer Start],$A465),"")</f>
        <v/>
      </c>
      <c r="I465" s="64">
        <f>IFERROR(INDEX(tbl_WIP[Defer End],$A465),"")</f>
        <v/>
      </c>
      <c r="J465" s="63">
        <f>IF(OR($H465="",$I465="",$G465=""),"",MAX(1,(YEAR($I465)-YEAR($H465))*12+MONTH($I465)-MONTH($H465)+1))</f>
        <v/>
      </c>
      <c r="K465" s="66">
        <f>IF($J465="","",$G465/$J465)</f>
        <v/>
      </c>
      <c r="L465" s="66">
        <f>IF($J465="",0,$K465*MAX(0,MIN(YEAR($C$3)*12+MONTH($C$3),YEAR($I465)*12+MONTH($I465))-(YEAR($H465)*12+MONTH($H465))+1))</f>
        <v/>
      </c>
      <c r="M465" s="66">
        <f>IF($J465="",0,$K465*MAX(0,MIN(YEAR($C$3)*12+MONTH($C$3)-1,YEAR($I465)*12+MONTH($I465))-(YEAR($H465)*12+MONTH($H465))+1))</f>
        <v/>
      </c>
      <c r="N465" s="66">
        <f>IF(OR($J465="",$B465=""),0,IF(YEAR($B465)*12+MONTH($B465)&lt;=YEAR($C$3)*12+MONTH($C$3),$G465,0))</f>
        <v/>
      </c>
      <c r="O465" s="66">
        <f>IF(OR($J465="",$B465=""),0,IF(YEAR($B465)*12+MONTH($B465)&lt;=YEAR($C$3)*12+MONTH($C$3)-1,$G465,0))</f>
        <v/>
      </c>
      <c r="P465" s="66">
        <f>$M465-$O465</f>
        <v/>
      </c>
      <c r="Q465" s="66">
        <f>($L465-$M465)-($N465-$O465)</f>
        <v/>
      </c>
      <c r="R465" s="66">
        <f>$L465-$N465</f>
        <v/>
      </c>
      <c r="S465" s="65">
        <f>"WIP journal"</f>
        <v/>
      </c>
      <c r="T465" s="65">
        <f>IFERROR(INDEX(tbl_WIP[Revenue or Cost],$A465),"")</f>
        <v/>
      </c>
    </row>
    <row r="466">
      <c r="A466" s="63">
        <f>ROW()-407</f>
        <v/>
      </c>
      <c r="B466" s="64">
        <f>IFERROR(INDEX(tbl_WIP[Month],$A466),"")</f>
        <v/>
      </c>
      <c r="C466" s="65">
        <f>IFERROR(INDEX(tbl_WIP[Xero Invoice No],$A466),"")</f>
        <v/>
      </c>
      <c r="D466" s="65">
        <f>IFERROR(INDEX(tbl_WIP[Client],$A466),"")</f>
        <v/>
      </c>
      <c r="E466" s="65">
        <f>IFERROR(INDEX(tbl_WIP[Job Number],$A466),"")</f>
        <v/>
      </c>
      <c r="F466" s="65">
        <f>IFERROR(INDEX(tbl_WIP[Cost Centre],$A466),"")</f>
        <v/>
      </c>
      <c r="G466" s="66">
        <f>IFERROR(IF(INDEX(tbl_WIP[Defer Start],$A466)="","",IF(INDEX(tbl_WIP[Revenue or Cost],$A466)="Cost",-1,1)*INDEX(tbl_WIP[Amount],$A466)),"")</f>
        <v/>
      </c>
      <c r="H466" s="64">
        <f>IFERROR(INDEX(tbl_WIP[Defer Start],$A466),"")</f>
        <v/>
      </c>
      <c r="I466" s="64">
        <f>IFERROR(INDEX(tbl_WIP[Defer End],$A466),"")</f>
        <v/>
      </c>
      <c r="J466" s="63">
        <f>IF(OR($H466="",$I466="",$G466=""),"",MAX(1,(YEAR($I466)-YEAR($H466))*12+MONTH($I466)-MONTH($H466)+1))</f>
        <v/>
      </c>
      <c r="K466" s="66">
        <f>IF($J466="","",$G466/$J466)</f>
        <v/>
      </c>
      <c r="L466" s="66">
        <f>IF($J466="",0,$K466*MAX(0,MIN(YEAR($C$3)*12+MONTH($C$3),YEAR($I466)*12+MONTH($I466))-(YEAR($H466)*12+MONTH($H466))+1))</f>
        <v/>
      </c>
      <c r="M466" s="66">
        <f>IF($J466="",0,$K466*MAX(0,MIN(YEAR($C$3)*12+MONTH($C$3)-1,YEAR($I466)*12+MONTH($I466))-(YEAR($H466)*12+MONTH($H466))+1))</f>
        <v/>
      </c>
      <c r="N466" s="66">
        <f>IF(OR($J466="",$B466=""),0,IF(YEAR($B466)*12+MONTH($B466)&lt;=YEAR($C$3)*12+MONTH($C$3),$G466,0))</f>
        <v/>
      </c>
      <c r="O466" s="66">
        <f>IF(OR($J466="",$B466=""),0,IF(YEAR($B466)*12+MONTH($B466)&lt;=YEAR($C$3)*12+MONTH($C$3)-1,$G466,0))</f>
        <v/>
      </c>
      <c r="P466" s="66">
        <f>$M466-$O466</f>
        <v/>
      </c>
      <c r="Q466" s="66">
        <f>($L466-$M466)-($N466-$O466)</f>
        <v/>
      </c>
      <c r="R466" s="66">
        <f>$L466-$N466</f>
        <v/>
      </c>
      <c r="S466" s="65">
        <f>"WIP journal"</f>
        <v/>
      </c>
      <c r="T466" s="65">
        <f>IFERROR(INDEX(tbl_WIP[Revenue or Cost],$A466),"")</f>
        <v/>
      </c>
    </row>
    <row r="467">
      <c r="A467" s="63">
        <f>ROW()-407</f>
        <v/>
      </c>
      <c r="B467" s="64">
        <f>IFERROR(INDEX(tbl_WIP[Month],$A467),"")</f>
        <v/>
      </c>
      <c r="C467" s="65">
        <f>IFERROR(INDEX(tbl_WIP[Xero Invoice No],$A467),"")</f>
        <v/>
      </c>
      <c r="D467" s="65">
        <f>IFERROR(INDEX(tbl_WIP[Client],$A467),"")</f>
        <v/>
      </c>
      <c r="E467" s="65">
        <f>IFERROR(INDEX(tbl_WIP[Job Number],$A467),"")</f>
        <v/>
      </c>
      <c r="F467" s="65">
        <f>IFERROR(INDEX(tbl_WIP[Cost Centre],$A467),"")</f>
        <v/>
      </c>
      <c r="G467" s="66">
        <f>IFERROR(IF(INDEX(tbl_WIP[Defer Start],$A467)="","",IF(INDEX(tbl_WIP[Revenue or Cost],$A467)="Cost",-1,1)*INDEX(tbl_WIP[Amount],$A467)),"")</f>
        <v/>
      </c>
      <c r="H467" s="64">
        <f>IFERROR(INDEX(tbl_WIP[Defer Start],$A467),"")</f>
        <v/>
      </c>
      <c r="I467" s="64">
        <f>IFERROR(INDEX(tbl_WIP[Defer End],$A467),"")</f>
        <v/>
      </c>
      <c r="J467" s="63">
        <f>IF(OR($H467="",$I467="",$G467=""),"",MAX(1,(YEAR($I467)-YEAR($H467))*12+MONTH($I467)-MONTH($H467)+1))</f>
        <v/>
      </c>
      <c r="K467" s="66">
        <f>IF($J467="","",$G467/$J467)</f>
        <v/>
      </c>
      <c r="L467" s="66">
        <f>IF($J467="",0,$K467*MAX(0,MIN(YEAR($C$3)*12+MONTH($C$3),YEAR($I467)*12+MONTH($I467))-(YEAR($H467)*12+MONTH($H467))+1))</f>
        <v/>
      </c>
      <c r="M467" s="66">
        <f>IF($J467="",0,$K467*MAX(0,MIN(YEAR($C$3)*12+MONTH($C$3)-1,YEAR($I467)*12+MONTH($I467))-(YEAR($H467)*12+MONTH($H467))+1))</f>
        <v/>
      </c>
      <c r="N467" s="66">
        <f>IF(OR($J467="",$B467=""),0,IF(YEAR($B467)*12+MONTH($B467)&lt;=YEAR($C$3)*12+MONTH($C$3),$G467,0))</f>
        <v/>
      </c>
      <c r="O467" s="66">
        <f>IF(OR($J467="",$B467=""),0,IF(YEAR($B467)*12+MONTH($B467)&lt;=YEAR($C$3)*12+MONTH($C$3)-1,$G467,0))</f>
        <v/>
      </c>
      <c r="P467" s="66">
        <f>$M467-$O467</f>
        <v/>
      </c>
      <c r="Q467" s="66">
        <f>($L467-$M467)-($N467-$O467)</f>
        <v/>
      </c>
      <c r="R467" s="66">
        <f>$L467-$N467</f>
        <v/>
      </c>
      <c r="S467" s="65">
        <f>"WIP journal"</f>
        <v/>
      </c>
      <c r="T467" s="65">
        <f>IFERROR(INDEX(tbl_WIP[Revenue or Cost],$A467),"")</f>
        <v/>
      </c>
    </row>
    <row r="468">
      <c r="A468" s="63">
        <f>ROW()-407</f>
        <v/>
      </c>
      <c r="B468" s="64">
        <f>IFERROR(INDEX(tbl_WIP[Month],$A468),"")</f>
        <v/>
      </c>
      <c r="C468" s="65">
        <f>IFERROR(INDEX(tbl_WIP[Xero Invoice No],$A468),"")</f>
        <v/>
      </c>
      <c r="D468" s="65">
        <f>IFERROR(INDEX(tbl_WIP[Client],$A468),"")</f>
        <v/>
      </c>
      <c r="E468" s="65">
        <f>IFERROR(INDEX(tbl_WIP[Job Number],$A468),"")</f>
        <v/>
      </c>
      <c r="F468" s="65">
        <f>IFERROR(INDEX(tbl_WIP[Cost Centre],$A468),"")</f>
        <v/>
      </c>
      <c r="G468" s="66">
        <f>IFERROR(IF(INDEX(tbl_WIP[Defer Start],$A468)="","",IF(INDEX(tbl_WIP[Revenue or Cost],$A468)="Cost",-1,1)*INDEX(tbl_WIP[Amount],$A468)),"")</f>
        <v/>
      </c>
      <c r="H468" s="64">
        <f>IFERROR(INDEX(tbl_WIP[Defer Start],$A468),"")</f>
        <v/>
      </c>
      <c r="I468" s="64">
        <f>IFERROR(INDEX(tbl_WIP[Defer End],$A468),"")</f>
        <v/>
      </c>
      <c r="J468" s="63">
        <f>IF(OR($H468="",$I468="",$G468=""),"",MAX(1,(YEAR($I468)-YEAR($H468))*12+MONTH($I468)-MONTH($H468)+1))</f>
        <v/>
      </c>
      <c r="K468" s="66">
        <f>IF($J468="","",$G468/$J468)</f>
        <v/>
      </c>
      <c r="L468" s="66">
        <f>IF($J468="",0,$K468*MAX(0,MIN(YEAR($C$3)*12+MONTH($C$3),YEAR($I468)*12+MONTH($I468))-(YEAR($H468)*12+MONTH($H468))+1))</f>
        <v/>
      </c>
      <c r="M468" s="66">
        <f>IF($J468="",0,$K468*MAX(0,MIN(YEAR($C$3)*12+MONTH($C$3)-1,YEAR($I468)*12+MONTH($I468))-(YEAR($H468)*12+MONTH($H468))+1))</f>
        <v/>
      </c>
      <c r="N468" s="66">
        <f>IF(OR($J468="",$B468=""),0,IF(YEAR($B468)*12+MONTH($B468)&lt;=YEAR($C$3)*12+MONTH($C$3),$G468,0))</f>
        <v/>
      </c>
      <c r="O468" s="66">
        <f>IF(OR($J468="",$B468=""),0,IF(YEAR($B468)*12+MONTH($B468)&lt;=YEAR($C$3)*12+MONTH($C$3)-1,$G468,0))</f>
        <v/>
      </c>
      <c r="P468" s="66">
        <f>$M468-$O468</f>
        <v/>
      </c>
      <c r="Q468" s="66">
        <f>($L468-$M468)-($N468-$O468)</f>
        <v/>
      </c>
      <c r="R468" s="66">
        <f>$L468-$N468</f>
        <v/>
      </c>
      <c r="S468" s="65">
        <f>"WIP journal"</f>
        <v/>
      </c>
      <c r="T468" s="65">
        <f>IFERROR(INDEX(tbl_WIP[Revenue or Cost],$A468),"")</f>
        <v/>
      </c>
    </row>
    <row r="469">
      <c r="A469" s="63">
        <f>ROW()-407</f>
        <v/>
      </c>
      <c r="B469" s="64">
        <f>IFERROR(INDEX(tbl_WIP[Month],$A469),"")</f>
        <v/>
      </c>
      <c r="C469" s="65">
        <f>IFERROR(INDEX(tbl_WIP[Xero Invoice No],$A469),"")</f>
        <v/>
      </c>
      <c r="D469" s="65">
        <f>IFERROR(INDEX(tbl_WIP[Client],$A469),"")</f>
        <v/>
      </c>
      <c r="E469" s="65">
        <f>IFERROR(INDEX(tbl_WIP[Job Number],$A469),"")</f>
        <v/>
      </c>
      <c r="F469" s="65">
        <f>IFERROR(INDEX(tbl_WIP[Cost Centre],$A469),"")</f>
        <v/>
      </c>
      <c r="G469" s="66">
        <f>IFERROR(IF(INDEX(tbl_WIP[Defer Start],$A469)="","",IF(INDEX(tbl_WIP[Revenue or Cost],$A469)="Cost",-1,1)*INDEX(tbl_WIP[Amount],$A469)),"")</f>
        <v/>
      </c>
      <c r="H469" s="64">
        <f>IFERROR(INDEX(tbl_WIP[Defer Start],$A469),"")</f>
        <v/>
      </c>
      <c r="I469" s="64">
        <f>IFERROR(INDEX(tbl_WIP[Defer End],$A469),"")</f>
        <v/>
      </c>
      <c r="J469" s="63">
        <f>IF(OR($H469="",$I469="",$G469=""),"",MAX(1,(YEAR($I469)-YEAR($H469))*12+MONTH($I469)-MONTH($H469)+1))</f>
        <v/>
      </c>
      <c r="K469" s="66">
        <f>IF($J469="","",$G469/$J469)</f>
        <v/>
      </c>
      <c r="L469" s="66">
        <f>IF($J469="",0,$K469*MAX(0,MIN(YEAR($C$3)*12+MONTH($C$3),YEAR($I469)*12+MONTH($I469))-(YEAR($H469)*12+MONTH($H469))+1))</f>
        <v/>
      </c>
      <c r="M469" s="66">
        <f>IF($J469="",0,$K469*MAX(0,MIN(YEAR($C$3)*12+MONTH($C$3)-1,YEAR($I469)*12+MONTH($I469))-(YEAR($H469)*12+MONTH($H469))+1))</f>
        <v/>
      </c>
      <c r="N469" s="66">
        <f>IF(OR($J469="",$B469=""),0,IF(YEAR($B469)*12+MONTH($B469)&lt;=YEAR($C$3)*12+MONTH($C$3),$G469,0))</f>
        <v/>
      </c>
      <c r="O469" s="66">
        <f>IF(OR($J469="",$B469=""),0,IF(YEAR($B469)*12+MONTH($B469)&lt;=YEAR($C$3)*12+MONTH($C$3)-1,$G469,0))</f>
        <v/>
      </c>
      <c r="P469" s="66">
        <f>$M469-$O469</f>
        <v/>
      </c>
      <c r="Q469" s="66">
        <f>($L469-$M469)-($N469-$O469)</f>
        <v/>
      </c>
      <c r="R469" s="66">
        <f>$L469-$N469</f>
        <v/>
      </c>
      <c r="S469" s="65">
        <f>"WIP journal"</f>
        <v/>
      </c>
      <c r="T469" s="65">
        <f>IFERROR(INDEX(tbl_WIP[Revenue or Cost],$A469),"")</f>
        <v/>
      </c>
    </row>
    <row r="470">
      <c r="A470" s="63">
        <f>ROW()-407</f>
        <v/>
      </c>
      <c r="B470" s="64">
        <f>IFERROR(INDEX(tbl_WIP[Month],$A470),"")</f>
        <v/>
      </c>
      <c r="C470" s="65">
        <f>IFERROR(INDEX(tbl_WIP[Xero Invoice No],$A470),"")</f>
        <v/>
      </c>
      <c r="D470" s="65">
        <f>IFERROR(INDEX(tbl_WIP[Client],$A470),"")</f>
        <v/>
      </c>
      <c r="E470" s="65">
        <f>IFERROR(INDEX(tbl_WIP[Job Number],$A470),"")</f>
        <v/>
      </c>
      <c r="F470" s="65">
        <f>IFERROR(INDEX(tbl_WIP[Cost Centre],$A470),"")</f>
        <v/>
      </c>
      <c r="G470" s="66">
        <f>IFERROR(IF(INDEX(tbl_WIP[Defer Start],$A470)="","",IF(INDEX(tbl_WIP[Revenue or Cost],$A470)="Cost",-1,1)*INDEX(tbl_WIP[Amount],$A470)),"")</f>
        <v/>
      </c>
      <c r="H470" s="64">
        <f>IFERROR(INDEX(tbl_WIP[Defer Start],$A470),"")</f>
        <v/>
      </c>
      <c r="I470" s="64">
        <f>IFERROR(INDEX(tbl_WIP[Defer End],$A470),"")</f>
        <v/>
      </c>
      <c r="J470" s="63">
        <f>IF(OR($H470="",$I470="",$G470=""),"",MAX(1,(YEAR($I470)-YEAR($H470))*12+MONTH($I470)-MONTH($H470)+1))</f>
        <v/>
      </c>
      <c r="K470" s="66">
        <f>IF($J470="","",$G470/$J470)</f>
        <v/>
      </c>
      <c r="L470" s="66">
        <f>IF($J470="",0,$K470*MAX(0,MIN(YEAR($C$3)*12+MONTH($C$3),YEAR($I470)*12+MONTH($I470))-(YEAR($H470)*12+MONTH($H470))+1))</f>
        <v/>
      </c>
      <c r="M470" s="66">
        <f>IF($J470="",0,$K470*MAX(0,MIN(YEAR($C$3)*12+MONTH($C$3)-1,YEAR($I470)*12+MONTH($I470))-(YEAR($H470)*12+MONTH($H470))+1))</f>
        <v/>
      </c>
      <c r="N470" s="66">
        <f>IF(OR($J470="",$B470=""),0,IF(YEAR($B470)*12+MONTH($B470)&lt;=YEAR($C$3)*12+MONTH($C$3),$G470,0))</f>
        <v/>
      </c>
      <c r="O470" s="66">
        <f>IF(OR($J470="",$B470=""),0,IF(YEAR($B470)*12+MONTH($B470)&lt;=YEAR($C$3)*12+MONTH($C$3)-1,$G470,0))</f>
        <v/>
      </c>
      <c r="P470" s="66">
        <f>$M470-$O470</f>
        <v/>
      </c>
      <c r="Q470" s="66">
        <f>($L470-$M470)-($N470-$O470)</f>
        <v/>
      </c>
      <c r="R470" s="66">
        <f>$L470-$N470</f>
        <v/>
      </c>
      <c r="S470" s="65">
        <f>"WIP journal"</f>
        <v/>
      </c>
      <c r="T470" s="65">
        <f>IFERROR(INDEX(tbl_WIP[Revenue or Cost],$A470),"")</f>
        <v/>
      </c>
    </row>
    <row r="471">
      <c r="A471" s="63">
        <f>ROW()-407</f>
        <v/>
      </c>
      <c r="B471" s="64">
        <f>IFERROR(INDEX(tbl_WIP[Month],$A471),"")</f>
        <v/>
      </c>
      <c r="C471" s="65">
        <f>IFERROR(INDEX(tbl_WIP[Xero Invoice No],$A471),"")</f>
        <v/>
      </c>
      <c r="D471" s="65">
        <f>IFERROR(INDEX(tbl_WIP[Client],$A471),"")</f>
        <v/>
      </c>
      <c r="E471" s="65">
        <f>IFERROR(INDEX(tbl_WIP[Job Number],$A471),"")</f>
        <v/>
      </c>
      <c r="F471" s="65">
        <f>IFERROR(INDEX(tbl_WIP[Cost Centre],$A471),"")</f>
        <v/>
      </c>
      <c r="G471" s="66">
        <f>IFERROR(IF(INDEX(tbl_WIP[Defer Start],$A471)="","",IF(INDEX(tbl_WIP[Revenue or Cost],$A471)="Cost",-1,1)*INDEX(tbl_WIP[Amount],$A471)),"")</f>
        <v/>
      </c>
      <c r="H471" s="64">
        <f>IFERROR(INDEX(tbl_WIP[Defer Start],$A471),"")</f>
        <v/>
      </c>
      <c r="I471" s="64">
        <f>IFERROR(INDEX(tbl_WIP[Defer End],$A471),"")</f>
        <v/>
      </c>
      <c r="J471" s="63">
        <f>IF(OR($H471="",$I471="",$G471=""),"",MAX(1,(YEAR($I471)-YEAR($H471))*12+MONTH($I471)-MONTH($H471)+1))</f>
        <v/>
      </c>
      <c r="K471" s="66">
        <f>IF($J471="","",$G471/$J471)</f>
        <v/>
      </c>
      <c r="L471" s="66">
        <f>IF($J471="",0,$K471*MAX(0,MIN(YEAR($C$3)*12+MONTH($C$3),YEAR($I471)*12+MONTH($I471))-(YEAR($H471)*12+MONTH($H471))+1))</f>
        <v/>
      </c>
      <c r="M471" s="66">
        <f>IF($J471="",0,$K471*MAX(0,MIN(YEAR($C$3)*12+MONTH($C$3)-1,YEAR($I471)*12+MONTH($I471))-(YEAR($H471)*12+MONTH($H471))+1))</f>
        <v/>
      </c>
      <c r="N471" s="66">
        <f>IF(OR($J471="",$B471=""),0,IF(YEAR($B471)*12+MONTH($B471)&lt;=YEAR($C$3)*12+MONTH($C$3),$G471,0))</f>
        <v/>
      </c>
      <c r="O471" s="66">
        <f>IF(OR($J471="",$B471=""),0,IF(YEAR($B471)*12+MONTH($B471)&lt;=YEAR($C$3)*12+MONTH($C$3)-1,$G471,0))</f>
        <v/>
      </c>
      <c r="P471" s="66">
        <f>$M471-$O471</f>
        <v/>
      </c>
      <c r="Q471" s="66">
        <f>($L471-$M471)-($N471-$O471)</f>
        <v/>
      </c>
      <c r="R471" s="66">
        <f>$L471-$N471</f>
        <v/>
      </c>
      <c r="S471" s="65">
        <f>"WIP journal"</f>
        <v/>
      </c>
      <c r="T471" s="65">
        <f>IFERROR(INDEX(tbl_WIP[Revenue or Cost],$A471),"")</f>
        <v/>
      </c>
    </row>
    <row r="472">
      <c r="A472" s="63">
        <f>ROW()-407</f>
        <v/>
      </c>
      <c r="B472" s="64">
        <f>IFERROR(INDEX(tbl_WIP[Month],$A472),"")</f>
        <v/>
      </c>
      <c r="C472" s="65">
        <f>IFERROR(INDEX(tbl_WIP[Xero Invoice No],$A472),"")</f>
        <v/>
      </c>
      <c r="D472" s="65">
        <f>IFERROR(INDEX(tbl_WIP[Client],$A472),"")</f>
        <v/>
      </c>
      <c r="E472" s="65">
        <f>IFERROR(INDEX(tbl_WIP[Job Number],$A472),"")</f>
        <v/>
      </c>
      <c r="F472" s="65">
        <f>IFERROR(INDEX(tbl_WIP[Cost Centre],$A472),"")</f>
        <v/>
      </c>
      <c r="G472" s="66">
        <f>IFERROR(IF(INDEX(tbl_WIP[Defer Start],$A472)="","",IF(INDEX(tbl_WIP[Revenue or Cost],$A472)="Cost",-1,1)*INDEX(tbl_WIP[Amount],$A472)),"")</f>
        <v/>
      </c>
      <c r="H472" s="64">
        <f>IFERROR(INDEX(tbl_WIP[Defer Start],$A472),"")</f>
        <v/>
      </c>
      <c r="I472" s="64">
        <f>IFERROR(INDEX(tbl_WIP[Defer End],$A472),"")</f>
        <v/>
      </c>
      <c r="J472" s="63">
        <f>IF(OR($H472="",$I472="",$G472=""),"",MAX(1,(YEAR($I472)-YEAR($H472))*12+MONTH($I472)-MONTH($H472)+1))</f>
        <v/>
      </c>
      <c r="K472" s="66">
        <f>IF($J472="","",$G472/$J472)</f>
        <v/>
      </c>
      <c r="L472" s="66">
        <f>IF($J472="",0,$K472*MAX(0,MIN(YEAR($C$3)*12+MONTH($C$3),YEAR($I472)*12+MONTH($I472))-(YEAR($H472)*12+MONTH($H472))+1))</f>
        <v/>
      </c>
      <c r="M472" s="66">
        <f>IF($J472="",0,$K472*MAX(0,MIN(YEAR($C$3)*12+MONTH($C$3)-1,YEAR($I472)*12+MONTH($I472))-(YEAR($H472)*12+MONTH($H472))+1))</f>
        <v/>
      </c>
      <c r="N472" s="66">
        <f>IF(OR($J472="",$B472=""),0,IF(YEAR($B472)*12+MONTH($B472)&lt;=YEAR($C$3)*12+MONTH($C$3),$G472,0))</f>
        <v/>
      </c>
      <c r="O472" s="66">
        <f>IF(OR($J472="",$B472=""),0,IF(YEAR($B472)*12+MONTH($B472)&lt;=YEAR($C$3)*12+MONTH($C$3)-1,$G472,0))</f>
        <v/>
      </c>
      <c r="P472" s="66">
        <f>$M472-$O472</f>
        <v/>
      </c>
      <c r="Q472" s="66">
        <f>($L472-$M472)-($N472-$O472)</f>
        <v/>
      </c>
      <c r="R472" s="66">
        <f>$L472-$N472</f>
        <v/>
      </c>
      <c r="S472" s="65">
        <f>"WIP journal"</f>
        <v/>
      </c>
      <c r="T472" s="65">
        <f>IFERROR(INDEX(tbl_WIP[Revenue or Cost],$A472),"")</f>
        <v/>
      </c>
    </row>
    <row r="473">
      <c r="A473" s="63">
        <f>ROW()-407</f>
        <v/>
      </c>
      <c r="B473" s="64">
        <f>IFERROR(INDEX(tbl_WIP[Month],$A473),"")</f>
        <v/>
      </c>
      <c r="C473" s="65">
        <f>IFERROR(INDEX(tbl_WIP[Xero Invoice No],$A473),"")</f>
        <v/>
      </c>
      <c r="D473" s="65">
        <f>IFERROR(INDEX(tbl_WIP[Client],$A473),"")</f>
        <v/>
      </c>
      <c r="E473" s="65">
        <f>IFERROR(INDEX(tbl_WIP[Job Number],$A473),"")</f>
        <v/>
      </c>
      <c r="F473" s="65">
        <f>IFERROR(INDEX(tbl_WIP[Cost Centre],$A473),"")</f>
        <v/>
      </c>
      <c r="G473" s="66">
        <f>IFERROR(IF(INDEX(tbl_WIP[Defer Start],$A473)="","",IF(INDEX(tbl_WIP[Revenue or Cost],$A473)="Cost",-1,1)*INDEX(tbl_WIP[Amount],$A473)),"")</f>
        <v/>
      </c>
      <c r="H473" s="64">
        <f>IFERROR(INDEX(tbl_WIP[Defer Start],$A473),"")</f>
        <v/>
      </c>
      <c r="I473" s="64">
        <f>IFERROR(INDEX(tbl_WIP[Defer End],$A473),"")</f>
        <v/>
      </c>
      <c r="J473" s="63">
        <f>IF(OR($H473="",$I473="",$G473=""),"",MAX(1,(YEAR($I473)-YEAR($H473))*12+MONTH($I473)-MONTH($H473)+1))</f>
        <v/>
      </c>
      <c r="K473" s="66">
        <f>IF($J473="","",$G473/$J473)</f>
        <v/>
      </c>
      <c r="L473" s="66">
        <f>IF($J473="",0,$K473*MAX(0,MIN(YEAR($C$3)*12+MONTH($C$3),YEAR($I473)*12+MONTH($I473))-(YEAR($H473)*12+MONTH($H473))+1))</f>
        <v/>
      </c>
      <c r="M473" s="66">
        <f>IF($J473="",0,$K473*MAX(0,MIN(YEAR($C$3)*12+MONTH($C$3)-1,YEAR($I473)*12+MONTH($I473))-(YEAR($H473)*12+MONTH($H473))+1))</f>
        <v/>
      </c>
      <c r="N473" s="66">
        <f>IF(OR($J473="",$B473=""),0,IF(YEAR($B473)*12+MONTH($B473)&lt;=YEAR($C$3)*12+MONTH($C$3),$G473,0))</f>
        <v/>
      </c>
      <c r="O473" s="66">
        <f>IF(OR($J473="",$B473=""),0,IF(YEAR($B473)*12+MONTH($B473)&lt;=YEAR($C$3)*12+MONTH($C$3)-1,$G473,0))</f>
        <v/>
      </c>
      <c r="P473" s="66">
        <f>$M473-$O473</f>
        <v/>
      </c>
      <c r="Q473" s="66">
        <f>($L473-$M473)-($N473-$O473)</f>
        <v/>
      </c>
      <c r="R473" s="66">
        <f>$L473-$N473</f>
        <v/>
      </c>
      <c r="S473" s="65">
        <f>"WIP journal"</f>
        <v/>
      </c>
      <c r="T473" s="65">
        <f>IFERROR(INDEX(tbl_WIP[Revenue or Cost],$A473),"")</f>
        <v/>
      </c>
    </row>
    <row r="474">
      <c r="A474" s="63">
        <f>ROW()-407</f>
        <v/>
      </c>
      <c r="B474" s="64">
        <f>IFERROR(INDEX(tbl_WIP[Month],$A474),"")</f>
        <v/>
      </c>
      <c r="C474" s="65">
        <f>IFERROR(INDEX(tbl_WIP[Xero Invoice No],$A474),"")</f>
        <v/>
      </c>
      <c r="D474" s="65">
        <f>IFERROR(INDEX(tbl_WIP[Client],$A474),"")</f>
        <v/>
      </c>
      <c r="E474" s="65">
        <f>IFERROR(INDEX(tbl_WIP[Job Number],$A474),"")</f>
        <v/>
      </c>
      <c r="F474" s="65">
        <f>IFERROR(INDEX(tbl_WIP[Cost Centre],$A474),"")</f>
        <v/>
      </c>
      <c r="G474" s="66">
        <f>IFERROR(IF(INDEX(tbl_WIP[Defer Start],$A474)="","",IF(INDEX(tbl_WIP[Revenue or Cost],$A474)="Cost",-1,1)*INDEX(tbl_WIP[Amount],$A474)),"")</f>
        <v/>
      </c>
      <c r="H474" s="64">
        <f>IFERROR(INDEX(tbl_WIP[Defer Start],$A474),"")</f>
        <v/>
      </c>
      <c r="I474" s="64">
        <f>IFERROR(INDEX(tbl_WIP[Defer End],$A474),"")</f>
        <v/>
      </c>
      <c r="J474" s="63">
        <f>IF(OR($H474="",$I474="",$G474=""),"",MAX(1,(YEAR($I474)-YEAR($H474))*12+MONTH($I474)-MONTH($H474)+1))</f>
        <v/>
      </c>
      <c r="K474" s="66">
        <f>IF($J474="","",$G474/$J474)</f>
        <v/>
      </c>
      <c r="L474" s="66">
        <f>IF($J474="",0,$K474*MAX(0,MIN(YEAR($C$3)*12+MONTH($C$3),YEAR($I474)*12+MONTH($I474))-(YEAR($H474)*12+MONTH($H474))+1))</f>
        <v/>
      </c>
      <c r="M474" s="66">
        <f>IF($J474="",0,$K474*MAX(0,MIN(YEAR($C$3)*12+MONTH($C$3)-1,YEAR($I474)*12+MONTH($I474))-(YEAR($H474)*12+MONTH($H474))+1))</f>
        <v/>
      </c>
      <c r="N474" s="66">
        <f>IF(OR($J474="",$B474=""),0,IF(YEAR($B474)*12+MONTH($B474)&lt;=YEAR($C$3)*12+MONTH($C$3),$G474,0))</f>
        <v/>
      </c>
      <c r="O474" s="66">
        <f>IF(OR($J474="",$B474=""),0,IF(YEAR($B474)*12+MONTH($B474)&lt;=YEAR($C$3)*12+MONTH($C$3)-1,$G474,0))</f>
        <v/>
      </c>
      <c r="P474" s="66">
        <f>$M474-$O474</f>
        <v/>
      </c>
      <c r="Q474" s="66">
        <f>($L474-$M474)-($N474-$O474)</f>
        <v/>
      </c>
      <c r="R474" s="66">
        <f>$L474-$N474</f>
        <v/>
      </c>
      <c r="S474" s="65">
        <f>"WIP journal"</f>
        <v/>
      </c>
      <c r="T474" s="65">
        <f>IFERROR(INDEX(tbl_WIP[Revenue or Cost],$A474),"")</f>
        <v/>
      </c>
    </row>
    <row r="475">
      <c r="A475" s="63">
        <f>ROW()-407</f>
        <v/>
      </c>
      <c r="B475" s="64">
        <f>IFERROR(INDEX(tbl_WIP[Month],$A475),"")</f>
        <v/>
      </c>
      <c r="C475" s="65">
        <f>IFERROR(INDEX(tbl_WIP[Xero Invoice No],$A475),"")</f>
        <v/>
      </c>
      <c r="D475" s="65">
        <f>IFERROR(INDEX(tbl_WIP[Client],$A475),"")</f>
        <v/>
      </c>
      <c r="E475" s="65">
        <f>IFERROR(INDEX(tbl_WIP[Job Number],$A475),"")</f>
        <v/>
      </c>
      <c r="F475" s="65">
        <f>IFERROR(INDEX(tbl_WIP[Cost Centre],$A475),"")</f>
        <v/>
      </c>
      <c r="G475" s="66">
        <f>IFERROR(IF(INDEX(tbl_WIP[Defer Start],$A475)="","",IF(INDEX(tbl_WIP[Revenue or Cost],$A475)="Cost",-1,1)*INDEX(tbl_WIP[Amount],$A475)),"")</f>
        <v/>
      </c>
      <c r="H475" s="64">
        <f>IFERROR(INDEX(tbl_WIP[Defer Start],$A475),"")</f>
        <v/>
      </c>
      <c r="I475" s="64">
        <f>IFERROR(INDEX(tbl_WIP[Defer End],$A475),"")</f>
        <v/>
      </c>
      <c r="J475" s="63">
        <f>IF(OR($H475="",$I475="",$G475=""),"",MAX(1,(YEAR($I475)-YEAR($H475))*12+MONTH($I475)-MONTH($H475)+1))</f>
        <v/>
      </c>
      <c r="K475" s="66">
        <f>IF($J475="","",$G475/$J475)</f>
        <v/>
      </c>
      <c r="L475" s="66">
        <f>IF($J475="",0,$K475*MAX(0,MIN(YEAR($C$3)*12+MONTH($C$3),YEAR($I475)*12+MONTH($I475))-(YEAR($H475)*12+MONTH($H475))+1))</f>
        <v/>
      </c>
      <c r="M475" s="66">
        <f>IF($J475="",0,$K475*MAX(0,MIN(YEAR($C$3)*12+MONTH($C$3)-1,YEAR($I475)*12+MONTH($I475))-(YEAR($H475)*12+MONTH($H475))+1))</f>
        <v/>
      </c>
      <c r="N475" s="66">
        <f>IF(OR($J475="",$B475=""),0,IF(YEAR($B475)*12+MONTH($B475)&lt;=YEAR($C$3)*12+MONTH($C$3),$G475,0))</f>
        <v/>
      </c>
      <c r="O475" s="66">
        <f>IF(OR($J475="",$B475=""),0,IF(YEAR($B475)*12+MONTH($B475)&lt;=YEAR($C$3)*12+MONTH($C$3)-1,$G475,0))</f>
        <v/>
      </c>
      <c r="P475" s="66">
        <f>$M475-$O475</f>
        <v/>
      </c>
      <c r="Q475" s="66">
        <f>($L475-$M475)-($N475-$O475)</f>
        <v/>
      </c>
      <c r="R475" s="66">
        <f>$L475-$N475</f>
        <v/>
      </c>
      <c r="S475" s="65">
        <f>"WIP journal"</f>
        <v/>
      </c>
      <c r="T475" s="65">
        <f>IFERROR(INDEX(tbl_WIP[Revenue or Cost],$A475),"")</f>
        <v/>
      </c>
    </row>
    <row r="476">
      <c r="A476" s="63">
        <f>ROW()-407</f>
        <v/>
      </c>
      <c r="B476" s="64">
        <f>IFERROR(INDEX(tbl_WIP[Month],$A476),"")</f>
        <v/>
      </c>
      <c r="C476" s="65">
        <f>IFERROR(INDEX(tbl_WIP[Xero Invoice No],$A476),"")</f>
        <v/>
      </c>
      <c r="D476" s="65">
        <f>IFERROR(INDEX(tbl_WIP[Client],$A476),"")</f>
        <v/>
      </c>
      <c r="E476" s="65">
        <f>IFERROR(INDEX(tbl_WIP[Job Number],$A476),"")</f>
        <v/>
      </c>
      <c r="F476" s="65">
        <f>IFERROR(INDEX(tbl_WIP[Cost Centre],$A476),"")</f>
        <v/>
      </c>
      <c r="G476" s="66">
        <f>IFERROR(IF(INDEX(tbl_WIP[Defer Start],$A476)="","",IF(INDEX(tbl_WIP[Revenue or Cost],$A476)="Cost",-1,1)*INDEX(tbl_WIP[Amount],$A476)),"")</f>
        <v/>
      </c>
      <c r="H476" s="64">
        <f>IFERROR(INDEX(tbl_WIP[Defer Start],$A476),"")</f>
        <v/>
      </c>
      <c r="I476" s="64">
        <f>IFERROR(INDEX(tbl_WIP[Defer End],$A476),"")</f>
        <v/>
      </c>
      <c r="J476" s="63">
        <f>IF(OR($H476="",$I476="",$G476=""),"",MAX(1,(YEAR($I476)-YEAR($H476))*12+MONTH($I476)-MONTH($H476)+1))</f>
        <v/>
      </c>
      <c r="K476" s="66">
        <f>IF($J476="","",$G476/$J476)</f>
        <v/>
      </c>
      <c r="L476" s="66">
        <f>IF($J476="",0,$K476*MAX(0,MIN(YEAR($C$3)*12+MONTH($C$3),YEAR($I476)*12+MONTH($I476))-(YEAR($H476)*12+MONTH($H476))+1))</f>
        <v/>
      </c>
      <c r="M476" s="66">
        <f>IF($J476="",0,$K476*MAX(0,MIN(YEAR($C$3)*12+MONTH($C$3)-1,YEAR($I476)*12+MONTH($I476))-(YEAR($H476)*12+MONTH($H476))+1))</f>
        <v/>
      </c>
      <c r="N476" s="66">
        <f>IF(OR($J476="",$B476=""),0,IF(YEAR($B476)*12+MONTH($B476)&lt;=YEAR($C$3)*12+MONTH($C$3),$G476,0))</f>
        <v/>
      </c>
      <c r="O476" s="66">
        <f>IF(OR($J476="",$B476=""),0,IF(YEAR($B476)*12+MONTH($B476)&lt;=YEAR($C$3)*12+MONTH($C$3)-1,$G476,0))</f>
        <v/>
      </c>
      <c r="P476" s="66">
        <f>$M476-$O476</f>
        <v/>
      </c>
      <c r="Q476" s="66">
        <f>($L476-$M476)-($N476-$O476)</f>
        <v/>
      </c>
      <c r="R476" s="66">
        <f>$L476-$N476</f>
        <v/>
      </c>
      <c r="S476" s="65">
        <f>"WIP journal"</f>
        <v/>
      </c>
      <c r="T476" s="65">
        <f>IFERROR(INDEX(tbl_WIP[Revenue or Cost],$A476),"")</f>
        <v/>
      </c>
    </row>
    <row r="477">
      <c r="A477" s="63">
        <f>ROW()-407</f>
        <v/>
      </c>
      <c r="B477" s="64">
        <f>IFERROR(INDEX(tbl_WIP[Month],$A477),"")</f>
        <v/>
      </c>
      <c r="C477" s="65">
        <f>IFERROR(INDEX(tbl_WIP[Xero Invoice No],$A477),"")</f>
        <v/>
      </c>
      <c r="D477" s="65">
        <f>IFERROR(INDEX(tbl_WIP[Client],$A477),"")</f>
        <v/>
      </c>
      <c r="E477" s="65">
        <f>IFERROR(INDEX(tbl_WIP[Job Number],$A477),"")</f>
        <v/>
      </c>
      <c r="F477" s="65">
        <f>IFERROR(INDEX(tbl_WIP[Cost Centre],$A477),"")</f>
        <v/>
      </c>
      <c r="G477" s="66">
        <f>IFERROR(IF(INDEX(tbl_WIP[Defer Start],$A477)="","",IF(INDEX(tbl_WIP[Revenue or Cost],$A477)="Cost",-1,1)*INDEX(tbl_WIP[Amount],$A477)),"")</f>
        <v/>
      </c>
      <c r="H477" s="64">
        <f>IFERROR(INDEX(tbl_WIP[Defer Start],$A477),"")</f>
        <v/>
      </c>
      <c r="I477" s="64">
        <f>IFERROR(INDEX(tbl_WIP[Defer End],$A477),"")</f>
        <v/>
      </c>
      <c r="J477" s="63">
        <f>IF(OR($H477="",$I477="",$G477=""),"",MAX(1,(YEAR($I477)-YEAR($H477))*12+MONTH($I477)-MONTH($H477)+1))</f>
        <v/>
      </c>
      <c r="K477" s="66">
        <f>IF($J477="","",$G477/$J477)</f>
        <v/>
      </c>
      <c r="L477" s="66">
        <f>IF($J477="",0,$K477*MAX(0,MIN(YEAR($C$3)*12+MONTH($C$3),YEAR($I477)*12+MONTH($I477))-(YEAR($H477)*12+MONTH($H477))+1))</f>
        <v/>
      </c>
      <c r="M477" s="66">
        <f>IF($J477="",0,$K477*MAX(0,MIN(YEAR($C$3)*12+MONTH($C$3)-1,YEAR($I477)*12+MONTH($I477))-(YEAR($H477)*12+MONTH($H477))+1))</f>
        <v/>
      </c>
      <c r="N477" s="66">
        <f>IF(OR($J477="",$B477=""),0,IF(YEAR($B477)*12+MONTH($B477)&lt;=YEAR($C$3)*12+MONTH($C$3),$G477,0))</f>
        <v/>
      </c>
      <c r="O477" s="66">
        <f>IF(OR($J477="",$B477=""),0,IF(YEAR($B477)*12+MONTH($B477)&lt;=YEAR($C$3)*12+MONTH($C$3)-1,$G477,0))</f>
        <v/>
      </c>
      <c r="P477" s="66">
        <f>$M477-$O477</f>
        <v/>
      </c>
      <c r="Q477" s="66">
        <f>($L477-$M477)-($N477-$O477)</f>
        <v/>
      </c>
      <c r="R477" s="66">
        <f>$L477-$N477</f>
        <v/>
      </c>
      <c r="S477" s="65">
        <f>"WIP journal"</f>
        <v/>
      </c>
      <c r="T477" s="65">
        <f>IFERROR(INDEX(tbl_WIP[Revenue or Cost],$A477),"")</f>
        <v/>
      </c>
    </row>
    <row r="478">
      <c r="A478" s="63">
        <f>ROW()-407</f>
        <v/>
      </c>
      <c r="B478" s="64">
        <f>IFERROR(INDEX(tbl_WIP[Month],$A478),"")</f>
        <v/>
      </c>
      <c r="C478" s="65">
        <f>IFERROR(INDEX(tbl_WIP[Xero Invoice No],$A478),"")</f>
        <v/>
      </c>
      <c r="D478" s="65">
        <f>IFERROR(INDEX(tbl_WIP[Client],$A478),"")</f>
        <v/>
      </c>
      <c r="E478" s="65">
        <f>IFERROR(INDEX(tbl_WIP[Job Number],$A478),"")</f>
        <v/>
      </c>
      <c r="F478" s="65">
        <f>IFERROR(INDEX(tbl_WIP[Cost Centre],$A478),"")</f>
        <v/>
      </c>
      <c r="G478" s="66">
        <f>IFERROR(IF(INDEX(tbl_WIP[Defer Start],$A478)="","",IF(INDEX(tbl_WIP[Revenue or Cost],$A478)="Cost",-1,1)*INDEX(tbl_WIP[Amount],$A478)),"")</f>
        <v/>
      </c>
      <c r="H478" s="64">
        <f>IFERROR(INDEX(tbl_WIP[Defer Start],$A478),"")</f>
        <v/>
      </c>
      <c r="I478" s="64">
        <f>IFERROR(INDEX(tbl_WIP[Defer End],$A478),"")</f>
        <v/>
      </c>
      <c r="J478" s="63">
        <f>IF(OR($H478="",$I478="",$G478=""),"",MAX(1,(YEAR($I478)-YEAR($H478))*12+MONTH($I478)-MONTH($H478)+1))</f>
        <v/>
      </c>
      <c r="K478" s="66">
        <f>IF($J478="","",$G478/$J478)</f>
        <v/>
      </c>
      <c r="L478" s="66">
        <f>IF($J478="",0,$K478*MAX(0,MIN(YEAR($C$3)*12+MONTH($C$3),YEAR($I478)*12+MONTH($I478))-(YEAR($H478)*12+MONTH($H478))+1))</f>
        <v/>
      </c>
      <c r="M478" s="66">
        <f>IF($J478="",0,$K478*MAX(0,MIN(YEAR($C$3)*12+MONTH($C$3)-1,YEAR($I478)*12+MONTH($I478))-(YEAR($H478)*12+MONTH($H478))+1))</f>
        <v/>
      </c>
      <c r="N478" s="66">
        <f>IF(OR($J478="",$B478=""),0,IF(YEAR($B478)*12+MONTH($B478)&lt;=YEAR($C$3)*12+MONTH($C$3),$G478,0))</f>
        <v/>
      </c>
      <c r="O478" s="66">
        <f>IF(OR($J478="",$B478=""),0,IF(YEAR($B478)*12+MONTH($B478)&lt;=YEAR($C$3)*12+MONTH($C$3)-1,$G478,0))</f>
        <v/>
      </c>
      <c r="P478" s="66">
        <f>$M478-$O478</f>
        <v/>
      </c>
      <c r="Q478" s="66">
        <f>($L478-$M478)-($N478-$O478)</f>
        <v/>
      </c>
      <c r="R478" s="66">
        <f>$L478-$N478</f>
        <v/>
      </c>
      <c r="S478" s="65">
        <f>"WIP journal"</f>
        <v/>
      </c>
      <c r="T478" s="65">
        <f>IFERROR(INDEX(tbl_WIP[Revenue or Cost],$A478),"")</f>
        <v/>
      </c>
    </row>
    <row r="479">
      <c r="A479" s="63">
        <f>ROW()-407</f>
        <v/>
      </c>
      <c r="B479" s="64">
        <f>IFERROR(INDEX(tbl_WIP[Month],$A479),"")</f>
        <v/>
      </c>
      <c r="C479" s="65">
        <f>IFERROR(INDEX(tbl_WIP[Xero Invoice No],$A479),"")</f>
        <v/>
      </c>
      <c r="D479" s="65">
        <f>IFERROR(INDEX(tbl_WIP[Client],$A479),"")</f>
        <v/>
      </c>
      <c r="E479" s="65">
        <f>IFERROR(INDEX(tbl_WIP[Job Number],$A479),"")</f>
        <v/>
      </c>
      <c r="F479" s="65">
        <f>IFERROR(INDEX(tbl_WIP[Cost Centre],$A479),"")</f>
        <v/>
      </c>
      <c r="G479" s="66">
        <f>IFERROR(IF(INDEX(tbl_WIP[Defer Start],$A479)="","",IF(INDEX(tbl_WIP[Revenue or Cost],$A479)="Cost",-1,1)*INDEX(tbl_WIP[Amount],$A479)),"")</f>
        <v/>
      </c>
      <c r="H479" s="64">
        <f>IFERROR(INDEX(tbl_WIP[Defer Start],$A479),"")</f>
        <v/>
      </c>
      <c r="I479" s="64">
        <f>IFERROR(INDEX(tbl_WIP[Defer End],$A479),"")</f>
        <v/>
      </c>
      <c r="J479" s="63">
        <f>IF(OR($H479="",$I479="",$G479=""),"",MAX(1,(YEAR($I479)-YEAR($H479))*12+MONTH($I479)-MONTH($H479)+1))</f>
        <v/>
      </c>
      <c r="K479" s="66">
        <f>IF($J479="","",$G479/$J479)</f>
        <v/>
      </c>
      <c r="L479" s="66">
        <f>IF($J479="",0,$K479*MAX(0,MIN(YEAR($C$3)*12+MONTH($C$3),YEAR($I479)*12+MONTH($I479))-(YEAR($H479)*12+MONTH($H479))+1))</f>
        <v/>
      </c>
      <c r="M479" s="66">
        <f>IF($J479="",0,$K479*MAX(0,MIN(YEAR($C$3)*12+MONTH($C$3)-1,YEAR($I479)*12+MONTH($I479))-(YEAR($H479)*12+MONTH($H479))+1))</f>
        <v/>
      </c>
      <c r="N479" s="66">
        <f>IF(OR($J479="",$B479=""),0,IF(YEAR($B479)*12+MONTH($B479)&lt;=YEAR($C$3)*12+MONTH($C$3),$G479,0))</f>
        <v/>
      </c>
      <c r="O479" s="66">
        <f>IF(OR($J479="",$B479=""),0,IF(YEAR($B479)*12+MONTH($B479)&lt;=YEAR($C$3)*12+MONTH($C$3)-1,$G479,0))</f>
        <v/>
      </c>
      <c r="P479" s="66">
        <f>$M479-$O479</f>
        <v/>
      </c>
      <c r="Q479" s="66">
        <f>($L479-$M479)-($N479-$O479)</f>
        <v/>
      </c>
      <c r="R479" s="66">
        <f>$L479-$N479</f>
        <v/>
      </c>
      <c r="S479" s="65">
        <f>"WIP journal"</f>
        <v/>
      </c>
      <c r="T479" s="65">
        <f>IFERROR(INDEX(tbl_WIP[Revenue or Cost],$A479),"")</f>
        <v/>
      </c>
    </row>
    <row r="480">
      <c r="A480" s="63">
        <f>ROW()-407</f>
        <v/>
      </c>
      <c r="B480" s="64">
        <f>IFERROR(INDEX(tbl_WIP[Month],$A480),"")</f>
        <v/>
      </c>
      <c r="C480" s="65">
        <f>IFERROR(INDEX(tbl_WIP[Xero Invoice No],$A480),"")</f>
        <v/>
      </c>
      <c r="D480" s="65">
        <f>IFERROR(INDEX(tbl_WIP[Client],$A480),"")</f>
        <v/>
      </c>
      <c r="E480" s="65">
        <f>IFERROR(INDEX(tbl_WIP[Job Number],$A480),"")</f>
        <v/>
      </c>
      <c r="F480" s="65">
        <f>IFERROR(INDEX(tbl_WIP[Cost Centre],$A480),"")</f>
        <v/>
      </c>
      <c r="G480" s="66">
        <f>IFERROR(IF(INDEX(tbl_WIP[Defer Start],$A480)="","",IF(INDEX(tbl_WIP[Revenue or Cost],$A480)="Cost",-1,1)*INDEX(tbl_WIP[Amount],$A480)),"")</f>
        <v/>
      </c>
      <c r="H480" s="64">
        <f>IFERROR(INDEX(tbl_WIP[Defer Start],$A480),"")</f>
        <v/>
      </c>
      <c r="I480" s="64">
        <f>IFERROR(INDEX(tbl_WIP[Defer End],$A480),"")</f>
        <v/>
      </c>
      <c r="J480" s="63">
        <f>IF(OR($H480="",$I480="",$G480=""),"",MAX(1,(YEAR($I480)-YEAR($H480))*12+MONTH($I480)-MONTH($H480)+1))</f>
        <v/>
      </c>
      <c r="K480" s="66">
        <f>IF($J480="","",$G480/$J480)</f>
        <v/>
      </c>
      <c r="L480" s="66">
        <f>IF($J480="",0,$K480*MAX(0,MIN(YEAR($C$3)*12+MONTH($C$3),YEAR($I480)*12+MONTH($I480))-(YEAR($H480)*12+MONTH($H480))+1))</f>
        <v/>
      </c>
      <c r="M480" s="66">
        <f>IF($J480="",0,$K480*MAX(0,MIN(YEAR($C$3)*12+MONTH($C$3)-1,YEAR($I480)*12+MONTH($I480))-(YEAR($H480)*12+MONTH($H480))+1))</f>
        <v/>
      </c>
      <c r="N480" s="66">
        <f>IF(OR($J480="",$B480=""),0,IF(YEAR($B480)*12+MONTH($B480)&lt;=YEAR($C$3)*12+MONTH($C$3),$G480,0))</f>
        <v/>
      </c>
      <c r="O480" s="66">
        <f>IF(OR($J480="",$B480=""),0,IF(YEAR($B480)*12+MONTH($B480)&lt;=YEAR($C$3)*12+MONTH($C$3)-1,$G480,0))</f>
        <v/>
      </c>
      <c r="P480" s="66">
        <f>$M480-$O480</f>
        <v/>
      </c>
      <c r="Q480" s="66">
        <f>($L480-$M480)-($N480-$O480)</f>
        <v/>
      </c>
      <c r="R480" s="66">
        <f>$L480-$N480</f>
        <v/>
      </c>
      <c r="S480" s="65">
        <f>"WIP journal"</f>
        <v/>
      </c>
      <c r="T480" s="65">
        <f>IFERROR(INDEX(tbl_WIP[Revenue or Cost],$A480),"")</f>
        <v/>
      </c>
    </row>
    <row r="481">
      <c r="A481" s="63">
        <f>ROW()-407</f>
        <v/>
      </c>
      <c r="B481" s="64">
        <f>IFERROR(INDEX(tbl_WIP[Month],$A481),"")</f>
        <v/>
      </c>
      <c r="C481" s="65">
        <f>IFERROR(INDEX(tbl_WIP[Xero Invoice No],$A481),"")</f>
        <v/>
      </c>
      <c r="D481" s="65">
        <f>IFERROR(INDEX(tbl_WIP[Client],$A481),"")</f>
        <v/>
      </c>
      <c r="E481" s="65">
        <f>IFERROR(INDEX(tbl_WIP[Job Number],$A481),"")</f>
        <v/>
      </c>
      <c r="F481" s="65">
        <f>IFERROR(INDEX(tbl_WIP[Cost Centre],$A481),"")</f>
        <v/>
      </c>
      <c r="G481" s="66">
        <f>IFERROR(IF(INDEX(tbl_WIP[Defer Start],$A481)="","",IF(INDEX(tbl_WIP[Revenue or Cost],$A481)="Cost",-1,1)*INDEX(tbl_WIP[Amount],$A481)),"")</f>
        <v/>
      </c>
      <c r="H481" s="64">
        <f>IFERROR(INDEX(tbl_WIP[Defer Start],$A481),"")</f>
        <v/>
      </c>
      <c r="I481" s="64">
        <f>IFERROR(INDEX(tbl_WIP[Defer End],$A481),"")</f>
        <v/>
      </c>
      <c r="J481" s="63">
        <f>IF(OR($H481="",$I481="",$G481=""),"",MAX(1,(YEAR($I481)-YEAR($H481))*12+MONTH($I481)-MONTH($H481)+1))</f>
        <v/>
      </c>
      <c r="K481" s="66">
        <f>IF($J481="","",$G481/$J481)</f>
        <v/>
      </c>
      <c r="L481" s="66">
        <f>IF($J481="",0,$K481*MAX(0,MIN(YEAR($C$3)*12+MONTH($C$3),YEAR($I481)*12+MONTH($I481))-(YEAR($H481)*12+MONTH($H481))+1))</f>
        <v/>
      </c>
      <c r="M481" s="66">
        <f>IF($J481="",0,$K481*MAX(0,MIN(YEAR($C$3)*12+MONTH($C$3)-1,YEAR($I481)*12+MONTH($I481))-(YEAR($H481)*12+MONTH($H481))+1))</f>
        <v/>
      </c>
      <c r="N481" s="66">
        <f>IF(OR($J481="",$B481=""),0,IF(YEAR($B481)*12+MONTH($B481)&lt;=YEAR($C$3)*12+MONTH($C$3),$G481,0))</f>
        <v/>
      </c>
      <c r="O481" s="66">
        <f>IF(OR($J481="",$B481=""),0,IF(YEAR($B481)*12+MONTH($B481)&lt;=YEAR($C$3)*12+MONTH($C$3)-1,$G481,0))</f>
        <v/>
      </c>
      <c r="P481" s="66">
        <f>$M481-$O481</f>
        <v/>
      </c>
      <c r="Q481" s="66">
        <f>($L481-$M481)-($N481-$O481)</f>
        <v/>
      </c>
      <c r="R481" s="66">
        <f>$L481-$N481</f>
        <v/>
      </c>
      <c r="S481" s="65">
        <f>"WIP journal"</f>
        <v/>
      </c>
      <c r="T481" s="65">
        <f>IFERROR(INDEX(tbl_WIP[Revenue or Cost],$A481),"")</f>
        <v/>
      </c>
    </row>
    <row r="482">
      <c r="A482" s="63">
        <f>ROW()-407</f>
        <v/>
      </c>
      <c r="B482" s="64">
        <f>IFERROR(INDEX(tbl_WIP[Month],$A482),"")</f>
        <v/>
      </c>
      <c r="C482" s="65">
        <f>IFERROR(INDEX(tbl_WIP[Xero Invoice No],$A482),"")</f>
        <v/>
      </c>
      <c r="D482" s="65">
        <f>IFERROR(INDEX(tbl_WIP[Client],$A482),"")</f>
        <v/>
      </c>
      <c r="E482" s="65">
        <f>IFERROR(INDEX(tbl_WIP[Job Number],$A482),"")</f>
        <v/>
      </c>
      <c r="F482" s="65">
        <f>IFERROR(INDEX(tbl_WIP[Cost Centre],$A482),"")</f>
        <v/>
      </c>
      <c r="G482" s="66">
        <f>IFERROR(IF(INDEX(tbl_WIP[Defer Start],$A482)="","",IF(INDEX(tbl_WIP[Revenue or Cost],$A482)="Cost",-1,1)*INDEX(tbl_WIP[Amount],$A482)),"")</f>
        <v/>
      </c>
      <c r="H482" s="64">
        <f>IFERROR(INDEX(tbl_WIP[Defer Start],$A482),"")</f>
        <v/>
      </c>
      <c r="I482" s="64">
        <f>IFERROR(INDEX(tbl_WIP[Defer End],$A482),"")</f>
        <v/>
      </c>
      <c r="J482" s="63">
        <f>IF(OR($H482="",$I482="",$G482=""),"",MAX(1,(YEAR($I482)-YEAR($H482))*12+MONTH($I482)-MONTH($H482)+1))</f>
        <v/>
      </c>
      <c r="K482" s="66">
        <f>IF($J482="","",$G482/$J482)</f>
        <v/>
      </c>
      <c r="L482" s="66">
        <f>IF($J482="",0,$K482*MAX(0,MIN(YEAR($C$3)*12+MONTH($C$3),YEAR($I482)*12+MONTH($I482))-(YEAR($H482)*12+MONTH($H482))+1))</f>
        <v/>
      </c>
      <c r="M482" s="66">
        <f>IF($J482="",0,$K482*MAX(0,MIN(YEAR($C$3)*12+MONTH($C$3)-1,YEAR($I482)*12+MONTH($I482))-(YEAR($H482)*12+MONTH($H482))+1))</f>
        <v/>
      </c>
      <c r="N482" s="66">
        <f>IF(OR($J482="",$B482=""),0,IF(YEAR($B482)*12+MONTH($B482)&lt;=YEAR($C$3)*12+MONTH($C$3),$G482,0))</f>
        <v/>
      </c>
      <c r="O482" s="66">
        <f>IF(OR($J482="",$B482=""),0,IF(YEAR($B482)*12+MONTH($B482)&lt;=YEAR($C$3)*12+MONTH($C$3)-1,$G482,0))</f>
        <v/>
      </c>
      <c r="P482" s="66">
        <f>$M482-$O482</f>
        <v/>
      </c>
      <c r="Q482" s="66">
        <f>($L482-$M482)-($N482-$O482)</f>
        <v/>
      </c>
      <c r="R482" s="66">
        <f>$L482-$N482</f>
        <v/>
      </c>
      <c r="S482" s="65">
        <f>"WIP journal"</f>
        <v/>
      </c>
      <c r="T482" s="65">
        <f>IFERROR(INDEX(tbl_WIP[Revenue or Cost],$A482),"")</f>
        <v/>
      </c>
    </row>
    <row r="483">
      <c r="A483" s="63">
        <f>ROW()-407</f>
        <v/>
      </c>
      <c r="B483" s="64">
        <f>IFERROR(INDEX(tbl_WIP[Month],$A483),"")</f>
        <v/>
      </c>
      <c r="C483" s="65">
        <f>IFERROR(INDEX(tbl_WIP[Xero Invoice No],$A483),"")</f>
        <v/>
      </c>
      <c r="D483" s="65">
        <f>IFERROR(INDEX(tbl_WIP[Client],$A483),"")</f>
        <v/>
      </c>
      <c r="E483" s="65">
        <f>IFERROR(INDEX(tbl_WIP[Job Number],$A483),"")</f>
        <v/>
      </c>
      <c r="F483" s="65">
        <f>IFERROR(INDEX(tbl_WIP[Cost Centre],$A483),"")</f>
        <v/>
      </c>
      <c r="G483" s="66">
        <f>IFERROR(IF(INDEX(tbl_WIP[Defer Start],$A483)="","",IF(INDEX(tbl_WIP[Revenue or Cost],$A483)="Cost",-1,1)*INDEX(tbl_WIP[Amount],$A483)),"")</f>
        <v/>
      </c>
      <c r="H483" s="64">
        <f>IFERROR(INDEX(tbl_WIP[Defer Start],$A483),"")</f>
        <v/>
      </c>
      <c r="I483" s="64">
        <f>IFERROR(INDEX(tbl_WIP[Defer End],$A483),"")</f>
        <v/>
      </c>
      <c r="J483" s="63">
        <f>IF(OR($H483="",$I483="",$G483=""),"",MAX(1,(YEAR($I483)-YEAR($H483))*12+MONTH($I483)-MONTH($H483)+1))</f>
        <v/>
      </c>
      <c r="K483" s="66">
        <f>IF($J483="","",$G483/$J483)</f>
        <v/>
      </c>
      <c r="L483" s="66">
        <f>IF($J483="",0,$K483*MAX(0,MIN(YEAR($C$3)*12+MONTH($C$3),YEAR($I483)*12+MONTH($I483))-(YEAR($H483)*12+MONTH($H483))+1))</f>
        <v/>
      </c>
      <c r="M483" s="66">
        <f>IF($J483="",0,$K483*MAX(0,MIN(YEAR($C$3)*12+MONTH($C$3)-1,YEAR($I483)*12+MONTH($I483))-(YEAR($H483)*12+MONTH($H483))+1))</f>
        <v/>
      </c>
      <c r="N483" s="66">
        <f>IF(OR($J483="",$B483=""),0,IF(YEAR($B483)*12+MONTH($B483)&lt;=YEAR($C$3)*12+MONTH($C$3),$G483,0))</f>
        <v/>
      </c>
      <c r="O483" s="66">
        <f>IF(OR($J483="",$B483=""),0,IF(YEAR($B483)*12+MONTH($B483)&lt;=YEAR($C$3)*12+MONTH($C$3)-1,$G483,0))</f>
        <v/>
      </c>
      <c r="P483" s="66">
        <f>$M483-$O483</f>
        <v/>
      </c>
      <c r="Q483" s="66">
        <f>($L483-$M483)-($N483-$O483)</f>
        <v/>
      </c>
      <c r="R483" s="66">
        <f>$L483-$N483</f>
        <v/>
      </c>
      <c r="S483" s="65">
        <f>"WIP journal"</f>
        <v/>
      </c>
      <c r="T483" s="65">
        <f>IFERROR(INDEX(tbl_WIP[Revenue or Cost],$A483),"")</f>
        <v/>
      </c>
    </row>
    <row r="484">
      <c r="A484" s="63">
        <f>ROW()-407</f>
        <v/>
      </c>
      <c r="B484" s="64">
        <f>IFERROR(INDEX(tbl_WIP[Month],$A484),"")</f>
        <v/>
      </c>
      <c r="C484" s="65">
        <f>IFERROR(INDEX(tbl_WIP[Xero Invoice No],$A484),"")</f>
        <v/>
      </c>
      <c r="D484" s="65">
        <f>IFERROR(INDEX(tbl_WIP[Client],$A484),"")</f>
        <v/>
      </c>
      <c r="E484" s="65">
        <f>IFERROR(INDEX(tbl_WIP[Job Number],$A484),"")</f>
        <v/>
      </c>
      <c r="F484" s="65">
        <f>IFERROR(INDEX(tbl_WIP[Cost Centre],$A484),"")</f>
        <v/>
      </c>
      <c r="G484" s="66">
        <f>IFERROR(IF(INDEX(tbl_WIP[Defer Start],$A484)="","",IF(INDEX(tbl_WIP[Revenue or Cost],$A484)="Cost",-1,1)*INDEX(tbl_WIP[Amount],$A484)),"")</f>
        <v/>
      </c>
      <c r="H484" s="64">
        <f>IFERROR(INDEX(tbl_WIP[Defer Start],$A484),"")</f>
        <v/>
      </c>
      <c r="I484" s="64">
        <f>IFERROR(INDEX(tbl_WIP[Defer End],$A484),"")</f>
        <v/>
      </c>
      <c r="J484" s="63">
        <f>IF(OR($H484="",$I484="",$G484=""),"",MAX(1,(YEAR($I484)-YEAR($H484))*12+MONTH($I484)-MONTH($H484)+1))</f>
        <v/>
      </c>
      <c r="K484" s="66">
        <f>IF($J484="","",$G484/$J484)</f>
        <v/>
      </c>
      <c r="L484" s="66">
        <f>IF($J484="",0,$K484*MAX(0,MIN(YEAR($C$3)*12+MONTH($C$3),YEAR($I484)*12+MONTH($I484))-(YEAR($H484)*12+MONTH($H484))+1))</f>
        <v/>
      </c>
      <c r="M484" s="66">
        <f>IF($J484="",0,$K484*MAX(0,MIN(YEAR($C$3)*12+MONTH($C$3)-1,YEAR($I484)*12+MONTH($I484))-(YEAR($H484)*12+MONTH($H484))+1))</f>
        <v/>
      </c>
      <c r="N484" s="66">
        <f>IF(OR($J484="",$B484=""),0,IF(YEAR($B484)*12+MONTH($B484)&lt;=YEAR($C$3)*12+MONTH($C$3),$G484,0))</f>
        <v/>
      </c>
      <c r="O484" s="66">
        <f>IF(OR($J484="",$B484=""),0,IF(YEAR($B484)*12+MONTH($B484)&lt;=YEAR($C$3)*12+MONTH($C$3)-1,$G484,0))</f>
        <v/>
      </c>
      <c r="P484" s="66">
        <f>$M484-$O484</f>
        <v/>
      </c>
      <c r="Q484" s="66">
        <f>($L484-$M484)-($N484-$O484)</f>
        <v/>
      </c>
      <c r="R484" s="66">
        <f>$L484-$N484</f>
        <v/>
      </c>
      <c r="S484" s="65">
        <f>"WIP journal"</f>
        <v/>
      </c>
      <c r="T484" s="65">
        <f>IFERROR(INDEX(tbl_WIP[Revenue or Cost],$A484),"")</f>
        <v/>
      </c>
    </row>
    <row r="485">
      <c r="A485" s="63">
        <f>ROW()-407</f>
        <v/>
      </c>
      <c r="B485" s="64">
        <f>IFERROR(INDEX(tbl_WIP[Month],$A485),"")</f>
        <v/>
      </c>
      <c r="C485" s="65">
        <f>IFERROR(INDEX(tbl_WIP[Xero Invoice No],$A485),"")</f>
        <v/>
      </c>
      <c r="D485" s="65">
        <f>IFERROR(INDEX(tbl_WIP[Client],$A485),"")</f>
        <v/>
      </c>
      <c r="E485" s="65">
        <f>IFERROR(INDEX(tbl_WIP[Job Number],$A485),"")</f>
        <v/>
      </c>
      <c r="F485" s="65">
        <f>IFERROR(INDEX(tbl_WIP[Cost Centre],$A485),"")</f>
        <v/>
      </c>
      <c r="G485" s="66">
        <f>IFERROR(IF(INDEX(tbl_WIP[Defer Start],$A485)="","",IF(INDEX(tbl_WIP[Revenue or Cost],$A485)="Cost",-1,1)*INDEX(tbl_WIP[Amount],$A485)),"")</f>
        <v/>
      </c>
      <c r="H485" s="64">
        <f>IFERROR(INDEX(tbl_WIP[Defer Start],$A485),"")</f>
        <v/>
      </c>
      <c r="I485" s="64">
        <f>IFERROR(INDEX(tbl_WIP[Defer End],$A485),"")</f>
        <v/>
      </c>
      <c r="J485" s="63">
        <f>IF(OR($H485="",$I485="",$G485=""),"",MAX(1,(YEAR($I485)-YEAR($H485))*12+MONTH($I485)-MONTH($H485)+1))</f>
        <v/>
      </c>
      <c r="K485" s="66">
        <f>IF($J485="","",$G485/$J485)</f>
        <v/>
      </c>
      <c r="L485" s="66">
        <f>IF($J485="",0,$K485*MAX(0,MIN(YEAR($C$3)*12+MONTH($C$3),YEAR($I485)*12+MONTH($I485))-(YEAR($H485)*12+MONTH($H485))+1))</f>
        <v/>
      </c>
      <c r="M485" s="66">
        <f>IF($J485="",0,$K485*MAX(0,MIN(YEAR($C$3)*12+MONTH($C$3)-1,YEAR($I485)*12+MONTH($I485))-(YEAR($H485)*12+MONTH($H485))+1))</f>
        <v/>
      </c>
      <c r="N485" s="66">
        <f>IF(OR($J485="",$B485=""),0,IF(YEAR($B485)*12+MONTH($B485)&lt;=YEAR($C$3)*12+MONTH($C$3),$G485,0))</f>
        <v/>
      </c>
      <c r="O485" s="66">
        <f>IF(OR($J485="",$B485=""),0,IF(YEAR($B485)*12+MONTH($B485)&lt;=YEAR($C$3)*12+MONTH($C$3)-1,$G485,0))</f>
        <v/>
      </c>
      <c r="P485" s="66">
        <f>$M485-$O485</f>
        <v/>
      </c>
      <c r="Q485" s="66">
        <f>($L485-$M485)-($N485-$O485)</f>
        <v/>
      </c>
      <c r="R485" s="66">
        <f>$L485-$N485</f>
        <v/>
      </c>
      <c r="S485" s="65">
        <f>"WIP journal"</f>
        <v/>
      </c>
      <c r="T485" s="65">
        <f>IFERROR(INDEX(tbl_WIP[Revenue or Cost],$A485),"")</f>
        <v/>
      </c>
    </row>
    <row r="486">
      <c r="A486" s="63">
        <f>ROW()-407</f>
        <v/>
      </c>
      <c r="B486" s="64">
        <f>IFERROR(INDEX(tbl_WIP[Month],$A486),"")</f>
        <v/>
      </c>
      <c r="C486" s="65">
        <f>IFERROR(INDEX(tbl_WIP[Xero Invoice No],$A486),"")</f>
        <v/>
      </c>
      <c r="D486" s="65">
        <f>IFERROR(INDEX(tbl_WIP[Client],$A486),"")</f>
        <v/>
      </c>
      <c r="E486" s="65">
        <f>IFERROR(INDEX(tbl_WIP[Job Number],$A486),"")</f>
        <v/>
      </c>
      <c r="F486" s="65">
        <f>IFERROR(INDEX(tbl_WIP[Cost Centre],$A486),"")</f>
        <v/>
      </c>
      <c r="G486" s="66">
        <f>IFERROR(IF(INDEX(tbl_WIP[Defer Start],$A486)="","",IF(INDEX(tbl_WIP[Revenue or Cost],$A486)="Cost",-1,1)*INDEX(tbl_WIP[Amount],$A486)),"")</f>
        <v/>
      </c>
      <c r="H486" s="64">
        <f>IFERROR(INDEX(tbl_WIP[Defer Start],$A486),"")</f>
        <v/>
      </c>
      <c r="I486" s="64">
        <f>IFERROR(INDEX(tbl_WIP[Defer End],$A486),"")</f>
        <v/>
      </c>
      <c r="J486" s="63">
        <f>IF(OR($H486="",$I486="",$G486=""),"",MAX(1,(YEAR($I486)-YEAR($H486))*12+MONTH($I486)-MONTH($H486)+1))</f>
        <v/>
      </c>
      <c r="K486" s="66">
        <f>IF($J486="","",$G486/$J486)</f>
        <v/>
      </c>
      <c r="L486" s="66">
        <f>IF($J486="",0,$K486*MAX(0,MIN(YEAR($C$3)*12+MONTH($C$3),YEAR($I486)*12+MONTH($I486))-(YEAR($H486)*12+MONTH($H486))+1))</f>
        <v/>
      </c>
      <c r="M486" s="66">
        <f>IF($J486="",0,$K486*MAX(0,MIN(YEAR($C$3)*12+MONTH($C$3)-1,YEAR($I486)*12+MONTH($I486))-(YEAR($H486)*12+MONTH($H486))+1))</f>
        <v/>
      </c>
      <c r="N486" s="66">
        <f>IF(OR($J486="",$B486=""),0,IF(YEAR($B486)*12+MONTH($B486)&lt;=YEAR($C$3)*12+MONTH($C$3),$G486,0))</f>
        <v/>
      </c>
      <c r="O486" s="66">
        <f>IF(OR($J486="",$B486=""),0,IF(YEAR($B486)*12+MONTH($B486)&lt;=YEAR($C$3)*12+MONTH($C$3)-1,$G486,0))</f>
        <v/>
      </c>
      <c r="P486" s="66">
        <f>$M486-$O486</f>
        <v/>
      </c>
      <c r="Q486" s="66">
        <f>($L486-$M486)-($N486-$O486)</f>
        <v/>
      </c>
      <c r="R486" s="66">
        <f>$L486-$N486</f>
        <v/>
      </c>
      <c r="S486" s="65">
        <f>"WIP journal"</f>
        <v/>
      </c>
      <c r="T486" s="65">
        <f>IFERROR(INDEX(tbl_WIP[Revenue or Cost],$A486),"")</f>
        <v/>
      </c>
    </row>
    <row r="487">
      <c r="A487" s="63">
        <f>ROW()-407</f>
        <v/>
      </c>
      <c r="B487" s="64">
        <f>IFERROR(INDEX(tbl_WIP[Month],$A487),"")</f>
        <v/>
      </c>
      <c r="C487" s="65">
        <f>IFERROR(INDEX(tbl_WIP[Xero Invoice No],$A487),"")</f>
        <v/>
      </c>
      <c r="D487" s="65">
        <f>IFERROR(INDEX(tbl_WIP[Client],$A487),"")</f>
        <v/>
      </c>
      <c r="E487" s="65">
        <f>IFERROR(INDEX(tbl_WIP[Job Number],$A487),"")</f>
        <v/>
      </c>
      <c r="F487" s="65">
        <f>IFERROR(INDEX(tbl_WIP[Cost Centre],$A487),"")</f>
        <v/>
      </c>
      <c r="G487" s="66">
        <f>IFERROR(IF(INDEX(tbl_WIP[Defer Start],$A487)="","",IF(INDEX(tbl_WIP[Revenue or Cost],$A487)="Cost",-1,1)*INDEX(tbl_WIP[Amount],$A487)),"")</f>
        <v/>
      </c>
      <c r="H487" s="64">
        <f>IFERROR(INDEX(tbl_WIP[Defer Start],$A487),"")</f>
        <v/>
      </c>
      <c r="I487" s="64">
        <f>IFERROR(INDEX(tbl_WIP[Defer End],$A487),"")</f>
        <v/>
      </c>
      <c r="J487" s="63">
        <f>IF(OR($H487="",$I487="",$G487=""),"",MAX(1,(YEAR($I487)-YEAR($H487))*12+MONTH($I487)-MONTH($H487)+1))</f>
        <v/>
      </c>
      <c r="K487" s="66">
        <f>IF($J487="","",$G487/$J487)</f>
        <v/>
      </c>
      <c r="L487" s="66">
        <f>IF($J487="",0,$K487*MAX(0,MIN(YEAR($C$3)*12+MONTH($C$3),YEAR($I487)*12+MONTH($I487))-(YEAR($H487)*12+MONTH($H487))+1))</f>
        <v/>
      </c>
      <c r="M487" s="66">
        <f>IF($J487="",0,$K487*MAX(0,MIN(YEAR($C$3)*12+MONTH($C$3)-1,YEAR($I487)*12+MONTH($I487))-(YEAR($H487)*12+MONTH($H487))+1))</f>
        <v/>
      </c>
      <c r="N487" s="66">
        <f>IF(OR($J487="",$B487=""),0,IF(YEAR($B487)*12+MONTH($B487)&lt;=YEAR($C$3)*12+MONTH($C$3),$G487,0))</f>
        <v/>
      </c>
      <c r="O487" s="66">
        <f>IF(OR($J487="",$B487=""),0,IF(YEAR($B487)*12+MONTH($B487)&lt;=YEAR($C$3)*12+MONTH($C$3)-1,$G487,0))</f>
        <v/>
      </c>
      <c r="P487" s="66">
        <f>$M487-$O487</f>
        <v/>
      </c>
      <c r="Q487" s="66">
        <f>($L487-$M487)-($N487-$O487)</f>
        <v/>
      </c>
      <c r="R487" s="66">
        <f>$L487-$N487</f>
        <v/>
      </c>
      <c r="S487" s="65">
        <f>"WIP journal"</f>
        <v/>
      </c>
      <c r="T487" s="65">
        <f>IFERROR(INDEX(tbl_WIP[Revenue or Cost],$A487),"")</f>
        <v/>
      </c>
    </row>
    <row r="488">
      <c r="A488" s="63">
        <f>ROW()-407</f>
        <v/>
      </c>
      <c r="B488" s="64">
        <f>IFERROR(INDEX(tbl_WIP[Month],$A488),"")</f>
        <v/>
      </c>
      <c r="C488" s="65">
        <f>IFERROR(INDEX(tbl_WIP[Xero Invoice No],$A488),"")</f>
        <v/>
      </c>
      <c r="D488" s="65">
        <f>IFERROR(INDEX(tbl_WIP[Client],$A488),"")</f>
        <v/>
      </c>
      <c r="E488" s="65">
        <f>IFERROR(INDEX(tbl_WIP[Job Number],$A488),"")</f>
        <v/>
      </c>
      <c r="F488" s="65">
        <f>IFERROR(INDEX(tbl_WIP[Cost Centre],$A488),"")</f>
        <v/>
      </c>
      <c r="G488" s="66">
        <f>IFERROR(IF(INDEX(tbl_WIP[Defer Start],$A488)="","",IF(INDEX(tbl_WIP[Revenue or Cost],$A488)="Cost",-1,1)*INDEX(tbl_WIP[Amount],$A488)),"")</f>
        <v/>
      </c>
      <c r="H488" s="64">
        <f>IFERROR(INDEX(tbl_WIP[Defer Start],$A488),"")</f>
        <v/>
      </c>
      <c r="I488" s="64">
        <f>IFERROR(INDEX(tbl_WIP[Defer End],$A488),"")</f>
        <v/>
      </c>
      <c r="J488" s="63">
        <f>IF(OR($H488="",$I488="",$G488=""),"",MAX(1,(YEAR($I488)-YEAR($H488))*12+MONTH($I488)-MONTH($H488)+1))</f>
        <v/>
      </c>
      <c r="K488" s="66">
        <f>IF($J488="","",$G488/$J488)</f>
        <v/>
      </c>
      <c r="L488" s="66">
        <f>IF($J488="",0,$K488*MAX(0,MIN(YEAR($C$3)*12+MONTH($C$3),YEAR($I488)*12+MONTH($I488))-(YEAR($H488)*12+MONTH($H488))+1))</f>
        <v/>
      </c>
      <c r="M488" s="66">
        <f>IF($J488="",0,$K488*MAX(0,MIN(YEAR($C$3)*12+MONTH($C$3)-1,YEAR($I488)*12+MONTH($I488))-(YEAR($H488)*12+MONTH($H488))+1))</f>
        <v/>
      </c>
      <c r="N488" s="66">
        <f>IF(OR($J488="",$B488=""),0,IF(YEAR($B488)*12+MONTH($B488)&lt;=YEAR($C$3)*12+MONTH($C$3),$G488,0))</f>
        <v/>
      </c>
      <c r="O488" s="66">
        <f>IF(OR($J488="",$B488=""),0,IF(YEAR($B488)*12+MONTH($B488)&lt;=YEAR($C$3)*12+MONTH($C$3)-1,$G488,0))</f>
        <v/>
      </c>
      <c r="P488" s="66">
        <f>$M488-$O488</f>
        <v/>
      </c>
      <c r="Q488" s="66">
        <f>($L488-$M488)-($N488-$O488)</f>
        <v/>
      </c>
      <c r="R488" s="66">
        <f>$L488-$N488</f>
        <v/>
      </c>
      <c r="S488" s="65">
        <f>"WIP journal"</f>
        <v/>
      </c>
      <c r="T488" s="65">
        <f>IFERROR(INDEX(tbl_WIP[Revenue or Cost],$A488),"")</f>
        <v/>
      </c>
    </row>
    <row r="489">
      <c r="A489" s="63">
        <f>ROW()-407</f>
        <v/>
      </c>
      <c r="B489" s="64">
        <f>IFERROR(INDEX(tbl_WIP[Month],$A489),"")</f>
        <v/>
      </c>
      <c r="C489" s="65">
        <f>IFERROR(INDEX(tbl_WIP[Xero Invoice No],$A489),"")</f>
        <v/>
      </c>
      <c r="D489" s="65">
        <f>IFERROR(INDEX(tbl_WIP[Client],$A489),"")</f>
        <v/>
      </c>
      <c r="E489" s="65">
        <f>IFERROR(INDEX(tbl_WIP[Job Number],$A489),"")</f>
        <v/>
      </c>
      <c r="F489" s="65">
        <f>IFERROR(INDEX(tbl_WIP[Cost Centre],$A489),"")</f>
        <v/>
      </c>
      <c r="G489" s="66">
        <f>IFERROR(IF(INDEX(tbl_WIP[Defer Start],$A489)="","",IF(INDEX(tbl_WIP[Revenue or Cost],$A489)="Cost",-1,1)*INDEX(tbl_WIP[Amount],$A489)),"")</f>
        <v/>
      </c>
      <c r="H489" s="64">
        <f>IFERROR(INDEX(tbl_WIP[Defer Start],$A489),"")</f>
        <v/>
      </c>
      <c r="I489" s="64">
        <f>IFERROR(INDEX(tbl_WIP[Defer End],$A489),"")</f>
        <v/>
      </c>
      <c r="J489" s="63">
        <f>IF(OR($H489="",$I489="",$G489=""),"",MAX(1,(YEAR($I489)-YEAR($H489))*12+MONTH($I489)-MONTH($H489)+1))</f>
        <v/>
      </c>
      <c r="K489" s="66">
        <f>IF($J489="","",$G489/$J489)</f>
        <v/>
      </c>
      <c r="L489" s="66">
        <f>IF($J489="",0,$K489*MAX(0,MIN(YEAR($C$3)*12+MONTH($C$3),YEAR($I489)*12+MONTH($I489))-(YEAR($H489)*12+MONTH($H489))+1))</f>
        <v/>
      </c>
      <c r="M489" s="66">
        <f>IF($J489="",0,$K489*MAX(0,MIN(YEAR($C$3)*12+MONTH($C$3)-1,YEAR($I489)*12+MONTH($I489))-(YEAR($H489)*12+MONTH($H489))+1))</f>
        <v/>
      </c>
      <c r="N489" s="66">
        <f>IF(OR($J489="",$B489=""),0,IF(YEAR($B489)*12+MONTH($B489)&lt;=YEAR($C$3)*12+MONTH($C$3),$G489,0))</f>
        <v/>
      </c>
      <c r="O489" s="66">
        <f>IF(OR($J489="",$B489=""),0,IF(YEAR($B489)*12+MONTH($B489)&lt;=YEAR($C$3)*12+MONTH($C$3)-1,$G489,0))</f>
        <v/>
      </c>
      <c r="P489" s="66">
        <f>$M489-$O489</f>
        <v/>
      </c>
      <c r="Q489" s="66">
        <f>($L489-$M489)-($N489-$O489)</f>
        <v/>
      </c>
      <c r="R489" s="66">
        <f>$L489-$N489</f>
        <v/>
      </c>
      <c r="S489" s="65">
        <f>"WIP journal"</f>
        <v/>
      </c>
      <c r="T489" s="65">
        <f>IFERROR(INDEX(tbl_WIP[Revenue or Cost],$A489),"")</f>
        <v/>
      </c>
    </row>
    <row r="490">
      <c r="A490" s="63">
        <f>ROW()-407</f>
        <v/>
      </c>
      <c r="B490" s="64">
        <f>IFERROR(INDEX(tbl_WIP[Month],$A490),"")</f>
        <v/>
      </c>
      <c r="C490" s="65">
        <f>IFERROR(INDEX(tbl_WIP[Xero Invoice No],$A490),"")</f>
        <v/>
      </c>
      <c r="D490" s="65">
        <f>IFERROR(INDEX(tbl_WIP[Client],$A490),"")</f>
        <v/>
      </c>
      <c r="E490" s="65">
        <f>IFERROR(INDEX(tbl_WIP[Job Number],$A490),"")</f>
        <v/>
      </c>
      <c r="F490" s="65">
        <f>IFERROR(INDEX(tbl_WIP[Cost Centre],$A490),"")</f>
        <v/>
      </c>
      <c r="G490" s="66">
        <f>IFERROR(IF(INDEX(tbl_WIP[Defer Start],$A490)="","",IF(INDEX(tbl_WIP[Revenue or Cost],$A490)="Cost",-1,1)*INDEX(tbl_WIP[Amount],$A490)),"")</f>
        <v/>
      </c>
      <c r="H490" s="64">
        <f>IFERROR(INDEX(tbl_WIP[Defer Start],$A490),"")</f>
        <v/>
      </c>
      <c r="I490" s="64">
        <f>IFERROR(INDEX(tbl_WIP[Defer End],$A490),"")</f>
        <v/>
      </c>
      <c r="J490" s="63">
        <f>IF(OR($H490="",$I490="",$G490=""),"",MAX(1,(YEAR($I490)-YEAR($H490))*12+MONTH($I490)-MONTH($H490)+1))</f>
        <v/>
      </c>
      <c r="K490" s="66">
        <f>IF($J490="","",$G490/$J490)</f>
        <v/>
      </c>
      <c r="L490" s="66">
        <f>IF($J490="",0,$K490*MAX(0,MIN(YEAR($C$3)*12+MONTH($C$3),YEAR($I490)*12+MONTH($I490))-(YEAR($H490)*12+MONTH($H490))+1))</f>
        <v/>
      </c>
      <c r="M490" s="66">
        <f>IF($J490="",0,$K490*MAX(0,MIN(YEAR($C$3)*12+MONTH($C$3)-1,YEAR($I490)*12+MONTH($I490))-(YEAR($H490)*12+MONTH($H490))+1))</f>
        <v/>
      </c>
      <c r="N490" s="66">
        <f>IF(OR($J490="",$B490=""),0,IF(YEAR($B490)*12+MONTH($B490)&lt;=YEAR($C$3)*12+MONTH($C$3),$G490,0))</f>
        <v/>
      </c>
      <c r="O490" s="66">
        <f>IF(OR($J490="",$B490=""),0,IF(YEAR($B490)*12+MONTH($B490)&lt;=YEAR($C$3)*12+MONTH($C$3)-1,$G490,0))</f>
        <v/>
      </c>
      <c r="P490" s="66">
        <f>$M490-$O490</f>
        <v/>
      </c>
      <c r="Q490" s="66">
        <f>($L490-$M490)-($N490-$O490)</f>
        <v/>
      </c>
      <c r="R490" s="66">
        <f>$L490-$N490</f>
        <v/>
      </c>
      <c r="S490" s="65">
        <f>"WIP journal"</f>
        <v/>
      </c>
      <c r="T490" s="65">
        <f>IFERROR(INDEX(tbl_WIP[Revenue or Cost],$A490),"")</f>
        <v/>
      </c>
    </row>
    <row r="491">
      <c r="A491" s="63">
        <f>ROW()-407</f>
        <v/>
      </c>
      <c r="B491" s="64">
        <f>IFERROR(INDEX(tbl_WIP[Month],$A491),"")</f>
        <v/>
      </c>
      <c r="C491" s="65">
        <f>IFERROR(INDEX(tbl_WIP[Xero Invoice No],$A491),"")</f>
        <v/>
      </c>
      <c r="D491" s="65">
        <f>IFERROR(INDEX(tbl_WIP[Client],$A491),"")</f>
        <v/>
      </c>
      <c r="E491" s="65">
        <f>IFERROR(INDEX(tbl_WIP[Job Number],$A491),"")</f>
        <v/>
      </c>
      <c r="F491" s="65">
        <f>IFERROR(INDEX(tbl_WIP[Cost Centre],$A491),"")</f>
        <v/>
      </c>
      <c r="G491" s="66">
        <f>IFERROR(IF(INDEX(tbl_WIP[Defer Start],$A491)="","",IF(INDEX(tbl_WIP[Revenue or Cost],$A491)="Cost",-1,1)*INDEX(tbl_WIP[Amount],$A491)),"")</f>
        <v/>
      </c>
      <c r="H491" s="64">
        <f>IFERROR(INDEX(tbl_WIP[Defer Start],$A491),"")</f>
        <v/>
      </c>
      <c r="I491" s="64">
        <f>IFERROR(INDEX(tbl_WIP[Defer End],$A491),"")</f>
        <v/>
      </c>
      <c r="J491" s="63">
        <f>IF(OR($H491="",$I491="",$G491=""),"",MAX(1,(YEAR($I491)-YEAR($H491))*12+MONTH($I491)-MONTH($H491)+1))</f>
        <v/>
      </c>
      <c r="K491" s="66">
        <f>IF($J491="","",$G491/$J491)</f>
        <v/>
      </c>
      <c r="L491" s="66">
        <f>IF($J491="",0,$K491*MAX(0,MIN(YEAR($C$3)*12+MONTH($C$3),YEAR($I491)*12+MONTH($I491))-(YEAR($H491)*12+MONTH($H491))+1))</f>
        <v/>
      </c>
      <c r="M491" s="66">
        <f>IF($J491="",0,$K491*MAX(0,MIN(YEAR($C$3)*12+MONTH($C$3)-1,YEAR($I491)*12+MONTH($I491))-(YEAR($H491)*12+MONTH($H491))+1))</f>
        <v/>
      </c>
      <c r="N491" s="66">
        <f>IF(OR($J491="",$B491=""),0,IF(YEAR($B491)*12+MONTH($B491)&lt;=YEAR($C$3)*12+MONTH($C$3),$G491,0))</f>
        <v/>
      </c>
      <c r="O491" s="66">
        <f>IF(OR($J491="",$B491=""),0,IF(YEAR($B491)*12+MONTH($B491)&lt;=YEAR($C$3)*12+MONTH($C$3)-1,$G491,0))</f>
        <v/>
      </c>
      <c r="P491" s="66">
        <f>$M491-$O491</f>
        <v/>
      </c>
      <c r="Q491" s="66">
        <f>($L491-$M491)-($N491-$O491)</f>
        <v/>
      </c>
      <c r="R491" s="66">
        <f>$L491-$N491</f>
        <v/>
      </c>
      <c r="S491" s="65">
        <f>"WIP journal"</f>
        <v/>
      </c>
      <c r="T491" s="65">
        <f>IFERROR(INDEX(tbl_WIP[Revenue or Cost],$A491),"")</f>
        <v/>
      </c>
    </row>
    <row r="492">
      <c r="A492" s="63">
        <f>ROW()-407</f>
        <v/>
      </c>
      <c r="B492" s="64">
        <f>IFERROR(INDEX(tbl_WIP[Month],$A492),"")</f>
        <v/>
      </c>
      <c r="C492" s="65">
        <f>IFERROR(INDEX(tbl_WIP[Xero Invoice No],$A492),"")</f>
        <v/>
      </c>
      <c r="D492" s="65">
        <f>IFERROR(INDEX(tbl_WIP[Client],$A492),"")</f>
        <v/>
      </c>
      <c r="E492" s="65">
        <f>IFERROR(INDEX(tbl_WIP[Job Number],$A492),"")</f>
        <v/>
      </c>
      <c r="F492" s="65">
        <f>IFERROR(INDEX(tbl_WIP[Cost Centre],$A492),"")</f>
        <v/>
      </c>
      <c r="G492" s="66">
        <f>IFERROR(IF(INDEX(tbl_WIP[Defer Start],$A492)="","",IF(INDEX(tbl_WIP[Revenue or Cost],$A492)="Cost",-1,1)*INDEX(tbl_WIP[Amount],$A492)),"")</f>
        <v/>
      </c>
      <c r="H492" s="64">
        <f>IFERROR(INDEX(tbl_WIP[Defer Start],$A492),"")</f>
        <v/>
      </c>
      <c r="I492" s="64">
        <f>IFERROR(INDEX(tbl_WIP[Defer End],$A492),"")</f>
        <v/>
      </c>
      <c r="J492" s="63">
        <f>IF(OR($H492="",$I492="",$G492=""),"",MAX(1,(YEAR($I492)-YEAR($H492))*12+MONTH($I492)-MONTH($H492)+1))</f>
        <v/>
      </c>
      <c r="K492" s="66">
        <f>IF($J492="","",$G492/$J492)</f>
        <v/>
      </c>
      <c r="L492" s="66">
        <f>IF($J492="",0,$K492*MAX(0,MIN(YEAR($C$3)*12+MONTH($C$3),YEAR($I492)*12+MONTH($I492))-(YEAR($H492)*12+MONTH($H492))+1))</f>
        <v/>
      </c>
      <c r="M492" s="66">
        <f>IF($J492="",0,$K492*MAX(0,MIN(YEAR($C$3)*12+MONTH($C$3)-1,YEAR($I492)*12+MONTH($I492))-(YEAR($H492)*12+MONTH($H492))+1))</f>
        <v/>
      </c>
      <c r="N492" s="66">
        <f>IF(OR($J492="",$B492=""),0,IF(YEAR($B492)*12+MONTH($B492)&lt;=YEAR($C$3)*12+MONTH($C$3),$G492,0))</f>
        <v/>
      </c>
      <c r="O492" s="66">
        <f>IF(OR($J492="",$B492=""),0,IF(YEAR($B492)*12+MONTH($B492)&lt;=YEAR($C$3)*12+MONTH($C$3)-1,$G492,0))</f>
        <v/>
      </c>
      <c r="P492" s="66">
        <f>$M492-$O492</f>
        <v/>
      </c>
      <c r="Q492" s="66">
        <f>($L492-$M492)-($N492-$O492)</f>
        <v/>
      </c>
      <c r="R492" s="66">
        <f>$L492-$N492</f>
        <v/>
      </c>
      <c r="S492" s="65">
        <f>"WIP journal"</f>
        <v/>
      </c>
      <c r="T492" s="65">
        <f>IFERROR(INDEX(tbl_WIP[Revenue or Cost],$A492),"")</f>
        <v/>
      </c>
    </row>
    <row r="493">
      <c r="A493" s="63">
        <f>ROW()-407</f>
        <v/>
      </c>
      <c r="B493" s="64">
        <f>IFERROR(INDEX(tbl_WIP[Month],$A493),"")</f>
        <v/>
      </c>
      <c r="C493" s="65">
        <f>IFERROR(INDEX(tbl_WIP[Xero Invoice No],$A493),"")</f>
        <v/>
      </c>
      <c r="D493" s="65">
        <f>IFERROR(INDEX(tbl_WIP[Client],$A493),"")</f>
        <v/>
      </c>
      <c r="E493" s="65">
        <f>IFERROR(INDEX(tbl_WIP[Job Number],$A493),"")</f>
        <v/>
      </c>
      <c r="F493" s="65">
        <f>IFERROR(INDEX(tbl_WIP[Cost Centre],$A493),"")</f>
        <v/>
      </c>
      <c r="G493" s="66">
        <f>IFERROR(IF(INDEX(tbl_WIP[Defer Start],$A493)="","",IF(INDEX(tbl_WIP[Revenue or Cost],$A493)="Cost",-1,1)*INDEX(tbl_WIP[Amount],$A493)),"")</f>
        <v/>
      </c>
      <c r="H493" s="64">
        <f>IFERROR(INDEX(tbl_WIP[Defer Start],$A493),"")</f>
        <v/>
      </c>
      <c r="I493" s="64">
        <f>IFERROR(INDEX(tbl_WIP[Defer End],$A493),"")</f>
        <v/>
      </c>
      <c r="J493" s="63">
        <f>IF(OR($H493="",$I493="",$G493=""),"",MAX(1,(YEAR($I493)-YEAR($H493))*12+MONTH($I493)-MONTH($H493)+1))</f>
        <v/>
      </c>
      <c r="K493" s="66">
        <f>IF($J493="","",$G493/$J493)</f>
        <v/>
      </c>
      <c r="L493" s="66">
        <f>IF($J493="",0,$K493*MAX(0,MIN(YEAR($C$3)*12+MONTH($C$3),YEAR($I493)*12+MONTH($I493))-(YEAR($H493)*12+MONTH($H493))+1))</f>
        <v/>
      </c>
      <c r="M493" s="66">
        <f>IF($J493="",0,$K493*MAX(0,MIN(YEAR($C$3)*12+MONTH($C$3)-1,YEAR($I493)*12+MONTH($I493))-(YEAR($H493)*12+MONTH($H493))+1))</f>
        <v/>
      </c>
      <c r="N493" s="66">
        <f>IF(OR($J493="",$B493=""),0,IF(YEAR($B493)*12+MONTH($B493)&lt;=YEAR($C$3)*12+MONTH($C$3),$G493,0))</f>
        <v/>
      </c>
      <c r="O493" s="66">
        <f>IF(OR($J493="",$B493=""),0,IF(YEAR($B493)*12+MONTH($B493)&lt;=YEAR($C$3)*12+MONTH($C$3)-1,$G493,0))</f>
        <v/>
      </c>
      <c r="P493" s="66">
        <f>$M493-$O493</f>
        <v/>
      </c>
      <c r="Q493" s="66">
        <f>($L493-$M493)-($N493-$O493)</f>
        <v/>
      </c>
      <c r="R493" s="66">
        <f>$L493-$N493</f>
        <v/>
      </c>
      <c r="S493" s="65">
        <f>"WIP journal"</f>
        <v/>
      </c>
      <c r="T493" s="65">
        <f>IFERROR(INDEX(tbl_WIP[Revenue or Cost],$A493),"")</f>
        <v/>
      </c>
    </row>
    <row r="494">
      <c r="A494" s="63">
        <f>ROW()-407</f>
        <v/>
      </c>
      <c r="B494" s="64">
        <f>IFERROR(INDEX(tbl_WIP[Month],$A494),"")</f>
        <v/>
      </c>
      <c r="C494" s="65">
        <f>IFERROR(INDEX(tbl_WIP[Xero Invoice No],$A494),"")</f>
        <v/>
      </c>
      <c r="D494" s="65">
        <f>IFERROR(INDEX(tbl_WIP[Client],$A494),"")</f>
        <v/>
      </c>
      <c r="E494" s="65">
        <f>IFERROR(INDEX(tbl_WIP[Job Number],$A494),"")</f>
        <v/>
      </c>
      <c r="F494" s="65">
        <f>IFERROR(INDEX(tbl_WIP[Cost Centre],$A494),"")</f>
        <v/>
      </c>
      <c r="G494" s="66">
        <f>IFERROR(IF(INDEX(tbl_WIP[Defer Start],$A494)="","",IF(INDEX(tbl_WIP[Revenue or Cost],$A494)="Cost",-1,1)*INDEX(tbl_WIP[Amount],$A494)),"")</f>
        <v/>
      </c>
      <c r="H494" s="64">
        <f>IFERROR(INDEX(tbl_WIP[Defer Start],$A494),"")</f>
        <v/>
      </c>
      <c r="I494" s="64">
        <f>IFERROR(INDEX(tbl_WIP[Defer End],$A494),"")</f>
        <v/>
      </c>
      <c r="J494" s="63">
        <f>IF(OR($H494="",$I494="",$G494=""),"",MAX(1,(YEAR($I494)-YEAR($H494))*12+MONTH($I494)-MONTH($H494)+1))</f>
        <v/>
      </c>
      <c r="K494" s="66">
        <f>IF($J494="","",$G494/$J494)</f>
        <v/>
      </c>
      <c r="L494" s="66">
        <f>IF($J494="",0,$K494*MAX(0,MIN(YEAR($C$3)*12+MONTH($C$3),YEAR($I494)*12+MONTH($I494))-(YEAR($H494)*12+MONTH($H494))+1))</f>
        <v/>
      </c>
      <c r="M494" s="66">
        <f>IF($J494="",0,$K494*MAX(0,MIN(YEAR($C$3)*12+MONTH($C$3)-1,YEAR($I494)*12+MONTH($I494))-(YEAR($H494)*12+MONTH($H494))+1))</f>
        <v/>
      </c>
      <c r="N494" s="66">
        <f>IF(OR($J494="",$B494=""),0,IF(YEAR($B494)*12+MONTH($B494)&lt;=YEAR($C$3)*12+MONTH($C$3),$G494,0))</f>
        <v/>
      </c>
      <c r="O494" s="66">
        <f>IF(OR($J494="",$B494=""),0,IF(YEAR($B494)*12+MONTH($B494)&lt;=YEAR($C$3)*12+MONTH($C$3)-1,$G494,0))</f>
        <v/>
      </c>
      <c r="P494" s="66">
        <f>$M494-$O494</f>
        <v/>
      </c>
      <c r="Q494" s="66">
        <f>($L494-$M494)-($N494-$O494)</f>
        <v/>
      </c>
      <c r="R494" s="66">
        <f>$L494-$N494</f>
        <v/>
      </c>
      <c r="S494" s="65">
        <f>"WIP journal"</f>
        <v/>
      </c>
      <c r="T494" s="65">
        <f>IFERROR(INDEX(tbl_WIP[Revenue or Cost],$A494),"")</f>
        <v/>
      </c>
    </row>
    <row r="495">
      <c r="A495" s="63">
        <f>ROW()-407</f>
        <v/>
      </c>
      <c r="B495" s="64">
        <f>IFERROR(INDEX(tbl_WIP[Month],$A495),"")</f>
        <v/>
      </c>
      <c r="C495" s="65">
        <f>IFERROR(INDEX(tbl_WIP[Xero Invoice No],$A495),"")</f>
        <v/>
      </c>
      <c r="D495" s="65">
        <f>IFERROR(INDEX(tbl_WIP[Client],$A495),"")</f>
        <v/>
      </c>
      <c r="E495" s="65">
        <f>IFERROR(INDEX(tbl_WIP[Job Number],$A495),"")</f>
        <v/>
      </c>
      <c r="F495" s="65">
        <f>IFERROR(INDEX(tbl_WIP[Cost Centre],$A495),"")</f>
        <v/>
      </c>
      <c r="G495" s="66">
        <f>IFERROR(IF(INDEX(tbl_WIP[Defer Start],$A495)="","",IF(INDEX(tbl_WIP[Revenue or Cost],$A495)="Cost",-1,1)*INDEX(tbl_WIP[Amount],$A495)),"")</f>
        <v/>
      </c>
      <c r="H495" s="64">
        <f>IFERROR(INDEX(tbl_WIP[Defer Start],$A495),"")</f>
        <v/>
      </c>
      <c r="I495" s="64">
        <f>IFERROR(INDEX(tbl_WIP[Defer End],$A495),"")</f>
        <v/>
      </c>
      <c r="J495" s="63">
        <f>IF(OR($H495="",$I495="",$G495=""),"",MAX(1,(YEAR($I495)-YEAR($H495))*12+MONTH($I495)-MONTH($H495)+1))</f>
        <v/>
      </c>
      <c r="K495" s="66">
        <f>IF($J495="","",$G495/$J495)</f>
        <v/>
      </c>
      <c r="L495" s="66">
        <f>IF($J495="",0,$K495*MAX(0,MIN(YEAR($C$3)*12+MONTH($C$3),YEAR($I495)*12+MONTH($I495))-(YEAR($H495)*12+MONTH($H495))+1))</f>
        <v/>
      </c>
      <c r="M495" s="66">
        <f>IF($J495="",0,$K495*MAX(0,MIN(YEAR($C$3)*12+MONTH($C$3)-1,YEAR($I495)*12+MONTH($I495))-(YEAR($H495)*12+MONTH($H495))+1))</f>
        <v/>
      </c>
      <c r="N495" s="66">
        <f>IF(OR($J495="",$B495=""),0,IF(YEAR($B495)*12+MONTH($B495)&lt;=YEAR($C$3)*12+MONTH($C$3),$G495,0))</f>
        <v/>
      </c>
      <c r="O495" s="66">
        <f>IF(OR($J495="",$B495=""),0,IF(YEAR($B495)*12+MONTH($B495)&lt;=YEAR($C$3)*12+MONTH($C$3)-1,$G495,0))</f>
        <v/>
      </c>
      <c r="P495" s="66">
        <f>$M495-$O495</f>
        <v/>
      </c>
      <c r="Q495" s="66">
        <f>($L495-$M495)-($N495-$O495)</f>
        <v/>
      </c>
      <c r="R495" s="66">
        <f>$L495-$N495</f>
        <v/>
      </c>
      <c r="S495" s="65">
        <f>"WIP journal"</f>
        <v/>
      </c>
      <c r="T495" s="65">
        <f>IFERROR(INDEX(tbl_WIP[Revenue or Cost],$A495),"")</f>
        <v/>
      </c>
    </row>
    <row r="496">
      <c r="A496" s="63">
        <f>ROW()-407</f>
        <v/>
      </c>
      <c r="B496" s="64">
        <f>IFERROR(INDEX(tbl_WIP[Month],$A496),"")</f>
        <v/>
      </c>
      <c r="C496" s="65">
        <f>IFERROR(INDEX(tbl_WIP[Xero Invoice No],$A496),"")</f>
        <v/>
      </c>
      <c r="D496" s="65">
        <f>IFERROR(INDEX(tbl_WIP[Client],$A496),"")</f>
        <v/>
      </c>
      <c r="E496" s="65">
        <f>IFERROR(INDEX(tbl_WIP[Job Number],$A496),"")</f>
        <v/>
      </c>
      <c r="F496" s="65">
        <f>IFERROR(INDEX(tbl_WIP[Cost Centre],$A496),"")</f>
        <v/>
      </c>
      <c r="G496" s="66">
        <f>IFERROR(IF(INDEX(tbl_WIP[Defer Start],$A496)="","",IF(INDEX(tbl_WIP[Revenue or Cost],$A496)="Cost",-1,1)*INDEX(tbl_WIP[Amount],$A496)),"")</f>
        <v/>
      </c>
      <c r="H496" s="64">
        <f>IFERROR(INDEX(tbl_WIP[Defer Start],$A496),"")</f>
        <v/>
      </c>
      <c r="I496" s="64">
        <f>IFERROR(INDEX(tbl_WIP[Defer End],$A496),"")</f>
        <v/>
      </c>
      <c r="J496" s="63">
        <f>IF(OR($H496="",$I496="",$G496=""),"",MAX(1,(YEAR($I496)-YEAR($H496))*12+MONTH($I496)-MONTH($H496)+1))</f>
        <v/>
      </c>
      <c r="K496" s="66">
        <f>IF($J496="","",$G496/$J496)</f>
        <v/>
      </c>
      <c r="L496" s="66">
        <f>IF($J496="",0,$K496*MAX(0,MIN(YEAR($C$3)*12+MONTH($C$3),YEAR($I496)*12+MONTH($I496))-(YEAR($H496)*12+MONTH($H496))+1))</f>
        <v/>
      </c>
      <c r="M496" s="66">
        <f>IF($J496="",0,$K496*MAX(0,MIN(YEAR($C$3)*12+MONTH($C$3)-1,YEAR($I496)*12+MONTH($I496))-(YEAR($H496)*12+MONTH($H496))+1))</f>
        <v/>
      </c>
      <c r="N496" s="66">
        <f>IF(OR($J496="",$B496=""),0,IF(YEAR($B496)*12+MONTH($B496)&lt;=YEAR($C$3)*12+MONTH($C$3),$G496,0))</f>
        <v/>
      </c>
      <c r="O496" s="66">
        <f>IF(OR($J496="",$B496=""),0,IF(YEAR($B496)*12+MONTH($B496)&lt;=YEAR($C$3)*12+MONTH($C$3)-1,$G496,0))</f>
        <v/>
      </c>
      <c r="P496" s="66">
        <f>$M496-$O496</f>
        <v/>
      </c>
      <c r="Q496" s="66">
        <f>($L496-$M496)-($N496-$O496)</f>
        <v/>
      </c>
      <c r="R496" s="66">
        <f>$L496-$N496</f>
        <v/>
      </c>
      <c r="S496" s="65">
        <f>"WIP journal"</f>
        <v/>
      </c>
      <c r="T496" s="65">
        <f>IFERROR(INDEX(tbl_WIP[Revenue or Cost],$A496),"")</f>
        <v/>
      </c>
    </row>
    <row r="497">
      <c r="A497" s="63">
        <f>ROW()-407</f>
        <v/>
      </c>
      <c r="B497" s="64">
        <f>IFERROR(INDEX(tbl_WIP[Month],$A497),"")</f>
        <v/>
      </c>
      <c r="C497" s="65">
        <f>IFERROR(INDEX(tbl_WIP[Xero Invoice No],$A497),"")</f>
        <v/>
      </c>
      <c r="D497" s="65">
        <f>IFERROR(INDEX(tbl_WIP[Client],$A497),"")</f>
        <v/>
      </c>
      <c r="E497" s="65">
        <f>IFERROR(INDEX(tbl_WIP[Job Number],$A497),"")</f>
        <v/>
      </c>
      <c r="F497" s="65">
        <f>IFERROR(INDEX(tbl_WIP[Cost Centre],$A497),"")</f>
        <v/>
      </c>
      <c r="G497" s="66">
        <f>IFERROR(IF(INDEX(tbl_WIP[Defer Start],$A497)="","",IF(INDEX(tbl_WIP[Revenue or Cost],$A497)="Cost",-1,1)*INDEX(tbl_WIP[Amount],$A497)),"")</f>
        <v/>
      </c>
      <c r="H497" s="64">
        <f>IFERROR(INDEX(tbl_WIP[Defer Start],$A497),"")</f>
        <v/>
      </c>
      <c r="I497" s="64">
        <f>IFERROR(INDEX(tbl_WIP[Defer End],$A497),"")</f>
        <v/>
      </c>
      <c r="J497" s="63">
        <f>IF(OR($H497="",$I497="",$G497=""),"",MAX(1,(YEAR($I497)-YEAR($H497))*12+MONTH($I497)-MONTH($H497)+1))</f>
        <v/>
      </c>
      <c r="K497" s="66">
        <f>IF($J497="","",$G497/$J497)</f>
        <v/>
      </c>
      <c r="L497" s="66">
        <f>IF($J497="",0,$K497*MAX(0,MIN(YEAR($C$3)*12+MONTH($C$3),YEAR($I497)*12+MONTH($I497))-(YEAR($H497)*12+MONTH($H497))+1))</f>
        <v/>
      </c>
      <c r="M497" s="66">
        <f>IF($J497="",0,$K497*MAX(0,MIN(YEAR($C$3)*12+MONTH($C$3)-1,YEAR($I497)*12+MONTH($I497))-(YEAR($H497)*12+MONTH($H497))+1))</f>
        <v/>
      </c>
      <c r="N497" s="66">
        <f>IF(OR($J497="",$B497=""),0,IF(YEAR($B497)*12+MONTH($B497)&lt;=YEAR($C$3)*12+MONTH($C$3),$G497,0))</f>
        <v/>
      </c>
      <c r="O497" s="66">
        <f>IF(OR($J497="",$B497=""),0,IF(YEAR($B497)*12+MONTH($B497)&lt;=YEAR($C$3)*12+MONTH($C$3)-1,$G497,0))</f>
        <v/>
      </c>
      <c r="P497" s="66">
        <f>$M497-$O497</f>
        <v/>
      </c>
      <c r="Q497" s="66">
        <f>($L497-$M497)-($N497-$O497)</f>
        <v/>
      </c>
      <c r="R497" s="66">
        <f>$L497-$N497</f>
        <v/>
      </c>
      <c r="S497" s="65">
        <f>"WIP journal"</f>
        <v/>
      </c>
      <c r="T497" s="65">
        <f>IFERROR(INDEX(tbl_WIP[Revenue or Cost],$A497),"")</f>
        <v/>
      </c>
    </row>
    <row r="498">
      <c r="A498" s="63">
        <f>ROW()-407</f>
        <v/>
      </c>
      <c r="B498" s="64">
        <f>IFERROR(INDEX(tbl_WIP[Month],$A498),"")</f>
        <v/>
      </c>
      <c r="C498" s="65">
        <f>IFERROR(INDEX(tbl_WIP[Xero Invoice No],$A498),"")</f>
        <v/>
      </c>
      <c r="D498" s="65">
        <f>IFERROR(INDEX(tbl_WIP[Client],$A498),"")</f>
        <v/>
      </c>
      <c r="E498" s="65">
        <f>IFERROR(INDEX(tbl_WIP[Job Number],$A498),"")</f>
        <v/>
      </c>
      <c r="F498" s="65">
        <f>IFERROR(INDEX(tbl_WIP[Cost Centre],$A498),"")</f>
        <v/>
      </c>
      <c r="G498" s="66">
        <f>IFERROR(IF(INDEX(tbl_WIP[Defer Start],$A498)="","",IF(INDEX(tbl_WIP[Revenue or Cost],$A498)="Cost",-1,1)*INDEX(tbl_WIP[Amount],$A498)),"")</f>
        <v/>
      </c>
      <c r="H498" s="64">
        <f>IFERROR(INDEX(tbl_WIP[Defer Start],$A498),"")</f>
        <v/>
      </c>
      <c r="I498" s="64">
        <f>IFERROR(INDEX(tbl_WIP[Defer End],$A498),"")</f>
        <v/>
      </c>
      <c r="J498" s="63">
        <f>IF(OR($H498="",$I498="",$G498=""),"",MAX(1,(YEAR($I498)-YEAR($H498))*12+MONTH($I498)-MONTH($H498)+1))</f>
        <v/>
      </c>
      <c r="K498" s="66">
        <f>IF($J498="","",$G498/$J498)</f>
        <v/>
      </c>
      <c r="L498" s="66">
        <f>IF($J498="",0,$K498*MAX(0,MIN(YEAR($C$3)*12+MONTH($C$3),YEAR($I498)*12+MONTH($I498))-(YEAR($H498)*12+MONTH($H498))+1))</f>
        <v/>
      </c>
      <c r="M498" s="66">
        <f>IF($J498="",0,$K498*MAX(0,MIN(YEAR($C$3)*12+MONTH($C$3)-1,YEAR($I498)*12+MONTH($I498))-(YEAR($H498)*12+MONTH($H498))+1))</f>
        <v/>
      </c>
      <c r="N498" s="66">
        <f>IF(OR($J498="",$B498=""),0,IF(YEAR($B498)*12+MONTH($B498)&lt;=YEAR($C$3)*12+MONTH($C$3),$G498,0))</f>
        <v/>
      </c>
      <c r="O498" s="66">
        <f>IF(OR($J498="",$B498=""),0,IF(YEAR($B498)*12+MONTH($B498)&lt;=YEAR($C$3)*12+MONTH($C$3)-1,$G498,0))</f>
        <v/>
      </c>
      <c r="P498" s="66">
        <f>$M498-$O498</f>
        <v/>
      </c>
      <c r="Q498" s="66">
        <f>($L498-$M498)-($N498-$O498)</f>
        <v/>
      </c>
      <c r="R498" s="66">
        <f>$L498-$N498</f>
        <v/>
      </c>
      <c r="S498" s="65">
        <f>"WIP journal"</f>
        <v/>
      </c>
      <c r="T498" s="65">
        <f>IFERROR(INDEX(tbl_WIP[Revenue or Cost],$A498),"")</f>
        <v/>
      </c>
    </row>
    <row r="499">
      <c r="A499" s="63">
        <f>ROW()-407</f>
        <v/>
      </c>
      <c r="B499" s="64">
        <f>IFERROR(INDEX(tbl_WIP[Month],$A499),"")</f>
        <v/>
      </c>
      <c r="C499" s="65">
        <f>IFERROR(INDEX(tbl_WIP[Xero Invoice No],$A499),"")</f>
        <v/>
      </c>
      <c r="D499" s="65">
        <f>IFERROR(INDEX(tbl_WIP[Client],$A499),"")</f>
        <v/>
      </c>
      <c r="E499" s="65">
        <f>IFERROR(INDEX(tbl_WIP[Job Number],$A499),"")</f>
        <v/>
      </c>
      <c r="F499" s="65">
        <f>IFERROR(INDEX(tbl_WIP[Cost Centre],$A499),"")</f>
        <v/>
      </c>
      <c r="G499" s="66">
        <f>IFERROR(IF(INDEX(tbl_WIP[Defer Start],$A499)="","",IF(INDEX(tbl_WIP[Revenue or Cost],$A499)="Cost",-1,1)*INDEX(tbl_WIP[Amount],$A499)),"")</f>
        <v/>
      </c>
      <c r="H499" s="64">
        <f>IFERROR(INDEX(tbl_WIP[Defer Start],$A499),"")</f>
        <v/>
      </c>
      <c r="I499" s="64">
        <f>IFERROR(INDEX(tbl_WIP[Defer End],$A499),"")</f>
        <v/>
      </c>
      <c r="J499" s="63">
        <f>IF(OR($H499="",$I499="",$G499=""),"",MAX(1,(YEAR($I499)-YEAR($H499))*12+MONTH($I499)-MONTH($H499)+1))</f>
        <v/>
      </c>
      <c r="K499" s="66">
        <f>IF($J499="","",$G499/$J499)</f>
        <v/>
      </c>
      <c r="L499" s="66">
        <f>IF($J499="",0,$K499*MAX(0,MIN(YEAR($C$3)*12+MONTH($C$3),YEAR($I499)*12+MONTH($I499))-(YEAR($H499)*12+MONTH($H499))+1))</f>
        <v/>
      </c>
      <c r="M499" s="66">
        <f>IF($J499="",0,$K499*MAX(0,MIN(YEAR($C$3)*12+MONTH($C$3)-1,YEAR($I499)*12+MONTH($I499))-(YEAR($H499)*12+MONTH($H499))+1))</f>
        <v/>
      </c>
      <c r="N499" s="66">
        <f>IF(OR($J499="",$B499=""),0,IF(YEAR($B499)*12+MONTH($B499)&lt;=YEAR($C$3)*12+MONTH($C$3),$G499,0))</f>
        <v/>
      </c>
      <c r="O499" s="66">
        <f>IF(OR($J499="",$B499=""),0,IF(YEAR($B499)*12+MONTH($B499)&lt;=YEAR($C$3)*12+MONTH($C$3)-1,$G499,0))</f>
        <v/>
      </c>
      <c r="P499" s="66">
        <f>$M499-$O499</f>
        <v/>
      </c>
      <c r="Q499" s="66">
        <f>($L499-$M499)-($N499-$O499)</f>
        <v/>
      </c>
      <c r="R499" s="66">
        <f>$L499-$N499</f>
        <v/>
      </c>
      <c r="S499" s="65">
        <f>"WIP journal"</f>
        <v/>
      </c>
      <c r="T499" s="65">
        <f>IFERROR(INDEX(tbl_WIP[Revenue or Cost],$A499),"")</f>
        <v/>
      </c>
    </row>
    <row r="500">
      <c r="A500" s="63">
        <f>ROW()-407</f>
        <v/>
      </c>
      <c r="B500" s="64">
        <f>IFERROR(INDEX(tbl_WIP[Month],$A500),"")</f>
        <v/>
      </c>
      <c r="C500" s="65">
        <f>IFERROR(INDEX(tbl_WIP[Xero Invoice No],$A500),"")</f>
        <v/>
      </c>
      <c r="D500" s="65">
        <f>IFERROR(INDEX(tbl_WIP[Client],$A500),"")</f>
        <v/>
      </c>
      <c r="E500" s="65">
        <f>IFERROR(INDEX(tbl_WIP[Job Number],$A500),"")</f>
        <v/>
      </c>
      <c r="F500" s="65">
        <f>IFERROR(INDEX(tbl_WIP[Cost Centre],$A500),"")</f>
        <v/>
      </c>
      <c r="G500" s="66">
        <f>IFERROR(IF(INDEX(tbl_WIP[Defer Start],$A500)="","",IF(INDEX(tbl_WIP[Revenue or Cost],$A500)="Cost",-1,1)*INDEX(tbl_WIP[Amount],$A500)),"")</f>
        <v/>
      </c>
      <c r="H500" s="64">
        <f>IFERROR(INDEX(tbl_WIP[Defer Start],$A500),"")</f>
        <v/>
      </c>
      <c r="I500" s="64">
        <f>IFERROR(INDEX(tbl_WIP[Defer End],$A500),"")</f>
        <v/>
      </c>
      <c r="J500" s="63">
        <f>IF(OR($H500="",$I500="",$G500=""),"",MAX(1,(YEAR($I500)-YEAR($H500))*12+MONTH($I500)-MONTH($H500)+1))</f>
        <v/>
      </c>
      <c r="K500" s="66">
        <f>IF($J500="","",$G500/$J500)</f>
        <v/>
      </c>
      <c r="L500" s="66">
        <f>IF($J500="",0,$K500*MAX(0,MIN(YEAR($C$3)*12+MONTH($C$3),YEAR($I500)*12+MONTH($I500))-(YEAR($H500)*12+MONTH($H500))+1))</f>
        <v/>
      </c>
      <c r="M500" s="66">
        <f>IF($J500="",0,$K500*MAX(0,MIN(YEAR($C$3)*12+MONTH($C$3)-1,YEAR($I500)*12+MONTH($I500))-(YEAR($H500)*12+MONTH($H500))+1))</f>
        <v/>
      </c>
      <c r="N500" s="66">
        <f>IF(OR($J500="",$B500=""),0,IF(YEAR($B500)*12+MONTH($B500)&lt;=YEAR($C$3)*12+MONTH($C$3),$G500,0))</f>
        <v/>
      </c>
      <c r="O500" s="66">
        <f>IF(OR($J500="",$B500=""),0,IF(YEAR($B500)*12+MONTH($B500)&lt;=YEAR($C$3)*12+MONTH($C$3)-1,$G500,0))</f>
        <v/>
      </c>
      <c r="P500" s="66">
        <f>$M500-$O500</f>
        <v/>
      </c>
      <c r="Q500" s="66">
        <f>($L500-$M500)-($N500-$O500)</f>
        <v/>
      </c>
      <c r="R500" s="66">
        <f>$L500-$N500</f>
        <v/>
      </c>
      <c r="S500" s="65">
        <f>"WIP journal"</f>
        <v/>
      </c>
      <c r="T500" s="65">
        <f>IFERROR(INDEX(tbl_WIP[Revenue or Cost],$A500),"")</f>
        <v/>
      </c>
    </row>
    <row r="501">
      <c r="A501" s="63">
        <f>ROW()-407</f>
        <v/>
      </c>
      <c r="B501" s="64">
        <f>IFERROR(INDEX(tbl_WIP[Month],$A501),"")</f>
        <v/>
      </c>
      <c r="C501" s="65">
        <f>IFERROR(INDEX(tbl_WIP[Xero Invoice No],$A501),"")</f>
        <v/>
      </c>
      <c r="D501" s="65">
        <f>IFERROR(INDEX(tbl_WIP[Client],$A501),"")</f>
        <v/>
      </c>
      <c r="E501" s="65">
        <f>IFERROR(INDEX(tbl_WIP[Job Number],$A501),"")</f>
        <v/>
      </c>
      <c r="F501" s="65">
        <f>IFERROR(INDEX(tbl_WIP[Cost Centre],$A501),"")</f>
        <v/>
      </c>
      <c r="G501" s="66">
        <f>IFERROR(IF(INDEX(tbl_WIP[Defer Start],$A501)="","",IF(INDEX(tbl_WIP[Revenue or Cost],$A501)="Cost",-1,1)*INDEX(tbl_WIP[Amount],$A501)),"")</f>
        <v/>
      </c>
      <c r="H501" s="64">
        <f>IFERROR(INDEX(tbl_WIP[Defer Start],$A501),"")</f>
        <v/>
      </c>
      <c r="I501" s="64">
        <f>IFERROR(INDEX(tbl_WIP[Defer End],$A501),"")</f>
        <v/>
      </c>
      <c r="J501" s="63">
        <f>IF(OR($H501="",$I501="",$G501=""),"",MAX(1,(YEAR($I501)-YEAR($H501))*12+MONTH($I501)-MONTH($H501)+1))</f>
        <v/>
      </c>
      <c r="K501" s="66">
        <f>IF($J501="","",$G501/$J501)</f>
        <v/>
      </c>
      <c r="L501" s="66">
        <f>IF($J501="",0,$K501*MAX(0,MIN(YEAR($C$3)*12+MONTH($C$3),YEAR($I501)*12+MONTH($I501))-(YEAR($H501)*12+MONTH($H501))+1))</f>
        <v/>
      </c>
      <c r="M501" s="66">
        <f>IF($J501="",0,$K501*MAX(0,MIN(YEAR($C$3)*12+MONTH($C$3)-1,YEAR($I501)*12+MONTH($I501))-(YEAR($H501)*12+MONTH($H501))+1))</f>
        <v/>
      </c>
      <c r="N501" s="66">
        <f>IF(OR($J501="",$B501=""),0,IF(YEAR($B501)*12+MONTH($B501)&lt;=YEAR($C$3)*12+MONTH($C$3),$G501,0))</f>
        <v/>
      </c>
      <c r="O501" s="66">
        <f>IF(OR($J501="",$B501=""),0,IF(YEAR($B501)*12+MONTH($B501)&lt;=YEAR($C$3)*12+MONTH($C$3)-1,$G501,0))</f>
        <v/>
      </c>
      <c r="P501" s="66">
        <f>$M501-$O501</f>
        <v/>
      </c>
      <c r="Q501" s="66">
        <f>($L501-$M501)-($N501-$O501)</f>
        <v/>
      </c>
      <c r="R501" s="66">
        <f>$L501-$N501</f>
        <v/>
      </c>
      <c r="S501" s="65">
        <f>"WIP journal"</f>
        <v/>
      </c>
      <c r="T501" s="65">
        <f>IFERROR(INDEX(tbl_WIP[Revenue or Cost],$A501),"")</f>
        <v/>
      </c>
    </row>
    <row r="502">
      <c r="A502" s="63">
        <f>ROW()-407</f>
        <v/>
      </c>
      <c r="B502" s="64">
        <f>IFERROR(INDEX(tbl_WIP[Month],$A502),"")</f>
        <v/>
      </c>
      <c r="C502" s="65">
        <f>IFERROR(INDEX(tbl_WIP[Xero Invoice No],$A502),"")</f>
        <v/>
      </c>
      <c r="D502" s="65">
        <f>IFERROR(INDEX(tbl_WIP[Client],$A502),"")</f>
        <v/>
      </c>
      <c r="E502" s="65">
        <f>IFERROR(INDEX(tbl_WIP[Job Number],$A502),"")</f>
        <v/>
      </c>
      <c r="F502" s="65">
        <f>IFERROR(INDEX(tbl_WIP[Cost Centre],$A502),"")</f>
        <v/>
      </c>
      <c r="G502" s="66">
        <f>IFERROR(IF(INDEX(tbl_WIP[Defer Start],$A502)="","",IF(INDEX(tbl_WIP[Revenue or Cost],$A502)="Cost",-1,1)*INDEX(tbl_WIP[Amount],$A502)),"")</f>
        <v/>
      </c>
      <c r="H502" s="64">
        <f>IFERROR(INDEX(tbl_WIP[Defer Start],$A502),"")</f>
        <v/>
      </c>
      <c r="I502" s="64">
        <f>IFERROR(INDEX(tbl_WIP[Defer End],$A502),"")</f>
        <v/>
      </c>
      <c r="J502" s="63">
        <f>IF(OR($H502="",$I502="",$G502=""),"",MAX(1,(YEAR($I502)-YEAR($H502))*12+MONTH($I502)-MONTH($H502)+1))</f>
        <v/>
      </c>
      <c r="K502" s="66">
        <f>IF($J502="","",$G502/$J502)</f>
        <v/>
      </c>
      <c r="L502" s="66">
        <f>IF($J502="",0,$K502*MAX(0,MIN(YEAR($C$3)*12+MONTH($C$3),YEAR($I502)*12+MONTH($I502))-(YEAR($H502)*12+MONTH($H502))+1))</f>
        <v/>
      </c>
      <c r="M502" s="66">
        <f>IF($J502="",0,$K502*MAX(0,MIN(YEAR($C$3)*12+MONTH($C$3)-1,YEAR($I502)*12+MONTH($I502))-(YEAR($H502)*12+MONTH($H502))+1))</f>
        <v/>
      </c>
      <c r="N502" s="66">
        <f>IF(OR($J502="",$B502=""),0,IF(YEAR($B502)*12+MONTH($B502)&lt;=YEAR($C$3)*12+MONTH($C$3),$G502,0))</f>
        <v/>
      </c>
      <c r="O502" s="66">
        <f>IF(OR($J502="",$B502=""),0,IF(YEAR($B502)*12+MONTH($B502)&lt;=YEAR($C$3)*12+MONTH($C$3)-1,$G502,0))</f>
        <v/>
      </c>
      <c r="P502" s="66">
        <f>$M502-$O502</f>
        <v/>
      </c>
      <c r="Q502" s="66">
        <f>($L502-$M502)-($N502-$O502)</f>
        <v/>
      </c>
      <c r="R502" s="66">
        <f>$L502-$N502</f>
        <v/>
      </c>
      <c r="S502" s="65">
        <f>"WIP journal"</f>
        <v/>
      </c>
      <c r="T502" s="65">
        <f>IFERROR(INDEX(tbl_WIP[Revenue or Cost],$A502),"")</f>
        <v/>
      </c>
    </row>
    <row r="503">
      <c r="A503" s="63">
        <f>ROW()-407</f>
        <v/>
      </c>
      <c r="B503" s="64">
        <f>IFERROR(INDEX(tbl_WIP[Month],$A503),"")</f>
        <v/>
      </c>
      <c r="C503" s="65">
        <f>IFERROR(INDEX(tbl_WIP[Xero Invoice No],$A503),"")</f>
        <v/>
      </c>
      <c r="D503" s="65">
        <f>IFERROR(INDEX(tbl_WIP[Client],$A503),"")</f>
        <v/>
      </c>
      <c r="E503" s="65">
        <f>IFERROR(INDEX(tbl_WIP[Job Number],$A503),"")</f>
        <v/>
      </c>
      <c r="F503" s="65">
        <f>IFERROR(INDEX(tbl_WIP[Cost Centre],$A503),"")</f>
        <v/>
      </c>
      <c r="G503" s="66">
        <f>IFERROR(IF(INDEX(tbl_WIP[Defer Start],$A503)="","",IF(INDEX(tbl_WIP[Revenue or Cost],$A503)="Cost",-1,1)*INDEX(tbl_WIP[Amount],$A503)),"")</f>
        <v/>
      </c>
      <c r="H503" s="64">
        <f>IFERROR(INDEX(tbl_WIP[Defer Start],$A503),"")</f>
        <v/>
      </c>
      <c r="I503" s="64">
        <f>IFERROR(INDEX(tbl_WIP[Defer End],$A503),"")</f>
        <v/>
      </c>
      <c r="J503" s="63">
        <f>IF(OR($H503="",$I503="",$G503=""),"",MAX(1,(YEAR($I503)-YEAR($H503))*12+MONTH($I503)-MONTH($H503)+1))</f>
        <v/>
      </c>
      <c r="K503" s="66">
        <f>IF($J503="","",$G503/$J503)</f>
        <v/>
      </c>
      <c r="L503" s="66">
        <f>IF($J503="",0,$K503*MAX(0,MIN(YEAR($C$3)*12+MONTH($C$3),YEAR($I503)*12+MONTH($I503))-(YEAR($H503)*12+MONTH($H503))+1))</f>
        <v/>
      </c>
      <c r="M503" s="66">
        <f>IF($J503="",0,$K503*MAX(0,MIN(YEAR($C$3)*12+MONTH($C$3)-1,YEAR($I503)*12+MONTH($I503))-(YEAR($H503)*12+MONTH($H503))+1))</f>
        <v/>
      </c>
      <c r="N503" s="66">
        <f>IF(OR($J503="",$B503=""),0,IF(YEAR($B503)*12+MONTH($B503)&lt;=YEAR($C$3)*12+MONTH($C$3),$G503,0))</f>
        <v/>
      </c>
      <c r="O503" s="66">
        <f>IF(OR($J503="",$B503=""),0,IF(YEAR($B503)*12+MONTH($B503)&lt;=YEAR($C$3)*12+MONTH($C$3)-1,$G503,0))</f>
        <v/>
      </c>
      <c r="P503" s="66">
        <f>$M503-$O503</f>
        <v/>
      </c>
      <c r="Q503" s="66">
        <f>($L503-$M503)-($N503-$O503)</f>
        <v/>
      </c>
      <c r="R503" s="66">
        <f>$L503-$N503</f>
        <v/>
      </c>
      <c r="S503" s="65">
        <f>"WIP journal"</f>
        <v/>
      </c>
      <c r="T503" s="65">
        <f>IFERROR(INDEX(tbl_WIP[Revenue or Cost],$A503),"")</f>
        <v/>
      </c>
    </row>
    <row r="504">
      <c r="A504" s="63">
        <f>ROW()-407</f>
        <v/>
      </c>
      <c r="B504" s="64">
        <f>IFERROR(INDEX(tbl_WIP[Month],$A504),"")</f>
        <v/>
      </c>
      <c r="C504" s="65">
        <f>IFERROR(INDEX(tbl_WIP[Xero Invoice No],$A504),"")</f>
        <v/>
      </c>
      <c r="D504" s="65">
        <f>IFERROR(INDEX(tbl_WIP[Client],$A504),"")</f>
        <v/>
      </c>
      <c r="E504" s="65">
        <f>IFERROR(INDEX(tbl_WIP[Job Number],$A504),"")</f>
        <v/>
      </c>
      <c r="F504" s="65">
        <f>IFERROR(INDEX(tbl_WIP[Cost Centre],$A504),"")</f>
        <v/>
      </c>
      <c r="G504" s="66">
        <f>IFERROR(IF(INDEX(tbl_WIP[Defer Start],$A504)="","",IF(INDEX(tbl_WIP[Revenue or Cost],$A504)="Cost",-1,1)*INDEX(tbl_WIP[Amount],$A504)),"")</f>
        <v/>
      </c>
      <c r="H504" s="64">
        <f>IFERROR(INDEX(tbl_WIP[Defer Start],$A504),"")</f>
        <v/>
      </c>
      <c r="I504" s="64">
        <f>IFERROR(INDEX(tbl_WIP[Defer End],$A504),"")</f>
        <v/>
      </c>
      <c r="J504" s="63">
        <f>IF(OR($H504="",$I504="",$G504=""),"",MAX(1,(YEAR($I504)-YEAR($H504))*12+MONTH($I504)-MONTH($H504)+1))</f>
        <v/>
      </c>
      <c r="K504" s="66">
        <f>IF($J504="","",$G504/$J504)</f>
        <v/>
      </c>
      <c r="L504" s="66">
        <f>IF($J504="",0,$K504*MAX(0,MIN(YEAR($C$3)*12+MONTH($C$3),YEAR($I504)*12+MONTH($I504))-(YEAR($H504)*12+MONTH($H504))+1))</f>
        <v/>
      </c>
      <c r="M504" s="66">
        <f>IF($J504="",0,$K504*MAX(0,MIN(YEAR($C$3)*12+MONTH($C$3)-1,YEAR($I504)*12+MONTH($I504))-(YEAR($H504)*12+MONTH($H504))+1))</f>
        <v/>
      </c>
      <c r="N504" s="66">
        <f>IF(OR($J504="",$B504=""),0,IF(YEAR($B504)*12+MONTH($B504)&lt;=YEAR($C$3)*12+MONTH($C$3),$G504,0))</f>
        <v/>
      </c>
      <c r="O504" s="66">
        <f>IF(OR($J504="",$B504=""),0,IF(YEAR($B504)*12+MONTH($B504)&lt;=YEAR($C$3)*12+MONTH($C$3)-1,$G504,0))</f>
        <v/>
      </c>
      <c r="P504" s="66">
        <f>$M504-$O504</f>
        <v/>
      </c>
      <c r="Q504" s="66">
        <f>($L504-$M504)-($N504-$O504)</f>
        <v/>
      </c>
      <c r="R504" s="66">
        <f>$L504-$N504</f>
        <v/>
      </c>
      <c r="S504" s="65">
        <f>"WIP journal"</f>
        <v/>
      </c>
      <c r="T504" s="65">
        <f>IFERROR(INDEX(tbl_WIP[Revenue or Cost],$A504),"")</f>
        <v/>
      </c>
    </row>
    <row r="505">
      <c r="A505" s="63">
        <f>ROW()-407</f>
        <v/>
      </c>
      <c r="B505" s="64">
        <f>IFERROR(INDEX(tbl_WIP[Month],$A505),"")</f>
        <v/>
      </c>
      <c r="C505" s="65">
        <f>IFERROR(INDEX(tbl_WIP[Xero Invoice No],$A505),"")</f>
        <v/>
      </c>
      <c r="D505" s="65">
        <f>IFERROR(INDEX(tbl_WIP[Client],$A505),"")</f>
        <v/>
      </c>
      <c r="E505" s="65">
        <f>IFERROR(INDEX(tbl_WIP[Job Number],$A505),"")</f>
        <v/>
      </c>
      <c r="F505" s="65">
        <f>IFERROR(INDEX(tbl_WIP[Cost Centre],$A505),"")</f>
        <v/>
      </c>
      <c r="G505" s="66">
        <f>IFERROR(IF(INDEX(tbl_WIP[Defer Start],$A505)="","",IF(INDEX(tbl_WIP[Revenue or Cost],$A505)="Cost",-1,1)*INDEX(tbl_WIP[Amount],$A505)),"")</f>
        <v/>
      </c>
      <c r="H505" s="64">
        <f>IFERROR(INDEX(tbl_WIP[Defer Start],$A505),"")</f>
        <v/>
      </c>
      <c r="I505" s="64">
        <f>IFERROR(INDEX(tbl_WIP[Defer End],$A505),"")</f>
        <v/>
      </c>
      <c r="J505" s="63">
        <f>IF(OR($H505="",$I505="",$G505=""),"",MAX(1,(YEAR($I505)-YEAR($H505))*12+MONTH($I505)-MONTH($H505)+1))</f>
        <v/>
      </c>
      <c r="K505" s="66">
        <f>IF($J505="","",$G505/$J505)</f>
        <v/>
      </c>
      <c r="L505" s="66">
        <f>IF($J505="",0,$K505*MAX(0,MIN(YEAR($C$3)*12+MONTH($C$3),YEAR($I505)*12+MONTH($I505))-(YEAR($H505)*12+MONTH($H505))+1))</f>
        <v/>
      </c>
      <c r="M505" s="66">
        <f>IF($J505="",0,$K505*MAX(0,MIN(YEAR($C$3)*12+MONTH($C$3)-1,YEAR($I505)*12+MONTH($I505))-(YEAR($H505)*12+MONTH($H505))+1))</f>
        <v/>
      </c>
      <c r="N505" s="66">
        <f>IF(OR($J505="",$B505=""),0,IF(YEAR($B505)*12+MONTH($B505)&lt;=YEAR($C$3)*12+MONTH($C$3),$G505,0))</f>
        <v/>
      </c>
      <c r="O505" s="66">
        <f>IF(OR($J505="",$B505=""),0,IF(YEAR($B505)*12+MONTH($B505)&lt;=YEAR($C$3)*12+MONTH($C$3)-1,$G505,0))</f>
        <v/>
      </c>
      <c r="P505" s="66">
        <f>$M505-$O505</f>
        <v/>
      </c>
      <c r="Q505" s="66">
        <f>($L505-$M505)-($N505-$O505)</f>
        <v/>
      </c>
      <c r="R505" s="66">
        <f>$L505-$N505</f>
        <v/>
      </c>
      <c r="S505" s="65">
        <f>"WIP journal"</f>
        <v/>
      </c>
      <c r="T505" s="65">
        <f>IFERROR(INDEX(tbl_WIP[Revenue or Cost],$A505),"")</f>
        <v/>
      </c>
    </row>
    <row r="506">
      <c r="A506" s="63">
        <f>ROW()-407</f>
        <v/>
      </c>
      <c r="B506" s="64">
        <f>IFERROR(INDEX(tbl_WIP[Month],$A506),"")</f>
        <v/>
      </c>
      <c r="C506" s="65">
        <f>IFERROR(INDEX(tbl_WIP[Xero Invoice No],$A506),"")</f>
        <v/>
      </c>
      <c r="D506" s="65">
        <f>IFERROR(INDEX(tbl_WIP[Client],$A506),"")</f>
        <v/>
      </c>
      <c r="E506" s="65">
        <f>IFERROR(INDEX(tbl_WIP[Job Number],$A506),"")</f>
        <v/>
      </c>
      <c r="F506" s="65">
        <f>IFERROR(INDEX(tbl_WIP[Cost Centre],$A506),"")</f>
        <v/>
      </c>
      <c r="G506" s="66">
        <f>IFERROR(IF(INDEX(tbl_WIP[Defer Start],$A506)="","",IF(INDEX(tbl_WIP[Revenue or Cost],$A506)="Cost",-1,1)*INDEX(tbl_WIP[Amount],$A506)),"")</f>
        <v/>
      </c>
      <c r="H506" s="64">
        <f>IFERROR(INDEX(tbl_WIP[Defer Start],$A506),"")</f>
        <v/>
      </c>
      <c r="I506" s="64">
        <f>IFERROR(INDEX(tbl_WIP[Defer End],$A506),"")</f>
        <v/>
      </c>
      <c r="J506" s="63">
        <f>IF(OR($H506="",$I506="",$G506=""),"",MAX(1,(YEAR($I506)-YEAR($H506))*12+MONTH($I506)-MONTH($H506)+1))</f>
        <v/>
      </c>
      <c r="K506" s="66">
        <f>IF($J506="","",$G506/$J506)</f>
        <v/>
      </c>
      <c r="L506" s="66">
        <f>IF($J506="",0,$K506*MAX(0,MIN(YEAR($C$3)*12+MONTH($C$3),YEAR($I506)*12+MONTH($I506))-(YEAR($H506)*12+MONTH($H506))+1))</f>
        <v/>
      </c>
      <c r="M506" s="66">
        <f>IF($J506="",0,$K506*MAX(0,MIN(YEAR($C$3)*12+MONTH($C$3)-1,YEAR($I506)*12+MONTH($I506))-(YEAR($H506)*12+MONTH($H506))+1))</f>
        <v/>
      </c>
      <c r="N506" s="66">
        <f>IF(OR($J506="",$B506=""),0,IF(YEAR($B506)*12+MONTH($B506)&lt;=YEAR($C$3)*12+MONTH($C$3),$G506,0))</f>
        <v/>
      </c>
      <c r="O506" s="66">
        <f>IF(OR($J506="",$B506=""),0,IF(YEAR($B506)*12+MONTH($B506)&lt;=YEAR($C$3)*12+MONTH($C$3)-1,$G506,0))</f>
        <v/>
      </c>
      <c r="P506" s="66">
        <f>$M506-$O506</f>
        <v/>
      </c>
      <c r="Q506" s="66">
        <f>($L506-$M506)-($N506-$O506)</f>
        <v/>
      </c>
      <c r="R506" s="66">
        <f>$L506-$N506</f>
        <v/>
      </c>
      <c r="S506" s="65">
        <f>"WIP journal"</f>
        <v/>
      </c>
      <c r="T506" s="65">
        <f>IFERROR(INDEX(tbl_WIP[Revenue or Cost],$A506),"")</f>
        <v/>
      </c>
    </row>
    <row r="507">
      <c r="A507" s="63">
        <f>ROW()-407</f>
        <v/>
      </c>
      <c r="B507" s="64">
        <f>IFERROR(INDEX(tbl_WIP[Month],$A507),"")</f>
        <v/>
      </c>
      <c r="C507" s="65">
        <f>IFERROR(INDEX(tbl_WIP[Xero Invoice No],$A507),"")</f>
        <v/>
      </c>
      <c r="D507" s="65">
        <f>IFERROR(INDEX(tbl_WIP[Client],$A507),"")</f>
        <v/>
      </c>
      <c r="E507" s="65">
        <f>IFERROR(INDEX(tbl_WIP[Job Number],$A507),"")</f>
        <v/>
      </c>
      <c r="F507" s="65">
        <f>IFERROR(INDEX(tbl_WIP[Cost Centre],$A507),"")</f>
        <v/>
      </c>
      <c r="G507" s="66">
        <f>IFERROR(IF(INDEX(tbl_WIP[Defer Start],$A507)="","",IF(INDEX(tbl_WIP[Revenue or Cost],$A507)="Cost",-1,1)*INDEX(tbl_WIP[Amount],$A507)),"")</f>
        <v/>
      </c>
      <c r="H507" s="64">
        <f>IFERROR(INDEX(tbl_WIP[Defer Start],$A507),"")</f>
        <v/>
      </c>
      <c r="I507" s="64">
        <f>IFERROR(INDEX(tbl_WIP[Defer End],$A507),"")</f>
        <v/>
      </c>
      <c r="J507" s="63">
        <f>IF(OR($H507="",$I507="",$G507=""),"",MAX(1,(YEAR($I507)-YEAR($H507))*12+MONTH($I507)-MONTH($H507)+1))</f>
        <v/>
      </c>
      <c r="K507" s="66">
        <f>IF($J507="","",$G507/$J507)</f>
        <v/>
      </c>
      <c r="L507" s="66">
        <f>IF($J507="",0,$K507*MAX(0,MIN(YEAR($C$3)*12+MONTH($C$3),YEAR($I507)*12+MONTH($I507))-(YEAR($H507)*12+MONTH($H507))+1))</f>
        <v/>
      </c>
      <c r="M507" s="66">
        <f>IF($J507="",0,$K507*MAX(0,MIN(YEAR($C$3)*12+MONTH($C$3)-1,YEAR($I507)*12+MONTH($I507))-(YEAR($H507)*12+MONTH($H507))+1))</f>
        <v/>
      </c>
      <c r="N507" s="66">
        <f>IF(OR($J507="",$B507=""),0,IF(YEAR($B507)*12+MONTH($B507)&lt;=YEAR($C$3)*12+MONTH($C$3),$G507,0))</f>
        <v/>
      </c>
      <c r="O507" s="66">
        <f>IF(OR($J507="",$B507=""),0,IF(YEAR($B507)*12+MONTH($B507)&lt;=YEAR($C$3)*12+MONTH($C$3)-1,$G507,0))</f>
        <v/>
      </c>
      <c r="P507" s="66">
        <f>$M507-$O507</f>
        <v/>
      </c>
      <c r="Q507" s="66">
        <f>($L507-$M507)-($N507-$O507)</f>
        <v/>
      </c>
      <c r="R507" s="66">
        <f>$L507-$N507</f>
        <v/>
      </c>
      <c r="S507" s="65">
        <f>"WIP journal"</f>
        <v/>
      </c>
      <c r="T507" s="65">
        <f>IFERROR(INDEX(tbl_WIP[Revenue or Cost],$A507),"")</f>
        <v/>
      </c>
    </row>
    <row r="508">
      <c r="A508" s="63">
        <f>ROW()-407</f>
        <v/>
      </c>
      <c r="B508" s="64">
        <f>IFERROR(INDEX(tbl_WIP[Month],$A508),"")</f>
        <v/>
      </c>
      <c r="C508" s="65">
        <f>IFERROR(INDEX(tbl_WIP[Xero Invoice No],$A508),"")</f>
        <v/>
      </c>
      <c r="D508" s="65">
        <f>IFERROR(INDEX(tbl_WIP[Client],$A508),"")</f>
        <v/>
      </c>
      <c r="E508" s="65">
        <f>IFERROR(INDEX(tbl_WIP[Job Number],$A508),"")</f>
        <v/>
      </c>
      <c r="F508" s="65">
        <f>IFERROR(INDEX(tbl_WIP[Cost Centre],$A508),"")</f>
        <v/>
      </c>
      <c r="G508" s="66">
        <f>IFERROR(IF(INDEX(tbl_WIP[Defer Start],$A508)="","",IF(INDEX(tbl_WIP[Revenue or Cost],$A508)="Cost",-1,1)*INDEX(tbl_WIP[Amount],$A508)),"")</f>
        <v/>
      </c>
      <c r="H508" s="64">
        <f>IFERROR(INDEX(tbl_WIP[Defer Start],$A508),"")</f>
        <v/>
      </c>
      <c r="I508" s="64">
        <f>IFERROR(INDEX(tbl_WIP[Defer End],$A508),"")</f>
        <v/>
      </c>
      <c r="J508" s="63">
        <f>IF(OR($H508="",$I508="",$G508=""),"",MAX(1,(YEAR($I508)-YEAR($H508))*12+MONTH($I508)-MONTH($H508)+1))</f>
        <v/>
      </c>
      <c r="K508" s="66">
        <f>IF($J508="","",$G508/$J508)</f>
        <v/>
      </c>
      <c r="L508" s="66">
        <f>IF($J508="",0,$K508*MAX(0,MIN(YEAR($C$3)*12+MONTH($C$3),YEAR($I508)*12+MONTH($I508))-(YEAR($H508)*12+MONTH($H508))+1))</f>
        <v/>
      </c>
      <c r="M508" s="66">
        <f>IF($J508="",0,$K508*MAX(0,MIN(YEAR($C$3)*12+MONTH($C$3)-1,YEAR($I508)*12+MONTH($I508))-(YEAR($H508)*12+MONTH($H508))+1))</f>
        <v/>
      </c>
      <c r="N508" s="66">
        <f>IF(OR($J508="",$B508=""),0,IF(YEAR($B508)*12+MONTH($B508)&lt;=YEAR($C$3)*12+MONTH($C$3),$G508,0))</f>
        <v/>
      </c>
      <c r="O508" s="66">
        <f>IF(OR($J508="",$B508=""),0,IF(YEAR($B508)*12+MONTH($B508)&lt;=YEAR($C$3)*12+MONTH($C$3)-1,$G508,0))</f>
        <v/>
      </c>
      <c r="P508" s="66">
        <f>$M508-$O508</f>
        <v/>
      </c>
      <c r="Q508" s="66">
        <f>($L508-$M508)-($N508-$O508)</f>
        <v/>
      </c>
      <c r="R508" s="66">
        <f>$L508-$N508</f>
        <v/>
      </c>
      <c r="S508" s="65">
        <f>"WIP journal"</f>
        <v/>
      </c>
      <c r="T508" s="65">
        <f>IFERROR(INDEX(tbl_WIP[Revenue or Cost],$A508),"")</f>
        <v/>
      </c>
    </row>
    <row r="509">
      <c r="A509" s="63">
        <f>ROW()-407</f>
        <v/>
      </c>
      <c r="B509" s="64">
        <f>IFERROR(INDEX(tbl_WIP[Month],$A509),"")</f>
        <v/>
      </c>
      <c r="C509" s="65">
        <f>IFERROR(INDEX(tbl_WIP[Xero Invoice No],$A509),"")</f>
        <v/>
      </c>
      <c r="D509" s="65">
        <f>IFERROR(INDEX(tbl_WIP[Client],$A509),"")</f>
        <v/>
      </c>
      <c r="E509" s="65">
        <f>IFERROR(INDEX(tbl_WIP[Job Number],$A509),"")</f>
        <v/>
      </c>
      <c r="F509" s="65">
        <f>IFERROR(INDEX(tbl_WIP[Cost Centre],$A509),"")</f>
        <v/>
      </c>
      <c r="G509" s="66">
        <f>IFERROR(IF(INDEX(tbl_WIP[Defer Start],$A509)="","",IF(INDEX(tbl_WIP[Revenue or Cost],$A509)="Cost",-1,1)*INDEX(tbl_WIP[Amount],$A509)),"")</f>
        <v/>
      </c>
      <c r="H509" s="64">
        <f>IFERROR(INDEX(tbl_WIP[Defer Start],$A509),"")</f>
        <v/>
      </c>
      <c r="I509" s="64">
        <f>IFERROR(INDEX(tbl_WIP[Defer End],$A509),"")</f>
        <v/>
      </c>
      <c r="J509" s="63">
        <f>IF(OR($H509="",$I509="",$G509=""),"",MAX(1,(YEAR($I509)-YEAR($H509))*12+MONTH($I509)-MONTH($H509)+1))</f>
        <v/>
      </c>
      <c r="K509" s="66">
        <f>IF($J509="","",$G509/$J509)</f>
        <v/>
      </c>
      <c r="L509" s="66">
        <f>IF($J509="",0,$K509*MAX(0,MIN(YEAR($C$3)*12+MONTH($C$3),YEAR($I509)*12+MONTH($I509))-(YEAR($H509)*12+MONTH($H509))+1))</f>
        <v/>
      </c>
      <c r="M509" s="66">
        <f>IF($J509="",0,$K509*MAX(0,MIN(YEAR($C$3)*12+MONTH($C$3)-1,YEAR($I509)*12+MONTH($I509))-(YEAR($H509)*12+MONTH($H509))+1))</f>
        <v/>
      </c>
      <c r="N509" s="66">
        <f>IF(OR($J509="",$B509=""),0,IF(YEAR($B509)*12+MONTH($B509)&lt;=YEAR($C$3)*12+MONTH($C$3),$G509,0))</f>
        <v/>
      </c>
      <c r="O509" s="66">
        <f>IF(OR($J509="",$B509=""),0,IF(YEAR($B509)*12+MONTH($B509)&lt;=YEAR($C$3)*12+MONTH($C$3)-1,$G509,0))</f>
        <v/>
      </c>
      <c r="P509" s="66">
        <f>$M509-$O509</f>
        <v/>
      </c>
      <c r="Q509" s="66">
        <f>($L509-$M509)-($N509-$O509)</f>
        <v/>
      </c>
      <c r="R509" s="66">
        <f>$L509-$N509</f>
        <v/>
      </c>
      <c r="S509" s="65">
        <f>"WIP journal"</f>
        <v/>
      </c>
      <c r="T509" s="65">
        <f>IFERROR(INDEX(tbl_WIP[Revenue or Cost],$A509),"")</f>
        <v/>
      </c>
    </row>
    <row r="510">
      <c r="A510" s="63">
        <f>ROW()-407</f>
        <v/>
      </c>
      <c r="B510" s="64">
        <f>IFERROR(INDEX(tbl_WIP[Month],$A510),"")</f>
        <v/>
      </c>
      <c r="C510" s="65">
        <f>IFERROR(INDEX(tbl_WIP[Xero Invoice No],$A510),"")</f>
        <v/>
      </c>
      <c r="D510" s="65">
        <f>IFERROR(INDEX(tbl_WIP[Client],$A510),"")</f>
        <v/>
      </c>
      <c r="E510" s="65">
        <f>IFERROR(INDEX(tbl_WIP[Job Number],$A510),"")</f>
        <v/>
      </c>
      <c r="F510" s="65">
        <f>IFERROR(INDEX(tbl_WIP[Cost Centre],$A510),"")</f>
        <v/>
      </c>
      <c r="G510" s="66">
        <f>IFERROR(IF(INDEX(tbl_WIP[Defer Start],$A510)="","",IF(INDEX(tbl_WIP[Revenue or Cost],$A510)="Cost",-1,1)*INDEX(tbl_WIP[Amount],$A510)),"")</f>
        <v/>
      </c>
      <c r="H510" s="64">
        <f>IFERROR(INDEX(tbl_WIP[Defer Start],$A510),"")</f>
        <v/>
      </c>
      <c r="I510" s="64">
        <f>IFERROR(INDEX(tbl_WIP[Defer End],$A510),"")</f>
        <v/>
      </c>
      <c r="J510" s="63">
        <f>IF(OR($H510="",$I510="",$G510=""),"",MAX(1,(YEAR($I510)-YEAR($H510))*12+MONTH($I510)-MONTH($H510)+1))</f>
        <v/>
      </c>
      <c r="K510" s="66">
        <f>IF($J510="","",$G510/$J510)</f>
        <v/>
      </c>
      <c r="L510" s="66">
        <f>IF($J510="",0,$K510*MAX(0,MIN(YEAR($C$3)*12+MONTH($C$3),YEAR($I510)*12+MONTH($I510))-(YEAR($H510)*12+MONTH($H510))+1))</f>
        <v/>
      </c>
      <c r="M510" s="66">
        <f>IF($J510="",0,$K510*MAX(0,MIN(YEAR($C$3)*12+MONTH($C$3)-1,YEAR($I510)*12+MONTH($I510))-(YEAR($H510)*12+MONTH($H510))+1))</f>
        <v/>
      </c>
      <c r="N510" s="66">
        <f>IF(OR($J510="",$B510=""),0,IF(YEAR($B510)*12+MONTH($B510)&lt;=YEAR($C$3)*12+MONTH($C$3),$G510,0))</f>
        <v/>
      </c>
      <c r="O510" s="66">
        <f>IF(OR($J510="",$B510=""),0,IF(YEAR($B510)*12+MONTH($B510)&lt;=YEAR($C$3)*12+MONTH($C$3)-1,$G510,0))</f>
        <v/>
      </c>
      <c r="P510" s="66">
        <f>$M510-$O510</f>
        <v/>
      </c>
      <c r="Q510" s="66">
        <f>($L510-$M510)-($N510-$O510)</f>
        <v/>
      </c>
      <c r="R510" s="66">
        <f>$L510-$N510</f>
        <v/>
      </c>
      <c r="S510" s="65">
        <f>"WIP journal"</f>
        <v/>
      </c>
      <c r="T510" s="65">
        <f>IFERROR(INDEX(tbl_WIP[Revenue or Cost],$A510),"")</f>
        <v/>
      </c>
    </row>
    <row r="511">
      <c r="A511" s="63">
        <f>ROW()-407</f>
        <v/>
      </c>
      <c r="B511" s="64">
        <f>IFERROR(INDEX(tbl_WIP[Month],$A511),"")</f>
        <v/>
      </c>
      <c r="C511" s="65">
        <f>IFERROR(INDEX(tbl_WIP[Xero Invoice No],$A511),"")</f>
        <v/>
      </c>
      <c r="D511" s="65">
        <f>IFERROR(INDEX(tbl_WIP[Client],$A511),"")</f>
        <v/>
      </c>
      <c r="E511" s="65">
        <f>IFERROR(INDEX(tbl_WIP[Job Number],$A511),"")</f>
        <v/>
      </c>
      <c r="F511" s="65">
        <f>IFERROR(INDEX(tbl_WIP[Cost Centre],$A511),"")</f>
        <v/>
      </c>
      <c r="G511" s="66">
        <f>IFERROR(IF(INDEX(tbl_WIP[Defer Start],$A511)="","",IF(INDEX(tbl_WIP[Revenue or Cost],$A511)="Cost",-1,1)*INDEX(tbl_WIP[Amount],$A511)),"")</f>
        <v/>
      </c>
      <c r="H511" s="64">
        <f>IFERROR(INDEX(tbl_WIP[Defer Start],$A511),"")</f>
        <v/>
      </c>
      <c r="I511" s="64">
        <f>IFERROR(INDEX(tbl_WIP[Defer End],$A511),"")</f>
        <v/>
      </c>
      <c r="J511" s="63">
        <f>IF(OR($H511="",$I511="",$G511=""),"",MAX(1,(YEAR($I511)-YEAR($H511))*12+MONTH($I511)-MONTH($H511)+1))</f>
        <v/>
      </c>
      <c r="K511" s="66">
        <f>IF($J511="","",$G511/$J511)</f>
        <v/>
      </c>
      <c r="L511" s="66">
        <f>IF($J511="",0,$K511*MAX(0,MIN(YEAR($C$3)*12+MONTH($C$3),YEAR($I511)*12+MONTH($I511))-(YEAR($H511)*12+MONTH($H511))+1))</f>
        <v/>
      </c>
      <c r="M511" s="66">
        <f>IF($J511="",0,$K511*MAX(0,MIN(YEAR($C$3)*12+MONTH($C$3)-1,YEAR($I511)*12+MONTH($I511))-(YEAR($H511)*12+MONTH($H511))+1))</f>
        <v/>
      </c>
      <c r="N511" s="66">
        <f>IF(OR($J511="",$B511=""),0,IF(YEAR($B511)*12+MONTH($B511)&lt;=YEAR($C$3)*12+MONTH($C$3),$G511,0))</f>
        <v/>
      </c>
      <c r="O511" s="66">
        <f>IF(OR($J511="",$B511=""),0,IF(YEAR($B511)*12+MONTH($B511)&lt;=YEAR($C$3)*12+MONTH($C$3)-1,$G511,0))</f>
        <v/>
      </c>
      <c r="P511" s="66">
        <f>$M511-$O511</f>
        <v/>
      </c>
      <c r="Q511" s="66">
        <f>($L511-$M511)-($N511-$O511)</f>
        <v/>
      </c>
      <c r="R511" s="66">
        <f>$L511-$N511</f>
        <v/>
      </c>
      <c r="S511" s="65">
        <f>"WIP journal"</f>
        <v/>
      </c>
      <c r="T511" s="65">
        <f>IFERROR(INDEX(tbl_WIP[Revenue or Cost],$A511),"")</f>
        <v/>
      </c>
    </row>
    <row r="512">
      <c r="A512" s="63">
        <f>ROW()-407</f>
        <v/>
      </c>
      <c r="B512" s="64">
        <f>IFERROR(INDEX(tbl_WIP[Month],$A512),"")</f>
        <v/>
      </c>
      <c r="C512" s="65">
        <f>IFERROR(INDEX(tbl_WIP[Xero Invoice No],$A512),"")</f>
        <v/>
      </c>
      <c r="D512" s="65">
        <f>IFERROR(INDEX(tbl_WIP[Client],$A512),"")</f>
        <v/>
      </c>
      <c r="E512" s="65">
        <f>IFERROR(INDEX(tbl_WIP[Job Number],$A512),"")</f>
        <v/>
      </c>
      <c r="F512" s="65">
        <f>IFERROR(INDEX(tbl_WIP[Cost Centre],$A512),"")</f>
        <v/>
      </c>
      <c r="G512" s="66">
        <f>IFERROR(IF(INDEX(tbl_WIP[Defer Start],$A512)="","",IF(INDEX(tbl_WIP[Revenue or Cost],$A512)="Cost",-1,1)*INDEX(tbl_WIP[Amount],$A512)),"")</f>
        <v/>
      </c>
      <c r="H512" s="64">
        <f>IFERROR(INDEX(tbl_WIP[Defer Start],$A512),"")</f>
        <v/>
      </c>
      <c r="I512" s="64">
        <f>IFERROR(INDEX(tbl_WIP[Defer End],$A512),"")</f>
        <v/>
      </c>
      <c r="J512" s="63">
        <f>IF(OR($H512="",$I512="",$G512=""),"",MAX(1,(YEAR($I512)-YEAR($H512))*12+MONTH($I512)-MONTH($H512)+1))</f>
        <v/>
      </c>
      <c r="K512" s="66">
        <f>IF($J512="","",$G512/$J512)</f>
        <v/>
      </c>
      <c r="L512" s="66">
        <f>IF($J512="",0,$K512*MAX(0,MIN(YEAR($C$3)*12+MONTH($C$3),YEAR($I512)*12+MONTH($I512))-(YEAR($H512)*12+MONTH($H512))+1))</f>
        <v/>
      </c>
      <c r="M512" s="66">
        <f>IF($J512="",0,$K512*MAX(0,MIN(YEAR($C$3)*12+MONTH($C$3)-1,YEAR($I512)*12+MONTH($I512))-(YEAR($H512)*12+MONTH($H512))+1))</f>
        <v/>
      </c>
      <c r="N512" s="66">
        <f>IF(OR($J512="",$B512=""),0,IF(YEAR($B512)*12+MONTH($B512)&lt;=YEAR($C$3)*12+MONTH($C$3),$G512,0))</f>
        <v/>
      </c>
      <c r="O512" s="66">
        <f>IF(OR($J512="",$B512=""),0,IF(YEAR($B512)*12+MONTH($B512)&lt;=YEAR($C$3)*12+MONTH($C$3)-1,$G512,0))</f>
        <v/>
      </c>
      <c r="P512" s="66">
        <f>$M512-$O512</f>
        <v/>
      </c>
      <c r="Q512" s="66">
        <f>($L512-$M512)-($N512-$O512)</f>
        <v/>
      </c>
      <c r="R512" s="66">
        <f>$L512-$N512</f>
        <v/>
      </c>
      <c r="S512" s="65">
        <f>"WIP journal"</f>
        <v/>
      </c>
      <c r="T512" s="65">
        <f>IFERROR(INDEX(tbl_WIP[Revenue or Cost],$A512),"")</f>
        <v/>
      </c>
    </row>
    <row r="513">
      <c r="A513" s="63">
        <f>ROW()-407</f>
        <v/>
      </c>
      <c r="B513" s="64">
        <f>IFERROR(INDEX(tbl_WIP[Month],$A513),"")</f>
        <v/>
      </c>
      <c r="C513" s="65">
        <f>IFERROR(INDEX(tbl_WIP[Xero Invoice No],$A513),"")</f>
        <v/>
      </c>
      <c r="D513" s="65">
        <f>IFERROR(INDEX(tbl_WIP[Client],$A513),"")</f>
        <v/>
      </c>
      <c r="E513" s="65">
        <f>IFERROR(INDEX(tbl_WIP[Job Number],$A513),"")</f>
        <v/>
      </c>
      <c r="F513" s="65">
        <f>IFERROR(INDEX(tbl_WIP[Cost Centre],$A513),"")</f>
        <v/>
      </c>
      <c r="G513" s="66">
        <f>IFERROR(IF(INDEX(tbl_WIP[Defer Start],$A513)="","",IF(INDEX(tbl_WIP[Revenue or Cost],$A513)="Cost",-1,1)*INDEX(tbl_WIP[Amount],$A513)),"")</f>
        <v/>
      </c>
      <c r="H513" s="64">
        <f>IFERROR(INDEX(tbl_WIP[Defer Start],$A513),"")</f>
        <v/>
      </c>
      <c r="I513" s="64">
        <f>IFERROR(INDEX(tbl_WIP[Defer End],$A513),"")</f>
        <v/>
      </c>
      <c r="J513" s="63">
        <f>IF(OR($H513="",$I513="",$G513=""),"",MAX(1,(YEAR($I513)-YEAR($H513))*12+MONTH($I513)-MONTH($H513)+1))</f>
        <v/>
      </c>
      <c r="K513" s="66">
        <f>IF($J513="","",$G513/$J513)</f>
        <v/>
      </c>
      <c r="L513" s="66">
        <f>IF($J513="",0,$K513*MAX(0,MIN(YEAR($C$3)*12+MONTH($C$3),YEAR($I513)*12+MONTH($I513))-(YEAR($H513)*12+MONTH($H513))+1))</f>
        <v/>
      </c>
      <c r="M513" s="66">
        <f>IF($J513="",0,$K513*MAX(0,MIN(YEAR($C$3)*12+MONTH($C$3)-1,YEAR($I513)*12+MONTH($I513))-(YEAR($H513)*12+MONTH($H513))+1))</f>
        <v/>
      </c>
      <c r="N513" s="66">
        <f>IF(OR($J513="",$B513=""),0,IF(YEAR($B513)*12+MONTH($B513)&lt;=YEAR($C$3)*12+MONTH($C$3),$G513,0))</f>
        <v/>
      </c>
      <c r="O513" s="66">
        <f>IF(OR($J513="",$B513=""),0,IF(YEAR($B513)*12+MONTH($B513)&lt;=YEAR($C$3)*12+MONTH($C$3)-1,$G513,0))</f>
        <v/>
      </c>
      <c r="P513" s="66">
        <f>$M513-$O513</f>
        <v/>
      </c>
      <c r="Q513" s="66">
        <f>($L513-$M513)-($N513-$O513)</f>
        <v/>
      </c>
      <c r="R513" s="66">
        <f>$L513-$N513</f>
        <v/>
      </c>
      <c r="S513" s="65">
        <f>"WIP journal"</f>
        <v/>
      </c>
      <c r="T513" s="65">
        <f>IFERROR(INDEX(tbl_WIP[Revenue or Cost],$A513),"")</f>
        <v/>
      </c>
    </row>
    <row r="514">
      <c r="A514" s="63">
        <f>ROW()-407</f>
        <v/>
      </c>
      <c r="B514" s="64">
        <f>IFERROR(INDEX(tbl_WIP[Month],$A514),"")</f>
        <v/>
      </c>
      <c r="C514" s="65">
        <f>IFERROR(INDEX(tbl_WIP[Xero Invoice No],$A514),"")</f>
        <v/>
      </c>
      <c r="D514" s="65">
        <f>IFERROR(INDEX(tbl_WIP[Client],$A514),"")</f>
        <v/>
      </c>
      <c r="E514" s="65">
        <f>IFERROR(INDEX(tbl_WIP[Job Number],$A514),"")</f>
        <v/>
      </c>
      <c r="F514" s="65">
        <f>IFERROR(INDEX(tbl_WIP[Cost Centre],$A514),"")</f>
        <v/>
      </c>
      <c r="G514" s="66">
        <f>IFERROR(IF(INDEX(tbl_WIP[Defer Start],$A514)="","",IF(INDEX(tbl_WIP[Revenue or Cost],$A514)="Cost",-1,1)*INDEX(tbl_WIP[Amount],$A514)),"")</f>
        <v/>
      </c>
      <c r="H514" s="64">
        <f>IFERROR(INDEX(tbl_WIP[Defer Start],$A514),"")</f>
        <v/>
      </c>
      <c r="I514" s="64">
        <f>IFERROR(INDEX(tbl_WIP[Defer End],$A514),"")</f>
        <v/>
      </c>
      <c r="J514" s="63">
        <f>IF(OR($H514="",$I514="",$G514=""),"",MAX(1,(YEAR($I514)-YEAR($H514))*12+MONTH($I514)-MONTH($H514)+1))</f>
        <v/>
      </c>
      <c r="K514" s="66">
        <f>IF($J514="","",$G514/$J514)</f>
        <v/>
      </c>
      <c r="L514" s="66">
        <f>IF($J514="",0,$K514*MAX(0,MIN(YEAR($C$3)*12+MONTH($C$3),YEAR($I514)*12+MONTH($I514))-(YEAR($H514)*12+MONTH($H514))+1))</f>
        <v/>
      </c>
      <c r="M514" s="66">
        <f>IF($J514="",0,$K514*MAX(0,MIN(YEAR($C$3)*12+MONTH($C$3)-1,YEAR($I514)*12+MONTH($I514))-(YEAR($H514)*12+MONTH($H514))+1))</f>
        <v/>
      </c>
      <c r="N514" s="66">
        <f>IF(OR($J514="",$B514=""),0,IF(YEAR($B514)*12+MONTH($B514)&lt;=YEAR($C$3)*12+MONTH($C$3),$G514,0))</f>
        <v/>
      </c>
      <c r="O514" s="66">
        <f>IF(OR($J514="",$B514=""),0,IF(YEAR($B514)*12+MONTH($B514)&lt;=YEAR($C$3)*12+MONTH($C$3)-1,$G514,0))</f>
        <v/>
      </c>
      <c r="P514" s="66">
        <f>$M514-$O514</f>
        <v/>
      </c>
      <c r="Q514" s="66">
        <f>($L514-$M514)-($N514-$O514)</f>
        <v/>
      </c>
      <c r="R514" s="66">
        <f>$L514-$N514</f>
        <v/>
      </c>
      <c r="S514" s="65">
        <f>"WIP journal"</f>
        <v/>
      </c>
      <c r="T514" s="65">
        <f>IFERROR(INDEX(tbl_WIP[Revenue or Cost],$A514),"")</f>
        <v/>
      </c>
    </row>
    <row r="515">
      <c r="A515" s="63">
        <f>ROW()-407</f>
        <v/>
      </c>
      <c r="B515" s="64">
        <f>IFERROR(INDEX(tbl_WIP[Month],$A515),"")</f>
        <v/>
      </c>
      <c r="C515" s="65">
        <f>IFERROR(INDEX(tbl_WIP[Xero Invoice No],$A515),"")</f>
        <v/>
      </c>
      <c r="D515" s="65">
        <f>IFERROR(INDEX(tbl_WIP[Client],$A515),"")</f>
        <v/>
      </c>
      <c r="E515" s="65">
        <f>IFERROR(INDEX(tbl_WIP[Job Number],$A515),"")</f>
        <v/>
      </c>
      <c r="F515" s="65">
        <f>IFERROR(INDEX(tbl_WIP[Cost Centre],$A515),"")</f>
        <v/>
      </c>
      <c r="G515" s="66">
        <f>IFERROR(IF(INDEX(tbl_WIP[Defer Start],$A515)="","",IF(INDEX(tbl_WIP[Revenue or Cost],$A515)="Cost",-1,1)*INDEX(tbl_WIP[Amount],$A515)),"")</f>
        <v/>
      </c>
      <c r="H515" s="64">
        <f>IFERROR(INDEX(tbl_WIP[Defer Start],$A515),"")</f>
        <v/>
      </c>
      <c r="I515" s="64">
        <f>IFERROR(INDEX(tbl_WIP[Defer End],$A515),"")</f>
        <v/>
      </c>
      <c r="J515" s="63">
        <f>IF(OR($H515="",$I515="",$G515=""),"",MAX(1,(YEAR($I515)-YEAR($H515))*12+MONTH($I515)-MONTH($H515)+1))</f>
        <v/>
      </c>
      <c r="K515" s="66">
        <f>IF($J515="","",$G515/$J515)</f>
        <v/>
      </c>
      <c r="L515" s="66">
        <f>IF($J515="",0,$K515*MAX(0,MIN(YEAR($C$3)*12+MONTH($C$3),YEAR($I515)*12+MONTH($I515))-(YEAR($H515)*12+MONTH($H515))+1))</f>
        <v/>
      </c>
      <c r="M515" s="66">
        <f>IF($J515="",0,$K515*MAX(0,MIN(YEAR($C$3)*12+MONTH($C$3)-1,YEAR($I515)*12+MONTH($I515))-(YEAR($H515)*12+MONTH($H515))+1))</f>
        <v/>
      </c>
      <c r="N515" s="66">
        <f>IF(OR($J515="",$B515=""),0,IF(YEAR($B515)*12+MONTH($B515)&lt;=YEAR($C$3)*12+MONTH($C$3),$G515,0))</f>
        <v/>
      </c>
      <c r="O515" s="66">
        <f>IF(OR($J515="",$B515=""),0,IF(YEAR($B515)*12+MONTH($B515)&lt;=YEAR($C$3)*12+MONTH($C$3)-1,$G515,0))</f>
        <v/>
      </c>
      <c r="P515" s="66">
        <f>$M515-$O515</f>
        <v/>
      </c>
      <c r="Q515" s="66">
        <f>($L515-$M515)-($N515-$O515)</f>
        <v/>
      </c>
      <c r="R515" s="66">
        <f>$L515-$N515</f>
        <v/>
      </c>
      <c r="S515" s="65">
        <f>"WIP journal"</f>
        <v/>
      </c>
      <c r="T515" s="65">
        <f>IFERROR(INDEX(tbl_WIP[Revenue or Cost],$A515),"")</f>
        <v/>
      </c>
    </row>
    <row r="516">
      <c r="A516" s="63">
        <f>ROW()-407</f>
        <v/>
      </c>
      <c r="B516" s="64">
        <f>IFERROR(INDEX(tbl_WIP[Month],$A516),"")</f>
        <v/>
      </c>
      <c r="C516" s="65">
        <f>IFERROR(INDEX(tbl_WIP[Xero Invoice No],$A516),"")</f>
        <v/>
      </c>
      <c r="D516" s="65">
        <f>IFERROR(INDEX(tbl_WIP[Client],$A516),"")</f>
        <v/>
      </c>
      <c r="E516" s="65">
        <f>IFERROR(INDEX(tbl_WIP[Job Number],$A516),"")</f>
        <v/>
      </c>
      <c r="F516" s="65">
        <f>IFERROR(INDEX(tbl_WIP[Cost Centre],$A516),"")</f>
        <v/>
      </c>
      <c r="G516" s="66">
        <f>IFERROR(IF(INDEX(tbl_WIP[Defer Start],$A516)="","",IF(INDEX(tbl_WIP[Revenue or Cost],$A516)="Cost",-1,1)*INDEX(tbl_WIP[Amount],$A516)),"")</f>
        <v/>
      </c>
      <c r="H516" s="64">
        <f>IFERROR(INDEX(tbl_WIP[Defer Start],$A516),"")</f>
        <v/>
      </c>
      <c r="I516" s="64">
        <f>IFERROR(INDEX(tbl_WIP[Defer End],$A516),"")</f>
        <v/>
      </c>
      <c r="J516" s="63">
        <f>IF(OR($H516="",$I516="",$G516=""),"",MAX(1,(YEAR($I516)-YEAR($H516))*12+MONTH($I516)-MONTH($H516)+1))</f>
        <v/>
      </c>
      <c r="K516" s="66">
        <f>IF($J516="","",$G516/$J516)</f>
        <v/>
      </c>
      <c r="L516" s="66">
        <f>IF($J516="",0,$K516*MAX(0,MIN(YEAR($C$3)*12+MONTH($C$3),YEAR($I516)*12+MONTH($I516))-(YEAR($H516)*12+MONTH($H516))+1))</f>
        <v/>
      </c>
      <c r="M516" s="66">
        <f>IF($J516="",0,$K516*MAX(0,MIN(YEAR($C$3)*12+MONTH($C$3)-1,YEAR($I516)*12+MONTH($I516))-(YEAR($H516)*12+MONTH($H516))+1))</f>
        <v/>
      </c>
      <c r="N516" s="66">
        <f>IF(OR($J516="",$B516=""),0,IF(YEAR($B516)*12+MONTH($B516)&lt;=YEAR($C$3)*12+MONTH($C$3),$G516,0))</f>
        <v/>
      </c>
      <c r="O516" s="66">
        <f>IF(OR($J516="",$B516=""),0,IF(YEAR($B516)*12+MONTH($B516)&lt;=YEAR($C$3)*12+MONTH($C$3)-1,$G516,0))</f>
        <v/>
      </c>
      <c r="P516" s="66">
        <f>$M516-$O516</f>
        <v/>
      </c>
      <c r="Q516" s="66">
        <f>($L516-$M516)-($N516-$O516)</f>
        <v/>
      </c>
      <c r="R516" s="66">
        <f>$L516-$N516</f>
        <v/>
      </c>
      <c r="S516" s="65">
        <f>"WIP journal"</f>
        <v/>
      </c>
      <c r="T516" s="65">
        <f>IFERROR(INDEX(tbl_WIP[Revenue or Cost],$A516),"")</f>
        <v/>
      </c>
    </row>
    <row r="517">
      <c r="A517" s="63">
        <f>ROW()-407</f>
        <v/>
      </c>
      <c r="B517" s="64">
        <f>IFERROR(INDEX(tbl_WIP[Month],$A517),"")</f>
        <v/>
      </c>
      <c r="C517" s="65">
        <f>IFERROR(INDEX(tbl_WIP[Xero Invoice No],$A517),"")</f>
        <v/>
      </c>
      <c r="D517" s="65">
        <f>IFERROR(INDEX(tbl_WIP[Client],$A517),"")</f>
        <v/>
      </c>
      <c r="E517" s="65">
        <f>IFERROR(INDEX(tbl_WIP[Job Number],$A517),"")</f>
        <v/>
      </c>
      <c r="F517" s="65">
        <f>IFERROR(INDEX(tbl_WIP[Cost Centre],$A517),"")</f>
        <v/>
      </c>
      <c r="G517" s="66">
        <f>IFERROR(IF(INDEX(tbl_WIP[Defer Start],$A517)="","",IF(INDEX(tbl_WIP[Revenue or Cost],$A517)="Cost",-1,1)*INDEX(tbl_WIP[Amount],$A517)),"")</f>
        <v/>
      </c>
      <c r="H517" s="64">
        <f>IFERROR(INDEX(tbl_WIP[Defer Start],$A517),"")</f>
        <v/>
      </c>
      <c r="I517" s="64">
        <f>IFERROR(INDEX(tbl_WIP[Defer End],$A517),"")</f>
        <v/>
      </c>
      <c r="J517" s="63">
        <f>IF(OR($H517="",$I517="",$G517=""),"",MAX(1,(YEAR($I517)-YEAR($H517))*12+MONTH($I517)-MONTH($H517)+1))</f>
        <v/>
      </c>
      <c r="K517" s="66">
        <f>IF($J517="","",$G517/$J517)</f>
        <v/>
      </c>
      <c r="L517" s="66">
        <f>IF($J517="",0,$K517*MAX(0,MIN(YEAR($C$3)*12+MONTH($C$3),YEAR($I517)*12+MONTH($I517))-(YEAR($H517)*12+MONTH($H517))+1))</f>
        <v/>
      </c>
      <c r="M517" s="66">
        <f>IF($J517="",0,$K517*MAX(0,MIN(YEAR($C$3)*12+MONTH($C$3)-1,YEAR($I517)*12+MONTH($I517))-(YEAR($H517)*12+MONTH($H517))+1))</f>
        <v/>
      </c>
      <c r="N517" s="66">
        <f>IF(OR($J517="",$B517=""),0,IF(YEAR($B517)*12+MONTH($B517)&lt;=YEAR($C$3)*12+MONTH($C$3),$G517,0))</f>
        <v/>
      </c>
      <c r="O517" s="66">
        <f>IF(OR($J517="",$B517=""),0,IF(YEAR($B517)*12+MONTH($B517)&lt;=YEAR($C$3)*12+MONTH($C$3)-1,$G517,0))</f>
        <v/>
      </c>
      <c r="P517" s="66">
        <f>$M517-$O517</f>
        <v/>
      </c>
      <c r="Q517" s="66">
        <f>($L517-$M517)-($N517-$O517)</f>
        <v/>
      </c>
      <c r="R517" s="66">
        <f>$L517-$N517</f>
        <v/>
      </c>
      <c r="S517" s="65">
        <f>"WIP journal"</f>
        <v/>
      </c>
      <c r="T517" s="65">
        <f>IFERROR(INDEX(tbl_WIP[Revenue or Cost],$A517),"")</f>
        <v/>
      </c>
    </row>
    <row r="518">
      <c r="A518" s="63">
        <f>ROW()-407</f>
        <v/>
      </c>
      <c r="B518" s="64">
        <f>IFERROR(INDEX(tbl_WIP[Month],$A518),"")</f>
        <v/>
      </c>
      <c r="C518" s="65">
        <f>IFERROR(INDEX(tbl_WIP[Xero Invoice No],$A518),"")</f>
        <v/>
      </c>
      <c r="D518" s="65">
        <f>IFERROR(INDEX(tbl_WIP[Client],$A518),"")</f>
        <v/>
      </c>
      <c r="E518" s="65">
        <f>IFERROR(INDEX(tbl_WIP[Job Number],$A518),"")</f>
        <v/>
      </c>
      <c r="F518" s="65">
        <f>IFERROR(INDEX(tbl_WIP[Cost Centre],$A518),"")</f>
        <v/>
      </c>
      <c r="G518" s="66">
        <f>IFERROR(IF(INDEX(tbl_WIP[Defer Start],$A518)="","",IF(INDEX(tbl_WIP[Revenue or Cost],$A518)="Cost",-1,1)*INDEX(tbl_WIP[Amount],$A518)),"")</f>
        <v/>
      </c>
      <c r="H518" s="64">
        <f>IFERROR(INDEX(tbl_WIP[Defer Start],$A518),"")</f>
        <v/>
      </c>
      <c r="I518" s="64">
        <f>IFERROR(INDEX(tbl_WIP[Defer End],$A518),"")</f>
        <v/>
      </c>
      <c r="J518" s="63">
        <f>IF(OR($H518="",$I518="",$G518=""),"",MAX(1,(YEAR($I518)-YEAR($H518))*12+MONTH($I518)-MONTH($H518)+1))</f>
        <v/>
      </c>
      <c r="K518" s="66">
        <f>IF($J518="","",$G518/$J518)</f>
        <v/>
      </c>
      <c r="L518" s="66">
        <f>IF($J518="",0,$K518*MAX(0,MIN(YEAR($C$3)*12+MONTH($C$3),YEAR($I518)*12+MONTH($I518))-(YEAR($H518)*12+MONTH($H518))+1))</f>
        <v/>
      </c>
      <c r="M518" s="66">
        <f>IF($J518="",0,$K518*MAX(0,MIN(YEAR($C$3)*12+MONTH($C$3)-1,YEAR($I518)*12+MONTH($I518))-(YEAR($H518)*12+MONTH($H518))+1))</f>
        <v/>
      </c>
      <c r="N518" s="66">
        <f>IF(OR($J518="",$B518=""),0,IF(YEAR($B518)*12+MONTH($B518)&lt;=YEAR($C$3)*12+MONTH($C$3),$G518,0))</f>
        <v/>
      </c>
      <c r="O518" s="66">
        <f>IF(OR($J518="",$B518=""),0,IF(YEAR($B518)*12+MONTH($B518)&lt;=YEAR($C$3)*12+MONTH($C$3)-1,$G518,0))</f>
        <v/>
      </c>
      <c r="P518" s="66">
        <f>$M518-$O518</f>
        <v/>
      </c>
      <c r="Q518" s="66">
        <f>($L518-$M518)-($N518-$O518)</f>
        <v/>
      </c>
      <c r="R518" s="66">
        <f>$L518-$N518</f>
        <v/>
      </c>
      <c r="S518" s="65">
        <f>"WIP journal"</f>
        <v/>
      </c>
      <c r="T518" s="65">
        <f>IFERROR(INDEX(tbl_WIP[Revenue or Cost],$A518),"")</f>
        <v/>
      </c>
    </row>
    <row r="519">
      <c r="A519" s="63">
        <f>ROW()-407</f>
        <v/>
      </c>
      <c r="B519" s="64">
        <f>IFERROR(INDEX(tbl_WIP[Month],$A519),"")</f>
        <v/>
      </c>
      <c r="C519" s="65">
        <f>IFERROR(INDEX(tbl_WIP[Xero Invoice No],$A519),"")</f>
        <v/>
      </c>
      <c r="D519" s="65">
        <f>IFERROR(INDEX(tbl_WIP[Client],$A519),"")</f>
        <v/>
      </c>
      <c r="E519" s="65">
        <f>IFERROR(INDEX(tbl_WIP[Job Number],$A519),"")</f>
        <v/>
      </c>
      <c r="F519" s="65">
        <f>IFERROR(INDEX(tbl_WIP[Cost Centre],$A519),"")</f>
        <v/>
      </c>
      <c r="G519" s="66">
        <f>IFERROR(IF(INDEX(tbl_WIP[Defer Start],$A519)="","",IF(INDEX(tbl_WIP[Revenue or Cost],$A519)="Cost",-1,1)*INDEX(tbl_WIP[Amount],$A519)),"")</f>
        <v/>
      </c>
      <c r="H519" s="64">
        <f>IFERROR(INDEX(tbl_WIP[Defer Start],$A519),"")</f>
        <v/>
      </c>
      <c r="I519" s="64">
        <f>IFERROR(INDEX(tbl_WIP[Defer End],$A519),"")</f>
        <v/>
      </c>
      <c r="J519" s="63">
        <f>IF(OR($H519="",$I519="",$G519=""),"",MAX(1,(YEAR($I519)-YEAR($H519))*12+MONTH($I519)-MONTH($H519)+1))</f>
        <v/>
      </c>
      <c r="K519" s="66">
        <f>IF($J519="","",$G519/$J519)</f>
        <v/>
      </c>
      <c r="L519" s="66">
        <f>IF($J519="",0,$K519*MAX(0,MIN(YEAR($C$3)*12+MONTH($C$3),YEAR($I519)*12+MONTH($I519))-(YEAR($H519)*12+MONTH($H519))+1))</f>
        <v/>
      </c>
      <c r="M519" s="66">
        <f>IF($J519="",0,$K519*MAX(0,MIN(YEAR($C$3)*12+MONTH($C$3)-1,YEAR($I519)*12+MONTH($I519))-(YEAR($H519)*12+MONTH($H519))+1))</f>
        <v/>
      </c>
      <c r="N519" s="66">
        <f>IF(OR($J519="",$B519=""),0,IF(YEAR($B519)*12+MONTH($B519)&lt;=YEAR($C$3)*12+MONTH($C$3),$G519,0))</f>
        <v/>
      </c>
      <c r="O519" s="66">
        <f>IF(OR($J519="",$B519=""),0,IF(YEAR($B519)*12+MONTH($B519)&lt;=YEAR($C$3)*12+MONTH($C$3)-1,$G519,0))</f>
        <v/>
      </c>
      <c r="P519" s="66">
        <f>$M519-$O519</f>
        <v/>
      </c>
      <c r="Q519" s="66">
        <f>($L519-$M519)-($N519-$O519)</f>
        <v/>
      </c>
      <c r="R519" s="66">
        <f>$L519-$N519</f>
        <v/>
      </c>
      <c r="S519" s="65">
        <f>"WIP journal"</f>
        <v/>
      </c>
      <c r="T519" s="65">
        <f>IFERROR(INDEX(tbl_WIP[Revenue or Cost],$A519),"")</f>
        <v/>
      </c>
    </row>
    <row r="520">
      <c r="A520" s="63">
        <f>ROW()-407</f>
        <v/>
      </c>
      <c r="B520" s="64">
        <f>IFERROR(INDEX(tbl_WIP[Month],$A520),"")</f>
        <v/>
      </c>
      <c r="C520" s="65">
        <f>IFERROR(INDEX(tbl_WIP[Xero Invoice No],$A520),"")</f>
        <v/>
      </c>
      <c r="D520" s="65">
        <f>IFERROR(INDEX(tbl_WIP[Client],$A520),"")</f>
        <v/>
      </c>
      <c r="E520" s="65">
        <f>IFERROR(INDEX(tbl_WIP[Job Number],$A520),"")</f>
        <v/>
      </c>
      <c r="F520" s="65">
        <f>IFERROR(INDEX(tbl_WIP[Cost Centre],$A520),"")</f>
        <v/>
      </c>
      <c r="G520" s="66">
        <f>IFERROR(IF(INDEX(tbl_WIP[Defer Start],$A520)="","",IF(INDEX(tbl_WIP[Revenue or Cost],$A520)="Cost",-1,1)*INDEX(tbl_WIP[Amount],$A520)),"")</f>
        <v/>
      </c>
      <c r="H520" s="64">
        <f>IFERROR(INDEX(tbl_WIP[Defer Start],$A520),"")</f>
        <v/>
      </c>
      <c r="I520" s="64">
        <f>IFERROR(INDEX(tbl_WIP[Defer End],$A520),"")</f>
        <v/>
      </c>
      <c r="J520" s="63">
        <f>IF(OR($H520="",$I520="",$G520=""),"",MAX(1,(YEAR($I520)-YEAR($H520))*12+MONTH($I520)-MONTH($H520)+1))</f>
        <v/>
      </c>
      <c r="K520" s="66">
        <f>IF($J520="","",$G520/$J520)</f>
        <v/>
      </c>
      <c r="L520" s="66">
        <f>IF($J520="",0,$K520*MAX(0,MIN(YEAR($C$3)*12+MONTH($C$3),YEAR($I520)*12+MONTH($I520))-(YEAR($H520)*12+MONTH($H520))+1))</f>
        <v/>
      </c>
      <c r="M520" s="66">
        <f>IF($J520="",0,$K520*MAX(0,MIN(YEAR($C$3)*12+MONTH($C$3)-1,YEAR($I520)*12+MONTH($I520))-(YEAR($H520)*12+MONTH($H520))+1))</f>
        <v/>
      </c>
      <c r="N520" s="66">
        <f>IF(OR($J520="",$B520=""),0,IF(YEAR($B520)*12+MONTH($B520)&lt;=YEAR($C$3)*12+MONTH($C$3),$G520,0))</f>
        <v/>
      </c>
      <c r="O520" s="66">
        <f>IF(OR($J520="",$B520=""),0,IF(YEAR($B520)*12+MONTH($B520)&lt;=YEAR($C$3)*12+MONTH($C$3)-1,$G520,0))</f>
        <v/>
      </c>
      <c r="P520" s="66">
        <f>$M520-$O520</f>
        <v/>
      </c>
      <c r="Q520" s="66">
        <f>($L520-$M520)-($N520-$O520)</f>
        <v/>
      </c>
      <c r="R520" s="66">
        <f>$L520-$N520</f>
        <v/>
      </c>
      <c r="S520" s="65">
        <f>"WIP journal"</f>
        <v/>
      </c>
      <c r="T520" s="65">
        <f>IFERROR(INDEX(tbl_WIP[Revenue or Cost],$A520),"")</f>
        <v/>
      </c>
    </row>
    <row r="521">
      <c r="A521" s="63">
        <f>ROW()-407</f>
        <v/>
      </c>
      <c r="B521" s="64">
        <f>IFERROR(INDEX(tbl_WIP[Month],$A521),"")</f>
        <v/>
      </c>
      <c r="C521" s="65">
        <f>IFERROR(INDEX(tbl_WIP[Xero Invoice No],$A521),"")</f>
        <v/>
      </c>
      <c r="D521" s="65">
        <f>IFERROR(INDEX(tbl_WIP[Client],$A521),"")</f>
        <v/>
      </c>
      <c r="E521" s="65">
        <f>IFERROR(INDEX(tbl_WIP[Job Number],$A521),"")</f>
        <v/>
      </c>
      <c r="F521" s="65">
        <f>IFERROR(INDEX(tbl_WIP[Cost Centre],$A521),"")</f>
        <v/>
      </c>
      <c r="G521" s="66">
        <f>IFERROR(IF(INDEX(tbl_WIP[Defer Start],$A521)="","",IF(INDEX(tbl_WIP[Revenue or Cost],$A521)="Cost",-1,1)*INDEX(tbl_WIP[Amount],$A521)),"")</f>
        <v/>
      </c>
      <c r="H521" s="64">
        <f>IFERROR(INDEX(tbl_WIP[Defer Start],$A521),"")</f>
        <v/>
      </c>
      <c r="I521" s="64">
        <f>IFERROR(INDEX(tbl_WIP[Defer End],$A521),"")</f>
        <v/>
      </c>
      <c r="J521" s="63">
        <f>IF(OR($H521="",$I521="",$G521=""),"",MAX(1,(YEAR($I521)-YEAR($H521))*12+MONTH($I521)-MONTH($H521)+1))</f>
        <v/>
      </c>
      <c r="K521" s="66">
        <f>IF($J521="","",$G521/$J521)</f>
        <v/>
      </c>
      <c r="L521" s="66">
        <f>IF($J521="",0,$K521*MAX(0,MIN(YEAR($C$3)*12+MONTH($C$3),YEAR($I521)*12+MONTH($I521))-(YEAR($H521)*12+MONTH($H521))+1))</f>
        <v/>
      </c>
      <c r="M521" s="66">
        <f>IF($J521="",0,$K521*MAX(0,MIN(YEAR($C$3)*12+MONTH($C$3)-1,YEAR($I521)*12+MONTH($I521))-(YEAR($H521)*12+MONTH($H521))+1))</f>
        <v/>
      </c>
      <c r="N521" s="66">
        <f>IF(OR($J521="",$B521=""),0,IF(YEAR($B521)*12+MONTH($B521)&lt;=YEAR($C$3)*12+MONTH($C$3),$G521,0))</f>
        <v/>
      </c>
      <c r="O521" s="66">
        <f>IF(OR($J521="",$B521=""),0,IF(YEAR($B521)*12+MONTH($B521)&lt;=YEAR($C$3)*12+MONTH($C$3)-1,$G521,0))</f>
        <v/>
      </c>
      <c r="P521" s="66">
        <f>$M521-$O521</f>
        <v/>
      </c>
      <c r="Q521" s="66">
        <f>($L521-$M521)-($N521-$O521)</f>
        <v/>
      </c>
      <c r="R521" s="66">
        <f>$L521-$N521</f>
        <v/>
      </c>
      <c r="S521" s="65">
        <f>"WIP journal"</f>
        <v/>
      </c>
      <c r="T521" s="65">
        <f>IFERROR(INDEX(tbl_WIP[Revenue or Cost],$A521),"")</f>
        <v/>
      </c>
    </row>
    <row r="522">
      <c r="A522" s="63">
        <f>ROW()-407</f>
        <v/>
      </c>
      <c r="B522" s="64">
        <f>IFERROR(INDEX(tbl_WIP[Month],$A522),"")</f>
        <v/>
      </c>
      <c r="C522" s="65">
        <f>IFERROR(INDEX(tbl_WIP[Xero Invoice No],$A522),"")</f>
        <v/>
      </c>
      <c r="D522" s="65">
        <f>IFERROR(INDEX(tbl_WIP[Client],$A522),"")</f>
        <v/>
      </c>
      <c r="E522" s="65">
        <f>IFERROR(INDEX(tbl_WIP[Job Number],$A522),"")</f>
        <v/>
      </c>
      <c r="F522" s="65">
        <f>IFERROR(INDEX(tbl_WIP[Cost Centre],$A522),"")</f>
        <v/>
      </c>
      <c r="G522" s="66">
        <f>IFERROR(IF(INDEX(tbl_WIP[Defer Start],$A522)="","",IF(INDEX(tbl_WIP[Revenue or Cost],$A522)="Cost",-1,1)*INDEX(tbl_WIP[Amount],$A522)),"")</f>
        <v/>
      </c>
      <c r="H522" s="64">
        <f>IFERROR(INDEX(tbl_WIP[Defer Start],$A522),"")</f>
        <v/>
      </c>
      <c r="I522" s="64">
        <f>IFERROR(INDEX(tbl_WIP[Defer End],$A522),"")</f>
        <v/>
      </c>
      <c r="J522" s="63">
        <f>IF(OR($H522="",$I522="",$G522=""),"",MAX(1,(YEAR($I522)-YEAR($H522))*12+MONTH($I522)-MONTH($H522)+1))</f>
        <v/>
      </c>
      <c r="K522" s="66">
        <f>IF($J522="","",$G522/$J522)</f>
        <v/>
      </c>
      <c r="L522" s="66">
        <f>IF($J522="",0,$K522*MAX(0,MIN(YEAR($C$3)*12+MONTH($C$3),YEAR($I522)*12+MONTH($I522))-(YEAR($H522)*12+MONTH($H522))+1))</f>
        <v/>
      </c>
      <c r="M522" s="66">
        <f>IF($J522="",0,$K522*MAX(0,MIN(YEAR($C$3)*12+MONTH($C$3)-1,YEAR($I522)*12+MONTH($I522))-(YEAR($H522)*12+MONTH($H522))+1))</f>
        <v/>
      </c>
      <c r="N522" s="66">
        <f>IF(OR($J522="",$B522=""),0,IF(YEAR($B522)*12+MONTH($B522)&lt;=YEAR($C$3)*12+MONTH($C$3),$G522,0))</f>
        <v/>
      </c>
      <c r="O522" s="66">
        <f>IF(OR($J522="",$B522=""),0,IF(YEAR($B522)*12+MONTH($B522)&lt;=YEAR($C$3)*12+MONTH($C$3)-1,$G522,0))</f>
        <v/>
      </c>
      <c r="P522" s="66">
        <f>$M522-$O522</f>
        <v/>
      </c>
      <c r="Q522" s="66">
        <f>($L522-$M522)-($N522-$O522)</f>
        <v/>
      </c>
      <c r="R522" s="66">
        <f>$L522-$N522</f>
        <v/>
      </c>
      <c r="S522" s="65">
        <f>"WIP journal"</f>
        <v/>
      </c>
      <c r="T522" s="65">
        <f>IFERROR(INDEX(tbl_WIP[Revenue or Cost],$A522),"")</f>
        <v/>
      </c>
    </row>
    <row r="523">
      <c r="A523" s="63">
        <f>ROW()-407</f>
        <v/>
      </c>
      <c r="B523" s="64">
        <f>IFERROR(INDEX(tbl_WIP[Month],$A523),"")</f>
        <v/>
      </c>
      <c r="C523" s="65">
        <f>IFERROR(INDEX(tbl_WIP[Xero Invoice No],$A523),"")</f>
        <v/>
      </c>
      <c r="D523" s="65">
        <f>IFERROR(INDEX(tbl_WIP[Client],$A523),"")</f>
        <v/>
      </c>
      <c r="E523" s="65">
        <f>IFERROR(INDEX(tbl_WIP[Job Number],$A523),"")</f>
        <v/>
      </c>
      <c r="F523" s="65">
        <f>IFERROR(INDEX(tbl_WIP[Cost Centre],$A523),"")</f>
        <v/>
      </c>
      <c r="G523" s="66">
        <f>IFERROR(IF(INDEX(tbl_WIP[Defer Start],$A523)="","",IF(INDEX(tbl_WIP[Revenue or Cost],$A523)="Cost",-1,1)*INDEX(tbl_WIP[Amount],$A523)),"")</f>
        <v/>
      </c>
      <c r="H523" s="64">
        <f>IFERROR(INDEX(tbl_WIP[Defer Start],$A523),"")</f>
        <v/>
      </c>
      <c r="I523" s="64">
        <f>IFERROR(INDEX(tbl_WIP[Defer End],$A523),"")</f>
        <v/>
      </c>
      <c r="J523" s="63">
        <f>IF(OR($H523="",$I523="",$G523=""),"",MAX(1,(YEAR($I523)-YEAR($H523))*12+MONTH($I523)-MONTH($H523)+1))</f>
        <v/>
      </c>
      <c r="K523" s="66">
        <f>IF($J523="","",$G523/$J523)</f>
        <v/>
      </c>
      <c r="L523" s="66">
        <f>IF($J523="",0,$K523*MAX(0,MIN(YEAR($C$3)*12+MONTH($C$3),YEAR($I523)*12+MONTH($I523))-(YEAR($H523)*12+MONTH($H523))+1))</f>
        <v/>
      </c>
      <c r="M523" s="66">
        <f>IF($J523="",0,$K523*MAX(0,MIN(YEAR($C$3)*12+MONTH($C$3)-1,YEAR($I523)*12+MONTH($I523))-(YEAR($H523)*12+MONTH($H523))+1))</f>
        <v/>
      </c>
      <c r="N523" s="66">
        <f>IF(OR($J523="",$B523=""),0,IF(YEAR($B523)*12+MONTH($B523)&lt;=YEAR($C$3)*12+MONTH($C$3),$G523,0))</f>
        <v/>
      </c>
      <c r="O523" s="66">
        <f>IF(OR($J523="",$B523=""),0,IF(YEAR($B523)*12+MONTH($B523)&lt;=YEAR($C$3)*12+MONTH($C$3)-1,$G523,0))</f>
        <v/>
      </c>
      <c r="P523" s="66">
        <f>$M523-$O523</f>
        <v/>
      </c>
      <c r="Q523" s="66">
        <f>($L523-$M523)-($N523-$O523)</f>
        <v/>
      </c>
      <c r="R523" s="66">
        <f>$L523-$N523</f>
        <v/>
      </c>
      <c r="S523" s="65">
        <f>"WIP journal"</f>
        <v/>
      </c>
      <c r="T523" s="65">
        <f>IFERROR(INDEX(tbl_WIP[Revenue or Cost],$A523),"")</f>
        <v/>
      </c>
    </row>
    <row r="524">
      <c r="A524" s="63">
        <f>ROW()-407</f>
        <v/>
      </c>
      <c r="B524" s="64">
        <f>IFERROR(INDEX(tbl_WIP[Month],$A524),"")</f>
        <v/>
      </c>
      <c r="C524" s="65">
        <f>IFERROR(INDEX(tbl_WIP[Xero Invoice No],$A524),"")</f>
        <v/>
      </c>
      <c r="D524" s="65">
        <f>IFERROR(INDEX(tbl_WIP[Client],$A524),"")</f>
        <v/>
      </c>
      <c r="E524" s="65">
        <f>IFERROR(INDEX(tbl_WIP[Job Number],$A524),"")</f>
        <v/>
      </c>
      <c r="F524" s="65">
        <f>IFERROR(INDEX(tbl_WIP[Cost Centre],$A524),"")</f>
        <v/>
      </c>
      <c r="G524" s="66">
        <f>IFERROR(IF(INDEX(tbl_WIP[Defer Start],$A524)="","",IF(INDEX(tbl_WIP[Revenue or Cost],$A524)="Cost",-1,1)*INDEX(tbl_WIP[Amount],$A524)),"")</f>
        <v/>
      </c>
      <c r="H524" s="64">
        <f>IFERROR(INDEX(tbl_WIP[Defer Start],$A524),"")</f>
        <v/>
      </c>
      <c r="I524" s="64">
        <f>IFERROR(INDEX(tbl_WIP[Defer End],$A524),"")</f>
        <v/>
      </c>
      <c r="J524" s="63">
        <f>IF(OR($H524="",$I524="",$G524=""),"",MAX(1,(YEAR($I524)-YEAR($H524))*12+MONTH($I524)-MONTH($H524)+1))</f>
        <v/>
      </c>
      <c r="K524" s="66">
        <f>IF($J524="","",$G524/$J524)</f>
        <v/>
      </c>
      <c r="L524" s="66">
        <f>IF($J524="",0,$K524*MAX(0,MIN(YEAR($C$3)*12+MONTH($C$3),YEAR($I524)*12+MONTH($I524))-(YEAR($H524)*12+MONTH($H524))+1))</f>
        <v/>
      </c>
      <c r="M524" s="66">
        <f>IF($J524="",0,$K524*MAX(0,MIN(YEAR($C$3)*12+MONTH($C$3)-1,YEAR($I524)*12+MONTH($I524))-(YEAR($H524)*12+MONTH($H524))+1))</f>
        <v/>
      </c>
      <c r="N524" s="66">
        <f>IF(OR($J524="",$B524=""),0,IF(YEAR($B524)*12+MONTH($B524)&lt;=YEAR($C$3)*12+MONTH($C$3),$G524,0))</f>
        <v/>
      </c>
      <c r="O524" s="66">
        <f>IF(OR($J524="",$B524=""),0,IF(YEAR($B524)*12+MONTH($B524)&lt;=YEAR($C$3)*12+MONTH($C$3)-1,$G524,0))</f>
        <v/>
      </c>
      <c r="P524" s="66">
        <f>$M524-$O524</f>
        <v/>
      </c>
      <c r="Q524" s="66">
        <f>($L524-$M524)-($N524-$O524)</f>
        <v/>
      </c>
      <c r="R524" s="66">
        <f>$L524-$N524</f>
        <v/>
      </c>
      <c r="S524" s="65">
        <f>"WIP journal"</f>
        <v/>
      </c>
      <c r="T524" s="65">
        <f>IFERROR(INDEX(tbl_WIP[Revenue or Cost],$A524),"")</f>
        <v/>
      </c>
    </row>
    <row r="525">
      <c r="A525" s="63">
        <f>ROW()-407</f>
        <v/>
      </c>
      <c r="B525" s="64">
        <f>IFERROR(INDEX(tbl_WIP[Month],$A525),"")</f>
        <v/>
      </c>
      <c r="C525" s="65">
        <f>IFERROR(INDEX(tbl_WIP[Xero Invoice No],$A525),"")</f>
        <v/>
      </c>
      <c r="D525" s="65">
        <f>IFERROR(INDEX(tbl_WIP[Client],$A525),"")</f>
        <v/>
      </c>
      <c r="E525" s="65">
        <f>IFERROR(INDEX(tbl_WIP[Job Number],$A525),"")</f>
        <v/>
      </c>
      <c r="F525" s="65">
        <f>IFERROR(INDEX(tbl_WIP[Cost Centre],$A525),"")</f>
        <v/>
      </c>
      <c r="G525" s="66">
        <f>IFERROR(IF(INDEX(tbl_WIP[Defer Start],$A525)="","",IF(INDEX(tbl_WIP[Revenue or Cost],$A525)="Cost",-1,1)*INDEX(tbl_WIP[Amount],$A525)),"")</f>
        <v/>
      </c>
      <c r="H525" s="64">
        <f>IFERROR(INDEX(tbl_WIP[Defer Start],$A525),"")</f>
        <v/>
      </c>
      <c r="I525" s="64">
        <f>IFERROR(INDEX(tbl_WIP[Defer End],$A525),"")</f>
        <v/>
      </c>
      <c r="J525" s="63">
        <f>IF(OR($H525="",$I525="",$G525=""),"",MAX(1,(YEAR($I525)-YEAR($H525))*12+MONTH($I525)-MONTH($H525)+1))</f>
        <v/>
      </c>
      <c r="K525" s="66">
        <f>IF($J525="","",$G525/$J525)</f>
        <v/>
      </c>
      <c r="L525" s="66">
        <f>IF($J525="",0,$K525*MAX(0,MIN(YEAR($C$3)*12+MONTH($C$3),YEAR($I525)*12+MONTH($I525))-(YEAR($H525)*12+MONTH($H525))+1))</f>
        <v/>
      </c>
      <c r="M525" s="66">
        <f>IF($J525="",0,$K525*MAX(0,MIN(YEAR($C$3)*12+MONTH($C$3)-1,YEAR($I525)*12+MONTH($I525))-(YEAR($H525)*12+MONTH($H525))+1))</f>
        <v/>
      </c>
      <c r="N525" s="66">
        <f>IF(OR($J525="",$B525=""),0,IF(YEAR($B525)*12+MONTH($B525)&lt;=YEAR($C$3)*12+MONTH($C$3),$G525,0))</f>
        <v/>
      </c>
      <c r="O525" s="66">
        <f>IF(OR($J525="",$B525=""),0,IF(YEAR($B525)*12+MONTH($B525)&lt;=YEAR($C$3)*12+MONTH($C$3)-1,$G525,0))</f>
        <v/>
      </c>
      <c r="P525" s="66">
        <f>$M525-$O525</f>
        <v/>
      </c>
      <c r="Q525" s="66">
        <f>($L525-$M525)-($N525-$O525)</f>
        <v/>
      </c>
      <c r="R525" s="66">
        <f>$L525-$N525</f>
        <v/>
      </c>
      <c r="S525" s="65">
        <f>"WIP journal"</f>
        <v/>
      </c>
      <c r="T525" s="65">
        <f>IFERROR(INDEX(tbl_WIP[Revenue or Cost],$A525),"")</f>
        <v/>
      </c>
    </row>
    <row r="526">
      <c r="A526" s="63">
        <f>ROW()-407</f>
        <v/>
      </c>
      <c r="B526" s="64">
        <f>IFERROR(INDEX(tbl_WIP[Month],$A526),"")</f>
        <v/>
      </c>
      <c r="C526" s="65">
        <f>IFERROR(INDEX(tbl_WIP[Xero Invoice No],$A526),"")</f>
        <v/>
      </c>
      <c r="D526" s="65">
        <f>IFERROR(INDEX(tbl_WIP[Client],$A526),"")</f>
        <v/>
      </c>
      <c r="E526" s="65">
        <f>IFERROR(INDEX(tbl_WIP[Job Number],$A526),"")</f>
        <v/>
      </c>
      <c r="F526" s="65">
        <f>IFERROR(INDEX(tbl_WIP[Cost Centre],$A526),"")</f>
        <v/>
      </c>
      <c r="G526" s="66">
        <f>IFERROR(IF(INDEX(tbl_WIP[Defer Start],$A526)="","",IF(INDEX(tbl_WIP[Revenue or Cost],$A526)="Cost",-1,1)*INDEX(tbl_WIP[Amount],$A526)),"")</f>
        <v/>
      </c>
      <c r="H526" s="64">
        <f>IFERROR(INDEX(tbl_WIP[Defer Start],$A526),"")</f>
        <v/>
      </c>
      <c r="I526" s="64">
        <f>IFERROR(INDEX(tbl_WIP[Defer End],$A526),"")</f>
        <v/>
      </c>
      <c r="J526" s="63">
        <f>IF(OR($H526="",$I526="",$G526=""),"",MAX(1,(YEAR($I526)-YEAR($H526))*12+MONTH($I526)-MONTH($H526)+1))</f>
        <v/>
      </c>
      <c r="K526" s="66">
        <f>IF($J526="","",$G526/$J526)</f>
        <v/>
      </c>
      <c r="L526" s="66">
        <f>IF($J526="",0,$K526*MAX(0,MIN(YEAR($C$3)*12+MONTH($C$3),YEAR($I526)*12+MONTH($I526))-(YEAR($H526)*12+MONTH($H526))+1))</f>
        <v/>
      </c>
      <c r="M526" s="66">
        <f>IF($J526="",0,$K526*MAX(0,MIN(YEAR($C$3)*12+MONTH($C$3)-1,YEAR($I526)*12+MONTH($I526))-(YEAR($H526)*12+MONTH($H526))+1))</f>
        <v/>
      </c>
      <c r="N526" s="66">
        <f>IF(OR($J526="",$B526=""),0,IF(YEAR($B526)*12+MONTH($B526)&lt;=YEAR($C$3)*12+MONTH($C$3),$G526,0))</f>
        <v/>
      </c>
      <c r="O526" s="66">
        <f>IF(OR($J526="",$B526=""),0,IF(YEAR($B526)*12+MONTH($B526)&lt;=YEAR($C$3)*12+MONTH($C$3)-1,$G526,0))</f>
        <v/>
      </c>
      <c r="P526" s="66">
        <f>$M526-$O526</f>
        <v/>
      </c>
      <c r="Q526" s="66">
        <f>($L526-$M526)-($N526-$O526)</f>
        <v/>
      </c>
      <c r="R526" s="66">
        <f>$L526-$N526</f>
        <v/>
      </c>
      <c r="S526" s="65">
        <f>"WIP journal"</f>
        <v/>
      </c>
      <c r="T526" s="65">
        <f>IFERROR(INDEX(tbl_WIP[Revenue or Cost],$A526),"")</f>
        <v/>
      </c>
    </row>
    <row r="527">
      <c r="A527" s="63">
        <f>ROW()-407</f>
        <v/>
      </c>
      <c r="B527" s="64">
        <f>IFERROR(INDEX(tbl_WIP[Month],$A527),"")</f>
        <v/>
      </c>
      <c r="C527" s="65">
        <f>IFERROR(INDEX(tbl_WIP[Xero Invoice No],$A527),"")</f>
        <v/>
      </c>
      <c r="D527" s="65">
        <f>IFERROR(INDEX(tbl_WIP[Client],$A527),"")</f>
        <v/>
      </c>
      <c r="E527" s="65">
        <f>IFERROR(INDEX(tbl_WIP[Job Number],$A527),"")</f>
        <v/>
      </c>
      <c r="F527" s="65">
        <f>IFERROR(INDEX(tbl_WIP[Cost Centre],$A527),"")</f>
        <v/>
      </c>
      <c r="G527" s="66">
        <f>IFERROR(IF(INDEX(tbl_WIP[Defer Start],$A527)="","",IF(INDEX(tbl_WIP[Revenue or Cost],$A527)="Cost",-1,1)*INDEX(tbl_WIP[Amount],$A527)),"")</f>
        <v/>
      </c>
      <c r="H527" s="64">
        <f>IFERROR(INDEX(tbl_WIP[Defer Start],$A527),"")</f>
        <v/>
      </c>
      <c r="I527" s="64">
        <f>IFERROR(INDEX(tbl_WIP[Defer End],$A527),"")</f>
        <v/>
      </c>
      <c r="J527" s="63">
        <f>IF(OR($H527="",$I527="",$G527=""),"",MAX(1,(YEAR($I527)-YEAR($H527))*12+MONTH($I527)-MONTH($H527)+1))</f>
        <v/>
      </c>
      <c r="K527" s="66">
        <f>IF($J527="","",$G527/$J527)</f>
        <v/>
      </c>
      <c r="L527" s="66">
        <f>IF($J527="",0,$K527*MAX(0,MIN(YEAR($C$3)*12+MONTH($C$3),YEAR($I527)*12+MONTH($I527))-(YEAR($H527)*12+MONTH($H527))+1))</f>
        <v/>
      </c>
      <c r="M527" s="66">
        <f>IF($J527="",0,$K527*MAX(0,MIN(YEAR($C$3)*12+MONTH($C$3)-1,YEAR($I527)*12+MONTH($I527))-(YEAR($H527)*12+MONTH($H527))+1))</f>
        <v/>
      </c>
      <c r="N527" s="66">
        <f>IF(OR($J527="",$B527=""),0,IF(YEAR($B527)*12+MONTH($B527)&lt;=YEAR($C$3)*12+MONTH($C$3),$G527,0))</f>
        <v/>
      </c>
      <c r="O527" s="66">
        <f>IF(OR($J527="",$B527=""),0,IF(YEAR($B527)*12+MONTH($B527)&lt;=YEAR($C$3)*12+MONTH($C$3)-1,$G527,0))</f>
        <v/>
      </c>
      <c r="P527" s="66">
        <f>$M527-$O527</f>
        <v/>
      </c>
      <c r="Q527" s="66">
        <f>($L527-$M527)-($N527-$O527)</f>
        <v/>
      </c>
      <c r="R527" s="66">
        <f>$L527-$N527</f>
        <v/>
      </c>
      <c r="S527" s="65">
        <f>"WIP journal"</f>
        <v/>
      </c>
      <c r="T527" s="65">
        <f>IFERROR(INDEX(tbl_WIP[Revenue or Cost],$A527),"")</f>
        <v/>
      </c>
    </row>
    <row r="528">
      <c r="A528" s="63">
        <f>ROW()-407</f>
        <v/>
      </c>
      <c r="B528" s="64">
        <f>IFERROR(INDEX(tbl_WIP[Month],$A528),"")</f>
        <v/>
      </c>
      <c r="C528" s="65">
        <f>IFERROR(INDEX(tbl_WIP[Xero Invoice No],$A528),"")</f>
        <v/>
      </c>
      <c r="D528" s="65">
        <f>IFERROR(INDEX(tbl_WIP[Client],$A528),"")</f>
        <v/>
      </c>
      <c r="E528" s="65">
        <f>IFERROR(INDEX(tbl_WIP[Job Number],$A528),"")</f>
        <v/>
      </c>
      <c r="F528" s="65">
        <f>IFERROR(INDEX(tbl_WIP[Cost Centre],$A528),"")</f>
        <v/>
      </c>
      <c r="G528" s="66">
        <f>IFERROR(IF(INDEX(tbl_WIP[Defer Start],$A528)="","",IF(INDEX(tbl_WIP[Revenue or Cost],$A528)="Cost",-1,1)*INDEX(tbl_WIP[Amount],$A528)),"")</f>
        <v/>
      </c>
      <c r="H528" s="64">
        <f>IFERROR(INDEX(tbl_WIP[Defer Start],$A528),"")</f>
        <v/>
      </c>
      <c r="I528" s="64">
        <f>IFERROR(INDEX(tbl_WIP[Defer End],$A528),"")</f>
        <v/>
      </c>
      <c r="J528" s="63">
        <f>IF(OR($H528="",$I528="",$G528=""),"",MAX(1,(YEAR($I528)-YEAR($H528))*12+MONTH($I528)-MONTH($H528)+1))</f>
        <v/>
      </c>
      <c r="K528" s="66">
        <f>IF($J528="","",$G528/$J528)</f>
        <v/>
      </c>
      <c r="L528" s="66">
        <f>IF($J528="",0,$K528*MAX(0,MIN(YEAR($C$3)*12+MONTH($C$3),YEAR($I528)*12+MONTH($I528))-(YEAR($H528)*12+MONTH($H528))+1))</f>
        <v/>
      </c>
      <c r="M528" s="66">
        <f>IF($J528="",0,$K528*MAX(0,MIN(YEAR($C$3)*12+MONTH($C$3)-1,YEAR($I528)*12+MONTH($I528))-(YEAR($H528)*12+MONTH($H528))+1))</f>
        <v/>
      </c>
      <c r="N528" s="66">
        <f>IF(OR($J528="",$B528=""),0,IF(YEAR($B528)*12+MONTH($B528)&lt;=YEAR($C$3)*12+MONTH($C$3),$G528,0))</f>
        <v/>
      </c>
      <c r="O528" s="66">
        <f>IF(OR($J528="",$B528=""),0,IF(YEAR($B528)*12+MONTH($B528)&lt;=YEAR($C$3)*12+MONTH($C$3)-1,$G528,0))</f>
        <v/>
      </c>
      <c r="P528" s="66">
        <f>$M528-$O528</f>
        <v/>
      </c>
      <c r="Q528" s="66">
        <f>($L528-$M528)-($N528-$O528)</f>
        <v/>
      </c>
      <c r="R528" s="66">
        <f>$L528-$N528</f>
        <v/>
      </c>
      <c r="S528" s="65">
        <f>"WIP journal"</f>
        <v/>
      </c>
      <c r="T528" s="65">
        <f>IFERROR(INDEX(tbl_WIP[Revenue or Cost],$A528),"")</f>
        <v/>
      </c>
    </row>
    <row r="529">
      <c r="A529" s="63">
        <f>ROW()-407</f>
        <v/>
      </c>
      <c r="B529" s="64">
        <f>IFERROR(INDEX(tbl_WIP[Month],$A529),"")</f>
        <v/>
      </c>
      <c r="C529" s="65">
        <f>IFERROR(INDEX(tbl_WIP[Xero Invoice No],$A529),"")</f>
        <v/>
      </c>
      <c r="D529" s="65">
        <f>IFERROR(INDEX(tbl_WIP[Client],$A529),"")</f>
        <v/>
      </c>
      <c r="E529" s="65">
        <f>IFERROR(INDEX(tbl_WIP[Job Number],$A529),"")</f>
        <v/>
      </c>
      <c r="F529" s="65">
        <f>IFERROR(INDEX(tbl_WIP[Cost Centre],$A529),"")</f>
        <v/>
      </c>
      <c r="G529" s="66">
        <f>IFERROR(IF(INDEX(tbl_WIP[Defer Start],$A529)="","",IF(INDEX(tbl_WIP[Revenue or Cost],$A529)="Cost",-1,1)*INDEX(tbl_WIP[Amount],$A529)),"")</f>
        <v/>
      </c>
      <c r="H529" s="64">
        <f>IFERROR(INDEX(tbl_WIP[Defer Start],$A529),"")</f>
        <v/>
      </c>
      <c r="I529" s="64">
        <f>IFERROR(INDEX(tbl_WIP[Defer End],$A529),"")</f>
        <v/>
      </c>
      <c r="J529" s="63">
        <f>IF(OR($H529="",$I529="",$G529=""),"",MAX(1,(YEAR($I529)-YEAR($H529))*12+MONTH($I529)-MONTH($H529)+1))</f>
        <v/>
      </c>
      <c r="K529" s="66">
        <f>IF($J529="","",$G529/$J529)</f>
        <v/>
      </c>
      <c r="L529" s="66">
        <f>IF($J529="",0,$K529*MAX(0,MIN(YEAR($C$3)*12+MONTH($C$3),YEAR($I529)*12+MONTH($I529))-(YEAR($H529)*12+MONTH($H529))+1))</f>
        <v/>
      </c>
      <c r="M529" s="66">
        <f>IF($J529="",0,$K529*MAX(0,MIN(YEAR($C$3)*12+MONTH($C$3)-1,YEAR($I529)*12+MONTH($I529))-(YEAR($H529)*12+MONTH($H529))+1))</f>
        <v/>
      </c>
      <c r="N529" s="66">
        <f>IF(OR($J529="",$B529=""),0,IF(YEAR($B529)*12+MONTH($B529)&lt;=YEAR($C$3)*12+MONTH($C$3),$G529,0))</f>
        <v/>
      </c>
      <c r="O529" s="66">
        <f>IF(OR($J529="",$B529=""),0,IF(YEAR($B529)*12+MONTH($B529)&lt;=YEAR($C$3)*12+MONTH($C$3)-1,$G529,0))</f>
        <v/>
      </c>
      <c r="P529" s="66">
        <f>$M529-$O529</f>
        <v/>
      </c>
      <c r="Q529" s="66">
        <f>($L529-$M529)-($N529-$O529)</f>
        <v/>
      </c>
      <c r="R529" s="66">
        <f>$L529-$N529</f>
        <v/>
      </c>
      <c r="S529" s="65">
        <f>"WIP journal"</f>
        <v/>
      </c>
      <c r="T529" s="65">
        <f>IFERROR(INDEX(tbl_WIP[Revenue or Cost],$A529),"")</f>
        <v/>
      </c>
    </row>
    <row r="530">
      <c r="A530" s="63">
        <f>ROW()-407</f>
        <v/>
      </c>
      <c r="B530" s="64">
        <f>IFERROR(INDEX(tbl_WIP[Month],$A530),"")</f>
        <v/>
      </c>
      <c r="C530" s="65">
        <f>IFERROR(INDEX(tbl_WIP[Xero Invoice No],$A530),"")</f>
        <v/>
      </c>
      <c r="D530" s="65">
        <f>IFERROR(INDEX(tbl_WIP[Client],$A530),"")</f>
        <v/>
      </c>
      <c r="E530" s="65">
        <f>IFERROR(INDEX(tbl_WIP[Job Number],$A530),"")</f>
        <v/>
      </c>
      <c r="F530" s="65">
        <f>IFERROR(INDEX(tbl_WIP[Cost Centre],$A530),"")</f>
        <v/>
      </c>
      <c r="G530" s="66">
        <f>IFERROR(IF(INDEX(tbl_WIP[Defer Start],$A530)="","",IF(INDEX(tbl_WIP[Revenue or Cost],$A530)="Cost",-1,1)*INDEX(tbl_WIP[Amount],$A530)),"")</f>
        <v/>
      </c>
      <c r="H530" s="64">
        <f>IFERROR(INDEX(tbl_WIP[Defer Start],$A530),"")</f>
        <v/>
      </c>
      <c r="I530" s="64">
        <f>IFERROR(INDEX(tbl_WIP[Defer End],$A530),"")</f>
        <v/>
      </c>
      <c r="J530" s="63">
        <f>IF(OR($H530="",$I530="",$G530=""),"",MAX(1,(YEAR($I530)-YEAR($H530))*12+MONTH($I530)-MONTH($H530)+1))</f>
        <v/>
      </c>
      <c r="K530" s="66">
        <f>IF($J530="","",$G530/$J530)</f>
        <v/>
      </c>
      <c r="L530" s="66">
        <f>IF($J530="",0,$K530*MAX(0,MIN(YEAR($C$3)*12+MONTH($C$3),YEAR($I530)*12+MONTH($I530))-(YEAR($H530)*12+MONTH($H530))+1))</f>
        <v/>
      </c>
      <c r="M530" s="66">
        <f>IF($J530="",0,$K530*MAX(0,MIN(YEAR($C$3)*12+MONTH($C$3)-1,YEAR($I530)*12+MONTH($I530))-(YEAR($H530)*12+MONTH($H530))+1))</f>
        <v/>
      </c>
      <c r="N530" s="66">
        <f>IF(OR($J530="",$B530=""),0,IF(YEAR($B530)*12+MONTH($B530)&lt;=YEAR($C$3)*12+MONTH($C$3),$G530,0))</f>
        <v/>
      </c>
      <c r="O530" s="66">
        <f>IF(OR($J530="",$B530=""),0,IF(YEAR($B530)*12+MONTH($B530)&lt;=YEAR($C$3)*12+MONTH($C$3)-1,$G530,0))</f>
        <v/>
      </c>
      <c r="P530" s="66">
        <f>$M530-$O530</f>
        <v/>
      </c>
      <c r="Q530" s="66">
        <f>($L530-$M530)-($N530-$O530)</f>
        <v/>
      </c>
      <c r="R530" s="66">
        <f>$L530-$N530</f>
        <v/>
      </c>
      <c r="S530" s="65">
        <f>"WIP journal"</f>
        <v/>
      </c>
      <c r="T530" s="65">
        <f>IFERROR(INDEX(tbl_WIP[Revenue or Cost],$A530),"")</f>
        <v/>
      </c>
    </row>
    <row r="531">
      <c r="A531" s="63">
        <f>ROW()-407</f>
        <v/>
      </c>
      <c r="B531" s="64">
        <f>IFERROR(INDEX(tbl_WIP[Month],$A531),"")</f>
        <v/>
      </c>
      <c r="C531" s="65">
        <f>IFERROR(INDEX(tbl_WIP[Xero Invoice No],$A531),"")</f>
        <v/>
      </c>
      <c r="D531" s="65">
        <f>IFERROR(INDEX(tbl_WIP[Client],$A531),"")</f>
        <v/>
      </c>
      <c r="E531" s="65">
        <f>IFERROR(INDEX(tbl_WIP[Job Number],$A531),"")</f>
        <v/>
      </c>
      <c r="F531" s="65">
        <f>IFERROR(INDEX(tbl_WIP[Cost Centre],$A531),"")</f>
        <v/>
      </c>
      <c r="G531" s="66">
        <f>IFERROR(IF(INDEX(tbl_WIP[Defer Start],$A531)="","",IF(INDEX(tbl_WIP[Revenue or Cost],$A531)="Cost",-1,1)*INDEX(tbl_WIP[Amount],$A531)),"")</f>
        <v/>
      </c>
      <c r="H531" s="64">
        <f>IFERROR(INDEX(tbl_WIP[Defer Start],$A531),"")</f>
        <v/>
      </c>
      <c r="I531" s="64">
        <f>IFERROR(INDEX(tbl_WIP[Defer End],$A531),"")</f>
        <v/>
      </c>
      <c r="J531" s="63">
        <f>IF(OR($H531="",$I531="",$G531=""),"",MAX(1,(YEAR($I531)-YEAR($H531))*12+MONTH($I531)-MONTH($H531)+1))</f>
        <v/>
      </c>
      <c r="K531" s="66">
        <f>IF($J531="","",$G531/$J531)</f>
        <v/>
      </c>
      <c r="L531" s="66">
        <f>IF($J531="",0,$K531*MAX(0,MIN(YEAR($C$3)*12+MONTH($C$3),YEAR($I531)*12+MONTH($I531))-(YEAR($H531)*12+MONTH($H531))+1))</f>
        <v/>
      </c>
      <c r="M531" s="66">
        <f>IF($J531="",0,$K531*MAX(0,MIN(YEAR($C$3)*12+MONTH($C$3)-1,YEAR($I531)*12+MONTH($I531))-(YEAR($H531)*12+MONTH($H531))+1))</f>
        <v/>
      </c>
      <c r="N531" s="66">
        <f>IF(OR($J531="",$B531=""),0,IF(YEAR($B531)*12+MONTH($B531)&lt;=YEAR($C$3)*12+MONTH($C$3),$G531,0))</f>
        <v/>
      </c>
      <c r="O531" s="66">
        <f>IF(OR($J531="",$B531=""),0,IF(YEAR($B531)*12+MONTH($B531)&lt;=YEAR($C$3)*12+MONTH($C$3)-1,$G531,0))</f>
        <v/>
      </c>
      <c r="P531" s="66">
        <f>$M531-$O531</f>
        <v/>
      </c>
      <c r="Q531" s="66">
        <f>($L531-$M531)-($N531-$O531)</f>
        <v/>
      </c>
      <c r="R531" s="66">
        <f>$L531-$N531</f>
        <v/>
      </c>
      <c r="S531" s="65">
        <f>"WIP journal"</f>
        <v/>
      </c>
      <c r="T531" s="65">
        <f>IFERROR(INDEX(tbl_WIP[Revenue or Cost],$A531),"")</f>
        <v/>
      </c>
    </row>
    <row r="532">
      <c r="A532" s="63">
        <f>ROW()-407</f>
        <v/>
      </c>
      <c r="B532" s="64">
        <f>IFERROR(INDEX(tbl_WIP[Month],$A532),"")</f>
        <v/>
      </c>
      <c r="C532" s="65">
        <f>IFERROR(INDEX(tbl_WIP[Xero Invoice No],$A532),"")</f>
        <v/>
      </c>
      <c r="D532" s="65">
        <f>IFERROR(INDEX(tbl_WIP[Client],$A532),"")</f>
        <v/>
      </c>
      <c r="E532" s="65">
        <f>IFERROR(INDEX(tbl_WIP[Job Number],$A532),"")</f>
        <v/>
      </c>
      <c r="F532" s="65">
        <f>IFERROR(INDEX(tbl_WIP[Cost Centre],$A532),"")</f>
        <v/>
      </c>
      <c r="G532" s="66">
        <f>IFERROR(IF(INDEX(tbl_WIP[Defer Start],$A532)="","",IF(INDEX(tbl_WIP[Revenue or Cost],$A532)="Cost",-1,1)*INDEX(tbl_WIP[Amount],$A532)),"")</f>
        <v/>
      </c>
      <c r="H532" s="64">
        <f>IFERROR(INDEX(tbl_WIP[Defer Start],$A532),"")</f>
        <v/>
      </c>
      <c r="I532" s="64">
        <f>IFERROR(INDEX(tbl_WIP[Defer End],$A532),"")</f>
        <v/>
      </c>
      <c r="J532" s="63">
        <f>IF(OR($H532="",$I532="",$G532=""),"",MAX(1,(YEAR($I532)-YEAR($H532))*12+MONTH($I532)-MONTH($H532)+1))</f>
        <v/>
      </c>
      <c r="K532" s="66">
        <f>IF($J532="","",$G532/$J532)</f>
        <v/>
      </c>
      <c r="L532" s="66">
        <f>IF($J532="",0,$K532*MAX(0,MIN(YEAR($C$3)*12+MONTH($C$3),YEAR($I532)*12+MONTH($I532))-(YEAR($H532)*12+MONTH($H532))+1))</f>
        <v/>
      </c>
      <c r="M532" s="66">
        <f>IF($J532="",0,$K532*MAX(0,MIN(YEAR($C$3)*12+MONTH($C$3)-1,YEAR($I532)*12+MONTH($I532))-(YEAR($H532)*12+MONTH($H532))+1))</f>
        <v/>
      </c>
      <c r="N532" s="66">
        <f>IF(OR($J532="",$B532=""),0,IF(YEAR($B532)*12+MONTH($B532)&lt;=YEAR($C$3)*12+MONTH($C$3),$G532,0))</f>
        <v/>
      </c>
      <c r="O532" s="66">
        <f>IF(OR($J532="",$B532=""),0,IF(YEAR($B532)*12+MONTH($B532)&lt;=YEAR($C$3)*12+MONTH($C$3)-1,$G532,0))</f>
        <v/>
      </c>
      <c r="P532" s="66">
        <f>$M532-$O532</f>
        <v/>
      </c>
      <c r="Q532" s="66">
        <f>($L532-$M532)-($N532-$O532)</f>
        <v/>
      </c>
      <c r="R532" s="66">
        <f>$L532-$N532</f>
        <v/>
      </c>
      <c r="S532" s="65">
        <f>"WIP journal"</f>
        <v/>
      </c>
      <c r="T532" s="65">
        <f>IFERROR(INDEX(tbl_WIP[Revenue or Cost],$A532),"")</f>
        <v/>
      </c>
    </row>
    <row r="533">
      <c r="A533" s="63">
        <f>ROW()-407</f>
        <v/>
      </c>
      <c r="B533" s="64">
        <f>IFERROR(INDEX(tbl_WIP[Month],$A533),"")</f>
        <v/>
      </c>
      <c r="C533" s="65">
        <f>IFERROR(INDEX(tbl_WIP[Xero Invoice No],$A533),"")</f>
        <v/>
      </c>
      <c r="D533" s="65">
        <f>IFERROR(INDEX(tbl_WIP[Client],$A533),"")</f>
        <v/>
      </c>
      <c r="E533" s="65">
        <f>IFERROR(INDEX(tbl_WIP[Job Number],$A533),"")</f>
        <v/>
      </c>
      <c r="F533" s="65">
        <f>IFERROR(INDEX(tbl_WIP[Cost Centre],$A533),"")</f>
        <v/>
      </c>
      <c r="G533" s="66">
        <f>IFERROR(IF(INDEX(tbl_WIP[Defer Start],$A533)="","",IF(INDEX(tbl_WIP[Revenue or Cost],$A533)="Cost",-1,1)*INDEX(tbl_WIP[Amount],$A533)),"")</f>
        <v/>
      </c>
      <c r="H533" s="64">
        <f>IFERROR(INDEX(tbl_WIP[Defer Start],$A533),"")</f>
        <v/>
      </c>
      <c r="I533" s="64">
        <f>IFERROR(INDEX(tbl_WIP[Defer End],$A533),"")</f>
        <v/>
      </c>
      <c r="J533" s="63">
        <f>IF(OR($H533="",$I533="",$G533=""),"",MAX(1,(YEAR($I533)-YEAR($H533))*12+MONTH($I533)-MONTH($H533)+1))</f>
        <v/>
      </c>
      <c r="K533" s="66">
        <f>IF($J533="","",$G533/$J533)</f>
        <v/>
      </c>
      <c r="L533" s="66">
        <f>IF($J533="",0,$K533*MAX(0,MIN(YEAR($C$3)*12+MONTH($C$3),YEAR($I533)*12+MONTH($I533))-(YEAR($H533)*12+MONTH($H533))+1))</f>
        <v/>
      </c>
      <c r="M533" s="66">
        <f>IF($J533="",0,$K533*MAX(0,MIN(YEAR($C$3)*12+MONTH($C$3)-1,YEAR($I533)*12+MONTH($I533))-(YEAR($H533)*12+MONTH($H533))+1))</f>
        <v/>
      </c>
      <c r="N533" s="66">
        <f>IF(OR($J533="",$B533=""),0,IF(YEAR($B533)*12+MONTH($B533)&lt;=YEAR($C$3)*12+MONTH($C$3),$G533,0))</f>
        <v/>
      </c>
      <c r="O533" s="66">
        <f>IF(OR($J533="",$B533=""),0,IF(YEAR($B533)*12+MONTH($B533)&lt;=YEAR($C$3)*12+MONTH($C$3)-1,$G533,0))</f>
        <v/>
      </c>
      <c r="P533" s="66">
        <f>$M533-$O533</f>
        <v/>
      </c>
      <c r="Q533" s="66">
        <f>($L533-$M533)-($N533-$O533)</f>
        <v/>
      </c>
      <c r="R533" s="66">
        <f>$L533-$N533</f>
        <v/>
      </c>
      <c r="S533" s="65">
        <f>"WIP journal"</f>
        <v/>
      </c>
      <c r="T533" s="65">
        <f>IFERROR(INDEX(tbl_WIP[Revenue or Cost],$A533),"")</f>
        <v/>
      </c>
    </row>
    <row r="534">
      <c r="A534" s="63">
        <f>ROW()-407</f>
        <v/>
      </c>
      <c r="B534" s="64">
        <f>IFERROR(INDEX(tbl_WIP[Month],$A534),"")</f>
        <v/>
      </c>
      <c r="C534" s="65">
        <f>IFERROR(INDEX(tbl_WIP[Xero Invoice No],$A534),"")</f>
        <v/>
      </c>
      <c r="D534" s="65">
        <f>IFERROR(INDEX(tbl_WIP[Client],$A534),"")</f>
        <v/>
      </c>
      <c r="E534" s="65">
        <f>IFERROR(INDEX(tbl_WIP[Job Number],$A534),"")</f>
        <v/>
      </c>
      <c r="F534" s="65">
        <f>IFERROR(INDEX(tbl_WIP[Cost Centre],$A534),"")</f>
        <v/>
      </c>
      <c r="G534" s="66">
        <f>IFERROR(IF(INDEX(tbl_WIP[Defer Start],$A534)="","",IF(INDEX(tbl_WIP[Revenue or Cost],$A534)="Cost",-1,1)*INDEX(tbl_WIP[Amount],$A534)),"")</f>
        <v/>
      </c>
      <c r="H534" s="64">
        <f>IFERROR(INDEX(tbl_WIP[Defer Start],$A534),"")</f>
        <v/>
      </c>
      <c r="I534" s="64">
        <f>IFERROR(INDEX(tbl_WIP[Defer End],$A534),"")</f>
        <v/>
      </c>
      <c r="J534" s="63">
        <f>IF(OR($H534="",$I534="",$G534=""),"",MAX(1,(YEAR($I534)-YEAR($H534))*12+MONTH($I534)-MONTH($H534)+1))</f>
        <v/>
      </c>
      <c r="K534" s="66">
        <f>IF($J534="","",$G534/$J534)</f>
        <v/>
      </c>
      <c r="L534" s="66">
        <f>IF($J534="",0,$K534*MAX(0,MIN(YEAR($C$3)*12+MONTH($C$3),YEAR($I534)*12+MONTH($I534))-(YEAR($H534)*12+MONTH($H534))+1))</f>
        <v/>
      </c>
      <c r="M534" s="66">
        <f>IF($J534="",0,$K534*MAX(0,MIN(YEAR($C$3)*12+MONTH($C$3)-1,YEAR($I534)*12+MONTH($I534))-(YEAR($H534)*12+MONTH($H534))+1))</f>
        <v/>
      </c>
      <c r="N534" s="66">
        <f>IF(OR($J534="",$B534=""),0,IF(YEAR($B534)*12+MONTH($B534)&lt;=YEAR($C$3)*12+MONTH($C$3),$G534,0))</f>
        <v/>
      </c>
      <c r="O534" s="66">
        <f>IF(OR($J534="",$B534=""),0,IF(YEAR($B534)*12+MONTH($B534)&lt;=YEAR($C$3)*12+MONTH($C$3)-1,$G534,0))</f>
        <v/>
      </c>
      <c r="P534" s="66">
        <f>$M534-$O534</f>
        <v/>
      </c>
      <c r="Q534" s="66">
        <f>($L534-$M534)-($N534-$O534)</f>
        <v/>
      </c>
      <c r="R534" s="66">
        <f>$L534-$N534</f>
        <v/>
      </c>
      <c r="S534" s="65">
        <f>"WIP journal"</f>
        <v/>
      </c>
      <c r="T534" s="65">
        <f>IFERROR(INDEX(tbl_WIP[Revenue or Cost],$A534),"")</f>
        <v/>
      </c>
    </row>
    <row r="535">
      <c r="A535" s="63">
        <f>ROW()-407</f>
        <v/>
      </c>
      <c r="B535" s="64">
        <f>IFERROR(INDEX(tbl_WIP[Month],$A535),"")</f>
        <v/>
      </c>
      <c r="C535" s="65">
        <f>IFERROR(INDEX(tbl_WIP[Xero Invoice No],$A535),"")</f>
        <v/>
      </c>
      <c r="D535" s="65">
        <f>IFERROR(INDEX(tbl_WIP[Client],$A535),"")</f>
        <v/>
      </c>
      <c r="E535" s="65">
        <f>IFERROR(INDEX(tbl_WIP[Job Number],$A535),"")</f>
        <v/>
      </c>
      <c r="F535" s="65">
        <f>IFERROR(INDEX(tbl_WIP[Cost Centre],$A535),"")</f>
        <v/>
      </c>
      <c r="G535" s="66">
        <f>IFERROR(IF(INDEX(tbl_WIP[Defer Start],$A535)="","",IF(INDEX(tbl_WIP[Revenue or Cost],$A535)="Cost",-1,1)*INDEX(tbl_WIP[Amount],$A535)),"")</f>
        <v/>
      </c>
      <c r="H535" s="64">
        <f>IFERROR(INDEX(tbl_WIP[Defer Start],$A535),"")</f>
        <v/>
      </c>
      <c r="I535" s="64">
        <f>IFERROR(INDEX(tbl_WIP[Defer End],$A535),"")</f>
        <v/>
      </c>
      <c r="J535" s="63">
        <f>IF(OR($H535="",$I535="",$G535=""),"",MAX(1,(YEAR($I535)-YEAR($H535))*12+MONTH($I535)-MONTH($H535)+1))</f>
        <v/>
      </c>
      <c r="K535" s="66">
        <f>IF($J535="","",$G535/$J535)</f>
        <v/>
      </c>
      <c r="L535" s="66">
        <f>IF($J535="",0,$K535*MAX(0,MIN(YEAR($C$3)*12+MONTH($C$3),YEAR($I535)*12+MONTH($I535))-(YEAR($H535)*12+MONTH($H535))+1))</f>
        <v/>
      </c>
      <c r="M535" s="66">
        <f>IF($J535="",0,$K535*MAX(0,MIN(YEAR($C$3)*12+MONTH($C$3)-1,YEAR($I535)*12+MONTH($I535))-(YEAR($H535)*12+MONTH($H535))+1))</f>
        <v/>
      </c>
      <c r="N535" s="66">
        <f>IF(OR($J535="",$B535=""),0,IF(YEAR($B535)*12+MONTH($B535)&lt;=YEAR($C$3)*12+MONTH($C$3),$G535,0))</f>
        <v/>
      </c>
      <c r="O535" s="66">
        <f>IF(OR($J535="",$B535=""),0,IF(YEAR($B535)*12+MONTH($B535)&lt;=YEAR($C$3)*12+MONTH($C$3)-1,$G535,0))</f>
        <v/>
      </c>
      <c r="P535" s="66">
        <f>$M535-$O535</f>
        <v/>
      </c>
      <c r="Q535" s="66">
        <f>($L535-$M535)-($N535-$O535)</f>
        <v/>
      </c>
      <c r="R535" s="66">
        <f>$L535-$N535</f>
        <v/>
      </c>
      <c r="S535" s="65">
        <f>"WIP journal"</f>
        <v/>
      </c>
      <c r="T535" s="65">
        <f>IFERROR(INDEX(tbl_WIP[Revenue or Cost],$A535),"")</f>
        <v/>
      </c>
    </row>
    <row r="536">
      <c r="A536" s="63">
        <f>ROW()-407</f>
        <v/>
      </c>
      <c r="B536" s="64">
        <f>IFERROR(INDEX(tbl_WIP[Month],$A536),"")</f>
        <v/>
      </c>
      <c r="C536" s="65">
        <f>IFERROR(INDEX(tbl_WIP[Xero Invoice No],$A536),"")</f>
        <v/>
      </c>
      <c r="D536" s="65">
        <f>IFERROR(INDEX(tbl_WIP[Client],$A536),"")</f>
        <v/>
      </c>
      <c r="E536" s="65">
        <f>IFERROR(INDEX(tbl_WIP[Job Number],$A536),"")</f>
        <v/>
      </c>
      <c r="F536" s="65">
        <f>IFERROR(INDEX(tbl_WIP[Cost Centre],$A536),"")</f>
        <v/>
      </c>
      <c r="G536" s="66">
        <f>IFERROR(IF(INDEX(tbl_WIP[Defer Start],$A536)="","",IF(INDEX(tbl_WIP[Revenue or Cost],$A536)="Cost",-1,1)*INDEX(tbl_WIP[Amount],$A536)),"")</f>
        <v/>
      </c>
      <c r="H536" s="64">
        <f>IFERROR(INDEX(tbl_WIP[Defer Start],$A536),"")</f>
        <v/>
      </c>
      <c r="I536" s="64">
        <f>IFERROR(INDEX(tbl_WIP[Defer End],$A536),"")</f>
        <v/>
      </c>
      <c r="J536" s="63">
        <f>IF(OR($H536="",$I536="",$G536=""),"",MAX(1,(YEAR($I536)-YEAR($H536))*12+MONTH($I536)-MONTH($H536)+1))</f>
        <v/>
      </c>
      <c r="K536" s="66">
        <f>IF($J536="","",$G536/$J536)</f>
        <v/>
      </c>
      <c r="L536" s="66">
        <f>IF($J536="",0,$K536*MAX(0,MIN(YEAR($C$3)*12+MONTH($C$3),YEAR($I536)*12+MONTH($I536))-(YEAR($H536)*12+MONTH($H536))+1))</f>
        <v/>
      </c>
      <c r="M536" s="66">
        <f>IF($J536="",0,$K536*MAX(0,MIN(YEAR($C$3)*12+MONTH($C$3)-1,YEAR($I536)*12+MONTH($I536))-(YEAR($H536)*12+MONTH($H536))+1))</f>
        <v/>
      </c>
      <c r="N536" s="66">
        <f>IF(OR($J536="",$B536=""),0,IF(YEAR($B536)*12+MONTH($B536)&lt;=YEAR($C$3)*12+MONTH($C$3),$G536,0))</f>
        <v/>
      </c>
      <c r="O536" s="66">
        <f>IF(OR($J536="",$B536=""),0,IF(YEAR($B536)*12+MONTH($B536)&lt;=YEAR($C$3)*12+MONTH($C$3)-1,$G536,0))</f>
        <v/>
      </c>
      <c r="P536" s="66">
        <f>$M536-$O536</f>
        <v/>
      </c>
      <c r="Q536" s="66">
        <f>($L536-$M536)-($N536-$O536)</f>
        <v/>
      </c>
      <c r="R536" s="66">
        <f>$L536-$N536</f>
        <v/>
      </c>
      <c r="S536" s="65">
        <f>"WIP journal"</f>
        <v/>
      </c>
      <c r="T536" s="65">
        <f>IFERROR(INDEX(tbl_WIP[Revenue or Cost],$A536),"")</f>
        <v/>
      </c>
    </row>
    <row r="537">
      <c r="A537" s="63">
        <f>ROW()-407</f>
        <v/>
      </c>
      <c r="B537" s="64">
        <f>IFERROR(INDEX(tbl_WIP[Month],$A537),"")</f>
        <v/>
      </c>
      <c r="C537" s="65">
        <f>IFERROR(INDEX(tbl_WIP[Xero Invoice No],$A537),"")</f>
        <v/>
      </c>
      <c r="D537" s="65">
        <f>IFERROR(INDEX(tbl_WIP[Client],$A537),"")</f>
        <v/>
      </c>
      <c r="E537" s="65">
        <f>IFERROR(INDEX(tbl_WIP[Job Number],$A537),"")</f>
        <v/>
      </c>
      <c r="F537" s="65">
        <f>IFERROR(INDEX(tbl_WIP[Cost Centre],$A537),"")</f>
        <v/>
      </c>
      <c r="G537" s="66">
        <f>IFERROR(IF(INDEX(tbl_WIP[Defer Start],$A537)="","",IF(INDEX(tbl_WIP[Revenue or Cost],$A537)="Cost",-1,1)*INDEX(tbl_WIP[Amount],$A537)),"")</f>
        <v/>
      </c>
      <c r="H537" s="64">
        <f>IFERROR(INDEX(tbl_WIP[Defer Start],$A537),"")</f>
        <v/>
      </c>
      <c r="I537" s="64">
        <f>IFERROR(INDEX(tbl_WIP[Defer End],$A537),"")</f>
        <v/>
      </c>
      <c r="J537" s="63">
        <f>IF(OR($H537="",$I537="",$G537=""),"",MAX(1,(YEAR($I537)-YEAR($H537))*12+MONTH($I537)-MONTH($H537)+1))</f>
        <v/>
      </c>
      <c r="K537" s="66">
        <f>IF($J537="","",$G537/$J537)</f>
        <v/>
      </c>
      <c r="L537" s="66">
        <f>IF($J537="",0,$K537*MAX(0,MIN(YEAR($C$3)*12+MONTH($C$3),YEAR($I537)*12+MONTH($I537))-(YEAR($H537)*12+MONTH($H537))+1))</f>
        <v/>
      </c>
      <c r="M537" s="66">
        <f>IF($J537="",0,$K537*MAX(0,MIN(YEAR($C$3)*12+MONTH($C$3)-1,YEAR($I537)*12+MONTH($I537))-(YEAR($H537)*12+MONTH($H537))+1))</f>
        <v/>
      </c>
      <c r="N537" s="66">
        <f>IF(OR($J537="",$B537=""),0,IF(YEAR($B537)*12+MONTH($B537)&lt;=YEAR($C$3)*12+MONTH($C$3),$G537,0))</f>
        <v/>
      </c>
      <c r="O537" s="66">
        <f>IF(OR($J537="",$B537=""),0,IF(YEAR($B537)*12+MONTH($B537)&lt;=YEAR($C$3)*12+MONTH($C$3)-1,$G537,0))</f>
        <v/>
      </c>
      <c r="P537" s="66">
        <f>$M537-$O537</f>
        <v/>
      </c>
      <c r="Q537" s="66">
        <f>($L537-$M537)-($N537-$O537)</f>
        <v/>
      </c>
      <c r="R537" s="66">
        <f>$L537-$N537</f>
        <v/>
      </c>
      <c r="S537" s="65">
        <f>"WIP journal"</f>
        <v/>
      </c>
      <c r="T537" s="65">
        <f>IFERROR(INDEX(tbl_WIP[Revenue or Cost],$A537),"")</f>
        <v/>
      </c>
    </row>
    <row r="538">
      <c r="A538" s="63">
        <f>ROW()-407</f>
        <v/>
      </c>
      <c r="B538" s="64">
        <f>IFERROR(INDEX(tbl_WIP[Month],$A538),"")</f>
        <v/>
      </c>
      <c r="C538" s="65">
        <f>IFERROR(INDEX(tbl_WIP[Xero Invoice No],$A538),"")</f>
        <v/>
      </c>
      <c r="D538" s="65">
        <f>IFERROR(INDEX(tbl_WIP[Client],$A538),"")</f>
        <v/>
      </c>
      <c r="E538" s="65">
        <f>IFERROR(INDEX(tbl_WIP[Job Number],$A538),"")</f>
        <v/>
      </c>
      <c r="F538" s="65">
        <f>IFERROR(INDEX(tbl_WIP[Cost Centre],$A538),"")</f>
        <v/>
      </c>
      <c r="G538" s="66">
        <f>IFERROR(IF(INDEX(tbl_WIP[Defer Start],$A538)="","",IF(INDEX(tbl_WIP[Revenue or Cost],$A538)="Cost",-1,1)*INDEX(tbl_WIP[Amount],$A538)),"")</f>
        <v/>
      </c>
      <c r="H538" s="64">
        <f>IFERROR(INDEX(tbl_WIP[Defer Start],$A538),"")</f>
        <v/>
      </c>
      <c r="I538" s="64">
        <f>IFERROR(INDEX(tbl_WIP[Defer End],$A538),"")</f>
        <v/>
      </c>
      <c r="J538" s="63">
        <f>IF(OR($H538="",$I538="",$G538=""),"",MAX(1,(YEAR($I538)-YEAR($H538))*12+MONTH($I538)-MONTH($H538)+1))</f>
        <v/>
      </c>
      <c r="K538" s="66">
        <f>IF($J538="","",$G538/$J538)</f>
        <v/>
      </c>
      <c r="L538" s="66">
        <f>IF($J538="",0,$K538*MAX(0,MIN(YEAR($C$3)*12+MONTH($C$3),YEAR($I538)*12+MONTH($I538))-(YEAR($H538)*12+MONTH($H538))+1))</f>
        <v/>
      </c>
      <c r="M538" s="66">
        <f>IF($J538="",0,$K538*MAX(0,MIN(YEAR($C$3)*12+MONTH($C$3)-1,YEAR($I538)*12+MONTH($I538))-(YEAR($H538)*12+MONTH($H538))+1))</f>
        <v/>
      </c>
      <c r="N538" s="66">
        <f>IF(OR($J538="",$B538=""),0,IF(YEAR($B538)*12+MONTH($B538)&lt;=YEAR($C$3)*12+MONTH($C$3),$G538,0))</f>
        <v/>
      </c>
      <c r="O538" s="66">
        <f>IF(OR($J538="",$B538=""),0,IF(YEAR($B538)*12+MONTH($B538)&lt;=YEAR($C$3)*12+MONTH($C$3)-1,$G538,0))</f>
        <v/>
      </c>
      <c r="P538" s="66">
        <f>$M538-$O538</f>
        <v/>
      </c>
      <c r="Q538" s="66">
        <f>($L538-$M538)-($N538-$O538)</f>
        <v/>
      </c>
      <c r="R538" s="66">
        <f>$L538-$N538</f>
        <v/>
      </c>
      <c r="S538" s="65">
        <f>"WIP journal"</f>
        <v/>
      </c>
      <c r="T538" s="65">
        <f>IFERROR(INDEX(tbl_WIP[Revenue or Cost],$A538),"")</f>
        <v/>
      </c>
    </row>
    <row r="539">
      <c r="A539" s="63">
        <f>ROW()-407</f>
        <v/>
      </c>
      <c r="B539" s="64">
        <f>IFERROR(INDEX(tbl_WIP[Month],$A539),"")</f>
        <v/>
      </c>
      <c r="C539" s="65">
        <f>IFERROR(INDEX(tbl_WIP[Xero Invoice No],$A539),"")</f>
        <v/>
      </c>
      <c r="D539" s="65">
        <f>IFERROR(INDEX(tbl_WIP[Client],$A539),"")</f>
        <v/>
      </c>
      <c r="E539" s="65">
        <f>IFERROR(INDEX(tbl_WIP[Job Number],$A539),"")</f>
        <v/>
      </c>
      <c r="F539" s="65">
        <f>IFERROR(INDEX(tbl_WIP[Cost Centre],$A539),"")</f>
        <v/>
      </c>
      <c r="G539" s="66">
        <f>IFERROR(IF(INDEX(tbl_WIP[Defer Start],$A539)="","",IF(INDEX(tbl_WIP[Revenue or Cost],$A539)="Cost",-1,1)*INDEX(tbl_WIP[Amount],$A539)),"")</f>
        <v/>
      </c>
      <c r="H539" s="64">
        <f>IFERROR(INDEX(tbl_WIP[Defer Start],$A539),"")</f>
        <v/>
      </c>
      <c r="I539" s="64">
        <f>IFERROR(INDEX(tbl_WIP[Defer End],$A539),"")</f>
        <v/>
      </c>
      <c r="J539" s="63">
        <f>IF(OR($H539="",$I539="",$G539=""),"",MAX(1,(YEAR($I539)-YEAR($H539))*12+MONTH($I539)-MONTH($H539)+1))</f>
        <v/>
      </c>
      <c r="K539" s="66">
        <f>IF($J539="","",$G539/$J539)</f>
        <v/>
      </c>
      <c r="L539" s="66">
        <f>IF($J539="",0,$K539*MAX(0,MIN(YEAR($C$3)*12+MONTH($C$3),YEAR($I539)*12+MONTH($I539))-(YEAR($H539)*12+MONTH($H539))+1))</f>
        <v/>
      </c>
      <c r="M539" s="66">
        <f>IF($J539="",0,$K539*MAX(0,MIN(YEAR($C$3)*12+MONTH($C$3)-1,YEAR($I539)*12+MONTH($I539))-(YEAR($H539)*12+MONTH($H539))+1))</f>
        <v/>
      </c>
      <c r="N539" s="66">
        <f>IF(OR($J539="",$B539=""),0,IF(YEAR($B539)*12+MONTH($B539)&lt;=YEAR($C$3)*12+MONTH($C$3),$G539,0))</f>
        <v/>
      </c>
      <c r="O539" s="66">
        <f>IF(OR($J539="",$B539=""),0,IF(YEAR($B539)*12+MONTH($B539)&lt;=YEAR($C$3)*12+MONTH($C$3)-1,$G539,0))</f>
        <v/>
      </c>
      <c r="P539" s="66">
        <f>$M539-$O539</f>
        <v/>
      </c>
      <c r="Q539" s="66">
        <f>($L539-$M539)-($N539-$O539)</f>
        <v/>
      </c>
      <c r="R539" s="66">
        <f>$L539-$N539</f>
        <v/>
      </c>
      <c r="S539" s="65">
        <f>"WIP journal"</f>
        <v/>
      </c>
      <c r="T539" s="65">
        <f>IFERROR(INDEX(tbl_WIP[Revenue or Cost],$A539),"")</f>
        <v/>
      </c>
    </row>
    <row r="540">
      <c r="A540" s="63">
        <f>ROW()-407</f>
        <v/>
      </c>
      <c r="B540" s="64">
        <f>IFERROR(INDEX(tbl_WIP[Month],$A540),"")</f>
        <v/>
      </c>
      <c r="C540" s="65">
        <f>IFERROR(INDEX(tbl_WIP[Xero Invoice No],$A540),"")</f>
        <v/>
      </c>
      <c r="D540" s="65">
        <f>IFERROR(INDEX(tbl_WIP[Client],$A540),"")</f>
        <v/>
      </c>
      <c r="E540" s="65">
        <f>IFERROR(INDEX(tbl_WIP[Job Number],$A540),"")</f>
        <v/>
      </c>
      <c r="F540" s="65">
        <f>IFERROR(INDEX(tbl_WIP[Cost Centre],$A540),"")</f>
        <v/>
      </c>
      <c r="G540" s="66">
        <f>IFERROR(IF(INDEX(tbl_WIP[Defer Start],$A540)="","",IF(INDEX(tbl_WIP[Revenue or Cost],$A540)="Cost",-1,1)*INDEX(tbl_WIP[Amount],$A540)),"")</f>
        <v/>
      </c>
      <c r="H540" s="64">
        <f>IFERROR(INDEX(tbl_WIP[Defer Start],$A540),"")</f>
        <v/>
      </c>
      <c r="I540" s="64">
        <f>IFERROR(INDEX(tbl_WIP[Defer End],$A540),"")</f>
        <v/>
      </c>
      <c r="J540" s="63">
        <f>IF(OR($H540="",$I540="",$G540=""),"",MAX(1,(YEAR($I540)-YEAR($H540))*12+MONTH($I540)-MONTH($H540)+1))</f>
        <v/>
      </c>
      <c r="K540" s="66">
        <f>IF($J540="","",$G540/$J540)</f>
        <v/>
      </c>
      <c r="L540" s="66">
        <f>IF($J540="",0,$K540*MAX(0,MIN(YEAR($C$3)*12+MONTH($C$3),YEAR($I540)*12+MONTH($I540))-(YEAR($H540)*12+MONTH($H540))+1))</f>
        <v/>
      </c>
      <c r="M540" s="66">
        <f>IF($J540="",0,$K540*MAX(0,MIN(YEAR($C$3)*12+MONTH($C$3)-1,YEAR($I540)*12+MONTH($I540))-(YEAR($H540)*12+MONTH($H540))+1))</f>
        <v/>
      </c>
      <c r="N540" s="66">
        <f>IF(OR($J540="",$B540=""),0,IF(YEAR($B540)*12+MONTH($B540)&lt;=YEAR($C$3)*12+MONTH($C$3),$G540,0))</f>
        <v/>
      </c>
      <c r="O540" s="66">
        <f>IF(OR($J540="",$B540=""),0,IF(YEAR($B540)*12+MONTH($B540)&lt;=YEAR($C$3)*12+MONTH($C$3)-1,$G540,0))</f>
        <v/>
      </c>
      <c r="P540" s="66">
        <f>$M540-$O540</f>
        <v/>
      </c>
      <c r="Q540" s="66">
        <f>($L540-$M540)-($N540-$O540)</f>
        <v/>
      </c>
      <c r="R540" s="66">
        <f>$L540-$N540</f>
        <v/>
      </c>
      <c r="S540" s="65">
        <f>"WIP journal"</f>
        <v/>
      </c>
      <c r="T540" s="65">
        <f>IFERROR(INDEX(tbl_WIP[Revenue or Cost],$A540),"")</f>
        <v/>
      </c>
    </row>
    <row r="541">
      <c r="A541" s="63">
        <f>ROW()-407</f>
        <v/>
      </c>
      <c r="B541" s="64">
        <f>IFERROR(INDEX(tbl_WIP[Month],$A541),"")</f>
        <v/>
      </c>
      <c r="C541" s="65">
        <f>IFERROR(INDEX(tbl_WIP[Xero Invoice No],$A541),"")</f>
        <v/>
      </c>
      <c r="D541" s="65">
        <f>IFERROR(INDEX(tbl_WIP[Client],$A541),"")</f>
        <v/>
      </c>
      <c r="E541" s="65">
        <f>IFERROR(INDEX(tbl_WIP[Job Number],$A541),"")</f>
        <v/>
      </c>
      <c r="F541" s="65">
        <f>IFERROR(INDEX(tbl_WIP[Cost Centre],$A541),"")</f>
        <v/>
      </c>
      <c r="G541" s="66">
        <f>IFERROR(IF(INDEX(tbl_WIP[Defer Start],$A541)="","",IF(INDEX(tbl_WIP[Revenue or Cost],$A541)="Cost",-1,1)*INDEX(tbl_WIP[Amount],$A541)),"")</f>
        <v/>
      </c>
      <c r="H541" s="64">
        <f>IFERROR(INDEX(tbl_WIP[Defer Start],$A541),"")</f>
        <v/>
      </c>
      <c r="I541" s="64">
        <f>IFERROR(INDEX(tbl_WIP[Defer End],$A541),"")</f>
        <v/>
      </c>
      <c r="J541" s="63">
        <f>IF(OR($H541="",$I541="",$G541=""),"",MAX(1,(YEAR($I541)-YEAR($H541))*12+MONTH($I541)-MONTH($H541)+1))</f>
        <v/>
      </c>
      <c r="K541" s="66">
        <f>IF($J541="","",$G541/$J541)</f>
        <v/>
      </c>
      <c r="L541" s="66">
        <f>IF($J541="",0,$K541*MAX(0,MIN(YEAR($C$3)*12+MONTH($C$3),YEAR($I541)*12+MONTH($I541))-(YEAR($H541)*12+MONTH($H541))+1))</f>
        <v/>
      </c>
      <c r="M541" s="66">
        <f>IF($J541="",0,$K541*MAX(0,MIN(YEAR($C$3)*12+MONTH($C$3)-1,YEAR($I541)*12+MONTH($I541))-(YEAR($H541)*12+MONTH($H541))+1))</f>
        <v/>
      </c>
      <c r="N541" s="66">
        <f>IF(OR($J541="",$B541=""),0,IF(YEAR($B541)*12+MONTH($B541)&lt;=YEAR($C$3)*12+MONTH($C$3),$G541,0))</f>
        <v/>
      </c>
      <c r="O541" s="66">
        <f>IF(OR($J541="",$B541=""),0,IF(YEAR($B541)*12+MONTH($B541)&lt;=YEAR($C$3)*12+MONTH($C$3)-1,$G541,0))</f>
        <v/>
      </c>
      <c r="P541" s="66">
        <f>$M541-$O541</f>
        <v/>
      </c>
      <c r="Q541" s="66">
        <f>($L541-$M541)-($N541-$O541)</f>
        <v/>
      </c>
      <c r="R541" s="66">
        <f>$L541-$N541</f>
        <v/>
      </c>
      <c r="S541" s="65">
        <f>"WIP journal"</f>
        <v/>
      </c>
      <c r="T541" s="65">
        <f>IFERROR(INDEX(tbl_WIP[Revenue or Cost],$A541),"")</f>
        <v/>
      </c>
    </row>
    <row r="542">
      <c r="A542" s="63">
        <f>ROW()-407</f>
        <v/>
      </c>
      <c r="B542" s="64">
        <f>IFERROR(INDEX(tbl_WIP[Month],$A542),"")</f>
        <v/>
      </c>
      <c r="C542" s="65">
        <f>IFERROR(INDEX(tbl_WIP[Xero Invoice No],$A542),"")</f>
        <v/>
      </c>
      <c r="D542" s="65">
        <f>IFERROR(INDEX(tbl_WIP[Client],$A542),"")</f>
        <v/>
      </c>
      <c r="E542" s="65">
        <f>IFERROR(INDEX(tbl_WIP[Job Number],$A542),"")</f>
        <v/>
      </c>
      <c r="F542" s="65">
        <f>IFERROR(INDEX(tbl_WIP[Cost Centre],$A542),"")</f>
        <v/>
      </c>
      <c r="G542" s="66">
        <f>IFERROR(IF(INDEX(tbl_WIP[Defer Start],$A542)="","",IF(INDEX(tbl_WIP[Revenue or Cost],$A542)="Cost",-1,1)*INDEX(tbl_WIP[Amount],$A542)),"")</f>
        <v/>
      </c>
      <c r="H542" s="64">
        <f>IFERROR(INDEX(tbl_WIP[Defer Start],$A542),"")</f>
        <v/>
      </c>
      <c r="I542" s="64">
        <f>IFERROR(INDEX(tbl_WIP[Defer End],$A542),"")</f>
        <v/>
      </c>
      <c r="J542" s="63">
        <f>IF(OR($H542="",$I542="",$G542=""),"",MAX(1,(YEAR($I542)-YEAR($H542))*12+MONTH($I542)-MONTH($H542)+1))</f>
        <v/>
      </c>
      <c r="K542" s="66">
        <f>IF($J542="","",$G542/$J542)</f>
        <v/>
      </c>
      <c r="L542" s="66">
        <f>IF($J542="",0,$K542*MAX(0,MIN(YEAR($C$3)*12+MONTH($C$3),YEAR($I542)*12+MONTH($I542))-(YEAR($H542)*12+MONTH($H542))+1))</f>
        <v/>
      </c>
      <c r="M542" s="66">
        <f>IF($J542="",0,$K542*MAX(0,MIN(YEAR($C$3)*12+MONTH($C$3)-1,YEAR($I542)*12+MONTH($I542))-(YEAR($H542)*12+MONTH($H542))+1))</f>
        <v/>
      </c>
      <c r="N542" s="66">
        <f>IF(OR($J542="",$B542=""),0,IF(YEAR($B542)*12+MONTH($B542)&lt;=YEAR($C$3)*12+MONTH($C$3),$G542,0))</f>
        <v/>
      </c>
      <c r="O542" s="66">
        <f>IF(OR($J542="",$B542=""),0,IF(YEAR($B542)*12+MONTH($B542)&lt;=YEAR($C$3)*12+MONTH($C$3)-1,$G542,0))</f>
        <v/>
      </c>
      <c r="P542" s="66">
        <f>$M542-$O542</f>
        <v/>
      </c>
      <c r="Q542" s="66">
        <f>($L542-$M542)-($N542-$O542)</f>
        <v/>
      </c>
      <c r="R542" s="66">
        <f>$L542-$N542</f>
        <v/>
      </c>
      <c r="S542" s="65">
        <f>"WIP journal"</f>
        <v/>
      </c>
      <c r="T542" s="65">
        <f>IFERROR(INDEX(tbl_WIP[Revenue or Cost],$A542),"")</f>
        <v/>
      </c>
    </row>
    <row r="543">
      <c r="A543" s="63">
        <f>ROW()-407</f>
        <v/>
      </c>
      <c r="B543" s="64">
        <f>IFERROR(INDEX(tbl_WIP[Month],$A543),"")</f>
        <v/>
      </c>
      <c r="C543" s="65">
        <f>IFERROR(INDEX(tbl_WIP[Xero Invoice No],$A543),"")</f>
        <v/>
      </c>
      <c r="D543" s="65">
        <f>IFERROR(INDEX(tbl_WIP[Client],$A543),"")</f>
        <v/>
      </c>
      <c r="E543" s="65">
        <f>IFERROR(INDEX(tbl_WIP[Job Number],$A543),"")</f>
        <v/>
      </c>
      <c r="F543" s="65">
        <f>IFERROR(INDEX(tbl_WIP[Cost Centre],$A543),"")</f>
        <v/>
      </c>
      <c r="G543" s="66">
        <f>IFERROR(IF(INDEX(tbl_WIP[Defer Start],$A543)="","",IF(INDEX(tbl_WIP[Revenue or Cost],$A543)="Cost",-1,1)*INDEX(tbl_WIP[Amount],$A543)),"")</f>
        <v/>
      </c>
      <c r="H543" s="64">
        <f>IFERROR(INDEX(tbl_WIP[Defer Start],$A543),"")</f>
        <v/>
      </c>
      <c r="I543" s="64">
        <f>IFERROR(INDEX(tbl_WIP[Defer End],$A543),"")</f>
        <v/>
      </c>
      <c r="J543" s="63">
        <f>IF(OR($H543="",$I543="",$G543=""),"",MAX(1,(YEAR($I543)-YEAR($H543))*12+MONTH($I543)-MONTH($H543)+1))</f>
        <v/>
      </c>
      <c r="K543" s="66">
        <f>IF($J543="","",$G543/$J543)</f>
        <v/>
      </c>
      <c r="L543" s="66">
        <f>IF($J543="",0,$K543*MAX(0,MIN(YEAR($C$3)*12+MONTH($C$3),YEAR($I543)*12+MONTH($I543))-(YEAR($H543)*12+MONTH($H543))+1))</f>
        <v/>
      </c>
      <c r="M543" s="66">
        <f>IF($J543="",0,$K543*MAX(0,MIN(YEAR($C$3)*12+MONTH($C$3)-1,YEAR($I543)*12+MONTH($I543))-(YEAR($H543)*12+MONTH($H543))+1))</f>
        <v/>
      </c>
      <c r="N543" s="66">
        <f>IF(OR($J543="",$B543=""),0,IF(YEAR($B543)*12+MONTH($B543)&lt;=YEAR($C$3)*12+MONTH($C$3),$G543,0))</f>
        <v/>
      </c>
      <c r="O543" s="66">
        <f>IF(OR($J543="",$B543=""),0,IF(YEAR($B543)*12+MONTH($B543)&lt;=YEAR($C$3)*12+MONTH($C$3)-1,$G543,0))</f>
        <v/>
      </c>
      <c r="P543" s="66">
        <f>$M543-$O543</f>
        <v/>
      </c>
      <c r="Q543" s="66">
        <f>($L543-$M543)-($N543-$O543)</f>
        <v/>
      </c>
      <c r="R543" s="66">
        <f>$L543-$N543</f>
        <v/>
      </c>
      <c r="S543" s="65">
        <f>"WIP journal"</f>
        <v/>
      </c>
      <c r="T543" s="65">
        <f>IFERROR(INDEX(tbl_WIP[Revenue or Cost],$A543),"")</f>
        <v/>
      </c>
    </row>
    <row r="544">
      <c r="A544" s="63">
        <f>ROW()-407</f>
        <v/>
      </c>
      <c r="B544" s="64">
        <f>IFERROR(INDEX(tbl_WIP[Month],$A544),"")</f>
        <v/>
      </c>
      <c r="C544" s="65">
        <f>IFERROR(INDEX(tbl_WIP[Xero Invoice No],$A544),"")</f>
        <v/>
      </c>
      <c r="D544" s="65">
        <f>IFERROR(INDEX(tbl_WIP[Client],$A544),"")</f>
        <v/>
      </c>
      <c r="E544" s="65">
        <f>IFERROR(INDEX(tbl_WIP[Job Number],$A544),"")</f>
        <v/>
      </c>
      <c r="F544" s="65">
        <f>IFERROR(INDEX(tbl_WIP[Cost Centre],$A544),"")</f>
        <v/>
      </c>
      <c r="G544" s="66">
        <f>IFERROR(IF(INDEX(tbl_WIP[Defer Start],$A544)="","",IF(INDEX(tbl_WIP[Revenue or Cost],$A544)="Cost",-1,1)*INDEX(tbl_WIP[Amount],$A544)),"")</f>
        <v/>
      </c>
      <c r="H544" s="64">
        <f>IFERROR(INDEX(tbl_WIP[Defer Start],$A544),"")</f>
        <v/>
      </c>
      <c r="I544" s="64">
        <f>IFERROR(INDEX(tbl_WIP[Defer End],$A544),"")</f>
        <v/>
      </c>
      <c r="J544" s="63">
        <f>IF(OR($H544="",$I544="",$G544=""),"",MAX(1,(YEAR($I544)-YEAR($H544))*12+MONTH($I544)-MONTH($H544)+1))</f>
        <v/>
      </c>
      <c r="K544" s="66">
        <f>IF($J544="","",$G544/$J544)</f>
        <v/>
      </c>
      <c r="L544" s="66">
        <f>IF($J544="",0,$K544*MAX(0,MIN(YEAR($C$3)*12+MONTH($C$3),YEAR($I544)*12+MONTH($I544))-(YEAR($H544)*12+MONTH($H544))+1))</f>
        <v/>
      </c>
      <c r="M544" s="66">
        <f>IF($J544="",0,$K544*MAX(0,MIN(YEAR($C$3)*12+MONTH($C$3)-1,YEAR($I544)*12+MONTH($I544))-(YEAR($H544)*12+MONTH($H544))+1))</f>
        <v/>
      </c>
      <c r="N544" s="66">
        <f>IF(OR($J544="",$B544=""),0,IF(YEAR($B544)*12+MONTH($B544)&lt;=YEAR($C$3)*12+MONTH($C$3),$G544,0))</f>
        <v/>
      </c>
      <c r="O544" s="66">
        <f>IF(OR($J544="",$B544=""),0,IF(YEAR($B544)*12+MONTH($B544)&lt;=YEAR($C$3)*12+MONTH($C$3)-1,$G544,0))</f>
        <v/>
      </c>
      <c r="P544" s="66">
        <f>$M544-$O544</f>
        <v/>
      </c>
      <c r="Q544" s="66">
        <f>($L544-$M544)-($N544-$O544)</f>
        <v/>
      </c>
      <c r="R544" s="66">
        <f>$L544-$N544</f>
        <v/>
      </c>
      <c r="S544" s="65">
        <f>"WIP journal"</f>
        <v/>
      </c>
      <c r="T544" s="65">
        <f>IFERROR(INDEX(tbl_WIP[Revenue or Cost],$A544),"")</f>
        <v/>
      </c>
    </row>
    <row r="545">
      <c r="A545" s="63">
        <f>ROW()-407</f>
        <v/>
      </c>
      <c r="B545" s="64">
        <f>IFERROR(INDEX(tbl_WIP[Month],$A545),"")</f>
        <v/>
      </c>
      <c r="C545" s="65">
        <f>IFERROR(INDEX(tbl_WIP[Xero Invoice No],$A545),"")</f>
        <v/>
      </c>
      <c r="D545" s="65">
        <f>IFERROR(INDEX(tbl_WIP[Client],$A545),"")</f>
        <v/>
      </c>
      <c r="E545" s="65">
        <f>IFERROR(INDEX(tbl_WIP[Job Number],$A545),"")</f>
        <v/>
      </c>
      <c r="F545" s="65">
        <f>IFERROR(INDEX(tbl_WIP[Cost Centre],$A545),"")</f>
        <v/>
      </c>
      <c r="G545" s="66">
        <f>IFERROR(IF(INDEX(tbl_WIP[Defer Start],$A545)="","",IF(INDEX(tbl_WIP[Revenue or Cost],$A545)="Cost",-1,1)*INDEX(tbl_WIP[Amount],$A545)),"")</f>
        <v/>
      </c>
      <c r="H545" s="64">
        <f>IFERROR(INDEX(tbl_WIP[Defer Start],$A545),"")</f>
        <v/>
      </c>
      <c r="I545" s="64">
        <f>IFERROR(INDEX(tbl_WIP[Defer End],$A545),"")</f>
        <v/>
      </c>
      <c r="J545" s="63">
        <f>IF(OR($H545="",$I545="",$G545=""),"",MAX(1,(YEAR($I545)-YEAR($H545))*12+MONTH($I545)-MONTH($H545)+1))</f>
        <v/>
      </c>
      <c r="K545" s="66">
        <f>IF($J545="","",$G545/$J545)</f>
        <v/>
      </c>
      <c r="L545" s="66">
        <f>IF($J545="",0,$K545*MAX(0,MIN(YEAR($C$3)*12+MONTH($C$3),YEAR($I545)*12+MONTH($I545))-(YEAR($H545)*12+MONTH($H545))+1))</f>
        <v/>
      </c>
      <c r="M545" s="66">
        <f>IF($J545="",0,$K545*MAX(0,MIN(YEAR($C$3)*12+MONTH($C$3)-1,YEAR($I545)*12+MONTH($I545))-(YEAR($H545)*12+MONTH($H545))+1))</f>
        <v/>
      </c>
      <c r="N545" s="66">
        <f>IF(OR($J545="",$B545=""),0,IF(YEAR($B545)*12+MONTH($B545)&lt;=YEAR($C$3)*12+MONTH($C$3),$G545,0))</f>
        <v/>
      </c>
      <c r="O545" s="66">
        <f>IF(OR($J545="",$B545=""),0,IF(YEAR($B545)*12+MONTH($B545)&lt;=YEAR($C$3)*12+MONTH($C$3)-1,$G545,0))</f>
        <v/>
      </c>
      <c r="P545" s="66">
        <f>$M545-$O545</f>
        <v/>
      </c>
      <c r="Q545" s="66">
        <f>($L545-$M545)-($N545-$O545)</f>
        <v/>
      </c>
      <c r="R545" s="66">
        <f>$L545-$N545</f>
        <v/>
      </c>
      <c r="S545" s="65">
        <f>"WIP journal"</f>
        <v/>
      </c>
      <c r="T545" s="65">
        <f>IFERROR(INDEX(tbl_WIP[Revenue or Cost],$A545),"")</f>
        <v/>
      </c>
    </row>
    <row r="546">
      <c r="A546" s="63">
        <f>ROW()-407</f>
        <v/>
      </c>
      <c r="B546" s="64">
        <f>IFERROR(INDEX(tbl_WIP[Month],$A546),"")</f>
        <v/>
      </c>
      <c r="C546" s="65">
        <f>IFERROR(INDEX(tbl_WIP[Xero Invoice No],$A546),"")</f>
        <v/>
      </c>
      <c r="D546" s="65">
        <f>IFERROR(INDEX(tbl_WIP[Client],$A546),"")</f>
        <v/>
      </c>
      <c r="E546" s="65">
        <f>IFERROR(INDEX(tbl_WIP[Job Number],$A546),"")</f>
        <v/>
      </c>
      <c r="F546" s="65">
        <f>IFERROR(INDEX(tbl_WIP[Cost Centre],$A546),"")</f>
        <v/>
      </c>
      <c r="G546" s="66">
        <f>IFERROR(IF(INDEX(tbl_WIP[Defer Start],$A546)="","",IF(INDEX(tbl_WIP[Revenue or Cost],$A546)="Cost",-1,1)*INDEX(tbl_WIP[Amount],$A546)),"")</f>
        <v/>
      </c>
      <c r="H546" s="64">
        <f>IFERROR(INDEX(tbl_WIP[Defer Start],$A546),"")</f>
        <v/>
      </c>
      <c r="I546" s="64">
        <f>IFERROR(INDEX(tbl_WIP[Defer End],$A546),"")</f>
        <v/>
      </c>
      <c r="J546" s="63">
        <f>IF(OR($H546="",$I546="",$G546=""),"",MAX(1,(YEAR($I546)-YEAR($H546))*12+MONTH($I546)-MONTH($H546)+1))</f>
        <v/>
      </c>
      <c r="K546" s="66">
        <f>IF($J546="","",$G546/$J546)</f>
        <v/>
      </c>
      <c r="L546" s="66">
        <f>IF($J546="",0,$K546*MAX(0,MIN(YEAR($C$3)*12+MONTH($C$3),YEAR($I546)*12+MONTH($I546))-(YEAR($H546)*12+MONTH($H546))+1))</f>
        <v/>
      </c>
      <c r="M546" s="66">
        <f>IF($J546="",0,$K546*MAX(0,MIN(YEAR($C$3)*12+MONTH($C$3)-1,YEAR($I546)*12+MONTH($I546))-(YEAR($H546)*12+MONTH($H546))+1))</f>
        <v/>
      </c>
      <c r="N546" s="66">
        <f>IF(OR($J546="",$B546=""),0,IF(YEAR($B546)*12+MONTH($B546)&lt;=YEAR($C$3)*12+MONTH($C$3),$G546,0))</f>
        <v/>
      </c>
      <c r="O546" s="66">
        <f>IF(OR($J546="",$B546=""),0,IF(YEAR($B546)*12+MONTH($B546)&lt;=YEAR($C$3)*12+MONTH($C$3)-1,$G546,0))</f>
        <v/>
      </c>
      <c r="P546" s="66">
        <f>$M546-$O546</f>
        <v/>
      </c>
      <c r="Q546" s="66">
        <f>($L546-$M546)-($N546-$O546)</f>
        <v/>
      </c>
      <c r="R546" s="66">
        <f>$L546-$N546</f>
        <v/>
      </c>
      <c r="S546" s="65">
        <f>"WIP journal"</f>
        <v/>
      </c>
      <c r="T546" s="65">
        <f>IFERROR(INDEX(tbl_WIP[Revenue or Cost],$A546),"")</f>
        <v/>
      </c>
    </row>
    <row r="547">
      <c r="A547" s="63">
        <f>ROW()-407</f>
        <v/>
      </c>
      <c r="B547" s="64">
        <f>IFERROR(INDEX(tbl_WIP[Month],$A547),"")</f>
        <v/>
      </c>
      <c r="C547" s="65">
        <f>IFERROR(INDEX(tbl_WIP[Xero Invoice No],$A547),"")</f>
        <v/>
      </c>
      <c r="D547" s="65">
        <f>IFERROR(INDEX(tbl_WIP[Client],$A547),"")</f>
        <v/>
      </c>
      <c r="E547" s="65">
        <f>IFERROR(INDEX(tbl_WIP[Job Number],$A547),"")</f>
        <v/>
      </c>
      <c r="F547" s="65">
        <f>IFERROR(INDEX(tbl_WIP[Cost Centre],$A547),"")</f>
        <v/>
      </c>
      <c r="G547" s="66">
        <f>IFERROR(IF(INDEX(tbl_WIP[Defer Start],$A547)="","",IF(INDEX(tbl_WIP[Revenue or Cost],$A547)="Cost",-1,1)*INDEX(tbl_WIP[Amount],$A547)),"")</f>
        <v/>
      </c>
      <c r="H547" s="64">
        <f>IFERROR(INDEX(tbl_WIP[Defer Start],$A547),"")</f>
        <v/>
      </c>
      <c r="I547" s="64">
        <f>IFERROR(INDEX(tbl_WIP[Defer End],$A547),"")</f>
        <v/>
      </c>
      <c r="J547" s="63">
        <f>IF(OR($H547="",$I547="",$G547=""),"",MAX(1,(YEAR($I547)-YEAR($H547))*12+MONTH($I547)-MONTH($H547)+1))</f>
        <v/>
      </c>
      <c r="K547" s="66">
        <f>IF($J547="","",$G547/$J547)</f>
        <v/>
      </c>
      <c r="L547" s="66">
        <f>IF($J547="",0,$K547*MAX(0,MIN(YEAR($C$3)*12+MONTH($C$3),YEAR($I547)*12+MONTH($I547))-(YEAR($H547)*12+MONTH($H547))+1))</f>
        <v/>
      </c>
      <c r="M547" s="66">
        <f>IF($J547="",0,$K547*MAX(0,MIN(YEAR($C$3)*12+MONTH($C$3)-1,YEAR($I547)*12+MONTH($I547))-(YEAR($H547)*12+MONTH($H547))+1))</f>
        <v/>
      </c>
      <c r="N547" s="66">
        <f>IF(OR($J547="",$B547=""),0,IF(YEAR($B547)*12+MONTH($B547)&lt;=YEAR($C$3)*12+MONTH($C$3),$G547,0))</f>
        <v/>
      </c>
      <c r="O547" s="66">
        <f>IF(OR($J547="",$B547=""),0,IF(YEAR($B547)*12+MONTH($B547)&lt;=YEAR($C$3)*12+MONTH($C$3)-1,$G547,0))</f>
        <v/>
      </c>
      <c r="P547" s="66">
        <f>$M547-$O547</f>
        <v/>
      </c>
      <c r="Q547" s="66">
        <f>($L547-$M547)-($N547-$O547)</f>
        <v/>
      </c>
      <c r="R547" s="66">
        <f>$L547-$N547</f>
        <v/>
      </c>
      <c r="S547" s="65">
        <f>"WIP journal"</f>
        <v/>
      </c>
      <c r="T547" s="65">
        <f>IFERROR(INDEX(tbl_WIP[Revenue or Cost],$A547),"")</f>
        <v/>
      </c>
    </row>
    <row r="548">
      <c r="A548" s="63">
        <f>ROW()-407</f>
        <v/>
      </c>
      <c r="B548" s="64">
        <f>IFERROR(INDEX(tbl_WIP[Month],$A548),"")</f>
        <v/>
      </c>
      <c r="C548" s="65">
        <f>IFERROR(INDEX(tbl_WIP[Xero Invoice No],$A548),"")</f>
        <v/>
      </c>
      <c r="D548" s="65">
        <f>IFERROR(INDEX(tbl_WIP[Client],$A548),"")</f>
        <v/>
      </c>
      <c r="E548" s="65">
        <f>IFERROR(INDEX(tbl_WIP[Job Number],$A548),"")</f>
        <v/>
      </c>
      <c r="F548" s="65">
        <f>IFERROR(INDEX(tbl_WIP[Cost Centre],$A548),"")</f>
        <v/>
      </c>
      <c r="G548" s="66">
        <f>IFERROR(IF(INDEX(tbl_WIP[Defer Start],$A548)="","",IF(INDEX(tbl_WIP[Revenue or Cost],$A548)="Cost",-1,1)*INDEX(tbl_WIP[Amount],$A548)),"")</f>
        <v/>
      </c>
      <c r="H548" s="64">
        <f>IFERROR(INDEX(tbl_WIP[Defer Start],$A548),"")</f>
        <v/>
      </c>
      <c r="I548" s="64">
        <f>IFERROR(INDEX(tbl_WIP[Defer End],$A548),"")</f>
        <v/>
      </c>
      <c r="J548" s="63">
        <f>IF(OR($H548="",$I548="",$G548=""),"",MAX(1,(YEAR($I548)-YEAR($H548))*12+MONTH($I548)-MONTH($H548)+1))</f>
        <v/>
      </c>
      <c r="K548" s="66">
        <f>IF($J548="","",$G548/$J548)</f>
        <v/>
      </c>
      <c r="L548" s="66">
        <f>IF($J548="",0,$K548*MAX(0,MIN(YEAR($C$3)*12+MONTH($C$3),YEAR($I548)*12+MONTH($I548))-(YEAR($H548)*12+MONTH($H548))+1))</f>
        <v/>
      </c>
      <c r="M548" s="66">
        <f>IF($J548="",0,$K548*MAX(0,MIN(YEAR($C$3)*12+MONTH($C$3)-1,YEAR($I548)*12+MONTH($I548))-(YEAR($H548)*12+MONTH($H548))+1))</f>
        <v/>
      </c>
      <c r="N548" s="66">
        <f>IF(OR($J548="",$B548=""),0,IF(YEAR($B548)*12+MONTH($B548)&lt;=YEAR($C$3)*12+MONTH($C$3),$G548,0))</f>
        <v/>
      </c>
      <c r="O548" s="66">
        <f>IF(OR($J548="",$B548=""),0,IF(YEAR($B548)*12+MONTH($B548)&lt;=YEAR($C$3)*12+MONTH($C$3)-1,$G548,0))</f>
        <v/>
      </c>
      <c r="P548" s="66">
        <f>$M548-$O548</f>
        <v/>
      </c>
      <c r="Q548" s="66">
        <f>($L548-$M548)-($N548-$O548)</f>
        <v/>
      </c>
      <c r="R548" s="66">
        <f>$L548-$N548</f>
        <v/>
      </c>
      <c r="S548" s="65">
        <f>"WIP journal"</f>
        <v/>
      </c>
      <c r="T548" s="65">
        <f>IFERROR(INDEX(tbl_WIP[Revenue or Cost],$A548),"")</f>
        <v/>
      </c>
    </row>
    <row r="549">
      <c r="A549" s="63">
        <f>ROW()-407</f>
        <v/>
      </c>
      <c r="B549" s="64">
        <f>IFERROR(INDEX(tbl_WIP[Month],$A549),"")</f>
        <v/>
      </c>
      <c r="C549" s="65">
        <f>IFERROR(INDEX(tbl_WIP[Xero Invoice No],$A549),"")</f>
        <v/>
      </c>
      <c r="D549" s="65">
        <f>IFERROR(INDEX(tbl_WIP[Client],$A549),"")</f>
        <v/>
      </c>
      <c r="E549" s="65">
        <f>IFERROR(INDEX(tbl_WIP[Job Number],$A549),"")</f>
        <v/>
      </c>
      <c r="F549" s="65">
        <f>IFERROR(INDEX(tbl_WIP[Cost Centre],$A549),"")</f>
        <v/>
      </c>
      <c r="G549" s="66">
        <f>IFERROR(IF(INDEX(tbl_WIP[Defer Start],$A549)="","",IF(INDEX(tbl_WIP[Revenue or Cost],$A549)="Cost",-1,1)*INDEX(tbl_WIP[Amount],$A549)),"")</f>
        <v/>
      </c>
      <c r="H549" s="64">
        <f>IFERROR(INDEX(tbl_WIP[Defer Start],$A549),"")</f>
        <v/>
      </c>
      <c r="I549" s="64">
        <f>IFERROR(INDEX(tbl_WIP[Defer End],$A549),"")</f>
        <v/>
      </c>
      <c r="J549" s="63">
        <f>IF(OR($H549="",$I549="",$G549=""),"",MAX(1,(YEAR($I549)-YEAR($H549))*12+MONTH($I549)-MONTH($H549)+1))</f>
        <v/>
      </c>
      <c r="K549" s="66">
        <f>IF($J549="","",$G549/$J549)</f>
        <v/>
      </c>
      <c r="L549" s="66">
        <f>IF($J549="",0,$K549*MAX(0,MIN(YEAR($C$3)*12+MONTH($C$3),YEAR($I549)*12+MONTH($I549))-(YEAR($H549)*12+MONTH($H549))+1))</f>
        <v/>
      </c>
      <c r="M549" s="66">
        <f>IF($J549="",0,$K549*MAX(0,MIN(YEAR($C$3)*12+MONTH($C$3)-1,YEAR($I549)*12+MONTH($I549))-(YEAR($H549)*12+MONTH($H549))+1))</f>
        <v/>
      </c>
      <c r="N549" s="66">
        <f>IF(OR($J549="",$B549=""),0,IF(YEAR($B549)*12+MONTH($B549)&lt;=YEAR($C$3)*12+MONTH($C$3),$G549,0))</f>
        <v/>
      </c>
      <c r="O549" s="66">
        <f>IF(OR($J549="",$B549=""),0,IF(YEAR($B549)*12+MONTH($B549)&lt;=YEAR($C$3)*12+MONTH($C$3)-1,$G549,0))</f>
        <v/>
      </c>
      <c r="P549" s="66">
        <f>$M549-$O549</f>
        <v/>
      </c>
      <c r="Q549" s="66">
        <f>($L549-$M549)-($N549-$O549)</f>
        <v/>
      </c>
      <c r="R549" s="66">
        <f>$L549-$N549</f>
        <v/>
      </c>
      <c r="S549" s="65">
        <f>"WIP journal"</f>
        <v/>
      </c>
      <c r="T549" s="65">
        <f>IFERROR(INDEX(tbl_WIP[Revenue or Cost],$A549),"")</f>
        <v/>
      </c>
    </row>
    <row r="550">
      <c r="A550" s="63">
        <f>ROW()-407</f>
        <v/>
      </c>
      <c r="B550" s="64">
        <f>IFERROR(INDEX(tbl_WIP[Month],$A550),"")</f>
        <v/>
      </c>
      <c r="C550" s="65">
        <f>IFERROR(INDEX(tbl_WIP[Xero Invoice No],$A550),"")</f>
        <v/>
      </c>
      <c r="D550" s="65">
        <f>IFERROR(INDEX(tbl_WIP[Client],$A550),"")</f>
        <v/>
      </c>
      <c r="E550" s="65">
        <f>IFERROR(INDEX(tbl_WIP[Job Number],$A550),"")</f>
        <v/>
      </c>
      <c r="F550" s="65">
        <f>IFERROR(INDEX(tbl_WIP[Cost Centre],$A550),"")</f>
        <v/>
      </c>
      <c r="G550" s="66">
        <f>IFERROR(IF(INDEX(tbl_WIP[Defer Start],$A550)="","",IF(INDEX(tbl_WIP[Revenue or Cost],$A550)="Cost",-1,1)*INDEX(tbl_WIP[Amount],$A550)),"")</f>
        <v/>
      </c>
      <c r="H550" s="64">
        <f>IFERROR(INDEX(tbl_WIP[Defer Start],$A550),"")</f>
        <v/>
      </c>
      <c r="I550" s="64">
        <f>IFERROR(INDEX(tbl_WIP[Defer End],$A550),"")</f>
        <v/>
      </c>
      <c r="J550" s="63">
        <f>IF(OR($H550="",$I550="",$G550=""),"",MAX(1,(YEAR($I550)-YEAR($H550))*12+MONTH($I550)-MONTH($H550)+1))</f>
        <v/>
      </c>
      <c r="K550" s="66">
        <f>IF($J550="","",$G550/$J550)</f>
        <v/>
      </c>
      <c r="L550" s="66">
        <f>IF($J550="",0,$K550*MAX(0,MIN(YEAR($C$3)*12+MONTH($C$3),YEAR($I550)*12+MONTH($I550))-(YEAR($H550)*12+MONTH($H550))+1))</f>
        <v/>
      </c>
      <c r="M550" s="66">
        <f>IF($J550="",0,$K550*MAX(0,MIN(YEAR($C$3)*12+MONTH($C$3)-1,YEAR($I550)*12+MONTH($I550))-(YEAR($H550)*12+MONTH($H550))+1))</f>
        <v/>
      </c>
      <c r="N550" s="66">
        <f>IF(OR($J550="",$B550=""),0,IF(YEAR($B550)*12+MONTH($B550)&lt;=YEAR($C$3)*12+MONTH($C$3),$G550,0))</f>
        <v/>
      </c>
      <c r="O550" s="66">
        <f>IF(OR($J550="",$B550=""),0,IF(YEAR($B550)*12+MONTH($B550)&lt;=YEAR($C$3)*12+MONTH($C$3)-1,$G550,0))</f>
        <v/>
      </c>
      <c r="P550" s="66">
        <f>$M550-$O550</f>
        <v/>
      </c>
      <c r="Q550" s="66">
        <f>($L550-$M550)-($N550-$O550)</f>
        <v/>
      </c>
      <c r="R550" s="66">
        <f>$L550-$N550</f>
        <v/>
      </c>
      <c r="S550" s="65">
        <f>"WIP journal"</f>
        <v/>
      </c>
      <c r="T550" s="65">
        <f>IFERROR(INDEX(tbl_WIP[Revenue or Cost],$A550),"")</f>
        <v/>
      </c>
    </row>
    <row r="551">
      <c r="A551" s="63">
        <f>ROW()-407</f>
        <v/>
      </c>
      <c r="B551" s="64">
        <f>IFERROR(INDEX(tbl_WIP[Month],$A551),"")</f>
        <v/>
      </c>
      <c r="C551" s="65">
        <f>IFERROR(INDEX(tbl_WIP[Xero Invoice No],$A551),"")</f>
        <v/>
      </c>
      <c r="D551" s="65">
        <f>IFERROR(INDEX(tbl_WIP[Client],$A551),"")</f>
        <v/>
      </c>
      <c r="E551" s="65">
        <f>IFERROR(INDEX(tbl_WIP[Job Number],$A551),"")</f>
        <v/>
      </c>
      <c r="F551" s="65">
        <f>IFERROR(INDEX(tbl_WIP[Cost Centre],$A551),"")</f>
        <v/>
      </c>
      <c r="G551" s="66">
        <f>IFERROR(IF(INDEX(tbl_WIP[Defer Start],$A551)="","",IF(INDEX(tbl_WIP[Revenue or Cost],$A551)="Cost",-1,1)*INDEX(tbl_WIP[Amount],$A551)),"")</f>
        <v/>
      </c>
      <c r="H551" s="64">
        <f>IFERROR(INDEX(tbl_WIP[Defer Start],$A551),"")</f>
        <v/>
      </c>
      <c r="I551" s="64">
        <f>IFERROR(INDEX(tbl_WIP[Defer End],$A551),"")</f>
        <v/>
      </c>
      <c r="J551" s="63">
        <f>IF(OR($H551="",$I551="",$G551=""),"",MAX(1,(YEAR($I551)-YEAR($H551))*12+MONTH($I551)-MONTH($H551)+1))</f>
        <v/>
      </c>
      <c r="K551" s="66">
        <f>IF($J551="","",$G551/$J551)</f>
        <v/>
      </c>
      <c r="L551" s="66">
        <f>IF($J551="",0,$K551*MAX(0,MIN(YEAR($C$3)*12+MONTH($C$3),YEAR($I551)*12+MONTH($I551))-(YEAR($H551)*12+MONTH($H551))+1))</f>
        <v/>
      </c>
      <c r="M551" s="66">
        <f>IF($J551="",0,$K551*MAX(0,MIN(YEAR($C$3)*12+MONTH($C$3)-1,YEAR($I551)*12+MONTH($I551))-(YEAR($H551)*12+MONTH($H551))+1))</f>
        <v/>
      </c>
      <c r="N551" s="66">
        <f>IF(OR($J551="",$B551=""),0,IF(YEAR($B551)*12+MONTH($B551)&lt;=YEAR($C$3)*12+MONTH($C$3),$G551,0))</f>
        <v/>
      </c>
      <c r="O551" s="66">
        <f>IF(OR($J551="",$B551=""),0,IF(YEAR($B551)*12+MONTH($B551)&lt;=YEAR($C$3)*12+MONTH($C$3)-1,$G551,0))</f>
        <v/>
      </c>
      <c r="P551" s="66">
        <f>$M551-$O551</f>
        <v/>
      </c>
      <c r="Q551" s="66">
        <f>($L551-$M551)-($N551-$O551)</f>
        <v/>
      </c>
      <c r="R551" s="66">
        <f>$L551-$N551</f>
        <v/>
      </c>
      <c r="S551" s="65">
        <f>"WIP journal"</f>
        <v/>
      </c>
      <c r="T551" s="65">
        <f>IFERROR(INDEX(tbl_WIP[Revenue or Cost],$A551),"")</f>
        <v/>
      </c>
    </row>
    <row r="552">
      <c r="A552" s="63">
        <f>ROW()-407</f>
        <v/>
      </c>
      <c r="B552" s="64">
        <f>IFERROR(INDEX(tbl_WIP[Month],$A552),"")</f>
        <v/>
      </c>
      <c r="C552" s="65">
        <f>IFERROR(INDEX(tbl_WIP[Xero Invoice No],$A552),"")</f>
        <v/>
      </c>
      <c r="D552" s="65">
        <f>IFERROR(INDEX(tbl_WIP[Client],$A552),"")</f>
        <v/>
      </c>
      <c r="E552" s="65">
        <f>IFERROR(INDEX(tbl_WIP[Job Number],$A552),"")</f>
        <v/>
      </c>
      <c r="F552" s="65">
        <f>IFERROR(INDEX(tbl_WIP[Cost Centre],$A552),"")</f>
        <v/>
      </c>
      <c r="G552" s="66">
        <f>IFERROR(IF(INDEX(tbl_WIP[Defer Start],$A552)="","",IF(INDEX(tbl_WIP[Revenue or Cost],$A552)="Cost",-1,1)*INDEX(tbl_WIP[Amount],$A552)),"")</f>
        <v/>
      </c>
      <c r="H552" s="64">
        <f>IFERROR(INDEX(tbl_WIP[Defer Start],$A552),"")</f>
        <v/>
      </c>
      <c r="I552" s="64">
        <f>IFERROR(INDEX(tbl_WIP[Defer End],$A552),"")</f>
        <v/>
      </c>
      <c r="J552" s="63">
        <f>IF(OR($H552="",$I552="",$G552=""),"",MAX(1,(YEAR($I552)-YEAR($H552))*12+MONTH($I552)-MONTH($H552)+1))</f>
        <v/>
      </c>
      <c r="K552" s="66">
        <f>IF($J552="","",$G552/$J552)</f>
        <v/>
      </c>
      <c r="L552" s="66">
        <f>IF($J552="",0,$K552*MAX(0,MIN(YEAR($C$3)*12+MONTH($C$3),YEAR($I552)*12+MONTH($I552))-(YEAR($H552)*12+MONTH($H552))+1))</f>
        <v/>
      </c>
      <c r="M552" s="66">
        <f>IF($J552="",0,$K552*MAX(0,MIN(YEAR($C$3)*12+MONTH($C$3)-1,YEAR($I552)*12+MONTH($I552))-(YEAR($H552)*12+MONTH($H552))+1))</f>
        <v/>
      </c>
      <c r="N552" s="66">
        <f>IF(OR($J552="",$B552=""),0,IF(YEAR($B552)*12+MONTH($B552)&lt;=YEAR($C$3)*12+MONTH($C$3),$G552,0))</f>
        <v/>
      </c>
      <c r="O552" s="66">
        <f>IF(OR($J552="",$B552=""),0,IF(YEAR($B552)*12+MONTH($B552)&lt;=YEAR($C$3)*12+MONTH($C$3)-1,$G552,0))</f>
        <v/>
      </c>
      <c r="P552" s="66">
        <f>$M552-$O552</f>
        <v/>
      </c>
      <c r="Q552" s="66">
        <f>($L552-$M552)-($N552-$O552)</f>
        <v/>
      </c>
      <c r="R552" s="66">
        <f>$L552-$N552</f>
        <v/>
      </c>
      <c r="S552" s="65">
        <f>"WIP journal"</f>
        <v/>
      </c>
      <c r="T552" s="65">
        <f>IFERROR(INDEX(tbl_WIP[Revenue or Cost],$A552),"")</f>
        <v/>
      </c>
    </row>
    <row r="553">
      <c r="A553" s="63">
        <f>ROW()-407</f>
        <v/>
      </c>
      <c r="B553" s="64">
        <f>IFERROR(INDEX(tbl_WIP[Month],$A553),"")</f>
        <v/>
      </c>
      <c r="C553" s="65">
        <f>IFERROR(INDEX(tbl_WIP[Xero Invoice No],$A553),"")</f>
        <v/>
      </c>
      <c r="D553" s="65">
        <f>IFERROR(INDEX(tbl_WIP[Client],$A553),"")</f>
        <v/>
      </c>
      <c r="E553" s="65">
        <f>IFERROR(INDEX(tbl_WIP[Job Number],$A553),"")</f>
        <v/>
      </c>
      <c r="F553" s="65">
        <f>IFERROR(INDEX(tbl_WIP[Cost Centre],$A553),"")</f>
        <v/>
      </c>
      <c r="G553" s="66">
        <f>IFERROR(IF(INDEX(tbl_WIP[Defer Start],$A553)="","",IF(INDEX(tbl_WIP[Revenue or Cost],$A553)="Cost",-1,1)*INDEX(tbl_WIP[Amount],$A553)),"")</f>
        <v/>
      </c>
      <c r="H553" s="64">
        <f>IFERROR(INDEX(tbl_WIP[Defer Start],$A553),"")</f>
        <v/>
      </c>
      <c r="I553" s="64">
        <f>IFERROR(INDEX(tbl_WIP[Defer End],$A553),"")</f>
        <v/>
      </c>
      <c r="J553" s="63">
        <f>IF(OR($H553="",$I553="",$G553=""),"",MAX(1,(YEAR($I553)-YEAR($H553))*12+MONTH($I553)-MONTH($H553)+1))</f>
        <v/>
      </c>
      <c r="K553" s="66">
        <f>IF($J553="","",$G553/$J553)</f>
        <v/>
      </c>
      <c r="L553" s="66">
        <f>IF($J553="",0,$K553*MAX(0,MIN(YEAR($C$3)*12+MONTH($C$3),YEAR($I553)*12+MONTH($I553))-(YEAR($H553)*12+MONTH($H553))+1))</f>
        <v/>
      </c>
      <c r="M553" s="66">
        <f>IF($J553="",0,$K553*MAX(0,MIN(YEAR($C$3)*12+MONTH($C$3)-1,YEAR($I553)*12+MONTH($I553))-(YEAR($H553)*12+MONTH($H553))+1))</f>
        <v/>
      </c>
      <c r="N553" s="66">
        <f>IF(OR($J553="",$B553=""),0,IF(YEAR($B553)*12+MONTH($B553)&lt;=YEAR($C$3)*12+MONTH($C$3),$G553,0))</f>
        <v/>
      </c>
      <c r="O553" s="66">
        <f>IF(OR($J553="",$B553=""),0,IF(YEAR($B553)*12+MONTH($B553)&lt;=YEAR($C$3)*12+MONTH($C$3)-1,$G553,0))</f>
        <v/>
      </c>
      <c r="P553" s="66">
        <f>$M553-$O553</f>
        <v/>
      </c>
      <c r="Q553" s="66">
        <f>($L553-$M553)-($N553-$O553)</f>
        <v/>
      </c>
      <c r="R553" s="66">
        <f>$L553-$N553</f>
        <v/>
      </c>
      <c r="S553" s="65">
        <f>"WIP journal"</f>
        <v/>
      </c>
      <c r="T553" s="65">
        <f>IFERROR(INDEX(tbl_WIP[Revenue or Cost],$A553),"")</f>
        <v/>
      </c>
    </row>
    <row r="554">
      <c r="A554" s="63">
        <f>ROW()-407</f>
        <v/>
      </c>
      <c r="B554" s="64">
        <f>IFERROR(INDEX(tbl_WIP[Month],$A554),"")</f>
        <v/>
      </c>
      <c r="C554" s="65">
        <f>IFERROR(INDEX(tbl_WIP[Xero Invoice No],$A554),"")</f>
        <v/>
      </c>
      <c r="D554" s="65">
        <f>IFERROR(INDEX(tbl_WIP[Client],$A554),"")</f>
        <v/>
      </c>
      <c r="E554" s="65">
        <f>IFERROR(INDEX(tbl_WIP[Job Number],$A554),"")</f>
        <v/>
      </c>
      <c r="F554" s="65">
        <f>IFERROR(INDEX(tbl_WIP[Cost Centre],$A554),"")</f>
        <v/>
      </c>
      <c r="G554" s="66">
        <f>IFERROR(IF(INDEX(tbl_WIP[Defer Start],$A554)="","",IF(INDEX(tbl_WIP[Revenue or Cost],$A554)="Cost",-1,1)*INDEX(tbl_WIP[Amount],$A554)),"")</f>
        <v/>
      </c>
      <c r="H554" s="64">
        <f>IFERROR(INDEX(tbl_WIP[Defer Start],$A554),"")</f>
        <v/>
      </c>
      <c r="I554" s="64">
        <f>IFERROR(INDEX(tbl_WIP[Defer End],$A554),"")</f>
        <v/>
      </c>
      <c r="J554" s="63">
        <f>IF(OR($H554="",$I554="",$G554=""),"",MAX(1,(YEAR($I554)-YEAR($H554))*12+MONTH($I554)-MONTH($H554)+1))</f>
        <v/>
      </c>
      <c r="K554" s="66">
        <f>IF($J554="","",$G554/$J554)</f>
        <v/>
      </c>
      <c r="L554" s="66">
        <f>IF($J554="",0,$K554*MAX(0,MIN(YEAR($C$3)*12+MONTH($C$3),YEAR($I554)*12+MONTH($I554))-(YEAR($H554)*12+MONTH($H554))+1))</f>
        <v/>
      </c>
      <c r="M554" s="66">
        <f>IF($J554="",0,$K554*MAX(0,MIN(YEAR($C$3)*12+MONTH($C$3)-1,YEAR($I554)*12+MONTH($I554))-(YEAR($H554)*12+MONTH($H554))+1))</f>
        <v/>
      </c>
      <c r="N554" s="66">
        <f>IF(OR($J554="",$B554=""),0,IF(YEAR($B554)*12+MONTH($B554)&lt;=YEAR($C$3)*12+MONTH($C$3),$G554,0))</f>
        <v/>
      </c>
      <c r="O554" s="66">
        <f>IF(OR($J554="",$B554=""),0,IF(YEAR($B554)*12+MONTH($B554)&lt;=YEAR($C$3)*12+MONTH($C$3)-1,$G554,0))</f>
        <v/>
      </c>
      <c r="P554" s="66">
        <f>$M554-$O554</f>
        <v/>
      </c>
      <c r="Q554" s="66">
        <f>($L554-$M554)-($N554-$O554)</f>
        <v/>
      </c>
      <c r="R554" s="66">
        <f>$L554-$N554</f>
        <v/>
      </c>
      <c r="S554" s="65">
        <f>"WIP journal"</f>
        <v/>
      </c>
      <c r="T554" s="65">
        <f>IFERROR(INDEX(tbl_WIP[Revenue or Cost],$A554),"")</f>
        <v/>
      </c>
    </row>
    <row r="555">
      <c r="A555" s="63">
        <f>ROW()-407</f>
        <v/>
      </c>
      <c r="B555" s="64">
        <f>IFERROR(INDEX(tbl_WIP[Month],$A555),"")</f>
        <v/>
      </c>
      <c r="C555" s="65">
        <f>IFERROR(INDEX(tbl_WIP[Xero Invoice No],$A555),"")</f>
        <v/>
      </c>
      <c r="D555" s="65">
        <f>IFERROR(INDEX(tbl_WIP[Client],$A555),"")</f>
        <v/>
      </c>
      <c r="E555" s="65">
        <f>IFERROR(INDEX(tbl_WIP[Job Number],$A555),"")</f>
        <v/>
      </c>
      <c r="F555" s="65">
        <f>IFERROR(INDEX(tbl_WIP[Cost Centre],$A555),"")</f>
        <v/>
      </c>
      <c r="G555" s="66">
        <f>IFERROR(IF(INDEX(tbl_WIP[Defer Start],$A555)="","",IF(INDEX(tbl_WIP[Revenue or Cost],$A555)="Cost",-1,1)*INDEX(tbl_WIP[Amount],$A555)),"")</f>
        <v/>
      </c>
      <c r="H555" s="64">
        <f>IFERROR(INDEX(tbl_WIP[Defer Start],$A555),"")</f>
        <v/>
      </c>
      <c r="I555" s="64">
        <f>IFERROR(INDEX(tbl_WIP[Defer End],$A555),"")</f>
        <v/>
      </c>
      <c r="J555" s="63">
        <f>IF(OR($H555="",$I555="",$G555=""),"",MAX(1,(YEAR($I555)-YEAR($H555))*12+MONTH($I555)-MONTH($H555)+1))</f>
        <v/>
      </c>
      <c r="K555" s="66">
        <f>IF($J555="","",$G555/$J555)</f>
        <v/>
      </c>
      <c r="L555" s="66">
        <f>IF($J555="",0,$K555*MAX(0,MIN(YEAR($C$3)*12+MONTH($C$3),YEAR($I555)*12+MONTH($I555))-(YEAR($H555)*12+MONTH($H555))+1))</f>
        <v/>
      </c>
      <c r="M555" s="66">
        <f>IF($J555="",0,$K555*MAX(0,MIN(YEAR($C$3)*12+MONTH($C$3)-1,YEAR($I555)*12+MONTH($I555))-(YEAR($H555)*12+MONTH($H555))+1))</f>
        <v/>
      </c>
      <c r="N555" s="66">
        <f>IF(OR($J555="",$B555=""),0,IF(YEAR($B555)*12+MONTH($B555)&lt;=YEAR($C$3)*12+MONTH($C$3),$G555,0))</f>
        <v/>
      </c>
      <c r="O555" s="66">
        <f>IF(OR($J555="",$B555=""),0,IF(YEAR($B555)*12+MONTH($B555)&lt;=YEAR($C$3)*12+MONTH($C$3)-1,$G555,0))</f>
        <v/>
      </c>
      <c r="P555" s="66">
        <f>$M555-$O555</f>
        <v/>
      </c>
      <c r="Q555" s="66">
        <f>($L555-$M555)-($N555-$O555)</f>
        <v/>
      </c>
      <c r="R555" s="66">
        <f>$L555-$N555</f>
        <v/>
      </c>
      <c r="S555" s="65">
        <f>"WIP journal"</f>
        <v/>
      </c>
      <c r="T555" s="65">
        <f>IFERROR(INDEX(tbl_WIP[Revenue or Cost],$A555),"")</f>
        <v/>
      </c>
    </row>
    <row r="556">
      <c r="A556" s="63">
        <f>ROW()-407</f>
        <v/>
      </c>
      <c r="B556" s="64">
        <f>IFERROR(INDEX(tbl_WIP[Month],$A556),"")</f>
        <v/>
      </c>
      <c r="C556" s="65">
        <f>IFERROR(INDEX(tbl_WIP[Xero Invoice No],$A556),"")</f>
        <v/>
      </c>
      <c r="D556" s="65">
        <f>IFERROR(INDEX(tbl_WIP[Client],$A556),"")</f>
        <v/>
      </c>
      <c r="E556" s="65">
        <f>IFERROR(INDEX(tbl_WIP[Job Number],$A556),"")</f>
        <v/>
      </c>
      <c r="F556" s="65">
        <f>IFERROR(INDEX(tbl_WIP[Cost Centre],$A556),"")</f>
        <v/>
      </c>
      <c r="G556" s="66">
        <f>IFERROR(IF(INDEX(tbl_WIP[Defer Start],$A556)="","",IF(INDEX(tbl_WIP[Revenue or Cost],$A556)="Cost",-1,1)*INDEX(tbl_WIP[Amount],$A556)),"")</f>
        <v/>
      </c>
      <c r="H556" s="64">
        <f>IFERROR(INDEX(tbl_WIP[Defer Start],$A556),"")</f>
        <v/>
      </c>
      <c r="I556" s="64">
        <f>IFERROR(INDEX(tbl_WIP[Defer End],$A556),"")</f>
        <v/>
      </c>
      <c r="J556" s="63">
        <f>IF(OR($H556="",$I556="",$G556=""),"",MAX(1,(YEAR($I556)-YEAR($H556))*12+MONTH($I556)-MONTH($H556)+1))</f>
        <v/>
      </c>
      <c r="K556" s="66">
        <f>IF($J556="","",$G556/$J556)</f>
        <v/>
      </c>
      <c r="L556" s="66">
        <f>IF($J556="",0,$K556*MAX(0,MIN(YEAR($C$3)*12+MONTH($C$3),YEAR($I556)*12+MONTH($I556))-(YEAR($H556)*12+MONTH($H556))+1))</f>
        <v/>
      </c>
      <c r="M556" s="66">
        <f>IF($J556="",0,$K556*MAX(0,MIN(YEAR($C$3)*12+MONTH($C$3)-1,YEAR($I556)*12+MONTH($I556))-(YEAR($H556)*12+MONTH($H556))+1))</f>
        <v/>
      </c>
      <c r="N556" s="66">
        <f>IF(OR($J556="",$B556=""),0,IF(YEAR($B556)*12+MONTH($B556)&lt;=YEAR($C$3)*12+MONTH($C$3),$G556,0))</f>
        <v/>
      </c>
      <c r="O556" s="66">
        <f>IF(OR($J556="",$B556=""),0,IF(YEAR($B556)*12+MONTH($B556)&lt;=YEAR($C$3)*12+MONTH($C$3)-1,$G556,0))</f>
        <v/>
      </c>
      <c r="P556" s="66">
        <f>$M556-$O556</f>
        <v/>
      </c>
      <c r="Q556" s="66">
        <f>($L556-$M556)-($N556-$O556)</f>
        <v/>
      </c>
      <c r="R556" s="66">
        <f>$L556-$N556</f>
        <v/>
      </c>
      <c r="S556" s="65">
        <f>"WIP journal"</f>
        <v/>
      </c>
      <c r="T556" s="65">
        <f>IFERROR(INDEX(tbl_WIP[Revenue or Cost],$A556),"")</f>
        <v/>
      </c>
    </row>
    <row r="557">
      <c r="A557" s="63">
        <f>ROW()-407</f>
        <v/>
      </c>
      <c r="B557" s="64">
        <f>IFERROR(INDEX(tbl_WIP[Month],$A557),"")</f>
        <v/>
      </c>
      <c r="C557" s="65">
        <f>IFERROR(INDEX(tbl_WIP[Xero Invoice No],$A557),"")</f>
        <v/>
      </c>
      <c r="D557" s="65">
        <f>IFERROR(INDEX(tbl_WIP[Client],$A557),"")</f>
        <v/>
      </c>
      <c r="E557" s="65">
        <f>IFERROR(INDEX(tbl_WIP[Job Number],$A557),"")</f>
        <v/>
      </c>
      <c r="F557" s="65">
        <f>IFERROR(INDEX(tbl_WIP[Cost Centre],$A557),"")</f>
        <v/>
      </c>
      <c r="G557" s="66">
        <f>IFERROR(IF(INDEX(tbl_WIP[Defer Start],$A557)="","",IF(INDEX(tbl_WIP[Revenue or Cost],$A557)="Cost",-1,1)*INDEX(tbl_WIP[Amount],$A557)),"")</f>
        <v/>
      </c>
      <c r="H557" s="64">
        <f>IFERROR(INDEX(tbl_WIP[Defer Start],$A557),"")</f>
        <v/>
      </c>
      <c r="I557" s="64">
        <f>IFERROR(INDEX(tbl_WIP[Defer End],$A557),"")</f>
        <v/>
      </c>
      <c r="J557" s="63">
        <f>IF(OR($H557="",$I557="",$G557=""),"",MAX(1,(YEAR($I557)-YEAR($H557))*12+MONTH($I557)-MONTH($H557)+1))</f>
        <v/>
      </c>
      <c r="K557" s="66">
        <f>IF($J557="","",$G557/$J557)</f>
        <v/>
      </c>
      <c r="L557" s="66">
        <f>IF($J557="",0,$K557*MAX(0,MIN(YEAR($C$3)*12+MONTH($C$3),YEAR($I557)*12+MONTH($I557))-(YEAR($H557)*12+MONTH($H557))+1))</f>
        <v/>
      </c>
      <c r="M557" s="66">
        <f>IF($J557="",0,$K557*MAX(0,MIN(YEAR($C$3)*12+MONTH($C$3)-1,YEAR($I557)*12+MONTH($I557))-(YEAR($H557)*12+MONTH($H557))+1))</f>
        <v/>
      </c>
      <c r="N557" s="66">
        <f>IF(OR($J557="",$B557=""),0,IF(YEAR($B557)*12+MONTH($B557)&lt;=YEAR($C$3)*12+MONTH($C$3),$G557,0))</f>
        <v/>
      </c>
      <c r="O557" s="66">
        <f>IF(OR($J557="",$B557=""),0,IF(YEAR($B557)*12+MONTH($B557)&lt;=YEAR($C$3)*12+MONTH($C$3)-1,$G557,0))</f>
        <v/>
      </c>
      <c r="P557" s="66">
        <f>$M557-$O557</f>
        <v/>
      </c>
      <c r="Q557" s="66">
        <f>($L557-$M557)-($N557-$O557)</f>
        <v/>
      </c>
      <c r="R557" s="66">
        <f>$L557-$N557</f>
        <v/>
      </c>
      <c r="S557" s="65">
        <f>"WIP journal"</f>
        <v/>
      </c>
      <c r="T557" s="65">
        <f>IFERROR(INDEX(tbl_WIP[Revenue or Cost],$A557),"")</f>
        <v/>
      </c>
    </row>
    <row r="558">
      <c r="A558" s="63">
        <f>ROW()-407</f>
        <v/>
      </c>
      <c r="B558" s="64">
        <f>IFERROR(INDEX(tbl_WIP[Month],$A558),"")</f>
        <v/>
      </c>
      <c r="C558" s="65">
        <f>IFERROR(INDEX(tbl_WIP[Xero Invoice No],$A558),"")</f>
        <v/>
      </c>
      <c r="D558" s="65">
        <f>IFERROR(INDEX(tbl_WIP[Client],$A558),"")</f>
        <v/>
      </c>
      <c r="E558" s="65">
        <f>IFERROR(INDEX(tbl_WIP[Job Number],$A558),"")</f>
        <v/>
      </c>
      <c r="F558" s="65">
        <f>IFERROR(INDEX(tbl_WIP[Cost Centre],$A558),"")</f>
        <v/>
      </c>
      <c r="G558" s="66">
        <f>IFERROR(IF(INDEX(tbl_WIP[Defer Start],$A558)="","",IF(INDEX(tbl_WIP[Revenue or Cost],$A558)="Cost",-1,1)*INDEX(tbl_WIP[Amount],$A558)),"")</f>
        <v/>
      </c>
      <c r="H558" s="64">
        <f>IFERROR(INDEX(tbl_WIP[Defer Start],$A558),"")</f>
        <v/>
      </c>
      <c r="I558" s="64">
        <f>IFERROR(INDEX(tbl_WIP[Defer End],$A558),"")</f>
        <v/>
      </c>
      <c r="J558" s="63">
        <f>IF(OR($H558="",$I558="",$G558=""),"",MAX(1,(YEAR($I558)-YEAR($H558))*12+MONTH($I558)-MONTH($H558)+1))</f>
        <v/>
      </c>
      <c r="K558" s="66">
        <f>IF($J558="","",$G558/$J558)</f>
        <v/>
      </c>
      <c r="L558" s="66">
        <f>IF($J558="",0,$K558*MAX(0,MIN(YEAR($C$3)*12+MONTH($C$3),YEAR($I558)*12+MONTH($I558))-(YEAR($H558)*12+MONTH($H558))+1))</f>
        <v/>
      </c>
      <c r="M558" s="66">
        <f>IF($J558="",0,$K558*MAX(0,MIN(YEAR($C$3)*12+MONTH($C$3)-1,YEAR($I558)*12+MONTH($I558))-(YEAR($H558)*12+MONTH($H558))+1))</f>
        <v/>
      </c>
      <c r="N558" s="66">
        <f>IF(OR($J558="",$B558=""),0,IF(YEAR($B558)*12+MONTH($B558)&lt;=YEAR($C$3)*12+MONTH($C$3),$G558,0))</f>
        <v/>
      </c>
      <c r="O558" s="66">
        <f>IF(OR($J558="",$B558=""),0,IF(YEAR($B558)*12+MONTH($B558)&lt;=YEAR($C$3)*12+MONTH($C$3)-1,$G558,0))</f>
        <v/>
      </c>
      <c r="P558" s="66">
        <f>$M558-$O558</f>
        <v/>
      </c>
      <c r="Q558" s="66">
        <f>($L558-$M558)-($N558-$O558)</f>
        <v/>
      </c>
      <c r="R558" s="66">
        <f>$L558-$N558</f>
        <v/>
      </c>
      <c r="S558" s="65">
        <f>"WIP journal"</f>
        <v/>
      </c>
      <c r="T558" s="65">
        <f>IFERROR(INDEX(tbl_WIP[Revenue or Cost],$A558),"")</f>
        <v/>
      </c>
    </row>
    <row r="559">
      <c r="A559" s="63">
        <f>ROW()-407</f>
        <v/>
      </c>
      <c r="B559" s="64">
        <f>IFERROR(INDEX(tbl_WIP[Month],$A559),"")</f>
        <v/>
      </c>
      <c r="C559" s="65">
        <f>IFERROR(INDEX(tbl_WIP[Xero Invoice No],$A559),"")</f>
        <v/>
      </c>
      <c r="D559" s="65">
        <f>IFERROR(INDEX(tbl_WIP[Client],$A559),"")</f>
        <v/>
      </c>
      <c r="E559" s="65">
        <f>IFERROR(INDEX(tbl_WIP[Job Number],$A559),"")</f>
        <v/>
      </c>
      <c r="F559" s="65">
        <f>IFERROR(INDEX(tbl_WIP[Cost Centre],$A559),"")</f>
        <v/>
      </c>
      <c r="G559" s="66">
        <f>IFERROR(IF(INDEX(tbl_WIP[Defer Start],$A559)="","",IF(INDEX(tbl_WIP[Revenue or Cost],$A559)="Cost",-1,1)*INDEX(tbl_WIP[Amount],$A559)),"")</f>
        <v/>
      </c>
      <c r="H559" s="64">
        <f>IFERROR(INDEX(tbl_WIP[Defer Start],$A559),"")</f>
        <v/>
      </c>
      <c r="I559" s="64">
        <f>IFERROR(INDEX(tbl_WIP[Defer End],$A559),"")</f>
        <v/>
      </c>
      <c r="J559" s="63">
        <f>IF(OR($H559="",$I559="",$G559=""),"",MAX(1,(YEAR($I559)-YEAR($H559))*12+MONTH($I559)-MONTH($H559)+1))</f>
        <v/>
      </c>
      <c r="K559" s="66">
        <f>IF($J559="","",$G559/$J559)</f>
        <v/>
      </c>
      <c r="L559" s="66">
        <f>IF($J559="",0,$K559*MAX(0,MIN(YEAR($C$3)*12+MONTH($C$3),YEAR($I559)*12+MONTH($I559))-(YEAR($H559)*12+MONTH($H559))+1))</f>
        <v/>
      </c>
      <c r="M559" s="66">
        <f>IF($J559="",0,$K559*MAX(0,MIN(YEAR($C$3)*12+MONTH($C$3)-1,YEAR($I559)*12+MONTH($I559))-(YEAR($H559)*12+MONTH($H559))+1))</f>
        <v/>
      </c>
      <c r="N559" s="66">
        <f>IF(OR($J559="",$B559=""),0,IF(YEAR($B559)*12+MONTH($B559)&lt;=YEAR($C$3)*12+MONTH($C$3),$G559,0))</f>
        <v/>
      </c>
      <c r="O559" s="66">
        <f>IF(OR($J559="",$B559=""),0,IF(YEAR($B559)*12+MONTH($B559)&lt;=YEAR($C$3)*12+MONTH($C$3)-1,$G559,0))</f>
        <v/>
      </c>
      <c r="P559" s="66">
        <f>$M559-$O559</f>
        <v/>
      </c>
      <c r="Q559" s="66">
        <f>($L559-$M559)-($N559-$O559)</f>
        <v/>
      </c>
      <c r="R559" s="66">
        <f>$L559-$N559</f>
        <v/>
      </c>
      <c r="S559" s="65">
        <f>"WIP journal"</f>
        <v/>
      </c>
      <c r="T559" s="65">
        <f>IFERROR(INDEX(tbl_WIP[Revenue or Cost],$A559),"")</f>
        <v/>
      </c>
    </row>
    <row r="560">
      <c r="A560" s="63">
        <f>ROW()-407</f>
        <v/>
      </c>
      <c r="B560" s="64">
        <f>IFERROR(INDEX(tbl_WIP[Month],$A560),"")</f>
        <v/>
      </c>
      <c r="C560" s="65">
        <f>IFERROR(INDEX(tbl_WIP[Xero Invoice No],$A560),"")</f>
        <v/>
      </c>
      <c r="D560" s="65">
        <f>IFERROR(INDEX(tbl_WIP[Client],$A560),"")</f>
        <v/>
      </c>
      <c r="E560" s="65">
        <f>IFERROR(INDEX(tbl_WIP[Job Number],$A560),"")</f>
        <v/>
      </c>
      <c r="F560" s="65">
        <f>IFERROR(INDEX(tbl_WIP[Cost Centre],$A560),"")</f>
        <v/>
      </c>
      <c r="G560" s="66">
        <f>IFERROR(IF(INDEX(tbl_WIP[Defer Start],$A560)="","",IF(INDEX(tbl_WIP[Revenue or Cost],$A560)="Cost",-1,1)*INDEX(tbl_WIP[Amount],$A560)),"")</f>
        <v/>
      </c>
      <c r="H560" s="64">
        <f>IFERROR(INDEX(tbl_WIP[Defer Start],$A560),"")</f>
        <v/>
      </c>
      <c r="I560" s="64">
        <f>IFERROR(INDEX(tbl_WIP[Defer End],$A560),"")</f>
        <v/>
      </c>
      <c r="J560" s="63">
        <f>IF(OR($H560="",$I560="",$G560=""),"",MAX(1,(YEAR($I560)-YEAR($H560))*12+MONTH($I560)-MONTH($H560)+1))</f>
        <v/>
      </c>
      <c r="K560" s="66">
        <f>IF($J560="","",$G560/$J560)</f>
        <v/>
      </c>
      <c r="L560" s="66">
        <f>IF($J560="",0,$K560*MAX(0,MIN(YEAR($C$3)*12+MONTH($C$3),YEAR($I560)*12+MONTH($I560))-(YEAR($H560)*12+MONTH($H560))+1))</f>
        <v/>
      </c>
      <c r="M560" s="66">
        <f>IF($J560="",0,$K560*MAX(0,MIN(YEAR($C$3)*12+MONTH($C$3)-1,YEAR($I560)*12+MONTH($I560))-(YEAR($H560)*12+MONTH($H560))+1))</f>
        <v/>
      </c>
      <c r="N560" s="66">
        <f>IF(OR($J560="",$B560=""),0,IF(YEAR($B560)*12+MONTH($B560)&lt;=YEAR($C$3)*12+MONTH($C$3),$G560,0))</f>
        <v/>
      </c>
      <c r="O560" s="66">
        <f>IF(OR($J560="",$B560=""),0,IF(YEAR($B560)*12+MONTH($B560)&lt;=YEAR($C$3)*12+MONTH($C$3)-1,$G560,0))</f>
        <v/>
      </c>
      <c r="P560" s="66">
        <f>$M560-$O560</f>
        <v/>
      </c>
      <c r="Q560" s="66">
        <f>($L560-$M560)-($N560-$O560)</f>
        <v/>
      </c>
      <c r="R560" s="66">
        <f>$L560-$N560</f>
        <v/>
      </c>
      <c r="S560" s="65">
        <f>"WIP journal"</f>
        <v/>
      </c>
      <c r="T560" s="65">
        <f>IFERROR(INDEX(tbl_WIP[Revenue or Cost],$A560),"")</f>
        <v/>
      </c>
    </row>
    <row r="561">
      <c r="A561" s="63">
        <f>ROW()-407</f>
        <v/>
      </c>
      <c r="B561" s="64">
        <f>IFERROR(INDEX(tbl_WIP[Month],$A561),"")</f>
        <v/>
      </c>
      <c r="C561" s="65">
        <f>IFERROR(INDEX(tbl_WIP[Xero Invoice No],$A561),"")</f>
        <v/>
      </c>
      <c r="D561" s="65">
        <f>IFERROR(INDEX(tbl_WIP[Client],$A561),"")</f>
        <v/>
      </c>
      <c r="E561" s="65">
        <f>IFERROR(INDEX(tbl_WIP[Job Number],$A561),"")</f>
        <v/>
      </c>
      <c r="F561" s="65">
        <f>IFERROR(INDEX(tbl_WIP[Cost Centre],$A561),"")</f>
        <v/>
      </c>
      <c r="G561" s="66">
        <f>IFERROR(IF(INDEX(tbl_WIP[Defer Start],$A561)="","",IF(INDEX(tbl_WIP[Revenue or Cost],$A561)="Cost",-1,1)*INDEX(tbl_WIP[Amount],$A561)),"")</f>
        <v/>
      </c>
      <c r="H561" s="64">
        <f>IFERROR(INDEX(tbl_WIP[Defer Start],$A561),"")</f>
        <v/>
      </c>
      <c r="I561" s="64">
        <f>IFERROR(INDEX(tbl_WIP[Defer End],$A561),"")</f>
        <v/>
      </c>
      <c r="J561" s="63">
        <f>IF(OR($H561="",$I561="",$G561=""),"",MAX(1,(YEAR($I561)-YEAR($H561))*12+MONTH($I561)-MONTH($H561)+1))</f>
        <v/>
      </c>
      <c r="K561" s="66">
        <f>IF($J561="","",$G561/$J561)</f>
        <v/>
      </c>
      <c r="L561" s="66">
        <f>IF($J561="",0,$K561*MAX(0,MIN(YEAR($C$3)*12+MONTH($C$3),YEAR($I561)*12+MONTH($I561))-(YEAR($H561)*12+MONTH($H561))+1))</f>
        <v/>
      </c>
      <c r="M561" s="66">
        <f>IF($J561="",0,$K561*MAX(0,MIN(YEAR($C$3)*12+MONTH($C$3)-1,YEAR($I561)*12+MONTH($I561))-(YEAR($H561)*12+MONTH($H561))+1))</f>
        <v/>
      </c>
      <c r="N561" s="66">
        <f>IF(OR($J561="",$B561=""),0,IF(YEAR($B561)*12+MONTH($B561)&lt;=YEAR($C$3)*12+MONTH($C$3),$G561,0))</f>
        <v/>
      </c>
      <c r="O561" s="66">
        <f>IF(OR($J561="",$B561=""),0,IF(YEAR($B561)*12+MONTH($B561)&lt;=YEAR($C$3)*12+MONTH($C$3)-1,$G561,0))</f>
        <v/>
      </c>
      <c r="P561" s="66">
        <f>$M561-$O561</f>
        <v/>
      </c>
      <c r="Q561" s="66">
        <f>($L561-$M561)-($N561-$O561)</f>
        <v/>
      </c>
      <c r="R561" s="66">
        <f>$L561-$N561</f>
        <v/>
      </c>
      <c r="S561" s="65">
        <f>"WIP journal"</f>
        <v/>
      </c>
      <c r="T561" s="65">
        <f>IFERROR(INDEX(tbl_WIP[Revenue or Cost],$A561),"")</f>
        <v/>
      </c>
    </row>
    <row r="562">
      <c r="A562" s="63">
        <f>ROW()-407</f>
        <v/>
      </c>
      <c r="B562" s="64">
        <f>IFERROR(INDEX(tbl_WIP[Month],$A562),"")</f>
        <v/>
      </c>
      <c r="C562" s="65">
        <f>IFERROR(INDEX(tbl_WIP[Xero Invoice No],$A562),"")</f>
        <v/>
      </c>
      <c r="D562" s="65">
        <f>IFERROR(INDEX(tbl_WIP[Client],$A562),"")</f>
        <v/>
      </c>
      <c r="E562" s="65">
        <f>IFERROR(INDEX(tbl_WIP[Job Number],$A562),"")</f>
        <v/>
      </c>
      <c r="F562" s="65">
        <f>IFERROR(INDEX(tbl_WIP[Cost Centre],$A562),"")</f>
        <v/>
      </c>
      <c r="G562" s="66">
        <f>IFERROR(IF(INDEX(tbl_WIP[Defer Start],$A562)="","",IF(INDEX(tbl_WIP[Revenue or Cost],$A562)="Cost",-1,1)*INDEX(tbl_WIP[Amount],$A562)),"")</f>
        <v/>
      </c>
      <c r="H562" s="64">
        <f>IFERROR(INDEX(tbl_WIP[Defer Start],$A562),"")</f>
        <v/>
      </c>
      <c r="I562" s="64">
        <f>IFERROR(INDEX(tbl_WIP[Defer End],$A562),"")</f>
        <v/>
      </c>
      <c r="J562" s="63">
        <f>IF(OR($H562="",$I562="",$G562=""),"",MAX(1,(YEAR($I562)-YEAR($H562))*12+MONTH($I562)-MONTH($H562)+1))</f>
        <v/>
      </c>
      <c r="K562" s="66">
        <f>IF($J562="","",$G562/$J562)</f>
        <v/>
      </c>
      <c r="L562" s="66">
        <f>IF($J562="",0,$K562*MAX(0,MIN(YEAR($C$3)*12+MONTH($C$3),YEAR($I562)*12+MONTH($I562))-(YEAR($H562)*12+MONTH($H562))+1))</f>
        <v/>
      </c>
      <c r="M562" s="66">
        <f>IF($J562="",0,$K562*MAX(0,MIN(YEAR($C$3)*12+MONTH($C$3)-1,YEAR($I562)*12+MONTH($I562))-(YEAR($H562)*12+MONTH($H562))+1))</f>
        <v/>
      </c>
      <c r="N562" s="66">
        <f>IF(OR($J562="",$B562=""),0,IF(YEAR($B562)*12+MONTH($B562)&lt;=YEAR($C$3)*12+MONTH($C$3),$G562,0))</f>
        <v/>
      </c>
      <c r="O562" s="66">
        <f>IF(OR($J562="",$B562=""),0,IF(YEAR($B562)*12+MONTH($B562)&lt;=YEAR($C$3)*12+MONTH($C$3)-1,$G562,0))</f>
        <v/>
      </c>
      <c r="P562" s="66">
        <f>$M562-$O562</f>
        <v/>
      </c>
      <c r="Q562" s="66">
        <f>($L562-$M562)-($N562-$O562)</f>
        <v/>
      </c>
      <c r="R562" s="66">
        <f>$L562-$N562</f>
        <v/>
      </c>
      <c r="S562" s="65">
        <f>"WIP journal"</f>
        <v/>
      </c>
      <c r="T562" s="65">
        <f>IFERROR(INDEX(tbl_WIP[Revenue or Cost],$A562),"")</f>
        <v/>
      </c>
    </row>
    <row r="563">
      <c r="A563" s="63">
        <f>ROW()-407</f>
        <v/>
      </c>
      <c r="B563" s="64">
        <f>IFERROR(INDEX(tbl_WIP[Month],$A563),"")</f>
        <v/>
      </c>
      <c r="C563" s="65">
        <f>IFERROR(INDEX(tbl_WIP[Xero Invoice No],$A563),"")</f>
        <v/>
      </c>
      <c r="D563" s="65">
        <f>IFERROR(INDEX(tbl_WIP[Client],$A563),"")</f>
        <v/>
      </c>
      <c r="E563" s="65">
        <f>IFERROR(INDEX(tbl_WIP[Job Number],$A563),"")</f>
        <v/>
      </c>
      <c r="F563" s="65">
        <f>IFERROR(INDEX(tbl_WIP[Cost Centre],$A563),"")</f>
        <v/>
      </c>
      <c r="G563" s="66">
        <f>IFERROR(IF(INDEX(tbl_WIP[Defer Start],$A563)="","",IF(INDEX(tbl_WIP[Revenue or Cost],$A563)="Cost",-1,1)*INDEX(tbl_WIP[Amount],$A563)),"")</f>
        <v/>
      </c>
      <c r="H563" s="64">
        <f>IFERROR(INDEX(tbl_WIP[Defer Start],$A563),"")</f>
        <v/>
      </c>
      <c r="I563" s="64">
        <f>IFERROR(INDEX(tbl_WIP[Defer End],$A563),"")</f>
        <v/>
      </c>
      <c r="J563" s="63">
        <f>IF(OR($H563="",$I563="",$G563=""),"",MAX(1,(YEAR($I563)-YEAR($H563))*12+MONTH($I563)-MONTH($H563)+1))</f>
        <v/>
      </c>
      <c r="K563" s="66">
        <f>IF($J563="","",$G563/$J563)</f>
        <v/>
      </c>
      <c r="L563" s="66">
        <f>IF($J563="",0,$K563*MAX(0,MIN(YEAR($C$3)*12+MONTH($C$3),YEAR($I563)*12+MONTH($I563))-(YEAR($H563)*12+MONTH($H563))+1))</f>
        <v/>
      </c>
      <c r="M563" s="66">
        <f>IF($J563="",0,$K563*MAX(0,MIN(YEAR($C$3)*12+MONTH($C$3)-1,YEAR($I563)*12+MONTH($I563))-(YEAR($H563)*12+MONTH($H563))+1))</f>
        <v/>
      </c>
      <c r="N563" s="66">
        <f>IF(OR($J563="",$B563=""),0,IF(YEAR($B563)*12+MONTH($B563)&lt;=YEAR($C$3)*12+MONTH($C$3),$G563,0))</f>
        <v/>
      </c>
      <c r="O563" s="66">
        <f>IF(OR($J563="",$B563=""),0,IF(YEAR($B563)*12+MONTH($B563)&lt;=YEAR($C$3)*12+MONTH($C$3)-1,$G563,0))</f>
        <v/>
      </c>
      <c r="P563" s="66">
        <f>$M563-$O563</f>
        <v/>
      </c>
      <c r="Q563" s="66">
        <f>($L563-$M563)-($N563-$O563)</f>
        <v/>
      </c>
      <c r="R563" s="66">
        <f>$L563-$N563</f>
        <v/>
      </c>
      <c r="S563" s="65">
        <f>"WIP journal"</f>
        <v/>
      </c>
      <c r="T563" s="65">
        <f>IFERROR(INDEX(tbl_WIP[Revenue or Cost],$A563),"")</f>
        <v/>
      </c>
    </row>
    <row r="564">
      <c r="A564" s="63">
        <f>ROW()-407</f>
        <v/>
      </c>
      <c r="B564" s="64">
        <f>IFERROR(INDEX(tbl_WIP[Month],$A564),"")</f>
        <v/>
      </c>
      <c r="C564" s="65">
        <f>IFERROR(INDEX(tbl_WIP[Xero Invoice No],$A564),"")</f>
        <v/>
      </c>
      <c r="D564" s="65">
        <f>IFERROR(INDEX(tbl_WIP[Client],$A564),"")</f>
        <v/>
      </c>
      <c r="E564" s="65">
        <f>IFERROR(INDEX(tbl_WIP[Job Number],$A564),"")</f>
        <v/>
      </c>
      <c r="F564" s="65">
        <f>IFERROR(INDEX(tbl_WIP[Cost Centre],$A564),"")</f>
        <v/>
      </c>
      <c r="G564" s="66">
        <f>IFERROR(IF(INDEX(tbl_WIP[Defer Start],$A564)="","",IF(INDEX(tbl_WIP[Revenue or Cost],$A564)="Cost",-1,1)*INDEX(tbl_WIP[Amount],$A564)),"")</f>
        <v/>
      </c>
      <c r="H564" s="64">
        <f>IFERROR(INDEX(tbl_WIP[Defer Start],$A564),"")</f>
        <v/>
      </c>
      <c r="I564" s="64">
        <f>IFERROR(INDEX(tbl_WIP[Defer End],$A564),"")</f>
        <v/>
      </c>
      <c r="J564" s="63">
        <f>IF(OR($H564="",$I564="",$G564=""),"",MAX(1,(YEAR($I564)-YEAR($H564))*12+MONTH($I564)-MONTH($H564)+1))</f>
        <v/>
      </c>
      <c r="K564" s="66">
        <f>IF($J564="","",$G564/$J564)</f>
        <v/>
      </c>
      <c r="L564" s="66">
        <f>IF($J564="",0,$K564*MAX(0,MIN(YEAR($C$3)*12+MONTH($C$3),YEAR($I564)*12+MONTH($I564))-(YEAR($H564)*12+MONTH($H564))+1))</f>
        <v/>
      </c>
      <c r="M564" s="66">
        <f>IF($J564="",0,$K564*MAX(0,MIN(YEAR($C$3)*12+MONTH($C$3)-1,YEAR($I564)*12+MONTH($I564))-(YEAR($H564)*12+MONTH($H564))+1))</f>
        <v/>
      </c>
      <c r="N564" s="66">
        <f>IF(OR($J564="",$B564=""),0,IF(YEAR($B564)*12+MONTH($B564)&lt;=YEAR($C$3)*12+MONTH($C$3),$G564,0))</f>
        <v/>
      </c>
      <c r="O564" s="66">
        <f>IF(OR($J564="",$B564=""),0,IF(YEAR($B564)*12+MONTH($B564)&lt;=YEAR($C$3)*12+MONTH($C$3)-1,$G564,0))</f>
        <v/>
      </c>
      <c r="P564" s="66">
        <f>$M564-$O564</f>
        <v/>
      </c>
      <c r="Q564" s="66">
        <f>($L564-$M564)-($N564-$O564)</f>
        <v/>
      </c>
      <c r="R564" s="66">
        <f>$L564-$N564</f>
        <v/>
      </c>
      <c r="S564" s="65">
        <f>"WIP journal"</f>
        <v/>
      </c>
      <c r="T564" s="65">
        <f>IFERROR(INDEX(tbl_WIP[Revenue or Cost],$A564),"")</f>
        <v/>
      </c>
    </row>
    <row r="565">
      <c r="A565" s="63">
        <f>ROW()-407</f>
        <v/>
      </c>
      <c r="B565" s="64">
        <f>IFERROR(INDEX(tbl_WIP[Month],$A565),"")</f>
        <v/>
      </c>
      <c r="C565" s="65">
        <f>IFERROR(INDEX(tbl_WIP[Xero Invoice No],$A565),"")</f>
        <v/>
      </c>
      <c r="D565" s="65">
        <f>IFERROR(INDEX(tbl_WIP[Client],$A565),"")</f>
        <v/>
      </c>
      <c r="E565" s="65">
        <f>IFERROR(INDEX(tbl_WIP[Job Number],$A565),"")</f>
        <v/>
      </c>
      <c r="F565" s="65">
        <f>IFERROR(INDEX(tbl_WIP[Cost Centre],$A565),"")</f>
        <v/>
      </c>
      <c r="G565" s="66">
        <f>IFERROR(IF(INDEX(tbl_WIP[Defer Start],$A565)="","",IF(INDEX(tbl_WIP[Revenue or Cost],$A565)="Cost",-1,1)*INDEX(tbl_WIP[Amount],$A565)),"")</f>
        <v/>
      </c>
      <c r="H565" s="64">
        <f>IFERROR(INDEX(tbl_WIP[Defer Start],$A565),"")</f>
        <v/>
      </c>
      <c r="I565" s="64">
        <f>IFERROR(INDEX(tbl_WIP[Defer End],$A565),"")</f>
        <v/>
      </c>
      <c r="J565" s="63">
        <f>IF(OR($H565="",$I565="",$G565=""),"",MAX(1,(YEAR($I565)-YEAR($H565))*12+MONTH($I565)-MONTH($H565)+1))</f>
        <v/>
      </c>
      <c r="K565" s="66">
        <f>IF($J565="","",$G565/$J565)</f>
        <v/>
      </c>
      <c r="L565" s="66">
        <f>IF($J565="",0,$K565*MAX(0,MIN(YEAR($C$3)*12+MONTH($C$3),YEAR($I565)*12+MONTH($I565))-(YEAR($H565)*12+MONTH($H565))+1))</f>
        <v/>
      </c>
      <c r="M565" s="66">
        <f>IF($J565="",0,$K565*MAX(0,MIN(YEAR($C$3)*12+MONTH($C$3)-1,YEAR($I565)*12+MONTH($I565))-(YEAR($H565)*12+MONTH($H565))+1))</f>
        <v/>
      </c>
      <c r="N565" s="66">
        <f>IF(OR($J565="",$B565=""),0,IF(YEAR($B565)*12+MONTH($B565)&lt;=YEAR($C$3)*12+MONTH($C$3),$G565,0))</f>
        <v/>
      </c>
      <c r="O565" s="66">
        <f>IF(OR($J565="",$B565=""),0,IF(YEAR($B565)*12+MONTH($B565)&lt;=YEAR($C$3)*12+MONTH($C$3)-1,$G565,0))</f>
        <v/>
      </c>
      <c r="P565" s="66">
        <f>$M565-$O565</f>
        <v/>
      </c>
      <c r="Q565" s="66">
        <f>($L565-$M565)-($N565-$O565)</f>
        <v/>
      </c>
      <c r="R565" s="66">
        <f>$L565-$N565</f>
        <v/>
      </c>
      <c r="S565" s="65">
        <f>"WIP journal"</f>
        <v/>
      </c>
      <c r="T565" s="65">
        <f>IFERROR(INDEX(tbl_WIP[Revenue or Cost],$A565),"")</f>
        <v/>
      </c>
    </row>
    <row r="566">
      <c r="A566" s="63">
        <f>ROW()-407</f>
        <v/>
      </c>
      <c r="B566" s="64">
        <f>IFERROR(INDEX(tbl_WIP[Month],$A566),"")</f>
        <v/>
      </c>
      <c r="C566" s="65">
        <f>IFERROR(INDEX(tbl_WIP[Xero Invoice No],$A566),"")</f>
        <v/>
      </c>
      <c r="D566" s="65">
        <f>IFERROR(INDEX(tbl_WIP[Client],$A566),"")</f>
        <v/>
      </c>
      <c r="E566" s="65">
        <f>IFERROR(INDEX(tbl_WIP[Job Number],$A566),"")</f>
        <v/>
      </c>
      <c r="F566" s="65">
        <f>IFERROR(INDEX(tbl_WIP[Cost Centre],$A566),"")</f>
        <v/>
      </c>
      <c r="G566" s="66">
        <f>IFERROR(IF(INDEX(tbl_WIP[Defer Start],$A566)="","",IF(INDEX(tbl_WIP[Revenue or Cost],$A566)="Cost",-1,1)*INDEX(tbl_WIP[Amount],$A566)),"")</f>
        <v/>
      </c>
      <c r="H566" s="64">
        <f>IFERROR(INDEX(tbl_WIP[Defer Start],$A566),"")</f>
        <v/>
      </c>
      <c r="I566" s="64">
        <f>IFERROR(INDEX(tbl_WIP[Defer End],$A566),"")</f>
        <v/>
      </c>
      <c r="J566" s="63">
        <f>IF(OR($H566="",$I566="",$G566=""),"",MAX(1,(YEAR($I566)-YEAR($H566))*12+MONTH($I566)-MONTH($H566)+1))</f>
        <v/>
      </c>
      <c r="K566" s="66">
        <f>IF($J566="","",$G566/$J566)</f>
        <v/>
      </c>
      <c r="L566" s="66">
        <f>IF($J566="",0,$K566*MAX(0,MIN(YEAR($C$3)*12+MONTH($C$3),YEAR($I566)*12+MONTH($I566))-(YEAR($H566)*12+MONTH($H566))+1))</f>
        <v/>
      </c>
      <c r="M566" s="66">
        <f>IF($J566="",0,$K566*MAX(0,MIN(YEAR($C$3)*12+MONTH($C$3)-1,YEAR($I566)*12+MONTH($I566))-(YEAR($H566)*12+MONTH($H566))+1))</f>
        <v/>
      </c>
      <c r="N566" s="66">
        <f>IF(OR($J566="",$B566=""),0,IF(YEAR($B566)*12+MONTH($B566)&lt;=YEAR($C$3)*12+MONTH($C$3),$G566,0))</f>
        <v/>
      </c>
      <c r="O566" s="66">
        <f>IF(OR($J566="",$B566=""),0,IF(YEAR($B566)*12+MONTH($B566)&lt;=YEAR($C$3)*12+MONTH($C$3)-1,$G566,0))</f>
        <v/>
      </c>
      <c r="P566" s="66">
        <f>$M566-$O566</f>
        <v/>
      </c>
      <c r="Q566" s="66">
        <f>($L566-$M566)-($N566-$O566)</f>
        <v/>
      </c>
      <c r="R566" s="66">
        <f>$L566-$N566</f>
        <v/>
      </c>
      <c r="S566" s="65">
        <f>"WIP journal"</f>
        <v/>
      </c>
      <c r="T566" s="65">
        <f>IFERROR(INDEX(tbl_WIP[Revenue or Cost],$A566),"")</f>
        <v/>
      </c>
    </row>
    <row r="567">
      <c r="A567" s="63">
        <f>ROW()-407</f>
        <v/>
      </c>
      <c r="B567" s="64">
        <f>IFERROR(INDEX(tbl_WIP[Month],$A567),"")</f>
        <v/>
      </c>
      <c r="C567" s="65">
        <f>IFERROR(INDEX(tbl_WIP[Xero Invoice No],$A567),"")</f>
        <v/>
      </c>
      <c r="D567" s="65">
        <f>IFERROR(INDEX(tbl_WIP[Client],$A567),"")</f>
        <v/>
      </c>
      <c r="E567" s="65">
        <f>IFERROR(INDEX(tbl_WIP[Job Number],$A567),"")</f>
        <v/>
      </c>
      <c r="F567" s="65">
        <f>IFERROR(INDEX(tbl_WIP[Cost Centre],$A567),"")</f>
        <v/>
      </c>
      <c r="G567" s="66">
        <f>IFERROR(IF(INDEX(tbl_WIP[Defer Start],$A567)="","",IF(INDEX(tbl_WIP[Revenue or Cost],$A567)="Cost",-1,1)*INDEX(tbl_WIP[Amount],$A567)),"")</f>
        <v/>
      </c>
      <c r="H567" s="64">
        <f>IFERROR(INDEX(tbl_WIP[Defer Start],$A567),"")</f>
        <v/>
      </c>
      <c r="I567" s="64">
        <f>IFERROR(INDEX(tbl_WIP[Defer End],$A567),"")</f>
        <v/>
      </c>
      <c r="J567" s="63">
        <f>IF(OR($H567="",$I567="",$G567=""),"",MAX(1,(YEAR($I567)-YEAR($H567))*12+MONTH($I567)-MONTH($H567)+1))</f>
        <v/>
      </c>
      <c r="K567" s="66">
        <f>IF($J567="","",$G567/$J567)</f>
        <v/>
      </c>
      <c r="L567" s="66">
        <f>IF($J567="",0,$K567*MAX(0,MIN(YEAR($C$3)*12+MONTH($C$3),YEAR($I567)*12+MONTH($I567))-(YEAR($H567)*12+MONTH($H567))+1))</f>
        <v/>
      </c>
      <c r="M567" s="66">
        <f>IF($J567="",0,$K567*MAX(0,MIN(YEAR($C$3)*12+MONTH($C$3)-1,YEAR($I567)*12+MONTH($I567))-(YEAR($H567)*12+MONTH($H567))+1))</f>
        <v/>
      </c>
      <c r="N567" s="66">
        <f>IF(OR($J567="",$B567=""),0,IF(YEAR($B567)*12+MONTH($B567)&lt;=YEAR($C$3)*12+MONTH($C$3),$G567,0))</f>
        <v/>
      </c>
      <c r="O567" s="66">
        <f>IF(OR($J567="",$B567=""),0,IF(YEAR($B567)*12+MONTH($B567)&lt;=YEAR($C$3)*12+MONTH($C$3)-1,$G567,0))</f>
        <v/>
      </c>
      <c r="P567" s="66">
        <f>$M567-$O567</f>
        <v/>
      </c>
      <c r="Q567" s="66">
        <f>($L567-$M567)-($N567-$O567)</f>
        <v/>
      </c>
      <c r="R567" s="66">
        <f>$L567-$N567</f>
        <v/>
      </c>
      <c r="S567" s="65">
        <f>"WIP journal"</f>
        <v/>
      </c>
      <c r="T567" s="65">
        <f>IFERROR(INDEX(tbl_WIP[Revenue or Cost],$A567),"")</f>
        <v/>
      </c>
    </row>
    <row r="568">
      <c r="A568" s="63">
        <f>ROW()-407</f>
        <v/>
      </c>
      <c r="B568" s="64">
        <f>IFERROR(INDEX(tbl_WIP[Month],$A568),"")</f>
        <v/>
      </c>
      <c r="C568" s="65">
        <f>IFERROR(INDEX(tbl_WIP[Xero Invoice No],$A568),"")</f>
        <v/>
      </c>
      <c r="D568" s="65">
        <f>IFERROR(INDEX(tbl_WIP[Client],$A568),"")</f>
        <v/>
      </c>
      <c r="E568" s="65">
        <f>IFERROR(INDEX(tbl_WIP[Job Number],$A568),"")</f>
        <v/>
      </c>
      <c r="F568" s="65">
        <f>IFERROR(INDEX(tbl_WIP[Cost Centre],$A568),"")</f>
        <v/>
      </c>
      <c r="G568" s="66">
        <f>IFERROR(IF(INDEX(tbl_WIP[Defer Start],$A568)="","",IF(INDEX(tbl_WIP[Revenue or Cost],$A568)="Cost",-1,1)*INDEX(tbl_WIP[Amount],$A568)),"")</f>
        <v/>
      </c>
      <c r="H568" s="64">
        <f>IFERROR(INDEX(tbl_WIP[Defer Start],$A568),"")</f>
        <v/>
      </c>
      <c r="I568" s="64">
        <f>IFERROR(INDEX(tbl_WIP[Defer End],$A568),"")</f>
        <v/>
      </c>
      <c r="J568" s="63">
        <f>IF(OR($H568="",$I568="",$G568=""),"",MAX(1,(YEAR($I568)-YEAR($H568))*12+MONTH($I568)-MONTH($H568)+1))</f>
        <v/>
      </c>
      <c r="K568" s="66">
        <f>IF($J568="","",$G568/$J568)</f>
        <v/>
      </c>
      <c r="L568" s="66">
        <f>IF($J568="",0,$K568*MAX(0,MIN(YEAR($C$3)*12+MONTH($C$3),YEAR($I568)*12+MONTH($I568))-(YEAR($H568)*12+MONTH($H568))+1))</f>
        <v/>
      </c>
      <c r="M568" s="66">
        <f>IF($J568="",0,$K568*MAX(0,MIN(YEAR($C$3)*12+MONTH($C$3)-1,YEAR($I568)*12+MONTH($I568))-(YEAR($H568)*12+MONTH($H568))+1))</f>
        <v/>
      </c>
      <c r="N568" s="66">
        <f>IF(OR($J568="",$B568=""),0,IF(YEAR($B568)*12+MONTH($B568)&lt;=YEAR($C$3)*12+MONTH($C$3),$G568,0))</f>
        <v/>
      </c>
      <c r="O568" s="66">
        <f>IF(OR($J568="",$B568=""),0,IF(YEAR($B568)*12+MONTH($B568)&lt;=YEAR($C$3)*12+MONTH($C$3)-1,$G568,0))</f>
        <v/>
      </c>
      <c r="P568" s="66">
        <f>$M568-$O568</f>
        <v/>
      </c>
      <c r="Q568" s="66">
        <f>($L568-$M568)-($N568-$O568)</f>
        <v/>
      </c>
      <c r="R568" s="66">
        <f>$L568-$N568</f>
        <v/>
      </c>
      <c r="S568" s="65">
        <f>"WIP journal"</f>
        <v/>
      </c>
      <c r="T568" s="65">
        <f>IFERROR(INDEX(tbl_WIP[Revenue or Cost],$A568),"")</f>
        <v/>
      </c>
    </row>
    <row r="569">
      <c r="A569" s="63">
        <f>ROW()-407</f>
        <v/>
      </c>
      <c r="B569" s="64">
        <f>IFERROR(INDEX(tbl_WIP[Month],$A569),"")</f>
        <v/>
      </c>
      <c r="C569" s="65">
        <f>IFERROR(INDEX(tbl_WIP[Xero Invoice No],$A569),"")</f>
        <v/>
      </c>
      <c r="D569" s="65">
        <f>IFERROR(INDEX(tbl_WIP[Client],$A569),"")</f>
        <v/>
      </c>
      <c r="E569" s="65">
        <f>IFERROR(INDEX(tbl_WIP[Job Number],$A569),"")</f>
        <v/>
      </c>
      <c r="F569" s="65">
        <f>IFERROR(INDEX(tbl_WIP[Cost Centre],$A569),"")</f>
        <v/>
      </c>
      <c r="G569" s="66">
        <f>IFERROR(IF(INDEX(tbl_WIP[Defer Start],$A569)="","",IF(INDEX(tbl_WIP[Revenue or Cost],$A569)="Cost",-1,1)*INDEX(tbl_WIP[Amount],$A569)),"")</f>
        <v/>
      </c>
      <c r="H569" s="64">
        <f>IFERROR(INDEX(tbl_WIP[Defer Start],$A569),"")</f>
        <v/>
      </c>
      <c r="I569" s="64">
        <f>IFERROR(INDEX(tbl_WIP[Defer End],$A569),"")</f>
        <v/>
      </c>
      <c r="J569" s="63">
        <f>IF(OR($H569="",$I569="",$G569=""),"",MAX(1,(YEAR($I569)-YEAR($H569))*12+MONTH($I569)-MONTH($H569)+1))</f>
        <v/>
      </c>
      <c r="K569" s="66">
        <f>IF($J569="","",$G569/$J569)</f>
        <v/>
      </c>
      <c r="L569" s="66">
        <f>IF($J569="",0,$K569*MAX(0,MIN(YEAR($C$3)*12+MONTH($C$3),YEAR($I569)*12+MONTH($I569))-(YEAR($H569)*12+MONTH($H569))+1))</f>
        <v/>
      </c>
      <c r="M569" s="66">
        <f>IF($J569="",0,$K569*MAX(0,MIN(YEAR($C$3)*12+MONTH($C$3)-1,YEAR($I569)*12+MONTH($I569))-(YEAR($H569)*12+MONTH($H569))+1))</f>
        <v/>
      </c>
      <c r="N569" s="66">
        <f>IF(OR($J569="",$B569=""),0,IF(YEAR($B569)*12+MONTH($B569)&lt;=YEAR($C$3)*12+MONTH($C$3),$G569,0))</f>
        <v/>
      </c>
      <c r="O569" s="66">
        <f>IF(OR($J569="",$B569=""),0,IF(YEAR($B569)*12+MONTH($B569)&lt;=YEAR($C$3)*12+MONTH($C$3)-1,$G569,0))</f>
        <v/>
      </c>
      <c r="P569" s="66">
        <f>$M569-$O569</f>
        <v/>
      </c>
      <c r="Q569" s="66">
        <f>($L569-$M569)-($N569-$O569)</f>
        <v/>
      </c>
      <c r="R569" s="66">
        <f>$L569-$N569</f>
        <v/>
      </c>
      <c r="S569" s="65">
        <f>"WIP journal"</f>
        <v/>
      </c>
      <c r="T569" s="65">
        <f>IFERROR(INDEX(tbl_WIP[Revenue or Cost],$A569),"")</f>
        <v/>
      </c>
    </row>
    <row r="570">
      <c r="A570" s="63">
        <f>ROW()-407</f>
        <v/>
      </c>
      <c r="B570" s="64">
        <f>IFERROR(INDEX(tbl_WIP[Month],$A570),"")</f>
        <v/>
      </c>
      <c r="C570" s="65">
        <f>IFERROR(INDEX(tbl_WIP[Xero Invoice No],$A570),"")</f>
        <v/>
      </c>
      <c r="D570" s="65">
        <f>IFERROR(INDEX(tbl_WIP[Client],$A570),"")</f>
        <v/>
      </c>
      <c r="E570" s="65">
        <f>IFERROR(INDEX(tbl_WIP[Job Number],$A570),"")</f>
        <v/>
      </c>
      <c r="F570" s="65">
        <f>IFERROR(INDEX(tbl_WIP[Cost Centre],$A570),"")</f>
        <v/>
      </c>
      <c r="G570" s="66">
        <f>IFERROR(IF(INDEX(tbl_WIP[Defer Start],$A570)="","",IF(INDEX(tbl_WIP[Revenue or Cost],$A570)="Cost",-1,1)*INDEX(tbl_WIP[Amount],$A570)),"")</f>
        <v/>
      </c>
      <c r="H570" s="64">
        <f>IFERROR(INDEX(tbl_WIP[Defer Start],$A570),"")</f>
        <v/>
      </c>
      <c r="I570" s="64">
        <f>IFERROR(INDEX(tbl_WIP[Defer End],$A570),"")</f>
        <v/>
      </c>
      <c r="J570" s="63">
        <f>IF(OR($H570="",$I570="",$G570=""),"",MAX(1,(YEAR($I570)-YEAR($H570))*12+MONTH($I570)-MONTH($H570)+1))</f>
        <v/>
      </c>
      <c r="K570" s="66">
        <f>IF($J570="","",$G570/$J570)</f>
        <v/>
      </c>
      <c r="L570" s="66">
        <f>IF($J570="",0,$K570*MAX(0,MIN(YEAR($C$3)*12+MONTH($C$3),YEAR($I570)*12+MONTH($I570))-(YEAR($H570)*12+MONTH($H570))+1))</f>
        <v/>
      </c>
      <c r="M570" s="66">
        <f>IF($J570="",0,$K570*MAX(0,MIN(YEAR($C$3)*12+MONTH($C$3)-1,YEAR($I570)*12+MONTH($I570))-(YEAR($H570)*12+MONTH($H570))+1))</f>
        <v/>
      </c>
      <c r="N570" s="66">
        <f>IF(OR($J570="",$B570=""),0,IF(YEAR($B570)*12+MONTH($B570)&lt;=YEAR($C$3)*12+MONTH($C$3),$G570,0))</f>
        <v/>
      </c>
      <c r="O570" s="66">
        <f>IF(OR($J570="",$B570=""),0,IF(YEAR($B570)*12+MONTH($B570)&lt;=YEAR($C$3)*12+MONTH($C$3)-1,$G570,0))</f>
        <v/>
      </c>
      <c r="P570" s="66">
        <f>$M570-$O570</f>
        <v/>
      </c>
      <c r="Q570" s="66">
        <f>($L570-$M570)-($N570-$O570)</f>
        <v/>
      </c>
      <c r="R570" s="66">
        <f>$L570-$N570</f>
        <v/>
      </c>
      <c r="S570" s="65">
        <f>"WIP journal"</f>
        <v/>
      </c>
      <c r="T570" s="65">
        <f>IFERROR(INDEX(tbl_WIP[Revenue or Cost],$A570),"")</f>
        <v/>
      </c>
    </row>
    <row r="571">
      <c r="A571" s="63">
        <f>ROW()-407</f>
        <v/>
      </c>
      <c r="B571" s="64">
        <f>IFERROR(INDEX(tbl_WIP[Month],$A571),"")</f>
        <v/>
      </c>
      <c r="C571" s="65">
        <f>IFERROR(INDEX(tbl_WIP[Xero Invoice No],$A571),"")</f>
        <v/>
      </c>
      <c r="D571" s="65">
        <f>IFERROR(INDEX(tbl_WIP[Client],$A571),"")</f>
        <v/>
      </c>
      <c r="E571" s="65">
        <f>IFERROR(INDEX(tbl_WIP[Job Number],$A571),"")</f>
        <v/>
      </c>
      <c r="F571" s="65">
        <f>IFERROR(INDEX(tbl_WIP[Cost Centre],$A571),"")</f>
        <v/>
      </c>
      <c r="G571" s="66">
        <f>IFERROR(IF(INDEX(tbl_WIP[Defer Start],$A571)="","",IF(INDEX(tbl_WIP[Revenue or Cost],$A571)="Cost",-1,1)*INDEX(tbl_WIP[Amount],$A571)),"")</f>
        <v/>
      </c>
      <c r="H571" s="64">
        <f>IFERROR(INDEX(tbl_WIP[Defer Start],$A571),"")</f>
        <v/>
      </c>
      <c r="I571" s="64">
        <f>IFERROR(INDEX(tbl_WIP[Defer End],$A571),"")</f>
        <v/>
      </c>
      <c r="J571" s="63">
        <f>IF(OR($H571="",$I571="",$G571=""),"",MAX(1,(YEAR($I571)-YEAR($H571))*12+MONTH($I571)-MONTH($H571)+1))</f>
        <v/>
      </c>
      <c r="K571" s="66">
        <f>IF($J571="","",$G571/$J571)</f>
        <v/>
      </c>
      <c r="L571" s="66">
        <f>IF($J571="",0,$K571*MAX(0,MIN(YEAR($C$3)*12+MONTH($C$3),YEAR($I571)*12+MONTH($I571))-(YEAR($H571)*12+MONTH($H571))+1))</f>
        <v/>
      </c>
      <c r="M571" s="66">
        <f>IF($J571="",0,$K571*MAX(0,MIN(YEAR($C$3)*12+MONTH($C$3)-1,YEAR($I571)*12+MONTH($I571))-(YEAR($H571)*12+MONTH($H571))+1))</f>
        <v/>
      </c>
      <c r="N571" s="66">
        <f>IF(OR($J571="",$B571=""),0,IF(YEAR($B571)*12+MONTH($B571)&lt;=YEAR($C$3)*12+MONTH($C$3),$G571,0))</f>
        <v/>
      </c>
      <c r="O571" s="66">
        <f>IF(OR($J571="",$B571=""),0,IF(YEAR($B571)*12+MONTH($B571)&lt;=YEAR($C$3)*12+MONTH($C$3)-1,$G571,0))</f>
        <v/>
      </c>
      <c r="P571" s="66">
        <f>$M571-$O571</f>
        <v/>
      </c>
      <c r="Q571" s="66">
        <f>($L571-$M571)-($N571-$O571)</f>
        <v/>
      </c>
      <c r="R571" s="66">
        <f>$L571-$N571</f>
        <v/>
      </c>
      <c r="S571" s="65">
        <f>"WIP journal"</f>
        <v/>
      </c>
      <c r="T571" s="65">
        <f>IFERROR(INDEX(tbl_WIP[Revenue or Cost],$A571),"")</f>
        <v/>
      </c>
    </row>
    <row r="572">
      <c r="A572" s="63">
        <f>ROW()-407</f>
        <v/>
      </c>
      <c r="B572" s="64">
        <f>IFERROR(INDEX(tbl_WIP[Month],$A572),"")</f>
        <v/>
      </c>
      <c r="C572" s="65">
        <f>IFERROR(INDEX(tbl_WIP[Xero Invoice No],$A572),"")</f>
        <v/>
      </c>
      <c r="D572" s="65">
        <f>IFERROR(INDEX(tbl_WIP[Client],$A572),"")</f>
        <v/>
      </c>
      <c r="E572" s="65">
        <f>IFERROR(INDEX(tbl_WIP[Job Number],$A572),"")</f>
        <v/>
      </c>
      <c r="F572" s="65">
        <f>IFERROR(INDEX(tbl_WIP[Cost Centre],$A572),"")</f>
        <v/>
      </c>
      <c r="G572" s="66">
        <f>IFERROR(IF(INDEX(tbl_WIP[Defer Start],$A572)="","",IF(INDEX(tbl_WIP[Revenue or Cost],$A572)="Cost",-1,1)*INDEX(tbl_WIP[Amount],$A572)),"")</f>
        <v/>
      </c>
      <c r="H572" s="64">
        <f>IFERROR(INDEX(tbl_WIP[Defer Start],$A572),"")</f>
        <v/>
      </c>
      <c r="I572" s="64">
        <f>IFERROR(INDEX(tbl_WIP[Defer End],$A572),"")</f>
        <v/>
      </c>
      <c r="J572" s="63">
        <f>IF(OR($H572="",$I572="",$G572=""),"",MAX(1,(YEAR($I572)-YEAR($H572))*12+MONTH($I572)-MONTH($H572)+1))</f>
        <v/>
      </c>
      <c r="K572" s="66">
        <f>IF($J572="","",$G572/$J572)</f>
        <v/>
      </c>
      <c r="L572" s="66">
        <f>IF($J572="",0,$K572*MAX(0,MIN(YEAR($C$3)*12+MONTH($C$3),YEAR($I572)*12+MONTH($I572))-(YEAR($H572)*12+MONTH($H572))+1))</f>
        <v/>
      </c>
      <c r="M572" s="66">
        <f>IF($J572="",0,$K572*MAX(0,MIN(YEAR($C$3)*12+MONTH($C$3)-1,YEAR($I572)*12+MONTH($I572))-(YEAR($H572)*12+MONTH($H572))+1))</f>
        <v/>
      </c>
      <c r="N572" s="66">
        <f>IF(OR($J572="",$B572=""),0,IF(YEAR($B572)*12+MONTH($B572)&lt;=YEAR($C$3)*12+MONTH($C$3),$G572,0))</f>
        <v/>
      </c>
      <c r="O572" s="66">
        <f>IF(OR($J572="",$B572=""),0,IF(YEAR($B572)*12+MONTH($B572)&lt;=YEAR($C$3)*12+MONTH($C$3)-1,$G572,0))</f>
        <v/>
      </c>
      <c r="P572" s="66">
        <f>$M572-$O572</f>
        <v/>
      </c>
      <c r="Q572" s="66">
        <f>($L572-$M572)-($N572-$O572)</f>
        <v/>
      </c>
      <c r="R572" s="66">
        <f>$L572-$N572</f>
        <v/>
      </c>
      <c r="S572" s="65">
        <f>"WIP journal"</f>
        <v/>
      </c>
      <c r="T572" s="65">
        <f>IFERROR(INDEX(tbl_WIP[Revenue or Cost],$A572),"")</f>
        <v/>
      </c>
    </row>
    <row r="573">
      <c r="A573" s="63">
        <f>ROW()-407</f>
        <v/>
      </c>
      <c r="B573" s="64">
        <f>IFERROR(INDEX(tbl_WIP[Month],$A573),"")</f>
        <v/>
      </c>
      <c r="C573" s="65">
        <f>IFERROR(INDEX(tbl_WIP[Xero Invoice No],$A573),"")</f>
        <v/>
      </c>
      <c r="D573" s="65">
        <f>IFERROR(INDEX(tbl_WIP[Client],$A573),"")</f>
        <v/>
      </c>
      <c r="E573" s="65">
        <f>IFERROR(INDEX(tbl_WIP[Job Number],$A573),"")</f>
        <v/>
      </c>
      <c r="F573" s="65">
        <f>IFERROR(INDEX(tbl_WIP[Cost Centre],$A573),"")</f>
        <v/>
      </c>
      <c r="G573" s="66">
        <f>IFERROR(IF(INDEX(tbl_WIP[Defer Start],$A573)="","",IF(INDEX(tbl_WIP[Revenue or Cost],$A573)="Cost",-1,1)*INDEX(tbl_WIP[Amount],$A573)),"")</f>
        <v/>
      </c>
      <c r="H573" s="64">
        <f>IFERROR(INDEX(tbl_WIP[Defer Start],$A573),"")</f>
        <v/>
      </c>
      <c r="I573" s="64">
        <f>IFERROR(INDEX(tbl_WIP[Defer End],$A573),"")</f>
        <v/>
      </c>
      <c r="J573" s="63">
        <f>IF(OR($H573="",$I573="",$G573=""),"",MAX(1,(YEAR($I573)-YEAR($H573))*12+MONTH($I573)-MONTH($H573)+1))</f>
        <v/>
      </c>
      <c r="K573" s="66">
        <f>IF($J573="","",$G573/$J573)</f>
        <v/>
      </c>
      <c r="L573" s="66">
        <f>IF($J573="",0,$K573*MAX(0,MIN(YEAR($C$3)*12+MONTH($C$3),YEAR($I573)*12+MONTH($I573))-(YEAR($H573)*12+MONTH($H573))+1))</f>
        <v/>
      </c>
      <c r="M573" s="66">
        <f>IF($J573="",0,$K573*MAX(0,MIN(YEAR($C$3)*12+MONTH($C$3)-1,YEAR($I573)*12+MONTH($I573))-(YEAR($H573)*12+MONTH($H573))+1))</f>
        <v/>
      </c>
      <c r="N573" s="66">
        <f>IF(OR($J573="",$B573=""),0,IF(YEAR($B573)*12+MONTH($B573)&lt;=YEAR($C$3)*12+MONTH($C$3),$G573,0))</f>
        <v/>
      </c>
      <c r="O573" s="66">
        <f>IF(OR($J573="",$B573=""),0,IF(YEAR($B573)*12+MONTH($B573)&lt;=YEAR($C$3)*12+MONTH($C$3)-1,$G573,0))</f>
        <v/>
      </c>
      <c r="P573" s="66">
        <f>$M573-$O573</f>
        <v/>
      </c>
      <c r="Q573" s="66">
        <f>($L573-$M573)-($N573-$O573)</f>
        <v/>
      </c>
      <c r="R573" s="66">
        <f>$L573-$N573</f>
        <v/>
      </c>
      <c r="S573" s="65">
        <f>"WIP journal"</f>
        <v/>
      </c>
      <c r="T573" s="65">
        <f>IFERROR(INDEX(tbl_WIP[Revenue or Cost],$A573),"")</f>
        <v/>
      </c>
    </row>
    <row r="574">
      <c r="A574" s="63">
        <f>ROW()-407</f>
        <v/>
      </c>
      <c r="B574" s="64">
        <f>IFERROR(INDEX(tbl_WIP[Month],$A574),"")</f>
        <v/>
      </c>
      <c r="C574" s="65">
        <f>IFERROR(INDEX(tbl_WIP[Xero Invoice No],$A574),"")</f>
        <v/>
      </c>
      <c r="D574" s="65">
        <f>IFERROR(INDEX(tbl_WIP[Client],$A574),"")</f>
        <v/>
      </c>
      <c r="E574" s="65">
        <f>IFERROR(INDEX(tbl_WIP[Job Number],$A574),"")</f>
        <v/>
      </c>
      <c r="F574" s="65">
        <f>IFERROR(INDEX(tbl_WIP[Cost Centre],$A574),"")</f>
        <v/>
      </c>
      <c r="G574" s="66">
        <f>IFERROR(IF(INDEX(tbl_WIP[Defer Start],$A574)="","",IF(INDEX(tbl_WIP[Revenue or Cost],$A574)="Cost",-1,1)*INDEX(tbl_WIP[Amount],$A574)),"")</f>
        <v/>
      </c>
      <c r="H574" s="64">
        <f>IFERROR(INDEX(tbl_WIP[Defer Start],$A574),"")</f>
        <v/>
      </c>
      <c r="I574" s="64">
        <f>IFERROR(INDEX(tbl_WIP[Defer End],$A574),"")</f>
        <v/>
      </c>
      <c r="J574" s="63">
        <f>IF(OR($H574="",$I574="",$G574=""),"",MAX(1,(YEAR($I574)-YEAR($H574))*12+MONTH($I574)-MONTH($H574)+1))</f>
        <v/>
      </c>
      <c r="K574" s="66">
        <f>IF($J574="","",$G574/$J574)</f>
        <v/>
      </c>
      <c r="L574" s="66">
        <f>IF($J574="",0,$K574*MAX(0,MIN(YEAR($C$3)*12+MONTH($C$3),YEAR($I574)*12+MONTH($I574))-(YEAR($H574)*12+MONTH($H574))+1))</f>
        <v/>
      </c>
      <c r="M574" s="66">
        <f>IF($J574="",0,$K574*MAX(0,MIN(YEAR($C$3)*12+MONTH($C$3)-1,YEAR($I574)*12+MONTH($I574))-(YEAR($H574)*12+MONTH($H574))+1))</f>
        <v/>
      </c>
      <c r="N574" s="66">
        <f>IF(OR($J574="",$B574=""),0,IF(YEAR($B574)*12+MONTH($B574)&lt;=YEAR($C$3)*12+MONTH($C$3),$G574,0))</f>
        <v/>
      </c>
      <c r="O574" s="66">
        <f>IF(OR($J574="",$B574=""),0,IF(YEAR($B574)*12+MONTH($B574)&lt;=YEAR($C$3)*12+MONTH($C$3)-1,$G574,0))</f>
        <v/>
      </c>
      <c r="P574" s="66">
        <f>$M574-$O574</f>
        <v/>
      </c>
      <c r="Q574" s="66">
        <f>($L574-$M574)-($N574-$O574)</f>
        <v/>
      </c>
      <c r="R574" s="66">
        <f>$L574-$N574</f>
        <v/>
      </c>
      <c r="S574" s="65">
        <f>"WIP journal"</f>
        <v/>
      </c>
      <c r="T574" s="65">
        <f>IFERROR(INDEX(tbl_WIP[Revenue or Cost],$A574),"")</f>
        <v/>
      </c>
    </row>
    <row r="575">
      <c r="A575" s="63">
        <f>ROW()-407</f>
        <v/>
      </c>
      <c r="B575" s="64">
        <f>IFERROR(INDEX(tbl_WIP[Month],$A575),"")</f>
        <v/>
      </c>
      <c r="C575" s="65">
        <f>IFERROR(INDEX(tbl_WIP[Xero Invoice No],$A575),"")</f>
        <v/>
      </c>
      <c r="D575" s="65">
        <f>IFERROR(INDEX(tbl_WIP[Client],$A575),"")</f>
        <v/>
      </c>
      <c r="E575" s="65">
        <f>IFERROR(INDEX(tbl_WIP[Job Number],$A575),"")</f>
        <v/>
      </c>
      <c r="F575" s="65">
        <f>IFERROR(INDEX(tbl_WIP[Cost Centre],$A575),"")</f>
        <v/>
      </c>
      <c r="G575" s="66">
        <f>IFERROR(IF(INDEX(tbl_WIP[Defer Start],$A575)="","",IF(INDEX(tbl_WIP[Revenue or Cost],$A575)="Cost",-1,1)*INDEX(tbl_WIP[Amount],$A575)),"")</f>
        <v/>
      </c>
      <c r="H575" s="64">
        <f>IFERROR(INDEX(tbl_WIP[Defer Start],$A575),"")</f>
        <v/>
      </c>
      <c r="I575" s="64">
        <f>IFERROR(INDEX(tbl_WIP[Defer End],$A575),"")</f>
        <v/>
      </c>
      <c r="J575" s="63">
        <f>IF(OR($H575="",$I575="",$G575=""),"",MAX(1,(YEAR($I575)-YEAR($H575))*12+MONTH($I575)-MONTH($H575)+1))</f>
        <v/>
      </c>
      <c r="K575" s="66">
        <f>IF($J575="","",$G575/$J575)</f>
        <v/>
      </c>
      <c r="L575" s="66">
        <f>IF($J575="",0,$K575*MAX(0,MIN(YEAR($C$3)*12+MONTH($C$3),YEAR($I575)*12+MONTH($I575))-(YEAR($H575)*12+MONTH($H575))+1))</f>
        <v/>
      </c>
      <c r="M575" s="66">
        <f>IF($J575="",0,$K575*MAX(0,MIN(YEAR($C$3)*12+MONTH($C$3)-1,YEAR($I575)*12+MONTH($I575))-(YEAR($H575)*12+MONTH($H575))+1))</f>
        <v/>
      </c>
      <c r="N575" s="66">
        <f>IF(OR($J575="",$B575=""),0,IF(YEAR($B575)*12+MONTH($B575)&lt;=YEAR($C$3)*12+MONTH($C$3),$G575,0))</f>
        <v/>
      </c>
      <c r="O575" s="66">
        <f>IF(OR($J575="",$B575=""),0,IF(YEAR($B575)*12+MONTH($B575)&lt;=YEAR($C$3)*12+MONTH($C$3)-1,$G575,0))</f>
        <v/>
      </c>
      <c r="P575" s="66">
        <f>$M575-$O575</f>
        <v/>
      </c>
      <c r="Q575" s="66">
        <f>($L575-$M575)-($N575-$O575)</f>
        <v/>
      </c>
      <c r="R575" s="66">
        <f>$L575-$N575</f>
        <v/>
      </c>
      <c r="S575" s="65">
        <f>"WIP journal"</f>
        <v/>
      </c>
      <c r="T575" s="65">
        <f>IFERROR(INDEX(tbl_WIP[Revenue or Cost],$A575),"")</f>
        <v/>
      </c>
    </row>
    <row r="576">
      <c r="A576" s="63">
        <f>ROW()-407</f>
        <v/>
      </c>
      <c r="B576" s="64">
        <f>IFERROR(INDEX(tbl_WIP[Month],$A576),"")</f>
        <v/>
      </c>
      <c r="C576" s="65">
        <f>IFERROR(INDEX(tbl_WIP[Xero Invoice No],$A576),"")</f>
        <v/>
      </c>
      <c r="D576" s="65">
        <f>IFERROR(INDEX(tbl_WIP[Client],$A576),"")</f>
        <v/>
      </c>
      <c r="E576" s="65">
        <f>IFERROR(INDEX(tbl_WIP[Job Number],$A576),"")</f>
        <v/>
      </c>
      <c r="F576" s="65">
        <f>IFERROR(INDEX(tbl_WIP[Cost Centre],$A576),"")</f>
        <v/>
      </c>
      <c r="G576" s="66">
        <f>IFERROR(IF(INDEX(tbl_WIP[Defer Start],$A576)="","",IF(INDEX(tbl_WIP[Revenue or Cost],$A576)="Cost",-1,1)*INDEX(tbl_WIP[Amount],$A576)),"")</f>
        <v/>
      </c>
      <c r="H576" s="64">
        <f>IFERROR(INDEX(tbl_WIP[Defer Start],$A576),"")</f>
        <v/>
      </c>
      <c r="I576" s="64">
        <f>IFERROR(INDEX(tbl_WIP[Defer End],$A576),"")</f>
        <v/>
      </c>
      <c r="J576" s="63">
        <f>IF(OR($H576="",$I576="",$G576=""),"",MAX(1,(YEAR($I576)-YEAR($H576))*12+MONTH($I576)-MONTH($H576)+1))</f>
        <v/>
      </c>
      <c r="K576" s="66">
        <f>IF($J576="","",$G576/$J576)</f>
        <v/>
      </c>
      <c r="L576" s="66">
        <f>IF($J576="",0,$K576*MAX(0,MIN(YEAR($C$3)*12+MONTH($C$3),YEAR($I576)*12+MONTH($I576))-(YEAR($H576)*12+MONTH($H576))+1))</f>
        <v/>
      </c>
      <c r="M576" s="66">
        <f>IF($J576="",0,$K576*MAX(0,MIN(YEAR($C$3)*12+MONTH($C$3)-1,YEAR($I576)*12+MONTH($I576))-(YEAR($H576)*12+MONTH($H576))+1))</f>
        <v/>
      </c>
      <c r="N576" s="66">
        <f>IF(OR($J576="",$B576=""),0,IF(YEAR($B576)*12+MONTH($B576)&lt;=YEAR($C$3)*12+MONTH($C$3),$G576,0))</f>
        <v/>
      </c>
      <c r="O576" s="66">
        <f>IF(OR($J576="",$B576=""),0,IF(YEAR($B576)*12+MONTH($B576)&lt;=YEAR($C$3)*12+MONTH($C$3)-1,$G576,0))</f>
        <v/>
      </c>
      <c r="P576" s="66">
        <f>$M576-$O576</f>
        <v/>
      </c>
      <c r="Q576" s="66">
        <f>($L576-$M576)-($N576-$O576)</f>
        <v/>
      </c>
      <c r="R576" s="66">
        <f>$L576-$N576</f>
        <v/>
      </c>
      <c r="S576" s="65">
        <f>"WIP journal"</f>
        <v/>
      </c>
      <c r="T576" s="65">
        <f>IFERROR(INDEX(tbl_WIP[Revenue or Cost],$A576),"")</f>
        <v/>
      </c>
    </row>
    <row r="577">
      <c r="A577" s="63">
        <f>ROW()-407</f>
        <v/>
      </c>
      <c r="B577" s="64">
        <f>IFERROR(INDEX(tbl_WIP[Month],$A577),"")</f>
        <v/>
      </c>
      <c r="C577" s="65">
        <f>IFERROR(INDEX(tbl_WIP[Xero Invoice No],$A577),"")</f>
        <v/>
      </c>
      <c r="D577" s="65">
        <f>IFERROR(INDEX(tbl_WIP[Client],$A577),"")</f>
        <v/>
      </c>
      <c r="E577" s="65">
        <f>IFERROR(INDEX(tbl_WIP[Job Number],$A577),"")</f>
        <v/>
      </c>
      <c r="F577" s="65">
        <f>IFERROR(INDEX(tbl_WIP[Cost Centre],$A577),"")</f>
        <v/>
      </c>
      <c r="G577" s="66">
        <f>IFERROR(IF(INDEX(tbl_WIP[Defer Start],$A577)="","",IF(INDEX(tbl_WIP[Revenue or Cost],$A577)="Cost",-1,1)*INDEX(tbl_WIP[Amount],$A577)),"")</f>
        <v/>
      </c>
      <c r="H577" s="64">
        <f>IFERROR(INDEX(tbl_WIP[Defer Start],$A577),"")</f>
        <v/>
      </c>
      <c r="I577" s="64">
        <f>IFERROR(INDEX(tbl_WIP[Defer End],$A577),"")</f>
        <v/>
      </c>
      <c r="J577" s="63">
        <f>IF(OR($H577="",$I577="",$G577=""),"",MAX(1,(YEAR($I577)-YEAR($H577))*12+MONTH($I577)-MONTH($H577)+1))</f>
        <v/>
      </c>
      <c r="K577" s="66">
        <f>IF($J577="","",$G577/$J577)</f>
        <v/>
      </c>
      <c r="L577" s="66">
        <f>IF($J577="",0,$K577*MAX(0,MIN(YEAR($C$3)*12+MONTH($C$3),YEAR($I577)*12+MONTH($I577))-(YEAR($H577)*12+MONTH($H577))+1))</f>
        <v/>
      </c>
      <c r="M577" s="66">
        <f>IF($J577="",0,$K577*MAX(0,MIN(YEAR($C$3)*12+MONTH($C$3)-1,YEAR($I577)*12+MONTH($I577))-(YEAR($H577)*12+MONTH($H577))+1))</f>
        <v/>
      </c>
      <c r="N577" s="66">
        <f>IF(OR($J577="",$B577=""),0,IF(YEAR($B577)*12+MONTH($B577)&lt;=YEAR($C$3)*12+MONTH($C$3),$G577,0))</f>
        <v/>
      </c>
      <c r="O577" s="66">
        <f>IF(OR($J577="",$B577=""),0,IF(YEAR($B577)*12+MONTH($B577)&lt;=YEAR($C$3)*12+MONTH($C$3)-1,$G577,0))</f>
        <v/>
      </c>
      <c r="P577" s="66">
        <f>$M577-$O577</f>
        <v/>
      </c>
      <c r="Q577" s="66">
        <f>($L577-$M577)-($N577-$O577)</f>
        <v/>
      </c>
      <c r="R577" s="66">
        <f>$L577-$N577</f>
        <v/>
      </c>
      <c r="S577" s="65">
        <f>"WIP journal"</f>
        <v/>
      </c>
      <c r="T577" s="65">
        <f>IFERROR(INDEX(tbl_WIP[Revenue or Cost],$A577),"")</f>
        <v/>
      </c>
    </row>
    <row r="578">
      <c r="A578" s="63">
        <f>ROW()-407</f>
        <v/>
      </c>
      <c r="B578" s="64">
        <f>IFERROR(INDEX(tbl_WIP[Month],$A578),"")</f>
        <v/>
      </c>
      <c r="C578" s="65">
        <f>IFERROR(INDEX(tbl_WIP[Xero Invoice No],$A578),"")</f>
        <v/>
      </c>
      <c r="D578" s="65">
        <f>IFERROR(INDEX(tbl_WIP[Client],$A578),"")</f>
        <v/>
      </c>
      <c r="E578" s="65">
        <f>IFERROR(INDEX(tbl_WIP[Job Number],$A578),"")</f>
        <v/>
      </c>
      <c r="F578" s="65">
        <f>IFERROR(INDEX(tbl_WIP[Cost Centre],$A578),"")</f>
        <v/>
      </c>
      <c r="G578" s="66">
        <f>IFERROR(IF(INDEX(tbl_WIP[Defer Start],$A578)="","",IF(INDEX(tbl_WIP[Revenue or Cost],$A578)="Cost",-1,1)*INDEX(tbl_WIP[Amount],$A578)),"")</f>
        <v/>
      </c>
      <c r="H578" s="64">
        <f>IFERROR(INDEX(tbl_WIP[Defer Start],$A578),"")</f>
        <v/>
      </c>
      <c r="I578" s="64">
        <f>IFERROR(INDEX(tbl_WIP[Defer End],$A578),"")</f>
        <v/>
      </c>
      <c r="J578" s="63">
        <f>IF(OR($H578="",$I578="",$G578=""),"",MAX(1,(YEAR($I578)-YEAR($H578))*12+MONTH($I578)-MONTH($H578)+1))</f>
        <v/>
      </c>
      <c r="K578" s="66">
        <f>IF($J578="","",$G578/$J578)</f>
        <v/>
      </c>
      <c r="L578" s="66">
        <f>IF($J578="",0,$K578*MAX(0,MIN(YEAR($C$3)*12+MONTH($C$3),YEAR($I578)*12+MONTH($I578))-(YEAR($H578)*12+MONTH($H578))+1))</f>
        <v/>
      </c>
      <c r="M578" s="66">
        <f>IF($J578="",0,$K578*MAX(0,MIN(YEAR($C$3)*12+MONTH($C$3)-1,YEAR($I578)*12+MONTH($I578))-(YEAR($H578)*12+MONTH($H578))+1))</f>
        <v/>
      </c>
      <c r="N578" s="66">
        <f>IF(OR($J578="",$B578=""),0,IF(YEAR($B578)*12+MONTH($B578)&lt;=YEAR($C$3)*12+MONTH($C$3),$G578,0))</f>
        <v/>
      </c>
      <c r="O578" s="66">
        <f>IF(OR($J578="",$B578=""),0,IF(YEAR($B578)*12+MONTH($B578)&lt;=YEAR($C$3)*12+MONTH($C$3)-1,$G578,0))</f>
        <v/>
      </c>
      <c r="P578" s="66">
        <f>$M578-$O578</f>
        <v/>
      </c>
      <c r="Q578" s="66">
        <f>($L578-$M578)-($N578-$O578)</f>
        <v/>
      </c>
      <c r="R578" s="66">
        <f>$L578-$N578</f>
        <v/>
      </c>
      <c r="S578" s="65">
        <f>"WIP journal"</f>
        <v/>
      </c>
      <c r="T578" s="65">
        <f>IFERROR(INDEX(tbl_WIP[Revenue or Cost],$A578),"")</f>
        <v/>
      </c>
    </row>
    <row r="579">
      <c r="A579" s="63">
        <f>ROW()-407</f>
        <v/>
      </c>
      <c r="B579" s="64">
        <f>IFERROR(INDEX(tbl_WIP[Month],$A579),"")</f>
        <v/>
      </c>
      <c r="C579" s="65">
        <f>IFERROR(INDEX(tbl_WIP[Xero Invoice No],$A579),"")</f>
        <v/>
      </c>
      <c r="D579" s="65">
        <f>IFERROR(INDEX(tbl_WIP[Client],$A579),"")</f>
        <v/>
      </c>
      <c r="E579" s="65">
        <f>IFERROR(INDEX(tbl_WIP[Job Number],$A579),"")</f>
        <v/>
      </c>
      <c r="F579" s="65">
        <f>IFERROR(INDEX(tbl_WIP[Cost Centre],$A579),"")</f>
        <v/>
      </c>
      <c r="G579" s="66">
        <f>IFERROR(IF(INDEX(tbl_WIP[Defer Start],$A579)="","",IF(INDEX(tbl_WIP[Revenue or Cost],$A579)="Cost",-1,1)*INDEX(tbl_WIP[Amount],$A579)),"")</f>
        <v/>
      </c>
      <c r="H579" s="64">
        <f>IFERROR(INDEX(tbl_WIP[Defer Start],$A579),"")</f>
        <v/>
      </c>
      <c r="I579" s="64">
        <f>IFERROR(INDEX(tbl_WIP[Defer End],$A579),"")</f>
        <v/>
      </c>
      <c r="J579" s="63">
        <f>IF(OR($H579="",$I579="",$G579=""),"",MAX(1,(YEAR($I579)-YEAR($H579))*12+MONTH($I579)-MONTH($H579)+1))</f>
        <v/>
      </c>
      <c r="K579" s="66">
        <f>IF($J579="","",$G579/$J579)</f>
        <v/>
      </c>
      <c r="L579" s="66">
        <f>IF($J579="",0,$K579*MAX(0,MIN(YEAR($C$3)*12+MONTH($C$3),YEAR($I579)*12+MONTH($I579))-(YEAR($H579)*12+MONTH($H579))+1))</f>
        <v/>
      </c>
      <c r="M579" s="66">
        <f>IF($J579="",0,$K579*MAX(0,MIN(YEAR($C$3)*12+MONTH($C$3)-1,YEAR($I579)*12+MONTH($I579))-(YEAR($H579)*12+MONTH($H579))+1))</f>
        <v/>
      </c>
      <c r="N579" s="66">
        <f>IF(OR($J579="",$B579=""),0,IF(YEAR($B579)*12+MONTH($B579)&lt;=YEAR($C$3)*12+MONTH($C$3),$G579,0))</f>
        <v/>
      </c>
      <c r="O579" s="66">
        <f>IF(OR($J579="",$B579=""),0,IF(YEAR($B579)*12+MONTH($B579)&lt;=YEAR($C$3)*12+MONTH($C$3)-1,$G579,0))</f>
        <v/>
      </c>
      <c r="P579" s="66">
        <f>$M579-$O579</f>
        <v/>
      </c>
      <c r="Q579" s="66">
        <f>($L579-$M579)-($N579-$O579)</f>
        <v/>
      </c>
      <c r="R579" s="66">
        <f>$L579-$N579</f>
        <v/>
      </c>
      <c r="S579" s="65">
        <f>"WIP journal"</f>
        <v/>
      </c>
      <c r="T579" s="65">
        <f>IFERROR(INDEX(tbl_WIP[Revenue or Cost],$A579),"")</f>
        <v/>
      </c>
    </row>
    <row r="580">
      <c r="A580" s="63">
        <f>ROW()-407</f>
        <v/>
      </c>
      <c r="B580" s="64">
        <f>IFERROR(INDEX(tbl_WIP[Month],$A580),"")</f>
        <v/>
      </c>
      <c r="C580" s="65">
        <f>IFERROR(INDEX(tbl_WIP[Xero Invoice No],$A580),"")</f>
        <v/>
      </c>
      <c r="D580" s="65">
        <f>IFERROR(INDEX(tbl_WIP[Client],$A580),"")</f>
        <v/>
      </c>
      <c r="E580" s="65">
        <f>IFERROR(INDEX(tbl_WIP[Job Number],$A580),"")</f>
        <v/>
      </c>
      <c r="F580" s="65">
        <f>IFERROR(INDEX(tbl_WIP[Cost Centre],$A580),"")</f>
        <v/>
      </c>
      <c r="G580" s="66">
        <f>IFERROR(IF(INDEX(tbl_WIP[Defer Start],$A580)="","",IF(INDEX(tbl_WIP[Revenue or Cost],$A580)="Cost",-1,1)*INDEX(tbl_WIP[Amount],$A580)),"")</f>
        <v/>
      </c>
      <c r="H580" s="64">
        <f>IFERROR(INDEX(tbl_WIP[Defer Start],$A580),"")</f>
        <v/>
      </c>
      <c r="I580" s="64">
        <f>IFERROR(INDEX(tbl_WIP[Defer End],$A580),"")</f>
        <v/>
      </c>
      <c r="J580" s="63">
        <f>IF(OR($H580="",$I580="",$G580=""),"",MAX(1,(YEAR($I580)-YEAR($H580))*12+MONTH($I580)-MONTH($H580)+1))</f>
        <v/>
      </c>
      <c r="K580" s="66">
        <f>IF($J580="","",$G580/$J580)</f>
        <v/>
      </c>
      <c r="L580" s="66">
        <f>IF($J580="",0,$K580*MAX(0,MIN(YEAR($C$3)*12+MONTH($C$3),YEAR($I580)*12+MONTH($I580))-(YEAR($H580)*12+MONTH($H580))+1))</f>
        <v/>
      </c>
      <c r="M580" s="66">
        <f>IF($J580="",0,$K580*MAX(0,MIN(YEAR($C$3)*12+MONTH($C$3)-1,YEAR($I580)*12+MONTH($I580))-(YEAR($H580)*12+MONTH($H580))+1))</f>
        <v/>
      </c>
      <c r="N580" s="66">
        <f>IF(OR($J580="",$B580=""),0,IF(YEAR($B580)*12+MONTH($B580)&lt;=YEAR($C$3)*12+MONTH($C$3),$G580,0))</f>
        <v/>
      </c>
      <c r="O580" s="66">
        <f>IF(OR($J580="",$B580=""),0,IF(YEAR($B580)*12+MONTH($B580)&lt;=YEAR($C$3)*12+MONTH($C$3)-1,$G580,0))</f>
        <v/>
      </c>
      <c r="P580" s="66">
        <f>$M580-$O580</f>
        <v/>
      </c>
      <c r="Q580" s="66">
        <f>($L580-$M580)-($N580-$O580)</f>
        <v/>
      </c>
      <c r="R580" s="66">
        <f>$L580-$N580</f>
        <v/>
      </c>
      <c r="S580" s="65">
        <f>"WIP journal"</f>
        <v/>
      </c>
      <c r="T580" s="65">
        <f>IFERROR(INDEX(tbl_WIP[Revenue or Cost],$A580),"")</f>
        <v/>
      </c>
    </row>
    <row r="581">
      <c r="A581" s="63">
        <f>ROW()-407</f>
        <v/>
      </c>
      <c r="B581" s="64">
        <f>IFERROR(INDEX(tbl_WIP[Month],$A581),"")</f>
        <v/>
      </c>
      <c r="C581" s="65">
        <f>IFERROR(INDEX(tbl_WIP[Xero Invoice No],$A581),"")</f>
        <v/>
      </c>
      <c r="D581" s="65">
        <f>IFERROR(INDEX(tbl_WIP[Client],$A581),"")</f>
        <v/>
      </c>
      <c r="E581" s="65">
        <f>IFERROR(INDEX(tbl_WIP[Job Number],$A581),"")</f>
        <v/>
      </c>
      <c r="F581" s="65">
        <f>IFERROR(INDEX(tbl_WIP[Cost Centre],$A581),"")</f>
        <v/>
      </c>
      <c r="G581" s="66">
        <f>IFERROR(IF(INDEX(tbl_WIP[Defer Start],$A581)="","",IF(INDEX(tbl_WIP[Revenue or Cost],$A581)="Cost",-1,1)*INDEX(tbl_WIP[Amount],$A581)),"")</f>
        <v/>
      </c>
      <c r="H581" s="64">
        <f>IFERROR(INDEX(tbl_WIP[Defer Start],$A581),"")</f>
        <v/>
      </c>
      <c r="I581" s="64">
        <f>IFERROR(INDEX(tbl_WIP[Defer End],$A581),"")</f>
        <v/>
      </c>
      <c r="J581" s="63">
        <f>IF(OR($H581="",$I581="",$G581=""),"",MAX(1,(YEAR($I581)-YEAR($H581))*12+MONTH($I581)-MONTH($H581)+1))</f>
        <v/>
      </c>
      <c r="K581" s="66">
        <f>IF($J581="","",$G581/$J581)</f>
        <v/>
      </c>
      <c r="L581" s="66">
        <f>IF($J581="",0,$K581*MAX(0,MIN(YEAR($C$3)*12+MONTH($C$3),YEAR($I581)*12+MONTH($I581))-(YEAR($H581)*12+MONTH($H581))+1))</f>
        <v/>
      </c>
      <c r="M581" s="66">
        <f>IF($J581="",0,$K581*MAX(0,MIN(YEAR($C$3)*12+MONTH($C$3)-1,YEAR($I581)*12+MONTH($I581))-(YEAR($H581)*12+MONTH($H581))+1))</f>
        <v/>
      </c>
      <c r="N581" s="66">
        <f>IF(OR($J581="",$B581=""),0,IF(YEAR($B581)*12+MONTH($B581)&lt;=YEAR($C$3)*12+MONTH($C$3),$G581,0))</f>
        <v/>
      </c>
      <c r="O581" s="66">
        <f>IF(OR($J581="",$B581=""),0,IF(YEAR($B581)*12+MONTH($B581)&lt;=YEAR($C$3)*12+MONTH($C$3)-1,$G581,0))</f>
        <v/>
      </c>
      <c r="P581" s="66">
        <f>$M581-$O581</f>
        <v/>
      </c>
      <c r="Q581" s="66">
        <f>($L581-$M581)-($N581-$O581)</f>
        <v/>
      </c>
      <c r="R581" s="66">
        <f>$L581-$N581</f>
        <v/>
      </c>
      <c r="S581" s="65">
        <f>"WIP journal"</f>
        <v/>
      </c>
      <c r="T581" s="65">
        <f>IFERROR(INDEX(tbl_WIP[Revenue or Cost],$A581),"")</f>
        <v/>
      </c>
    </row>
    <row r="582">
      <c r="A582" s="63">
        <f>ROW()-407</f>
        <v/>
      </c>
      <c r="B582" s="64">
        <f>IFERROR(INDEX(tbl_WIP[Month],$A582),"")</f>
        <v/>
      </c>
      <c r="C582" s="65">
        <f>IFERROR(INDEX(tbl_WIP[Xero Invoice No],$A582),"")</f>
        <v/>
      </c>
      <c r="D582" s="65">
        <f>IFERROR(INDEX(tbl_WIP[Client],$A582),"")</f>
        <v/>
      </c>
      <c r="E582" s="65">
        <f>IFERROR(INDEX(tbl_WIP[Job Number],$A582),"")</f>
        <v/>
      </c>
      <c r="F582" s="65">
        <f>IFERROR(INDEX(tbl_WIP[Cost Centre],$A582),"")</f>
        <v/>
      </c>
      <c r="G582" s="66">
        <f>IFERROR(IF(INDEX(tbl_WIP[Defer Start],$A582)="","",IF(INDEX(tbl_WIP[Revenue or Cost],$A582)="Cost",-1,1)*INDEX(tbl_WIP[Amount],$A582)),"")</f>
        <v/>
      </c>
      <c r="H582" s="64">
        <f>IFERROR(INDEX(tbl_WIP[Defer Start],$A582),"")</f>
        <v/>
      </c>
      <c r="I582" s="64">
        <f>IFERROR(INDEX(tbl_WIP[Defer End],$A582),"")</f>
        <v/>
      </c>
      <c r="J582" s="63">
        <f>IF(OR($H582="",$I582="",$G582=""),"",MAX(1,(YEAR($I582)-YEAR($H582))*12+MONTH($I582)-MONTH($H582)+1))</f>
        <v/>
      </c>
      <c r="K582" s="66">
        <f>IF($J582="","",$G582/$J582)</f>
        <v/>
      </c>
      <c r="L582" s="66">
        <f>IF($J582="",0,$K582*MAX(0,MIN(YEAR($C$3)*12+MONTH($C$3),YEAR($I582)*12+MONTH($I582))-(YEAR($H582)*12+MONTH($H582))+1))</f>
        <v/>
      </c>
      <c r="M582" s="66">
        <f>IF($J582="",0,$K582*MAX(0,MIN(YEAR($C$3)*12+MONTH($C$3)-1,YEAR($I582)*12+MONTH($I582))-(YEAR($H582)*12+MONTH($H582))+1))</f>
        <v/>
      </c>
      <c r="N582" s="66">
        <f>IF(OR($J582="",$B582=""),0,IF(YEAR($B582)*12+MONTH($B582)&lt;=YEAR($C$3)*12+MONTH($C$3),$G582,0))</f>
        <v/>
      </c>
      <c r="O582" s="66">
        <f>IF(OR($J582="",$B582=""),0,IF(YEAR($B582)*12+MONTH($B582)&lt;=YEAR($C$3)*12+MONTH($C$3)-1,$G582,0))</f>
        <v/>
      </c>
      <c r="P582" s="66">
        <f>$M582-$O582</f>
        <v/>
      </c>
      <c r="Q582" s="66">
        <f>($L582-$M582)-($N582-$O582)</f>
        <v/>
      </c>
      <c r="R582" s="66">
        <f>$L582-$N582</f>
        <v/>
      </c>
      <c r="S582" s="65">
        <f>"WIP journal"</f>
        <v/>
      </c>
      <c r="T582" s="65">
        <f>IFERROR(INDEX(tbl_WIP[Revenue or Cost],$A582),"")</f>
        <v/>
      </c>
    </row>
    <row r="583">
      <c r="A583" s="63">
        <f>ROW()-407</f>
        <v/>
      </c>
      <c r="B583" s="64">
        <f>IFERROR(INDEX(tbl_WIP[Month],$A583),"")</f>
        <v/>
      </c>
      <c r="C583" s="65">
        <f>IFERROR(INDEX(tbl_WIP[Xero Invoice No],$A583),"")</f>
        <v/>
      </c>
      <c r="D583" s="65">
        <f>IFERROR(INDEX(tbl_WIP[Client],$A583),"")</f>
        <v/>
      </c>
      <c r="E583" s="65">
        <f>IFERROR(INDEX(tbl_WIP[Job Number],$A583),"")</f>
        <v/>
      </c>
      <c r="F583" s="65">
        <f>IFERROR(INDEX(tbl_WIP[Cost Centre],$A583),"")</f>
        <v/>
      </c>
      <c r="G583" s="66">
        <f>IFERROR(IF(INDEX(tbl_WIP[Defer Start],$A583)="","",IF(INDEX(tbl_WIP[Revenue or Cost],$A583)="Cost",-1,1)*INDEX(tbl_WIP[Amount],$A583)),"")</f>
        <v/>
      </c>
      <c r="H583" s="64">
        <f>IFERROR(INDEX(tbl_WIP[Defer Start],$A583),"")</f>
        <v/>
      </c>
      <c r="I583" s="64">
        <f>IFERROR(INDEX(tbl_WIP[Defer End],$A583),"")</f>
        <v/>
      </c>
      <c r="J583" s="63">
        <f>IF(OR($H583="",$I583="",$G583=""),"",MAX(1,(YEAR($I583)-YEAR($H583))*12+MONTH($I583)-MONTH($H583)+1))</f>
        <v/>
      </c>
      <c r="K583" s="66">
        <f>IF($J583="","",$G583/$J583)</f>
        <v/>
      </c>
      <c r="L583" s="66">
        <f>IF($J583="",0,$K583*MAX(0,MIN(YEAR($C$3)*12+MONTH($C$3),YEAR($I583)*12+MONTH($I583))-(YEAR($H583)*12+MONTH($H583))+1))</f>
        <v/>
      </c>
      <c r="M583" s="66">
        <f>IF($J583="",0,$K583*MAX(0,MIN(YEAR($C$3)*12+MONTH($C$3)-1,YEAR($I583)*12+MONTH($I583))-(YEAR($H583)*12+MONTH($H583))+1))</f>
        <v/>
      </c>
      <c r="N583" s="66">
        <f>IF(OR($J583="",$B583=""),0,IF(YEAR($B583)*12+MONTH($B583)&lt;=YEAR($C$3)*12+MONTH($C$3),$G583,0))</f>
        <v/>
      </c>
      <c r="O583" s="66">
        <f>IF(OR($J583="",$B583=""),0,IF(YEAR($B583)*12+MONTH($B583)&lt;=YEAR($C$3)*12+MONTH($C$3)-1,$G583,0))</f>
        <v/>
      </c>
      <c r="P583" s="66">
        <f>$M583-$O583</f>
        <v/>
      </c>
      <c r="Q583" s="66">
        <f>($L583-$M583)-($N583-$O583)</f>
        <v/>
      </c>
      <c r="R583" s="66">
        <f>$L583-$N583</f>
        <v/>
      </c>
      <c r="S583" s="65">
        <f>"WIP journal"</f>
        <v/>
      </c>
      <c r="T583" s="65">
        <f>IFERROR(INDEX(tbl_WIP[Revenue or Cost],$A583),"")</f>
        <v/>
      </c>
    </row>
    <row r="584">
      <c r="A584" s="63">
        <f>ROW()-407</f>
        <v/>
      </c>
      <c r="B584" s="64">
        <f>IFERROR(INDEX(tbl_WIP[Month],$A584),"")</f>
        <v/>
      </c>
      <c r="C584" s="65">
        <f>IFERROR(INDEX(tbl_WIP[Xero Invoice No],$A584),"")</f>
        <v/>
      </c>
      <c r="D584" s="65">
        <f>IFERROR(INDEX(tbl_WIP[Client],$A584),"")</f>
        <v/>
      </c>
      <c r="E584" s="65">
        <f>IFERROR(INDEX(tbl_WIP[Job Number],$A584),"")</f>
        <v/>
      </c>
      <c r="F584" s="65">
        <f>IFERROR(INDEX(tbl_WIP[Cost Centre],$A584),"")</f>
        <v/>
      </c>
      <c r="G584" s="66">
        <f>IFERROR(IF(INDEX(tbl_WIP[Defer Start],$A584)="","",IF(INDEX(tbl_WIP[Revenue or Cost],$A584)="Cost",-1,1)*INDEX(tbl_WIP[Amount],$A584)),"")</f>
        <v/>
      </c>
      <c r="H584" s="64">
        <f>IFERROR(INDEX(tbl_WIP[Defer Start],$A584),"")</f>
        <v/>
      </c>
      <c r="I584" s="64">
        <f>IFERROR(INDEX(tbl_WIP[Defer End],$A584),"")</f>
        <v/>
      </c>
      <c r="J584" s="63">
        <f>IF(OR($H584="",$I584="",$G584=""),"",MAX(1,(YEAR($I584)-YEAR($H584))*12+MONTH($I584)-MONTH($H584)+1))</f>
        <v/>
      </c>
      <c r="K584" s="66">
        <f>IF($J584="","",$G584/$J584)</f>
        <v/>
      </c>
      <c r="L584" s="66">
        <f>IF($J584="",0,$K584*MAX(0,MIN(YEAR($C$3)*12+MONTH($C$3),YEAR($I584)*12+MONTH($I584))-(YEAR($H584)*12+MONTH($H584))+1))</f>
        <v/>
      </c>
      <c r="M584" s="66">
        <f>IF($J584="",0,$K584*MAX(0,MIN(YEAR($C$3)*12+MONTH($C$3)-1,YEAR($I584)*12+MONTH($I584))-(YEAR($H584)*12+MONTH($H584))+1))</f>
        <v/>
      </c>
      <c r="N584" s="66">
        <f>IF(OR($J584="",$B584=""),0,IF(YEAR($B584)*12+MONTH($B584)&lt;=YEAR($C$3)*12+MONTH($C$3),$G584,0))</f>
        <v/>
      </c>
      <c r="O584" s="66">
        <f>IF(OR($J584="",$B584=""),0,IF(YEAR($B584)*12+MONTH($B584)&lt;=YEAR($C$3)*12+MONTH($C$3)-1,$G584,0))</f>
        <v/>
      </c>
      <c r="P584" s="66">
        <f>$M584-$O584</f>
        <v/>
      </c>
      <c r="Q584" s="66">
        <f>($L584-$M584)-($N584-$O584)</f>
        <v/>
      </c>
      <c r="R584" s="66">
        <f>$L584-$N584</f>
        <v/>
      </c>
      <c r="S584" s="65">
        <f>"WIP journal"</f>
        <v/>
      </c>
      <c r="T584" s="65">
        <f>IFERROR(INDEX(tbl_WIP[Revenue or Cost],$A584),"")</f>
        <v/>
      </c>
    </row>
    <row r="585">
      <c r="A585" s="63">
        <f>ROW()-407</f>
        <v/>
      </c>
      <c r="B585" s="64">
        <f>IFERROR(INDEX(tbl_WIP[Month],$A585),"")</f>
        <v/>
      </c>
      <c r="C585" s="65">
        <f>IFERROR(INDEX(tbl_WIP[Xero Invoice No],$A585),"")</f>
        <v/>
      </c>
      <c r="D585" s="65">
        <f>IFERROR(INDEX(tbl_WIP[Client],$A585),"")</f>
        <v/>
      </c>
      <c r="E585" s="65">
        <f>IFERROR(INDEX(tbl_WIP[Job Number],$A585),"")</f>
        <v/>
      </c>
      <c r="F585" s="65">
        <f>IFERROR(INDEX(tbl_WIP[Cost Centre],$A585),"")</f>
        <v/>
      </c>
      <c r="G585" s="66">
        <f>IFERROR(IF(INDEX(tbl_WIP[Defer Start],$A585)="","",IF(INDEX(tbl_WIP[Revenue or Cost],$A585)="Cost",-1,1)*INDEX(tbl_WIP[Amount],$A585)),"")</f>
        <v/>
      </c>
      <c r="H585" s="64">
        <f>IFERROR(INDEX(tbl_WIP[Defer Start],$A585),"")</f>
        <v/>
      </c>
      <c r="I585" s="64">
        <f>IFERROR(INDEX(tbl_WIP[Defer End],$A585),"")</f>
        <v/>
      </c>
      <c r="J585" s="63">
        <f>IF(OR($H585="",$I585="",$G585=""),"",MAX(1,(YEAR($I585)-YEAR($H585))*12+MONTH($I585)-MONTH($H585)+1))</f>
        <v/>
      </c>
      <c r="K585" s="66">
        <f>IF($J585="","",$G585/$J585)</f>
        <v/>
      </c>
      <c r="L585" s="66">
        <f>IF($J585="",0,$K585*MAX(0,MIN(YEAR($C$3)*12+MONTH($C$3),YEAR($I585)*12+MONTH($I585))-(YEAR($H585)*12+MONTH($H585))+1))</f>
        <v/>
      </c>
      <c r="M585" s="66">
        <f>IF($J585="",0,$K585*MAX(0,MIN(YEAR($C$3)*12+MONTH($C$3)-1,YEAR($I585)*12+MONTH($I585))-(YEAR($H585)*12+MONTH($H585))+1))</f>
        <v/>
      </c>
      <c r="N585" s="66">
        <f>IF(OR($J585="",$B585=""),0,IF(YEAR($B585)*12+MONTH($B585)&lt;=YEAR($C$3)*12+MONTH($C$3),$G585,0))</f>
        <v/>
      </c>
      <c r="O585" s="66">
        <f>IF(OR($J585="",$B585=""),0,IF(YEAR($B585)*12+MONTH($B585)&lt;=YEAR($C$3)*12+MONTH($C$3)-1,$G585,0))</f>
        <v/>
      </c>
      <c r="P585" s="66">
        <f>$M585-$O585</f>
        <v/>
      </c>
      <c r="Q585" s="66">
        <f>($L585-$M585)-($N585-$O585)</f>
        <v/>
      </c>
      <c r="R585" s="66">
        <f>$L585-$N585</f>
        <v/>
      </c>
      <c r="S585" s="65">
        <f>"WIP journal"</f>
        <v/>
      </c>
      <c r="T585" s="65">
        <f>IFERROR(INDEX(tbl_WIP[Revenue or Cost],$A585),"")</f>
        <v/>
      </c>
    </row>
    <row r="586">
      <c r="A586" s="63">
        <f>ROW()-407</f>
        <v/>
      </c>
      <c r="B586" s="64">
        <f>IFERROR(INDEX(tbl_WIP[Month],$A586),"")</f>
        <v/>
      </c>
      <c r="C586" s="65">
        <f>IFERROR(INDEX(tbl_WIP[Xero Invoice No],$A586),"")</f>
        <v/>
      </c>
      <c r="D586" s="65">
        <f>IFERROR(INDEX(tbl_WIP[Client],$A586),"")</f>
        <v/>
      </c>
      <c r="E586" s="65">
        <f>IFERROR(INDEX(tbl_WIP[Job Number],$A586),"")</f>
        <v/>
      </c>
      <c r="F586" s="65">
        <f>IFERROR(INDEX(tbl_WIP[Cost Centre],$A586),"")</f>
        <v/>
      </c>
      <c r="G586" s="66">
        <f>IFERROR(IF(INDEX(tbl_WIP[Defer Start],$A586)="","",IF(INDEX(tbl_WIP[Revenue or Cost],$A586)="Cost",-1,1)*INDEX(tbl_WIP[Amount],$A586)),"")</f>
        <v/>
      </c>
      <c r="H586" s="64">
        <f>IFERROR(INDEX(tbl_WIP[Defer Start],$A586),"")</f>
        <v/>
      </c>
      <c r="I586" s="64">
        <f>IFERROR(INDEX(tbl_WIP[Defer End],$A586),"")</f>
        <v/>
      </c>
      <c r="J586" s="63">
        <f>IF(OR($H586="",$I586="",$G586=""),"",MAX(1,(YEAR($I586)-YEAR($H586))*12+MONTH($I586)-MONTH($H586)+1))</f>
        <v/>
      </c>
      <c r="K586" s="66">
        <f>IF($J586="","",$G586/$J586)</f>
        <v/>
      </c>
      <c r="L586" s="66">
        <f>IF($J586="",0,$K586*MAX(0,MIN(YEAR($C$3)*12+MONTH($C$3),YEAR($I586)*12+MONTH($I586))-(YEAR($H586)*12+MONTH($H586))+1))</f>
        <v/>
      </c>
      <c r="M586" s="66">
        <f>IF($J586="",0,$K586*MAX(0,MIN(YEAR($C$3)*12+MONTH($C$3)-1,YEAR($I586)*12+MONTH($I586))-(YEAR($H586)*12+MONTH($H586))+1))</f>
        <v/>
      </c>
      <c r="N586" s="66">
        <f>IF(OR($J586="",$B586=""),0,IF(YEAR($B586)*12+MONTH($B586)&lt;=YEAR($C$3)*12+MONTH($C$3),$G586,0))</f>
        <v/>
      </c>
      <c r="O586" s="66">
        <f>IF(OR($J586="",$B586=""),0,IF(YEAR($B586)*12+MONTH($B586)&lt;=YEAR($C$3)*12+MONTH($C$3)-1,$G586,0))</f>
        <v/>
      </c>
      <c r="P586" s="66">
        <f>$M586-$O586</f>
        <v/>
      </c>
      <c r="Q586" s="66">
        <f>($L586-$M586)-($N586-$O586)</f>
        <v/>
      </c>
      <c r="R586" s="66">
        <f>$L586-$N586</f>
        <v/>
      </c>
      <c r="S586" s="65">
        <f>"WIP journal"</f>
        <v/>
      </c>
      <c r="T586" s="65">
        <f>IFERROR(INDEX(tbl_WIP[Revenue or Cost],$A586),"")</f>
        <v/>
      </c>
    </row>
    <row r="587">
      <c r="A587" s="63">
        <f>ROW()-407</f>
        <v/>
      </c>
      <c r="B587" s="64">
        <f>IFERROR(INDEX(tbl_WIP[Month],$A587),"")</f>
        <v/>
      </c>
      <c r="C587" s="65">
        <f>IFERROR(INDEX(tbl_WIP[Xero Invoice No],$A587),"")</f>
        <v/>
      </c>
      <c r="D587" s="65">
        <f>IFERROR(INDEX(tbl_WIP[Client],$A587),"")</f>
        <v/>
      </c>
      <c r="E587" s="65">
        <f>IFERROR(INDEX(tbl_WIP[Job Number],$A587),"")</f>
        <v/>
      </c>
      <c r="F587" s="65">
        <f>IFERROR(INDEX(tbl_WIP[Cost Centre],$A587),"")</f>
        <v/>
      </c>
      <c r="G587" s="66">
        <f>IFERROR(IF(INDEX(tbl_WIP[Defer Start],$A587)="","",IF(INDEX(tbl_WIP[Revenue or Cost],$A587)="Cost",-1,1)*INDEX(tbl_WIP[Amount],$A587)),"")</f>
        <v/>
      </c>
      <c r="H587" s="64">
        <f>IFERROR(INDEX(tbl_WIP[Defer Start],$A587),"")</f>
        <v/>
      </c>
      <c r="I587" s="64">
        <f>IFERROR(INDEX(tbl_WIP[Defer End],$A587),"")</f>
        <v/>
      </c>
      <c r="J587" s="63">
        <f>IF(OR($H587="",$I587="",$G587=""),"",MAX(1,(YEAR($I587)-YEAR($H587))*12+MONTH($I587)-MONTH($H587)+1))</f>
        <v/>
      </c>
      <c r="K587" s="66">
        <f>IF($J587="","",$G587/$J587)</f>
        <v/>
      </c>
      <c r="L587" s="66">
        <f>IF($J587="",0,$K587*MAX(0,MIN(YEAR($C$3)*12+MONTH($C$3),YEAR($I587)*12+MONTH($I587))-(YEAR($H587)*12+MONTH($H587))+1))</f>
        <v/>
      </c>
      <c r="M587" s="66">
        <f>IF($J587="",0,$K587*MAX(0,MIN(YEAR($C$3)*12+MONTH($C$3)-1,YEAR($I587)*12+MONTH($I587))-(YEAR($H587)*12+MONTH($H587))+1))</f>
        <v/>
      </c>
      <c r="N587" s="66">
        <f>IF(OR($J587="",$B587=""),0,IF(YEAR($B587)*12+MONTH($B587)&lt;=YEAR($C$3)*12+MONTH($C$3),$G587,0))</f>
        <v/>
      </c>
      <c r="O587" s="66">
        <f>IF(OR($J587="",$B587=""),0,IF(YEAR($B587)*12+MONTH($B587)&lt;=YEAR($C$3)*12+MONTH($C$3)-1,$G587,0))</f>
        <v/>
      </c>
      <c r="P587" s="66">
        <f>$M587-$O587</f>
        <v/>
      </c>
      <c r="Q587" s="66">
        <f>($L587-$M587)-($N587-$O587)</f>
        <v/>
      </c>
      <c r="R587" s="66">
        <f>$L587-$N587</f>
        <v/>
      </c>
      <c r="S587" s="65">
        <f>"WIP journal"</f>
        <v/>
      </c>
      <c r="T587" s="65">
        <f>IFERROR(INDEX(tbl_WIP[Revenue or Cost],$A587),"")</f>
        <v/>
      </c>
    </row>
    <row r="588">
      <c r="A588" s="63">
        <f>ROW()-407</f>
        <v/>
      </c>
      <c r="B588" s="64">
        <f>IFERROR(INDEX(tbl_WIP[Month],$A588),"")</f>
        <v/>
      </c>
      <c r="C588" s="65">
        <f>IFERROR(INDEX(tbl_WIP[Xero Invoice No],$A588),"")</f>
        <v/>
      </c>
      <c r="D588" s="65">
        <f>IFERROR(INDEX(tbl_WIP[Client],$A588),"")</f>
        <v/>
      </c>
      <c r="E588" s="65">
        <f>IFERROR(INDEX(tbl_WIP[Job Number],$A588),"")</f>
        <v/>
      </c>
      <c r="F588" s="65">
        <f>IFERROR(INDEX(tbl_WIP[Cost Centre],$A588),"")</f>
        <v/>
      </c>
      <c r="G588" s="66">
        <f>IFERROR(IF(INDEX(tbl_WIP[Defer Start],$A588)="","",IF(INDEX(tbl_WIP[Revenue or Cost],$A588)="Cost",-1,1)*INDEX(tbl_WIP[Amount],$A588)),"")</f>
        <v/>
      </c>
      <c r="H588" s="64">
        <f>IFERROR(INDEX(tbl_WIP[Defer Start],$A588),"")</f>
        <v/>
      </c>
      <c r="I588" s="64">
        <f>IFERROR(INDEX(tbl_WIP[Defer End],$A588),"")</f>
        <v/>
      </c>
      <c r="J588" s="63">
        <f>IF(OR($H588="",$I588="",$G588=""),"",MAX(1,(YEAR($I588)-YEAR($H588))*12+MONTH($I588)-MONTH($H588)+1))</f>
        <v/>
      </c>
      <c r="K588" s="66">
        <f>IF($J588="","",$G588/$J588)</f>
        <v/>
      </c>
      <c r="L588" s="66">
        <f>IF($J588="",0,$K588*MAX(0,MIN(YEAR($C$3)*12+MONTH($C$3),YEAR($I588)*12+MONTH($I588))-(YEAR($H588)*12+MONTH($H588))+1))</f>
        <v/>
      </c>
      <c r="M588" s="66">
        <f>IF($J588="",0,$K588*MAX(0,MIN(YEAR($C$3)*12+MONTH($C$3)-1,YEAR($I588)*12+MONTH($I588))-(YEAR($H588)*12+MONTH($H588))+1))</f>
        <v/>
      </c>
      <c r="N588" s="66">
        <f>IF(OR($J588="",$B588=""),0,IF(YEAR($B588)*12+MONTH($B588)&lt;=YEAR($C$3)*12+MONTH($C$3),$G588,0))</f>
        <v/>
      </c>
      <c r="O588" s="66">
        <f>IF(OR($J588="",$B588=""),0,IF(YEAR($B588)*12+MONTH($B588)&lt;=YEAR($C$3)*12+MONTH($C$3)-1,$G588,0))</f>
        <v/>
      </c>
      <c r="P588" s="66">
        <f>$M588-$O588</f>
        <v/>
      </c>
      <c r="Q588" s="66">
        <f>($L588-$M588)-($N588-$O588)</f>
        <v/>
      </c>
      <c r="R588" s="66">
        <f>$L588-$N588</f>
        <v/>
      </c>
      <c r="S588" s="65">
        <f>"WIP journal"</f>
        <v/>
      </c>
      <c r="T588" s="65">
        <f>IFERROR(INDEX(tbl_WIP[Revenue or Cost],$A588),"")</f>
        <v/>
      </c>
    </row>
    <row r="589">
      <c r="A589" s="63">
        <f>ROW()-407</f>
        <v/>
      </c>
      <c r="B589" s="64">
        <f>IFERROR(INDEX(tbl_WIP[Month],$A589),"")</f>
        <v/>
      </c>
      <c r="C589" s="65">
        <f>IFERROR(INDEX(tbl_WIP[Xero Invoice No],$A589),"")</f>
        <v/>
      </c>
      <c r="D589" s="65">
        <f>IFERROR(INDEX(tbl_WIP[Client],$A589),"")</f>
        <v/>
      </c>
      <c r="E589" s="65">
        <f>IFERROR(INDEX(tbl_WIP[Job Number],$A589),"")</f>
        <v/>
      </c>
      <c r="F589" s="65">
        <f>IFERROR(INDEX(tbl_WIP[Cost Centre],$A589),"")</f>
        <v/>
      </c>
      <c r="G589" s="66">
        <f>IFERROR(IF(INDEX(tbl_WIP[Defer Start],$A589)="","",IF(INDEX(tbl_WIP[Revenue or Cost],$A589)="Cost",-1,1)*INDEX(tbl_WIP[Amount],$A589)),"")</f>
        <v/>
      </c>
      <c r="H589" s="64">
        <f>IFERROR(INDEX(tbl_WIP[Defer Start],$A589),"")</f>
        <v/>
      </c>
      <c r="I589" s="64">
        <f>IFERROR(INDEX(tbl_WIP[Defer End],$A589),"")</f>
        <v/>
      </c>
      <c r="J589" s="63">
        <f>IF(OR($H589="",$I589="",$G589=""),"",MAX(1,(YEAR($I589)-YEAR($H589))*12+MONTH($I589)-MONTH($H589)+1))</f>
        <v/>
      </c>
      <c r="K589" s="66">
        <f>IF($J589="","",$G589/$J589)</f>
        <v/>
      </c>
      <c r="L589" s="66">
        <f>IF($J589="",0,$K589*MAX(0,MIN(YEAR($C$3)*12+MONTH($C$3),YEAR($I589)*12+MONTH($I589))-(YEAR($H589)*12+MONTH($H589))+1))</f>
        <v/>
      </c>
      <c r="M589" s="66">
        <f>IF($J589="",0,$K589*MAX(0,MIN(YEAR($C$3)*12+MONTH($C$3)-1,YEAR($I589)*12+MONTH($I589))-(YEAR($H589)*12+MONTH($H589))+1))</f>
        <v/>
      </c>
      <c r="N589" s="66">
        <f>IF(OR($J589="",$B589=""),0,IF(YEAR($B589)*12+MONTH($B589)&lt;=YEAR($C$3)*12+MONTH($C$3),$G589,0))</f>
        <v/>
      </c>
      <c r="O589" s="66">
        <f>IF(OR($J589="",$B589=""),0,IF(YEAR($B589)*12+MONTH($B589)&lt;=YEAR($C$3)*12+MONTH($C$3)-1,$G589,0))</f>
        <v/>
      </c>
      <c r="P589" s="66">
        <f>$M589-$O589</f>
        <v/>
      </c>
      <c r="Q589" s="66">
        <f>($L589-$M589)-($N589-$O589)</f>
        <v/>
      </c>
      <c r="R589" s="66">
        <f>$L589-$N589</f>
        <v/>
      </c>
      <c r="S589" s="65">
        <f>"WIP journal"</f>
        <v/>
      </c>
      <c r="T589" s="65">
        <f>IFERROR(INDEX(tbl_WIP[Revenue or Cost],$A589),"")</f>
        <v/>
      </c>
    </row>
    <row r="590">
      <c r="A590" s="63">
        <f>ROW()-407</f>
        <v/>
      </c>
      <c r="B590" s="64">
        <f>IFERROR(INDEX(tbl_WIP[Month],$A590),"")</f>
        <v/>
      </c>
      <c r="C590" s="65">
        <f>IFERROR(INDEX(tbl_WIP[Xero Invoice No],$A590),"")</f>
        <v/>
      </c>
      <c r="D590" s="65">
        <f>IFERROR(INDEX(tbl_WIP[Client],$A590),"")</f>
        <v/>
      </c>
      <c r="E590" s="65">
        <f>IFERROR(INDEX(tbl_WIP[Job Number],$A590),"")</f>
        <v/>
      </c>
      <c r="F590" s="65">
        <f>IFERROR(INDEX(tbl_WIP[Cost Centre],$A590),"")</f>
        <v/>
      </c>
      <c r="G590" s="66">
        <f>IFERROR(IF(INDEX(tbl_WIP[Defer Start],$A590)="","",IF(INDEX(tbl_WIP[Revenue or Cost],$A590)="Cost",-1,1)*INDEX(tbl_WIP[Amount],$A590)),"")</f>
        <v/>
      </c>
      <c r="H590" s="64">
        <f>IFERROR(INDEX(tbl_WIP[Defer Start],$A590),"")</f>
        <v/>
      </c>
      <c r="I590" s="64">
        <f>IFERROR(INDEX(tbl_WIP[Defer End],$A590),"")</f>
        <v/>
      </c>
      <c r="J590" s="63">
        <f>IF(OR($H590="",$I590="",$G590=""),"",MAX(1,(YEAR($I590)-YEAR($H590))*12+MONTH($I590)-MONTH($H590)+1))</f>
        <v/>
      </c>
      <c r="K590" s="66">
        <f>IF($J590="","",$G590/$J590)</f>
        <v/>
      </c>
      <c r="L590" s="66">
        <f>IF($J590="",0,$K590*MAX(0,MIN(YEAR($C$3)*12+MONTH($C$3),YEAR($I590)*12+MONTH($I590))-(YEAR($H590)*12+MONTH($H590))+1))</f>
        <v/>
      </c>
      <c r="M590" s="66">
        <f>IF($J590="",0,$K590*MAX(0,MIN(YEAR($C$3)*12+MONTH($C$3)-1,YEAR($I590)*12+MONTH($I590))-(YEAR($H590)*12+MONTH($H590))+1))</f>
        <v/>
      </c>
      <c r="N590" s="66">
        <f>IF(OR($J590="",$B590=""),0,IF(YEAR($B590)*12+MONTH($B590)&lt;=YEAR($C$3)*12+MONTH($C$3),$G590,0))</f>
        <v/>
      </c>
      <c r="O590" s="66">
        <f>IF(OR($J590="",$B590=""),0,IF(YEAR($B590)*12+MONTH($B590)&lt;=YEAR($C$3)*12+MONTH($C$3)-1,$G590,0))</f>
        <v/>
      </c>
      <c r="P590" s="66">
        <f>$M590-$O590</f>
        <v/>
      </c>
      <c r="Q590" s="66">
        <f>($L590-$M590)-($N590-$O590)</f>
        <v/>
      </c>
      <c r="R590" s="66">
        <f>$L590-$N590</f>
        <v/>
      </c>
      <c r="S590" s="65">
        <f>"WIP journal"</f>
        <v/>
      </c>
      <c r="T590" s="65">
        <f>IFERROR(INDEX(tbl_WIP[Revenue or Cost],$A590),"")</f>
        <v/>
      </c>
    </row>
    <row r="591">
      <c r="A591" s="63">
        <f>ROW()-407</f>
        <v/>
      </c>
      <c r="B591" s="64">
        <f>IFERROR(INDEX(tbl_WIP[Month],$A591),"")</f>
        <v/>
      </c>
      <c r="C591" s="65">
        <f>IFERROR(INDEX(tbl_WIP[Xero Invoice No],$A591),"")</f>
        <v/>
      </c>
      <c r="D591" s="65">
        <f>IFERROR(INDEX(tbl_WIP[Client],$A591),"")</f>
        <v/>
      </c>
      <c r="E591" s="65">
        <f>IFERROR(INDEX(tbl_WIP[Job Number],$A591),"")</f>
        <v/>
      </c>
      <c r="F591" s="65">
        <f>IFERROR(INDEX(tbl_WIP[Cost Centre],$A591),"")</f>
        <v/>
      </c>
      <c r="G591" s="66">
        <f>IFERROR(IF(INDEX(tbl_WIP[Defer Start],$A591)="","",IF(INDEX(tbl_WIP[Revenue or Cost],$A591)="Cost",-1,1)*INDEX(tbl_WIP[Amount],$A591)),"")</f>
        <v/>
      </c>
      <c r="H591" s="64">
        <f>IFERROR(INDEX(tbl_WIP[Defer Start],$A591),"")</f>
        <v/>
      </c>
      <c r="I591" s="64">
        <f>IFERROR(INDEX(tbl_WIP[Defer End],$A591),"")</f>
        <v/>
      </c>
      <c r="J591" s="63">
        <f>IF(OR($H591="",$I591="",$G591=""),"",MAX(1,(YEAR($I591)-YEAR($H591))*12+MONTH($I591)-MONTH($H591)+1))</f>
        <v/>
      </c>
      <c r="K591" s="66">
        <f>IF($J591="","",$G591/$J591)</f>
        <v/>
      </c>
      <c r="L591" s="66">
        <f>IF($J591="",0,$K591*MAX(0,MIN(YEAR($C$3)*12+MONTH($C$3),YEAR($I591)*12+MONTH($I591))-(YEAR($H591)*12+MONTH($H591))+1))</f>
        <v/>
      </c>
      <c r="M591" s="66">
        <f>IF($J591="",0,$K591*MAX(0,MIN(YEAR($C$3)*12+MONTH($C$3)-1,YEAR($I591)*12+MONTH($I591))-(YEAR($H591)*12+MONTH($H591))+1))</f>
        <v/>
      </c>
      <c r="N591" s="66">
        <f>IF(OR($J591="",$B591=""),0,IF(YEAR($B591)*12+MONTH($B591)&lt;=YEAR($C$3)*12+MONTH($C$3),$G591,0))</f>
        <v/>
      </c>
      <c r="O591" s="66">
        <f>IF(OR($J591="",$B591=""),0,IF(YEAR($B591)*12+MONTH($B591)&lt;=YEAR($C$3)*12+MONTH($C$3)-1,$G591,0))</f>
        <v/>
      </c>
      <c r="P591" s="66">
        <f>$M591-$O591</f>
        <v/>
      </c>
      <c r="Q591" s="66">
        <f>($L591-$M591)-($N591-$O591)</f>
        <v/>
      </c>
      <c r="R591" s="66">
        <f>$L591-$N591</f>
        <v/>
      </c>
      <c r="S591" s="65">
        <f>"WIP journal"</f>
        <v/>
      </c>
      <c r="T591" s="65">
        <f>IFERROR(INDEX(tbl_WIP[Revenue or Cost],$A591),"")</f>
        <v/>
      </c>
    </row>
    <row r="592">
      <c r="A592" s="63">
        <f>ROW()-407</f>
        <v/>
      </c>
      <c r="B592" s="64">
        <f>IFERROR(INDEX(tbl_WIP[Month],$A592),"")</f>
        <v/>
      </c>
      <c r="C592" s="65">
        <f>IFERROR(INDEX(tbl_WIP[Xero Invoice No],$A592),"")</f>
        <v/>
      </c>
      <c r="D592" s="65">
        <f>IFERROR(INDEX(tbl_WIP[Client],$A592),"")</f>
        <v/>
      </c>
      <c r="E592" s="65">
        <f>IFERROR(INDEX(tbl_WIP[Job Number],$A592),"")</f>
        <v/>
      </c>
      <c r="F592" s="65">
        <f>IFERROR(INDEX(tbl_WIP[Cost Centre],$A592),"")</f>
        <v/>
      </c>
      <c r="G592" s="66">
        <f>IFERROR(IF(INDEX(tbl_WIP[Defer Start],$A592)="","",IF(INDEX(tbl_WIP[Revenue or Cost],$A592)="Cost",-1,1)*INDEX(tbl_WIP[Amount],$A592)),"")</f>
        <v/>
      </c>
      <c r="H592" s="64">
        <f>IFERROR(INDEX(tbl_WIP[Defer Start],$A592),"")</f>
        <v/>
      </c>
      <c r="I592" s="64">
        <f>IFERROR(INDEX(tbl_WIP[Defer End],$A592),"")</f>
        <v/>
      </c>
      <c r="J592" s="63">
        <f>IF(OR($H592="",$I592="",$G592=""),"",MAX(1,(YEAR($I592)-YEAR($H592))*12+MONTH($I592)-MONTH($H592)+1))</f>
        <v/>
      </c>
      <c r="K592" s="66">
        <f>IF($J592="","",$G592/$J592)</f>
        <v/>
      </c>
      <c r="L592" s="66">
        <f>IF($J592="",0,$K592*MAX(0,MIN(YEAR($C$3)*12+MONTH($C$3),YEAR($I592)*12+MONTH($I592))-(YEAR($H592)*12+MONTH($H592))+1))</f>
        <v/>
      </c>
      <c r="M592" s="66">
        <f>IF($J592="",0,$K592*MAX(0,MIN(YEAR($C$3)*12+MONTH($C$3)-1,YEAR($I592)*12+MONTH($I592))-(YEAR($H592)*12+MONTH($H592))+1))</f>
        <v/>
      </c>
      <c r="N592" s="66">
        <f>IF(OR($J592="",$B592=""),0,IF(YEAR($B592)*12+MONTH($B592)&lt;=YEAR($C$3)*12+MONTH($C$3),$G592,0))</f>
        <v/>
      </c>
      <c r="O592" s="66">
        <f>IF(OR($J592="",$B592=""),0,IF(YEAR($B592)*12+MONTH($B592)&lt;=YEAR($C$3)*12+MONTH($C$3)-1,$G592,0))</f>
        <v/>
      </c>
      <c r="P592" s="66">
        <f>$M592-$O592</f>
        <v/>
      </c>
      <c r="Q592" s="66">
        <f>($L592-$M592)-($N592-$O592)</f>
        <v/>
      </c>
      <c r="R592" s="66">
        <f>$L592-$N592</f>
        <v/>
      </c>
      <c r="S592" s="65">
        <f>"WIP journal"</f>
        <v/>
      </c>
      <c r="T592" s="65">
        <f>IFERROR(INDEX(tbl_WIP[Revenue or Cost],$A592),"")</f>
        <v/>
      </c>
    </row>
    <row r="593">
      <c r="A593" s="63">
        <f>ROW()-407</f>
        <v/>
      </c>
      <c r="B593" s="64">
        <f>IFERROR(INDEX(tbl_WIP[Month],$A593),"")</f>
        <v/>
      </c>
      <c r="C593" s="65">
        <f>IFERROR(INDEX(tbl_WIP[Xero Invoice No],$A593),"")</f>
        <v/>
      </c>
      <c r="D593" s="65">
        <f>IFERROR(INDEX(tbl_WIP[Client],$A593),"")</f>
        <v/>
      </c>
      <c r="E593" s="65">
        <f>IFERROR(INDEX(tbl_WIP[Job Number],$A593),"")</f>
        <v/>
      </c>
      <c r="F593" s="65">
        <f>IFERROR(INDEX(tbl_WIP[Cost Centre],$A593),"")</f>
        <v/>
      </c>
      <c r="G593" s="66">
        <f>IFERROR(IF(INDEX(tbl_WIP[Defer Start],$A593)="","",IF(INDEX(tbl_WIP[Revenue or Cost],$A593)="Cost",-1,1)*INDEX(tbl_WIP[Amount],$A593)),"")</f>
        <v/>
      </c>
      <c r="H593" s="64">
        <f>IFERROR(INDEX(tbl_WIP[Defer Start],$A593),"")</f>
        <v/>
      </c>
      <c r="I593" s="64">
        <f>IFERROR(INDEX(tbl_WIP[Defer End],$A593),"")</f>
        <v/>
      </c>
      <c r="J593" s="63">
        <f>IF(OR($H593="",$I593="",$G593=""),"",MAX(1,(YEAR($I593)-YEAR($H593))*12+MONTH($I593)-MONTH($H593)+1))</f>
        <v/>
      </c>
      <c r="K593" s="66">
        <f>IF($J593="","",$G593/$J593)</f>
        <v/>
      </c>
      <c r="L593" s="66">
        <f>IF($J593="",0,$K593*MAX(0,MIN(YEAR($C$3)*12+MONTH($C$3),YEAR($I593)*12+MONTH($I593))-(YEAR($H593)*12+MONTH($H593))+1))</f>
        <v/>
      </c>
      <c r="M593" s="66">
        <f>IF($J593="",0,$K593*MAX(0,MIN(YEAR($C$3)*12+MONTH($C$3)-1,YEAR($I593)*12+MONTH($I593))-(YEAR($H593)*12+MONTH($H593))+1))</f>
        <v/>
      </c>
      <c r="N593" s="66">
        <f>IF(OR($J593="",$B593=""),0,IF(YEAR($B593)*12+MONTH($B593)&lt;=YEAR($C$3)*12+MONTH($C$3),$G593,0))</f>
        <v/>
      </c>
      <c r="O593" s="66">
        <f>IF(OR($J593="",$B593=""),0,IF(YEAR($B593)*12+MONTH($B593)&lt;=YEAR($C$3)*12+MONTH($C$3)-1,$G593,0))</f>
        <v/>
      </c>
      <c r="P593" s="66">
        <f>$M593-$O593</f>
        <v/>
      </c>
      <c r="Q593" s="66">
        <f>($L593-$M593)-($N593-$O593)</f>
        <v/>
      </c>
      <c r="R593" s="66">
        <f>$L593-$N593</f>
        <v/>
      </c>
      <c r="S593" s="65">
        <f>"WIP journal"</f>
        <v/>
      </c>
      <c r="T593" s="65">
        <f>IFERROR(INDEX(tbl_WIP[Revenue or Cost],$A593),"")</f>
        <v/>
      </c>
    </row>
    <row r="594">
      <c r="A594" s="63">
        <f>ROW()-407</f>
        <v/>
      </c>
      <c r="B594" s="64">
        <f>IFERROR(INDEX(tbl_WIP[Month],$A594),"")</f>
        <v/>
      </c>
      <c r="C594" s="65">
        <f>IFERROR(INDEX(tbl_WIP[Xero Invoice No],$A594),"")</f>
        <v/>
      </c>
      <c r="D594" s="65">
        <f>IFERROR(INDEX(tbl_WIP[Client],$A594),"")</f>
        <v/>
      </c>
      <c r="E594" s="65">
        <f>IFERROR(INDEX(tbl_WIP[Job Number],$A594),"")</f>
        <v/>
      </c>
      <c r="F594" s="65">
        <f>IFERROR(INDEX(tbl_WIP[Cost Centre],$A594),"")</f>
        <v/>
      </c>
      <c r="G594" s="66">
        <f>IFERROR(IF(INDEX(tbl_WIP[Defer Start],$A594)="","",IF(INDEX(tbl_WIP[Revenue or Cost],$A594)="Cost",-1,1)*INDEX(tbl_WIP[Amount],$A594)),"")</f>
        <v/>
      </c>
      <c r="H594" s="64">
        <f>IFERROR(INDEX(tbl_WIP[Defer Start],$A594),"")</f>
        <v/>
      </c>
      <c r="I594" s="64">
        <f>IFERROR(INDEX(tbl_WIP[Defer End],$A594),"")</f>
        <v/>
      </c>
      <c r="J594" s="63">
        <f>IF(OR($H594="",$I594="",$G594=""),"",MAX(1,(YEAR($I594)-YEAR($H594))*12+MONTH($I594)-MONTH($H594)+1))</f>
        <v/>
      </c>
      <c r="K594" s="66">
        <f>IF($J594="","",$G594/$J594)</f>
        <v/>
      </c>
      <c r="L594" s="66">
        <f>IF($J594="",0,$K594*MAX(0,MIN(YEAR($C$3)*12+MONTH($C$3),YEAR($I594)*12+MONTH($I594))-(YEAR($H594)*12+MONTH($H594))+1))</f>
        <v/>
      </c>
      <c r="M594" s="66">
        <f>IF($J594="",0,$K594*MAX(0,MIN(YEAR($C$3)*12+MONTH($C$3)-1,YEAR($I594)*12+MONTH($I594))-(YEAR($H594)*12+MONTH($H594))+1))</f>
        <v/>
      </c>
      <c r="N594" s="66">
        <f>IF(OR($J594="",$B594=""),0,IF(YEAR($B594)*12+MONTH($B594)&lt;=YEAR($C$3)*12+MONTH($C$3),$G594,0))</f>
        <v/>
      </c>
      <c r="O594" s="66">
        <f>IF(OR($J594="",$B594=""),0,IF(YEAR($B594)*12+MONTH($B594)&lt;=YEAR($C$3)*12+MONTH($C$3)-1,$G594,0))</f>
        <v/>
      </c>
      <c r="P594" s="66">
        <f>$M594-$O594</f>
        <v/>
      </c>
      <c r="Q594" s="66">
        <f>($L594-$M594)-($N594-$O594)</f>
        <v/>
      </c>
      <c r="R594" s="66">
        <f>$L594-$N594</f>
        <v/>
      </c>
      <c r="S594" s="65">
        <f>"WIP journal"</f>
        <v/>
      </c>
      <c r="T594" s="65">
        <f>IFERROR(INDEX(tbl_WIP[Revenue or Cost],$A594),"")</f>
        <v/>
      </c>
    </row>
    <row r="595">
      <c r="A595" s="63">
        <f>ROW()-407</f>
        <v/>
      </c>
      <c r="B595" s="64">
        <f>IFERROR(INDEX(tbl_WIP[Month],$A595),"")</f>
        <v/>
      </c>
      <c r="C595" s="65">
        <f>IFERROR(INDEX(tbl_WIP[Xero Invoice No],$A595),"")</f>
        <v/>
      </c>
      <c r="D595" s="65">
        <f>IFERROR(INDEX(tbl_WIP[Client],$A595),"")</f>
        <v/>
      </c>
      <c r="E595" s="65">
        <f>IFERROR(INDEX(tbl_WIP[Job Number],$A595),"")</f>
        <v/>
      </c>
      <c r="F595" s="65">
        <f>IFERROR(INDEX(tbl_WIP[Cost Centre],$A595),"")</f>
        <v/>
      </c>
      <c r="G595" s="66">
        <f>IFERROR(IF(INDEX(tbl_WIP[Defer Start],$A595)="","",IF(INDEX(tbl_WIP[Revenue or Cost],$A595)="Cost",-1,1)*INDEX(tbl_WIP[Amount],$A595)),"")</f>
        <v/>
      </c>
      <c r="H595" s="64">
        <f>IFERROR(INDEX(tbl_WIP[Defer Start],$A595),"")</f>
        <v/>
      </c>
      <c r="I595" s="64">
        <f>IFERROR(INDEX(tbl_WIP[Defer End],$A595),"")</f>
        <v/>
      </c>
      <c r="J595" s="63">
        <f>IF(OR($H595="",$I595="",$G595=""),"",MAX(1,(YEAR($I595)-YEAR($H595))*12+MONTH($I595)-MONTH($H595)+1))</f>
        <v/>
      </c>
      <c r="K595" s="66">
        <f>IF($J595="","",$G595/$J595)</f>
        <v/>
      </c>
      <c r="L595" s="66">
        <f>IF($J595="",0,$K595*MAX(0,MIN(YEAR($C$3)*12+MONTH($C$3),YEAR($I595)*12+MONTH($I595))-(YEAR($H595)*12+MONTH($H595))+1))</f>
        <v/>
      </c>
      <c r="M595" s="66">
        <f>IF($J595="",0,$K595*MAX(0,MIN(YEAR($C$3)*12+MONTH($C$3)-1,YEAR($I595)*12+MONTH($I595))-(YEAR($H595)*12+MONTH($H595))+1))</f>
        <v/>
      </c>
      <c r="N595" s="66">
        <f>IF(OR($J595="",$B595=""),0,IF(YEAR($B595)*12+MONTH($B595)&lt;=YEAR($C$3)*12+MONTH($C$3),$G595,0))</f>
        <v/>
      </c>
      <c r="O595" s="66">
        <f>IF(OR($J595="",$B595=""),0,IF(YEAR($B595)*12+MONTH($B595)&lt;=YEAR($C$3)*12+MONTH($C$3)-1,$G595,0))</f>
        <v/>
      </c>
      <c r="P595" s="66">
        <f>$M595-$O595</f>
        <v/>
      </c>
      <c r="Q595" s="66">
        <f>($L595-$M595)-($N595-$O595)</f>
        <v/>
      </c>
      <c r="R595" s="66">
        <f>$L595-$N595</f>
        <v/>
      </c>
      <c r="S595" s="65">
        <f>"WIP journal"</f>
        <v/>
      </c>
      <c r="T595" s="65">
        <f>IFERROR(INDEX(tbl_WIP[Revenue or Cost],$A595),"")</f>
        <v/>
      </c>
    </row>
    <row r="596">
      <c r="A596" s="63">
        <f>ROW()-407</f>
        <v/>
      </c>
      <c r="B596" s="64">
        <f>IFERROR(INDEX(tbl_WIP[Month],$A596),"")</f>
        <v/>
      </c>
      <c r="C596" s="65">
        <f>IFERROR(INDEX(tbl_WIP[Xero Invoice No],$A596),"")</f>
        <v/>
      </c>
      <c r="D596" s="65">
        <f>IFERROR(INDEX(tbl_WIP[Client],$A596),"")</f>
        <v/>
      </c>
      <c r="E596" s="65">
        <f>IFERROR(INDEX(tbl_WIP[Job Number],$A596),"")</f>
        <v/>
      </c>
      <c r="F596" s="65">
        <f>IFERROR(INDEX(tbl_WIP[Cost Centre],$A596),"")</f>
        <v/>
      </c>
      <c r="G596" s="66">
        <f>IFERROR(IF(INDEX(tbl_WIP[Defer Start],$A596)="","",IF(INDEX(tbl_WIP[Revenue or Cost],$A596)="Cost",-1,1)*INDEX(tbl_WIP[Amount],$A596)),"")</f>
        <v/>
      </c>
      <c r="H596" s="64">
        <f>IFERROR(INDEX(tbl_WIP[Defer Start],$A596),"")</f>
        <v/>
      </c>
      <c r="I596" s="64">
        <f>IFERROR(INDEX(tbl_WIP[Defer End],$A596),"")</f>
        <v/>
      </c>
      <c r="J596" s="63">
        <f>IF(OR($H596="",$I596="",$G596=""),"",MAX(1,(YEAR($I596)-YEAR($H596))*12+MONTH($I596)-MONTH($H596)+1))</f>
        <v/>
      </c>
      <c r="K596" s="66">
        <f>IF($J596="","",$G596/$J596)</f>
        <v/>
      </c>
      <c r="L596" s="66">
        <f>IF($J596="",0,$K596*MAX(0,MIN(YEAR($C$3)*12+MONTH($C$3),YEAR($I596)*12+MONTH($I596))-(YEAR($H596)*12+MONTH($H596))+1))</f>
        <v/>
      </c>
      <c r="M596" s="66">
        <f>IF($J596="",0,$K596*MAX(0,MIN(YEAR($C$3)*12+MONTH($C$3)-1,YEAR($I596)*12+MONTH($I596))-(YEAR($H596)*12+MONTH($H596))+1))</f>
        <v/>
      </c>
      <c r="N596" s="66">
        <f>IF(OR($J596="",$B596=""),0,IF(YEAR($B596)*12+MONTH($B596)&lt;=YEAR($C$3)*12+MONTH($C$3),$G596,0))</f>
        <v/>
      </c>
      <c r="O596" s="66">
        <f>IF(OR($J596="",$B596=""),0,IF(YEAR($B596)*12+MONTH($B596)&lt;=YEAR($C$3)*12+MONTH($C$3)-1,$G596,0))</f>
        <v/>
      </c>
      <c r="P596" s="66">
        <f>$M596-$O596</f>
        <v/>
      </c>
      <c r="Q596" s="66">
        <f>($L596-$M596)-($N596-$O596)</f>
        <v/>
      </c>
      <c r="R596" s="66">
        <f>$L596-$N596</f>
        <v/>
      </c>
      <c r="S596" s="65">
        <f>"WIP journal"</f>
        <v/>
      </c>
      <c r="T596" s="65">
        <f>IFERROR(INDEX(tbl_WIP[Revenue or Cost],$A596),"")</f>
        <v/>
      </c>
    </row>
    <row r="597">
      <c r="A597" s="63">
        <f>ROW()-407</f>
        <v/>
      </c>
      <c r="B597" s="64">
        <f>IFERROR(INDEX(tbl_WIP[Month],$A597),"")</f>
        <v/>
      </c>
      <c r="C597" s="65">
        <f>IFERROR(INDEX(tbl_WIP[Xero Invoice No],$A597),"")</f>
        <v/>
      </c>
      <c r="D597" s="65">
        <f>IFERROR(INDEX(tbl_WIP[Client],$A597),"")</f>
        <v/>
      </c>
      <c r="E597" s="65">
        <f>IFERROR(INDEX(tbl_WIP[Job Number],$A597),"")</f>
        <v/>
      </c>
      <c r="F597" s="65">
        <f>IFERROR(INDEX(tbl_WIP[Cost Centre],$A597),"")</f>
        <v/>
      </c>
      <c r="G597" s="66">
        <f>IFERROR(IF(INDEX(tbl_WIP[Defer Start],$A597)="","",IF(INDEX(tbl_WIP[Revenue or Cost],$A597)="Cost",-1,1)*INDEX(tbl_WIP[Amount],$A597)),"")</f>
        <v/>
      </c>
      <c r="H597" s="64">
        <f>IFERROR(INDEX(tbl_WIP[Defer Start],$A597),"")</f>
        <v/>
      </c>
      <c r="I597" s="64">
        <f>IFERROR(INDEX(tbl_WIP[Defer End],$A597),"")</f>
        <v/>
      </c>
      <c r="J597" s="63">
        <f>IF(OR($H597="",$I597="",$G597=""),"",MAX(1,(YEAR($I597)-YEAR($H597))*12+MONTH($I597)-MONTH($H597)+1))</f>
        <v/>
      </c>
      <c r="K597" s="66">
        <f>IF($J597="","",$G597/$J597)</f>
        <v/>
      </c>
      <c r="L597" s="66">
        <f>IF($J597="",0,$K597*MAX(0,MIN(YEAR($C$3)*12+MONTH($C$3),YEAR($I597)*12+MONTH($I597))-(YEAR($H597)*12+MONTH($H597))+1))</f>
        <v/>
      </c>
      <c r="M597" s="66">
        <f>IF($J597="",0,$K597*MAX(0,MIN(YEAR($C$3)*12+MONTH($C$3)-1,YEAR($I597)*12+MONTH($I597))-(YEAR($H597)*12+MONTH($H597))+1))</f>
        <v/>
      </c>
      <c r="N597" s="66">
        <f>IF(OR($J597="",$B597=""),0,IF(YEAR($B597)*12+MONTH($B597)&lt;=YEAR($C$3)*12+MONTH($C$3),$G597,0))</f>
        <v/>
      </c>
      <c r="O597" s="66">
        <f>IF(OR($J597="",$B597=""),0,IF(YEAR($B597)*12+MONTH($B597)&lt;=YEAR($C$3)*12+MONTH($C$3)-1,$G597,0))</f>
        <v/>
      </c>
      <c r="P597" s="66">
        <f>$M597-$O597</f>
        <v/>
      </c>
      <c r="Q597" s="66">
        <f>($L597-$M597)-($N597-$O597)</f>
        <v/>
      </c>
      <c r="R597" s="66">
        <f>$L597-$N597</f>
        <v/>
      </c>
      <c r="S597" s="65">
        <f>"WIP journal"</f>
        <v/>
      </c>
      <c r="T597" s="65">
        <f>IFERROR(INDEX(tbl_WIP[Revenue or Cost],$A597),"")</f>
        <v/>
      </c>
    </row>
    <row r="598">
      <c r="A598" s="63">
        <f>ROW()-407</f>
        <v/>
      </c>
      <c r="B598" s="64">
        <f>IFERROR(INDEX(tbl_WIP[Month],$A598),"")</f>
        <v/>
      </c>
      <c r="C598" s="65">
        <f>IFERROR(INDEX(tbl_WIP[Xero Invoice No],$A598),"")</f>
        <v/>
      </c>
      <c r="D598" s="65">
        <f>IFERROR(INDEX(tbl_WIP[Client],$A598),"")</f>
        <v/>
      </c>
      <c r="E598" s="65">
        <f>IFERROR(INDEX(tbl_WIP[Job Number],$A598),"")</f>
        <v/>
      </c>
      <c r="F598" s="65">
        <f>IFERROR(INDEX(tbl_WIP[Cost Centre],$A598),"")</f>
        <v/>
      </c>
      <c r="G598" s="66">
        <f>IFERROR(IF(INDEX(tbl_WIP[Defer Start],$A598)="","",IF(INDEX(tbl_WIP[Revenue or Cost],$A598)="Cost",-1,1)*INDEX(tbl_WIP[Amount],$A598)),"")</f>
        <v/>
      </c>
      <c r="H598" s="64">
        <f>IFERROR(INDEX(tbl_WIP[Defer Start],$A598),"")</f>
        <v/>
      </c>
      <c r="I598" s="64">
        <f>IFERROR(INDEX(tbl_WIP[Defer End],$A598),"")</f>
        <v/>
      </c>
      <c r="J598" s="63">
        <f>IF(OR($H598="",$I598="",$G598=""),"",MAX(1,(YEAR($I598)-YEAR($H598))*12+MONTH($I598)-MONTH($H598)+1))</f>
        <v/>
      </c>
      <c r="K598" s="66">
        <f>IF($J598="","",$G598/$J598)</f>
        <v/>
      </c>
      <c r="L598" s="66">
        <f>IF($J598="",0,$K598*MAX(0,MIN(YEAR($C$3)*12+MONTH($C$3),YEAR($I598)*12+MONTH($I598))-(YEAR($H598)*12+MONTH($H598))+1))</f>
        <v/>
      </c>
      <c r="M598" s="66">
        <f>IF($J598="",0,$K598*MAX(0,MIN(YEAR($C$3)*12+MONTH($C$3)-1,YEAR($I598)*12+MONTH($I598))-(YEAR($H598)*12+MONTH($H598))+1))</f>
        <v/>
      </c>
      <c r="N598" s="66">
        <f>IF(OR($J598="",$B598=""),0,IF(YEAR($B598)*12+MONTH($B598)&lt;=YEAR($C$3)*12+MONTH($C$3),$G598,0))</f>
        <v/>
      </c>
      <c r="O598" s="66">
        <f>IF(OR($J598="",$B598=""),0,IF(YEAR($B598)*12+MONTH($B598)&lt;=YEAR($C$3)*12+MONTH($C$3)-1,$G598,0))</f>
        <v/>
      </c>
      <c r="P598" s="66">
        <f>$M598-$O598</f>
        <v/>
      </c>
      <c r="Q598" s="66">
        <f>($L598-$M598)-($N598-$O598)</f>
        <v/>
      </c>
      <c r="R598" s="66">
        <f>$L598-$N598</f>
        <v/>
      </c>
      <c r="S598" s="65">
        <f>"WIP journal"</f>
        <v/>
      </c>
      <c r="T598" s="65">
        <f>IFERROR(INDEX(tbl_WIP[Revenue or Cost],$A598),"")</f>
        <v/>
      </c>
    </row>
    <row r="599">
      <c r="A599" s="63">
        <f>ROW()-407</f>
        <v/>
      </c>
      <c r="B599" s="64">
        <f>IFERROR(INDEX(tbl_WIP[Month],$A599),"")</f>
        <v/>
      </c>
      <c r="C599" s="65">
        <f>IFERROR(INDEX(tbl_WIP[Xero Invoice No],$A599),"")</f>
        <v/>
      </c>
      <c r="D599" s="65">
        <f>IFERROR(INDEX(tbl_WIP[Client],$A599),"")</f>
        <v/>
      </c>
      <c r="E599" s="65">
        <f>IFERROR(INDEX(tbl_WIP[Job Number],$A599),"")</f>
        <v/>
      </c>
      <c r="F599" s="65">
        <f>IFERROR(INDEX(tbl_WIP[Cost Centre],$A599),"")</f>
        <v/>
      </c>
      <c r="G599" s="66">
        <f>IFERROR(IF(INDEX(tbl_WIP[Defer Start],$A599)="","",IF(INDEX(tbl_WIP[Revenue or Cost],$A599)="Cost",-1,1)*INDEX(tbl_WIP[Amount],$A599)),"")</f>
        <v/>
      </c>
      <c r="H599" s="64">
        <f>IFERROR(INDEX(tbl_WIP[Defer Start],$A599),"")</f>
        <v/>
      </c>
      <c r="I599" s="64">
        <f>IFERROR(INDEX(tbl_WIP[Defer End],$A599),"")</f>
        <v/>
      </c>
      <c r="J599" s="63">
        <f>IF(OR($H599="",$I599="",$G599=""),"",MAX(1,(YEAR($I599)-YEAR($H599))*12+MONTH($I599)-MONTH($H599)+1))</f>
        <v/>
      </c>
      <c r="K599" s="66">
        <f>IF($J599="","",$G599/$J599)</f>
        <v/>
      </c>
      <c r="L599" s="66">
        <f>IF($J599="",0,$K599*MAX(0,MIN(YEAR($C$3)*12+MONTH($C$3),YEAR($I599)*12+MONTH($I599))-(YEAR($H599)*12+MONTH($H599))+1))</f>
        <v/>
      </c>
      <c r="M599" s="66">
        <f>IF($J599="",0,$K599*MAX(0,MIN(YEAR($C$3)*12+MONTH($C$3)-1,YEAR($I599)*12+MONTH($I599))-(YEAR($H599)*12+MONTH($H599))+1))</f>
        <v/>
      </c>
      <c r="N599" s="66">
        <f>IF(OR($J599="",$B599=""),0,IF(YEAR($B599)*12+MONTH($B599)&lt;=YEAR($C$3)*12+MONTH($C$3),$G599,0))</f>
        <v/>
      </c>
      <c r="O599" s="66">
        <f>IF(OR($J599="",$B599=""),0,IF(YEAR($B599)*12+MONTH($B599)&lt;=YEAR($C$3)*12+MONTH($C$3)-1,$G599,0))</f>
        <v/>
      </c>
      <c r="P599" s="66">
        <f>$M599-$O599</f>
        <v/>
      </c>
      <c r="Q599" s="66">
        <f>($L599-$M599)-($N599-$O599)</f>
        <v/>
      </c>
      <c r="R599" s="66">
        <f>$L599-$N599</f>
        <v/>
      </c>
      <c r="S599" s="65">
        <f>"WIP journal"</f>
        <v/>
      </c>
      <c r="T599" s="65">
        <f>IFERROR(INDEX(tbl_WIP[Revenue or Cost],$A599),"")</f>
        <v/>
      </c>
    </row>
    <row r="600">
      <c r="A600" s="63">
        <f>ROW()-407</f>
        <v/>
      </c>
      <c r="B600" s="64">
        <f>IFERROR(INDEX(tbl_WIP[Month],$A600),"")</f>
        <v/>
      </c>
      <c r="C600" s="65">
        <f>IFERROR(INDEX(tbl_WIP[Xero Invoice No],$A600),"")</f>
        <v/>
      </c>
      <c r="D600" s="65">
        <f>IFERROR(INDEX(tbl_WIP[Client],$A600),"")</f>
        <v/>
      </c>
      <c r="E600" s="65">
        <f>IFERROR(INDEX(tbl_WIP[Job Number],$A600),"")</f>
        <v/>
      </c>
      <c r="F600" s="65">
        <f>IFERROR(INDEX(tbl_WIP[Cost Centre],$A600),"")</f>
        <v/>
      </c>
      <c r="G600" s="66">
        <f>IFERROR(IF(INDEX(tbl_WIP[Defer Start],$A600)="","",IF(INDEX(tbl_WIP[Revenue or Cost],$A600)="Cost",-1,1)*INDEX(tbl_WIP[Amount],$A600)),"")</f>
        <v/>
      </c>
      <c r="H600" s="64">
        <f>IFERROR(INDEX(tbl_WIP[Defer Start],$A600),"")</f>
        <v/>
      </c>
      <c r="I600" s="64">
        <f>IFERROR(INDEX(tbl_WIP[Defer End],$A600),"")</f>
        <v/>
      </c>
      <c r="J600" s="63">
        <f>IF(OR($H600="",$I600="",$G600=""),"",MAX(1,(YEAR($I600)-YEAR($H600))*12+MONTH($I600)-MONTH($H600)+1))</f>
        <v/>
      </c>
      <c r="K600" s="66">
        <f>IF($J600="","",$G600/$J600)</f>
        <v/>
      </c>
      <c r="L600" s="66">
        <f>IF($J600="",0,$K600*MAX(0,MIN(YEAR($C$3)*12+MONTH($C$3),YEAR($I600)*12+MONTH($I600))-(YEAR($H600)*12+MONTH($H600))+1))</f>
        <v/>
      </c>
      <c r="M600" s="66">
        <f>IF($J600="",0,$K600*MAX(0,MIN(YEAR($C$3)*12+MONTH($C$3)-1,YEAR($I600)*12+MONTH($I600))-(YEAR($H600)*12+MONTH($H600))+1))</f>
        <v/>
      </c>
      <c r="N600" s="66">
        <f>IF(OR($J600="",$B600=""),0,IF(YEAR($B600)*12+MONTH($B600)&lt;=YEAR($C$3)*12+MONTH($C$3),$G600,0))</f>
        <v/>
      </c>
      <c r="O600" s="66">
        <f>IF(OR($J600="",$B600=""),0,IF(YEAR($B600)*12+MONTH($B600)&lt;=YEAR($C$3)*12+MONTH($C$3)-1,$G600,0))</f>
        <v/>
      </c>
      <c r="P600" s="66">
        <f>$M600-$O600</f>
        <v/>
      </c>
      <c r="Q600" s="66">
        <f>($L600-$M600)-($N600-$O600)</f>
        <v/>
      </c>
      <c r="R600" s="66">
        <f>$L600-$N600</f>
        <v/>
      </c>
      <c r="S600" s="65">
        <f>"WIP journal"</f>
        <v/>
      </c>
      <c r="T600" s="65">
        <f>IFERROR(INDEX(tbl_WIP[Revenue or Cost],$A600),"")</f>
        <v/>
      </c>
    </row>
    <row r="601">
      <c r="A601" s="63">
        <f>ROW()-407</f>
        <v/>
      </c>
      <c r="B601" s="64">
        <f>IFERROR(INDEX(tbl_WIP[Month],$A601),"")</f>
        <v/>
      </c>
      <c r="C601" s="65">
        <f>IFERROR(INDEX(tbl_WIP[Xero Invoice No],$A601),"")</f>
        <v/>
      </c>
      <c r="D601" s="65">
        <f>IFERROR(INDEX(tbl_WIP[Client],$A601),"")</f>
        <v/>
      </c>
      <c r="E601" s="65">
        <f>IFERROR(INDEX(tbl_WIP[Job Number],$A601),"")</f>
        <v/>
      </c>
      <c r="F601" s="65">
        <f>IFERROR(INDEX(tbl_WIP[Cost Centre],$A601),"")</f>
        <v/>
      </c>
      <c r="G601" s="66">
        <f>IFERROR(IF(INDEX(tbl_WIP[Defer Start],$A601)="","",IF(INDEX(tbl_WIP[Revenue or Cost],$A601)="Cost",-1,1)*INDEX(tbl_WIP[Amount],$A601)),"")</f>
        <v/>
      </c>
      <c r="H601" s="64">
        <f>IFERROR(INDEX(tbl_WIP[Defer Start],$A601),"")</f>
        <v/>
      </c>
      <c r="I601" s="64">
        <f>IFERROR(INDEX(tbl_WIP[Defer End],$A601),"")</f>
        <v/>
      </c>
      <c r="J601" s="63">
        <f>IF(OR($H601="",$I601="",$G601=""),"",MAX(1,(YEAR($I601)-YEAR($H601))*12+MONTH($I601)-MONTH($H601)+1))</f>
        <v/>
      </c>
      <c r="K601" s="66">
        <f>IF($J601="","",$G601/$J601)</f>
        <v/>
      </c>
      <c r="L601" s="66">
        <f>IF($J601="",0,$K601*MAX(0,MIN(YEAR($C$3)*12+MONTH($C$3),YEAR($I601)*12+MONTH($I601))-(YEAR($H601)*12+MONTH($H601))+1))</f>
        <v/>
      </c>
      <c r="M601" s="66">
        <f>IF($J601="",0,$K601*MAX(0,MIN(YEAR($C$3)*12+MONTH($C$3)-1,YEAR($I601)*12+MONTH($I601))-(YEAR($H601)*12+MONTH($H601))+1))</f>
        <v/>
      </c>
      <c r="N601" s="66">
        <f>IF(OR($J601="",$B601=""),0,IF(YEAR($B601)*12+MONTH($B601)&lt;=YEAR($C$3)*12+MONTH($C$3),$G601,0))</f>
        <v/>
      </c>
      <c r="O601" s="66">
        <f>IF(OR($J601="",$B601=""),0,IF(YEAR($B601)*12+MONTH($B601)&lt;=YEAR($C$3)*12+MONTH($C$3)-1,$G601,0))</f>
        <v/>
      </c>
      <c r="P601" s="66">
        <f>$M601-$O601</f>
        <v/>
      </c>
      <c r="Q601" s="66">
        <f>($L601-$M601)-($N601-$O601)</f>
        <v/>
      </c>
      <c r="R601" s="66">
        <f>$L601-$N601</f>
        <v/>
      </c>
      <c r="S601" s="65">
        <f>"WIP journal"</f>
        <v/>
      </c>
      <c r="T601" s="65">
        <f>IFERROR(INDEX(tbl_WIP[Revenue or Cost],$A601),"")</f>
        <v/>
      </c>
    </row>
    <row r="602">
      <c r="A602" s="63">
        <f>ROW()-407</f>
        <v/>
      </c>
      <c r="B602" s="64">
        <f>IFERROR(INDEX(tbl_WIP[Month],$A602),"")</f>
        <v/>
      </c>
      <c r="C602" s="65">
        <f>IFERROR(INDEX(tbl_WIP[Xero Invoice No],$A602),"")</f>
        <v/>
      </c>
      <c r="D602" s="65">
        <f>IFERROR(INDEX(tbl_WIP[Client],$A602),"")</f>
        <v/>
      </c>
      <c r="E602" s="65">
        <f>IFERROR(INDEX(tbl_WIP[Job Number],$A602),"")</f>
        <v/>
      </c>
      <c r="F602" s="65">
        <f>IFERROR(INDEX(tbl_WIP[Cost Centre],$A602),"")</f>
        <v/>
      </c>
      <c r="G602" s="66">
        <f>IFERROR(IF(INDEX(tbl_WIP[Defer Start],$A602)="","",IF(INDEX(tbl_WIP[Revenue or Cost],$A602)="Cost",-1,1)*INDEX(tbl_WIP[Amount],$A602)),"")</f>
        <v/>
      </c>
      <c r="H602" s="64">
        <f>IFERROR(INDEX(tbl_WIP[Defer Start],$A602),"")</f>
        <v/>
      </c>
      <c r="I602" s="64">
        <f>IFERROR(INDEX(tbl_WIP[Defer End],$A602),"")</f>
        <v/>
      </c>
      <c r="J602" s="63">
        <f>IF(OR($H602="",$I602="",$G602=""),"",MAX(1,(YEAR($I602)-YEAR($H602))*12+MONTH($I602)-MONTH($H602)+1))</f>
        <v/>
      </c>
      <c r="K602" s="66">
        <f>IF($J602="","",$G602/$J602)</f>
        <v/>
      </c>
      <c r="L602" s="66">
        <f>IF($J602="",0,$K602*MAX(0,MIN(YEAR($C$3)*12+MONTH($C$3),YEAR($I602)*12+MONTH($I602))-(YEAR($H602)*12+MONTH($H602))+1))</f>
        <v/>
      </c>
      <c r="M602" s="66">
        <f>IF($J602="",0,$K602*MAX(0,MIN(YEAR($C$3)*12+MONTH($C$3)-1,YEAR($I602)*12+MONTH($I602))-(YEAR($H602)*12+MONTH($H602))+1))</f>
        <v/>
      </c>
      <c r="N602" s="66">
        <f>IF(OR($J602="",$B602=""),0,IF(YEAR($B602)*12+MONTH($B602)&lt;=YEAR($C$3)*12+MONTH($C$3),$G602,0))</f>
        <v/>
      </c>
      <c r="O602" s="66">
        <f>IF(OR($J602="",$B602=""),0,IF(YEAR($B602)*12+MONTH($B602)&lt;=YEAR($C$3)*12+MONTH($C$3)-1,$G602,0))</f>
        <v/>
      </c>
      <c r="P602" s="66">
        <f>$M602-$O602</f>
        <v/>
      </c>
      <c r="Q602" s="66">
        <f>($L602-$M602)-($N602-$O602)</f>
        <v/>
      </c>
      <c r="R602" s="66">
        <f>$L602-$N602</f>
        <v/>
      </c>
      <c r="S602" s="65">
        <f>"WIP journal"</f>
        <v/>
      </c>
      <c r="T602" s="65">
        <f>IFERROR(INDEX(tbl_WIP[Revenue or Cost],$A602),"")</f>
        <v/>
      </c>
    </row>
    <row r="603">
      <c r="A603" s="63">
        <f>ROW()-407</f>
        <v/>
      </c>
      <c r="B603" s="64">
        <f>IFERROR(INDEX(tbl_WIP[Month],$A603),"")</f>
        <v/>
      </c>
      <c r="C603" s="65">
        <f>IFERROR(INDEX(tbl_WIP[Xero Invoice No],$A603),"")</f>
        <v/>
      </c>
      <c r="D603" s="65">
        <f>IFERROR(INDEX(tbl_WIP[Client],$A603),"")</f>
        <v/>
      </c>
      <c r="E603" s="65">
        <f>IFERROR(INDEX(tbl_WIP[Job Number],$A603),"")</f>
        <v/>
      </c>
      <c r="F603" s="65">
        <f>IFERROR(INDEX(tbl_WIP[Cost Centre],$A603),"")</f>
        <v/>
      </c>
      <c r="G603" s="66">
        <f>IFERROR(IF(INDEX(tbl_WIP[Defer Start],$A603)="","",IF(INDEX(tbl_WIP[Revenue or Cost],$A603)="Cost",-1,1)*INDEX(tbl_WIP[Amount],$A603)),"")</f>
        <v/>
      </c>
      <c r="H603" s="64">
        <f>IFERROR(INDEX(tbl_WIP[Defer Start],$A603),"")</f>
        <v/>
      </c>
      <c r="I603" s="64">
        <f>IFERROR(INDEX(tbl_WIP[Defer End],$A603),"")</f>
        <v/>
      </c>
      <c r="J603" s="63">
        <f>IF(OR($H603="",$I603="",$G603=""),"",MAX(1,(YEAR($I603)-YEAR($H603))*12+MONTH($I603)-MONTH($H603)+1))</f>
        <v/>
      </c>
      <c r="K603" s="66">
        <f>IF($J603="","",$G603/$J603)</f>
        <v/>
      </c>
      <c r="L603" s="66">
        <f>IF($J603="",0,$K603*MAX(0,MIN(YEAR($C$3)*12+MONTH($C$3),YEAR($I603)*12+MONTH($I603))-(YEAR($H603)*12+MONTH($H603))+1))</f>
        <v/>
      </c>
      <c r="M603" s="66">
        <f>IF($J603="",0,$K603*MAX(0,MIN(YEAR($C$3)*12+MONTH($C$3)-1,YEAR($I603)*12+MONTH($I603))-(YEAR($H603)*12+MONTH($H603))+1))</f>
        <v/>
      </c>
      <c r="N603" s="66">
        <f>IF(OR($J603="",$B603=""),0,IF(YEAR($B603)*12+MONTH($B603)&lt;=YEAR($C$3)*12+MONTH($C$3),$G603,0))</f>
        <v/>
      </c>
      <c r="O603" s="66">
        <f>IF(OR($J603="",$B603=""),0,IF(YEAR($B603)*12+MONTH($B603)&lt;=YEAR($C$3)*12+MONTH($C$3)-1,$G603,0))</f>
        <v/>
      </c>
      <c r="P603" s="66">
        <f>$M603-$O603</f>
        <v/>
      </c>
      <c r="Q603" s="66">
        <f>($L603-$M603)-($N603-$O603)</f>
        <v/>
      </c>
      <c r="R603" s="66">
        <f>$L603-$N603</f>
        <v/>
      </c>
      <c r="S603" s="65">
        <f>"WIP journal"</f>
        <v/>
      </c>
      <c r="T603" s="65">
        <f>IFERROR(INDEX(tbl_WIP[Revenue or Cost],$A603),"")</f>
        <v/>
      </c>
    </row>
    <row r="604">
      <c r="A604" s="63">
        <f>ROW()-407</f>
        <v/>
      </c>
      <c r="B604" s="64">
        <f>IFERROR(INDEX(tbl_WIP[Month],$A604),"")</f>
        <v/>
      </c>
      <c r="C604" s="65">
        <f>IFERROR(INDEX(tbl_WIP[Xero Invoice No],$A604),"")</f>
        <v/>
      </c>
      <c r="D604" s="65">
        <f>IFERROR(INDEX(tbl_WIP[Client],$A604),"")</f>
        <v/>
      </c>
      <c r="E604" s="65">
        <f>IFERROR(INDEX(tbl_WIP[Job Number],$A604),"")</f>
        <v/>
      </c>
      <c r="F604" s="65">
        <f>IFERROR(INDEX(tbl_WIP[Cost Centre],$A604),"")</f>
        <v/>
      </c>
      <c r="G604" s="66">
        <f>IFERROR(IF(INDEX(tbl_WIP[Defer Start],$A604)="","",IF(INDEX(tbl_WIP[Revenue or Cost],$A604)="Cost",-1,1)*INDEX(tbl_WIP[Amount],$A604)),"")</f>
        <v/>
      </c>
      <c r="H604" s="64">
        <f>IFERROR(INDEX(tbl_WIP[Defer Start],$A604),"")</f>
        <v/>
      </c>
      <c r="I604" s="64">
        <f>IFERROR(INDEX(tbl_WIP[Defer End],$A604),"")</f>
        <v/>
      </c>
      <c r="J604" s="63">
        <f>IF(OR($H604="",$I604="",$G604=""),"",MAX(1,(YEAR($I604)-YEAR($H604))*12+MONTH($I604)-MONTH($H604)+1))</f>
        <v/>
      </c>
      <c r="K604" s="66">
        <f>IF($J604="","",$G604/$J604)</f>
        <v/>
      </c>
      <c r="L604" s="66">
        <f>IF($J604="",0,$K604*MAX(0,MIN(YEAR($C$3)*12+MONTH($C$3),YEAR($I604)*12+MONTH($I604))-(YEAR($H604)*12+MONTH($H604))+1))</f>
        <v/>
      </c>
      <c r="M604" s="66">
        <f>IF($J604="",0,$K604*MAX(0,MIN(YEAR($C$3)*12+MONTH($C$3)-1,YEAR($I604)*12+MONTH($I604))-(YEAR($H604)*12+MONTH($H604))+1))</f>
        <v/>
      </c>
      <c r="N604" s="66">
        <f>IF(OR($J604="",$B604=""),0,IF(YEAR($B604)*12+MONTH($B604)&lt;=YEAR($C$3)*12+MONTH($C$3),$G604,0))</f>
        <v/>
      </c>
      <c r="O604" s="66">
        <f>IF(OR($J604="",$B604=""),0,IF(YEAR($B604)*12+MONTH($B604)&lt;=YEAR($C$3)*12+MONTH($C$3)-1,$G604,0))</f>
        <v/>
      </c>
      <c r="P604" s="66">
        <f>$M604-$O604</f>
        <v/>
      </c>
      <c r="Q604" s="66">
        <f>($L604-$M604)-($N604-$O604)</f>
        <v/>
      </c>
      <c r="R604" s="66">
        <f>$L604-$N604</f>
        <v/>
      </c>
      <c r="S604" s="65">
        <f>"WIP journal"</f>
        <v/>
      </c>
      <c r="T604" s="65">
        <f>IFERROR(INDEX(tbl_WIP[Revenue or Cost],$A604),"")</f>
        <v/>
      </c>
    </row>
    <row r="605">
      <c r="A605" s="63">
        <f>ROW()-407</f>
        <v/>
      </c>
      <c r="B605" s="64">
        <f>IFERROR(INDEX(tbl_WIP[Month],$A605),"")</f>
        <v/>
      </c>
      <c r="C605" s="65">
        <f>IFERROR(INDEX(tbl_WIP[Xero Invoice No],$A605),"")</f>
        <v/>
      </c>
      <c r="D605" s="65">
        <f>IFERROR(INDEX(tbl_WIP[Client],$A605),"")</f>
        <v/>
      </c>
      <c r="E605" s="65">
        <f>IFERROR(INDEX(tbl_WIP[Job Number],$A605),"")</f>
        <v/>
      </c>
      <c r="F605" s="65">
        <f>IFERROR(INDEX(tbl_WIP[Cost Centre],$A605),"")</f>
        <v/>
      </c>
      <c r="G605" s="66">
        <f>IFERROR(IF(INDEX(tbl_WIP[Defer Start],$A605)="","",IF(INDEX(tbl_WIP[Revenue or Cost],$A605)="Cost",-1,1)*INDEX(tbl_WIP[Amount],$A605)),"")</f>
        <v/>
      </c>
      <c r="H605" s="64">
        <f>IFERROR(INDEX(tbl_WIP[Defer Start],$A605),"")</f>
        <v/>
      </c>
      <c r="I605" s="64">
        <f>IFERROR(INDEX(tbl_WIP[Defer End],$A605),"")</f>
        <v/>
      </c>
      <c r="J605" s="63">
        <f>IF(OR($H605="",$I605="",$G605=""),"",MAX(1,(YEAR($I605)-YEAR($H605))*12+MONTH($I605)-MONTH($H605)+1))</f>
        <v/>
      </c>
      <c r="K605" s="66">
        <f>IF($J605="","",$G605/$J605)</f>
        <v/>
      </c>
      <c r="L605" s="66">
        <f>IF($J605="",0,$K605*MAX(0,MIN(YEAR($C$3)*12+MONTH($C$3),YEAR($I605)*12+MONTH($I605))-(YEAR($H605)*12+MONTH($H605))+1))</f>
        <v/>
      </c>
      <c r="M605" s="66">
        <f>IF($J605="",0,$K605*MAX(0,MIN(YEAR($C$3)*12+MONTH($C$3)-1,YEAR($I605)*12+MONTH($I605))-(YEAR($H605)*12+MONTH($H605))+1))</f>
        <v/>
      </c>
      <c r="N605" s="66">
        <f>IF(OR($J605="",$B605=""),0,IF(YEAR($B605)*12+MONTH($B605)&lt;=YEAR($C$3)*12+MONTH($C$3),$G605,0))</f>
        <v/>
      </c>
      <c r="O605" s="66">
        <f>IF(OR($J605="",$B605=""),0,IF(YEAR($B605)*12+MONTH($B605)&lt;=YEAR($C$3)*12+MONTH($C$3)-1,$G605,0))</f>
        <v/>
      </c>
      <c r="P605" s="66">
        <f>$M605-$O605</f>
        <v/>
      </c>
      <c r="Q605" s="66">
        <f>($L605-$M605)-($N605-$O605)</f>
        <v/>
      </c>
      <c r="R605" s="66">
        <f>$L605-$N605</f>
        <v/>
      </c>
      <c r="S605" s="65">
        <f>"WIP journal"</f>
        <v/>
      </c>
      <c r="T605" s="65">
        <f>IFERROR(INDEX(tbl_WIP[Revenue or Cost],$A605),"")</f>
        <v/>
      </c>
    </row>
    <row r="606">
      <c r="A606" s="63">
        <f>ROW()-407</f>
        <v/>
      </c>
      <c r="B606" s="64">
        <f>IFERROR(INDEX(tbl_WIP[Month],$A606),"")</f>
        <v/>
      </c>
      <c r="C606" s="65">
        <f>IFERROR(INDEX(tbl_WIP[Xero Invoice No],$A606),"")</f>
        <v/>
      </c>
      <c r="D606" s="65">
        <f>IFERROR(INDEX(tbl_WIP[Client],$A606),"")</f>
        <v/>
      </c>
      <c r="E606" s="65">
        <f>IFERROR(INDEX(tbl_WIP[Job Number],$A606),"")</f>
        <v/>
      </c>
      <c r="F606" s="65">
        <f>IFERROR(INDEX(tbl_WIP[Cost Centre],$A606),"")</f>
        <v/>
      </c>
      <c r="G606" s="66">
        <f>IFERROR(IF(INDEX(tbl_WIP[Defer Start],$A606)="","",IF(INDEX(tbl_WIP[Revenue or Cost],$A606)="Cost",-1,1)*INDEX(tbl_WIP[Amount],$A606)),"")</f>
        <v/>
      </c>
      <c r="H606" s="64">
        <f>IFERROR(INDEX(tbl_WIP[Defer Start],$A606),"")</f>
        <v/>
      </c>
      <c r="I606" s="64">
        <f>IFERROR(INDEX(tbl_WIP[Defer End],$A606),"")</f>
        <v/>
      </c>
      <c r="J606" s="63">
        <f>IF(OR($H606="",$I606="",$G606=""),"",MAX(1,(YEAR($I606)-YEAR($H606))*12+MONTH($I606)-MONTH($H606)+1))</f>
        <v/>
      </c>
      <c r="K606" s="66">
        <f>IF($J606="","",$G606/$J606)</f>
        <v/>
      </c>
      <c r="L606" s="66">
        <f>IF($J606="",0,$K606*MAX(0,MIN(YEAR($C$3)*12+MONTH($C$3),YEAR($I606)*12+MONTH($I606))-(YEAR($H606)*12+MONTH($H606))+1))</f>
        <v/>
      </c>
      <c r="M606" s="66">
        <f>IF($J606="",0,$K606*MAX(0,MIN(YEAR($C$3)*12+MONTH($C$3)-1,YEAR($I606)*12+MONTH($I606))-(YEAR($H606)*12+MONTH($H606))+1))</f>
        <v/>
      </c>
      <c r="N606" s="66">
        <f>IF(OR($J606="",$B606=""),0,IF(YEAR($B606)*12+MONTH($B606)&lt;=YEAR($C$3)*12+MONTH($C$3),$G606,0))</f>
        <v/>
      </c>
      <c r="O606" s="66">
        <f>IF(OR($J606="",$B606=""),0,IF(YEAR($B606)*12+MONTH($B606)&lt;=YEAR($C$3)*12+MONTH($C$3)-1,$G606,0))</f>
        <v/>
      </c>
      <c r="P606" s="66">
        <f>$M606-$O606</f>
        <v/>
      </c>
      <c r="Q606" s="66">
        <f>($L606-$M606)-($N606-$O606)</f>
        <v/>
      </c>
      <c r="R606" s="66">
        <f>$L606-$N606</f>
        <v/>
      </c>
      <c r="S606" s="65">
        <f>"WIP journal"</f>
        <v/>
      </c>
      <c r="T606" s="65">
        <f>IFERROR(INDEX(tbl_WIP[Revenue or Cost],$A606),"")</f>
        <v/>
      </c>
    </row>
    <row r="607">
      <c r="A607" s="63">
        <f>ROW()-407</f>
        <v/>
      </c>
      <c r="B607" s="64">
        <f>IFERROR(INDEX(tbl_WIP[Month],$A607),"")</f>
        <v/>
      </c>
      <c r="C607" s="65">
        <f>IFERROR(INDEX(tbl_WIP[Xero Invoice No],$A607),"")</f>
        <v/>
      </c>
      <c r="D607" s="65">
        <f>IFERROR(INDEX(tbl_WIP[Client],$A607),"")</f>
        <v/>
      </c>
      <c r="E607" s="65">
        <f>IFERROR(INDEX(tbl_WIP[Job Number],$A607),"")</f>
        <v/>
      </c>
      <c r="F607" s="65">
        <f>IFERROR(INDEX(tbl_WIP[Cost Centre],$A607),"")</f>
        <v/>
      </c>
      <c r="G607" s="66">
        <f>IFERROR(IF(INDEX(tbl_WIP[Defer Start],$A607)="","",IF(INDEX(tbl_WIP[Revenue or Cost],$A607)="Cost",-1,1)*INDEX(tbl_WIP[Amount],$A607)),"")</f>
        <v/>
      </c>
      <c r="H607" s="64">
        <f>IFERROR(INDEX(tbl_WIP[Defer Start],$A607),"")</f>
        <v/>
      </c>
      <c r="I607" s="64">
        <f>IFERROR(INDEX(tbl_WIP[Defer End],$A607),"")</f>
        <v/>
      </c>
      <c r="J607" s="63">
        <f>IF(OR($H607="",$I607="",$G607=""),"",MAX(1,(YEAR($I607)-YEAR($H607))*12+MONTH($I607)-MONTH($H607)+1))</f>
        <v/>
      </c>
      <c r="K607" s="66">
        <f>IF($J607="","",$G607/$J607)</f>
        <v/>
      </c>
      <c r="L607" s="66">
        <f>IF($J607="",0,$K607*MAX(0,MIN(YEAR($C$3)*12+MONTH($C$3),YEAR($I607)*12+MONTH($I607))-(YEAR($H607)*12+MONTH($H607))+1))</f>
        <v/>
      </c>
      <c r="M607" s="66">
        <f>IF($J607="",0,$K607*MAX(0,MIN(YEAR($C$3)*12+MONTH($C$3)-1,YEAR($I607)*12+MONTH($I607))-(YEAR($H607)*12+MONTH($H607))+1))</f>
        <v/>
      </c>
      <c r="N607" s="66">
        <f>IF(OR($J607="",$B607=""),0,IF(YEAR($B607)*12+MONTH($B607)&lt;=YEAR($C$3)*12+MONTH($C$3),$G607,0))</f>
        <v/>
      </c>
      <c r="O607" s="66">
        <f>IF(OR($J607="",$B607=""),0,IF(YEAR($B607)*12+MONTH($B607)&lt;=YEAR($C$3)*12+MONTH($C$3)-1,$G607,0))</f>
        <v/>
      </c>
      <c r="P607" s="66">
        <f>$M607-$O607</f>
        <v/>
      </c>
      <c r="Q607" s="66">
        <f>($L607-$M607)-($N607-$O607)</f>
        <v/>
      </c>
      <c r="R607" s="66">
        <f>$L607-$N607</f>
        <v/>
      </c>
      <c r="S607" s="65">
        <f>"WIP journal"</f>
        <v/>
      </c>
      <c r="T607" s="65">
        <f>IFERROR(INDEX(tbl_WIP[Revenue or Cost],$A607),"")</f>
        <v/>
      </c>
    </row>
  </sheetData>
  <autoFilter ref="A5:T405"/>
  <pageMargins left="0.75" right="0.75" top="1" bottom="1" header="0.5" footer="0.5"/>
</worksheet>
</file>

<file path=xl/worksheets/sheet7.xml><?xml version="1.0" encoding="utf-8"?>
<worksheet xmlns="http://schemas.openxmlformats.org/spreadsheetml/2006/main">
  <sheetPr>
    <tabColor rgb="005B708A"/>
    <outlinePr summaryBelow="1" summaryRight="1"/>
    <pageSetUpPr/>
  </sheetPr>
  <dimension ref="A1:Q404"/>
  <sheetViews>
    <sheetView showGridLines="0"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5" customWidth="1" min="3" max="3"/>
    <col width="12" customWidth="1" min="4" max="4"/>
    <col width="38" customWidth="1" min="5" max="5"/>
    <col width="24" customWidth="1" min="6" max="6"/>
    <col width="11" customWidth="1" min="7" max="7"/>
    <col width="16" customWidth="1" min="8" max="8"/>
    <col width="14" customWidth="1" min="9" max="9"/>
    <col width="14" customWidth="1" min="10" max="10"/>
    <col width="16" customWidth="1" min="11" max="11"/>
    <col width="18" customWidth="1" min="12" max="12"/>
    <col width="40" customWidth="1" min="13" max="13"/>
    <col width="14" customWidth="1" min="14" max="14"/>
    <col width="13" customWidth="1" min="15" max="15"/>
    <col width="16" customWidth="1" min="16" max="16"/>
    <col width="38" customWidth="1" min="17" max="17"/>
  </cols>
  <sheetData>
    <row r="1" ht="24" customHeight="1">
      <c r="A1" s="18" t="inlineStr">
        <is>
          <t>Onsite - Job Detail</t>
        </is>
      </c>
    </row>
    <row r="2" ht="16" customHeight="1">
      <c r="A2" s="2" t="inlineStr">
        <is>
          <t>Onsite / Support jobs. One row per job number. Client, invoice count and revenue come from the Finance sheet - fill in the columns from PO / Reference onwards.</t>
        </is>
      </c>
    </row>
    <row r="3" ht="22" customHeight="1">
      <c r="A3" s="19">
        <f>"Revenue Ex GST  "&amp;TEXT(SUBTOTAL(109,tbl_Onsite[Revenue Ex GST]),"$#,##0.00")</f>
        <v/>
      </c>
    </row>
    <row r="4" ht="34" customHeight="1">
      <c r="A4" s="21" t="inlineStr">
        <is>
          <t>Invoice Date</t>
        </is>
      </c>
      <c r="B4" s="21" t="inlineStr">
        <is>
          <t>Invoice No</t>
        </is>
      </c>
      <c r="C4" s="20" t="inlineStr">
        <is>
          <t>Job Number</t>
        </is>
      </c>
      <c r="D4" s="21" t="inlineStr">
        <is>
          <t>Job in Xero?</t>
        </is>
      </c>
      <c r="E4" s="21" t="inlineStr">
        <is>
          <t>Job Name (Xero)</t>
        </is>
      </c>
      <c r="F4" s="21" t="inlineStr">
        <is>
          <t>Client</t>
        </is>
      </c>
      <c r="G4" s="21" t="inlineStr">
        <is>
          <t>Lines on Job</t>
        </is>
      </c>
      <c r="H4" s="21" t="inlineStr">
        <is>
          <t>Revenue Ex GST</t>
        </is>
      </c>
      <c r="I4" s="21" t="inlineStr">
        <is>
          <t>Invoiced</t>
        </is>
      </c>
      <c r="J4" s="21" t="inlineStr">
        <is>
          <t>To Invoice</t>
        </is>
      </c>
      <c r="K4" s="21" t="inlineStr">
        <is>
          <t>Cost Centres</t>
        </is>
      </c>
      <c r="L4" s="20" t="inlineStr">
        <is>
          <t>PO / Reference</t>
        </is>
      </c>
      <c r="M4" s="20" t="inlineStr">
        <is>
          <t>Qwilr Quote</t>
        </is>
      </c>
      <c r="N4" s="21" t="inlineStr">
        <is>
          <t>Open Qwilr</t>
        </is>
      </c>
      <c r="O4" s="20" t="inlineStr">
        <is>
          <t>Billable Hours</t>
        </is>
      </c>
      <c r="P4" s="20" t="inlineStr">
        <is>
          <t>Approved By</t>
        </is>
      </c>
      <c r="Q4" s="20" t="inlineStr">
        <is>
          <t>Notes</t>
        </is>
      </c>
    </row>
    <row r="5" ht="15" customHeight="1">
      <c r="A5" s="68">
        <f>IF(C5="","",IFERROR(IF(SUMPRODUCT(MAX((tbl_Finance[Job Number]=C5&amp;"")*(tbl_Finance[Xero Invoice No]&lt;&gt;"")*tbl_Finance[Date]))=0,"",SUMPRODUCT(MAX((tbl_Finance[Job Number]=C5&amp;"")*(tbl_Finance[Xero Invoice No]&lt;&gt;"")*tbl_Finance[Date]))),""))</f>
        <v/>
      </c>
      <c r="B5" s="25">
        <f>IF(C5="","",IF(COUNTIFS(tbl_Finance[Job Number],C5&amp;"",tbl_Finance[Xero Invoice No],"&lt;&gt;")=0,"",IFERROR(IF(COUNTIFS(tbl_Finance[Job Number],C5&amp;"",tbl_Finance[Xero Invoice No],LOOKUP(2,1/((tbl_Finance[Job Number]=C5&amp;"")*(tbl_Finance[Xero Invoice No]&lt;&gt;"")),tbl_Finance[Xero Invoice No]))=COUNTIFS(tbl_Finance[Job Number],C5&amp;"",tbl_Finance[Xero Invoice No],"&lt;&gt;"),LOOKUP(2,1/((tbl_Finance[Job Number]=C5&amp;"")*(tbl_Finance[Xero Invoice No]&lt;&gt;"")),tbl_Finance[Xero Invoice No]),LOOKUP(2,1/((tbl_Finance[Job Number]=C5&amp;"")*(tbl_Finance[Xero Invoice No]&lt;&gt;"")),tbl_Finance[Xero Invoice No])&amp;" +more"),"")))</f>
        <v/>
      </c>
      <c r="C5" s="24" t="n"/>
      <c r="D5" s="25">
        <f>IF(C5="","",IF(COUNTIF(lst_Jobs,C5&amp;"")&gt;0,"OK","CHECK"))</f>
        <v/>
      </c>
      <c r="E5" s="25">
        <f>IF(C5="","",IFERROR(INDEX(lst_JobName,MATCH(C5&amp;"",lst_Jobs,0)),""))</f>
        <v/>
      </c>
      <c r="F5" s="25">
        <f>IF(C5="","",IFERROR(INDEX(tbl_Finance[Client],MATCH(C5&amp;"",tbl_Finance[Job Number],0)),""))</f>
        <v/>
      </c>
      <c r="G5" s="28">
        <f>IF(C5="","",COUNTIFS(tbl_Finance[Job Number],C5&amp;"",tbl_Finance[Ex GST],"&lt;&gt;"))</f>
        <v/>
      </c>
      <c r="H5" s="27">
        <f>IF(C5="","",SUMIFS(tbl_Finance[Ex GST],tbl_Finance[Job Number],C5&amp;""))</f>
        <v/>
      </c>
      <c r="I5" s="27">
        <f>IF(C5="","",SUMIFS(tbl_Finance[Ex GST],tbl_Finance[Job Number],C5&amp;"",tbl_Finance[Xero Invoice No],"&lt;&gt;"))</f>
        <v/>
      </c>
      <c r="J5" s="27">
        <f>IF(C5="","",H5-I5)</f>
        <v/>
      </c>
      <c r="K5" s="25">
        <f>IF(C5="","",IF(G5=0,"not invoiced yet",SUBSTITUTE(TRIM(IF(COUNTIFS(tbl_Finance[Job Number],C5&amp;"",tbl_Finance[Cost Centre],"ONSITE")&gt;0,"ONSITE ","")&amp;IF(COUNTIFS(tbl_Finance[Job Number],C5&amp;"",tbl_Finance[Cost Centre],"PRODUCTION")&gt;0,"PRODUCTION ","")&amp;IF(COUNTIFS(tbl_Finance[Job Number],C5&amp;"",tbl_Finance[Cost Centre],"VIDEO")&gt;0,"VIDEO ","")&amp;IF(COUNTIFS(tbl_Finance[Job Number],C5&amp;"",tbl_Finance[Cost Centre],"INTEGRATION")&gt;0,"INTEGRATION ","")&amp;IF(COUNTIFS(tbl_Finance[Job Number],C5&amp;"",tbl_Finance[Cost Centre],"CONSULTING")&gt;0,"CONSULTING ","")&amp;IF(COUNTIFS(tbl_Finance[Job Number],C5&amp;"",tbl_Finance[Cost Centre],"CTS")&gt;0,"CTS ",""))," ",", ")))</f>
        <v/>
      </c>
      <c r="L5" s="24" t="n"/>
      <c r="M5" s="24" t="n"/>
      <c r="N5" s="25">
        <f>IF(M5="","",HYPERLINK(IF(LEFT(M5,4)="http",M5,set_QwilrBase&amp;M5),"Open quote"))</f>
        <v/>
      </c>
      <c r="O5" s="69" t="n"/>
      <c r="P5" s="24" t="n"/>
      <c r="Q5" s="24" t="n"/>
    </row>
    <row r="6" ht="15" customHeight="1">
      <c r="A6" s="68">
        <f>IF(C6="","",IFERROR(IF(SUMPRODUCT(MAX((tbl_Finance[Job Number]=C6&amp;"")*(tbl_Finance[Xero Invoice No]&lt;&gt;"")*tbl_Finance[Date]))=0,"",SUMPRODUCT(MAX((tbl_Finance[Job Number]=C6&amp;"")*(tbl_Finance[Xero Invoice No]&lt;&gt;"")*tbl_Finance[Date]))),""))</f>
        <v/>
      </c>
      <c r="B6" s="25">
        <f>IF(C6="","",IF(COUNTIFS(tbl_Finance[Job Number],C6&amp;"",tbl_Finance[Xero Invoice No],"&lt;&gt;")=0,"",IFERROR(IF(COUNTIFS(tbl_Finance[Job Number],C6&amp;"",tbl_Finance[Xero Invoice No],LOOKUP(2,1/((tbl_Finance[Job Number]=C6&amp;"")*(tbl_Finance[Xero Invoice No]&lt;&gt;"")),tbl_Finance[Xero Invoice No]))=COUNTIFS(tbl_Finance[Job Number],C6&amp;"",tbl_Finance[Xero Invoice No],"&lt;&gt;"),LOOKUP(2,1/((tbl_Finance[Job Number]=C6&amp;"")*(tbl_Finance[Xero Invoice No]&lt;&gt;"")),tbl_Finance[Xero Invoice No]),LOOKUP(2,1/((tbl_Finance[Job Number]=C6&amp;"")*(tbl_Finance[Xero Invoice No]&lt;&gt;"")),tbl_Finance[Xero Invoice No])&amp;" +more"),"")))</f>
        <v/>
      </c>
      <c r="C6" s="24" t="n"/>
      <c r="D6" s="25">
        <f>IF(C6="","",IF(COUNTIF(lst_Jobs,C6&amp;"")&gt;0,"OK","CHECK"))</f>
        <v/>
      </c>
      <c r="E6" s="25">
        <f>IF(C6="","",IFERROR(INDEX(lst_JobName,MATCH(C6&amp;"",lst_Jobs,0)),""))</f>
        <v/>
      </c>
      <c r="F6" s="25">
        <f>IF(C6="","",IFERROR(INDEX(tbl_Finance[Client],MATCH(C6&amp;"",tbl_Finance[Job Number],0)),""))</f>
        <v/>
      </c>
      <c r="G6" s="28">
        <f>IF(C6="","",COUNTIFS(tbl_Finance[Job Number],C6&amp;"",tbl_Finance[Ex GST],"&lt;&gt;"))</f>
        <v/>
      </c>
      <c r="H6" s="27">
        <f>IF(C6="","",SUMIFS(tbl_Finance[Ex GST],tbl_Finance[Job Number],C6&amp;""))</f>
        <v/>
      </c>
      <c r="I6" s="27">
        <f>IF(C6="","",SUMIFS(tbl_Finance[Ex GST],tbl_Finance[Job Number],C6&amp;"",tbl_Finance[Xero Invoice No],"&lt;&gt;"))</f>
        <v/>
      </c>
      <c r="J6" s="27">
        <f>IF(C6="","",H6-I6)</f>
        <v/>
      </c>
      <c r="K6" s="25">
        <f>IF(C6="","",IF(G6=0,"not invoiced yet",SUBSTITUTE(TRIM(IF(COUNTIFS(tbl_Finance[Job Number],C6&amp;"",tbl_Finance[Cost Centre],"ONSITE")&gt;0,"ONSITE ","")&amp;IF(COUNTIFS(tbl_Finance[Job Number],C6&amp;"",tbl_Finance[Cost Centre],"PRODUCTION")&gt;0,"PRODUCTION ","")&amp;IF(COUNTIFS(tbl_Finance[Job Number],C6&amp;"",tbl_Finance[Cost Centre],"VIDEO")&gt;0,"VIDEO ","")&amp;IF(COUNTIFS(tbl_Finance[Job Number],C6&amp;"",tbl_Finance[Cost Centre],"INTEGRATION")&gt;0,"INTEGRATION ","")&amp;IF(COUNTIFS(tbl_Finance[Job Number],C6&amp;"",tbl_Finance[Cost Centre],"CONSULTING")&gt;0,"CONSULTING ","")&amp;IF(COUNTIFS(tbl_Finance[Job Number],C6&amp;"",tbl_Finance[Cost Centre],"CTS")&gt;0,"CTS ",""))," ",", ")))</f>
        <v/>
      </c>
      <c r="L6" s="24" t="n"/>
      <c r="M6" s="24" t="n"/>
      <c r="N6" s="25">
        <f>IF(M6="","",HYPERLINK(IF(LEFT(M6,4)="http",M6,set_QwilrBase&amp;M6),"Open quote"))</f>
        <v/>
      </c>
      <c r="O6" s="69" t="n"/>
      <c r="P6" s="24" t="n"/>
      <c r="Q6" s="24" t="n"/>
    </row>
    <row r="7" ht="15" customHeight="1">
      <c r="A7" s="68">
        <f>IF(C7="","",IFERROR(IF(SUMPRODUCT(MAX((tbl_Finance[Job Number]=C7&amp;"")*(tbl_Finance[Xero Invoice No]&lt;&gt;"")*tbl_Finance[Date]))=0,"",SUMPRODUCT(MAX((tbl_Finance[Job Number]=C7&amp;"")*(tbl_Finance[Xero Invoice No]&lt;&gt;"")*tbl_Finance[Date]))),""))</f>
        <v/>
      </c>
      <c r="B7" s="25">
        <f>IF(C7="","",IF(COUNTIFS(tbl_Finance[Job Number],C7&amp;"",tbl_Finance[Xero Invoice No],"&lt;&gt;")=0,"",IFERROR(IF(COUNTIFS(tbl_Finance[Job Number],C7&amp;"",tbl_Finance[Xero Invoice No],LOOKUP(2,1/((tbl_Finance[Job Number]=C7&amp;"")*(tbl_Finance[Xero Invoice No]&lt;&gt;"")),tbl_Finance[Xero Invoice No]))=COUNTIFS(tbl_Finance[Job Number],C7&amp;"",tbl_Finance[Xero Invoice No],"&lt;&gt;"),LOOKUP(2,1/((tbl_Finance[Job Number]=C7&amp;"")*(tbl_Finance[Xero Invoice No]&lt;&gt;"")),tbl_Finance[Xero Invoice No]),LOOKUP(2,1/((tbl_Finance[Job Number]=C7&amp;"")*(tbl_Finance[Xero Invoice No]&lt;&gt;"")),tbl_Finance[Xero Invoice No])&amp;" +more"),"")))</f>
        <v/>
      </c>
      <c r="C7" s="24" t="n"/>
      <c r="D7" s="25">
        <f>IF(C7="","",IF(COUNTIF(lst_Jobs,C7&amp;"")&gt;0,"OK","CHECK"))</f>
        <v/>
      </c>
      <c r="E7" s="25">
        <f>IF(C7="","",IFERROR(INDEX(lst_JobName,MATCH(C7&amp;"",lst_Jobs,0)),""))</f>
        <v/>
      </c>
      <c r="F7" s="25">
        <f>IF(C7="","",IFERROR(INDEX(tbl_Finance[Client],MATCH(C7&amp;"",tbl_Finance[Job Number],0)),""))</f>
        <v/>
      </c>
      <c r="G7" s="28">
        <f>IF(C7="","",COUNTIFS(tbl_Finance[Job Number],C7&amp;"",tbl_Finance[Ex GST],"&lt;&gt;"))</f>
        <v/>
      </c>
      <c r="H7" s="27">
        <f>IF(C7="","",SUMIFS(tbl_Finance[Ex GST],tbl_Finance[Job Number],C7&amp;""))</f>
        <v/>
      </c>
      <c r="I7" s="27">
        <f>IF(C7="","",SUMIFS(tbl_Finance[Ex GST],tbl_Finance[Job Number],C7&amp;"",tbl_Finance[Xero Invoice No],"&lt;&gt;"))</f>
        <v/>
      </c>
      <c r="J7" s="27">
        <f>IF(C7="","",H7-I7)</f>
        <v/>
      </c>
      <c r="K7" s="25">
        <f>IF(C7="","",IF(G7=0,"not invoiced yet",SUBSTITUTE(TRIM(IF(COUNTIFS(tbl_Finance[Job Number],C7&amp;"",tbl_Finance[Cost Centre],"ONSITE")&gt;0,"ONSITE ","")&amp;IF(COUNTIFS(tbl_Finance[Job Number],C7&amp;"",tbl_Finance[Cost Centre],"PRODUCTION")&gt;0,"PRODUCTION ","")&amp;IF(COUNTIFS(tbl_Finance[Job Number],C7&amp;"",tbl_Finance[Cost Centre],"VIDEO")&gt;0,"VIDEO ","")&amp;IF(COUNTIFS(tbl_Finance[Job Number],C7&amp;"",tbl_Finance[Cost Centre],"INTEGRATION")&gt;0,"INTEGRATION ","")&amp;IF(COUNTIFS(tbl_Finance[Job Number],C7&amp;"",tbl_Finance[Cost Centre],"CONSULTING")&gt;0,"CONSULTING ","")&amp;IF(COUNTIFS(tbl_Finance[Job Number],C7&amp;"",tbl_Finance[Cost Centre],"CTS")&gt;0,"CTS ",""))," ",", ")))</f>
        <v/>
      </c>
      <c r="L7" s="24" t="n"/>
      <c r="M7" s="24" t="n"/>
      <c r="N7" s="25">
        <f>IF(M7="","",HYPERLINK(IF(LEFT(M7,4)="http",M7,set_QwilrBase&amp;M7),"Open quote"))</f>
        <v/>
      </c>
      <c r="O7" s="69" t="n"/>
      <c r="P7" s="24" t="n"/>
      <c r="Q7" s="24" t="n"/>
    </row>
    <row r="8" ht="15" customHeight="1">
      <c r="A8" s="68">
        <f>IF(C8="","",IFERROR(IF(SUMPRODUCT(MAX((tbl_Finance[Job Number]=C8&amp;"")*(tbl_Finance[Xero Invoice No]&lt;&gt;"")*tbl_Finance[Date]))=0,"",SUMPRODUCT(MAX((tbl_Finance[Job Number]=C8&amp;"")*(tbl_Finance[Xero Invoice No]&lt;&gt;"")*tbl_Finance[Date]))),""))</f>
        <v/>
      </c>
      <c r="B8" s="25">
        <f>IF(C8="","",IF(COUNTIFS(tbl_Finance[Job Number],C8&amp;"",tbl_Finance[Xero Invoice No],"&lt;&gt;")=0,"",IFERROR(IF(COUNTIFS(tbl_Finance[Job Number],C8&amp;"",tbl_Finance[Xero Invoice No],LOOKUP(2,1/((tbl_Finance[Job Number]=C8&amp;"")*(tbl_Finance[Xero Invoice No]&lt;&gt;"")),tbl_Finance[Xero Invoice No]))=COUNTIFS(tbl_Finance[Job Number],C8&amp;"",tbl_Finance[Xero Invoice No],"&lt;&gt;"),LOOKUP(2,1/((tbl_Finance[Job Number]=C8&amp;"")*(tbl_Finance[Xero Invoice No]&lt;&gt;"")),tbl_Finance[Xero Invoice No]),LOOKUP(2,1/((tbl_Finance[Job Number]=C8&amp;"")*(tbl_Finance[Xero Invoice No]&lt;&gt;"")),tbl_Finance[Xero Invoice No])&amp;" +more"),"")))</f>
        <v/>
      </c>
      <c r="C8" s="24" t="n"/>
      <c r="D8" s="25">
        <f>IF(C8="","",IF(COUNTIF(lst_Jobs,C8&amp;"")&gt;0,"OK","CHECK"))</f>
        <v/>
      </c>
      <c r="E8" s="25">
        <f>IF(C8="","",IFERROR(INDEX(lst_JobName,MATCH(C8&amp;"",lst_Jobs,0)),""))</f>
        <v/>
      </c>
      <c r="F8" s="25">
        <f>IF(C8="","",IFERROR(INDEX(tbl_Finance[Client],MATCH(C8&amp;"",tbl_Finance[Job Number],0)),""))</f>
        <v/>
      </c>
      <c r="G8" s="28">
        <f>IF(C8="","",COUNTIFS(tbl_Finance[Job Number],C8&amp;"",tbl_Finance[Ex GST],"&lt;&gt;"))</f>
        <v/>
      </c>
      <c r="H8" s="27">
        <f>IF(C8="","",SUMIFS(tbl_Finance[Ex GST],tbl_Finance[Job Number],C8&amp;""))</f>
        <v/>
      </c>
      <c r="I8" s="27">
        <f>IF(C8="","",SUMIFS(tbl_Finance[Ex GST],tbl_Finance[Job Number],C8&amp;"",tbl_Finance[Xero Invoice No],"&lt;&gt;"))</f>
        <v/>
      </c>
      <c r="J8" s="27">
        <f>IF(C8="","",H8-I8)</f>
        <v/>
      </c>
      <c r="K8" s="25">
        <f>IF(C8="","",IF(G8=0,"not invoiced yet",SUBSTITUTE(TRIM(IF(COUNTIFS(tbl_Finance[Job Number],C8&amp;"",tbl_Finance[Cost Centre],"ONSITE")&gt;0,"ONSITE ","")&amp;IF(COUNTIFS(tbl_Finance[Job Number],C8&amp;"",tbl_Finance[Cost Centre],"PRODUCTION")&gt;0,"PRODUCTION ","")&amp;IF(COUNTIFS(tbl_Finance[Job Number],C8&amp;"",tbl_Finance[Cost Centre],"VIDEO")&gt;0,"VIDEO ","")&amp;IF(COUNTIFS(tbl_Finance[Job Number],C8&amp;"",tbl_Finance[Cost Centre],"INTEGRATION")&gt;0,"INTEGRATION ","")&amp;IF(COUNTIFS(tbl_Finance[Job Number],C8&amp;"",tbl_Finance[Cost Centre],"CONSULTING")&gt;0,"CONSULTING ","")&amp;IF(COUNTIFS(tbl_Finance[Job Number],C8&amp;"",tbl_Finance[Cost Centre],"CTS")&gt;0,"CTS ",""))," ",", ")))</f>
        <v/>
      </c>
      <c r="L8" s="24" t="n"/>
      <c r="M8" s="24" t="n"/>
      <c r="N8" s="25">
        <f>IF(M8="","",HYPERLINK(IF(LEFT(M8,4)="http",M8,set_QwilrBase&amp;M8),"Open quote"))</f>
        <v/>
      </c>
      <c r="O8" s="69" t="n"/>
      <c r="P8" s="24" t="n"/>
      <c r="Q8" s="24" t="n"/>
    </row>
    <row r="9" ht="15" customHeight="1">
      <c r="A9" s="68">
        <f>IF(C9="","",IFERROR(IF(SUMPRODUCT(MAX((tbl_Finance[Job Number]=C9&amp;"")*(tbl_Finance[Xero Invoice No]&lt;&gt;"")*tbl_Finance[Date]))=0,"",SUMPRODUCT(MAX((tbl_Finance[Job Number]=C9&amp;"")*(tbl_Finance[Xero Invoice No]&lt;&gt;"")*tbl_Finance[Date]))),""))</f>
        <v/>
      </c>
      <c r="B9" s="25">
        <f>IF(C9="","",IF(COUNTIFS(tbl_Finance[Job Number],C9&amp;"",tbl_Finance[Xero Invoice No],"&lt;&gt;")=0,"",IFERROR(IF(COUNTIFS(tbl_Finance[Job Number],C9&amp;"",tbl_Finance[Xero Invoice No],LOOKUP(2,1/((tbl_Finance[Job Number]=C9&amp;"")*(tbl_Finance[Xero Invoice No]&lt;&gt;"")),tbl_Finance[Xero Invoice No]))=COUNTIFS(tbl_Finance[Job Number],C9&amp;"",tbl_Finance[Xero Invoice No],"&lt;&gt;"),LOOKUP(2,1/((tbl_Finance[Job Number]=C9&amp;"")*(tbl_Finance[Xero Invoice No]&lt;&gt;"")),tbl_Finance[Xero Invoice No]),LOOKUP(2,1/((tbl_Finance[Job Number]=C9&amp;"")*(tbl_Finance[Xero Invoice No]&lt;&gt;"")),tbl_Finance[Xero Invoice No])&amp;" +more"),"")))</f>
        <v/>
      </c>
      <c r="C9" s="24" t="n"/>
      <c r="D9" s="25">
        <f>IF(C9="","",IF(COUNTIF(lst_Jobs,C9&amp;"")&gt;0,"OK","CHECK"))</f>
        <v/>
      </c>
      <c r="E9" s="25">
        <f>IF(C9="","",IFERROR(INDEX(lst_JobName,MATCH(C9&amp;"",lst_Jobs,0)),""))</f>
        <v/>
      </c>
      <c r="F9" s="25">
        <f>IF(C9="","",IFERROR(INDEX(tbl_Finance[Client],MATCH(C9&amp;"",tbl_Finance[Job Number],0)),""))</f>
        <v/>
      </c>
      <c r="G9" s="28">
        <f>IF(C9="","",COUNTIFS(tbl_Finance[Job Number],C9&amp;"",tbl_Finance[Ex GST],"&lt;&gt;"))</f>
        <v/>
      </c>
      <c r="H9" s="27">
        <f>IF(C9="","",SUMIFS(tbl_Finance[Ex GST],tbl_Finance[Job Number],C9&amp;""))</f>
        <v/>
      </c>
      <c r="I9" s="27">
        <f>IF(C9="","",SUMIFS(tbl_Finance[Ex GST],tbl_Finance[Job Number],C9&amp;"",tbl_Finance[Xero Invoice No],"&lt;&gt;"))</f>
        <v/>
      </c>
      <c r="J9" s="27">
        <f>IF(C9="","",H9-I9)</f>
        <v/>
      </c>
      <c r="K9" s="25">
        <f>IF(C9="","",IF(G9=0,"not invoiced yet",SUBSTITUTE(TRIM(IF(COUNTIFS(tbl_Finance[Job Number],C9&amp;"",tbl_Finance[Cost Centre],"ONSITE")&gt;0,"ONSITE ","")&amp;IF(COUNTIFS(tbl_Finance[Job Number],C9&amp;"",tbl_Finance[Cost Centre],"PRODUCTION")&gt;0,"PRODUCTION ","")&amp;IF(COUNTIFS(tbl_Finance[Job Number],C9&amp;"",tbl_Finance[Cost Centre],"VIDEO")&gt;0,"VIDEO ","")&amp;IF(COUNTIFS(tbl_Finance[Job Number],C9&amp;"",tbl_Finance[Cost Centre],"INTEGRATION")&gt;0,"INTEGRATION ","")&amp;IF(COUNTIFS(tbl_Finance[Job Number],C9&amp;"",tbl_Finance[Cost Centre],"CONSULTING")&gt;0,"CONSULTING ","")&amp;IF(COUNTIFS(tbl_Finance[Job Number],C9&amp;"",tbl_Finance[Cost Centre],"CTS")&gt;0,"CTS ",""))," ",", ")))</f>
        <v/>
      </c>
      <c r="L9" s="24" t="n"/>
      <c r="M9" s="24" t="n"/>
      <c r="N9" s="25">
        <f>IF(M9="","",HYPERLINK(IF(LEFT(M9,4)="http",M9,set_QwilrBase&amp;M9),"Open quote"))</f>
        <v/>
      </c>
      <c r="O9" s="69" t="n"/>
      <c r="P9" s="24" t="n"/>
      <c r="Q9" s="24" t="n"/>
    </row>
    <row r="10" ht="15" customHeight="1">
      <c r="A10" s="68">
        <f>IF(C10="","",IFERROR(IF(SUMPRODUCT(MAX((tbl_Finance[Job Number]=C10&amp;"")*(tbl_Finance[Xero Invoice No]&lt;&gt;"")*tbl_Finance[Date]))=0,"",SUMPRODUCT(MAX((tbl_Finance[Job Number]=C10&amp;"")*(tbl_Finance[Xero Invoice No]&lt;&gt;"")*tbl_Finance[Date]))),""))</f>
        <v/>
      </c>
      <c r="B10" s="25">
        <f>IF(C10="","",IF(COUNTIFS(tbl_Finance[Job Number],C10&amp;"",tbl_Finance[Xero Invoice No],"&lt;&gt;")=0,"",IFERROR(IF(COUNTIFS(tbl_Finance[Job Number],C10&amp;"",tbl_Finance[Xero Invoice No],LOOKUP(2,1/((tbl_Finance[Job Number]=C10&amp;"")*(tbl_Finance[Xero Invoice No]&lt;&gt;"")),tbl_Finance[Xero Invoice No]))=COUNTIFS(tbl_Finance[Job Number],C10&amp;"",tbl_Finance[Xero Invoice No],"&lt;&gt;"),LOOKUP(2,1/((tbl_Finance[Job Number]=C10&amp;"")*(tbl_Finance[Xero Invoice No]&lt;&gt;"")),tbl_Finance[Xero Invoice No]),LOOKUP(2,1/((tbl_Finance[Job Number]=C10&amp;"")*(tbl_Finance[Xero Invoice No]&lt;&gt;"")),tbl_Finance[Xero Invoice No])&amp;" +more"),"")))</f>
        <v/>
      </c>
      <c r="C10" s="24" t="n"/>
      <c r="D10" s="25">
        <f>IF(C10="","",IF(COUNTIF(lst_Jobs,C10&amp;"")&gt;0,"OK","CHECK"))</f>
        <v/>
      </c>
      <c r="E10" s="25">
        <f>IF(C10="","",IFERROR(INDEX(lst_JobName,MATCH(C10&amp;"",lst_Jobs,0)),""))</f>
        <v/>
      </c>
      <c r="F10" s="25">
        <f>IF(C10="","",IFERROR(INDEX(tbl_Finance[Client],MATCH(C10&amp;"",tbl_Finance[Job Number],0)),""))</f>
        <v/>
      </c>
      <c r="G10" s="28">
        <f>IF(C10="","",COUNTIFS(tbl_Finance[Job Number],C10&amp;"",tbl_Finance[Ex GST],"&lt;&gt;"))</f>
        <v/>
      </c>
      <c r="H10" s="27">
        <f>IF(C10="","",SUMIFS(tbl_Finance[Ex GST],tbl_Finance[Job Number],C10&amp;""))</f>
        <v/>
      </c>
      <c r="I10" s="27">
        <f>IF(C10="","",SUMIFS(tbl_Finance[Ex GST],tbl_Finance[Job Number],C10&amp;"",tbl_Finance[Xero Invoice No],"&lt;&gt;"))</f>
        <v/>
      </c>
      <c r="J10" s="27">
        <f>IF(C10="","",H10-I10)</f>
        <v/>
      </c>
      <c r="K10" s="25">
        <f>IF(C10="","",IF(G10=0,"not invoiced yet",SUBSTITUTE(TRIM(IF(COUNTIFS(tbl_Finance[Job Number],C10&amp;"",tbl_Finance[Cost Centre],"ONSITE")&gt;0,"ONSITE ","")&amp;IF(COUNTIFS(tbl_Finance[Job Number],C10&amp;"",tbl_Finance[Cost Centre],"PRODUCTION")&gt;0,"PRODUCTION ","")&amp;IF(COUNTIFS(tbl_Finance[Job Number],C10&amp;"",tbl_Finance[Cost Centre],"VIDEO")&gt;0,"VIDEO ","")&amp;IF(COUNTIFS(tbl_Finance[Job Number],C10&amp;"",tbl_Finance[Cost Centre],"INTEGRATION")&gt;0,"INTEGRATION ","")&amp;IF(COUNTIFS(tbl_Finance[Job Number],C10&amp;"",tbl_Finance[Cost Centre],"CONSULTING")&gt;0,"CONSULTING ","")&amp;IF(COUNTIFS(tbl_Finance[Job Number],C10&amp;"",tbl_Finance[Cost Centre],"CTS")&gt;0,"CTS ",""))," ",", ")))</f>
        <v/>
      </c>
      <c r="L10" s="24" t="n"/>
      <c r="M10" s="24" t="n"/>
      <c r="N10" s="25">
        <f>IF(M10="","",HYPERLINK(IF(LEFT(M10,4)="http",M10,set_QwilrBase&amp;M10),"Open quote"))</f>
        <v/>
      </c>
      <c r="O10" s="69" t="n"/>
      <c r="P10" s="24" t="n"/>
      <c r="Q10" s="24" t="n"/>
    </row>
    <row r="11" ht="15" customHeight="1">
      <c r="A11" s="68">
        <f>IF(C11="","",IFERROR(IF(SUMPRODUCT(MAX((tbl_Finance[Job Number]=C11&amp;"")*(tbl_Finance[Xero Invoice No]&lt;&gt;"")*tbl_Finance[Date]))=0,"",SUMPRODUCT(MAX((tbl_Finance[Job Number]=C11&amp;"")*(tbl_Finance[Xero Invoice No]&lt;&gt;"")*tbl_Finance[Date]))),""))</f>
        <v/>
      </c>
      <c r="B11" s="25">
        <f>IF(C11="","",IF(COUNTIFS(tbl_Finance[Job Number],C11&amp;"",tbl_Finance[Xero Invoice No],"&lt;&gt;")=0,"",IFERROR(IF(COUNTIFS(tbl_Finance[Job Number],C11&amp;"",tbl_Finance[Xero Invoice No],LOOKUP(2,1/((tbl_Finance[Job Number]=C11&amp;"")*(tbl_Finance[Xero Invoice No]&lt;&gt;"")),tbl_Finance[Xero Invoice No]))=COUNTIFS(tbl_Finance[Job Number],C11&amp;"",tbl_Finance[Xero Invoice No],"&lt;&gt;"),LOOKUP(2,1/((tbl_Finance[Job Number]=C11&amp;"")*(tbl_Finance[Xero Invoice No]&lt;&gt;"")),tbl_Finance[Xero Invoice No]),LOOKUP(2,1/((tbl_Finance[Job Number]=C11&amp;"")*(tbl_Finance[Xero Invoice No]&lt;&gt;"")),tbl_Finance[Xero Invoice No])&amp;" +more"),"")))</f>
        <v/>
      </c>
      <c r="C11" s="24" t="n"/>
      <c r="D11" s="25">
        <f>IF(C11="","",IF(COUNTIF(lst_Jobs,C11&amp;"")&gt;0,"OK","CHECK"))</f>
        <v/>
      </c>
      <c r="E11" s="25">
        <f>IF(C11="","",IFERROR(INDEX(lst_JobName,MATCH(C11&amp;"",lst_Jobs,0)),""))</f>
        <v/>
      </c>
      <c r="F11" s="25">
        <f>IF(C11="","",IFERROR(INDEX(tbl_Finance[Client],MATCH(C11&amp;"",tbl_Finance[Job Number],0)),""))</f>
        <v/>
      </c>
      <c r="G11" s="28">
        <f>IF(C11="","",COUNTIFS(tbl_Finance[Job Number],C11&amp;"",tbl_Finance[Ex GST],"&lt;&gt;"))</f>
        <v/>
      </c>
      <c r="H11" s="27">
        <f>IF(C11="","",SUMIFS(tbl_Finance[Ex GST],tbl_Finance[Job Number],C11&amp;""))</f>
        <v/>
      </c>
      <c r="I11" s="27">
        <f>IF(C11="","",SUMIFS(tbl_Finance[Ex GST],tbl_Finance[Job Number],C11&amp;"",tbl_Finance[Xero Invoice No],"&lt;&gt;"))</f>
        <v/>
      </c>
      <c r="J11" s="27">
        <f>IF(C11="","",H11-I11)</f>
        <v/>
      </c>
      <c r="K11" s="25">
        <f>IF(C11="","",IF(G11=0,"not invoiced yet",SUBSTITUTE(TRIM(IF(COUNTIFS(tbl_Finance[Job Number],C11&amp;"",tbl_Finance[Cost Centre],"ONSITE")&gt;0,"ONSITE ","")&amp;IF(COUNTIFS(tbl_Finance[Job Number],C11&amp;"",tbl_Finance[Cost Centre],"PRODUCTION")&gt;0,"PRODUCTION ","")&amp;IF(COUNTIFS(tbl_Finance[Job Number],C11&amp;"",tbl_Finance[Cost Centre],"VIDEO")&gt;0,"VIDEO ","")&amp;IF(COUNTIFS(tbl_Finance[Job Number],C11&amp;"",tbl_Finance[Cost Centre],"INTEGRATION")&gt;0,"INTEGRATION ","")&amp;IF(COUNTIFS(tbl_Finance[Job Number],C11&amp;"",tbl_Finance[Cost Centre],"CONSULTING")&gt;0,"CONSULTING ","")&amp;IF(COUNTIFS(tbl_Finance[Job Number],C11&amp;"",tbl_Finance[Cost Centre],"CTS")&gt;0,"CTS ",""))," ",", ")))</f>
        <v/>
      </c>
      <c r="L11" s="24" t="n"/>
      <c r="M11" s="24" t="n"/>
      <c r="N11" s="25">
        <f>IF(M11="","",HYPERLINK(IF(LEFT(M11,4)="http",M11,set_QwilrBase&amp;M11),"Open quote"))</f>
        <v/>
      </c>
      <c r="O11" s="69" t="n"/>
      <c r="P11" s="24" t="n"/>
      <c r="Q11" s="24" t="n"/>
    </row>
    <row r="12" ht="15" customHeight="1">
      <c r="A12" s="68">
        <f>IF(C12="","",IFERROR(IF(SUMPRODUCT(MAX((tbl_Finance[Job Number]=C12&amp;"")*(tbl_Finance[Xero Invoice No]&lt;&gt;"")*tbl_Finance[Date]))=0,"",SUMPRODUCT(MAX((tbl_Finance[Job Number]=C12&amp;"")*(tbl_Finance[Xero Invoice No]&lt;&gt;"")*tbl_Finance[Date]))),""))</f>
        <v/>
      </c>
      <c r="B12" s="25">
        <f>IF(C12="","",IF(COUNTIFS(tbl_Finance[Job Number],C12&amp;"",tbl_Finance[Xero Invoice No],"&lt;&gt;")=0,"",IFERROR(IF(COUNTIFS(tbl_Finance[Job Number],C12&amp;"",tbl_Finance[Xero Invoice No],LOOKUP(2,1/((tbl_Finance[Job Number]=C12&amp;"")*(tbl_Finance[Xero Invoice No]&lt;&gt;"")),tbl_Finance[Xero Invoice No]))=COUNTIFS(tbl_Finance[Job Number],C12&amp;"",tbl_Finance[Xero Invoice No],"&lt;&gt;"),LOOKUP(2,1/((tbl_Finance[Job Number]=C12&amp;"")*(tbl_Finance[Xero Invoice No]&lt;&gt;"")),tbl_Finance[Xero Invoice No]),LOOKUP(2,1/((tbl_Finance[Job Number]=C12&amp;"")*(tbl_Finance[Xero Invoice No]&lt;&gt;"")),tbl_Finance[Xero Invoice No])&amp;" +more"),"")))</f>
        <v/>
      </c>
      <c r="C12" s="24" t="n"/>
      <c r="D12" s="25">
        <f>IF(C12="","",IF(COUNTIF(lst_Jobs,C12&amp;"")&gt;0,"OK","CHECK"))</f>
        <v/>
      </c>
      <c r="E12" s="25">
        <f>IF(C12="","",IFERROR(INDEX(lst_JobName,MATCH(C12&amp;"",lst_Jobs,0)),""))</f>
        <v/>
      </c>
      <c r="F12" s="25">
        <f>IF(C12="","",IFERROR(INDEX(tbl_Finance[Client],MATCH(C12&amp;"",tbl_Finance[Job Number],0)),""))</f>
        <v/>
      </c>
      <c r="G12" s="28">
        <f>IF(C12="","",COUNTIFS(tbl_Finance[Job Number],C12&amp;"",tbl_Finance[Ex GST],"&lt;&gt;"))</f>
        <v/>
      </c>
      <c r="H12" s="27">
        <f>IF(C12="","",SUMIFS(tbl_Finance[Ex GST],tbl_Finance[Job Number],C12&amp;""))</f>
        <v/>
      </c>
      <c r="I12" s="27">
        <f>IF(C12="","",SUMIFS(tbl_Finance[Ex GST],tbl_Finance[Job Number],C12&amp;"",tbl_Finance[Xero Invoice No],"&lt;&gt;"))</f>
        <v/>
      </c>
      <c r="J12" s="27">
        <f>IF(C12="","",H12-I12)</f>
        <v/>
      </c>
      <c r="K12" s="25">
        <f>IF(C12="","",IF(G12=0,"not invoiced yet",SUBSTITUTE(TRIM(IF(COUNTIFS(tbl_Finance[Job Number],C12&amp;"",tbl_Finance[Cost Centre],"ONSITE")&gt;0,"ONSITE ","")&amp;IF(COUNTIFS(tbl_Finance[Job Number],C12&amp;"",tbl_Finance[Cost Centre],"PRODUCTION")&gt;0,"PRODUCTION ","")&amp;IF(COUNTIFS(tbl_Finance[Job Number],C12&amp;"",tbl_Finance[Cost Centre],"VIDEO")&gt;0,"VIDEO ","")&amp;IF(COUNTIFS(tbl_Finance[Job Number],C12&amp;"",tbl_Finance[Cost Centre],"INTEGRATION")&gt;0,"INTEGRATION ","")&amp;IF(COUNTIFS(tbl_Finance[Job Number],C12&amp;"",tbl_Finance[Cost Centre],"CONSULTING")&gt;0,"CONSULTING ","")&amp;IF(COUNTIFS(tbl_Finance[Job Number],C12&amp;"",tbl_Finance[Cost Centre],"CTS")&gt;0,"CTS ",""))," ",", ")))</f>
        <v/>
      </c>
      <c r="L12" s="24" t="n"/>
      <c r="M12" s="24" t="n"/>
      <c r="N12" s="25">
        <f>IF(M12="","",HYPERLINK(IF(LEFT(M12,4)="http",M12,set_QwilrBase&amp;M12),"Open quote"))</f>
        <v/>
      </c>
      <c r="O12" s="69" t="n"/>
      <c r="P12" s="24" t="n"/>
      <c r="Q12" s="24" t="n"/>
    </row>
    <row r="13" ht="15" customHeight="1">
      <c r="A13" s="68">
        <f>IF(C13="","",IFERROR(IF(SUMPRODUCT(MAX((tbl_Finance[Job Number]=C13&amp;"")*(tbl_Finance[Xero Invoice No]&lt;&gt;"")*tbl_Finance[Date]))=0,"",SUMPRODUCT(MAX((tbl_Finance[Job Number]=C13&amp;"")*(tbl_Finance[Xero Invoice No]&lt;&gt;"")*tbl_Finance[Date]))),""))</f>
        <v/>
      </c>
      <c r="B13" s="25">
        <f>IF(C13="","",IF(COUNTIFS(tbl_Finance[Job Number],C13&amp;"",tbl_Finance[Xero Invoice No],"&lt;&gt;")=0,"",IFERROR(IF(COUNTIFS(tbl_Finance[Job Number],C13&amp;"",tbl_Finance[Xero Invoice No],LOOKUP(2,1/((tbl_Finance[Job Number]=C13&amp;"")*(tbl_Finance[Xero Invoice No]&lt;&gt;"")),tbl_Finance[Xero Invoice No]))=COUNTIFS(tbl_Finance[Job Number],C13&amp;"",tbl_Finance[Xero Invoice No],"&lt;&gt;"),LOOKUP(2,1/((tbl_Finance[Job Number]=C13&amp;"")*(tbl_Finance[Xero Invoice No]&lt;&gt;"")),tbl_Finance[Xero Invoice No]),LOOKUP(2,1/((tbl_Finance[Job Number]=C13&amp;"")*(tbl_Finance[Xero Invoice No]&lt;&gt;"")),tbl_Finance[Xero Invoice No])&amp;" +more"),"")))</f>
        <v/>
      </c>
      <c r="C13" s="24" t="n"/>
      <c r="D13" s="25">
        <f>IF(C13="","",IF(COUNTIF(lst_Jobs,C13&amp;"")&gt;0,"OK","CHECK"))</f>
        <v/>
      </c>
      <c r="E13" s="25">
        <f>IF(C13="","",IFERROR(INDEX(lst_JobName,MATCH(C13&amp;"",lst_Jobs,0)),""))</f>
        <v/>
      </c>
      <c r="F13" s="25">
        <f>IF(C13="","",IFERROR(INDEX(tbl_Finance[Client],MATCH(C13&amp;"",tbl_Finance[Job Number],0)),""))</f>
        <v/>
      </c>
      <c r="G13" s="28">
        <f>IF(C13="","",COUNTIFS(tbl_Finance[Job Number],C13&amp;"",tbl_Finance[Ex GST],"&lt;&gt;"))</f>
        <v/>
      </c>
      <c r="H13" s="27">
        <f>IF(C13="","",SUMIFS(tbl_Finance[Ex GST],tbl_Finance[Job Number],C13&amp;""))</f>
        <v/>
      </c>
      <c r="I13" s="27">
        <f>IF(C13="","",SUMIFS(tbl_Finance[Ex GST],tbl_Finance[Job Number],C13&amp;"",tbl_Finance[Xero Invoice No],"&lt;&gt;"))</f>
        <v/>
      </c>
      <c r="J13" s="27">
        <f>IF(C13="","",H13-I13)</f>
        <v/>
      </c>
      <c r="K13" s="25">
        <f>IF(C13="","",IF(G13=0,"not invoiced yet",SUBSTITUTE(TRIM(IF(COUNTIFS(tbl_Finance[Job Number],C13&amp;"",tbl_Finance[Cost Centre],"ONSITE")&gt;0,"ONSITE ","")&amp;IF(COUNTIFS(tbl_Finance[Job Number],C13&amp;"",tbl_Finance[Cost Centre],"PRODUCTION")&gt;0,"PRODUCTION ","")&amp;IF(COUNTIFS(tbl_Finance[Job Number],C13&amp;"",tbl_Finance[Cost Centre],"VIDEO")&gt;0,"VIDEO ","")&amp;IF(COUNTIFS(tbl_Finance[Job Number],C13&amp;"",tbl_Finance[Cost Centre],"INTEGRATION")&gt;0,"INTEGRATION ","")&amp;IF(COUNTIFS(tbl_Finance[Job Number],C13&amp;"",tbl_Finance[Cost Centre],"CONSULTING")&gt;0,"CONSULTING ","")&amp;IF(COUNTIFS(tbl_Finance[Job Number],C13&amp;"",tbl_Finance[Cost Centre],"CTS")&gt;0,"CTS ",""))," ",", ")))</f>
        <v/>
      </c>
      <c r="L13" s="24" t="n"/>
      <c r="M13" s="24" t="n"/>
      <c r="N13" s="25">
        <f>IF(M13="","",HYPERLINK(IF(LEFT(M13,4)="http",M13,set_QwilrBase&amp;M13),"Open quote"))</f>
        <v/>
      </c>
      <c r="O13" s="69" t="n"/>
      <c r="P13" s="24" t="n"/>
      <c r="Q13" s="24" t="n"/>
    </row>
    <row r="14" ht="15" customHeight="1">
      <c r="A14" s="68">
        <f>IF(C14="","",IFERROR(IF(SUMPRODUCT(MAX((tbl_Finance[Job Number]=C14&amp;"")*(tbl_Finance[Xero Invoice No]&lt;&gt;"")*tbl_Finance[Date]))=0,"",SUMPRODUCT(MAX((tbl_Finance[Job Number]=C14&amp;"")*(tbl_Finance[Xero Invoice No]&lt;&gt;"")*tbl_Finance[Date]))),""))</f>
        <v/>
      </c>
      <c r="B14" s="25">
        <f>IF(C14="","",IF(COUNTIFS(tbl_Finance[Job Number],C14&amp;"",tbl_Finance[Xero Invoice No],"&lt;&gt;")=0,"",IFERROR(IF(COUNTIFS(tbl_Finance[Job Number],C14&amp;"",tbl_Finance[Xero Invoice No],LOOKUP(2,1/((tbl_Finance[Job Number]=C14&amp;"")*(tbl_Finance[Xero Invoice No]&lt;&gt;"")),tbl_Finance[Xero Invoice No]))=COUNTIFS(tbl_Finance[Job Number],C14&amp;"",tbl_Finance[Xero Invoice No],"&lt;&gt;"),LOOKUP(2,1/((tbl_Finance[Job Number]=C14&amp;"")*(tbl_Finance[Xero Invoice No]&lt;&gt;"")),tbl_Finance[Xero Invoice No]),LOOKUP(2,1/((tbl_Finance[Job Number]=C14&amp;"")*(tbl_Finance[Xero Invoice No]&lt;&gt;"")),tbl_Finance[Xero Invoice No])&amp;" +more"),"")))</f>
        <v/>
      </c>
      <c r="C14" s="24" t="n"/>
      <c r="D14" s="25">
        <f>IF(C14="","",IF(COUNTIF(lst_Jobs,C14&amp;"")&gt;0,"OK","CHECK"))</f>
        <v/>
      </c>
      <c r="E14" s="25">
        <f>IF(C14="","",IFERROR(INDEX(lst_JobName,MATCH(C14&amp;"",lst_Jobs,0)),""))</f>
        <v/>
      </c>
      <c r="F14" s="25">
        <f>IF(C14="","",IFERROR(INDEX(tbl_Finance[Client],MATCH(C14&amp;"",tbl_Finance[Job Number],0)),""))</f>
        <v/>
      </c>
      <c r="G14" s="28">
        <f>IF(C14="","",COUNTIFS(tbl_Finance[Job Number],C14&amp;"",tbl_Finance[Ex GST],"&lt;&gt;"))</f>
        <v/>
      </c>
      <c r="H14" s="27">
        <f>IF(C14="","",SUMIFS(tbl_Finance[Ex GST],tbl_Finance[Job Number],C14&amp;""))</f>
        <v/>
      </c>
      <c r="I14" s="27">
        <f>IF(C14="","",SUMIFS(tbl_Finance[Ex GST],tbl_Finance[Job Number],C14&amp;"",tbl_Finance[Xero Invoice No],"&lt;&gt;"))</f>
        <v/>
      </c>
      <c r="J14" s="27">
        <f>IF(C14="","",H14-I14)</f>
        <v/>
      </c>
      <c r="K14" s="25">
        <f>IF(C14="","",IF(G14=0,"not invoiced yet",SUBSTITUTE(TRIM(IF(COUNTIFS(tbl_Finance[Job Number],C14&amp;"",tbl_Finance[Cost Centre],"ONSITE")&gt;0,"ONSITE ","")&amp;IF(COUNTIFS(tbl_Finance[Job Number],C14&amp;"",tbl_Finance[Cost Centre],"PRODUCTION")&gt;0,"PRODUCTION ","")&amp;IF(COUNTIFS(tbl_Finance[Job Number],C14&amp;"",tbl_Finance[Cost Centre],"VIDEO")&gt;0,"VIDEO ","")&amp;IF(COUNTIFS(tbl_Finance[Job Number],C14&amp;"",tbl_Finance[Cost Centre],"INTEGRATION")&gt;0,"INTEGRATION ","")&amp;IF(COUNTIFS(tbl_Finance[Job Number],C14&amp;"",tbl_Finance[Cost Centre],"CONSULTING")&gt;0,"CONSULTING ","")&amp;IF(COUNTIFS(tbl_Finance[Job Number],C14&amp;"",tbl_Finance[Cost Centre],"CTS")&gt;0,"CTS ",""))," ",", ")))</f>
        <v/>
      </c>
      <c r="L14" s="24" t="n"/>
      <c r="M14" s="24" t="n"/>
      <c r="N14" s="25">
        <f>IF(M14="","",HYPERLINK(IF(LEFT(M14,4)="http",M14,set_QwilrBase&amp;M14),"Open quote"))</f>
        <v/>
      </c>
      <c r="O14" s="69" t="n"/>
      <c r="P14" s="24" t="n"/>
      <c r="Q14" s="24" t="n"/>
    </row>
    <row r="15" ht="15" customHeight="1">
      <c r="A15" s="68">
        <f>IF(C15="","",IFERROR(IF(SUMPRODUCT(MAX((tbl_Finance[Job Number]=C15&amp;"")*(tbl_Finance[Xero Invoice No]&lt;&gt;"")*tbl_Finance[Date]))=0,"",SUMPRODUCT(MAX((tbl_Finance[Job Number]=C15&amp;"")*(tbl_Finance[Xero Invoice No]&lt;&gt;"")*tbl_Finance[Date]))),""))</f>
        <v/>
      </c>
      <c r="B15" s="25">
        <f>IF(C15="","",IF(COUNTIFS(tbl_Finance[Job Number],C15&amp;"",tbl_Finance[Xero Invoice No],"&lt;&gt;")=0,"",IFERROR(IF(COUNTIFS(tbl_Finance[Job Number],C15&amp;"",tbl_Finance[Xero Invoice No],LOOKUP(2,1/((tbl_Finance[Job Number]=C15&amp;"")*(tbl_Finance[Xero Invoice No]&lt;&gt;"")),tbl_Finance[Xero Invoice No]))=COUNTIFS(tbl_Finance[Job Number],C15&amp;"",tbl_Finance[Xero Invoice No],"&lt;&gt;"),LOOKUP(2,1/((tbl_Finance[Job Number]=C15&amp;"")*(tbl_Finance[Xero Invoice No]&lt;&gt;"")),tbl_Finance[Xero Invoice No]),LOOKUP(2,1/((tbl_Finance[Job Number]=C15&amp;"")*(tbl_Finance[Xero Invoice No]&lt;&gt;"")),tbl_Finance[Xero Invoice No])&amp;" +more"),"")))</f>
        <v/>
      </c>
      <c r="C15" s="24" t="n"/>
      <c r="D15" s="25">
        <f>IF(C15="","",IF(COUNTIF(lst_Jobs,C15&amp;"")&gt;0,"OK","CHECK"))</f>
        <v/>
      </c>
      <c r="E15" s="25">
        <f>IF(C15="","",IFERROR(INDEX(lst_JobName,MATCH(C15&amp;"",lst_Jobs,0)),""))</f>
        <v/>
      </c>
      <c r="F15" s="25">
        <f>IF(C15="","",IFERROR(INDEX(tbl_Finance[Client],MATCH(C15&amp;"",tbl_Finance[Job Number],0)),""))</f>
        <v/>
      </c>
      <c r="G15" s="28">
        <f>IF(C15="","",COUNTIFS(tbl_Finance[Job Number],C15&amp;"",tbl_Finance[Ex GST],"&lt;&gt;"))</f>
        <v/>
      </c>
      <c r="H15" s="27">
        <f>IF(C15="","",SUMIFS(tbl_Finance[Ex GST],tbl_Finance[Job Number],C15&amp;""))</f>
        <v/>
      </c>
      <c r="I15" s="27">
        <f>IF(C15="","",SUMIFS(tbl_Finance[Ex GST],tbl_Finance[Job Number],C15&amp;"",tbl_Finance[Xero Invoice No],"&lt;&gt;"))</f>
        <v/>
      </c>
      <c r="J15" s="27">
        <f>IF(C15="","",H15-I15)</f>
        <v/>
      </c>
      <c r="K15" s="25">
        <f>IF(C15="","",IF(G15=0,"not invoiced yet",SUBSTITUTE(TRIM(IF(COUNTIFS(tbl_Finance[Job Number],C15&amp;"",tbl_Finance[Cost Centre],"ONSITE")&gt;0,"ONSITE ","")&amp;IF(COUNTIFS(tbl_Finance[Job Number],C15&amp;"",tbl_Finance[Cost Centre],"PRODUCTION")&gt;0,"PRODUCTION ","")&amp;IF(COUNTIFS(tbl_Finance[Job Number],C15&amp;"",tbl_Finance[Cost Centre],"VIDEO")&gt;0,"VIDEO ","")&amp;IF(COUNTIFS(tbl_Finance[Job Number],C15&amp;"",tbl_Finance[Cost Centre],"INTEGRATION")&gt;0,"INTEGRATION ","")&amp;IF(COUNTIFS(tbl_Finance[Job Number],C15&amp;"",tbl_Finance[Cost Centre],"CONSULTING")&gt;0,"CONSULTING ","")&amp;IF(COUNTIFS(tbl_Finance[Job Number],C15&amp;"",tbl_Finance[Cost Centre],"CTS")&gt;0,"CTS ",""))," ",", ")))</f>
        <v/>
      </c>
      <c r="L15" s="24" t="n"/>
      <c r="M15" s="24" t="n"/>
      <c r="N15" s="25">
        <f>IF(M15="","",HYPERLINK(IF(LEFT(M15,4)="http",M15,set_QwilrBase&amp;M15),"Open quote"))</f>
        <v/>
      </c>
      <c r="O15" s="69" t="n"/>
      <c r="P15" s="24" t="n"/>
      <c r="Q15" s="24" t="n"/>
    </row>
    <row r="16" ht="15" customHeight="1">
      <c r="A16" s="68">
        <f>IF(C16="","",IFERROR(IF(SUMPRODUCT(MAX((tbl_Finance[Job Number]=C16&amp;"")*(tbl_Finance[Xero Invoice No]&lt;&gt;"")*tbl_Finance[Date]))=0,"",SUMPRODUCT(MAX((tbl_Finance[Job Number]=C16&amp;"")*(tbl_Finance[Xero Invoice No]&lt;&gt;"")*tbl_Finance[Date]))),""))</f>
        <v/>
      </c>
      <c r="B16" s="25">
        <f>IF(C16="","",IF(COUNTIFS(tbl_Finance[Job Number],C16&amp;"",tbl_Finance[Xero Invoice No],"&lt;&gt;")=0,"",IFERROR(IF(COUNTIFS(tbl_Finance[Job Number],C16&amp;"",tbl_Finance[Xero Invoice No],LOOKUP(2,1/((tbl_Finance[Job Number]=C16&amp;"")*(tbl_Finance[Xero Invoice No]&lt;&gt;"")),tbl_Finance[Xero Invoice No]))=COUNTIFS(tbl_Finance[Job Number],C16&amp;"",tbl_Finance[Xero Invoice No],"&lt;&gt;"),LOOKUP(2,1/((tbl_Finance[Job Number]=C16&amp;"")*(tbl_Finance[Xero Invoice No]&lt;&gt;"")),tbl_Finance[Xero Invoice No]),LOOKUP(2,1/((tbl_Finance[Job Number]=C16&amp;"")*(tbl_Finance[Xero Invoice No]&lt;&gt;"")),tbl_Finance[Xero Invoice No])&amp;" +more"),"")))</f>
        <v/>
      </c>
      <c r="C16" s="24" t="n"/>
      <c r="D16" s="25">
        <f>IF(C16="","",IF(COUNTIF(lst_Jobs,C16&amp;"")&gt;0,"OK","CHECK"))</f>
        <v/>
      </c>
      <c r="E16" s="25">
        <f>IF(C16="","",IFERROR(INDEX(lst_JobName,MATCH(C16&amp;"",lst_Jobs,0)),""))</f>
        <v/>
      </c>
      <c r="F16" s="25">
        <f>IF(C16="","",IFERROR(INDEX(tbl_Finance[Client],MATCH(C16&amp;"",tbl_Finance[Job Number],0)),""))</f>
        <v/>
      </c>
      <c r="G16" s="28">
        <f>IF(C16="","",COUNTIFS(tbl_Finance[Job Number],C16&amp;"",tbl_Finance[Ex GST],"&lt;&gt;"))</f>
        <v/>
      </c>
      <c r="H16" s="27">
        <f>IF(C16="","",SUMIFS(tbl_Finance[Ex GST],tbl_Finance[Job Number],C16&amp;""))</f>
        <v/>
      </c>
      <c r="I16" s="27">
        <f>IF(C16="","",SUMIFS(tbl_Finance[Ex GST],tbl_Finance[Job Number],C16&amp;"",tbl_Finance[Xero Invoice No],"&lt;&gt;"))</f>
        <v/>
      </c>
      <c r="J16" s="27">
        <f>IF(C16="","",H16-I16)</f>
        <v/>
      </c>
      <c r="K16" s="25">
        <f>IF(C16="","",IF(G16=0,"not invoiced yet",SUBSTITUTE(TRIM(IF(COUNTIFS(tbl_Finance[Job Number],C16&amp;"",tbl_Finance[Cost Centre],"ONSITE")&gt;0,"ONSITE ","")&amp;IF(COUNTIFS(tbl_Finance[Job Number],C16&amp;"",tbl_Finance[Cost Centre],"PRODUCTION")&gt;0,"PRODUCTION ","")&amp;IF(COUNTIFS(tbl_Finance[Job Number],C16&amp;"",tbl_Finance[Cost Centre],"VIDEO")&gt;0,"VIDEO ","")&amp;IF(COUNTIFS(tbl_Finance[Job Number],C16&amp;"",tbl_Finance[Cost Centre],"INTEGRATION")&gt;0,"INTEGRATION ","")&amp;IF(COUNTIFS(tbl_Finance[Job Number],C16&amp;"",tbl_Finance[Cost Centre],"CONSULTING")&gt;0,"CONSULTING ","")&amp;IF(COUNTIFS(tbl_Finance[Job Number],C16&amp;"",tbl_Finance[Cost Centre],"CTS")&gt;0,"CTS ",""))," ",", ")))</f>
        <v/>
      </c>
      <c r="L16" s="24" t="n"/>
      <c r="M16" s="24" t="n"/>
      <c r="N16" s="25">
        <f>IF(M16="","",HYPERLINK(IF(LEFT(M16,4)="http",M16,set_QwilrBase&amp;M16),"Open quote"))</f>
        <v/>
      </c>
      <c r="O16" s="69" t="n"/>
      <c r="P16" s="24" t="n"/>
      <c r="Q16" s="24" t="n"/>
    </row>
    <row r="17" ht="15" customHeight="1">
      <c r="A17" s="68">
        <f>IF(C17="","",IFERROR(IF(SUMPRODUCT(MAX((tbl_Finance[Job Number]=C17&amp;"")*(tbl_Finance[Xero Invoice No]&lt;&gt;"")*tbl_Finance[Date]))=0,"",SUMPRODUCT(MAX((tbl_Finance[Job Number]=C17&amp;"")*(tbl_Finance[Xero Invoice No]&lt;&gt;"")*tbl_Finance[Date]))),""))</f>
        <v/>
      </c>
      <c r="B17" s="25">
        <f>IF(C17="","",IF(COUNTIFS(tbl_Finance[Job Number],C17&amp;"",tbl_Finance[Xero Invoice No],"&lt;&gt;")=0,"",IFERROR(IF(COUNTIFS(tbl_Finance[Job Number],C17&amp;"",tbl_Finance[Xero Invoice No],LOOKUP(2,1/((tbl_Finance[Job Number]=C17&amp;"")*(tbl_Finance[Xero Invoice No]&lt;&gt;"")),tbl_Finance[Xero Invoice No]))=COUNTIFS(tbl_Finance[Job Number],C17&amp;"",tbl_Finance[Xero Invoice No],"&lt;&gt;"),LOOKUP(2,1/((tbl_Finance[Job Number]=C17&amp;"")*(tbl_Finance[Xero Invoice No]&lt;&gt;"")),tbl_Finance[Xero Invoice No]),LOOKUP(2,1/((tbl_Finance[Job Number]=C17&amp;"")*(tbl_Finance[Xero Invoice No]&lt;&gt;"")),tbl_Finance[Xero Invoice No])&amp;" +more"),"")))</f>
        <v/>
      </c>
      <c r="C17" s="24" t="n"/>
      <c r="D17" s="25">
        <f>IF(C17="","",IF(COUNTIF(lst_Jobs,C17&amp;"")&gt;0,"OK","CHECK"))</f>
        <v/>
      </c>
      <c r="E17" s="25">
        <f>IF(C17="","",IFERROR(INDEX(lst_JobName,MATCH(C17&amp;"",lst_Jobs,0)),""))</f>
        <v/>
      </c>
      <c r="F17" s="25">
        <f>IF(C17="","",IFERROR(INDEX(tbl_Finance[Client],MATCH(C17&amp;"",tbl_Finance[Job Number],0)),""))</f>
        <v/>
      </c>
      <c r="G17" s="28">
        <f>IF(C17="","",COUNTIFS(tbl_Finance[Job Number],C17&amp;"",tbl_Finance[Ex GST],"&lt;&gt;"))</f>
        <v/>
      </c>
      <c r="H17" s="27">
        <f>IF(C17="","",SUMIFS(tbl_Finance[Ex GST],tbl_Finance[Job Number],C17&amp;""))</f>
        <v/>
      </c>
      <c r="I17" s="27">
        <f>IF(C17="","",SUMIFS(tbl_Finance[Ex GST],tbl_Finance[Job Number],C17&amp;"",tbl_Finance[Xero Invoice No],"&lt;&gt;"))</f>
        <v/>
      </c>
      <c r="J17" s="27">
        <f>IF(C17="","",H17-I17)</f>
        <v/>
      </c>
      <c r="K17" s="25">
        <f>IF(C17="","",IF(G17=0,"not invoiced yet",SUBSTITUTE(TRIM(IF(COUNTIFS(tbl_Finance[Job Number],C17&amp;"",tbl_Finance[Cost Centre],"ONSITE")&gt;0,"ONSITE ","")&amp;IF(COUNTIFS(tbl_Finance[Job Number],C17&amp;"",tbl_Finance[Cost Centre],"PRODUCTION")&gt;0,"PRODUCTION ","")&amp;IF(COUNTIFS(tbl_Finance[Job Number],C17&amp;"",tbl_Finance[Cost Centre],"VIDEO")&gt;0,"VIDEO ","")&amp;IF(COUNTIFS(tbl_Finance[Job Number],C17&amp;"",tbl_Finance[Cost Centre],"INTEGRATION")&gt;0,"INTEGRATION ","")&amp;IF(COUNTIFS(tbl_Finance[Job Number],C17&amp;"",tbl_Finance[Cost Centre],"CONSULTING")&gt;0,"CONSULTING ","")&amp;IF(COUNTIFS(tbl_Finance[Job Number],C17&amp;"",tbl_Finance[Cost Centre],"CTS")&gt;0,"CTS ",""))," ",", ")))</f>
        <v/>
      </c>
      <c r="L17" s="24" t="n"/>
      <c r="M17" s="24" t="n"/>
      <c r="N17" s="25">
        <f>IF(M17="","",HYPERLINK(IF(LEFT(M17,4)="http",M17,set_QwilrBase&amp;M17),"Open quote"))</f>
        <v/>
      </c>
      <c r="O17" s="69" t="n"/>
      <c r="P17" s="24" t="n"/>
      <c r="Q17" s="24" t="n"/>
    </row>
    <row r="18" ht="15" customHeight="1">
      <c r="A18" s="68">
        <f>IF(C18="","",IFERROR(IF(SUMPRODUCT(MAX((tbl_Finance[Job Number]=C18&amp;"")*(tbl_Finance[Xero Invoice No]&lt;&gt;"")*tbl_Finance[Date]))=0,"",SUMPRODUCT(MAX((tbl_Finance[Job Number]=C18&amp;"")*(tbl_Finance[Xero Invoice No]&lt;&gt;"")*tbl_Finance[Date]))),""))</f>
        <v/>
      </c>
      <c r="B18" s="25">
        <f>IF(C18="","",IF(COUNTIFS(tbl_Finance[Job Number],C18&amp;"",tbl_Finance[Xero Invoice No],"&lt;&gt;")=0,"",IFERROR(IF(COUNTIFS(tbl_Finance[Job Number],C18&amp;"",tbl_Finance[Xero Invoice No],LOOKUP(2,1/((tbl_Finance[Job Number]=C18&amp;"")*(tbl_Finance[Xero Invoice No]&lt;&gt;"")),tbl_Finance[Xero Invoice No]))=COUNTIFS(tbl_Finance[Job Number],C18&amp;"",tbl_Finance[Xero Invoice No],"&lt;&gt;"),LOOKUP(2,1/((tbl_Finance[Job Number]=C18&amp;"")*(tbl_Finance[Xero Invoice No]&lt;&gt;"")),tbl_Finance[Xero Invoice No]),LOOKUP(2,1/((tbl_Finance[Job Number]=C18&amp;"")*(tbl_Finance[Xero Invoice No]&lt;&gt;"")),tbl_Finance[Xero Invoice No])&amp;" +more"),"")))</f>
        <v/>
      </c>
      <c r="C18" s="24" t="n"/>
      <c r="D18" s="25">
        <f>IF(C18="","",IF(COUNTIF(lst_Jobs,C18&amp;"")&gt;0,"OK","CHECK"))</f>
        <v/>
      </c>
      <c r="E18" s="25">
        <f>IF(C18="","",IFERROR(INDEX(lst_JobName,MATCH(C18&amp;"",lst_Jobs,0)),""))</f>
        <v/>
      </c>
      <c r="F18" s="25">
        <f>IF(C18="","",IFERROR(INDEX(tbl_Finance[Client],MATCH(C18&amp;"",tbl_Finance[Job Number],0)),""))</f>
        <v/>
      </c>
      <c r="G18" s="28">
        <f>IF(C18="","",COUNTIFS(tbl_Finance[Job Number],C18&amp;"",tbl_Finance[Ex GST],"&lt;&gt;"))</f>
        <v/>
      </c>
      <c r="H18" s="27">
        <f>IF(C18="","",SUMIFS(tbl_Finance[Ex GST],tbl_Finance[Job Number],C18&amp;""))</f>
        <v/>
      </c>
      <c r="I18" s="27">
        <f>IF(C18="","",SUMIFS(tbl_Finance[Ex GST],tbl_Finance[Job Number],C18&amp;"",tbl_Finance[Xero Invoice No],"&lt;&gt;"))</f>
        <v/>
      </c>
      <c r="J18" s="27">
        <f>IF(C18="","",H18-I18)</f>
        <v/>
      </c>
      <c r="K18" s="25">
        <f>IF(C18="","",IF(G18=0,"not invoiced yet",SUBSTITUTE(TRIM(IF(COUNTIFS(tbl_Finance[Job Number],C18&amp;"",tbl_Finance[Cost Centre],"ONSITE")&gt;0,"ONSITE ","")&amp;IF(COUNTIFS(tbl_Finance[Job Number],C18&amp;"",tbl_Finance[Cost Centre],"PRODUCTION")&gt;0,"PRODUCTION ","")&amp;IF(COUNTIFS(tbl_Finance[Job Number],C18&amp;"",tbl_Finance[Cost Centre],"VIDEO")&gt;0,"VIDEO ","")&amp;IF(COUNTIFS(tbl_Finance[Job Number],C18&amp;"",tbl_Finance[Cost Centre],"INTEGRATION")&gt;0,"INTEGRATION ","")&amp;IF(COUNTIFS(tbl_Finance[Job Number],C18&amp;"",tbl_Finance[Cost Centre],"CONSULTING")&gt;0,"CONSULTING ","")&amp;IF(COUNTIFS(tbl_Finance[Job Number],C18&amp;"",tbl_Finance[Cost Centre],"CTS")&gt;0,"CTS ",""))," ",", ")))</f>
        <v/>
      </c>
      <c r="L18" s="24" t="n"/>
      <c r="M18" s="24" t="n"/>
      <c r="N18" s="25">
        <f>IF(M18="","",HYPERLINK(IF(LEFT(M18,4)="http",M18,set_QwilrBase&amp;M18),"Open quote"))</f>
        <v/>
      </c>
      <c r="O18" s="69" t="n"/>
      <c r="P18" s="24" t="n"/>
      <c r="Q18" s="24" t="n"/>
    </row>
    <row r="19" ht="15" customHeight="1">
      <c r="A19" s="68">
        <f>IF(C19="","",IFERROR(IF(SUMPRODUCT(MAX((tbl_Finance[Job Number]=C19&amp;"")*(tbl_Finance[Xero Invoice No]&lt;&gt;"")*tbl_Finance[Date]))=0,"",SUMPRODUCT(MAX((tbl_Finance[Job Number]=C19&amp;"")*(tbl_Finance[Xero Invoice No]&lt;&gt;"")*tbl_Finance[Date]))),""))</f>
        <v/>
      </c>
      <c r="B19" s="25">
        <f>IF(C19="","",IF(COUNTIFS(tbl_Finance[Job Number],C19&amp;"",tbl_Finance[Xero Invoice No],"&lt;&gt;")=0,"",IFERROR(IF(COUNTIFS(tbl_Finance[Job Number],C19&amp;"",tbl_Finance[Xero Invoice No],LOOKUP(2,1/((tbl_Finance[Job Number]=C19&amp;"")*(tbl_Finance[Xero Invoice No]&lt;&gt;"")),tbl_Finance[Xero Invoice No]))=COUNTIFS(tbl_Finance[Job Number],C19&amp;"",tbl_Finance[Xero Invoice No],"&lt;&gt;"),LOOKUP(2,1/((tbl_Finance[Job Number]=C19&amp;"")*(tbl_Finance[Xero Invoice No]&lt;&gt;"")),tbl_Finance[Xero Invoice No]),LOOKUP(2,1/((tbl_Finance[Job Number]=C19&amp;"")*(tbl_Finance[Xero Invoice No]&lt;&gt;"")),tbl_Finance[Xero Invoice No])&amp;" +more"),"")))</f>
        <v/>
      </c>
      <c r="C19" s="24" t="n"/>
      <c r="D19" s="25">
        <f>IF(C19="","",IF(COUNTIF(lst_Jobs,C19&amp;"")&gt;0,"OK","CHECK"))</f>
        <v/>
      </c>
      <c r="E19" s="25">
        <f>IF(C19="","",IFERROR(INDEX(lst_JobName,MATCH(C19&amp;"",lst_Jobs,0)),""))</f>
        <v/>
      </c>
      <c r="F19" s="25">
        <f>IF(C19="","",IFERROR(INDEX(tbl_Finance[Client],MATCH(C19&amp;"",tbl_Finance[Job Number],0)),""))</f>
        <v/>
      </c>
      <c r="G19" s="28">
        <f>IF(C19="","",COUNTIFS(tbl_Finance[Job Number],C19&amp;"",tbl_Finance[Ex GST],"&lt;&gt;"))</f>
        <v/>
      </c>
      <c r="H19" s="27">
        <f>IF(C19="","",SUMIFS(tbl_Finance[Ex GST],tbl_Finance[Job Number],C19&amp;""))</f>
        <v/>
      </c>
      <c r="I19" s="27">
        <f>IF(C19="","",SUMIFS(tbl_Finance[Ex GST],tbl_Finance[Job Number],C19&amp;"",tbl_Finance[Xero Invoice No],"&lt;&gt;"))</f>
        <v/>
      </c>
      <c r="J19" s="27">
        <f>IF(C19="","",H19-I19)</f>
        <v/>
      </c>
      <c r="K19" s="25">
        <f>IF(C19="","",IF(G19=0,"not invoiced yet",SUBSTITUTE(TRIM(IF(COUNTIFS(tbl_Finance[Job Number],C19&amp;"",tbl_Finance[Cost Centre],"ONSITE")&gt;0,"ONSITE ","")&amp;IF(COUNTIFS(tbl_Finance[Job Number],C19&amp;"",tbl_Finance[Cost Centre],"PRODUCTION")&gt;0,"PRODUCTION ","")&amp;IF(COUNTIFS(tbl_Finance[Job Number],C19&amp;"",tbl_Finance[Cost Centre],"VIDEO")&gt;0,"VIDEO ","")&amp;IF(COUNTIFS(tbl_Finance[Job Number],C19&amp;"",tbl_Finance[Cost Centre],"INTEGRATION")&gt;0,"INTEGRATION ","")&amp;IF(COUNTIFS(tbl_Finance[Job Number],C19&amp;"",tbl_Finance[Cost Centre],"CONSULTING")&gt;0,"CONSULTING ","")&amp;IF(COUNTIFS(tbl_Finance[Job Number],C19&amp;"",tbl_Finance[Cost Centre],"CTS")&gt;0,"CTS ",""))," ",", ")))</f>
        <v/>
      </c>
      <c r="L19" s="24" t="n"/>
      <c r="M19" s="24" t="n"/>
      <c r="N19" s="25">
        <f>IF(M19="","",HYPERLINK(IF(LEFT(M19,4)="http",M19,set_QwilrBase&amp;M19),"Open quote"))</f>
        <v/>
      </c>
      <c r="O19" s="69" t="n"/>
      <c r="P19" s="24" t="n"/>
      <c r="Q19" s="24" t="n"/>
    </row>
    <row r="20" ht="15" customHeight="1">
      <c r="A20" s="68">
        <f>IF(C20="","",IFERROR(IF(SUMPRODUCT(MAX((tbl_Finance[Job Number]=C20&amp;"")*(tbl_Finance[Xero Invoice No]&lt;&gt;"")*tbl_Finance[Date]))=0,"",SUMPRODUCT(MAX((tbl_Finance[Job Number]=C20&amp;"")*(tbl_Finance[Xero Invoice No]&lt;&gt;"")*tbl_Finance[Date]))),""))</f>
        <v/>
      </c>
      <c r="B20" s="25">
        <f>IF(C20="","",IF(COUNTIFS(tbl_Finance[Job Number],C20&amp;"",tbl_Finance[Xero Invoice No],"&lt;&gt;")=0,"",IFERROR(IF(COUNTIFS(tbl_Finance[Job Number],C20&amp;"",tbl_Finance[Xero Invoice No],LOOKUP(2,1/((tbl_Finance[Job Number]=C20&amp;"")*(tbl_Finance[Xero Invoice No]&lt;&gt;"")),tbl_Finance[Xero Invoice No]))=COUNTIFS(tbl_Finance[Job Number],C20&amp;"",tbl_Finance[Xero Invoice No],"&lt;&gt;"),LOOKUP(2,1/((tbl_Finance[Job Number]=C20&amp;"")*(tbl_Finance[Xero Invoice No]&lt;&gt;"")),tbl_Finance[Xero Invoice No]),LOOKUP(2,1/((tbl_Finance[Job Number]=C20&amp;"")*(tbl_Finance[Xero Invoice No]&lt;&gt;"")),tbl_Finance[Xero Invoice No])&amp;" +more"),"")))</f>
        <v/>
      </c>
      <c r="C20" s="24" t="n"/>
      <c r="D20" s="25">
        <f>IF(C20="","",IF(COUNTIF(lst_Jobs,C20&amp;"")&gt;0,"OK","CHECK"))</f>
        <v/>
      </c>
      <c r="E20" s="25">
        <f>IF(C20="","",IFERROR(INDEX(lst_JobName,MATCH(C20&amp;"",lst_Jobs,0)),""))</f>
        <v/>
      </c>
      <c r="F20" s="25">
        <f>IF(C20="","",IFERROR(INDEX(tbl_Finance[Client],MATCH(C20&amp;"",tbl_Finance[Job Number],0)),""))</f>
        <v/>
      </c>
      <c r="G20" s="28">
        <f>IF(C20="","",COUNTIFS(tbl_Finance[Job Number],C20&amp;"",tbl_Finance[Ex GST],"&lt;&gt;"))</f>
        <v/>
      </c>
      <c r="H20" s="27">
        <f>IF(C20="","",SUMIFS(tbl_Finance[Ex GST],tbl_Finance[Job Number],C20&amp;""))</f>
        <v/>
      </c>
      <c r="I20" s="27">
        <f>IF(C20="","",SUMIFS(tbl_Finance[Ex GST],tbl_Finance[Job Number],C20&amp;"",tbl_Finance[Xero Invoice No],"&lt;&gt;"))</f>
        <v/>
      </c>
      <c r="J20" s="27">
        <f>IF(C20="","",H20-I20)</f>
        <v/>
      </c>
      <c r="K20" s="25">
        <f>IF(C20="","",IF(G20=0,"not invoiced yet",SUBSTITUTE(TRIM(IF(COUNTIFS(tbl_Finance[Job Number],C20&amp;"",tbl_Finance[Cost Centre],"ONSITE")&gt;0,"ONSITE ","")&amp;IF(COUNTIFS(tbl_Finance[Job Number],C20&amp;"",tbl_Finance[Cost Centre],"PRODUCTION")&gt;0,"PRODUCTION ","")&amp;IF(COUNTIFS(tbl_Finance[Job Number],C20&amp;"",tbl_Finance[Cost Centre],"VIDEO")&gt;0,"VIDEO ","")&amp;IF(COUNTIFS(tbl_Finance[Job Number],C20&amp;"",tbl_Finance[Cost Centre],"INTEGRATION")&gt;0,"INTEGRATION ","")&amp;IF(COUNTIFS(tbl_Finance[Job Number],C20&amp;"",tbl_Finance[Cost Centre],"CONSULTING")&gt;0,"CONSULTING ","")&amp;IF(COUNTIFS(tbl_Finance[Job Number],C20&amp;"",tbl_Finance[Cost Centre],"CTS")&gt;0,"CTS ",""))," ",", ")))</f>
        <v/>
      </c>
      <c r="L20" s="24" t="n"/>
      <c r="M20" s="24" t="n"/>
      <c r="N20" s="25">
        <f>IF(M20="","",HYPERLINK(IF(LEFT(M20,4)="http",M20,set_QwilrBase&amp;M20),"Open quote"))</f>
        <v/>
      </c>
      <c r="O20" s="69" t="n"/>
      <c r="P20" s="24" t="n"/>
      <c r="Q20" s="24" t="n"/>
    </row>
    <row r="21" ht="15" customHeight="1">
      <c r="A21" s="68">
        <f>IF(C21="","",IFERROR(IF(SUMPRODUCT(MAX((tbl_Finance[Job Number]=C21&amp;"")*(tbl_Finance[Xero Invoice No]&lt;&gt;"")*tbl_Finance[Date]))=0,"",SUMPRODUCT(MAX((tbl_Finance[Job Number]=C21&amp;"")*(tbl_Finance[Xero Invoice No]&lt;&gt;"")*tbl_Finance[Date]))),""))</f>
        <v/>
      </c>
      <c r="B21" s="25">
        <f>IF(C21="","",IF(COUNTIFS(tbl_Finance[Job Number],C21&amp;"",tbl_Finance[Xero Invoice No],"&lt;&gt;")=0,"",IFERROR(IF(COUNTIFS(tbl_Finance[Job Number],C21&amp;"",tbl_Finance[Xero Invoice No],LOOKUP(2,1/((tbl_Finance[Job Number]=C21&amp;"")*(tbl_Finance[Xero Invoice No]&lt;&gt;"")),tbl_Finance[Xero Invoice No]))=COUNTIFS(tbl_Finance[Job Number],C21&amp;"",tbl_Finance[Xero Invoice No],"&lt;&gt;"),LOOKUP(2,1/((tbl_Finance[Job Number]=C21&amp;"")*(tbl_Finance[Xero Invoice No]&lt;&gt;"")),tbl_Finance[Xero Invoice No]),LOOKUP(2,1/((tbl_Finance[Job Number]=C21&amp;"")*(tbl_Finance[Xero Invoice No]&lt;&gt;"")),tbl_Finance[Xero Invoice No])&amp;" +more"),"")))</f>
        <v/>
      </c>
      <c r="C21" s="24" t="n"/>
      <c r="D21" s="25">
        <f>IF(C21="","",IF(COUNTIF(lst_Jobs,C21&amp;"")&gt;0,"OK","CHECK"))</f>
        <v/>
      </c>
      <c r="E21" s="25">
        <f>IF(C21="","",IFERROR(INDEX(lst_JobName,MATCH(C21&amp;"",lst_Jobs,0)),""))</f>
        <v/>
      </c>
      <c r="F21" s="25">
        <f>IF(C21="","",IFERROR(INDEX(tbl_Finance[Client],MATCH(C21&amp;"",tbl_Finance[Job Number],0)),""))</f>
        <v/>
      </c>
      <c r="G21" s="28">
        <f>IF(C21="","",COUNTIFS(tbl_Finance[Job Number],C21&amp;"",tbl_Finance[Ex GST],"&lt;&gt;"))</f>
        <v/>
      </c>
      <c r="H21" s="27">
        <f>IF(C21="","",SUMIFS(tbl_Finance[Ex GST],tbl_Finance[Job Number],C21&amp;""))</f>
        <v/>
      </c>
      <c r="I21" s="27">
        <f>IF(C21="","",SUMIFS(tbl_Finance[Ex GST],tbl_Finance[Job Number],C21&amp;"",tbl_Finance[Xero Invoice No],"&lt;&gt;"))</f>
        <v/>
      </c>
      <c r="J21" s="27">
        <f>IF(C21="","",H21-I21)</f>
        <v/>
      </c>
      <c r="K21" s="25">
        <f>IF(C21="","",IF(G21=0,"not invoiced yet",SUBSTITUTE(TRIM(IF(COUNTIFS(tbl_Finance[Job Number],C21&amp;"",tbl_Finance[Cost Centre],"ONSITE")&gt;0,"ONSITE ","")&amp;IF(COUNTIFS(tbl_Finance[Job Number],C21&amp;"",tbl_Finance[Cost Centre],"PRODUCTION")&gt;0,"PRODUCTION ","")&amp;IF(COUNTIFS(tbl_Finance[Job Number],C21&amp;"",tbl_Finance[Cost Centre],"VIDEO")&gt;0,"VIDEO ","")&amp;IF(COUNTIFS(tbl_Finance[Job Number],C21&amp;"",tbl_Finance[Cost Centre],"INTEGRATION")&gt;0,"INTEGRATION ","")&amp;IF(COUNTIFS(tbl_Finance[Job Number],C21&amp;"",tbl_Finance[Cost Centre],"CONSULTING")&gt;0,"CONSULTING ","")&amp;IF(COUNTIFS(tbl_Finance[Job Number],C21&amp;"",tbl_Finance[Cost Centre],"CTS")&gt;0,"CTS ",""))," ",", ")))</f>
        <v/>
      </c>
      <c r="L21" s="24" t="n"/>
      <c r="M21" s="24" t="n"/>
      <c r="N21" s="25">
        <f>IF(M21="","",HYPERLINK(IF(LEFT(M21,4)="http",M21,set_QwilrBase&amp;M21),"Open quote"))</f>
        <v/>
      </c>
      <c r="O21" s="69" t="n"/>
      <c r="P21" s="24" t="n"/>
      <c r="Q21" s="24" t="n"/>
    </row>
    <row r="22" ht="15" customHeight="1">
      <c r="A22" s="68">
        <f>IF(C22="","",IFERROR(IF(SUMPRODUCT(MAX((tbl_Finance[Job Number]=C22&amp;"")*(tbl_Finance[Xero Invoice No]&lt;&gt;"")*tbl_Finance[Date]))=0,"",SUMPRODUCT(MAX((tbl_Finance[Job Number]=C22&amp;"")*(tbl_Finance[Xero Invoice No]&lt;&gt;"")*tbl_Finance[Date]))),""))</f>
        <v/>
      </c>
      <c r="B22" s="25">
        <f>IF(C22="","",IF(COUNTIFS(tbl_Finance[Job Number],C22&amp;"",tbl_Finance[Xero Invoice No],"&lt;&gt;")=0,"",IFERROR(IF(COUNTIFS(tbl_Finance[Job Number],C22&amp;"",tbl_Finance[Xero Invoice No],LOOKUP(2,1/((tbl_Finance[Job Number]=C22&amp;"")*(tbl_Finance[Xero Invoice No]&lt;&gt;"")),tbl_Finance[Xero Invoice No]))=COUNTIFS(tbl_Finance[Job Number],C22&amp;"",tbl_Finance[Xero Invoice No],"&lt;&gt;"),LOOKUP(2,1/((tbl_Finance[Job Number]=C22&amp;"")*(tbl_Finance[Xero Invoice No]&lt;&gt;"")),tbl_Finance[Xero Invoice No]),LOOKUP(2,1/((tbl_Finance[Job Number]=C22&amp;"")*(tbl_Finance[Xero Invoice No]&lt;&gt;"")),tbl_Finance[Xero Invoice No])&amp;" +more"),"")))</f>
        <v/>
      </c>
      <c r="C22" s="24" t="n"/>
      <c r="D22" s="25">
        <f>IF(C22="","",IF(COUNTIF(lst_Jobs,C22&amp;"")&gt;0,"OK","CHECK"))</f>
        <v/>
      </c>
      <c r="E22" s="25">
        <f>IF(C22="","",IFERROR(INDEX(lst_JobName,MATCH(C22&amp;"",lst_Jobs,0)),""))</f>
        <v/>
      </c>
      <c r="F22" s="25">
        <f>IF(C22="","",IFERROR(INDEX(tbl_Finance[Client],MATCH(C22&amp;"",tbl_Finance[Job Number],0)),""))</f>
        <v/>
      </c>
      <c r="G22" s="28">
        <f>IF(C22="","",COUNTIFS(tbl_Finance[Job Number],C22&amp;"",tbl_Finance[Ex GST],"&lt;&gt;"))</f>
        <v/>
      </c>
      <c r="H22" s="27">
        <f>IF(C22="","",SUMIFS(tbl_Finance[Ex GST],tbl_Finance[Job Number],C22&amp;""))</f>
        <v/>
      </c>
      <c r="I22" s="27">
        <f>IF(C22="","",SUMIFS(tbl_Finance[Ex GST],tbl_Finance[Job Number],C22&amp;"",tbl_Finance[Xero Invoice No],"&lt;&gt;"))</f>
        <v/>
      </c>
      <c r="J22" s="27">
        <f>IF(C22="","",H22-I22)</f>
        <v/>
      </c>
      <c r="K22" s="25">
        <f>IF(C22="","",IF(G22=0,"not invoiced yet",SUBSTITUTE(TRIM(IF(COUNTIFS(tbl_Finance[Job Number],C22&amp;"",tbl_Finance[Cost Centre],"ONSITE")&gt;0,"ONSITE ","")&amp;IF(COUNTIFS(tbl_Finance[Job Number],C22&amp;"",tbl_Finance[Cost Centre],"PRODUCTION")&gt;0,"PRODUCTION ","")&amp;IF(COUNTIFS(tbl_Finance[Job Number],C22&amp;"",tbl_Finance[Cost Centre],"VIDEO")&gt;0,"VIDEO ","")&amp;IF(COUNTIFS(tbl_Finance[Job Number],C22&amp;"",tbl_Finance[Cost Centre],"INTEGRATION")&gt;0,"INTEGRATION ","")&amp;IF(COUNTIFS(tbl_Finance[Job Number],C22&amp;"",tbl_Finance[Cost Centre],"CONSULTING")&gt;0,"CONSULTING ","")&amp;IF(COUNTIFS(tbl_Finance[Job Number],C22&amp;"",tbl_Finance[Cost Centre],"CTS")&gt;0,"CTS ",""))," ",", ")))</f>
        <v/>
      </c>
      <c r="L22" s="24" t="n"/>
      <c r="M22" s="24" t="n"/>
      <c r="N22" s="25">
        <f>IF(M22="","",HYPERLINK(IF(LEFT(M22,4)="http",M22,set_QwilrBase&amp;M22),"Open quote"))</f>
        <v/>
      </c>
      <c r="O22" s="69" t="n"/>
      <c r="P22" s="24" t="n"/>
      <c r="Q22" s="24" t="n"/>
    </row>
    <row r="23" ht="15" customHeight="1">
      <c r="A23" s="68">
        <f>IF(C23="","",IFERROR(IF(SUMPRODUCT(MAX((tbl_Finance[Job Number]=C23&amp;"")*(tbl_Finance[Xero Invoice No]&lt;&gt;"")*tbl_Finance[Date]))=0,"",SUMPRODUCT(MAX((tbl_Finance[Job Number]=C23&amp;"")*(tbl_Finance[Xero Invoice No]&lt;&gt;"")*tbl_Finance[Date]))),""))</f>
        <v/>
      </c>
      <c r="B23" s="25">
        <f>IF(C23="","",IF(COUNTIFS(tbl_Finance[Job Number],C23&amp;"",tbl_Finance[Xero Invoice No],"&lt;&gt;")=0,"",IFERROR(IF(COUNTIFS(tbl_Finance[Job Number],C23&amp;"",tbl_Finance[Xero Invoice No],LOOKUP(2,1/((tbl_Finance[Job Number]=C23&amp;"")*(tbl_Finance[Xero Invoice No]&lt;&gt;"")),tbl_Finance[Xero Invoice No]))=COUNTIFS(tbl_Finance[Job Number],C23&amp;"",tbl_Finance[Xero Invoice No],"&lt;&gt;"),LOOKUP(2,1/((tbl_Finance[Job Number]=C23&amp;"")*(tbl_Finance[Xero Invoice No]&lt;&gt;"")),tbl_Finance[Xero Invoice No]),LOOKUP(2,1/((tbl_Finance[Job Number]=C23&amp;"")*(tbl_Finance[Xero Invoice No]&lt;&gt;"")),tbl_Finance[Xero Invoice No])&amp;" +more"),"")))</f>
        <v/>
      </c>
      <c r="C23" s="24" t="n"/>
      <c r="D23" s="25">
        <f>IF(C23="","",IF(COUNTIF(lst_Jobs,C23&amp;"")&gt;0,"OK","CHECK"))</f>
        <v/>
      </c>
      <c r="E23" s="25">
        <f>IF(C23="","",IFERROR(INDEX(lst_JobName,MATCH(C23&amp;"",lst_Jobs,0)),""))</f>
        <v/>
      </c>
      <c r="F23" s="25">
        <f>IF(C23="","",IFERROR(INDEX(tbl_Finance[Client],MATCH(C23&amp;"",tbl_Finance[Job Number],0)),""))</f>
        <v/>
      </c>
      <c r="G23" s="28">
        <f>IF(C23="","",COUNTIFS(tbl_Finance[Job Number],C23&amp;"",tbl_Finance[Ex GST],"&lt;&gt;"))</f>
        <v/>
      </c>
      <c r="H23" s="27">
        <f>IF(C23="","",SUMIFS(tbl_Finance[Ex GST],tbl_Finance[Job Number],C23&amp;""))</f>
        <v/>
      </c>
      <c r="I23" s="27">
        <f>IF(C23="","",SUMIFS(tbl_Finance[Ex GST],tbl_Finance[Job Number],C23&amp;"",tbl_Finance[Xero Invoice No],"&lt;&gt;"))</f>
        <v/>
      </c>
      <c r="J23" s="27">
        <f>IF(C23="","",H23-I23)</f>
        <v/>
      </c>
      <c r="K23" s="25">
        <f>IF(C23="","",IF(G23=0,"not invoiced yet",SUBSTITUTE(TRIM(IF(COUNTIFS(tbl_Finance[Job Number],C23&amp;"",tbl_Finance[Cost Centre],"ONSITE")&gt;0,"ONSITE ","")&amp;IF(COUNTIFS(tbl_Finance[Job Number],C23&amp;"",tbl_Finance[Cost Centre],"PRODUCTION")&gt;0,"PRODUCTION ","")&amp;IF(COUNTIFS(tbl_Finance[Job Number],C23&amp;"",tbl_Finance[Cost Centre],"VIDEO")&gt;0,"VIDEO ","")&amp;IF(COUNTIFS(tbl_Finance[Job Number],C23&amp;"",tbl_Finance[Cost Centre],"INTEGRATION")&gt;0,"INTEGRATION ","")&amp;IF(COUNTIFS(tbl_Finance[Job Number],C23&amp;"",tbl_Finance[Cost Centre],"CONSULTING")&gt;0,"CONSULTING ","")&amp;IF(COUNTIFS(tbl_Finance[Job Number],C23&amp;"",tbl_Finance[Cost Centre],"CTS")&gt;0,"CTS ",""))," ",", ")))</f>
        <v/>
      </c>
      <c r="L23" s="24" t="n"/>
      <c r="M23" s="24" t="n"/>
      <c r="N23" s="25">
        <f>IF(M23="","",HYPERLINK(IF(LEFT(M23,4)="http",M23,set_QwilrBase&amp;M23),"Open quote"))</f>
        <v/>
      </c>
      <c r="O23" s="69" t="n"/>
      <c r="P23" s="24" t="n"/>
      <c r="Q23" s="24" t="n"/>
    </row>
    <row r="24" ht="15" customHeight="1">
      <c r="A24" s="68">
        <f>IF(C24="","",IFERROR(IF(SUMPRODUCT(MAX((tbl_Finance[Job Number]=C24&amp;"")*(tbl_Finance[Xero Invoice No]&lt;&gt;"")*tbl_Finance[Date]))=0,"",SUMPRODUCT(MAX((tbl_Finance[Job Number]=C24&amp;"")*(tbl_Finance[Xero Invoice No]&lt;&gt;"")*tbl_Finance[Date]))),""))</f>
        <v/>
      </c>
      <c r="B24" s="25">
        <f>IF(C24="","",IF(COUNTIFS(tbl_Finance[Job Number],C24&amp;"",tbl_Finance[Xero Invoice No],"&lt;&gt;")=0,"",IFERROR(IF(COUNTIFS(tbl_Finance[Job Number],C24&amp;"",tbl_Finance[Xero Invoice No],LOOKUP(2,1/((tbl_Finance[Job Number]=C24&amp;"")*(tbl_Finance[Xero Invoice No]&lt;&gt;"")),tbl_Finance[Xero Invoice No]))=COUNTIFS(tbl_Finance[Job Number],C24&amp;"",tbl_Finance[Xero Invoice No],"&lt;&gt;"),LOOKUP(2,1/((tbl_Finance[Job Number]=C24&amp;"")*(tbl_Finance[Xero Invoice No]&lt;&gt;"")),tbl_Finance[Xero Invoice No]),LOOKUP(2,1/((tbl_Finance[Job Number]=C24&amp;"")*(tbl_Finance[Xero Invoice No]&lt;&gt;"")),tbl_Finance[Xero Invoice No])&amp;" +more"),"")))</f>
        <v/>
      </c>
      <c r="C24" s="24" t="n"/>
      <c r="D24" s="25">
        <f>IF(C24="","",IF(COUNTIF(lst_Jobs,C24&amp;"")&gt;0,"OK","CHECK"))</f>
        <v/>
      </c>
      <c r="E24" s="25">
        <f>IF(C24="","",IFERROR(INDEX(lst_JobName,MATCH(C24&amp;"",lst_Jobs,0)),""))</f>
        <v/>
      </c>
      <c r="F24" s="25">
        <f>IF(C24="","",IFERROR(INDEX(tbl_Finance[Client],MATCH(C24&amp;"",tbl_Finance[Job Number],0)),""))</f>
        <v/>
      </c>
      <c r="G24" s="28">
        <f>IF(C24="","",COUNTIFS(tbl_Finance[Job Number],C24&amp;"",tbl_Finance[Ex GST],"&lt;&gt;"))</f>
        <v/>
      </c>
      <c r="H24" s="27">
        <f>IF(C24="","",SUMIFS(tbl_Finance[Ex GST],tbl_Finance[Job Number],C24&amp;""))</f>
        <v/>
      </c>
      <c r="I24" s="27">
        <f>IF(C24="","",SUMIFS(tbl_Finance[Ex GST],tbl_Finance[Job Number],C24&amp;"",tbl_Finance[Xero Invoice No],"&lt;&gt;"))</f>
        <v/>
      </c>
      <c r="J24" s="27">
        <f>IF(C24="","",H24-I24)</f>
        <v/>
      </c>
      <c r="K24" s="25">
        <f>IF(C24="","",IF(G24=0,"not invoiced yet",SUBSTITUTE(TRIM(IF(COUNTIFS(tbl_Finance[Job Number],C24&amp;"",tbl_Finance[Cost Centre],"ONSITE")&gt;0,"ONSITE ","")&amp;IF(COUNTIFS(tbl_Finance[Job Number],C24&amp;"",tbl_Finance[Cost Centre],"PRODUCTION")&gt;0,"PRODUCTION ","")&amp;IF(COUNTIFS(tbl_Finance[Job Number],C24&amp;"",tbl_Finance[Cost Centre],"VIDEO")&gt;0,"VIDEO ","")&amp;IF(COUNTIFS(tbl_Finance[Job Number],C24&amp;"",tbl_Finance[Cost Centre],"INTEGRATION")&gt;0,"INTEGRATION ","")&amp;IF(COUNTIFS(tbl_Finance[Job Number],C24&amp;"",tbl_Finance[Cost Centre],"CONSULTING")&gt;0,"CONSULTING ","")&amp;IF(COUNTIFS(tbl_Finance[Job Number],C24&amp;"",tbl_Finance[Cost Centre],"CTS")&gt;0,"CTS ",""))," ",", ")))</f>
        <v/>
      </c>
      <c r="L24" s="24" t="n"/>
      <c r="M24" s="24" t="n"/>
      <c r="N24" s="25">
        <f>IF(M24="","",HYPERLINK(IF(LEFT(M24,4)="http",M24,set_QwilrBase&amp;M24),"Open quote"))</f>
        <v/>
      </c>
      <c r="O24" s="69" t="n"/>
      <c r="P24" s="24" t="n"/>
      <c r="Q24" s="24" t="n"/>
    </row>
    <row r="25" ht="15" customHeight="1">
      <c r="A25" s="68">
        <f>IF(C25="","",IFERROR(IF(SUMPRODUCT(MAX((tbl_Finance[Job Number]=C25&amp;"")*(tbl_Finance[Xero Invoice No]&lt;&gt;"")*tbl_Finance[Date]))=0,"",SUMPRODUCT(MAX((tbl_Finance[Job Number]=C25&amp;"")*(tbl_Finance[Xero Invoice No]&lt;&gt;"")*tbl_Finance[Date]))),""))</f>
        <v/>
      </c>
      <c r="B25" s="25">
        <f>IF(C25="","",IF(COUNTIFS(tbl_Finance[Job Number],C25&amp;"",tbl_Finance[Xero Invoice No],"&lt;&gt;")=0,"",IFERROR(IF(COUNTIFS(tbl_Finance[Job Number],C25&amp;"",tbl_Finance[Xero Invoice No],LOOKUP(2,1/((tbl_Finance[Job Number]=C25&amp;"")*(tbl_Finance[Xero Invoice No]&lt;&gt;"")),tbl_Finance[Xero Invoice No]))=COUNTIFS(tbl_Finance[Job Number],C25&amp;"",tbl_Finance[Xero Invoice No],"&lt;&gt;"),LOOKUP(2,1/((tbl_Finance[Job Number]=C25&amp;"")*(tbl_Finance[Xero Invoice No]&lt;&gt;"")),tbl_Finance[Xero Invoice No]),LOOKUP(2,1/((tbl_Finance[Job Number]=C25&amp;"")*(tbl_Finance[Xero Invoice No]&lt;&gt;"")),tbl_Finance[Xero Invoice No])&amp;" +more"),"")))</f>
        <v/>
      </c>
      <c r="C25" s="24" t="n"/>
      <c r="D25" s="25">
        <f>IF(C25="","",IF(COUNTIF(lst_Jobs,C25&amp;"")&gt;0,"OK","CHECK"))</f>
        <v/>
      </c>
      <c r="E25" s="25">
        <f>IF(C25="","",IFERROR(INDEX(lst_JobName,MATCH(C25&amp;"",lst_Jobs,0)),""))</f>
        <v/>
      </c>
      <c r="F25" s="25">
        <f>IF(C25="","",IFERROR(INDEX(tbl_Finance[Client],MATCH(C25&amp;"",tbl_Finance[Job Number],0)),""))</f>
        <v/>
      </c>
      <c r="G25" s="28">
        <f>IF(C25="","",COUNTIFS(tbl_Finance[Job Number],C25&amp;"",tbl_Finance[Ex GST],"&lt;&gt;"))</f>
        <v/>
      </c>
      <c r="H25" s="27">
        <f>IF(C25="","",SUMIFS(tbl_Finance[Ex GST],tbl_Finance[Job Number],C25&amp;""))</f>
        <v/>
      </c>
      <c r="I25" s="27">
        <f>IF(C25="","",SUMIFS(tbl_Finance[Ex GST],tbl_Finance[Job Number],C25&amp;"",tbl_Finance[Xero Invoice No],"&lt;&gt;"))</f>
        <v/>
      </c>
      <c r="J25" s="27">
        <f>IF(C25="","",H25-I25)</f>
        <v/>
      </c>
      <c r="K25" s="25">
        <f>IF(C25="","",IF(G25=0,"not invoiced yet",SUBSTITUTE(TRIM(IF(COUNTIFS(tbl_Finance[Job Number],C25&amp;"",tbl_Finance[Cost Centre],"ONSITE")&gt;0,"ONSITE ","")&amp;IF(COUNTIFS(tbl_Finance[Job Number],C25&amp;"",tbl_Finance[Cost Centre],"PRODUCTION")&gt;0,"PRODUCTION ","")&amp;IF(COUNTIFS(tbl_Finance[Job Number],C25&amp;"",tbl_Finance[Cost Centre],"VIDEO")&gt;0,"VIDEO ","")&amp;IF(COUNTIFS(tbl_Finance[Job Number],C25&amp;"",tbl_Finance[Cost Centre],"INTEGRATION")&gt;0,"INTEGRATION ","")&amp;IF(COUNTIFS(tbl_Finance[Job Number],C25&amp;"",tbl_Finance[Cost Centre],"CONSULTING")&gt;0,"CONSULTING ","")&amp;IF(COUNTIFS(tbl_Finance[Job Number],C25&amp;"",tbl_Finance[Cost Centre],"CTS")&gt;0,"CTS ",""))," ",", ")))</f>
        <v/>
      </c>
      <c r="L25" s="24" t="n"/>
      <c r="M25" s="24" t="n"/>
      <c r="N25" s="25">
        <f>IF(M25="","",HYPERLINK(IF(LEFT(M25,4)="http",M25,set_QwilrBase&amp;M25),"Open quote"))</f>
        <v/>
      </c>
      <c r="O25" s="69" t="n"/>
      <c r="P25" s="24" t="n"/>
      <c r="Q25" s="24" t="n"/>
    </row>
    <row r="26" ht="15" customHeight="1">
      <c r="A26" s="68">
        <f>IF(C26="","",IFERROR(IF(SUMPRODUCT(MAX((tbl_Finance[Job Number]=C26&amp;"")*(tbl_Finance[Xero Invoice No]&lt;&gt;"")*tbl_Finance[Date]))=0,"",SUMPRODUCT(MAX((tbl_Finance[Job Number]=C26&amp;"")*(tbl_Finance[Xero Invoice No]&lt;&gt;"")*tbl_Finance[Date]))),""))</f>
        <v/>
      </c>
      <c r="B26" s="25">
        <f>IF(C26="","",IF(COUNTIFS(tbl_Finance[Job Number],C26&amp;"",tbl_Finance[Xero Invoice No],"&lt;&gt;")=0,"",IFERROR(IF(COUNTIFS(tbl_Finance[Job Number],C26&amp;"",tbl_Finance[Xero Invoice No],LOOKUP(2,1/((tbl_Finance[Job Number]=C26&amp;"")*(tbl_Finance[Xero Invoice No]&lt;&gt;"")),tbl_Finance[Xero Invoice No]))=COUNTIFS(tbl_Finance[Job Number],C26&amp;"",tbl_Finance[Xero Invoice No],"&lt;&gt;"),LOOKUP(2,1/((tbl_Finance[Job Number]=C26&amp;"")*(tbl_Finance[Xero Invoice No]&lt;&gt;"")),tbl_Finance[Xero Invoice No]),LOOKUP(2,1/((tbl_Finance[Job Number]=C26&amp;"")*(tbl_Finance[Xero Invoice No]&lt;&gt;"")),tbl_Finance[Xero Invoice No])&amp;" +more"),"")))</f>
        <v/>
      </c>
      <c r="C26" s="24" t="n"/>
      <c r="D26" s="25">
        <f>IF(C26="","",IF(COUNTIF(lst_Jobs,C26&amp;"")&gt;0,"OK","CHECK"))</f>
        <v/>
      </c>
      <c r="E26" s="25">
        <f>IF(C26="","",IFERROR(INDEX(lst_JobName,MATCH(C26&amp;"",lst_Jobs,0)),""))</f>
        <v/>
      </c>
      <c r="F26" s="25">
        <f>IF(C26="","",IFERROR(INDEX(tbl_Finance[Client],MATCH(C26&amp;"",tbl_Finance[Job Number],0)),""))</f>
        <v/>
      </c>
      <c r="G26" s="28">
        <f>IF(C26="","",COUNTIFS(tbl_Finance[Job Number],C26&amp;"",tbl_Finance[Ex GST],"&lt;&gt;"))</f>
        <v/>
      </c>
      <c r="H26" s="27">
        <f>IF(C26="","",SUMIFS(tbl_Finance[Ex GST],tbl_Finance[Job Number],C26&amp;""))</f>
        <v/>
      </c>
      <c r="I26" s="27">
        <f>IF(C26="","",SUMIFS(tbl_Finance[Ex GST],tbl_Finance[Job Number],C26&amp;"",tbl_Finance[Xero Invoice No],"&lt;&gt;"))</f>
        <v/>
      </c>
      <c r="J26" s="27">
        <f>IF(C26="","",H26-I26)</f>
        <v/>
      </c>
      <c r="K26" s="25">
        <f>IF(C26="","",IF(G26=0,"not invoiced yet",SUBSTITUTE(TRIM(IF(COUNTIFS(tbl_Finance[Job Number],C26&amp;"",tbl_Finance[Cost Centre],"ONSITE")&gt;0,"ONSITE ","")&amp;IF(COUNTIFS(tbl_Finance[Job Number],C26&amp;"",tbl_Finance[Cost Centre],"PRODUCTION")&gt;0,"PRODUCTION ","")&amp;IF(COUNTIFS(tbl_Finance[Job Number],C26&amp;"",tbl_Finance[Cost Centre],"VIDEO")&gt;0,"VIDEO ","")&amp;IF(COUNTIFS(tbl_Finance[Job Number],C26&amp;"",tbl_Finance[Cost Centre],"INTEGRATION")&gt;0,"INTEGRATION ","")&amp;IF(COUNTIFS(tbl_Finance[Job Number],C26&amp;"",tbl_Finance[Cost Centre],"CONSULTING")&gt;0,"CONSULTING ","")&amp;IF(COUNTIFS(tbl_Finance[Job Number],C26&amp;"",tbl_Finance[Cost Centre],"CTS")&gt;0,"CTS ",""))," ",", ")))</f>
        <v/>
      </c>
      <c r="L26" s="24" t="n"/>
      <c r="M26" s="24" t="n"/>
      <c r="N26" s="25">
        <f>IF(M26="","",HYPERLINK(IF(LEFT(M26,4)="http",M26,set_QwilrBase&amp;M26),"Open quote"))</f>
        <v/>
      </c>
      <c r="O26" s="69" t="n"/>
      <c r="P26" s="24" t="n"/>
      <c r="Q26" s="24" t="n"/>
    </row>
    <row r="27" ht="15" customHeight="1">
      <c r="A27" s="68">
        <f>IF(C27="","",IFERROR(IF(SUMPRODUCT(MAX((tbl_Finance[Job Number]=C27&amp;"")*(tbl_Finance[Xero Invoice No]&lt;&gt;"")*tbl_Finance[Date]))=0,"",SUMPRODUCT(MAX((tbl_Finance[Job Number]=C27&amp;"")*(tbl_Finance[Xero Invoice No]&lt;&gt;"")*tbl_Finance[Date]))),""))</f>
        <v/>
      </c>
      <c r="B27" s="25">
        <f>IF(C27="","",IF(COUNTIFS(tbl_Finance[Job Number],C27&amp;"",tbl_Finance[Xero Invoice No],"&lt;&gt;")=0,"",IFERROR(IF(COUNTIFS(tbl_Finance[Job Number],C27&amp;"",tbl_Finance[Xero Invoice No],LOOKUP(2,1/((tbl_Finance[Job Number]=C27&amp;"")*(tbl_Finance[Xero Invoice No]&lt;&gt;"")),tbl_Finance[Xero Invoice No]))=COUNTIFS(tbl_Finance[Job Number],C27&amp;"",tbl_Finance[Xero Invoice No],"&lt;&gt;"),LOOKUP(2,1/((tbl_Finance[Job Number]=C27&amp;"")*(tbl_Finance[Xero Invoice No]&lt;&gt;"")),tbl_Finance[Xero Invoice No]),LOOKUP(2,1/((tbl_Finance[Job Number]=C27&amp;"")*(tbl_Finance[Xero Invoice No]&lt;&gt;"")),tbl_Finance[Xero Invoice No])&amp;" +more"),"")))</f>
        <v/>
      </c>
      <c r="C27" s="24" t="n"/>
      <c r="D27" s="25">
        <f>IF(C27="","",IF(COUNTIF(lst_Jobs,C27&amp;"")&gt;0,"OK","CHECK"))</f>
        <v/>
      </c>
      <c r="E27" s="25">
        <f>IF(C27="","",IFERROR(INDEX(lst_JobName,MATCH(C27&amp;"",lst_Jobs,0)),""))</f>
        <v/>
      </c>
      <c r="F27" s="25">
        <f>IF(C27="","",IFERROR(INDEX(tbl_Finance[Client],MATCH(C27&amp;"",tbl_Finance[Job Number],0)),""))</f>
        <v/>
      </c>
      <c r="G27" s="28">
        <f>IF(C27="","",COUNTIFS(tbl_Finance[Job Number],C27&amp;"",tbl_Finance[Ex GST],"&lt;&gt;"))</f>
        <v/>
      </c>
      <c r="H27" s="27">
        <f>IF(C27="","",SUMIFS(tbl_Finance[Ex GST],tbl_Finance[Job Number],C27&amp;""))</f>
        <v/>
      </c>
      <c r="I27" s="27">
        <f>IF(C27="","",SUMIFS(tbl_Finance[Ex GST],tbl_Finance[Job Number],C27&amp;"",tbl_Finance[Xero Invoice No],"&lt;&gt;"))</f>
        <v/>
      </c>
      <c r="J27" s="27">
        <f>IF(C27="","",H27-I27)</f>
        <v/>
      </c>
      <c r="K27" s="25">
        <f>IF(C27="","",IF(G27=0,"not invoiced yet",SUBSTITUTE(TRIM(IF(COUNTIFS(tbl_Finance[Job Number],C27&amp;"",tbl_Finance[Cost Centre],"ONSITE")&gt;0,"ONSITE ","")&amp;IF(COUNTIFS(tbl_Finance[Job Number],C27&amp;"",tbl_Finance[Cost Centre],"PRODUCTION")&gt;0,"PRODUCTION ","")&amp;IF(COUNTIFS(tbl_Finance[Job Number],C27&amp;"",tbl_Finance[Cost Centre],"VIDEO")&gt;0,"VIDEO ","")&amp;IF(COUNTIFS(tbl_Finance[Job Number],C27&amp;"",tbl_Finance[Cost Centre],"INTEGRATION")&gt;0,"INTEGRATION ","")&amp;IF(COUNTIFS(tbl_Finance[Job Number],C27&amp;"",tbl_Finance[Cost Centre],"CONSULTING")&gt;0,"CONSULTING ","")&amp;IF(COUNTIFS(tbl_Finance[Job Number],C27&amp;"",tbl_Finance[Cost Centre],"CTS")&gt;0,"CTS ",""))," ",", ")))</f>
        <v/>
      </c>
      <c r="L27" s="24" t="n"/>
      <c r="M27" s="24" t="n"/>
      <c r="N27" s="25">
        <f>IF(M27="","",HYPERLINK(IF(LEFT(M27,4)="http",M27,set_QwilrBase&amp;M27),"Open quote"))</f>
        <v/>
      </c>
      <c r="O27" s="69" t="n"/>
      <c r="P27" s="24" t="n"/>
      <c r="Q27" s="24" t="n"/>
    </row>
    <row r="28" ht="15" customHeight="1">
      <c r="A28" s="68">
        <f>IF(C28="","",IFERROR(IF(SUMPRODUCT(MAX((tbl_Finance[Job Number]=C28&amp;"")*(tbl_Finance[Xero Invoice No]&lt;&gt;"")*tbl_Finance[Date]))=0,"",SUMPRODUCT(MAX((tbl_Finance[Job Number]=C28&amp;"")*(tbl_Finance[Xero Invoice No]&lt;&gt;"")*tbl_Finance[Date]))),""))</f>
        <v/>
      </c>
      <c r="B28" s="25">
        <f>IF(C28="","",IF(COUNTIFS(tbl_Finance[Job Number],C28&amp;"",tbl_Finance[Xero Invoice No],"&lt;&gt;")=0,"",IFERROR(IF(COUNTIFS(tbl_Finance[Job Number],C28&amp;"",tbl_Finance[Xero Invoice No],LOOKUP(2,1/((tbl_Finance[Job Number]=C28&amp;"")*(tbl_Finance[Xero Invoice No]&lt;&gt;"")),tbl_Finance[Xero Invoice No]))=COUNTIFS(tbl_Finance[Job Number],C28&amp;"",tbl_Finance[Xero Invoice No],"&lt;&gt;"),LOOKUP(2,1/((tbl_Finance[Job Number]=C28&amp;"")*(tbl_Finance[Xero Invoice No]&lt;&gt;"")),tbl_Finance[Xero Invoice No]),LOOKUP(2,1/((tbl_Finance[Job Number]=C28&amp;"")*(tbl_Finance[Xero Invoice No]&lt;&gt;"")),tbl_Finance[Xero Invoice No])&amp;" +more"),"")))</f>
        <v/>
      </c>
      <c r="C28" s="24" t="n"/>
      <c r="D28" s="25">
        <f>IF(C28="","",IF(COUNTIF(lst_Jobs,C28&amp;"")&gt;0,"OK","CHECK"))</f>
        <v/>
      </c>
      <c r="E28" s="25">
        <f>IF(C28="","",IFERROR(INDEX(lst_JobName,MATCH(C28&amp;"",lst_Jobs,0)),""))</f>
        <v/>
      </c>
      <c r="F28" s="25">
        <f>IF(C28="","",IFERROR(INDEX(tbl_Finance[Client],MATCH(C28&amp;"",tbl_Finance[Job Number],0)),""))</f>
        <v/>
      </c>
      <c r="G28" s="28">
        <f>IF(C28="","",COUNTIFS(tbl_Finance[Job Number],C28&amp;"",tbl_Finance[Ex GST],"&lt;&gt;"))</f>
        <v/>
      </c>
      <c r="H28" s="27">
        <f>IF(C28="","",SUMIFS(tbl_Finance[Ex GST],tbl_Finance[Job Number],C28&amp;""))</f>
        <v/>
      </c>
      <c r="I28" s="27">
        <f>IF(C28="","",SUMIFS(tbl_Finance[Ex GST],tbl_Finance[Job Number],C28&amp;"",tbl_Finance[Xero Invoice No],"&lt;&gt;"))</f>
        <v/>
      </c>
      <c r="J28" s="27">
        <f>IF(C28="","",H28-I28)</f>
        <v/>
      </c>
      <c r="K28" s="25">
        <f>IF(C28="","",IF(G28=0,"not invoiced yet",SUBSTITUTE(TRIM(IF(COUNTIFS(tbl_Finance[Job Number],C28&amp;"",tbl_Finance[Cost Centre],"ONSITE")&gt;0,"ONSITE ","")&amp;IF(COUNTIFS(tbl_Finance[Job Number],C28&amp;"",tbl_Finance[Cost Centre],"PRODUCTION")&gt;0,"PRODUCTION ","")&amp;IF(COUNTIFS(tbl_Finance[Job Number],C28&amp;"",tbl_Finance[Cost Centre],"VIDEO")&gt;0,"VIDEO ","")&amp;IF(COUNTIFS(tbl_Finance[Job Number],C28&amp;"",tbl_Finance[Cost Centre],"INTEGRATION")&gt;0,"INTEGRATION ","")&amp;IF(COUNTIFS(tbl_Finance[Job Number],C28&amp;"",tbl_Finance[Cost Centre],"CONSULTING")&gt;0,"CONSULTING ","")&amp;IF(COUNTIFS(tbl_Finance[Job Number],C28&amp;"",tbl_Finance[Cost Centre],"CTS")&gt;0,"CTS ",""))," ",", ")))</f>
        <v/>
      </c>
      <c r="L28" s="24" t="n"/>
      <c r="M28" s="24" t="n"/>
      <c r="N28" s="25">
        <f>IF(M28="","",HYPERLINK(IF(LEFT(M28,4)="http",M28,set_QwilrBase&amp;M28),"Open quote"))</f>
        <v/>
      </c>
      <c r="O28" s="69" t="n"/>
      <c r="P28" s="24" t="n"/>
      <c r="Q28" s="24" t="n"/>
    </row>
    <row r="29" ht="15" customHeight="1">
      <c r="A29" s="68">
        <f>IF(C29="","",IFERROR(IF(SUMPRODUCT(MAX((tbl_Finance[Job Number]=C29&amp;"")*(tbl_Finance[Xero Invoice No]&lt;&gt;"")*tbl_Finance[Date]))=0,"",SUMPRODUCT(MAX((tbl_Finance[Job Number]=C29&amp;"")*(tbl_Finance[Xero Invoice No]&lt;&gt;"")*tbl_Finance[Date]))),""))</f>
        <v/>
      </c>
      <c r="B29" s="25">
        <f>IF(C29="","",IF(COUNTIFS(tbl_Finance[Job Number],C29&amp;"",tbl_Finance[Xero Invoice No],"&lt;&gt;")=0,"",IFERROR(IF(COUNTIFS(tbl_Finance[Job Number],C29&amp;"",tbl_Finance[Xero Invoice No],LOOKUP(2,1/((tbl_Finance[Job Number]=C29&amp;"")*(tbl_Finance[Xero Invoice No]&lt;&gt;"")),tbl_Finance[Xero Invoice No]))=COUNTIFS(tbl_Finance[Job Number],C29&amp;"",tbl_Finance[Xero Invoice No],"&lt;&gt;"),LOOKUP(2,1/((tbl_Finance[Job Number]=C29&amp;"")*(tbl_Finance[Xero Invoice No]&lt;&gt;"")),tbl_Finance[Xero Invoice No]),LOOKUP(2,1/((tbl_Finance[Job Number]=C29&amp;"")*(tbl_Finance[Xero Invoice No]&lt;&gt;"")),tbl_Finance[Xero Invoice No])&amp;" +more"),"")))</f>
        <v/>
      </c>
      <c r="C29" s="24" t="n"/>
      <c r="D29" s="25">
        <f>IF(C29="","",IF(COUNTIF(lst_Jobs,C29&amp;"")&gt;0,"OK","CHECK"))</f>
        <v/>
      </c>
      <c r="E29" s="25">
        <f>IF(C29="","",IFERROR(INDEX(lst_JobName,MATCH(C29&amp;"",lst_Jobs,0)),""))</f>
        <v/>
      </c>
      <c r="F29" s="25">
        <f>IF(C29="","",IFERROR(INDEX(tbl_Finance[Client],MATCH(C29&amp;"",tbl_Finance[Job Number],0)),""))</f>
        <v/>
      </c>
      <c r="G29" s="28">
        <f>IF(C29="","",COUNTIFS(tbl_Finance[Job Number],C29&amp;"",tbl_Finance[Ex GST],"&lt;&gt;"))</f>
        <v/>
      </c>
      <c r="H29" s="27">
        <f>IF(C29="","",SUMIFS(tbl_Finance[Ex GST],tbl_Finance[Job Number],C29&amp;""))</f>
        <v/>
      </c>
      <c r="I29" s="27">
        <f>IF(C29="","",SUMIFS(tbl_Finance[Ex GST],tbl_Finance[Job Number],C29&amp;"",tbl_Finance[Xero Invoice No],"&lt;&gt;"))</f>
        <v/>
      </c>
      <c r="J29" s="27">
        <f>IF(C29="","",H29-I29)</f>
        <v/>
      </c>
      <c r="K29" s="25">
        <f>IF(C29="","",IF(G29=0,"not invoiced yet",SUBSTITUTE(TRIM(IF(COUNTIFS(tbl_Finance[Job Number],C29&amp;"",tbl_Finance[Cost Centre],"ONSITE")&gt;0,"ONSITE ","")&amp;IF(COUNTIFS(tbl_Finance[Job Number],C29&amp;"",tbl_Finance[Cost Centre],"PRODUCTION")&gt;0,"PRODUCTION ","")&amp;IF(COUNTIFS(tbl_Finance[Job Number],C29&amp;"",tbl_Finance[Cost Centre],"VIDEO")&gt;0,"VIDEO ","")&amp;IF(COUNTIFS(tbl_Finance[Job Number],C29&amp;"",tbl_Finance[Cost Centre],"INTEGRATION")&gt;0,"INTEGRATION ","")&amp;IF(COUNTIFS(tbl_Finance[Job Number],C29&amp;"",tbl_Finance[Cost Centre],"CONSULTING")&gt;0,"CONSULTING ","")&amp;IF(COUNTIFS(tbl_Finance[Job Number],C29&amp;"",tbl_Finance[Cost Centre],"CTS")&gt;0,"CTS ",""))," ",", ")))</f>
        <v/>
      </c>
      <c r="L29" s="24" t="n"/>
      <c r="M29" s="24" t="n"/>
      <c r="N29" s="25">
        <f>IF(M29="","",HYPERLINK(IF(LEFT(M29,4)="http",M29,set_QwilrBase&amp;M29),"Open quote"))</f>
        <v/>
      </c>
      <c r="O29" s="69" t="n"/>
      <c r="P29" s="24" t="n"/>
      <c r="Q29" s="24" t="n"/>
    </row>
    <row r="30" ht="15" customHeight="1">
      <c r="A30" s="68">
        <f>IF(C30="","",IFERROR(IF(SUMPRODUCT(MAX((tbl_Finance[Job Number]=C30&amp;"")*(tbl_Finance[Xero Invoice No]&lt;&gt;"")*tbl_Finance[Date]))=0,"",SUMPRODUCT(MAX((tbl_Finance[Job Number]=C30&amp;"")*(tbl_Finance[Xero Invoice No]&lt;&gt;"")*tbl_Finance[Date]))),""))</f>
        <v/>
      </c>
      <c r="B30" s="25">
        <f>IF(C30="","",IF(COUNTIFS(tbl_Finance[Job Number],C30&amp;"",tbl_Finance[Xero Invoice No],"&lt;&gt;")=0,"",IFERROR(IF(COUNTIFS(tbl_Finance[Job Number],C30&amp;"",tbl_Finance[Xero Invoice No],LOOKUP(2,1/((tbl_Finance[Job Number]=C30&amp;"")*(tbl_Finance[Xero Invoice No]&lt;&gt;"")),tbl_Finance[Xero Invoice No]))=COUNTIFS(tbl_Finance[Job Number],C30&amp;"",tbl_Finance[Xero Invoice No],"&lt;&gt;"),LOOKUP(2,1/((tbl_Finance[Job Number]=C30&amp;"")*(tbl_Finance[Xero Invoice No]&lt;&gt;"")),tbl_Finance[Xero Invoice No]),LOOKUP(2,1/((tbl_Finance[Job Number]=C30&amp;"")*(tbl_Finance[Xero Invoice No]&lt;&gt;"")),tbl_Finance[Xero Invoice No])&amp;" +more"),"")))</f>
        <v/>
      </c>
      <c r="C30" s="24" t="n"/>
      <c r="D30" s="25">
        <f>IF(C30="","",IF(COUNTIF(lst_Jobs,C30&amp;"")&gt;0,"OK","CHECK"))</f>
        <v/>
      </c>
      <c r="E30" s="25">
        <f>IF(C30="","",IFERROR(INDEX(lst_JobName,MATCH(C30&amp;"",lst_Jobs,0)),""))</f>
        <v/>
      </c>
      <c r="F30" s="25">
        <f>IF(C30="","",IFERROR(INDEX(tbl_Finance[Client],MATCH(C30&amp;"",tbl_Finance[Job Number],0)),""))</f>
        <v/>
      </c>
      <c r="G30" s="28">
        <f>IF(C30="","",COUNTIFS(tbl_Finance[Job Number],C30&amp;"",tbl_Finance[Ex GST],"&lt;&gt;"))</f>
        <v/>
      </c>
      <c r="H30" s="27">
        <f>IF(C30="","",SUMIFS(tbl_Finance[Ex GST],tbl_Finance[Job Number],C30&amp;""))</f>
        <v/>
      </c>
      <c r="I30" s="27">
        <f>IF(C30="","",SUMIFS(tbl_Finance[Ex GST],tbl_Finance[Job Number],C30&amp;"",tbl_Finance[Xero Invoice No],"&lt;&gt;"))</f>
        <v/>
      </c>
      <c r="J30" s="27">
        <f>IF(C30="","",H30-I30)</f>
        <v/>
      </c>
      <c r="K30" s="25">
        <f>IF(C30="","",IF(G30=0,"not invoiced yet",SUBSTITUTE(TRIM(IF(COUNTIFS(tbl_Finance[Job Number],C30&amp;"",tbl_Finance[Cost Centre],"ONSITE")&gt;0,"ONSITE ","")&amp;IF(COUNTIFS(tbl_Finance[Job Number],C30&amp;"",tbl_Finance[Cost Centre],"PRODUCTION")&gt;0,"PRODUCTION ","")&amp;IF(COUNTIFS(tbl_Finance[Job Number],C30&amp;"",tbl_Finance[Cost Centre],"VIDEO")&gt;0,"VIDEO ","")&amp;IF(COUNTIFS(tbl_Finance[Job Number],C30&amp;"",tbl_Finance[Cost Centre],"INTEGRATION")&gt;0,"INTEGRATION ","")&amp;IF(COUNTIFS(tbl_Finance[Job Number],C30&amp;"",tbl_Finance[Cost Centre],"CONSULTING")&gt;0,"CONSULTING ","")&amp;IF(COUNTIFS(tbl_Finance[Job Number],C30&amp;"",tbl_Finance[Cost Centre],"CTS")&gt;0,"CTS ",""))," ",", ")))</f>
        <v/>
      </c>
      <c r="L30" s="24" t="n"/>
      <c r="M30" s="24" t="n"/>
      <c r="N30" s="25">
        <f>IF(M30="","",HYPERLINK(IF(LEFT(M30,4)="http",M30,set_QwilrBase&amp;M30),"Open quote"))</f>
        <v/>
      </c>
      <c r="O30" s="69" t="n"/>
      <c r="P30" s="24" t="n"/>
      <c r="Q30" s="24" t="n"/>
    </row>
    <row r="31" ht="15" customHeight="1">
      <c r="A31" s="68">
        <f>IF(C31="","",IFERROR(IF(SUMPRODUCT(MAX((tbl_Finance[Job Number]=C31&amp;"")*(tbl_Finance[Xero Invoice No]&lt;&gt;"")*tbl_Finance[Date]))=0,"",SUMPRODUCT(MAX((tbl_Finance[Job Number]=C31&amp;"")*(tbl_Finance[Xero Invoice No]&lt;&gt;"")*tbl_Finance[Date]))),""))</f>
        <v/>
      </c>
      <c r="B31" s="25">
        <f>IF(C31="","",IF(COUNTIFS(tbl_Finance[Job Number],C31&amp;"",tbl_Finance[Xero Invoice No],"&lt;&gt;")=0,"",IFERROR(IF(COUNTIFS(tbl_Finance[Job Number],C31&amp;"",tbl_Finance[Xero Invoice No],LOOKUP(2,1/((tbl_Finance[Job Number]=C31&amp;"")*(tbl_Finance[Xero Invoice No]&lt;&gt;"")),tbl_Finance[Xero Invoice No]))=COUNTIFS(tbl_Finance[Job Number],C31&amp;"",tbl_Finance[Xero Invoice No],"&lt;&gt;"),LOOKUP(2,1/((tbl_Finance[Job Number]=C31&amp;"")*(tbl_Finance[Xero Invoice No]&lt;&gt;"")),tbl_Finance[Xero Invoice No]),LOOKUP(2,1/((tbl_Finance[Job Number]=C31&amp;"")*(tbl_Finance[Xero Invoice No]&lt;&gt;"")),tbl_Finance[Xero Invoice No])&amp;" +more"),"")))</f>
        <v/>
      </c>
      <c r="C31" s="24" t="n"/>
      <c r="D31" s="25">
        <f>IF(C31="","",IF(COUNTIF(lst_Jobs,C31&amp;"")&gt;0,"OK","CHECK"))</f>
        <v/>
      </c>
      <c r="E31" s="25">
        <f>IF(C31="","",IFERROR(INDEX(lst_JobName,MATCH(C31&amp;"",lst_Jobs,0)),""))</f>
        <v/>
      </c>
      <c r="F31" s="25">
        <f>IF(C31="","",IFERROR(INDEX(tbl_Finance[Client],MATCH(C31&amp;"",tbl_Finance[Job Number],0)),""))</f>
        <v/>
      </c>
      <c r="G31" s="28">
        <f>IF(C31="","",COUNTIFS(tbl_Finance[Job Number],C31&amp;"",tbl_Finance[Ex GST],"&lt;&gt;"))</f>
        <v/>
      </c>
      <c r="H31" s="27">
        <f>IF(C31="","",SUMIFS(tbl_Finance[Ex GST],tbl_Finance[Job Number],C31&amp;""))</f>
        <v/>
      </c>
      <c r="I31" s="27">
        <f>IF(C31="","",SUMIFS(tbl_Finance[Ex GST],tbl_Finance[Job Number],C31&amp;"",tbl_Finance[Xero Invoice No],"&lt;&gt;"))</f>
        <v/>
      </c>
      <c r="J31" s="27">
        <f>IF(C31="","",H31-I31)</f>
        <v/>
      </c>
      <c r="K31" s="25">
        <f>IF(C31="","",IF(G31=0,"not invoiced yet",SUBSTITUTE(TRIM(IF(COUNTIFS(tbl_Finance[Job Number],C31&amp;"",tbl_Finance[Cost Centre],"ONSITE")&gt;0,"ONSITE ","")&amp;IF(COUNTIFS(tbl_Finance[Job Number],C31&amp;"",tbl_Finance[Cost Centre],"PRODUCTION")&gt;0,"PRODUCTION ","")&amp;IF(COUNTIFS(tbl_Finance[Job Number],C31&amp;"",tbl_Finance[Cost Centre],"VIDEO")&gt;0,"VIDEO ","")&amp;IF(COUNTIFS(tbl_Finance[Job Number],C31&amp;"",tbl_Finance[Cost Centre],"INTEGRATION")&gt;0,"INTEGRATION ","")&amp;IF(COUNTIFS(tbl_Finance[Job Number],C31&amp;"",tbl_Finance[Cost Centre],"CONSULTING")&gt;0,"CONSULTING ","")&amp;IF(COUNTIFS(tbl_Finance[Job Number],C31&amp;"",tbl_Finance[Cost Centre],"CTS")&gt;0,"CTS ",""))," ",", ")))</f>
        <v/>
      </c>
      <c r="L31" s="24" t="n"/>
      <c r="M31" s="24" t="n"/>
      <c r="N31" s="25">
        <f>IF(M31="","",HYPERLINK(IF(LEFT(M31,4)="http",M31,set_QwilrBase&amp;M31),"Open quote"))</f>
        <v/>
      </c>
      <c r="O31" s="69" t="n"/>
      <c r="P31" s="24" t="n"/>
      <c r="Q31" s="24" t="n"/>
    </row>
    <row r="32" ht="15" customHeight="1">
      <c r="A32" s="68">
        <f>IF(C32="","",IFERROR(IF(SUMPRODUCT(MAX((tbl_Finance[Job Number]=C32&amp;"")*(tbl_Finance[Xero Invoice No]&lt;&gt;"")*tbl_Finance[Date]))=0,"",SUMPRODUCT(MAX((tbl_Finance[Job Number]=C32&amp;"")*(tbl_Finance[Xero Invoice No]&lt;&gt;"")*tbl_Finance[Date]))),""))</f>
        <v/>
      </c>
      <c r="B32" s="25">
        <f>IF(C32="","",IF(COUNTIFS(tbl_Finance[Job Number],C32&amp;"",tbl_Finance[Xero Invoice No],"&lt;&gt;")=0,"",IFERROR(IF(COUNTIFS(tbl_Finance[Job Number],C32&amp;"",tbl_Finance[Xero Invoice No],LOOKUP(2,1/((tbl_Finance[Job Number]=C32&amp;"")*(tbl_Finance[Xero Invoice No]&lt;&gt;"")),tbl_Finance[Xero Invoice No]))=COUNTIFS(tbl_Finance[Job Number],C32&amp;"",tbl_Finance[Xero Invoice No],"&lt;&gt;"),LOOKUP(2,1/((tbl_Finance[Job Number]=C32&amp;"")*(tbl_Finance[Xero Invoice No]&lt;&gt;"")),tbl_Finance[Xero Invoice No]),LOOKUP(2,1/((tbl_Finance[Job Number]=C32&amp;"")*(tbl_Finance[Xero Invoice No]&lt;&gt;"")),tbl_Finance[Xero Invoice No])&amp;" +more"),"")))</f>
        <v/>
      </c>
      <c r="C32" s="24" t="n"/>
      <c r="D32" s="25">
        <f>IF(C32="","",IF(COUNTIF(lst_Jobs,C32&amp;"")&gt;0,"OK","CHECK"))</f>
        <v/>
      </c>
      <c r="E32" s="25">
        <f>IF(C32="","",IFERROR(INDEX(lst_JobName,MATCH(C32&amp;"",lst_Jobs,0)),""))</f>
        <v/>
      </c>
      <c r="F32" s="25">
        <f>IF(C32="","",IFERROR(INDEX(tbl_Finance[Client],MATCH(C32&amp;"",tbl_Finance[Job Number],0)),""))</f>
        <v/>
      </c>
      <c r="G32" s="28">
        <f>IF(C32="","",COUNTIFS(tbl_Finance[Job Number],C32&amp;"",tbl_Finance[Ex GST],"&lt;&gt;"))</f>
        <v/>
      </c>
      <c r="H32" s="27">
        <f>IF(C32="","",SUMIFS(tbl_Finance[Ex GST],tbl_Finance[Job Number],C32&amp;""))</f>
        <v/>
      </c>
      <c r="I32" s="27">
        <f>IF(C32="","",SUMIFS(tbl_Finance[Ex GST],tbl_Finance[Job Number],C32&amp;"",tbl_Finance[Xero Invoice No],"&lt;&gt;"))</f>
        <v/>
      </c>
      <c r="J32" s="27">
        <f>IF(C32="","",H32-I32)</f>
        <v/>
      </c>
      <c r="K32" s="25">
        <f>IF(C32="","",IF(G32=0,"not invoiced yet",SUBSTITUTE(TRIM(IF(COUNTIFS(tbl_Finance[Job Number],C32&amp;"",tbl_Finance[Cost Centre],"ONSITE")&gt;0,"ONSITE ","")&amp;IF(COUNTIFS(tbl_Finance[Job Number],C32&amp;"",tbl_Finance[Cost Centre],"PRODUCTION")&gt;0,"PRODUCTION ","")&amp;IF(COUNTIFS(tbl_Finance[Job Number],C32&amp;"",tbl_Finance[Cost Centre],"VIDEO")&gt;0,"VIDEO ","")&amp;IF(COUNTIFS(tbl_Finance[Job Number],C32&amp;"",tbl_Finance[Cost Centre],"INTEGRATION")&gt;0,"INTEGRATION ","")&amp;IF(COUNTIFS(tbl_Finance[Job Number],C32&amp;"",tbl_Finance[Cost Centre],"CONSULTING")&gt;0,"CONSULTING ","")&amp;IF(COUNTIFS(tbl_Finance[Job Number],C32&amp;"",tbl_Finance[Cost Centre],"CTS")&gt;0,"CTS ",""))," ",", ")))</f>
        <v/>
      </c>
      <c r="L32" s="24" t="n"/>
      <c r="M32" s="24" t="n"/>
      <c r="N32" s="25">
        <f>IF(M32="","",HYPERLINK(IF(LEFT(M32,4)="http",M32,set_QwilrBase&amp;M32),"Open quote"))</f>
        <v/>
      </c>
      <c r="O32" s="69" t="n"/>
      <c r="P32" s="24" t="n"/>
      <c r="Q32" s="24" t="n"/>
    </row>
    <row r="33" ht="15" customHeight="1">
      <c r="A33" s="68">
        <f>IF(C33="","",IFERROR(IF(SUMPRODUCT(MAX((tbl_Finance[Job Number]=C33&amp;"")*(tbl_Finance[Xero Invoice No]&lt;&gt;"")*tbl_Finance[Date]))=0,"",SUMPRODUCT(MAX((tbl_Finance[Job Number]=C33&amp;"")*(tbl_Finance[Xero Invoice No]&lt;&gt;"")*tbl_Finance[Date]))),""))</f>
        <v/>
      </c>
      <c r="B33" s="25">
        <f>IF(C33="","",IF(COUNTIFS(tbl_Finance[Job Number],C33&amp;"",tbl_Finance[Xero Invoice No],"&lt;&gt;")=0,"",IFERROR(IF(COUNTIFS(tbl_Finance[Job Number],C33&amp;"",tbl_Finance[Xero Invoice No],LOOKUP(2,1/((tbl_Finance[Job Number]=C33&amp;"")*(tbl_Finance[Xero Invoice No]&lt;&gt;"")),tbl_Finance[Xero Invoice No]))=COUNTIFS(tbl_Finance[Job Number],C33&amp;"",tbl_Finance[Xero Invoice No],"&lt;&gt;"),LOOKUP(2,1/((tbl_Finance[Job Number]=C33&amp;"")*(tbl_Finance[Xero Invoice No]&lt;&gt;"")),tbl_Finance[Xero Invoice No]),LOOKUP(2,1/((tbl_Finance[Job Number]=C33&amp;"")*(tbl_Finance[Xero Invoice No]&lt;&gt;"")),tbl_Finance[Xero Invoice No])&amp;" +more"),"")))</f>
        <v/>
      </c>
      <c r="C33" s="24" t="n"/>
      <c r="D33" s="25">
        <f>IF(C33="","",IF(COUNTIF(lst_Jobs,C33&amp;"")&gt;0,"OK","CHECK"))</f>
        <v/>
      </c>
      <c r="E33" s="25">
        <f>IF(C33="","",IFERROR(INDEX(lst_JobName,MATCH(C33&amp;"",lst_Jobs,0)),""))</f>
        <v/>
      </c>
      <c r="F33" s="25">
        <f>IF(C33="","",IFERROR(INDEX(tbl_Finance[Client],MATCH(C33&amp;"",tbl_Finance[Job Number],0)),""))</f>
        <v/>
      </c>
      <c r="G33" s="28">
        <f>IF(C33="","",COUNTIFS(tbl_Finance[Job Number],C33&amp;"",tbl_Finance[Ex GST],"&lt;&gt;"))</f>
        <v/>
      </c>
      <c r="H33" s="27">
        <f>IF(C33="","",SUMIFS(tbl_Finance[Ex GST],tbl_Finance[Job Number],C33&amp;""))</f>
        <v/>
      </c>
      <c r="I33" s="27">
        <f>IF(C33="","",SUMIFS(tbl_Finance[Ex GST],tbl_Finance[Job Number],C33&amp;"",tbl_Finance[Xero Invoice No],"&lt;&gt;"))</f>
        <v/>
      </c>
      <c r="J33" s="27">
        <f>IF(C33="","",H33-I33)</f>
        <v/>
      </c>
      <c r="K33" s="25">
        <f>IF(C33="","",IF(G33=0,"not invoiced yet",SUBSTITUTE(TRIM(IF(COUNTIFS(tbl_Finance[Job Number],C33&amp;"",tbl_Finance[Cost Centre],"ONSITE")&gt;0,"ONSITE ","")&amp;IF(COUNTIFS(tbl_Finance[Job Number],C33&amp;"",tbl_Finance[Cost Centre],"PRODUCTION")&gt;0,"PRODUCTION ","")&amp;IF(COUNTIFS(tbl_Finance[Job Number],C33&amp;"",tbl_Finance[Cost Centre],"VIDEO")&gt;0,"VIDEO ","")&amp;IF(COUNTIFS(tbl_Finance[Job Number],C33&amp;"",tbl_Finance[Cost Centre],"INTEGRATION")&gt;0,"INTEGRATION ","")&amp;IF(COUNTIFS(tbl_Finance[Job Number],C33&amp;"",tbl_Finance[Cost Centre],"CONSULTING")&gt;0,"CONSULTING ","")&amp;IF(COUNTIFS(tbl_Finance[Job Number],C33&amp;"",tbl_Finance[Cost Centre],"CTS")&gt;0,"CTS ",""))," ",", ")))</f>
        <v/>
      </c>
      <c r="L33" s="24" t="n"/>
      <c r="M33" s="24" t="n"/>
      <c r="N33" s="25">
        <f>IF(M33="","",HYPERLINK(IF(LEFT(M33,4)="http",M33,set_QwilrBase&amp;M33),"Open quote"))</f>
        <v/>
      </c>
      <c r="O33" s="69" t="n"/>
      <c r="P33" s="24" t="n"/>
      <c r="Q33" s="24" t="n"/>
    </row>
    <row r="34" ht="15" customHeight="1">
      <c r="A34" s="68">
        <f>IF(C34="","",IFERROR(IF(SUMPRODUCT(MAX((tbl_Finance[Job Number]=C34&amp;"")*(tbl_Finance[Xero Invoice No]&lt;&gt;"")*tbl_Finance[Date]))=0,"",SUMPRODUCT(MAX((tbl_Finance[Job Number]=C34&amp;"")*(tbl_Finance[Xero Invoice No]&lt;&gt;"")*tbl_Finance[Date]))),""))</f>
        <v/>
      </c>
      <c r="B34" s="25">
        <f>IF(C34="","",IF(COUNTIFS(tbl_Finance[Job Number],C34&amp;"",tbl_Finance[Xero Invoice No],"&lt;&gt;")=0,"",IFERROR(IF(COUNTIFS(tbl_Finance[Job Number],C34&amp;"",tbl_Finance[Xero Invoice No],LOOKUP(2,1/((tbl_Finance[Job Number]=C34&amp;"")*(tbl_Finance[Xero Invoice No]&lt;&gt;"")),tbl_Finance[Xero Invoice No]))=COUNTIFS(tbl_Finance[Job Number],C34&amp;"",tbl_Finance[Xero Invoice No],"&lt;&gt;"),LOOKUP(2,1/((tbl_Finance[Job Number]=C34&amp;"")*(tbl_Finance[Xero Invoice No]&lt;&gt;"")),tbl_Finance[Xero Invoice No]),LOOKUP(2,1/((tbl_Finance[Job Number]=C34&amp;"")*(tbl_Finance[Xero Invoice No]&lt;&gt;"")),tbl_Finance[Xero Invoice No])&amp;" +more"),"")))</f>
        <v/>
      </c>
      <c r="C34" s="24" t="n"/>
      <c r="D34" s="25">
        <f>IF(C34="","",IF(COUNTIF(lst_Jobs,C34&amp;"")&gt;0,"OK","CHECK"))</f>
        <v/>
      </c>
      <c r="E34" s="25">
        <f>IF(C34="","",IFERROR(INDEX(lst_JobName,MATCH(C34&amp;"",lst_Jobs,0)),""))</f>
        <v/>
      </c>
      <c r="F34" s="25">
        <f>IF(C34="","",IFERROR(INDEX(tbl_Finance[Client],MATCH(C34&amp;"",tbl_Finance[Job Number],0)),""))</f>
        <v/>
      </c>
      <c r="G34" s="28">
        <f>IF(C34="","",COUNTIFS(tbl_Finance[Job Number],C34&amp;"",tbl_Finance[Ex GST],"&lt;&gt;"))</f>
        <v/>
      </c>
      <c r="H34" s="27">
        <f>IF(C34="","",SUMIFS(tbl_Finance[Ex GST],tbl_Finance[Job Number],C34&amp;""))</f>
        <v/>
      </c>
      <c r="I34" s="27">
        <f>IF(C34="","",SUMIFS(tbl_Finance[Ex GST],tbl_Finance[Job Number],C34&amp;"",tbl_Finance[Xero Invoice No],"&lt;&gt;"))</f>
        <v/>
      </c>
      <c r="J34" s="27">
        <f>IF(C34="","",H34-I34)</f>
        <v/>
      </c>
      <c r="K34" s="25">
        <f>IF(C34="","",IF(G34=0,"not invoiced yet",SUBSTITUTE(TRIM(IF(COUNTIFS(tbl_Finance[Job Number],C34&amp;"",tbl_Finance[Cost Centre],"ONSITE")&gt;0,"ONSITE ","")&amp;IF(COUNTIFS(tbl_Finance[Job Number],C34&amp;"",tbl_Finance[Cost Centre],"PRODUCTION")&gt;0,"PRODUCTION ","")&amp;IF(COUNTIFS(tbl_Finance[Job Number],C34&amp;"",tbl_Finance[Cost Centre],"VIDEO")&gt;0,"VIDEO ","")&amp;IF(COUNTIFS(tbl_Finance[Job Number],C34&amp;"",tbl_Finance[Cost Centre],"INTEGRATION")&gt;0,"INTEGRATION ","")&amp;IF(COUNTIFS(tbl_Finance[Job Number],C34&amp;"",tbl_Finance[Cost Centre],"CONSULTING")&gt;0,"CONSULTING ","")&amp;IF(COUNTIFS(tbl_Finance[Job Number],C34&amp;"",tbl_Finance[Cost Centre],"CTS")&gt;0,"CTS ",""))," ",", ")))</f>
        <v/>
      </c>
      <c r="L34" s="24" t="n"/>
      <c r="M34" s="24" t="n"/>
      <c r="N34" s="25">
        <f>IF(M34="","",HYPERLINK(IF(LEFT(M34,4)="http",M34,set_QwilrBase&amp;M34),"Open quote"))</f>
        <v/>
      </c>
      <c r="O34" s="69" t="n"/>
      <c r="P34" s="24" t="n"/>
      <c r="Q34" s="24" t="n"/>
    </row>
    <row r="35" ht="15" customHeight="1">
      <c r="A35" s="68">
        <f>IF(C35="","",IFERROR(IF(SUMPRODUCT(MAX((tbl_Finance[Job Number]=C35&amp;"")*(tbl_Finance[Xero Invoice No]&lt;&gt;"")*tbl_Finance[Date]))=0,"",SUMPRODUCT(MAX((tbl_Finance[Job Number]=C35&amp;"")*(tbl_Finance[Xero Invoice No]&lt;&gt;"")*tbl_Finance[Date]))),""))</f>
        <v/>
      </c>
      <c r="B35" s="25">
        <f>IF(C35="","",IF(COUNTIFS(tbl_Finance[Job Number],C35&amp;"",tbl_Finance[Xero Invoice No],"&lt;&gt;")=0,"",IFERROR(IF(COUNTIFS(tbl_Finance[Job Number],C35&amp;"",tbl_Finance[Xero Invoice No],LOOKUP(2,1/((tbl_Finance[Job Number]=C35&amp;"")*(tbl_Finance[Xero Invoice No]&lt;&gt;"")),tbl_Finance[Xero Invoice No]))=COUNTIFS(tbl_Finance[Job Number],C35&amp;"",tbl_Finance[Xero Invoice No],"&lt;&gt;"),LOOKUP(2,1/((tbl_Finance[Job Number]=C35&amp;"")*(tbl_Finance[Xero Invoice No]&lt;&gt;"")),tbl_Finance[Xero Invoice No]),LOOKUP(2,1/((tbl_Finance[Job Number]=C35&amp;"")*(tbl_Finance[Xero Invoice No]&lt;&gt;"")),tbl_Finance[Xero Invoice No])&amp;" +more"),"")))</f>
        <v/>
      </c>
      <c r="C35" s="24" t="n"/>
      <c r="D35" s="25">
        <f>IF(C35="","",IF(COUNTIF(lst_Jobs,C35&amp;"")&gt;0,"OK","CHECK"))</f>
        <v/>
      </c>
      <c r="E35" s="25">
        <f>IF(C35="","",IFERROR(INDEX(lst_JobName,MATCH(C35&amp;"",lst_Jobs,0)),""))</f>
        <v/>
      </c>
      <c r="F35" s="25">
        <f>IF(C35="","",IFERROR(INDEX(tbl_Finance[Client],MATCH(C35&amp;"",tbl_Finance[Job Number],0)),""))</f>
        <v/>
      </c>
      <c r="G35" s="28">
        <f>IF(C35="","",COUNTIFS(tbl_Finance[Job Number],C35&amp;"",tbl_Finance[Ex GST],"&lt;&gt;"))</f>
        <v/>
      </c>
      <c r="H35" s="27">
        <f>IF(C35="","",SUMIFS(tbl_Finance[Ex GST],tbl_Finance[Job Number],C35&amp;""))</f>
        <v/>
      </c>
      <c r="I35" s="27">
        <f>IF(C35="","",SUMIFS(tbl_Finance[Ex GST],tbl_Finance[Job Number],C35&amp;"",tbl_Finance[Xero Invoice No],"&lt;&gt;"))</f>
        <v/>
      </c>
      <c r="J35" s="27">
        <f>IF(C35="","",H35-I35)</f>
        <v/>
      </c>
      <c r="K35" s="25">
        <f>IF(C35="","",IF(G35=0,"not invoiced yet",SUBSTITUTE(TRIM(IF(COUNTIFS(tbl_Finance[Job Number],C35&amp;"",tbl_Finance[Cost Centre],"ONSITE")&gt;0,"ONSITE ","")&amp;IF(COUNTIFS(tbl_Finance[Job Number],C35&amp;"",tbl_Finance[Cost Centre],"PRODUCTION")&gt;0,"PRODUCTION ","")&amp;IF(COUNTIFS(tbl_Finance[Job Number],C35&amp;"",tbl_Finance[Cost Centre],"VIDEO")&gt;0,"VIDEO ","")&amp;IF(COUNTIFS(tbl_Finance[Job Number],C35&amp;"",tbl_Finance[Cost Centre],"INTEGRATION")&gt;0,"INTEGRATION ","")&amp;IF(COUNTIFS(tbl_Finance[Job Number],C35&amp;"",tbl_Finance[Cost Centre],"CONSULTING")&gt;0,"CONSULTING ","")&amp;IF(COUNTIFS(tbl_Finance[Job Number],C35&amp;"",tbl_Finance[Cost Centre],"CTS")&gt;0,"CTS ",""))," ",", ")))</f>
        <v/>
      </c>
      <c r="L35" s="24" t="n"/>
      <c r="M35" s="24" t="n"/>
      <c r="N35" s="25">
        <f>IF(M35="","",HYPERLINK(IF(LEFT(M35,4)="http",M35,set_QwilrBase&amp;M35),"Open quote"))</f>
        <v/>
      </c>
      <c r="O35" s="69" t="n"/>
      <c r="P35" s="24" t="n"/>
      <c r="Q35" s="24" t="n"/>
    </row>
    <row r="36" ht="15" customHeight="1">
      <c r="A36" s="68">
        <f>IF(C36="","",IFERROR(IF(SUMPRODUCT(MAX((tbl_Finance[Job Number]=C36&amp;"")*(tbl_Finance[Xero Invoice No]&lt;&gt;"")*tbl_Finance[Date]))=0,"",SUMPRODUCT(MAX((tbl_Finance[Job Number]=C36&amp;"")*(tbl_Finance[Xero Invoice No]&lt;&gt;"")*tbl_Finance[Date]))),""))</f>
        <v/>
      </c>
      <c r="B36" s="25">
        <f>IF(C36="","",IF(COUNTIFS(tbl_Finance[Job Number],C36&amp;"",tbl_Finance[Xero Invoice No],"&lt;&gt;")=0,"",IFERROR(IF(COUNTIFS(tbl_Finance[Job Number],C36&amp;"",tbl_Finance[Xero Invoice No],LOOKUP(2,1/((tbl_Finance[Job Number]=C36&amp;"")*(tbl_Finance[Xero Invoice No]&lt;&gt;"")),tbl_Finance[Xero Invoice No]))=COUNTIFS(tbl_Finance[Job Number],C36&amp;"",tbl_Finance[Xero Invoice No],"&lt;&gt;"),LOOKUP(2,1/((tbl_Finance[Job Number]=C36&amp;"")*(tbl_Finance[Xero Invoice No]&lt;&gt;"")),tbl_Finance[Xero Invoice No]),LOOKUP(2,1/((tbl_Finance[Job Number]=C36&amp;"")*(tbl_Finance[Xero Invoice No]&lt;&gt;"")),tbl_Finance[Xero Invoice No])&amp;" +more"),"")))</f>
        <v/>
      </c>
      <c r="C36" s="24" t="n"/>
      <c r="D36" s="25">
        <f>IF(C36="","",IF(COUNTIF(lst_Jobs,C36&amp;"")&gt;0,"OK","CHECK"))</f>
        <v/>
      </c>
      <c r="E36" s="25">
        <f>IF(C36="","",IFERROR(INDEX(lst_JobName,MATCH(C36&amp;"",lst_Jobs,0)),""))</f>
        <v/>
      </c>
      <c r="F36" s="25">
        <f>IF(C36="","",IFERROR(INDEX(tbl_Finance[Client],MATCH(C36&amp;"",tbl_Finance[Job Number],0)),""))</f>
        <v/>
      </c>
      <c r="G36" s="28">
        <f>IF(C36="","",COUNTIFS(tbl_Finance[Job Number],C36&amp;"",tbl_Finance[Ex GST],"&lt;&gt;"))</f>
        <v/>
      </c>
      <c r="H36" s="27">
        <f>IF(C36="","",SUMIFS(tbl_Finance[Ex GST],tbl_Finance[Job Number],C36&amp;""))</f>
        <v/>
      </c>
      <c r="I36" s="27">
        <f>IF(C36="","",SUMIFS(tbl_Finance[Ex GST],tbl_Finance[Job Number],C36&amp;"",tbl_Finance[Xero Invoice No],"&lt;&gt;"))</f>
        <v/>
      </c>
      <c r="J36" s="27">
        <f>IF(C36="","",H36-I36)</f>
        <v/>
      </c>
      <c r="K36" s="25">
        <f>IF(C36="","",IF(G36=0,"not invoiced yet",SUBSTITUTE(TRIM(IF(COUNTIFS(tbl_Finance[Job Number],C36&amp;"",tbl_Finance[Cost Centre],"ONSITE")&gt;0,"ONSITE ","")&amp;IF(COUNTIFS(tbl_Finance[Job Number],C36&amp;"",tbl_Finance[Cost Centre],"PRODUCTION")&gt;0,"PRODUCTION ","")&amp;IF(COUNTIFS(tbl_Finance[Job Number],C36&amp;"",tbl_Finance[Cost Centre],"VIDEO")&gt;0,"VIDEO ","")&amp;IF(COUNTIFS(tbl_Finance[Job Number],C36&amp;"",tbl_Finance[Cost Centre],"INTEGRATION")&gt;0,"INTEGRATION ","")&amp;IF(COUNTIFS(tbl_Finance[Job Number],C36&amp;"",tbl_Finance[Cost Centre],"CONSULTING")&gt;0,"CONSULTING ","")&amp;IF(COUNTIFS(tbl_Finance[Job Number],C36&amp;"",tbl_Finance[Cost Centre],"CTS")&gt;0,"CTS ",""))," ",", ")))</f>
        <v/>
      </c>
      <c r="L36" s="24" t="n"/>
      <c r="M36" s="24" t="n"/>
      <c r="N36" s="25">
        <f>IF(M36="","",HYPERLINK(IF(LEFT(M36,4)="http",M36,set_QwilrBase&amp;M36),"Open quote"))</f>
        <v/>
      </c>
      <c r="O36" s="69" t="n"/>
      <c r="P36" s="24" t="n"/>
      <c r="Q36" s="24" t="n"/>
    </row>
    <row r="37" ht="15" customHeight="1">
      <c r="A37" s="68">
        <f>IF(C37="","",IFERROR(IF(SUMPRODUCT(MAX((tbl_Finance[Job Number]=C37&amp;"")*(tbl_Finance[Xero Invoice No]&lt;&gt;"")*tbl_Finance[Date]))=0,"",SUMPRODUCT(MAX((tbl_Finance[Job Number]=C37&amp;"")*(tbl_Finance[Xero Invoice No]&lt;&gt;"")*tbl_Finance[Date]))),""))</f>
        <v/>
      </c>
      <c r="B37" s="25">
        <f>IF(C37="","",IF(COUNTIFS(tbl_Finance[Job Number],C37&amp;"",tbl_Finance[Xero Invoice No],"&lt;&gt;")=0,"",IFERROR(IF(COUNTIFS(tbl_Finance[Job Number],C37&amp;"",tbl_Finance[Xero Invoice No],LOOKUP(2,1/((tbl_Finance[Job Number]=C37&amp;"")*(tbl_Finance[Xero Invoice No]&lt;&gt;"")),tbl_Finance[Xero Invoice No]))=COUNTIFS(tbl_Finance[Job Number],C37&amp;"",tbl_Finance[Xero Invoice No],"&lt;&gt;"),LOOKUP(2,1/((tbl_Finance[Job Number]=C37&amp;"")*(tbl_Finance[Xero Invoice No]&lt;&gt;"")),tbl_Finance[Xero Invoice No]),LOOKUP(2,1/((tbl_Finance[Job Number]=C37&amp;"")*(tbl_Finance[Xero Invoice No]&lt;&gt;"")),tbl_Finance[Xero Invoice No])&amp;" +more"),"")))</f>
        <v/>
      </c>
      <c r="C37" s="24" t="n"/>
      <c r="D37" s="25">
        <f>IF(C37="","",IF(COUNTIF(lst_Jobs,C37&amp;"")&gt;0,"OK","CHECK"))</f>
        <v/>
      </c>
      <c r="E37" s="25">
        <f>IF(C37="","",IFERROR(INDEX(lst_JobName,MATCH(C37&amp;"",lst_Jobs,0)),""))</f>
        <v/>
      </c>
      <c r="F37" s="25">
        <f>IF(C37="","",IFERROR(INDEX(tbl_Finance[Client],MATCH(C37&amp;"",tbl_Finance[Job Number],0)),""))</f>
        <v/>
      </c>
      <c r="G37" s="28">
        <f>IF(C37="","",COUNTIFS(tbl_Finance[Job Number],C37&amp;"",tbl_Finance[Ex GST],"&lt;&gt;"))</f>
        <v/>
      </c>
      <c r="H37" s="27">
        <f>IF(C37="","",SUMIFS(tbl_Finance[Ex GST],tbl_Finance[Job Number],C37&amp;""))</f>
        <v/>
      </c>
      <c r="I37" s="27">
        <f>IF(C37="","",SUMIFS(tbl_Finance[Ex GST],tbl_Finance[Job Number],C37&amp;"",tbl_Finance[Xero Invoice No],"&lt;&gt;"))</f>
        <v/>
      </c>
      <c r="J37" s="27">
        <f>IF(C37="","",H37-I37)</f>
        <v/>
      </c>
      <c r="K37" s="25">
        <f>IF(C37="","",IF(G37=0,"not invoiced yet",SUBSTITUTE(TRIM(IF(COUNTIFS(tbl_Finance[Job Number],C37&amp;"",tbl_Finance[Cost Centre],"ONSITE")&gt;0,"ONSITE ","")&amp;IF(COUNTIFS(tbl_Finance[Job Number],C37&amp;"",tbl_Finance[Cost Centre],"PRODUCTION")&gt;0,"PRODUCTION ","")&amp;IF(COUNTIFS(tbl_Finance[Job Number],C37&amp;"",tbl_Finance[Cost Centre],"VIDEO")&gt;0,"VIDEO ","")&amp;IF(COUNTIFS(tbl_Finance[Job Number],C37&amp;"",tbl_Finance[Cost Centre],"INTEGRATION")&gt;0,"INTEGRATION ","")&amp;IF(COUNTIFS(tbl_Finance[Job Number],C37&amp;"",tbl_Finance[Cost Centre],"CONSULTING")&gt;0,"CONSULTING ","")&amp;IF(COUNTIFS(tbl_Finance[Job Number],C37&amp;"",tbl_Finance[Cost Centre],"CTS")&gt;0,"CTS ",""))," ",", ")))</f>
        <v/>
      </c>
      <c r="L37" s="24" t="n"/>
      <c r="M37" s="24" t="n"/>
      <c r="N37" s="25">
        <f>IF(M37="","",HYPERLINK(IF(LEFT(M37,4)="http",M37,set_QwilrBase&amp;M37),"Open quote"))</f>
        <v/>
      </c>
      <c r="O37" s="69" t="n"/>
      <c r="P37" s="24" t="n"/>
      <c r="Q37" s="24" t="n"/>
    </row>
    <row r="38" ht="15" customHeight="1">
      <c r="A38" s="68">
        <f>IF(C38="","",IFERROR(IF(SUMPRODUCT(MAX((tbl_Finance[Job Number]=C38&amp;"")*(tbl_Finance[Xero Invoice No]&lt;&gt;"")*tbl_Finance[Date]))=0,"",SUMPRODUCT(MAX((tbl_Finance[Job Number]=C38&amp;"")*(tbl_Finance[Xero Invoice No]&lt;&gt;"")*tbl_Finance[Date]))),""))</f>
        <v/>
      </c>
      <c r="B38" s="25">
        <f>IF(C38="","",IF(COUNTIFS(tbl_Finance[Job Number],C38&amp;"",tbl_Finance[Xero Invoice No],"&lt;&gt;")=0,"",IFERROR(IF(COUNTIFS(tbl_Finance[Job Number],C38&amp;"",tbl_Finance[Xero Invoice No],LOOKUP(2,1/((tbl_Finance[Job Number]=C38&amp;"")*(tbl_Finance[Xero Invoice No]&lt;&gt;"")),tbl_Finance[Xero Invoice No]))=COUNTIFS(tbl_Finance[Job Number],C38&amp;"",tbl_Finance[Xero Invoice No],"&lt;&gt;"),LOOKUP(2,1/((tbl_Finance[Job Number]=C38&amp;"")*(tbl_Finance[Xero Invoice No]&lt;&gt;"")),tbl_Finance[Xero Invoice No]),LOOKUP(2,1/((tbl_Finance[Job Number]=C38&amp;"")*(tbl_Finance[Xero Invoice No]&lt;&gt;"")),tbl_Finance[Xero Invoice No])&amp;" +more"),"")))</f>
        <v/>
      </c>
      <c r="C38" s="24" t="n"/>
      <c r="D38" s="25">
        <f>IF(C38="","",IF(COUNTIF(lst_Jobs,C38&amp;"")&gt;0,"OK","CHECK"))</f>
        <v/>
      </c>
      <c r="E38" s="25">
        <f>IF(C38="","",IFERROR(INDEX(lst_JobName,MATCH(C38&amp;"",lst_Jobs,0)),""))</f>
        <v/>
      </c>
      <c r="F38" s="25">
        <f>IF(C38="","",IFERROR(INDEX(tbl_Finance[Client],MATCH(C38&amp;"",tbl_Finance[Job Number],0)),""))</f>
        <v/>
      </c>
      <c r="G38" s="28">
        <f>IF(C38="","",COUNTIFS(tbl_Finance[Job Number],C38&amp;"",tbl_Finance[Ex GST],"&lt;&gt;"))</f>
        <v/>
      </c>
      <c r="H38" s="27">
        <f>IF(C38="","",SUMIFS(tbl_Finance[Ex GST],tbl_Finance[Job Number],C38&amp;""))</f>
        <v/>
      </c>
      <c r="I38" s="27">
        <f>IF(C38="","",SUMIFS(tbl_Finance[Ex GST],tbl_Finance[Job Number],C38&amp;"",tbl_Finance[Xero Invoice No],"&lt;&gt;"))</f>
        <v/>
      </c>
      <c r="J38" s="27">
        <f>IF(C38="","",H38-I38)</f>
        <v/>
      </c>
      <c r="K38" s="25">
        <f>IF(C38="","",IF(G38=0,"not invoiced yet",SUBSTITUTE(TRIM(IF(COUNTIFS(tbl_Finance[Job Number],C38&amp;"",tbl_Finance[Cost Centre],"ONSITE")&gt;0,"ONSITE ","")&amp;IF(COUNTIFS(tbl_Finance[Job Number],C38&amp;"",tbl_Finance[Cost Centre],"PRODUCTION")&gt;0,"PRODUCTION ","")&amp;IF(COUNTIFS(tbl_Finance[Job Number],C38&amp;"",tbl_Finance[Cost Centre],"VIDEO")&gt;0,"VIDEO ","")&amp;IF(COUNTIFS(tbl_Finance[Job Number],C38&amp;"",tbl_Finance[Cost Centre],"INTEGRATION")&gt;0,"INTEGRATION ","")&amp;IF(COUNTIFS(tbl_Finance[Job Number],C38&amp;"",tbl_Finance[Cost Centre],"CONSULTING")&gt;0,"CONSULTING ","")&amp;IF(COUNTIFS(tbl_Finance[Job Number],C38&amp;"",tbl_Finance[Cost Centre],"CTS")&gt;0,"CTS ",""))," ",", ")))</f>
        <v/>
      </c>
      <c r="L38" s="24" t="n"/>
      <c r="M38" s="24" t="n"/>
      <c r="N38" s="25">
        <f>IF(M38="","",HYPERLINK(IF(LEFT(M38,4)="http",M38,set_QwilrBase&amp;M38),"Open quote"))</f>
        <v/>
      </c>
      <c r="O38" s="69" t="n"/>
      <c r="P38" s="24" t="n"/>
      <c r="Q38" s="24" t="n"/>
    </row>
    <row r="39" ht="15" customHeight="1">
      <c r="A39" s="68">
        <f>IF(C39="","",IFERROR(IF(SUMPRODUCT(MAX((tbl_Finance[Job Number]=C39&amp;"")*(tbl_Finance[Xero Invoice No]&lt;&gt;"")*tbl_Finance[Date]))=0,"",SUMPRODUCT(MAX((tbl_Finance[Job Number]=C39&amp;"")*(tbl_Finance[Xero Invoice No]&lt;&gt;"")*tbl_Finance[Date]))),""))</f>
        <v/>
      </c>
      <c r="B39" s="25">
        <f>IF(C39="","",IF(COUNTIFS(tbl_Finance[Job Number],C39&amp;"",tbl_Finance[Xero Invoice No],"&lt;&gt;")=0,"",IFERROR(IF(COUNTIFS(tbl_Finance[Job Number],C39&amp;"",tbl_Finance[Xero Invoice No],LOOKUP(2,1/((tbl_Finance[Job Number]=C39&amp;"")*(tbl_Finance[Xero Invoice No]&lt;&gt;"")),tbl_Finance[Xero Invoice No]))=COUNTIFS(tbl_Finance[Job Number],C39&amp;"",tbl_Finance[Xero Invoice No],"&lt;&gt;"),LOOKUP(2,1/((tbl_Finance[Job Number]=C39&amp;"")*(tbl_Finance[Xero Invoice No]&lt;&gt;"")),tbl_Finance[Xero Invoice No]),LOOKUP(2,1/((tbl_Finance[Job Number]=C39&amp;"")*(tbl_Finance[Xero Invoice No]&lt;&gt;"")),tbl_Finance[Xero Invoice No])&amp;" +more"),"")))</f>
        <v/>
      </c>
      <c r="C39" s="24" t="n"/>
      <c r="D39" s="25">
        <f>IF(C39="","",IF(COUNTIF(lst_Jobs,C39&amp;"")&gt;0,"OK","CHECK"))</f>
        <v/>
      </c>
      <c r="E39" s="25">
        <f>IF(C39="","",IFERROR(INDEX(lst_JobName,MATCH(C39&amp;"",lst_Jobs,0)),""))</f>
        <v/>
      </c>
      <c r="F39" s="25">
        <f>IF(C39="","",IFERROR(INDEX(tbl_Finance[Client],MATCH(C39&amp;"",tbl_Finance[Job Number],0)),""))</f>
        <v/>
      </c>
      <c r="G39" s="28">
        <f>IF(C39="","",COUNTIFS(tbl_Finance[Job Number],C39&amp;"",tbl_Finance[Ex GST],"&lt;&gt;"))</f>
        <v/>
      </c>
      <c r="H39" s="27">
        <f>IF(C39="","",SUMIFS(tbl_Finance[Ex GST],tbl_Finance[Job Number],C39&amp;""))</f>
        <v/>
      </c>
      <c r="I39" s="27">
        <f>IF(C39="","",SUMIFS(tbl_Finance[Ex GST],tbl_Finance[Job Number],C39&amp;"",tbl_Finance[Xero Invoice No],"&lt;&gt;"))</f>
        <v/>
      </c>
      <c r="J39" s="27">
        <f>IF(C39="","",H39-I39)</f>
        <v/>
      </c>
      <c r="K39" s="25">
        <f>IF(C39="","",IF(G39=0,"not invoiced yet",SUBSTITUTE(TRIM(IF(COUNTIFS(tbl_Finance[Job Number],C39&amp;"",tbl_Finance[Cost Centre],"ONSITE")&gt;0,"ONSITE ","")&amp;IF(COUNTIFS(tbl_Finance[Job Number],C39&amp;"",tbl_Finance[Cost Centre],"PRODUCTION")&gt;0,"PRODUCTION ","")&amp;IF(COUNTIFS(tbl_Finance[Job Number],C39&amp;"",tbl_Finance[Cost Centre],"VIDEO")&gt;0,"VIDEO ","")&amp;IF(COUNTIFS(tbl_Finance[Job Number],C39&amp;"",tbl_Finance[Cost Centre],"INTEGRATION")&gt;0,"INTEGRATION ","")&amp;IF(COUNTIFS(tbl_Finance[Job Number],C39&amp;"",tbl_Finance[Cost Centre],"CONSULTING")&gt;0,"CONSULTING ","")&amp;IF(COUNTIFS(tbl_Finance[Job Number],C39&amp;"",tbl_Finance[Cost Centre],"CTS")&gt;0,"CTS ",""))," ",", ")))</f>
        <v/>
      </c>
      <c r="L39" s="24" t="n"/>
      <c r="M39" s="24" t="n"/>
      <c r="N39" s="25">
        <f>IF(M39="","",HYPERLINK(IF(LEFT(M39,4)="http",M39,set_QwilrBase&amp;M39),"Open quote"))</f>
        <v/>
      </c>
      <c r="O39" s="69" t="n"/>
      <c r="P39" s="24" t="n"/>
      <c r="Q39" s="24" t="n"/>
    </row>
    <row r="40" ht="15" customHeight="1">
      <c r="A40" s="68">
        <f>IF(C40="","",IFERROR(IF(SUMPRODUCT(MAX((tbl_Finance[Job Number]=C40&amp;"")*(tbl_Finance[Xero Invoice No]&lt;&gt;"")*tbl_Finance[Date]))=0,"",SUMPRODUCT(MAX((tbl_Finance[Job Number]=C40&amp;"")*(tbl_Finance[Xero Invoice No]&lt;&gt;"")*tbl_Finance[Date]))),""))</f>
        <v/>
      </c>
      <c r="B40" s="25">
        <f>IF(C40="","",IF(COUNTIFS(tbl_Finance[Job Number],C40&amp;"",tbl_Finance[Xero Invoice No],"&lt;&gt;")=0,"",IFERROR(IF(COUNTIFS(tbl_Finance[Job Number],C40&amp;"",tbl_Finance[Xero Invoice No],LOOKUP(2,1/((tbl_Finance[Job Number]=C40&amp;"")*(tbl_Finance[Xero Invoice No]&lt;&gt;"")),tbl_Finance[Xero Invoice No]))=COUNTIFS(tbl_Finance[Job Number],C40&amp;"",tbl_Finance[Xero Invoice No],"&lt;&gt;"),LOOKUP(2,1/((tbl_Finance[Job Number]=C40&amp;"")*(tbl_Finance[Xero Invoice No]&lt;&gt;"")),tbl_Finance[Xero Invoice No]),LOOKUP(2,1/((tbl_Finance[Job Number]=C40&amp;"")*(tbl_Finance[Xero Invoice No]&lt;&gt;"")),tbl_Finance[Xero Invoice No])&amp;" +more"),"")))</f>
        <v/>
      </c>
      <c r="C40" s="24" t="n"/>
      <c r="D40" s="25">
        <f>IF(C40="","",IF(COUNTIF(lst_Jobs,C40&amp;"")&gt;0,"OK","CHECK"))</f>
        <v/>
      </c>
      <c r="E40" s="25">
        <f>IF(C40="","",IFERROR(INDEX(lst_JobName,MATCH(C40&amp;"",lst_Jobs,0)),""))</f>
        <v/>
      </c>
      <c r="F40" s="25">
        <f>IF(C40="","",IFERROR(INDEX(tbl_Finance[Client],MATCH(C40&amp;"",tbl_Finance[Job Number],0)),""))</f>
        <v/>
      </c>
      <c r="G40" s="28">
        <f>IF(C40="","",COUNTIFS(tbl_Finance[Job Number],C40&amp;"",tbl_Finance[Ex GST],"&lt;&gt;"))</f>
        <v/>
      </c>
      <c r="H40" s="27">
        <f>IF(C40="","",SUMIFS(tbl_Finance[Ex GST],tbl_Finance[Job Number],C40&amp;""))</f>
        <v/>
      </c>
      <c r="I40" s="27">
        <f>IF(C40="","",SUMIFS(tbl_Finance[Ex GST],tbl_Finance[Job Number],C40&amp;"",tbl_Finance[Xero Invoice No],"&lt;&gt;"))</f>
        <v/>
      </c>
      <c r="J40" s="27">
        <f>IF(C40="","",H40-I40)</f>
        <v/>
      </c>
      <c r="K40" s="25">
        <f>IF(C40="","",IF(G40=0,"not invoiced yet",SUBSTITUTE(TRIM(IF(COUNTIFS(tbl_Finance[Job Number],C40&amp;"",tbl_Finance[Cost Centre],"ONSITE")&gt;0,"ONSITE ","")&amp;IF(COUNTIFS(tbl_Finance[Job Number],C40&amp;"",tbl_Finance[Cost Centre],"PRODUCTION")&gt;0,"PRODUCTION ","")&amp;IF(COUNTIFS(tbl_Finance[Job Number],C40&amp;"",tbl_Finance[Cost Centre],"VIDEO")&gt;0,"VIDEO ","")&amp;IF(COUNTIFS(tbl_Finance[Job Number],C40&amp;"",tbl_Finance[Cost Centre],"INTEGRATION")&gt;0,"INTEGRATION ","")&amp;IF(COUNTIFS(tbl_Finance[Job Number],C40&amp;"",tbl_Finance[Cost Centre],"CONSULTING")&gt;0,"CONSULTING ","")&amp;IF(COUNTIFS(tbl_Finance[Job Number],C40&amp;"",tbl_Finance[Cost Centre],"CTS")&gt;0,"CTS ",""))," ",", ")))</f>
        <v/>
      </c>
      <c r="L40" s="24" t="n"/>
      <c r="M40" s="24" t="n"/>
      <c r="N40" s="25">
        <f>IF(M40="","",HYPERLINK(IF(LEFT(M40,4)="http",M40,set_QwilrBase&amp;M40),"Open quote"))</f>
        <v/>
      </c>
      <c r="O40" s="69" t="n"/>
      <c r="P40" s="24" t="n"/>
      <c r="Q40" s="24" t="n"/>
    </row>
    <row r="41" ht="15" customHeight="1">
      <c r="A41" s="68">
        <f>IF(C41="","",IFERROR(IF(SUMPRODUCT(MAX((tbl_Finance[Job Number]=C41&amp;"")*(tbl_Finance[Xero Invoice No]&lt;&gt;"")*tbl_Finance[Date]))=0,"",SUMPRODUCT(MAX((tbl_Finance[Job Number]=C41&amp;"")*(tbl_Finance[Xero Invoice No]&lt;&gt;"")*tbl_Finance[Date]))),""))</f>
        <v/>
      </c>
      <c r="B41" s="25">
        <f>IF(C41="","",IF(COUNTIFS(tbl_Finance[Job Number],C41&amp;"",tbl_Finance[Xero Invoice No],"&lt;&gt;")=0,"",IFERROR(IF(COUNTIFS(tbl_Finance[Job Number],C41&amp;"",tbl_Finance[Xero Invoice No],LOOKUP(2,1/((tbl_Finance[Job Number]=C41&amp;"")*(tbl_Finance[Xero Invoice No]&lt;&gt;"")),tbl_Finance[Xero Invoice No]))=COUNTIFS(tbl_Finance[Job Number],C41&amp;"",tbl_Finance[Xero Invoice No],"&lt;&gt;"),LOOKUP(2,1/((tbl_Finance[Job Number]=C41&amp;"")*(tbl_Finance[Xero Invoice No]&lt;&gt;"")),tbl_Finance[Xero Invoice No]),LOOKUP(2,1/((tbl_Finance[Job Number]=C41&amp;"")*(tbl_Finance[Xero Invoice No]&lt;&gt;"")),tbl_Finance[Xero Invoice No])&amp;" +more"),"")))</f>
        <v/>
      </c>
      <c r="C41" s="24" t="n"/>
      <c r="D41" s="25">
        <f>IF(C41="","",IF(COUNTIF(lst_Jobs,C41&amp;"")&gt;0,"OK","CHECK"))</f>
        <v/>
      </c>
      <c r="E41" s="25">
        <f>IF(C41="","",IFERROR(INDEX(lst_JobName,MATCH(C41&amp;"",lst_Jobs,0)),""))</f>
        <v/>
      </c>
      <c r="F41" s="25">
        <f>IF(C41="","",IFERROR(INDEX(tbl_Finance[Client],MATCH(C41&amp;"",tbl_Finance[Job Number],0)),""))</f>
        <v/>
      </c>
      <c r="G41" s="28">
        <f>IF(C41="","",COUNTIFS(tbl_Finance[Job Number],C41&amp;"",tbl_Finance[Ex GST],"&lt;&gt;"))</f>
        <v/>
      </c>
      <c r="H41" s="27">
        <f>IF(C41="","",SUMIFS(tbl_Finance[Ex GST],tbl_Finance[Job Number],C41&amp;""))</f>
        <v/>
      </c>
      <c r="I41" s="27">
        <f>IF(C41="","",SUMIFS(tbl_Finance[Ex GST],tbl_Finance[Job Number],C41&amp;"",tbl_Finance[Xero Invoice No],"&lt;&gt;"))</f>
        <v/>
      </c>
      <c r="J41" s="27">
        <f>IF(C41="","",H41-I41)</f>
        <v/>
      </c>
      <c r="K41" s="25">
        <f>IF(C41="","",IF(G41=0,"not invoiced yet",SUBSTITUTE(TRIM(IF(COUNTIFS(tbl_Finance[Job Number],C41&amp;"",tbl_Finance[Cost Centre],"ONSITE")&gt;0,"ONSITE ","")&amp;IF(COUNTIFS(tbl_Finance[Job Number],C41&amp;"",tbl_Finance[Cost Centre],"PRODUCTION")&gt;0,"PRODUCTION ","")&amp;IF(COUNTIFS(tbl_Finance[Job Number],C41&amp;"",tbl_Finance[Cost Centre],"VIDEO")&gt;0,"VIDEO ","")&amp;IF(COUNTIFS(tbl_Finance[Job Number],C41&amp;"",tbl_Finance[Cost Centre],"INTEGRATION")&gt;0,"INTEGRATION ","")&amp;IF(COUNTIFS(tbl_Finance[Job Number],C41&amp;"",tbl_Finance[Cost Centre],"CONSULTING")&gt;0,"CONSULTING ","")&amp;IF(COUNTIFS(tbl_Finance[Job Number],C41&amp;"",tbl_Finance[Cost Centre],"CTS")&gt;0,"CTS ",""))," ",", ")))</f>
        <v/>
      </c>
      <c r="L41" s="24" t="n"/>
      <c r="M41" s="24" t="n"/>
      <c r="N41" s="25">
        <f>IF(M41="","",HYPERLINK(IF(LEFT(M41,4)="http",M41,set_QwilrBase&amp;M41),"Open quote"))</f>
        <v/>
      </c>
      <c r="O41" s="69" t="n"/>
      <c r="P41" s="24" t="n"/>
      <c r="Q41" s="24" t="n"/>
    </row>
    <row r="42" ht="15" customHeight="1">
      <c r="A42" s="68">
        <f>IF(C42="","",IFERROR(IF(SUMPRODUCT(MAX((tbl_Finance[Job Number]=C42&amp;"")*(tbl_Finance[Xero Invoice No]&lt;&gt;"")*tbl_Finance[Date]))=0,"",SUMPRODUCT(MAX((tbl_Finance[Job Number]=C42&amp;"")*(tbl_Finance[Xero Invoice No]&lt;&gt;"")*tbl_Finance[Date]))),""))</f>
        <v/>
      </c>
      <c r="B42" s="25">
        <f>IF(C42="","",IF(COUNTIFS(tbl_Finance[Job Number],C42&amp;"",tbl_Finance[Xero Invoice No],"&lt;&gt;")=0,"",IFERROR(IF(COUNTIFS(tbl_Finance[Job Number],C42&amp;"",tbl_Finance[Xero Invoice No],LOOKUP(2,1/((tbl_Finance[Job Number]=C42&amp;"")*(tbl_Finance[Xero Invoice No]&lt;&gt;"")),tbl_Finance[Xero Invoice No]))=COUNTIFS(tbl_Finance[Job Number],C42&amp;"",tbl_Finance[Xero Invoice No],"&lt;&gt;"),LOOKUP(2,1/((tbl_Finance[Job Number]=C42&amp;"")*(tbl_Finance[Xero Invoice No]&lt;&gt;"")),tbl_Finance[Xero Invoice No]),LOOKUP(2,1/((tbl_Finance[Job Number]=C42&amp;"")*(tbl_Finance[Xero Invoice No]&lt;&gt;"")),tbl_Finance[Xero Invoice No])&amp;" +more"),"")))</f>
        <v/>
      </c>
      <c r="C42" s="24" t="n"/>
      <c r="D42" s="25">
        <f>IF(C42="","",IF(COUNTIF(lst_Jobs,C42&amp;"")&gt;0,"OK","CHECK"))</f>
        <v/>
      </c>
      <c r="E42" s="25">
        <f>IF(C42="","",IFERROR(INDEX(lst_JobName,MATCH(C42&amp;"",lst_Jobs,0)),""))</f>
        <v/>
      </c>
      <c r="F42" s="25">
        <f>IF(C42="","",IFERROR(INDEX(tbl_Finance[Client],MATCH(C42&amp;"",tbl_Finance[Job Number],0)),""))</f>
        <v/>
      </c>
      <c r="G42" s="28">
        <f>IF(C42="","",COUNTIFS(tbl_Finance[Job Number],C42&amp;"",tbl_Finance[Ex GST],"&lt;&gt;"))</f>
        <v/>
      </c>
      <c r="H42" s="27">
        <f>IF(C42="","",SUMIFS(tbl_Finance[Ex GST],tbl_Finance[Job Number],C42&amp;""))</f>
        <v/>
      </c>
      <c r="I42" s="27">
        <f>IF(C42="","",SUMIFS(tbl_Finance[Ex GST],tbl_Finance[Job Number],C42&amp;"",tbl_Finance[Xero Invoice No],"&lt;&gt;"))</f>
        <v/>
      </c>
      <c r="J42" s="27">
        <f>IF(C42="","",H42-I42)</f>
        <v/>
      </c>
      <c r="K42" s="25">
        <f>IF(C42="","",IF(G42=0,"not invoiced yet",SUBSTITUTE(TRIM(IF(COUNTIFS(tbl_Finance[Job Number],C42&amp;"",tbl_Finance[Cost Centre],"ONSITE")&gt;0,"ONSITE ","")&amp;IF(COUNTIFS(tbl_Finance[Job Number],C42&amp;"",tbl_Finance[Cost Centre],"PRODUCTION")&gt;0,"PRODUCTION ","")&amp;IF(COUNTIFS(tbl_Finance[Job Number],C42&amp;"",tbl_Finance[Cost Centre],"VIDEO")&gt;0,"VIDEO ","")&amp;IF(COUNTIFS(tbl_Finance[Job Number],C42&amp;"",tbl_Finance[Cost Centre],"INTEGRATION")&gt;0,"INTEGRATION ","")&amp;IF(COUNTIFS(tbl_Finance[Job Number],C42&amp;"",tbl_Finance[Cost Centre],"CONSULTING")&gt;0,"CONSULTING ","")&amp;IF(COUNTIFS(tbl_Finance[Job Number],C42&amp;"",tbl_Finance[Cost Centre],"CTS")&gt;0,"CTS ",""))," ",", ")))</f>
        <v/>
      </c>
      <c r="L42" s="24" t="n"/>
      <c r="M42" s="24" t="n"/>
      <c r="N42" s="25">
        <f>IF(M42="","",HYPERLINK(IF(LEFT(M42,4)="http",M42,set_QwilrBase&amp;M42),"Open quote"))</f>
        <v/>
      </c>
      <c r="O42" s="69" t="n"/>
      <c r="P42" s="24" t="n"/>
      <c r="Q42" s="24" t="n"/>
    </row>
    <row r="43" ht="15" customHeight="1">
      <c r="A43" s="68">
        <f>IF(C43="","",IFERROR(IF(SUMPRODUCT(MAX((tbl_Finance[Job Number]=C43&amp;"")*(tbl_Finance[Xero Invoice No]&lt;&gt;"")*tbl_Finance[Date]))=0,"",SUMPRODUCT(MAX((tbl_Finance[Job Number]=C43&amp;"")*(tbl_Finance[Xero Invoice No]&lt;&gt;"")*tbl_Finance[Date]))),""))</f>
        <v/>
      </c>
      <c r="B43" s="25">
        <f>IF(C43="","",IF(COUNTIFS(tbl_Finance[Job Number],C43&amp;"",tbl_Finance[Xero Invoice No],"&lt;&gt;")=0,"",IFERROR(IF(COUNTIFS(tbl_Finance[Job Number],C43&amp;"",tbl_Finance[Xero Invoice No],LOOKUP(2,1/((tbl_Finance[Job Number]=C43&amp;"")*(tbl_Finance[Xero Invoice No]&lt;&gt;"")),tbl_Finance[Xero Invoice No]))=COUNTIFS(tbl_Finance[Job Number],C43&amp;"",tbl_Finance[Xero Invoice No],"&lt;&gt;"),LOOKUP(2,1/((tbl_Finance[Job Number]=C43&amp;"")*(tbl_Finance[Xero Invoice No]&lt;&gt;"")),tbl_Finance[Xero Invoice No]),LOOKUP(2,1/((tbl_Finance[Job Number]=C43&amp;"")*(tbl_Finance[Xero Invoice No]&lt;&gt;"")),tbl_Finance[Xero Invoice No])&amp;" +more"),"")))</f>
        <v/>
      </c>
      <c r="C43" s="24" t="n"/>
      <c r="D43" s="25">
        <f>IF(C43="","",IF(COUNTIF(lst_Jobs,C43&amp;"")&gt;0,"OK","CHECK"))</f>
        <v/>
      </c>
      <c r="E43" s="25">
        <f>IF(C43="","",IFERROR(INDEX(lst_JobName,MATCH(C43&amp;"",lst_Jobs,0)),""))</f>
        <v/>
      </c>
      <c r="F43" s="25">
        <f>IF(C43="","",IFERROR(INDEX(tbl_Finance[Client],MATCH(C43&amp;"",tbl_Finance[Job Number],0)),""))</f>
        <v/>
      </c>
      <c r="G43" s="28">
        <f>IF(C43="","",COUNTIFS(tbl_Finance[Job Number],C43&amp;"",tbl_Finance[Ex GST],"&lt;&gt;"))</f>
        <v/>
      </c>
      <c r="H43" s="27">
        <f>IF(C43="","",SUMIFS(tbl_Finance[Ex GST],tbl_Finance[Job Number],C43&amp;""))</f>
        <v/>
      </c>
      <c r="I43" s="27">
        <f>IF(C43="","",SUMIFS(tbl_Finance[Ex GST],tbl_Finance[Job Number],C43&amp;"",tbl_Finance[Xero Invoice No],"&lt;&gt;"))</f>
        <v/>
      </c>
      <c r="J43" s="27">
        <f>IF(C43="","",H43-I43)</f>
        <v/>
      </c>
      <c r="K43" s="25">
        <f>IF(C43="","",IF(G43=0,"not invoiced yet",SUBSTITUTE(TRIM(IF(COUNTIFS(tbl_Finance[Job Number],C43&amp;"",tbl_Finance[Cost Centre],"ONSITE")&gt;0,"ONSITE ","")&amp;IF(COUNTIFS(tbl_Finance[Job Number],C43&amp;"",tbl_Finance[Cost Centre],"PRODUCTION")&gt;0,"PRODUCTION ","")&amp;IF(COUNTIFS(tbl_Finance[Job Number],C43&amp;"",tbl_Finance[Cost Centre],"VIDEO")&gt;0,"VIDEO ","")&amp;IF(COUNTIFS(tbl_Finance[Job Number],C43&amp;"",tbl_Finance[Cost Centre],"INTEGRATION")&gt;0,"INTEGRATION ","")&amp;IF(COUNTIFS(tbl_Finance[Job Number],C43&amp;"",tbl_Finance[Cost Centre],"CONSULTING")&gt;0,"CONSULTING ","")&amp;IF(COUNTIFS(tbl_Finance[Job Number],C43&amp;"",tbl_Finance[Cost Centre],"CTS")&gt;0,"CTS ",""))," ",", ")))</f>
        <v/>
      </c>
      <c r="L43" s="24" t="n"/>
      <c r="M43" s="24" t="n"/>
      <c r="N43" s="25">
        <f>IF(M43="","",HYPERLINK(IF(LEFT(M43,4)="http",M43,set_QwilrBase&amp;M43),"Open quote"))</f>
        <v/>
      </c>
      <c r="O43" s="69" t="n"/>
      <c r="P43" s="24" t="n"/>
      <c r="Q43" s="24" t="n"/>
    </row>
    <row r="44" ht="15" customHeight="1">
      <c r="A44" s="68">
        <f>IF(C44="","",IFERROR(IF(SUMPRODUCT(MAX((tbl_Finance[Job Number]=C44&amp;"")*(tbl_Finance[Xero Invoice No]&lt;&gt;"")*tbl_Finance[Date]))=0,"",SUMPRODUCT(MAX((tbl_Finance[Job Number]=C44&amp;"")*(tbl_Finance[Xero Invoice No]&lt;&gt;"")*tbl_Finance[Date]))),""))</f>
        <v/>
      </c>
      <c r="B44" s="25">
        <f>IF(C44="","",IF(COUNTIFS(tbl_Finance[Job Number],C44&amp;"",tbl_Finance[Xero Invoice No],"&lt;&gt;")=0,"",IFERROR(IF(COUNTIFS(tbl_Finance[Job Number],C44&amp;"",tbl_Finance[Xero Invoice No],LOOKUP(2,1/((tbl_Finance[Job Number]=C44&amp;"")*(tbl_Finance[Xero Invoice No]&lt;&gt;"")),tbl_Finance[Xero Invoice No]))=COUNTIFS(tbl_Finance[Job Number],C44&amp;"",tbl_Finance[Xero Invoice No],"&lt;&gt;"),LOOKUP(2,1/((tbl_Finance[Job Number]=C44&amp;"")*(tbl_Finance[Xero Invoice No]&lt;&gt;"")),tbl_Finance[Xero Invoice No]),LOOKUP(2,1/((tbl_Finance[Job Number]=C44&amp;"")*(tbl_Finance[Xero Invoice No]&lt;&gt;"")),tbl_Finance[Xero Invoice No])&amp;" +more"),"")))</f>
        <v/>
      </c>
      <c r="C44" s="24" t="n"/>
      <c r="D44" s="25">
        <f>IF(C44="","",IF(COUNTIF(lst_Jobs,C44&amp;"")&gt;0,"OK","CHECK"))</f>
        <v/>
      </c>
      <c r="E44" s="25">
        <f>IF(C44="","",IFERROR(INDEX(lst_JobName,MATCH(C44&amp;"",lst_Jobs,0)),""))</f>
        <v/>
      </c>
      <c r="F44" s="25">
        <f>IF(C44="","",IFERROR(INDEX(tbl_Finance[Client],MATCH(C44&amp;"",tbl_Finance[Job Number],0)),""))</f>
        <v/>
      </c>
      <c r="G44" s="28">
        <f>IF(C44="","",COUNTIFS(tbl_Finance[Job Number],C44&amp;"",tbl_Finance[Ex GST],"&lt;&gt;"))</f>
        <v/>
      </c>
      <c r="H44" s="27">
        <f>IF(C44="","",SUMIFS(tbl_Finance[Ex GST],tbl_Finance[Job Number],C44&amp;""))</f>
        <v/>
      </c>
      <c r="I44" s="27">
        <f>IF(C44="","",SUMIFS(tbl_Finance[Ex GST],tbl_Finance[Job Number],C44&amp;"",tbl_Finance[Xero Invoice No],"&lt;&gt;"))</f>
        <v/>
      </c>
      <c r="J44" s="27">
        <f>IF(C44="","",H44-I44)</f>
        <v/>
      </c>
      <c r="K44" s="25">
        <f>IF(C44="","",IF(G44=0,"not invoiced yet",SUBSTITUTE(TRIM(IF(COUNTIFS(tbl_Finance[Job Number],C44&amp;"",tbl_Finance[Cost Centre],"ONSITE")&gt;0,"ONSITE ","")&amp;IF(COUNTIFS(tbl_Finance[Job Number],C44&amp;"",tbl_Finance[Cost Centre],"PRODUCTION")&gt;0,"PRODUCTION ","")&amp;IF(COUNTIFS(tbl_Finance[Job Number],C44&amp;"",tbl_Finance[Cost Centre],"VIDEO")&gt;0,"VIDEO ","")&amp;IF(COUNTIFS(tbl_Finance[Job Number],C44&amp;"",tbl_Finance[Cost Centre],"INTEGRATION")&gt;0,"INTEGRATION ","")&amp;IF(COUNTIFS(tbl_Finance[Job Number],C44&amp;"",tbl_Finance[Cost Centre],"CONSULTING")&gt;0,"CONSULTING ","")&amp;IF(COUNTIFS(tbl_Finance[Job Number],C44&amp;"",tbl_Finance[Cost Centre],"CTS")&gt;0,"CTS ",""))," ",", ")))</f>
        <v/>
      </c>
      <c r="L44" s="24" t="n"/>
      <c r="M44" s="24" t="n"/>
      <c r="N44" s="25">
        <f>IF(M44="","",HYPERLINK(IF(LEFT(M44,4)="http",M44,set_QwilrBase&amp;M44),"Open quote"))</f>
        <v/>
      </c>
      <c r="O44" s="69" t="n"/>
      <c r="P44" s="24" t="n"/>
      <c r="Q44" s="24" t="n"/>
    </row>
    <row r="45" ht="15" customHeight="1">
      <c r="A45" s="68">
        <f>IF(C45="","",IFERROR(IF(SUMPRODUCT(MAX((tbl_Finance[Job Number]=C45&amp;"")*(tbl_Finance[Xero Invoice No]&lt;&gt;"")*tbl_Finance[Date]))=0,"",SUMPRODUCT(MAX((tbl_Finance[Job Number]=C45&amp;"")*(tbl_Finance[Xero Invoice No]&lt;&gt;"")*tbl_Finance[Date]))),""))</f>
        <v/>
      </c>
      <c r="B45" s="25">
        <f>IF(C45="","",IF(COUNTIFS(tbl_Finance[Job Number],C45&amp;"",tbl_Finance[Xero Invoice No],"&lt;&gt;")=0,"",IFERROR(IF(COUNTIFS(tbl_Finance[Job Number],C45&amp;"",tbl_Finance[Xero Invoice No],LOOKUP(2,1/((tbl_Finance[Job Number]=C45&amp;"")*(tbl_Finance[Xero Invoice No]&lt;&gt;"")),tbl_Finance[Xero Invoice No]))=COUNTIFS(tbl_Finance[Job Number],C45&amp;"",tbl_Finance[Xero Invoice No],"&lt;&gt;"),LOOKUP(2,1/((tbl_Finance[Job Number]=C45&amp;"")*(tbl_Finance[Xero Invoice No]&lt;&gt;"")),tbl_Finance[Xero Invoice No]),LOOKUP(2,1/((tbl_Finance[Job Number]=C45&amp;"")*(tbl_Finance[Xero Invoice No]&lt;&gt;"")),tbl_Finance[Xero Invoice No])&amp;" +more"),"")))</f>
        <v/>
      </c>
      <c r="C45" s="24" t="n"/>
      <c r="D45" s="25">
        <f>IF(C45="","",IF(COUNTIF(lst_Jobs,C45&amp;"")&gt;0,"OK","CHECK"))</f>
        <v/>
      </c>
      <c r="E45" s="25">
        <f>IF(C45="","",IFERROR(INDEX(lst_JobName,MATCH(C45&amp;"",lst_Jobs,0)),""))</f>
        <v/>
      </c>
      <c r="F45" s="25">
        <f>IF(C45="","",IFERROR(INDEX(tbl_Finance[Client],MATCH(C45&amp;"",tbl_Finance[Job Number],0)),""))</f>
        <v/>
      </c>
      <c r="G45" s="28">
        <f>IF(C45="","",COUNTIFS(tbl_Finance[Job Number],C45&amp;"",tbl_Finance[Ex GST],"&lt;&gt;"))</f>
        <v/>
      </c>
      <c r="H45" s="27">
        <f>IF(C45="","",SUMIFS(tbl_Finance[Ex GST],tbl_Finance[Job Number],C45&amp;""))</f>
        <v/>
      </c>
      <c r="I45" s="27">
        <f>IF(C45="","",SUMIFS(tbl_Finance[Ex GST],tbl_Finance[Job Number],C45&amp;"",tbl_Finance[Xero Invoice No],"&lt;&gt;"))</f>
        <v/>
      </c>
      <c r="J45" s="27">
        <f>IF(C45="","",H45-I45)</f>
        <v/>
      </c>
      <c r="K45" s="25">
        <f>IF(C45="","",IF(G45=0,"not invoiced yet",SUBSTITUTE(TRIM(IF(COUNTIFS(tbl_Finance[Job Number],C45&amp;"",tbl_Finance[Cost Centre],"ONSITE")&gt;0,"ONSITE ","")&amp;IF(COUNTIFS(tbl_Finance[Job Number],C45&amp;"",tbl_Finance[Cost Centre],"PRODUCTION")&gt;0,"PRODUCTION ","")&amp;IF(COUNTIFS(tbl_Finance[Job Number],C45&amp;"",tbl_Finance[Cost Centre],"VIDEO")&gt;0,"VIDEO ","")&amp;IF(COUNTIFS(tbl_Finance[Job Number],C45&amp;"",tbl_Finance[Cost Centre],"INTEGRATION")&gt;0,"INTEGRATION ","")&amp;IF(COUNTIFS(tbl_Finance[Job Number],C45&amp;"",tbl_Finance[Cost Centre],"CONSULTING")&gt;0,"CONSULTING ","")&amp;IF(COUNTIFS(tbl_Finance[Job Number],C45&amp;"",tbl_Finance[Cost Centre],"CTS")&gt;0,"CTS ",""))," ",", ")))</f>
        <v/>
      </c>
      <c r="L45" s="24" t="n"/>
      <c r="M45" s="24" t="n"/>
      <c r="N45" s="25">
        <f>IF(M45="","",HYPERLINK(IF(LEFT(M45,4)="http",M45,set_QwilrBase&amp;M45),"Open quote"))</f>
        <v/>
      </c>
      <c r="O45" s="69" t="n"/>
      <c r="P45" s="24" t="n"/>
      <c r="Q45" s="24" t="n"/>
    </row>
    <row r="46" ht="15" customHeight="1">
      <c r="A46" s="68">
        <f>IF(C46="","",IFERROR(IF(SUMPRODUCT(MAX((tbl_Finance[Job Number]=C46&amp;"")*(tbl_Finance[Xero Invoice No]&lt;&gt;"")*tbl_Finance[Date]))=0,"",SUMPRODUCT(MAX((tbl_Finance[Job Number]=C46&amp;"")*(tbl_Finance[Xero Invoice No]&lt;&gt;"")*tbl_Finance[Date]))),""))</f>
        <v/>
      </c>
      <c r="B46" s="25">
        <f>IF(C46="","",IF(COUNTIFS(tbl_Finance[Job Number],C46&amp;"",tbl_Finance[Xero Invoice No],"&lt;&gt;")=0,"",IFERROR(IF(COUNTIFS(tbl_Finance[Job Number],C46&amp;"",tbl_Finance[Xero Invoice No],LOOKUP(2,1/((tbl_Finance[Job Number]=C46&amp;"")*(tbl_Finance[Xero Invoice No]&lt;&gt;"")),tbl_Finance[Xero Invoice No]))=COUNTIFS(tbl_Finance[Job Number],C46&amp;"",tbl_Finance[Xero Invoice No],"&lt;&gt;"),LOOKUP(2,1/((tbl_Finance[Job Number]=C46&amp;"")*(tbl_Finance[Xero Invoice No]&lt;&gt;"")),tbl_Finance[Xero Invoice No]),LOOKUP(2,1/((tbl_Finance[Job Number]=C46&amp;"")*(tbl_Finance[Xero Invoice No]&lt;&gt;"")),tbl_Finance[Xero Invoice No])&amp;" +more"),"")))</f>
        <v/>
      </c>
      <c r="C46" s="24" t="n"/>
      <c r="D46" s="25">
        <f>IF(C46="","",IF(COUNTIF(lst_Jobs,C46&amp;"")&gt;0,"OK","CHECK"))</f>
        <v/>
      </c>
      <c r="E46" s="25">
        <f>IF(C46="","",IFERROR(INDEX(lst_JobName,MATCH(C46&amp;"",lst_Jobs,0)),""))</f>
        <v/>
      </c>
      <c r="F46" s="25">
        <f>IF(C46="","",IFERROR(INDEX(tbl_Finance[Client],MATCH(C46&amp;"",tbl_Finance[Job Number],0)),""))</f>
        <v/>
      </c>
      <c r="G46" s="28">
        <f>IF(C46="","",COUNTIFS(tbl_Finance[Job Number],C46&amp;"",tbl_Finance[Ex GST],"&lt;&gt;"))</f>
        <v/>
      </c>
      <c r="H46" s="27">
        <f>IF(C46="","",SUMIFS(tbl_Finance[Ex GST],tbl_Finance[Job Number],C46&amp;""))</f>
        <v/>
      </c>
      <c r="I46" s="27">
        <f>IF(C46="","",SUMIFS(tbl_Finance[Ex GST],tbl_Finance[Job Number],C46&amp;"",tbl_Finance[Xero Invoice No],"&lt;&gt;"))</f>
        <v/>
      </c>
      <c r="J46" s="27">
        <f>IF(C46="","",H46-I46)</f>
        <v/>
      </c>
      <c r="K46" s="25">
        <f>IF(C46="","",IF(G46=0,"not invoiced yet",SUBSTITUTE(TRIM(IF(COUNTIFS(tbl_Finance[Job Number],C46&amp;"",tbl_Finance[Cost Centre],"ONSITE")&gt;0,"ONSITE ","")&amp;IF(COUNTIFS(tbl_Finance[Job Number],C46&amp;"",tbl_Finance[Cost Centre],"PRODUCTION")&gt;0,"PRODUCTION ","")&amp;IF(COUNTIFS(tbl_Finance[Job Number],C46&amp;"",tbl_Finance[Cost Centre],"VIDEO")&gt;0,"VIDEO ","")&amp;IF(COUNTIFS(tbl_Finance[Job Number],C46&amp;"",tbl_Finance[Cost Centre],"INTEGRATION")&gt;0,"INTEGRATION ","")&amp;IF(COUNTIFS(tbl_Finance[Job Number],C46&amp;"",tbl_Finance[Cost Centre],"CONSULTING")&gt;0,"CONSULTING ","")&amp;IF(COUNTIFS(tbl_Finance[Job Number],C46&amp;"",tbl_Finance[Cost Centre],"CTS")&gt;0,"CTS ",""))," ",", ")))</f>
        <v/>
      </c>
      <c r="L46" s="24" t="n"/>
      <c r="M46" s="24" t="n"/>
      <c r="N46" s="25">
        <f>IF(M46="","",HYPERLINK(IF(LEFT(M46,4)="http",M46,set_QwilrBase&amp;M46),"Open quote"))</f>
        <v/>
      </c>
      <c r="O46" s="69" t="n"/>
      <c r="P46" s="24" t="n"/>
      <c r="Q46" s="24" t="n"/>
    </row>
    <row r="47" ht="15" customHeight="1">
      <c r="A47" s="68">
        <f>IF(C47="","",IFERROR(IF(SUMPRODUCT(MAX((tbl_Finance[Job Number]=C47&amp;"")*(tbl_Finance[Xero Invoice No]&lt;&gt;"")*tbl_Finance[Date]))=0,"",SUMPRODUCT(MAX((tbl_Finance[Job Number]=C47&amp;"")*(tbl_Finance[Xero Invoice No]&lt;&gt;"")*tbl_Finance[Date]))),""))</f>
        <v/>
      </c>
      <c r="B47" s="25">
        <f>IF(C47="","",IF(COUNTIFS(tbl_Finance[Job Number],C47&amp;"",tbl_Finance[Xero Invoice No],"&lt;&gt;")=0,"",IFERROR(IF(COUNTIFS(tbl_Finance[Job Number],C47&amp;"",tbl_Finance[Xero Invoice No],LOOKUP(2,1/((tbl_Finance[Job Number]=C47&amp;"")*(tbl_Finance[Xero Invoice No]&lt;&gt;"")),tbl_Finance[Xero Invoice No]))=COUNTIFS(tbl_Finance[Job Number],C47&amp;"",tbl_Finance[Xero Invoice No],"&lt;&gt;"),LOOKUP(2,1/((tbl_Finance[Job Number]=C47&amp;"")*(tbl_Finance[Xero Invoice No]&lt;&gt;"")),tbl_Finance[Xero Invoice No]),LOOKUP(2,1/((tbl_Finance[Job Number]=C47&amp;"")*(tbl_Finance[Xero Invoice No]&lt;&gt;"")),tbl_Finance[Xero Invoice No])&amp;" +more"),"")))</f>
        <v/>
      </c>
      <c r="C47" s="24" t="n"/>
      <c r="D47" s="25">
        <f>IF(C47="","",IF(COUNTIF(lst_Jobs,C47&amp;"")&gt;0,"OK","CHECK"))</f>
        <v/>
      </c>
      <c r="E47" s="25">
        <f>IF(C47="","",IFERROR(INDEX(lst_JobName,MATCH(C47&amp;"",lst_Jobs,0)),""))</f>
        <v/>
      </c>
      <c r="F47" s="25">
        <f>IF(C47="","",IFERROR(INDEX(tbl_Finance[Client],MATCH(C47&amp;"",tbl_Finance[Job Number],0)),""))</f>
        <v/>
      </c>
      <c r="G47" s="28">
        <f>IF(C47="","",COUNTIFS(tbl_Finance[Job Number],C47&amp;"",tbl_Finance[Ex GST],"&lt;&gt;"))</f>
        <v/>
      </c>
      <c r="H47" s="27">
        <f>IF(C47="","",SUMIFS(tbl_Finance[Ex GST],tbl_Finance[Job Number],C47&amp;""))</f>
        <v/>
      </c>
      <c r="I47" s="27">
        <f>IF(C47="","",SUMIFS(tbl_Finance[Ex GST],tbl_Finance[Job Number],C47&amp;"",tbl_Finance[Xero Invoice No],"&lt;&gt;"))</f>
        <v/>
      </c>
      <c r="J47" s="27">
        <f>IF(C47="","",H47-I47)</f>
        <v/>
      </c>
      <c r="K47" s="25">
        <f>IF(C47="","",IF(G47=0,"not invoiced yet",SUBSTITUTE(TRIM(IF(COUNTIFS(tbl_Finance[Job Number],C47&amp;"",tbl_Finance[Cost Centre],"ONSITE")&gt;0,"ONSITE ","")&amp;IF(COUNTIFS(tbl_Finance[Job Number],C47&amp;"",tbl_Finance[Cost Centre],"PRODUCTION")&gt;0,"PRODUCTION ","")&amp;IF(COUNTIFS(tbl_Finance[Job Number],C47&amp;"",tbl_Finance[Cost Centre],"VIDEO")&gt;0,"VIDEO ","")&amp;IF(COUNTIFS(tbl_Finance[Job Number],C47&amp;"",tbl_Finance[Cost Centre],"INTEGRATION")&gt;0,"INTEGRATION ","")&amp;IF(COUNTIFS(tbl_Finance[Job Number],C47&amp;"",tbl_Finance[Cost Centre],"CONSULTING")&gt;0,"CONSULTING ","")&amp;IF(COUNTIFS(tbl_Finance[Job Number],C47&amp;"",tbl_Finance[Cost Centre],"CTS")&gt;0,"CTS ",""))," ",", ")))</f>
        <v/>
      </c>
      <c r="L47" s="24" t="n"/>
      <c r="M47" s="24" t="n"/>
      <c r="N47" s="25">
        <f>IF(M47="","",HYPERLINK(IF(LEFT(M47,4)="http",M47,set_QwilrBase&amp;M47),"Open quote"))</f>
        <v/>
      </c>
      <c r="O47" s="69" t="n"/>
      <c r="P47" s="24" t="n"/>
      <c r="Q47" s="24" t="n"/>
    </row>
    <row r="48" ht="15" customHeight="1">
      <c r="A48" s="68">
        <f>IF(C48="","",IFERROR(IF(SUMPRODUCT(MAX((tbl_Finance[Job Number]=C48&amp;"")*(tbl_Finance[Xero Invoice No]&lt;&gt;"")*tbl_Finance[Date]))=0,"",SUMPRODUCT(MAX((tbl_Finance[Job Number]=C48&amp;"")*(tbl_Finance[Xero Invoice No]&lt;&gt;"")*tbl_Finance[Date]))),""))</f>
        <v/>
      </c>
      <c r="B48" s="25">
        <f>IF(C48="","",IF(COUNTIFS(tbl_Finance[Job Number],C48&amp;"",tbl_Finance[Xero Invoice No],"&lt;&gt;")=0,"",IFERROR(IF(COUNTIFS(tbl_Finance[Job Number],C48&amp;"",tbl_Finance[Xero Invoice No],LOOKUP(2,1/((tbl_Finance[Job Number]=C48&amp;"")*(tbl_Finance[Xero Invoice No]&lt;&gt;"")),tbl_Finance[Xero Invoice No]))=COUNTIFS(tbl_Finance[Job Number],C48&amp;"",tbl_Finance[Xero Invoice No],"&lt;&gt;"),LOOKUP(2,1/((tbl_Finance[Job Number]=C48&amp;"")*(tbl_Finance[Xero Invoice No]&lt;&gt;"")),tbl_Finance[Xero Invoice No]),LOOKUP(2,1/((tbl_Finance[Job Number]=C48&amp;"")*(tbl_Finance[Xero Invoice No]&lt;&gt;"")),tbl_Finance[Xero Invoice No])&amp;" +more"),"")))</f>
        <v/>
      </c>
      <c r="C48" s="24" t="n"/>
      <c r="D48" s="25">
        <f>IF(C48="","",IF(COUNTIF(lst_Jobs,C48&amp;"")&gt;0,"OK","CHECK"))</f>
        <v/>
      </c>
      <c r="E48" s="25">
        <f>IF(C48="","",IFERROR(INDEX(lst_JobName,MATCH(C48&amp;"",lst_Jobs,0)),""))</f>
        <v/>
      </c>
      <c r="F48" s="25">
        <f>IF(C48="","",IFERROR(INDEX(tbl_Finance[Client],MATCH(C48&amp;"",tbl_Finance[Job Number],0)),""))</f>
        <v/>
      </c>
      <c r="G48" s="28">
        <f>IF(C48="","",COUNTIFS(tbl_Finance[Job Number],C48&amp;"",tbl_Finance[Ex GST],"&lt;&gt;"))</f>
        <v/>
      </c>
      <c r="H48" s="27">
        <f>IF(C48="","",SUMIFS(tbl_Finance[Ex GST],tbl_Finance[Job Number],C48&amp;""))</f>
        <v/>
      </c>
      <c r="I48" s="27">
        <f>IF(C48="","",SUMIFS(tbl_Finance[Ex GST],tbl_Finance[Job Number],C48&amp;"",tbl_Finance[Xero Invoice No],"&lt;&gt;"))</f>
        <v/>
      </c>
      <c r="J48" s="27">
        <f>IF(C48="","",H48-I48)</f>
        <v/>
      </c>
      <c r="K48" s="25">
        <f>IF(C48="","",IF(G48=0,"not invoiced yet",SUBSTITUTE(TRIM(IF(COUNTIFS(tbl_Finance[Job Number],C48&amp;"",tbl_Finance[Cost Centre],"ONSITE")&gt;0,"ONSITE ","")&amp;IF(COUNTIFS(tbl_Finance[Job Number],C48&amp;"",tbl_Finance[Cost Centre],"PRODUCTION")&gt;0,"PRODUCTION ","")&amp;IF(COUNTIFS(tbl_Finance[Job Number],C48&amp;"",tbl_Finance[Cost Centre],"VIDEO")&gt;0,"VIDEO ","")&amp;IF(COUNTIFS(tbl_Finance[Job Number],C48&amp;"",tbl_Finance[Cost Centre],"INTEGRATION")&gt;0,"INTEGRATION ","")&amp;IF(COUNTIFS(tbl_Finance[Job Number],C48&amp;"",tbl_Finance[Cost Centre],"CONSULTING")&gt;0,"CONSULTING ","")&amp;IF(COUNTIFS(tbl_Finance[Job Number],C48&amp;"",tbl_Finance[Cost Centre],"CTS")&gt;0,"CTS ",""))," ",", ")))</f>
        <v/>
      </c>
      <c r="L48" s="24" t="n"/>
      <c r="M48" s="24" t="n"/>
      <c r="N48" s="25">
        <f>IF(M48="","",HYPERLINK(IF(LEFT(M48,4)="http",M48,set_QwilrBase&amp;M48),"Open quote"))</f>
        <v/>
      </c>
      <c r="O48" s="69" t="n"/>
      <c r="P48" s="24" t="n"/>
      <c r="Q48" s="24" t="n"/>
    </row>
    <row r="49" ht="15" customHeight="1">
      <c r="A49" s="68">
        <f>IF(C49="","",IFERROR(IF(SUMPRODUCT(MAX((tbl_Finance[Job Number]=C49&amp;"")*(tbl_Finance[Xero Invoice No]&lt;&gt;"")*tbl_Finance[Date]))=0,"",SUMPRODUCT(MAX((tbl_Finance[Job Number]=C49&amp;"")*(tbl_Finance[Xero Invoice No]&lt;&gt;"")*tbl_Finance[Date]))),""))</f>
        <v/>
      </c>
      <c r="B49" s="25">
        <f>IF(C49="","",IF(COUNTIFS(tbl_Finance[Job Number],C49&amp;"",tbl_Finance[Xero Invoice No],"&lt;&gt;")=0,"",IFERROR(IF(COUNTIFS(tbl_Finance[Job Number],C49&amp;"",tbl_Finance[Xero Invoice No],LOOKUP(2,1/((tbl_Finance[Job Number]=C49&amp;"")*(tbl_Finance[Xero Invoice No]&lt;&gt;"")),tbl_Finance[Xero Invoice No]))=COUNTIFS(tbl_Finance[Job Number],C49&amp;"",tbl_Finance[Xero Invoice No],"&lt;&gt;"),LOOKUP(2,1/((tbl_Finance[Job Number]=C49&amp;"")*(tbl_Finance[Xero Invoice No]&lt;&gt;"")),tbl_Finance[Xero Invoice No]),LOOKUP(2,1/((tbl_Finance[Job Number]=C49&amp;"")*(tbl_Finance[Xero Invoice No]&lt;&gt;"")),tbl_Finance[Xero Invoice No])&amp;" +more"),"")))</f>
        <v/>
      </c>
      <c r="C49" s="24" t="n"/>
      <c r="D49" s="25">
        <f>IF(C49="","",IF(COUNTIF(lst_Jobs,C49&amp;"")&gt;0,"OK","CHECK"))</f>
        <v/>
      </c>
      <c r="E49" s="25">
        <f>IF(C49="","",IFERROR(INDEX(lst_JobName,MATCH(C49&amp;"",lst_Jobs,0)),""))</f>
        <v/>
      </c>
      <c r="F49" s="25">
        <f>IF(C49="","",IFERROR(INDEX(tbl_Finance[Client],MATCH(C49&amp;"",tbl_Finance[Job Number],0)),""))</f>
        <v/>
      </c>
      <c r="G49" s="28">
        <f>IF(C49="","",COUNTIFS(tbl_Finance[Job Number],C49&amp;"",tbl_Finance[Ex GST],"&lt;&gt;"))</f>
        <v/>
      </c>
      <c r="H49" s="27">
        <f>IF(C49="","",SUMIFS(tbl_Finance[Ex GST],tbl_Finance[Job Number],C49&amp;""))</f>
        <v/>
      </c>
      <c r="I49" s="27">
        <f>IF(C49="","",SUMIFS(tbl_Finance[Ex GST],tbl_Finance[Job Number],C49&amp;"",tbl_Finance[Xero Invoice No],"&lt;&gt;"))</f>
        <v/>
      </c>
      <c r="J49" s="27">
        <f>IF(C49="","",H49-I49)</f>
        <v/>
      </c>
      <c r="K49" s="25">
        <f>IF(C49="","",IF(G49=0,"not invoiced yet",SUBSTITUTE(TRIM(IF(COUNTIFS(tbl_Finance[Job Number],C49&amp;"",tbl_Finance[Cost Centre],"ONSITE")&gt;0,"ONSITE ","")&amp;IF(COUNTIFS(tbl_Finance[Job Number],C49&amp;"",tbl_Finance[Cost Centre],"PRODUCTION")&gt;0,"PRODUCTION ","")&amp;IF(COUNTIFS(tbl_Finance[Job Number],C49&amp;"",tbl_Finance[Cost Centre],"VIDEO")&gt;0,"VIDEO ","")&amp;IF(COUNTIFS(tbl_Finance[Job Number],C49&amp;"",tbl_Finance[Cost Centre],"INTEGRATION")&gt;0,"INTEGRATION ","")&amp;IF(COUNTIFS(tbl_Finance[Job Number],C49&amp;"",tbl_Finance[Cost Centre],"CONSULTING")&gt;0,"CONSULTING ","")&amp;IF(COUNTIFS(tbl_Finance[Job Number],C49&amp;"",tbl_Finance[Cost Centre],"CTS")&gt;0,"CTS ",""))," ",", ")))</f>
        <v/>
      </c>
      <c r="L49" s="24" t="n"/>
      <c r="M49" s="24" t="n"/>
      <c r="N49" s="25">
        <f>IF(M49="","",HYPERLINK(IF(LEFT(M49,4)="http",M49,set_QwilrBase&amp;M49),"Open quote"))</f>
        <v/>
      </c>
      <c r="O49" s="69" t="n"/>
      <c r="P49" s="24" t="n"/>
      <c r="Q49" s="24" t="n"/>
    </row>
    <row r="50" ht="15" customHeight="1">
      <c r="A50" s="68">
        <f>IF(C50="","",IFERROR(IF(SUMPRODUCT(MAX((tbl_Finance[Job Number]=C50&amp;"")*(tbl_Finance[Xero Invoice No]&lt;&gt;"")*tbl_Finance[Date]))=0,"",SUMPRODUCT(MAX((tbl_Finance[Job Number]=C50&amp;"")*(tbl_Finance[Xero Invoice No]&lt;&gt;"")*tbl_Finance[Date]))),""))</f>
        <v/>
      </c>
      <c r="B50" s="25">
        <f>IF(C50="","",IF(COUNTIFS(tbl_Finance[Job Number],C50&amp;"",tbl_Finance[Xero Invoice No],"&lt;&gt;")=0,"",IFERROR(IF(COUNTIFS(tbl_Finance[Job Number],C50&amp;"",tbl_Finance[Xero Invoice No],LOOKUP(2,1/((tbl_Finance[Job Number]=C50&amp;"")*(tbl_Finance[Xero Invoice No]&lt;&gt;"")),tbl_Finance[Xero Invoice No]))=COUNTIFS(tbl_Finance[Job Number],C50&amp;"",tbl_Finance[Xero Invoice No],"&lt;&gt;"),LOOKUP(2,1/((tbl_Finance[Job Number]=C50&amp;"")*(tbl_Finance[Xero Invoice No]&lt;&gt;"")),tbl_Finance[Xero Invoice No]),LOOKUP(2,1/((tbl_Finance[Job Number]=C50&amp;"")*(tbl_Finance[Xero Invoice No]&lt;&gt;"")),tbl_Finance[Xero Invoice No])&amp;" +more"),"")))</f>
        <v/>
      </c>
      <c r="C50" s="24" t="n"/>
      <c r="D50" s="25">
        <f>IF(C50="","",IF(COUNTIF(lst_Jobs,C50&amp;"")&gt;0,"OK","CHECK"))</f>
        <v/>
      </c>
      <c r="E50" s="25">
        <f>IF(C50="","",IFERROR(INDEX(lst_JobName,MATCH(C50&amp;"",lst_Jobs,0)),""))</f>
        <v/>
      </c>
      <c r="F50" s="25">
        <f>IF(C50="","",IFERROR(INDEX(tbl_Finance[Client],MATCH(C50&amp;"",tbl_Finance[Job Number],0)),""))</f>
        <v/>
      </c>
      <c r="G50" s="28">
        <f>IF(C50="","",COUNTIFS(tbl_Finance[Job Number],C50&amp;"",tbl_Finance[Ex GST],"&lt;&gt;"))</f>
        <v/>
      </c>
      <c r="H50" s="27">
        <f>IF(C50="","",SUMIFS(tbl_Finance[Ex GST],tbl_Finance[Job Number],C50&amp;""))</f>
        <v/>
      </c>
      <c r="I50" s="27">
        <f>IF(C50="","",SUMIFS(tbl_Finance[Ex GST],tbl_Finance[Job Number],C50&amp;"",tbl_Finance[Xero Invoice No],"&lt;&gt;"))</f>
        <v/>
      </c>
      <c r="J50" s="27">
        <f>IF(C50="","",H50-I50)</f>
        <v/>
      </c>
      <c r="K50" s="25">
        <f>IF(C50="","",IF(G50=0,"not invoiced yet",SUBSTITUTE(TRIM(IF(COUNTIFS(tbl_Finance[Job Number],C50&amp;"",tbl_Finance[Cost Centre],"ONSITE")&gt;0,"ONSITE ","")&amp;IF(COUNTIFS(tbl_Finance[Job Number],C50&amp;"",tbl_Finance[Cost Centre],"PRODUCTION")&gt;0,"PRODUCTION ","")&amp;IF(COUNTIFS(tbl_Finance[Job Number],C50&amp;"",tbl_Finance[Cost Centre],"VIDEO")&gt;0,"VIDEO ","")&amp;IF(COUNTIFS(tbl_Finance[Job Number],C50&amp;"",tbl_Finance[Cost Centre],"INTEGRATION")&gt;0,"INTEGRATION ","")&amp;IF(COUNTIFS(tbl_Finance[Job Number],C50&amp;"",tbl_Finance[Cost Centre],"CONSULTING")&gt;0,"CONSULTING ","")&amp;IF(COUNTIFS(tbl_Finance[Job Number],C50&amp;"",tbl_Finance[Cost Centre],"CTS")&gt;0,"CTS ",""))," ",", ")))</f>
        <v/>
      </c>
      <c r="L50" s="24" t="n"/>
      <c r="M50" s="24" t="n"/>
      <c r="N50" s="25">
        <f>IF(M50="","",HYPERLINK(IF(LEFT(M50,4)="http",M50,set_QwilrBase&amp;M50),"Open quote"))</f>
        <v/>
      </c>
      <c r="O50" s="69" t="n"/>
      <c r="P50" s="24" t="n"/>
      <c r="Q50" s="24" t="n"/>
    </row>
    <row r="51" ht="15" customHeight="1">
      <c r="A51" s="68">
        <f>IF(C51="","",IFERROR(IF(SUMPRODUCT(MAX((tbl_Finance[Job Number]=C51&amp;"")*(tbl_Finance[Xero Invoice No]&lt;&gt;"")*tbl_Finance[Date]))=0,"",SUMPRODUCT(MAX((tbl_Finance[Job Number]=C51&amp;"")*(tbl_Finance[Xero Invoice No]&lt;&gt;"")*tbl_Finance[Date]))),""))</f>
        <v/>
      </c>
      <c r="B51" s="25">
        <f>IF(C51="","",IF(COUNTIFS(tbl_Finance[Job Number],C51&amp;"",tbl_Finance[Xero Invoice No],"&lt;&gt;")=0,"",IFERROR(IF(COUNTIFS(tbl_Finance[Job Number],C51&amp;"",tbl_Finance[Xero Invoice No],LOOKUP(2,1/((tbl_Finance[Job Number]=C51&amp;"")*(tbl_Finance[Xero Invoice No]&lt;&gt;"")),tbl_Finance[Xero Invoice No]))=COUNTIFS(tbl_Finance[Job Number],C51&amp;"",tbl_Finance[Xero Invoice No],"&lt;&gt;"),LOOKUP(2,1/((tbl_Finance[Job Number]=C51&amp;"")*(tbl_Finance[Xero Invoice No]&lt;&gt;"")),tbl_Finance[Xero Invoice No]),LOOKUP(2,1/((tbl_Finance[Job Number]=C51&amp;"")*(tbl_Finance[Xero Invoice No]&lt;&gt;"")),tbl_Finance[Xero Invoice No])&amp;" +more"),"")))</f>
        <v/>
      </c>
      <c r="C51" s="24" t="n"/>
      <c r="D51" s="25">
        <f>IF(C51="","",IF(COUNTIF(lst_Jobs,C51&amp;"")&gt;0,"OK","CHECK"))</f>
        <v/>
      </c>
      <c r="E51" s="25">
        <f>IF(C51="","",IFERROR(INDEX(lst_JobName,MATCH(C51&amp;"",lst_Jobs,0)),""))</f>
        <v/>
      </c>
      <c r="F51" s="25">
        <f>IF(C51="","",IFERROR(INDEX(tbl_Finance[Client],MATCH(C51&amp;"",tbl_Finance[Job Number],0)),""))</f>
        <v/>
      </c>
      <c r="G51" s="28">
        <f>IF(C51="","",COUNTIFS(tbl_Finance[Job Number],C51&amp;"",tbl_Finance[Ex GST],"&lt;&gt;"))</f>
        <v/>
      </c>
      <c r="H51" s="27">
        <f>IF(C51="","",SUMIFS(tbl_Finance[Ex GST],tbl_Finance[Job Number],C51&amp;""))</f>
        <v/>
      </c>
      <c r="I51" s="27">
        <f>IF(C51="","",SUMIFS(tbl_Finance[Ex GST],tbl_Finance[Job Number],C51&amp;"",tbl_Finance[Xero Invoice No],"&lt;&gt;"))</f>
        <v/>
      </c>
      <c r="J51" s="27">
        <f>IF(C51="","",H51-I51)</f>
        <v/>
      </c>
      <c r="K51" s="25">
        <f>IF(C51="","",IF(G51=0,"not invoiced yet",SUBSTITUTE(TRIM(IF(COUNTIFS(tbl_Finance[Job Number],C51&amp;"",tbl_Finance[Cost Centre],"ONSITE")&gt;0,"ONSITE ","")&amp;IF(COUNTIFS(tbl_Finance[Job Number],C51&amp;"",tbl_Finance[Cost Centre],"PRODUCTION")&gt;0,"PRODUCTION ","")&amp;IF(COUNTIFS(tbl_Finance[Job Number],C51&amp;"",tbl_Finance[Cost Centre],"VIDEO")&gt;0,"VIDEO ","")&amp;IF(COUNTIFS(tbl_Finance[Job Number],C51&amp;"",tbl_Finance[Cost Centre],"INTEGRATION")&gt;0,"INTEGRATION ","")&amp;IF(COUNTIFS(tbl_Finance[Job Number],C51&amp;"",tbl_Finance[Cost Centre],"CONSULTING")&gt;0,"CONSULTING ","")&amp;IF(COUNTIFS(tbl_Finance[Job Number],C51&amp;"",tbl_Finance[Cost Centre],"CTS")&gt;0,"CTS ",""))," ",", ")))</f>
        <v/>
      </c>
      <c r="L51" s="24" t="n"/>
      <c r="M51" s="24" t="n"/>
      <c r="N51" s="25">
        <f>IF(M51="","",HYPERLINK(IF(LEFT(M51,4)="http",M51,set_QwilrBase&amp;M51),"Open quote"))</f>
        <v/>
      </c>
      <c r="O51" s="69" t="n"/>
      <c r="P51" s="24" t="n"/>
      <c r="Q51" s="24" t="n"/>
    </row>
    <row r="52" ht="15" customHeight="1">
      <c r="A52" s="68">
        <f>IF(C52="","",IFERROR(IF(SUMPRODUCT(MAX((tbl_Finance[Job Number]=C52&amp;"")*(tbl_Finance[Xero Invoice No]&lt;&gt;"")*tbl_Finance[Date]))=0,"",SUMPRODUCT(MAX((tbl_Finance[Job Number]=C52&amp;"")*(tbl_Finance[Xero Invoice No]&lt;&gt;"")*tbl_Finance[Date]))),""))</f>
        <v/>
      </c>
      <c r="B52" s="25">
        <f>IF(C52="","",IF(COUNTIFS(tbl_Finance[Job Number],C52&amp;"",tbl_Finance[Xero Invoice No],"&lt;&gt;")=0,"",IFERROR(IF(COUNTIFS(tbl_Finance[Job Number],C52&amp;"",tbl_Finance[Xero Invoice No],LOOKUP(2,1/((tbl_Finance[Job Number]=C52&amp;"")*(tbl_Finance[Xero Invoice No]&lt;&gt;"")),tbl_Finance[Xero Invoice No]))=COUNTIFS(tbl_Finance[Job Number],C52&amp;"",tbl_Finance[Xero Invoice No],"&lt;&gt;"),LOOKUP(2,1/((tbl_Finance[Job Number]=C52&amp;"")*(tbl_Finance[Xero Invoice No]&lt;&gt;"")),tbl_Finance[Xero Invoice No]),LOOKUP(2,1/((tbl_Finance[Job Number]=C52&amp;"")*(tbl_Finance[Xero Invoice No]&lt;&gt;"")),tbl_Finance[Xero Invoice No])&amp;" +more"),"")))</f>
        <v/>
      </c>
      <c r="C52" s="24" t="n"/>
      <c r="D52" s="25">
        <f>IF(C52="","",IF(COUNTIF(lst_Jobs,C52&amp;"")&gt;0,"OK","CHECK"))</f>
        <v/>
      </c>
      <c r="E52" s="25">
        <f>IF(C52="","",IFERROR(INDEX(lst_JobName,MATCH(C52&amp;"",lst_Jobs,0)),""))</f>
        <v/>
      </c>
      <c r="F52" s="25">
        <f>IF(C52="","",IFERROR(INDEX(tbl_Finance[Client],MATCH(C52&amp;"",tbl_Finance[Job Number],0)),""))</f>
        <v/>
      </c>
      <c r="G52" s="28">
        <f>IF(C52="","",COUNTIFS(tbl_Finance[Job Number],C52&amp;"",tbl_Finance[Ex GST],"&lt;&gt;"))</f>
        <v/>
      </c>
      <c r="H52" s="27">
        <f>IF(C52="","",SUMIFS(tbl_Finance[Ex GST],tbl_Finance[Job Number],C52&amp;""))</f>
        <v/>
      </c>
      <c r="I52" s="27">
        <f>IF(C52="","",SUMIFS(tbl_Finance[Ex GST],tbl_Finance[Job Number],C52&amp;"",tbl_Finance[Xero Invoice No],"&lt;&gt;"))</f>
        <v/>
      </c>
      <c r="J52" s="27">
        <f>IF(C52="","",H52-I52)</f>
        <v/>
      </c>
      <c r="K52" s="25">
        <f>IF(C52="","",IF(G52=0,"not invoiced yet",SUBSTITUTE(TRIM(IF(COUNTIFS(tbl_Finance[Job Number],C52&amp;"",tbl_Finance[Cost Centre],"ONSITE")&gt;0,"ONSITE ","")&amp;IF(COUNTIFS(tbl_Finance[Job Number],C52&amp;"",tbl_Finance[Cost Centre],"PRODUCTION")&gt;0,"PRODUCTION ","")&amp;IF(COUNTIFS(tbl_Finance[Job Number],C52&amp;"",tbl_Finance[Cost Centre],"VIDEO")&gt;0,"VIDEO ","")&amp;IF(COUNTIFS(tbl_Finance[Job Number],C52&amp;"",tbl_Finance[Cost Centre],"INTEGRATION")&gt;0,"INTEGRATION ","")&amp;IF(COUNTIFS(tbl_Finance[Job Number],C52&amp;"",tbl_Finance[Cost Centre],"CONSULTING")&gt;0,"CONSULTING ","")&amp;IF(COUNTIFS(tbl_Finance[Job Number],C52&amp;"",tbl_Finance[Cost Centre],"CTS")&gt;0,"CTS ",""))," ",", ")))</f>
        <v/>
      </c>
      <c r="L52" s="24" t="n"/>
      <c r="M52" s="24" t="n"/>
      <c r="N52" s="25">
        <f>IF(M52="","",HYPERLINK(IF(LEFT(M52,4)="http",M52,set_QwilrBase&amp;M52),"Open quote"))</f>
        <v/>
      </c>
      <c r="O52" s="69" t="n"/>
      <c r="P52" s="24" t="n"/>
      <c r="Q52" s="24" t="n"/>
    </row>
    <row r="53" ht="15" customHeight="1">
      <c r="A53" s="68">
        <f>IF(C53="","",IFERROR(IF(SUMPRODUCT(MAX((tbl_Finance[Job Number]=C53&amp;"")*(tbl_Finance[Xero Invoice No]&lt;&gt;"")*tbl_Finance[Date]))=0,"",SUMPRODUCT(MAX((tbl_Finance[Job Number]=C53&amp;"")*(tbl_Finance[Xero Invoice No]&lt;&gt;"")*tbl_Finance[Date]))),""))</f>
        <v/>
      </c>
      <c r="B53" s="25">
        <f>IF(C53="","",IF(COUNTIFS(tbl_Finance[Job Number],C53&amp;"",tbl_Finance[Xero Invoice No],"&lt;&gt;")=0,"",IFERROR(IF(COUNTIFS(tbl_Finance[Job Number],C53&amp;"",tbl_Finance[Xero Invoice No],LOOKUP(2,1/((tbl_Finance[Job Number]=C53&amp;"")*(tbl_Finance[Xero Invoice No]&lt;&gt;"")),tbl_Finance[Xero Invoice No]))=COUNTIFS(tbl_Finance[Job Number],C53&amp;"",tbl_Finance[Xero Invoice No],"&lt;&gt;"),LOOKUP(2,1/((tbl_Finance[Job Number]=C53&amp;"")*(tbl_Finance[Xero Invoice No]&lt;&gt;"")),tbl_Finance[Xero Invoice No]),LOOKUP(2,1/((tbl_Finance[Job Number]=C53&amp;"")*(tbl_Finance[Xero Invoice No]&lt;&gt;"")),tbl_Finance[Xero Invoice No])&amp;" +more"),"")))</f>
        <v/>
      </c>
      <c r="C53" s="24" t="n"/>
      <c r="D53" s="25">
        <f>IF(C53="","",IF(COUNTIF(lst_Jobs,C53&amp;"")&gt;0,"OK","CHECK"))</f>
        <v/>
      </c>
      <c r="E53" s="25">
        <f>IF(C53="","",IFERROR(INDEX(lst_JobName,MATCH(C53&amp;"",lst_Jobs,0)),""))</f>
        <v/>
      </c>
      <c r="F53" s="25">
        <f>IF(C53="","",IFERROR(INDEX(tbl_Finance[Client],MATCH(C53&amp;"",tbl_Finance[Job Number],0)),""))</f>
        <v/>
      </c>
      <c r="G53" s="28">
        <f>IF(C53="","",COUNTIFS(tbl_Finance[Job Number],C53&amp;"",tbl_Finance[Ex GST],"&lt;&gt;"))</f>
        <v/>
      </c>
      <c r="H53" s="27">
        <f>IF(C53="","",SUMIFS(tbl_Finance[Ex GST],tbl_Finance[Job Number],C53&amp;""))</f>
        <v/>
      </c>
      <c r="I53" s="27">
        <f>IF(C53="","",SUMIFS(tbl_Finance[Ex GST],tbl_Finance[Job Number],C53&amp;"",tbl_Finance[Xero Invoice No],"&lt;&gt;"))</f>
        <v/>
      </c>
      <c r="J53" s="27">
        <f>IF(C53="","",H53-I53)</f>
        <v/>
      </c>
      <c r="K53" s="25">
        <f>IF(C53="","",IF(G53=0,"not invoiced yet",SUBSTITUTE(TRIM(IF(COUNTIFS(tbl_Finance[Job Number],C53&amp;"",tbl_Finance[Cost Centre],"ONSITE")&gt;0,"ONSITE ","")&amp;IF(COUNTIFS(tbl_Finance[Job Number],C53&amp;"",tbl_Finance[Cost Centre],"PRODUCTION")&gt;0,"PRODUCTION ","")&amp;IF(COUNTIFS(tbl_Finance[Job Number],C53&amp;"",tbl_Finance[Cost Centre],"VIDEO")&gt;0,"VIDEO ","")&amp;IF(COUNTIFS(tbl_Finance[Job Number],C53&amp;"",tbl_Finance[Cost Centre],"INTEGRATION")&gt;0,"INTEGRATION ","")&amp;IF(COUNTIFS(tbl_Finance[Job Number],C53&amp;"",tbl_Finance[Cost Centre],"CONSULTING")&gt;0,"CONSULTING ","")&amp;IF(COUNTIFS(tbl_Finance[Job Number],C53&amp;"",tbl_Finance[Cost Centre],"CTS")&gt;0,"CTS ",""))," ",", ")))</f>
        <v/>
      </c>
      <c r="L53" s="24" t="n"/>
      <c r="M53" s="24" t="n"/>
      <c r="N53" s="25">
        <f>IF(M53="","",HYPERLINK(IF(LEFT(M53,4)="http",M53,set_QwilrBase&amp;M53),"Open quote"))</f>
        <v/>
      </c>
      <c r="O53" s="69" t="n"/>
      <c r="P53" s="24" t="n"/>
      <c r="Q53" s="24" t="n"/>
    </row>
    <row r="54" ht="15" customHeight="1">
      <c r="A54" s="68">
        <f>IF(C54="","",IFERROR(IF(SUMPRODUCT(MAX((tbl_Finance[Job Number]=C54&amp;"")*(tbl_Finance[Xero Invoice No]&lt;&gt;"")*tbl_Finance[Date]))=0,"",SUMPRODUCT(MAX((tbl_Finance[Job Number]=C54&amp;"")*(tbl_Finance[Xero Invoice No]&lt;&gt;"")*tbl_Finance[Date]))),""))</f>
        <v/>
      </c>
      <c r="B54" s="25">
        <f>IF(C54="","",IF(COUNTIFS(tbl_Finance[Job Number],C54&amp;"",tbl_Finance[Xero Invoice No],"&lt;&gt;")=0,"",IFERROR(IF(COUNTIFS(tbl_Finance[Job Number],C54&amp;"",tbl_Finance[Xero Invoice No],LOOKUP(2,1/((tbl_Finance[Job Number]=C54&amp;"")*(tbl_Finance[Xero Invoice No]&lt;&gt;"")),tbl_Finance[Xero Invoice No]))=COUNTIFS(tbl_Finance[Job Number],C54&amp;"",tbl_Finance[Xero Invoice No],"&lt;&gt;"),LOOKUP(2,1/((tbl_Finance[Job Number]=C54&amp;"")*(tbl_Finance[Xero Invoice No]&lt;&gt;"")),tbl_Finance[Xero Invoice No]),LOOKUP(2,1/((tbl_Finance[Job Number]=C54&amp;"")*(tbl_Finance[Xero Invoice No]&lt;&gt;"")),tbl_Finance[Xero Invoice No])&amp;" +more"),"")))</f>
        <v/>
      </c>
      <c r="C54" s="24" t="n"/>
      <c r="D54" s="25">
        <f>IF(C54="","",IF(COUNTIF(lst_Jobs,C54&amp;"")&gt;0,"OK","CHECK"))</f>
        <v/>
      </c>
      <c r="E54" s="25">
        <f>IF(C54="","",IFERROR(INDEX(lst_JobName,MATCH(C54&amp;"",lst_Jobs,0)),""))</f>
        <v/>
      </c>
      <c r="F54" s="25">
        <f>IF(C54="","",IFERROR(INDEX(tbl_Finance[Client],MATCH(C54&amp;"",tbl_Finance[Job Number],0)),""))</f>
        <v/>
      </c>
      <c r="G54" s="28">
        <f>IF(C54="","",COUNTIFS(tbl_Finance[Job Number],C54&amp;"",tbl_Finance[Ex GST],"&lt;&gt;"))</f>
        <v/>
      </c>
      <c r="H54" s="27">
        <f>IF(C54="","",SUMIFS(tbl_Finance[Ex GST],tbl_Finance[Job Number],C54&amp;""))</f>
        <v/>
      </c>
      <c r="I54" s="27">
        <f>IF(C54="","",SUMIFS(tbl_Finance[Ex GST],tbl_Finance[Job Number],C54&amp;"",tbl_Finance[Xero Invoice No],"&lt;&gt;"))</f>
        <v/>
      </c>
      <c r="J54" s="27">
        <f>IF(C54="","",H54-I54)</f>
        <v/>
      </c>
      <c r="K54" s="25">
        <f>IF(C54="","",IF(G54=0,"not invoiced yet",SUBSTITUTE(TRIM(IF(COUNTIFS(tbl_Finance[Job Number],C54&amp;"",tbl_Finance[Cost Centre],"ONSITE")&gt;0,"ONSITE ","")&amp;IF(COUNTIFS(tbl_Finance[Job Number],C54&amp;"",tbl_Finance[Cost Centre],"PRODUCTION")&gt;0,"PRODUCTION ","")&amp;IF(COUNTIFS(tbl_Finance[Job Number],C54&amp;"",tbl_Finance[Cost Centre],"VIDEO")&gt;0,"VIDEO ","")&amp;IF(COUNTIFS(tbl_Finance[Job Number],C54&amp;"",tbl_Finance[Cost Centre],"INTEGRATION")&gt;0,"INTEGRATION ","")&amp;IF(COUNTIFS(tbl_Finance[Job Number],C54&amp;"",tbl_Finance[Cost Centre],"CONSULTING")&gt;0,"CONSULTING ","")&amp;IF(COUNTIFS(tbl_Finance[Job Number],C54&amp;"",tbl_Finance[Cost Centre],"CTS")&gt;0,"CTS ",""))," ",", ")))</f>
        <v/>
      </c>
      <c r="L54" s="24" t="n"/>
      <c r="M54" s="24" t="n"/>
      <c r="N54" s="25">
        <f>IF(M54="","",HYPERLINK(IF(LEFT(M54,4)="http",M54,set_QwilrBase&amp;M54),"Open quote"))</f>
        <v/>
      </c>
      <c r="O54" s="69" t="n"/>
      <c r="P54" s="24" t="n"/>
      <c r="Q54" s="24" t="n"/>
    </row>
    <row r="55" ht="15" customHeight="1">
      <c r="A55" s="68">
        <f>IF(C55="","",IFERROR(IF(SUMPRODUCT(MAX((tbl_Finance[Job Number]=C55&amp;"")*(tbl_Finance[Xero Invoice No]&lt;&gt;"")*tbl_Finance[Date]))=0,"",SUMPRODUCT(MAX((tbl_Finance[Job Number]=C55&amp;"")*(tbl_Finance[Xero Invoice No]&lt;&gt;"")*tbl_Finance[Date]))),""))</f>
        <v/>
      </c>
      <c r="B55" s="25">
        <f>IF(C55="","",IF(COUNTIFS(tbl_Finance[Job Number],C55&amp;"",tbl_Finance[Xero Invoice No],"&lt;&gt;")=0,"",IFERROR(IF(COUNTIFS(tbl_Finance[Job Number],C55&amp;"",tbl_Finance[Xero Invoice No],LOOKUP(2,1/((tbl_Finance[Job Number]=C55&amp;"")*(tbl_Finance[Xero Invoice No]&lt;&gt;"")),tbl_Finance[Xero Invoice No]))=COUNTIFS(tbl_Finance[Job Number],C55&amp;"",tbl_Finance[Xero Invoice No],"&lt;&gt;"),LOOKUP(2,1/((tbl_Finance[Job Number]=C55&amp;"")*(tbl_Finance[Xero Invoice No]&lt;&gt;"")),tbl_Finance[Xero Invoice No]),LOOKUP(2,1/((tbl_Finance[Job Number]=C55&amp;"")*(tbl_Finance[Xero Invoice No]&lt;&gt;"")),tbl_Finance[Xero Invoice No])&amp;" +more"),"")))</f>
        <v/>
      </c>
      <c r="C55" s="24" t="n"/>
      <c r="D55" s="25">
        <f>IF(C55="","",IF(COUNTIF(lst_Jobs,C55&amp;"")&gt;0,"OK","CHECK"))</f>
        <v/>
      </c>
      <c r="E55" s="25">
        <f>IF(C55="","",IFERROR(INDEX(lst_JobName,MATCH(C55&amp;"",lst_Jobs,0)),""))</f>
        <v/>
      </c>
      <c r="F55" s="25">
        <f>IF(C55="","",IFERROR(INDEX(tbl_Finance[Client],MATCH(C55&amp;"",tbl_Finance[Job Number],0)),""))</f>
        <v/>
      </c>
      <c r="G55" s="28">
        <f>IF(C55="","",COUNTIFS(tbl_Finance[Job Number],C55&amp;"",tbl_Finance[Ex GST],"&lt;&gt;"))</f>
        <v/>
      </c>
      <c r="H55" s="27">
        <f>IF(C55="","",SUMIFS(tbl_Finance[Ex GST],tbl_Finance[Job Number],C55&amp;""))</f>
        <v/>
      </c>
      <c r="I55" s="27">
        <f>IF(C55="","",SUMIFS(tbl_Finance[Ex GST],tbl_Finance[Job Number],C55&amp;"",tbl_Finance[Xero Invoice No],"&lt;&gt;"))</f>
        <v/>
      </c>
      <c r="J55" s="27">
        <f>IF(C55="","",H55-I55)</f>
        <v/>
      </c>
      <c r="K55" s="25">
        <f>IF(C55="","",IF(G55=0,"not invoiced yet",SUBSTITUTE(TRIM(IF(COUNTIFS(tbl_Finance[Job Number],C55&amp;"",tbl_Finance[Cost Centre],"ONSITE")&gt;0,"ONSITE ","")&amp;IF(COUNTIFS(tbl_Finance[Job Number],C55&amp;"",tbl_Finance[Cost Centre],"PRODUCTION")&gt;0,"PRODUCTION ","")&amp;IF(COUNTIFS(tbl_Finance[Job Number],C55&amp;"",tbl_Finance[Cost Centre],"VIDEO")&gt;0,"VIDEO ","")&amp;IF(COUNTIFS(tbl_Finance[Job Number],C55&amp;"",tbl_Finance[Cost Centre],"INTEGRATION")&gt;0,"INTEGRATION ","")&amp;IF(COUNTIFS(tbl_Finance[Job Number],C55&amp;"",tbl_Finance[Cost Centre],"CONSULTING")&gt;0,"CONSULTING ","")&amp;IF(COUNTIFS(tbl_Finance[Job Number],C55&amp;"",tbl_Finance[Cost Centre],"CTS")&gt;0,"CTS ",""))," ",", ")))</f>
        <v/>
      </c>
      <c r="L55" s="24" t="n"/>
      <c r="M55" s="24" t="n"/>
      <c r="N55" s="25">
        <f>IF(M55="","",HYPERLINK(IF(LEFT(M55,4)="http",M55,set_QwilrBase&amp;M55),"Open quote"))</f>
        <v/>
      </c>
      <c r="O55" s="69" t="n"/>
      <c r="P55" s="24" t="n"/>
      <c r="Q55" s="24" t="n"/>
    </row>
    <row r="56" ht="15" customHeight="1">
      <c r="A56" s="68">
        <f>IF(C56="","",IFERROR(IF(SUMPRODUCT(MAX((tbl_Finance[Job Number]=C56&amp;"")*(tbl_Finance[Xero Invoice No]&lt;&gt;"")*tbl_Finance[Date]))=0,"",SUMPRODUCT(MAX((tbl_Finance[Job Number]=C56&amp;"")*(tbl_Finance[Xero Invoice No]&lt;&gt;"")*tbl_Finance[Date]))),""))</f>
        <v/>
      </c>
      <c r="B56" s="25">
        <f>IF(C56="","",IF(COUNTIFS(tbl_Finance[Job Number],C56&amp;"",tbl_Finance[Xero Invoice No],"&lt;&gt;")=0,"",IFERROR(IF(COUNTIFS(tbl_Finance[Job Number],C56&amp;"",tbl_Finance[Xero Invoice No],LOOKUP(2,1/((tbl_Finance[Job Number]=C56&amp;"")*(tbl_Finance[Xero Invoice No]&lt;&gt;"")),tbl_Finance[Xero Invoice No]))=COUNTIFS(tbl_Finance[Job Number],C56&amp;"",tbl_Finance[Xero Invoice No],"&lt;&gt;"),LOOKUP(2,1/((tbl_Finance[Job Number]=C56&amp;"")*(tbl_Finance[Xero Invoice No]&lt;&gt;"")),tbl_Finance[Xero Invoice No]),LOOKUP(2,1/((tbl_Finance[Job Number]=C56&amp;"")*(tbl_Finance[Xero Invoice No]&lt;&gt;"")),tbl_Finance[Xero Invoice No])&amp;" +more"),"")))</f>
        <v/>
      </c>
      <c r="C56" s="24" t="n"/>
      <c r="D56" s="25">
        <f>IF(C56="","",IF(COUNTIF(lst_Jobs,C56&amp;"")&gt;0,"OK","CHECK"))</f>
        <v/>
      </c>
      <c r="E56" s="25">
        <f>IF(C56="","",IFERROR(INDEX(lst_JobName,MATCH(C56&amp;"",lst_Jobs,0)),""))</f>
        <v/>
      </c>
      <c r="F56" s="25">
        <f>IF(C56="","",IFERROR(INDEX(tbl_Finance[Client],MATCH(C56&amp;"",tbl_Finance[Job Number],0)),""))</f>
        <v/>
      </c>
      <c r="G56" s="28">
        <f>IF(C56="","",COUNTIFS(tbl_Finance[Job Number],C56&amp;"",tbl_Finance[Ex GST],"&lt;&gt;"))</f>
        <v/>
      </c>
      <c r="H56" s="27">
        <f>IF(C56="","",SUMIFS(tbl_Finance[Ex GST],tbl_Finance[Job Number],C56&amp;""))</f>
        <v/>
      </c>
      <c r="I56" s="27">
        <f>IF(C56="","",SUMIFS(tbl_Finance[Ex GST],tbl_Finance[Job Number],C56&amp;"",tbl_Finance[Xero Invoice No],"&lt;&gt;"))</f>
        <v/>
      </c>
      <c r="J56" s="27">
        <f>IF(C56="","",H56-I56)</f>
        <v/>
      </c>
      <c r="K56" s="25">
        <f>IF(C56="","",IF(G56=0,"not invoiced yet",SUBSTITUTE(TRIM(IF(COUNTIFS(tbl_Finance[Job Number],C56&amp;"",tbl_Finance[Cost Centre],"ONSITE")&gt;0,"ONSITE ","")&amp;IF(COUNTIFS(tbl_Finance[Job Number],C56&amp;"",tbl_Finance[Cost Centre],"PRODUCTION")&gt;0,"PRODUCTION ","")&amp;IF(COUNTIFS(tbl_Finance[Job Number],C56&amp;"",tbl_Finance[Cost Centre],"VIDEO")&gt;0,"VIDEO ","")&amp;IF(COUNTIFS(tbl_Finance[Job Number],C56&amp;"",tbl_Finance[Cost Centre],"INTEGRATION")&gt;0,"INTEGRATION ","")&amp;IF(COUNTIFS(tbl_Finance[Job Number],C56&amp;"",tbl_Finance[Cost Centre],"CONSULTING")&gt;0,"CONSULTING ","")&amp;IF(COUNTIFS(tbl_Finance[Job Number],C56&amp;"",tbl_Finance[Cost Centre],"CTS")&gt;0,"CTS ",""))," ",", ")))</f>
        <v/>
      </c>
      <c r="L56" s="24" t="n"/>
      <c r="M56" s="24" t="n"/>
      <c r="N56" s="25">
        <f>IF(M56="","",HYPERLINK(IF(LEFT(M56,4)="http",M56,set_QwilrBase&amp;M56),"Open quote"))</f>
        <v/>
      </c>
      <c r="O56" s="69" t="n"/>
      <c r="P56" s="24" t="n"/>
      <c r="Q56" s="24" t="n"/>
    </row>
    <row r="57" ht="15" customHeight="1">
      <c r="A57" s="68">
        <f>IF(C57="","",IFERROR(IF(SUMPRODUCT(MAX((tbl_Finance[Job Number]=C57&amp;"")*(tbl_Finance[Xero Invoice No]&lt;&gt;"")*tbl_Finance[Date]))=0,"",SUMPRODUCT(MAX((tbl_Finance[Job Number]=C57&amp;"")*(tbl_Finance[Xero Invoice No]&lt;&gt;"")*tbl_Finance[Date]))),""))</f>
        <v/>
      </c>
      <c r="B57" s="25">
        <f>IF(C57="","",IF(COUNTIFS(tbl_Finance[Job Number],C57&amp;"",tbl_Finance[Xero Invoice No],"&lt;&gt;")=0,"",IFERROR(IF(COUNTIFS(tbl_Finance[Job Number],C57&amp;"",tbl_Finance[Xero Invoice No],LOOKUP(2,1/((tbl_Finance[Job Number]=C57&amp;"")*(tbl_Finance[Xero Invoice No]&lt;&gt;"")),tbl_Finance[Xero Invoice No]))=COUNTIFS(tbl_Finance[Job Number],C57&amp;"",tbl_Finance[Xero Invoice No],"&lt;&gt;"),LOOKUP(2,1/((tbl_Finance[Job Number]=C57&amp;"")*(tbl_Finance[Xero Invoice No]&lt;&gt;"")),tbl_Finance[Xero Invoice No]),LOOKUP(2,1/((tbl_Finance[Job Number]=C57&amp;"")*(tbl_Finance[Xero Invoice No]&lt;&gt;"")),tbl_Finance[Xero Invoice No])&amp;" +more"),"")))</f>
        <v/>
      </c>
      <c r="C57" s="24" t="n"/>
      <c r="D57" s="25">
        <f>IF(C57="","",IF(COUNTIF(lst_Jobs,C57&amp;"")&gt;0,"OK","CHECK"))</f>
        <v/>
      </c>
      <c r="E57" s="25">
        <f>IF(C57="","",IFERROR(INDEX(lst_JobName,MATCH(C57&amp;"",lst_Jobs,0)),""))</f>
        <v/>
      </c>
      <c r="F57" s="25">
        <f>IF(C57="","",IFERROR(INDEX(tbl_Finance[Client],MATCH(C57&amp;"",tbl_Finance[Job Number],0)),""))</f>
        <v/>
      </c>
      <c r="G57" s="28">
        <f>IF(C57="","",COUNTIFS(tbl_Finance[Job Number],C57&amp;"",tbl_Finance[Ex GST],"&lt;&gt;"))</f>
        <v/>
      </c>
      <c r="H57" s="27">
        <f>IF(C57="","",SUMIFS(tbl_Finance[Ex GST],tbl_Finance[Job Number],C57&amp;""))</f>
        <v/>
      </c>
      <c r="I57" s="27">
        <f>IF(C57="","",SUMIFS(tbl_Finance[Ex GST],tbl_Finance[Job Number],C57&amp;"",tbl_Finance[Xero Invoice No],"&lt;&gt;"))</f>
        <v/>
      </c>
      <c r="J57" s="27">
        <f>IF(C57="","",H57-I57)</f>
        <v/>
      </c>
      <c r="K57" s="25">
        <f>IF(C57="","",IF(G57=0,"not invoiced yet",SUBSTITUTE(TRIM(IF(COUNTIFS(tbl_Finance[Job Number],C57&amp;"",tbl_Finance[Cost Centre],"ONSITE")&gt;0,"ONSITE ","")&amp;IF(COUNTIFS(tbl_Finance[Job Number],C57&amp;"",tbl_Finance[Cost Centre],"PRODUCTION")&gt;0,"PRODUCTION ","")&amp;IF(COUNTIFS(tbl_Finance[Job Number],C57&amp;"",tbl_Finance[Cost Centre],"VIDEO")&gt;0,"VIDEO ","")&amp;IF(COUNTIFS(tbl_Finance[Job Number],C57&amp;"",tbl_Finance[Cost Centre],"INTEGRATION")&gt;0,"INTEGRATION ","")&amp;IF(COUNTIFS(tbl_Finance[Job Number],C57&amp;"",tbl_Finance[Cost Centre],"CONSULTING")&gt;0,"CONSULTING ","")&amp;IF(COUNTIFS(tbl_Finance[Job Number],C57&amp;"",tbl_Finance[Cost Centre],"CTS")&gt;0,"CTS ",""))," ",", ")))</f>
        <v/>
      </c>
      <c r="L57" s="24" t="n"/>
      <c r="M57" s="24" t="n"/>
      <c r="N57" s="25">
        <f>IF(M57="","",HYPERLINK(IF(LEFT(M57,4)="http",M57,set_QwilrBase&amp;M57),"Open quote"))</f>
        <v/>
      </c>
      <c r="O57" s="69" t="n"/>
      <c r="P57" s="24" t="n"/>
      <c r="Q57" s="24" t="n"/>
    </row>
    <row r="58" ht="15" customHeight="1">
      <c r="A58" s="68">
        <f>IF(C58="","",IFERROR(IF(SUMPRODUCT(MAX((tbl_Finance[Job Number]=C58&amp;"")*(tbl_Finance[Xero Invoice No]&lt;&gt;"")*tbl_Finance[Date]))=0,"",SUMPRODUCT(MAX((tbl_Finance[Job Number]=C58&amp;"")*(tbl_Finance[Xero Invoice No]&lt;&gt;"")*tbl_Finance[Date]))),""))</f>
        <v/>
      </c>
      <c r="B58" s="25">
        <f>IF(C58="","",IF(COUNTIFS(tbl_Finance[Job Number],C58&amp;"",tbl_Finance[Xero Invoice No],"&lt;&gt;")=0,"",IFERROR(IF(COUNTIFS(tbl_Finance[Job Number],C58&amp;"",tbl_Finance[Xero Invoice No],LOOKUP(2,1/((tbl_Finance[Job Number]=C58&amp;"")*(tbl_Finance[Xero Invoice No]&lt;&gt;"")),tbl_Finance[Xero Invoice No]))=COUNTIFS(tbl_Finance[Job Number],C58&amp;"",tbl_Finance[Xero Invoice No],"&lt;&gt;"),LOOKUP(2,1/((tbl_Finance[Job Number]=C58&amp;"")*(tbl_Finance[Xero Invoice No]&lt;&gt;"")),tbl_Finance[Xero Invoice No]),LOOKUP(2,1/((tbl_Finance[Job Number]=C58&amp;"")*(tbl_Finance[Xero Invoice No]&lt;&gt;"")),tbl_Finance[Xero Invoice No])&amp;" +more"),"")))</f>
        <v/>
      </c>
      <c r="C58" s="24" t="n"/>
      <c r="D58" s="25">
        <f>IF(C58="","",IF(COUNTIF(lst_Jobs,C58&amp;"")&gt;0,"OK","CHECK"))</f>
        <v/>
      </c>
      <c r="E58" s="25">
        <f>IF(C58="","",IFERROR(INDEX(lst_JobName,MATCH(C58&amp;"",lst_Jobs,0)),""))</f>
        <v/>
      </c>
      <c r="F58" s="25">
        <f>IF(C58="","",IFERROR(INDEX(tbl_Finance[Client],MATCH(C58&amp;"",tbl_Finance[Job Number],0)),""))</f>
        <v/>
      </c>
      <c r="G58" s="28">
        <f>IF(C58="","",COUNTIFS(tbl_Finance[Job Number],C58&amp;"",tbl_Finance[Ex GST],"&lt;&gt;"))</f>
        <v/>
      </c>
      <c r="H58" s="27">
        <f>IF(C58="","",SUMIFS(tbl_Finance[Ex GST],tbl_Finance[Job Number],C58&amp;""))</f>
        <v/>
      </c>
      <c r="I58" s="27">
        <f>IF(C58="","",SUMIFS(tbl_Finance[Ex GST],tbl_Finance[Job Number],C58&amp;"",tbl_Finance[Xero Invoice No],"&lt;&gt;"))</f>
        <v/>
      </c>
      <c r="J58" s="27">
        <f>IF(C58="","",H58-I58)</f>
        <v/>
      </c>
      <c r="K58" s="25">
        <f>IF(C58="","",IF(G58=0,"not invoiced yet",SUBSTITUTE(TRIM(IF(COUNTIFS(tbl_Finance[Job Number],C58&amp;"",tbl_Finance[Cost Centre],"ONSITE")&gt;0,"ONSITE ","")&amp;IF(COUNTIFS(tbl_Finance[Job Number],C58&amp;"",tbl_Finance[Cost Centre],"PRODUCTION")&gt;0,"PRODUCTION ","")&amp;IF(COUNTIFS(tbl_Finance[Job Number],C58&amp;"",tbl_Finance[Cost Centre],"VIDEO")&gt;0,"VIDEO ","")&amp;IF(COUNTIFS(tbl_Finance[Job Number],C58&amp;"",tbl_Finance[Cost Centre],"INTEGRATION")&gt;0,"INTEGRATION ","")&amp;IF(COUNTIFS(tbl_Finance[Job Number],C58&amp;"",tbl_Finance[Cost Centre],"CONSULTING")&gt;0,"CONSULTING ","")&amp;IF(COUNTIFS(tbl_Finance[Job Number],C58&amp;"",tbl_Finance[Cost Centre],"CTS")&gt;0,"CTS ",""))," ",", ")))</f>
        <v/>
      </c>
      <c r="L58" s="24" t="n"/>
      <c r="M58" s="24" t="n"/>
      <c r="N58" s="25">
        <f>IF(M58="","",HYPERLINK(IF(LEFT(M58,4)="http",M58,set_QwilrBase&amp;M58),"Open quote"))</f>
        <v/>
      </c>
      <c r="O58" s="69" t="n"/>
      <c r="P58" s="24" t="n"/>
      <c r="Q58" s="24" t="n"/>
    </row>
    <row r="59" ht="15" customHeight="1">
      <c r="A59" s="68">
        <f>IF(C59="","",IFERROR(IF(SUMPRODUCT(MAX((tbl_Finance[Job Number]=C59&amp;"")*(tbl_Finance[Xero Invoice No]&lt;&gt;"")*tbl_Finance[Date]))=0,"",SUMPRODUCT(MAX((tbl_Finance[Job Number]=C59&amp;"")*(tbl_Finance[Xero Invoice No]&lt;&gt;"")*tbl_Finance[Date]))),""))</f>
        <v/>
      </c>
      <c r="B59" s="25">
        <f>IF(C59="","",IF(COUNTIFS(tbl_Finance[Job Number],C59&amp;"",tbl_Finance[Xero Invoice No],"&lt;&gt;")=0,"",IFERROR(IF(COUNTIFS(tbl_Finance[Job Number],C59&amp;"",tbl_Finance[Xero Invoice No],LOOKUP(2,1/((tbl_Finance[Job Number]=C59&amp;"")*(tbl_Finance[Xero Invoice No]&lt;&gt;"")),tbl_Finance[Xero Invoice No]))=COUNTIFS(tbl_Finance[Job Number],C59&amp;"",tbl_Finance[Xero Invoice No],"&lt;&gt;"),LOOKUP(2,1/((tbl_Finance[Job Number]=C59&amp;"")*(tbl_Finance[Xero Invoice No]&lt;&gt;"")),tbl_Finance[Xero Invoice No]),LOOKUP(2,1/((tbl_Finance[Job Number]=C59&amp;"")*(tbl_Finance[Xero Invoice No]&lt;&gt;"")),tbl_Finance[Xero Invoice No])&amp;" +more"),"")))</f>
        <v/>
      </c>
      <c r="C59" s="24" t="n"/>
      <c r="D59" s="25">
        <f>IF(C59="","",IF(COUNTIF(lst_Jobs,C59&amp;"")&gt;0,"OK","CHECK"))</f>
        <v/>
      </c>
      <c r="E59" s="25">
        <f>IF(C59="","",IFERROR(INDEX(lst_JobName,MATCH(C59&amp;"",lst_Jobs,0)),""))</f>
        <v/>
      </c>
      <c r="F59" s="25">
        <f>IF(C59="","",IFERROR(INDEX(tbl_Finance[Client],MATCH(C59&amp;"",tbl_Finance[Job Number],0)),""))</f>
        <v/>
      </c>
      <c r="G59" s="28">
        <f>IF(C59="","",COUNTIFS(tbl_Finance[Job Number],C59&amp;"",tbl_Finance[Ex GST],"&lt;&gt;"))</f>
        <v/>
      </c>
      <c r="H59" s="27">
        <f>IF(C59="","",SUMIFS(tbl_Finance[Ex GST],tbl_Finance[Job Number],C59&amp;""))</f>
        <v/>
      </c>
      <c r="I59" s="27">
        <f>IF(C59="","",SUMIFS(tbl_Finance[Ex GST],tbl_Finance[Job Number],C59&amp;"",tbl_Finance[Xero Invoice No],"&lt;&gt;"))</f>
        <v/>
      </c>
      <c r="J59" s="27">
        <f>IF(C59="","",H59-I59)</f>
        <v/>
      </c>
      <c r="K59" s="25">
        <f>IF(C59="","",IF(G59=0,"not invoiced yet",SUBSTITUTE(TRIM(IF(COUNTIFS(tbl_Finance[Job Number],C59&amp;"",tbl_Finance[Cost Centre],"ONSITE")&gt;0,"ONSITE ","")&amp;IF(COUNTIFS(tbl_Finance[Job Number],C59&amp;"",tbl_Finance[Cost Centre],"PRODUCTION")&gt;0,"PRODUCTION ","")&amp;IF(COUNTIFS(tbl_Finance[Job Number],C59&amp;"",tbl_Finance[Cost Centre],"VIDEO")&gt;0,"VIDEO ","")&amp;IF(COUNTIFS(tbl_Finance[Job Number],C59&amp;"",tbl_Finance[Cost Centre],"INTEGRATION")&gt;0,"INTEGRATION ","")&amp;IF(COUNTIFS(tbl_Finance[Job Number],C59&amp;"",tbl_Finance[Cost Centre],"CONSULTING")&gt;0,"CONSULTING ","")&amp;IF(COUNTIFS(tbl_Finance[Job Number],C59&amp;"",tbl_Finance[Cost Centre],"CTS")&gt;0,"CTS ",""))," ",", ")))</f>
        <v/>
      </c>
      <c r="L59" s="24" t="n"/>
      <c r="M59" s="24" t="n"/>
      <c r="N59" s="25">
        <f>IF(M59="","",HYPERLINK(IF(LEFT(M59,4)="http",M59,set_QwilrBase&amp;M59),"Open quote"))</f>
        <v/>
      </c>
      <c r="O59" s="69" t="n"/>
      <c r="P59" s="24" t="n"/>
      <c r="Q59" s="24" t="n"/>
    </row>
    <row r="60" ht="15" customHeight="1">
      <c r="A60" s="68">
        <f>IF(C60="","",IFERROR(IF(SUMPRODUCT(MAX((tbl_Finance[Job Number]=C60&amp;"")*(tbl_Finance[Xero Invoice No]&lt;&gt;"")*tbl_Finance[Date]))=0,"",SUMPRODUCT(MAX((tbl_Finance[Job Number]=C60&amp;"")*(tbl_Finance[Xero Invoice No]&lt;&gt;"")*tbl_Finance[Date]))),""))</f>
        <v/>
      </c>
      <c r="B60" s="25">
        <f>IF(C60="","",IF(COUNTIFS(tbl_Finance[Job Number],C60&amp;"",tbl_Finance[Xero Invoice No],"&lt;&gt;")=0,"",IFERROR(IF(COUNTIFS(tbl_Finance[Job Number],C60&amp;"",tbl_Finance[Xero Invoice No],LOOKUP(2,1/((tbl_Finance[Job Number]=C60&amp;"")*(tbl_Finance[Xero Invoice No]&lt;&gt;"")),tbl_Finance[Xero Invoice No]))=COUNTIFS(tbl_Finance[Job Number],C60&amp;"",tbl_Finance[Xero Invoice No],"&lt;&gt;"),LOOKUP(2,1/((tbl_Finance[Job Number]=C60&amp;"")*(tbl_Finance[Xero Invoice No]&lt;&gt;"")),tbl_Finance[Xero Invoice No]),LOOKUP(2,1/((tbl_Finance[Job Number]=C60&amp;"")*(tbl_Finance[Xero Invoice No]&lt;&gt;"")),tbl_Finance[Xero Invoice No])&amp;" +more"),"")))</f>
        <v/>
      </c>
      <c r="C60" s="24" t="n"/>
      <c r="D60" s="25">
        <f>IF(C60="","",IF(COUNTIF(lst_Jobs,C60&amp;"")&gt;0,"OK","CHECK"))</f>
        <v/>
      </c>
      <c r="E60" s="25">
        <f>IF(C60="","",IFERROR(INDEX(lst_JobName,MATCH(C60&amp;"",lst_Jobs,0)),""))</f>
        <v/>
      </c>
      <c r="F60" s="25">
        <f>IF(C60="","",IFERROR(INDEX(tbl_Finance[Client],MATCH(C60&amp;"",tbl_Finance[Job Number],0)),""))</f>
        <v/>
      </c>
      <c r="G60" s="28">
        <f>IF(C60="","",COUNTIFS(tbl_Finance[Job Number],C60&amp;"",tbl_Finance[Ex GST],"&lt;&gt;"))</f>
        <v/>
      </c>
      <c r="H60" s="27">
        <f>IF(C60="","",SUMIFS(tbl_Finance[Ex GST],tbl_Finance[Job Number],C60&amp;""))</f>
        <v/>
      </c>
      <c r="I60" s="27">
        <f>IF(C60="","",SUMIFS(tbl_Finance[Ex GST],tbl_Finance[Job Number],C60&amp;"",tbl_Finance[Xero Invoice No],"&lt;&gt;"))</f>
        <v/>
      </c>
      <c r="J60" s="27">
        <f>IF(C60="","",H60-I60)</f>
        <v/>
      </c>
      <c r="K60" s="25">
        <f>IF(C60="","",IF(G60=0,"not invoiced yet",SUBSTITUTE(TRIM(IF(COUNTIFS(tbl_Finance[Job Number],C60&amp;"",tbl_Finance[Cost Centre],"ONSITE")&gt;0,"ONSITE ","")&amp;IF(COUNTIFS(tbl_Finance[Job Number],C60&amp;"",tbl_Finance[Cost Centre],"PRODUCTION")&gt;0,"PRODUCTION ","")&amp;IF(COUNTIFS(tbl_Finance[Job Number],C60&amp;"",tbl_Finance[Cost Centre],"VIDEO")&gt;0,"VIDEO ","")&amp;IF(COUNTIFS(tbl_Finance[Job Number],C60&amp;"",tbl_Finance[Cost Centre],"INTEGRATION")&gt;0,"INTEGRATION ","")&amp;IF(COUNTIFS(tbl_Finance[Job Number],C60&amp;"",tbl_Finance[Cost Centre],"CONSULTING")&gt;0,"CONSULTING ","")&amp;IF(COUNTIFS(tbl_Finance[Job Number],C60&amp;"",tbl_Finance[Cost Centre],"CTS")&gt;0,"CTS ",""))," ",", ")))</f>
        <v/>
      </c>
      <c r="L60" s="24" t="n"/>
      <c r="M60" s="24" t="n"/>
      <c r="N60" s="25">
        <f>IF(M60="","",HYPERLINK(IF(LEFT(M60,4)="http",M60,set_QwilrBase&amp;M60),"Open quote"))</f>
        <v/>
      </c>
      <c r="O60" s="69" t="n"/>
      <c r="P60" s="24" t="n"/>
      <c r="Q60" s="24" t="n"/>
    </row>
    <row r="61" ht="15" customHeight="1">
      <c r="A61" s="68">
        <f>IF(C61="","",IFERROR(IF(SUMPRODUCT(MAX((tbl_Finance[Job Number]=C61&amp;"")*(tbl_Finance[Xero Invoice No]&lt;&gt;"")*tbl_Finance[Date]))=0,"",SUMPRODUCT(MAX((tbl_Finance[Job Number]=C61&amp;"")*(tbl_Finance[Xero Invoice No]&lt;&gt;"")*tbl_Finance[Date]))),""))</f>
        <v/>
      </c>
      <c r="B61" s="25">
        <f>IF(C61="","",IF(COUNTIFS(tbl_Finance[Job Number],C61&amp;"",tbl_Finance[Xero Invoice No],"&lt;&gt;")=0,"",IFERROR(IF(COUNTIFS(tbl_Finance[Job Number],C61&amp;"",tbl_Finance[Xero Invoice No],LOOKUP(2,1/((tbl_Finance[Job Number]=C61&amp;"")*(tbl_Finance[Xero Invoice No]&lt;&gt;"")),tbl_Finance[Xero Invoice No]))=COUNTIFS(tbl_Finance[Job Number],C61&amp;"",tbl_Finance[Xero Invoice No],"&lt;&gt;"),LOOKUP(2,1/((tbl_Finance[Job Number]=C61&amp;"")*(tbl_Finance[Xero Invoice No]&lt;&gt;"")),tbl_Finance[Xero Invoice No]),LOOKUP(2,1/((tbl_Finance[Job Number]=C61&amp;"")*(tbl_Finance[Xero Invoice No]&lt;&gt;"")),tbl_Finance[Xero Invoice No])&amp;" +more"),"")))</f>
        <v/>
      </c>
      <c r="C61" s="24" t="n"/>
      <c r="D61" s="25">
        <f>IF(C61="","",IF(COUNTIF(lst_Jobs,C61&amp;"")&gt;0,"OK","CHECK"))</f>
        <v/>
      </c>
      <c r="E61" s="25">
        <f>IF(C61="","",IFERROR(INDEX(lst_JobName,MATCH(C61&amp;"",lst_Jobs,0)),""))</f>
        <v/>
      </c>
      <c r="F61" s="25">
        <f>IF(C61="","",IFERROR(INDEX(tbl_Finance[Client],MATCH(C61&amp;"",tbl_Finance[Job Number],0)),""))</f>
        <v/>
      </c>
      <c r="G61" s="28">
        <f>IF(C61="","",COUNTIFS(tbl_Finance[Job Number],C61&amp;"",tbl_Finance[Ex GST],"&lt;&gt;"))</f>
        <v/>
      </c>
      <c r="H61" s="27">
        <f>IF(C61="","",SUMIFS(tbl_Finance[Ex GST],tbl_Finance[Job Number],C61&amp;""))</f>
        <v/>
      </c>
      <c r="I61" s="27">
        <f>IF(C61="","",SUMIFS(tbl_Finance[Ex GST],tbl_Finance[Job Number],C61&amp;"",tbl_Finance[Xero Invoice No],"&lt;&gt;"))</f>
        <v/>
      </c>
      <c r="J61" s="27">
        <f>IF(C61="","",H61-I61)</f>
        <v/>
      </c>
      <c r="K61" s="25">
        <f>IF(C61="","",IF(G61=0,"not invoiced yet",SUBSTITUTE(TRIM(IF(COUNTIFS(tbl_Finance[Job Number],C61&amp;"",tbl_Finance[Cost Centre],"ONSITE")&gt;0,"ONSITE ","")&amp;IF(COUNTIFS(tbl_Finance[Job Number],C61&amp;"",tbl_Finance[Cost Centre],"PRODUCTION")&gt;0,"PRODUCTION ","")&amp;IF(COUNTIFS(tbl_Finance[Job Number],C61&amp;"",tbl_Finance[Cost Centre],"VIDEO")&gt;0,"VIDEO ","")&amp;IF(COUNTIFS(tbl_Finance[Job Number],C61&amp;"",tbl_Finance[Cost Centre],"INTEGRATION")&gt;0,"INTEGRATION ","")&amp;IF(COUNTIFS(tbl_Finance[Job Number],C61&amp;"",tbl_Finance[Cost Centre],"CONSULTING")&gt;0,"CONSULTING ","")&amp;IF(COUNTIFS(tbl_Finance[Job Number],C61&amp;"",tbl_Finance[Cost Centre],"CTS")&gt;0,"CTS ",""))," ",", ")))</f>
        <v/>
      </c>
      <c r="L61" s="24" t="n"/>
      <c r="M61" s="24" t="n"/>
      <c r="N61" s="25">
        <f>IF(M61="","",HYPERLINK(IF(LEFT(M61,4)="http",M61,set_QwilrBase&amp;M61),"Open quote"))</f>
        <v/>
      </c>
      <c r="O61" s="69" t="n"/>
      <c r="P61" s="24" t="n"/>
      <c r="Q61" s="24" t="n"/>
    </row>
    <row r="62" ht="15" customHeight="1">
      <c r="A62" s="68">
        <f>IF(C62="","",IFERROR(IF(SUMPRODUCT(MAX((tbl_Finance[Job Number]=C62&amp;"")*(tbl_Finance[Xero Invoice No]&lt;&gt;"")*tbl_Finance[Date]))=0,"",SUMPRODUCT(MAX((tbl_Finance[Job Number]=C62&amp;"")*(tbl_Finance[Xero Invoice No]&lt;&gt;"")*tbl_Finance[Date]))),""))</f>
        <v/>
      </c>
      <c r="B62" s="25">
        <f>IF(C62="","",IF(COUNTIFS(tbl_Finance[Job Number],C62&amp;"",tbl_Finance[Xero Invoice No],"&lt;&gt;")=0,"",IFERROR(IF(COUNTIFS(tbl_Finance[Job Number],C62&amp;"",tbl_Finance[Xero Invoice No],LOOKUP(2,1/((tbl_Finance[Job Number]=C62&amp;"")*(tbl_Finance[Xero Invoice No]&lt;&gt;"")),tbl_Finance[Xero Invoice No]))=COUNTIFS(tbl_Finance[Job Number],C62&amp;"",tbl_Finance[Xero Invoice No],"&lt;&gt;"),LOOKUP(2,1/((tbl_Finance[Job Number]=C62&amp;"")*(tbl_Finance[Xero Invoice No]&lt;&gt;"")),tbl_Finance[Xero Invoice No]),LOOKUP(2,1/((tbl_Finance[Job Number]=C62&amp;"")*(tbl_Finance[Xero Invoice No]&lt;&gt;"")),tbl_Finance[Xero Invoice No])&amp;" +more"),"")))</f>
        <v/>
      </c>
      <c r="C62" s="24" t="n"/>
      <c r="D62" s="25">
        <f>IF(C62="","",IF(COUNTIF(lst_Jobs,C62&amp;"")&gt;0,"OK","CHECK"))</f>
        <v/>
      </c>
      <c r="E62" s="25">
        <f>IF(C62="","",IFERROR(INDEX(lst_JobName,MATCH(C62&amp;"",lst_Jobs,0)),""))</f>
        <v/>
      </c>
      <c r="F62" s="25">
        <f>IF(C62="","",IFERROR(INDEX(tbl_Finance[Client],MATCH(C62&amp;"",tbl_Finance[Job Number],0)),""))</f>
        <v/>
      </c>
      <c r="G62" s="28">
        <f>IF(C62="","",COUNTIFS(tbl_Finance[Job Number],C62&amp;"",tbl_Finance[Ex GST],"&lt;&gt;"))</f>
        <v/>
      </c>
      <c r="H62" s="27">
        <f>IF(C62="","",SUMIFS(tbl_Finance[Ex GST],tbl_Finance[Job Number],C62&amp;""))</f>
        <v/>
      </c>
      <c r="I62" s="27">
        <f>IF(C62="","",SUMIFS(tbl_Finance[Ex GST],tbl_Finance[Job Number],C62&amp;"",tbl_Finance[Xero Invoice No],"&lt;&gt;"))</f>
        <v/>
      </c>
      <c r="J62" s="27">
        <f>IF(C62="","",H62-I62)</f>
        <v/>
      </c>
      <c r="K62" s="25">
        <f>IF(C62="","",IF(G62=0,"not invoiced yet",SUBSTITUTE(TRIM(IF(COUNTIFS(tbl_Finance[Job Number],C62&amp;"",tbl_Finance[Cost Centre],"ONSITE")&gt;0,"ONSITE ","")&amp;IF(COUNTIFS(tbl_Finance[Job Number],C62&amp;"",tbl_Finance[Cost Centre],"PRODUCTION")&gt;0,"PRODUCTION ","")&amp;IF(COUNTIFS(tbl_Finance[Job Number],C62&amp;"",tbl_Finance[Cost Centre],"VIDEO")&gt;0,"VIDEO ","")&amp;IF(COUNTIFS(tbl_Finance[Job Number],C62&amp;"",tbl_Finance[Cost Centre],"INTEGRATION")&gt;0,"INTEGRATION ","")&amp;IF(COUNTIFS(tbl_Finance[Job Number],C62&amp;"",tbl_Finance[Cost Centre],"CONSULTING")&gt;0,"CONSULTING ","")&amp;IF(COUNTIFS(tbl_Finance[Job Number],C62&amp;"",tbl_Finance[Cost Centre],"CTS")&gt;0,"CTS ",""))," ",", ")))</f>
        <v/>
      </c>
      <c r="L62" s="24" t="n"/>
      <c r="M62" s="24" t="n"/>
      <c r="N62" s="25">
        <f>IF(M62="","",HYPERLINK(IF(LEFT(M62,4)="http",M62,set_QwilrBase&amp;M62),"Open quote"))</f>
        <v/>
      </c>
      <c r="O62" s="69" t="n"/>
      <c r="P62" s="24" t="n"/>
      <c r="Q62" s="24" t="n"/>
    </row>
    <row r="63" ht="15" customHeight="1">
      <c r="A63" s="68">
        <f>IF(C63="","",IFERROR(IF(SUMPRODUCT(MAX((tbl_Finance[Job Number]=C63&amp;"")*(tbl_Finance[Xero Invoice No]&lt;&gt;"")*tbl_Finance[Date]))=0,"",SUMPRODUCT(MAX((tbl_Finance[Job Number]=C63&amp;"")*(tbl_Finance[Xero Invoice No]&lt;&gt;"")*tbl_Finance[Date]))),""))</f>
        <v/>
      </c>
      <c r="B63" s="25">
        <f>IF(C63="","",IF(COUNTIFS(tbl_Finance[Job Number],C63&amp;"",tbl_Finance[Xero Invoice No],"&lt;&gt;")=0,"",IFERROR(IF(COUNTIFS(tbl_Finance[Job Number],C63&amp;"",tbl_Finance[Xero Invoice No],LOOKUP(2,1/((tbl_Finance[Job Number]=C63&amp;"")*(tbl_Finance[Xero Invoice No]&lt;&gt;"")),tbl_Finance[Xero Invoice No]))=COUNTIFS(tbl_Finance[Job Number],C63&amp;"",tbl_Finance[Xero Invoice No],"&lt;&gt;"),LOOKUP(2,1/((tbl_Finance[Job Number]=C63&amp;"")*(tbl_Finance[Xero Invoice No]&lt;&gt;"")),tbl_Finance[Xero Invoice No]),LOOKUP(2,1/((tbl_Finance[Job Number]=C63&amp;"")*(tbl_Finance[Xero Invoice No]&lt;&gt;"")),tbl_Finance[Xero Invoice No])&amp;" +more"),"")))</f>
        <v/>
      </c>
      <c r="C63" s="24" t="n"/>
      <c r="D63" s="25">
        <f>IF(C63="","",IF(COUNTIF(lst_Jobs,C63&amp;"")&gt;0,"OK","CHECK"))</f>
        <v/>
      </c>
      <c r="E63" s="25">
        <f>IF(C63="","",IFERROR(INDEX(lst_JobName,MATCH(C63&amp;"",lst_Jobs,0)),""))</f>
        <v/>
      </c>
      <c r="F63" s="25">
        <f>IF(C63="","",IFERROR(INDEX(tbl_Finance[Client],MATCH(C63&amp;"",tbl_Finance[Job Number],0)),""))</f>
        <v/>
      </c>
      <c r="G63" s="28">
        <f>IF(C63="","",COUNTIFS(tbl_Finance[Job Number],C63&amp;"",tbl_Finance[Ex GST],"&lt;&gt;"))</f>
        <v/>
      </c>
      <c r="H63" s="27">
        <f>IF(C63="","",SUMIFS(tbl_Finance[Ex GST],tbl_Finance[Job Number],C63&amp;""))</f>
        <v/>
      </c>
      <c r="I63" s="27">
        <f>IF(C63="","",SUMIFS(tbl_Finance[Ex GST],tbl_Finance[Job Number],C63&amp;"",tbl_Finance[Xero Invoice No],"&lt;&gt;"))</f>
        <v/>
      </c>
      <c r="J63" s="27">
        <f>IF(C63="","",H63-I63)</f>
        <v/>
      </c>
      <c r="K63" s="25">
        <f>IF(C63="","",IF(G63=0,"not invoiced yet",SUBSTITUTE(TRIM(IF(COUNTIFS(tbl_Finance[Job Number],C63&amp;"",tbl_Finance[Cost Centre],"ONSITE")&gt;0,"ONSITE ","")&amp;IF(COUNTIFS(tbl_Finance[Job Number],C63&amp;"",tbl_Finance[Cost Centre],"PRODUCTION")&gt;0,"PRODUCTION ","")&amp;IF(COUNTIFS(tbl_Finance[Job Number],C63&amp;"",tbl_Finance[Cost Centre],"VIDEO")&gt;0,"VIDEO ","")&amp;IF(COUNTIFS(tbl_Finance[Job Number],C63&amp;"",tbl_Finance[Cost Centre],"INTEGRATION")&gt;0,"INTEGRATION ","")&amp;IF(COUNTIFS(tbl_Finance[Job Number],C63&amp;"",tbl_Finance[Cost Centre],"CONSULTING")&gt;0,"CONSULTING ","")&amp;IF(COUNTIFS(tbl_Finance[Job Number],C63&amp;"",tbl_Finance[Cost Centre],"CTS")&gt;0,"CTS ",""))," ",", ")))</f>
        <v/>
      </c>
      <c r="L63" s="24" t="n"/>
      <c r="M63" s="24" t="n"/>
      <c r="N63" s="25">
        <f>IF(M63="","",HYPERLINK(IF(LEFT(M63,4)="http",M63,set_QwilrBase&amp;M63),"Open quote"))</f>
        <v/>
      </c>
      <c r="O63" s="69" t="n"/>
      <c r="P63" s="24" t="n"/>
      <c r="Q63" s="24" t="n"/>
    </row>
    <row r="64" ht="15" customHeight="1">
      <c r="A64" s="68">
        <f>IF(C64="","",IFERROR(IF(SUMPRODUCT(MAX((tbl_Finance[Job Number]=C64&amp;"")*(tbl_Finance[Xero Invoice No]&lt;&gt;"")*tbl_Finance[Date]))=0,"",SUMPRODUCT(MAX((tbl_Finance[Job Number]=C64&amp;"")*(tbl_Finance[Xero Invoice No]&lt;&gt;"")*tbl_Finance[Date]))),""))</f>
        <v/>
      </c>
      <c r="B64" s="25">
        <f>IF(C64="","",IF(COUNTIFS(tbl_Finance[Job Number],C64&amp;"",tbl_Finance[Xero Invoice No],"&lt;&gt;")=0,"",IFERROR(IF(COUNTIFS(tbl_Finance[Job Number],C64&amp;"",tbl_Finance[Xero Invoice No],LOOKUP(2,1/((tbl_Finance[Job Number]=C64&amp;"")*(tbl_Finance[Xero Invoice No]&lt;&gt;"")),tbl_Finance[Xero Invoice No]))=COUNTIFS(tbl_Finance[Job Number],C64&amp;"",tbl_Finance[Xero Invoice No],"&lt;&gt;"),LOOKUP(2,1/((tbl_Finance[Job Number]=C64&amp;"")*(tbl_Finance[Xero Invoice No]&lt;&gt;"")),tbl_Finance[Xero Invoice No]),LOOKUP(2,1/((tbl_Finance[Job Number]=C64&amp;"")*(tbl_Finance[Xero Invoice No]&lt;&gt;"")),tbl_Finance[Xero Invoice No])&amp;" +more"),"")))</f>
        <v/>
      </c>
      <c r="C64" s="24" t="n"/>
      <c r="D64" s="25">
        <f>IF(C64="","",IF(COUNTIF(lst_Jobs,C64&amp;"")&gt;0,"OK","CHECK"))</f>
        <v/>
      </c>
      <c r="E64" s="25">
        <f>IF(C64="","",IFERROR(INDEX(lst_JobName,MATCH(C64&amp;"",lst_Jobs,0)),""))</f>
        <v/>
      </c>
      <c r="F64" s="25">
        <f>IF(C64="","",IFERROR(INDEX(tbl_Finance[Client],MATCH(C64&amp;"",tbl_Finance[Job Number],0)),""))</f>
        <v/>
      </c>
      <c r="G64" s="28">
        <f>IF(C64="","",COUNTIFS(tbl_Finance[Job Number],C64&amp;"",tbl_Finance[Ex GST],"&lt;&gt;"))</f>
        <v/>
      </c>
      <c r="H64" s="27">
        <f>IF(C64="","",SUMIFS(tbl_Finance[Ex GST],tbl_Finance[Job Number],C64&amp;""))</f>
        <v/>
      </c>
      <c r="I64" s="27">
        <f>IF(C64="","",SUMIFS(tbl_Finance[Ex GST],tbl_Finance[Job Number],C64&amp;"",tbl_Finance[Xero Invoice No],"&lt;&gt;"))</f>
        <v/>
      </c>
      <c r="J64" s="27">
        <f>IF(C64="","",H64-I64)</f>
        <v/>
      </c>
      <c r="K64" s="25">
        <f>IF(C64="","",IF(G64=0,"not invoiced yet",SUBSTITUTE(TRIM(IF(COUNTIFS(tbl_Finance[Job Number],C64&amp;"",tbl_Finance[Cost Centre],"ONSITE")&gt;0,"ONSITE ","")&amp;IF(COUNTIFS(tbl_Finance[Job Number],C64&amp;"",tbl_Finance[Cost Centre],"PRODUCTION")&gt;0,"PRODUCTION ","")&amp;IF(COUNTIFS(tbl_Finance[Job Number],C64&amp;"",tbl_Finance[Cost Centre],"VIDEO")&gt;0,"VIDEO ","")&amp;IF(COUNTIFS(tbl_Finance[Job Number],C64&amp;"",tbl_Finance[Cost Centre],"INTEGRATION")&gt;0,"INTEGRATION ","")&amp;IF(COUNTIFS(tbl_Finance[Job Number],C64&amp;"",tbl_Finance[Cost Centre],"CONSULTING")&gt;0,"CONSULTING ","")&amp;IF(COUNTIFS(tbl_Finance[Job Number],C64&amp;"",tbl_Finance[Cost Centre],"CTS")&gt;0,"CTS ",""))," ",", ")))</f>
        <v/>
      </c>
      <c r="L64" s="24" t="n"/>
      <c r="M64" s="24" t="n"/>
      <c r="N64" s="25">
        <f>IF(M64="","",HYPERLINK(IF(LEFT(M64,4)="http",M64,set_QwilrBase&amp;M64),"Open quote"))</f>
        <v/>
      </c>
      <c r="O64" s="69" t="n"/>
      <c r="P64" s="24" t="n"/>
      <c r="Q64" s="24" t="n"/>
    </row>
    <row r="65" ht="15" customHeight="1">
      <c r="A65" s="68">
        <f>IF(C65="","",IFERROR(IF(SUMPRODUCT(MAX((tbl_Finance[Job Number]=C65&amp;"")*(tbl_Finance[Xero Invoice No]&lt;&gt;"")*tbl_Finance[Date]))=0,"",SUMPRODUCT(MAX((tbl_Finance[Job Number]=C65&amp;"")*(tbl_Finance[Xero Invoice No]&lt;&gt;"")*tbl_Finance[Date]))),""))</f>
        <v/>
      </c>
      <c r="B65" s="25">
        <f>IF(C65="","",IF(COUNTIFS(tbl_Finance[Job Number],C65&amp;"",tbl_Finance[Xero Invoice No],"&lt;&gt;")=0,"",IFERROR(IF(COUNTIFS(tbl_Finance[Job Number],C65&amp;"",tbl_Finance[Xero Invoice No],LOOKUP(2,1/((tbl_Finance[Job Number]=C65&amp;"")*(tbl_Finance[Xero Invoice No]&lt;&gt;"")),tbl_Finance[Xero Invoice No]))=COUNTIFS(tbl_Finance[Job Number],C65&amp;"",tbl_Finance[Xero Invoice No],"&lt;&gt;"),LOOKUP(2,1/((tbl_Finance[Job Number]=C65&amp;"")*(tbl_Finance[Xero Invoice No]&lt;&gt;"")),tbl_Finance[Xero Invoice No]),LOOKUP(2,1/((tbl_Finance[Job Number]=C65&amp;"")*(tbl_Finance[Xero Invoice No]&lt;&gt;"")),tbl_Finance[Xero Invoice No])&amp;" +more"),"")))</f>
        <v/>
      </c>
      <c r="C65" s="24" t="n"/>
      <c r="D65" s="25">
        <f>IF(C65="","",IF(COUNTIF(lst_Jobs,C65&amp;"")&gt;0,"OK","CHECK"))</f>
        <v/>
      </c>
      <c r="E65" s="25">
        <f>IF(C65="","",IFERROR(INDEX(lst_JobName,MATCH(C65&amp;"",lst_Jobs,0)),""))</f>
        <v/>
      </c>
      <c r="F65" s="25">
        <f>IF(C65="","",IFERROR(INDEX(tbl_Finance[Client],MATCH(C65&amp;"",tbl_Finance[Job Number],0)),""))</f>
        <v/>
      </c>
      <c r="G65" s="28">
        <f>IF(C65="","",COUNTIFS(tbl_Finance[Job Number],C65&amp;"",tbl_Finance[Ex GST],"&lt;&gt;"))</f>
        <v/>
      </c>
      <c r="H65" s="27">
        <f>IF(C65="","",SUMIFS(tbl_Finance[Ex GST],tbl_Finance[Job Number],C65&amp;""))</f>
        <v/>
      </c>
      <c r="I65" s="27">
        <f>IF(C65="","",SUMIFS(tbl_Finance[Ex GST],tbl_Finance[Job Number],C65&amp;"",tbl_Finance[Xero Invoice No],"&lt;&gt;"))</f>
        <v/>
      </c>
      <c r="J65" s="27">
        <f>IF(C65="","",H65-I65)</f>
        <v/>
      </c>
      <c r="K65" s="25">
        <f>IF(C65="","",IF(G65=0,"not invoiced yet",SUBSTITUTE(TRIM(IF(COUNTIFS(tbl_Finance[Job Number],C65&amp;"",tbl_Finance[Cost Centre],"ONSITE")&gt;0,"ONSITE ","")&amp;IF(COUNTIFS(tbl_Finance[Job Number],C65&amp;"",tbl_Finance[Cost Centre],"PRODUCTION")&gt;0,"PRODUCTION ","")&amp;IF(COUNTIFS(tbl_Finance[Job Number],C65&amp;"",tbl_Finance[Cost Centre],"VIDEO")&gt;0,"VIDEO ","")&amp;IF(COUNTIFS(tbl_Finance[Job Number],C65&amp;"",tbl_Finance[Cost Centre],"INTEGRATION")&gt;0,"INTEGRATION ","")&amp;IF(COUNTIFS(tbl_Finance[Job Number],C65&amp;"",tbl_Finance[Cost Centre],"CONSULTING")&gt;0,"CONSULTING ","")&amp;IF(COUNTIFS(tbl_Finance[Job Number],C65&amp;"",tbl_Finance[Cost Centre],"CTS")&gt;0,"CTS ",""))," ",", ")))</f>
        <v/>
      </c>
      <c r="L65" s="24" t="n"/>
      <c r="M65" s="24" t="n"/>
      <c r="N65" s="25">
        <f>IF(M65="","",HYPERLINK(IF(LEFT(M65,4)="http",M65,set_QwilrBase&amp;M65),"Open quote"))</f>
        <v/>
      </c>
      <c r="O65" s="69" t="n"/>
      <c r="P65" s="24" t="n"/>
      <c r="Q65" s="24" t="n"/>
    </row>
    <row r="66" ht="15" customHeight="1">
      <c r="A66" s="68">
        <f>IF(C66="","",IFERROR(IF(SUMPRODUCT(MAX((tbl_Finance[Job Number]=C66&amp;"")*(tbl_Finance[Xero Invoice No]&lt;&gt;"")*tbl_Finance[Date]))=0,"",SUMPRODUCT(MAX((tbl_Finance[Job Number]=C66&amp;"")*(tbl_Finance[Xero Invoice No]&lt;&gt;"")*tbl_Finance[Date]))),""))</f>
        <v/>
      </c>
      <c r="B66" s="25">
        <f>IF(C66="","",IF(COUNTIFS(tbl_Finance[Job Number],C66&amp;"",tbl_Finance[Xero Invoice No],"&lt;&gt;")=0,"",IFERROR(IF(COUNTIFS(tbl_Finance[Job Number],C66&amp;"",tbl_Finance[Xero Invoice No],LOOKUP(2,1/((tbl_Finance[Job Number]=C66&amp;"")*(tbl_Finance[Xero Invoice No]&lt;&gt;"")),tbl_Finance[Xero Invoice No]))=COUNTIFS(tbl_Finance[Job Number],C66&amp;"",tbl_Finance[Xero Invoice No],"&lt;&gt;"),LOOKUP(2,1/((tbl_Finance[Job Number]=C66&amp;"")*(tbl_Finance[Xero Invoice No]&lt;&gt;"")),tbl_Finance[Xero Invoice No]),LOOKUP(2,1/((tbl_Finance[Job Number]=C66&amp;"")*(tbl_Finance[Xero Invoice No]&lt;&gt;"")),tbl_Finance[Xero Invoice No])&amp;" +more"),"")))</f>
        <v/>
      </c>
      <c r="C66" s="24" t="n"/>
      <c r="D66" s="25">
        <f>IF(C66="","",IF(COUNTIF(lst_Jobs,C66&amp;"")&gt;0,"OK","CHECK"))</f>
        <v/>
      </c>
      <c r="E66" s="25">
        <f>IF(C66="","",IFERROR(INDEX(lst_JobName,MATCH(C66&amp;"",lst_Jobs,0)),""))</f>
        <v/>
      </c>
      <c r="F66" s="25">
        <f>IF(C66="","",IFERROR(INDEX(tbl_Finance[Client],MATCH(C66&amp;"",tbl_Finance[Job Number],0)),""))</f>
        <v/>
      </c>
      <c r="G66" s="28">
        <f>IF(C66="","",COUNTIFS(tbl_Finance[Job Number],C66&amp;"",tbl_Finance[Ex GST],"&lt;&gt;"))</f>
        <v/>
      </c>
      <c r="H66" s="27">
        <f>IF(C66="","",SUMIFS(tbl_Finance[Ex GST],tbl_Finance[Job Number],C66&amp;""))</f>
        <v/>
      </c>
      <c r="I66" s="27">
        <f>IF(C66="","",SUMIFS(tbl_Finance[Ex GST],tbl_Finance[Job Number],C66&amp;"",tbl_Finance[Xero Invoice No],"&lt;&gt;"))</f>
        <v/>
      </c>
      <c r="J66" s="27">
        <f>IF(C66="","",H66-I66)</f>
        <v/>
      </c>
      <c r="K66" s="25">
        <f>IF(C66="","",IF(G66=0,"not invoiced yet",SUBSTITUTE(TRIM(IF(COUNTIFS(tbl_Finance[Job Number],C66&amp;"",tbl_Finance[Cost Centre],"ONSITE")&gt;0,"ONSITE ","")&amp;IF(COUNTIFS(tbl_Finance[Job Number],C66&amp;"",tbl_Finance[Cost Centre],"PRODUCTION")&gt;0,"PRODUCTION ","")&amp;IF(COUNTIFS(tbl_Finance[Job Number],C66&amp;"",tbl_Finance[Cost Centre],"VIDEO")&gt;0,"VIDEO ","")&amp;IF(COUNTIFS(tbl_Finance[Job Number],C66&amp;"",tbl_Finance[Cost Centre],"INTEGRATION")&gt;0,"INTEGRATION ","")&amp;IF(COUNTIFS(tbl_Finance[Job Number],C66&amp;"",tbl_Finance[Cost Centre],"CONSULTING")&gt;0,"CONSULTING ","")&amp;IF(COUNTIFS(tbl_Finance[Job Number],C66&amp;"",tbl_Finance[Cost Centre],"CTS")&gt;0,"CTS ",""))," ",", ")))</f>
        <v/>
      </c>
      <c r="L66" s="24" t="n"/>
      <c r="M66" s="24" t="n"/>
      <c r="N66" s="25">
        <f>IF(M66="","",HYPERLINK(IF(LEFT(M66,4)="http",M66,set_QwilrBase&amp;M66),"Open quote"))</f>
        <v/>
      </c>
      <c r="O66" s="69" t="n"/>
      <c r="P66" s="24" t="n"/>
      <c r="Q66" s="24" t="n"/>
    </row>
    <row r="67" ht="15" customHeight="1">
      <c r="A67" s="68">
        <f>IF(C67="","",IFERROR(IF(SUMPRODUCT(MAX((tbl_Finance[Job Number]=C67&amp;"")*(tbl_Finance[Xero Invoice No]&lt;&gt;"")*tbl_Finance[Date]))=0,"",SUMPRODUCT(MAX((tbl_Finance[Job Number]=C67&amp;"")*(tbl_Finance[Xero Invoice No]&lt;&gt;"")*tbl_Finance[Date]))),""))</f>
        <v/>
      </c>
      <c r="B67" s="25">
        <f>IF(C67="","",IF(COUNTIFS(tbl_Finance[Job Number],C67&amp;"",tbl_Finance[Xero Invoice No],"&lt;&gt;")=0,"",IFERROR(IF(COUNTIFS(tbl_Finance[Job Number],C67&amp;"",tbl_Finance[Xero Invoice No],LOOKUP(2,1/((tbl_Finance[Job Number]=C67&amp;"")*(tbl_Finance[Xero Invoice No]&lt;&gt;"")),tbl_Finance[Xero Invoice No]))=COUNTIFS(tbl_Finance[Job Number],C67&amp;"",tbl_Finance[Xero Invoice No],"&lt;&gt;"),LOOKUP(2,1/((tbl_Finance[Job Number]=C67&amp;"")*(tbl_Finance[Xero Invoice No]&lt;&gt;"")),tbl_Finance[Xero Invoice No]),LOOKUP(2,1/((tbl_Finance[Job Number]=C67&amp;"")*(tbl_Finance[Xero Invoice No]&lt;&gt;"")),tbl_Finance[Xero Invoice No])&amp;" +more"),"")))</f>
        <v/>
      </c>
      <c r="C67" s="24" t="n"/>
      <c r="D67" s="25">
        <f>IF(C67="","",IF(COUNTIF(lst_Jobs,C67&amp;"")&gt;0,"OK","CHECK"))</f>
        <v/>
      </c>
      <c r="E67" s="25">
        <f>IF(C67="","",IFERROR(INDEX(lst_JobName,MATCH(C67&amp;"",lst_Jobs,0)),""))</f>
        <v/>
      </c>
      <c r="F67" s="25">
        <f>IF(C67="","",IFERROR(INDEX(tbl_Finance[Client],MATCH(C67&amp;"",tbl_Finance[Job Number],0)),""))</f>
        <v/>
      </c>
      <c r="G67" s="28">
        <f>IF(C67="","",COUNTIFS(tbl_Finance[Job Number],C67&amp;"",tbl_Finance[Ex GST],"&lt;&gt;"))</f>
        <v/>
      </c>
      <c r="H67" s="27">
        <f>IF(C67="","",SUMIFS(tbl_Finance[Ex GST],tbl_Finance[Job Number],C67&amp;""))</f>
        <v/>
      </c>
      <c r="I67" s="27">
        <f>IF(C67="","",SUMIFS(tbl_Finance[Ex GST],tbl_Finance[Job Number],C67&amp;"",tbl_Finance[Xero Invoice No],"&lt;&gt;"))</f>
        <v/>
      </c>
      <c r="J67" s="27">
        <f>IF(C67="","",H67-I67)</f>
        <v/>
      </c>
      <c r="K67" s="25">
        <f>IF(C67="","",IF(G67=0,"not invoiced yet",SUBSTITUTE(TRIM(IF(COUNTIFS(tbl_Finance[Job Number],C67&amp;"",tbl_Finance[Cost Centre],"ONSITE")&gt;0,"ONSITE ","")&amp;IF(COUNTIFS(tbl_Finance[Job Number],C67&amp;"",tbl_Finance[Cost Centre],"PRODUCTION")&gt;0,"PRODUCTION ","")&amp;IF(COUNTIFS(tbl_Finance[Job Number],C67&amp;"",tbl_Finance[Cost Centre],"VIDEO")&gt;0,"VIDEO ","")&amp;IF(COUNTIFS(tbl_Finance[Job Number],C67&amp;"",tbl_Finance[Cost Centre],"INTEGRATION")&gt;0,"INTEGRATION ","")&amp;IF(COUNTIFS(tbl_Finance[Job Number],C67&amp;"",tbl_Finance[Cost Centre],"CONSULTING")&gt;0,"CONSULTING ","")&amp;IF(COUNTIFS(tbl_Finance[Job Number],C67&amp;"",tbl_Finance[Cost Centre],"CTS")&gt;0,"CTS ",""))," ",", ")))</f>
        <v/>
      </c>
      <c r="L67" s="24" t="n"/>
      <c r="M67" s="24" t="n"/>
      <c r="N67" s="25">
        <f>IF(M67="","",HYPERLINK(IF(LEFT(M67,4)="http",M67,set_QwilrBase&amp;M67),"Open quote"))</f>
        <v/>
      </c>
      <c r="O67" s="69" t="n"/>
      <c r="P67" s="24" t="n"/>
      <c r="Q67" s="24" t="n"/>
    </row>
    <row r="68" ht="15" customHeight="1">
      <c r="A68" s="68">
        <f>IF(C68="","",IFERROR(IF(SUMPRODUCT(MAX((tbl_Finance[Job Number]=C68&amp;"")*(tbl_Finance[Xero Invoice No]&lt;&gt;"")*tbl_Finance[Date]))=0,"",SUMPRODUCT(MAX((tbl_Finance[Job Number]=C68&amp;"")*(tbl_Finance[Xero Invoice No]&lt;&gt;"")*tbl_Finance[Date]))),""))</f>
        <v/>
      </c>
      <c r="B68" s="25">
        <f>IF(C68="","",IF(COUNTIFS(tbl_Finance[Job Number],C68&amp;"",tbl_Finance[Xero Invoice No],"&lt;&gt;")=0,"",IFERROR(IF(COUNTIFS(tbl_Finance[Job Number],C68&amp;"",tbl_Finance[Xero Invoice No],LOOKUP(2,1/((tbl_Finance[Job Number]=C68&amp;"")*(tbl_Finance[Xero Invoice No]&lt;&gt;"")),tbl_Finance[Xero Invoice No]))=COUNTIFS(tbl_Finance[Job Number],C68&amp;"",tbl_Finance[Xero Invoice No],"&lt;&gt;"),LOOKUP(2,1/((tbl_Finance[Job Number]=C68&amp;"")*(tbl_Finance[Xero Invoice No]&lt;&gt;"")),tbl_Finance[Xero Invoice No]),LOOKUP(2,1/((tbl_Finance[Job Number]=C68&amp;"")*(tbl_Finance[Xero Invoice No]&lt;&gt;"")),tbl_Finance[Xero Invoice No])&amp;" +more"),"")))</f>
        <v/>
      </c>
      <c r="C68" s="24" t="n"/>
      <c r="D68" s="25">
        <f>IF(C68="","",IF(COUNTIF(lst_Jobs,C68&amp;"")&gt;0,"OK","CHECK"))</f>
        <v/>
      </c>
      <c r="E68" s="25">
        <f>IF(C68="","",IFERROR(INDEX(lst_JobName,MATCH(C68&amp;"",lst_Jobs,0)),""))</f>
        <v/>
      </c>
      <c r="F68" s="25">
        <f>IF(C68="","",IFERROR(INDEX(tbl_Finance[Client],MATCH(C68&amp;"",tbl_Finance[Job Number],0)),""))</f>
        <v/>
      </c>
      <c r="G68" s="28">
        <f>IF(C68="","",COUNTIFS(tbl_Finance[Job Number],C68&amp;"",tbl_Finance[Ex GST],"&lt;&gt;"))</f>
        <v/>
      </c>
      <c r="H68" s="27">
        <f>IF(C68="","",SUMIFS(tbl_Finance[Ex GST],tbl_Finance[Job Number],C68&amp;""))</f>
        <v/>
      </c>
      <c r="I68" s="27">
        <f>IF(C68="","",SUMIFS(tbl_Finance[Ex GST],tbl_Finance[Job Number],C68&amp;"",tbl_Finance[Xero Invoice No],"&lt;&gt;"))</f>
        <v/>
      </c>
      <c r="J68" s="27">
        <f>IF(C68="","",H68-I68)</f>
        <v/>
      </c>
      <c r="K68" s="25">
        <f>IF(C68="","",IF(G68=0,"not invoiced yet",SUBSTITUTE(TRIM(IF(COUNTIFS(tbl_Finance[Job Number],C68&amp;"",tbl_Finance[Cost Centre],"ONSITE")&gt;0,"ONSITE ","")&amp;IF(COUNTIFS(tbl_Finance[Job Number],C68&amp;"",tbl_Finance[Cost Centre],"PRODUCTION")&gt;0,"PRODUCTION ","")&amp;IF(COUNTIFS(tbl_Finance[Job Number],C68&amp;"",tbl_Finance[Cost Centre],"VIDEO")&gt;0,"VIDEO ","")&amp;IF(COUNTIFS(tbl_Finance[Job Number],C68&amp;"",tbl_Finance[Cost Centre],"INTEGRATION")&gt;0,"INTEGRATION ","")&amp;IF(COUNTIFS(tbl_Finance[Job Number],C68&amp;"",tbl_Finance[Cost Centre],"CONSULTING")&gt;0,"CONSULTING ","")&amp;IF(COUNTIFS(tbl_Finance[Job Number],C68&amp;"",tbl_Finance[Cost Centre],"CTS")&gt;0,"CTS ",""))," ",", ")))</f>
        <v/>
      </c>
      <c r="L68" s="24" t="n"/>
      <c r="M68" s="24" t="n"/>
      <c r="N68" s="25">
        <f>IF(M68="","",HYPERLINK(IF(LEFT(M68,4)="http",M68,set_QwilrBase&amp;M68),"Open quote"))</f>
        <v/>
      </c>
      <c r="O68" s="69" t="n"/>
      <c r="P68" s="24" t="n"/>
      <c r="Q68" s="24" t="n"/>
    </row>
    <row r="69" ht="15" customHeight="1">
      <c r="A69" s="68">
        <f>IF(C69="","",IFERROR(IF(SUMPRODUCT(MAX((tbl_Finance[Job Number]=C69&amp;"")*(tbl_Finance[Xero Invoice No]&lt;&gt;"")*tbl_Finance[Date]))=0,"",SUMPRODUCT(MAX((tbl_Finance[Job Number]=C69&amp;"")*(tbl_Finance[Xero Invoice No]&lt;&gt;"")*tbl_Finance[Date]))),""))</f>
        <v/>
      </c>
      <c r="B69" s="25">
        <f>IF(C69="","",IF(COUNTIFS(tbl_Finance[Job Number],C69&amp;"",tbl_Finance[Xero Invoice No],"&lt;&gt;")=0,"",IFERROR(IF(COUNTIFS(tbl_Finance[Job Number],C69&amp;"",tbl_Finance[Xero Invoice No],LOOKUP(2,1/((tbl_Finance[Job Number]=C69&amp;"")*(tbl_Finance[Xero Invoice No]&lt;&gt;"")),tbl_Finance[Xero Invoice No]))=COUNTIFS(tbl_Finance[Job Number],C69&amp;"",tbl_Finance[Xero Invoice No],"&lt;&gt;"),LOOKUP(2,1/((tbl_Finance[Job Number]=C69&amp;"")*(tbl_Finance[Xero Invoice No]&lt;&gt;"")),tbl_Finance[Xero Invoice No]),LOOKUP(2,1/((tbl_Finance[Job Number]=C69&amp;"")*(tbl_Finance[Xero Invoice No]&lt;&gt;"")),tbl_Finance[Xero Invoice No])&amp;" +more"),"")))</f>
        <v/>
      </c>
      <c r="C69" s="24" t="n"/>
      <c r="D69" s="25">
        <f>IF(C69="","",IF(COUNTIF(lst_Jobs,C69&amp;"")&gt;0,"OK","CHECK"))</f>
        <v/>
      </c>
      <c r="E69" s="25">
        <f>IF(C69="","",IFERROR(INDEX(lst_JobName,MATCH(C69&amp;"",lst_Jobs,0)),""))</f>
        <v/>
      </c>
      <c r="F69" s="25">
        <f>IF(C69="","",IFERROR(INDEX(tbl_Finance[Client],MATCH(C69&amp;"",tbl_Finance[Job Number],0)),""))</f>
        <v/>
      </c>
      <c r="G69" s="28">
        <f>IF(C69="","",COUNTIFS(tbl_Finance[Job Number],C69&amp;"",tbl_Finance[Ex GST],"&lt;&gt;"))</f>
        <v/>
      </c>
      <c r="H69" s="27">
        <f>IF(C69="","",SUMIFS(tbl_Finance[Ex GST],tbl_Finance[Job Number],C69&amp;""))</f>
        <v/>
      </c>
      <c r="I69" s="27">
        <f>IF(C69="","",SUMIFS(tbl_Finance[Ex GST],tbl_Finance[Job Number],C69&amp;"",tbl_Finance[Xero Invoice No],"&lt;&gt;"))</f>
        <v/>
      </c>
      <c r="J69" s="27">
        <f>IF(C69="","",H69-I69)</f>
        <v/>
      </c>
      <c r="K69" s="25">
        <f>IF(C69="","",IF(G69=0,"not invoiced yet",SUBSTITUTE(TRIM(IF(COUNTIFS(tbl_Finance[Job Number],C69&amp;"",tbl_Finance[Cost Centre],"ONSITE")&gt;0,"ONSITE ","")&amp;IF(COUNTIFS(tbl_Finance[Job Number],C69&amp;"",tbl_Finance[Cost Centre],"PRODUCTION")&gt;0,"PRODUCTION ","")&amp;IF(COUNTIFS(tbl_Finance[Job Number],C69&amp;"",tbl_Finance[Cost Centre],"VIDEO")&gt;0,"VIDEO ","")&amp;IF(COUNTIFS(tbl_Finance[Job Number],C69&amp;"",tbl_Finance[Cost Centre],"INTEGRATION")&gt;0,"INTEGRATION ","")&amp;IF(COUNTIFS(tbl_Finance[Job Number],C69&amp;"",tbl_Finance[Cost Centre],"CONSULTING")&gt;0,"CONSULTING ","")&amp;IF(COUNTIFS(tbl_Finance[Job Number],C69&amp;"",tbl_Finance[Cost Centre],"CTS")&gt;0,"CTS ",""))," ",", ")))</f>
        <v/>
      </c>
      <c r="L69" s="24" t="n"/>
      <c r="M69" s="24" t="n"/>
      <c r="N69" s="25">
        <f>IF(M69="","",HYPERLINK(IF(LEFT(M69,4)="http",M69,set_QwilrBase&amp;M69),"Open quote"))</f>
        <v/>
      </c>
      <c r="O69" s="69" t="n"/>
      <c r="P69" s="24" t="n"/>
      <c r="Q69" s="24" t="n"/>
    </row>
    <row r="70" ht="15" customHeight="1">
      <c r="A70" s="68">
        <f>IF(C70="","",IFERROR(IF(SUMPRODUCT(MAX((tbl_Finance[Job Number]=C70&amp;"")*(tbl_Finance[Xero Invoice No]&lt;&gt;"")*tbl_Finance[Date]))=0,"",SUMPRODUCT(MAX((tbl_Finance[Job Number]=C70&amp;"")*(tbl_Finance[Xero Invoice No]&lt;&gt;"")*tbl_Finance[Date]))),""))</f>
        <v/>
      </c>
      <c r="B70" s="25">
        <f>IF(C70="","",IF(COUNTIFS(tbl_Finance[Job Number],C70&amp;"",tbl_Finance[Xero Invoice No],"&lt;&gt;")=0,"",IFERROR(IF(COUNTIFS(tbl_Finance[Job Number],C70&amp;"",tbl_Finance[Xero Invoice No],LOOKUP(2,1/((tbl_Finance[Job Number]=C70&amp;"")*(tbl_Finance[Xero Invoice No]&lt;&gt;"")),tbl_Finance[Xero Invoice No]))=COUNTIFS(tbl_Finance[Job Number],C70&amp;"",tbl_Finance[Xero Invoice No],"&lt;&gt;"),LOOKUP(2,1/((tbl_Finance[Job Number]=C70&amp;"")*(tbl_Finance[Xero Invoice No]&lt;&gt;"")),tbl_Finance[Xero Invoice No]),LOOKUP(2,1/((tbl_Finance[Job Number]=C70&amp;"")*(tbl_Finance[Xero Invoice No]&lt;&gt;"")),tbl_Finance[Xero Invoice No])&amp;" +more"),"")))</f>
        <v/>
      </c>
      <c r="C70" s="24" t="n"/>
      <c r="D70" s="25">
        <f>IF(C70="","",IF(COUNTIF(lst_Jobs,C70&amp;"")&gt;0,"OK","CHECK"))</f>
        <v/>
      </c>
      <c r="E70" s="25">
        <f>IF(C70="","",IFERROR(INDEX(lst_JobName,MATCH(C70&amp;"",lst_Jobs,0)),""))</f>
        <v/>
      </c>
      <c r="F70" s="25">
        <f>IF(C70="","",IFERROR(INDEX(tbl_Finance[Client],MATCH(C70&amp;"",tbl_Finance[Job Number],0)),""))</f>
        <v/>
      </c>
      <c r="G70" s="28">
        <f>IF(C70="","",COUNTIFS(tbl_Finance[Job Number],C70&amp;"",tbl_Finance[Ex GST],"&lt;&gt;"))</f>
        <v/>
      </c>
      <c r="H70" s="27">
        <f>IF(C70="","",SUMIFS(tbl_Finance[Ex GST],tbl_Finance[Job Number],C70&amp;""))</f>
        <v/>
      </c>
      <c r="I70" s="27">
        <f>IF(C70="","",SUMIFS(tbl_Finance[Ex GST],tbl_Finance[Job Number],C70&amp;"",tbl_Finance[Xero Invoice No],"&lt;&gt;"))</f>
        <v/>
      </c>
      <c r="J70" s="27">
        <f>IF(C70="","",H70-I70)</f>
        <v/>
      </c>
      <c r="K70" s="25">
        <f>IF(C70="","",IF(G70=0,"not invoiced yet",SUBSTITUTE(TRIM(IF(COUNTIFS(tbl_Finance[Job Number],C70&amp;"",tbl_Finance[Cost Centre],"ONSITE")&gt;0,"ONSITE ","")&amp;IF(COUNTIFS(tbl_Finance[Job Number],C70&amp;"",tbl_Finance[Cost Centre],"PRODUCTION")&gt;0,"PRODUCTION ","")&amp;IF(COUNTIFS(tbl_Finance[Job Number],C70&amp;"",tbl_Finance[Cost Centre],"VIDEO")&gt;0,"VIDEO ","")&amp;IF(COUNTIFS(tbl_Finance[Job Number],C70&amp;"",tbl_Finance[Cost Centre],"INTEGRATION")&gt;0,"INTEGRATION ","")&amp;IF(COUNTIFS(tbl_Finance[Job Number],C70&amp;"",tbl_Finance[Cost Centre],"CONSULTING")&gt;0,"CONSULTING ","")&amp;IF(COUNTIFS(tbl_Finance[Job Number],C70&amp;"",tbl_Finance[Cost Centre],"CTS")&gt;0,"CTS ",""))," ",", ")))</f>
        <v/>
      </c>
      <c r="L70" s="24" t="n"/>
      <c r="M70" s="24" t="n"/>
      <c r="N70" s="25">
        <f>IF(M70="","",HYPERLINK(IF(LEFT(M70,4)="http",M70,set_QwilrBase&amp;M70),"Open quote"))</f>
        <v/>
      </c>
      <c r="O70" s="69" t="n"/>
      <c r="P70" s="24" t="n"/>
      <c r="Q70" s="24" t="n"/>
    </row>
    <row r="71" ht="15" customHeight="1">
      <c r="A71" s="68">
        <f>IF(C71="","",IFERROR(IF(SUMPRODUCT(MAX((tbl_Finance[Job Number]=C71&amp;"")*(tbl_Finance[Xero Invoice No]&lt;&gt;"")*tbl_Finance[Date]))=0,"",SUMPRODUCT(MAX((tbl_Finance[Job Number]=C71&amp;"")*(tbl_Finance[Xero Invoice No]&lt;&gt;"")*tbl_Finance[Date]))),""))</f>
        <v/>
      </c>
      <c r="B71" s="25">
        <f>IF(C71="","",IF(COUNTIFS(tbl_Finance[Job Number],C71&amp;"",tbl_Finance[Xero Invoice No],"&lt;&gt;")=0,"",IFERROR(IF(COUNTIFS(tbl_Finance[Job Number],C71&amp;"",tbl_Finance[Xero Invoice No],LOOKUP(2,1/((tbl_Finance[Job Number]=C71&amp;"")*(tbl_Finance[Xero Invoice No]&lt;&gt;"")),tbl_Finance[Xero Invoice No]))=COUNTIFS(tbl_Finance[Job Number],C71&amp;"",tbl_Finance[Xero Invoice No],"&lt;&gt;"),LOOKUP(2,1/((tbl_Finance[Job Number]=C71&amp;"")*(tbl_Finance[Xero Invoice No]&lt;&gt;"")),tbl_Finance[Xero Invoice No]),LOOKUP(2,1/((tbl_Finance[Job Number]=C71&amp;"")*(tbl_Finance[Xero Invoice No]&lt;&gt;"")),tbl_Finance[Xero Invoice No])&amp;" +more"),"")))</f>
        <v/>
      </c>
      <c r="C71" s="24" t="n"/>
      <c r="D71" s="25">
        <f>IF(C71="","",IF(COUNTIF(lst_Jobs,C71&amp;"")&gt;0,"OK","CHECK"))</f>
        <v/>
      </c>
      <c r="E71" s="25">
        <f>IF(C71="","",IFERROR(INDEX(lst_JobName,MATCH(C71&amp;"",lst_Jobs,0)),""))</f>
        <v/>
      </c>
      <c r="F71" s="25">
        <f>IF(C71="","",IFERROR(INDEX(tbl_Finance[Client],MATCH(C71&amp;"",tbl_Finance[Job Number],0)),""))</f>
        <v/>
      </c>
      <c r="G71" s="28">
        <f>IF(C71="","",COUNTIFS(tbl_Finance[Job Number],C71&amp;"",tbl_Finance[Ex GST],"&lt;&gt;"))</f>
        <v/>
      </c>
      <c r="H71" s="27">
        <f>IF(C71="","",SUMIFS(tbl_Finance[Ex GST],tbl_Finance[Job Number],C71&amp;""))</f>
        <v/>
      </c>
      <c r="I71" s="27">
        <f>IF(C71="","",SUMIFS(tbl_Finance[Ex GST],tbl_Finance[Job Number],C71&amp;"",tbl_Finance[Xero Invoice No],"&lt;&gt;"))</f>
        <v/>
      </c>
      <c r="J71" s="27">
        <f>IF(C71="","",H71-I71)</f>
        <v/>
      </c>
      <c r="K71" s="25">
        <f>IF(C71="","",IF(G71=0,"not invoiced yet",SUBSTITUTE(TRIM(IF(COUNTIFS(tbl_Finance[Job Number],C71&amp;"",tbl_Finance[Cost Centre],"ONSITE")&gt;0,"ONSITE ","")&amp;IF(COUNTIFS(tbl_Finance[Job Number],C71&amp;"",tbl_Finance[Cost Centre],"PRODUCTION")&gt;0,"PRODUCTION ","")&amp;IF(COUNTIFS(tbl_Finance[Job Number],C71&amp;"",tbl_Finance[Cost Centre],"VIDEO")&gt;0,"VIDEO ","")&amp;IF(COUNTIFS(tbl_Finance[Job Number],C71&amp;"",tbl_Finance[Cost Centre],"INTEGRATION")&gt;0,"INTEGRATION ","")&amp;IF(COUNTIFS(tbl_Finance[Job Number],C71&amp;"",tbl_Finance[Cost Centre],"CONSULTING")&gt;0,"CONSULTING ","")&amp;IF(COUNTIFS(tbl_Finance[Job Number],C71&amp;"",tbl_Finance[Cost Centre],"CTS")&gt;0,"CTS ",""))," ",", ")))</f>
        <v/>
      </c>
      <c r="L71" s="24" t="n"/>
      <c r="M71" s="24" t="n"/>
      <c r="N71" s="25">
        <f>IF(M71="","",HYPERLINK(IF(LEFT(M71,4)="http",M71,set_QwilrBase&amp;M71),"Open quote"))</f>
        <v/>
      </c>
      <c r="O71" s="69" t="n"/>
      <c r="P71" s="24" t="n"/>
      <c r="Q71" s="24" t="n"/>
    </row>
    <row r="72" ht="15" customHeight="1">
      <c r="A72" s="68">
        <f>IF(C72="","",IFERROR(IF(SUMPRODUCT(MAX((tbl_Finance[Job Number]=C72&amp;"")*(tbl_Finance[Xero Invoice No]&lt;&gt;"")*tbl_Finance[Date]))=0,"",SUMPRODUCT(MAX((tbl_Finance[Job Number]=C72&amp;"")*(tbl_Finance[Xero Invoice No]&lt;&gt;"")*tbl_Finance[Date]))),""))</f>
        <v/>
      </c>
      <c r="B72" s="25">
        <f>IF(C72="","",IF(COUNTIFS(tbl_Finance[Job Number],C72&amp;"",tbl_Finance[Xero Invoice No],"&lt;&gt;")=0,"",IFERROR(IF(COUNTIFS(tbl_Finance[Job Number],C72&amp;"",tbl_Finance[Xero Invoice No],LOOKUP(2,1/((tbl_Finance[Job Number]=C72&amp;"")*(tbl_Finance[Xero Invoice No]&lt;&gt;"")),tbl_Finance[Xero Invoice No]))=COUNTIFS(tbl_Finance[Job Number],C72&amp;"",tbl_Finance[Xero Invoice No],"&lt;&gt;"),LOOKUP(2,1/((tbl_Finance[Job Number]=C72&amp;"")*(tbl_Finance[Xero Invoice No]&lt;&gt;"")),tbl_Finance[Xero Invoice No]),LOOKUP(2,1/((tbl_Finance[Job Number]=C72&amp;"")*(tbl_Finance[Xero Invoice No]&lt;&gt;"")),tbl_Finance[Xero Invoice No])&amp;" +more"),"")))</f>
        <v/>
      </c>
      <c r="C72" s="24" t="n"/>
      <c r="D72" s="25">
        <f>IF(C72="","",IF(COUNTIF(lst_Jobs,C72&amp;"")&gt;0,"OK","CHECK"))</f>
        <v/>
      </c>
      <c r="E72" s="25">
        <f>IF(C72="","",IFERROR(INDEX(lst_JobName,MATCH(C72&amp;"",lst_Jobs,0)),""))</f>
        <v/>
      </c>
      <c r="F72" s="25">
        <f>IF(C72="","",IFERROR(INDEX(tbl_Finance[Client],MATCH(C72&amp;"",tbl_Finance[Job Number],0)),""))</f>
        <v/>
      </c>
      <c r="G72" s="28">
        <f>IF(C72="","",COUNTIFS(tbl_Finance[Job Number],C72&amp;"",tbl_Finance[Ex GST],"&lt;&gt;"))</f>
        <v/>
      </c>
      <c r="H72" s="27">
        <f>IF(C72="","",SUMIFS(tbl_Finance[Ex GST],tbl_Finance[Job Number],C72&amp;""))</f>
        <v/>
      </c>
      <c r="I72" s="27">
        <f>IF(C72="","",SUMIFS(tbl_Finance[Ex GST],tbl_Finance[Job Number],C72&amp;"",tbl_Finance[Xero Invoice No],"&lt;&gt;"))</f>
        <v/>
      </c>
      <c r="J72" s="27">
        <f>IF(C72="","",H72-I72)</f>
        <v/>
      </c>
      <c r="K72" s="25">
        <f>IF(C72="","",IF(G72=0,"not invoiced yet",SUBSTITUTE(TRIM(IF(COUNTIFS(tbl_Finance[Job Number],C72&amp;"",tbl_Finance[Cost Centre],"ONSITE")&gt;0,"ONSITE ","")&amp;IF(COUNTIFS(tbl_Finance[Job Number],C72&amp;"",tbl_Finance[Cost Centre],"PRODUCTION")&gt;0,"PRODUCTION ","")&amp;IF(COUNTIFS(tbl_Finance[Job Number],C72&amp;"",tbl_Finance[Cost Centre],"VIDEO")&gt;0,"VIDEO ","")&amp;IF(COUNTIFS(tbl_Finance[Job Number],C72&amp;"",tbl_Finance[Cost Centre],"INTEGRATION")&gt;0,"INTEGRATION ","")&amp;IF(COUNTIFS(tbl_Finance[Job Number],C72&amp;"",tbl_Finance[Cost Centre],"CONSULTING")&gt;0,"CONSULTING ","")&amp;IF(COUNTIFS(tbl_Finance[Job Number],C72&amp;"",tbl_Finance[Cost Centre],"CTS")&gt;0,"CTS ",""))," ",", ")))</f>
        <v/>
      </c>
      <c r="L72" s="24" t="n"/>
      <c r="M72" s="24" t="n"/>
      <c r="N72" s="25">
        <f>IF(M72="","",HYPERLINK(IF(LEFT(M72,4)="http",M72,set_QwilrBase&amp;M72),"Open quote"))</f>
        <v/>
      </c>
      <c r="O72" s="69" t="n"/>
      <c r="P72" s="24" t="n"/>
      <c r="Q72" s="24" t="n"/>
    </row>
    <row r="73" ht="15" customHeight="1">
      <c r="A73" s="68">
        <f>IF(C73="","",IFERROR(IF(SUMPRODUCT(MAX((tbl_Finance[Job Number]=C73&amp;"")*(tbl_Finance[Xero Invoice No]&lt;&gt;"")*tbl_Finance[Date]))=0,"",SUMPRODUCT(MAX((tbl_Finance[Job Number]=C73&amp;"")*(tbl_Finance[Xero Invoice No]&lt;&gt;"")*tbl_Finance[Date]))),""))</f>
        <v/>
      </c>
      <c r="B73" s="25">
        <f>IF(C73="","",IF(COUNTIFS(tbl_Finance[Job Number],C73&amp;"",tbl_Finance[Xero Invoice No],"&lt;&gt;")=0,"",IFERROR(IF(COUNTIFS(tbl_Finance[Job Number],C73&amp;"",tbl_Finance[Xero Invoice No],LOOKUP(2,1/((tbl_Finance[Job Number]=C73&amp;"")*(tbl_Finance[Xero Invoice No]&lt;&gt;"")),tbl_Finance[Xero Invoice No]))=COUNTIFS(tbl_Finance[Job Number],C73&amp;"",tbl_Finance[Xero Invoice No],"&lt;&gt;"),LOOKUP(2,1/((tbl_Finance[Job Number]=C73&amp;"")*(tbl_Finance[Xero Invoice No]&lt;&gt;"")),tbl_Finance[Xero Invoice No]),LOOKUP(2,1/((tbl_Finance[Job Number]=C73&amp;"")*(tbl_Finance[Xero Invoice No]&lt;&gt;"")),tbl_Finance[Xero Invoice No])&amp;" +more"),"")))</f>
        <v/>
      </c>
      <c r="C73" s="24" t="n"/>
      <c r="D73" s="25">
        <f>IF(C73="","",IF(COUNTIF(lst_Jobs,C73&amp;"")&gt;0,"OK","CHECK"))</f>
        <v/>
      </c>
      <c r="E73" s="25">
        <f>IF(C73="","",IFERROR(INDEX(lst_JobName,MATCH(C73&amp;"",lst_Jobs,0)),""))</f>
        <v/>
      </c>
      <c r="F73" s="25">
        <f>IF(C73="","",IFERROR(INDEX(tbl_Finance[Client],MATCH(C73&amp;"",tbl_Finance[Job Number],0)),""))</f>
        <v/>
      </c>
      <c r="G73" s="28">
        <f>IF(C73="","",COUNTIFS(tbl_Finance[Job Number],C73&amp;"",tbl_Finance[Ex GST],"&lt;&gt;"))</f>
        <v/>
      </c>
      <c r="H73" s="27">
        <f>IF(C73="","",SUMIFS(tbl_Finance[Ex GST],tbl_Finance[Job Number],C73&amp;""))</f>
        <v/>
      </c>
      <c r="I73" s="27">
        <f>IF(C73="","",SUMIFS(tbl_Finance[Ex GST],tbl_Finance[Job Number],C73&amp;"",tbl_Finance[Xero Invoice No],"&lt;&gt;"))</f>
        <v/>
      </c>
      <c r="J73" s="27">
        <f>IF(C73="","",H73-I73)</f>
        <v/>
      </c>
      <c r="K73" s="25">
        <f>IF(C73="","",IF(G73=0,"not invoiced yet",SUBSTITUTE(TRIM(IF(COUNTIFS(tbl_Finance[Job Number],C73&amp;"",tbl_Finance[Cost Centre],"ONSITE")&gt;0,"ONSITE ","")&amp;IF(COUNTIFS(tbl_Finance[Job Number],C73&amp;"",tbl_Finance[Cost Centre],"PRODUCTION")&gt;0,"PRODUCTION ","")&amp;IF(COUNTIFS(tbl_Finance[Job Number],C73&amp;"",tbl_Finance[Cost Centre],"VIDEO")&gt;0,"VIDEO ","")&amp;IF(COUNTIFS(tbl_Finance[Job Number],C73&amp;"",tbl_Finance[Cost Centre],"INTEGRATION")&gt;0,"INTEGRATION ","")&amp;IF(COUNTIFS(tbl_Finance[Job Number],C73&amp;"",tbl_Finance[Cost Centre],"CONSULTING")&gt;0,"CONSULTING ","")&amp;IF(COUNTIFS(tbl_Finance[Job Number],C73&amp;"",tbl_Finance[Cost Centre],"CTS")&gt;0,"CTS ",""))," ",", ")))</f>
        <v/>
      </c>
      <c r="L73" s="24" t="n"/>
      <c r="M73" s="24" t="n"/>
      <c r="N73" s="25">
        <f>IF(M73="","",HYPERLINK(IF(LEFT(M73,4)="http",M73,set_QwilrBase&amp;M73),"Open quote"))</f>
        <v/>
      </c>
      <c r="O73" s="69" t="n"/>
      <c r="P73" s="24" t="n"/>
      <c r="Q73" s="24" t="n"/>
    </row>
    <row r="74" ht="15" customHeight="1">
      <c r="A74" s="68">
        <f>IF(C74="","",IFERROR(IF(SUMPRODUCT(MAX((tbl_Finance[Job Number]=C74&amp;"")*(tbl_Finance[Xero Invoice No]&lt;&gt;"")*tbl_Finance[Date]))=0,"",SUMPRODUCT(MAX((tbl_Finance[Job Number]=C74&amp;"")*(tbl_Finance[Xero Invoice No]&lt;&gt;"")*tbl_Finance[Date]))),""))</f>
        <v/>
      </c>
      <c r="B74" s="25">
        <f>IF(C74="","",IF(COUNTIFS(tbl_Finance[Job Number],C74&amp;"",tbl_Finance[Xero Invoice No],"&lt;&gt;")=0,"",IFERROR(IF(COUNTIFS(tbl_Finance[Job Number],C74&amp;"",tbl_Finance[Xero Invoice No],LOOKUP(2,1/((tbl_Finance[Job Number]=C74&amp;"")*(tbl_Finance[Xero Invoice No]&lt;&gt;"")),tbl_Finance[Xero Invoice No]))=COUNTIFS(tbl_Finance[Job Number],C74&amp;"",tbl_Finance[Xero Invoice No],"&lt;&gt;"),LOOKUP(2,1/((tbl_Finance[Job Number]=C74&amp;"")*(tbl_Finance[Xero Invoice No]&lt;&gt;"")),tbl_Finance[Xero Invoice No]),LOOKUP(2,1/((tbl_Finance[Job Number]=C74&amp;"")*(tbl_Finance[Xero Invoice No]&lt;&gt;"")),tbl_Finance[Xero Invoice No])&amp;" +more"),"")))</f>
        <v/>
      </c>
      <c r="C74" s="24" t="n"/>
      <c r="D74" s="25">
        <f>IF(C74="","",IF(COUNTIF(lst_Jobs,C74&amp;"")&gt;0,"OK","CHECK"))</f>
        <v/>
      </c>
      <c r="E74" s="25">
        <f>IF(C74="","",IFERROR(INDEX(lst_JobName,MATCH(C74&amp;"",lst_Jobs,0)),""))</f>
        <v/>
      </c>
      <c r="F74" s="25">
        <f>IF(C74="","",IFERROR(INDEX(tbl_Finance[Client],MATCH(C74&amp;"",tbl_Finance[Job Number],0)),""))</f>
        <v/>
      </c>
      <c r="G74" s="28">
        <f>IF(C74="","",COUNTIFS(tbl_Finance[Job Number],C74&amp;"",tbl_Finance[Ex GST],"&lt;&gt;"))</f>
        <v/>
      </c>
      <c r="H74" s="27">
        <f>IF(C74="","",SUMIFS(tbl_Finance[Ex GST],tbl_Finance[Job Number],C74&amp;""))</f>
        <v/>
      </c>
      <c r="I74" s="27">
        <f>IF(C74="","",SUMIFS(tbl_Finance[Ex GST],tbl_Finance[Job Number],C74&amp;"",tbl_Finance[Xero Invoice No],"&lt;&gt;"))</f>
        <v/>
      </c>
      <c r="J74" s="27">
        <f>IF(C74="","",H74-I74)</f>
        <v/>
      </c>
      <c r="K74" s="25">
        <f>IF(C74="","",IF(G74=0,"not invoiced yet",SUBSTITUTE(TRIM(IF(COUNTIFS(tbl_Finance[Job Number],C74&amp;"",tbl_Finance[Cost Centre],"ONSITE")&gt;0,"ONSITE ","")&amp;IF(COUNTIFS(tbl_Finance[Job Number],C74&amp;"",tbl_Finance[Cost Centre],"PRODUCTION")&gt;0,"PRODUCTION ","")&amp;IF(COUNTIFS(tbl_Finance[Job Number],C74&amp;"",tbl_Finance[Cost Centre],"VIDEO")&gt;0,"VIDEO ","")&amp;IF(COUNTIFS(tbl_Finance[Job Number],C74&amp;"",tbl_Finance[Cost Centre],"INTEGRATION")&gt;0,"INTEGRATION ","")&amp;IF(COUNTIFS(tbl_Finance[Job Number],C74&amp;"",tbl_Finance[Cost Centre],"CONSULTING")&gt;0,"CONSULTING ","")&amp;IF(COUNTIFS(tbl_Finance[Job Number],C74&amp;"",tbl_Finance[Cost Centre],"CTS")&gt;0,"CTS ",""))," ",", ")))</f>
        <v/>
      </c>
      <c r="L74" s="24" t="n"/>
      <c r="M74" s="24" t="n"/>
      <c r="N74" s="25">
        <f>IF(M74="","",HYPERLINK(IF(LEFT(M74,4)="http",M74,set_QwilrBase&amp;M74),"Open quote"))</f>
        <v/>
      </c>
      <c r="O74" s="69" t="n"/>
      <c r="P74" s="24" t="n"/>
      <c r="Q74" s="24" t="n"/>
    </row>
    <row r="75" ht="15" customHeight="1">
      <c r="A75" s="68">
        <f>IF(C75="","",IFERROR(IF(SUMPRODUCT(MAX((tbl_Finance[Job Number]=C75&amp;"")*(tbl_Finance[Xero Invoice No]&lt;&gt;"")*tbl_Finance[Date]))=0,"",SUMPRODUCT(MAX((tbl_Finance[Job Number]=C75&amp;"")*(tbl_Finance[Xero Invoice No]&lt;&gt;"")*tbl_Finance[Date]))),""))</f>
        <v/>
      </c>
      <c r="B75" s="25">
        <f>IF(C75="","",IF(COUNTIFS(tbl_Finance[Job Number],C75&amp;"",tbl_Finance[Xero Invoice No],"&lt;&gt;")=0,"",IFERROR(IF(COUNTIFS(tbl_Finance[Job Number],C75&amp;"",tbl_Finance[Xero Invoice No],LOOKUP(2,1/((tbl_Finance[Job Number]=C75&amp;"")*(tbl_Finance[Xero Invoice No]&lt;&gt;"")),tbl_Finance[Xero Invoice No]))=COUNTIFS(tbl_Finance[Job Number],C75&amp;"",tbl_Finance[Xero Invoice No],"&lt;&gt;"),LOOKUP(2,1/((tbl_Finance[Job Number]=C75&amp;"")*(tbl_Finance[Xero Invoice No]&lt;&gt;"")),tbl_Finance[Xero Invoice No]),LOOKUP(2,1/((tbl_Finance[Job Number]=C75&amp;"")*(tbl_Finance[Xero Invoice No]&lt;&gt;"")),tbl_Finance[Xero Invoice No])&amp;" +more"),"")))</f>
        <v/>
      </c>
      <c r="C75" s="24" t="n"/>
      <c r="D75" s="25">
        <f>IF(C75="","",IF(COUNTIF(lst_Jobs,C75&amp;"")&gt;0,"OK","CHECK"))</f>
        <v/>
      </c>
      <c r="E75" s="25">
        <f>IF(C75="","",IFERROR(INDEX(lst_JobName,MATCH(C75&amp;"",lst_Jobs,0)),""))</f>
        <v/>
      </c>
      <c r="F75" s="25">
        <f>IF(C75="","",IFERROR(INDEX(tbl_Finance[Client],MATCH(C75&amp;"",tbl_Finance[Job Number],0)),""))</f>
        <v/>
      </c>
      <c r="G75" s="28">
        <f>IF(C75="","",COUNTIFS(tbl_Finance[Job Number],C75&amp;"",tbl_Finance[Ex GST],"&lt;&gt;"))</f>
        <v/>
      </c>
      <c r="H75" s="27">
        <f>IF(C75="","",SUMIFS(tbl_Finance[Ex GST],tbl_Finance[Job Number],C75&amp;""))</f>
        <v/>
      </c>
      <c r="I75" s="27">
        <f>IF(C75="","",SUMIFS(tbl_Finance[Ex GST],tbl_Finance[Job Number],C75&amp;"",tbl_Finance[Xero Invoice No],"&lt;&gt;"))</f>
        <v/>
      </c>
      <c r="J75" s="27">
        <f>IF(C75="","",H75-I75)</f>
        <v/>
      </c>
      <c r="K75" s="25">
        <f>IF(C75="","",IF(G75=0,"not invoiced yet",SUBSTITUTE(TRIM(IF(COUNTIFS(tbl_Finance[Job Number],C75&amp;"",tbl_Finance[Cost Centre],"ONSITE")&gt;0,"ONSITE ","")&amp;IF(COUNTIFS(tbl_Finance[Job Number],C75&amp;"",tbl_Finance[Cost Centre],"PRODUCTION")&gt;0,"PRODUCTION ","")&amp;IF(COUNTIFS(tbl_Finance[Job Number],C75&amp;"",tbl_Finance[Cost Centre],"VIDEO")&gt;0,"VIDEO ","")&amp;IF(COUNTIFS(tbl_Finance[Job Number],C75&amp;"",tbl_Finance[Cost Centre],"INTEGRATION")&gt;0,"INTEGRATION ","")&amp;IF(COUNTIFS(tbl_Finance[Job Number],C75&amp;"",tbl_Finance[Cost Centre],"CONSULTING")&gt;0,"CONSULTING ","")&amp;IF(COUNTIFS(tbl_Finance[Job Number],C75&amp;"",tbl_Finance[Cost Centre],"CTS")&gt;0,"CTS ",""))," ",", ")))</f>
        <v/>
      </c>
      <c r="L75" s="24" t="n"/>
      <c r="M75" s="24" t="n"/>
      <c r="N75" s="25">
        <f>IF(M75="","",HYPERLINK(IF(LEFT(M75,4)="http",M75,set_QwilrBase&amp;M75),"Open quote"))</f>
        <v/>
      </c>
      <c r="O75" s="69" t="n"/>
      <c r="P75" s="24" t="n"/>
      <c r="Q75" s="24" t="n"/>
    </row>
    <row r="76" ht="15" customHeight="1">
      <c r="A76" s="68">
        <f>IF(C76="","",IFERROR(IF(SUMPRODUCT(MAX((tbl_Finance[Job Number]=C76&amp;"")*(tbl_Finance[Xero Invoice No]&lt;&gt;"")*tbl_Finance[Date]))=0,"",SUMPRODUCT(MAX((tbl_Finance[Job Number]=C76&amp;"")*(tbl_Finance[Xero Invoice No]&lt;&gt;"")*tbl_Finance[Date]))),""))</f>
        <v/>
      </c>
      <c r="B76" s="25">
        <f>IF(C76="","",IF(COUNTIFS(tbl_Finance[Job Number],C76&amp;"",tbl_Finance[Xero Invoice No],"&lt;&gt;")=0,"",IFERROR(IF(COUNTIFS(tbl_Finance[Job Number],C76&amp;"",tbl_Finance[Xero Invoice No],LOOKUP(2,1/((tbl_Finance[Job Number]=C76&amp;"")*(tbl_Finance[Xero Invoice No]&lt;&gt;"")),tbl_Finance[Xero Invoice No]))=COUNTIFS(tbl_Finance[Job Number],C76&amp;"",tbl_Finance[Xero Invoice No],"&lt;&gt;"),LOOKUP(2,1/((tbl_Finance[Job Number]=C76&amp;"")*(tbl_Finance[Xero Invoice No]&lt;&gt;"")),tbl_Finance[Xero Invoice No]),LOOKUP(2,1/((tbl_Finance[Job Number]=C76&amp;"")*(tbl_Finance[Xero Invoice No]&lt;&gt;"")),tbl_Finance[Xero Invoice No])&amp;" +more"),"")))</f>
        <v/>
      </c>
      <c r="C76" s="24" t="n"/>
      <c r="D76" s="25">
        <f>IF(C76="","",IF(COUNTIF(lst_Jobs,C76&amp;"")&gt;0,"OK","CHECK"))</f>
        <v/>
      </c>
      <c r="E76" s="25">
        <f>IF(C76="","",IFERROR(INDEX(lst_JobName,MATCH(C76&amp;"",lst_Jobs,0)),""))</f>
        <v/>
      </c>
      <c r="F76" s="25">
        <f>IF(C76="","",IFERROR(INDEX(tbl_Finance[Client],MATCH(C76&amp;"",tbl_Finance[Job Number],0)),""))</f>
        <v/>
      </c>
      <c r="G76" s="28">
        <f>IF(C76="","",COUNTIFS(tbl_Finance[Job Number],C76&amp;"",tbl_Finance[Ex GST],"&lt;&gt;"))</f>
        <v/>
      </c>
      <c r="H76" s="27">
        <f>IF(C76="","",SUMIFS(tbl_Finance[Ex GST],tbl_Finance[Job Number],C76&amp;""))</f>
        <v/>
      </c>
      <c r="I76" s="27">
        <f>IF(C76="","",SUMIFS(tbl_Finance[Ex GST],tbl_Finance[Job Number],C76&amp;"",tbl_Finance[Xero Invoice No],"&lt;&gt;"))</f>
        <v/>
      </c>
      <c r="J76" s="27">
        <f>IF(C76="","",H76-I76)</f>
        <v/>
      </c>
      <c r="K76" s="25">
        <f>IF(C76="","",IF(G76=0,"not invoiced yet",SUBSTITUTE(TRIM(IF(COUNTIFS(tbl_Finance[Job Number],C76&amp;"",tbl_Finance[Cost Centre],"ONSITE")&gt;0,"ONSITE ","")&amp;IF(COUNTIFS(tbl_Finance[Job Number],C76&amp;"",tbl_Finance[Cost Centre],"PRODUCTION")&gt;0,"PRODUCTION ","")&amp;IF(COUNTIFS(tbl_Finance[Job Number],C76&amp;"",tbl_Finance[Cost Centre],"VIDEO")&gt;0,"VIDEO ","")&amp;IF(COUNTIFS(tbl_Finance[Job Number],C76&amp;"",tbl_Finance[Cost Centre],"INTEGRATION")&gt;0,"INTEGRATION ","")&amp;IF(COUNTIFS(tbl_Finance[Job Number],C76&amp;"",tbl_Finance[Cost Centre],"CONSULTING")&gt;0,"CONSULTING ","")&amp;IF(COUNTIFS(tbl_Finance[Job Number],C76&amp;"",tbl_Finance[Cost Centre],"CTS")&gt;0,"CTS ",""))," ",", ")))</f>
        <v/>
      </c>
      <c r="L76" s="24" t="n"/>
      <c r="M76" s="24" t="n"/>
      <c r="N76" s="25">
        <f>IF(M76="","",HYPERLINK(IF(LEFT(M76,4)="http",M76,set_QwilrBase&amp;M76),"Open quote"))</f>
        <v/>
      </c>
      <c r="O76" s="69" t="n"/>
      <c r="P76" s="24" t="n"/>
      <c r="Q76" s="24" t="n"/>
    </row>
    <row r="77" ht="15" customHeight="1">
      <c r="A77" s="68">
        <f>IF(C77="","",IFERROR(IF(SUMPRODUCT(MAX((tbl_Finance[Job Number]=C77&amp;"")*(tbl_Finance[Xero Invoice No]&lt;&gt;"")*tbl_Finance[Date]))=0,"",SUMPRODUCT(MAX((tbl_Finance[Job Number]=C77&amp;"")*(tbl_Finance[Xero Invoice No]&lt;&gt;"")*tbl_Finance[Date]))),""))</f>
        <v/>
      </c>
      <c r="B77" s="25">
        <f>IF(C77="","",IF(COUNTIFS(tbl_Finance[Job Number],C77&amp;"",tbl_Finance[Xero Invoice No],"&lt;&gt;")=0,"",IFERROR(IF(COUNTIFS(tbl_Finance[Job Number],C77&amp;"",tbl_Finance[Xero Invoice No],LOOKUP(2,1/((tbl_Finance[Job Number]=C77&amp;"")*(tbl_Finance[Xero Invoice No]&lt;&gt;"")),tbl_Finance[Xero Invoice No]))=COUNTIFS(tbl_Finance[Job Number],C77&amp;"",tbl_Finance[Xero Invoice No],"&lt;&gt;"),LOOKUP(2,1/((tbl_Finance[Job Number]=C77&amp;"")*(tbl_Finance[Xero Invoice No]&lt;&gt;"")),tbl_Finance[Xero Invoice No]),LOOKUP(2,1/((tbl_Finance[Job Number]=C77&amp;"")*(tbl_Finance[Xero Invoice No]&lt;&gt;"")),tbl_Finance[Xero Invoice No])&amp;" +more"),"")))</f>
        <v/>
      </c>
      <c r="C77" s="24" t="n"/>
      <c r="D77" s="25">
        <f>IF(C77="","",IF(COUNTIF(lst_Jobs,C77&amp;"")&gt;0,"OK","CHECK"))</f>
        <v/>
      </c>
      <c r="E77" s="25">
        <f>IF(C77="","",IFERROR(INDEX(lst_JobName,MATCH(C77&amp;"",lst_Jobs,0)),""))</f>
        <v/>
      </c>
      <c r="F77" s="25">
        <f>IF(C77="","",IFERROR(INDEX(tbl_Finance[Client],MATCH(C77&amp;"",tbl_Finance[Job Number],0)),""))</f>
        <v/>
      </c>
      <c r="G77" s="28">
        <f>IF(C77="","",COUNTIFS(tbl_Finance[Job Number],C77&amp;"",tbl_Finance[Ex GST],"&lt;&gt;"))</f>
        <v/>
      </c>
      <c r="H77" s="27">
        <f>IF(C77="","",SUMIFS(tbl_Finance[Ex GST],tbl_Finance[Job Number],C77&amp;""))</f>
        <v/>
      </c>
      <c r="I77" s="27">
        <f>IF(C77="","",SUMIFS(tbl_Finance[Ex GST],tbl_Finance[Job Number],C77&amp;"",tbl_Finance[Xero Invoice No],"&lt;&gt;"))</f>
        <v/>
      </c>
      <c r="J77" s="27">
        <f>IF(C77="","",H77-I77)</f>
        <v/>
      </c>
      <c r="K77" s="25">
        <f>IF(C77="","",IF(G77=0,"not invoiced yet",SUBSTITUTE(TRIM(IF(COUNTIFS(tbl_Finance[Job Number],C77&amp;"",tbl_Finance[Cost Centre],"ONSITE")&gt;0,"ONSITE ","")&amp;IF(COUNTIFS(tbl_Finance[Job Number],C77&amp;"",tbl_Finance[Cost Centre],"PRODUCTION")&gt;0,"PRODUCTION ","")&amp;IF(COUNTIFS(tbl_Finance[Job Number],C77&amp;"",tbl_Finance[Cost Centre],"VIDEO")&gt;0,"VIDEO ","")&amp;IF(COUNTIFS(tbl_Finance[Job Number],C77&amp;"",tbl_Finance[Cost Centre],"INTEGRATION")&gt;0,"INTEGRATION ","")&amp;IF(COUNTIFS(tbl_Finance[Job Number],C77&amp;"",tbl_Finance[Cost Centre],"CONSULTING")&gt;0,"CONSULTING ","")&amp;IF(COUNTIFS(tbl_Finance[Job Number],C77&amp;"",tbl_Finance[Cost Centre],"CTS")&gt;0,"CTS ",""))," ",", ")))</f>
        <v/>
      </c>
      <c r="L77" s="24" t="n"/>
      <c r="M77" s="24" t="n"/>
      <c r="N77" s="25">
        <f>IF(M77="","",HYPERLINK(IF(LEFT(M77,4)="http",M77,set_QwilrBase&amp;M77),"Open quote"))</f>
        <v/>
      </c>
      <c r="O77" s="69" t="n"/>
      <c r="P77" s="24" t="n"/>
      <c r="Q77" s="24" t="n"/>
    </row>
    <row r="78" ht="15" customHeight="1">
      <c r="A78" s="68">
        <f>IF(C78="","",IFERROR(IF(SUMPRODUCT(MAX((tbl_Finance[Job Number]=C78&amp;"")*(tbl_Finance[Xero Invoice No]&lt;&gt;"")*tbl_Finance[Date]))=0,"",SUMPRODUCT(MAX((tbl_Finance[Job Number]=C78&amp;"")*(tbl_Finance[Xero Invoice No]&lt;&gt;"")*tbl_Finance[Date]))),""))</f>
        <v/>
      </c>
      <c r="B78" s="25">
        <f>IF(C78="","",IF(COUNTIFS(tbl_Finance[Job Number],C78&amp;"",tbl_Finance[Xero Invoice No],"&lt;&gt;")=0,"",IFERROR(IF(COUNTIFS(tbl_Finance[Job Number],C78&amp;"",tbl_Finance[Xero Invoice No],LOOKUP(2,1/((tbl_Finance[Job Number]=C78&amp;"")*(tbl_Finance[Xero Invoice No]&lt;&gt;"")),tbl_Finance[Xero Invoice No]))=COUNTIFS(tbl_Finance[Job Number],C78&amp;"",tbl_Finance[Xero Invoice No],"&lt;&gt;"),LOOKUP(2,1/((tbl_Finance[Job Number]=C78&amp;"")*(tbl_Finance[Xero Invoice No]&lt;&gt;"")),tbl_Finance[Xero Invoice No]),LOOKUP(2,1/((tbl_Finance[Job Number]=C78&amp;"")*(tbl_Finance[Xero Invoice No]&lt;&gt;"")),tbl_Finance[Xero Invoice No])&amp;" +more"),"")))</f>
        <v/>
      </c>
      <c r="C78" s="24" t="n"/>
      <c r="D78" s="25">
        <f>IF(C78="","",IF(COUNTIF(lst_Jobs,C78&amp;"")&gt;0,"OK","CHECK"))</f>
        <v/>
      </c>
      <c r="E78" s="25">
        <f>IF(C78="","",IFERROR(INDEX(lst_JobName,MATCH(C78&amp;"",lst_Jobs,0)),""))</f>
        <v/>
      </c>
      <c r="F78" s="25">
        <f>IF(C78="","",IFERROR(INDEX(tbl_Finance[Client],MATCH(C78&amp;"",tbl_Finance[Job Number],0)),""))</f>
        <v/>
      </c>
      <c r="G78" s="28">
        <f>IF(C78="","",COUNTIFS(tbl_Finance[Job Number],C78&amp;"",tbl_Finance[Ex GST],"&lt;&gt;"))</f>
        <v/>
      </c>
      <c r="H78" s="27">
        <f>IF(C78="","",SUMIFS(tbl_Finance[Ex GST],tbl_Finance[Job Number],C78&amp;""))</f>
        <v/>
      </c>
      <c r="I78" s="27">
        <f>IF(C78="","",SUMIFS(tbl_Finance[Ex GST],tbl_Finance[Job Number],C78&amp;"",tbl_Finance[Xero Invoice No],"&lt;&gt;"))</f>
        <v/>
      </c>
      <c r="J78" s="27">
        <f>IF(C78="","",H78-I78)</f>
        <v/>
      </c>
      <c r="K78" s="25">
        <f>IF(C78="","",IF(G78=0,"not invoiced yet",SUBSTITUTE(TRIM(IF(COUNTIFS(tbl_Finance[Job Number],C78&amp;"",tbl_Finance[Cost Centre],"ONSITE")&gt;0,"ONSITE ","")&amp;IF(COUNTIFS(tbl_Finance[Job Number],C78&amp;"",tbl_Finance[Cost Centre],"PRODUCTION")&gt;0,"PRODUCTION ","")&amp;IF(COUNTIFS(tbl_Finance[Job Number],C78&amp;"",tbl_Finance[Cost Centre],"VIDEO")&gt;0,"VIDEO ","")&amp;IF(COUNTIFS(tbl_Finance[Job Number],C78&amp;"",tbl_Finance[Cost Centre],"INTEGRATION")&gt;0,"INTEGRATION ","")&amp;IF(COUNTIFS(tbl_Finance[Job Number],C78&amp;"",tbl_Finance[Cost Centre],"CONSULTING")&gt;0,"CONSULTING ","")&amp;IF(COUNTIFS(tbl_Finance[Job Number],C78&amp;"",tbl_Finance[Cost Centre],"CTS")&gt;0,"CTS ",""))," ",", ")))</f>
        <v/>
      </c>
      <c r="L78" s="24" t="n"/>
      <c r="M78" s="24" t="n"/>
      <c r="N78" s="25">
        <f>IF(M78="","",HYPERLINK(IF(LEFT(M78,4)="http",M78,set_QwilrBase&amp;M78),"Open quote"))</f>
        <v/>
      </c>
      <c r="O78" s="69" t="n"/>
      <c r="P78" s="24" t="n"/>
      <c r="Q78" s="24" t="n"/>
    </row>
    <row r="79" ht="15" customHeight="1">
      <c r="A79" s="68">
        <f>IF(C79="","",IFERROR(IF(SUMPRODUCT(MAX((tbl_Finance[Job Number]=C79&amp;"")*(tbl_Finance[Xero Invoice No]&lt;&gt;"")*tbl_Finance[Date]))=0,"",SUMPRODUCT(MAX((tbl_Finance[Job Number]=C79&amp;"")*(tbl_Finance[Xero Invoice No]&lt;&gt;"")*tbl_Finance[Date]))),""))</f>
        <v/>
      </c>
      <c r="B79" s="25">
        <f>IF(C79="","",IF(COUNTIFS(tbl_Finance[Job Number],C79&amp;"",tbl_Finance[Xero Invoice No],"&lt;&gt;")=0,"",IFERROR(IF(COUNTIFS(tbl_Finance[Job Number],C79&amp;"",tbl_Finance[Xero Invoice No],LOOKUP(2,1/((tbl_Finance[Job Number]=C79&amp;"")*(tbl_Finance[Xero Invoice No]&lt;&gt;"")),tbl_Finance[Xero Invoice No]))=COUNTIFS(tbl_Finance[Job Number],C79&amp;"",tbl_Finance[Xero Invoice No],"&lt;&gt;"),LOOKUP(2,1/((tbl_Finance[Job Number]=C79&amp;"")*(tbl_Finance[Xero Invoice No]&lt;&gt;"")),tbl_Finance[Xero Invoice No]),LOOKUP(2,1/((tbl_Finance[Job Number]=C79&amp;"")*(tbl_Finance[Xero Invoice No]&lt;&gt;"")),tbl_Finance[Xero Invoice No])&amp;" +more"),"")))</f>
        <v/>
      </c>
      <c r="C79" s="24" t="n"/>
      <c r="D79" s="25">
        <f>IF(C79="","",IF(COUNTIF(lst_Jobs,C79&amp;"")&gt;0,"OK","CHECK"))</f>
        <v/>
      </c>
      <c r="E79" s="25">
        <f>IF(C79="","",IFERROR(INDEX(lst_JobName,MATCH(C79&amp;"",lst_Jobs,0)),""))</f>
        <v/>
      </c>
      <c r="F79" s="25">
        <f>IF(C79="","",IFERROR(INDEX(tbl_Finance[Client],MATCH(C79&amp;"",tbl_Finance[Job Number],0)),""))</f>
        <v/>
      </c>
      <c r="G79" s="28">
        <f>IF(C79="","",COUNTIFS(tbl_Finance[Job Number],C79&amp;"",tbl_Finance[Ex GST],"&lt;&gt;"))</f>
        <v/>
      </c>
      <c r="H79" s="27">
        <f>IF(C79="","",SUMIFS(tbl_Finance[Ex GST],tbl_Finance[Job Number],C79&amp;""))</f>
        <v/>
      </c>
      <c r="I79" s="27">
        <f>IF(C79="","",SUMIFS(tbl_Finance[Ex GST],tbl_Finance[Job Number],C79&amp;"",tbl_Finance[Xero Invoice No],"&lt;&gt;"))</f>
        <v/>
      </c>
      <c r="J79" s="27">
        <f>IF(C79="","",H79-I79)</f>
        <v/>
      </c>
      <c r="K79" s="25">
        <f>IF(C79="","",IF(G79=0,"not invoiced yet",SUBSTITUTE(TRIM(IF(COUNTIFS(tbl_Finance[Job Number],C79&amp;"",tbl_Finance[Cost Centre],"ONSITE")&gt;0,"ONSITE ","")&amp;IF(COUNTIFS(tbl_Finance[Job Number],C79&amp;"",tbl_Finance[Cost Centre],"PRODUCTION")&gt;0,"PRODUCTION ","")&amp;IF(COUNTIFS(tbl_Finance[Job Number],C79&amp;"",tbl_Finance[Cost Centre],"VIDEO")&gt;0,"VIDEO ","")&amp;IF(COUNTIFS(tbl_Finance[Job Number],C79&amp;"",tbl_Finance[Cost Centre],"INTEGRATION")&gt;0,"INTEGRATION ","")&amp;IF(COUNTIFS(tbl_Finance[Job Number],C79&amp;"",tbl_Finance[Cost Centre],"CONSULTING")&gt;0,"CONSULTING ","")&amp;IF(COUNTIFS(tbl_Finance[Job Number],C79&amp;"",tbl_Finance[Cost Centre],"CTS")&gt;0,"CTS ",""))," ",", ")))</f>
        <v/>
      </c>
      <c r="L79" s="24" t="n"/>
      <c r="M79" s="24" t="n"/>
      <c r="N79" s="25">
        <f>IF(M79="","",HYPERLINK(IF(LEFT(M79,4)="http",M79,set_QwilrBase&amp;M79),"Open quote"))</f>
        <v/>
      </c>
      <c r="O79" s="69" t="n"/>
      <c r="P79" s="24" t="n"/>
      <c r="Q79" s="24" t="n"/>
    </row>
    <row r="80" ht="15" customHeight="1">
      <c r="A80" s="68">
        <f>IF(C80="","",IFERROR(IF(SUMPRODUCT(MAX((tbl_Finance[Job Number]=C80&amp;"")*(tbl_Finance[Xero Invoice No]&lt;&gt;"")*tbl_Finance[Date]))=0,"",SUMPRODUCT(MAX((tbl_Finance[Job Number]=C80&amp;"")*(tbl_Finance[Xero Invoice No]&lt;&gt;"")*tbl_Finance[Date]))),""))</f>
        <v/>
      </c>
      <c r="B80" s="25">
        <f>IF(C80="","",IF(COUNTIFS(tbl_Finance[Job Number],C80&amp;"",tbl_Finance[Xero Invoice No],"&lt;&gt;")=0,"",IFERROR(IF(COUNTIFS(tbl_Finance[Job Number],C80&amp;"",tbl_Finance[Xero Invoice No],LOOKUP(2,1/((tbl_Finance[Job Number]=C80&amp;"")*(tbl_Finance[Xero Invoice No]&lt;&gt;"")),tbl_Finance[Xero Invoice No]))=COUNTIFS(tbl_Finance[Job Number],C80&amp;"",tbl_Finance[Xero Invoice No],"&lt;&gt;"),LOOKUP(2,1/((tbl_Finance[Job Number]=C80&amp;"")*(tbl_Finance[Xero Invoice No]&lt;&gt;"")),tbl_Finance[Xero Invoice No]),LOOKUP(2,1/((tbl_Finance[Job Number]=C80&amp;"")*(tbl_Finance[Xero Invoice No]&lt;&gt;"")),tbl_Finance[Xero Invoice No])&amp;" +more"),"")))</f>
        <v/>
      </c>
      <c r="C80" s="24" t="n"/>
      <c r="D80" s="25">
        <f>IF(C80="","",IF(COUNTIF(lst_Jobs,C80&amp;"")&gt;0,"OK","CHECK"))</f>
        <v/>
      </c>
      <c r="E80" s="25">
        <f>IF(C80="","",IFERROR(INDEX(lst_JobName,MATCH(C80&amp;"",lst_Jobs,0)),""))</f>
        <v/>
      </c>
      <c r="F80" s="25">
        <f>IF(C80="","",IFERROR(INDEX(tbl_Finance[Client],MATCH(C80&amp;"",tbl_Finance[Job Number],0)),""))</f>
        <v/>
      </c>
      <c r="G80" s="28">
        <f>IF(C80="","",COUNTIFS(tbl_Finance[Job Number],C80&amp;"",tbl_Finance[Ex GST],"&lt;&gt;"))</f>
        <v/>
      </c>
      <c r="H80" s="27">
        <f>IF(C80="","",SUMIFS(tbl_Finance[Ex GST],tbl_Finance[Job Number],C80&amp;""))</f>
        <v/>
      </c>
      <c r="I80" s="27">
        <f>IF(C80="","",SUMIFS(tbl_Finance[Ex GST],tbl_Finance[Job Number],C80&amp;"",tbl_Finance[Xero Invoice No],"&lt;&gt;"))</f>
        <v/>
      </c>
      <c r="J80" s="27">
        <f>IF(C80="","",H80-I80)</f>
        <v/>
      </c>
      <c r="K80" s="25">
        <f>IF(C80="","",IF(G80=0,"not invoiced yet",SUBSTITUTE(TRIM(IF(COUNTIFS(tbl_Finance[Job Number],C80&amp;"",tbl_Finance[Cost Centre],"ONSITE")&gt;0,"ONSITE ","")&amp;IF(COUNTIFS(tbl_Finance[Job Number],C80&amp;"",tbl_Finance[Cost Centre],"PRODUCTION")&gt;0,"PRODUCTION ","")&amp;IF(COUNTIFS(tbl_Finance[Job Number],C80&amp;"",tbl_Finance[Cost Centre],"VIDEO")&gt;0,"VIDEO ","")&amp;IF(COUNTIFS(tbl_Finance[Job Number],C80&amp;"",tbl_Finance[Cost Centre],"INTEGRATION")&gt;0,"INTEGRATION ","")&amp;IF(COUNTIFS(tbl_Finance[Job Number],C80&amp;"",tbl_Finance[Cost Centre],"CONSULTING")&gt;0,"CONSULTING ","")&amp;IF(COUNTIFS(tbl_Finance[Job Number],C80&amp;"",tbl_Finance[Cost Centre],"CTS")&gt;0,"CTS ",""))," ",", ")))</f>
        <v/>
      </c>
      <c r="L80" s="24" t="n"/>
      <c r="M80" s="24" t="n"/>
      <c r="N80" s="25">
        <f>IF(M80="","",HYPERLINK(IF(LEFT(M80,4)="http",M80,set_QwilrBase&amp;M80),"Open quote"))</f>
        <v/>
      </c>
      <c r="O80" s="69" t="n"/>
      <c r="P80" s="24" t="n"/>
      <c r="Q80" s="24" t="n"/>
    </row>
    <row r="81" ht="15" customHeight="1">
      <c r="A81" s="68">
        <f>IF(C81="","",IFERROR(IF(SUMPRODUCT(MAX((tbl_Finance[Job Number]=C81&amp;"")*(tbl_Finance[Xero Invoice No]&lt;&gt;"")*tbl_Finance[Date]))=0,"",SUMPRODUCT(MAX((tbl_Finance[Job Number]=C81&amp;"")*(tbl_Finance[Xero Invoice No]&lt;&gt;"")*tbl_Finance[Date]))),""))</f>
        <v/>
      </c>
      <c r="B81" s="25">
        <f>IF(C81="","",IF(COUNTIFS(tbl_Finance[Job Number],C81&amp;"",tbl_Finance[Xero Invoice No],"&lt;&gt;")=0,"",IFERROR(IF(COUNTIFS(tbl_Finance[Job Number],C81&amp;"",tbl_Finance[Xero Invoice No],LOOKUP(2,1/((tbl_Finance[Job Number]=C81&amp;"")*(tbl_Finance[Xero Invoice No]&lt;&gt;"")),tbl_Finance[Xero Invoice No]))=COUNTIFS(tbl_Finance[Job Number],C81&amp;"",tbl_Finance[Xero Invoice No],"&lt;&gt;"),LOOKUP(2,1/((tbl_Finance[Job Number]=C81&amp;"")*(tbl_Finance[Xero Invoice No]&lt;&gt;"")),tbl_Finance[Xero Invoice No]),LOOKUP(2,1/((tbl_Finance[Job Number]=C81&amp;"")*(tbl_Finance[Xero Invoice No]&lt;&gt;"")),tbl_Finance[Xero Invoice No])&amp;" +more"),"")))</f>
        <v/>
      </c>
      <c r="C81" s="24" t="n"/>
      <c r="D81" s="25">
        <f>IF(C81="","",IF(COUNTIF(lst_Jobs,C81&amp;"")&gt;0,"OK","CHECK"))</f>
        <v/>
      </c>
      <c r="E81" s="25">
        <f>IF(C81="","",IFERROR(INDEX(lst_JobName,MATCH(C81&amp;"",lst_Jobs,0)),""))</f>
        <v/>
      </c>
      <c r="F81" s="25">
        <f>IF(C81="","",IFERROR(INDEX(tbl_Finance[Client],MATCH(C81&amp;"",tbl_Finance[Job Number],0)),""))</f>
        <v/>
      </c>
      <c r="G81" s="28">
        <f>IF(C81="","",COUNTIFS(tbl_Finance[Job Number],C81&amp;"",tbl_Finance[Ex GST],"&lt;&gt;"))</f>
        <v/>
      </c>
      <c r="H81" s="27">
        <f>IF(C81="","",SUMIFS(tbl_Finance[Ex GST],tbl_Finance[Job Number],C81&amp;""))</f>
        <v/>
      </c>
      <c r="I81" s="27">
        <f>IF(C81="","",SUMIFS(tbl_Finance[Ex GST],tbl_Finance[Job Number],C81&amp;"",tbl_Finance[Xero Invoice No],"&lt;&gt;"))</f>
        <v/>
      </c>
      <c r="J81" s="27">
        <f>IF(C81="","",H81-I81)</f>
        <v/>
      </c>
      <c r="K81" s="25">
        <f>IF(C81="","",IF(G81=0,"not invoiced yet",SUBSTITUTE(TRIM(IF(COUNTIFS(tbl_Finance[Job Number],C81&amp;"",tbl_Finance[Cost Centre],"ONSITE")&gt;0,"ONSITE ","")&amp;IF(COUNTIFS(tbl_Finance[Job Number],C81&amp;"",tbl_Finance[Cost Centre],"PRODUCTION")&gt;0,"PRODUCTION ","")&amp;IF(COUNTIFS(tbl_Finance[Job Number],C81&amp;"",tbl_Finance[Cost Centre],"VIDEO")&gt;0,"VIDEO ","")&amp;IF(COUNTIFS(tbl_Finance[Job Number],C81&amp;"",tbl_Finance[Cost Centre],"INTEGRATION")&gt;0,"INTEGRATION ","")&amp;IF(COUNTIFS(tbl_Finance[Job Number],C81&amp;"",tbl_Finance[Cost Centre],"CONSULTING")&gt;0,"CONSULTING ","")&amp;IF(COUNTIFS(tbl_Finance[Job Number],C81&amp;"",tbl_Finance[Cost Centre],"CTS")&gt;0,"CTS ",""))," ",", ")))</f>
        <v/>
      </c>
      <c r="L81" s="24" t="n"/>
      <c r="M81" s="24" t="n"/>
      <c r="N81" s="25">
        <f>IF(M81="","",HYPERLINK(IF(LEFT(M81,4)="http",M81,set_QwilrBase&amp;M81),"Open quote"))</f>
        <v/>
      </c>
      <c r="O81" s="69" t="n"/>
      <c r="P81" s="24" t="n"/>
      <c r="Q81" s="24" t="n"/>
    </row>
    <row r="82" ht="15" customHeight="1">
      <c r="A82" s="68">
        <f>IF(C82="","",IFERROR(IF(SUMPRODUCT(MAX((tbl_Finance[Job Number]=C82&amp;"")*(tbl_Finance[Xero Invoice No]&lt;&gt;"")*tbl_Finance[Date]))=0,"",SUMPRODUCT(MAX((tbl_Finance[Job Number]=C82&amp;"")*(tbl_Finance[Xero Invoice No]&lt;&gt;"")*tbl_Finance[Date]))),""))</f>
        <v/>
      </c>
      <c r="B82" s="25">
        <f>IF(C82="","",IF(COUNTIFS(tbl_Finance[Job Number],C82&amp;"",tbl_Finance[Xero Invoice No],"&lt;&gt;")=0,"",IFERROR(IF(COUNTIFS(tbl_Finance[Job Number],C82&amp;"",tbl_Finance[Xero Invoice No],LOOKUP(2,1/((tbl_Finance[Job Number]=C82&amp;"")*(tbl_Finance[Xero Invoice No]&lt;&gt;"")),tbl_Finance[Xero Invoice No]))=COUNTIFS(tbl_Finance[Job Number],C82&amp;"",tbl_Finance[Xero Invoice No],"&lt;&gt;"),LOOKUP(2,1/((tbl_Finance[Job Number]=C82&amp;"")*(tbl_Finance[Xero Invoice No]&lt;&gt;"")),tbl_Finance[Xero Invoice No]),LOOKUP(2,1/((tbl_Finance[Job Number]=C82&amp;"")*(tbl_Finance[Xero Invoice No]&lt;&gt;"")),tbl_Finance[Xero Invoice No])&amp;" +more"),"")))</f>
        <v/>
      </c>
      <c r="C82" s="24" t="n"/>
      <c r="D82" s="25">
        <f>IF(C82="","",IF(COUNTIF(lst_Jobs,C82&amp;"")&gt;0,"OK","CHECK"))</f>
        <v/>
      </c>
      <c r="E82" s="25">
        <f>IF(C82="","",IFERROR(INDEX(lst_JobName,MATCH(C82&amp;"",lst_Jobs,0)),""))</f>
        <v/>
      </c>
      <c r="F82" s="25">
        <f>IF(C82="","",IFERROR(INDEX(tbl_Finance[Client],MATCH(C82&amp;"",tbl_Finance[Job Number],0)),""))</f>
        <v/>
      </c>
      <c r="G82" s="28">
        <f>IF(C82="","",COUNTIFS(tbl_Finance[Job Number],C82&amp;"",tbl_Finance[Ex GST],"&lt;&gt;"))</f>
        <v/>
      </c>
      <c r="H82" s="27">
        <f>IF(C82="","",SUMIFS(tbl_Finance[Ex GST],tbl_Finance[Job Number],C82&amp;""))</f>
        <v/>
      </c>
      <c r="I82" s="27">
        <f>IF(C82="","",SUMIFS(tbl_Finance[Ex GST],tbl_Finance[Job Number],C82&amp;"",tbl_Finance[Xero Invoice No],"&lt;&gt;"))</f>
        <v/>
      </c>
      <c r="J82" s="27">
        <f>IF(C82="","",H82-I82)</f>
        <v/>
      </c>
      <c r="K82" s="25">
        <f>IF(C82="","",IF(G82=0,"not invoiced yet",SUBSTITUTE(TRIM(IF(COUNTIFS(tbl_Finance[Job Number],C82&amp;"",tbl_Finance[Cost Centre],"ONSITE")&gt;0,"ONSITE ","")&amp;IF(COUNTIFS(tbl_Finance[Job Number],C82&amp;"",tbl_Finance[Cost Centre],"PRODUCTION")&gt;0,"PRODUCTION ","")&amp;IF(COUNTIFS(tbl_Finance[Job Number],C82&amp;"",tbl_Finance[Cost Centre],"VIDEO")&gt;0,"VIDEO ","")&amp;IF(COUNTIFS(tbl_Finance[Job Number],C82&amp;"",tbl_Finance[Cost Centre],"INTEGRATION")&gt;0,"INTEGRATION ","")&amp;IF(COUNTIFS(tbl_Finance[Job Number],C82&amp;"",tbl_Finance[Cost Centre],"CONSULTING")&gt;0,"CONSULTING ","")&amp;IF(COUNTIFS(tbl_Finance[Job Number],C82&amp;"",tbl_Finance[Cost Centre],"CTS")&gt;0,"CTS ",""))," ",", ")))</f>
        <v/>
      </c>
      <c r="L82" s="24" t="n"/>
      <c r="M82" s="24" t="n"/>
      <c r="N82" s="25">
        <f>IF(M82="","",HYPERLINK(IF(LEFT(M82,4)="http",M82,set_QwilrBase&amp;M82),"Open quote"))</f>
        <v/>
      </c>
      <c r="O82" s="69" t="n"/>
      <c r="P82" s="24" t="n"/>
      <c r="Q82" s="24" t="n"/>
    </row>
    <row r="83" ht="15" customHeight="1">
      <c r="A83" s="68">
        <f>IF(C83="","",IFERROR(IF(SUMPRODUCT(MAX((tbl_Finance[Job Number]=C83&amp;"")*(tbl_Finance[Xero Invoice No]&lt;&gt;"")*tbl_Finance[Date]))=0,"",SUMPRODUCT(MAX((tbl_Finance[Job Number]=C83&amp;"")*(tbl_Finance[Xero Invoice No]&lt;&gt;"")*tbl_Finance[Date]))),""))</f>
        <v/>
      </c>
      <c r="B83" s="25">
        <f>IF(C83="","",IF(COUNTIFS(tbl_Finance[Job Number],C83&amp;"",tbl_Finance[Xero Invoice No],"&lt;&gt;")=0,"",IFERROR(IF(COUNTIFS(tbl_Finance[Job Number],C83&amp;"",tbl_Finance[Xero Invoice No],LOOKUP(2,1/((tbl_Finance[Job Number]=C83&amp;"")*(tbl_Finance[Xero Invoice No]&lt;&gt;"")),tbl_Finance[Xero Invoice No]))=COUNTIFS(tbl_Finance[Job Number],C83&amp;"",tbl_Finance[Xero Invoice No],"&lt;&gt;"),LOOKUP(2,1/((tbl_Finance[Job Number]=C83&amp;"")*(tbl_Finance[Xero Invoice No]&lt;&gt;"")),tbl_Finance[Xero Invoice No]),LOOKUP(2,1/((tbl_Finance[Job Number]=C83&amp;"")*(tbl_Finance[Xero Invoice No]&lt;&gt;"")),tbl_Finance[Xero Invoice No])&amp;" +more"),"")))</f>
        <v/>
      </c>
      <c r="C83" s="24" t="n"/>
      <c r="D83" s="25">
        <f>IF(C83="","",IF(COUNTIF(lst_Jobs,C83&amp;"")&gt;0,"OK","CHECK"))</f>
        <v/>
      </c>
      <c r="E83" s="25">
        <f>IF(C83="","",IFERROR(INDEX(lst_JobName,MATCH(C83&amp;"",lst_Jobs,0)),""))</f>
        <v/>
      </c>
      <c r="F83" s="25">
        <f>IF(C83="","",IFERROR(INDEX(tbl_Finance[Client],MATCH(C83&amp;"",tbl_Finance[Job Number],0)),""))</f>
        <v/>
      </c>
      <c r="G83" s="28">
        <f>IF(C83="","",COUNTIFS(tbl_Finance[Job Number],C83&amp;"",tbl_Finance[Ex GST],"&lt;&gt;"))</f>
        <v/>
      </c>
      <c r="H83" s="27">
        <f>IF(C83="","",SUMIFS(tbl_Finance[Ex GST],tbl_Finance[Job Number],C83&amp;""))</f>
        <v/>
      </c>
      <c r="I83" s="27">
        <f>IF(C83="","",SUMIFS(tbl_Finance[Ex GST],tbl_Finance[Job Number],C83&amp;"",tbl_Finance[Xero Invoice No],"&lt;&gt;"))</f>
        <v/>
      </c>
      <c r="J83" s="27">
        <f>IF(C83="","",H83-I83)</f>
        <v/>
      </c>
      <c r="K83" s="25">
        <f>IF(C83="","",IF(G83=0,"not invoiced yet",SUBSTITUTE(TRIM(IF(COUNTIFS(tbl_Finance[Job Number],C83&amp;"",tbl_Finance[Cost Centre],"ONSITE")&gt;0,"ONSITE ","")&amp;IF(COUNTIFS(tbl_Finance[Job Number],C83&amp;"",tbl_Finance[Cost Centre],"PRODUCTION")&gt;0,"PRODUCTION ","")&amp;IF(COUNTIFS(tbl_Finance[Job Number],C83&amp;"",tbl_Finance[Cost Centre],"VIDEO")&gt;0,"VIDEO ","")&amp;IF(COUNTIFS(tbl_Finance[Job Number],C83&amp;"",tbl_Finance[Cost Centre],"INTEGRATION")&gt;0,"INTEGRATION ","")&amp;IF(COUNTIFS(tbl_Finance[Job Number],C83&amp;"",tbl_Finance[Cost Centre],"CONSULTING")&gt;0,"CONSULTING ","")&amp;IF(COUNTIFS(tbl_Finance[Job Number],C83&amp;"",tbl_Finance[Cost Centre],"CTS")&gt;0,"CTS ",""))," ",", ")))</f>
        <v/>
      </c>
      <c r="L83" s="24" t="n"/>
      <c r="M83" s="24" t="n"/>
      <c r="N83" s="25">
        <f>IF(M83="","",HYPERLINK(IF(LEFT(M83,4)="http",M83,set_QwilrBase&amp;M83),"Open quote"))</f>
        <v/>
      </c>
      <c r="O83" s="69" t="n"/>
      <c r="P83" s="24" t="n"/>
      <c r="Q83" s="24" t="n"/>
    </row>
    <row r="84" ht="15" customHeight="1">
      <c r="A84" s="68">
        <f>IF(C84="","",IFERROR(IF(SUMPRODUCT(MAX((tbl_Finance[Job Number]=C84&amp;"")*(tbl_Finance[Xero Invoice No]&lt;&gt;"")*tbl_Finance[Date]))=0,"",SUMPRODUCT(MAX((tbl_Finance[Job Number]=C84&amp;"")*(tbl_Finance[Xero Invoice No]&lt;&gt;"")*tbl_Finance[Date]))),""))</f>
        <v/>
      </c>
      <c r="B84" s="25">
        <f>IF(C84="","",IF(COUNTIFS(tbl_Finance[Job Number],C84&amp;"",tbl_Finance[Xero Invoice No],"&lt;&gt;")=0,"",IFERROR(IF(COUNTIFS(tbl_Finance[Job Number],C84&amp;"",tbl_Finance[Xero Invoice No],LOOKUP(2,1/((tbl_Finance[Job Number]=C84&amp;"")*(tbl_Finance[Xero Invoice No]&lt;&gt;"")),tbl_Finance[Xero Invoice No]))=COUNTIFS(tbl_Finance[Job Number],C84&amp;"",tbl_Finance[Xero Invoice No],"&lt;&gt;"),LOOKUP(2,1/((tbl_Finance[Job Number]=C84&amp;"")*(tbl_Finance[Xero Invoice No]&lt;&gt;"")),tbl_Finance[Xero Invoice No]),LOOKUP(2,1/((tbl_Finance[Job Number]=C84&amp;"")*(tbl_Finance[Xero Invoice No]&lt;&gt;"")),tbl_Finance[Xero Invoice No])&amp;" +more"),"")))</f>
        <v/>
      </c>
      <c r="C84" s="24" t="n"/>
      <c r="D84" s="25">
        <f>IF(C84="","",IF(COUNTIF(lst_Jobs,C84&amp;"")&gt;0,"OK","CHECK"))</f>
        <v/>
      </c>
      <c r="E84" s="25">
        <f>IF(C84="","",IFERROR(INDEX(lst_JobName,MATCH(C84&amp;"",lst_Jobs,0)),""))</f>
        <v/>
      </c>
      <c r="F84" s="25">
        <f>IF(C84="","",IFERROR(INDEX(tbl_Finance[Client],MATCH(C84&amp;"",tbl_Finance[Job Number],0)),""))</f>
        <v/>
      </c>
      <c r="G84" s="28">
        <f>IF(C84="","",COUNTIFS(tbl_Finance[Job Number],C84&amp;"",tbl_Finance[Ex GST],"&lt;&gt;"))</f>
        <v/>
      </c>
      <c r="H84" s="27">
        <f>IF(C84="","",SUMIFS(tbl_Finance[Ex GST],tbl_Finance[Job Number],C84&amp;""))</f>
        <v/>
      </c>
      <c r="I84" s="27">
        <f>IF(C84="","",SUMIFS(tbl_Finance[Ex GST],tbl_Finance[Job Number],C84&amp;"",tbl_Finance[Xero Invoice No],"&lt;&gt;"))</f>
        <v/>
      </c>
      <c r="J84" s="27">
        <f>IF(C84="","",H84-I84)</f>
        <v/>
      </c>
      <c r="K84" s="25">
        <f>IF(C84="","",IF(G84=0,"not invoiced yet",SUBSTITUTE(TRIM(IF(COUNTIFS(tbl_Finance[Job Number],C84&amp;"",tbl_Finance[Cost Centre],"ONSITE")&gt;0,"ONSITE ","")&amp;IF(COUNTIFS(tbl_Finance[Job Number],C84&amp;"",tbl_Finance[Cost Centre],"PRODUCTION")&gt;0,"PRODUCTION ","")&amp;IF(COUNTIFS(tbl_Finance[Job Number],C84&amp;"",tbl_Finance[Cost Centre],"VIDEO")&gt;0,"VIDEO ","")&amp;IF(COUNTIFS(tbl_Finance[Job Number],C84&amp;"",tbl_Finance[Cost Centre],"INTEGRATION")&gt;0,"INTEGRATION ","")&amp;IF(COUNTIFS(tbl_Finance[Job Number],C84&amp;"",tbl_Finance[Cost Centre],"CONSULTING")&gt;0,"CONSULTING ","")&amp;IF(COUNTIFS(tbl_Finance[Job Number],C84&amp;"",tbl_Finance[Cost Centre],"CTS")&gt;0,"CTS ",""))," ",", ")))</f>
        <v/>
      </c>
      <c r="L84" s="24" t="n"/>
      <c r="M84" s="24" t="n"/>
      <c r="N84" s="25">
        <f>IF(M84="","",HYPERLINK(IF(LEFT(M84,4)="http",M84,set_QwilrBase&amp;M84),"Open quote"))</f>
        <v/>
      </c>
      <c r="O84" s="69" t="n"/>
      <c r="P84" s="24" t="n"/>
      <c r="Q84" s="24" t="n"/>
    </row>
    <row r="85" ht="15" customHeight="1">
      <c r="A85" s="68">
        <f>IF(C85="","",IFERROR(IF(SUMPRODUCT(MAX((tbl_Finance[Job Number]=C85&amp;"")*(tbl_Finance[Xero Invoice No]&lt;&gt;"")*tbl_Finance[Date]))=0,"",SUMPRODUCT(MAX((tbl_Finance[Job Number]=C85&amp;"")*(tbl_Finance[Xero Invoice No]&lt;&gt;"")*tbl_Finance[Date]))),""))</f>
        <v/>
      </c>
      <c r="B85" s="25">
        <f>IF(C85="","",IF(COUNTIFS(tbl_Finance[Job Number],C85&amp;"",tbl_Finance[Xero Invoice No],"&lt;&gt;")=0,"",IFERROR(IF(COUNTIFS(tbl_Finance[Job Number],C85&amp;"",tbl_Finance[Xero Invoice No],LOOKUP(2,1/((tbl_Finance[Job Number]=C85&amp;"")*(tbl_Finance[Xero Invoice No]&lt;&gt;"")),tbl_Finance[Xero Invoice No]))=COUNTIFS(tbl_Finance[Job Number],C85&amp;"",tbl_Finance[Xero Invoice No],"&lt;&gt;"),LOOKUP(2,1/((tbl_Finance[Job Number]=C85&amp;"")*(tbl_Finance[Xero Invoice No]&lt;&gt;"")),tbl_Finance[Xero Invoice No]),LOOKUP(2,1/((tbl_Finance[Job Number]=C85&amp;"")*(tbl_Finance[Xero Invoice No]&lt;&gt;"")),tbl_Finance[Xero Invoice No])&amp;" +more"),"")))</f>
        <v/>
      </c>
      <c r="C85" s="24" t="n"/>
      <c r="D85" s="25">
        <f>IF(C85="","",IF(COUNTIF(lst_Jobs,C85&amp;"")&gt;0,"OK","CHECK"))</f>
        <v/>
      </c>
      <c r="E85" s="25">
        <f>IF(C85="","",IFERROR(INDEX(lst_JobName,MATCH(C85&amp;"",lst_Jobs,0)),""))</f>
        <v/>
      </c>
      <c r="F85" s="25">
        <f>IF(C85="","",IFERROR(INDEX(tbl_Finance[Client],MATCH(C85&amp;"",tbl_Finance[Job Number],0)),""))</f>
        <v/>
      </c>
      <c r="G85" s="28">
        <f>IF(C85="","",COUNTIFS(tbl_Finance[Job Number],C85&amp;"",tbl_Finance[Ex GST],"&lt;&gt;"))</f>
        <v/>
      </c>
      <c r="H85" s="27">
        <f>IF(C85="","",SUMIFS(tbl_Finance[Ex GST],tbl_Finance[Job Number],C85&amp;""))</f>
        <v/>
      </c>
      <c r="I85" s="27">
        <f>IF(C85="","",SUMIFS(tbl_Finance[Ex GST],tbl_Finance[Job Number],C85&amp;"",tbl_Finance[Xero Invoice No],"&lt;&gt;"))</f>
        <v/>
      </c>
      <c r="J85" s="27">
        <f>IF(C85="","",H85-I85)</f>
        <v/>
      </c>
      <c r="K85" s="25">
        <f>IF(C85="","",IF(G85=0,"not invoiced yet",SUBSTITUTE(TRIM(IF(COUNTIFS(tbl_Finance[Job Number],C85&amp;"",tbl_Finance[Cost Centre],"ONSITE")&gt;0,"ONSITE ","")&amp;IF(COUNTIFS(tbl_Finance[Job Number],C85&amp;"",tbl_Finance[Cost Centre],"PRODUCTION")&gt;0,"PRODUCTION ","")&amp;IF(COUNTIFS(tbl_Finance[Job Number],C85&amp;"",tbl_Finance[Cost Centre],"VIDEO")&gt;0,"VIDEO ","")&amp;IF(COUNTIFS(tbl_Finance[Job Number],C85&amp;"",tbl_Finance[Cost Centre],"INTEGRATION")&gt;0,"INTEGRATION ","")&amp;IF(COUNTIFS(tbl_Finance[Job Number],C85&amp;"",tbl_Finance[Cost Centre],"CONSULTING")&gt;0,"CONSULTING ","")&amp;IF(COUNTIFS(tbl_Finance[Job Number],C85&amp;"",tbl_Finance[Cost Centre],"CTS")&gt;0,"CTS ",""))," ",", ")))</f>
        <v/>
      </c>
      <c r="L85" s="24" t="n"/>
      <c r="M85" s="24" t="n"/>
      <c r="N85" s="25">
        <f>IF(M85="","",HYPERLINK(IF(LEFT(M85,4)="http",M85,set_QwilrBase&amp;M85),"Open quote"))</f>
        <v/>
      </c>
      <c r="O85" s="69" t="n"/>
      <c r="P85" s="24" t="n"/>
      <c r="Q85" s="24" t="n"/>
    </row>
    <row r="86" ht="15" customHeight="1">
      <c r="A86" s="68">
        <f>IF(C86="","",IFERROR(IF(SUMPRODUCT(MAX((tbl_Finance[Job Number]=C86&amp;"")*(tbl_Finance[Xero Invoice No]&lt;&gt;"")*tbl_Finance[Date]))=0,"",SUMPRODUCT(MAX((tbl_Finance[Job Number]=C86&amp;"")*(tbl_Finance[Xero Invoice No]&lt;&gt;"")*tbl_Finance[Date]))),""))</f>
        <v/>
      </c>
      <c r="B86" s="25">
        <f>IF(C86="","",IF(COUNTIFS(tbl_Finance[Job Number],C86&amp;"",tbl_Finance[Xero Invoice No],"&lt;&gt;")=0,"",IFERROR(IF(COUNTIFS(tbl_Finance[Job Number],C86&amp;"",tbl_Finance[Xero Invoice No],LOOKUP(2,1/((tbl_Finance[Job Number]=C86&amp;"")*(tbl_Finance[Xero Invoice No]&lt;&gt;"")),tbl_Finance[Xero Invoice No]))=COUNTIFS(tbl_Finance[Job Number],C86&amp;"",tbl_Finance[Xero Invoice No],"&lt;&gt;"),LOOKUP(2,1/((tbl_Finance[Job Number]=C86&amp;"")*(tbl_Finance[Xero Invoice No]&lt;&gt;"")),tbl_Finance[Xero Invoice No]),LOOKUP(2,1/((tbl_Finance[Job Number]=C86&amp;"")*(tbl_Finance[Xero Invoice No]&lt;&gt;"")),tbl_Finance[Xero Invoice No])&amp;" +more"),"")))</f>
        <v/>
      </c>
      <c r="C86" s="24" t="n"/>
      <c r="D86" s="25">
        <f>IF(C86="","",IF(COUNTIF(lst_Jobs,C86&amp;"")&gt;0,"OK","CHECK"))</f>
        <v/>
      </c>
      <c r="E86" s="25">
        <f>IF(C86="","",IFERROR(INDEX(lst_JobName,MATCH(C86&amp;"",lst_Jobs,0)),""))</f>
        <v/>
      </c>
      <c r="F86" s="25">
        <f>IF(C86="","",IFERROR(INDEX(tbl_Finance[Client],MATCH(C86&amp;"",tbl_Finance[Job Number],0)),""))</f>
        <v/>
      </c>
      <c r="G86" s="28">
        <f>IF(C86="","",COUNTIFS(tbl_Finance[Job Number],C86&amp;"",tbl_Finance[Ex GST],"&lt;&gt;"))</f>
        <v/>
      </c>
      <c r="H86" s="27">
        <f>IF(C86="","",SUMIFS(tbl_Finance[Ex GST],tbl_Finance[Job Number],C86&amp;""))</f>
        <v/>
      </c>
      <c r="I86" s="27">
        <f>IF(C86="","",SUMIFS(tbl_Finance[Ex GST],tbl_Finance[Job Number],C86&amp;"",tbl_Finance[Xero Invoice No],"&lt;&gt;"))</f>
        <v/>
      </c>
      <c r="J86" s="27">
        <f>IF(C86="","",H86-I86)</f>
        <v/>
      </c>
      <c r="K86" s="25">
        <f>IF(C86="","",IF(G86=0,"not invoiced yet",SUBSTITUTE(TRIM(IF(COUNTIFS(tbl_Finance[Job Number],C86&amp;"",tbl_Finance[Cost Centre],"ONSITE")&gt;0,"ONSITE ","")&amp;IF(COUNTIFS(tbl_Finance[Job Number],C86&amp;"",tbl_Finance[Cost Centre],"PRODUCTION")&gt;0,"PRODUCTION ","")&amp;IF(COUNTIFS(tbl_Finance[Job Number],C86&amp;"",tbl_Finance[Cost Centre],"VIDEO")&gt;0,"VIDEO ","")&amp;IF(COUNTIFS(tbl_Finance[Job Number],C86&amp;"",tbl_Finance[Cost Centre],"INTEGRATION")&gt;0,"INTEGRATION ","")&amp;IF(COUNTIFS(tbl_Finance[Job Number],C86&amp;"",tbl_Finance[Cost Centre],"CONSULTING")&gt;0,"CONSULTING ","")&amp;IF(COUNTIFS(tbl_Finance[Job Number],C86&amp;"",tbl_Finance[Cost Centre],"CTS")&gt;0,"CTS ",""))," ",", ")))</f>
        <v/>
      </c>
      <c r="L86" s="24" t="n"/>
      <c r="M86" s="24" t="n"/>
      <c r="N86" s="25">
        <f>IF(M86="","",HYPERLINK(IF(LEFT(M86,4)="http",M86,set_QwilrBase&amp;M86),"Open quote"))</f>
        <v/>
      </c>
      <c r="O86" s="69" t="n"/>
      <c r="P86" s="24" t="n"/>
      <c r="Q86" s="24" t="n"/>
    </row>
    <row r="87" ht="15" customHeight="1">
      <c r="A87" s="68">
        <f>IF(C87="","",IFERROR(IF(SUMPRODUCT(MAX((tbl_Finance[Job Number]=C87&amp;"")*(tbl_Finance[Xero Invoice No]&lt;&gt;"")*tbl_Finance[Date]))=0,"",SUMPRODUCT(MAX((tbl_Finance[Job Number]=C87&amp;"")*(tbl_Finance[Xero Invoice No]&lt;&gt;"")*tbl_Finance[Date]))),""))</f>
        <v/>
      </c>
      <c r="B87" s="25">
        <f>IF(C87="","",IF(COUNTIFS(tbl_Finance[Job Number],C87&amp;"",tbl_Finance[Xero Invoice No],"&lt;&gt;")=0,"",IFERROR(IF(COUNTIFS(tbl_Finance[Job Number],C87&amp;"",tbl_Finance[Xero Invoice No],LOOKUP(2,1/((tbl_Finance[Job Number]=C87&amp;"")*(tbl_Finance[Xero Invoice No]&lt;&gt;"")),tbl_Finance[Xero Invoice No]))=COUNTIFS(tbl_Finance[Job Number],C87&amp;"",tbl_Finance[Xero Invoice No],"&lt;&gt;"),LOOKUP(2,1/((tbl_Finance[Job Number]=C87&amp;"")*(tbl_Finance[Xero Invoice No]&lt;&gt;"")),tbl_Finance[Xero Invoice No]),LOOKUP(2,1/((tbl_Finance[Job Number]=C87&amp;"")*(tbl_Finance[Xero Invoice No]&lt;&gt;"")),tbl_Finance[Xero Invoice No])&amp;" +more"),"")))</f>
        <v/>
      </c>
      <c r="C87" s="24" t="n"/>
      <c r="D87" s="25">
        <f>IF(C87="","",IF(COUNTIF(lst_Jobs,C87&amp;"")&gt;0,"OK","CHECK"))</f>
        <v/>
      </c>
      <c r="E87" s="25">
        <f>IF(C87="","",IFERROR(INDEX(lst_JobName,MATCH(C87&amp;"",lst_Jobs,0)),""))</f>
        <v/>
      </c>
      <c r="F87" s="25">
        <f>IF(C87="","",IFERROR(INDEX(tbl_Finance[Client],MATCH(C87&amp;"",tbl_Finance[Job Number],0)),""))</f>
        <v/>
      </c>
      <c r="G87" s="28">
        <f>IF(C87="","",COUNTIFS(tbl_Finance[Job Number],C87&amp;"",tbl_Finance[Ex GST],"&lt;&gt;"))</f>
        <v/>
      </c>
      <c r="H87" s="27">
        <f>IF(C87="","",SUMIFS(tbl_Finance[Ex GST],tbl_Finance[Job Number],C87&amp;""))</f>
        <v/>
      </c>
      <c r="I87" s="27">
        <f>IF(C87="","",SUMIFS(tbl_Finance[Ex GST],tbl_Finance[Job Number],C87&amp;"",tbl_Finance[Xero Invoice No],"&lt;&gt;"))</f>
        <v/>
      </c>
      <c r="J87" s="27">
        <f>IF(C87="","",H87-I87)</f>
        <v/>
      </c>
      <c r="K87" s="25">
        <f>IF(C87="","",IF(G87=0,"not invoiced yet",SUBSTITUTE(TRIM(IF(COUNTIFS(tbl_Finance[Job Number],C87&amp;"",tbl_Finance[Cost Centre],"ONSITE")&gt;0,"ONSITE ","")&amp;IF(COUNTIFS(tbl_Finance[Job Number],C87&amp;"",tbl_Finance[Cost Centre],"PRODUCTION")&gt;0,"PRODUCTION ","")&amp;IF(COUNTIFS(tbl_Finance[Job Number],C87&amp;"",tbl_Finance[Cost Centre],"VIDEO")&gt;0,"VIDEO ","")&amp;IF(COUNTIFS(tbl_Finance[Job Number],C87&amp;"",tbl_Finance[Cost Centre],"INTEGRATION")&gt;0,"INTEGRATION ","")&amp;IF(COUNTIFS(tbl_Finance[Job Number],C87&amp;"",tbl_Finance[Cost Centre],"CONSULTING")&gt;0,"CONSULTING ","")&amp;IF(COUNTIFS(tbl_Finance[Job Number],C87&amp;"",tbl_Finance[Cost Centre],"CTS")&gt;0,"CTS ",""))," ",", ")))</f>
        <v/>
      </c>
      <c r="L87" s="24" t="n"/>
      <c r="M87" s="24" t="n"/>
      <c r="N87" s="25">
        <f>IF(M87="","",HYPERLINK(IF(LEFT(M87,4)="http",M87,set_QwilrBase&amp;M87),"Open quote"))</f>
        <v/>
      </c>
      <c r="O87" s="69" t="n"/>
      <c r="P87" s="24" t="n"/>
      <c r="Q87" s="24" t="n"/>
    </row>
    <row r="88" ht="15" customHeight="1">
      <c r="A88" s="68">
        <f>IF(C88="","",IFERROR(IF(SUMPRODUCT(MAX((tbl_Finance[Job Number]=C88&amp;"")*(tbl_Finance[Xero Invoice No]&lt;&gt;"")*tbl_Finance[Date]))=0,"",SUMPRODUCT(MAX((tbl_Finance[Job Number]=C88&amp;"")*(tbl_Finance[Xero Invoice No]&lt;&gt;"")*tbl_Finance[Date]))),""))</f>
        <v/>
      </c>
      <c r="B88" s="25">
        <f>IF(C88="","",IF(COUNTIFS(tbl_Finance[Job Number],C88&amp;"",tbl_Finance[Xero Invoice No],"&lt;&gt;")=0,"",IFERROR(IF(COUNTIFS(tbl_Finance[Job Number],C88&amp;"",tbl_Finance[Xero Invoice No],LOOKUP(2,1/((tbl_Finance[Job Number]=C88&amp;"")*(tbl_Finance[Xero Invoice No]&lt;&gt;"")),tbl_Finance[Xero Invoice No]))=COUNTIFS(tbl_Finance[Job Number],C88&amp;"",tbl_Finance[Xero Invoice No],"&lt;&gt;"),LOOKUP(2,1/((tbl_Finance[Job Number]=C88&amp;"")*(tbl_Finance[Xero Invoice No]&lt;&gt;"")),tbl_Finance[Xero Invoice No]),LOOKUP(2,1/((tbl_Finance[Job Number]=C88&amp;"")*(tbl_Finance[Xero Invoice No]&lt;&gt;"")),tbl_Finance[Xero Invoice No])&amp;" +more"),"")))</f>
        <v/>
      </c>
      <c r="C88" s="24" t="n"/>
      <c r="D88" s="25">
        <f>IF(C88="","",IF(COUNTIF(lst_Jobs,C88&amp;"")&gt;0,"OK","CHECK"))</f>
        <v/>
      </c>
      <c r="E88" s="25">
        <f>IF(C88="","",IFERROR(INDEX(lst_JobName,MATCH(C88&amp;"",lst_Jobs,0)),""))</f>
        <v/>
      </c>
      <c r="F88" s="25">
        <f>IF(C88="","",IFERROR(INDEX(tbl_Finance[Client],MATCH(C88&amp;"",tbl_Finance[Job Number],0)),""))</f>
        <v/>
      </c>
      <c r="G88" s="28">
        <f>IF(C88="","",COUNTIFS(tbl_Finance[Job Number],C88&amp;"",tbl_Finance[Ex GST],"&lt;&gt;"))</f>
        <v/>
      </c>
      <c r="H88" s="27">
        <f>IF(C88="","",SUMIFS(tbl_Finance[Ex GST],tbl_Finance[Job Number],C88&amp;""))</f>
        <v/>
      </c>
      <c r="I88" s="27">
        <f>IF(C88="","",SUMIFS(tbl_Finance[Ex GST],tbl_Finance[Job Number],C88&amp;"",tbl_Finance[Xero Invoice No],"&lt;&gt;"))</f>
        <v/>
      </c>
      <c r="J88" s="27">
        <f>IF(C88="","",H88-I88)</f>
        <v/>
      </c>
      <c r="K88" s="25">
        <f>IF(C88="","",IF(G88=0,"not invoiced yet",SUBSTITUTE(TRIM(IF(COUNTIFS(tbl_Finance[Job Number],C88&amp;"",tbl_Finance[Cost Centre],"ONSITE")&gt;0,"ONSITE ","")&amp;IF(COUNTIFS(tbl_Finance[Job Number],C88&amp;"",tbl_Finance[Cost Centre],"PRODUCTION")&gt;0,"PRODUCTION ","")&amp;IF(COUNTIFS(tbl_Finance[Job Number],C88&amp;"",tbl_Finance[Cost Centre],"VIDEO")&gt;0,"VIDEO ","")&amp;IF(COUNTIFS(tbl_Finance[Job Number],C88&amp;"",tbl_Finance[Cost Centre],"INTEGRATION")&gt;0,"INTEGRATION ","")&amp;IF(COUNTIFS(tbl_Finance[Job Number],C88&amp;"",tbl_Finance[Cost Centre],"CONSULTING")&gt;0,"CONSULTING ","")&amp;IF(COUNTIFS(tbl_Finance[Job Number],C88&amp;"",tbl_Finance[Cost Centre],"CTS")&gt;0,"CTS ",""))," ",", ")))</f>
        <v/>
      </c>
      <c r="L88" s="24" t="n"/>
      <c r="M88" s="24" t="n"/>
      <c r="N88" s="25">
        <f>IF(M88="","",HYPERLINK(IF(LEFT(M88,4)="http",M88,set_QwilrBase&amp;M88),"Open quote"))</f>
        <v/>
      </c>
      <c r="O88" s="69" t="n"/>
      <c r="P88" s="24" t="n"/>
      <c r="Q88" s="24" t="n"/>
    </row>
    <row r="89" ht="15" customHeight="1">
      <c r="A89" s="68">
        <f>IF(C89="","",IFERROR(IF(SUMPRODUCT(MAX((tbl_Finance[Job Number]=C89&amp;"")*(tbl_Finance[Xero Invoice No]&lt;&gt;"")*tbl_Finance[Date]))=0,"",SUMPRODUCT(MAX((tbl_Finance[Job Number]=C89&amp;"")*(tbl_Finance[Xero Invoice No]&lt;&gt;"")*tbl_Finance[Date]))),""))</f>
        <v/>
      </c>
      <c r="B89" s="25">
        <f>IF(C89="","",IF(COUNTIFS(tbl_Finance[Job Number],C89&amp;"",tbl_Finance[Xero Invoice No],"&lt;&gt;")=0,"",IFERROR(IF(COUNTIFS(tbl_Finance[Job Number],C89&amp;"",tbl_Finance[Xero Invoice No],LOOKUP(2,1/((tbl_Finance[Job Number]=C89&amp;"")*(tbl_Finance[Xero Invoice No]&lt;&gt;"")),tbl_Finance[Xero Invoice No]))=COUNTIFS(tbl_Finance[Job Number],C89&amp;"",tbl_Finance[Xero Invoice No],"&lt;&gt;"),LOOKUP(2,1/((tbl_Finance[Job Number]=C89&amp;"")*(tbl_Finance[Xero Invoice No]&lt;&gt;"")),tbl_Finance[Xero Invoice No]),LOOKUP(2,1/((tbl_Finance[Job Number]=C89&amp;"")*(tbl_Finance[Xero Invoice No]&lt;&gt;"")),tbl_Finance[Xero Invoice No])&amp;" +more"),"")))</f>
        <v/>
      </c>
      <c r="C89" s="24" t="n"/>
      <c r="D89" s="25">
        <f>IF(C89="","",IF(COUNTIF(lst_Jobs,C89&amp;"")&gt;0,"OK","CHECK"))</f>
        <v/>
      </c>
      <c r="E89" s="25">
        <f>IF(C89="","",IFERROR(INDEX(lst_JobName,MATCH(C89&amp;"",lst_Jobs,0)),""))</f>
        <v/>
      </c>
      <c r="F89" s="25">
        <f>IF(C89="","",IFERROR(INDEX(tbl_Finance[Client],MATCH(C89&amp;"",tbl_Finance[Job Number],0)),""))</f>
        <v/>
      </c>
      <c r="G89" s="28">
        <f>IF(C89="","",COUNTIFS(tbl_Finance[Job Number],C89&amp;"",tbl_Finance[Ex GST],"&lt;&gt;"))</f>
        <v/>
      </c>
      <c r="H89" s="27">
        <f>IF(C89="","",SUMIFS(tbl_Finance[Ex GST],tbl_Finance[Job Number],C89&amp;""))</f>
        <v/>
      </c>
      <c r="I89" s="27">
        <f>IF(C89="","",SUMIFS(tbl_Finance[Ex GST],tbl_Finance[Job Number],C89&amp;"",tbl_Finance[Xero Invoice No],"&lt;&gt;"))</f>
        <v/>
      </c>
      <c r="J89" s="27">
        <f>IF(C89="","",H89-I89)</f>
        <v/>
      </c>
      <c r="K89" s="25">
        <f>IF(C89="","",IF(G89=0,"not invoiced yet",SUBSTITUTE(TRIM(IF(COUNTIFS(tbl_Finance[Job Number],C89&amp;"",tbl_Finance[Cost Centre],"ONSITE")&gt;0,"ONSITE ","")&amp;IF(COUNTIFS(tbl_Finance[Job Number],C89&amp;"",tbl_Finance[Cost Centre],"PRODUCTION")&gt;0,"PRODUCTION ","")&amp;IF(COUNTIFS(tbl_Finance[Job Number],C89&amp;"",tbl_Finance[Cost Centre],"VIDEO")&gt;0,"VIDEO ","")&amp;IF(COUNTIFS(tbl_Finance[Job Number],C89&amp;"",tbl_Finance[Cost Centre],"INTEGRATION")&gt;0,"INTEGRATION ","")&amp;IF(COUNTIFS(tbl_Finance[Job Number],C89&amp;"",tbl_Finance[Cost Centre],"CONSULTING")&gt;0,"CONSULTING ","")&amp;IF(COUNTIFS(tbl_Finance[Job Number],C89&amp;"",tbl_Finance[Cost Centre],"CTS")&gt;0,"CTS ",""))," ",", ")))</f>
        <v/>
      </c>
      <c r="L89" s="24" t="n"/>
      <c r="M89" s="24" t="n"/>
      <c r="N89" s="25">
        <f>IF(M89="","",HYPERLINK(IF(LEFT(M89,4)="http",M89,set_QwilrBase&amp;M89),"Open quote"))</f>
        <v/>
      </c>
      <c r="O89" s="69" t="n"/>
      <c r="P89" s="24" t="n"/>
      <c r="Q89" s="24" t="n"/>
    </row>
    <row r="90" ht="15" customHeight="1">
      <c r="A90" s="68">
        <f>IF(C90="","",IFERROR(IF(SUMPRODUCT(MAX((tbl_Finance[Job Number]=C90&amp;"")*(tbl_Finance[Xero Invoice No]&lt;&gt;"")*tbl_Finance[Date]))=0,"",SUMPRODUCT(MAX((tbl_Finance[Job Number]=C90&amp;"")*(tbl_Finance[Xero Invoice No]&lt;&gt;"")*tbl_Finance[Date]))),""))</f>
        <v/>
      </c>
      <c r="B90" s="25">
        <f>IF(C90="","",IF(COUNTIFS(tbl_Finance[Job Number],C90&amp;"",tbl_Finance[Xero Invoice No],"&lt;&gt;")=0,"",IFERROR(IF(COUNTIFS(tbl_Finance[Job Number],C90&amp;"",tbl_Finance[Xero Invoice No],LOOKUP(2,1/((tbl_Finance[Job Number]=C90&amp;"")*(tbl_Finance[Xero Invoice No]&lt;&gt;"")),tbl_Finance[Xero Invoice No]))=COUNTIFS(tbl_Finance[Job Number],C90&amp;"",tbl_Finance[Xero Invoice No],"&lt;&gt;"),LOOKUP(2,1/((tbl_Finance[Job Number]=C90&amp;"")*(tbl_Finance[Xero Invoice No]&lt;&gt;"")),tbl_Finance[Xero Invoice No]),LOOKUP(2,1/((tbl_Finance[Job Number]=C90&amp;"")*(tbl_Finance[Xero Invoice No]&lt;&gt;"")),tbl_Finance[Xero Invoice No])&amp;" +more"),"")))</f>
        <v/>
      </c>
      <c r="C90" s="24" t="n"/>
      <c r="D90" s="25">
        <f>IF(C90="","",IF(COUNTIF(lst_Jobs,C90&amp;"")&gt;0,"OK","CHECK"))</f>
        <v/>
      </c>
      <c r="E90" s="25">
        <f>IF(C90="","",IFERROR(INDEX(lst_JobName,MATCH(C90&amp;"",lst_Jobs,0)),""))</f>
        <v/>
      </c>
      <c r="F90" s="25">
        <f>IF(C90="","",IFERROR(INDEX(tbl_Finance[Client],MATCH(C90&amp;"",tbl_Finance[Job Number],0)),""))</f>
        <v/>
      </c>
      <c r="G90" s="28">
        <f>IF(C90="","",COUNTIFS(tbl_Finance[Job Number],C90&amp;"",tbl_Finance[Ex GST],"&lt;&gt;"))</f>
        <v/>
      </c>
      <c r="H90" s="27">
        <f>IF(C90="","",SUMIFS(tbl_Finance[Ex GST],tbl_Finance[Job Number],C90&amp;""))</f>
        <v/>
      </c>
      <c r="I90" s="27">
        <f>IF(C90="","",SUMIFS(tbl_Finance[Ex GST],tbl_Finance[Job Number],C90&amp;"",tbl_Finance[Xero Invoice No],"&lt;&gt;"))</f>
        <v/>
      </c>
      <c r="J90" s="27">
        <f>IF(C90="","",H90-I90)</f>
        <v/>
      </c>
      <c r="K90" s="25">
        <f>IF(C90="","",IF(G90=0,"not invoiced yet",SUBSTITUTE(TRIM(IF(COUNTIFS(tbl_Finance[Job Number],C90&amp;"",tbl_Finance[Cost Centre],"ONSITE")&gt;0,"ONSITE ","")&amp;IF(COUNTIFS(tbl_Finance[Job Number],C90&amp;"",tbl_Finance[Cost Centre],"PRODUCTION")&gt;0,"PRODUCTION ","")&amp;IF(COUNTIFS(tbl_Finance[Job Number],C90&amp;"",tbl_Finance[Cost Centre],"VIDEO")&gt;0,"VIDEO ","")&amp;IF(COUNTIFS(tbl_Finance[Job Number],C90&amp;"",tbl_Finance[Cost Centre],"INTEGRATION")&gt;0,"INTEGRATION ","")&amp;IF(COUNTIFS(tbl_Finance[Job Number],C90&amp;"",tbl_Finance[Cost Centre],"CONSULTING")&gt;0,"CONSULTING ","")&amp;IF(COUNTIFS(tbl_Finance[Job Number],C90&amp;"",tbl_Finance[Cost Centre],"CTS")&gt;0,"CTS ",""))," ",", ")))</f>
        <v/>
      </c>
      <c r="L90" s="24" t="n"/>
      <c r="M90" s="24" t="n"/>
      <c r="N90" s="25">
        <f>IF(M90="","",HYPERLINK(IF(LEFT(M90,4)="http",M90,set_QwilrBase&amp;M90),"Open quote"))</f>
        <v/>
      </c>
      <c r="O90" s="69" t="n"/>
      <c r="P90" s="24" t="n"/>
      <c r="Q90" s="24" t="n"/>
    </row>
    <row r="91" ht="15" customHeight="1">
      <c r="A91" s="68">
        <f>IF(C91="","",IFERROR(IF(SUMPRODUCT(MAX((tbl_Finance[Job Number]=C91&amp;"")*(tbl_Finance[Xero Invoice No]&lt;&gt;"")*tbl_Finance[Date]))=0,"",SUMPRODUCT(MAX((tbl_Finance[Job Number]=C91&amp;"")*(tbl_Finance[Xero Invoice No]&lt;&gt;"")*tbl_Finance[Date]))),""))</f>
        <v/>
      </c>
      <c r="B91" s="25">
        <f>IF(C91="","",IF(COUNTIFS(tbl_Finance[Job Number],C91&amp;"",tbl_Finance[Xero Invoice No],"&lt;&gt;")=0,"",IFERROR(IF(COUNTIFS(tbl_Finance[Job Number],C91&amp;"",tbl_Finance[Xero Invoice No],LOOKUP(2,1/((tbl_Finance[Job Number]=C91&amp;"")*(tbl_Finance[Xero Invoice No]&lt;&gt;"")),tbl_Finance[Xero Invoice No]))=COUNTIFS(tbl_Finance[Job Number],C91&amp;"",tbl_Finance[Xero Invoice No],"&lt;&gt;"),LOOKUP(2,1/((tbl_Finance[Job Number]=C91&amp;"")*(tbl_Finance[Xero Invoice No]&lt;&gt;"")),tbl_Finance[Xero Invoice No]),LOOKUP(2,1/((tbl_Finance[Job Number]=C91&amp;"")*(tbl_Finance[Xero Invoice No]&lt;&gt;"")),tbl_Finance[Xero Invoice No])&amp;" +more"),"")))</f>
        <v/>
      </c>
      <c r="C91" s="24" t="n"/>
      <c r="D91" s="25">
        <f>IF(C91="","",IF(COUNTIF(lst_Jobs,C91&amp;"")&gt;0,"OK","CHECK"))</f>
        <v/>
      </c>
      <c r="E91" s="25">
        <f>IF(C91="","",IFERROR(INDEX(lst_JobName,MATCH(C91&amp;"",lst_Jobs,0)),""))</f>
        <v/>
      </c>
      <c r="F91" s="25">
        <f>IF(C91="","",IFERROR(INDEX(tbl_Finance[Client],MATCH(C91&amp;"",tbl_Finance[Job Number],0)),""))</f>
        <v/>
      </c>
      <c r="G91" s="28">
        <f>IF(C91="","",COUNTIFS(tbl_Finance[Job Number],C91&amp;"",tbl_Finance[Ex GST],"&lt;&gt;"))</f>
        <v/>
      </c>
      <c r="H91" s="27">
        <f>IF(C91="","",SUMIFS(tbl_Finance[Ex GST],tbl_Finance[Job Number],C91&amp;""))</f>
        <v/>
      </c>
      <c r="I91" s="27">
        <f>IF(C91="","",SUMIFS(tbl_Finance[Ex GST],tbl_Finance[Job Number],C91&amp;"",tbl_Finance[Xero Invoice No],"&lt;&gt;"))</f>
        <v/>
      </c>
      <c r="J91" s="27">
        <f>IF(C91="","",H91-I91)</f>
        <v/>
      </c>
      <c r="K91" s="25">
        <f>IF(C91="","",IF(G91=0,"not invoiced yet",SUBSTITUTE(TRIM(IF(COUNTIFS(tbl_Finance[Job Number],C91&amp;"",tbl_Finance[Cost Centre],"ONSITE")&gt;0,"ONSITE ","")&amp;IF(COUNTIFS(tbl_Finance[Job Number],C91&amp;"",tbl_Finance[Cost Centre],"PRODUCTION")&gt;0,"PRODUCTION ","")&amp;IF(COUNTIFS(tbl_Finance[Job Number],C91&amp;"",tbl_Finance[Cost Centre],"VIDEO")&gt;0,"VIDEO ","")&amp;IF(COUNTIFS(tbl_Finance[Job Number],C91&amp;"",tbl_Finance[Cost Centre],"INTEGRATION")&gt;0,"INTEGRATION ","")&amp;IF(COUNTIFS(tbl_Finance[Job Number],C91&amp;"",tbl_Finance[Cost Centre],"CONSULTING")&gt;0,"CONSULTING ","")&amp;IF(COUNTIFS(tbl_Finance[Job Number],C91&amp;"",tbl_Finance[Cost Centre],"CTS")&gt;0,"CTS ",""))," ",", ")))</f>
        <v/>
      </c>
      <c r="L91" s="24" t="n"/>
      <c r="M91" s="24" t="n"/>
      <c r="N91" s="25">
        <f>IF(M91="","",HYPERLINK(IF(LEFT(M91,4)="http",M91,set_QwilrBase&amp;M91),"Open quote"))</f>
        <v/>
      </c>
      <c r="O91" s="69" t="n"/>
      <c r="P91" s="24" t="n"/>
      <c r="Q91" s="24" t="n"/>
    </row>
    <row r="92" ht="15" customHeight="1">
      <c r="A92" s="68">
        <f>IF(C92="","",IFERROR(IF(SUMPRODUCT(MAX((tbl_Finance[Job Number]=C92&amp;"")*(tbl_Finance[Xero Invoice No]&lt;&gt;"")*tbl_Finance[Date]))=0,"",SUMPRODUCT(MAX((tbl_Finance[Job Number]=C92&amp;"")*(tbl_Finance[Xero Invoice No]&lt;&gt;"")*tbl_Finance[Date]))),""))</f>
        <v/>
      </c>
      <c r="B92" s="25">
        <f>IF(C92="","",IF(COUNTIFS(tbl_Finance[Job Number],C92&amp;"",tbl_Finance[Xero Invoice No],"&lt;&gt;")=0,"",IFERROR(IF(COUNTIFS(tbl_Finance[Job Number],C92&amp;"",tbl_Finance[Xero Invoice No],LOOKUP(2,1/((tbl_Finance[Job Number]=C92&amp;"")*(tbl_Finance[Xero Invoice No]&lt;&gt;"")),tbl_Finance[Xero Invoice No]))=COUNTIFS(tbl_Finance[Job Number],C92&amp;"",tbl_Finance[Xero Invoice No],"&lt;&gt;"),LOOKUP(2,1/((tbl_Finance[Job Number]=C92&amp;"")*(tbl_Finance[Xero Invoice No]&lt;&gt;"")),tbl_Finance[Xero Invoice No]),LOOKUP(2,1/((tbl_Finance[Job Number]=C92&amp;"")*(tbl_Finance[Xero Invoice No]&lt;&gt;"")),tbl_Finance[Xero Invoice No])&amp;" +more"),"")))</f>
        <v/>
      </c>
      <c r="C92" s="24" t="n"/>
      <c r="D92" s="25">
        <f>IF(C92="","",IF(COUNTIF(lst_Jobs,C92&amp;"")&gt;0,"OK","CHECK"))</f>
        <v/>
      </c>
      <c r="E92" s="25">
        <f>IF(C92="","",IFERROR(INDEX(lst_JobName,MATCH(C92&amp;"",lst_Jobs,0)),""))</f>
        <v/>
      </c>
      <c r="F92" s="25">
        <f>IF(C92="","",IFERROR(INDEX(tbl_Finance[Client],MATCH(C92&amp;"",tbl_Finance[Job Number],0)),""))</f>
        <v/>
      </c>
      <c r="G92" s="28">
        <f>IF(C92="","",COUNTIFS(tbl_Finance[Job Number],C92&amp;"",tbl_Finance[Ex GST],"&lt;&gt;"))</f>
        <v/>
      </c>
      <c r="H92" s="27">
        <f>IF(C92="","",SUMIFS(tbl_Finance[Ex GST],tbl_Finance[Job Number],C92&amp;""))</f>
        <v/>
      </c>
      <c r="I92" s="27">
        <f>IF(C92="","",SUMIFS(tbl_Finance[Ex GST],tbl_Finance[Job Number],C92&amp;"",tbl_Finance[Xero Invoice No],"&lt;&gt;"))</f>
        <v/>
      </c>
      <c r="J92" s="27">
        <f>IF(C92="","",H92-I92)</f>
        <v/>
      </c>
      <c r="K92" s="25">
        <f>IF(C92="","",IF(G92=0,"not invoiced yet",SUBSTITUTE(TRIM(IF(COUNTIFS(tbl_Finance[Job Number],C92&amp;"",tbl_Finance[Cost Centre],"ONSITE")&gt;0,"ONSITE ","")&amp;IF(COUNTIFS(tbl_Finance[Job Number],C92&amp;"",tbl_Finance[Cost Centre],"PRODUCTION")&gt;0,"PRODUCTION ","")&amp;IF(COUNTIFS(tbl_Finance[Job Number],C92&amp;"",tbl_Finance[Cost Centre],"VIDEO")&gt;0,"VIDEO ","")&amp;IF(COUNTIFS(tbl_Finance[Job Number],C92&amp;"",tbl_Finance[Cost Centre],"INTEGRATION")&gt;0,"INTEGRATION ","")&amp;IF(COUNTIFS(tbl_Finance[Job Number],C92&amp;"",tbl_Finance[Cost Centre],"CONSULTING")&gt;0,"CONSULTING ","")&amp;IF(COUNTIFS(tbl_Finance[Job Number],C92&amp;"",tbl_Finance[Cost Centre],"CTS")&gt;0,"CTS ",""))," ",", ")))</f>
        <v/>
      </c>
      <c r="L92" s="24" t="n"/>
      <c r="M92" s="24" t="n"/>
      <c r="N92" s="25">
        <f>IF(M92="","",HYPERLINK(IF(LEFT(M92,4)="http",M92,set_QwilrBase&amp;M92),"Open quote"))</f>
        <v/>
      </c>
      <c r="O92" s="69" t="n"/>
      <c r="P92" s="24" t="n"/>
      <c r="Q92" s="24" t="n"/>
    </row>
    <row r="93" ht="15" customHeight="1">
      <c r="A93" s="68">
        <f>IF(C93="","",IFERROR(IF(SUMPRODUCT(MAX((tbl_Finance[Job Number]=C93&amp;"")*(tbl_Finance[Xero Invoice No]&lt;&gt;"")*tbl_Finance[Date]))=0,"",SUMPRODUCT(MAX((tbl_Finance[Job Number]=C93&amp;"")*(tbl_Finance[Xero Invoice No]&lt;&gt;"")*tbl_Finance[Date]))),""))</f>
        <v/>
      </c>
      <c r="B93" s="25">
        <f>IF(C93="","",IF(COUNTIFS(tbl_Finance[Job Number],C93&amp;"",tbl_Finance[Xero Invoice No],"&lt;&gt;")=0,"",IFERROR(IF(COUNTIFS(tbl_Finance[Job Number],C93&amp;"",tbl_Finance[Xero Invoice No],LOOKUP(2,1/((tbl_Finance[Job Number]=C93&amp;"")*(tbl_Finance[Xero Invoice No]&lt;&gt;"")),tbl_Finance[Xero Invoice No]))=COUNTIFS(tbl_Finance[Job Number],C93&amp;"",tbl_Finance[Xero Invoice No],"&lt;&gt;"),LOOKUP(2,1/((tbl_Finance[Job Number]=C93&amp;"")*(tbl_Finance[Xero Invoice No]&lt;&gt;"")),tbl_Finance[Xero Invoice No]),LOOKUP(2,1/((tbl_Finance[Job Number]=C93&amp;"")*(tbl_Finance[Xero Invoice No]&lt;&gt;"")),tbl_Finance[Xero Invoice No])&amp;" +more"),"")))</f>
        <v/>
      </c>
      <c r="C93" s="24" t="n"/>
      <c r="D93" s="25">
        <f>IF(C93="","",IF(COUNTIF(lst_Jobs,C93&amp;"")&gt;0,"OK","CHECK"))</f>
        <v/>
      </c>
      <c r="E93" s="25">
        <f>IF(C93="","",IFERROR(INDEX(lst_JobName,MATCH(C93&amp;"",lst_Jobs,0)),""))</f>
        <v/>
      </c>
      <c r="F93" s="25">
        <f>IF(C93="","",IFERROR(INDEX(tbl_Finance[Client],MATCH(C93&amp;"",tbl_Finance[Job Number],0)),""))</f>
        <v/>
      </c>
      <c r="G93" s="28">
        <f>IF(C93="","",COUNTIFS(tbl_Finance[Job Number],C93&amp;"",tbl_Finance[Ex GST],"&lt;&gt;"))</f>
        <v/>
      </c>
      <c r="H93" s="27">
        <f>IF(C93="","",SUMIFS(tbl_Finance[Ex GST],tbl_Finance[Job Number],C93&amp;""))</f>
        <v/>
      </c>
      <c r="I93" s="27">
        <f>IF(C93="","",SUMIFS(tbl_Finance[Ex GST],tbl_Finance[Job Number],C93&amp;"",tbl_Finance[Xero Invoice No],"&lt;&gt;"))</f>
        <v/>
      </c>
      <c r="J93" s="27">
        <f>IF(C93="","",H93-I93)</f>
        <v/>
      </c>
      <c r="K93" s="25">
        <f>IF(C93="","",IF(G93=0,"not invoiced yet",SUBSTITUTE(TRIM(IF(COUNTIFS(tbl_Finance[Job Number],C93&amp;"",tbl_Finance[Cost Centre],"ONSITE")&gt;0,"ONSITE ","")&amp;IF(COUNTIFS(tbl_Finance[Job Number],C93&amp;"",tbl_Finance[Cost Centre],"PRODUCTION")&gt;0,"PRODUCTION ","")&amp;IF(COUNTIFS(tbl_Finance[Job Number],C93&amp;"",tbl_Finance[Cost Centre],"VIDEO")&gt;0,"VIDEO ","")&amp;IF(COUNTIFS(tbl_Finance[Job Number],C93&amp;"",tbl_Finance[Cost Centre],"INTEGRATION")&gt;0,"INTEGRATION ","")&amp;IF(COUNTIFS(tbl_Finance[Job Number],C93&amp;"",tbl_Finance[Cost Centre],"CONSULTING")&gt;0,"CONSULTING ","")&amp;IF(COUNTIFS(tbl_Finance[Job Number],C93&amp;"",tbl_Finance[Cost Centre],"CTS")&gt;0,"CTS ",""))," ",", ")))</f>
        <v/>
      </c>
      <c r="L93" s="24" t="n"/>
      <c r="M93" s="24" t="n"/>
      <c r="N93" s="25">
        <f>IF(M93="","",HYPERLINK(IF(LEFT(M93,4)="http",M93,set_QwilrBase&amp;M93),"Open quote"))</f>
        <v/>
      </c>
      <c r="O93" s="69" t="n"/>
      <c r="P93" s="24" t="n"/>
      <c r="Q93" s="24" t="n"/>
    </row>
    <row r="94" ht="15" customHeight="1">
      <c r="A94" s="68">
        <f>IF(C94="","",IFERROR(IF(SUMPRODUCT(MAX((tbl_Finance[Job Number]=C94&amp;"")*(tbl_Finance[Xero Invoice No]&lt;&gt;"")*tbl_Finance[Date]))=0,"",SUMPRODUCT(MAX((tbl_Finance[Job Number]=C94&amp;"")*(tbl_Finance[Xero Invoice No]&lt;&gt;"")*tbl_Finance[Date]))),""))</f>
        <v/>
      </c>
      <c r="B94" s="25">
        <f>IF(C94="","",IF(COUNTIFS(tbl_Finance[Job Number],C94&amp;"",tbl_Finance[Xero Invoice No],"&lt;&gt;")=0,"",IFERROR(IF(COUNTIFS(tbl_Finance[Job Number],C94&amp;"",tbl_Finance[Xero Invoice No],LOOKUP(2,1/((tbl_Finance[Job Number]=C94&amp;"")*(tbl_Finance[Xero Invoice No]&lt;&gt;"")),tbl_Finance[Xero Invoice No]))=COUNTIFS(tbl_Finance[Job Number],C94&amp;"",tbl_Finance[Xero Invoice No],"&lt;&gt;"),LOOKUP(2,1/((tbl_Finance[Job Number]=C94&amp;"")*(tbl_Finance[Xero Invoice No]&lt;&gt;"")),tbl_Finance[Xero Invoice No]),LOOKUP(2,1/((tbl_Finance[Job Number]=C94&amp;"")*(tbl_Finance[Xero Invoice No]&lt;&gt;"")),tbl_Finance[Xero Invoice No])&amp;" +more"),"")))</f>
        <v/>
      </c>
      <c r="C94" s="24" t="n"/>
      <c r="D94" s="25">
        <f>IF(C94="","",IF(COUNTIF(lst_Jobs,C94&amp;"")&gt;0,"OK","CHECK"))</f>
        <v/>
      </c>
      <c r="E94" s="25">
        <f>IF(C94="","",IFERROR(INDEX(lst_JobName,MATCH(C94&amp;"",lst_Jobs,0)),""))</f>
        <v/>
      </c>
      <c r="F94" s="25">
        <f>IF(C94="","",IFERROR(INDEX(tbl_Finance[Client],MATCH(C94&amp;"",tbl_Finance[Job Number],0)),""))</f>
        <v/>
      </c>
      <c r="G94" s="28">
        <f>IF(C94="","",COUNTIFS(tbl_Finance[Job Number],C94&amp;"",tbl_Finance[Ex GST],"&lt;&gt;"))</f>
        <v/>
      </c>
      <c r="H94" s="27">
        <f>IF(C94="","",SUMIFS(tbl_Finance[Ex GST],tbl_Finance[Job Number],C94&amp;""))</f>
        <v/>
      </c>
      <c r="I94" s="27">
        <f>IF(C94="","",SUMIFS(tbl_Finance[Ex GST],tbl_Finance[Job Number],C94&amp;"",tbl_Finance[Xero Invoice No],"&lt;&gt;"))</f>
        <v/>
      </c>
      <c r="J94" s="27">
        <f>IF(C94="","",H94-I94)</f>
        <v/>
      </c>
      <c r="K94" s="25">
        <f>IF(C94="","",IF(G94=0,"not invoiced yet",SUBSTITUTE(TRIM(IF(COUNTIFS(tbl_Finance[Job Number],C94&amp;"",tbl_Finance[Cost Centre],"ONSITE")&gt;0,"ONSITE ","")&amp;IF(COUNTIFS(tbl_Finance[Job Number],C94&amp;"",tbl_Finance[Cost Centre],"PRODUCTION")&gt;0,"PRODUCTION ","")&amp;IF(COUNTIFS(tbl_Finance[Job Number],C94&amp;"",tbl_Finance[Cost Centre],"VIDEO")&gt;0,"VIDEO ","")&amp;IF(COUNTIFS(tbl_Finance[Job Number],C94&amp;"",tbl_Finance[Cost Centre],"INTEGRATION")&gt;0,"INTEGRATION ","")&amp;IF(COUNTIFS(tbl_Finance[Job Number],C94&amp;"",tbl_Finance[Cost Centre],"CONSULTING")&gt;0,"CONSULTING ","")&amp;IF(COUNTIFS(tbl_Finance[Job Number],C94&amp;"",tbl_Finance[Cost Centre],"CTS")&gt;0,"CTS ",""))," ",", ")))</f>
        <v/>
      </c>
      <c r="L94" s="24" t="n"/>
      <c r="M94" s="24" t="n"/>
      <c r="N94" s="25">
        <f>IF(M94="","",HYPERLINK(IF(LEFT(M94,4)="http",M94,set_QwilrBase&amp;M94),"Open quote"))</f>
        <v/>
      </c>
      <c r="O94" s="69" t="n"/>
      <c r="P94" s="24" t="n"/>
      <c r="Q94" s="24" t="n"/>
    </row>
    <row r="95" ht="15" customHeight="1">
      <c r="A95" s="68">
        <f>IF(C95="","",IFERROR(IF(SUMPRODUCT(MAX((tbl_Finance[Job Number]=C95&amp;"")*(tbl_Finance[Xero Invoice No]&lt;&gt;"")*tbl_Finance[Date]))=0,"",SUMPRODUCT(MAX((tbl_Finance[Job Number]=C95&amp;"")*(tbl_Finance[Xero Invoice No]&lt;&gt;"")*tbl_Finance[Date]))),""))</f>
        <v/>
      </c>
      <c r="B95" s="25">
        <f>IF(C95="","",IF(COUNTIFS(tbl_Finance[Job Number],C95&amp;"",tbl_Finance[Xero Invoice No],"&lt;&gt;")=0,"",IFERROR(IF(COUNTIFS(tbl_Finance[Job Number],C95&amp;"",tbl_Finance[Xero Invoice No],LOOKUP(2,1/((tbl_Finance[Job Number]=C95&amp;"")*(tbl_Finance[Xero Invoice No]&lt;&gt;"")),tbl_Finance[Xero Invoice No]))=COUNTIFS(tbl_Finance[Job Number],C95&amp;"",tbl_Finance[Xero Invoice No],"&lt;&gt;"),LOOKUP(2,1/((tbl_Finance[Job Number]=C95&amp;"")*(tbl_Finance[Xero Invoice No]&lt;&gt;"")),tbl_Finance[Xero Invoice No]),LOOKUP(2,1/((tbl_Finance[Job Number]=C95&amp;"")*(tbl_Finance[Xero Invoice No]&lt;&gt;"")),tbl_Finance[Xero Invoice No])&amp;" +more"),"")))</f>
        <v/>
      </c>
      <c r="C95" s="24" t="n"/>
      <c r="D95" s="25">
        <f>IF(C95="","",IF(COUNTIF(lst_Jobs,C95&amp;"")&gt;0,"OK","CHECK"))</f>
        <v/>
      </c>
      <c r="E95" s="25">
        <f>IF(C95="","",IFERROR(INDEX(lst_JobName,MATCH(C95&amp;"",lst_Jobs,0)),""))</f>
        <v/>
      </c>
      <c r="F95" s="25">
        <f>IF(C95="","",IFERROR(INDEX(tbl_Finance[Client],MATCH(C95&amp;"",tbl_Finance[Job Number],0)),""))</f>
        <v/>
      </c>
      <c r="G95" s="28">
        <f>IF(C95="","",COUNTIFS(tbl_Finance[Job Number],C95&amp;"",tbl_Finance[Ex GST],"&lt;&gt;"))</f>
        <v/>
      </c>
      <c r="H95" s="27">
        <f>IF(C95="","",SUMIFS(tbl_Finance[Ex GST],tbl_Finance[Job Number],C95&amp;""))</f>
        <v/>
      </c>
      <c r="I95" s="27">
        <f>IF(C95="","",SUMIFS(tbl_Finance[Ex GST],tbl_Finance[Job Number],C95&amp;"",tbl_Finance[Xero Invoice No],"&lt;&gt;"))</f>
        <v/>
      </c>
      <c r="J95" s="27">
        <f>IF(C95="","",H95-I95)</f>
        <v/>
      </c>
      <c r="K95" s="25">
        <f>IF(C95="","",IF(G95=0,"not invoiced yet",SUBSTITUTE(TRIM(IF(COUNTIFS(tbl_Finance[Job Number],C95&amp;"",tbl_Finance[Cost Centre],"ONSITE")&gt;0,"ONSITE ","")&amp;IF(COUNTIFS(tbl_Finance[Job Number],C95&amp;"",tbl_Finance[Cost Centre],"PRODUCTION")&gt;0,"PRODUCTION ","")&amp;IF(COUNTIFS(tbl_Finance[Job Number],C95&amp;"",tbl_Finance[Cost Centre],"VIDEO")&gt;0,"VIDEO ","")&amp;IF(COUNTIFS(tbl_Finance[Job Number],C95&amp;"",tbl_Finance[Cost Centre],"INTEGRATION")&gt;0,"INTEGRATION ","")&amp;IF(COUNTIFS(tbl_Finance[Job Number],C95&amp;"",tbl_Finance[Cost Centre],"CONSULTING")&gt;0,"CONSULTING ","")&amp;IF(COUNTIFS(tbl_Finance[Job Number],C95&amp;"",tbl_Finance[Cost Centre],"CTS")&gt;0,"CTS ",""))," ",", ")))</f>
        <v/>
      </c>
      <c r="L95" s="24" t="n"/>
      <c r="M95" s="24" t="n"/>
      <c r="N95" s="25">
        <f>IF(M95="","",HYPERLINK(IF(LEFT(M95,4)="http",M95,set_QwilrBase&amp;M95),"Open quote"))</f>
        <v/>
      </c>
      <c r="O95" s="69" t="n"/>
      <c r="P95" s="24" t="n"/>
      <c r="Q95" s="24" t="n"/>
    </row>
    <row r="96" ht="15" customHeight="1">
      <c r="A96" s="68">
        <f>IF(C96="","",IFERROR(IF(SUMPRODUCT(MAX((tbl_Finance[Job Number]=C96&amp;"")*(tbl_Finance[Xero Invoice No]&lt;&gt;"")*tbl_Finance[Date]))=0,"",SUMPRODUCT(MAX((tbl_Finance[Job Number]=C96&amp;"")*(tbl_Finance[Xero Invoice No]&lt;&gt;"")*tbl_Finance[Date]))),""))</f>
        <v/>
      </c>
      <c r="B96" s="25">
        <f>IF(C96="","",IF(COUNTIFS(tbl_Finance[Job Number],C96&amp;"",tbl_Finance[Xero Invoice No],"&lt;&gt;")=0,"",IFERROR(IF(COUNTIFS(tbl_Finance[Job Number],C96&amp;"",tbl_Finance[Xero Invoice No],LOOKUP(2,1/((tbl_Finance[Job Number]=C96&amp;"")*(tbl_Finance[Xero Invoice No]&lt;&gt;"")),tbl_Finance[Xero Invoice No]))=COUNTIFS(tbl_Finance[Job Number],C96&amp;"",tbl_Finance[Xero Invoice No],"&lt;&gt;"),LOOKUP(2,1/((tbl_Finance[Job Number]=C96&amp;"")*(tbl_Finance[Xero Invoice No]&lt;&gt;"")),tbl_Finance[Xero Invoice No]),LOOKUP(2,1/((tbl_Finance[Job Number]=C96&amp;"")*(tbl_Finance[Xero Invoice No]&lt;&gt;"")),tbl_Finance[Xero Invoice No])&amp;" +more"),"")))</f>
        <v/>
      </c>
      <c r="C96" s="24" t="n"/>
      <c r="D96" s="25">
        <f>IF(C96="","",IF(COUNTIF(lst_Jobs,C96&amp;"")&gt;0,"OK","CHECK"))</f>
        <v/>
      </c>
      <c r="E96" s="25">
        <f>IF(C96="","",IFERROR(INDEX(lst_JobName,MATCH(C96&amp;"",lst_Jobs,0)),""))</f>
        <v/>
      </c>
      <c r="F96" s="25">
        <f>IF(C96="","",IFERROR(INDEX(tbl_Finance[Client],MATCH(C96&amp;"",tbl_Finance[Job Number],0)),""))</f>
        <v/>
      </c>
      <c r="G96" s="28">
        <f>IF(C96="","",COUNTIFS(tbl_Finance[Job Number],C96&amp;"",tbl_Finance[Ex GST],"&lt;&gt;"))</f>
        <v/>
      </c>
      <c r="H96" s="27">
        <f>IF(C96="","",SUMIFS(tbl_Finance[Ex GST],tbl_Finance[Job Number],C96&amp;""))</f>
        <v/>
      </c>
      <c r="I96" s="27">
        <f>IF(C96="","",SUMIFS(tbl_Finance[Ex GST],tbl_Finance[Job Number],C96&amp;"",tbl_Finance[Xero Invoice No],"&lt;&gt;"))</f>
        <v/>
      </c>
      <c r="J96" s="27">
        <f>IF(C96="","",H96-I96)</f>
        <v/>
      </c>
      <c r="K96" s="25">
        <f>IF(C96="","",IF(G96=0,"not invoiced yet",SUBSTITUTE(TRIM(IF(COUNTIFS(tbl_Finance[Job Number],C96&amp;"",tbl_Finance[Cost Centre],"ONSITE")&gt;0,"ONSITE ","")&amp;IF(COUNTIFS(tbl_Finance[Job Number],C96&amp;"",tbl_Finance[Cost Centre],"PRODUCTION")&gt;0,"PRODUCTION ","")&amp;IF(COUNTIFS(tbl_Finance[Job Number],C96&amp;"",tbl_Finance[Cost Centre],"VIDEO")&gt;0,"VIDEO ","")&amp;IF(COUNTIFS(tbl_Finance[Job Number],C96&amp;"",tbl_Finance[Cost Centre],"INTEGRATION")&gt;0,"INTEGRATION ","")&amp;IF(COUNTIFS(tbl_Finance[Job Number],C96&amp;"",tbl_Finance[Cost Centre],"CONSULTING")&gt;0,"CONSULTING ","")&amp;IF(COUNTIFS(tbl_Finance[Job Number],C96&amp;"",tbl_Finance[Cost Centre],"CTS")&gt;0,"CTS ",""))," ",", ")))</f>
        <v/>
      </c>
      <c r="L96" s="24" t="n"/>
      <c r="M96" s="24" t="n"/>
      <c r="N96" s="25">
        <f>IF(M96="","",HYPERLINK(IF(LEFT(M96,4)="http",M96,set_QwilrBase&amp;M96),"Open quote"))</f>
        <v/>
      </c>
      <c r="O96" s="69" t="n"/>
      <c r="P96" s="24" t="n"/>
      <c r="Q96" s="24" t="n"/>
    </row>
    <row r="97" ht="15" customHeight="1">
      <c r="A97" s="68">
        <f>IF(C97="","",IFERROR(IF(SUMPRODUCT(MAX((tbl_Finance[Job Number]=C97&amp;"")*(tbl_Finance[Xero Invoice No]&lt;&gt;"")*tbl_Finance[Date]))=0,"",SUMPRODUCT(MAX((tbl_Finance[Job Number]=C97&amp;"")*(tbl_Finance[Xero Invoice No]&lt;&gt;"")*tbl_Finance[Date]))),""))</f>
        <v/>
      </c>
      <c r="B97" s="25">
        <f>IF(C97="","",IF(COUNTIFS(tbl_Finance[Job Number],C97&amp;"",tbl_Finance[Xero Invoice No],"&lt;&gt;")=0,"",IFERROR(IF(COUNTIFS(tbl_Finance[Job Number],C97&amp;"",tbl_Finance[Xero Invoice No],LOOKUP(2,1/((tbl_Finance[Job Number]=C97&amp;"")*(tbl_Finance[Xero Invoice No]&lt;&gt;"")),tbl_Finance[Xero Invoice No]))=COUNTIFS(tbl_Finance[Job Number],C97&amp;"",tbl_Finance[Xero Invoice No],"&lt;&gt;"),LOOKUP(2,1/((tbl_Finance[Job Number]=C97&amp;"")*(tbl_Finance[Xero Invoice No]&lt;&gt;"")),tbl_Finance[Xero Invoice No]),LOOKUP(2,1/((tbl_Finance[Job Number]=C97&amp;"")*(tbl_Finance[Xero Invoice No]&lt;&gt;"")),tbl_Finance[Xero Invoice No])&amp;" +more"),"")))</f>
        <v/>
      </c>
      <c r="C97" s="24" t="n"/>
      <c r="D97" s="25">
        <f>IF(C97="","",IF(COUNTIF(lst_Jobs,C97&amp;"")&gt;0,"OK","CHECK"))</f>
        <v/>
      </c>
      <c r="E97" s="25">
        <f>IF(C97="","",IFERROR(INDEX(lst_JobName,MATCH(C97&amp;"",lst_Jobs,0)),""))</f>
        <v/>
      </c>
      <c r="F97" s="25">
        <f>IF(C97="","",IFERROR(INDEX(tbl_Finance[Client],MATCH(C97&amp;"",tbl_Finance[Job Number],0)),""))</f>
        <v/>
      </c>
      <c r="G97" s="28">
        <f>IF(C97="","",COUNTIFS(tbl_Finance[Job Number],C97&amp;"",tbl_Finance[Ex GST],"&lt;&gt;"))</f>
        <v/>
      </c>
      <c r="H97" s="27">
        <f>IF(C97="","",SUMIFS(tbl_Finance[Ex GST],tbl_Finance[Job Number],C97&amp;""))</f>
        <v/>
      </c>
      <c r="I97" s="27">
        <f>IF(C97="","",SUMIFS(tbl_Finance[Ex GST],tbl_Finance[Job Number],C97&amp;"",tbl_Finance[Xero Invoice No],"&lt;&gt;"))</f>
        <v/>
      </c>
      <c r="J97" s="27">
        <f>IF(C97="","",H97-I97)</f>
        <v/>
      </c>
      <c r="K97" s="25">
        <f>IF(C97="","",IF(G97=0,"not invoiced yet",SUBSTITUTE(TRIM(IF(COUNTIFS(tbl_Finance[Job Number],C97&amp;"",tbl_Finance[Cost Centre],"ONSITE")&gt;0,"ONSITE ","")&amp;IF(COUNTIFS(tbl_Finance[Job Number],C97&amp;"",tbl_Finance[Cost Centre],"PRODUCTION")&gt;0,"PRODUCTION ","")&amp;IF(COUNTIFS(tbl_Finance[Job Number],C97&amp;"",tbl_Finance[Cost Centre],"VIDEO")&gt;0,"VIDEO ","")&amp;IF(COUNTIFS(tbl_Finance[Job Number],C97&amp;"",tbl_Finance[Cost Centre],"INTEGRATION")&gt;0,"INTEGRATION ","")&amp;IF(COUNTIFS(tbl_Finance[Job Number],C97&amp;"",tbl_Finance[Cost Centre],"CONSULTING")&gt;0,"CONSULTING ","")&amp;IF(COUNTIFS(tbl_Finance[Job Number],C97&amp;"",tbl_Finance[Cost Centre],"CTS")&gt;0,"CTS ",""))," ",", ")))</f>
        <v/>
      </c>
      <c r="L97" s="24" t="n"/>
      <c r="M97" s="24" t="n"/>
      <c r="N97" s="25">
        <f>IF(M97="","",HYPERLINK(IF(LEFT(M97,4)="http",M97,set_QwilrBase&amp;M97),"Open quote"))</f>
        <v/>
      </c>
      <c r="O97" s="69" t="n"/>
      <c r="P97" s="24" t="n"/>
      <c r="Q97" s="24" t="n"/>
    </row>
    <row r="98" ht="15" customHeight="1">
      <c r="A98" s="68">
        <f>IF(C98="","",IFERROR(IF(SUMPRODUCT(MAX((tbl_Finance[Job Number]=C98&amp;"")*(tbl_Finance[Xero Invoice No]&lt;&gt;"")*tbl_Finance[Date]))=0,"",SUMPRODUCT(MAX((tbl_Finance[Job Number]=C98&amp;"")*(tbl_Finance[Xero Invoice No]&lt;&gt;"")*tbl_Finance[Date]))),""))</f>
        <v/>
      </c>
      <c r="B98" s="25">
        <f>IF(C98="","",IF(COUNTIFS(tbl_Finance[Job Number],C98&amp;"",tbl_Finance[Xero Invoice No],"&lt;&gt;")=0,"",IFERROR(IF(COUNTIFS(tbl_Finance[Job Number],C98&amp;"",tbl_Finance[Xero Invoice No],LOOKUP(2,1/((tbl_Finance[Job Number]=C98&amp;"")*(tbl_Finance[Xero Invoice No]&lt;&gt;"")),tbl_Finance[Xero Invoice No]))=COUNTIFS(tbl_Finance[Job Number],C98&amp;"",tbl_Finance[Xero Invoice No],"&lt;&gt;"),LOOKUP(2,1/((tbl_Finance[Job Number]=C98&amp;"")*(tbl_Finance[Xero Invoice No]&lt;&gt;"")),tbl_Finance[Xero Invoice No]),LOOKUP(2,1/((tbl_Finance[Job Number]=C98&amp;"")*(tbl_Finance[Xero Invoice No]&lt;&gt;"")),tbl_Finance[Xero Invoice No])&amp;" +more"),"")))</f>
        <v/>
      </c>
      <c r="C98" s="24" t="n"/>
      <c r="D98" s="25">
        <f>IF(C98="","",IF(COUNTIF(lst_Jobs,C98&amp;"")&gt;0,"OK","CHECK"))</f>
        <v/>
      </c>
      <c r="E98" s="25">
        <f>IF(C98="","",IFERROR(INDEX(lst_JobName,MATCH(C98&amp;"",lst_Jobs,0)),""))</f>
        <v/>
      </c>
      <c r="F98" s="25">
        <f>IF(C98="","",IFERROR(INDEX(tbl_Finance[Client],MATCH(C98&amp;"",tbl_Finance[Job Number],0)),""))</f>
        <v/>
      </c>
      <c r="G98" s="28">
        <f>IF(C98="","",COUNTIFS(tbl_Finance[Job Number],C98&amp;"",tbl_Finance[Ex GST],"&lt;&gt;"))</f>
        <v/>
      </c>
      <c r="H98" s="27">
        <f>IF(C98="","",SUMIFS(tbl_Finance[Ex GST],tbl_Finance[Job Number],C98&amp;""))</f>
        <v/>
      </c>
      <c r="I98" s="27">
        <f>IF(C98="","",SUMIFS(tbl_Finance[Ex GST],tbl_Finance[Job Number],C98&amp;"",tbl_Finance[Xero Invoice No],"&lt;&gt;"))</f>
        <v/>
      </c>
      <c r="J98" s="27">
        <f>IF(C98="","",H98-I98)</f>
        <v/>
      </c>
      <c r="K98" s="25">
        <f>IF(C98="","",IF(G98=0,"not invoiced yet",SUBSTITUTE(TRIM(IF(COUNTIFS(tbl_Finance[Job Number],C98&amp;"",tbl_Finance[Cost Centre],"ONSITE")&gt;0,"ONSITE ","")&amp;IF(COUNTIFS(tbl_Finance[Job Number],C98&amp;"",tbl_Finance[Cost Centre],"PRODUCTION")&gt;0,"PRODUCTION ","")&amp;IF(COUNTIFS(tbl_Finance[Job Number],C98&amp;"",tbl_Finance[Cost Centre],"VIDEO")&gt;0,"VIDEO ","")&amp;IF(COUNTIFS(tbl_Finance[Job Number],C98&amp;"",tbl_Finance[Cost Centre],"INTEGRATION")&gt;0,"INTEGRATION ","")&amp;IF(COUNTIFS(tbl_Finance[Job Number],C98&amp;"",tbl_Finance[Cost Centre],"CONSULTING")&gt;0,"CONSULTING ","")&amp;IF(COUNTIFS(tbl_Finance[Job Number],C98&amp;"",tbl_Finance[Cost Centre],"CTS")&gt;0,"CTS ",""))," ",", ")))</f>
        <v/>
      </c>
      <c r="L98" s="24" t="n"/>
      <c r="M98" s="24" t="n"/>
      <c r="N98" s="25">
        <f>IF(M98="","",HYPERLINK(IF(LEFT(M98,4)="http",M98,set_QwilrBase&amp;M98),"Open quote"))</f>
        <v/>
      </c>
      <c r="O98" s="69" t="n"/>
      <c r="P98" s="24" t="n"/>
      <c r="Q98" s="24" t="n"/>
    </row>
    <row r="99" ht="15" customHeight="1">
      <c r="A99" s="68">
        <f>IF(C99="","",IFERROR(IF(SUMPRODUCT(MAX((tbl_Finance[Job Number]=C99&amp;"")*(tbl_Finance[Xero Invoice No]&lt;&gt;"")*tbl_Finance[Date]))=0,"",SUMPRODUCT(MAX((tbl_Finance[Job Number]=C99&amp;"")*(tbl_Finance[Xero Invoice No]&lt;&gt;"")*tbl_Finance[Date]))),""))</f>
        <v/>
      </c>
      <c r="B99" s="25">
        <f>IF(C99="","",IF(COUNTIFS(tbl_Finance[Job Number],C99&amp;"",tbl_Finance[Xero Invoice No],"&lt;&gt;")=0,"",IFERROR(IF(COUNTIFS(tbl_Finance[Job Number],C99&amp;"",tbl_Finance[Xero Invoice No],LOOKUP(2,1/((tbl_Finance[Job Number]=C99&amp;"")*(tbl_Finance[Xero Invoice No]&lt;&gt;"")),tbl_Finance[Xero Invoice No]))=COUNTIFS(tbl_Finance[Job Number],C99&amp;"",tbl_Finance[Xero Invoice No],"&lt;&gt;"),LOOKUP(2,1/((tbl_Finance[Job Number]=C99&amp;"")*(tbl_Finance[Xero Invoice No]&lt;&gt;"")),tbl_Finance[Xero Invoice No]),LOOKUP(2,1/((tbl_Finance[Job Number]=C99&amp;"")*(tbl_Finance[Xero Invoice No]&lt;&gt;"")),tbl_Finance[Xero Invoice No])&amp;" +more"),"")))</f>
        <v/>
      </c>
      <c r="C99" s="24" t="n"/>
      <c r="D99" s="25">
        <f>IF(C99="","",IF(COUNTIF(lst_Jobs,C99&amp;"")&gt;0,"OK","CHECK"))</f>
        <v/>
      </c>
      <c r="E99" s="25">
        <f>IF(C99="","",IFERROR(INDEX(lst_JobName,MATCH(C99&amp;"",lst_Jobs,0)),""))</f>
        <v/>
      </c>
      <c r="F99" s="25">
        <f>IF(C99="","",IFERROR(INDEX(tbl_Finance[Client],MATCH(C99&amp;"",tbl_Finance[Job Number],0)),""))</f>
        <v/>
      </c>
      <c r="G99" s="28">
        <f>IF(C99="","",COUNTIFS(tbl_Finance[Job Number],C99&amp;"",tbl_Finance[Ex GST],"&lt;&gt;"))</f>
        <v/>
      </c>
      <c r="H99" s="27">
        <f>IF(C99="","",SUMIFS(tbl_Finance[Ex GST],tbl_Finance[Job Number],C99&amp;""))</f>
        <v/>
      </c>
      <c r="I99" s="27">
        <f>IF(C99="","",SUMIFS(tbl_Finance[Ex GST],tbl_Finance[Job Number],C99&amp;"",tbl_Finance[Xero Invoice No],"&lt;&gt;"))</f>
        <v/>
      </c>
      <c r="J99" s="27">
        <f>IF(C99="","",H99-I99)</f>
        <v/>
      </c>
      <c r="K99" s="25">
        <f>IF(C99="","",IF(G99=0,"not invoiced yet",SUBSTITUTE(TRIM(IF(COUNTIFS(tbl_Finance[Job Number],C99&amp;"",tbl_Finance[Cost Centre],"ONSITE")&gt;0,"ONSITE ","")&amp;IF(COUNTIFS(tbl_Finance[Job Number],C99&amp;"",tbl_Finance[Cost Centre],"PRODUCTION")&gt;0,"PRODUCTION ","")&amp;IF(COUNTIFS(tbl_Finance[Job Number],C99&amp;"",tbl_Finance[Cost Centre],"VIDEO")&gt;0,"VIDEO ","")&amp;IF(COUNTIFS(tbl_Finance[Job Number],C99&amp;"",tbl_Finance[Cost Centre],"INTEGRATION")&gt;0,"INTEGRATION ","")&amp;IF(COUNTIFS(tbl_Finance[Job Number],C99&amp;"",tbl_Finance[Cost Centre],"CONSULTING")&gt;0,"CONSULTING ","")&amp;IF(COUNTIFS(tbl_Finance[Job Number],C99&amp;"",tbl_Finance[Cost Centre],"CTS")&gt;0,"CTS ",""))," ",", ")))</f>
        <v/>
      </c>
      <c r="L99" s="24" t="n"/>
      <c r="M99" s="24" t="n"/>
      <c r="N99" s="25">
        <f>IF(M99="","",HYPERLINK(IF(LEFT(M99,4)="http",M99,set_QwilrBase&amp;M99),"Open quote"))</f>
        <v/>
      </c>
      <c r="O99" s="69" t="n"/>
      <c r="P99" s="24" t="n"/>
      <c r="Q99" s="24" t="n"/>
    </row>
    <row r="100" ht="15" customHeight="1">
      <c r="A100" s="68">
        <f>IF(C100="","",IFERROR(IF(SUMPRODUCT(MAX((tbl_Finance[Job Number]=C100&amp;"")*(tbl_Finance[Xero Invoice No]&lt;&gt;"")*tbl_Finance[Date]))=0,"",SUMPRODUCT(MAX((tbl_Finance[Job Number]=C100&amp;"")*(tbl_Finance[Xero Invoice No]&lt;&gt;"")*tbl_Finance[Date]))),""))</f>
        <v/>
      </c>
      <c r="B100" s="25">
        <f>IF(C100="","",IF(COUNTIFS(tbl_Finance[Job Number],C100&amp;"",tbl_Finance[Xero Invoice No],"&lt;&gt;")=0,"",IFERROR(IF(COUNTIFS(tbl_Finance[Job Number],C100&amp;"",tbl_Finance[Xero Invoice No],LOOKUP(2,1/((tbl_Finance[Job Number]=C100&amp;"")*(tbl_Finance[Xero Invoice No]&lt;&gt;"")),tbl_Finance[Xero Invoice No]))=COUNTIFS(tbl_Finance[Job Number],C100&amp;"",tbl_Finance[Xero Invoice No],"&lt;&gt;"),LOOKUP(2,1/((tbl_Finance[Job Number]=C100&amp;"")*(tbl_Finance[Xero Invoice No]&lt;&gt;"")),tbl_Finance[Xero Invoice No]),LOOKUP(2,1/((tbl_Finance[Job Number]=C100&amp;"")*(tbl_Finance[Xero Invoice No]&lt;&gt;"")),tbl_Finance[Xero Invoice No])&amp;" +more"),"")))</f>
        <v/>
      </c>
      <c r="C100" s="24" t="n"/>
      <c r="D100" s="25">
        <f>IF(C100="","",IF(COUNTIF(lst_Jobs,C100&amp;"")&gt;0,"OK","CHECK"))</f>
        <v/>
      </c>
      <c r="E100" s="25">
        <f>IF(C100="","",IFERROR(INDEX(lst_JobName,MATCH(C100&amp;"",lst_Jobs,0)),""))</f>
        <v/>
      </c>
      <c r="F100" s="25">
        <f>IF(C100="","",IFERROR(INDEX(tbl_Finance[Client],MATCH(C100&amp;"",tbl_Finance[Job Number],0)),""))</f>
        <v/>
      </c>
      <c r="G100" s="28">
        <f>IF(C100="","",COUNTIFS(tbl_Finance[Job Number],C100&amp;"",tbl_Finance[Ex GST],"&lt;&gt;"))</f>
        <v/>
      </c>
      <c r="H100" s="27">
        <f>IF(C100="","",SUMIFS(tbl_Finance[Ex GST],tbl_Finance[Job Number],C100&amp;""))</f>
        <v/>
      </c>
      <c r="I100" s="27">
        <f>IF(C100="","",SUMIFS(tbl_Finance[Ex GST],tbl_Finance[Job Number],C100&amp;"",tbl_Finance[Xero Invoice No],"&lt;&gt;"))</f>
        <v/>
      </c>
      <c r="J100" s="27">
        <f>IF(C100="","",H100-I100)</f>
        <v/>
      </c>
      <c r="K100" s="25">
        <f>IF(C100="","",IF(G100=0,"not invoiced yet",SUBSTITUTE(TRIM(IF(COUNTIFS(tbl_Finance[Job Number],C100&amp;"",tbl_Finance[Cost Centre],"ONSITE")&gt;0,"ONSITE ","")&amp;IF(COUNTIFS(tbl_Finance[Job Number],C100&amp;"",tbl_Finance[Cost Centre],"PRODUCTION")&gt;0,"PRODUCTION ","")&amp;IF(COUNTIFS(tbl_Finance[Job Number],C100&amp;"",tbl_Finance[Cost Centre],"VIDEO")&gt;0,"VIDEO ","")&amp;IF(COUNTIFS(tbl_Finance[Job Number],C100&amp;"",tbl_Finance[Cost Centre],"INTEGRATION")&gt;0,"INTEGRATION ","")&amp;IF(COUNTIFS(tbl_Finance[Job Number],C100&amp;"",tbl_Finance[Cost Centre],"CONSULTING")&gt;0,"CONSULTING ","")&amp;IF(COUNTIFS(tbl_Finance[Job Number],C100&amp;"",tbl_Finance[Cost Centre],"CTS")&gt;0,"CTS ",""))," ",", ")))</f>
        <v/>
      </c>
      <c r="L100" s="24" t="n"/>
      <c r="M100" s="24" t="n"/>
      <c r="N100" s="25">
        <f>IF(M100="","",HYPERLINK(IF(LEFT(M100,4)="http",M100,set_QwilrBase&amp;M100),"Open quote"))</f>
        <v/>
      </c>
      <c r="O100" s="69" t="n"/>
      <c r="P100" s="24" t="n"/>
      <c r="Q100" s="24" t="n"/>
    </row>
    <row r="101" ht="15" customHeight="1">
      <c r="A101" s="68">
        <f>IF(C101="","",IFERROR(IF(SUMPRODUCT(MAX((tbl_Finance[Job Number]=C101&amp;"")*(tbl_Finance[Xero Invoice No]&lt;&gt;"")*tbl_Finance[Date]))=0,"",SUMPRODUCT(MAX((tbl_Finance[Job Number]=C101&amp;"")*(tbl_Finance[Xero Invoice No]&lt;&gt;"")*tbl_Finance[Date]))),""))</f>
        <v/>
      </c>
      <c r="B101" s="25">
        <f>IF(C101="","",IF(COUNTIFS(tbl_Finance[Job Number],C101&amp;"",tbl_Finance[Xero Invoice No],"&lt;&gt;")=0,"",IFERROR(IF(COUNTIFS(tbl_Finance[Job Number],C101&amp;"",tbl_Finance[Xero Invoice No],LOOKUP(2,1/((tbl_Finance[Job Number]=C101&amp;"")*(tbl_Finance[Xero Invoice No]&lt;&gt;"")),tbl_Finance[Xero Invoice No]))=COUNTIFS(tbl_Finance[Job Number],C101&amp;"",tbl_Finance[Xero Invoice No],"&lt;&gt;"),LOOKUP(2,1/((tbl_Finance[Job Number]=C101&amp;"")*(tbl_Finance[Xero Invoice No]&lt;&gt;"")),tbl_Finance[Xero Invoice No]),LOOKUP(2,1/((tbl_Finance[Job Number]=C101&amp;"")*(tbl_Finance[Xero Invoice No]&lt;&gt;"")),tbl_Finance[Xero Invoice No])&amp;" +more"),"")))</f>
        <v/>
      </c>
      <c r="C101" s="24" t="n"/>
      <c r="D101" s="25">
        <f>IF(C101="","",IF(COUNTIF(lst_Jobs,C101&amp;"")&gt;0,"OK","CHECK"))</f>
        <v/>
      </c>
      <c r="E101" s="25">
        <f>IF(C101="","",IFERROR(INDEX(lst_JobName,MATCH(C101&amp;"",lst_Jobs,0)),""))</f>
        <v/>
      </c>
      <c r="F101" s="25">
        <f>IF(C101="","",IFERROR(INDEX(tbl_Finance[Client],MATCH(C101&amp;"",tbl_Finance[Job Number],0)),""))</f>
        <v/>
      </c>
      <c r="G101" s="28">
        <f>IF(C101="","",COUNTIFS(tbl_Finance[Job Number],C101&amp;"",tbl_Finance[Ex GST],"&lt;&gt;"))</f>
        <v/>
      </c>
      <c r="H101" s="27">
        <f>IF(C101="","",SUMIFS(tbl_Finance[Ex GST],tbl_Finance[Job Number],C101&amp;""))</f>
        <v/>
      </c>
      <c r="I101" s="27">
        <f>IF(C101="","",SUMIFS(tbl_Finance[Ex GST],tbl_Finance[Job Number],C101&amp;"",tbl_Finance[Xero Invoice No],"&lt;&gt;"))</f>
        <v/>
      </c>
      <c r="J101" s="27">
        <f>IF(C101="","",H101-I101)</f>
        <v/>
      </c>
      <c r="K101" s="25">
        <f>IF(C101="","",IF(G101=0,"not invoiced yet",SUBSTITUTE(TRIM(IF(COUNTIFS(tbl_Finance[Job Number],C101&amp;"",tbl_Finance[Cost Centre],"ONSITE")&gt;0,"ONSITE ","")&amp;IF(COUNTIFS(tbl_Finance[Job Number],C101&amp;"",tbl_Finance[Cost Centre],"PRODUCTION")&gt;0,"PRODUCTION ","")&amp;IF(COUNTIFS(tbl_Finance[Job Number],C101&amp;"",tbl_Finance[Cost Centre],"VIDEO")&gt;0,"VIDEO ","")&amp;IF(COUNTIFS(tbl_Finance[Job Number],C101&amp;"",tbl_Finance[Cost Centre],"INTEGRATION")&gt;0,"INTEGRATION ","")&amp;IF(COUNTIFS(tbl_Finance[Job Number],C101&amp;"",tbl_Finance[Cost Centre],"CONSULTING")&gt;0,"CONSULTING ","")&amp;IF(COUNTIFS(tbl_Finance[Job Number],C101&amp;"",tbl_Finance[Cost Centre],"CTS")&gt;0,"CTS ",""))," ",", ")))</f>
        <v/>
      </c>
      <c r="L101" s="24" t="n"/>
      <c r="M101" s="24" t="n"/>
      <c r="N101" s="25">
        <f>IF(M101="","",HYPERLINK(IF(LEFT(M101,4)="http",M101,set_QwilrBase&amp;M101),"Open quote"))</f>
        <v/>
      </c>
      <c r="O101" s="69" t="n"/>
      <c r="P101" s="24" t="n"/>
      <c r="Q101" s="24" t="n"/>
    </row>
    <row r="102" ht="15" customHeight="1">
      <c r="A102" s="68">
        <f>IF(C102="","",IFERROR(IF(SUMPRODUCT(MAX((tbl_Finance[Job Number]=C102&amp;"")*(tbl_Finance[Xero Invoice No]&lt;&gt;"")*tbl_Finance[Date]))=0,"",SUMPRODUCT(MAX((tbl_Finance[Job Number]=C102&amp;"")*(tbl_Finance[Xero Invoice No]&lt;&gt;"")*tbl_Finance[Date]))),""))</f>
        <v/>
      </c>
      <c r="B102" s="25">
        <f>IF(C102="","",IF(COUNTIFS(tbl_Finance[Job Number],C102&amp;"",tbl_Finance[Xero Invoice No],"&lt;&gt;")=0,"",IFERROR(IF(COUNTIFS(tbl_Finance[Job Number],C102&amp;"",tbl_Finance[Xero Invoice No],LOOKUP(2,1/((tbl_Finance[Job Number]=C102&amp;"")*(tbl_Finance[Xero Invoice No]&lt;&gt;"")),tbl_Finance[Xero Invoice No]))=COUNTIFS(tbl_Finance[Job Number],C102&amp;"",tbl_Finance[Xero Invoice No],"&lt;&gt;"),LOOKUP(2,1/((tbl_Finance[Job Number]=C102&amp;"")*(tbl_Finance[Xero Invoice No]&lt;&gt;"")),tbl_Finance[Xero Invoice No]),LOOKUP(2,1/((tbl_Finance[Job Number]=C102&amp;"")*(tbl_Finance[Xero Invoice No]&lt;&gt;"")),tbl_Finance[Xero Invoice No])&amp;" +more"),"")))</f>
        <v/>
      </c>
      <c r="C102" s="24" t="n"/>
      <c r="D102" s="25">
        <f>IF(C102="","",IF(COUNTIF(lst_Jobs,C102&amp;"")&gt;0,"OK","CHECK"))</f>
        <v/>
      </c>
      <c r="E102" s="25">
        <f>IF(C102="","",IFERROR(INDEX(lst_JobName,MATCH(C102&amp;"",lst_Jobs,0)),""))</f>
        <v/>
      </c>
      <c r="F102" s="25">
        <f>IF(C102="","",IFERROR(INDEX(tbl_Finance[Client],MATCH(C102&amp;"",tbl_Finance[Job Number],0)),""))</f>
        <v/>
      </c>
      <c r="G102" s="28">
        <f>IF(C102="","",COUNTIFS(tbl_Finance[Job Number],C102&amp;"",tbl_Finance[Ex GST],"&lt;&gt;"))</f>
        <v/>
      </c>
      <c r="H102" s="27">
        <f>IF(C102="","",SUMIFS(tbl_Finance[Ex GST],tbl_Finance[Job Number],C102&amp;""))</f>
        <v/>
      </c>
      <c r="I102" s="27">
        <f>IF(C102="","",SUMIFS(tbl_Finance[Ex GST],tbl_Finance[Job Number],C102&amp;"",tbl_Finance[Xero Invoice No],"&lt;&gt;"))</f>
        <v/>
      </c>
      <c r="J102" s="27">
        <f>IF(C102="","",H102-I102)</f>
        <v/>
      </c>
      <c r="K102" s="25">
        <f>IF(C102="","",IF(G102=0,"not invoiced yet",SUBSTITUTE(TRIM(IF(COUNTIFS(tbl_Finance[Job Number],C102&amp;"",tbl_Finance[Cost Centre],"ONSITE")&gt;0,"ONSITE ","")&amp;IF(COUNTIFS(tbl_Finance[Job Number],C102&amp;"",tbl_Finance[Cost Centre],"PRODUCTION")&gt;0,"PRODUCTION ","")&amp;IF(COUNTIFS(tbl_Finance[Job Number],C102&amp;"",tbl_Finance[Cost Centre],"VIDEO")&gt;0,"VIDEO ","")&amp;IF(COUNTIFS(tbl_Finance[Job Number],C102&amp;"",tbl_Finance[Cost Centre],"INTEGRATION")&gt;0,"INTEGRATION ","")&amp;IF(COUNTIFS(tbl_Finance[Job Number],C102&amp;"",tbl_Finance[Cost Centre],"CONSULTING")&gt;0,"CONSULTING ","")&amp;IF(COUNTIFS(tbl_Finance[Job Number],C102&amp;"",tbl_Finance[Cost Centre],"CTS")&gt;0,"CTS ",""))," ",", ")))</f>
        <v/>
      </c>
      <c r="L102" s="24" t="n"/>
      <c r="M102" s="24" t="n"/>
      <c r="N102" s="25">
        <f>IF(M102="","",HYPERLINK(IF(LEFT(M102,4)="http",M102,set_QwilrBase&amp;M102),"Open quote"))</f>
        <v/>
      </c>
      <c r="O102" s="69" t="n"/>
      <c r="P102" s="24" t="n"/>
      <c r="Q102" s="24" t="n"/>
    </row>
    <row r="103" ht="15" customHeight="1">
      <c r="A103" s="68">
        <f>IF(C103="","",IFERROR(IF(SUMPRODUCT(MAX((tbl_Finance[Job Number]=C103&amp;"")*(tbl_Finance[Xero Invoice No]&lt;&gt;"")*tbl_Finance[Date]))=0,"",SUMPRODUCT(MAX((tbl_Finance[Job Number]=C103&amp;"")*(tbl_Finance[Xero Invoice No]&lt;&gt;"")*tbl_Finance[Date]))),""))</f>
        <v/>
      </c>
      <c r="B103" s="25">
        <f>IF(C103="","",IF(COUNTIFS(tbl_Finance[Job Number],C103&amp;"",tbl_Finance[Xero Invoice No],"&lt;&gt;")=0,"",IFERROR(IF(COUNTIFS(tbl_Finance[Job Number],C103&amp;"",tbl_Finance[Xero Invoice No],LOOKUP(2,1/((tbl_Finance[Job Number]=C103&amp;"")*(tbl_Finance[Xero Invoice No]&lt;&gt;"")),tbl_Finance[Xero Invoice No]))=COUNTIFS(tbl_Finance[Job Number],C103&amp;"",tbl_Finance[Xero Invoice No],"&lt;&gt;"),LOOKUP(2,1/((tbl_Finance[Job Number]=C103&amp;"")*(tbl_Finance[Xero Invoice No]&lt;&gt;"")),tbl_Finance[Xero Invoice No]),LOOKUP(2,1/((tbl_Finance[Job Number]=C103&amp;"")*(tbl_Finance[Xero Invoice No]&lt;&gt;"")),tbl_Finance[Xero Invoice No])&amp;" +more"),"")))</f>
        <v/>
      </c>
      <c r="C103" s="24" t="n"/>
      <c r="D103" s="25">
        <f>IF(C103="","",IF(COUNTIF(lst_Jobs,C103&amp;"")&gt;0,"OK","CHECK"))</f>
        <v/>
      </c>
      <c r="E103" s="25">
        <f>IF(C103="","",IFERROR(INDEX(lst_JobName,MATCH(C103&amp;"",lst_Jobs,0)),""))</f>
        <v/>
      </c>
      <c r="F103" s="25">
        <f>IF(C103="","",IFERROR(INDEX(tbl_Finance[Client],MATCH(C103&amp;"",tbl_Finance[Job Number],0)),""))</f>
        <v/>
      </c>
      <c r="G103" s="28">
        <f>IF(C103="","",COUNTIFS(tbl_Finance[Job Number],C103&amp;"",tbl_Finance[Ex GST],"&lt;&gt;"))</f>
        <v/>
      </c>
      <c r="H103" s="27">
        <f>IF(C103="","",SUMIFS(tbl_Finance[Ex GST],tbl_Finance[Job Number],C103&amp;""))</f>
        <v/>
      </c>
      <c r="I103" s="27">
        <f>IF(C103="","",SUMIFS(tbl_Finance[Ex GST],tbl_Finance[Job Number],C103&amp;"",tbl_Finance[Xero Invoice No],"&lt;&gt;"))</f>
        <v/>
      </c>
      <c r="J103" s="27">
        <f>IF(C103="","",H103-I103)</f>
        <v/>
      </c>
      <c r="K103" s="25">
        <f>IF(C103="","",IF(G103=0,"not invoiced yet",SUBSTITUTE(TRIM(IF(COUNTIFS(tbl_Finance[Job Number],C103&amp;"",tbl_Finance[Cost Centre],"ONSITE")&gt;0,"ONSITE ","")&amp;IF(COUNTIFS(tbl_Finance[Job Number],C103&amp;"",tbl_Finance[Cost Centre],"PRODUCTION")&gt;0,"PRODUCTION ","")&amp;IF(COUNTIFS(tbl_Finance[Job Number],C103&amp;"",tbl_Finance[Cost Centre],"VIDEO")&gt;0,"VIDEO ","")&amp;IF(COUNTIFS(tbl_Finance[Job Number],C103&amp;"",tbl_Finance[Cost Centre],"INTEGRATION")&gt;0,"INTEGRATION ","")&amp;IF(COUNTIFS(tbl_Finance[Job Number],C103&amp;"",tbl_Finance[Cost Centre],"CONSULTING")&gt;0,"CONSULTING ","")&amp;IF(COUNTIFS(tbl_Finance[Job Number],C103&amp;"",tbl_Finance[Cost Centre],"CTS")&gt;0,"CTS ",""))," ",", ")))</f>
        <v/>
      </c>
      <c r="L103" s="24" t="n"/>
      <c r="M103" s="24" t="n"/>
      <c r="N103" s="25">
        <f>IF(M103="","",HYPERLINK(IF(LEFT(M103,4)="http",M103,set_QwilrBase&amp;M103),"Open quote"))</f>
        <v/>
      </c>
      <c r="O103" s="69" t="n"/>
      <c r="P103" s="24" t="n"/>
      <c r="Q103" s="24" t="n"/>
    </row>
    <row r="104" ht="15" customHeight="1">
      <c r="A104" s="68">
        <f>IF(C104="","",IFERROR(IF(SUMPRODUCT(MAX((tbl_Finance[Job Number]=C104&amp;"")*(tbl_Finance[Xero Invoice No]&lt;&gt;"")*tbl_Finance[Date]))=0,"",SUMPRODUCT(MAX((tbl_Finance[Job Number]=C104&amp;"")*(tbl_Finance[Xero Invoice No]&lt;&gt;"")*tbl_Finance[Date]))),""))</f>
        <v/>
      </c>
      <c r="B104" s="25">
        <f>IF(C104="","",IF(COUNTIFS(tbl_Finance[Job Number],C104&amp;"",tbl_Finance[Xero Invoice No],"&lt;&gt;")=0,"",IFERROR(IF(COUNTIFS(tbl_Finance[Job Number],C104&amp;"",tbl_Finance[Xero Invoice No],LOOKUP(2,1/((tbl_Finance[Job Number]=C104&amp;"")*(tbl_Finance[Xero Invoice No]&lt;&gt;"")),tbl_Finance[Xero Invoice No]))=COUNTIFS(tbl_Finance[Job Number],C104&amp;"",tbl_Finance[Xero Invoice No],"&lt;&gt;"),LOOKUP(2,1/((tbl_Finance[Job Number]=C104&amp;"")*(tbl_Finance[Xero Invoice No]&lt;&gt;"")),tbl_Finance[Xero Invoice No]),LOOKUP(2,1/((tbl_Finance[Job Number]=C104&amp;"")*(tbl_Finance[Xero Invoice No]&lt;&gt;"")),tbl_Finance[Xero Invoice No])&amp;" +more"),"")))</f>
        <v/>
      </c>
      <c r="C104" s="24" t="n"/>
      <c r="D104" s="25">
        <f>IF(C104="","",IF(COUNTIF(lst_Jobs,C104&amp;"")&gt;0,"OK","CHECK"))</f>
        <v/>
      </c>
      <c r="E104" s="25">
        <f>IF(C104="","",IFERROR(INDEX(lst_JobName,MATCH(C104&amp;"",lst_Jobs,0)),""))</f>
        <v/>
      </c>
      <c r="F104" s="25">
        <f>IF(C104="","",IFERROR(INDEX(tbl_Finance[Client],MATCH(C104&amp;"",tbl_Finance[Job Number],0)),""))</f>
        <v/>
      </c>
      <c r="G104" s="28">
        <f>IF(C104="","",COUNTIFS(tbl_Finance[Job Number],C104&amp;"",tbl_Finance[Ex GST],"&lt;&gt;"))</f>
        <v/>
      </c>
      <c r="H104" s="27">
        <f>IF(C104="","",SUMIFS(tbl_Finance[Ex GST],tbl_Finance[Job Number],C104&amp;""))</f>
        <v/>
      </c>
      <c r="I104" s="27">
        <f>IF(C104="","",SUMIFS(tbl_Finance[Ex GST],tbl_Finance[Job Number],C104&amp;"",tbl_Finance[Xero Invoice No],"&lt;&gt;"))</f>
        <v/>
      </c>
      <c r="J104" s="27">
        <f>IF(C104="","",H104-I104)</f>
        <v/>
      </c>
      <c r="K104" s="25">
        <f>IF(C104="","",IF(G104=0,"not invoiced yet",SUBSTITUTE(TRIM(IF(COUNTIFS(tbl_Finance[Job Number],C104&amp;"",tbl_Finance[Cost Centre],"ONSITE")&gt;0,"ONSITE ","")&amp;IF(COUNTIFS(tbl_Finance[Job Number],C104&amp;"",tbl_Finance[Cost Centre],"PRODUCTION")&gt;0,"PRODUCTION ","")&amp;IF(COUNTIFS(tbl_Finance[Job Number],C104&amp;"",tbl_Finance[Cost Centre],"VIDEO")&gt;0,"VIDEO ","")&amp;IF(COUNTIFS(tbl_Finance[Job Number],C104&amp;"",tbl_Finance[Cost Centre],"INTEGRATION")&gt;0,"INTEGRATION ","")&amp;IF(COUNTIFS(tbl_Finance[Job Number],C104&amp;"",tbl_Finance[Cost Centre],"CONSULTING")&gt;0,"CONSULTING ","")&amp;IF(COUNTIFS(tbl_Finance[Job Number],C104&amp;"",tbl_Finance[Cost Centre],"CTS")&gt;0,"CTS ",""))," ",", ")))</f>
        <v/>
      </c>
      <c r="L104" s="24" t="n"/>
      <c r="M104" s="24" t="n"/>
      <c r="N104" s="25">
        <f>IF(M104="","",HYPERLINK(IF(LEFT(M104,4)="http",M104,set_QwilrBase&amp;M104),"Open quote"))</f>
        <v/>
      </c>
      <c r="O104" s="69" t="n"/>
      <c r="P104" s="24" t="n"/>
      <c r="Q104" s="24" t="n"/>
    </row>
    <row r="105" ht="15" customHeight="1">
      <c r="A105" s="68">
        <f>IF(C105="","",IFERROR(IF(SUMPRODUCT(MAX((tbl_Finance[Job Number]=C105&amp;"")*(tbl_Finance[Xero Invoice No]&lt;&gt;"")*tbl_Finance[Date]))=0,"",SUMPRODUCT(MAX((tbl_Finance[Job Number]=C105&amp;"")*(tbl_Finance[Xero Invoice No]&lt;&gt;"")*tbl_Finance[Date]))),""))</f>
        <v/>
      </c>
      <c r="B105" s="25">
        <f>IF(C105="","",IF(COUNTIFS(tbl_Finance[Job Number],C105&amp;"",tbl_Finance[Xero Invoice No],"&lt;&gt;")=0,"",IFERROR(IF(COUNTIFS(tbl_Finance[Job Number],C105&amp;"",tbl_Finance[Xero Invoice No],LOOKUP(2,1/((tbl_Finance[Job Number]=C105&amp;"")*(tbl_Finance[Xero Invoice No]&lt;&gt;"")),tbl_Finance[Xero Invoice No]))=COUNTIFS(tbl_Finance[Job Number],C105&amp;"",tbl_Finance[Xero Invoice No],"&lt;&gt;"),LOOKUP(2,1/((tbl_Finance[Job Number]=C105&amp;"")*(tbl_Finance[Xero Invoice No]&lt;&gt;"")),tbl_Finance[Xero Invoice No]),LOOKUP(2,1/((tbl_Finance[Job Number]=C105&amp;"")*(tbl_Finance[Xero Invoice No]&lt;&gt;"")),tbl_Finance[Xero Invoice No])&amp;" +more"),"")))</f>
        <v/>
      </c>
      <c r="C105" s="24" t="n"/>
      <c r="D105" s="25">
        <f>IF(C105="","",IF(COUNTIF(lst_Jobs,C105&amp;"")&gt;0,"OK","CHECK"))</f>
        <v/>
      </c>
      <c r="E105" s="25">
        <f>IF(C105="","",IFERROR(INDEX(lst_JobName,MATCH(C105&amp;"",lst_Jobs,0)),""))</f>
        <v/>
      </c>
      <c r="F105" s="25">
        <f>IF(C105="","",IFERROR(INDEX(tbl_Finance[Client],MATCH(C105&amp;"",tbl_Finance[Job Number],0)),""))</f>
        <v/>
      </c>
      <c r="G105" s="28">
        <f>IF(C105="","",COUNTIFS(tbl_Finance[Job Number],C105&amp;"",tbl_Finance[Ex GST],"&lt;&gt;"))</f>
        <v/>
      </c>
      <c r="H105" s="27">
        <f>IF(C105="","",SUMIFS(tbl_Finance[Ex GST],tbl_Finance[Job Number],C105&amp;""))</f>
        <v/>
      </c>
      <c r="I105" s="27">
        <f>IF(C105="","",SUMIFS(tbl_Finance[Ex GST],tbl_Finance[Job Number],C105&amp;"",tbl_Finance[Xero Invoice No],"&lt;&gt;"))</f>
        <v/>
      </c>
      <c r="J105" s="27">
        <f>IF(C105="","",H105-I105)</f>
        <v/>
      </c>
      <c r="K105" s="25">
        <f>IF(C105="","",IF(G105=0,"not invoiced yet",SUBSTITUTE(TRIM(IF(COUNTIFS(tbl_Finance[Job Number],C105&amp;"",tbl_Finance[Cost Centre],"ONSITE")&gt;0,"ONSITE ","")&amp;IF(COUNTIFS(tbl_Finance[Job Number],C105&amp;"",tbl_Finance[Cost Centre],"PRODUCTION")&gt;0,"PRODUCTION ","")&amp;IF(COUNTIFS(tbl_Finance[Job Number],C105&amp;"",tbl_Finance[Cost Centre],"VIDEO")&gt;0,"VIDEO ","")&amp;IF(COUNTIFS(tbl_Finance[Job Number],C105&amp;"",tbl_Finance[Cost Centre],"INTEGRATION")&gt;0,"INTEGRATION ","")&amp;IF(COUNTIFS(tbl_Finance[Job Number],C105&amp;"",tbl_Finance[Cost Centre],"CONSULTING")&gt;0,"CONSULTING ","")&amp;IF(COUNTIFS(tbl_Finance[Job Number],C105&amp;"",tbl_Finance[Cost Centre],"CTS")&gt;0,"CTS ",""))," ",", ")))</f>
        <v/>
      </c>
      <c r="L105" s="24" t="n"/>
      <c r="M105" s="24" t="n"/>
      <c r="N105" s="25">
        <f>IF(M105="","",HYPERLINK(IF(LEFT(M105,4)="http",M105,set_QwilrBase&amp;M105),"Open quote"))</f>
        <v/>
      </c>
      <c r="O105" s="69" t="n"/>
      <c r="P105" s="24" t="n"/>
      <c r="Q105" s="24" t="n"/>
    </row>
    <row r="106" ht="15" customHeight="1">
      <c r="A106" s="68">
        <f>IF(C106="","",IFERROR(IF(SUMPRODUCT(MAX((tbl_Finance[Job Number]=C106&amp;"")*(tbl_Finance[Xero Invoice No]&lt;&gt;"")*tbl_Finance[Date]))=0,"",SUMPRODUCT(MAX((tbl_Finance[Job Number]=C106&amp;"")*(tbl_Finance[Xero Invoice No]&lt;&gt;"")*tbl_Finance[Date]))),""))</f>
        <v/>
      </c>
      <c r="B106" s="25">
        <f>IF(C106="","",IF(COUNTIFS(tbl_Finance[Job Number],C106&amp;"",tbl_Finance[Xero Invoice No],"&lt;&gt;")=0,"",IFERROR(IF(COUNTIFS(tbl_Finance[Job Number],C106&amp;"",tbl_Finance[Xero Invoice No],LOOKUP(2,1/((tbl_Finance[Job Number]=C106&amp;"")*(tbl_Finance[Xero Invoice No]&lt;&gt;"")),tbl_Finance[Xero Invoice No]))=COUNTIFS(tbl_Finance[Job Number],C106&amp;"",tbl_Finance[Xero Invoice No],"&lt;&gt;"),LOOKUP(2,1/((tbl_Finance[Job Number]=C106&amp;"")*(tbl_Finance[Xero Invoice No]&lt;&gt;"")),tbl_Finance[Xero Invoice No]),LOOKUP(2,1/((tbl_Finance[Job Number]=C106&amp;"")*(tbl_Finance[Xero Invoice No]&lt;&gt;"")),tbl_Finance[Xero Invoice No])&amp;" +more"),"")))</f>
        <v/>
      </c>
      <c r="C106" s="24" t="n"/>
      <c r="D106" s="25">
        <f>IF(C106="","",IF(COUNTIF(lst_Jobs,C106&amp;"")&gt;0,"OK","CHECK"))</f>
        <v/>
      </c>
      <c r="E106" s="25">
        <f>IF(C106="","",IFERROR(INDEX(lst_JobName,MATCH(C106&amp;"",lst_Jobs,0)),""))</f>
        <v/>
      </c>
      <c r="F106" s="25">
        <f>IF(C106="","",IFERROR(INDEX(tbl_Finance[Client],MATCH(C106&amp;"",tbl_Finance[Job Number],0)),""))</f>
        <v/>
      </c>
      <c r="G106" s="28">
        <f>IF(C106="","",COUNTIFS(tbl_Finance[Job Number],C106&amp;"",tbl_Finance[Ex GST],"&lt;&gt;"))</f>
        <v/>
      </c>
      <c r="H106" s="27">
        <f>IF(C106="","",SUMIFS(tbl_Finance[Ex GST],tbl_Finance[Job Number],C106&amp;""))</f>
        <v/>
      </c>
      <c r="I106" s="27">
        <f>IF(C106="","",SUMIFS(tbl_Finance[Ex GST],tbl_Finance[Job Number],C106&amp;"",tbl_Finance[Xero Invoice No],"&lt;&gt;"))</f>
        <v/>
      </c>
      <c r="J106" s="27">
        <f>IF(C106="","",H106-I106)</f>
        <v/>
      </c>
      <c r="K106" s="25">
        <f>IF(C106="","",IF(G106=0,"not invoiced yet",SUBSTITUTE(TRIM(IF(COUNTIFS(tbl_Finance[Job Number],C106&amp;"",tbl_Finance[Cost Centre],"ONSITE")&gt;0,"ONSITE ","")&amp;IF(COUNTIFS(tbl_Finance[Job Number],C106&amp;"",tbl_Finance[Cost Centre],"PRODUCTION")&gt;0,"PRODUCTION ","")&amp;IF(COUNTIFS(tbl_Finance[Job Number],C106&amp;"",tbl_Finance[Cost Centre],"VIDEO")&gt;0,"VIDEO ","")&amp;IF(COUNTIFS(tbl_Finance[Job Number],C106&amp;"",tbl_Finance[Cost Centre],"INTEGRATION")&gt;0,"INTEGRATION ","")&amp;IF(COUNTIFS(tbl_Finance[Job Number],C106&amp;"",tbl_Finance[Cost Centre],"CONSULTING")&gt;0,"CONSULTING ","")&amp;IF(COUNTIFS(tbl_Finance[Job Number],C106&amp;"",tbl_Finance[Cost Centre],"CTS")&gt;0,"CTS ",""))," ",", ")))</f>
        <v/>
      </c>
      <c r="L106" s="24" t="n"/>
      <c r="M106" s="24" t="n"/>
      <c r="N106" s="25">
        <f>IF(M106="","",HYPERLINK(IF(LEFT(M106,4)="http",M106,set_QwilrBase&amp;M106),"Open quote"))</f>
        <v/>
      </c>
      <c r="O106" s="69" t="n"/>
      <c r="P106" s="24" t="n"/>
      <c r="Q106" s="24" t="n"/>
    </row>
    <row r="107" ht="15" customHeight="1">
      <c r="A107" s="68">
        <f>IF(C107="","",IFERROR(IF(SUMPRODUCT(MAX((tbl_Finance[Job Number]=C107&amp;"")*(tbl_Finance[Xero Invoice No]&lt;&gt;"")*tbl_Finance[Date]))=0,"",SUMPRODUCT(MAX((tbl_Finance[Job Number]=C107&amp;"")*(tbl_Finance[Xero Invoice No]&lt;&gt;"")*tbl_Finance[Date]))),""))</f>
        <v/>
      </c>
      <c r="B107" s="25">
        <f>IF(C107="","",IF(COUNTIFS(tbl_Finance[Job Number],C107&amp;"",tbl_Finance[Xero Invoice No],"&lt;&gt;")=0,"",IFERROR(IF(COUNTIFS(tbl_Finance[Job Number],C107&amp;"",tbl_Finance[Xero Invoice No],LOOKUP(2,1/((tbl_Finance[Job Number]=C107&amp;"")*(tbl_Finance[Xero Invoice No]&lt;&gt;"")),tbl_Finance[Xero Invoice No]))=COUNTIFS(tbl_Finance[Job Number],C107&amp;"",tbl_Finance[Xero Invoice No],"&lt;&gt;"),LOOKUP(2,1/((tbl_Finance[Job Number]=C107&amp;"")*(tbl_Finance[Xero Invoice No]&lt;&gt;"")),tbl_Finance[Xero Invoice No]),LOOKUP(2,1/((tbl_Finance[Job Number]=C107&amp;"")*(tbl_Finance[Xero Invoice No]&lt;&gt;"")),tbl_Finance[Xero Invoice No])&amp;" +more"),"")))</f>
        <v/>
      </c>
      <c r="C107" s="24" t="n"/>
      <c r="D107" s="25">
        <f>IF(C107="","",IF(COUNTIF(lst_Jobs,C107&amp;"")&gt;0,"OK","CHECK"))</f>
        <v/>
      </c>
      <c r="E107" s="25">
        <f>IF(C107="","",IFERROR(INDEX(lst_JobName,MATCH(C107&amp;"",lst_Jobs,0)),""))</f>
        <v/>
      </c>
      <c r="F107" s="25">
        <f>IF(C107="","",IFERROR(INDEX(tbl_Finance[Client],MATCH(C107&amp;"",tbl_Finance[Job Number],0)),""))</f>
        <v/>
      </c>
      <c r="G107" s="28">
        <f>IF(C107="","",COUNTIFS(tbl_Finance[Job Number],C107&amp;"",tbl_Finance[Ex GST],"&lt;&gt;"))</f>
        <v/>
      </c>
      <c r="H107" s="27">
        <f>IF(C107="","",SUMIFS(tbl_Finance[Ex GST],tbl_Finance[Job Number],C107&amp;""))</f>
        <v/>
      </c>
      <c r="I107" s="27">
        <f>IF(C107="","",SUMIFS(tbl_Finance[Ex GST],tbl_Finance[Job Number],C107&amp;"",tbl_Finance[Xero Invoice No],"&lt;&gt;"))</f>
        <v/>
      </c>
      <c r="J107" s="27">
        <f>IF(C107="","",H107-I107)</f>
        <v/>
      </c>
      <c r="K107" s="25">
        <f>IF(C107="","",IF(G107=0,"not invoiced yet",SUBSTITUTE(TRIM(IF(COUNTIFS(tbl_Finance[Job Number],C107&amp;"",tbl_Finance[Cost Centre],"ONSITE")&gt;0,"ONSITE ","")&amp;IF(COUNTIFS(tbl_Finance[Job Number],C107&amp;"",tbl_Finance[Cost Centre],"PRODUCTION")&gt;0,"PRODUCTION ","")&amp;IF(COUNTIFS(tbl_Finance[Job Number],C107&amp;"",tbl_Finance[Cost Centre],"VIDEO")&gt;0,"VIDEO ","")&amp;IF(COUNTIFS(tbl_Finance[Job Number],C107&amp;"",tbl_Finance[Cost Centre],"INTEGRATION")&gt;0,"INTEGRATION ","")&amp;IF(COUNTIFS(tbl_Finance[Job Number],C107&amp;"",tbl_Finance[Cost Centre],"CONSULTING")&gt;0,"CONSULTING ","")&amp;IF(COUNTIFS(tbl_Finance[Job Number],C107&amp;"",tbl_Finance[Cost Centre],"CTS")&gt;0,"CTS ",""))," ",", ")))</f>
        <v/>
      </c>
      <c r="L107" s="24" t="n"/>
      <c r="M107" s="24" t="n"/>
      <c r="N107" s="25">
        <f>IF(M107="","",HYPERLINK(IF(LEFT(M107,4)="http",M107,set_QwilrBase&amp;M107),"Open quote"))</f>
        <v/>
      </c>
      <c r="O107" s="69" t="n"/>
      <c r="P107" s="24" t="n"/>
      <c r="Q107" s="24" t="n"/>
    </row>
    <row r="108" ht="15" customHeight="1">
      <c r="A108" s="68">
        <f>IF(C108="","",IFERROR(IF(SUMPRODUCT(MAX((tbl_Finance[Job Number]=C108&amp;"")*(tbl_Finance[Xero Invoice No]&lt;&gt;"")*tbl_Finance[Date]))=0,"",SUMPRODUCT(MAX((tbl_Finance[Job Number]=C108&amp;"")*(tbl_Finance[Xero Invoice No]&lt;&gt;"")*tbl_Finance[Date]))),""))</f>
        <v/>
      </c>
      <c r="B108" s="25">
        <f>IF(C108="","",IF(COUNTIFS(tbl_Finance[Job Number],C108&amp;"",tbl_Finance[Xero Invoice No],"&lt;&gt;")=0,"",IFERROR(IF(COUNTIFS(tbl_Finance[Job Number],C108&amp;"",tbl_Finance[Xero Invoice No],LOOKUP(2,1/((tbl_Finance[Job Number]=C108&amp;"")*(tbl_Finance[Xero Invoice No]&lt;&gt;"")),tbl_Finance[Xero Invoice No]))=COUNTIFS(tbl_Finance[Job Number],C108&amp;"",tbl_Finance[Xero Invoice No],"&lt;&gt;"),LOOKUP(2,1/((tbl_Finance[Job Number]=C108&amp;"")*(tbl_Finance[Xero Invoice No]&lt;&gt;"")),tbl_Finance[Xero Invoice No]),LOOKUP(2,1/((tbl_Finance[Job Number]=C108&amp;"")*(tbl_Finance[Xero Invoice No]&lt;&gt;"")),tbl_Finance[Xero Invoice No])&amp;" +more"),"")))</f>
        <v/>
      </c>
      <c r="C108" s="24" t="n"/>
      <c r="D108" s="25">
        <f>IF(C108="","",IF(COUNTIF(lst_Jobs,C108&amp;"")&gt;0,"OK","CHECK"))</f>
        <v/>
      </c>
      <c r="E108" s="25">
        <f>IF(C108="","",IFERROR(INDEX(lst_JobName,MATCH(C108&amp;"",lst_Jobs,0)),""))</f>
        <v/>
      </c>
      <c r="F108" s="25">
        <f>IF(C108="","",IFERROR(INDEX(tbl_Finance[Client],MATCH(C108&amp;"",tbl_Finance[Job Number],0)),""))</f>
        <v/>
      </c>
      <c r="G108" s="28">
        <f>IF(C108="","",COUNTIFS(tbl_Finance[Job Number],C108&amp;"",tbl_Finance[Ex GST],"&lt;&gt;"))</f>
        <v/>
      </c>
      <c r="H108" s="27">
        <f>IF(C108="","",SUMIFS(tbl_Finance[Ex GST],tbl_Finance[Job Number],C108&amp;""))</f>
        <v/>
      </c>
      <c r="I108" s="27">
        <f>IF(C108="","",SUMIFS(tbl_Finance[Ex GST],tbl_Finance[Job Number],C108&amp;"",tbl_Finance[Xero Invoice No],"&lt;&gt;"))</f>
        <v/>
      </c>
      <c r="J108" s="27">
        <f>IF(C108="","",H108-I108)</f>
        <v/>
      </c>
      <c r="K108" s="25">
        <f>IF(C108="","",IF(G108=0,"not invoiced yet",SUBSTITUTE(TRIM(IF(COUNTIFS(tbl_Finance[Job Number],C108&amp;"",tbl_Finance[Cost Centre],"ONSITE")&gt;0,"ONSITE ","")&amp;IF(COUNTIFS(tbl_Finance[Job Number],C108&amp;"",tbl_Finance[Cost Centre],"PRODUCTION")&gt;0,"PRODUCTION ","")&amp;IF(COUNTIFS(tbl_Finance[Job Number],C108&amp;"",tbl_Finance[Cost Centre],"VIDEO")&gt;0,"VIDEO ","")&amp;IF(COUNTIFS(tbl_Finance[Job Number],C108&amp;"",tbl_Finance[Cost Centre],"INTEGRATION")&gt;0,"INTEGRATION ","")&amp;IF(COUNTIFS(tbl_Finance[Job Number],C108&amp;"",tbl_Finance[Cost Centre],"CONSULTING")&gt;0,"CONSULTING ","")&amp;IF(COUNTIFS(tbl_Finance[Job Number],C108&amp;"",tbl_Finance[Cost Centre],"CTS")&gt;0,"CTS ",""))," ",", ")))</f>
        <v/>
      </c>
      <c r="L108" s="24" t="n"/>
      <c r="M108" s="24" t="n"/>
      <c r="N108" s="25">
        <f>IF(M108="","",HYPERLINK(IF(LEFT(M108,4)="http",M108,set_QwilrBase&amp;M108),"Open quote"))</f>
        <v/>
      </c>
      <c r="O108" s="69" t="n"/>
      <c r="P108" s="24" t="n"/>
      <c r="Q108" s="24" t="n"/>
    </row>
    <row r="109" ht="15" customHeight="1">
      <c r="A109" s="68">
        <f>IF(C109="","",IFERROR(IF(SUMPRODUCT(MAX((tbl_Finance[Job Number]=C109&amp;"")*(tbl_Finance[Xero Invoice No]&lt;&gt;"")*tbl_Finance[Date]))=0,"",SUMPRODUCT(MAX((tbl_Finance[Job Number]=C109&amp;"")*(tbl_Finance[Xero Invoice No]&lt;&gt;"")*tbl_Finance[Date]))),""))</f>
        <v/>
      </c>
      <c r="B109" s="25">
        <f>IF(C109="","",IF(COUNTIFS(tbl_Finance[Job Number],C109&amp;"",tbl_Finance[Xero Invoice No],"&lt;&gt;")=0,"",IFERROR(IF(COUNTIFS(tbl_Finance[Job Number],C109&amp;"",tbl_Finance[Xero Invoice No],LOOKUP(2,1/((tbl_Finance[Job Number]=C109&amp;"")*(tbl_Finance[Xero Invoice No]&lt;&gt;"")),tbl_Finance[Xero Invoice No]))=COUNTIFS(tbl_Finance[Job Number],C109&amp;"",tbl_Finance[Xero Invoice No],"&lt;&gt;"),LOOKUP(2,1/((tbl_Finance[Job Number]=C109&amp;"")*(tbl_Finance[Xero Invoice No]&lt;&gt;"")),tbl_Finance[Xero Invoice No]),LOOKUP(2,1/((tbl_Finance[Job Number]=C109&amp;"")*(tbl_Finance[Xero Invoice No]&lt;&gt;"")),tbl_Finance[Xero Invoice No])&amp;" +more"),"")))</f>
        <v/>
      </c>
      <c r="C109" s="24" t="n"/>
      <c r="D109" s="25">
        <f>IF(C109="","",IF(COUNTIF(lst_Jobs,C109&amp;"")&gt;0,"OK","CHECK"))</f>
        <v/>
      </c>
      <c r="E109" s="25">
        <f>IF(C109="","",IFERROR(INDEX(lst_JobName,MATCH(C109&amp;"",lst_Jobs,0)),""))</f>
        <v/>
      </c>
      <c r="F109" s="25">
        <f>IF(C109="","",IFERROR(INDEX(tbl_Finance[Client],MATCH(C109&amp;"",tbl_Finance[Job Number],0)),""))</f>
        <v/>
      </c>
      <c r="G109" s="28">
        <f>IF(C109="","",COUNTIFS(tbl_Finance[Job Number],C109&amp;"",tbl_Finance[Ex GST],"&lt;&gt;"))</f>
        <v/>
      </c>
      <c r="H109" s="27">
        <f>IF(C109="","",SUMIFS(tbl_Finance[Ex GST],tbl_Finance[Job Number],C109&amp;""))</f>
        <v/>
      </c>
      <c r="I109" s="27">
        <f>IF(C109="","",SUMIFS(tbl_Finance[Ex GST],tbl_Finance[Job Number],C109&amp;"",tbl_Finance[Xero Invoice No],"&lt;&gt;"))</f>
        <v/>
      </c>
      <c r="J109" s="27">
        <f>IF(C109="","",H109-I109)</f>
        <v/>
      </c>
      <c r="K109" s="25">
        <f>IF(C109="","",IF(G109=0,"not invoiced yet",SUBSTITUTE(TRIM(IF(COUNTIFS(tbl_Finance[Job Number],C109&amp;"",tbl_Finance[Cost Centre],"ONSITE")&gt;0,"ONSITE ","")&amp;IF(COUNTIFS(tbl_Finance[Job Number],C109&amp;"",tbl_Finance[Cost Centre],"PRODUCTION")&gt;0,"PRODUCTION ","")&amp;IF(COUNTIFS(tbl_Finance[Job Number],C109&amp;"",tbl_Finance[Cost Centre],"VIDEO")&gt;0,"VIDEO ","")&amp;IF(COUNTIFS(tbl_Finance[Job Number],C109&amp;"",tbl_Finance[Cost Centre],"INTEGRATION")&gt;0,"INTEGRATION ","")&amp;IF(COUNTIFS(tbl_Finance[Job Number],C109&amp;"",tbl_Finance[Cost Centre],"CONSULTING")&gt;0,"CONSULTING ","")&amp;IF(COUNTIFS(tbl_Finance[Job Number],C109&amp;"",tbl_Finance[Cost Centre],"CTS")&gt;0,"CTS ",""))," ",", ")))</f>
        <v/>
      </c>
      <c r="L109" s="24" t="n"/>
      <c r="M109" s="24" t="n"/>
      <c r="N109" s="25">
        <f>IF(M109="","",HYPERLINK(IF(LEFT(M109,4)="http",M109,set_QwilrBase&amp;M109),"Open quote"))</f>
        <v/>
      </c>
      <c r="O109" s="69" t="n"/>
      <c r="P109" s="24" t="n"/>
      <c r="Q109" s="24" t="n"/>
    </row>
    <row r="110" ht="15" customHeight="1">
      <c r="A110" s="68">
        <f>IF(C110="","",IFERROR(IF(SUMPRODUCT(MAX((tbl_Finance[Job Number]=C110&amp;"")*(tbl_Finance[Xero Invoice No]&lt;&gt;"")*tbl_Finance[Date]))=0,"",SUMPRODUCT(MAX((tbl_Finance[Job Number]=C110&amp;"")*(tbl_Finance[Xero Invoice No]&lt;&gt;"")*tbl_Finance[Date]))),""))</f>
        <v/>
      </c>
      <c r="B110" s="25">
        <f>IF(C110="","",IF(COUNTIFS(tbl_Finance[Job Number],C110&amp;"",tbl_Finance[Xero Invoice No],"&lt;&gt;")=0,"",IFERROR(IF(COUNTIFS(tbl_Finance[Job Number],C110&amp;"",tbl_Finance[Xero Invoice No],LOOKUP(2,1/((tbl_Finance[Job Number]=C110&amp;"")*(tbl_Finance[Xero Invoice No]&lt;&gt;"")),tbl_Finance[Xero Invoice No]))=COUNTIFS(tbl_Finance[Job Number],C110&amp;"",tbl_Finance[Xero Invoice No],"&lt;&gt;"),LOOKUP(2,1/((tbl_Finance[Job Number]=C110&amp;"")*(tbl_Finance[Xero Invoice No]&lt;&gt;"")),tbl_Finance[Xero Invoice No]),LOOKUP(2,1/((tbl_Finance[Job Number]=C110&amp;"")*(tbl_Finance[Xero Invoice No]&lt;&gt;"")),tbl_Finance[Xero Invoice No])&amp;" +more"),"")))</f>
        <v/>
      </c>
      <c r="C110" s="24" t="n"/>
      <c r="D110" s="25">
        <f>IF(C110="","",IF(COUNTIF(lst_Jobs,C110&amp;"")&gt;0,"OK","CHECK"))</f>
        <v/>
      </c>
      <c r="E110" s="25">
        <f>IF(C110="","",IFERROR(INDEX(lst_JobName,MATCH(C110&amp;"",lst_Jobs,0)),""))</f>
        <v/>
      </c>
      <c r="F110" s="25">
        <f>IF(C110="","",IFERROR(INDEX(tbl_Finance[Client],MATCH(C110&amp;"",tbl_Finance[Job Number],0)),""))</f>
        <v/>
      </c>
      <c r="G110" s="28">
        <f>IF(C110="","",COUNTIFS(tbl_Finance[Job Number],C110&amp;"",tbl_Finance[Ex GST],"&lt;&gt;"))</f>
        <v/>
      </c>
      <c r="H110" s="27">
        <f>IF(C110="","",SUMIFS(tbl_Finance[Ex GST],tbl_Finance[Job Number],C110&amp;""))</f>
        <v/>
      </c>
      <c r="I110" s="27">
        <f>IF(C110="","",SUMIFS(tbl_Finance[Ex GST],tbl_Finance[Job Number],C110&amp;"",tbl_Finance[Xero Invoice No],"&lt;&gt;"))</f>
        <v/>
      </c>
      <c r="J110" s="27">
        <f>IF(C110="","",H110-I110)</f>
        <v/>
      </c>
      <c r="K110" s="25">
        <f>IF(C110="","",IF(G110=0,"not invoiced yet",SUBSTITUTE(TRIM(IF(COUNTIFS(tbl_Finance[Job Number],C110&amp;"",tbl_Finance[Cost Centre],"ONSITE")&gt;0,"ONSITE ","")&amp;IF(COUNTIFS(tbl_Finance[Job Number],C110&amp;"",tbl_Finance[Cost Centre],"PRODUCTION")&gt;0,"PRODUCTION ","")&amp;IF(COUNTIFS(tbl_Finance[Job Number],C110&amp;"",tbl_Finance[Cost Centre],"VIDEO")&gt;0,"VIDEO ","")&amp;IF(COUNTIFS(tbl_Finance[Job Number],C110&amp;"",tbl_Finance[Cost Centre],"INTEGRATION")&gt;0,"INTEGRATION ","")&amp;IF(COUNTIFS(tbl_Finance[Job Number],C110&amp;"",tbl_Finance[Cost Centre],"CONSULTING")&gt;0,"CONSULTING ","")&amp;IF(COUNTIFS(tbl_Finance[Job Number],C110&amp;"",tbl_Finance[Cost Centre],"CTS")&gt;0,"CTS ",""))," ",", ")))</f>
        <v/>
      </c>
      <c r="L110" s="24" t="n"/>
      <c r="M110" s="24" t="n"/>
      <c r="N110" s="25">
        <f>IF(M110="","",HYPERLINK(IF(LEFT(M110,4)="http",M110,set_QwilrBase&amp;M110),"Open quote"))</f>
        <v/>
      </c>
      <c r="O110" s="69" t="n"/>
      <c r="P110" s="24" t="n"/>
      <c r="Q110" s="24" t="n"/>
    </row>
    <row r="111" ht="15" customHeight="1">
      <c r="A111" s="68">
        <f>IF(C111="","",IFERROR(IF(SUMPRODUCT(MAX((tbl_Finance[Job Number]=C111&amp;"")*(tbl_Finance[Xero Invoice No]&lt;&gt;"")*tbl_Finance[Date]))=0,"",SUMPRODUCT(MAX((tbl_Finance[Job Number]=C111&amp;"")*(tbl_Finance[Xero Invoice No]&lt;&gt;"")*tbl_Finance[Date]))),""))</f>
        <v/>
      </c>
      <c r="B111" s="25">
        <f>IF(C111="","",IF(COUNTIFS(tbl_Finance[Job Number],C111&amp;"",tbl_Finance[Xero Invoice No],"&lt;&gt;")=0,"",IFERROR(IF(COUNTIFS(tbl_Finance[Job Number],C111&amp;"",tbl_Finance[Xero Invoice No],LOOKUP(2,1/((tbl_Finance[Job Number]=C111&amp;"")*(tbl_Finance[Xero Invoice No]&lt;&gt;"")),tbl_Finance[Xero Invoice No]))=COUNTIFS(tbl_Finance[Job Number],C111&amp;"",tbl_Finance[Xero Invoice No],"&lt;&gt;"),LOOKUP(2,1/((tbl_Finance[Job Number]=C111&amp;"")*(tbl_Finance[Xero Invoice No]&lt;&gt;"")),tbl_Finance[Xero Invoice No]),LOOKUP(2,1/((tbl_Finance[Job Number]=C111&amp;"")*(tbl_Finance[Xero Invoice No]&lt;&gt;"")),tbl_Finance[Xero Invoice No])&amp;" +more"),"")))</f>
        <v/>
      </c>
      <c r="C111" s="24" t="n"/>
      <c r="D111" s="25">
        <f>IF(C111="","",IF(COUNTIF(lst_Jobs,C111&amp;"")&gt;0,"OK","CHECK"))</f>
        <v/>
      </c>
      <c r="E111" s="25">
        <f>IF(C111="","",IFERROR(INDEX(lst_JobName,MATCH(C111&amp;"",lst_Jobs,0)),""))</f>
        <v/>
      </c>
      <c r="F111" s="25">
        <f>IF(C111="","",IFERROR(INDEX(tbl_Finance[Client],MATCH(C111&amp;"",tbl_Finance[Job Number],0)),""))</f>
        <v/>
      </c>
      <c r="G111" s="28">
        <f>IF(C111="","",COUNTIFS(tbl_Finance[Job Number],C111&amp;"",tbl_Finance[Ex GST],"&lt;&gt;"))</f>
        <v/>
      </c>
      <c r="H111" s="27">
        <f>IF(C111="","",SUMIFS(tbl_Finance[Ex GST],tbl_Finance[Job Number],C111&amp;""))</f>
        <v/>
      </c>
      <c r="I111" s="27">
        <f>IF(C111="","",SUMIFS(tbl_Finance[Ex GST],tbl_Finance[Job Number],C111&amp;"",tbl_Finance[Xero Invoice No],"&lt;&gt;"))</f>
        <v/>
      </c>
      <c r="J111" s="27">
        <f>IF(C111="","",H111-I111)</f>
        <v/>
      </c>
      <c r="K111" s="25">
        <f>IF(C111="","",IF(G111=0,"not invoiced yet",SUBSTITUTE(TRIM(IF(COUNTIFS(tbl_Finance[Job Number],C111&amp;"",tbl_Finance[Cost Centre],"ONSITE")&gt;0,"ONSITE ","")&amp;IF(COUNTIFS(tbl_Finance[Job Number],C111&amp;"",tbl_Finance[Cost Centre],"PRODUCTION")&gt;0,"PRODUCTION ","")&amp;IF(COUNTIFS(tbl_Finance[Job Number],C111&amp;"",tbl_Finance[Cost Centre],"VIDEO")&gt;0,"VIDEO ","")&amp;IF(COUNTIFS(tbl_Finance[Job Number],C111&amp;"",tbl_Finance[Cost Centre],"INTEGRATION")&gt;0,"INTEGRATION ","")&amp;IF(COUNTIFS(tbl_Finance[Job Number],C111&amp;"",tbl_Finance[Cost Centre],"CONSULTING")&gt;0,"CONSULTING ","")&amp;IF(COUNTIFS(tbl_Finance[Job Number],C111&amp;"",tbl_Finance[Cost Centre],"CTS")&gt;0,"CTS ",""))," ",", ")))</f>
        <v/>
      </c>
      <c r="L111" s="24" t="n"/>
      <c r="M111" s="24" t="n"/>
      <c r="N111" s="25">
        <f>IF(M111="","",HYPERLINK(IF(LEFT(M111,4)="http",M111,set_QwilrBase&amp;M111),"Open quote"))</f>
        <v/>
      </c>
      <c r="O111" s="69" t="n"/>
      <c r="P111" s="24" t="n"/>
      <c r="Q111" s="24" t="n"/>
    </row>
    <row r="112" ht="15" customHeight="1">
      <c r="A112" s="68">
        <f>IF(C112="","",IFERROR(IF(SUMPRODUCT(MAX((tbl_Finance[Job Number]=C112&amp;"")*(tbl_Finance[Xero Invoice No]&lt;&gt;"")*tbl_Finance[Date]))=0,"",SUMPRODUCT(MAX((tbl_Finance[Job Number]=C112&amp;"")*(tbl_Finance[Xero Invoice No]&lt;&gt;"")*tbl_Finance[Date]))),""))</f>
        <v/>
      </c>
      <c r="B112" s="25">
        <f>IF(C112="","",IF(COUNTIFS(tbl_Finance[Job Number],C112&amp;"",tbl_Finance[Xero Invoice No],"&lt;&gt;")=0,"",IFERROR(IF(COUNTIFS(tbl_Finance[Job Number],C112&amp;"",tbl_Finance[Xero Invoice No],LOOKUP(2,1/((tbl_Finance[Job Number]=C112&amp;"")*(tbl_Finance[Xero Invoice No]&lt;&gt;"")),tbl_Finance[Xero Invoice No]))=COUNTIFS(tbl_Finance[Job Number],C112&amp;"",tbl_Finance[Xero Invoice No],"&lt;&gt;"),LOOKUP(2,1/((tbl_Finance[Job Number]=C112&amp;"")*(tbl_Finance[Xero Invoice No]&lt;&gt;"")),tbl_Finance[Xero Invoice No]),LOOKUP(2,1/((tbl_Finance[Job Number]=C112&amp;"")*(tbl_Finance[Xero Invoice No]&lt;&gt;"")),tbl_Finance[Xero Invoice No])&amp;" +more"),"")))</f>
        <v/>
      </c>
      <c r="C112" s="24" t="n"/>
      <c r="D112" s="25">
        <f>IF(C112="","",IF(COUNTIF(lst_Jobs,C112&amp;"")&gt;0,"OK","CHECK"))</f>
        <v/>
      </c>
      <c r="E112" s="25">
        <f>IF(C112="","",IFERROR(INDEX(lst_JobName,MATCH(C112&amp;"",lst_Jobs,0)),""))</f>
        <v/>
      </c>
      <c r="F112" s="25">
        <f>IF(C112="","",IFERROR(INDEX(tbl_Finance[Client],MATCH(C112&amp;"",tbl_Finance[Job Number],0)),""))</f>
        <v/>
      </c>
      <c r="G112" s="28">
        <f>IF(C112="","",COUNTIFS(tbl_Finance[Job Number],C112&amp;"",tbl_Finance[Ex GST],"&lt;&gt;"))</f>
        <v/>
      </c>
      <c r="H112" s="27">
        <f>IF(C112="","",SUMIFS(tbl_Finance[Ex GST],tbl_Finance[Job Number],C112&amp;""))</f>
        <v/>
      </c>
      <c r="I112" s="27">
        <f>IF(C112="","",SUMIFS(tbl_Finance[Ex GST],tbl_Finance[Job Number],C112&amp;"",tbl_Finance[Xero Invoice No],"&lt;&gt;"))</f>
        <v/>
      </c>
      <c r="J112" s="27">
        <f>IF(C112="","",H112-I112)</f>
        <v/>
      </c>
      <c r="K112" s="25">
        <f>IF(C112="","",IF(G112=0,"not invoiced yet",SUBSTITUTE(TRIM(IF(COUNTIFS(tbl_Finance[Job Number],C112&amp;"",tbl_Finance[Cost Centre],"ONSITE")&gt;0,"ONSITE ","")&amp;IF(COUNTIFS(tbl_Finance[Job Number],C112&amp;"",tbl_Finance[Cost Centre],"PRODUCTION")&gt;0,"PRODUCTION ","")&amp;IF(COUNTIFS(tbl_Finance[Job Number],C112&amp;"",tbl_Finance[Cost Centre],"VIDEO")&gt;0,"VIDEO ","")&amp;IF(COUNTIFS(tbl_Finance[Job Number],C112&amp;"",tbl_Finance[Cost Centre],"INTEGRATION")&gt;0,"INTEGRATION ","")&amp;IF(COUNTIFS(tbl_Finance[Job Number],C112&amp;"",tbl_Finance[Cost Centre],"CONSULTING")&gt;0,"CONSULTING ","")&amp;IF(COUNTIFS(tbl_Finance[Job Number],C112&amp;"",tbl_Finance[Cost Centre],"CTS")&gt;0,"CTS ",""))," ",", ")))</f>
        <v/>
      </c>
      <c r="L112" s="24" t="n"/>
      <c r="M112" s="24" t="n"/>
      <c r="N112" s="25">
        <f>IF(M112="","",HYPERLINK(IF(LEFT(M112,4)="http",M112,set_QwilrBase&amp;M112),"Open quote"))</f>
        <v/>
      </c>
      <c r="O112" s="69" t="n"/>
      <c r="P112" s="24" t="n"/>
      <c r="Q112" s="24" t="n"/>
    </row>
    <row r="113" ht="15" customHeight="1">
      <c r="A113" s="68">
        <f>IF(C113="","",IFERROR(IF(SUMPRODUCT(MAX((tbl_Finance[Job Number]=C113&amp;"")*(tbl_Finance[Xero Invoice No]&lt;&gt;"")*tbl_Finance[Date]))=0,"",SUMPRODUCT(MAX((tbl_Finance[Job Number]=C113&amp;"")*(tbl_Finance[Xero Invoice No]&lt;&gt;"")*tbl_Finance[Date]))),""))</f>
        <v/>
      </c>
      <c r="B113" s="25">
        <f>IF(C113="","",IF(COUNTIFS(tbl_Finance[Job Number],C113&amp;"",tbl_Finance[Xero Invoice No],"&lt;&gt;")=0,"",IFERROR(IF(COUNTIFS(tbl_Finance[Job Number],C113&amp;"",tbl_Finance[Xero Invoice No],LOOKUP(2,1/((tbl_Finance[Job Number]=C113&amp;"")*(tbl_Finance[Xero Invoice No]&lt;&gt;"")),tbl_Finance[Xero Invoice No]))=COUNTIFS(tbl_Finance[Job Number],C113&amp;"",tbl_Finance[Xero Invoice No],"&lt;&gt;"),LOOKUP(2,1/((tbl_Finance[Job Number]=C113&amp;"")*(tbl_Finance[Xero Invoice No]&lt;&gt;"")),tbl_Finance[Xero Invoice No]),LOOKUP(2,1/((tbl_Finance[Job Number]=C113&amp;"")*(tbl_Finance[Xero Invoice No]&lt;&gt;"")),tbl_Finance[Xero Invoice No])&amp;" +more"),"")))</f>
        <v/>
      </c>
      <c r="C113" s="24" t="n"/>
      <c r="D113" s="25">
        <f>IF(C113="","",IF(COUNTIF(lst_Jobs,C113&amp;"")&gt;0,"OK","CHECK"))</f>
        <v/>
      </c>
      <c r="E113" s="25">
        <f>IF(C113="","",IFERROR(INDEX(lst_JobName,MATCH(C113&amp;"",lst_Jobs,0)),""))</f>
        <v/>
      </c>
      <c r="F113" s="25">
        <f>IF(C113="","",IFERROR(INDEX(tbl_Finance[Client],MATCH(C113&amp;"",tbl_Finance[Job Number],0)),""))</f>
        <v/>
      </c>
      <c r="G113" s="28">
        <f>IF(C113="","",COUNTIFS(tbl_Finance[Job Number],C113&amp;"",tbl_Finance[Ex GST],"&lt;&gt;"))</f>
        <v/>
      </c>
      <c r="H113" s="27">
        <f>IF(C113="","",SUMIFS(tbl_Finance[Ex GST],tbl_Finance[Job Number],C113&amp;""))</f>
        <v/>
      </c>
      <c r="I113" s="27">
        <f>IF(C113="","",SUMIFS(tbl_Finance[Ex GST],tbl_Finance[Job Number],C113&amp;"",tbl_Finance[Xero Invoice No],"&lt;&gt;"))</f>
        <v/>
      </c>
      <c r="J113" s="27">
        <f>IF(C113="","",H113-I113)</f>
        <v/>
      </c>
      <c r="K113" s="25">
        <f>IF(C113="","",IF(G113=0,"not invoiced yet",SUBSTITUTE(TRIM(IF(COUNTIFS(tbl_Finance[Job Number],C113&amp;"",tbl_Finance[Cost Centre],"ONSITE")&gt;0,"ONSITE ","")&amp;IF(COUNTIFS(tbl_Finance[Job Number],C113&amp;"",tbl_Finance[Cost Centre],"PRODUCTION")&gt;0,"PRODUCTION ","")&amp;IF(COUNTIFS(tbl_Finance[Job Number],C113&amp;"",tbl_Finance[Cost Centre],"VIDEO")&gt;0,"VIDEO ","")&amp;IF(COUNTIFS(tbl_Finance[Job Number],C113&amp;"",tbl_Finance[Cost Centre],"INTEGRATION")&gt;0,"INTEGRATION ","")&amp;IF(COUNTIFS(tbl_Finance[Job Number],C113&amp;"",tbl_Finance[Cost Centre],"CONSULTING")&gt;0,"CONSULTING ","")&amp;IF(COUNTIFS(tbl_Finance[Job Number],C113&amp;"",tbl_Finance[Cost Centre],"CTS")&gt;0,"CTS ",""))," ",", ")))</f>
        <v/>
      </c>
      <c r="L113" s="24" t="n"/>
      <c r="M113" s="24" t="n"/>
      <c r="N113" s="25">
        <f>IF(M113="","",HYPERLINK(IF(LEFT(M113,4)="http",M113,set_QwilrBase&amp;M113),"Open quote"))</f>
        <v/>
      </c>
      <c r="O113" s="69" t="n"/>
      <c r="P113" s="24" t="n"/>
      <c r="Q113" s="24" t="n"/>
    </row>
    <row r="114" ht="15" customHeight="1">
      <c r="A114" s="68">
        <f>IF(C114="","",IFERROR(IF(SUMPRODUCT(MAX((tbl_Finance[Job Number]=C114&amp;"")*(tbl_Finance[Xero Invoice No]&lt;&gt;"")*tbl_Finance[Date]))=0,"",SUMPRODUCT(MAX((tbl_Finance[Job Number]=C114&amp;"")*(tbl_Finance[Xero Invoice No]&lt;&gt;"")*tbl_Finance[Date]))),""))</f>
        <v/>
      </c>
      <c r="B114" s="25">
        <f>IF(C114="","",IF(COUNTIFS(tbl_Finance[Job Number],C114&amp;"",tbl_Finance[Xero Invoice No],"&lt;&gt;")=0,"",IFERROR(IF(COUNTIFS(tbl_Finance[Job Number],C114&amp;"",tbl_Finance[Xero Invoice No],LOOKUP(2,1/((tbl_Finance[Job Number]=C114&amp;"")*(tbl_Finance[Xero Invoice No]&lt;&gt;"")),tbl_Finance[Xero Invoice No]))=COUNTIFS(tbl_Finance[Job Number],C114&amp;"",tbl_Finance[Xero Invoice No],"&lt;&gt;"),LOOKUP(2,1/((tbl_Finance[Job Number]=C114&amp;"")*(tbl_Finance[Xero Invoice No]&lt;&gt;"")),tbl_Finance[Xero Invoice No]),LOOKUP(2,1/((tbl_Finance[Job Number]=C114&amp;"")*(tbl_Finance[Xero Invoice No]&lt;&gt;"")),tbl_Finance[Xero Invoice No])&amp;" +more"),"")))</f>
        <v/>
      </c>
      <c r="C114" s="24" t="n"/>
      <c r="D114" s="25">
        <f>IF(C114="","",IF(COUNTIF(lst_Jobs,C114&amp;"")&gt;0,"OK","CHECK"))</f>
        <v/>
      </c>
      <c r="E114" s="25">
        <f>IF(C114="","",IFERROR(INDEX(lst_JobName,MATCH(C114&amp;"",lst_Jobs,0)),""))</f>
        <v/>
      </c>
      <c r="F114" s="25">
        <f>IF(C114="","",IFERROR(INDEX(tbl_Finance[Client],MATCH(C114&amp;"",tbl_Finance[Job Number],0)),""))</f>
        <v/>
      </c>
      <c r="G114" s="28">
        <f>IF(C114="","",COUNTIFS(tbl_Finance[Job Number],C114&amp;"",tbl_Finance[Ex GST],"&lt;&gt;"))</f>
        <v/>
      </c>
      <c r="H114" s="27">
        <f>IF(C114="","",SUMIFS(tbl_Finance[Ex GST],tbl_Finance[Job Number],C114&amp;""))</f>
        <v/>
      </c>
      <c r="I114" s="27">
        <f>IF(C114="","",SUMIFS(tbl_Finance[Ex GST],tbl_Finance[Job Number],C114&amp;"",tbl_Finance[Xero Invoice No],"&lt;&gt;"))</f>
        <v/>
      </c>
      <c r="J114" s="27">
        <f>IF(C114="","",H114-I114)</f>
        <v/>
      </c>
      <c r="K114" s="25">
        <f>IF(C114="","",IF(G114=0,"not invoiced yet",SUBSTITUTE(TRIM(IF(COUNTIFS(tbl_Finance[Job Number],C114&amp;"",tbl_Finance[Cost Centre],"ONSITE")&gt;0,"ONSITE ","")&amp;IF(COUNTIFS(tbl_Finance[Job Number],C114&amp;"",tbl_Finance[Cost Centre],"PRODUCTION")&gt;0,"PRODUCTION ","")&amp;IF(COUNTIFS(tbl_Finance[Job Number],C114&amp;"",tbl_Finance[Cost Centre],"VIDEO")&gt;0,"VIDEO ","")&amp;IF(COUNTIFS(tbl_Finance[Job Number],C114&amp;"",tbl_Finance[Cost Centre],"INTEGRATION")&gt;0,"INTEGRATION ","")&amp;IF(COUNTIFS(tbl_Finance[Job Number],C114&amp;"",tbl_Finance[Cost Centre],"CONSULTING")&gt;0,"CONSULTING ","")&amp;IF(COUNTIFS(tbl_Finance[Job Number],C114&amp;"",tbl_Finance[Cost Centre],"CTS")&gt;0,"CTS ",""))," ",", ")))</f>
        <v/>
      </c>
      <c r="L114" s="24" t="n"/>
      <c r="M114" s="24" t="n"/>
      <c r="N114" s="25">
        <f>IF(M114="","",HYPERLINK(IF(LEFT(M114,4)="http",M114,set_QwilrBase&amp;M114),"Open quote"))</f>
        <v/>
      </c>
      <c r="O114" s="69" t="n"/>
      <c r="P114" s="24" t="n"/>
      <c r="Q114" s="24" t="n"/>
    </row>
    <row r="115" ht="15" customHeight="1">
      <c r="A115" s="68">
        <f>IF(C115="","",IFERROR(IF(SUMPRODUCT(MAX((tbl_Finance[Job Number]=C115&amp;"")*(tbl_Finance[Xero Invoice No]&lt;&gt;"")*tbl_Finance[Date]))=0,"",SUMPRODUCT(MAX((tbl_Finance[Job Number]=C115&amp;"")*(tbl_Finance[Xero Invoice No]&lt;&gt;"")*tbl_Finance[Date]))),""))</f>
        <v/>
      </c>
      <c r="B115" s="25">
        <f>IF(C115="","",IF(COUNTIFS(tbl_Finance[Job Number],C115&amp;"",tbl_Finance[Xero Invoice No],"&lt;&gt;")=0,"",IFERROR(IF(COUNTIFS(tbl_Finance[Job Number],C115&amp;"",tbl_Finance[Xero Invoice No],LOOKUP(2,1/((tbl_Finance[Job Number]=C115&amp;"")*(tbl_Finance[Xero Invoice No]&lt;&gt;"")),tbl_Finance[Xero Invoice No]))=COUNTIFS(tbl_Finance[Job Number],C115&amp;"",tbl_Finance[Xero Invoice No],"&lt;&gt;"),LOOKUP(2,1/((tbl_Finance[Job Number]=C115&amp;"")*(tbl_Finance[Xero Invoice No]&lt;&gt;"")),tbl_Finance[Xero Invoice No]),LOOKUP(2,1/((tbl_Finance[Job Number]=C115&amp;"")*(tbl_Finance[Xero Invoice No]&lt;&gt;"")),tbl_Finance[Xero Invoice No])&amp;" +more"),"")))</f>
        <v/>
      </c>
      <c r="C115" s="24" t="n"/>
      <c r="D115" s="25">
        <f>IF(C115="","",IF(COUNTIF(lst_Jobs,C115&amp;"")&gt;0,"OK","CHECK"))</f>
        <v/>
      </c>
      <c r="E115" s="25">
        <f>IF(C115="","",IFERROR(INDEX(lst_JobName,MATCH(C115&amp;"",lst_Jobs,0)),""))</f>
        <v/>
      </c>
      <c r="F115" s="25">
        <f>IF(C115="","",IFERROR(INDEX(tbl_Finance[Client],MATCH(C115&amp;"",tbl_Finance[Job Number],0)),""))</f>
        <v/>
      </c>
      <c r="G115" s="28">
        <f>IF(C115="","",COUNTIFS(tbl_Finance[Job Number],C115&amp;"",tbl_Finance[Ex GST],"&lt;&gt;"))</f>
        <v/>
      </c>
      <c r="H115" s="27">
        <f>IF(C115="","",SUMIFS(tbl_Finance[Ex GST],tbl_Finance[Job Number],C115&amp;""))</f>
        <v/>
      </c>
      <c r="I115" s="27">
        <f>IF(C115="","",SUMIFS(tbl_Finance[Ex GST],tbl_Finance[Job Number],C115&amp;"",tbl_Finance[Xero Invoice No],"&lt;&gt;"))</f>
        <v/>
      </c>
      <c r="J115" s="27">
        <f>IF(C115="","",H115-I115)</f>
        <v/>
      </c>
      <c r="K115" s="25">
        <f>IF(C115="","",IF(G115=0,"not invoiced yet",SUBSTITUTE(TRIM(IF(COUNTIFS(tbl_Finance[Job Number],C115&amp;"",tbl_Finance[Cost Centre],"ONSITE")&gt;0,"ONSITE ","")&amp;IF(COUNTIFS(tbl_Finance[Job Number],C115&amp;"",tbl_Finance[Cost Centre],"PRODUCTION")&gt;0,"PRODUCTION ","")&amp;IF(COUNTIFS(tbl_Finance[Job Number],C115&amp;"",tbl_Finance[Cost Centre],"VIDEO")&gt;0,"VIDEO ","")&amp;IF(COUNTIFS(tbl_Finance[Job Number],C115&amp;"",tbl_Finance[Cost Centre],"INTEGRATION")&gt;0,"INTEGRATION ","")&amp;IF(COUNTIFS(tbl_Finance[Job Number],C115&amp;"",tbl_Finance[Cost Centre],"CONSULTING")&gt;0,"CONSULTING ","")&amp;IF(COUNTIFS(tbl_Finance[Job Number],C115&amp;"",tbl_Finance[Cost Centre],"CTS")&gt;0,"CTS ",""))," ",", ")))</f>
        <v/>
      </c>
      <c r="L115" s="24" t="n"/>
      <c r="M115" s="24" t="n"/>
      <c r="N115" s="25">
        <f>IF(M115="","",HYPERLINK(IF(LEFT(M115,4)="http",M115,set_QwilrBase&amp;M115),"Open quote"))</f>
        <v/>
      </c>
      <c r="O115" s="69" t="n"/>
      <c r="P115" s="24" t="n"/>
      <c r="Q115" s="24" t="n"/>
    </row>
    <row r="116" ht="15" customHeight="1">
      <c r="A116" s="68">
        <f>IF(C116="","",IFERROR(IF(SUMPRODUCT(MAX((tbl_Finance[Job Number]=C116&amp;"")*(tbl_Finance[Xero Invoice No]&lt;&gt;"")*tbl_Finance[Date]))=0,"",SUMPRODUCT(MAX((tbl_Finance[Job Number]=C116&amp;"")*(tbl_Finance[Xero Invoice No]&lt;&gt;"")*tbl_Finance[Date]))),""))</f>
        <v/>
      </c>
      <c r="B116" s="25">
        <f>IF(C116="","",IF(COUNTIFS(tbl_Finance[Job Number],C116&amp;"",tbl_Finance[Xero Invoice No],"&lt;&gt;")=0,"",IFERROR(IF(COUNTIFS(tbl_Finance[Job Number],C116&amp;"",tbl_Finance[Xero Invoice No],LOOKUP(2,1/((tbl_Finance[Job Number]=C116&amp;"")*(tbl_Finance[Xero Invoice No]&lt;&gt;"")),tbl_Finance[Xero Invoice No]))=COUNTIFS(tbl_Finance[Job Number],C116&amp;"",tbl_Finance[Xero Invoice No],"&lt;&gt;"),LOOKUP(2,1/((tbl_Finance[Job Number]=C116&amp;"")*(tbl_Finance[Xero Invoice No]&lt;&gt;"")),tbl_Finance[Xero Invoice No]),LOOKUP(2,1/((tbl_Finance[Job Number]=C116&amp;"")*(tbl_Finance[Xero Invoice No]&lt;&gt;"")),tbl_Finance[Xero Invoice No])&amp;" +more"),"")))</f>
        <v/>
      </c>
      <c r="C116" s="24" t="n"/>
      <c r="D116" s="25">
        <f>IF(C116="","",IF(COUNTIF(lst_Jobs,C116&amp;"")&gt;0,"OK","CHECK"))</f>
        <v/>
      </c>
      <c r="E116" s="25">
        <f>IF(C116="","",IFERROR(INDEX(lst_JobName,MATCH(C116&amp;"",lst_Jobs,0)),""))</f>
        <v/>
      </c>
      <c r="F116" s="25">
        <f>IF(C116="","",IFERROR(INDEX(tbl_Finance[Client],MATCH(C116&amp;"",tbl_Finance[Job Number],0)),""))</f>
        <v/>
      </c>
      <c r="G116" s="28">
        <f>IF(C116="","",COUNTIFS(tbl_Finance[Job Number],C116&amp;"",tbl_Finance[Ex GST],"&lt;&gt;"))</f>
        <v/>
      </c>
      <c r="H116" s="27">
        <f>IF(C116="","",SUMIFS(tbl_Finance[Ex GST],tbl_Finance[Job Number],C116&amp;""))</f>
        <v/>
      </c>
      <c r="I116" s="27">
        <f>IF(C116="","",SUMIFS(tbl_Finance[Ex GST],tbl_Finance[Job Number],C116&amp;"",tbl_Finance[Xero Invoice No],"&lt;&gt;"))</f>
        <v/>
      </c>
      <c r="J116" s="27">
        <f>IF(C116="","",H116-I116)</f>
        <v/>
      </c>
      <c r="K116" s="25">
        <f>IF(C116="","",IF(G116=0,"not invoiced yet",SUBSTITUTE(TRIM(IF(COUNTIFS(tbl_Finance[Job Number],C116&amp;"",tbl_Finance[Cost Centre],"ONSITE")&gt;0,"ONSITE ","")&amp;IF(COUNTIFS(tbl_Finance[Job Number],C116&amp;"",tbl_Finance[Cost Centre],"PRODUCTION")&gt;0,"PRODUCTION ","")&amp;IF(COUNTIFS(tbl_Finance[Job Number],C116&amp;"",tbl_Finance[Cost Centre],"VIDEO")&gt;0,"VIDEO ","")&amp;IF(COUNTIFS(tbl_Finance[Job Number],C116&amp;"",tbl_Finance[Cost Centre],"INTEGRATION")&gt;0,"INTEGRATION ","")&amp;IF(COUNTIFS(tbl_Finance[Job Number],C116&amp;"",tbl_Finance[Cost Centre],"CONSULTING")&gt;0,"CONSULTING ","")&amp;IF(COUNTIFS(tbl_Finance[Job Number],C116&amp;"",tbl_Finance[Cost Centre],"CTS")&gt;0,"CTS ",""))," ",", ")))</f>
        <v/>
      </c>
      <c r="L116" s="24" t="n"/>
      <c r="M116" s="24" t="n"/>
      <c r="N116" s="25">
        <f>IF(M116="","",HYPERLINK(IF(LEFT(M116,4)="http",M116,set_QwilrBase&amp;M116),"Open quote"))</f>
        <v/>
      </c>
      <c r="O116" s="69" t="n"/>
      <c r="P116" s="24" t="n"/>
      <c r="Q116" s="24" t="n"/>
    </row>
    <row r="117" ht="15" customHeight="1">
      <c r="A117" s="68">
        <f>IF(C117="","",IFERROR(IF(SUMPRODUCT(MAX((tbl_Finance[Job Number]=C117&amp;"")*(tbl_Finance[Xero Invoice No]&lt;&gt;"")*tbl_Finance[Date]))=0,"",SUMPRODUCT(MAX((tbl_Finance[Job Number]=C117&amp;"")*(tbl_Finance[Xero Invoice No]&lt;&gt;"")*tbl_Finance[Date]))),""))</f>
        <v/>
      </c>
      <c r="B117" s="25">
        <f>IF(C117="","",IF(COUNTIFS(tbl_Finance[Job Number],C117&amp;"",tbl_Finance[Xero Invoice No],"&lt;&gt;")=0,"",IFERROR(IF(COUNTIFS(tbl_Finance[Job Number],C117&amp;"",tbl_Finance[Xero Invoice No],LOOKUP(2,1/((tbl_Finance[Job Number]=C117&amp;"")*(tbl_Finance[Xero Invoice No]&lt;&gt;"")),tbl_Finance[Xero Invoice No]))=COUNTIFS(tbl_Finance[Job Number],C117&amp;"",tbl_Finance[Xero Invoice No],"&lt;&gt;"),LOOKUP(2,1/((tbl_Finance[Job Number]=C117&amp;"")*(tbl_Finance[Xero Invoice No]&lt;&gt;"")),tbl_Finance[Xero Invoice No]),LOOKUP(2,1/((tbl_Finance[Job Number]=C117&amp;"")*(tbl_Finance[Xero Invoice No]&lt;&gt;"")),tbl_Finance[Xero Invoice No])&amp;" +more"),"")))</f>
        <v/>
      </c>
      <c r="C117" s="24" t="n"/>
      <c r="D117" s="25">
        <f>IF(C117="","",IF(COUNTIF(lst_Jobs,C117&amp;"")&gt;0,"OK","CHECK"))</f>
        <v/>
      </c>
      <c r="E117" s="25">
        <f>IF(C117="","",IFERROR(INDEX(lst_JobName,MATCH(C117&amp;"",lst_Jobs,0)),""))</f>
        <v/>
      </c>
      <c r="F117" s="25">
        <f>IF(C117="","",IFERROR(INDEX(tbl_Finance[Client],MATCH(C117&amp;"",tbl_Finance[Job Number],0)),""))</f>
        <v/>
      </c>
      <c r="G117" s="28">
        <f>IF(C117="","",COUNTIFS(tbl_Finance[Job Number],C117&amp;"",tbl_Finance[Ex GST],"&lt;&gt;"))</f>
        <v/>
      </c>
      <c r="H117" s="27">
        <f>IF(C117="","",SUMIFS(tbl_Finance[Ex GST],tbl_Finance[Job Number],C117&amp;""))</f>
        <v/>
      </c>
      <c r="I117" s="27">
        <f>IF(C117="","",SUMIFS(tbl_Finance[Ex GST],tbl_Finance[Job Number],C117&amp;"",tbl_Finance[Xero Invoice No],"&lt;&gt;"))</f>
        <v/>
      </c>
      <c r="J117" s="27">
        <f>IF(C117="","",H117-I117)</f>
        <v/>
      </c>
      <c r="K117" s="25">
        <f>IF(C117="","",IF(G117=0,"not invoiced yet",SUBSTITUTE(TRIM(IF(COUNTIFS(tbl_Finance[Job Number],C117&amp;"",tbl_Finance[Cost Centre],"ONSITE")&gt;0,"ONSITE ","")&amp;IF(COUNTIFS(tbl_Finance[Job Number],C117&amp;"",tbl_Finance[Cost Centre],"PRODUCTION")&gt;0,"PRODUCTION ","")&amp;IF(COUNTIFS(tbl_Finance[Job Number],C117&amp;"",tbl_Finance[Cost Centre],"VIDEO")&gt;0,"VIDEO ","")&amp;IF(COUNTIFS(tbl_Finance[Job Number],C117&amp;"",tbl_Finance[Cost Centre],"INTEGRATION")&gt;0,"INTEGRATION ","")&amp;IF(COUNTIFS(tbl_Finance[Job Number],C117&amp;"",tbl_Finance[Cost Centre],"CONSULTING")&gt;0,"CONSULTING ","")&amp;IF(COUNTIFS(tbl_Finance[Job Number],C117&amp;"",tbl_Finance[Cost Centre],"CTS")&gt;0,"CTS ",""))," ",", ")))</f>
        <v/>
      </c>
      <c r="L117" s="24" t="n"/>
      <c r="M117" s="24" t="n"/>
      <c r="N117" s="25">
        <f>IF(M117="","",HYPERLINK(IF(LEFT(M117,4)="http",M117,set_QwilrBase&amp;M117),"Open quote"))</f>
        <v/>
      </c>
      <c r="O117" s="69" t="n"/>
      <c r="P117" s="24" t="n"/>
      <c r="Q117" s="24" t="n"/>
    </row>
    <row r="118" ht="15" customHeight="1">
      <c r="A118" s="68">
        <f>IF(C118="","",IFERROR(IF(SUMPRODUCT(MAX((tbl_Finance[Job Number]=C118&amp;"")*(tbl_Finance[Xero Invoice No]&lt;&gt;"")*tbl_Finance[Date]))=0,"",SUMPRODUCT(MAX((tbl_Finance[Job Number]=C118&amp;"")*(tbl_Finance[Xero Invoice No]&lt;&gt;"")*tbl_Finance[Date]))),""))</f>
        <v/>
      </c>
      <c r="B118" s="25">
        <f>IF(C118="","",IF(COUNTIFS(tbl_Finance[Job Number],C118&amp;"",tbl_Finance[Xero Invoice No],"&lt;&gt;")=0,"",IFERROR(IF(COUNTIFS(tbl_Finance[Job Number],C118&amp;"",tbl_Finance[Xero Invoice No],LOOKUP(2,1/((tbl_Finance[Job Number]=C118&amp;"")*(tbl_Finance[Xero Invoice No]&lt;&gt;"")),tbl_Finance[Xero Invoice No]))=COUNTIFS(tbl_Finance[Job Number],C118&amp;"",tbl_Finance[Xero Invoice No],"&lt;&gt;"),LOOKUP(2,1/((tbl_Finance[Job Number]=C118&amp;"")*(tbl_Finance[Xero Invoice No]&lt;&gt;"")),tbl_Finance[Xero Invoice No]),LOOKUP(2,1/((tbl_Finance[Job Number]=C118&amp;"")*(tbl_Finance[Xero Invoice No]&lt;&gt;"")),tbl_Finance[Xero Invoice No])&amp;" +more"),"")))</f>
        <v/>
      </c>
      <c r="C118" s="24" t="n"/>
      <c r="D118" s="25">
        <f>IF(C118="","",IF(COUNTIF(lst_Jobs,C118&amp;"")&gt;0,"OK","CHECK"))</f>
        <v/>
      </c>
      <c r="E118" s="25">
        <f>IF(C118="","",IFERROR(INDEX(lst_JobName,MATCH(C118&amp;"",lst_Jobs,0)),""))</f>
        <v/>
      </c>
      <c r="F118" s="25">
        <f>IF(C118="","",IFERROR(INDEX(tbl_Finance[Client],MATCH(C118&amp;"",tbl_Finance[Job Number],0)),""))</f>
        <v/>
      </c>
      <c r="G118" s="28">
        <f>IF(C118="","",COUNTIFS(tbl_Finance[Job Number],C118&amp;"",tbl_Finance[Ex GST],"&lt;&gt;"))</f>
        <v/>
      </c>
      <c r="H118" s="27">
        <f>IF(C118="","",SUMIFS(tbl_Finance[Ex GST],tbl_Finance[Job Number],C118&amp;""))</f>
        <v/>
      </c>
      <c r="I118" s="27">
        <f>IF(C118="","",SUMIFS(tbl_Finance[Ex GST],tbl_Finance[Job Number],C118&amp;"",tbl_Finance[Xero Invoice No],"&lt;&gt;"))</f>
        <v/>
      </c>
      <c r="J118" s="27">
        <f>IF(C118="","",H118-I118)</f>
        <v/>
      </c>
      <c r="K118" s="25">
        <f>IF(C118="","",IF(G118=0,"not invoiced yet",SUBSTITUTE(TRIM(IF(COUNTIFS(tbl_Finance[Job Number],C118&amp;"",tbl_Finance[Cost Centre],"ONSITE")&gt;0,"ONSITE ","")&amp;IF(COUNTIFS(tbl_Finance[Job Number],C118&amp;"",tbl_Finance[Cost Centre],"PRODUCTION")&gt;0,"PRODUCTION ","")&amp;IF(COUNTIFS(tbl_Finance[Job Number],C118&amp;"",tbl_Finance[Cost Centre],"VIDEO")&gt;0,"VIDEO ","")&amp;IF(COUNTIFS(tbl_Finance[Job Number],C118&amp;"",tbl_Finance[Cost Centre],"INTEGRATION")&gt;0,"INTEGRATION ","")&amp;IF(COUNTIFS(tbl_Finance[Job Number],C118&amp;"",tbl_Finance[Cost Centre],"CONSULTING")&gt;0,"CONSULTING ","")&amp;IF(COUNTIFS(tbl_Finance[Job Number],C118&amp;"",tbl_Finance[Cost Centre],"CTS")&gt;0,"CTS ",""))," ",", ")))</f>
        <v/>
      </c>
      <c r="L118" s="24" t="n"/>
      <c r="M118" s="24" t="n"/>
      <c r="N118" s="25">
        <f>IF(M118="","",HYPERLINK(IF(LEFT(M118,4)="http",M118,set_QwilrBase&amp;M118),"Open quote"))</f>
        <v/>
      </c>
      <c r="O118" s="69" t="n"/>
      <c r="P118" s="24" t="n"/>
      <c r="Q118" s="24" t="n"/>
    </row>
    <row r="119" ht="15" customHeight="1">
      <c r="A119" s="68">
        <f>IF(C119="","",IFERROR(IF(SUMPRODUCT(MAX((tbl_Finance[Job Number]=C119&amp;"")*(tbl_Finance[Xero Invoice No]&lt;&gt;"")*tbl_Finance[Date]))=0,"",SUMPRODUCT(MAX((tbl_Finance[Job Number]=C119&amp;"")*(tbl_Finance[Xero Invoice No]&lt;&gt;"")*tbl_Finance[Date]))),""))</f>
        <v/>
      </c>
      <c r="B119" s="25">
        <f>IF(C119="","",IF(COUNTIFS(tbl_Finance[Job Number],C119&amp;"",tbl_Finance[Xero Invoice No],"&lt;&gt;")=0,"",IFERROR(IF(COUNTIFS(tbl_Finance[Job Number],C119&amp;"",tbl_Finance[Xero Invoice No],LOOKUP(2,1/((tbl_Finance[Job Number]=C119&amp;"")*(tbl_Finance[Xero Invoice No]&lt;&gt;"")),tbl_Finance[Xero Invoice No]))=COUNTIFS(tbl_Finance[Job Number],C119&amp;"",tbl_Finance[Xero Invoice No],"&lt;&gt;"),LOOKUP(2,1/((tbl_Finance[Job Number]=C119&amp;"")*(tbl_Finance[Xero Invoice No]&lt;&gt;"")),tbl_Finance[Xero Invoice No]),LOOKUP(2,1/((tbl_Finance[Job Number]=C119&amp;"")*(tbl_Finance[Xero Invoice No]&lt;&gt;"")),tbl_Finance[Xero Invoice No])&amp;" +more"),"")))</f>
        <v/>
      </c>
      <c r="C119" s="24" t="n"/>
      <c r="D119" s="25">
        <f>IF(C119="","",IF(COUNTIF(lst_Jobs,C119&amp;"")&gt;0,"OK","CHECK"))</f>
        <v/>
      </c>
      <c r="E119" s="25">
        <f>IF(C119="","",IFERROR(INDEX(lst_JobName,MATCH(C119&amp;"",lst_Jobs,0)),""))</f>
        <v/>
      </c>
      <c r="F119" s="25">
        <f>IF(C119="","",IFERROR(INDEX(tbl_Finance[Client],MATCH(C119&amp;"",tbl_Finance[Job Number],0)),""))</f>
        <v/>
      </c>
      <c r="G119" s="28">
        <f>IF(C119="","",COUNTIFS(tbl_Finance[Job Number],C119&amp;"",tbl_Finance[Ex GST],"&lt;&gt;"))</f>
        <v/>
      </c>
      <c r="H119" s="27">
        <f>IF(C119="","",SUMIFS(tbl_Finance[Ex GST],tbl_Finance[Job Number],C119&amp;""))</f>
        <v/>
      </c>
      <c r="I119" s="27">
        <f>IF(C119="","",SUMIFS(tbl_Finance[Ex GST],tbl_Finance[Job Number],C119&amp;"",tbl_Finance[Xero Invoice No],"&lt;&gt;"))</f>
        <v/>
      </c>
      <c r="J119" s="27">
        <f>IF(C119="","",H119-I119)</f>
        <v/>
      </c>
      <c r="K119" s="25">
        <f>IF(C119="","",IF(G119=0,"not invoiced yet",SUBSTITUTE(TRIM(IF(COUNTIFS(tbl_Finance[Job Number],C119&amp;"",tbl_Finance[Cost Centre],"ONSITE")&gt;0,"ONSITE ","")&amp;IF(COUNTIFS(tbl_Finance[Job Number],C119&amp;"",tbl_Finance[Cost Centre],"PRODUCTION")&gt;0,"PRODUCTION ","")&amp;IF(COUNTIFS(tbl_Finance[Job Number],C119&amp;"",tbl_Finance[Cost Centre],"VIDEO")&gt;0,"VIDEO ","")&amp;IF(COUNTIFS(tbl_Finance[Job Number],C119&amp;"",tbl_Finance[Cost Centre],"INTEGRATION")&gt;0,"INTEGRATION ","")&amp;IF(COUNTIFS(tbl_Finance[Job Number],C119&amp;"",tbl_Finance[Cost Centre],"CONSULTING")&gt;0,"CONSULTING ","")&amp;IF(COUNTIFS(tbl_Finance[Job Number],C119&amp;"",tbl_Finance[Cost Centre],"CTS")&gt;0,"CTS ",""))," ",", ")))</f>
        <v/>
      </c>
      <c r="L119" s="24" t="n"/>
      <c r="M119" s="24" t="n"/>
      <c r="N119" s="25">
        <f>IF(M119="","",HYPERLINK(IF(LEFT(M119,4)="http",M119,set_QwilrBase&amp;M119),"Open quote"))</f>
        <v/>
      </c>
      <c r="O119" s="69" t="n"/>
      <c r="P119" s="24" t="n"/>
      <c r="Q119" s="24" t="n"/>
    </row>
    <row r="120" ht="15" customHeight="1">
      <c r="A120" s="68">
        <f>IF(C120="","",IFERROR(IF(SUMPRODUCT(MAX((tbl_Finance[Job Number]=C120&amp;"")*(tbl_Finance[Xero Invoice No]&lt;&gt;"")*tbl_Finance[Date]))=0,"",SUMPRODUCT(MAX((tbl_Finance[Job Number]=C120&amp;"")*(tbl_Finance[Xero Invoice No]&lt;&gt;"")*tbl_Finance[Date]))),""))</f>
        <v/>
      </c>
      <c r="B120" s="25">
        <f>IF(C120="","",IF(COUNTIFS(tbl_Finance[Job Number],C120&amp;"",tbl_Finance[Xero Invoice No],"&lt;&gt;")=0,"",IFERROR(IF(COUNTIFS(tbl_Finance[Job Number],C120&amp;"",tbl_Finance[Xero Invoice No],LOOKUP(2,1/((tbl_Finance[Job Number]=C120&amp;"")*(tbl_Finance[Xero Invoice No]&lt;&gt;"")),tbl_Finance[Xero Invoice No]))=COUNTIFS(tbl_Finance[Job Number],C120&amp;"",tbl_Finance[Xero Invoice No],"&lt;&gt;"),LOOKUP(2,1/((tbl_Finance[Job Number]=C120&amp;"")*(tbl_Finance[Xero Invoice No]&lt;&gt;"")),tbl_Finance[Xero Invoice No]),LOOKUP(2,1/((tbl_Finance[Job Number]=C120&amp;"")*(tbl_Finance[Xero Invoice No]&lt;&gt;"")),tbl_Finance[Xero Invoice No])&amp;" +more"),"")))</f>
        <v/>
      </c>
      <c r="C120" s="24" t="n"/>
      <c r="D120" s="25">
        <f>IF(C120="","",IF(COUNTIF(lst_Jobs,C120&amp;"")&gt;0,"OK","CHECK"))</f>
        <v/>
      </c>
      <c r="E120" s="25">
        <f>IF(C120="","",IFERROR(INDEX(lst_JobName,MATCH(C120&amp;"",lst_Jobs,0)),""))</f>
        <v/>
      </c>
      <c r="F120" s="25">
        <f>IF(C120="","",IFERROR(INDEX(tbl_Finance[Client],MATCH(C120&amp;"",tbl_Finance[Job Number],0)),""))</f>
        <v/>
      </c>
      <c r="G120" s="28">
        <f>IF(C120="","",COUNTIFS(tbl_Finance[Job Number],C120&amp;"",tbl_Finance[Ex GST],"&lt;&gt;"))</f>
        <v/>
      </c>
      <c r="H120" s="27">
        <f>IF(C120="","",SUMIFS(tbl_Finance[Ex GST],tbl_Finance[Job Number],C120&amp;""))</f>
        <v/>
      </c>
      <c r="I120" s="27">
        <f>IF(C120="","",SUMIFS(tbl_Finance[Ex GST],tbl_Finance[Job Number],C120&amp;"",tbl_Finance[Xero Invoice No],"&lt;&gt;"))</f>
        <v/>
      </c>
      <c r="J120" s="27">
        <f>IF(C120="","",H120-I120)</f>
        <v/>
      </c>
      <c r="K120" s="25">
        <f>IF(C120="","",IF(G120=0,"not invoiced yet",SUBSTITUTE(TRIM(IF(COUNTIFS(tbl_Finance[Job Number],C120&amp;"",tbl_Finance[Cost Centre],"ONSITE")&gt;0,"ONSITE ","")&amp;IF(COUNTIFS(tbl_Finance[Job Number],C120&amp;"",tbl_Finance[Cost Centre],"PRODUCTION")&gt;0,"PRODUCTION ","")&amp;IF(COUNTIFS(tbl_Finance[Job Number],C120&amp;"",tbl_Finance[Cost Centre],"VIDEO")&gt;0,"VIDEO ","")&amp;IF(COUNTIFS(tbl_Finance[Job Number],C120&amp;"",tbl_Finance[Cost Centre],"INTEGRATION")&gt;0,"INTEGRATION ","")&amp;IF(COUNTIFS(tbl_Finance[Job Number],C120&amp;"",tbl_Finance[Cost Centre],"CONSULTING")&gt;0,"CONSULTING ","")&amp;IF(COUNTIFS(tbl_Finance[Job Number],C120&amp;"",tbl_Finance[Cost Centre],"CTS")&gt;0,"CTS ",""))," ",", ")))</f>
        <v/>
      </c>
      <c r="L120" s="24" t="n"/>
      <c r="M120" s="24" t="n"/>
      <c r="N120" s="25">
        <f>IF(M120="","",HYPERLINK(IF(LEFT(M120,4)="http",M120,set_QwilrBase&amp;M120),"Open quote"))</f>
        <v/>
      </c>
      <c r="O120" s="69" t="n"/>
      <c r="P120" s="24" t="n"/>
      <c r="Q120" s="24" t="n"/>
    </row>
    <row r="121" ht="15" customHeight="1">
      <c r="A121" s="68">
        <f>IF(C121="","",IFERROR(IF(SUMPRODUCT(MAX((tbl_Finance[Job Number]=C121&amp;"")*(tbl_Finance[Xero Invoice No]&lt;&gt;"")*tbl_Finance[Date]))=0,"",SUMPRODUCT(MAX((tbl_Finance[Job Number]=C121&amp;"")*(tbl_Finance[Xero Invoice No]&lt;&gt;"")*tbl_Finance[Date]))),""))</f>
        <v/>
      </c>
      <c r="B121" s="25">
        <f>IF(C121="","",IF(COUNTIFS(tbl_Finance[Job Number],C121&amp;"",tbl_Finance[Xero Invoice No],"&lt;&gt;")=0,"",IFERROR(IF(COUNTIFS(tbl_Finance[Job Number],C121&amp;"",tbl_Finance[Xero Invoice No],LOOKUP(2,1/((tbl_Finance[Job Number]=C121&amp;"")*(tbl_Finance[Xero Invoice No]&lt;&gt;"")),tbl_Finance[Xero Invoice No]))=COUNTIFS(tbl_Finance[Job Number],C121&amp;"",tbl_Finance[Xero Invoice No],"&lt;&gt;"),LOOKUP(2,1/((tbl_Finance[Job Number]=C121&amp;"")*(tbl_Finance[Xero Invoice No]&lt;&gt;"")),tbl_Finance[Xero Invoice No]),LOOKUP(2,1/((tbl_Finance[Job Number]=C121&amp;"")*(tbl_Finance[Xero Invoice No]&lt;&gt;"")),tbl_Finance[Xero Invoice No])&amp;" +more"),"")))</f>
        <v/>
      </c>
      <c r="C121" s="24" t="n"/>
      <c r="D121" s="25">
        <f>IF(C121="","",IF(COUNTIF(lst_Jobs,C121&amp;"")&gt;0,"OK","CHECK"))</f>
        <v/>
      </c>
      <c r="E121" s="25">
        <f>IF(C121="","",IFERROR(INDEX(lst_JobName,MATCH(C121&amp;"",lst_Jobs,0)),""))</f>
        <v/>
      </c>
      <c r="F121" s="25">
        <f>IF(C121="","",IFERROR(INDEX(tbl_Finance[Client],MATCH(C121&amp;"",tbl_Finance[Job Number],0)),""))</f>
        <v/>
      </c>
      <c r="G121" s="28">
        <f>IF(C121="","",COUNTIFS(tbl_Finance[Job Number],C121&amp;"",tbl_Finance[Ex GST],"&lt;&gt;"))</f>
        <v/>
      </c>
      <c r="H121" s="27">
        <f>IF(C121="","",SUMIFS(tbl_Finance[Ex GST],tbl_Finance[Job Number],C121&amp;""))</f>
        <v/>
      </c>
      <c r="I121" s="27">
        <f>IF(C121="","",SUMIFS(tbl_Finance[Ex GST],tbl_Finance[Job Number],C121&amp;"",tbl_Finance[Xero Invoice No],"&lt;&gt;"))</f>
        <v/>
      </c>
      <c r="J121" s="27">
        <f>IF(C121="","",H121-I121)</f>
        <v/>
      </c>
      <c r="K121" s="25">
        <f>IF(C121="","",IF(G121=0,"not invoiced yet",SUBSTITUTE(TRIM(IF(COUNTIFS(tbl_Finance[Job Number],C121&amp;"",tbl_Finance[Cost Centre],"ONSITE")&gt;0,"ONSITE ","")&amp;IF(COUNTIFS(tbl_Finance[Job Number],C121&amp;"",tbl_Finance[Cost Centre],"PRODUCTION")&gt;0,"PRODUCTION ","")&amp;IF(COUNTIFS(tbl_Finance[Job Number],C121&amp;"",tbl_Finance[Cost Centre],"VIDEO")&gt;0,"VIDEO ","")&amp;IF(COUNTIFS(tbl_Finance[Job Number],C121&amp;"",tbl_Finance[Cost Centre],"INTEGRATION")&gt;0,"INTEGRATION ","")&amp;IF(COUNTIFS(tbl_Finance[Job Number],C121&amp;"",tbl_Finance[Cost Centre],"CONSULTING")&gt;0,"CONSULTING ","")&amp;IF(COUNTIFS(tbl_Finance[Job Number],C121&amp;"",tbl_Finance[Cost Centre],"CTS")&gt;0,"CTS ",""))," ",", ")))</f>
        <v/>
      </c>
      <c r="L121" s="24" t="n"/>
      <c r="M121" s="24" t="n"/>
      <c r="N121" s="25">
        <f>IF(M121="","",HYPERLINK(IF(LEFT(M121,4)="http",M121,set_QwilrBase&amp;M121),"Open quote"))</f>
        <v/>
      </c>
      <c r="O121" s="69" t="n"/>
      <c r="P121" s="24" t="n"/>
      <c r="Q121" s="24" t="n"/>
    </row>
    <row r="122" ht="15" customHeight="1">
      <c r="A122" s="68">
        <f>IF(C122="","",IFERROR(IF(SUMPRODUCT(MAX((tbl_Finance[Job Number]=C122&amp;"")*(tbl_Finance[Xero Invoice No]&lt;&gt;"")*tbl_Finance[Date]))=0,"",SUMPRODUCT(MAX((tbl_Finance[Job Number]=C122&amp;"")*(tbl_Finance[Xero Invoice No]&lt;&gt;"")*tbl_Finance[Date]))),""))</f>
        <v/>
      </c>
      <c r="B122" s="25">
        <f>IF(C122="","",IF(COUNTIFS(tbl_Finance[Job Number],C122&amp;"",tbl_Finance[Xero Invoice No],"&lt;&gt;")=0,"",IFERROR(IF(COUNTIFS(tbl_Finance[Job Number],C122&amp;"",tbl_Finance[Xero Invoice No],LOOKUP(2,1/((tbl_Finance[Job Number]=C122&amp;"")*(tbl_Finance[Xero Invoice No]&lt;&gt;"")),tbl_Finance[Xero Invoice No]))=COUNTIFS(tbl_Finance[Job Number],C122&amp;"",tbl_Finance[Xero Invoice No],"&lt;&gt;"),LOOKUP(2,1/((tbl_Finance[Job Number]=C122&amp;"")*(tbl_Finance[Xero Invoice No]&lt;&gt;"")),tbl_Finance[Xero Invoice No]),LOOKUP(2,1/((tbl_Finance[Job Number]=C122&amp;"")*(tbl_Finance[Xero Invoice No]&lt;&gt;"")),tbl_Finance[Xero Invoice No])&amp;" +more"),"")))</f>
        <v/>
      </c>
      <c r="C122" s="24" t="n"/>
      <c r="D122" s="25">
        <f>IF(C122="","",IF(COUNTIF(lst_Jobs,C122&amp;"")&gt;0,"OK","CHECK"))</f>
        <v/>
      </c>
      <c r="E122" s="25">
        <f>IF(C122="","",IFERROR(INDEX(lst_JobName,MATCH(C122&amp;"",lst_Jobs,0)),""))</f>
        <v/>
      </c>
      <c r="F122" s="25">
        <f>IF(C122="","",IFERROR(INDEX(tbl_Finance[Client],MATCH(C122&amp;"",tbl_Finance[Job Number],0)),""))</f>
        <v/>
      </c>
      <c r="G122" s="28">
        <f>IF(C122="","",COUNTIFS(tbl_Finance[Job Number],C122&amp;"",tbl_Finance[Ex GST],"&lt;&gt;"))</f>
        <v/>
      </c>
      <c r="H122" s="27">
        <f>IF(C122="","",SUMIFS(tbl_Finance[Ex GST],tbl_Finance[Job Number],C122&amp;""))</f>
        <v/>
      </c>
      <c r="I122" s="27">
        <f>IF(C122="","",SUMIFS(tbl_Finance[Ex GST],tbl_Finance[Job Number],C122&amp;"",tbl_Finance[Xero Invoice No],"&lt;&gt;"))</f>
        <v/>
      </c>
      <c r="J122" s="27">
        <f>IF(C122="","",H122-I122)</f>
        <v/>
      </c>
      <c r="K122" s="25">
        <f>IF(C122="","",IF(G122=0,"not invoiced yet",SUBSTITUTE(TRIM(IF(COUNTIFS(tbl_Finance[Job Number],C122&amp;"",tbl_Finance[Cost Centre],"ONSITE")&gt;0,"ONSITE ","")&amp;IF(COUNTIFS(tbl_Finance[Job Number],C122&amp;"",tbl_Finance[Cost Centre],"PRODUCTION")&gt;0,"PRODUCTION ","")&amp;IF(COUNTIFS(tbl_Finance[Job Number],C122&amp;"",tbl_Finance[Cost Centre],"VIDEO")&gt;0,"VIDEO ","")&amp;IF(COUNTIFS(tbl_Finance[Job Number],C122&amp;"",tbl_Finance[Cost Centre],"INTEGRATION")&gt;0,"INTEGRATION ","")&amp;IF(COUNTIFS(tbl_Finance[Job Number],C122&amp;"",tbl_Finance[Cost Centre],"CONSULTING")&gt;0,"CONSULTING ","")&amp;IF(COUNTIFS(tbl_Finance[Job Number],C122&amp;"",tbl_Finance[Cost Centre],"CTS")&gt;0,"CTS ",""))," ",", ")))</f>
        <v/>
      </c>
      <c r="L122" s="24" t="n"/>
      <c r="M122" s="24" t="n"/>
      <c r="N122" s="25">
        <f>IF(M122="","",HYPERLINK(IF(LEFT(M122,4)="http",M122,set_QwilrBase&amp;M122),"Open quote"))</f>
        <v/>
      </c>
      <c r="O122" s="69" t="n"/>
      <c r="P122" s="24" t="n"/>
      <c r="Q122" s="24" t="n"/>
    </row>
    <row r="123" ht="15" customHeight="1">
      <c r="A123" s="68">
        <f>IF(C123="","",IFERROR(IF(SUMPRODUCT(MAX((tbl_Finance[Job Number]=C123&amp;"")*(tbl_Finance[Xero Invoice No]&lt;&gt;"")*tbl_Finance[Date]))=0,"",SUMPRODUCT(MAX((tbl_Finance[Job Number]=C123&amp;"")*(tbl_Finance[Xero Invoice No]&lt;&gt;"")*tbl_Finance[Date]))),""))</f>
        <v/>
      </c>
      <c r="B123" s="25">
        <f>IF(C123="","",IF(COUNTIFS(tbl_Finance[Job Number],C123&amp;"",tbl_Finance[Xero Invoice No],"&lt;&gt;")=0,"",IFERROR(IF(COUNTIFS(tbl_Finance[Job Number],C123&amp;"",tbl_Finance[Xero Invoice No],LOOKUP(2,1/((tbl_Finance[Job Number]=C123&amp;"")*(tbl_Finance[Xero Invoice No]&lt;&gt;"")),tbl_Finance[Xero Invoice No]))=COUNTIFS(tbl_Finance[Job Number],C123&amp;"",tbl_Finance[Xero Invoice No],"&lt;&gt;"),LOOKUP(2,1/((tbl_Finance[Job Number]=C123&amp;"")*(tbl_Finance[Xero Invoice No]&lt;&gt;"")),tbl_Finance[Xero Invoice No]),LOOKUP(2,1/((tbl_Finance[Job Number]=C123&amp;"")*(tbl_Finance[Xero Invoice No]&lt;&gt;"")),tbl_Finance[Xero Invoice No])&amp;" +more"),"")))</f>
        <v/>
      </c>
      <c r="C123" s="24" t="n"/>
      <c r="D123" s="25">
        <f>IF(C123="","",IF(COUNTIF(lst_Jobs,C123&amp;"")&gt;0,"OK","CHECK"))</f>
        <v/>
      </c>
      <c r="E123" s="25">
        <f>IF(C123="","",IFERROR(INDEX(lst_JobName,MATCH(C123&amp;"",lst_Jobs,0)),""))</f>
        <v/>
      </c>
      <c r="F123" s="25">
        <f>IF(C123="","",IFERROR(INDEX(tbl_Finance[Client],MATCH(C123&amp;"",tbl_Finance[Job Number],0)),""))</f>
        <v/>
      </c>
      <c r="G123" s="28">
        <f>IF(C123="","",COUNTIFS(tbl_Finance[Job Number],C123&amp;"",tbl_Finance[Ex GST],"&lt;&gt;"))</f>
        <v/>
      </c>
      <c r="H123" s="27">
        <f>IF(C123="","",SUMIFS(tbl_Finance[Ex GST],tbl_Finance[Job Number],C123&amp;""))</f>
        <v/>
      </c>
      <c r="I123" s="27">
        <f>IF(C123="","",SUMIFS(tbl_Finance[Ex GST],tbl_Finance[Job Number],C123&amp;"",tbl_Finance[Xero Invoice No],"&lt;&gt;"))</f>
        <v/>
      </c>
      <c r="J123" s="27">
        <f>IF(C123="","",H123-I123)</f>
        <v/>
      </c>
      <c r="K123" s="25">
        <f>IF(C123="","",IF(G123=0,"not invoiced yet",SUBSTITUTE(TRIM(IF(COUNTIFS(tbl_Finance[Job Number],C123&amp;"",tbl_Finance[Cost Centre],"ONSITE")&gt;0,"ONSITE ","")&amp;IF(COUNTIFS(tbl_Finance[Job Number],C123&amp;"",tbl_Finance[Cost Centre],"PRODUCTION")&gt;0,"PRODUCTION ","")&amp;IF(COUNTIFS(tbl_Finance[Job Number],C123&amp;"",tbl_Finance[Cost Centre],"VIDEO")&gt;0,"VIDEO ","")&amp;IF(COUNTIFS(tbl_Finance[Job Number],C123&amp;"",tbl_Finance[Cost Centre],"INTEGRATION")&gt;0,"INTEGRATION ","")&amp;IF(COUNTIFS(tbl_Finance[Job Number],C123&amp;"",tbl_Finance[Cost Centre],"CONSULTING")&gt;0,"CONSULTING ","")&amp;IF(COUNTIFS(tbl_Finance[Job Number],C123&amp;"",tbl_Finance[Cost Centre],"CTS")&gt;0,"CTS ",""))," ",", ")))</f>
        <v/>
      </c>
      <c r="L123" s="24" t="n"/>
      <c r="M123" s="24" t="n"/>
      <c r="N123" s="25">
        <f>IF(M123="","",HYPERLINK(IF(LEFT(M123,4)="http",M123,set_QwilrBase&amp;M123),"Open quote"))</f>
        <v/>
      </c>
      <c r="O123" s="69" t="n"/>
      <c r="P123" s="24" t="n"/>
      <c r="Q123" s="24" t="n"/>
    </row>
    <row r="124" ht="15" customHeight="1">
      <c r="A124" s="68">
        <f>IF(C124="","",IFERROR(IF(SUMPRODUCT(MAX((tbl_Finance[Job Number]=C124&amp;"")*(tbl_Finance[Xero Invoice No]&lt;&gt;"")*tbl_Finance[Date]))=0,"",SUMPRODUCT(MAX((tbl_Finance[Job Number]=C124&amp;"")*(tbl_Finance[Xero Invoice No]&lt;&gt;"")*tbl_Finance[Date]))),""))</f>
        <v/>
      </c>
      <c r="B124" s="25">
        <f>IF(C124="","",IF(COUNTIFS(tbl_Finance[Job Number],C124&amp;"",tbl_Finance[Xero Invoice No],"&lt;&gt;")=0,"",IFERROR(IF(COUNTIFS(tbl_Finance[Job Number],C124&amp;"",tbl_Finance[Xero Invoice No],LOOKUP(2,1/((tbl_Finance[Job Number]=C124&amp;"")*(tbl_Finance[Xero Invoice No]&lt;&gt;"")),tbl_Finance[Xero Invoice No]))=COUNTIFS(tbl_Finance[Job Number],C124&amp;"",tbl_Finance[Xero Invoice No],"&lt;&gt;"),LOOKUP(2,1/((tbl_Finance[Job Number]=C124&amp;"")*(tbl_Finance[Xero Invoice No]&lt;&gt;"")),tbl_Finance[Xero Invoice No]),LOOKUP(2,1/((tbl_Finance[Job Number]=C124&amp;"")*(tbl_Finance[Xero Invoice No]&lt;&gt;"")),tbl_Finance[Xero Invoice No])&amp;" +more"),"")))</f>
        <v/>
      </c>
      <c r="C124" s="24" t="n"/>
      <c r="D124" s="25">
        <f>IF(C124="","",IF(COUNTIF(lst_Jobs,C124&amp;"")&gt;0,"OK","CHECK"))</f>
        <v/>
      </c>
      <c r="E124" s="25">
        <f>IF(C124="","",IFERROR(INDEX(lst_JobName,MATCH(C124&amp;"",lst_Jobs,0)),""))</f>
        <v/>
      </c>
      <c r="F124" s="25">
        <f>IF(C124="","",IFERROR(INDEX(tbl_Finance[Client],MATCH(C124&amp;"",tbl_Finance[Job Number],0)),""))</f>
        <v/>
      </c>
      <c r="G124" s="28">
        <f>IF(C124="","",COUNTIFS(tbl_Finance[Job Number],C124&amp;"",tbl_Finance[Ex GST],"&lt;&gt;"))</f>
        <v/>
      </c>
      <c r="H124" s="27">
        <f>IF(C124="","",SUMIFS(tbl_Finance[Ex GST],tbl_Finance[Job Number],C124&amp;""))</f>
        <v/>
      </c>
      <c r="I124" s="27">
        <f>IF(C124="","",SUMIFS(tbl_Finance[Ex GST],tbl_Finance[Job Number],C124&amp;"",tbl_Finance[Xero Invoice No],"&lt;&gt;"))</f>
        <v/>
      </c>
      <c r="J124" s="27">
        <f>IF(C124="","",H124-I124)</f>
        <v/>
      </c>
      <c r="K124" s="25">
        <f>IF(C124="","",IF(G124=0,"not invoiced yet",SUBSTITUTE(TRIM(IF(COUNTIFS(tbl_Finance[Job Number],C124&amp;"",tbl_Finance[Cost Centre],"ONSITE")&gt;0,"ONSITE ","")&amp;IF(COUNTIFS(tbl_Finance[Job Number],C124&amp;"",tbl_Finance[Cost Centre],"PRODUCTION")&gt;0,"PRODUCTION ","")&amp;IF(COUNTIFS(tbl_Finance[Job Number],C124&amp;"",tbl_Finance[Cost Centre],"VIDEO")&gt;0,"VIDEO ","")&amp;IF(COUNTIFS(tbl_Finance[Job Number],C124&amp;"",tbl_Finance[Cost Centre],"INTEGRATION")&gt;0,"INTEGRATION ","")&amp;IF(COUNTIFS(tbl_Finance[Job Number],C124&amp;"",tbl_Finance[Cost Centre],"CONSULTING")&gt;0,"CONSULTING ","")&amp;IF(COUNTIFS(tbl_Finance[Job Number],C124&amp;"",tbl_Finance[Cost Centre],"CTS")&gt;0,"CTS ",""))," ",", ")))</f>
        <v/>
      </c>
      <c r="L124" s="24" t="n"/>
      <c r="M124" s="24" t="n"/>
      <c r="N124" s="25">
        <f>IF(M124="","",HYPERLINK(IF(LEFT(M124,4)="http",M124,set_QwilrBase&amp;M124),"Open quote"))</f>
        <v/>
      </c>
      <c r="O124" s="69" t="n"/>
      <c r="P124" s="24" t="n"/>
      <c r="Q124" s="24" t="n"/>
    </row>
    <row r="125" ht="15" customHeight="1">
      <c r="A125" s="68">
        <f>IF(C125="","",IFERROR(IF(SUMPRODUCT(MAX((tbl_Finance[Job Number]=C125&amp;"")*(tbl_Finance[Xero Invoice No]&lt;&gt;"")*tbl_Finance[Date]))=0,"",SUMPRODUCT(MAX((tbl_Finance[Job Number]=C125&amp;"")*(tbl_Finance[Xero Invoice No]&lt;&gt;"")*tbl_Finance[Date]))),""))</f>
        <v/>
      </c>
      <c r="B125" s="25">
        <f>IF(C125="","",IF(COUNTIFS(tbl_Finance[Job Number],C125&amp;"",tbl_Finance[Xero Invoice No],"&lt;&gt;")=0,"",IFERROR(IF(COUNTIFS(tbl_Finance[Job Number],C125&amp;"",tbl_Finance[Xero Invoice No],LOOKUP(2,1/((tbl_Finance[Job Number]=C125&amp;"")*(tbl_Finance[Xero Invoice No]&lt;&gt;"")),tbl_Finance[Xero Invoice No]))=COUNTIFS(tbl_Finance[Job Number],C125&amp;"",tbl_Finance[Xero Invoice No],"&lt;&gt;"),LOOKUP(2,1/((tbl_Finance[Job Number]=C125&amp;"")*(tbl_Finance[Xero Invoice No]&lt;&gt;"")),tbl_Finance[Xero Invoice No]),LOOKUP(2,1/((tbl_Finance[Job Number]=C125&amp;"")*(tbl_Finance[Xero Invoice No]&lt;&gt;"")),tbl_Finance[Xero Invoice No])&amp;" +more"),"")))</f>
        <v/>
      </c>
      <c r="C125" s="24" t="n"/>
      <c r="D125" s="25">
        <f>IF(C125="","",IF(COUNTIF(lst_Jobs,C125&amp;"")&gt;0,"OK","CHECK"))</f>
        <v/>
      </c>
      <c r="E125" s="25">
        <f>IF(C125="","",IFERROR(INDEX(lst_JobName,MATCH(C125&amp;"",lst_Jobs,0)),""))</f>
        <v/>
      </c>
      <c r="F125" s="25">
        <f>IF(C125="","",IFERROR(INDEX(tbl_Finance[Client],MATCH(C125&amp;"",tbl_Finance[Job Number],0)),""))</f>
        <v/>
      </c>
      <c r="G125" s="28">
        <f>IF(C125="","",COUNTIFS(tbl_Finance[Job Number],C125&amp;"",tbl_Finance[Ex GST],"&lt;&gt;"))</f>
        <v/>
      </c>
      <c r="H125" s="27">
        <f>IF(C125="","",SUMIFS(tbl_Finance[Ex GST],tbl_Finance[Job Number],C125&amp;""))</f>
        <v/>
      </c>
      <c r="I125" s="27">
        <f>IF(C125="","",SUMIFS(tbl_Finance[Ex GST],tbl_Finance[Job Number],C125&amp;"",tbl_Finance[Xero Invoice No],"&lt;&gt;"))</f>
        <v/>
      </c>
      <c r="J125" s="27">
        <f>IF(C125="","",H125-I125)</f>
        <v/>
      </c>
      <c r="K125" s="25">
        <f>IF(C125="","",IF(G125=0,"not invoiced yet",SUBSTITUTE(TRIM(IF(COUNTIFS(tbl_Finance[Job Number],C125&amp;"",tbl_Finance[Cost Centre],"ONSITE")&gt;0,"ONSITE ","")&amp;IF(COUNTIFS(tbl_Finance[Job Number],C125&amp;"",tbl_Finance[Cost Centre],"PRODUCTION")&gt;0,"PRODUCTION ","")&amp;IF(COUNTIFS(tbl_Finance[Job Number],C125&amp;"",tbl_Finance[Cost Centre],"VIDEO")&gt;0,"VIDEO ","")&amp;IF(COUNTIFS(tbl_Finance[Job Number],C125&amp;"",tbl_Finance[Cost Centre],"INTEGRATION")&gt;0,"INTEGRATION ","")&amp;IF(COUNTIFS(tbl_Finance[Job Number],C125&amp;"",tbl_Finance[Cost Centre],"CONSULTING")&gt;0,"CONSULTING ","")&amp;IF(COUNTIFS(tbl_Finance[Job Number],C125&amp;"",tbl_Finance[Cost Centre],"CTS")&gt;0,"CTS ",""))," ",", ")))</f>
        <v/>
      </c>
      <c r="L125" s="24" t="n"/>
      <c r="M125" s="24" t="n"/>
      <c r="N125" s="25">
        <f>IF(M125="","",HYPERLINK(IF(LEFT(M125,4)="http",M125,set_QwilrBase&amp;M125),"Open quote"))</f>
        <v/>
      </c>
      <c r="O125" s="69" t="n"/>
      <c r="P125" s="24" t="n"/>
      <c r="Q125" s="24" t="n"/>
    </row>
    <row r="126" ht="15" customHeight="1">
      <c r="A126" s="68">
        <f>IF(C126="","",IFERROR(IF(SUMPRODUCT(MAX((tbl_Finance[Job Number]=C126&amp;"")*(tbl_Finance[Xero Invoice No]&lt;&gt;"")*tbl_Finance[Date]))=0,"",SUMPRODUCT(MAX((tbl_Finance[Job Number]=C126&amp;"")*(tbl_Finance[Xero Invoice No]&lt;&gt;"")*tbl_Finance[Date]))),""))</f>
        <v/>
      </c>
      <c r="B126" s="25">
        <f>IF(C126="","",IF(COUNTIFS(tbl_Finance[Job Number],C126&amp;"",tbl_Finance[Xero Invoice No],"&lt;&gt;")=0,"",IFERROR(IF(COUNTIFS(tbl_Finance[Job Number],C126&amp;"",tbl_Finance[Xero Invoice No],LOOKUP(2,1/((tbl_Finance[Job Number]=C126&amp;"")*(tbl_Finance[Xero Invoice No]&lt;&gt;"")),tbl_Finance[Xero Invoice No]))=COUNTIFS(tbl_Finance[Job Number],C126&amp;"",tbl_Finance[Xero Invoice No],"&lt;&gt;"),LOOKUP(2,1/((tbl_Finance[Job Number]=C126&amp;"")*(tbl_Finance[Xero Invoice No]&lt;&gt;"")),tbl_Finance[Xero Invoice No]),LOOKUP(2,1/((tbl_Finance[Job Number]=C126&amp;"")*(tbl_Finance[Xero Invoice No]&lt;&gt;"")),tbl_Finance[Xero Invoice No])&amp;" +more"),"")))</f>
        <v/>
      </c>
      <c r="C126" s="24" t="n"/>
      <c r="D126" s="25">
        <f>IF(C126="","",IF(COUNTIF(lst_Jobs,C126&amp;"")&gt;0,"OK","CHECK"))</f>
        <v/>
      </c>
      <c r="E126" s="25">
        <f>IF(C126="","",IFERROR(INDEX(lst_JobName,MATCH(C126&amp;"",lst_Jobs,0)),""))</f>
        <v/>
      </c>
      <c r="F126" s="25">
        <f>IF(C126="","",IFERROR(INDEX(tbl_Finance[Client],MATCH(C126&amp;"",tbl_Finance[Job Number],0)),""))</f>
        <v/>
      </c>
      <c r="G126" s="28">
        <f>IF(C126="","",COUNTIFS(tbl_Finance[Job Number],C126&amp;"",tbl_Finance[Ex GST],"&lt;&gt;"))</f>
        <v/>
      </c>
      <c r="H126" s="27">
        <f>IF(C126="","",SUMIFS(tbl_Finance[Ex GST],tbl_Finance[Job Number],C126&amp;""))</f>
        <v/>
      </c>
      <c r="I126" s="27">
        <f>IF(C126="","",SUMIFS(tbl_Finance[Ex GST],tbl_Finance[Job Number],C126&amp;"",tbl_Finance[Xero Invoice No],"&lt;&gt;"))</f>
        <v/>
      </c>
      <c r="J126" s="27">
        <f>IF(C126="","",H126-I126)</f>
        <v/>
      </c>
      <c r="K126" s="25">
        <f>IF(C126="","",IF(G126=0,"not invoiced yet",SUBSTITUTE(TRIM(IF(COUNTIFS(tbl_Finance[Job Number],C126&amp;"",tbl_Finance[Cost Centre],"ONSITE")&gt;0,"ONSITE ","")&amp;IF(COUNTIFS(tbl_Finance[Job Number],C126&amp;"",tbl_Finance[Cost Centre],"PRODUCTION")&gt;0,"PRODUCTION ","")&amp;IF(COUNTIFS(tbl_Finance[Job Number],C126&amp;"",tbl_Finance[Cost Centre],"VIDEO")&gt;0,"VIDEO ","")&amp;IF(COUNTIFS(tbl_Finance[Job Number],C126&amp;"",tbl_Finance[Cost Centre],"INTEGRATION")&gt;0,"INTEGRATION ","")&amp;IF(COUNTIFS(tbl_Finance[Job Number],C126&amp;"",tbl_Finance[Cost Centre],"CONSULTING")&gt;0,"CONSULTING ","")&amp;IF(COUNTIFS(tbl_Finance[Job Number],C126&amp;"",tbl_Finance[Cost Centre],"CTS")&gt;0,"CTS ",""))," ",", ")))</f>
        <v/>
      </c>
      <c r="L126" s="24" t="n"/>
      <c r="M126" s="24" t="n"/>
      <c r="N126" s="25">
        <f>IF(M126="","",HYPERLINK(IF(LEFT(M126,4)="http",M126,set_QwilrBase&amp;M126),"Open quote"))</f>
        <v/>
      </c>
      <c r="O126" s="69" t="n"/>
      <c r="P126" s="24" t="n"/>
      <c r="Q126" s="24" t="n"/>
    </row>
    <row r="127" ht="15" customHeight="1">
      <c r="A127" s="68">
        <f>IF(C127="","",IFERROR(IF(SUMPRODUCT(MAX((tbl_Finance[Job Number]=C127&amp;"")*(tbl_Finance[Xero Invoice No]&lt;&gt;"")*tbl_Finance[Date]))=0,"",SUMPRODUCT(MAX((tbl_Finance[Job Number]=C127&amp;"")*(tbl_Finance[Xero Invoice No]&lt;&gt;"")*tbl_Finance[Date]))),""))</f>
        <v/>
      </c>
      <c r="B127" s="25">
        <f>IF(C127="","",IF(COUNTIFS(tbl_Finance[Job Number],C127&amp;"",tbl_Finance[Xero Invoice No],"&lt;&gt;")=0,"",IFERROR(IF(COUNTIFS(tbl_Finance[Job Number],C127&amp;"",tbl_Finance[Xero Invoice No],LOOKUP(2,1/((tbl_Finance[Job Number]=C127&amp;"")*(tbl_Finance[Xero Invoice No]&lt;&gt;"")),tbl_Finance[Xero Invoice No]))=COUNTIFS(tbl_Finance[Job Number],C127&amp;"",tbl_Finance[Xero Invoice No],"&lt;&gt;"),LOOKUP(2,1/((tbl_Finance[Job Number]=C127&amp;"")*(tbl_Finance[Xero Invoice No]&lt;&gt;"")),tbl_Finance[Xero Invoice No]),LOOKUP(2,1/((tbl_Finance[Job Number]=C127&amp;"")*(tbl_Finance[Xero Invoice No]&lt;&gt;"")),tbl_Finance[Xero Invoice No])&amp;" +more"),"")))</f>
        <v/>
      </c>
      <c r="C127" s="24" t="n"/>
      <c r="D127" s="25">
        <f>IF(C127="","",IF(COUNTIF(lst_Jobs,C127&amp;"")&gt;0,"OK","CHECK"))</f>
        <v/>
      </c>
      <c r="E127" s="25">
        <f>IF(C127="","",IFERROR(INDEX(lst_JobName,MATCH(C127&amp;"",lst_Jobs,0)),""))</f>
        <v/>
      </c>
      <c r="F127" s="25">
        <f>IF(C127="","",IFERROR(INDEX(tbl_Finance[Client],MATCH(C127&amp;"",tbl_Finance[Job Number],0)),""))</f>
        <v/>
      </c>
      <c r="G127" s="28">
        <f>IF(C127="","",COUNTIFS(tbl_Finance[Job Number],C127&amp;"",tbl_Finance[Ex GST],"&lt;&gt;"))</f>
        <v/>
      </c>
      <c r="H127" s="27">
        <f>IF(C127="","",SUMIFS(tbl_Finance[Ex GST],tbl_Finance[Job Number],C127&amp;""))</f>
        <v/>
      </c>
      <c r="I127" s="27">
        <f>IF(C127="","",SUMIFS(tbl_Finance[Ex GST],tbl_Finance[Job Number],C127&amp;"",tbl_Finance[Xero Invoice No],"&lt;&gt;"))</f>
        <v/>
      </c>
      <c r="J127" s="27">
        <f>IF(C127="","",H127-I127)</f>
        <v/>
      </c>
      <c r="K127" s="25">
        <f>IF(C127="","",IF(G127=0,"not invoiced yet",SUBSTITUTE(TRIM(IF(COUNTIFS(tbl_Finance[Job Number],C127&amp;"",tbl_Finance[Cost Centre],"ONSITE")&gt;0,"ONSITE ","")&amp;IF(COUNTIFS(tbl_Finance[Job Number],C127&amp;"",tbl_Finance[Cost Centre],"PRODUCTION")&gt;0,"PRODUCTION ","")&amp;IF(COUNTIFS(tbl_Finance[Job Number],C127&amp;"",tbl_Finance[Cost Centre],"VIDEO")&gt;0,"VIDEO ","")&amp;IF(COUNTIFS(tbl_Finance[Job Number],C127&amp;"",tbl_Finance[Cost Centre],"INTEGRATION")&gt;0,"INTEGRATION ","")&amp;IF(COUNTIFS(tbl_Finance[Job Number],C127&amp;"",tbl_Finance[Cost Centre],"CONSULTING")&gt;0,"CONSULTING ","")&amp;IF(COUNTIFS(tbl_Finance[Job Number],C127&amp;"",tbl_Finance[Cost Centre],"CTS")&gt;0,"CTS ",""))," ",", ")))</f>
        <v/>
      </c>
      <c r="L127" s="24" t="n"/>
      <c r="M127" s="24" t="n"/>
      <c r="N127" s="25">
        <f>IF(M127="","",HYPERLINK(IF(LEFT(M127,4)="http",M127,set_QwilrBase&amp;M127),"Open quote"))</f>
        <v/>
      </c>
      <c r="O127" s="69" t="n"/>
      <c r="P127" s="24" t="n"/>
      <c r="Q127" s="24" t="n"/>
    </row>
    <row r="128" ht="15" customHeight="1">
      <c r="A128" s="68">
        <f>IF(C128="","",IFERROR(IF(SUMPRODUCT(MAX((tbl_Finance[Job Number]=C128&amp;"")*(tbl_Finance[Xero Invoice No]&lt;&gt;"")*tbl_Finance[Date]))=0,"",SUMPRODUCT(MAX((tbl_Finance[Job Number]=C128&amp;"")*(tbl_Finance[Xero Invoice No]&lt;&gt;"")*tbl_Finance[Date]))),""))</f>
        <v/>
      </c>
      <c r="B128" s="25">
        <f>IF(C128="","",IF(COUNTIFS(tbl_Finance[Job Number],C128&amp;"",tbl_Finance[Xero Invoice No],"&lt;&gt;")=0,"",IFERROR(IF(COUNTIFS(tbl_Finance[Job Number],C128&amp;"",tbl_Finance[Xero Invoice No],LOOKUP(2,1/((tbl_Finance[Job Number]=C128&amp;"")*(tbl_Finance[Xero Invoice No]&lt;&gt;"")),tbl_Finance[Xero Invoice No]))=COUNTIFS(tbl_Finance[Job Number],C128&amp;"",tbl_Finance[Xero Invoice No],"&lt;&gt;"),LOOKUP(2,1/((tbl_Finance[Job Number]=C128&amp;"")*(tbl_Finance[Xero Invoice No]&lt;&gt;"")),tbl_Finance[Xero Invoice No]),LOOKUP(2,1/((tbl_Finance[Job Number]=C128&amp;"")*(tbl_Finance[Xero Invoice No]&lt;&gt;"")),tbl_Finance[Xero Invoice No])&amp;" +more"),"")))</f>
        <v/>
      </c>
      <c r="C128" s="24" t="n"/>
      <c r="D128" s="25">
        <f>IF(C128="","",IF(COUNTIF(lst_Jobs,C128&amp;"")&gt;0,"OK","CHECK"))</f>
        <v/>
      </c>
      <c r="E128" s="25">
        <f>IF(C128="","",IFERROR(INDEX(lst_JobName,MATCH(C128&amp;"",lst_Jobs,0)),""))</f>
        <v/>
      </c>
      <c r="F128" s="25">
        <f>IF(C128="","",IFERROR(INDEX(tbl_Finance[Client],MATCH(C128&amp;"",tbl_Finance[Job Number],0)),""))</f>
        <v/>
      </c>
      <c r="G128" s="28">
        <f>IF(C128="","",COUNTIFS(tbl_Finance[Job Number],C128&amp;"",tbl_Finance[Ex GST],"&lt;&gt;"))</f>
        <v/>
      </c>
      <c r="H128" s="27">
        <f>IF(C128="","",SUMIFS(tbl_Finance[Ex GST],tbl_Finance[Job Number],C128&amp;""))</f>
        <v/>
      </c>
      <c r="I128" s="27">
        <f>IF(C128="","",SUMIFS(tbl_Finance[Ex GST],tbl_Finance[Job Number],C128&amp;"",tbl_Finance[Xero Invoice No],"&lt;&gt;"))</f>
        <v/>
      </c>
      <c r="J128" s="27">
        <f>IF(C128="","",H128-I128)</f>
        <v/>
      </c>
      <c r="K128" s="25">
        <f>IF(C128="","",IF(G128=0,"not invoiced yet",SUBSTITUTE(TRIM(IF(COUNTIFS(tbl_Finance[Job Number],C128&amp;"",tbl_Finance[Cost Centre],"ONSITE")&gt;0,"ONSITE ","")&amp;IF(COUNTIFS(tbl_Finance[Job Number],C128&amp;"",tbl_Finance[Cost Centre],"PRODUCTION")&gt;0,"PRODUCTION ","")&amp;IF(COUNTIFS(tbl_Finance[Job Number],C128&amp;"",tbl_Finance[Cost Centre],"VIDEO")&gt;0,"VIDEO ","")&amp;IF(COUNTIFS(tbl_Finance[Job Number],C128&amp;"",tbl_Finance[Cost Centre],"INTEGRATION")&gt;0,"INTEGRATION ","")&amp;IF(COUNTIFS(tbl_Finance[Job Number],C128&amp;"",tbl_Finance[Cost Centre],"CONSULTING")&gt;0,"CONSULTING ","")&amp;IF(COUNTIFS(tbl_Finance[Job Number],C128&amp;"",tbl_Finance[Cost Centre],"CTS")&gt;0,"CTS ",""))," ",", ")))</f>
        <v/>
      </c>
      <c r="L128" s="24" t="n"/>
      <c r="M128" s="24" t="n"/>
      <c r="N128" s="25">
        <f>IF(M128="","",HYPERLINK(IF(LEFT(M128,4)="http",M128,set_QwilrBase&amp;M128),"Open quote"))</f>
        <v/>
      </c>
      <c r="O128" s="69" t="n"/>
      <c r="P128" s="24" t="n"/>
      <c r="Q128" s="24" t="n"/>
    </row>
    <row r="129" ht="15" customHeight="1">
      <c r="A129" s="68">
        <f>IF(C129="","",IFERROR(IF(SUMPRODUCT(MAX((tbl_Finance[Job Number]=C129&amp;"")*(tbl_Finance[Xero Invoice No]&lt;&gt;"")*tbl_Finance[Date]))=0,"",SUMPRODUCT(MAX((tbl_Finance[Job Number]=C129&amp;"")*(tbl_Finance[Xero Invoice No]&lt;&gt;"")*tbl_Finance[Date]))),""))</f>
        <v/>
      </c>
      <c r="B129" s="25">
        <f>IF(C129="","",IF(COUNTIFS(tbl_Finance[Job Number],C129&amp;"",tbl_Finance[Xero Invoice No],"&lt;&gt;")=0,"",IFERROR(IF(COUNTIFS(tbl_Finance[Job Number],C129&amp;"",tbl_Finance[Xero Invoice No],LOOKUP(2,1/((tbl_Finance[Job Number]=C129&amp;"")*(tbl_Finance[Xero Invoice No]&lt;&gt;"")),tbl_Finance[Xero Invoice No]))=COUNTIFS(tbl_Finance[Job Number],C129&amp;"",tbl_Finance[Xero Invoice No],"&lt;&gt;"),LOOKUP(2,1/((tbl_Finance[Job Number]=C129&amp;"")*(tbl_Finance[Xero Invoice No]&lt;&gt;"")),tbl_Finance[Xero Invoice No]),LOOKUP(2,1/((tbl_Finance[Job Number]=C129&amp;"")*(tbl_Finance[Xero Invoice No]&lt;&gt;"")),tbl_Finance[Xero Invoice No])&amp;" +more"),"")))</f>
        <v/>
      </c>
      <c r="C129" s="24" t="n"/>
      <c r="D129" s="25">
        <f>IF(C129="","",IF(COUNTIF(lst_Jobs,C129&amp;"")&gt;0,"OK","CHECK"))</f>
        <v/>
      </c>
      <c r="E129" s="25">
        <f>IF(C129="","",IFERROR(INDEX(lst_JobName,MATCH(C129&amp;"",lst_Jobs,0)),""))</f>
        <v/>
      </c>
      <c r="F129" s="25">
        <f>IF(C129="","",IFERROR(INDEX(tbl_Finance[Client],MATCH(C129&amp;"",tbl_Finance[Job Number],0)),""))</f>
        <v/>
      </c>
      <c r="G129" s="28">
        <f>IF(C129="","",COUNTIFS(tbl_Finance[Job Number],C129&amp;"",tbl_Finance[Ex GST],"&lt;&gt;"))</f>
        <v/>
      </c>
      <c r="H129" s="27">
        <f>IF(C129="","",SUMIFS(tbl_Finance[Ex GST],tbl_Finance[Job Number],C129&amp;""))</f>
        <v/>
      </c>
      <c r="I129" s="27">
        <f>IF(C129="","",SUMIFS(tbl_Finance[Ex GST],tbl_Finance[Job Number],C129&amp;"",tbl_Finance[Xero Invoice No],"&lt;&gt;"))</f>
        <v/>
      </c>
      <c r="J129" s="27">
        <f>IF(C129="","",H129-I129)</f>
        <v/>
      </c>
      <c r="K129" s="25">
        <f>IF(C129="","",IF(G129=0,"not invoiced yet",SUBSTITUTE(TRIM(IF(COUNTIFS(tbl_Finance[Job Number],C129&amp;"",tbl_Finance[Cost Centre],"ONSITE")&gt;0,"ONSITE ","")&amp;IF(COUNTIFS(tbl_Finance[Job Number],C129&amp;"",tbl_Finance[Cost Centre],"PRODUCTION")&gt;0,"PRODUCTION ","")&amp;IF(COUNTIFS(tbl_Finance[Job Number],C129&amp;"",tbl_Finance[Cost Centre],"VIDEO")&gt;0,"VIDEO ","")&amp;IF(COUNTIFS(tbl_Finance[Job Number],C129&amp;"",tbl_Finance[Cost Centre],"INTEGRATION")&gt;0,"INTEGRATION ","")&amp;IF(COUNTIFS(tbl_Finance[Job Number],C129&amp;"",tbl_Finance[Cost Centre],"CONSULTING")&gt;0,"CONSULTING ","")&amp;IF(COUNTIFS(tbl_Finance[Job Number],C129&amp;"",tbl_Finance[Cost Centre],"CTS")&gt;0,"CTS ",""))," ",", ")))</f>
        <v/>
      </c>
      <c r="L129" s="24" t="n"/>
      <c r="M129" s="24" t="n"/>
      <c r="N129" s="25">
        <f>IF(M129="","",HYPERLINK(IF(LEFT(M129,4)="http",M129,set_QwilrBase&amp;M129),"Open quote"))</f>
        <v/>
      </c>
      <c r="O129" s="69" t="n"/>
      <c r="P129" s="24" t="n"/>
      <c r="Q129" s="24" t="n"/>
    </row>
    <row r="130" ht="15" customHeight="1">
      <c r="A130" s="68">
        <f>IF(C130="","",IFERROR(IF(SUMPRODUCT(MAX((tbl_Finance[Job Number]=C130&amp;"")*(tbl_Finance[Xero Invoice No]&lt;&gt;"")*tbl_Finance[Date]))=0,"",SUMPRODUCT(MAX((tbl_Finance[Job Number]=C130&amp;"")*(tbl_Finance[Xero Invoice No]&lt;&gt;"")*tbl_Finance[Date]))),""))</f>
        <v/>
      </c>
      <c r="B130" s="25">
        <f>IF(C130="","",IF(COUNTIFS(tbl_Finance[Job Number],C130&amp;"",tbl_Finance[Xero Invoice No],"&lt;&gt;")=0,"",IFERROR(IF(COUNTIFS(tbl_Finance[Job Number],C130&amp;"",tbl_Finance[Xero Invoice No],LOOKUP(2,1/((tbl_Finance[Job Number]=C130&amp;"")*(tbl_Finance[Xero Invoice No]&lt;&gt;"")),tbl_Finance[Xero Invoice No]))=COUNTIFS(tbl_Finance[Job Number],C130&amp;"",tbl_Finance[Xero Invoice No],"&lt;&gt;"),LOOKUP(2,1/((tbl_Finance[Job Number]=C130&amp;"")*(tbl_Finance[Xero Invoice No]&lt;&gt;"")),tbl_Finance[Xero Invoice No]),LOOKUP(2,1/((tbl_Finance[Job Number]=C130&amp;"")*(tbl_Finance[Xero Invoice No]&lt;&gt;"")),tbl_Finance[Xero Invoice No])&amp;" +more"),"")))</f>
        <v/>
      </c>
      <c r="C130" s="24" t="n"/>
      <c r="D130" s="25">
        <f>IF(C130="","",IF(COUNTIF(lst_Jobs,C130&amp;"")&gt;0,"OK","CHECK"))</f>
        <v/>
      </c>
      <c r="E130" s="25">
        <f>IF(C130="","",IFERROR(INDEX(lst_JobName,MATCH(C130&amp;"",lst_Jobs,0)),""))</f>
        <v/>
      </c>
      <c r="F130" s="25">
        <f>IF(C130="","",IFERROR(INDEX(tbl_Finance[Client],MATCH(C130&amp;"",tbl_Finance[Job Number],0)),""))</f>
        <v/>
      </c>
      <c r="G130" s="28">
        <f>IF(C130="","",COUNTIFS(tbl_Finance[Job Number],C130&amp;"",tbl_Finance[Ex GST],"&lt;&gt;"))</f>
        <v/>
      </c>
      <c r="H130" s="27">
        <f>IF(C130="","",SUMIFS(tbl_Finance[Ex GST],tbl_Finance[Job Number],C130&amp;""))</f>
        <v/>
      </c>
      <c r="I130" s="27">
        <f>IF(C130="","",SUMIFS(tbl_Finance[Ex GST],tbl_Finance[Job Number],C130&amp;"",tbl_Finance[Xero Invoice No],"&lt;&gt;"))</f>
        <v/>
      </c>
      <c r="J130" s="27">
        <f>IF(C130="","",H130-I130)</f>
        <v/>
      </c>
      <c r="K130" s="25">
        <f>IF(C130="","",IF(G130=0,"not invoiced yet",SUBSTITUTE(TRIM(IF(COUNTIFS(tbl_Finance[Job Number],C130&amp;"",tbl_Finance[Cost Centre],"ONSITE")&gt;0,"ONSITE ","")&amp;IF(COUNTIFS(tbl_Finance[Job Number],C130&amp;"",tbl_Finance[Cost Centre],"PRODUCTION")&gt;0,"PRODUCTION ","")&amp;IF(COUNTIFS(tbl_Finance[Job Number],C130&amp;"",tbl_Finance[Cost Centre],"VIDEO")&gt;0,"VIDEO ","")&amp;IF(COUNTIFS(tbl_Finance[Job Number],C130&amp;"",tbl_Finance[Cost Centre],"INTEGRATION")&gt;0,"INTEGRATION ","")&amp;IF(COUNTIFS(tbl_Finance[Job Number],C130&amp;"",tbl_Finance[Cost Centre],"CONSULTING")&gt;0,"CONSULTING ","")&amp;IF(COUNTIFS(tbl_Finance[Job Number],C130&amp;"",tbl_Finance[Cost Centre],"CTS")&gt;0,"CTS ",""))," ",", ")))</f>
        <v/>
      </c>
      <c r="L130" s="24" t="n"/>
      <c r="M130" s="24" t="n"/>
      <c r="N130" s="25">
        <f>IF(M130="","",HYPERLINK(IF(LEFT(M130,4)="http",M130,set_QwilrBase&amp;M130),"Open quote"))</f>
        <v/>
      </c>
      <c r="O130" s="69" t="n"/>
      <c r="P130" s="24" t="n"/>
      <c r="Q130" s="24" t="n"/>
    </row>
    <row r="131" ht="15" customHeight="1">
      <c r="A131" s="68">
        <f>IF(C131="","",IFERROR(IF(SUMPRODUCT(MAX((tbl_Finance[Job Number]=C131&amp;"")*(tbl_Finance[Xero Invoice No]&lt;&gt;"")*tbl_Finance[Date]))=0,"",SUMPRODUCT(MAX((tbl_Finance[Job Number]=C131&amp;"")*(tbl_Finance[Xero Invoice No]&lt;&gt;"")*tbl_Finance[Date]))),""))</f>
        <v/>
      </c>
      <c r="B131" s="25">
        <f>IF(C131="","",IF(COUNTIFS(tbl_Finance[Job Number],C131&amp;"",tbl_Finance[Xero Invoice No],"&lt;&gt;")=0,"",IFERROR(IF(COUNTIFS(tbl_Finance[Job Number],C131&amp;"",tbl_Finance[Xero Invoice No],LOOKUP(2,1/((tbl_Finance[Job Number]=C131&amp;"")*(tbl_Finance[Xero Invoice No]&lt;&gt;"")),tbl_Finance[Xero Invoice No]))=COUNTIFS(tbl_Finance[Job Number],C131&amp;"",tbl_Finance[Xero Invoice No],"&lt;&gt;"),LOOKUP(2,1/((tbl_Finance[Job Number]=C131&amp;"")*(tbl_Finance[Xero Invoice No]&lt;&gt;"")),tbl_Finance[Xero Invoice No]),LOOKUP(2,1/((tbl_Finance[Job Number]=C131&amp;"")*(tbl_Finance[Xero Invoice No]&lt;&gt;"")),tbl_Finance[Xero Invoice No])&amp;" +more"),"")))</f>
        <v/>
      </c>
      <c r="C131" s="24" t="n"/>
      <c r="D131" s="25">
        <f>IF(C131="","",IF(COUNTIF(lst_Jobs,C131&amp;"")&gt;0,"OK","CHECK"))</f>
        <v/>
      </c>
      <c r="E131" s="25">
        <f>IF(C131="","",IFERROR(INDEX(lst_JobName,MATCH(C131&amp;"",lst_Jobs,0)),""))</f>
        <v/>
      </c>
      <c r="F131" s="25">
        <f>IF(C131="","",IFERROR(INDEX(tbl_Finance[Client],MATCH(C131&amp;"",tbl_Finance[Job Number],0)),""))</f>
        <v/>
      </c>
      <c r="G131" s="28">
        <f>IF(C131="","",COUNTIFS(tbl_Finance[Job Number],C131&amp;"",tbl_Finance[Ex GST],"&lt;&gt;"))</f>
        <v/>
      </c>
      <c r="H131" s="27">
        <f>IF(C131="","",SUMIFS(tbl_Finance[Ex GST],tbl_Finance[Job Number],C131&amp;""))</f>
        <v/>
      </c>
      <c r="I131" s="27">
        <f>IF(C131="","",SUMIFS(tbl_Finance[Ex GST],tbl_Finance[Job Number],C131&amp;"",tbl_Finance[Xero Invoice No],"&lt;&gt;"))</f>
        <v/>
      </c>
      <c r="J131" s="27">
        <f>IF(C131="","",H131-I131)</f>
        <v/>
      </c>
      <c r="K131" s="25">
        <f>IF(C131="","",IF(G131=0,"not invoiced yet",SUBSTITUTE(TRIM(IF(COUNTIFS(tbl_Finance[Job Number],C131&amp;"",tbl_Finance[Cost Centre],"ONSITE")&gt;0,"ONSITE ","")&amp;IF(COUNTIFS(tbl_Finance[Job Number],C131&amp;"",tbl_Finance[Cost Centre],"PRODUCTION")&gt;0,"PRODUCTION ","")&amp;IF(COUNTIFS(tbl_Finance[Job Number],C131&amp;"",tbl_Finance[Cost Centre],"VIDEO")&gt;0,"VIDEO ","")&amp;IF(COUNTIFS(tbl_Finance[Job Number],C131&amp;"",tbl_Finance[Cost Centre],"INTEGRATION")&gt;0,"INTEGRATION ","")&amp;IF(COUNTIFS(tbl_Finance[Job Number],C131&amp;"",tbl_Finance[Cost Centre],"CONSULTING")&gt;0,"CONSULTING ","")&amp;IF(COUNTIFS(tbl_Finance[Job Number],C131&amp;"",tbl_Finance[Cost Centre],"CTS")&gt;0,"CTS ",""))," ",", ")))</f>
        <v/>
      </c>
      <c r="L131" s="24" t="n"/>
      <c r="M131" s="24" t="n"/>
      <c r="N131" s="25">
        <f>IF(M131="","",HYPERLINK(IF(LEFT(M131,4)="http",M131,set_QwilrBase&amp;M131),"Open quote"))</f>
        <v/>
      </c>
      <c r="O131" s="69" t="n"/>
      <c r="P131" s="24" t="n"/>
      <c r="Q131" s="24" t="n"/>
    </row>
    <row r="132" ht="15" customHeight="1">
      <c r="A132" s="68">
        <f>IF(C132="","",IFERROR(IF(SUMPRODUCT(MAX((tbl_Finance[Job Number]=C132&amp;"")*(tbl_Finance[Xero Invoice No]&lt;&gt;"")*tbl_Finance[Date]))=0,"",SUMPRODUCT(MAX((tbl_Finance[Job Number]=C132&amp;"")*(tbl_Finance[Xero Invoice No]&lt;&gt;"")*tbl_Finance[Date]))),""))</f>
        <v/>
      </c>
      <c r="B132" s="25">
        <f>IF(C132="","",IF(COUNTIFS(tbl_Finance[Job Number],C132&amp;"",tbl_Finance[Xero Invoice No],"&lt;&gt;")=0,"",IFERROR(IF(COUNTIFS(tbl_Finance[Job Number],C132&amp;"",tbl_Finance[Xero Invoice No],LOOKUP(2,1/((tbl_Finance[Job Number]=C132&amp;"")*(tbl_Finance[Xero Invoice No]&lt;&gt;"")),tbl_Finance[Xero Invoice No]))=COUNTIFS(tbl_Finance[Job Number],C132&amp;"",tbl_Finance[Xero Invoice No],"&lt;&gt;"),LOOKUP(2,1/((tbl_Finance[Job Number]=C132&amp;"")*(tbl_Finance[Xero Invoice No]&lt;&gt;"")),tbl_Finance[Xero Invoice No]),LOOKUP(2,1/((tbl_Finance[Job Number]=C132&amp;"")*(tbl_Finance[Xero Invoice No]&lt;&gt;"")),tbl_Finance[Xero Invoice No])&amp;" +more"),"")))</f>
        <v/>
      </c>
      <c r="C132" s="24" t="n"/>
      <c r="D132" s="25">
        <f>IF(C132="","",IF(COUNTIF(lst_Jobs,C132&amp;"")&gt;0,"OK","CHECK"))</f>
        <v/>
      </c>
      <c r="E132" s="25">
        <f>IF(C132="","",IFERROR(INDEX(lst_JobName,MATCH(C132&amp;"",lst_Jobs,0)),""))</f>
        <v/>
      </c>
      <c r="F132" s="25">
        <f>IF(C132="","",IFERROR(INDEX(tbl_Finance[Client],MATCH(C132&amp;"",tbl_Finance[Job Number],0)),""))</f>
        <v/>
      </c>
      <c r="G132" s="28">
        <f>IF(C132="","",COUNTIFS(tbl_Finance[Job Number],C132&amp;"",tbl_Finance[Ex GST],"&lt;&gt;"))</f>
        <v/>
      </c>
      <c r="H132" s="27">
        <f>IF(C132="","",SUMIFS(tbl_Finance[Ex GST],tbl_Finance[Job Number],C132&amp;""))</f>
        <v/>
      </c>
      <c r="I132" s="27">
        <f>IF(C132="","",SUMIFS(tbl_Finance[Ex GST],tbl_Finance[Job Number],C132&amp;"",tbl_Finance[Xero Invoice No],"&lt;&gt;"))</f>
        <v/>
      </c>
      <c r="J132" s="27">
        <f>IF(C132="","",H132-I132)</f>
        <v/>
      </c>
      <c r="K132" s="25">
        <f>IF(C132="","",IF(G132=0,"not invoiced yet",SUBSTITUTE(TRIM(IF(COUNTIFS(tbl_Finance[Job Number],C132&amp;"",tbl_Finance[Cost Centre],"ONSITE")&gt;0,"ONSITE ","")&amp;IF(COUNTIFS(tbl_Finance[Job Number],C132&amp;"",tbl_Finance[Cost Centre],"PRODUCTION")&gt;0,"PRODUCTION ","")&amp;IF(COUNTIFS(tbl_Finance[Job Number],C132&amp;"",tbl_Finance[Cost Centre],"VIDEO")&gt;0,"VIDEO ","")&amp;IF(COUNTIFS(tbl_Finance[Job Number],C132&amp;"",tbl_Finance[Cost Centre],"INTEGRATION")&gt;0,"INTEGRATION ","")&amp;IF(COUNTIFS(tbl_Finance[Job Number],C132&amp;"",tbl_Finance[Cost Centre],"CONSULTING")&gt;0,"CONSULTING ","")&amp;IF(COUNTIFS(tbl_Finance[Job Number],C132&amp;"",tbl_Finance[Cost Centre],"CTS")&gt;0,"CTS ",""))," ",", ")))</f>
        <v/>
      </c>
      <c r="L132" s="24" t="n"/>
      <c r="M132" s="24" t="n"/>
      <c r="N132" s="25">
        <f>IF(M132="","",HYPERLINK(IF(LEFT(M132,4)="http",M132,set_QwilrBase&amp;M132),"Open quote"))</f>
        <v/>
      </c>
      <c r="O132" s="69" t="n"/>
      <c r="P132" s="24" t="n"/>
      <c r="Q132" s="24" t="n"/>
    </row>
    <row r="133" ht="15" customHeight="1">
      <c r="A133" s="68">
        <f>IF(C133="","",IFERROR(IF(SUMPRODUCT(MAX((tbl_Finance[Job Number]=C133&amp;"")*(tbl_Finance[Xero Invoice No]&lt;&gt;"")*tbl_Finance[Date]))=0,"",SUMPRODUCT(MAX((tbl_Finance[Job Number]=C133&amp;"")*(tbl_Finance[Xero Invoice No]&lt;&gt;"")*tbl_Finance[Date]))),""))</f>
        <v/>
      </c>
      <c r="B133" s="25">
        <f>IF(C133="","",IF(COUNTIFS(tbl_Finance[Job Number],C133&amp;"",tbl_Finance[Xero Invoice No],"&lt;&gt;")=0,"",IFERROR(IF(COUNTIFS(tbl_Finance[Job Number],C133&amp;"",tbl_Finance[Xero Invoice No],LOOKUP(2,1/((tbl_Finance[Job Number]=C133&amp;"")*(tbl_Finance[Xero Invoice No]&lt;&gt;"")),tbl_Finance[Xero Invoice No]))=COUNTIFS(tbl_Finance[Job Number],C133&amp;"",tbl_Finance[Xero Invoice No],"&lt;&gt;"),LOOKUP(2,1/((tbl_Finance[Job Number]=C133&amp;"")*(tbl_Finance[Xero Invoice No]&lt;&gt;"")),tbl_Finance[Xero Invoice No]),LOOKUP(2,1/((tbl_Finance[Job Number]=C133&amp;"")*(tbl_Finance[Xero Invoice No]&lt;&gt;"")),tbl_Finance[Xero Invoice No])&amp;" +more"),"")))</f>
        <v/>
      </c>
      <c r="C133" s="24" t="n"/>
      <c r="D133" s="25">
        <f>IF(C133="","",IF(COUNTIF(lst_Jobs,C133&amp;"")&gt;0,"OK","CHECK"))</f>
        <v/>
      </c>
      <c r="E133" s="25">
        <f>IF(C133="","",IFERROR(INDEX(lst_JobName,MATCH(C133&amp;"",lst_Jobs,0)),""))</f>
        <v/>
      </c>
      <c r="F133" s="25">
        <f>IF(C133="","",IFERROR(INDEX(tbl_Finance[Client],MATCH(C133&amp;"",tbl_Finance[Job Number],0)),""))</f>
        <v/>
      </c>
      <c r="G133" s="28">
        <f>IF(C133="","",COUNTIFS(tbl_Finance[Job Number],C133&amp;"",tbl_Finance[Ex GST],"&lt;&gt;"))</f>
        <v/>
      </c>
      <c r="H133" s="27">
        <f>IF(C133="","",SUMIFS(tbl_Finance[Ex GST],tbl_Finance[Job Number],C133&amp;""))</f>
        <v/>
      </c>
      <c r="I133" s="27">
        <f>IF(C133="","",SUMIFS(tbl_Finance[Ex GST],tbl_Finance[Job Number],C133&amp;"",tbl_Finance[Xero Invoice No],"&lt;&gt;"))</f>
        <v/>
      </c>
      <c r="J133" s="27">
        <f>IF(C133="","",H133-I133)</f>
        <v/>
      </c>
      <c r="K133" s="25">
        <f>IF(C133="","",IF(G133=0,"not invoiced yet",SUBSTITUTE(TRIM(IF(COUNTIFS(tbl_Finance[Job Number],C133&amp;"",tbl_Finance[Cost Centre],"ONSITE")&gt;0,"ONSITE ","")&amp;IF(COUNTIFS(tbl_Finance[Job Number],C133&amp;"",tbl_Finance[Cost Centre],"PRODUCTION")&gt;0,"PRODUCTION ","")&amp;IF(COUNTIFS(tbl_Finance[Job Number],C133&amp;"",tbl_Finance[Cost Centre],"VIDEO")&gt;0,"VIDEO ","")&amp;IF(COUNTIFS(tbl_Finance[Job Number],C133&amp;"",tbl_Finance[Cost Centre],"INTEGRATION")&gt;0,"INTEGRATION ","")&amp;IF(COUNTIFS(tbl_Finance[Job Number],C133&amp;"",tbl_Finance[Cost Centre],"CONSULTING")&gt;0,"CONSULTING ","")&amp;IF(COUNTIFS(tbl_Finance[Job Number],C133&amp;"",tbl_Finance[Cost Centre],"CTS")&gt;0,"CTS ",""))," ",", ")))</f>
        <v/>
      </c>
      <c r="L133" s="24" t="n"/>
      <c r="M133" s="24" t="n"/>
      <c r="N133" s="25">
        <f>IF(M133="","",HYPERLINK(IF(LEFT(M133,4)="http",M133,set_QwilrBase&amp;M133),"Open quote"))</f>
        <v/>
      </c>
      <c r="O133" s="69" t="n"/>
      <c r="P133" s="24" t="n"/>
      <c r="Q133" s="24" t="n"/>
    </row>
    <row r="134" ht="15" customHeight="1">
      <c r="A134" s="68">
        <f>IF(C134="","",IFERROR(IF(SUMPRODUCT(MAX((tbl_Finance[Job Number]=C134&amp;"")*(tbl_Finance[Xero Invoice No]&lt;&gt;"")*tbl_Finance[Date]))=0,"",SUMPRODUCT(MAX((tbl_Finance[Job Number]=C134&amp;"")*(tbl_Finance[Xero Invoice No]&lt;&gt;"")*tbl_Finance[Date]))),""))</f>
        <v/>
      </c>
      <c r="B134" s="25">
        <f>IF(C134="","",IF(COUNTIFS(tbl_Finance[Job Number],C134&amp;"",tbl_Finance[Xero Invoice No],"&lt;&gt;")=0,"",IFERROR(IF(COUNTIFS(tbl_Finance[Job Number],C134&amp;"",tbl_Finance[Xero Invoice No],LOOKUP(2,1/((tbl_Finance[Job Number]=C134&amp;"")*(tbl_Finance[Xero Invoice No]&lt;&gt;"")),tbl_Finance[Xero Invoice No]))=COUNTIFS(tbl_Finance[Job Number],C134&amp;"",tbl_Finance[Xero Invoice No],"&lt;&gt;"),LOOKUP(2,1/((tbl_Finance[Job Number]=C134&amp;"")*(tbl_Finance[Xero Invoice No]&lt;&gt;"")),tbl_Finance[Xero Invoice No]),LOOKUP(2,1/((tbl_Finance[Job Number]=C134&amp;"")*(tbl_Finance[Xero Invoice No]&lt;&gt;"")),tbl_Finance[Xero Invoice No])&amp;" +more"),"")))</f>
        <v/>
      </c>
      <c r="C134" s="24" t="n"/>
      <c r="D134" s="25">
        <f>IF(C134="","",IF(COUNTIF(lst_Jobs,C134&amp;"")&gt;0,"OK","CHECK"))</f>
        <v/>
      </c>
      <c r="E134" s="25">
        <f>IF(C134="","",IFERROR(INDEX(lst_JobName,MATCH(C134&amp;"",lst_Jobs,0)),""))</f>
        <v/>
      </c>
      <c r="F134" s="25">
        <f>IF(C134="","",IFERROR(INDEX(tbl_Finance[Client],MATCH(C134&amp;"",tbl_Finance[Job Number],0)),""))</f>
        <v/>
      </c>
      <c r="G134" s="28">
        <f>IF(C134="","",COUNTIFS(tbl_Finance[Job Number],C134&amp;"",tbl_Finance[Ex GST],"&lt;&gt;"))</f>
        <v/>
      </c>
      <c r="H134" s="27">
        <f>IF(C134="","",SUMIFS(tbl_Finance[Ex GST],tbl_Finance[Job Number],C134&amp;""))</f>
        <v/>
      </c>
      <c r="I134" s="27">
        <f>IF(C134="","",SUMIFS(tbl_Finance[Ex GST],tbl_Finance[Job Number],C134&amp;"",tbl_Finance[Xero Invoice No],"&lt;&gt;"))</f>
        <v/>
      </c>
      <c r="J134" s="27">
        <f>IF(C134="","",H134-I134)</f>
        <v/>
      </c>
      <c r="K134" s="25">
        <f>IF(C134="","",IF(G134=0,"not invoiced yet",SUBSTITUTE(TRIM(IF(COUNTIFS(tbl_Finance[Job Number],C134&amp;"",tbl_Finance[Cost Centre],"ONSITE")&gt;0,"ONSITE ","")&amp;IF(COUNTIFS(tbl_Finance[Job Number],C134&amp;"",tbl_Finance[Cost Centre],"PRODUCTION")&gt;0,"PRODUCTION ","")&amp;IF(COUNTIFS(tbl_Finance[Job Number],C134&amp;"",tbl_Finance[Cost Centre],"VIDEO")&gt;0,"VIDEO ","")&amp;IF(COUNTIFS(tbl_Finance[Job Number],C134&amp;"",tbl_Finance[Cost Centre],"INTEGRATION")&gt;0,"INTEGRATION ","")&amp;IF(COUNTIFS(tbl_Finance[Job Number],C134&amp;"",tbl_Finance[Cost Centre],"CONSULTING")&gt;0,"CONSULTING ","")&amp;IF(COUNTIFS(tbl_Finance[Job Number],C134&amp;"",tbl_Finance[Cost Centre],"CTS")&gt;0,"CTS ",""))," ",", ")))</f>
        <v/>
      </c>
      <c r="L134" s="24" t="n"/>
      <c r="M134" s="24" t="n"/>
      <c r="N134" s="25">
        <f>IF(M134="","",HYPERLINK(IF(LEFT(M134,4)="http",M134,set_QwilrBase&amp;M134),"Open quote"))</f>
        <v/>
      </c>
      <c r="O134" s="69" t="n"/>
      <c r="P134" s="24" t="n"/>
      <c r="Q134" s="24" t="n"/>
    </row>
    <row r="135" ht="15" customHeight="1">
      <c r="A135" s="68">
        <f>IF(C135="","",IFERROR(IF(SUMPRODUCT(MAX((tbl_Finance[Job Number]=C135&amp;"")*(tbl_Finance[Xero Invoice No]&lt;&gt;"")*tbl_Finance[Date]))=0,"",SUMPRODUCT(MAX((tbl_Finance[Job Number]=C135&amp;"")*(tbl_Finance[Xero Invoice No]&lt;&gt;"")*tbl_Finance[Date]))),""))</f>
        <v/>
      </c>
      <c r="B135" s="25">
        <f>IF(C135="","",IF(COUNTIFS(tbl_Finance[Job Number],C135&amp;"",tbl_Finance[Xero Invoice No],"&lt;&gt;")=0,"",IFERROR(IF(COUNTIFS(tbl_Finance[Job Number],C135&amp;"",tbl_Finance[Xero Invoice No],LOOKUP(2,1/((tbl_Finance[Job Number]=C135&amp;"")*(tbl_Finance[Xero Invoice No]&lt;&gt;"")),tbl_Finance[Xero Invoice No]))=COUNTIFS(tbl_Finance[Job Number],C135&amp;"",tbl_Finance[Xero Invoice No],"&lt;&gt;"),LOOKUP(2,1/((tbl_Finance[Job Number]=C135&amp;"")*(tbl_Finance[Xero Invoice No]&lt;&gt;"")),tbl_Finance[Xero Invoice No]),LOOKUP(2,1/((tbl_Finance[Job Number]=C135&amp;"")*(tbl_Finance[Xero Invoice No]&lt;&gt;"")),tbl_Finance[Xero Invoice No])&amp;" +more"),"")))</f>
        <v/>
      </c>
      <c r="C135" s="24" t="n"/>
      <c r="D135" s="25">
        <f>IF(C135="","",IF(COUNTIF(lst_Jobs,C135&amp;"")&gt;0,"OK","CHECK"))</f>
        <v/>
      </c>
      <c r="E135" s="25">
        <f>IF(C135="","",IFERROR(INDEX(lst_JobName,MATCH(C135&amp;"",lst_Jobs,0)),""))</f>
        <v/>
      </c>
      <c r="F135" s="25">
        <f>IF(C135="","",IFERROR(INDEX(tbl_Finance[Client],MATCH(C135&amp;"",tbl_Finance[Job Number],0)),""))</f>
        <v/>
      </c>
      <c r="G135" s="28">
        <f>IF(C135="","",COUNTIFS(tbl_Finance[Job Number],C135&amp;"",tbl_Finance[Ex GST],"&lt;&gt;"))</f>
        <v/>
      </c>
      <c r="H135" s="27">
        <f>IF(C135="","",SUMIFS(tbl_Finance[Ex GST],tbl_Finance[Job Number],C135&amp;""))</f>
        <v/>
      </c>
      <c r="I135" s="27">
        <f>IF(C135="","",SUMIFS(tbl_Finance[Ex GST],tbl_Finance[Job Number],C135&amp;"",tbl_Finance[Xero Invoice No],"&lt;&gt;"))</f>
        <v/>
      </c>
      <c r="J135" s="27">
        <f>IF(C135="","",H135-I135)</f>
        <v/>
      </c>
      <c r="K135" s="25">
        <f>IF(C135="","",IF(G135=0,"not invoiced yet",SUBSTITUTE(TRIM(IF(COUNTIFS(tbl_Finance[Job Number],C135&amp;"",tbl_Finance[Cost Centre],"ONSITE")&gt;0,"ONSITE ","")&amp;IF(COUNTIFS(tbl_Finance[Job Number],C135&amp;"",tbl_Finance[Cost Centre],"PRODUCTION")&gt;0,"PRODUCTION ","")&amp;IF(COUNTIFS(tbl_Finance[Job Number],C135&amp;"",tbl_Finance[Cost Centre],"VIDEO")&gt;0,"VIDEO ","")&amp;IF(COUNTIFS(tbl_Finance[Job Number],C135&amp;"",tbl_Finance[Cost Centre],"INTEGRATION")&gt;0,"INTEGRATION ","")&amp;IF(COUNTIFS(tbl_Finance[Job Number],C135&amp;"",tbl_Finance[Cost Centre],"CONSULTING")&gt;0,"CONSULTING ","")&amp;IF(COUNTIFS(tbl_Finance[Job Number],C135&amp;"",tbl_Finance[Cost Centre],"CTS")&gt;0,"CTS ",""))," ",", ")))</f>
        <v/>
      </c>
      <c r="L135" s="24" t="n"/>
      <c r="M135" s="24" t="n"/>
      <c r="N135" s="25">
        <f>IF(M135="","",HYPERLINK(IF(LEFT(M135,4)="http",M135,set_QwilrBase&amp;M135),"Open quote"))</f>
        <v/>
      </c>
      <c r="O135" s="69" t="n"/>
      <c r="P135" s="24" t="n"/>
      <c r="Q135" s="24" t="n"/>
    </row>
    <row r="136" ht="15" customHeight="1">
      <c r="A136" s="68">
        <f>IF(C136="","",IFERROR(IF(SUMPRODUCT(MAX((tbl_Finance[Job Number]=C136&amp;"")*(tbl_Finance[Xero Invoice No]&lt;&gt;"")*tbl_Finance[Date]))=0,"",SUMPRODUCT(MAX((tbl_Finance[Job Number]=C136&amp;"")*(tbl_Finance[Xero Invoice No]&lt;&gt;"")*tbl_Finance[Date]))),""))</f>
        <v/>
      </c>
      <c r="B136" s="25">
        <f>IF(C136="","",IF(COUNTIFS(tbl_Finance[Job Number],C136&amp;"",tbl_Finance[Xero Invoice No],"&lt;&gt;")=0,"",IFERROR(IF(COUNTIFS(tbl_Finance[Job Number],C136&amp;"",tbl_Finance[Xero Invoice No],LOOKUP(2,1/((tbl_Finance[Job Number]=C136&amp;"")*(tbl_Finance[Xero Invoice No]&lt;&gt;"")),tbl_Finance[Xero Invoice No]))=COUNTIFS(tbl_Finance[Job Number],C136&amp;"",tbl_Finance[Xero Invoice No],"&lt;&gt;"),LOOKUP(2,1/((tbl_Finance[Job Number]=C136&amp;"")*(tbl_Finance[Xero Invoice No]&lt;&gt;"")),tbl_Finance[Xero Invoice No]),LOOKUP(2,1/((tbl_Finance[Job Number]=C136&amp;"")*(tbl_Finance[Xero Invoice No]&lt;&gt;"")),tbl_Finance[Xero Invoice No])&amp;" +more"),"")))</f>
        <v/>
      </c>
      <c r="C136" s="24" t="n"/>
      <c r="D136" s="25">
        <f>IF(C136="","",IF(COUNTIF(lst_Jobs,C136&amp;"")&gt;0,"OK","CHECK"))</f>
        <v/>
      </c>
      <c r="E136" s="25">
        <f>IF(C136="","",IFERROR(INDEX(lst_JobName,MATCH(C136&amp;"",lst_Jobs,0)),""))</f>
        <v/>
      </c>
      <c r="F136" s="25">
        <f>IF(C136="","",IFERROR(INDEX(tbl_Finance[Client],MATCH(C136&amp;"",tbl_Finance[Job Number],0)),""))</f>
        <v/>
      </c>
      <c r="G136" s="28">
        <f>IF(C136="","",COUNTIFS(tbl_Finance[Job Number],C136&amp;"",tbl_Finance[Ex GST],"&lt;&gt;"))</f>
        <v/>
      </c>
      <c r="H136" s="27">
        <f>IF(C136="","",SUMIFS(tbl_Finance[Ex GST],tbl_Finance[Job Number],C136&amp;""))</f>
        <v/>
      </c>
      <c r="I136" s="27">
        <f>IF(C136="","",SUMIFS(tbl_Finance[Ex GST],tbl_Finance[Job Number],C136&amp;"",tbl_Finance[Xero Invoice No],"&lt;&gt;"))</f>
        <v/>
      </c>
      <c r="J136" s="27">
        <f>IF(C136="","",H136-I136)</f>
        <v/>
      </c>
      <c r="K136" s="25">
        <f>IF(C136="","",IF(G136=0,"not invoiced yet",SUBSTITUTE(TRIM(IF(COUNTIFS(tbl_Finance[Job Number],C136&amp;"",tbl_Finance[Cost Centre],"ONSITE")&gt;0,"ONSITE ","")&amp;IF(COUNTIFS(tbl_Finance[Job Number],C136&amp;"",tbl_Finance[Cost Centre],"PRODUCTION")&gt;0,"PRODUCTION ","")&amp;IF(COUNTIFS(tbl_Finance[Job Number],C136&amp;"",tbl_Finance[Cost Centre],"VIDEO")&gt;0,"VIDEO ","")&amp;IF(COUNTIFS(tbl_Finance[Job Number],C136&amp;"",tbl_Finance[Cost Centre],"INTEGRATION")&gt;0,"INTEGRATION ","")&amp;IF(COUNTIFS(tbl_Finance[Job Number],C136&amp;"",tbl_Finance[Cost Centre],"CONSULTING")&gt;0,"CONSULTING ","")&amp;IF(COUNTIFS(tbl_Finance[Job Number],C136&amp;"",tbl_Finance[Cost Centre],"CTS")&gt;0,"CTS ",""))," ",", ")))</f>
        <v/>
      </c>
      <c r="L136" s="24" t="n"/>
      <c r="M136" s="24" t="n"/>
      <c r="N136" s="25">
        <f>IF(M136="","",HYPERLINK(IF(LEFT(M136,4)="http",M136,set_QwilrBase&amp;M136),"Open quote"))</f>
        <v/>
      </c>
      <c r="O136" s="69" t="n"/>
      <c r="P136" s="24" t="n"/>
      <c r="Q136" s="24" t="n"/>
    </row>
    <row r="137" ht="15" customHeight="1">
      <c r="A137" s="68">
        <f>IF(C137="","",IFERROR(IF(SUMPRODUCT(MAX((tbl_Finance[Job Number]=C137&amp;"")*(tbl_Finance[Xero Invoice No]&lt;&gt;"")*tbl_Finance[Date]))=0,"",SUMPRODUCT(MAX((tbl_Finance[Job Number]=C137&amp;"")*(tbl_Finance[Xero Invoice No]&lt;&gt;"")*tbl_Finance[Date]))),""))</f>
        <v/>
      </c>
      <c r="B137" s="25">
        <f>IF(C137="","",IF(COUNTIFS(tbl_Finance[Job Number],C137&amp;"",tbl_Finance[Xero Invoice No],"&lt;&gt;")=0,"",IFERROR(IF(COUNTIFS(tbl_Finance[Job Number],C137&amp;"",tbl_Finance[Xero Invoice No],LOOKUP(2,1/((tbl_Finance[Job Number]=C137&amp;"")*(tbl_Finance[Xero Invoice No]&lt;&gt;"")),tbl_Finance[Xero Invoice No]))=COUNTIFS(tbl_Finance[Job Number],C137&amp;"",tbl_Finance[Xero Invoice No],"&lt;&gt;"),LOOKUP(2,1/((tbl_Finance[Job Number]=C137&amp;"")*(tbl_Finance[Xero Invoice No]&lt;&gt;"")),tbl_Finance[Xero Invoice No]),LOOKUP(2,1/((tbl_Finance[Job Number]=C137&amp;"")*(tbl_Finance[Xero Invoice No]&lt;&gt;"")),tbl_Finance[Xero Invoice No])&amp;" +more"),"")))</f>
        <v/>
      </c>
      <c r="C137" s="24" t="n"/>
      <c r="D137" s="25">
        <f>IF(C137="","",IF(COUNTIF(lst_Jobs,C137&amp;"")&gt;0,"OK","CHECK"))</f>
        <v/>
      </c>
      <c r="E137" s="25">
        <f>IF(C137="","",IFERROR(INDEX(lst_JobName,MATCH(C137&amp;"",lst_Jobs,0)),""))</f>
        <v/>
      </c>
      <c r="F137" s="25">
        <f>IF(C137="","",IFERROR(INDEX(tbl_Finance[Client],MATCH(C137&amp;"",tbl_Finance[Job Number],0)),""))</f>
        <v/>
      </c>
      <c r="G137" s="28">
        <f>IF(C137="","",COUNTIFS(tbl_Finance[Job Number],C137&amp;"",tbl_Finance[Ex GST],"&lt;&gt;"))</f>
        <v/>
      </c>
      <c r="H137" s="27">
        <f>IF(C137="","",SUMIFS(tbl_Finance[Ex GST],tbl_Finance[Job Number],C137&amp;""))</f>
        <v/>
      </c>
      <c r="I137" s="27">
        <f>IF(C137="","",SUMIFS(tbl_Finance[Ex GST],tbl_Finance[Job Number],C137&amp;"",tbl_Finance[Xero Invoice No],"&lt;&gt;"))</f>
        <v/>
      </c>
      <c r="J137" s="27">
        <f>IF(C137="","",H137-I137)</f>
        <v/>
      </c>
      <c r="K137" s="25">
        <f>IF(C137="","",IF(G137=0,"not invoiced yet",SUBSTITUTE(TRIM(IF(COUNTIFS(tbl_Finance[Job Number],C137&amp;"",tbl_Finance[Cost Centre],"ONSITE")&gt;0,"ONSITE ","")&amp;IF(COUNTIFS(tbl_Finance[Job Number],C137&amp;"",tbl_Finance[Cost Centre],"PRODUCTION")&gt;0,"PRODUCTION ","")&amp;IF(COUNTIFS(tbl_Finance[Job Number],C137&amp;"",tbl_Finance[Cost Centre],"VIDEO")&gt;0,"VIDEO ","")&amp;IF(COUNTIFS(tbl_Finance[Job Number],C137&amp;"",tbl_Finance[Cost Centre],"INTEGRATION")&gt;0,"INTEGRATION ","")&amp;IF(COUNTIFS(tbl_Finance[Job Number],C137&amp;"",tbl_Finance[Cost Centre],"CONSULTING")&gt;0,"CONSULTING ","")&amp;IF(COUNTIFS(tbl_Finance[Job Number],C137&amp;"",tbl_Finance[Cost Centre],"CTS")&gt;0,"CTS ",""))," ",", ")))</f>
        <v/>
      </c>
      <c r="L137" s="24" t="n"/>
      <c r="M137" s="24" t="n"/>
      <c r="N137" s="25">
        <f>IF(M137="","",HYPERLINK(IF(LEFT(M137,4)="http",M137,set_QwilrBase&amp;M137),"Open quote"))</f>
        <v/>
      </c>
      <c r="O137" s="69" t="n"/>
      <c r="P137" s="24" t="n"/>
      <c r="Q137" s="24" t="n"/>
    </row>
    <row r="138" ht="15" customHeight="1">
      <c r="A138" s="68">
        <f>IF(C138="","",IFERROR(IF(SUMPRODUCT(MAX((tbl_Finance[Job Number]=C138&amp;"")*(tbl_Finance[Xero Invoice No]&lt;&gt;"")*tbl_Finance[Date]))=0,"",SUMPRODUCT(MAX((tbl_Finance[Job Number]=C138&amp;"")*(tbl_Finance[Xero Invoice No]&lt;&gt;"")*tbl_Finance[Date]))),""))</f>
        <v/>
      </c>
      <c r="B138" s="25">
        <f>IF(C138="","",IF(COUNTIFS(tbl_Finance[Job Number],C138&amp;"",tbl_Finance[Xero Invoice No],"&lt;&gt;")=0,"",IFERROR(IF(COUNTIFS(tbl_Finance[Job Number],C138&amp;"",tbl_Finance[Xero Invoice No],LOOKUP(2,1/((tbl_Finance[Job Number]=C138&amp;"")*(tbl_Finance[Xero Invoice No]&lt;&gt;"")),tbl_Finance[Xero Invoice No]))=COUNTIFS(tbl_Finance[Job Number],C138&amp;"",tbl_Finance[Xero Invoice No],"&lt;&gt;"),LOOKUP(2,1/((tbl_Finance[Job Number]=C138&amp;"")*(tbl_Finance[Xero Invoice No]&lt;&gt;"")),tbl_Finance[Xero Invoice No]),LOOKUP(2,1/((tbl_Finance[Job Number]=C138&amp;"")*(tbl_Finance[Xero Invoice No]&lt;&gt;"")),tbl_Finance[Xero Invoice No])&amp;" +more"),"")))</f>
        <v/>
      </c>
      <c r="C138" s="24" t="n"/>
      <c r="D138" s="25">
        <f>IF(C138="","",IF(COUNTIF(lst_Jobs,C138&amp;"")&gt;0,"OK","CHECK"))</f>
        <v/>
      </c>
      <c r="E138" s="25">
        <f>IF(C138="","",IFERROR(INDEX(lst_JobName,MATCH(C138&amp;"",lst_Jobs,0)),""))</f>
        <v/>
      </c>
      <c r="F138" s="25">
        <f>IF(C138="","",IFERROR(INDEX(tbl_Finance[Client],MATCH(C138&amp;"",tbl_Finance[Job Number],0)),""))</f>
        <v/>
      </c>
      <c r="G138" s="28">
        <f>IF(C138="","",COUNTIFS(tbl_Finance[Job Number],C138&amp;"",tbl_Finance[Ex GST],"&lt;&gt;"))</f>
        <v/>
      </c>
      <c r="H138" s="27">
        <f>IF(C138="","",SUMIFS(tbl_Finance[Ex GST],tbl_Finance[Job Number],C138&amp;""))</f>
        <v/>
      </c>
      <c r="I138" s="27">
        <f>IF(C138="","",SUMIFS(tbl_Finance[Ex GST],tbl_Finance[Job Number],C138&amp;"",tbl_Finance[Xero Invoice No],"&lt;&gt;"))</f>
        <v/>
      </c>
      <c r="J138" s="27">
        <f>IF(C138="","",H138-I138)</f>
        <v/>
      </c>
      <c r="K138" s="25">
        <f>IF(C138="","",IF(G138=0,"not invoiced yet",SUBSTITUTE(TRIM(IF(COUNTIFS(tbl_Finance[Job Number],C138&amp;"",tbl_Finance[Cost Centre],"ONSITE")&gt;0,"ONSITE ","")&amp;IF(COUNTIFS(tbl_Finance[Job Number],C138&amp;"",tbl_Finance[Cost Centre],"PRODUCTION")&gt;0,"PRODUCTION ","")&amp;IF(COUNTIFS(tbl_Finance[Job Number],C138&amp;"",tbl_Finance[Cost Centre],"VIDEO")&gt;0,"VIDEO ","")&amp;IF(COUNTIFS(tbl_Finance[Job Number],C138&amp;"",tbl_Finance[Cost Centre],"INTEGRATION")&gt;0,"INTEGRATION ","")&amp;IF(COUNTIFS(tbl_Finance[Job Number],C138&amp;"",tbl_Finance[Cost Centre],"CONSULTING")&gt;0,"CONSULTING ","")&amp;IF(COUNTIFS(tbl_Finance[Job Number],C138&amp;"",tbl_Finance[Cost Centre],"CTS")&gt;0,"CTS ",""))," ",", ")))</f>
        <v/>
      </c>
      <c r="L138" s="24" t="n"/>
      <c r="M138" s="24" t="n"/>
      <c r="N138" s="25">
        <f>IF(M138="","",HYPERLINK(IF(LEFT(M138,4)="http",M138,set_QwilrBase&amp;M138),"Open quote"))</f>
        <v/>
      </c>
      <c r="O138" s="69" t="n"/>
      <c r="P138" s="24" t="n"/>
      <c r="Q138" s="24" t="n"/>
    </row>
    <row r="139" ht="15" customHeight="1">
      <c r="A139" s="68">
        <f>IF(C139="","",IFERROR(IF(SUMPRODUCT(MAX((tbl_Finance[Job Number]=C139&amp;"")*(tbl_Finance[Xero Invoice No]&lt;&gt;"")*tbl_Finance[Date]))=0,"",SUMPRODUCT(MAX((tbl_Finance[Job Number]=C139&amp;"")*(tbl_Finance[Xero Invoice No]&lt;&gt;"")*tbl_Finance[Date]))),""))</f>
        <v/>
      </c>
      <c r="B139" s="25">
        <f>IF(C139="","",IF(COUNTIFS(tbl_Finance[Job Number],C139&amp;"",tbl_Finance[Xero Invoice No],"&lt;&gt;")=0,"",IFERROR(IF(COUNTIFS(tbl_Finance[Job Number],C139&amp;"",tbl_Finance[Xero Invoice No],LOOKUP(2,1/((tbl_Finance[Job Number]=C139&amp;"")*(tbl_Finance[Xero Invoice No]&lt;&gt;"")),tbl_Finance[Xero Invoice No]))=COUNTIFS(tbl_Finance[Job Number],C139&amp;"",tbl_Finance[Xero Invoice No],"&lt;&gt;"),LOOKUP(2,1/((tbl_Finance[Job Number]=C139&amp;"")*(tbl_Finance[Xero Invoice No]&lt;&gt;"")),tbl_Finance[Xero Invoice No]),LOOKUP(2,1/((tbl_Finance[Job Number]=C139&amp;"")*(tbl_Finance[Xero Invoice No]&lt;&gt;"")),tbl_Finance[Xero Invoice No])&amp;" +more"),"")))</f>
        <v/>
      </c>
      <c r="C139" s="24" t="n"/>
      <c r="D139" s="25">
        <f>IF(C139="","",IF(COUNTIF(lst_Jobs,C139&amp;"")&gt;0,"OK","CHECK"))</f>
        <v/>
      </c>
      <c r="E139" s="25">
        <f>IF(C139="","",IFERROR(INDEX(lst_JobName,MATCH(C139&amp;"",lst_Jobs,0)),""))</f>
        <v/>
      </c>
      <c r="F139" s="25">
        <f>IF(C139="","",IFERROR(INDEX(tbl_Finance[Client],MATCH(C139&amp;"",tbl_Finance[Job Number],0)),""))</f>
        <v/>
      </c>
      <c r="G139" s="28">
        <f>IF(C139="","",COUNTIFS(tbl_Finance[Job Number],C139&amp;"",tbl_Finance[Ex GST],"&lt;&gt;"))</f>
        <v/>
      </c>
      <c r="H139" s="27">
        <f>IF(C139="","",SUMIFS(tbl_Finance[Ex GST],tbl_Finance[Job Number],C139&amp;""))</f>
        <v/>
      </c>
      <c r="I139" s="27">
        <f>IF(C139="","",SUMIFS(tbl_Finance[Ex GST],tbl_Finance[Job Number],C139&amp;"",tbl_Finance[Xero Invoice No],"&lt;&gt;"))</f>
        <v/>
      </c>
      <c r="J139" s="27">
        <f>IF(C139="","",H139-I139)</f>
        <v/>
      </c>
      <c r="K139" s="25">
        <f>IF(C139="","",IF(G139=0,"not invoiced yet",SUBSTITUTE(TRIM(IF(COUNTIFS(tbl_Finance[Job Number],C139&amp;"",tbl_Finance[Cost Centre],"ONSITE")&gt;0,"ONSITE ","")&amp;IF(COUNTIFS(tbl_Finance[Job Number],C139&amp;"",tbl_Finance[Cost Centre],"PRODUCTION")&gt;0,"PRODUCTION ","")&amp;IF(COUNTIFS(tbl_Finance[Job Number],C139&amp;"",tbl_Finance[Cost Centre],"VIDEO")&gt;0,"VIDEO ","")&amp;IF(COUNTIFS(tbl_Finance[Job Number],C139&amp;"",tbl_Finance[Cost Centre],"INTEGRATION")&gt;0,"INTEGRATION ","")&amp;IF(COUNTIFS(tbl_Finance[Job Number],C139&amp;"",tbl_Finance[Cost Centre],"CONSULTING")&gt;0,"CONSULTING ","")&amp;IF(COUNTIFS(tbl_Finance[Job Number],C139&amp;"",tbl_Finance[Cost Centre],"CTS")&gt;0,"CTS ",""))," ",", ")))</f>
        <v/>
      </c>
      <c r="L139" s="24" t="n"/>
      <c r="M139" s="24" t="n"/>
      <c r="N139" s="25">
        <f>IF(M139="","",HYPERLINK(IF(LEFT(M139,4)="http",M139,set_QwilrBase&amp;M139),"Open quote"))</f>
        <v/>
      </c>
      <c r="O139" s="69" t="n"/>
      <c r="P139" s="24" t="n"/>
      <c r="Q139" s="24" t="n"/>
    </row>
    <row r="140" ht="15" customHeight="1">
      <c r="A140" s="68">
        <f>IF(C140="","",IFERROR(IF(SUMPRODUCT(MAX((tbl_Finance[Job Number]=C140&amp;"")*(tbl_Finance[Xero Invoice No]&lt;&gt;"")*tbl_Finance[Date]))=0,"",SUMPRODUCT(MAX((tbl_Finance[Job Number]=C140&amp;"")*(tbl_Finance[Xero Invoice No]&lt;&gt;"")*tbl_Finance[Date]))),""))</f>
        <v/>
      </c>
      <c r="B140" s="25">
        <f>IF(C140="","",IF(COUNTIFS(tbl_Finance[Job Number],C140&amp;"",tbl_Finance[Xero Invoice No],"&lt;&gt;")=0,"",IFERROR(IF(COUNTIFS(tbl_Finance[Job Number],C140&amp;"",tbl_Finance[Xero Invoice No],LOOKUP(2,1/((tbl_Finance[Job Number]=C140&amp;"")*(tbl_Finance[Xero Invoice No]&lt;&gt;"")),tbl_Finance[Xero Invoice No]))=COUNTIFS(tbl_Finance[Job Number],C140&amp;"",tbl_Finance[Xero Invoice No],"&lt;&gt;"),LOOKUP(2,1/((tbl_Finance[Job Number]=C140&amp;"")*(tbl_Finance[Xero Invoice No]&lt;&gt;"")),tbl_Finance[Xero Invoice No]),LOOKUP(2,1/((tbl_Finance[Job Number]=C140&amp;"")*(tbl_Finance[Xero Invoice No]&lt;&gt;"")),tbl_Finance[Xero Invoice No])&amp;" +more"),"")))</f>
        <v/>
      </c>
      <c r="C140" s="24" t="n"/>
      <c r="D140" s="25">
        <f>IF(C140="","",IF(COUNTIF(lst_Jobs,C140&amp;"")&gt;0,"OK","CHECK"))</f>
        <v/>
      </c>
      <c r="E140" s="25">
        <f>IF(C140="","",IFERROR(INDEX(lst_JobName,MATCH(C140&amp;"",lst_Jobs,0)),""))</f>
        <v/>
      </c>
      <c r="F140" s="25">
        <f>IF(C140="","",IFERROR(INDEX(tbl_Finance[Client],MATCH(C140&amp;"",tbl_Finance[Job Number],0)),""))</f>
        <v/>
      </c>
      <c r="G140" s="28">
        <f>IF(C140="","",COUNTIFS(tbl_Finance[Job Number],C140&amp;"",tbl_Finance[Ex GST],"&lt;&gt;"))</f>
        <v/>
      </c>
      <c r="H140" s="27">
        <f>IF(C140="","",SUMIFS(tbl_Finance[Ex GST],tbl_Finance[Job Number],C140&amp;""))</f>
        <v/>
      </c>
      <c r="I140" s="27">
        <f>IF(C140="","",SUMIFS(tbl_Finance[Ex GST],tbl_Finance[Job Number],C140&amp;"",tbl_Finance[Xero Invoice No],"&lt;&gt;"))</f>
        <v/>
      </c>
      <c r="J140" s="27">
        <f>IF(C140="","",H140-I140)</f>
        <v/>
      </c>
      <c r="K140" s="25">
        <f>IF(C140="","",IF(G140=0,"not invoiced yet",SUBSTITUTE(TRIM(IF(COUNTIFS(tbl_Finance[Job Number],C140&amp;"",tbl_Finance[Cost Centre],"ONSITE")&gt;0,"ONSITE ","")&amp;IF(COUNTIFS(tbl_Finance[Job Number],C140&amp;"",tbl_Finance[Cost Centre],"PRODUCTION")&gt;0,"PRODUCTION ","")&amp;IF(COUNTIFS(tbl_Finance[Job Number],C140&amp;"",tbl_Finance[Cost Centre],"VIDEO")&gt;0,"VIDEO ","")&amp;IF(COUNTIFS(tbl_Finance[Job Number],C140&amp;"",tbl_Finance[Cost Centre],"INTEGRATION")&gt;0,"INTEGRATION ","")&amp;IF(COUNTIFS(tbl_Finance[Job Number],C140&amp;"",tbl_Finance[Cost Centre],"CONSULTING")&gt;0,"CONSULTING ","")&amp;IF(COUNTIFS(tbl_Finance[Job Number],C140&amp;"",tbl_Finance[Cost Centre],"CTS")&gt;0,"CTS ",""))," ",", ")))</f>
        <v/>
      </c>
      <c r="L140" s="24" t="n"/>
      <c r="M140" s="24" t="n"/>
      <c r="N140" s="25">
        <f>IF(M140="","",HYPERLINK(IF(LEFT(M140,4)="http",M140,set_QwilrBase&amp;M140),"Open quote"))</f>
        <v/>
      </c>
      <c r="O140" s="69" t="n"/>
      <c r="P140" s="24" t="n"/>
      <c r="Q140" s="24" t="n"/>
    </row>
    <row r="141" ht="15" customHeight="1">
      <c r="A141" s="68">
        <f>IF(C141="","",IFERROR(IF(SUMPRODUCT(MAX((tbl_Finance[Job Number]=C141&amp;"")*(tbl_Finance[Xero Invoice No]&lt;&gt;"")*tbl_Finance[Date]))=0,"",SUMPRODUCT(MAX((tbl_Finance[Job Number]=C141&amp;"")*(tbl_Finance[Xero Invoice No]&lt;&gt;"")*tbl_Finance[Date]))),""))</f>
        <v/>
      </c>
      <c r="B141" s="25">
        <f>IF(C141="","",IF(COUNTIFS(tbl_Finance[Job Number],C141&amp;"",tbl_Finance[Xero Invoice No],"&lt;&gt;")=0,"",IFERROR(IF(COUNTIFS(tbl_Finance[Job Number],C141&amp;"",tbl_Finance[Xero Invoice No],LOOKUP(2,1/((tbl_Finance[Job Number]=C141&amp;"")*(tbl_Finance[Xero Invoice No]&lt;&gt;"")),tbl_Finance[Xero Invoice No]))=COUNTIFS(tbl_Finance[Job Number],C141&amp;"",tbl_Finance[Xero Invoice No],"&lt;&gt;"),LOOKUP(2,1/((tbl_Finance[Job Number]=C141&amp;"")*(tbl_Finance[Xero Invoice No]&lt;&gt;"")),tbl_Finance[Xero Invoice No]),LOOKUP(2,1/((tbl_Finance[Job Number]=C141&amp;"")*(tbl_Finance[Xero Invoice No]&lt;&gt;"")),tbl_Finance[Xero Invoice No])&amp;" +more"),"")))</f>
        <v/>
      </c>
      <c r="C141" s="24" t="n"/>
      <c r="D141" s="25">
        <f>IF(C141="","",IF(COUNTIF(lst_Jobs,C141&amp;"")&gt;0,"OK","CHECK"))</f>
        <v/>
      </c>
      <c r="E141" s="25">
        <f>IF(C141="","",IFERROR(INDEX(lst_JobName,MATCH(C141&amp;"",lst_Jobs,0)),""))</f>
        <v/>
      </c>
      <c r="F141" s="25">
        <f>IF(C141="","",IFERROR(INDEX(tbl_Finance[Client],MATCH(C141&amp;"",tbl_Finance[Job Number],0)),""))</f>
        <v/>
      </c>
      <c r="G141" s="28">
        <f>IF(C141="","",COUNTIFS(tbl_Finance[Job Number],C141&amp;"",tbl_Finance[Ex GST],"&lt;&gt;"))</f>
        <v/>
      </c>
      <c r="H141" s="27">
        <f>IF(C141="","",SUMIFS(tbl_Finance[Ex GST],tbl_Finance[Job Number],C141&amp;""))</f>
        <v/>
      </c>
      <c r="I141" s="27">
        <f>IF(C141="","",SUMIFS(tbl_Finance[Ex GST],tbl_Finance[Job Number],C141&amp;"",tbl_Finance[Xero Invoice No],"&lt;&gt;"))</f>
        <v/>
      </c>
      <c r="J141" s="27">
        <f>IF(C141="","",H141-I141)</f>
        <v/>
      </c>
      <c r="K141" s="25">
        <f>IF(C141="","",IF(G141=0,"not invoiced yet",SUBSTITUTE(TRIM(IF(COUNTIFS(tbl_Finance[Job Number],C141&amp;"",tbl_Finance[Cost Centre],"ONSITE")&gt;0,"ONSITE ","")&amp;IF(COUNTIFS(tbl_Finance[Job Number],C141&amp;"",tbl_Finance[Cost Centre],"PRODUCTION")&gt;0,"PRODUCTION ","")&amp;IF(COUNTIFS(tbl_Finance[Job Number],C141&amp;"",tbl_Finance[Cost Centre],"VIDEO")&gt;0,"VIDEO ","")&amp;IF(COUNTIFS(tbl_Finance[Job Number],C141&amp;"",tbl_Finance[Cost Centre],"INTEGRATION")&gt;0,"INTEGRATION ","")&amp;IF(COUNTIFS(tbl_Finance[Job Number],C141&amp;"",tbl_Finance[Cost Centre],"CONSULTING")&gt;0,"CONSULTING ","")&amp;IF(COUNTIFS(tbl_Finance[Job Number],C141&amp;"",tbl_Finance[Cost Centre],"CTS")&gt;0,"CTS ",""))," ",", ")))</f>
        <v/>
      </c>
      <c r="L141" s="24" t="n"/>
      <c r="M141" s="24" t="n"/>
      <c r="N141" s="25">
        <f>IF(M141="","",HYPERLINK(IF(LEFT(M141,4)="http",M141,set_QwilrBase&amp;M141),"Open quote"))</f>
        <v/>
      </c>
      <c r="O141" s="69" t="n"/>
      <c r="P141" s="24" t="n"/>
      <c r="Q141" s="24" t="n"/>
    </row>
    <row r="142" ht="15" customHeight="1">
      <c r="A142" s="68">
        <f>IF(C142="","",IFERROR(IF(SUMPRODUCT(MAX((tbl_Finance[Job Number]=C142&amp;"")*(tbl_Finance[Xero Invoice No]&lt;&gt;"")*tbl_Finance[Date]))=0,"",SUMPRODUCT(MAX((tbl_Finance[Job Number]=C142&amp;"")*(tbl_Finance[Xero Invoice No]&lt;&gt;"")*tbl_Finance[Date]))),""))</f>
        <v/>
      </c>
      <c r="B142" s="25">
        <f>IF(C142="","",IF(COUNTIFS(tbl_Finance[Job Number],C142&amp;"",tbl_Finance[Xero Invoice No],"&lt;&gt;")=0,"",IFERROR(IF(COUNTIFS(tbl_Finance[Job Number],C142&amp;"",tbl_Finance[Xero Invoice No],LOOKUP(2,1/((tbl_Finance[Job Number]=C142&amp;"")*(tbl_Finance[Xero Invoice No]&lt;&gt;"")),tbl_Finance[Xero Invoice No]))=COUNTIFS(tbl_Finance[Job Number],C142&amp;"",tbl_Finance[Xero Invoice No],"&lt;&gt;"),LOOKUP(2,1/((tbl_Finance[Job Number]=C142&amp;"")*(tbl_Finance[Xero Invoice No]&lt;&gt;"")),tbl_Finance[Xero Invoice No]),LOOKUP(2,1/((tbl_Finance[Job Number]=C142&amp;"")*(tbl_Finance[Xero Invoice No]&lt;&gt;"")),tbl_Finance[Xero Invoice No])&amp;" +more"),"")))</f>
        <v/>
      </c>
      <c r="C142" s="24" t="n"/>
      <c r="D142" s="25">
        <f>IF(C142="","",IF(COUNTIF(lst_Jobs,C142&amp;"")&gt;0,"OK","CHECK"))</f>
        <v/>
      </c>
      <c r="E142" s="25">
        <f>IF(C142="","",IFERROR(INDEX(lst_JobName,MATCH(C142&amp;"",lst_Jobs,0)),""))</f>
        <v/>
      </c>
      <c r="F142" s="25">
        <f>IF(C142="","",IFERROR(INDEX(tbl_Finance[Client],MATCH(C142&amp;"",tbl_Finance[Job Number],0)),""))</f>
        <v/>
      </c>
      <c r="G142" s="28">
        <f>IF(C142="","",COUNTIFS(tbl_Finance[Job Number],C142&amp;"",tbl_Finance[Ex GST],"&lt;&gt;"))</f>
        <v/>
      </c>
      <c r="H142" s="27">
        <f>IF(C142="","",SUMIFS(tbl_Finance[Ex GST],tbl_Finance[Job Number],C142&amp;""))</f>
        <v/>
      </c>
      <c r="I142" s="27">
        <f>IF(C142="","",SUMIFS(tbl_Finance[Ex GST],tbl_Finance[Job Number],C142&amp;"",tbl_Finance[Xero Invoice No],"&lt;&gt;"))</f>
        <v/>
      </c>
      <c r="J142" s="27">
        <f>IF(C142="","",H142-I142)</f>
        <v/>
      </c>
      <c r="K142" s="25">
        <f>IF(C142="","",IF(G142=0,"not invoiced yet",SUBSTITUTE(TRIM(IF(COUNTIFS(tbl_Finance[Job Number],C142&amp;"",tbl_Finance[Cost Centre],"ONSITE")&gt;0,"ONSITE ","")&amp;IF(COUNTIFS(tbl_Finance[Job Number],C142&amp;"",tbl_Finance[Cost Centre],"PRODUCTION")&gt;0,"PRODUCTION ","")&amp;IF(COUNTIFS(tbl_Finance[Job Number],C142&amp;"",tbl_Finance[Cost Centre],"VIDEO")&gt;0,"VIDEO ","")&amp;IF(COUNTIFS(tbl_Finance[Job Number],C142&amp;"",tbl_Finance[Cost Centre],"INTEGRATION")&gt;0,"INTEGRATION ","")&amp;IF(COUNTIFS(tbl_Finance[Job Number],C142&amp;"",tbl_Finance[Cost Centre],"CONSULTING")&gt;0,"CONSULTING ","")&amp;IF(COUNTIFS(tbl_Finance[Job Number],C142&amp;"",tbl_Finance[Cost Centre],"CTS")&gt;0,"CTS ",""))," ",", ")))</f>
        <v/>
      </c>
      <c r="L142" s="24" t="n"/>
      <c r="M142" s="24" t="n"/>
      <c r="N142" s="25">
        <f>IF(M142="","",HYPERLINK(IF(LEFT(M142,4)="http",M142,set_QwilrBase&amp;M142),"Open quote"))</f>
        <v/>
      </c>
      <c r="O142" s="69" t="n"/>
      <c r="P142" s="24" t="n"/>
      <c r="Q142" s="24" t="n"/>
    </row>
    <row r="143" ht="15" customHeight="1">
      <c r="A143" s="68">
        <f>IF(C143="","",IFERROR(IF(SUMPRODUCT(MAX((tbl_Finance[Job Number]=C143&amp;"")*(tbl_Finance[Xero Invoice No]&lt;&gt;"")*tbl_Finance[Date]))=0,"",SUMPRODUCT(MAX((tbl_Finance[Job Number]=C143&amp;"")*(tbl_Finance[Xero Invoice No]&lt;&gt;"")*tbl_Finance[Date]))),""))</f>
        <v/>
      </c>
      <c r="B143" s="25">
        <f>IF(C143="","",IF(COUNTIFS(tbl_Finance[Job Number],C143&amp;"",tbl_Finance[Xero Invoice No],"&lt;&gt;")=0,"",IFERROR(IF(COUNTIFS(tbl_Finance[Job Number],C143&amp;"",tbl_Finance[Xero Invoice No],LOOKUP(2,1/((tbl_Finance[Job Number]=C143&amp;"")*(tbl_Finance[Xero Invoice No]&lt;&gt;"")),tbl_Finance[Xero Invoice No]))=COUNTIFS(tbl_Finance[Job Number],C143&amp;"",tbl_Finance[Xero Invoice No],"&lt;&gt;"),LOOKUP(2,1/((tbl_Finance[Job Number]=C143&amp;"")*(tbl_Finance[Xero Invoice No]&lt;&gt;"")),tbl_Finance[Xero Invoice No]),LOOKUP(2,1/((tbl_Finance[Job Number]=C143&amp;"")*(tbl_Finance[Xero Invoice No]&lt;&gt;"")),tbl_Finance[Xero Invoice No])&amp;" +more"),"")))</f>
        <v/>
      </c>
      <c r="C143" s="24" t="n"/>
      <c r="D143" s="25">
        <f>IF(C143="","",IF(COUNTIF(lst_Jobs,C143&amp;"")&gt;0,"OK","CHECK"))</f>
        <v/>
      </c>
      <c r="E143" s="25">
        <f>IF(C143="","",IFERROR(INDEX(lst_JobName,MATCH(C143&amp;"",lst_Jobs,0)),""))</f>
        <v/>
      </c>
      <c r="F143" s="25">
        <f>IF(C143="","",IFERROR(INDEX(tbl_Finance[Client],MATCH(C143&amp;"",tbl_Finance[Job Number],0)),""))</f>
        <v/>
      </c>
      <c r="G143" s="28">
        <f>IF(C143="","",COUNTIFS(tbl_Finance[Job Number],C143&amp;"",tbl_Finance[Ex GST],"&lt;&gt;"))</f>
        <v/>
      </c>
      <c r="H143" s="27">
        <f>IF(C143="","",SUMIFS(tbl_Finance[Ex GST],tbl_Finance[Job Number],C143&amp;""))</f>
        <v/>
      </c>
      <c r="I143" s="27">
        <f>IF(C143="","",SUMIFS(tbl_Finance[Ex GST],tbl_Finance[Job Number],C143&amp;"",tbl_Finance[Xero Invoice No],"&lt;&gt;"))</f>
        <v/>
      </c>
      <c r="J143" s="27">
        <f>IF(C143="","",H143-I143)</f>
        <v/>
      </c>
      <c r="K143" s="25">
        <f>IF(C143="","",IF(G143=0,"not invoiced yet",SUBSTITUTE(TRIM(IF(COUNTIFS(tbl_Finance[Job Number],C143&amp;"",tbl_Finance[Cost Centre],"ONSITE")&gt;0,"ONSITE ","")&amp;IF(COUNTIFS(tbl_Finance[Job Number],C143&amp;"",tbl_Finance[Cost Centre],"PRODUCTION")&gt;0,"PRODUCTION ","")&amp;IF(COUNTIFS(tbl_Finance[Job Number],C143&amp;"",tbl_Finance[Cost Centre],"VIDEO")&gt;0,"VIDEO ","")&amp;IF(COUNTIFS(tbl_Finance[Job Number],C143&amp;"",tbl_Finance[Cost Centre],"INTEGRATION")&gt;0,"INTEGRATION ","")&amp;IF(COUNTIFS(tbl_Finance[Job Number],C143&amp;"",tbl_Finance[Cost Centre],"CONSULTING")&gt;0,"CONSULTING ","")&amp;IF(COUNTIFS(tbl_Finance[Job Number],C143&amp;"",tbl_Finance[Cost Centre],"CTS")&gt;0,"CTS ",""))," ",", ")))</f>
        <v/>
      </c>
      <c r="L143" s="24" t="n"/>
      <c r="M143" s="24" t="n"/>
      <c r="N143" s="25">
        <f>IF(M143="","",HYPERLINK(IF(LEFT(M143,4)="http",M143,set_QwilrBase&amp;M143),"Open quote"))</f>
        <v/>
      </c>
      <c r="O143" s="69" t="n"/>
      <c r="P143" s="24" t="n"/>
      <c r="Q143" s="24" t="n"/>
    </row>
    <row r="144" ht="15" customHeight="1">
      <c r="A144" s="68">
        <f>IF(C144="","",IFERROR(IF(SUMPRODUCT(MAX((tbl_Finance[Job Number]=C144&amp;"")*(tbl_Finance[Xero Invoice No]&lt;&gt;"")*tbl_Finance[Date]))=0,"",SUMPRODUCT(MAX((tbl_Finance[Job Number]=C144&amp;"")*(tbl_Finance[Xero Invoice No]&lt;&gt;"")*tbl_Finance[Date]))),""))</f>
        <v/>
      </c>
      <c r="B144" s="25">
        <f>IF(C144="","",IF(COUNTIFS(tbl_Finance[Job Number],C144&amp;"",tbl_Finance[Xero Invoice No],"&lt;&gt;")=0,"",IFERROR(IF(COUNTIFS(tbl_Finance[Job Number],C144&amp;"",tbl_Finance[Xero Invoice No],LOOKUP(2,1/((tbl_Finance[Job Number]=C144&amp;"")*(tbl_Finance[Xero Invoice No]&lt;&gt;"")),tbl_Finance[Xero Invoice No]))=COUNTIFS(tbl_Finance[Job Number],C144&amp;"",tbl_Finance[Xero Invoice No],"&lt;&gt;"),LOOKUP(2,1/((tbl_Finance[Job Number]=C144&amp;"")*(tbl_Finance[Xero Invoice No]&lt;&gt;"")),tbl_Finance[Xero Invoice No]),LOOKUP(2,1/((tbl_Finance[Job Number]=C144&amp;"")*(tbl_Finance[Xero Invoice No]&lt;&gt;"")),tbl_Finance[Xero Invoice No])&amp;" +more"),"")))</f>
        <v/>
      </c>
      <c r="C144" s="24" t="n"/>
      <c r="D144" s="25">
        <f>IF(C144="","",IF(COUNTIF(lst_Jobs,C144&amp;"")&gt;0,"OK","CHECK"))</f>
        <v/>
      </c>
      <c r="E144" s="25">
        <f>IF(C144="","",IFERROR(INDEX(lst_JobName,MATCH(C144&amp;"",lst_Jobs,0)),""))</f>
        <v/>
      </c>
      <c r="F144" s="25">
        <f>IF(C144="","",IFERROR(INDEX(tbl_Finance[Client],MATCH(C144&amp;"",tbl_Finance[Job Number],0)),""))</f>
        <v/>
      </c>
      <c r="G144" s="28">
        <f>IF(C144="","",COUNTIFS(tbl_Finance[Job Number],C144&amp;"",tbl_Finance[Ex GST],"&lt;&gt;"))</f>
        <v/>
      </c>
      <c r="H144" s="27">
        <f>IF(C144="","",SUMIFS(tbl_Finance[Ex GST],tbl_Finance[Job Number],C144&amp;""))</f>
        <v/>
      </c>
      <c r="I144" s="27">
        <f>IF(C144="","",SUMIFS(tbl_Finance[Ex GST],tbl_Finance[Job Number],C144&amp;"",tbl_Finance[Xero Invoice No],"&lt;&gt;"))</f>
        <v/>
      </c>
      <c r="J144" s="27">
        <f>IF(C144="","",H144-I144)</f>
        <v/>
      </c>
      <c r="K144" s="25">
        <f>IF(C144="","",IF(G144=0,"not invoiced yet",SUBSTITUTE(TRIM(IF(COUNTIFS(tbl_Finance[Job Number],C144&amp;"",tbl_Finance[Cost Centre],"ONSITE")&gt;0,"ONSITE ","")&amp;IF(COUNTIFS(tbl_Finance[Job Number],C144&amp;"",tbl_Finance[Cost Centre],"PRODUCTION")&gt;0,"PRODUCTION ","")&amp;IF(COUNTIFS(tbl_Finance[Job Number],C144&amp;"",tbl_Finance[Cost Centre],"VIDEO")&gt;0,"VIDEO ","")&amp;IF(COUNTIFS(tbl_Finance[Job Number],C144&amp;"",tbl_Finance[Cost Centre],"INTEGRATION")&gt;0,"INTEGRATION ","")&amp;IF(COUNTIFS(tbl_Finance[Job Number],C144&amp;"",tbl_Finance[Cost Centre],"CONSULTING")&gt;0,"CONSULTING ","")&amp;IF(COUNTIFS(tbl_Finance[Job Number],C144&amp;"",tbl_Finance[Cost Centre],"CTS")&gt;0,"CTS ",""))," ",", ")))</f>
        <v/>
      </c>
      <c r="L144" s="24" t="n"/>
      <c r="M144" s="24" t="n"/>
      <c r="N144" s="25">
        <f>IF(M144="","",HYPERLINK(IF(LEFT(M144,4)="http",M144,set_QwilrBase&amp;M144),"Open quote"))</f>
        <v/>
      </c>
      <c r="O144" s="69" t="n"/>
      <c r="P144" s="24" t="n"/>
      <c r="Q144" s="24" t="n"/>
    </row>
    <row r="145" ht="15" customHeight="1">
      <c r="A145" s="68">
        <f>IF(C145="","",IFERROR(IF(SUMPRODUCT(MAX((tbl_Finance[Job Number]=C145&amp;"")*(tbl_Finance[Xero Invoice No]&lt;&gt;"")*tbl_Finance[Date]))=0,"",SUMPRODUCT(MAX((tbl_Finance[Job Number]=C145&amp;"")*(tbl_Finance[Xero Invoice No]&lt;&gt;"")*tbl_Finance[Date]))),""))</f>
        <v/>
      </c>
      <c r="B145" s="25">
        <f>IF(C145="","",IF(COUNTIFS(tbl_Finance[Job Number],C145&amp;"",tbl_Finance[Xero Invoice No],"&lt;&gt;")=0,"",IFERROR(IF(COUNTIFS(tbl_Finance[Job Number],C145&amp;"",tbl_Finance[Xero Invoice No],LOOKUP(2,1/((tbl_Finance[Job Number]=C145&amp;"")*(tbl_Finance[Xero Invoice No]&lt;&gt;"")),tbl_Finance[Xero Invoice No]))=COUNTIFS(tbl_Finance[Job Number],C145&amp;"",tbl_Finance[Xero Invoice No],"&lt;&gt;"),LOOKUP(2,1/((tbl_Finance[Job Number]=C145&amp;"")*(tbl_Finance[Xero Invoice No]&lt;&gt;"")),tbl_Finance[Xero Invoice No]),LOOKUP(2,1/((tbl_Finance[Job Number]=C145&amp;"")*(tbl_Finance[Xero Invoice No]&lt;&gt;"")),tbl_Finance[Xero Invoice No])&amp;" +more"),"")))</f>
        <v/>
      </c>
      <c r="C145" s="24" t="n"/>
      <c r="D145" s="25">
        <f>IF(C145="","",IF(COUNTIF(lst_Jobs,C145&amp;"")&gt;0,"OK","CHECK"))</f>
        <v/>
      </c>
      <c r="E145" s="25">
        <f>IF(C145="","",IFERROR(INDEX(lst_JobName,MATCH(C145&amp;"",lst_Jobs,0)),""))</f>
        <v/>
      </c>
      <c r="F145" s="25">
        <f>IF(C145="","",IFERROR(INDEX(tbl_Finance[Client],MATCH(C145&amp;"",tbl_Finance[Job Number],0)),""))</f>
        <v/>
      </c>
      <c r="G145" s="28">
        <f>IF(C145="","",COUNTIFS(tbl_Finance[Job Number],C145&amp;"",tbl_Finance[Ex GST],"&lt;&gt;"))</f>
        <v/>
      </c>
      <c r="H145" s="27">
        <f>IF(C145="","",SUMIFS(tbl_Finance[Ex GST],tbl_Finance[Job Number],C145&amp;""))</f>
        <v/>
      </c>
      <c r="I145" s="27">
        <f>IF(C145="","",SUMIFS(tbl_Finance[Ex GST],tbl_Finance[Job Number],C145&amp;"",tbl_Finance[Xero Invoice No],"&lt;&gt;"))</f>
        <v/>
      </c>
      <c r="J145" s="27">
        <f>IF(C145="","",H145-I145)</f>
        <v/>
      </c>
      <c r="K145" s="25">
        <f>IF(C145="","",IF(G145=0,"not invoiced yet",SUBSTITUTE(TRIM(IF(COUNTIFS(tbl_Finance[Job Number],C145&amp;"",tbl_Finance[Cost Centre],"ONSITE")&gt;0,"ONSITE ","")&amp;IF(COUNTIFS(tbl_Finance[Job Number],C145&amp;"",tbl_Finance[Cost Centre],"PRODUCTION")&gt;0,"PRODUCTION ","")&amp;IF(COUNTIFS(tbl_Finance[Job Number],C145&amp;"",tbl_Finance[Cost Centre],"VIDEO")&gt;0,"VIDEO ","")&amp;IF(COUNTIFS(tbl_Finance[Job Number],C145&amp;"",tbl_Finance[Cost Centre],"INTEGRATION")&gt;0,"INTEGRATION ","")&amp;IF(COUNTIFS(tbl_Finance[Job Number],C145&amp;"",tbl_Finance[Cost Centre],"CONSULTING")&gt;0,"CONSULTING ","")&amp;IF(COUNTIFS(tbl_Finance[Job Number],C145&amp;"",tbl_Finance[Cost Centre],"CTS")&gt;0,"CTS ",""))," ",", ")))</f>
        <v/>
      </c>
      <c r="L145" s="24" t="n"/>
      <c r="M145" s="24" t="n"/>
      <c r="N145" s="25">
        <f>IF(M145="","",HYPERLINK(IF(LEFT(M145,4)="http",M145,set_QwilrBase&amp;M145),"Open quote"))</f>
        <v/>
      </c>
      <c r="O145" s="69" t="n"/>
      <c r="P145" s="24" t="n"/>
      <c r="Q145" s="24" t="n"/>
    </row>
    <row r="146" ht="15" customHeight="1">
      <c r="A146" s="68">
        <f>IF(C146="","",IFERROR(IF(SUMPRODUCT(MAX((tbl_Finance[Job Number]=C146&amp;"")*(tbl_Finance[Xero Invoice No]&lt;&gt;"")*tbl_Finance[Date]))=0,"",SUMPRODUCT(MAX((tbl_Finance[Job Number]=C146&amp;"")*(tbl_Finance[Xero Invoice No]&lt;&gt;"")*tbl_Finance[Date]))),""))</f>
        <v/>
      </c>
      <c r="B146" s="25">
        <f>IF(C146="","",IF(COUNTIFS(tbl_Finance[Job Number],C146&amp;"",tbl_Finance[Xero Invoice No],"&lt;&gt;")=0,"",IFERROR(IF(COUNTIFS(tbl_Finance[Job Number],C146&amp;"",tbl_Finance[Xero Invoice No],LOOKUP(2,1/((tbl_Finance[Job Number]=C146&amp;"")*(tbl_Finance[Xero Invoice No]&lt;&gt;"")),tbl_Finance[Xero Invoice No]))=COUNTIFS(tbl_Finance[Job Number],C146&amp;"",tbl_Finance[Xero Invoice No],"&lt;&gt;"),LOOKUP(2,1/((tbl_Finance[Job Number]=C146&amp;"")*(tbl_Finance[Xero Invoice No]&lt;&gt;"")),tbl_Finance[Xero Invoice No]),LOOKUP(2,1/((tbl_Finance[Job Number]=C146&amp;"")*(tbl_Finance[Xero Invoice No]&lt;&gt;"")),tbl_Finance[Xero Invoice No])&amp;" +more"),"")))</f>
        <v/>
      </c>
      <c r="C146" s="24" t="n"/>
      <c r="D146" s="25">
        <f>IF(C146="","",IF(COUNTIF(lst_Jobs,C146&amp;"")&gt;0,"OK","CHECK"))</f>
        <v/>
      </c>
      <c r="E146" s="25">
        <f>IF(C146="","",IFERROR(INDEX(lst_JobName,MATCH(C146&amp;"",lst_Jobs,0)),""))</f>
        <v/>
      </c>
      <c r="F146" s="25">
        <f>IF(C146="","",IFERROR(INDEX(tbl_Finance[Client],MATCH(C146&amp;"",tbl_Finance[Job Number],0)),""))</f>
        <v/>
      </c>
      <c r="G146" s="28">
        <f>IF(C146="","",COUNTIFS(tbl_Finance[Job Number],C146&amp;"",tbl_Finance[Ex GST],"&lt;&gt;"))</f>
        <v/>
      </c>
      <c r="H146" s="27">
        <f>IF(C146="","",SUMIFS(tbl_Finance[Ex GST],tbl_Finance[Job Number],C146&amp;""))</f>
        <v/>
      </c>
      <c r="I146" s="27">
        <f>IF(C146="","",SUMIFS(tbl_Finance[Ex GST],tbl_Finance[Job Number],C146&amp;"",tbl_Finance[Xero Invoice No],"&lt;&gt;"))</f>
        <v/>
      </c>
      <c r="J146" s="27">
        <f>IF(C146="","",H146-I146)</f>
        <v/>
      </c>
      <c r="K146" s="25">
        <f>IF(C146="","",IF(G146=0,"not invoiced yet",SUBSTITUTE(TRIM(IF(COUNTIFS(tbl_Finance[Job Number],C146&amp;"",tbl_Finance[Cost Centre],"ONSITE")&gt;0,"ONSITE ","")&amp;IF(COUNTIFS(tbl_Finance[Job Number],C146&amp;"",tbl_Finance[Cost Centre],"PRODUCTION")&gt;0,"PRODUCTION ","")&amp;IF(COUNTIFS(tbl_Finance[Job Number],C146&amp;"",tbl_Finance[Cost Centre],"VIDEO")&gt;0,"VIDEO ","")&amp;IF(COUNTIFS(tbl_Finance[Job Number],C146&amp;"",tbl_Finance[Cost Centre],"INTEGRATION")&gt;0,"INTEGRATION ","")&amp;IF(COUNTIFS(tbl_Finance[Job Number],C146&amp;"",tbl_Finance[Cost Centre],"CONSULTING")&gt;0,"CONSULTING ","")&amp;IF(COUNTIFS(tbl_Finance[Job Number],C146&amp;"",tbl_Finance[Cost Centre],"CTS")&gt;0,"CTS ",""))," ",", ")))</f>
        <v/>
      </c>
      <c r="L146" s="24" t="n"/>
      <c r="M146" s="24" t="n"/>
      <c r="N146" s="25">
        <f>IF(M146="","",HYPERLINK(IF(LEFT(M146,4)="http",M146,set_QwilrBase&amp;M146),"Open quote"))</f>
        <v/>
      </c>
      <c r="O146" s="69" t="n"/>
      <c r="P146" s="24" t="n"/>
      <c r="Q146" s="24" t="n"/>
    </row>
    <row r="147" ht="15" customHeight="1">
      <c r="A147" s="68">
        <f>IF(C147="","",IFERROR(IF(SUMPRODUCT(MAX((tbl_Finance[Job Number]=C147&amp;"")*(tbl_Finance[Xero Invoice No]&lt;&gt;"")*tbl_Finance[Date]))=0,"",SUMPRODUCT(MAX((tbl_Finance[Job Number]=C147&amp;"")*(tbl_Finance[Xero Invoice No]&lt;&gt;"")*tbl_Finance[Date]))),""))</f>
        <v/>
      </c>
      <c r="B147" s="25">
        <f>IF(C147="","",IF(COUNTIFS(tbl_Finance[Job Number],C147&amp;"",tbl_Finance[Xero Invoice No],"&lt;&gt;")=0,"",IFERROR(IF(COUNTIFS(tbl_Finance[Job Number],C147&amp;"",tbl_Finance[Xero Invoice No],LOOKUP(2,1/((tbl_Finance[Job Number]=C147&amp;"")*(tbl_Finance[Xero Invoice No]&lt;&gt;"")),tbl_Finance[Xero Invoice No]))=COUNTIFS(tbl_Finance[Job Number],C147&amp;"",tbl_Finance[Xero Invoice No],"&lt;&gt;"),LOOKUP(2,1/((tbl_Finance[Job Number]=C147&amp;"")*(tbl_Finance[Xero Invoice No]&lt;&gt;"")),tbl_Finance[Xero Invoice No]),LOOKUP(2,1/((tbl_Finance[Job Number]=C147&amp;"")*(tbl_Finance[Xero Invoice No]&lt;&gt;"")),tbl_Finance[Xero Invoice No])&amp;" +more"),"")))</f>
        <v/>
      </c>
      <c r="C147" s="24" t="n"/>
      <c r="D147" s="25">
        <f>IF(C147="","",IF(COUNTIF(lst_Jobs,C147&amp;"")&gt;0,"OK","CHECK"))</f>
        <v/>
      </c>
      <c r="E147" s="25">
        <f>IF(C147="","",IFERROR(INDEX(lst_JobName,MATCH(C147&amp;"",lst_Jobs,0)),""))</f>
        <v/>
      </c>
      <c r="F147" s="25">
        <f>IF(C147="","",IFERROR(INDEX(tbl_Finance[Client],MATCH(C147&amp;"",tbl_Finance[Job Number],0)),""))</f>
        <v/>
      </c>
      <c r="G147" s="28">
        <f>IF(C147="","",COUNTIFS(tbl_Finance[Job Number],C147&amp;"",tbl_Finance[Ex GST],"&lt;&gt;"))</f>
        <v/>
      </c>
      <c r="H147" s="27">
        <f>IF(C147="","",SUMIFS(tbl_Finance[Ex GST],tbl_Finance[Job Number],C147&amp;""))</f>
        <v/>
      </c>
      <c r="I147" s="27">
        <f>IF(C147="","",SUMIFS(tbl_Finance[Ex GST],tbl_Finance[Job Number],C147&amp;"",tbl_Finance[Xero Invoice No],"&lt;&gt;"))</f>
        <v/>
      </c>
      <c r="J147" s="27">
        <f>IF(C147="","",H147-I147)</f>
        <v/>
      </c>
      <c r="K147" s="25">
        <f>IF(C147="","",IF(G147=0,"not invoiced yet",SUBSTITUTE(TRIM(IF(COUNTIFS(tbl_Finance[Job Number],C147&amp;"",tbl_Finance[Cost Centre],"ONSITE")&gt;0,"ONSITE ","")&amp;IF(COUNTIFS(tbl_Finance[Job Number],C147&amp;"",tbl_Finance[Cost Centre],"PRODUCTION")&gt;0,"PRODUCTION ","")&amp;IF(COUNTIFS(tbl_Finance[Job Number],C147&amp;"",tbl_Finance[Cost Centre],"VIDEO")&gt;0,"VIDEO ","")&amp;IF(COUNTIFS(tbl_Finance[Job Number],C147&amp;"",tbl_Finance[Cost Centre],"INTEGRATION")&gt;0,"INTEGRATION ","")&amp;IF(COUNTIFS(tbl_Finance[Job Number],C147&amp;"",tbl_Finance[Cost Centre],"CONSULTING")&gt;0,"CONSULTING ","")&amp;IF(COUNTIFS(tbl_Finance[Job Number],C147&amp;"",tbl_Finance[Cost Centre],"CTS")&gt;0,"CTS ",""))," ",", ")))</f>
        <v/>
      </c>
      <c r="L147" s="24" t="n"/>
      <c r="M147" s="24" t="n"/>
      <c r="N147" s="25">
        <f>IF(M147="","",HYPERLINK(IF(LEFT(M147,4)="http",M147,set_QwilrBase&amp;M147),"Open quote"))</f>
        <v/>
      </c>
      <c r="O147" s="69" t="n"/>
      <c r="P147" s="24" t="n"/>
      <c r="Q147" s="24" t="n"/>
    </row>
    <row r="148" ht="15" customHeight="1">
      <c r="A148" s="68">
        <f>IF(C148="","",IFERROR(IF(SUMPRODUCT(MAX((tbl_Finance[Job Number]=C148&amp;"")*(tbl_Finance[Xero Invoice No]&lt;&gt;"")*tbl_Finance[Date]))=0,"",SUMPRODUCT(MAX((tbl_Finance[Job Number]=C148&amp;"")*(tbl_Finance[Xero Invoice No]&lt;&gt;"")*tbl_Finance[Date]))),""))</f>
        <v/>
      </c>
      <c r="B148" s="25">
        <f>IF(C148="","",IF(COUNTIFS(tbl_Finance[Job Number],C148&amp;"",tbl_Finance[Xero Invoice No],"&lt;&gt;")=0,"",IFERROR(IF(COUNTIFS(tbl_Finance[Job Number],C148&amp;"",tbl_Finance[Xero Invoice No],LOOKUP(2,1/((tbl_Finance[Job Number]=C148&amp;"")*(tbl_Finance[Xero Invoice No]&lt;&gt;"")),tbl_Finance[Xero Invoice No]))=COUNTIFS(tbl_Finance[Job Number],C148&amp;"",tbl_Finance[Xero Invoice No],"&lt;&gt;"),LOOKUP(2,1/((tbl_Finance[Job Number]=C148&amp;"")*(tbl_Finance[Xero Invoice No]&lt;&gt;"")),tbl_Finance[Xero Invoice No]),LOOKUP(2,1/((tbl_Finance[Job Number]=C148&amp;"")*(tbl_Finance[Xero Invoice No]&lt;&gt;"")),tbl_Finance[Xero Invoice No])&amp;" +more"),"")))</f>
        <v/>
      </c>
      <c r="C148" s="24" t="n"/>
      <c r="D148" s="25">
        <f>IF(C148="","",IF(COUNTIF(lst_Jobs,C148&amp;"")&gt;0,"OK","CHECK"))</f>
        <v/>
      </c>
      <c r="E148" s="25">
        <f>IF(C148="","",IFERROR(INDEX(lst_JobName,MATCH(C148&amp;"",lst_Jobs,0)),""))</f>
        <v/>
      </c>
      <c r="F148" s="25">
        <f>IF(C148="","",IFERROR(INDEX(tbl_Finance[Client],MATCH(C148&amp;"",tbl_Finance[Job Number],0)),""))</f>
        <v/>
      </c>
      <c r="G148" s="28">
        <f>IF(C148="","",COUNTIFS(tbl_Finance[Job Number],C148&amp;"",tbl_Finance[Ex GST],"&lt;&gt;"))</f>
        <v/>
      </c>
      <c r="H148" s="27">
        <f>IF(C148="","",SUMIFS(tbl_Finance[Ex GST],tbl_Finance[Job Number],C148&amp;""))</f>
        <v/>
      </c>
      <c r="I148" s="27">
        <f>IF(C148="","",SUMIFS(tbl_Finance[Ex GST],tbl_Finance[Job Number],C148&amp;"",tbl_Finance[Xero Invoice No],"&lt;&gt;"))</f>
        <v/>
      </c>
      <c r="J148" s="27">
        <f>IF(C148="","",H148-I148)</f>
        <v/>
      </c>
      <c r="K148" s="25">
        <f>IF(C148="","",IF(G148=0,"not invoiced yet",SUBSTITUTE(TRIM(IF(COUNTIFS(tbl_Finance[Job Number],C148&amp;"",tbl_Finance[Cost Centre],"ONSITE")&gt;0,"ONSITE ","")&amp;IF(COUNTIFS(tbl_Finance[Job Number],C148&amp;"",tbl_Finance[Cost Centre],"PRODUCTION")&gt;0,"PRODUCTION ","")&amp;IF(COUNTIFS(tbl_Finance[Job Number],C148&amp;"",tbl_Finance[Cost Centre],"VIDEO")&gt;0,"VIDEO ","")&amp;IF(COUNTIFS(tbl_Finance[Job Number],C148&amp;"",tbl_Finance[Cost Centre],"INTEGRATION")&gt;0,"INTEGRATION ","")&amp;IF(COUNTIFS(tbl_Finance[Job Number],C148&amp;"",tbl_Finance[Cost Centre],"CONSULTING")&gt;0,"CONSULTING ","")&amp;IF(COUNTIFS(tbl_Finance[Job Number],C148&amp;"",tbl_Finance[Cost Centre],"CTS")&gt;0,"CTS ",""))," ",", ")))</f>
        <v/>
      </c>
      <c r="L148" s="24" t="n"/>
      <c r="M148" s="24" t="n"/>
      <c r="N148" s="25">
        <f>IF(M148="","",HYPERLINK(IF(LEFT(M148,4)="http",M148,set_QwilrBase&amp;M148),"Open quote"))</f>
        <v/>
      </c>
      <c r="O148" s="69" t="n"/>
      <c r="P148" s="24" t="n"/>
      <c r="Q148" s="24" t="n"/>
    </row>
    <row r="149" ht="15" customHeight="1">
      <c r="A149" s="68">
        <f>IF(C149="","",IFERROR(IF(SUMPRODUCT(MAX((tbl_Finance[Job Number]=C149&amp;"")*(tbl_Finance[Xero Invoice No]&lt;&gt;"")*tbl_Finance[Date]))=0,"",SUMPRODUCT(MAX((tbl_Finance[Job Number]=C149&amp;"")*(tbl_Finance[Xero Invoice No]&lt;&gt;"")*tbl_Finance[Date]))),""))</f>
        <v/>
      </c>
      <c r="B149" s="25">
        <f>IF(C149="","",IF(COUNTIFS(tbl_Finance[Job Number],C149&amp;"",tbl_Finance[Xero Invoice No],"&lt;&gt;")=0,"",IFERROR(IF(COUNTIFS(tbl_Finance[Job Number],C149&amp;"",tbl_Finance[Xero Invoice No],LOOKUP(2,1/((tbl_Finance[Job Number]=C149&amp;"")*(tbl_Finance[Xero Invoice No]&lt;&gt;"")),tbl_Finance[Xero Invoice No]))=COUNTIFS(tbl_Finance[Job Number],C149&amp;"",tbl_Finance[Xero Invoice No],"&lt;&gt;"),LOOKUP(2,1/((tbl_Finance[Job Number]=C149&amp;"")*(tbl_Finance[Xero Invoice No]&lt;&gt;"")),tbl_Finance[Xero Invoice No]),LOOKUP(2,1/((tbl_Finance[Job Number]=C149&amp;"")*(tbl_Finance[Xero Invoice No]&lt;&gt;"")),tbl_Finance[Xero Invoice No])&amp;" +more"),"")))</f>
        <v/>
      </c>
      <c r="C149" s="24" t="n"/>
      <c r="D149" s="25">
        <f>IF(C149="","",IF(COUNTIF(lst_Jobs,C149&amp;"")&gt;0,"OK","CHECK"))</f>
        <v/>
      </c>
      <c r="E149" s="25">
        <f>IF(C149="","",IFERROR(INDEX(lst_JobName,MATCH(C149&amp;"",lst_Jobs,0)),""))</f>
        <v/>
      </c>
      <c r="F149" s="25">
        <f>IF(C149="","",IFERROR(INDEX(tbl_Finance[Client],MATCH(C149&amp;"",tbl_Finance[Job Number],0)),""))</f>
        <v/>
      </c>
      <c r="G149" s="28">
        <f>IF(C149="","",COUNTIFS(tbl_Finance[Job Number],C149&amp;"",tbl_Finance[Ex GST],"&lt;&gt;"))</f>
        <v/>
      </c>
      <c r="H149" s="27">
        <f>IF(C149="","",SUMIFS(tbl_Finance[Ex GST],tbl_Finance[Job Number],C149&amp;""))</f>
        <v/>
      </c>
      <c r="I149" s="27">
        <f>IF(C149="","",SUMIFS(tbl_Finance[Ex GST],tbl_Finance[Job Number],C149&amp;"",tbl_Finance[Xero Invoice No],"&lt;&gt;"))</f>
        <v/>
      </c>
      <c r="J149" s="27">
        <f>IF(C149="","",H149-I149)</f>
        <v/>
      </c>
      <c r="K149" s="25">
        <f>IF(C149="","",IF(G149=0,"not invoiced yet",SUBSTITUTE(TRIM(IF(COUNTIFS(tbl_Finance[Job Number],C149&amp;"",tbl_Finance[Cost Centre],"ONSITE")&gt;0,"ONSITE ","")&amp;IF(COUNTIFS(tbl_Finance[Job Number],C149&amp;"",tbl_Finance[Cost Centre],"PRODUCTION")&gt;0,"PRODUCTION ","")&amp;IF(COUNTIFS(tbl_Finance[Job Number],C149&amp;"",tbl_Finance[Cost Centre],"VIDEO")&gt;0,"VIDEO ","")&amp;IF(COUNTIFS(tbl_Finance[Job Number],C149&amp;"",tbl_Finance[Cost Centre],"INTEGRATION")&gt;0,"INTEGRATION ","")&amp;IF(COUNTIFS(tbl_Finance[Job Number],C149&amp;"",tbl_Finance[Cost Centre],"CONSULTING")&gt;0,"CONSULTING ","")&amp;IF(COUNTIFS(tbl_Finance[Job Number],C149&amp;"",tbl_Finance[Cost Centre],"CTS")&gt;0,"CTS ",""))," ",", ")))</f>
        <v/>
      </c>
      <c r="L149" s="24" t="n"/>
      <c r="M149" s="24" t="n"/>
      <c r="N149" s="25">
        <f>IF(M149="","",HYPERLINK(IF(LEFT(M149,4)="http",M149,set_QwilrBase&amp;M149),"Open quote"))</f>
        <v/>
      </c>
      <c r="O149" s="69" t="n"/>
      <c r="P149" s="24" t="n"/>
      <c r="Q149" s="24" t="n"/>
    </row>
    <row r="150" ht="15" customHeight="1">
      <c r="A150" s="68">
        <f>IF(C150="","",IFERROR(IF(SUMPRODUCT(MAX((tbl_Finance[Job Number]=C150&amp;"")*(tbl_Finance[Xero Invoice No]&lt;&gt;"")*tbl_Finance[Date]))=0,"",SUMPRODUCT(MAX((tbl_Finance[Job Number]=C150&amp;"")*(tbl_Finance[Xero Invoice No]&lt;&gt;"")*tbl_Finance[Date]))),""))</f>
        <v/>
      </c>
      <c r="B150" s="25">
        <f>IF(C150="","",IF(COUNTIFS(tbl_Finance[Job Number],C150&amp;"",tbl_Finance[Xero Invoice No],"&lt;&gt;")=0,"",IFERROR(IF(COUNTIFS(tbl_Finance[Job Number],C150&amp;"",tbl_Finance[Xero Invoice No],LOOKUP(2,1/((tbl_Finance[Job Number]=C150&amp;"")*(tbl_Finance[Xero Invoice No]&lt;&gt;"")),tbl_Finance[Xero Invoice No]))=COUNTIFS(tbl_Finance[Job Number],C150&amp;"",tbl_Finance[Xero Invoice No],"&lt;&gt;"),LOOKUP(2,1/((tbl_Finance[Job Number]=C150&amp;"")*(tbl_Finance[Xero Invoice No]&lt;&gt;"")),tbl_Finance[Xero Invoice No]),LOOKUP(2,1/((tbl_Finance[Job Number]=C150&amp;"")*(tbl_Finance[Xero Invoice No]&lt;&gt;"")),tbl_Finance[Xero Invoice No])&amp;" +more"),"")))</f>
        <v/>
      </c>
      <c r="C150" s="24" t="n"/>
      <c r="D150" s="25">
        <f>IF(C150="","",IF(COUNTIF(lst_Jobs,C150&amp;"")&gt;0,"OK","CHECK"))</f>
        <v/>
      </c>
      <c r="E150" s="25">
        <f>IF(C150="","",IFERROR(INDEX(lst_JobName,MATCH(C150&amp;"",lst_Jobs,0)),""))</f>
        <v/>
      </c>
      <c r="F150" s="25">
        <f>IF(C150="","",IFERROR(INDEX(tbl_Finance[Client],MATCH(C150&amp;"",tbl_Finance[Job Number],0)),""))</f>
        <v/>
      </c>
      <c r="G150" s="28">
        <f>IF(C150="","",COUNTIFS(tbl_Finance[Job Number],C150&amp;"",tbl_Finance[Ex GST],"&lt;&gt;"))</f>
        <v/>
      </c>
      <c r="H150" s="27">
        <f>IF(C150="","",SUMIFS(tbl_Finance[Ex GST],tbl_Finance[Job Number],C150&amp;""))</f>
        <v/>
      </c>
      <c r="I150" s="27">
        <f>IF(C150="","",SUMIFS(tbl_Finance[Ex GST],tbl_Finance[Job Number],C150&amp;"",tbl_Finance[Xero Invoice No],"&lt;&gt;"))</f>
        <v/>
      </c>
      <c r="J150" s="27">
        <f>IF(C150="","",H150-I150)</f>
        <v/>
      </c>
      <c r="K150" s="25">
        <f>IF(C150="","",IF(G150=0,"not invoiced yet",SUBSTITUTE(TRIM(IF(COUNTIFS(tbl_Finance[Job Number],C150&amp;"",tbl_Finance[Cost Centre],"ONSITE")&gt;0,"ONSITE ","")&amp;IF(COUNTIFS(tbl_Finance[Job Number],C150&amp;"",tbl_Finance[Cost Centre],"PRODUCTION")&gt;0,"PRODUCTION ","")&amp;IF(COUNTIFS(tbl_Finance[Job Number],C150&amp;"",tbl_Finance[Cost Centre],"VIDEO")&gt;0,"VIDEO ","")&amp;IF(COUNTIFS(tbl_Finance[Job Number],C150&amp;"",tbl_Finance[Cost Centre],"INTEGRATION")&gt;0,"INTEGRATION ","")&amp;IF(COUNTIFS(tbl_Finance[Job Number],C150&amp;"",tbl_Finance[Cost Centre],"CONSULTING")&gt;0,"CONSULTING ","")&amp;IF(COUNTIFS(tbl_Finance[Job Number],C150&amp;"",tbl_Finance[Cost Centre],"CTS")&gt;0,"CTS ",""))," ",", ")))</f>
        <v/>
      </c>
      <c r="L150" s="24" t="n"/>
      <c r="M150" s="24" t="n"/>
      <c r="N150" s="25">
        <f>IF(M150="","",HYPERLINK(IF(LEFT(M150,4)="http",M150,set_QwilrBase&amp;M150),"Open quote"))</f>
        <v/>
      </c>
      <c r="O150" s="69" t="n"/>
      <c r="P150" s="24" t="n"/>
      <c r="Q150" s="24" t="n"/>
    </row>
    <row r="151" ht="15" customHeight="1">
      <c r="A151" s="68">
        <f>IF(C151="","",IFERROR(IF(SUMPRODUCT(MAX((tbl_Finance[Job Number]=C151&amp;"")*(tbl_Finance[Xero Invoice No]&lt;&gt;"")*tbl_Finance[Date]))=0,"",SUMPRODUCT(MAX((tbl_Finance[Job Number]=C151&amp;"")*(tbl_Finance[Xero Invoice No]&lt;&gt;"")*tbl_Finance[Date]))),""))</f>
        <v/>
      </c>
      <c r="B151" s="25">
        <f>IF(C151="","",IF(COUNTIFS(tbl_Finance[Job Number],C151&amp;"",tbl_Finance[Xero Invoice No],"&lt;&gt;")=0,"",IFERROR(IF(COUNTIFS(tbl_Finance[Job Number],C151&amp;"",tbl_Finance[Xero Invoice No],LOOKUP(2,1/((tbl_Finance[Job Number]=C151&amp;"")*(tbl_Finance[Xero Invoice No]&lt;&gt;"")),tbl_Finance[Xero Invoice No]))=COUNTIFS(tbl_Finance[Job Number],C151&amp;"",tbl_Finance[Xero Invoice No],"&lt;&gt;"),LOOKUP(2,1/((tbl_Finance[Job Number]=C151&amp;"")*(tbl_Finance[Xero Invoice No]&lt;&gt;"")),tbl_Finance[Xero Invoice No]),LOOKUP(2,1/((tbl_Finance[Job Number]=C151&amp;"")*(tbl_Finance[Xero Invoice No]&lt;&gt;"")),tbl_Finance[Xero Invoice No])&amp;" +more"),"")))</f>
        <v/>
      </c>
      <c r="C151" s="24" t="n"/>
      <c r="D151" s="25">
        <f>IF(C151="","",IF(COUNTIF(lst_Jobs,C151&amp;"")&gt;0,"OK","CHECK"))</f>
        <v/>
      </c>
      <c r="E151" s="25">
        <f>IF(C151="","",IFERROR(INDEX(lst_JobName,MATCH(C151&amp;"",lst_Jobs,0)),""))</f>
        <v/>
      </c>
      <c r="F151" s="25">
        <f>IF(C151="","",IFERROR(INDEX(tbl_Finance[Client],MATCH(C151&amp;"",tbl_Finance[Job Number],0)),""))</f>
        <v/>
      </c>
      <c r="G151" s="28">
        <f>IF(C151="","",COUNTIFS(tbl_Finance[Job Number],C151&amp;"",tbl_Finance[Ex GST],"&lt;&gt;"))</f>
        <v/>
      </c>
      <c r="H151" s="27">
        <f>IF(C151="","",SUMIFS(tbl_Finance[Ex GST],tbl_Finance[Job Number],C151&amp;""))</f>
        <v/>
      </c>
      <c r="I151" s="27">
        <f>IF(C151="","",SUMIFS(tbl_Finance[Ex GST],tbl_Finance[Job Number],C151&amp;"",tbl_Finance[Xero Invoice No],"&lt;&gt;"))</f>
        <v/>
      </c>
      <c r="J151" s="27">
        <f>IF(C151="","",H151-I151)</f>
        <v/>
      </c>
      <c r="K151" s="25">
        <f>IF(C151="","",IF(G151=0,"not invoiced yet",SUBSTITUTE(TRIM(IF(COUNTIFS(tbl_Finance[Job Number],C151&amp;"",tbl_Finance[Cost Centre],"ONSITE")&gt;0,"ONSITE ","")&amp;IF(COUNTIFS(tbl_Finance[Job Number],C151&amp;"",tbl_Finance[Cost Centre],"PRODUCTION")&gt;0,"PRODUCTION ","")&amp;IF(COUNTIFS(tbl_Finance[Job Number],C151&amp;"",tbl_Finance[Cost Centre],"VIDEO")&gt;0,"VIDEO ","")&amp;IF(COUNTIFS(tbl_Finance[Job Number],C151&amp;"",tbl_Finance[Cost Centre],"INTEGRATION")&gt;0,"INTEGRATION ","")&amp;IF(COUNTIFS(tbl_Finance[Job Number],C151&amp;"",tbl_Finance[Cost Centre],"CONSULTING")&gt;0,"CONSULTING ","")&amp;IF(COUNTIFS(tbl_Finance[Job Number],C151&amp;"",tbl_Finance[Cost Centre],"CTS")&gt;0,"CTS ",""))," ",", ")))</f>
        <v/>
      </c>
      <c r="L151" s="24" t="n"/>
      <c r="M151" s="24" t="n"/>
      <c r="N151" s="25">
        <f>IF(M151="","",HYPERLINK(IF(LEFT(M151,4)="http",M151,set_QwilrBase&amp;M151),"Open quote"))</f>
        <v/>
      </c>
      <c r="O151" s="69" t="n"/>
      <c r="P151" s="24" t="n"/>
      <c r="Q151" s="24" t="n"/>
    </row>
    <row r="152" ht="15" customHeight="1">
      <c r="A152" s="68">
        <f>IF(C152="","",IFERROR(IF(SUMPRODUCT(MAX((tbl_Finance[Job Number]=C152&amp;"")*(tbl_Finance[Xero Invoice No]&lt;&gt;"")*tbl_Finance[Date]))=0,"",SUMPRODUCT(MAX((tbl_Finance[Job Number]=C152&amp;"")*(tbl_Finance[Xero Invoice No]&lt;&gt;"")*tbl_Finance[Date]))),""))</f>
        <v/>
      </c>
      <c r="B152" s="25">
        <f>IF(C152="","",IF(COUNTIFS(tbl_Finance[Job Number],C152&amp;"",tbl_Finance[Xero Invoice No],"&lt;&gt;")=0,"",IFERROR(IF(COUNTIFS(tbl_Finance[Job Number],C152&amp;"",tbl_Finance[Xero Invoice No],LOOKUP(2,1/((tbl_Finance[Job Number]=C152&amp;"")*(tbl_Finance[Xero Invoice No]&lt;&gt;"")),tbl_Finance[Xero Invoice No]))=COUNTIFS(tbl_Finance[Job Number],C152&amp;"",tbl_Finance[Xero Invoice No],"&lt;&gt;"),LOOKUP(2,1/((tbl_Finance[Job Number]=C152&amp;"")*(tbl_Finance[Xero Invoice No]&lt;&gt;"")),tbl_Finance[Xero Invoice No]),LOOKUP(2,1/((tbl_Finance[Job Number]=C152&amp;"")*(tbl_Finance[Xero Invoice No]&lt;&gt;"")),tbl_Finance[Xero Invoice No])&amp;" +more"),"")))</f>
        <v/>
      </c>
      <c r="C152" s="24" t="n"/>
      <c r="D152" s="25">
        <f>IF(C152="","",IF(COUNTIF(lst_Jobs,C152&amp;"")&gt;0,"OK","CHECK"))</f>
        <v/>
      </c>
      <c r="E152" s="25">
        <f>IF(C152="","",IFERROR(INDEX(lst_JobName,MATCH(C152&amp;"",lst_Jobs,0)),""))</f>
        <v/>
      </c>
      <c r="F152" s="25">
        <f>IF(C152="","",IFERROR(INDEX(tbl_Finance[Client],MATCH(C152&amp;"",tbl_Finance[Job Number],0)),""))</f>
        <v/>
      </c>
      <c r="G152" s="28">
        <f>IF(C152="","",COUNTIFS(tbl_Finance[Job Number],C152&amp;"",tbl_Finance[Ex GST],"&lt;&gt;"))</f>
        <v/>
      </c>
      <c r="H152" s="27">
        <f>IF(C152="","",SUMIFS(tbl_Finance[Ex GST],tbl_Finance[Job Number],C152&amp;""))</f>
        <v/>
      </c>
      <c r="I152" s="27">
        <f>IF(C152="","",SUMIFS(tbl_Finance[Ex GST],tbl_Finance[Job Number],C152&amp;"",tbl_Finance[Xero Invoice No],"&lt;&gt;"))</f>
        <v/>
      </c>
      <c r="J152" s="27">
        <f>IF(C152="","",H152-I152)</f>
        <v/>
      </c>
      <c r="K152" s="25">
        <f>IF(C152="","",IF(G152=0,"not invoiced yet",SUBSTITUTE(TRIM(IF(COUNTIFS(tbl_Finance[Job Number],C152&amp;"",tbl_Finance[Cost Centre],"ONSITE")&gt;0,"ONSITE ","")&amp;IF(COUNTIFS(tbl_Finance[Job Number],C152&amp;"",tbl_Finance[Cost Centre],"PRODUCTION")&gt;0,"PRODUCTION ","")&amp;IF(COUNTIFS(tbl_Finance[Job Number],C152&amp;"",tbl_Finance[Cost Centre],"VIDEO")&gt;0,"VIDEO ","")&amp;IF(COUNTIFS(tbl_Finance[Job Number],C152&amp;"",tbl_Finance[Cost Centre],"INTEGRATION")&gt;0,"INTEGRATION ","")&amp;IF(COUNTIFS(tbl_Finance[Job Number],C152&amp;"",tbl_Finance[Cost Centre],"CONSULTING")&gt;0,"CONSULTING ","")&amp;IF(COUNTIFS(tbl_Finance[Job Number],C152&amp;"",tbl_Finance[Cost Centre],"CTS")&gt;0,"CTS ",""))," ",", ")))</f>
        <v/>
      </c>
      <c r="L152" s="24" t="n"/>
      <c r="M152" s="24" t="n"/>
      <c r="N152" s="25">
        <f>IF(M152="","",HYPERLINK(IF(LEFT(M152,4)="http",M152,set_QwilrBase&amp;M152),"Open quote"))</f>
        <v/>
      </c>
      <c r="O152" s="69" t="n"/>
      <c r="P152" s="24" t="n"/>
      <c r="Q152" s="24" t="n"/>
    </row>
    <row r="153" ht="15" customHeight="1">
      <c r="A153" s="68">
        <f>IF(C153="","",IFERROR(IF(SUMPRODUCT(MAX((tbl_Finance[Job Number]=C153&amp;"")*(tbl_Finance[Xero Invoice No]&lt;&gt;"")*tbl_Finance[Date]))=0,"",SUMPRODUCT(MAX((tbl_Finance[Job Number]=C153&amp;"")*(tbl_Finance[Xero Invoice No]&lt;&gt;"")*tbl_Finance[Date]))),""))</f>
        <v/>
      </c>
      <c r="B153" s="25">
        <f>IF(C153="","",IF(COUNTIFS(tbl_Finance[Job Number],C153&amp;"",tbl_Finance[Xero Invoice No],"&lt;&gt;")=0,"",IFERROR(IF(COUNTIFS(tbl_Finance[Job Number],C153&amp;"",tbl_Finance[Xero Invoice No],LOOKUP(2,1/((tbl_Finance[Job Number]=C153&amp;"")*(tbl_Finance[Xero Invoice No]&lt;&gt;"")),tbl_Finance[Xero Invoice No]))=COUNTIFS(tbl_Finance[Job Number],C153&amp;"",tbl_Finance[Xero Invoice No],"&lt;&gt;"),LOOKUP(2,1/((tbl_Finance[Job Number]=C153&amp;"")*(tbl_Finance[Xero Invoice No]&lt;&gt;"")),tbl_Finance[Xero Invoice No]),LOOKUP(2,1/((tbl_Finance[Job Number]=C153&amp;"")*(tbl_Finance[Xero Invoice No]&lt;&gt;"")),tbl_Finance[Xero Invoice No])&amp;" +more"),"")))</f>
        <v/>
      </c>
      <c r="C153" s="24" t="n"/>
      <c r="D153" s="25">
        <f>IF(C153="","",IF(COUNTIF(lst_Jobs,C153&amp;"")&gt;0,"OK","CHECK"))</f>
        <v/>
      </c>
      <c r="E153" s="25">
        <f>IF(C153="","",IFERROR(INDEX(lst_JobName,MATCH(C153&amp;"",lst_Jobs,0)),""))</f>
        <v/>
      </c>
      <c r="F153" s="25">
        <f>IF(C153="","",IFERROR(INDEX(tbl_Finance[Client],MATCH(C153&amp;"",tbl_Finance[Job Number],0)),""))</f>
        <v/>
      </c>
      <c r="G153" s="28">
        <f>IF(C153="","",COUNTIFS(tbl_Finance[Job Number],C153&amp;"",tbl_Finance[Ex GST],"&lt;&gt;"))</f>
        <v/>
      </c>
      <c r="H153" s="27">
        <f>IF(C153="","",SUMIFS(tbl_Finance[Ex GST],tbl_Finance[Job Number],C153&amp;""))</f>
        <v/>
      </c>
      <c r="I153" s="27">
        <f>IF(C153="","",SUMIFS(tbl_Finance[Ex GST],tbl_Finance[Job Number],C153&amp;"",tbl_Finance[Xero Invoice No],"&lt;&gt;"))</f>
        <v/>
      </c>
      <c r="J153" s="27">
        <f>IF(C153="","",H153-I153)</f>
        <v/>
      </c>
      <c r="K153" s="25">
        <f>IF(C153="","",IF(G153=0,"not invoiced yet",SUBSTITUTE(TRIM(IF(COUNTIFS(tbl_Finance[Job Number],C153&amp;"",tbl_Finance[Cost Centre],"ONSITE")&gt;0,"ONSITE ","")&amp;IF(COUNTIFS(tbl_Finance[Job Number],C153&amp;"",tbl_Finance[Cost Centre],"PRODUCTION")&gt;0,"PRODUCTION ","")&amp;IF(COUNTIFS(tbl_Finance[Job Number],C153&amp;"",tbl_Finance[Cost Centre],"VIDEO")&gt;0,"VIDEO ","")&amp;IF(COUNTIFS(tbl_Finance[Job Number],C153&amp;"",tbl_Finance[Cost Centre],"INTEGRATION")&gt;0,"INTEGRATION ","")&amp;IF(COUNTIFS(tbl_Finance[Job Number],C153&amp;"",tbl_Finance[Cost Centre],"CONSULTING")&gt;0,"CONSULTING ","")&amp;IF(COUNTIFS(tbl_Finance[Job Number],C153&amp;"",tbl_Finance[Cost Centre],"CTS")&gt;0,"CTS ",""))," ",", ")))</f>
        <v/>
      </c>
      <c r="L153" s="24" t="n"/>
      <c r="M153" s="24" t="n"/>
      <c r="N153" s="25">
        <f>IF(M153="","",HYPERLINK(IF(LEFT(M153,4)="http",M153,set_QwilrBase&amp;M153),"Open quote"))</f>
        <v/>
      </c>
      <c r="O153" s="69" t="n"/>
      <c r="P153" s="24" t="n"/>
      <c r="Q153" s="24" t="n"/>
    </row>
    <row r="154" ht="15" customHeight="1">
      <c r="A154" s="68">
        <f>IF(C154="","",IFERROR(IF(SUMPRODUCT(MAX((tbl_Finance[Job Number]=C154&amp;"")*(tbl_Finance[Xero Invoice No]&lt;&gt;"")*tbl_Finance[Date]))=0,"",SUMPRODUCT(MAX((tbl_Finance[Job Number]=C154&amp;"")*(tbl_Finance[Xero Invoice No]&lt;&gt;"")*tbl_Finance[Date]))),""))</f>
        <v/>
      </c>
      <c r="B154" s="25">
        <f>IF(C154="","",IF(COUNTIFS(tbl_Finance[Job Number],C154&amp;"",tbl_Finance[Xero Invoice No],"&lt;&gt;")=0,"",IFERROR(IF(COUNTIFS(tbl_Finance[Job Number],C154&amp;"",tbl_Finance[Xero Invoice No],LOOKUP(2,1/((tbl_Finance[Job Number]=C154&amp;"")*(tbl_Finance[Xero Invoice No]&lt;&gt;"")),tbl_Finance[Xero Invoice No]))=COUNTIFS(tbl_Finance[Job Number],C154&amp;"",tbl_Finance[Xero Invoice No],"&lt;&gt;"),LOOKUP(2,1/((tbl_Finance[Job Number]=C154&amp;"")*(tbl_Finance[Xero Invoice No]&lt;&gt;"")),tbl_Finance[Xero Invoice No]),LOOKUP(2,1/((tbl_Finance[Job Number]=C154&amp;"")*(tbl_Finance[Xero Invoice No]&lt;&gt;"")),tbl_Finance[Xero Invoice No])&amp;" +more"),"")))</f>
        <v/>
      </c>
      <c r="C154" s="24" t="n"/>
      <c r="D154" s="25">
        <f>IF(C154="","",IF(COUNTIF(lst_Jobs,C154&amp;"")&gt;0,"OK","CHECK"))</f>
        <v/>
      </c>
      <c r="E154" s="25">
        <f>IF(C154="","",IFERROR(INDEX(lst_JobName,MATCH(C154&amp;"",lst_Jobs,0)),""))</f>
        <v/>
      </c>
      <c r="F154" s="25">
        <f>IF(C154="","",IFERROR(INDEX(tbl_Finance[Client],MATCH(C154&amp;"",tbl_Finance[Job Number],0)),""))</f>
        <v/>
      </c>
      <c r="G154" s="28">
        <f>IF(C154="","",COUNTIFS(tbl_Finance[Job Number],C154&amp;"",tbl_Finance[Ex GST],"&lt;&gt;"))</f>
        <v/>
      </c>
      <c r="H154" s="27">
        <f>IF(C154="","",SUMIFS(tbl_Finance[Ex GST],tbl_Finance[Job Number],C154&amp;""))</f>
        <v/>
      </c>
      <c r="I154" s="27">
        <f>IF(C154="","",SUMIFS(tbl_Finance[Ex GST],tbl_Finance[Job Number],C154&amp;"",tbl_Finance[Xero Invoice No],"&lt;&gt;"))</f>
        <v/>
      </c>
      <c r="J154" s="27">
        <f>IF(C154="","",H154-I154)</f>
        <v/>
      </c>
      <c r="K154" s="25">
        <f>IF(C154="","",IF(G154=0,"not invoiced yet",SUBSTITUTE(TRIM(IF(COUNTIFS(tbl_Finance[Job Number],C154&amp;"",tbl_Finance[Cost Centre],"ONSITE")&gt;0,"ONSITE ","")&amp;IF(COUNTIFS(tbl_Finance[Job Number],C154&amp;"",tbl_Finance[Cost Centre],"PRODUCTION")&gt;0,"PRODUCTION ","")&amp;IF(COUNTIFS(tbl_Finance[Job Number],C154&amp;"",tbl_Finance[Cost Centre],"VIDEO")&gt;0,"VIDEO ","")&amp;IF(COUNTIFS(tbl_Finance[Job Number],C154&amp;"",tbl_Finance[Cost Centre],"INTEGRATION")&gt;0,"INTEGRATION ","")&amp;IF(COUNTIFS(tbl_Finance[Job Number],C154&amp;"",tbl_Finance[Cost Centre],"CONSULTING")&gt;0,"CONSULTING ","")&amp;IF(COUNTIFS(tbl_Finance[Job Number],C154&amp;"",tbl_Finance[Cost Centre],"CTS")&gt;0,"CTS ",""))," ",", ")))</f>
        <v/>
      </c>
      <c r="L154" s="24" t="n"/>
      <c r="M154" s="24" t="n"/>
      <c r="N154" s="25">
        <f>IF(M154="","",HYPERLINK(IF(LEFT(M154,4)="http",M154,set_QwilrBase&amp;M154),"Open quote"))</f>
        <v/>
      </c>
      <c r="O154" s="69" t="n"/>
      <c r="P154" s="24" t="n"/>
      <c r="Q154" s="24" t="n"/>
    </row>
    <row r="155" ht="15" customHeight="1">
      <c r="A155" s="68">
        <f>IF(C155="","",IFERROR(IF(SUMPRODUCT(MAX((tbl_Finance[Job Number]=C155&amp;"")*(tbl_Finance[Xero Invoice No]&lt;&gt;"")*tbl_Finance[Date]))=0,"",SUMPRODUCT(MAX((tbl_Finance[Job Number]=C155&amp;"")*(tbl_Finance[Xero Invoice No]&lt;&gt;"")*tbl_Finance[Date]))),""))</f>
        <v/>
      </c>
      <c r="B155" s="25">
        <f>IF(C155="","",IF(COUNTIFS(tbl_Finance[Job Number],C155&amp;"",tbl_Finance[Xero Invoice No],"&lt;&gt;")=0,"",IFERROR(IF(COUNTIFS(tbl_Finance[Job Number],C155&amp;"",tbl_Finance[Xero Invoice No],LOOKUP(2,1/((tbl_Finance[Job Number]=C155&amp;"")*(tbl_Finance[Xero Invoice No]&lt;&gt;"")),tbl_Finance[Xero Invoice No]))=COUNTIFS(tbl_Finance[Job Number],C155&amp;"",tbl_Finance[Xero Invoice No],"&lt;&gt;"),LOOKUP(2,1/((tbl_Finance[Job Number]=C155&amp;"")*(tbl_Finance[Xero Invoice No]&lt;&gt;"")),tbl_Finance[Xero Invoice No]),LOOKUP(2,1/((tbl_Finance[Job Number]=C155&amp;"")*(tbl_Finance[Xero Invoice No]&lt;&gt;"")),tbl_Finance[Xero Invoice No])&amp;" +more"),"")))</f>
        <v/>
      </c>
      <c r="C155" s="24" t="n"/>
      <c r="D155" s="25">
        <f>IF(C155="","",IF(COUNTIF(lst_Jobs,C155&amp;"")&gt;0,"OK","CHECK"))</f>
        <v/>
      </c>
      <c r="E155" s="25">
        <f>IF(C155="","",IFERROR(INDEX(lst_JobName,MATCH(C155&amp;"",lst_Jobs,0)),""))</f>
        <v/>
      </c>
      <c r="F155" s="25">
        <f>IF(C155="","",IFERROR(INDEX(tbl_Finance[Client],MATCH(C155&amp;"",tbl_Finance[Job Number],0)),""))</f>
        <v/>
      </c>
      <c r="G155" s="28">
        <f>IF(C155="","",COUNTIFS(tbl_Finance[Job Number],C155&amp;"",tbl_Finance[Ex GST],"&lt;&gt;"))</f>
        <v/>
      </c>
      <c r="H155" s="27">
        <f>IF(C155="","",SUMIFS(tbl_Finance[Ex GST],tbl_Finance[Job Number],C155&amp;""))</f>
        <v/>
      </c>
      <c r="I155" s="27">
        <f>IF(C155="","",SUMIFS(tbl_Finance[Ex GST],tbl_Finance[Job Number],C155&amp;"",tbl_Finance[Xero Invoice No],"&lt;&gt;"))</f>
        <v/>
      </c>
      <c r="J155" s="27">
        <f>IF(C155="","",H155-I155)</f>
        <v/>
      </c>
      <c r="K155" s="25">
        <f>IF(C155="","",IF(G155=0,"not invoiced yet",SUBSTITUTE(TRIM(IF(COUNTIFS(tbl_Finance[Job Number],C155&amp;"",tbl_Finance[Cost Centre],"ONSITE")&gt;0,"ONSITE ","")&amp;IF(COUNTIFS(tbl_Finance[Job Number],C155&amp;"",tbl_Finance[Cost Centre],"PRODUCTION")&gt;0,"PRODUCTION ","")&amp;IF(COUNTIFS(tbl_Finance[Job Number],C155&amp;"",tbl_Finance[Cost Centre],"VIDEO")&gt;0,"VIDEO ","")&amp;IF(COUNTIFS(tbl_Finance[Job Number],C155&amp;"",tbl_Finance[Cost Centre],"INTEGRATION")&gt;0,"INTEGRATION ","")&amp;IF(COUNTIFS(tbl_Finance[Job Number],C155&amp;"",tbl_Finance[Cost Centre],"CONSULTING")&gt;0,"CONSULTING ","")&amp;IF(COUNTIFS(tbl_Finance[Job Number],C155&amp;"",tbl_Finance[Cost Centre],"CTS")&gt;0,"CTS ",""))," ",", ")))</f>
        <v/>
      </c>
      <c r="L155" s="24" t="n"/>
      <c r="M155" s="24" t="n"/>
      <c r="N155" s="25">
        <f>IF(M155="","",HYPERLINK(IF(LEFT(M155,4)="http",M155,set_QwilrBase&amp;M155),"Open quote"))</f>
        <v/>
      </c>
      <c r="O155" s="69" t="n"/>
      <c r="P155" s="24" t="n"/>
      <c r="Q155" s="24" t="n"/>
    </row>
    <row r="156" ht="15" customHeight="1">
      <c r="A156" s="68">
        <f>IF(C156="","",IFERROR(IF(SUMPRODUCT(MAX((tbl_Finance[Job Number]=C156&amp;"")*(tbl_Finance[Xero Invoice No]&lt;&gt;"")*tbl_Finance[Date]))=0,"",SUMPRODUCT(MAX((tbl_Finance[Job Number]=C156&amp;"")*(tbl_Finance[Xero Invoice No]&lt;&gt;"")*tbl_Finance[Date]))),""))</f>
        <v/>
      </c>
      <c r="B156" s="25">
        <f>IF(C156="","",IF(COUNTIFS(tbl_Finance[Job Number],C156&amp;"",tbl_Finance[Xero Invoice No],"&lt;&gt;")=0,"",IFERROR(IF(COUNTIFS(tbl_Finance[Job Number],C156&amp;"",tbl_Finance[Xero Invoice No],LOOKUP(2,1/((tbl_Finance[Job Number]=C156&amp;"")*(tbl_Finance[Xero Invoice No]&lt;&gt;"")),tbl_Finance[Xero Invoice No]))=COUNTIFS(tbl_Finance[Job Number],C156&amp;"",tbl_Finance[Xero Invoice No],"&lt;&gt;"),LOOKUP(2,1/((tbl_Finance[Job Number]=C156&amp;"")*(tbl_Finance[Xero Invoice No]&lt;&gt;"")),tbl_Finance[Xero Invoice No]),LOOKUP(2,1/((tbl_Finance[Job Number]=C156&amp;"")*(tbl_Finance[Xero Invoice No]&lt;&gt;"")),tbl_Finance[Xero Invoice No])&amp;" +more"),"")))</f>
        <v/>
      </c>
      <c r="C156" s="24" t="n"/>
      <c r="D156" s="25">
        <f>IF(C156="","",IF(COUNTIF(lst_Jobs,C156&amp;"")&gt;0,"OK","CHECK"))</f>
        <v/>
      </c>
      <c r="E156" s="25">
        <f>IF(C156="","",IFERROR(INDEX(lst_JobName,MATCH(C156&amp;"",lst_Jobs,0)),""))</f>
        <v/>
      </c>
      <c r="F156" s="25">
        <f>IF(C156="","",IFERROR(INDEX(tbl_Finance[Client],MATCH(C156&amp;"",tbl_Finance[Job Number],0)),""))</f>
        <v/>
      </c>
      <c r="G156" s="28">
        <f>IF(C156="","",COUNTIFS(tbl_Finance[Job Number],C156&amp;"",tbl_Finance[Ex GST],"&lt;&gt;"))</f>
        <v/>
      </c>
      <c r="H156" s="27">
        <f>IF(C156="","",SUMIFS(tbl_Finance[Ex GST],tbl_Finance[Job Number],C156&amp;""))</f>
        <v/>
      </c>
      <c r="I156" s="27">
        <f>IF(C156="","",SUMIFS(tbl_Finance[Ex GST],tbl_Finance[Job Number],C156&amp;"",tbl_Finance[Xero Invoice No],"&lt;&gt;"))</f>
        <v/>
      </c>
      <c r="J156" s="27">
        <f>IF(C156="","",H156-I156)</f>
        <v/>
      </c>
      <c r="K156" s="25">
        <f>IF(C156="","",IF(G156=0,"not invoiced yet",SUBSTITUTE(TRIM(IF(COUNTIFS(tbl_Finance[Job Number],C156&amp;"",tbl_Finance[Cost Centre],"ONSITE")&gt;0,"ONSITE ","")&amp;IF(COUNTIFS(tbl_Finance[Job Number],C156&amp;"",tbl_Finance[Cost Centre],"PRODUCTION")&gt;0,"PRODUCTION ","")&amp;IF(COUNTIFS(tbl_Finance[Job Number],C156&amp;"",tbl_Finance[Cost Centre],"VIDEO")&gt;0,"VIDEO ","")&amp;IF(COUNTIFS(tbl_Finance[Job Number],C156&amp;"",tbl_Finance[Cost Centre],"INTEGRATION")&gt;0,"INTEGRATION ","")&amp;IF(COUNTIFS(tbl_Finance[Job Number],C156&amp;"",tbl_Finance[Cost Centre],"CONSULTING")&gt;0,"CONSULTING ","")&amp;IF(COUNTIFS(tbl_Finance[Job Number],C156&amp;"",tbl_Finance[Cost Centre],"CTS")&gt;0,"CTS ",""))," ",", ")))</f>
        <v/>
      </c>
      <c r="L156" s="24" t="n"/>
      <c r="M156" s="24" t="n"/>
      <c r="N156" s="25">
        <f>IF(M156="","",HYPERLINK(IF(LEFT(M156,4)="http",M156,set_QwilrBase&amp;M156),"Open quote"))</f>
        <v/>
      </c>
      <c r="O156" s="69" t="n"/>
      <c r="P156" s="24" t="n"/>
      <c r="Q156" s="24" t="n"/>
    </row>
    <row r="157" ht="15" customHeight="1">
      <c r="A157" s="68">
        <f>IF(C157="","",IFERROR(IF(SUMPRODUCT(MAX((tbl_Finance[Job Number]=C157&amp;"")*(tbl_Finance[Xero Invoice No]&lt;&gt;"")*tbl_Finance[Date]))=0,"",SUMPRODUCT(MAX((tbl_Finance[Job Number]=C157&amp;"")*(tbl_Finance[Xero Invoice No]&lt;&gt;"")*tbl_Finance[Date]))),""))</f>
        <v/>
      </c>
      <c r="B157" s="25">
        <f>IF(C157="","",IF(COUNTIFS(tbl_Finance[Job Number],C157&amp;"",tbl_Finance[Xero Invoice No],"&lt;&gt;")=0,"",IFERROR(IF(COUNTIFS(tbl_Finance[Job Number],C157&amp;"",tbl_Finance[Xero Invoice No],LOOKUP(2,1/((tbl_Finance[Job Number]=C157&amp;"")*(tbl_Finance[Xero Invoice No]&lt;&gt;"")),tbl_Finance[Xero Invoice No]))=COUNTIFS(tbl_Finance[Job Number],C157&amp;"",tbl_Finance[Xero Invoice No],"&lt;&gt;"),LOOKUP(2,1/((tbl_Finance[Job Number]=C157&amp;"")*(tbl_Finance[Xero Invoice No]&lt;&gt;"")),tbl_Finance[Xero Invoice No]),LOOKUP(2,1/((tbl_Finance[Job Number]=C157&amp;"")*(tbl_Finance[Xero Invoice No]&lt;&gt;"")),tbl_Finance[Xero Invoice No])&amp;" +more"),"")))</f>
        <v/>
      </c>
      <c r="C157" s="24" t="n"/>
      <c r="D157" s="25">
        <f>IF(C157="","",IF(COUNTIF(lst_Jobs,C157&amp;"")&gt;0,"OK","CHECK"))</f>
        <v/>
      </c>
      <c r="E157" s="25">
        <f>IF(C157="","",IFERROR(INDEX(lst_JobName,MATCH(C157&amp;"",lst_Jobs,0)),""))</f>
        <v/>
      </c>
      <c r="F157" s="25">
        <f>IF(C157="","",IFERROR(INDEX(tbl_Finance[Client],MATCH(C157&amp;"",tbl_Finance[Job Number],0)),""))</f>
        <v/>
      </c>
      <c r="G157" s="28">
        <f>IF(C157="","",COUNTIFS(tbl_Finance[Job Number],C157&amp;"",tbl_Finance[Ex GST],"&lt;&gt;"))</f>
        <v/>
      </c>
      <c r="H157" s="27">
        <f>IF(C157="","",SUMIFS(tbl_Finance[Ex GST],tbl_Finance[Job Number],C157&amp;""))</f>
        <v/>
      </c>
      <c r="I157" s="27">
        <f>IF(C157="","",SUMIFS(tbl_Finance[Ex GST],tbl_Finance[Job Number],C157&amp;"",tbl_Finance[Xero Invoice No],"&lt;&gt;"))</f>
        <v/>
      </c>
      <c r="J157" s="27">
        <f>IF(C157="","",H157-I157)</f>
        <v/>
      </c>
      <c r="K157" s="25">
        <f>IF(C157="","",IF(G157=0,"not invoiced yet",SUBSTITUTE(TRIM(IF(COUNTIFS(tbl_Finance[Job Number],C157&amp;"",tbl_Finance[Cost Centre],"ONSITE")&gt;0,"ONSITE ","")&amp;IF(COUNTIFS(tbl_Finance[Job Number],C157&amp;"",tbl_Finance[Cost Centre],"PRODUCTION")&gt;0,"PRODUCTION ","")&amp;IF(COUNTIFS(tbl_Finance[Job Number],C157&amp;"",tbl_Finance[Cost Centre],"VIDEO")&gt;0,"VIDEO ","")&amp;IF(COUNTIFS(tbl_Finance[Job Number],C157&amp;"",tbl_Finance[Cost Centre],"INTEGRATION")&gt;0,"INTEGRATION ","")&amp;IF(COUNTIFS(tbl_Finance[Job Number],C157&amp;"",tbl_Finance[Cost Centre],"CONSULTING")&gt;0,"CONSULTING ","")&amp;IF(COUNTIFS(tbl_Finance[Job Number],C157&amp;"",tbl_Finance[Cost Centre],"CTS")&gt;0,"CTS ",""))," ",", ")))</f>
        <v/>
      </c>
      <c r="L157" s="24" t="n"/>
      <c r="M157" s="24" t="n"/>
      <c r="N157" s="25">
        <f>IF(M157="","",HYPERLINK(IF(LEFT(M157,4)="http",M157,set_QwilrBase&amp;M157),"Open quote"))</f>
        <v/>
      </c>
      <c r="O157" s="69" t="n"/>
      <c r="P157" s="24" t="n"/>
      <c r="Q157" s="24" t="n"/>
    </row>
    <row r="158" ht="15" customHeight="1">
      <c r="A158" s="68">
        <f>IF(C158="","",IFERROR(IF(SUMPRODUCT(MAX((tbl_Finance[Job Number]=C158&amp;"")*(tbl_Finance[Xero Invoice No]&lt;&gt;"")*tbl_Finance[Date]))=0,"",SUMPRODUCT(MAX((tbl_Finance[Job Number]=C158&amp;"")*(tbl_Finance[Xero Invoice No]&lt;&gt;"")*tbl_Finance[Date]))),""))</f>
        <v/>
      </c>
      <c r="B158" s="25">
        <f>IF(C158="","",IF(COUNTIFS(tbl_Finance[Job Number],C158&amp;"",tbl_Finance[Xero Invoice No],"&lt;&gt;")=0,"",IFERROR(IF(COUNTIFS(tbl_Finance[Job Number],C158&amp;"",tbl_Finance[Xero Invoice No],LOOKUP(2,1/((tbl_Finance[Job Number]=C158&amp;"")*(tbl_Finance[Xero Invoice No]&lt;&gt;"")),tbl_Finance[Xero Invoice No]))=COUNTIFS(tbl_Finance[Job Number],C158&amp;"",tbl_Finance[Xero Invoice No],"&lt;&gt;"),LOOKUP(2,1/((tbl_Finance[Job Number]=C158&amp;"")*(tbl_Finance[Xero Invoice No]&lt;&gt;"")),tbl_Finance[Xero Invoice No]),LOOKUP(2,1/((tbl_Finance[Job Number]=C158&amp;"")*(tbl_Finance[Xero Invoice No]&lt;&gt;"")),tbl_Finance[Xero Invoice No])&amp;" +more"),"")))</f>
        <v/>
      </c>
      <c r="C158" s="24" t="n"/>
      <c r="D158" s="25">
        <f>IF(C158="","",IF(COUNTIF(lst_Jobs,C158&amp;"")&gt;0,"OK","CHECK"))</f>
        <v/>
      </c>
      <c r="E158" s="25">
        <f>IF(C158="","",IFERROR(INDEX(lst_JobName,MATCH(C158&amp;"",lst_Jobs,0)),""))</f>
        <v/>
      </c>
      <c r="F158" s="25">
        <f>IF(C158="","",IFERROR(INDEX(tbl_Finance[Client],MATCH(C158&amp;"",tbl_Finance[Job Number],0)),""))</f>
        <v/>
      </c>
      <c r="G158" s="28">
        <f>IF(C158="","",COUNTIFS(tbl_Finance[Job Number],C158&amp;"",tbl_Finance[Ex GST],"&lt;&gt;"))</f>
        <v/>
      </c>
      <c r="H158" s="27">
        <f>IF(C158="","",SUMIFS(tbl_Finance[Ex GST],tbl_Finance[Job Number],C158&amp;""))</f>
        <v/>
      </c>
      <c r="I158" s="27">
        <f>IF(C158="","",SUMIFS(tbl_Finance[Ex GST],tbl_Finance[Job Number],C158&amp;"",tbl_Finance[Xero Invoice No],"&lt;&gt;"))</f>
        <v/>
      </c>
      <c r="J158" s="27">
        <f>IF(C158="","",H158-I158)</f>
        <v/>
      </c>
      <c r="K158" s="25">
        <f>IF(C158="","",IF(G158=0,"not invoiced yet",SUBSTITUTE(TRIM(IF(COUNTIFS(tbl_Finance[Job Number],C158&amp;"",tbl_Finance[Cost Centre],"ONSITE")&gt;0,"ONSITE ","")&amp;IF(COUNTIFS(tbl_Finance[Job Number],C158&amp;"",tbl_Finance[Cost Centre],"PRODUCTION")&gt;0,"PRODUCTION ","")&amp;IF(COUNTIFS(tbl_Finance[Job Number],C158&amp;"",tbl_Finance[Cost Centre],"VIDEO")&gt;0,"VIDEO ","")&amp;IF(COUNTIFS(tbl_Finance[Job Number],C158&amp;"",tbl_Finance[Cost Centre],"INTEGRATION")&gt;0,"INTEGRATION ","")&amp;IF(COUNTIFS(tbl_Finance[Job Number],C158&amp;"",tbl_Finance[Cost Centre],"CONSULTING")&gt;0,"CONSULTING ","")&amp;IF(COUNTIFS(tbl_Finance[Job Number],C158&amp;"",tbl_Finance[Cost Centre],"CTS")&gt;0,"CTS ",""))," ",", ")))</f>
        <v/>
      </c>
      <c r="L158" s="24" t="n"/>
      <c r="M158" s="24" t="n"/>
      <c r="N158" s="25">
        <f>IF(M158="","",HYPERLINK(IF(LEFT(M158,4)="http",M158,set_QwilrBase&amp;M158),"Open quote"))</f>
        <v/>
      </c>
      <c r="O158" s="69" t="n"/>
      <c r="P158" s="24" t="n"/>
      <c r="Q158" s="24" t="n"/>
    </row>
    <row r="159" ht="15" customHeight="1">
      <c r="A159" s="68">
        <f>IF(C159="","",IFERROR(IF(SUMPRODUCT(MAX((tbl_Finance[Job Number]=C159&amp;"")*(tbl_Finance[Xero Invoice No]&lt;&gt;"")*tbl_Finance[Date]))=0,"",SUMPRODUCT(MAX((tbl_Finance[Job Number]=C159&amp;"")*(tbl_Finance[Xero Invoice No]&lt;&gt;"")*tbl_Finance[Date]))),""))</f>
        <v/>
      </c>
      <c r="B159" s="25">
        <f>IF(C159="","",IF(COUNTIFS(tbl_Finance[Job Number],C159&amp;"",tbl_Finance[Xero Invoice No],"&lt;&gt;")=0,"",IFERROR(IF(COUNTIFS(tbl_Finance[Job Number],C159&amp;"",tbl_Finance[Xero Invoice No],LOOKUP(2,1/((tbl_Finance[Job Number]=C159&amp;"")*(tbl_Finance[Xero Invoice No]&lt;&gt;"")),tbl_Finance[Xero Invoice No]))=COUNTIFS(tbl_Finance[Job Number],C159&amp;"",tbl_Finance[Xero Invoice No],"&lt;&gt;"),LOOKUP(2,1/((tbl_Finance[Job Number]=C159&amp;"")*(tbl_Finance[Xero Invoice No]&lt;&gt;"")),tbl_Finance[Xero Invoice No]),LOOKUP(2,1/((tbl_Finance[Job Number]=C159&amp;"")*(tbl_Finance[Xero Invoice No]&lt;&gt;"")),tbl_Finance[Xero Invoice No])&amp;" +more"),"")))</f>
        <v/>
      </c>
      <c r="C159" s="24" t="n"/>
      <c r="D159" s="25">
        <f>IF(C159="","",IF(COUNTIF(lst_Jobs,C159&amp;"")&gt;0,"OK","CHECK"))</f>
        <v/>
      </c>
      <c r="E159" s="25">
        <f>IF(C159="","",IFERROR(INDEX(lst_JobName,MATCH(C159&amp;"",lst_Jobs,0)),""))</f>
        <v/>
      </c>
      <c r="F159" s="25">
        <f>IF(C159="","",IFERROR(INDEX(tbl_Finance[Client],MATCH(C159&amp;"",tbl_Finance[Job Number],0)),""))</f>
        <v/>
      </c>
      <c r="G159" s="28">
        <f>IF(C159="","",COUNTIFS(tbl_Finance[Job Number],C159&amp;"",tbl_Finance[Ex GST],"&lt;&gt;"))</f>
        <v/>
      </c>
      <c r="H159" s="27">
        <f>IF(C159="","",SUMIFS(tbl_Finance[Ex GST],tbl_Finance[Job Number],C159&amp;""))</f>
        <v/>
      </c>
      <c r="I159" s="27">
        <f>IF(C159="","",SUMIFS(tbl_Finance[Ex GST],tbl_Finance[Job Number],C159&amp;"",tbl_Finance[Xero Invoice No],"&lt;&gt;"))</f>
        <v/>
      </c>
      <c r="J159" s="27">
        <f>IF(C159="","",H159-I159)</f>
        <v/>
      </c>
      <c r="K159" s="25">
        <f>IF(C159="","",IF(G159=0,"not invoiced yet",SUBSTITUTE(TRIM(IF(COUNTIFS(tbl_Finance[Job Number],C159&amp;"",tbl_Finance[Cost Centre],"ONSITE")&gt;0,"ONSITE ","")&amp;IF(COUNTIFS(tbl_Finance[Job Number],C159&amp;"",tbl_Finance[Cost Centre],"PRODUCTION")&gt;0,"PRODUCTION ","")&amp;IF(COUNTIFS(tbl_Finance[Job Number],C159&amp;"",tbl_Finance[Cost Centre],"VIDEO")&gt;0,"VIDEO ","")&amp;IF(COUNTIFS(tbl_Finance[Job Number],C159&amp;"",tbl_Finance[Cost Centre],"INTEGRATION")&gt;0,"INTEGRATION ","")&amp;IF(COUNTIFS(tbl_Finance[Job Number],C159&amp;"",tbl_Finance[Cost Centre],"CONSULTING")&gt;0,"CONSULTING ","")&amp;IF(COUNTIFS(tbl_Finance[Job Number],C159&amp;"",tbl_Finance[Cost Centre],"CTS")&gt;0,"CTS ",""))," ",", ")))</f>
        <v/>
      </c>
      <c r="L159" s="24" t="n"/>
      <c r="M159" s="24" t="n"/>
      <c r="N159" s="25">
        <f>IF(M159="","",HYPERLINK(IF(LEFT(M159,4)="http",M159,set_QwilrBase&amp;M159),"Open quote"))</f>
        <v/>
      </c>
      <c r="O159" s="69" t="n"/>
      <c r="P159" s="24" t="n"/>
      <c r="Q159" s="24" t="n"/>
    </row>
    <row r="160" ht="15" customHeight="1">
      <c r="A160" s="68">
        <f>IF(C160="","",IFERROR(IF(SUMPRODUCT(MAX((tbl_Finance[Job Number]=C160&amp;"")*(tbl_Finance[Xero Invoice No]&lt;&gt;"")*tbl_Finance[Date]))=0,"",SUMPRODUCT(MAX((tbl_Finance[Job Number]=C160&amp;"")*(tbl_Finance[Xero Invoice No]&lt;&gt;"")*tbl_Finance[Date]))),""))</f>
        <v/>
      </c>
      <c r="B160" s="25">
        <f>IF(C160="","",IF(COUNTIFS(tbl_Finance[Job Number],C160&amp;"",tbl_Finance[Xero Invoice No],"&lt;&gt;")=0,"",IFERROR(IF(COUNTIFS(tbl_Finance[Job Number],C160&amp;"",tbl_Finance[Xero Invoice No],LOOKUP(2,1/((tbl_Finance[Job Number]=C160&amp;"")*(tbl_Finance[Xero Invoice No]&lt;&gt;"")),tbl_Finance[Xero Invoice No]))=COUNTIFS(tbl_Finance[Job Number],C160&amp;"",tbl_Finance[Xero Invoice No],"&lt;&gt;"),LOOKUP(2,1/((tbl_Finance[Job Number]=C160&amp;"")*(tbl_Finance[Xero Invoice No]&lt;&gt;"")),tbl_Finance[Xero Invoice No]),LOOKUP(2,1/((tbl_Finance[Job Number]=C160&amp;"")*(tbl_Finance[Xero Invoice No]&lt;&gt;"")),tbl_Finance[Xero Invoice No])&amp;" +more"),"")))</f>
        <v/>
      </c>
      <c r="C160" s="24" t="n"/>
      <c r="D160" s="25">
        <f>IF(C160="","",IF(COUNTIF(lst_Jobs,C160&amp;"")&gt;0,"OK","CHECK"))</f>
        <v/>
      </c>
      <c r="E160" s="25">
        <f>IF(C160="","",IFERROR(INDEX(lst_JobName,MATCH(C160&amp;"",lst_Jobs,0)),""))</f>
        <v/>
      </c>
      <c r="F160" s="25">
        <f>IF(C160="","",IFERROR(INDEX(tbl_Finance[Client],MATCH(C160&amp;"",tbl_Finance[Job Number],0)),""))</f>
        <v/>
      </c>
      <c r="G160" s="28">
        <f>IF(C160="","",COUNTIFS(tbl_Finance[Job Number],C160&amp;"",tbl_Finance[Ex GST],"&lt;&gt;"))</f>
        <v/>
      </c>
      <c r="H160" s="27">
        <f>IF(C160="","",SUMIFS(tbl_Finance[Ex GST],tbl_Finance[Job Number],C160&amp;""))</f>
        <v/>
      </c>
      <c r="I160" s="27">
        <f>IF(C160="","",SUMIFS(tbl_Finance[Ex GST],tbl_Finance[Job Number],C160&amp;"",tbl_Finance[Xero Invoice No],"&lt;&gt;"))</f>
        <v/>
      </c>
      <c r="J160" s="27">
        <f>IF(C160="","",H160-I160)</f>
        <v/>
      </c>
      <c r="K160" s="25">
        <f>IF(C160="","",IF(G160=0,"not invoiced yet",SUBSTITUTE(TRIM(IF(COUNTIFS(tbl_Finance[Job Number],C160&amp;"",tbl_Finance[Cost Centre],"ONSITE")&gt;0,"ONSITE ","")&amp;IF(COUNTIFS(tbl_Finance[Job Number],C160&amp;"",tbl_Finance[Cost Centre],"PRODUCTION")&gt;0,"PRODUCTION ","")&amp;IF(COUNTIFS(tbl_Finance[Job Number],C160&amp;"",tbl_Finance[Cost Centre],"VIDEO")&gt;0,"VIDEO ","")&amp;IF(COUNTIFS(tbl_Finance[Job Number],C160&amp;"",tbl_Finance[Cost Centre],"INTEGRATION")&gt;0,"INTEGRATION ","")&amp;IF(COUNTIFS(tbl_Finance[Job Number],C160&amp;"",tbl_Finance[Cost Centre],"CONSULTING")&gt;0,"CONSULTING ","")&amp;IF(COUNTIFS(tbl_Finance[Job Number],C160&amp;"",tbl_Finance[Cost Centre],"CTS")&gt;0,"CTS ",""))," ",", ")))</f>
        <v/>
      </c>
      <c r="L160" s="24" t="n"/>
      <c r="M160" s="24" t="n"/>
      <c r="N160" s="25">
        <f>IF(M160="","",HYPERLINK(IF(LEFT(M160,4)="http",M160,set_QwilrBase&amp;M160),"Open quote"))</f>
        <v/>
      </c>
      <c r="O160" s="69" t="n"/>
      <c r="P160" s="24" t="n"/>
      <c r="Q160" s="24" t="n"/>
    </row>
    <row r="161" ht="15" customHeight="1">
      <c r="A161" s="68">
        <f>IF(C161="","",IFERROR(IF(SUMPRODUCT(MAX((tbl_Finance[Job Number]=C161&amp;"")*(tbl_Finance[Xero Invoice No]&lt;&gt;"")*tbl_Finance[Date]))=0,"",SUMPRODUCT(MAX((tbl_Finance[Job Number]=C161&amp;"")*(tbl_Finance[Xero Invoice No]&lt;&gt;"")*tbl_Finance[Date]))),""))</f>
        <v/>
      </c>
      <c r="B161" s="25">
        <f>IF(C161="","",IF(COUNTIFS(tbl_Finance[Job Number],C161&amp;"",tbl_Finance[Xero Invoice No],"&lt;&gt;")=0,"",IFERROR(IF(COUNTIFS(tbl_Finance[Job Number],C161&amp;"",tbl_Finance[Xero Invoice No],LOOKUP(2,1/((tbl_Finance[Job Number]=C161&amp;"")*(tbl_Finance[Xero Invoice No]&lt;&gt;"")),tbl_Finance[Xero Invoice No]))=COUNTIFS(tbl_Finance[Job Number],C161&amp;"",tbl_Finance[Xero Invoice No],"&lt;&gt;"),LOOKUP(2,1/((tbl_Finance[Job Number]=C161&amp;"")*(tbl_Finance[Xero Invoice No]&lt;&gt;"")),tbl_Finance[Xero Invoice No]),LOOKUP(2,1/((tbl_Finance[Job Number]=C161&amp;"")*(tbl_Finance[Xero Invoice No]&lt;&gt;"")),tbl_Finance[Xero Invoice No])&amp;" +more"),"")))</f>
        <v/>
      </c>
      <c r="C161" s="24" t="n"/>
      <c r="D161" s="25">
        <f>IF(C161="","",IF(COUNTIF(lst_Jobs,C161&amp;"")&gt;0,"OK","CHECK"))</f>
        <v/>
      </c>
      <c r="E161" s="25">
        <f>IF(C161="","",IFERROR(INDEX(lst_JobName,MATCH(C161&amp;"",lst_Jobs,0)),""))</f>
        <v/>
      </c>
      <c r="F161" s="25">
        <f>IF(C161="","",IFERROR(INDEX(tbl_Finance[Client],MATCH(C161&amp;"",tbl_Finance[Job Number],0)),""))</f>
        <v/>
      </c>
      <c r="G161" s="28">
        <f>IF(C161="","",COUNTIFS(tbl_Finance[Job Number],C161&amp;"",tbl_Finance[Ex GST],"&lt;&gt;"))</f>
        <v/>
      </c>
      <c r="H161" s="27">
        <f>IF(C161="","",SUMIFS(tbl_Finance[Ex GST],tbl_Finance[Job Number],C161&amp;""))</f>
        <v/>
      </c>
      <c r="I161" s="27">
        <f>IF(C161="","",SUMIFS(tbl_Finance[Ex GST],tbl_Finance[Job Number],C161&amp;"",tbl_Finance[Xero Invoice No],"&lt;&gt;"))</f>
        <v/>
      </c>
      <c r="J161" s="27">
        <f>IF(C161="","",H161-I161)</f>
        <v/>
      </c>
      <c r="K161" s="25">
        <f>IF(C161="","",IF(G161=0,"not invoiced yet",SUBSTITUTE(TRIM(IF(COUNTIFS(tbl_Finance[Job Number],C161&amp;"",tbl_Finance[Cost Centre],"ONSITE")&gt;0,"ONSITE ","")&amp;IF(COUNTIFS(tbl_Finance[Job Number],C161&amp;"",tbl_Finance[Cost Centre],"PRODUCTION")&gt;0,"PRODUCTION ","")&amp;IF(COUNTIFS(tbl_Finance[Job Number],C161&amp;"",tbl_Finance[Cost Centre],"VIDEO")&gt;0,"VIDEO ","")&amp;IF(COUNTIFS(tbl_Finance[Job Number],C161&amp;"",tbl_Finance[Cost Centre],"INTEGRATION")&gt;0,"INTEGRATION ","")&amp;IF(COUNTIFS(tbl_Finance[Job Number],C161&amp;"",tbl_Finance[Cost Centre],"CONSULTING")&gt;0,"CONSULTING ","")&amp;IF(COUNTIFS(tbl_Finance[Job Number],C161&amp;"",tbl_Finance[Cost Centre],"CTS")&gt;0,"CTS ",""))," ",", ")))</f>
        <v/>
      </c>
      <c r="L161" s="24" t="n"/>
      <c r="M161" s="24" t="n"/>
      <c r="N161" s="25">
        <f>IF(M161="","",HYPERLINK(IF(LEFT(M161,4)="http",M161,set_QwilrBase&amp;M161),"Open quote"))</f>
        <v/>
      </c>
      <c r="O161" s="69" t="n"/>
      <c r="P161" s="24" t="n"/>
      <c r="Q161" s="24" t="n"/>
    </row>
    <row r="162" ht="15" customHeight="1">
      <c r="A162" s="68">
        <f>IF(C162="","",IFERROR(IF(SUMPRODUCT(MAX((tbl_Finance[Job Number]=C162&amp;"")*(tbl_Finance[Xero Invoice No]&lt;&gt;"")*tbl_Finance[Date]))=0,"",SUMPRODUCT(MAX((tbl_Finance[Job Number]=C162&amp;"")*(tbl_Finance[Xero Invoice No]&lt;&gt;"")*tbl_Finance[Date]))),""))</f>
        <v/>
      </c>
      <c r="B162" s="25">
        <f>IF(C162="","",IF(COUNTIFS(tbl_Finance[Job Number],C162&amp;"",tbl_Finance[Xero Invoice No],"&lt;&gt;")=0,"",IFERROR(IF(COUNTIFS(tbl_Finance[Job Number],C162&amp;"",tbl_Finance[Xero Invoice No],LOOKUP(2,1/((tbl_Finance[Job Number]=C162&amp;"")*(tbl_Finance[Xero Invoice No]&lt;&gt;"")),tbl_Finance[Xero Invoice No]))=COUNTIFS(tbl_Finance[Job Number],C162&amp;"",tbl_Finance[Xero Invoice No],"&lt;&gt;"),LOOKUP(2,1/((tbl_Finance[Job Number]=C162&amp;"")*(tbl_Finance[Xero Invoice No]&lt;&gt;"")),tbl_Finance[Xero Invoice No]),LOOKUP(2,1/((tbl_Finance[Job Number]=C162&amp;"")*(tbl_Finance[Xero Invoice No]&lt;&gt;"")),tbl_Finance[Xero Invoice No])&amp;" +more"),"")))</f>
        <v/>
      </c>
      <c r="C162" s="24" t="n"/>
      <c r="D162" s="25">
        <f>IF(C162="","",IF(COUNTIF(lst_Jobs,C162&amp;"")&gt;0,"OK","CHECK"))</f>
        <v/>
      </c>
      <c r="E162" s="25">
        <f>IF(C162="","",IFERROR(INDEX(lst_JobName,MATCH(C162&amp;"",lst_Jobs,0)),""))</f>
        <v/>
      </c>
      <c r="F162" s="25">
        <f>IF(C162="","",IFERROR(INDEX(tbl_Finance[Client],MATCH(C162&amp;"",tbl_Finance[Job Number],0)),""))</f>
        <v/>
      </c>
      <c r="G162" s="28">
        <f>IF(C162="","",COUNTIFS(tbl_Finance[Job Number],C162&amp;"",tbl_Finance[Ex GST],"&lt;&gt;"))</f>
        <v/>
      </c>
      <c r="H162" s="27">
        <f>IF(C162="","",SUMIFS(tbl_Finance[Ex GST],tbl_Finance[Job Number],C162&amp;""))</f>
        <v/>
      </c>
      <c r="I162" s="27">
        <f>IF(C162="","",SUMIFS(tbl_Finance[Ex GST],tbl_Finance[Job Number],C162&amp;"",tbl_Finance[Xero Invoice No],"&lt;&gt;"))</f>
        <v/>
      </c>
      <c r="J162" s="27">
        <f>IF(C162="","",H162-I162)</f>
        <v/>
      </c>
      <c r="K162" s="25">
        <f>IF(C162="","",IF(G162=0,"not invoiced yet",SUBSTITUTE(TRIM(IF(COUNTIFS(tbl_Finance[Job Number],C162&amp;"",tbl_Finance[Cost Centre],"ONSITE")&gt;0,"ONSITE ","")&amp;IF(COUNTIFS(tbl_Finance[Job Number],C162&amp;"",tbl_Finance[Cost Centre],"PRODUCTION")&gt;0,"PRODUCTION ","")&amp;IF(COUNTIFS(tbl_Finance[Job Number],C162&amp;"",tbl_Finance[Cost Centre],"VIDEO")&gt;0,"VIDEO ","")&amp;IF(COUNTIFS(tbl_Finance[Job Number],C162&amp;"",tbl_Finance[Cost Centre],"INTEGRATION")&gt;0,"INTEGRATION ","")&amp;IF(COUNTIFS(tbl_Finance[Job Number],C162&amp;"",tbl_Finance[Cost Centre],"CONSULTING")&gt;0,"CONSULTING ","")&amp;IF(COUNTIFS(tbl_Finance[Job Number],C162&amp;"",tbl_Finance[Cost Centre],"CTS")&gt;0,"CTS ",""))," ",", ")))</f>
        <v/>
      </c>
      <c r="L162" s="24" t="n"/>
      <c r="M162" s="24" t="n"/>
      <c r="N162" s="25">
        <f>IF(M162="","",HYPERLINK(IF(LEFT(M162,4)="http",M162,set_QwilrBase&amp;M162),"Open quote"))</f>
        <v/>
      </c>
      <c r="O162" s="69" t="n"/>
      <c r="P162" s="24" t="n"/>
      <c r="Q162" s="24" t="n"/>
    </row>
    <row r="163" ht="15" customHeight="1">
      <c r="A163" s="68">
        <f>IF(C163="","",IFERROR(IF(SUMPRODUCT(MAX((tbl_Finance[Job Number]=C163&amp;"")*(tbl_Finance[Xero Invoice No]&lt;&gt;"")*tbl_Finance[Date]))=0,"",SUMPRODUCT(MAX((tbl_Finance[Job Number]=C163&amp;"")*(tbl_Finance[Xero Invoice No]&lt;&gt;"")*tbl_Finance[Date]))),""))</f>
        <v/>
      </c>
      <c r="B163" s="25">
        <f>IF(C163="","",IF(COUNTIFS(tbl_Finance[Job Number],C163&amp;"",tbl_Finance[Xero Invoice No],"&lt;&gt;")=0,"",IFERROR(IF(COUNTIFS(tbl_Finance[Job Number],C163&amp;"",tbl_Finance[Xero Invoice No],LOOKUP(2,1/((tbl_Finance[Job Number]=C163&amp;"")*(tbl_Finance[Xero Invoice No]&lt;&gt;"")),tbl_Finance[Xero Invoice No]))=COUNTIFS(tbl_Finance[Job Number],C163&amp;"",tbl_Finance[Xero Invoice No],"&lt;&gt;"),LOOKUP(2,1/((tbl_Finance[Job Number]=C163&amp;"")*(tbl_Finance[Xero Invoice No]&lt;&gt;"")),tbl_Finance[Xero Invoice No]),LOOKUP(2,1/((tbl_Finance[Job Number]=C163&amp;"")*(tbl_Finance[Xero Invoice No]&lt;&gt;"")),tbl_Finance[Xero Invoice No])&amp;" +more"),"")))</f>
        <v/>
      </c>
      <c r="C163" s="24" t="n"/>
      <c r="D163" s="25">
        <f>IF(C163="","",IF(COUNTIF(lst_Jobs,C163&amp;"")&gt;0,"OK","CHECK"))</f>
        <v/>
      </c>
      <c r="E163" s="25">
        <f>IF(C163="","",IFERROR(INDEX(lst_JobName,MATCH(C163&amp;"",lst_Jobs,0)),""))</f>
        <v/>
      </c>
      <c r="F163" s="25">
        <f>IF(C163="","",IFERROR(INDEX(tbl_Finance[Client],MATCH(C163&amp;"",tbl_Finance[Job Number],0)),""))</f>
        <v/>
      </c>
      <c r="G163" s="28">
        <f>IF(C163="","",COUNTIFS(tbl_Finance[Job Number],C163&amp;"",tbl_Finance[Ex GST],"&lt;&gt;"))</f>
        <v/>
      </c>
      <c r="H163" s="27">
        <f>IF(C163="","",SUMIFS(tbl_Finance[Ex GST],tbl_Finance[Job Number],C163&amp;""))</f>
        <v/>
      </c>
      <c r="I163" s="27">
        <f>IF(C163="","",SUMIFS(tbl_Finance[Ex GST],tbl_Finance[Job Number],C163&amp;"",tbl_Finance[Xero Invoice No],"&lt;&gt;"))</f>
        <v/>
      </c>
      <c r="J163" s="27">
        <f>IF(C163="","",H163-I163)</f>
        <v/>
      </c>
      <c r="K163" s="25">
        <f>IF(C163="","",IF(G163=0,"not invoiced yet",SUBSTITUTE(TRIM(IF(COUNTIFS(tbl_Finance[Job Number],C163&amp;"",tbl_Finance[Cost Centre],"ONSITE")&gt;0,"ONSITE ","")&amp;IF(COUNTIFS(tbl_Finance[Job Number],C163&amp;"",tbl_Finance[Cost Centre],"PRODUCTION")&gt;0,"PRODUCTION ","")&amp;IF(COUNTIFS(tbl_Finance[Job Number],C163&amp;"",tbl_Finance[Cost Centre],"VIDEO")&gt;0,"VIDEO ","")&amp;IF(COUNTIFS(tbl_Finance[Job Number],C163&amp;"",tbl_Finance[Cost Centre],"INTEGRATION")&gt;0,"INTEGRATION ","")&amp;IF(COUNTIFS(tbl_Finance[Job Number],C163&amp;"",tbl_Finance[Cost Centre],"CONSULTING")&gt;0,"CONSULTING ","")&amp;IF(COUNTIFS(tbl_Finance[Job Number],C163&amp;"",tbl_Finance[Cost Centre],"CTS")&gt;0,"CTS ",""))," ",", ")))</f>
        <v/>
      </c>
      <c r="L163" s="24" t="n"/>
      <c r="M163" s="24" t="n"/>
      <c r="N163" s="25">
        <f>IF(M163="","",HYPERLINK(IF(LEFT(M163,4)="http",M163,set_QwilrBase&amp;M163),"Open quote"))</f>
        <v/>
      </c>
      <c r="O163" s="69" t="n"/>
      <c r="P163" s="24" t="n"/>
      <c r="Q163" s="24" t="n"/>
    </row>
    <row r="164" ht="15" customHeight="1">
      <c r="A164" s="68">
        <f>IF(C164="","",IFERROR(IF(SUMPRODUCT(MAX((tbl_Finance[Job Number]=C164&amp;"")*(tbl_Finance[Xero Invoice No]&lt;&gt;"")*tbl_Finance[Date]))=0,"",SUMPRODUCT(MAX((tbl_Finance[Job Number]=C164&amp;"")*(tbl_Finance[Xero Invoice No]&lt;&gt;"")*tbl_Finance[Date]))),""))</f>
        <v/>
      </c>
      <c r="B164" s="25">
        <f>IF(C164="","",IF(COUNTIFS(tbl_Finance[Job Number],C164&amp;"",tbl_Finance[Xero Invoice No],"&lt;&gt;")=0,"",IFERROR(IF(COUNTIFS(tbl_Finance[Job Number],C164&amp;"",tbl_Finance[Xero Invoice No],LOOKUP(2,1/((tbl_Finance[Job Number]=C164&amp;"")*(tbl_Finance[Xero Invoice No]&lt;&gt;"")),tbl_Finance[Xero Invoice No]))=COUNTIFS(tbl_Finance[Job Number],C164&amp;"",tbl_Finance[Xero Invoice No],"&lt;&gt;"),LOOKUP(2,1/((tbl_Finance[Job Number]=C164&amp;"")*(tbl_Finance[Xero Invoice No]&lt;&gt;"")),tbl_Finance[Xero Invoice No]),LOOKUP(2,1/((tbl_Finance[Job Number]=C164&amp;"")*(tbl_Finance[Xero Invoice No]&lt;&gt;"")),tbl_Finance[Xero Invoice No])&amp;" +more"),"")))</f>
        <v/>
      </c>
      <c r="C164" s="24" t="n"/>
      <c r="D164" s="25">
        <f>IF(C164="","",IF(COUNTIF(lst_Jobs,C164&amp;"")&gt;0,"OK","CHECK"))</f>
        <v/>
      </c>
      <c r="E164" s="25">
        <f>IF(C164="","",IFERROR(INDEX(lst_JobName,MATCH(C164&amp;"",lst_Jobs,0)),""))</f>
        <v/>
      </c>
      <c r="F164" s="25">
        <f>IF(C164="","",IFERROR(INDEX(tbl_Finance[Client],MATCH(C164&amp;"",tbl_Finance[Job Number],0)),""))</f>
        <v/>
      </c>
      <c r="G164" s="28">
        <f>IF(C164="","",COUNTIFS(tbl_Finance[Job Number],C164&amp;"",tbl_Finance[Ex GST],"&lt;&gt;"))</f>
        <v/>
      </c>
      <c r="H164" s="27">
        <f>IF(C164="","",SUMIFS(tbl_Finance[Ex GST],tbl_Finance[Job Number],C164&amp;""))</f>
        <v/>
      </c>
      <c r="I164" s="27">
        <f>IF(C164="","",SUMIFS(tbl_Finance[Ex GST],tbl_Finance[Job Number],C164&amp;"",tbl_Finance[Xero Invoice No],"&lt;&gt;"))</f>
        <v/>
      </c>
      <c r="J164" s="27">
        <f>IF(C164="","",H164-I164)</f>
        <v/>
      </c>
      <c r="K164" s="25">
        <f>IF(C164="","",IF(G164=0,"not invoiced yet",SUBSTITUTE(TRIM(IF(COUNTIFS(tbl_Finance[Job Number],C164&amp;"",tbl_Finance[Cost Centre],"ONSITE")&gt;0,"ONSITE ","")&amp;IF(COUNTIFS(tbl_Finance[Job Number],C164&amp;"",tbl_Finance[Cost Centre],"PRODUCTION")&gt;0,"PRODUCTION ","")&amp;IF(COUNTIFS(tbl_Finance[Job Number],C164&amp;"",tbl_Finance[Cost Centre],"VIDEO")&gt;0,"VIDEO ","")&amp;IF(COUNTIFS(tbl_Finance[Job Number],C164&amp;"",tbl_Finance[Cost Centre],"INTEGRATION")&gt;0,"INTEGRATION ","")&amp;IF(COUNTIFS(tbl_Finance[Job Number],C164&amp;"",tbl_Finance[Cost Centre],"CONSULTING")&gt;0,"CONSULTING ","")&amp;IF(COUNTIFS(tbl_Finance[Job Number],C164&amp;"",tbl_Finance[Cost Centre],"CTS")&gt;0,"CTS ",""))," ",", ")))</f>
        <v/>
      </c>
      <c r="L164" s="24" t="n"/>
      <c r="M164" s="24" t="n"/>
      <c r="N164" s="25">
        <f>IF(M164="","",HYPERLINK(IF(LEFT(M164,4)="http",M164,set_QwilrBase&amp;M164),"Open quote"))</f>
        <v/>
      </c>
      <c r="O164" s="69" t="n"/>
      <c r="P164" s="24" t="n"/>
      <c r="Q164" s="24" t="n"/>
    </row>
    <row r="165" ht="15" customHeight="1">
      <c r="A165" s="68">
        <f>IF(C165="","",IFERROR(IF(SUMPRODUCT(MAX((tbl_Finance[Job Number]=C165&amp;"")*(tbl_Finance[Xero Invoice No]&lt;&gt;"")*tbl_Finance[Date]))=0,"",SUMPRODUCT(MAX((tbl_Finance[Job Number]=C165&amp;"")*(tbl_Finance[Xero Invoice No]&lt;&gt;"")*tbl_Finance[Date]))),""))</f>
        <v/>
      </c>
      <c r="B165" s="25">
        <f>IF(C165="","",IF(COUNTIFS(tbl_Finance[Job Number],C165&amp;"",tbl_Finance[Xero Invoice No],"&lt;&gt;")=0,"",IFERROR(IF(COUNTIFS(tbl_Finance[Job Number],C165&amp;"",tbl_Finance[Xero Invoice No],LOOKUP(2,1/((tbl_Finance[Job Number]=C165&amp;"")*(tbl_Finance[Xero Invoice No]&lt;&gt;"")),tbl_Finance[Xero Invoice No]))=COUNTIFS(tbl_Finance[Job Number],C165&amp;"",tbl_Finance[Xero Invoice No],"&lt;&gt;"),LOOKUP(2,1/((tbl_Finance[Job Number]=C165&amp;"")*(tbl_Finance[Xero Invoice No]&lt;&gt;"")),tbl_Finance[Xero Invoice No]),LOOKUP(2,1/((tbl_Finance[Job Number]=C165&amp;"")*(tbl_Finance[Xero Invoice No]&lt;&gt;"")),tbl_Finance[Xero Invoice No])&amp;" +more"),"")))</f>
        <v/>
      </c>
      <c r="C165" s="24" t="n"/>
      <c r="D165" s="25">
        <f>IF(C165="","",IF(COUNTIF(lst_Jobs,C165&amp;"")&gt;0,"OK","CHECK"))</f>
        <v/>
      </c>
      <c r="E165" s="25">
        <f>IF(C165="","",IFERROR(INDEX(lst_JobName,MATCH(C165&amp;"",lst_Jobs,0)),""))</f>
        <v/>
      </c>
      <c r="F165" s="25">
        <f>IF(C165="","",IFERROR(INDEX(tbl_Finance[Client],MATCH(C165&amp;"",tbl_Finance[Job Number],0)),""))</f>
        <v/>
      </c>
      <c r="G165" s="28">
        <f>IF(C165="","",COUNTIFS(tbl_Finance[Job Number],C165&amp;"",tbl_Finance[Ex GST],"&lt;&gt;"))</f>
        <v/>
      </c>
      <c r="H165" s="27">
        <f>IF(C165="","",SUMIFS(tbl_Finance[Ex GST],tbl_Finance[Job Number],C165&amp;""))</f>
        <v/>
      </c>
      <c r="I165" s="27">
        <f>IF(C165="","",SUMIFS(tbl_Finance[Ex GST],tbl_Finance[Job Number],C165&amp;"",tbl_Finance[Xero Invoice No],"&lt;&gt;"))</f>
        <v/>
      </c>
      <c r="J165" s="27">
        <f>IF(C165="","",H165-I165)</f>
        <v/>
      </c>
      <c r="K165" s="25">
        <f>IF(C165="","",IF(G165=0,"not invoiced yet",SUBSTITUTE(TRIM(IF(COUNTIFS(tbl_Finance[Job Number],C165&amp;"",tbl_Finance[Cost Centre],"ONSITE")&gt;0,"ONSITE ","")&amp;IF(COUNTIFS(tbl_Finance[Job Number],C165&amp;"",tbl_Finance[Cost Centre],"PRODUCTION")&gt;0,"PRODUCTION ","")&amp;IF(COUNTIFS(tbl_Finance[Job Number],C165&amp;"",tbl_Finance[Cost Centre],"VIDEO")&gt;0,"VIDEO ","")&amp;IF(COUNTIFS(tbl_Finance[Job Number],C165&amp;"",tbl_Finance[Cost Centre],"INTEGRATION")&gt;0,"INTEGRATION ","")&amp;IF(COUNTIFS(tbl_Finance[Job Number],C165&amp;"",tbl_Finance[Cost Centre],"CONSULTING")&gt;0,"CONSULTING ","")&amp;IF(COUNTIFS(tbl_Finance[Job Number],C165&amp;"",tbl_Finance[Cost Centre],"CTS")&gt;0,"CTS ",""))," ",", ")))</f>
        <v/>
      </c>
      <c r="L165" s="24" t="n"/>
      <c r="M165" s="24" t="n"/>
      <c r="N165" s="25">
        <f>IF(M165="","",HYPERLINK(IF(LEFT(M165,4)="http",M165,set_QwilrBase&amp;M165),"Open quote"))</f>
        <v/>
      </c>
      <c r="O165" s="69" t="n"/>
      <c r="P165" s="24" t="n"/>
      <c r="Q165" s="24" t="n"/>
    </row>
    <row r="166" ht="15" customHeight="1">
      <c r="A166" s="68">
        <f>IF(C166="","",IFERROR(IF(SUMPRODUCT(MAX((tbl_Finance[Job Number]=C166&amp;"")*(tbl_Finance[Xero Invoice No]&lt;&gt;"")*tbl_Finance[Date]))=0,"",SUMPRODUCT(MAX((tbl_Finance[Job Number]=C166&amp;"")*(tbl_Finance[Xero Invoice No]&lt;&gt;"")*tbl_Finance[Date]))),""))</f>
        <v/>
      </c>
      <c r="B166" s="25">
        <f>IF(C166="","",IF(COUNTIFS(tbl_Finance[Job Number],C166&amp;"",tbl_Finance[Xero Invoice No],"&lt;&gt;")=0,"",IFERROR(IF(COUNTIFS(tbl_Finance[Job Number],C166&amp;"",tbl_Finance[Xero Invoice No],LOOKUP(2,1/((tbl_Finance[Job Number]=C166&amp;"")*(tbl_Finance[Xero Invoice No]&lt;&gt;"")),tbl_Finance[Xero Invoice No]))=COUNTIFS(tbl_Finance[Job Number],C166&amp;"",tbl_Finance[Xero Invoice No],"&lt;&gt;"),LOOKUP(2,1/((tbl_Finance[Job Number]=C166&amp;"")*(tbl_Finance[Xero Invoice No]&lt;&gt;"")),tbl_Finance[Xero Invoice No]),LOOKUP(2,1/((tbl_Finance[Job Number]=C166&amp;"")*(tbl_Finance[Xero Invoice No]&lt;&gt;"")),tbl_Finance[Xero Invoice No])&amp;" +more"),"")))</f>
        <v/>
      </c>
      <c r="C166" s="24" t="n"/>
      <c r="D166" s="25">
        <f>IF(C166="","",IF(COUNTIF(lst_Jobs,C166&amp;"")&gt;0,"OK","CHECK"))</f>
        <v/>
      </c>
      <c r="E166" s="25">
        <f>IF(C166="","",IFERROR(INDEX(lst_JobName,MATCH(C166&amp;"",lst_Jobs,0)),""))</f>
        <v/>
      </c>
      <c r="F166" s="25">
        <f>IF(C166="","",IFERROR(INDEX(tbl_Finance[Client],MATCH(C166&amp;"",tbl_Finance[Job Number],0)),""))</f>
        <v/>
      </c>
      <c r="G166" s="28">
        <f>IF(C166="","",COUNTIFS(tbl_Finance[Job Number],C166&amp;"",tbl_Finance[Ex GST],"&lt;&gt;"))</f>
        <v/>
      </c>
      <c r="H166" s="27">
        <f>IF(C166="","",SUMIFS(tbl_Finance[Ex GST],tbl_Finance[Job Number],C166&amp;""))</f>
        <v/>
      </c>
      <c r="I166" s="27">
        <f>IF(C166="","",SUMIFS(tbl_Finance[Ex GST],tbl_Finance[Job Number],C166&amp;"",tbl_Finance[Xero Invoice No],"&lt;&gt;"))</f>
        <v/>
      </c>
      <c r="J166" s="27">
        <f>IF(C166="","",H166-I166)</f>
        <v/>
      </c>
      <c r="K166" s="25">
        <f>IF(C166="","",IF(G166=0,"not invoiced yet",SUBSTITUTE(TRIM(IF(COUNTIFS(tbl_Finance[Job Number],C166&amp;"",tbl_Finance[Cost Centre],"ONSITE")&gt;0,"ONSITE ","")&amp;IF(COUNTIFS(tbl_Finance[Job Number],C166&amp;"",tbl_Finance[Cost Centre],"PRODUCTION")&gt;0,"PRODUCTION ","")&amp;IF(COUNTIFS(tbl_Finance[Job Number],C166&amp;"",tbl_Finance[Cost Centre],"VIDEO")&gt;0,"VIDEO ","")&amp;IF(COUNTIFS(tbl_Finance[Job Number],C166&amp;"",tbl_Finance[Cost Centre],"INTEGRATION")&gt;0,"INTEGRATION ","")&amp;IF(COUNTIFS(tbl_Finance[Job Number],C166&amp;"",tbl_Finance[Cost Centre],"CONSULTING")&gt;0,"CONSULTING ","")&amp;IF(COUNTIFS(tbl_Finance[Job Number],C166&amp;"",tbl_Finance[Cost Centre],"CTS")&gt;0,"CTS ",""))," ",", ")))</f>
        <v/>
      </c>
      <c r="L166" s="24" t="n"/>
      <c r="M166" s="24" t="n"/>
      <c r="N166" s="25">
        <f>IF(M166="","",HYPERLINK(IF(LEFT(M166,4)="http",M166,set_QwilrBase&amp;M166),"Open quote"))</f>
        <v/>
      </c>
      <c r="O166" s="69" t="n"/>
      <c r="P166" s="24" t="n"/>
      <c r="Q166" s="24" t="n"/>
    </row>
    <row r="167" ht="15" customHeight="1">
      <c r="A167" s="68">
        <f>IF(C167="","",IFERROR(IF(SUMPRODUCT(MAX((tbl_Finance[Job Number]=C167&amp;"")*(tbl_Finance[Xero Invoice No]&lt;&gt;"")*tbl_Finance[Date]))=0,"",SUMPRODUCT(MAX((tbl_Finance[Job Number]=C167&amp;"")*(tbl_Finance[Xero Invoice No]&lt;&gt;"")*tbl_Finance[Date]))),""))</f>
        <v/>
      </c>
      <c r="B167" s="25">
        <f>IF(C167="","",IF(COUNTIFS(tbl_Finance[Job Number],C167&amp;"",tbl_Finance[Xero Invoice No],"&lt;&gt;")=0,"",IFERROR(IF(COUNTIFS(tbl_Finance[Job Number],C167&amp;"",tbl_Finance[Xero Invoice No],LOOKUP(2,1/((tbl_Finance[Job Number]=C167&amp;"")*(tbl_Finance[Xero Invoice No]&lt;&gt;"")),tbl_Finance[Xero Invoice No]))=COUNTIFS(tbl_Finance[Job Number],C167&amp;"",tbl_Finance[Xero Invoice No],"&lt;&gt;"),LOOKUP(2,1/((tbl_Finance[Job Number]=C167&amp;"")*(tbl_Finance[Xero Invoice No]&lt;&gt;"")),tbl_Finance[Xero Invoice No]),LOOKUP(2,1/((tbl_Finance[Job Number]=C167&amp;"")*(tbl_Finance[Xero Invoice No]&lt;&gt;"")),tbl_Finance[Xero Invoice No])&amp;" +more"),"")))</f>
        <v/>
      </c>
      <c r="C167" s="24" t="n"/>
      <c r="D167" s="25">
        <f>IF(C167="","",IF(COUNTIF(lst_Jobs,C167&amp;"")&gt;0,"OK","CHECK"))</f>
        <v/>
      </c>
      <c r="E167" s="25">
        <f>IF(C167="","",IFERROR(INDEX(lst_JobName,MATCH(C167&amp;"",lst_Jobs,0)),""))</f>
        <v/>
      </c>
      <c r="F167" s="25">
        <f>IF(C167="","",IFERROR(INDEX(tbl_Finance[Client],MATCH(C167&amp;"",tbl_Finance[Job Number],0)),""))</f>
        <v/>
      </c>
      <c r="G167" s="28">
        <f>IF(C167="","",COUNTIFS(tbl_Finance[Job Number],C167&amp;"",tbl_Finance[Ex GST],"&lt;&gt;"))</f>
        <v/>
      </c>
      <c r="H167" s="27">
        <f>IF(C167="","",SUMIFS(tbl_Finance[Ex GST],tbl_Finance[Job Number],C167&amp;""))</f>
        <v/>
      </c>
      <c r="I167" s="27">
        <f>IF(C167="","",SUMIFS(tbl_Finance[Ex GST],tbl_Finance[Job Number],C167&amp;"",tbl_Finance[Xero Invoice No],"&lt;&gt;"))</f>
        <v/>
      </c>
      <c r="J167" s="27">
        <f>IF(C167="","",H167-I167)</f>
        <v/>
      </c>
      <c r="K167" s="25">
        <f>IF(C167="","",IF(G167=0,"not invoiced yet",SUBSTITUTE(TRIM(IF(COUNTIFS(tbl_Finance[Job Number],C167&amp;"",tbl_Finance[Cost Centre],"ONSITE")&gt;0,"ONSITE ","")&amp;IF(COUNTIFS(tbl_Finance[Job Number],C167&amp;"",tbl_Finance[Cost Centre],"PRODUCTION")&gt;0,"PRODUCTION ","")&amp;IF(COUNTIFS(tbl_Finance[Job Number],C167&amp;"",tbl_Finance[Cost Centre],"VIDEO")&gt;0,"VIDEO ","")&amp;IF(COUNTIFS(tbl_Finance[Job Number],C167&amp;"",tbl_Finance[Cost Centre],"INTEGRATION")&gt;0,"INTEGRATION ","")&amp;IF(COUNTIFS(tbl_Finance[Job Number],C167&amp;"",tbl_Finance[Cost Centre],"CONSULTING")&gt;0,"CONSULTING ","")&amp;IF(COUNTIFS(tbl_Finance[Job Number],C167&amp;"",tbl_Finance[Cost Centre],"CTS")&gt;0,"CTS ",""))," ",", ")))</f>
        <v/>
      </c>
      <c r="L167" s="24" t="n"/>
      <c r="M167" s="24" t="n"/>
      <c r="N167" s="25">
        <f>IF(M167="","",HYPERLINK(IF(LEFT(M167,4)="http",M167,set_QwilrBase&amp;M167),"Open quote"))</f>
        <v/>
      </c>
      <c r="O167" s="69" t="n"/>
      <c r="P167" s="24" t="n"/>
      <c r="Q167" s="24" t="n"/>
    </row>
    <row r="168" ht="15" customHeight="1">
      <c r="A168" s="68">
        <f>IF(C168="","",IFERROR(IF(SUMPRODUCT(MAX((tbl_Finance[Job Number]=C168&amp;"")*(tbl_Finance[Xero Invoice No]&lt;&gt;"")*tbl_Finance[Date]))=0,"",SUMPRODUCT(MAX((tbl_Finance[Job Number]=C168&amp;"")*(tbl_Finance[Xero Invoice No]&lt;&gt;"")*tbl_Finance[Date]))),""))</f>
        <v/>
      </c>
      <c r="B168" s="25">
        <f>IF(C168="","",IF(COUNTIFS(tbl_Finance[Job Number],C168&amp;"",tbl_Finance[Xero Invoice No],"&lt;&gt;")=0,"",IFERROR(IF(COUNTIFS(tbl_Finance[Job Number],C168&amp;"",tbl_Finance[Xero Invoice No],LOOKUP(2,1/((tbl_Finance[Job Number]=C168&amp;"")*(tbl_Finance[Xero Invoice No]&lt;&gt;"")),tbl_Finance[Xero Invoice No]))=COUNTIFS(tbl_Finance[Job Number],C168&amp;"",tbl_Finance[Xero Invoice No],"&lt;&gt;"),LOOKUP(2,1/((tbl_Finance[Job Number]=C168&amp;"")*(tbl_Finance[Xero Invoice No]&lt;&gt;"")),tbl_Finance[Xero Invoice No]),LOOKUP(2,1/((tbl_Finance[Job Number]=C168&amp;"")*(tbl_Finance[Xero Invoice No]&lt;&gt;"")),tbl_Finance[Xero Invoice No])&amp;" +more"),"")))</f>
        <v/>
      </c>
      <c r="C168" s="24" t="n"/>
      <c r="D168" s="25">
        <f>IF(C168="","",IF(COUNTIF(lst_Jobs,C168&amp;"")&gt;0,"OK","CHECK"))</f>
        <v/>
      </c>
      <c r="E168" s="25">
        <f>IF(C168="","",IFERROR(INDEX(lst_JobName,MATCH(C168&amp;"",lst_Jobs,0)),""))</f>
        <v/>
      </c>
      <c r="F168" s="25">
        <f>IF(C168="","",IFERROR(INDEX(tbl_Finance[Client],MATCH(C168&amp;"",tbl_Finance[Job Number],0)),""))</f>
        <v/>
      </c>
      <c r="G168" s="28">
        <f>IF(C168="","",COUNTIFS(tbl_Finance[Job Number],C168&amp;"",tbl_Finance[Ex GST],"&lt;&gt;"))</f>
        <v/>
      </c>
      <c r="H168" s="27">
        <f>IF(C168="","",SUMIFS(tbl_Finance[Ex GST],tbl_Finance[Job Number],C168&amp;""))</f>
        <v/>
      </c>
      <c r="I168" s="27">
        <f>IF(C168="","",SUMIFS(tbl_Finance[Ex GST],tbl_Finance[Job Number],C168&amp;"",tbl_Finance[Xero Invoice No],"&lt;&gt;"))</f>
        <v/>
      </c>
      <c r="J168" s="27">
        <f>IF(C168="","",H168-I168)</f>
        <v/>
      </c>
      <c r="K168" s="25">
        <f>IF(C168="","",IF(G168=0,"not invoiced yet",SUBSTITUTE(TRIM(IF(COUNTIFS(tbl_Finance[Job Number],C168&amp;"",tbl_Finance[Cost Centre],"ONSITE")&gt;0,"ONSITE ","")&amp;IF(COUNTIFS(tbl_Finance[Job Number],C168&amp;"",tbl_Finance[Cost Centre],"PRODUCTION")&gt;0,"PRODUCTION ","")&amp;IF(COUNTIFS(tbl_Finance[Job Number],C168&amp;"",tbl_Finance[Cost Centre],"VIDEO")&gt;0,"VIDEO ","")&amp;IF(COUNTIFS(tbl_Finance[Job Number],C168&amp;"",tbl_Finance[Cost Centre],"INTEGRATION")&gt;0,"INTEGRATION ","")&amp;IF(COUNTIFS(tbl_Finance[Job Number],C168&amp;"",tbl_Finance[Cost Centre],"CONSULTING")&gt;0,"CONSULTING ","")&amp;IF(COUNTIFS(tbl_Finance[Job Number],C168&amp;"",tbl_Finance[Cost Centre],"CTS")&gt;0,"CTS ",""))," ",", ")))</f>
        <v/>
      </c>
      <c r="L168" s="24" t="n"/>
      <c r="M168" s="24" t="n"/>
      <c r="N168" s="25">
        <f>IF(M168="","",HYPERLINK(IF(LEFT(M168,4)="http",M168,set_QwilrBase&amp;M168),"Open quote"))</f>
        <v/>
      </c>
      <c r="O168" s="69" t="n"/>
      <c r="P168" s="24" t="n"/>
      <c r="Q168" s="24" t="n"/>
    </row>
    <row r="169" ht="15" customHeight="1">
      <c r="A169" s="68">
        <f>IF(C169="","",IFERROR(IF(SUMPRODUCT(MAX((tbl_Finance[Job Number]=C169&amp;"")*(tbl_Finance[Xero Invoice No]&lt;&gt;"")*tbl_Finance[Date]))=0,"",SUMPRODUCT(MAX((tbl_Finance[Job Number]=C169&amp;"")*(tbl_Finance[Xero Invoice No]&lt;&gt;"")*tbl_Finance[Date]))),""))</f>
        <v/>
      </c>
      <c r="B169" s="25">
        <f>IF(C169="","",IF(COUNTIFS(tbl_Finance[Job Number],C169&amp;"",tbl_Finance[Xero Invoice No],"&lt;&gt;")=0,"",IFERROR(IF(COUNTIFS(tbl_Finance[Job Number],C169&amp;"",tbl_Finance[Xero Invoice No],LOOKUP(2,1/((tbl_Finance[Job Number]=C169&amp;"")*(tbl_Finance[Xero Invoice No]&lt;&gt;"")),tbl_Finance[Xero Invoice No]))=COUNTIFS(tbl_Finance[Job Number],C169&amp;"",tbl_Finance[Xero Invoice No],"&lt;&gt;"),LOOKUP(2,1/((tbl_Finance[Job Number]=C169&amp;"")*(tbl_Finance[Xero Invoice No]&lt;&gt;"")),tbl_Finance[Xero Invoice No]),LOOKUP(2,1/((tbl_Finance[Job Number]=C169&amp;"")*(tbl_Finance[Xero Invoice No]&lt;&gt;"")),tbl_Finance[Xero Invoice No])&amp;" +more"),"")))</f>
        <v/>
      </c>
      <c r="C169" s="24" t="n"/>
      <c r="D169" s="25">
        <f>IF(C169="","",IF(COUNTIF(lst_Jobs,C169&amp;"")&gt;0,"OK","CHECK"))</f>
        <v/>
      </c>
      <c r="E169" s="25">
        <f>IF(C169="","",IFERROR(INDEX(lst_JobName,MATCH(C169&amp;"",lst_Jobs,0)),""))</f>
        <v/>
      </c>
      <c r="F169" s="25">
        <f>IF(C169="","",IFERROR(INDEX(tbl_Finance[Client],MATCH(C169&amp;"",tbl_Finance[Job Number],0)),""))</f>
        <v/>
      </c>
      <c r="G169" s="28">
        <f>IF(C169="","",COUNTIFS(tbl_Finance[Job Number],C169&amp;"",tbl_Finance[Ex GST],"&lt;&gt;"))</f>
        <v/>
      </c>
      <c r="H169" s="27">
        <f>IF(C169="","",SUMIFS(tbl_Finance[Ex GST],tbl_Finance[Job Number],C169&amp;""))</f>
        <v/>
      </c>
      <c r="I169" s="27">
        <f>IF(C169="","",SUMIFS(tbl_Finance[Ex GST],tbl_Finance[Job Number],C169&amp;"",tbl_Finance[Xero Invoice No],"&lt;&gt;"))</f>
        <v/>
      </c>
      <c r="J169" s="27">
        <f>IF(C169="","",H169-I169)</f>
        <v/>
      </c>
      <c r="K169" s="25">
        <f>IF(C169="","",IF(G169=0,"not invoiced yet",SUBSTITUTE(TRIM(IF(COUNTIFS(tbl_Finance[Job Number],C169&amp;"",tbl_Finance[Cost Centre],"ONSITE")&gt;0,"ONSITE ","")&amp;IF(COUNTIFS(tbl_Finance[Job Number],C169&amp;"",tbl_Finance[Cost Centre],"PRODUCTION")&gt;0,"PRODUCTION ","")&amp;IF(COUNTIFS(tbl_Finance[Job Number],C169&amp;"",tbl_Finance[Cost Centre],"VIDEO")&gt;0,"VIDEO ","")&amp;IF(COUNTIFS(tbl_Finance[Job Number],C169&amp;"",tbl_Finance[Cost Centre],"INTEGRATION")&gt;0,"INTEGRATION ","")&amp;IF(COUNTIFS(tbl_Finance[Job Number],C169&amp;"",tbl_Finance[Cost Centre],"CONSULTING")&gt;0,"CONSULTING ","")&amp;IF(COUNTIFS(tbl_Finance[Job Number],C169&amp;"",tbl_Finance[Cost Centre],"CTS")&gt;0,"CTS ",""))," ",", ")))</f>
        <v/>
      </c>
      <c r="L169" s="24" t="n"/>
      <c r="M169" s="24" t="n"/>
      <c r="N169" s="25">
        <f>IF(M169="","",HYPERLINK(IF(LEFT(M169,4)="http",M169,set_QwilrBase&amp;M169),"Open quote"))</f>
        <v/>
      </c>
      <c r="O169" s="69" t="n"/>
      <c r="P169" s="24" t="n"/>
      <c r="Q169" s="24" t="n"/>
    </row>
    <row r="170" ht="15" customHeight="1">
      <c r="A170" s="68">
        <f>IF(C170="","",IFERROR(IF(SUMPRODUCT(MAX((tbl_Finance[Job Number]=C170&amp;"")*(tbl_Finance[Xero Invoice No]&lt;&gt;"")*tbl_Finance[Date]))=0,"",SUMPRODUCT(MAX((tbl_Finance[Job Number]=C170&amp;"")*(tbl_Finance[Xero Invoice No]&lt;&gt;"")*tbl_Finance[Date]))),""))</f>
        <v/>
      </c>
      <c r="B170" s="25">
        <f>IF(C170="","",IF(COUNTIFS(tbl_Finance[Job Number],C170&amp;"",tbl_Finance[Xero Invoice No],"&lt;&gt;")=0,"",IFERROR(IF(COUNTIFS(tbl_Finance[Job Number],C170&amp;"",tbl_Finance[Xero Invoice No],LOOKUP(2,1/((tbl_Finance[Job Number]=C170&amp;"")*(tbl_Finance[Xero Invoice No]&lt;&gt;"")),tbl_Finance[Xero Invoice No]))=COUNTIFS(tbl_Finance[Job Number],C170&amp;"",tbl_Finance[Xero Invoice No],"&lt;&gt;"),LOOKUP(2,1/((tbl_Finance[Job Number]=C170&amp;"")*(tbl_Finance[Xero Invoice No]&lt;&gt;"")),tbl_Finance[Xero Invoice No]),LOOKUP(2,1/((tbl_Finance[Job Number]=C170&amp;"")*(tbl_Finance[Xero Invoice No]&lt;&gt;"")),tbl_Finance[Xero Invoice No])&amp;" +more"),"")))</f>
        <v/>
      </c>
      <c r="C170" s="24" t="n"/>
      <c r="D170" s="25">
        <f>IF(C170="","",IF(COUNTIF(lst_Jobs,C170&amp;"")&gt;0,"OK","CHECK"))</f>
        <v/>
      </c>
      <c r="E170" s="25">
        <f>IF(C170="","",IFERROR(INDEX(lst_JobName,MATCH(C170&amp;"",lst_Jobs,0)),""))</f>
        <v/>
      </c>
      <c r="F170" s="25">
        <f>IF(C170="","",IFERROR(INDEX(tbl_Finance[Client],MATCH(C170&amp;"",tbl_Finance[Job Number],0)),""))</f>
        <v/>
      </c>
      <c r="G170" s="28">
        <f>IF(C170="","",COUNTIFS(tbl_Finance[Job Number],C170&amp;"",tbl_Finance[Ex GST],"&lt;&gt;"))</f>
        <v/>
      </c>
      <c r="H170" s="27">
        <f>IF(C170="","",SUMIFS(tbl_Finance[Ex GST],tbl_Finance[Job Number],C170&amp;""))</f>
        <v/>
      </c>
      <c r="I170" s="27">
        <f>IF(C170="","",SUMIFS(tbl_Finance[Ex GST],tbl_Finance[Job Number],C170&amp;"",tbl_Finance[Xero Invoice No],"&lt;&gt;"))</f>
        <v/>
      </c>
      <c r="J170" s="27">
        <f>IF(C170="","",H170-I170)</f>
        <v/>
      </c>
      <c r="K170" s="25">
        <f>IF(C170="","",IF(G170=0,"not invoiced yet",SUBSTITUTE(TRIM(IF(COUNTIFS(tbl_Finance[Job Number],C170&amp;"",tbl_Finance[Cost Centre],"ONSITE")&gt;0,"ONSITE ","")&amp;IF(COUNTIFS(tbl_Finance[Job Number],C170&amp;"",tbl_Finance[Cost Centre],"PRODUCTION")&gt;0,"PRODUCTION ","")&amp;IF(COUNTIFS(tbl_Finance[Job Number],C170&amp;"",tbl_Finance[Cost Centre],"VIDEO")&gt;0,"VIDEO ","")&amp;IF(COUNTIFS(tbl_Finance[Job Number],C170&amp;"",tbl_Finance[Cost Centre],"INTEGRATION")&gt;0,"INTEGRATION ","")&amp;IF(COUNTIFS(tbl_Finance[Job Number],C170&amp;"",tbl_Finance[Cost Centre],"CONSULTING")&gt;0,"CONSULTING ","")&amp;IF(COUNTIFS(tbl_Finance[Job Number],C170&amp;"",tbl_Finance[Cost Centre],"CTS")&gt;0,"CTS ",""))," ",", ")))</f>
        <v/>
      </c>
      <c r="L170" s="24" t="n"/>
      <c r="M170" s="24" t="n"/>
      <c r="N170" s="25">
        <f>IF(M170="","",HYPERLINK(IF(LEFT(M170,4)="http",M170,set_QwilrBase&amp;M170),"Open quote"))</f>
        <v/>
      </c>
      <c r="O170" s="69" t="n"/>
      <c r="P170" s="24" t="n"/>
      <c r="Q170" s="24" t="n"/>
    </row>
    <row r="171" ht="15" customHeight="1">
      <c r="A171" s="68">
        <f>IF(C171="","",IFERROR(IF(SUMPRODUCT(MAX((tbl_Finance[Job Number]=C171&amp;"")*(tbl_Finance[Xero Invoice No]&lt;&gt;"")*tbl_Finance[Date]))=0,"",SUMPRODUCT(MAX((tbl_Finance[Job Number]=C171&amp;"")*(tbl_Finance[Xero Invoice No]&lt;&gt;"")*tbl_Finance[Date]))),""))</f>
        <v/>
      </c>
      <c r="B171" s="25">
        <f>IF(C171="","",IF(COUNTIFS(tbl_Finance[Job Number],C171&amp;"",tbl_Finance[Xero Invoice No],"&lt;&gt;")=0,"",IFERROR(IF(COUNTIFS(tbl_Finance[Job Number],C171&amp;"",tbl_Finance[Xero Invoice No],LOOKUP(2,1/((tbl_Finance[Job Number]=C171&amp;"")*(tbl_Finance[Xero Invoice No]&lt;&gt;"")),tbl_Finance[Xero Invoice No]))=COUNTIFS(tbl_Finance[Job Number],C171&amp;"",tbl_Finance[Xero Invoice No],"&lt;&gt;"),LOOKUP(2,1/((tbl_Finance[Job Number]=C171&amp;"")*(tbl_Finance[Xero Invoice No]&lt;&gt;"")),tbl_Finance[Xero Invoice No]),LOOKUP(2,1/((tbl_Finance[Job Number]=C171&amp;"")*(tbl_Finance[Xero Invoice No]&lt;&gt;"")),tbl_Finance[Xero Invoice No])&amp;" +more"),"")))</f>
        <v/>
      </c>
      <c r="C171" s="24" t="n"/>
      <c r="D171" s="25">
        <f>IF(C171="","",IF(COUNTIF(lst_Jobs,C171&amp;"")&gt;0,"OK","CHECK"))</f>
        <v/>
      </c>
      <c r="E171" s="25">
        <f>IF(C171="","",IFERROR(INDEX(lst_JobName,MATCH(C171&amp;"",lst_Jobs,0)),""))</f>
        <v/>
      </c>
      <c r="F171" s="25">
        <f>IF(C171="","",IFERROR(INDEX(tbl_Finance[Client],MATCH(C171&amp;"",tbl_Finance[Job Number],0)),""))</f>
        <v/>
      </c>
      <c r="G171" s="28">
        <f>IF(C171="","",COUNTIFS(tbl_Finance[Job Number],C171&amp;"",tbl_Finance[Ex GST],"&lt;&gt;"))</f>
        <v/>
      </c>
      <c r="H171" s="27">
        <f>IF(C171="","",SUMIFS(tbl_Finance[Ex GST],tbl_Finance[Job Number],C171&amp;""))</f>
        <v/>
      </c>
      <c r="I171" s="27">
        <f>IF(C171="","",SUMIFS(tbl_Finance[Ex GST],tbl_Finance[Job Number],C171&amp;"",tbl_Finance[Xero Invoice No],"&lt;&gt;"))</f>
        <v/>
      </c>
      <c r="J171" s="27">
        <f>IF(C171="","",H171-I171)</f>
        <v/>
      </c>
      <c r="K171" s="25">
        <f>IF(C171="","",IF(G171=0,"not invoiced yet",SUBSTITUTE(TRIM(IF(COUNTIFS(tbl_Finance[Job Number],C171&amp;"",tbl_Finance[Cost Centre],"ONSITE")&gt;0,"ONSITE ","")&amp;IF(COUNTIFS(tbl_Finance[Job Number],C171&amp;"",tbl_Finance[Cost Centre],"PRODUCTION")&gt;0,"PRODUCTION ","")&amp;IF(COUNTIFS(tbl_Finance[Job Number],C171&amp;"",tbl_Finance[Cost Centre],"VIDEO")&gt;0,"VIDEO ","")&amp;IF(COUNTIFS(tbl_Finance[Job Number],C171&amp;"",tbl_Finance[Cost Centre],"INTEGRATION")&gt;0,"INTEGRATION ","")&amp;IF(COUNTIFS(tbl_Finance[Job Number],C171&amp;"",tbl_Finance[Cost Centre],"CONSULTING")&gt;0,"CONSULTING ","")&amp;IF(COUNTIFS(tbl_Finance[Job Number],C171&amp;"",tbl_Finance[Cost Centre],"CTS")&gt;0,"CTS ",""))," ",", ")))</f>
        <v/>
      </c>
      <c r="L171" s="24" t="n"/>
      <c r="M171" s="24" t="n"/>
      <c r="N171" s="25">
        <f>IF(M171="","",HYPERLINK(IF(LEFT(M171,4)="http",M171,set_QwilrBase&amp;M171),"Open quote"))</f>
        <v/>
      </c>
      <c r="O171" s="69" t="n"/>
      <c r="P171" s="24" t="n"/>
      <c r="Q171" s="24" t="n"/>
    </row>
    <row r="172" ht="15" customHeight="1">
      <c r="A172" s="68">
        <f>IF(C172="","",IFERROR(IF(SUMPRODUCT(MAX((tbl_Finance[Job Number]=C172&amp;"")*(tbl_Finance[Xero Invoice No]&lt;&gt;"")*tbl_Finance[Date]))=0,"",SUMPRODUCT(MAX((tbl_Finance[Job Number]=C172&amp;"")*(tbl_Finance[Xero Invoice No]&lt;&gt;"")*tbl_Finance[Date]))),""))</f>
        <v/>
      </c>
      <c r="B172" s="25">
        <f>IF(C172="","",IF(COUNTIFS(tbl_Finance[Job Number],C172&amp;"",tbl_Finance[Xero Invoice No],"&lt;&gt;")=0,"",IFERROR(IF(COUNTIFS(tbl_Finance[Job Number],C172&amp;"",tbl_Finance[Xero Invoice No],LOOKUP(2,1/((tbl_Finance[Job Number]=C172&amp;"")*(tbl_Finance[Xero Invoice No]&lt;&gt;"")),tbl_Finance[Xero Invoice No]))=COUNTIFS(tbl_Finance[Job Number],C172&amp;"",tbl_Finance[Xero Invoice No],"&lt;&gt;"),LOOKUP(2,1/((tbl_Finance[Job Number]=C172&amp;"")*(tbl_Finance[Xero Invoice No]&lt;&gt;"")),tbl_Finance[Xero Invoice No]),LOOKUP(2,1/((tbl_Finance[Job Number]=C172&amp;"")*(tbl_Finance[Xero Invoice No]&lt;&gt;"")),tbl_Finance[Xero Invoice No])&amp;" +more"),"")))</f>
        <v/>
      </c>
      <c r="C172" s="24" t="n"/>
      <c r="D172" s="25">
        <f>IF(C172="","",IF(COUNTIF(lst_Jobs,C172&amp;"")&gt;0,"OK","CHECK"))</f>
        <v/>
      </c>
      <c r="E172" s="25">
        <f>IF(C172="","",IFERROR(INDEX(lst_JobName,MATCH(C172&amp;"",lst_Jobs,0)),""))</f>
        <v/>
      </c>
      <c r="F172" s="25">
        <f>IF(C172="","",IFERROR(INDEX(tbl_Finance[Client],MATCH(C172&amp;"",tbl_Finance[Job Number],0)),""))</f>
        <v/>
      </c>
      <c r="G172" s="28">
        <f>IF(C172="","",COUNTIFS(tbl_Finance[Job Number],C172&amp;"",tbl_Finance[Ex GST],"&lt;&gt;"))</f>
        <v/>
      </c>
      <c r="H172" s="27">
        <f>IF(C172="","",SUMIFS(tbl_Finance[Ex GST],tbl_Finance[Job Number],C172&amp;""))</f>
        <v/>
      </c>
      <c r="I172" s="27">
        <f>IF(C172="","",SUMIFS(tbl_Finance[Ex GST],tbl_Finance[Job Number],C172&amp;"",tbl_Finance[Xero Invoice No],"&lt;&gt;"))</f>
        <v/>
      </c>
      <c r="J172" s="27">
        <f>IF(C172="","",H172-I172)</f>
        <v/>
      </c>
      <c r="K172" s="25">
        <f>IF(C172="","",IF(G172=0,"not invoiced yet",SUBSTITUTE(TRIM(IF(COUNTIFS(tbl_Finance[Job Number],C172&amp;"",tbl_Finance[Cost Centre],"ONSITE")&gt;0,"ONSITE ","")&amp;IF(COUNTIFS(tbl_Finance[Job Number],C172&amp;"",tbl_Finance[Cost Centre],"PRODUCTION")&gt;0,"PRODUCTION ","")&amp;IF(COUNTIFS(tbl_Finance[Job Number],C172&amp;"",tbl_Finance[Cost Centre],"VIDEO")&gt;0,"VIDEO ","")&amp;IF(COUNTIFS(tbl_Finance[Job Number],C172&amp;"",tbl_Finance[Cost Centre],"INTEGRATION")&gt;0,"INTEGRATION ","")&amp;IF(COUNTIFS(tbl_Finance[Job Number],C172&amp;"",tbl_Finance[Cost Centre],"CONSULTING")&gt;0,"CONSULTING ","")&amp;IF(COUNTIFS(tbl_Finance[Job Number],C172&amp;"",tbl_Finance[Cost Centre],"CTS")&gt;0,"CTS ",""))," ",", ")))</f>
        <v/>
      </c>
      <c r="L172" s="24" t="n"/>
      <c r="M172" s="24" t="n"/>
      <c r="N172" s="25">
        <f>IF(M172="","",HYPERLINK(IF(LEFT(M172,4)="http",M172,set_QwilrBase&amp;M172),"Open quote"))</f>
        <v/>
      </c>
      <c r="O172" s="69" t="n"/>
      <c r="P172" s="24" t="n"/>
      <c r="Q172" s="24" t="n"/>
    </row>
    <row r="173" ht="15" customHeight="1">
      <c r="A173" s="68">
        <f>IF(C173="","",IFERROR(IF(SUMPRODUCT(MAX((tbl_Finance[Job Number]=C173&amp;"")*(tbl_Finance[Xero Invoice No]&lt;&gt;"")*tbl_Finance[Date]))=0,"",SUMPRODUCT(MAX((tbl_Finance[Job Number]=C173&amp;"")*(tbl_Finance[Xero Invoice No]&lt;&gt;"")*tbl_Finance[Date]))),""))</f>
        <v/>
      </c>
      <c r="B173" s="25">
        <f>IF(C173="","",IF(COUNTIFS(tbl_Finance[Job Number],C173&amp;"",tbl_Finance[Xero Invoice No],"&lt;&gt;")=0,"",IFERROR(IF(COUNTIFS(tbl_Finance[Job Number],C173&amp;"",tbl_Finance[Xero Invoice No],LOOKUP(2,1/((tbl_Finance[Job Number]=C173&amp;"")*(tbl_Finance[Xero Invoice No]&lt;&gt;"")),tbl_Finance[Xero Invoice No]))=COUNTIFS(tbl_Finance[Job Number],C173&amp;"",tbl_Finance[Xero Invoice No],"&lt;&gt;"),LOOKUP(2,1/((tbl_Finance[Job Number]=C173&amp;"")*(tbl_Finance[Xero Invoice No]&lt;&gt;"")),tbl_Finance[Xero Invoice No]),LOOKUP(2,1/((tbl_Finance[Job Number]=C173&amp;"")*(tbl_Finance[Xero Invoice No]&lt;&gt;"")),tbl_Finance[Xero Invoice No])&amp;" +more"),"")))</f>
        <v/>
      </c>
      <c r="C173" s="24" t="n"/>
      <c r="D173" s="25">
        <f>IF(C173="","",IF(COUNTIF(lst_Jobs,C173&amp;"")&gt;0,"OK","CHECK"))</f>
        <v/>
      </c>
      <c r="E173" s="25">
        <f>IF(C173="","",IFERROR(INDEX(lst_JobName,MATCH(C173&amp;"",lst_Jobs,0)),""))</f>
        <v/>
      </c>
      <c r="F173" s="25">
        <f>IF(C173="","",IFERROR(INDEX(tbl_Finance[Client],MATCH(C173&amp;"",tbl_Finance[Job Number],0)),""))</f>
        <v/>
      </c>
      <c r="G173" s="28">
        <f>IF(C173="","",COUNTIFS(tbl_Finance[Job Number],C173&amp;"",tbl_Finance[Ex GST],"&lt;&gt;"))</f>
        <v/>
      </c>
      <c r="H173" s="27">
        <f>IF(C173="","",SUMIFS(tbl_Finance[Ex GST],tbl_Finance[Job Number],C173&amp;""))</f>
        <v/>
      </c>
      <c r="I173" s="27">
        <f>IF(C173="","",SUMIFS(tbl_Finance[Ex GST],tbl_Finance[Job Number],C173&amp;"",tbl_Finance[Xero Invoice No],"&lt;&gt;"))</f>
        <v/>
      </c>
      <c r="J173" s="27">
        <f>IF(C173="","",H173-I173)</f>
        <v/>
      </c>
      <c r="K173" s="25">
        <f>IF(C173="","",IF(G173=0,"not invoiced yet",SUBSTITUTE(TRIM(IF(COUNTIFS(tbl_Finance[Job Number],C173&amp;"",tbl_Finance[Cost Centre],"ONSITE")&gt;0,"ONSITE ","")&amp;IF(COUNTIFS(tbl_Finance[Job Number],C173&amp;"",tbl_Finance[Cost Centre],"PRODUCTION")&gt;0,"PRODUCTION ","")&amp;IF(COUNTIFS(tbl_Finance[Job Number],C173&amp;"",tbl_Finance[Cost Centre],"VIDEO")&gt;0,"VIDEO ","")&amp;IF(COUNTIFS(tbl_Finance[Job Number],C173&amp;"",tbl_Finance[Cost Centre],"INTEGRATION")&gt;0,"INTEGRATION ","")&amp;IF(COUNTIFS(tbl_Finance[Job Number],C173&amp;"",tbl_Finance[Cost Centre],"CONSULTING")&gt;0,"CONSULTING ","")&amp;IF(COUNTIFS(tbl_Finance[Job Number],C173&amp;"",tbl_Finance[Cost Centre],"CTS")&gt;0,"CTS ",""))," ",", ")))</f>
        <v/>
      </c>
      <c r="L173" s="24" t="n"/>
      <c r="M173" s="24" t="n"/>
      <c r="N173" s="25">
        <f>IF(M173="","",HYPERLINK(IF(LEFT(M173,4)="http",M173,set_QwilrBase&amp;M173),"Open quote"))</f>
        <v/>
      </c>
      <c r="O173" s="69" t="n"/>
      <c r="P173" s="24" t="n"/>
      <c r="Q173" s="24" t="n"/>
    </row>
    <row r="174" ht="15" customHeight="1">
      <c r="A174" s="68">
        <f>IF(C174="","",IFERROR(IF(SUMPRODUCT(MAX((tbl_Finance[Job Number]=C174&amp;"")*(tbl_Finance[Xero Invoice No]&lt;&gt;"")*tbl_Finance[Date]))=0,"",SUMPRODUCT(MAX((tbl_Finance[Job Number]=C174&amp;"")*(tbl_Finance[Xero Invoice No]&lt;&gt;"")*tbl_Finance[Date]))),""))</f>
        <v/>
      </c>
      <c r="B174" s="25">
        <f>IF(C174="","",IF(COUNTIFS(tbl_Finance[Job Number],C174&amp;"",tbl_Finance[Xero Invoice No],"&lt;&gt;")=0,"",IFERROR(IF(COUNTIFS(tbl_Finance[Job Number],C174&amp;"",tbl_Finance[Xero Invoice No],LOOKUP(2,1/((tbl_Finance[Job Number]=C174&amp;"")*(tbl_Finance[Xero Invoice No]&lt;&gt;"")),tbl_Finance[Xero Invoice No]))=COUNTIFS(tbl_Finance[Job Number],C174&amp;"",tbl_Finance[Xero Invoice No],"&lt;&gt;"),LOOKUP(2,1/((tbl_Finance[Job Number]=C174&amp;"")*(tbl_Finance[Xero Invoice No]&lt;&gt;"")),tbl_Finance[Xero Invoice No]),LOOKUP(2,1/((tbl_Finance[Job Number]=C174&amp;"")*(tbl_Finance[Xero Invoice No]&lt;&gt;"")),tbl_Finance[Xero Invoice No])&amp;" +more"),"")))</f>
        <v/>
      </c>
      <c r="C174" s="24" t="n"/>
      <c r="D174" s="25">
        <f>IF(C174="","",IF(COUNTIF(lst_Jobs,C174&amp;"")&gt;0,"OK","CHECK"))</f>
        <v/>
      </c>
      <c r="E174" s="25">
        <f>IF(C174="","",IFERROR(INDEX(lst_JobName,MATCH(C174&amp;"",lst_Jobs,0)),""))</f>
        <v/>
      </c>
      <c r="F174" s="25">
        <f>IF(C174="","",IFERROR(INDEX(tbl_Finance[Client],MATCH(C174&amp;"",tbl_Finance[Job Number],0)),""))</f>
        <v/>
      </c>
      <c r="G174" s="28">
        <f>IF(C174="","",COUNTIFS(tbl_Finance[Job Number],C174&amp;"",tbl_Finance[Ex GST],"&lt;&gt;"))</f>
        <v/>
      </c>
      <c r="H174" s="27">
        <f>IF(C174="","",SUMIFS(tbl_Finance[Ex GST],tbl_Finance[Job Number],C174&amp;""))</f>
        <v/>
      </c>
      <c r="I174" s="27">
        <f>IF(C174="","",SUMIFS(tbl_Finance[Ex GST],tbl_Finance[Job Number],C174&amp;"",tbl_Finance[Xero Invoice No],"&lt;&gt;"))</f>
        <v/>
      </c>
      <c r="J174" s="27">
        <f>IF(C174="","",H174-I174)</f>
        <v/>
      </c>
      <c r="K174" s="25">
        <f>IF(C174="","",IF(G174=0,"not invoiced yet",SUBSTITUTE(TRIM(IF(COUNTIFS(tbl_Finance[Job Number],C174&amp;"",tbl_Finance[Cost Centre],"ONSITE")&gt;0,"ONSITE ","")&amp;IF(COUNTIFS(tbl_Finance[Job Number],C174&amp;"",tbl_Finance[Cost Centre],"PRODUCTION")&gt;0,"PRODUCTION ","")&amp;IF(COUNTIFS(tbl_Finance[Job Number],C174&amp;"",tbl_Finance[Cost Centre],"VIDEO")&gt;0,"VIDEO ","")&amp;IF(COUNTIFS(tbl_Finance[Job Number],C174&amp;"",tbl_Finance[Cost Centre],"INTEGRATION")&gt;0,"INTEGRATION ","")&amp;IF(COUNTIFS(tbl_Finance[Job Number],C174&amp;"",tbl_Finance[Cost Centre],"CONSULTING")&gt;0,"CONSULTING ","")&amp;IF(COUNTIFS(tbl_Finance[Job Number],C174&amp;"",tbl_Finance[Cost Centre],"CTS")&gt;0,"CTS ",""))," ",", ")))</f>
        <v/>
      </c>
      <c r="L174" s="24" t="n"/>
      <c r="M174" s="24" t="n"/>
      <c r="N174" s="25">
        <f>IF(M174="","",HYPERLINK(IF(LEFT(M174,4)="http",M174,set_QwilrBase&amp;M174),"Open quote"))</f>
        <v/>
      </c>
      <c r="O174" s="69" t="n"/>
      <c r="P174" s="24" t="n"/>
      <c r="Q174" s="24" t="n"/>
    </row>
    <row r="175" ht="15" customHeight="1">
      <c r="A175" s="68">
        <f>IF(C175="","",IFERROR(IF(SUMPRODUCT(MAX((tbl_Finance[Job Number]=C175&amp;"")*(tbl_Finance[Xero Invoice No]&lt;&gt;"")*tbl_Finance[Date]))=0,"",SUMPRODUCT(MAX((tbl_Finance[Job Number]=C175&amp;"")*(tbl_Finance[Xero Invoice No]&lt;&gt;"")*tbl_Finance[Date]))),""))</f>
        <v/>
      </c>
      <c r="B175" s="25">
        <f>IF(C175="","",IF(COUNTIFS(tbl_Finance[Job Number],C175&amp;"",tbl_Finance[Xero Invoice No],"&lt;&gt;")=0,"",IFERROR(IF(COUNTIFS(tbl_Finance[Job Number],C175&amp;"",tbl_Finance[Xero Invoice No],LOOKUP(2,1/((tbl_Finance[Job Number]=C175&amp;"")*(tbl_Finance[Xero Invoice No]&lt;&gt;"")),tbl_Finance[Xero Invoice No]))=COUNTIFS(tbl_Finance[Job Number],C175&amp;"",tbl_Finance[Xero Invoice No],"&lt;&gt;"),LOOKUP(2,1/((tbl_Finance[Job Number]=C175&amp;"")*(tbl_Finance[Xero Invoice No]&lt;&gt;"")),tbl_Finance[Xero Invoice No]),LOOKUP(2,1/((tbl_Finance[Job Number]=C175&amp;"")*(tbl_Finance[Xero Invoice No]&lt;&gt;"")),tbl_Finance[Xero Invoice No])&amp;" +more"),"")))</f>
        <v/>
      </c>
      <c r="C175" s="24" t="n"/>
      <c r="D175" s="25">
        <f>IF(C175="","",IF(COUNTIF(lst_Jobs,C175&amp;"")&gt;0,"OK","CHECK"))</f>
        <v/>
      </c>
      <c r="E175" s="25">
        <f>IF(C175="","",IFERROR(INDEX(lst_JobName,MATCH(C175&amp;"",lst_Jobs,0)),""))</f>
        <v/>
      </c>
      <c r="F175" s="25">
        <f>IF(C175="","",IFERROR(INDEX(tbl_Finance[Client],MATCH(C175&amp;"",tbl_Finance[Job Number],0)),""))</f>
        <v/>
      </c>
      <c r="G175" s="28">
        <f>IF(C175="","",COUNTIFS(tbl_Finance[Job Number],C175&amp;"",tbl_Finance[Ex GST],"&lt;&gt;"))</f>
        <v/>
      </c>
      <c r="H175" s="27">
        <f>IF(C175="","",SUMIFS(tbl_Finance[Ex GST],tbl_Finance[Job Number],C175&amp;""))</f>
        <v/>
      </c>
      <c r="I175" s="27">
        <f>IF(C175="","",SUMIFS(tbl_Finance[Ex GST],tbl_Finance[Job Number],C175&amp;"",tbl_Finance[Xero Invoice No],"&lt;&gt;"))</f>
        <v/>
      </c>
      <c r="J175" s="27">
        <f>IF(C175="","",H175-I175)</f>
        <v/>
      </c>
      <c r="K175" s="25">
        <f>IF(C175="","",IF(G175=0,"not invoiced yet",SUBSTITUTE(TRIM(IF(COUNTIFS(tbl_Finance[Job Number],C175&amp;"",tbl_Finance[Cost Centre],"ONSITE")&gt;0,"ONSITE ","")&amp;IF(COUNTIFS(tbl_Finance[Job Number],C175&amp;"",tbl_Finance[Cost Centre],"PRODUCTION")&gt;0,"PRODUCTION ","")&amp;IF(COUNTIFS(tbl_Finance[Job Number],C175&amp;"",tbl_Finance[Cost Centre],"VIDEO")&gt;0,"VIDEO ","")&amp;IF(COUNTIFS(tbl_Finance[Job Number],C175&amp;"",tbl_Finance[Cost Centre],"INTEGRATION")&gt;0,"INTEGRATION ","")&amp;IF(COUNTIFS(tbl_Finance[Job Number],C175&amp;"",tbl_Finance[Cost Centre],"CONSULTING")&gt;0,"CONSULTING ","")&amp;IF(COUNTIFS(tbl_Finance[Job Number],C175&amp;"",tbl_Finance[Cost Centre],"CTS")&gt;0,"CTS ",""))," ",", ")))</f>
        <v/>
      </c>
      <c r="L175" s="24" t="n"/>
      <c r="M175" s="24" t="n"/>
      <c r="N175" s="25">
        <f>IF(M175="","",HYPERLINK(IF(LEFT(M175,4)="http",M175,set_QwilrBase&amp;M175),"Open quote"))</f>
        <v/>
      </c>
      <c r="O175" s="69" t="n"/>
      <c r="P175" s="24" t="n"/>
      <c r="Q175" s="24" t="n"/>
    </row>
    <row r="176" ht="15" customHeight="1">
      <c r="A176" s="68">
        <f>IF(C176="","",IFERROR(IF(SUMPRODUCT(MAX((tbl_Finance[Job Number]=C176&amp;"")*(tbl_Finance[Xero Invoice No]&lt;&gt;"")*tbl_Finance[Date]))=0,"",SUMPRODUCT(MAX((tbl_Finance[Job Number]=C176&amp;"")*(tbl_Finance[Xero Invoice No]&lt;&gt;"")*tbl_Finance[Date]))),""))</f>
        <v/>
      </c>
      <c r="B176" s="25">
        <f>IF(C176="","",IF(COUNTIFS(tbl_Finance[Job Number],C176&amp;"",tbl_Finance[Xero Invoice No],"&lt;&gt;")=0,"",IFERROR(IF(COUNTIFS(tbl_Finance[Job Number],C176&amp;"",tbl_Finance[Xero Invoice No],LOOKUP(2,1/((tbl_Finance[Job Number]=C176&amp;"")*(tbl_Finance[Xero Invoice No]&lt;&gt;"")),tbl_Finance[Xero Invoice No]))=COUNTIFS(tbl_Finance[Job Number],C176&amp;"",tbl_Finance[Xero Invoice No],"&lt;&gt;"),LOOKUP(2,1/((tbl_Finance[Job Number]=C176&amp;"")*(tbl_Finance[Xero Invoice No]&lt;&gt;"")),tbl_Finance[Xero Invoice No]),LOOKUP(2,1/((tbl_Finance[Job Number]=C176&amp;"")*(tbl_Finance[Xero Invoice No]&lt;&gt;"")),tbl_Finance[Xero Invoice No])&amp;" +more"),"")))</f>
        <v/>
      </c>
      <c r="C176" s="24" t="n"/>
      <c r="D176" s="25">
        <f>IF(C176="","",IF(COUNTIF(lst_Jobs,C176&amp;"")&gt;0,"OK","CHECK"))</f>
        <v/>
      </c>
      <c r="E176" s="25">
        <f>IF(C176="","",IFERROR(INDEX(lst_JobName,MATCH(C176&amp;"",lst_Jobs,0)),""))</f>
        <v/>
      </c>
      <c r="F176" s="25">
        <f>IF(C176="","",IFERROR(INDEX(tbl_Finance[Client],MATCH(C176&amp;"",tbl_Finance[Job Number],0)),""))</f>
        <v/>
      </c>
      <c r="G176" s="28">
        <f>IF(C176="","",COUNTIFS(tbl_Finance[Job Number],C176&amp;"",tbl_Finance[Ex GST],"&lt;&gt;"))</f>
        <v/>
      </c>
      <c r="H176" s="27">
        <f>IF(C176="","",SUMIFS(tbl_Finance[Ex GST],tbl_Finance[Job Number],C176&amp;""))</f>
        <v/>
      </c>
      <c r="I176" s="27">
        <f>IF(C176="","",SUMIFS(tbl_Finance[Ex GST],tbl_Finance[Job Number],C176&amp;"",tbl_Finance[Xero Invoice No],"&lt;&gt;"))</f>
        <v/>
      </c>
      <c r="J176" s="27">
        <f>IF(C176="","",H176-I176)</f>
        <v/>
      </c>
      <c r="K176" s="25">
        <f>IF(C176="","",IF(G176=0,"not invoiced yet",SUBSTITUTE(TRIM(IF(COUNTIFS(tbl_Finance[Job Number],C176&amp;"",tbl_Finance[Cost Centre],"ONSITE")&gt;0,"ONSITE ","")&amp;IF(COUNTIFS(tbl_Finance[Job Number],C176&amp;"",tbl_Finance[Cost Centre],"PRODUCTION")&gt;0,"PRODUCTION ","")&amp;IF(COUNTIFS(tbl_Finance[Job Number],C176&amp;"",tbl_Finance[Cost Centre],"VIDEO")&gt;0,"VIDEO ","")&amp;IF(COUNTIFS(tbl_Finance[Job Number],C176&amp;"",tbl_Finance[Cost Centre],"INTEGRATION")&gt;0,"INTEGRATION ","")&amp;IF(COUNTIFS(tbl_Finance[Job Number],C176&amp;"",tbl_Finance[Cost Centre],"CONSULTING")&gt;0,"CONSULTING ","")&amp;IF(COUNTIFS(tbl_Finance[Job Number],C176&amp;"",tbl_Finance[Cost Centre],"CTS")&gt;0,"CTS ",""))," ",", ")))</f>
        <v/>
      </c>
      <c r="L176" s="24" t="n"/>
      <c r="M176" s="24" t="n"/>
      <c r="N176" s="25">
        <f>IF(M176="","",HYPERLINK(IF(LEFT(M176,4)="http",M176,set_QwilrBase&amp;M176),"Open quote"))</f>
        <v/>
      </c>
      <c r="O176" s="69" t="n"/>
      <c r="P176" s="24" t="n"/>
      <c r="Q176" s="24" t="n"/>
    </row>
    <row r="177" ht="15" customHeight="1">
      <c r="A177" s="68">
        <f>IF(C177="","",IFERROR(IF(SUMPRODUCT(MAX((tbl_Finance[Job Number]=C177&amp;"")*(tbl_Finance[Xero Invoice No]&lt;&gt;"")*tbl_Finance[Date]))=0,"",SUMPRODUCT(MAX((tbl_Finance[Job Number]=C177&amp;"")*(tbl_Finance[Xero Invoice No]&lt;&gt;"")*tbl_Finance[Date]))),""))</f>
        <v/>
      </c>
      <c r="B177" s="25">
        <f>IF(C177="","",IF(COUNTIFS(tbl_Finance[Job Number],C177&amp;"",tbl_Finance[Xero Invoice No],"&lt;&gt;")=0,"",IFERROR(IF(COUNTIFS(tbl_Finance[Job Number],C177&amp;"",tbl_Finance[Xero Invoice No],LOOKUP(2,1/((tbl_Finance[Job Number]=C177&amp;"")*(tbl_Finance[Xero Invoice No]&lt;&gt;"")),tbl_Finance[Xero Invoice No]))=COUNTIFS(tbl_Finance[Job Number],C177&amp;"",tbl_Finance[Xero Invoice No],"&lt;&gt;"),LOOKUP(2,1/((tbl_Finance[Job Number]=C177&amp;"")*(tbl_Finance[Xero Invoice No]&lt;&gt;"")),tbl_Finance[Xero Invoice No]),LOOKUP(2,1/((tbl_Finance[Job Number]=C177&amp;"")*(tbl_Finance[Xero Invoice No]&lt;&gt;"")),tbl_Finance[Xero Invoice No])&amp;" +more"),"")))</f>
        <v/>
      </c>
      <c r="C177" s="24" t="n"/>
      <c r="D177" s="25">
        <f>IF(C177="","",IF(COUNTIF(lst_Jobs,C177&amp;"")&gt;0,"OK","CHECK"))</f>
        <v/>
      </c>
      <c r="E177" s="25">
        <f>IF(C177="","",IFERROR(INDEX(lst_JobName,MATCH(C177&amp;"",lst_Jobs,0)),""))</f>
        <v/>
      </c>
      <c r="F177" s="25">
        <f>IF(C177="","",IFERROR(INDEX(tbl_Finance[Client],MATCH(C177&amp;"",tbl_Finance[Job Number],0)),""))</f>
        <v/>
      </c>
      <c r="G177" s="28">
        <f>IF(C177="","",COUNTIFS(tbl_Finance[Job Number],C177&amp;"",tbl_Finance[Ex GST],"&lt;&gt;"))</f>
        <v/>
      </c>
      <c r="H177" s="27">
        <f>IF(C177="","",SUMIFS(tbl_Finance[Ex GST],tbl_Finance[Job Number],C177&amp;""))</f>
        <v/>
      </c>
      <c r="I177" s="27">
        <f>IF(C177="","",SUMIFS(tbl_Finance[Ex GST],tbl_Finance[Job Number],C177&amp;"",tbl_Finance[Xero Invoice No],"&lt;&gt;"))</f>
        <v/>
      </c>
      <c r="J177" s="27">
        <f>IF(C177="","",H177-I177)</f>
        <v/>
      </c>
      <c r="K177" s="25">
        <f>IF(C177="","",IF(G177=0,"not invoiced yet",SUBSTITUTE(TRIM(IF(COUNTIFS(tbl_Finance[Job Number],C177&amp;"",tbl_Finance[Cost Centre],"ONSITE")&gt;0,"ONSITE ","")&amp;IF(COUNTIFS(tbl_Finance[Job Number],C177&amp;"",tbl_Finance[Cost Centre],"PRODUCTION")&gt;0,"PRODUCTION ","")&amp;IF(COUNTIFS(tbl_Finance[Job Number],C177&amp;"",tbl_Finance[Cost Centre],"VIDEO")&gt;0,"VIDEO ","")&amp;IF(COUNTIFS(tbl_Finance[Job Number],C177&amp;"",tbl_Finance[Cost Centre],"INTEGRATION")&gt;0,"INTEGRATION ","")&amp;IF(COUNTIFS(tbl_Finance[Job Number],C177&amp;"",tbl_Finance[Cost Centre],"CONSULTING")&gt;0,"CONSULTING ","")&amp;IF(COUNTIFS(tbl_Finance[Job Number],C177&amp;"",tbl_Finance[Cost Centre],"CTS")&gt;0,"CTS ",""))," ",", ")))</f>
        <v/>
      </c>
      <c r="L177" s="24" t="n"/>
      <c r="M177" s="24" t="n"/>
      <c r="N177" s="25">
        <f>IF(M177="","",HYPERLINK(IF(LEFT(M177,4)="http",M177,set_QwilrBase&amp;M177),"Open quote"))</f>
        <v/>
      </c>
      <c r="O177" s="69" t="n"/>
      <c r="P177" s="24" t="n"/>
      <c r="Q177" s="24" t="n"/>
    </row>
    <row r="178" ht="15" customHeight="1">
      <c r="A178" s="68">
        <f>IF(C178="","",IFERROR(IF(SUMPRODUCT(MAX((tbl_Finance[Job Number]=C178&amp;"")*(tbl_Finance[Xero Invoice No]&lt;&gt;"")*tbl_Finance[Date]))=0,"",SUMPRODUCT(MAX((tbl_Finance[Job Number]=C178&amp;"")*(tbl_Finance[Xero Invoice No]&lt;&gt;"")*tbl_Finance[Date]))),""))</f>
        <v/>
      </c>
      <c r="B178" s="25">
        <f>IF(C178="","",IF(COUNTIFS(tbl_Finance[Job Number],C178&amp;"",tbl_Finance[Xero Invoice No],"&lt;&gt;")=0,"",IFERROR(IF(COUNTIFS(tbl_Finance[Job Number],C178&amp;"",tbl_Finance[Xero Invoice No],LOOKUP(2,1/((tbl_Finance[Job Number]=C178&amp;"")*(tbl_Finance[Xero Invoice No]&lt;&gt;"")),tbl_Finance[Xero Invoice No]))=COUNTIFS(tbl_Finance[Job Number],C178&amp;"",tbl_Finance[Xero Invoice No],"&lt;&gt;"),LOOKUP(2,1/((tbl_Finance[Job Number]=C178&amp;"")*(tbl_Finance[Xero Invoice No]&lt;&gt;"")),tbl_Finance[Xero Invoice No]),LOOKUP(2,1/((tbl_Finance[Job Number]=C178&amp;"")*(tbl_Finance[Xero Invoice No]&lt;&gt;"")),tbl_Finance[Xero Invoice No])&amp;" +more"),"")))</f>
        <v/>
      </c>
      <c r="C178" s="24" t="n"/>
      <c r="D178" s="25">
        <f>IF(C178="","",IF(COUNTIF(lst_Jobs,C178&amp;"")&gt;0,"OK","CHECK"))</f>
        <v/>
      </c>
      <c r="E178" s="25">
        <f>IF(C178="","",IFERROR(INDEX(lst_JobName,MATCH(C178&amp;"",lst_Jobs,0)),""))</f>
        <v/>
      </c>
      <c r="F178" s="25">
        <f>IF(C178="","",IFERROR(INDEX(tbl_Finance[Client],MATCH(C178&amp;"",tbl_Finance[Job Number],0)),""))</f>
        <v/>
      </c>
      <c r="G178" s="28">
        <f>IF(C178="","",COUNTIFS(tbl_Finance[Job Number],C178&amp;"",tbl_Finance[Ex GST],"&lt;&gt;"))</f>
        <v/>
      </c>
      <c r="H178" s="27">
        <f>IF(C178="","",SUMIFS(tbl_Finance[Ex GST],tbl_Finance[Job Number],C178&amp;""))</f>
        <v/>
      </c>
      <c r="I178" s="27">
        <f>IF(C178="","",SUMIFS(tbl_Finance[Ex GST],tbl_Finance[Job Number],C178&amp;"",tbl_Finance[Xero Invoice No],"&lt;&gt;"))</f>
        <v/>
      </c>
      <c r="J178" s="27">
        <f>IF(C178="","",H178-I178)</f>
        <v/>
      </c>
      <c r="K178" s="25">
        <f>IF(C178="","",IF(G178=0,"not invoiced yet",SUBSTITUTE(TRIM(IF(COUNTIFS(tbl_Finance[Job Number],C178&amp;"",tbl_Finance[Cost Centre],"ONSITE")&gt;0,"ONSITE ","")&amp;IF(COUNTIFS(tbl_Finance[Job Number],C178&amp;"",tbl_Finance[Cost Centre],"PRODUCTION")&gt;0,"PRODUCTION ","")&amp;IF(COUNTIFS(tbl_Finance[Job Number],C178&amp;"",tbl_Finance[Cost Centre],"VIDEO")&gt;0,"VIDEO ","")&amp;IF(COUNTIFS(tbl_Finance[Job Number],C178&amp;"",tbl_Finance[Cost Centre],"INTEGRATION")&gt;0,"INTEGRATION ","")&amp;IF(COUNTIFS(tbl_Finance[Job Number],C178&amp;"",tbl_Finance[Cost Centre],"CONSULTING")&gt;0,"CONSULTING ","")&amp;IF(COUNTIFS(tbl_Finance[Job Number],C178&amp;"",tbl_Finance[Cost Centre],"CTS")&gt;0,"CTS ",""))," ",", ")))</f>
        <v/>
      </c>
      <c r="L178" s="24" t="n"/>
      <c r="M178" s="24" t="n"/>
      <c r="N178" s="25">
        <f>IF(M178="","",HYPERLINK(IF(LEFT(M178,4)="http",M178,set_QwilrBase&amp;M178),"Open quote"))</f>
        <v/>
      </c>
      <c r="O178" s="69" t="n"/>
      <c r="P178" s="24" t="n"/>
      <c r="Q178" s="24" t="n"/>
    </row>
    <row r="179" ht="15" customHeight="1">
      <c r="A179" s="68">
        <f>IF(C179="","",IFERROR(IF(SUMPRODUCT(MAX((tbl_Finance[Job Number]=C179&amp;"")*(tbl_Finance[Xero Invoice No]&lt;&gt;"")*tbl_Finance[Date]))=0,"",SUMPRODUCT(MAX((tbl_Finance[Job Number]=C179&amp;"")*(tbl_Finance[Xero Invoice No]&lt;&gt;"")*tbl_Finance[Date]))),""))</f>
        <v/>
      </c>
      <c r="B179" s="25">
        <f>IF(C179="","",IF(COUNTIFS(tbl_Finance[Job Number],C179&amp;"",tbl_Finance[Xero Invoice No],"&lt;&gt;")=0,"",IFERROR(IF(COUNTIFS(tbl_Finance[Job Number],C179&amp;"",tbl_Finance[Xero Invoice No],LOOKUP(2,1/((tbl_Finance[Job Number]=C179&amp;"")*(tbl_Finance[Xero Invoice No]&lt;&gt;"")),tbl_Finance[Xero Invoice No]))=COUNTIFS(tbl_Finance[Job Number],C179&amp;"",tbl_Finance[Xero Invoice No],"&lt;&gt;"),LOOKUP(2,1/((tbl_Finance[Job Number]=C179&amp;"")*(tbl_Finance[Xero Invoice No]&lt;&gt;"")),tbl_Finance[Xero Invoice No]),LOOKUP(2,1/((tbl_Finance[Job Number]=C179&amp;"")*(tbl_Finance[Xero Invoice No]&lt;&gt;"")),tbl_Finance[Xero Invoice No])&amp;" +more"),"")))</f>
        <v/>
      </c>
      <c r="C179" s="24" t="n"/>
      <c r="D179" s="25">
        <f>IF(C179="","",IF(COUNTIF(lst_Jobs,C179&amp;"")&gt;0,"OK","CHECK"))</f>
        <v/>
      </c>
      <c r="E179" s="25">
        <f>IF(C179="","",IFERROR(INDEX(lst_JobName,MATCH(C179&amp;"",lst_Jobs,0)),""))</f>
        <v/>
      </c>
      <c r="F179" s="25">
        <f>IF(C179="","",IFERROR(INDEX(tbl_Finance[Client],MATCH(C179&amp;"",tbl_Finance[Job Number],0)),""))</f>
        <v/>
      </c>
      <c r="G179" s="28">
        <f>IF(C179="","",COUNTIFS(tbl_Finance[Job Number],C179&amp;"",tbl_Finance[Ex GST],"&lt;&gt;"))</f>
        <v/>
      </c>
      <c r="H179" s="27">
        <f>IF(C179="","",SUMIFS(tbl_Finance[Ex GST],tbl_Finance[Job Number],C179&amp;""))</f>
        <v/>
      </c>
      <c r="I179" s="27">
        <f>IF(C179="","",SUMIFS(tbl_Finance[Ex GST],tbl_Finance[Job Number],C179&amp;"",tbl_Finance[Xero Invoice No],"&lt;&gt;"))</f>
        <v/>
      </c>
      <c r="J179" s="27">
        <f>IF(C179="","",H179-I179)</f>
        <v/>
      </c>
      <c r="K179" s="25">
        <f>IF(C179="","",IF(G179=0,"not invoiced yet",SUBSTITUTE(TRIM(IF(COUNTIFS(tbl_Finance[Job Number],C179&amp;"",tbl_Finance[Cost Centre],"ONSITE")&gt;0,"ONSITE ","")&amp;IF(COUNTIFS(tbl_Finance[Job Number],C179&amp;"",tbl_Finance[Cost Centre],"PRODUCTION")&gt;0,"PRODUCTION ","")&amp;IF(COUNTIFS(tbl_Finance[Job Number],C179&amp;"",tbl_Finance[Cost Centre],"VIDEO")&gt;0,"VIDEO ","")&amp;IF(COUNTIFS(tbl_Finance[Job Number],C179&amp;"",tbl_Finance[Cost Centre],"INTEGRATION")&gt;0,"INTEGRATION ","")&amp;IF(COUNTIFS(tbl_Finance[Job Number],C179&amp;"",tbl_Finance[Cost Centre],"CONSULTING")&gt;0,"CONSULTING ","")&amp;IF(COUNTIFS(tbl_Finance[Job Number],C179&amp;"",tbl_Finance[Cost Centre],"CTS")&gt;0,"CTS ",""))," ",", ")))</f>
        <v/>
      </c>
      <c r="L179" s="24" t="n"/>
      <c r="M179" s="24" t="n"/>
      <c r="N179" s="25">
        <f>IF(M179="","",HYPERLINK(IF(LEFT(M179,4)="http",M179,set_QwilrBase&amp;M179),"Open quote"))</f>
        <v/>
      </c>
      <c r="O179" s="69" t="n"/>
      <c r="P179" s="24" t="n"/>
      <c r="Q179" s="24" t="n"/>
    </row>
    <row r="180" ht="15" customHeight="1">
      <c r="A180" s="68">
        <f>IF(C180="","",IFERROR(IF(SUMPRODUCT(MAX((tbl_Finance[Job Number]=C180&amp;"")*(tbl_Finance[Xero Invoice No]&lt;&gt;"")*tbl_Finance[Date]))=0,"",SUMPRODUCT(MAX((tbl_Finance[Job Number]=C180&amp;"")*(tbl_Finance[Xero Invoice No]&lt;&gt;"")*tbl_Finance[Date]))),""))</f>
        <v/>
      </c>
      <c r="B180" s="25">
        <f>IF(C180="","",IF(COUNTIFS(tbl_Finance[Job Number],C180&amp;"",tbl_Finance[Xero Invoice No],"&lt;&gt;")=0,"",IFERROR(IF(COUNTIFS(tbl_Finance[Job Number],C180&amp;"",tbl_Finance[Xero Invoice No],LOOKUP(2,1/((tbl_Finance[Job Number]=C180&amp;"")*(tbl_Finance[Xero Invoice No]&lt;&gt;"")),tbl_Finance[Xero Invoice No]))=COUNTIFS(tbl_Finance[Job Number],C180&amp;"",tbl_Finance[Xero Invoice No],"&lt;&gt;"),LOOKUP(2,1/((tbl_Finance[Job Number]=C180&amp;"")*(tbl_Finance[Xero Invoice No]&lt;&gt;"")),tbl_Finance[Xero Invoice No]),LOOKUP(2,1/((tbl_Finance[Job Number]=C180&amp;"")*(tbl_Finance[Xero Invoice No]&lt;&gt;"")),tbl_Finance[Xero Invoice No])&amp;" +more"),"")))</f>
        <v/>
      </c>
      <c r="C180" s="24" t="n"/>
      <c r="D180" s="25">
        <f>IF(C180="","",IF(COUNTIF(lst_Jobs,C180&amp;"")&gt;0,"OK","CHECK"))</f>
        <v/>
      </c>
      <c r="E180" s="25">
        <f>IF(C180="","",IFERROR(INDEX(lst_JobName,MATCH(C180&amp;"",lst_Jobs,0)),""))</f>
        <v/>
      </c>
      <c r="F180" s="25">
        <f>IF(C180="","",IFERROR(INDEX(tbl_Finance[Client],MATCH(C180&amp;"",tbl_Finance[Job Number],0)),""))</f>
        <v/>
      </c>
      <c r="G180" s="28">
        <f>IF(C180="","",COUNTIFS(tbl_Finance[Job Number],C180&amp;"",tbl_Finance[Ex GST],"&lt;&gt;"))</f>
        <v/>
      </c>
      <c r="H180" s="27">
        <f>IF(C180="","",SUMIFS(tbl_Finance[Ex GST],tbl_Finance[Job Number],C180&amp;""))</f>
        <v/>
      </c>
      <c r="I180" s="27">
        <f>IF(C180="","",SUMIFS(tbl_Finance[Ex GST],tbl_Finance[Job Number],C180&amp;"",tbl_Finance[Xero Invoice No],"&lt;&gt;"))</f>
        <v/>
      </c>
      <c r="J180" s="27">
        <f>IF(C180="","",H180-I180)</f>
        <v/>
      </c>
      <c r="K180" s="25">
        <f>IF(C180="","",IF(G180=0,"not invoiced yet",SUBSTITUTE(TRIM(IF(COUNTIFS(tbl_Finance[Job Number],C180&amp;"",tbl_Finance[Cost Centre],"ONSITE")&gt;0,"ONSITE ","")&amp;IF(COUNTIFS(tbl_Finance[Job Number],C180&amp;"",tbl_Finance[Cost Centre],"PRODUCTION")&gt;0,"PRODUCTION ","")&amp;IF(COUNTIFS(tbl_Finance[Job Number],C180&amp;"",tbl_Finance[Cost Centre],"VIDEO")&gt;0,"VIDEO ","")&amp;IF(COUNTIFS(tbl_Finance[Job Number],C180&amp;"",tbl_Finance[Cost Centre],"INTEGRATION")&gt;0,"INTEGRATION ","")&amp;IF(COUNTIFS(tbl_Finance[Job Number],C180&amp;"",tbl_Finance[Cost Centre],"CONSULTING")&gt;0,"CONSULTING ","")&amp;IF(COUNTIFS(tbl_Finance[Job Number],C180&amp;"",tbl_Finance[Cost Centre],"CTS")&gt;0,"CTS ",""))," ",", ")))</f>
        <v/>
      </c>
      <c r="L180" s="24" t="n"/>
      <c r="M180" s="24" t="n"/>
      <c r="N180" s="25">
        <f>IF(M180="","",HYPERLINK(IF(LEFT(M180,4)="http",M180,set_QwilrBase&amp;M180),"Open quote"))</f>
        <v/>
      </c>
      <c r="O180" s="69" t="n"/>
      <c r="P180" s="24" t="n"/>
      <c r="Q180" s="24" t="n"/>
    </row>
    <row r="181" ht="15" customHeight="1">
      <c r="A181" s="68">
        <f>IF(C181="","",IFERROR(IF(SUMPRODUCT(MAX((tbl_Finance[Job Number]=C181&amp;"")*(tbl_Finance[Xero Invoice No]&lt;&gt;"")*tbl_Finance[Date]))=0,"",SUMPRODUCT(MAX((tbl_Finance[Job Number]=C181&amp;"")*(tbl_Finance[Xero Invoice No]&lt;&gt;"")*tbl_Finance[Date]))),""))</f>
        <v/>
      </c>
      <c r="B181" s="25">
        <f>IF(C181="","",IF(COUNTIFS(tbl_Finance[Job Number],C181&amp;"",tbl_Finance[Xero Invoice No],"&lt;&gt;")=0,"",IFERROR(IF(COUNTIFS(tbl_Finance[Job Number],C181&amp;"",tbl_Finance[Xero Invoice No],LOOKUP(2,1/((tbl_Finance[Job Number]=C181&amp;"")*(tbl_Finance[Xero Invoice No]&lt;&gt;"")),tbl_Finance[Xero Invoice No]))=COUNTIFS(tbl_Finance[Job Number],C181&amp;"",tbl_Finance[Xero Invoice No],"&lt;&gt;"),LOOKUP(2,1/((tbl_Finance[Job Number]=C181&amp;"")*(tbl_Finance[Xero Invoice No]&lt;&gt;"")),tbl_Finance[Xero Invoice No]),LOOKUP(2,1/((tbl_Finance[Job Number]=C181&amp;"")*(tbl_Finance[Xero Invoice No]&lt;&gt;"")),tbl_Finance[Xero Invoice No])&amp;" +more"),"")))</f>
        <v/>
      </c>
      <c r="C181" s="24" t="n"/>
      <c r="D181" s="25">
        <f>IF(C181="","",IF(COUNTIF(lst_Jobs,C181&amp;"")&gt;0,"OK","CHECK"))</f>
        <v/>
      </c>
      <c r="E181" s="25">
        <f>IF(C181="","",IFERROR(INDEX(lst_JobName,MATCH(C181&amp;"",lst_Jobs,0)),""))</f>
        <v/>
      </c>
      <c r="F181" s="25">
        <f>IF(C181="","",IFERROR(INDEX(tbl_Finance[Client],MATCH(C181&amp;"",tbl_Finance[Job Number],0)),""))</f>
        <v/>
      </c>
      <c r="G181" s="28">
        <f>IF(C181="","",COUNTIFS(tbl_Finance[Job Number],C181&amp;"",tbl_Finance[Ex GST],"&lt;&gt;"))</f>
        <v/>
      </c>
      <c r="H181" s="27">
        <f>IF(C181="","",SUMIFS(tbl_Finance[Ex GST],tbl_Finance[Job Number],C181&amp;""))</f>
        <v/>
      </c>
      <c r="I181" s="27">
        <f>IF(C181="","",SUMIFS(tbl_Finance[Ex GST],tbl_Finance[Job Number],C181&amp;"",tbl_Finance[Xero Invoice No],"&lt;&gt;"))</f>
        <v/>
      </c>
      <c r="J181" s="27">
        <f>IF(C181="","",H181-I181)</f>
        <v/>
      </c>
      <c r="K181" s="25">
        <f>IF(C181="","",IF(G181=0,"not invoiced yet",SUBSTITUTE(TRIM(IF(COUNTIFS(tbl_Finance[Job Number],C181&amp;"",tbl_Finance[Cost Centre],"ONSITE")&gt;0,"ONSITE ","")&amp;IF(COUNTIFS(tbl_Finance[Job Number],C181&amp;"",tbl_Finance[Cost Centre],"PRODUCTION")&gt;0,"PRODUCTION ","")&amp;IF(COUNTIFS(tbl_Finance[Job Number],C181&amp;"",tbl_Finance[Cost Centre],"VIDEO")&gt;0,"VIDEO ","")&amp;IF(COUNTIFS(tbl_Finance[Job Number],C181&amp;"",tbl_Finance[Cost Centre],"INTEGRATION")&gt;0,"INTEGRATION ","")&amp;IF(COUNTIFS(tbl_Finance[Job Number],C181&amp;"",tbl_Finance[Cost Centre],"CONSULTING")&gt;0,"CONSULTING ","")&amp;IF(COUNTIFS(tbl_Finance[Job Number],C181&amp;"",tbl_Finance[Cost Centre],"CTS")&gt;0,"CTS ",""))," ",", ")))</f>
        <v/>
      </c>
      <c r="L181" s="24" t="n"/>
      <c r="M181" s="24" t="n"/>
      <c r="N181" s="25">
        <f>IF(M181="","",HYPERLINK(IF(LEFT(M181,4)="http",M181,set_QwilrBase&amp;M181),"Open quote"))</f>
        <v/>
      </c>
      <c r="O181" s="69" t="n"/>
      <c r="P181" s="24" t="n"/>
      <c r="Q181" s="24" t="n"/>
    </row>
    <row r="182" ht="15" customHeight="1">
      <c r="A182" s="68">
        <f>IF(C182="","",IFERROR(IF(SUMPRODUCT(MAX((tbl_Finance[Job Number]=C182&amp;"")*(tbl_Finance[Xero Invoice No]&lt;&gt;"")*tbl_Finance[Date]))=0,"",SUMPRODUCT(MAX((tbl_Finance[Job Number]=C182&amp;"")*(tbl_Finance[Xero Invoice No]&lt;&gt;"")*tbl_Finance[Date]))),""))</f>
        <v/>
      </c>
      <c r="B182" s="25">
        <f>IF(C182="","",IF(COUNTIFS(tbl_Finance[Job Number],C182&amp;"",tbl_Finance[Xero Invoice No],"&lt;&gt;")=0,"",IFERROR(IF(COUNTIFS(tbl_Finance[Job Number],C182&amp;"",tbl_Finance[Xero Invoice No],LOOKUP(2,1/((tbl_Finance[Job Number]=C182&amp;"")*(tbl_Finance[Xero Invoice No]&lt;&gt;"")),tbl_Finance[Xero Invoice No]))=COUNTIFS(tbl_Finance[Job Number],C182&amp;"",tbl_Finance[Xero Invoice No],"&lt;&gt;"),LOOKUP(2,1/((tbl_Finance[Job Number]=C182&amp;"")*(tbl_Finance[Xero Invoice No]&lt;&gt;"")),tbl_Finance[Xero Invoice No]),LOOKUP(2,1/((tbl_Finance[Job Number]=C182&amp;"")*(tbl_Finance[Xero Invoice No]&lt;&gt;"")),tbl_Finance[Xero Invoice No])&amp;" +more"),"")))</f>
        <v/>
      </c>
      <c r="C182" s="24" t="n"/>
      <c r="D182" s="25">
        <f>IF(C182="","",IF(COUNTIF(lst_Jobs,C182&amp;"")&gt;0,"OK","CHECK"))</f>
        <v/>
      </c>
      <c r="E182" s="25">
        <f>IF(C182="","",IFERROR(INDEX(lst_JobName,MATCH(C182&amp;"",lst_Jobs,0)),""))</f>
        <v/>
      </c>
      <c r="F182" s="25">
        <f>IF(C182="","",IFERROR(INDEX(tbl_Finance[Client],MATCH(C182&amp;"",tbl_Finance[Job Number],0)),""))</f>
        <v/>
      </c>
      <c r="G182" s="28">
        <f>IF(C182="","",COUNTIFS(tbl_Finance[Job Number],C182&amp;"",tbl_Finance[Ex GST],"&lt;&gt;"))</f>
        <v/>
      </c>
      <c r="H182" s="27">
        <f>IF(C182="","",SUMIFS(tbl_Finance[Ex GST],tbl_Finance[Job Number],C182&amp;""))</f>
        <v/>
      </c>
      <c r="I182" s="27">
        <f>IF(C182="","",SUMIFS(tbl_Finance[Ex GST],tbl_Finance[Job Number],C182&amp;"",tbl_Finance[Xero Invoice No],"&lt;&gt;"))</f>
        <v/>
      </c>
      <c r="J182" s="27">
        <f>IF(C182="","",H182-I182)</f>
        <v/>
      </c>
      <c r="K182" s="25">
        <f>IF(C182="","",IF(G182=0,"not invoiced yet",SUBSTITUTE(TRIM(IF(COUNTIFS(tbl_Finance[Job Number],C182&amp;"",tbl_Finance[Cost Centre],"ONSITE")&gt;0,"ONSITE ","")&amp;IF(COUNTIFS(tbl_Finance[Job Number],C182&amp;"",tbl_Finance[Cost Centre],"PRODUCTION")&gt;0,"PRODUCTION ","")&amp;IF(COUNTIFS(tbl_Finance[Job Number],C182&amp;"",tbl_Finance[Cost Centre],"VIDEO")&gt;0,"VIDEO ","")&amp;IF(COUNTIFS(tbl_Finance[Job Number],C182&amp;"",tbl_Finance[Cost Centre],"INTEGRATION")&gt;0,"INTEGRATION ","")&amp;IF(COUNTIFS(tbl_Finance[Job Number],C182&amp;"",tbl_Finance[Cost Centre],"CONSULTING")&gt;0,"CONSULTING ","")&amp;IF(COUNTIFS(tbl_Finance[Job Number],C182&amp;"",tbl_Finance[Cost Centre],"CTS")&gt;0,"CTS ",""))," ",", ")))</f>
        <v/>
      </c>
      <c r="L182" s="24" t="n"/>
      <c r="M182" s="24" t="n"/>
      <c r="N182" s="25">
        <f>IF(M182="","",HYPERLINK(IF(LEFT(M182,4)="http",M182,set_QwilrBase&amp;M182),"Open quote"))</f>
        <v/>
      </c>
      <c r="O182" s="69" t="n"/>
      <c r="P182" s="24" t="n"/>
      <c r="Q182" s="24" t="n"/>
    </row>
    <row r="183" ht="15" customHeight="1">
      <c r="A183" s="68">
        <f>IF(C183="","",IFERROR(IF(SUMPRODUCT(MAX((tbl_Finance[Job Number]=C183&amp;"")*(tbl_Finance[Xero Invoice No]&lt;&gt;"")*tbl_Finance[Date]))=0,"",SUMPRODUCT(MAX((tbl_Finance[Job Number]=C183&amp;"")*(tbl_Finance[Xero Invoice No]&lt;&gt;"")*tbl_Finance[Date]))),""))</f>
        <v/>
      </c>
      <c r="B183" s="25">
        <f>IF(C183="","",IF(COUNTIFS(tbl_Finance[Job Number],C183&amp;"",tbl_Finance[Xero Invoice No],"&lt;&gt;")=0,"",IFERROR(IF(COUNTIFS(tbl_Finance[Job Number],C183&amp;"",tbl_Finance[Xero Invoice No],LOOKUP(2,1/((tbl_Finance[Job Number]=C183&amp;"")*(tbl_Finance[Xero Invoice No]&lt;&gt;"")),tbl_Finance[Xero Invoice No]))=COUNTIFS(tbl_Finance[Job Number],C183&amp;"",tbl_Finance[Xero Invoice No],"&lt;&gt;"),LOOKUP(2,1/((tbl_Finance[Job Number]=C183&amp;"")*(tbl_Finance[Xero Invoice No]&lt;&gt;"")),tbl_Finance[Xero Invoice No]),LOOKUP(2,1/((tbl_Finance[Job Number]=C183&amp;"")*(tbl_Finance[Xero Invoice No]&lt;&gt;"")),tbl_Finance[Xero Invoice No])&amp;" +more"),"")))</f>
        <v/>
      </c>
      <c r="C183" s="24" t="n"/>
      <c r="D183" s="25">
        <f>IF(C183="","",IF(COUNTIF(lst_Jobs,C183&amp;"")&gt;0,"OK","CHECK"))</f>
        <v/>
      </c>
      <c r="E183" s="25">
        <f>IF(C183="","",IFERROR(INDEX(lst_JobName,MATCH(C183&amp;"",lst_Jobs,0)),""))</f>
        <v/>
      </c>
      <c r="F183" s="25">
        <f>IF(C183="","",IFERROR(INDEX(tbl_Finance[Client],MATCH(C183&amp;"",tbl_Finance[Job Number],0)),""))</f>
        <v/>
      </c>
      <c r="G183" s="28">
        <f>IF(C183="","",COUNTIFS(tbl_Finance[Job Number],C183&amp;"",tbl_Finance[Ex GST],"&lt;&gt;"))</f>
        <v/>
      </c>
      <c r="H183" s="27">
        <f>IF(C183="","",SUMIFS(tbl_Finance[Ex GST],tbl_Finance[Job Number],C183&amp;""))</f>
        <v/>
      </c>
      <c r="I183" s="27">
        <f>IF(C183="","",SUMIFS(tbl_Finance[Ex GST],tbl_Finance[Job Number],C183&amp;"",tbl_Finance[Xero Invoice No],"&lt;&gt;"))</f>
        <v/>
      </c>
      <c r="J183" s="27">
        <f>IF(C183="","",H183-I183)</f>
        <v/>
      </c>
      <c r="K183" s="25">
        <f>IF(C183="","",IF(G183=0,"not invoiced yet",SUBSTITUTE(TRIM(IF(COUNTIFS(tbl_Finance[Job Number],C183&amp;"",tbl_Finance[Cost Centre],"ONSITE")&gt;0,"ONSITE ","")&amp;IF(COUNTIFS(tbl_Finance[Job Number],C183&amp;"",tbl_Finance[Cost Centre],"PRODUCTION")&gt;0,"PRODUCTION ","")&amp;IF(COUNTIFS(tbl_Finance[Job Number],C183&amp;"",tbl_Finance[Cost Centre],"VIDEO")&gt;0,"VIDEO ","")&amp;IF(COUNTIFS(tbl_Finance[Job Number],C183&amp;"",tbl_Finance[Cost Centre],"INTEGRATION")&gt;0,"INTEGRATION ","")&amp;IF(COUNTIFS(tbl_Finance[Job Number],C183&amp;"",tbl_Finance[Cost Centre],"CONSULTING")&gt;0,"CONSULTING ","")&amp;IF(COUNTIFS(tbl_Finance[Job Number],C183&amp;"",tbl_Finance[Cost Centre],"CTS")&gt;0,"CTS ",""))," ",", ")))</f>
        <v/>
      </c>
      <c r="L183" s="24" t="n"/>
      <c r="M183" s="24" t="n"/>
      <c r="N183" s="25">
        <f>IF(M183="","",HYPERLINK(IF(LEFT(M183,4)="http",M183,set_QwilrBase&amp;M183),"Open quote"))</f>
        <v/>
      </c>
      <c r="O183" s="69" t="n"/>
      <c r="P183" s="24" t="n"/>
      <c r="Q183" s="24" t="n"/>
    </row>
    <row r="184" ht="15" customHeight="1">
      <c r="A184" s="68">
        <f>IF(C184="","",IFERROR(IF(SUMPRODUCT(MAX((tbl_Finance[Job Number]=C184&amp;"")*(tbl_Finance[Xero Invoice No]&lt;&gt;"")*tbl_Finance[Date]))=0,"",SUMPRODUCT(MAX((tbl_Finance[Job Number]=C184&amp;"")*(tbl_Finance[Xero Invoice No]&lt;&gt;"")*tbl_Finance[Date]))),""))</f>
        <v/>
      </c>
      <c r="B184" s="25">
        <f>IF(C184="","",IF(COUNTIFS(tbl_Finance[Job Number],C184&amp;"",tbl_Finance[Xero Invoice No],"&lt;&gt;")=0,"",IFERROR(IF(COUNTIFS(tbl_Finance[Job Number],C184&amp;"",tbl_Finance[Xero Invoice No],LOOKUP(2,1/((tbl_Finance[Job Number]=C184&amp;"")*(tbl_Finance[Xero Invoice No]&lt;&gt;"")),tbl_Finance[Xero Invoice No]))=COUNTIFS(tbl_Finance[Job Number],C184&amp;"",tbl_Finance[Xero Invoice No],"&lt;&gt;"),LOOKUP(2,1/((tbl_Finance[Job Number]=C184&amp;"")*(tbl_Finance[Xero Invoice No]&lt;&gt;"")),tbl_Finance[Xero Invoice No]),LOOKUP(2,1/((tbl_Finance[Job Number]=C184&amp;"")*(tbl_Finance[Xero Invoice No]&lt;&gt;"")),tbl_Finance[Xero Invoice No])&amp;" +more"),"")))</f>
        <v/>
      </c>
      <c r="C184" s="24" t="n"/>
      <c r="D184" s="25">
        <f>IF(C184="","",IF(COUNTIF(lst_Jobs,C184&amp;"")&gt;0,"OK","CHECK"))</f>
        <v/>
      </c>
      <c r="E184" s="25">
        <f>IF(C184="","",IFERROR(INDEX(lst_JobName,MATCH(C184&amp;"",lst_Jobs,0)),""))</f>
        <v/>
      </c>
      <c r="F184" s="25">
        <f>IF(C184="","",IFERROR(INDEX(tbl_Finance[Client],MATCH(C184&amp;"",tbl_Finance[Job Number],0)),""))</f>
        <v/>
      </c>
      <c r="G184" s="28">
        <f>IF(C184="","",COUNTIFS(tbl_Finance[Job Number],C184&amp;"",tbl_Finance[Ex GST],"&lt;&gt;"))</f>
        <v/>
      </c>
      <c r="H184" s="27">
        <f>IF(C184="","",SUMIFS(tbl_Finance[Ex GST],tbl_Finance[Job Number],C184&amp;""))</f>
        <v/>
      </c>
      <c r="I184" s="27">
        <f>IF(C184="","",SUMIFS(tbl_Finance[Ex GST],tbl_Finance[Job Number],C184&amp;"",tbl_Finance[Xero Invoice No],"&lt;&gt;"))</f>
        <v/>
      </c>
      <c r="J184" s="27">
        <f>IF(C184="","",H184-I184)</f>
        <v/>
      </c>
      <c r="K184" s="25">
        <f>IF(C184="","",IF(G184=0,"not invoiced yet",SUBSTITUTE(TRIM(IF(COUNTIFS(tbl_Finance[Job Number],C184&amp;"",tbl_Finance[Cost Centre],"ONSITE")&gt;0,"ONSITE ","")&amp;IF(COUNTIFS(tbl_Finance[Job Number],C184&amp;"",tbl_Finance[Cost Centre],"PRODUCTION")&gt;0,"PRODUCTION ","")&amp;IF(COUNTIFS(tbl_Finance[Job Number],C184&amp;"",tbl_Finance[Cost Centre],"VIDEO")&gt;0,"VIDEO ","")&amp;IF(COUNTIFS(tbl_Finance[Job Number],C184&amp;"",tbl_Finance[Cost Centre],"INTEGRATION")&gt;0,"INTEGRATION ","")&amp;IF(COUNTIFS(tbl_Finance[Job Number],C184&amp;"",tbl_Finance[Cost Centre],"CONSULTING")&gt;0,"CONSULTING ","")&amp;IF(COUNTIFS(tbl_Finance[Job Number],C184&amp;"",tbl_Finance[Cost Centre],"CTS")&gt;0,"CTS ",""))," ",", ")))</f>
        <v/>
      </c>
      <c r="L184" s="24" t="n"/>
      <c r="M184" s="24" t="n"/>
      <c r="N184" s="25">
        <f>IF(M184="","",HYPERLINK(IF(LEFT(M184,4)="http",M184,set_QwilrBase&amp;M184),"Open quote"))</f>
        <v/>
      </c>
      <c r="O184" s="69" t="n"/>
      <c r="P184" s="24" t="n"/>
      <c r="Q184" s="24" t="n"/>
    </row>
    <row r="185" ht="15" customHeight="1">
      <c r="A185" s="68">
        <f>IF(C185="","",IFERROR(IF(SUMPRODUCT(MAX((tbl_Finance[Job Number]=C185&amp;"")*(tbl_Finance[Xero Invoice No]&lt;&gt;"")*tbl_Finance[Date]))=0,"",SUMPRODUCT(MAX((tbl_Finance[Job Number]=C185&amp;"")*(tbl_Finance[Xero Invoice No]&lt;&gt;"")*tbl_Finance[Date]))),""))</f>
        <v/>
      </c>
      <c r="B185" s="25">
        <f>IF(C185="","",IF(COUNTIFS(tbl_Finance[Job Number],C185&amp;"",tbl_Finance[Xero Invoice No],"&lt;&gt;")=0,"",IFERROR(IF(COUNTIFS(tbl_Finance[Job Number],C185&amp;"",tbl_Finance[Xero Invoice No],LOOKUP(2,1/((tbl_Finance[Job Number]=C185&amp;"")*(tbl_Finance[Xero Invoice No]&lt;&gt;"")),tbl_Finance[Xero Invoice No]))=COUNTIFS(tbl_Finance[Job Number],C185&amp;"",tbl_Finance[Xero Invoice No],"&lt;&gt;"),LOOKUP(2,1/((tbl_Finance[Job Number]=C185&amp;"")*(tbl_Finance[Xero Invoice No]&lt;&gt;"")),tbl_Finance[Xero Invoice No]),LOOKUP(2,1/((tbl_Finance[Job Number]=C185&amp;"")*(tbl_Finance[Xero Invoice No]&lt;&gt;"")),tbl_Finance[Xero Invoice No])&amp;" +more"),"")))</f>
        <v/>
      </c>
      <c r="C185" s="24" t="n"/>
      <c r="D185" s="25">
        <f>IF(C185="","",IF(COUNTIF(lst_Jobs,C185&amp;"")&gt;0,"OK","CHECK"))</f>
        <v/>
      </c>
      <c r="E185" s="25">
        <f>IF(C185="","",IFERROR(INDEX(lst_JobName,MATCH(C185&amp;"",lst_Jobs,0)),""))</f>
        <v/>
      </c>
      <c r="F185" s="25">
        <f>IF(C185="","",IFERROR(INDEX(tbl_Finance[Client],MATCH(C185&amp;"",tbl_Finance[Job Number],0)),""))</f>
        <v/>
      </c>
      <c r="G185" s="28">
        <f>IF(C185="","",COUNTIFS(tbl_Finance[Job Number],C185&amp;"",tbl_Finance[Ex GST],"&lt;&gt;"))</f>
        <v/>
      </c>
      <c r="H185" s="27">
        <f>IF(C185="","",SUMIFS(tbl_Finance[Ex GST],tbl_Finance[Job Number],C185&amp;""))</f>
        <v/>
      </c>
      <c r="I185" s="27">
        <f>IF(C185="","",SUMIFS(tbl_Finance[Ex GST],tbl_Finance[Job Number],C185&amp;"",tbl_Finance[Xero Invoice No],"&lt;&gt;"))</f>
        <v/>
      </c>
      <c r="J185" s="27">
        <f>IF(C185="","",H185-I185)</f>
        <v/>
      </c>
      <c r="K185" s="25">
        <f>IF(C185="","",IF(G185=0,"not invoiced yet",SUBSTITUTE(TRIM(IF(COUNTIFS(tbl_Finance[Job Number],C185&amp;"",tbl_Finance[Cost Centre],"ONSITE")&gt;0,"ONSITE ","")&amp;IF(COUNTIFS(tbl_Finance[Job Number],C185&amp;"",tbl_Finance[Cost Centre],"PRODUCTION")&gt;0,"PRODUCTION ","")&amp;IF(COUNTIFS(tbl_Finance[Job Number],C185&amp;"",tbl_Finance[Cost Centre],"VIDEO")&gt;0,"VIDEO ","")&amp;IF(COUNTIFS(tbl_Finance[Job Number],C185&amp;"",tbl_Finance[Cost Centre],"INTEGRATION")&gt;0,"INTEGRATION ","")&amp;IF(COUNTIFS(tbl_Finance[Job Number],C185&amp;"",tbl_Finance[Cost Centre],"CONSULTING")&gt;0,"CONSULTING ","")&amp;IF(COUNTIFS(tbl_Finance[Job Number],C185&amp;"",tbl_Finance[Cost Centre],"CTS")&gt;0,"CTS ",""))," ",", ")))</f>
        <v/>
      </c>
      <c r="L185" s="24" t="n"/>
      <c r="M185" s="24" t="n"/>
      <c r="N185" s="25">
        <f>IF(M185="","",HYPERLINK(IF(LEFT(M185,4)="http",M185,set_QwilrBase&amp;M185),"Open quote"))</f>
        <v/>
      </c>
      <c r="O185" s="69" t="n"/>
      <c r="P185" s="24" t="n"/>
      <c r="Q185" s="24" t="n"/>
    </row>
    <row r="186" ht="15" customHeight="1">
      <c r="A186" s="68">
        <f>IF(C186="","",IFERROR(IF(SUMPRODUCT(MAX((tbl_Finance[Job Number]=C186&amp;"")*(tbl_Finance[Xero Invoice No]&lt;&gt;"")*tbl_Finance[Date]))=0,"",SUMPRODUCT(MAX((tbl_Finance[Job Number]=C186&amp;"")*(tbl_Finance[Xero Invoice No]&lt;&gt;"")*tbl_Finance[Date]))),""))</f>
        <v/>
      </c>
      <c r="B186" s="25">
        <f>IF(C186="","",IF(COUNTIFS(tbl_Finance[Job Number],C186&amp;"",tbl_Finance[Xero Invoice No],"&lt;&gt;")=0,"",IFERROR(IF(COUNTIFS(tbl_Finance[Job Number],C186&amp;"",tbl_Finance[Xero Invoice No],LOOKUP(2,1/((tbl_Finance[Job Number]=C186&amp;"")*(tbl_Finance[Xero Invoice No]&lt;&gt;"")),tbl_Finance[Xero Invoice No]))=COUNTIFS(tbl_Finance[Job Number],C186&amp;"",tbl_Finance[Xero Invoice No],"&lt;&gt;"),LOOKUP(2,1/((tbl_Finance[Job Number]=C186&amp;"")*(tbl_Finance[Xero Invoice No]&lt;&gt;"")),tbl_Finance[Xero Invoice No]),LOOKUP(2,1/((tbl_Finance[Job Number]=C186&amp;"")*(tbl_Finance[Xero Invoice No]&lt;&gt;"")),tbl_Finance[Xero Invoice No])&amp;" +more"),"")))</f>
        <v/>
      </c>
      <c r="C186" s="24" t="n"/>
      <c r="D186" s="25">
        <f>IF(C186="","",IF(COUNTIF(lst_Jobs,C186&amp;"")&gt;0,"OK","CHECK"))</f>
        <v/>
      </c>
      <c r="E186" s="25">
        <f>IF(C186="","",IFERROR(INDEX(lst_JobName,MATCH(C186&amp;"",lst_Jobs,0)),""))</f>
        <v/>
      </c>
      <c r="F186" s="25">
        <f>IF(C186="","",IFERROR(INDEX(tbl_Finance[Client],MATCH(C186&amp;"",tbl_Finance[Job Number],0)),""))</f>
        <v/>
      </c>
      <c r="G186" s="28">
        <f>IF(C186="","",COUNTIFS(tbl_Finance[Job Number],C186&amp;"",tbl_Finance[Ex GST],"&lt;&gt;"))</f>
        <v/>
      </c>
      <c r="H186" s="27">
        <f>IF(C186="","",SUMIFS(tbl_Finance[Ex GST],tbl_Finance[Job Number],C186&amp;""))</f>
        <v/>
      </c>
      <c r="I186" s="27">
        <f>IF(C186="","",SUMIFS(tbl_Finance[Ex GST],tbl_Finance[Job Number],C186&amp;"",tbl_Finance[Xero Invoice No],"&lt;&gt;"))</f>
        <v/>
      </c>
      <c r="J186" s="27">
        <f>IF(C186="","",H186-I186)</f>
        <v/>
      </c>
      <c r="K186" s="25">
        <f>IF(C186="","",IF(G186=0,"not invoiced yet",SUBSTITUTE(TRIM(IF(COUNTIFS(tbl_Finance[Job Number],C186&amp;"",tbl_Finance[Cost Centre],"ONSITE")&gt;0,"ONSITE ","")&amp;IF(COUNTIFS(tbl_Finance[Job Number],C186&amp;"",tbl_Finance[Cost Centre],"PRODUCTION")&gt;0,"PRODUCTION ","")&amp;IF(COUNTIFS(tbl_Finance[Job Number],C186&amp;"",tbl_Finance[Cost Centre],"VIDEO")&gt;0,"VIDEO ","")&amp;IF(COUNTIFS(tbl_Finance[Job Number],C186&amp;"",tbl_Finance[Cost Centre],"INTEGRATION")&gt;0,"INTEGRATION ","")&amp;IF(COUNTIFS(tbl_Finance[Job Number],C186&amp;"",tbl_Finance[Cost Centre],"CONSULTING")&gt;0,"CONSULTING ","")&amp;IF(COUNTIFS(tbl_Finance[Job Number],C186&amp;"",tbl_Finance[Cost Centre],"CTS")&gt;0,"CTS ",""))," ",", ")))</f>
        <v/>
      </c>
      <c r="L186" s="24" t="n"/>
      <c r="M186" s="24" t="n"/>
      <c r="N186" s="25">
        <f>IF(M186="","",HYPERLINK(IF(LEFT(M186,4)="http",M186,set_QwilrBase&amp;M186),"Open quote"))</f>
        <v/>
      </c>
      <c r="O186" s="69" t="n"/>
      <c r="P186" s="24" t="n"/>
      <c r="Q186" s="24" t="n"/>
    </row>
    <row r="187" ht="15" customHeight="1">
      <c r="A187" s="68">
        <f>IF(C187="","",IFERROR(IF(SUMPRODUCT(MAX((tbl_Finance[Job Number]=C187&amp;"")*(tbl_Finance[Xero Invoice No]&lt;&gt;"")*tbl_Finance[Date]))=0,"",SUMPRODUCT(MAX((tbl_Finance[Job Number]=C187&amp;"")*(tbl_Finance[Xero Invoice No]&lt;&gt;"")*tbl_Finance[Date]))),""))</f>
        <v/>
      </c>
      <c r="B187" s="25">
        <f>IF(C187="","",IF(COUNTIFS(tbl_Finance[Job Number],C187&amp;"",tbl_Finance[Xero Invoice No],"&lt;&gt;")=0,"",IFERROR(IF(COUNTIFS(tbl_Finance[Job Number],C187&amp;"",tbl_Finance[Xero Invoice No],LOOKUP(2,1/((tbl_Finance[Job Number]=C187&amp;"")*(tbl_Finance[Xero Invoice No]&lt;&gt;"")),tbl_Finance[Xero Invoice No]))=COUNTIFS(tbl_Finance[Job Number],C187&amp;"",tbl_Finance[Xero Invoice No],"&lt;&gt;"),LOOKUP(2,1/((tbl_Finance[Job Number]=C187&amp;"")*(tbl_Finance[Xero Invoice No]&lt;&gt;"")),tbl_Finance[Xero Invoice No]),LOOKUP(2,1/((tbl_Finance[Job Number]=C187&amp;"")*(tbl_Finance[Xero Invoice No]&lt;&gt;"")),tbl_Finance[Xero Invoice No])&amp;" +more"),"")))</f>
        <v/>
      </c>
      <c r="C187" s="24" t="n"/>
      <c r="D187" s="25">
        <f>IF(C187="","",IF(COUNTIF(lst_Jobs,C187&amp;"")&gt;0,"OK","CHECK"))</f>
        <v/>
      </c>
      <c r="E187" s="25">
        <f>IF(C187="","",IFERROR(INDEX(lst_JobName,MATCH(C187&amp;"",lst_Jobs,0)),""))</f>
        <v/>
      </c>
      <c r="F187" s="25">
        <f>IF(C187="","",IFERROR(INDEX(tbl_Finance[Client],MATCH(C187&amp;"",tbl_Finance[Job Number],0)),""))</f>
        <v/>
      </c>
      <c r="G187" s="28">
        <f>IF(C187="","",COUNTIFS(tbl_Finance[Job Number],C187&amp;"",tbl_Finance[Ex GST],"&lt;&gt;"))</f>
        <v/>
      </c>
      <c r="H187" s="27">
        <f>IF(C187="","",SUMIFS(tbl_Finance[Ex GST],tbl_Finance[Job Number],C187&amp;""))</f>
        <v/>
      </c>
      <c r="I187" s="27">
        <f>IF(C187="","",SUMIFS(tbl_Finance[Ex GST],tbl_Finance[Job Number],C187&amp;"",tbl_Finance[Xero Invoice No],"&lt;&gt;"))</f>
        <v/>
      </c>
      <c r="J187" s="27">
        <f>IF(C187="","",H187-I187)</f>
        <v/>
      </c>
      <c r="K187" s="25">
        <f>IF(C187="","",IF(G187=0,"not invoiced yet",SUBSTITUTE(TRIM(IF(COUNTIFS(tbl_Finance[Job Number],C187&amp;"",tbl_Finance[Cost Centre],"ONSITE")&gt;0,"ONSITE ","")&amp;IF(COUNTIFS(tbl_Finance[Job Number],C187&amp;"",tbl_Finance[Cost Centre],"PRODUCTION")&gt;0,"PRODUCTION ","")&amp;IF(COUNTIFS(tbl_Finance[Job Number],C187&amp;"",tbl_Finance[Cost Centre],"VIDEO")&gt;0,"VIDEO ","")&amp;IF(COUNTIFS(tbl_Finance[Job Number],C187&amp;"",tbl_Finance[Cost Centre],"INTEGRATION")&gt;0,"INTEGRATION ","")&amp;IF(COUNTIFS(tbl_Finance[Job Number],C187&amp;"",tbl_Finance[Cost Centre],"CONSULTING")&gt;0,"CONSULTING ","")&amp;IF(COUNTIFS(tbl_Finance[Job Number],C187&amp;"",tbl_Finance[Cost Centre],"CTS")&gt;0,"CTS ",""))," ",", ")))</f>
        <v/>
      </c>
      <c r="L187" s="24" t="n"/>
      <c r="M187" s="24" t="n"/>
      <c r="N187" s="25">
        <f>IF(M187="","",HYPERLINK(IF(LEFT(M187,4)="http",M187,set_QwilrBase&amp;M187),"Open quote"))</f>
        <v/>
      </c>
      <c r="O187" s="69" t="n"/>
      <c r="P187" s="24" t="n"/>
      <c r="Q187" s="24" t="n"/>
    </row>
    <row r="188" ht="15" customHeight="1">
      <c r="A188" s="68">
        <f>IF(C188="","",IFERROR(IF(SUMPRODUCT(MAX((tbl_Finance[Job Number]=C188&amp;"")*(tbl_Finance[Xero Invoice No]&lt;&gt;"")*tbl_Finance[Date]))=0,"",SUMPRODUCT(MAX((tbl_Finance[Job Number]=C188&amp;"")*(tbl_Finance[Xero Invoice No]&lt;&gt;"")*tbl_Finance[Date]))),""))</f>
        <v/>
      </c>
      <c r="B188" s="25">
        <f>IF(C188="","",IF(COUNTIFS(tbl_Finance[Job Number],C188&amp;"",tbl_Finance[Xero Invoice No],"&lt;&gt;")=0,"",IFERROR(IF(COUNTIFS(tbl_Finance[Job Number],C188&amp;"",tbl_Finance[Xero Invoice No],LOOKUP(2,1/((tbl_Finance[Job Number]=C188&amp;"")*(tbl_Finance[Xero Invoice No]&lt;&gt;"")),tbl_Finance[Xero Invoice No]))=COUNTIFS(tbl_Finance[Job Number],C188&amp;"",tbl_Finance[Xero Invoice No],"&lt;&gt;"),LOOKUP(2,1/((tbl_Finance[Job Number]=C188&amp;"")*(tbl_Finance[Xero Invoice No]&lt;&gt;"")),tbl_Finance[Xero Invoice No]),LOOKUP(2,1/((tbl_Finance[Job Number]=C188&amp;"")*(tbl_Finance[Xero Invoice No]&lt;&gt;"")),tbl_Finance[Xero Invoice No])&amp;" +more"),"")))</f>
        <v/>
      </c>
      <c r="C188" s="24" t="n"/>
      <c r="D188" s="25">
        <f>IF(C188="","",IF(COUNTIF(lst_Jobs,C188&amp;"")&gt;0,"OK","CHECK"))</f>
        <v/>
      </c>
      <c r="E188" s="25">
        <f>IF(C188="","",IFERROR(INDEX(lst_JobName,MATCH(C188&amp;"",lst_Jobs,0)),""))</f>
        <v/>
      </c>
      <c r="F188" s="25">
        <f>IF(C188="","",IFERROR(INDEX(tbl_Finance[Client],MATCH(C188&amp;"",tbl_Finance[Job Number],0)),""))</f>
        <v/>
      </c>
      <c r="G188" s="28">
        <f>IF(C188="","",COUNTIFS(tbl_Finance[Job Number],C188&amp;"",tbl_Finance[Ex GST],"&lt;&gt;"))</f>
        <v/>
      </c>
      <c r="H188" s="27">
        <f>IF(C188="","",SUMIFS(tbl_Finance[Ex GST],tbl_Finance[Job Number],C188&amp;""))</f>
        <v/>
      </c>
      <c r="I188" s="27">
        <f>IF(C188="","",SUMIFS(tbl_Finance[Ex GST],tbl_Finance[Job Number],C188&amp;"",tbl_Finance[Xero Invoice No],"&lt;&gt;"))</f>
        <v/>
      </c>
      <c r="J188" s="27">
        <f>IF(C188="","",H188-I188)</f>
        <v/>
      </c>
      <c r="K188" s="25">
        <f>IF(C188="","",IF(G188=0,"not invoiced yet",SUBSTITUTE(TRIM(IF(COUNTIFS(tbl_Finance[Job Number],C188&amp;"",tbl_Finance[Cost Centre],"ONSITE")&gt;0,"ONSITE ","")&amp;IF(COUNTIFS(tbl_Finance[Job Number],C188&amp;"",tbl_Finance[Cost Centre],"PRODUCTION")&gt;0,"PRODUCTION ","")&amp;IF(COUNTIFS(tbl_Finance[Job Number],C188&amp;"",tbl_Finance[Cost Centre],"VIDEO")&gt;0,"VIDEO ","")&amp;IF(COUNTIFS(tbl_Finance[Job Number],C188&amp;"",tbl_Finance[Cost Centre],"INTEGRATION")&gt;0,"INTEGRATION ","")&amp;IF(COUNTIFS(tbl_Finance[Job Number],C188&amp;"",tbl_Finance[Cost Centre],"CONSULTING")&gt;0,"CONSULTING ","")&amp;IF(COUNTIFS(tbl_Finance[Job Number],C188&amp;"",tbl_Finance[Cost Centre],"CTS")&gt;0,"CTS ",""))," ",", ")))</f>
        <v/>
      </c>
      <c r="L188" s="24" t="n"/>
      <c r="M188" s="24" t="n"/>
      <c r="N188" s="25">
        <f>IF(M188="","",HYPERLINK(IF(LEFT(M188,4)="http",M188,set_QwilrBase&amp;M188),"Open quote"))</f>
        <v/>
      </c>
      <c r="O188" s="69" t="n"/>
      <c r="P188" s="24" t="n"/>
      <c r="Q188" s="24" t="n"/>
    </row>
    <row r="189" ht="15" customHeight="1">
      <c r="A189" s="68">
        <f>IF(C189="","",IFERROR(IF(SUMPRODUCT(MAX((tbl_Finance[Job Number]=C189&amp;"")*(tbl_Finance[Xero Invoice No]&lt;&gt;"")*tbl_Finance[Date]))=0,"",SUMPRODUCT(MAX((tbl_Finance[Job Number]=C189&amp;"")*(tbl_Finance[Xero Invoice No]&lt;&gt;"")*tbl_Finance[Date]))),""))</f>
        <v/>
      </c>
      <c r="B189" s="25">
        <f>IF(C189="","",IF(COUNTIFS(tbl_Finance[Job Number],C189&amp;"",tbl_Finance[Xero Invoice No],"&lt;&gt;")=0,"",IFERROR(IF(COUNTIFS(tbl_Finance[Job Number],C189&amp;"",tbl_Finance[Xero Invoice No],LOOKUP(2,1/((tbl_Finance[Job Number]=C189&amp;"")*(tbl_Finance[Xero Invoice No]&lt;&gt;"")),tbl_Finance[Xero Invoice No]))=COUNTIFS(tbl_Finance[Job Number],C189&amp;"",tbl_Finance[Xero Invoice No],"&lt;&gt;"),LOOKUP(2,1/((tbl_Finance[Job Number]=C189&amp;"")*(tbl_Finance[Xero Invoice No]&lt;&gt;"")),tbl_Finance[Xero Invoice No]),LOOKUP(2,1/((tbl_Finance[Job Number]=C189&amp;"")*(tbl_Finance[Xero Invoice No]&lt;&gt;"")),tbl_Finance[Xero Invoice No])&amp;" +more"),"")))</f>
        <v/>
      </c>
      <c r="C189" s="24" t="n"/>
      <c r="D189" s="25">
        <f>IF(C189="","",IF(COUNTIF(lst_Jobs,C189&amp;"")&gt;0,"OK","CHECK"))</f>
        <v/>
      </c>
      <c r="E189" s="25">
        <f>IF(C189="","",IFERROR(INDEX(lst_JobName,MATCH(C189&amp;"",lst_Jobs,0)),""))</f>
        <v/>
      </c>
      <c r="F189" s="25">
        <f>IF(C189="","",IFERROR(INDEX(tbl_Finance[Client],MATCH(C189&amp;"",tbl_Finance[Job Number],0)),""))</f>
        <v/>
      </c>
      <c r="G189" s="28">
        <f>IF(C189="","",COUNTIFS(tbl_Finance[Job Number],C189&amp;"",tbl_Finance[Ex GST],"&lt;&gt;"))</f>
        <v/>
      </c>
      <c r="H189" s="27">
        <f>IF(C189="","",SUMIFS(tbl_Finance[Ex GST],tbl_Finance[Job Number],C189&amp;""))</f>
        <v/>
      </c>
      <c r="I189" s="27">
        <f>IF(C189="","",SUMIFS(tbl_Finance[Ex GST],tbl_Finance[Job Number],C189&amp;"",tbl_Finance[Xero Invoice No],"&lt;&gt;"))</f>
        <v/>
      </c>
      <c r="J189" s="27">
        <f>IF(C189="","",H189-I189)</f>
        <v/>
      </c>
      <c r="K189" s="25">
        <f>IF(C189="","",IF(G189=0,"not invoiced yet",SUBSTITUTE(TRIM(IF(COUNTIFS(tbl_Finance[Job Number],C189&amp;"",tbl_Finance[Cost Centre],"ONSITE")&gt;0,"ONSITE ","")&amp;IF(COUNTIFS(tbl_Finance[Job Number],C189&amp;"",tbl_Finance[Cost Centre],"PRODUCTION")&gt;0,"PRODUCTION ","")&amp;IF(COUNTIFS(tbl_Finance[Job Number],C189&amp;"",tbl_Finance[Cost Centre],"VIDEO")&gt;0,"VIDEO ","")&amp;IF(COUNTIFS(tbl_Finance[Job Number],C189&amp;"",tbl_Finance[Cost Centre],"INTEGRATION")&gt;0,"INTEGRATION ","")&amp;IF(COUNTIFS(tbl_Finance[Job Number],C189&amp;"",tbl_Finance[Cost Centre],"CONSULTING")&gt;0,"CONSULTING ","")&amp;IF(COUNTIFS(tbl_Finance[Job Number],C189&amp;"",tbl_Finance[Cost Centre],"CTS")&gt;0,"CTS ",""))," ",", ")))</f>
        <v/>
      </c>
      <c r="L189" s="24" t="n"/>
      <c r="M189" s="24" t="n"/>
      <c r="N189" s="25">
        <f>IF(M189="","",HYPERLINK(IF(LEFT(M189,4)="http",M189,set_QwilrBase&amp;M189),"Open quote"))</f>
        <v/>
      </c>
      <c r="O189" s="69" t="n"/>
      <c r="P189" s="24" t="n"/>
      <c r="Q189" s="24" t="n"/>
    </row>
    <row r="190" ht="15" customHeight="1">
      <c r="A190" s="68">
        <f>IF(C190="","",IFERROR(IF(SUMPRODUCT(MAX((tbl_Finance[Job Number]=C190&amp;"")*(tbl_Finance[Xero Invoice No]&lt;&gt;"")*tbl_Finance[Date]))=0,"",SUMPRODUCT(MAX((tbl_Finance[Job Number]=C190&amp;"")*(tbl_Finance[Xero Invoice No]&lt;&gt;"")*tbl_Finance[Date]))),""))</f>
        <v/>
      </c>
      <c r="B190" s="25">
        <f>IF(C190="","",IF(COUNTIFS(tbl_Finance[Job Number],C190&amp;"",tbl_Finance[Xero Invoice No],"&lt;&gt;")=0,"",IFERROR(IF(COUNTIFS(tbl_Finance[Job Number],C190&amp;"",tbl_Finance[Xero Invoice No],LOOKUP(2,1/((tbl_Finance[Job Number]=C190&amp;"")*(tbl_Finance[Xero Invoice No]&lt;&gt;"")),tbl_Finance[Xero Invoice No]))=COUNTIFS(tbl_Finance[Job Number],C190&amp;"",tbl_Finance[Xero Invoice No],"&lt;&gt;"),LOOKUP(2,1/((tbl_Finance[Job Number]=C190&amp;"")*(tbl_Finance[Xero Invoice No]&lt;&gt;"")),tbl_Finance[Xero Invoice No]),LOOKUP(2,1/((tbl_Finance[Job Number]=C190&amp;"")*(tbl_Finance[Xero Invoice No]&lt;&gt;"")),tbl_Finance[Xero Invoice No])&amp;" +more"),"")))</f>
        <v/>
      </c>
      <c r="C190" s="24" t="n"/>
      <c r="D190" s="25">
        <f>IF(C190="","",IF(COUNTIF(lst_Jobs,C190&amp;"")&gt;0,"OK","CHECK"))</f>
        <v/>
      </c>
      <c r="E190" s="25">
        <f>IF(C190="","",IFERROR(INDEX(lst_JobName,MATCH(C190&amp;"",lst_Jobs,0)),""))</f>
        <v/>
      </c>
      <c r="F190" s="25">
        <f>IF(C190="","",IFERROR(INDEX(tbl_Finance[Client],MATCH(C190&amp;"",tbl_Finance[Job Number],0)),""))</f>
        <v/>
      </c>
      <c r="G190" s="28">
        <f>IF(C190="","",COUNTIFS(tbl_Finance[Job Number],C190&amp;"",tbl_Finance[Ex GST],"&lt;&gt;"))</f>
        <v/>
      </c>
      <c r="H190" s="27">
        <f>IF(C190="","",SUMIFS(tbl_Finance[Ex GST],tbl_Finance[Job Number],C190&amp;""))</f>
        <v/>
      </c>
      <c r="I190" s="27">
        <f>IF(C190="","",SUMIFS(tbl_Finance[Ex GST],tbl_Finance[Job Number],C190&amp;"",tbl_Finance[Xero Invoice No],"&lt;&gt;"))</f>
        <v/>
      </c>
      <c r="J190" s="27">
        <f>IF(C190="","",H190-I190)</f>
        <v/>
      </c>
      <c r="K190" s="25">
        <f>IF(C190="","",IF(G190=0,"not invoiced yet",SUBSTITUTE(TRIM(IF(COUNTIFS(tbl_Finance[Job Number],C190&amp;"",tbl_Finance[Cost Centre],"ONSITE")&gt;0,"ONSITE ","")&amp;IF(COUNTIFS(tbl_Finance[Job Number],C190&amp;"",tbl_Finance[Cost Centre],"PRODUCTION")&gt;0,"PRODUCTION ","")&amp;IF(COUNTIFS(tbl_Finance[Job Number],C190&amp;"",tbl_Finance[Cost Centre],"VIDEO")&gt;0,"VIDEO ","")&amp;IF(COUNTIFS(tbl_Finance[Job Number],C190&amp;"",tbl_Finance[Cost Centre],"INTEGRATION")&gt;0,"INTEGRATION ","")&amp;IF(COUNTIFS(tbl_Finance[Job Number],C190&amp;"",tbl_Finance[Cost Centre],"CONSULTING")&gt;0,"CONSULTING ","")&amp;IF(COUNTIFS(tbl_Finance[Job Number],C190&amp;"",tbl_Finance[Cost Centre],"CTS")&gt;0,"CTS ",""))," ",", ")))</f>
        <v/>
      </c>
      <c r="L190" s="24" t="n"/>
      <c r="M190" s="24" t="n"/>
      <c r="N190" s="25">
        <f>IF(M190="","",HYPERLINK(IF(LEFT(M190,4)="http",M190,set_QwilrBase&amp;M190),"Open quote"))</f>
        <v/>
      </c>
      <c r="O190" s="69" t="n"/>
      <c r="P190" s="24" t="n"/>
      <c r="Q190" s="24" t="n"/>
    </row>
    <row r="191" ht="15" customHeight="1">
      <c r="A191" s="68">
        <f>IF(C191="","",IFERROR(IF(SUMPRODUCT(MAX((tbl_Finance[Job Number]=C191&amp;"")*(tbl_Finance[Xero Invoice No]&lt;&gt;"")*tbl_Finance[Date]))=0,"",SUMPRODUCT(MAX((tbl_Finance[Job Number]=C191&amp;"")*(tbl_Finance[Xero Invoice No]&lt;&gt;"")*tbl_Finance[Date]))),""))</f>
        <v/>
      </c>
      <c r="B191" s="25">
        <f>IF(C191="","",IF(COUNTIFS(tbl_Finance[Job Number],C191&amp;"",tbl_Finance[Xero Invoice No],"&lt;&gt;")=0,"",IFERROR(IF(COUNTIFS(tbl_Finance[Job Number],C191&amp;"",tbl_Finance[Xero Invoice No],LOOKUP(2,1/((tbl_Finance[Job Number]=C191&amp;"")*(tbl_Finance[Xero Invoice No]&lt;&gt;"")),tbl_Finance[Xero Invoice No]))=COUNTIFS(tbl_Finance[Job Number],C191&amp;"",tbl_Finance[Xero Invoice No],"&lt;&gt;"),LOOKUP(2,1/((tbl_Finance[Job Number]=C191&amp;"")*(tbl_Finance[Xero Invoice No]&lt;&gt;"")),tbl_Finance[Xero Invoice No]),LOOKUP(2,1/((tbl_Finance[Job Number]=C191&amp;"")*(tbl_Finance[Xero Invoice No]&lt;&gt;"")),tbl_Finance[Xero Invoice No])&amp;" +more"),"")))</f>
        <v/>
      </c>
      <c r="C191" s="24" t="n"/>
      <c r="D191" s="25">
        <f>IF(C191="","",IF(COUNTIF(lst_Jobs,C191&amp;"")&gt;0,"OK","CHECK"))</f>
        <v/>
      </c>
      <c r="E191" s="25">
        <f>IF(C191="","",IFERROR(INDEX(lst_JobName,MATCH(C191&amp;"",lst_Jobs,0)),""))</f>
        <v/>
      </c>
      <c r="F191" s="25">
        <f>IF(C191="","",IFERROR(INDEX(tbl_Finance[Client],MATCH(C191&amp;"",tbl_Finance[Job Number],0)),""))</f>
        <v/>
      </c>
      <c r="G191" s="28">
        <f>IF(C191="","",COUNTIFS(tbl_Finance[Job Number],C191&amp;"",tbl_Finance[Ex GST],"&lt;&gt;"))</f>
        <v/>
      </c>
      <c r="H191" s="27">
        <f>IF(C191="","",SUMIFS(tbl_Finance[Ex GST],tbl_Finance[Job Number],C191&amp;""))</f>
        <v/>
      </c>
      <c r="I191" s="27">
        <f>IF(C191="","",SUMIFS(tbl_Finance[Ex GST],tbl_Finance[Job Number],C191&amp;"",tbl_Finance[Xero Invoice No],"&lt;&gt;"))</f>
        <v/>
      </c>
      <c r="J191" s="27">
        <f>IF(C191="","",H191-I191)</f>
        <v/>
      </c>
      <c r="K191" s="25">
        <f>IF(C191="","",IF(G191=0,"not invoiced yet",SUBSTITUTE(TRIM(IF(COUNTIFS(tbl_Finance[Job Number],C191&amp;"",tbl_Finance[Cost Centre],"ONSITE")&gt;0,"ONSITE ","")&amp;IF(COUNTIFS(tbl_Finance[Job Number],C191&amp;"",tbl_Finance[Cost Centre],"PRODUCTION")&gt;0,"PRODUCTION ","")&amp;IF(COUNTIFS(tbl_Finance[Job Number],C191&amp;"",tbl_Finance[Cost Centre],"VIDEO")&gt;0,"VIDEO ","")&amp;IF(COUNTIFS(tbl_Finance[Job Number],C191&amp;"",tbl_Finance[Cost Centre],"INTEGRATION")&gt;0,"INTEGRATION ","")&amp;IF(COUNTIFS(tbl_Finance[Job Number],C191&amp;"",tbl_Finance[Cost Centre],"CONSULTING")&gt;0,"CONSULTING ","")&amp;IF(COUNTIFS(tbl_Finance[Job Number],C191&amp;"",tbl_Finance[Cost Centre],"CTS")&gt;0,"CTS ",""))," ",", ")))</f>
        <v/>
      </c>
      <c r="L191" s="24" t="n"/>
      <c r="M191" s="24" t="n"/>
      <c r="N191" s="25">
        <f>IF(M191="","",HYPERLINK(IF(LEFT(M191,4)="http",M191,set_QwilrBase&amp;M191),"Open quote"))</f>
        <v/>
      </c>
      <c r="O191" s="69" t="n"/>
      <c r="P191" s="24" t="n"/>
      <c r="Q191" s="24" t="n"/>
    </row>
    <row r="192" ht="15" customHeight="1">
      <c r="A192" s="68">
        <f>IF(C192="","",IFERROR(IF(SUMPRODUCT(MAX((tbl_Finance[Job Number]=C192&amp;"")*(tbl_Finance[Xero Invoice No]&lt;&gt;"")*tbl_Finance[Date]))=0,"",SUMPRODUCT(MAX((tbl_Finance[Job Number]=C192&amp;"")*(tbl_Finance[Xero Invoice No]&lt;&gt;"")*tbl_Finance[Date]))),""))</f>
        <v/>
      </c>
      <c r="B192" s="25">
        <f>IF(C192="","",IF(COUNTIFS(tbl_Finance[Job Number],C192&amp;"",tbl_Finance[Xero Invoice No],"&lt;&gt;")=0,"",IFERROR(IF(COUNTIFS(tbl_Finance[Job Number],C192&amp;"",tbl_Finance[Xero Invoice No],LOOKUP(2,1/((tbl_Finance[Job Number]=C192&amp;"")*(tbl_Finance[Xero Invoice No]&lt;&gt;"")),tbl_Finance[Xero Invoice No]))=COUNTIFS(tbl_Finance[Job Number],C192&amp;"",tbl_Finance[Xero Invoice No],"&lt;&gt;"),LOOKUP(2,1/((tbl_Finance[Job Number]=C192&amp;"")*(tbl_Finance[Xero Invoice No]&lt;&gt;"")),tbl_Finance[Xero Invoice No]),LOOKUP(2,1/((tbl_Finance[Job Number]=C192&amp;"")*(tbl_Finance[Xero Invoice No]&lt;&gt;"")),tbl_Finance[Xero Invoice No])&amp;" +more"),"")))</f>
        <v/>
      </c>
      <c r="C192" s="24" t="n"/>
      <c r="D192" s="25">
        <f>IF(C192="","",IF(COUNTIF(lst_Jobs,C192&amp;"")&gt;0,"OK","CHECK"))</f>
        <v/>
      </c>
      <c r="E192" s="25">
        <f>IF(C192="","",IFERROR(INDEX(lst_JobName,MATCH(C192&amp;"",lst_Jobs,0)),""))</f>
        <v/>
      </c>
      <c r="F192" s="25">
        <f>IF(C192="","",IFERROR(INDEX(tbl_Finance[Client],MATCH(C192&amp;"",tbl_Finance[Job Number],0)),""))</f>
        <v/>
      </c>
      <c r="G192" s="28">
        <f>IF(C192="","",COUNTIFS(tbl_Finance[Job Number],C192&amp;"",tbl_Finance[Ex GST],"&lt;&gt;"))</f>
        <v/>
      </c>
      <c r="H192" s="27">
        <f>IF(C192="","",SUMIFS(tbl_Finance[Ex GST],tbl_Finance[Job Number],C192&amp;""))</f>
        <v/>
      </c>
      <c r="I192" s="27">
        <f>IF(C192="","",SUMIFS(tbl_Finance[Ex GST],tbl_Finance[Job Number],C192&amp;"",tbl_Finance[Xero Invoice No],"&lt;&gt;"))</f>
        <v/>
      </c>
      <c r="J192" s="27">
        <f>IF(C192="","",H192-I192)</f>
        <v/>
      </c>
      <c r="K192" s="25">
        <f>IF(C192="","",IF(G192=0,"not invoiced yet",SUBSTITUTE(TRIM(IF(COUNTIFS(tbl_Finance[Job Number],C192&amp;"",tbl_Finance[Cost Centre],"ONSITE")&gt;0,"ONSITE ","")&amp;IF(COUNTIFS(tbl_Finance[Job Number],C192&amp;"",tbl_Finance[Cost Centre],"PRODUCTION")&gt;0,"PRODUCTION ","")&amp;IF(COUNTIFS(tbl_Finance[Job Number],C192&amp;"",tbl_Finance[Cost Centre],"VIDEO")&gt;0,"VIDEO ","")&amp;IF(COUNTIFS(tbl_Finance[Job Number],C192&amp;"",tbl_Finance[Cost Centre],"INTEGRATION")&gt;0,"INTEGRATION ","")&amp;IF(COUNTIFS(tbl_Finance[Job Number],C192&amp;"",tbl_Finance[Cost Centre],"CONSULTING")&gt;0,"CONSULTING ","")&amp;IF(COUNTIFS(tbl_Finance[Job Number],C192&amp;"",tbl_Finance[Cost Centre],"CTS")&gt;0,"CTS ",""))," ",", ")))</f>
        <v/>
      </c>
      <c r="L192" s="24" t="n"/>
      <c r="M192" s="24" t="n"/>
      <c r="N192" s="25">
        <f>IF(M192="","",HYPERLINK(IF(LEFT(M192,4)="http",M192,set_QwilrBase&amp;M192),"Open quote"))</f>
        <v/>
      </c>
      <c r="O192" s="69" t="n"/>
      <c r="P192" s="24" t="n"/>
      <c r="Q192" s="24" t="n"/>
    </row>
    <row r="193" ht="15" customHeight="1">
      <c r="A193" s="68">
        <f>IF(C193="","",IFERROR(IF(SUMPRODUCT(MAX((tbl_Finance[Job Number]=C193&amp;"")*(tbl_Finance[Xero Invoice No]&lt;&gt;"")*tbl_Finance[Date]))=0,"",SUMPRODUCT(MAX((tbl_Finance[Job Number]=C193&amp;"")*(tbl_Finance[Xero Invoice No]&lt;&gt;"")*tbl_Finance[Date]))),""))</f>
        <v/>
      </c>
      <c r="B193" s="25">
        <f>IF(C193="","",IF(COUNTIFS(tbl_Finance[Job Number],C193&amp;"",tbl_Finance[Xero Invoice No],"&lt;&gt;")=0,"",IFERROR(IF(COUNTIFS(tbl_Finance[Job Number],C193&amp;"",tbl_Finance[Xero Invoice No],LOOKUP(2,1/((tbl_Finance[Job Number]=C193&amp;"")*(tbl_Finance[Xero Invoice No]&lt;&gt;"")),tbl_Finance[Xero Invoice No]))=COUNTIFS(tbl_Finance[Job Number],C193&amp;"",tbl_Finance[Xero Invoice No],"&lt;&gt;"),LOOKUP(2,1/((tbl_Finance[Job Number]=C193&amp;"")*(tbl_Finance[Xero Invoice No]&lt;&gt;"")),tbl_Finance[Xero Invoice No]),LOOKUP(2,1/((tbl_Finance[Job Number]=C193&amp;"")*(tbl_Finance[Xero Invoice No]&lt;&gt;"")),tbl_Finance[Xero Invoice No])&amp;" +more"),"")))</f>
        <v/>
      </c>
      <c r="C193" s="24" t="n"/>
      <c r="D193" s="25">
        <f>IF(C193="","",IF(COUNTIF(lst_Jobs,C193&amp;"")&gt;0,"OK","CHECK"))</f>
        <v/>
      </c>
      <c r="E193" s="25">
        <f>IF(C193="","",IFERROR(INDEX(lst_JobName,MATCH(C193&amp;"",lst_Jobs,0)),""))</f>
        <v/>
      </c>
      <c r="F193" s="25">
        <f>IF(C193="","",IFERROR(INDEX(tbl_Finance[Client],MATCH(C193&amp;"",tbl_Finance[Job Number],0)),""))</f>
        <v/>
      </c>
      <c r="G193" s="28">
        <f>IF(C193="","",COUNTIFS(tbl_Finance[Job Number],C193&amp;"",tbl_Finance[Ex GST],"&lt;&gt;"))</f>
        <v/>
      </c>
      <c r="H193" s="27">
        <f>IF(C193="","",SUMIFS(tbl_Finance[Ex GST],tbl_Finance[Job Number],C193&amp;""))</f>
        <v/>
      </c>
      <c r="I193" s="27">
        <f>IF(C193="","",SUMIFS(tbl_Finance[Ex GST],tbl_Finance[Job Number],C193&amp;"",tbl_Finance[Xero Invoice No],"&lt;&gt;"))</f>
        <v/>
      </c>
      <c r="J193" s="27">
        <f>IF(C193="","",H193-I193)</f>
        <v/>
      </c>
      <c r="K193" s="25">
        <f>IF(C193="","",IF(G193=0,"not invoiced yet",SUBSTITUTE(TRIM(IF(COUNTIFS(tbl_Finance[Job Number],C193&amp;"",tbl_Finance[Cost Centre],"ONSITE")&gt;0,"ONSITE ","")&amp;IF(COUNTIFS(tbl_Finance[Job Number],C193&amp;"",tbl_Finance[Cost Centre],"PRODUCTION")&gt;0,"PRODUCTION ","")&amp;IF(COUNTIFS(tbl_Finance[Job Number],C193&amp;"",tbl_Finance[Cost Centre],"VIDEO")&gt;0,"VIDEO ","")&amp;IF(COUNTIFS(tbl_Finance[Job Number],C193&amp;"",tbl_Finance[Cost Centre],"INTEGRATION")&gt;0,"INTEGRATION ","")&amp;IF(COUNTIFS(tbl_Finance[Job Number],C193&amp;"",tbl_Finance[Cost Centre],"CONSULTING")&gt;0,"CONSULTING ","")&amp;IF(COUNTIFS(tbl_Finance[Job Number],C193&amp;"",tbl_Finance[Cost Centre],"CTS")&gt;0,"CTS ",""))," ",", ")))</f>
        <v/>
      </c>
      <c r="L193" s="24" t="n"/>
      <c r="M193" s="24" t="n"/>
      <c r="N193" s="25">
        <f>IF(M193="","",HYPERLINK(IF(LEFT(M193,4)="http",M193,set_QwilrBase&amp;M193),"Open quote"))</f>
        <v/>
      </c>
      <c r="O193" s="69" t="n"/>
      <c r="P193" s="24" t="n"/>
      <c r="Q193" s="24" t="n"/>
    </row>
    <row r="194" ht="15" customHeight="1">
      <c r="A194" s="68">
        <f>IF(C194="","",IFERROR(IF(SUMPRODUCT(MAX((tbl_Finance[Job Number]=C194&amp;"")*(tbl_Finance[Xero Invoice No]&lt;&gt;"")*tbl_Finance[Date]))=0,"",SUMPRODUCT(MAX((tbl_Finance[Job Number]=C194&amp;"")*(tbl_Finance[Xero Invoice No]&lt;&gt;"")*tbl_Finance[Date]))),""))</f>
        <v/>
      </c>
      <c r="B194" s="25">
        <f>IF(C194="","",IF(COUNTIFS(tbl_Finance[Job Number],C194&amp;"",tbl_Finance[Xero Invoice No],"&lt;&gt;")=0,"",IFERROR(IF(COUNTIFS(tbl_Finance[Job Number],C194&amp;"",tbl_Finance[Xero Invoice No],LOOKUP(2,1/((tbl_Finance[Job Number]=C194&amp;"")*(tbl_Finance[Xero Invoice No]&lt;&gt;"")),tbl_Finance[Xero Invoice No]))=COUNTIFS(tbl_Finance[Job Number],C194&amp;"",tbl_Finance[Xero Invoice No],"&lt;&gt;"),LOOKUP(2,1/((tbl_Finance[Job Number]=C194&amp;"")*(tbl_Finance[Xero Invoice No]&lt;&gt;"")),tbl_Finance[Xero Invoice No]),LOOKUP(2,1/((tbl_Finance[Job Number]=C194&amp;"")*(tbl_Finance[Xero Invoice No]&lt;&gt;"")),tbl_Finance[Xero Invoice No])&amp;" +more"),"")))</f>
        <v/>
      </c>
      <c r="C194" s="24" t="n"/>
      <c r="D194" s="25">
        <f>IF(C194="","",IF(COUNTIF(lst_Jobs,C194&amp;"")&gt;0,"OK","CHECK"))</f>
        <v/>
      </c>
      <c r="E194" s="25">
        <f>IF(C194="","",IFERROR(INDEX(lst_JobName,MATCH(C194&amp;"",lst_Jobs,0)),""))</f>
        <v/>
      </c>
      <c r="F194" s="25">
        <f>IF(C194="","",IFERROR(INDEX(tbl_Finance[Client],MATCH(C194&amp;"",tbl_Finance[Job Number],0)),""))</f>
        <v/>
      </c>
      <c r="G194" s="28">
        <f>IF(C194="","",COUNTIFS(tbl_Finance[Job Number],C194&amp;"",tbl_Finance[Ex GST],"&lt;&gt;"))</f>
        <v/>
      </c>
      <c r="H194" s="27">
        <f>IF(C194="","",SUMIFS(tbl_Finance[Ex GST],tbl_Finance[Job Number],C194&amp;""))</f>
        <v/>
      </c>
      <c r="I194" s="27">
        <f>IF(C194="","",SUMIFS(tbl_Finance[Ex GST],tbl_Finance[Job Number],C194&amp;"",tbl_Finance[Xero Invoice No],"&lt;&gt;"))</f>
        <v/>
      </c>
      <c r="J194" s="27">
        <f>IF(C194="","",H194-I194)</f>
        <v/>
      </c>
      <c r="K194" s="25">
        <f>IF(C194="","",IF(G194=0,"not invoiced yet",SUBSTITUTE(TRIM(IF(COUNTIFS(tbl_Finance[Job Number],C194&amp;"",tbl_Finance[Cost Centre],"ONSITE")&gt;0,"ONSITE ","")&amp;IF(COUNTIFS(tbl_Finance[Job Number],C194&amp;"",tbl_Finance[Cost Centre],"PRODUCTION")&gt;0,"PRODUCTION ","")&amp;IF(COUNTIFS(tbl_Finance[Job Number],C194&amp;"",tbl_Finance[Cost Centre],"VIDEO")&gt;0,"VIDEO ","")&amp;IF(COUNTIFS(tbl_Finance[Job Number],C194&amp;"",tbl_Finance[Cost Centre],"INTEGRATION")&gt;0,"INTEGRATION ","")&amp;IF(COUNTIFS(tbl_Finance[Job Number],C194&amp;"",tbl_Finance[Cost Centre],"CONSULTING")&gt;0,"CONSULTING ","")&amp;IF(COUNTIFS(tbl_Finance[Job Number],C194&amp;"",tbl_Finance[Cost Centre],"CTS")&gt;0,"CTS ",""))," ",", ")))</f>
        <v/>
      </c>
      <c r="L194" s="24" t="n"/>
      <c r="M194" s="24" t="n"/>
      <c r="N194" s="25">
        <f>IF(M194="","",HYPERLINK(IF(LEFT(M194,4)="http",M194,set_QwilrBase&amp;M194),"Open quote"))</f>
        <v/>
      </c>
      <c r="O194" s="69" t="n"/>
      <c r="P194" s="24" t="n"/>
      <c r="Q194" s="24" t="n"/>
    </row>
    <row r="195" ht="15" customHeight="1">
      <c r="A195" s="68">
        <f>IF(C195="","",IFERROR(IF(SUMPRODUCT(MAX((tbl_Finance[Job Number]=C195&amp;"")*(tbl_Finance[Xero Invoice No]&lt;&gt;"")*tbl_Finance[Date]))=0,"",SUMPRODUCT(MAX((tbl_Finance[Job Number]=C195&amp;"")*(tbl_Finance[Xero Invoice No]&lt;&gt;"")*tbl_Finance[Date]))),""))</f>
        <v/>
      </c>
      <c r="B195" s="25">
        <f>IF(C195="","",IF(COUNTIFS(tbl_Finance[Job Number],C195&amp;"",tbl_Finance[Xero Invoice No],"&lt;&gt;")=0,"",IFERROR(IF(COUNTIFS(tbl_Finance[Job Number],C195&amp;"",tbl_Finance[Xero Invoice No],LOOKUP(2,1/((tbl_Finance[Job Number]=C195&amp;"")*(tbl_Finance[Xero Invoice No]&lt;&gt;"")),tbl_Finance[Xero Invoice No]))=COUNTIFS(tbl_Finance[Job Number],C195&amp;"",tbl_Finance[Xero Invoice No],"&lt;&gt;"),LOOKUP(2,1/((tbl_Finance[Job Number]=C195&amp;"")*(tbl_Finance[Xero Invoice No]&lt;&gt;"")),tbl_Finance[Xero Invoice No]),LOOKUP(2,1/((tbl_Finance[Job Number]=C195&amp;"")*(tbl_Finance[Xero Invoice No]&lt;&gt;"")),tbl_Finance[Xero Invoice No])&amp;" +more"),"")))</f>
        <v/>
      </c>
      <c r="C195" s="24" t="n"/>
      <c r="D195" s="25">
        <f>IF(C195="","",IF(COUNTIF(lst_Jobs,C195&amp;"")&gt;0,"OK","CHECK"))</f>
        <v/>
      </c>
      <c r="E195" s="25">
        <f>IF(C195="","",IFERROR(INDEX(lst_JobName,MATCH(C195&amp;"",lst_Jobs,0)),""))</f>
        <v/>
      </c>
      <c r="F195" s="25">
        <f>IF(C195="","",IFERROR(INDEX(tbl_Finance[Client],MATCH(C195&amp;"",tbl_Finance[Job Number],0)),""))</f>
        <v/>
      </c>
      <c r="G195" s="28">
        <f>IF(C195="","",COUNTIFS(tbl_Finance[Job Number],C195&amp;"",tbl_Finance[Ex GST],"&lt;&gt;"))</f>
        <v/>
      </c>
      <c r="H195" s="27">
        <f>IF(C195="","",SUMIFS(tbl_Finance[Ex GST],tbl_Finance[Job Number],C195&amp;""))</f>
        <v/>
      </c>
      <c r="I195" s="27">
        <f>IF(C195="","",SUMIFS(tbl_Finance[Ex GST],tbl_Finance[Job Number],C195&amp;"",tbl_Finance[Xero Invoice No],"&lt;&gt;"))</f>
        <v/>
      </c>
      <c r="J195" s="27">
        <f>IF(C195="","",H195-I195)</f>
        <v/>
      </c>
      <c r="K195" s="25">
        <f>IF(C195="","",IF(G195=0,"not invoiced yet",SUBSTITUTE(TRIM(IF(COUNTIFS(tbl_Finance[Job Number],C195&amp;"",tbl_Finance[Cost Centre],"ONSITE")&gt;0,"ONSITE ","")&amp;IF(COUNTIFS(tbl_Finance[Job Number],C195&amp;"",tbl_Finance[Cost Centre],"PRODUCTION")&gt;0,"PRODUCTION ","")&amp;IF(COUNTIFS(tbl_Finance[Job Number],C195&amp;"",tbl_Finance[Cost Centre],"VIDEO")&gt;0,"VIDEO ","")&amp;IF(COUNTIFS(tbl_Finance[Job Number],C195&amp;"",tbl_Finance[Cost Centre],"INTEGRATION")&gt;0,"INTEGRATION ","")&amp;IF(COUNTIFS(tbl_Finance[Job Number],C195&amp;"",tbl_Finance[Cost Centre],"CONSULTING")&gt;0,"CONSULTING ","")&amp;IF(COUNTIFS(tbl_Finance[Job Number],C195&amp;"",tbl_Finance[Cost Centre],"CTS")&gt;0,"CTS ",""))," ",", ")))</f>
        <v/>
      </c>
      <c r="L195" s="24" t="n"/>
      <c r="M195" s="24" t="n"/>
      <c r="N195" s="25">
        <f>IF(M195="","",HYPERLINK(IF(LEFT(M195,4)="http",M195,set_QwilrBase&amp;M195),"Open quote"))</f>
        <v/>
      </c>
      <c r="O195" s="69" t="n"/>
      <c r="P195" s="24" t="n"/>
      <c r="Q195" s="24" t="n"/>
    </row>
    <row r="196" ht="15" customHeight="1">
      <c r="A196" s="68">
        <f>IF(C196="","",IFERROR(IF(SUMPRODUCT(MAX((tbl_Finance[Job Number]=C196&amp;"")*(tbl_Finance[Xero Invoice No]&lt;&gt;"")*tbl_Finance[Date]))=0,"",SUMPRODUCT(MAX((tbl_Finance[Job Number]=C196&amp;"")*(tbl_Finance[Xero Invoice No]&lt;&gt;"")*tbl_Finance[Date]))),""))</f>
        <v/>
      </c>
      <c r="B196" s="25">
        <f>IF(C196="","",IF(COUNTIFS(tbl_Finance[Job Number],C196&amp;"",tbl_Finance[Xero Invoice No],"&lt;&gt;")=0,"",IFERROR(IF(COUNTIFS(tbl_Finance[Job Number],C196&amp;"",tbl_Finance[Xero Invoice No],LOOKUP(2,1/((tbl_Finance[Job Number]=C196&amp;"")*(tbl_Finance[Xero Invoice No]&lt;&gt;"")),tbl_Finance[Xero Invoice No]))=COUNTIFS(tbl_Finance[Job Number],C196&amp;"",tbl_Finance[Xero Invoice No],"&lt;&gt;"),LOOKUP(2,1/((tbl_Finance[Job Number]=C196&amp;"")*(tbl_Finance[Xero Invoice No]&lt;&gt;"")),tbl_Finance[Xero Invoice No]),LOOKUP(2,1/((tbl_Finance[Job Number]=C196&amp;"")*(tbl_Finance[Xero Invoice No]&lt;&gt;"")),tbl_Finance[Xero Invoice No])&amp;" +more"),"")))</f>
        <v/>
      </c>
      <c r="C196" s="24" t="n"/>
      <c r="D196" s="25">
        <f>IF(C196="","",IF(COUNTIF(lst_Jobs,C196&amp;"")&gt;0,"OK","CHECK"))</f>
        <v/>
      </c>
      <c r="E196" s="25">
        <f>IF(C196="","",IFERROR(INDEX(lst_JobName,MATCH(C196&amp;"",lst_Jobs,0)),""))</f>
        <v/>
      </c>
      <c r="F196" s="25">
        <f>IF(C196="","",IFERROR(INDEX(tbl_Finance[Client],MATCH(C196&amp;"",tbl_Finance[Job Number],0)),""))</f>
        <v/>
      </c>
      <c r="G196" s="28">
        <f>IF(C196="","",COUNTIFS(tbl_Finance[Job Number],C196&amp;"",tbl_Finance[Ex GST],"&lt;&gt;"))</f>
        <v/>
      </c>
      <c r="H196" s="27">
        <f>IF(C196="","",SUMIFS(tbl_Finance[Ex GST],tbl_Finance[Job Number],C196&amp;""))</f>
        <v/>
      </c>
      <c r="I196" s="27">
        <f>IF(C196="","",SUMIFS(tbl_Finance[Ex GST],tbl_Finance[Job Number],C196&amp;"",tbl_Finance[Xero Invoice No],"&lt;&gt;"))</f>
        <v/>
      </c>
      <c r="J196" s="27">
        <f>IF(C196="","",H196-I196)</f>
        <v/>
      </c>
      <c r="K196" s="25">
        <f>IF(C196="","",IF(G196=0,"not invoiced yet",SUBSTITUTE(TRIM(IF(COUNTIFS(tbl_Finance[Job Number],C196&amp;"",tbl_Finance[Cost Centre],"ONSITE")&gt;0,"ONSITE ","")&amp;IF(COUNTIFS(tbl_Finance[Job Number],C196&amp;"",tbl_Finance[Cost Centre],"PRODUCTION")&gt;0,"PRODUCTION ","")&amp;IF(COUNTIFS(tbl_Finance[Job Number],C196&amp;"",tbl_Finance[Cost Centre],"VIDEO")&gt;0,"VIDEO ","")&amp;IF(COUNTIFS(tbl_Finance[Job Number],C196&amp;"",tbl_Finance[Cost Centre],"INTEGRATION")&gt;0,"INTEGRATION ","")&amp;IF(COUNTIFS(tbl_Finance[Job Number],C196&amp;"",tbl_Finance[Cost Centre],"CONSULTING")&gt;0,"CONSULTING ","")&amp;IF(COUNTIFS(tbl_Finance[Job Number],C196&amp;"",tbl_Finance[Cost Centre],"CTS")&gt;0,"CTS ",""))," ",", ")))</f>
        <v/>
      </c>
      <c r="L196" s="24" t="n"/>
      <c r="M196" s="24" t="n"/>
      <c r="N196" s="25">
        <f>IF(M196="","",HYPERLINK(IF(LEFT(M196,4)="http",M196,set_QwilrBase&amp;M196),"Open quote"))</f>
        <v/>
      </c>
      <c r="O196" s="69" t="n"/>
      <c r="P196" s="24" t="n"/>
      <c r="Q196" s="24" t="n"/>
    </row>
    <row r="197" ht="15" customHeight="1">
      <c r="A197" s="68">
        <f>IF(C197="","",IFERROR(IF(SUMPRODUCT(MAX((tbl_Finance[Job Number]=C197&amp;"")*(tbl_Finance[Xero Invoice No]&lt;&gt;"")*tbl_Finance[Date]))=0,"",SUMPRODUCT(MAX((tbl_Finance[Job Number]=C197&amp;"")*(tbl_Finance[Xero Invoice No]&lt;&gt;"")*tbl_Finance[Date]))),""))</f>
        <v/>
      </c>
      <c r="B197" s="25">
        <f>IF(C197="","",IF(COUNTIFS(tbl_Finance[Job Number],C197&amp;"",tbl_Finance[Xero Invoice No],"&lt;&gt;")=0,"",IFERROR(IF(COUNTIFS(tbl_Finance[Job Number],C197&amp;"",tbl_Finance[Xero Invoice No],LOOKUP(2,1/((tbl_Finance[Job Number]=C197&amp;"")*(tbl_Finance[Xero Invoice No]&lt;&gt;"")),tbl_Finance[Xero Invoice No]))=COUNTIFS(tbl_Finance[Job Number],C197&amp;"",tbl_Finance[Xero Invoice No],"&lt;&gt;"),LOOKUP(2,1/((tbl_Finance[Job Number]=C197&amp;"")*(tbl_Finance[Xero Invoice No]&lt;&gt;"")),tbl_Finance[Xero Invoice No]),LOOKUP(2,1/((tbl_Finance[Job Number]=C197&amp;"")*(tbl_Finance[Xero Invoice No]&lt;&gt;"")),tbl_Finance[Xero Invoice No])&amp;" +more"),"")))</f>
        <v/>
      </c>
      <c r="C197" s="24" t="n"/>
      <c r="D197" s="25">
        <f>IF(C197="","",IF(COUNTIF(lst_Jobs,C197&amp;"")&gt;0,"OK","CHECK"))</f>
        <v/>
      </c>
      <c r="E197" s="25">
        <f>IF(C197="","",IFERROR(INDEX(lst_JobName,MATCH(C197&amp;"",lst_Jobs,0)),""))</f>
        <v/>
      </c>
      <c r="F197" s="25">
        <f>IF(C197="","",IFERROR(INDEX(tbl_Finance[Client],MATCH(C197&amp;"",tbl_Finance[Job Number],0)),""))</f>
        <v/>
      </c>
      <c r="G197" s="28">
        <f>IF(C197="","",COUNTIFS(tbl_Finance[Job Number],C197&amp;"",tbl_Finance[Ex GST],"&lt;&gt;"))</f>
        <v/>
      </c>
      <c r="H197" s="27">
        <f>IF(C197="","",SUMIFS(tbl_Finance[Ex GST],tbl_Finance[Job Number],C197&amp;""))</f>
        <v/>
      </c>
      <c r="I197" s="27">
        <f>IF(C197="","",SUMIFS(tbl_Finance[Ex GST],tbl_Finance[Job Number],C197&amp;"",tbl_Finance[Xero Invoice No],"&lt;&gt;"))</f>
        <v/>
      </c>
      <c r="J197" s="27">
        <f>IF(C197="","",H197-I197)</f>
        <v/>
      </c>
      <c r="K197" s="25">
        <f>IF(C197="","",IF(G197=0,"not invoiced yet",SUBSTITUTE(TRIM(IF(COUNTIFS(tbl_Finance[Job Number],C197&amp;"",tbl_Finance[Cost Centre],"ONSITE")&gt;0,"ONSITE ","")&amp;IF(COUNTIFS(tbl_Finance[Job Number],C197&amp;"",tbl_Finance[Cost Centre],"PRODUCTION")&gt;0,"PRODUCTION ","")&amp;IF(COUNTIFS(tbl_Finance[Job Number],C197&amp;"",tbl_Finance[Cost Centre],"VIDEO")&gt;0,"VIDEO ","")&amp;IF(COUNTIFS(tbl_Finance[Job Number],C197&amp;"",tbl_Finance[Cost Centre],"INTEGRATION")&gt;0,"INTEGRATION ","")&amp;IF(COUNTIFS(tbl_Finance[Job Number],C197&amp;"",tbl_Finance[Cost Centre],"CONSULTING")&gt;0,"CONSULTING ","")&amp;IF(COUNTIFS(tbl_Finance[Job Number],C197&amp;"",tbl_Finance[Cost Centre],"CTS")&gt;0,"CTS ",""))," ",", ")))</f>
        <v/>
      </c>
      <c r="L197" s="24" t="n"/>
      <c r="M197" s="24" t="n"/>
      <c r="N197" s="25">
        <f>IF(M197="","",HYPERLINK(IF(LEFT(M197,4)="http",M197,set_QwilrBase&amp;M197),"Open quote"))</f>
        <v/>
      </c>
      <c r="O197" s="69" t="n"/>
      <c r="P197" s="24" t="n"/>
      <c r="Q197" s="24" t="n"/>
    </row>
    <row r="198" ht="15" customHeight="1">
      <c r="A198" s="68">
        <f>IF(C198="","",IFERROR(IF(SUMPRODUCT(MAX((tbl_Finance[Job Number]=C198&amp;"")*(tbl_Finance[Xero Invoice No]&lt;&gt;"")*tbl_Finance[Date]))=0,"",SUMPRODUCT(MAX((tbl_Finance[Job Number]=C198&amp;"")*(tbl_Finance[Xero Invoice No]&lt;&gt;"")*tbl_Finance[Date]))),""))</f>
        <v/>
      </c>
      <c r="B198" s="25">
        <f>IF(C198="","",IF(COUNTIFS(tbl_Finance[Job Number],C198&amp;"",tbl_Finance[Xero Invoice No],"&lt;&gt;")=0,"",IFERROR(IF(COUNTIFS(tbl_Finance[Job Number],C198&amp;"",tbl_Finance[Xero Invoice No],LOOKUP(2,1/((tbl_Finance[Job Number]=C198&amp;"")*(tbl_Finance[Xero Invoice No]&lt;&gt;"")),tbl_Finance[Xero Invoice No]))=COUNTIFS(tbl_Finance[Job Number],C198&amp;"",tbl_Finance[Xero Invoice No],"&lt;&gt;"),LOOKUP(2,1/((tbl_Finance[Job Number]=C198&amp;"")*(tbl_Finance[Xero Invoice No]&lt;&gt;"")),tbl_Finance[Xero Invoice No]),LOOKUP(2,1/((tbl_Finance[Job Number]=C198&amp;"")*(tbl_Finance[Xero Invoice No]&lt;&gt;"")),tbl_Finance[Xero Invoice No])&amp;" +more"),"")))</f>
        <v/>
      </c>
      <c r="C198" s="24" t="n"/>
      <c r="D198" s="25">
        <f>IF(C198="","",IF(COUNTIF(lst_Jobs,C198&amp;"")&gt;0,"OK","CHECK"))</f>
        <v/>
      </c>
      <c r="E198" s="25">
        <f>IF(C198="","",IFERROR(INDEX(lst_JobName,MATCH(C198&amp;"",lst_Jobs,0)),""))</f>
        <v/>
      </c>
      <c r="F198" s="25">
        <f>IF(C198="","",IFERROR(INDEX(tbl_Finance[Client],MATCH(C198&amp;"",tbl_Finance[Job Number],0)),""))</f>
        <v/>
      </c>
      <c r="G198" s="28">
        <f>IF(C198="","",COUNTIFS(tbl_Finance[Job Number],C198&amp;"",tbl_Finance[Ex GST],"&lt;&gt;"))</f>
        <v/>
      </c>
      <c r="H198" s="27">
        <f>IF(C198="","",SUMIFS(tbl_Finance[Ex GST],tbl_Finance[Job Number],C198&amp;""))</f>
        <v/>
      </c>
      <c r="I198" s="27">
        <f>IF(C198="","",SUMIFS(tbl_Finance[Ex GST],tbl_Finance[Job Number],C198&amp;"",tbl_Finance[Xero Invoice No],"&lt;&gt;"))</f>
        <v/>
      </c>
      <c r="J198" s="27">
        <f>IF(C198="","",H198-I198)</f>
        <v/>
      </c>
      <c r="K198" s="25">
        <f>IF(C198="","",IF(G198=0,"not invoiced yet",SUBSTITUTE(TRIM(IF(COUNTIFS(tbl_Finance[Job Number],C198&amp;"",tbl_Finance[Cost Centre],"ONSITE")&gt;0,"ONSITE ","")&amp;IF(COUNTIFS(tbl_Finance[Job Number],C198&amp;"",tbl_Finance[Cost Centre],"PRODUCTION")&gt;0,"PRODUCTION ","")&amp;IF(COUNTIFS(tbl_Finance[Job Number],C198&amp;"",tbl_Finance[Cost Centre],"VIDEO")&gt;0,"VIDEO ","")&amp;IF(COUNTIFS(tbl_Finance[Job Number],C198&amp;"",tbl_Finance[Cost Centre],"INTEGRATION")&gt;0,"INTEGRATION ","")&amp;IF(COUNTIFS(tbl_Finance[Job Number],C198&amp;"",tbl_Finance[Cost Centre],"CONSULTING")&gt;0,"CONSULTING ","")&amp;IF(COUNTIFS(tbl_Finance[Job Number],C198&amp;"",tbl_Finance[Cost Centre],"CTS")&gt;0,"CTS ",""))," ",", ")))</f>
        <v/>
      </c>
      <c r="L198" s="24" t="n"/>
      <c r="M198" s="24" t="n"/>
      <c r="N198" s="25">
        <f>IF(M198="","",HYPERLINK(IF(LEFT(M198,4)="http",M198,set_QwilrBase&amp;M198),"Open quote"))</f>
        <v/>
      </c>
      <c r="O198" s="69" t="n"/>
      <c r="P198" s="24" t="n"/>
      <c r="Q198" s="24" t="n"/>
    </row>
    <row r="199" ht="15" customHeight="1">
      <c r="A199" s="68">
        <f>IF(C199="","",IFERROR(IF(SUMPRODUCT(MAX((tbl_Finance[Job Number]=C199&amp;"")*(tbl_Finance[Xero Invoice No]&lt;&gt;"")*tbl_Finance[Date]))=0,"",SUMPRODUCT(MAX((tbl_Finance[Job Number]=C199&amp;"")*(tbl_Finance[Xero Invoice No]&lt;&gt;"")*tbl_Finance[Date]))),""))</f>
        <v/>
      </c>
      <c r="B199" s="25">
        <f>IF(C199="","",IF(COUNTIFS(tbl_Finance[Job Number],C199&amp;"",tbl_Finance[Xero Invoice No],"&lt;&gt;")=0,"",IFERROR(IF(COUNTIFS(tbl_Finance[Job Number],C199&amp;"",tbl_Finance[Xero Invoice No],LOOKUP(2,1/((tbl_Finance[Job Number]=C199&amp;"")*(tbl_Finance[Xero Invoice No]&lt;&gt;"")),tbl_Finance[Xero Invoice No]))=COUNTIFS(tbl_Finance[Job Number],C199&amp;"",tbl_Finance[Xero Invoice No],"&lt;&gt;"),LOOKUP(2,1/((tbl_Finance[Job Number]=C199&amp;"")*(tbl_Finance[Xero Invoice No]&lt;&gt;"")),tbl_Finance[Xero Invoice No]),LOOKUP(2,1/((tbl_Finance[Job Number]=C199&amp;"")*(tbl_Finance[Xero Invoice No]&lt;&gt;"")),tbl_Finance[Xero Invoice No])&amp;" +more"),"")))</f>
        <v/>
      </c>
      <c r="C199" s="24" t="n"/>
      <c r="D199" s="25">
        <f>IF(C199="","",IF(COUNTIF(lst_Jobs,C199&amp;"")&gt;0,"OK","CHECK"))</f>
        <v/>
      </c>
      <c r="E199" s="25">
        <f>IF(C199="","",IFERROR(INDEX(lst_JobName,MATCH(C199&amp;"",lst_Jobs,0)),""))</f>
        <v/>
      </c>
      <c r="F199" s="25">
        <f>IF(C199="","",IFERROR(INDEX(tbl_Finance[Client],MATCH(C199&amp;"",tbl_Finance[Job Number],0)),""))</f>
        <v/>
      </c>
      <c r="G199" s="28">
        <f>IF(C199="","",COUNTIFS(tbl_Finance[Job Number],C199&amp;"",tbl_Finance[Ex GST],"&lt;&gt;"))</f>
        <v/>
      </c>
      <c r="H199" s="27">
        <f>IF(C199="","",SUMIFS(tbl_Finance[Ex GST],tbl_Finance[Job Number],C199&amp;""))</f>
        <v/>
      </c>
      <c r="I199" s="27">
        <f>IF(C199="","",SUMIFS(tbl_Finance[Ex GST],tbl_Finance[Job Number],C199&amp;"",tbl_Finance[Xero Invoice No],"&lt;&gt;"))</f>
        <v/>
      </c>
      <c r="J199" s="27">
        <f>IF(C199="","",H199-I199)</f>
        <v/>
      </c>
      <c r="K199" s="25">
        <f>IF(C199="","",IF(G199=0,"not invoiced yet",SUBSTITUTE(TRIM(IF(COUNTIFS(tbl_Finance[Job Number],C199&amp;"",tbl_Finance[Cost Centre],"ONSITE")&gt;0,"ONSITE ","")&amp;IF(COUNTIFS(tbl_Finance[Job Number],C199&amp;"",tbl_Finance[Cost Centre],"PRODUCTION")&gt;0,"PRODUCTION ","")&amp;IF(COUNTIFS(tbl_Finance[Job Number],C199&amp;"",tbl_Finance[Cost Centre],"VIDEO")&gt;0,"VIDEO ","")&amp;IF(COUNTIFS(tbl_Finance[Job Number],C199&amp;"",tbl_Finance[Cost Centre],"INTEGRATION")&gt;0,"INTEGRATION ","")&amp;IF(COUNTIFS(tbl_Finance[Job Number],C199&amp;"",tbl_Finance[Cost Centre],"CONSULTING")&gt;0,"CONSULTING ","")&amp;IF(COUNTIFS(tbl_Finance[Job Number],C199&amp;"",tbl_Finance[Cost Centre],"CTS")&gt;0,"CTS ",""))," ",", ")))</f>
        <v/>
      </c>
      <c r="L199" s="24" t="n"/>
      <c r="M199" s="24" t="n"/>
      <c r="N199" s="25">
        <f>IF(M199="","",HYPERLINK(IF(LEFT(M199,4)="http",M199,set_QwilrBase&amp;M199),"Open quote"))</f>
        <v/>
      </c>
      <c r="O199" s="69" t="n"/>
      <c r="P199" s="24" t="n"/>
      <c r="Q199" s="24" t="n"/>
    </row>
    <row r="200" ht="15" customHeight="1">
      <c r="A200" s="68">
        <f>IF(C200="","",IFERROR(IF(SUMPRODUCT(MAX((tbl_Finance[Job Number]=C200&amp;"")*(tbl_Finance[Xero Invoice No]&lt;&gt;"")*tbl_Finance[Date]))=0,"",SUMPRODUCT(MAX((tbl_Finance[Job Number]=C200&amp;"")*(tbl_Finance[Xero Invoice No]&lt;&gt;"")*tbl_Finance[Date]))),""))</f>
        <v/>
      </c>
      <c r="B200" s="25">
        <f>IF(C200="","",IF(COUNTIFS(tbl_Finance[Job Number],C200&amp;"",tbl_Finance[Xero Invoice No],"&lt;&gt;")=0,"",IFERROR(IF(COUNTIFS(tbl_Finance[Job Number],C200&amp;"",tbl_Finance[Xero Invoice No],LOOKUP(2,1/((tbl_Finance[Job Number]=C200&amp;"")*(tbl_Finance[Xero Invoice No]&lt;&gt;"")),tbl_Finance[Xero Invoice No]))=COUNTIFS(tbl_Finance[Job Number],C200&amp;"",tbl_Finance[Xero Invoice No],"&lt;&gt;"),LOOKUP(2,1/((tbl_Finance[Job Number]=C200&amp;"")*(tbl_Finance[Xero Invoice No]&lt;&gt;"")),tbl_Finance[Xero Invoice No]),LOOKUP(2,1/((tbl_Finance[Job Number]=C200&amp;"")*(tbl_Finance[Xero Invoice No]&lt;&gt;"")),tbl_Finance[Xero Invoice No])&amp;" +more"),"")))</f>
        <v/>
      </c>
      <c r="C200" s="24" t="n"/>
      <c r="D200" s="25">
        <f>IF(C200="","",IF(COUNTIF(lst_Jobs,C200&amp;"")&gt;0,"OK","CHECK"))</f>
        <v/>
      </c>
      <c r="E200" s="25">
        <f>IF(C200="","",IFERROR(INDEX(lst_JobName,MATCH(C200&amp;"",lst_Jobs,0)),""))</f>
        <v/>
      </c>
      <c r="F200" s="25">
        <f>IF(C200="","",IFERROR(INDEX(tbl_Finance[Client],MATCH(C200&amp;"",tbl_Finance[Job Number],0)),""))</f>
        <v/>
      </c>
      <c r="G200" s="28">
        <f>IF(C200="","",COUNTIFS(tbl_Finance[Job Number],C200&amp;"",tbl_Finance[Ex GST],"&lt;&gt;"))</f>
        <v/>
      </c>
      <c r="H200" s="27">
        <f>IF(C200="","",SUMIFS(tbl_Finance[Ex GST],tbl_Finance[Job Number],C200&amp;""))</f>
        <v/>
      </c>
      <c r="I200" s="27">
        <f>IF(C200="","",SUMIFS(tbl_Finance[Ex GST],tbl_Finance[Job Number],C200&amp;"",tbl_Finance[Xero Invoice No],"&lt;&gt;"))</f>
        <v/>
      </c>
      <c r="J200" s="27">
        <f>IF(C200="","",H200-I200)</f>
        <v/>
      </c>
      <c r="K200" s="25">
        <f>IF(C200="","",IF(G200=0,"not invoiced yet",SUBSTITUTE(TRIM(IF(COUNTIFS(tbl_Finance[Job Number],C200&amp;"",tbl_Finance[Cost Centre],"ONSITE")&gt;0,"ONSITE ","")&amp;IF(COUNTIFS(tbl_Finance[Job Number],C200&amp;"",tbl_Finance[Cost Centre],"PRODUCTION")&gt;0,"PRODUCTION ","")&amp;IF(COUNTIFS(tbl_Finance[Job Number],C200&amp;"",tbl_Finance[Cost Centre],"VIDEO")&gt;0,"VIDEO ","")&amp;IF(COUNTIFS(tbl_Finance[Job Number],C200&amp;"",tbl_Finance[Cost Centre],"INTEGRATION")&gt;0,"INTEGRATION ","")&amp;IF(COUNTIFS(tbl_Finance[Job Number],C200&amp;"",tbl_Finance[Cost Centre],"CONSULTING")&gt;0,"CONSULTING ","")&amp;IF(COUNTIFS(tbl_Finance[Job Number],C200&amp;"",tbl_Finance[Cost Centre],"CTS")&gt;0,"CTS ",""))," ",", ")))</f>
        <v/>
      </c>
      <c r="L200" s="24" t="n"/>
      <c r="M200" s="24" t="n"/>
      <c r="N200" s="25">
        <f>IF(M200="","",HYPERLINK(IF(LEFT(M200,4)="http",M200,set_QwilrBase&amp;M200),"Open quote"))</f>
        <v/>
      </c>
      <c r="O200" s="69" t="n"/>
      <c r="P200" s="24" t="n"/>
      <c r="Q200" s="24" t="n"/>
    </row>
    <row r="201" ht="15" customHeight="1">
      <c r="A201" s="68">
        <f>IF(C201="","",IFERROR(IF(SUMPRODUCT(MAX((tbl_Finance[Job Number]=C201&amp;"")*(tbl_Finance[Xero Invoice No]&lt;&gt;"")*tbl_Finance[Date]))=0,"",SUMPRODUCT(MAX((tbl_Finance[Job Number]=C201&amp;"")*(tbl_Finance[Xero Invoice No]&lt;&gt;"")*tbl_Finance[Date]))),""))</f>
        <v/>
      </c>
      <c r="B201" s="25">
        <f>IF(C201="","",IF(COUNTIFS(tbl_Finance[Job Number],C201&amp;"",tbl_Finance[Xero Invoice No],"&lt;&gt;")=0,"",IFERROR(IF(COUNTIFS(tbl_Finance[Job Number],C201&amp;"",tbl_Finance[Xero Invoice No],LOOKUP(2,1/((tbl_Finance[Job Number]=C201&amp;"")*(tbl_Finance[Xero Invoice No]&lt;&gt;"")),tbl_Finance[Xero Invoice No]))=COUNTIFS(tbl_Finance[Job Number],C201&amp;"",tbl_Finance[Xero Invoice No],"&lt;&gt;"),LOOKUP(2,1/((tbl_Finance[Job Number]=C201&amp;"")*(tbl_Finance[Xero Invoice No]&lt;&gt;"")),tbl_Finance[Xero Invoice No]),LOOKUP(2,1/((tbl_Finance[Job Number]=C201&amp;"")*(tbl_Finance[Xero Invoice No]&lt;&gt;"")),tbl_Finance[Xero Invoice No])&amp;" +more"),"")))</f>
        <v/>
      </c>
      <c r="C201" s="24" t="n"/>
      <c r="D201" s="25">
        <f>IF(C201="","",IF(COUNTIF(lst_Jobs,C201&amp;"")&gt;0,"OK","CHECK"))</f>
        <v/>
      </c>
      <c r="E201" s="25">
        <f>IF(C201="","",IFERROR(INDEX(lst_JobName,MATCH(C201&amp;"",lst_Jobs,0)),""))</f>
        <v/>
      </c>
      <c r="F201" s="25">
        <f>IF(C201="","",IFERROR(INDEX(tbl_Finance[Client],MATCH(C201&amp;"",tbl_Finance[Job Number],0)),""))</f>
        <v/>
      </c>
      <c r="G201" s="28">
        <f>IF(C201="","",COUNTIFS(tbl_Finance[Job Number],C201&amp;"",tbl_Finance[Ex GST],"&lt;&gt;"))</f>
        <v/>
      </c>
      <c r="H201" s="27">
        <f>IF(C201="","",SUMIFS(tbl_Finance[Ex GST],tbl_Finance[Job Number],C201&amp;""))</f>
        <v/>
      </c>
      <c r="I201" s="27">
        <f>IF(C201="","",SUMIFS(tbl_Finance[Ex GST],tbl_Finance[Job Number],C201&amp;"",tbl_Finance[Xero Invoice No],"&lt;&gt;"))</f>
        <v/>
      </c>
      <c r="J201" s="27">
        <f>IF(C201="","",H201-I201)</f>
        <v/>
      </c>
      <c r="K201" s="25">
        <f>IF(C201="","",IF(G201=0,"not invoiced yet",SUBSTITUTE(TRIM(IF(COUNTIFS(tbl_Finance[Job Number],C201&amp;"",tbl_Finance[Cost Centre],"ONSITE")&gt;0,"ONSITE ","")&amp;IF(COUNTIFS(tbl_Finance[Job Number],C201&amp;"",tbl_Finance[Cost Centre],"PRODUCTION")&gt;0,"PRODUCTION ","")&amp;IF(COUNTIFS(tbl_Finance[Job Number],C201&amp;"",tbl_Finance[Cost Centre],"VIDEO")&gt;0,"VIDEO ","")&amp;IF(COUNTIFS(tbl_Finance[Job Number],C201&amp;"",tbl_Finance[Cost Centre],"INTEGRATION")&gt;0,"INTEGRATION ","")&amp;IF(COUNTIFS(tbl_Finance[Job Number],C201&amp;"",tbl_Finance[Cost Centre],"CONSULTING")&gt;0,"CONSULTING ","")&amp;IF(COUNTIFS(tbl_Finance[Job Number],C201&amp;"",tbl_Finance[Cost Centre],"CTS")&gt;0,"CTS ",""))," ",", ")))</f>
        <v/>
      </c>
      <c r="L201" s="24" t="n"/>
      <c r="M201" s="24" t="n"/>
      <c r="N201" s="25">
        <f>IF(M201="","",HYPERLINK(IF(LEFT(M201,4)="http",M201,set_QwilrBase&amp;M201),"Open quote"))</f>
        <v/>
      </c>
      <c r="O201" s="69" t="n"/>
      <c r="P201" s="24" t="n"/>
      <c r="Q201" s="24" t="n"/>
    </row>
    <row r="202" ht="15" customHeight="1">
      <c r="A202" s="68">
        <f>IF(C202="","",IFERROR(IF(SUMPRODUCT(MAX((tbl_Finance[Job Number]=C202&amp;"")*(tbl_Finance[Xero Invoice No]&lt;&gt;"")*tbl_Finance[Date]))=0,"",SUMPRODUCT(MAX((tbl_Finance[Job Number]=C202&amp;"")*(tbl_Finance[Xero Invoice No]&lt;&gt;"")*tbl_Finance[Date]))),""))</f>
        <v/>
      </c>
      <c r="B202" s="25">
        <f>IF(C202="","",IF(COUNTIFS(tbl_Finance[Job Number],C202&amp;"",tbl_Finance[Xero Invoice No],"&lt;&gt;")=0,"",IFERROR(IF(COUNTIFS(tbl_Finance[Job Number],C202&amp;"",tbl_Finance[Xero Invoice No],LOOKUP(2,1/((tbl_Finance[Job Number]=C202&amp;"")*(tbl_Finance[Xero Invoice No]&lt;&gt;"")),tbl_Finance[Xero Invoice No]))=COUNTIFS(tbl_Finance[Job Number],C202&amp;"",tbl_Finance[Xero Invoice No],"&lt;&gt;"),LOOKUP(2,1/((tbl_Finance[Job Number]=C202&amp;"")*(tbl_Finance[Xero Invoice No]&lt;&gt;"")),tbl_Finance[Xero Invoice No]),LOOKUP(2,1/((tbl_Finance[Job Number]=C202&amp;"")*(tbl_Finance[Xero Invoice No]&lt;&gt;"")),tbl_Finance[Xero Invoice No])&amp;" +more"),"")))</f>
        <v/>
      </c>
      <c r="C202" s="24" t="n"/>
      <c r="D202" s="25">
        <f>IF(C202="","",IF(COUNTIF(lst_Jobs,C202&amp;"")&gt;0,"OK","CHECK"))</f>
        <v/>
      </c>
      <c r="E202" s="25">
        <f>IF(C202="","",IFERROR(INDEX(lst_JobName,MATCH(C202&amp;"",lst_Jobs,0)),""))</f>
        <v/>
      </c>
      <c r="F202" s="25">
        <f>IF(C202="","",IFERROR(INDEX(tbl_Finance[Client],MATCH(C202&amp;"",tbl_Finance[Job Number],0)),""))</f>
        <v/>
      </c>
      <c r="G202" s="28">
        <f>IF(C202="","",COUNTIFS(tbl_Finance[Job Number],C202&amp;"",tbl_Finance[Ex GST],"&lt;&gt;"))</f>
        <v/>
      </c>
      <c r="H202" s="27">
        <f>IF(C202="","",SUMIFS(tbl_Finance[Ex GST],tbl_Finance[Job Number],C202&amp;""))</f>
        <v/>
      </c>
      <c r="I202" s="27">
        <f>IF(C202="","",SUMIFS(tbl_Finance[Ex GST],tbl_Finance[Job Number],C202&amp;"",tbl_Finance[Xero Invoice No],"&lt;&gt;"))</f>
        <v/>
      </c>
      <c r="J202" s="27">
        <f>IF(C202="","",H202-I202)</f>
        <v/>
      </c>
      <c r="K202" s="25">
        <f>IF(C202="","",IF(G202=0,"not invoiced yet",SUBSTITUTE(TRIM(IF(COUNTIFS(tbl_Finance[Job Number],C202&amp;"",tbl_Finance[Cost Centre],"ONSITE")&gt;0,"ONSITE ","")&amp;IF(COUNTIFS(tbl_Finance[Job Number],C202&amp;"",tbl_Finance[Cost Centre],"PRODUCTION")&gt;0,"PRODUCTION ","")&amp;IF(COUNTIFS(tbl_Finance[Job Number],C202&amp;"",tbl_Finance[Cost Centre],"VIDEO")&gt;0,"VIDEO ","")&amp;IF(COUNTIFS(tbl_Finance[Job Number],C202&amp;"",tbl_Finance[Cost Centre],"INTEGRATION")&gt;0,"INTEGRATION ","")&amp;IF(COUNTIFS(tbl_Finance[Job Number],C202&amp;"",tbl_Finance[Cost Centre],"CONSULTING")&gt;0,"CONSULTING ","")&amp;IF(COUNTIFS(tbl_Finance[Job Number],C202&amp;"",tbl_Finance[Cost Centre],"CTS")&gt;0,"CTS ",""))," ",", ")))</f>
        <v/>
      </c>
      <c r="L202" s="24" t="n"/>
      <c r="M202" s="24" t="n"/>
      <c r="N202" s="25">
        <f>IF(M202="","",HYPERLINK(IF(LEFT(M202,4)="http",M202,set_QwilrBase&amp;M202),"Open quote"))</f>
        <v/>
      </c>
      <c r="O202" s="69" t="n"/>
      <c r="P202" s="24" t="n"/>
      <c r="Q202" s="24" t="n"/>
    </row>
    <row r="203" ht="15" customHeight="1">
      <c r="A203" s="68">
        <f>IF(C203="","",IFERROR(IF(SUMPRODUCT(MAX((tbl_Finance[Job Number]=C203&amp;"")*(tbl_Finance[Xero Invoice No]&lt;&gt;"")*tbl_Finance[Date]))=0,"",SUMPRODUCT(MAX((tbl_Finance[Job Number]=C203&amp;"")*(tbl_Finance[Xero Invoice No]&lt;&gt;"")*tbl_Finance[Date]))),""))</f>
        <v/>
      </c>
      <c r="B203" s="25">
        <f>IF(C203="","",IF(COUNTIFS(tbl_Finance[Job Number],C203&amp;"",tbl_Finance[Xero Invoice No],"&lt;&gt;")=0,"",IFERROR(IF(COUNTIFS(tbl_Finance[Job Number],C203&amp;"",tbl_Finance[Xero Invoice No],LOOKUP(2,1/((tbl_Finance[Job Number]=C203&amp;"")*(tbl_Finance[Xero Invoice No]&lt;&gt;"")),tbl_Finance[Xero Invoice No]))=COUNTIFS(tbl_Finance[Job Number],C203&amp;"",tbl_Finance[Xero Invoice No],"&lt;&gt;"),LOOKUP(2,1/((tbl_Finance[Job Number]=C203&amp;"")*(tbl_Finance[Xero Invoice No]&lt;&gt;"")),tbl_Finance[Xero Invoice No]),LOOKUP(2,1/((tbl_Finance[Job Number]=C203&amp;"")*(tbl_Finance[Xero Invoice No]&lt;&gt;"")),tbl_Finance[Xero Invoice No])&amp;" +more"),"")))</f>
        <v/>
      </c>
      <c r="C203" s="24" t="n"/>
      <c r="D203" s="25">
        <f>IF(C203="","",IF(COUNTIF(lst_Jobs,C203&amp;"")&gt;0,"OK","CHECK"))</f>
        <v/>
      </c>
      <c r="E203" s="25">
        <f>IF(C203="","",IFERROR(INDEX(lst_JobName,MATCH(C203&amp;"",lst_Jobs,0)),""))</f>
        <v/>
      </c>
      <c r="F203" s="25">
        <f>IF(C203="","",IFERROR(INDEX(tbl_Finance[Client],MATCH(C203&amp;"",tbl_Finance[Job Number],0)),""))</f>
        <v/>
      </c>
      <c r="G203" s="28">
        <f>IF(C203="","",COUNTIFS(tbl_Finance[Job Number],C203&amp;"",tbl_Finance[Ex GST],"&lt;&gt;"))</f>
        <v/>
      </c>
      <c r="H203" s="27">
        <f>IF(C203="","",SUMIFS(tbl_Finance[Ex GST],tbl_Finance[Job Number],C203&amp;""))</f>
        <v/>
      </c>
      <c r="I203" s="27">
        <f>IF(C203="","",SUMIFS(tbl_Finance[Ex GST],tbl_Finance[Job Number],C203&amp;"",tbl_Finance[Xero Invoice No],"&lt;&gt;"))</f>
        <v/>
      </c>
      <c r="J203" s="27">
        <f>IF(C203="","",H203-I203)</f>
        <v/>
      </c>
      <c r="K203" s="25">
        <f>IF(C203="","",IF(G203=0,"not invoiced yet",SUBSTITUTE(TRIM(IF(COUNTIFS(tbl_Finance[Job Number],C203&amp;"",tbl_Finance[Cost Centre],"ONSITE")&gt;0,"ONSITE ","")&amp;IF(COUNTIFS(tbl_Finance[Job Number],C203&amp;"",tbl_Finance[Cost Centre],"PRODUCTION")&gt;0,"PRODUCTION ","")&amp;IF(COUNTIFS(tbl_Finance[Job Number],C203&amp;"",tbl_Finance[Cost Centre],"VIDEO")&gt;0,"VIDEO ","")&amp;IF(COUNTIFS(tbl_Finance[Job Number],C203&amp;"",tbl_Finance[Cost Centre],"INTEGRATION")&gt;0,"INTEGRATION ","")&amp;IF(COUNTIFS(tbl_Finance[Job Number],C203&amp;"",tbl_Finance[Cost Centre],"CONSULTING")&gt;0,"CONSULTING ","")&amp;IF(COUNTIFS(tbl_Finance[Job Number],C203&amp;"",tbl_Finance[Cost Centre],"CTS")&gt;0,"CTS ",""))," ",", ")))</f>
        <v/>
      </c>
      <c r="L203" s="24" t="n"/>
      <c r="M203" s="24" t="n"/>
      <c r="N203" s="25">
        <f>IF(M203="","",HYPERLINK(IF(LEFT(M203,4)="http",M203,set_QwilrBase&amp;M203),"Open quote"))</f>
        <v/>
      </c>
      <c r="O203" s="69" t="n"/>
      <c r="P203" s="24" t="n"/>
      <c r="Q203" s="24" t="n"/>
    </row>
    <row r="204" ht="15" customHeight="1">
      <c r="A204" s="68">
        <f>IF(C204="","",IFERROR(IF(SUMPRODUCT(MAX((tbl_Finance[Job Number]=C204&amp;"")*(tbl_Finance[Xero Invoice No]&lt;&gt;"")*tbl_Finance[Date]))=0,"",SUMPRODUCT(MAX((tbl_Finance[Job Number]=C204&amp;"")*(tbl_Finance[Xero Invoice No]&lt;&gt;"")*tbl_Finance[Date]))),""))</f>
        <v/>
      </c>
      <c r="B204" s="25">
        <f>IF(C204="","",IF(COUNTIFS(tbl_Finance[Job Number],C204&amp;"",tbl_Finance[Xero Invoice No],"&lt;&gt;")=0,"",IFERROR(IF(COUNTIFS(tbl_Finance[Job Number],C204&amp;"",tbl_Finance[Xero Invoice No],LOOKUP(2,1/((tbl_Finance[Job Number]=C204&amp;"")*(tbl_Finance[Xero Invoice No]&lt;&gt;"")),tbl_Finance[Xero Invoice No]))=COUNTIFS(tbl_Finance[Job Number],C204&amp;"",tbl_Finance[Xero Invoice No],"&lt;&gt;"),LOOKUP(2,1/((tbl_Finance[Job Number]=C204&amp;"")*(tbl_Finance[Xero Invoice No]&lt;&gt;"")),tbl_Finance[Xero Invoice No]),LOOKUP(2,1/((tbl_Finance[Job Number]=C204&amp;"")*(tbl_Finance[Xero Invoice No]&lt;&gt;"")),tbl_Finance[Xero Invoice No])&amp;" +more"),"")))</f>
        <v/>
      </c>
      <c r="C204" s="24" t="n"/>
      <c r="D204" s="25">
        <f>IF(C204="","",IF(COUNTIF(lst_Jobs,C204&amp;"")&gt;0,"OK","CHECK"))</f>
        <v/>
      </c>
      <c r="E204" s="25">
        <f>IF(C204="","",IFERROR(INDEX(lst_JobName,MATCH(C204&amp;"",lst_Jobs,0)),""))</f>
        <v/>
      </c>
      <c r="F204" s="25">
        <f>IF(C204="","",IFERROR(INDEX(tbl_Finance[Client],MATCH(C204&amp;"",tbl_Finance[Job Number],0)),""))</f>
        <v/>
      </c>
      <c r="G204" s="28">
        <f>IF(C204="","",COUNTIFS(tbl_Finance[Job Number],C204&amp;"",tbl_Finance[Ex GST],"&lt;&gt;"))</f>
        <v/>
      </c>
      <c r="H204" s="27">
        <f>IF(C204="","",SUMIFS(tbl_Finance[Ex GST],tbl_Finance[Job Number],C204&amp;""))</f>
        <v/>
      </c>
      <c r="I204" s="27">
        <f>IF(C204="","",SUMIFS(tbl_Finance[Ex GST],tbl_Finance[Job Number],C204&amp;"",tbl_Finance[Xero Invoice No],"&lt;&gt;"))</f>
        <v/>
      </c>
      <c r="J204" s="27">
        <f>IF(C204="","",H204-I204)</f>
        <v/>
      </c>
      <c r="K204" s="25">
        <f>IF(C204="","",IF(G204=0,"not invoiced yet",SUBSTITUTE(TRIM(IF(COUNTIFS(tbl_Finance[Job Number],C204&amp;"",tbl_Finance[Cost Centre],"ONSITE")&gt;0,"ONSITE ","")&amp;IF(COUNTIFS(tbl_Finance[Job Number],C204&amp;"",tbl_Finance[Cost Centre],"PRODUCTION")&gt;0,"PRODUCTION ","")&amp;IF(COUNTIFS(tbl_Finance[Job Number],C204&amp;"",tbl_Finance[Cost Centre],"VIDEO")&gt;0,"VIDEO ","")&amp;IF(COUNTIFS(tbl_Finance[Job Number],C204&amp;"",tbl_Finance[Cost Centre],"INTEGRATION")&gt;0,"INTEGRATION ","")&amp;IF(COUNTIFS(tbl_Finance[Job Number],C204&amp;"",tbl_Finance[Cost Centre],"CONSULTING")&gt;0,"CONSULTING ","")&amp;IF(COUNTIFS(tbl_Finance[Job Number],C204&amp;"",tbl_Finance[Cost Centre],"CTS")&gt;0,"CTS ",""))," ",", ")))</f>
        <v/>
      </c>
      <c r="L204" s="24" t="n"/>
      <c r="M204" s="24" t="n"/>
      <c r="N204" s="25">
        <f>IF(M204="","",HYPERLINK(IF(LEFT(M204,4)="http",M204,set_QwilrBase&amp;M204),"Open quote"))</f>
        <v/>
      </c>
      <c r="O204" s="69" t="n"/>
      <c r="P204" s="24" t="n"/>
      <c r="Q204" s="24" t="n"/>
    </row>
    <row r="205" ht="15" customHeight="1">
      <c r="A205" s="68">
        <f>IF(C205="","",IFERROR(IF(SUMPRODUCT(MAX((tbl_Finance[Job Number]=C205&amp;"")*(tbl_Finance[Xero Invoice No]&lt;&gt;"")*tbl_Finance[Date]))=0,"",SUMPRODUCT(MAX((tbl_Finance[Job Number]=C205&amp;"")*(tbl_Finance[Xero Invoice No]&lt;&gt;"")*tbl_Finance[Date]))),""))</f>
        <v/>
      </c>
      <c r="B205" s="25">
        <f>IF(C205="","",IF(COUNTIFS(tbl_Finance[Job Number],C205&amp;"",tbl_Finance[Xero Invoice No],"&lt;&gt;")=0,"",IFERROR(IF(COUNTIFS(tbl_Finance[Job Number],C205&amp;"",tbl_Finance[Xero Invoice No],LOOKUP(2,1/((tbl_Finance[Job Number]=C205&amp;"")*(tbl_Finance[Xero Invoice No]&lt;&gt;"")),tbl_Finance[Xero Invoice No]))=COUNTIFS(tbl_Finance[Job Number],C205&amp;"",tbl_Finance[Xero Invoice No],"&lt;&gt;"),LOOKUP(2,1/((tbl_Finance[Job Number]=C205&amp;"")*(tbl_Finance[Xero Invoice No]&lt;&gt;"")),tbl_Finance[Xero Invoice No]),LOOKUP(2,1/((tbl_Finance[Job Number]=C205&amp;"")*(tbl_Finance[Xero Invoice No]&lt;&gt;"")),tbl_Finance[Xero Invoice No])&amp;" +more"),"")))</f>
        <v/>
      </c>
      <c r="C205" s="24" t="n"/>
      <c r="D205" s="25">
        <f>IF(C205="","",IF(COUNTIF(lst_Jobs,C205&amp;"")&gt;0,"OK","CHECK"))</f>
        <v/>
      </c>
      <c r="E205" s="25">
        <f>IF(C205="","",IFERROR(INDEX(lst_JobName,MATCH(C205&amp;"",lst_Jobs,0)),""))</f>
        <v/>
      </c>
      <c r="F205" s="25">
        <f>IF(C205="","",IFERROR(INDEX(tbl_Finance[Client],MATCH(C205&amp;"",tbl_Finance[Job Number],0)),""))</f>
        <v/>
      </c>
      <c r="G205" s="28">
        <f>IF(C205="","",COUNTIFS(tbl_Finance[Job Number],C205&amp;"",tbl_Finance[Ex GST],"&lt;&gt;"))</f>
        <v/>
      </c>
      <c r="H205" s="27">
        <f>IF(C205="","",SUMIFS(tbl_Finance[Ex GST],tbl_Finance[Job Number],C205&amp;""))</f>
        <v/>
      </c>
      <c r="I205" s="27">
        <f>IF(C205="","",SUMIFS(tbl_Finance[Ex GST],tbl_Finance[Job Number],C205&amp;"",tbl_Finance[Xero Invoice No],"&lt;&gt;"))</f>
        <v/>
      </c>
      <c r="J205" s="27">
        <f>IF(C205="","",H205-I205)</f>
        <v/>
      </c>
      <c r="K205" s="25">
        <f>IF(C205="","",IF(G205=0,"not invoiced yet",SUBSTITUTE(TRIM(IF(COUNTIFS(tbl_Finance[Job Number],C205&amp;"",tbl_Finance[Cost Centre],"ONSITE")&gt;0,"ONSITE ","")&amp;IF(COUNTIFS(tbl_Finance[Job Number],C205&amp;"",tbl_Finance[Cost Centre],"PRODUCTION")&gt;0,"PRODUCTION ","")&amp;IF(COUNTIFS(tbl_Finance[Job Number],C205&amp;"",tbl_Finance[Cost Centre],"VIDEO")&gt;0,"VIDEO ","")&amp;IF(COUNTIFS(tbl_Finance[Job Number],C205&amp;"",tbl_Finance[Cost Centre],"INTEGRATION")&gt;0,"INTEGRATION ","")&amp;IF(COUNTIFS(tbl_Finance[Job Number],C205&amp;"",tbl_Finance[Cost Centre],"CONSULTING")&gt;0,"CONSULTING ","")&amp;IF(COUNTIFS(tbl_Finance[Job Number],C205&amp;"",tbl_Finance[Cost Centre],"CTS")&gt;0,"CTS ",""))," ",", ")))</f>
        <v/>
      </c>
      <c r="L205" s="24" t="n"/>
      <c r="M205" s="24" t="n"/>
      <c r="N205" s="25">
        <f>IF(M205="","",HYPERLINK(IF(LEFT(M205,4)="http",M205,set_QwilrBase&amp;M205),"Open quote"))</f>
        <v/>
      </c>
      <c r="O205" s="69" t="n"/>
      <c r="P205" s="24" t="n"/>
      <c r="Q205" s="24" t="n"/>
    </row>
    <row r="206" ht="15" customHeight="1">
      <c r="A206" s="68">
        <f>IF(C206="","",IFERROR(IF(SUMPRODUCT(MAX((tbl_Finance[Job Number]=C206&amp;"")*(tbl_Finance[Xero Invoice No]&lt;&gt;"")*tbl_Finance[Date]))=0,"",SUMPRODUCT(MAX((tbl_Finance[Job Number]=C206&amp;"")*(tbl_Finance[Xero Invoice No]&lt;&gt;"")*tbl_Finance[Date]))),""))</f>
        <v/>
      </c>
      <c r="B206" s="25">
        <f>IF(C206="","",IF(COUNTIFS(tbl_Finance[Job Number],C206&amp;"",tbl_Finance[Xero Invoice No],"&lt;&gt;")=0,"",IFERROR(IF(COUNTIFS(tbl_Finance[Job Number],C206&amp;"",tbl_Finance[Xero Invoice No],LOOKUP(2,1/((tbl_Finance[Job Number]=C206&amp;"")*(tbl_Finance[Xero Invoice No]&lt;&gt;"")),tbl_Finance[Xero Invoice No]))=COUNTIFS(tbl_Finance[Job Number],C206&amp;"",tbl_Finance[Xero Invoice No],"&lt;&gt;"),LOOKUP(2,1/((tbl_Finance[Job Number]=C206&amp;"")*(tbl_Finance[Xero Invoice No]&lt;&gt;"")),tbl_Finance[Xero Invoice No]),LOOKUP(2,1/((tbl_Finance[Job Number]=C206&amp;"")*(tbl_Finance[Xero Invoice No]&lt;&gt;"")),tbl_Finance[Xero Invoice No])&amp;" +more"),"")))</f>
        <v/>
      </c>
      <c r="C206" s="24" t="n"/>
      <c r="D206" s="25">
        <f>IF(C206="","",IF(COUNTIF(lst_Jobs,C206&amp;"")&gt;0,"OK","CHECK"))</f>
        <v/>
      </c>
      <c r="E206" s="25">
        <f>IF(C206="","",IFERROR(INDEX(lst_JobName,MATCH(C206&amp;"",lst_Jobs,0)),""))</f>
        <v/>
      </c>
      <c r="F206" s="25">
        <f>IF(C206="","",IFERROR(INDEX(tbl_Finance[Client],MATCH(C206&amp;"",tbl_Finance[Job Number],0)),""))</f>
        <v/>
      </c>
      <c r="G206" s="28">
        <f>IF(C206="","",COUNTIFS(tbl_Finance[Job Number],C206&amp;"",tbl_Finance[Ex GST],"&lt;&gt;"))</f>
        <v/>
      </c>
      <c r="H206" s="27">
        <f>IF(C206="","",SUMIFS(tbl_Finance[Ex GST],tbl_Finance[Job Number],C206&amp;""))</f>
        <v/>
      </c>
      <c r="I206" s="27">
        <f>IF(C206="","",SUMIFS(tbl_Finance[Ex GST],tbl_Finance[Job Number],C206&amp;"",tbl_Finance[Xero Invoice No],"&lt;&gt;"))</f>
        <v/>
      </c>
      <c r="J206" s="27">
        <f>IF(C206="","",H206-I206)</f>
        <v/>
      </c>
      <c r="K206" s="25">
        <f>IF(C206="","",IF(G206=0,"not invoiced yet",SUBSTITUTE(TRIM(IF(COUNTIFS(tbl_Finance[Job Number],C206&amp;"",tbl_Finance[Cost Centre],"ONSITE")&gt;0,"ONSITE ","")&amp;IF(COUNTIFS(tbl_Finance[Job Number],C206&amp;"",tbl_Finance[Cost Centre],"PRODUCTION")&gt;0,"PRODUCTION ","")&amp;IF(COUNTIFS(tbl_Finance[Job Number],C206&amp;"",tbl_Finance[Cost Centre],"VIDEO")&gt;0,"VIDEO ","")&amp;IF(COUNTIFS(tbl_Finance[Job Number],C206&amp;"",tbl_Finance[Cost Centre],"INTEGRATION")&gt;0,"INTEGRATION ","")&amp;IF(COUNTIFS(tbl_Finance[Job Number],C206&amp;"",tbl_Finance[Cost Centre],"CONSULTING")&gt;0,"CONSULTING ","")&amp;IF(COUNTIFS(tbl_Finance[Job Number],C206&amp;"",tbl_Finance[Cost Centre],"CTS")&gt;0,"CTS ",""))," ",", ")))</f>
        <v/>
      </c>
      <c r="L206" s="24" t="n"/>
      <c r="M206" s="24" t="n"/>
      <c r="N206" s="25">
        <f>IF(M206="","",HYPERLINK(IF(LEFT(M206,4)="http",M206,set_QwilrBase&amp;M206),"Open quote"))</f>
        <v/>
      </c>
      <c r="O206" s="69" t="n"/>
      <c r="P206" s="24" t="n"/>
      <c r="Q206" s="24" t="n"/>
    </row>
    <row r="207" ht="15" customHeight="1">
      <c r="A207" s="68">
        <f>IF(C207="","",IFERROR(IF(SUMPRODUCT(MAX((tbl_Finance[Job Number]=C207&amp;"")*(tbl_Finance[Xero Invoice No]&lt;&gt;"")*tbl_Finance[Date]))=0,"",SUMPRODUCT(MAX((tbl_Finance[Job Number]=C207&amp;"")*(tbl_Finance[Xero Invoice No]&lt;&gt;"")*tbl_Finance[Date]))),""))</f>
        <v/>
      </c>
      <c r="B207" s="25">
        <f>IF(C207="","",IF(COUNTIFS(tbl_Finance[Job Number],C207&amp;"",tbl_Finance[Xero Invoice No],"&lt;&gt;")=0,"",IFERROR(IF(COUNTIFS(tbl_Finance[Job Number],C207&amp;"",tbl_Finance[Xero Invoice No],LOOKUP(2,1/((tbl_Finance[Job Number]=C207&amp;"")*(tbl_Finance[Xero Invoice No]&lt;&gt;"")),tbl_Finance[Xero Invoice No]))=COUNTIFS(tbl_Finance[Job Number],C207&amp;"",tbl_Finance[Xero Invoice No],"&lt;&gt;"),LOOKUP(2,1/((tbl_Finance[Job Number]=C207&amp;"")*(tbl_Finance[Xero Invoice No]&lt;&gt;"")),tbl_Finance[Xero Invoice No]),LOOKUP(2,1/((tbl_Finance[Job Number]=C207&amp;"")*(tbl_Finance[Xero Invoice No]&lt;&gt;"")),tbl_Finance[Xero Invoice No])&amp;" +more"),"")))</f>
        <v/>
      </c>
      <c r="C207" s="24" t="n"/>
      <c r="D207" s="25">
        <f>IF(C207="","",IF(COUNTIF(lst_Jobs,C207&amp;"")&gt;0,"OK","CHECK"))</f>
        <v/>
      </c>
      <c r="E207" s="25">
        <f>IF(C207="","",IFERROR(INDEX(lst_JobName,MATCH(C207&amp;"",lst_Jobs,0)),""))</f>
        <v/>
      </c>
      <c r="F207" s="25">
        <f>IF(C207="","",IFERROR(INDEX(tbl_Finance[Client],MATCH(C207&amp;"",tbl_Finance[Job Number],0)),""))</f>
        <v/>
      </c>
      <c r="G207" s="28">
        <f>IF(C207="","",COUNTIFS(tbl_Finance[Job Number],C207&amp;"",tbl_Finance[Ex GST],"&lt;&gt;"))</f>
        <v/>
      </c>
      <c r="H207" s="27">
        <f>IF(C207="","",SUMIFS(tbl_Finance[Ex GST],tbl_Finance[Job Number],C207&amp;""))</f>
        <v/>
      </c>
      <c r="I207" s="27">
        <f>IF(C207="","",SUMIFS(tbl_Finance[Ex GST],tbl_Finance[Job Number],C207&amp;"",tbl_Finance[Xero Invoice No],"&lt;&gt;"))</f>
        <v/>
      </c>
      <c r="J207" s="27">
        <f>IF(C207="","",H207-I207)</f>
        <v/>
      </c>
      <c r="K207" s="25">
        <f>IF(C207="","",IF(G207=0,"not invoiced yet",SUBSTITUTE(TRIM(IF(COUNTIFS(tbl_Finance[Job Number],C207&amp;"",tbl_Finance[Cost Centre],"ONSITE")&gt;0,"ONSITE ","")&amp;IF(COUNTIFS(tbl_Finance[Job Number],C207&amp;"",tbl_Finance[Cost Centre],"PRODUCTION")&gt;0,"PRODUCTION ","")&amp;IF(COUNTIFS(tbl_Finance[Job Number],C207&amp;"",tbl_Finance[Cost Centre],"VIDEO")&gt;0,"VIDEO ","")&amp;IF(COUNTIFS(tbl_Finance[Job Number],C207&amp;"",tbl_Finance[Cost Centre],"INTEGRATION")&gt;0,"INTEGRATION ","")&amp;IF(COUNTIFS(tbl_Finance[Job Number],C207&amp;"",tbl_Finance[Cost Centre],"CONSULTING")&gt;0,"CONSULTING ","")&amp;IF(COUNTIFS(tbl_Finance[Job Number],C207&amp;"",tbl_Finance[Cost Centre],"CTS")&gt;0,"CTS ",""))," ",", ")))</f>
        <v/>
      </c>
      <c r="L207" s="24" t="n"/>
      <c r="M207" s="24" t="n"/>
      <c r="N207" s="25">
        <f>IF(M207="","",HYPERLINK(IF(LEFT(M207,4)="http",M207,set_QwilrBase&amp;M207),"Open quote"))</f>
        <v/>
      </c>
      <c r="O207" s="69" t="n"/>
      <c r="P207" s="24" t="n"/>
      <c r="Q207" s="24" t="n"/>
    </row>
    <row r="208" ht="15" customHeight="1">
      <c r="A208" s="68">
        <f>IF(C208="","",IFERROR(IF(SUMPRODUCT(MAX((tbl_Finance[Job Number]=C208&amp;"")*(tbl_Finance[Xero Invoice No]&lt;&gt;"")*tbl_Finance[Date]))=0,"",SUMPRODUCT(MAX((tbl_Finance[Job Number]=C208&amp;"")*(tbl_Finance[Xero Invoice No]&lt;&gt;"")*tbl_Finance[Date]))),""))</f>
        <v/>
      </c>
      <c r="B208" s="25">
        <f>IF(C208="","",IF(COUNTIFS(tbl_Finance[Job Number],C208&amp;"",tbl_Finance[Xero Invoice No],"&lt;&gt;")=0,"",IFERROR(IF(COUNTIFS(tbl_Finance[Job Number],C208&amp;"",tbl_Finance[Xero Invoice No],LOOKUP(2,1/((tbl_Finance[Job Number]=C208&amp;"")*(tbl_Finance[Xero Invoice No]&lt;&gt;"")),tbl_Finance[Xero Invoice No]))=COUNTIFS(tbl_Finance[Job Number],C208&amp;"",tbl_Finance[Xero Invoice No],"&lt;&gt;"),LOOKUP(2,1/((tbl_Finance[Job Number]=C208&amp;"")*(tbl_Finance[Xero Invoice No]&lt;&gt;"")),tbl_Finance[Xero Invoice No]),LOOKUP(2,1/((tbl_Finance[Job Number]=C208&amp;"")*(tbl_Finance[Xero Invoice No]&lt;&gt;"")),tbl_Finance[Xero Invoice No])&amp;" +more"),"")))</f>
        <v/>
      </c>
      <c r="C208" s="24" t="n"/>
      <c r="D208" s="25">
        <f>IF(C208="","",IF(COUNTIF(lst_Jobs,C208&amp;"")&gt;0,"OK","CHECK"))</f>
        <v/>
      </c>
      <c r="E208" s="25">
        <f>IF(C208="","",IFERROR(INDEX(lst_JobName,MATCH(C208&amp;"",lst_Jobs,0)),""))</f>
        <v/>
      </c>
      <c r="F208" s="25">
        <f>IF(C208="","",IFERROR(INDEX(tbl_Finance[Client],MATCH(C208&amp;"",tbl_Finance[Job Number],0)),""))</f>
        <v/>
      </c>
      <c r="G208" s="28">
        <f>IF(C208="","",COUNTIFS(tbl_Finance[Job Number],C208&amp;"",tbl_Finance[Ex GST],"&lt;&gt;"))</f>
        <v/>
      </c>
      <c r="H208" s="27">
        <f>IF(C208="","",SUMIFS(tbl_Finance[Ex GST],tbl_Finance[Job Number],C208&amp;""))</f>
        <v/>
      </c>
      <c r="I208" s="27">
        <f>IF(C208="","",SUMIFS(tbl_Finance[Ex GST],tbl_Finance[Job Number],C208&amp;"",tbl_Finance[Xero Invoice No],"&lt;&gt;"))</f>
        <v/>
      </c>
      <c r="J208" s="27">
        <f>IF(C208="","",H208-I208)</f>
        <v/>
      </c>
      <c r="K208" s="25">
        <f>IF(C208="","",IF(G208=0,"not invoiced yet",SUBSTITUTE(TRIM(IF(COUNTIFS(tbl_Finance[Job Number],C208&amp;"",tbl_Finance[Cost Centre],"ONSITE")&gt;0,"ONSITE ","")&amp;IF(COUNTIFS(tbl_Finance[Job Number],C208&amp;"",tbl_Finance[Cost Centre],"PRODUCTION")&gt;0,"PRODUCTION ","")&amp;IF(COUNTIFS(tbl_Finance[Job Number],C208&amp;"",tbl_Finance[Cost Centre],"VIDEO")&gt;0,"VIDEO ","")&amp;IF(COUNTIFS(tbl_Finance[Job Number],C208&amp;"",tbl_Finance[Cost Centre],"INTEGRATION")&gt;0,"INTEGRATION ","")&amp;IF(COUNTIFS(tbl_Finance[Job Number],C208&amp;"",tbl_Finance[Cost Centre],"CONSULTING")&gt;0,"CONSULTING ","")&amp;IF(COUNTIFS(tbl_Finance[Job Number],C208&amp;"",tbl_Finance[Cost Centre],"CTS")&gt;0,"CTS ",""))," ",", ")))</f>
        <v/>
      </c>
      <c r="L208" s="24" t="n"/>
      <c r="M208" s="24" t="n"/>
      <c r="N208" s="25">
        <f>IF(M208="","",HYPERLINK(IF(LEFT(M208,4)="http",M208,set_QwilrBase&amp;M208),"Open quote"))</f>
        <v/>
      </c>
      <c r="O208" s="69" t="n"/>
      <c r="P208" s="24" t="n"/>
      <c r="Q208" s="24" t="n"/>
    </row>
    <row r="209" ht="15" customHeight="1">
      <c r="A209" s="68">
        <f>IF(C209="","",IFERROR(IF(SUMPRODUCT(MAX((tbl_Finance[Job Number]=C209&amp;"")*(tbl_Finance[Xero Invoice No]&lt;&gt;"")*tbl_Finance[Date]))=0,"",SUMPRODUCT(MAX((tbl_Finance[Job Number]=C209&amp;"")*(tbl_Finance[Xero Invoice No]&lt;&gt;"")*tbl_Finance[Date]))),""))</f>
        <v/>
      </c>
      <c r="B209" s="25">
        <f>IF(C209="","",IF(COUNTIFS(tbl_Finance[Job Number],C209&amp;"",tbl_Finance[Xero Invoice No],"&lt;&gt;")=0,"",IFERROR(IF(COUNTIFS(tbl_Finance[Job Number],C209&amp;"",tbl_Finance[Xero Invoice No],LOOKUP(2,1/((tbl_Finance[Job Number]=C209&amp;"")*(tbl_Finance[Xero Invoice No]&lt;&gt;"")),tbl_Finance[Xero Invoice No]))=COUNTIFS(tbl_Finance[Job Number],C209&amp;"",tbl_Finance[Xero Invoice No],"&lt;&gt;"),LOOKUP(2,1/((tbl_Finance[Job Number]=C209&amp;"")*(tbl_Finance[Xero Invoice No]&lt;&gt;"")),tbl_Finance[Xero Invoice No]),LOOKUP(2,1/((tbl_Finance[Job Number]=C209&amp;"")*(tbl_Finance[Xero Invoice No]&lt;&gt;"")),tbl_Finance[Xero Invoice No])&amp;" +more"),"")))</f>
        <v/>
      </c>
      <c r="C209" s="24" t="n"/>
      <c r="D209" s="25">
        <f>IF(C209="","",IF(COUNTIF(lst_Jobs,C209&amp;"")&gt;0,"OK","CHECK"))</f>
        <v/>
      </c>
      <c r="E209" s="25">
        <f>IF(C209="","",IFERROR(INDEX(lst_JobName,MATCH(C209&amp;"",lst_Jobs,0)),""))</f>
        <v/>
      </c>
      <c r="F209" s="25">
        <f>IF(C209="","",IFERROR(INDEX(tbl_Finance[Client],MATCH(C209&amp;"",tbl_Finance[Job Number],0)),""))</f>
        <v/>
      </c>
      <c r="G209" s="28">
        <f>IF(C209="","",COUNTIFS(tbl_Finance[Job Number],C209&amp;"",tbl_Finance[Ex GST],"&lt;&gt;"))</f>
        <v/>
      </c>
      <c r="H209" s="27">
        <f>IF(C209="","",SUMIFS(tbl_Finance[Ex GST],tbl_Finance[Job Number],C209&amp;""))</f>
        <v/>
      </c>
      <c r="I209" s="27">
        <f>IF(C209="","",SUMIFS(tbl_Finance[Ex GST],tbl_Finance[Job Number],C209&amp;"",tbl_Finance[Xero Invoice No],"&lt;&gt;"))</f>
        <v/>
      </c>
      <c r="J209" s="27">
        <f>IF(C209="","",H209-I209)</f>
        <v/>
      </c>
      <c r="K209" s="25">
        <f>IF(C209="","",IF(G209=0,"not invoiced yet",SUBSTITUTE(TRIM(IF(COUNTIFS(tbl_Finance[Job Number],C209&amp;"",tbl_Finance[Cost Centre],"ONSITE")&gt;0,"ONSITE ","")&amp;IF(COUNTIFS(tbl_Finance[Job Number],C209&amp;"",tbl_Finance[Cost Centre],"PRODUCTION")&gt;0,"PRODUCTION ","")&amp;IF(COUNTIFS(tbl_Finance[Job Number],C209&amp;"",tbl_Finance[Cost Centre],"VIDEO")&gt;0,"VIDEO ","")&amp;IF(COUNTIFS(tbl_Finance[Job Number],C209&amp;"",tbl_Finance[Cost Centre],"INTEGRATION")&gt;0,"INTEGRATION ","")&amp;IF(COUNTIFS(tbl_Finance[Job Number],C209&amp;"",tbl_Finance[Cost Centre],"CONSULTING")&gt;0,"CONSULTING ","")&amp;IF(COUNTIFS(tbl_Finance[Job Number],C209&amp;"",tbl_Finance[Cost Centre],"CTS")&gt;0,"CTS ",""))," ",", ")))</f>
        <v/>
      </c>
      <c r="L209" s="24" t="n"/>
      <c r="M209" s="24" t="n"/>
      <c r="N209" s="25">
        <f>IF(M209="","",HYPERLINK(IF(LEFT(M209,4)="http",M209,set_QwilrBase&amp;M209),"Open quote"))</f>
        <v/>
      </c>
      <c r="O209" s="69" t="n"/>
      <c r="P209" s="24" t="n"/>
      <c r="Q209" s="24" t="n"/>
    </row>
    <row r="210" ht="15" customHeight="1">
      <c r="A210" s="68">
        <f>IF(C210="","",IFERROR(IF(SUMPRODUCT(MAX((tbl_Finance[Job Number]=C210&amp;"")*(tbl_Finance[Xero Invoice No]&lt;&gt;"")*tbl_Finance[Date]))=0,"",SUMPRODUCT(MAX((tbl_Finance[Job Number]=C210&amp;"")*(tbl_Finance[Xero Invoice No]&lt;&gt;"")*tbl_Finance[Date]))),""))</f>
        <v/>
      </c>
      <c r="B210" s="25">
        <f>IF(C210="","",IF(COUNTIFS(tbl_Finance[Job Number],C210&amp;"",tbl_Finance[Xero Invoice No],"&lt;&gt;")=0,"",IFERROR(IF(COUNTIFS(tbl_Finance[Job Number],C210&amp;"",tbl_Finance[Xero Invoice No],LOOKUP(2,1/((tbl_Finance[Job Number]=C210&amp;"")*(tbl_Finance[Xero Invoice No]&lt;&gt;"")),tbl_Finance[Xero Invoice No]))=COUNTIFS(tbl_Finance[Job Number],C210&amp;"",tbl_Finance[Xero Invoice No],"&lt;&gt;"),LOOKUP(2,1/((tbl_Finance[Job Number]=C210&amp;"")*(tbl_Finance[Xero Invoice No]&lt;&gt;"")),tbl_Finance[Xero Invoice No]),LOOKUP(2,1/((tbl_Finance[Job Number]=C210&amp;"")*(tbl_Finance[Xero Invoice No]&lt;&gt;"")),tbl_Finance[Xero Invoice No])&amp;" +more"),"")))</f>
        <v/>
      </c>
      <c r="C210" s="24" t="n"/>
      <c r="D210" s="25">
        <f>IF(C210="","",IF(COUNTIF(lst_Jobs,C210&amp;"")&gt;0,"OK","CHECK"))</f>
        <v/>
      </c>
      <c r="E210" s="25">
        <f>IF(C210="","",IFERROR(INDEX(lst_JobName,MATCH(C210&amp;"",lst_Jobs,0)),""))</f>
        <v/>
      </c>
      <c r="F210" s="25">
        <f>IF(C210="","",IFERROR(INDEX(tbl_Finance[Client],MATCH(C210&amp;"",tbl_Finance[Job Number],0)),""))</f>
        <v/>
      </c>
      <c r="G210" s="28">
        <f>IF(C210="","",COUNTIFS(tbl_Finance[Job Number],C210&amp;"",tbl_Finance[Ex GST],"&lt;&gt;"))</f>
        <v/>
      </c>
      <c r="H210" s="27">
        <f>IF(C210="","",SUMIFS(tbl_Finance[Ex GST],tbl_Finance[Job Number],C210&amp;""))</f>
        <v/>
      </c>
      <c r="I210" s="27">
        <f>IF(C210="","",SUMIFS(tbl_Finance[Ex GST],tbl_Finance[Job Number],C210&amp;"",tbl_Finance[Xero Invoice No],"&lt;&gt;"))</f>
        <v/>
      </c>
      <c r="J210" s="27">
        <f>IF(C210="","",H210-I210)</f>
        <v/>
      </c>
      <c r="K210" s="25">
        <f>IF(C210="","",IF(G210=0,"not invoiced yet",SUBSTITUTE(TRIM(IF(COUNTIFS(tbl_Finance[Job Number],C210&amp;"",tbl_Finance[Cost Centre],"ONSITE")&gt;0,"ONSITE ","")&amp;IF(COUNTIFS(tbl_Finance[Job Number],C210&amp;"",tbl_Finance[Cost Centre],"PRODUCTION")&gt;0,"PRODUCTION ","")&amp;IF(COUNTIFS(tbl_Finance[Job Number],C210&amp;"",tbl_Finance[Cost Centre],"VIDEO")&gt;0,"VIDEO ","")&amp;IF(COUNTIFS(tbl_Finance[Job Number],C210&amp;"",tbl_Finance[Cost Centre],"INTEGRATION")&gt;0,"INTEGRATION ","")&amp;IF(COUNTIFS(tbl_Finance[Job Number],C210&amp;"",tbl_Finance[Cost Centre],"CONSULTING")&gt;0,"CONSULTING ","")&amp;IF(COUNTIFS(tbl_Finance[Job Number],C210&amp;"",tbl_Finance[Cost Centre],"CTS")&gt;0,"CTS ",""))," ",", ")))</f>
        <v/>
      </c>
      <c r="L210" s="24" t="n"/>
      <c r="M210" s="24" t="n"/>
      <c r="N210" s="25">
        <f>IF(M210="","",HYPERLINK(IF(LEFT(M210,4)="http",M210,set_QwilrBase&amp;M210),"Open quote"))</f>
        <v/>
      </c>
      <c r="O210" s="69" t="n"/>
      <c r="P210" s="24" t="n"/>
      <c r="Q210" s="24" t="n"/>
    </row>
    <row r="211" ht="15" customHeight="1">
      <c r="A211" s="68">
        <f>IF(C211="","",IFERROR(IF(SUMPRODUCT(MAX((tbl_Finance[Job Number]=C211&amp;"")*(tbl_Finance[Xero Invoice No]&lt;&gt;"")*tbl_Finance[Date]))=0,"",SUMPRODUCT(MAX((tbl_Finance[Job Number]=C211&amp;"")*(tbl_Finance[Xero Invoice No]&lt;&gt;"")*tbl_Finance[Date]))),""))</f>
        <v/>
      </c>
      <c r="B211" s="25">
        <f>IF(C211="","",IF(COUNTIFS(tbl_Finance[Job Number],C211&amp;"",tbl_Finance[Xero Invoice No],"&lt;&gt;")=0,"",IFERROR(IF(COUNTIFS(tbl_Finance[Job Number],C211&amp;"",tbl_Finance[Xero Invoice No],LOOKUP(2,1/((tbl_Finance[Job Number]=C211&amp;"")*(tbl_Finance[Xero Invoice No]&lt;&gt;"")),tbl_Finance[Xero Invoice No]))=COUNTIFS(tbl_Finance[Job Number],C211&amp;"",tbl_Finance[Xero Invoice No],"&lt;&gt;"),LOOKUP(2,1/((tbl_Finance[Job Number]=C211&amp;"")*(tbl_Finance[Xero Invoice No]&lt;&gt;"")),tbl_Finance[Xero Invoice No]),LOOKUP(2,1/((tbl_Finance[Job Number]=C211&amp;"")*(tbl_Finance[Xero Invoice No]&lt;&gt;"")),tbl_Finance[Xero Invoice No])&amp;" +more"),"")))</f>
        <v/>
      </c>
      <c r="C211" s="24" t="n"/>
      <c r="D211" s="25">
        <f>IF(C211="","",IF(COUNTIF(lst_Jobs,C211&amp;"")&gt;0,"OK","CHECK"))</f>
        <v/>
      </c>
      <c r="E211" s="25">
        <f>IF(C211="","",IFERROR(INDEX(lst_JobName,MATCH(C211&amp;"",lst_Jobs,0)),""))</f>
        <v/>
      </c>
      <c r="F211" s="25">
        <f>IF(C211="","",IFERROR(INDEX(tbl_Finance[Client],MATCH(C211&amp;"",tbl_Finance[Job Number],0)),""))</f>
        <v/>
      </c>
      <c r="G211" s="28">
        <f>IF(C211="","",COUNTIFS(tbl_Finance[Job Number],C211&amp;"",tbl_Finance[Ex GST],"&lt;&gt;"))</f>
        <v/>
      </c>
      <c r="H211" s="27">
        <f>IF(C211="","",SUMIFS(tbl_Finance[Ex GST],tbl_Finance[Job Number],C211&amp;""))</f>
        <v/>
      </c>
      <c r="I211" s="27">
        <f>IF(C211="","",SUMIFS(tbl_Finance[Ex GST],tbl_Finance[Job Number],C211&amp;"",tbl_Finance[Xero Invoice No],"&lt;&gt;"))</f>
        <v/>
      </c>
      <c r="J211" s="27">
        <f>IF(C211="","",H211-I211)</f>
        <v/>
      </c>
      <c r="K211" s="25">
        <f>IF(C211="","",IF(G211=0,"not invoiced yet",SUBSTITUTE(TRIM(IF(COUNTIFS(tbl_Finance[Job Number],C211&amp;"",tbl_Finance[Cost Centre],"ONSITE")&gt;0,"ONSITE ","")&amp;IF(COUNTIFS(tbl_Finance[Job Number],C211&amp;"",tbl_Finance[Cost Centre],"PRODUCTION")&gt;0,"PRODUCTION ","")&amp;IF(COUNTIFS(tbl_Finance[Job Number],C211&amp;"",tbl_Finance[Cost Centre],"VIDEO")&gt;0,"VIDEO ","")&amp;IF(COUNTIFS(tbl_Finance[Job Number],C211&amp;"",tbl_Finance[Cost Centre],"INTEGRATION")&gt;0,"INTEGRATION ","")&amp;IF(COUNTIFS(tbl_Finance[Job Number],C211&amp;"",tbl_Finance[Cost Centre],"CONSULTING")&gt;0,"CONSULTING ","")&amp;IF(COUNTIFS(tbl_Finance[Job Number],C211&amp;"",tbl_Finance[Cost Centre],"CTS")&gt;0,"CTS ",""))," ",", ")))</f>
        <v/>
      </c>
      <c r="L211" s="24" t="n"/>
      <c r="M211" s="24" t="n"/>
      <c r="N211" s="25">
        <f>IF(M211="","",HYPERLINK(IF(LEFT(M211,4)="http",M211,set_QwilrBase&amp;M211),"Open quote"))</f>
        <v/>
      </c>
      <c r="O211" s="69" t="n"/>
      <c r="P211" s="24" t="n"/>
      <c r="Q211" s="24" t="n"/>
    </row>
    <row r="212" ht="15" customHeight="1">
      <c r="A212" s="68">
        <f>IF(C212="","",IFERROR(IF(SUMPRODUCT(MAX((tbl_Finance[Job Number]=C212&amp;"")*(tbl_Finance[Xero Invoice No]&lt;&gt;"")*tbl_Finance[Date]))=0,"",SUMPRODUCT(MAX((tbl_Finance[Job Number]=C212&amp;"")*(tbl_Finance[Xero Invoice No]&lt;&gt;"")*tbl_Finance[Date]))),""))</f>
        <v/>
      </c>
      <c r="B212" s="25">
        <f>IF(C212="","",IF(COUNTIFS(tbl_Finance[Job Number],C212&amp;"",tbl_Finance[Xero Invoice No],"&lt;&gt;")=0,"",IFERROR(IF(COUNTIFS(tbl_Finance[Job Number],C212&amp;"",tbl_Finance[Xero Invoice No],LOOKUP(2,1/((tbl_Finance[Job Number]=C212&amp;"")*(tbl_Finance[Xero Invoice No]&lt;&gt;"")),tbl_Finance[Xero Invoice No]))=COUNTIFS(tbl_Finance[Job Number],C212&amp;"",tbl_Finance[Xero Invoice No],"&lt;&gt;"),LOOKUP(2,1/((tbl_Finance[Job Number]=C212&amp;"")*(tbl_Finance[Xero Invoice No]&lt;&gt;"")),tbl_Finance[Xero Invoice No]),LOOKUP(2,1/((tbl_Finance[Job Number]=C212&amp;"")*(tbl_Finance[Xero Invoice No]&lt;&gt;"")),tbl_Finance[Xero Invoice No])&amp;" +more"),"")))</f>
        <v/>
      </c>
      <c r="C212" s="24" t="n"/>
      <c r="D212" s="25">
        <f>IF(C212="","",IF(COUNTIF(lst_Jobs,C212&amp;"")&gt;0,"OK","CHECK"))</f>
        <v/>
      </c>
      <c r="E212" s="25">
        <f>IF(C212="","",IFERROR(INDEX(lst_JobName,MATCH(C212&amp;"",lst_Jobs,0)),""))</f>
        <v/>
      </c>
      <c r="F212" s="25">
        <f>IF(C212="","",IFERROR(INDEX(tbl_Finance[Client],MATCH(C212&amp;"",tbl_Finance[Job Number],0)),""))</f>
        <v/>
      </c>
      <c r="G212" s="28">
        <f>IF(C212="","",COUNTIFS(tbl_Finance[Job Number],C212&amp;"",tbl_Finance[Ex GST],"&lt;&gt;"))</f>
        <v/>
      </c>
      <c r="H212" s="27">
        <f>IF(C212="","",SUMIFS(tbl_Finance[Ex GST],tbl_Finance[Job Number],C212&amp;""))</f>
        <v/>
      </c>
      <c r="I212" s="27">
        <f>IF(C212="","",SUMIFS(tbl_Finance[Ex GST],tbl_Finance[Job Number],C212&amp;"",tbl_Finance[Xero Invoice No],"&lt;&gt;"))</f>
        <v/>
      </c>
      <c r="J212" s="27">
        <f>IF(C212="","",H212-I212)</f>
        <v/>
      </c>
      <c r="K212" s="25">
        <f>IF(C212="","",IF(G212=0,"not invoiced yet",SUBSTITUTE(TRIM(IF(COUNTIFS(tbl_Finance[Job Number],C212&amp;"",tbl_Finance[Cost Centre],"ONSITE")&gt;0,"ONSITE ","")&amp;IF(COUNTIFS(tbl_Finance[Job Number],C212&amp;"",tbl_Finance[Cost Centre],"PRODUCTION")&gt;0,"PRODUCTION ","")&amp;IF(COUNTIFS(tbl_Finance[Job Number],C212&amp;"",tbl_Finance[Cost Centre],"VIDEO")&gt;0,"VIDEO ","")&amp;IF(COUNTIFS(tbl_Finance[Job Number],C212&amp;"",tbl_Finance[Cost Centre],"INTEGRATION")&gt;0,"INTEGRATION ","")&amp;IF(COUNTIFS(tbl_Finance[Job Number],C212&amp;"",tbl_Finance[Cost Centre],"CONSULTING")&gt;0,"CONSULTING ","")&amp;IF(COUNTIFS(tbl_Finance[Job Number],C212&amp;"",tbl_Finance[Cost Centre],"CTS")&gt;0,"CTS ",""))," ",", ")))</f>
        <v/>
      </c>
      <c r="L212" s="24" t="n"/>
      <c r="M212" s="24" t="n"/>
      <c r="N212" s="25">
        <f>IF(M212="","",HYPERLINK(IF(LEFT(M212,4)="http",M212,set_QwilrBase&amp;M212),"Open quote"))</f>
        <v/>
      </c>
      <c r="O212" s="69" t="n"/>
      <c r="P212" s="24" t="n"/>
      <c r="Q212" s="24" t="n"/>
    </row>
    <row r="213" ht="15" customHeight="1">
      <c r="A213" s="68">
        <f>IF(C213="","",IFERROR(IF(SUMPRODUCT(MAX((tbl_Finance[Job Number]=C213&amp;"")*(tbl_Finance[Xero Invoice No]&lt;&gt;"")*tbl_Finance[Date]))=0,"",SUMPRODUCT(MAX((tbl_Finance[Job Number]=C213&amp;"")*(tbl_Finance[Xero Invoice No]&lt;&gt;"")*tbl_Finance[Date]))),""))</f>
        <v/>
      </c>
      <c r="B213" s="25">
        <f>IF(C213="","",IF(COUNTIFS(tbl_Finance[Job Number],C213&amp;"",tbl_Finance[Xero Invoice No],"&lt;&gt;")=0,"",IFERROR(IF(COUNTIFS(tbl_Finance[Job Number],C213&amp;"",tbl_Finance[Xero Invoice No],LOOKUP(2,1/((tbl_Finance[Job Number]=C213&amp;"")*(tbl_Finance[Xero Invoice No]&lt;&gt;"")),tbl_Finance[Xero Invoice No]))=COUNTIFS(tbl_Finance[Job Number],C213&amp;"",tbl_Finance[Xero Invoice No],"&lt;&gt;"),LOOKUP(2,1/((tbl_Finance[Job Number]=C213&amp;"")*(tbl_Finance[Xero Invoice No]&lt;&gt;"")),tbl_Finance[Xero Invoice No]),LOOKUP(2,1/((tbl_Finance[Job Number]=C213&amp;"")*(tbl_Finance[Xero Invoice No]&lt;&gt;"")),tbl_Finance[Xero Invoice No])&amp;" +more"),"")))</f>
        <v/>
      </c>
      <c r="C213" s="24" t="n"/>
      <c r="D213" s="25">
        <f>IF(C213="","",IF(COUNTIF(lst_Jobs,C213&amp;"")&gt;0,"OK","CHECK"))</f>
        <v/>
      </c>
      <c r="E213" s="25">
        <f>IF(C213="","",IFERROR(INDEX(lst_JobName,MATCH(C213&amp;"",lst_Jobs,0)),""))</f>
        <v/>
      </c>
      <c r="F213" s="25">
        <f>IF(C213="","",IFERROR(INDEX(tbl_Finance[Client],MATCH(C213&amp;"",tbl_Finance[Job Number],0)),""))</f>
        <v/>
      </c>
      <c r="G213" s="28">
        <f>IF(C213="","",COUNTIFS(tbl_Finance[Job Number],C213&amp;"",tbl_Finance[Ex GST],"&lt;&gt;"))</f>
        <v/>
      </c>
      <c r="H213" s="27">
        <f>IF(C213="","",SUMIFS(tbl_Finance[Ex GST],tbl_Finance[Job Number],C213&amp;""))</f>
        <v/>
      </c>
      <c r="I213" s="27">
        <f>IF(C213="","",SUMIFS(tbl_Finance[Ex GST],tbl_Finance[Job Number],C213&amp;"",tbl_Finance[Xero Invoice No],"&lt;&gt;"))</f>
        <v/>
      </c>
      <c r="J213" s="27">
        <f>IF(C213="","",H213-I213)</f>
        <v/>
      </c>
      <c r="K213" s="25">
        <f>IF(C213="","",IF(G213=0,"not invoiced yet",SUBSTITUTE(TRIM(IF(COUNTIFS(tbl_Finance[Job Number],C213&amp;"",tbl_Finance[Cost Centre],"ONSITE")&gt;0,"ONSITE ","")&amp;IF(COUNTIFS(tbl_Finance[Job Number],C213&amp;"",tbl_Finance[Cost Centre],"PRODUCTION")&gt;0,"PRODUCTION ","")&amp;IF(COUNTIFS(tbl_Finance[Job Number],C213&amp;"",tbl_Finance[Cost Centre],"VIDEO")&gt;0,"VIDEO ","")&amp;IF(COUNTIFS(tbl_Finance[Job Number],C213&amp;"",tbl_Finance[Cost Centre],"INTEGRATION")&gt;0,"INTEGRATION ","")&amp;IF(COUNTIFS(tbl_Finance[Job Number],C213&amp;"",tbl_Finance[Cost Centre],"CONSULTING")&gt;0,"CONSULTING ","")&amp;IF(COUNTIFS(tbl_Finance[Job Number],C213&amp;"",tbl_Finance[Cost Centre],"CTS")&gt;0,"CTS ",""))," ",", ")))</f>
        <v/>
      </c>
      <c r="L213" s="24" t="n"/>
      <c r="M213" s="24" t="n"/>
      <c r="N213" s="25">
        <f>IF(M213="","",HYPERLINK(IF(LEFT(M213,4)="http",M213,set_QwilrBase&amp;M213),"Open quote"))</f>
        <v/>
      </c>
      <c r="O213" s="69" t="n"/>
      <c r="P213" s="24" t="n"/>
      <c r="Q213" s="24" t="n"/>
    </row>
    <row r="214" ht="15" customHeight="1">
      <c r="A214" s="68">
        <f>IF(C214="","",IFERROR(IF(SUMPRODUCT(MAX((tbl_Finance[Job Number]=C214&amp;"")*(tbl_Finance[Xero Invoice No]&lt;&gt;"")*tbl_Finance[Date]))=0,"",SUMPRODUCT(MAX((tbl_Finance[Job Number]=C214&amp;"")*(tbl_Finance[Xero Invoice No]&lt;&gt;"")*tbl_Finance[Date]))),""))</f>
        <v/>
      </c>
      <c r="B214" s="25">
        <f>IF(C214="","",IF(COUNTIFS(tbl_Finance[Job Number],C214&amp;"",tbl_Finance[Xero Invoice No],"&lt;&gt;")=0,"",IFERROR(IF(COUNTIFS(tbl_Finance[Job Number],C214&amp;"",tbl_Finance[Xero Invoice No],LOOKUP(2,1/((tbl_Finance[Job Number]=C214&amp;"")*(tbl_Finance[Xero Invoice No]&lt;&gt;"")),tbl_Finance[Xero Invoice No]))=COUNTIFS(tbl_Finance[Job Number],C214&amp;"",tbl_Finance[Xero Invoice No],"&lt;&gt;"),LOOKUP(2,1/((tbl_Finance[Job Number]=C214&amp;"")*(tbl_Finance[Xero Invoice No]&lt;&gt;"")),tbl_Finance[Xero Invoice No]),LOOKUP(2,1/((tbl_Finance[Job Number]=C214&amp;"")*(tbl_Finance[Xero Invoice No]&lt;&gt;"")),tbl_Finance[Xero Invoice No])&amp;" +more"),"")))</f>
        <v/>
      </c>
      <c r="C214" s="24" t="n"/>
      <c r="D214" s="25">
        <f>IF(C214="","",IF(COUNTIF(lst_Jobs,C214&amp;"")&gt;0,"OK","CHECK"))</f>
        <v/>
      </c>
      <c r="E214" s="25">
        <f>IF(C214="","",IFERROR(INDEX(lst_JobName,MATCH(C214&amp;"",lst_Jobs,0)),""))</f>
        <v/>
      </c>
      <c r="F214" s="25">
        <f>IF(C214="","",IFERROR(INDEX(tbl_Finance[Client],MATCH(C214&amp;"",tbl_Finance[Job Number],0)),""))</f>
        <v/>
      </c>
      <c r="G214" s="28">
        <f>IF(C214="","",COUNTIFS(tbl_Finance[Job Number],C214&amp;"",tbl_Finance[Ex GST],"&lt;&gt;"))</f>
        <v/>
      </c>
      <c r="H214" s="27">
        <f>IF(C214="","",SUMIFS(tbl_Finance[Ex GST],tbl_Finance[Job Number],C214&amp;""))</f>
        <v/>
      </c>
      <c r="I214" s="27">
        <f>IF(C214="","",SUMIFS(tbl_Finance[Ex GST],tbl_Finance[Job Number],C214&amp;"",tbl_Finance[Xero Invoice No],"&lt;&gt;"))</f>
        <v/>
      </c>
      <c r="J214" s="27">
        <f>IF(C214="","",H214-I214)</f>
        <v/>
      </c>
      <c r="K214" s="25">
        <f>IF(C214="","",IF(G214=0,"not invoiced yet",SUBSTITUTE(TRIM(IF(COUNTIFS(tbl_Finance[Job Number],C214&amp;"",tbl_Finance[Cost Centre],"ONSITE")&gt;0,"ONSITE ","")&amp;IF(COUNTIFS(tbl_Finance[Job Number],C214&amp;"",tbl_Finance[Cost Centre],"PRODUCTION")&gt;0,"PRODUCTION ","")&amp;IF(COUNTIFS(tbl_Finance[Job Number],C214&amp;"",tbl_Finance[Cost Centre],"VIDEO")&gt;0,"VIDEO ","")&amp;IF(COUNTIFS(tbl_Finance[Job Number],C214&amp;"",tbl_Finance[Cost Centre],"INTEGRATION")&gt;0,"INTEGRATION ","")&amp;IF(COUNTIFS(tbl_Finance[Job Number],C214&amp;"",tbl_Finance[Cost Centre],"CONSULTING")&gt;0,"CONSULTING ","")&amp;IF(COUNTIFS(tbl_Finance[Job Number],C214&amp;"",tbl_Finance[Cost Centre],"CTS")&gt;0,"CTS ",""))," ",", ")))</f>
        <v/>
      </c>
      <c r="L214" s="24" t="n"/>
      <c r="M214" s="24" t="n"/>
      <c r="N214" s="25">
        <f>IF(M214="","",HYPERLINK(IF(LEFT(M214,4)="http",M214,set_QwilrBase&amp;M214),"Open quote"))</f>
        <v/>
      </c>
      <c r="O214" s="69" t="n"/>
      <c r="P214" s="24" t="n"/>
      <c r="Q214" s="24" t="n"/>
    </row>
    <row r="215" ht="15" customHeight="1">
      <c r="A215" s="68">
        <f>IF(C215="","",IFERROR(IF(SUMPRODUCT(MAX((tbl_Finance[Job Number]=C215&amp;"")*(tbl_Finance[Xero Invoice No]&lt;&gt;"")*tbl_Finance[Date]))=0,"",SUMPRODUCT(MAX((tbl_Finance[Job Number]=C215&amp;"")*(tbl_Finance[Xero Invoice No]&lt;&gt;"")*tbl_Finance[Date]))),""))</f>
        <v/>
      </c>
      <c r="B215" s="25">
        <f>IF(C215="","",IF(COUNTIFS(tbl_Finance[Job Number],C215&amp;"",tbl_Finance[Xero Invoice No],"&lt;&gt;")=0,"",IFERROR(IF(COUNTIFS(tbl_Finance[Job Number],C215&amp;"",tbl_Finance[Xero Invoice No],LOOKUP(2,1/((tbl_Finance[Job Number]=C215&amp;"")*(tbl_Finance[Xero Invoice No]&lt;&gt;"")),tbl_Finance[Xero Invoice No]))=COUNTIFS(tbl_Finance[Job Number],C215&amp;"",tbl_Finance[Xero Invoice No],"&lt;&gt;"),LOOKUP(2,1/((tbl_Finance[Job Number]=C215&amp;"")*(tbl_Finance[Xero Invoice No]&lt;&gt;"")),tbl_Finance[Xero Invoice No]),LOOKUP(2,1/((tbl_Finance[Job Number]=C215&amp;"")*(tbl_Finance[Xero Invoice No]&lt;&gt;"")),tbl_Finance[Xero Invoice No])&amp;" +more"),"")))</f>
        <v/>
      </c>
      <c r="C215" s="24" t="n"/>
      <c r="D215" s="25">
        <f>IF(C215="","",IF(COUNTIF(lst_Jobs,C215&amp;"")&gt;0,"OK","CHECK"))</f>
        <v/>
      </c>
      <c r="E215" s="25">
        <f>IF(C215="","",IFERROR(INDEX(lst_JobName,MATCH(C215&amp;"",lst_Jobs,0)),""))</f>
        <v/>
      </c>
      <c r="F215" s="25">
        <f>IF(C215="","",IFERROR(INDEX(tbl_Finance[Client],MATCH(C215&amp;"",tbl_Finance[Job Number],0)),""))</f>
        <v/>
      </c>
      <c r="G215" s="28">
        <f>IF(C215="","",COUNTIFS(tbl_Finance[Job Number],C215&amp;"",tbl_Finance[Ex GST],"&lt;&gt;"))</f>
        <v/>
      </c>
      <c r="H215" s="27">
        <f>IF(C215="","",SUMIFS(tbl_Finance[Ex GST],tbl_Finance[Job Number],C215&amp;""))</f>
        <v/>
      </c>
      <c r="I215" s="27">
        <f>IF(C215="","",SUMIFS(tbl_Finance[Ex GST],tbl_Finance[Job Number],C215&amp;"",tbl_Finance[Xero Invoice No],"&lt;&gt;"))</f>
        <v/>
      </c>
      <c r="J215" s="27">
        <f>IF(C215="","",H215-I215)</f>
        <v/>
      </c>
      <c r="K215" s="25">
        <f>IF(C215="","",IF(G215=0,"not invoiced yet",SUBSTITUTE(TRIM(IF(COUNTIFS(tbl_Finance[Job Number],C215&amp;"",tbl_Finance[Cost Centre],"ONSITE")&gt;0,"ONSITE ","")&amp;IF(COUNTIFS(tbl_Finance[Job Number],C215&amp;"",tbl_Finance[Cost Centre],"PRODUCTION")&gt;0,"PRODUCTION ","")&amp;IF(COUNTIFS(tbl_Finance[Job Number],C215&amp;"",tbl_Finance[Cost Centre],"VIDEO")&gt;0,"VIDEO ","")&amp;IF(COUNTIFS(tbl_Finance[Job Number],C215&amp;"",tbl_Finance[Cost Centre],"INTEGRATION")&gt;0,"INTEGRATION ","")&amp;IF(COUNTIFS(tbl_Finance[Job Number],C215&amp;"",tbl_Finance[Cost Centre],"CONSULTING")&gt;0,"CONSULTING ","")&amp;IF(COUNTIFS(tbl_Finance[Job Number],C215&amp;"",tbl_Finance[Cost Centre],"CTS")&gt;0,"CTS ",""))," ",", ")))</f>
        <v/>
      </c>
      <c r="L215" s="24" t="n"/>
      <c r="M215" s="24" t="n"/>
      <c r="N215" s="25">
        <f>IF(M215="","",HYPERLINK(IF(LEFT(M215,4)="http",M215,set_QwilrBase&amp;M215),"Open quote"))</f>
        <v/>
      </c>
      <c r="O215" s="69" t="n"/>
      <c r="P215" s="24" t="n"/>
      <c r="Q215" s="24" t="n"/>
    </row>
    <row r="216" ht="15" customHeight="1">
      <c r="A216" s="68">
        <f>IF(C216="","",IFERROR(IF(SUMPRODUCT(MAX((tbl_Finance[Job Number]=C216&amp;"")*(tbl_Finance[Xero Invoice No]&lt;&gt;"")*tbl_Finance[Date]))=0,"",SUMPRODUCT(MAX((tbl_Finance[Job Number]=C216&amp;"")*(tbl_Finance[Xero Invoice No]&lt;&gt;"")*tbl_Finance[Date]))),""))</f>
        <v/>
      </c>
      <c r="B216" s="25">
        <f>IF(C216="","",IF(COUNTIFS(tbl_Finance[Job Number],C216&amp;"",tbl_Finance[Xero Invoice No],"&lt;&gt;")=0,"",IFERROR(IF(COUNTIFS(tbl_Finance[Job Number],C216&amp;"",tbl_Finance[Xero Invoice No],LOOKUP(2,1/((tbl_Finance[Job Number]=C216&amp;"")*(tbl_Finance[Xero Invoice No]&lt;&gt;"")),tbl_Finance[Xero Invoice No]))=COUNTIFS(tbl_Finance[Job Number],C216&amp;"",tbl_Finance[Xero Invoice No],"&lt;&gt;"),LOOKUP(2,1/((tbl_Finance[Job Number]=C216&amp;"")*(tbl_Finance[Xero Invoice No]&lt;&gt;"")),tbl_Finance[Xero Invoice No]),LOOKUP(2,1/((tbl_Finance[Job Number]=C216&amp;"")*(tbl_Finance[Xero Invoice No]&lt;&gt;"")),tbl_Finance[Xero Invoice No])&amp;" +more"),"")))</f>
        <v/>
      </c>
      <c r="C216" s="24" t="n"/>
      <c r="D216" s="25">
        <f>IF(C216="","",IF(COUNTIF(lst_Jobs,C216&amp;"")&gt;0,"OK","CHECK"))</f>
        <v/>
      </c>
      <c r="E216" s="25">
        <f>IF(C216="","",IFERROR(INDEX(lst_JobName,MATCH(C216&amp;"",lst_Jobs,0)),""))</f>
        <v/>
      </c>
      <c r="F216" s="25">
        <f>IF(C216="","",IFERROR(INDEX(tbl_Finance[Client],MATCH(C216&amp;"",tbl_Finance[Job Number],0)),""))</f>
        <v/>
      </c>
      <c r="G216" s="28">
        <f>IF(C216="","",COUNTIFS(tbl_Finance[Job Number],C216&amp;"",tbl_Finance[Ex GST],"&lt;&gt;"))</f>
        <v/>
      </c>
      <c r="H216" s="27">
        <f>IF(C216="","",SUMIFS(tbl_Finance[Ex GST],tbl_Finance[Job Number],C216&amp;""))</f>
        <v/>
      </c>
      <c r="I216" s="27">
        <f>IF(C216="","",SUMIFS(tbl_Finance[Ex GST],tbl_Finance[Job Number],C216&amp;"",tbl_Finance[Xero Invoice No],"&lt;&gt;"))</f>
        <v/>
      </c>
      <c r="J216" s="27">
        <f>IF(C216="","",H216-I216)</f>
        <v/>
      </c>
      <c r="K216" s="25">
        <f>IF(C216="","",IF(G216=0,"not invoiced yet",SUBSTITUTE(TRIM(IF(COUNTIFS(tbl_Finance[Job Number],C216&amp;"",tbl_Finance[Cost Centre],"ONSITE")&gt;0,"ONSITE ","")&amp;IF(COUNTIFS(tbl_Finance[Job Number],C216&amp;"",tbl_Finance[Cost Centre],"PRODUCTION")&gt;0,"PRODUCTION ","")&amp;IF(COUNTIFS(tbl_Finance[Job Number],C216&amp;"",tbl_Finance[Cost Centre],"VIDEO")&gt;0,"VIDEO ","")&amp;IF(COUNTIFS(tbl_Finance[Job Number],C216&amp;"",tbl_Finance[Cost Centre],"INTEGRATION")&gt;0,"INTEGRATION ","")&amp;IF(COUNTIFS(tbl_Finance[Job Number],C216&amp;"",tbl_Finance[Cost Centre],"CONSULTING")&gt;0,"CONSULTING ","")&amp;IF(COUNTIFS(tbl_Finance[Job Number],C216&amp;"",tbl_Finance[Cost Centre],"CTS")&gt;0,"CTS ",""))," ",", ")))</f>
        <v/>
      </c>
      <c r="L216" s="24" t="n"/>
      <c r="M216" s="24" t="n"/>
      <c r="N216" s="25">
        <f>IF(M216="","",HYPERLINK(IF(LEFT(M216,4)="http",M216,set_QwilrBase&amp;M216),"Open quote"))</f>
        <v/>
      </c>
      <c r="O216" s="69" t="n"/>
      <c r="P216" s="24" t="n"/>
      <c r="Q216" s="24" t="n"/>
    </row>
    <row r="217" ht="15" customHeight="1">
      <c r="A217" s="68">
        <f>IF(C217="","",IFERROR(IF(SUMPRODUCT(MAX((tbl_Finance[Job Number]=C217&amp;"")*(tbl_Finance[Xero Invoice No]&lt;&gt;"")*tbl_Finance[Date]))=0,"",SUMPRODUCT(MAX((tbl_Finance[Job Number]=C217&amp;"")*(tbl_Finance[Xero Invoice No]&lt;&gt;"")*tbl_Finance[Date]))),""))</f>
        <v/>
      </c>
      <c r="B217" s="25">
        <f>IF(C217="","",IF(COUNTIFS(tbl_Finance[Job Number],C217&amp;"",tbl_Finance[Xero Invoice No],"&lt;&gt;")=0,"",IFERROR(IF(COUNTIFS(tbl_Finance[Job Number],C217&amp;"",tbl_Finance[Xero Invoice No],LOOKUP(2,1/((tbl_Finance[Job Number]=C217&amp;"")*(tbl_Finance[Xero Invoice No]&lt;&gt;"")),tbl_Finance[Xero Invoice No]))=COUNTIFS(tbl_Finance[Job Number],C217&amp;"",tbl_Finance[Xero Invoice No],"&lt;&gt;"),LOOKUP(2,1/((tbl_Finance[Job Number]=C217&amp;"")*(tbl_Finance[Xero Invoice No]&lt;&gt;"")),tbl_Finance[Xero Invoice No]),LOOKUP(2,1/((tbl_Finance[Job Number]=C217&amp;"")*(tbl_Finance[Xero Invoice No]&lt;&gt;"")),tbl_Finance[Xero Invoice No])&amp;" +more"),"")))</f>
        <v/>
      </c>
      <c r="C217" s="24" t="n"/>
      <c r="D217" s="25">
        <f>IF(C217="","",IF(COUNTIF(lst_Jobs,C217&amp;"")&gt;0,"OK","CHECK"))</f>
        <v/>
      </c>
      <c r="E217" s="25">
        <f>IF(C217="","",IFERROR(INDEX(lst_JobName,MATCH(C217&amp;"",lst_Jobs,0)),""))</f>
        <v/>
      </c>
      <c r="F217" s="25">
        <f>IF(C217="","",IFERROR(INDEX(tbl_Finance[Client],MATCH(C217&amp;"",tbl_Finance[Job Number],0)),""))</f>
        <v/>
      </c>
      <c r="G217" s="28">
        <f>IF(C217="","",COUNTIFS(tbl_Finance[Job Number],C217&amp;"",tbl_Finance[Ex GST],"&lt;&gt;"))</f>
        <v/>
      </c>
      <c r="H217" s="27">
        <f>IF(C217="","",SUMIFS(tbl_Finance[Ex GST],tbl_Finance[Job Number],C217&amp;""))</f>
        <v/>
      </c>
      <c r="I217" s="27">
        <f>IF(C217="","",SUMIFS(tbl_Finance[Ex GST],tbl_Finance[Job Number],C217&amp;"",tbl_Finance[Xero Invoice No],"&lt;&gt;"))</f>
        <v/>
      </c>
      <c r="J217" s="27">
        <f>IF(C217="","",H217-I217)</f>
        <v/>
      </c>
      <c r="K217" s="25">
        <f>IF(C217="","",IF(G217=0,"not invoiced yet",SUBSTITUTE(TRIM(IF(COUNTIFS(tbl_Finance[Job Number],C217&amp;"",tbl_Finance[Cost Centre],"ONSITE")&gt;0,"ONSITE ","")&amp;IF(COUNTIFS(tbl_Finance[Job Number],C217&amp;"",tbl_Finance[Cost Centre],"PRODUCTION")&gt;0,"PRODUCTION ","")&amp;IF(COUNTIFS(tbl_Finance[Job Number],C217&amp;"",tbl_Finance[Cost Centre],"VIDEO")&gt;0,"VIDEO ","")&amp;IF(COUNTIFS(tbl_Finance[Job Number],C217&amp;"",tbl_Finance[Cost Centre],"INTEGRATION")&gt;0,"INTEGRATION ","")&amp;IF(COUNTIFS(tbl_Finance[Job Number],C217&amp;"",tbl_Finance[Cost Centre],"CONSULTING")&gt;0,"CONSULTING ","")&amp;IF(COUNTIFS(tbl_Finance[Job Number],C217&amp;"",tbl_Finance[Cost Centre],"CTS")&gt;0,"CTS ",""))," ",", ")))</f>
        <v/>
      </c>
      <c r="L217" s="24" t="n"/>
      <c r="M217" s="24" t="n"/>
      <c r="N217" s="25">
        <f>IF(M217="","",HYPERLINK(IF(LEFT(M217,4)="http",M217,set_QwilrBase&amp;M217),"Open quote"))</f>
        <v/>
      </c>
      <c r="O217" s="69" t="n"/>
      <c r="P217" s="24" t="n"/>
      <c r="Q217" s="24" t="n"/>
    </row>
    <row r="218" ht="15" customHeight="1">
      <c r="A218" s="68">
        <f>IF(C218="","",IFERROR(IF(SUMPRODUCT(MAX((tbl_Finance[Job Number]=C218&amp;"")*(tbl_Finance[Xero Invoice No]&lt;&gt;"")*tbl_Finance[Date]))=0,"",SUMPRODUCT(MAX((tbl_Finance[Job Number]=C218&amp;"")*(tbl_Finance[Xero Invoice No]&lt;&gt;"")*tbl_Finance[Date]))),""))</f>
        <v/>
      </c>
      <c r="B218" s="25">
        <f>IF(C218="","",IF(COUNTIFS(tbl_Finance[Job Number],C218&amp;"",tbl_Finance[Xero Invoice No],"&lt;&gt;")=0,"",IFERROR(IF(COUNTIFS(tbl_Finance[Job Number],C218&amp;"",tbl_Finance[Xero Invoice No],LOOKUP(2,1/((tbl_Finance[Job Number]=C218&amp;"")*(tbl_Finance[Xero Invoice No]&lt;&gt;"")),tbl_Finance[Xero Invoice No]))=COUNTIFS(tbl_Finance[Job Number],C218&amp;"",tbl_Finance[Xero Invoice No],"&lt;&gt;"),LOOKUP(2,1/((tbl_Finance[Job Number]=C218&amp;"")*(tbl_Finance[Xero Invoice No]&lt;&gt;"")),tbl_Finance[Xero Invoice No]),LOOKUP(2,1/((tbl_Finance[Job Number]=C218&amp;"")*(tbl_Finance[Xero Invoice No]&lt;&gt;"")),tbl_Finance[Xero Invoice No])&amp;" +more"),"")))</f>
        <v/>
      </c>
      <c r="C218" s="24" t="n"/>
      <c r="D218" s="25">
        <f>IF(C218="","",IF(COUNTIF(lst_Jobs,C218&amp;"")&gt;0,"OK","CHECK"))</f>
        <v/>
      </c>
      <c r="E218" s="25">
        <f>IF(C218="","",IFERROR(INDEX(lst_JobName,MATCH(C218&amp;"",lst_Jobs,0)),""))</f>
        <v/>
      </c>
      <c r="F218" s="25">
        <f>IF(C218="","",IFERROR(INDEX(tbl_Finance[Client],MATCH(C218&amp;"",tbl_Finance[Job Number],0)),""))</f>
        <v/>
      </c>
      <c r="G218" s="28">
        <f>IF(C218="","",COUNTIFS(tbl_Finance[Job Number],C218&amp;"",tbl_Finance[Ex GST],"&lt;&gt;"))</f>
        <v/>
      </c>
      <c r="H218" s="27">
        <f>IF(C218="","",SUMIFS(tbl_Finance[Ex GST],tbl_Finance[Job Number],C218&amp;""))</f>
        <v/>
      </c>
      <c r="I218" s="27">
        <f>IF(C218="","",SUMIFS(tbl_Finance[Ex GST],tbl_Finance[Job Number],C218&amp;"",tbl_Finance[Xero Invoice No],"&lt;&gt;"))</f>
        <v/>
      </c>
      <c r="J218" s="27">
        <f>IF(C218="","",H218-I218)</f>
        <v/>
      </c>
      <c r="K218" s="25">
        <f>IF(C218="","",IF(G218=0,"not invoiced yet",SUBSTITUTE(TRIM(IF(COUNTIFS(tbl_Finance[Job Number],C218&amp;"",tbl_Finance[Cost Centre],"ONSITE")&gt;0,"ONSITE ","")&amp;IF(COUNTIFS(tbl_Finance[Job Number],C218&amp;"",tbl_Finance[Cost Centre],"PRODUCTION")&gt;0,"PRODUCTION ","")&amp;IF(COUNTIFS(tbl_Finance[Job Number],C218&amp;"",tbl_Finance[Cost Centre],"VIDEO")&gt;0,"VIDEO ","")&amp;IF(COUNTIFS(tbl_Finance[Job Number],C218&amp;"",tbl_Finance[Cost Centre],"INTEGRATION")&gt;0,"INTEGRATION ","")&amp;IF(COUNTIFS(tbl_Finance[Job Number],C218&amp;"",tbl_Finance[Cost Centre],"CONSULTING")&gt;0,"CONSULTING ","")&amp;IF(COUNTIFS(tbl_Finance[Job Number],C218&amp;"",tbl_Finance[Cost Centre],"CTS")&gt;0,"CTS ",""))," ",", ")))</f>
        <v/>
      </c>
      <c r="L218" s="24" t="n"/>
      <c r="M218" s="24" t="n"/>
      <c r="N218" s="25">
        <f>IF(M218="","",HYPERLINK(IF(LEFT(M218,4)="http",M218,set_QwilrBase&amp;M218),"Open quote"))</f>
        <v/>
      </c>
      <c r="O218" s="69" t="n"/>
      <c r="P218" s="24" t="n"/>
      <c r="Q218" s="24" t="n"/>
    </row>
    <row r="219" ht="15" customHeight="1">
      <c r="A219" s="68">
        <f>IF(C219="","",IFERROR(IF(SUMPRODUCT(MAX((tbl_Finance[Job Number]=C219&amp;"")*(tbl_Finance[Xero Invoice No]&lt;&gt;"")*tbl_Finance[Date]))=0,"",SUMPRODUCT(MAX((tbl_Finance[Job Number]=C219&amp;"")*(tbl_Finance[Xero Invoice No]&lt;&gt;"")*tbl_Finance[Date]))),""))</f>
        <v/>
      </c>
      <c r="B219" s="25">
        <f>IF(C219="","",IF(COUNTIFS(tbl_Finance[Job Number],C219&amp;"",tbl_Finance[Xero Invoice No],"&lt;&gt;")=0,"",IFERROR(IF(COUNTIFS(tbl_Finance[Job Number],C219&amp;"",tbl_Finance[Xero Invoice No],LOOKUP(2,1/((tbl_Finance[Job Number]=C219&amp;"")*(tbl_Finance[Xero Invoice No]&lt;&gt;"")),tbl_Finance[Xero Invoice No]))=COUNTIFS(tbl_Finance[Job Number],C219&amp;"",tbl_Finance[Xero Invoice No],"&lt;&gt;"),LOOKUP(2,1/((tbl_Finance[Job Number]=C219&amp;"")*(tbl_Finance[Xero Invoice No]&lt;&gt;"")),tbl_Finance[Xero Invoice No]),LOOKUP(2,1/((tbl_Finance[Job Number]=C219&amp;"")*(tbl_Finance[Xero Invoice No]&lt;&gt;"")),tbl_Finance[Xero Invoice No])&amp;" +more"),"")))</f>
        <v/>
      </c>
      <c r="C219" s="24" t="n"/>
      <c r="D219" s="25">
        <f>IF(C219="","",IF(COUNTIF(lst_Jobs,C219&amp;"")&gt;0,"OK","CHECK"))</f>
        <v/>
      </c>
      <c r="E219" s="25">
        <f>IF(C219="","",IFERROR(INDEX(lst_JobName,MATCH(C219&amp;"",lst_Jobs,0)),""))</f>
        <v/>
      </c>
      <c r="F219" s="25">
        <f>IF(C219="","",IFERROR(INDEX(tbl_Finance[Client],MATCH(C219&amp;"",tbl_Finance[Job Number],0)),""))</f>
        <v/>
      </c>
      <c r="G219" s="28">
        <f>IF(C219="","",COUNTIFS(tbl_Finance[Job Number],C219&amp;"",tbl_Finance[Ex GST],"&lt;&gt;"))</f>
        <v/>
      </c>
      <c r="H219" s="27">
        <f>IF(C219="","",SUMIFS(tbl_Finance[Ex GST],tbl_Finance[Job Number],C219&amp;""))</f>
        <v/>
      </c>
      <c r="I219" s="27">
        <f>IF(C219="","",SUMIFS(tbl_Finance[Ex GST],tbl_Finance[Job Number],C219&amp;"",tbl_Finance[Xero Invoice No],"&lt;&gt;"))</f>
        <v/>
      </c>
      <c r="J219" s="27">
        <f>IF(C219="","",H219-I219)</f>
        <v/>
      </c>
      <c r="K219" s="25">
        <f>IF(C219="","",IF(G219=0,"not invoiced yet",SUBSTITUTE(TRIM(IF(COUNTIFS(tbl_Finance[Job Number],C219&amp;"",tbl_Finance[Cost Centre],"ONSITE")&gt;0,"ONSITE ","")&amp;IF(COUNTIFS(tbl_Finance[Job Number],C219&amp;"",tbl_Finance[Cost Centre],"PRODUCTION")&gt;0,"PRODUCTION ","")&amp;IF(COUNTIFS(tbl_Finance[Job Number],C219&amp;"",tbl_Finance[Cost Centre],"VIDEO")&gt;0,"VIDEO ","")&amp;IF(COUNTIFS(tbl_Finance[Job Number],C219&amp;"",tbl_Finance[Cost Centre],"INTEGRATION")&gt;0,"INTEGRATION ","")&amp;IF(COUNTIFS(tbl_Finance[Job Number],C219&amp;"",tbl_Finance[Cost Centre],"CONSULTING")&gt;0,"CONSULTING ","")&amp;IF(COUNTIFS(tbl_Finance[Job Number],C219&amp;"",tbl_Finance[Cost Centre],"CTS")&gt;0,"CTS ",""))," ",", ")))</f>
        <v/>
      </c>
      <c r="L219" s="24" t="n"/>
      <c r="M219" s="24" t="n"/>
      <c r="N219" s="25">
        <f>IF(M219="","",HYPERLINK(IF(LEFT(M219,4)="http",M219,set_QwilrBase&amp;M219),"Open quote"))</f>
        <v/>
      </c>
      <c r="O219" s="69" t="n"/>
      <c r="P219" s="24" t="n"/>
      <c r="Q219" s="24" t="n"/>
    </row>
    <row r="220" ht="15" customHeight="1">
      <c r="A220" s="68">
        <f>IF(C220="","",IFERROR(IF(SUMPRODUCT(MAX((tbl_Finance[Job Number]=C220&amp;"")*(tbl_Finance[Xero Invoice No]&lt;&gt;"")*tbl_Finance[Date]))=0,"",SUMPRODUCT(MAX((tbl_Finance[Job Number]=C220&amp;"")*(tbl_Finance[Xero Invoice No]&lt;&gt;"")*tbl_Finance[Date]))),""))</f>
        <v/>
      </c>
      <c r="B220" s="25">
        <f>IF(C220="","",IF(COUNTIFS(tbl_Finance[Job Number],C220&amp;"",tbl_Finance[Xero Invoice No],"&lt;&gt;")=0,"",IFERROR(IF(COUNTIFS(tbl_Finance[Job Number],C220&amp;"",tbl_Finance[Xero Invoice No],LOOKUP(2,1/((tbl_Finance[Job Number]=C220&amp;"")*(tbl_Finance[Xero Invoice No]&lt;&gt;"")),tbl_Finance[Xero Invoice No]))=COUNTIFS(tbl_Finance[Job Number],C220&amp;"",tbl_Finance[Xero Invoice No],"&lt;&gt;"),LOOKUP(2,1/((tbl_Finance[Job Number]=C220&amp;"")*(tbl_Finance[Xero Invoice No]&lt;&gt;"")),tbl_Finance[Xero Invoice No]),LOOKUP(2,1/((tbl_Finance[Job Number]=C220&amp;"")*(tbl_Finance[Xero Invoice No]&lt;&gt;"")),tbl_Finance[Xero Invoice No])&amp;" +more"),"")))</f>
        <v/>
      </c>
      <c r="C220" s="24" t="n"/>
      <c r="D220" s="25">
        <f>IF(C220="","",IF(COUNTIF(lst_Jobs,C220&amp;"")&gt;0,"OK","CHECK"))</f>
        <v/>
      </c>
      <c r="E220" s="25">
        <f>IF(C220="","",IFERROR(INDEX(lst_JobName,MATCH(C220&amp;"",lst_Jobs,0)),""))</f>
        <v/>
      </c>
      <c r="F220" s="25">
        <f>IF(C220="","",IFERROR(INDEX(tbl_Finance[Client],MATCH(C220&amp;"",tbl_Finance[Job Number],0)),""))</f>
        <v/>
      </c>
      <c r="G220" s="28">
        <f>IF(C220="","",COUNTIFS(tbl_Finance[Job Number],C220&amp;"",tbl_Finance[Ex GST],"&lt;&gt;"))</f>
        <v/>
      </c>
      <c r="H220" s="27">
        <f>IF(C220="","",SUMIFS(tbl_Finance[Ex GST],tbl_Finance[Job Number],C220&amp;""))</f>
        <v/>
      </c>
      <c r="I220" s="27">
        <f>IF(C220="","",SUMIFS(tbl_Finance[Ex GST],tbl_Finance[Job Number],C220&amp;"",tbl_Finance[Xero Invoice No],"&lt;&gt;"))</f>
        <v/>
      </c>
      <c r="J220" s="27">
        <f>IF(C220="","",H220-I220)</f>
        <v/>
      </c>
      <c r="K220" s="25">
        <f>IF(C220="","",IF(G220=0,"not invoiced yet",SUBSTITUTE(TRIM(IF(COUNTIFS(tbl_Finance[Job Number],C220&amp;"",tbl_Finance[Cost Centre],"ONSITE")&gt;0,"ONSITE ","")&amp;IF(COUNTIFS(tbl_Finance[Job Number],C220&amp;"",tbl_Finance[Cost Centre],"PRODUCTION")&gt;0,"PRODUCTION ","")&amp;IF(COUNTIFS(tbl_Finance[Job Number],C220&amp;"",tbl_Finance[Cost Centre],"VIDEO")&gt;0,"VIDEO ","")&amp;IF(COUNTIFS(tbl_Finance[Job Number],C220&amp;"",tbl_Finance[Cost Centre],"INTEGRATION")&gt;0,"INTEGRATION ","")&amp;IF(COUNTIFS(tbl_Finance[Job Number],C220&amp;"",tbl_Finance[Cost Centre],"CONSULTING")&gt;0,"CONSULTING ","")&amp;IF(COUNTIFS(tbl_Finance[Job Number],C220&amp;"",tbl_Finance[Cost Centre],"CTS")&gt;0,"CTS ",""))," ",", ")))</f>
        <v/>
      </c>
      <c r="L220" s="24" t="n"/>
      <c r="M220" s="24" t="n"/>
      <c r="N220" s="25">
        <f>IF(M220="","",HYPERLINK(IF(LEFT(M220,4)="http",M220,set_QwilrBase&amp;M220),"Open quote"))</f>
        <v/>
      </c>
      <c r="O220" s="69" t="n"/>
      <c r="P220" s="24" t="n"/>
      <c r="Q220" s="24" t="n"/>
    </row>
    <row r="221" ht="15" customHeight="1">
      <c r="A221" s="68">
        <f>IF(C221="","",IFERROR(IF(SUMPRODUCT(MAX((tbl_Finance[Job Number]=C221&amp;"")*(tbl_Finance[Xero Invoice No]&lt;&gt;"")*tbl_Finance[Date]))=0,"",SUMPRODUCT(MAX((tbl_Finance[Job Number]=C221&amp;"")*(tbl_Finance[Xero Invoice No]&lt;&gt;"")*tbl_Finance[Date]))),""))</f>
        <v/>
      </c>
      <c r="B221" s="25">
        <f>IF(C221="","",IF(COUNTIFS(tbl_Finance[Job Number],C221&amp;"",tbl_Finance[Xero Invoice No],"&lt;&gt;")=0,"",IFERROR(IF(COUNTIFS(tbl_Finance[Job Number],C221&amp;"",tbl_Finance[Xero Invoice No],LOOKUP(2,1/((tbl_Finance[Job Number]=C221&amp;"")*(tbl_Finance[Xero Invoice No]&lt;&gt;"")),tbl_Finance[Xero Invoice No]))=COUNTIFS(tbl_Finance[Job Number],C221&amp;"",tbl_Finance[Xero Invoice No],"&lt;&gt;"),LOOKUP(2,1/((tbl_Finance[Job Number]=C221&amp;"")*(tbl_Finance[Xero Invoice No]&lt;&gt;"")),tbl_Finance[Xero Invoice No]),LOOKUP(2,1/((tbl_Finance[Job Number]=C221&amp;"")*(tbl_Finance[Xero Invoice No]&lt;&gt;"")),tbl_Finance[Xero Invoice No])&amp;" +more"),"")))</f>
        <v/>
      </c>
      <c r="C221" s="24" t="n"/>
      <c r="D221" s="25">
        <f>IF(C221="","",IF(COUNTIF(lst_Jobs,C221&amp;"")&gt;0,"OK","CHECK"))</f>
        <v/>
      </c>
      <c r="E221" s="25">
        <f>IF(C221="","",IFERROR(INDEX(lst_JobName,MATCH(C221&amp;"",lst_Jobs,0)),""))</f>
        <v/>
      </c>
      <c r="F221" s="25">
        <f>IF(C221="","",IFERROR(INDEX(tbl_Finance[Client],MATCH(C221&amp;"",tbl_Finance[Job Number],0)),""))</f>
        <v/>
      </c>
      <c r="G221" s="28">
        <f>IF(C221="","",COUNTIFS(tbl_Finance[Job Number],C221&amp;"",tbl_Finance[Ex GST],"&lt;&gt;"))</f>
        <v/>
      </c>
      <c r="H221" s="27">
        <f>IF(C221="","",SUMIFS(tbl_Finance[Ex GST],tbl_Finance[Job Number],C221&amp;""))</f>
        <v/>
      </c>
      <c r="I221" s="27">
        <f>IF(C221="","",SUMIFS(tbl_Finance[Ex GST],tbl_Finance[Job Number],C221&amp;"",tbl_Finance[Xero Invoice No],"&lt;&gt;"))</f>
        <v/>
      </c>
      <c r="J221" s="27">
        <f>IF(C221="","",H221-I221)</f>
        <v/>
      </c>
      <c r="K221" s="25">
        <f>IF(C221="","",IF(G221=0,"not invoiced yet",SUBSTITUTE(TRIM(IF(COUNTIFS(tbl_Finance[Job Number],C221&amp;"",tbl_Finance[Cost Centre],"ONSITE")&gt;0,"ONSITE ","")&amp;IF(COUNTIFS(tbl_Finance[Job Number],C221&amp;"",tbl_Finance[Cost Centre],"PRODUCTION")&gt;0,"PRODUCTION ","")&amp;IF(COUNTIFS(tbl_Finance[Job Number],C221&amp;"",tbl_Finance[Cost Centre],"VIDEO")&gt;0,"VIDEO ","")&amp;IF(COUNTIFS(tbl_Finance[Job Number],C221&amp;"",tbl_Finance[Cost Centre],"INTEGRATION")&gt;0,"INTEGRATION ","")&amp;IF(COUNTIFS(tbl_Finance[Job Number],C221&amp;"",tbl_Finance[Cost Centre],"CONSULTING")&gt;0,"CONSULTING ","")&amp;IF(COUNTIFS(tbl_Finance[Job Number],C221&amp;"",tbl_Finance[Cost Centre],"CTS")&gt;0,"CTS ",""))," ",", ")))</f>
        <v/>
      </c>
      <c r="L221" s="24" t="n"/>
      <c r="M221" s="24" t="n"/>
      <c r="N221" s="25">
        <f>IF(M221="","",HYPERLINK(IF(LEFT(M221,4)="http",M221,set_QwilrBase&amp;M221),"Open quote"))</f>
        <v/>
      </c>
      <c r="O221" s="69" t="n"/>
      <c r="P221" s="24" t="n"/>
      <c r="Q221" s="24" t="n"/>
    </row>
    <row r="222" ht="15" customHeight="1">
      <c r="A222" s="68">
        <f>IF(C222="","",IFERROR(IF(SUMPRODUCT(MAX((tbl_Finance[Job Number]=C222&amp;"")*(tbl_Finance[Xero Invoice No]&lt;&gt;"")*tbl_Finance[Date]))=0,"",SUMPRODUCT(MAX((tbl_Finance[Job Number]=C222&amp;"")*(tbl_Finance[Xero Invoice No]&lt;&gt;"")*tbl_Finance[Date]))),""))</f>
        <v/>
      </c>
      <c r="B222" s="25">
        <f>IF(C222="","",IF(COUNTIFS(tbl_Finance[Job Number],C222&amp;"",tbl_Finance[Xero Invoice No],"&lt;&gt;")=0,"",IFERROR(IF(COUNTIFS(tbl_Finance[Job Number],C222&amp;"",tbl_Finance[Xero Invoice No],LOOKUP(2,1/((tbl_Finance[Job Number]=C222&amp;"")*(tbl_Finance[Xero Invoice No]&lt;&gt;"")),tbl_Finance[Xero Invoice No]))=COUNTIFS(tbl_Finance[Job Number],C222&amp;"",tbl_Finance[Xero Invoice No],"&lt;&gt;"),LOOKUP(2,1/((tbl_Finance[Job Number]=C222&amp;"")*(tbl_Finance[Xero Invoice No]&lt;&gt;"")),tbl_Finance[Xero Invoice No]),LOOKUP(2,1/((tbl_Finance[Job Number]=C222&amp;"")*(tbl_Finance[Xero Invoice No]&lt;&gt;"")),tbl_Finance[Xero Invoice No])&amp;" +more"),"")))</f>
        <v/>
      </c>
      <c r="C222" s="24" t="n"/>
      <c r="D222" s="25">
        <f>IF(C222="","",IF(COUNTIF(lst_Jobs,C222&amp;"")&gt;0,"OK","CHECK"))</f>
        <v/>
      </c>
      <c r="E222" s="25">
        <f>IF(C222="","",IFERROR(INDEX(lst_JobName,MATCH(C222&amp;"",lst_Jobs,0)),""))</f>
        <v/>
      </c>
      <c r="F222" s="25">
        <f>IF(C222="","",IFERROR(INDEX(tbl_Finance[Client],MATCH(C222&amp;"",tbl_Finance[Job Number],0)),""))</f>
        <v/>
      </c>
      <c r="G222" s="28">
        <f>IF(C222="","",COUNTIFS(tbl_Finance[Job Number],C222&amp;"",tbl_Finance[Ex GST],"&lt;&gt;"))</f>
        <v/>
      </c>
      <c r="H222" s="27">
        <f>IF(C222="","",SUMIFS(tbl_Finance[Ex GST],tbl_Finance[Job Number],C222&amp;""))</f>
        <v/>
      </c>
      <c r="I222" s="27">
        <f>IF(C222="","",SUMIFS(tbl_Finance[Ex GST],tbl_Finance[Job Number],C222&amp;"",tbl_Finance[Xero Invoice No],"&lt;&gt;"))</f>
        <v/>
      </c>
      <c r="J222" s="27">
        <f>IF(C222="","",H222-I222)</f>
        <v/>
      </c>
      <c r="K222" s="25">
        <f>IF(C222="","",IF(G222=0,"not invoiced yet",SUBSTITUTE(TRIM(IF(COUNTIFS(tbl_Finance[Job Number],C222&amp;"",tbl_Finance[Cost Centre],"ONSITE")&gt;0,"ONSITE ","")&amp;IF(COUNTIFS(tbl_Finance[Job Number],C222&amp;"",tbl_Finance[Cost Centre],"PRODUCTION")&gt;0,"PRODUCTION ","")&amp;IF(COUNTIFS(tbl_Finance[Job Number],C222&amp;"",tbl_Finance[Cost Centre],"VIDEO")&gt;0,"VIDEO ","")&amp;IF(COUNTIFS(tbl_Finance[Job Number],C222&amp;"",tbl_Finance[Cost Centre],"INTEGRATION")&gt;0,"INTEGRATION ","")&amp;IF(COUNTIFS(tbl_Finance[Job Number],C222&amp;"",tbl_Finance[Cost Centre],"CONSULTING")&gt;0,"CONSULTING ","")&amp;IF(COUNTIFS(tbl_Finance[Job Number],C222&amp;"",tbl_Finance[Cost Centre],"CTS")&gt;0,"CTS ",""))," ",", ")))</f>
        <v/>
      </c>
      <c r="L222" s="24" t="n"/>
      <c r="M222" s="24" t="n"/>
      <c r="N222" s="25">
        <f>IF(M222="","",HYPERLINK(IF(LEFT(M222,4)="http",M222,set_QwilrBase&amp;M222),"Open quote"))</f>
        <v/>
      </c>
      <c r="O222" s="69" t="n"/>
      <c r="P222" s="24" t="n"/>
      <c r="Q222" s="24" t="n"/>
    </row>
    <row r="223" ht="15" customHeight="1">
      <c r="A223" s="68">
        <f>IF(C223="","",IFERROR(IF(SUMPRODUCT(MAX((tbl_Finance[Job Number]=C223&amp;"")*(tbl_Finance[Xero Invoice No]&lt;&gt;"")*tbl_Finance[Date]))=0,"",SUMPRODUCT(MAX((tbl_Finance[Job Number]=C223&amp;"")*(tbl_Finance[Xero Invoice No]&lt;&gt;"")*tbl_Finance[Date]))),""))</f>
        <v/>
      </c>
      <c r="B223" s="25">
        <f>IF(C223="","",IF(COUNTIFS(tbl_Finance[Job Number],C223&amp;"",tbl_Finance[Xero Invoice No],"&lt;&gt;")=0,"",IFERROR(IF(COUNTIFS(tbl_Finance[Job Number],C223&amp;"",tbl_Finance[Xero Invoice No],LOOKUP(2,1/((tbl_Finance[Job Number]=C223&amp;"")*(tbl_Finance[Xero Invoice No]&lt;&gt;"")),tbl_Finance[Xero Invoice No]))=COUNTIFS(tbl_Finance[Job Number],C223&amp;"",tbl_Finance[Xero Invoice No],"&lt;&gt;"),LOOKUP(2,1/((tbl_Finance[Job Number]=C223&amp;"")*(tbl_Finance[Xero Invoice No]&lt;&gt;"")),tbl_Finance[Xero Invoice No]),LOOKUP(2,1/((tbl_Finance[Job Number]=C223&amp;"")*(tbl_Finance[Xero Invoice No]&lt;&gt;"")),tbl_Finance[Xero Invoice No])&amp;" +more"),"")))</f>
        <v/>
      </c>
      <c r="C223" s="24" t="n"/>
      <c r="D223" s="25">
        <f>IF(C223="","",IF(COUNTIF(lst_Jobs,C223&amp;"")&gt;0,"OK","CHECK"))</f>
        <v/>
      </c>
      <c r="E223" s="25">
        <f>IF(C223="","",IFERROR(INDEX(lst_JobName,MATCH(C223&amp;"",lst_Jobs,0)),""))</f>
        <v/>
      </c>
      <c r="F223" s="25">
        <f>IF(C223="","",IFERROR(INDEX(tbl_Finance[Client],MATCH(C223&amp;"",tbl_Finance[Job Number],0)),""))</f>
        <v/>
      </c>
      <c r="G223" s="28">
        <f>IF(C223="","",COUNTIFS(tbl_Finance[Job Number],C223&amp;"",tbl_Finance[Ex GST],"&lt;&gt;"))</f>
        <v/>
      </c>
      <c r="H223" s="27">
        <f>IF(C223="","",SUMIFS(tbl_Finance[Ex GST],tbl_Finance[Job Number],C223&amp;""))</f>
        <v/>
      </c>
      <c r="I223" s="27">
        <f>IF(C223="","",SUMIFS(tbl_Finance[Ex GST],tbl_Finance[Job Number],C223&amp;"",tbl_Finance[Xero Invoice No],"&lt;&gt;"))</f>
        <v/>
      </c>
      <c r="J223" s="27">
        <f>IF(C223="","",H223-I223)</f>
        <v/>
      </c>
      <c r="K223" s="25">
        <f>IF(C223="","",IF(G223=0,"not invoiced yet",SUBSTITUTE(TRIM(IF(COUNTIFS(tbl_Finance[Job Number],C223&amp;"",tbl_Finance[Cost Centre],"ONSITE")&gt;0,"ONSITE ","")&amp;IF(COUNTIFS(tbl_Finance[Job Number],C223&amp;"",tbl_Finance[Cost Centre],"PRODUCTION")&gt;0,"PRODUCTION ","")&amp;IF(COUNTIFS(tbl_Finance[Job Number],C223&amp;"",tbl_Finance[Cost Centre],"VIDEO")&gt;0,"VIDEO ","")&amp;IF(COUNTIFS(tbl_Finance[Job Number],C223&amp;"",tbl_Finance[Cost Centre],"INTEGRATION")&gt;0,"INTEGRATION ","")&amp;IF(COUNTIFS(tbl_Finance[Job Number],C223&amp;"",tbl_Finance[Cost Centre],"CONSULTING")&gt;0,"CONSULTING ","")&amp;IF(COUNTIFS(tbl_Finance[Job Number],C223&amp;"",tbl_Finance[Cost Centre],"CTS")&gt;0,"CTS ",""))," ",", ")))</f>
        <v/>
      </c>
      <c r="L223" s="24" t="n"/>
      <c r="M223" s="24" t="n"/>
      <c r="N223" s="25">
        <f>IF(M223="","",HYPERLINK(IF(LEFT(M223,4)="http",M223,set_QwilrBase&amp;M223),"Open quote"))</f>
        <v/>
      </c>
      <c r="O223" s="69" t="n"/>
      <c r="P223" s="24" t="n"/>
      <c r="Q223" s="24" t="n"/>
    </row>
    <row r="224" ht="15" customHeight="1">
      <c r="A224" s="68">
        <f>IF(C224="","",IFERROR(IF(SUMPRODUCT(MAX((tbl_Finance[Job Number]=C224&amp;"")*(tbl_Finance[Xero Invoice No]&lt;&gt;"")*tbl_Finance[Date]))=0,"",SUMPRODUCT(MAX((tbl_Finance[Job Number]=C224&amp;"")*(tbl_Finance[Xero Invoice No]&lt;&gt;"")*tbl_Finance[Date]))),""))</f>
        <v/>
      </c>
      <c r="B224" s="25">
        <f>IF(C224="","",IF(COUNTIFS(tbl_Finance[Job Number],C224&amp;"",tbl_Finance[Xero Invoice No],"&lt;&gt;")=0,"",IFERROR(IF(COUNTIFS(tbl_Finance[Job Number],C224&amp;"",tbl_Finance[Xero Invoice No],LOOKUP(2,1/((tbl_Finance[Job Number]=C224&amp;"")*(tbl_Finance[Xero Invoice No]&lt;&gt;"")),tbl_Finance[Xero Invoice No]))=COUNTIFS(tbl_Finance[Job Number],C224&amp;"",tbl_Finance[Xero Invoice No],"&lt;&gt;"),LOOKUP(2,1/((tbl_Finance[Job Number]=C224&amp;"")*(tbl_Finance[Xero Invoice No]&lt;&gt;"")),tbl_Finance[Xero Invoice No]),LOOKUP(2,1/((tbl_Finance[Job Number]=C224&amp;"")*(tbl_Finance[Xero Invoice No]&lt;&gt;"")),tbl_Finance[Xero Invoice No])&amp;" +more"),"")))</f>
        <v/>
      </c>
      <c r="C224" s="24" t="n"/>
      <c r="D224" s="25">
        <f>IF(C224="","",IF(COUNTIF(lst_Jobs,C224&amp;"")&gt;0,"OK","CHECK"))</f>
        <v/>
      </c>
      <c r="E224" s="25">
        <f>IF(C224="","",IFERROR(INDEX(lst_JobName,MATCH(C224&amp;"",lst_Jobs,0)),""))</f>
        <v/>
      </c>
      <c r="F224" s="25">
        <f>IF(C224="","",IFERROR(INDEX(tbl_Finance[Client],MATCH(C224&amp;"",tbl_Finance[Job Number],0)),""))</f>
        <v/>
      </c>
      <c r="G224" s="28">
        <f>IF(C224="","",COUNTIFS(tbl_Finance[Job Number],C224&amp;"",tbl_Finance[Ex GST],"&lt;&gt;"))</f>
        <v/>
      </c>
      <c r="H224" s="27">
        <f>IF(C224="","",SUMIFS(tbl_Finance[Ex GST],tbl_Finance[Job Number],C224&amp;""))</f>
        <v/>
      </c>
      <c r="I224" s="27">
        <f>IF(C224="","",SUMIFS(tbl_Finance[Ex GST],tbl_Finance[Job Number],C224&amp;"",tbl_Finance[Xero Invoice No],"&lt;&gt;"))</f>
        <v/>
      </c>
      <c r="J224" s="27">
        <f>IF(C224="","",H224-I224)</f>
        <v/>
      </c>
      <c r="K224" s="25">
        <f>IF(C224="","",IF(G224=0,"not invoiced yet",SUBSTITUTE(TRIM(IF(COUNTIFS(tbl_Finance[Job Number],C224&amp;"",tbl_Finance[Cost Centre],"ONSITE")&gt;0,"ONSITE ","")&amp;IF(COUNTIFS(tbl_Finance[Job Number],C224&amp;"",tbl_Finance[Cost Centre],"PRODUCTION")&gt;0,"PRODUCTION ","")&amp;IF(COUNTIFS(tbl_Finance[Job Number],C224&amp;"",tbl_Finance[Cost Centre],"VIDEO")&gt;0,"VIDEO ","")&amp;IF(COUNTIFS(tbl_Finance[Job Number],C224&amp;"",tbl_Finance[Cost Centre],"INTEGRATION")&gt;0,"INTEGRATION ","")&amp;IF(COUNTIFS(tbl_Finance[Job Number],C224&amp;"",tbl_Finance[Cost Centre],"CONSULTING")&gt;0,"CONSULTING ","")&amp;IF(COUNTIFS(tbl_Finance[Job Number],C224&amp;"",tbl_Finance[Cost Centre],"CTS")&gt;0,"CTS ",""))," ",", ")))</f>
        <v/>
      </c>
      <c r="L224" s="24" t="n"/>
      <c r="M224" s="24" t="n"/>
      <c r="N224" s="25">
        <f>IF(M224="","",HYPERLINK(IF(LEFT(M224,4)="http",M224,set_QwilrBase&amp;M224),"Open quote"))</f>
        <v/>
      </c>
      <c r="O224" s="69" t="n"/>
      <c r="P224" s="24" t="n"/>
      <c r="Q224" s="24" t="n"/>
    </row>
    <row r="225" ht="15" customHeight="1">
      <c r="A225" s="68">
        <f>IF(C225="","",IFERROR(IF(SUMPRODUCT(MAX((tbl_Finance[Job Number]=C225&amp;"")*(tbl_Finance[Xero Invoice No]&lt;&gt;"")*tbl_Finance[Date]))=0,"",SUMPRODUCT(MAX((tbl_Finance[Job Number]=C225&amp;"")*(tbl_Finance[Xero Invoice No]&lt;&gt;"")*tbl_Finance[Date]))),""))</f>
        <v/>
      </c>
      <c r="B225" s="25">
        <f>IF(C225="","",IF(COUNTIFS(tbl_Finance[Job Number],C225&amp;"",tbl_Finance[Xero Invoice No],"&lt;&gt;")=0,"",IFERROR(IF(COUNTIFS(tbl_Finance[Job Number],C225&amp;"",tbl_Finance[Xero Invoice No],LOOKUP(2,1/((tbl_Finance[Job Number]=C225&amp;"")*(tbl_Finance[Xero Invoice No]&lt;&gt;"")),tbl_Finance[Xero Invoice No]))=COUNTIFS(tbl_Finance[Job Number],C225&amp;"",tbl_Finance[Xero Invoice No],"&lt;&gt;"),LOOKUP(2,1/((tbl_Finance[Job Number]=C225&amp;"")*(tbl_Finance[Xero Invoice No]&lt;&gt;"")),tbl_Finance[Xero Invoice No]),LOOKUP(2,1/((tbl_Finance[Job Number]=C225&amp;"")*(tbl_Finance[Xero Invoice No]&lt;&gt;"")),tbl_Finance[Xero Invoice No])&amp;" +more"),"")))</f>
        <v/>
      </c>
      <c r="C225" s="24" t="n"/>
      <c r="D225" s="25">
        <f>IF(C225="","",IF(COUNTIF(lst_Jobs,C225&amp;"")&gt;0,"OK","CHECK"))</f>
        <v/>
      </c>
      <c r="E225" s="25">
        <f>IF(C225="","",IFERROR(INDEX(lst_JobName,MATCH(C225&amp;"",lst_Jobs,0)),""))</f>
        <v/>
      </c>
      <c r="F225" s="25">
        <f>IF(C225="","",IFERROR(INDEX(tbl_Finance[Client],MATCH(C225&amp;"",tbl_Finance[Job Number],0)),""))</f>
        <v/>
      </c>
      <c r="G225" s="28">
        <f>IF(C225="","",COUNTIFS(tbl_Finance[Job Number],C225&amp;"",tbl_Finance[Ex GST],"&lt;&gt;"))</f>
        <v/>
      </c>
      <c r="H225" s="27">
        <f>IF(C225="","",SUMIFS(tbl_Finance[Ex GST],tbl_Finance[Job Number],C225&amp;""))</f>
        <v/>
      </c>
      <c r="I225" s="27">
        <f>IF(C225="","",SUMIFS(tbl_Finance[Ex GST],tbl_Finance[Job Number],C225&amp;"",tbl_Finance[Xero Invoice No],"&lt;&gt;"))</f>
        <v/>
      </c>
      <c r="J225" s="27">
        <f>IF(C225="","",H225-I225)</f>
        <v/>
      </c>
      <c r="K225" s="25">
        <f>IF(C225="","",IF(G225=0,"not invoiced yet",SUBSTITUTE(TRIM(IF(COUNTIFS(tbl_Finance[Job Number],C225&amp;"",tbl_Finance[Cost Centre],"ONSITE")&gt;0,"ONSITE ","")&amp;IF(COUNTIFS(tbl_Finance[Job Number],C225&amp;"",tbl_Finance[Cost Centre],"PRODUCTION")&gt;0,"PRODUCTION ","")&amp;IF(COUNTIFS(tbl_Finance[Job Number],C225&amp;"",tbl_Finance[Cost Centre],"VIDEO")&gt;0,"VIDEO ","")&amp;IF(COUNTIFS(tbl_Finance[Job Number],C225&amp;"",tbl_Finance[Cost Centre],"INTEGRATION")&gt;0,"INTEGRATION ","")&amp;IF(COUNTIFS(tbl_Finance[Job Number],C225&amp;"",tbl_Finance[Cost Centre],"CONSULTING")&gt;0,"CONSULTING ","")&amp;IF(COUNTIFS(tbl_Finance[Job Number],C225&amp;"",tbl_Finance[Cost Centre],"CTS")&gt;0,"CTS ",""))," ",", ")))</f>
        <v/>
      </c>
      <c r="L225" s="24" t="n"/>
      <c r="M225" s="24" t="n"/>
      <c r="N225" s="25">
        <f>IF(M225="","",HYPERLINK(IF(LEFT(M225,4)="http",M225,set_QwilrBase&amp;M225),"Open quote"))</f>
        <v/>
      </c>
      <c r="O225" s="69" t="n"/>
      <c r="P225" s="24" t="n"/>
      <c r="Q225" s="24" t="n"/>
    </row>
    <row r="226" ht="15" customHeight="1">
      <c r="A226" s="68">
        <f>IF(C226="","",IFERROR(IF(SUMPRODUCT(MAX((tbl_Finance[Job Number]=C226&amp;"")*(tbl_Finance[Xero Invoice No]&lt;&gt;"")*tbl_Finance[Date]))=0,"",SUMPRODUCT(MAX((tbl_Finance[Job Number]=C226&amp;"")*(tbl_Finance[Xero Invoice No]&lt;&gt;"")*tbl_Finance[Date]))),""))</f>
        <v/>
      </c>
      <c r="B226" s="25">
        <f>IF(C226="","",IF(COUNTIFS(tbl_Finance[Job Number],C226&amp;"",tbl_Finance[Xero Invoice No],"&lt;&gt;")=0,"",IFERROR(IF(COUNTIFS(tbl_Finance[Job Number],C226&amp;"",tbl_Finance[Xero Invoice No],LOOKUP(2,1/((tbl_Finance[Job Number]=C226&amp;"")*(tbl_Finance[Xero Invoice No]&lt;&gt;"")),tbl_Finance[Xero Invoice No]))=COUNTIFS(tbl_Finance[Job Number],C226&amp;"",tbl_Finance[Xero Invoice No],"&lt;&gt;"),LOOKUP(2,1/((tbl_Finance[Job Number]=C226&amp;"")*(tbl_Finance[Xero Invoice No]&lt;&gt;"")),tbl_Finance[Xero Invoice No]),LOOKUP(2,1/((tbl_Finance[Job Number]=C226&amp;"")*(tbl_Finance[Xero Invoice No]&lt;&gt;"")),tbl_Finance[Xero Invoice No])&amp;" +more"),"")))</f>
        <v/>
      </c>
      <c r="C226" s="24" t="n"/>
      <c r="D226" s="25">
        <f>IF(C226="","",IF(COUNTIF(lst_Jobs,C226&amp;"")&gt;0,"OK","CHECK"))</f>
        <v/>
      </c>
      <c r="E226" s="25">
        <f>IF(C226="","",IFERROR(INDEX(lst_JobName,MATCH(C226&amp;"",lst_Jobs,0)),""))</f>
        <v/>
      </c>
      <c r="F226" s="25">
        <f>IF(C226="","",IFERROR(INDEX(tbl_Finance[Client],MATCH(C226&amp;"",tbl_Finance[Job Number],0)),""))</f>
        <v/>
      </c>
      <c r="G226" s="28">
        <f>IF(C226="","",COUNTIFS(tbl_Finance[Job Number],C226&amp;"",tbl_Finance[Ex GST],"&lt;&gt;"))</f>
        <v/>
      </c>
      <c r="H226" s="27">
        <f>IF(C226="","",SUMIFS(tbl_Finance[Ex GST],tbl_Finance[Job Number],C226&amp;""))</f>
        <v/>
      </c>
      <c r="I226" s="27">
        <f>IF(C226="","",SUMIFS(tbl_Finance[Ex GST],tbl_Finance[Job Number],C226&amp;"",tbl_Finance[Xero Invoice No],"&lt;&gt;"))</f>
        <v/>
      </c>
      <c r="J226" s="27">
        <f>IF(C226="","",H226-I226)</f>
        <v/>
      </c>
      <c r="K226" s="25">
        <f>IF(C226="","",IF(G226=0,"not invoiced yet",SUBSTITUTE(TRIM(IF(COUNTIFS(tbl_Finance[Job Number],C226&amp;"",tbl_Finance[Cost Centre],"ONSITE")&gt;0,"ONSITE ","")&amp;IF(COUNTIFS(tbl_Finance[Job Number],C226&amp;"",tbl_Finance[Cost Centre],"PRODUCTION")&gt;0,"PRODUCTION ","")&amp;IF(COUNTIFS(tbl_Finance[Job Number],C226&amp;"",tbl_Finance[Cost Centre],"VIDEO")&gt;0,"VIDEO ","")&amp;IF(COUNTIFS(tbl_Finance[Job Number],C226&amp;"",tbl_Finance[Cost Centre],"INTEGRATION")&gt;0,"INTEGRATION ","")&amp;IF(COUNTIFS(tbl_Finance[Job Number],C226&amp;"",tbl_Finance[Cost Centre],"CONSULTING")&gt;0,"CONSULTING ","")&amp;IF(COUNTIFS(tbl_Finance[Job Number],C226&amp;"",tbl_Finance[Cost Centre],"CTS")&gt;0,"CTS ",""))," ",", ")))</f>
        <v/>
      </c>
      <c r="L226" s="24" t="n"/>
      <c r="M226" s="24" t="n"/>
      <c r="N226" s="25">
        <f>IF(M226="","",HYPERLINK(IF(LEFT(M226,4)="http",M226,set_QwilrBase&amp;M226),"Open quote"))</f>
        <v/>
      </c>
      <c r="O226" s="69" t="n"/>
      <c r="P226" s="24" t="n"/>
      <c r="Q226" s="24" t="n"/>
    </row>
    <row r="227" ht="15" customHeight="1">
      <c r="A227" s="68">
        <f>IF(C227="","",IFERROR(IF(SUMPRODUCT(MAX((tbl_Finance[Job Number]=C227&amp;"")*(tbl_Finance[Xero Invoice No]&lt;&gt;"")*tbl_Finance[Date]))=0,"",SUMPRODUCT(MAX((tbl_Finance[Job Number]=C227&amp;"")*(tbl_Finance[Xero Invoice No]&lt;&gt;"")*tbl_Finance[Date]))),""))</f>
        <v/>
      </c>
      <c r="B227" s="25">
        <f>IF(C227="","",IF(COUNTIFS(tbl_Finance[Job Number],C227&amp;"",tbl_Finance[Xero Invoice No],"&lt;&gt;")=0,"",IFERROR(IF(COUNTIFS(tbl_Finance[Job Number],C227&amp;"",tbl_Finance[Xero Invoice No],LOOKUP(2,1/((tbl_Finance[Job Number]=C227&amp;"")*(tbl_Finance[Xero Invoice No]&lt;&gt;"")),tbl_Finance[Xero Invoice No]))=COUNTIFS(tbl_Finance[Job Number],C227&amp;"",tbl_Finance[Xero Invoice No],"&lt;&gt;"),LOOKUP(2,1/((tbl_Finance[Job Number]=C227&amp;"")*(tbl_Finance[Xero Invoice No]&lt;&gt;"")),tbl_Finance[Xero Invoice No]),LOOKUP(2,1/((tbl_Finance[Job Number]=C227&amp;"")*(tbl_Finance[Xero Invoice No]&lt;&gt;"")),tbl_Finance[Xero Invoice No])&amp;" +more"),"")))</f>
        <v/>
      </c>
      <c r="C227" s="24" t="n"/>
      <c r="D227" s="25">
        <f>IF(C227="","",IF(COUNTIF(lst_Jobs,C227&amp;"")&gt;0,"OK","CHECK"))</f>
        <v/>
      </c>
      <c r="E227" s="25">
        <f>IF(C227="","",IFERROR(INDEX(lst_JobName,MATCH(C227&amp;"",lst_Jobs,0)),""))</f>
        <v/>
      </c>
      <c r="F227" s="25">
        <f>IF(C227="","",IFERROR(INDEX(tbl_Finance[Client],MATCH(C227&amp;"",tbl_Finance[Job Number],0)),""))</f>
        <v/>
      </c>
      <c r="G227" s="28">
        <f>IF(C227="","",COUNTIFS(tbl_Finance[Job Number],C227&amp;"",tbl_Finance[Ex GST],"&lt;&gt;"))</f>
        <v/>
      </c>
      <c r="H227" s="27">
        <f>IF(C227="","",SUMIFS(tbl_Finance[Ex GST],tbl_Finance[Job Number],C227&amp;""))</f>
        <v/>
      </c>
      <c r="I227" s="27">
        <f>IF(C227="","",SUMIFS(tbl_Finance[Ex GST],tbl_Finance[Job Number],C227&amp;"",tbl_Finance[Xero Invoice No],"&lt;&gt;"))</f>
        <v/>
      </c>
      <c r="J227" s="27">
        <f>IF(C227="","",H227-I227)</f>
        <v/>
      </c>
      <c r="K227" s="25">
        <f>IF(C227="","",IF(G227=0,"not invoiced yet",SUBSTITUTE(TRIM(IF(COUNTIFS(tbl_Finance[Job Number],C227&amp;"",tbl_Finance[Cost Centre],"ONSITE")&gt;0,"ONSITE ","")&amp;IF(COUNTIFS(tbl_Finance[Job Number],C227&amp;"",tbl_Finance[Cost Centre],"PRODUCTION")&gt;0,"PRODUCTION ","")&amp;IF(COUNTIFS(tbl_Finance[Job Number],C227&amp;"",tbl_Finance[Cost Centre],"VIDEO")&gt;0,"VIDEO ","")&amp;IF(COUNTIFS(tbl_Finance[Job Number],C227&amp;"",tbl_Finance[Cost Centre],"INTEGRATION")&gt;0,"INTEGRATION ","")&amp;IF(COUNTIFS(tbl_Finance[Job Number],C227&amp;"",tbl_Finance[Cost Centre],"CONSULTING")&gt;0,"CONSULTING ","")&amp;IF(COUNTIFS(tbl_Finance[Job Number],C227&amp;"",tbl_Finance[Cost Centre],"CTS")&gt;0,"CTS ",""))," ",", ")))</f>
        <v/>
      </c>
      <c r="L227" s="24" t="n"/>
      <c r="M227" s="24" t="n"/>
      <c r="N227" s="25">
        <f>IF(M227="","",HYPERLINK(IF(LEFT(M227,4)="http",M227,set_QwilrBase&amp;M227),"Open quote"))</f>
        <v/>
      </c>
      <c r="O227" s="69" t="n"/>
      <c r="P227" s="24" t="n"/>
      <c r="Q227" s="24" t="n"/>
    </row>
    <row r="228" ht="15" customHeight="1">
      <c r="A228" s="68">
        <f>IF(C228="","",IFERROR(IF(SUMPRODUCT(MAX((tbl_Finance[Job Number]=C228&amp;"")*(tbl_Finance[Xero Invoice No]&lt;&gt;"")*tbl_Finance[Date]))=0,"",SUMPRODUCT(MAX((tbl_Finance[Job Number]=C228&amp;"")*(tbl_Finance[Xero Invoice No]&lt;&gt;"")*tbl_Finance[Date]))),""))</f>
        <v/>
      </c>
      <c r="B228" s="25">
        <f>IF(C228="","",IF(COUNTIFS(tbl_Finance[Job Number],C228&amp;"",tbl_Finance[Xero Invoice No],"&lt;&gt;")=0,"",IFERROR(IF(COUNTIFS(tbl_Finance[Job Number],C228&amp;"",tbl_Finance[Xero Invoice No],LOOKUP(2,1/((tbl_Finance[Job Number]=C228&amp;"")*(tbl_Finance[Xero Invoice No]&lt;&gt;"")),tbl_Finance[Xero Invoice No]))=COUNTIFS(tbl_Finance[Job Number],C228&amp;"",tbl_Finance[Xero Invoice No],"&lt;&gt;"),LOOKUP(2,1/((tbl_Finance[Job Number]=C228&amp;"")*(tbl_Finance[Xero Invoice No]&lt;&gt;"")),tbl_Finance[Xero Invoice No]),LOOKUP(2,1/((tbl_Finance[Job Number]=C228&amp;"")*(tbl_Finance[Xero Invoice No]&lt;&gt;"")),tbl_Finance[Xero Invoice No])&amp;" +more"),"")))</f>
        <v/>
      </c>
      <c r="C228" s="24" t="n"/>
      <c r="D228" s="25">
        <f>IF(C228="","",IF(COUNTIF(lst_Jobs,C228&amp;"")&gt;0,"OK","CHECK"))</f>
        <v/>
      </c>
      <c r="E228" s="25">
        <f>IF(C228="","",IFERROR(INDEX(lst_JobName,MATCH(C228&amp;"",lst_Jobs,0)),""))</f>
        <v/>
      </c>
      <c r="F228" s="25">
        <f>IF(C228="","",IFERROR(INDEX(tbl_Finance[Client],MATCH(C228&amp;"",tbl_Finance[Job Number],0)),""))</f>
        <v/>
      </c>
      <c r="G228" s="28">
        <f>IF(C228="","",COUNTIFS(tbl_Finance[Job Number],C228&amp;"",tbl_Finance[Ex GST],"&lt;&gt;"))</f>
        <v/>
      </c>
      <c r="H228" s="27">
        <f>IF(C228="","",SUMIFS(tbl_Finance[Ex GST],tbl_Finance[Job Number],C228&amp;""))</f>
        <v/>
      </c>
      <c r="I228" s="27">
        <f>IF(C228="","",SUMIFS(tbl_Finance[Ex GST],tbl_Finance[Job Number],C228&amp;"",tbl_Finance[Xero Invoice No],"&lt;&gt;"))</f>
        <v/>
      </c>
      <c r="J228" s="27">
        <f>IF(C228="","",H228-I228)</f>
        <v/>
      </c>
      <c r="K228" s="25">
        <f>IF(C228="","",IF(G228=0,"not invoiced yet",SUBSTITUTE(TRIM(IF(COUNTIFS(tbl_Finance[Job Number],C228&amp;"",tbl_Finance[Cost Centre],"ONSITE")&gt;0,"ONSITE ","")&amp;IF(COUNTIFS(tbl_Finance[Job Number],C228&amp;"",tbl_Finance[Cost Centre],"PRODUCTION")&gt;0,"PRODUCTION ","")&amp;IF(COUNTIFS(tbl_Finance[Job Number],C228&amp;"",tbl_Finance[Cost Centre],"VIDEO")&gt;0,"VIDEO ","")&amp;IF(COUNTIFS(tbl_Finance[Job Number],C228&amp;"",tbl_Finance[Cost Centre],"INTEGRATION")&gt;0,"INTEGRATION ","")&amp;IF(COUNTIFS(tbl_Finance[Job Number],C228&amp;"",tbl_Finance[Cost Centre],"CONSULTING")&gt;0,"CONSULTING ","")&amp;IF(COUNTIFS(tbl_Finance[Job Number],C228&amp;"",tbl_Finance[Cost Centre],"CTS")&gt;0,"CTS ",""))," ",", ")))</f>
        <v/>
      </c>
      <c r="L228" s="24" t="n"/>
      <c r="M228" s="24" t="n"/>
      <c r="N228" s="25">
        <f>IF(M228="","",HYPERLINK(IF(LEFT(M228,4)="http",M228,set_QwilrBase&amp;M228),"Open quote"))</f>
        <v/>
      </c>
      <c r="O228" s="69" t="n"/>
      <c r="P228" s="24" t="n"/>
      <c r="Q228" s="24" t="n"/>
    </row>
    <row r="229" ht="15" customHeight="1">
      <c r="A229" s="68">
        <f>IF(C229="","",IFERROR(IF(SUMPRODUCT(MAX((tbl_Finance[Job Number]=C229&amp;"")*(tbl_Finance[Xero Invoice No]&lt;&gt;"")*tbl_Finance[Date]))=0,"",SUMPRODUCT(MAX((tbl_Finance[Job Number]=C229&amp;"")*(tbl_Finance[Xero Invoice No]&lt;&gt;"")*tbl_Finance[Date]))),""))</f>
        <v/>
      </c>
      <c r="B229" s="25">
        <f>IF(C229="","",IF(COUNTIFS(tbl_Finance[Job Number],C229&amp;"",tbl_Finance[Xero Invoice No],"&lt;&gt;")=0,"",IFERROR(IF(COUNTIFS(tbl_Finance[Job Number],C229&amp;"",tbl_Finance[Xero Invoice No],LOOKUP(2,1/((tbl_Finance[Job Number]=C229&amp;"")*(tbl_Finance[Xero Invoice No]&lt;&gt;"")),tbl_Finance[Xero Invoice No]))=COUNTIFS(tbl_Finance[Job Number],C229&amp;"",tbl_Finance[Xero Invoice No],"&lt;&gt;"),LOOKUP(2,1/((tbl_Finance[Job Number]=C229&amp;"")*(tbl_Finance[Xero Invoice No]&lt;&gt;"")),tbl_Finance[Xero Invoice No]),LOOKUP(2,1/((tbl_Finance[Job Number]=C229&amp;"")*(tbl_Finance[Xero Invoice No]&lt;&gt;"")),tbl_Finance[Xero Invoice No])&amp;" +more"),"")))</f>
        <v/>
      </c>
      <c r="C229" s="24" t="n"/>
      <c r="D229" s="25">
        <f>IF(C229="","",IF(COUNTIF(lst_Jobs,C229&amp;"")&gt;0,"OK","CHECK"))</f>
        <v/>
      </c>
      <c r="E229" s="25">
        <f>IF(C229="","",IFERROR(INDEX(lst_JobName,MATCH(C229&amp;"",lst_Jobs,0)),""))</f>
        <v/>
      </c>
      <c r="F229" s="25">
        <f>IF(C229="","",IFERROR(INDEX(tbl_Finance[Client],MATCH(C229&amp;"",tbl_Finance[Job Number],0)),""))</f>
        <v/>
      </c>
      <c r="G229" s="28">
        <f>IF(C229="","",COUNTIFS(tbl_Finance[Job Number],C229&amp;"",tbl_Finance[Ex GST],"&lt;&gt;"))</f>
        <v/>
      </c>
      <c r="H229" s="27">
        <f>IF(C229="","",SUMIFS(tbl_Finance[Ex GST],tbl_Finance[Job Number],C229&amp;""))</f>
        <v/>
      </c>
      <c r="I229" s="27">
        <f>IF(C229="","",SUMIFS(tbl_Finance[Ex GST],tbl_Finance[Job Number],C229&amp;"",tbl_Finance[Xero Invoice No],"&lt;&gt;"))</f>
        <v/>
      </c>
      <c r="J229" s="27">
        <f>IF(C229="","",H229-I229)</f>
        <v/>
      </c>
      <c r="K229" s="25">
        <f>IF(C229="","",IF(G229=0,"not invoiced yet",SUBSTITUTE(TRIM(IF(COUNTIFS(tbl_Finance[Job Number],C229&amp;"",tbl_Finance[Cost Centre],"ONSITE")&gt;0,"ONSITE ","")&amp;IF(COUNTIFS(tbl_Finance[Job Number],C229&amp;"",tbl_Finance[Cost Centre],"PRODUCTION")&gt;0,"PRODUCTION ","")&amp;IF(COUNTIFS(tbl_Finance[Job Number],C229&amp;"",tbl_Finance[Cost Centre],"VIDEO")&gt;0,"VIDEO ","")&amp;IF(COUNTIFS(tbl_Finance[Job Number],C229&amp;"",tbl_Finance[Cost Centre],"INTEGRATION")&gt;0,"INTEGRATION ","")&amp;IF(COUNTIFS(tbl_Finance[Job Number],C229&amp;"",tbl_Finance[Cost Centre],"CONSULTING")&gt;0,"CONSULTING ","")&amp;IF(COUNTIFS(tbl_Finance[Job Number],C229&amp;"",tbl_Finance[Cost Centre],"CTS")&gt;0,"CTS ",""))," ",", ")))</f>
        <v/>
      </c>
      <c r="L229" s="24" t="n"/>
      <c r="M229" s="24" t="n"/>
      <c r="N229" s="25">
        <f>IF(M229="","",HYPERLINK(IF(LEFT(M229,4)="http",M229,set_QwilrBase&amp;M229),"Open quote"))</f>
        <v/>
      </c>
      <c r="O229" s="69" t="n"/>
      <c r="P229" s="24" t="n"/>
      <c r="Q229" s="24" t="n"/>
    </row>
    <row r="230" ht="15" customHeight="1">
      <c r="A230" s="68">
        <f>IF(C230="","",IFERROR(IF(SUMPRODUCT(MAX((tbl_Finance[Job Number]=C230&amp;"")*(tbl_Finance[Xero Invoice No]&lt;&gt;"")*tbl_Finance[Date]))=0,"",SUMPRODUCT(MAX((tbl_Finance[Job Number]=C230&amp;"")*(tbl_Finance[Xero Invoice No]&lt;&gt;"")*tbl_Finance[Date]))),""))</f>
        <v/>
      </c>
      <c r="B230" s="25">
        <f>IF(C230="","",IF(COUNTIFS(tbl_Finance[Job Number],C230&amp;"",tbl_Finance[Xero Invoice No],"&lt;&gt;")=0,"",IFERROR(IF(COUNTIFS(tbl_Finance[Job Number],C230&amp;"",tbl_Finance[Xero Invoice No],LOOKUP(2,1/((tbl_Finance[Job Number]=C230&amp;"")*(tbl_Finance[Xero Invoice No]&lt;&gt;"")),tbl_Finance[Xero Invoice No]))=COUNTIFS(tbl_Finance[Job Number],C230&amp;"",tbl_Finance[Xero Invoice No],"&lt;&gt;"),LOOKUP(2,1/((tbl_Finance[Job Number]=C230&amp;"")*(tbl_Finance[Xero Invoice No]&lt;&gt;"")),tbl_Finance[Xero Invoice No]),LOOKUP(2,1/((tbl_Finance[Job Number]=C230&amp;"")*(tbl_Finance[Xero Invoice No]&lt;&gt;"")),tbl_Finance[Xero Invoice No])&amp;" +more"),"")))</f>
        <v/>
      </c>
      <c r="C230" s="24" t="n"/>
      <c r="D230" s="25">
        <f>IF(C230="","",IF(COUNTIF(lst_Jobs,C230&amp;"")&gt;0,"OK","CHECK"))</f>
        <v/>
      </c>
      <c r="E230" s="25">
        <f>IF(C230="","",IFERROR(INDEX(lst_JobName,MATCH(C230&amp;"",lst_Jobs,0)),""))</f>
        <v/>
      </c>
      <c r="F230" s="25">
        <f>IF(C230="","",IFERROR(INDEX(tbl_Finance[Client],MATCH(C230&amp;"",tbl_Finance[Job Number],0)),""))</f>
        <v/>
      </c>
      <c r="G230" s="28">
        <f>IF(C230="","",COUNTIFS(tbl_Finance[Job Number],C230&amp;"",tbl_Finance[Ex GST],"&lt;&gt;"))</f>
        <v/>
      </c>
      <c r="H230" s="27">
        <f>IF(C230="","",SUMIFS(tbl_Finance[Ex GST],tbl_Finance[Job Number],C230&amp;""))</f>
        <v/>
      </c>
      <c r="I230" s="27">
        <f>IF(C230="","",SUMIFS(tbl_Finance[Ex GST],tbl_Finance[Job Number],C230&amp;"",tbl_Finance[Xero Invoice No],"&lt;&gt;"))</f>
        <v/>
      </c>
      <c r="J230" s="27">
        <f>IF(C230="","",H230-I230)</f>
        <v/>
      </c>
      <c r="K230" s="25">
        <f>IF(C230="","",IF(G230=0,"not invoiced yet",SUBSTITUTE(TRIM(IF(COUNTIFS(tbl_Finance[Job Number],C230&amp;"",tbl_Finance[Cost Centre],"ONSITE")&gt;0,"ONSITE ","")&amp;IF(COUNTIFS(tbl_Finance[Job Number],C230&amp;"",tbl_Finance[Cost Centre],"PRODUCTION")&gt;0,"PRODUCTION ","")&amp;IF(COUNTIFS(tbl_Finance[Job Number],C230&amp;"",tbl_Finance[Cost Centre],"VIDEO")&gt;0,"VIDEO ","")&amp;IF(COUNTIFS(tbl_Finance[Job Number],C230&amp;"",tbl_Finance[Cost Centre],"INTEGRATION")&gt;0,"INTEGRATION ","")&amp;IF(COUNTIFS(tbl_Finance[Job Number],C230&amp;"",tbl_Finance[Cost Centre],"CONSULTING")&gt;0,"CONSULTING ","")&amp;IF(COUNTIFS(tbl_Finance[Job Number],C230&amp;"",tbl_Finance[Cost Centre],"CTS")&gt;0,"CTS ",""))," ",", ")))</f>
        <v/>
      </c>
      <c r="L230" s="24" t="n"/>
      <c r="M230" s="24" t="n"/>
      <c r="N230" s="25">
        <f>IF(M230="","",HYPERLINK(IF(LEFT(M230,4)="http",M230,set_QwilrBase&amp;M230),"Open quote"))</f>
        <v/>
      </c>
      <c r="O230" s="69" t="n"/>
      <c r="P230" s="24" t="n"/>
      <c r="Q230" s="24" t="n"/>
    </row>
    <row r="231" ht="15" customHeight="1">
      <c r="A231" s="68">
        <f>IF(C231="","",IFERROR(IF(SUMPRODUCT(MAX((tbl_Finance[Job Number]=C231&amp;"")*(tbl_Finance[Xero Invoice No]&lt;&gt;"")*tbl_Finance[Date]))=0,"",SUMPRODUCT(MAX((tbl_Finance[Job Number]=C231&amp;"")*(tbl_Finance[Xero Invoice No]&lt;&gt;"")*tbl_Finance[Date]))),""))</f>
        <v/>
      </c>
      <c r="B231" s="25">
        <f>IF(C231="","",IF(COUNTIFS(tbl_Finance[Job Number],C231&amp;"",tbl_Finance[Xero Invoice No],"&lt;&gt;")=0,"",IFERROR(IF(COUNTIFS(tbl_Finance[Job Number],C231&amp;"",tbl_Finance[Xero Invoice No],LOOKUP(2,1/((tbl_Finance[Job Number]=C231&amp;"")*(tbl_Finance[Xero Invoice No]&lt;&gt;"")),tbl_Finance[Xero Invoice No]))=COUNTIFS(tbl_Finance[Job Number],C231&amp;"",tbl_Finance[Xero Invoice No],"&lt;&gt;"),LOOKUP(2,1/((tbl_Finance[Job Number]=C231&amp;"")*(tbl_Finance[Xero Invoice No]&lt;&gt;"")),tbl_Finance[Xero Invoice No]),LOOKUP(2,1/((tbl_Finance[Job Number]=C231&amp;"")*(tbl_Finance[Xero Invoice No]&lt;&gt;"")),tbl_Finance[Xero Invoice No])&amp;" +more"),"")))</f>
        <v/>
      </c>
      <c r="C231" s="24" t="n"/>
      <c r="D231" s="25">
        <f>IF(C231="","",IF(COUNTIF(lst_Jobs,C231&amp;"")&gt;0,"OK","CHECK"))</f>
        <v/>
      </c>
      <c r="E231" s="25">
        <f>IF(C231="","",IFERROR(INDEX(lst_JobName,MATCH(C231&amp;"",lst_Jobs,0)),""))</f>
        <v/>
      </c>
      <c r="F231" s="25">
        <f>IF(C231="","",IFERROR(INDEX(tbl_Finance[Client],MATCH(C231&amp;"",tbl_Finance[Job Number],0)),""))</f>
        <v/>
      </c>
      <c r="G231" s="28">
        <f>IF(C231="","",COUNTIFS(tbl_Finance[Job Number],C231&amp;"",tbl_Finance[Ex GST],"&lt;&gt;"))</f>
        <v/>
      </c>
      <c r="H231" s="27">
        <f>IF(C231="","",SUMIFS(tbl_Finance[Ex GST],tbl_Finance[Job Number],C231&amp;""))</f>
        <v/>
      </c>
      <c r="I231" s="27">
        <f>IF(C231="","",SUMIFS(tbl_Finance[Ex GST],tbl_Finance[Job Number],C231&amp;"",tbl_Finance[Xero Invoice No],"&lt;&gt;"))</f>
        <v/>
      </c>
      <c r="J231" s="27">
        <f>IF(C231="","",H231-I231)</f>
        <v/>
      </c>
      <c r="K231" s="25">
        <f>IF(C231="","",IF(G231=0,"not invoiced yet",SUBSTITUTE(TRIM(IF(COUNTIFS(tbl_Finance[Job Number],C231&amp;"",tbl_Finance[Cost Centre],"ONSITE")&gt;0,"ONSITE ","")&amp;IF(COUNTIFS(tbl_Finance[Job Number],C231&amp;"",tbl_Finance[Cost Centre],"PRODUCTION")&gt;0,"PRODUCTION ","")&amp;IF(COUNTIFS(tbl_Finance[Job Number],C231&amp;"",tbl_Finance[Cost Centre],"VIDEO")&gt;0,"VIDEO ","")&amp;IF(COUNTIFS(tbl_Finance[Job Number],C231&amp;"",tbl_Finance[Cost Centre],"INTEGRATION")&gt;0,"INTEGRATION ","")&amp;IF(COUNTIFS(tbl_Finance[Job Number],C231&amp;"",tbl_Finance[Cost Centre],"CONSULTING")&gt;0,"CONSULTING ","")&amp;IF(COUNTIFS(tbl_Finance[Job Number],C231&amp;"",tbl_Finance[Cost Centre],"CTS")&gt;0,"CTS ",""))," ",", ")))</f>
        <v/>
      </c>
      <c r="L231" s="24" t="n"/>
      <c r="M231" s="24" t="n"/>
      <c r="N231" s="25">
        <f>IF(M231="","",HYPERLINK(IF(LEFT(M231,4)="http",M231,set_QwilrBase&amp;M231),"Open quote"))</f>
        <v/>
      </c>
      <c r="O231" s="69" t="n"/>
      <c r="P231" s="24" t="n"/>
      <c r="Q231" s="24" t="n"/>
    </row>
    <row r="232" ht="15" customHeight="1">
      <c r="A232" s="68">
        <f>IF(C232="","",IFERROR(IF(SUMPRODUCT(MAX((tbl_Finance[Job Number]=C232&amp;"")*(tbl_Finance[Xero Invoice No]&lt;&gt;"")*tbl_Finance[Date]))=0,"",SUMPRODUCT(MAX((tbl_Finance[Job Number]=C232&amp;"")*(tbl_Finance[Xero Invoice No]&lt;&gt;"")*tbl_Finance[Date]))),""))</f>
        <v/>
      </c>
      <c r="B232" s="25">
        <f>IF(C232="","",IF(COUNTIFS(tbl_Finance[Job Number],C232&amp;"",tbl_Finance[Xero Invoice No],"&lt;&gt;")=0,"",IFERROR(IF(COUNTIFS(tbl_Finance[Job Number],C232&amp;"",tbl_Finance[Xero Invoice No],LOOKUP(2,1/((tbl_Finance[Job Number]=C232&amp;"")*(tbl_Finance[Xero Invoice No]&lt;&gt;"")),tbl_Finance[Xero Invoice No]))=COUNTIFS(tbl_Finance[Job Number],C232&amp;"",tbl_Finance[Xero Invoice No],"&lt;&gt;"),LOOKUP(2,1/((tbl_Finance[Job Number]=C232&amp;"")*(tbl_Finance[Xero Invoice No]&lt;&gt;"")),tbl_Finance[Xero Invoice No]),LOOKUP(2,1/((tbl_Finance[Job Number]=C232&amp;"")*(tbl_Finance[Xero Invoice No]&lt;&gt;"")),tbl_Finance[Xero Invoice No])&amp;" +more"),"")))</f>
        <v/>
      </c>
      <c r="C232" s="24" t="n"/>
      <c r="D232" s="25">
        <f>IF(C232="","",IF(COUNTIF(lst_Jobs,C232&amp;"")&gt;0,"OK","CHECK"))</f>
        <v/>
      </c>
      <c r="E232" s="25">
        <f>IF(C232="","",IFERROR(INDEX(lst_JobName,MATCH(C232&amp;"",lst_Jobs,0)),""))</f>
        <v/>
      </c>
      <c r="F232" s="25">
        <f>IF(C232="","",IFERROR(INDEX(tbl_Finance[Client],MATCH(C232&amp;"",tbl_Finance[Job Number],0)),""))</f>
        <v/>
      </c>
      <c r="G232" s="28">
        <f>IF(C232="","",COUNTIFS(tbl_Finance[Job Number],C232&amp;"",tbl_Finance[Ex GST],"&lt;&gt;"))</f>
        <v/>
      </c>
      <c r="H232" s="27">
        <f>IF(C232="","",SUMIFS(tbl_Finance[Ex GST],tbl_Finance[Job Number],C232&amp;""))</f>
        <v/>
      </c>
      <c r="I232" s="27">
        <f>IF(C232="","",SUMIFS(tbl_Finance[Ex GST],tbl_Finance[Job Number],C232&amp;"",tbl_Finance[Xero Invoice No],"&lt;&gt;"))</f>
        <v/>
      </c>
      <c r="J232" s="27">
        <f>IF(C232="","",H232-I232)</f>
        <v/>
      </c>
      <c r="K232" s="25">
        <f>IF(C232="","",IF(G232=0,"not invoiced yet",SUBSTITUTE(TRIM(IF(COUNTIFS(tbl_Finance[Job Number],C232&amp;"",tbl_Finance[Cost Centre],"ONSITE")&gt;0,"ONSITE ","")&amp;IF(COUNTIFS(tbl_Finance[Job Number],C232&amp;"",tbl_Finance[Cost Centre],"PRODUCTION")&gt;0,"PRODUCTION ","")&amp;IF(COUNTIFS(tbl_Finance[Job Number],C232&amp;"",tbl_Finance[Cost Centre],"VIDEO")&gt;0,"VIDEO ","")&amp;IF(COUNTIFS(tbl_Finance[Job Number],C232&amp;"",tbl_Finance[Cost Centre],"INTEGRATION")&gt;0,"INTEGRATION ","")&amp;IF(COUNTIFS(tbl_Finance[Job Number],C232&amp;"",tbl_Finance[Cost Centre],"CONSULTING")&gt;0,"CONSULTING ","")&amp;IF(COUNTIFS(tbl_Finance[Job Number],C232&amp;"",tbl_Finance[Cost Centre],"CTS")&gt;0,"CTS ",""))," ",", ")))</f>
        <v/>
      </c>
      <c r="L232" s="24" t="n"/>
      <c r="M232" s="24" t="n"/>
      <c r="N232" s="25">
        <f>IF(M232="","",HYPERLINK(IF(LEFT(M232,4)="http",M232,set_QwilrBase&amp;M232),"Open quote"))</f>
        <v/>
      </c>
      <c r="O232" s="69" t="n"/>
      <c r="P232" s="24" t="n"/>
      <c r="Q232" s="24" t="n"/>
    </row>
    <row r="233" ht="15" customHeight="1">
      <c r="A233" s="68">
        <f>IF(C233="","",IFERROR(IF(SUMPRODUCT(MAX((tbl_Finance[Job Number]=C233&amp;"")*(tbl_Finance[Xero Invoice No]&lt;&gt;"")*tbl_Finance[Date]))=0,"",SUMPRODUCT(MAX((tbl_Finance[Job Number]=C233&amp;"")*(tbl_Finance[Xero Invoice No]&lt;&gt;"")*tbl_Finance[Date]))),""))</f>
        <v/>
      </c>
      <c r="B233" s="25">
        <f>IF(C233="","",IF(COUNTIFS(tbl_Finance[Job Number],C233&amp;"",tbl_Finance[Xero Invoice No],"&lt;&gt;")=0,"",IFERROR(IF(COUNTIFS(tbl_Finance[Job Number],C233&amp;"",tbl_Finance[Xero Invoice No],LOOKUP(2,1/((tbl_Finance[Job Number]=C233&amp;"")*(tbl_Finance[Xero Invoice No]&lt;&gt;"")),tbl_Finance[Xero Invoice No]))=COUNTIFS(tbl_Finance[Job Number],C233&amp;"",tbl_Finance[Xero Invoice No],"&lt;&gt;"),LOOKUP(2,1/((tbl_Finance[Job Number]=C233&amp;"")*(tbl_Finance[Xero Invoice No]&lt;&gt;"")),tbl_Finance[Xero Invoice No]),LOOKUP(2,1/((tbl_Finance[Job Number]=C233&amp;"")*(tbl_Finance[Xero Invoice No]&lt;&gt;"")),tbl_Finance[Xero Invoice No])&amp;" +more"),"")))</f>
        <v/>
      </c>
      <c r="C233" s="24" t="n"/>
      <c r="D233" s="25">
        <f>IF(C233="","",IF(COUNTIF(lst_Jobs,C233&amp;"")&gt;0,"OK","CHECK"))</f>
        <v/>
      </c>
      <c r="E233" s="25">
        <f>IF(C233="","",IFERROR(INDEX(lst_JobName,MATCH(C233&amp;"",lst_Jobs,0)),""))</f>
        <v/>
      </c>
      <c r="F233" s="25">
        <f>IF(C233="","",IFERROR(INDEX(tbl_Finance[Client],MATCH(C233&amp;"",tbl_Finance[Job Number],0)),""))</f>
        <v/>
      </c>
      <c r="G233" s="28">
        <f>IF(C233="","",COUNTIFS(tbl_Finance[Job Number],C233&amp;"",tbl_Finance[Ex GST],"&lt;&gt;"))</f>
        <v/>
      </c>
      <c r="H233" s="27">
        <f>IF(C233="","",SUMIFS(tbl_Finance[Ex GST],tbl_Finance[Job Number],C233&amp;""))</f>
        <v/>
      </c>
      <c r="I233" s="27">
        <f>IF(C233="","",SUMIFS(tbl_Finance[Ex GST],tbl_Finance[Job Number],C233&amp;"",tbl_Finance[Xero Invoice No],"&lt;&gt;"))</f>
        <v/>
      </c>
      <c r="J233" s="27">
        <f>IF(C233="","",H233-I233)</f>
        <v/>
      </c>
      <c r="K233" s="25">
        <f>IF(C233="","",IF(G233=0,"not invoiced yet",SUBSTITUTE(TRIM(IF(COUNTIFS(tbl_Finance[Job Number],C233&amp;"",tbl_Finance[Cost Centre],"ONSITE")&gt;0,"ONSITE ","")&amp;IF(COUNTIFS(tbl_Finance[Job Number],C233&amp;"",tbl_Finance[Cost Centre],"PRODUCTION")&gt;0,"PRODUCTION ","")&amp;IF(COUNTIFS(tbl_Finance[Job Number],C233&amp;"",tbl_Finance[Cost Centre],"VIDEO")&gt;0,"VIDEO ","")&amp;IF(COUNTIFS(tbl_Finance[Job Number],C233&amp;"",tbl_Finance[Cost Centre],"INTEGRATION")&gt;0,"INTEGRATION ","")&amp;IF(COUNTIFS(tbl_Finance[Job Number],C233&amp;"",tbl_Finance[Cost Centre],"CONSULTING")&gt;0,"CONSULTING ","")&amp;IF(COUNTIFS(tbl_Finance[Job Number],C233&amp;"",tbl_Finance[Cost Centre],"CTS")&gt;0,"CTS ",""))," ",", ")))</f>
        <v/>
      </c>
      <c r="L233" s="24" t="n"/>
      <c r="M233" s="24" t="n"/>
      <c r="N233" s="25">
        <f>IF(M233="","",HYPERLINK(IF(LEFT(M233,4)="http",M233,set_QwilrBase&amp;M233),"Open quote"))</f>
        <v/>
      </c>
      <c r="O233" s="69" t="n"/>
      <c r="P233" s="24" t="n"/>
      <c r="Q233" s="24" t="n"/>
    </row>
    <row r="234" ht="15" customHeight="1">
      <c r="A234" s="68">
        <f>IF(C234="","",IFERROR(IF(SUMPRODUCT(MAX((tbl_Finance[Job Number]=C234&amp;"")*(tbl_Finance[Xero Invoice No]&lt;&gt;"")*tbl_Finance[Date]))=0,"",SUMPRODUCT(MAX((tbl_Finance[Job Number]=C234&amp;"")*(tbl_Finance[Xero Invoice No]&lt;&gt;"")*tbl_Finance[Date]))),""))</f>
        <v/>
      </c>
      <c r="B234" s="25">
        <f>IF(C234="","",IF(COUNTIFS(tbl_Finance[Job Number],C234&amp;"",tbl_Finance[Xero Invoice No],"&lt;&gt;")=0,"",IFERROR(IF(COUNTIFS(tbl_Finance[Job Number],C234&amp;"",tbl_Finance[Xero Invoice No],LOOKUP(2,1/((tbl_Finance[Job Number]=C234&amp;"")*(tbl_Finance[Xero Invoice No]&lt;&gt;"")),tbl_Finance[Xero Invoice No]))=COUNTIFS(tbl_Finance[Job Number],C234&amp;"",tbl_Finance[Xero Invoice No],"&lt;&gt;"),LOOKUP(2,1/((tbl_Finance[Job Number]=C234&amp;"")*(tbl_Finance[Xero Invoice No]&lt;&gt;"")),tbl_Finance[Xero Invoice No]),LOOKUP(2,1/((tbl_Finance[Job Number]=C234&amp;"")*(tbl_Finance[Xero Invoice No]&lt;&gt;"")),tbl_Finance[Xero Invoice No])&amp;" +more"),"")))</f>
        <v/>
      </c>
      <c r="C234" s="24" t="n"/>
      <c r="D234" s="25">
        <f>IF(C234="","",IF(COUNTIF(lst_Jobs,C234&amp;"")&gt;0,"OK","CHECK"))</f>
        <v/>
      </c>
      <c r="E234" s="25">
        <f>IF(C234="","",IFERROR(INDEX(lst_JobName,MATCH(C234&amp;"",lst_Jobs,0)),""))</f>
        <v/>
      </c>
      <c r="F234" s="25">
        <f>IF(C234="","",IFERROR(INDEX(tbl_Finance[Client],MATCH(C234&amp;"",tbl_Finance[Job Number],0)),""))</f>
        <v/>
      </c>
      <c r="G234" s="28">
        <f>IF(C234="","",COUNTIFS(tbl_Finance[Job Number],C234&amp;"",tbl_Finance[Ex GST],"&lt;&gt;"))</f>
        <v/>
      </c>
      <c r="H234" s="27">
        <f>IF(C234="","",SUMIFS(tbl_Finance[Ex GST],tbl_Finance[Job Number],C234&amp;""))</f>
        <v/>
      </c>
      <c r="I234" s="27">
        <f>IF(C234="","",SUMIFS(tbl_Finance[Ex GST],tbl_Finance[Job Number],C234&amp;"",tbl_Finance[Xero Invoice No],"&lt;&gt;"))</f>
        <v/>
      </c>
      <c r="J234" s="27">
        <f>IF(C234="","",H234-I234)</f>
        <v/>
      </c>
      <c r="K234" s="25">
        <f>IF(C234="","",IF(G234=0,"not invoiced yet",SUBSTITUTE(TRIM(IF(COUNTIFS(tbl_Finance[Job Number],C234&amp;"",tbl_Finance[Cost Centre],"ONSITE")&gt;0,"ONSITE ","")&amp;IF(COUNTIFS(tbl_Finance[Job Number],C234&amp;"",tbl_Finance[Cost Centre],"PRODUCTION")&gt;0,"PRODUCTION ","")&amp;IF(COUNTIFS(tbl_Finance[Job Number],C234&amp;"",tbl_Finance[Cost Centre],"VIDEO")&gt;0,"VIDEO ","")&amp;IF(COUNTIFS(tbl_Finance[Job Number],C234&amp;"",tbl_Finance[Cost Centre],"INTEGRATION")&gt;0,"INTEGRATION ","")&amp;IF(COUNTIFS(tbl_Finance[Job Number],C234&amp;"",tbl_Finance[Cost Centre],"CONSULTING")&gt;0,"CONSULTING ","")&amp;IF(COUNTIFS(tbl_Finance[Job Number],C234&amp;"",tbl_Finance[Cost Centre],"CTS")&gt;0,"CTS ",""))," ",", ")))</f>
        <v/>
      </c>
      <c r="L234" s="24" t="n"/>
      <c r="M234" s="24" t="n"/>
      <c r="N234" s="25">
        <f>IF(M234="","",HYPERLINK(IF(LEFT(M234,4)="http",M234,set_QwilrBase&amp;M234),"Open quote"))</f>
        <v/>
      </c>
      <c r="O234" s="69" t="n"/>
      <c r="P234" s="24" t="n"/>
      <c r="Q234" s="24" t="n"/>
    </row>
    <row r="235" ht="15" customHeight="1">
      <c r="A235" s="68">
        <f>IF(C235="","",IFERROR(IF(SUMPRODUCT(MAX((tbl_Finance[Job Number]=C235&amp;"")*(tbl_Finance[Xero Invoice No]&lt;&gt;"")*tbl_Finance[Date]))=0,"",SUMPRODUCT(MAX((tbl_Finance[Job Number]=C235&amp;"")*(tbl_Finance[Xero Invoice No]&lt;&gt;"")*tbl_Finance[Date]))),""))</f>
        <v/>
      </c>
      <c r="B235" s="25">
        <f>IF(C235="","",IF(COUNTIFS(tbl_Finance[Job Number],C235&amp;"",tbl_Finance[Xero Invoice No],"&lt;&gt;")=0,"",IFERROR(IF(COUNTIFS(tbl_Finance[Job Number],C235&amp;"",tbl_Finance[Xero Invoice No],LOOKUP(2,1/((tbl_Finance[Job Number]=C235&amp;"")*(tbl_Finance[Xero Invoice No]&lt;&gt;"")),tbl_Finance[Xero Invoice No]))=COUNTIFS(tbl_Finance[Job Number],C235&amp;"",tbl_Finance[Xero Invoice No],"&lt;&gt;"),LOOKUP(2,1/((tbl_Finance[Job Number]=C235&amp;"")*(tbl_Finance[Xero Invoice No]&lt;&gt;"")),tbl_Finance[Xero Invoice No]),LOOKUP(2,1/((tbl_Finance[Job Number]=C235&amp;"")*(tbl_Finance[Xero Invoice No]&lt;&gt;"")),tbl_Finance[Xero Invoice No])&amp;" +more"),"")))</f>
        <v/>
      </c>
      <c r="C235" s="24" t="n"/>
      <c r="D235" s="25">
        <f>IF(C235="","",IF(COUNTIF(lst_Jobs,C235&amp;"")&gt;0,"OK","CHECK"))</f>
        <v/>
      </c>
      <c r="E235" s="25">
        <f>IF(C235="","",IFERROR(INDEX(lst_JobName,MATCH(C235&amp;"",lst_Jobs,0)),""))</f>
        <v/>
      </c>
      <c r="F235" s="25">
        <f>IF(C235="","",IFERROR(INDEX(tbl_Finance[Client],MATCH(C235&amp;"",tbl_Finance[Job Number],0)),""))</f>
        <v/>
      </c>
      <c r="G235" s="28">
        <f>IF(C235="","",COUNTIFS(tbl_Finance[Job Number],C235&amp;"",tbl_Finance[Ex GST],"&lt;&gt;"))</f>
        <v/>
      </c>
      <c r="H235" s="27">
        <f>IF(C235="","",SUMIFS(tbl_Finance[Ex GST],tbl_Finance[Job Number],C235&amp;""))</f>
        <v/>
      </c>
      <c r="I235" s="27">
        <f>IF(C235="","",SUMIFS(tbl_Finance[Ex GST],tbl_Finance[Job Number],C235&amp;"",tbl_Finance[Xero Invoice No],"&lt;&gt;"))</f>
        <v/>
      </c>
      <c r="J235" s="27">
        <f>IF(C235="","",H235-I235)</f>
        <v/>
      </c>
      <c r="K235" s="25">
        <f>IF(C235="","",IF(G235=0,"not invoiced yet",SUBSTITUTE(TRIM(IF(COUNTIFS(tbl_Finance[Job Number],C235&amp;"",tbl_Finance[Cost Centre],"ONSITE")&gt;0,"ONSITE ","")&amp;IF(COUNTIFS(tbl_Finance[Job Number],C235&amp;"",tbl_Finance[Cost Centre],"PRODUCTION")&gt;0,"PRODUCTION ","")&amp;IF(COUNTIFS(tbl_Finance[Job Number],C235&amp;"",tbl_Finance[Cost Centre],"VIDEO")&gt;0,"VIDEO ","")&amp;IF(COUNTIFS(tbl_Finance[Job Number],C235&amp;"",tbl_Finance[Cost Centre],"INTEGRATION")&gt;0,"INTEGRATION ","")&amp;IF(COUNTIFS(tbl_Finance[Job Number],C235&amp;"",tbl_Finance[Cost Centre],"CONSULTING")&gt;0,"CONSULTING ","")&amp;IF(COUNTIFS(tbl_Finance[Job Number],C235&amp;"",tbl_Finance[Cost Centre],"CTS")&gt;0,"CTS ",""))," ",", ")))</f>
        <v/>
      </c>
      <c r="L235" s="24" t="n"/>
      <c r="M235" s="24" t="n"/>
      <c r="N235" s="25">
        <f>IF(M235="","",HYPERLINK(IF(LEFT(M235,4)="http",M235,set_QwilrBase&amp;M235),"Open quote"))</f>
        <v/>
      </c>
      <c r="O235" s="69" t="n"/>
      <c r="P235" s="24" t="n"/>
      <c r="Q235" s="24" t="n"/>
    </row>
    <row r="236" ht="15" customHeight="1">
      <c r="A236" s="68">
        <f>IF(C236="","",IFERROR(IF(SUMPRODUCT(MAX((tbl_Finance[Job Number]=C236&amp;"")*(tbl_Finance[Xero Invoice No]&lt;&gt;"")*tbl_Finance[Date]))=0,"",SUMPRODUCT(MAX((tbl_Finance[Job Number]=C236&amp;"")*(tbl_Finance[Xero Invoice No]&lt;&gt;"")*tbl_Finance[Date]))),""))</f>
        <v/>
      </c>
      <c r="B236" s="25">
        <f>IF(C236="","",IF(COUNTIFS(tbl_Finance[Job Number],C236&amp;"",tbl_Finance[Xero Invoice No],"&lt;&gt;")=0,"",IFERROR(IF(COUNTIFS(tbl_Finance[Job Number],C236&amp;"",tbl_Finance[Xero Invoice No],LOOKUP(2,1/((tbl_Finance[Job Number]=C236&amp;"")*(tbl_Finance[Xero Invoice No]&lt;&gt;"")),tbl_Finance[Xero Invoice No]))=COUNTIFS(tbl_Finance[Job Number],C236&amp;"",tbl_Finance[Xero Invoice No],"&lt;&gt;"),LOOKUP(2,1/((tbl_Finance[Job Number]=C236&amp;"")*(tbl_Finance[Xero Invoice No]&lt;&gt;"")),tbl_Finance[Xero Invoice No]),LOOKUP(2,1/((tbl_Finance[Job Number]=C236&amp;"")*(tbl_Finance[Xero Invoice No]&lt;&gt;"")),tbl_Finance[Xero Invoice No])&amp;" +more"),"")))</f>
        <v/>
      </c>
      <c r="C236" s="24" t="n"/>
      <c r="D236" s="25">
        <f>IF(C236="","",IF(COUNTIF(lst_Jobs,C236&amp;"")&gt;0,"OK","CHECK"))</f>
        <v/>
      </c>
      <c r="E236" s="25">
        <f>IF(C236="","",IFERROR(INDEX(lst_JobName,MATCH(C236&amp;"",lst_Jobs,0)),""))</f>
        <v/>
      </c>
      <c r="F236" s="25">
        <f>IF(C236="","",IFERROR(INDEX(tbl_Finance[Client],MATCH(C236&amp;"",tbl_Finance[Job Number],0)),""))</f>
        <v/>
      </c>
      <c r="G236" s="28">
        <f>IF(C236="","",COUNTIFS(tbl_Finance[Job Number],C236&amp;"",tbl_Finance[Ex GST],"&lt;&gt;"))</f>
        <v/>
      </c>
      <c r="H236" s="27">
        <f>IF(C236="","",SUMIFS(tbl_Finance[Ex GST],tbl_Finance[Job Number],C236&amp;""))</f>
        <v/>
      </c>
      <c r="I236" s="27">
        <f>IF(C236="","",SUMIFS(tbl_Finance[Ex GST],tbl_Finance[Job Number],C236&amp;"",tbl_Finance[Xero Invoice No],"&lt;&gt;"))</f>
        <v/>
      </c>
      <c r="J236" s="27">
        <f>IF(C236="","",H236-I236)</f>
        <v/>
      </c>
      <c r="K236" s="25">
        <f>IF(C236="","",IF(G236=0,"not invoiced yet",SUBSTITUTE(TRIM(IF(COUNTIFS(tbl_Finance[Job Number],C236&amp;"",tbl_Finance[Cost Centre],"ONSITE")&gt;0,"ONSITE ","")&amp;IF(COUNTIFS(tbl_Finance[Job Number],C236&amp;"",tbl_Finance[Cost Centre],"PRODUCTION")&gt;0,"PRODUCTION ","")&amp;IF(COUNTIFS(tbl_Finance[Job Number],C236&amp;"",tbl_Finance[Cost Centre],"VIDEO")&gt;0,"VIDEO ","")&amp;IF(COUNTIFS(tbl_Finance[Job Number],C236&amp;"",tbl_Finance[Cost Centre],"INTEGRATION")&gt;0,"INTEGRATION ","")&amp;IF(COUNTIFS(tbl_Finance[Job Number],C236&amp;"",tbl_Finance[Cost Centre],"CONSULTING")&gt;0,"CONSULTING ","")&amp;IF(COUNTIFS(tbl_Finance[Job Number],C236&amp;"",tbl_Finance[Cost Centre],"CTS")&gt;0,"CTS ",""))," ",", ")))</f>
        <v/>
      </c>
      <c r="L236" s="24" t="n"/>
      <c r="M236" s="24" t="n"/>
      <c r="N236" s="25">
        <f>IF(M236="","",HYPERLINK(IF(LEFT(M236,4)="http",M236,set_QwilrBase&amp;M236),"Open quote"))</f>
        <v/>
      </c>
      <c r="O236" s="69" t="n"/>
      <c r="P236" s="24" t="n"/>
      <c r="Q236" s="24" t="n"/>
    </row>
    <row r="237" ht="15" customHeight="1">
      <c r="A237" s="68">
        <f>IF(C237="","",IFERROR(IF(SUMPRODUCT(MAX((tbl_Finance[Job Number]=C237&amp;"")*(tbl_Finance[Xero Invoice No]&lt;&gt;"")*tbl_Finance[Date]))=0,"",SUMPRODUCT(MAX((tbl_Finance[Job Number]=C237&amp;"")*(tbl_Finance[Xero Invoice No]&lt;&gt;"")*tbl_Finance[Date]))),""))</f>
        <v/>
      </c>
      <c r="B237" s="25">
        <f>IF(C237="","",IF(COUNTIFS(tbl_Finance[Job Number],C237&amp;"",tbl_Finance[Xero Invoice No],"&lt;&gt;")=0,"",IFERROR(IF(COUNTIFS(tbl_Finance[Job Number],C237&amp;"",tbl_Finance[Xero Invoice No],LOOKUP(2,1/((tbl_Finance[Job Number]=C237&amp;"")*(tbl_Finance[Xero Invoice No]&lt;&gt;"")),tbl_Finance[Xero Invoice No]))=COUNTIFS(tbl_Finance[Job Number],C237&amp;"",tbl_Finance[Xero Invoice No],"&lt;&gt;"),LOOKUP(2,1/((tbl_Finance[Job Number]=C237&amp;"")*(tbl_Finance[Xero Invoice No]&lt;&gt;"")),tbl_Finance[Xero Invoice No]),LOOKUP(2,1/((tbl_Finance[Job Number]=C237&amp;"")*(tbl_Finance[Xero Invoice No]&lt;&gt;"")),tbl_Finance[Xero Invoice No])&amp;" +more"),"")))</f>
        <v/>
      </c>
      <c r="C237" s="24" t="n"/>
      <c r="D237" s="25">
        <f>IF(C237="","",IF(COUNTIF(lst_Jobs,C237&amp;"")&gt;0,"OK","CHECK"))</f>
        <v/>
      </c>
      <c r="E237" s="25">
        <f>IF(C237="","",IFERROR(INDEX(lst_JobName,MATCH(C237&amp;"",lst_Jobs,0)),""))</f>
        <v/>
      </c>
      <c r="F237" s="25">
        <f>IF(C237="","",IFERROR(INDEX(tbl_Finance[Client],MATCH(C237&amp;"",tbl_Finance[Job Number],0)),""))</f>
        <v/>
      </c>
      <c r="G237" s="28">
        <f>IF(C237="","",COUNTIFS(tbl_Finance[Job Number],C237&amp;"",tbl_Finance[Ex GST],"&lt;&gt;"))</f>
        <v/>
      </c>
      <c r="H237" s="27">
        <f>IF(C237="","",SUMIFS(tbl_Finance[Ex GST],tbl_Finance[Job Number],C237&amp;""))</f>
        <v/>
      </c>
      <c r="I237" s="27">
        <f>IF(C237="","",SUMIFS(tbl_Finance[Ex GST],tbl_Finance[Job Number],C237&amp;"",tbl_Finance[Xero Invoice No],"&lt;&gt;"))</f>
        <v/>
      </c>
      <c r="J237" s="27">
        <f>IF(C237="","",H237-I237)</f>
        <v/>
      </c>
      <c r="K237" s="25">
        <f>IF(C237="","",IF(G237=0,"not invoiced yet",SUBSTITUTE(TRIM(IF(COUNTIFS(tbl_Finance[Job Number],C237&amp;"",tbl_Finance[Cost Centre],"ONSITE")&gt;0,"ONSITE ","")&amp;IF(COUNTIFS(tbl_Finance[Job Number],C237&amp;"",tbl_Finance[Cost Centre],"PRODUCTION")&gt;0,"PRODUCTION ","")&amp;IF(COUNTIFS(tbl_Finance[Job Number],C237&amp;"",tbl_Finance[Cost Centre],"VIDEO")&gt;0,"VIDEO ","")&amp;IF(COUNTIFS(tbl_Finance[Job Number],C237&amp;"",tbl_Finance[Cost Centre],"INTEGRATION")&gt;0,"INTEGRATION ","")&amp;IF(COUNTIFS(tbl_Finance[Job Number],C237&amp;"",tbl_Finance[Cost Centre],"CONSULTING")&gt;0,"CONSULTING ","")&amp;IF(COUNTIFS(tbl_Finance[Job Number],C237&amp;"",tbl_Finance[Cost Centre],"CTS")&gt;0,"CTS ",""))," ",", ")))</f>
        <v/>
      </c>
      <c r="L237" s="24" t="n"/>
      <c r="M237" s="24" t="n"/>
      <c r="N237" s="25">
        <f>IF(M237="","",HYPERLINK(IF(LEFT(M237,4)="http",M237,set_QwilrBase&amp;M237),"Open quote"))</f>
        <v/>
      </c>
      <c r="O237" s="69" t="n"/>
      <c r="P237" s="24" t="n"/>
      <c r="Q237" s="24" t="n"/>
    </row>
    <row r="238" ht="15" customHeight="1">
      <c r="A238" s="68">
        <f>IF(C238="","",IFERROR(IF(SUMPRODUCT(MAX((tbl_Finance[Job Number]=C238&amp;"")*(tbl_Finance[Xero Invoice No]&lt;&gt;"")*tbl_Finance[Date]))=0,"",SUMPRODUCT(MAX((tbl_Finance[Job Number]=C238&amp;"")*(tbl_Finance[Xero Invoice No]&lt;&gt;"")*tbl_Finance[Date]))),""))</f>
        <v/>
      </c>
      <c r="B238" s="25">
        <f>IF(C238="","",IF(COUNTIFS(tbl_Finance[Job Number],C238&amp;"",tbl_Finance[Xero Invoice No],"&lt;&gt;")=0,"",IFERROR(IF(COUNTIFS(tbl_Finance[Job Number],C238&amp;"",tbl_Finance[Xero Invoice No],LOOKUP(2,1/((tbl_Finance[Job Number]=C238&amp;"")*(tbl_Finance[Xero Invoice No]&lt;&gt;"")),tbl_Finance[Xero Invoice No]))=COUNTIFS(tbl_Finance[Job Number],C238&amp;"",tbl_Finance[Xero Invoice No],"&lt;&gt;"),LOOKUP(2,1/((tbl_Finance[Job Number]=C238&amp;"")*(tbl_Finance[Xero Invoice No]&lt;&gt;"")),tbl_Finance[Xero Invoice No]),LOOKUP(2,1/((tbl_Finance[Job Number]=C238&amp;"")*(tbl_Finance[Xero Invoice No]&lt;&gt;"")),tbl_Finance[Xero Invoice No])&amp;" +more"),"")))</f>
        <v/>
      </c>
      <c r="C238" s="24" t="n"/>
      <c r="D238" s="25">
        <f>IF(C238="","",IF(COUNTIF(lst_Jobs,C238&amp;"")&gt;0,"OK","CHECK"))</f>
        <v/>
      </c>
      <c r="E238" s="25">
        <f>IF(C238="","",IFERROR(INDEX(lst_JobName,MATCH(C238&amp;"",lst_Jobs,0)),""))</f>
        <v/>
      </c>
      <c r="F238" s="25">
        <f>IF(C238="","",IFERROR(INDEX(tbl_Finance[Client],MATCH(C238&amp;"",tbl_Finance[Job Number],0)),""))</f>
        <v/>
      </c>
      <c r="G238" s="28">
        <f>IF(C238="","",COUNTIFS(tbl_Finance[Job Number],C238&amp;"",tbl_Finance[Ex GST],"&lt;&gt;"))</f>
        <v/>
      </c>
      <c r="H238" s="27">
        <f>IF(C238="","",SUMIFS(tbl_Finance[Ex GST],tbl_Finance[Job Number],C238&amp;""))</f>
        <v/>
      </c>
      <c r="I238" s="27">
        <f>IF(C238="","",SUMIFS(tbl_Finance[Ex GST],tbl_Finance[Job Number],C238&amp;"",tbl_Finance[Xero Invoice No],"&lt;&gt;"))</f>
        <v/>
      </c>
      <c r="J238" s="27">
        <f>IF(C238="","",H238-I238)</f>
        <v/>
      </c>
      <c r="K238" s="25">
        <f>IF(C238="","",IF(G238=0,"not invoiced yet",SUBSTITUTE(TRIM(IF(COUNTIFS(tbl_Finance[Job Number],C238&amp;"",tbl_Finance[Cost Centre],"ONSITE")&gt;0,"ONSITE ","")&amp;IF(COUNTIFS(tbl_Finance[Job Number],C238&amp;"",tbl_Finance[Cost Centre],"PRODUCTION")&gt;0,"PRODUCTION ","")&amp;IF(COUNTIFS(tbl_Finance[Job Number],C238&amp;"",tbl_Finance[Cost Centre],"VIDEO")&gt;0,"VIDEO ","")&amp;IF(COUNTIFS(tbl_Finance[Job Number],C238&amp;"",tbl_Finance[Cost Centre],"INTEGRATION")&gt;0,"INTEGRATION ","")&amp;IF(COUNTIFS(tbl_Finance[Job Number],C238&amp;"",tbl_Finance[Cost Centre],"CONSULTING")&gt;0,"CONSULTING ","")&amp;IF(COUNTIFS(tbl_Finance[Job Number],C238&amp;"",tbl_Finance[Cost Centre],"CTS")&gt;0,"CTS ",""))," ",", ")))</f>
        <v/>
      </c>
      <c r="L238" s="24" t="n"/>
      <c r="M238" s="24" t="n"/>
      <c r="N238" s="25">
        <f>IF(M238="","",HYPERLINK(IF(LEFT(M238,4)="http",M238,set_QwilrBase&amp;M238),"Open quote"))</f>
        <v/>
      </c>
      <c r="O238" s="69" t="n"/>
      <c r="P238" s="24" t="n"/>
      <c r="Q238" s="24" t="n"/>
    </row>
    <row r="239" ht="15" customHeight="1">
      <c r="A239" s="68">
        <f>IF(C239="","",IFERROR(IF(SUMPRODUCT(MAX((tbl_Finance[Job Number]=C239&amp;"")*(tbl_Finance[Xero Invoice No]&lt;&gt;"")*tbl_Finance[Date]))=0,"",SUMPRODUCT(MAX((tbl_Finance[Job Number]=C239&amp;"")*(tbl_Finance[Xero Invoice No]&lt;&gt;"")*tbl_Finance[Date]))),""))</f>
        <v/>
      </c>
      <c r="B239" s="25">
        <f>IF(C239="","",IF(COUNTIFS(tbl_Finance[Job Number],C239&amp;"",tbl_Finance[Xero Invoice No],"&lt;&gt;")=0,"",IFERROR(IF(COUNTIFS(tbl_Finance[Job Number],C239&amp;"",tbl_Finance[Xero Invoice No],LOOKUP(2,1/((tbl_Finance[Job Number]=C239&amp;"")*(tbl_Finance[Xero Invoice No]&lt;&gt;"")),tbl_Finance[Xero Invoice No]))=COUNTIFS(tbl_Finance[Job Number],C239&amp;"",tbl_Finance[Xero Invoice No],"&lt;&gt;"),LOOKUP(2,1/((tbl_Finance[Job Number]=C239&amp;"")*(tbl_Finance[Xero Invoice No]&lt;&gt;"")),tbl_Finance[Xero Invoice No]),LOOKUP(2,1/((tbl_Finance[Job Number]=C239&amp;"")*(tbl_Finance[Xero Invoice No]&lt;&gt;"")),tbl_Finance[Xero Invoice No])&amp;" +more"),"")))</f>
        <v/>
      </c>
      <c r="C239" s="24" t="n"/>
      <c r="D239" s="25">
        <f>IF(C239="","",IF(COUNTIF(lst_Jobs,C239&amp;"")&gt;0,"OK","CHECK"))</f>
        <v/>
      </c>
      <c r="E239" s="25">
        <f>IF(C239="","",IFERROR(INDEX(lst_JobName,MATCH(C239&amp;"",lst_Jobs,0)),""))</f>
        <v/>
      </c>
      <c r="F239" s="25">
        <f>IF(C239="","",IFERROR(INDEX(tbl_Finance[Client],MATCH(C239&amp;"",tbl_Finance[Job Number],0)),""))</f>
        <v/>
      </c>
      <c r="G239" s="28">
        <f>IF(C239="","",COUNTIFS(tbl_Finance[Job Number],C239&amp;"",tbl_Finance[Ex GST],"&lt;&gt;"))</f>
        <v/>
      </c>
      <c r="H239" s="27">
        <f>IF(C239="","",SUMIFS(tbl_Finance[Ex GST],tbl_Finance[Job Number],C239&amp;""))</f>
        <v/>
      </c>
      <c r="I239" s="27">
        <f>IF(C239="","",SUMIFS(tbl_Finance[Ex GST],tbl_Finance[Job Number],C239&amp;"",tbl_Finance[Xero Invoice No],"&lt;&gt;"))</f>
        <v/>
      </c>
      <c r="J239" s="27">
        <f>IF(C239="","",H239-I239)</f>
        <v/>
      </c>
      <c r="K239" s="25">
        <f>IF(C239="","",IF(G239=0,"not invoiced yet",SUBSTITUTE(TRIM(IF(COUNTIFS(tbl_Finance[Job Number],C239&amp;"",tbl_Finance[Cost Centre],"ONSITE")&gt;0,"ONSITE ","")&amp;IF(COUNTIFS(tbl_Finance[Job Number],C239&amp;"",tbl_Finance[Cost Centre],"PRODUCTION")&gt;0,"PRODUCTION ","")&amp;IF(COUNTIFS(tbl_Finance[Job Number],C239&amp;"",tbl_Finance[Cost Centre],"VIDEO")&gt;0,"VIDEO ","")&amp;IF(COUNTIFS(tbl_Finance[Job Number],C239&amp;"",tbl_Finance[Cost Centre],"INTEGRATION")&gt;0,"INTEGRATION ","")&amp;IF(COUNTIFS(tbl_Finance[Job Number],C239&amp;"",tbl_Finance[Cost Centre],"CONSULTING")&gt;0,"CONSULTING ","")&amp;IF(COUNTIFS(tbl_Finance[Job Number],C239&amp;"",tbl_Finance[Cost Centre],"CTS")&gt;0,"CTS ",""))," ",", ")))</f>
        <v/>
      </c>
      <c r="L239" s="24" t="n"/>
      <c r="M239" s="24" t="n"/>
      <c r="N239" s="25">
        <f>IF(M239="","",HYPERLINK(IF(LEFT(M239,4)="http",M239,set_QwilrBase&amp;M239),"Open quote"))</f>
        <v/>
      </c>
      <c r="O239" s="69" t="n"/>
      <c r="P239" s="24" t="n"/>
      <c r="Q239" s="24" t="n"/>
    </row>
    <row r="240" ht="15" customHeight="1">
      <c r="A240" s="68">
        <f>IF(C240="","",IFERROR(IF(SUMPRODUCT(MAX((tbl_Finance[Job Number]=C240&amp;"")*(tbl_Finance[Xero Invoice No]&lt;&gt;"")*tbl_Finance[Date]))=0,"",SUMPRODUCT(MAX((tbl_Finance[Job Number]=C240&amp;"")*(tbl_Finance[Xero Invoice No]&lt;&gt;"")*tbl_Finance[Date]))),""))</f>
        <v/>
      </c>
      <c r="B240" s="25">
        <f>IF(C240="","",IF(COUNTIFS(tbl_Finance[Job Number],C240&amp;"",tbl_Finance[Xero Invoice No],"&lt;&gt;")=0,"",IFERROR(IF(COUNTIFS(tbl_Finance[Job Number],C240&amp;"",tbl_Finance[Xero Invoice No],LOOKUP(2,1/((tbl_Finance[Job Number]=C240&amp;"")*(tbl_Finance[Xero Invoice No]&lt;&gt;"")),tbl_Finance[Xero Invoice No]))=COUNTIFS(tbl_Finance[Job Number],C240&amp;"",tbl_Finance[Xero Invoice No],"&lt;&gt;"),LOOKUP(2,1/((tbl_Finance[Job Number]=C240&amp;"")*(tbl_Finance[Xero Invoice No]&lt;&gt;"")),tbl_Finance[Xero Invoice No]),LOOKUP(2,1/((tbl_Finance[Job Number]=C240&amp;"")*(tbl_Finance[Xero Invoice No]&lt;&gt;"")),tbl_Finance[Xero Invoice No])&amp;" +more"),"")))</f>
        <v/>
      </c>
      <c r="C240" s="24" t="n"/>
      <c r="D240" s="25">
        <f>IF(C240="","",IF(COUNTIF(lst_Jobs,C240&amp;"")&gt;0,"OK","CHECK"))</f>
        <v/>
      </c>
      <c r="E240" s="25">
        <f>IF(C240="","",IFERROR(INDEX(lst_JobName,MATCH(C240&amp;"",lst_Jobs,0)),""))</f>
        <v/>
      </c>
      <c r="F240" s="25">
        <f>IF(C240="","",IFERROR(INDEX(tbl_Finance[Client],MATCH(C240&amp;"",tbl_Finance[Job Number],0)),""))</f>
        <v/>
      </c>
      <c r="G240" s="28">
        <f>IF(C240="","",COUNTIFS(tbl_Finance[Job Number],C240&amp;"",tbl_Finance[Ex GST],"&lt;&gt;"))</f>
        <v/>
      </c>
      <c r="H240" s="27">
        <f>IF(C240="","",SUMIFS(tbl_Finance[Ex GST],tbl_Finance[Job Number],C240&amp;""))</f>
        <v/>
      </c>
      <c r="I240" s="27">
        <f>IF(C240="","",SUMIFS(tbl_Finance[Ex GST],tbl_Finance[Job Number],C240&amp;"",tbl_Finance[Xero Invoice No],"&lt;&gt;"))</f>
        <v/>
      </c>
      <c r="J240" s="27">
        <f>IF(C240="","",H240-I240)</f>
        <v/>
      </c>
      <c r="K240" s="25">
        <f>IF(C240="","",IF(G240=0,"not invoiced yet",SUBSTITUTE(TRIM(IF(COUNTIFS(tbl_Finance[Job Number],C240&amp;"",tbl_Finance[Cost Centre],"ONSITE")&gt;0,"ONSITE ","")&amp;IF(COUNTIFS(tbl_Finance[Job Number],C240&amp;"",tbl_Finance[Cost Centre],"PRODUCTION")&gt;0,"PRODUCTION ","")&amp;IF(COUNTIFS(tbl_Finance[Job Number],C240&amp;"",tbl_Finance[Cost Centre],"VIDEO")&gt;0,"VIDEO ","")&amp;IF(COUNTIFS(tbl_Finance[Job Number],C240&amp;"",tbl_Finance[Cost Centre],"INTEGRATION")&gt;0,"INTEGRATION ","")&amp;IF(COUNTIFS(tbl_Finance[Job Number],C240&amp;"",tbl_Finance[Cost Centre],"CONSULTING")&gt;0,"CONSULTING ","")&amp;IF(COUNTIFS(tbl_Finance[Job Number],C240&amp;"",tbl_Finance[Cost Centre],"CTS")&gt;0,"CTS ",""))," ",", ")))</f>
        <v/>
      </c>
      <c r="L240" s="24" t="n"/>
      <c r="M240" s="24" t="n"/>
      <c r="N240" s="25">
        <f>IF(M240="","",HYPERLINK(IF(LEFT(M240,4)="http",M240,set_QwilrBase&amp;M240),"Open quote"))</f>
        <v/>
      </c>
      <c r="O240" s="69" t="n"/>
      <c r="P240" s="24" t="n"/>
      <c r="Q240" s="24" t="n"/>
    </row>
    <row r="241" ht="15" customHeight="1">
      <c r="A241" s="68">
        <f>IF(C241="","",IFERROR(IF(SUMPRODUCT(MAX((tbl_Finance[Job Number]=C241&amp;"")*(tbl_Finance[Xero Invoice No]&lt;&gt;"")*tbl_Finance[Date]))=0,"",SUMPRODUCT(MAX((tbl_Finance[Job Number]=C241&amp;"")*(tbl_Finance[Xero Invoice No]&lt;&gt;"")*tbl_Finance[Date]))),""))</f>
        <v/>
      </c>
      <c r="B241" s="25">
        <f>IF(C241="","",IF(COUNTIFS(tbl_Finance[Job Number],C241&amp;"",tbl_Finance[Xero Invoice No],"&lt;&gt;")=0,"",IFERROR(IF(COUNTIFS(tbl_Finance[Job Number],C241&amp;"",tbl_Finance[Xero Invoice No],LOOKUP(2,1/((tbl_Finance[Job Number]=C241&amp;"")*(tbl_Finance[Xero Invoice No]&lt;&gt;"")),tbl_Finance[Xero Invoice No]))=COUNTIFS(tbl_Finance[Job Number],C241&amp;"",tbl_Finance[Xero Invoice No],"&lt;&gt;"),LOOKUP(2,1/((tbl_Finance[Job Number]=C241&amp;"")*(tbl_Finance[Xero Invoice No]&lt;&gt;"")),tbl_Finance[Xero Invoice No]),LOOKUP(2,1/((tbl_Finance[Job Number]=C241&amp;"")*(tbl_Finance[Xero Invoice No]&lt;&gt;"")),tbl_Finance[Xero Invoice No])&amp;" +more"),"")))</f>
        <v/>
      </c>
      <c r="C241" s="24" t="n"/>
      <c r="D241" s="25">
        <f>IF(C241="","",IF(COUNTIF(lst_Jobs,C241&amp;"")&gt;0,"OK","CHECK"))</f>
        <v/>
      </c>
      <c r="E241" s="25">
        <f>IF(C241="","",IFERROR(INDEX(lst_JobName,MATCH(C241&amp;"",lst_Jobs,0)),""))</f>
        <v/>
      </c>
      <c r="F241" s="25">
        <f>IF(C241="","",IFERROR(INDEX(tbl_Finance[Client],MATCH(C241&amp;"",tbl_Finance[Job Number],0)),""))</f>
        <v/>
      </c>
      <c r="G241" s="28">
        <f>IF(C241="","",COUNTIFS(tbl_Finance[Job Number],C241&amp;"",tbl_Finance[Ex GST],"&lt;&gt;"))</f>
        <v/>
      </c>
      <c r="H241" s="27">
        <f>IF(C241="","",SUMIFS(tbl_Finance[Ex GST],tbl_Finance[Job Number],C241&amp;""))</f>
        <v/>
      </c>
      <c r="I241" s="27">
        <f>IF(C241="","",SUMIFS(tbl_Finance[Ex GST],tbl_Finance[Job Number],C241&amp;"",tbl_Finance[Xero Invoice No],"&lt;&gt;"))</f>
        <v/>
      </c>
      <c r="J241" s="27">
        <f>IF(C241="","",H241-I241)</f>
        <v/>
      </c>
      <c r="K241" s="25">
        <f>IF(C241="","",IF(G241=0,"not invoiced yet",SUBSTITUTE(TRIM(IF(COUNTIFS(tbl_Finance[Job Number],C241&amp;"",tbl_Finance[Cost Centre],"ONSITE")&gt;0,"ONSITE ","")&amp;IF(COUNTIFS(tbl_Finance[Job Number],C241&amp;"",tbl_Finance[Cost Centre],"PRODUCTION")&gt;0,"PRODUCTION ","")&amp;IF(COUNTIFS(tbl_Finance[Job Number],C241&amp;"",tbl_Finance[Cost Centre],"VIDEO")&gt;0,"VIDEO ","")&amp;IF(COUNTIFS(tbl_Finance[Job Number],C241&amp;"",tbl_Finance[Cost Centre],"INTEGRATION")&gt;0,"INTEGRATION ","")&amp;IF(COUNTIFS(tbl_Finance[Job Number],C241&amp;"",tbl_Finance[Cost Centre],"CONSULTING")&gt;0,"CONSULTING ","")&amp;IF(COUNTIFS(tbl_Finance[Job Number],C241&amp;"",tbl_Finance[Cost Centre],"CTS")&gt;0,"CTS ",""))," ",", ")))</f>
        <v/>
      </c>
      <c r="L241" s="24" t="n"/>
      <c r="M241" s="24" t="n"/>
      <c r="N241" s="25">
        <f>IF(M241="","",HYPERLINK(IF(LEFT(M241,4)="http",M241,set_QwilrBase&amp;M241),"Open quote"))</f>
        <v/>
      </c>
      <c r="O241" s="69" t="n"/>
      <c r="P241" s="24" t="n"/>
      <c r="Q241" s="24" t="n"/>
    </row>
    <row r="242" ht="15" customHeight="1">
      <c r="A242" s="68">
        <f>IF(C242="","",IFERROR(IF(SUMPRODUCT(MAX((tbl_Finance[Job Number]=C242&amp;"")*(tbl_Finance[Xero Invoice No]&lt;&gt;"")*tbl_Finance[Date]))=0,"",SUMPRODUCT(MAX((tbl_Finance[Job Number]=C242&amp;"")*(tbl_Finance[Xero Invoice No]&lt;&gt;"")*tbl_Finance[Date]))),""))</f>
        <v/>
      </c>
      <c r="B242" s="25">
        <f>IF(C242="","",IF(COUNTIFS(tbl_Finance[Job Number],C242&amp;"",tbl_Finance[Xero Invoice No],"&lt;&gt;")=0,"",IFERROR(IF(COUNTIFS(tbl_Finance[Job Number],C242&amp;"",tbl_Finance[Xero Invoice No],LOOKUP(2,1/((tbl_Finance[Job Number]=C242&amp;"")*(tbl_Finance[Xero Invoice No]&lt;&gt;"")),tbl_Finance[Xero Invoice No]))=COUNTIFS(tbl_Finance[Job Number],C242&amp;"",tbl_Finance[Xero Invoice No],"&lt;&gt;"),LOOKUP(2,1/((tbl_Finance[Job Number]=C242&amp;"")*(tbl_Finance[Xero Invoice No]&lt;&gt;"")),tbl_Finance[Xero Invoice No]),LOOKUP(2,1/((tbl_Finance[Job Number]=C242&amp;"")*(tbl_Finance[Xero Invoice No]&lt;&gt;"")),tbl_Finance[Xero Invoice No])&amp;" +more"),"")))</f>
        <v/>
      </c>
      <c r="C242" s="24" t="n"/>
      <c r="D242" s="25">
        <f>IF(C242="","",IF(COUNTIF(lst_Jobs,C242&amp;"")&gt;0,"OK","CHECK"))</f>
        <v/>
      </c>
      <c r="E242" s="25">
        <f>IF(C242="","",IFERROR(INDEX(lst_JobName,MATCH(C242&amp;"",lst_Jobs,0)),""))</f>
        <v/>
      </c>
      <c r="F242" s="25">
        <f>IF(C242="","",IFERROR(INDEX(tbl_Finance[Client],MATCH(C242&amp;"",tbl_Finance[Job Number],0)),""))</f>
        <v/>
      </c>
      <c r="G242" s="28">
        <f>IF(C242="","",COUNTIFS(tbl_Finance[Job Number],C242&amp;"",tbl_Finance[Ex GST],"&lt;&gt;"))</f>
        <v/>
      </c>
      <c r="H242" s="27">
        <f>IF(C242="","",SUMIFS(tbl_Finance[Ex GST],tbl_Finance[Job Number],C242&amp;""))</f>
        <v/>
      </c>
      <c r="I242" s="27">
        <f>IF(C242="","",SUMIFS(tbl_Finance[Ex GST],tbl_Finance[Job Number],C242&amp;"",tbl_Finance[Xero Invoice No],"&lt;&gt;"))</f>
        <v/>
      </c>
      <c r="J242" s="27">
        <f>IF(C242="","",H242-I242)</f>
        <v/>
      </c>
      <c r="K242" s="25">
        <f>IF(C242="","",IF(G242=0,"not invoiced yet",SUBSTITUTE(TRIM(IF(COUNTIFS(tbl_Finance[Job Number],C242&amp;"",tbl_Finance[Cost Centre],"ONSITE")&gt;0,"ONSITE ","")&amp;IF(COUNTIFS(tbl_Finance[Job Number],C242&amp;"",tbl_Finance[Cost Centre],"PRODUCTION")&gt;0,"PRODUCTION ","")&amp;IF(COUNTIFS(tbl_Finance[Job Number],C242&amp;"",tbl_Finance[Cost Centre],"VIDEO")&gt;0,"VIDEO ","")&amp;IF(COUNTIFS(tbl_Finance[Job Number],C242&amp;"",tbl_Finance[Cost Centre],"INTEGRATION")&gt;0,"INTEGRATION ","")&amp;IF(COUNTIFS(tbl_Finance[Job Number],C242&amp;"",tbl_Finance[Cost Centre],"CONSULTING")&gt;0,"CONSULTING ","")&amp;IF(COUNTIFS(tbl_Finance[Job Number],C242&amp;"",tbl_Finance[Cost Centre],"CTS")&gt;0,"CTS ",""))," ",", ")))</f>
        <v/>
      </c>
      <c r="L242" s="24" t="n"/>
      <c r="M242" s="24" t="n"/>
      <c r="N242" s="25">
        <f>IF(M242="","",HYPERLINK(IF(LEFT(M242,4)="http",M242,set_QwilrBase&amp;M242),"Open quote"))</f>
        <v/>
      </c>
      <c r="O242" s="69" t="n"/>
      <c r="P242" s="24" t="n"/>
      <c r="Q242" s="24" t="n"/>
    </row>
    <row r="243" ht="15" customHeight="1">
      <c r="A243" s="68">
        <f>IF(C243="","",IFERROR(IF(SUMPRODUCT(MAX((tbl_Finance[Job Number]=C243&amp;"")*(tbl_Finance[Xero Invoice No]&lt;&gt;"")*tbl_Finance[Date]))=0,"",SUMPRODUCT(MAX((tbl_Finance[Job Number]=C243&amp;"")*(tbl_Finance[Xero Invoice No]&lt;&gt;"")*tbl_Finance[Date]))),""))</f>
        <v/>
      </c>
      <c r="B243" s="25">
        <f>IF(C243="","",IF(COUNTIFS(tbl_Finance[Job Number],C243&amp;"",tbl_Finance[Xero Invoice No],"&lt;&gt;")=0,"",IFERROR(IF(COUNTIFS(tbl_Finance[Job Number],C243&amp;"",tbl_Finance[Xero Invoice No],LOOKUP(2,1/((tbl_Finance[Job Number]=C243&amp;"")*(tbl_Finance[Xero Invoice No]&lt;&gt;"")),tbl_Finance[Xero Invoice No]))=COUNTIFS(tbl_Finance[Job Number],C243&amp;"",tbl_Finance[Xero Invoice No],"&lt;&gt;"),LOOKUP(2,1/((tbl_Finance[Job Number]=C243&amp;"")*(tbl_Finance[Xero Invoice No]&lt;&gt;"")),tbl_Finance[Xero Invoice No]),LOOKUP(2,1/((tbl_Finance[Job Number]=C243&amp;"")*(tbl_Finance[Xero Invoice No]&lt;&gt;"")),tbl_Finance[Xero Invoice No])&amp;" +more"),"")))</f>
        <v/>
      </c>
      <c r="C243" s="24" t="n"/>
      <c r="D243" s="25">
        <f>IF(C243="","",IF(COUNTIF(lst_Jobs,C243&amp;"")&gt;0,"OK","CHECK"))</f>
        <v/>
      </c>
      <c r="E243" s="25">
        <f>IF(C243="","",IFERROR(INDEX(lst_JobName,MATCH(C243&amp;"",lst_Jobs,0)),""))</f>
        <v/>
      </c>
      <c r="F243" s="25">
        <f>IF(C243="","",IFERROR(INDEX(tbl_Finance[Client],MATCH(C243&amp;"",tbl_Finance[Job Number],0)),""))</f>
        <v/>
      </c>
      <c r="G243" s="28">
        <f>IF(C243="","",COUNTIFS(tbl_Finance[Job Number],C243&amp;"",tbl_Finance[Ex GST],"&lt;&gt;"))</f>
        <v/>
      </c>
      <c r="H243" s="27">
        <f>IF(C243="","",SUMIFS(tbl_Finance[Ex GST],tbl_Finance[Job Number],C243&amp;""))</f>
        <v/>
      </c>
      <c r="I243" s="27">
        <f>IF(C243="","",SUMIFS(tbl_Finance[Ex GST],tbl_Finance[Job Number],C243&amp;"",tbl_Finance[Xero Invoice No],"&lt;&gt;"))</f>
        <v/>
      </c>
      <c r="J243" s="27">
        <f>IF(C243="","",H243-I243)</f>
        <v/>
      </c>
      <c r="K243" s="25">
        <f>IF(C243="","",IF(G243=0,"not invoiced yet",SUBSTITUTE(TRIM(IF(COUNTIFS(tbl_Finance[Job Number],C243&amp;"",tbl_Finance[Cost Centre],"ONSITE")&gt;0,"ONSITE ","")&amp;IF(COUNTIFS(tbl_Finance[Job Number],C243&amp;"",tbl_Finance[Cost Centre],"PRODUCTION")&gt;0,"PRODUCTION ","")&amp;IF(COUNTIFS(tbl_Finance[Job Number],C243&amp;"",tbl_Finance[Cost Centre],"VIDEO")&gt;0,"VIDEO ","")&amp;IF(COUNTIFS(tbl_Finance[Job Number],C243&amp;"",tbl_Finance[Cost Centre],"INTEGRATION")&gt;0,"INTEGRATION ","")&amp;IF(COUNTIFS(tbl_Finance[Job Number],C243&amp;"",tbl_Finance[Cost Centre],"CONSULTING")&gt;0,"CONSULTING ","")&amp;IF(COUNTIFS(tbl_Finance[Job Number],C243&amp;"",tbl_Finance[Cost Centre],"CTS")&gt;0,"CTS ",""))," ",", ")))</f>
        <v/>
      </c>
      <c r="L243" s="24" t="n"/>
      <c r="M243" s="24" t="n"/>
      <c r="N243" s="25">
        <f>IF(M243="","",HYPERLINK(IF(LEFT(M243,4)="http",M243,set_QwilrBase&amp;M243),"Open quote"))</f>
        <v/>
      </c>
      <c r="O243" s="69" t="n"/>
      <c r="P243" s="24" t="n"/>
      <c r="Q243" s="24" t="n"/>
    </row>
    <row r="244" ht="15" customHeight="1">
      <c r="A244" s="68">
        <f>IF(C244="","",IFERROR(IF(SUMPRODUCT(MAX((tbl_Finance[Job Number]=C244&amp;"")*(tbl_Finance[Xero Invoice No]&lt;&gt;"")*tbl_Finance[Date]))=0,"",SUMPRODUCT(MAX((tbl_Finance[Job Number]=C244&amp;"")*(tbl_Finance[Xero Invoice No]&lt;&gt;"")*tbl_Finance[Date]))),""))</f>
        <v/>
      </c>
      <c r="B244" s="25">
        <f>IF(C244="","",IF(COUNTIFS(tbl_Finance[Job Number],C244&amp;"",tbl_Finance[Xero Invoice No],"&lt;&gt;")=0,"",IFERROR(IF(COUNTIFS(tbl_Finance[Job Number],C244&amp;"",tbl_Finance[Xero Invoice No],LOOKUP(2,1/((tbl_Finance[Job Number]=C244&amp;"")*(tbl_Finance[Xero Invoice No]&lt;&gt;"")),tbl_Finance[Xero Invoice No]))=COUNTIFS(tbl_Finance[Job Number],C244&amp;"",tbl_Finance[Xero Invoice No],"&lt;&gt;"),LOOKUP(2,1/((tbl_Finance[Job Number]=C244&amp;"")*(tbl_Finance[Xero Invoice No]&lt;&gt;"")),tbl_Finance[Xero Invoice No]),LOOKUP(2,1/((tbl_Finance[Job Number]=C244&amp;"")*(tbl_Finance[Xero Invoice No]&lt;&gt;"")),tbl_Finance[Xero Invoice No])&amp;" +more"),"")))</f>
        <v/>
      </c>
      <c r="C244" s="24" t="n"/>
      <c r="D244" s="25">
        <f>IF(C244="","",IF(COUNTIF(lst_Jobs,C244&amp;"")&gt;0,"OK","CHECK"))</f>
        <v/>
      </c>
      <c r="E244" s="25">
        <f>IF(C244="","",IFERROR(INDEX(lst_JobName,MATCH(C244&amp;"",lst_Jobs,0)),""))</f>
        <v/>
      </c>
      <c r="F244" s="25">
        <f>IF(C244="","",IFERROR(INDEX(tbl_Finance[Client],MATCH(C244&amp;"",tbl_Finance[Job Number],0)),""))</f>
        <v/>
      </c>
      <c r="G244" s="28">
        <f>IF(C244="","",COUNTIFS(tbl_Finance[Job Number],C244&amp;"",tbl_Finance[Ex GST],"&lt;&gt;"))</f>
        <v/>
      </c>
      <c r="H244" s="27">
        <f>IF(C244="","",SUMIFS(tbl_Finance[Ex GST],tbl_Finance[Job Number],C244&amp;""))</f>
        <v/>
      </c>
      <c r="I244" s="27">
        <f>IF(C244="","",SUMIFS(tbl_Finance[Ex GST],tbl_Finance[Job Number],C244&amp;"",tbl_Finance[Xero Invoice No],"&lt;&gt;"))</f>
        <v/>
      </c>
      <c r="J244" s="27">
        <f>IF(C244="","",H244-I244)</f>
        <v/>
      </c>
      <c r="K244" s="25">
        <f>IF(C244="","",IF(G244=0,"not invoiced yet",SUBSTITUTE(TRIM(IF(COUNTIFS(tbl_Finance[Job Number],C244&amp;"",tbl_Finance[Cost Centre],"ONSITE")&gt;0,"ONSITE ","")&amp;IF(COUNTIFS(tbl_Finance[Job Number],C244&amp;"",tbl_Finance[Cost Centre],"PRODUCTION")&gt;0,"PRODUCTION ","")&amp;IF(COUNTIFS(tbl_Finance[Job Number],C244&amp;"",tbl_Finance[Cost Centre],"VIDEO")&gt;0,"VIDEO ","")&amp;IF(COUNTIFS(tbl_Finance[Job Number],C244&amp;"",tbl_Finance[Cost Centre],"INTEGRATION")&gt;0,"INTEGRATION ","")&amp;IF(COUNTIFS(tbl_Finance[Job Number],C244&amp;"",tbl_Finance[Cost Centre],"CONSULTING")&gt;0,"CONSULTING ","")&amp;IF(COUNTIFS(tbl_Finance[Job Number],C244&amp;"",tbl_Finance[Cost Centre],"CTS")&gt;0,"CTS ",""))," ",", ")))</f>
        <v/>
      </c>
      <c r="L244" s="24" t="n"/>
      <c r="M244" s="24" t="n"/>
      <c r="N244" s="25">
        <f>IF(M244="","",HYPERLINK(IF(LEFT(M244,4)="http",M244,set_QwilrBase&amp;M244),"Open quote"))</f>
        <v/>
      </c>
      <c r="O244" s="69" t="n"/>
      <c r="P244" s="24" t="n"/>
      <c r="Q244" s="24" t="n"/>
    </row>
    <row r="245" ht="15" customHeight="1">
      <c r="A245" s="68">
        <f>IF(C245="","",IFERROR(IF(SUMPRODUCT(MAX((tbl_Finance[Job Number]=C245&amp;"")*(tbl_Finance[Xero Invoice No]&lt;&gt;"")*tbl_Finance[Date]))=0,"",SUMPRODUCT(MAX((tbl_Finance[Job Number]=C245&amp;"")*(tbl_Finance[Xero Invoice No]&lt;&gt;"")*tbl_Finance[Date]))),""))</f>
        <v/>
      </c>
      <c r="B245" s="25">
        <f>IF(C245="","",IF(COUNTIFS(tbl_Finance[Job Number],C245&amp;"",tbl_Finance[Xero Invoice No],"&lt;&gt;")=0,"",IFERROR(IF(COUNTIFS(tbl_Finance[Job Number],C245&amp;"",tbl_Finance[Xero Invoice No],LOOKUP(2,1/((tbl_Finance[Job Number]=C245&amp;"")*(tbl_Finance[Xero Invoice No]&lt;&gt;"")),tbl_Finance[Xero Invoice No]))=COUNTIFS(tbl_Finance[Job Number],C245&amp;"",tbl_Finance[Xero Invoice No],"&lt;&gt;"),LOOKUP(2,1/((tbl_Finance[Job Number]=C245&amp;"")*(tbl_Finance[Xero Invoice No]&lt;&gt;"")),tbl_Finance[Xero Invoice No]),LOOKUP(2,1/((tbl_Finance[Job Number]=C245&amp;"")*(tbl_Finance[Xero Invoice No]&lt;&gt;"")),tbl_Finance[Xero Invoice No])&amp;" +more"),"")))</f>
        <v/>
      </c>
      <c r="C245" s="24" t="n"/>
      <c r="D245" s="25">
        <f>IF(C245="","",IF(COUNTIF(lst_Jobs,C245&amp;"")&gt;0,"OK","CHECK"))</f>
        <v/>
      </c>
      <c r="E245" s="25">
        <f>IF(C245="","",IFERROR(INDEX(lst_JobName,MATCH(C245&amp;"",lst_Jobs,0)),""))</f>
        <v/>
      </c>
      <c r="F245" s="25">
        <f>IF(C245="","",IFERROR(INDEX(tbl_Finance[Client],MATCH(C245&amp;"",tbl_Finance[Job Number],0)),""))</f>
        <v/>
      </c>
      <c r="G245" s="28">
        <f>IF(C245="","",COUNTIFS(tbl_Finance[Job Number],C245&amp;"",tbl_Finance[Ex GST],"&lt;&gt;"))</f>
        <v/>
      </c>
      <c r="H245" s="27">
        <f>IF(C245="","",SUMIFS(tbl_Finance[Ex GST],tbl_Finance[Job Number],C245&amp;""))</f>
        <v/>
      </c>
      <c r="I245" s="27">
        <f>IF(C245="","",SUMIFS(tbl_Finance[Ex GST],tbl_Finance[Job Number],C245&amp;"",tbl_Finance[Xero Invoice No],"&lt;&gt;"))</f>
        <v/>
      </c>
      <c r="J245" s="27">
        <f>IF(C245="","",H245-I245)</f>
        <v/>
      </c>
      <c r="K245" s="25">
        <f>IF(C245="","",IF(G245=0,"not invoiced yet",SUBSTITUTE(TRIM(IF(COUNTIFS(tbl_Finance[Job Number],C245&amp;"",tbl_Finance[Cost Centre],"ONSITE")&gt;0,"ONSITE ","")&amp;IF(COUNTIFS(tbl_Finance[Job Number],C245&amp;"",tbl_Finance[Cost Centre],"PRODUCTION")&gt;0,"PRODUCTION ","")&amp;IF(COUNTIFS(tbl_Finance[Job Number],C245&amp;"",tbl_Finance[Cost Centre],"VIDEO")&gt;0,"VIDEO ","")&amp;IF(COUNTIFS(tbl_Finance[Job Number],C245&amp;"",tbl_Finance[Cost Centre],"INTEGRATION")&gt;0,"INTEGRATION ","")&amp;IF(COUNTIFS(tbl_Finance[Job Number],C245&amp;"",tbl_Finance[Cost Centre],"CONSULTING")&gt;0,"CONSULTING ","")&amp;IF(COUNTIFS(tbl_Finance[Job Number],C245&amp;"",tbl_Finance[Cost Centre],"CTS")&gt;0,"CTS ",""))," ",", ")))</f>
        <v/>
      </c>
      <c r="L245" s="24" t="n"/>
      <c r="M245" s="24" t="n"/>
      <c r="N245" s="25">
        <f>IF(M245="","",HYPERLINK(IF(LEFT(M245,4)="http",M245,set_QwilrBase&amp;M245),"Open quote"))</f>
        <v/>
      </c>
      <c r="O245" s="69" t="n"/>
      <c r="P245" s="24" t="n"/>
      <c r="Q245" s="24" t="n"/>
    </row>
    <row r="246" ht="15" customHeight="1">
      <c r="A246" s="68">
        <f>IF(C246="","",IFERROR(IF(SUMPRODUCT(MAX((tbl_Finance[Job Number]=C246&amp;"")*(tbl_Finance[Xero Invoice No]&lt;&gt;"")*tbl_Finance[Date]))=0,"",SUMPRODUCT(MAX((tbl_Finance[Job Number]=C246&amp;"")*(tbl_Finance[Xero Invoice No]&lt;&gt;"")*tbl_Finance[Date]))),""))</f>
        <v/>
      </c>
      <c r="B246" s="25">
        <f>IF(C246="","",IF(COUNTIFS(tbl_Finance[Job Number],C246&amp;"",tbl_Finance[Xero Invoice No],"&lt;&gt;")=0,"",IFERROR(IF(COUNTIFS(tbl_Finance[Job Number],C246&amp;"",tbl_Finance[Xero Invoice No],LOOKUP(2,1/((tbl_Finance[Job Number]=C246&amp;"")*(tbl_Finance[Xero Invoice No]&lt;&gt;"")),tbl_Finance[Xero Invoice No]))=COUNTIFS(tbl_Finance[Job Number],C246&amp;"",tbl_Finance[Xero Invoice No],"&lt;&gt;"),LOOKUP(2,1/((tbl_Finance[Job Number]=C246&amp;"")*(tbl_Finance[Xero Invoice No]&lt;&gt;"")),tbl_Finance[Xero Invoice No]),LOOKUP(2,1/((tbl_Finance[Job Number]=C246&amp;"")*(tbl_Finance[Xero Invoice No]&lt;&gt;"")),tbl_Finance[Xero Invoice No])&amp;" +more"),"")))</f>
        <v/>
      </c>
      <c r="C246" s="24" t="n"/>
      <c r="D246" s="25">
        <f>IF(C246="","",IF(COUNTIF(lst_Jobs,C246&amp;"")&gt;0,"OK","CHECK"))</f>
        <v/>
      </c>
      <c r="E246" s="25">
        <f>IF(C246="","",IFERROR(INDEX(lst_JobName,MATCH(C246&amp;"",lst_Jobs,0)),""))</f>
        <v/>
      </c>
      <c r="F246" s="25">
        <f>IF(C246="","",IFERROR(INDEX(tbl_Finance[Client],MATCH(C246&amp;"",tbl_Finance[Job Number],0)),""))</f>
        <v/>
      </c>
      <c r="G246" s="28">
        <f>IF(C246="","",COUNTIFS(tbl_Finance[Job Number],C246&amp;"",tbl_Finance[Ex GST],"&lt;&gt;"))</f>
        <v/>
      </c>
      <c r="H246" s="27">
        <f>IF(C246="","",SUMIFS(tbl_Finance[Ex GST],tbl_Finance[Job Number],C246&amp;""))</f>
        <v/>
      </c>
      <c r="I246" s="27">
        <f>IF(C246="","",SUMIFS(tbl_Finance[Ex GST],tbl_Finance[Job Number],C246&amp;"",tbl_Finance[Xero Invoice No],"&lt;&gt;"))</f>
        <v/>
      </c>
      <c r="J246" s="27">
        <f>IF(C246="","",H246-I246)</f>
        <v/>
      </c>
      <c r="K246" s="25">
        <f>IF(C246="","",IF(G246=0,"not invoiced yet",SUBSTITUTE(TRIM(IF(COUNTIFS(tbl_Finance[Job Number],C246&amp;"",tbl_Finance[Cost Centre],"ONSITE")&gt;0,"ONSITE ","")&amp;IF(COUNTIFS(tbl_Finance[Job Number],C246&amp;"",tbl_Finance[Cost Centre],"PRODUCTION")&gt;0,"PRODUCTION ","")&amp;IF(COUNTIFS(tbl_Finance[Job Number],C246&amp;"",tbl_Finance[Cost Centre],"VIDEO")&gt;0,"VIDEO ","")&amp;IF(COUNTIFS(tbl_Finance[Job Number],C246&amp;"",tbl_Finance[Cost Centre],"INTEGRATION")&gt;0,"INTEGRATION ","")&amp;IF(COUNTIFS(tbl_Finance[Job Number],C246&amp;"",tbl_Finance[Cost Centre],"CONSULTING")&gt;0,"CONSULTING ","")&amp;IF(COUNTIFS(tbl_Finance[Job Number],C246&amp;"",tbl_Finance[Cost Centre],"CTS")&gt;0,"CTS ",""))," ",", ")))</f>
        <v/>
      </c>
      <c r="L246" s="24" t="n"/>
      <c r="M246" s="24" t="n"/>
      <c r="N246" s="25">
        <f>IF(M246="","",HYPERLINK(IF(LEFT(M246,4)="http",M246,set_QwilrBase&amp;M246),"Open quote"))</f>
        <v/>
      </c>
      <c r="O246" s="69" t="n"/>
      <c r="P246" s="24" t="n"/>
      <c r="Q246" s="24" t="n"/>
    </row>
    <row r="247" ht="15" customHeight="1">
      <c r="A247" s="68">
        <f>IF(C247="","",IFERROR(IF(SUMPRODUCT(MAX((tbl_Finance[Job Number]=C247&amp;"")*(tbl_Finance[Xero Invoice No]&lt;&gt;"")*tbl_Finance[Date]))=0,"",SUMPRODUCT(MAX((tbl_Finance[Job Number]=C247&amp;"")*(tbl_Finance[Xero Invoice No]&lt;&gt;"")*tbl_Finance[Date]))),""))</f>
        <v/>
      </c>
      <c r="B247" s="25">
        <f>IF(C247="","",IF(COUNTIFS(tbl_Finance[Job Number],C247&amp;"",tbl_Finance[Xero Invoice No],"&lt;&gt;")=0,"",IFERROR(IF(COUNTIFS(tbl_Finance[Job Number],C247&amp;"",tbl_Finance[Xero Invoice No],LOOKUP(2,1/((tbl_Finance[Job Number]=C247&amp;"")*(tbl_Finance[Xero Invoice No]&lt;&gt;"")),tbl_Finance[Xero Invoice No]))=COUNTIFS(tbl_Finance[Job Number],C247&amp;"",tbl_Finance[Xero Invoice No],"&lt;&gt;"),LOOKUP(2,1/((tbl_Finance[Job Number]=C247&amp;"")*(tbl_Finance[Xero Invoice No]&lt;&gt;"")),tbl_Finance[Xero Invoice No]),LOOKUP(2,1/((tbl_Finance[Job Number]=C247&amp;"")*(tbl_Finance[Xero Invoice No]&lt;&gt;"")),tbl_Finance[Xero Invoice No])&amp;" +more"),"")))</f>
        <v/>
      </c>
      <c r="C247" s="24" t="n"/>
      <c r="D247" s="25">
        <f>IF(C247="","",IF(COUNTIF(lst_Jobs,C247&amp;"")&gt;0,"OK","CHECK"))</f>
        <v/>
      </c>
      <c r="E247" s="25">
        <f>IF(C247="","",IFERROR(INDEX(lst_JobName,MATCH(C247&amp;"",lst_Jobs,0)),""))</f>
        <v/>
      </c>
      <c r="F247" s="25">
        <f>IF(C247="","",IFERROR(INDEX(tbl_Finance[Client],MATCH(C247&amp;"",tbl_Finance[Job Number],0)),""))</f>
        <v/>
      </c>
      <c r="G247" s="28">
        <f>IF(C247="","",COUNTIFS(tbl_Finance[Job Number],C247&amp;"",tbl_Finance[Ex GST],"&lt;&gt;"))</f>
        <v/>
      </c>
      <c r="H247" s="27">
        <f>IF(C247="","",SUMIFS(tbl_Finance[Ex GST],tbl_Finance[Job Number],C247&amp;""))</f>
        <v/>
      </c>
      <c r="I247" s="27">
        <f>IF(C247="","",SUMIFS(tbl_Finance[Ex GST],tbl_Finance[Job Number],C247&amp;"",tbl_Finance[Xero Invoice No],"&lt;&gt;"))</f>
        <v/>
      </c>
      <c r="J247" s="27">
        <f>IF(C247="","",H247-I247)</f>
        <v/>
      </c>
      <c r="K247" s="25">
        <f>IF(C247="","",IF(G247=0,"not invoiced yet",SUBSTITUTE(TRIM(IF(COUNTIFS(tbl_Finance[Job Number],C247&amp;"",tbl_Finance[Cost Centre],"ONSITE")&gt;0,"ONSITE ","")&amp;IF(COUNTIFS(tbl_Finance[Job Number],C247&amp;"",tbl_Finance[Cost Centre],"PRODUCTION")&gt;0,"PRODUCTION ","")&amp;IF(COUNTIFS(tbl_Finance[Job Number],C247&amp;"",tbl_Finance[Cost Centre],"VIDEO")&gt;0,"VIDEO ","")&amp;IF(COUNTIFS(tbl_Finance[Job Number],C247&amp;"",tbl_Finance[Cost Centre],"INTEGRATION")&gt;0,"INTEGRATION ","")&amp;IF(COUNTIFS(tbl_Finance[Job Number],C247&amp;"",tbl_Finance[Cost Centre],"CONSULTING")&gt;0,"CONSULTING ","")&amp;IF(COUNTIFS(tbl_Finance[Job Number],C247&amp;"",tbl_Finance[Cost Centre],"CTS")&gt;0,"CTS ",""))," ",", ")))</f>
        <v/>
      </c>
      <c r="L247" s="24" t="n"/>
      <c r="M247" s="24" t="n"/>
      <c r="N247" s="25">
        <f>IF(M247="","",HYPERLINK(IF(LEFT(M247,4)="http",M247,set_QwilrBase&amp;M247),"Open quote"))</f>
        <v/>
      </c>
      <c r="O247" s="69" t="n"/>
      <c r="P247" s="24" t="n"/>
      <c r="Q247" s="24" t="n"/>
    </row>
    <row r="248" ht="15" customHeight="1">
      <c r="A248" s="68">
        <f>IF(C248="","",IFERROR(IF(SUMPRODUCT(MAX((tbl_Finance[Job Number]=C248&amp;"")*(tbl_Finance[Xero Invoice No]&lt;&gt;"")*tbl_Finance[Date]))=0,"",SUMPRODUCT(MAX((tbl_Finance[Job Number]=C248&amp;"")*(tbl_Finance[Xero Invoice No]&lt;&gt;"")*tbl_Finance[Date]))),""))</f>
        <v/>
      </c>
      <c r="B248" s="25">
        <f>IF(C248="","",IF(COUNTIFS(tbl_Finance[Job Number],C248&amp;"",tbl_Finance[Xero Invoice No],"&lt;&gt;")=0,"",IFERROR(IF(COUNTIFS(tbl_Finance[Job Number],C248&amp;"",tbl_Finance[Xero Invoice No],LOOKUP(2,1/((tbl_Finance[Job Number]=C248&amp;"")*(tbl_Finance[Xero Invoice No]&lt;&gt;"")),tbl_Finance[Xero Invoice No]))=COUNTIFS(tbl_Finance[Job Number],C248&amp;"",tbl_Finance[Xero Invoice No],"&lt;&gt;"),LOOKUP(2,1/((tbl_Finance[Job Number]=C248&amp;"")*(tbl_Finance[Xero Invoice No]&lt;&gt;"")),tbl_Finance[Xero Invoice No]),LOOKUP(2,1/((tbl_Finance[Job Number]=C248&amp;"")*(tbl_Finance[Xero Invoice No]&lt;&gt;"")),tbl_Finance[Xero Invoice No])&amp;" +more"),"")))</f>
        <v/>
      </c>
      <c r="C248" s="24" t="n"/>
      <c r="D248" s="25">
        <f>IF(C248="","",IF(COUNTIF(lst_Jobs,C248&amp;"")&gt;0,"OK","CHECK"))</f>
        <v/>
      </c>
      <c r="E248" s="25">
        <f>IF(C248="","",IFERROR(INDEX(lst_JobName,MATCH(C248&amp;"",lst_Jobs,0)),""))</f>
        <v/>
      </c>
      <c r="F248" s="25">
        <f>IF(C248="","",IFERROR(INDEX(tbl_Finance[Client],MATCH(C248&amp;"",tbl_Finance[Job Number],0)),""))</f>
        <v/>
      </c>
      <c r="G248" s="28">
        <f>IF(C248="","",COUNTIFS(tbl_Finance[Job Number],C248&amp;"",tbl_Finance[Ex GST],"&lt;&gt;"))</f>
        <v/>
      </c>
      <c r="H248" s="27">
        <f>IF(C248="","",SUMIFS(tbl_Finance[Ex GST],tbl_Finance[Job Number],C248&amp;""))</f>
        <v/>
      </c>
      <c r="I248" s="27">
        <f>IF(C248="","",SUMIFS(tbl_Finance[Ex GST],tbl_Finance[Job Number],C248&amp;"",tbl_Finance[Xero Invoice No],"&lt;&gt;"))</f>
        <v/>
      </c>
      <c r="J248" s="27">
        <f>IF(C248="","",H248-I248)</f>
        <v/>
      </c>
      <c r="K248" s="25">
        <f>IF(C248="","",IF(G248=0,"not invoiced yet",SUBSTITUTE(TRIM(IF(COUNTIFS(tbl_Finance[Job Number],C248&amp;"",tbl_Finance[Cost Centre],"ONSITE")&gt;0,"ONSITE ","")&amp;IF(COUNTIFS(tbl_Finance[Job Number],C248&amp;"",tbl_Finance[Cost Centre],"PRODUCTION")&gt;0,"PRODUCTION ","")&amp;IF(COUNTIFS(tbl_Finance[Job Number],C248&amp;"",tbl_Finance[Cost Centre],"VIDEO")&gt;0,"VIDEO ","")&amp;IF(COUNTIFS(tbl_Finance[Job Number],C248&amp;"",tbl_Finance[Cost Centre],"INTEGRATION")&gt;0,"INTEGRATION ","")&amp;IF(COUNTIFS(tbl_Finance[Job Number],C248&amp;"",tbl_Finance[Cost Centre],"CONSULTING")&gt;0,"CONSULTING ","")&amp;IF(COUNTIFS(tbl_Finance[Job Number],C248&amp;"",tbl_Finance[Cost Centre],"CTS")&gt;0,"CTS ",""))," ",", ")))</f>
        <v/>
      </c>
      <c r="L248" s="24" t="n"/>
      <c r="M248" s="24" t="n"/>
      <c r="N248" s="25">
        <f>IF(M248="","",HYPERLINK(IF(LEFT(M248,4)="http",M248,set_QwilrBase&amp;M248),"Open quote"))</f>
        <v/>
      </c>
      <c r="O248" s="69" t="n"/>
      <c r="P248" s="24" t="n"/>
      <c r="Q248" s="24" t="n"/>
    </row>
    <row r="249" ht="15" customHeight="1">
      <c r="A249" s="68">
        <f>IF(C249="","",IFERROR(IF(SUMPRODUCT(MAX((tbl_Finance[Job Number]=C249&amp;"")*(tbl_Finance[Xero Invoice No]&lt;&gt;"")*tbl_Finance[Date]))=0,"",SUMPRODUCT(MAX((tbl_Finance[Job Number]=C249&amp;"")*(tbl_Finance[Xero Invoice No]&lt;&gt;"")*tbl_Finance[Date]))),""))</f>
        <v/>
      </c>
      <c r="B249" s="25">
        <f>IF(C249="","",IF(COUNTIFS(tbl_Finance[Job Number],C249&amp;"",tbl_Finance[Xero Invoice No],"&lt;&gt;")=0,"",IFERROR(IF(COUNTIFS(tbl_Finance[Job Number],C249&amp;"",tbl_Finance[Xero Invoice No],LOOKUP(2,1/((tbl_Finance[Job Number]=C249&amp;"")*(tbl_Finance[Xero Invoice No]&lt;&gt;"")),tbl_Finance[Xero Invoice No]))=COUNTIFS(tbl_Finance[Job Number],C249&amp;"",tbl_Finance[Xero Invoice No],"&lt;&gt;"),LOOKUP(2,1/((tbl_Finance[Job Number]=C249&amp;"")*(tbl_Finance[Xero Invoice No]&lt;&gt;"")),tbl_Finance[Xero Invoice No]),LOOKUP(2,1/((tbl_Finance[Job Number]=C249&amp;"")*(tbl_Finance[Xero Invoice No]&lt;&gt;"")),tbl_Finance[Xero Invoice No])&amp;" +more"),"")))</f>
        <v/>
      </c>
      <c r="C249" s="24" t="n"/>
      <c r="D249" s="25">
        <f>IF(C249="","",IF(COUNTIF(lst_Jobs,C249&amp;"")&gt;0,"OK","CHECK"))</f>
        <v/>
      </c>
      <c r="E249" s="25">
        <f>IF(C249="","",IFERROR(INDEX(lst_JobName,MATCH(C249&amp;"",lst_Jobs,0)),""))</f>
        <v/>
      </c>
      <c r="F249" s="25">
        <f>IF(C249="","",IFERROR(INDEX(tbl_Finance[Client],MATCH(C249&amp;"",tbl_Finance[Job Number],0)),""))</f>
        <v/>
      </c>
      <c r="G249" s="28">
        <f>IF(C249="","",COUNTIFS(tbl_Finance[Job Number],C249&amp;"",tbl_Finance[Ex GST],"&lt;&gt;"))</f>
        <v/>
      </c>
      <c r="H249" s="27">
        <f>IF(C249="","",SUMIFS(tbl_Finance[Ex GST],tbl_Finance[Job Number],C249&amp;""))</f>
        <v/>
      </c>
      <c r="I249" s="27">
        <f>IF(C249="","",SUMIFS(tbl_Finance[Ex GST],tbl_Finance[Job Number],C249&amp;"",tbl_Finance[Xero Invoice No],"&lt;&gt;"))</f>
        <v/>
      </c>
      <c r="J249" s="27">
        <f>IF(C249="","",H249-I249)</f>
        <v/>
      </c>
      <c r="K249" s="25">
        <f>IF(C249="","",IF(G249=0,"not invoiced yet",SUBSTITUTE(TRIM(IF(COUNTIFS(tbl_Finance[Job Number],C249&amp;"",tbl_Finance[Cost Centre],"ONSITE")&gt;0,"ONSITE ","")&amp;IF(COUNTIFS(tbl_Finance[Job Number],C249&amp;"",tbl_Finance[Cost Centre],"PRODUCTION")&gt;0,"PRODUCTION ","")&amp;IF(COUNTIFS(tbl_Finance[Job Number],C249&amp;"",tbl_Finance[Cost Centre],"VIDEO")&gt;0,"VIDEO ","")&amp;IF(COUNTIFS(tbl_Finance[Job Number],C249&amp;"",tbl_Finance[Cost Centre],"INTEGRATION")&gt;0,"INTEGRATION ","")&amp;IF(COUNTIFS(tbl_Finance[Job Number],C249&amp;"",tbl_Finance[Cost Centre],"CONSULTING")&gt;0,"CONSULTING ","")&amp;IF(COUNTIFS(tbl_Finance[Job Number],C249&amp;"",tbl_Finance[Cost Centre],"CTS")&gt;0,"CTS ",""))," ",", ")))</f>
        <v/>
      </c>
      <c r="L249" s="24" t="n"/>
      <c r="M249" s="24" t="n"/>
      <c r="N249" s="25">
        <f>IF(M249="","",HYPERLINK(IF(LEFT(M249,4)="http",M249,set_QwilrBase&amp;M249),"Open quote"))</f>
        <v/>
      </c>
      <c r="O249" s="69" t="n"/>
      <c r="P249" s="24" t="n"/>
      <c r="Q249" s="24" t="n"/>
    </row>
    <row r="250" ht="15" customHeight="1">
      <c r="A250" s="68">
        <f>IF(C250="","",IFERROR(IF(SUMPRODUCT(MAX((tbl_Finance[Job Number]=C250&amp;"")*(tbl_Finance[Xero Invoice No]&lt;&gt;"")*tbl_Finance[Date]))=0,"",SUMPRODUCT(MAX((tbl_Finance[Job Number]=C250&amp;"")*(tbl_Finance[Xero Invoice No]&lt;&gt;"")*tbl_Finance[Date]))),""))</f>
        <v/>
      </c>
      <c r="B250" s="25">
        <f>IF(C250="","",IF(COUNTIFS(tbl_Finance[Job Number],C250&amp;"",tbl_Finance[Xero Invoice No],"&lt;&gt;")=0,"",IFERROR(IF(COUNTIFS(tbl_Finance[Job Number],C250&amp;"",tbl_Finance[Xero Invoice No],LOOKUP(2,1/((tbl_Finance[Job Number]=C250&amp;"")*(tbl_Finance[Xero Invoice No]&lt;&gt;"")),tbl_Finance[Xero Invoice No]))=COUNTIFS(tbl_Finance[Job Number],C250&amp;"",tbl_Finance[Xero Invoice No],"&lt;&gt;"),LOOKUP(2,1/((tbl_Finance[Job Number]=C250&amp;"")*(tbl_Finance[Xero Invoice No]&lt;&gt;"")),tbl_Finance[Xero Invoice No]),LOOKUP(2,1/((tbl_Finance[Job Number]=C250&amp;"")*(tbl_Finance[Xero Invoice No]&lt;&gt;"")),tbl_Finance[Xero Invoice No])&amp;" +more"),"")))</f>
        <v/>
      </c>
      <c r="C250" s="24" t="n"/>
      <c r="D250" s="25">
        <f>IF(C250="","",IF(COUNTIF(lst_Jobs,C250&amp;"")&gt;0,"OK","CHECK"))</f>
        <v/>
      </c>
      <c r="E250" s="25">
        <f>IF(C250="","",IFERROR(INDEX(lst_JobName,MATCH(C250&amp;"",lst_Jobs,0)),""))</f>
        <v/>
      </c>
      <c r="F250" s="25">
        <f>IF(C250="","",IFERROR(INDEX(tbl_Finance[Client],MATCH(C250&amp;"",tbl_Finance[Job Number],0)),""))</f>
        <v/>
      </c>
      <c r="G250" s="28">
        <f>IF(C250="","",COUNTIFS(tbl_Finance[Job Number],C250&amp;"",tbl_Finance[Ex GST],"&lt;&gt;"))</f>
        <v/>
      </c>
      <c r="H250" s="27">
        <f>IF(C250="","",SUMIFS(tbl_Finance[Ex GST],tbl_Finance[Job Number],C250&amp;""))</f>
        <v/>
      </c>
      <c r="I250" s="27">
        <f>IF(C250="","",SUMIFS(tbl_Finance[Ex GST],tbl_Finance[Job Number],C250&amp;"",tbl_Finance[Xero Invoice No],"&lt;&gt;"))</f>
        <v/>
      </c>
      <c r="J250" s="27">
        <f>IF(C250="","",H250-I250)</f>
        <v/>
      </c>
      <c r="K250" s="25">
        <f>IF(C250="","",IF(G250=0,"not invoiced yet",SUBSTITUTE(TRIM(IF(COUNTIFS(tbl_Finance[Job Number],C250&amp;"",tbl_Finance[Cost Centre],"ONSITE")&gt;0,"ONSITE ","")&amp;IF(COUNTIFS(tbl_Finance[Job Number],C250&amp;"",tbl_Finance[Cost Centre],"PRODUCTION")&gt;0,"PRODUCTION ","")&amp;IF(COUNTIFS(tbl_Finance[Job Number],C250&amp;"",tbl_Finance[Cost Centre],"VIDEO")&gt;0,"VIDEO ","")&amp;IF(COUNTIFS(tbl_Finance[Job Number],C250&amp;"",tbl_Finance[Cost Centre],"INTEGRATION")&gt;0,"INTEGRATION ","")&amp;IF(COUNTIFS(tbl_Finance[Job Number],C250&amp;"",tbl_Finance[Cost Centre],"CONSULTING")&gt;0,"CONSULTING ","")&amp;IF(COUNTIFS(tbl_Finance[Job Number],C250&amp;"",tbl_Finance[Cost Centre],"CTS")&gt;0,"CTS ",""))," ",", ")))</f>
        <v/>
      </c>
      <c r="L250" s="24" t="n"/>
      <c r="M250" s="24" t="n"/>
      <c r="N250" s="25">
        <f>IF(M250="","",HYPERLINK(IF(LEFT(M250,4)="http",M250,set_QwilrBase&amp;M250),"Open quote"))</f>
        <v/>
      </c>
      <c r="O250" s="69" t="n"/>
      <c r="P250" s="24" t="n"/>
      <c r="Q250" s="24" t="n"/>
    </row>
    <row r="251" ht="15" customHeight="1">
      <c r="A251" s="68">
        <f>IF(C251="","",IFERROR(IF(SUMPRODUCT(MAX((tbl_Finance[Job Number]=C251&amp;"")*(tbl_Finance[Xero Invoice No]&lt;&gt;"")*tbl_Finance[Date]))=0,"",SUMPRODUCT(MAX((tbl_Finance[Job Number]=C251&amp;"")*(tbl_Finance[Xero Invoice No]&lt;&gt;"")*tbl_Finance[Date]))),""))</f>
        <v/>
      </c>
      <c r="B251" s="25">
        <f>IF(C251="","",IF(COUNTIFS(tbl_Finance[Job Number],C251&amp;"",tbl_Finance[Xero Invoice No],"&lt;&gt;")=0,"",IFERROR(IF(COUNTIFS(tbl_Finance[Job Number],C251&amp;"",tbl_Finance[Xero Invoice No],LOOKUP(2,1/((tbl_Finance[Job Number]=C251&amp;"")*(tbl_Finance[Xero Invoice No]&lt;&gt;"")),tbl_Finance[Xero Invoice No]))=COUNTIFS(tbl_Finance[Job Number],C251&amp;"",tbl_Finance[Xero Invoice No],"&lt;&gt;"),LOOKUP(2,1/((tbl_Finance[Job Number]=C251&amp;"")*(tbl_Finance[Xero Invoice No]&lt;&gt;"")),tbl_Finance[Xero Invoice No]),LOOKUP(2,1/((tbl_Finance[Job Number]=C251&amp;"")*(tbl_Finance[Xero Invoice No]&lt;&gt;"")),tbl_Finance[Xero Invoice No])&amp;" +more"),"")))</f>
        <v/>
      </c>
      <c r="C251" s="24" t="n"/>
      <c r="D251" s="25">
        <f>IF(C251="","",IF(COUNTIF(lst_Jobs,C251&amp;"")&gt;0,"OK","CHECK"))</f>
        <v/>
      </c>
      <c r="E251" s="25">
        <f>IF(C251="","",IFERROR(INDEX(lst_JobName,MATCH(C251&amp;"",lst_Jobs,0)),""))</f>
        <v/>
      </c>
      <c r="F251" s="25">
        <f>IF(C251="","",IFERROR(INDEX(tbl_Finance[Client],MATCH(C251&amp;"",tbl_Finance[Job Number],0)),""))</f>
        <v/>
      </c>
      <c r="G251" s="28">
        <f>IF(C251="","",COUNTIFS(tbl_Finance[Job Number],C251&amp;"",tbl_Finance[Ex GST],"&lt;&gt;"))</f>
        <v/>
      </c>
      <c r="H251" s="27">
        <f>IF(C251="","",SUMIFS(tbl_Finance[Ex GST],tbl_Finance[Job Number],C251&amp;""))</f>
        <v/>
      </c>
      <c r="I251" s="27">
        <f>IF(C251="","",SUMIFS(tbl_Finance[Ex GST],tbl_Finance[Job Number],C251&amp;"",tbl_Finance[Xero Invoice No],"&lt;&gt;"))</f>
        <v/>
      </c>
      <c r="J251" s="27">
        <f>IF(C251="","",H251-I251)</f>
        <v/>
      </c>
      <c r="K251" s="25">
        <f>IF(C251="","",IF(G251=0,"not invoiced yet",SUBSTITUTE(TRIM(IF(COUNTIFS(tbl_Finance[Job Number],C251&amp;"",tbl_Finance[Cost Centre],"ONSITE")&gt;0,"ONSITE ","")&amp;IF(COUNTIFS(tbl_Finance[Job Number],C251&amp;"",tbl_Finance[Cost Centre],"PRODUCTION")&gt;0,"PRODUCTION ","")&amp;IF(COUNTIFS(tbl_Finance[Job Number],C251&amp;"",tbl_Finance[Cost Centre],"VIDEO")&gt;0,"VIDEO ","")&amp;IF(COUNTIFS(tbl_Finance[Job Number],C251&amp;"",tbl_Finance[Cost Centre],"INTEGRATION")&gt;0,"INTEGRATION ","")&amp;IF(COUNTIFS(tbl_Finance[Job Number],C251&amp;"",tbl_Finance[Cost Centre],"CONSULTING")&gt;0,"CONSULTING ","")&amp;IF(COUNTIFS(tbl_Finance[Job Number],C251&amp;"",tbl_Finance[Cost Centre],"CTS")&gt;0,"CTS ",""))," ",", ")))</f>
        <v/>
      </c>
      <c r="L251" s="24" t="n"/>
      <c r="M251" s="24" t="n"/>
      <c r="N251" s="25">
        <f>IF(M251="","",HYPERLINK(IF(LEFT(M251,4)="http",M251,set_QwilrBase&amp;M251),"Open quote"))</f>
        <v/>
      </c>
      <c r="O251" s="69" t="n"/>
      <c r="P251" s="24" t="n"/>
      <c r="Q251" s="24" t="n"/>
    </row>
    <row r="252" ht="15" customHeight="1">
      <c r="A252" s="68">
        <f>IF(C252="","",IFERROR(IF(SUMPRODUCT(MAX((tbl_Finance[Job Number]=C252&amp;"")*(tbl_Finance[Xero Invoice No]&lt;&gt;"")*tbl_Finance[Date]))=0,"",SUMPRODUCT(MAX((tbl_Finance[Job Number]=C252&amp;"")*(tbl_Finance[Xero Invoice No]&lt;&gt;"")*tbl_Finance[Date]))),""))</f>
        <v/>
      </c>
      <c r="B252" s="25">
        <f>IF(C252="","",IF(COUNTIFS(tbl_Finance[Job Number],C252&amp;"",tbl_Finance[Xero Invoice No],"&lt;&gt;")=0,"",IFERROR(IF(COUNTIFS(tbl_Finance[Job Number],C252&amp;"",tbl_Finance[Xero Invoice No],LOOKUP(2,1/((tbl_Finance[Job Number]=C252&amp;"")*(tbl_Finance[Xero Invoice No]&lt;&gt;"")),tbl_Finance[Xero Invoice No]))=COUNTIFS(tbl_Finance[Job Number],C252&amp;"",tbl_Finance[Xero Invoice No],"&lt;&gt;"),LOOKUP(2,1/((tbl_Finance[Job Number]=C252&amp;"")*(tbl_Finance[Xero Invoice No]&lt;&gt;"")),tbl_Finance[Xero Invoice No]),LOOKUP(2,1/((tbl_Finance[Job Number]=C252&amp;"")*(tbl_Finance[Xero Invoice No]&lt;&gt;"")),tbl_Finance[Xero Invoice No])&amp;" +more"),"")))</f>
        <v/>
      </c>
      <c r="C252" s="24" t="n"/>
      <c r="D252" s="25">
        <f>IF(C252="","",IF(COUNTIF(lst_Jobs,C252&amp;"")&gt;0,"OK","CHECK"))</f>
        <v/>
      </c>
      <c r="E252" s="25">
        <f>IF(C252="","",IFERROR(INDEX(lst_JobName,MATCH(C252&amp;"",lst_Jobs,0)),""))</f>
        <v/>
      </c>
      <c r="F252" s="25">
        <f>IF(C252="","",IFERROR(INDEX(tbl_Finance[Client],MATCH(C252&amp;"",tbl_Finance[Job Number],0)),""))</f>
        <v/>
      </c>
      <c r="G252" s="28">
        <f>IF(C252="","",COUNTIFS(tbl_Finance[Job Number],C252&amp;"",tbl_Finance[Ex GST],"&lt;&gt;"))</f>
        <v/>
      </c>
      <c r="H252" s="27">
        <f>IF(C252="","",SUMIFS(tbl_Finance[Ex GST],tbl_Finance[Job Number],C252&amp;""))</f>
        <v/>
      </c>
      <c r="I252" s="27">
        <f>IF(C252="","",SUMIFS(tbl_Finance[Ex GST],tbl_Finance[Job Number],C252&amp;"",tbl_Finance[Xero Invoice No],"&lt;&gt;"))</f>
        <v/>
      </c>
      <c r="J252" s="27">
        <f>IF(C252="","",H252-I252)</f>
        <v/>
      </c>
      <c r="K252" s="25">
        <f>IF(C252="","",IF(G252=0,"not invoiced yet",SUBSTITUTE(TRIM(IF(COUNTIFS(tbl_Finance[Job Number],C252&amp;"",tbl_Finance[Cost Centre],"ONSITE")&gt;0,"ONSITE ","")&amp;IF(COUNTIFS(tbl_Finance[Job Number],C252&amp;"",tbl_Finance[Cost Centre],"PRODUCTION")&gt;0,"PRODUCTION ","")&amp;IF(COUNTIFS(tbl_Finance[Job Number],C252&amp;"",tbl_Finance[Cost Centre],"VIDEO")&gt;0,"VIDEO ","")&amp;IF(COUNTIFS(tbl_Finance[Job Number],C252&amp;"",tbl_Finance[Cost Centre],"INTEGRATION")&gt;0,"INTEGRATION ","")&amp;IF(COUNTIFS(tbl_Finance[Job Number],C252&amp;"",tbl_Finance[Cost Centre],"CONSULTING")&gt;0,"CONSULTING ","")&amp;IF(COUNTIFS(tbl_Finance[Job Number],C252&amp;"",tbl_Finance[Cost Centre],"CTS")&gt;0,"CTS ",""))," ",", ")))</f>
        <v/>
      </c>
      <c r="L252" s="24" t="n"/>
      <c r="M252" s="24" t="n"/>
      <c r="N252" s="25">
        <f>IF(M252="","",HYPERLINK(IF(LEFT(M252,4)="http",M252,set_QwilrBase&amp;M252),"Open quote"))</f>
        <v/>
      </c>
      <c r="O252" s="69" t="n"/>
      <c r="P252" s="24" t="n"/>
      <c r="Q252" s="24" t="n"/>
    </row>
    <row r="253" ht="15" customHeight="1">
      <c r="A253" s="68">
        <f>IF(C253="","",IFERROR(IF(SUMPRODUCT(MAX((tbl_Finance[Job Number]=C253&amp;"")*(tbl_Finance[Xero Invoice No]&lt;&gt;"")*tbl_Finance[Date]))=0,"",SUMPRODUCT(MAX((tbl_Finance[Job Number]=C253&amp;"")*(tbl_Finance[Xero Invoice No]&lt;&gt;"")*tbl_Finance[Date]))),""))</f>
        <v/>
      </c>
      <c r="B253" s="25">
        <f>IF(C253="","",IF(COUNTIFS(tbl_Finance[Job Number],C253&amp;"",tbl_Finance[Xero Invoice No],"&lt;&gt;")=0,"",IFERROR(IF(COUNTIFS(tbl_Finance[Job Number],C253&amp;"",tbl_Finance[Xero Invoice No],LOOKUP(2,1/((tbl_Finance[Job Number]=C253&amp;"")*(tbl_Finance[Xero Invoice No]&lt;&gt;"")),tbl_Finance[Xero Invoice No]))=COUNTIFS(tbl_Finance[Job Number],C253&amp;"",tbl_Finance[Xero Invoice No],"&lt;&gt;"),LOOKUP(2,1/((tbl_Finance[Job Number]=C253&amp;"")*(tbl_Finance[Xero Invoice No]&lt;&gt;"")),tbl_Finance[Xero Invoice No]),LOOKUP(2,1/((tbl_Finance[Job Number]=C253&amp;"")*(tbl_Finance[Xero Invoice No]&lt;&gt;"")),tbl_Finance[Xero Invoice No])&amp;" +more"),"")))</f>
        <v/>
      </c>
      <c r="C253" s="24" t="n"/>
      <c r="D253" s="25">
        <f>IF(C253="","",IF(COUNTIF(lst_Jobs,C253&amp;"")&gt;0,"OK","CHECK"))</f>
        <v/>
      </c>
      <c r="E253" s="25">
        <f>IF(C253="","",IFERROR(INDEX(lst_JobName,MATCH(C253&amp;"",lst_Jobs,0)),""))</f>
        <v/>
      </c>
      <c r="F253" s="25">
        <f>IF(C253="","",IFERROR(INDEX(tbl_Finance[Client],MATCH(C253&amp;"",tbl_Finance[Job Number],0)),""))</f>
        <v/>
      </c>
      <c r="G253" s="28">
        <f>IF(C253="","",COUNTIFS(tbl_Finance[Job Number],C253&amp;"",tbl_Finance[Ex GST],"&lt;&gt;"))</f>
        <v/>
      </c>
      <c r="H253" s="27">
        <f>IF(C253="","",SUMIFS(tbl_Finance[Ex GST],tbl_Finance[Job Number],C253&amp;""))</f>
        <v/>
      </c>
      <c r="I253" s="27">
        <f>IF(C253="","",SUMIFS(tbl_Finance[Ex GST],tbl_Finance[Job Number],C253&amp;"",tbl_Finance[Xero Invoice No],"&lt;&gt;"))</f>
        <v/>
      </c>
      <c r="J253" s="27">
        <f>IF(C253="","",H253-I253)</f>
        <v/>
      </c>
      <c r="K253" s="25">
        <f>IF(C253="","",IF(G253=0,"not invoiced yet",SUBSTITUTE(TRIM(IF(COUNTIFS(tbl_Finance[Job Number],C253&amp;"",tbl_Finance[Cost Centre],"ONSITE")&gt;0,"ONSITE ","")&amp;IF(COUNTIFS(tbl_Finance[Job Number],C253&amp;"",tbl_Finance[Cost Centre],"PRODUCTION")&gt;0,"PRODUCTION ","")&amp;IF(COUNTIFS(tbl_Finance[Job Number],C253&amp;"",tbl_Finance[Cost Centre],"VIDEO")&gt;0,"VIDEO ","")&amp;IF(COUNTIFS(tbl_Finance[Job Number],C253&amp;"",tbl_Finance[Cost Centre],"INTEGRATION")&gt;0,"INTEGRATION ","")&amp;IF(COUNTIFS(tbl_Finance[Job Number],C253&amp;"",tbl_Finance[Cost Centre],"CONSULTING")&gt;0,"CONSULTING ","")&amp;IF(COUNTIFS(tbl_Finance[Job Number],C253&amp;"",tbl_Finance[Cost Centre],"CTS")&gt;0,"CTS ",""))," ",", ")))</f>
        <v/>
      </c>
      <c r="L253" s="24" t="n"/>
      <c r="M253" s="24" t="n"/>
      <c r="N253" s="25">
        <f>IF(M253="","",HYPERLINK(IF(LEFT(M253,4)="http",M253,set_QwilrBase&amp;M253),"Open quote"))</f>
        <v/>
      </c>
      <c r="O253" s="69" t="n"/>
      <c r="P253" s="24" t="n"/>
      <c r="Q253" s="24" t="n"/>
    </row>
    <row r="254" ht="15" customHeight="1">
      <c r="A254" s="68">
        <f>IF(C254="","",IFERROR(IF(SUMPRODUCT(MAX((tbl_Finance[Job Number]=C254&amp;"")*(tbl_Finance[Xero Invoice No]&lt;&gt;"")*tbl_Finance[Date]))=0,"",SUMPRODUCT(MAX((tbl_Finance[Job Number]=C254&amp;"")*(tbl_Finance[Xero Invoice No]&lt;&gt;"")*tbl_Finance[Date]))),""))</f>
        <v/>
      </c>
      <c r="B254" s="25">
        <f>IF(C254="","",IF(COUNTIFS(tbl_Finance[Job Number],C254&amp;"",tbl_Finance[Xero Invoice No],"&lt;&gt;")=0,"",IFERROR(IF(COUNTIFS(tbl_Finance[Job Number],C254&amp;"",tbl_Finance[Xero Invoice No],LOOKUP(2,1/((tbl_Finance[Job Number]=C254&amp;"")*(tbl_Finance[Xero Invoice No]&lt;&gt;"")),tbl_Finance[Xero Invoice No]))=COUNTIFS(tbl_Finance[Job Number],C254&amp;"",tbl_Finance[Xero Invoice No],"&lt;&gt;"),LOOKUP(2,1/((tbl_Finance[Job Number]=C254&amp;"")*(tbl_Finance[Xero Invoice No]&lt;&gt;"")),tbl_Finance[Xero Invoice No]),LOOKUP(2,1/((tbl_Finance[Job Number]=C254&amp;"")*(tbl_Finance[Xero Invoice No]&lt;&gt;"")),tbl_Finance[Xero Invoice No])&amp;" +more"),"")))</f>
        <v/>
      </c>
      <c r="C254" s="24" t="n"/>
      <c r="D254" s="25">
        <f>IF(C254="","",IF(COUNTIF(lst_Jobs,C254&amp;"")&gt;0,"OK","CHECK"))</f>
        <v/>
      </c>
      <c r="E254" s="25">
        <f>IF(C254="","",IFERROR(INDEX(lst_JobName,MATCH(C254&amp;"",lst_Jobs,0)),""))</f>
        <v/>
      </c>
      <c r="F254" s="25">
        <f>IF(C254="","",IFERROR(INDEX(tbl_Finance[Client],MATCH(C254&amp;"",tbl_Finance[Job Number],0)),""))</f>
        <v/>
      </c>
      <c r="G254" s="28">
        <f>IF(C254="","",COUNTIFS(tbl_Finance[Job Number],C254&amp;"",tbl_Finance[Ex GST],"&lt;&gt;"))</f>
        <v/>
      </c>
      <c r="H254" s="27">
        <f>IF(C254="","",SUMIFS(tbl_Finance[Ex GST],tbl_Finance[Job Number],C254&amp;""))</f>
        <v/>
      </c>
      <c r="I254" s="27">
        <f>IF(C254="","",SUMIFS(tbl_Finance[Ex GST],tbl_Finance[Job Number],C254&amp;"",tbl_Finance[Xero Invoice No],"&lt;&gt;"))</f>
        <v/>
      </c>
      <c r="J254" s="27">
        <f>IF(C254="","",H254-I254)</f>
        <v/>
      </c>
      <c r="K254" s="25">
        <f>IF(C254="","",IF(G254=0,"not invoiced yet",SUBSTITUTE(TRIM(IF(COUNTIFS(tbl_Finance[Job Number],C254&amp;"",tbl_Finance[Cost Centre],"ONSITE")&gt;0,"ONSITE ","")&amp;IF(COUNTIFS(tbl_Finance[Job Number],C254&amp;"",tbl_Finance[Cost Centre],"PRODUCTION")&gt;0,"PRODUCTION ","")&amp;IF(COUNTIFS(tbl_Finance[Job Number],C254&amp;"",tbl_Finance[Cost Centre],"VIDEO")&gt;0,"VIDEO ","")&amp;IF(COUNTIFS(tbl_Finance[Job Number],C254&amp;"",tbl_Finance[Cost Centre],"INTEGRATION")&gt;0,"INTEGRATION ","")&amp;IF(COUNTIFS(tbl_Finance[Job Number],C254&amp;"",tbl_Finance[Cost Centre],"CONSULTING")&gt;0,"CONSULTING ","")&amp;IF(COUNTIFS(tbl_Finance[Job Number],C254&amp;"",tbl_Finance[Cost Centre],"CTS")&gt;0,"CTS ",""))," ",", ")))</f>
        <v/>
      </c>
      <c r="L254" s="24" t="n"/>
      <c r="M254" s="24" t="n"/>
      <c r="N254" s="25">
        <f>IF(M254="","",HYPERLINK(IF(LEFT(M254,4)="http",M254,set_QwilrBase&amp;M254),"Open quote"))</f>
        <v/>
      </c>
      <c r="O254" s="69" t="n"/>
      <c r="P254" s="24" t="n"/>
      <c r="Q254" s="24" t="n"/>
    </row>
    <row r="255" ht="15" customHeight="1">
      <c r="A255" s="68">
        <f>IF(C255="","",IFERROR(IF(SUMPRODUCT(MAX((tbl_Finance[Job Number]=C255&amp;"")*(tbl_Finance[Xero Invoice No]&lt;&gt;"")*tbl_Finance[Date]))=0,"",SUMPRODUCT(MAX((tbl_Finance[Job Number]=C255&amp;"")*(tbl_Finance[Xero Invoice No]&lt;&gt;"")*tbl_Finance[Date]))),""))</f>
        <v/>
      </c>
      <c r="B255" s="25">
        <f>IF(C255="","",IF(COUNTIFS(tbl_Finance[Job Number],C255&amp;"",tbl_Finance[Xero Invoice No],"&lt;&gt;")=0,"",IFERROR(IF(COUNTIFS(tbl_Finance[Job Number],C255&amp;"",tbl_Finance[Xero Invoice No],LOOKUP(2,1/((tbl_Finance[Job Number]=C255&amp;"")*(tbl_Finance[Xero Invoice No]&lt;&gt;"")),tbl_Finance[Xero Invoice No]))=COUNTIFS(tbl_Finance[Job Number],C255&amp;"",tbl_Finance[Xero Invoice No],"&lt;&gt;"),LOOKUP(2,1/((tbl_Finance[Job Number]=C255&amp;"")*(tbl_Finance[Xero Invoice No]&lt;&gt;"")),tbl_Finance[Xero Invoice No]),LOOKUP(2,1/((tbl_Finance[Job Number]=C255&amp;"")*(tbl_Finance[Xero Invoice No]&lt;&gt;"")),tbl_Finance[Xero Invoice No])&amp;" +more"),"")))</f>
        <v/>
      </c>
      <c r="C255" s="24" t="n"/>
      <c r="D255" s="25">
        <f>IF(C255="","",IF(COUNTIF(lst_Jobs,C255&amp;"")&gt;0,"OK","CHECK"))</f>
        <v/>
      </c>
      <c r="E255" s="25">
        <f>IF(C255="","",IFERROR(INDEX(lst_JobName,MATCH(C255&amp;"",lst_Jobs,0)),""))</f>
        <v/>
      </c>
      <c r="F255" s="25">
        <f>IF(C255="","",IFERROR(INDEX(tbl_Finance[Client],MATCH(C255&amp;"",tbl_Finance[Job Number],0)),""))</f>
        <v/>
      </c>
      <c r="G255" s="28">
        <f>IF(C255="","",COUNTIFS(tbl_Finance[Job Number],C255&amp;"",tbl_Finance[Ex GST],"&lt;&gt;"))</f>
        <v/>
      </c>
      <c r="H255" s="27">
        <f>IF(C255="","",SUMIFS(tbl_Finance[Ex GST],tbl_Finance[Job Number],C255&amp;""))</f>
        <v/>
      </c>
      <c r="I255" s="27">
        <f>IF(C255="","",SUMIFS(tbl_Finance[Ex GST],tbl_Finance[Job Number],C255&amp;"",tbl_Finance[Xero Invoice No],"&lt;&gt;"))</f>
        <v/>
      </c>
      <c r="J255" s="27">
        <f>IF(C255="","",H255-I255)</f>
        <v/>
      </c>
      <c r="K255" s="25">
        <f>IF(C255="","",IF(G255=0,"not invoiced yet",SUBSTITUTE(TRIM(IF(COUNTIFS(tbl_Finance[Job Number],C255&amp;"",tbl_Finance[Cost Centre],"ONSITE")&gt;0,"ONSITE ","")&amp;IF(COUNTIFS(tbl_Finance[Job Number],C255&amp;"",tbl_Finance[Cost Centre],"PRODUCTION")&gt;0,"PRODUCTION ","")&amp;IF(COUNTIFS(tbl_Finance[Job Number],C255&amp;"",tbl_Finance[Cost Centre],"VIDEO")&gt;0,"VIDEO ","")&amp;IF(COUNTIFS(tbl_Finance[Job Number],C255&amp;"",tbl_Finance[Cost Centre],"INTEGRATION")&gt;0,"INTEGRATION ","")&amp;IF(COUNTIFS(tbl_Finance[Job Number],C255&amp;"",tbl_Finance[Cost Centre],"CONSULTING")&gt;0,"CONSULTING ","")&amp;IF(COUNTIFS(tbl_Finance[Job Number],C255&amp;"",tbl_Finance[Cost Centre],"CTS")&gt;0,"CTS ",""))," ",", ")))</f>
        <v/>
      </c>
      <c r="L255" s="24" t="n"/>
      <c r="M255" s="24" t="n"/>
      <c r="N255" s="25">
        <f>IF(M255="","",HYPERLINK(IF(LEFT(M255,4)="http",M255,set_QwilrBase&amp;M255),"Open quote"))</f>
        <v/>
      </c>
      <c r="O255" s="69" t="n"/>
      <c r="P255" s="24" t="n"/>
      <c r="Q255" s="24" t="n"/>
    </row>
    <row r="256" ht="15" customHeight="1">
      <c r="A256" s="68">
        <f>IF(C256="","",IFERROR(IF(SUMPRODUCT(MAX((tbl_Finance[Job Number]=C256&amp;"")*(tbl_Finance[Xero Invoice No]&lt;&gt;"")*tbl_Finance[Date]))=0,"",SUMPRODUCT(MAX((tbl_Finance[Job Number]=C256&amp;"")*(tbl_Finance[Xero Invoice No]&lt;&gt;"")*tbl_Finance[Date]))),""))</f>
        <v/>
      </c>
      <c r="B256" s="25">
        <f>IF(C256="","",IF(COUNTIFS(tbl_Finance[Job Number],C256&amp;"",tbl_Finance[Xero Invoice No],"&lt;&gt;")=0,"",IFERROR(IF(COUNTIFS(tbl_Finance[Job Number],C256&amp;"",tbl_Finance[Xero Invoice No],LOOKUP(2,1/((tbl_Finance[Job Number]=C256&amp;"")*(tbl_Finance[Xero Invoice No]&lt;&gt;"")),tbl_Finance[Xero Invoice No]))=COUNTIFS(tbl_Finance[Job Number],C256&amp;"",tbl_Finance[Xero Invoice No],"&lt;&gt;"),LOOKUP(2,1/((tbl_Finance[Job Number]=C256&amp;"")*(tbl_Finance[Xero Invoice No]&lt;&gt;"")),tbl_Finance[Xero Invoice No]),LOOKUP(2,1/((tbl_Finance[Job Number]=C256&amp;"")*(tbl_Finance[Xero Invoice No]&lt;&gt;"")),tbl_Finance[Xero Invoice No])&amp;" +more"),"")))</f>
        <v/>
      </c>
      <c r="C256" s="24" t="n"/>
      <c r="D256" s="25">
        <f>IF(C256="","",IF(COUNTIF(lst_Jobs,C256&amp;"")&gt;0,"OK","CHECK"))</f>
        <v/>
      </c>
      <c r="E256" s="25">
        <f>IF(C256="","",IFERROR(INDEX(lst_JobName,MATCH(C256&amp;"",lst_Jobs,0)),""))</f>
        <v/>
      </c>
      <c r="F256" s="25">
        <f>IF(C256="","",IFERROR(INDEX(tbl_Finance[Client],MATCH(C256&amp;"",tbl_Finance[Job Number],0)),""))</f>
        <v/>
      </c>
      <c r="G256" s="28">
        <f>IF(C256="","",COUNTIFS(tbl_Finance[Job Number],C256&amp;"",tbl_Finance[Ex GST],"&lt;&gt;"))</f>
        <v/>
      </c>
      <c r="H256" s="27">
        <f>IF(C256="","",SUMIFS(tbl_Finance[Ex GST],tbl_Finance[Job Number],C256&amp;""))</f>
        <v/>
      </c>
      <c r="I256" s="27">
        <f>IF(C256="","",SUMIFS(tbl_Finance[Ex GST],tbl_Finance[Job Number],C256&amp;"",tbl_Finance[Xero Invoice No],"&lt;&gt;"))</f>
        <v/>
      </c>
      <c r="J256" s="27">
        <f>IF(C256="","",H256-I256)</f>
        <v/>
      </c>
      <c r="K256" s="25">
        <f>IF(C256="","",IF(G256=0,"not invoiced yet",SUBSTITUTE(TRIM(IF(COUNTIFS(tbl_Finance[Job Number],C256&amp;"",tbl_Finance[Cost Centre],"ONSITE")&gt;0,"ONSITE ","")&amp;IF(COUNTIFS(tbl_Finance[Job Number],C256&amp;"",tbl_Finance[Cost Centre],"PRODUCTION")&gt;0,"PRODUCTION ","")&amp;IF(COUNTIFS(tbl_Finance[Job Number],C256&amp;"",tbl_Finance[Cost Centre],"VIDEO")&gt;0,"VIDEO ","")&amp;IF(COUNTIFS(tbl_Finance[Job Number],C256&amp;"",tbl_Finance[Cost Centre],"INTEGRATION")&gt;0,"INTEGRATION ","")&amp;IF(COUNTIFS(tbl_Finance[Job Number],C256&amp;"",tbl_Finance[Cost Centre],"CONSULTING")&gt;0,"CONSULTING ","")&amp;IF(COUNTIFS(tbl_Finance[Job Number],C256&amp;"",tbl_Finance[Cost Centre],"CTS")&gt;0,"CTS ",""))," ",", ")))</f>
        <v/>
      </c>
      <c r="L256" s="24" t="n"/>
      <c r="M256" s="24" t="n"/>
      <c r="N256" s="25">
        <f>IF(M256="","",HYPERLINK(IF(LEFT(M256,4)="http",M256,set_QwilrBase&amp;M256),"Open quote"))</f>
        <v/>
      </c>
      <c r="O256" s="69" t="n"/>
      <c r="P256" s="24" t="n"/>
      <c r="Q256" s="24" t="n"/>
    </row>
    <row r="257" ht="15" customHeight="1">
      <c r="A257" s="68">
        <f>IF(C257="","",IFERROR(IF(SUMPRODUCT(MAX((tbl_Finance[Job Number]=C257&amp;"")*(tbl_Finance[Xero Invoice No]&lt;&gt;"")*tbl_Finance[Date]))=0,"",SUMPRODUCT(MAX((tbl_Finance[Job Number]=C257&amp;"")*(tbl_Finance[Xero Invoice No]&lt;&gt;"")*tbl_Finance[Date]))),""))</f>
        <v/>
      </c>
      <c r="B257" s="25">
        <f>IF(C257="","",IF(COUNTIFS(tbl_Finance[Job Number],C257&amp;"",tbl_Finance[Xero Invoice No],"&lt;&gt;")=0,"",IFERROR(IF(COUNTIFS(tbl_Finance[Job Number],C257&amp;"",tbl_Finance[Xero Invoice No],LOOKUP(2,1/((tbl_Finance[Job Number]=C257&amp;"")*(tbl_Finance[Xero Invoice No]&lt;&gt;"")),tbl_Finance[Xero Invoice No]))=COUNTIFS(tbl_Finance[Job Number],C257&amp;"",tbl_Finance[Xero Invoice No],"&lt;&gt;"),LOOKUP(2,1/((tbl_Finance[Job Number]=C257&amp;"")*(tbl_Finance[Xero Invoice No]&lt;&gt;"")),tbl_Finance[Xero Invoice No]),LOOKUP(2,1/((tbl_Finance[Job Number]=C257&amp;"")*(tbl_Finance[Xero Invoice No]&lt;&gt;"")),tbl_Finance[Xero Invoice No])&amp;" +more"),"")))</f>
        <v/>
      </c>
      <c r="C257" s="24" t="n"/>
      <c r="D257" s="25">
        <f>IF(C257="","",IF(COUNTIF(lst_Jobs,C257&amp;"")&gt;0,"OK","CHECK"))</f>
        <v/>
      </c>
      <c r="E257" s="25">
        <f>IF(C257="","",IFERROR(INDEX(lst_JobName,MATCH(C257&amp;"",lst_Jobs,0)),""))</f>
        <v/>
      </c>
      <c r="F257" s="25">
        <f>IF(C257="","",IFERROR(INDEX(tbl_Finance[Client],MATCH(C257&amp;"",tbl_Finance[Job Number],0)),""))</f>
        <v/>
      </c>
      <c r="G257" s="28">
        <f>IF(C257="","",COUNTIFS(tbl_Finance[Job Number],C257&amp;"",tbl_Finance[Ex GST],"&lt;&gt;"))</f>
        <v/>
      </c>
      <c r="H257" s="27">
        <f>IF(C257="","",SUMIFS(tbl_Finance[Ex GST],tbl_Finance[Job Number],C257&amp;""))</f>
        <v/>
      </c>
      <c r="I257" s="27">
        <f>IF(C257="","",SUMIFS(tbl_Finance[Ex GST],tbl_Finance[Job Number],C257&amp;"",tbl_Finance[Xero Invoice No],"&lt;&gt;"))</f>
        <v/>
      </c>
      <c r="J257" s="27">
        <f>IF(C257="","",H257-I257)</f>
        <v/>
      </c>
      <c r="K257" s="25">
        <f>IF(C257="","",IF(G257=0,"not invoiced yet",SUBSTITUTE(TRIM(IF(COUNTIFS(tbl_Finance[Job Number],C257&amp;"",tbl_Finance[Cost Centre],"ONSITE")&gt;0,"ONSITE ","")&amp;IF(COUNTIFS(tbl_Finance[Job Number],C257&amp;"",tbl_Finance[Cost Centre],"PRODUCTION")&gt;0,"PRODUCTION ","")&amp;IF(COUNTIFS(tbl_Finance[Job Number],C257&amp;"",tbl_Finance[Cost Centre],"VIDEO")&gt;0,"VIDEO ","")&amp;IF(COUNTIFS(tbl_Finance[Job Number],C257&amp;"",tbl_Finance[Cost Centre],"INTEGRATION")&gt;0,"INTEGRATION ","")&amp;IF(COUNTIFS(tbl_Finance[Job Number],C257&amp;"",tbl_Finance[Cost Centre],"CONSULTING")&gt;0,"CONSULTING ","")&amp;IF(COUNTIFS(tbl_Finance[Job Number],C257&amp;"",tbl_Finance[Cost Centre],"CTS")&gt;0,"CTS ",""))," ",", ")))</f>
        <v/>
      </c>
      <c r="L257" s="24" t="n"/>
      <c r="M257" s="24" t="n"/>
      <c r="N257" s="25">
        <f>IF(M257="","",HYPERLINK(IF(LEFT(M257,4)="http",M257,set_QwilrBase&amp;M257),"Open quote"))</f>
        <v/>
      </c>
      <c r="O257" s="69" t="n"/>
      <c r="P257" s="24" t="n"/>
      <c r="Q257" s="24" t="n"/>
    </row>
    <row r="258" ht="15" customHeight="1">
      <c r="A258" s="68">
        <f>IF(C258="","",IFERROR(IF(SUMPRODUCT(MAX((tbl_Finance[Job Number]=C258&amp;"")*(tbl_Finance[Xero Invoice No]&lt;&gt;"")*tbl_Finance[Date]))=0,"",SUMPRODUCT(MAX((tbl_Finance[Job Number]=C258&amp;"")*(tbl_Finance[Xero Invoice No]&lt;&gt;"")*tbl_Finance[Date]))),""))</f>
        <v/>
      </c>
      <c r="B258" s="25">
        <f>IF(C258="","",IF(COUNTIFS(tbl_Finance[Job Number],C258&amp;"",tbl_Finance[Xero Invoice No],"&lt;&gt;")=0,"",IFERROR(IF(COUNTIFS(tbl_Finance[Job Number],C258&amp;"",tbl_Finance[Xero Invoice No],LOOKUP(2,1/((tbl_Finance[Job Number]=C258&amp;"")*(tbl_Finance[Xero Invoice No]&lt;&gt;"")),tbl_Finance[Xero Invoice No]))=COUNTIFS(tbl_Finance[Job Number],C258&amp;"",tbl_Finance[Xero Invoice No],"&lt;&gt;"),LOOKUP(2,1/((tbl_Finance[Job Number]=C258&amp;"")*(tbl_Finance[Xero Invoice No]&lt;&gt;"")),tbl_Finance[Xero Invoice No]),LOOKUP(2,1/((tbl_Finance[Job Number]=C258&amp;"")*(tbl_Finance[Xero Invoice No]&lt;&gt;"")),tbl_Finance[Xero Invoice No])&amp;" +more"),"")))</f>
        <v/>
      </c>
      <c r="C258" s="24" t="n"/>
      <c r="D258" s="25">
        <f>IF(C258="","",IF(COUNTIF(lst_Jobs,C258&amp;"")&gt;0,"OK","CHECK"))</f>
        <v/>
      </c>
      <c r="E258" s="25">
        <f>IF(C258="","",IFERROR(INDEX(lst_JobName,MATCH(C258&amp;"",lst_Jobs,0)),""))</f>
        <v/>
      </c>
      <c r="F258" s="25">
        <f>IF(C258="","",IFERROR(INDEX(tbl_Finance[Client],MATCH(C258&amp;"",tbl_Finance[Job Number],0)),""))</f>
        <v/>
      </c>
      <c r="G258" s="28">
        <f>IF(C258="","",COUNTIFS(tbl_Finance[Job Number],C258&amp;"",tbl_Finance[Ex GST],"&lt;&gt;"))</f>
        <v/>
      </c>
      <c r="H258" s="27">
        <f>IF(C258="","",SUMIFS(tbl_Finance[Ex GST],tbl_Finance[Job Number],C258&amp;""))</f>
        <v/>
      </c>
      <c r="I258" s="27">
        <f>IF(C258="","",SUMIFS(tbl_Finance[Ex GST],tbl_Finance[Job Number],C258&amp;"",tbl_Finance[Xero Invoice No],"&lt;&gt;"))</f>
        <v/>
      </c>
      <c r="J258" s="27">
        <f>IF(C258="","",H258-I258)</f>
        <v/>
      </c>
      <c r="K258" s="25">
        <f>IF(C258="","",IF(G258=0,"not invoiced yet",SUBSTITUTE(TRIM(IF(COUNTIFS(tbl_Finance[Job Number],C258&amp;"",tbl_Finance[Cost Centre],"ONSITE")&gt;0,"ONSITE ","")&amp;IF(COUNTIFS(tbl_Finance[Job Number],C258&amp;"",tbl_Finance[Cost Centre],"PRODUCTION")&gt;0,"PRODUCTION ","")&amp;IF(COUNTIFS(tbl_Finance[Job Number],C258&amp;"",tbl_Finance[Cost Centre],"VIDEO")&gt;0,"VIDEO ","")&amp;IF(COUNTIFS(tbl_Finance[Job Number],C258&amp;"",tbl_Finance[Cost Centre],"INTEGRATION")&gt;0,"INTEGRATION ","")&amp;IF(COUNTIFS(tbl_Finance[Job Number],C258&amp;"",tbl_Finance[Cost Centre],"CONSULTING")&gt;0,"CONSULTING ","")&amp;IF(COUNTIFS(tbl_Finance[Job Number],C258&amp;"",tbl_Finance[Cost Centre],"CTS")&gt;0,"CTS ",""))," ",", ")))</f>
        <v/>
      </c>
      <c r="L258" s="24" t="n"/>
      <c r="M258" s="24" t="n"/>
      <c r="N258" s="25">
        <f>IF(M258="","",HYPERLINK(IF(LEFT(M258,4)="http",M258,set_QwilrBase&amp;M258),"Open quote"))</f>
        <v/>
      </c>
      <c r="O258" s="69" t="n"/>
      <c r="P258" s="24" t="n"/>
      <c r="Q258" s="24" t="n"/>
    </row>
    <row r="259" ht="15" customHeight="1">
      <c r="A259" s="68">
        <f>IF(C259="","",IFERROR(IF(SUMPRODUCT(MAX((tbl_Finance[Job Number]=C259&amp;"")*(tbl_Finance[Xero Invoice No]&lt;&gt;"")*tbl_Finance[Date]))=0,"",SUMPRODUCT(MAX((tbl_Finance[Job Number]=C259&amp;"")*(tbl_Finance[Xero Invoice No]&lt;&gt;"")*tbl_Finance[Date]))),""))</f>
        <v/>
      </c>
      <c r="B259" s="25">
        <f>IF(C259="","",IF(COUNTIFS(tbl_Finance[Job Number],C259&amp;"",tbl_Finance[Xero Invoice No],"&lt;&gt;")=0,"",IFERROR(IF(COUNTIFS(tbl_Finance[Job Number],C259&amp;"",tbl_Finance[Xero Invoice No],LOOKUP(2,1/((tbl_Finance[Job Number]=C259&amp;"")*(tbl_Finance[Xero Invoice No]&lt;&gt;"")),tbl_Finance[Xero Invoice No]))=COUNTIFS(tbl_Finance[Job Number],C259&amp;"",tbl_Finance[Xero Invoice No],"&lt;&gt;"),LOOKUP(2,1/((tbl_Finance[Job Number]=C259&amp;"")*(tbl_Finance[Xero Invoice No]&lt;&gt;"")),tbl_Finance[Xero Invoice No]),LOOKUP(2,1/((tbl_Finance[Job Number]=C259&amp;"")*(tbl_Finance[Xero Invoice No]&lt;&gt;"")),tbl_Finance[Xero Invoice No])&amp;" +more"),"")))</f>
        <v/>
      </c>
      <c r="C259" s="24" t="n"/>
      <c r="D259" s="25">
        <f>IF(C259="","",IF(COUNTIF(lst_Jobs,C259&amp;"")&gt;0,"OK","CHECK"))</f>
        <v/>
      </c>
      <c r="E259" s="25">
        <f>IF(C259="","",IFERROR(INDEX(lst_JobName,MATCH(C259&amp;"",lst_Jobs,0)),""))</f>
        <v/>
      </c>
      <c r="F259" s="25">
        <f>IF(C259="","",IFERROR(INDEX(tbl_Finance[Client],MATCH(C259&amp;"",tbl_Finance[Job Number],0)),""))</f>
        <v/>
      </c>
      <c r="G259" s="28">
        <f>IF(C259="","",COUNTIFS(tbl_Finance[Job Number],C259&amp;"",tbl_Finance[Ex GST],"&lt;&gt;"))</f>
        <v/>
      </c>
      <c r="H259" s="27">
        <f>IF(C259="","",SUMIFS(tbl_Finance[Ex GST],tbl_Finance[Job Number],C259&amp;""))</f>
        <v/>
      </c>
      <c r="I259" s="27">
        <f>IF(C259="","",SUMIFS(tbl_Finance[Ex GST],tbl_Finance[Job Number],C259&amp;"",tbl_Finance[Xero Invoice No],"&lt;&gt;"))</f>
        <v/>
      </c>
      <c r="J259" s="27">
        <f>IF(C259="","",H259-I259)</f>
        <v/>
      </c>
      <c r="K259" s="25">
        <f>IF(C259="","",IF(G259=0,"not invoiced yet",SUBSTITUTE(TRIM(IF(COUNTIFS(tbl_Finance[Job Number],C259&amp;"",tbl_Finance[Cost Centre],"ONSITE")&gt;0,"ONSITE ","")&amp;IF(COUNTIFS(tbl_Finance[Job Number],C259&amp;"",tbl_Finance[Cost Centre],"PRODUCTION")&gt;0,"PRODUCTION ","")&amp;IF(COUNTIFS(tbl_Finance[Job Number],C259&amp;"",tbl_Finance[Cost Centre],"VIDEO")&gt;0,"VIDEO ","")&amp;IF(COUNTIFS(tbl_Finance[Job Number],C259&amp;"",tbl_Finance[Cost Centre],"INTEGRATION")&gt;0,"INTEGRATION ","")&amp;IF(COUNTIFS(tbl_Finance[Job Number],C259&amp;"",tbl_Finance[Cost Centre],"CONSULTING")&gt;0,"CONSULTING ","")&amp;IF(COUNTIFS(tbl_Finance[Job Number],C259&amp;"",tbl_Finance[Cost Centre],"CTS")&gt;0,"CTS ",""))," ",", ")))</f>
        <v/>
      </c>
      <c r="L259" s="24" t="n"/>
      <c r="M259" s="24" t="n"/>
      <c r="N259" s="25">
        <f>IF(M259="","",HYPERLINK(IF(LEFT(M259,4)="http",M259,set_QwilrBase&amp;M259),"Open quote"))</f>
        <v/>
      </c>
      <c r="O259" s="69" t="n"/>
      <c r="P259" s="24" t="n"/>
      <c r="Q259" s="24" t="n"/>
    </row>
    <row r="260" ht="15" customHeight="1">
      <c r="A260" s="68">
        <f>IF(C260="","",IFERROR(IF(SUMPRODUCT(MAX((tbl_Finance[Job Number]=C260&amp;"")*(tbl_Finance[Xero Invoice No]&lt;&gt;"")*tbl_Finance[Date]))=0,"",SUMPRODUCT(MAX((tbl_Finance[Job Number]=C260&amp;"")*(tbl_Finance[Xero Invoice No]&lt;&gt;"")*tbl_Finance[Date]))),""))</f>
        <v/>
      </c>
      <c r="B260" s="25">
        <f>IF(C260="","",IF(COUNTIFS(tbl_Finance[Job Number],C260&amp;"",tbl_Finance[Xero Invoice No],"&lt;&gt;")=0,"",IFERROR(IF(COUNTIFS(tbl_Finance[Job Number],C260&amp;"",tbl_Finance[Xero Invoice No],LOOKUP(2,1/((tbl_Finance[Job Number]=C260&amp;"")*(tbl_Finance[Xero Invoice No]&lt;&gt;"")),tbl_Finance[Xero Invoice No]))=COUNTIFS(tbl_Finance[Job Number],C260&amp;"",tbl_Finance[Xero Invoice No],"&lt;&gt;"),LOOKUP(2,1/((tbl_Finance[Job Number]=C260&amp;"")*(tbl_Finance[Xero Invoice No]&lt;&gt;"")),tbl_Finance[Xero Invoice No]),LOOKUP(2,1/((tbl_Finance[Job Number]=C260&amp;"")*(tbl_Finance[Xero Invoice No]&lt;&gt;"")),tbl_Finance[Xero Invoice No])&amp;" +more"),"")))</f>
        <v/>
      </c>
      <c r="C260" s="24" t="n"/>
      <c r="D260" s="25">
        <f>IF(C260="","",IF(COUNTIF(lst_Jobs,C260&amp;"")&gt;0,"OK","CHECK"))</f>
        <v/>
      </c>
      <c r="E260" s="25">
        <f>IF(C260="","",IFERROR(INDEX(lst_JobName,MATCH(C260&amp;"",lst_Jobs,0)),""))</f>
        <v/>
      </c>
      <c r="F260" s="25">
        <f>IF(C260="","",IFERROR(INDEX(tbl_Finance[Client],MATCH(C260&amp;"",tbl_Finance[Job Number],0)),""))</f>
        <v/>
      </c>
      <c r="G260" s="28">
        <f>IF(C260="","",COUNTIFS(tbl_Finance[Job Number],C260&amp;"",tbl_Finance[Ex GST],"&lt;&gt;"))</f>
        <v/>
      </c>
      <c r="H260" s="27">
        <f>IF(C260="","",SUMIFS(tbl_Finance[Ex GST],tbl_Finance[Job Number],C260&amp;""))</f>
        <v/>
      </c>
      <c r="I260" s="27">
        <f>IF(C260="","",SUMIFS(tbl_Finance[Ex GST],tbl_Finance[Job Number],C260&amp;"",tbl_Finance[Xero Invoice No],"&lt;&gt;"))</f>
        <v/>
      </c>
      <c r="J260" s="27">
        <f>IF(C260="","",H260-I260)</f>
        <v/>
      </c>
      <c r="K260" s="25">
        <f>IF(C260="","",IF(G260=0,"not invoiced yet",SUBSTITUTE(TRIM(IF(COUNTIFS(tbl_Finance[Job Number],C260&amp;"",tbl_Finance[Cost Centre],"ONSITE")&gt;0,"ONSITE ","")&amp;IF(COUNTIFS(tbl_Finance[Job Number],C260&amp;"",tbl_Finance[Cost Centre],"PRODUCTION")&gt;0,"PRODUCTION ","")&amp;IF(COUNTIFS(tbl_Finance[Job Number],C260&amp;"",tbl_Finance[Cost Centre],"VIDEO")&gt;0,"VIDEO ","")&amp;IF(COUNTIFS(tbl_Finance[Job Number],C260&amp;"",tbl_Finance[Cost Centre],"INTEGRATION")&gt;0,"INTEGRATION ","")&amp;IF(COUNTIFS(tbl_Finance[Job Number],C260&amp;"",tbl_Finance[Cost Centre],"CONSULTING")&gt;0,"CONSULTING ","")&amp;IF(COUNTIFS(tbl_Finance[Job Number],C260&amp;"",tbl_Finance[Cost Centre],"CTS")&gt;0,"CTS ",""))," ",", ")))</f>
        <v/>
      </c>
      <c r="L260" s="24" t="n"/>
      <c r="M260" s="24" t="n"/>
      <c r="N260" s="25">
        <f>IF(M260="","",HYPERLINK(IF(LEFT(M260,4)="http",M260,set_QwilrBase&amp;M260),"Open quote"))</f>
        <v/>
      </c>
      <c r="O260" s="69" t="n"/>
      <c r="P260" s="24" t="n"/>
      <c r="Q260" s="24" t="n"/>
    </row>
    <row r="261" ht="15" customHeight="1">
      <c r="A261" s="68">
        <f>IF(C261="","",IFERROR(IF(SUMPRODUCT(MAX((tbl_Finance[Job Number]=C261&amp;"")*(tbl_Finance[Xero Invoice No]&lt;&gt;"")*tbl_Finance[Date]))=0,"",SUMPRODUCT(MAX((tbl_Finance[Job Number]=C261&amp;"")*(tbl_Finance[Xero Invoice No]&lt;&gt;"")*tbl_Finance[Date]))),""))</f>
        <v/>
      </c>
      <c r="B261" s="25">
        <f>IF(C261="","",IF(COUNTIFS(tbl_Finance[Job Number],C261&amp;"",tbl_Finance[Xero Invoice No],"&lt;&gt;")=0,"",IFERROR(IF(COUNTIFS(tbl_Finance[Job Number],C261&amp;"",tbl_Finance[Xero Invoice No],LOOKUP(2,1/((tbl_Finance[Job Number]=C261&amp;"")*(tbl_Finance[Xero Invoice No]&lt;&gt;"")),tbl_Finance[Xero Invoice No]))=COUNTIFS(tbl_Finance[Job Number],C261&amp;"",tbl_Finance[Xero Invoice No],"&lt;&gt;"),LOOKUP(2,1/((tbl_Finance[Job Number]=C261&amp;"")*(tbl_Finance[Xero Invoice No]&lt;&gt;"")),tbl_Finance[Xero Invoice No]),LOOKUP(2,1/((tbl_Finance[Job Number]=C261&amp;"")*(tbl_Finance[Xero Invoice No]&lt;&gt;"")),tbl_Finance[Xero Invoice No])&amp;" +more"),"")))</f>
        <v/>
      </c>
      <c r="C261" s="24" t="n"/>
      <c r="D261" s="25">
        <f>IF(C261="","",IF(COUNTIF(lst_Jobs,C261&amp;"")&gt;0,"OK","CHECK"))</f>
        <v/>
      </c>
      <c r="E261" s="25">
        <f>IF(C261="","",IFERROR(INDEX(lst_JobName,MATCH(C261&amp;"",lst_Jobs,0)),""))</f>
        <v/>
      </c>
      <c r="F261" s="25">
        <f>IF(C261="","",IFERROR(INDEX(tbl_Finance[Client],MATCH(C261&amp;"",tbl_Finance[Job Number],0)),""))</f>
        <v/>
      </c>
      <c r="G261" s="28">
        <f>IF(C261="","",COUNTIFS(tbl_Finance[Job Number],C261&amp;"",tbl_Finance[Ex GST],"&lt;&gt;"))</f>
        <v/>
      </c>
      <c r="H261" s="27">
        <f>IF(C261="","",SUMIFS(tbl_Finance[Ex GST],tbl_Finance[Job Number],C261&amp;""))</f>
        <v/>
      </c>
      <c r="I261" s="27">
        <f>IF(C261="","",SUMIFS(tbl_Finance[Ex GST],tbl_Finance[Job Number],C261&amp;"",tbl_Finance[Xero Invoice No],"&lt;&gt;"))</f>
        <v/>
      </c>
      <c r="J261" s="27">
        <f>IF(C261="","",H261-I261)</f>
        <v/>
      </c>
      <c r="K261" s="25">
        <f>IF(C261="","",IF(G261=0,"not invoiced yet",SUBSTITUTE(TRIM(IF(COUNTIFS(tbl_Finance[Job Number],C261&amp;"",tbl_Finance[Cost Centre],"ONSITE")&gt;0,"ONSITE ","")&amp;IF(COUNTIFS(tbl_Finance[Job Number],C261&amp;"",tbl_Finance[Cost Centre],"PRODUCTION")&gt;0,"PRODUCTION ","")&amp;IF(COUNTIFS(tbl_Finance[Job Number],C261&amp;"",tbl_Finance[Cost Centre],"VIDEO")&gt;0,"VIDEO ","")&amp;IF(COUNTIFS(tbl_Finance[Job Number],C261&amp;"",tbl_Finance[Cost Centre],"INTEGRATION")&gt;0,"INTEGRATION ","")&amp;IF(COUNTIFS(tbl_Finance[Job Number],C261&amp;"",tbl_Finance[Cost Centre],"CONSULTING")&gt;0,"CONSULTING ","")&amp;IF(COUNTIFS(tbl_Finance[Job Number],C261&amp;"",tbl_Finance[Cost Centre],"CTS")&gt;0,"CTS ",""))," ",", ")))</f>
        <v/>
      </c>
      <c r="L261" s="24" t="n"/>
      <c r="M261" s="24" t="n"/>
      <c r="N261" s="25">
        <f>IF(M261="","",HYPERLINK(IF(LEFT(M261,4)="http",M261,set_QwilrBase&amp;M261),"Open quote"))</f>
        <v/>
      </c>
      <c r="O261" s="69" t="n"/>
      <c r="P261" s="24" t="n"/>
      <c r="Q261" s="24" t="n"/>
    </row>
    <row r="262" ht="15" customHeight="1">
      <c r="A262" s="68">
        <f>IF(C262="","",IFERROR(IF(SUMPRODUCT(MAX((tbl_Finance[Job Number]=C262&amp;"")*(tbl_Finance[Xero Invoice No]&lt;&gt;"")*tbl_Finance[Date]))=0,"",SUMPRODUCT(MAX((tbl_Finance[Job Number]=C262&amp;"")*(tbl_Finance[Xero Invoice No]&lt;&gt;"")*tbl_Finance[Date]))),""))</f>
        <v/>
      </c>
      <c r="B262" s="25">
        <f>IF(C262="","",IF(COUNTIFS(tbl_Finance[Job Number],C262&amp;"",tbl_Finance[Xero Invoice No],"&lt;&gt;")=0,"",IFERROR(IF(COUNTIFS(tbl_Finance[Job Number],C262&amp;"",tbl_Finance[Xero Invoice No],LOOKUP(2,1/((tbl_Finance[Job Number]=C262&amp;"")*(tbl_Finance[Xero Invoice No]&lt;&gt;"")),tbl_Finance[Xero Invoice No]))=COUNTIFS(tbl_Finance[Job Number],C262&amp;"",tbl_Finance[Xero Invoice No],"&lt;&gt;"),LOOKUP(2,1/((tbl_Finance[Job Number]=C262&amp;"")*(tbl_Finance[Xero Invoice No]&lt;&gt;"")),tbl_Finance[Xero Invoice No]),LOOKUP(2,1/((tbl_Finance[Job Number]=C262&amp;"")*(tbl_Finance[Xero Invoice No]&lt;&gt;"")),tbl_Finance[Xero Invoice No])&amp;" +more"),"")))</f>
        <v/>
      </c>
      <c r="C262" s="24" t="n"/>
      <c r="D262" s="25">
        <f>IF(C262="","",IF(COUNTIF(lst_Jobs,C262&amp;"")&gt;0,"OK","CHECK"))</f>
        <v/>
      </c>
      <c r="E262" s="25">
        <f>IF(C262="","",IFERROR(INDEX(lst_JobName,MATCH(C262&amp;"",lst_Jobs,0)),""))</f>
        <v/>
      </c>
      <c r="F262" s="25">
        <f>IF(C262="","",IFERROR(INDEX(tbl_Finance[Client],MATCH(C262&amp;"",tbl_Finance[Job Number],0)),""))</f>
        <v/>
      </c>
      <c r="G262" s="28">
        <f>IF(C262="","",COUNTIFS(tbl_Finance[Job Number],C262&amp;"",tbl_Finance[Ex GST],"&lt;&gt;"))</f>
        <v/>
      </c>
      <c r="H262" s="27">
        <f>IF(C262="","",SUMIFS(tbl_Finance[Ex GST],tbl_Finance[Job Number],C262&amp;""))</f>
        <v/>
      </c>
      <c r="I262" s="27">
        <f>IF(C262="","",SUMIFS(tbl_Finance[Ex GST],tbl_Finance[Job Number],C262&amp;"",tbl_Finance[Xero Invoice No],"&lt;&gt;"))</f>
        <v/>
      </c>
      <c r="J262" s="27">
        <f>IF(C262="","",H262-I262)</f>
        <v/>
      </c>
      <c r="K262" s="25">
        <f>IF(C262="","",IF(G262=0,"not invoiced yet",SUBSTITUTE(TRIM(IF(COUNTIFS(tbl_Finance[Job Number],C262&amp;"",tbl_Finance[Cost Centre],"ONSITE")&gt;0,"ONSITE ","")&amp;IF(COUNTIFS(tbl_Finance[Job Number],C262&amp;"",tbl_Finance[Cost Centre],"PRODUCTION")&gt;0,"PRODUCTION ","")&amp;IF(COUNTIFS(tbl_Finance[Job Number],C262&amp;"",tbl_Finance[Cost Centre],"VIDEO")&gt;0,"VIDEO ","")&amp;IF(COUNTIFS(tbl_Finance[Job Number],C262&amp;"",tbl_Finance[Cost Centre],"INTEGRATION")&gt;0,"INTEGRATION ","")&amp;IF(COUNTIFS(tbl_Finance[Job Number],C262&amp;"",tbl_Finance[Cost Centre],"CONSULTING")&gt;0,"CONSULTING ","")&amp;IF(COUNTIFS(tbl_Finance[Job Number],C262&amp;"",tbl_Finance[Cost Centre],"CTS")&gt;0,"CTS ",""))," ",", ")))</f>
        <v/>
      </c>
      <c r="L262" s="24" t="n"/>
      <c r="M262" s="24" t="n"/>
      <c r="N262" s="25">
        <f>IF(M262="","",HYPERLINK(IF(LEFT(M262,4)="http",M262,set_QwilrBase&amp;M262),"Open quote"))</f>
        <v/>
      </c>
      <c r="O262" s="69" t="n"/>
      <c r="P262" s="24" t="n"/>
      <c r="Q262" s="24" t="n"/>
    </row>
    <row r="263" ht="15" customHeight="1">
      <c r="A263" s="68">
        <f>IF(C263="","",IFERROR(IF(SUMPRODUCT(MAX((tbl_Finance[Job Number]=C263&amp;"")*(tbl_Finance[Xero Invoice No]&lt;&gt;"")*tbl_Finance[Date]))=0,"",SUMPRODUCT(MAX((tbl_Finance[Job Number]=C263&amp;"")*(tbl_Finance[Xero Invoice No]&lt;&gt;"")*tbl_Finance[Date]))),""))</f>
        <v/>
      </c>
      <c r="B263" s="25">
        <f>IF(C263="","",IF(COUNTIFS(tbl_Finance[Job Number],C263&amp;"",tbl_Finance[Xero Invoice No],"&lt;&gt;")=0,"",IFERROR(IF(COUNTIFS(tbl_Finance[Job Number],C263&amp;"",tbl_Finance[Xero Invoice No],LOOKUP(2,1/((tbl_Finance[Job Number]=C263&amp;"")*(tbl_Finance[Xero Invoice No]&lt;&gt;"")),tbl_Finance[Xero Invoice No]))=COUNTIFS(tbl_Finance[Job Number],C263&amp;"",tbl_Finance[Xero Invoice No],"&lt;&gt;"),LOOKUP(2,1/((tbl_Finance[Job Number]=C263&amp;"")*(tbl_Finance[Xero Invoice No]&lt;&gt;"")),tbl_Finance[Xero Invoice No]),LOOKUP(2,1/((tbl_Finance[Job Number]=C263&amp;"")*(tbl_Finance[Xero Invoice No]&lt;&gt;"")),tbl_Finance[Xero Invoice No])&amp;" +more"),"")))</f>
        <v/>
      </c>
      <c r="C263" s="24" t="n"/>
      <c r="D263" s="25">
        <f>IF(C263="","",IF(COUNTIF(lst_Jobs,C263&amp;"")&gt;0,"OK","CHECK"))</f>
        <v/>
      </c>
      <c r="E263" s="25">
        <f>IF(C263="","",IFERROR(INDEX(lst_JobName,MATCH(C263&amp;"",lst_Jobs,0)),""))</f>
        <v/>
      </c>
      <c r="F263" s="25">
        <f>IF(C263="","",IFERROR(INDEX(tbl_Finance[Client],MATCH(C263&amp;"",tbl_Finance[Job Number],0)),""))</f>
        <v/>
      </c>
      <c r="G263" s="28">
        <f>IF(C263="","",COUNTIFS(tbl_Finance[Job Number],C263&amp;"",tbl_Finance[Ex GST],"&lt;&gt;"))</f>
        <v/>
      </c>
      <c r="H263" s="27">
        <f>IF(C263="","",SUMIFS(tbl_Finance[Ex GST],tbl_Finance[Job Number],C263&amp;""))</f>
        <v/>
      </c>
      <c r="I263" s="27">
        <f>IF(C263="","",SUMIFS(tbl_Finance[Ex GST],tbl_Finance[Job Number],C263&amp;"",tbl_Finance[Xero Invoice No],"&lt;&gt;"))</f>
        <v/>
      </c>
      <c r="J263" s="27">
        <f>IF(C263="","",H263-I263)</f>
        <v/>
      </c>
      <c r="K263" s="25">
        <f>IF(C263="","",IF(G263=0,"not invoiced yet",SUBSTITUTE(TRIM(IF(COUNTIFS(tbl_Finance[Job Number],C263&amp;"",tbl_Finance[Cost Centre],"ONSITE")&gt;0,"ONSITE ","")&amp;IF(COUNTIFS(tbl_Finance[Job Number],C263&amp;"",tbl_Finance[Cost Centre],"PRODUCTION")&gt;0,"PRODUCTION ","")&amp;IF(COUNTIFS(tbl_Finance[Job Number],C263&amp;"",tbl_Finance[Cost Centre],"VIDEO")&gt;0,"VIDEO ","")&amp;IF(COUNTIFS(tbl_Finance[Job Number],C263&amp;"",tbl_Finance[Cost Centre],"INTEGRATION")&gt;0,"INTEGRATION ","")&amp;IF(COUNTIFS(tbl_Finance[Job Number],C263&amp;"",tbl_Finance[Cost Centre],"CONSULTING")&gt;0,"CONSULTING ","")&amp;IF(COUNTIFS(tbl_Finance[Job Number],C263&amp;"",tbl_Finance[Cost Centre],"CTS")&gt;0,"CTS ",""))," ",", ")))</f>
        <v/>
      </c>
      <c r="L263" s="24" t="n"/>
      <c r="M263" s="24" t="n"/>
      <c r="N263" s="25">
        <f>IF(M263="","",HYPERLINK(IF(LEFT(M263,4)="http",M263,set_QwilrBase&amp;M263),"Open quote"))</f>
        <v/>
      </c>
      <c r="O263" s="69" t="n"/>
      <c r="P263" s="24" t="n"/>
      <c r="Q263" s="24" t="n"/>
    </row>
    <row r="264" ht="15" customHeight="1">
      <c r="A264" s="68">
        <f>IF(C264="","",IFERROR(IF(SUMPRODUCT(MAX((tbl_Finance[Job Number]=C264&amp;"")*(tbl_Finance[Xero Invoice No]&lt;&gt;"")*tbl_Finance[Date]))=0,"",SUMPRODUCT(MAX((tbl_Finance[Job Number]=C264&amp;"")*(tbl_Finance[Xero Invoice No]&lt;&gt;"")*tbl_Finance[Date]))),""))</f>
        <v/>
      </c>
      <c r="B264" s="25">
        <f>IF(C264="","",IF(COUNTIFS(tbl_Finance[Job Number],C264&amp;"",tbl_Finance[Xero Invoice No],"&lt;&gt;")=0,"",IFERROR(IF(COUNTIFS(tbl_Finance[Job Number],C264&amp;"",tbl_Finance[Xero Invoice No],LOOKUP(2,1/((tbl_Finance[Job Number]=C264&amp;"")*(tbl_Finance[Xero Invoice No]&lt;&gt;"")),tbl_Finance[Xero Invoice No]))=COUNTIFS(tbl_Finance[Job Number],C264&amp;"",tbl_Finance[Xero Invoice No],"&lt;&gt;"),LOOKUP(2,1/((tbl_Finance[Job Number]=C264&amp;"")*(tbl_Finance[Xero Invoice No]&lt;&gt;"")),tbl_Finance[Xero Invoice No]),LOOKUP(2,1/((tbl_Finance[Job Number]=C264&amp;"")*(tbl_Finance[Xero Invoice No]&lt;&gt;"")),tbl_Finance[Xero Invoice No])&amp;" +more"),"")))</f>
        <v/>
      </c>
      <c r="C264" s="24" t="n"/>
      <c r="D264" s="25">
        <f>IF(C264="","",IF(COUNTIF(lst_Jobs,C264&amp;"")&gt;0,"OK","CHECK"))</f>
        <v/>
      </c>
      <c r="E264" s="25">
        <f>IF(C264="","",IFERROR(INDEX(lst_JobName,MATCH(C264&amp;"",lst_Jobs,0)),""))</f>
        <v/>
      </c>
      <c r="F264" s="25">
        <f>IF(C264="","",IFERROR(INDEX(tbl_Finance[Client],MATCH(C264&amp;"",tbl_Finance[Job Number],0)),""))</f>
        <v/>
      </c>
      <c r="G264" s="28">
        <f>IF(C264="","",COUNTIFS(tbl_Finance[Job Number],C264&amp;"",tbl_Finance[Ex GST],"&lt;&gt;"))</f>
        <v/>
      </c>
      <c r="H264" s="27">
        <f>IF(C264="","",SUMIFS(tbl_Finance[Ex GST],tbl_Finance[Job Number],C264&amp;""))</f>
        <v/>
      </c>
      <c r="I264" s="27">
        <f>IF(C264="","",SUMIFS(tbl_Finance[Ex GST],tbl_Finance[Job Number],C264&amp;"",tbl_Finance[Xero Invoice No],"&lt;&gt;"))</f>
        <v/>
      </c>
      <c r="J264" s="27">
        <f>IF(C264="","",H264-I264)</f>
        <v/>
      </c>
      <c r="K264" s="25">
        <f>IF(C264="","",IF(G264=0,"not invoiced yet",SUBSTITUTE(TRIM(IF(COUNTIFS(tbl_Finance[Job Number],C264&amp;"",tbl_Finance[Cost Centre],"ONSITE")&gt;0,"ONSITE ","")&amp;IF(COUNTIFS(tbl_Finance[Job Number],C264&amp;"",tbl_Finance[Cost Centre],"PRODUCTION")&gt;0,"PRODUCTION ","")&amp;IF(COUNTIFS(tbl_Finance[Job Number],C264&amp;"",tbl_Finance[Cost Centre],"VIDEO")&gt;0,"VIDEO ","")&amp;IF(COUNTIFS(tbl_Finance[Job Number],C264&amp;"",tbl_Finance[Cost Centre],"INTEGRATION")&gt;0,"INTEGRATION ","")&amp;IF(COUNTIFS(tbl_Finance[Job Number],C264&amp;"",tbl_Finance[Cost Centre],"CONSULTING")&gt;0,"CONSULTING ","")&amp;IF(COUNTIFS(tbl_Finance[Job Number],C264&amp;"",tbl_Finance[Cost Centre],"CTS")&gt;0,"CTS ",""))," ",", ")))</f>
        <v/>
      </c>
      <c r="L264" s="24" t="n"/>
      <c r="M264" s="24" t="n"/>
      <c r="N264" s="25">
        <f>IF(M264="","",HYPERLINK(IF(LEFT(M264,4)="http",M264,set_QwilrBase&amp;M264),"Open quote"))</f>
        <v/>
      </c>
      <c r="O264" s="69" t="n"/>
      <c r="P264" s="24" t="n"/>
      <c r="Q264" s="24" t="n"/>
    </row>
    <row r="265" ht="15" customHeight="1">
      <c r="A265" s="68">
        <f>IF(C265="","",IFERROR(IF(SUMPRODUCT(MAX((tbl_Finance[Job Number]=C265&amp;"")*(tbl_Finance[Xero Invoice No]&lt;&gt;"")*tbl_Finance[Date]))=0,"",SUMPRODUCT(MAX((tbl_Finance[Job Number]=C265&amp;"")*(tbl_Finance[Xero Invoice No]&lt;&gt;"")*tbl_Finance[Date]))),""))</f>
        <v/>
      </c>
      <c r="B265" s="25">
        <f>IF(C265="","",IF(COUNTIFS(tbl_Finance[Job Number],C265&amp;"",tbl_Finance[Xero Invoice No],"&lt;&gt;")=0,"",IFERROR(IF(COUNTIFS(tbl_Finance[Job Number],C265&amp;"",tbl_Finance[Xero Invoice No],LOOKUP(2,1/((tbl_Finance[Job Number]=C265&amp;"")*(tbl_Finance[Xero Invoice No]&lt;&gt;"")),tbl_Finance[Xero Invoice No]))=COUNTIFS(tbl_Finance[Job Number],C265&amp;"",tbl_Finance[Xero Invoice No],"&lt;&gt;"),LOOKUP(2,1/((tbl_Finance[Job Number]=C265&amp;"")*(tbl_Finance[Xero Invoice No]&lt;&gt;"")),tbl_Finance[Xero Invoice No]),LOOKUP(2,1/((tbl_Finance[Job Number]=C265&amp;"")*(tbl_Finance[Xero Invoice No]&lt;&gt;"")),tbl_Finance[Xero Invoice No])&amp;" +more"),"")))</f>
        <v/>
      </c>
      <c r="C265" s="24" t="n"/>
      <c r="D265" s="25">
        <f>IF(C265="","",IF(COUNTIF(lst_Jobs,C265&amp;"")&gt;0,"OK","CHECK"))</f>
        <v/>
      </c>
      <c r="E265" s="25">
        <f>IF(C265="","",IFERROR(INDEX(lst_JobName,MATCH(C265&amp;"",lst_Jobs,0)),""))</f>
        <v/>
      </c>
      <c r="F265" s="25">
        <f>IF(C265="","",IFERROR(INDEX(tbl_Finance[Client],MATCH(C265&amp;"",tbl_Finance[Job Number],0)),""))</f>
        <v/>
      </c>
      <c r="G265" s="28">
        <f>IF(C265="","",COUNTIFS(tbl_Finance[Job Number],C265&amp;"",tbl_Finance[Ex GST],"&lt;&gt;"))</f>
        <v/>
      </c>
      <c r="H265" s="27">
        <f>IF(C265="","",SUMIFS(tbl_Finance[Ex GST],tbl_Finance[Job Number],C265&amp;""))</f>
        <v/>
      </c>
      <c r="I265" s="27">
        <f>IF(C265="","",SUMIFS(tbl_Finance[Ex GST],tbl_Finance[Job Number],C265&amp;"",tbl_Finance[Xero Invoice No],"&lt;&gt;"))</f>
        <v/>
      </c>
      <c r="J265" s="27">
        <f>IF(C265="","",H265-I265)</f>
        <v/>
      </c>
      <c r="K265" s="25">
        <f>IF(C265="","",IF(G265=0,"not invoiced yet",SUBSTITUTE(TRIM(IF(COUNTIFS(tbl_Finance[Job Number],C265&amp;"",tbl_Finance[Cost Centre],"ONSITE")&gt;0,"ONSITE ","")&amp;IF(COUNTIFS(tbl_Finance[Job Number],C265&amp;"",tbl_Finance[Cost Centre],"PRODUCTION")&gt;0,"PRODUCTION ","")&amp;IF(COUNTIFS(tbl_Finance[Job Number],C265&amp;"",tbl_Finance[Cost Centre],"VIDEO")&gt;0,"VIDEO ","")&amp;IF(COUNTIFS(tbl_Finance[Job Number],C265&amp;"",tbl_Finance[Cost Centre],"INTEGRATION")&gt;0,"INTEGRATION ","")&amp;IF(COUNTIFS(tbl_Finance[Job Number],C265&amp;"",tbl_Finance[Cost Centre],"CONSULTING")&gt;0,"CONSULTING ","")&amp;IF(COUNTIFS(tbl_Finance[Job Number],C265&amp;"",tbl_Finance[Cost Centre],"CTS")&gt;0,"CTS ",""))," ",", ")))</f>
        <v/>
      </c>
      <c r="L265" s="24" t="n"/>
      <c r="M265" s="24" t="n"/>
      <c r="N265" s="25">
        <f>IF(M265="","",HYPERLINK(IF(LEFT(M265,4)="http",M265,set_QwilrBase&amp;M265),"Open quote"))</f>
        <v/>
      </c>
      <c r="O265" s="69" t="n"/>
      <c r="P265" s="24" t="n"/>
      <c r="Q265" s="24" t="n"/>
    </row>
    <row r="266" ht="15" customHeight="1">
      <c r="A266" s="68">
        <f>IF(C266="","",IFERROR(IF(SUMPRODUCT(MAX((tbl_Finance[Job Number]=C266&amp;"")*(tbl_Finance[Xero Invoice No]&lt;&gt;"")*tbl_Finance[Date]))=0,"",SUMPRODUCT(MAX((tbl_Finance[Job Number]=C266&amp;"")*(tbl_Finance[Xero Invoice No]&lt;&gt;"")*tbl_Finance[Date]))),""))</f>
        <v/>
      </c>
      <c r="B266" s="25">
        <f>IF(C266="","",IF(COUNTIFS(tbl_Finance[Job Number],C266&amp;"",tbl_Finance[Xero Invoice No],"&lt;&gt;")=0,"",IFERROR(IF(COUNTIFS(tbl_Finance[Job Number],C266&amp;"",tbl_Finance[Xero Invoice No],LOOKUP(2,1/((tbl_Finance[Job Number]=C266&amp;"")*(tbl_Finance[Xero Invoice No]&lt;&gt;"")),tbl_Finance[Xero Invoice No]))=COUNTIFS(tbl_Finance[Job Number],C266&amp;"",tbl_Finance[Xero Invoice No],"&lt;&gt;"),LOOKUP(2,1/((tbl_Finance[Job Number]=C266&amp;"")*(tbl_Finance[Xero Invoice No]&lt;&gt;"")),tbl_Finance[Xero Invoice No]),LOOKUP(2,1/((tbl_Finance[Job Number]=C266&amp;"")*(tbl_Finance[Xero Invoice No]&lt;&gt;"")),tbl_Finance[Xero Invoice No])&amp;" +more"),"")))</f>
        <v/>
      </c>
      <c r="C266" s="24" t="n"/>
      <c r="D266" s="25">
        <f>IF(C266="","",IF(COUNTIF(lst_Jobs,C266&amp;"")&gt;0,"OK","CHECK"))</f>
        <v/>
      </c>
      <c r="E266" s="25">
        <f>IF(C266="","",IFERROR(INDEX(lst_JobName,MATCH(C266&amp;"",lst_Jobs,0)),""))</f>
        <v/>
      </c>
      <c r="F266" s="25">
        <f>IF(C266="","",IFERROR(INDEX(tbl_Finance[Client],MATCH(C266&amp;"",tbl_Finance[Job Number],0)),""))</f>
        <v/>
      </c>
      <c r="G266" s="28">
        <f>IF(C266="","",COUNTIFS(tbl_Finance[Job Number],C266&amp;"",tbl_Finance[Ex GST],"&lt;&gt;"))</f>
        <v/>
      </c>
      <c r="H266" s="27">
        <f>IF(C266="","",SUMIFS(tbl_Finance[Ex GST],tbl_Finance[Job Number],C266&amp;""))</f>
        <v/>
      </c>
      <c r="I266" s="27">
        <f>IF(C266="","",SUMIFS(tbl_Finance[Ex GST],tbl_Finance[Job Number],C266&amp;"",tbl_Finance[Xero Invoice No],"&lt;&gt;"))</f>
        <v/>
      </c>
      <c r="J266" s="27">
        <f>IF(C266="","",H266-I266)</f>
        <v/>
      </c>
      <c r="K266" s="25">
        <f>IF(C266="","",IF(G266=0,"not invoiced yet",SUBSTITUTE(TRIM(IF(COUNTIFS(tbl_Finance[Job Number],C266&amp;"",tbl_Finance[Cost Centre],"ONSITE")&gt;0,"ONSITE ","")&amp;IF(COUNTIFS(tbl_Finance[Job Number],C266&amp;"",tbl_Finance[Cost Centre],"PRODUCTION")&gt;0,"PRODUCTION ","")&amp;IF(COUNTIFS(tbl_Finance[Job Number],C266&amp;"",tbl_Finance[Cost Centre],"VIDEO")&gt;0,"VIDEO ","")&amp;IF(COUNTIFS(tbl_Finance[Job Number],C266&amp;"",tbl_Finance[Cost Centre],"INTEGRATION")&gt;0,"INTEGRATION ","")&amp;IF(COUNTIFS(tbl_Finance[Job Number],C266&amp;"",tbl_Finance[Cost Centre],"CONSULTING")&gt;0,"CONSULTING ","")&amp;IF(COUNTIFS(tbl_Finance[Job Number],C266&amp;"",tbl_Finance[Cost Centre],"CTS")&gt;0,"CTS ",""))," ",", ")))</f>
        <v/>
      </c>
      <c r="L266" s="24" t="n"/>
      <c r="M266" s="24" t="n"/>
      <c r="N266" s="25">
        <f>IF(M266="","",HYPERLINK(IF(LEFT(M266,4)="http",M266,set_QwilrBase&amp;M266),"Open quote"))</f>
        <v/>
      </c>
      <c r="O266" s="69" t="n"/>
      <c r="P266" s="24" t="n"/>
      <c r="Q266" s="24" t="n"/>
    </row>
    <row r="267" ht="15" customHeight="1">
      <c r="A267" s="68">
        <f>IF(C267="","",IFERROR(IF(SUMPRODUCT(MAX((tbl_Finance[Job Number]=C267&amp;"")*(tbl_Finance[Xero Invoice No]&lt;&gt;"")*tbl_Finance[Date]))=0,"",SUMPRODUCT(MAX((tbl_Finance[Job Number]=C267&amp;"")*(tbl_Finance[Xero Invoice No]&lt;&gt;"")*tbl_Finance[Date]))),""))</f>
        <v/>
      </c>
      <c r="B267" s="25">
        <f>IF(C267="","",IF(COUNTIFS(tbl_Finance[Job Number],C267&amp;"",tbl_Finance[Xero Invoice No],"&lt;&gt;")=0,"",IFERROR(IF(COUNTIFS(tbl_Finance[Job Number],C267&amp;"",tbl_Finance[Xero Invoice No],LOOKUP(2,1/((tbl_Finance[Job Number]=C267&amp;"")*(tbl_Finance[Xero Invoice No]&lt;&gt;"")),tbl_Finance[Xero Invoice No]))=COUNTIFS(tbl_Finance[Job Number],C267&amp;"",tbl_Finance[Xero Invoice No],"&lt;&gt;"),LOOKUP(2,1/((tbl_Finance[Job Number]=C267&amp;"")*(tbl_Finance[Xero Invoice No]&lt;&gt;"")),tbl_Finance[Xero Invoice No]),LOOKUP(2,1/((tbl_Finance[Job Number]=C267&amp;"")*(tbl_Finance[Xero Invoice No]&lt;&gt;"")),tbl_Finance[Xero Invoice No])&amp;" +more"),"")))</f>
        <v/>
      </c>
      <c r="C267" s="24" t="n"/>
      <c r="D267" s="25">
        <f>IF(C267="","",IF(COUNTIF(lst_Jobs,C267&amp;"")&gt;0,"OK","CHECK"))</f>
        <v/>
      </c>
      <c r="E267" s="25">
        <f>IF(C267="","",IFERROR(INDEX(lst_JobName,MATCH(C267&amp;"",lst_Jobs,0)),""))</f>
        <v/>
      </c>
      <c r="F267" s="25">
        <f>IF(C267="","",IFERROR(INDEX(tbl_Finance[Client],MATCH(C267&amp;"",tbl_Finance[Job Number],0)),""))</f>
        <v/>
      </c>
      <c r="G267" s="28">
        <f>IF(C267="","",COUNTIFS(tbl_Finance[Job Number],C267&amp;"",tbl_Finance[Ex GST],"&lt;&gt;"))</f>
        <v/>
      </c>
      <c r="H267" s="27">
        <f>IF(C267="","",SUMIFS(tbl_Finance[Ex GST],tbl_Finance[Job Number],C267&amp;""))</f>
        <v/>
      </c>
      <c r="I267" s="27">
        <f>IF(C267="","",SUMIFS(tbl_Finance[Ex GST],tbl_Finance[Job Number],C267&amp;"",tbl_Finance[Xero Invoice No],"&lt;&gt;"))</f>
        <v/>
      </c>
      <c r="J267" s="27">
        <f>IF(C267="","",H267-I267)</f>
        <v/>
      </c>
      <c r="K267" s="25">
        <f>IF(C267="","",IF(G267=0,"not invoiced yet",SUBSTITUTE(TRIM(IF(COUNTIFS(tbl_Finance[Job Number],C267&amp;"",tbl_Finance[Cost Centre],"ONSITE")&gt;0,"ONSITE ","")&amp;IF(COUNTIFS(tbl_Finance[Job Number],C267&amp;"",tbl_Finance[Cost Centre],"PRODUCTION")&gt;0,"PRODUCTION ","")&amp;IF(COUNTIFS(tbl_Finance[Job Number],C267&amp;"",tbl_Finance[Cost Centre],"VIDEO")&gt;0,"VIDEO ","")&amp;IF(COUNTIFS(tbl_Finance[Job Number],C267&amp;"",tbl_Finance[Cost Centre],"INTEGRATION")&gt;0,"INTEGRATION ","")&amp;IF(COUNTIFS(tbl_Finance[Job Number],C267&amp;"",tbl_Finance[Cost Centre],"CONSULTING")&gt;0,"CONSULTING ","")&amp;IF(COUNTIFS(tbl_Finance[Job Number],C267&amp;"",tbl_Finance[Cost Centre],"CTS")&gt;0,"CTS ",""))," ",", ")))</f>
        <v/>
      </c>
      <c r="L267" s="24" t="n"/>
      <c r="M267" s="24" t="n"/>
      <c r="N267" s="25">
        <f>IF(M267="","",HYPERLINK(IF(LEFT(M267,4)="http",M267,set_QwilrBase&amp;M267),"Open quote"))</f>
        <v/>
      </c>
      <c r="O267" s="69" t="n"/>
      <c r="P267" s="24" t="n"/>
      <c r="Q267" s="24" t="n"/>
    </row>
    <row r="268" ht="15" customHeight="1">
      <c r="A268" s="68">
        <f>IF(C268="","",IFERROR(IF(SUMPRODUCT(MAX((tbl_Finance[Job Number]=C268&amp;"")*(tbl_Finance[Xero Invoice No]&lt;&gt;"")*tbl_Finance[Date]))=0,"",SUMPRODUCT(MAX((tbl_Finance[Job Number]=C268&amp;"")*(tbl_Finance[Xero Invoice No]&lt;&gt;"")*tbl_Finance[Date]))),""))</f>
        <v/>
      </c>
      <c r="B268" s="25">
        <f>IF(C268="","",IF(COUNTIFS(tbl_Finance[Job Number],C268&amp;"",tbl_Finance[Xero Invoice No],"&lt;&gt;")=0,"",IFERROR(IF(COUNTIFS(tbl_Finance[Job Number],C268&amp;"",tbl_Finance[Xero Invoice No],LOOKUP(2,1/((tbl_Finance[Job Number]=C268&amp;"")*(tbl_Finance[Xero Invoice No]&lt;&gt;"")),tbl_Finance[Xero Invoice No]))=COUNTIFS(tbl_Finance[Job Number],C268&amp;"",tbl_Finance[Xero Invoice No],"&lt;&gt;"),LOOKUP(2,1/((tbl_Finance[Job Number]=C268&amp;"")*(tbl_Finance[Xero Invoice No]&lt;&gt;"")),tbl_Finance[Xero Invoice No]),LOOKUP(2,1/((tbl_Finance[Job Number]=C268&amp;"")*(tbl_Finance[Xero Invoice No]&lt;&gt;"")),tbl_Finance[Xero Invoice No])&amp;" +more"),"")))</f>
        <v/>
      </c>
      <c r="C268" s="24" t="n"/>
      <c r="D268" s="25">
        <f>IF(C268="","",IF(COUNTIF(lst_Jobs,C268&amp;"")&gt;0,"OK","CHECK"))</f>
        <v/>
      </c>
      <c r="E268" s="25">
        <f>IF(C268="","",IFERROR(INDEX(lst_JobName,MATCH(C268&amp;"",lst_Jobs,0)),""))</f>
        <v/>
      </c>
      <c r="F268" s="25">
        <f>IF(C268="","",IFERROR(INDEX(tbl_Finance[Client],MATCH(C268&amp;"",tbl_Finance[Job Number],0)),""))</f>
        <v/>
      </c>
      <c r="G268" s="28">
        <f>IF(C268="","",COUNTIFS(tbl_Finance[Job Number],C268&amp;"",tbl_Finance[Ex GST],"&lt;&gt;"))</f>
        <v/>
      </c>
      <c r="H268" s="27">
        <f>IF(C268="","",SUMIFS(tbl_Finance[Ex GST],tbl_Finance[Job Number],C268&amp;""))</f>
        <v/>
      </c>
      <c r="I268" s="27">
        <f>IF(C268="","",SUMIFS(tbl_Finance[Ex GST],tbl_Finance[Job Number],C268&amp;"",tbl_Finance[Xero Invoice No],"&lt;&gt;"))</f>
        <v/>
      </c>
      <c r="J268" s="27">
        <f>IF(C268="","",H268-I268)</f>
        <v/>
      </c>
      <c r="K268" s="25">
        <f>IF(C268="","",IF(G268=0,"not invoiced yet",SUBSTITUTE(TRIM(IF(COUNTIFS(tbl_Finance[Job Number],C268&amp;"",tbl_Finance[Cost Centre],"ONSITE")&gt;0,"ONSITE ","")&amp;IF(COUNTIFS(tbl_Finance[Job Number],C268&amp;"",tbl_Finance[Cost Centre],"PRODUCTION")&gt;0,"PRODUCTION ","")&amp;IF(COUNTIFS(tbl_Finance[Job Number],C268&amp;"",tbl_Finance[Cost Centre],"VIDEO")&gt;0,"VIDEO ","")&amp;IF(COUNTIFS(tbl_Finance[Job Number],C268&amp;"",tbl_Finance[Cost Centre],"INTEGRATION")&gt;0,"INTEGRATION ","")&amp;IF(COUNTIFS(tbl_Finance[Job Number],C268&amp;"",tbl_Finance[Cost Centre],"CONSULTING")&gt;0,"CONSULTING ","")&amp;IF(COUNTIFS(tbl_Finance[Job Number],C268&amp;"",tbl_Finance[Cost Centre],"CTS")&gt;0,"CTS ",""))," ",", ")))</f>
        <v/>
      </c>
      <c r="L268" s="24" t="n"/>
      <c r="M268" s="24" t="n"/>
      <c r="N268" s="25">
        <f>IF(M268="","",HYPERLINK(IF(LEFT(M268,4)="http",M268,set_QwilrBase&amp;M268),"Open quote"))</f>
        <v/>
      </c>
      <c r="O268" s="69" t="n"/>
      <c r="P268" s="24" t="n"/>
      <c r="Q268" s="24" t="n"/>
    </row>
    <row r="269" ht="15" customHeight="1">
      <c r="A269" s="68">
        <f>IF(C269="","",IFERROR(IF(SUMPRODUCT(MAX((tbl_Finance[Job Number]=C269&amp;"")*(tbl_Finance[Xero Invoice No]&lt;&gt;"")*tbl_Finance[Date]))=0,"",SUMPRODUCT(MAX((tbl_Finance[Job Number]=C269&amp;"")*(tbl_Finance[Xero Invoice No]&lt;&gt;"")*tbl_Finance[Date]))),""))</f>
        <v/>
      </c>
      <c r="B269" s="25">
        <f>IF(C269="","",IF(COUNTIFS(tbl_Finance[Job Number],C269&amp;"",tbl_Finance[Xero Invoice No],"&lt;&gt;")=0,"",IFERROR(IF(COUNTIFS(tbl_Finance[Job Number],C269&amp;"",tbl_Finance[Xero Invoice No],LOOKUP(2,1/((tbl_Finance[Job Number]=C269&amp;"")*(tbl_Finance[Xero Invoice No]&lt;&gt;"")),tbl_Finance[Xero Invoice No]))=COUNTIFS(tbl_Finance[Job Number],C269&amp;"",tbl_Finance[Xero Invoice No],"&lt;&gt;"),LOOKUP(2,1/((tbl_Finance[Job Number]=C269&amp;"")*(tbl_Finance[Xero Invoice No]&lt;&gt;"")),tbl_Finance[Xero Invoice No]),LOOKUP(2,1/((tbl_Finance[Job Number]=C269&amp;"")*(tbl_Finance[Xero Invoice No]&lt;&gt;"")),tbl_Finance[Xero Invoice No])&amp;" +more"),"")))</f>
        <v/>
      </c>
      <c r="C269" s="24" t="n"/>
      <c r="D269" s="25">
        <f>IF(C269="","",IF(COUNTIF(lst_Jobs,C269&amp;"")&gt;0,"OK","CHECK"))</f>
        <v/>
      </c>
      <c r="E269" s="25">
        <f>IF(C269="","",IFERROR(INDEX(lst_JobName,MATCH(C269&amp;"",lst_Jobs,0)),""))</f>
        <v/>
      </c>
      <c r="F269" s="25">
        <f>IF(C269="","",IFERROR(INDEX(tbl_Finance[Client],MATCH(C269&amp;"",tbl_Finance[Job Number],0)),""))</f>
        <v/>
      </c>
      <c r="G269" s="28">
        <f>IF(C269="","",COUNTIFS(tbl_Finance[Job Number],C269&amp;"",tbl_Finance[Ex GST],"&lt;&gt;"))</f>
        <v/>
      </c>
      <c r="H269" s="27">
        <f>IF(C269="","",SUMIFS(tbl_Finance[Ex GST],tbl_Finance[Job Number],C269&amp;""))</f>
        <v/>
      </c>
      <c r="I269" s="27">
        <f>IF(C269="","",SUMIFS(tbl_Finance[Ex GST],tbl_Finance[Job Number],C269&amp;"",tbl_Finance[Xero Invoice No],"&lt;&gt;"))</f>
        <v/>
      </c>
      <c r="J269" s="27">
        <f>IF(C269="","",H269-I269)</f>
        <v/>
      </c>
      <c r="K269" s="25">
        <f>IF(C269="","",IF(G269=0,"not invoiced yet",SUBSTITUTE(TRIM(IF(COUNTIFS(tbl_Finance[Job Number],C269&amp;"",tbl_Finance[Cost Centre],"ONSITE")&gt;0,"ONSITE ","")&amp;IF(COUNTIFS(tbl_Finance[Job Number],C269&amp;"",tbl_Finance[Cost Centre],"PRODUCTION")&gt;0,"PRODUCTION ","")&amp;IF(COUNTIFS(tbl_Finance[Job Number],C269&amp;"",tbl_Finance[Cost Centre],"VIDEO")&gt;0,"VIDEO ","")&amp;IF(COUNTIFS(tbl_Finance[Job Number],C269&amp;"",tbl_Finance[Cost Centre],"INTEGRATION")&gt;0,"INTEGRATION ","")&amp;IF(COUNTIFS(tbl_Finance[Job Number],C269&amp;"",tbl_Finance[Cost Centre],"CONSULTING")&gt;0,"CONSULTING ","")&amp;IF(COUNTIFS(tbl_Finance[Job Number],C269&amp;"",tbl_Finance[Cost Centre],"CTS")&gt;0,"CTS ",""))," ",", ")))</f>
        <v/>
      </c>
      <c r="L269" s="24" t="n"/>
      <c r="M269" s="24" t="n"/>
      <c r="N269" s="25">
        <f>IF(M269="","",HYPERLINK(IF(LEFT(M269,4)="http",M269,set_QwilrBase&amp;M269),"Open quote"))</f>
        <v/>
      </c>
      <c r="O269" s="69" t="n"/>
      <c r="P269" s="24" t="n"/>
      <c r="Q269" s="24" t="n"/>
    </row>
    <row r="270" ht="15" customHeight="1">
      <c r="A270" s="68">
        <f>IF(C270="","",IFERROR(IF(SUMPRODUCT(MAX((tbl_Finance[Job Number]=C270&amp;"")*(tbl_Finance[Xero Invoice No]&lt;&gt;"")*tbl_Finance[Date]))=0,"",SUMPRODUCT(MAX((tbl_Finance[Job Number]=C270&amp;"")*(tbl_Finance[Xero Invoice No]&lt;&gt;"")*tbl_Finance[Date]))),""))</f>
        <v/>
      </c>
      <c r="B270" s="25">
        <f>IF(C270="","",IF(COUNTIFS(tbl_Finance[Job Number],C270&amp;"",tbl_Finance[Xero Invoice No],"&lt;&gt;")=0,"",IFERROR(IF(COUNTIFS(tbl_Finance[Job Number],C270&amp;"",tbl_Finance[Xero Invoice No],LOOKUP(2,1/((tbl_Finance[Job Number]=C270&amp;"")*(tbl_Finance[Xero Invoice No]&lt;&gt;"")),tbl_Finance[Xero Invoice No]))=COUNTIFS(tbl_Finance[Job Number],C270&amp;"",tbl_Finance[Xero Invoice No],"&lt;&gt;"),LOOKUP(2,1/((tbl_Finance[Job Number]=C270&amp;"")*(tbl_Finance[Xero Invoice No]&lt;&gt;"")),tbl_Finance[Xero Invoice No]),LOOKUP(2,1/((tbl_Finance[Job Number]=C270&amp;"")*(tbl_Finance[Xero Invoice No]&lt;&gt;"")),tbl_Finance[Xero Invoice No])&amp;" +more"),"")))</f>
        <v/>
      </c>
      <c r="C270" s="24" t="n"/>
      <c r="D270" s="25">
        <f>IF(C270="","",IF(COUNTIF(lst_Jobs,C270&amp;"")&gt;0,"OK","CHECK"))</f>
        <v/>
      </c>
      <c r="E270" s="25">
        <f>IF(C270="","",IFERROR(INDEX(lst_JobName,MATCH(C270&amp;"",lst_Jobs,0)),""))</f>
        <v/>
      </c>
      <c r="F270" s="25">
        <f>IF(C270="","",IFERROR(INDEX(tbl_Finance[Client],MATCH(C270&amp;"",tbl_Finance[Job Number],0)),""))</f>
        <v/>
      </c>
      <c r="G270" s="28">
        <f>IF(C270="","",COUNTIFS(tbl_Finance[Job Number],C270&amp;"",tbl_Finance[Ex GST],"&lt;&gt;"))</f>
        <v/>
      </c>
      <c r="H270" s="27">
        <f>IF(C270="","",SUMIFS(tbl_Finance[Ex GST],tbl_Finance[Job Number],C270&amp;""))</f>
        <v/>
      </c>
      <c r="I270" s="27">
        <f>IF(C270="","",SUMIFS(tbl_Finance[Ex GST],tbl_Finance[Job Number],C270&amp;"",tbl_Finance[Xero Invoice No],"&lt;&gt;"))</f>
        <v/>
      </c>
      <c r="J270" s="27">
        <f>IF(C270="","",H270-I270)</f>
        <v/>
      </c>
      <c r="K270" s="25">
        <f>IF(C270="","",IF(G270=0,"not invoiced yet",SUBSTITUTE(TRIM(IF(COUNTIFS(tbl_Finance[Job Number],C270&amp;"",tbl_Finance[Cost Centre],"ONSITE")&gt;0,"ONSITE ","")&amp;IF(COUNTIFS(tbl_Finance[Job Number],C270&amp;"",tbl_Finance[Cost Centre],"PRODUCTION")&gt;0,"PRODUCTION ","")&amp;IF(COUNTIFS(tbl_Finance[Job Number],C270&amp;"",tbl_Finance[Cost Centre],"VIDEO")&gt;0,"VIDEO ","")&amp;IF(COUNTIFS(tbl_Finance[Job Number],C270&amp;"",tbl_Finance[Cost Centre],"INTEGRATION")&gt;0,"INTEGRATION ","")&amp;IF(COUNTIFS(tbl_Finance[Job Number],C270&amp;"",tbl_Finance[Cost Centre],"CONSULTING")&gt;0,"CONSULTING ","")&amp;IF(COUNTIFS(tbl_Finance[Job Number],C270&amp;"",tbl_Finance[Cost Centre],"CTS")&gt;0,"CTS ",""))," ",", ")))</f>
        <v/>
      </c>
      <c r="L270" s="24" t="n"/>
      <c r="M270" s="24" t="n"/>
      <c r="N270" s="25">
        <f>IF(M270="","",HYPERLINK(IF(LEFT(M270,4)="http",M270,set_QwilrBase&amp;M270),"Open quote"))</f>
        <v/>
      </c>
      <c r="O270" s="69" t="n"/>
      <c r="P270" s="24" t="n"/>
      <c r="Q270" s="24" t="n"/>
    </row>
    <row r="271" ht="15" customHeight="1">
      <c r="A271" s="68">
        <f>IF(C271="","",IFERROR(IF(SUMPRODUCT(MAX((tbl_Finance[Job Number]=C271&amp;"")*(tbl_Finance[Xero Invoice No]&lt;&gt;"")*tbl_Finance[Date]))=0,"",SUMPRODUCT(MAX((tbl_Finance[Job Number]=C271&amp;"")*(tbl_Finance[Xero Invoice No]&lt;&gt;"")*tbl_Finance[Date]))),""))</f>
        <v/>
      </c>
      <c r="B271" s="25">
        <f>IF(C271="","",IF(COUNTIFS(tbl_Finance[Job Number],C271&amp;"",tbl_Finance[Xero Invoice No],"&lt;&gt;")=0,"",IFERROR(IF(COUNTIFS(tbl_Finance[Job Number],C271&amp;"",tbl_Finance[Xero Invoice No],LOOKUP(2,1/((tbl_Finance[Job Number]=C271&amp;"")*(tbl_Finance[Xero Invoice No]&lt;&gt;"")),tbl_Finance[Xero Invoice No]))=COUNTIFS(tbl_Finance[Job Number],C271&amp;"",tbl_Finance[Xero Invoice No],"&lt;&gt;"),LOOKUP(2,1/((tbl_Finance[Job Number]=C271&amp;"")*(tbl_Finance[Xero Invoice No]&lt;&gt;"")),tbl_Finance[Xero Invoice No]),LOOKUP(2,1/((tbl_Finance[Job Number]=C271&amp;"")*(tbl_Finance[Xero Invoice No]&lt;&gt;"")),tbl_Finance[Xero Invoice No])&amp;" +more"),"")))</f>
        <v/>
      </c>
      <c r="C271" s="24" t="n"/>
      <c r="D271" s="25">
        <f>IF(C271="","",IF(COUNTIF(lst_Jobs,C271&amp;"")&gt;0,"OK","CHECK"))</f>
        <v/>
      </c>
      <c r="E271" s="25">
        <f>IF(C271="","",IFERROR(INDEX(lst_JobName,MATCH(C271&amp;"",lst_Jobs,0)),""))</f>
        <v/>
      </c>
      <c r="F271" s="25">
        <f>IF(C271="","",IFERROR(INDEX(tbl_Finance[Client],MATCH(C271&amp;"",tbl_Finance[Job Number],0)),""))</f>
        <v/>
      </c>
      <c r="G271" s="28">
        <f>IF(C271="","",COUNTIFS(tbl_Finance[Job Number],C271&amp;"",tbl_Finance[Ex GST],"&lt;&gt;"))</f>
        <v/>
      </c>
      <c r="H271" s="27">
        <f>IF(C271="","",SUMIFS(tbl_Finance[Ex GST],tbl_Finance[Job Number],C271&amp;""))</f>
        <v/>
      </c>
      <c r="I271" s="27">
        <f>IF(C271="","",SUMIFS(tbl_Finance[Ex GST],tbl_Finance[Job Number],C271&amp;"",tbl_Finance[Xero Invoice No],"&lt;&gt;"))</f>
        <v/>
      </c>
      <c r="J271" s="27">
        <f>IF(C271="","",H271-I271)</f>
        <v/>
      </c>
      <c r="K271" s="25">
        <f>IF(C271="","",IF(G271=0,"not invoiced yet",SUBSTITUTE(TRIM(IF(COUNTIFS(tbl_Finance[Job Number],C271&amp;"",tbl_Finance[Cost Centre],"ONSITE")&gt;0,"ONSITE ","")&amp;IF(COUNTIFS(tbl_Finance[Job Number],C271&amp;"",tbl_Finance[Cost Centre],"PRODUCTION")&gt;0,"PRODUCTION ","")&amp;IF(COUNTIFS(tbl_Finance[Job Number],C271&amp;"",tbl_Finance[Cost Centre],"VIDEO")&gt;0,"VIDEO ","")&amp;IF(COUNTIFS(tbl_Finance[Job Number],C271&amp;"",tbl_Finance[Cost Centre],"INTEGRATION")&gt;0,"INTEGRATION ","")&amp;IF(COUNTIFS(tbl_Finance[Job Number],C271&amp;"",tbl_Finance[Cost Centre],"CONSULTING")&gt;0,"CONSULTING ","")&amp;IF(COUNTIFS(tbl_Finance[Job Number],C271&amp;"",tbl_Finance[Cost Centre],"CTS")&gt;0,"CTS ",""))," ",", ")))</f>
        <v/>
      </c>
      <c r="L271" s="24" t="n"/>
      <c r="M271" s="24" t="n"/>
      <c r="N271" s="25">
        <f>IF(M271="","",HYPERLINK(IF(LEFT(M271,4)="http",M271,set_QwilrBase&amp;M271),"Open quote"))</f>
        <v/>
      </c>
      <c r="O271" s="69" t="n"/>
      <c r="P271" s="24" t="n"/>
      <c r="Q271" s="24" t="n"/>
    </row>
    <row r="272" ht="15" customHeight="1">
      <c r="A272" s="68">
        <f>IF(C272="","",IFERROR(IF(SUMPRODUCT(MAX((tbl_Finance[Job Number]=C272&amp;"")*(tbl_Finance[Xero Invoice No]&lt;&gt;"")*tbl_Finance[Date]))=0,"",SUMPRODUCT(MAX((tbl_Finance[Job Number]=C272&amp;"")*(tbl_Finance[Xero Invoice No]&lt;&gt;"")*tbl_Finance[Date]))),""))</f>
        <v/>
      </c>
      <c r="B272" s="25">
        <f>IF(C272="","",IF(COUNTIFS(tbl_Finance[Job Number],C272&amp;"",tbl_Finance[Xero Invoice No],"&lt;&gt;")=0,"",IFERROR(IF(COUNTIFS(tbl_Finance[Job Number],C272&amp;"",tbl_Finance[Xero Invoice No],LOOKUP(2,1/((tbl_Finance[Job Number]=C272&amp;"")*(tbl_Finance[Xero Invoice No]&lt;&gt;"")),tbl_Finance[Xero Invoice No]))=COUNTIFS(tbl_Finance[Job Number],C272&amp;"",tbl_Finance[Xero Invoice No],"&lt;&gt;"),LOOKUP(2,1/((tbl_Finance[Job Number]=C272&amp;"")*(tbl_Finance[Xero Invoice No]&lt;&gt;"")),tbl_Finance[Xero Invoice No]),LOOKUP(2,1/((tbl_Finance[Job Number]=C272&amp;"")*(tbl_Finance[Xero Invoice No]&lt;&gt;"")),tbl_Finance[Xero Invoice No])&amp;" +more"),"")))</f>
        <v/>
      </c>
      <c r="C272" s="24" t="n"/>
      <c r="D272" s="25">
        <f>IF(C272="","",IF(COUNTIF(lst_Jobs,C272&amp;"")&gt;0,"OK","CHECK"))</f>
        <v/>
      </c>
      <c r="E272" s="25">
        <f>IF(C272="","",IFERROR(INDEX(lst_JobName,MATCH(C272&amp;"",lst_Jobs,0)),""))</f>
        <v/>
      </c>
      <c r="F272" s="25">
        <f>IF(C272="","",IFERROR(INDEX(tbl_Finance[Client],MATCH(C272&amp;"",tbl_Finance[Job Number],0)),""))</f>
        <v/>
      </c>
      <c r="G272" s="28">
        <f>IF(C272="","",COUNTIFS(tbl_Finance[Job Number],C272&amp;"",tbl_Finance[Ex GST],"&lt;&gt;"))</f>
        <v/>
      </c>
      <c r="H272" s="27">
        <f>IF(C272="","",SUMIFS(tbl_Finance[Ex GST],tbl_Finance[Job Number],C272&amp;""))</f>
        <v/>
      </c>
      <c r="I272" s="27">
        <f>IF(C272="","",SUMIFS(tbl_Finance[Ex GST],tbl_Finance[Job Number],C272&amp;"",tbl_Finance[Xero Invoice No],"&lt;&gt;"))</f>
        <v/>
      </c>
      <c r="J272" s="27">
        <f>IF(C272="","",H272-I272)</f>
        <v/>
      </c>
      <c r="K272" s="25">
        <f>IF(C272="","",IF(G272=0,"not invoiced yet",SUBSTITUTE(TRIM(IF(COUNTIFS(tbl_Finance[Job Number],C272&amp;"",tbl_Finance[Cost Centre],"ONSITE")&gt;0,"ONSITE ","")&amp;IF(COUNTIFS(tbl_Finance[Job Number],C272&amp;"",tbl_Finance[Cost Centre],"PRODUCTION")&gt;0,"PRODUCTION ","")&amp;IF(COUNTIFS(tbl_Finance[Job Number],C272&amp;"",tbl_Finance[Cost Centre],"VIDEO")&gt;0,"VIDEO ","")&amp;IF(COUNTIFS(tbl_Finance[Job Number],C272&amp;"",tbl_Finance[Cost Centre],"INTEGRATION")&gt;0,"INTEGRATION ","")&amp;IF(COUNTIFS(tbl_Finance[Job Number],C272&amp;"",tbl_Finance[Cost Centre],"CONSULTING")&gt;0,"CONSULTING ","")&amp;IF(COUNTIFS(tbl_Finance[Job Number],C272&amp;"",tbl_Finance[Cost Centre],"CTS")&gt;0,"CTS ",""))," ",", ")))</f>
        <v/>
      </c>
      <c r="L272" s="24" t="n"/>
      <c r="M272" s="24" t="n"/>
      <c r="N272" s="25">
        <f>IF(M272="","",HYPERLINK(IF(LEFT(M272,4)="http",M272,set_QwilrBase&amp;M272),"Open quote"))</f>
        <v/>
      </c>
      <c r="O272" s="69" t="n"/>
      <c r="P272" s="24" t="n"/>
      <c r="Q272" s="24" t="n"/>
    </row>
    <row r="273" ht="15" customHeight="1">
      <c r="A273" s="68">
        <f>IF(C273="","",IFERROR(IF(SUMPRODUCT(MAX((tbl_Finance[Job Number]=C273&amp;"")*(tbl_Finance[Xero Invoice No]&lt;&gt;"")*tbl_Finance[Date]))=0,"",SUMPRODUCT(MAX((tbl_Finance[Job Number]=C273&amp;"")*(tbl_Finance[Xero Invoice No]&lt;&gt;"")*tbl_Finance[Date]))),""))</f>
        <v/>
      </c>
      <c r="B273" s="25">
        <f>IF(C273="","",IF(COUNTIFS(tbl_Finance[Job Number],C273&amp;"",tbl_Finance[Xero Invoice No],"&lt;&gt;")=0,"",IFERROR(IF(COUNTIFS(tbl_Finance[Job Number],C273&amp;"",tbl_Finance[Xero Invoice No],LOOKUP(2,1/((tbl_Finance[Job Number]=C273&amp;"")*(tbl_Finance[Xero Invoice No]&lt;&gt;"")),tbl_Finance[Xero Invoice No]))=COUNTIFS(tbl_Finance[Job Number],C273&amp;"",tbl_Finance[Xero Invoice No],"&lt;&gt;"),LOOKUP(2,1/((tbl_Finance[Job Number]=C273&amp;"")*(tbl_Finance[Xero Invoice No]&lt;&gt;"")),tbl_Finance[Xero Invoice No]),LOOKUP(2,1/((tbl_Finance[Job Number]=C273&amp;"")*(tbl_Finance[Xero Invoice No]&lt;&gt;"")),tbl_Finance[Xero Invoice No])&amp;" +more"),"")))</f>
        <v/>
      </c>
      <c r="C273" s="24" t="n"/>
      <c r="D273" s="25">
        <f>IF(C273="","",IF(COUNTIF(lst_Jobs,C273&amp;"")&gt;0,"OK","CHECK"))</f>
        <v/>
      </c>
      <c r="E273" s="25">
        <f>IF(C273="","",IFERROR(INDEX(lst_JobName,MATCH(C273&amp;"",lst_Jobs,0)),""))</f>
        <v/>
      </c>
      <c r="F273" s="25">
        <f>IF(C273="","",IFERROR(INDEX(tbl_Finance[Client],MATCH(C273&amp;"",tbl_Finance[Job Number],0)),""))</f>
        <v/>
      </c>
      <c r="G273" s="28">
        <f>IF(C273="","",COUNTIFS(tbl_Finance[Job Number],C273&amp;"",tbl_Finance[Ex GST],"&lt;&gt;"))</f>
        <v/>
      </c>
      <c r="H273" s="27">
        <f>IF(C273="","",SUMIFS(tbl_Finance[Ex GST],tbl_Finance[Job Number],C273&amp;""))</f>
        <v/>
      </c>
      <c r="I273" s="27">
        <f>IF(C273="","",SUMIFS(tbl_Finance[Ex GST],tbl_Finance[Job Number],C273&amp;"",tbl_Finance[Xero Invoice No],"&lt;&gt;"))</f>
        <v/>
      </c>
      <c r="J273" s="27">
        <f>IF(C273="","",H273-I273)</f>
        <v/>
      </c>
      <c r="K273" s="25">
        <f>IF(C273="","",IF(G273=0,"not invoiced yet",SUBSTITUTE(TRIM(IF(COUNTIFS(tbl_Finance[Job Number],C273&amp;"",tbl_Finance[Cost Centre],"ONSITE")&gt;0,"ONSITE ","")&amp;IF(COUNTIFS(tbl_Finance[Job Number],C273&amp;"",tbl_Finance[Cost Centre],"PRODUCTION")&gt;0,"PRODUCTION ","")&amp;IF(COUNTIFS(tbl_Finance[Job Number],C273&amp;"",tbl_Finance[Cost Centre],"VIDEO")&gt;0,"VIDEO ","")&amp;IF(COUNTIFS(tbl_Finance[Job Number],C273&amp;"",tbl_Finance[Cost Centre],"INTEGRATION")&gt;0,"INTEGRATION ","")&amp;IF(COUNTIFS(tbl_Finance[Job Number],C273&amp;"",tbl_Finance[Cost Centre],"CONSULTING")&gt;0,"CONSULTING ","")&amp;IF(COUNTIFS(tbl_Finance[Job Number],C273&amp;"",tbl_Finance[Cost Centre],"CTS")&gt;0,"CTS ",""))," ",", ")))</f>
        <v/>
      </c>
      <c r="L273" s="24" t="n"/>
      <c r="M273" s="24" t="n"/>
      <c r="N273" s="25">
        <f>IF(M273="","",HYPERLINK(IF(LEFT(M273,4)="http",M273,set_QwilrBase&amp;M273),"Open quote"))</f>
        <v/>
      </c>
      <c r="O273" s="69" t="n"/>
      <c r="P273" s="24" t="n"/>
      <c r="Q273" s="24" t="n"/>
    </row>
    <row r="274" ht="15" customHeight="1">
      <c r="A274" s="68">
        <f>IF(C274="","",IFERROR(IF(SUMPRODUCT(MAX((tbl_Finance[Job Number]=C274&amp;"")*(tbl_Finance[Xero Invoice No]&lt;&gt;"")*tbl_Finance[Date]))=0,"",SUMPRODUCT(MAX((tbl_Finance[Job Number]=C274&amp;"")*(tbl_Finance[Xero Invoice No]&lt;&gt;"")*tbl_Finance[Date]))),""))</f>
        <v/>
      </c>
      <c r="B274" s="25">
        <f>IF(C274="","",IF(COUNTIFS(tbl_Finance[Job Number],C274&amp;"",tbl_Finance[Xero Invoice No],"&lt;&gt;")=0,"",IFERROR(IF(COUNTIFS(tbl_Finance[Job Number],C274&amp;"",tbl_Finance[Xero Invoice No],LOOKUP(2,1/((tbl_Finance[Job Number]=C274&amp;"")*(tbl_Finance[Xero Invoice No]&lt;&gt;"")),tbl_Finance[Xero Invoice No]))=COUNTIFS(tbl_Finance[Job Number],C274&amp;"",tbl_Finance[Xero Invoice No],"&lt;&gt;"),LOOKUP(2,1/((tbl_Finance[Job Number]=C274&amp;"")*(tbl_Finance[Xero Invoice No]&lt;&gt;"")),tbl_Finance[Xero Invoice No]),LOOKUP(2,1/((tbl_Finance[Job Number]=C274&amp;"")*(tbl_Finance[Xero Invoice No]&lt;&gt;"")),tbl_Finance[Xero Invoice No])&amp;" +more"),"")))</f>
        <v/>
      </c>
      <c r="C274" s="24" t="n"/>
      <c r="D274" s="25">
        <f>IF(C274="","",IF(COUNTIF(lst_Jobs,C274&amp;"")&gt;0,"OK","CHECK"))</f>
        <v/>
      </c>
      <c r="E274" s="25">
        <f>IF(C274="","",IFERROR(INDEX(lst_JobName,MATCH(C274&amp;"",lst_Jobs,0)),""))</f>
        <v/>
      </c>
      <c r="F274" s="25">
        <f>IF(C274="","",IFERROR(INDEX(tbl_Finance[Client],MATCH(C274&amp;"",tbl_Finance[Job Number],0)),""))</f>
        <v/>
      </c>
      <c r="G274" s="28">
        <f>IF(C274="","",COUNTIFS(tbl_Finance[Job Number],C274&amp;"",tbl_Finance[Ex GST],"&lt;&gt;"))</f>
        <v/>
      </c>
      <c r="H274" s="27">
        <f>IF(C274="","",SUMIFS(tbl_Finance[Ex GST],tbl_Finance[Job Number],C274&amp;""))</f>
        <v/>
      </c>
      <c r="I274" s="27">
        <f>IF(C274="","",SUMIFS(tbl_Finance[Ex GST],tbl_Finance[Job Number],C274&amp;"",tbl_Finance[Xero Invoice No],"&lt;&gt;"))</f>
        <v/>
      </c>
      <c r="J274" s="27">
        <f>IF(C274="","",H274-I274)</f>
        <v/>
      </c>
      <c r="K274" s="25">
        <f>IF(C274="","",IF(G274=0,"not invoiced yet",SUBSTITUTE(TRIM(IF(COUNTIFS(tbl_Finance[Job Number],C274&amp;"",tbl_Finance[Cost Centre],"ONSITE")&gt;0,"ONSITE ","")&amp;IF(COUNTIFS(tbl_Finance[Job Number],C274&amp;"",tbl_Finance[Cost Centre],"PRODUCTION")&gt;0,"PRODUCTION ","")&amp;IF(COUNTIFS(tbl_Finance[Job Number],C274&amp;"",tbl_Finance[Cost Centre],"VIDEO")&gt;0,"VIDEO ","")&amp;IF(COUNTIFS(tbl_Finance[Job Number],C274&amp;"",tbl_Finance[Cost Centre],"INTEGRATION")&gt;0,"INTEGRATION ","")&amp;IF(COUNTIFS(tbl_Finance[Job Number],C274&amp;"",tbl_Finance[Cost Centre],"CONSULTING")&gt;0,"CONSULTING ","")&amp;IF(COUNTIFS(tbl_Finance[Job Number],C274&amp;"",tbl_Finance[Cost Centre],"CTS")&gt;0,"CTS ",""))," ",", ")))</f>
        <v/>
      </c>
      <c r="L274" s="24" t="n"/>
      <c r="M274" s="24" t="n"/>
      <c r="N274" s="25">
        <f>IF(M274="","",HYPERLINK(IF(LEFT(M274,4)="http",M274,set_QwilrBase&amp;M274),"Open quote"))</f>
        <v/>
      </c>
      <c r="O274" s="69" t="n"/>
      <c r="P274" s="24" t="n"/>
      <c r="Q274" s="24" t="n"/>
    </row>
    <row r="275" ht="15" customHeight="1">
      <c r="A275" s="68">
        <f>IF(C275="","",IFERROR(IF(SUMPRODUCT(MAX((tbl_Finance[Job Number]=C275&amp;"")*(tbl_Finance[Xero Invoice No]&lt;&gt;"")*tbl_Finance[Date]))=0,"",SUMPRODUCT(MAX((tbl_Finance[Job Number]=C275&amp;"")*(tbl_Finance[Xero Invoice No]&lt;&gt;"")*tbl_Finance[Date]))),""))</f>
        <v/>
      </c>
      <c r="B275" s="25">
        <f>IF(C275="","",IF(COUNTIFS(tbl_Finance[Job Number],C275&amp;"",tbl_Finance[Xero Invoice No],"&lt;&gt;")=0,"",IFERROR(IF(COUNTIFS(tbl_Finance[Job Number],C275&amp;"",tbl_Finance[Xero Invoice No],LOOKUP(2,1/((tbl_Finance[Job Number]=C275&amp;"")*(tbl_Finance[Xero Invoice No]&lt;&gt;"")),tbl_Finance[Xero Invoice No]))=COUNTIFS(tbl_Finance[Job Number],C275&amp;"",tbl_Finance[Xero Invoice No],"&lt;&gt;"),LOOKUP(2,1/((tbl_Finance[Job Number]=C275&amp;"")*(tbl_Finance[Xero Invoice No]&lt;&gt;"")),tbl_Finance[Xero Invoice No]),LOOKUP(2,1/((tbl_Finance[Job Number]=C275&amp;"")*(tbl_Finance[Xero Invoice No]&lt;&gt;"")),tbl_Finance[Xero Invoice No])&amp;" +more"),"")))</f>
        <v/>
      </c>
      <c r="C275" s="24" t="n"/>
      <c r="D275" s="25">
        <f>IF(C275="","",IF(COUNTIF(lst_Jobs,C275&amp;"")&gt;0,"OK","CHECK"))</f>
        <v/>
      </c>
      <c r="E275" s="25">
        <f>IF(C275="","",IFERROR(INDEX(lst_JobName,MATCH(C275&amp;"",lst_Jobs,0)),""))</f>
        <v/>
      </c>
      <c r="F275" s="25">
        <f>IF(C275="","",IFERROR(INDEX(tbl_Finance[Client],MATCH(C275&amp;"",tbl_Finance[Job Number],0)),""))</f>
        <v/>
      </c>
      <c r="G275" s="28">
        <f>IF(C275="","",COUNTIFS(tbl_Finance[Job Number],C275&amp;"",tbl_Finance[Ex GST],"&lt;&gt;"))</f>
        <v/>
      </c>
      <c r="H275" s="27">
        <f>IF(C275="","",SUMIFS(tbl_Finance[Ex GST],tbl_Finance[Job Number],C275&amp;""))</f>
        <v/>
      </c>
      <c r="I275" s="27">
        <f>IF(C275="","",SUMIFS(tbl_Finance[Ex GST],tbl_Finance[Job Number],C275&amp;"",tbl_Finance[Xero Invoice No],"&lt;&gt;"))</f>
        <v/>
      </c>
      <c r="J275" s="27">
        <f>IF(C275="","",H275-I275)</f>
        <v/>
      </c>
      <c r="K275" s="25">
        <f>IF(C275="","",IF(G275=0,"not invoiced yet",SUBSTITUTE(TRIM(IF(COUNTIFS(tbl_Finance[Job Number],C275&amp;"",tbl_Finance[Cost Centre],"ONSITE")&gt;0,"ONSITE ","")&amp;IF(COUNTIFS(tbl_Finance[Job Number],C275&amp;"",tbl_Finance[Cost Centre],"PRODUCTION")&gt;0,"PRODUCTION ","")&amp;IF(COUNTIFS(tbl_Finance[Job Number],C275&amp;"",tbl_Finance[Cost Centre],"VIDEO")&gt;0,"VIDEO ","")&amp;IF(COUNTIFS(tbl_Finance[Job Number],C275&amp;"",tbl_Finance[Cost Centre],"INTEGRATION")&gt;0,"INTEGRATION ","")&amp;IF(COUNTIFS(tbl_Finance[Job Number],C275&amp;"",tbl_Finance[Cost Centre],"CONSULTING")&gt;0,"CONSULTING ","")&amp;IF(COUNTIFS(tbl_Finance[Job Number],C275&amp;"",tbl_Finance[Cost Centre],"CTS")&gt;0,"CTS ",""))," ",", ")))</f>
        <v/>
      </c>
      <c r="L275" s="24" t="n"/>
      <c r="M275" s="24" t="n"/>
      <c r="N275" s="25">
        <f>IF(M275="","",HYPERLINK(IF(LEFT(M275,4)="http",M275,set_QwilrBase&amp;M275),"Open quote"))</f>
        <v/>
      </c>
      <c r="O275" s="69" t="n"/>
      <c r="P275" s="24" t="n"/>
      <c r="Q275" s="24" t="n"/>
    </row>
    <row r="276" ht="15" customHeight="1">
      <c r="A276" s="68">
        <f>IF(C276="","",IFERROR(IF(SUMPRODUCT(MAX((tbl_Finance[Job Number]=C276&amp;"")*(tbl_Finance[Xero Invoice No]&lt;&gt;"")*tbl_Finance[Date]))=0,"",SUMPRODUCT(MAX((tbl_Finance[Job Number]=C276&amp;"")*(tbl_Finance[Xero Invoice No]&lt;&gt;"")*tbl_Finance[Date]))),""))</f>
        <v/>
      </c>
      <c r="B276" s="25">
        <f>IF(C276="","",IF(COUNTIFS(tbl_Finance[Job Number],C276&amp;"",tbl_Finance[Xero Invoice No],"&lt;&gt;")=0,"",IFERROR(IF(COUNTIFS(tbl_Finance[Job Number],C276&amp;"",tbl_Finance[Xero Invoice No],LOOKUP(2,1/((tbl_Finance[Job Number]=C276&amp;"")*(tbl_Finance[Xero Invoice No]&lt;&gt;"")),tbl_Finance[Xero Invoice No]))=COUNTIFS(tbl_Finance[Job Number],C276&amp;"",tbl_Finance[Xero Invoice No],"&lt;&gt;"),LOOKUP(2,1/((tbl_Finance[Job Number]=C276&amp;"")*(tbl_Finance[Xero Invoice No]&lt;&gt;"")),tbl_Finance[Xero Invoice No]),LOOKUP(2,1/((tbl_Finance[Job Number]=C276&amp;"")*(tbl_Finance[Xero Invoice No]&lt;&gt;"")),tbl_Finance[Xero Invoice No])&amp;" +more"),"")))</f>
        <v/>
      </c>
      <c r="C276" s="24" t="n"/>
      <c r="D276" s="25">
        <f>IF(C276="","",IF(COUNTIF(lst_Jobs,C276&amp;"")&gt;0,"OK","CHECK"))</f>
        <v/>
      </c>
      <c r="E276" s="25">
        <f>IF(C276="","",IFERROR(INDEX(lst_JobName,MATCH(C276&amp;"",lst_Jobs,0)),""))</f>
        <v/>
      </c>
      <c r="F276" s="25">
        <f>IF(C276="","",IFERROR(INDEX(tbl_Finance[Client],MATCH(C276&amp;"",tbl_Finance[Job Number],0)),""))</f>
        <v/>
      </c>
      <c r="G276" s="28">
        <f>IF(C276="","",COUNTIFS(tbl_Finance[Job Number],C276&amp;"",tbl_Finance[Ex GST],"&lt;&gt;"))</f>
        <v/>
      </c>
      <c r="H276" s="27">
        <f>IF(C276="","",SUMIFS(tbl_Finance[Ex GST],tbl_Finance[Job Number],C276&amp;""))</f>
        <v/>
      </c>
      <c r="I276" s="27">
        <f>IF(C276="","",SUMIFS(tbl_Finance[Ex GST],tbl_Finance[Job Number],C276&amp;"",tbl_Finance[Xero Invoice No],"&lt;&gt;"))</f>
        <v/>
      </c>
      <c r="J276" s="27">
        <f>IF(C276="","",H276-I276)</f>
        <v/>
      </c>
      <c r="K276" s="25">
        <f>IF(C276="","",IF(G276=0,"not invoiced yet",SUBSTITUTE(TRIM(IF(COUNTIFS(tbl_Finance[Job Number],C276&amp;"",tbl_Finance[Cost Centre],"ONSITE")&gt;0,"ONSITE ","")&amp;IF(COUNTIFS(tbl_Finance[Job Number],C276&amp;"",tbl_Finance[Cost Centre],"PRODUCTION")&gt;0,"PRODUCTION ","")&amp;IF(COUNTIFS(tbl_Finance[Job Number],C276&amp;"",tbl_Finance[Cost Centre],"VIDEO")&gt;0,"VIDEO ","")&amp;IF(COUNTIFS(tbl_Finance[Job Number],C276&amp;"",tbl_Finance[Cost Centre],"INTEGRATION")&gt;0,"INTEGRATION ","")&amp;IF(COUNTIFS(tbl_Finance[Job Number],C276&amp;"",tbl_Finance[Cost Centre],"CONSULTING")&gt;0,"CONSULTING ","")&amp;IF(COUNTIFS(tbl_Finance[Job Number],C276&amp;"",tbl_Finance[Cost Centre],"CTS")&gt;0,"CTS ",""))," ",", ")))</f>
        <v/>
      </c>
      <c r="L276" s="24" t="n"/>
      <c r="M276" s="24" t="n"/>
      <c r="N276" s="25">
        <f>IF(M276="","",HYPERLINK(IF(LEFT(M276,4)="http",M276,set_QwilrBase&amp;M276),"Open quote"))</f>
        <v/>
      </c>
      <c r="O276" s="69" t="n"/>
      <c r="P276" s="24" t="n"/>
      <c r="Q276" s="24" t="n"/>
    </row>
    <row r="277" ht="15" customHeight="1">
      <c r="A277" s="68">
        <f>IF(C277="","",IFERROR(IF(SUMPRODUCT(MAX((tbl_Finance[Job Number]=C277&amp;"")*(tbl_Finance[Xero Invoice No]&lt;&gt;"")*tbl_Finance[Date]))=0,"",SUMPRODUCT(MAX((tbl_Finance[Job Number]=C277&amp;"")*(tbl_Finance[Xero Invoice No]&lt;&gt;"")*tbl_Finance[Date]))),""))</f>
        <v/>
      </c>
      <c r="B277" s="25">
        <f>IF(C277="","",IF(COUNTIFS(tbl_Finance[Job Number],C277&amp;"",tbl_Finance[Xero Invoice No],"&lt;&gt;")=0,"",IFERROR(IF(COUNTIFS(tbl_Finance[Job Number],C277&amp;"",tbl_Finance[Xero Invoice No],LOOKUP(2,1/((tbl_Finance[Job Number]=C277&amp;"")*(tbl_Finance[Xero Invoice No]&lt;&gt;"")),tbl_Finance[Xero Invoice No]))=COUNTIFS(tbl_Finance[Job Number],C277&amp;"",tbl_Finance[Xero Invoice No],"&lt;&gt;"),LOOKUP(2,1/((tbl_Finance[Job Number]=C277&amp;"")*(tbl_Finance[Xero Invoice No]&lt;&gt;"")),tbl_Finance[Xero Invoice No]),LOOKUP(2,1/((tbl_Finance[Job Number]=C277&amp;"")*(tbl_Finance[Xero Invoice No]&lt;&gt;"")),tbl_Finance[Xero Invoice No])&amp;" +more"),"")))</f>
        <v/>
      </c>
      <c r="C277" s="24" t="n"/>
      <c r="D277" s="25">
        <f>IF(C277="","",IF(COUNTIF(lst_Jobs,C277&amp;"")&gt;0,"OK","CHECK"))</f>
        <v/>
      </c>
      <c r="E277" s="25">
        <f>IF(C277="","",IFERROR(INDEX(lst_JobName,MATCH(C277&amp;"",lst_Jobs,0)),""))</f>
        <v/>
      </c>
      <c r="F277" s="25">
        <f>IF(C277="","",IFERROR(INDEX(tbl_Finance[Client],MATCH(C277&amp;"",tbl_Finance[Job Number],0)),""))</f>
        <v/>
      </c>
      <c r="G277" s="28">
        <f>IF(C277="","",COUNTIFS(tbl_Finance[Job Number],C277&amp;"",tbl_Finance[Ex GST],"&lt;&gt;"))</f>
        <v/>
      </c>
      <c r="H277" s="27">
        <f>IF(C277="","",SUMIFS(tbl_Finance[Ex GST],tbl_Finance[Job Number],C277&amp;""))</f>
        <v/>
      </c>
      <c r="I277" s="27">
        <f>IF(C277="","",SUMIFS(tbl_Finance[Ex GST],tbl_Finance[Job Number],C277&amp;"",tbl_Finance[Xero Invoice No],"&lt;&gt;"))</f>
        <v/>
      </c>
      <c r="J277" s="27">
        <f>IF(C277="","",H277-I277)</f>
        <v/>
      </c>
      <c r="K277" s="25">
        <f>IF(C277="","",IF(G277=0,"not invoiced yet",SUBSTITUTE(TRIM(IF(COUNTIFS(tbl_Finance[Job Number],C277&amp;"",tbl_Finance[Cost Centre],"ONSITE")&gt;0,"ONSITE ","")&amp;IF(COUNTIFS(tbl_Finance[Job Number],C277&amp;"",tbl_Finance[Cost Centre],"PRODUCTION")&gt;0,"PRODUCTION ","")&amp;IF(COUNTIFS(tbl_Finance[Job Number],C277&amp;"",tbl_Finance[Cost Centre],"VIDEO")&gt;0,"VIDEO ","")&amp;IF(COUNTIFS(tbl_Finance[Job Number],C277&amp;"",tbl_Finance[Cost Centre],"INTEGRATION")&gt;0,"INTEGRATION ","")&amp;IF(COUNTIFS(tbl_Finance[Job Number],C277&amp;"",tbl_Finance[Cost Centre],"CONSULTING")&gt;0,"CONSULTING ","")&amp;IF(COUNTIFS(tbl_Finance[Job Number],C277&amp;"",tbl_Finance[Cost Centre],"CTS")&gt;0,"CTS ",""))," ",", ")))</f>
        <v/>
      </c>
      <c r="L277" s="24" t="n"/>
      <c r="M277" s="24" t="n"/>
      <c r="N277" s="25">
        <f>IF(M277="","",HYPERLINK(IF(LEFT(M277,4)="http",M277,set_QwilrBase&amp;M277),"Open quote"))</f>
        <v/>
      </c>
      <c r="O277" s="69" t="n"/>
      <c r="P277" s="24" t="n"/>
      <c r="Q277" s="24" t="n"/>
    </row>
    <row r="278" ht="15" customHeight="1">
      <c r="A278" s="68">
        <f>IF(C278="","",IFERROR(IF(SUMPRODUCT(MAX((tbl_Finance[Job Number]=C278&amp;"")*(tbl_Finance[Xero Invoice No]&lt;&gt;"")*tbl_Finance[Date]))=0,"",SUMPRODUCT(MAX((tbl_Finance[Job Number]=C278&amp;"")*(tbl_Finance[Xero Invoice No]&lt;&gt;"")*tbl_Finance[Date]))),""))</f>
        <v/>
      </c>
      <c r="B278" s="25">
        <f>IF(C278="","",IF(COUNTIFS(tbl_Finance[Job Number],C278&amp;"",tbl_Finance[Xero Invoice No],"&lt;&gt;")=0,"",IFERROR(IF(COUNTIFS(tbl_Finance[Job Number],C278&amp;"",tbl_Finance[Xero Invoice No],LOOKUP(2,1/((tbl_Finance[Job Number]=C278&amp;"")*(tbl_Finance[Xero Invoice No]&lt;&gt;"")),tbl_Finance[Xero Invoice No]))=COUNTIFS(tbl_Finance[Job Number],C278&amp;"",tbl_Finance[Xero Invoice No],"&lt;&gt;"),LOOKUP(2,1/((tbl_Finance[Job Number]=C278&amp;"")*(tbl_Finance[Xero Invoice No]&lt;&gt;"")),tbl_Finance[Xero Invoice No]),LOOKUP(2,1/((tbl_Finance[Job Number]=C278&amp;"")*(tbl_Finance[Xero Invoice No]&lt;&gt;"")),tbl_Finance[Xero Invoice No])&amp;" +more"),"")))</f>
        <v/>
      </c>
      <c r="C278" s="24" t="n"/>
      <c r="D278" s="25">
        <f>IF(C278="","",IF(COUNTIF(lst_Jobs,C278&amp;"")&gt;0,"OK","CHECK"))</f>
        <v/>
      </c>
      <c r="E278" s="25">
        <f>IF(C278="","",IFERROR(INDEX(lst_JobName,MATCH(C278&amp;"",lst_Jobs,0)),""))</f>
        <v/>
      </c>
      <c r="F278" s="25">
        <f>IF(C278="","",IFERROR(INDEX(tbl_Finance[Client],MATCH(C278&amp;"",tbl_Finance[Job Number],0)),""))</f>
        <v/>
      </c>
      <c r="G278" s="28">
        <f>IF(C278="","",COUNTIFS(tbl_Finance[Job Number],C278&amp;"",tbl_Finance[Ex GST],"&lt;&gt;"))</f>
        <v/>
      </c>
      <c r="H278" s="27">
        <f>IF(C278="","",SUMIFS(tbl_Finance[Ex GST],tbl_Finance[Job Number],C278&amp;""))</f>
        <v/>
      </c>
      <c r="I278" s="27">
        <f>IF(C278="","",SUMIFS(tbl_Finance[Ex GST],tbl_Finance[Job Number],C278&amp;"",tbl_Finance[Xero Invoice No],"&lt;&gt;"))</f>
        <v/>
      </c>
      <c r="J278" s="27">
        <f>IF(C278="","",H278-I278)</f>
        <v/>
      </c>
      <c r="K278" s="25">
        <f>IF(C278="","",IF(G278=0,"not invoiced yet",SUBSTITUTE(TRIM(IF(COUNTIFS(tbl_Finance[Job Number],C278&amp;"",tbl_Finance[Cost Centre],"ONSITE")&gt;0,"ONSITE ","")&amp;IF(COUNTIFS(tbl_Finance[Job Number],C278&amp;"",tbl_Finance[Cost Centre],"PRODUCTION")&gt;0,"PRODUCTION ","")&amp;IF(COUNTIFS(tbl_Finance[Job Number],C278&amp;"",tbl_Finance[Cost Centre],"VIDEO")&gt;0,"VIDEO ","")&amp;IF(COUNTIFS(tbl_Finance[Job Number],C278&amp;"",tbl_Finance[Cost Centre],"INTEGRATION")&gt;0,"INTEGRATION ","")&amp;IF(COUNTIFS(tbl_Finance[Job Number],C278&amp;"",tbl_Finance[Cost Centre],"CONSULTING")&gt;0,"CONSULTING ","")&amp;IF(COUNTIFS(tbl_Finance[Job Number],C278&amp;"",tbl_Finance[Cost Centre],"CTS")&gt;0,"CTS ",""))," ",", ")))</f>
        <v/>
      </c>
      <c r="L278" s="24" t="n"/>
      <c r="M278" s="24" t="n"/>
      <c r="N278" s="25">
        <f>IF(M278="","",HYPERLINK(IF(LEFT(M278,4)="http",M278,set_QwilrBase&amp;M278),"Open quote"))</f>
        <v/>
      </c>
      <c r="O278" s="69" t="n"/>
      <c r="P278" s="24" t="n"/>
      <c r="Q278" s="24" t="n"/>
    </row>
    <row r="279" ht="15" customHeight="1">
      <c r="A279" s="68">
        <f>IF(C279="","",IFERROR(IF(SUMPRODUCT(MAX((tbl_Finance[Job Number]=C279&amp;"")*(tbl_Finance[Xero Invoice No]&lt;&gt;"")*tbl_Finance[Date]))=0,"",SUMPRODUCT(MAX((tbl_Finance[Job Number]=C279&amp;"")*(tbl_Finance[Xero Invoice No]&lt;&gt;"")*tbl_Finance[Date]))),""))</f>
        <v/>
      </c>
      <c r="B279" s="25">
        <f>IF(C279="","",IF(COUNTIFS(tbl_Finance[Job Number],C279&amp;"",tbl_Finance[Xero Invoice No],"&lt;&gt;")=0,"",IFERROR(IF(COUNTIFS(tbl_Finance[Job Number],C279&amp;"",tbl_Finance[Xero Invoice No],LOOKUP(2,1/((tbl_Finance[Job Number]=C279&amp;"")*(tbl_Finance[Xero Invoice No]&lt;&gt;"")),tbl_Finance[Xero Invoice No]))=COUNTIFS(tbl_Finance[Job Number],C279&amp;"",tbl_Finance[Xero Invoice No],"&lt;&gt;"),LOOKUP(2,1/((tbl_Finance[Job Number]=C279&amp;"")*(tbl_Finance[Xero Invoice No]&lt;&gt;"")),tbl_Finance[Xero Invoice No]),LOOKUP(2,1/((tbl_Finance[Job Number]=C279&amp;"")*(tbl_Finance[Xero Invoice No]&lt;&gt;"")),tbl_Finance[Xero Invoice No])&amp;" +more"),"")))</f>
        <v/>
      </c>
      <c r="C279" s="24" t="n"/>
      <c r="D279" s="25">
        <f>IF(C279="","",IF(COUNTIF(lst_Jobs,C279&amp;"")&gt;0,"OK","CHECK"))</f>
        <v/>
      </c>
      <c r="E279" s="25">
        <f>IF(C279="","",IFERROR(INDEX(lst_JobName,MATCH(C279&amp;"",lst_Jobs,0)),""))</f>
        <v/>
      </c>
      <c r="F279" s="25">
        <f>IF(C279="","",IFERROR(INDEX(tbl_Finance[Client],MATCH(C279&amp;"",tbl_Finance[Job Number],0)),""))</f>
        <v/>
      </c>
      <c r="G279" s="28">
        <f>IF(C279="","",COUNTIFS(tbl_Finance[Job Number],C279&amp;"",tbl_Finance[Ex GST],"&lt;&gt;"))</f>
        <v/>
      </c>
      <c r="H279" s="27">
        <f>IF(C279="","",SUMIFS(tbl_Finance[Ex GST],tbl_Finance[Job Number],C279&amp;""))</f>
        <v/>
      </c>
      <c r="I279" s="27">
        <f>IF(C279="","",SUMIFS(tbl_Finance[Ex GST],tbl_Finance[Job Number],C279&amp;"",tbl_Finance[Xero Invoice No],"&lt;&gt;"))</f>
        <v/>
      </c>
      <c r="J279" s="27">
        <f>IF(C279="","",H279-I279)</f>
        <v/>
      </c>
      <c r="K279" s="25">
        <f>IF(C279="","",IF(G279=0,"not invoiced yet",SUBSTITUTE(TRIM(IF(COUNTIFS(tbl_Finance[Job Number],C279&amp;"",tbl_Finance[Cost Centre],"ONSITE")&gt;0,"ONSITE ","")&amp;IF(COUNTIFS(tbl_Finance[Job Number],C279&amp;"",tbl_Finance[Cost Centre],"PRODUCTION")&gt;0,"PRODUCTION ","")&amp;IF(COUNTIFS(tbl_Finance[Job Number],C279&amp;"",tbl_Finance[Cost Centre],"VIDEO")&gt;0,"VIDEO ","")&amp;IF(COUNTIFS(tbl_Finance[Job Number],C279&amp;"",tbl_Finance[Cost Centre],"INTEGRATION")&gt;0,"INTEGRATION ","")&amp;IF(COUNTIFS(tbl_Finance[Job Number],C279&amp;"",tbl_Finance[Cost Centre],"CONSULTING")&gt;0,"CONSULTING ","")&amp;IF(COUNTIFS(tbl_Finance[Job Number],C279&amp;"",tbl_Finance[Cost Centre],"CTS")&gt;0,"CTS ",""))," ",", ")))</f>
        <v/>
      </c>
      <c r="L279" s="24" t="n"/>
      <c r="M279" s="24" t="n"/>
      <c r="N279" s="25">
        <f>IF(M279="","",HYPERLINK(IF(LEFT(M279,4)="http",M279,set_QwilrBase&amp;M279),"Open quote"))</f>
        <v/>
      </c>
      <c r="O279" s="69" t="n"/>
      <c r="P279" s="24" t="n"/>
      <c r="Q279" s="24" t="n"/>
    </row>
    <row r="280" ht="15" customHeight="1">
      <c r="A280" s="68">
        <f>IF(C280="","",IFERROR(IF(SUMPRODUCT(MAX((tbl_Finance[Job Number]=C280&amp;"")*(tbl_Finance[Xero Invoice No]&lt;&gt;"")*tbl_Finance[Date]))=0,"",SUMPRODUCT(MAX((tbl_Finance[Job Number]=C280&amp;"")*(tbl_Finance[Xero Invoice No]&lt;&gt;"")*tbl_Finance[Date]))),""))</f>
        <v/>
      </c>
      <c r="B280" s="25">
        <f>IF(C280="","",IF(COUNTIFS(tbl_Finance[Job Number],C280&amp;"",tbl_Finance[Xero Invoice No],"&lt;&gt;")=0,"",IFERROR(IF(COUNTIFS(tbl_Finance[Job Number],C280&amp;"",tbl_Finance[Xero Invoice No],LOOKUP(2,1/((tbl_Finance[Job Number]=C280&amp;"")*(tbl_Finance[Xero Invoice No]&lt;&gt;"")),tbl_Finance[Xero Invoice No]))=COUNTIFS(tbl_Finance[Job Number],C280&amp;"",tbl_Finance[Xero Invoice No],"&lt;&gt;"),LOOKUP(2,1/((tbl_Finance[Job Number]=C280&amp;"")*(tbl_Finance[Xero Invoice No]&lt;&gt;"")),tbl_Finance[Xero Invoice No]),LOOKUP(2,1/((tbl_Finance[Job Number]=C280&amp;"")*(tbl_Finance[Xero Invoice No]&lt;&gt;"")),tbl_Finance[Xero Invoice No])&amp;" +more"),"")))</f>
        <v/>
      </c>
      <c r="C280" s="24" t="n"/>
      <c r="D280" s="25">
        <f>IF(C280="","",IF(COUNTIF(lst_Jobs,C280&amp;"")&gt;0,"OK","CHECK"))</f>
        <v/>
      </c>
      <c r="E280" s="25">
        <f>IF(C280="","",IFERROR(INDEX(lst_JobName,MATCH(C280&amp;"",lst_Jobs,0)),""))</f>
        <v/>
      </c>
      <c r="F280" s="25">
        <f>IF(C280="","",IFERROR(INDEX(tbl_Finance[Client],MATCH(C280&amp;"",tbl_Finance[Job Number],0)),""))</f>
        <v/>
      </c>
      <c r="G280" s="28">
        <f>IF(C280="","",COUNTIFS(tbl_Finance[Job Number],C280&amp;"",tbl_Finance[Ex GST],"&lt;&gt;"))</f>
        <v/>
      </c>
      <c r="H280" s="27">
        <f>IF(C280="","",SUMIFS(tbl_Finance[Ex GST],tbl_Finance[Job Number],C280&amp;""))</f>
        <v/>
      </c>
      <c r="I280" s="27">
        <f>IF(C280="","",SUMIFS(tbl_Finance[Ex GST],tbl_Finance[Job Number],C280&amp;"",tbl_Finance[Xero Invoice No],"&lt;&gt;"))</f>
        <v/>
      </c>
      <c r="J280" s="27">
        <f>IF(C280="","",H280-I280)</f>
        <v/>
      </c>
      <c r="K280" s="25">
        <f>IF(C280="","",IF(G280=0,"not invoiced yet",SUBSTITUTE(TRIM(IF(COUNTIFS(tbl_Finance[Job Number],C280&amp;"",tbl_Finance[Cost Centre],"ONSITE")&gt;0,"ONSITE ","")&amp;IF(COUNTIFS(tbl_Finance[Job Number],C280&amp;"",tbl_Finance[Cost Centre],"PRODUCTION")&gt;0,"PRODUCTION ","")&amp;IF(COUNTIFS(tbl_Finance[Job Number],C280&amp;"",tbl_Finance[Cost Centre],"VIDEO")&gt;0,"VIDEO ","")&amp;IF(COUNTIFS(tbl_Finance[Job Number],C280&amp;"",tbl_Finance[Cost Centre],"INTEGRATION")&gt;0,"INTEGRATION ","")&amp;IF(COUNTIFS(tbl_Finance[Job Number],C280&amp;"",tbl_Finance[Cost Centre],"CONSULTING")&gt;0,"CONSULTING ","")&amp;IF(COUNTIFS(tbl_Finance[Job Number],C280&amp;"",tbl_Finance[Cost Centre],"CTS")&gt;0,"CTS ",""))," ",", ")))</f>
        <v/>
      </c>
      <c r="L280" s="24" t="n"/>
      <c r="M280" s="24" t="n"/>
      <c r="N280" s="25">
        <f>IF(M280="","",HYPERLINK(IF(LEFT(M280,4)="http",M280,set_QwilrBase&amp;M280),"Open quote"))</f>
        <v/>
      </c>
      <c r="O280" s="69" t="n"/>
      <c r="P280" s="24" t="n"/>
      <c r="Q280" s="24" t="n"/>
    </row>
    <row r="281" ht="15" customHeight="1">
      <c r="A281" s="68">
        <f>IF(C281="","",IFERROR(IF(SUMPRODUCT(MAX((tbl_Finance[Job Number]=C281&amp;"")*(tbl_Finance[Xero Invoice No]&lt;&gt;"")*tbl_Finance[Date]))=0,"",SUMPRODUCT(MAX((tbl_Finance[Job Number]=C281&amp;"")*(tbl_Finance[Xero Invoice No]&lt;&gt;"")*tbl_Finance[Date]))),""))</f>
        <v/>
      </c>
      <c r="B281" s="25">
        <f>IF(C281="","",IF(COUNTIFS(tbl_Finance[Job Number],C281&amp;"",tbl_Finance[Xero Invoice No],"&lt;&gt;")=0,"",IFERROR(IF(COUNTIFS(tbl_Finance[Job Number],C281&amp;"",tbl_Finance[Xero Invoice No],LOOKUP(2,1/((tbl_Finance[Job Number]=C281&amp;"")*(tbl_Finance[Xero Invoice No]&lt;&gt;"")),tbl_Finance[Xero Invoice No]))=COUNTIFS(tbl_Finance[Job Number],C281&amp;"",tbl_Finance[Xero Invoice No],"&lt;&gt;"),LOOKUP(2,1/((tbl_Finance[Job Number]=C281&amp;"")*(tbl_Finance[Xero Invoice No]&lt;&gt;"")),tbl_Finance[Xero Invoice No]),LOOKUP(2,1/((tbl_Finance[Job Number]=C281&amp;"")*(tbl_Finance[Xero Invoice No]&lt;&gt;"")),tbl_Finance[Xero Invoice No])&amp;" +more"),"")))</f>
        <v/>
      </c>
      <c r="C281" s="24" t="n"/>
      <c r="D281" s="25">
        <f>IF(C281="","",IF(COUNTIF(lst_Jobs,C281&amp;"")&gt;0,"OK","CHECK"))</f>
        <v/>
      </c>
      <c r="E281" s="25">
        <f>IF(C281="","",IFERROR(INDEX(lst_JobName,MATCH(C281&amp;"",lst_Jobs,0)),""))</f>
        <v/>
      </c>
      <c r="F281" s="25">
        <f>IF(C281="","",IFERROR(INDEX(tbl_Finance[Client],MATCH(C281&amp;"",tbl_Finance[Job Number],0)),""))</f>
        <v/>
      </c>
      <c r="G281" s="28">
        <f>IF(C281="","",COUNTIFS(tbl_Finance[Job Number],C281&amp;"",tbl_Finance[Ex GST],"&lt;&gt;"))</f>
        <v/>
      </c>
      <c r="H281" s="27">
        <f>IF(C281="","",SUMIFS(tbl_Finance[Ex GST],tbl_Finance[Job Number],C281&amp;""))</f>
        <v/>
      </c>
      <c r="I281" s="27">
        <f>IF(C281="","",SUMIFS(tbl_Finance[Ex GST],tbl_Finance[Job Number],C281&amp;"",tbl_Finance[Xero Invoice No],"&lt;&gt;"))</f>
        <v/>
      </c>
      <c r="J281" s="27">
        <f>IF(C281="","",H281-I281)</f>
        <v/>
      </c>
      <c r="K281" s="25">
        <f>IF(C281="","",IF(G281=0,"not invoiced yet",SUBSTITUTE(TRIM(IF(COUNTIFS(tbl_Finance[Job Number],C281&amp;"",tbl_Finance[Cost Centre],"ONSITE")&gt;0,"ONSITE ","")&amp;IF(COUNTIFS(tbl_Finance[Job Number],C281&amp;"",tbl_Finance[Cost Centre],"PRODUCTION")&gt;0,"PRODUCTION ","")&amp;IF(COUNTIFS(tbl_Finance[Job Number],C281&amp;"",tbl_Finance[Cost Centre],"VIDEO")&gt;0,"VIDEO ","")&amp;IF(COUNTIFS(tbl_Finance[Job Number],C281&amp;"",tbl_Finance[Cost Centre],"INTEGRATION")&gt;0,"INTEGRATION ","")&amp;IF(COUNTIFS(tbl_Finance[Job Number],C281&amp;"",tbl_Finance[Cost Centre],"CONSULTING")&gt;0,"CONSULTING ","")&amp;IF(COUNTIFS(tbl_Finance[Job Number],C281&amp;"",tbl_Finance[Cost Centre],"CTS")&gt;0,"CTS ",""))," ",", ")))</f>
        <v/>
      </c>
      <c r="L281" s="24" t="n"/>
      <c r="M281" s="24" t="n"/>
      <c r="N281" s="25">
        <f>IF(M281="","",HYPERLINK(IF(LEFT(M281,4)="http",M281,set_QwilrBase&amp;M281),"Open quote"))</f>
        <v/>
      </c>
      <c r="O281" s="69" t="n"/>
      <c r="P281" s="24" t="n"/>
      <c r="Q281" s="24" t="n"/>
    </row>
    <row r="282" ht="15" customHeight="1">
      <c r="A282" s="68">
        <f>IF(C282="","",IFERROR(IF(SUMPRODUCT(MAX((tbl_Finance[Job Number]=C282&amp;"")*(tbl_Finance[Xero Invoice No]&lt;&gt;"")*tbl_Finance[Date]))=0,"",SUMPRODUCT(MAX((tbl_Finance[Job Number]=C282&amp;"")*(tbl_Finance[Xero Invoice No]&lt;&gt;"")*tbl_Finance[Date]))),""))</f>
        <v/>
      </c>
      <c r="B282" s="25">
        <f>IF(C282="","",IF(COUNTIFS(tbl_Finance[Job Number],C282&amp;"",tbl_Finance[Xero Invoice No],"&lt;&gt;")=0,"",IFERROR(IF(COUNTIFS(tbl_Finance[Job Number],C282&amp;"",tbl_Finance[Xero Invoice No],LOOKUP(2,1/((tbl_Finance[Job Number]=C282&amp;"")*(tbl_Finance[Xero Invoice No]&lt;&gt;"")),tbl_Finance[Xero Invoice No]))=COUNTIFS(tbl_Finance[Job Number],C282&amp;"",tbl_Finance[Xero Invoice No],"&lt;&gt;"),LOOKUP(2,1/((tbl_Finance[Job Number]=C282&amp;"")*(tbl_Finance[Xero Invoice No]&lt;&gt;"")),tbl_Finance[Xero Invoice No]),LOOKUP(2,1/((tbl_Finance[Job Number]=C282&amp;"")*(tbl_Finance[Xero Invoice No]&lt;&gt;"")),tbl_Finance[Xero Invoice No])&amp;" +more"),"")))</f>
        <v/>
      </c>
      <c r="C282" s="24" t="n"/>
      <c r="D282" s="25">
        <f>IF(C282="","",IF(COUNTIF(lst_Jobs,C282&amp;"")&gt;0,"OK","CHECK"))</f>
        <v/>
      </c>
      <c r="E282" s="25">
        <f>IF(C282="","",IFERROR(INDEX(lst_JobName,MATCH(C282&amp;"",lst_Jobs,0)),""))</f>
        <v/>
      </c>
      <c r="F282" s="25">
        <f>IF(C282="","",IFERROR(INDEX(tbl_Finance[Client],MATCH(C282&amp;"",tbl_Finance[Job Number],0)),""))</f>
        <v/>
      </c>
      <c r="G282" s="28">
        <f>IF(C282="","",COUNTIFS(tbl_Finance[Job Number],C282&amp;"",tbl_Finance[Ex GST],"&lt;&gt;"))</f>
        <v/>
      </c>
      <c r="H282" s="27">
        <f>IF(C282="","",SUMIFS(tbl_Finance[Ex GST],tbl_Finance[Job Number],C282&amp;""))</f>
        <v/>
      </c>
      <c r="I282" s="27">
        <f>IF(C282="","",SUMIFS(tbl_Finance[Ex GST],tbl_Finance[Job Number],C282&amp;"",tbl_Finance[Xero Invoice No],"&lt;&gt;"))</f>
        <v/>
      </c>
      <c r="J282" s="27">
        <f>IF(C282="","",H282-I282)</f>
        <v/>
      </c>
      <c r="K282" s="25">
        <f>IF(C282="","",IF(G282=0,"not invoiced yet",SUBSTITUTE(TRIM(IF(COUNTIFS(tbl_Finance[Job Number],C282&amp;"",tbl_Finance[Cost Centre],"ONSITE")&gt;0,"ONSITE ","")&amp;IF(COUNTIFS(tbl_Finance[Job Number],C282&amp;"",tbl_Finance[Cost Centre],"PRODUCTION")&gt;0,"PRODUCTION ","")&amp;IF(COUNTIFS(tbl_Finance[Job Number],C282&amp;"",tbl_Finance[Cost Centre],"VIDEO")&gt;0,"VIDEO ","")&amp;IF(COUNTIFS(tbl_Finance[Job Number],C282&amp;"",tbl_Finance[Cost Centre],"INTEGRATION")&gt;0,"INTEGRATION ","")&amp;IF(COUNTIFS(tbl_Finance[Job Number],C282&amp;"",tbl_Finance[Cost Centre],"CONSULTING")&gt;0,"CONSULTING ","")&amp;IF(COUNTIFS(tbl_Finance[Job Number],C282&amp;"",tbl_Finance[Cost Centre],"CTS")&gt;0,"CTS ",""))," ",", ")))</f>
        <v/>
      </c>
      <c r="L282" s="24" t="n"/>
      <c r="M282" s="24" t="n"/>
      <c r="N282" s="25">
        <f>IF(M282="","",HYPERLINK(IF(LEFT(M282,4)="http",M282,set_QwilrBase&amp;M282),"Open quote"))</f>
        <v/>
      </c>
      <c r="O282" s="69" t="n"/>
      <c r="P282" s="24" t="n"/>
      <c r="Q282" s="24" t="n"/>
    </row>
    <row r="283" ht="15" customHeight="1">
      <c r="A283" s="68">
        <f>IF(C283="","",IFERROR(IF(SUMPRODUCT(MAX((tbl_Finance[Job Number]=C283&amp;"")*(tbl_Finance[Xero Invoice No]&lt;&gt;"")*tbl_Finance[Date]))=0,"",SUMPRODUCT(MAX((tbl_Finance[Job Number]=C283&amp;"")*(tbl_Finance[Xero Invoice No]&lt;&gt;"")*tbl_Finance[Date]))),""))</f>
        <v/>
      </c>
      <c r="B283" s="25">
        <f>IF(C283="","",IF(COUNTIFS(tbl_Finance[Job Number],C283&amp;"",tbl_Finance[Xero Invoice No],"&lt;&gt;")=0,"",IFERROR(IF(COUNTIFS(tbl_Finance[Job Number],C283&amp;"",tbl_Finance[Xero Invoice No],LOOKUP(2,1/((tbl_Finance[Job Number]=C283&amp;"")*(tbl_Finance[Xero Invoice No]&lt;&gt;"")),tbl_Finance[Xero Invoice No]))=COUNTIFS(tbl_Finance[Job Number],C283&amp;"",tbl_Finance[Xero Invoice No],"&lt;&gt;"),LOOKUP(2,1/((tbl_Finance[Job Number]=C283&amp;"")*(tbl_Finance[Xero Invoice No]&lt;&gt;"")),tbl_Finance[Xero Invoice No]),LOOKUP(2,1/((tbl_Finance[Job Number]=C283&amp;"")*(tbl_Finance[Xero Invoice No]&lt;&gt;"")),tbl_Finance[Xero Invoice No])&amp;" +more"),"")))</f>
        <v/>
      </c>
      <c r="C283" s="24" t="n"/>
      <c r="D283" s="25">
        <f>IF(C283="","",IF(COUNTIF(lst_Jobs,C283&amp;"")&gt;0,"OK","CHECK"))</f>
        <v/>
      </c>
      <c r="E283" s="25">
        <f>IF(C283="","",IFERROR(INDEX(lst_JobName,MATCH(C283&amp;"",lst_Jobs,0)),""))</f>
        <v/>
      </c>
      <c r="F283" s="25">
        <f>IF(C283="","",IFERROR(INDEX(tbl_Finance[Client],MATCH(C283&amp;"",tbl_Finance[Job Number],0)),""))</f>
        <v/>
      </c>
      <c r="G283" s="28">
        <f>IF(C283="","",COUNTIFS(tbl_Finance[Job Number],C283&amp;"",tbl_Finance[Ex GST],"&lt;&gt;"))</f>
        <v/>
      </c>
      <c r="H283" s="27">
        <f>IF(C283="","",SUMIFS(tbl_Finance[Ex GST],tbl_Finance[Job Number],C283&amp;""))</f>
        <v/>
      </c>
      <c r="I283" s="27">
        <f>IF(C283="","",SUMIFS(tbl_Finance[Ex GST],tbl_Finance[Job Number],C283&amp;"",tbl_Finance[Xero Invoice No],"&lt;&gt;"))</f>
        <v/>
      </c>
      <c r="J283" s="27">
        <f>IF(C283="","",H283-I283)</f>
        <v/>
      </c>
      <c r="K283" s="25">
        <f>IF(C283="","",IF(G283=0,"not invoiced yet",SUBSTITUTE(TRIM(IF(COUNTIFS(tbl_Finance[Job Number],C283&amp;"",tbl_Finance[Cost Centre],"ONSITE")&gt;0,"ONSITE ","")&amp;IF(COUNTIFS(tbl_Finance[Job Number],C283&amp;"",tbl_Finance[Cost Centre],"PRODUCTION")&gt;0,"PRODUCTION ","")&amp;IF(COUNTIFS(tbl_Finance[Job Number],C283&amp;"",tbl_Finance[Cost Centre],"VIDEO")&gt;0,"VIDEO ","")&amp;IF(COUNTIFS(tbl_Finance[Job Number],C283&amp;"",tbl_Finance[Cost Centre],"INTEGRATION")&gt;0,"INTEGRATION ","")&amp;IF(COUNTIFS(tbl_Finance[Job Number],C283&amp;"",tbl_Finance[Cost Centre],"CONSULTING")&gt;0,"CONSULTING ","")&amp;IF(COUNTIFS(tbl_Finance[Job Number],C283&amp;"",tbl_Finance[Cost Centre],"CTS")&gt;0,"CTS ",""))," ",", ")))</f>
        <v/>
      </c>
      <c r="L283" s="24" t="n"/>
      <c r="M283" s="24" t="n"/>
      <c r="N283" s="25">
        <f>IF(M283="","",HYPERLINK(IF(LEFT(M283,4)="http",M283,set_QwilrBase&amp;M283),"Open quote"))</f>
        <v/>
      </c>
      <c r="O283" s="69" t="n"/>
      <c r="P283" s="24" t="n"/>
      <c r="Q283" s="24" t="n"/>
    </row>
    <row r="284" ht="15" customHeight="1">
      <c r="A284" s="68">
        <f>IF(C284="","",IFERROR(IF(SUMPRODUCT(MAX((tbl_Finance[Job Number]=C284&amp;"")*(tbl_Finance[Xero Invoice No]&lt;&gt;"")*tbl_Finance[Date]))=0,"",SUMPRODUCT(MAX((tbl_Finance[Job Number]=C284&amp;"")*(tbl_Finance[Xero Invoice No]&lt;&gt;"")*tbl_Finance[Date]))),""))</f>
        <v/>
      </c>
      <c r="B284" s="25">
        <f>IF(C284="","",IF(COUNTIFS(tbl_Finance[Job Number],C284&amp;"",tbl_Finance[Xero Invoice No],"&lt;&gt;")=0,"",IFERROR(IF(COUNTIFS(tbl_Finance[Job Number],C284&amp;"",tbl_Finance[Xero Invoice No],LOOKUP(2,1/((tbl_Finance[Job Number]=C284&amp;"")*(tbl_Finance[Xero Invoice No]&lt;&gt;"")),tbl_Finance[Xero Invoice No]))=COUNTIFS(tbl_Finance[Job Number],C284&amp;"",tbl_Finance[Xero Invoice No],"&lt;&gt;"),LOOKUP(2,1/((tbl_Finance[Job Number]=C284&amp;"")*(tbl_Finance[Xero Invoice No]&lt;&gt;"")),tbl_Finance[Xero Invoice No]),LOOKUP(2,1/((tbl_Finance[Job Number]=C284&amp;"")*(tbl_Finance[Xero Invoice No]&lt;&gt;"")),tbl_Finance[Xero Invoice No])&amp;" +more"),"")))</f>
        <v/>
      </c>
      <c r="C284" s="24" t="n"/>
      <c r="D284" s="25">
        <f>IF(C284="","",IF(COUNTIF(lst_Jobs,C284&amp;"")&gt;0,"OK","CHECK"))</f>
        <v/>
      </c>
      <c r="E284" s="25">
        <f>IF(C284="","",IFERROR(INDEX(lst_JobName,MATCH(C284&amp;"",lst_Jobs,0)),""))</f>
        <v/>
      </c>
      <c r="F284" s="25">
        <f>IF(C284="","",IFERROR(INDEX(tbl_Finance[Client],MATCH(C284&amp;"",tbl_Finance[Job Number],0)),""))</f>
        <v/>
      </c>
      <c r="G284" s="28">
        <f>IF(C284="","",COUNTIFS(tbl_Finance[Job Number],C284&amp;"",tbl_Finance[Ex GST],"&lt;&gt;"))</f>
        <v/>
      </c>
      <c r="H284" s="27">
        <f>IF(C284="","",SUMIFS(tbl_Finance[Ex GST],tbl_Finance[Job Number],C284&amp;""))</f>
        <v/>
      </c>
      <c r="I284" s="27">
        <f>IF(C284="","",SUMIFS(tbl_Finance[Ex GST],tbl_Finance[Job Number],C284&amp;"",tbl_Finance[Xero Invoice No],"&lt;&gt;"))</f>
        <v/>
      </c>
      <c r="J284" s="27">
        <f>IF(C284="","",H284-I284)</f>
        <v/>
      </c>
      <c r="K284" s="25">
        <f>IF(C284="","",IF(G284=0,"not invoiced yet",SUBSTITUTE(TRIM(IF(COUNTIFS(tbl_Finance[Job Number],C284&amp;"",tbl_Finance[Cost Centre],"ONSITE")&gt;0,"ONSITE ","")&amp;IF(COUNTIFS(tbl_Finance[Job Number],C284&amp;"",tbl_Finance[Cost Centre],"PRODUCTION")&gt;0,"PRODUCTION ","")&amp;IF(COUNTIFS(tbl_Finance[Job Number],C284&amp;"",tbl_Finance[Cost Centre],"VIDEO")&gt;0,"VIDEO ","")&amp;IF(COUNTIFS(tbl_Finance[Job Number],C284&amp;"",tbl_Finance[Cost Centre],"INTEGRATION")&gt;0,"INTEGRATION ","")&amp;IF(COUNTIFS(tbl_Finance[Job Number],C284&amp;"",tbl_Finance[Cost Centre],"CONSULTING")&gt;0,"CONSULTING ","")&amp;IF(COUNTIFS(tbl_Finance[Job Number],C284&amp;"",tbl_Finance[Cost Centre],"CTS")&gt;0,"CTS ",""))," ",", ")))</f>
        <v/>
      </c>
      <c r="L284" s="24" t="n"/>
      <c r="M284" s="24" t="n"/>
      <c r="N284" s="25">
        <f>IF(M284="","",HYPERLINK(IF(LEFT(M284,4)="http",M284,set_QwilrBase&amp;M284),"Open quote"))</f>
        <v/>
      </c>
      <c r="O284" s="69" t="n"/>
      <c r="P284" s="24" t="n"/>
      <c r="Q284" s="24" t="n"/>
    </row>
    <row r="285" ht="15" customHeight="1">
      <c r="A285" s="68">
        <f>IF(C285="","",IFERROR(IF(SUMPRODUCT(MAX((tbl_Finance[Job Number]=C285&amp;"")*(tbl_Finance[Xero Invoice No]&lt;&gt;"")*tbl_Finance[Date]))=0,"",SUMPRODUCT(MAX((tbl_Finance[Job Number]=C285&amp;"")*(tbl_Finance[Xero Invoice No]&lt;&gt;"")*tbl_Finance[Date]))),""))</f>
        <v/>
      </c>
      <c r="B285" s="25">
        <f>IF(C285="","",IF(COUNTIFS(tbl_Finance[Job Number],C285&amp;"",tbl_Finance[Xero Invoice No],"&lt;&gt;")=0,"",IFERROR(IF(COUNTIFS(tbl_Finance[Job Number],C285&amp;"",tbl_Finance[Xero Invoice No],LOOKUP(2,1/((tbl_Finance[Job Number]=C285&amp;"")*(tbl_Finance[Xero Invoice No]&lt;&gt;"")),tbl_Finance[Xero Invoice No]))=COUNTIFS(tbl_Finance[Job Number],C285&amp;"",tbl_Finance[Xero Invoice No],"&lt;&gt;"),LOOKUP(2,1/((tbl_Finance[Job Number]=C285&amp;"")*(tbl_Finance[Xero Invoice No]&lt;&gt;"")),tbl_Finance[Xero Invoice No]),LOOKUP(2,1/((tbl_Finance[Job Number]=C285&amp;"")*(tbl_Finance[Xero Invoice No]&lt;&gt;"")),tbl_Finance[Xero Invoice No])&amp;" +more"),"")))</f>
        <v/>
      </c>
      <c r="C285" s="24" t="n"/>
      <c r="D285" s="25">
        <f>IF(C285="","",IF(COUNTIF(lst_Jobs,C285&amp;"")&gt;0,"OK","CHECK"))</f>
        <v/>
      </c>
      <c r="E285" s="25">
        <f>IF(C285="","",IFERROR(INDEX(lst_JobName,MATCH(C285&amp;"",lst_Jobs,0)),""))</f>
        <v/>
      </c>
      <c r="F285" s="25">
        <f>IF(C285="","",IFERROR(INDEX(tbl_Finance[Client],MATCH(C285&amp;"",tbl_Finance[Job Number],0)),""))</f>
        <v/>
      </c>
      <c r="G285" s="28">
        <f>IF(C285="","",COUNTIFS(tbl_Finance[Job Number],C285&amp;"",tbl_Finance[Ex GST],"&lt;&gt;"))</f>
        <v/>
      </c>
      <c r="H285" s="27">
        <f>IF(C285="","",SUMIFS(tbl_Finance[Ex GST],tbl_Finance[Job Number],C285&amp;""))</f>
        <v/>
      </c>
      <c r="I285" s="27">
        <f>IF(C285="","",SUMIFS(tbl_Finance[Ex GST],tbl_Finance[Job Number],C285&amp;"",tbl_Finance[Xero Invoice No],"&lt;&gt;"))</f>
        <v/>
      </c>
      <c r="J285" s="27">
        <f>IF(C285="","",H285-I285)</f>
        <v/>
      </c>
      <c r="K285" s="25">
        <f>IF(C285="","",IF(G285=0,"not invoiced yet",SUBSTITUTE(TRIM(IF(COUNTIFS(tbl_Finance[Job Number],C285&amp;"",tbl_Finance[Cost Centre],"ONSITE")&gt;0,"ONSITE ","")&amp;IF(COUNTIFS(tbl_Finance[Job Number],C285&amp;"",tbl_Finance[Cost Centre],"PRODUCTION")&gt;0,"PRODUCTION ","")&amp;IF(COUNTIFS(tbl_Finance[Job Number],C285&amp;"",tbl_Finance[Cost Centre],"VIDEO")&gt;0,"VIDEO ","")&amp;IF(COUNTIFS(tbl_Finance[Job Number],C285&amp;"",tbl_Finance[Cost Centre],"INTEGRATION")&gt;0,"INTEGRATION ","")&amp;IF(COUNTIFS(tbl_Finance[Job Number],C285&amp;"",tbl_Finance[Cost Centre],"CONSULTING")&gt;0,"CONSULTING ","")&amp;IF(COUNTIFS(tbl_Finance[Job Number],C285&amp;"",tbl_Finance[Cost Centre],"CTS")&gt;0,"CTS ",""))," ",", ")))</f>
        <v/>
      </c>
      <c r="L285" s="24" t="n"/>
      <c r="M285" s="24" t="n"/>
      <c r="N285" s="25">
        <f>IF(M285="","",HYPERLINK(IF(LEFT(M285,4)="http",M285,set_QwilrBase&amp;M285),"Open quote"))</f>
        <v/>
      </c>
      <c r="O285" s="69" t="n"/>
      <c r="P285" s="24" t="n"/>
      <c r="Q285" s="24" t="n"/>
    </row>
    <row r="286" ht="15" customHeight="1">
      <c r="A286" s="68">
        <f>IF(C286="","",IFERROR(IF(SUMPRODUCT(MAX((tbl_Finance[Job Number]=C286&amp;"")*(tbl_Finance[Xero Invoice No]&lt;&gt;"")*tbl_Finance[Date]))=0,"",SUMPRODUCT(MAX((tbl_Finance[Job Number]=C286&amp;"")*(tbl_Finance[Xero Invoice No]&lt;&gt;"")*tbl_Finance[Date]))),""))</f>
        <v/>
      </c>
      <c r="B286" s="25">
        <f>IF(C286="","",IF(COUNTIFS(tbl_Finance[Job Number],C286&amp;"",tbl_Finance[Xero Invoice No],"&lt;&gt;")=0,"",IFERROR(IF(COUNTIFS(tbl_Finance[Job Number],C286&amp;"",tbl_Finance[Xero Invoice No],LOOKUP(2,1/((tbl_Finance[Job Number]=C286&amp;"")*(tbl_Finance[Xero Invoice No]&lt;&gt;"")),tbl_Finance[Xero Invoice No]))=COUNTIFS(tbl_Finance[Job Number],C286&amp;"",tbl_Finance[Xero Invoice No],"&lt;&gt;"),LOOKUP(2,1/((tbl_Finance[Job Number]=C286&amp;"")*(tbl_Finance[Xero Invoice No]&lt;&gt;"")),tbl_Finance[Xero Invoice No]),LOOKUP(2,1/((tbl_Finance[Job Number]=C286&amp;"")*(tbl_Finance[Xero Invoice No]&lt;&gt;"")),tbl_Finance[Xero Invoice No])&amp;" +more"),"")))</f>
        <v/>
      </c>
      <c r="C286" s="24" t="n"/>
      <c r="D286" s="25">
        <f>IF(C286="","",IF(COUNTIF(lst_Jobs,C286&amp;"")&gt;0,"OK","CHECK"))</f>
        <v/>
      </c>
      <c r="E286" s="25">
        <f>IF(C286="","",IFERROR(INDEX(lst_JobName,MATCH(C286&amp;"",lst_Jobs,0)),""))</f>
        <v/>
      </c>
      <c r="F286" s="25">
        <f>IF(C286="","",IFERROR(INDEX(tbl_Finance[Client],MATCH(C286&amp;"",tbl_Finance[Job Number],0)),""))</f>
        <v/>
      </c>
      <c r="G286" s="28">
        <f>IF(C286="","",COUNTIFS(tbl_Finance[Job Number],C286&amp;"",tbl_Finance[Ex GST],"&lt;&gt;"))</f>
        <v/>
      </c>
      <c r="H286" s="27">
        <f>IF(C286="","",SUMIFS(tbl_Finance[Ex GST],tbl_Finance[Job Number],C286&amp;""))</f>
        <v/>
      </c>
      <c r="I286" s="27">
        <f>IF(C286="","",SUMIFS(tbl_Finance[Ex GST],tbl_Finance[Job Number],C286&amp;"",tbl_Finance[Xero Invoice No],"&lt;&gt;"))</f>
        <v/>
      </c>
      <c r="J286" s="27">
        <f>IF(C286="","",H286-I286)</f>
        <v/>
      </c>
      <c r="K286" s="25">
        <f>IF(C286="","",IF(G286=0,"not invoiced yet",SUBSTITUTE(TRIM(IF(COUNTIFS(tbl_Finance[Job Number],C286&amp;"",tbl_Finance[Cost Centre],"ONSITE")&gt;0,"ONSITE ","")&amp;IF(COUNTIFS(tbl_Finance[Job Number],C286&amp;"",tbl_Finance[Cost Centre],"PRODUCTION")&gt;0,"PRODUCTION ","")&amp;IF(COUNTIFS(tbl_Finance[Job Number],C286&amp;"",tbl_Finance[Cost Centre],"VIDEO")&gt;0,"VIDEO ","")&amp;IF(COUNTIFS(tbl_Finance[Job Number],C286&amp;"",tbl_Finance[Cost Centre],"INTEGRATION")&gt;0,"INTEGRATION ","")&amp;IF(COUNTIFS(tbl_Finance[Job Number],C286&amp;"",tbl_Finance[Cost Centre],"CONSULTING")&gt;0,"CONSULTING ","")&amp;IF(COUNTIFS(tbl_Finance[Job Number],C286&amp;"",tbl_Finance[Cost Centre],"CTS")&gt;0,"CTS ",""))," ",", ")))</f>
        <v/>
      </c>
      <c r="L286" s="24" t="n"/>
      <c r="M286" s="24" t="n"/>
      <c r="N286" s="25">
        <f>IF(M286="","",HYPERLINK(IF(LEFT(M286,4)="http",M286,set_QwilrBase&amp;M286),"Open quote"))</f>
        <v/>
      </c>
      <c r="O286" s="69" t="n"/>
      <c r="P286" s="24" t="n"/>
      <c r="Q286" s="24" t="n"/>
    </row>
    <row r="287" ht="15" customHeight="1">
      <c r="A287" s="68">
        <f>IF(C287="","",IFERROR(IF(SUMPRODUCT(MAX((tbl_Finance[Job Number]=C287&amp;"")*(tbl_Finance[Xero Invoice No]&lt;&gt;"")*tbl_Finance[Date]))=0,"",SUMPRODUCT(MAX((tbl_Finance[Job Number]=C287&amp;"")*(tbl_Finance[Xero Invoice No]&lt;&gt;"")*tbl_Finance[Date]))),""))</f>
        <v/>
      </c>
      <c r="B287" s="25">
        <f>IF(C287="","",IF(COUNTIFS(tbl_Finance[Job Number],C287&amp;"",tbl_Finance[Xero Invoice No],"&lt;&gt;")=0,"",IFERROR(IF(COUNTIFS(tbl_Finance[Job Number],C287&amp;"",tbl_Finance[Xero Invoice No],LOOKUP(2,1/((tbl_Finance[Job Number]=C287&amp;"")*(tbl_Finance[Xero Invoice No]&lt;&gt;"")),tbl_Finance[Xero Invoice No]))=COUNTIFS(tbl_Finance[Job Number],C287&amp;"",tbl_Finance[Xero Invoice No],"&lt;&gt;"),LOOKUP(2,1/((tbl_Finance[Job Number]=C287&amp;"")*(tbl_Finance[Xero Invoice No]&lt;&gt;"")),tbl_Finance[Xero Invoice No]),LOOKUP(2,1/((tbl_Finance[Job Number]=C287&amp;"")*(tbl_Finance[Xero Invoice No]&lt;&gt;"")),tbl_Finance[Xero Invoice No])&amp;" +more"),"")))</f>
        <v/>
      </c>
      <c r="C287" s="24" t="n"/>
      <c r="D287" s="25">
        <f>IF(C287="","",IF(COUNTIF(lst_Jobs,C287&amp;"")&gt;0,"OK","CHECK"))</f>
        <v/>
      </c>
      <c r="E287" s="25">
        <f>IF(C287="","",IFERROR(INDEX(lst_JobName,MATCH(C287&amp;"",lst_Jobs,0)),""))</f>
        <v/>
      </c>
      <c r="F287" s="25">
        <f>IF(C287="","",IFERROR(INDEX(tbl_Finance[Client],MATCH(C287&amp;"",tbl_Finance[Job Number],0)),""))</f>
        <v/>
      </c>
      <c r="G287" s="28">
        <f>IF(C287="","",COUNTIFS(tbl_Finance[Job Number],C287&amp;"",tbl_Finance[Ex GST],"&lt;&gt;"))</f>
        <v/>
      </c>
      <c r="H287" s="27">
        <f>IF(C287="","",SUMIFS(tbl_Finance[Ex GST],tbl_Finance[Job Number],C287&amp;""))</f>
        <v/>
      </c>
      <c r="I287" s="27">
        <f>IF(C287="","",SUMIFS(tbl_Finance[Ex GST],tbl_Finance[Job Number],C287&amp;"",tbl_Finance[Xero Invoice No],"&lt;&gt;"))</f>
        <v/>
      </c>
      <c r="J287" s="27">
        <f>IF(C287="","",H287-I287)</f>
        <v/>
      </c>
      <c r="K287" s="25">
        <f>IF(C287="","",IF(G287=0,"not invoiced yet",SUBSTITUTE(TRIM(IF(COUNTIFS(tbl_Finance[Job Number],C287&amp;"",tbl_Finance[Cost Centre],"ONSITE")&gt;0,"ONSITE ","")&amp;IF(COUNTIFS(tbl_Finance[Job Number],C287&amp;"",tbl_Finance[Cost Centre],"PRODUCTION")&gt;0,"PRODUCTION ","")&amp;IF(COUNTIFS(tbl_Finance[Job Number],C287&amp;"",tbl_Finance[Cost Centre],"VIDEO")&gt;0,"VIDEO ","")&amp;IF(COUNTIFS(tbl_Finance[Job Number],C287&amp;"",tbl_Finance[Cost Centre],"INTEGRATION")&gt;0,"INTEGRATION ","")&amp;IF(COUNTIFS(tbl_Finance[Job Number],C287&amp;"",tbl_Finance[Cost Centre],"CONSULTING")&gt;0,"CONSULTING ","")&amp;IF(COUNTIFS(tbl_Finance[Job Number],C287&amp;"",tbl_Finance[Cost Centre],"CTS")&gt;0,"CTS ",""))," ",", ")))</f>
        <v/>
      </c>
      <c r="L287" s="24" t="n"/>
      <c r="M287" s="24" t="n"/>
      <c r="N287" s="25">
        <f>IF(M287="","",HYPERLINK(IF(LEFT(M287,4)="http",M287,set_QwilrBase&amp;M287),"Open quote"))</f>
        <v/>
      </c>
      <c r="O287" s="69" t="n"/>
      <c r="P287" s="24" t="n"/>
      <c r="Q287" s="24" t="n"/>
    </row>
    <row r="288" ht="15" customHeight="1">
      <c r="A288" s="68">
        <f>IF(C288="","",IFERROR(IF(SUMPRODUCT(MAX((tbl_Finance[Job Number]=C288&amp;"")*(tbl_Finance[Xero Invoice No]&lt;&gt;"")*tbl_Finance[Date]))=0,"",SUMPRODUCT(MAX((tbl_Finance[Job Number]=C288&amp;"")*(tbl_Finance[Xero Invoice No]&lt;&gt;"")*tbl_Finance[Date]))),""))</f>
        <v/>
      </c>
      <c r="B288" s="25">
        <f>IF(C288="","",IF(COUNTIFS(tbl_Finance[Job Number],C288&amp;"",tbl_Finance[Xero Invoice No],"&lt;&gt;")=0,"",IFERROR(IF(COUNTIFS(tbl_Finance[Job Number],C288&amp;"",tbl_Finance[Xero Invoice No],LOOKUP(2,1/((tbl_Finance[Job Number]=C288&amp;"")*(tbl_Finance[Xero Invoice No]&lt;&gt;"")),tbl_Finance[Xero Invoice No]))=COUNTIFS(tbl_Finance[Job Number],C288&amp;"",tbl_Finance[Xero Invoice No],"&lt;&gt;"),LOOKUP(2,1/((tbl_Finance[Job Number]=C288&amp;"")*(tbl_Finance[Xero Invoice No]&lt;&gt;"")),tbl_Finance[Xero Invoice No]),LOOKUP(2,1/((tbl_Finance[Job Number]=C288&amp;"")*(tbl_Finance[Xero Invoice No]&lt;&gt;"")),tbl_Finance[Xero Invoice No])&amp;" +more"),"")))</f>
        <v/>
      </c>
      <c r="C288" s="24" t="n"/>
      <c r="D288" s="25">
        <f>IF(C288="","",IF(COUNTIF(lst_Jobs,C288&amp;"")&gt;0,"OK","CHECK"))</f>
        <v/>
      </c>
      <c r="E288" s="25">
        <f>IF(C288="","",IFERROR(INDEX(lst_JobName,MATCH(C288&amp;"",lst_Jobs,0)),""))</f>
        <v/>
      </c>
      <c r="F288" s="25">
        <f>IF(C288="","",IFERROR(INDEX(tbl_Finance[Client],MATCH(C288&amp;"",tbl_Finance[Job Number],0)),""))</f>
        <v/>
      </c>
      <c r="G288" s="28">
        <f>IF(C288="","",COUNTIFS(tbl_Finance[Job Number],C288&amp;"",tbl_Finance[Ex GST],"&lt;&gt;"))</f>
        <v/>
      </c>
      <c r="H288" s="27">
        <f>IF(C288="","",SUMIFS(tbl_Finance[Ex GST],tbl_Finance[Job Number],C288&amp;""))</f>
        <v/>
      </c>
      <c r="I288" s="27">
        <f>IF(C288="","",SUMIFS(tbl_Finance[Ex GST],tbl_Finance[Job Number],C288&amp;"",tbl_Finance[Xero Invoice No],"&lt;&gt;"))</f>
        <v/>
      </c>
      <c r="J288" s="27">
        <f>IF(C288="","",H288-I288)</f>
        <v/>
      </c>
      <c r="K288" s="25">
        <f>IF(C288="","",IF(G288=0,"not invoiced yet",SUBSTITUTE(TRIM(IF(COUNTIFS(tbl_Finance[Job Number],C288&amp;"",tbl_Finance[Cost Centre],"ONSITE")&gt;0,"ONSITE ","")&amp;IF(COUNTIFS(tbl_Finance[Job Number],C288&amp;"",tbl_Finance[Cost Centre],"PRODUCTION")&gt;0,"PRODUCTION ","")&amp;IF(COUNTIFS(tbl_Finance[Job Number],C288&amp;"",tbl_Finance[Cost Centre],"VIDEO")&gt;0,"VIDEO ","")&amp;IF(COUNTIFS(tbl_Finance[Job Number],C288&amp;"",tbl_Finance[Cost Centre],"INTEGRATION")&gt;0,"INTEGRATION ","")&amp;IF(COUNTIFS(tbl_Finance[Job Number],C288&amp;"",tbl_Finance[Cost Centre],"CONSULTING")&gt;0,"CONSULTING ","")&amp;IF(COUNTIFS(tbl_Finance[Job Number],C288&amp;"",tbl_Finance[Cost Centre],"CTS")&gt;0,"CTS ",""))," ",", ")))</f>
        <v/>
      </c>
      <c r="L288" s="24" t="n"/>
      <c r="M288" s="24" t="n"/>
      <c r="N288" s="25">
        <f>IF(M288="","",HYPERLINK(IF(LEFT(M288,4)="http",M288,set_QwilrBase&amp;M288),"Open quote"))</f>
        <v/>
      </c>
      <c r="O288" s="69" t="n"/>
      <c r="P288" s="24" t="n"/>
      <c r="Q288" s="24" t="n"/>
    </row>
    <row r="289" ht="15" customHeight="1">
      <c r="A289" s="68">
        <f>IF(C289="","",IFERROR(IF(SUMPRODUCT(MAX((tbl_Finance[Job Number]=C289&amp;"")*(tbl_Finance[Xero Invoice No]&lt;&gt;"")*tbl_Finance[Date]))=0,"",SUMPRODUCT(MAX((tbl_Finance[Job Number]=C289&amp;"")*(tbl_Finance[Xero Invoice No]&lt;&gt;"")*tbl_Finance[Date]))),""))</f>
        <v/>
      </c>
      <c r="B289" s="25">
        <f>IF(C289="","",IF(COUNTIFS(tbl_Finance[Job Number],C289&amp;"",tbl_Finance[Xero Invoice No],"&lt;&gt;")=0,"",IFERROR(IF(COUNTIFS(tbl_Finance[Job Number],C289&amp;"",tbl_Finance[Xero Invoice No],LOOKUP(2,1/((tbl_Finance[Job Number]=C289&amp;"")*(tbl_Finance[Xero Invoice No]&lt;&gt;"")),tbl_Finance[Xero Invoice No]))=COUNTIFS(tbl_Finance[Job Number],C289&amp;"",tbl_Finance[Xero Invoice No],"&lt;&gt;"),LOOKUP(2,1/((tbl_Finance[Job Number]=C289&amp;"")*(tbl_Finance[Xero Invoice No]&lt;&gt;"")),tbl_Finance[Xero Invoice No]),LOOKUP(2,1/((tbl_Finance[Job Number]=C289&amp;"")*(tbl_Finance[Xero Invoice No]&lt;&gt;"")),tbl_Finance[Xero Invoice No])&amp;" +more"),"")))</f>
        <v/>
      </c>
      <c r="C289" s="24" t="n"/>
      <c r="D289" s="25">
        <f>IF(C289="","",IF(COUNTIF(lst_Jobs,C289&amp;"")&gt;0,"OK","CHECK"))</f>
        <v/>
      </c>
      <c r="E289" s="25">
        <f>IF(C289="","",IFERROR(INDEX(lst_JobName,MATCH(C289&amp;"",lst_Jobs,0)),""))</f>
        <v/>
      </c>
      <c r="F289" s="25">
        <f>IF(C289="","",IFERROR(INDEX(tbl_Finance[Client],MATCH(C289&amp;"",tbl_Finance[Job Number],0)),""))</f>
        <v/>
      </c>
      <c r="G289" s="28">
        <f>IF(C289="","",COUNTIFS(tbl_Finance[Job Number],C289&amp;"",tbl_Finance[Ex GST],"&lt;&gt;"))</f>
        <v/>
      </c>
      <c r="H289" s="27">
        <f>IF(C289="","",SUMIFS(tbl_Finance[Ex GST],tbl_Finance[Job Number],C289&amp;""))</f>
        <v/>
      </c>
      <c r="I289" s="27">
        <f>IF(C289="","",SUMIFS(tbl_Finance[Ex GST],tbl_Finance[Job Number],C289&amp;"",tbl_Finance[Xero Invoice No],"&lt;&gt;"))</f>
        <v/>
      </c>
      <c r="J289" s="27">
        <f>IF(C289="","",H289-I289)</f>
        <v/>
      </c>
      <c r="K289" s="25">
        <f>IF(C289="","",IF(G289=0,"not invoiced yet",SUBSTITUTE(TRIM(IF(COUNTIFS(tbl_Finance[Job Number],C289&amp;"",tbl_Finance[Cost Centre],"ONSITE")&gt;0,"ONSITE ","")&amp;IF(COUNTIFS(tbl_Finance[Job Number],C289&amp;"",tbl_Finance[Cost Centre],"PRODUCTION")&gt;0,"PRODUCTION ","")&amp;IF(COUNTIFS(tbl_Finance[Job Number],C289&amp;"",tbl_Finance[Cost Centre],"VIDEO")&gt;0,"VIDEO ","")&amp;IF(COUNTIFS(tbl_Finance[Job Number],C289&amp;"",tbl_Finance[Cost Centre],"INTEGRATION")&gt;0,"INTEGRATION ","")&amp;IF(COUNTIFS(tbl_Finance[Job Number],C289&amp;"",tbl_Finance[Cost Centre],"CONSULTING")&gt;0,"CONSULTING ","")&amp;IF(COUNTIFS(tbl_Finance[Job Number],C289&amp;"",tbl_Finance[Cost Centre],"CTS")&gt;0,"CTS ",""))," ",", ")))</f>
        <v/>
      </c>
      <c r="L289" s="24" t="n"/>
      <c r="M289" s="24" t="n"/>
      <c r="N289" s="25">
        <f>IF(M289="","",HYPERLINK(IF(LEFT(M289,4)="http",M289,set_QwilrBase&amp;M289),"Open quote"))</f>
        <v/>
      </c>
      <c r="O289" s="69" t="n"/>
      <c r="P289" s="24" t="n"/>
      <c r="Q289" s="24" t="n"/>
    </row>
    <row r="290" ht="15" customHeight="1">
      <c r="A290" s="68">
        <f>IF(C290="","",IFERROR(IF(SUMPRODUCT(MAX((tbl_Finance[Job Number]=C290&amp;"")*(tbl_Finance[Xero Invoice No]&lt;&gt;"")*tbl_Finance[Date]))=0,"",SUMPRODUCT(MAX((tbl_Finance[Job Number]=C290&amp;"")*(tbl_Finance[Xero Invoice No]&lt;&gt;"")*tbl_Finance[Date]))),""))</f>
        <v/>
      </c>
      <c r="B290" s="25">
        <f>IF(C290="","",IF(COUNTIFS(tbl_Finance[Job Number],C290&amp;"",tbl_Finance[Xero Invoice No],"&lt;&gt;")=0,"",IFERROR(IF(COUNTIFS(tbl_Finance[Job Number],C290&amp;"",tbl_Finance[Xero Invoice No],LOOKUP(2,1/((tbl_Finance[Job Number]=C290&amp;"")*(tbl_Finance[Xero Invoice No]&lt;&gt;"")),tbl_Finance[Xero Invoice No]))=COUNTIFS(tbl_Finance[Job Number],C290&amp;"",tbl_Finance[Xero Invoice No],"&lt;&gt;"),LOOKUP(2,1/((tbl_Finance[Job Number]=C290&amp;"")*(tbl_Finance[Xero Invoice No]&lt;&gt;"")),tbl_Finance[Xero Invoice No]),LOOKUP(2,1/((tbl_Finance[Job Number]=C290&amp;"")*(tbl_Finance[Xero Invoice No]&lt;&gt;"")),tbl_Finance[Xero Invoice No])&amp;" +more"),"")))</f>
        <v/>
      </c>
      <c r="C290" s="24" t="n"/>
      <c r="D290" s="25">
        <f>IF(C290="","",IF(COUNTIF(lst_Jobs,C290&amp;"")&gt;0,"OK","CHECK"))</f>
        <v/>
      </c>
      <c r="E290" s="25">
        <f>IF(C290="","",IFERROR(INDEX(lst_JobName,MATCH(C290&amp;"",lst_Jobs,0)),""))</f>
        <v/>
      </c>
      <c r="F290" s="25">
        <f>IF(C290="","",IFERROR(INDEX(tbl_Finance[Client],MATCH(C290&amp;"",tbl_Finance[Job Number],0)),""))</f>
        <v/>
      </c>
      <c r="G290" s="28">
        <f>IF(C290="","",COUNTIFS(tbl_Finance[Job Number],C290&amp;"",tbl_Finance[Ex GST],"&lt;&gt;"))</f>
        <v/>
      </c>
      <c r="H290" s="27">
        <f>IF(C290="","",SUMIFS(tbl_Finance[Ex GST],tbl_Finance[Job Number],C290&amp;""))</f>
        <v/>
      </c>
      <c r="I290" s="27">
        <f>IF(C290="","",SUMIFS(tbl_Finance[Ex GST],tbl_Finance[Job Number],C290&amp;"",tbl_Finance[Xero Invoice No],"&lt;&gt;"))</f>
        <v/>
      </c>
      <c r="J290" s="27">
        <f>IF(C290="","",H290-I290)</f>
        <v/>
      </c>
      <c r="K290" s="25">
        <f>IF(C290="","",IF(G290=0,"not invoiced yet",SUBSTITUTE(TRIM(IF(COUNTIFS(tbl_Finance[Job Number],C290&amp;"",tbl_Finance[Cost Centre],"ONSITE")&gt;0,"ONSITE ","")&amp;IF(COUNTIFS(tbl_Finance[Job Number],C290&amp;"",tbl_Finance[Cost Centre],"PRODUCTION")&gt;0,"PRODUCTION ","")&amp;IF(COUNTIFS(tbl_Finance[Job Number],C290&amp;"",tbl_Finance[Cost Centre],"VIDEO")&gt;0,"VIDEO ","")&amp;IF(COUNTIFS(tbl_Finance[Job Number],C290&amp;"",tbl_Finance[Cost Centre],"INTEGRATION")&gt;0,"INTEGRATION ","")&amp;IF(COUNTIFS(tbl_Finance[Job Number],C290&amp;"",tbl_Finance[Cost Centre],"CONSULTING")&gt;0,"CONSULTING ","")&amp;IF(COUNTIFS(tbl_Finance[Job Number],C290&amp;"",tbl_Finance[Cost Centre],"CTS")&gt;0,"CTS ",""))," ",", ")))</f>
        <v/>
      </c>
      <c r="L290" s="24" t="n"/>
      <c r="M290" s="24" t="n"/>
      <c r="N290" s="25">
        <f>IF(M290="","",HYPERLINK(IF(LEFT(M290,4)="http",M290,set_QwilrBase&amp;M290),"Open quote"))</f>
        <v/>
      </c>
      <c r="O290" s="69" t="n"/>
      <c r="P290" s="24" t="n"/>
      <c r="Q290" s="24" t="n"/>
    </row>
    <row r="291" ht="15" customHeight="1">
      <c r="A291" s="68">
        <f>IF(C291="","",IFERROR(IF(SUMPRODUCT(MAX((tbl_Finance[Job Number]=C291&amp;"")*(tbl_Finance[Xero Invoice No]&lt;&gt;"")*tbl_Finance[Date]))=0,"",SUMPRODUCT(MAX((tbl_Finance[Job Number]=C291&amp;"")*(tbl_Finance[Xero Invoice No]&lt;&gt;"")*tbl_Finance[Date]))),""))</f>
        <v/>
      </c>
      <c r="B291" s="25">
        <f>IF(C291="","",IF(COUNTIFS(tbl_Finance[Job Number],C291&amp;"",tbl_Finance[Xero Invoice No],"&lt;&gt;")=0,"",IFERROR(IF(COUNTIFS(tbl_Finance[Job Number],C291&amp;"",tbl_Finance[Xero Invoice No],LOOKUP(2,1/((tbl_Finance[Job Number]=C291&amp;"")*(tbl_Finance[Xero Invoice No]&lt;&gt;"")),tbl_Finance[Xero Invoice No]))=COUNTIFS(tbl_Finance[Job Number],C291&amp;"",tbl_Finance[Xero Invoice No],"&lt;&gt;"),LOOKUP(2,1/((tbl_Finance[Job Number]=C291&amp;"")*(tbl_Finance[Xero Invoice No]&lt;&gt;"")),tbl_Finance[Xero Invoice No]),LOOKUP(2,1/((tbl_Finance[Job Number]=C291&amp;"")*(tbl_Finance[Xero Invoice No]&lt;&gt;"")),tbl_Finance[Xero Invoice No])&amp;" +more"),"")))</f>
        <v/>
      </c>
      <c r="C291" s="24" t="n"/>
      <c r="D291" s="25">
        <f>IF(C291="","",IF(COUNTIF(lst_Jobs,C291&amp;"")&gt;0,"OK","CHECK"))</f>
        <v/>
      </c>
      <c r="E291" s="25">
        <f>IF(C291="","",IFERROR(INDEX(lst_JobName,MATCH(C291&amp;"",lst_Jobs,0)),""))</f>
        <v/>
      </c>
      <c r="F291" s="25">
        <f>IF(C291="","",IFERROR(INDEX(tbl_Finance[Client],MATCH(C291&amp;"",tbl_Finance[Job Number],0)),""))</f>
        <v/>
      </c>
      <c r="G291" s="28">
        <f>IF(C291="","",COUNTIFS(tbl_Finance[Job Number],C291&amp;"",tbl_Finance[Ex GST],"&lt;&gt;"))</f>
        <v/>
      </c>
      <c r="H291" s="27">
        <f>IF(C291="","",SUMIFS(tbl_Finance[Ex GST],tbl_Finance[Job Number],C291&amp;""))</f>
        <v/>
      </c>
      <c r="I291" s="27">
        <f>IF(C291="","",SUMIFS(tbl_Finance[Ex GST],tbl_Finance[Job Number],C291&amp;"",tbl_Finance[Xero Invoice No],"&lt;&gt;"))</f>
        <v/>
      </c>
      <c r="J291" s="27">
        <f>IF(C291="","",H291-I291)</f>
        <v/>
      </c>
      <c r="K291" s="25">
        <f>IF(C291="","",IF(G291=0,"not invoiced yet",SUBSTITUTE(TRIM(IF(COUNTIFS(tbl_Finance[Job Number],C291&amp;"",tbl_Finance[Cost Centre],"ONSITE")&gt;0,"ONSITE ","")&amp;IF(COUNTIFS(tbl_Finance[Job Number],C291&amp;"",tbl_Finance[Cost Centre],"PRODUCTION")&gt;0,"PRODUCTION ","")&amp;IF(COUNTIFS(tbl_Finance[Job Number],C291&amp;"",tbl_Finance[Cost Centre],"VIDEO")&gt;0,"VIDEO ","")&amp;IF(COUNTIFS(tbl_Finance[Job Number],C291&amp;"",tbl_Finance[Cost Centre],"INTEGRATION")&gt;0,"INTEGRATION ","")&amp;IF(COUNTIFS(tbl_Finance[Job Number],C291&amp;"",tbl_Finance[Cost Centre],"CONSULTING")&gt;0,"CONSULTING ","")&amp;IF(COUNTIFS(tbl_Finance[Job Number],C291&amp;"",tbl_Finance[Cost Centre],"CTS")&gt;0,"CTS ",""))," ",", ")))</f>
        <v/>
      </c>
      <c r="L291" s="24" t="n"/>
      <c r="M291" s="24" t="n"/>
      <c r="N291" s="25">
        <f>IF(M291="","",HYPERLINK(IF(LEFT(M291,4)="http",M291,set_QwilrBase&amp;M291),"Open quote"))</f>
        <v/>
      </c>
      <c r="O291" s="69" t="n"/>
      <c r="P291" s="24" t="n"/>
      <c r="Q291" s="24" t="n"/>
    </row>
    <row r="292" ht="15" customHeight="1">
      <c r="A292" s="68">
        <f>IF(C292="","",IFERROR(IF(SUMPRODUCT(MAX((tbl_Finance[Job Number]=C292&amp;"")*(tbl_Finance[Xero Invoice No]&lt;&gt;"")*tbl_Finance[Date]))=0,"",SUMPRODUCT(MAX((tbl_Finance[Job Number]=C292&amp;"")*(tbl_Finance[Xero Invoice No]&lt;&gt;"")*tbl_Finance[Date]))),""))</f>
        <v/>
      </c>
      <c r="B292" s="25">
        <f>IF(C292="","",IF(COUNTIFS(tbl_Finance[Job Number],C292&amp;"",tbl_Finance[Xero Invoice No],"&lt;&gt;")=0,"",IFERROR(IF(COUNTIFS(tbl_Finance[Job Number],C292&amp;"",tbl_Finance[Xero Invoice No],LOOKUP(2,1/((tbl_Finance[Job Number]=C292&amp;"")*(tbl_Finance[Xero Invoice No]&lt;&gt;"")),tbl_Finance[Xero Invoice No]))=COUNTIFS(tbl_Finance[Job Number],C292&amp;"",tbl_Finance[Xero Invoice No],"&lt;&gt;"),LOOKUP(2,1/((tbl_Finance[Job Number]=C292&amp;"")*(tbl_Finance[Xero Invoice No]&lt;&gt;"")),tbl_Finance[Xero Invoice No]),LOOKUP(2,1/((tbl_Finance[Job Number]=C292&amp;"")*(tbl_Finance[Xero Invoice No]&lt;&gt;"")),tbl_Finance[Xero Invoice No])&amp;" +more"),"")))</f>
        <v/>
      </c>
      <c r="C292" s="24" t="n"/>
      <c r="D292" s="25">
        <f>IF(C292="","",IF(COUNTIF(lst_Jobs,C292&amp;"")&gt;0,"OK","CHECK"))</f>
        <v/>
      </c>
      <c r="E292" s="25">
        <f>IF(C292="","",IFERROR(INDEX(lst_JobName,MATCH(C292&amp;"",lst_Jobs,0)),""))</f>
        <v/>
      </c>
      <c r="F292" s="25">
        <f>IF(C292="","",IFERROR(INDEX(tbl_Finance[Client],MATCH(C292&amp;"",tbl_Finance[Job Number],0)),""))</f>
        <v/>
      </c>
      <c r="G292" s="28">
        <f>IF(C292="","",COUNTIFS(tbl_Finance[Job Number],C292&amp;"",tbl_Finance[Ex GST],"&lt;&gt;"))</f>
        <v/>
      </c>
      <c r="H292" s="27">
        <f>IF(C292="","",SUMIFS(tbl_Finance[Ex GST],tbl_Finance[Job Number],C292&amp;""))</f>
        <v/>
      </c>
      <c r="I292" s="27">
        <f>IF(C292="","",SUMIFS(tbl_Finance[Ex GST],tbl_Finance[Job Number],C292&amp;"",tbl_Finance[Xero Invoice No],"&lt;&gt;"))</f>
        <v/>
      </c>
      <c r="J292" s="27">
        <f>IF(C292="","",H292-I292)</f>
        <v/>
      </c>
      <c r="K292" s="25">
        <f>IF(C292="","",IF(G292=0,"not invoiced yet",SUBSTITUTE(TRIM(IF(COUNTIFS(tbl_Finance[Job Number],C292&amp;"",tbl_Finance[Cost Centre],"ONSITE")&gt;0,"ONSITE ","")&amp;IF(COUNTIFS(tbl_Finance[Job Number],C292&amp;"",tbl_Finance[Cost Centre],"PRODUCTION")&gt;0,"PRODUCTION ","")&amp;IF(COUNTIFS(tbl_Finance[Job Number],C292&amp;"",tbl_Finance[Cost Centre],"VIDEO")&gt;0,"VIDEO ","")&amp;IF(COUNTIFS(tbl_Finance[Job Number],C292&amp;"",tbl_Finance[Cost Centre],"INTEGRATION")&gt;0,"INTEGRATION ","")&amp;IF(COUNTIFS(tbl_Finance[Job Number],C292&amp;"",tbl_Finance[Cost Centre],"CONSULTING")&gt;0,"CONSULTING ","")&amp;IF(COUNTIFS(tbl_Finance[Job Number],C292&amp;"",tbl_Finance[Cost Centre],"CTS")&gt;0,"CTS ",""))," ",", ")))</f>
        <v/>
      </c>
      <c r="L292" s="24" t="n"/>
      <c r="M292" s="24" t="n"/>
      <c r="N292" s="25">
        <f>IF(M292="","",HYPERLINK(IF(LEFT(M292,4)="http",M292,set_QwilrBase&amp;M292),"Open quote"))</f>
        <v/>
      </c>
      <c r="O292" s="69" t="n"/>
      <c r="P292" s="24" t="n"/>
      <c r="Q292" s="24" t="n"/>
    </row>
    <row r="293" ht="15" customHeight="1">
      <c r="A293" s="68">
        <f>IF(C293="","",IFERROR(IF(SUMPRODUCT(MAX((tbl_Finance[Job Number]=C293&amp;"")*(tbl_Finance[Xero Invoice No]&lt;&gt;"")*tbl_Finance[Date]))=0,"",SUMPRODUCT(MAX((tbl_Finance[Job Number]=C293&amp;"")*(tbl_Finance[Xero Invoice No]&lt;&gt;"")*tbl_Finance[Date]))),""))</f>
        <v/>
      </c>
      <c r="B293" s="25">
        <f>IF(C293="","",IF(COUNTIFS(tbl_Finance[Job Number],C293&amp;"",tbl_Finance[Xero Invoice No],"&lt;&gt;")=0,"",IFERROR(IF(COUNTIFS(tbl_Finance[Job Number],C293&amp;"",tbl_Finance[Xero Invoice No],LOOKUP(2,1/((tbl_Finance[Job Number]=C293&amp;"")*(tbl_Finance[Xero Invoice No]&lt;&gt;"")),tbl_Finance[Xero Invoice No]))=COUNTIFS(tbl_Finance[Job Number],C293&amp;"",tbl_Finance[Xero Invoice No],"&lt;&gt;"),LOOKUP(2,1/((tbl_Finance[Job Number]=C293&amp;"")*(tbl_Finance[Xero Invoice No]&lt;&gt;"")),tbl_Finance[Xero Invoice No]),LOOKUP(2,1/((tbl_Finance[Job Number]=C293&amp;"")*(tbl_Finance[Xero Invoice No]&lt;&gt;"")),tbl_Finance[Xero Invoice No])&amp;" +more"),"")))</f>
        <v/>
      </c>
      <c r="C293" s="24" t="n"/>
      <c r="D293" s="25">
        <f>IF(C293="","",IF(COUNTIF(lst_Jobs,C293&amp;"")&gt;0,"OK","CHECK"))</f>
        <v/>
      </c>
      <c r="E293" s="25">
        <f>IF(C293="","",IFERROR(INDEX(lst_JobName,MATCH(C293&amp;"",lst_Jobs,0)),""))</f>
        <v/>
      </c>
      <c r="F293" s="25">
        <f>IF(C293="","",IFERROR(INDEX(tbl_Finance[Client],MATCH(C293&amp;"",tbl_Finance[Job Number],0)),""))</f>
        <v/>
      </c>
      <c r="G293" s="28">
        <f>IF(C293="","",COUNTIFS(tbl_Finance[Job Number],C293&amp;"",tbl_Finance[Ex GST],"&lt;&gt;"))</f>
        <v/>
      </c>
      <c r="H293" s="27">
        <f>IF(C293="","",SUMIFS(tbl_Finance[Ex GST],tbl_Finance[Job Number],C293&amp;""))</f>
        <v/>
      </c>
      <c r="I293" s="27">
        <f>IF(C293="","",SUMIFS(tbl_Finance[Ex GST],tbl_Finance[Job Number],C293&amp;"",tbl_Finance[Xero Invoice No],"&lt;&gt;"))</f>
        <v/>
      </c>
      <c r="J293" s="27">
        <f>IF(C293="","",H293-I293)</f>
        <v/>
      </c>
      <c r="K293" s="25">
        <f>IF(C293="","",IF(G293=0,"not invoiced yet",SUBSTITUTE(TRIM(IF(COUNTIFS(tbl_Finance[Job Number],C293&amp;"",tbl_Finance[Cost Centre],"ONSITE")&gt;0,"ONSITE ","")&amp;IF(COUNTIFS(tbl_Finance[Job Number],C293&amp;"",tbl_Finance[Cost Centre],"PRODUCTION")&gt;0,"PRODUCTION ","")&amp;IF(COUNTIFS(tbl_Finance[Job Number],C293&amp;"",tbl_Finance[Cost Centre],"VIDEO")&gt;0,"VIDEO ","")&amp;IF(COUNTIFS(tbl_Finance[Job Number],C293&amp;"",tbl_Finance[Cost Centre],"INTEGRATION")&gt;0,"INTEGRATION ","")&amp;IF(COUNTIFS(tbl_Finance[Job Number],C293&amp;"",tbl_Finance[Cost Centre],"CONSULTING")&gt;0,"CONSULTING ","")&amp;IF(COUNTIFS(tbl_Finance[Job Number],C293&amp;"",tbl_Finance[Cost Centre],"CTS")&gt;0,"CTS ",""))," ",", ")))</f>
        <v/>
      </c>
      <c r="L293" s="24" t="n"/>
      <c r="M293" s="24" t="n"/>
      <c r="N293" s="25">
        <f>IF(M293="","",HYPERLINK(IF(LEFT(M293,4)="http",M293,set_QwilrBase&amp;M293),"Open quote"))</f>
        <v/>
      </c>
      <c r="O293" s="69" t="n"/>
      <c r="P293" s="24" t="n"/>
      <c r="Q293" s="24" t="n"/>
    </row>
    <row r="294" ht="15" customHeight="1">
      <c r="A294" s="68">
        <f>IF(C294="","",IFERROR(IF(SUMPRODUCT(MAX((tbl_Finance[Job Number]=C294&amp;"")*(tbl_Finance[Xero Invoice No]&lt;&gt;"")*tbl_Finance[Date]))=0,"",SUMPRODUCT(MAX((tbl_Finance[Job Number]=C294&amp;"")*(tbl_Finance[Xero Invoice No]&lt;&gt;"")*tbl_Finance[Date]))),""))</f>
        <v/>
      </c>
      <c r="B294" s="25">
        <f>IF(C294="","",IF(COUNTIFS(tbl_Finance[Job Number],C294&amp;"",tbl_Finance[Xero Invoice No],"&lt;&gt;")=0,"",IFERROR(IF(COUNTIFS(tbl_Finance[Job Number],C294&amp;"",tbl_Finance[Xero Invoice No],LOOKUP(2,1/((tbl_Finance[Job Number]=C294&amp;"")*(tbl_Finance[Xero Invoice No]&lt;&gt;"")),tbl_Finance[Xero Invoice No]))=COUNTIFS(tbl_Finance[Job Number],C294&amp;"",tbl_Finance[Xero Invoice No],"&lt;&gt;"),LOOKUP(2,1/((tbl_Finance[Job Number]=C294&amp;"")*(tbl_Finance[Xero Invoice No]&lt;&gt;"")),tbl_Finance[Xero Invoice No]),LOOKUP(2,1/((tbl_Finance[Job Number]=C294&amp;"")*(tbl_Finance[Xero Invoice No]&lt;&gt;"")),tbl_Finance[Xero Invoice No])&amp;" +more"),"")))</f>
        <v/>
      </c>
      <c r="C294" s="24" t="n"/>
      <c r="D294" s="25">
        <f>IF(C294="","",IF(COUNTIF(lst_Jobs,C294&amp;"")&gt;0,"OK","CHECK"))</f>
        <v/>
      </c>
      <c r="E294" s="25">
        <f>IF(C294="","",IFERROR(INDEX(lst_JobName,MATCH(C294&amp;"",lst_Jobs,0)),""))</f>
        <v/>
      </c>
      <c r="F294" s="25">
        <f>IF(C294="","",IFERROR(INDEX(tbl_Finance[Client],MATCH(C294&amp;"",tbl_Finance[Job Number],0)),""))</f>
        <v/>
      </c>
      <c r="G294" s="28">
        <f>IF(C294="","",COUNTIFS(tbl_Finance[Job Number],C294&amp;"",tbl_Finance[Ex GST],"&lt;&gt;"))</f>
        <v/>
      </c>
      <c r="H294" s="27">
        <f>IF(C294="","",SUMIFS(tbl_Finance[Ex GST],tbl_Finance[Job Number],C294&amp;""))</f>
        <v/>
      </c>
      <c r="I294" s="27">
        <f>IF(C294="","",SUMIFS(tbl_Finance[Ex GST],tbl_Finance[Job Number],C294&amp;"",tbl_Finance[Xero Invoice No],"&lt;&gt;"))</f>
        <v/>
      </c>
      <c r="J294" s="27">
        <f>IF(C294="","",H294-I294)</f>
        <v/>
      </c>
      <c r="K294" s="25">
        <f>IF(C294="","",IF(G294=0,"not invoiced yet",SUBSTITUTE(TRIM(IF(COUNTIFS(tbl_Finance[Job Number],C294&amp;"",tbl_Finance[Cost Centre],"ONSITE")&gt;0,"ONSITE ","")&amp;IF(COUNTIFS(tbl_Finance[Job Number],C294&amp;"",tbl_Finance[Cost Centre],"PRODUCTION")&gt;0,"PRODUCTION ","")&amp;IF(COUNTIFS(tbl_Finance[Job Number],C294&amp;"",tbl_Finance[Cost Centre],"VIDEO")&gt;0,"VIDEO ","")&amp;IF(COUNTIFS(tbl_Finance[Job Number],C294&amp;"",tbl_Finance[Cost Centre],"INTEGRATION")&gt;0,"INTEGRATION ","")&amp;IF(COUNTIFS(tbl_Finance[Job Number],C294&amp;"",tbl_Finance[Cost Centre],"CONSULTING")&gt;0,"CONSULTING ","")&amp;IF(COUNTIFS(tbl_Finance[Job Number],C294&amp;"",tbl_Finance[Cost Centre],"CTS")&gt;0,"CTS ",""))," ",", ")))</f>
        <v/>
      </c>
      <c r="L294" s="24" t="n"/>
      <c r="M294" s="24" t="n"/>
      <c r="N294" s="25">
        <f>IF(M294="","",HYPERLINK(IF(LEFT(M294,4)="http",M294,set_QwilrBase&amp;M294),"Open quote"))</f>
        <v/>
      </c>
      <c r="O294" s="69" t="n"/>
      <c r="P294" s="24" t="n"/>
      <c r="Q294" s="24" t="n"/>
    </row>
    <row r="295" ht="15" customHeight="1">
      <c r="A295" s="68">
        <f>IF(C295="","",IFERROR(IF(SUMPRODUCT(MAX((tbl_Finance[Job Number]=C295&amp;"")*(tbl_Finance[Xero Invoice No]&lt;&gt;"")*tbl_Finance[Date]))=0,"",SUMPRODUCT(MAX((tbl_Finance[Job Number]=C295&amp;"")*(tbl_Finance[Xero Invoice No]&lt;&gt;"")*tbl_Finance[Date]))),""))</f>
        <v/>
      </c>
      <c r="B295" s="25">
        <f>IF(C295="","",IF(COUNTIFS(tbl_Finance[Job Number],C295&amp;"",tbl_Finance[Xero Invoice No],"&lt;&gt;")=0,"",IFERROR(IF(COUNTIFS(tbl_Finance[Job Number],C295&amp;"",tbl_Finance[Xero Invoice No],LOOKUP(2,1/((tbl_Finance[Job Number]=C295&amp;"")*(tbl_Finance[Xero Invoice No]&lt;&gt;"")),tbl_Finance[Xero Invoice No]))=COUNTIFS(tbl_Finance[Job Number],C295&amp;"",tbl_Finance[Xero Invoice No],"&lt;&gt;"),LOOKUP(2,1/((tbl_Finance[Job Number]=C295&amp;"")*(tbl_Finance[Xero Invoice No]&lt;&gt;"")),tbl_Finance[Xero Invoice No]),LOOKUP(2,1/((tbl_Finance[Job Number]=C295&amp;"")*(tbl_Finance[Xero Invoice No]&lt;&gt;"")),tbl_Finance[Xero Invoice No])&amp;" +more"),"")))</f>
        <v/>
      </c>
      <c r="C295" s="24" t="n"/>
      <c r="D295" s="25">
        <f>IF(C295="","",IF(COUNTIF(lst_Jobs,C295&amp;"")&gt;0,"OK","CHECK"))</f>
        <v/>
      </c>
      <c r="E295" s="25">
        <f>IF(C295="","",IFERROR(INDEX(lst_JobName,MATCH(C295&amp;"",lst_Jobs,0)),""))</f>
        <v/>
      </c>
      <c r="F295" s="25">
        <f>IF(C295="","",IFERROR(INDEX(tbl_Finance[Client],MATCH(C295&amp;"",tbl_Finance[Job Number],0)),""))</f>
        <v/>
      </c>
      <c r="G295" s="28">
        <f>IF(C295="","",COUNTIFS(tbl_Finance[Job Number],C295&amp;"",tbl_Finance[Ex GST],"&lt;&gt;"))</f>
        <v/>
      </c>
      <c r="H295" s="27">
        <f>IF(C295="","",SUMIFS(tbl_Finance[Ex GST],tbl_Finance[Job Number],C295&amp;""))</f>
        <v/>
      </c>
      <c r="I295" s="27">
        <f>IF(C295="","",SUMIFS(tbl_Finance[Ex GST],tbl_Finance[Job Number],C295&amp;"",tbl_Finance[Xero Invoice No],"&lt;&gt;"))</f>
        <v/>
      </c>
      <c r="J295" s="27">
        <f>IF(C295="","",H295-I295)</f>
        <v/>
      </c>
      <c r="K295" s="25">
        <f>IF(C295="","",IF(G295=0,"not invoiced yet",SUBSTITUTE(TRIM(IF(COUNTIFS(tbl_Finance[Job Number],C295&amp;"",tbl_Finance[Cost Centre],"ONSITE")&gt;0,"ONSITE ","")&amp;IF(COUNTIFS(tbl_Finance[Job Number],C295&amp;"",tbl_Finance[Cost Centre],"PRODUCTION")&gt;0,"PRODUCTION ","")&amp;IF(COUNTIFS(tbl_Finance[Job Number],C295&amp;"",tbl_Finance[Cost Centre],"VIDEO")&gt;0,"VIDEO ","")&amp;IF(COUNTIFS(tbl_Finance[Job Number],C295&amp;"",tbl_Finance[Cost Centre],"INTEGRATION")&gt;0,"INTEGRATION ","")&amp;IF(COUNTIFS(tbl_Finance[Job Number],C295&amp;"",tbl_Finance[Cost Centre],"CONSULTING")&gt;0,"CONSULTING ","")&amp;IF(COUNTIFS(tbl_Finance[Job Number],C295&amp;"",tbl_Finance[Cost Centre],"CTS")&gt;0,"CTS ",""))," ",", ")))</f>
        <v/>
      </c>
      <c r="L295" s="24" t="n"/>
      <c r="M295" s="24" t="n"/>
      <c r="N295" s="25">
        <f>IF(M295="","",HYPERLINK(IF(LEFT(M295,4)="http",M295,set_QwilrBase&amp;M295),"Open quote"))</f>
        <v/>
      </c>
      <c r="O295" s="69" t="n"/>
      <c r="P295" s="24" t="n"/>
      <c r="Q295" s="24" t="n"/>
    </row>
    <row r="296" ht="15" customHeight="1">
      <c r="A296" s="68">
        <f>IF(C296="","",IFERROR(IF(SUMPRODUCT(MAX((tbl_Finance[Job Number]=C296&amp;"")*(tbl_Finance[Xero Invoice No]&lt;&gt;"")*tbl_Finance[Date]))=0,"",SUMPRODUCT(MAX((tbl_Finance[Job Number]=C296&amp;"")*(tbl_Finance[Xero Invoice No]&lt;&gt;"")*tbl_Finance[Date]))),""))</f>
        <v/>
      </c>
      <c r="B296" s="25">
        <f>IF(C296="","",IF(COUNTIFS(tbl_Finance[Job Number],C296&amp;"",tbl_Finance[Xero Invoice No],"&lt;&gt;")=0,"",IFERROR(IF(COUNTIFS(tbl_Finance[Job Number],C296&amp;"",tbl_Finance[Xero Invoice No],LOOKUP(2,1/((tbl_Finance[Job Number]=C296&amp;"")*(tbl_Finance[Xero Invoice No]&lt;&gt;"")),tbl_Finance[Xero Invoice No]))=COUNTIFS(tbl_Finance[Job Number],C296&amp;"",tbl_Finance[Xero Invoice No],"&lt;&gt;"),LOOKUP(2,1/((tbl_Finance[Job Number]=C296&amp;"")*(tbl_Finance[Xero Invoice No]&lt;&gt;"")),tbl_Finance[Xero Invoice No]),LOOKUP(2,1/((tbl_Finance[Job Number]=C296&amp;"")*(tbl_Finance[Xero Invoice No]&lt;&gt;"")),tbl_Finance[Xero Invoice No])&amp;" +more"),"")))</f>
        <v/>
      </c>
      <c r="C296" s="24" t="n"/>
      <c r="D296" s="25">
        <f>IF(C296="","",IF(COUNTIF(lst_Jobs,C296&amp;"")&gt;0,"OK","CHECK"))</f>
        <v/>
      </c>
      <c r="E296" s="25">
        <f>IF(C296="","",IFERROR(INDEX(lst_JobName,MATCH(C296&amp;"",lst_Jobs,0)),""))</f>
        <v/>
      </c>
      <c r="F296" s="25">
        <f>IF(C296="","",IFERROR(INDEX(tbl_Finance[Client],MATCH(C296&amp;"",tbl_Finance[Job Number],0)),""))</f>
        <v/>
      </c>
      <c r="G296" s="28">
        <f>IF(C296="","",COUNTIFS(tbl_Finance[Job Number],C296&amp;"",tbl_Finance[Ex GST],"&lt;&gt;"))</f>
        <v/>
      </c>
      <c r="H296" s="27">
        <f>IF(C296="","",SUMIFS(tbl_Finance[Ex GST],tbl_Finance[Job Number],C296&amp;""))</f>
        <v/>
      </c>
      <c r="I296" s="27">
        <f>IF(C296="","",SUMIFS(tbl_Finance[Ex GST],tbl_Finance[Job Number],C296&amp;"",tbl_Finance[Xero Invoice No],"&lt;&gt;"))</f>
        <v/>
      </c>
      <c r="J296" s="27">
        <f>IF(C296="","",H296-I296)</f>
        <v/>
      </c>
      <c r="K296" s="25">
        <f>IF(C296="","",IF(G296=0,"not invoiced yet",SUBSTITUTE(TRIM(IF(COUNTIFS(tbl_Finance[Job Number],C296&amp;"",tbl_Finance[Cost Centre],"ONSITE")&gt;0,"ONSITE ","")&amp;IF(COUNTIFS(tbl_Finance[Job Number],C296&amp;"",tbl_Finance[Cost Centre],"PRODUCTION")&gt;0,"PRODUCTION ","")&amp;IF(COUNTIFS(tbl_Finance[Job Number],C296&amp;"",tbl_Finance[Cost Centre],"VIDEO")&gt;0,"VIDEO ","")&amp;IF(COUNTIFS(tbl_Finance[Job Number],C296&amp;"",tbl_Finance[Cost Centre],"INTEGRATION")&gt;0,"INTEGRATION ","")&amp;IF(COUNTIFS(tbl_Finance[Job Number],C296&amp;"",tbl_Finance[Cost Centre],"CONSULTING")&gt;0,"CONSULTING ","")&amp;IF(COUNTIFS(tbl_Finance[Job Number],C296&amp;"",tbl_Finance[Cost Centre],"CTS")&gt;0,"CTS ",""))," ",", ")))</f>
        <v/>
      </c>
      <c r="L296" s="24" t="n"/>
      <c r="M296" s="24" t="n"/>
      <c r="N296" s="25">
        <f>IF(M296="","",HYPERLINK(IF(LEFT(M296,4)="http",M296,set_QwilrBase&amp;M296),"Open quote"))</f>
        <v/>
      </c>
      <c r="O296" s="69" t="n"/>
      <c r="P296" s="24" t="n"/>
      <c r="Q296" s="24" t="n"/>
    </row>
    <row r="297" ht="15" customHeight="1">
      <c r="A297" s="68">
        <f>IF(C297="","",IFERROR(IF(SUMPRODUCT(MAX((tbl_Finance[Job Number]=C297&amp;"")*(tbl_Finance[Xero Invoice No]&lt;&gt;"")*tbl_Finance[Date]))=0,"",SUMPRODUCT(MAX((tbl_Finance[Job Number]=C297&amp;"")*(tbl_Finance[Xero Invoice No]&lt;&gt;"")*tbl_Finance[Date]))),""))</f>
        <v/>
      </c>
      <c r="B297" s="25">
        <f>IF(C297="","",IF(COUNTIFS(tbl_Finance[Job Number],C297&amp;"",tbl_Finance[Xero Invoice No],"&lt;&gt;")=0,"",IFERROR(IF(COUNTIFS(tbl_Finance[Job Number],C297&amp;"",tbl_Finance[Xero Invoice No],LOOKUP(2,1/((tbl_Finance[Job Number]=C297&amp;"")*(tbl_Finance[Xero Invoice No]&lt;&gt;"")),tbl_Finance[Xero Invoice No]))=COUNTIFS(tbl_Finance[Job Number],C297&amp;"",tbl_Finance[Xero Invoice No],"&lt;&gt;"),LOOKUP(2,1/((tbl_Finance[Job Number]=C297&amp;"")*(tbl_Finance[Xero Invoice No]&lt;&gt;"")),tbl_Finance[Xero Invoice No]),LOOKUP(2,1/((tbl_Finance[Job Number]=C297&amp;"")*(tbl_Finance[Xero Invoice No]&lt;&gt;"")),tbl_Finance[Xero Invoice No])&amp;" +more"),"")))</f>
        <v/>
      </c>
      <c r="C297" s="24" t="n"/>
      <c r="D297" s="25">
        <f>IF(C297="","",IF(COUNTIF(lst_Jobs,C297&amp;"")&gt;0,"OK","CHECK"))</f>
        <v/>
      </c>
      <c r="E297" s="25">
        <f>IF(C297="","",IFERROR(INDEX(lst_JobName,MATCH(C297&amp;"",lst_Jobs,0)),""))</f>
        <v/>
      </c>
      <c r="F297" s="25">
        <f>IF(C297="","",IFERROR(INDEX(tbl_Finance[Client],MATCH(C297&amp;"",tbl_Finance[Job Number],0)),""))</f>
        <v/>
      </c>
      <c r="G297" s="28">
        <f>IF(C297="","",COUNTIFS(tbl_Finance[Job Number],C297&amp;"",tbl_Finance[Ex GST],"&lt;&gt;"))</f>
        <v/>
      </c>
      <c r="H297" s="27">
        <f>IF(C297="","",SUMIFS(tbl_Finance[Ex GST],tbl_Finance[Job Number],C297&amp;""))</f>
        <v/>
      </c>
      <c r="I297" s="27">
        <f>IF(C297="","",SUMIFS(tbl_Finance[Ex GST],tbl_Finance[Job Number],C297&amp;"",tbl_Finance[Xero Invoice No],"&lt;&gt;"))</f>
        <v/>
      </c>
      <c r="J297" s="27">
        <f>IF(C297="","",H297-I297)</f>
        <v/>
      </c>
      <c r="K297" s="25">
        <f>IF(C297="","",IF(G297=0,"not invoiced yet",SUBSTITUTE(TRIM(IF(COUNTIFS(tbl_Finance[Job Number],C297&amp;"",tbl_Finance[Cost Centre],"ONSITE")&gt;0,"ONSITE ","")&amp;IF(COUNTIFS(tbl_Finance[Job Number],C297&amp;"",tbl_Finance[Cost Centre],"PRODUCTION")&gt;0,"PRODUCTION ","")&amp;IF(COUNTIFS(tbl_Finance[Job Number],C297&amp;"",tbl_Finance[Cost Centre],"VIDEO")&gt;0,"VIDEO ","")&amp;IF(COUNTIFS(tbl_Finance[Job Number],C297&amp;"",tbl_Finance[Cost Centre],"INTEGRATION")&gt;0,"INTEGRATION ","")&amp;IF(COUNTIFS(tbl_Finance[Job Number],C297&amp;"",tbl_Finance[Cost Centre],"CONSULTING")&gt;0,"CONSULTING ","")&amp;IF(COUNTIFS(tbl_Finance[Job Number],C297&amp;"",tbl_Finance[Cost Centre],"CTS")&gt;0,"CTS ",""))," ",", ")))</f>
        <v/>
      </c>
      <c r="L297" s="24" t="n"/>
      <c r="M297" s="24" t="n"/>
      <c r="N297" s="25">
        <f>IF(M297="","",HYPERLINK(IF(LEFT(M297,4)="http",M297,set_QwilrBase&amp;M297),"Open quote"))</f>
        <v/>
      </c>
      <c r="O297" s="69" t="n"/>
      <c r="P297" s="24" t="n"/>
      <c r="Q297" s="24" t="n"/>
    </row>
    <row r="298" ht="15" customHeight="1">
      <c r="A298" s="68">
        <f>IF(C298="","",IFERROR(IF(SUMPRODUCT(MAX((tbl_Finance[Job Number]=C298&amp;"")*(tbl_Finance[Xero Invoice No]&lt;&gt;"")*tbl_Finance[Date]))=0,"",SUMPRODUCT(MAX((tbl_Finance[Job Number]=C298&amp;"")*(tbl_Finance[Xero Invoice No]&lt;&gt;"")*tbl_Finance[Date]))),""))</f>
        <v/>
      </c>
      <c r="B298" s="25">
        <f>IF(C298="","",IF(COUNTIFS(tbl_Finance[Job Number],C298&amp;"",tbl_Finance[Xero Invoice No],"&lt;&gt;")=0,"",IFERROR(IF(COUNTIFS(tbl_Finance[Job Number],C298&amp;"",tbl_Finance[Xero Invoice No],LOOKUP(2,1/((tbl_Finance[Job Number]=C298&amp;"")*(tbl_Finance[Xero Invoice No]&lt;&gt;"")),tbl_Finance[Xero Invoice No]))=COUNTIFS(tbl_Finance[Job Number],C298&amp;"",tbl_Finance[Xero Invoice No],"&lt;&gt;"),LOOKUP(2,1/((tbl_Finance[Job Number]=C298&amp;"")*(tbl_Finance[Xero Invoice No]&lt;&gt;"")),tbl_Finance[Xero Invoice No]),LOOKUP(2,1/((tbl_Finance[Job Number]=C298&amp;"")*(tbl_Finance[Xero Invoice No]&lt;&gt;"")),tbl_Finance[Xero Invoice No])&amp;" +more"),"")))</f>
        <v/>
      </c>
      <c r="C298" s="24" t="n"/>
      <c r="D298" s="25">
        <f>IF(C298="","",IF(COUNTIF(lst_Jobs,C298&amp;"")&gt;0,"OK","CHECK"))</f>
        <v/>
      </c>
      <c r="E298" s="25">
        <f>IF(C298="","",IFERROR(INDEX(lst_JobName,MATCH(C298&amp;"",lst_Jobs,0)),""))</f>
        <v/>
      </c>
      <c r="F298" s="25">
        <f>IF(C298="","",IFERROR(INDEX(tbl_Finance[Client],MATCH(C298&amp;"",tbl_Finance[Job Number],0)),""))</f>
        <v/>
      </c>
      <c r="G298" s="28">
        <f>IF(C298="","",COUNTIFS(tbl_Finance[Job Number],C298&amp;"",tbl_Finance[Ex GST],"&lt;&gt;"))</f>
        <v/>
      </c>
      <c r="H298" s="27">
        <f>IF(C298="","",SUMIFS(tbl_Finance[Ex GST],tbl_Finance[Job Number],C298&amp;""))</f>
        <v/>
      </c>
      <c r="I298" s="27">
        <f>IF(C298="","",SUMIFS(tbl_Finance[Ex GST],tbl_Finance[Job Number],C298&amp;"",tbl_Finance[Xero Invoice No],"&lt;&gt;"))</f>
        <v/>
      </c>
      <c r="J298" s="27">
        <f>IF(C298="","",H298-I298)</f>
        <v/>
      </c>
      <c r="K298" s="25">
        <f>IF(C298="","",IF(G298=0,"not invoiced yet",SUBSTITUTE(TRIM(IF(COUNTIFS(tbl_Finance[Job Number],C298&amp;"",tbl_Finance[Cost Centre],"ONSITE")&gt;0,"ONSITE ","")&amp;IF(COUNTIFS(tbl_Finance[Job Number],C298&amp;"",tbl_Finance[Cost Centre],"PRODUCTION")&gt;0,"PRODUCTION ","")&amp;IF(COUNTIFS(tbl_Finance[Job Number],C298&amp;"",tbl_Finance[Cost Centre],"VIDEO")&gt;0,"VIDEO ","")&amp;IF(COUNTIFS(tbl_Finance[Job Number],C298&amp;"",tbl_Finance[Cost Centre],"INTEGRATION")&gt;0,"INTEGRATION ","")&amp;IF(COUNTIFS(tbl_Finance[Job Number],C298&amp;"",tbl_Finance[Cost Centre],"CONSULTING")&gt;0,"CONSULTING ","")&amp;IF(COUNTIFS(tbl_Finance[Job Number],C298&amp;"",tbl_Finance[Cost Centre],"CTS")&gt;0,"CTS ",""))," ",", ")))</f>
        <v/>
      </c>
      <c r="L298" s="24" t="n"/>
      <c r="M298" s="24" t="n"/>
      <c r="N298" s="25">
        <f>IF(M298="","",HYPERLINK(IF(LEFT(M298,4)="http",M298,set_QwilrBase&amp;M298),"Open quote"))</f>
        <v/>
      </c>
      <c r="O298" s="69" t="n"/>
      <c r="P298" s="24" t="n"/>
      <c r="Q298" s="24" t="n"/>
    </row>
    <row r="299" ht="15" customHeight="1">
      <c r="A299" s="68">
        <f>IF(C299="","",IFERROR(IF(SUMPRODUCT(MAX((tbl_Finance[Job Number]=C299&amp;"")*(tbl_Finance[Xero Invoice No]&lt;&gt;"")*tbl_Finance[Date]))=0,"",SUMPRODUCT(MAX((tbl_Finance[Job Number]=C299&amp;"")*(tbl_Finance[Xero Invoice No]&lt;&gt;"")*tbl_Finance[Date]))),""))</f>
        <v/>
      </c>
      <c r="B299" s="25">
        <f>IF(C299="","",IF(COUNTIFS(tbl_Finance[Job Number],C299&amp;"",tbl_Finance[Xero Invoice No],"&lt;&gt;")=0,"",IFERROR(IF(COUNTIFS(tbl_Finance[Job Number],C299&amp;"",tbl_Finance[Xero Invoice No],LOOKUP(2,1/((tbl_Finance[Job Number]=C299&amp;"")*(tbl_Finance[Xero Invoice No]&lt;&gt;"")),tbl_Finance[Xero Invoice No]))=COUNTIFS(tbl_Finance[Job Number],C299&amp;"",tbl_Finance[Xero Invoice No],"&lt;&gt;"),LOOKUP(2,1/((tbl_Finance[Job Number]=C299&amp;"")*(tbl_Finance[Xero Invoice No]&lt;&gt;"")),tbl_Finance[Xero Invoice No]),LOOKUP(2,1/((tbl_Finance[Job Number]=C299&amp;"")*(tbl_Finance[Xero Invoice No]&lt;&gt;"")),tbl_Finance[Xero Invoice No])&amp;" +more"),"")))</f>
        <v/>
      </c>
      <c r="C299" s="24" t="n"/>
      <c r="D299" s="25">
        <f>IF(C299="","",IF(COUNTIF(lst_Jobs,C299&amp;"")&gt;0,"OK","CHECK"))</f>
        <v/>
      </c>
      <c r="E299" s="25">
        <f>IF(C299="","",IFERROR(INDEX(lst_JobName,MATCH(C299&amp;"",lst_Jobs,0)),""))</f>
        <v/>
      </c>
      <c r="F299" s="25">
        <f>IF(C299="","",IFERROR(INDEX(tbl_Finance[Client],MATCH(C299&amp;"",tbl_Finance[Job Number],0)),""))</f>
        <v/>
      </c>
      <c r="G299" s="28">
        <f>IF(C299="","",COUNTIFS(tbl_Finance[Job Number],C299&amp;"",tbl_Finance[Ex GST],"&lt;&gt;"))</f>
        <v/>
      </c>
      <c r="H299" s="27">
        <f>IF(C299="","",SUMIFS(tbl_Finance[Ex GST],tbl_Finance[Job Number],C299&amp;""))</f>
        <v/>
      </c>
      <c r="I299" s="27">
        <f>IF(C299="","",SUMIFS(tbl_Finance[Ex GST],tbl_Finance[Job Number],C299&amp;"",tbl_Finance[Xero Invoice No],"&lt;&gt;"))</f>
        <v/>
      </c>
      <c r="J299" s="27">
        <f>IF(C299="","",H299-I299)</f>
        <v/>
      </c>
      <c r="K299" s="25">
        <f>IF(C299="","",IF(G299=0,"not invoiced yet",SUBSTITUTE(TRIM(IF(COUNTIFS(tbl_Finance[Job Number],C299&amp;"",tbl_Finance[Cost Centre],"ONSITE")&gt;0,"ONSITE ","")&amp;IF(COUNTIFS(tbl_Finance[Job Number],C299&amp;"",tbl_Finance[Cost Centre],"PRODUCTION")&gt;0,"PRODUCTION ","")&amp;IF(COUNTIFS(tbl_Finance[Job Number],C299&amp;"",tbl_Finance[Cost Centre],"VIDEO")&gt;0,"VIDEO ","")&amp;IF(COUNTIFS(tbl_Finance[Job Number],C299&amp;"",tbl_Finance[Cost Centre],"INTEGRATION")&gt;0,"INTEGRATION ","")&amp;IF(COUNTIFS(tbl_Finance[Job Number],C299&amp;"",tbl_Finance[Cost Centre],"CONSULTING")&gt;0,"CONSULTING ","")&amp;IF(COUNTIFS(tbl_Finance[Job Number],C299&amp;"",tbl_Finance[Cost Centre],"CTS")&gt;0,"CTS ",""))," ",", ")))</f>
        <v/>
      </c>
      <c r="L299" s="24" t="n"/>
      <c r="M299" s="24" t="n"/>
      <c r="N299" s="25">
        <f>IF(M299="","",HYPERLINK(IF(LEFT(M299,4)="http",M299,set_QwilrBase&amp;M299),"Open quote"))</f>
        <v/>
      </c>
      <c r="O299" s="69" t="n"/>
      <c r="P299" s="24" t="n"/>
      <c r="Q299" s="24" t="n"/>
    </row>
    <row r="300" ht="15" customHeight="1">
      <c r="A300" s="68">
        <f>IF(C300="","",IFERROR(IF(SUMPRODUCT(MAX((tbl_Finance[Job Number]=C300&amp;"")*(tbl_Finance[Xero Invoice No]&lt;&gt;"")*tbl_Finance[Date]))=0,"",SUMPRODUCT(MAX((tbl_Finance[Job Number]=C300&amp;"")*(tbl_Finance[Xero Invoice No]&lt;&gt;"")*tbl_Finance[Date]))),""))</f>
        <v/>
      </c>
      <c r="B300" s="25">
        <f>IF(C300="","",IF(COUNTIFS(tbl_Finance[Job Number],C300&amp;"",tbl_Finance[Xero Invoice No],"&lt;&gt;")=0,"",IFERROR(IF(COUNTIFS(tbl_Finance[Job Number],C300&amp;"",tbl_Finance[Xero Invoice No],LOOKUP(2,1/((tbl_Finance[Job Number]=C300&amp;"")*(tbl_Finance[Xero Invoice No]&lt;&gt;"")),tbl_Finance[Xero Invoice No]))=COUNTIFS(tbl_Finance[Job Number],C300&amp;"",tbl_Finance[Xero Invoice No],"&lt;&gt;"),LOOKUP(2,1/((tbl_Finance[Job Number]=C300&amp;"")*(tbl_Finance[Xero Invoice No]&lt;&gt;"")),tbl_Finance[Xero Invoice No]),LOOKUP(2,1/((tbl_Finance[Job Number]=C300&amp;"")*(tbl_Finance[Xero Invoice No]&lt;&gt;"")),tbl_Finance[Xero Invoice No])&amp;" +more"),"")))</f>
        <v/>
      </c>
      <c r="C300" s="24" t="n"/>
      <c r="D300" s="25">
        <f>IF(C300="","",IF(COUNTIF(lst_Jobs,C300&amp;"")&gt;0,"OK","CHECK"))</f>
        <v/>
      </c>
      <c r="E300" s="25">
        <f>IF(C300="","",IFERROR(INDEX(lst_JobName,MATCH(C300&amp;"",lst_Jobs,0)),""))</f>
        <v/>
      </c>
      <c r="F300" s="25">
        <f>IF(C300="","",IFERROR(INDEX(tbl_Finance[Client],MATCH(C300&amp;"",tbl_Finance[Job Number],0)),""))</f>
        <v/>
      </c>
      <c r="G300" s="28">
        <f>IF(C300="","",COUNTIFS(tbl_Finance[Job Number],C300&amp;"",tbl_Finance[Ex GST],"&lt;&gt;"))</f>
        <v/>
      </c>
      <c r="H300" s="27">
        <f>IF(C300="","",SUMIFS(tbl_Finance[Ex GST],tbl_Finance[Job Number],C300&amp;""))</f>
        <v/>
      </c>
      <c r="I300" s="27">
        <f>IF(C300="","",SUMIFS(tbl_Finance[Ex GST],tbl_Finance[Job Number],C300&amp;"",tbl_Finance[Xero Invoice No],"&lt;&gt;"))</f>
        <v/>
      </c>
      <c r="J300" s="27">
        <f>IF(C300="","",H300-I300)</f>
        <v/>
      </c>
      <c r="K300" s="25">
        <f>IF(C300="","",IF(G300=0,"not invoiced yet",SUBSTITUTE(TRIM(IF(COUNTIFS(tbl_Finance[Job Number],C300&amp;"",tbl_Finance[Cost Centre],"ONSITE")&gt;0,"ONSITE ","")&amp;IF(COUNTIFS(tbl_Finance[Job Number],C300&amp;"",tbl_Finance[Cost Centre],"PRODUCTION")&gt;0,"PRODUCTION ","")&amp;IF(COUNTIFS(tbl_Finance[Job Number],C300&amp;"",tbl_Finance[Cost Centre],"VIDEO")&gt;0,"VIDEO ","")&amp;IF(COUNTIFS(tbl_Finance[Job Number],C300&amp;"",tbl_Finance[Cost Centre],"INTEGRATION")&gt;0,"INTEGRATION ","")&amp;IF(COUNTIFS(tbl_Finance[Job Number],C300&amp;"",tbl_Finance[Cost Centre],"CONSULTING")&gt;0,"CONSULTING ","")&amp;IF(COUNTIFS(tbl_Finance[Job Number],C300&amp;"",tbl_Finance[Cost Centre],"CTS")&gt;0,"CTS ",""))," ",", ")))</f>
        <v/>
      </c>
      <c r="L300" s="24" t="n"/>
      <c r="M300" s="24" t="n"/>
      <c r="N300" s="25">
        <f>IF(M300="","",HYPERLINK(IF(LEFT(M300,4)="http",M300,set_QwilrBase&amp;M300),"Open quote"))</f>
        <v/>
      </c>
      <c r="O300" s="69" t="n"/>
      <c r="P300" s="24" t="n"/>
      <c r="Q300" s="24" t="n"/>
    </row>
    <row r="301" ht="15" customHeight="1">
      <c r="A301" s="68">
        <f>IF(C301="","",IFERROR(IF(SUMPRODUCT(MAX((tbl_Finance[Job Number]=C301&amp;"")*(tbl_Finance[Xero Invoice No]&lt;&gt;"")*tbl_Finance[Date]))=0,"",SUMPRODUCT(MAX((tbl_Finance[Job Number]=C301&amp;"")*(tbl_Finance[Xero Invoice No]&lt;&gt;"")*tbl_Finance[Date]))),""))</f>
        <v/>
      </c>
      <c r="B301" s="25">
        <f>IF(C301="","",IF(COUNTIFS(tbl_Finance[Job Number],C301&amp;"",tbl_Finance[Xero Invoice No],"&lt;&gt;")=0,"",IFERROR(IF(COUNTIFS(tbl_Finance[Job Number],C301&amp;"",tbl_Finance[Xero Invoice No],LOOKUP(2,1/((tbl_Finance[Job Number]=C301&amp;"")*(tbl_Finance[Xero Invoice No]&lt;&gt;"")),tbl_Finance[Xero Invoice No]))=COUNTIFS(tbl_Finance[Job Number],C301&amp;"",tbl_Finance[Xero Invoice No],"&lt;&gt;"),LOOKUP(2,1/((tbl_Finance[Job Number]=C301&amp;"")*(tbl_Finance[Xero Invoice No]&lt;&gt;"")),tbl_Finance[Xero Invoice No]),LOOKUP(2,1/((tbl_Finance[Job Number]=C301&amp;"")*(tbl_Finance[Xero Invoice No]&lt;&gt;"")),tbl_Finance[Xero Invoice No])&amp;" +more"),"")))</f>
        <v/>
      </c>
      <c r="C301" s="24" t="n"/>
      <c r="D301" s="25">
        <f>IF(C301="","",IF(COUNTIF(lst_Jobs,C301&amp;"")&gt;0,"OK","CHECK"))</f>
        <v/>
      </c>
      <c r="E301" s="25">
        <f>IF(C301="","",IFERROR(INDEX(lst_JobName,MATCH(C301&amp;"",lst_Jobs,0)),""))</f>
        <v/>
      </c>
      <c r="F301" s="25">
        <f>IF(C301="","",IFERROR(INDEX(tbl_Finance[Client],MATCH(C301&amp;"",tbl_Finance[Job Number],0)),""))</f>
        <v/>
      </c>
      <c r="G301" s="28">
        <f>IF(C301="","",COUNTIFS(tbl_Finance[Job Number],C301&amp;"",tbl_Finance[Ex GST],"&lt;&gt;"))</f>
        <v/>
      </c>
      <c r="H301" s="27">
        <f>IF(C301="","",SUMIFS(tbl_Finance[Ex GST],tbl_Finance[Job Number],C301&amp;""))</f>
        <v/>
      </c>
      <c r="I301" s="27">
        <f>IF(C301="","",SUMIFS(tbl_Finance[Ex GST],tbl_Finance[Job Number],C301&amp;"",tbl_Finance[Xero Invoice No],"&lt;&gt;"))</f>
        <v/>
      </c>
      <c r="J301" s="27">
        <f>IF(C301="","",H301-I301)</f>
        <v/>
      </c>
      <c r="K301" s="25">
        <f>IF(C301="","",IF(G301=0,"not invoiced yet",SUBSTITUTE(TRIM(IF(COUNTIFS(tbl_Finance[Job Number],C301&amp;"",tbl_Finance[Cost Centre],"ONSITE")&gt;0,"ONSITE ","")&amp;IF(COUNTIFS(tbl_Finance[Job Number],C301&amp;"",tbl_Finance[Cost Centre],"PRODUCTION")&gt;0,"PRODUCTION ","")&amp;IF(COUNTIFS(tbl_Finance[Job Number],C301&amp;"",tbl_Finance[Cost Centre],"VIDEO")&gt;0,"VIDEO ","")&amp;IF(COUNTIFS(tbl_Finance[Job Number],C301&amp;"",tbl_Finance[Cost Centre],"INTEGRATION")&gt;0,"INTEGRATION ","")&amp;IF(COUNTIFS(tbl_Finance[Job Number],C301&amp;"",tbl_Finance[Cost Centre],"CONSULTING")&gt;0,"CONSULTING ","")&amp;IF(COUNTIFS(tbl_Finance[Job Number],C301&amp;"",tbl_Finance[Cost Centre],"CTS")&gt;0,"CTS ",""))," ",", ")))</f>
        <v/>
      </c>
      <c r="L301" s="24" t="n"/>
      <c r="M301" s="24" t="n"/>
      <c r="N301" s="25">
        <f>IF(M301="","",HYPERLINK(IF(LEFT(M301,4)="http",M301,set_QwilrBase&amp;M301),"Open quote"))</f>
        <v/>
      </c>
      <c r="O301" s="69" t="n"/>
      <c r="P301" s="24" t="n"/>
      <c r="Q301" s="24" t="n"/>
    </row>
    <row r="302" ht="15" customHeight="1">
      <c r="A302" s="68">
        <f>IF(C302="","",IFERROR(IF(SUMPRODUCT(MAX((tbl_Finance[Job Number]=C302&amp;"")*(tbl_Finance[Xero Invoice No]&lt;&gt;"")*tbl_Finance[Date]))=0,"",SUMPRODUCT(MAX((tbl_Finance[Job Number]=C302&amp;"")*(tbl_Finance[Xero Invoice No]&lt;&gt;"")*tbl_Finance[Date]))),""))</f>
        <v/>
      </c>
      <c r="B302" s="25">
        <f>IF(C302="","",IF(COUNTIFS(tbl_Finance[Job Number],C302&amp;"",tbl_Finance[Xero Invoice No],"&lt;&gt;")=0,"",IFERROR(IF(COUNTIFS(tbl_Finance[Job Number],C302&amp;"",tbl_Finance[Xero Invoice No],LOOKUP(2,1/((tbl_Finance[Job Number]=C302&amp;"")*(tbl_Finance[Xero Invoice No]&lt;&gt;"")),tbl_Finance[Xero Invoice No]))=COUNTIFS(tbl_Finance[Job Number],C302&amp;"",tbl_Finance[Xero Invoice No],"&lt;&gt;"),LOOKUP(2,1/((tbl_Finance[Job Number]=C302&amp;"")*(tbl_Finance[Xero Invoice No]&lt;&gt;"")),tbl_Finance[Xero Invoice No]),LOOKUP(2,1/((tbl_Finance[Job Number]=C302&amp;"")*(tbl_Finance[Xero Invoice No]&lt;&gt;"")),tbl_Finance[Xero Invoice No])&amp;" +more"),"")))</f>
        <v/>
      </c>
      <c r="C302" s="24" t="n"/>
      <c r="D302" s="25">
        <f>IF(C302="","",IF(COUNTIF(lst_Jobs,C302&amp;"")&gt;0,"OK","CHECK"))</f>
        <v/>
      </c>
      <c r="E302" s="25">
        <f>IF(C302="","",IFERROR(INDEX(lst_JobName,MATCH(C302&amp;"",lst_Jobs,0)),""))</f>
        <v/>
      </c>
      <c r="F302" s="25">
        <f>IF(C302="","",IFERROR(INDEX(tbl_Finance[Client],MATCH(C302&amp;"",tbl_Finance[Job Number],0)),""))</f>
        <v/>
      </c>
      <c r="G302" s="28">
        <f>IF(C302="","",COUNTIFS(tbl_Finance[Job Number],C302&amp;"",tbl_Finance[Ex GST],"&lt;&gt;"))</f>
        <v/>
      </c>
      <c r="H302" s="27">
        <f>IF(C302="","",SUMIFS(tbl_Finance[Ex GST],tbl_Finance[Job Number],C302&amp;""))</f>
        <v/>
      </c>
      <c r="I302" s="27">
        <f>IF(C302="","",SUMIFS(tbl_Finance[Ex GST],tbl_Finance[Job Number],C302&amp;"",tbl_Finance[Xero Invoice No],"&lt;&gt;"))</f>
        <v/>
      </c>
      <c r="J302" s="27">
        <f>IF(C302="","",H302-I302)</f>
        <v/>
      </c>
      <c r="K302" s="25">
        <f>IF(C302="","",IF(G302=0,"not invoiced yet",SUBSTITUTE(TRIM(IF(COUNTIFS(tbl_Finance[Job Number],C302&amp;"",tbl_Finance[Cost Centre],"ONSITE")&gt;0,"ONSITE ","")&amp;IF(COUNTIFS(tbl_Finance[Job Number],C302&amp;"",tbl_Finance[Cost Centre],"PRODUCTION")&gt;0,"PRODUCTION ","")&amp;IF(COUNTIFS(tbl_Finance[Job Number],C302&amp;"",tbl_Finance[Cost Centre],"VIDEO")&gt;0,"VIDEO ","")&amp;IF(COUNTIFS(tbl_Finance[Job Number],C302&amp;"",tbl_Finance[Cost Centre],"INTEGRATION")&gt;0,"INTEGRATION ","")&amp;IF(COUNTIFS(tbl_Finance[Job Number],C302&amp;"",tbl_Finance[Cost Centre],"CONSULTING")&gt;0,"CONSULTING ","")&amp;IF(COUNTIFS(tbl_Finance[Job Number],C302&amp;"",tbl_Finance[Cost Centre],"CTS")&gt;0,"CTS ",""))," ",", ")))</f>
        <v/>
      </c>
      <c r="L302" s="24" t="n"/>
      <c r="M302" s="24" t="n"/>
      <c r="N302" s="25">
        <f>IF(M302="","",HYPERLINK(IF(LEFT(M302,4)="http",M302,set_QwilrBase&amp;M302),"Open quote"))</f>
        <v/>
      </c>
      <c r="O302" s="69" t="n"/>
      <c r="P302" s="24" t="n"/>
      <c r="Q302" s="24" t="n"/>
    </row>
    <row r="303" ht="15" customHeight="1">
      <c r="A303" s="68">
        <f>IF(C303="","",IFERROR(IF(SUMPRODUCT(MAX((tbl_Finance[Job Number]=C303&amp;"")*(tbl_Finance[Xero Invoice No]&lt;&gt;"")*tbl_Finance[Date]))=0,"",SUMPRODUCT(MAX((tbl_Finance[Job Number]=C303&amp;"")*(tbl_Finance[Xero Invoice No]&lt;&gt;"")*tbl_Finance[Date]))),""))</f>
        <v/>
      </c>
      <c r="B303" s="25">
        <f>IF(C303="","",IF(COUNTIFS(tbl_Finance[Job Number],C303&amp;"",tbl_Finance[Xero Invoice No],"&lt;&gt;")=0,"",IFERROR(IF(COUNTIFS(tbl_Finance[Job Number],C303&amp;"",tbl_Finance[Xero Invoice No],LOOKUP(2,1/((tbl_Finance[Job Number]=C303&amp;"")*(tbl_Finance[Xero Invoice No]&lt;&gt;"")),tbl_Finance[Xero Invoice No]))=COUNTIFS(tbl_Finance[Job Number],C303&amp;"",tbl_Finance[Xero Invoice No],"&lt;&gt;"),LOOKUP(2,1/((tbl_Finance[Job Number]=C303&amp;"")*(tbl_Finance[Xero Invoice No]&lt;&gt;"")),tbl_Finance[Xero Invoice No]),LOOKUP(2,1/((tbl_Finance[Job Number]=C303&amp;"")*(tbl_Finance[Xero Invoice No]&lt;&gt;"")),tbl_Finance[Xero Invoice No])&amp;" +more"),"")))</f>
        <v/>
      </c>
      <c r="C303" s="24" t="n"/>
      <c r="D303" s="25">
        <f>IF(C303="","",IF(COUNTIF(lst_Jobs,C303&amp;"")&gt;0,"OK","CHECK"))</f>
        <v/>
      </c>
      <c r="E303" s="25">
        <f>IF(C303="","",IFERROR(INDEX(lst_JobName,MATCH(C303&amp;"",lst_Jobs,0)),""))</f>
        <v/>
      </c>
      <c r="F303" s="25">
        <f>IF(C303="","",IFERROR(INDEX(tbl_Finance[Client],MATCH(C303&amp;"",tbl_Finance[Job Number],0)),""))</f>
        <v/>
      </c>
      <c r="G303" s="28">
        <f>IF(C303="","",COUNTIFS(tbl_Finance[Job Number],C303&amp;"",tbl_Finance[Ex GST],"&lt;&gt;"))</f>
        <v/>
      </c>
      <c r="H303" s="27">
        <f>IF(C303="","",SUMIFS(tbl_Finance[Ex GST],tbl_Finance[Job Number],C303&amp;""))</f>
        <v/>
      </c>
      <c r="I303" s="27">
        <f>IF(C303="","",SUMIFS(tbl_Finance[Ex GST],tbl_Finance[Job Number],C303&amp;"",tbl_Finance[Xero Invoice No],"&lt;&gt;"))</f>
        <v/>
      </c>
      <c r="J303" s="27">
        <f>IF(C303="","",H303-I303)</f>
        <v/>
      </c>
      <c r="K303" s="25">
        <f>IF(C303="","",IF(G303=0,"not invoiced yet",SUBSTITUTE(TRIM(IF(COUNTIFS(tbl_Finance[Job Number],C303&amp;"",tbl_Finance[Cost Centre],"ONSITE")&gt;0,"ONSITE ","")&amp;IF(COUNTIFS(tbl_Finance[Job Number],C303&amp;"",tbl_Finance[Cost Centre],"PRODUCTION")&gt;0,"PRODUCTION ","")&amp;IF(COUNTIFS(tbl_Finance[Job Number],C303&amp;"",tbl_Finance[Cost Centre],"VIDEO")&gt;0,"VIDEO ","")&amp;IF(COUNTIFS(tbl_Finance[Job Number],C303&amp;"",tbl_Finance[Cost Centre],"INTEGRATION")&gt;0,"INTEGRATION ","")&amp;IF(COUNTIFS(tbl_Finance[Job Number],C303&amp;"",tbl_Finance[Cost Centre],"CONSULTING")&gt;0,"CONSULTING ","")&amp;IF(COUNTIFS(tbl_Finance[Job Number],C303&amp;"",tbl_Finance[Cost Centre],"CTS")&gt;0,"CTS ",""))," ",", ")))</f>
        <v/>
      </c>
      <c r="L303" s="24" t="n"/>
      <c r="M303" s="24" t="n"/>
      <c r="N303" s="25">
        <f>IF(M303="","",HYPERLINK(IF(LEFT(M303,4)="http",M303,set_QwilrBase&amp;M303),"Open quote"))</f>
        <v/>
      </c>
      <c r="O303" s="69" t="n"/>
      <c r="P303" s="24" t="n"/>
      <c r="Q303" s="24" t="n"/>
    </row>
    <row r="304" ht="15" customHeight="1">
      <c r="A304" s="68">
        <f>IF(C304="","",IFERROR(IF(SUMPRODUCT(MAX((tbl_Finance[Job Number]=C304&amp;"")*(tbl_Finance[Xero Invoice No]&lt;&gt;"")*tbl_Finance[Date]))=0,"",SUMPRODUCT(MAX((tbl_Finance[Job Number]=C304&amp;"")*(tbl_Finance[Xero Invoice No]&lt;&gt;"")*tbl_Finance[Date]))),""))</f>
        <v/>
      </c>
      <c r="B304" s="25">
        <f>IF(C304="","",IF(COUNTIFS(tbl_Finance[Job Number],C304&amp;"",tbl_Finance[Xero Invoice No],"&lt;&gt;")=0,"",IFERROR(IF(COUNTIFS(tbl_Finance[Job Number],C304&amp;"",tbl_Finance[Xero Invoice No],LOOKUP(2,1/((tbl_Finance[Job Number]=C304&amp;"")*(tbl_Finance[Xero Invoice No]&lt;&gt;"")),tbl_Finance[Xero Invoice No]))=COUNTIFS(tbl_Finance[Job Number],C304&amp;"",tbl_Finance[Xero Invoice No],"&lt;&gt;"),LOOKUP(2,1/((tbl_Finance[Job Number]=C304&amp;"")*(tbl_Finance[Xero Invoice No]&lt;&gt;"")),tbl_Finance[Xero Invoice No]),LOOKUP(2,1/((tbl_Finance[Job Number]=C304&amp;"")*(tbl_Finance[Xero Invoice No]&lt;&gt;"")),tbl_Finance[Xero Invoice No])&amp;" +more"),"")))</f>
        <v/>
      </c>
      <c r="C304" s="24" t="n"/>
      <c r="D304" s="25">
        <f>IF(C304="","",IF(COUNTIF(lst_Jobs,C304&amp;"")&gt;0,"OK","CHECK"))</f>
        <v/>
      </c>
      <c r="E304" s="25">
        <f>IF(C304="","",IFERROR(INDEX(lst_JobName,MATCH(C304&amp;"",lst_Jobs,0)),""))</f>
        <v/>
      </c>
      <c r="F304" s="25">
        <f>IF(C304="","",IFERROR(INDEX(tbl_Finance[Client],MATCH(C304&amp;"",tbl_Finance[Job Number],0)),""))</f>
        <v/>
      </c>
      <c r="G304" s="28">
        <f>IF(C304="","",COUNTIFS(tbl_Finance[Job Number],C304&amp;"",tbl_Finance[Ex GST],"&lt;&gt;"))</f>
        <v/>
      </c>
      <c r="H304" s="27">
        <f>IF(C304="","",SUMIFS(tbl_Finance[Ex GST],tbl_Finance[Job Number],C304&amp;""))</f>
        <v/>
      </c>
      <c r="I304" s="27">
        <f>IF(C304="","",SUMIFS(tbl_Finance[Ex GST],tbl_Finance[Job Number],C304&amp;"",tbl_Finance[Xero Invoice No],"&lt;&gt;"))</f>
        <v/>
      </c>
      <c r="J304" s="27">
        <f>IF(C304="","",H304-I304)</f>
        <v/>
      </c>
      <c r="K304" s="25">
        <f>IF(C304="","",IF(G304=0,"not invoiced yet",SUBSTITUTE(TRIM(IF(COUNTIFS(tbl_Finance[Job Number],C304&amp;"",tbl_Finance[Cost Centre],"ONSITE")&gt;0,"ONSITE ","")&amp;IF(COUNTIFS(tbl_Finance[Job Number],C304&amp;"",tbl_Finance[Cost Centre],"PRODUCTION")&gt;0,"PRODUCTION ","")&amp;IF(COUNTIFS(tbl_Finance[Job Number],C304&amp;"",tbl_Finance[Cost Centre],"VIDEO")&gt;0,"VIDEO ","")&amp;IF(COUNTIFS(tbl_Finance[Job Number],C304&amp;"",tbl_Finance[Cost Centre],"INTEGRATION")&gt;0,"INTEGRATION ","")&amp;IF(COUNTIFS(tbl_Finance[Job Number],C304&amp;"",tbl_Finance[Cost Centre],"CONSULTING")&gt;0,"CONSULTING ","")&amp;IF(COUNTIFS(tbl_Finance[Job Number],C304&amp;"",tbl_Finance[Cost Centre],"CTS")&gt;0,"CTS ",""))," ",", ")))</f>
        <v/>
      </c>
      <c r="L304" s="24" t="n"/>
      <c r="M304" s="24" t="n"/>
      <c r="N304" s="25">
        <f>IF(M304="","",HYPERLINK(IF(LEFT(M304,4)="http",M304,set_QwilrBase&amp;M304),"Open quote"))</f>
        <v/>
      </c>
      <c r="O304" s="69" t="n"/>
      <c r="P304" s="24" t="n"/>
      <c r="Q304" s="24" t="n"/>
    </row>
    <row r="305" ht="15" customHeight="1">
      <c r="A305" s="68">
        <f>IF(C305="","",IFERROR(IF(SUMPRODUCT(MAX((tbl_Finance[Job Number]=C305&amp;"")*(tbl_Finance[Xero Invoice No]&lt;&gt;"")*tbl_Finance[Date]))=0,"",SUMPRODUCT(MAX((tbl_Finance[Job Number]=C305&amp;"")*(tbl_Finance[Xero Invoice No]&lt;&gt;"")*tbl_Finance[Date]))),""))</f>
        <v/>
      </c>
      <c r="B305" s="25">
        <f>IF(C305="","",IF(COUNTIFS(tbl_Finance[Job Number],C305&amp;"",tbl_Finance[Xero Invoice No],"&lt;&gt;")=0,"",IFERROR(IF(COUNTIFS(tbl_Finance[Job Number],C305&amp;"",tbl_Finance[Xero Invoice No],LOOKUP(2,1/((tbl_Finance[Job Number]=C305&amp;"")*(tbl_Finance[Xero Invoice No]&lt;&gt;"")),tbl_Finance[Xero Invoice No]))=COUNTIFS(tbl_Finance[Job Number],C305&amp;"",tbl_Finance[Xero Invoice No],"&lt;&gt;"),LOOKUP(2,1/((tbl_Finance[Job Number]=C305&amp;"")*(tbl_Finance[Xero Invoice No]&lt;&gt;"")),tbl_Finance[Xero Invoice No]),LOOKUP(2,1/((tbl_Finance[Job Number]=C305&amp;"")*(tbl_Finance[Xero Invoice No]&lt;&gt;"")),tbl_Finance[Xero Invoice No])&amp;" +more"),"")))</f>
        <v/>
      </c>
      <c r="C305" s="24" t="n"/>
      <c r="D305" s="25">
        <f>IF(C305="","",IF(COUNTIF(lst_Jobs,C305&amp;"")&gt;0,"OK","CHECK"))</f>
        <v/>
      </c>
      <c r="E305" s="25">
        <f>IF(C305="","",IFERROR(INDEX(lst_JobName,MATCH(C305&amp;"",lst_Jobs,0)),""))</f>
        <v/>
      </c>
      <c r="F305" s="25">
        <f>IF(C305="","",IFERROR(INDEX(tbl_Finance[Client],MATCH(C305&amp;"",tbl_Finance[Job Number],0)),""))</f>
        <v/>
      </c>
      <c r="G305" s="28">
        <f>IF(C305="","",COUNTIFS(tbl_Finance[Job Number],C305&amp;"",tbl_Finance[Ex GST],"&lt;&gt;"))</f>
        <v/>
      </c>
      <c r="H305" s="27">
        <f>IF(C305="","",SUMIFS(tbl_Finance[Ex GST],tbl_Finance[Job Number],C305&amp;""))</f>
        <v/>
      </c>
      <c r="I305" s="27">
        <f>IF(C305="","",SUMIFS(tbl_Finance[Ex GST],tbl_Finance[Job Number],C305&amp;"",tbl_Finance[Xero Invoice No],"&lt;&gt;"))</f>
        <v/>
      </c>
      <c r="J305" s="27">
        <f>IF(C305="","",H305-I305)</f>
        <v/>
      </c>
      <c r="K305" s="25">
        <f>IF(C305="","",IF(G305=0,"not invoiced yet",SUBSTITUTE(TRIM(IF(COUNTIFS(tbl_Finance[Job Number],C305&amp;"",tbl_Finance[Cost Centre],"ONSITE")&gt;0,"ONSITE ","")&amp;IF(COUNTIFS(tbl_Finance[Job Number],C305&amp;"",tbl_Finance[Cost Centre],"PRODUCTION")&gt;0,"PRODUCTION ","")&amp;IF(COUNTIFS(tbl_Finance[Job Number],C305&amp;"",tbl_Finance[Cost Centre],"VIDEO")&gt;0,"VIDEO ","")&amp;IF(COUNTIFS(tbl_Finance[Job Number],C305&amp;"",tbl_Finance[Cost Centre],"INTEGRATION")&gt;0,"INTEGRATION ","")&amp;IF(COUNTIFS(tbl_Finance[Job Number],C305&amp;"",tbl_Finance[Cost Centre],"CONSULTING")&gt;0,"CONSULTING ","")&amp;IF(COUNTIFS(tbl_Finance[Job Number],C305&amp;"",tbl_Finance[Cost Centre],"CTS")&gt;0,"CTS ",""))," ",", ")))</f>
        <v/>
      </c>
      <c r="L305" s="24" t="n"/>
      <c r="M305" s="24" t="n"/>
      <c r="N305" s="25">
        <f>IF(M305="","",HYPERLINK(IF(LEFT(M305,4)="http",M305,set_QwilrBase&amp;M305),"Open quote"))</f>
        <v/>
      </c>
      <c r="O305" s="69" t="n"/>
      <c r="P305" s="24" t="n"/>
      <c r="Q305" s="24" t="n"/>
    </row>
    <row r="306" ht="15" customHeight="1">
      <c r="A306" s="68">
        <f>IF(C306="","",IFERROR(IF(SUMPRODUCT(MAX((tbl_Finance[Job Number]=C306&amp;"")*(tbl_Finance[Xero Invoice No]&lt;&gt;"")*tbl_Finance[Date]))=0,"",SUMPRODUCT(MAX((tbl_Finance[Job Number]=C306&amp;"")*(tbl_Finance[Xero Invoice No]&lt;&gt;"")*tbl_Finance[Date]))),""))</f>
        <v/>
      </c>
      <c r="B306" s="25">
        <f>IF(C306="","",IF(COUNTIFS(tbl_Finance[Job Number],C306&amp;"",tbl_Finance[Xero Invoice No],"&lt;&gt;")=0,"",IFERROR(IF(COUNTIFS(tbl_Finance[Job Number],C306&amp;"",tbl_Finance[Xero Invoice No],LOOKUP(2,1/((tbl_Finance[Job Number]=C306&amp;"")*(tbl_Finance[Xero Invoice No]&lt;&gt;"")),tbl_Finance[Xero Invoice No]))=COUNTIFS(tbl_Finance[Job Number],C306&amp;"",tbl_Finance[Xero Invoice No],"&lt;&gt;"),LOOKUP(2,1/((tbl_Finance[Job Number]=C306&amp;"")*(tbl_Finance[Xero Invoice No]&lt;&gt;"")),tbl_Finance[Xero Invoice No]),LOOKUP(2,1/((tbl_Finance[Job Number]=C306&amp;"")*(tbl_Finance[Xero Invoice No]&lt;&gt;"")),tbl_Finance[Xero Invoice No])&amp;" +more"),"")))</f>
        <v/>
      </c>
      <c r="C306" s="24" t="n"/>
      <c r="D306" s="25">
        <f>IF(C306="","",IF(COUNTIF(lst_Jobs,C306&amp;"")&gt;0,"OK","CHECK"))</f>
        <v/>
      </c>
      <c r="E306" s="25">
        <f>IF(C306="","",IFERROR(INDEX(lst_JobName,MATCH(C306&amp;"",lst_Jobs,0)),""))</f>
        <v/>
      </c>
      <c r="F306" s="25">
        <f>IF(C306="","",IFERROR(INDEX(tbl_Finance[Client],MATCH(C306&amp;"",tbl_Finance[Job Number],0)),""))</f>
        <v/>
      </c>
      <c r="G306" s="28">
        <f>IF(C306="","",COUNTIFS(tbl_Finance[Job Number],C306&amp;"",tbl_Finance[Ex GST],"&lt;&gt;"))</f>
        <v/>
      </c>
      <c r="H306" s="27">
        <f>IF(C306="","",SUMIFS(tbl_Finance[Ex GST],tbl_Finance[Job Number],C306&amp;""))</f>
        <v/>
      </c>
      <c r="I306" s="27">
        <f>IF(C306="","",SUMIFS(tbl_Finance[Ex GST],tbl_Finance[Job Number],C306&amp;"",tbl_Finance[Xero Invoice No],"&lt;&gt;"))</f>
        <v/>
      </c>
      <c r="J306" s="27">
        <f>IF(C306="","",H306-I306)</f>
        <v/>
      </c>
      <c r="K306" s="25">
        <f>IF(C306="","",IF(G306=0,"not invoiced yet",SUBSTITUTE(TRIM(IF(COUNTIFS(tbl_Finance[Job Number],C306&amp;"",tbl_Finance[Cost Centre],"ONSITE")&gt;0,"ONSITE ","")&amp;IF(COUNTIFS(tbl_Finance[Job Number],C306&amp;"",tbl_Finance[Cost Centre],"PRODUCTION")&gt;0,"PRODUCTION ","")&amp;IF(COUNTIFS(tbl_Finance[Job Number],C306&amp;"",tbl_Finance[Cost Centre],"VIDEO")&gt;0,"VIDEO ","")&amp;IF(COUNTIFS(tbl_Finance[Job Number],C306&amp;"",tbl_Finance[Cost Centre],"INTEGRATION")&gt;0,"INTEGRATION ","")&amp;IF(COUNTIFS(tbl_Finance[Job Number],C306&amp;"",tbl_Finance[Cost Centre],"CONSULTING")&gt;0,"CONSULTING ","")&amp;IF(COUNTIFS(tbl_Finance[Job Number],C306&amp;"",tbl_Finance[Cost Centre],"CTS")&gt;0,"CTS ",""))," ",", ")))</f>
        <v/>
      </c>
      <c r="L306" s="24" t="n"/>
      <c r="M306" s="24" t="n"/>
      <c r="N306" s="25">
        <f>IF(M306="","",HYPERLINK(IF(LEFT(M306,4)="http",M306,set_QwilrBase&amp;M306),"Open quote"))</f>
        <v/>
      </c>
      <c r="O306" s="69" t="n"/>
      <c r="P306" s="24" t="n"/>
      <c r="Q306" s="24" t="n"/>
    </row>
    <row r="307" ht="15" customHeight="1">
      <c r="A307" s="68">
        <f>IF(C307="","",IFERROR(IF(SUMPRODUCT(MAX((tbl_Finance[Job Number]=C307&amp;"")*(tbl_Finance[Xero Invoice No]&lt;&gt;"")*tbl_Finance[Date]))=0,"",SUMPRODUCT(MAX((tbl_Finance[Job Number]=C307&amp;"")*(tbl_Finance[Xero Invoice No]&lt;&gt;"")*tbl_Finance[Date]))),""))</f>
        <v/>
      </c>
      <c r="B307" s="25">
        <f>IF(C307="","",IF(COUNTIFS(tbl_Finance[Job Number],C307&amp;"",tbl_Finance[Xero Invoice No],"&lt;&gt;")=0,"",IFERROR(IF(COUNTIFS(tbl_Finance[Job Number],C307&amp;"",tbl_Finance[Xero Invoice No],LOOKUP(2,1/((tbl_Finance[Job Number]=C307&amp;"")*(tbl_Finance[Xero Invoice No]&lt;&gt;"")),tbl_Finance[Xero Invoice No]))=COUNTIFS(tbl_Finance[Job Number],C307&amp;"",tbl_Finance[Xero Invoice No],"&lt;&gt;"),LOOKUP(2,1/((tbl_Finance[Job Number]=C307&amp;"")*(tbl_Finance[Xero Invoice No]&lt;&gt;"")),tbl_Finance[Xero Invoice No]),LOOKUP(2,1/((tbl_Finance[Job Number]=C307&amp;"")*(tbl_Finance[Xero Invoice No]&lt;&gt;"")),tbl_Finance[Xero Invoice No])&amp;" +more"),"")))</f>
        <v/>
      </c>
      <c r="C307" s="24" t="n"/>
      <c r="D307" s="25">
        <f>IF(C307="","",IF(COUNTIF(lst_Jobs,C307&amp;"")&gt;0,"OK","CHECK"))</f>
        <v/>
      </c>
      <c r="E307" s="25">
        <f>IF(C307="","",IFERROR(INDEX(lst_JobName,MATCH(C307&amp;"",lst_Jobs,0)),""))</f>
        <v/>
      </c>
      <c r="F307" s="25">
        <f>IF(C307="","",IFERROR(INDEX(tbl_Finance[Client],MATCH(C307&amp;"",tbl_Finance[Job Number],0)),""))</f>
        <v/>
      </c>
      <c r="G307" s="28">
        <f>IF(C307="","",COUNTIFS(tbl_Finance[Job Number],C307&amp;"",tbl_Finance[Ex GST],"&lt;&gt;"))</f>
        <v/>
      </c>
      <c r="H307" s="27">
        <f>IF(C307="","",SUMIFS(tbl_Finance[Ex GST],tbl_Finance[Job Number],C307&amp;""))</f>
        <v/>
      </c>
      <c r="I307" s="27">
        <f>IF(C307="","",SUMIFS(tbl_Finance[Ex GST],tbl_Finance[Job Number],C307&amp;"",tbl_Finance[Xero Invoice No],"&lt;&gt;"))</f>
        <v/>
      </c>
      <c r="J307" s="27">
        <f>IF(C307="","",H307-I307)</f>
        <v/>
      </c>
      <c r="K307" s="25">
        <f>IF(C307="","",IF(G307=0,"not invoiced yet",SUBSTITUTE(TRIM(IF(COUNTIFS(tbl_Finance[Job Number],C307&amp;"",tbl_Finance[Cost Centre],"ONSITE")&gt;0,"ONSITE ","")&amp;IF(COUNTIFS(tbl_Finance[Job Number],C307&amp;"",tbl_Finance[Cost Centre],"PRODUCTION")&gt;0,"PRODUCTION ","")&amp;IF(COUNTIFS(tbl_Finance[Job Number],C307&amp;"",tbl_Finance[Cost Centre],"VIDEO")&gt;0,"VIDEO ","")&amp;IF(COUNTIFS(tbl_Finance[Job Number],C307&amp;"",tbl_Finance[Cost Centre],"INTEGRATION")&gt;0,"INTEGRATION ","")&amp;IF(COUNTIFS(tbl_Finance[Job Number],C307&amp;"",tbl_Finance[Cost Centre],"CONSULTING")&gt;0,"CONSULTING ","")&amp;IF(COUNTIFS(tbl_Finance[Job Number],C307&amp;"",tbl_Finance[Cost Centre],"CTS")&gt;0,"CTS ",""))," ",", ")))</f>
        <v/>
      </c>
      <c r="L307" s="24" t="n"/>
      <c r="M307" s="24" t="n"/>
      <c r="N307" s="25">
        <f>IF(M307="","",HYPERLINK(IF(LEFT(M307,4)="http",M307,set_QwilrBase&amp;M307),"Open quote"))</f>
        <v/>
      </c>
      <c r="O307" s="69" t="n"/>
      <c r="P307" s="24" t="n"/>
      <c r="Q307" s="24" t="n"/>
    </row>
    <row r="308" ht="15" customHeight="1">
      <c r="A308" s="68">
        <f>IF(C308="","",IFERROR(IF(SUMPRODUCT(MAX((tbl_Finance[Job Number]=C308&amp;"")*(tbl_Finance[Xero Invoice No]&lt;&gt;"")*tbl_Finance[Date]))=0,"",SUMPRODUCT(MAX((tbl_Finance[Job Number]=C308&amp;"")*(tbl_Finance[Xero Invoice No]&lt;&gt;"")*tbl_Finance[Date]))),""))</f>
        <v/>
      </c>
      <c r="B308" s="25">
        <f>IF(C308="","",IF(COUNTIFS(tbl_Finance[Job Number],C308&amp;"",tbl_Finance[Xero Invoice No],"&lt;&gt;")=0,"",IFERROR(IF(COUNTIFS(tbl_Finance[Job Number],C308&amp;"",tbl_Finance[Xero Invoice No],LOOKUP(2,1/((tbl_Finance[Job Number]=C308&amp;"")*(tbl_Finance[Xero Invoice No]&lt;&gt;"")),tbl_Finance[Xero Invoice No]))=COUNTIFS(tbl_Finance[Job Number],C308&amp;"",tbl_Finance[Xero Invoice No],"&lt;&gt;"),LOOKUP(2,1/((tbl_Finance[Job Number]=C308&amp;"")*(tbl_Finance[Xero Invoice No]&lt;&gt;"")),tbl_Finance[Xero Invoice No]),LOOKUP(2,1/((tbl_Finance[Job Number]=C308&amp;"")*(tbl_Finance[Xero Invoice No]&lt;&gt;"")),tbl_Finance[Xero Invoice No])&amp;" +more"),"")))</f>
        <v/>
      </c>
      <c r="C308" s="24" t="n"/>
      <c r="D308" s="25">
        <f>IF(C308="","",IF(COUNTIF(lst_Jobs,C308&amp;"")&gt;0,"OK","CHECK"))</f>
        <v/>
      </c>
      <c r="E308" s="25">
        <f>IF(C308="","",IFERROR(INDEX(lst_JobName,MATCH(C308&amp;"",lst_Jobs,0)),""))</f>
        <v/>
      </c>
      <c r="F308" s="25">
        <f>IF(C308="","",IFERROR(INDEX(tbl_Finance[Client],MATCH(C308&amp;"",tbl_Finance[Job Number],0)),""))</f>
        <v/>
      </c>
      <c r="G308" s="28">
        <f>IF(C308="","",COUNTIFS(tbl_Finance[Job Number],C308&amp;"",tbl_Finance[Ex GST],"&lt;&gt;"))</f>
        <v/>
      </c>
      <c r="H308" s="27">
        <f>IF(C308="","",SUMIFS(tbl_Finance[Ex GST],tbl_Finance[Job Number],C308&amp;""))</f>
        <v/>
      </c>
      <c r="I308" s="27">
        <f>IF(C308="","",SUMIFS(tbl_Finance[Ex GST],tbl_Finance[Job Number],C308&amp;"",tbl_Finance[Xero Invoice No],"&lt;&gt;"))</f>
        <v/>
      </c>
      <c r="J308" s="27">
        <f>IF(C308="","",H308-I308)</f>
        <v/>
      </c>
      <c r="K308" s="25">
        <f>IF(C308="","",IF(G308=0,"not invoiced yet",SUBSTITUTE(TRIM(IF(COUNTIFS(tbl_Finance[Job Number],C308&amp;"",tbl_Finance[Cost Centre],"ONSITE")&gt;0,"ONSITE ","")&amp;IF(COUNTIFS(tbl_Finance[Job Number],C308&amp;"",tbl_Finance[Cost Centre],"PRODUCTION")&gt;0,"PRODUCTION ","")&amp;IF(COUNTIFS(tbl_Finance[Job Number],C308&amp;"",tbl_Finance[Cost Centre],"VIDEO")&gt;0,"VIDEO ","")&amp;IF(COUNTIFS(tbl_Finance[Job Number],C308&amp;"",tbl_Finance[Cost Centre],"INTEGRATION")&gt;0,"INTEGRATION ","")&amp;IF(COUNTIFS(tbl_Finance[Job Number],C308&amp;"",tbl_Finance[Cost Centre],"CONSULTING")&gt;0,"CONSULTING ","")&amp;IF(COUNTIFS(tbl_Finance[Job Number],C308&amp;"",tbl_Finance[Cost Centre],"CTS")&gt;0,"CTS ",""))," ",", ")))</f>
        <v/>
      </c>
      <c r="L308" s="24" t="n"/>
      <c r="M308" s="24" t="n"/>
      <c r="N308" s="25">
        <f>IF(M308="","",HYPERLINK(IF(LEFT(M308,4)="http",M308,set_QwilrBase&amp;M308),"Open quote"))</f>
        <v/>
      </c>
      <c r="O308" s="69" t="n"/>
      <c r="P308" s="24" t="n"/>
      <c r="Q308" s="24" t="n"/>
    </row>
    <row r="309" ht="15" customHeight="1">
      <c r="A309" s="68">
        <f>IF(C309="","",IFERROR(IF(SUMPRODUCT(MAX((tbl_Finance[Job Number]=C309&amp;"")*(tbl_Finance[Xero Invoice No]&lt;&gt;"")*tbl_Finance[Date]))=0,"",SUMPRODUCT(MAX((tbl_Finance[Job Number]=C309&amp;"")*(tbl_Finance[Xero Invoice No]&lt;&gt;"")*tbl_Finance[Date]))),""))</f>
        <v/>
      </c>
      <c r="B309" s="25">
        <f>IF(C309="","",IF(COUNTIFS(tbl_Finance[Job Number],C309&amp;"",tbl_Finance[Xero Invoice No],"&lt;&gt;")=0,"",IFERROR(IF(COUNTIFS(tbl_Finance[Job Number],C309&amp;"",tbl_Finance[Xero Invoice No],LOOKUP(2,1/((tbl_Finance[Job Number]=C309&amp;"")*(tbl_Finance[Xero Invoice No]&lt;&gt;"")),tbl_Finance[Xero Invoice No]))=COUNTIFS(tbl_Finance[Job Number],C309&amp;"",tbl_Finance[Xero Invoice No],"&lt;&gt;"),LOOKUP(2,1/((tbl_Finance[Job Number]=C309&amp;"")*(tbl_Finance[Xero Invoice No]&lt;&gt;"")),tbl_Finance[Xero Invoice No]),LOOKUP(2,1/((tbl_Finance[Job Number]=C309&amp;"")*(tbl_Finance[Xero Invoice No]&lt;&gt;"")),tbl_Finance[Xero Invoice No])&amp;" +more"),"")))</f>
        <v/>
      </c>
      <c r="C309" s="24" t="n"/>
      <c r="D309" s="25">
        <f>IF(C309="","",IF(COUNTIF(lst_Jobs,C309&amp;"")&gt;0,"OK","CHECK"))</f>
        <v/>
      </c>
      <c r="E309" s="25">
        <f>IF(C309="","",IFERROR(INDEX(lst_JobName,MATCH(C309&amp;"",lst_Jobs,0)),""))</f>
        <v/>
      </c>
      <c r="F309" s="25">
        <f>IF(C309="","",IFERROR(INDEX(tbl_Finance[Client],MATCH(C309&amp;"",tbl_Finance[Job Number],0)),""))</f>
        <v/>
      </c>
      <c r="G309" s="28">
        <f>IF(C309="","",COUNTIFS(tbl_Finance[Job Number],C309&amp;"",tbl_Finance[Ex GST],"&lt;&gt;"))</f>
        <v/>
      </c>
      <c r="H309" s="27">
        <f>IF(C309="","",SUMIFS(tbl_Finance[Ex GST],tbl_Finance[Job Number],C309&amp;""))</f>
        <v/>
      </c>
      <c r="I309" s="27">
        <f>IF(C309="","",SUMIFS(tbl_Finance[Ex GST],tbl_Finance[Job Number],C309&amp;"",tbl_Finance[Xero Invoice No],"&lt;&gt;"))</f>
        <v/>
      </c>
      <c r="J309" s="27">
        <f>IF(C309="","",H309-I309)</f>
        <v/>
      </c>
      <c r="K309" s="25">
        <f>IF(C309="","",IF(G309=0,"not invoiced yet",SUBSTITUTE(TRIM(IF(COUNTIFS(tbl_Finance[Job Number],C309&amp;"",tbl_Finance[Cost Centre],"ONSITE")&gt;0,"ONSITE ","")&amp;IF(COUNTIFS(tbl_Finance[Job Number],C309&amp;"",tbl_Finance[Cost Centre],"PRODUCTION")&gt;0,"PRODUCTION ","")&amp;IF(COUNTIFS(tbl_Finance[Job Number],C309&amp;"",tbl_Finance[Cost Centre],"VIDEO")&gt;0,"VIDEO ","")&amp;IF(COUNTIFS(tbl_Finance[Job Number],C309&amp;"",tbl_Finance[Cost Centre],"INTEGRATION")&gt;0,"INTEGRATION ","")&amp;IF(COUNTIFS(tbl_Finance[Job Number],C309&amp;"",tbl_Finance[Cost Centre],"CONSULTING")&gt;0,"CONSULTING ","")&amp;IF(COUNTIFS(tbl_Finance[Job Number],C309&amp;"",tbl_Finance[Cost Centre],"CTS")&gt;0,"CTS ",""))," ",", ")))</f>
        <v/>
      </c>
      <c r="L309" s="24" t="n"/>
      <c r="M309" s="24" t="n"/>
      <c r="N309" s="25">
        <f>IF(M309="","",HYPERLINK(IF(LEFT(M309,4)="http",M309,set_QwilrBase&amp;M309),"Open quote"))</f>
        <v/>
      </c>
      <c r="O309" s="69" t="n"/>
      <c r="P309" s="24" t="n"/>
      <c r="Q309" s="24" t="n"/>
    </row>
    <row r="310" ht="15" customHeight="1">
      <c r="A310" s="68">
        <f>IF(C310="","",IFERROR(IF(SUMPRODUCT(MAX((tbl_Finance[Job Number]=C310&amp;"")*(tbl_Finance[Xero Invoice No]&lt;&gt;"")*tbl_Finance[Date]))=0,"",SUMPRODUCT(MAX((tbl_Finance[Job Number]=C310&amp;"")*(tbl_Finance[Xero Invoice No]&lt;&gt;"")*tbl_Finance[Date]))),""))</f>
        <v/>
      </c>
      <c r="B310" s="25">
        <f>IF(C310="","",IF(COUNTIFS(tbl_Finance[Job Number],C310&amp;"",tbl_Finance[Xero Invoice No],"&lt;&gt;")=0,"",IFERROR(IF(COUNTIFS(tbl_Finance[Job Number],C310&amp;"",tbl_Finance[Xero Invoice No],LOOKUP(2,1/((tbl_Finance[Job Number]=C310&amp;"")*(tbl_Finance[Xero Invoice No]&lt;&gt;"")),tbl_Finance[Xero Invoice No]))=COUNTIFS(tbl_Finance[Job Number],C310&amp;"",tbl_Finance[Xero Invoice No],"&lt;&gt;"),LOOKUP(2,1/((tbl_Finance[Job Number]=C310&amp;"")*(tbl_Finance[Xero Invoice No]&lt;&gt;"")),tbl_Finance[Xero Invoice No]),LOOKUP(2,1/((tbl_Finance[Job Number]=C310&amp;"")*(tbl_Finance[Xero Invoice No]&lt;&gt;"")),tbl_Finance[Xero Invoice No])&amp;" +more"),"")))</f>
        <v/>
      </c>
      <c r="C310" s="24" t="n"/>
      <c r="D310" s="25">
        <f>IF(C310="","",IF(COUNTIF(lst_Jobs,C310&amp;"")&gt;0,"OK","CHECK"))</f>
        <v/>
      </c>
      <c r="E310" s="25">
        <f>IF(C310="","",IFERROR(INDEX(lst_JobName,MATCH(C310&amp;"",lst_Jobs,0)),""))</f>
        <v/>
      </c>
      <c r="F310" s="25">
        <f>IF(C310="","",IFERROR(INDEX(tbl_Finance[Client],MATCH(C310&amp;"",tbl_Finance[Job Number],0)),""))</f>
        <v/>
      </c>
      <c r="G310" s="28">
        <f>IF(C310="","",COUNTIFS(tbl_Finance[Job Number],C310&amp;"",tbl_Finance[Ex GST],"&lt;&gt;"))</f>
        <v/>
      </c>
      <c r="H310" s="27">
        <f>IF(C310="","",SUMIFS(tbl_Finance[Ex GST],tbl_Finance[Job Number],C310&amp;""))</f>
        <v/>
      </c>
      <c r="I310" s="27">
        <f>IF(C310="","",SUMIFS(tbl_Finance[Ex GST],tbl_Finance[Job Number],C310&amp;"",tbl_Finance[Xero Invoice No],"&lt;&gt;"))</f>
        <v/>
      </c>
      <c r="J310" s="27">
        <f>IF(C310="","",H310-I310)</f>
        <v/>
      </c>
      <c r="K310" s="25">
        <f>IF(C310="","",IF(G310=0,"not invoiced yet",SUBSTITUTE(TRIM(IF(COUNTIFS(tbl_Finance[Job Number],C310&amp;"",tbl_Finance[Cost Centre],"ONSITE")&gt;0,"ONSITE ","")&amp;IF(COUNTIFS(tbl_Finance[Job Number],C310&amp;"",tbl_Finance[Cost Centre],"PRODUCTION")&gt;0,"PRODUCTION ","")&amp;IF(COUNTIFS(tbl_Finance[Job Number],C310&amp;"",tbl_Finance[Cost Centre],"VIDEO")&gt;0,"VIDEO ","")&amp;IF(COUNTIFS(tbl_Finance[Job Number],C310&amp;"",tbl_Finance[Cost Centre],"INTEGRATION")&gt;0,"INTEGRATION ","")&amp;IF(COUNTIFS(tbl_Finance[Job Number],C310&amp;"",tbl_Finance[Cost Centre],"CONSULTING")&gt;0,"CONSULTING ","")&amp;IF(COUNTIFS(tbl_Finance[Job Number],C310&amp;"",tbl_Finance[Cost Centre],"CTS")&gt;0,"CTS ",""))," ",", ")))</f>
        <v/>
      </c>
      <c r="L310" s="24" t="n"/>
      <c r="M310" s="24" t="n"/>
      <c r="N310" s="25">
        <f>IF(M310="","",HYPERLINK(IF(LEFT(M310,4)="http",M310,set_QwilrBase&amp;M310),"Open quote"))</f>
        <v/>
      </c>
      <c r="O310" s="69" t="n"/>
      <c r="P310" s="24" t="n"/>
      <c r="Q310" s="24" t="n"/>
    </row>
    <row r="311" ht="15" customHeight="1">
      <c r="A311" s="68">
        <f>IF(C311="","",IFERROR(IF(SUMPRODUCT(MAX((tbl_Finance[Job Number]=C311&amp;"")*(tbl_Finance[Xero Invoice No]&lt;&gt;"")*tbl_Finance[Date]))=0,"",SUMPRODUCT(MAX((tbl_Finance[Job Number]=C311&amp;"")*(tbl_Finance[Xero Invoice No]&lt;&gt;"")*tbl_Finance[Date]))),""))</f>
        <v/>
      </c>
      <c r="B311" s="25">
        <f>IF(C311="","",IF(COUNTIFS(tbl_Finance[Job Number],C311&amp;"",tbl_Finance[Xero Invoice No],"&lt;&gt;")=0,"",IFERROR(IF(COUNTIFS(tbl_Finance[Job Number],C311&amp;"",tbl_Finance[Xero Invoice No],LOOKUP(2,1/((tbl_Finance[Job Number]=C311&amp;"")*(tbl_Finance[Xero Invoice No]&lt;&gt;"")),tbl_Finance[Xero Invoice No]))=COUNTIFS(tbl_Finance[Job Number],C311&amp;"",tbl_Finance[Xero Invoice No],"&lt;&gt;"),LOOKUP(2,1/((tbl_Finance[Job Number]=C311&amp;"")*(tbl_Finance[Xero Invoice No]&lt;&gt;"")),tbl_Finance[Xero Invoice No]),LOOKUP(2,1/((tbl_Finance[Job Number]=C311&amp;"")*(tbl_Finance[Xero Invoice No]&lt;&gt;"")),tbl_Finance[Xero Invoice No])&amp;" +more"),"")))</f>
        <v/>
      </c>
      <c r="C311" s="24" t="n"/>
      <c r="D311" s="25">
        <f>IF(C311="","",IF(COUNTIF(lst_Jobs,C311&amp;"")&gt;0,"OK","CHECK"))</f>
        <v/>
      </c>
      <c r="E311" s="25">
        <f>IF(C311="","",IFERROR(INDEX(lst_JobName,MATCH(C311&amp;"",lst_Jobs,0)),""))</f>
        <v/>
      </c>
      <c r="F311" s="25">
        <f>IF(C311="","",IFERROR(INDEX(tbl_Finance[Client],MATCH(C311&amp;"",tbl_Finance[Job Number],0)),""))</f>
        <v/>
      </c>
      <c r="G311" s="28">
        <f>IF(C311="","",COUNTIFS(tbl_Finance[Job Number],C311&amp;"",tbl_Finance[Ex GST],"&lt;&gt;"))</f>
        <v/>
      </c>
      <c r="H311" s="27">
        <f>IF(C311="","",SUMIFS(tbl_Finance[Ex GST],tbl_Finance[Job Number],C311&amp;""))</f>
        <v/>
      </c>
      <c r="I311" s="27">
        <f>IF(C311="","",SUMIFS(tbl_Finance[Ex GST],tbl_Finance[Job Number],C311&amp;"",tbl_Finance[Xero Invoice No],"&lt;&gt;"))</f>
        <v/>
      </c>
      <c r="J311" s="27">
        <f>IF(C311="","",H311-I311)</f>
        <v/>
      </c>
      <c r="K311" s="25">
        <f>IF(C311="","",IF(G311=0,"not invoiced yet",SUBSTITUTE(TRIM(IF(COUNTIFS(tbl_Finance[Job Number],C311&amp;"",tbl_Finance[Cost Centre],"ONSITE")&gt;0,"ONSITE ","")&amp;IF(COUNTIFS(tbl_Finance[Job Number],C311&amp;"",tbl_Finance[Cost Centre],"PRODUCTION")&gt;0,"PRODUCTION ","")&amp;IF(COUNTIFS(tbl_Finance[Job Number],C311&amp;"",tbl_Finance[Cost Centre],"VIDEO")&gt;0,"VIDEO ","")&amp;IF(COUNTIFS(tbl_Finance[Job Number],C311&amp;"",tbl_Finance[Cost Centre],"INTEGRATION")&gt;0,"INTEGRATION ","")&amp;IF(COUNTIFS(tbl_Finance[Job Number],C311&amp;"",tbl_Finance[Cost Centre],"CONSULTING")&gt;0,"CONSULTING ","")&amp;IF(COUNTIFS(tbl_Finance[Job Number],C311&amp;"",tbl_Finance[Cost Centre],"CTS")&gt;0,"CTS ",""))," ",", ")))</f>
        <v/>
      </c>
      <c r="L311" s="24" t="n"/>
      <c r="M311" s="24" t="n"/>
      <c r="N311" s="25">
        <f>IF(M311="","",HYPERLINK(IF(LEFT(M311,4)="http",M311,set_QwilrBase&amp;M311),"Open quote"))</f>
        <v/>
      </c>
      <c r="O311" s="69" t="n"/>
      <c r="P311" s="24" t="n"/>
      <c r="Q311" s="24" t="n"/>
    </row>
    <row r="312" ht="15" customHeight="1">
      <c r="A312" s="68">
        <f>IF(C312="","",IFERROR(IF(SUMPRODUCT(MAX((tbl_Finance[Job Number]=C312&amp;"")*(tbl_Finance[Xero Invoice No]&lt;&gt;"")*tbl_Finance[Date]))=0,"",SUMPRODUCT(MAX((tbl_Finance[Job Number]=C312&amp;"")*(tbl_Finance[Xero Invoice No]&lt;&gt;"")*tbl_Finance[Date]))),""))</f>
        <v/>
      </c>
      <c r="B312" s="25">
        <f>IF(C312="","",IF(COUNTIFS(tbl_Finance[Job Number],C312&amp;"",tbl_Finance[Xero Invoice No],"&lt;&gt;")=0,"",IFERROR(IF(COUNTIFS(tbl_Finance[Job Number],C312&amp;"",tbl_Finance[Xero Invoice No],LOOKUP(2,1/((tbl_Finance[Job Number]=C312&amp;"")*(tbl_Finance[Xero Invoice No]&lt;&gt;"")),tbl_Finance[Xero Invoice No]))=COUNTIFS(tbl_Finance[Job Number],C312&amp;"",tbl_Finance[Xero Invoice No],"&lt;&gt;"),LOOKUP(2,1/((tbl_Finance[Job Number]=C312&amp;"")*(tbl_Finance[Xero Invoice No]&lt;&gt;"")),tbl_Finance[Xero Invoice No]),LOOKUP(2,1/((tbl_Finance[Job Number]=C312&amp;"")*(tbl_Finance[Xero Invoice No]&lt;&gt;"")),tbl_Finance[Xero Invoice No])&amp;" +more"),"")))</f>
        <v/>
      </c>
      <c r="C312" s="24" t="n"/>
      <c r="D312" s="25">
        <f>IF(C312="","",IF(COUNTIF(lst_Jobs,C312&amp;"")&gt;0,"OK","CHECK"))</f>
        <v/>
      </c>
      <c r="E312" s="25">
        <f>IF(C312="","",IFERROR(INDEX(lst_JobName,MATCH(C312&amp;"",lst_Jobs,0)),""))</f>
        <v/>
      </c>
      <c r="F312" s="25">
        <f>IF(C312="","",IFERROR(INDEX(tbl_Finance[Client],MATCH(C312&amp;"",tbl_Finance[Job Number],0)),""))</f>
        <v/>
      </c>
      <c r="G312" s="28">
        <f>IF(C312="","",COUNTIFS(tbl_Finance[Job Number],C312&amp;"",tbl_Finance[Ex GST],"&lt;&gt;"))</f>
        <v/>
      </c>
      <c r="H312" s="27">
        <f>IF(C312="","",SUMIFS(tbl_Finance[Ex GST],tbl_Finance[Job Number],C312&amp;""))</f>
        <v/>
      </c>
      <c r="I312" s="27">
        <f>IF(C312="","",SUMIFS(tbl_Finance[Ex GST],tbl_Finance[Job Number],C312&amp;"",tbl_Finance[Xero Invoice No],"&lt;&gt;"))</f>
        <v/>
      </c>
      <c r="J312" s="27">
        <f>IF(C312="","",H312-I312)</f>
        <v/>
      </c>
      <c r="K312" s="25">
        <f>IF(C312="","",IF(G312=0,"not invoiced yet",SUBSTITUTE(TRIM(IF(COUNTIFS(tbl_Finance[Job Number],C312&amp;"",tbl_Finance[Cost Centre],"ONSITE")&gt;0,"ONSITE ","")&amp;IF(COUNTIFS(tbl_Finance[Job Number],C312&amp;"",tbl_Finance[Cost Centre],"PRODUCTION")&gt;0,"PRODUCTION ","")&amp;IF(COUNTIFS(tbl_Finance[Job Number],C312&amp;"",tbl_Finance[Cost Centre],"VIDEO")&gt;0,"VIDEO ","")&amp;IF(COUNTIFS(tbl_Finance[Job Number],C312&amp;"",tbl_Finance[Cost Centre],"INTEGRATION")&gt;0,"INTEGRATION ","")&amp;IF(COUNTIFS(tbl_Finance[Job Number],C312&amp;"",tbl_Finance[Cost Centre],"CONSULTING")&gt;0,"CONSULTING ","")&amp;IF(COUNTIFS(tbl_Finance[Job Number],C312&amp;"",tbl_Finance[Cost Centre],"CTS")&gt;0,"CTS ",""))," ",", ")))</f>
        <v/>
      </c>
      <c r="L312" s="24" t="n"/>
      <c r="M312" s="24" t="n"/>
      <c r="N312" s="25">
        <f>IF(M312="","",HYPERLINK(IF(LEFT(M312,4)="http",M312,set_QwilrBase&amp;M312),"Open quote"))</f>
        <v/>
      </c>
      <c r="O312" s="69" t="n"/>
      <c r="P312" s="24" t="n"/>
      <c r="Q312" s="24" t="n"/>
    </row>
    <row r="313" ht="15" customHeight="1">
      <c r="A313" s="68">
        <f>IF(C313="","",IFERROR(IF(SUMPRODUCT(MAX((tbl_Finance[Job Number]=C313&amp;"")*(tbl_Finance[Xero Invoice No]&lt;&gt;"")*tbl_Finance[Date]))=0,"",SUMPRODUCT(MAX((tbl_Finance[Job Number]=C313&amp;"")*(tbl_Finance[Xero Invoice No]&lt;&gt;"")*tbl_Finance[Date]))),""))</f>
        <v/>
      </c>
      <c r="B313" s="25">
        <f>IF(C313="","",IF(COUNTIFS(tbl_Finance[Job Number],C313&amp;"",tbl_Finance[Xero Invoice No],"&lt;&gt;")=0,"",IFERROR(IF(COUNTIFS(tbl_Finance[Job Number],C313&amp;"",tbl_Finance[Xero Invoice No],LOOKUP(2,1/((tbl_Finance[Job Number]=C313&amp;"")*(tbl_Finance[Xero Invoice No]&lt;&gt;"")),tbl_Finance[Xero Invoice No]))=COUNTIFS(tbl_Finance[Job Number],C313&amp;"",tbl_Finance[Xero Invoice No],"&lt;&gt;"),LOOKUP(2,1/((tbl_Finance[Job Number]=C313&amp;"")*(tbl_Finance[Xero Invoice No]&lt;&gt;"")),tbl_Finance[Xero Invoice No]),LOOKUP(2,1/((tbl_Finance[Job Number]=C313&amp;"")*(tbl_Finance[Xero Invoice No]&lt;&gt;"")),tbl_Finance[Xero Invoice No])&amp;" +more"),"")))</f>
        <v/>
      </c>
      <c r="C313" s="24" t="n"/>
      <c r="D313" s="25">
        <f>IF(C313="","",IF(COUNTIF(lst_Jobs,C313&amp;"")&gt;0,"OK","CHECK"))</f>
        <v/>
      </c>
      <c r="E313" s="25">
        <f>IF(C313="","",IFERROR(INDEX(lst_JobName,MATCH(C313&amp;"",lst_Jobs,0)),""))</f>
        <v/>
      </c>
      <c r="F313" s="25">
        <f>IF(C313="","",IFERROR(INDEX(tbl_Finance[Client],MATCH(C313&amp;"",tbl_Finance[Job Number],0)),""))</f>
        <v/>
      </c>
      <c r="G313" s="28">
        <f>IF(C313="","",COUNTIFS(tbl_Finance[Job Number],C313&amp;"",tbl_Finance[Ex GST],"&lt;&gt;"))</f>
        <v/>
      </c>
      <c r="H313" s="27">
        <f>IF(C313="","",SUMIFS(tbl_Finance[Ex GST],tbl_Finance[Job Number],C313&amp;""))</f>
        <v/>
      </c>
      <c r="I313" s="27">
        <f>IF(C313="","",SUMIFS(tbl_Finance[Ex GST],tbl_Finance[Job Number],C313&amp;"",tbl_Finance[Xero Invoice No],"&lt;&gt;"))</f>
        <v/>
      </c>
      <c r="J313" s="27">
        <f>IF(C313="","",H313-I313)</f>
        <v/>
      </c>
      <c r="K313" s="25">
        <f>IF(C313="","",IF(G313=0,"not invoiced yet",SUBSTITUTE(TRIM(IF(COUNTIFS(tbl_Finance[Job Number],C313&amp;"",tbl_Finance[Cost Centre],"ONSITE")&gt;0,"ONSITE ","")&amp;IF(COUNTIFS(tbl_Finance[Job Number],C313&amp;"",tbl_Finance[Cost Centre],"PRODUCTION")&gt;0,"PRODUCTION ","")&amp;IF(COUNTIFS(tbl_Finance[Job Number],C313&amp;"",tbl_Finance[Cost Centre],"VIDEO")&gt;0,"VIDEO ","")&amp;IF(COUNTIFS(tbl_Finance[Job Number],C313&amp;"",tbl_Finance[Cost Centre],"INTEGRATION")&gt;0,"INTEGRATION ","")&amp;IF(COUNTIFS(tbl_Finance[Job Number],C313&amp;"",tbl_Finance[Cost Centre],"CONSULTING")&gt;0,"CONSULTING ","")&amp;IF(COUNTIFS(tbl_Finance[Job Number],C313&amp;"",tbl_Finance[Cost Centre],"CTS")&gt;0,"CTS ",""))," ",", ")))</f>
        <v/>
      </c>
      <c r="L313" s="24" t="n"/>
      <c r="M313" s="24" t="n"/>
      <c r="N313" s="25">
        <f>IF(M313="","",HYPERLINK(IF(LEFT(M313,4)="http",M313,set_QwilrBase&amp;M313),"Open quote"))</f>
        <v/>
      </c>
      <c r="O313" s="69" t="n"/>
      <c r="P313" s="24" t="n"/>
      <c r="Q313" s="24" t="n"/>
    </row>
    <row r="314" ht="15" customHeight="1">
      <c r="A314" s="68">
        <f>IF(C314="","",IFERROR(IF(SUMPRODUCT(MAX((tbl_Finance[Job Number]=C314&amp;"")*(tbl_Finance[Xero Invoice No]&lt;&gt;"")*tbl_Finance[Date]))=0,"",SUMPRODUCT(MAX((tbl_Finance[Job Number]=C314&amp;"")*(tbl_Finance[Xero Invoice No]&lt;&gt;"")*tbl_Finance[Date]))),""))</f>
        <v/>
      </c>
      <c r="B314" s="25">
        <f>IF(C314="","",IF(COUNTIFS(tbl_Finance[Job Number],C314&amp;"",tbl_Finance[Xero Invoice No],"&lt;&gt;")=0,"",IFERROR(IF(COUNTIFS(tbl_Finance[Job Number],C314&amp;"",tbl_Finance[Xero Invoice No],LOOKUP(2,1/((tbl_Finance[Job Number]=C314&amp;"")*(tbl_Finance[Xero Invoice No]&lt;&gt;"")),tbl_Finance[Xero Invoice No]))=COUNTIFS(tbl_Finance[Job Number],C314&amp;"",tbl_Finance[Xero Invoice No],"&lt;&gt;"),LOOKUP(2,1/((tbl_Finance[Job Number]=C314&amp;"")*(tbl_Finance[Xero Invoice No]&lt;&gt;"")),tbl_Finance[Xero Invoice No]),LOOKUP(2,1/((tbl_Finance[Job Number]=C314&amp;"")*(tbl_Finance[Xero Invoice No]&lt;&gt;"")),tbl_Finance[Xero Invoice No])&amp;" +more"),"")))</f>
        <v/>
      </c>
      <c r="C314" s="24" t="n"/>
      <c r="D314" s="25">
        <f>IF(C314="","",IF(COUNTIF(lst_Jobs,C314&amp;"")&gt;0,"OK","CHECK"))</f>
        <v/>
      </c>
      <c r="E314" s="25">
        <f>IF(C314="","",IFERROR(INDEX(lst_JobName,MATCH(C314&amp;"",lst_Jobs,0)),""))</f>
        <v/>
      </c>
      <c r="F314" s="25">
        <f>IF(C314="","",IFERROR(INDEX(tbl_Finance[Client],MATCH(C314&amp;"",tbl_Finance[Job Number],0)),""))</f>
        <v/>
      </c>
      <c r="G314" s="28">
        <f>IF(C314="","",COUNTIFS(tbl_Finance[Job Number],C314&amp;"",tbl_Finance[Ex GST],"&lt;&gt;"))</f>
        <v/>
      </c>
      <c r="H314" s="27">
        <f>IF(C314="","",SUMIFS(tbl_Finance[Ex GST],tbl_Finance[Job Number],C314&amp;""))</f>
        <v/>
      </c>
      <c r="I314" s="27">
        <f>IF(C314="","",SUMIFS(tbl_Finance[Ex GST],tbl_Finance[Job Number],C314&amp;"",tbl_Finance[Xero Invoice No],"&lt;&gt;"))</f>
        <v/>
      </c>
      <c r="J314" s="27">
        <f>IF(C314="","",H314-I314)</f>
        <v/>
      </c>
      <c r="K314" s="25">
        <f>IF(C314="","",IF(G314=0,"not invoiced yet",SUBSTITUTE(TRIM(IF(COUNTIFS(tbl_Finance[Job Number],C314&amp;"",tbl_Finance[Cost Centre],"ONSITE")&gt;0,"ONSITE ","")&amp;IF(COUNTIFS(tbl_Finance[Job Number],C314&amp;"",tbl_Finance[Cost Centre],"PRODUCTION")&gt;0,"PRODUCTION ","")&amp;IF(COUNTIFS(tbl_Finance[Job Number],C314&amp;"",tbl_Finance[Cost Centre],"VIDEO")&gt;0,"VIDEO ","")&amp;IF(COUNTIFS(tbl_Finance[Job Number],C314&amp;"",tbl_Finance[Cost Centre],"INTEGRATION")&gt;0,"INTEGRATION ","")&amp;IF(COUNTIFS(tbl_Finance[Job Number],C314&amp;"",tbl_Finance[Cost Centre],"CONSULTING")&gt;0,"CONSULTING ","")&amp;IF(COUNTIFS(tbl_Finance[Job Number],C314&amp;"",tbl_Finance[Cost Centre],"CTS")&gt;0,"CTS ",""))," ",", ")))</f>
        <v/>
      </c>
      <c r="L314" s="24" t="n"/>
      <c r="M314" s="24" t="n"/>
      <c r="N314" s="25">
        <f>IF(M314="","",HYPERLINK(IF(LEFT(M314,4)="http",M314,set_QwilrBase&amp;M314),"Open quote"))</f>
        <v/>
      </c>
      <c r="O314" s="69" t="n"/>
      <c r="P314" s="24" t="n"/>
      <c r="Q314" s="24" t="n"/>
    </row>
    <row r="315" ht="15" customHeight="1">
      <c r="A315" s="68">
        <f>IF(C315="","",IFERROR(IF(SUMPRODUCT(MAX((tbl_Finance[Job Number]=C315&amp;"")*(tbl_Finance[Xero Invoice No]&lt;&gt;"")*tbl_Finance[Date]))=0,"",SUMPRODUCT(MAX((tbl_Finance[Job Number]=C315&amp;"")*(tbl_Finance[Xero Invoice No]&lt;&gt;"")*tbl_Finance[Date]))),""))</f>
        <v/>
      </c>
      <c r="B315" s="25">
        <f>IF(C315="","",IF(COUNTIFS(tbl_Finance[Job Number],C315&amp;"",tbl_Finance[Xero Invoice No],"&lt;&gt;")=0,"",IFERROR(IF(COUNTIFS(tbl_Finance[Job Number],C315&amp;"",tbl_Finance[Xero Invoice No],LOOKUP(2,1/((tbl_Finance[Job Number]=C315&amp;"")*(tbl_Finance[Xero Invoice No]&lt;&gt;"")),tbl_Finance[Xero Invoice No]))=COUNTIFS(tbl_Finance[Job Number],C315&amp;"",tbl_Finance[Xero Invoice No],"&lt;&gt;"),LOOKUP(2,1/((tbl_Finance[Job Number]=C315&amp;"")*(tbl_Finance[Xero Invoice No]&lt;&gt;"")),tbl_Finance[Xero Invoice No]),LOOKUP(2,1/((tbl_Finance[Job Number]=C315&amp;"")*(tbl_Finance[Xero Invoice No]&lt;&gt;"")),tbl_Finance[Xero Invoice No])&amp;" +more"),"")))</f>
        <v/>
      </c>
      <c r="C315" s="24" t="n"/>
      <c r="D315" s="25">
        <f>IF(C315="","",IF(COUNTIF(lst_Jobs,C315&amp;"")&gt;0,"OK","CHECK"))</f>
        <v/>
      </c>
      <c r="E315" s="25">
        <f>IF(C315="","",IFERROR(INDEX(lst_JobName,MATCH(C315&amp;"",lst_Jobs,0)),""))</f>
        <v/>
      </c>
      <c r="F315" s="25">
        <f>IF(C315="","",IFERROR(INDEX(tbl_Finance[Client],MATCH(C315&amp;"",tbl_Finance[Job Number],0)),""))</f>
        <v/>
      </c>
      <c r="G315" s="28">
        <f>IF(C315="","",COUNTIFS(tbl_Finance[Job Number],C315&amp;"",tbl_Finance[Ex GST],"&lt;&gt;"))</f>
        <v/>
      </c>
      <c r="H315" s="27">
        <f>IF(C315="","",SUMIFS(tbl_Finance[Ex GST],tbl_Finance[Job Number],C315&amp;""))</f>
        <v/>
      </c>
      <c r="I315" s="27">
        <f>IF(C315="","",SUMIFS(tbl_Finance[Ex GST],tbl_Finance[Job Number],C315&amp;"",tbl_Finance[Xero Invoice No],"&lt;&gt;"))</f>
        <v/>
      </c>
      <c r="J315" s="27">
        <f>IF(C315="","",H315-I315)</f>
        <v/>
      </c>
      <c r="K315" s="25">
        <f>IF(C315="","",IF(G315=0,"not invoiced yet",SUBSTITUTE(TRIM(IF(COUNTIFS(tbl_Finance[Job Number],C315&amp;"",tbl_Finance[Cost Centre],"ONSITE")&gt;0,"ONSITE ","")&amp;IF(COUNTIFS(tbl_Finance[Job Number],C315&amp;"",tbl_Finance[Cost Centre],"PRODUCTION")&gt;0,"PRODUCTION ","")&amp;IF(COUNTIFS(tbl_Finance[Job Number],C315&amp;"",tbl_Finance[Cost Centre],"VIDEO")&gt;0,"VIDEO ","")&amp;IF(COUNTIFS(tbl_Finance[Job Number],C315&amp;"",tbl_Finance[Cost Centre],"INTEGRATION")&gt;0,"INTEGRATION ","")&amp;IF(COUNTIFS(tbl_Finance[Job Number],C315&amp;"",tbl_Finance[Cost Centre],"CONSULTING")&gt;0,"CONSULTING ","")&amp;IF(COUNTIFS(tbl_Finance[Job Number],C315&amp;"",tbl_Finance[Cost Centre],"CTS")&gt;0,"CTS ",""))," ",", ")))</f>
        <v/>
      </c>
      <c r="L315" s="24" t="n"/>
      <c r="M315" s="24" t="n"/>
      <c r="N315" s="25">
        <f>IF(M315="","",HYPERLINK(IF(LEFT(M315,4)="http",M315,set_QwilrBase&amp;M315),"Open quote"))</f>
        <v/>
      </c>
      <c r="O315" s="69" t="n"/>
      <c r="P315" s="24" t="n"/>
      <c r="Q315" s="24" t="n"/>
    </row>
    <row r="316" ht="15" customHeight="1">
      <c r="A316" s="68">
        <f>IF(C316="","",IFERROR(IF(SUMPRODUCT(MAX((tbl_Finance[Job Number]=C316&amp;"")*(tbl_Finance[Xero Invoice No]&lt;&gt;"")*tbl_Finance[Date]))=0,"",SUMPRODUCT(MAX((tbl_Finance[Job Number]=C316&amp;"")*(tbl_Finance[Xero Invoice No]&lt;&gt;"")*tbl_Finance[Date]))),""))</f>
        <v/>
      </c>
      <c r="B316" s="25">
        <f>IF(C316="","",IF(COUNTIFS(tbl_Finance[Job Number],C316&amp;"",tbl_Finance[Xero Invoice No],"&lt;&gt;")=0,"",IFERROR(IF(COUNTIFS(tbl_Finance[Job Number],C316&amp;"",tbl_Finance[Xero Invoice No],LOOKUP(2,1/((tbl_Finance[Job Number]=C316&amp;"")*(tbl_Finance[Xero Invoice No]&lt;&gt;"")),tbl_Finance[Xero Invoice No]))=COUNTIFS(tbl_Finance[Job Number],C316&amp;"",tbl_Finance[Xero Invoice No],"&lt;&gt;"),LOOKUP(2,1/((tbl_Finance[Job Number]=C316&amp;"")*(tbl_Finance[Xero Invoice No]&lt;&gt;"")),tbl_Finance[Xero Invoice No]),LOOKUP(2,1/((tbl_Finance[Job Number]=C316&amp;"")*(tbl_Finance[Xero Invoice No]&lt;&gt;"")),tbl_Finance[Xero Invoice No])&amp;" +more"),"")))</f>
        <v/>
      </c>
      <c r="C316" s="24" t="n"/>
      <c r="D316" s="25">
        <f>IF(C316="","",IF(COUNTIF(lst_Jobs,C316&amp;"")&gt;0,"OK","CHECK"))</f>
        <v/>
      </c>
      <c r="E316" s="25">
        <f>IF(C316="","",IFERROR(INDEX(lst_JobName,MATCH(C316&amp;"",lst_Jobs,0)),""))</f>
        <v/>
      </c>
      <c r="F316" s="25">
        <f>IF(C316="","",IFERROR(INDEX(tbl_Finance[Client],MATCH(C316&amp;"",tbl_Finance[Job Number],0)),""))</f>
        <v/>
      </c>
      <c r="G316" s="28">
        <f>IF(C316="","",COUNTIFS(tbl_Finance[Job Number],C316&amp;"",tbl_Finance[Ex GST],"&lt;&gt;"))</f>
        <v/>
      </c>
      <c r="H316" s="27">
        <f>IF(C316="","",SUMIFS(tbl_Finance[Ex GST],tbl_Finance[Job Number],C316&amp;""))</f>
        <v/>
      </c>
      <c r="I316" s="27">
        <f>IF(C316="","",SUMIFS(tbl_Finance[Ex GST],tbl_Finance[Job Number],C316&amp;"",tbl_Finance[Xero Invoice No],"&lt;&gt;"))</f>
        <v/>
      </c>
      <c r="J316" s="27">
        <f>IF(C316="","",H316-I316)</f>
        <v/>
      </c>
      <c r="K316" s="25">
        <f>IF(C316="","",IF(G316=0,"not invoiced yet",SUBSTITUTE(TRIM(IF(COUNTIFS(tbl_Finance[Job Number],C316&amp;"",tbl_Finance[Cost Centre],"ONSITE")&gt;0,"ONSITE ","")&amp;IF(COUNTIFS(tbl_Finance[Job Number],C316&amp;"",tbl_Finance[Cost Centre],"PRODUCTION")&gt;0,"PRODUCTION ","")&amp;IF(COUNTIFS(tbl_Finance[Job Number],C316&amp;"",tbl_Finance[Cost Centre],"VIDEO")&gt;0,"VIDEO ","")&amp;IF(COUNTIFS(tbl_Finance[Job Number],C316&amp;"",tbl_Finance[Cost Centre],"INTEGRATION")&gt;0,"INTEGRATION ","")&amp;IF(COUNTIFS(tbl_Finance[Job Number],C316&amp;"",tbl_Finance[Cost Centre],"CONSULTING")&gt;0,"CONSULTING ","")&amp;IF(COUNTIFS(tbl_Finance[Job Number],C316&amp;"",tbl_Finance[Cost Centre],"CTS")&gt;0,"CTS ",""))," ",", ")))</f>
        <v/>
      </c>
      <c r="L316" s="24" t="n"/>
      <c r="M316" s="24" t="n"/>
      <c r="N316" s="25">
        <f>IF(M316="","",HYPERLINK(IF(LEFT(M316,4)="http",M316,set_QwilrBase&amp;M316),"Open quote"))</f>
        <v/>
      </c>
      <c r="O316" s="69" t="n"/>
      <c r="P316" s="24" t="n"/>
      <c r="Q316" s="24" t="n"/>
    </row>
    <row r="317" ht="15" customHeight="1">
      <c r="A317" s="68">
        <f>IF(C317="","",IFERROR(IF(SUMPRODUCT(MAX((tbl_Finance[Job Number]=C317&amp;"")*(tbl_Finance[Xero Invoice No]&lt;&gt;"")*tbl_Finance[Date]))=0,"",SUMPRODUCT(MAX((tbl_Finance[Job Number]=C317&amp;"")*(tbl_Finance[Xero Invoice No]&lt;&gt;"")*tbl_Finance[Date]))),""))</f>
        <v/>
      </c>
      <c r="B317" s="25">
        <f>IF(C317="","",IF(COUNTIFS(tbl_Finance[Job Number],C317&amp;"",tbl_Finance[Xero Invoice No],"&lt;&gt;")=0,"",IFERROR(IF(COUNTIFS(tbl_Finance[Job Number],C317&amp;"",tbl_Finance[Xero Invoice No],LOOKUP(2,1/((tbl_Finance[Job Number]=C317&amp;"")*(tbl_Finance[Xero Invoice No]&lt;&gt;"")),tbl_Finance[Xero Invoice No]))=COUNTIFS(tbl_Finance[Job Number],C317&amp;"",tbl_Finance[Xero Invoice No],"&lt;&gt;"),LOOKUP(2,1/((tbl_Finance[Job Number]=C317&amp;"")*(tbl_Finance[Xero Invoice No]&lt;&gt;"")),tbl_Finance[Xero Invoice No]),LOOKUP(2,1/((tbl_Finance[Job Number]=C317&amp;"")*(tbl_Finance[Xero Invoice No]&lt;&gt;"")),tbl_Finance[Xero Invoice No])&amp;" +more"),"")))</f>
        <v/>
      </c>
      <c r="C317" s="24" t="n"/>
      <c r="D317" s="25">
        <f>IF(C317="","",IF(COUNTIF(lst_Jobs,C317&amp;"")&gt;0,"OK","CHECK"))</f>
        <v/>
      </c>
      <c r="E317" s="25">
        <f>IF(C317="","",IFERROR(INDEX(lst_JobName,MATCH(C317&amp;"",lst_Jobs,0)),""))</f>
        <v/>
      </c>
      <c r="F317" s="25">
        <f>IF(C317="","",IFERROR(INDEX(tbl_Finance[Client],MATCH(C317&amp;"",tbl_Finance[Job Number],0)),""))</f>
        <v/>
      </c>
      <c r="G317" s="28">
        <f>IF(C317="","",COUNTIFS(tbl_Finance[Job Number],C317&amp;"",tbl_Finance[Ex GST],"&lt;&gt;"))</f>
        <v/>
      </c>
      <c r="H317" s="27">
        <f>IF(C317="","",SUMIFS(tbl_Finance[Ex GST],tbl_Finance[Job Number],C317&amp;""))</f>
        <v/>
      </c>
      <c r="I317" s="27">
        <f>IF(C317="","",SUMIFS(tbl_Finance[Ex GST],tbl_Finance[Job Number],C317&amp;"",tbl_Finance[Xero Invoice No],"&lt;&gt;"))</f>
        <v/>
      </c>
      <c r="J317" s="27">
        <f>IF(C317="","",H317-I317)</f>
        <v/>
      </c>
      <c r="K317" s="25">
        <f>IF(C317="","",IF(G317=0,"not invoiced yet",SUBSTITUTE(TRIM(IF(COUNTIFS(tbl_Finance[Job Number],C317&amp;"",tbl_Finance[Cost Centre],"ONSITE")&gt;0,"ONSITE ","")&amp;IF(COUNTIFS(tbl_Finance[Job Number],C317&amp;"",tbl_Finance[Cost Centre],"PRODUCTION")&gt;0,"PRODUCTION ","")&amp;IF(COUNTIFS(tbl_Finance[Job Number],C317&amp;"",tbl_Finance[Cost Centre],"VIDEO")&gt;0,"VIDEO ","")&amp;IF(COUNTIFS(tbl_Finance[Job Number],C317&amp;"",tbl_Finance[Cost Centre],"INTEGRATION")&gt;0,"INTEGRATION ","")&amp;IF(COUNTIFS(tbl_Finance[Job Number],C317&amp;"",tbl_Finance[Cost Centre],"CONSULTING")&gt;0,"CONSULTING ","")&amp;IF(COUNTIFS(tbl_Finance[Job Number],C317&amp;"",tbl_Finance[Cost Centre],"CTS")&gt;0,"CTS ",""))," ",", ")))</f>
        <v/>
      </c>
      <c r="L317" s="24" t="n"/>
      <c r="M317" s="24" t="n"/>
      <c r="N317" s="25">
        <f>IF(M317="","",HYPERLINK(IF(LEFT(M317,4)="http",M317,set_QwilrBase&amp;M317),"Open quote"))</f>
        <v/>
      </c>
      <c r="O317" s="69" t="n"/>
      <c r="P317" s="24" t="n"/>
      <c r="Q317" s="24" t="n"/>
    </row>
    <row r="318" ht="15" customHeight="1">
      <c r="A318" s="68">
        <f>IF(C318="","",IFERROR(IF(SUMPRODUCT(MAX((tbl_Finance[Job Number]=C318&amp;"")*(tbl_Finance[Xero Invoice No]&lt;&gt;"")*tbl_Finance[Date]))=0,"",SUMPRODUCT(MAX((tbl_Finance[Job Number]=C318&amp;"")*(tbl_Finance[Xero Invoice No]&lt;&gt;"")*tbl_Finance[Date]))),""))</f>
        <v/>
      </c>
      <c r="B318" s="25">
        <f>IF(C318="","",IF(COUNTIFS(tbl_Finance[Job Number],C318&amp;"",tbl_Finance[Xero Invoice No],"&lt;&gt;")=0,"",IFERROR(IF(COUNTIFS(tbl_Finance[Job Number],C318&amp;"",tbl_Finance[Xero Invoice No],LOOKUP(2,1/((tbl_Finance[Job Number]=C318&amp;"")*(tbl_Finance[Xero Invoice No]&lt;&gt;"")),tbl_Finance[Xero Invoice No]))=COUNTIFS(tbl_Finance[Job Number],C318&amp;"",tbl_Finance[Xero Invoice No],"&lt;&gt;"),LOOKUP(2,1/((tbl_Finance[Job Number]=C318&amp;"")*(tbl_Finance[Xero Invoice No]&lt;&gt;"")),tbl_Finance[Xero Invoice No]),LOOKUP(2,1/((tbl_Finance[Job Number]=C318&amp;"")*(tbl_Finance[Xero Invoice No]&lt;&gt;"")),tbl_Finance[Xero Invoice No])&amp;" +more"),"")))</f>
        <v/>
      </c>
      <c r="C318" s="24" t="n"/>
      <c r="D318" s="25">
        <f>IF(C318="","",IF(COUNTIF(lst_Jobs,C318&amp;"")&gt;0,"OK","CHECK"))</f>
        <v/>
      </c>
      <c r="E318" s="25">
        <f>IF(C318="","",IFERROR(INDEX(lst_JobName,MATCH(C318&amp;"",lst_Jobs,0)),""))</f>
        <v/>
      </c>
      <c r="F318" s="25">
        <f>IF(C318="","",IFERROR(INDEX(tbl_Finance[Client],MATCH(C318&amp;"",tbl_Finance[Job Number],0)),""))</f>
        <v/>
      </c>
      <c r="G318" s="28">
        <f>IF(C318="","",COUNTIFS(tbl_Finance[Job Number],C318&amp;"",tbl_Finance[Ex GST],"&lt;&gt;"))</f>
        <v/>
      </c>
      <c r="H318" s="27">
        <f>IF(C318="","",SUMIFS(tbl_Finance[Ex GST],tbl_Finance[Job Number],C318&amp;""))</f>
        <v/>
      </c>
      <c r="I318" s="27">
        <f>IF(C318="","",SUMIFS(tbl_Finance[Ex GST],tbl_Finance[Job Number],C318&amp;"",tbl_Finance[Xero Invoice No],"&lt;&gt;"))</f>
        <v/>
      </c>
      <c r="J318" s="27">
        <f>IF(C318="","",H318-I318)</f>
        <v/>
      </c>
      <c r="K318" s="25">
        <f>IF(C318="","",IF(G318=0,"not invoiced yet",SUBSTITUTE(TRIM(IF(COUNTIFS(tbl_Finance[Job Number],C318&amp;"",tbl_Finance[Cost Centre],"ONSITE")&gt;0,"ONSITE ","")&amp;IF(COUNTIFS(tbl_Finance[Job Number],C318&amp;"",tbl_Finance[Cost Centre],"PRODUCTION")&gt;0,"PRODUCTION ","")&amp;IF(COUNTIFS(tbl_Finance[Job Number],C318&amp;"",tbl_Finance[Cost Centre],"VIDEO")&gt;0,"VIDEO ","")&amp;IF(COUNTIFS(tbl_Finance[Job Number],C318&amp;"",tbl_Finance[Cost Centre],"INTEGRATION")&gt;0,"INTEGRATION ","")&amp;IF(COUNTIFS(tbl_Finance[Job Number],C318&amp;"",tbl_Finance[Cost Centre],"CONSULTING")&gt;0,"CONSULTING ","")&amp;IF(COUNTIFS(tbl_Finance[Job Number],C318&amp;"",tbl_Finance[Cost Centre],"CTS")&gt;0,"CTS ",""))," ",", ")))</f>
        <v/>
      </c>
      <c r="L318" s="24" t="n"/>
      <c r="M318" s="24" t="n"/>
      <c r="N318" s="25">
        <f>IF(M318="","",HYPERLINK(IF(LEFT(M318,4)="http",M318,set_QwilrBase&amp;M318),"Open quote"))</f>
        <v/>
      </c>
      <c r="O318" s="69" t="n"/>
      <c r="P318" s="24" t="n"/>
      <c r="Q318" s="24" t="n"/>
    </row>
    <row r="319" ht="15" customHeight="1">
      <c r="A319" s="68">
        <f>IF(C319="","",IFERROR(IF(SUMPRODUCT(MAX((tbl_Finance[Job Number]=C319&amp;"")*(tbl_Finance[Xero Invoice No]&lt;&gt;"")*tbl_Finance[Date]))=0,"",SUMPRODUCT(MAX((tbl_Finance[Job Number]=C319&amp;"")*(tbl_Finance[Xero Invoice No]&lt;&gt;"")*tbl_Finance[Date]))),""))</f>
        <v/>
      </c>
      <c r="B319" s="25">
        <f>IF(C319="","",IF(COUNTIFS(tbl_Finance[Job Number],C319&amp;"",tbl_Finance[Xero Invoice No],"&lt;&gt;")=0,"",IFERROR(IF(COUNTIFS(tbl_Finance[Job Number],C319&amp;"",tbl_Finance[Xero Invoice No],LOOKUP(2,1/((tbl_Finance[Job Number]=C319&amp;"")*(tbl_Finance[Xero Invoice No]&lt;&gt;"")),tbl_Finance[Xero Invoice No]))=COUNTIFS(tbl_Finance[Job Number],C319&amp;"",tbl_Finance[Xero Invoice No],"&lt;&gt;"),LOOKUP(2,1/((tbl_Finance[Job Number]=C319&amp;"")*(tbl_Finance[Xero Invoice No]&lt;&gt;"")),tbl_Finance[Xero Invoice No]),LOOKUP(2,1/((tbl_Finance[Job Number]=C319&amp;"")*(tbl_Finance[Xero Invoice No]&lt;&gt;"")),tbl_Finance[Xero Invoice No])&amp;" +more"),"")))</f>
        <v/>
      </c>
      <c r="C319" s="24" t="n"/>
      <c r="D319" s="25">
        <f>IF(C319="","",IF(COUNTIF(lst_Jobs,C319&amp;"")&gt;0,"OK","CHECK"))</f>
        <v/>
      </c>
      <c r="E319" s="25">
        <f>IF(C319="","",IFERROR(INDEX(lst_JobName,MATCH(C319&amp;"",lst_Jobs,0)),""))</f>
        <v/>
      </c>
      <c r="F319" s="25">
        <f>IF(C319="","",IFERROR(INDEX(tbl_Finance[Client],MATCH(C319&amp;"",tbl_Finance[Job Number],0)),""))</f>
        <v/>
      </c>
      <c r="G319" s="28">
        <f>IF(C319="","",COUNTIFS(tbl_Finance[Job Number],C319&amp;"",tbl_Finance[Ex GST],"&lt;&gt;"))</f>
        <v/>
      </c>
      <c r="H319" s="27">
        <f>IF(C319="","",SUMIFS(tbl_Finance[Ex GST],tbl_Finance[Job Number],C319&amp;""))</f>
        <v/>
      </c>
      <c r="I319" s="27">
        <f>IF(C319="","",SUMIFS(tbl_Finance[Ex GST],tbl_Finance[Job Number],C319&amp;"",tbl_Finance[Xero Invoice No],"&lt;&gt;"))</f>
        <v/>
      </c>
      <c r="J319" s="27">
        <f>IF(C319="","",H319-I319)</f>
        <v/>
      </c>
      <c r="K319" s="25">
        <f>IF(C319="","",IF(G319=0,"not invoiced yet",SUBSTITUTE(TRIM(IF(COUNTIFS(tbl_Finance[Job Number],C319&amp;"",tbl_Finance[Cost Centre],"ONSITE")&gt;0,"ONSITE ","")&amp;IF(COUNTIFS(tbl_Finance[Job Number],C319&amp;"",tbl_Finance[Cost Centre],"PRODUCTION")&gt;0,"PRODUCTION ","")&amp;IF(COUNTIFS(tbl_Finance[Job Number],C319&amp;"",tbl_Finance[Cost Centre],"VIDEO")&gt;0,"VIDEO ","")&amp;IF(COUNTIFS(tbl_Finance[Job Number],C319&amp;"",tbl_Finance[Cost Centre],"INTEGRATION")&gt;0,"INTEGRATION ","")&amp;IF(COUNTIFS(tbl_Finance[Job Number],C319&amp;"",tbl_Finance[Cost Centre],"CONSULTING")&gt;0,"CONSULTING ","")&amp;IF(COUNTIFS(tbl_Finance[Job Number],C319&amp;"",tbl_Finance[Cost Centre],"CTS")&gt;0,"CTS ",""))," ",", ")))</f>
        <v/>
      </c>
      <c r="L319" s="24" t="n"/>
      <c r="M319" s="24" t="n"/>
      <c r="N319" s="25">
        <f>IF(M319="","",HYPERLINK(IF(LEFT(M319,4)="http",M319,set_QwilrBase&amp;M319),"Open quote"))</f>
        <v/>
      </c>
      <c r="O319" s="69" t="n"/>
      <c r="P319" s="24" t="n"/>
      <c r="Q319" s="24" t="n"/>
    </row>
    <row r="320" ht="15" customHeight="1">
      <c r="A320" s="68">
        <f>IF(C320="","",IFERROR(IF(SUMPRODUCT(MAX((tbl_Finance[Job Number]=C320&amp;"")*(tbl_Finance[Xero Invoice No]&lt;&gt;"")*tbl_Finance[Date]))=0,"",SUMPRODUCT(MAX((tbl_Finance[Job Number]=C320&amp;"")*(tbl_Finance[Xero Invoice No]&lt;&gt;"")*tbl_Finance[Date]))),""))</f>
        <v/>
      </c>
      <c r="B320" s="25">
        <f>IF(C320="","",IF(COUNTIFS(tbl_Finance[Job Number],C320&amp;"",tbl_Finance[Xero Invoice No],"&lt;&gt;")=0,"",IFERROR(IF(COUNTIFS(tbl_Finance[Job Number],C320&amp;"",tbl_Finance[Xero Invoice No],LOOKUP(2,1/((tbl_Finance[Job Number]=C320&amp;"")*(tbl_Finance[Xero Invoice No]&lt;&gt;"")),tbl_Finance[Xero Invoice No]))=COUNTIFS(tbl_Finance[Job Number],C320&amp;"",tbl_Finance[Xero Invoice No],"&lt;&gt;"),LOOKUP(2,1/((tbl_Finance[Job Number]=C320&amp;"")*(tbl_Finance[Xero Invoice No]&lt;&gt;"")),tbl_Finance[Xero Invoice No]),LOOKUP(2,1/((tbl_Finance[Job Number]=C320&amp;"")*(tbl_Finance[Xero Invoice No]&lt;&gt;"")),tbl_Finance[Xero Invoice No])&amp;" +more"),"")))</f>
        <v/>
      </c>
      <c r="C320" s="24" t="n"/>
      <c r="D320" s="25">
        <f>IF(C320="","",IF(COUNTIF(lst_Jobs,C320&amp;"")&gt;0,"OK","CHECK"))</f>
        <v/>
      </c>
      <c r="E320" s="25">
        <f>IF(C320="","",IFERROR(INDEX(lst_JobName,MATCH(C320&amp;"",lst_Jobs,0)),""))</f>
        <v/>
      </c>
      <c r="F320" s="25">
        <f>IF(C320="","",IFERROR(INDEX(tbl_Finance[Client],MATCH(C320&amp;"",tbl_Finance[Job Number],0)),""))</f>
        <v/>
      </c>
      <c r="G320" s="28">
        <f>IF(C320="","",COUNTIFS(tbl_Finance[Job Number],C320&amp;"",tbl_Finance[Ex GST],"&lt;&gt;"))</f>
        <v/>
      </c>
      <c r="H320" s="27">
        <f>IF(C320="","",SUMIFS(tbl_Finance[Ex GST],tbl_Finance[Job Number],C320&amp;""))</f>
        <v/>
      </c>
      <c r="I320" s="27">
        <f>IF(C320="","",SUMIFS(tbl_Finance[Ex GST],tbl_Finance[Job Number],C320&amp;"",tbl_Finance[Xero Invoice No],"&lt;&gt;"))</f>
        <v/>
      </c>
      <c r="J320" s="27">
        <f>IF(C320="","",H320-I320)</f>
        <v/>
      </c>
      <c r="K320" s="25">
        <f>IF(C320="","",IF(G320=0,"not invoiced yet",SUBSTITUTE(TRIM(IF(COUNTIFS(tbl_Finance[Job Number],C320&amp;"",tbl_Finance[Cost Centre],"ONSITE")&gt;0,"ONSITE ","")&amp;IF(COUNTIFS(tbl_Finance[Job Number],C320&amp;"",tbl_Finance[Cost Centre],"PRODUCTION")&gt;0,"PRODUCTION ","")&amp;IF(COUNTIFS(tbl_Finance[Job Number],C320&amp;"",tbl_Finance[Cost Centre],"VIDEO")&gt;0,"VIDEO ","")&amp;IF(COUNTIFS(tbl_Finance[Job Number],C320&amp;"",tbl_Finance[Cost Centre],"INTEGRATION")&gt;0,"INTEGRATION ","")&amp;IF(COUNTIFS(tbl_Finance[Job Number],C320&amp;"",tbl_Finance[Cost Centre],"CONSULTING")&gt;0,"CONSULTING ","")&amp;IF(COUNTIFS(tbl_Finance[Job Number],C320&amp;"",tbl_Finance[Cost Centre],"CTS")&gt;0,"CTS ",""))," ",", ")))</f>
        <v/>
      </c>
      <c r="L320" s="24" t="n"/>
      <c r="M320" s="24" t="n"/>
      <c r="N320" s="25">
        <f>IF(M320="","",HYPERLINK(IF(LEFT(M320,4)="http",M320,set_QwilrBase&amp;M320),"Open quote"))</f>
        <v/>
      </c>
      <c r="O320" s="69" t="n"/>
      <c r="P320" s="24" t="n"/>
      <c r="Q320" s="24" t="n"/>
    </row>
    <row r="321" ht="15" customHeight="1">
      <c r="A321" s="68">
        <f>IF(C321="","",IFERROR(IF(SUMPRODUCT(MAX((tbl_Finance[Job Number]=C321&amp;"")*(tbl_Finance[Xero Invoice No]&lt;&gt;"")*tbl_Finance[Date]))=0,"",SUMPRODUCT(MAX((tbl_Finance[Job Number]=C321&amp;"")*(tbl_Finance[Xero Invoice No]&lt;&gt;"")*tbl_Finance[Date]))),""))</f>
        <v/>
      </c>
      <c r="B321" s="25">
        <f>IF(C321="","",IF(COUNTIFS(tbl_Finance[Job Number],C321&amp;"",tbl_Finance[Xero Invoice No],"&lt;&gt;")=0,"",IFERROR(IF(COUNTIFS(tbl_Finance[Job Number],C321&amp;"",tbl_Finance[Xero Invoice No],LOOKUP(2,1/((tbl_Finance[Job Number]=C321&amp;"")*(tbl_Finance[Xero Invoice No]&lt;&gt;"")),tbl_Finance[Xero Invoice No]))=COUNTIFS(tbl_Finance[Job Number],C321&amp;"",tbl_Finance[Xero Invoice No],"&lt;&gt;"),LOOKUP(2,1/((tbl_Finance[Job Number]=C321&amp;"")*(tbl_Finance[Xero Invoice No]&lt;&gt;"")),tbl_Finance[Xero Invoice No]),LOOKUP(2,1/((tbl_Finance[Job Number]=C321&amp;"")*(tbl_Finance[Xero Invoice No]&lt;&gt;"")),tbl_Finance[Xero Invoice No])&amp;" +more"),"")))</f>
        <v/>
      </c>
      <c r="C321" s="24" t="n"/>
      <c r="D321" s="25">
        <f>IF(C321="","",IF(COUNTIF(lst_Jobs,C321&amp;"")&gt;0,"OK","CHECK"))</f>
        <v/>
      </c>
      <c r="E321" s="25">
        <f>IF(C321="","",IFERROR(INDEX(lst_JobName,MATCH(C321&amp;"",lst_Jobs,0)),""))</f>
        <v/>
      </c>
      <c r="F321" s="25">
        <f>IF(C321="","",IFERROR(INDEX(tbl_Finance[Client],MATCH(C321&amp;"",tbl_Finance[Job Number],0)),""))</f>
        <v/>
      </c>
      <c r="G321" s="28">
        <f>IF(C321="","",COUNTIFS(tbl_Finance[Job Number],C321&amp;"",tbl_Finance[Ex GST],"&lt;&gt;"))</f>
        <v/>
      </c>
      <c r="H321" s="27">
        <f>IF(C321="","",SUMIFS(tbl_Finance[Ex GST],tbl_Finance[Job Number],C321&amp;""))</f>
        <v/>
      </c>
      <c r="I321" s="27">
        <f>IF(C321="","",SUMIFS(tbl_Finance[Ex GST],tbl_Finance[Job Number],C321&amp;"",tbl_Finance[Xero Invoice No],"&lt;&gt;"))</f>
        <v/>
      </c>
      <c r="J321" s="27">
        <f>IF(C321="","",H321-I321)</f>
        <v/>
      </c>
      <c r="K321" s="25">
        <f>IF(C321="","",IF(G321=0,"not invoiced yet",SUBSTITUTE(TRIM(IF(COUNTIFS(tbl_Finance[Job Number],C321&amp;"",tbl_Finance[Cost Centre],"ONSITE")&gt;0,"ONSITE ","")&amp;IF(COUNTIFS(tbl_Finance[Job Number],C321&amp;"",tbl_Finance[Cost Centre],"PRODUCTION")&gt;0,"PRODUCTION ","")&amp;IF(COUNTIFS(tbl_Finance[Job Number],C321&amp;"",tbl_Finance[Cost Centre],"VIDEO")&gt;0,"VIDEO ","")&amp;IF(COUNTIFS(tbl_Finance[Job Number],C321&amp;"",tbl_Finance[Cost Centre],"INTEGRATION")&gt;0,"INTEGRATION ","")&amp;IF(COUNTIFS(tbl_Finance[Job Number],C321&amp;"",tbl_Finance[Cost Centre],"CONSULTING")&gt;0,"CONSULTING ","")&amp;IF(COUNTIFS(tbl_Finance[Job Number],C321&amp;"",tbl_Finance[Cost Centre],"CTS")&gt;0,"CTS ",""))," ",", ")))</f>
        <v/>
      </c>
      <c r="L321" s="24" t="n"/>
      <c r="M321" s="24" t="n"/>
      <c r="N321" s="25">
        <f>IF(M321="","",HYPERLINK(IF(LEFT(M321,4)="http",M321,set_QwilrBase&amp;M321),"Open quote"))</f>
        <v/>
      </c>
      <c r="O321" s="69" t="n"/>
      <c r="P321" s="24" t="n"/>
      <c r="Q321" s="24" t="n"/>
    </row>
    <row r="322" ht="15" customHeight="1">
      <c r="A322" s="68">
        <f>IF(C322="","",IFERROR(IF(SUMPRODUCT(MAX((tbl_Finance[Job Number]=C322&amp;"")*(tbl_Finance[Xero Invoice No]&lt;&gt;"")*tbl_Finance[Date]))=0,"",SUMPRODUCT(MAX((tbl_Finance[Job Number]=C322&amp;"")*(tbl_Finance[Xero Invoice No]&lt;&gt;"")*tbl_Finance[Date]))),""))</f>
        <v/>
      </c>
      <c r="B322" s="25">
        <f>IF(C322="","",IF(COUNTIFS(tbl_Finance[Job Number],C322&amp;"",tbl_Finance[Xero Invoice No],"&lt;&gt;")=0,"",IFERROR(IF(COUNTIFS(tbl_Finance[Job Number],C322&amp;"",tbl_Finance[Xero Invoice No],LOOKUP(2,1/((tbl_Finance[Job Number]=C322&amp;"")*(tbl_Finance[Xero Invoice No]&lt;&gt;"")),tbl_Finance[Xero Invoice No]))=COUNTIFS(tbl_Finance[Job Number],C322&amp;"",tbl_Finance[Xero Invoice No],"&lt;&gt;"),LOOKUP(2,1/((tbl_Finance[Job Number]=C322&amp;"")*(tbl_Finance[Xero Invoice No]&lt;&gt;"")),tbl_Finance[Xero Invoice No]),LOOKUP(2,1/((tbl_Finance[Job Number]=C322&amp;"")*(tbl_Finance[Xero Invoice No]&lt;&gt;"")),tbl_Finance[Xero Invoice No])&amp;" +more"),"")))</f>
        <v/>
      </c>
      <c r="C322" s="24" t="n"/>
      <c r="D322" s="25">
        <f>IF(C322="","",IF(COUNTIF(lst_Jobs,C322&amp;"")&gt;0,"OK","CHECK"))</f>
        <v/>
      </c>
      <c r="E322" s="25">
        <f>IF(C322="","",IFERROR(INDEX(lst_JobName,MATCH(C322&amp;"",lst_Jobs,0)),""))</f>
        <v/>
      </c>
      <c r="F322" s="25">
        <f>IF(C322="","",IFERROR(INDEX(tbl_Finance[Client],MATCH(C322&amp;"",tbl_Finance[Job Number],0)),""))</f>
        <v/>
      </c>
      <c r="G322" s="28">
        <f>IF(C322="","",COUNTIFS(tbl_Finance[Job Number],C322&amp;"",tbl_Finance[Ex GST],"&lt;&gt;"))</f>
        <v/>
      </c>
      <c r="H322" s="27">
        <f>IF(C322="","",SUMIFS(tbl_Finance[Ex GST],tbl_Finance[Job Number],C322&amp;""))</f>
        <v/>
      </c>
      <c r="I322" s="27">
        <f>IF(C322="","",SUMIFS(tbl_Finance[Ex GST],tbl_Finance[Job Number],C322&amp;"",tbl_Finance[Xero Invoice No],"&lt;&gt;"))</f>
        <v/>
      </c>
      <c r="J322" s="27">
        <f>IF(C322="","",H322-I322)</f>
        <v/>
      </c>
      <c r="K322" s="25">
        <f>IF(C322="","",IF(G322=0,"not invoiced yet",SUBSTITUTE(TRIM(IF(COUNTIFS(tbl_Finance[Job Number],C322&amp;"",tbl_Finance[Cost Centre],"ONSITE")&gt;0,"ONSITE ","")&amp;IF(COUNTIFS(tbl_Finance[Job Number],C322&amp;"",tbl_Finance[Cost Centre],"PRODUCTION")&gt;0,"PRODUCTION ","")&amp;IF(COUNTIFS(tbl_Finance[Job Number],C322&amp;"",tbl_Finance[Cost Centre],"VIDEO")&gt;0,"VIDEO ","")&amp;IF(COUNTIFS(tbl_Finance[Job Number],C322&amp;"",tbl_Finance[Cost Centre],"INTEGRATION")&gt;0,"INTEGRATION ","")&amp;IF(COUNTIFS(tbl_Finance[Job Number],C322&amp;"",tbl_Finance[Cost Centre],"CONSULTING")&gt;0,"CONSULTING ","")&amp;IF(COUNTIFS(tbl_Finance[Job Number],C322&amp;"",tbl_Finance[Cost Centre],"CTS")&gt;0,"CTS ",""))," ",", ")))</f>
        <v/>
      </c>
      <c r="L322" s="24" t="n"/>
      <c r="M322" s="24" t="n"/>
      <c r="N322" s="25">
        <f>IF(M322="","",HYPERLINK(IF(LEFT(M322,4)="http",M322,set_QwilrBase&amp;M322),"Open quote"))</f>
        <v/>
      </c>
      <c r="O322" s="69" t="n"/>
      <c r="P322" s="24" t="n"/>
      <c r="Q322" s="24" t="n"/>
    </row>
    <row r="323" ht="15" customHeight="1">
      <c r="A323" s="68">
        <f>IF(C323="","",IFERROR(IF(SUMPRODUCT(MAX((tbl_Finance[Job Number]=C323&amp;"")*(tbl_Finance[Xero Invoice No]&lt;&gt;"")*tbl_Finance[Date]))=0,"",SUMPRODUCT(MAX((tbl_Finance[Job Number]=C323&amp;"")*(tbl_Finance[Xero Invoice No]&lt;&gt;"")*tbl_Finance[Date]))),""))</f>
        <v/>
      </c>
      <c r="B323" s="25">
        <f>IF(C323="","",IF(COUNTIFS(tbl_Finance[Job Number],C323&amp;"",tbl_Finance[Xero Invoice No],"&lt;&gt;")=0,"",IFERROR(IF(COUNTIFS(tbl_Finance[Job Number],C323&amp;"",tbl_Finance[Xero Invoice No],LOOKUP(2,1/((tbl_Finance[Job Number]=C323&amp;"")*(tbl_Finance[Xero Invoice No]&lt;&gt;"")),tbl_Finance[Xero Invoice No]))=COUNTIFS(tbl_Finance[Job Number],C323&amp;"",tbl_Finance[Xero Invoice No],"&lt;&gt;"),LOOKUP(2,1/((tbl_Finance[Job Number]=C323&amp;"")*(tbl_Finance[Xero Invoice No]&lt;&gt;"")),tbl_Finance[Xero Invoice No]),LOOKUP(2,1/((tbl_Finance[Job Number]=C323&amp;"")*(tbl_Finance[Xero Invoice No]&lt;&gt;"")),tbl_Finance[Xero Invoice No])&amp;" +more"),"")))</f>
        <v/>
      </c>
      <c r="C323" s="24" t="n"/>
      <c r="D323" s="25">
        <f>IF(C323="","",IF(COUNTIF(lst_Jobs,C323&amp;"")&gt;0,"OK","CHECK"))</f>
        <v/>
      </c>
      <c r="E323" s="25">
        <f>IF(C323="","",IFERROR(INDEX(lst_JobName,MATCH(C323&amp;"",lst_Jobs,0)),""))</f>
        <v/>
      </c>
      <c r="F323" s="25">
        <f>IF(C323="","",IFERROR(INDEX(tbl_Finance[Client],MATCH(C323&amp;"",tbl_Finance[Job Number],0)),""))</f>
        <v/>
      </c>
      <c r="G323" s="28">
        <f>IF(C323="","",COUNTIFS(tbl_Finance[Job Number],C323&amp;"",tbl_Finance[Ex GST],"&lt;&gt;"))</f>
        <v/>
      </c>
      <c r="H323" s="27">
        <f>IF(C323="","",SUMIFS(tbl_Finance[Ex GST],tbl_Finance[Job Number],C323&amp;""))</f>
        <v/>
      </c>
      <c r="I323" s="27">
        <f>IF(C323="","",SUMIFS(tbl_Finance[Ex GST],tbl_Finance[Job Number],C323&amp;"",tbl_Finance[Xero Invoice No],"&lt;&gt;"))</f>
        <v/>
      </c>
      <c r="J323" s="27">
        <f>IF(C323="","",H323-I323)</f>
        <v/>
      </c>
      <c r="K323" s="25">
        <f>IF(C323="","",IF(G323=0,"not invoiced yet",SUBSTITUTE(TRIM(IF(COUNTIFS(tbl_Finance[Job Number],C323&amp;"",tbl_Finance[Cost Centre],"ONSITE")&gt;0,"ONSITE ","")&amp;IF(COUNTIFS(tbl_Finance[Job Number],C323&amp;"",tbl_Finance[Cost Centre],"PRODUCTION")&gt;0,"PRODUCTION ","")&amp;IF(COUNTIFS(tbl_Finance[Job Number],C323&amp;"",tbl_Finance[Cost Centre],"VIDEO")&gt;0,"VIDEO ","")&amp;IF(COUNTIFS(tbl_Finance[Job Number],C323&amp;"",tbl_Finance[Cost Centre],"INTEGRATION")&gt;0,"INTEGRATION ","")&amp;IF(COUNTIFS(tbl_Finance[Job Number],C323&amp;"",tbl_Finance[Cost Centre],"CONSULTING")&gt;0,"CONSULTING ","")&amp;IF(COUNTIFS(tbl_Finance[Job Number],C323&amp;"",tbl_Finance[Cost Centre],"CTS")&gt;0,"CTS ",""))," ",", ")))</f>
        <v/>
      </c>
      <c r="L323" s="24" t="n"/>
      <c r="M323" s="24" t="n"/>
      <c r="N323" s="25">
        <f>IF(M323="","",HYPERLINK(IF(LEFT(M323,4)="http",M323,set_QwilrBase&amp;M323),"Open quote"))</f>
        <v/>
      </c>
      <c r="O323" s="69" t="n"/>
      <c r="P323" s="24" t="n"/>
      <c r="Q323" s="24" t="n"/>
    </row>
    <row r="324" ht="15" customHeight="1">
      <c r="A324" s="68">
        <f>IF(C324="","",IFERROR(IF(SUMPRODUCT(MAX((tbl_Finance[Job Number]=C324&amp;"")*(tbl_Finance[Xero Invoice No]&lt;&gt;"")*tbl_Finance[Date]))=0,"",SUMPRODUCT(MAX((tbl_Finance[Job Number]=C324&amp;"")*(tbl_Finance[Xero Invoice No]&lt;&gt;"")*tbl_Finance[Date]))),""))</f>
        <v/>
      </c>
      <c r="B324" s="25">
        <f>IF(C324="","",IF(COUNTIFS(tbl_Finance[Job Number],C324&amp;"",tbl_Finance[Xero Invoice No],"&lt;&gt;")=0,"",IFERROR(IF(COUNTIFS(tbl_Finance[Job Number],C324&amp;"",tbl_Finance[Xero Invoice No],LOOKUP(2,1/((tbl_Finance[Job Number]=C324&amp;"")*(tbl_Finance[Xero Invoice No]&lt;&gt;"")),tbl_Finance[Xero Invoice No]))=COUNTIFS(tbl_Finance[Job Number],C324&amp;"",tbl_Finance[Xero Invoice No],"&lt;&gt;"),LOOKUP(2,1/((tbl_Finance[Job Number]=C324&amp;"")*(tbl_Finance[Xero Invoice No]&lt;&gt;"")),tbl_Finance[Xero Invoice No]),LOOKUP(2,1/((tbl_Finance[Job Number]=C324&amp;"")*(tbl_Finance[Xero Invoice No]&lt;&gt;"")),tbl_Finance[Xero Invoice No])&amp;" +more"),"")))</f>
        <v/>
      </c>
      <c r="C324" s="24" t="n"/>
      <c r="D324" s="25">
        <f>IF(C324="","",IF(COUNTIF(lst_Jobs,C324&amp;"")&gt;0,"OK","CHECK"))</f>
        <v/>
      </c>
      <c r="E324" s="25">
        <f>IF(C324="","",IFERROR(INDEX(lst_JobName,MATCH(C324&amp;"",lst_Jobs,0)),""))</f>
        <v/>
      </c>
      <c r="F324" s="25">
        <f>IF(C324="","",IFERROR(INDEX(tbl_Finance[Client],MATCH(C324&amp;"",tbl_Finance[Job Number],0)),""))</f>
        <v/>
      </c>
      <c r="G324" s="28">
        <f>IF(C324="","",COUNTIFS(tbl_Finance[Job Number],C324&amp;"",tbl_Finance[Ex GST],"&lt;&gt;"))</f>
        <v/>
      </c>
      <c r="H324" s="27">
        <f>IF(C324="","",SUMIFS(tbl_Finance[Ex GST],tbl_Finance[Job Number],C324&amp;""))</f>
        <v/>
      </c>
      <c r="I324" s="27">
        <f>IF(C324="","",SUMIFS(tbl_Finance[Ex GST],tbl_Finance[Job Number],C324&amp;"",tbl_Finance[Xero Invoice No],"&lt;&gt;"))</f>
        <v/>
      </c>
      <c r="J324" s="27">
        <f>IF(C324="","",H324-I324)</f>
        <v/>
      </c>
      <c r="K324" s="25">
        <f>IF(C324="","",IF(G324=0,"not invoiced yet",SUBSTITUTE(TRIM(IF(COUNTIFS(tbl_Finance[Job Number],C324&amp;"",tbl_Finance[Cost Centre],"ONSITE")&gt;0,"ONSITE ","")&amp;IF(COUNTIFS(tbl_Finance[Job Number],C324&amp;"",tbl_Finance[Cost Centre],"PRODUCTION")&gt;0,"PRODUCTION ","")&amp;IF(COUNTIFS(tbl_Finance[Job Number],C324&amp;"",tbl_Finance[Cost Centre],"VIDEO")&gt;0,"VIDEO ","")&amp;IF(COUNTIFS(tbl_Finance[Job Number],C324&amp;"",tbl_Finance[Cost Centre],"INTEGRATION")&gt;0,"INTEGRATION ","")&amp;IF(COUNTIFS(tbl_Finance[Job Number],C324&amp;"",tbl_Finance[Cost Centre],"CONSULTING")&gt;0,"CONSULTING ","")&amp;IF(COUNTIFS(tbl_Finance[Job Number],C324&amp;"",tbl_Finance[Cost Centre],"CTS")&gt;0,"CTS ",""))," ",", ")))</f>
        <v/>
      </c>
      <c r="L324" s="24" t="n"/>
      <c r="M324" s="24" t="n"/>
      <c r="N324" s="25">
        <f>IF(M324="","",HYPERLINK(IF(LEFT(M324,4)="http",M324,set_QwilrBase&amp;M324),"Open quote"))</f>
        <v/>
      </c>
      <c r="O324" s="69" t="n"/>
      <c r="P324" s="24" t="n"/>
      <c r="Q324" s="24" t="n"/>
    </row>
    <row r="325" ht="15" customHeight="1">
      <c r="A325" s="68">
        <f>IF(C325="","",IFERROR(IF(SUMPRODUCT(MAX((tbl_Finance[Job Number]=C325&amp;"")*(tbl_Finance[Xero Invoice No]&lt;&gt;"")*tbl_Finance[Date]))=0,"",SUMPRODUCT(MAX((tbl_Finance[Job Number]=C325&amp;"")*(tbl_Finance[Xero Invoice No]&lt;&gt;"")*tbl_Finance[Date]))),""))</f>
        <v/>
      </c>
      <c r="B325" s="25">
        <f>IF(C325="","",IF(COUNTIFS(tbl_Finance[Job Number],C325&amp;"",tbl_Finance[Xero Invoice No],"&lt;&gt;")=0,"",IFERROR(IF(COUNTIFS(tbl_Finance[Job Number],C325&amp;"",tbl_Finance[Xero Invoice No],LOOKUP(2,1/((tbl_Finance[Job Number]=C325&amp;"")*(tbl_Finance[Xero Invoice No]&lt;&gt;"")),tbl_Finance[Xero Invoice No]))=COUNTIFS(tbl_Finance[Job Number],C325&amp;"",tbl_Finance[Xero Invoice No],"&lt;&gt;"),LOOKUP(2,1/((tbl_Finance[Job Number]=C325&amp;"")*(tbl_Finance[Xero Invoice No]&lt;&gt;"")),tbl_Finance[Xero Invoice No]),LOOKUP(2,1/((tbl_Finance[Job Number]=C325&amp;"")*(tbl_Finance[Xero Invoice No]&lt;&gt;"")),tbl_Finance[Xero Invoice No])&amp;" +more"),"")))</f>
        <v/>
      </c>
      <c r="C325" s="24" t="n"/>
      <c r="D325" s="25">
        <f>IF(C325="","",IF(COUNTIF(lst_Jobs,C325&amp;"")&gt;0,"OK","CHECK"))</f>
        <v/>
      </c>
      <c r="E325" s="25">
        <f>IF(C325="","",IFERROR(INDEX(lst_JobName,MATCH(C325&amp;"",lst_Jobs,0)),""))</f>
        <v/>
      </c>
      <c r="F325" s="25">
        <f>IF(C325="","",IFERROR(INDEX(tbl_Finance[Client],MATCH(C325&amp;"",tbl_Finance[Job Number],0)),""))</f>
        <v/>
      </c>
      <c r="G325" s="28">
        <f>IF(C325="","",COUNTIFS(tbl_Finance[Job Number],C325&amp;"",tbl_Finance[Ex GST],"&lt;&gt;"))</f>
        <v/>
      </c>
      <c r="H325" s="27">
        <f>IF(C325="","",SUMIFS(tbl_Finance[Ex GST],tbl_Finance[Job Number],C325&amp;""))</f>
        <v/>
      </c>
      <c r="I325" s="27">
        <f>IF(C325="","",SUMIFS(tbl_Finance[Ex GST],tbl_Finance[Job Number],C325&amp;"",tbl_Finance[Xero Invoice No],"&lt;&gt;"))</f>
        <v/>
      </c>
      <c r="J325" s="27">
        <f>IF(C325="","",H325-I325)</f>
        <v/>
      </c>
      <c r="K325" s="25">
        <f>IF(C325="","",IF(G325=0,"not invoiced yet",SUBSTITUTE(TRIM(IF(COUNTIFS(tbl_Finance[Job Number],C325&amp;"",tbl_Finance[Cost Centre],"ONSITE")&gt;0,"ONSITE ","")&amp;IF(COUNTIFS(tbl_Finance[Job Number],C325&amp;"",tbl_Finance[Cost Centre],"PRODUCTION")&gt;0,"PRODUCTION ","")&amp;IF(COUNTIFS(tbl_Finance[Job Number],C325&amp;"",tbl_Finance[Cost Centre],"VIDEO")&gt;0,"VIDEO ","")&amp;IF(COUNTIFS(tbl_Finance[Job Number],C325&amp;"",tbl_Finance[Cost Centre],"INTEGRATION")&gt;0,"INTEGRATION ","")&amp;IF(COUNTIFS(tbl_Finance[Job Number],C325&amp;"",tbl_Finance[Cost Centre],"CONSULTING")&gt;0,"CONSULTING ","")&amp;IF(COUNTIFS(tbl_Finance[Job Number],C325&amp;"",tbl_Finance[Cost Centre],"CTS")&gt;0,"CTS ",""))," ",", ")))</f>
        <v/>
      </c>
      <c r="L325" s="24" t="n"/>
      <c r="M325" s="24" t="n"/>
      <c r="N325" s="25">
        <f>IF(M325="","",HYPERLINK(IF(LEFT(M325,4)="http",M325,set_QwilrBase&amp;M325),"Open quote"))</f>
        <v/>
      </c>
      <c r="O325" s="69" t="n"/>
      <c r="P325" s="24" t="n"/>
      <c r="Q325" s="24" t="n"/>
    </row>
    <row r="326" ht="15" customHeight="1">
      <c r="A326" s="68">
        <f>IF(C326="","",IFERROR(IF(SUMPRODUCT(MAX((tbl_Finance[Job Number]=C326&amp;"")*(tbl_Finance[Xero Invoice No]&lt;&gt;"")*tbl_Finance[Date]))=0,"",SUMPRODUCT(MAX((tbl_Finance[Job Number]=C326&amp;"")*(tbl_Finance[Xero Invoice No]&lt;&gt;"")*tbl_Finance[Date]))),""))</f>
        <v/>
      </c>
      <c r="B326" s="25">
        <f>IF(C326="","",IF(COUNTIFS(tbl_Finance[Job Number],C326&amp;"",tbl_Finance[Xero Invoice No],"&lt;&gt;")=0,"",IFERROR(IF(COUNTIFS(tbl_Finance[Job Number],C326&amp;"",tbl_Finance[Xero Invoice No],LOOKUP(2,1/((tbl_Finance[Job Number]=C326&amp;"")*(tbl_Finance[Xero Invoice No]&lt;&gt;"")),tbl_Finance[Xero Invoice No]))=COUNTIFS(tbl_Finance[Job Number],C326&amp;"",tbl_Finance[Xero Invoice No],"&lt;&gt;"),LOOKUP(2,1/((tbl_Finance[Job Number]=C326&amp;"")*(tbl_Finance[Xero Invoice No]&lt;&gt;"")),tbl_Finance[Xero Invoice No]),LOOKUP(2,1/((tbl_Finance[Job Number]=C326&amp;"")*(tbl_Finance[Xero Invoice No]&lt;&gt;"")),tbl_Finance[Xero Invoice No])&amp;" +more"),"")))</f>
        <v/>
      </c>
      <c r="C326" s="24" t="n"/>
      <c r="D326" s="25">
        <f>IF(C326="","",IF(COUNTIF(lst_Jobs,C326&amp;"")&gt;0,"OK","CHECK"))</f>
        <v/>
      </c>
      <c r="E326" s="25">
        <f>IF(C326="","",IFERROR(INDEX(lst_JobName,MATCH(C326&amp;"",lst_Jobs,0)),""))</f>
        <v/>
      </c>
      <c r="F326" s="25">
        <f>IF(C326="","",IFERROR(INDEX(tbl_Finance[Client],MATCH(C326&amp;"",tbl_Finance[Job Number],0)),""))</f>
        <v/>
      </c>
      <c r="G326" s="28">
        <f>IF(C326="","",COUNTIFS(tbl_Finance[Job Number],C326&amp;"",tbl_Finance[Ex GST],"&lt;&gt;"))</f>
        <v/>
      </c>
      <c r="H326" s="27">
        <f>IF(C326="","",SUMIFS(tbl_Finance[Ex GST],tbl_Finance[Job Number],C326&amp;""))</f>
        <v/>
      </c>
      <c r="I326" s="27">
        <f>IF(C326="","",SUMIFS(tbl_Finance[Ex GST],tbl_Finance[Job Number],C326&amp;"",tbl_Finance[Xero Invoice No],"&lt;&gt;"))</f>
        <v/>
      </c>
      <c r="J326" s="27">
        <f>IF(C326="","",H326-I326)</f>
        <v/>
      </c>
      <c r="K326" s="25">
        <f>IF(C326="","",IF(G326=0,"not invoiced yet",SUBSTITUTE(TRIM(IF(COUNTIFS(tbl_Finance[Job Number],C326&amp;"",tbl_Finance[Cost Centre],"ONSITE")&gt;0,"ONSITE ","")&amp;IF(COUNTIFS(tbl_Finance[Job Number],C326&amp;"",tbl_Finance[Cost Centre],"PRODUCTION")&gt;0,"PRODUCTION ","")&amp;IF(COUNTIFS(tbl_Finance[Job Number],C326&amp;"",tbl_Finance[Cost Centre],"VIDEO")&gt;0,"VIDEO ","")&amp;IF(COUNTIFS(tbl_Finance[Job Number],C326&amp;"",tbl_Finance[Cost Centre],"INTEGRATION")&gt;0,"INTEGRATION ","")&amp;IF(COUNTIFS(tbl_Finance[Job Number],C326&amp;"",tbl_Finance[Cost Centre],"CONSULTING")&gt;0,"CONSULTING ","")&amp;IF(COUNTIFS(tbl_Finance[Job Number],C326&amp;"",tbl_Finance[Cost Centre],"CTS")&gt;0,"CTS ",""))," ",", ")))</f>
        <v/>
      </c>
      <c r="L326" s="24" t="n"/>
      <c r="M326" s="24" t="n"/>
      <c r="N326" s="25">
        <f>IF(M326="","",HYPERLINK(IF(LEFT(M326,4)="http",M326,set_QwilrBase&amp;M326),"Open quote"))</f>
        <v/>
      </c>
      <c r="O326" s="69" t="n"/>
      <c r="P326" s="24" t="n"/>
      <c r="Q326" s="24" t="n"/>
    </row>
    <row r="327" ht="15" customHeight="1">
      <c r="A327" s="68">
        <f>IF(C327="","",IFERROR(IF(SUMPRODUCT(MAX((tbl_Finance[Job Number]=C327&amp;"")*(tbl_Finance[Xero Invoice No]&lt;&gt;"")*tbl_Finance[Date]))=0,"",SUMPRODUCT(MAX((tbl_Finance[Job Number]=C327&amp;"")*(tbl_Finance[Xero Invoice No]&lt;&gt;"")*tbl_Finance[Date]))),""))</f>
        <v/>
      </c>
      <c r="B327" s="25">
        <f>IF(C327="","",IF(COUNTIFS(tbl_Finance[Job Number],C327&amp;"",tbl_Finance[Xero Invoice No],"&lt;&gt;")=0,"",IFERROR(IF(COUNTIFS(tbl_Finance[Job Number],C327&amp;"",tbl_Finance[Xero Invoice No],LOOKUP(2,1/((tbl_Finance[Job Number]=C327&amp;"")*(tbl_Finance[Xero Invoice No]&lt;&gt;"")),tbl_Finance[Xero Invoice No]))=COUNTIFS(tbl_Finance[Job Number],C327&amp;"",tbl_Finance[Xero Invoice No],"&lt;&gt;"),LOOKUP(2,1/((tbl_Finance[Job Number]=C327&amp;"")*(tbl_Finance[Xero Invoice No]&lt;&gt;"")),tbl_Finance[Xero Invoice No]),LOOKUP(2,1/((tbl_Finance[Job Number]=C327&amp;"")*(tbl_Finance[Xero Invoice No]&lt;&gt;"")),tbl_Finance[Xero Invoice No])&amp;" +more"),"")))</f>
        <v/>
      </c>
      <c r="C327" s="24" t="n"/>
      <c r="D327" s="25">
        <f>IF(C327="","",IF(COUNTIF(lst_Jobs,C327&amp;"")&gt;0,"OK","CHECK"))</f>
        <v/>
      </c>
      <c r="E327" s="25">
        <f>IF(C327="","",IFERROR(INDEX(lst_JobName,MATCH(C327&amp;"",lst_Jobs,0)),""))</f>
        <v/>
      </c>
      <c r="F327" s="25">
        <f>IF(C327="","",IFERROR(INDEX(tbl_Finance[Client],MATCH(C327&amp;"",tbl_Finance[Job Number],0)),""))</f>
        <v/>
      </c>
      <c r="G327" s="28">
        <f>IF(C327="","",COUNTIFS(tbl_Finance[Job Number],C327&amp;"",tbl_Finance[Ex GST],"&lt;&gt;"))</f>
        <v/>
      </c>
      <c r="H327" s="27">
        <f>IF(C327="","",SUMIFS(tbl_Finance[Ex GST],tbl_Finance[Job Number],C327&amp;""))</f>
        <v/>
      </c>
      <c r="I327" s="27">
        <f>IF(C327="","",SUMIFS(tbl_Finance[Ex GST],tbl_Finance[Job Number],C327&amp;"",tbl_Finance[Xero Invoice No],"&lt;&gt;"))</f>
        <v/>
      </c>
      <c r="J327" s="27">
        <f>IF(C327="","",H327-I327)</f>
        <v/>
      </c>
      <c r="K327" s="25">
        <f>IF(C327="","",IF(G327=0,"not invoiced yet",SUBSTITUTE(TRIM(IF(COUNTIFS(tbl_Finance[Job Number],C327&amp;"",tbl_Finance[Cost Centre],"ONSITE")&gt;0,"ONSITE ","")&amp;IF(COUNTIFS(tbl_Finance[Job Number],C327&amp;"",tbl_Finance[Cost Centre],"PRODUCTION")&gt;0,"PRODUCTION ","")&amp;IF(COUNTIFS(tbl_Finance[Job Number],C327&amp;"",tbl_Finance[Cost Centre],"VIDEO")&gt;0,"VIDEO ","")&amp;IF(COUNTIFS(tbl_Finance[Job Number],C327&amp;"",tbl_Finance[Cost Centre],"INTEGRATION")&gt;0,"INTEGRATION ","")&amp;IF(COUNTIFS(tbl_Finance[Job Number],C327&amp;"",tbl_Finance[Cost Centre],"CONSULTING")&gt;0,"CONSULTING ","")&amp;IF(COUNTIFS(tbl_Finance[Job Number],C327&amp;"",tbl_Finance[Cost Centre],"CTS")&gt;0,"CTS ",""))," ",", ")))</f>
        <v/>
      </c>
      <c r="L327" s="24" t="n"/>
      <c r="M327" s="24" t="n"/>
      <c r="N327" s="25">
        <f>IF(M327="","",HYPERLINK(IF(LEFT(M327,4)="http",M327,set_QwilrBase&amp;M327),"Open quote"))</f>
        <v/>
      </c>
      <c r="O327" s="69" t="n"/>
      <c r="P327" s="24" t="n"/>
      <c r="Q327" s="24" t="n"/>
    </row>
    <row r="328" ht="15" customHeight="1">
      <c r="A328" s="68">
        <f>IF(C328="","",IFERROR(IF(SUMPRODUCT(MAX((tbl_Finance[Job Number]=C328&amp;"")*(tbl_Finance[Xero Invoice No]&lt;&gt;"")*tbl_Finance[Date]))=0,"",SUMPRODUCT(MAX((tbl_Finance[Job Number]=C328&amp;"")*(tbl_Finance[Xero Invoice No]&lt;&gt;"")*tbl_Finance[Date]))),""))</f>
        <v/>
      </c>
      <c r="B328" s="25">
        <f>IF(C328="","",IF(COUNTIFS(tbl_Finance[Job Number],C328&amp;"",tbl_Finance[Xero Invoice No],"&lt;&gt;")=0,"",IFERROR(IF(COUNTIFS(tbl_Finance[Job Number],C328&amp;"",tbl_Finance[Xero Invoice No],LOOKUP(2,1/((tbl_Finance[Job Number]=C328&amp;"")*(tbl_Finance[Xero Invoice No]&lt;&gt;"")),tbl_Finance[Xero Invoice No]))=COUNTIFS(tbl_Finance[Job Number],C328&amp;"",tbl_Finance[Xero Invoice No],"&lt;&gt;"),LOOKUP(2,1/((tbl_Finance[Job Number]=C328&amp;"")*(tbl_Finance[Xero Invoice No]&lt;&gt;"")),tbl_Finance[Xero Invoice No]),LOOKUP(2,1/((tbl_Finance[Job Number]=C328&amp;"")*(tbl_Finance[Xero Invoice No]&lt;&gt;"")),tbl_Finance[Xero Invoice No])&amp;" +more"),"")))</f>
        <v/>
      </c>
      <c r="C328" s="24" t="n"/>
      <c r="D328" s="25">
        <f>IF(C328="","",IF(COUNTIF(lst_Jobs,C328&amp;"")&gt;0,"OK","CHECK"))</f>
        <v/>
      </c>
      <c r="E328" s="25">
        <f>IF(C328="","",IFERROR(INDEX(lst_JobName,MATCH(C328&amp;"",lst_Jobs,0)),""))</f>
        <v/>
      </c>
      <c r="F328" s="25">
        <f>IF(C328="","",IFERROR(INDEX(tbl_Finance[Client],MATCH(C328&amp;"",tbl_Finance[Job Number],0)),""))</f>
        <v/>
      </c>
      <c r="G328" s="28">
        <f>IF(C328="","",COUNTIFS(tbl_Finance[Job Number],C328&amp;"",tbl_Finance[Ex GST],"&lt;&gt;"))</f>
        <v/>
      </c>
      <c r="H328" s="27">
        <f>IF(C328="","",SUMIFS(tbl_Finance[Ex GST],tbl_Finance[Job Number],C328&amp;""))</f>
        <v/>
      </c>
      <c r="I328" s="27">
        <f>IF(C328="","",SUMIFS(tbl_Finance[Ex GST],tbl_Finance[Job Number],C328&amp;"",tbl_Finance[Xero Invoice No],"&lt;&gt;"))</f>
        <v/>
      </c>
      <c r="J328" s="27">
        <f>IF(C328="","",H328-I328)</f>
        <v/>
      </c>
      <c r="K328" s="25">
        <f>IF(C328="","",IF(G328=0,"not invoiced yet",SUBSTITUTE(TRIM(IF(COUNTIFS(tbl_Finance[Job Number],C328&amp;"",tbl_Finance[Cost Centre],"ONSITE")&gt;0,"ONSITE ","")&amp;IF(COUNTIFS(tbl_Finance[Job Number],C328&amp;"",tbl_Finance[Cost Centre],"PRODUCTION")&gt;0,"PRODUCTION ","")&amp;IF(COUNTIFS(tbl_Finance[Job Number],C328&amp;"",tbl_Finance[Cost Centre],"VIDEO")&gt;0,"VIDEO ","")&amp;IF(COUNTIFS(tbl_Finance[Job Number],C328&amp;"",tbl_Finance[Cost Centre],"INTEGRATION")&gt;0,"INTEGRATION ","")&amp;IF(COUNTIFS(tbl_Finance[Job Number],C328&amp;"",tbl_Finance[Cost Centre],"CONSULTING")&gt;0,"CONSULTING ","")&amp;IF(COUNTIFS(tbl_Finance[Job Number],C328&amp;"",tbl_Finance[Cost Centre],"CTS")&gt;0,"CTS ",""))," ",", ")))</f>
        <v/>
      </c>
      <c r="L328" s="24" t="n"/>
      <c r="M328" s="24" t="n"/>
      <c r="N328" s="25">
        <f>IF(M328="","",HYPERLINK(IF(LEFT(M328,4)="http",M328,set_QwilrBase&amp;M328),"Open quote"))</f>
        <v/>
      </c>
      <c r="O328" s="69" t="n"/>
      <c r="P328" s="24" t="n"/>
      <c r="Q328" s="24" t="n"/>
    </row>
    <row r="329" ht="15" customHeight="1">
      <c r="A329" s="68">
        <f>IF(C329="","",IFERROR(IF(SUMPRODUCT(MAX((tbl_Finance[Job Number]=C329&amp;"")*(tbl_Finance[Xero Invoice No]&lt;&gt;"")*tbl_Finance[Date]))=0,"",SUMPRODUCT(MAX((tbl_Finance[Job Number]=C329&amp;"")*(tbl_Finance[Xero Invoice No]&lt;&gt;"")*tbl_Finance[Date]))),""))</f>
        <v/>
      </c>
      <c r="B329" s="25">
        <f>IF(C329="","",IF(COUNTIFS(tbl_Finance[Job Number],C329&amp;"",tbl_Finance[Xero Invoice No],"&lt;&gt;")=0,"",IFERROR(IF(COUNTIFS(tbl_Finance[Job Number],C329&amp;"",tbl_Finance[Xero Invoice No],LOOKUP(2,1/((tbl_Finance[Job Number]=C329&amp;"")*(tbl_Finance[Xero Invoice No]&lt;&gt;"")),tbl_Finance[Xero Invoice No]))=COUNTIFS(tbl_Finance[Job Number],C329&amp;"",tbl_Finance[Xero Invoice No],"&lt;&gt;"),LOOKUP(2,1/((tbl_Finance[Job Number]=C329&amp;"")*(tbl_Finance[Xero Invoice No]&lt;&gt;"")),tbl_Finance[Xero Invoice No]),LOOKUP(2,1/((tbl_Finance[Job Number]=C329&amp;"")*(tbl_Finance[Xero Invoice No]&lt;&gt;"")),tbl_Finance[Xero Invoice No])&amp;" +more"),"")))</f>
        <v/>
      </c>
      <c r="C329" s="24" t="n"/>
      <c r="D329" s="25">
        <f>IF(C329="","",IF(COUNTIF(lst_Jobs,C329&amp;"")&gt;0,"OK","CHECK"))</f>
        <v/>
      </c>
      <c r="E329" s="25">
        <f>IF(C329="","",IFERROR(INDEX(lst_JobName,MATCH(C329&amp;"",lst_Jobs,0)),""))</f>
        <v/>
      </c>
      <c r="F329" s="25">
        <f>IF(C329="","",IFERROR(INDEX(tbl_Finance[Client],MATCH(C329&amp;"",tbl_Finance[Job Number],0)),""))</f>
        <v/>
      </c>
      <c r="G329" s="28">
        <f>IF(C329="","",COUNTIFS(tbl_Finance[Job Number],C329&amp;"",tbl_Finance[Ex GST],"&lt;&gt;"))</f>
        <v/>
      </c>
      <c r="H329" s="27">
        <f>IF(C329="","",SUMIFS(tbl_Finance[Ex GST],tbl_Finance[Job Number],C329&amp;""))</f>
        <v/>
      </c>
      <c r="I329" s="27">
        <f>IF(C329="","",SUMIFS(tbl_Finance[Ex GST],tbl_Finance[Job Number],C329&amp;"",tbl_Finance[Xero Invoice No],"&lt;&gt;"))</f>
        <v/>
      </c>
      <c r="J329" s="27">
        <f>IF(C329="","",H329-I329)</f>
        <v/>
      </c>
      <c r="K329" s="25">
        <f>IF(C329="","",IF(G329=0,"not invoiced yet",SUBSTITUTE(TRIM(IF(COUNTIFS(tbl_Finance[Job Number],C329&amp;"",tbl_Finance[Cost Centre],"ONSITE")&gt;0,"ONSITE ","")&amp;IF(COUNTIFS(tbl_Finance[Job Number],C329&amp;"",tbl_Finance[Cost Centre],"PRODUCTION")&gt;0,"PRODUCTION ","")&amp;IF(COUNTIFS(tbl_Finance[Job Number],C329&amp;"",tbl_Finance[Cost Centre],"VIDEO")&gt;0,"VIDEO ","")&amp;IF(COUNTIFS(tbl_Finance[Job Number],C329&amp;"",tbl_Finance[Cost Centre],"INTEGRATION")&gt;0,"INTEGRATION ","")&amp;IF(COUNTIFS(tbl_Finance[Job Number],C329&amp;"",tbl_Finance[Cost Centre],"CONSULTING")&gt;0,"CONSULTING ","")&amp;IF(COUNTIFS(tbl_Finance[Job Number],C329&amp;"",tbl_Finance[Cost Centre],"CTS")&gt;0,"CTS ",""))," ",", ")))</f>
        <v/>
      </c>
      <c r="L329" s="24" t="n"/>
      <c r="M329" s="24" t="n"/>
      <c r="N329" s="25">
        <f>IF(M329="","",HYPERLINK(IF(LEFT(M329,4)="http",M329,set_QwilrBase&amp;M329),"Open quote"))</f>
        <v/>
      </c>
      <c r="O329" s="69" t="n"/>
      <c r="P329" s="24" t="n"/>
      <c r="Q329" s="24" t="n"/>
    </row>
    <row r="330" ht="15" customHeight="1">
      <c r="A330" s="68">
        <f>IF(C330="","",IFERROR(IF(SUMPRODUCT(MAX((tbl_Finance[Job Number]=C330&amp;"")*(tbl_Finance[Xero Invoice No]&lt;&gt;"")*tbl_Finance[Date]))=0,"",SUMPRODUCT(MAX((tbl_Finance[Job Number]=C330&amp;"")*(tbl_Finance[Xero Invoice No]&lt;&gt;"")*tbl_Finance[Date]))),""))</f>
        <v/>
      </c>
      <c r="B330" s="25">
        <f>IF(C330="","",IF(COUNTIFS(tbl_Finance[Job Number],C330&amp;"",tbl_Finance[Xero Invoice No],"&lt;&gt;")=0,"",IFERROR(IF(COUNTIFS(tbl_Finance[Job Number],C330&amp;"",tbl_Finance[Xero Invoice No],LOOKUP(2,1/((tbl_Finance[Job Number]=C330&amp;"")*(tbl_Finance[Xero Invoice No]&lt;&gt;"")),tbl_Finance[Xero Invoice No]))=COUNTIFS(tbl_Finance[Job Number],C330&amp;"",tbl_Finance[Xero Invoice No],"&lt;&gt;"),LOOKUP(2,1/((tbl_Finance[Job Number]=C330&amp;"")*(tbl_Finance[Xero Invoice No]&lt;&gt;"")),tbl_Finance[Xero Invoice No]),LOOKUP(2,1/((tbl_Finance[Job Number]=C330&amp;"")*(tbl_Finance[Xero Invoice No]&lt;&gt;"")),tbl_Finance[Xero Invoice No])&amp;" +more"),"")))</f>
        <v/>
      </c>
      <c r="C330" s="24" t="n"/>
      <c r="D330" s="25">
        <f>IF(C330="","",IF(COUNTIF(lst_Jobs,C330&amp;"")&gt;0,"OK","CHECK"))</f>
        <v/>
      </c>
      <c r="E330" s="25">
        <f>IF(C330="","",IFERROR(INDEX(lst_JobName,MATCH(C330&amp;"",lst_Jobs,0)),""))</f>
        <v/>
      </c>
      <c r="F330" s="25">
        <f>IF(C330="","",IFERROR(INDEX(tbl_Finance[Client],MATCH(C330&amp;"",tbl_Finance[Job Number],0)),""))</f>
        <v/>
      </c>
      <c r="G330" s="28">
        <f>IF(C330="","",COUNTIFS(tbl_Finance[Job Number],C330&amp;"",tbl_Finance[Ex GST],"&lt;&gt;"))</f>
        <v/>
      </c>
      <c r="H330" s="27">
        <f>IF(C330="","",SUMIFS(tbl_Finance[Ex GST],tbl_Finance[Job Number],C330&amp;""))</f>
        <v/>
      </c>
      <c r="I330" s="27">
        <f>IF(C330="","",SUMIFS(tbl_Finance[Ex GST],tbl_Finance[Job Number],C330&amp;"",tbl_Finance[Xero Invoice No],"&lt;&gt;"))</f>
        <v/>
      </c>
      <c r="J330" s="27">
        <f>IF(C330="","",H330-I330)</f>
        <v/>
      </c>
      <c r="K330" s="25">
        <f>IF(C330="","",IF(G330=0,"not invoiced yet",SUBSTITUTE(TRIM(IF(COUNTIFS(tbl_Finance[Job Number],C330&amp;"",tbl_Finance[Cost Centre],"ONSITE")&gt;0,"ONSITE ","")&amp;IF(COUNTIFS(tbl_Finance[Job Number],C330&amp;"",tbl_Finance[Cost Centre],"PRODUCTION")&gt;0,"PRODUCTION ","")&amp;IF(COUNTIFS(tbl_Finance[Job Number],C330&amp;"",tbl_Finance[Cost Centre],"VIDEO")&gt;0,"VIDEO ","")&amp;IF(COUNTIFS(tbl_Finance[Job Number],C330&amp;"",tbl_Finance[Cost Centre],"INTEGRATION")&gt;0,"INTEGRATION ","")&amp;IF(COUNTIFS(tbl_Finance[Job Number],C330&amp;"",tbl_Finance[Cost Centre],"CONSULTING")&gt;0,"CONSULTING ","")&amp;IF(COUNTIFS(tbl_Finance[Job Number],C330&amp;"",tbl_Finance[Cost Centre],"CTS")&gt;0,"CTS ",""))," ",", ")))</f>
        <v/>
      </c>
      <c r="L330" s="24" t="n"/>
      <c r="M330" s="24" t="n"/>
      <c r="N330" s="25">
        <f>IF(M330="","",HYPERLINK(IF(LEFT(M330,4)="http",M330,set_QwilrBase&amp;M330),"Open quote"))</f>
        <v/>
      </c>
      <c r="O330" s="69" t="n"/>
      <c r="P330" s="24" t="n"/>
      <c r="Q330" s="24" t="n"/>
    </row>
    <row r="331" ht="15" customHeight="1">
      <c r="A331" s="68">
        <f>IF(C331="","",IFERROR(IF(SUMPRODUCT(MAX((tbl_Finance[Job Number]=C331&amp;"")*(tbl_Finance[Xero Invoice No]&lt;&gt;"")*tbl_Finance[Date]))=0,"",SUMPRODUCT(MAX((tbl_Finance[Job Number]=C331&amp;"")*(tbl_Finance[Xero Invoice No]&lt;&gt;"")*tbl_Finance[Date]))),""))</f>
        <v/>
      </c>
      <c r="B331" s="25">
        <f>IF(C331="","",IF(COUNTIFS(tbl_Finance[Job Number],C331&amp;"",tbl_Finance[Xero Invoice No],"&lt;&gt;")=0,"",IFERROR(IF(COUNTIFS(tbl_Finance[Job Number],C331&amp;"",tbl_Finance[Xero Invoice No],LOOKUP(2,1/((tbl_Finance[Job Number]=C331&amp;"")*(tbl_Finance[Xero Invoice No]&lt;&gt;"")),tbl_Finance[Xero Invoice No]))=COUNTIFS(tbl_Finance[Job Number],C331&amp;"",tbl_Finance[Xero Invoice No],"&lt;&gt;"),LOOKUP(2,1/((tbl_Finance[Job Number]=C331&amp;"")*(tbl_Finance[Xero Invoice No]&lt;&gt;"")),tbl_Finance[Xero Invoice No]),LOOKUP(2,1/((tbl_Finance[Job Number]=C331&amp;"")*(tbl_Finance[Xero Invoice No]&lt;&gt;"")),tbl_Finance[Xero Invoice No])&amp;" +more"),"")))</f>
        <v/>
      </c>
      <c r="C331" s="24" t="n"/>
      <c r="D331" s="25">
        <f>IF(C331="","",IF(COUNTIF(lst_Jobs,C331&amp;"")&gt;0,"OK","CHECK"))</f>
        <v/>
      </c>
      <c r="E331" s="25">
        <f>IF(C331="","",IFERROR(INDEX(lst_JobName,MATCH(C331&amp;"",lst_Jobs,0)),""))</f>
        <v/>
      </c>
      <c r="F331" s="25">
        <f>IF(C331="","",IFERROR(INDEX(tbl_Finance[Client],MATCH(C331&amp;"",tbl_Finance[Job Number],0)),""))</f>
        <v/>
      </c>
      <c r="G331" s="28">
        <f>IF(C331="","",COUNTIFS(tbl_Finance[Job Number],C331&amp;"",tbl_Finance[Ex GST],"&lt;&gt;"))</f>
        <v/>
      </c>
      <c r="H331" s="27">
        <f>IF(C331="","",SUMIFS(tbl_Finance[Ex GST],tbl_Finance[Job Number],C331&amp;""))</f>
        <v/>
      </c>
      <c r="I331" s="27">
        <f>IF(C331="","",SUMIFS(tbl_Finance[Ex GST],tbl_Finance[Job Number],C331&amp;"",tbl_Finance[Xero Invoice No],"&lt;&gt;"))</f>
        <v/>
      </c>
      <c r="J331" s="27">
        <f>IF(C331="","",H331-I331)</f>
        <v/>
      </c>
      <c r="K331" s="25">
        <f>IF(C331="","",IF(G331=0,"not invoiced yet",SUBSTITUTE(TRIM(IF(COUNTIFS(tbl_Finance[Job Number],C331&amp;"",tbl_Finance[Cost Centre],"ONSITE")&gt;0,"ONSITE ","")&amp;IF(COUNTIFS(tbl_Finance[Job Number],C331&amp;"",tbl_Finance[Cost Centre],"PRODUCTION")&gt;0,"PRODUCTION ","")&amp;IF(COUNTIFS(tbl_Finance[Job Number],C331&amp;"",tbl_Finance[Cost Centre],"VIDEO")&gt;0,"VIDEO ","")&amp;IF(COUNTIFS(tbl_Finance[Job Number],C331&amp;"",tbl_Finance[Cost Centre],"INTEGRATION")&gt;0,"INTEGRATION ","")&amp;IF(COUNTIFS(tbl_Finance[Job Number],C331&amp;"",tbl_Finance[Cost Centre],"CONSULTING")&gt;0,"CONSULTING ","")&amp;IF(COUNTIFS(tbl_Finance[Job Number],C331&amp;"",tbl_Finance[Cost Centre],"CTS")&gt;0,"CTS ",""))," ",", ")))</f>
        <v/>
      </c>
      <c r="L331" s="24" t="n"/>
      <c r="M331" s="24" t="n"/>
      <c r="N331" s="25">
        <f>IF(M331="","",HYPERLINK(IF(LEFT(M331,4)="http",M331,set_QwilrBase&amp;M331),"Open quote"))</f>
        <v/>
      </c>
      <c r="O331" s="69" t="n"/>
      <c r="P331" s="24" t="n"/>
      <c r="Q331" s="24" t="n"/>
    </row>
    <row r="332" ht="15" customHeight="1">
      <c r="A332" s="68">
        <f>IF(C332="","",IFERROR(IF(SUMPRODUCT(MAX((tbl_Finance[Job Number]=C332&amp;"")*(tbl_Finance[Xero Invoice No]&lt;&gt;"")*tbl_Finance[Date]))=0,"",SUMPRODUCT(MAX((tbl_Finance[Job Number]=C332&amp;"")*(tbl_Finance[Xero Invoice No]&lt;&gt;"")*tbl_Finance[Date]))),""))</f>
        <v/>
      </c>
      <c r="B332" s="25">
        <f>IF(C332="","",IF(COUNTIFS(tbl_Finance[Job Number],C332&amp;"",tbl_Finance[Xero Invoice No],"&lt;&gt;")=0,"",IFERROR(IF(COUNTIFS(tbl_Finance[Job Number],C332&amp;"",tbl_Finance[Xero Invoice No],LOOKUP(2,1/((tbl_Finance[Job Number]=C332&amp;"")*(tbl_Finance[Xero Invoice No]&lt;&gt;"")),tbl_Finance[Xero Invoice No]))=COUNTIFS(tbl_Finance[Job Number],C332&amp;"",tbl_Finance[Xero Invoice No],"&lt;&gt;"),LOOKUP(2,1/((tbl_Finance[Job Number]=C332&amp;"")*(tbl_Finance[Xero Invoice No]&lt;&gt;"")),tbl_Finance[Xero Invoice No]),LOOKUP(2,1/((tbl_Finance[Job Number]=C332&amp;"")*(tbl_Finance[Xero Invoice No]&lt;&gt;"")),tbl_Finance[Xero Invoice No])&amp;" +more"),"")))</f>
        <v/>
      </c>
      <c r="C332" s="24" t="n"/>
      <c r="D332" s="25">
        <f>IF(C332="","",IF(COUNTIF(lst_Jobs,C332&amp;"")&gt;0,"OK","CHECK"))</f>
        <v/>
      </c>
      <c r="E332" s="25">
        <f>IF(C332="","",IFERROR(INDEX(lst_JobName,MATCH(C332&amp;"",lst_Jobs,0)),""))</f>
        <v/>
      </c>
      <c r="F332" s="25">
        <f>IF(C332="","",IFERROR(INDEX(tbl_Finance[Client],MATCH(C332&amp;"",tbl_Finance[Job Number],0)),""))</f>
        <v/>
      </c>
      <c r="G332" s="28">
        <f>IF(C332="","",COUNTIFS(tbl_Finance[Job Number],C332&amp;"",tbl_Finance[Ex GST],"&lt;&gt;"))</f>
        <v/>
      </c>
      <c r="H332" s="27">
        <f>IF(C332="","",SUMIFS(tbl_Finance[Ex GST],tbl_Finance[Job Number],C332&amp;""))</f>
        <v/>
      </c>
      <c r="I332" s="27">
        <f>IF(C332="","",SUMIFS(tbl_Finance[Ex GST],tbl_Finance[Job Number],C332&amp;"",tbl_Finance[Xero Invoice No],"&lt;&gt;"))</f>
        <v/>
      </c>
      <c r="J332" s="27">
        <f>IF(C332="","",H332-I332)</f>
        <v/>
      </c>
      <c r="K332" s="25">
        <f>IF(C332="","",IF(G332=0,"not invoiced yet",SUBSTITUTE(TRIM(IF(COUNTIFS(tbl_Finance[Job Number],C332&amp;"",tbl_Finance[Cost Centre],"ONSITE")&gt;0,"ONSITE ","")&amp;IF(COUNTIFS(tbl_Finance[Job Number],C332&amp;"",tbl_Finance[Cost Centre],"PRODUCTION")&gt;0,"PRODUCTION ","")&amp;IF(COUNTIFS(tbl_Finance[Job Number],C332&amp;"",tbl_Finance[Cost Centre],"VIDEO")&gt;0,"VIDEO ","")&amp;IF(COUNTIFS(tbl_Finance[Job Number],C332&amp;"",tbl_Finance[Cost Centre],"INTEGRATION")&gt;0,"INTEGRATION ","")&amp;IF(COUNTIFS(tbl_Finance[Job Number],C332&amp;"",tbl_Finance[Cost Centre],"CONSULTING")&gt;0,"CONSULTING ","")&amp;IF(COUNTIFS(tbl_Finance[Job Number],C332&amp;"",tbl_Finance[Cost Centre],"CTS")&gt;0,"CTS ",""))," ",", ")))</f>
        <v/>
      </c>
      <c r="L332" s="24" t="n"/>
      <c r="M332" s="24" t="n"/>
      <c r="N332" s="25">
        <f>IF(M332="","",HYPERLINK(IF(LEFT(M332,4)="http",M332,set_QwilrBase&amp;M332),"Open quote"))</f>
        <v/>
      </c>
      <c r="O332" s="69" t="n"/>
      <c r="P332" s="24" t="n"/>
      <c r="Q332" s="24" t="n"/>
    </row>
    <row r="333" ht="15" customHeight="1">
      <c r="A333" s="68">
        <f>IF(C333="","",IFERROR(IF(SUMPRODUCT(MAX((tbl_Finance[Job Number]=C333&amp;"")*(tbl_Finance[Xero Invoice No]&lt;&gt;"")*tbl_Finance[Date]))=0,"",SUMPRODUCT(MAX((tbl_Finance[Job Number]=C333&amp;"")*(tbl_Finance[Xero Invoice No]&lt;&gt;"")*tbl_Finance[Date]))),""))</f>
        <v/>
      </c>
      <c r="B333" s="25">
        <f>IF(C333="","",IF(COUNTIFS(tbl_Finance[Job Number],C333&amp;"",tbl_Finance[Xero Invoice No],"&lt;&gt;")=0,"",IFERROR(IF(COUNTIFS(tbl_Finance[Job Number],C333&amp;"",tbl_Finance[Xero Invoice No],LOOKUP(2,1/((tbl_Finance[Job Number]=C333&amp;"")*(tbl_Finance[Xero Invoice No]&lt;&gt;"")),tbl_Finance[Xero Invoice No]))=COUNTIFS(tbl_Finance[Job Number],C333&amp;"",tbl_Finance[Xero Invoice No],"&lt;&gt;"),LOOKUP(2,1/((tbl_Finance[Job Number]=C333&amp;"")*(tbl_Finance[Xero Invoice No]&lt;&gt;"")),tbl_Finance[Xero Invoice No]),LOOKUP(2,1/((tbl_Finance[Job Number]=C333&amp;"")*(tbl_Finance[Xero Invoice No]&lt;&gt;"")),tbl_Finance[Xero Invoice No])&amp;" +more"),"")))</f>
        <v/>
      </c>
      <c r="C333" s="24" t="n"/>
      <c r="D333" s="25">
        <f>IF(C333="","",IF(COUNTIF(lst_Jobs,C333&amp;"")&gt;0,"OK","CHECK"))</f>
        <v/>
      </c>
      <c r="E333" s="25">
        <f>IF(C333="","",IFERROR(INDEX(lst_JobName,MATCH(C333&amp;"",lst_Jobs,0)),""))</f>
        <v/>
      </c>
      <c r="F333" s="25">
        <f>IF(C333="","",IFERROR(INDEX(tbl_Finance[Client],MATCH(C333&amp;"",tbl_Finance[Job Number],0)),""))</f>
        <v/>
      </c>
      <c r="G333" s="28">
        <f>IF(C333="","",COUNTIFS(tbl_Finance[Job Number],C333&amp;"",tbl_Finance[Ex GST],"&lt;&gt;"))</f>
        <v/>
      </c>
      <c r="H333" s="27">
        <f>IF(C333="","",SUMIFS(tbl_Finance[Ex GST],tbl_Finance[Job Number],C333&amp;""))</f>
        <v/>
      </c>
      <c r="I333" s="27">
        <f>IF(C333="","",SUMIFS(tbl_Finance[Ex GST],tbl_Finance[Job Number],C333&amp;"",tbl_Finance[Xero Invoice No],"&lt;&gt;"))</f>
        <v/>
      </c>
      <c r="J333" s="27">
        <f>IF(C333="","",H333-I333)</f>
        <v/>
      </c>
      <c r="K333" s="25">
        <f>IF(C333="","",IF(G333=0,"not invoiced yet",SUBSTITUTE(TRIM(IF(COUNTIFS(tbl_Finance[Job Number],C333&amp;"",tbl_Finance[Cost Centre],"ONSITE")&gt;0,"ONSITE ","")&amp;IF(COUNTIFS(tbl_Finance[Job Number],C333&amp;"",tbl_Finance[Cost Centre],"PRODUCTION")&gt;0,"PRODUCTION ","")&amp;IF(COUNTIFS(tbl_Finance[Job Number],C333&amp;"",tbl_Finance[Cost Centre],"VIDEO")&gt;0,"VIDEO ","")&amp;IF(COUNTIFS(tbl_Finance[Job Number],C333&amp;"",tbl_Finance[Cost Centre],"INTEGRATION")&gt;0,"INTEGRATION ","")&amp;IF(COUNTIFS(tbl_Finance[Job Number],C333&amp;"",tbl_Finance[Cost Centre],"CONSULTING")&gt;0,"CONSULTING ","")&amp;IF(COUNTIFS(tbl_Finance[Job Number],C333&amp;"",tbl_Finance[Cost Centre],"CTS")&gt;0,"CTS ",""))," ",", ")))</f>
        <v/>
      </c>
      <c r="L333" s="24" t="n"/>
      <c r="M333" s="24" t="n"/>
      <c r="N333" s="25">
        <f>IF(M333="","",HYPERLINK(IF(LEFT(M333,4)="http",M333,set_QwilrBase&amp;M333),"Open quote"))</f>
        <v/>
      </c>
      <c r="O333" s="69" t="n"/>
      <c r="P333" s="24" t="n"/>
      <c r="Q333" s="24" t="n"/>
    </row>
    <row r="334" ht="15" customHeight="1">
      <c r="A334" s="68">
        <f>IF(C334="","",IFERROR(IF(SUMPRODUCT(MAX((tbl_Finance[Job Number]=C334&amp;"")*(tbl_Finance[Xero Invoice No]&lt;&gt;"")*tbl_Finance[Date]))=0,"",SUMPRODUCT(MAX((tbl_Finance[Job Number]=C334&amp;"")*(tbl_Finance[Xero Invoice No]&lt;&gt;"")*tbl_Finance[Date]))),""))</f>
        <v/>
      </c>
      <c r="B334" s="25">
        <f>IF(C334="","",IF(COUNTIFS(tbl_Finance[Job Number],C334&amp;"",tbl_Finance[Xero Invoice No],"&lt;&gt;")=0,"",IFERROR(IF(COUNTIFS(tbl_Finance[Job Number],C334&amp;"",tbl_Finance[Xero Invoice No],LOOKUP(2,1/((tbl_Finance[Job Number]=C334&amp;"")*(tbl_Finance[Xero Invoice No]&lt;&gt;"")),tbl_Finance[Xero Invoice No]))=COUNTIFS(tbl_Finance[Job Number],C334&amp;"",tbl_Finance[Xero Invoice No],"&lt;&gt;"),LOOKUP(2,1/((tbl_Finance[Job Number]=C334&amp;"")*(tbl_Finance[Xero Invoice No]&lt;&gt;"")),tbl_Finance[Xero Invoice No]),LOOKUP(2,1/((tbl_Finance[Job Number]=C334&amp;"")*(tbl_Finance[Xero Invoice No]&lt;&gt;"")),tbl_Finance[Xero Invoice No])&amp;" +more"),"")))</f>
        <v/>
      </c>
      <c r="C334" s="24" t="n"/>
      <c r="D334" s="25">
        <f>IF(C334="","",IF(COUNTIF(lst_Jobs,C334&amp;"")&gt;0,"OK","CHECK"))</f>
        <v/>
      </c>
      <c r="E334" s="25">
        <f>IF(C334="","",IFERROR(INDEX(lst_JobName,MATCH(C334&amp;"",lst_Jobs,0)),""))</f>
        <v/>
      </c>
      <c r="F334" s="25">
        <f>IF(C334="","",IFERROR(INDEX(tbl_Finance[Client],MATCH(C334&amp;"",tbl_Finance[Job Number],0)),""))</f>
        <v/>
      </c>
      <c r="G334" s="28">
        <f>IF(C334="","",COUNTIFS(tbl_Finance[Job Number],C334&amp;"",tbl_Finance[Ex GST],"&lt;&gt;"))</f>
        <v/>
      </c>
      <c r="H334" s="27">
        <f>IF(C334="","",SUMIFS(tbl_Finance[Ex GST],tbl_Finance[Job Number],C334&amp;""))</f>
        <v/>
      </c>
      <c r="I334" s="27">
        <f>IF(C334="","",SUMIFS(tbl_Finance[Ex GST],tbl_Finance[Job Number],C334&amp;"",tbl_Finance[Xero Invoice No],"&lt;&gt;"))</f>
        <v/>
      </c>
      <c r="J334" s="27">
        <f>IF(C334="","",H334-I334)</f>
        <v/>
      </c>
      <c r="K334" s="25">
        <f>IF(C334="","",IF(G334=0,"not invoiced yet",SUBSTITUTE(TRIM(IF(COUNTIFS(tbl_Finance[Job Number],C334&amp;"",tbl_Finance[Cost Centre],"ONSITE")&gt;0,"ONSITE ","")&amp;IF(COUNTIFS(tbl_Finance[Job Number],C334&amp;"",tbl_Finance[Cost Centre],"PRODUCTION")&gt;0,"PRODUCTION ","")&amp;IF(COUNTIFS(tbl_Finance[Job Number],C334&amp;"",tbl_Finance[Cost Centre],"VIDEO")&gt;0,"VIDEO ","")&amp;IF(COUNTIFS(tbl_Finance[Job Number],C334&amp;"",tbl_Finance[Cost Centre],"INTEGRATION")&gt;0,"INTEGRATION ","")&amp;IF(COUNTIFS(tbl_Finance[Job Number],C334&amp;"",tbl_Finance[Cost Centre],"CONSULTING")&gt;0,"CONSULTING ","")&amp;IF(COUNTIFS(tbl_Finance[Job Number],C334&amp;"",tbl_Finance[Cost Centre],"CTS")&gt;0,"CTS ",""))," ",", ")))</f>
        <v/>
      </c>
      <c r="L334" s="24" t="n"/>
      <c r="M334" s="24" t="n"/>
      <c r="N334" s="25">
        <f>IF(M334="","",HYPERLINK(IF(LEFT(M334,4)="http",M334,set_QwilrBase&amp;M334),"Open quote"))</f>
        <v/>
      </c>
      <c r="O334" s="69" t="n"/>
      <c r="P334" s="24" t="n"/>
      <c r="Q334" s="24" t="n"/>
    </row>
    <row r="335" ht="15" customHeight="1">
      <c r="A335" s="68">
        <f>IF(C335="","",IFERROR(IF(SUMPRODUCT(MAX((tbl_Finance[Job Number]=C335&amp;"")*(tbl_Finance[Xero Invoice No]&lt;&gt;"")*tbl_Finance[Date]))=0,"",SUMPRODUCT(MAX((tbl_Finance[Job Number]=C335&amp;"")*(tbl_Finance[Xero Invoice No]&lt;&gt;"")*tbl_Finance[Date]))),""))</f>
        <v/>
      </c>
      <c r="B335" s="25">
        <f>IF(C335="","",IF(COUNTIFS(tbl_Finance[Job Number],C335&amp;"",tbl_Finance[Xero Invoice No],"&lt;&gt;")=0,"",IFERROR(IF(COUNTIFS(tbl_Finance[Job Number],C335&amp;"",tbl_Finance[Xero Invoice No],LOOKUP(2,1/((tbl_Finance[Job Number]=C335&amp;"")*(tbl_Finance[Xero Invoice No]&lt;&gt;"")),tbl_Finance[Xero Invoice No]))=COUNTIFS(tbl_Finance[Job Number],C335&amp;"",tbl_Finance[Xero Invoice No],"&lt;&gt;"),LOOKUP(2,1/((tbl_Finance[Job Number]=C335&amp;"")*(tbl_Finance[Xero Invoice No]&lt;&gt;"")),tbl_Finance[Xero Invoice No]),LOOKUP(2,1/((tbl_Finance[Job Number]=C335&amp;"")*(tbl_Finance[Xero Invoice No]&lt;&gt;"")),tbl_Finance[Xero Invoice No])&amp;" +more"),"")))</f>
        <v/>
      </c>
      <c r="C335" s="24" t="n"/>
      <c r="D335" s="25">
        <f>IF(C335="","",IF(COUNTIF(lst_Jobs,C335&amp;"")&gt;0,"OK","CHECK"))</f>
        <v/>
      </c>
      <c r="E335" s="25">
        <f>IF(C335="","",IFERROR(INDEX(lst_JobName,MATCH(C335&amp;"",lst_Jobs,0)),""))</f>
        <v/>
      </c>
      <c r="F335" s="25">
        <f>IF(C335="","",IFERROR(INDEX(tbl_Finance[Client],MATCH(C335&amp;"",tbl_Finance[Job Number],0)),""))</f>
        <v/>
      </c>
      <c r="G335" s="28">
        <f>IF(C335="","",COUNTIFS(tbl_Finance[Job Number],C335&amp;"",tbl_Finance[Ex GST],"&lt;&gt;"))</f>
        <v/>
      </c>
      <c r="H335" s="27">
        <f>IF(C335="","",SUMIFS(tbl_Finance[Ex GST],tbl_Finance[Job Number],C335&amp;""))</f>
        <v/>
      </c>
      <c r="I335" s="27">
        <f>IF(C335="","",SUMIFS(tbl_Finance[Ex GST],tbl_Finance[Job Number],C335&amp;"",tbl_Finance[Xero Invoice No],"&lt;&gt;"))</f>
        <v/>
      </c>
      <c r="J335" s="27">
        <f>IF(C335="","",H335-I335)</f>
        <v/>
      </c>
      <c r="K335" s="25">
        <f>IF(C335="","",IF(G335=0,"not invoiced yet",SUBSTITUTE(TRIM(IF(COUNTIFS(tbl_Finance[Job Number],C335&amp;"",tbl_Finance[Cost Centre],"ONSITE")&gt;0,"ONSITE ","")&amp;IF(COUNTIFS(tbl_Finance[Job Number],C335&amp;"",tbl_Finance[Cost Centre],"PRODUCTION")&gt;0,"PRODUCTION ","")&amp;IF(COUNTIFS(tbl_Finance[Job Number],C335&amp;"",tbl_Finance[Cost Centre],"VIDEO")&gt;0,"VIDEO ","")&amp;IF(COUNTIFS(tbl_Finance[Job Number],C335&amp;"",tbl_Finance[Cost Centre],"INTEGRATION")&gt;0,"INTEGRATION ","")&amp;IF(COUNTIFS(tbl_Finance[Job Number],C335&amp;"",tbl_Finance[Cost Centre],"CONSULTING")&gt;0,"CONSULTING ","")&amp;IF(COUNTIFS(tbl_Finance[Job Number],C335&amp;"",tbl_Finance[Cost Centre],"CTS")&gt;0,"CTS ",""))," ",", ")))</f>
        <v/>
      </c>
      <c r="L335" s="24" t="n"/>
      <c r="M335" s="24" t="n"/>
      <c r="N335" s="25">
        <f>IF(M335="","",HYPERLINK(IF(LEFT(M335,4)="http",M335,set_QwilrBase&amp;M335),"Open quote"))</f>
        <v/>
      </c>
      <c r="O335" s="69" t="n"/>
      <c r="P335" s="24" t="n"/>
      <c r="Q335" s="24" t="n"/>
    </row>
    <row r="336" ht="15" customHeight="1">
      <c r="A336" s="68">
        <f>IF(C336="","",IFERROR(IF(SUMPRODUCT(MAX((tbl_Finance[Job Number]=C336&amp;"")*(tbl_Finance[Xero Invoice No]&lt;&gt;"")*tbl_Finance[Date]))=0,"",SUMPRODUCT(MAX((tbl_Finance[Job Number]=C336&amp;"")*(tbl_Finance[Xero Invoice No]&lt;&gt;"")*tbl_Finance[Date]))),""))</f>
        <v/>
      </c>
      <c r="B336" s="25">
        <f>IF(C336="","",IF(COUNTIFS(tbl_Finance[Job Number],C336&amp;"",tbl_Finance[Xero Invoice No],"&lt;&gt;")=0,"",IFERROR(IF(COUNTIFS(tbl_Finance[Job Number],C336&amp;"",tbl_Finance[Xero Invoice No],LOOKUP(2,1/((tbl_Finance[Job Number]=C336&amp;"")*(tbl_Finance[Xero Invoice No]&lt;&gt;"")),tbl_Finance[Xero Invoice No]))=COUNTIFS(tbl_Finance[Job Number],C336&amp;"",tbl_Finance[Xero Invoice No],"&lt;&gt;"),LOOKUP(2,1/((tbl_Finance[Job Number]=C336&amp;"")*(tbl_Finance[Xero Invoice No]&lt;&gt;"")),tbl_Finance[Xero Invoice No]),LOOKUP(2,1/((tbl_Finance[Job Number]=C336&amp;"")*(tbl_Finance[Xero Invoice No]&lt;&gt;"")),tbl_Finance[Xero Invoice No])&amp;" +more"),"")))</f>
        <v/>
      </c>
      <c r="C336" s="24" t="n"/>
      <c r="D336" s="25">
        <f>IF(C336="","",IF(COUNTIF(lst_Jobs,C336&amp;"")&gt;0,"OK","CHECK"))</f>
        <v/>
      </c>
      <c r="E336" s="25">
        <f>IF(C336="","",IFERROR(INDEX(lst_JobName,MATCH(C336&amp;"",lst_Jobs,0)),""))</f>
        <v/>
      </c>
      <c r="F336" s="25">
        <f>IF(C336="","",IFERROR(INDEX(tbl_Finance[Client],MATCH(C336&amp;"",tbl_Finance[Job Number],0)),""))</f>
        <v/>
      </c>
      <c r="G336" s="28">
        <f>IF(C336="","",COUNTIFS(tbl_Finance[Job Number],C336&amp;"",tbl_Finance[Ex GST],"&lt;&gt;"))</f>
        <v/>
      </c>
      <c r="H336" s="27">
        <f>IF(C336="","",SUMIFS(tbl_Finance[Ex GST],tbl_Finance[Job Number],C336&amp;""))</f>
        <v/>
      </c>
      <c r="I336" s="27">
        <f>IF(C336="","",SUMIFS(tbl_Finance[Ex GST],tbl_Finance[Job Number],C336&amp;"",tbl_Finance[Xero Invoice No],"&lt;&gt;"))</f>
        <v/>
      </c>
      <c r="J336" s="27">
        <f>IF(C336="","",H336-I336)</f>
        <v/>
      </c>
      <c r="K336" s="25">
        <f>IF(C336="","",IF(G336=0,"not invoiced yet",SUBSTITUTE(TRIM(IF(COUNTIFS(tbl_Finance[Job Number],C336&amp;"",tbl_Finance[Cost Centre],"ONSITE")&gt;0,"ONSITE ","")&amp;IF(COUNTIFS(tbl_Finance[Job Number],C336&amp;"",tbl_Finance[Cost Centre],"PRODUCTION")&gt;0,"PRODUCTION ","")&amp;IF(COUNTIFS(tbl_Finance[Job Number],C336&amp;"",tbl_Finance[Cost Centre],"VIDEO")&gt;0,"VIDEO ","")&amp;IF(COUNTIFS(tbl_Finance[Job Number],C336&amp;"",tbl_Finance[Cost Centre],"INTEGRATION")&gt;0,"INTEGRATION ","")&amp;IF(COUNTIFS(tbl_Finance[Job Number],C336&amp;"",tbl_Finance[Cost Centre],"CONSULTING")&gt;0,"CONSULTING ","")&amp;IF(COUNTIFS(tbl_Finance[Job Number],C336&amp;"",tbl_Finance[Cost Centre],"CTS")&gt;0,"CTS ",""))," ",", ")))</f>
        <v/>
      </c>
      <c r="L336" s="24" t="n"/>
      <c r="M336" s="24" t="n"/>
      <c r="N336" s="25">
        <f>IF(M336="","",HYPERLINK(IF(LEFT(M336,4)="http",M336,set_QwilrBase&amp;M336),"Open quote"))</f>
        <v/>
      </c>
      <c r="O336" s="69" t="n"/>
      <c r="P336" s="24" t="n"/>
      <c r="Q336" s="24" t="n"/>
    </row>
    <row r="337" ht="15" customHeight="1">
      <c r="A337" s="68">
        <f>IF(C337="","",IFERROR(IF(SUMPRODUCT(MAX((tbl_Finance[Job Number]=C337&amp;"")*(tbl_Finance[Xero Invoice No]&lt;&gt;"")*tbl_Finance[Date]))=0,"",SUMPRODUCT(MAX((tbl_Finance[Job Number]=C337&amp;"")*(tbl_Finance[Xero Invoice No]&lt;&gt;"")*tbl_Finance[Date]))),""))</f>
        <v/>
      </c>
      <c r="B337" s="25">
        <f>IF(C337="","",IF(COUNTIFS(tbl_Finance[Job Number],C337&amp;"",tbl_Finance[Xero Invoice No],"&lt;&gt;")=0,"",IFERROR(IF(COUNTIFS(tbl_Finance[Job Number],C337&amp;"",tbl_Finance[Xero Invoice No],LOOKUP(2,1/((tbl_Finance[Job Number]=C337&amp;"")*(tbl_Finance[Xero Invoice No]&lt;&gt;"")),tbl_Finance[Xero Invoice No]))=COUNTIFS(tbl_Finance[Job Number],C337&amp;"",tbl_Finance[Xero Invoice No],"&lt;&gt;"),LOOKUP(2,1/((tbl_Finance[Job Number]=C337&amp;"")*(tbl_Finance[Xero Invoice No]&lt;&gt;"")),tbl_Finance[Xero Invoice No]),LOOKUP(2,1/((tbl_Finance[Job Number]=C337&amp;"")*(tbl_Finance[Xero Invoice No]&lt;&gt;"")),tbl_Finance[Xero Invoice No])&amp;" +more"),"")))</f>
        <v/>
      </c>
      <c r="C337" s="24" t="n"/>
      <c r="D337" s="25">
        <f>IF(C337="","",IF(COUNTIF(lst_Jobs,C337&amp;"")&gt;0,"OK","CHECK"))</f>
        <v/>
      </c>
      <c r="E337" s="25">
        <f>IF(C337="","",IFERROR(INDEX(lst_JobName,MATCH(C337&amp;"",lst_Jobs,0)),""))</f>
        <v/>
      </c>
      <c r="F337" s="25">
        <f>IF(C337="","",IFERROR(INDEX(tbl_Finance[Client],MATCH(C337&amp;"",tbl_Finance[Job Number],0)),""))</f>
        <v/>
      </c>
      <c r="G337" s="28">
        <f>IF(C337="","",COUNTIFS(tbl_Finance[Job Number],C337&amp;"",tbl_Finance[Ex GST],"&lt;&gt;"))</f>
        <v/>
      </c>
      <c r="H337" s="27">
        <f>IF(C337="","",SUMIFS(tbl_Finance[Ex GST],tbl_Finance[Job Number],C337&amp;""))</f>
        <v/>
      </c>
      <c r="I337" s="27">
        <f>IF(C337="","",SUMIFS(tbl_Finance[Ex GST],tbl_Finance[Job Number],C337&amp;"",tbl_Finance[Xero Invoice No],"&lt;&gt;"))</f>
        <v/>
      </c>
      <c r="J337" s="27">
        <f>IF(C337="","",H337-I337)</f>
        <v/>
      </c>
      <c r="K337" s="25">
        <f>IF(C337="","",IF(G337=0,"not invoiced yet",SUBSTITUTE(TRIM(IF(COUNTIFS(tbl_Finance[Job Number],C337&amp;"",tbl_Finance[Cost Centre],"ONSITE")&gt;0,"ONSITE ","")&amp;IF(COUNTIFS(tbl_Finance[Job Number],C337&amp;"",tbl_Finance[Cost Centre],"PRODUCTION")&gt;0,"PRODUCTION ","")&amp;IF(COUNTIFS(tbl_Finance[Job Number],C337&amp;"",tbl_Finance[Cost Centre],"VIDEO")&gt;0,"VIDEO ","")&amp;IF(COUNTIFS(tbl_Finance[Job Number],C337&amp;"",tbl_Finance[Cost Centre],"INTEGRATION")&gt;0,"INTEGRATION ","")&amp;IF(COUNTIFS(tbl_Finance[Job Number],C337&amp;"",tbl_Finance[Cost Centre],"CONSULTING")&gt;0,"CONSULTING ","")&amp;IF(COUNTIFS(tbl_Finance[Job Number],C337&amp;"",tbl_Finance[Cost Centre],"CTS")&gt;0,"CTS ",""))," ",", ")))</f>
        <v/>
      </c>
      <c r="L337" s="24" t="n"/>
      <c r="M337" s="24" t="n"/>
      <c r="N337" s="25">
        <f>IF(M337="","",HYPERLINK(IF(LEFT(M337,4)="http",M337,set_QwilrBase&amp;M337),"Open quote"))</f>
        <v/>
      </c>
      <c r="O337" s="69" t="n"/>
      <c r="P337" s="24" t="n"/>
      <c r="Q337" s="24" t="n"/>
    </row>
    <row r="338" ht="15" customHeight="1">
      <c r="A338" s="68">
        <f>IF(C338="","",IFERROR(IF(SUMPRODUCT(MAX((tbl_Finance[Job Number]=C338&amp;"")*(tbl_Finance[Xero Invoice No]&lt;&gt;"")*tbl_Finance[Date]))=0,"",SUMPRODUCT(MAX((tbl_Finance[Job Number]=C338&amp;"")*(tbl_Finance[Xero Invoice No]&lt;&gt;"")*tbl_Finance[Date]))),""))</f>
        <v/>
      </c>
      <c r="B338" s="25">
        <f>IF(C338="","",IF(COUNTIFS(tbl_Finance[Job Number],C338&amp;"",tbl_Finance[Xero Invoice No],"&lt;&gt;")=0,"",IFERROR(IF(COUNTIFS(tbl_Finance[Job Number],C338&amp;"",tbl_Finance[Xero Invoice No],LOOKUP(2,1/((tbl_Finance[Job Number]=C338&amp;"")*(tbl_Finance[Xero Invoice No]&lt;&gt;"")),tbl_Finance[Xero Invoice No]))=COUNTIFS(tbl_Finance[Job Number],C338&amp;"",tbl_Finance[Xero Invoice No],"&lt;&gt;"),LOOKUP(2,1/((tbl_Finance[Job Number]=C338&amp;"")*(tbl_Finance[Xero Invoice No]&lt;&gt;"")),tbl_Finance[Xero Invoice No]),LOOKUP(2,1/((tbl_Finance[Job Number]=C338&amp;"")*(tbl_Finance[Xero Invoice No]&lt;&gt;"")),tbl_Finance[Xero Invoice No])&amp;" +more"),"")))</f>
        <v/>
      </c>
      <c r="C338" s="24" t="n"/>
      <c r="D338" s="25">
        <f>IF(C338="","",IF(COUNTIF(lst_Jobs,C338&amp;"")&gt;0,"OK","CHECK"))</f>
        <v/>
      </c>
      <c r="E338" s="25">
        <f>IF(C338="","",IFERROR(INDEX(lst_JobName,MATCH(C338&amp;"",lst_Jobs,0)),""))</f>
        <v/>
      </c>
      <c r="F338" s="25">
        <f>IF(C338="","",IFERROR(INDEX(tbl_Finance[Client],MATCH(C338&amp;"",tbl_Finance[Job Number],0)),""))</f>
        <v/>
      </c>
      <c r="G338" s="28">
        <f>IF(C338="","",COUNTIFS(tbl_Finance[Job Number],C338&amp;"",tbl_Finance[Ex GST],"&lt;&gt;"))</f>
        <v/>
      </c>
      <c r="H338" s="27">
        <f>IF(C338="","",SUMIFS(tbl_Finance[Ex GST],tbl_Finance[Job Number],C338&amp;""))</f>
        <v/>
      </c>
      <c r="I338" s="27">
        <f>IF(C338="","",SUMIFS(tbl_Finance[Ex GST],tbl_Finance[Job Number],C338&amp;"",tbl_Finance[Xero Invoice No],"&lt;&gt;"))</f>
        <v/>
      </c>
      <c r="J338" s="27">
        <f>IF(C338="","",H338-I338)</f>
        <v/>
      </c>
      <c r="K338" s="25">
        <f>IF(C338="","",IF(G338=0,"not invoiced yet",SUBSTITUTE(TRIM(IF(COUNTIFS(tbl_Finance[Job Number],C338&amp;"",tbl_Finance[Cost Centre],"ONSITE")&gt;0,"ONSITE ","")&amp;IF(COUNTIFS(tbl_Finance[Job Number],C338&amp;"",tbl_Finance[Cost Centre],"PRODUCTION")&gt;0,"PRODUCTION ","")&amp;IF(COUNTIFS(tbl_Finance[Job Number],C338&amp;"",tbl_Finance[Cost Centre],"VIDEO")&gt;0,"VIDEO ","")&amp;IF(COUNTIFS(tbl_Finance[Job Number],C338&amp;"",tbl_Finance[Cost Centre],"INTEGRATION")&gt;0,"INTEGRATION ","")&amp;IF(COUNTIFS(tbl_Finance[Job Number],C338&amp;"",tbl_Finance[Cost Centre],"CONSULTING")&gt;0,"CONSULTING ","")&amp;IF(COUNTIFS(tbl_Finance[Job Number],C338&amp;"",tbl_Finance[Cost Centre],"CTS")&gt;0,"CTS ",""))," ",", ")))</f>
        <v/>
      </c>
      <c r="L338" s="24" t="n"/>
      <c r="M338" s="24" t="n"/>
      <c r="N338" s="25">
        <f>IF(M338="","",HYPERLINK(IF(LEFT(M338,4)="http",M338,set_QwilrBase&amp;M338),"Open quote"))</f>
        <v/>
      </c>
      <c r="O338" s="69" t="n"/>
      <c r="P338" s="24" t="n"/>
      <c r="Q338" s="24" t="n"/>
    </row>
    <row r="339" ht="15" customHeight="1">
      <c r="A339" s="68">
        <f>IF(C339="","",IFERROR(IF(SUMPRODUCT(MAX((tbl_Finance[Job Number]=C339&amp;"")*(tbl_Finance[Xero Invoice No]&lt;&gt;"")*tbl_Finance[Date]))=0,"",SUMPRODUCT(MAX((tbl_Finance[Job Number]=C339&amp;"")*(tbl_Finance[Xero Invoice No]&lt;&gt;"")*tbl_Finance[Date]))),""))</f>
        <v/>
      </c>
      <c r="B339" s="25">
        <f>IF(C339="","",IF(COUNTIFS(tbl_Finance[Job Number],C339&amp;"",tbl_Finance[Xero Invoice No],"&lt;&gt;")=0,"",IFERROR(IF(COUNTIFS(tbl_Finance[Job Number],C339&amp;"",tbl_Finance[Xero Invoice No],LOOKUP(2,1/((tbl_Finance[Job Number]=C339&amp;"")*(tbl_Finance[Xero Invoice No]&lt;&gt;"")),tbl_Finance[Xero Invoice No]))=COUNTIFS(tbl_Finance[Job Number],C339&amp;"",tbl_Finance[Xero Invoice No],"&lt;&gt;"),LOOKUP(2,1/((tbl_Finance[Job Number]=C339&amp;"")*(tbl_Finance[Xero Invoice No]&lt;&gt;"")),tbl_Finance[Xero Invoice No]),LOOKUP(2,1/((tbl_Finance[Job Number]=C339&amp;"")*(tbl_Finance[Xero Invoice No]&lt;&gt;"")),tbl_Finance[Xero Invoice No])&amp;" +more"),"")))</f>
        <v/>
      </c>
      <c r="C339" s="24" t="n"/>
      <c r="D339" s="25">
        <f>IF(C339="","",IF(COUNTIF(lst_Jobs,C339&amp;"")&gt;0,"OK","CHECK"))</f>
        <v/>
      </c>
      <c r="E339" s="25">
        <f>IF(C339="","",IFERROR(INDEX(lst_JobName,MATCH(C339&amp;"",lst_Jobs,0)),""))</f>
        <v/>
      </c>
      <c r="F339" s="25">
        <f>IF(C339="","",IFERROR(INDEX(tbl_Finance[Client],MATCH(C339&amp;"",tbl_Finance[Job Number],0)),""))</f>
        <v/>
      </c>
      <c r="G339" s="28">
        <f>IF(C339="","",COUNTIFS(tbl_Finance[Job Number],C339&amp;"",tbl_Finance[Ex GST],"&lt;&gt;"))</f>
        <v/>
      </c>
      <c r="H339" s="27">
        <f>IF(C339="","",SUMIFS(tbl_Finance[Ex GST],tbl_Finance[Job Number],C339&amp;""))</f>
        <v/>
      </c>
      <c r="I339" s="27">
        <f>IF(C339="","",SUMIFS(tbl_Finance[Ex GST],tbl_Finance[Job Number],C339&amp;"",tbl_Finance[Xero Invoice No],"&lt;&gt;"))</f>
        <v/>
      </c>
      <c r="J339" s="27">
        <f>IF(C339="","",H339-I339)</f>
        <v/>
      </c>
      <c r="K339" s="25">
        <f>IF(C339="","",IF(G339=0,"not invoiced yet",SUBSTITUTE(TRIM(IF(COUNTIFS(tbl_Finance[Job Number],C339&amp;"",tbl_Finance[Cost Centre],"ONSITE")&gt;0,"ONSITE ","")&amp;IF(COUNTIFS(tbl_Finance[Job Number],C339&amp;"",tbl_Finance[Cost Centre],"PRODUCTION")&gt;0,"PRODUCTION ","")&amp;IF(COUNTIFS(tbl_Finance[Job Number],C339&amp;"",tbl_Finance[Cost Centre],"VIDEO")&gt;0,"VIDEO ","")&amp;IF(COUNTIFS(tbl_Finance[Job Number],C339&amp;"",tbl_Finance[Cost Centre],"INTEGRATION")&gt;0,"INTEGRATION ","")&amp;IF(COUNTIFS(tbl_Finance[Job Number],C339&amp;"",tbl_Finance[Cost Centre],"CONSULTING")&gt;0,"CONSULTING ","")&amp;IF(COUNTIFS(tbl_Finance[Job Number],C339&amp;"",tbl_Finance[Cost Centre],"CTS")&gt;0,"CTS ",""))," ",", ")))</f>
        <v/>
      </c>
      <c r="L339" s="24" t="n"/>
      <c r="M339" s="24" t="n"/>
      <c r="N339" s="25">
        <f>IF(M339="","",HYPERLINK(IF(LEFT(M339,4)="http",M339,set_QwilrBase&amp;M339),"Open quote"))</f>
        <v/>
      </c>
      <c r="O339" s="69" t="n"/>
      <c r="P339" s="24" t="n"/>
      <c r="Q339" s="24" t="n"/>
    </row>
    <row r="340" ht="15" customHeight="1">
      <c r="A340" s="68">
        <f>IF(C340="","",IFERROR(IF(SUMPRODUCT(MAX((tbl_Finance[Job Number]=C340&amp;"")*(tbl_Finance[Xero Invoice No]&lt;&gt;"")*tbl_Finance[Date]))=0,"",SUMPRODUCT(MAX((tbl_Finance[Job Number]=C340&amp;"")*(tbl_Finance[Xero Invoice No]&lt;&gt;"")*tbl_Finance[Date]))),""))</f>
        <v/>
      </c>
      <c r="B340" s="25">
        <f>IF(C340="","",IF(COUNTIFS(tbl_Finance[Job Number],C340&amp;"",tbl_Finance[Xero Invoice No],"&lt;&gt;")=0,"",IFERROR(IF(COUNTIFS(tbl_Finance[Job Number],C340&amp;"",tbl_Finance[Xero Invoice No],LOOKUP(2,1/((tbl_Finance[Job Number]=C340&amp;"")*(tbl_Finance[Xero Invoice No]&lt;&gt;"")),tbl_Finance[Xero Invoice No]))=COUNTIFS(tbl_Finance[Job Number],C340&amp;"",tbl_Finance[Xero Invoice No],"&lt;&gt;"),LOOKUP(2,1/((tbl_Finance[Job Number]=C340&amp;"")*(tbl_Finance[Xero Invoice No]&lt;&gt;"")),tbl_Finance[Xero Invoice No]),LOOKUP(2,1/((tbl_Finance[Job Number]=C340&amp;"")*(tbl_Finance[Xero Invoice No]&lt;&gt;"")),tbl_Finance[Xero Invoice No])&amp;" +more"),"")))</f>
        <v/>
      </c>
      <c r="C340" s="24" t="n"/>
      <c r="D340" s="25">
        <f>IF(C340="","",IF(COUNTIF(lst_Jobs,C340&amp;"")&gt;0,"OK","CHECK"))</f>
        <v/>
      </c>
      <c r="E340" s="25">
        <f>IF(C340="","",IFERROR(INDEX(lst_JobName,MATCH(C340&amp;"",lst_Jobs,0)),""))</f>
        <v/>
      </c>
      <c r="F340" s="25">
        <f>IF(C340="","",IFERROR(INDEX(tbl_Finance[Client],MATCH(C340&amp;"",tbl_Finance[Job Number],0)),""))</f>
        <v/>
      </c>
      <c r="G340" s="28">
        <f>IF(C340="","",COUNTIFS(tbl_Finance[Job Number],C340&amp;"",tbl_Finance[Ex GST],"&lt;&gt;"))</f>
        <v/>
      </c>
      <c r="H340" s="27">
        <f>IF(C340="","",SUMIFS(tbl_Finance[Ex GST],tbl_Finance[Job Number],C340&amp;""))</f>
        <v/>
      </c>
      <c r="I340" s="27">
        <f>IF(C340="","",SUMIFS(tbl_Finance[Ex GST],tbl_Finance[Job Number],C340&amp;"",tbl_Finance[Xero Invoice No],"&lt;&gt;"))</f>
        <v/>
      </c>
      <c r="J340" s="27">
        <f>IF(C340="","",H340-I340)</f>
        <v/>
      </c>
      <c r="K340" s="25">
        <f>IF(C340="","",IF(G340=0,"not invoiced yet",SUBSTITUTE(TRIM(IF(COUNTIFS(tbl_Finance[Job Number],C340&amp;"",tbl_Finance[Cost Centre],"ONSITE")&gt;0,"ONSITE ","")&amp;IF(COUNTIFS(tbl_Finance[Job Number],C340&amp;"",tbl_Finance[Cost Centre],"PRODUCTION")&gt;0,"PRODUCTION ","")&amp;IF(COUNTIFS(tbl_Finance[Job Number],C340&amp;"",tbl_Finance[Cost Centre],"VIDEO")&gt;0,"VIDEO ","")&amp;IF(COUNTIFS(tbl_Finance[Job Number],C340&amp;"",tbl_Finance[Cost Centre],"INTEGRATION")&gt;0,"INTEGRATION ","")&amp;IF(COUNTIFS(tbl_Finance[Job Number],C340&amp;"",tbl_Finance[Cost Centre],"CONSULTING")&gt;0,"CONSULTING ","")&amp;IF(COUNTIFS(tbl_Finance[Job Number],C340&amp;"",tbl_Finance[Cost Centre],"CTS")&gt;0,"CTS ",""))," ",", ")))</f>
        <v/>
      </c>
      <c r="L340" s="24" t="n"/>
      <c r="M340" s="24" t="n"/>
      <c r="N340" s="25">
        <f>IF(M340="","",HYPERLINK(IF(LEFT(M340,4)="http",M340,set_QwilrBase&amp;M340),"Open quote"))</f>
        <v/>
      </c>
      <c r="O340" s="69" t="n"/>
      <c r="P340" s="24" t="n"/>
      <c r="Q340" s="24" t="n"/>
    </row>
    <row r="341" ht="15" customHeight="1">
      <c r="A341" s="68">
        <f>IF(C341="","",IFERROR(IF(SUMPRODUCT(MAX((tbl_Finance[Job Number]=C341&amp;"")*(tbl_Finance[Xero Invoice No]&lt;&gt;"")*tbl_Finance[Date]))=0,"",SUMPRODUCT(MAX((tbl_Finance[Job Number]=C341&amp;"")*(tbl_Finance[Xero Invoice No]&lt;&gt;"")*tbl_Finance[Date]))),""))</f>
        <v/>
      </c>
      <c r="B341" s="25">
        <f>IF(C341="","",IF(COUNTIFS(tbl_Finance[Job Number],C341&amp;"",tbl_Finance[Xero Invoice No],"&lt;&gt;")=0,"",IFERROR(IF(COUNTIFS(tbl_Finance[Job Number],C341&amp;"",tbl_Finance[Xero Invoice No],LOOKUP(2,1/((tbl_Finance[Job Number]=C341&amp;"")*(tbl_Finance[Xero Invoice No]&lt;&gt;"")),tbl_Finance[Xero Invoice No]))=COUNTIFS(tbl_Finance[Job Number],C341&amp;"",tbl_Finance[Xero Invoice No],"&lt;&gt;"),LOOKUP(2,1/((tbl_Finance[Job Number]=C341&amp;"")*(tbl_Finance[Xero Invoice No]&lt;&gt;"")),tbl_Finance[Xero Invoice No]),LOOKUP(2,1/((tbl_Finance[Job Number]=C341&amp;"")*(tbl_Finance[Xero Invoice No]&lt;&gt;"")),tbl_Finance[Xero Invoice No])&amp;" +more"),"")))</f>
        <v/>
      </c>
      <c r="C341" s="24" t="n"/>
      <c r="D341" s="25">
        <f>IF(C341="","",IF(COUNTIF(lst_Jobs,C341&amp;"")&gt;0,"OK","CHECK"))</f>
        <v/>
      </c>
      <c r="E341" s="25">
        <f>IF(C341="","",IFERROR(INDEX(lst_JobName,MATCH(C341&amp;"",lst_Jobs,0)),""))</f>
        <v/>
      </c>
      <c r="F341" s="25">
        <f>IF(C341="","",IFERROR(INDEX(tbl_Finance[Client],MATCH(C341&amp;"",tbl_Finance[Job Number],0)),""))</f>
        <v/>
      </c>
      <c r="G341" s="28">
        <f>IF(C341="","",COUNTIFS(tbl_Finance[Job Number],C341&amp;"",tbl_Finance[Ex GST],"&lt;&gt;"))</f>
        <v/>
      </c>
      <c r="H341" s="27">
        <f>IF(C341="","",SUMIFS(tbl_Finance[Ex GST],tbl_Finance[Job Number],C341&amp;""))</f>
        <v/>
      </c>
      <c r="I341" s="27">
        <f>IF(C341="","",SUMIFS(tbl_Finance[Ex GST],tbl_Finance[Job Number],C341&amp;"",tbl_Finance[Xero Invoice No],"&lt;&gt;"))</f>
        <v/>
      </c>
      <c r="J341" s="27">
        <f>IF(C341="","",H341-I341)</f>
        <v/>
      </c>
      <c r="K341" s="25">
        <f>IF(C341="","",IF(G341=0,"not invoiced yet",SUBSTITUTE(TRIM(IF(COUNTIFS(tbl_Finance[Job Number],C341&amp;"",tbl_Finance[Cost Centre],"ONSITE")&gt;0,"ONSITE ","")&amp;IF(COUNTIFS(tbl_Finance[Job Number],C341&amp;"",tbl_Finance[Cost Centre],"PRODUCTION")&gt;0,"PRODUCTION ","")&amp;IF(COUNTIFS(tbl_Finance[Job Number],C341&amp;"",tbl_Finance[Cost Centre],"VIDEO")&gt;0,"VIDEO ","")&amp;IF(COUNTIFS(tbl_Finance[Job Number],C341&amp;"",tbl_Finance[Cost Centre],"INTEGRATION")&gt;0,"INTEGRATION ","")&amp;IF(COUNTIFS(tbl_Finance[Job Number],C341&amp;"",tbl_Finance[Cost Centre],"CONSULTING")&gt;0,"CONSULTING ","")&amp;IF(COUNTIFS(tbl_Finance[Job Number],C341&amp;"",tbl_Finance[Cost Centre],"CTS")&gt;0,"CTS ",""))," ",", ")))</f>
        <v/>
      </c>
      <c r="L341" s="24" t="n"/>
      <c r="M341" s="24" t="n"/>
      <c r="N341" s="25">
        <f>IF(M341="","",HYPERLINK(IF(LEFT(M341,4)="http",M341,set_QwilrBase&amp;M341),"Open quote"))</f>
        <v/>
      </c>
      <c r="O341" s="69" t="n"/>
      <c r="P341" s="24" t="n"/>
      <c r="Q341" s="24" t="n"/>
    </row>
    <row r="342" ht="15" customHeight="1">
      <c r="A342" s="68">
        <f>IF(C342="","",IFERROR(IF(SUMPRODUCT(MAX((tbl_Finance[Job Number]=C342&amp;"")*(tbl_Finance[Xero Invoice No]&lt;&gt;"")*tbl_Finance[Date]))=0,"",SUMPRODUCT(MAX((tbl_Finance[Job Number]=C342&amp;"")*(tbl_Finance[Xero Invoice No]&lt;&gt;"")*tbl_Finance[Date]))),""))</f>
        <v/>
      </c>
      <c r="B342" s="25">
        <f>IF(C342="","",IF(COUNTIFS(tbl_Finance[Job Number],C342&amp;"",tbl_Finance[Xero Invoice No],"&lt;&gt;")=0,"",IFERROR(IF(COUNTIFS(tbl_Finance[Job Number],C342&amp;"",tbl_Finance[Xero Invoice No],LOOKUP(2,1/((tbl_Finance[Job Number]=C342&amp;"")*(tbl_Finance[Xero Invoice No]&lt;&gt;"")),tbl_Finance[Xero Invoice No]))=COUNTIFS(tbl_Finance[Job Number],C342&amp;"",tbl_Finance[Xero Invoice No],"&lt;&gt;"),LOOKUP(2,1/((tbl_Finance[Job Number]=C342&amp;"")*(tbl_Finance[Xero Invoice No]&lt;&gt;"")),tbl_Finance[Xero Invoice No]),LOOKUP(2,1/((tbl_Finance[Job Number]=C342&amp;"")*(tbl_Finance[Xero Invoice No]&lt;&gt;"")),tbl_Finance[Xero Invoice No])&amp;" +more"),"")))</f>
        <v/>
      </c>
      <c r="C342" s="24" t="n"/>
      <c r="D342" s="25">
        <f>IF(C342="","",IF(COUNTIF(lst_Jobs,C342&amp;"")&gt;0,"OK","CHECK"))</f>
        <v/>
      </c>
      <c r="E342" s="25">
        <f>IF(C342="","",IFERROR(INDEX(lst_JobName,MATCH(C342&amp;"",lst_Jobs,0)),""))</f>
        <v/>
      </c>
      <c r="F342" s="25">
        <f>IF(C342="","",IFERROR(INDEX(tbl_Finance[Client],MATCH(C342&amp;"",tbl_Finance[Job Number],0)),""))</f>
        <v/>
      </c>
      <c r="G342" s="28">
        <f>IF(C342="","",COUNTIFS(tbl_Finance[Job Number],C342&amp;"",tbl_Finance[Ex GST],"&lt;&gt;"))</f>
        <v/>
      </c>
      <c r="H342" s="27">
        <f>IF(C342="","",SUMIFS(tbl_Finance[Ex GST],tbl_Finance[Job Number],C342&amp;""))</f>
        <v/>
      </c>
      <c r="I342" s="27">
        <f>IF(C342="","",SUMIFS(tbl_Finance[Ex GST],tbl_Finance[Job Number],C342&amp;"",tbl_Finance[Xero Invoice No],"&lt;&gt;"))</f>
        <v/>
      </c>
      <c r="J342" s="27">
        <f>IF(C342="","",H342-I342)</f>
        <v/>
      </c>
      <c r="K342" s="25">
        <f>IF(C342="","",IF(G342=0,"not invoiced yet",SUBSTITUTE(TRIM(IF(COUNTIFS(tbl_Finance[Job Number],C342&amp;"",tbl_Finance[Cost Centre],"ONSITE")&gt;0,"ONSITE ","")&amp;IF(COUNTIFS(tbl_Finance[Job Number],C342&amp;"",tbl_Finance[Cost Centre],"PRODUCTION")&gt;0,"PRODUCTION ","")&amp;IF(COUNTIFS(tbl_Finance[Job Number],C342&amp;"",tbl_Finance[Cost Centre],"VIDEO")&gt;0,"VIDEO ","")&amp;IF(COUNTIFS(tbl_Finance[Job Number],C342&amp;"",tbl_Finance[Cost Centre],"INTEGRATION")&gt;0,"INTEGRATION ","")&amp;IF(COUNTIFS(tbl_Finance[Job Number],C342&amp;"",tbl_Finance[Cost Centre],"CONSULTING")&gt;0,"CONSULTING ","")&amp;IF(COUNTIFS(tbl_Finance[Job Number],C342&amp;"",tbl_Finance[Cost Centre],"CTS")&gt;0,"CTS ",""))," ",", ")))</f>
        <v/>
      </c>
      <c r="L342" s="24" t="n"/>
      <c r="M342" s="24" t="n"/>
      <c r="N342" s="25">
        <f>IF(M342="","",HYPERLINK(IF(LEFT(M342,4)="http",M342,set_QwilrBase&amp;M342),"Open quote"))</f>
        <v/>
      </c>
      <c r="O342" s="69" t="n"/>
      <c r="P342" s="24" t="n"/>
      <c r="Q342" s="24" t="n"/>
    </row>
    <row r="343" ht="15" customHeight="1">
      <c r="A343" s="68">
        <f>IF(C343="","",IFERROR(IF(SUMPRODUCT(MAX((tbl_Finance[Job Number]=C343&amp;"")*(tbl_Finance[Xero Invoice No]&lt;&gt;"")*tbl_Finance[Date]))=0,"",SUMPRODUCT(MAX((tbl_Finance[Job Number]=C343&amp;"")*(tbl_Finance[Xero Invoice No]&lt;&gt;"")*tbl_Finance[Date]))),""))</f>
        <v/>
      </c>
      <c r="B343" s="25">
        <f>IF(C343="","",IF(COUNTIFS(tbl_Finance[Job Number],C343&amp;"",tbl_Finance[Xero Invoice No],"&lt;&gt;")=0,"",IFERROR(IF(COUNTIFS(tbl_Finance[Job Number],C343&amp;"",tbl_Finance[Xero Invoice No],LOOKUP(2,1/((tbl_Finance[Job Number]=C343&amp;"")*(tbl_Finance[Xero Invoice No]&lt;&gt;"")),tbl_Finance[Xero Invoice No]))=COUNTIFS(tbl_Finance[Job Number],C343&amp;"",tbl_Finance[Xero Invoice No],"&lt;&gt;"),LOOKUP(2,1/((tbl_Finance[Job Number]=C343&amp;"")*(tbl_Finance[Xero Invoice No]&lt;&gt;"")),tbl_Finance[Xero Invoice No]),LOOKUP(2,1/((tbl_Finance[Job Number]=C343&amp;"")*(tbl_Finance[Xero Invoice No]&lt;&gt;"")),tbl_Finance[Xero Invoice No])&amp;" +more"),"")))</f>
        <v/>
      </c>
      <c r="C343" s="24" t="n"/>
      <c r="D343" s="25">
        <f>IF(C343="","",IF(COUNTIF(lst_Jobs,C343&amp;"")&gt;0,"OK","CHECK"))</f>
        <v/>
      </c>
      <c r="E343" s="25">
        <f>IF(C343="","",IFERROR(INDEX(lst_JobName,MATCH(C343&amp;"",lst_Jobs,0)),""))</f>
        <v/>
      </c>
      <c r="F343" s="25">
        <f>IF(C343="","",IFERROR(INDEX(tbl_Finance[Client],MATCH(C343&amp;"",tbl_Finance[Job Number],0)),""))</f>
        <v/>
      </c>
      <c r="G343" s="28">
        <f>IF(C343="","",COUNTIFS(tbl_Finance[Job Number],C343&amp;"",tbl_Finance[Ex GST],"&lt;&gt;"))</f>
        <v/>
      </c>
      <c r="H343" s="27">
        <f>IF(C343="","",SUMIFS(tbl_Finance[Ex GST],tbl_Finance[Job Number],C343&amp;""))</f>
        <v/>
      </c>
      <c r="I343" s="27">
        <f>IF(C343="","",SUMIFS(tbl_Finance[Ex GST],tbl_Finance[Job Number],C343&amp;"",tbl_Finance[Xero Invoice No],"&lt;&gt;"))</f>
        <v/>
      </c>
      <c r="J343" s="27">
        <f>IF(C343="","",H343-I343)</f>
        <v/>
      </c>
      <c r="K343" s="25">
        <f>IF(C343="","",IF(G343=0,"not invoiced yet",SUBSTITUTE(TRIM(IF(COUNTIFS(tbl_Finance[Job Number],C343&amp;"",tbl_Finance[Cost Centre],"ONSITE")&gt;0,"ONSITE ","")&amp;IF(COUNTIFS(tbl_Finance[Job Number],C343&amp;"",tbl_Finance[Cost Centre],"PRODUCTION")&gt;0,"PRODUCTION ","")&amp;IF(COUNTIFS(tbl_Finance[Job Number],C343&amp;"",tbl_Finance[Cost Centre],"VIDEO")&gt;0,"VIDEO ","")&amp;IF(COUNTIFS(tbl_Finance[Job Number],C343&amp;"",tbl_Finance[Cost Centre],"INTEGRATION")&gt;0,"INTEGRATION ","")&amp;IF(COUNTIFS(tbl_Finance[Job Number],C343&amp;"",tbl_Finance[Cost Centre],"CONSULTING")&gt;0,"CONSULTING ","")&amp;IF(COUNTIFS(tbl_Finance[Job Number],C343&amp;"",tbl_Finance[Cost Centre],"CTS")&gt;0,"CTS ",""))," ",", ")))</f>
        <v/>
      </c>
      <c r="L343" s="24" t="n"/>
      <c r="M343" s="24" t="n"/>
      <c r="N343" s="25">
        <f>IF(M343="","",HYPERLINK(IF(LEFT(M343,4)="http",M343,set_QwilrBase&amp;M343),"Open quote"))</f>
        <v/>
      </c>
      <c r="O343" s="69" t="n"/>
      <c r="P343" s="24" t="n"/>
      <c r="Q343" s="24" t="n"/>
    </row>
    <row r="344" ht="15" customHeight="1">
      <c r="A344" s="68">
        <f>IF(C344="","",IFERROR(IF(SUMPRODUCT(MAX((tbl_Finance[Job Number]=C344&amp;"")*(tbl_Finance[Xero Invoice No]&lt;&gt;"")*tbl_Finance[Date]))=0,"",SUMPRODUCT(MAX((tbl_Finance[Job Number]=C344&amp;"")*(tbl_Finance[Xero Invoice No]&lt;&gt;"")*tbl_Finance[Date]))),""))</f>
        <v/>
      </c>
      <c r="B344" s="25">
        <f>IF(C344="","",IF(COUNTIFS(tbl_Finance[Job Number],C344&amp;"",tbl_Finance[Xero Invoice No],"&lt;&gt;")=0,"",IFERROR(IF(COUNTIFS(tbl_Finance[Job Number],C344&amp;"",tbl_Finance[Xero Invoice No],LOOKUP(2,1/((tbl_Finance[Job Number]=C344&amp;"")*(tbl_Finance[Xero Invoice No]&lt;&gt;"")),tbl_Finance[Xero Invoice No]))=COUNTIFS(tbl_Finance[Job Number],C344&amp;"",tbl_Finance[Xero Invoice No],"&lt;&gt;"),LOOKUP(2,1/((tbl_Finance[Job Number]=C344&amp;"")*(tbl_Finance[Xero Invoice No]&lt;&gt;"")),tbl_Finance[Xero Invoice No]),LOOKUP(2,1/((tbl_Finance[Job Number]=C344&amp;"")*(tbl_Finance[Xero Invoice No]&lt;&gt;"")),tbl_Finance[Xero Invoice No])&amp;" +more"),"")))</f>
        <v/>
      </c>
      <c r="C344" s="24" t="n"/>
      <c r="D344" s="25">
        <f>IF(C344="","",IF(COUNTIF(lst_Jobs,C344&amp;"")&gt;0,"OK","CHECK"))</f>
        <v/>
      </c>
      <c r="E344" s="25">
        <f>IF(C344="","",IFERROR(INDEX(lst_JobName,MATCH(C344&amp;"",lst_Jobs,0)),""))</f>
        <v/>
      </c>
      <c r="F344" s="25">
        <f>IF(C344="","",IFERROR(INDEX(tbl_Finance[Client],MATCH(C344&amp;"",tbl_Finance[Job Number],0)),""))</f>
        <v/>
      </c>
      <c r="G344" s="28">
        <f>IF(C344="","",COUNTIFS(tbl_Finance[Job Number],C344&amp;"",tbl_Finance[Ex GST],"&lt;&gt;"))</f>
        <v/>
      </c>
      <c r="H344" s="27">
        <f>IF(C344="","",SUMIFS(tbl_Finance[Ex GST],tbl_Finance[Job Number],C344&amp;""))</f>
        <v/>
      </c>
      <c r="I344" s="27">
        <f>IF(C344="","",SUMIFS(tbl_Finance[Ex GST],tbl_Finance[Job Number],C344&amp;"",tbl_Finance[Xero Invoice No],"&lt;&gt;"))</f>
        <v/>
      </c>
      <c r="J344" s="27">
        <f>IF(C344="","",H344-I344)</f>
        <v/>
      </c>
      <c r="K344" s="25">
        <f>IF(C344="","",IF(G344=0,"not invoiced yet",SUBSTITUTE(TRIM(IF(COUNTIFS(tbl_Finance[Job Number],C344&amp;"",tbl_Finance[Cost Centre],"ONSITE")&gt;0,"ONSITE ","")&amp;IF(COUNTIFS(tbl_Finance[Job Number],C344&amp;"",tbl_Finance[Cost Centre],"PRODUCTION")&gt;0,"PRODUCTION ","")&amp;IF(COUNTIFS(tbl_Finance[Job Number],C344&amp;"",tbl_Finance[Cost Centre],"VIDEO")&gt;0,"VIDEO ","")&amp;IF(COUNTIFS(tbl_Finance[Job Number],C344&amp;"",tbl_Finance[Cost Centre],"INTEGRATION")&gt;0,"INTEGRATION ","")&amp;IF(COUNTIFS(tbl_Finance[Job Number],C344&amp;"",tbl_Finance[Cost Centre],"CONSULTING")&gt;0,"CONSULTING ","")&amp;IF(COUNTIFS(tbl_Finance[Job Number],C344&amp;"",tbl_Finance[Cost Centre],"CTS")&gt;0,"CTS ",""))," ",", ")))</f>
        <v/>
      </c>
      <c r="L344" s="24" t="n"/>
      <c r="M344" s="24" t="n"/>
      <c r="N344" s="25">
        <f>IF(M344="","",HYPERLINK(IF(LEFT(M344,4)="http",M344,set_QwilrBase&amp;M344),"Open quote"))</f>
        <v/>
      </c>
      <c r="O344" s="69" t="n"/>
      <c r="P344" s="24" t="n"/>
      <c r="Q344" s="24" t="n"/>
    </row>
    <row r="345" ht="15" customHeight="1">
      <c r="A345" s="68">
        <f>IF(C345="","",IFERROR(IF(SUMPRODUCT(MAX((tbl_Finance[Job Number]=C345&amp;"")*(tbl_Finance[Xero Invoice No]&lt;&gt;"")*tbl_Finance[Date]))=0,"",SUMPRODUCT(MAX((tbl_Finance[Job Number]=C345&amp;"")*(tbl_Finance[Xero Invoice No]&lt;&gt;"")*tbl_Finance[Date]))),""))</f>
        <v/>
      </c>
      <c r="B345" s="25">
        <f>IF(C345="","",IF(COUNTIFS(tbl_Finance[Job Number],C345&amp;"",tbl_Finance[Xero Invoice No],"&lt;&gt;")=0,"",IFERROR(IF(COUNTIFS(tbl_Finance[Job Number],C345&amp;"",tbl_Finance[Xero Invoice No],LOOKUP(2,1/((tbl_Finance[Job Number]=C345&amp;"")*(tbl_Finance[Xero Invoice No]&lt;&gt;"")),tbl_Finance[Xero Invoice No]))=COUNTIFS(tbl_Finance[Job Number],C345&amp;"",tbl_Finance[Xero Invoice No],"&lt;&gt;"),LOOKUP(2,1/((tbl_Finance[Job Number]=C345&amp;"")*(tbl_Finance[Xero Invoice No]&lt;&gt;"")),tbl_Finance[Xero Invoice No]),LOOKUP(2,1/((tbl_Finance[Job Number]=C345&amp;"")*(tbl_Finance[Xero Invoice No]&lt;&gt;"")),tbl_Finance[Xero Invoice No])&amp;" +more"),"")))</f>
        <v/>
      </c>
      <c r="C345" s="24" t="n"/>
      <c r="D345" s="25">
        <f>IF(C345="","",IF(COUNTIF(lst_Jobs,C345&amp;"")&gt;0,"OK","CHECK"))</f>
        <v/>
      </c>
      <c r="E345" s="25">
        <f>IF(C345="","",IFERROR(INDEX(lst_JobName,MATCH(C345&amp;"",lst_Jobs,0)),""))</f>
        <v/>
      </c>
      <c r="F345" s="25">
        <f>IF(C345="","",IFERROR(INDEX(tbl_Finance[Client],MATCH(C345&amp;"",tbl_Finance[Job Number],0)),""))</f>
        <v/>
      </c>
      <c r="G345" s="28">
        <f>IF(C345="","",COUNTIFS(tbl_Finance[Job Number],C345&amp;"",tbl_Finance[Ex GST],"&lt;&gt;"))</f>
        <v/>
      </c>
      <c r="H345" s="27">
        <f>IF(C345="","",SUMIFS(tbl_Finance[Ex GST],tbl_Finance[Job Number],C345&amp;""))</f>
        <v/>
      </c>
      <c r="I345" s="27">
        <f>IF(C345="","",SUMIFS(tbl_Finance[Ex GST],tbl_Finance[Job Number],C345&amp;"",tbl_Finance[Xero Invoice No],"&lt;&gt;"))</f>
        <v/>
      </c>
      <c r="J345" s="27">
        <f>IF(C345="","",H345-I345)</f>
        <v/>
      </c>
      <c r="K345" s="25">
        <f>IF(C345="","",IF(G345=0,"not invoiced yet",SUBSTITUTE(TRIM(IF(COUNTIFS(tbl_Finance[Job Number],C345&amp;"",tbl_Finance[Cost Centre],"ONSITE")&gt;0,"ONSITE ","")&amp;IF(COUNTIFS(tbl_Finance[Job Number],C345&amp;"",tbl_Finance[Cost Centre],"PRODUCTION")&gt;0,"PRODUCTION ","")&amp;IF(COUNTIFS(tbl_Finance[Job Number],C345&amp;"",tbl_Finance[Cost Centre],"VIDEO")&gt;0,"VIDEO ","")&amp;IF(COUNTIFS(tbl_Finance[Job Number],C345&amp;"",tbl_Finance[Cost Centre],"INTEGRATION")&gt;0,"INTEGRATION ","")&amp;IF(COUNTIFS(tbl_Finance[Job Number],C345&amp;"",tbl_Finance[Cost Centre],"CONSULTING")&gt;0,"CONSULTING ","")&amp;IF(COUNTIFS(tbl_Finance[Job Number],C345&amp;"",tbl_Finance[Cost Centre],"CTS")&gt;0,"CTS ",""))," ",", ")))</f>
        <v/>
      </c>
      <c r="L345" s="24" t="n"/>
      <c r="M345" s="24" t="n"/>
      <c r="N345" s="25">
        <f>IF(M345="","",HYPERLINK(IF(LEFT(M345,4)="http",M345,set_QwilrBase&amp;M345),"Open quote"))</f>
        <v/>
      </c>
      <c r="O345" s="69" t="n"/>
      <c r="P345" s="24" t="n"/>
      <c r="Q345" s="24" t="n"/>
    </row>
    <row r="346" ht="15" customHeight="1">
      <c r="A346" s="68">
        <f>IF(C346="","",IFERROR(IF(SUMPRODUCT(MAX((tbl_Finance[Job Number]=C346&amp;"")*(tbl_Finance[Xero Invoice No]&lt;&gt;"")*tbl_Finance[Date]))=0,"",SUMPRODUCT(MAX((tbl_Finance[Job Number]=C346&amp;"")*(tbl_Finance[Xero Invoice No]&lt;&gt;"")*tbl_Finance[Date]))),""))</f>
        <v/>
      </c>
      <c r="B346" s="25">
        <f>IF(C346="","",IF(COUNTIFS(tbl_Finance[Job Number],C346&amp;"",tbl_Finance[Xero Invoice No],"&lt;&gt;")=0,"",IFERROR(IF(COUNTIFS(tbl_Finance[Job Number],C346&amp;"",tbl_Finance[Xero Invoice No],LOOKUP(2,1/((tbl_Finance[Job Number]=C346&amp;"")*(tbl_Finance[Xero Invoice No]&lt;&gt;"")),tbl_Finance[Xero Invoice No]))=COUNTIFS(tbl_Finance[Job Number],C346&amp;"",tbl_Finance[Xero Invoice No],"&lt;&gt;"),LOOKUP(2,1/((tbl_Finance[Job Number]=C346&amp;"")*(tbl_Finance[Xero Invoice No]&lt;&gt;"")),tbl_Finance[Xero Invoice No]),LOOKUP(2,1/((tbl_Finance[Job Number]=C346&amp;"")*(tbl_Finance[Xero Invoice No]&lt;&gt;"")),tbl_Finance[Xero Invoice No])&amp;" +more"),"")))</f>
        <v/>
      </c>
      <c r="C346" s="24" t="n"/>
      <c r="D346" s="25">
        <f>IF(C346="","",IF(COUNTIF(lst_Jobs,C346&amp;"")&gt;0,"OK","CHECK"))</f>
        <v/>
      </c>
      <c r="E346" s="25">
        <f>IF(C346="","",IFERROR(INDEX(lst_JobName,MATCH(C346&amp;"",lst_Jobs,0)),""))</f>
        <v/>
      </c>
      <c r="F346" s="25">
        <f>IF(C346="","",IFERROR(INDEX(tbl_Finance[Client],MATCH(C346&amp;"",tbl_Finance[Job Number],0)),""))</f>
        <v/>
      </c>
      <c r="G346" s="28">
        <f>IF(C346="","",COUNTIFS(tbl_Finance[Job Number],C346&amp;"",tbl_Finance[Ex GST],"&lt;&gt;"))</f>
        <v/>
      </c>
      <c r="H346" s="27">
        <f>IF(C346="","",SUMIFS(tbl_Finance[Ex GST],tbl_Finance[Job Number],C346&amp;""))</f>
        <v/>
      </c>
      <c r="I346" s="27">
        <f>IF(C346="","",SUMIFS(tbl_Finance[Ex GST],tbl_Finance[Job Number],C346&amp;"",tbl_Finance[Xero Invoice No],"&lt;&gt;"))</f>
        <v/>
      </c>
      <c r="J346" s="27">
        <f>IF(C346="","",H346-I346)</f>
        <v/>
      </c>
      <c r="K346" s="25">
        <f>IF(C346="","",IF(G346=0,"not invoiced yet",SUBSTITUTE(TRIM(IF(COUNTIFS(tbl_Finance[Job Number],C346&amp;"",tbl_Finance[Cost Centre],"ONSITE")&gt;0,"ONSITE ","")&amp;IF(COUNTIFS(tbl_Finance[Job Number],C346&amp;"",tbl_Finance[Cost Centre],"PRODUCTION")&gt;0,"PRODUCTION ","")&amp;IF(COUNTIFS(tbl_Finance[Job Number],C346&amp;"",tbl_Finance[Cost Centre],"VIDEO")&gt;0,"VIDEO ","")&amp;IF(COUNTIFS(tbl_Finance[Job Number],C346&amp;"",tbl_Finance[Cost Centre],"INTEGRATION")&gt;0,"INTEGRATION ","")&amp;IF(COUNTIFS(tbl_Finance[Job Number],C346&amp;"",tbl_Finance[Cost Centre],"CONSULTING")&gt;0,"CONSULTING ","")&amp;IF(COUNTIFS(tbl_Finance[Job Number],C346&amp;"",tbl_Finance[Cost Centre],"CTS")&gt;0,"CTS ",""))," ",", ")))</f>
        <v/>
      </c>
      <c r="L346" s="24" t="n"/>
      <c r="M346" s="24" t="n"/>
      <c r="N346" s="25">
        <f>IF(M346="","",HYPERLINK(IF(LEFT(M346,4)="http",M346,set_QwilrBase&amp;M346),"Open quote"))</f>
        <v/>
      </c>
      <c r="O346" s="69" t="n"/>
      <c r="P346" s="24" t="n"/>
      <c r="Q346" s="24" t="n"/>
    </row>
    <row r="347" ht="15" customHeight="1">
      <c r="A347" s="68">
        <f>IF(C347="","",IFERROR(IF(SUMPRODUCT(MAX((tbl_Finance[Job Number]=C347&amp;"")*(tbl_Finance[Xero Invoice No]&lt;&gt;"")*tbl_Finance[Date]))=0,"",SUMPRODUCT(MAX((tbl_Finance[Job Number]=C347&amp;"")*(tbl_Finance[Xero Invoice No]&lt;&gt;"")*tbl_Finance[Date]))),""))</f>
        <v/>
      </c>
      <c r="B347" s="25">
        <f>IF(C347="","",IF(COUNTIFS(tbl_Finance[Job Number],C347&amp;"",tbl_Finance[Xero Invoice No],"&lt;&gt;")=0,"",IFERROR(IF(COUNTIFS(tbl_Finance[Job Number],C347&amp;"",tbl_Finance[Xero Invoice No],LOOKUP(2,1/((tbl_Finance[Job Number]=C347&amp;"")*(tbl_Finance[Xero Invoice No]&lt;&gt;"")),tbl_Finance[Xero Invoice No]))=COUNTIFS(tbl_Finance[Job Number],C347&amp;"",tbl_Finance[Xero Invoice No],"&lt;&gt;"),LOOKUP(2,1/((tbl_Finance[Job Number]=C347&amp;"")*(tbl_Finance[Xero Invoice No]&lt;&gt;"")),tbl_Finance[Xero Invoice No]),LOOKUP(2,1/((tbl_Finance[Job Number]=C347&amp;"")*(tbl_Finance[Xero Invoice No]&lt;&gt;"")),tbl_Finance[Xero Invoice No])&amp;" +more"),"")))</f>
        <v/>
      </c>
      <c r="C347" s="24" t="n"/>
      <c r="D347" s="25">
        <f>IF(C347="","",IF(COUNTIF(lst_Jobs,C347&amp;"")&gt;0,"OK","CHECK"))</f>
        <v/>
      </c>
      <c r="E347" s="25">
        <f>IF(C347="","",IFERROR(INDEX(lst_JobName,MATCH(C347&amp;"",lst_Jobs,0)),""))</f>
        <v/>
      </c>
      <c r="F347" s="25">
        <f>IF(C347="","",IFERROR(INDEX(tbl_Finance[Client],MATCH(C347&amp;"",tbl_Finance[Job Number],0)),""))</f>
        <v/>
      </c>
      <c r="G347" s="28">
        <f>IF(C347="","",COUNTIFS(tbl_Finance[Job Number],C347&amp;"",tbl_Finance[Ex GST],"&lt;&gt;"))</f>
        <v/>
      </c>
      <c r="H347" s="27">
        <f>IF(C347="","",SUMIFS(tbl_Finance[Ex GST],tbl_Finance[Job Number],C347&amp;""))</f>
        <v/>
      </c>
      <c r="I347" s="27">
        <f>IF(C347="","",SUMIFS(tbl_Finance[Ex GST],tbl_Finance[Job Number],C347&amp;"",tbl_Finance[Xero Invoice No],"&lt;&gt;"))</f>
        <v/>
      </c>
      <c r="J347" s="27">
        <f>IF(C347="","",H347-I347)</f>
        <v/>
      </c>
      <c r="K347" s="25">
        <f>IF(C347="","",IF(G347=0,"not invoiced yet",SUBSTITUTE(TRIM(IF(COUNTIFS(tbl_Finance[Job Number],C347&amp;"",tbl_Finance[Cost Centre],"ONSITE")&gt;0,"ONSITE ","")&amp;IF(COUNTIFS(tbl_Finance[Job Number],C347&amp;"",tbl_Finance[Cost Centre],"PRODUCTION")&gt;0,"PRODUCTION ","")&amp;IF(COUNTIFS(tbl_Finance[Job Number],C347&amp;"",tbl_Finance[Cost Centre],"VIDEO")&gt;0,"VIDEO ","")&amp;IF(COUNTIFS(tbl_Finance[Job Number],C347&amp;"",tbl_Finance[Cost Centre],"INTEGRATION")&gt;0,"INTEGRATION ","")&amp;IF(COUNTIFS(tbl_Finance[Job Number],C347&amp;"",tbl_Finance[Cost Centre],"CONSULTING")&gt;0,"CONSULTING ","")&amp;IF(COUNTIFS(tbl_Finance[Job Number],C347&amp;"",tbl_Finance[Cost Centre],"CTS")&gt;0,"CTS ",""))," ",", ")))</f>
        <v/>
      </c>
      <c r="L347" s="24" t="n"/>
      <c r="M347" s="24" t="n"/>
      <c r="N347" s="25">
        <f>IF(M347="","",HYPERLINK(IF(LEFT(M347,4)="http",M347,set_QwilrBase&amp;M347),"Open quote"))</f>
        <v/>
      </c>
      <c r="O347" s="69" t="n"/>
      <c r="P347" s="24" t="n"/>
      <c r="Q347" s="24" t="n"/>
    </row>
    <row r="348" ht="15" customHeight="1">
      <c r="A348" s="68">
        <f>IF(C348="","",IFERROR(IF(SUMPRODUCT(MAX((tbl_Finance[Job Number]=C348&amp;"")*(tbl_Finance[Xero Invoice No]&lt;&gt;"")*tbl_Finance[Date]))=0,"",SUMPRODUCT(MAX((tbl_Finance[Job Number]=C348&amp;"")*(tbl_Finance[Xero Invoice No]&lt;&gt;"")*tbl_Finance[Date]))),""))</f>
        <v/>
      </c>
      <c r="B348" s="25">
        <f>IF(C348="","",IF(COUNTIFS(tbl_Finance[Job Number],C348&amp;"",tbl_Finance[Xero Invoice No],"&lt;&gt;")=0,"",IFERROR(IF(COUNTIFS(tbl_Finance[Job Number],C348&amp;"",tbl_Finance[Xero Invoice No],LOOKUP(2,1/((tbl_Finance[Job Number]=C348&amp;"")*(tbl_Finance[Xero Invoice No]&lt;&gt;"")),tbl_Finance[Xero Invoice No]))=COUNTIFS(tbl_Finance[Job Number],C348&amp;"",tbl_Finance[Xero Invoice No],"&lt;&gt;"),LOOKUP(2,1/((tbl_Finance[Job Number]=C348&amp;"")*(tbl_Finance[Xero Invoice No]&lt;&gt;"")),tbl_Finance[Xero Invoice No]),LOOKUP(2,1/((tbl_Finance[Job Number]=C348&amp;"")*(tbl_Finance[Xero Invoice No]&lt;&gt;"")),tbl_Finance[Xero Invoice No])&amp;" +more"),"")))</f>
        <v/>
      </c>
      <c r="C348" s="24" t="n"/>
      <c r="D348" s="25">
        <f>IF(C348="","",IF(COUNTIF(lst_Jobs,C348&amp;"")&gt;0,"OK","CHECK"))</f>
        <v/>
      </c>
      <c r="E348" s="25">
        <f>IF(C348="","",IFERROR(INDEX(lst_JobName,MATCH(C348&amp;"",lst_Jobs,0)),""))</f>
        <v/>
      </c>
      <c r="F348" s="25">
        <f>IF(C348="","",IFERROR(INDEX(tbl_Finance[Client],MATCH(C348&amp;"",tbl_Finance[Job Number],0)),""))</f>
        <v/>
      </c>
      <c r="G348" s="28">
        <f>IF(C348="","",COUNTIFS(tbl_Finance[Job Number],C348&amp;"",tbl_Finance[Ex GST],"&lt;&gt;"))</f>
        <v/>
      </c>
      <c r="H348" s="27">
        <f>IF(C348="","",SUMIFS(tbl_Finance[Ex GST],tbl_Finance[Job Number],C348&amp;""))</f>
        <v/>
      </c>
      <c r="I348" s="27">
        <f>IF(C348="","",SUMIFS(tbl_Finance[Ex GST],tbl_Finance[Job Number],C348&amp;"",tbl_Finance[Xero Invoice No],"&lt;&gt;"))</f>
        <v/>
      </c>
      <c r="J348" s="27">
        <f>IF(C348="","",H348-I348)</f>
        <v/>
      </c>
      <c r="K348" s="25">
        <f>IF(C348="","",IF(G348=0,"not invoiced yet",SUBSTITUTE(TRIM(IF(COUNTIFS(tbl_Finance[Job Number],C348&amp;"",tbl_Finance[Cost Centre],"ONSITE")&gt;0,"ONSITE ","")&amp;IF(COUNTIFS(tbl_Finance[Job Number],C348&amp;"",tbl_Finance[Cost Centre],"PRODUCTION")&gt;0,"PRODUCTION ","")&amp;IF(COUNTIFS(tbl_Finance[Job Number],C348&amp;"",tbl_Finance[Cost Centre],"VIDEO")&gt;0,"VIDEO ","")&amp;IF(COUNTIFS(tbl_Finance[Job Number],C348&amp;"",tbl_Finance[Cost Centre],"INTEGRATION")&gt;0,"INTEGRATION ","")&amp;IF(COUNTIFS(tbl_Finance[Job Number],C348&amp;"",tbl_Finance[Cost Centre],"CONSULTING")&gt;0,"CONSULTING ","")&amp;IF(COUNTIFS(tbl_Finance[Job Number],C348&amp;"",tbl_Finance[Cost Centre],"CTS")&gt;0,"CTS ",""))," ",", ")))</f>
        <v/>
      </c>
      <c r="L348" s="24" t="n"/>
      <c r="M348" s="24" t="n"/>
      <c r="N348" s="25">
        <f>IF(M348="","",HYPERLINK(IF(LEFT(M348,4)="http",M348,set_QwilrBase&amp;M348),"Open quote"))</f>
        <v/>
      </c>
      <c r="O348" s="69" t="n"/>
      <c r="P348" s="24" t="n"/>
      <c r="Q348" s="24" t="n"/>
    </row>
    <row r="349" ht="15" customHeight="1">
      <c r="A349" s="68">
        <f>IF(C349="","",IFERROR(IF(SUMPRODUCT(MAX((tbl_Finance[Job Number]=C349&amp;"")*(tbl_Finance[Xero Invoice No]&lt;&gt;"")*tbl_Finance[Date]))=0,"",SUMPRODUCT(MAX((tbl_Finance[Job Number]=C349&amp;"")*(tbl_Finance[Xero Invoice No]&lt;&gt;"")*tbl_Finance[Date]))),""))</f>
        <v/>
      </c>
      <c r="B349" s="25">
        <f>IF(C349="","",IF(COUNTIFS(tbl_Finance[Job Number],C349&amp;"",tbl_Finance[Xero Invoice No],"&lt;&gt;")=0,"",IFERROR(IF(COUNTIFS(tbl_Finance[Job Number],C349&amp;"",tbl_Finance[Xero Invoice No],LOOKUP(2,1/((tbl_Finance[Job Number]=C349&amp;"")*(tbl_Finance[Xero Invoice No]&lt;&gt;"")),tbl_Finance[Xero Invoice No]))=COUNTIFS(tbl_Finance[Job Number],C349&amp;"",tbl_Finance[Xero Invoice No],"&lt;&gt;"),LOOKUP(2,1/((tbl_Finance[Job Number]=C349&amp;"")*(tbl_Finance[Xero Invoice No]&lt;&gt;"")),tbl_Finance[Xero Invoice No]),LOOKUP(2,1/((tbl_Finance[Job Number]=C349&amp;"")*(tbl_Finance[Xero Invoice No]&lt;&gt;"")),tbl_Finance[Xero Invoice No])&amp;" +more"),"")))</f>
        <v/>
      </c>
      <c r="C349" s="24" t="n"/>
      <c r="D349" s="25">
        <f>IF(C349="","",IF(COUNTIF(lst_Jobs,C349&amp;"")&gt;0,"OK","CHECK"))</f>
        <v/>
      </c>
      <c r="E349" s="25">
        <f>IF(C349="","",IFERROR(INDEX(lst_JobName,MATCH(C349&amp;"",lst_Jobs,0)),""))</f>
        <v/>
      </c>
      <c r="F349" s="25">
        <f>IF(C349="","",IFERROR(INDEX(tbl_Finance[Client],MATCH(C349&amp;"",tbl_Finance[Job Number],0)),""))</f>
        <v/>
      </c>
      <c r="G349" s="28">
        <f>IF(C349="","",COUNTIFS(tbl_Finance[Job Number],C349&amp;"",tbl_Finance[Ex GST],"&lt;&gt;"))</f>
        <v/>
      </c>
      <c r="H349" s="27">
        <f>IF(C349="","",SUMIFS(tbl_Finance[Ex GST],tbl_Finance[Job Number],C349&amp;""))</f>
        <v/>
      </c>
      <c r="I349" s="27">
        <f>IF(C349="","",SUMIFS(tbl_Finance[Ex GST],tbl_Finance[Job Number],C349&amp;"",tbl_Finance[Xero Invoice No],"&lt;&gt;"))</f>
        <v/>
      </c>
      <c r="J349" s="27">
        <f>IF(C349="","",H349-I349)</f>
        <v/>
      </c>
      <c r="K349" s="25">
        <f>IF(C349="","",IF(G349=0,"not invoiced yet",SUBSTITUTE(TRIM(IF(COUNTIFS(tbl_Finance[Job Number],C349&amp;"",tbl_Finance[Cost Centre],"ONSITE")&gt;0,"ONSITE ","")&amp;IF(COUNTIFS(tbl_Finance[Job Number],C349&amp;"",tbl_Finance[Cost Centre],"PRODUCTION")&gt;0,"PRODUCTION ","")&amp;IF(COUNTIFS(tbl_Finance[Job Number],C349&amp;"",tbl_Finance[Cost Centre],"VIDEO")&gt;0,"VIDEO ","")&amp;IF(COUNTIFS(tbl_Finance[Job Number],C349&amp;"",tbl_Finance[Cost Centre],"INTEGRATION")&gt;0,"INTEGRATION ","")&amp;IF(COUNTIFS(tbl_Finance[Job Number],C349&amp;"",tbl_Finance[Cost Centre],"CONSULTING")&gt;0,"CONSULTING ","")&amp;IF(COUNTIFS(tbl_Finance[Job Number],C349&amp;"",tbl_Finance[Cost Centre],"CTS")&gt;0,"CTS ",""))," ",", ")))</f>
        <v/>
      </c>
      <c r="L349" s="24" t="n"/>
      <c r="M349" s="24" t="n"/>
      <c r="N349" s="25">
        <f>IF(M349="","",HYPERLINK(IF(LEFT(M349,4)="http",M349,set_QwilrBase&amp;M349),"Open quote"))</f>
        <v/>
      </c>
      <c r="O349" s="69" t="n"/>
      <c r="P349" s="24" t="n"/>
      <c r="Q349" s="24" t="n"/>
    </row>
    <row r="350" ht="15" customHeight="1">
      <c r="A350" s="68">
        <f>IF(C350="","",IFERROR(IF(SUMPRODUCT(MAX((tbl_Finance[Job Number]=C350&amp;"")*(tbl_Finance[Xero Invoice No]&lt;&gt;"")*tbl_Finance[Date]))=0,"",SUMPRODUCT(MAX((tbl_Finance[Job Number]=C350&amp;"")*(tbl_Finance[Xero Invoice No]&lt;&gt;"")*tbl_Finance[Date]))),""))</f>
        <v/>
      </c>
      <c r="B350" s="25">
        <f>IF(C350="","",IF(COUNTIFS(tbl_Finance[Job Number],C350&amp;"",tbl_Finance[Xero Invoice No],"&lt;&gt;")=0,"",IFERROR(IF(COUNTIFS(tbl_Finance[Job Number],C350&amp;"",tbl_Finance[Xero Invoice No],LOOKUP(2,1/((tbl_Finance[Job Number]=C350&amp;"")*(tbl_Finance[Xero Invoice No]&lt;&gt;"")),tbl_Finance[Xero Invoice No]))=COUNTIFS(tbl_Finance[Job Number],C350&amp;"",tbl_Finance[Xero Invoice No],"&lt;&gt;"),LOOKUP(2,1/((tbl_Finance[Job Number]=C350&amp;"")*(tbl_Finance[Xero Invoice No]&lt;&gt;"")),tbl_Finance[Xero Invoice No]),LOOKUP(2,1/((tbl_Finance[Job Number]=C350&amp;"")*(tbl_Finance[Xero Invoice No]&lt;&gt;"")),tbl_Finance[Xero Invoice No])&amp;" +more"),"")))</f>
        <v/>
      </c>
      <c r="C350" s="24" t="n"/>
      <c r="D350" s="25">
        <f>IF(C350="","",IF(COUNTIF(lst_Jobs,C350&amp;"")&gt;0,"OK","CHECK"))</f>
        <v/>
      </c>
      <c r="E350" s="25">
        <f>IF(C350="","",IFERROR(INDEX(lst_JobName,MATCH(C350&amp;"",lst_Jobs,0)),""))</f>
        <v/>
      </c>
      <c r="F350" s="25">
        <f>IF(C350="","",IFERROR(INDEX(tbl_Finance[Client],MATCH(C350&amp;"",tbl_Finance[Job Number],0)),""))</f>
        <v/>
      </c>
      <c r="G350" s="28">
        <f>IF(C350="","",COUNTIFS(tbl_Finance[Job Number],C350&amp;"",tbl_Finance[Ex GST],"&lt;&gt;"))</f>
        <v/>
      </c>
      <c r="H350" s="27">
        <f>IF(C350="","",SUMIFS(tbl_Finance[Ex GST],tbl_Finance[Job Number],C350&amp;""))</f>
        <v/>
      </c>
      <c r="I350" s="27">
        <f>IF(C350="","",SUMIFS(tbl_Finance[Ex GST],tbl_Finance[Job Number],C350&amp;"",tbl_Finance[Xero Invoice No],"&lt;&gt;"))</f>
        <v/>
      </c>
      <c r="J350" s="27">
        <f>IF(C350="","",H350-I350)</f>
        <v/>
      </c>
      <c r="K350" s="25">
        <f>IF(C350="","",IF(G350=0,"not invoiced yet",SUBSTITUTE(TRIM(IF(COUNTIFS(tbl_Finance[Job Number],C350&amp;"",tbl_Finance[Cost Centre],"ONSITE")&gt;0,"ONSITE ","")&amp;IF(COUNTIFS(tbl_Finance[Job Number],C350&amp;"",tbl_Finance[Cost Centre],"PRODUCTION")&gt;0,"PRODUCTION ","")&amp;IF(COUNTIFS(tbl_Finance[Job Number],C350&amp;"",tbl_Finance[Cost Centre],"VIDEO")&gt;0,"VIDEO ","")&amp;IF(COUNTIFS(tbl_Finance[Job Number],C350&amp;"",tbl_Finance[Cost Centre],"INTEGRATION")&gt;0,"INTEGRATION ","")&amp;IF(COUNTIFS(tbl_Finance[Job Number],C350&amp;"",tbl_Finance[Cost Centre],"CONSULTING")&gt;0,"CONSULTING ","")&amp;IF(COUNTIFS(tbl_Finance[Job Number],C350&amp;"",tbl_Finance[Cost Centre],"CTS")&gt;0,"CTS ",""))," ",", ")))</f>
        <v/>
      </c>
      <c r="L350" s="24" t="n"/>
      <c r="M350" s="24" t="n"/>
      <c r="N350" s="25">
        <f>IF(M350="","",HYPERLINK(IF(LEFT(M350,4)="http",M350,set_QwilrBase&amp;M350),"Open quote"))</f>
        <v/>
      </c>
      <c r="O350" s="69" t="n"/>
      <c r="P350" s="24" t="n"/>
      <c r="Q350" s="24" t="n"/>
    </row>
    <row r="351" ht="15" customHeight="1">
      <c r="A351" s="68">
        <f>IF(C351="","",IFERROR(IF(SUMPRODUCT(MAX((tbl_Finance[Job Number]=C351&amp;"")*(tbl_Finance[Xero Invoice No]&lt;&gt;"")*tbl_Finance[Date]))=0,"",SUMPRODUCT(MAX((tbl_Finance[Job Number]=C351&amp;"")*(tbl_Finance[Xero Invoice No]&lt;&gt;"")*tbl_Finance[Date]))),""))</f>
        <v/>
      </c>
      <c r="B351" s="25">
        <f>IF(C351="","",IF(COUNTIFS(tbl_Finance[Job Number],C351&amp;"",tbl_Finance[Xero Invoice No],"&lt;&gt;")=0,"",IFERROR(IF(COUNTIFS(tbl_Finance[Job Number],C351&amp;"",tbl_Finance[Xero Invoice No],LOOKUP(2,1/((tbl_Finance[Job Number]=C351&amp;"")*(tbl_Finance[Xero Invoice No]&lt;&gt;"")),tbl_Finance[Xero Invoice No]))=COUNTIFS(tbl_Finance[Job Number],C351&amp;"",tbl_Finance[Xero Invoice No],"&lt;&gt;"),LOOKUP(2,1/((tbl_Finance[Job Number]=C351&amp;"")*(tbl_Finance[Xero Invoice No]&lt;&gt;"")),tbl_Finance[Xero Invoice No]),LOOKUP(2,1/((tbl_Finance[Job Number]=C351&amp;"")*(tbl_Finance[Xero Invoice No]&lt;&gt;"")),tbl_Finance[Xero Invoice No])&amp;" +more"),"")))</f>
        <v/>
      </c>
      <c r="C351" s="24" t="n"/>
      <c r="D351" s="25">
        <f>IF(C351="","",IF(COUNTIF(lst_Jobs,C351&amp;"")&gt;0,"OK","CHECK"))</f>
        <v/>
      </c>
      <c r="E351" s="25">
        <f>IF(C351="","",IFERROR(INDEX(lst_JobName,MATCH(C351&amp;"",lst_Jobs,0)),""))</f>
        <v/>
      </c>
      <c r="F351" s="25">
        <f>IF(C351="","",IFERROR(INDEX(tbl_Finance[Client],MATCH(C351&amp;"",tbl_Finance[Job Number],0)),""))</f>
        <v/>
      </c>
      <c r="G351" s="28">
        <f>IF(C351="","",COUNTIFS(tbl_Finance[Job Number],C351&amp;"",tbl_Finance[Ex GST],"&lt;&gt;"))</f>
        <v/>
      </c>
      <c r="H351" s="27">
        <f>IF(C351="","",SUMIFS(tbl_Finance[Ex GST],tbl_Finance[Job Number],C351&amp;""))</f>
        <v/>
      </c>
      <c r="I351" s="27">
        <f>IF(C351="","",SUMIFS(tbl_Finance[Ex GST],tbl_Finance[Job Number],C351&amp;"",tbl_Finance[Xero Invoice No],"&lt;&gt;"))</f>
        <v/>
      </c>
      <c r="J351" s="27">
        <f>IF(C351="","",H351-I351)</f>
        <v/>
      </c>
      <c r="K351" s="25">
        <f>IF(C351="","",IF(G351=0,"not invoiced yet",SUBSTITUTE(TRIM(IF(COUNTIFS(tbl_Finance[Job Number],C351&amp;"",tbl_Finance[Cost Centre],"ONSITE")&gt;0,"ONSITE ","")&amp;IF(COUNTIFS(tbl_Finance[Job Number],C351&amp;"",tbl_Finance[Cost Centre],"PRODUCTION")&gt;0,"PRODUCTION ","")&amp;IF(COUNTIFS(tbl_Finance[Job Number],C351&amp;"",tbl_Finance[Cost Centre],"VIDEO")&gt;0,"VIDEO ","")&amp;IF(COUNTIFS(tbl_Finance[Job Number],C351&amp;"",tbl_Finance[Cost Centre],"INTEGRATION")&gt;0,"INTEGRATION ","")&amp;IF(COUNTIFS(tbl_Finance[Job Number],C351&amp;"",tbl_Finance[Cost Centre],"CONSULTING")&gt;0,"CONSULTING ","")&amp;IF(COUNTIFS(tbl_Finance[Job Number],C351&amp;"",tbl_Finance[Cost Centre],"CTS")&gt;0,"CTS ",""))," ",", ")))</f>
        <v/>
      </c>
      <c r="L351" s="24" t="n"/>
      <c r="M351" s="24" t="n"/>
      <c r="N351" s="25">
        <f>IF(M351="","",HYPERLINK(IF(LEFT(M351,4)="http",M351,set_QwilrBase&amp;M351),"Open quote"))</f>
        <v/>
      </c>
      <c r="O351" s="69" t="n"/>
      <c r="P351" s="24" t="n"/>
      <c r="Q351" s="24" t="n"/>
    </row>
    <row r="352" ht="15" customHeight="1">
      <c r="A352" s="68">
        <f>IF(C352="","",IFERROR(IF(SUMPRODUCT(MAX((tbl_Finance[Job Number]=C352&amp;"")*(tbl_Finance[Xero Invoice No]&lt;&gt;"")*tbl_Finance[Date]))=0,"",SUMPRODUCT(MAX((tbl_Finance[Job Number]=C352&amp;"")*(tbl_Finance[Xero Invoice No]&lt;&gt;"")*tbl_Finance[Date]))),""))</f>
        <v/>
      </c>
      <c r="B352" s="25">
        <f>IF(C352="","",IF(COUNTIFS(tbl_Finance[Job Number],C352&amp;"",tbl_Finance[Xero Invoice No],"&lt;&gt;")=0,"",IFERROR(IF(COUNTIFS(tbl_Finance[Job Number],C352&amp;"",tbl_Finance[Xero Invoice No],LOOKUP(2,1/((tbl_Finance[Job Number]=C352&amp;"")*(tbl_Finance[Xero Invoice No]&lt;&gt;"")),tbl_Finance[Xero Invoice No]))=COUNTIFS(tbl_Finance[Job Number],C352&amp;"",tbl_Finance[Xero Invoice No],"&lt;&gt;"),LOOKUP(2,1/((tbl_Finance[Job Number]=C352&amp;"")*(tbl_Finance[Xero Invoice No]&lt;&gt;"")),tbl_Finance[Xero Invoice No]),LOOKUP(2,1/((tbl_Finance[Job Number]=C352&amp;"")*(tbl_Finance[Xero Invoice No]&lt;&gt;"")),tbl_Finance[Xero Invoice No])&amp;" +more"),"")))</f>
        <v/>
      </c>
      <c r="C352" s="24" t="n"/>
      <c r="D352" s="25">
        <f>IF(C352="","",IF(COUNTIF(lst_Jobs,C352&amp;"")&gt;0,"OK","CHECK"))</f>
        <v/>
      </c>
      <c r="E352" s="25">
        <f>IF(C352="","",IFERROR(INDEX(lst_JobName,MATCH(C352&amp;"",lst_Jobs,0)),""))</f>
        <v/>
      </c>
      <c r="F352" s="25">
        <f>IF(C352="","",IFERROR(INDEX(tbl_Finance[Client],MATCH(C352&amp;"",tbl_Finance[Job Number],0)),""))</f>
        <v/>
      </c>
      <c r="G352" s="28">
        <f>IF(C352="","",COUNTIFS(tbl_Finance[Job Number],C352&amp;"",tbl_Finance[Ex GST],"&lt;&gt;"))</f>
        <v/>
      </c>
      <c r="H352" s="27">
        <f>IF(C352="","",SUMIFS(tbl_Finance[Ex GST],tbl_Finance[Job Number],C352&amp;""))</f>
        <v/>
      </c>
      <c r="I352" s="27">
        <f>IF(C352="","",SUMIFS(tbl_Finance[Ex GST],tbl_Finance[Job Number],C352&amp;"",tbl_Finance[Xero Invoice No],"&lt;&gt;"))</f>
        <v/>
      </c>
      <c r="J352" s="27">
        <f>IF(C352="","",H352-I352)</f>
        <v/>
      </c>
      <c r="K352" s="25">
        <f>IF(C352="","",IF(G352=0,"not invoiced yet",SUBSTITUTE(TRIM(IF(COUNTIFS(tbl_Finance[Job Number],C352&amp;"",tbl_Finance[Cost Centre],"ONSITE")&gt;0,"ONSITE ","")&amp;IF(COUNTIFS(tbl_Finance[Job Number],C352&amp;"",tbl_Finance[Cost Centre],"PRODUCTION")&gt;0,"PRODUCTION ","")&amp;IF(COUNTIFS(tbl_Finance[Job Number],C352&amp;"",tbl_Finance[Cost Centre],"VIDEO")&gt;0,"VIDEO ","")&amp;IF(COUNTIFS(tbl_Finance[Job Number],C352&amp;"",tbl_Finance[Cost Centre],"INTEGRATION")&gt;0,"INTEGRATION ","")&amp;IF(COUNTIFS(tbl_Finance[Job Number],C352&amp;"",tbl_Finance[Cost Centre],"CONSULTING")&gt;0,"CONSULTING ","")&amp;IF(COUNTIFS(tbl_Finance[Job Number],C352&amp;"",tbl_Finance[Cost Centre],"CTS")&gt;0,"CTS ",""))," ",", ")))</f>
        <v/>
      </c>
      <c r="L352" s="24" t="n"/>
      <c r="M352" s="24" t="n"/>
      <c r="N352" s="25">
        <f>IF(M352="","",HYPERLINK(IF(LEFT(M352,4)="http",M352,set_QwilrBase&amp;M352),"Open quote"))</f>
        <v/>
      </c>
      <c r="O352" s="69" t="n"/>
      <c r="P352" s="24" t="n"/>
      <c r="Q352" s="24" t="n"/>
    </row>
    <row r="353" ht="15" customHeight="1">
      <c r="A353" s="68">
        <f>IF(C353="","",IFERROR(IF(SUMPRODUCT(MAX((tbl_Finance[Job Number]=C353&amp;"")*(tbl_Finance[Xero Invoice No]&lt;&gt;"")*tbl_Finance[Date]))=0,"",SUMPRODUCT(MAX((tbl_Finance[Job Number]=C353&amp;"")*(tbl_Finance[Xero Invoice No]&lt;&gt;"")*tbl_Finance[Date]))),""))</f>
        <v/>
      </c>
      <c r="B353" s="25">
        <f>IF(C353="","",IF(COUNTIFS(tbl_Finance[Job Number],C353&amp;"",tbl_Finance[Xero Invoice No],"&lt;&gt;")=0,"",IFERROR(IF(COUNTIFS(tbl_Finance[Job Number],C353&amp;"",tbl_Finance[Xero Invoice No],LOOKUP(2,1/((tbl_Finance[Job Number]=C353&amp;"")*(tbl_Finance[Xero Invoice No]&lt;&gt;"")),tbl_Finance[Xero Invoice No]))=COUNTIFS(tbl_Finance[Job Number],C353&amp;"",tbl_Finance[Xero Invoice No],"&lt;&gt;"),LOOKUP(2,1/((tbl_Finance[Job Number]=C353&amp;"")*(tbl_Finance[Xero Invoice No]&lt;&gt;"")),tbl_Finance[Xero Invoice No]),LOOKUP(2,1/((tbl_Finance[Job Number]=C353&amp;"")*(tbl_Finance[Xero Invoice No]&lt;&gt;"")),tbl_Finance[Xero Invoice No])&amp;" +more"),"")))</f>
        <v/>
      </c>
      <c r="C353" s="24" t="n"/>
      <c r="D353" s="25">
        <f>IF(C353="","",IF(COUNTIF(lst_Jobs,C353&amp;"")&gt;0,"OK","CHECK"))</f>
        <v/>
      </c>
      <c r="E353" s="25">
        <f>IF(C353="","",IFERROR(INDEX(lst_JobName,MATCH(C353&amp;"",lst_Jobs,0)),""))</f>
        <v/>
      </c>
      <c r="F353" s="25">
        <f>IF(C353="","",IFERROR(INDEX(tbl_Finance[Client],MATCH(C353&amp;"",tbl_Finance[Job Number],0)),""))</f>
        <v/>
      </c>
      <c r="G353" s="28">
        <f>IF(C353="","",COUNTIFS(tbl_Finance[Job Number],C353&amp;"",tbl_Finance[Ex GST],"&lt;&gt;"))</f>
        <v/>
      </c>
      <c r="H353" s="27">
        <f>IF(C353="","",SUMIFS(tbl_Finance[Ex GST],tbl_Finance[Job Number],C353&amp;""))</f>
        <v/>
      </c>
      <c r="I353" s="27">
        <f>IF(C353="","",SUMIFS(tbl_Finance[Ex GST],tbl_Finance[Job Number],C353&amp;"",tbl_Finance[Xero Invoice No],"&lt;&gt;"))</f>
        <v/>
      </c>
      <c r="J353" s="27">
        <f>IF(C353="","",H353-I353)</f>
        <v/>
      </c>
      <c r="K353" s="25">
        <f>IF(C353="","",IF(G353=0,"not invoiced yet",SUBSTITUTE(TRIM(IF(COUNTIFS(tbl_Finance[Job Number],C353&amp;"",tbl_Finance[Cost Centre],"ONSITE")&gt;0,"ONSITE ","")&amp;IF(COUNTIFS(tbl_Finance[Job Number],C353&amp;"",tbl_Finance[Cost Centre],"PRODUCTION")&gt;0,"PRODUCTION ","")&amp;IF(COUNTIFS(tbl_Finance[Job Number],C353&amp;"",tbl_Finance[Cost Centre],"VIDEO")&gt;0,"VIDEO ","")&amp;IF(COUNTIFS(tbl_Finance[Job Number],C353&amp;"",tbl_Finance[Cost Centre],"INTEGRATION")&gt;0,"INTEGRATION ","")&amp;IF(COUNTIFS(tbl_Finance[Job Number],C353&amp;"",tbl_Finance[Cost Centre],"CONSULTING")&gt;0,"CONSULTING ","")&amp;IF(COUNTIFS(tbl_Finance[Job Number],C353&amp;"",tbl_Finance[Cost Centre],"CTS")&gt;0,"CTS ",""))," ",", ")))</f>
        <v/>
      </c>
      <c r="L353" s="24" t="n"/>
      <c r="M353" s="24" t="n"/>
      <c r="N353" s="25">
        <f>IF(M353="","",HYPERLINK(IF(LEFT(M353,4)="http",M353,set_QwilrBase&amp;M353),"Open quote"))</f>
        <v/>
      </c>
      <c r="O353" s="69" t="n"/>
      <c r="P353" s="24" t="n"/>
      <c r="Q353" s="24" t="n"/>
    </row>
    <row r="354" ht="15" customHeight="1">
      <c r="A354" s="68">
        <f>IF(C354="","",IFERROR(IF(SUMPRODUCT(MAX((tbl_Finance[Job Number]=C354&amp;"")*(tbl_Finance[Xero Invoice No]&lt;&gt;"")*tbl_Finance[Date]))=0,"",SUMPRODUCT(MAX((tbl_Finance[Job Number]=C354&amp;"")*(tbl_Finance[Xero Invoice No]&lt;&gt;"")*tbl_Finance[Date]))),""))</f>
        <v/>
      </c>
      <c r="B354" s="25">
        <f>IF(C354="","",IF(COUNTIFS(tbl_Finance[Job Number],C354&amp;"",tbl_Finance[Xero Invoice No],"&lt;&gt;")=0,"",IFERROR(IF(COUNTIFS(tbl_Finance[Job Number],C354&amp;"",tbl_Finance[Xero Invoice No],LOOKUP(2,1/((tbl_Finance[Job Number]=C354&amp;"")*(tbl_Finance[Xero Invoice No]&lt;&gt;"")),tbl_Finance[Xero Invoice No]))=COUNTIFS(tbl_Finance[Job Number],C354&amp;"",tbl_Finance[Xero Invoice No],"&lt;&gt;"),LOOKUP(2,1/((tbl_Finance[Job Number]=C354&amp;"")*(tbl_Finance[Xero Invoice No]&lt;&gt;"")),tbl_Finance[Xero Invoice No]),LOOKUP(2,1/((tbl_Finance[Job Number]=C354&amp;"")*(tbl_Finance[Xero Invoice No]&lt;&gt;"")),tbl_Finance[Xero Invoice No])&amp;" +more"),"")))</f>
        <v/>
      </c>
      <c r="C354" s="24" t="n"/>
      <c r="D354" s="25">
        <f>IF(C354="","",IF(COUNTIF(lst_Jobs,C354&amp;"")&gt;0,"OK","CHECK"))</f>
        <v/>
      </c>
      <c r="E354" s="25">
        <f>IF(C354="","",IFERROR(INDEX(lst_JobName,MATCH(C354&amp;"",lst_Jobs,0)),""))</f>
        <v/>
      </c>
      <c r="F354" s="25">
        <f>IF(C354="","",IFERROR(INDEX(tbl_Finance[Client],MATCH(C354&amp;"",tbl_Finance[Job Number],0)),""))</f>
        <v/>
      </c>
      <c r="G354" s="28">
        <f>IF(C354="","",COUNTIFS(tbl_Finance[Job Number],C354&amp;"",tbl_Finance[Ex GST],"&lt;&gt;"))</f>
        <v/>
      </c>
      <c r="H354" s="27">
        <f>IF(C354="","",SUMIFS(tbl_Finance[Ex GST],tbl_Finance[Job Number],C354&amp;""))</f>
        <v/>
      </c>
      <c r="I354" s="27">
        <f>IF(C354="","",SUMIFS(tbl_Finance[Ex GST],tbl_Finance[Job Number],C354&amp;"",tbl_Finance[Xero Invoice No],"&lt;&gt;"))</f>
        <v/>
      </c>
      <c r="J354" s="27">
        <f>IF(C354="","",H354-I354)</f>
        <v/>
      </c>
      <c r="K354" s="25">
        <f>IF(C354="","",IF(G354=0,"not invoiced yet",SUBSTITUTE(TRIM(IF(COUNTIFS(tbl_Finance[Job Number],C354&amp;"",tbl_Finance[Cost Centre],"ONSITE")&gt;0,"ONSITE ","")&amp;IF(COUNTIFS(tbl_Finance[Job Number],C354&amp;"",tbl_Finance[Cost Centre],"PRODUCTION")&gt;0,"PRODUCTION ","")&amp;IF(COUNTIFS(tbl_Finance[Job Number],C354&amp;"",tbl_Finance[Cost Centre],"VIDEO")&gt;0,"VIDEO ","")&amp;IF(COUNTIFS(tbl_Finance[Job Number],C354&amp;"",tbl_Finance[Cost Centre],"INTEGRATION")&gt;0,"INTEGRATION ","")&amp;IF(COUNTIFS(tbl_Finance[Job Number],C354&amp;"",tbl_Finance[Cost Centre],"CONSULTING")&gt;0,"CONSULTING ","")&amp;IF(COUNTIFS(tbl_Finance[Job Number],C354&amp;"",tbl_Finance[Cost Centre],"CTS")&gt;0,"CTS ",""))," ",", ")))</f>
        <v/>
      </c>
      <c r="L354" s="24" t="n"/>
      <c r="M354" s="24" t="n"/>
      <c r="N354" s="25">
        <f>IF(M354="","",HYPERLINK(IF(LEFT(M354,4)="http",M354,set_QwilrBase&amp;M354),"Open quote"))</f>
        <v/>
      </c>
      <c r="O354" s="69" t="n"/>
      <c r="P354" s="24" t="n"/>
      <c r="Q354" s="24" t="n"/>
    </row>
    <row r="355" ht="15" customHeight="1">
      <c r="A355" s="68">
        <f>IF(C355="","",IFERROR(IF(SUMPRODUCT(MAX((tbl_Finance[Job Number]=C355&amp;"")*(tbl_Finance[Xero Invoice No]&lt;&gt;"")*tbl_Finance[Date]))=0,"",SUMPRODUCT(MAX((tbl_Finance[Job Number]=C355&amp;"")*(tbl_Finance[Xero Invoice No]&lt;&gt;"")*tbl_Finance[Date]))),""))</f>
        <v/>
      </c>
      <c r="B355" s="25">
        <f>IF(C355="","",IF(COUNTIFS(tbl_Finance[Job Number],C355&amp;"",tbl_Finance[Xero Invoice No],"&lt;&gt;")=0,"",IFERROR(IF(COUNTIFS(tbl_Finance[Job Number],C355&amp;"",tbl_Finance[Xero Invoice No],LOOKUP(2,1/((tbl_Finance[Job Number]=C355&amp;"")*(tbl_Finance[Xero Invoice No]&lt;&gt;"")),tbl_Finance[Xero Invoice No]))=COUNTIFS(tbl_Finance[Job Number],C355&amp;"",tbl_Finance[Xero Invoice No],"&lt;&gt;"),LOOKUP(2,1/((tbl_Finance[Job Number]=C355&amp;"")*(tbl_Finance[Xero Invoice No]&lt;&gt;"")),tbl_Finance[Xero Invoice No]),LOOKUP(2,1/((tbl_Finance[Job Number]=C355&amp;"")*(tbl_Finance[Xero Invoice No]&lt;&gt;"")),tbl_Finance[Xero Invoice No])&amp;" +more"),"")))</f>
        <v/>
      </c>
      <c r="C355" s="24" t="n"/>
      <c r="D355" s="25">
        <f>IF(C355="","",IF(COUNTIF(lst_Jobs,C355&amp;"")&gt;0,"OK","CHECK"))</f>
        <v/>
      </c>
      <c r="E355" s="25">
        <f>IF(C355="","",IFERROR(INDEX(lst_JobName,MATCH(C355&amp;"",lst_Jobs,0)),""))</f>
        <v/>
      </c>
      <c r="F355" s="25">
        <f>IF(C355="","",IFERROR(INDEX(tbl_Finance[Client],MATCH(C355&amp;"",tbl_Finance[Job Number],0)),""))</f>
        <v/>
      </c>
      <c r="G355" s="28">
        <f>IF(C355="","",COUNTIFS(tbl_Finance[Job Number],C355&amp;"",tbl_Finance[Ex GST],"&lt;&gt;"))</f>
        <v/>
      </c>
      <c r="H355" s="27">
        <f>IF(C355="","",SUMIFS(tbl_Finance[Ex GST],tbl_Finance[Job Number],C355&amp;""))</f>
        <v/>
      </c>
      <c r="I355" s="27">
        <f>IF(C355="","",SUMIFS(tbl_Finance[Ex GST],tbl_Finance[Job Number],C355&amp;"",tbl_Finance[Xero Invoice No],"&lt;&gt;"))</f>
        <v/>
      </c>
      <c r="J355" s="27">
        <f>IF(C355="","",H355-I355)</f>
        <v/>
      </c>
      <c r="K355" s="25">
        <f>IF(C355="","",IF(G355=0,"not invoiced yet",SUBSTITUTE(TRIM(IF(COUNTIFS(tbl_Finance[Job Number],C355&amp;"",tbl_Finance[Cost Centre],"ONSITE")&gt;0,"ONSITE ","")&amp;IF(COUNTIFS(tbl_Finance[Job Number],C355&amp;"",tbl_Finance[Cost Centre],"PRODUCTION")&gt;0,"PRODUCTION ","")&amp;IF(COUNTIFS(tbl_Finance[Job Number],C355&amp;"",tbl_Finance[Cost Centre],"VIDEO")&gt;0,"VIDEO ","")&amp;IF(COUNTIFS(tbl_Finance[Job Number],C355&amp;"",tbl_Finance[Cost Centre],"INTEGRATION")&gt;0,"INTEGRATION ","")&amp;IF(COUNTIFS(tbl_Finance[Job Number],C355&amp;"",tbl_Finance[Cost Centre],"CONSULTING")&gt;0,"CONSULTING ","")&amp;IF(COUNTIFS(tbl_Finance[Job Number],C355&amp;"",tbl_Finance[Cost Centre],"CTS")&gt;0,"CTS ",""))," ",", ")))</f>
        <v/>
      </c>
      <c r="L355" s="24" t="n"/>
      <c r="M355" s="24" t="n"/>
      <c r="N355" s="25">
        <f>IF(M355="","",HYPERLINK(IF(LEFT(M355,4)="http",M355,set_QwilrBase&amp;M355),"Open quote"))</f>
        <v/>
      </c>
      <c r="O355" s="69" t="n"/>
      <c r="P355" s="24" t="n"/>
      <c r="Q355" s="24" t="n"/>
    </row>
    <row r="356" ht="15" customHeight="1">
      <c r="A356" s="68">
        <f>IF(C356="","",IFERROR(IF(SUMPRODUCT(MAX((tbl_Finance[Job Number]=C356&amp;"")*(tbl_Finance[Xero Invoice No]&lt;&gt;"")*tbl_Finance[Date]))=0,"",SUMPRODUCT(MAX((tbl_Finance[Job Number]=C356&amp;"")*(tbl_Finance[Xero Invoice No]&lt;&gt;"")*tbl_Finance[Date]))),""))</f>
        <v/>
      </c>
      <c r="B356" s="25">
        <f>IF(C356="","",IF(COUNTIFS(tbl_Finance[Job Number],C356&amp;"",tbl_Finance[Xero Invoice No],"&lt;&gt;")=0,"",IFERROR(IF(COUNTIFS(tbl_Finance[Job Number],C356&amp;"",tbl_Finance[Xero Invoice No],LOOKUP(2,1/((tbl_Finance[Job Number]=C356&amp;"")*(tbl_Finance[Xero Invoice No]&lt;&gt;"")),tbl_Finance[Xero Invoice No]))=COUNTIFS(tbl_Finance[Job Number],C356&amp;"",tbl_Finance[Xero Invoice No],"&lt;&gt;"),LOOKUP(2,1/((tbl_Finance[Job Number]=C356&amp;"")*(tbl_Finance[Xero Invoice No]&lt;&gt;"")),tbl_Finance[Xero Invoice No]),LOOKUP(2,1/((tbl_Finance[Job Number]=C356&amp;"")*(tbl_Finance[Xero Invoice No]&lt;&gt;"")),tbl_Finance[Xero Invoice No])&amp;" +more"),"")))</f>
        <v/>
      </c>
      <c r="C356" s="24" t="n"/>
      <c r="D356" s="25">
        <f>IF(C356="","",IF(COUNTIF(lst_Jobs,C356&amp;"")&gt;0,"OK","CHECK"))</f>
        <v/>
      </c>
      <c r="E356" s="25">
        <f>IF(C356="","",IFERROR(INDEX(lst_JobName,MATCH(C356&amp;"",lst_Jobs,0)),""))</f>
        <v/>
      </c>
      <c r="F356" s="25">
        <f>IF(C356="","",IFERROR(INDEX(tbl_Finance[Client],MATCH(C356&amp;"",tbl_Finance[Job Number],0)),""))</f>
        <v/>
      </c>
      <c r="G356" s="28">
        <f>IF(C356="","",COUNTIFS(tbl_Finance[Job Number],C356&amp;"",tbl_Finance[Ex GST],"&lt;&gt;"))</f>
        <v/>
      </c>
      <c r="H356" s="27">
        <f>IF(C356="","",SUMIFS(tbl_Finance[Ex GST],tbl_Finance[Job Number],C356&amp;""))</f>
        <v/>
      </c>
      <c r="I356" s="27">
        <f>IF(C356="","",SUMIFS(tbl_Finance[Ex GST],tbl_Finance[Job Number],C356&amp;"",tbl_Finance[Xero Invoice No],"&lt;&gt;"))</f>
        <v/>
      </c>
      <c r="J356" s="27">
        <f>IF(C356="","",H356-I356)</f>
        <v/>
      </c>
      <c r="K356" s="25">
        <f>IF(C356="","",IF(G356=0,"not invoiced yet",SUBSTITUTE(TRIM(IF(COUNTIFS(tbl_Finance[Job Number],C356&amp;"",tbl_Finance[Cost Centre],"ONSITE")&gt;0,"ONSITE ","")&amp;IF(COUNTIFS(tbl_Finance[Job Number],C356&amp;"",tbl_Finance[Cost Centre],"PRODUCTION")&gt;0,"PRODUCTION ","")&amp;IF(COUNTIFS(tbl_Finance[Job Number],C356&amp;"",tbl_Finance[Cost Centre],"VIDEO")&gt;0,"VIDEO ","")&amp;IF(COUNTIFS(tbl_Finance[Job Number],C356&amp;"",tbl_Finance[Cost Centre],"INTEGRATION")&gt;0,"INTEGRATION ","")&amp;IF(COUNTIFS(tbl_Finance[Job Number],C356&amp;"",tbl_Finance[Cost Centre],"CONSULTING")&gt;0,"CONSULTING ","")&amp;IF(COUNTIFS(tbl_Finance[Job Number],C356&amp;"",tbl_Finance[Cost Centre],"CTS")&gt;0,"CTS ",""))," ",", ")))</f>
        <v/>
      </c>
      <c r="L356" s="24" t="n"/>
      <c r="M356" s="24" t="n"/>
      <c r="N356" s="25">
        <f>IF(M356="","",HYPERLINK(IF(LEFT(M356,4)="http",M356,set_QwilrBase&amp;M356),"Open quote"))</f>
        <v/>
      </c>
      <c r="O356" s="69" t="n"/>
      <c r="P356" s="24" t="n"/>
      <c r="Q356" s="24" t="n"/>
    </row>
    <row r="357" ht="15" customHeight="1">
      <c r="A357" s="68">
        <f>IF(C357="","",IFERROR(IF(SUMPRODUCT(MAX((tbl_Finance[Job Number]=C357&amp;"")*(tbl_Finance[Xero Invoice No]&lt;&gt;"")*tbl_Finance[Date]))=0,"",SUMPRODUCT(MAX((tbl_Finance[Job Number]=C357&amp;"")*(tbl_Finance[Xero Invoice No]&lt;&gt;"")*tbl_Finance[Date]))),""))</f>
        <v/>
      </c>
      <c r="B357" s="25">
        <f>IF(C357="","",IF(COUNTIFS(tbl_Finance[Job Number],C357&amp;"",tbl_Finance[Xero Invoice No],"&lt;&gt;")=0,"",IFERROR(IF(COUNTIFS(tbl_Finance[Job Number],C357&amp;"",tbl_Finance[Xero Invoice No],LOOKUP(2,1/((tbl_Finance[Job Number]=C357&amp;"")*(tbl_Finance[Xero Invoice No]&lt;&gt;"")),tbl_Finance[Xero Invoice No]))=COUNTIFS(tbl_Finance[Job Number],C357&amp;"",tbl_Finance[Xero Invoice No],"&lt;&gt;"),LOOKUP(2,1/((tbl_Finance[Job Number]=C357&amp;"")*(tbl_Finance[Xero Invoice No]&lt;&gt;"")),tbl_Finance[Xero Invoice No]),LOOKUP(2,1/((tbl_Finance[Job Number]=C357&amp;"")*(tbl_Finance[Xero Invoice No]&lt;&gt;"")),tbl_Finance[Xero Invoice No])&amp;" +more"),"")))</f>
        <v/>
      </c>
      <c r="C357" s="24" t="n"/>
      <c r="D357" s="25">
        <f>IF(C357="","",IF(COUNTIF(lst_Jobs,C357&amp;"")&gt;0,"OK","CHECK"))</f>
        <v/>
      </c>
      <c r="E357" s="25">
        <f>IF(C357="","",IFERROR(INDEX(lst_JobName,MATCH(C357&amp;"",lst_Jobs,0)),""))</f>
        <v/>
      </c>
      <c r="F357" s="25">
        <f>IF(C357="","",IFERROR(INDEX(tbl_Finance[Client],MATCH(C357&amp;"",tbl_Finance[Job Number],0)),""))</f>
        <v/>
      </c>
      <c r="G357" s="28">
        <f>IF(C357="","",COUNTIFS(tbl_Finance[Job Number],C357&amp;"",tbl_Finance[Ex GST],"&lt;&gt;"))</f>
        <v/>
      </c>
      <c r="H357" s="27">
        <f>IF(C357="","",SUMIFS(tbl_Finance[Ex GST],tbl_Finance[Job Number],C357&amp;""))</f>
        <v/>
      </c>
      <c r="I357" s="27">
        <f>IF(C357="","",SUMIFS(tbl_Finance[Ex GST],tbl_Finance[Job Number],C357&amp;"",tbl_Finance[Xero Invoice No],"&lt;&gt;"))</f>
        <v/>
      </c>
      <c r="J357" s="27">
        <f>IF(C357="","",H357-I357)</f>
        <v/>
      </c>
      <c r="K357" s="25">
        <f>IF(C357="","",IF(G357=0,"not invoiced yet",SUBSTITUTE(TRIM(IF(COUNTIFS(tbl_Finance[Job Number],C357&amp;"",tbl_Finance[Cost Centre],"ONSITE")&gt;0,"ONSITE ","")&amp;IF(COUNTIFS(tbl_Finance[Job Number],C357&amp;"",tbl_Finance[Cost Centre],"PRODUCTION")&gt;0,"PRODUCTION ","")&amp;IF(COUNTIFS(tbl_Finance[Job Number],C357&amp;"",tbl_Finance[Cost Centre],"VIDEO")&gt;0,"VIDEO ","")&amp;IF(COUNTIFS(tbl_Finance[Job Number],C357&amp;"",tbl_Finance[Cost Centre],"INTEGRATION")&gt;0,"INTEGRATION ","")&amp;IF(COUNTIFS(tbl_Finance[Job Number],C357&amp;"",tbl_Finance[Cost Centre],"CONSULTING")&gt;0,"CONSULTING ","")&amp;IF(COUNTIFS(tbl_Finance[Job Number],C357&amp;"",tbl_Finance[Cost Centre],"CTS")&gt;0,"CTS ",""))," ",", ")))</f>
        <v/>
      </c>
      <c r="L357" s="24" t="n"/>
      <c r="M357" s="24" t="n"/>
      <c r="N357" s="25">
        <f>IF(M357="","",HYPERLINK(IF(LEFT(M357,4)="http",M357,set_QwilrBase&amp;M357),"Open quote"))</f>
        <v/>
      </c>
      <c r="O357" s="69" t="n"/>
      <c r="P357" s="24" t="n"/>
      <c r="Q357" s="24" t="n"/>
    </row>
    <row r="358" ht="15" customHeight="1">
      <c r="A358" s="68">
        <f>IF(C358="","",IFERROR(IF(SUMPRODUCT(MAX((tbl_Finance[Job Number]=C358&amp;"")*(tbl_Finance[Xero Invoice No]&lt;&gt;"")*tbl_Finance[Date]))=0,"",SUMPRODUCT(MAX((tbl_Finance[Job Number]=C358&amp;"")*(tbl_Finance[Xero Invoice No]&lt;&gt;"")*tbl_Finance[Date]))),""))</f>
        <v/>
      </c>
      <c r="B358" s="25">
        <f>IF(C358="","",IF(COUNTIFS(tbl_Finance[Job Number],C358&amp;"",tbl_Finance[Xero Invoice No],"&lt;&gt;")=0,"",IFERROR(IF(COUNTIFS(tbl_Finance[Job Number],C358&amp;"",tbl_Finance[Xero Invoice No],LOOKUP(2,1/((tbl_Finance[Job Number]=C358&amp;"")*(tbl_Finance[Xero Invoice No]&lt;&gt;"")),tbl_Finance[Xero Invoice No]))=COUNTIFS(tbl_Finance[Job Number],C358&amp;"",tbl_Finance[Xero Invoice No],"&lt;&gt;"),LOOKUP(2,1/((tbl_Finance[Job Number]=C358&amp;"")*(tbl_Finance[Xero Invoice No]&lt;&gt;"")),tbl_Finance[Xero Invoice No]),LOOKUP(2,1/((tbl_Finance[Job Number]=C358&amp;"")*(tbl_Finance[Xero Invoice No]&lt;&gt;"")),tbl_Finance[Xero Invoice No])&amp;" +more"),"")))</f>
        <v/>
      </c>
      <c r="C358" s="24" t="n"/>
      <c r="D358" s="25">
        <f>IF(C358="","",IF(COUNTIF(lst_Jobs,C358&amp;"")&gt;0,"OK","CHECK"))</f>
        <v/>
      </c>
      <c r="E358" s="25">
        <f>IF(C358="","",IFERROR(INDEX(lst_JobName,MATCH(C358&amp;"",lst_Jobs,0)),""))</f>
        <v/>
      </c>
      <c r="F358" s="25">
        <f>IF(C358="","",IFERROR(INDEX(tbl_Finance[Client],MATCH(C358&amp;"",tbl_Finance[Job Number],0)),""))</f>
        <v/>
      </c>
      <c r="G358" s="28">
        <f>IF(C358="","",COUNTIFS(tbl_Finance[Job Number],C358&amp;"",tbl_Finance[Ex GST],"&lt;&gt;"))</f>
        <v/>
      </c>
      <c r="H358" s="27">
        <f>IF(C358="","",SUMIFS(tbl_Finance[Ex GST],tbl_Finance[Job Number],C358&amp;""))</f>
        <v/>
      </c>
      <c r="I358" s="27">
        <f>IF(C358="","",SUMIFS(tbl_Finance[Ex GST],tbl_Finance[Job Number],C358&amp;"",tbl_Finance[Xero Invoice No],"&lt;&gt;"))</f>
        <v/>
      </c>
      <c r="J358" s="27">
        <f>IF(C358="","",H358-I358)</f>
        <v/>
      </c>
      <c r="K358" s="25">
        <f>IF(C358="","",IF(G358=0,"not invoiced yet",SUBSTITUTE(TRIM(IF(COUNTIFS(tbl_Finance[Job Number],C358&amp;"",tbl_Finance[Cost Centre],"ONSITE")&gt;0,"ONSITE ","")&amp;IF(COUNTIFS(tbl_Finance[Job Number],C358&amp;"",tbl_Finance[Cost Centre],"PRODUCTION")&gt;0,"PRODUCTION ","")&amp;IF(COUNTIFS(tbl_Finance[Job Number],C358&amp;"",tbl_Finance[Cost Centre],"VIDEO")&gt;0,"VIDEO ","")&amp;IF(COUNTIFS(tbl_Finance[Job Number],C358&amp;"",tbl_Finance[Cost Centre],"INTEGRATION")&gt;0,"INTEGRATION ","")&amp;IF(COUNTIFS(tbl_Finance[Job Number],C358&amp;"",tbl_Finance[Cost Centre],"CONSULTING")&gt;0,"CONSULTING ","")&amp;IF(COUNTIFS(tbl_Finance[Job Number],C358&amp;"",tbl_Finance[Cost Centre],"CTS")&gt;0,"CTS ",""))," ",", ")))</f>
        <v/>
      </c>
      <c r="L358" s="24" t="n"/>
      <c r="M358" s="24" t="n"/>
      <c r="N358" s="25">
        <f>IF(M358="","",HYPERLINK(IF(LEFT(M358,4)="http",M358,set_QwilrBase&amp;M358),"Open quote"))</f>
        <v/>
      </c>
      <c r="O358" s="69" t="n"/>
      <c r="P358" s="24" t="n"/>
      <c r="Q358" s="24" t="n"/>
    </row>
    <row r="359" ht="15" customHeight="1">
      <c r="A359" s="68">
        <f>IF(C359="","",IFERROR(IF(SUMPRODUCT(MAX((tbl_Finance[Job Number]=C359&amp;"")*(tbl_Finance[Xero Invoice No]&lt;&gt;"")*tbl_Finance[Date]))=0,"",SUMPRODUCT(MAX((tbl_Finance[Job Number]=C359&amp;"")*(tbl_Finance[Xero Invoice No]&lt;&gt;"")*tbl_Finance[Date]))),""))</f>
        <v/>
      </c>
      <c r="B359" s="25">
        <f>IF(C359="","",IF(COUNTIFS(tbl_Finance[Job Number],C359&amp;"",tbl_Finance[Xero Invoice No],"&lt;&gt;")=0,"",IFERROR(IF(COUNTIFS(tbl_Finance[Job Number],C359&amp;"",tbl_Finance[Xero Invoice No],LOOKUP(2,1/((tbl_Finance[Job Number]=C359&amp;"")*(tbl_Finance[Xero Invoice No]&lt;&gt;"")),tbl_Finance[Xero Invoice No]))=COUNTIFS(tbl_Finance[Job Number],C359&amp;"",tbl_Finance[Xero Invoice No],"&lt;&gt;"),LOOKUP(2,1/((tbl_Finance[Job Number]=C359&amp;"")*(tbl_Finance[Xero Invoice No]&lt;&gt;"")),tbl_Finance[Xero Invoice No]),LOOKUP(2,1/((tbl_Finance[Job Number]=C359&amp;"")*(tbl_Finance[Xero Invoice No]&lt;&gt;"")),tbl_Finance[Xero Invoice No])&amp;" +more"),"")))</f>
        <v/>
      </c>
      <c r="C359" s="24" t="n"/>
      <c r="D359" s="25">
        <f>IF(C359="","",IF(COUNTIF(lst_Jobs,C359&amp;"")&gt;0,"OK","CHECK"))</f>
        <v/>
      </c>
      <c r="E359" s="25">
        <f>IF(C359="","",IFERROR(INDEX(lst_JobName,MATCH(C359&amp;"",lst_Jobs,0)),""))</f>
        <v/>
      </c>
      <c r="F359" s="25">
        <f>IF(C359="","",IFERROR(INDEX(tbl_Finance[Client],MATCH(C359&amp;"",tbl_Finance[Job Number],0)),""))</f>
        <v/>
      </c>
      <c r="G359" s="28">
        <f>IF(C359="","",COUNTIFS(tbl_Finance[Job Number],C359&amp;"",tbl_Finance[Ex GST],"&lt;&gt;"))</f>
        <v/>
      </c>
      <c r="H359" s="27">
        <f>IF(C359="","",SUMIFS(tbl_Finance[Ex GST],tbl_Finance[Job Number],C359&amp;""))</f>
        <v/>
      </c>
      <c r="I359" s="27">
        <f>IF(C359="","",SUMIFS(tbl_Finance[Ex GST],tbl_Finance[Job Number],C359&amp;"",tbl_Finance[Xero Invoice No],"&lt;&gt;"))</f>
        <v/>
      </c>
      <c r="J359" s="27">
        <f>IF(C359="","",H359-I359)</f>
        <v/>
      </c>
      <c r="K359" s="25">
        <f>IF(C359="","",IF(G359=0,"not invoiced yet",SUBSTITUTE(TRIM(IF(COUNTIFS(tbl_Finance[Job Number],C359&amp;"",tbl_Finance[Cost Centre],"ONSITE")&gt;0,"ONSITE ","")&amp;IF(COUNTIFS(tbl_Finance[Job Number],C359&amp;"",tbl_Finance[Cost Centre],"PRODUCTION")&gt;0,"PRODUCTION ","")&amp;IF(COUNTIFS(tbl_Finance[Job Number],C359&amp;"",tbl_Finance[Cost Centre],"VIDEO")&gt;0,"VIDEO ","")&amp;IF(COUNTIFS(tbl_Finance[Job Number],C359&amp;"",tbl_Finance[Cost Centre],"INTEGRATION")&gt;0,"INTEGRATION ","")&amp;IF(COUNTIFS(tbl_Finance[Job Number],C359&amp;"",tbl_Finance[Cost Centre],"CONSULTING")&gt;0,"CONSULTING ","")&amp;IF(COUNTIFS(tbl_Finance[Job Number],C359&amp;"",tbl_Finance[Cost Centre],"CTS")&gt;0,"CTS ",""))," ",", ")))</f>
        <v/>
      </c>
      <c r="L359" s="24" t="n"/>
      <c r="M359" s="24" t="n"/>
      <c r="N359" s="25">
        <f>IF(M359="","",HYPERLINK(IF(LEFT(M359,4)="http",M359,set_QwilrBase&amp;M359),"Open quote"))</f>
        <v/>
      </c>
      <c r="O359" s="69" t="n"/>
      <c r="P359" s="24" t="n"/>
      <c r="Q359" s="24" t="n"/>
    </row>
    <row r="360" ht="15" customHeight="1">
      <c r="A360" s="68">
        <f>IF(C360="","",IFERROR(IF(SUMPRODUCT(MAX((tbl_Finance[Job Number]=C360&amp;"")*(tbl_Finance[Xero Invoice No]&lt;&gt;"")*tbl_Finance[Date]))=0,"",SUMPRODUCT(MAX((tbl_Finance[Job Number]=C360&amp;"")*(tbl_Finance[Xero Invoice No]&lt;&gt;"")*tbl_Finance[Date]))),""))</f>
        <v/>
      </c>
      <c r="B360" s="25">
        <f>IF(C360="","",IF(COUNTIFS(tbl_Finance[Job Number],C360&amp;"",tbl_Finance[Xero Invoice No],"&lt;&gt;")=0,"",IFERROR(IF(COUNTIFS(tbl_Finance[Job Number],C360&amp;"",tbl_Finance[Xero Invoice No],LOOKUP(2,1/((tbl_Finance[Job Number]=C360&amp;"")*(tbl_Finance[Xero Invoice No]&lt;&gt;"")),tbl_Finance[Xero Invoice No]))=COUNTIFS(tbl_Finance[Job Number],C360&amp;"",tbl_Finance[Xero Invoice No],"&lt;&gt;"),LOOKUP(2,1/((tbl_Finance[Job Number]=C360&amp;"")*(tbl_Finance[Xero Invoice No]&lt;&gt;"")),tbl_Finance[Xero Invoice No]),LOOKUP(2,1/((tbl_Finance[Job Number]=C360&amp;"")*(tbl_Finance[Xero Invoice No]&lt;&gt;"")),tbl_Finance[Xero Invoice No])&amp;" +more"),"")))</f>
        <v/>
      </c>
      <c r="C360" s="24" t="n"/>
      <c r="D360" s="25">
        <f>IF(C360="","",IF(COUNTIF(lst_Jobs,C360&amp;"")&gt;0,"OK","CHECK"))</f>
        <v/>
      </c>
      <c r="E360" s="25">
        <f>IF(C360="","",IFERROR(INDEX(lst_JobName,MATCH(C360&amp;"",lst_Jobs,0)),""))</f>
        <v/>
      </c>
      <c r="F360" s="25">
        <f>IF(C360="","",IFERROR(INDEX(tbl_Finance[Client],MATCH(C360&amp;"",tbl_Finance[Job Number],0)),""))</f>
        <v/>
      </c>
      <c r="G360" s="28">
        <f>IF(C360="","",COUNTIFS(tbl_Finance[Job Number],C360&amp;"",tbl_Finance[Ex GST],"&lt;&gt;"))</f>
        <v/>
      </c>
      <c r="H360" s="27">
        <f>IF(C360="","",SUMIFS(tbl_Finance[Ex GST],tbl_Finance[Job Number],C360&amp;""))</f>
        <v/>
      </c>
      <c r="I360" s="27">
        <f>IF(C360="","",SUMIFS(tbl_Finance[Ex GST],tbl_Finance[Job Number],C360&amp;"",tbl_Finance[Xero Invoice No],"&lt;&gt;"))</f>
        <v/>
      </c>
      <c r="J360" s="27">
        <f>IF(C360="","",H360-I360)</f>
        <v/>
      </c>
      <c r="K360" s="25">
        <f>IF(C360="","",IF(G360=0,"not invoiced yet",SUBSTITUTE(TRIM(IF(COUNTIFS(tbl_Finance[Job Number],C360&amp;"",tbl_Finance[Cost Centre],"ONSITE")&gt;0,"ONSITE ","")&amp;IF(COUNTIFS(tbl_Finance[Job Number],C360&amp;"",tbl_Finance[Cost Centre],"PRODUCTION")&gt;0,"PRODUCTION ","")&amp;IF(COUNTIFS(tbl_Finance[Job Number],C360&amp;"",tbl_Finance[Cost Centre],"VIDEO")&gt;0,"VIDEO ","")&amp;IF(COUNTIFS(tbl_Finance[Job Number],C360&amp;"",tbl_Finance[Cost Centre],"INTEGRATION")&gt;0,"INTEGRATION ","")&amp;IF(COUNTIFS(tbl_Finance[Job Number],C360&amp;"",tbl_Finance[Cost Centre],"CONSULTING")&gt;0,"CONSULTING ","")&amp;IF(COUNTIFS(tbl_Finance[Job Number],C360&amp;"",tbl_Finance[Cost Centre],"CTS")&gt;0,"CTS ",""))," ",", ")))</f>
        <v/>
      </c>
      <c r="L360" s="24" t="n"/>
      <c r="M360" s="24" t="n"/>
      <c r="N360" s="25">
        <f>IF(M360="","",HYPERLINK(IF(LEFT(M360,4)="http",M360,set_QwilrBase&amp;M360),"Open quote"))</f>
        <v/>
      </c>
      <c r="O360" s="69" t="n"/>
      <c r="P360" s="24" t="n"/>
      <c r="Q360" s="24" t="n"/>
    </row>
    <row r="361" ht="15" customHeight="1">
      <c r="A361" s="68">
        <f>IF(C361="","",IFERROR(IF(SUMPRODUCT(MAX((tbl_Finance[Job Number]=C361&amp;"")*(tbl_Finance[Xero Invoice No]&lt;&gt;"")*tbl_Finance[Date]))=0,"",SUMPRODUCT(MAX((tbl_Finance[Job Number]=C361&amp;"")*(tbl_Finance[Xero Invoice No]&lt;&gt;"")*tbl_Finance[Date]))),""))</f>
        <v/>
      </c>
      <c r="B361" s="25">
        <f>IF(C361="","",IF(COUNTIFS(tbl_Finance[Job Number],C361&amp;"",tbl_Finance[Xero Invoice No],"&lt;&gt;")=0,"",IFERROR(IF(COUNTIFS(tbl_Finance[Job Number],C361&amp;"",tbl_Finance[Xero Invoice No],LOOKUP(2,1/((tbl_Finance[Job Number]=C361&amp;"")*(tbl_Finance[Xero Invoice No]&lt;&gt;"")),tbl_Finance[Xero Invoice No]))=COUNTIFS(tbl_Finance[Job Number],C361&amp;"",tbl_Finance[Xero Invoice No],"&lt;&gt;"),LOOKUP(2,1/((tbl_Finance[Job Number]=C361&amp;"")*(tbl_Finance[Xero Invoice No]&lt;&gt;"")),tbl_Finance[Xero Invoice No]),LOOKUP(2,1/((tbl_Finance[Job Number]=C361&amp;"")*(tbl_Finance[Xero Invoice No]&lt;&gt;"")),tbl_Finance[Xero Invoice No])&amp;" +more"),"")))</f>
        <v/>
      </c>
      <c r="C361" s="24" t="n"/>
      <c r="D361" s="25">
        <f>IF(C361="","",IF(COUNTIF(lst_Jobs,C361&amp;"")&gt;0,"OK","CHECK"))</f>
        <v/>
      </c>
      <c r="E361" s="25">
        <f>IF(C361="","",IFERROR(INDEX(lst_JobName,MATCH(C361&amp;"",lst_Jobs,0)),""))</f>
        <v/>
      </c>
      <c r="F361" s="25">
        <f>IF(C361="","",IFERROR(INDEX(tbl_Finance[Client],MATCH(C361&amp;"",tbl_Finance[Job Number],0)),""))</f>
        <v/>
      </c>
      <c r="G361" s="28">
        <f>IF(C361="","",COUNTIFS(tbl_Finance[Job Number],C361&amp;"",tbl_Finance[Ex GST],"&lt;&gt;"))</f>
        <v/>
      </c>
      <c r="H361" s="27">
        <f>IF(C361="","",SUMIFS(tbl_Finance[Ex GST],tbl_Finance[Job Number],C361&amp;""))</f>
        <v/>
      </c>
      <c r="I361" s="27">
        <f>IF(C361="","",SUMIFS(tbl_Finance[Ex GST],tbl_Finance[Job Number],C361&amp;"",tbl_Finance[Xero Invoice No],"&lt;&gt;"))</f>
        <v/>
      </c>
      <c r="J361" s="27">
        <f>IF(C361="","",H361-I361)</f>
        <v/>
      </c>
      <c r="K361" s="25">
        <f>IF(C361="","",IF(G361=0,"not invoiced yet",SUBSTITUTE(TRIM(IF(COUNTIFS(tbl_Finance[Job Number],C361&amp;"",tbl_Finance[Cost Centre],"ONSITE")&gt;0,"ONSITE ","")&amp;IF(COUNTIFS(tbl_Finance[Job Number],C361&amp;"",tbl_Finance[Cost Centre],"PRODUCTION")&gt;0,"PRODUCTION ","")&amp;IF(COUNTIFS(tbl_Finance[Job Number],C361&amp;"",tbl_Finance[Cost Centre],"VIDEO")&gt;0,"VIDEO ","")&amp;IF(COUNTIFS(tbl_Finance[Job Number],C361&amp;"",tbl_Finance[Cost Centre],"INTEGRATION")&gt;0,"INTEGRATION ","")&amp;IF(COUNTIFS(tbl_Finance[Job Number],C361&amp;"",tbl_Finance[Cost Centre],"CONSULTING")&gt;0,"CONSULTING ","")&amp;IF(COUNTIFS(tbl_Finance[Job Number],C361&amp;"",tbl_Finance[Cost Centre],"CTS")&gt;0,"CTS ",""))," ",", ")))</f>
        <v/>
      </c>
      <c r="L361" s="24" t="n"/>
      <c r="M361" s="24" t="n"/>
      <c r="N361" s="25">
        <f>IF(M361="","",HYPERLINK(IF(LEFT(M361,4)="http",M361,set_QwilrBase&amp;M361),"Open quote"))</f>
        <v/>
      </c>
      <c r="O361" s="69" t="n"/>
      <c r="P361" s="24" t="n"/>
      <c r="Q361" s="24" t="n"/>
    </row>
    <row r="362" ht="15" customHeight="1">
      <c r="A362" s="68">
        <f>IF(C362="","",IFERROR(IF(SUMPRODUCT(MAX((tbl_Finance[Job Number]=C362&amp;"")*(tbl_Finance[Xero Invoice No]&lt;&gt;"")*tbl_Finance[Date]))=0,"",SUMPRODUCT(MAX((tbl_Finance[Job Number]=C362&amp;"")*(tbl_Finance[Xero Invoice No]&lt;&gt;"")*tbl_Finance[Date]))),""))</f>
        <v/>
      </c>
      <c r="B362" s="25">
        <f>IF(C362="","",IF(COUNTIFS(tbl_Finance[Job Number],C362&amp;"",tbl_Finance[Xero Invoice No],"&lt;&gt;")=0,"",IFERROR(IF(COUNTIFS(tbl_Finance[Job Number],C362&amp;"",tbl_Finance[Xero Invoice No],LOOKUP(2,1/((tbl_Finance[Job Number]=C362&amp;"")*(tbl_Finance[Xero Invoice No]&lt;&gt;"")),tbl_Finance[Xero Invoice No]))=COUNTIFS(tbl_Finance[Job Number],C362&amp;"",tbl_Finance[Xero Invoice No],"&lt;&gt;"),LOOKUP(2,1/((tbl_Finance[Job Number]=C362&amp;"")*(tbl_Finance[Xero Invoice No]&lt;&gt;"")),tbl_Finance[Xero Invoice No]),LOOKUP(2,1/((tbl_Finance[Job Number]=C362&amp;"")*(tbl_Finance[Xero Invoice No]&lt;&gt;"")),tbl_Finance[Xero Invoice No])&amp;" +more"),"")))</f>
        <v/>
      </c>
      <c r="C362" s="24" t="n"/>
      <c r="D362" s="25">
        <f>IF(C362="","",IF(COUNTIF(lst_Jobs,C362&amp;"")&gt;0,"OK","CHECK"))</f>
        <v/>
      </c>
      <c r="E362" s="25">
        <f>IF(C362="","",IFERROR(INDEX(lst_JobName,MATCH(C362&amp;"",lst_Jobs,0)),""))</f>
        <v/>
      </c>
      <c r="F362" s="25">
        <f>IF(C362="","",IFERROR(INDEX(tbl_Finance[Client],MATCH(C362&amp;"",tbl_Finance[Job Number],0)),""))</f>
        <v/>
      </c>
      <c r="G362" s="28">
        <f>IF(C362="","",COUNTIFS(tbl_Finance[Job Number],C362&amp;"",tbl_Finance[Ex GST],"&lt;&gt;"))</f>
        <v/>
      </c>
      <c r="H362" s="27">
        <f>IF(C362="","",SUMIFS(tbl_Finance[Ex GST],tbl_Finance[Job Number],C362&amp;""))</f>
        <v/>
      </c>
      <c r="I362" s="27">
        <f>IF(C362="","",SUMIFS(tbl_Finance[Ex GST],tbl_Finance[Job Number],C362&amp;"",tbl_Finance[Xero Invoice No],"&lt;&gt;"))</f>
        <v/>
      </c>
      <c r="J362" s="27">
        <f>IF(C362="","",H362-I362)</f>
        <v/>
      </c>
      <c r="K362" s="25">
        <f>IF(C362="","",IF(G362=0,"not invoiced yet",SUBSTITUTE(TRIM(IF(COUNTIFS(tbl_Finance[Job Number],C362&amp;"",tbl_Finance[Cost Centre],"ONSITE")&gt;0,"ONSITE ","")&amp;IF(COUNTIFS(tbl_Finance[Job Number],C362&amp;"",tbl_Finance[Cost Centre],"PRODUCTION")&gt;0,"PRODUCTION ","")&amp;IF(COUNTIFS(tbl_Finance[Job Number],C362&amp;"",tbl_Finance[Cost Centre],"VIDEO")&gt;0,"VIDEO ","")&amp;IF(COUNTIFS(tbl_Finance[Job Number],C362&amp;"",tbl_Finance[Cost Centre],"INTEGRATION")&gt;0,"INTEGRATION ","")&amp;IF(COUNTIFS(tbl_Finance[Job Number],C362&amp;"",tbl_Finance[Cost Centre],"CONSULTING")&gt;0,"CONSULTING ","")&amp;IF(COUNTIFS(tbl_Finance[Job Number],C362&amp;"",tbl_Finance[Cost Centre],"CTS")&gt;0,"CTS ",""))," ",", ")))</f>
        <v/>
      </c>
      <c r="L362" s="24" t="n"/>
      <c r="M362" s="24" t="n"/>
      <c r="N362" s="25">
        <f>IF(M362="","",HYPERLINK(IF(LEFT(M362,4)="http",M362,set_QwilrBase&amp;M362),"Open quote"))</f>
        <v/>
      </c>
      <c r="O362" s="69" t="n"/>
      <c r="P362" s="24" t="n"/>
      <c r="Q362" s="24" t="n"/>
    </row>
    <row r="363" ht="15" customHeight="1">
      <c r="A363" s="68">
        <f>IF(C363="","",IFERROR(IF(SUMPRODUCT(MAX((tbl_Finance[Job Number]=C363&amp;"")*(tbl_Finance[Xero Invoice No]&lt;&gt;"")*tbl_Finance[Date]))=0,"",SUMPRODUCT(MAX((tbl_Finance[Job Number]=C363&amp;"")*(tbl_Finance[Xero Invoice No]&lt;&gt;"")*tbl_Finance[Date]))),""))</f>
        <v/>
      </c>
      <c r="B363" s="25">
        <f>IF(C363="","",IF(COUNTIFS(tbl_Finance[Job Number],C363&amp;"",tbl_Finance[Xero Invoice No],"&lt;&gt;")=0,"",IFERROR(IF(COUNTIFS(tbl_Finance[Job Number],C363&amp;"",tbl_Finance[Xero Invoice No],LOOKUP(2,1/((tbl_Finance[Job Number]=C363&amp;"")*(tbl_Finance[Xero Invoice No]&lt;&gt;"")),tbl_Finance[Xero Invoice No]))=COUNTIFS(tbl_Finance[Job Number],C363&amp;"",tbl_Finance[Xero Invoice No],"&lt;&gt;"),LOOKUP(2,1/((tbl_Finance[Job Number]=C363&amp;"")*(tbl_Finance[Xero Invoice No]&lt;&gt;"")),tbl_Finance[Xero Invoice No]),LOOKUP(2,1/((tbl_Finance[Job Number]=C363&amp;"")*(tbl_Finance[Xero Invoice No]&lt;&gt;"")),tbl_Finance[Xero Invoice No])&amp;" +more"),"")))</f>
        <v/>
      </c>
      <c r="C363" s="24" t="n"/>
      <c r="D363" s="25">
        <f>IF(C363="","",IF(COUNTIF(lst_Jobs,C363&amp;"")&gt;0,"OK","CHECK"))</f>
        <v/>
      </c>
      <c r="E363" s="25">
        <f>IF(C363="","",IFERROR(INDEX(lst_JobName,MATCH(C363&amp;"",lst_Jobs,0)),""))</f>
        <v/>
      </c>
      <c r="F363" s="25">
        <f>IF(C363="","",IFERROR(INDEX(tbl_Finance[Client],MATCH(C363&amp;"",tbl_Finance[Job Number],0)),""))</f>
        <v/>
      </c>
      <c r="G363" s="28">
        <f>IF(C363="","",COUNTIFS(tbl_Finance[Job Number],C363&amp;"",tbl_Finance[Ex GST],"&lt;&gt;"))</f>
        <v/>
      </c>
      <c r="H363" s="27">
        <f>IF(C363="","",SUMIFS(tbl_Finance[Ex GST],tbl_Finance[Job Number],C363&amp;""))</f>
        <v/>
      </c>
      <c r="I363" s="27">
        <f>IF(C363="","",SUMIFS(tbl_Finance[Ex GST],tbl_Finance[Job Number],C363&amp;"",tbl_Finance[Xero Invoice No],"&lt;&gt;"))</f>
        <v/>
      </c>
      <c r="J363" s="27">
        <f>IF(C363="","",H363-I363)</f>
        <v/>
      </c>
      <c r="K363" s="25">
        <f>IF(C363="","",IF(G363=0,"not invoiced yet",SUBSTITUTE(TRIM(IF(COUNTIFS(tbl_Finance[Job Number],C363&amp;"",tbl_Finance[Cost Centre],"ONSITE")&gt;0,"ONSITE ","")&amp;IF(COUNTIFS(tbl_Finance[Job Number],C363&amp;"",tbl_Finance[Cost Centre],"PRODUCTION")&gt;0,"PRODUCTION ","")&amp;IF(COUNTIFS(tbl_Finance[Job Number],C363&amp;"",tbl_Finance[Cost Centre],"VIDEO")&gt;0,"VIDEO ","")&amp;IF(COUNTIFS(tbl_Finance[Job Number],C363&amp;"",tbl_Finance[Cost Centre],"INTEGRATION")&gt;0,"INTEGRATION ","")&amp;IF(COUNTIFS(tbl_Finance[Job Number],C363&amp;"",tbl_Finance[Cost Centre],"CONSULTING")&gt;0,"CONSULTING ","")&amp;IF(COUNTIFS(tbl_Finance[Job Number],C363&amp;"",tbl_Finance[Cost Centre],"CTS")&gt;0,"CTS ",""))," ",", ")))</f>
        <v/>
      </c>
      <c r="L363" s="24" t="n"/>
      <c r="M363" s="24" t="n"/>
      <c r="N363" s="25">
        <f>IF(M363="","",HYPERLINK(IF(LEFT(M363,4)="http",M363,set_QwilrBase&amp;M363),"Open quote"))</f>
        <v/>
      </c>
      <c r="O363" s="69" t="n"/>
      <c r="P363" s="24" t="n"/>
      <c r="Q363" s="24" t="n"/>
    </row>
    <row r="364" ht="15" customHeight="1">
      <c r="A364" s="68">
        <f>IF(C364="","",IFERROR(IF(SUMPRODUCT(MAX((tbl_Finance[Job Number]=C364&amp;"")*(tbl_Finance[Xero Invoice No]&lt;&gt;"")*tbl_Finance[Date]))=0,"",SUMPRODUCT(MAX((tbl_Finance[Job Number]=C364&amp;"")*(tbl_Finance[Xero Invoice No]&lt;&gt;"")*tbl_Finance[Date]))),""))</f>
        <v/>
      </c>
      <c r="B364" s="25">
        <f>IF(C364="","",IF(COUNTIFS(tbl_Finance[Job Number],C364&amp;"",tbl_Finance[Xero Invoice No],"&lt;&gt;")=0,"",IFERROR(IF(COUNTIFS(tbl_Finance[Job Number],C364&amp;"",tbl_Finance[Xero Invoice No],LOOKUP(2,1/((tbl_Finance[Job Number]=C364&amp;"")*(tbl_Finance[Xero Invoice No]&lt;&gt;"")),tbl_Finance[Xero Invoice No]))=COUNTIFS(tbl_Finance[Job Number],C364&amp;"",tbl_Finance[Xero Invoice No],"&lt;&gt;"),LOOKUP(2,1/((tbl_Finance[Job Number]=C364&amp;"")*(tbl_Finance[Xero Invoice No]&lt;&gt;"")),tbl_Finance[Xero Invoice No]),LOOKUP(2,1/((tbl_Finance[Job Number]=C364&amp;"")*(tbl_Finance[Xero Invoice No]&lt;&gt;"")),tbl_Finance[Xero Invoice No])&amp;" +more"),"")))</f>
        <v/>
      </c>
      <c r="C364" s="24" t="n"/>
      <c r="D364" s="25">
        <f>IF(C364="","",IF(COUNTIF(lst_Jobs,C364&amp;"")&gt;0,"OK","CHECK"))</f>
        <v/>
      </c>
      <c r="E364" s="25">
        <f>IF(C364="","",IFERROR(INDEX(lst_JobName,MATCH(C364&amp;"",lst_Jobs,0)),""))</f>
        <v/>
      </c>
      <c r="F364" s="25">
        <f>IF(C364="","",IFERROR(INDEX(tbl_Finance[Client],MATCH(C364&amp;"",tbl_Finance[Job Number],0)),""))</f>
        <v/>
      </c>
      <c r="G364" s="28">
        <f>IF(C364="","",COUNTIFS(tbl_Finance[Job Number],C364&amp;"",tbl_Finance[Ex GST],"&lt;&gt;"))</f>
        <v/>
      </c>
      <c r="H364" s="27">
        <f>IF(C364="","",SUMIFS(tbl_Finance[Ex GST],tbl_Finance[Job Number],C364&amp;""))</f>
        <v/>
      </c>
      <c r="I364" s="27">
        <f>IF(C364="","",SUMIFS(tbl_Finance[Ex GST],tbl_Finance[Job Number],C364&amp;"",tbl_Finance[Xero Invoice No],"&lt;&gt;"))</f>
        <v/>
      </c>
      <c r="J364" s="27">
        <f>IF(C364="","",H364-I364)</f>
        <v/>
      </c>
      <c r="K364" s="25">
        <f>IF(C364="","",IF(G364=0,"not invoiced yet",SUBSTITUTE(TRIM(IF(COUNTIFS(tbl_Finance[Job Number],C364&amp;"",tbl_Finance[Cost Centre],"ONSITE")&gt;0,"ONSITE ","")&amp;IF(COUNTIFS(tbl_Finance[Job Number],C364&amp;"",tbl_Finance[Cost Centre],"PRODUCTION")&gt;0,"PRODUCTION ","")&amp;IF(COUNTIFS(tbl_Finance[Job Number],C364&amp;"",tbl_Finance[Cost Centre],"VIDEO")&gt;0,"VIDEO ","")&amp;IF(COUNTIFS(tbl_Finance[Job Number],C364&amp;"",tbl_Finance[Cost Centre],"INTEGRATION")&gt;0,"INTEGRATION ","")&amp;IF(COUNTIFS(tbl_Finance[Job Number],C364&amp;"",tbl_Finance[Cost Centre],"CONSULTING")&gt;0,"CONSULTING ","")&amp;IF(COUNTIFS(tbl_Finance[Job Number],C364&amp;"",tbl_Finance[Cost Centre],"CTS")&gt;0,"CTS ",""))," ",", ")))</f>
        <v/>
      </c>
      <c r="L364" s="24" t="n"/>
      <c r="M364" s="24" t="n"/>
      <c r="N364" s="25">
        <f>IF(M364="","",HYPERLINK(IF(LEFT(M364,4)="http",M364,set_QwilrBase&amp;M364),"Open quote"))</f>
        <v/>
      </c>
      <c r="O364" s="69" t="n"/>
      <c r="P364" s="24" t="n"/>
      <c r="Q364" s="24" t="n"/>
    </row>
    <row r="365" ht="15" customHeight="1">
      <c r="A365" s="68">
        <f>IF(C365="","",IFERROR(IF(SUMPRODUCT(MAX((tbl_Finance[Job Number]=C365&amp;"")*(tbl_Finance[Xero Invoice No]&lt;&gt;"")*tbl_Finance[Date]))=0,"",SUMPRODUCT(MAX((tbl_Finance[Job Number]=C365&amp;"")*(tbl_Finance[Xero Invoice No]&lt;&gt;"")*tbl_Finance[Date]))),""))</f>
        <v/>
      </c>
      <c r="B365" s="25">
        <f>IF(C365="","",IF(COUNTIFS(tbl_Finance[Job Number],C365&amp;"",tbl_Finance[Xero Invoice No],"&lt;&gt;")=0,"",IFERROR(IF(COUNTIFS(tbl_Finance[Job Number],C365&amp;"",tbl_Finance[Xero Invoice No],LOOKUP(2,1/((tbl_Finance[Job Number]=C365&amp;"")*(tbl_Finance[Xero Invoice No]&lt;&gt;"")),tbl_Finance[Xero Invoice No]))=COUNTIFS(tbl_Finance[Job Number],C365&amp;"",tbl_Finance[Xero Invoice No],"&lt;&gt;"),LOOKUP(2,1/((tbl_Finance[Job Number]=C365&amp;"")*(tbl_Finance[Xero Invoice No]&lt;&gt;"")),tbl_Finance[Xero Invoice No]),LOOKUP(2,1/((tbl_Finance[Job Number]=C365&amp;"")*(tbl_Finance[Xero Invoice No]&lt;&gt;"")),tbl_Finance[Xero Invoice No])&amp;" +more"),"")))</f>
        <v/>
      </c>
      <c r="C365" s="24" t="n"/>
      <c r="D365" s="25">
        <f>IF(C365="","",IF(COUNTIF(lst_Jobs,C365&amp;"")&gt;0,"OK","CHECK"))</f>
        <v/>
      </c>
      <c r="E365" s="25">
        <f>IF(C365="","",IFERROR(INDEX(lst_JobName,MATCH(C365&amp;"",lst_Jobs,0)),""))</f>
        <v/>
      </c>
      <c r="F365" s="25">
        <f>IF(C365="","",IFERROR(INDEX(tbl_Finance[Client],MATCH(C365&amp;"",tbl_Finance[Job Number],0)),""))</f>
        <v/>
      </c>
      <c r="G365" s="28">
        <f>IF(C365="","",COUNTIFS(tbl_Finance[Job Number],C365&amp;"",tbl_Finance[Ex GST],"&lt;&gt;"))</f>
        <v/>
      </c>
      <c r="H365" s="27">
        <f>IF(C365="","",SUMIFS(tbl_Finance[Ex GST],tbl_Finance[Job Number],C365&amp;""))</f>
        <v/>
      </c>
      <c r="I365" s="27">
        <f>IF(C365="","",SUMIFS(tbl_Finance[Ex GST],tbl_Finance[Job Number],C365&amp;"",tbl_Finance[Xero Invoice No],"&lt;&gt;"))</f>
        <v/>
      </c>
      <c r="J365" s="27">
        <f>IF(C365="","",H365-I365)</f>
        <v/>
      </c>
      <c r="K365" s="25">
        <f>IF(C365="","",IF(G365=0,"not invoiced yet",SUBSTITUTE(TRIM(IF(COUNTIFS(tbl_Finance[Job Number],C365&amp;"",tbl_Finance[Cost Centre],"ONSITE")&gt;0,"ONSITE ","")&amp;IF(COUNTIFS(tbl_Finance[Job Number],C365&amp;"",tbl_Finance[Cost Centre],"PRODUCTION")&gt;0,"PRODUCTION ","")&amp;IF(COUNTIFS(tbl_Finance[Job Number],C365&amp;"",tbl_Finance[Cost Centre],"VIDEO")&gt;0,"VIDEO ","")&amp;IF(COUNTIFS(tbl_Finance[Job Number],C365&amp;"",tbl_Finance[Cost Centre],"INTEGRATION")&gt;0,"INTEGRATION ","")&amp;IF(COUNTIFS(tbl_Finance[Job Number],C365&amp;"",tbl_Finance[Cost Centre],"CONSULTING")&gt;0,"CONSULTING ","")&amp;IF(COUNTIFS(tbl_Finance[Job Number],C365&amp;"",tbl_Finance[Cost Centre],"CTS")&gt;0,"CTS ",""))," ",", ")))</f>
        <v/>
      </c>
      <c r="L365" s="24" t="n"/>
      <c r="M365" s="24" t="n"/>
      <c r="N365" s="25">
        <f>IF(M365="","",HYPERLINK(IF(LEFT(M365,4)="http",M365,set_QwilrBase&amp;M365),"Open quote"))</f>
        <v/>
      </c>
      <c r="O365" s="69" t="n"/>
      <c r="P365" s="24" t="n"/>
      <c r="Q365" s="24" t="n"/>
    </row>
    <row r="366" ht="15" customHeight="1">
      <c r="A366" s="68">
        <f>IF(C366="","",IFERROR(IF(SUMPRODUCT(MAX((tbl_Finance[Job Number]=C366&amp;"")*(tbl_Finance[Xero Invoice No]&lt;&gt;"")*tbl_Finance[Date]))=0,"",SUMPRODUCT(MAX((tbl_Finance[Job Number]=C366&amp;"")*(tbl_Finance[Xero Invoice No]&lt;&gt;"")*tbl_Finance[Date]))),""))</f>
        <v/>
      </c>
      <c r="B366" s="25">
        <f>IF(C366="","",IF(COUNTIFS(tbl_Finance[Job Number],C366&amp;"",tbl_Finance[Xero Invoice No],"&lt;&gt;")=0,"",IFERROR(IF(COUNTIFS(tbl_Finance[Job Number],C366&amp;"",tbl_Finance[Xero Invoice No],LOOKUP(2,1/((tbl_Finance[Job Number]=C366&amp;"")*(tbl_Finance[Xero Invoice No]&lt;&gt;"")),tbl_Finance[Xero Invoice No]))=COUNTIFS(tbl_Finance[Job Number],C366&amp;"",tbl_Finance[Xero Invoice No],"&lt;&gt;"),LOOKUP(2,1/((tbl_Finance[Job Number]=C366&amp;"")*(tbl_Finance[Xero Invoice No]&lt;&gt;"")),tbl_Finance[Xero Invoice No]),LOOKUP(2,1/((tbl_Finance[Job Number]=C366&amp;"")*(tbl_Finance[Xero Invoice No]&lt;&gt;"")),tbl_Finance[Xero Invoice No])&amp;" +more"),"")))</f>
        <v/>
      </c>
      <c r="C366" s="24" t="n"/>
      <c r="D366" s="25">
        <f>IF(C366="","",IF(COUNTIF(lst_Jobs,C366&amp;"")&gt;0,"OK","CHECK"))</f>
        <v/>
      </c>
      <c r="E366" s="25">
        <f>IF(C366="","",IFERROR(INDEX(lst_JobName,MATCH(C366&amp;"",lst_Jobs,0)),""))</f>
        <v/>
      </c>
      <c r="F366" s="25">
        <f>IF(C366="","",IFERROR(INDEX(tbl_Finance[Client],MATCH(C366&amp;"",tbl_Finance[Job Number],0)),""))</f>
        <v/>
      </c>
      <c r="G366" s="28">
        <f>IF(C366="","",COUNTIFS(tbl_Finance[Job Number],C366&amp;"",tbl_Finance[Ex GST],"&lt;&gt;"))</f>
        <v/>
      </c>
      <c r="H366" s="27">
        <f>IF(C366="","",SUMIFS(tbl_Finance[Ex GST],tbl_Finance[Job Number],C366&amp;""))</f>
        <v/>
      </c>
      <c r="I366" s="27">
        <f>IF(C366="","",SUMIFS(tbl_Finance[Ex GST],tbl_Finance[Job Number],C366&amp;"",tbl_Finance[Xero Invoice No],"&lt;&gt;"))</f>
        <v/>
      </c>
      <c r="J366" s="27">
        <f>IF(C366="","",H366-I366)</f>
        <v/>
      </c>
      <c r="K366" s="25">
        <f>IF(C366="","",IF(G366=0,"not invoiced yet",SUBSTITUTE(TRIM(IF(COUNTIFS(tbl_Finance[Job Number],C366&amp;"",tbl_Finance[Cost Centre],"ONSITE")&gt;0,"ONSITE ","")&amp;IF(COUNTIFS(tbl_Finance[Job Number],C366&amp;"",tbl_Finance[Cost Centre],"PRODUCTION")&gt;0,"PRODUCTION ","")&amp;IF(COUNTIFS(tbl_Finance[Job Number],C366&amp;"",tbl_Finance[Cost Centre],"VIDEO")&gt;0,"VIDEO ","")&amp;IF(COUNTIFS(tbl_Finance[Job Number],C366&amp;"",tbl_Finance[Cost Centre],"INTEGRATION")&gt;0,"INTEGRATION ","")&amp;IF(COUNTIFS(tbl_Finance[Job Number],C366&amp;"",tbl_Finance[Cost Centre],"CONSULTING")&gt;0,"CONSULTING ","")&amp;IF(COUNTIFS(tbl_Finance[Job Number],C366&amp;"",tbl_Finance[Cost Centre],"CTS")&gt;0,"CTS ",""))," ",", ")))</f>
        <v/>
      </c>
      <c r="L366" s="24" t="n"/>
      <c r="M366" s="24" t="n"/>
      <c r="N366" s="25">
        <f>IF(M366="","",HYPERLINK(IF(LEFT(M366,4)="http",M366,set_QwilrBase&amp;M366),"Open quote"))</f>
        <v/>
      </c>
      <c r="O366" s="69" t="n"/>
      <c r="P366" s="24" t="n"/>
      <c r="Q366" s="24" t="n"/>
    </row>
    <row r="367" ht="15" customHeight="1">
      <c r="A367" s="68">
        <f>IF(C367="","",IFERROR(IF(SUMPRODUCT(MAX((tbl_Finance[Job Number]=C367&amp;"")*(tbl_Finance[Xero Invoice No]&lt;&gt;"")*tbl_Finance[Date]))=0,"",SUMPRODUCT(MAX((tbl_Finance[Job Number]=C367&amp;"")*(tbl_Finance[Xero Invoice No]&lt;&gt;"")*tbl_Finance[Date]))),""))</f>
        <v/>
      </c>
      <c r="B367" s="25">
        <f>IF(C367="","",IF(COUNTIFS(tbl_Finance[Job Number],C367&amp;"",tbl_Finance[Xero Invoice No],"&lt;&gt;")=0,"",IFERROR(IF(COUNTIFS(tbl_Finance[Job Number],C367&amp;"",tbl_Finance[Xero Invoice No],LOOKUP(2,1/((tbl_Finance[Job Number]=C367&amp;"")*(tbl_Finance[Xero Invoice No]&lt;&gt;"")),tbl_Finance[Xero Invoice No]))=COUNTIFS(tbl_Finance[Job Number],C367&amp;"",tbl_Finance[Xero Invoice No],"&lt;&gt;"),LOOKUP(2,1/((tbl_Finance[Job Number]=C367&amp;"")*(tbl_Finance[Xero Invoice No]&lt;&gt;"")),tbl_Finance[Xero Invoice No]),LOOKUP(2,1/((tbl_Finance[Job Number]=C367&amp;"")*(tbl_Finance[Xero Invoice No]&lt;&gt;"")),tbl_Finance[Xero Invoice No])&amp;" +more"),"")))</f>
        <v/>
      </c>
      <c r="C367" s="24" t="n"/>
      <c r="D367" s="25">
        <f>IF(C367="","",IF(COUNTIF(lst_Jobs,C367&amp;"")&gt;0,"OK","CHECK"))</f>
        <v/>
      </c>
      <c r="E367" s="25">
        <f>IF(C367="","",IFERROR(INDEX(lst_JobName,MATCH(C367&amp;"",lst_Jobs,0)),""))</f>
        <v/>
      </c>
      <c r="F367" s="25">
        <f>IF(C367="","",IFERROR(INDEX(tbl_Finance[Client],MATCH(C367&amp;"",tbl_Finance[Job Number],0)),""))</f>
        <v/>
      </c>
      <c r="G367" s="28">
        <f>IF(C367="","",COUNTIFS(tbl_Finance[Job Number],C367&amp;"",tbl_Finance[Ex GST],"&lt;&gt;"))</f>
        <v/>
      </c>
      <c r="H367" s="27">
        <f>IF(C367="","",SUMIFS(tbl_Finance[Ex GST],tbl_Finance[Job Number],C367&amp;""))</f>
        <v/>
      </c>
      <c r="I367" s="27">
        <f>IF(C367="","",SUMIFS(tbl_Finance[Ex GST],tbl_Finance[Job Number],C367&amp;"",tbl_Finance[Xero Invoice No],"&lt;&gt;"))</f>
        <v/>
      </c>
      <c r="J367" s="27">
        <f>IF(C367="","",H367-I367)</f>
        <v/>
      </c>
      <c r="K367" s="25">
        <f>IF(C367="","",IF(G367=0,"not invoiced yet",SUBSTITUTE(TRIM(IF(COUNTIFS(tbl_Finance[Job Number],C367&amp;"",tbl_Finance[Cost Centre],"ONSITE")&gt;0,"ONSITE ","")&amp;IF(COUNTIFS(tbl_Finance[Job Number],C367&amp;"",tbl_Finance[Cost Centre],"PRODUCTION")&gt;0,"PRODUCTION ","")&amp;IF(COUNTIFS(tbl_Finance[Job Number],C367&amp;"",tbl_Finance[Cost Centre],"VIDEO")&gt;0,"VIDEO ","")&amp;IF(COUNTIFS(tbl_Finance[Job Number],C367&amp;"",tbl_Finance[Cost Centre],"INTEGRATION")&gt;0,"INTEGRATION ","")&amp;IF(COUNTIFS(tbl_Finance[Job Number],C367&amp;"",tbl_Finance[Cost Centre],"CONSULTING")&gt;0,"CONSULTING ","")&amp;IF(COUNTIFS(tbl_Finance[Job Number],C367&amp;"",tbl_Finance[Cost Centre],"CTS")&gt;0,"CTS ",""))," ",", ")))</f>
        <v/>
      </c>
      <c r="L367" s="24" t="n"/>
      <c r="M367" s="24" t="n"/>
      <c r="N367" s="25">
        <f>IF(M367="","",HYPERLINK(IF(LEFT(M367,4)="http",M367,set_QwilrBase&amp;M367),"Open quote"))</f>
        <v/>
      </c>
      <c r="O367" s="69" t="n"/>
      <c r="P367" s="24" t="n"/>
      <c r="Q367" s="24" t="n"/>
    </row>
    <row r="368" ht="15" customHeight="1">
      <c r="A368" s="68">
        <f>IF(C368="","",IFERROR(IF(SUMPRODUCT(MAX((tbl_Finance[Job Number]=C368&amp;"")*(tbl_Finance[Xero Invoice No]&lt;&gt;"")*tbl_Finance[Date]))=0,"",SUMPRODUCT(MAX((tbl_Finance[Job Number]=C368&amp;"")*(tbl_Finance[Xero Invoice No]&lt;&gt;"")*tbl_Finance[Date]))),""))</f>
        <v/>
      </c>
      <c r="B368" s="25">
        <f>IF(C368="","",IF(COUNTIFS(tbl_Finance[Job Number],C368&amp;"",tbl_Finance[Xero Invoice No],"&lt;&gt;")=0,"",IFERROR(IF(COUNTIFS(tbl_Finance[Job Number],C368&amp;"",tbl_Finance[Xero Invoice No],LOOKUP(2,1/((tbl_Finance[Job Number]=C368&amp;"")*(tbl_Finance[Xero Invoice No]&lt;&gt;"")),tbl_Finance[Xero Invoice No]))=COUNTIFS(tbl_Finance[Job Number],C368&amp;"",tbl_Finance[Xero Invoice No],"&lt;&gt;"),LOOKUP(2,1/((tbl_Finance[Job Number]=C368&amp;"")*(tbl_Finance[Xero Invoice No]&lt;&gt;"")),tbl_Finance[Xero Invoice No]),LOOKUP(2,1/((tbl_Finance[Job Number]=C368&amp;"")*(tbl_Finance[Xero Invoice No]&lt;&gt;"")),tbl_Finance[Xero Invoice No])&amp;" +more"),"")))</f>
        <v/>
      </c>
      <c r="C368" s="24" t="n"/>
      <c r="D368" s="25">
        <f>IF(C368="","",IF(COUNTIF(lst_Jobs,C368&amp;"")&gt;0,"OK","CHECK"))</f>
        <v/>
      </c>
      <c r="E368" s="25">
        <f>IF(C368="","",IFERROR(INDEX(lst_JobName,MATCH(C368&amp;"",lst_Jobs,0)),""))</f>
        <v/>
      </c>
      <c r="F368" s="25">
        <f>IF(C368="","",IFERROR(INDEX(tbl_Finance[Client],MATCH(C368&amp;"",tbl_Finance[Job Number],0)),""))</f>
        <v/>
      </c>
      <c r="G368" s="28">
        <f>IF(C368="","",COUNTIFS(tbl_Finance[Job Number],C368&amp;"",tbl_Finance[Ex GST],"&lt;&gt;"))</f>
        <v/>
      </c>
      <c r="H368" s="27">
        <f>IF(C368="","",SUMIFS(tbl_Finance[Ex GST],tbl_Finance[Job Number],C368&amp;""))</f>
        <v/>
      </c>
      <c r="I368" s="27">
        <f>IF(C368="","",SUMIFS(tbl_Finance[Ex GST],tbl_Finance[Job Number],C368&amp;"",tbl_Finance[Xero Invoice No],"&lt;&gt;"))</f>
        <v/>
      </c>
      <c r="J368" s="27">
        <f>IF(C368="","",H368-I368)</f>
        <v/>
      </c>
      <c r="K368" s="25">
        <f>IF(C368="","",IF(G368=0,"not invoiced yet",SUBSTITUTE(TRIM(IF(COUNTIFS(tbl_Finance[Job Number],C368&amp;"",tbl_Finance[Cost Centre],"ONSITE")&gt;0,"ONSITE ","")&amp;IF(COUNTIFS(tbl_Finance[Job Number],C368&amp;"",tbl_Finance[Cost Centre],"PRODUCTION")&gt;0,"PRODUCTION ","")&amp;IF(COUNTIFS(tbl_Finance[Job Number],C368&amp;"",tbl_Finance[Cost Centre],"VIDEO")&gt;0,"VIDEO ","")&amp;IF(COUNTIFS(tbl_Finance[Job Number],C368&amp;"",tbl_Finance[Cost Centre],"INTEGRATION")&gt;0,"INTEGRATION ","")&amp;IF(COUNTIFS(tbl_Finance[Job Number],C368&amp;"",tbl_Finance[Cost Centre],"CONSULTING")&gt;0,"CONSULTING ","")&amp;IF(COUNTIFS(tbl_Finance[Job Number],C368&amp;"",tbl_Finance[Cost Centre],"CTS")&gt;0,"CTS ",""))," ",", ")))</f>
        <v/>
      </c>
      <c r="L368" s="24" t="n"/>
      <c r="M368" s="24" t="n"/>
      <c r="N368" s="25">
        <f>IF(M368="","",HYPERLINK(IF(LEFT(M368,4)="http",M368,set_QwilrBase&amp;M368),"Open quote"))</f>
        <v/>
      </c>
      <c r="O368" s="69" t="n"/>
      <c r="P368" s="24" t="n"/>
      <c r="Q368" s="24" t="n"/>
    </row>
    <row r="369" ht="15" customHeight="1">
      <c r="A369" s="68">
        <f>IF(C369="","",IFERROR(IF(SUMPRODUCT(MAX((tbl_Finance[Job Number]=C369&amp;"")*(tbl_Finance[Xero Invoice No]&lt;&gt;"")*tbl_Finance[Date]))=0,"",SUMPRODUCT(MAX((tbl_Finance[Job Number]=C369&amp;"")*(tbl_Finance[Xero Invoice No]&lt;&gt;"")*tbl_Finance[Date]))),""))</f>
        <v/>
      </c>
      <c r="B369" s="25">
        <f>IF(C369="","",IF(COUNTIFS(tbl_Finance[Job Number],C369&amp;"",tbl_Finance[Xero Invoice No],"&lt;&gt;")=0,"",IFERROR(IF(COUNTIFS(tbl_Finance[Job Number],C369&amp;"",tbl_Finance[Xero Invoice No],LOOKUP(2,1/((tbl_Finance[Job Number]=C369&amp;"")*(tbl_Finance[Xero Invoice No]&lt;&gt;"")),tbl_Finance[Xero Invoice No]))=COUNTIFS(tbl_Finance[Job Number],C369&amp;"",tbl_Finance[Xero Invoice No],"&lt;&gt;"),LOOKUP(2,1/((tbl_Finance[Job Number]=C369&amp;"")*(tbl_Finance[Xero Invoice No]&lt;&gt;"")),tbl_Finance[Xero Invoice No]),LOOKUP(2,1/((tbl_Finance[Job Number]=C369&amp;"")*(tbl_Finance[Xero Invoice No]&lt;&gt;"")),tbl_Finance[Xero Invoice No])&amp;" +more"),"")))</f>
        <v/>
      </c>
      <c r="C369" s="24" t="n"/>
      <c r="D369" s="25">
        <f>IF(C369="","",IF(COUNTIF(lst_Jobs,C369&amp;"")&gt;0,"OK","CHECK"))</f>
        <v/>
      </c>
      <c r="E369" s="25">
        <f>IF(C369="","",IFERROR(INDEX(lst_JobName,MATCH(C369&amp;"",lst_Jobs,0)),""))</f>
        <v/>
      </c>
      <c r="F369" s="25">
        <f>IF(C369="","",IFERROR(INDEX(tbl_Finance[Client],MATCH(C369&amp;"",tbl_Finance[Job Number],0)),""))</f>
        <v/>
      </c>
      <c r="G369" s="28">
        <f>IF(C369="","",COUNTIFS(tbl_Finance[Job Number],C369&amp;"",tbl_Finance[Ex GST],"&lt;&gt;"))</f>
        <v/>
      </c>
      <c r="H369" s="27">
        <f>IF(C369="","",SUMIFS(tbl_Finance[Ex GST],tbl_Finance[Job Number],C369&amp;""))</f>
        <v/>
      </c>
      <c r="I369" s="27">
        <f>IF(C369="","",SUMIFS(tbl_Finance[Ex GST],tbl_Finance[Job Number],C369&amp;"",tbl_Finance[Xero Invoice No],"&lt;&gt;"))</f>
        <v/>
      </c>
      <c r="J369" s="27">
        <f>IF(C369="","",H369-I369)</f>
        <v/>
      </c>
      <c r="K369" s="25">
        <f>IF(C369="","",IF(G369=0,"not invoiced yet",SUBSTITUTE(TRIM(IF(COUNTIFS(tbl_Finance[Job Number],C369&amp;"",tbl_Finance[Cost Centre],"ONSITE")&gt;0,"ONSITE ","")&amp;IF(COUNTIFS(tbl_Finance[Job Number],C369&amp;"",tbl_Finance[Cost Centre],"PRODUCTION")&gt;0,"PRODUCTION ","")&amp;IF(COUNTIFS(tbl_Finance[Job Number],C369&amp;"",tbl_Finance[Cost Centre],"VIDEO")&gt;0,"VIDEO ","")&amp;IF(COUNTIFS(tbl_Finance[Job Number],C369&amp;"",tbl_Finance[Cost Centre],"INTEGRATION")&gt;0,"INTEGRATION ","")&amp;IF(COUNTIFS(tbl_Finance[Job Number],C369&amp;"",tbl_Finance[Cost Centre],"CONSULTING")&gt;0,"CONSULTING ","")&amp;IF(COUNTIFS(tbl_Finance[Job Number],C369&amp;"",tbl_Finance[Cost Centre],"CTS")&gt;0,"CTS ",""))," ",", ")))</f>
        <v/>
      </c>
      <c r="L369" s="24" t="n"/>
      <c r="M369" s="24" t="n"/>
      <c r="N369" s="25">
        <f>IF(M369="","",HYPERLINK(IF(LEFT(M369,4)="http",M369,set_QwilrBase&amp;M369),"Open quote"))</f>
        <v/>
      </c>
      <c r="O369" s="69" t="n"/>
      <c r="P369" s="24" t="n"/>
      <c r="Q369" s="24" t="n"/>
    </row>
    <row r="370" ht="15" customHeight="1">
      <c r="A370" s="68">
        <f>IF(C370="","",IFERROR(IF(SUMPRODUCT(MAX((tbl_Finance[Job Number]=C370&amp;"")*(tbl_Finance[Xero Invoice No]&lt;&gt;"")*tbl_Finance[Date]))=0,"",SUMPRODUCT(MAX((tbl_Finance[Job Number]=C370&amp;"")*(tbl_Finance[Xero Invoice No]&lt;&gt;"")*tbl_Finance[Date]))),""))</f>
        <v/>
      </c>
      <c r="B370" s="25">
        <f>IF(C370="","",IF(COUNTIFS(tbl_Finance[Job Number],C370&amp;"",tbl_Finance[Xero Invoice No],"&lt;&gt;")=0,"",IFERROR(IF(COUNTIFS(tbl_Finance[Job Number],C370&amp;"",tbl_Finance[Xero Invoice No],LOOKUP(2,1/((tbl_Finance[Job Number]=C370&amp;"")*(tbl_Finance[Xero Invoice No]&lt;&gt;"")),tbl_Finance[Xero Invoice No]))=COUNTIFS(tbl_Finance[Job Number],C370&amp;"",tbl_Finance[Xero Invoice No],"&lt;&gt;"),LOOKUP(2,1/((tbl_Finance[Job Number]=C370&amp;"")*(tbl_Finance[Xero Invoice No]&lt;&gt;"")),tbl_Finance[Xero Invoice No]),LOOKUP(2,1/((tbl_Finance[Job Number]=C370&amp;"")*(tbl_Finance[Xero Invoice No]&lt;&gt;"")),tbl_Finance[Xero Invoice No])&amp;" +more"),"")))</f>
        <v/>
      </c>
      <c r="C370" s="24" t="n"/>
      <c r="D370" s="25">
        <f>IF(C370="","",IF(COUNTIF(lst_Jobs,C370&amp;"")&gt;0,"OK","CHECK"))</f>
        <v/>
      </c>
      <c r="E370" s="25">
        <f>IF(C370="","",IFERROR(INDEX(lst_JobName,MATCH(C370&amp;"",lst_Jobs,0)),""))</f>
        <v/>
      </c>
      <c r="F370" s="25">
        <f>IF(C370="","",IFERROR(INDEX(tbl_Finance[Client],MATCH(C370&amp;"",tbl_Finance[Job Number],0)),""))</f>
        <v/>
      </c>
      <c r="G370" s="28">
        <f>IF(C370="","",COUNTIFS(tbl_Finance[Job Number],C370&amp;"",tbl_Finance[Ex GST],"&lt;&gt;"))</f>
        <v/>
      </c>
      <c r="H370" s="27">
        <f>IF(C370="","",SUMIFS(tbl_Finance[Ex GST],tbl_Finance[Job Number],C370&amp;""))</f>
        <v/>
      </c>
      <c r="I370" s="27">
        <f>IF(C370="","",SUMIFS(tbl_Finance[Ex GST],tbl_Finance[Job Number],C370&amp;"",tbl_Finance[Xero Invoice No],"&lt;&gt;"))</f>
        <v/>
      </c>
      <c r="J370" s="27">
        <f>IF(C370="","",H370-I370)</f>
        <v/>
      </c>
      <c r="K370" s="25">
        <f>IF(C370="","",IF(G370=0,"not invoiced yet",SUBSTITUTE(TRIM(IF(COUNTIFS(tbl_Finance[Job Number],C370&amp;"",tbl_Finance[Cost Centre],"ONSITE")&gt;0,"ONSITE ","")&amp;IF(COUNTIFS(tbl_Finance[Job Number],C370&amp;"",tbl_Finance[Cost Centre],"PRODUCTION")&gt;0,"PRODUCTION ","")&amp;IF(COUNTIFS(tbl_Finance[Job Number],C370&amp;"",tbl_Finance[Cost Centre],"VIDEO")&gt;0,"VIDEO ","")&amp;IF(COUNTIFS(tbl_Finance[Job Number],C370&amp;"",tbl_Finance[Cost Centre],"INTEGRATION")&gt;0,"INTEGRATION ","")&amp;IF(COUNTIFS(tbl_Finance[Job Number],C370&amp;"",tbl_Finance[Cost Centre],"CONSULTING")&gt;0,"CONSULTING ","")&amp;IF(COUNTIFS(tbl_Finance[Job Number],C370&amp;"",tbl_Finance[Cost Centre],"CTS")&gt;0,"CTS ",""))," ",", ")))</f>
        <v/>
      </c>
      <c r="L370" s="24" t="n"/>
      <c r="M370" s="24" t="n"/>
      <c r="N370" s="25">
        <f>IF(M370="","",HYPERLINK(IF(LEFT(M370,4)="http",M370,set_QwilrBase&amp;M370),"Open quote"))</f>
        <v/>
      </c>
      <c r="O370" s="69" t="n"/>
      <c r="P370" s="24" t="n"/>
      <c r="Q370" s="24" t="n"/>
    </row>
    <row r="371" ht="15" customHeight="1">
      <c r="A371" s="68">
        <f>IF(C371="","",IFERROR(IF(SUMPRODUCT(MAX((tbl_Finance[Job Number]=C371&amp;"")*(tbl_Finance[Xero Invoice No]&lt;&gt;"")*tbl_Finance[Date]))=0,"",SUMPRODUCT(MAX((tbl_Finance[Job Number]=C371&amp;"")*(tbl_Finance[Xero Invoice No]&lt;&gt;"")*tbl_Finance[Date]))),""))</f>
        <v/>
      </c>
      <c r="B371" s="25">
        <f>IF(C371="","",IF(COUNTIFS(tbl_Finance[Job Number],C371&amp;"",tbl_Finance[Xero Invoice No],"&lt;&gt;")=0,"",IFERROR(IF(COUNTIFS(tbl_Finance[Job Number],C371&amp;"",tbl_Finance[Xero Invoice No],LOOKUP(2,1/((tbl_Finance[Job Number]=C371&amp;"")*(tbl_Finance[Xero Invoice No]&lt;&gt;"")),tbl_Finance[Xero Invoice No]))=COUNTIFS(tbl_Finance[Job Number],C371&amp;"",tbl_Finance[Xero Invoice No],"&lt;&gt;"),LOOKUP(2,1/((tbl_Finance[Job Number]=C371&amp;"")*(tbl_Finance[Xero Invoice No]&lt;&gt;"")),tbl_Finance[Xero Invoice No]),LOOKUP(2,1/((tbl_Finance[Job Number]=C371&amp;"")*(tbl_Finance[Xero Invoice No]&lt;&gt;"")),tbl_Finance[Xero Invoice No])&amp;" +more"),"")))</f>
        <v/>
      </c>
      <c r="C371" s="24" t="n"/>
      <c r="D371" s="25">
        <f>IF(C371="","",IF(COUNTIF(lst_Jobs,C371&amp;"")&gt;0,"OK","CHECK"))</f>
        <v/>
      </c>
      <c r="E371" s="25">
        <f>IF(C371="","",IFERROR(INDEX(lst_JobName,MATCH(C371&amp;"",lst_Jobs,0)),""))</f>
        <v/>
      </c>
      <c r="F371" s="25">
        <f>IF(C371="","",IFERROR(INDEX(tbl_Finance[Client],MATCH(C371&amp;"",tbl_Finance[Job Number],0)),""))</f>
        <v/>
      </c>
      <c r="G371" s="28">
        <f>IF(C371="","",COUNTIFS(tbl_Finance[Job Number],C371&amp;"",tbl_Finance[Ex GST],"&lt;&gt;"))</f>
        <v/>
      </c>
      <c r="H371" s="27">
        <f>IF(C371="","",SUMIFS(tbl_Finance[Ex GST],tbl_Finance[Job Number],C371&amp;""))</f>
        <v/>
      </c>
      <c r="I371" s="27">
        <f>IF(C371="","",SUMIFS(tbl_Finance[Ex GST],tbl_Finance[Job Number],C371&amp;"",tbl_Finance[Xero Invoice No],"&lt;&gt;"))</f>
        <v/>
      </c>
      <c r="J371" s="27">
        <f>IF(C371="","",H371-I371)</f>
        <v/>
      </c>
      <c r="K371" s="25">
        <f>IF(C371="","",IF(G371=0,"not invoiced yet",SUBSTITUTE(TRIM(IF(COUNTIFS(tbl_Finance[Job Number],C371&amp;"",tbl_Finance[Cost Centre],"ONSITE")&gt;0,"ONSITE ","")&amp;IF(COUNTIFS(tbl_Finance[Job Number],C371&amp;"",tbl_Finance[Cost Centre],"PRODUCTION")&gt;0,"PRODUCTION ","")&amp;IF(COUNTIFS(tbl_Finance[Job Number],C371&amp;"",tbl_Finance[Cost Centre],"VIDEO")&gt;0,"VIDEO ","")&amp;IF(COUNTIFS(tbl_Finance[Job Number],C371&amp;"",tbl_Finance[Cost Centre],"INTEGRATION")&gt;0,"INTEGRATION ","")&amp;IF(COUNTIFS(tbl_Finance[Job Number],C371&amp;"",tbl_Finance[Cost Centre],"CONSULTING")&gt;0,"CONSULTING ","")&amp;IF(COUNTIFS(tbl_Finance[Job Number],C371&amp;"",tbl_Finance[Cost Centre],"CTS")&gt;0,"CTS ",""))," ",", ")))</f>
        <v/>
      </c>
      <c r="L371" s="24" t="n"/>
      <c r="M371" s="24" t="n"/>
      <c r="N371" s="25">
        <f>IF(M371="","",HYPERLINK(IF(LEFT(M371,4)="http",M371,set_QwilrBase&amp;M371),"Open quote"))</f>
        <v/>
      </c>
      <c r="O371" s="69" t="n"/>
      <c r="P371" s="24" t="n"/>
      <c r="Q371" s="24" t="n"/>
    </row>
    <row r="372" ht="15" customHeight="1">
      <c r="A372" s="68">
        <f>IF(C372="","",IFERROR(IF(SUMPRODUCT(MAX((tbl_Finance[Job Number]=C372&amp;"")*(tbl_Finance[Xero Invoice No]&lt;&gt;"")*tbl_Finance[Date]))=0,"",SUMPRODUCT(MAX((tbl_Finance[Job Number]=C372&amp;"")*(tbl_Finance[Xero Invoice No]&lt;&gt;"")*tbl_Finance[Date]))),""))</f>
        <v/>
      </c>
      <c r="B372" s="25">
        <f>IF(C372="","",IF(COUNTIFS(tbl_Finance[Job Number],C372&amp;"",tbl_Finance[Xero Invoice No],"&lt;&gt;")=0,"",IFERROR(IF(COUNTIFS(tbl_Finance[Job Number],C372&amp;"",tbl_Finance[Xero Invoice No],LOOKUP(2,1/((tbl_Finance[Job Number]=C372&amp;"")*(tbl_Finance[Xero Invoice No]&lt;&gt;"")),tbl_Finance[Xero Invoice No]))=COUNTIFS(tbl_Finance[Job Number],C372&amp;"",tbl_Finance[Xero Invoice No],"&lt;&gt;"),LOOKUP(2,1/((tbl_Finance[Job Number]=C372&amp;"")*(tbl_Finance[Xero Invoice No]&lt;&gt;"")),tbl_Finance[Xero Invoice No]),LOOKUP(2,1/((tbl_Finance[Job Number]=C372&amp;"")*(tbl_Finance[Xero Invoice No]&lt;&gt;"")),tbl_Finance[Xero Invoice No])&amp;" +more"),"")))</f>
        <v/>
      </c>
      <c r="C372" s="24" t="n"/>
      <c r="D372" s="25">
        <f>IF(C372="","",IF(COUNTIF(lst_Jobs,C372&amp;"")&gt;0,"OK","CHECK"))</f>
        <v/>
      </c>
      <c r="E372" s="25">
        <f>IF(C372="","",IFERROR(INDEX(lst_JobName,MATCH(C372&amp;"",lst_Jobs,0)),""))</f>
        <v/>
      </c>
      <c r="F372" s="25">
        <f>IF(C372="","",IFERROR(INDEX(tbl_Finance[Client],MATCH(C372&amp;"",tbl_Finance[Job Number],0)),""))</f>
        <v/>
      </c>
      <c r="G372" s="28">
        <f>IF(C372="","",COUNTIFS(tbl_Finance[Job Number],C372&amp;"",tbl_Finance[Ex GST],"&lt;&gt;"))</f>
        <v/>
      </c>
      <c r="H372" s="27">
        <f>IF(C372="","",SUMIFS(tbl_Finance[Ex GST],tbl_Finance[Job Number],C372&amp;""))</f>
        <v/>
      </c>
      <c r="I372" s="27">
        <f>IF(C372="","",SUMIFS(tbl_Finance[Ex GST],tbl_Finance[Job Number],C372&amp;"",tbl_Finance[Xero Invoice No],"&lt;&gt;"))</f>
        <v/>
      </c>
      <c r="J372" s="27">
        <f>IF(C372="","",H372-I372)</f>
        <v/>
      </c>
      <c r="K372" s="25">
        <f>IF(C372="","",IF(G372=0,"not invoiced yet",SUBSTITUTE(TRIM(IF(COUNTIFS(tbl_Finance[Job Number],C372&amp;"",tbl_Finance[Cost Centre],"ONSITE")&gt;0,"ONSITE ","")&amp;IF(COUNTIFS(tbl_Finance[Job Number],C372&amp;"",tbl_Finance[Cost Centre],"PRODUCTION")&gt;0,"PRODUCTION ","")&amp;IF(COUNTIFS(tbl_Finance[Job Number],C372&amp;"",tbl_Finance[Cost Centre],"VIDEO")&gt;0,"VIDEO ","")&amp;IF(COUNTIFS(tbl_Finance[Job Number],C372&amp;"",tbl_Finance[Cost Centre],"INTEGRATION")&gt;0,"INTEGRATION ","")&amp;IF(COUNTIFS(tbl_Finance[Job Number],C372&amp;"",tbl_Finance[Cost Centre],"CONSULTING")&gt;0,"CONSULTING ","")&amp;IF(COUNTIFS(tbl_Finance[Job Number],C372&amp;"",tbl_Finance[Cost Centre],"CTS")&gt;0,"CTS ",""))," ",", ")))</f>
        <v/>
      </c>
      <c r="L372" s="24" t="n"/>
      <c r="M372" s="24" t="n"/>
      <c r="N372" s="25">
        <f>IF(M372="","",HYPERLINK(IF(LEFT(M372,4)="http",M372,set_QwilrBase&amp;M372),"Open quote"))</f>
        <v/>
      </c>
      <c r="O372" s="69" t="n"/>
      <c r="P372" s="24" t="n"/>
      <c r="Q372" s="24" t="n"/>
    </row>
    <row r="373" ht="15" customHeight="1">
      <c r="A373" s="68">
        <f>IF(C373="","",IFERROR(IF(SUMPRODUCT(MAX((tbl_Finance[Job Number]=C373&amp;"")*(tbl_Finance[Xero Invoice No]&lt;&gt;"")*tbl_Finance[Date]))=0,"",SUMPRODUCT(MAX((tbl_Finance[Job Number]=C373&amp;"")*(tbl_Finance[Xero Invoice No]&lt;&gt;"")*tbl_Finance[Date]))),""))</f>
        <v/>
      </c>
      <c r="B373" s="25">
        <f>IF(C373="","",IF(COUNTIFS(tbl_Finance[Job Number],C373&amp;"",tbl_Finance[Xero Invoice No],"&lt;&gt;")=0,"",IFERROR(IF(COUNTIFS(tbl_Finance[Job Number],C373&amp;"",tbl_Finance[Xero Invoice No],LOOKUP(2,1/((tbl_Finance[Job Number]=C373&amp;"")*(tbl_Finance[Xero Invoice No]&lt;&gt;"")),tbl_Finance[Xero Invoice No]))=COUNTIFS(tbl_Finance[Job Number],C373&amp;"",tbl_Finance[Xero Invoice No],"&lt;&gt;"),LOOKUP(2,1/((tbl_Finance[Job Number]=C373&amp;"")*(tbl_Finance[Xero Invoice No]&lt;&gt;"")),tbl_Finance[Xero Invoice No]),LOOKUP(2,1/((tbl_Finance[Job Number]=C373&amp;"")*(tbl_Finance[Xero Invoice No]&lt;&gt;"")),tbl_Finance[Xero Invoice No])&amp;" +more"),"")))</f>
        <v/>
      </c>
      <c r="C373" s="24" t="n"/>
      <c r="D373" s="25">
        <f>IF(C373="","",IF(COUNTIF(lst_Jobs,C373&amp;"")&gt;0,"OK","CHECK"))</f>
        <v/>
      </c>
      <c r="E373" s="25">
        <f>IF(C373="","",IFERROR(INDEX(lst_JobName,MATCH(C373&amp;"",lst_Jobs,0)),""))</f>
        <v/>
      </c>
      <c r="F373" s="25">
        <f>IF(C373="","",IFERROR(INDEX(tbl_Finance[Client],MATCH(C373&amp;"",tbl_Finance[Job Number],0)),""))</f>
        <v/>
      </c>
      <c r="G373" s="28">
        <f>IF(C373="","",COUNTIFS(tbl_Finance[Job Number],C373&amp;"",tbl_Finance[Ex GST],"&lt;&gt;"))</f>
        <v/>
      </c>
      <c r="H373" s="27">
        <f>IF(C373="","",SUMIFS(tbl_Finance[Ex GST],tbl_Finance[Job Number],C373&amp;""))</f>
        <v/>
      </c>
      <c r="I373" s="27">
        <f>IF(C373="","",SUMIFS(tbl_Finance[Ex GST],tbl_Finance[Job Number],C373&amp;"",tbl_Finance[Xero Invoice No],"&lt;&gt;"))</f>
        <v/>
      </c>
      <c r="J373" s="27">
        <f>IF(C373="","",H373-I373)</f>
        <v/>
      </c>
      <c r="K373" s="25">
        <f>IF(C373="","",IF(G373=0,"not invoiced yet",SUBSTITUTE(TRIM(IF(COUNTIFS(tbl_Finance[Job Number],C373&amp;"",tbl_Finance[Cost Centre],"ONSITE")&gt;0,"ONSITE ","")&amp;IF(COUNTIFS(tbl_Finance[Job Number],C373&amp;"",tbl_Finance[Cost Centre],"PRODUCTION")&gt;0,"PRODUCTION ","")&amp;IF(COUNTIFS(tbl_Finance[Job Number],C373&amp;"",tbl_Finance[Cost Centre],"VIDEO")&gt;0,"VIDEO ","")&amp;IF(COUNTIFS(tbl_Finance[Job Number],C373&amp;"",tbl_Finance[Cost Centre],"INTEGRATION")&gt;0,"INTEGRATION ","")&amp;IF(COUNTIFS(tbl_Finance[Job Number],C373&amp;"",tbl_Finance[Cost Centre],"CONSULTING")&gt;0,"CONSULTING ","")&amp;IF(COUNTIFS(tbl_Finance[Job Number],C373&amp;"",tbl_Finance[Cost Centre],"CTS")&gt;0,"CTS ",""))," ",", ")))</f>
        <v/>
      </c>
      <c r="L373" s="24" t="n"/>
      <c r="M373" s="24" t="n"/>
      <c r="N373" s="25">
        <f>IF(M373="","",HYPERLINK(IF(LEFT(M373,4)="http",M373,set_QwilrBase&amp;M373),"Open quote"))</f>
        <v/>
      </c>
      <c r="O373" s="69" t="n"/>
      <c r="P373" s="24" t="n"/>
      <c r="Q373" s="24" t="n"/>
    </row>
    <row r="374" ht="15" customHeight="1">
      <c r="A374" s="68">
        <f>IF(C374="","",IFERROR(IF(SUMPRODUCT(MAX((tbl_Finance[Job Number]=C374&amp;"")*(tbl_Finance[Xero Invoice No]&lt;&gt;"")*tbl_Finance[Date]))=0,"",SUMPRODUCT(MAX((tbl_Finance[Job Number]=C374&amp;"")*(tbl_Finance[Xero Invoice No]&lt;&gt;"")*tbl_Finance[Date]))),""))</f>
        <v/>
      </c>
      <c r="B374" s="25">
        <f>IF(C374="","",IF(COUNTIFS(tbl_Finance[Job Number],C374&amp;"",tbl_Finance[Xero Invoice No],"&lt;&gt;")=0,"",IFERROR(IF(COUNTIFS(tbl_Finance[Job Number],C374&amp;"",tbl_Finance[Xero Invoice No],LOOKUP(2,1/((tbl_Finance[Job Number]=C374&amp;"")*(tbl_Finance[Xero Invoice No]&lt;&gt;"")),tbl_Finance[Xero Invoice No]))=COUNTIFS(tbl_Finance[Job Number],C374&amp;"",tbl_Finance[Xero Invoice No],"&lt;&gt;"),LOOKUP(2,1/((tbl_Finance[Job Number]=C374&amp;"")*(tbl_Finance[Xero Invoice No]&lt;&gt;"")),tbl_Finance[Xero Invoice No]),LOOKUP(2,1/((tbl_Finance[Job Number]=C374&amp;"")*(tbl_Finance[Xero Invoice No]&lt;&gt;"")),tbl_Finance[Xero Invoice No])&amp;" +more"),"")))</f>
        <v/>
      </c>
      <c r="C374" s="24" t="n"/>
      <c r="D374" s="25">
        <f>IF(C374="","",IF(COUNTIF(lst_Jobs,C374&amp;"")&gt;0,"OK","CHECK"))</f>
        <v/>
      </c>
      <c r="E374" s="25">
        <f>IF(C374="","",IFERROR(INDEX(lst_JobName,MATCH(C374&amp;"",lst_Jobs,0)),""))</f>
        <v/>
      </c>
      <c r="F374" s="25">
        <f>IF(C374="","",IFERROR(INDEX(tbl_Finance[Client],MATCH(C374&amp;"",tbl_Finance[Job Number],0)),""))</f>
        <v/>
      </c>
      <c r="G374" s="28">
        <f>IF(C374="","",COUNTIFS(tbl_Finance[Job Number],C374&amp;"",tbl_Finance[Ex GST],"&lt;&gt;"))</f>
        <v/>
      </c>
      <c r="H374" s="27">
        <f>IF(C374="","",SUMIFS(tbl_Finance[Ex GST],tbl_Finance[Job Number],C374&amp;""))</f>
        <v/>
      </c>
      <c r="I374" s="27">
        <f>IF(C374="","",SUMIFS(tbl_Finance[Ex GST],tbl_Finance[Job Number],C374&amp;"",tbl_Finance[Xero Invoice No],"&lt;&gt;"))</f>
        <v/>
      </c>
      <c r="J374" s="27">
        <f>IF(C374="","",H374-I374)</f>
        <v/>
      </c>
      <c r="K374" s="25">
        <f>IF(C374="","",IF(G374=0,"not invoiced yet",SUBSTITUTE(TRIM(IF(COUNTIFS(tbl_Finance[Job Number],C374&amp;"",tbl_Finance[Cost Centre],"ONSITE")&gt;0,"ONSITE ","")&amp;IF(COUNTIFS(tbl_Finance[Job Number],C374&amp;"",tbl_Finance[Cost Centre],"PRODUCTION")&gt;0,"PRODUCTION ","")&amp;IF(COUNTIFS(tbl_Finance[Job Number],C374&amp;"",tbl_Finance[Cost Centre],"VIDEO")&gt;0,"VIDEO ","")&amp;IF(COUNTIFS(tbl_Finance[Job Number],C374&amp;"",tbl_Finance[Cost Centre],"INTEGRATION")&gt;0,"INTEGRATION ","")&amp;IF(COUNTIFS(tbl_Finance[Job Number],C374&amp;"",tbl_Finance[Cost Centre],"CONSULTING")&gt;0,"CONSULTING ","")&amp;IF(COUNTIFS(tbl_Finance[Job Number],C374&amp;"",tbl_Finance[Cost Centre],"CTS")&gt;0,"CTS ",""))," ",", ")))</f>
        <v/>
      </c>
      <c r="L374" s="24" t="n"/>
      <c r="M374" s="24" t="n"/>
      <c r="N374" s="25">
        <f>IF(M374="","",HYPERLINK(IF(LEFT(M374,4)="http",M374,set_QwilrBase&amp;M374),"Open quote"))</f>
        <v/>
      </c>
      <c r="O374" s="69" t="n"/>
      <c r="P374" s="24" t="n"/>
      <c r="Q374" s="24" t="n"/>
    </row>
    <row r="375" ht="15" customHeight="1">
      <c r="A375" s="68">
        <f>IF(C375="","",IFERROR(IF(SUMPRODUCT(MAX((tbl_Finance[Job Number]=C375&amp;"")*(tbl_Finance[Xero Invoice No]&lt;&gt;"")*tbl_Finance[Date]))=0,"",SUMPRODUCT(MAX((tbl_Finance[Job Number]=C375&amp;"")*(tbl_Finance[Xero Invoice No]&lt;&gt;"")*tbl_Finance[Date]))),""))</f>
        <v/>
      </c>
      <c r="B375" s="25">
        <f>IF(C375="","",IF(COUNTIFS(tbl_Finance[Job Number],C375&amp;"",tbl_Finance[Xero Invoice No],"&lt;&gt;")=0,"",IFERROR(IF(COUNTIFS(tbl_Finance[Job Number],C375&amp;"",tbl_Finance[Xero Invoice No],LOOKUP(2,1/((tbl_Finance[Job Number]=C375&amp;"")*(tbl_Finance[Xero Invoice No]&lt;&gt;"")),tbl_Finance[Xero Invoice No]))=COUNTIFS(tbl_Finance[Job Number],C375&amp;"",tbl_Finance[Xero Invoice No],"&lt;&gt;"),LOOKUP(2,1/((tbl_Finance[Job Number]=C375&amp;"")*(tbl_Finance[Xero Invoice No]&lt;&gt;"")),tbl_Finance[Xero Invoice No]),LOOKUP(2,1/((tbl_Finance[Job Number]=C375&amp;"")*(tbl_Finance[Xero Invoice No]&lt;&gt;"")),tbl_Finance[Xero Invoice No])&amp;" +more"),"")))</f>
        <v/>
      </c>
      <c r="C375" s="24" t="n"/>
      <c r="D375" s="25">
        <f>IF(C375="","",IF(COUNTIF(lst_Jobs,C375&amp;"")&gt;0,"OK","CHECK"))</f>
        <v/>
      </c>
      <c r="E375" s="25">
        <f>IF(C375="","",IFERROR(INDEX(lst_JobName,MATCH(C375&amp;"",lst_Jobs,0)),""))</f>
        <v/>
      </c>
      <c r="F375" s="25">
        <f>IF(C375="","",IFERROR(INDEX(tbl_Finance[Client],MATCH(C375&amp;"",tbl_Finance[Job Number],0)),""))</f>
        <v/>
      </c>
      <c r="G375" s="28">
        <f>IF(C375="","",COUNTIFS(tbl_Finance[Job Number],C375&amp;"",tbl_Finance[Ex GST],"&lt;&gt;"))</f>
        <v/>
      </c>
      <c r="H375" s="27">
        <f>IF(C375="","",SUMIFS(tbl_Finance[Ex GST],tbl_Finance[Job Number],C375&amp;""))</f>
        <v/>
      </c>
      <c r="I375" s="27">
        <f>IF(C375="","",SUMIFS(tbl_Finance[Ex GST],tbl_Finance[Job Number],C375&amp;"",tbl_Finance[Xero Invoice No],"&lt;&gt;"))</f>
        <v/>
      </c>
      <c r="J375" s="27">
        <f>IF(C375="","",H375-I375)</f>
        <v/>
      </c>
      <c r="K375" s="25">
        <f>IF(C375="","",IF(G375=0,"not invoiced yet",SUBSTITUTE(TRIM(IF(COUNTIFS(tbl_Finance[Job Number],C375&amp;"",tbl_Finance[Cost Centre],"ONSITE")&gt;0,"ONSITE ","")&amp;IF(COUNTIFS(tbl_Finance[Job Number],C375&amp;"",tbl_Finance[Cost Centre],"PRODUCTION")&gt;0,"PRODUCTION ","")&amp;IF(COUNTIFS(tbl_Finance[Job Number],C375&amp;"",tbl_Finance[Cost Centre],"VIDEO")&gt;0,"VIDEO ","")&amp;IF(COUNTIFS(tbl_Finance[Job Number],C375&amp;"",tbl_Finance[Cost Centre],"INTEGRATION")&gt;0,"INTEGRATION ","")&amp;IF(COUNTIFS(tbl_Finance[Job Number],C375&amp;"",tbl_Finance[Cost Centre],"CONSULTING")&gt;0,"CONSULTING ","")&amp;IF(COUNTIFS(tbl_Finance[Job Number],C375&amp;"",tbl_Finance[Cost Centre],"CTS")&gt;0,"CTS ",""))," ",", ")))</f>
        <v/>
      </c>
      <c r="L375" s="24" t="n"/>
      <c r="M375" s="24" t="n"/>
      <c r="N375" s="25">
        <f>IF(M375="","",HYPERLINK(IF(LEFT(M375,4)="http",M375,set_QwilrBase&amp;M375),"Open quote"))</f>
        <v/>
      </c>
      <c r="O375" s="69" t="n"/>
      <c r="P375" s="24" t="n"/>
      <c r="Q375" s="24" t="n"/>
    </row>
    <row r="376" ht="15" customHeight="1">
      <c r="A376" s="68">
        <f>IF(C376="","",IFERROR(IF(SUMPRODUCT(MAX((tbl_Finance[Job Number]=C376&amp;"")*(tbl_Finance[Xero Invoice No]&lt;&gt;"")*tbl_Finance[Date]))=0,"",SUMPRODUCT(MAX((tbl_Finance[Job Number]=C376&amp;"")*(tbl_Finance[Xero Invoice No]&lt;&gt;"")*tbl_Finance[Date]))),""))</f>
        <v/>
      </c>
      <c r="B376" s="25">
        <f>IF(C376="","",IF(COUNTIFS(tbl_Finance[Job Number],C376&amp;"",tbl_Finance[Xero Invoice No],"&lt;&gt;")=0,"",IFERROR(IF(COUNTIFS(tbl_Finance[Job Number],C376&amp;"",tbl_Finance[Xero Invoice No],LOOKUP(2,1/((tbl_Finance[Job Number]=C376&amp;"")*(tbl_Finance[Xero Invoice No]&lt;&gt;"")),tbl_Finance[Xero Invoice No]))=COUNTIFS(tbl_Finance[Job Number],C376&amp;"",tbl_Finance[Xero Invoice No],"&lt;&gt;"),LOOKUP(2,1/((tbl_Finance[Job Number]=C376&amp;"")*(tbl_Finance[Xero Invoice No]&lt;&gt;"")),tbl_Finance[Xero Invoice No]),LOOKUP(2,1/((tbl_Finance[Job Number]=C376&amp;"")*(tbl_Finance[Xero Invoice No]&lt;&gt;"")),tbl_Finance[Xero Invoice No])&amp;" +more"),"")))</f>
        <v/>
      </c>
      <c r="C376" s="24" t="n"/>
      <c r="D376" s="25">
        <f>IF(C376="","",IF(COUNTIF(lst_Jobs,C376&amp;"")&gt;0,"OK","CHECK"))</f>
        <v/>
      </c>
      <c r="E376" s="25">
        <f>IF(C376="","",IFERROR(INDEX(lst_JobName,MATCH(C376&amp;"",lst_Jobs,0)),""))</f>
        <v/>
      </c>
      <c r="F376" s="25">
        <f>IF(C376="","",IFERROR(INDEX(tbl_Finance[Client],MATCH(C376&amp;"",tbl_Finance[Job Number],0)),""))</f>
        <v/>
      </c>
      <c r="G376" s="28">
        <f>IF(C376="","",COUNTIFS(tbl_Finance[Job Number],C376&amp;"",tbl_Finance[Ex GST],"&lt;&gt;"))</f>
        <v/>
      </c>
      <c r="H376" s="27">
        <f>IF(C376="","",SUMIFS(tbl_Finance[Ex GST],tbl_Finance[Job Number],C376&amp;""))</f>
        <v/>
      </c>
      <c r="I376" s="27">
        <f>IF(C376="","",SUMIFS(tbl_Finance[Ex GST],tbl_Finance[Job Number],C376&amp;"",tbl_Finance[Xero Invoice No],"&lt;&gt;"))</f>
        <v/>
      </c>
      <c r="J376" s="27">
        <f>IF(C376="","",H376-I376)</f>
        <v/>
      </c>
      <c r="K376" s="25">
        <f>IF(C376="","",IF(G376=0,"not invoiced yet",SUBSTITUTE(TRIM(IF(COUNTIFS(tbl_Finance[Job Number],C376&amp;"",tbl_Finance[Cost Centre],"ONSITE")&gt;0,"ONSITE ","")&amp;IF(COUNTIFS(tbl_Finance[Job Number],C376&amp;"",tbl_Finance[Cost Centre],"PRODUCTION")&gt;0,"PRODUCTION ","")&amp;IF(COUNTIFS(tbl_Finance[Job Number],C376&amp;"",tbl_Finance[Cost Centre],"VIDEO")&gt;0,"VIDEO ","")&amp;IF(COUNTIFS(tbl_Finance[Job Number],C376&amp;"",tbl_Finance[Cost Centre],"INTEGRATION")&gt;0,"INTEGRATION ","")&amp;IF(COUNTIFS(tbl_Finance[Job Number],C376&amp;"",tbl_Finance[Cost Centre],"CONSULTING")&gt;0,"CONSULTING ","")&amp;IF(COUNTIFS(tbl_Finance[Job Number],C376&amp;"",tbl_Finance[Cost Centre],"CTS")&gt;0,"CTS ",""))," ",", ")))</f>
        <v/>
      </c>
      <c r="L376" s="24" t="n"/>
      <c r="M376" s="24" t="n"/>
      <c r="N376" s="25">
        <f>IF(M376="","",HYPERLINK(IF(LEFT(M376,4)="http",M376,set_QwilrBase&amp;M376),"Open quote"))</f>
        <v/>
      </c>
      <c r="O376" s="69" t="n"/>
      <c r="P376" s="24" t="n"/>
      <c r="Q376" s="24" t="n"/>
    </row>
    <row r="377" ht="15" customHeight="1">
      <c r="A377" s="68">
        <f>IF(C377="","",IFERROR(IF(SUMPRODUCT(MAX((tbl_Finance[Job Number]=C377&amp;"")*(tbl_Finance[Xero Invoice No]&lt;&gt;"")*tbl_Finance[Date]))=0,"",SUMPRODUCT(MAX((tbl_Finance[Job Number]=C377&amp;"")*(tbl_Finance[Xero Invoice No]&lt;&gt;"")*tbl_Finance[Date]))),""))</f>
        <v/>
      </c>
      <c r="B377" s="25">
        <f>IF(C377="","",IF(COUNTIFS(tbl_Finance[Job Number],C377&amp;"",tbl_Finance[Xero Invoice No],"&lt;&gt;")=0,"",IFERROR(IF(COUNTIFS(tbl_Finance[Job Number],C377&amp;"",tbl_Finance[Xero Invoice No],LOOKUP(2,1/((tbl_Finance[Job Number]=C377&amp;"")*(tbl_Finance[Xero Invoice No]&lt;&gt;"")),tbl_Finance[Xero Invoice No]))=COUNTIFS(tbl_Finance[Job Number],C377&amp;"",tbl_Finance[Xero Invoice No],"&lt;&gt;"),LOOKUP(2,1/((tbl_Finance[Job Number]=C377&amp;"")*(tbl_Finance[Xero Invoice No]&lt;&gt;"")),tbl_Finance[Xero Invoice No]),LOOKUP(2,1/((tbl_Finance[Job Number]=C377&amp;"")*(tbl_Finance[Xero Invoice No]&lt;&gt;"")),tbl_Finance[Xero Invoice No])&amp;" +more"),"")))</f>
        <v/>
      </c>
      <c r="C377" s="24" t="n"/>
      <c r="D377" s="25">
        <f>IF(C377="","",IF(COUNTIF(lst_Jobs,C377&amp;"")&gt;0,"OK","CHECK"))</f>
        <v/>
      </c>
      <c r="E377" s="25">
        <f>IF(C377="","",IFERROR(INDEX(lst_JobName,MATCH(C377&amp;"",lst_Jobs,0)),""))</f>
        <v/>
      </c>
      <c r="F377" s="25">
        <f>IF(C377="","",IFERROR(INDEX(tbl_Finance[Client],MATCH(C377&amp;"",tbl_Finance[Job Number],0)),""))</f>
        <v/>
      </c>
      <c r="G377" s="28">
        <f>IF(C377="","",COUNTIFS(tbl_Finance[Job Number],C377&amp;"",tbl_Finance[Ex GST],"&lt;&gt;"))</f>
        <v/>
      </c>
      <c r="H377" s="27">
        <f>IF(C377="","",SUMIFS(tbl_Finance[Ex GST],tbl_Finance[Job Number],C377&amp;""))</f>
        <v/>
      </c>
      <c r="I377" s="27">
        <f>IF(C377="","",SUMIFS(tbl_Finance[Ex GST],tbl_Finance[Job Number],C377&amp;"",tbl_Finance[Xero Invoice No],"&lt;&gt;"))</f>
        <v/>
      </c>
      <c r="J377" s="27">
        <f>IF(C377="","",H377-I377)</f>
        <v/>
      </c>
      <c r="K377" s="25">
        <f>IF(C377="","",IF(G377=0,"not invoiced yet",SUBSTITUTE(TRIM(IF(COUNTIFS(tbl_Finance[Job Number],C377&amp;"",tbl_Finance[Cost Centre],"ONSITE")&gt;0,"ONSITE ","")&amp;IF(COUNTIFS(tbl_Finance[Job Number],C377&amp;"",tbl_Finance[Cost Centre],"PRODUCTION")&gt;0,"PRODUCTION ","")&amp;IF(COUNTIFS(tbl_Finance[Job Number],C377&amp;"",tbl_Finance[Cost Centre],"VIDEO")&gt;0,"VIDEO ","")&amp;IF(COUNTIFS(tbl_Finance[Job Number],C377&amp;"",tbl_Finance[Cost Centre],"INTEGRATION")&gt;0,"INTEGRATION ","")&amp;IF(COUNTIFS(tbl_Finance[Job Number],C377&amp;"",tbl_Finance[Cost Centre],"CONSULTING")&gt;0,"CONSULTING ","")&amp;IF(COUNTIFS(tbl_Finance[Job Number],C377&amp;"",tbl_Finance[Cost Centre],"CTS")&gt;0,"CTS ",""))," ",", ")))</f>
        <v/>
      </c>
      <c r="L377" s="24" t="n"/>
      <c r="M377" s="24" t="n"/>
      <c r="N377" s="25">
        <f>IF(M377="","",HYPERLINK(IF(LEFT(M377,4)="http",M377,set_QwilrBase&amp;M377),"Open quote"))</f>
        <v/>
      </c>
      <c r="O377" s="69" t="n"/>
      <c r="P377" s="24" t="n"/>
      <c r="Q377" s="24" t="n"/>
    </row>
    <row r="378" ht="15" customHeight="1">
      <c r="A378" s="68">
        <f>IF(C378="","",IFERROR(IF(SUMPRODUCT(MAX((tbl_Finance[Job Number]=C378&amp;"")*(tbl_Finance[Xero Invoice No]&lt;&gt;"")*tbl_Finance[Date]))=0,"",SUMPRODUCT(MAX((tbl_Finance[Job Number]=C378&amp;"")*(tbl_Finance[Xero Invoice No]&lt;&gt;"")*tbl_Finance[Date]))),""))</f>
        <v/>
      </c>
      <c r="B378" s="25">
        <f>IF(C378="","",IF(COUNTIFS(tbl_Finance[Job Number],C378&amp;"",tbl_Finance[Xero Invoice No],"&lt;&gt;")=0,"",IFERROR(IF(COUNTIFS(tbl_Finance[Job Number],C378&amp;"",tbl_Finance[Xero Invoice No],LOOKUP(2,1/((tbl_Finance[Job Number]=C378&amp;"")*(tbl_Finance[Xero Invoice No]&lt;&gt;"")),tbl_Finance[Xero Invoice No]))=COUNTIFS(tbl_Finance[Job Number],C378&amp;"",tbl_Finance[Xero Invoice No],"&lt;&gt;"),LOOKUP(2,1/((tbl_Finance[Job Number]=C378&amp;"")*(tbl_Finance[Xero Invoice No]&lt;&gt;"")),tbl_Finance[Xero Invoice No]),LOOKUP(2,1/((tbl_Finance[Job Number]=C378&amp;"")*(tbl_Finance[Xero Invoice No]&lt;&gt;"")),tbl_Finance[Xero Invoice No])&amp;" +more"),"")))</f>
        <v/>
      </c>
      <c r="C378" s="24" t="n"/>
      <c r="D378" s="25">
        <f>IF(C378="","",IF(COUNTIF(lst_Jobs,C378&amp;"")&gt;0,"OK","CHECK"))</f>
        <v/>
      </c>
      <c r="E378" s="25">
        <f>IF(C378="","",IFERROR(INDEX(lst_JobName,MATCH(C378&amp;"",lst_Jobs,0)),""))</f>
        <v/>
      </c>
      <c r="F378" s="25">
        <f>IF(C378="","",IFERROR(INDEX(tbl_Finance[Client],MATCH(C378&amp;"",tbl_Finance[Job Number],0)),""))</f>
        <v/>
      </c>
      <c r="G378" s="28">
        <f>IF(C378="","",COUNTIFS(tbl_Finance[Job Number],C378&amp;"",tbl_Finance[Ex GST],"&lt;&gt;"))</f>
        <v/>
      </c>
      <c r="H378" s="27">
        <f>IF(C378="","",SUMIFS(tbl_Finance[Ex GST],tbl_Finance[Job Number],C378&amp;""))</f>
        <v/>
      </c>
      <c r="I378" s="27">
        <f>IF(C378="","",SUMIFS(tbl_Finance[Ex GST],tbl_Finance[Job Number],C378&amp;"",tbl_Finance[Xero Invoice No],"&lt;&gt;"))</f>
        <v/>
      </c>
      <c r="J378" s="27">
        <f>IF(C378="","",H378-I378)</f>
        <v/>
      </c>
      <c r="K378" s="25">
        <f>IF(C378="","",IF(G378=0,"not invoiced yet",SUBSTITUTE(TRIM(IF(COUNTIFS(tbl_Finance[Job Number],C378&amp;"",tbl_Finance[Cost Centre],"ONSITE")&gt;0,"ONSITE ","")&amp;IF(COUNTIFS(tbl_Finance[Job Number],C378&amp;"",tbl_Finance[Cost Centre],"PRODUCTION")&gt;0,"PRODUCTION ","")&amp;IF(COUNTIFS(tbl_Finance[Job Number],C378&amp;"",tbl_Finance[Cost Centre],"VIDEO")&gt;0,"VIDEO ","")&amp;IF(COUNTIFS(tbl_Finance[Job Number],C378&amp;"",tbl_Finance[Cost Centre],"INTEGRATION")&gt;0,"INTEGRATION ","")&amp;IF(COUNTIFS(tbl_Finance[Job Number],C378&amp;"",tbl_Finance[Cost Centre],"CONSULTING")&gt;0,"CONSULTING ","")&amp;IF(COUNTIFS(tbl_Finance[Job Number],C378&amp;"",tbl_Finance[Cost Centre],"CTS")&gt;0,"CTS ",""))," ",", ")))</f>
        <v/>
      </c>
      <c r="L378" s="24" t="n"/>
      <c r="M378" s="24" t="n"/>
      <c r="N378" s="25">
        <f>IF(M378="","",HYPERLINK(IF(LEFT(M378,4)="http",M378,set_QwilrBase&amp;M378),"Open quote"))</f>
        <v/>
      </c>
      <c r="O378" s="69" t="n"/>
      <c r="P378" s="24" t="n"/>
      <c r="Q378" s="24" t="n"/>
    </row>
    <row r="379" ht="15" customHeight="1">
      <c r="A379" s="68">
        <f>IF(C379="","",IFERROR(IF(SUMPRODUCT(MAX((tbl_Finance[Job Number]=C379&amp;"")*(tbl_Finance[Xero Invoice No]&lt;&gt;"")*tbl_Finance[Date]))=0,"",SUMPRODUCT(MAX((tbl_Finance[Job Number]=C379&amp;"")*(tbl_Finance[Xero Invoice No]&lt;&gt;"")*tbl_Finance[Date]))),""))</f>
        <v/>
      </c>
      <c r="B379" s="25">
        <f>IF(C379="","",IF(COUNTIFS(tbl_Finance[Job Number],C379&amp;"",tbl_Finance[Xero Invoice No],"&lt;&gt;")=0,"",IFERROR(IF(COUNTIFS(tbl_Finance[Job Number],C379&amp;"",tbl_Finance[Xero Invoice No],LOOKUP(2,1/((tbl_Finance[Job Number]=C379&amp;"")*(tbl_Finance[Xero Invoice No]&lt;&gt;"")),tbl_Finance[Xero Invoice No]))=COUNTIFS(tbl_Finance[Job Number],C379&amp;"",tbl_Finance[Xero Invoice No],"&lt;&gt;"),LOOKUP(2,1/((tbl_Finance[Job Number]=C379&amp;"")*(tbl_Finance[Xero Invoice No]&lt;&gt;"")),tbl_Finance[Xero Invoice No]),LOOKUP(2,1/((tbl_Finance[Job Number]=C379&amp;"")*(tbl_Finance[Xero Invoice No]&lt;&gt;"")),tbl_Finance[Xero Invoice No])&amp;" +more"),"")))</f>
        <v/>
      </c>
      <c r="C379" s="24" t="n"/>
      <c r="D379" s="25">
        <f>IF(C379="","",IF(COUNTIF(lst_Jobs,C379&amp;"")&gt;0,"OK","CHECK"))</f>
        <v/>
      </c>
      <c r="E379" s="25">
        <f>IF(C379="","",IFERROR(INDEX(lst_JobName,MATCH(C379&amp;"",lst_Jobs,0)),""))</f>
        <v/>
      </c>
      <c r="F379" s="25">
        <f>IF(C379="","",IFERROR(INDEX(tbl_Finance[Client],MATCH(C379&amp;"",tbl_Finance[Job Number],0)),""))</f>
        <v/>
      </c>
      <c r="G379" s="28">
        <f>IF(C379="","",COUNTIFS(tbl_Finance[Job Number],C379&amp;"",tbl_Finance[Ex GST],"&lt;&gt;"))</f>
        <v/>
      </c>
      <c r="H379" s="27">
        <f>IF(C379="","",SUMIFS(tbl_Finance[Ex GST],tbl_Finance[Job Number],C379&amp;""))</f>
        <v/>
      </c>
      <c r="I379" s="27">
        <f>IF(C379="","",SUMIFS(tbl_Finance[Ex GST],tbl_Finance[Job Number],C379&amp;"",tbl_Finance[Xero Invoice No],"&lt;&gt;"))</f>
        <v/>
      </c>
      <c r="J379" s="27">
        <f>IF(C379="","",H379-I379)</f>
        <v/>
      </c>
      <c r="K379" s="25">
        <f>IF(C379="","",IF(G379=0,"not invoiced yet",SUBSTITUTE(TRIM(IF(COUNTIFS(tbl_Finance[Job Number],C379&amp;"",tbl_Finance[Cost Centre],"ONSITE")&gt;0,"ONSITE ","")&amp;IF(COUNTIFS(tbl_Finance[Job Number],C379&amp;"",tbl_Finance[Cost Centre],"PRODUCTION")&gt;0,"PRODUCTION ","")&amp;IF(COUNTIFS(tbl_Finance[Job Number],C379&amp;"",tbl_Finance[Cost Centre],"VIDEO")&gt;0,"VIDEO ","")&amp;IF(COUNTIFS(tbl_Finance[Job Number],C379&amp;"",tbl_Finance[Cost Centre],"INTEGRATION")&gt;0,"INTEGRATION ","")&amp;IF(COUNTIFS(tbl_Finance[Job Number],C379&amp;"",tbl_Finance[Cost Centre],"CONSULTING")&gt;0,"CONSULTING ","")&amp;IF(COUNTIFS(tbl_Finance[Job Number],C379&amp;"",tbl_Finance[Cost Centre],"CTS")&gt;0,"CTS ",""))," ",", ")))</f>
        <v/>
      </c>
      <c r="L379" s="24" t="n"/>
      <c r="M379" s="24" t="n"/>
      <c r="N379" s="25">
        <f>IF(M379="","",HYPERLINK(IF(LEFT(M379,4)="http",M379,set_QwilrBase&amp;M379),"Open quote"))</f>
        <v/>
      </c>
      <c r="O379" s="69" t="n"/>
      <c r="P379" s="24" t="n"/>
      <c r="Q379" s="24" t="n"/>
    </row>
    <row r="380" ht="15" customHeight="1">
      <c r="A380" s="68">
        <f>IF(C380="","",IFERROR(IF(SUMPRODUCT(MAX((tbl_Finance[Job Number]=C380&amp;"")*(tbl_Finance[Xero Invoice No]&lt;&gt;"")*tbl_Finance[Date]))=0,"",SUMPRODUCT(MAX((tbl_Finance[Job Number]=C380&amp;"")*(tbl_Finance[Xero Invoice No]&lt;&gt;"")*tbl_Finance[Date]))),""))</f>
        <v/>
      </c>
      <c r="B380" s="25">
        <f>IF(C380="","",IF(COUNTIFS(tbl_Finance[Job Number],C380&amp;"",tbl_Finance[Xero Invoice No],"&lt;&gt;")=0,"",IFERROR(IF(COUNTIFS(tbl_Finance[Job Number],C380&amp;"",tbl_Finance[Xero Invoice No],LOOKUP(2,1/((tbl_Finance[Job Number]=C380&amp;"")*(tbl_Finance[Xero Invoice No]&lt;&gt;"")),tbl_Finance[Xero Invoice No]))=COUNTIFS(tbl_Finance[Job Number],C380&amp;"",tbl_Finance[Xero Invoice No],"&lt;&gt;"),LOOKUP(2,1/((tbl_Finance[Job Number]=C380&amp;"")*(tbl_Finance[Xero Invoice No]&lt;&gt;"")),tbl_Finance[Xero Invoice No]),LOOKUP(2,1/((tbl_Finance[Job Number]=C380&amp;"")*(tbl_Finance[Xero Invoice No]&lt;&gt;"")),tbl_Finance[Xero Invoice No])&amp;" +more"),"")))</f>
        <v/>
      </c>
      <c r="C380" s="24" t="n"/>
      <c r="D380" s="25">
        <f>IF(C380="","",IF(COUNTIF(lst_Jobs,C380&amp;"")&gt;0,"OK","CHECK"))</f>
        <v/>
      </c>
      <c r="E380" s="25">
        <f>IF(C380="","",IFERROR(INDEX(lst_JobName,MATCH(C380&amp;"",lst_Jobs,0)),""))</f>
        <v/>
      </c>
      <c r="F380" s="25">
        <f>IF(C380="","",IFERROR(INDEX(tbl_Finance[Client],MATCH(C380&amp;"",tbl_Finance[Job Number],0)),""))</f>
        <v/>
      </c>
      <c r="G380" s="28">
        <f>IF(C380="","",COUNTIFS(tbl_Finance[Job Number],C380&amp;"",tbl_Finance[Ex GST],"&lt;&gt;"))</f>
        <v/>
      </c>
      <c r="H380" s="27">
        <f>IF(C380="","",SUMIFS(tbl_Finance[Ex GST],tbl_Finance[Job Number],C380&amp;""))</f>
        <v/>
      </c>
      <c r="I380" s="27">
        <f>IF(C380="","",SUMIFS(tbl_Finance[Ex GST],tbl_Finance[Job Number],C380&amp;"",tbl_Finance[Xero Invoice No],"&lt;&gt;"))</f>
        <v/>
      </c>
      <c r="J380" s="27">
        <f>IF(C380="","",H380-I380)</f>
        <v/>
      </c>
      <c r="K380" s="25">
        <f>IF(C380="","",IF(G380=0,"not invoiced yet",SUBSTITUTE(TRIM(IF(COUNTIFS(tbl_Finance[Job Number],C380&amp;"",tbl_Finance[Cost Centre],"ONSITE")&gt;0,"ONSITE ","")&amp;IF(COUNTIFS(tbl_Finance[Job Number],C380&amp;"",tbl_Finance[Cost Centre],"PRODUCTION")&gt;0,"PRODUCTION ","")&amp;IF(COUNTIFS(tbl_Finance[Job Number],C380&amp;"",tbl_Finance[Cost Centre],"VIDEO")&gt;0,"VIDEO ","")&amp;IF(COUNTIFS(tbl_Finance[Job Number],C380&amp;"",tbl_Finance[Cost Centre],"INTEGRATION")&gt;0,"INTEGRATION ","")&amp;IF(COUNTIFS(tbl_Finance[Job Number],C380&amp;"",tbl_Finance[Cost Centre],"CONSULTING")&gt;0,"CONSULTING ","")&amp;IF(COUNTIFS(tbl_Finance[Job Number],C380&amp;"",tbl_Finance[Cost Centre],"CTS")&gt;0,"CTS ",""))," ",", ")))</f>
        <v/>
      </c>
      <c r="L380" s="24" t="n"/>
      <c r="M380" s="24" t="n"/>
      <c r="N380" s="25">
        <f>IF(M380="","",HYPERLINK(IF(LEFT(M380,4)="http",M380,set_QwilrBase&amp;M380),"Open quote"))</f>
        <v/>
      </c>
      <c r="O380" s="69" t="n"/>
      <c r="P380" s="24" t="n"/>
      <c r="Q380" s="24" t="n"/>
    </row>
    <row r="381" ht="15" customHeight="1">
      <c r="A381" s="68">
        <f>IF(C381="","",IFERROR(IF(SUMPRODUCT(MAX((tbl_Finance[Job Number]=C381&amp;"")*(tbl_Finance[Xero Invoice No]&lt;&gt;"")*tbl_Finance[Date]))=0,"",SUMPRODUCT(MAX((tbl_Finance[Job Number]=C381&amp;"")*(tbl_Finance[Xero Invoice No]&lt;&gt;"")*tbl_Finance[Date]))),""))</f>
        <v/>
      </c>
      <c r="B381" s="25">
        <f>IF(C381="","",IF(COUNTIFS(tbl_Finance[Job Number],C381&amp;"",tbl_Finance[Xero Invoice No],"&lt;&gt;")=0,"",IFERROR(IF(COUNTIFS(tbl_Finance[Job Number],C381&amp;"",tbl_Finance[Xero Invoice No],LOOKUP(2,1/((tbl_Finance[Job Number]=C381&amp;"")*(tbl_Finance[Xero Invoice No]&lt;&gt;"")),tbl_Finance[Xero Invoice No]))=COUNTIFS(tbl_Finance[Job Number],C381&amp;"",tbl_Finance[Xero Invoice No],"&lt;&gt;"),LOOKUP(2,1/((tbl_Finance[Job Number]=C381&amp;"")*(tbl_Finance[Xero Invoice No]&lt;&gt;"")),tbl_Finance[Xero Invoice No]),LOOKUP(2,1/((tbl_Finance[Job Number]=C381&amp;"")*(tbl_Finance[Xero Invoice No]&lt;&gt;"")),tbl_Finance[Xero Invoice No])&amp;" +more"),"")))</f>
        <v/>
      </c>
      <c r="C381" s="24" t="n"/>
      <c r="D381" s="25">
        <f>IF(C381="","",IF(COUNTIF(lst_Jobs,C381&amp;"")&gt;0,"OK","CHECK"))</f>
        <v/>
      </c>
      <c r="E381" s="25">
        <f>IF(C381="","",IFERROR(INDEX(lst_JobName,MATCH(C381&amp;"",lst_Jobs,0)),""))</f>
        <v/>
      </c>
      <c r="F381" s="25">
        <f>IF(C381="","",IFERROR(INDEX(tbl_Finance[Client],MATCH(C381&amp;"",tbl_Finance[Job Number],0)),""))</f>
        <v/>
      </c>
      <c r="G381" s="28">
        <f>IF(C381="","",COUNTIFS(tbl_Finance[Job Number],C381&amp;"",tbl_Finance[Ex GST],"&lt;&gt;"))</f>
        <v/>
      </c>
      <c r="H381" s="27">
        <f>IF(C381="","",SUMIFS(tbl_Finance[Ex GST],tbl_Finance[Job Number],C381&amp;""))</f>
        <v/>
      </c>
      <c r="I381" s="27">
        <f>IF(C381="","",SUMIFS(tbl_Finance[Ex GST],tbl_Finance[Job Number],C381&amp;"",tbl_Finance[Xero Invoice No],"&lt;&gt;"))</f>
        <v/>
      </c>
      <c r="J381" s="27">
        <f>IF(C381="","",H381-I381)</f>
        <v/>
      </c>
      <c r="K381" s="25">
        <f>IF(C381="","",IF(G381=0,"not invoiced yet",SUBSTITUTE(TRIM(IF(COUNTIFS(tbl_Finance[Job Number],C381&amp;"",tbl_Finance[Cost Centre],"ONSITE")&gt;0,"ONSITE ","")&amp;IF(COUNTIFS(tbl_Finance[Job Number],C381&amp;"",tbl_Finance[Cost Centre],"PRODUCTION")&gt;0,"PRODUCTION ","")&amp;IF(COUNTIFS(tbl_Finance[Job Number],C381&amp;"",tbl_Finance[Cost Centre],"VIDEO")&gt;0,"VIDEO ","")&amp;IF(COUNTIFS(tbl_Finance[Job Number],C381&amp;"",tbl_Finance[Cost Centre],"INTEGRATION")&gt;0,"INTEGRATION ","")&amp;IF(COUNTIFS(tbl_Finance[Job Number],C381&amp;"",tbl_Finance[Cost Centre],"CONSULTING")&gt;0,"CONSULTING ","")&amp;IF(COUNTIFS(tbl_Finance[Job Number],C381&amp;"",tbl_Finance[Cost Centre],"CTS")&gt;0,"CTS ",""))," ",", ")))</f>
        <v/>
      </c>
      <c r="L381" s="24" t="n"/>
      <c r="M381" s="24" t="n"/>
      <c r="N381" s="25">
        <f>IF(M381="","",HYPERLINK(IF(LEFT(M381,4)="http",M381,set_QwilrBase&amp;M381),"Open quote"))</f>
        <v/>
      </c>
      <c r="O381" s="69" t="n"/>
      <c r="P381" s="24" t="n"/>
      <c r="Q381" s="24" t="n"/>
    </row>
    <row r="382" ht="15" customHeight="1">
      <c r="A382" s="68">
        <f>IF(C382="","",IFERROR(IF(SUMPRODUCT(MAX((tbl_Finance[Job Number]=C382&amp;"")*(tbl_Finance[Xero Invoice No]&lt;&gt;"")*tbl_Finance[Date]))=0,"",SUMPRODUCT(MAX((tbl_Finance[Job Number]=C382&amp;"")*(tbl_Finance[Xero Invoice No]&lt;&gt;"")*tbl_Finance[Date]))),""))</f>
        <v/>
      </c>
      <c r="B382" s="25">
        <f>IF(C382="","",IF(COUNTIFS(tbl_Finance[Job Number],C382&amp;"",tbl_Finance[Xero Invoice No],"&lt;&gt;")=0,"",IFERROR(IF(COUNTIFS(tbl_Finance[Job Number],C382&amp;"",tbl_Finance[Xero Invoice No],LOOKUP(2,1/((tbl_Finance[Job Number]=C382&amp;"")*(tbl_Finance[Xero Invoice No]&lt;&gt;"")),tbl_Finance[Xero Invoice No]))=COUNTIFS(tbl_Finance[Job Number],C382&amp;"",tbl_Finance[Xero Invoice No],"&lt;&gt;"),LOOKUP(2,1/((tbl_Finance[Job Number]=C382&amp;"")*(tbl_Finance[Xero Invoice No]&lt;&gt;"")),tbl_Finance[Xero Invoice No]),LOOKUP(2,1/((tbl_Finance[Job Number]=C382&amp;"")*(tbl_Finance[Xero Invoice No]&lt;&gt;"")),tbl_Finance[Xero Invoice No])&amp;" +more"),"")))</f>
        <v/>
      </c>
      <c r="C382" s="24" t="n"/>
      <c r="D382" s="25">
        <f>IF(C382="","",IF(COUNTIF(lst_Jobs,C382&amp;"")&gt;0,"OK","CHECK"))</f>
        <v/>
      </c>
      <c r="E382" s="25">
        <f>IF(C382="","",IFERROR(INDEX(lst_JobName,MATCH(C382&amp;"",lst_Jobs,0)),""))</f>
        <v/>
      </c>
      <c r="F382" s="25">
        <f>IF(C382="","",IFERROR(INDEX(tbl_Finance[Client],MATCH(C382&amp;"",tbl_Finance[Job Number],0)),""))</f>
        <v/>
      </c>
      <c r="G382" s="28">
        <f>IF(C382="","",COUNTIFS(tbl_Finance[Job Number],C382&amp;"",tbl_Finance[Ex GST],"&lt;&gt;"))</f>
        <v/>
      </c>
      <c r="H382" s="27">
        <f>IF(C382="","",SUMIFS(tbl_Finance[Ex GST],tbl_Finance[Job Number],C382&amp;""))</f>
        <v/>
      </c>
      <c r="I382" s="27">
        <f>IF(C382="","",SUMIFS(tbl_Finance[Ex GST],tbl_Finance[Job Number],C382&amp;"",tbl_Finance[Xero Invoice No],"&lt;&gt;"))</f>
        <v/>
      </c>
      <c r="J382" s="27">
        <f>IF(C382="","",H382-I382)</f>
        <v/>
      </c>
      <c r="K382" s="25">
        <f>IF(C382="","",IF(G382=0,"not invoiced yet",SUBSTITUTE(TRIM(IF(COUNTIFS(tbl_Finance[Job Number],C382&amp;"",tbl_Finance[Cost Centre],"ONSITE")&gt;0,"ONSITE ","")&amp;IF(COUNTIFS(tbl_Finance[Job Number],C382&amp;"",tbl_Finance[Cost Centre],"PRODUCTION")&gt;0,"PRODUCTION ","")&amp;IF(COUNTIFS(tbl_Finance[Job Number],C382&amp;"",tbl_Finance[Cost Centre],"VIDEO")&gt;0,"VIDEO ","")&amp;IF(COUNTIFS(tbl_Finance[Job Number],C382&amp;"",tbl_Finance[Cost Centre],"INTEGRATION")&gt;0,"INTEGRATION ","")&amp;IF(COUNTIFS(tbl_Finance[Job Number],C382&amp;"",tbl_Finance[Cost Centre],"CONSULTING")&gt;0,"CONSULTING ","")&amp;IF(COUNTIFS(tbl_Finance[Job Number],C382&amp;"",tbl_Finance[Cost Centre],"CTS")&gt;0,"CTS ",""))," ",", ")))</f>
        <v/>
      </c>
      <c r="L382" s="24" t="n"/>
      <c r="M382" s="24" t="n"/>
      <c r="N382" s="25">
        <f>IF(M382="","",HYPERLINK(IF(LEFT(M382,4)="http",M382,set_QwilrBase&amp;M382),"Open quote"))</f>
        <v/>
      </c>
      <c r="O382" s="69" t="n"/>
      <c r="P382" s="24" t="n"/>
      <c r="Q382" s="24" t="n"/>
    </row>
    <row r="383" ht="15" customHeight="1">
      <c r="A383" s="68">
        <f>IF(C383="","",IFERROR(IF(SUMPRODUCT(MAX((tbl_Finance[Job Number]=C383&amp;"")*(tbl_Finance[Xero Invoice No]&lt;&gt;"")*tbl_Finance[Date]))=0,"",SUMPRODUCT(MAX((tbl_Finance[Job Number]=C383&amp;"")*(tbl_Finance[Xero Invoice No]&lt;&gt;"")*tbl_Finance[Date]))),""))</f>
        <v/>
      </c>
      <c r="B383" s="25">
        <f>IF(C383="","",IF(COUNTIFS(tbl_Finance[Job Number],C383&amp;"",tbl_Finance[Xero Invoice No],"&lt;&gt;")=0,"",IFERROR(IF(COUNTIFS(tbl_Finance[Job Number],C383&amp;"",tbl_Finance[Xero Invoice No],LOOKUP(2,1/((tbl_Finance[Job Number]=C383&amp;"")*(tbl_Finance[Xero Invoice No]&lt;&gt;"")),tbl_Finance[Xero Invoice No]))=COUNTIFS(tbl_Finance[Job Number],C383&amp;"",tbl_Finance[Xero Invoice No],"&lt;&gt;"),LOOKUP(2,1/((tbl_Finance[Job Number]=C383&amp;"")*(tbl_Finance[Xero Invoice No]&lt;&gt;"")),tbl_Finance[Xero Invoice No]),LOOKUP(2,1/((tbl_Finance[Job Number]=C383&amp;"")*(tbl_Finance[Xero Invoice No]&lt;&gt;"")),tbl_Finance[Xero Invoice No])&amp;" +more"),"")))</f>
        <v/>
      </c>
      <c r="C383" s="24" t="n"/>
      <c r="D383" s="25">
        <f>IF(C383="","",IF(COUNTIF(lst_Jobs,C383&amp;"")&gt;0,"OK","CHECK"))</f>
        <v/>
      </c>
      <c r="E383" s="25">
        <f>IF(C383="","",IFERROR(INDEX(lst_JobName,MATCH(C383&amp;"",lst_Jobs,0)),""))</f>
        <v/>
      </c>
      <c r="F383" s="25">
        <f>IF(C383="","",IFERROR(INDEX(tbl_Finance[Client],MATCH(C383&amp;"",tbl_Finance[Job Number],0)),""))</f>
        <v/>
      </c>
      <c r="G383" s="28">
        <f>IF(C383="","",COUNTIFS(tbl_Finance[Job Number],C383&amp;"",tbl_Finance[Ex GST],"&lt;&gt;"))</f>
        <v/>
      </c>
      <c r="H383" s="27">
        <f>IF(C383="","",SUMIFS(tbl_Finance[Ex GST],tbl_Finance[Job Number],C383&amp;""))</f>
        <v/>
      </c>
      <c r="I383" s="27">
        <f>IF(C383="","",SUMIFS(tbl_Finance[Ex GST],tbl_Finance[Job Number],C383&amp;"",tbl_Finance[Xero Invoice No],"&lt;&gt;"))</f>
        <v/>
      </c>
      <c r="J383" s="27">
        <f>IF(C383="","",H383-I383)</f>
        <v/>
      </c>
      <c r="K383" s="25">
        <f>IF(C383="","",IF(G383=0,"not invoiced yet",SUBSTITUTE(TRIM(IF(COUNTIFS(tbl_Finance[Job Number],C383&amp;"",tbl_Finance[Cost Centre],"ONSITE")&gt;0,"ONSITE ","")&amp;IF(COUNTIFS(tbl_Finance[Job Number],C383&amp;"",tbl_Finance[Cost Centre],"PRODUCTION")&gt;0,"PRODUCTION ","")&amp;IF(COUNTIFS(tbl_Finance[Job Number],C383&amp;"",tbl_Finance[Cost Centre],"VIDEO")&gt;0,"VIDEO ","")&amp;IF(COUNTIFS(tbl_Finance[Job Number],C383&amp;"",tbl_Finance[Cost Centre],"INTEGRATION")&gt;0,"INTEGRATION ","")&amp;IF(COUNTIFS(tbl_Finance[Job Number],C383&amp;"",tbl_Finance[Cost Centre],"CONSULTING")&gt;0,"CONSULTING ","")&amp;IF(COUNTIFS(tbl_Finance[Job Number],C383&amp;"",tbl_Finance[Cost Centre],"CTS")&gt;0,"CTS ",""))," ",", ")))</f>
        <v/>
      </c>
      <c r="L383" s="24" t="n"/>
      <c r="M383" s="24" t="n"/>
      <c r="N383" s="25">
        <f>IF(M383="","",HYPERLINK(IF(LEFT(M383,4)="http",M383,set_QwilrBase&amp;M383),"Open quote"))</f>
        <v/>
      </c>
      <c r="O383" s="69" t="n"/>
      <c r="P383" s="24" t="n"/>
      <c r="Q383" s="24" t="n"/>
    </row>
    <row r="384" ht="15" customHeight="1">
      <c r="A384" s="68">
        <f>IF(C384="","",IFERROR(IF(SUMPRODUCT(MAX((tbl_Finance[Job Number]=C384&amp;"")*(tbl_Finance[Xero Invoice No]&lt;&gt;"")*tbl_Finance[Date]))=0,"",SUMPRODUCT(MAX((tbl_Finance[Job Number]=C384&amp;"")*(tbl_Finance[Xero Invoice No]&lt;&gt;"")*tbl_Finance[Date]))),""))</f>
        <v/>
      </c>
      <c r="B384" s="25">
        <f>IF(C384="","",IF(COUNTIFS(tbl_Finance[Job Number],C384&amp;"",tbl_Finance[Xero Invoice No],"&lt;&gt;")=0,"",IFERROR(IF(COUNTIFS(tbl_Finance[Job Number],C384&amp;"",tbl_Finance[Xero Invoice No],LOOKUP(2,1/((tbl_Finance[Job Number]=C384&amp;"")*(tbl_Finance[Xero Invoice No]&lt;&gt;"")),tbl_Finance[Xero Invoice No]))=COUNTIFS(tbl_Finance[Job Number],C384&amp;"",tbl_Finance[Xero Invoice No],"&lt;&gt;"),LOOKUP(2,1/((tbl_Finance[Job Number]=C384&amp;"")*(tbl_Finance[Xero Invoice No]&lt;&gt;"")),tbl_Finance[Xero Invoice No]),LOOKUP(2,1/((tbl_Finance[Job Number]=C384&amp;"")*(tbl_Finance[Xero Invoice No]&lt;&gt;"")),tbl_Finance[Xero Invoice No])&amp;" +more"),"")))</f>
        <v/>
      </c>
      <c r="C384" s="24" t="n"/>
      <c r="D384" s="25">
        <f>IF(C384="","",IF(COUNTIF(lst_Jobs,C384&amp;"")&gt;0,"OK","CHECK"))</f>
        <v/>
      </c>
      <c r="E384" s="25">
        <f>IF(C384="","",IFERROR(INDEX(lst_JobName,MATCH(C384&amp;"",lst_Jobs,0)),""))</f>
        <v/>
      </c>
      <c r="F384" s="25">
        <f>IF(C384="","",IFERROR(INDEX(tbl_Finance[Client],MATCH(C384&amp;"",tbl_Finance[Job Number],0)),""))</f>
        <v/>
      </c>
      <c r="G384" s="28">
        <f>IF(C384="","",COUNTIFS(tbl_Finance[Job Number],C384&amp;"",tbl_Finance[Ex GST],"&lt;&gt;"))</f>
        <v/>
      </c>
      <c r="H384" s="27">
        <f>IF(C384="","",SUMIFS(tbl_Finance[Ex GST],tbl_Finance[Job Number],C384&amp;""))</f>
        <v/>
      </c>
      <c r="I384" s="27">
        <f>IF(C384="","",SUMIFS(tbl_Finance[Ex GST],tbl_Finance[Job Number],C384&amp;"",tbl_Finance[Xero Invoice No],"&lt;&gt;"))</f>
        <v/>
      </c>
      <c r="J384" s="27">
        <f>IF(C384="","",H384-I384)</f>
        <v/>
      </c>
      <c r="K384" s="25">
        <f>IF(C384="","",IF(G384=0,"not invoiced yet",SUBSTITUTE(TRIM(IF(COUNTIFS(tbl_Finance[Job Number],C384&amp;"",tbl_Finance[Cost Centre],"ONSITE")&gt;0,"ONSITE ","")&amp;IF(COUNTIFS(tbl_Finance[Job Number],C384&amp;"",tbl_Finance[Cost Centre],"PRODUCTION")&gt;0,"PRODUCTION ","")&amp;IF(COUNTIFS(tbl_Finance[Job Number],C384&amp;"",tbl_Finance[Cost Centre],"VIDEO")&gt;0,"VIDEO ","")&amp;IF(COUNTIFS(tbl_Finance[Job Number],C384&amp;"",tbl_Finance[Cost Centre],"INTEGRATION")&gt;0,"INTEGRATION ","")&amp;IF(COUNTIFS(tbl_Finance[Job Number],C384&amp;"",tbl_Finance[Cost Centre],"CONSULTING")&gt;0,"CONSULTING ","")&amp;IF(COUNTIFS(tbl_Finance[Job Number],C384&amp;"",tbl_Finance[Cost Centre],"CTS")&gt;0,"CTS ",""))," ",", ")))</f>
        <v/>
      </c>
      <c r="L384" s="24" t="n"/>
      <c r="M384" s="24" t="n"/>
      <c r="N384" s="25">
        <f>IF(M384="","",HYPERLINK(IF(LEFT(M384,4)="http",M384,set_QwilrBase&amp;M384),"Open quote"))</f>
        <v/>
      </c>
      <c r="O384" s="69" t="n"/>
      <c r="P384" s="24" t="n"/>
      <c r="Q384" s="24" t="n"/>
    </row>
    <row r="385" ht="15" customHeight="1">
      <c r="A385" s="68">
        <f>IF(C385="","",IFERROR(IF(SUMPRODUCT(MAX((tbl_Finance[Job Number]=C385&amp;"")*(tbl_Finance[Xero Invoice No]&lt;&gt;"")*tbl_Finance[Date]))=0,"",SUMPRODUCT(MAX((tbl_Finance[Job Number]=C385&amp;"")*(tbl_Finance[Xero Invoice No]&lt;&gt;"")*tbl_Finance[Date]))),""))</f>
        <v/>
      </c>
      <c r="B385" s="25">
        <f>IF(C385="","",IF(COUNTIFS(tbl_Finance[Job Number],C385&amp;"",tbl_Finance[Xero Invoice No],"&lt;&gt;")=0,"",IFERROR(IF(COUNTIFS(tbl_Finance[Job Number],C385&amp;"",tbl_Finance[Xero Invoice No],LOOKUP(2,1/((tbl_Finance[Job Number]=C385&amp;"")*(tbl_Finance[Xero Invoice No]&lt;&gt;"")),tbl_Finance[Xero Invoice No]))=COUNTIFS(tbl_Finance[Job Number],C385&amp;"",tbl_Finance[Xero Invoice No],"&lt;&gt;"),LOOKUP(2,1/((tbl_Finance[Job Number]=C385&amp;"")*(tbl_Finance[Xero Invoice No]&lt;&gt;"")),tbl_Finance[Xero Invoice No]),LOOKUP(2,1/((tbl_Finance[Job Number]=C385&amp;"")*(tbl_Finance[Xero Invoice No]&lt;&gt;"")),tbl_Finance[Xero Invoice No])&amp;" +more"),"")))</f>
        <v/>
      </c>
      <c r="C385" s="24" t="n"/>
      <c r="D385" s="25">
        <f>IF(C385="","",IF(COUNTIF(lst_Jobs,C385&amp;"")&gt;0,"OK","CHECK"))</f>
        <v/>
      </c>
      <c r="E385" s="25">
        <f>IF(C385="","",IFERROR(INDEX(lst_JobName,MATCH(C385&amp;"",lst_Jobs,0)),""))</f>
        <v/>
      </c>
      <c r="F385" s="25">
        <f>IF(C385="","",IFERROR(INDEX(tbl_Finance[Client],MATCH(C385&amp;"",tbl_Finance[Job Number],0)),""))</f>
        <v/>
      </c>
      <c r="G385" s="28">
        <f>IF(C385="","",COUNTIFS(tbl_Finance[Job Number],C385&amp;"",tbl_Finance[Ex GST],"&lt;&gt;"))</f>
        <v/>
      </c>
      <c r="H385" s="27">
        <f>IF(C385="","",SUMIFS(tbl_Finance[Ex GST],tbl_Finance[Job Number],C385&amp;""))</f>
        <v/>
      </c>
      <c r="I385" s="27">
        <f>IF(C385="","",SUMIFS(tbl_Finance[Ex GST],tbl_Finance[Job Number],C385&amp;"",tbl_Finance[Xero Invoice No],"&lt;&gt;"))</f>
        <v/>
      </c>
      <c r="J385" s="27">
        <f>IF(C385="","",H385-I385)</f>
        <v/>
      </c>
      <c r="K385" s="25">
        <f>IF(C385="","",IF(G385=0,"not invoiced yet",SUBSTITUTE(TRIM(IF(COUNTIFS(tbl_Finance[Job Number],C385&amp;"",tbl_Finance[Cost Centre],"ONSITE")&gt;0,"ONSITE ","")&amp;IF(COUNTIFS(tbl_Finance[Job Number],C385&amp;"",tbl_Finance[Cost Centre],"PRODUCTION")&gt;0,"PRODUCTION ","")&amp;IF(COUNTIFS(tbl_Finance[Job Number],C385&amp;"",tbl_Finance[Cost Centre],"VIDEO")&gt;0,"VIDEO ","")&amp;IF(COUNTIFS(tbl_Finance[Job Number],C385&amp;"",tbl_Finance[Cost Centre],"INTEGRATION")&gt;0,"INTEGRATION ","")&amp;IF(COUNTIFS(tbl_Finance[Job Number],C385&amp;"",tbl_Finance[Cost Centre],"CONSULTING")&gt;0,"CONSULTING ","")&amp;IF(COUNTIFS(tbl_Finance[Job Number],C385&amp;"",tbl_Finance[Cost Centre],"CTS")&gt;0,"CTS ",""))," ",", ")))</f>
        <v/>
      </c>
      <c r="L385" s="24" t="n"/>
      <c r="M385" s="24" t="n"/>
      <c r="N385" s="25">
        <f>IF(M385="","",HYPERLINK(IF(LEFT(M385,4)="http",M385,set_QwilrBase&amp;M385),"Open quote"))</f>
        <v/>
      </c>
      <c r="O385" s="69" t="n"/>
      <c r="P385" s="24" t="n"/>
      <c r="Q385" s="24" t="n"/>
    </row>
    <row r="386" ht="15" customHeight="1">
      <c r="A386" s="68">
        <f>IF(C386="","",IFERROR(IF(SUMPRODUCT(MAX((tbl_Finance[Job Number]=C386&amp;"")*(tbl_Finance[Xero Invoice No]&lt;&gt;"")*tbl_Finance[Date]))=0,"",SUMPRODUCT(MAX((tbl_Finance[Job Number]=C386&amp;"")*(tbl_Finance[Xero Invoice No]&lt;&gt;"")*tbl_Finance[Date]))),""))</f>
        <v/>
      </c>
      <c r="B386" s="25">
        <f>IF(C386="","",IF(COUNTIFS(tbl_Finance[Job Number],C386&amp;"",tbl_Finance[Xero Invoice No],"&lt;&gt;")=0,"",IFERROR(IF(COUNTIFS(tbl_Finance[Job Number],C386&amp;"",tbl_Finance[Xero Invoice No],LOOKUP(2,1/((tbl_Finance[Job Number]=C386&amp;"")*(tbl_Finance[Xero Invoice No]&lt;&gt;"")),tbl_Finance[Xero Invoice No]))=COUNTIFS(tbl_Finance[Job Number],C386&amp;"",tbl_Finance[Xero Invoice No],"&lt;&gt;"),LOOKUP(2,1/((tbl_Finance[Job Number]=C386&amp;"")*(tbl_Finance[Xero Invoice No]&lt;&gt;"")),tbl_Finance[Xero Invoice No]),LOOKUP(2,1/((tbl_Finance[Job Number]=C386&amp;"")*(tbl_Finance[Xero Invoice No]&lt;&gt;"")),tbl_Finance[Xero Invoice No])&amp;" +more"),"")))</f>
        <v/>
      </c>
      <c r="C386" s="24" t="n"/>
      <c r="D386" s="25">
        <f>IF(C386="","",IF(COUNTIF(lst_Jobs,C386&amp;"")&gt;0,"OK","CHECK"))</f>
        <v/>
      </c>
      <c r="E386" s="25">
        <f>IF(C386="","",IFERROR(INDEX(lst_JobName,MATCH(C386&amp;"",lst_Jobs,0)),""))</f>
        <v/>
      </c>
      <c r="F386" s="25">
        <f>IF(C386="","",IFERROR(INDEX(tbl_Finance[Client],MATCH(C386&amp;"",tbl_Finance[Job Number],0)),""))</f>
        <v/>
      </c>
      <c r="G386" s="28">
        <f>IF(C386="","",COUNTIFS(tbl_Finance[Job Number],C386&amp;"",tbl_Finance[Ex GST],"&lt;&gt;"))</f>
        <v/>
      </c>
      <c r="H386" s="27">
        <f>IF(C386="","",SUMIFS(tbl_Finance[Ex GST],tbl_Finance[Job Number],C386&amp;""))</f>
        <v/>
      </c>
      <c r="I386" s="27">
        <f>IF(C386="","",SUMIFS(tbl_Finance[Ex GST],tbl_Finance[Job Number],C386&amp;"",tbl_Finance[Xero Invoice No],"&lt;&gt;"))</f>
        <v/>
      </c>
      <c r="J386" s="27">
        <f>IF(C386="","",H386-I386)</f>
        <v/>
      </c>
      <c r="K386" s="25">
        <f>IF(C386="","",IF(G386=0,"not invoiced yet",SUBSTITUTE(TRIM(IF(COUNTIFS(tbl_Finance[Job Number],C386&amp;"",tbl_Finance[Cost Centre],"ONSITE")&gt;0,"ONSITE ","")&amp;IF(COUNTIFS(tbl_Finance[Job Number],C386&amp;"",tbl_Finance[Cost Centre],"PRODUCTION")&gt;0,"PRODUCTION ","")&amp;IF(COUNTIFS(tbl_Finance[Job Number],C386&amp;"",tbl_Finance[Cost Centre],"VIDEO")&gt;0,"VIDEO ","")&amp;IF(COUNTIFS(tbl_Finance[Job Number],C386&amp;"",tbl_Finance[Cost Centre],"INTEGRATION")&gt;0,"INTEGRATION ","")&amp;IF(COUNTIFS(tbl_Finance[Job Number],C386&amp;"",tbl_Finance[Cost Centre],"CONSULTING")&gt;0,"CONSULTING ","")&amp;IF(COUNTIFS(tbl_Finance[Job Number],C386&amp;"",tbl_Finance[Cost Centre],"CTS")&gt;0,"CTS ",""))," ",", ")))</f>
        <v/>
      </c>
      <c r="L386" s="24" t="n"/>
      <c r="M386" s="24" t="n"/>
      <c r="N386" s="25">
        <f>IF(M386="","",HYPERLINK(IF(LEFT(M386,4)="http",M386,set_QwilrBase&amp;M386),"Open quote"))</f>
        <v/>
      </c>
      <c r="O386" s="69" t="n"/>
      <c r="P386" s="24" t="n"/>
      <c r="Q386" s="24" t="n"/>
    </row>
    <row r="387" ht="15" customHeight="1">
      <c r="A387" s="68">
        <f>IF(C387="","",IFERROR(IF(SUMPRODUCT(MAX((tbl_Finance[Job Number]=C387&amp;"")*(tbl_Finance[Xero Invoice No]&lt;&gt;"")*tbl_Finance[Date]))=0,"",SUMPRODUCT(MAX((tbl_Finance[Job Number]=C387&amp;"")*(tbl_Finance[Xero Invoice No]&lt;&gt;"")*tbl_Finance[Date]))),""))</f>
        <v/>
      </c>
      <c r="B387" s="25">
        <f>IF(C387="","",IF(COUNTIFS(tbl_Finance[Job Number],C387&amp;"",tbl_Finance[Xero Invoice No],"&lt;&gt;")=0,"",IFERROR(IF(COUNTIFS(tbl_Finance[Job Number],C387&amp;"",tbl_Finance[Xero Invoice No],LOOKUP(2,1/((tbl_Finance[Job Number]=C387&amp;"")*(tbl_Finance[Xero Invoice No]&lt;&gt;"")),tbl_Finance[Xero Invoice No]))=COUNTIFS(tbl_Finance[Job Number],C387&amp;"",tbl_Finance[Xero Invoice No],"&lt;&gt;"),LOOKUP(2,1/((tbl_Finance[Job Number]=C387&amp;"")*(tbl_Finance[Xero Invoice No]&lt;&gt;"")),tbl_Finance[Xero Invoice No]),LOOKUP(2,1/((tbl_Finance[Job Number]=C387&amp;"")*(tbl_Finance[Xero Invoice No]&lt;&gt;"")),tbl_Finance[Xero Invoice No])&amp;" +more"),"")))</f>
        <v/>
      </c>
      <c r="C387" s="24" t="n"/>
      <c r="D387" s="25">
        <f>IF(C387="","",IF(COUNTIF(lst_Jobs,C387&amp;"")&gt;0,"OK","CHECK"))</f>
        <v/>
      </c>
      <c r="E387" s="25">
        <f>IF(C387="","",IFERROR(INDEX(lst_JobName,MATCH(C387&amp;"",lst_Jobs,0)),""))</f>
        <v/>
      </c>
      <c r="F387" s="25">
        <f>IF(C387="","",IFERROR(INDEX(tbl_Finance[Client],MATCH(C387&amp;"",tbl_Finance[Job Number],0)),""))</f>
        <v/>
      </c>
      <c r="G387" s="28">
        <f>IF(C387="","",COUNTIFS(tbl_Finance[Job Number],C387&amp;"",tbl_Finance[Ex GST],"&lt;&gt;"))</f>
        <v/>
      </c>
      <c r="H387" s="27">
        <f>IF(C387="","",SUMIFS(tbl_Finance[Ex GST],tbl_Finance[Job Number],C387&amp;""))</f>
        <v/>
      </c>
      <c r="I387" s="27">
        <f>IF(C387="","",SUMIFS(tbl_Finance[Ex GST],tbl_Finance[Job Number],C387&amp;"",tbl_Finance[Xero Invoice No],"&lt;&gt;"))</f>
        <v/>
      </c>
      <c r="J387" s="27">
        <f>IF(C387="","",H387-I387)</f>
        <v/>
      </c>
      <c r="K387" s="25">
        <f>IF(C387="","",IF(G387=0,"not invoiced yet",SUBSTITUTE(TRIM(IF(COUNTIFS(tbl_Finance[Job Number],C387&amp;"",tbl_Finance[Cost Centre],"ONSITE")&gt;0,"ONSITE ","")&amp;IF(COUNTIFS(tbl_Finance[Job Number],C387&amp;"",tbl_Finance[Cost Centre],"PRODUCTION")&gt;0,"PRODUCTION ","")&amp;IF(COUNTIFS(tbl_Finance[Job Number],C387&amp;"",tbl_Finance[Cost Centre],"VIDEO")&gt;0,"VIDEO ","")&amp;IF(COUNTIFS(tbl_Finance[Job Number],C387&amp;"",tbl_Finance[Cost Centre],"INTEGRATION")&gt;0,"INTEGRATION ","")&amp;IF(COUNTIFS(tbl_Finance[Job Number],C387&amp;"",tbl_Finance[Cost Centre],"CONSULTING")&gt;0,"CONSULTING ","")&amp;IF(COUNTIFS(tbl_Finance[Job Number],C387&amp;"",tbl_Finance[Cost Centre],"CTS")&gt;0,"CTS ",""))," ",", ")))</f>
        <v/>
      </c>
      <c r="L387" s="24" t="n"/>
      <c r="M387" s="24" t="n"/>
      <c r="N387" s="25">
        <f>IF(M387="","",HYPERLINK(IF(LEFT(M387,4)="http",M387,set_QwilrBase&amp;M387),"Open quote"))</f>
        <v/>
      </c>
      <c r="O387" s="69" t="n"/>
      <c r="P387" s="24" t="n"/>
      <c r="Q387" s="24" t="n"/>
    </row>
    <row r="388" ht="15" customHeight="1">
      <c r="A388" s="68">
        <f>IF(C388="","",IFERROR(IF(SUMPRODUCT(MAX((tbl_Finance[Job Number]=C388&amp;"")*(tbl_Finance[Xero Invoice No]&lt;&gt;"")*tbl_Finance[Date]))=0,"",SUMPRODUCT(MAX((tbl_Finance[Job Number]=C388&amp;"")*(tbl_Finance[Xero Invoice No]&lt;&gt;"")*tbl_Finance[Date]))),""))</f>
        <v/>
      </c>
      <c r="B388" s="25">
        <f>IF(C388="","",IF(COUNTIFS(tbl_Finance[Job Number],C388&amp;"",tbl_Finance[Xero Invoice No],"&lt;&gt;")=0,"",IFERROR(IF(COUNTIFS(tbl_Finance[Job Number],C388&amp;"",tbl_Finance[Xero Invoice No],LOOKUP(2,1/((tbl_Finance[Job Number]=C388&amp;"")*(tbl_Finance[Xero Invoice No]&lt;&gt;"")),tbl_Finance[Xero Invoice No]))=COUNTIFS(tbl_Finance[Job Number],C388&amp;"",tbl_Finance[Xero Invoice No],"&lt;&gt;"),LOOKUP(2,1/((tbl_Finance[Job Number]=C388&amp;"")*(tbl_Finance[Xero Invoice No]&lt;&gt;"")),tbl_Finance[Xero Invoice No]),LOOKUP(2,1/((tbl_Finance[Job Number]=C388&amp;"")*(tbl_Finance[Xero Invoice No]&lt;&gt;"")),tbl_Finance[Xero Invoice No])&amp;" +more"),"")))</f>
        <v/>
      </c>
      <c r="C388" s="24" t="n"/>
      <c r="D388" s="25">
        <f>IF(C388="","",IF(COUNTIF(lst_Jobs,C388&amp;"")&gt;0,"OK","CHECK"))</f>
        <v/>
      </c>
      <c r="E388" s="25">
        <f>IF(C388="","",IFERROR(INDEX(lst_JobName,MATCH(C388&amp;"",lst_Jobs,0)),""))</f>
        <v/>
      </c>
      <c r="F388" s="25">
        <f>IF(C388="","",IFERROR(INDEX(tbl_Finance[Client],MATCH(C388&amp;"",tbl_Finance[Job Number],0)),""))</f>
        <v/>
      </c>
      <c r="G388" s="28">
        <f>IF(C388="","",COUNTIFS(tbl_Finance[Job Number],C388&amp;"",tbl_Finance[Ex GST],"&lt;&gt;"))</f>
        <v/>
      </c>
      <c r="H388" s="27">
        <f>IF(C388="","",SUMIFS(tbl_Finance[Ex GST],tbl_Finance[Job Number],C388&amp;""))</f>
        <v/>
      </c>
      <c r="I388" s="27">
        <f>IF(C388="","",SUMIFS(tbl_Finance[Ex GST],tbl_Finance[Job Number],C388&amp;"",tbl_Finance[Xero Invoice No],"&lt;&gt;"))</f>
        <v/>
      </c>
      <c r="J388" s="27">
        <f>IF(C388="","",H388-I388)</f>
        <v/>
      </c>
      <c r="K388" s="25">
        <f>IF(C388="","",IF(G388=0,"not invoiced yet",SUBSTITUTE(TRIM(IF(COUNTIFS(tbl_Finance[Job Number],C388&amp;"",tbl_Finance[Cost Centre],"ONSITE")&gt;0,"ONSITE ","")&amp;IF(COUNTIFS(tbl_Finance[Job Number],C388&amp;"",tbl_Finance[Cost Centre],"PRODUCTION")&gt;0,"PRODUCTION ","")&amp;IF(COUNTIFS(tbl_Finance[Job Number],C388&amp;"",tbl_Finance[Cost Centre],"VIDEO")&gt;0,"VIDEO ","")&amp;IF(COUNTIFS(tbl_Finance[Job Number],C388&amp;"",tbl_Finance[Cost Centre],"INTEGRATION")&gt;0,"INTEGRATION ","")&amp;IF(COUNTIFS(tbl_Finance[Job Number],C388&amp;"",tbl_Finance[Cost Centre],"CONSULTING")&gt;0,"CONSULTING ","")&amp;IF(COUNTIFS(tbl_Finance[Job Number],C388&amp;"",tbl_Finance[Cost Centre],"CTS")&gt;0,"CTS ",""))," ",", ")))</f>
        <v/>
      </c>
      <c r="L388" s="24" t="n"/>
      <c r="M388" s="24" t="n"/>
      <c r="N388" s="25">
        <f>IF(M388="","",HYPERLINK(IF(LEFT(M388,4)="http",M388,set_QwilrBase&amp;M388),"Open quote"))</f>
        <v/>
      </c>
      <c r="O388" s="69" t="n"/>
      <c r="P388" s="24" t="n"/>
      <c r="Q388" s="24" t="n"/>
    </row>
    <row r="389" ht="15" customHeight="1">
      <c r="A389" s="68">
        <f>IF(C389="","",IFERROR(IF(SUMPRODUCT(MAX((tbl_Finance[Job Number]=C389&amp;"")*(tbl_Finance[Xero Invoice No]&lt;&gt;"")*tbl_Finance[Date]))=0,"",SUMPRODUCT(MAX((tbl_Finance[Job Number]=C389&amp;"")*(tbl_Finance[Xero Invoice No]&lt;&gt;"")*tbl_Finance[Date]))),""))</f>
        <v/>
      </c>
      <c r="B389" s="25">
        <f>IF(C389="","",IF(COUNTIFS(tbl_Finance[Job Number],C389&amp;"",tbl_Finance[Xero Invoice No],"&lt;&gt;")=0,"",IFERROR(IF(COUNTIFS(tbl_Finance[Job Number],C389&amp;"",tbl_Finance[Xero Invoice No],LOOKUP(2,1/((tbl_Finance[Job Number]=C389&amp;"")*(tbl_Finance[Xero Invoice No]&lt;&gt;"")),tbl_Finance[Xero Invoice No]))=COUNTIFS(tbl_Finance[Job Number],C389&amp;"",tbl_Finance[Xero Invoice No],"&lt;&gt;"),LOOKUP(2,1/((tbl_Finance[Job Number]=C389&amp;"")*(tbl_Finance[Xero Invoice No]&lt;&gt;"")),tbl_Finance[Xero Invoice No]),LOOKUP(2,1/((tbl_Finance[Job Number]=C389&amp;"")*(tbl_Finance[Xero Invoice No]&lt;&gt;"")),tbl_Finance[Xero Invoice No])&amp;" +more"),"")))</f>
        <v/>
      </c>
      <c r="C389" s="24" t="n"/>
      <c r="D389" s="25">
        <f>IF(C389="","",IF(COUNTIF(lst_Jobs,C389&amp;"")&gt;0,"OK","CHECK"))</f>
        <v/>
      </c>
      <c r="E389" s="25">
        <f>IF(C389="","",IFERROR(INDEX(lst_JobName,MATCH(C389&amp;"",lst_Jobs,0)),""))</f>
        <v/>
      </c>
      <c r="F389" s="25">
        <f>IF(C389="","",IFERROR(INDEX(tbl_Finance[Client],MATCH(C389&amp;"",tbl_Finance[Job Number],0)),""))</f>
        <v/>
      </c>
      <c r="G389" s="28">
        <f>IF(C389="","",COUNTIFS(tbl_Finance[Job Number],C389&amp;"",tbl_Finance[Ex GST],"&lt;&gt;"))</f>
        <v/>
      </c>
      <c r="H389" s="27">
        <f>IF(C389="","",SUMIFS(tbl_Finance[Ex GST],tbl_Finance[Job Number],C389&amp;""))</f>
        <v/>
      </c>
      <c r="I389" s="27">
        <f>IF(C389="","",SUMIFS(tbl_Finance[Ex GST],tbl_Finance[Job Number],C389&amp;"",tbl_Finance[Xero Invoice No],"&lt;&gt;"))</f>
        <v/>
      </c>
      <c r="J389" s="27">
        <f>IF(C389="","",H389-I389)</f>
        <v/>
      </c>
      <c r="K389" s="25">
        <f>IF(C389="","",IF(G389=0,"not invoiced yet",SUBSTITUTE(TRIM(IF(COUNTIFS(tbl_Finance[Job Number],C389&amp;"",tbl_Finance[Cost Centre],"ONSITE")&gt;0,"ONSITE ","")&amp;IF(COUNTIFS(tbl_Finance[Job Number],C389&amp;"",tbl_Finance[Cost Centre],"PRODUCTION")&gt;0,"PRODUCTION ","")&amp;IF(COUNTIFS(tbl_Finance[Job Number],C389&amp;"",tbl_Finance[Cost Centre],"VIDEO")&gt;0,"VIDEO ","")&amp;IF(COUNTIFS(tbl_Finance[Job Number],C389&amp;"",tbl_Finance[Cost Centre],"INTEGRATION")&gt;0,"INTEGRATION ","")&amp;IF(COUNTIFS(tbl_Finance[Job Number],C389&amp;"",tbl_Finance[Cost Centre],"CONSULTING")&gt;0,"CONSULTING ","")&amp;IF(COUNTIFS(tbl_Finance[Job Number],C389&amp;"",tbl_Finance[Cost Centre],"CTS")&gt;0,"CTS ",""))," ",", ")))</f>
        <v/>
      </c>
      <c r="L389" s="24" t="n"/>
      <c r="M389" s="24" t="n"/>
      <c r="N389" s="25">
        <f>IF(M389="","",HYPERLINK(IF(LEFT(M389,4)="http",M389,set_QwilrBase&amp;M389),"Open quote"))</f>
        <v/>
      </c>
      <c r="O389" s="69" t="n"/>
      <c r="P389" s="24" t="n"/>
      <c r="Q389" s="24" t="n"/>
    </row>
    <row r="390" ht="15" customHeight="1">
      <c r="A390" s="68">
        <f>IF(C390="","",IFERROR(IF(SUMPRODUCT(MAX((tbl_Finance[Job Number]=C390&amp;"")*(tbl_Finance[Xero Invoice No]&lt;&gt;"")*tbl_Finance[Date]))=0,"",SUMPRODUCT(MAX((tbl_Finance[Job Number]=C390&amp;"")*(tbl_Finance[Xero Invoice No]&lt;&gt;"")*tbl_Finance[Date]))),""))</f>
        <v/>
      </c>
      <c r="B390" s="25">
        <f>IF(C390="","",IF(COUNTIFS(tbl_Finance[Job Number],C390&amp;"",tbl_Finance[Xero Invoice No],"&lt;&gt;")=0,"",IFERROR(IF(COUNTIFS(tbl_Finance[Job Number],C390&amp;"",tbl_Finance[Xero Invoice No],LOOKUP(2,1/((tbl_Finance[Job Number]=C390&amp;"")*(tbl_Finance[Xero Invoice No]&lt;&gt;"")),tbl_Finance[Xero Invoice No]))=COUNTIFS(tbl_Finance[Job Number],C390&amp;"",tbl_Finance[Xero Invoice No],"&lt;&gt;"),LOOKUP(2,1/((tbl_Finance[Job Number]=C390&amp;"")*(tbl_Finance[Xero Invoice No]&lt;&gt;"")),tbl_Finance[Xero Invoice No]),LOOKUP(2,1/((tbl_Finance[Job Number]=C390&amp;"")*(tbl_Finance[Xero Invoice No]&lt;&gt;"")),tbl_Finance[Xero Invoice No])&amp;" +more"),"")))</f>
        <v/>
      </c>
      <c r="C390" s="24" t="n"/>
      <c r="D390" s="25">
        <f>IF(C390="","",IF(COUNTIF(lst_Jobs,C390&amp;"")&gt;0,"OK","CHECK"))</f>
        <v/>
      </c>
      <c r="E390" s="25">
        <f>IF(C390="","",IFERROR(INDEX(lst_JobName,MATCH(C390&amp;"",lst_Jobs,0)),""))</f>
        <v/>
      </c>
      <c r="F390" s="25">
        <f>IF(C390="","",IFERROR(INDEX(tbl_Finance[Client],MATCH(C390&amp;"",tbl_Finance[Job Number],0)),""))</f>
        <v/>
      </c>
      <c r="G390" s="28">
        <f>IF(C390="","",COUNTIFS(tbl_Finance[Job Number],C390&amp;"",tbl_Finance[Ex GST],"&lt;&gt;"))</f>
        <v/>
      </c>
      <c r="H390" s="27">
        <f>IF(C390="","",SUMIFS(tbl_Finance[Ex GST],tbl_Finance[Job Number],C390&amp;""))</f>
        <v/>
      </c>
      <c r="I390" s="27">
        <f>IF(C390="","",SUMIFS(tbl_Finance[Ex GST],tbl_Finance[Job Number],C390&amp;"",tbl_Finance[Xero Invoice No],"&lt;&gt;"))</f>
        <v/>
      </c>
      <c r="J390" s="27">
        <f>IF(C390="","",H390-I390)</f>
        <v/>
      </c>
      <c r="K390" s="25">
        <f>IF(C390="","",IF(G390=0,"not invoiced yet",SUBSTITUTE(TRIM(IF(COUNTIFS(tbl_Finance[Job Number],C390&amp;"",tbl_Finance[Cost Centre],"ONSITE")&gt;0,"ONSITE ","")&amp;IF(COUNTIFS(tbl_Finance[Job Number],C390&amp;"",tbl_Finance[Cost Centre],"PRODUCTION")&gt;0,"PRODUCTION ","")&amp;IF(COUNTIFS(tbl_Finance[Job Number],C390&amp;"",tbl_Finance[Cost Centre],"VIDEO")&gt;0,"VIDEO ","")&amp;IF(COUNTIFS(tbl_Finance[Job Number],C390&amp;"",tbl_Finance[Cost Centre],"INTEGRATION")&gt;0,"INTEGRATION ","")&amp;IF(COUNTIFS(tbl_Finance[Job Number],C390&amp;"",tbl_Finance[Cost Centre],"CONSULTING")&gt;0,"CONSULTING ","")&amp;IF(COUNTIFS(tbl_Finance[Job Number],C390&amp;"",tbl_Finance[Cost Centre],"CTS")&gt;0,"CTS ",""))," ",", ")))</f>
        <v/>
      </c>
      <c r="L390" s="24" t="n"/>
      <c r="M390" s="24" t="n"/>
      <c r="N390" s="25">
        <f>IF(M390="","",HYPERLINK(IF(LEFT(M390,4)="http",M390,set_QwilrBase&amp;M390),"Open quote"))</f>
        <v/>
      </c>
      <c r="O390" s="69" t="n"/>
      <c r="P390" s="24" t="n"/>
      <c r="Q390" s="24" t="n"/>
    </row>
    <row r="391" ht="15" customHeight="1">
      <c r="A391" s="68">
        <f>IF(C391="","",IFERROR(IF(SUMPRODUCT(MAX((tbl_Finance[Job Number]=C391&amp;"")*(tbl_Finance[Xero Invoice No]&lt;&gt;"")*tbl_Finance[Date]))=0,"",SUMPRODUCT(MAX((tbl_Finance[Job Number]=C391&amp;"")*(tbl_Finance[Xero Invoice No]&lt;&gt;"")*tbl_Finance[Date]))),""))</f>
        <v/>
      </c>
      <c r="B391" s="25">
        <f>IF(C391="","",IF(COUNTIFS(tbl_Finance[Job Number],C391&amp;"",tbl_Finance[Xero Invoice No],"&lt;&gt;")=0,"",IFERROR(IF(COUNTIFS(tbl_Finance[Job Number],C391&amp;"",tbl_Finance[Xero Invoice No],LOOKUP(2,1/((tbl_Finance[Job Number]=C391&amp;"")*(tbl_Finance[Xero Invoice No]&lt;&gt;"")),tbl_Finance[Xero Invoice No]))=COUNTIFS(tbl_Finance[Job Number],C391&amp;"",tbl_Finance[Xero Invoice No],"&lt;&gt;"),LOOKUP(2,1/((tbl_Finance[Job Number]=C391&amp;"")*(tbl_Finance[Xero Invoice No]&lt;&gt;"")),tbl_Finance[Xero Invoice No]),LOOKUP(2,1/((tbl_Finance[Job Number]=C391&amp;"")*(tbl_Finance[Xero Invoice No]&lt;&gt;"")),tbl_Finance[Xero Invoice No])&amp;" +more"),"")))</f>
        <v/>
      </c>
      <c r="C391" s="24" t="n"/>
      <c r="D391" s="25">
        <f>IF(C391="","",IF(COUNTIF(lst_Jobs,C391&amp;"")&gt;0,"OK","CHECK"))</f>
        <v/>
      </c>
      <c r="E391" s="25">
        <f>IF(C391="","",IFERROR(INDEX(lst_JobName,MATCH(C391&amp;"",lst_Jobs,0)),""))</f>
        <v/>
      </c>
      <c r="F391" s="25">
        <f>IF(C391="","",IFERROR(INDEX(tbl_Finance[Client],MATCH(C391&amp;"",tbl_Finance[Job Number],0)),""))</f>
        <v/>
      </c>
      <c r="G391" s="28">
        <f>IF(C391="","",COUNTIFS(tbl_Finance[Job Number],C391&amp;"",tbl_Finance[Ex GST],"&lt;&gt;"))</f>
        <v/>
      </c>
      <c r="H391" s="27">
        <f>IF(C391="","",SUMIFS(tbl_Finance[Ex GST],tbl_Finance[Job Number],C391&amp;""))</f>
        <v/>
      </c>
      <c r="I391" s="27">
        <f>IF(C391="","",SUMIFS(tbl_Finance[Ex GST],tbl_Finance[Job Number],C391&amp;"",tbl_Finance[Xero Invoice No],"&lt;&gt;"))</f>
        <v/>
      </c>
      <c r="J391" s="27">
        <f>IF(C391="","",H391-I391)</f>
        <v/>
      </c>
      <c r="K391" s="25">
        <f>IF(C391="","",IF(G391=0,"not invoiced yet",SUBSTITUTE(TRIM(IF(COUNTIFS(tbl_Finance[Job Number],C391&amp;"",tbl_Finance[Cost Centre],"ONSITE")&gt;0,"ONSITE ","")&amp;IF(COUNTIFS(tbl_Finance[Job Number],C391&amp;"",tbl_Finance[Cost Centre],"PRODUCTION")&gt;0,"PRODUCTION ","")&amp;IF(COUNTIFS(tbl_Finance[Job Number],C391&amp;"",tbl_Finance[Cost Centre],"VIDEO")&gt;0,"VIDEO ","")&amp;IF(COUNTIFS(tbl_Finance[Job Number],C391&amp;"",tbl_Finance[Cost Centre],"INTEGRATION")&gt;0,"INTEGRATION ","")&amp;IF(COUNTIFS(tbl_Finance[Job Number],C391&amp;"",tbl_Finance[Cost Centre],"CONSULTING")&gt;0,"CONSULTING ","")&amp;IF(COUNTIFS(tbl_Finance[Job Number],C391&amp;"",tbl_Finance[Cost Centre],"CTS")&gt;0,"CTS ",""))," ",", ")))</f>
        <v/>
      </c>
      <c r="L391" s="24" t="n"/>
      <c r="M391" s="24" t="n"/>
      <c r="N391" s="25">
        <f>IF(M391="","",HYPERLINK(IF(LEFT(M391,4)="http",M391,set_QwilrBase&amp;M391),"Open quote"))</f>
        <v/>
      </c>
      <c r="O391" s="69" t="n"/>
      <c r="P391" s="24" t="n"/>
      <c r="Q391" s="24" t="n"/>
    </row>
    <row r="392" ht="15" customHeight="1">
      <c r="A392" s="68">
        <f>IF(C392="","",IFERROR(IF(SUMPRODUCT(MAX((tbl_Finance[Job Number]=C392&amp;"")*(tbl_Finance[Xero Invoice No]&lt;&gt;"")*tbl_Finance[Date]))=0,"",SUMPRODUCT(MAX((tbl_Finance[Job Number]=C392&amp;"")*(tbl_Finance[Xero Invoice No]&lt;&gt;"")*tbl_Finance[Date]))),""))</f>
        <v/>
      </c>
      <c r="B392" s="25">
        <f>IF(C392="","",IF(COUNTIFS(tbl_Finance[Job Number],C392&amp;"",tbl_Finance[Xero Invoice No],"&lt;&gt;")=0,"",IFERROR(IF(COUNTIFS(tbl_Finance[Job Number],C392&amp;"",tbl_Finance[Xero Invoice No],LOOKUP(2,1/((tbl_Finance[Job Number]=C392&amp;"")*(tbl_Finance[Xero Invoice No]&lt;&gt;"")),tbl_Finance[Xero Invoice No]))=COUNTIFS(tbl_Finance[Job Number],C392&amp;"",tbl_Finance[Xero Invoice No],"&lt;&gt;"),LOOKUP(2,1/((tbl_Finance[Job Number]=C392&amp;"")*(tbl_Finance[Xero Invoice No]&lt;&gt;"")),tbl_Finance[Xero Invoice No]),LOOKUP(2,1/((tbl_Finance[Job Number]=C392&amp;"")*(tbl_Finance[Xero Invoice No]&lt;&gt;"")),tbl_Finance[Xero Invoice No])&amp;" +more"),"")))</f>
        <v/>
      </c>
      <c r="C392" s="24" t="n"/>
      <c r="D392" s="25">
        <f>IF(C392="","",IF(COUNTIF(lst_Jobs,C392&amp;"")&gt;0,"OK","CHECK"))</f>
        <v/>
      </c>
      <c r="E392" s="25">
        <f>IF(C392="","",IFERROR(INDEX(lst_JobName,MATCH(C392&amp;"",lst_Jobs,0)),""))</f>
        <v/>
      </c>
      <c r="F392" s="25">
        <f>IF(C392="","",IFERROR(INDEX(tbl_Finance[Client],MATCH(C392&amp;"",tbl_Finance[Job Number],0)),""))</f>
        <v/>
      </c>
      <c r="G392" s="28">
        <f>IF(C392="","",COUNTIFS(tbl_Finance[Job Number],C392&amp;"",tbl_Finance[Ex GST],"&lt;&gt;"))</f>
        <v/>
      </c>
      <c r="H392" s="27">
        <f>IF(C392="","",SUMIFS(tbl_Finance[Ex GST],tbl_Finance[Job Number],C392&amp;""))</f>
        <v/>
      </c>
      <c r="I392" s="27">
        <f>IF(C392="","",SUMIFS(tbl_Finance[Ex GST],tbl_Finance[Job Number],C392&amp;"",tbl_Finance[Xero Invoice No],"&lt;&gt;"))</f>
        <v/>
      </c>
      <c r="J392" s="27">
        <f>IF(C392="","",H392-I392)</f>
        <v/>
      </c>
      <c r="K392" s="25">
        <f>IF(C392="","",IF(G392=0,"not invoiced yet",SUBSTITUTE(TRIM(IF(COUNTIFS(tbl_Finance[Job Number],C392&amp;"",tbl_Finance[Cost Centre],"ONSITE")&gt;0,"ONSITE ","")&amp;IF(COUNTIFS(tbl_Finance[Job Number],C392&amp;"",tbl_Finance[Cost Centre],"PRODUCTION")&gt;0,"PRODUCTION ","")&amp;IF(COUNTIFS(tbl_Finance[Job Number],C392&amp;"",tbl_Finance[Cost Centre],"VIDEO")&gt;0,"VIDEO ","")&amp;IF(COUNTIFS(tbl_Finance[Job Number],C392&amp;"",tbl_Finance[Cost Centre],"INTEGRATION")&gt;0,"INTEGRATION ","")&amp;IF(COUNTIFS(tbl_Finance[Job Number],C392&amp;"",tbl_Finance[Cost Centre],"CONSULTING")&gt;0,"CONSULTING ","")&amp;IF(COUNTIFS(tbl_Finance[Job Number],C392&amp;"",tbl_Finance[Cost Centre],"CTS")&gt;0,"CTS ",""))," ",", ")))</f>
        <v/>
      </c>
      <c r="L392" s="24" t="n"/>
      <c r="M392" s="24" t="n"/>
      <c r="N392" s="25">
        <f>IF(M392="","",HYPERLINK(IF(LEFT(M392,4)="http",M392,set_QwilrBase&amp;M392),"Open quote"))</f>
        <v/>
      </c>
      <c r="O392" s="69" t="n"/>
      <c r="P392" s="24" t="n"/>
      <c r="Q392" s="24" t="n"/>
    </row>
    <row r="393" ht="15" customHeight="1">
      <c r="A393" s="68">
        <f>IF(C393="","",IFERROR(IF(SUMPRODUCT(MAX((tbl_Finance[Job Number]=C393&amp;"")*(tbl_Finance[Xero Invoice No]&lt;&gt;"")*tbl_Finance[Date]))=0,"",SUMPRODUCT(MAX((tbl_Finance[Job Number]=C393&amp;"")*(tbl_Finance[Xero Invoice No]&lt;&gt;"")*tbl_Finance[Date]))),""))</f>
        <v/>
      </c>
      <c r="B393" s="25">
        <f>IF(C393="","",IF(COUNTIFS(tbl_Finance[Job Number],C393&amp;"",tbl_Finance[Xero Invoice No],"&lt;&gt;")=0,"",IFERROR(IF(COUNTIFS(tbl_Finance[Job Number],C393&amp;"",tbl_Finance[Xero Invoice No],LOOKUP(2,1/((tbl_Finance[Job Number]=C393&amp;"")*(tbl_Finance[Xero Invoice No]&lt;&gt;"")),tbl_Finance[Xero Invoice No]))=COUNTIFS(tbl_Finance[Job Number],C393&amp;"",tbl_Finance[Xero Invoice No],"&lt;&gt;"),LOOKUP(2,1/((tbl_Finance[Job Number]=C393&amp;"")*(tbl_Finance[Xero Invoice No]&lt;&gt;"")),tbl_Finance[Xero Invoice No]),LOOKUP(2,1/((tbl_Finance[Job Number]=C393&amp;"")*(tbl_Finance[Xero Invoice No]&lt;&gt;"")),tbl_Finance[Xero Invoice No])&amp;" +more"),"")))</f>
        <v/>
      </c>
      <c r="C393" s="24" t="n"/>
      <c r="D393" s="25">
        <f>IF(C393="","",IF(COUNTIF(lst_Jobs,C393&amp;"")&gt;0,"OK","CHECK"))</f>
        <v/>
      </c>
      <c r="E393" s="25">
        <f>IF(C393="","",IFERROR(INDEX(lst_JobName,MATCH(C393&amp;"",lst_Jobs,0)),""))</f>
        <v/>
      </c>
      <c r="F393" s="25">
        <f>IF(C393="","",IFERROR(INDEX(tbl_Finance[Client],MATCH(C393&amp;"",tbl_Finance[Job Number],0)),""))</f>
        <v/>
      </c>
      <c r="G393" s="28">
        <f>IF(C393="","",COUNTIFS(tbl_Finance[Job Number],C393&amp;"",tbl_Finance[Ex GST],"&lt;&gt;"))</f>
        <v/>
      </c>
      <c r="H393" s="27">
        <f>IF(C393="","",SUMIFS(tbl_Finance[Ex GST],tbl_Finance[Job Number],C393&amp;""))</f>
        <v/>
      </c>
      <c r="I393" s="27">
        <f>IF(C393="","",SUMIFS(tbl_Finance[Ex GST],tbl_Finance[Job Number],C393&amp;"",tbl_Finance[Xero Invoice No],"&lt;&gt;"))</f>
        <v/>
      </c>
      <c r="J393" s="27">
        <f>IF(C393="","",H393-I393)</f>
        <v/>
      </c>
      <c r="K393" s="25">
        <f>IF(C393="","",IF(G393=0,"not invoiced yet",SUBSTITUTE(TRIM(IF(COUNTIFS(tbl_Finance[Job Number],C393&amp;"",tbl_Finance[Cost Centre],"ONSITE")&gt;0,"ONSITE ","")&amp;IF(COUNTIFS(tbl_Finance[Job Number],C393&amp;"",tbl_Finance[Cost Centre],"PRODUCTION")&gt;0,"PRODUCTION ","")&amp;IF(COUNTIFS(tbl_Finance[Job Number],C393&amp;"",tbl_Finance[Cost Centre],"VIDEO")&gt;0,"VIDEO ","")&amp;IF(COUNTIFS(tbl_Finance[Job Number],C393&amp;"",tbl_Finance[Cost Centre],"INTEGRATION")&gt;0,"INTEGRATION ","")&amp;IF(COUNTIFS(tbl_Finance[Job Number],C393&amp;"",tbl_Finance[Cost Centre],"CONSULTING")&gt;0,"CONSULTING ","")&amp;IF(COUNTIFS(tbl_Finance[Job Number],C393&amp;"",tbl_Finance[Cost Centre],"CTS")&gt;0,"CTS ",""))," ",", ")))</f>
        <v/>
      </c>
      <c r="L393" s="24" t="n"/>
      <c r="M393" s="24" t="n"/>
      <c r="N393" s="25">
        <f>IF(M393="","",HYPERLINK(IF(LEFT(M393,4)="http",M393,set_QwilrBase&amp;M393),"Open quote"))</f>
        <v/>
      </c>
      <c r="O393" s="69" t="n"/>
      <c r="P393" s="24" t="n"/>
      <c r="Q393" s="24" t="n"/>
    </row>
    <row r="394" ht="15" customHeight="1">
      <c r="A394" s="68">
        <f>IF(C394="","",IFERROR(IF(SUMPRODUCT(MAX((tbl_Finance[Job Number]=C394&amp;"")*(tbl_Finance[Xero Invoice No]&lt;&gt;"")*tbl_Finance[Date]))=0,"",SUMPRODUCT(MAX((tbl_Finance[Job Number]=C394&amp;"")*(tbl_Finance[Xero Invoice No]&lt;&gt;"")*tbl_Finance[Date]))),""))</f>
        <v/>
      </c>
      <c r="B394" s="25">
        <f>IF(C394="","",IF(COUNTIFS(tbl_Finance[Job Number],C394&amp;"",tbl_Finance[Xero Invoice No],"&lt;&gt;")=0,"",IFERROR(IF(COUNTIFS(tbl_Finance[Job Number],C394&amp;"",tbl_Finance[Xero Invoice No],LOOKUP(2,1/((tbl_Finance[Job Number]=C394&amp;"")*(tbl_Finance[Xero Invoice No]&lt;&gt;"")),tbl_Finance[Xero Invoice No]))=COUNTIFS(tbl_Finance[Job Number],C394&amp;"",tbl_Finance[Xero Invoice No],"&lt;&gt;"),LOOKUP(2,1/((tbl_Finance[Job Number]=C394&amp;"")*(tbl_Finance[Xero Invoice No]&lt;&gt;"")),tbl_Finance[Xero Invoice No]),LOOKUP(2,1/((tbl_Finance[Job Number]=C394&amp;"")*(tbl_Finance[Xero Invoice No]&lt;&gt;"")),tbl_Finance[Xero Invoice No])&amp;" +more"),"")))</f>
        <v/>
      </c>
      <c r="C394" s="24" t="n"/>
      <c r="D394" s="25">
        <f>IF(C394="","",IF(COUNTIF(lst_Jobs,C394&amp;"")&gt;0,"OK","CHECK"))</f>
        <v/>
      </c>
      <c r="E394" s="25">
        <f>IF(C394="","",IFERROR(INDEX(lst_JobName,MATCH(C394&amp;"",lst_Jobs,0)),""))</f>
        <v/>
      </c>
      <c r="F394" s="25">
        <f>IF(C394="","",IFERROR(INDEX(tbl_Finance[Client],MATCH(C394&amp;"",tbl_Finance[Job Number],0)),""))</f>
        <v/>
      </c>
      <c r="G394" s="28">
        <f>IF(C394="","",COUNTIFS(tbl_Finance[Job Number],C394&amp;"",tbl_Finance[Ex GST],"&lt;&gt;"))</f>
        <v/>
      </c>
      <c r="H394" s="27">
        <f>IF(C394="","",SUMIFS(tbl_Finance[Ex GST],tbl_Finance[Job Number],C394&amp;""))</f>
        <v/>
      </c>
      <c r="I394" s="27">
        <f>IF(C394="","",SUMIFS(tbl_Finance[Ex GST],tbl_Finance[Job Number],C394&amp;"",tbl_Finance[Xero Invoice No],"&lt;&gt;"))</f>
        <v/>
      </c>
      <c r="J394" s="27">
        <f>IF(C394="","",H394-I394)</f>
        <v/>
      </c>
      <c r="K394" s="25">
        <f>IF(C394="","",IF(G394=0,"not invoiced yet",SUBSTITUTE(TRIM(IF(COUNTIFS(tbl_Finance[Job Number],C394&amp;"",tbl_Finance[Cost Centre],"ONSITE")&gt;0,"ONSITE ","")&amp;IF(COUNTIFS(tbl_Finance[Job Number],C394&amp;"",tbl_Finance[Cost Centre],"PRODUCTION")&gt;0,"PRODUCTION ","")&amp;IF(COUNTIFS(tbl_Finance[Job Number],C394&amp;"",tbl_Finance[Cost Centre],"VIDEO")&gt;0,"VIDEO ","")&amp;IF(COUNTIFS(tbl_Finance[Job Number],C394&amp;"",tbl_Finance[Cost Centre],"INTEGRATION")&gt;0,"INTEGRATION ","")&amp;IF(COUNTIFS(tbl_Finance[Job Number],C394&amp;"",tbl_Finance[Cost Centre],"CONSULTING")&gt;0,"CONSULTING ","")&amp;IF(COUNTIFS(tbl_Finance[Job Number],C394&amp;"",tbl_Finance[Cost Centre],"CTS")&gt;0,"CTS ",""))," ",", ")))</f>
        <v/>
      </c>
      <c r="L394" s="24" t="n"/>
      <c r="M394" s="24" t="n"/>
      <c r="N394" s="25">
        <f>IF(M394="","",HYPERLINK(IF(LEFT(M394,4)="http",M394,set_QwilrBase&amp;M394),"Open quote"))</f>
        <v/>
      </c>
      <c r="O394" s="69" t="n"/>
      <c r="P394" s="24" t="n"/>
      <c r="Q394" s="24" t="n"/>
    </row>
    <row r="395" ht="15" customHeight="1">
      <c r="A395" s="68">
        <f>IF(C395="","",IFERROR(IF(SUMPRODUCT(MAX((tbl_Finance[Job Number]=C395&amp;"")*(tbl_Finance[Xero Invoice No]&lt;&gt;"")*tbl_Finance[Date]))=0,"",SUMPRODUCT(MAX((tbl_Finance[Job Number]=C395&amp;"")*(tbl_Finance[Xero Invoice No]&lt;&gt;"")*tbl_Finance[Date]))),""))</f>
        <v/>
      </c>
      <c r="B395" s="25">
        <f>IF(C395="","",IF(COUNTIFS(tbl_Finance[Job Number],C395&amp;"",tbl_Finance[Xero Invoice No],"&lt;&gt;")=0,"",IFERROR(IF(COUNTIFS(tbl_Finance[Job Number],C395&amp;"",tbl_Finance[Xero Invoice No],LOOKUP(2,1/((tbl_Finance[Job Number]=C395&amp;"")*(tbl_Finance[Xero Invoice No]&lt;&gt;"")),tbl_Finance[Xero Invoice No]))=COUNTIFS(tbl_Finance[Job Number],C395&amp;"",tbl_Finance[Xero Invoice No],"&lt;&gt;"),LOOKUP(2,1/((tbl_Finance[Job Number]=C395&amp;"")*(tbl_Finance[Xero Invoice No]&lt;&gt;"")),tbl_Finance[Xero Invoice No]),LOOKUP(2,1/((tbl_Finance[Job Number]=C395&amp;"")*(tbl_Finance[Xero Invoice No]&lt;&gt;"")),tbl_Finance[Xero Invoice No])&amp;" +more"),"")))</f>
        <v/>
      </c>
      <c r="C395" s="24" t="n"/>
      <c r="D395" s="25">
        <f>IF(C395="","",IF(COUNTIF(lst_Jobs,C395&amp;"")&gt;0,"OK","CHECK"))</f>
        <v/>
      </c>
      <c r="E395" s="25">
        <f>IF(C395="","",IFERROR(INDEX(lst_JobName,MATCH(C395&amp;"",lst_Jobs,0)),""))</f>
        <v/>
      </c>
      <c r="F395" s="25">
        <f>IF(C395="","",IFERROR(INDEX(tbl_Finance[Client],MATCH(C395&amp;"",tbl_Finance[Job Number],0)),""))</f>
        <v/>
      </c>
      <c r="G395" s="28">
        <f>IF(C395="","",COUNTIFS(tbl_Finance[Job Number],C395&amp;"",tbl_Finance[Ex GST],"&lt;&gt;"))</f>
        <v/>
      </c>
      <c r="H395" s="27">
        <f>IF(C395="","",SUMIFS(tbl_Finance[Ex GST],tbl_Finance[Job Number],C395&amp;""))</f>
        <v/>
      </c>
      <c r="I395" s="27">
        <f>IF(C395="","",SUMIFS(tbl_Finance[Ex GST],tbl_Finance[Job Number],C395&amp;"",tbl_Finance[Xero Invoice No],"&lt;&gt;"))</f>
        <v/>
      </c>
      <c r="J395" s="27">
        <f>IF(C395="","",H395-I395)</f>
        <v/>
      </c>
      <c r="K395" s="25">
        <f>IF(C395="","",IF(G395=0,"not invoiced yet",SUBSTITUTE(TRIM(IF(COUNTIFS(tbl_Finance[Job Number],C395&amp;"",tbl_Finance[Cost Centre],"ONSITE")&gt;0,"ONSITE ","")&amp;IF(COUNTIFS(tbl_Finance[Job Number],C395&amp;"",tbl_Finance[Cost Centre],"PRODUCTION")&gt;0,"PRODUCTION ","")&amp;IF(COUNTIFS(tbl_Finance[Job Number],C395&amp;"",tbl_Finance[Cost Centre],"VIDEO")&gt;0,"VIDEO ","")&amp;IF(COUNTIFS(tbl_Finance[Job Number],C395&amp;"",tbl_Finance[Cost Centre],"INTEGRATION")&gt;0,"INTEGRATION ","")&amp;IF(COUNTIFS(tbl_Finance[Job Number],C395&amp;"",tbl_Finance[Cost Centre],"CONSULTING")&gt;0,"CONSULTING ","")&amp;IF(COUNTIFS(tbl_Finance[Job Number],C395&amp;"",tbl_Finance[Cost Centre],"CTS")&gt;0,"CTS ",""))," ",", ")))</f>
        <v/>
      </c>
      <c r="L395" s="24" t="n"/>
      <c r="M395" s="24" t="n"/>
      <c r="N395" s="25">
        <f>IF(M395="","",HYPERLINK(IF(LEFT(M395,4)="http",M395,set_QwilrBase&amp;M395),"Open quote"))</f>
        <v/>
      </c>
      <c r="O395" s="69" t="n"/>
      <c r="P395" s="24" t="n"/>
      <c r="Q395" s="24" t="n"/>
    </row>
    <row r="396" ht="15" customHeight="1">
      <c r="A396" s="68">
        <f>IF(C396="","",IFERROR(IF(SUMPRODUCT(MAX((tbl_Finance[Job Number]=C396&amp;"")*(tbl_Finance[Xero Invoice No]&lt;&gt;"")*tbl_Finance[Date]))=0,"",SUMPRODUCT(MAX((tbl_Finance[Job Number]=C396&amp;"")*(tbl_Finance[Xero Invoice No]&lt;&gt;"")*tbl_Finance[Date]))),""))</f>
        <v/>
      </c>
      <c r="B396" s="25">
        <f>IF(C396="","",IF(COUNTIFS(tbl_Finance[Job Number],C396&amp;"",tbl_Finance[Xero Invoice No],"&lt;&gt;")=0,"",IFERROR(IF(COUNTIFS(tbl_Finance[Job Number],C396&amp;"",tbl_Finance[Xero Invoice No],LOOKUP(2,1/((tbl_Finance[Job Number]=C396&amp;"")*(tbl_Finance[Xero Invoice No]&lt;&gt;"")),tbl_Finance[Xero Invoice No]))=COUNTIFS(tbl_Finance[Job Number],C396&amp;"",tbl_Finance[Xero Invoice No],"&lt;&gt;"),LOOKUP(2,1/((tbl_Finance[Job Number]=C396&amp;"")*(tbl_Finance[Xero Invoice No]&lt;&gt;"")),tbl_Finance[Xero Invoice No]),LOOKUP(2,1/((tbl_Finance[Job Number]=C396&amp;"")*(tbl_Finance[Xero Invoice No]&lt;&gt;"")),tbl_Finance[Xero Invoice No])&amp;" +more"),"")))</f>
        <v/>
      </c>
      <c r="C396" s="24" t="n"/>
      <c r="D396" s="25">
        <f>IF(C396="","",IF(COUNTIF(lst_Jobs,C396&amp;"")&gt;0,"OK","CHECK"))</f>
        <v/>
      </c>
      <c r="E396" s="25">
        <f>IF(C396="","",IFERROR(INDEX(lst_JobName,MATCH(C396&amp;"",lst_Jobs,0)),""))</f>
        <v/>
      </c>
      <c r="F396" s="25">
        <f>IF(C396="","",IFERROR(INDEX(tbl_Finance[Client],MATCH(C396&amp;"",tbl_Finance[Job Number],0)),""))</f>
        <v/>
      </c>
      <c r="G396" s="28">
        <f>IF(C396="","",COUNTIFS(tbl_Finance[Job Number],C396&amp;"",tbl_Finance[Ex GST],"&lt;&gt;"))</f>
        <v/>
      </c>
      <c r="H396" s="27">
        <f>IF(C396="","",SUMIFS(tbl_Finance[Ex GST],tbl_Finance[Job Number],C396&amp;""))</f>
        <v/>
      </c>
      <c r="I396" s="27">
        <f>IF(C396="","",SUMIFS(tbl_Finance[Ex GST],tbl_Finance[Job Number],C396&amp;"",tbl_Finance[Xero Invoice No],"&lt;&gt;"))</f>
        <v/>
      </c>
      <c r="J396" s="27">
        <f>IF(C396="","",H396-I396)</f>
        <v/>
      </c>
      <c r="K396" s="25">
        <f>IF(C396="","",IF(G396=0,"not invoiced yet",SUBSTITUTE(TRIM(IF(COUNTIFS(tbl_Finance[Job Number],C396&amp;"",tbl_Finance[Cost Centre],"ONSITE")&gt;0,"ONSITE ","")&amp;IF(COUNTIFS(tbl_Finance[Job Number],C396&amp;"",tbl_Finance[Cost Centre],"PRODUCTION")&gt;0,"PRODUCTION ","")&amp;IF(COUNTIFS(tbl_Finance[Job Number],C396&amp;"",tbl_Finance[Cost Centre],"VIDEO")&gt;0,"VIDEO ","")&amp;IF(COUNTIFS(tbl_Finance[Job Number],C396&amp;"",tbl_Finance[Cost Centre],"INTEGRATION")&gt;0,"INTEGRATION ","")&amp;IF(COUNTIFS(tbl_Finance[Job Number],C396&amp;"",tbl_Finance[Cost Centre],"CONSULTING")&gt;0,"CONSULTING ","")&amp;IF(COUNTIFS(tbl_Finance[Job Number],C396&amp;"",tbl_Finance[Cost Centre],"CTS")&gt;0,"CTS ",""))," ",", ")))</f>
        <v/>
      </c>
      <c r="L396" s="24" t="n"/>
      <c r="M396" s="24" t="n"/>
      <c r="N396" s="25">
        <f>IF(M396="","",HYPERLINK(IF(LEFT(M396,4)="http",M396,set_QwilrBase&amp;M396),"Open quote"))</f>
        <v/>
      </c>
      <c r="O396" s="69" t="n"/>
      <c r="P396" s="24" t="n"/>
      <c r="Q396" s="24" t="n"/>
    </row>
    <row r="397" ht="15" customHeight="1">
      <c r="A397" s="68">
        <f>IF(C397="","",IFERROR(IF(SUMPRODUCT(MAX((tbl_Finance[Job Number]=C397&amp;"")*(tbl_Finance[Xero Invoice No]&lt;&gt;"")*tbl_Finance[Date]))=0,"",SUMPRODUCT(MAX((tbl_Finance[Job Number]=C397&amp;"")*(tbl_Finance[Xero Invoice No]&lt;&gt;"")*tbl_Finance[Date]))),""))</f>
        <v/>
      </c>
      <c r="B397" s="25">
        <f>IF(C397="","",IF(COUNTIFS(tbl_Finance[Job Number],C397&amp;"",tbl_Finance[Xero Invoice No],"&lt;&gt;")=0,"",IFERROR(IF(COUNTIFS(tbl_Finance[Job Number],C397&amp;"",tbl_Finance[Xero Invoice No],LOOKUP(2,1/((tbl_Finance[Job Number]=C397&amp;"")*(tbl_Finance[Xero Invoice No]&lt;&gt;"")),tbl_Finance[Xero Invoice No]))=COUNTIFS(tbl_Finance[Job Number],C397&amp;"",tbl_Finance[Xero Invoice No],"&lt;&gt;"),LOOKUP(2,1/((tbl_Finance[Job Number]=C397&amp;"")*(tbl_Finance[Xero Invoice No]&lt;&gt;"")),tbl_Finance[Xero Invoice No]),LOOKUP(2,1/((tbl_Finance[Job Number]=C397&amp;"")*(tbl_Finance[Xero Invoice No]&lt;&gt;"")),tbl_Finance[Xero Invoice No])&amp;" +more"),"")))</f>
        <v/>
      </c>
      <c r="C397" s="24" t="n"/>
      <c r="D397" s="25">
        <f>IF(C397="","",IF(COUNTIF(lst_Jobs,C397&amp;"")&gt;0,"OK","CHECK"))</f>
        <v/>
      </c>
      <c r="E397" s="25">
        <f>IF(C397="","",IFERROR(INDEX(lst_JobName,MATCH(C397&amp;"",lst_Jobs,0)),""))</f>
        <v/>
      </c>
      <c r="F397" s="25">
        <f>IF(C397="","",IFERROR(INDEX(tbl_Finance[Client],MATCH(C397&amp;"",tbl_Finance[Job Number],0)),""))</f>
        <v/>
      </c>
      <c r="G397" s="28">
        <f>IF(C397="","",COUNTIFS(tbl_Finance[Job Number],C397&amp;"",tbl_Finance[Ex GST],"&lt;&gt;"))</f>
        <v/>
      </c>
      <c r="H397" s="27">
        <f>IF(C397="","",SUMIFS(tbl_Finance[Ex GST],tbl_Finance[Job Number],C397&amp;""))</f>
        <v/>
      </c>
      <c r="I397" s="27">
        <f>IF(C397="","",SUMIFS(tbl_Finance[Ex GST],tbl_Finance[Job Number],C397&amp;"",tbl_Finance[Xero Invoice No],"&lt;&gt;"))</f>
        <v/>
      </c>
      <c r="J397" s="27">
        <f>IF(C397="","",H397-I397)</f>
        <v/>
      </c>
      <c r="K397" s="25">
        <f>IF(C397="","",IF(G397=0,"not invoiced yet",SUBSTITUTE(TRIM(IF(COUNTIFS(tbl_Finance[Job Number],C397&amp;"",tbl_Finance[Cost Centre],"ONSITE")&gt;0,"ONSITE ","")&amp;IF(COUNTIFS(tbl_Finance[Job Number],C397&amp;"",tbl_Finance[Cost Centre],"PRODUCTION")&gt;0,"PRODUCTION ","")&amp;IF(COUNTIFS(tbl_Finance[Job Number],C397&amp;"",tbl_Finance[Cost Centre],"VIDEO")&gt;0,"VIDEO ","")&amp;IF(COUNTIFS(tbl_Finance[Job Number],C397&amp;"",tbl_Finance[Cost Centre],"INTEGRATION")&gt;0,"INTEGRATION ","")&amp;IF(COUNTIFS(tbl_Finance[Job Number],C397&amp;"",tbl_Finance[Cost Centre],"CONSULTING")&gt;0,"CONSULTING ","")&amp;IF(COUNTIFS(tbl_Finance[Job Number],C397&amp;"",tbl_Finance[Cost Centre],"CTS")&gt;0,"CTS ",""))," ",", ")))</f>
        <v/>
      </c>
      <c r="L397" s="24" t="n"/>
      <c r="M397" s="24" t="n"/>
      <c r="N397" s="25">
        <f>IF(M397="","",HYPERLINK(IF(LEFT(M397,4)="http",M397,set_QwilrBase&amp;M397),"Open quote"))</f>
        <v/>
      </c>
      <c r="O397" s="69" t="n"/>
      <c r="P397" s="24" t="n"/>
      <c r="Q397" s="24" t="n"/>
    </row>
    <row r="398" ht="15" customHeight="1">
      <c r="A398" s="68">
        <f>IF(C398="","",IFERROR(IF(SUMPRODUCT(MAX((tbl_Finance[Job Number]=C398&amp;"")*(tbl_Finance[Xero Invoice No]&lt;&gt;"")*tbl_Finance[Date]))=0,"",SUMPRODUCT(MAX((tbl_Finance[Job Number]=C398&amp;"")*(tbl_Finance[Xero Invoice No]&lt;&gt;"")*tbl_Finance[Date]))),""))</f>
        <v/>
      </c>
      <c r="B398" s="25">
        <f>IF(C398="","",IF(COUNTIFS(tbl_Finance[Job Number],C398&amp;"",tbl_Finance[Xero Invoice No],"&lt;&gt;")=0,"",IFERROR(IF(COUNTIFS(tbl_Finance[Job Number],C398&amp;"",tbl_Finance[Xero Invoice No],LOOKUP(2,1/((tbl_Finance[Job Number]=C398&amp;"")*(tbl_Finance[Xero Invoice No]&lt;&gt;"")),tbl_Finance[Xero Invoice No]))=COUNTIFS(tbl_Finance[Job Number],C398&amp;"",tbl_Finance[Xero Invoice No],"&lt;&gt;"),LOOKUP(2,1/((tbl_Finance[Job Number]=C398&amp;"")*(tbl_Finance[Xero Invoice No]&lt;&gt;"")),tbl_Finance[Xero Invoice No]),LOOKUP(2,1/((tbl_Finance[Job Number]=C398&amp;"")*(tbl_Finance[Xero Invoice No]&lt;&gt;"")),tbl_Finance[Xero Invoice No])&amp;" +more"),"")))</f>
        <v/>
      </c>
      <c r="C398" s="24" t="n"/>
      <c r="D398" s="25">
        <f>IF(C398="","",IF(COUNTIF(lst_Jobs,C398&amp;"")&gt;0,"OK","CHECK"))</f>
        <v/>
      </c>
      <c r="E398" s="25">
        <f>IF(C398="","",IFERROR(INDEX(lst_JobName,MATCH(C398&amp;"",lst_Jobs,0)),""))</f>
        <v/>
      </c>
      <c r="F398" s="25">
        <f>IF(C398="","",IFERROR(INDEX(tbl_Finance[Client],MATCH(C398&amp;"",tbl_Finance[Job Number],0)),""))</f>
        <v/>
      </c>
      <c r="G398" s="28">
        <f>IF(C398="","",COUNTIFS(tbl_Finance[Job Number],C398&amp;"",tbl_Finance[Ex GST],"&lt;&gt;"))</f>
        <v/>
      </c>
      <c r="H398" s="27">
        <f>IF(C398="","",SUMIFS(tbl_Finance[Ex GST],tbl_Finance[Job Number],C398&amp;""))</f>
        <v/>
      </c>
      <c r="I398" s="27">
        <f>IF(C398="","",SUMIFS(tbl_Finance[Ex GST],tbl_Finance[Job Number],C398&amp;"",tbl_Finance[Xero Invoice No],"&lt;&gt;"))</f>
        <v/>
      </c>
      <c r="J398" s="27">
        <f>IF(C398="","",H398-I398)</f>
        <v/>
      </c>
      <c r="K398" s="25">
        <f>IF(C398="","",IF(G398=0,"not invoiced yet",SUBSTITUTE(TRIM(IF(COUNTIFS(tbl_Finance[Job Number],C398&amp;"",tbl_Finance[Cost Centre],"ONSITE")&gt;0,"ONSITE ","")&amp;IF(COUNTIFS(tbl_Finance[Job Number],C398&amp;"",tbl_Finance[Cost Centre],"PRODUCTION")&gt;0,"PRODUCTION ","")&amp;IF(COUNTIFS(tbl_Finance[Job Number],C398&amp;"",tbl_Finance[Cost Centre],"VIDEO")&gt;0,"VIDEO ","")&amp;IF(COUNTIFS(tbl_Finance[Job Number],C398&amp;"",tbl_Finance[Cost Centre],"INTEGRATION")&gt;0,"INTEGRATION ","")&amp;IF(COUNTIFS(tbl_Finance[Job Number],C398&amp;"",tbl_Finance[Cost Centre],"CONSULTING")&gt;0,"CONSULTING ","")&amp;IF(COUNTIFS(tbl_Finance[Job Number],C398&amp;"",tbl_Finance[Cost Centre],"CTS")&gt;0,"CTS ",""))," ",", ")))</f>
        <v/>
      </c>
      <c r="L398" s="24" t="n"/>
      <c r="M398" s="24" t="n"/>
      <c r="N398" s="25">
        <f>IF(M398="","",HYPERLINK(IF(LEFT(M398,4)="http",M398,set_QwilrBase&amp;M398),"Open quote"))</f>
        <v/>
      </c>
      <c r="O398" s="69" t="n"/>
      <c r="P398" s="24" t="n"/>
      <c r="Q398" s="24" t="n"/>
    </row>
    <row r="399" ht="15" customHeight="1">
      <c r="A399" s="68">
        <f>IF(C399="","",IFERROR(IF(SUMPRODUCT(MAX((tbl_Finance[Job Number]=C399&amp;"")*(tbl_Finance[Xero Invoice No]&lt;&gt;"")*tbl_Finance[Date]))=0,"",SUMPRODUCT(MAX((tbl_Finance[Job Number]=C399&amp;"")*(tbl_Finance[Xero Invoice No]&lt;&gt;"")*tbl_Finance[Date]))),""))</f>
        <v/>
      </c>
      <c r="B399" s="25">
        <f>IF(C399="","",IF(COUNTIFS(tbl_Finance[Job Number],C399&amp;"",tbl_Finance[Xero Invoice No],"&lt;&gt;")=0,"",IFERROR(IF(COUNTIFS(tbl_Finance[Job Number],C399&amp;"",tbl_Finance[Xero Invoice No],LOOKUP(2,1/((tbl_Finance[Job Number]=C399&amp;"")*(tbl_Finance[Xero Invoice No]&lt;&gt;"")),tbl_Finance[Xero Invoice No]))=COUNTIFS(tbl_Finance[Job Number],C399&amp;"",tbl_Finance[Xero Invoice No],"&lt;&gt;"),LOOKUP(2,1/((tbl_Finance[Job Number]=C399&amp;"")*(tbl_Finance[Xero Invoice No]&lt;&gt;"")),tbl_Finance[Xero Invoice No]),LOOKUP(2,1/((tbl_Finance[Job Number]=C399&amp;"")*(tbl_Finance[Xero Invoice No]&lt;&gt;"")),tbl_Finance[Xero Invoice No])&amp;" +more"),"")))</f>
        <v/>
      </c>
      <c r="C399" s="24" t="n"/>
      <c r="D399" s="25">
        <f>IF(C399="","",IF(COUNTIF(lst_Jobs,C399&amp;"")&gt;0,"OK","CHECK"))</f>
        <v/>
      </c>
      <c r="E399" s="25">
        <f>IF(C399="","",IFERROR(INDEX(lst_JobName,MATCH(C399&amp;"",lst_Jobs,0)),""))</f>
        <v/>
      </c>
      <c r="F399" s="25">
        <f>IF(C399="","",IFERROR(INDEX(tbl_Finance[Client],MATCH(C399&amp;"",tbl_Finance[Job Number],0)),""))</f>
        <v/>
      </c>
      <c r="G399" s="28">
        <f>IF(C399="","",COUNTIFS(tbl_Finance[Job Number],C399&amp;"",tbl_Finance[Ex GST],"&lt;&gt;"))</f>
        <v/>
      </c>
      <c r="H399" s="27">
        <f>IF(C399="","",SUMIFS(tbl_Finance[Ex GST],tbl_Finance[Job Number],C399&amp;""))</f>
        <v/>
      </c>
      <c r="I399" s="27">
        <f>IF(C399="","",SUMIFS(tbl_Finance[Ex GST],tbl_Finance[Job Number],C399&amp;"",tbl_Finance[Xero Invoice No],"&lt;&gt;"))</f>
        <v/>
      </c>
      <c r="J399" s="27">
        <f>IF(C399="","",H399-I399)</f>
        <v/>
      </c>
      <c r="K399" s="25">
        <f>IF(C399="","",IF(G399=0,"not invoiced yet",SUBSTITUTE(TRIM(IF(COUNTIFS(tbl_Finance[Job Number],C399&amp;"",tbl_Finance[Cost Centre],"ONSITE")&gt;0,"ONSITE ","")&amp;IF(COUNTIFS(tbl_Finance[Job Number],C399&amp;"",tbl_Finance[Cost Centre],"PRODUCTION")&gt;0,"PRODUCTION ","")&amp;IF(COUNTIFS(tbl_Finance[Job Number],C399&amp;"",tbl_Finance[Cost Centre],"VIDEO")&gt;0,"VIDEO ","")&amp;IF(COUNTIFS(tbl_Finance[Job Number],C399&amp;"",tbl_Finance[Cost Centre],"INTEGRATION")&gt;0,"INTEGRATION ","")&amp;IF(COUNTIFS(tbl_Finance[Job Number],C399&amp;"",tbl_Finance[Cost Centre],"CONSULTING")&gt;0,"CONSULTING ","")&amp;IF(COUNTIFS(tbl_Finance[Job Number],C399&amp;"",tbl_Finance[Cost Centre],"CTS")&gt;0,"CTS ",""))," ",", ")))</f>
        <v/>
      </c>
      <c r="L399" s="24" t="n"/>
      <c r="M399" s="24" t="n"/>
      <c r="N399" s="25">
        <f>IF(M399="","",HYPERLINK(IF(LEFT(M399,4)="http",M399,set_QwilrBase&amp;M399),"Open quote"))</f>
        <v/>
      </c>
      <c r="O399" s="69" t="n"/>
      <c r="P399" s="24" t="n"/>
      <c r="Q399" s="24" t="n"/>
    </row>
    <row r="400" ht="15" customHeight="1">
      <c r="A400" s="68">
        <f>IF(C400="","",IFERROR(IF(SUMPRODUCT(MAX((tbl_Finance[Job Number]=C400&amp;"")*(tbl_Finance[Xero Invoice No]&lt;&gt;"")*tbl_Finance[Date]))=0,"",SUMPRODUCT(MAX((tbl_Finance[Job Number]=C400&amp;"")*(tbl_Finance[Xero Invoice No]&lt;&gt;"")*tbl_Finance[Date]))),""))</f>
        <v/>
      </c>
      <c r="B400" s="25">
        <f>IF(C400="","",IF(COUNTIFS(tbl_Finance[Job Number],C400&amp;"",tbl_Finance[Xero Invoice No],"&lt;&gt;")=0,"",IFERROR(IF(COUNTIFS(tbl_Finance[Job Number],C400&amp;"",tbl_Finance[Xero Invoice No],LOOKUP(2,1/((tbl_Finance[Job Number]=C400&amp;"")*(tbl_Finance[Xero Invoice No]&lt;&gt;"")),tbl_Finance[Xero Invoice No]))=COUNTIFS(tbl_Finance[Job Number],C400&amp;"",tbl_Finance[Xero Invoice No],"&lt;&gt;"),LOOKUP(2,1/((tbl_Finance[Job Number]=C400&amp;"")*(tbl_Finance[Xero Invoice No]&lt;&gt;"")),tbl_Finance[Xero Invoice No]),LOOKUP(2,1/((tbl_Finance[Job Number]=C400&amp;"")*(tbl_Finance[Xero Invoice No]&lt;&gt;"")),tbl_Finance[Xero Invoice No])&amp;" +more"),"")))</f>
        <v/>
      </c>
      <c r="C400" s="24" t="n"/>
      <c r="D400" s="25">
        <f>IF(C400="","",IF(COUNTIF(lst_Jobs,C400&amp;"")&gt;0,"OK","CHECK"))</f>
        <v/>
      </c>
      <c r="E400" s="25">
        <f>IF(C400="","",IFERROR(INDEX(lst_JobName,MATCH(C400&amp;"",lst_Jobs,0)),""))</f>
        <v/>
      </c>
      <c r="F400" s="25">
        <f>IF(C400="","",IFERROR(INDEX(tbl_Finance[Client],MATCH(C400&amp;"",tbl_Finance[Job Number],0)),""))</f>
        <v/>
      </c>
      <c r="G400" s="28">
        <f>IF(C400="","",COUNTIFS(tbl_Finance[Job Number],C400&amp;"",tbl_Finance[Ex GST],"&lt;&gt;"))</f>
        <v/>
      </c>
      <c r="H400" s="27">
        <f>IF(C400="","",SUMIFS(tbl_Finance[Ex GST],tbl_Finance[Job Number],C400&amp;""))</f>
        <v/>
      </c>
      <c r="I400" s="27">
        <f>IF(C400="","",SUMIFS(tbl_Finance[Ex GST],tbl_Finance[Job Number],C400&amp;"",tbl_Finance[Xero Invoice No],"&lt;&gt;"))</f>
        <v/>
      </c>
      <c r="J400" s="27">
        <f>IF(C400="","",H400-I400)</f>
        <v/>
      </c>
      <c r="K400" s="25">
        <f>IF(C400="","",IF(G400=0,"not invoiced yet",SUBSTITUTE(TRIM(IF(COUNTIFS(tbl_Finance[Job Number],C400&amp;"",tbl_Finance[Cost Centre],"ONSITE")&gt;0,"ONSITE ","")&amp;IF(COUNTIFS(tbl_Finance[Job Number],C400&amp;"",tbl_Finance[Cost Centre],"PRODUCTION")&gt;0,"PRODUCTION ","")&amp;IF(COUNTIFS(tbl_Finance[Job Number],C400&amp;"",tbl_Finance[Cost Centre],"VIDEO")&gt;0,"VIDEO ","")&amp;IF(COUNTIFS(tbl_Finance[Job Number],C400&amp;"",tbl_Finance[Cost Centre],"INTEGRATION")&gt;0,"INTEGRATION ","")&amp;IF(COUNTIFS(tbl_Finance[Job Number],C400&amp;"",tbl_Finance[Cost Centre],"CONSULTING")&gt;0,"CONSULTING ","")&amp;IF(COUNTIFS(tbl_Finance[Job Number],C400&amp;"",tbl_Finance[Cost Centre],"CTS")&gt;0,"CTS ",""))," ",", ")))</f>
        <v/>
      </c>
      <c r="L400" s="24" t="n"/>
      <c r="M400" s="24" t="n"/>
      <c r="N400" s="25">
        <f>IF(M400="","",HYPERLINK(IF(LEFT(M400,4)="http",M400,set_QwilrBase&amp;M400),"Open quote"))</f>
        <v/>
      </c>
      <c r="O400" s="69" t="n"/>
      <c r="P400" s="24" t="n"/>
      <c r="Q400" s="24" t="n"/>
    </row>
    <row r="401" ht="15" customHeight="1">
      <c r="A401" s="68">
        <f>IF(C401="","",IFERROR(IF(SUMPRODUCT(MAX((tbl_Finance[Job Number]=C401&amp;"")*(tbl_Finance[Xero Invoice No]&lt;&gt;"")*tbl_Finance[Date]))=0,"",SUMPRODUCT(MAX((tbl_Finance[Job Number]=C401&amp;"")*(tbl_Finance[Xero Invoice No]&lt;&gt;"")*tbl_Finance[Date]))),""))</f>
        <v/>
      </c>
      <c r="B401" s="25">
        <f>IF(C401="","",IF(COUNTIFS(tbl_Finance[Job Number],C401&amp;"",tbl_Finance[Xero Invoice No],"&lt;&gt;")=0,"",IFERROR(IF(COUNTIFS(tbl_Finance[Job Number],C401&amp;"",tbl_Finance[Xero Invoice No],LOOKUP(2,1/((tbl_Finance[Job Number]=C401&amp;"")*(tbl_Finance[Xero Invoice No]&lt;&gt;"")),tbl_Finance[Xero Invoice No]))=COUNTIFS(tbl_Finance[Job Number],C401&amp;"",tbl_Finance[Xero Invoice No],"&lt;&gt;"),LOOKUP(2,1/((tbl_Finance[Job Number]=C401&amp;"")*(tbl_Finance[Xero Invoice No]&lt;&gt;"")),tbl_Finance[Xero Invoice No]),LOOKUP(2,1/((tbl_Finance[Job Number]=C401&amp;"")*(tbl_Finance[Xero Invoice No]&lt;&gt;"")),tbl_Finance[Xero Invoice No])&amp;" +more"),"")))</f>
        <v/>
      </c>
      <c r="C401" s="24" t="n"/>
      <c r="D401" s="25">
        <f>IF(C401="","",IF(COUNTIF(lst_Jobs,C401&amp;"")&gt;0,"OK","CHECK"))</f>
        <v/>
      </c>
      <c r="E401" s="25">
        <f>IF(C401="","",IFERROR(INDEX(lst_JobName,MATCH(C401&amp;"",lst_Jobs,0)),""))</f>
        <v/>
      </c>
      <c r="F401" s="25">
        <f>IF(C401="","",IFERROR(INDEX(tbl_Finance[Client],MATCH(C401&amp;"",tbl_Finance[Job Number],0)),""))</f>
        <v/>
      </c>
      <c r="G401" s="28">
        <f>IF(C401="","",COUNTIFS(tbl_Finance[Job Number],C401&amp;"",tbl_Finance[Ex GST],"&lt;&gt;"))</f>
        <v/>
      </c>
      <c r="H401" s="27">
        <f>IF(C401="","",SUMIFS(tbl_Finance[Ex GST],tbl_Finance[Job Number],C401&amp;""))</f>
        <v/>
      </c>
      <c r="I401" s="27">
        <f>IF(C401="","",SUMIFS(tbl_Finance[Ex GST],tbl_Finance[Job Number],C401&amp;"",tbl_Finance[Xero Invoice No],"&lt;&gt;"))</f>
        <v/>
      </c>
      <c r="J401" s="27">
        <f>IF(C401="","",H401-I401)</f>
        <v/>
      </c>
      <c r="K401" s="25">
        <f>IF(C401="","",IF(G401=0,"not invoiced yet",SUBSTITUTE(TRIM(IF(COUNTIFS(tbl_Finance[Job Number],C401&amp;"",tbl_Finance[Cost Centre],"ONSITE")&gt;0,"ONSITE ","")&amp;IF(COUNTIFS(tbl_Finance[Job Number],C401&amp;"",tbl_Finance[Cost Centre],"PRODUCTION")&gt;0,"PRODUCTION ","")&amp;IF(COUNTIFS(tbl_Finance[Job Number],C401&amp;"",tbl_Finance[Cost Centre],"VIDEO")&gt;0,"VIDEO ","")&amp;IF(COUNTIFS(tbl_Finance[Job Number],C401&amp;"",tbl_Finance[Cost Centre],"INTEGRATION")&gt;0,"INTEGRATION ","")&amp;IF(COUNTIFS(tbl_Finance[Job Number],C401&amp;"",tbl_Finance[Cost Centre],"CONSULTING")&gt;0,"CONSULTING ","")&amp;IF(COUNTIFS(tbl_Finance[Job Number],C401&amp;"",tbl_Finance[Cost Centre],"CTS")&gt;0,"CTS ",""))," ",", ")))</f>
        <v/>
      </c>
      <c r="L401" s="24" t="n"/>
      <c r="M401" s="24" t="n"/>
      <c r="N401" s="25">
        <f>IF(M401="","",HYPERLINK(IF(LEFT(M401,4)="http",M401,set_QwilrBase&amp;M401),"Open quote"))</f>
        <v/>
      </c>
      <c r="O401" s="69" t="n"/>
      <c r="P401" s="24" t="n"/>
      <c r="Q401" s="24" t="n"/>
    </row>
    <row r="402" ht="15" customHeight="1">
      <c r="A402" s="68">
        <f>IF(C402="","",IFERROR(IF(SUMPRODUCT(MAX((tbl_Finance[Job Number]=C402&amp;"")*(tbl_Finance[Xero Invoice No]&lt;&gt;"")*tbl_Finance[Date]))=0,"",SUMPRODUCT(MAX((tbl_Finance[Job Number]=C402&amp;"")*(tbl_Finance[Xero Invoice No]&lt;&gt;"")*tbl_Finance[Date]))),""))</f>
        <v/>
      </c>
      <c r="B402" s="25">
        <f>IF(C402="","",IF(COUNTIFS(tbl_Finance[Job Number],C402&amp;"",tbl_Finance[Xero Invoice No],"&lt;&gt;")=0,"",IFERROR(IF(COUNTIFS(tbl_Finance[Job Number],C402&amp;"",tbl_Finance[Xero Invoice No],LOOKUP(2,1/((tbl_Finance[Job Number]=C402&amp;"")*(tbl_Finance[Xero Invoice No]&lt;&gt;"")),tbl_Finance[Xero Invoice No]))=COUNTIFS(tbl_Finance[Job Number],C402&amp;"",tbl_Finance[Xero Invoice No],"&lt;&gt;"),LOOKUP(2,1/((tbl_Finance[Job Number]=C402&amp;"")*(tbl_Finance[Xero Invoice No]&lt;&gt;"")),tbl_Finance[Xero Invoice No]),LOOKUP(2,1/((tbl_Finance[Job Number]=C402&amp;"")*(tbl_Finance[Xero Invoice No]&lt;&gt;"")),tbl_Finance[Xero Invoice No])&amp;" +more"),"")))</f>
        <v/>
      </c>
      <c r="C402" s="24" t="n"/>
      <c r="D402" s="25">
        <f>IF(C402="","",IF(COUNTIF(lst_Jobs,C402&amp;"")&gt;0,"OK","CHECK"))</f>
        <v/>
      </c>
      <c r="E402" s="25">
        <f>IF(C402="","",IFERROR(INDEX(lst_JobName,MATCH(C402&amp;"",lst_Jobs,0)),""))</f>
        <v/>
      </c>
      <c r="F402" s="25">
        <f>IF(C402="","",IFERROR(INDEX(tbl_Finance[Client],MATCH(C402&amp;"",tbl_Finance[Job Number],0)),""))</f>
        <v/>
      </c>
      <c r="G402" s="28">
        <f>IF(C402="","",COUNTIFS(tbl_Finance[Job Number],C402&amp;"",tbl_Finance[Ex GST],"&lt;&gt;"))</f>
        <v/>
      </c>
      <c r="H402" s="27">
        <f>IF(C402="","",SUMIFS(tbl_Finance[Ex GST],tbl_Finance[Job Number],C402&amp;""))</f>
        <v/>
      </c>
      <c r="I402" s="27">
        <f>IF(C402="","",SUMIFS(tbl_Finance[Ex GST],tbl_Finance[Job Number],C402&amp;"",tbl_Finance[Xero Invoice No],"&lt;&gt;"))</f>
        <v/>
      </c>
      <c r="J402" s="27">
        <f>IF(C402="","",H402-I402)</f>
        <v/>
      </c>
      <c r="K402" s="25">
        <f>IF(C402="","",IF(G402=0,"not invoiced yet",SUBSTITUTE(TRIM(IF(COUNTIFS(tbl_Finance[Job Number],C402&amp;"",tbl_Finance[Cost Centre],"ONSITE")&gt;0,"ONSITE ","")&amp;IF(COUNTIFS(tbl_Finance[Job Number],C402&amp;"",tbl_Finance[Cost Centre],"PRODUCTION")&gt;0,"PRODUCTION ","")&amp;IF(COUNTIFS(tbl_Finance[Job Number],C402&amp;"",tbl_Finance[Cost Centre],"VIDEO")&gt;0,"VIDEO ","")&amp;IF(COUNTIFS(tbl_Finance[Job Number],C402&amp;"",tbl_Finance[Cost Centre],"INTEGRATION")&gt;0,"INTEGRATION ","")&amp;IF(COUNTIFS(tbl_Finance[Job Number],C402&amp;"",tbl_Finance[Cost Centre],"CONSULTING")&gt;0,"CONSULTING ","")&amp;IF(COUNTIFS(tbl_Finance[Job Number],C402&amp;"",tbl_Finance[Cost Centre],"CTS")&gt;0,"CTS ",""))," ",", ")))</f>
        <v/>
      </c>
      <c r="L402" s="24" t="n"/>
      <c r="M402" s="24" t="n"/>
      <c r="N402" s="25">
        <f>IF(M402="","",HYPERLINK(IF(LEFT(M402,4)="http",M402,set_QwilrBase&amp;M402),"Open quote"))</f>
        <v/>
      </c>
      <c r="O402" s="69" t="n"/>
      <c r="P402" s="24" t="n"/>
      <c r="Q402" s="24" t="n"/>
    </row>
    <row r="403" ht="15" customHeight="1">
      <c r="A403" s="68">
        <f>IF(C403="","",IFERROR(IF(SUMPRODUCT(MAX((tbl_Finance[Job Number]=C403&amp;"")*(tbl_Finance[Xero Invoice No]&lt;&gt;"")*tbl_Finance[Date]))=0,"",SUMPRODUCT(MAX((tbl_Finance[Job Number]=C403&amp;"")*(tbl_Finance[Xero Invoice No]&lt;&gt;"")*tbl_Finance[Date]))),""))</f>
        <v/>
      </c>
      <c r="B403" s="25">
        <f>IF(C403="","",IF(COUNTIFS(tbl_Finance[Job Number],C403&amp;"",tbl_Finance[Xero Invoice No],"&lt;&gt;")=0,"",IFERROR(IF(COUNTIFS(tbl_Finance[Job Number],C403&amp;"",tbl_Finance[Xero Invoice No],LOOKUP(2,1/((tbl_Finance[Job Number]=C403&amp;"")*(tbl_Finance[Xero Invoice No]&lt;&gt;"")),tbl_Finance[Xero Invoice No]))=COUNTIFS(tbl_Finance[Job Number],C403&amp;"",tbl_Finance[Xero Invoice No],"&lt;&gt;"),LOOKUP(2,1/((tbl_Finance[Job Number]=C403&amp;"")*(tbl_Finance[Xero Invoice No]&lt;&gt;"")),tbl_Finance[Xero Invoice No]),LOOKUP(2,1/((tbl_Finance[Job Number]=C403&amp;"")*(tbl_Finance[Xero Invoice No]&lt;&gt;"")),tbl_Finance[Xero Invoice No])&amp;" +more"),"")))</f>
        <v/>
      </c>
      <c r="C403" s="24" t="n"/>
      <c r="D403" s="25">
        <f>IF(C403="","",IF(COUNTIF(lst_Jobs,C403&amp;"")&gt;0,"OK","CHECK"))</f>
        <v/>
      </c>
      <c r="E403" s="25">
        <f>IF(C403="","",IFERROR(INDEX(lst_JobName,MATCH(C403&amp;"",lst_Jobs,0)),""))</f>
        <v/>
      </c>
      <c r="F403" s="25">
        <f>IF(C403="","",IFERROR(INDEX(tbl_Finance[Client],MATCH(C403&amp;"",tbl_Finance[Job Number],0)),""))</f>
        <v/>
      </c>
      <c r="G403" s="28">
        <f>IF(C403="","",COUNTIFS(tbl_Finance[Job Number],C403&amp;"",tbl_Finance[Ex GST],"&lt;&gt;"))</f>
        <v/>
      </c>
      <c r="H403" s="27">
        <f>IF(C403="","",SUMIFS(tbl_Finance[Ex GST],tbl_Finance[Job Number],C403&amp;""))</f>
        <v/>
      </c>
      <c r="I403" s="27">
        <f>IF(C403="","",SUMIFS(tbl_Finance[Ex GST],tbl_Finance[Job Number],C403&amp;"",tbl_Finance[Xero Invoice No],"&lt;&gt;"))</f>
        <v/>
      </c>
      <c r="J403" s="27">
        <f>IF(C403="","",H403-I403)</f>
        <v/>
      </c>
      <c r="K403" s="25">
        <f>IF(C403="","",IF(G403=0,"not invoiced yet",SUBSTITUTE(TRIM(IF(COUNTIFS(tbl_Finance[Job Number],C403&amp;"",tbl_Finance[Cost Centre],"ONSITE")&gt;0,"ONSITE ","")&amp;IF(COUNTIFS(tbl_Finance[Job Number],C403&amp;"",tbl_Finance[Cost Centre],"PRODUCTION")&gt;0,"PRODUCTION ","")&amp;IF(COUNTIFS(tbl_Finance[Job Number],C403&amp;"",tbl_Finance[Cost Centre],"VIDEO")&gt;0,"VIDEO ","")&amp;IF(COUNTIFS(tbl_Finance[Job Number],C403&amp;"",tbl_Finance[Cost Centre],"INTEGRATION")&gt;0,"INTEGRATION ","")&amp;IF(COUNTIFS(tbl_Finance[Job Number],C403&amp;"",tbl_Finance[Cost Centre],"CONSULTING")&gt;0,"CONSULTING ","")&amp;IF(COUNTIFS(tbl_Finance[Job Number],C403&amp;"",tbl_Finance[Cost Centre],"CTS")&gt;0,"CTS ",""))," ",", ")))</f>
        <v/>
      </c>
      <c r="L403" s="24" t="n"/>
      <c r="M403" s="24" t="n"/>
      <c r="N403" s="25">
        <f>IF(M403="","",HYPERLINK(IF(LEFT(M403,4)="http",M403,set_QwilrBase&amp;M403),"Open quote"))</f>
        <v/>
      </c>
      <c r="O403" s="69" t="n"/>
      <c r="P403" s="24" t="n"/>
      <c r="Q403" s="24" t="n"/>
    </row>
    <row r="404" ht="15" customHeight="1">
      <c r="A404" s="68">
        <f>IF(C404="","",IFERROR(IF(SUMPRODUCT(MAX((tbl_Finance[Job Number]=C404&amp;"")*(tbl_Finance[Xero Invoice No]&lt;&gt;"")*tbl_Finance[Date]))=0,"",SUMPRODUCT(MAX((tbl_Finance[Job Number]=C404&amp;"")*(tbl_Finance[Xero Invoice No]&lt;&gt;"")*tbl_Finance[Date]))),""))</f>
        <v/>
      </c>
      <c r="B404" s="25">
        <f>IF(C404="","",IF(COUNTIFS(tbl_Finance[Job Number],C404&amp;"",tbl_Finance[Xero Invoice No],"&lt;&gt;")=0,"",IFERROR(IF(COUNTIFS(tbl_Finance[Job Number],C404&amp;"",tbl_Finance[Xero Invoice No],LOOKUP(2,1/((tbl_Finance[Job Number]=C404&amp;"")*(tbl_Finance[Xero Invoice No]&lt;&gt;"")),tbl_Finance[Xero Invoice No]))=COUNTIFS(tbl_Finance[Job Number],C404&amp;"",tbl_Finance[Xero Invoice No],"&lt;&gt;"),LOOKUP(2,1/((tbl_Finance[Job Number]=C404&amp;"")*(tbl_Finance[Xero Invoice No]&lt;&gt;"")),tbl_Finance[Xero Invoice No]),LOOKUP(2,1/((tbl_Finance[Job Number]=C404&amp;"")*(tbl_Finance[Xero Invoice No]&lt;&gt;"")),tbl_Finance[Xero Invoice No])&amp;" +more"),"")))</f>
        <v/>
      </c>
      <c r="C404" s="24" t="n"/>
      <c r="D404" s="25">
        <f>IF(C404="","",IF(COUNTIF(lst_Jobs,C404&amp;"")&gt;0,"OK","CHECK"))</f>
        <v/>
      </c>
      <c r="E404" s="25">
        <f>IF(C404="","",IFERROR(INDEX(lst_JobName,MATCH(C404&amp;"",lst_Jobs,0)),""))</f>
        <v/>
      </c>
      <c r="F404" s="25">
        <f>IF(C404="","",IFERROR(INDEX(tbl_Finance[Client],MATCH(C404&amp;"",tbl_Finance[Job Number],0)),""))</f>
        <v/>
      </c>
      <c r="G404" s="28">
        <f>IF(C404="","",COUNTIFS(tbl_Finance[Job Number],C404&amp;"",tbl_Finance[Ex GST],"&lt;&gt;"))</f>
        <v/>
      </c>
      <c r="H404" s="27">
        <f>IF(C404="","",SUMIFS(tbl_Finance[Ex GST],tbl_Finance[Job Number],C404&amp;""))</f>
        <v/>
      </c>
      <c r="I404" s="27">
        <f>IF(C404="","",SUMIFS(tbl_Finance[Ex GST],tbl_Finance[Job Number],C404&amp;"",tbl_Finance[Xero Invoice No],"&lt;&gt;"))</f>
        <v/>
      </c>
      <c r="J404" s="27">
        <f>IF(C404="","",H404-I404)</f>
        <v/>
      </c>
      <c r="K404" s="25">
        <f>IF(C404="","",IF(G404=0,"not invoiced yet",SUBSTITUTE(TRIM(IF(COUNTIFS(tbl_Finance[Job Number],C404&amp;"",tbl_Finance[Cost Centre],"ONSITE")&gt;0,"ONSITE ","")&amp;IF(COUNTIFS(tbl_Finance[Job Number],C404&amp;"",tbl_Finance[Cost Centre],"PRODUCTION")&gt;0,"PRODUCTION ","")&amp;IF(COUNTIFS(tbl_Finance[Job Number],C404&amp;"",tbl_Finance[Cost Centre],"VIDEO")&gt;0,"VIDEO ","")&amp;IF(COUNTIFS(tbl_Finance[Job Number],C404&amp;"",tbl_Finance[Cost Centre],"INTEGRATION")&gt;0,"INTEGRATION ","")&amp;IF(COUNTIFS(tbl_Finance[Job Number],C404&amp;"",tbl_Finance[Cost Centre],"CONSULTING")&gt;0,"CONSULTING ","")&amp;IF(COUNTIFS(tbl_Finance[Job Number],C404&amp;"",tbl_Finance[Cost Centre],"CTS")&gt;0,"CTS ",""))," ",", ")))</f>
        <v/>
      </c>
      <c r="L404" s="24" t="n"/>
      <c r="M404" s="24" t="n"/>
      <c r="N404" s="25">
        <f>IF(M404="","",HYPERLINK(IF(LEFT(M404,4)="http",M404,set_QwilrBase&amp;M404),"Open quote"))</f>
        <v/>
      </c>
      <c r="O404" s="69" t="n"/>
      <c r="P404" s="24" t="n"/>
      <c r="Q404" s="24" t="n"/>
    </row>
  </sheetData>
  <sheetProtection selectLockedCells="0" selectUnlockedCells="0" sheet="1" objects="0" insertRows="0" insertHyperlinks="1" autoFilter="0" scenarios="0" formatColumns="0" deleteColumns="1" insertColumns="1" pivotTables="1" deleteRows="1" formatCells="0" formatRows="0" sort="0" password="DE92"/>
  <mergeCells count="1">
    <mergeCell ref="A3:K3"/>
  </mergeCells>
  <conditionalFormatting sqref="D5:D5000">
    <cfRule type="expression" priority="1" dxfId="0" stopIfTrue="0">
      <formula>D5="CHECK"</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B708A"/>
    <outlinePr summaryBelow="1" summaryRight="1"/>
    <pageSetUpPr/>
  </sheetPr>
  <dimension ref="A1:AO404"/>
  <sheetViews>
    <sheetView showGridLines="0"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5" customWidth="1" min="3" max="3"/>
    <col width="12" customWidth="1" min="4" max="4"/>
    <col width="38" customWidth="1" min="5" max="5"/>
    <col width="24" customWidth="1" min="6" max="6"/>
    <col width="11" customWidth="1" min="7" max="7"/>
    <col width="16" customWidth="1" min="8" max="8"/>
    <col width="14" customWidth="1" min="9" max="9"/>
    <col width="14" customWidth="1" min="10" max="10"/>
    <col width="16" customWidth="1" min="11" max="11"/>
    <col width="14" customWidth="1" min="12" max="12"/>
    <col width="18" customWidth="1" min="13" max="13"/>
    <col width="34" customWidth="1" min="14" max="14"/>
    <col width="30" customWidth="1" min="15" max="15"/>
    <col width="20" customWidth="1" min="16" max="16"/>
    <col width="12" customWidth="1" min="17" max="17"/>
    <col width="14" customWidth="1" min="18" max="18"/>
    <col width="18" customWidth="1" min="19" max="19"/>
    <col width="40" customWidth="1" min="20" max="20"/>
    <col width="14" customWidth="1" min="21" max="21"/>
    <col width="14" customWidth="1" min="22" max="22"/>
    <col width="11" customWidth="1" min="23" max="23"/>
    <col width="16" customWidth="1" min="24" max="24"/>
    <col width="20" customWidth="1" min="25" max="25"/>
    <col width="11" customWidth="1" min="26" max="26"/>
    <col width="17" customWidth="1" min="27" max="27"/>
    <col width="15" customWidth="1" min="28" max="28"/>
    <col width="18" customWidth="1" min="29" max="29"/>
    <col width="22" customWidth="1" min="30" max="30"/>
    <col width="14" customWidth="1" min="31" max="31"/>
    <col width="16" customWidth="1" min="32" max="32"/>
    <col width="14" customWidth="1" min="33" max="33"/>
    <col width="14" customWidth="1" min="34" max="34"/>
    <col width="10" customWidth="1" min="35" max="35"/>
    <col width="15" customWidth="1" min="36" max="36"/>
    <col width="15" customWidth="1" min="37" max="37"/>
    <col width="15" customWidth="1" min="38" max="38"/>
    <col width="19" customWidth="1" min="39" max="39"/>
    <col width="18" customWidth="1" min="40" max="40"/>
    <col width="38" customWidth="1" min="41" max="41"/>
  </cols>
  <sheetData>
    <row r="1" ht="24" customHeight="1">
      <c r="A1" s="18" t="inlineStr">
        <is>
          <t>Production - Job Detail</t>
        </is>
      </c>
    </row>
    <row r="2" ht="16" customHeight="1">
      <c r="A2" s="2" t="inlineStr">
        <is>
          <t>Production and Video jobs. One row per job number. Revenue comes from the Finance sheet, so margin is the whole job: every invoice against it less the costs you enter here.</t>
        </is>
      </c>
    </row>
    <row r="3" ht="22" customHeight="1">
      <c r="A3" s="19">
        <f>"Revenue Ex GST  "&amp;TEXT(SUBTOTAL(109,tbl_Production[Revenue Ex GST]),"$#,##0.00")</f>
        <v/>
      </c>
    </row>
    <row r="4" ht="34" customHeight="1">
      <c r="A4" s="21" t="inlineStr">
        <is>
          <t>Invoice Date</t>
        </is>
      </c>
      <c r="B4" s="21" t="inlineStr">
        <is>
          <t>Invoice No</t>
        </is>
      </c>
      <c r="C4" s="20" t="inlineStr">
        <is>
          <t>Job Number</t>
        </is>
      </c>
      <c r="D4" s="21" t="inlineStr">
        <is>
          <t>Job in Xero?</t>
        </is>
      </c>
      <c r="E4" s="21" t="inlineStr">
        <is>
          <t>Job Name (Xero)</t>
        </is>
      </c>
      <c r="F4" s="21" t="inlineStr">
        <is>
          <t>Client</t>
        </is>
      </c>
      <c r="G4" s="21" t="inlineStr">
        <is>
          <t>Lines on Job</t>
        </is>
      </c>
      <c r="H4" s="21" t="inlineStr">
        <is>
          <t>Revenue Ex GST</t>
        </is>
      </c>
      <c r="I4" s="21" t="inlineStr">
        <is>
          <t>Invoiced</t>
        </is>
      </c>
      <c r="J4" s="21" t="inlineStr">
        <is>
          <t>To Invoice</t>
        </is>
      </c>
      <c r="K4" s="21" t="inlineStr">
        <is>
          <t>Cost Centres</t>
        </is>
      </c>
      <c r="L4" s="21" t="inlineStr">
        <is>
          <t>Total Inc GST</t>
        </is>
      </c>
      <c r="M4" s="20" t="inlineStr">
        <is>
          <t>Company</t>
        </is>
      </c>
      <c r="N4" s="21" t="inlineStr">
        <is>
          <t>Event Name</t>
        </is>
      </c>
      <c r="O4" s="20" t="inlineStr">
        <is>
          <t>Client Email</t>
        </is>
      </c>
      <c r="P4" s="20" t="inlineStr">
        <is>
          <t>Event Grouping</t>
        </is>
      </c>
      <c r="Q4" s="20" t="inlineStr">
        <is>
          <t>Event Date</t>
        </is>
      </c>
      <c r="R4" s="20" t="inlineStr">
        <is>
          <t>Current RMS No</t>
        </is>
      </c>
      <c r="S4" s="21" t="inlineStr">
        <is>
          <t>Open in Current RMS</t>
        </is>
      </c>
      <c r="T4" s="20" t="inlineStr">
        <is>
          <t>Qwilr Quote</t>
        </is>
      </c>
      <c r="U4" s="21" t="inlineStr">
        <is>
          <t>Open Qwilr</t>
        </is>
      </c>
      <c r="V4" s="21" t="inlineStr">
        <is>
          <t>Zoho Number</t>
        </is>
      </c>
      <c r="W4" s="20" t="inlineStr">
        <is>
          <t>Job Closed</t>
        </is>
      </c>
      <c r="X4" s="20" t="inlineStr">
        <is>
          <t>Discounts Given</t>
        </is>
      </c>
      <c r="Y4" s="21" t="inlineStr">
        <is>
          <t>Value Before Discount</t>
        </is>
      </c>
      <c r="Z4" s="21" t="inlineStr">
        <is>
          <t>Discount %</t>
        </is>
      </c>
      <c r="AA4" s="20" t="inlineStr">
        <is>
          <t>Cross Hire Expense</t>
        </is>
      </c>
      <c r="AB4" s="20" t="inlineStr">
        <is>
          <t>Conf. Call Costs</t>
        </is>
      </c>
      <c r="AC4" s="20" t="inlineStr">
        <is>
          <t>Transcription Costs</t>
        </is>
      </c>
      <c r="AD4" s="20" t="inlineStr">
        <is>
          <t>Labour Expense (Internal)</t>
        </is>
      </c>
      <c r="AE4" s="21" t="inlineStr">
        <is>
          <t>Video Revenue</t>
        </is>
      </c>
      <c r="AF4" s="21" t="inlineStr">
        <is>
          <t>Video % of Revenue</t>
        </is>
      </c>
      <c r="AG4" s="21" t="inlineStr">
        <is>
          <t>Total Expense</t>
        </is>
      </c>
      <c r="AH4" s="21" t="inlineStr">
        <is>
          <t>Margin</t>
        </is>
      </c>
      <c r="AI4" s="21" t="inlineStr">
        <is>
          <t>Margin %</t>
        </is>
      </c>
      <c r="AJ4" s="20" t="inlineStr">
        <is>
          <t>Video Filming Hrs</t>
        </is>
      </c>
      <c r="AK4" s="20" t="inlineStr">
        <is>
          <t>Video Editing Hrs</t>
        </is>
      </c>
      <c r="AL4" s="20" t="inlineStr">
        <is>
          <t>Project Mgmt Hrs</t>
        </is>
      </c>
      <c r="AM4" s="20" t="inlineStr">
        <is>
          <t>Video Project Mgmt Hrs</t>
        </is>
      </c>
      <c r="AN4" s="20" t="inlineStr">
        <is>
          <t>Production Labour Hrs</t>
        </is>
      </c>
      <c r="AO4" s="20" t="inlineStr">
        <is>
          <t>Notes</t>
        </is>
      </c>
    </row>
    <row r="5" ht="15" customHeight="1">
      <c r="A5" s="68">
        <f>IF(C5="","",IFERROR(IF(SUMPRODUCT(MAX((tbl_Finance[Job Number]=C5&amp;"")*(tbl_Finance[Xero Invoice No]&lt;&gt;"")*tbl_Finance[Date]))=0,"",SUMPRODUCT(MAX((tbl_Finance[Job Number]=C5&amp;"")*(tbl_Finance[Xero Invoice No]&lt;&gt;"")*tbl_Finance[Date]))),""))</f>
        <v/>
      </c>
      <c r="B5" s="25">
        <f>IF(C5="","",IF(COUNTIFS(tbl_Finance[Job Number],C5&amp;"",tbl_Finance[Xero Invoice No],"&lt;&gt;")=0,"",IFERROR(IF(COUNTIFS(tbl_Finance[Job Number],C5&amp;"",tbl_Finance[Xero Invoice No],LOOKUP(2,1/((tbl_Finance[Job Number]=C5&amp;"")*(tbl_Finance[Xero Invoice No]&lt;&gt;"")),tbl_Finance[Xero Invoice No]))=COUNTIFS(tbl_Finance[Job Number],C5&amp;"",tbl_Finance[Xero Invoice No],"&lt;&gt;"),LOOKUP(2,1/((tbl_Finance[Job Number]=C5&amp;"")*(tbl_Finance[Xero Invoice No]&lt;&gt;"")),tbl_Finance[Xero Invoice No]),LOOKUP(2,1/((tbl_Finance[Job Number]=C5&amp;"")*(tbl_Finance[Xero Invoice No]&lt;&gt;"")),tbl_Finance[Xero Invoice No])&amp;" +more"),"")))</f>
        <v/>
      </c>
      <c r="C5" s="24" t="n"/>
      <c r="D5" s="25">
        <f>IF(C5="","",IF(COUNTIF(lst_Jobs,C5&amp;"")&gt;0,"OK","CHECK"))</f>
        <v/>
      </c>
      <c r="E5" s="25">
        <f>IF(C5="","",IFERROR(INDEX(lst_JobName,MATCH(C5&amp;"",lst_Jobs,0)),""))</f>
        <v/>
      </c>
      <c r="F5" s="25">
        <f>IF(C5="","",IFERROR(INDEX(tbl_Finance[Client],MATCH(C5&amp;"",tbl_Finance[Job Number],0)),""))</f>
        <v/>
      </c>
      <c r="G5" s="28">
        <f>IF(C5="","",COUNTIFS(tbl_Finance[Job Number],C5&amp;"",tbl_Finance[Ex GST],"&lt;&gt;"))</f>
        <v/>
      </c>
      <c r="H5" s="27">
        <f>IF(C5="","",SUMIFS(tbl_Finance[Ex GST],tbl_Finance[Job Number],C5&amp;""))</f>
        <v/>
      </c>
      <c r="I5" s="27">
        <f>IF(C5="","",SUMIFS(tbl_Finance[Ex GST],tbl_Finance[Job Number],C5&amp;"",tbl_Finance[Xero Invoice No],"&lt;&gt;"))</f>
        <v/>
      </c>
      <c r="J5" s="27">
        <f>IF(C5="","",H5-I5)</f>
        <v/>
      </c>
      <c r="K5" s="25">
        <f>IF(C5="","",IF(G5=0,"not invoiced yet",SUBSTITUTE(TRIM(IF(COUNTIFS(tbl_Finance[Job Number],C5&amp;"",tbl_Finance[Cost Centre],"ONSITE")&gt;0,"ONSITE ","")&amp;IF(COUNTIFS(tbl_Finance[Job Number],C5&amp;"",tbl_Finance[Cost Centre],"PRODUCTION")&gt;0,"PRODUCTION ","")&amp;IF(COUNTIFS(tbl_Finance[Job Number],C5&amp;"",tbl_Finance[Cost Centre],"VIDEO")&gt;0,"VIDEO ","")&amp;IF(COUNTIFS(tbl_Finance[Job Number],C5&amp;"",tbl_Finance[Cost Centre],"INTEGRATION")&gt;0,"INTEGRATION ","")&amp;IF(COUNTIFS(tbl_Finance[Job Number],C5&amp;"",tbl_Finance[Cost Centre],"CONSULTING")&gt;0,"CONSULTING ","")&amp;IF(COUNTIFS(tbl_Finance[Job Number],C5&amp;"",tbl_Finance[Cost Centre],"CTS")&gt;0,"CTS ",""))," ",", ")))</f>
        <v/>
      </c>
      <c r="L5" s="27">
        <f>IF(C5="","",SUMIFS(tbl_Finance[Inc GST],tbl_Finance[Job Number],C5&amp;""))</f>
        <v/>
      </c>
      <c r="M5" s="24" t="n"/>
      <c r="N5" s="25">
        <f>IF(C5="","",IFERROR(INDEX(tbl_Finance[Description],MATCH(C5&amp;"",tbl_Finance[Job Number],0)),""))</f>
        <v/>
      </c>
      <c r="O5" s="24" t="n"/>
      <c r="P5" s="24" t="n"/>
      <c r="Q5" s="22" t="n"/>
      <c r="R5" s="24" t="n"/>
      <c r="S5" s="25">
        <f>IF(R5="","",IF(AND(LEFT(R5,4)&lt;&gt;"http",set_RMSBase=""),"",HYPERLINK(IF(LEFT(R5,4)="http",R5,set_RMSBase&amp;R5),"Open opportunity")))</f>
        <v/>
      </c>
      <c r="T5" s="24" t="n"/>
      <c r="U5" s="25">
        <f>IF(T5="","",HYPERLINK(IF(LEFT(T5,4)="http",T5,set_QwilrBase&amp;T5),"Open quote"))</f>
        <v/>
      </c>
      <c r="V5" s="25">
        <f>IF(C5="","",C5)</f>
        <v/>
      </c>
      <c r="W5" s="24" t="n"/>
      <c r="X5" s="26" t="n"/>
      <c r="Y5" s="27">
        <f>IF(C5="","",H5+N(X5))</f>
        <v/>
      </c>
      <c r="Z5" s="29">
        <f>IFERROR(X5/Y5,"")</f>
        <v/>
      </c>
      <c r="AA5" s="26" t="n"/>
      <c r="AB5" s="26" t="n"/>
      <c r="AC5" s="26" t="n"/>
      <c r="AD5" s="26" t="n"/>
      <c r="AE5" s="27">
        <f>IF(C5="","",SUMIFS(tbl_Finance[Ex GST],tbl_Finance[Job Number],C5&amp;"",tbl_Finance[Cost Centre],"VIDEO"))</f>
        <v/>
      </c>
      <c r="AF5" s="29">
        <f>IFERROR(AE5/H5,"")</f>
        <v/>
      </c>
      <c r="AG5" s="27">
        <f>IF(C5="","",N(AA5)+N(AB5)+N(AC5)+N(AD5))</f>
        <v/>
      </c>
      <c r="AH5" s="27">
        <f>IF(C5="","",H5-AG5)</f>
        <v/>
      </c>
      <c r="AI5" s="29">
        <f>IFERROR(AH5/H5,"")</f>
        <v/>
      </c>
      <c r="AJ5" s="69" t="n"/>
      <c r="AK5" s="69" t="n"/>
      <c r="AL5" s="69" t="n"/>
      <c r="AM5" s="69" t="n"/>
      <c r="AN5" s="69" t="n"/>
      <c r="AO5" s="24" t="n"/>
    </row>
    <row r="6" ht="15" customHeight="1">
      <c r="A6" s="68">
        <f>IF(C6="","",IFERROR(IF(SUMPRODUCT(MAX((tbl_Finance[Job Number]=C6&amp;"")*(tbl_Finance[Xero Invoice No]&lt;&gt;"")*tbl_Finance[Date]))=0,"",SUMPRODUCT(MAX((tbl_Finance[Job Number]=C6&amp;"")*(tbl_Finance[Xero Invoice No]&lt;&gt;"")*tbl_Finance[Date]))),""))</f>
        <v/>
      </c>
      <c r="B6" s="25">
        <f>IF(C6="","",IF(COUNTIFS(tbl_Finance[Job Number],C6&amp;"",tbl_Finance[Xero Invoice No],"&lt;&gt;")=0,"",IFERROR(IF(COUNTIFS(tbl_Finance[Job Number],C6&amp;"",tbl_Finance[Xero Invoice No],LOOKUP(2,1/((tbl_Finance[Job Number]=C6&amp;"")*(tbl_Finance[Xero Invoice No]&lt;&gt;"")),tbl_Finance[Xero Invoice No]))=COUNTIFS(tbl_Finance[Job Number],C6&amp;"",tbl_Finance[Xero Invoice No],"&lt;&gt;"),LOOKUP(2,1/((tbl_Finance[Job Number]=C6&amp;"")*(tbl_Finance[Xero Invoice No]&lt;&gt;"")),tbl_Finance[Xero Invoice No]),LOOKUP(2,1/((tbl_Finance[Job Number]=C6&amp;"")*(tbl_Finance[Xero Invoice No]&lt;&gt;"")),tbl_Finance[Xero Invoice No])&amp;" +more"),"")))</f>
        <v/>
      </c>
      <c r="C6" s="24" t="n"/>
      <c r="D6" s="25">
        <f>IF(C6="","",IF(COUNTIF(lst_Jobs,C6&amp;"")&gt;0,"OK","CHECK"))</f>
        <v/>
      </c>
      <c r="E6" s="25">
        <f>IF(C6="","",IFERROR(INDEX(lst_JobName,MATCH(C6&amp;"",lst_Jobs,0)),""))</f>
        <v/>
      </c>
      <c r="F6" s="25">
        <f>IF(C6="","",IFERROR(INDEX(tbl_Finance[Client],MATCH(C6&amp;"",tbl_Finance[Job Number],0)),""))</f>
        <v/>
      </c>
      <c r="G6" s="28">
        <f>IF(C6="","",COUNTIFS(tbl_Finance[Job Number],C6&amp;"",tbl_Finance[Ex GST],"&lt;&gt;"))</f>
        <v/>
      </c>
      <c r="H6" s="27">
        <f>IF(C6="","",SUMIFS(tbl_Finance[Ex GST],tbl_Finance[Job Number],C6&amp;""))</f>
        <v/>
      </c>
      <c r="I6" s="27">
        <f>IF(C6="","",SUMIFS(tbl_Finance[Ex GST],tbl_Finance[Job Number],C6&amp;"",tbl_Finance[Xero Invoice No],"&lt;&gt;"))</f>
        <v/>
      </c>
      <c r="J6" s="27">
        <f>IF(C6="","",H6-I6)</f>
        <v/>
      </c>
      <c r="K6" s="25">
        <f>IF(C6="","",IF(G6=0,"not invoiced yet",SUBSTITUTE(TRIM(IF(COUNTIFS(tbl_Finance[Job Number],C6&amp;"",tbl_Finance[Cost Centre],"ONSITE")&gt;0,"ONSITE ","")&amp;IF(COUNTIFS(tbl_Finance[Job Number],C6&amp;"",tbl_Finance[Cost Centre],"PRODUCTION")&gt;0,"PRODUCTION ","")&amp;IF(COUNTIFS(tbl_Finance[Job Number],C6&amp;"",tbl_Finance[Cost Centre],"VIDEO")&gt;0,"VIDEO ","")&amp;IF(COUNTIFS(tbl_Finance[Job Number],C6&amp;"",tbl_Finance[Cost Centre],"INTEGRATION")&gt;0,"INTEGRATION ","")&amp;IF(COUNTIFS(tbl_Finance[Job Number],C6&amp;"",tbl_Finance[Cost Centre],"CONSULTING")&gt;0,"CONSULTING ","")&amp;IF(COUNTIFS(tbl_Finance[Job Number],C6&amp;"",tbl_Finance[Cost Centre],"CTS")&gt;0,"CTS ",""))," ",", ")))</f>
        <v/>
      </c>
      <c r="L6" s="27">
        <f>IF(C6="","",SUMIFS(tbl_Finance[Inc GST],tbl_Finance[Job Number],C6&amp;""))</f>
        <v/>
      </c>
      <c r="M6" s="24" t="n"/>
      <c r="N6" s="25">
        <f>IF(C6="","",IFERROR(INDEX(tbl_Finance[Description],MATCH(C6&amp;"",tbl_Finance[Job Number],0)),""))</f>
        <v/>
      </c>
      <c r="O6" s="24" t="n"/>
      <c r="P6" s="24" t="n"/>
      <c r="Q6" s="22" t="n"/>
      <c r="R6" s="24" t="n"/>
      <c r="S6" s="25">
        <f>IF(R6="","",IF(AND(LEFT(R6,4)&lt;&gt;"http",set_RMSBase=""),"",HYPERLINK(IF(LEFT(R6,4)="http",R6,set_RMSBase&amp;R6),"Open opportunity")))</f>
        <v/>
      </c>
      <c r="T6" s="24" t="n"/>
      <c r="U6" s="25">
        <f>IF(T6="","",HYPERLINK(IF(LEFT(T6,4)="http",T6,set_QwilrBase&amp;T6),"Open quote"))</f>
        <v/>
      </c>
      <c r="V6" s="25">
        <f>IF(C6="","",C6)</f>
        <v/>
      </c>
      <c r="W6" s="24" t="n"/>
      <c r="X6" s="26" t="n"/>
      <c r="Y6" s="27">
        <f>IF(C6="","",H6+N(X6))</f>
        <v/>
      </c>
      <c r="Z6" s="29">
        <f>IFERROR(X6/Y6,"")</f>
        <v/>
      </c>
      <c r="AA6" s="26" t="n"/>
      <c r="AB6" s="26" t="n"/>
      <c r="AC6" s="26" t="n"/>
      <c r="AD6" s="26" t="n"/>
      <c r="AE6" s="27">
        <f>IF(C6="","",SUMIFS(tbl_Finance[Ex GST],tbl_Finance[Job Number],C6&amp;"",tbl_Finance[Cost Centre],"VIDEO"))</f>
        <v/>
      </c>
      <c r="AF6" s="29">
        <f>IFERROR(AE6/H6,"")</f>
        <v/>
      </c>
      <c r="AG6" s="27">
        <f>IF(C6="","",N(AA6)+N(AB6)+N(AC6)+N(AD6))</f>
        <v/>
      </c>
      <c r="AH6" s="27">
        <f>IF(C6="","",H6-AG6)</f>
        <v/>
      </c>
      <c r="AI6" s="29">
        <f>IFERROR(AH6/H6,"")</f>
        <v/>
      </c>
      <c r="AJ6" s="69" t="n"/>
      <c r="AK6" s="69" t="n"/>
      <c r="AL6" s="69" t="n"/>
      <c r="AM6" s="69" t="n"/>
      <c r="AN6" s="69" t="n"/>
      <c r="AO6" s="24" t="n"/>
    </row>
    <row r="7" ht="15" customHeight="1">
      <c r="A7" s="68">
        <f>IF(C7="","",IFERROR(IF(SUMPRODUCT(MAX((tbl_Finance[Job Number]=C7&amp;"")*(tbl_Finance[Xero Invoice No]&lt;&gt;"")*tbl_Finance[Date]))=0,"",SUMPRODUCT(MAX((tbl_Finance[Job Number]=C7&amp;"")*(tbl_Finance[Xero Invoice No]&lt;&gt;"")*tbl_Finance[Date]))),""))</f>
        <v/>
      </c>
      <c r="B7" s="25">
        <f>IF(C7="","",IF(COUNTIFS(tbl_Finance[Job Number],C7&amp;"",tbl_Finance[Xero Invoice No],"&lt;&gt;")=0,"",IFERROR(IF(COUNTIFS(tbl_Finance[Job Number],C7&amp;"",tbl_Finance[Xero Invoice No],LOOKUP(2,1/((tbl_Finance[Job Number]=C7&amp;"")*(tbl_Finance[Xero Invoice No]&lt;&gt;"")),tbl_Finance[Xero Invoice No]))=COUNTIFS(tbl_Finance[Job Number],C7&amp;"",tbl_Finance[Xero Invoice No],"&lt;&gt;"),LOOKUP(2,1/((tbl_Finance[Job Number]=C7&amp;"")*(tbl_Finance[Xero Invoice No]&lt;&gt;"")),tbl_Finance[Xero Invoice No]),LOOKUP(2,1/((tbl_Finance[Job Number]=C7&amp;"")*(tbl_Finance[Xero Invoice No]&lt;&gt;"")),tbl_Finance[Xero Invoice No])&amp;" +more"),"")))</f>
        <v/>
      </c>
      <c r="C7" s="24" t="n"/>
      <c r="D7" s="25">
        <f>IF(C7="","",IF(COUNTIF(lst_Jobs,C7&amp;"")&gt;0,"OK","CHECK"))</f>
        <v/>
      </c>
      <c r="E7" s="25">
        <f>IF(C7="","",IFERROR(INDEX(lst_JobName,MATCH(C7&amp;"",lst_Jobs,0)),""))</f>
        <v/>
      </c>
      <c r="F7" s="25">
        <f>IF(C7="","",IFERROR(INDEX(tbl_Finance[Client],MATCH(C7&amp;"",tbl_Finance[Job Number],0)),""))</f>
        <v/>
      </c>
      <c r="G7" s="28">
        <f>IF(C7="","",COUNTIFS(tbl_Finance[Job Number],C7&amp;"",tbl_Finance[Ex GST],"&lt;&gt;"))</f>
        <v/>
      </c>
      <c r="H7" s="27">
        <f>IF(C7="","",SUMIFS(tbl_Finance[Ex GST],tbl_Finance[Job Number],C7&amp;""))</f>
        <v/>
      </c>
      <c r="I7" s="27">
        <f>IF(C7="","",SUMIFS(tbl_Finance[Ex GST],tbl_Finance[Job Number],C7&amp;"",tbl_Finance[Xero Invoice No],"&lt;&gt;"))</f>
        <v/>
      </c>
      <c r="J7" s="27">
        <f>IF(C7="","",H7-I7)</f>
        <v/>
      </c>
      <c r="K7" s="25">
        <f>IF(C7="","",IF(G7=0,"not invoiced yet",SUBSTITUTE(TRIM(IF(COUNTIFS(tbl_Finance[Job Number],C7&amp;"",tbl_Finance[Cost Centre],"ONSITE")&gt;0,"ONSITE ","")&amp;IF(COUNTIFS(tbl_Finance[Job Number],C7&amp;"",tbl_Finance[Cost Centre],"PRODUCTION")&gt;0,"PRODUCTION ","")&amp;IF(COUNTIFS(tbl_Finance[Job Number],C7&amp;"",tbl_Finance[Cost Centre],"VIDEO")&gt;0,"VIDEO ","")&amp;IF(COUNTIFS(tbl_Finance[Job Number],C7&amp;"",tbl_Finance[Cost Centre],"INTEGRATION")&gt;0,"INTEGRATION ","")&amp;IF(COUNTIFS(tbl_Finance[Job Number],C7&amp;"",tbl_Finance[Cost Centre],"CONSULTING")&gt;0,"CONSULTING ","")&amp;IF(COUNTIFS(tbl_Finance[Job Number],C7&amp;"",tbl_Finance[Cost Centre],"CTS")&gt;0,"CTS ",""))," ",", ")))</f>
        <v/>
      </c>
      <c r="L7" s="27">
        <f>IF(C7="","",SUMIFS(tbl_Finance[Inc GST],tbl_Finance[Job Number],C7&amp;""))</f>
        <v/>
      </c>
      <c r="M7" s="24" t="n"/>
      <c r="N7" s="25">
        <f>IF(C7="","",IFERROR(INDEX(tbl_Finance[Description],MATCH(C7&amp;"",tbl_Finance[Job Number],0)),""))</f>
        <v/>
      </c>
      <c r="O7" s="24" t="n"/>
      <c r="P7" s="24" t="n"/>
      <c r="Q7" s="22" t="n"/>
      <c r="R7" s="24" t="n"/>
      <c r="S7" s="25">
        <f>IF(R7="","",IF(AND(LEFT(R7,4)&lt;&gt;"http",set_RMSBase=""),"",HYPERLINK(IF(LEFT(R7,4)="http",R7,set_RMSBase&amp;R7),"Open opportunity")))</f>
        <v/>
      </c>
      <c r="T7" s="24" t="n"/>
      <c r="U7" s="25">
        <f>IF(T7="","",HYPERLINK(IF(LEFT(T7,4)="http",T7,set_QwilrBase&amp;T7),"Open quote"))</f>
        <v/>
      </c>
      <c r="V7" s="25">
        <f>IF(C7="","",C7)</f>
        <v/>
      </c>
      <c r="W7" s="24" t="n"/>
      <c r="X7" s="26" t="n"/>
      <c r="Y7" s="27">
        <f>IF(C7="","",H7+N(X7))</f>
        <v/>
      </c>
      <c r="Z7" s="29">
        <f>IFERROR(X7/Y7,"")</f>
        <v/>
      </c>
      <c r="AA7" s="26" t="n"/>
      <c r="AB7" s="26" t="n"/>
      <c r="AC7" s="26" t="n"/>
      <c r="AD7" s="26" t="n"/>
      <c r="AE7" s="27">
        <f>IF(C7="","",SUMIFS(tbl_Finance[Ex GST],tbl_Finance[Job Number],C7&amp;"",tbl_Finance[Cost Centre],"VIDEO"))</f>
        <v/>
      </c>
      <c r="AF7" s="29">
        <f>IFERROR(AE7/H7,"")</f>
        <v/>
      </c>
      <c r="AG7" s="27">
        <f>IF(C7="","",N(AA7)+N(AB7)+N(AC7)+N(AD7))</f>
        <v/>
      </c>
      <c r="AH7" s="27">
        <f>IF(C7="","",H7-AG7)</f>
        <v/>
      </c>
      <c r="AI7" s="29">
        <f>IFERROR(AH7/H7,"")</f>
        <v/>
      </c>
      <c r="AJ7" s="69" t="n"/>
      <c r="AK7" s="69" t="n"/>
      <c r="AL7" s="69" t="n"/>
      <c r="AM7" s="69" t="n"/>
      <c r="AN7" s="69" t="n"/>
      <c r="AO7" s="24" t="n"/>
    </row>
    <row r="8" ht="15" customHeight="1">
      <c r="A8" s="68">
        <f>IF(C8="","",IFERROR(IF(SUMPRODUCT(MAX((tbl_Finance[Job Number]=C8&amp;"")*(tbl_Finance[Xero Invoice No]&lt;&gt;"")*tbl_Finance[Date]))=0,"",SUMPRODUCT(MAX((tbl_Finance[Job Number]=C8&amp;"")*(tbl_Finance[Xero Invoice No]&lt;&gt;"")*tbl_Finance[Date]))),""))</f>
        <v/>
      </c>
      <c r="B8" s="25">
        <f>IF(C8="","",IF(COUNTIFS(tbl_Finance[Job Number],C8&amp;"",tbl_Finance[Xero Invoice No],"&lt;&gt;")=0,"",IFERROR(IF(COUNTIFS(tbl_Finance[Job Number],C8&amp;"",tbl_Finance[Xero Invoice No],LOOKUP(2,1/((tbl_Finance[Job Number]=C8&amp;"")*(tbl_Finance[Xero Invoice No]&lt;&gt;"")),tbl_Finance[Xero Invoice No]))=COUNTIFS(tbl_Finance[Job Number],C8&amp;"",tbl_Finance[Xero Invoice No],"&lt;&gt;"),LOOKUP(2,1/((tbl_Finance[Job Number]=C8&amp;"")*(tbl_Finance[Xero Invoice No]&lt;&gt;"")),tbl_Finance[Xero Invoice No]),LOOKUP(2,1/((tbl_Finance[Job Number]=C8&amp;"")*(tbl_Finance[Xero Invoice No]&lt;&gt;"")),tbl_Finance[Xero Invoice No])&amp;" +more"),"")))</f>
        <v/>
      </c>
      <c r="C8" s="24" t="n"/>
      <c r="D8" s="25">
        <f>IF(C8="","",IF(COUNTIF(lst_Jobs,C8&amp;"")&gt;0,"OK","CHECK"))</f>
        <v/>
      </c>
      <c r="E8" s="25">
        <f>IF(C8="","",IFERROR(INDEX(lst_JobName,MATCH(C8&amp;"",lst_Jobs,0)),""))</f>
        <v/>
      </c>
      <c r="F8" s="25">
        <f>IF(C8="","",IFERROR(INDEX(tbl_Finance[Client],MATCH(C8&amp;"",tbl_Finance[Job Number],0)),""))</f>
        <v/>
      </c>
      <c r="G8" s="28">
        <f>IF(C8="","",COUNTIFS(tbl_Finance[Job Number],C8&amp;"",tbl_Finance[Ex GST],"&lt;&gt;"))</f>
        <v/>
      </c>
      <c r="H8" s="27">
        <f>IF(C8="","",SUMIFS(tbl_Finance[Ex GST],tbl_Finance[Job Number],C8&amp;""))</f>
        <v/>
      </c>
      <c r="I8" s="27">
        <f>IF(C8="","",SUMIFS(tbl_Finance[Ex GST],tbl_Finance[Job Number],C8&amp;"",tbl_Finance[Xero Invoice No],"&lt;&gt;"))</f>
        <v/>
      </c>
      <c r="J8" s="27">
        <f>IF(C8="","",H8-I8)</f>
        <v/>
      </c>
      <c r="K8" s="25">
        <f>IF(C8="","",IF(G8=0,"not invoiced yet",SUBSTITUTE(TRIM(IF(COUNTIFS(tbl_Finance[Job Number],C8&amp;"",tbl_Finance[Cost Centre],"ONSITE")&gt;0,"ONSITE ","")&amp;IF(COUNTIFS(tbl_Finance[Job Number],C8&amp;"",tbl_Finance[Cost Centre],"PRODUCTION")&gt;0,"PRODUCTION ","")&amp;IF(COUNTIFS(tbl_Finance[Job Number],C8&amp;"",tbl_Finance[Cost Centre],"VIDEO")&gt;0,"VIDEO ","")&amp;IF(COUNTIFS(tbl_Finance[Job Number],C8&amp;"",tbl_Finance[Cost Centre],"INTEGRATION")&gt;0,"INTEGRATION ","")&amp;IF(COUNTIFS(tbl_Finance[Job Number],C8&amp;"",tbl_Finance[Cost Centre],"CONSULTING")&gt;0,"CONSULTING ","")&amp;IF(COUNTIFS(tbl_Finance[Job Number],C8&amp;"",tbl_Finance[Cost Centre],"CTS")&gt;0,"CTS ",""))," ",", ")))</f>
        <v/>
      </c>
      <c r="L8" s="27">
        <f>IF(C8="","",SUMIFS(tbl_Finance[Inc GST],tbl_Finance[Job Number],C8&amp;""))</f>
        <v/>
      </c>
      <c r="M8" s="24" t="n"/>
      <c r="N8" s="25">
        <f>IF(C8="","",IFERROR(INDEX(tbl_Finance[Description],MATCH(C8&amp;"",tbl_Finance[Job Number],0)),""))</f>
        <v/>
      </c>
      <c r="O8" s="24" t="n"/>
      <c r="P8" s="24" t="n"/>
      <c r="Q8" s="22" t="n"/>
      <c r="R8" s="24" t="n"/>
      <c r="S8" s="25">
        <f>IF(R8="","",IF(AND(LEFT(R8,4)&lt;&gt;"http",set_RMSBase=""),"",HYPERLINK(IF(LEFT(R8,4)="http",R8,set_RMSBase&amp;R8),"Open opportunity")))</f>
        <v/>
      </c>
      <c r="T8" s="24" t="n"/>
      <c r="U8" s="25">
        <f>IF(T8="","",HYPERLINK(IF(LEFT(T8,4)="http",T8,set_QwilrBase&amp;T8),"Open quote"))</f>
        <v/>
      </c>
      <c r="V8" s="25">
        <f>IF(C8="","",C8)</f>
        <v/>
      </c>
      <c r="W8" s="24" t="n"/>
      <c r="X8" s="26" t="n"/>
      <c r="Y8" s="27">
        <f>IF(C8="","",H8+N(X8))</f>
        <v/>
      </c>
      <c r="Z8" s="29">
        <f>IFERROR(X8/Y8,"")</f>
        <v/>
      </c>
      <c r="AA8" s="26" t="n"/>
      <c r="AB8" s="26" t="n"/>
      <c r="AC8" s="26" t="n"/>
      <c r="AD8" s="26" t="n"/>
      <c r="AE8" s="27">
        <f>IF(C8="","",SUMIFS(tbl_Finance[Ex GST],tbl_Finance[Job Number],C8&amp;"",tbl_Finance[Cost Centre],"VIDEO"))</f>
        <v/>
      </c>
      <c r="AF8" s="29">
        <f>IFERROR(AE8/H8,"")</f>
        <v/>
      </c>
      <c r="AG8" s="27">
        <f>IF(C8="","",N(AA8)+N(AB8)+N(AC8)+N(AD8))</f>
        <v/>
      </c>
      <c r="AH8" s="27">
        <f>IF(C8="","",H8-AG8)</f>
        <v/>
      </c>
      <c r="AI8" s="29">
        <f>IFERROR(AH8/H8,"")</f>
        <v/>
      </c>
      <c r="AJ8" s="69" t="n"/>
      <c r="AK8" s="69" t="n"/>
      <c r="AL8" s="69" t="n"/>
      <c r="AM8" s="69" t="n"/>
      <c r="AN8" s="69" t="n"/>
      <c r="AO8" s="24" t="n"/>
    </row>
    <row r="9" ht="15" customHeight="1">
      <c r="A9" s="68">
        <f>IF(C9="","",IFERROR(IF(SUMPRODUCT(MAX((tbl_Finance[Job Number]=C9&amp;"")*(tbl_Finance[Xero Invoice No]&lt;&gt;"")*tbl_Finance[Date]))=0,"",SUMPRODUCT(MAX((tbl_Finance[Job Number]=C9&amp;"")*(tbl_Finance[Xero Invoice No]&lt;&gt;"")*tbl_Finance[Date]))),""))</f>
        <v/>
      </c>
      <c r="B9" s="25">
        <f>IF(C9="","",IF(COUNTIFS(tbl_Finance[Job Number],C9&amp;"",tbl_Finance[Xero Invoice No],"&lt;&gt;")=0,"",IFERROR(IF(COUNTIFS(tbl_Finance[Job Number],C9&amp;"",tbl_Finance[Xero Invoice No],LOOKUP(2,1/((tbl_Finance[Job Number]=C9&amp;"")*(tbl_Finance[Xero Invoice No]&lt;&gt;"")),tbl_Finance[Xero Invoice No]))=COUNTIFS(tbl_Finance[Job Number],C9&amp;"",tbl_Finance[Xero Invoice No],"&lt;&gt;"),LOOKUP(2,1/((tbl_Finance[Job Number]=C9&amp;"")*(tbl_Finance[Xero Invoice No]&lt;&gt;"")),tbl_Finance[Xero Invoice No]),LOOKUP(2,1/((tbl_Finance[Job Number]=C9&amp;"")*(tbl_Finance[Xero Invoice No]&lt;&gt;"")),tbl_Finance[Xero Invoice No])&amp;" +more"),"")))</f>
        <v/>
      </c>
      <c r="C9" s="24" t="n"/>
      <c r="D9" s="25">
        <f>IF(C9="","",IF(COUNTIF(lst_Jobs,C9&amp;"")&gt;0,"OK","CHECK"))</f>
        <v/>
      </c>
      <c r="E9" s="25">
        <f>IF(C9="","",IFERROR(INDEX(lst_JobName,MATCH(C9&amp;"",lst_Jobs,0)),""))</f>
        <v/>
      </c>
      <c r="F9" s="25">
        <f>IF(C9="","",IFERROR(INDEX(tbl_Finance[Client],MATCH(C9&amp;"",tbl_Finance[Job Number],0)),""))</f>
        <v/>
      </c>
      <c r="G9" s="28">
        <f>IF(C9="","",COUNTIFS(tbl_Finance[Job Number],C9&amp;"",tbl_Finance[Ex GST],"&lt;&gt;"))</f>
        <v/>
      </c>
      <c r="H9" s="27">
        <f>IF(C9="","",SUMIFS(tbl_Finance[Ex GST],tbl_Finance[Job Number],C9&amp;""))</f>
        <v/>
      </c>
      <c r="I9" s="27">
        <f>IF(C9="","",SUMIFS(tbl_Finance[Ex GST],tbl_Finance[Job Number],C9&amp;"",tbl_Finance[Xero Invoice No],"&lt;&gt;"))</f>
        <v/>
      </c>
      <c r="J9" s="27">
        <f>IF(C9="","",H9-I9)</f>
        <v/>
      </c>
      <c r="K9" s="25">
        <f>IF(C9="","",IF(G9=0,"not invoiced yet",SUBSTITUTE(TRIM(IF(COUNTIFS(tbl_Finance[Job Number],C9&amp;"",tbl_Finance[Cost Centre],"ONSITE")&gt;0,"ONSITE ","")&amp;IF(COUNTIFS(tbl_Finance[Job Number],C9&amp;"",tbl_Finance[Cost Centre],"PRODUCTION")&gt;0,"PRODUCTION ","")&amp;IF(COUNTIFS(tbl_Finance[Job Number],C9&amp;"",tbl_Finance[Cost Centre],"VIDEO")&gt;0,"VIDEO ","")&amp;IF(COUNTIFS(tbl_Finance[Job Number],C9&amp;"",tbl_Finance[Cost Centre],"INTEGRATION")&gt;0,"INTEGRATION ","")&amp;IF(COUNTIFS(tbl_Finance[Job Number],C9&amp;"",tbl_Finance[Cost Centre],"CONSULTING")&gt;0,"CONSULTING ","")&amp;IF(COUNTIFS(tbl_Finance[Job Number],C9&amp;"",tbl_Finance[Cost Centre],"CTS")&gt;0,"CTS ",""))," ",", ")))</f>
        <v/>
      </c>
      <c r="L9" s="27">
        <f>IF(C9="","",SUMIFS(tbl_Finance[Inc GST],tbl_Finance[Job Number],C9&amp;""))</f>
        <v/>
      </c>
      <c r="M9" s="24" t="n"/>
      <c r="N9" s="25">
        <f>IF(C9="","",IFERROR(INDEX(tbl_Finance[Description],MATCH(C9&amp;"",tbl_Finance[Job Number],0)),""))</f>
        <v/>
      </c>
      <c r="O9" s="24" t="n"/>
      <c r="P9" s="24" t="n"/>
      <c r="Q9" s="22" t="n"/>
      <c r="R9" s="24" t="n"/>
      <c r="S9" s="25">
        <f>IF(R9="","",IF(AND(LEFT(R9,4)&lt;&gt;"http",set_RMSBase=""),"",HYPERLINK(IF(LEFT(R9,4)="http",R9,set_RMSBase&amp;R9),"Open opportunity")))</f>
        <v/>
      </c>
      <c r="T9" s="24" t="n"/>
      <c r="U9" s="25">
        <f>IF(T9="","",HYPERLINK(IF(LEFT(T9,4)="http",T9,set_QwilrBase&amp;T9),"Open quote"))</f>
        <v/>
      </c>
      <c r="V9" s="25">
        <f>IF(C9="","",C9)</f>
        <v/>
      </c>
      <c r="W9" s="24" t="n"/>
      <c r="X9" s="26" t="n"/>
      <c r="Y9" s="27">
        <f>IF(C9="","",H9+N(X9))</f>
        <v/>
      </c>
      <c r="Z9" s="29">
        <f>IFERROR(X9/Y9,"")</f>
        <v/>
      </c>
      <c r="AA9" s="26" t="n"/>
      <c r="AB9" s="26" t="n"/>
      <c r="AC9" s="26" t="n"/>
      <c r="AD9" s="26" t="n"/>
      <c r="AE9" s="27">
        <f>IF(C9="","",SUMIFS(tbl_Finance[Ex GST],tbl_Finance[Job Number],C9&amp;"",tbl_Finance[Cost Centre],"VIDEO"))</f>
        <v/>
      </c>
      <c r="AF9" s="29">
        <f>IFERROR(AE9/H9,"")</f>
        <v/>
      </c>
      <c r="AG9" s="27">
        <f>IF(C9="","",N(AA9)+N(AB9)+N(AC9)+N(AD9))</f>
        <v/>
      </c>
      <c r="AH9" s="27">
        <f>IF(C9="","",H9-AG9)</f>
        <v/>
      </c>
      <c r="AI9" s="29">
        <f>IFERROR(AH9/H9,"")</f>
        <v/>
      </c>
      <c r="AJ9" s="69" t="n"/>
      <c r="AK9" s="69" t="n"/>
      <c r="AL9" s="69" t="n"/>
      <c r="AM9" s="69" t="n"/>
      <c r="AN9" s="69" t="n"/>
      <c r="AO9" s="24" t="n"/>
    </row>
    <row r="10" ht="15" customHeight="1">
      <c r="A10" s="68">
        <f>IF(C10="","",IFERROR(IF(SUMPRODUCT(MAX((tbl_Finance[Job Number]=C10&amp;"")*(tbl_Finance[Xero Invoice No]&lt;&gt;"")*tbl_Finance[Date]))=0,"",SUMPRODUCT(MAX((tbl_Finance[Job Number]=C10&amp;"")*(tbl_Finance[Xero Invoice No]&lt;&gt;"")*tbl_Finance[Date]))),""))</f>
        <v/>
      </c>
      <c r="B10" s="25">
        <f>IF(C10="","",IF(COUNTIFS(tbl_Finance[Job Number],C10&amp;"",tbl_Finance[Xero Invoice No],"&lt;&gt;")=0,"",IFERROR(IF(COUNTIFS(tbl_Finance[Job Number],C10&amp;"",tbl_Finance[Xero Invoice No],LOOKUP(2,1/((tbl_Finance[Job Number]=C10&amp;"")*(tbl_Finance[Xero Invoice No]&lt;&gt;"")),tbl_Finance[Xero Invoice No]))=COUNTIFS(tbl_Finance[Job Number],C10&amp;"",tbl_Finance[Xero Invoice No],"&lt;&gt;"),LOOKUP(2,1/((tbl_Finance[Job Number]=C10&amp;"")*(tbl_Finance[Xero Invoice No]&lt;&gt;"")),tbl_Finance[Xero Invoice No]),LOOKUP(2,1/((tbl_Finance[Job Number]=C10&amp;"")*(tbl_Finance[Xero Invoice No]&lt;&gt;"")),tbl_Finance[Xero Invoice No])&amp;" +more"),"")))</f>
        <v/>
      </c>
      <c r="C10" s="24" t="n"/>
      <c r="D10" s="25">
        <f>IF(C10="","",IF(COUNTIF(lst_Jobs,C10&amp;"")&gt;0,"OK","CHECK"))</f>
        <v/>
      </c>
      <c r="E10" s="25">
        <f>IF(C10="","",IFERROR(INDEX(lst_JobName,MATCH(C10&amp;"",lst_Jobs,0)),""))</f>
        <v/>
      </c>
      <c r="F10" s="25">
        <f>IF(C10="","",IFERROR(INDEX(tbl_Finance[Client],MATCH(C10&amp;"",tbl_Finance[Job Number],0)),""))</f>
        <v/>
      </c>
      <c r="G10" s="28">
        <f>IF(C10="","",COUNTIFS(tbl_Finance[Job Number],C10&amp;"",tbl_Finance[Ex GST],"&lt;&gt;"))</f>
        <v/>
      </c>
      <c r="H10" s="27">
        <f>IF(C10="","",SUMIFS(tbl_Finance[Ex GST],tbl_Finance[Job Number],C10&amp;""))</f>
        <v/>
      </c>
      <c r="I10" s="27">
        <f>IF(C10="","",SUMIFS(tbl_Finance[Ex GST],tbl_Finance[Job Number],C10&amp;"",tbl_Finance[Xero Invoice No],"&lt;&gt;"))</f>
        <v/>
      </c>
      <c r="J10" s="27">
        <f>IF(C10="","",H10-I10)</f>
        <v/>
      </c>
      <c r="K10" s="25">
        <f>IF(C10="","",IF(G10=0,"not invoiced yet",SUBSTITUTE(TRIM(IF(COUNTIFS(tbl_Finance[Job Number],C10&amp;"",tbl_Finance[Cost Centre],"ONSITE")&gt;0,"ONSITE ","")&amp;IF(COUNTIFS(tbl_Finance[Job Number],C10&amp;"",tbl_Finance[Cost Centre],"PRODUCTION")&gt;0,"PRODUCTION ","")&amp;IF(COUNTIFS(tbl_Finance[Job Number],C10&amp;"",tbl_Finance[Cost Centre],"VIDEO")&gt;0,"VIDEO ","")&amp;IF(COUNTIFS(tbl_Finance[Job Number],C10&amp;"",tbl_Finance[Cost Centre],"INTEGRATION")&gt;0,"INTEGRATION ","")&amp;IF(COUNTIFS(tbl_Finance[Job Number],C10&amp;"",tbl_Finance[Cost Centre],"CONSULTING")&gt;0,"CONSULTING ","")&amp;IF(COUNTIFS(tbl_Finance[Job Number],C10&amp;"",tbl_Finance[Cost Centre],"CTS")&gt;0,"CTS ",""))," ",", ")))</f>
        <v/>
      </c>
      <c r="L10" s="27">
        <f>IF(C10="","",SUMIFS(tbl_Finance[Inc GST],tbl_Finance[Job Number],C10&amp;""))</f>
        <v/>
      </c>
      <c r="M10" s="24" t="n"/>
      <c r="N10" s="25">
        <f>IF(C10="","",IFERROR(INDEX(tbl_Finance[Description],MATCH(C10&amp;"",tbl_Finance[Job Number],0)),""))</f>
        <v/>
      </c>
      <c r="O10" s="24" t="n"/>
      <c r="P10" s="24" t="n"/>
      <c r="Q10" s="22" t="n"/>
      <c r="R10" s="24" t="n"/>
      <c r="S10" s="25">
        <f>IF(R10="","",IF(AND(LEFT(R10,4)&lt;&gt;"http",set_RMSBase=""),"",HYPERLINK(IF(LEFT(R10,4)="http",R10,set_RMSBase&amp;R10),"Open opportunity")))</f>
        <v/>
      </c>
      <c r="T10" s="24" t="n"/>
      <c r="U10" s="25">
        <f>IF(T10="","",HYPERLINK(IF(LEFT(T10,4)="http",T10,set_QwilrBase&amp;T10),"Open quote"))</f>
        <v/>
      </c>
      <c r="V10" s="25">
        <f>IF(C10="","",C10)</f>
        <v/>
      </c>
      <c r="W10" s="24" t="n"/>
      <c r="X10" s="26" t="n"/>
      <c r="Y10" s="27">
        <f>IF(C10="","",H10+N(X10))</f>
        <v/>
      </c>
      <c r="Z10" s="29">
        <f>IFERROR(X10/Y10,"")</f>
        <v/>
      </c>
      <c r="AA10" s="26" t="n"/>
      <c r="AB10" s="26" t="n"/>
      <c r="AC10" s="26" t="n"/>
      <c r="AD10" s="26" t="n"/>
      <c r="AE10" s="27">
        <f>IF(C10="","",SUMIFS(tbl_Finance[Ex GST],tbl_Finance[Job Number],C10&amp;"",tbl_Finance[Cost Centre],"VIDEO"))</f>
        <v/>
      </c>
      <c r="AF10" s="29">
        <f>IFERROR(AE10/H10,"")</f>
        <v/>
      </c>
      <c r="AG10" s="27">
        <f>IF(C10="","",N(AA10)+N(AB10)+N(AC10)+N(AD10))</f>
        <v/>
      </c>
      <c r="AH10" s="27">
        <f>IF(C10="","",H10-AG10)</f>
        <v/>
      </c>
      <c r="AI10" s="29">
        <f>IFERROR(AH10/H10,"")</f>
        <v/>
      </c>
      <c r="AJ10" s="69" t="n"/>
      <c r="AK10" s="69" t="n"/>
      <c r="AL10" s="69" t="n"/>
      <c r="AM10" s="69" t="n"/>
      <c r="AN10" s="69" t="n"/>
      <c r="AO10" s="24" t="n"/>
    </row>
    <row r="11" ht="15" customHeight="1">
      <c r="A11" s="68">
        <f>IF(C11="","",IFERROR(IF(SUMPRODUCT(MAX((tbl_Finance[Job Number]=C11&amp;"")*(tbl_Finance[Xero Invoice No]&lt;&gt;"")*tbl_Finance[Date]))=0,"",SUMPRODUCT(MAX((tbl_Finance[Job Number]=C11&amp;"")*(tbl_Finance[Xero Invoice No]&lt;&gt;"")*tbl_Finance[Date]))),""))</f>
        <v/>
      </c>
      <c r="B11" s="25">
        <f>IF(C11="","",IF(COUNTIFS(tbl_Finance[Job Number],C11&amp;"",tbl_Finance[Xero Invoice No],"&lt;&gt;")=0,"",IFERROR(IF(COUNTIFS(tbl_Finance[Job Number],C11&amp;"",tbl_Finance[Xero Invoice No],LOOKUP(2,1/((tbl_Finance[Job Number]=C11&amp;"")*(tbl_Finance[Xero Invoice No]&lt;&gt;"")),tbl_Finance[Xero Invoice No]))=COUNTIFS(tbl_Finance[Job Number],C11&amp;"",tbl_Finance[Xero Invoice No],"&lt;&gt;"),LOOKUP(2,1/((tbl_Finance[Job Number]=C11&amp;"")*(tbl_Finance[Xero Invoice No]&lt;&gt;"")),tbl_Finance[Xero Invoice No]),LOOKUP(2,1/((tbl_Finance[Job Number]=C11&amp;"")*(tbl_Finance[Xero Invoice No]&lt;&gt;"")),tbl_Finance[Xero Invoice No])&amp;" +more"),"")))</f>
        <v/>
      </c>
      <c r="C11" s="24" t="n"/>
      <c r="D11" s="25">
        <f>IF(C11="","",IF(COUNTIF(lst_Jobs,C11&amp;"")&gt;0,"OK","CHECK"))</f>
        <v/>
      </c>
      <c r="E11" s="25">
        <f>IF(C11="","",IFERROR(INDEX(lst_JobName,MATCH(C11&amp;"",lst_Jobs,0)),""))</f>
        <v/>
      </c>
      <c r="F11" s="25">
        <f>IF(C11="","",IFERROR(INDEX(tbl_Finance[Client],MATCH(C11&amp;"",tbl_Finance[Job Number],0)),""))</f>
        <v/>
      </c>
      <c r="G11" s="28">
        <f>IF(C11="","",COUNTIFS(tbl_Finance[Job Number],C11&amp;"",tbl_Finance[Ex GST],"&lt;&gt;"))</f>
        <v/>
      </c>
      <c r="H11" s="27">
        <f>IF(C11="","",SUMIFS(tbl_Finance[Ex GST],tbl_Finance[Job Number],C11&amp;""))</f>
        <v/>
      </c>
      <c r="I11" s="27">
        <f>IF(C11="","",SUMIFS(tbl_Finance[Ex GST],tbl_Finance[Job Number],C11&amp;"",tbl_Finance[Xero Invoice No],"&lt;&gt;"))</f>
        <v/>
      </c>
      <c r="J11" s="27">
        <f>IF(C11="","",H11-I11)</f>
        <v/>
      </c>
      <c r="K11" s="25">
        <f>IF(C11="","",IF(G11=0,"not invoiced yet",SUBSTITUTE(TRIM(IF(COUNTIFS(tbl_Finance[Job Number],C11&amp;"",tbl_Finance[Cost Centre],"ONSITE")&gt;0,"ONSITE ","")&amp;IF(COUNTIFS(tbl_Finance[Job Number],C11&amp;"",tbl_Finance[Cost Centre],"PRODUCTION")&gt;0,"PRODUCTION ","")&amp;IF(COUNTIFS(tbl_Finance[Job Number],C11&amp;"",tbl_Finance[Cost Centre],"VIDEO")&gt;0,"VIDEO ","")&amp;IF(COUNTIFS(tbl_Finance[Job Number],C11&amp;"",tbl_Finance[Cost Centre],"INTEGRATION")&gt;0,"INTEGRATION ","")&amp;IF(COUNTIFS(tbl_Finance[Job Number],C11&amp;"",tbl_Finance[Cost Centre],"CONSULTING")&gt;0,"CONSULTING ","")&amp;IF(COUNTIFS(tbl_Finance[Job Number],C11&amp;"",tbl_Finance[Cost Centre],"CTS")&gt;0,"CTS ",""))," ",", ")))</f>
        <v/>
      </c>
      <c r="L11" s="27">
        <f>IF(C11="","",SUMIFS(tbl_Finance[Inc GST],tbl_Finance[Job Number],C11&amp;""))</f>
        <v/>
      </c>
      <c r="M11" s="24" t="n"/>
      <c r="N11" s="25">
        <f>IF(C11="","",IFERROR(INDEX(tbl_Finance[Description],MATCH(C11&amp;"",tbl_Finance[Job Number],0)),""))</f>
        <v/>
      </c>
      <c r="O11" s="24" t="n"/>
      <c r="P11" s="24" t="n"/>
      <c r="Q11" s="22" t="n"/>
      <c r="R11" s="24" t="n"/>
      <c r="S11" s="25">
        <f>IF(R11="","",IF(AND(LEFT(R11,4)&lt;&gt;"http",set_RMSBase=""),"",HYPERLINK(IF(LEFT(R11,4)="http",R11,set_RMSBase&amp;R11),"Open opportunity")))</f>
        <v/>
      </c>
      <c r="T11" s="24" t="n"/>
      <c r="U11" s="25">
        <f>IF(T11="","",HYPERLINK(IF(LEFT(T11,4)="http",T11,set_QwilrBase&amp;T11),"Open quote"))</f>
        <v/>
      </c>
      <c r="V11" s="25">
        <f>IF(C11="","",C11)</f>
        <v/>
      </c>
      <c r="W11" s="24" t="n"/>
      <c r="X11" s="26" t="n"/>
      <c r="Y11" s="27">
        <f>IF(C11="","",H11+N(X11))</f>
        <v/>
      </c>
      <c r="Z11" s="29">
        <f>IFERROR(X11/Y11,"")</f>
        <v/>
      </c>
      <c r="AA11" s="26" t="n"/>
      <c r="AB11" s="26" t="n"/>
      <c r="AC11" s="26" t="n"/>
      <c r="AD11" s="26" t="n"/>
      <c r="AE11" s="27">
        <f>IF(C11="","",SUMIFS(tbl_Finance[Ex GST],tbl_Finance[Job Number],C11&amp;"",tbl_Finance[Cost Centre],"VIDEO"))</f>
        <v/>
      </c>
      <c r="AF11" s="29">
        <f>IFERROR(AE11/H11,"")</f>
        <v/>
      </c>
      <c r="AG11" s="27">
        <f>IF(C11="","",N(AA11)+N(AB11)+N(AC11)+N(AD11))</f>
        <v/>
      </c>
      <c r="AH11" s="27">
        <f>IF(C11="","",H11-AG11)</f>
        <v/>
      </c>
      <c r="AI11" s="29">
        <f>IFERROR(AH11/H11,"")</f>
        <v/>
      </c>
      <c r="AJ11" s="69" t="n"/>
      <c r="AK11" s="69" t="n"/>
      <c r="AL11" s="69" t="n"/>
      <c r="AM11" s="69" t="n"/>
      <c r="AN11" s="69" t="n"/>
      <c r="AO11" s="24" t="n"/>
    </row>
    <row r="12" ht="15" customHeight="1">
      <c r="A12" s="68">
        <f>IF(C12="","",IFERROR(IF(SUMPRODUCT(MAX((tbl_Finance[Job Number]=C12&amp;"")*(tbl_Finance[Xero Invoice No]&lt;&gt;"")*tbl_Finance[Date]))=0,"",SUMPRODUCT(MAX((tbl_Finance[Job Number]=C12&amp;"")*(tbl_Finance[Xero Invoice No]&lt;&gt;"")*tbl_Finance[Date]))),""))</f>
        <v/>
      </c>
      <c r="B12" s="25">
        <f>IF(C12="","",IF(COUNTIFS(tbl_Finance[Job Number],C12&amp;"",tbl_Finance[Xero Invoice No],"&lt;&gt;")=0,"",IFERROR(IF(COUNTIFS(tbl_Finance[Job Number],C12&amp;"",tbl_Finance[Xero Invoice No],LOOKUP(2,1/((tbl_Finance[Job Number]=C12&amp;"")*(tbl_Finance[Xero Invoice No]&lt;&gt;"")),tbl_Finance[Xero Invoice No]))=COUNTIFS(tbl_Finance[Job Number],C12&amp;"",tbl_Finance[Xero Invoice No],"&lt;&gt;"),LOOKUP(2,1/((tbl_Finance[Job Number]=C12&amp;"")*(tbl_Finance[Xero Invoice No]&lt;&gt;"")),tbl_Finance[Xero Invoice No]),LOOKUP(2,1/((tbl_Finance[Job Number]=C12&amp;"")*(tbl_Finance[Xero Invoice No]&lt;&gt;"")),tbl_Finance[Xero Invoice No])&amp;" +more"),"")))</f>
        <v/>
      </c>
      <c r="C12" s="24" t="n"/>
      <c r="D12" s="25">
        <f>IF(C12="","",IF(COUNTIF(lst_Jobs,C12&amp;"")&gt;0,"OK","CHECK"))</f>
        <v/>
      </c>
      <c r="E12" s="25">
        <f>IF(C12="","",IFERROR(INDEX(lst_JobName,MATCH(C12&amp;"",lst_Jobs,0)),""))</f>
        <v/>
      </c>
      <c r="F12" s="25">
        <f>IF(C12="","",IFERROR(INDEX(tbl_Finance[Client],MATCH(C12&amp;"",tbl_Finance[Job Number],0)),""))</f>
        <v/>
      </c>
      <c r="G12" s="28">
        <f>IF(C12="","",COUNTIFS(tbl_Finance[Job Number],C12&amp;"",tbl_Finance[Ex GST],"&lt;&gt;"))</f>
        <v/>
      </c>
      <c r="H12" s="27">
        <f>IF(C12="","",SUMIFS(tbl_Finance[Ex GST],tbl_Finance[Job Number],C12&amp;""))</f>
        <v/>
      </c>
      <c r="I12" s="27">
        <f>IF(C12="","",SUMIFS(tbl_Finance[Ex GST],tbl_Finance[Job Number],C12&amp;"",tbl_Finance[Xero Invoice No],"&lt;&gt;"))</f>
        <v/>
      </c>
      <c r="J12" s="27">
        <f>IF(C12="","",H12-I12)</f>
        <v/>
      </c>
      <c r="K12" s="25">
        <f>IF(C12="","",IF(G12=0,"not invoiced yet",SUBSTITUTE(TRIM(IF(COUNTIFS(tbl_Finance[Job Number],C12&amp;"",tbl_Finance[Cost Centre],"ONSITE")&gt;0,"ONSITE ","")&amp;IF(COUNTIFS(tbl_Finance[Job Number],C12&amp;"",tbl_Finance[Cost Centre],"PRODUCTION")&gt;0,"PRODUCTION ","")&amp;IF(COUNTIFS(tbl_Finance[Job Number],C12&amp;"",tbl_Finance[Cost Centre],"VIDEO")&gt;0,"VIDEO ","")&amp;IF(COUNTIFS(tbl_Finance[Job Number],C12&amp;"",tbl_Finance[Cost Centre],"INTEGRATION")&gt;0,"INTEGRATION ","")&amp;IF(COUNTIFS(tbl_Finance[Job Number],C12&amp;"",tbl_Finance[Cost Centre],"CONSULTING")&gt;0,"CONSULTING ","")&amp;IF(COUNTIFS(tbl_Finance[Job Number],C12&amp;"",tbl_Finance[Cost Centre],"CTS")&gt;0,"CTS ",""))," ",", ")))</f>
        <v/>
      </c>
      <c r="L12" s="27">
        <f>IF(C12="","",SUMIFS(tbl_Finance[Inc GST],tbl_Finance[Job Number],C12&amp;""))</f>
        <v/>
      </c>
      <c r="M12" s="24" t="n"/>
      <c r="N12" s="25">
        <f>IF(C12="","",IFERROR(INDEX(tbl_Finance[Description],MATCH(C12&amp;"",tbl_Finance[Job Number],0)),""))</f>
        <v/>
      </c>
      <c r="O12" s="24" t="n"/>
      <c r="P12" s="24" t="n"/>
      <c r="Q12" s="22" t="n"/>
      <c r="R12" s="24" t="n"/>
      <c r="S12" s="25">
        <f>IF(R12="","",IF(AND(LEFT(R12,4)&lt;&gt;"http",set_RMSBase=""),"",HYPERLINK(IF(LEFT(R12,4)="http",R12,set_RMSBase&amp;R12),"Open opportunity")))</f>
        <v/>
      </c>
      <c r="T12" s="24" t="n"/>
      <c r="U12" s="25">
        <f>IF(T12="","",HYPERLINK(IF(LEFT(T12,4)="http",T12,set_QwilrBase&amp;T12),"Open quote"))</f>
        <v/>
      </c>
      <c r="V12" s="25">
        <f>IF(C12="","",C12)</f>
        <v/>
      </c>
      <c r="W12" s="24" t="n"/>
      <c r="X12" s="26" t="n"/>
      <c r="Y12" s="27">
        <f>IF(C12="","",H12+N(X12))</f>
        <v/>
      </c>
      <c r="Z12" s="29">
        <f>IFERROR(X12/Y12,"")</f>
        <v/>
      </c>
      <c r="AA12" s="26" t="n"/>
      <c r="AB12" s="26" t="n"/>
      <c r="AC12" s="26" t="n"/>
      <c r="AD12" s="26" t="n"/>
      <c r="AE12" s="27">
        <f>IF(C12="","",SUMIFS(tbl_Finance[Ex GST],tbl_Finance[Job Number],C12&amp;"",tbl_Finance[Cost Centre],"VIDEO"))</f>
        <v/>
      </c>
      <c r="AF12" s="29">
        <f>IFERROR(AE12/H12,"")</f>
        <v/>
      </c>
      <c r="AG12" s="27">
        <f>IF(C12="","",N(AA12)+N(AB12)+N(AC12)+N(AD12))</f>
        <v/>
      </c>
      <c r="AH12" s="27">
        <f>IF(C12="","",H12-AG12)</f>
        <v/>
      </c>
      <c r="AI12" s="29">
        <f>IFERROR(AH12/H12,"")</f>
        <v/>
      </c>
      <c r="AJ12" s="69" t="n"/>
      <c r="AK12" s="69" t="n"/>
      <c r="AL12" s="69" t="n"/>
      <c r="AM12" s="69" t="n"/>
      <c r="AN12" s="69" t="n"/>
      <c r="AO12" s="24" t="n"/>
    </row>
    <row r="13" ht="15" customHeight="1">
      <c r="A13" s="68">
        <f>IF(C13="","",IFERROR(IF(SUMPRODUCT(MAX((tbl_Finance[Job Number]=C13&amp;"")*(tbl_Finance[Xero Invoice No]&lt;&gt;"")*tbl_Finance[Date]))=0,"",SUMPRODUCT(MAX((tbl_Finance[Job Number]=C13&amp;"")*(tbl_Finance[Xero Invoice No]&lt;&gt;"")*tbl_Finance[Date]))),""))</f>
        <v/>
      </c>
      <c r="B13" s="25">
        <f>IF(C13="","",IF(COUNTIFS(tbl_Finance[Job Number],C13&amp;"",tbl_Finance[Xero Invoice No],"&lt;&gt;")=0,"",IFERROR(IF(COUNTIFS(tbl_Finance[Job Number],C13&amp;"",tbl_Finance[Xero Invoice No],LOOKUP(2,1/((tbl_Finance[Job Number]=C13&amp;"")*(tbl_Finance[Xero Invoice No]&lt;&gt;"")),tbl_Finance[Xero Invoice No]))=COUNTIFS(tbl_Finance[Job Number],C13&amp;"",tbl_Finance[Xero Invoice No],"&lt;&gt;"),LOOKUP(2,1/((tbl_Finance[Job Number]=C13&amp;"")*(tbl_Finance[Xero Invoice No]&lt;&gt;"")),tbl_Finance[Xero Invoice No]),LOOKUP(2,1/((tbl_Finance[Job Number]=C13&amp;"")*(tbl_Finance[Xero Invoice No]&lt;&gt;"")),tbl_Finance[Xero Invoice No])&amp;" +more"),"")))</f>
        <v/>
      </c>
      <c r="C13" s="24" t="n"/>
      <c r="D13" s="25">
        <f>IF(C13="","",IF(COUNTIF(lst_Jobs,C13&amp;"")&gt;0,"OK","CHECK"))</f>
        <v/>
      </c>
      <c r="E13" s="25">
        <f>IF(C13="","",IFERROR(INDEX(lst_JobName,MATCH(C13&amp;"",lst_Jobs,0)),""))</f>
        <v/>
      </c>
      <c r="F13" s="25">
        <f>IF(C13="","",IFERROR(INDEX(tbl_Finance[Client],MATCH(C13&amp;"",tbl_Finance[Job Number],0)),""))</f>
        <v/>
      </c>
      <c r="G13" s="28">
        <f>IF(C13="","",COUNTIFS(tbl_Finance[Job Number],C13&amp;"",tbl_Finance[Ex GST],"&lt;&gt;"))</f>
        <v/>
      </c>
      <c r="H13" s="27">
        <f>IF(C13="","",SUMIFS(tbl_Finance[Ex GST],tbl_Finance[Job Number],C13&amp;""))</f>
        <v/>
      </c>
      <c r="I13" s="27">
        <f>IF(C13="","",SUMIFS(tbl_Finance[Ex GST],tbl_Finance[Job Number],C13&amp;"",tbl_Finance[Xero Invoice No],"&lt;&gt;"))</f>
        <v/>
      </c>
      <c r="J13" s="27">
        <f>IF(C13="","",H13-I13)</f>
        <v/>
      </c>
      <c r="K13" s="25">
        <f>IF(C13="","",IF(G13=0,"not invoiced yet",SUBSTITUTE(TRIM(IF(COUNTIFS(tbl_Finance[Job Number],C13&amp;"",tbl_Finance[Cost Centre],"ONSITE")&gt;0,"ONSITE ","")&amp;IF(COUNTIFS(tbl_Finance[Job Number],C13&amp;"",tbl_Finance[Cost Centre],"PRODUCTION")&gt;0,"PRODUCTION ","")&amp;IF(COUNTIFS(tbl_Finance[Job Number],C13&amp;"",tbl_Finance[Cost Centre],"VIDEO")&gt;0,"VIDEO ","")&amp;IF(COUNTIFS(tbl_Finance[Job Number],C13&amp;"",tbl_Finance[Cost Centre],"INTEGRATION")&gt;0,"INTEGRATION ","")&amp;IF(COUNTIFS(tbl_Finance[Job Number],C13&amp;"",tbl_Finance[Cost Centre],"CONSULTING")&gt;0,"CONSULTING ","")&amp;IF(COUNTIFS(tbl_Finance[Job Number],C13&amp;"",tbl_Finance[Cost Centre],"CTS")&gt;0,"CTS ",""))," ",", ")))</f>
        <v/>
      </c>
      <c r="L13" s="27">
        <f>IF(C13="","",SUMIFS(tbl_Finance[Inc GST],tbl_Finance[Job Number],C13&amp;""))</f>
        <v/>
      </c>
      <c r="M13" s="24" t="n"/>
      <c r="N13" s="25">
        <f>IF(C13="","",IFERROR(INDEX(tbl_Finance[Description],MATCH(C13&amp;"",tbl_Finance[Job Number],0)),""))</f>
        <v/>
      </c>
      <c r="O13" s="24" t="n"/>
      <c r="P13" s="24" t="n"/>
      <c r="Q13" s="22" t="n"/>
      <c r="R13" s="24" t="n"/>
      <c r="S13" s="25">
        <f>IF(R13="","",IF(AND(LEFT(R13,4)&lt;&gt;"http",set_RMSBase=""),"",HYPERLINK(IF(LEFT(R13,4)="http",R13,set_RMSBase&amp;R13),"Open opportunity")))</f>
        <v/>
      </c>
      <c r="T13" s="24" t="n"/>
      <c r="U13" s="25">
        <f>IF(T13="","",HYPERLINK(IF(LEFT(T13,4)="http",T13,set_QwilrBase&amp;T13),"Open quote"))</f>
        <v/>
      </c>
      <c r="V13" s="25">
        <f>IF(C13="","",C13)</f>
        <v/>
      </c>
      <c r="W13" s="24" t="n"/>
      <c r="X13" s="26" t="n"/>
      <c r="Y13" s="27">
        <f>IF(C13="","",H13+N(X13))</f>
        <v/>
      </c>
      <c r="Z13" s="29">
        <f>IFERROR(X13/Y13,"")</f>
        <v/>
      </c>
      <c r="AA13" s="26" t="n"/>
      <c r="AB13" s="26" t="n"/>
      <c r="AC13" s="26" t="n"/>
      <c r="AD13" s="26" t="n"/>
      <c r="AE13" s="27">
        <f>IF(C13="","",SUMIFS(tbl_Finance[Ex GST],tbl_Finance[Job Number],C13&amp;"",tbl_Finance[Cost Centre],"VIDEO"))</f>
        <v/>
      </c>
      <c r="AF13" s="29">
        <f>IFERROR(AE13/H13,"")</f>
        <v/>
      </c>
      <c r="AG13" s="27">
        <f>IF(C13="","",N(AA13)+N(AB13)+N(AC13)+N(AD13))</f>
        <v/>
      </c>
      <c r="AH13" s="27">
        <f>IF(C13="","",H13-AG13)</f>
        <v/>
      </c>
      <c r="AI13" s="29">
        <f>IFERROR(AH13/H13,"")</f>
        <v/>
      </c>
      <c r="AJ13" s="69" t="n"/>
      <c r="AK13" s="69" t="n"/>
      <c r="AL13" s="69" t="n"/>
      <c r="AM13" s="69" t="n"/>
      <c r="AN13" s="69" t="n"/>
      <c r="AO13" s="24" t="n"/>
    </row>
    <row r="14" ht="15" customHeight="1">
      <c r="A14" s="68">
        <f>IF(C14="","",IFERROR(IF(SUMPRODUCT(MAX((tbl_Finance[Job Number]=C14&amp;"")*(tbl_Finance[Xero Invoice No]&lt;&gt;"")*tbl_Finance[Date]))=0,"",SUMPRODUCT(MAX((tbl_Finance[Job Number]=C14&amp;"")*(tbl_Finance[Xero Invoice No]&lt;&gt;"")*tbl_Finance[Date]))),""))</f>
        <v/>
      </c>
      <c r="B14" s="25">
        <f>IF(C14="","",IF(COUNTIFS(tbl_Finance[Job Number],C14&amp;"",tbl_Finance[Xero Invoice No],"&lt;&gt;")=0,"",IFERROR(IF(COUNTIFS(tbl_Finance[Job Number],C14&amp;"",tbl_Finance[Xero Invoice No],LOOKUP(2,1/((tbl_Finance[Job Number]=C14&amp;"")*(tbl_Finance[Xero Invoice No]&lt;&gt;"")),tbl_Finance[Xero Invoice No]))=COUNTIFS(tbl_Finance[Job Number],C14&amp;"",tbl_Finance[Xero Invoice No],"&lt;&gt;"),LOOKUP(2,1/((tbl_Finance[Job Number]=C14&amp;"")*(tbl_Finance[Xero Invoice No]&lt;&gt;"")),tbl_Finance[Xero Invoice No]),LOOKUP(2,1/((tbl_Finance[Job Number]=C14&amp;"")*(tbl_Finance[Xero Invoice No]&lt;&gt;"")),tbl_Finance[Xero Invoice No])&amp;" +more"),"")))</f>
        <v/>
      </c>
      <c r="C14" s="24" t="n"/>
      <c r="D14" s="25">
        <f>IF(C14="","",IF(COUNTIF(lst_Jobs,C14&amp;"")&gt;0,"OK","CHECK"))</f>
        <v/>
      </c>
      <c r="E14" s="25">
        <f>IF(C14="","",IFERROR(INDEX(lst_JobName,MATCH(C14&amp;"",lst_Jobs,0)),""))</f>
        <v/>
      </c>
      <c r="F14" s="25">
        <f>IF(C14="","",IFERROR(INDEX(tbl_Finance[Client],MATCH(C14&amp;"",tbl_Finance[Job Number],0)),""))</f>
        <v/>
      </c>
      <c r="G14" s="28">
        <f>IF(C14="","",COUNTIFS(tbl_Finance[Job Number],C14&amp;"",tbl_Finance[Ex GST],"&lt;&gt;"))</f>
        <v/>
      </c>
      <c r="H14" s="27">
        <f>IF(C14="","",SUMIFS(tbl_Finance[Ex GST],tbl_Finance[Job Number],C14&amp;""))</f>
        <v/>
      </c>
      <c r="I14" s="27">
        <f>IF(C14="","",SUMIFS(tbl_Finance[Ex GST],tbl_Finance[Job Number],C14&amp;"",tbl_Finance[Xero Invoice No],"&lt;&gt;"))</f>
        <v/>
      </c>
      <c r="J14" s="27">
        <f>IF(C14="","",H14-I14)</f>
        <v/>
      </c>
      <c r="K14" s="25">
        <f>IF(C14="","",IF(G14=0,"not invoiced yet",SUBSTITUTE(TRIM(IF(COUNTIFS(tbl_Finance[Job Number],C14&amp;"",tbl_Finance[Cost Centre],"ONSITE")&gt;0,"ONSITE ","")&amp;IF(COUNTIFS(tbl_Finance[Job Number],C14&amp;"",tbl_Finance[Cost Centre],"PRODUCTION")&gt;0,"PRODUCTION ","")&amp;IF(COUNTIFS(tbl_Finance[Job Number],C14&amp;"",tbl_Finance[Cost Centre],"VIDEO")&gt;0,"VIDEO ","")&amp;IF(COUNTIFS(tbl_Finance[Job Number],C14&amp;"",tbl_Finance[Cost Centre],"INTEGRATION")&gt;0,"INTEGRATION ","")&amp;IF(COUNTIFS(tbl_Finance[Job Number],C14&amp;"",tbl_Finance[Cost Centre],"CONSULTING")&gt;0,"CONSULTING ","")&amp;IF(COUNTIFS(tbl_Finance[Job Number],C14&amp;"",tbl_Finance[Cost Centre],"CTS")&gt;0,"CTS ",""))," ",", ")))</f>
        <v/>
      </c>
      <c r="L14" s="27">
        <f>IF(C14="","",SUMIFS(tbl_Finance[Inc GST],tbl_Finance[Job Number],C14&amp;""))</f>
        <v/>
      </c>
      <c r="M14" s="24" t="n"/>
      <c r="N14" s="25">
        <f>IF(C14="","",IFERROR(INDEX(tbl_Finance[Description],MATCH(C14&amp;"",tbl_Finance[Job Number],0)),""))</f>
        <v/>
      </c>
      <c r="O14" s="24" t="n"/>
      <c r="P14" s="24" t="n"/>
      <c r="Q14" s="22" t="n"/>
      <c r="R14" s="24" t="n"/>
      <c r="S14" s="25">
        <f>IF(R14="","",IF(AND(LEFT(R14,4)&lt;&gt;"http",set_RMSBase=""),"",HYPERLINK(IF(LEFT(R14,4)="http",R14,set_RMSBase&amp;R14),"Open opportunity")))</f>
        <v/>
      </c>
      <c r="T14" s="24" t="n"/>
      <c r="U14" s="25">
        <f>IF(T14="","",HYPERLINK(IF(LEFT(T14,4)="http",T14,set_QwilrBase&amp;T14),"Open quote"))</f>
        <v/>
      </c>
      <c r="V14" s="25">
        <f>IF(C14="","",C14)</f>
        <v/>
      </c>
      <c r="W14" s="24" t="n"/>
      <c r="X14" s="26" t="n"/>
      <c r="Y14" s="27">
        <f>IF(C14="","",H14+N(X14))</f>
        <v/>
      </c>
      <c r="Z14" s="29">
        <f>IFERROR(X14/Y14,"")</f>
        <v/>
      </c>
      <c r="AA14" s="26" t="n"/>
      <c r="AB14" s="26" t="n"/>
      <c r="AC14" s="26" t="n"/>
      <c r="AD14" s="26" t="n"/>
      <c r="AE14" s="27">
        <f>IF(C14="","",SUMIFS(tbl_Finance[Ex GST],tbl_Finance[Job Number],C14&amp;"",tbl_Finance[Cost Centre],"VIDEO"))</f>
        <v/>
      </c>
      <c r="AF14" s="29">
        <f>IFERROR(AE14/H14,"")</f>
        <v/>
      </c>
      <c r="AG14" s="27">
        <f>IF(C14="","",N(AA14)+N(AB14)+N(AC14)+N(AD14))</f>
        <v/>
      </c>
      <c r="AH14" s="27">
        <f>IF(C14="","",H14-AG14)</f>
        <v/>
      </c>
      <c r="AI14" s="29">
        <f>IFERROR(AH14/H14,"")</f>
        <v/>
      </c>
      <c r="AJ14" s="69" t="n"/>
      <c r="AK14" s="69" t="n"/>
      <c r="AL14" s="69" t="n"/>
      <c r="AM14" s="69" t="n"/>
      <c r="AN14" s="69" t="n"/>
      <c r="AO14" s="24" t="n"/>
    </row>
    <row r="15" ht="15" customHeight="1">
      <c r="A15" s="68">
        <f>IF(C15="","",IFERROR(IF(SUMPRODUCT(MAX((tbl_Finance[Job Number]=C15&amp;"")*(tbl_Finance[Xero Invoice No]&lt;&gt;"")*tbl_Finance[Date]))=0,"",SUMPRODUCT(MAX((tbl_Finance[Job Number]=C15&amp;"")*(tbl_Finance[Xero Invoice No]&lt;&gt;"")*tbl_Finance[Date]))),""))</f>
        <v/>
      </c>
      <c r="B15" s="25">
        <f>IF(C15="","",IF(COUNTIFS(tbl_Finance[Job Number],C15&amp;"",tbl_Finance[Xero Invoice No],"&lt;&gt;")=0,"",IFERROR(IF(COUNTIFS(tbl_Finance[Job Number],C15&amp;"",tbl_Finance[Xero Invoice No],LOOKUP(2,1/((tbl_Finance[Job Number]=C15&amp;"")*(tbl_Finance[Xero Invoice No]&lt;&gt;"")),tbl_Finance[Xero Invoice No]))=COUNTIFS(tbl_Finance[Job Number],C15&amp;"",tbl_Finance[Xero Invoice No],"&lt;&gt;"),LOOKUP(2,1/((tbl_Finance[Job Number]=C15&amp;"")*(tbl_Finance[Xero Invoice No]&lt;&gt;"")),tbl_Finance[Xero Invoice No]),LOOKUP(2,1/((tbl_Finance[Job Number]=C15&amp;"")*(tbl_Finance[Xero Invoice No]&lt;&gt;"")),tbl_Finance[Xero Invoice No])&amp;" +more"),"")))</f>
        <v/>
      </c>
      <c r="C15" s="24" t="n"/>
      <c r="D15" s="25">
        <f>IF(C15="","",IF(COUNTIF(lst_Jobs,C15&amp;"")&gt;0,"OK","CHECK"))</f>
        <v/>
      </c>
      <c r="E15" s="25">
        <f>IF(C15="","",IFERROR(INDEX(lst_JobName,MATCH(C15&amp;"",lst_Jobs,0)),""))</f>
        <v/>
      </c>
      <c r="F15" s="25">
        <f>IF(C15="","",IFERROR(INDEX(tbl_Finance[Client],MATCH(C15&amp;"",tbl_Finance[Job Number],0)),""))</f>
        <v/>
      </c>
      <c r="G15" s="28">
        <f>IF(C15="","",COUNTIFS(tbl_Finance[Job Number],C15&amp;"",tbl_Finance[Ex GST],"&lt;&gt;"))</f>
        <v/>
      </c>
      <c r="H15" s="27">
        <f>IF(C15="","",SUMIFS(tbl_Finance[Ex GST],tbl_Finance[Job Number],C15&amp;""))</f>
        <v/>
      </c>
      <c r="I15" s="27">
        <f>IF(C15="","",SUMIFS(tbl_Finance[Ex GST],tbl_Finance[Job Number],C15&amp;"",tbl_Finance[Xero Invoice No],"&lt;&gt;"))</f>
        <v/>
      </c>
      <c r="J15" s="27">
        <f>IF(C15="","",H15-I15)</f>
        <v/>
      </c>
      <c r="K15" s="25">
        <f>IF(C15="","",IF(G15=0,"not invoiced yet",SUBSTITUTE(TRIM(IF(COUNTIFS(tbl_Finance[Job Number],C15&amp;"",tbl_Finance[Cost Centre],"ONSITE")&gt;0,"ONSITE ","")&amp;IF(COUNTIFS(tbl_Finance[Job Number],C15&amp;"",tbl_Finance[Cost Centre],"PRODUCTION")&gt;0,"PRODUCTION ","")&amp;IF(COUNTIFS(tbl_Finance[Job Number],C15&amp;"",tbl_Finance[Cost Centre],"VIDEO")&gt;0,"VIDEO ","")&amp;IF(COUNTIFS(tbl_Finance[Job Number],C15&amp;"",tbl_Finance[Cost Centre],"INTEGRATION")&gt;0,"INTEGRATION ","")&amp;IF(COUNTIFS(tbl_Finance[Job Number],C15&amp;"",tbl_Finance[Cost Centre],"CONSULTING")&gt;0,"CONSULTING ","")&amp;IF(COUNTIFS(tbl_Finance[Job Number],C15&amp;"",tbl_Finance[Cost Centre],"CTS")&gt;0,"CTS ",""))," ",", ")))</f>
        <v/>
      </c>
      <c r="L15" s="27">
        <f>IF(C15="","",SUMIFS(tbl_Finance[Inc GST],tbl_Finance[Job Number],C15&amp;""))</f>
        <v/>
      </c>
      <c r="M15" s="24" t="n"/>
      <c r="N15" s="25">
        <f>IF(C15="","",IFERROR(INDEX(tbl_Finance[Description],MATCH(C15&amp;"",tbl_Finance[Job Number],0)),""))</f>
        <v/>
      </c>
      <c r="O15" s="24" t="n"/>
      <c r="P15" s="24" t="n"/>
      <c r="Q15" s="22" t="n"/>
      <c r="R15" s="24" t="n"/>
      <c r="S15" s="25">
        <f>IF(R15="","",IF(AND(LEFT(R15,4)&lt;&gt;"http",set_RMSBase=""),"",HYPERLINK(IF(LEFT(R15,4)="http",R15,set_RMSBase&amp;R15),"Open opportunity")))</f>
        <v/>
      </c>
      <c r="T15" s="24" t="n"/>
      <c r="U15" s="25">
        <f>IF(T15="","",HYPERLINK(IF(LEFT(T15,4)="http",T15,set_QwilrBase&amp;T15),"Open quote"))</f>
        <v/>
      </c>
      <c r="V15" s="25">
        <f>IF(C15="","",C15)</f>
        <v/>
      </c>
      <c r="W15" s="24" t="n"/>
      <c r="X15" s="26" t="n"/>
      <c r="Y15" s="27">
        <f>IF(C15="","",H15+N(X15))</f>
        <v/>
      </c>
      <c r="Z15" s="29">
        <f>IFERROR(X15/Y15,"")</f>
        <v/>
      </c>
      <c r="AA15" s="26" t="n"/>
      <c r="AB15" s="26" t="n"/>
      <c r="AC15" s="26" t="n"/>
      <c r="AD15" s="26" t="n"/>
      <c r="AE15" s="27">
        <f>IF(C15="","",SUMIFS(tbl_Finance[Ex GST],tbl_Finance[Job Number],C15&amp;"",tbl_Finance[Cost Centre],"VIDEO"))</f>
        <v/>
      </c>
      <c r="AF15" s="29">
        <f>IFERROR(AE15/H15,"")</f>
        <v/>
      </c>
      <c r="AG15" s="27">
        <f>IF(C15="","",N(AA15)+N(AB15)+N(AC15)+N(AD15))</f>
        <v/>
      </c>
      <c r="AH15" s="27">
        <f>IF(C15="","",H15-AG15)</f>
        <v/>
      </c>
      <c r="AI15" s="29">
        <f>IFERROR(AH15/H15,"")</f>
        <v/>
      </c>
      <c r="AJ15" s="69" t="n"/>
      <c r="AK15" s="69" t="n"/>
      <c r="AL15" s="69" t="n"/>
      <c r="AM15" s="69" t="n"/>
      <c r="AN15" s="69" t="n"/>
      <c r="AO15" s="24" t="n"/>
    </row>
    <row r="16" ht="15" customHeight="1">
      <c r="A16" s="68">
        <f>IF(C16="","",IFERROR(IF(SUMPRODUCT(MAX((tbl_Finance[Job Number]=C16&amp;"")*(tbl_Finance[Xero Invoice No]&lt;&gt;"")*tbl_Finance[Date]))=0,"",SUMPRODUCT(MAX((tbl_Finance[Job Number]=C16&amp;"")*(tbl_Finance[Xero Invoice No]&lt;&gt;"")*tbl_Finance[Date]))),""))</f>
        <v/>
      </c>
      <c r="B16" s="25">
        <f>IF(C16="","",IF(COUNTIFS(tbl_Finance[Job Number],C16&amp;"",tbl_Finance[Xero Invoice No],"&lt;&gt;")=0,"",IFERROR(IF(COUNTIFS(tbl_Finance[Job Number],C16&amp;"",tbl_Finance[Xero Invoice No],LOOKUP(2,1/((tbl_Finance[Job Number]=C16&amp;"")*(tbl_Finance[Xero Invoice No]&lt;&gt;"")),tbl_Finance[Xero Invoice No]))=COUNTIFS(tbl_Finance[Job Number],C16&amp;"",tbl_Finance[Xero Invoice No],"&lt;&gt;"),LOOKUP(2,1/((tbl_Finance[Job Number]=C16&amp;"")*(tbl_Finance[Xero Invoice No]&lt;&gt;"")),tbl_Finance[Xero Invoice No]),LOOKUP(2,1/((tbl_Finance[Job Number]=C16&amp;"")*(tbl_Finance[Xero Invoice No]&lt;&gt;"")),tbl_Finance[Xero Invoice No])&amp;" +more"),"")))</f>
        <v/>
      </c>
      <c r="C16" s="24" t="n"/>
      <c r="D16" s="25">
        <f>IF(C16="","",IF(COUNTIF(lst_Jobs,C16&amp;"")&gt;0,"OK","CHECK"))</f>
        <v/>
      </c>
      <c r="E16" s="25">
        <f>IF(C16="","",IFERROR(INDEX(lst_JobName,MATCH(C16&amp;"",lst_Jobs,0)),""))</f>
        <v/>
      </c>
      <c r="F16" s="25">
        <f>IF(C16="","",IFERROR(INDEX(tbl_Finance[Client],MATCH(C16&amp;"",tbl_Finance[Job Number],0)),""))</f>
        <v/>
      </c>
      <c r="G16" s="28">
        <f>IF(C16="","",COUNTIFS(tbl_Finance[Job Number],C16&amp;"",tbl_Finance[Ex GST],"&lt;&gt;"))</f>
        <v/>
      </c>
      <c r="H16" s="27">
        <f>IF(C16="","",SUMIFS(tbl_Finance[Ex GST],tbl_Finance[Job Number],C16&amp;""))</f>
        <v/>
      </c>
      <c r="I16" s="27">
        <f>IF(C16="","",SUMIFS(tbl_Finance[Ex GST],tbl_Finance[Job Number],C16&amp;"",tbl_Finance[Xero Invoice No],"&lt;&gt;"))</f>
        <v/>
      </c>
      <c r="J16" s="27">
        <f>IF(C16="","",H16-I16)</f>
        <v/>
      </c>
      <c r="K16" s="25">
        <f>IF(C16="","",IF(G16=0,"not invoiced yet",SUBSTITUTE(TRIM(IF(COUNTIFS(tbl_Finance[Job Number],C16&amp;"",tbl_Finance[Cost Centre],"ONSITE")&gt;0,"ONSITE ","")&amp;IF(COUNTIFS(tbl_Finance[Job Number],C16&amp;"",tbl_Finance[Cost Centre],"PRODUCTION")&gt;0,"PRODUCTION ","")&amp;IF(COUNTIFS(tbl_Finance[Job Number],C16&amp;"",tbl_Finance[Cost Centre],"VIDEO")&gt;0,"VIDEO ","")&amp;IF(COUNTIFS(tbl_Finance[Job Number],C16&amp;"",tbl_Finance[Cost Centre],"INTEGRATION")&gt;0,"INTEGRATION ","")&amp;IF(COUNTIFS(tbl_Finance[Job Number],C16&amp;"",tbl_Finance[Cost Centre],"CONSULTING")&gt;0,"CONSULTING ","")&amp;IF(COUNTIFS(tbl_Finance[Job Number],C16&amp;"",tbl_Finance[Cost Centre],"CTS")&gt;0,"CTS ",""))," ",", ")))</f>
        <v/>
      </c>
      <c r="L16" s="27">
        <f>IF(C16="","",SUMIFS(tbl_Finance[Inc GST],tbl_Finance[Job Number],C16&amp;""))</f>
        <v/>
      </c>
      <c r="M16" s="24" t="n"/>
      <c r="N16" s="25">
        <f>IF(C16="","",IFERROR(INDEX(tbl_Finance[Description],MATCH(C16&amp;"",tbl_Finance[Job Number],0)),""))</f>
        <v/>
      </c>
      <c r="O16" s="24" t="n"/>
      <c r="P16" s="24" t="n"/>
      <c r="Q16" s="22" t="n"/>
      <c r="R16" s="24" t="n"/>
      <c r="S16" s="25">
        <f>IF(R16="","",IF(AND(LEFT(R16,4)&lt;&gt;"http",set_RMSBase=""),"",HYPERLINK(IF(LEFT(R16,4)="http",R16,set_RMSBase&amp;R16),"Open opportunity")))</f>
        <v/>
      </c>
      <c r="T16" s="24" t="n"/>
      <c r="U16" s="25">
        <f>IF(T16="","",HYPERLINK(IF(LEFT(T16,4)="http",T16,set_QwilrBase&amp;T16),"Open quote"))</f>
        <v/>
      </c>
      <c r="V16" s="25">
        <f>IF(C16="","",C16)</f>
        <v/>
      </c>
      <c r="W16" s="24" t="n"/>
      <c r="X16" s="26" t="n"/>
      <c r="Y16" s="27">
        <f>IF(C16="","",H16+N(X16))</f>
        <v/>
      </c>
      <c r="Z16" s="29">
        <f>IFERROR(X16/Y16,"")</f>
        <v/>
      </c>
      <c r="AA16" s="26" t="n"/>
      <c r="AB16" s="26" t="n"/>
      <c r="AC16" s="26" t="n"/>
      <c r="AD16" s="26" t="n"/>
      <c r="AE16" s="27">
        <f>IF(C16="","",SUMIFS(tbl_Finance[Ex GST],tbl_Finance[Job Number],C16&amp;"",tbl_Finance[Cost Centre],"VIDEO"))</f>
        <v/>
      </c>
      <c r="AF16" s="29">
        <f>IFERROR(AE16/H16,"")</f>
        <v/>
      </c>
      <c r="AG16" s="27">
        <f>IF(C16="","",N(AA16)+N(AB16)+N(AC16)+N(AD16))</f>
        <v/>
      </c>
      <c r="AH16" s="27">
        <f>IF(C16="","",H16-AG16)</f>
        <v/>
      </c>
      <c r="AI16" s="29">
        <f>IFERROR(AH16/H16,"")</f>
        <v/>
      </c>
      <c r="AJ16" s="69" t="n"/>
      <c r="AK16" s="69" t="n"/>
      <c r="AL16" s="69" t="n"/>
      <c r="AM16" s="69" t="n"/>
      <c r="AN16" s="69" t="n"/>
      <c r="AO16" s="24" t="n"/>
    </row>
    <row r="17" ht="15" customHeight="1">
      <c r="A17" s="68">
        <f>IF(C17="","",IFERROR(IF(SUMPRODUCT(MAX((tbl_Finance[Job Number]=C17&amp;"")*(tbl_Finance[Xero Invoice No]&lt;&gt;"")*tbl_Finance[Date]))=0,"",SUMPRODUCT(MAX((tbl_Finance[Job Number]=C17&amp;"")*(tbl_Finance[Xero Invoice No]&lt;&gt;"")*tbl_Finance[Date]))),""))</f>
        <v/>
      </c>
      <c r="B17" s="25">
        <f>IF(C17="","",IF(COUNTIFS(tbl_Finance[Job Number],C17&amp;"",tbl_Finance[Xero Invoice No],"&lt;&gt;")=0,"",IFERROR(IF(COUNTIFS(tbl_Finance[Job Number],C17&amp;"",tbl_Finance[Xero Invoice No],LOOKUP(2,1/((tbl_Finance[Job Number]=C17&amp;"")*(tbl_Finance[Xero Invoice No]&lt;&gt;"")),tbl_Finance[Xero Invoice No]))=COUNTIFS(tbl_Finance[Job Number],C17&amp;"",tbl_Finance[Xero Invoice No],"&lt;&gt;"),LOOKUP(2,1/((tbl_Finance[Job Number]=C17&amp;"")*(tbl_Finance[Xero Invoice No]&lt;&gt;"")),tbl_Finance[Xero Invoice No]),LOOKUP(2,1/((tbl_Finance[Job Number]=C17&amp;"")*(tbl_Finance[Xero Invoice No]&lt;&gt;"")),tbl_Finance[Xero Invoice No])&amp;" +more"),"")))</f>
        <v/>
      </c>
      <c r="C17" s="24" t="n"/>
      <c r="D17" s="25">
        <f>IF(C17="","",IF(COUNTIF(lst_Jobs,C17&amp;"")&gt;0,"OK","CHECK"))</f>
        <v/>
      </c>
      <c r="E17" s="25">
        <f>IF(C17="","",IFERROR(INDEX(lst_JobName,MATCH(C17&amp;"",lst_Jobs,0)),""))</f>
        <v/>
      </c>
      <c r="F17" s="25">
        <f>IF(C17="","",IFERROR(INDEX(tbl_Finance[Client],MATCH(C17&amp;"",tbl_Finance[Job Number],0)),""))</f>
        <v/>
      </c>
      <c r="G17" s="28">
        <f>IF(C17="","",COUNTIFS(tbl_Finance[Job Number],C17&amp;"",tbl_Finance[Ex GST],"&lt;&gt;"))</f>
        <v/>
      </c>
      <c r="H17" s="27">
        <f>IF(C17="","",SUMIFS(tbl_Finance[Ex GST],tbl_Finance[Job Number],C17&amp;""))</f>
        <v/>
      </c>
      <c r="I17" s="27">
        <f>IF(C17="","",SUMIFS(tbl_Finance[Ex GST],tbl_Finance[Job Number],C17&amp;"",tbl_Finance[Xero Invoice No],"&lt;&gt;"))</f>
        <v/>
      </c>
      <c r="J17" s="27">
        <f>IF(C17="","",H17-I17)</f>
        <v/>
      </c>
      <c r="K17" s="25">
        <f>IF(C17="","",IF(G17=0,"not invoiced yet",SUBSTITUTE(TRIM(IF(COUNTIFS(tbl_Finance[Job Number],C17&amp;"",tbl_Finance[Cost Centre],"ONSITE")&gt;0,"ONSITE ","")&amp;IF(COUNTIFS(tbl_Finance[Job Number],C17&amp;"",tbl_Finance[Cost Centre],"PRODUCTION")&gt;0,"PRODUCTION ","")&amp;IF(COUNTIFS(tbl_Finance[Job Number],C17&amp;"",tbl_Finance[Cost Centre],"VIDEO")&gt;0,"VIDEO ","")&amp;IF(COUNTIFS(tbl_Finance[Job Number],C17&amp;"",tbl_Finance[Cost Centre],"INTEGRATION")&gt;0,"INTEGRATION ","")&amp;IF(COUNTIFS(tbl_Finance[Job Number],C17&amp;"",tbl_Finance[Cost Centre],"CONSULTING")&gt;0,"CONSULTING ","")&amp;IF(COUNTIFS(tbl_Finance[Job Number],C17&amp;"",tbl_Finance[Cost Centre],"CTS")&gt;0,"CTS ",""))," ",", ")))</f>
        <v/>
      </c>
      <c r="L17" s="27">
        <f>IF(C17="","",SUMIFS(tbl_Finance[Inc GST],tbl_Finance[Job Number],C17&amp;""))</f>
        <v/>
      </c>
      <c r="M17" s="24" t="n"/>
      <c r="N17" s="25">
        <f>IF(C17="","",IFERROR(INDEX(tbl_Finance[Description],MATCH(C17&amp;"",tbl_Finance[Job Number],0)),""))</f>
        <v/>
      </c>
      <c r="O17" s="24" t="n"/>
      <c r="P17" s="24" t="n"/>
      <c r="Q17" s="22" t="n"/>
      <c r="R17" s="24" t="n"/>
      <c r="S17" s="25">
        <f>IF(R17="","",IF(AND(LEFT(R17,4)&lt;&gt;"http",set_RMSBase=""),"",HYPERLINK(IF(LEFT(R17,4)="http",R17,set_RMSBase&amp;R17),"Open opportunity")))</f>
        <v/>
      </c>
      <c r="T17" s="24" t="n"/>
      <c r="U17" s="25">
        <f>IF(T17="","",HYPERLINK(IF(LEFT(T17,4)="http",T17,set_QwilrBase&amp;T17),"Open quote"))</f>
        <v/>
      </c>
      <c r="V17" s="25">
        <f>IF(C17="","",C17)</f>
        <v/>
      </c>
      <c r="W17" s="24" t="n"/>
      <c r="X17" s="26" t="n"/>
      <c r="Y17" s="27">
        <f>IF(C17="","",H17+N(X17))</f>
        <v/>
      </c>
      <c r="Z17" s="29">
        <f>IFERROR(X17/Y17,"")</f>
        <v/>
      </c>
      <c r="AA17" s="26" t="n"/>
      <c r="AB17" s="26" t="n"/>
      <c r="AC17" s="26" t="n"/>
      <c r="AD17" s="26" t="n"/>
      <c r="AE17" s="27">
        <f>IF(C17="","",SUMIFS(tbl_Finance[Ex GST],tbl_Finance[Job Number],C17&amp;"",tbl_Finance[Cost Centre],"VIDEO"))</f>
        <v/>
      </c>
      <c r="AF17" s="29">
        <f>IFERROR(AE17/H17,"")</f>
        <v/>
      </c>
      <c r="AG17" s="27">
        <f>IF(C17="","",N(AA17)+N(AB17)+N(AC17)+N(AD17))</f>
        <v/>
      </c>
      <c r="AH17" s="27">
        <f>IF(C17="","",H17-AG17)</f>
        <v/>
      </c>
      <c r="AI17" s="29">
        <f>IFERROR(AH17/H17,"")</f>
        <v/>
      </c>
      <c r="AJ17" s="69" t="n"/>
      <c r="AK17" s="69" t="n"/>
      <c r="AL17" s="69" t="n"/>
      <c r="AM17" s="69" t="n"/>
      <c r="AN17" s="69" t="n"/>
      <c r="AO17" s="24" t="n"/>
    </row>
    <row r="18" ht="15" customHeight="1">
      <c r="A18" s="68">
        <f>IF(C18="","",IFERROR(IF(SUMPRODUCT(MAX((tbl_Finance[Job Number]=C18&amp;"")*(tbl_Finance[Xero Invoice No]&lt;&gt;"")*tbl_Finance[Date]))=0,"",SUMPRODUCT(MAX((tbl_Finance[Job Number]=C18&amp;"")*(tbl_Finance[Xero Invoice No]&lt;&gt;"")*tbl_Finance[Date]))),""))</f>
        <v/>
      </c>
      <c r="B18" s="25">
        <f>IF(C18="","",IF(COUNTIFS(tbl_Finance[Job Number],C18&amp;"",tbl_Finance[Xero Invoice No],"&lt;&gt;")=0,"",IFERROR(IF(COUNTIFS(tbl_Finance[Job Number],C18&amp;"",tbl_Finance[Xero Invoice No],LOOKUP(2,1/((tbl_Finance[Job Number]=C18&amp;"")*(tbl_Finance[Xero Invoice No]&lt;&gt;"")),tbl_Finance[Xero Invoice No]))=COUNTIFS(tbl_Finance[Job Number],C18&amp;"",tbl_Finance[Xero Invoice No],"&lt;&gt;"),LOOKUP(2,1/((tbl_Finance[Job Number]=C18&amp;"")*(tbl_Finance[Xero Invoice No]&lt;&gt;"")),tbl_Finance[Xero Invoice No]),LOOKUP(2,1/((tbl_Finance[Job Number]=C18&amp;"")*(tbl_Finance[Xero Invoice No]&lt;&gt;"")),tbl_Finance[Xero Invoice No])&amp;" +more"),"")))</f>
        <v/>
      </c>
      <c r="C18" s="24" t="n"/>
      <c r="D18" s="25">
        <f>IF(C18="","",IF(COUNTIF(lst_Jobs,C18&amp;"")&gt;0,"OK","CHECK"))</f>
        <v/>
      </c>
      <c r="E18" s="25">
        <f>IF(C18="","",IFERROR(INDEX(lst_JobName,MATCH(C18&amp;"",lst_Jobs,0)),""))</f>
        <v/>
      </c>
      <c r="F18" s="25">
        <f>IF(C18="","",IFERROR(INDEX(tbl_Finance[Client],MATCH(C18&amp;"",tbl_Finance[Job Number],0)),""))</f>
        <v/>
      </c>
      <c r="G18" s="28">
        <f>IF(C18="","",COUNTIFS(tbl_Finance[Job Number],C18&amp;"",tbl_Finance[Ex GST],"&lt;&gt;"))</f>
        <v/>
      </c>
      <c r="H18" s="27">
        <f>IF(C18="","",SUMIFS(tbl_Finance[Ex GST],tbl_Finance[Job Number],C18&amp;""))</f>
        <v/>
      </c>
      <c r="I18" s="27">
        <f>IF(C18="","",SUMIFS(tbl_Finance[Ex GST],tbl_Finance[Job Number],C18&amp;"",tbl_Finance[Xero Invoice No],"&lt;&gt;"))</f>
        <v/>
      </c>
      <c r="J18" s="27">
        <f>IF(C18="","",H18-I18)</f>
        <v/>
      </c>
      <c r="K18" s="25">
        <f>IF(C18="","",IF(G18=0,"not invoiced yet",SUBSTITUTE(TRIM(IF(COUNTIFS(tbl_Finance[Job Number],C18&amp;"",tbl_Finance[Cost Centre],"ONSITE")&gt;0,"ONSITE ","")&amp;IF(COUNTIFS(tbl_Finance[Job Number],C18&amp;"",tbl_Finance[Cost Centre],"PRODUCTION")&gt;0,"PRODUCTION ","")&amp;IF(COUNTIFS(tbl_Finance[Job Number],C18&amp;"",tbl_Finance[Cost Centre],"VIDEO")&gt;0,"VIDEO ","")&amp;IF(COUNTIFS(tbl_Finance[Job Number],C18&amp;"",tbl_Finance[Cost Centre],"INTEGRATION")&gt;0,"INTEGRATION ","")&amp;IF(COUNTIFS(tbl_Finance[Job Number],C18&amp;"",tbl_Finance[Cost Centre],"CONSULTING")&gt;0,"CONSULTING ","")&amp;IF(COUNTIFS(tbl_Finance[Job Number],C18&amp;"",tbl_Finance[Cost Centre],"CTS")&gt;0,"CTS ",""))," ",", ")))</f>
        <v/>
      </c>
      <c r="L18" s="27">
        <f>IF(C18="","",SUMIFS(tbl_Finance[Inc GST],tbl_Finance[Job Number],C18&amp;""))</f>
        <v/>
      </c>
      <c r="M18" s="24" t="n"/>
      <c r="N18" s="25">
        <f>IF(C18="","",IFERROR(INDEX(tbl_Finance[Description],MATCH(C18&amp;"",tbl_Finance[Job Number],0)),""))</f>
        <v/>
      </c>
      <c r="O18" s="24" t="n"/>
      <c r="P18" s="24" t="n"/>
      <c r="Q18" s="22" t="n"/>
      <c r="R18" s="24" t="n"/>
      <c r="S18" s="25">
        <f>IF(R18="","",IF(AND(LEFT(R18,4)&lt;&gt;"http",set_RMSBase=""),"",HYPERLINK(IF(LEFT(R18,4)="http",R18,set_RMSBase&amp;R18),"Open opportunity")))</f>
        <v/>
      </c>
      <c r="T18" s="24" t="n"/>
      <c r="U18" s="25">
        <f>IF(T18="","",HYPERLINK(IF(LEFT(T18,4)="http",T18,set_QwilrBase&amp;T18),"Open quote"))</f>
        <v/>
      </c>
      <c r="V18" s="25">
        <f>IF(C18="","",C18)</f>
        <v/>
      </c>
      <c r="W18" s="24" t="n"/>
      <c r="X18" s="26" t="n"/>
      <c r="Y18" s="27">
        <f>IF(C18="","",H18+N(X18))</f>
        <v/>
      </c>
      <c r="Z18" s="29">
        <f>IFERROR(X18/Y18,"")</f>
        <v/>
      </c>
      <c r="AA18" s="26" t="n"/>
      <c r="AB18" s="26" t="n"/>
      <c r="AC18" s="26" t="n"/>
      <c r="AD18" s="26" t="n"/>
      <c r="AE18" s="27">
        <f>IF(C18="","",SUMIFS(tbl_Finance[Ex GST],tbl_Finance[Job Number],C18&amp;"",tbl_Finance[Cost Centre],"VIDEO"))</f>
        <v/>
      </c>
      <c r="AF18" s="29">
        <f>IFERROR(AE18/H18,"")</f>
        <v/>
      </c>
      <c r="AG18" s="27">
        <f>IF(C18="","",N(AA18)+N(AB18)+N(AC18)+N(AD18))</f>
        <v/>
      </c>
      <c r="AH18" s="27">
        <f>IF(C18="","",H18-AG18)</f>
        <v/>
      </c>
      <c r="AI18" s="29">
        <f>IFERROR(AH18/H18,"")</f>
        <v/>
      </c>
      <c r="AJ18" s="69" t="n"/>
      <c r="AK18" s="69" t="n"/>
      <c r="AL18" s="69" t="n"/>
      <c r="AM18" s="69" t="n"/>
      <c r="AN18" s="69" t="n"/>
      <c r="AO18" s="24" t="n"/>
    </row>
    <row r="19" ht="15" customHeight="1">
      <c r="A19" s="68">
        <f>IF(C19="","",IFERROR(IF(SUMPRODUCT(MAX((tbl_Finance[Job Number]=C19&amp;"")*(tbl_Finance[Xero Invoice No]&lt;&gt;"")*tbl_Finance[Date]))=0,"",SUMPRODUCT(MAX((tbl_Finance[Job Number]=C19&amp;"")*(tbl_Finance[Xero Invoice No]&lt;&gt;"")*tbl_Finance[Date]))),""))</f>
        <v/>
      </c>
      <c r="B19" s="25">
        <f>IF(C19="","",IF(COUNTIFS(tbl_Finance[Job Number],C19&amp;"",tbl_Finance[Xero Invoice No],"&lt;&gt;")=0,"",IFERROR(IF(COUNTIFS(tbl_Finance[Job Number],C19&amp;"",tbl_Finance[Xero Invoice No],LOOKUP(2,1/((tbl_Finance[Job Number]=C19&amp;"")*(tbl_Finance[Xero Invoice No]&lt;&gt;"")),tbl_Finance[Xero Invoice No]))=COUNTIFS(tbl_Finance[Job Number],C19&amp;"",tbl_Finance[Xero Invoice No],"&lt;&gt;"),LOOKUP(2,1/((tbl_Finance[Job Number]=C19&amp;"")*(tbl_Finance[Xero Invoice No]&lt;&gt;"")),tbl_Finance[Xero Invoice No]),LOOKUP(2,1/((tbl_Finance[Job Number]=C19&amp;"")*(tbl_Finance[Xero Invoice No]&lt;&gt;"")),tbl_Finance[Xero Invoice No])&amp;" +more"),"")))</f>
        <v/>
      </c>
      <c r="C19" s="24" t="n"/>
      <c r="D19" s="25">
        <f>IF(C19="","",IF(COUNTIF(lst_Jobs,C19&amp;"")&gt;0,"OK","CHECK"))</f>
        <v/>
      </c>
      <c r="E19" s="25">
        <f>IF(C19="","",IFERROR(INDEX(lst_JobName,MATCH(C19&amp;"",lst_Jobs,0)),""))</f>
        <v/>
      </c>
      <c r="F19" s="25">
        <f>IF(C19="","",IFERROR(INDEX(tbl_Finance[Client],MATCH(C19&amp;"",tbl_Finance[Job Number],0)),""))</f>
        <v/>
      </c>
      <c r="G19" s="28">
        <f>IF(C19="","",COUNTIFS(tbl_Finance[Job Number],C19&amp;"",tbl_Finance[Ex GST],"&lt;&gt;"))</f>
        <v/>
      </c>
      <c r="H19" s="27">
        <f>IF(C19="","",SUMIFS(tbl_Finance[Ex GST],tbl_Finance[Job Number],C19&amp;""))</f>
        <v/>
      </c>
      <c r="I19" s="27">
        <f>IF(C19="","",SUMIFS(tbl_Finance[Ex GST],tbl_Finance[Job Number],C19&amp;"",tbl_Finance[Xero Invoice No],"&lt;&gt;"))</f>
        <v/>
      </c>
      <c r="J19" s="27">
        <f>IF(C19="","",H19-I19)</f>
        <v/>
      </c>
      <c r="K19" s="25">
        <f>IF(C19="","",IF(G19=0,"not invoiced yet",SUBSTITUTE(TRIM(IF(COUNTIFS(tbl_Finance[Job Number],C19&amp;"",tbl_Finance[Cost Centre],"ONSITE")&gt;0,"ONSITE ","")&amp;IF(COUNTIFS(tbl_Finance[Job Number],C19&amp;"",tbl_Finance[Cost Centre],"PRODUCTION")&gt;0,"PRODUCTION ","")&amp;IF(COUNTIFS(tbl_Finance[Job Number],C19&amp;"",tbl_Finance[Cost Centre],"VIDEO")&gt;0,"VIDEO ","")&amp;IF(COUNTIFS(tbl_Finance[Job Number],C19&amp;"",tbl_Finance[Cost Centre],"INTEGRATION")&gt;0,"INTEGRATION ","")&amp;IF(COUNTIFS(tbl_Finance[Job Number],C19&amp;"",tbl_Finance[Cost Centre],"CONSULTING")&gt;0,"CONSULTING ","")&amp;IF(COUNTIFS(tbl_Finance[Job Number],C19&amp;"",tbl_Finance[Cost Centre],"CTS")&gt;0,"CTS ",""))," ",", ")))</f>
        <v/>
      </c>
      <c r="L19" s="27">
        <f>IF(C19="","",SUMIFS(tbl_Finance[Inc GST],tbl_Finance[Job Number],C19&amp;""))</f>
        <v/>
      </c>
      <c r="M19" s="24" t="n"/>
      <c r="N19" s="25">
        <f>IF(C19="","",IFERROR(INDEX(tbl_Finance[Description],MATCH(C19&amp;"",tbl_Finance[Job Number],0)),""))</f>
        <v/>
      </c>
      <c r="O19" s="24" t="n"/>
      <c r="P19" s="24" t="n"/>
      <c r="Q19" s="22" t="n"/>
      <c r="R19" s="24" t="n"/>
      <c r="S19" s="25">
        <f>IF(R19="","",IF(AND(LEFT(R19,4)&lt;&gt;"http",set_RMSBase=""),"",HYPERLINK(IF(LEFT(R19,4)="http",R19,set_RMSBase&amp;R19),"Open opportunity")))</f>
        <v/>
      </c>
      <c r="T19" s="24" t="n"/>
      <c r="U19" s="25">
        <f>IF(T19="","",HYPERLINK(IF(LEFT(T19,4)="http",T19,set_QwilrBase&amp;T19),"Open quote"))</f>
        <v/>
      </c>
      <c r="V19" s="25">
        <f>IF(C19="","",C19)</f>
        <v/>
      </c>
      <c r="W19" s="24" t="n"/>
      <c r="X19" s="26" t="n"/>
      <c r="Y19" s="27">
        <f>IF(C19="","",H19+N(X19))</f>
        <v/>
      </c>
      <c r="Z19" s="29">
        <f>IFERROR(X19/Y19,"")</f>
        <v/>
      </c>
      <c r="AA19" s="26" t="n"/>
      <c r="AB19" s="26" t="n"/>
      <c r="AC19" s="26" t="n"/>
      <c r="AD19" s="26" t="n"/>
      <c r="AE19" s="27">
        <f>IF(C19="","",SUMIFS(tbl_Finance[Ex GST],tbl_Finance[Job Number],C19&amp;"",tbl_Finance[Cost Centre],"VIDEO"))</f>
        <v/>
      </c>
      <c r="AF19" s="29">
        <f>IFERROR(AE19/H19,"")</f>
        <v/>
      </c>
      <c r="AG19" s="27">
        <f>IF(C19="","",N(AA19)+N(AB19)+N(AC19)+N(AD19))</f>
        <v/>
      </c>
      <c r="AH19" s="27">
        <f>IF(C19="","",H19-AG19)</f>
        <v/>
      </c>
      <c r="AI19" s="29">
        <f>IFERROR(AH19/H19,"")</f>
        <v/>
      </c>
      <c r="AJ19" s="69" t="n"/>
      <c r="AK19" s="69" t="n"/>
      <c r="AL19" s="69" t="n"/>
      <c r="AM19" s="69" t="n"/>
      <c r="AN19" s="69" t="n"/>
      <c r="AO19" s="24" t="n"/>
    </row>
    <row r="20" ht="15" customHeight="1">
      <c r="A20" s="68">
        <f>IF(C20="","",IFERROR(IF(SUMPRODUCT(MAX((tbl_Finance[Job Number]=C20&amp;"")*(tbl_Finance[Xero Invoice No]&lt;&gt;"")*tbl_Finance[Date]))=0,"",SUMPRODUCT(MAX((tbl_Finance[Job Number]=C20&amp;"")*(tbl_Finance[Xero Invoice No]&lt;&gt;"")*tbl_Finance[Date]))),""))</f>
        <v/>
      </c>
      <c r="B20" s="25">
        <f>IF(C20="","",IF(COUNTIFS(tbl_Finance[Job Number],C20&amp;"",tbl_Finance[Xero Invoice No],"&lt;&gt;")=0,"",IFERROR(IF(COUNTIFS(tbl_Finance[Job Number],C20&amp;"",tbl_Finance[Xero Invoice No],LOOKUP(2,1/((tbl_Finance[Job Number]=C20&amp;"")*(tbl_Finance[Xero Invoice No]&lt;&gt;"")),tbl_Finance[Xero Invoice No]))=COUNTIFS(tbl_Finance[Job Number],C20&amp;"",tbl_Finance[Xero Invoice No],"&lt;&gt;"),LOOKUP(2,1/((tbl_Finance[Job Number]=C20&amp;"")*(tbl_Finance[Xero Invoice No]&lt;&gt;"")),tbl_Finance[Xero Invoice No]),LOOKUP(2,1/((tbl_Finance[Job Number]=C20&amp;"")*(tbl_Finance[Xero Invoice No]&lt;&gt;"")),tbl_Finance[Xero Invoice No])&amp;" +more"),"")))</f>
        <v/>
      </c>
      <c r="C20" s="24" t="n"/>
      <c r="D20" s="25">
        <f>IF(C20="","",IF(COUNTIF(lst_Jobs,C20&amp;"")&gt;0,"OK","CHECK"))</f>
        <v/>
      </c>
      <c r="E20" s="25">
        <f>IF(C20="","",IFERROR(INDEX(lst_JobName,MATCH(C20&amp;"",lst_Jobs,0)),""))</f>
        <v/>
      </c>
      <c r="F20" s="25">
        <f>IF(C20="","",IFERROR(INDEX(tbl_Finance[Client],MATCH(C20&amp;"",tbl_Finance[Job Number],0)),""))</f>
        <v/>
      </c>
      <c r="G20" s="28">
        <f>IF(C20="","",COUNTIFS(tbl_Finance[Job Number],C20&amp;"",tbl_Finance[Ex GST],"&lt;&gt;"))</f>
        <v/>
      </c>
      <c r="H20" s="27">
        <f>IF(C20="","",SUMIFS(tbl_Finance[Ex GST],tbl_Finance[Job Number],C20&amp;""))</f>
        <v/>
      </c>
      <c r="I20" s="27">
        <f>IF(C20="","",SUMIFS(tbl_Finance[Ex GST],tbl_Finance[Job Number],C20&amp;"",tbl_Finance[Xero Invoice No],"&lt;&gt;"))</f>
        <v/>
      </c>
      <c r="J20" s="27">
        <f>IF(C20="","",H20-I20)</f>
        <v/>
      </c>
      <c r="K20" s="25">
        <f>IF(C20="","",IF(G20=0,"not invoiced yet",SUBSTITUTE(TRIM(IF(COUNTIFS(tbl_Finance[Job Number],C20&amp;"",tbl_Finance[Cost Centre],"ONSITE")&gt;0,"ONSITE ","")&amp;IF(COUNTIFS(tbl_Finance[Job Number],C20&amp;"",tbl_Finance[Cost Centre],"PRODUCTION")&gt;0,"PRODUCTION ","")&amp;IF(COUNTIFS(tbl_Finance[Job Number],C20&amp;"",tbl_Finance[Cost Centre],"VIDEO")&gt;0,"VIDEO ","")&amp;IF(COUNTIFS(tbl_Finance[Job Number],C20&amp;"",tbl_Finance[Cost Centre],"INTEGRATION")&gt;0,"INTEGRATION ","")&amp;IF(COUNTIFS(tbl_Finance[Job Number],C20&amp;"",tbl_Finance[Cost Centre],"CONSULTING")&gt;0,"CONSULTING ","")&amp;IF(COUNTIFS(tbl_Finance[Job Number],C20&amp;"",tbl_Finance[Cost Centre],"CTS")&gt;0,"CTS ",""))," ",", ")))</f>
        <v/>
      </c>
      <c r="L20" s="27">
        <f>IF(C20="","",SUMIFS(tbl_Finance[Inc GST],tbl_Finance[Job Number],C20&amp;""))</f>
        <v/>
      </c>
      <c r="M20" s="24" t="n"/>
      <c r="N20" s="25">
        <f>IF(C20="","",IFERROR(INDEX(tbl_Finance[Description],MATCH(C20&amp;"",tbl_Finance[Job Number],0)),""))</f>
        <v/>
      </c>
      <c r="O20" s="24" t="n"/>
      <c r="P20" s="24" t="n"/>
      <c r="Q20" s="22" t="n"/>
      <c r="R20" s="24" t="n"/>
      <c r="S20" s="25">
        <f>IF(R20="","",IF(AND(LEFT(R20,4)&lt;&gt;"http",set_RMSBase=""),"",HYPERLINK(IF(LEFT(R20,4)="http",R20,set_RMSBase&amp;R20),"Open opportunity")))</f>
        <v/>
      </c>
      <c r="T20" s="24" t="n"/>
      <c r="U20" s="25">
        <f>IF(T20="","",HYPERLINK(IF(LEFT(T20,4)="http",T20,set_QwilrBase&amp;T20),"Open quote"))</f>
        <v/>
      </c>
      <c r="V20" s="25">
        <f>IF(C20="","",C20)</f>
        <v/>
      </c>
      <c r="W20" s="24" t="n"/>
      <c r="X20" s="26" t="n"/>
      <c r="Y20" s="27">
        <f>IF(C20="","",H20+N(X20))</f>
        <v/>
      </c>
      <c r="Z20" s="29">
        <f>IFERROR(X20/Y20,"")</f>
        <v/>
      </c>
      <c r="AA20" s="26" t="n"/>
      <c r="AB20" s="26" t="n"/>
      <c r="AC20" s="26" t="n"/>
      <c r="AD20" s="26" t="n"/>
      <c r="AE20" s="27">
        <f>IF(C20="","",SUMIFS(tbl_Finance[Ex GST],tbl_Finance[Job Number],C20&amp;"",tbl_Finance[Cost Centre],"VIDEO"))</f>
        <v/>
      </c>
      <c r="AF20" s="29">
        <f>IFERROR(AE20/H20,"")</f>
        <v/>
      </c>
      <c r="AG20" s="27">
        <f>IF(C20="","",N(AA20)+N(AB20)+N(AC20)+N(AD20))</f>
        <v/>
      </c>
      <c r="AH20" s="27">
        <f>IF(C20="","",H20-AG20)</f>
        <v/>
      </c>
      <c r="AI20" s="29">
        <f>IFERROR(AH20/H20,"")</f>
        <v/>
      </c>
      <c r="AJ20" s="69" t="n"/>
      <c r="AK20" s="69" t="n"/>
      <c r="AL20" s="69" t="n"/>
      <c r="AM20" s="69" t="n"/>
      <c r="AN20" s="69" t="n"/>
      <c r="AO20" s="24" t="n"/>
    </row>
    <row r="21" ht="15" customHeight="1">
      <c r="A21" s="68">
        <f>IF(C21="","",IFERROR(IF(SUMPRODUCT(MAX((tbl_Finance[Job Number]=C21&amp;"")*(tbl_Finance[Xero Invoice No]&lt;&gt;"")*tbl_Finance[Date]))=0,"",SUMPRODUCT(MAX((tbl_Finance[Job Number]=C21&amp;"")*(tbl_Finance[Xero Invoice No]&lt;&gt;"")*tbl_Finance[Date]))),""))</f>
        <v/>
      </c>
      <c r="B21" s="25">
        <f>IF(C21="","",IF(COUNTIFS(tbl_Finance[Job Number],C21&amp;"",tbl_Finance[Xero Invoice No],"&lt;&gt;")=0,"",IFERROR(IF(COUNTIFS(tbl_Finance[Job Number],C21&amp;"",tbl_Finance[Xero Invoice No],LOOKUP(2,1/((tbl_Finance[Job Number]=C21&amp;"")*(tbl_Finance[Xero Invoice No]&lt;&gt;"")),tbl_Finance[Xero Invoice No]))=COUNTIFS(tbl_Finance[Job Number],C21&amp;"",tbl_Finance[Xero Invoice No],"&lt;&gt;"),LOOKUP(2,1/((tbl_Finance[Job Number]=C21&amp;"")*(tbl_Finance[Xero Invoice No]&lt;&gt;"")),tbl_Finance[Xero Invoice No]),LOOKUP(2,1/((tbl_Finance[Job Number]=C21&amp;"")*(tbl_Finance[Xero Invoice No]&lt;&gt;"")),tbl_Finance[Xero Invoice No])&amp;" +more"),"")))</f>
        <v/>
      </c>
      <c r="C21" s="24" t="n"/>
      <c r="D21" s="25">
        <f>IF(C21="","",IF(COUNTIF(lst_Jobs,C21&amp;"")&gt;0,"OK","CHECK"))</f>
        <v/>
      </c>
      <c r="E21" s="25">
        <f>IF(C21="","",IFERROR(INDEX(lst_JobName,MATCH(C21&amp;"",lst_Jobs,0)),""))</f>
        <v/>
      </c>
      <c r="F21" s="25">
        <f>IF(C21="","",IFERROR(INDEX(tbl_Finance[Client],MATCH(C21&amp;"",tbl_Finance[Job Number],0)),""))</f>
        <v/>
      </c>
      <c r="G21" s="28">
        <f>IF(C21="","",COUNTIFS(tbl_Finance[Job Number],C21&amp;"",tbl_Finance[Ex GST],"&lt;&gt;"))</f>
        <v/>
      </c>
      <c r="H21" s="27">
        <f>IF(C21="","",SUMIFS(tbl_Finance[Ex GST],tbl_Finance[Job Number],C21&amp;""))</f>
        <v/>
      </c>
      <c r="I21" s="27">
        <f>IF(C21="","",SUMIFS(tbl_Finance[Ex GST],tbl_Finance[Job Number],C21&amp;"",tbl_Finance[Xero Invoice No],"&lt;&gt;"))</f>
        <v/>
      </c>
      <c r="J21" s="27">
        <f>IF(C21="","",H21-I21)</f>
        <v/>
      </c>
      <c r="K21" s="25">
        <f>IF(C21="","",IF(G21=0,"not invoiced yet",SUBSTITUTE(TRIM(IF(COUNTIFS(tbl_Finance[Job Number],C21&amp;"",tbl_Finance[Cost Centre],"ONSITE")&gt;0,"ONSITE ","")&amp;IF(COUNTIFS(tbl_Finance[Job Number],C21&amp;"",tbl_Finance[Cost Centre],"PRODUCTION")&gt;0,"PRODUCTION ","")&amp;IF(COUNTIFS(tbl_Finance[Job Number],C21&amp;"",tbl_Finance[Cost Centre],"VIDEO")&gt;0,"VIDEO ","")&amp;IF(COUNTIFS(tbl_Finance[Job Number],C21&amp;"",tbl_Finance[Cost Centre],"INTEGRATION")&gt;0,"INTEGRATION ","")&amp;IF(COUNTIFS(tbl_Finance[Job Number],C21&amp;"",tbl_Finance[Cost Centre],"CONSULTING")&gt;0,"CONSULTING ","")&amp;IF(COUNTIFS(tbl_Finance[Job Number],C21&amp;"",tbl_Finance[Cost Centre],"CTS")&gt;0,"CTS ",""))," ",", ")))</f>
        <v/>
      </c>
      <c r="L21" s="27">
        <f>IF(C21="","",SUMIFS(tbl_Finance[Inc GST],tbl_Finance[Job Number],C21&amp;""))</f>
        <v/>
      </c>
      <c r="M21" s="24" t="n"/>
      <c r="N21" s="25">
        <f>IF(C21="","",IFERROR(INDEX(tbl_Finance[Description],MATCH(C21&amp;"",tbl_Finance[Job Number],0)),""))</f>
        <v/>
      </c>
      <c r="O21" s="24" t="n"/>
      <c r="P21" s="24" t="n"/>
      <c r="Q21" s="22" t="n"/>
      <c r="R21" s="24" t="n"/>
      <c r="S21" s="25">
        <f>IF(R21="","",IF(AND(LEFT(R21,4)&lt;&gt;"http",set_RMSBase=""),"",HYPERLINK(IF(LEFT(R21,4)="http",R21,set_RMSBase&amp;R21),"Open opportunity")))</f>
        <v/>
      </c>
      <c r="T21" s="24" t="n"/>
      <c r="U21" s="25">
        <f>IF(T21="","",HYPERLINK(IF(LEFT(T21,4)="http",T21,set_QwilrBase&amp;T21),"Open quote"))</f>
        <v/>
      </c>
      <c r="V21" s="25">
        <f>IF(C21="","",C21)</f>
        <v/>
      </c>
      <c r="W21" s="24" t="n"/>
      <c r="X21" s="26" t="n"/>
      <c r="Y21" s="27">
        <f>IF(C21="","",H21+N(X21))</f>
        <v/>
      </c>
      <c r="Z21" s="29">
        <f>IFERROR(X21/Y21,"")</f>
        <v/>
      </c>
      <c r="AA21" s="26" t="n"/>
      <c r="AB21" s="26" t="n"/>
      <c r="AC21" s="26" t="n"/>
      <c r="AD21" s="26" t="n"/>
      <c r="AE21" s="27">
        <f>IF(C21="","",SUMIFS(tbl_Finance[Ex GST],tbl_Finance[Job Number],C21&amp;"",tbl_Finance[Cost Centre],"VIDEO"))</f>
        <v/>
      </c>
      <c r="AF21" s="29">
        <f>IFERROR(AE21/H21,"")</f>
        <v/>
      </c>
      <c r="AG21" s="27">
        <f>IF(C21="","",N(AA21)+N(AB21)+N(AC21)+N(AD21))</f>
        <v/>
      </c>
      <c r="AH21" s="27">
        <f>IF(C21="","",H21-AG21)</f>
        <v/>
      </c>
      <c r="AI21" s="29">
        <f>IFERROR(AH21/H21,"")</f>
        <v/>
      </c>
      <c r="AJ21" s="69" t="n"/>
      <c r="AK21" s="69" t="n"/>
      <c r="AL21" s="69" t="n"/>
      <c r="AM21" s="69" t="n"/>
      <c r="AN21" s="69" t="n"/>
      <c r="AO21" s="24" t="n"/>
    </row>
    <row r="22" ht="15" customHeight="1">
      <c r="A22" s="68">
        <f>IF(C22="","",IFERROR(IF(SUMPRODUCT(MAX((tbl_Finance[Job Number]=C22&amp;"")*(tbl_Finance[Xero Invoice No]&lt;&gt;"")*tbl_Finance[Date]))=0,"",SUMPRODUCT(MAX((tbl_Finance[Job Number]=C22&amp;"")*(tbl_Finance[Xero Invoice No]&lt;&gt;"")*tbl_Finance[Date]))),""))</f>
        <v/>
      </c>
      <c r="B22" s="25">
        <f>IF(C22="","",IF(COUNTIFS(tbl_Finance[Job Number],C22&amp;"",tbl_Finance[Xero Invoice No],"&lt;&gt;")=0,"",IFERROR(IF(COUNTIFS(tbl_Finance[Job Number],C22&amp;"",tbl_Finance[Xero Invoice No],LOOKUP(2,1/((tbl_Finance[Job Number]=C22&amp;"")*(tbl_Finance[Xero Invoice No]&lt;&gt;"")),tbl_Finance[Xero Invoice No]))=COUNTIFS(tbl_Finance[Job Number],C22&amp;"",tbl_Finance[Xero Invoice No],"&lt;&gt;"),LOOKUP(2,1/((tbl_Finance[Job Number]=C22&amp;"")*(tbl_Finance[Xero Invoice No]&lt;&gt;"")),tbl_Finance[Xero Invoice No]),LOOKUP(2,1/((tbl_Finance[Job Number]=C22&amp;"")*(tbl_Finance[Xero Invoice No]&lt;&gt;"")),tbl_Finance[Xero Invoice No])&amp;" +more"),"")))</f>
        <v/>
      </c>
      <c r="C22" s="24" t="n"/>
      <c r="D22" s="25">
        <f>IF(C22="","",IF(COUNTIF(lst_Jobs,C22&amp;"")&gt;0,"OK","CHECK"))</f>
        <v/>
      </c>
      <c r="E22" s="25">
        <f>IF(C22="","",IFERROR(INDEX(lst_JobName,MATCH(C22&amp;"",lst_Jobs,0)),""))</f>
        <v/>
      </c>
      <c r="F22" s="25">
        <f>IF(C22="","",IFERROR(INDEX(tbl_Finance[Client],MATCH(C22&amp;"",tbl_Finance[Job Number],0)),""))</f>
        <v/>
      </c>
      <c r="G22" s="28">
        <f>IF(C22="","",COUNTIFS(tbl_Finance[Job Number],C22&amp;"",tbl_Finance[Ex GST],"&lt;&gt;"))</f>
        <v/>
      </c>
      <c r="H22" s="27">
        <f>IF(C22="","",SUMIFS(tbl_Finance[Ex GST],tbl_Finance[Job Number],C22&amp;""))</f>
        <v/>
      </c>
      <c r="I22" s="27">
        <f>IF(C22="","",SUMIFS(tbl_Finance[Ex GST],tbl_Finance[Job Number],C22&amp;"",tbl_Finance[Xero Invoice No],"&lt;&gt;"))</f>
        <v/>
      </c>
      <c r="J22" s="27">
        <f>IF(C22="","",H22-I22)</f>
        <v/>
      </c>
      <c r="K22" s="25">
        <f>IF(C22="","",IF(G22=0,"not invoiced yet",SUBSTITUTE(TRIM(IF(COUNTIFS(tbl_Finance[Job Number],C22&amp;"",tbl_Finance[Cost Centre],"ONSITE")&gt;0,"ONSITE ","")&amp;IF(COUNTIFS(tbl_Finance[Job Number],C22&amp;"",tbl_Finance[Cost Centre],"PRODUCTION")&gt;0,"PRODUCTION ","")&amp;IF(COUNTIFS(tbl_Finance[Job Number],C22&amp;"",tbl_Finance[Cost Centre],"VIDEO")&gt;0,"VIDEO ","")&amp;IF(COUNTIFS(tbl_Finance[Job Number],C22&amp;"",tbl_Finance[Cost Centre],"INTEGRATION")&gt;0,"INTEGRATION ","")&amp;IF(COUNTIFS(tbl_Finance[Job Number],C22&amp;"",tbl_Finance[Cost Centre],"CONSULTING")&gt;0,"CONSULTING ","")&amp;IF(COUNTIFS(tbl_Finance[Job Number],C22&amp;"",tbl_Finance[Cost Centre],"CTS")&gt;0,"CTS ",""))," ",", ")))</f>
        <v/>
      </c>
      <c r="L22" s="27">
        <f>IF(C22="","",SUMIFS(tbl_Finance[Inc GST],tbl_Finance[Job Number],C22&amp;""))</f>
        <v/>
      </c>
      <c r="M22" s="24" t="n"/>
      <c r="N22" s="25">
        <f>IF(C22="","",IFERROR(INDEX(tbl_Finance[Description],MATCH(C22&amp;"",tbl_Finance[Job Number],0)),""))</f>
        <v/>
      </c>
      <c r="O22" s="24" t="n"/>
      <c r="P22" s="24" t="n"/>
      <c r="Q22" s="22" t="n"/>
      <c r="R22" s="24" t="n"/>
      <c r="S22" s="25">
        <f>IF(R22="","",IF(AND(LEFT(R22,4)&lt;&gt;"http",set_RMSBase=""),"",HYPERLINK(IF(LEFT(R22,4)="http",R22,set_RMSBase&amp;R22),"Open opportunity")))</f>
        <v/>
      </c>
      <c r="T22" s="24" t="n"/>
      <c r="U22" s="25">
        <f>IF(T22="","",HYPERLINK(IF(LEFT(T22,4)="http",T22,set_QwilrBase&amp;T22),"Open quote"))</f>
        <v/>
      </c>
      <c r="V22" s="25">
        <f>IF(C22="","",C22)</f>
        <v/>
      </c>
      <c r="W22" s="24" t="n"/>
      <c r="X22" s="26" t="n"/>
      <c r="Y22" s="27">
        <f>IF(C22="","",H22+N(X22))</f>
        <v/>
      </c>
      <c r="Z22" s="29">
        <f>IFERROR(X22/Y22,"")</f>
        <v/>
      </c>
      <c r="AA22" s="26" t="n"/>
      <c r="AB22" s="26" t="n"/>
      <c r="AC22" s="26" t="n"/>
      <c r="AD22" s="26" t="n"/>
      <c r="AE22" s="27">
        <f>IF(C22="","",SUMIFS(tbl_Finance[Ex GST],tbl_Finance[Job Number],C22&amp;"",tbl_Finance[Cost Centre],"VIDEO"))</f>
        <v/>
      </c>
      <c r="AF22" s="29">
        <f>IFERROR(AE22/H22,"")</f>
        <v/>
      </c>
      <c r="AG22" s="27">
        <f>IF(C22="","",N(AA22)+N(AB22)+N(AC22)+N(AD22))</f>
        <v/>
      </c>
      <c r="AH22" s="27">
        <f>IF(C22="","",H22-AG22)</f>
        <v/>
      </c>
      <c r="AI22" s="29">
        <f>IFERROR(AH22/H22,"")</f>
        <v/>
      </c>
      <c r="AJ22" s="69" t="n"/>
      <c r="AK22" s="69" t="n"/>
      <c r="AL22" s="69" t="n"/>
      <c r="AM22" s="69" t="n"/>
      <c r="AN22" s="69" t="n"/>
      <c r="AO22" s="24" t="n"/>
    </row>
    <row r="23" ht="15" customHeight="1">
      <c r="A23" s="68">
        <f>IF(C23="","",IFERROR(IF(SUMPRODUCT(MAX((tbl_Finance[Job Number]=C23&amp;"")*(tbl_Finance[Xero Invoice No]&lt;&gt;"")*tbl_Finance[Date]))=0,"",SUMPRODUCT(MAX((tbl_Finance[Job Number]=C23&amp;"")*(tbl_Finance[Xero Invoice No]&lt;&gt;"")*tbl_Finance[Date]))),""))</f>
        <v/>
      </c>
      <c r="B23" s="25">
        <f>IF(C23="","",IF(COUNTIFS(tbl_Finance[Job Number],C23&amp;"",tbl_Finance[Xero Invoice No],"&lt;&gt;")=0,"",IFERROR(IF(COUNTIFS(tbl_Finance[Job Number],C23&amp;"",tbl_Finance[Xero Invoice No],LOOKUP(2,1/((tbl_Finance[Job Number]=C23&amp;"")*(tbl_Finance[Xero Invoice No]&lt;&gt;"")),tbl_Finance[Xero Invoice No]))=COUNTIFS(tbl_Finance[Job Number],C23&amp;"",tbl_Finance[Xero Invoice No],"&lt;&gt;"),LOOKUP(2,1/((tbl_Finance[Job Number]=C23&amp;"")*(tbl_Finance[Xero Invoice No]&lt;&gt;"")),tbl_Finance[Xero Invoice No]),LOOKUP(2,1/((tbl_Finance[Job Number]=C23&amp;"")*(tbl_Finance[Xero Invoice No]&lt;&gt;"")),tbl_Finance[Xero Invoice No])&amp;" +more"),"")))</f>
        <v/>
      </c>
      <c r="C23" s="24" t="n"/>
      <c r="D23" s="25">
        <f>IF(C23="","",IF(COUNTIF(lst_Jobs,C23&amp;"")&gt;0,"OK","CHECK"))</f>
        <v/>
      </c>
      <c r="E23" s="25">
        <f>IF(C23="","",IFERROR(INDEX(lst_JobName,MATCH(C23&amp;"",lst_Jobs,0)),""))</f>
        <v/>
      </c>
      <c r="F23" s="25">
        <f>IF(C23="","",IFERROR(INDEX(tbl_Finance[Client],MATCH(C23&amp;"",tbl_Finance[Job Number],0)),""))</f>
        <v/>
      </c>
      <c r="G23" s="28">
        <f>IF(C23="","",COUNTIFS(tbl_Finance[Job Number],C23&amp;"",tbl_Finance[Ex GST],"&lt;&gt;"))</f>
        <v/>
      </c>
      <c r="H23" s="27">
        <f>IF(C23="","",SUMIFS(tbl_Finance[Ex GST],tbl_Finance[Job Number],C23&amp;""))</f>
        <v/>
      </c>
      <c r="I23" s="27">
        <f>IF(C23="","",SUMIFS(tbl_Finance[Ex GST],tbl_Finance[Job Number],C23&amp;"",tbl_Finance[Xero Invoice No],"&lt;&gt;"))</f>
        <v/>
      </c>
      <c r="J23" s="27">
        <f>IF(C23="","",H23-I23)</f>
        <v/>
      </c>
      <c r="K23" s="25">
        <f>IF(C23="","",IF(G23=0,"not invoiced yet",SUBSTITUTE(TRIM(IF(COUNTIFS(tbl_Finance[Job Number],C23&amp;"",tbl_Finance[Cost Centre],"ONSITE")&gt;0,"ONSITE ","")&amp;IF(COUNTIFS(tbl_Finance[Job Number],C23&amp;"",tbl_Finance[Cost Centre],"PRODUCTION")&gt;0,"PRODUCTION ","")&amp;IF(COUNTIFS(tbl_Finance[Job Number],C23&amp;"",tbl_Finance[Cost Centre],"VIDEO")&gt;0,"VIDEO ","")&amp;IF(COUNTIFS(tbl_Finance[Job Number],C23&amp;"",tbl_Finance[Cost Centre],"INTEGRATION")&gt;0,"INTEGRATION ","")&amp;IF(COUNTIFS(tbl_Finance[Job Number],C23&amp;"",tbl_Finance[Cost Centre],"CONSULTING")&gt;0,"CONSULTING ","")&amp;IF(COUNTIFS(tbl_Finance[Job Number],C23&amp;"",tbl_Finance[Cost Centre],"CTS")&gt;0,"CTS ",""))," ",", ")))</f>
        <v/>
      </c>
      <c r="L23" s="27">
        <f>IF(C23="","",SUMIFS(tbl_Finance[Inc GST],tbl_Finance[Job Number],C23&amp;""))</f>
        <v/>
      </c>
      <c r="M23" s="24" t="n"/>
      <c r="N23" s="25">
        <f>IF(C23="","",IFERROR(INDEX(tbl_Finance[Description],MATCH(C23&amp;"",tbl_Finance[Job Number],0)),""))</f>
        <v/>
      </c>
      <c r="O23" s="24" t="n"/>
      <c r="P23" s="24" t="n"/>
      <c r="Q23" s="22" t="n"/>
      <c r="R23" s="24" t="n"/>
      <c r="S23" s="25">
        <f>IF(R23="","",IF(AND(LEFT(R23,4)&lt;&gt;"http",set_RMSBase=""),"",HYPERLINK(IF(LEFT(R23,4)="http",R23,set_RMSBase&amp;R23),"Open opportunity")))</f>
        <v/>
      </c>
      <c r="T23" s="24" t="n"/>
      <c r="U23" s="25">
        <f>IF(T23="","",HYPERLINK(IF(LEFT(T23,4)="http",T23,set_QwilrBase&amp;T23),"Open quote"))</f>
        <v/>
      </c>
      <c r="V23" s="25">
        <f>IF(C23="","",C23)</f>
        <v/>
      </c>
      <c r="W23" s="24" t="n"/>
      <c r="X23" s="26" t="n"/>
      <c r="Y23" s="27">
        <f>IF(C23="","",H23+N(X23))</f>
        <v/>
      </c>
      <c r="Z23" s="29">
        <f>IFERROR(X23/Y23,"")</f>
        <v/>
      </c>
      <c r="AA23" s="26" t="n"/>
      <c r="AB23" s="26" t="n"/>
      <c r="AC23" s="26" t="n"/>
      <c r="AD23" s="26" t="n"/>
      <c r="AE23" s="27">
        <f>IF(C23="","",SUMIFS(tbl_Finance[Ex GST],tbl_Finance[Job Number],C23&amp;"",tbl_Finance[Cost Centre],"VIDEO"))</f>
        <v/>
      </c>
      <c r="AF23" s="29">
        <f>IFERROR(AE23/H23,"")</f>
        <v/>
      </c>
      <c r="AG23" s="27">
        <f>IF(C23="","",N(AA23)+N(AB23)+N(AC23)+N(AD23))</f>
        <v/>
      </c>
      <c r="AH23" s="27">
        <f>IF(C23="","",H23-AG23)</f>
        <v/>
      </c>
      <c r="AI23" s="29">
        <f>IFERROR(AH23/H23,"")</f>
        <v/>
      </c>
      <c r="AJ23" s="69" t="n"/>
      <c r="AK23" s="69" t="n"/>
      <c r="AL23" s="69" t="n"/>
      <c r="AM23" s="69" t="n"/>
      <c r="AN23" s="69" t="n"/>
      <c r="AO23" s="24" t="n"/>
    </row>
    <row r="24" ht="15" customHeight="1">
      <c r="A24" s="68">
        <f>IF(C24="","",IFERROR(IF(SUMPRODUCT(MAX((tbl_Finance[Job Number]=C24&amp;"")*(tbl_Finance[Xero Invoice No]&lt;&gt;"")*tbl_Finance[Date]))=0,"",SUMPRODUCT(MAX((tbl_Finance[Job Number]=C24&amp;"")*(tbl_Finance[Xero Invoice No]&lt;&gt;"")*tbl_Finance[Date]))),""))</f>
        <v/>
      </c>
      <c r="B24" s="25">
        <f>IF(C24="","",IF(COUNTIFS(tbl_Finance[Job Number],C24&amp;"",tbl_Finance[Xero Invoice No],"&lt;&gt;")=0,"",IFERROR(IF(COUNTIFS(tbl_Finance[Job Number],C24&amp;"",tbl_Finance[Xero Invoice No],LOOKUP(2,1/((tbl_Finance[Job Number]=C24&amp;"")*(tbl_Finance[Xero Invoice No]&lt;&gt;"")),tbl_Finance[Xero Invoice No]))=COUNTIFS(tbl_Finance[Job Number],C24&amp;"",tbl_Finance[Xero Invoice No],"&lt;&gt;"),LOOKUP(2,1/((tbl_Finance[Job Number]=C24&amp;"")*(tbl_Finance[Xero Invoice No]&lt;&gt;"")),tbl_Finance[Xero Invoice No]),LOOKUP(2,1/((tbl_Finance[Job Number]=C24&amp;"")*(tbl_Finance[Xero Invoice No]&lt;&gt;"")),tbl_Finance[Xero Invoice No])&amp;" +more"),"")))</f>
        <v/>
      </c>
      <c r="C24" s="24" t="n"/>
      <c r="D24" s="25">
        <f>IF(C24="","",IF(COUNTIF(lst_Jobs,C24&amp;"")&gt;0,"OK","CHECK"))</f>
        <v/>
      </c>
      <c r="E24" s="25">
        <f>IF(C24="","",IFERROR(INDEX(lst_JobName,MATCH(C24&amp;"",lst_Jobs,0)),""))</f>
        <v/>
      </c>
      <c r="F24" s="25">
        <f>IF(C24="","",IFERROR(INDEX(tbl_Finance[Client],MATCH(C24&amp;"",tbl_Finance[Job Number],0)),""))</f>
        <v/>
      </c>
      <c r="G24" s="28">
        <f>IF(C24="","",COUNTIFS(tbl_Finance[Job Number],C24&amp;"",tbl_Finance[Ex GST],"&lt;&gt;"))</f>
        <v/>
      </c>
      <c r="H24" s="27">
        <f>IF(C24="","",SUMIFS(tbl_Finance[Ex GST],tbl_Finance[Job Number],C24&amp;""))</f>
        <v/>
      </c>
      <c r="I24" s="27">
        <f>IF(C24="","",SUMIFS(tbl_Finance[Ex GST],tbl_Finance[Job Number],C24&amp;"",tbl_Finance[Xero Invoice No],"&lt;&gt;"))</f>
        <v/>
      </c>
      <c r="J24" s="27">
        <f>IF(C24="","",H24-I24)</f>
        <v/>
      </c>
      <c r="K24" s="25">
        <f>IF(C24="","",IF(G24=0,"not invoiced yet",SUBSTITUTE(TRIM(IF(COUNTIFS(tbl_Finance[Job Number],C24&amp;"",tbl_Finance[Cost Centre],"ONSITE")&gt;0,"ONSITE ","")&amp;IF(COUNTIFS(tbl_Finance[Job Number],C24&amp;"",tbl_Finance[Cost Centre],"PRODUCTION")&gt;0,"PRODUCTION ","")&amp;IF(COUNTIFS(tbl_Finance[Job Number],C24&amp;"",tbl_Finance[Cost Centre],"VIDEO")&gt;0,"VIDEO ","")&amp;IF(COUNTIFS(tbl_Finance[Job Number],C24&amp;"",tbl_Finance[Cost Centre],"INTEGRATION")&gt;0,"INTEGRATION ","")&amp;IF(COUNTIFS(tbl_Finance[Job Number],C24&amp;"",tbl_Finance[Cost Centre],"CONSULTING")&gt;0,"CONSULTING ","")&amp;IF(COUNTIFS(tbl_Finance[Job Number],C24&amp;"",tbl_Finance[Cost Centre],"CTS")&gt;0,"CTS ",""))," ",", ")))</f>
        <v/>
      </c>
      <c r="L24" s="27">
        <f>IF(C24="","",SUMIFS(tbl_Finance[Inc GST],tbl_Finance[Job Number],C24&amp;""))</f>
        <v/>
      </c>
      <c r="M24" s="24" t="n"/>
      <c r="N24" s="25">
        <f>IF(C24="","",IFERROR(INDEX(tbl_Finance[Description],MATCH(C24&amp;"",tbl_Finance[Job Number],0)),""))</f>
        <v/>
      </c>
      <c r="O24" s="24" t="n"/>
      <c r="P24" s="24" t="n"/>
      <c r="Q24" s="22" t="n"/>
      <c r="R24" s="24" t="n"/>
      <c r="S24" s="25">
        <f>IF(R24="","",IF(AND(LEFT(R24,4)&lt;&gt;"http",set_RMSBase=""),"",HYPERLINK(IF(LEFT(R24,4)="http",R24,set_RMSBase&amp;R24),"Open opportunity")))</f>
        <v/>
      </c>
      <c r="T24" s="24" t="n"/>
      <c r="U24" s="25">
        <f>IF(T24="","",HYPERLINK(IF(LEFT(T24,4)="http",T24,set_QwilrBase&amp;T24),"Open quote"))</f>
        <v/>
      </c>
      <c r="V24" s="25">
        <f>IF(C24="","",C24)</f>
        <v/>
      </c>
      <c r="W24" s="24" t="n"/>
      <c r="X24" s="26" t="n"/>
      <c r="Y24" s="27">
        <f>IF(C24="","",H24+N(X24))</f>
        <v/>
      </c>
      <c r="Z24" s="29">
        <f>IFERROR(X24/Y24,"")</f>
        <v/>
      </c>
      <c r="AA24" s="26" t="n"/>
      <c r="AB24" s="26" t="n"/>
      <c r="AC24" s="26" t="n"/>
      <c r="AD24" s="26" t="n"/>
      <c r="AE24" s="27">
        <f>IF(C24="","",SUMIFS(tbl_Finance[Ex GST],tbl_Finance[Job Number],C24&amp;"",tbl_Finance[Cost Centre],"VIDEO"))</f>
        <v/>
      </c>
      <c r="AF24" s="29">
        <f>IFERROR(AE24/H24,"")</f>
        <v/>
      </c>
      <c r="AG24" s="27">
        <f>IF(C24="","",N(AA24)+N(AB24)+N(AC24)+N(AD24))</f>
        <v/>
      </c>
      <c r="AH24" s="27">
        <f>IF(C24="","",H24-AG24)</f>
        <v/>
      </c>
      <c r="AI24" s="29">
        <f>IFERROR(AH24/H24,"")</f>
        <v/>
      </c>
      <c r="AJ24" s="69" t="n"/>
      <c r="AK24" s="69" t="n"/>
      <c r="AL24" s="69" t="n"/>
      <c r="AM24" s="69" t="n"/>
      <c r="AN24" s="69" t="n"/>
      <c r="AO24" s="24" t="n"/>
    </row>
    <row r="25" ht="15" customHeight="1">
      <c r="A25" s="68">
        <f>IF(C25="","",IFERROR(IF(SUMPRODUCT(MAX((tbl_Finance[Job Number]=C25&amp;"")*(tbl_Finance[Xero Invoice No]&lt;&gt;"")*tbl_Finance[Date]))=0,"",SUMPRODUCT(MAX((tbl_Finance[Job Number]=C25&amp;"")*(tbl_Finance[Xero Invoice No]&lt;&gt;"")*tbl_Finance[Date]))),""))</f>
        <v/>
      </c>
      <c r="B25" s="25">
        <f>IF(C25="","",IF(COUNTIFS(tbl_Finance[Job Number],C25&amp;"",tbl_Finance[Xero Invoice No],"&lt;&gt;")=0,"",IFERROR(IF(COUNTIFS(tbl_Finance[Job Number],C25&amp;"",tbl_Finance[Xero Invoice No],LOOKUP(2,1/((tbl_Finance[Job Number]=C25&amp;"")*(tbl_Finance[Xero Invoice No]&lt;&gt;"")),tbl_Finance[Xero Invoice No]))=COUNTIFS(tbl_Finance[Job Number],C25&amp;"",tbl_Finance[Xero Invoice No],"&lt;&gt;"),LOOKUP(2,1/((tbl_Finance[Job Number]=C25&amp;"")*(tbl_Finance[Xero Invoice No]&lt;&gt;"")),tbl_Finance[Xero Invoice No]),LOOKUP(2,1/((tbl_Finance[Job Number]=C25&amp;"")*(tbl_Finance[Xero Invoice No]&lt;&gt;"")),tbl_Finance[Xero Invoice No])&amp;" +more"),"")))</f>
        <v/>
      </c>
      <c r="C25" s="24" t="n"/>
      <c r="D25" s="25">
        <f>IF(C25="","",IF(COUNTIF(lst_Jobs,C25&amp;"")&gt;0,"OK","CHECK"))</f>
        <v/>
      </c>
      <c r="E25" s="25">
        <f>IF(C25="","",IFERROR(INDEX(lst_JobName,MATCH(C25&amp;"",lst_Jobs,0)),""))</f>
        <v/>
      </c>
      <c r="F25" s="25">
        <f>IF(C25="","",IFERROR(INDEX(tbl_Finance[Client],MATCH(C25&amp;"",tbl_Finance[Job Number],0)),""))</f>
        <v/>
      </c>
      <c r="G25" s="28">
        <f>IF(C25="","",COUNTIFS(tbl_Finance[Job Number],C25&amp;"",tbl_Finance[Ex GST],"&lt;&gt;"))</f>
        <v/>
      </c>
      <c r="H25" s="27">
        <f>IF(C25="","",SUMIFS(tbl_Finance[Ex GST],tbl_Finance[Job Number],C25&amp;""))</f>
        <v/>
      </c>
      <c r="I25" s="27">
        <f>IF(C25="","",SUMIFS(tbl_Finance[Ex GST],tbl_Finance[Job Number],C25&amp;"",tbl_Finance[Xero Invoice No],"&lt;&gt;"))</f>
        <v/>
      </c>
      <c r="J25" s="27">
        <f>IF(C25="","",H25-I25)</f>
        <v/>
      </c>
      <c r="K25" s="25">
        <f>IF(C25="","",IF(G25=0,"not invoiced yet",SUBSTITUTE(TRIM(IF(COUNTIFS(tbl_Finance[Job Number],C25&amp;"",tbl_Finance[Cost Centre],"ONSITE")&gt;0,"ONSITE ","")&amp;IF(COUNTIFS(tbl_Finance[Job Number],C25&amp;"",tbl_Finance[Cost Centre],"PRODUCTION")&gt;0,"PRODUCTION ","")&amp;IF(COUNTIFS(tbl_Finance[Job Number],C25&amp;"",tbl_Finance[Cost Centre],"VIDEO")&gt;0,"VIDEO ","")&amp;IF(COUNTIFS(tbl_Finance[Job Number],C25&amp;"",tbl_Finance[Cost Centre],"INTEGRATION")&gt;0,"INTEGRATION ","")&amp;IF(COUNTIFS(tbl_Finance[Job Number],C25&amp;"",tbl_Finance[Cost Centre],"CONSULTING")&gt;0,"CONSULTING ","")&amp;IF(COUNTIFS(tbl_Finance[Job Number],C25&amp;"",tbl_Finance[Cost Centre],"CTS")&gt;0,"CTS ",""))," ",", ")))</f>
        <v/>
      </c>
      <c r="L25" s="27">
        <f>IF(C25="","",SUMIFS(tbl_Finance[Inc GST],tbl_Finance[Job Number],C25&amp;""))</f>
        <v/>
      </c>
      <c r="M25" s="24" t="n"/>
      <c r="N25" s="25">
        <f>IF(C25="","",IFERROR(INDEX(tbl_Finance[Description],MATCH(C25&amp;"",tbl_Finance[Job Number],0)),""))</f>
        <v/>
      </c>
      <c r="O25" s="24" t="n"/>
      <c r="P25" s="24" t="n"/>
      <c r="Q25" s="22" t="n"/>
      <c r="R25" s="24" t="n"/>
      <c r="S25" s="25">
        <f>IF(R25="","",IF(AND(LEFT(R25,4)&lt;&gt;"http",set_RMSBase=""),"",HYPERLINK(IF(LEFT(R25,4)="http",R25,set_RMSBase&amp;R25),"Open opportunity")))</f>
        <v/>
      </c>
      <c r="T25" s="24" t="n"/>
      <c r="U25" s="25">
        <f>IF(T25="","",HYPERLINK(IF(LEFT(T25,4)="http",T25,set_QwilrBase&amp;T25),"Open quote"))</f>
        <v/>
      </c>
      <c r="V25" s="25">
        <f>IF(C25="","",C25)</f>
        <v/>
      </c>
      <c r="W25" s="24" t="n"/>
      <c r="X25" s="26" t="n"/>
      <c r="Y25" s="27">
        <f>IF(C25="","",H25+N(X25))</f>
        <v/>
      </c>
      <c r="Z25" s="29">
        <f>IFERROR(X25/Y25,"")</f>
        <v/>
      </c>
      <c r="AA25" s="26" t="n"/>
      <c r="AB25" s="26" t="n"/>
      <c r="AC25" s="26" t="n"/>
      <c r="AD25" s="26" t="n"/>
      <c r="AE25" s="27">
        <f>IF(C25="","",SUMIFS(tbl_Finance[Ex GST],tbl_Finance[Job Number],C25&amp;"",tbl_Finance[Cost Centre],"VIDEO"))</f>
        <v/>
      </c>
      <c r="AF25" s="29">
        <f>IFERROR(AE25/H25,"")</f>
        <v/>
      </c>
      <c r="AG25" s="27">
        <f>IF(C25="","",N(AA25)+N(AB25)+N(AC25)+N(AD25))</f>
        <v/>
      </c>
      <c r="AH25" s="27">
        <f>IF(C25="","",H25-AG25)</f>
        <v/>
      </c>
      <c r="AI25" s="29">
        <f>IFERROR(AH25/H25,"")</f>
        <v/>
      </c>
      <c r="AJ25" s="69" t="n"/>
      <c r="AK25" s="69" t="n"/>
      <c r="AL25" s="69" t="n"/>
      <c r="AM25" s="69" t="n"/>
      <c r="AN25" s="69" t="n"/>
      <c r="AO25" s="24" t="n"/>
    </row>
    <row r="26" ht="15" customHeight="1">
      <c r="A26" s="68">
        <f>IF(C26="","",IFERROR(IF(SUMPRODUCT(MAX((tbl_Finance[Job Number]=C26&amp;"")*(tbl_Finance[Xero Invoice No]&lt;&gt;"")*tbl_Finance[Date]))=0,"",SUMPRODUCT(MAX((tbl_Finance[Job Number]=C26&amp;"")*(tbl_Finance[Xero Invoice No]&lt;&gt;"")*tbl_Finance[Date]))),""))</f>
        <v/>
      </c>
      <c r="B26" s="25">
        <f>IF(C26="","",IF(COUNTIFS(tbl_Finance[Job Number],C26&amp;"",tbl_Finance[Xero Invoice No],"&lt;&gt;")=0,"",IFERROR(IF(COUNTIFS(tbl_Finance[Job Number],C26&amp;"",tbl_Finance[Xero Invoice No],LOOKUP(2,1/((tbl_Finance[Job Number]=C26&amp;"")*(tbl_Finance[Xero Invoice No]&lt;&gt;"")),tbl_Finance[Xero Invoice No]))=COUNTIFS(tbl_Finance[Job Number],C26&amp;"",tbl_Finance[Xero Invoice No],"&lt;&gt;"),LOOKUP(2,1/((tbl_Finance[Job Number]=C26&amp;"")*(tbl_Finance[Xero Invoice No]&lt;&gt;"")),tbl_Finance[Xero Invoice No]),LOOKUP(2,1/((tbl_Finance[Job Number]=C26&amp;"")*(tbl_Finance[Xero Invoice No]&lt;&gt;"")),tbl_Finance[Xero Invoice No])&amp;" +more"),"")))</f>
        <v/>
      </c>
      <c r="C26" s="24" t="n"/>
      <c r="D26" s="25">
        <f>IF(C26="","",IF(COUNTIF(lst_Jobs,C26&amp;"")&gt;0,"OK","CHECK"))</f>
        <v/>
      </c>
      <c r="E26" s="25">
        <f>IF(C26="","",IFERROR(INDEX(lst_JobName,MATCH(C26&amp;"",lst_Jobs,0)),""))</f>
        <v/>
      </c>
      <c r="F26" s="25">
        <f>IF(C26="","",IFERROR(INDEX(tbl_Finance[Client],MATCH(C26&amp;"",tbl_Finance[Job Number],0)),""))</f>
        <v/>
      </c>
      <c r="G26" s="28">
        <f>IF(C26="","",COUNTIFS(tbl_Finance[Job Number],C26&amp;"",tbl_Finance[Ex GST],"&lt;&gt;"))</f>
        <v/>
      </c>
      <c r="H26" s="27">
        <f>IF(C26="","",SUMIFS(tbl_Finance[Ex GST],tbl_Finance[Job Number],C26&amp;""))</f>
        <v/>
      </c>
      <c r="I26" s="27">
        <f>IF(C26="","",SUMIFS(tbl_Finance[Ex GST],tbl_Finance[Job Number],C26&amp;"",tbl_Finance[Xero Invoice No],"&lt;&gt;"))</f>
        <v/>
      </c>
      <c r="J26" s="27">
        <f>IF(C26="","",H26-I26)</f>
        <v/>
      </c>
      <c r="K26" s="25">
        <f>IF(C26="","",IF(G26=0,"not invoiced yet",SUBSTITUTE(TRIM(IF(COUNTIFS(tbl_Finance[Job Number],C26&amp;"",tbl_Finance[Cost Centre],"ONSITE")&gt;0,"ONSITE ","")&amp;IF(COUNTIFS(tbl_Finance[Job Number],C26&amp;"",tbl_Finance[Cost Centre],"PRODUCTION")&gt;0,"PRODUCTION ","")&amp;IF(COUNTIFS(tbl_Finance[Job Number],C26&amp;"",tbl_Finance[Cost Centre],"VIDEO")&gt;0,"VIDEO ","")&amp;IF(COUNTIFS(tbl_Finance[Job Number],C26&amp;"",tbl_Finance[Cost Centre],"INTEGRATION")&gt;0,"INTEGRATION ","")&amp;IF(COUNTIFS(tbl_Finance[Job Number],C26&amp;"",tbl_Finance[Cost Centre],"CONSULTING")&gt;0,"CONSULTING ","")&amp;IF(COUNTIFS(tbl_Finance[Job Number],C26&amp;"",tbl_Finance[Cost Centre],"CTS")&gt;0,"CTS ",""))," ",", ")))</f>
        <v/>
      </c>
      <c r="L26" s="27">
        <f>IF(C26="","",SUMIFS(tbl_Finance[Inc GST],tbl_Finance[Job Number],C26&amp;""))</f>
        <v/>
      </c>
      <c r="M26" s="24" t="n"/>
      <c r="N26" s="25">
        <f>IF(C26="","",IFERROR(INDEX(tbl_Finance[Description],MATCH(C26&amp;"",tbl_Finance[Job Number],0)),""))</f>
        <v/>
      </c>
      <c r="O26" s="24" t="n"/>
      <c r="P26" s="24" t="n"/>
      <c r="Q26" s="22" t="n"/>
      <c r="R26" s="24" t="n"/>
      <c r="S26" s="25">
        <f>IF(R26="","",IF(AND(LEFT(R26,4)&lt;&gt;"http",set_RMSBase=""),"",HYPERLINK(IF(LEFT(R26,4)="http",R26,set_RMSBase&amp;R26),"Open opportunity")))</f>
        <v/>
      </c>
      <c r="T26" s="24" t="n"/>
      <c r="U26" s="25">
        <f>IF(T26="","",HYPERLINK(IF(LEFT(T26,4)="http",T26,set_QwilrBase&amp;T26),"Open quote"))</f>
        <v/>
      </c>
      <c r="V26" s="25">
        <f>IF(C26="","",C26)</f>
        <v/>
      </c>
      <c r="W26" s="24" t="n"/>
      <c r="X26" s="26" t="n"/>
      <c r="Y26" s="27">
        <f>IF(C26="","",H26+N(X26))</f>
        <v/>
      </c>
      <c r="Z26" s="29">
        <f>IFERROR(X26/Y26,"")</f>
        <v/>
      </c>
      <c r="AA26" s="26" t="n"/>
      <c r="AB26" s="26" t="n"/>
      <c r="AC26" s="26" t="n"/>
      <c r="AD26" s="26" t="n"/>
      <c r="AE26" s="27">
        <f>IF(C26="","",SUMIFS(tbl_Finance[Ex GST],tbl_Finance[Job Number],C26&amp;"",tbl_Finance[Cost Centre],"VIDEO"))</f>
        <v/>
      </c>
      <c r="AF26" s="29">
        <f>IFERROR(AE26/H26,"")</f>
        <v/>
      </c>
      <c r="AG26" s="27">
        <f>IF(C26="","",N(AA26)+N(AB26)+N(AC26)+N(AD26))</f>
        <v/>
      </c>
      <c r="AH26" s="27">
        <f>IF(C26="","",H26-AG26)</f>
        <v/>
      </c>
      <c r="AI26" s="29">
        <f>IFERROR(AH26/H26,"")</f>
        <v/>
      </c>
      <c r="AJ26" s="69" t="n"/>
      <c r="AK26" s="69" t="n"/>
      <c r="AL26" s="69" t="n"/>
      <c r="AM26" s="69" t="n"/>
      <c r="AN26" s="69" t="n"/>
      <c r="AO26" s="24" t="n"/>
    </row>
    <row r="27" ht="15" customHeight="1">
      <c r="A27" s="68">
        <f>IF(C27="","",IFERROR(IF(SUMPRODUCT(MAX((tbl_Finance[Job Number]=C27&amp;"")*(tbl_Finance[Xero Invoice No]&lt;&gt;"")*tbl_Finance[Date]))=0,"",SUMPRODUCT(MAX((tbl_Finance[Job Number]=C27&amp;"")*(tbl_Finance[Xero Invoice No]&lt;&gt;"")*tbl_Finance[Date]))),""))</f>
        <v/>
      </c>
      <c r="B27" s="25">
        <f>IF(C27="","",IF(COUNTIFS(tbl_Finance[Job Number],C27&amp;"",tbl_Finance[Xero Invoice No],"&lt;&gt;")=0,"",IFERROR(IF(COUNTIFS(tbl_Finance[Job Number],C27&amp;"",tbl_Finance[Xero Invoice No],LOOKUP(2,1/((tbl_Finance[Job Number]=C27&amp;"")*(tbl_Finance[Xero Invoice No]&lt;&gt;"")),tbl_Finance[Xero Invoice No]))=COUNTIFS(tbl_Finance[Job Number],C27&amp;"",tbl_Finance[Xero Invoice No],"&lt;&gt;"),LOOKUP(2,1/((tbl_Finance[Job Number]=C27&amp;"")*(tbl_Finance[Xero Invoice No]&lt;&gt;"")),tbl_Finance[Xero Invoice No]),LOOKUP(2,1/((tbl_Finance[Job Number]=C27&amp;"")*(tbl_Finance[Xero Invoice No]&lt;&gt;"")),tbl_Finance[Xero Invoice No])&amp;" +more"),"")))</f>
        <v/>
      </c>
      <c r="C27" s="24" t="n"/>
      <c r="D27" s="25">
        <f>IF(C27="","",IF(COUNTIF(lst_Jobs,C27&amp;"")&gt;0,"OK","CHECK"))</f>
        <v/>
      </c>
      <c r="E27" s="25">
        <f>IF(C27="","",IFERROR(INDEX(lst_JobName,MATCH(C27&amp;"",lst_Jobs,0)),""))</f>
        <v/>
      </c>
      <c r="F27" s="25">
        <f>IF(C27="","",IFERROR(INDEX(tbl_Finance[Client],MATCH(C27&amp;"",tbl_Finance[Job Number],0)),""))</f>
        <v/>
      </c>
      <c r="G27" s="28">
        <f>IF(C27="","",COUNTIFS(tbl_Finance[Job Number],C27&amp;"",tbl_Finance[Ex GST],"&lt;&gt;"))</f>
        <v/>
      </c>
      <c r="H27" s="27">
        <f>IF(C27="","",SUMIFS(tbl_Finance[Ex GST],tbl_Finance[Job Number],C27&amp;""))</f>
        <v/>
      </c>
      <c r="I27" s="27">
        <f>IF(C27="","",SUMIFS(tbl_Finance[Ex GST],tbl_Finance[Job Number],C27&amp;"",tbl_Finance[Xero Invoice No],"&lt;&gt;"))</f>
        <v/>
      </c>
      <c r="J27" s="27">
        <f>IF(C27="","",H27-I27)</f>
        <v/>
      </c>
      <c r="K27" s="25">
        <f>IF(C27="","",IF(G27=0,"not invoiced yet",SUBSTITUTE(TRIM(IF(COUNTIFS(tbl_Finance[Job Number],C27&amp;"",tbl_Finance[Cost Centre],"ONSITE")&gt;0,"ONSITE ","")&amp;IF(COUNTIFS(tbl_Finance[Job Number],C27&amp;"",tbl_Finance[Cost Centre],"PRODUCTION")&gt;0,"PRODUCTION ","")&amp;IF(COUNTIFS(tbl_Finance[Job Number],C27&amp;"",tbl_Finance[Cost Centre],"VIDEO")&gt;0,"VIDEO ","")&amp;IF(COUNTIFS(tbl_Finance[Job Number],C27&amp;"",tbl_Finance[Cost Centre],"INTEGRATION")&gt;0,"INTEGRATION ","")&amp;IF(COUNTIFS(tbl_Finance[Job Number],C27&amp;"",tbl_Finance[Cost Centre],"CONSULTING")&gt;0,"CONSULTING ","")&amp;IF(COUNTIFS(tbl_Finance[Job Number],C27&amp;"",tbl_Finance[Cost Centre],"CTS")&gt;0,"CTS ",""))," ",", ")))</f>
        <v/>
      </c>
      <c r="L27" s="27">
        <f>IF(C27="","",SUMIFS(tbl_Finance[Inc GST],tbl_Finance[Job Number],C27&amp;""))</f>
        <v/>
      </c>
      <c r="M27" s="24" t="n"/>
      <c r="N27" s="25">
        <f>IF(C27="","",IFERROR(INDEX(tbl_Finance[Description],MATCH(C27&amp;"",tbl_Finance[Job Number],0)),""))</f>
        <v/>
      </c>
      <c r="O27" s="24" t="n"/>
      <c r="P27" s="24" t="n"/>
      <c r="Q27" s="22" t="n"/>
      <c r="R27" s="24" t="n"/>
      <c r="S27" s="25">
        <f>IF(R27="","",IF(AND(LEFT(R27,4)&lt;&gt;"http",set_RMSBase=""),"",HYPERLINK(IF(LEFT(R27,4)="http",R27,set_RMSBase&amp;R27),"Open opportunity")))</f>
        <v/>
      </c>
      <c r="T27" s="24" t="n"/>
      <c r="U27" s="25">
        <f>IF(T27="","",HYPERLINK(IF(LEFT(T27,4)="http",T27,set_QwilrBase&amp;T27),"Open quote"))</f>
        <v/>
      </c>
      <c r="V27" s="25">
        <f>IF(C27="","",C27)</f>
        <v/>
      </c>
      <c r="W27" s="24" t="n"/>
      <c r="X27" s="26" t="n"/>
      <c r="Y27" s="27">
        <f>IF(C27="","",H27+N(X27))</f>
        <v/>
      </c>
      <c r="Z27" s="29">
        <f>IFERROR(X27/Y27,"")</f>
        <v/>
      </c>
      <c r="AA27" s="26" t="n"/>
      <c r="AB27" s="26" t="n"/>
      <c r="AC27" s="26" t="n"/>
      <c r="AD27" s="26" t="n"/>
      <c r="AE27" s="27">
        <f>IF(C27="","",SUMIFS(tbl_Finance[Ex GST],tbl_Finance[Job Number],C27&amp;"",tbl_Finance[Cost Centre],"VIDEO"))</f>
        <v/>
      </c>
      <c r="AF27" s="29">
        <f>IFERROR(AE27/H27,"")</f>
        <v/>
      </c>
      <c r="AG27" s="27">
        <f>IF(C27="","",N(AA27)+N(AB27)+N(AC27)+N(AD27))</f>
        <v/>
      </c>
      <c r="AH27" s="27">
        <f>IF(C27="","",H27-AG27)</f>
        <v/>
      </c>
      <c r="AI27" s="29">
        <f>IFERROR(AH27/H27,"")</f>
        <v/>
      </c>
      <c r="AJ27" s="69" t="n"/>
      <c r="AK27" s="69" t="n"/>
      <c r="AL27" s="69" t="n"/>
      <c r="AM27" s="69" t="n"/>
      <c r="AN27" s="69" t="n"/>
      <c r="AO27" s="24" t="n"/>
    </row>
    <row r="28" ht="15" customHeight="1">
      <c r="A28" s="68">
        <f>IF(C28="","",IFERROR(IF(SUMPRODUCT(MAX((tbl_Finance[Job Number]=C28&amp;"")*(tbl_Finance[Xero Invoice No]&lt;&gt;"")*tbl_Finance[Date]))=0,"",SUMPRODUCT(MAX((tbl_Finance[Job Number]=C28&amp;"")*(tbl_Finance[Xero Invoice No]&lt;&gt;"")*tbl_Finance[Date]))),""))</f>
        <v/>
      </c>
      <c r="B28" s="25">
        <f>IF(C28="","",IF(COUNTIFS(tbl_Finance[Job Number],C28&amp;"",tbl_Finance[Xero Invoice No],"&lt;&gt;")=0,"",IFERROR(IF(COUNTIFS(tbl_Finance[Job Number],C28&amp;"",tbl_Finance[Xero Invoice No],LOOKUP(2,1/((tbl_Finance[Job Number]=C28&amp;"")*(tbl_Finance[Xero Invoice No]&lt;&gt;"")),tbl_Finance[Xero Invoice No]))=COUNTIFS(tbl_Finance[Job Number],C28&amp;"",tbl_Finance[Xero Invoice No],"&lt;&gt;"),LOOKUP(2,1/((tbl_Finance[Job Number]=C28&amp;"")*(tbl_Finance[Xero Invoice No]&lt;&gt;"")),tbl_Finance[Xero Invoice No]),LOOKUP(2,1/((tbl_Finance[Job Number]=C28&amp;"")*(tbl_Finance[Xero Invoice No]&lt;&gt;"")),tbl_Finance[Xero Invoice No])&amp;" +more"),"")))</f>
        <v/>
      </c>
      <c r="C28" s="24" t="n"/>
      <c r="D28" s="25">
        <f>IF(C28="","",IF(COUNTIF(lst_Jobs,C28&amp;"")&gt;0,"OK","CHECK"))</f>
        <v/>
      </c>
      <c r="E28" s="25">
        <f>IF(C28="","",IFERROR(INDEX(lst_JobName,MATCH(C28&amp;"",lst_Jobs,0)),""))</f>
        <v/>
      </c>
      <c r="F28" s="25">
        <f>IF(C28="","",IFERROR(INDEX(tbl_Finance[Client],MATCH(C28&amp;"",tbl_Finance[Job Number],0)),""))</f>
        <v/>
      </c>
      <c r="G28" s="28">
        <f>IF(C28="","",COUNTIFS(tbl_Finance[Job Number],C28&amp;"",tbl_Finance[Ex GST],"&lt;&gt;"))</f>
        <v/>
      </c>
      <c r="H28" s="27">
        <f>IF(C28="","",SUMIFS(tbl_Finance[Ex GST],tbl_Finance[Job Number],C28&amp;""))</f>
        <v/>
      </c>
      <c r="I28" s="27">
        <f>IF(C28="","",SUMIFS(tbl_Finance[Ex GST],tbl_Finance[Job Number],C28&amp;"",tbl_Finance[Xero Invoice No],"&lt;&gt;"))</f>
        <v/>
      </c>
      <c r="J28" s="27">
        <f>IF(C28="","",H28-I28)</f>
        <v/>
      </c>
      <c r="K28" s="25">
        <f>IF(C28="","",IF(G28=0,"not invoiced yet",SUBSTITUTE(TRIM(IF(COUNTIFS(tbl_Finance[Job Number],C28&amp;"",tbl_Finance[Cost Centre],"ONSITE")&gt;0,"ONSITE ","")&amp;IF(COUNTIFS(tbl_Finance[Job Number],C28&amp;"",tbl_Finance[Cost Centre],"PRODUCTION")&gt;0,"PRODUCTION ","")&amp;IF(COUNTIFS(tbl_Finance[Job Number],C28&amp;"",tbl_Finance[Cost Centre],"VIDEO")&gt;0,"VIDEO ","")&amp;IF(COUNTIFS(tbl_Finance[Job Number],C28&amp;"",tbl_Finance[Cost Centre],"INTEGRATION")&gt;0,"INTEGRATION ","")&amp;IF(COUNTIFS(tbl_Finance[Job Number],C28&amp;"",tbl_Finance[Cost Centre],"CONSULTING")&gt;0,"CONSULTING ","")&amp;IF(COUNTIFS(tbl_Finance[Job Number],C28&amp;"",tbl_Finance[Cost Centre],"CTS")&gt;0,"CTS ",""))," ",", ")))</f>
        <v/>
      </c>
      <c r="L28" s="27">
        <f>IF(C28="","",SUMIFS(tbl_Finance[Inc GST],tbl_Finance[Job Number],C28&amp;""))</f>
        <v/>
      </c>
      <c r="M28" s="24" t="n"/>
      <c r="N28" s="25">
        <f>IF(C28="","",IFERROR(INDEX(tbl_Finance[Description],MATCH(C28&amp;"",tbl_Finance[Job Number],0)),""))</f>
        <v/>
      </c>
      <c r="O28" s="24" t="n"/>
      <c r="P28" s="24" t="n"/>
      <c r="Q28" s="22" t="n"/>
      <c r="R28" s="24" t="n"/>
      <c r="S28" s="25">
        <f>IF(R28="","",IF(AND(LEFT(R28,4)&lt;&gt;"http",set_RMSBase=""),"",HYPERLINK(IF(LEFT(R28,4)="http",R28,set_RMSBase&amp;R28),"Open opportunity")))</f>
        <v/>
      </c>
      <c r="T28" s="24" t="n"/>
      <c r="U28" s="25">
        <f>IF(T28="","",HYPERLINK(IF(LEFT(T28,4)="http",T28,set_QwilrBase&amp;T28),"Open quote"))</f>
        <v/>
      </c>
      <c r="V28" s="25">
        <f>IF(C28="","",C28)</f>
        <v/>
      </c>
      <c r="W28" s="24" t="n"/>
      <c r="X28" s="26" t="n"/>
      <c r="Y28" s="27">
        <f>IF(C28="","",H28+N(X28))</f>
        <v/>
      </c>
      <c r="Z28" s="29">
        <f>IFERROR(X28/Y28,"")</f>
        <v/>
      </c>
      <c r="AA28" s="26" t="n"/>
      <c r="AB28" s="26" t="n"/>
      <c r="AC28" s="26" t="n"/>
      <c r="AD28" s="26" t="n"/>
      <c r="AE28" s="27">
        <f>IF(C28="","",SUMIFS(tbl_Finance[Ex GST],tbl_Finance[Job Number],C28&amp;"",tbl_Finance[Cost Centre],"VIDEO"))</f>
        <v/>
      </c>
      <c r="AF28" s="29">
        <f>IFERROR(AE28/H28,"")</f>
        <v/>
      </c>
      <c r="AG28" s="27">
        <f>IF(C28="","",N(AA28)+N(AB28)+N(AC28)+N(AD28))</f>
        <v/>
      </c>
      <c r="AH28" s="27">
        <f>IF(C28="","",H28-AG28)</f>
        <v/>
      </c>
      <c r="AI28" s="29">
        <f>IFERROR(AH28/H28,"")</f>
        <v/>
      </c>
      <c r="AJ28" s="69" t="n"/>
      <c r="AK28" s="69" t="n"/>
      <c r="AL28" s="69" t="n"/>
      <c r="AM28" s="69" t="n"/>
      <c r="AN28" s="69" t="n"/>
      <c r="AO28" s="24" t="n"/>
    </row>
    <row r="29" ht="15" customHeight="1">
      <c r="A29" s="68">
        <f>IF(C29="","",IFERROR(IF(SUMPRODUCT(MAX((tbl_Finance[Job Number]=C29&amp;"")*(tbl_Finance[Xero Invoice No]&lt;&gt;"")*tbl_Finance[Date]))=0,"",SUMPRODUCT(MAX((tbl_Finance[Job Number]=C29&amp;"")*(tbl_Finance[Xero Invoice No]&lt;&gt;"")*tbl_Finance[Date]))),""))</f>
        <v/>
      </c>
      <c r="B29" s="25">
        <f>IF(C29="","",IF(COUNTIFS(tbl_Finance[Job Number],C29&amp;"",tbl_Finance[Xero Invoice No],"&lt;&gt;")=0,"",IFERROR(IF(COUNTIFS(tbl_Finance[Job Number],C29&amp;"",tbl_Finance[Xero Invoice No],LOOKUP(2,1/((tbl_Finance[Job Number]=C29&amp;"")*(tbl_Finance[Xero Invoice No]&lt;&gt;"")),tbl_Finance[Xero Invoice No]))=COUNTIFS(tbl_Finance[Job Number],C29&amp;"",tbl_Finance[Xero Invoice No],"&lt;&gt;"),LOOKUP(2,1/((tbl_Finance[Job Number]=C29&amp;"")*(tbl_Finance[Xero Invoice No]&lt;&gt;"")),tbl_Finance[Xero Invoice No]),LOOKUP(2,1/((tbl_Finance[Job Number]=C29&amp;"")*(tbl_Finance[Xero Invoice No]&lt;&gt;"")),tbl_Finance[Xero Invoice No])&amp;" +more"),"")))</f>
        <v/>
      </c>
      <c r="C29" s="24" t="n"/>
      <c r="D29" s="25">
        <f>IF(C29="","",IF(COUNTIF(lst_Jobs,C29&amp;"")&gt;0,"OK","CHECK"))</f>
        <v/>
      </c>
      <c r="E29" s="25">
        <f>IF(C29="","",IFERROR(INDEX(lst_JobName,MATCH(C29&amp;"",lst_Jobs,0)),""))</f>
        <v/>
      </c>
      <c r="F29" s="25">
        <f>IF(C29="","",IFERROR(INDEX(tbl_Finance[Client],MATCH(C29&amp;"",tbl_Finance[Job Number],0)),""))</f>
        <v/>
      </c>
      <c r="G29" s="28">
        <f>IF(C29="","",COUNTIFS(tbl_Finance[Job Number],C29&amp;"",tbl_Finance[Ex GST],"&lt;&gt;"))</f>
        <v/>
      </c>
      <c r="H29" s="27">
        <f>IF(C29="","",SUMIFS(tbl_Finance[Ex GST],tbl_Finance[Job Number],C29&amp;""))</f>
        <v/>
      </c>
      <c r="I29" s="27">
        <f>IF(C29="","",SUMIFS(tbl_Finance[Ex GST],tbl_Finance[Job Number],C29&amp;"",tbl_Finance[Xero Invoice No],"&lt;&gt;"))</f>
        <v/>
      </c>
      <c r="J29" s="27">
        <f>IF(C29="","",H29-I29)</f>
        <v/>
      </c>
      <c r="K29" s="25">
        <f>IF(C29="","",IF(G29=0,"not invoiced yet",SUBSTITUTE(TRIM(IF(COUNTIFS(tbl_Finance[Job Number],C29&amp;"",tbl_Finance[Cost Centre],"ONSITE")&gt;0,"ONSITE ","")&amp;IF(COUNTIFS(tbl_Finance[Job Number],C29&amp;"",tbl_Finance[Cost Centre],"PRODUCTION")&gt;0,"PRODUCTION ","")&amp;IF(COUNTIFS(tbl_Finance[Job Number],C29&amp;"",tbl_Finance[Cost Centre],"VIDEO")&gt;0,"VIDEO ","")&amp;IF(COUNTIFS(tbl_Finance[Job Number],C29&amp;"",tbl_Finance[Cost Centre],"INTEGRATION")&gt;0,"INTEGRATION ","")&amp;IF(COUNTIFS(tbl_Finance[Job Number],C29&amp;"",tbl_Finance[Cost Centre],"CONSULTING")&gt;0,"CONSULTING ","")&amp;IF(COUNTIFS(tbl_Finance[Job Number],C29&amp;"",tbl_Finance[Cost Centre],"CTS")&gt;0,"CTS ",""))," ",", ")))</f>
        <v/>
      </c>
      <c r="L29" s="27">
        <f>IF(C29="","",SUMIFS(tbl_Finance[Inc GST],tbl_Finance[Job Number],C29&amp;""))</f>
        <v/>
      </c>
      <c r="M29" s="24" t="n"/>
      <c r="N29" s="25">
        <f>IF(C29="","",IFERROR(INDEX(tbl_Finance[Description],MATCH(C29&amp;"",tbl_Finance[Job Number],0)),""))</f>
        <v/>
      </c>
      <c r="O29" s="24" t="n"/>
      <c r="P29" s="24" t="n"/>
      <c r="Q29" s="22" t="n"/>
      <c r="R29" s="24" t="n"/>
      <c r="S29" s="25">
        <f>IF(R29="","",IF(AND(LEFT(R29,4)&lt;&gt;"http",set_RMSBase=""),"",HYPERLINK(IF(LEFT(R29,4)="http",R29,set_RMSBase&amp;R29),"Open opportunity")))</f>
        <v/>
      </c>
      <c r="T29" s="24" t="n"/>
      <c r="U29" s="25">
        <f>IF(T29="","",HYPERLINK(IF(LEFT(T29,4)="http",T29,set_QwilrBase&amp;T29),"Open quote"))</f>
        <v/>
      </c>
      <c r="V29" s="25">
        <f>IF(C29="","",C29)</f>
        <v/>
      </c>
      <c r="W29" s="24" t="n"/>
      <c r="X29" s="26" t="n"/>
      <c r="Y29" s="27">
        <f>IF(C29="","",H29+N(X29))</f>
        <v/>
      </c>
      <c r="Z29" s="29">
        <f>IFERROR(X29/Y29,"")</f>
        <v/>
      </c>
      <c r="AA29" s="26" t="n"/>
      <c r="AB29" s="26" t="n"/>
      <c r="AC29" s="26" t="n"/>
      <c r="AD29" s="26" t="n"/>
      <c r="AE29" s="27">
        <f>IF(C29="","",SUMIFS(tbl_Finance[Ex GST],tbl_Finance[Job Number],C29&amp;"",tbl_Finance[Cost Centre],"VIDEO"))</f>
        <v/>
      </c>
      <c r="AF29" s="29">
        <f>IFERROR(AE29/H29,"")</f>
        <v/>
      </c>
      <c r="AG29" s="27">
        <f>IF(C29="","",N(AA29)+N(AB29)+N(AC29)+N(AD29))</f>
        <v/>
      </c>
      <c r="AH29" s="27">
        <f>IF(C29="","",H29-AG29)</f>
        <v/>
      </c>
      <c r="AI29" s="29">
        <f>IFERROR(AH29/H29,"")</f>
        <v/>
      </c>
      <c r="AJ29" s="69" t="n"/>
      <c r="AK29" s="69" t="n"/>
      <c r="AL29" s="69" t="n"/>
      <c r="AM29" s="69" t="n"/>
      <c r="AN29" s="69" t="n"/>
      <c r="AO29" s="24" t="n"/>
    </row>
    <row r="30" ht="15" customHeight="1">
      <c r="A30" s="68">
        <f>IF(C30="","",IFERROR(IF(SUMPRODUCT(MAX((tbl_Finance[Job Number]=C30&amp;"")*(tbl_Finance[Xero Invoice No]&lt;&gt;"")*tbl_Finance[Date]))=0,"",SUMPRODUCT(MAX((tbl_Finance[Job Number]=C30&amp;"")*(tbl_Finance[Xero Invoice No]&lt;&gt;"")*tbl_Finance[Date]))),""))</f>
        <v/>
      </c>
      <c r="B30" s="25">
        <f>IF(C30="","",IF(COUNTIFS(tbl_Finance[Job Number],C30&amp;"",tbl_Finance[Xero Invoice No],"&lt;&gt;")=0,"",IFERROR(IF(COUNTIFS(tbl_Finance[Job Number],C30&amp;"",tbl_Finance[Xero Invoice No],LOOKUP(2,1/((tbl_Finance[Job Number]=C30&amp;"")*(tbl_Finance[Xero Invoice No]&lt;&gt;"")),tbl_Finance[Xero Invoice No]))=COUNTIFS(tbl_Finance[Job Number],C30&amp;"",tbl_Finance[Xero Invoice No],"&lt;&gt;"),LOOKUP(2,1/((tbl_Finance[Job Number]=C30&amp;"")*(tbl_Finance[Xero Invoice No]&lt;&gt;"")),tbl_Finance[Xero Invoice No]),LOOKUP(2,1/((tbl_Finance[Job Number]=C30&amp;"")*(tbl_Finance[Xero Invoice No]&lt;&gt;"")),tbl_Finance[Xero Invoice No])&amp;" +more"),"")))</f>
        <v/>
      </c>
      <c r="C30" s="24" t="n"/>
      <c r="D30" s="25">
        <f>IF(C30="","",IF(COUNTIF(lst_Jobs,C30&amp;"")&gt;0,"OK","CHECK"))</f>
        <v/>
      </c>
      <c r="E30" s="25">
        <f>IF(C30="","",IFERROR(INDEX(lst_JobName,MATCH(C30&amp;"",lst_Jobs,0)),""))</f>
        <v/>
      </c>
      <c r="F30" s="25">
        <f>IF(C30="","",IFERROR(INDEX(tbl_Finance[Client],MATCH(C30&amp;"",tbl_Finance[Job Number],0)),""))</f>
        <v/>
      </c>
      <c r="G30" s="28">
        <f>IF(C30="","",COUNTIFS(tbl_Finance[Job Number],C30&amp;"",tbl_Finance[Ex GST],"&lt;&gt;"))</f>
        <v/>
      </c>
      <c r="H30" s="27">
        <f>IF(C30="","",SUMIFS(tbl_Finance[Ex GST],tbl_Finance[Job Number],C30&amp;""))</f>
        <v/>
      </c>
      <c r="I30" s="27">
        <f>IF(C30="","",SUMIFS(tbl_Finance[Ex GST],tbl_Finance[Job Number],C30&amp;"",tbl_Finance[Xero Invoice No],"&lt;&gt;"))</f>
        <v/>
      </c>
      <c r="J30" s="27">
        <f>IF(C30="","",H30-I30)</f>
        <v/>
      </c>
      <c r="K30" s="25">
        <f>IF(C30="","",IF(G30=0,"not invoiced yet",SUBSTITUTE(TRIM(IF(COUNTIFS(tbl_Finance[Job Number],C30&amp;"",tbl_Finance[Cost Centre],"ONSITE")&gt;0,"ONSITE ","")&amp;IF(COUNTIFS(tbl_Finance[Job Number],C30&amp;"",tbl_Finance[Cost Centre],"PRODUCTION")&gt;0,"PRODUCTION ","")&amp;IF(COUNTIFS(tbl_Finance[Job Number],C30&amp;"",tbl_Finance[Cost Centre],"VIDEO")&gt;0,"VIDEO ","")&amp;IF(COUNTIFS(tbl_Finance[Job Number],C30&amp;"",tbl_Finance[Cost Centre],"INTEGRATION")&gt;0,"INTEGRATION ","")&amp;IF(COUNTIFS(tbl_Finance[Job Number],C30&amp;"",tbl_Finance[Cost Centre],"CONSULTING")&gt;0,"CONSULTING ","")&amp;IF(COUNTIFS(tbl_Finance[Job Number],C30&amp;"",tbl_Finance[Cost Centre],"CTS")&gt;0,"CTS ",""))," ",", ")))</f>
        <v/>
      </c>
      <c r="L30" s="27">
        <f>IF(C30="","",SUMIFS(tbl_Finance[Inc GST],tbl_Finance[Job Number],C30&amp;""))</f>
        <v/>
      </c>
      <c r="M30" s="24" t="n"/>
      <c r="N30" s="25">
        <f>IF(C30="","",IFERROR(INDEX(tbl_Finance[Description],MATCH(C30&amp;"",tbl_Finance[Job Number],0)),""))</f>
        <v/>
      </c>
      <c r="O30" s="24" t="n"/>
      <c r="P30" s="24" t="n"/>
      <c r="Q30" s="22" t="n"/>
      <c r="R30" s="24" t="n"/>
      <c r="S30" s="25">
        <f>IF(R30="","",IF(AND(LEFT(R30,4)&lt;&gt;"http",set_RMSBase=""),"",HYPERLINK(IF(LEFT(R30,4)="http",R30,set_RMSBase&amp;R30),"Open opportunity")))</f>
        <v/>
      </c>
      <c r="T30" s="24" t="n"/>
      <c r="U30" s="25">
        <f>IF(T30="","",HYPERLINK(IF(LEFT(T30,4)="http",T30,set_QwilrBase&amp;T30),"Open quote"))</f>
        <v/>
      </c>
      <c r="V30" s="25">
        <f>IF(C30="","",C30)</f>
        <v/>
      </c>
      <c r="W30" s="24" t="n"/>
      <c r="X30" s="26" t="n"/>
      <c r="Y30" s="27">
        <f>IF(C30="","",H30+N(X30))</f>
        <v/>
      </c>
      <c r="Z30" s="29">
        <f>IFERROR(X30/Y30,"")</f>
        <v/>
      </c>
      <c r="AA30" s="26" t="n"/>
      <c r="AB30" s="26" t="n"/>
      <c r="AC30" s="26" t="n"/>
      <c r="AD30" s="26" t="n"/>
      <c r="AE30" s="27">
        <f>IF(C30="","",SUMIFS(tbl_Finance[Ex GST],tbl_Finance[Job Number],C30&amp;"",tbl_Finance[Cost Centre],"VIDEO"))</f>
        <v/>
      </c>
      <c r="AF30" s="29">
        <f>IFERROR(AE30/H30,"")</f>
        <v/>
      </c>
      <c r="AG30" s="27">
        <f>IF(C30="","",N(AA30)+N(AB30)+N(AC30)+N(AD30))</f>
        <v/>
      </c>
      <c r="AH30" s="27">
        <f>IF(C30="","",H30-AG30)</f>
        <v/>
      </c>
      <c r="AI30" s="29">
        <f>IFERROR(AH30/H30,"")</f>
        <v/>
      </c>
      <c r="AJ30" s="69" t="n"/>
      <c r="AK30" s="69" t="n"/>
      <c r="AL30" s="69" t="n"/>
      <c r="AM30" s="69" t="n"/>
      <c r="AN30" s="69" t="n"/>
      <c r="AO30" s="24" t="n"/>
    </row>
    <row r="31" ht="15" customHeight="1">
      <c r="A31" s="68">
        <f>IF(C31="","",IFERROR(IF(SUMPRODUCT(MAX((tbl_Finance[Job Number]=C31&amp;"")*(tbl_Finance[Xero Invoice No]&lt;&gt;"")*tbl_Finance[Date]))=0,"",SUMPRODUCT(MAX((tbl_Finance[Job Number]=C31&amp;"")*(tbl_Finance[Xero Invoice No]&lt;&gt;"")*tbl_Finance[Date]))),""))</f>
        <v/>
      </c>
      <c r="B31" s="25">
        <f>IF(C31="","",IF(COUNTIFS(tbl_Finance[Job Number],C31&amp;"",tbl_Finance[Xero Invoice No],"&lt;&gt;")=0,"",IFERROR(IF(COUNTIFS(tbl_Finance[Job Number],C31&amp;"",tbl_Finance[Xero Invoice No],LOOKUP(2,1/((tbl_Finance[Job Number]=C31&amp;"")*(tbl_Finance[Xero Invoice No]&lt;&gt;"")),tbl_Finance[Xero Invoice No]))=COUNTIFS(tbl_Finance[Job Number],C31&amp;"",tbl_Finance[Xero Invoice No],"&lt;&gt;"),LOOKUP(2,1/((tbl_Finance[Job Number]=C31&amp;"")*(tbl_Finance[Xero Invoice No]&lt;&gt;"")),tbl_Finance[Xero Invoice No]),LOOKUP(2,1/((tbl_Finance[Job Number]=C31&amp;"")*(tbl_Finance[Xero Invoice No]&lt;&gt;"")),tbl_Finance[Xero Invoice No])&amp;" +more"),"")))</f>
        <v/>
      </c>
      <c r="C31" s="24" t="n"/>
      <c r="D31" s="25">
        <f>IF(C31="","",IF(COUNTIF(lst_Jobs,C31&amp;"")&gt;0,"OK","CHECK"))</f>
        <v/>
      </c>
      <c r="E31" s="25">
        <f>IF(C31="","",IFERROR(INDEX(lst_JobName,MATCH(C31&amp;"",lst_Jobs,0)),""))</f>
        <v/>
      </c>
      <c r="F31" s="25">
        <f>IF(C31="","",IFERROR(INDEX(tbl_Finance[Client],MATCH(C31&amp;"",tbl_Finance[Job Number],0)),""))</f>
        <v/>
      </c>
      <c r="G31" s="28">
        <f>IF(C31="","",COUNTIFS(tbl_Finance[Job Number],C31&amp;"",tbl_Finance[Ex GST],"&lt;&gt;"))</f>
        <v/>
      </c>
      <c r="H31" s="27">
        <f>IF(C31="","",SUMIFS(tbl_Finance[Ex GST],tbl_Finance[Job Number],C31&amp;""))</f>
        <v/>
      </c>
      <c r="I31" s="27">
        <f>IF(C31="","",SUMIFS(tbl_Finance[Ex GST],tbl_Finance[Job Number],C31&amp;"",tbl_Finance[Xero Invoice No],"&lt;&gt;"))</f>
        <v/>
      </c>
      <c r="J31" s="27">
        <f>IF(C31="","",H31-I31)</f>
        <v/>
      </c>
      <c r="K31" s="25">
        <f>IF(C31="","",IF(G31=0,"not invoiced yet",SUBSTITUTE(TRIM(IF(COUNTIFS(tbl_Finance[Job Number],C31&amp;"",tbl_Finance[Cost Centre],"ONSITE")&gt;0,"ONSITE ","")&amp;IF(COUNTIFS(tbl_Finance[Job Number],C31&amp;"",tbl_Finance[Cost Centre],"PRODUCTION")&gt;0,"PRODUCTION ","")&amp;IF(COUNTIFS(tbl_Finance[Job Number],C31&amp;"",tbl_Finance[Cost Centre],"VIDEO")&gt;0,"VIDEO ","")&amp;IF(COUNTIFS(tbl_Finance[Job Number],C31&amp;"",tbl_Finance[Cost Centre],"INTEGRATION")&gt;0,"INTEGRATION ","")&amp;IF(COUNTIFS(tbl_Finance[Job Number],C31&amp;"",tbl_Finance[Cost Centre],"CONSULTING")&gt;0,"CONSULTING ","")&amp;IF(COUNTIFS(tbl_Finance[Job Number],C31&amp;"",tbl_Finance[Cost Centre],"CTS")&gt;0,"CTS ",""))," ",", ")))</f>
        <v/>
      </c>
      <c r="L31" s="27">
        <f>IF(C31="","",SUMIFS(tbl_Finance[Inc GST],tbl_Finance[Job Number],C31&amp;""))</f>
        <v/>
      </c>
      <c r="M31" s="24" t="n"/>
      <c r="N31" s="25">
        <f>IF(C31="","",IFERROR(INDEX(tbl_Finance[Description],MATCH(C31&amp;"",tbl_Finance[Job Number],0)),""))</f>
        <v/>
      </c>
      <c r="O31" s="24" t="n"/>
      <c r="P31" s="24" t="n"/>
      <c r="Q31" s="22" t="n"/>
      <c r="R31" s="24" t="n"/>
      <c r="S31" s="25">
        <f>IF(R31="","",IF(AND(LEFT(R31,4)&lt;&gt;"http",set_RMSBase=""),"",HYPERLINK(IF(LEFT(R31,4)="http",R31,set_RMSBase&amp;R31),"Open opportunity")))</f>
        <v/>
      </c>
      <c r="T31" s="24" t="n"/>
      <c r="U31" s="25">
        <f>IF(T31="","",HYPERLINK(IF(LEFT(T31,4)="http",T31,set_QwilrBase&amp;T31),"Open quote"))</f>
        <v/>
      </c>
      <c r="V31" s="25">
        <f>IF(C31="","",C31)</f>
        <v/>
      </c>
      <c r="W31" s="24" t="n"/>
      <c r="X31" s="26" t="n"/>
      <c r="Y31" s="27">
        <f>IF(C31="","",H31+N(X31))</f>
        <v/>
      </c>
      <c r="Z31" s="29">
        <f>IFERROR(X31/Y31,"")</f>
        <v/>
      </c>
      <c r="AA31" s="26" t="n"/>
      <c r="AB31" s="26" t="n"/>
      <c r="AC31" s="26" t="n"/>
      <c r="AD31" s="26" t="n"/>
      <c r="AE31" s="27">
        <f>IF(C31="","",SUMIFS(tbl_Finance[Ex GST],tbl_Finance[Job Number],C31&amp;"",tbl_Finance[Cost Centre],"VIDEO"))</f>
        <v/>
      </c>
      <c r="AF31" s="29">
        <f>IFERROR(AE31/H31,"")</f>
        <v/>
      </c>
      <c r="AG31" s="27">
        <f>IF(C31="","",N(AA31)+N(AB31)+N(AC31)+N(AD31))</f>
        <v/>
      </c>
      <c r="AH31" s="27">
        <f>IF(C31="","",H31-AG31)</f>
        <v/>
      </c>
      <c r="AI31" s="29">
        <f>IFERROR(AH31/H31,"")</f>
        <v/>
      </c>
      <c r="AJ31" s="69" t="n"/>
      <c r="AK31" s="69" t="n"/>
      <c r="AL31" s="69" t="n"/>
      <c r="AM31" s="69" t="n"/>
      <c r="AN31" s="69" t="n"/>
      <c r="AO31" s="24" t="n"/>
    </row>
    <row r="32" ht="15" customHeight="1">
      <c r="A32" s="68">
        <f>IF(C32="","",IFERROR(IF(SUMPRODUCT(MAX((tbl_Finance[Job Number]=C32&amp;"")*(tbl_Finance[Xero Invoice No]&lt;&gt;"")*tbl_Finance[Date]))=0,"",SUMPRODUCT(MAX((tbl_Finance[Job Number]=C32&amp;"")*(tbl_Finance[Xero Invoice No]&lt;&gt;"")*tbl_Finance[Date]))),""))</f>
        <v/>
      </c>
      <c r="B32" s="25">
        <f>IF(C32="","",IF(COUNTIFS(tbl_Finance[Job Number],C32&amp;"",tbl_Finance[Xero Invoice No],"&lt;&gt;")=0,"",IFERROR(IF(COUNTIFS(tbl_Finance[Job Number],C32&amp;"",tbl_Finance[Xero Invoice No],LOOKUP(2,1/((tbl_Finance[Job Number]=C32&amp;"")*(tbl_Finance[Xero Invoice No]&lt;&gt;"")),tbl_Finance[Xero Invoice No]))=COUNTIFS(tbl_Finance[Job Number],C32&amp;"",tbl_Finance[Xero Invoice No],"&lt;&gt;"),LOOKUP(2,1/((tbl_Finance[Job Number]=C32&amp;"")*(tbl_Finance[Xero Invoice No]&lt;&gt;"")),tbl_Finance[Xero Invoice No]),LOOKUP(2,1/((tbl_Finance[Job Number]=C32&amp;"")*(tbl_Finance[Xero Invoice No]&lt;&gt;"")),tbl_Finance[Xero Invoice No])&amp;" +more"),"")))</f>
        <v/>
      </c>
      <c r="C32" s="24" t="n"/>
      <c r="D32" s="25">
        <f>IF(C32="","",IF(COUNTIF(lst_Jobs,C32&amp;"")&gt;0,"OK","CHECK"))</f>
        <v/>
      </c>
      <c r="E32" s="25">
        <f>IF(C32="","",IFERROR(INDEX(lst_JobName,MATCH(C32&amp;"",lst_Jobs,0)),""))</f>
        <v/>
      </c>
      <c r="F32" s="25">
        <f>IF(C32="","",IFERROR(INDEX(tbl_Finance[Client],MATCH(C32&amp;"",tbl_Finance[Job Number],0)),""))</f>
        <v/>
      </c>
      <c r="G32" s="28">
        <f>IF(C32="","",COUNTIFS(tbl_Finance[Job Number],C32&amp;"",tbl_Finance[Ex GST],"&lt;&gt;"))</f>
        <v/>
      </c>
      <c r="H32" s="27">
        <f>IF(C32="","",SUMIFS(tbl_Finance[Ex GST],tbl_Finance[Job Number],C32&amp;""))</f>
        <v/>
      </c>
      <c r="I32" s="27">
        <f>IF(C32="","",SUMIFS(tbl_Finance[Ex GST],tbl_Finance[Job Number],C32&amp;"",tbl_Finance[Xero Invoice No],"&lt;&gt;"))</f>
        <v/>
      </c>
      <c r="J32" s="27">
        <f>IF(C32="","",H32-I32)</f>
        <v/>
      </c>
      <c r="K32" s="25">
        <f>IF(C32="","",IF(G32=0,"not invoiced yet",SUBSTITUTE(TRIM(IF(COUNTIFS(tbl_Finance[Job Number],C32&amp;"",tbl_Finance[Cost Centre],"ONSITE")&gt;0,"ONSITE ","")&amp;IF(COUNTIFS(tbl_Finance[Job Number],C32&amp;"",tbl_Finance[Cost Centre],"PRODUCTION")&gt;0,"PRODUCTION ","")&amp;IF(COUNTIFS(tbl_Finance[Job Number],C32&amp;"",tbl_Finance[Cost Centre],"VIDEO")&gt;0,"VIDEO ","")&amp;IF(COUNTIFS(tbl_Finance[Job Number],C32&amp;"",tbl_Finance[Cost Centre],"INTEGRATION")&gt;0,"INTEGRATION ","")&amp;IF(COUNTIFS(tbl_Finance[Job Number],C32&amp;"",tbl_Finance[Cost Centre],"CONSULTING")&gt;0,"CONSULTING ","")&amp;IF(COUNTIFS(tbl_Finance[Job Number],C32&amp;"",tbl_Finance[Cost Centre],"CTS")&gt;0,"CTS ",""))," ",", ")))</f>
        <v/>
      </c>
      <c r="L32" s="27">
        <f>IF(C32="","",SUMIFS(tbl_Finance[Inc GST],tbl_Finance[Job Number],C32&amp;""))</f>
        <v/>
      </c>
      <c r="M32" s="24" t="n"/>
      <c r="N32" s="25">
        <f>IF(C32="","",IFERROR(INDEX(tbl_Finance[Description],MATCH(C32&amp;"",tbl_Finance[Job Number],0)),""))</f>
        <v/>
      </c>
      <c r="O32" s="24" t="n"/>
      <c r="P32" s="24" t="n"/>
      <c r="Q32" s="22" t="n"/>
      <c r="R32" s="24" t="n"/>
      <c r="S32" s="25">
        <f>IF(R32="","",IF(AND(LEFT(R32,4)&lt;&gt;"http",set_RMSBase=""),"",HYPERLINK(IF(LEFT(R32,4)="http",R32,set_RMSBase&amp;R32),"Open opportunity")))</f>
        <v/>
      </c>
      <c r="T32" s="24" t="n"/>
      <c r="U32" s="25">
        <f>IF(T32="","",HYPERLINK(IF(LEFT(T32,4)="http",T32,set_QwilrBase&amp;T32),"Open quote"))</f>
        <v/>
      </c>
      <c r="V32" s="25">
        <f>IF(C32="","",C32)</f>
        <v/>
      </c>
      <c r="W32" s="24" t="n"/>
      <c r="X32" s="26" t="n"/>
      <c r="Y32" s="27">
        <f>IF(C32="","",H32+N(X32))</f>
        <v/>
      </c>
      <c r="Z32" s="29">
        <f>IFERROR(X32/Y32,"")</f>
        <v/>
      </c>
      <c r="AA32" s="26" t="n"/>
      <c r="AB32" s="26" t="n"/>
      <c r="AC32" s="26" t="n"/>
      <c r="AD32" s="26" t="n"/>
      <c r="AE32" s="27">
        <f>IF(C32="","",SUMIFS(tbl_Finance[Ex GST],tbl_Finance[Job Number],C32&amp;"",tbl_Finance[Cost Centre],"VIDEO"))</f>
        <v/>
      </c>
      <c r="AF32" s="29">
        <f>IFERROR(AE32/H32,"")</f>
        <v/>
      </c>
      <c r="AG32" s="27">
        <f>IF(C32="","",N(AA32)+N(AB32)+N(AC32)+N(AD32))</f>
        <v/>
      </c>
      <c r="AH32" s="27">
        <f>IF(C32="","",H32-AG32)</f>
        <v/>
      </c>
      <c r="AI32" s="29">
        <f>IFERROR(AH32/H32,"")</f>
        <v/>
      </c>
      <c r="AJ32" s="69" t="n"/>
      <c r="AK32" s="69" t="n"/>
      <c r="AL32" s="69" t="n"/>
      <c r="AM32" s="69" t="n"/>
      <c r="AN32" s="69" t="n"/>
      <c r="AO32" s="24" t="n"/>
    </row>
    <row r="33" ht="15" customHeight="1">
      <c r="A33" s="68">
        <f>IF(C33="","",IFERROR(IF(SUMPRODUCT(MAX((tbl_Finance[Job Number]=C33&amp;"")*(tbl_Finance[Xero Invoice No]&lt;&gt;"")*tbl_Finance[Date]))=0,"",SUMPRODUCT(MAX((tbl_Finance[Job Number]=C33&amp;"")*(tbl_Finance[Xero Invoice No]&lt;&gt;"")*tbl_Finance[Date]))),""))</f>
        <v/>
      </c>
      <c r="B33" s="25">
        <f>IF(C33="","",IF(COUNTIFS(tbl_Finance[Job Number],C33&amp;"",tbl_Finance[Xero Invoice No],"&lt;&gt;")=0,"",IFERROR(IF(COUNTIFS(tbl_Finance[Job Number],C33&amp;"",tbl_Finance[Xero Invoice No],LOOKUP(2,1/((tbl_Finance[Job Number]=C33&amp;"")*(tbl_Finance[Xero Invoice No]&lt;&gt;"")),tbl_Finance[Xero Invoice No]))=COUNTIFS(tbl_Finance[Job Number],C33&amp;"",tbl_Finance[Xero Invoice No],"&lt;&gt;"),LOOKUP(2,1/((tbl_Finance[Job Number]=C33&amp;"")*(tbl_Finance[Xero Invoice No]&lt;&gt;"")),tbl_Finance[Xero Invoice No]),LOOKUP(2,1/((tbl_Finance[Job Number]=C33&amp;"")*(tbl_Finance[Xero Invoice No]&lt;&gt;"")),tbl_Finance[Xero Invoice No])&amp;" +more"),"")))</f>
        <v/>
      </c>
      <c r="C33" s="24" t="n"/>
      <c r="D33" s="25">
        <f>IF(C33="","",IF(COUNTIF(lst_Jobs,C33&amp;"")&gt;0,"OK","CHECK"))</f>
        <v/>
      </c>
      <c r="E33" s="25">
        <f>IF(C33="","",IFERROR(INDEX(lst_JobName,MATCH(C33&amp;"",lst_Jobs,0)),""))</f>
        <v/>
      </c>
      <c r="F33" s="25">
        <f>IF(C33="","",IFERROR(INDEX(tbl_Finance[Client],MATCH(C33&amp;"",tbl_Finance[Job Number],0)),""))</f>
        <v/>
      </c>
      <c r="G33" s="28">
        <f>IF(C33="","",COUNTIFS(tbl_Finance[Job Number],C33&amp;"",tbl_Finance[Ex GST],"&lt;&gt;"))</f>
        <v/>
      </c>
      <c r="H33" s="27">
        <f>IF(C33="","",SUMIFS(tbl_Finance[Ex GST],tbl_Finance[Job Number],C33&amp;""))</f>
        <v/>
      </c>
      <c r="I33" s="27">
        <f>IF(C33="","",SUMIFS(tbl_Finance[Ex GST],tbl_Finance[Job Number],C33&amp;"",tbl_Finance[Xero Invoice No],"&lt;&gt;"))</f>
        <v/>
      </c>
      <c r="J33" s="27">
        <f>IF(C33="","",H33-I33)</f>
        <v/>
      </c>
      <c r="K33" s="25">
        <f>IF(C33="","",IF(G33=0,"not invoiced yet",SUBSTITUTE(TRIM(IF(COUNTIFS(tbl_Finance[Job Number],C33&amp;"",tbl_Finance[Cost Centre],"ONSITE")&gt;0,"ONSITE ","")&amp;IF(COUNTIFS(tbl_Finance[Job Number],C33&amp;"",tbl_Finance[Cost Centre],"PRODUCTION")&gt;0,"PRODUCTION ","")&amp;IF(COUNTIFS(tbl_Finance[Job Number],C33&amp;"",tbl_Finance[Cost Centre],"VIDEO")&gt;0,"VIDEO ","")&amp;IF(COUNTIFS(tbl_Finance[Job Number],C33&amp;"",tbl_Finance[Cost Centre],"INTEGRATION")&gt;0,"INTEGRATION ","")&amp;IF(COUNTIFS(tbl_Finance[Job Number],C33&amp;"",tbl_Finance[Cost Centre],"CONSULTING")&gt;0,"CONSULTING ","")&amp;IF(COUNTIFS(tbl_Finance[Job Number],C33&amp;"",tbl_Finance[Cost Centre],"CTS")&gt;0,"CTS ",""))," ",", ")))</f>
        <v/>
      </c>
      <c r="L33" s="27">
        <f>IF(C33="","",SUMIFS(tbl_Finance[Inc GST],tbl_Finance[Job Number],C33&amp;""))</f>
        <v/>
      </c>
      <c r="M33" s="24" t="n"/>
      <c r="N33" s="25">
        <f>IF(C33="","",IFERROR(INDEX(tbl_Finance[Description],MATCH(C33&amp;"",tbl_Finance[Job Number],0)),""))</f>
        <v/>
      </c>
      <c r="O33" s="24" t="n"/>
      <c r="P33" s="24" t="n"/>
      <c r="Q33" s="22" t="n"/>
      <c r="R33" s="24" t="n"/>
      <c r="S33" s="25">
        <f>IF(R33="","",IF(AND(LEFT(R33,4)&lt;&gt;"http",set_RMSBase=""),"",HYPERLINK(IF(LEFT(R33,4)="http",R33,set_RMSBase&amp;R33),"Open opportunity")))</f>
        <v/>
      </c>
      <c r="T33" s="24" t="n"/>
      <c r="U33" s="25">
        <f>IF(T33="","",HYPERLINK(IF(LEFT(T33,4)="http",T33,set_QwilrBase&amp;T33),"Open quote"))</f>
        <v/>
      </c>
      <c r="V33" s="25">
        <f>IF(C33="","",C33)</f>
        <v/>
      </c>
      <c r="W33" s="24" t="n"/>
      <c r="X33" s="26" t="n"/>
      <c r="Y33" s="27">
        <f>IF(C33="","",H33+N(X33))</f>
        <v/>
      </c>
      <c r="Z33" s="29">
        <f>IFERROR(X33/Y33,"")</f>
        <v/>
      </c>
      <c r="AA33" s="26" t="n"/>
      <c r="AB33" s="26" t="n"/>
      <c r="AC33" s="26" t="n"/>
      <c r="AD33" s="26" t="n"/>
      <c r="AE33" s="27">
        <f>IF(C33="","",SUMIFS(tbl_Finance[Ex GST],tbl_Finance[Job Number],C33&amp;"",tbl_Finance[Cost Centre],"VIDEO"))</f>
        <v/>
      </c>
      <c r="AF33" s="29">
        <f>IFERROR(AE33/H33,"")</f>
        <v/>
      </c>
      <c r="AG33" s="27">
        <f>IF(C33="","",N(AA33)+N(AB33)+N(AC33)+N(AD33))</f>
        <v/>
      </c>
      <c r="AH33" s="27">
        <f>IF(C33="","",H33-AG33)</f>
        <v/>
      </c>
      <c r="AI33" s="29">
        <f>IFERROR(AH33/H33,"")</f>
        <v/>
      </c>
      <c r="AJ33" s="69" t="n"/>
      <c r="AK33" s="69" t="n"/>
      <c r="AL33" s="69" t="n"/>
      <c r="AM33" s="69" t="n"/>
      <c r="AN33" s="69" t="n"/>
      <c r="AO33" s="24" t="n"/>
    </row>
    <row r="34" ht="15" customHeight="1">
      <c r="A34" s="68">
        <f>IF(C34="","",IFERROR(IF(SUMPRODUCT(MAX((tbl_Finance[Job Number]=C34&amp;"")*(tbl_Finance[Xero Invoice No]&lt;&gt;"")*tbl_Finance[Date]))=0,"",SUMPRODUCT(MAX((tbl_Finance[Job Number]=C34&amp;"")*(tbl_Finance[Xero Invoice No]&lt;&gt;"")*tbl_Finance[Date]))),""))</f>
        <v/>
      </c>
      <c r="B34" s="25">
        <f>IF(C34="","",IF(COUNTIFS(tbl_Finance[Job Number],C34&amp;"",tbl_Finance[Xero Invoice No],"&lt;&gt;")=0,"",IFERROR(IF(COUNTIFS(tbl_Finance[Job Number],C34&amp;"",tbl_Finance[Xero Invoice No],LOOKUP(2,1/((tbl_Finance[Job Number]=C34&amp;"")*(tbl_Finance[Xero Invoice No]&lt;&gt;"")),tbl_Finance[Xero Invoice No]))=COUNTIFS(tbl_Finance[Job Number],C34&amp;"",tbl_Finance[Xero Invoice No],"&lt;&gt;"),LOOKUP(2,1/((tbl_Finance[Job Number]=C34&amp;"")*(tbl_Finance[Xero Invoice No]&lt;&gt;"")),tbl_Finance[Xero Invoice No]),LOOKUP(2,1/((tbl_Finance[Job Number]=C34&amp;"")*(tbl_Finance[Xero Invoice No]&lt;&gt;"")),tbl_Finance[Xero Invoice No])&amp;" +more"),"")))</f>
        <v/>
      </c>
      <c r="C34" s="24" t="n"/>
      <c r="D34" s="25">
        <f>IF(C34="","",IF(COUNTIF(lst_Jobs,C34&amp;"")&gt;0,"OK","CHECK"))</f>
        <v/>
      </c>
      <c r="E34" s="25">
        <f>IF(C34="","",IFERROR(INDEX(lst_JobName,MATCH(C34&amp;"",lst_Jobs,0)),""))</f>
        <v/>
      </c>
      <c r="F34" s="25">
        <f>IF(C34="","",IFERROR(INDEX(tbl_Finance[Client],MATCH(C34&amp;"",tbl_Finance[Job Number],0)),""))</f>
        <v/>
      </c>
      <c r="G34" s="28">
        <f>IF(C34="","",COUNTIFS(tbl_Finance[Job Number],C34&amp;"",tbl_Finance[Ex GST],"&lt;&gt;"))</f>
        <v/>
      </c>
      <c r="H34" s="27">
        <f>IF(C34="","",SUMIFS(tbl_Finance[Ex GST],tbl_Finance[Job Number],C34&amp;""))</f>
        <v/>
      </c>
      <c r="I34" s="27">
        <f>IF(C34="","",SUMIFS(tbl_Finance[Ex GST],tbl_Finance[Job Number],C34&amp;"",tbl_Finance[Xero Invoice No],"&lt;&gt;"))</f>
        <v/>
      </c>
      <c r="J34" s="27">
        <f>IF(C34="","",H34-I34)</f>
        <v/>
      </c>
      <c r="K34" s="25">
        <f>IF(C34="","",IF(G34=0,"not invoiced yet",SUBSTITUTE(TRIM(IF(COUNTIFS(tbl_Finance[Job Number],C34&amp;"",tbl_Finance[Cost Centre],"ONSITE")&gt;0,"ONSITE ","")&amp;IF(COUNTIFS(tbl_Finance[Job Number],C34&amp;"",tbl_Finance[Cost Centre],"PRODUCTION")&gt;0,"PRODUCTION ","")&amp;IF(COUNTIFS(tbl_Finance[Job Number],C34&amp;"",tbl_Finance[Cost Centre],"VIDEO")&gt;0,"VIDEO ","")&amp;IF(COUNTIFS(tbl_Finance[Job Number],C34&amp;"",tbl_Finance[Cost Centre],"INTEGRATION")&gt;0,"INTEGRATION ","")&amp;IF(COUNTIFS(tbl_Finance[Job Number],C34&amp;"",tbl_Finance[Cost Centre],"CONSULTING")&gt;0,"CONSULTING ","")&amp;IF(COUNTIFS(tbl_Finance[Job Number],C34&amp;"",tbl_Finance[Cost Centre],"CTS")&gt;0,"CTS ",""))," ",", ")))</f>
        <v/>
      </c>
      <c r="L34" s="27">
        <f>IF(C34="","",SUMIFS(tbl_Finance[Inc GST],tbl_Finance[Job Number],C34&amp;""))</f>
        <v/>
      </c>
      <c r="M34" s="24" t="n"/>
      <c r="N34" s="25">
        <f>IF(C34="","",IFERROR(INDEX(tbl_Finance[Description],MATCH(C34&amp;"",tbl_Finance[Job Number],0)),""))</f>
        <v/>
      </c>
      <c r="O34" s="24" t="n"/>
      <c r="P34" s="24" t="n"/>
      <c r="Q34" s="22" t="n"/>
      <c r="R34" s="24" t="n"/>
      <c r="S34" s="25">
        <f>IF(R34="","",IF(AND(LEFT(R34,4)&lt;&gt;"http",set_RMSBase=""),"",HYPERLINK(IF(LEFT(R34,4)="http",R34,set_RMSBase&amp;R34),"Open opportunity")))</f>
        <v/>
      </c>
      <c r="T34" s="24" t="n"/>
      <c r="U34" s="25">
        <f>IF(T34="","",HYPERLINK(IF(LEFT(T34,4)="http",T34,set_QwilrBase&amp;T34),"Open quote"))</f>
        <v/>
      </c>
      <c r="V34" s="25">
        <f>IF(C34="","",C34)</f>
        <v/>
      </c>
      <c r="W34" s="24" t="n"/>
      <c r="X34" s="26" t="n"/>
      <c r="Y34" s="27">
        <f>IF(C34="","",H34+N(X34))</f>
        <v/>
      </c>
      <c r="Z34" s="29">
        <f>IFERROR(X34/Y34,"")</f>
        <v/>
      </c>
      <c r="AA34" s="26" t="n"/>
      <c r="AB34" s="26" t="n"/>
      <c r="AC34" s="26" t="n"/>
      <c r="AD34" s="26" t="n"/>
      <c r="AE34" s="27">
        <f>IF(C34="","",SUMIFS(tbl_Finance[Ex GST],tbl_Finance[Job Number],C34&amp;"",tbl_Finance[Cost Centre],"VIDEO"))</f>
        <v/>
      </c>
      <c r="AF34" s="29">
        <f>IFERROR(AE34/H34,"")</f>
        <v/>
      </c>
      <c r="AG34" s="27">
        <f>IF(C34="","",N(AA34)+N(AB34)+N(AC34)+N(AD34))</f>
        <v/>
      </c>
      <c r="AH34" s="27">
        <f>IF(C34="","",H34-AG34)</f>
        <v/>
      </c>
      <c r="AI34" s="29">
        <f>IFERROR(AH34/H34,"")</f>
        <v/>
      </c>
      <c r="AJ34" s="69" t="n"/>
      <c r="AK34" s="69" t="n"/>
      <c r="AL34" s="69" t="n"/>
      <c r="AM34" s="69" t="n"/>
      <c r="AN34" s="69" t="n"/>
      <c r="AO34" s="24" t="n"/>
    </row>
    <row r="35" ht="15" customHeight="1">
      <c r="A35" s="68">
        <f>IF(C35="","",IFERROR(IF(SUMPRODUCT(MAX((tbl_Finance[Job Number]=C35&amp;"")*(tbl_Finance[Xero Invoice No]&lt;&gt;"")*tbl_Finance[Date]))=0,"",SUMPRODUCT(MAX((tbl_Finance[Job Number]=C35&amp;"")*(tbl_Finance[Xero Invoice No]&lt;&gt;"")*tbl_Finance[Date]))),""))</f>
        <v/>
      </c>
      <c r="B35" s="25">
        <f>IF(C35="","",IF(COUNTIFS(tbl_Finance[Job Number],C35&amp;"",tbl_Finance[Xero Invoice No],"&lt;&gt;")=0,"",IFERROR(IF(COUNTIFS(tbl_Finance[Job Number],C35&amp;"",tbl_Finance[Xero Invoice No],LOOKUP(2,1/((tbl_Finance[Job Number]=C35&amp;"")*(tbl_Finance[Xero Invoice No]&lt;&gt;"")),tbl_Finance[Xero Invoice No]))=COUNTIFS(tbl_Finance[Job Number],C35&amp;"",tbl_Finance[Xero Invoice No],"&lt;&gt;"),LOOKUP(2,1/((tbl_Finance[Job Number]=C35&amp;"")*(tbl_Finance[Xero Invoice No]&lt;&gt;"")),tbl_Finance[Xero Invoice No]),LOOKUP(2,1/((tbl_Finance[Job Number]=C35&amp;"")*(tbl_Finance[Xero Invoice No]&lt;&gt;"")),tbl_Finance[Xero Invoice No])&amp;" +more"),"")))</f>
        <v/>
      </c>
      <c r="C35" s="24" t="n"/>
      <c r="D35" s="25">
        <f>IF(C35="","",IF(COUNTIF(lst_Jobs,C35&amp;"")&gt;0,"OK","CHECK"))</f>
        <v/>
      </c>
      <c r="E35" s="25">
        <f>IF(C35="","",IFERROR(INDEX(lst_JobName,MATCH(C35&amp;"",lst_Jobs,0)),""))</f>
        <v/>
      </c>
      <c r="F35" s="25">
        <f>IF(C35="","",IFERROR(INDEX(tbl_Finance[Client],MATCH(C35&amp;"",tbl_Finance[Job Number],0)),""))</f>
        <v/>
      </c>
      <c r="G35" s="28">
        <f>IF(C35="","",COUNTIFS(tbl_Finance[Job Number],C35&amp;"",tbl_Finance[Ex GST],"&lt;&gt;"))</f>
        <v/>
      </c>
      <c r="H35" s="27">
        <f>IF(C35="","",SUMIFS(tbl_Finance[Ex GST],tbl_Finance[Job Number],C35&amp;""))</f>
        <v/>
      </c>
      <c r="I35" s="27">
        <f>IF(C35="","",SUMIFS(tbl_Finance[Ex GST],tbl_Finance[Job Number],C35&amp;"",tbl_Finance[Xero Invoice No],"&lt;&gt;"))</f>
        <v/>
      </c>
      <c r="J35" s="27">
        <f>IF(C35="","",H35-I35)</f>
        <v/>
      </c>
      <c r="K35" s="25">
        <f>IF(C35="","",IF(G35=0,"not invoiced yet",SUBSTITUTE(TRIM(IF(COUNTIFS(tbl_Finance[Job Number],C35&amp;"",tbl_Finance[Cost Centre],"ONSITE")&gt;0,"ONSITE ","")&amp;IF(COUNTIFS(tbl_Finance[Job Number],C35&amp;"",tbl_Finance[Cost Centre],"PRODUCTION")&gt;0,"PRODUCTION ","")&amp;IF(COUNTIFS(tbl_Finance[Job Number],C35&amp;"",tbl_Finance[Cost Centre],"VIDEO")&gt;0,"VIDEO ","")&amp;IF(COUNTIFS(tbl_Finance[Job Number],C35&amp;"",tbl_Finance[Cost Centre],"INTEGRATION")&gt;0,"INTEGRATION ","")&amp;IF(COUNTIFS(tbl_Finance[Job Number],C35&amp;"",tbl_Finance[Cost Centre],"CONSULTING")&gt;0,"CONSULTING ","")&amp;IF(COUNTIFS(tbl_Finance[Job Number],C35&amp;"",tbl_Finance[Cost Centre],"CTS")&gt;0,"CTS ",""))," ",", ")))</f>
        <v/>
      </c>
      <c r="L35" s="27">
        <f>IF(C35="","",SUMIFS(tbl_Finance[Inc GST],tbl_Finance[Job Number],C35&amp;""))</f>
        <v/>
      </c>
      <c r="M35" s="24" t="n"/>
      <c r="N35" s="25">
        <f>IF(C35="","",IFERROR(INDEX(tbl_Finance[Description],MATCH(C35&amp;"",tbl_Finance[Job Number],0)),""))</f>
        <v/>
      </c>
      <c r="O35" s="24" t="n"/>
      <c r="P35" s="24" t="n"/>
      <c r="Q35" s="22" t="n"/>
      <c r="R35" s="24" t="n"/>
      <c r="S35" s="25">
        <f>IF(R35="","",IF(AND(LEFT(R35,4)&lt;&gt;"http",set_RMSBase=""),"",HYPERLINK(IF(LEFT(R35,4)="http",R35,set_RMSBase&amp;R35),"Open opportunity")))</f>
        <v/>
      </c>
      <c r="T35" s="24" t="n"/>
      <c r="U35" s="25">
        <f>IF(T35="","",HYPERLINK(IF(LEFT(T35,4)="http",T35,set_QwilrBase&amp;T35),"Open quote"))</f>
        <v/>
      </c>
      <c r="V35" s="25">
        <f>IF(C35="","",C35)</f>
        <v/>
      </c>
      <c r="W35" s="24" t="n"/>
      <c r="X35" s="26" t="n"/>
      <c r="Y35" s="27">
        <f>IF(C35="","",H35+N(X35))</f>
        <v/>
      </c>
      <c r="Z35" s="29">
        <f>IFERROR(X35/Y35,"")</f>
        <v/>
      </c>
      <c r="AA35" s="26" t="n"/>
      <c r="AB35" s="26" t="n"/>
      <c r="AC35" s="26" t="n"/>
      <c r="AD35" s="26" t="n"/>
      <c r="AE35" s="27">
        <f>IF(C35="","",SUMIFS(tbl_Finance[Ex GST],tbl_Finance[Job Number],C35&amp;"",tbl_Finance[Cost Centre],"VIDEO"))</f>
        <v/>
      </c>
      <c r="AF35" s="29">
        <f>IFERROR(AE35/H35,"")</f>
        <v/>
      </c>
      <c r="AG35" s="27">
        <f>IF(C35="","",N(AA35)+N(AB35)+N(AC35)+N(AD35))</f>
        <v/>
      </c>
      <c r="AH35" s="27">
        <f>IF(C35="","",H35-AG35)</f>
        <v/>
      </c>
      <c r="AI35" s="29">
        <f>IFERROR(AH35/H35,"")</f>
        <v/>
      </c>
      <c r="AJ35" s="69" t="n"/>
      <c r="AK35" s="69" t="n"/>
      <c r="AL35" s="69" t="n"/>
      <c r="AM35" s="69" t="n"/>
      <c r="AN35" s="69" t="n"/>
      <c r="AO35" s="24" t="n"/>
    </row>
    <row r="36" ht="15" customHeight="1">
      <c r="A36" s="68">
        <f>IF(C36="","",IFERROR(IF(SUMPRODUCT(MAX((tbl_Finance[Job Number]=C36&amp;"")*(tbl_Finance[Xero Invoice No]&lt;&gt;"")*tbl_Finance[Date]))=0,"",SUMPRODUCT(MAX((tbl_Finance[Job Number]=C36&amp;"")*(tbl_Finance[Xero Invoice No]&lt;&gt;"")*tbl_Finance[Date]))),""))</f>
        <v/>
      </c>
      <c r="B36" s="25">
        <f>IF(C36="","",IF(COUNTIFS(tbl_Finance[Job Number],C36&amp;"",tbl_Finance[Xero Invoice No],"&lt;&gt;")=0,"",IFERROR(IF(COUNTIFS(tbl_Finance[Job Number],C36&amp;"",tbl_Finance[Xero Invoice No],LOOKUP(2,1/((tbl_Finance[Job Number]=C36&amp;"")*(tbl_Finance[Xero Invoice No]&lt;&gt;"")),tbl_Finance[Xero Invoice No]))=COUNTIFS(tbl_Finance[Job Number],C36&amp;"",tbl_Finance[Xero Invoice No],"&lt;&gt;"),LOOKUP(2,1/((tbl_Finance[Job Number]=C36&amp;"")*(tbl_Finance[Xero Invoice No]&lt;&gt;"")),tbl_Finance[Xero Invoice No]),LOOKUP(2,1/((tbl_Finance[Job Number]=C36&amp;"")*(tbl_Finance[Xero Invoice No]&lt;&gt;"")),tbl_Finance[Xero Invoice No])&amp;" +more"),"")))</f>
        <v/>
      </c>
      <c r="C36" s="24" t="n"/>
      <c r="D36" s="25">
        <f>IF(C36="","",IF(COUNTIF(lst_Jobs,C36&amp;"")&gt;0,"OK","CHECK"))</f>
        <v/>
      </c>
      <c r="E36" s="25">
        <f>IF(C36="","",IFERROR(INDEX(lst_JobName,MATCH(C36&amp;"",lst_Jobs,0)),""))</f>
        <v/>
      </c>
      <c r="F36" s="25">
        <f>IF(C36="","",IFERROR(INDEX(tbl_Finance[Client],MATCH(C36&amp;"",tbl_Finance[Job Number],0)),""))</f>
        <v/>
      </c>
      <c r="G36" s="28">
        <f>IF(C36="","",COUNTIFS(tbl_Finance[Job Number],C36&amp;"",tbl_Finance[Ex GST],"&lt;&gt;"))</f>
        <v/>
      </c>
      <c r="H36" s="27">
        <f>IF(C36="","",SUMIFS(tbl_Finance[Ex GST],tbl_Finance[Job Number],C36&amp;""))</f>
        <v/>
      </c>
      <c r="I36" s="27">
        <f>IF(C36="","",SUMIFS(tbl_Finance[Ex GST],tbl_Finance[Job Number],C36&amp;"",tbl_Finance[Xero Invoice No],"&lt;&gt;"))</f>
        <v/>
      </c>
      <c r="J36" s="27">
        <f>IF(C36="","",H36-I36)</f>
        <v/>
      </c>
      <c r="K36" s="25">
        <f>IF(C36="","",IF(G36=0,"not invoiced yet",SUBSTITUTE(TRIM(IF(COUNTIFS(tbl_Finance[Job Number],C36&amp;"",tbl_Finance[Cost Centre],"ONSITE")&gt;0,"ONSITE ","")&amp;IF(COUNTIFS(tbl_Finance[Job Number],C36&amp;"",tbl_Finance[Cost Centre],"PRODUCTION")&gt;0,"PRODUCTION ","")&amp;IF(COUNTIFS(tbl_Finance[Job Number],C36&amp;"",tbl_Finance[Cost Centre],"VIDEO")&gt;0,"VIDEO ","")&amp;IF(COUNTIFS(tbl_Finance[Job Number],C36&amp;"",tbl_Finance[Cost Centre],"INTEGRATION")&gt;0,"INTEGRATION ","")&amp;IF(COUNTIFS(tbl_Finance[Job Number],C36&amp;"",tbl_Finance[Cost Centre],"CONSULTING")&gt;0,"CONSULTING ","")&amp;IF(COUNTIFS(tbl_Finance[Job Number],C36&amp;"",tbl_Finance[Cost Centre],"CTS")&gt;0,"CTS ",""))," ",", ")))</f>
        <v/>
      </c>
      <c r="L36" s="27">
        <f>IF(C36="","",SUMIFS(tbl_Finance[Inc GST],tbl_Finance[Job Number],C36&amp;""))</f>
        <v/>
      </c>
      <c r="M36" s="24" t="n"/>
      <c r="N36" s="25">
        <f>IF(C36="","",IFERROR(INDEX(tbl_Finance[Description],MATCH(C36&amp;"",tbl_Finance[Job Number],0)),""))</f>
        <v/>
      </c>
      <c r="O36" s="24" t="n"/>
      <c r="P36" s="24" t="n"/>
      <c r="Q36" s="22" t="n"/>
      <c r="R36" s="24" t="n"/>
      <c r="S36" s="25">
        <f>IF(R36="","",IF(AND(LEFT(R36,4)&lt;&gt;"http",set_RMSBase=""),"",HYPERLINK(IF(LEFT(R36,4)="http",R36,set_RMSBase&amp;R36),"Open opportunity")))</f>
        <v/>
      </c>
      <c r="T36" s="24" t="n"/>
      <c r="U36" s="25">
        <f>IF(T36="","",HYPERLINK(IF(LEFT(T36,4)="http",T36,set_QwilrBase&amp;T36),"Open quote"))</f>
        <v/>
      </c>
      <c r="V36" s="25">
        <f>IF(C36="","",C36)</f>
        <v/>
      </c>
      <c r="W36" s="24" t="n"/>
      <c r="X36" s="26" t="n"/>
      <c r="Y36" s="27">
        <f>IF(C36="","",H36+N(X36))</f>
        <v/>
      </c>
      <c r="Z36" s="29">
        <f>IFERROR(X36/Y36,"")</f>
        <v/>
      </c>
      <c r="AA36" s="26" t="n"/>
      <c r="AB36" s="26" t="n"/>
      <c r="AC36" s="26" t="n"/>
      <c r="AD36" s="26" t="n"/>
      <c r="AE36" s="27">
        <f>IF(C36="","",SUMIFS(tbl_Finance[Ex GST],tbl_Finance[Job Number],C36&amp;"",tbl_Finance[Cost Centre],"VIDEO"))</f>
        <v/>
      </c>
      <c r="AF36" s="29">
        <f>IFERROR(AE36/H36,"")</f>
        <v/>
      </c>
      <c r="AG36" s="27">
        <f>IF(C36="","",N(AA36)+N(AB36)+N(AC36)+N(AD36))</f>
        <v/>
      </c>
      <c r="AH36" s="27">
        <f>IF(C36="","",H36-AG36)</f>
        <v/>
      </c>
      <c r="AI36" s="29">
        <f>IFERROR(AH36/H36,"")</f>
        <v/>
      </c>
      <c r="AJ36" s="69" t="n"/>
      <c r="AK36" s="69" t="n"/>
      <c r="AL36" s="69" t="n"/>
      <c r="AM36" s="69" t="n"/>
      <c r="AN36" s="69" t="n"/>
      <c r="AO36" s="24" t="n"/>
    </row>
    <row r="37" ht="15" customHeight="1">
      <c r="A37" s="68">
        <f>IF(C37="","",IFERROR(IF(SUMPRODUCT(MAX((tbl_Finance[Job Number]=C37&amp;"")*(tbl_Finance[Xero Invoice No]&lt;&gt;"")*tbl_Finance[Date]))=0,"",SUMPRODUCT(MAX((tbl_Finance[Job Number]=C37&amp;"")*(tbl_Finance[Xero Invoice No]&lt;&gt;"")*tbl_Finance[Date]))),""))</f>
        <v/>
      </c>
      <c r="B37" s="25">
        <f>IF(C37="","",IF(COUNTIFS(tbl_Finance[Job Number],C37&amp;"",tbl_Finance[Xero Invoice No],"&lt;&gt;")=0,"",IFERROR(IF(COUNTIFS(tbl_Finance[Job Number],C37&amp;"",tbl_Finance[Xero Invoice No],LOOKUP(2,1/((tbl_Finance[Job Number]=C37&amp;"")*(tbl_Finance[Xero Invoice No]&lt;&gt;"")),tbl_Finance[Xero Invoice No]))=COUNTIFS(tbl_Finance[Job Number],C37&amp;"",tbl_Finance[Xero Invoice No],"&lt;&gt;"),LOOKUP(2,1/((tbl_Finance[Job Number]=C37&amp;"")*(tbl_Finance[Xero Invoice No]&lt;&gt;"")),tbl_Finance[Xero Invoice No]),LOOKUP(2,1/((tbl_Finance[Job Number]=C37&amp;"")*(tbl_Finance[Xero Invoice No]&lt;&gt;"")),tbl_Finance[Xero Invoice No])&amp;" +more"),"")))</f>
        <v/>
      </c>
      <c r="C37" s="24" t="n"/>
      <c r="D37" s="25">
        <f>IF(C37="","",IF(COUNTIF(lst_Jobs,C37&amp;"")&gt;0,"OK","CHECK"))</f>
        <v/>
      </c>
      <c r="E37" s="25">
        <f>IF(C37="","",IFERROR(INDEX(lst_JobName,MATCH(C37&amp;"",lst_Jobs,0)),""))</f>
        <v/>
      </c>
      <c r="F37" s="25">
        <f>IF(C37="","",IFERROR(INDEX(tbl_Finance[Client],MATCH(C37&amp;"",tbl_Finance[Job Number],0)),""))</f>
        <v/>
      </c>
      <c r="G37" s="28">
        <f>IF(C37="","",COUNTIFS(tbl_Finance[Job Number],C37&amp;"",tbl_Finance[Ex GST],"&lt;&gt;"))</f>
        <v/>
      </c>
      <c r="H37" s="27">
        <f>IF(C37="","",SUMIFS(tbl_Finance[Ex GST],tbl_Finance[Job Number],C37&amp;""))</f>
        <v/>
      </c>
      <c r="I37" s="27">
        <f>IF(C37="","",SUMIFS(tbl_Finance[Ex GST],tbl_Finance[Job Number],C37&amp;"",tbl_Finance[Xero Invoice No],"&lt;&gt;"))</f>
        <v/>
      </c>
      <c r="J37" s="27">
        <f>IF(C37="","",H37-I37)</f>
        <v/>
      </c>
      <c r="K37" s="25">
        <f>IF(C37="","",IF(G37=0,"not invoiced yet",SUBSTITUTE(TRIM(IF(COUNTIFS(tbl_Finance[Job Number],C37&amp;"",tbl_Finance[Cost Centre],"ONSITE")&gt;0,"ONSITE ","")&amp;IF(COUNTIFS(tbl_Finance[Job Number],C37&amp;"",tbl_Finance[Cost Centre],"PRODUCTION")&gt;0,"PRODUCTION ","")&amp;IF(COUNTIFS(tbl_Finance[Job Number],C37&amp;"",tbl_Finance[Cost Centre],"VIDEO")&gt;0,"VIDEO ","")&amp;IF(COUNTIFS(tbl_Finance[Job Number],C37&amp;"",tbl_Finance[Cost Centre],"INTEGRATION")&gt;0,"INTEGRATION ","")&amp;IF(COUNTIFS(tbl_Finance[Job Number],C37&amp;"",tbl_Finance[Cost Centre],"CONSULTING")&gt;0,"CONSULTING ","")&amp;IF(COUNTIFS(tbl_Finance[Job Number],C37&amp;"",tbl_Finance[Cost Centre],"CTS")&gt;0,"CTS ",""))," ",", ")))</f>
        <v/>
      </c>
      <c r="L37" s="27">
        <f>IF(C37="","",SUMIFS(tbl_Finance[Inc GST],tbl_Finance[Job Number],C37&amp;""))</f>
        <v/>
      </c>
      <c r="M37" s="24" t="n"/>
      <c r="N37" s="25">
        <f>IF(C37="","",IFERROR(INDEX(tbl_Finance[Description],MATCH(C37&amp;"",tbl_Finance[Job Number],0)),""))</f>
        <v/>
      </c>
      <c r="O37" s="24" t="n"/>
      <c r="P37" s="24" t="n"/>
      <c r="Q37" s="22" t="n"/>
      <c r="R37" s="24" t="n"/>
      <c r="S37" s="25">
        <f>IF(R37="","",IF(AND(LEFT(R37,4)&lt;&gt;"http",set_RMSBase=""),"",HYPERLINK(IF(LEFT(R37,4)="http",R37,set_RMSBase&amp;R37),"Open opportunity")))</f>
        <v/>
      </c>
      <c r="T37" s="24" t="n"/>
      <c r="U37" s="25">
        <f>IF(T37="","",HYPERLINK(IF(LEFT(T37,4)="http",T37,set_QwilrBase&amp;T37),"Open quote"))</f>
        <v/>
      </c>
      <c r="V37" s="25">
        <f>IF(C37="","",C37)</f>
        <v/>
      </c>
      <c r="W37" s="24" t="n"/>
      <c r="X37" s="26" t="n"/>
      <c r="Y37" s="27">
        <f>IF(C37="","",H37+N(X37))</f>
        <v/>
      </c>
      <c r="Z37" s="29">
        <f>IFERROR(X37/Y37,"")</f>
        <v/>
      </c>
      <c r="AA37" s="26" t="n"/>
      <c r="AB37" s="26" t="n"/>
      <c r="AC37" s="26" t="n"/>
      <c r="AD37" s="26" t="n"/>
      <c r="AE37" s="27">
        <f>IF(C37="","",SUMIFS(tbl_Finance[Ex GST],tbl_Finance[Job Number],C37&amp;"",tbl_Finance[Cost Centre],"VIDEO"))</f>
        <v/>
      </c>
      <c r="AF37" s="29">
        <f>IFERROR(AE37/H37,"")</f>
        <v/>
      </c>
      <c r="AG37" s="27">
        <f>IF(C37="","",N(AA37)+N(AB37)+N(AC37)+N(AD37))</f>
        <v/>
      </c>
      <c r="AH37" s="27">
        <f>IF(C37="","",H37-AG37)</f>
        <v/>
      </c>
      <c r="AI37" s="29">
        <f>IFERROR(AH37/H37,"")</f>
        <v/>
      </c>
      <c r="AJ37" s="69" t="n"/>
      <c r="AK37" s="69" t="n"/>
      <c r="AL37" s="69" t="n"/>
      <c r="AM37" s="69" t="n"/>
      <c r="AN37" s="69" t="n"/>
      <c r="AO37" s="24" t="n"/>
    </row>
    <row r="38" ht="15" customHeight="1">
      <c r="A38" s="68">
        <f>IF(C38="","",IFERROR(IF(SUMPRODUCT(MAX((tbl_Finance[Job Number]=C38&amp;"")*(tbl_Finance[Xero Invoice No]&lt;&gt;"")*tbl_Finance[Date]))=0,"",SUMPRODUCT(MAX((tbl_Finance[Job Number]=C38&amp;"")*(tbl_Finance[Xero Invoice No]&lt;&gt;"")*tbl_Finance[Date]))),""))</f>
        <v/>
      </c>
      <c r="B38" s="25">
        <f>IF(C38="","",IF(COUNTIFS(tbl_Finance[Job Number],C38&amp;"",tbl_Finance[Xero Invoice No],"&lt;&gt;")=0,"",IFERROR(IF(COUNTIFS(tbl_Finance[Job Number],C38&amp;"",tbl_Finance[Xero Invoice No],LOOKUP(2,1/((tbl_Finance[Job Number]=C38&amp;"")*(tbl_Finance[Xero Invoice No]&lt;&gt;"")),tbl_Finance[Xero Invoice No]))=COUNTIFS(tbl_Finance[Job Number],C38&amp;"",tbl_Finance[Xero Invoice No],"&lt;&gt;"),LOOKUP(2,1/((tbl_Finance[Job Number]=C38&amp;"")*(tbl_Finance[Xero Invoice No]&lt;&gt;"")),tbl_Finance[Xero Invoice No]),LOOKUP(2,1/((tbl_Finance[Job Number]=C38&amp;"")*(tbl_Finance[Xero Invoice No]&lt;&gt;"")),tbl_Finance[Xero Invoice No])&amp;" +more"),"")))</f>
        <v/>
      </c>
      <c r="C38" s="24" t="n"/>
      <c r="D38" s="25">
        <f>IF(C38="","",IF(COUNTIF(lst_Jobs,C38&amp;"")&gt;0,"OK","CHECK"))</f>
        <v/>
      </c>
      <c r="E38" s="25">
        <f>IF(C38="","",IFERROR(INDEX(lst_JobName,MATCH(C38&amp;"",lst_Jobs,0)),""))</f>
        <v/>
      </c>
      <c r="F38" s="25">
        <f>IF(C38="","",IFERROR(INDEX(tbl_Finance[Client],MATCH(C38&amp;"",tbl_Finance[Job Number],0)),""))</f>
        <v/>
      </c>
      <c r="G38" s="28">
        <f>IF(C38="","",COUNTIFS(tbl_Finance[Job Number],C38&amp;"",tbl_Finance[Ex GST],"&lt;&gt;"))</f>
        <v/>
      </c>
      <c r="H38" s="27">
        <f>IF(C38="","",SUMIFS(tbl_Finance[Ex GST],tbl_Finance[Job Number],C38&amp;""))</f>
        <v/>
      </c>
      <c r="I38" s="27">
        <f>IF(C38="","",SUMIFS(tbl_Finance[Ex GST],tbl_Finance[Job Number],C38&amp;"",tbl_Finance[Xero Invoice No],"&lt;&gt;"))</f>
        <v/>
      </c>
      <c r="J38" s="27">
        <f>IF(C38="","",H38-I38)</f>
        <v/>
      </c>
      <c r="K38" s="25">
        <f>IF(C38="","",IF(G38=0,"not invoiced yet",SUBSTITUTE(TRIM(IF(COUNTIFS(tbl_Finance[Job Number],C38&amp;"",tbl_Finance[Cost Centre],"ONSITE")&gt;0,"ONSITE ","")&amp;IF(COUNTIFS(tbl_Finance[Job Number],C38&amp;"",tbl_Finance[Cost Centre],"PRODUCTION")&gt;0,"PRODUCTION ","")&amp;IF(COUNTIFS(tbl_Finance[Job Number],C38&amp;"",tbl_Finance[Cost Centre],"VIDEO")&gt;0,"VIDEO ","")&amp;IF(COUNTIFS(tbl_Finance[Job Number],C38&amp;"",tbl_Finance[Cost Centre],"INTEGRATION")&gt;0,"INTEGRATION ","")&amp;IF(COUNTIFS(tbl_Finance[Job Number],C38&amp;"",tbl_Finance[Cost Centre],"CONSULTING")&gt;0,"CONSULTING ","")&amp;IF(COUNTIFS(tbl_Finance[Job Number],C38&amp;"",tbl_Finance[Cost Centre],"CTS")&gt;0,"CTS ",""))," ",", ")))</f>
        <v/>
      </c>
      <c r="L38" s="27">
        <f>IF(C38="","",SUMIFS(tbl_Finance[Inc GST],tbl_Finance[Job Number],C38&amp;""))</f>
        <v/>
      </c>
      <c r="M38" s="24" t="n"/>
      <c r="N38" s="25">
        <f>IF(C38="","",IFERROR(INDEX(tbl_Finance[Description],MATCH(C38&amp;"",tbl_Finance[Job Number],0)),""))</f>
        <v/>
      </c>
      <c r="O38" s="24" t="n"/>
      <c r="P38" s="24" t="n"/>
      <c r="Q38" s="22" t="n"/>
      <c r="R38" s="24" t="n"/>
      <c r="S38" s="25">
        <f>IF(R38="","",IF(AND(LEFT(R38,4)&lt;&gt;"http",set_RMSBase=""),"",HYPERLINK(IF(LEFT(R38,4)="http",R38,set_RMSBase&amp;R38),"Open opportunity")))</f>
        <v/>
      </c>
      <c r="T38" s="24" t="n"/>
      <c r="U38" s="25">
        <f>IF(T38="","",HYPERLINK(IF(LEFT(T38,4)="http",T38,set_QwilrBase&amp;T38),"Open quote"))</f>
        <v/>
      </c>
      <c r="V38" s="25">
        <f>IF(C38="","",C38)</f>
        <v/>
      </c>
      <c r="W38" s="24" t="n"/>
      <c r="X38" s="26" t="n"/>
      <c r="Y38" s="27">
        <f>IF(C38="","",H38+N(X38))</f>
        <v/>
      </c>
      <c r="Z38" s="29">
        <f>IFERROR(X38/Y38,"")</f>
        <v/>
      </c>
      <c r="AA38" s="26" t="n"/>
      <c r="AB38" s="26" t="n"/>
      <c r="AC38" s="26" t="n"/>
      <c r="AD38" s="26" t="n"/>
      <c r="AE38" s="27">
        <f>IF(C38="","",SUMIFS(tbl_Finance[Ex GST],tbl_Finance[Job Number],C38&amp;"",tbl_Finance[Cost Centre],"VIDEO"))</f>
        <v/>
      </c>
      <c r="AF38" s="29">
        <f>IFERROR(AE38/H38,"")</f>
        <v/>
      </c>
      <c r="AG38" s="27">
        <f>IF(C38="","",N(AA38)+N(AB38)+N(AC38)+N(AD38))</f>
        <v/>
      </c>
      <c r="AH38" s="27">
        <f>IF(C38="","",H38-AG38)</f>
        <v/>
      </c>
      <c r="AI38" s="29">
        <f>IFERROR(AH38/H38,"")</f>
        <v/>
      </c>
      <c r="AJ38" s="69" t="n"/>
      <c r="AK38" s="69" t="n"/>
      <c r="AL38" s="69" t="n"/>
      <c r="AM38" s="69" t="n"/>
      <c r="AN38" s="69" t="n"/>
      <c r="AO38" s="24" t="n"/>
    </row>
    <row r="39" ht="15" customHeight="1">
      <c r="A39" s="68">
        <f>IF(C39="","",IFERROR(IF(SUMPRODUCT(MAX((tbl_Finance[Job Number]=C39&amp;"")*(tbl_Finance[Xero Invoice No]&lt;&gt;"")*tbl_Finance[Date]))=0,"",SUMPRODUCT(MAX((tbl_Finance[Job Number]=C39&amp;"")*(tbl_Finance[Xero Invoice No]&lt;&gt;"")*tbl_Finance[Date]))),""))</f>
        <v/>
      </c>
      <c r="B39" s="25">
        <f>IF(C39="","",IF(COUNTIFS(tbl_Finance[Job Number],C39&amp;"",tbl_Finance[Xero Invoice No],"&lt;&gt;")=0,"",IFERROR(IF(COUNTIFS(tbl_Finance[Job Number],C39&amp;"",tbl_Finance[Xero Invoice No],LOOKUP(2,1/((tbl_Finance[Job Number]=C39&amp;"")*(tbl_Finance[Xero Invoice No]&lt;&gt;"")),tbl_Finance[Xero Invoice No]))=COUNTIFS(tbl_Finance[Job Number],C39&amp;"",tbl_Finance[Xero Invoice No],"&lt;&gt;"),LOOKUP(2,1/((tbl_Finance[Job Number]=C39&amp;"")*(tbl_Finance[Xero Invoice No]&lt;&gt;"")),tbl_Finance[Xero Invoice No]),LOOKUP(2,1/((tbl_Finance[Job Number]=C39&amp;"")*(tbl_Finance[Xero Invoice No]&lt;&gt;"")),tbl_Finance[Xero Invoice No])&amp;" +more"),"")))</f>
        <v/>
      </c>
      <c r="C39" s="24" t="n"/>
      <c r="D39" s="25">
        <f>IF(C39="","",IF(COUNTIF(lst_Jobs,C39&amp;"")&gt;0,"OK","CHECK"))</f>
        <v/>
      </c>
      <c r="E39" s="25">
        <f>IF(C39="","",IFERROR(INDEX(lst_JobName,MATCH(C39&amp;"",lst_Jobs,0)),""))</f>
        <v/>
      </c>
      <c r="F39" s="25">
        <f>IF(C39="","",IFERROR(INDEX(tbl_Finance[Client],MATCH(C39&amp;"",tbl_Finance[Job Number],0)),""))</f>
        <v/>
      </c>
      <c r="G39" s="28">
        <f>IF(C39="","",COUNTIFS(tbl_Finance[Job Number],C39&amp;"",tbl_Finance[Ex GST],"&lt;&gt;"))</f>
        <v/>
      </c>
      <c r="H39" s="27">
        <f>IF(C39="","",SUMIFS(tbl_Finance[Ex GST],tbl_Finance[Job Number],C39&amp;""))</f>
        <v/>
      </c>
      <c r="I39" s="27">
        <f>IF(C39="","",SUMIFS(tbl_Finance[Ex GST],tbl_Finance[Job Number],C39&amp;"",tbl_Finance[Xero Invoice No],"&lt;&gt;"))</f>
        <v/>
      </c>
      <c r="J39" s="27">
        <f>IF(C39="","",H39-I39)</f>
        <v/>
      </c>
      <c r="K39" s="25">
        <f>IF(C39="","",IF(G39=0,"not invoiced yet",SUBSTITUTE(TRIM(IF(COUNTIFS(tbl_Finance[Job Number],C39&amp;"",tbl_Finance[Cost Centre],"ONSITE")&gt;0,"ONSITE ","")&amp;IF(COUNTIFS(tbl_Finance[Job Number],C39&amp;"",tbl_Finance[Cost Centre],"PRODUCTION")&gt;0,"PRODUCTION ","")&amp;IF(COUNTIFS(tbl_Finance[Job Number],C39&amp;"",tbl_Finance[Cost Centre],"VIDEO")&gt;0,"VIDEO ","")&amp;IF(COUNTIFS(tbl_Finance[Job Number],C39&amp;"",tbl_Finance[Cost Centre],"INTEGRATION")&gt;0,"INTEGRATION ","")&amp;IF(COUNTIFS(tbl_Finance[Job Number],C39&amp;"",tbl_Finance[Cost Centre],"CONSULTING")&gt;0,"CONSULTING ","")&amp;IF(COUNTIFS(tbl_Finance[Job Number],C39&amp;"",tbl_Finance[Cost Centre],"CTS")&gt;0,"CTS ",""))," ",", ")))</f>
        <v/>
      </c>
      <c r="L39" s="27">
        <f>IF(C39="","",SUMIFS(tbl_Finance[Inc GST],tbl_Finance[Job Number],C39&amp;""))</f>
        <v/>
      </c>
      <c r="M39" s="24" t="n"/>
      <c r="N39" s="25">
        <f>IF(C39="","",IFERROR(INDEX(tbl_Finance[Description],MATCH(C39&amp;"",tbl_Finance[Job Number],0)),""))</f>
        <v/>
      </c>
      <c r="O39" s="24" t="n"/>
      <c r="P39" s="24" t="n"/>
      <c r="Q39" s="22" t="n"/>
      <c r="R39" s="24" t="n"/>
      <c r="S39" s="25">
        <f>IF(R39="","",IF(AND(LEFT(R39,4)&lt;&gt;"http",set_RMSBase=""),"",HYPERLINK(IF(LEFT(R39,4)="http",R39,set_RMSBase&amp;R39),"Open opportunity")))</f>
        <v/>
      </c>
      <c r="T39" s="24" t="n"/>
      <c r="U39" s="25">
        <f>IF(T39="","",HYPERLINK(IF(LEFT(T39,4)="http",T39,set_QwilrBase&amp;T39),"Open quote"))</f>
        <v/>
      </c>
      <c r="V39" s="25">
        <f>IF(C39="","",C39)</f>
        <v/>
      </c>
      <c r="W39" s="24" t="n"/>
      <c r="X39" s="26" t="n"/>
      <c r="Y39" s="27">
        <f>IF(C39="","",H39+N(X39))</f>
        <v/>
      </c>
      <c r="Z39" s="29">
        <f>IFERROR(X39/Y39,"")</f>
        <v/>
      </c>
      <c r="AA39" s="26" t="n"/>
      <c r="AB39" s="26" t="n"/>
      <c r="AC39" s="26" t="n"/>
      <c r="AD39" s="26" t="n"/>
      <c r="AE39" s="27">
        <f>IF(C39="","",SUMIFS(tbl_Finance[Ex GST],tbl_Finance[Job Number],C39&amp;"",tbl_Finance[Cost Centre],"VIDEO"))</f>
        <v/>
      </c>
      <c r="AF39" s="29">
        <f>IFERROR(AE39/H39,"")</f>
        <v/>
      </c>
      <c r="AG39" s="27">
        <f>IF(C39="","",N(AA39)+N(AB39)+N(AC39)+N(AD39))</f>
        <v/>
      </c>
      <c r="AH39" s="27">
        <f>IF(C39="","",H39-AG39)</f>
        <v/>
      </c>
      <c r="AI39" s="29">
        <f>IFERROR(AH39/H39,"")</f>
        <v/>
      </c>
      <c r="AJ39" s="69" t="n"/>
      <c r="AK39" s="69" t="n"/>
      <c r="AL39" s="69" t="n"/>
      <c r="AM39" s="69" t="n"/>
      <c r="AN39" s="69" t="n"/>
      <c r="AO39" s="24" t="n"/>
    </row>
    <row r="40" ht="15" customHeight="1">
      <c r="A40" s="68">
        <f>IF(C40="","",IFERROR(IF(SUMPRODUCT(MAX((tbl_Finance[Job Number]=C40&amp;"")*(tbl_Finance[Xero Invoice No]&lt;&gt;"")*tbl_Finance[Date]))=0,"",SUMPRODUCT(MAX((tbl_Finance[Job Number]=C40&amp;"")*(tbl_Finance[Xero Invoice No]&lt;&gt;"")*tbl_Finance[Date]))),""))</f>
        <v/>
      </c>
      <c r="B40" s="25">
        <f>IF(C40="","",IF(COUNTIFS(tbl_Finance[Job Number],C40&amp;"",tbl_Finance[Xero Invoice No],"&lt;&gt;")=0,"",IFERROR(IF(COUNTIFS(tbl_Finance[Job Number],C40&amp;"",tbl_Finance[Xero Invoice No],LOOKUP(2,1/((tbl_Finance[Job Number]=C40&amp;"")*(tbl_Finance[Xero Invoice No]&lt;&gt;"")),tbl_Finance[Xero Invoice No]))=COUNTIFS(tbl_Finance[Job Number],C40&amp;"",tbl_Finance[Xero Invoice No],"&lt;&gt;"),LOOKUP(2,1/((tbl_Finance[Job Number]=C40&amp;"")*(tbl_Finance[Xero Invoice No]&lt;&gt;"")),tbl_Finance[Xero Invoice No]),LOOKUP(2,1/((tbl_Finance[Job Number]=C40&amp;"")*(tbl_Finance[Xero Invoice No]&lt;&gt;"")),tbl_Finance[Xero Invoice No])&amp;" +more"),"")))</f>
        <v/>
      </c>
      <c r="C40" s="24" t="n"/>
      <c r="D40" s="25">
        <f>IF(C40="","",IF(COUNTIF(lst_Jobs,C40&amp;"")&gt;0,"OK","CHECK"))</f>
        <v/>
      </c>
      <c r="E40" s="25">
        <f>IF(C40="","",IFERROR(INDEX(lst_JobName,MATCH(C40&amp;"",lst_Jobs,0)),""))</f>
        <v/>
      </c>
      <c r="F40" s="25">
        <f>IF(C40="","",IFERROR(INDEX(tbl_Finance[Client],MATCH(C40&amp;"",tbl_Finance[Job Number],0)),""))</f>
        <v/>
      </c>
      <c r="G40" s="28">
        <f>IF(C40="","",COUNTIFS(tbl_Finance[Job Number],C40&amp;"",tbl_Finance[Ex GST],"&lt;&gt;"))</f>
        <v/>
      </c>
      <c r="H40" s="27">
        <f>IF(C40="","",SUMIFS(tbl_Finance[Ex GST],tbl_Finance[Job Number],C40&amp;""))</f>
        <v/>
      </c>
      <c r="I40" s="27">
        <f>IF(C40="","",SUMIFS(tbl_Finance[Ex GST],tbl_Finance[Job Number],C40&amp;"",tbl_Finance[Xero Invoice No],"&lt;&gt;"))</f>
        <v/>
      </c>
      <c r="J40" s="27">
        <f>IF(C40="","",H40-I40)</f>
        <v/>
      </c>
      <c r="K40" s="25">
        <f>IF(C40="","",IF(G40=0,"not invoiced yet",SUBSTITUTE(TRIM(IF(COUNTIFS(tbl_Finance[Job Number],C40&amp;"",tbl_Finance[Cost Centre],"ONSITE")&gt;0,"ONSITE ","")&amp;IF(COUNTIFS(tbl_Finance[Job Number],C40&amp;"",tbl_Finance[Cost Centre],"PRODUCTION")&gt;0,"PRODUCTION ","")&amp;IF(COUNTIFS(tbl_Finance[Job Number],C40&amp;"",tbl_Finance[Cost Centre],"VIDEO")&gt;0,"VIDEO ","")&amp;IF(COUNTIFS(tbl_Finance[Job Number],C40&amp;"",tbl_Finance[Cost Centre],"INTEGRATION")&gt;0,"INTEGRATION ","")&amp;IF(COUNTIFS(tbl_Finance[Job Number],C40&amp;"",tbl_Finance[Cost Centre],"CONSULTING")&gt;0,"CONSULTING ","")&amp;IF(COUNTIFS(tbl_Finance[Job Number],C40&amp;"",tbl_Finance[Cost Centre],"CTS")&gt;0,"CTS ",""))," ",", ")))</f>
        <v/>
      </c>
      <c r="L40" s="27">
        <f>IF(C40="","",SUMIFS(tbl_Finance[Inc GST],tbl_Finance[Job Number],C40&amp;""))</f>
        <v/>
      </c>
      <c r="M40" s="24" t="n"/>
      <c r="N40" s="25">
        <f>IF(C40="","",IFERROR(INDEX(tbl_Finance[Description],MATCH(C40&amp;"",tbl_Finance[Job Number],0)),""))</f>
        <v/>
      </c>
      <c r="O40" s="24" t="n"/>
      <c r="P40" s="24" t="n"/>
      <c r="Q40" s="22" t="n"/>
      <c r="R40" s="24" t="n"/>
      <c r="S40" s="25">
        <f>IF(R40="","",IF(AND(LEFT(R40,4)&lt;&gt;"http",set_RMSBase=""),"",HYPERLINK(IF(LEFT(R40,4)="http",R40,set_RMSBase&amp;R40),"Open opportunity")))</f>
        <v/>
      </c>
      <c r="T40" s="24" t="n"/>
      <c r="U40" s="25">
        <f>IF(T40="","",HYPERLINK(IF(LEFT(T40,4)="http",T40,set_QwilrBase&amp;T40),"Open quote"))</f>
        <v/>
      </c>
      <c r="V40" s="25">
        <f>IF(C40="","",C40)</f>
        <v/>
      </c>
      <c r="W40" s="24" t="n"/>
      <c r="X40" s="26" t="n"/>
      <c r="Y40" s="27">
        <f>IF(C40="","",H40+N(X40))</f>
        <v/>
      </c>
      <c r="Z40" s="29">
        <f>IFERROR(X40/Y40,"")</f>
        <v/>
      </c>
      <c r="AA40" s="26" t="n"/>
      <c r="AB40" s="26" t="n"/>
      <c r="AC40" s="26" t="n"/>
      <c r="AD40" s="26" t="n"/>
      <c r="AE40" s="27">
        <f>IF(C40="","",SUMIFS(tbl_Finance[Ex GST],tbl_Finance[Job Number],C40&amp;"",tbl_Finance[Cost Centre],"VIDEO"))</f>
        <v/>
      </c>
      <c r="AF40" s="29">
        <f>IFERROR(AE40/H40,"")</f>
        <v/>
      </c>
      <c r="AG40" s="27">
        <f>IF(C40="","",N(AA40)+N(AB40)+N(AC40)+N(AD40))</f>
        <v/>
      </c>
      <c r="AH40" s="27">
        <f>IF(C40="","",H40-AG40)</f>
        <v/>
      </c>
      <c r="AI40" s="29">
        <f>IFERROR(AH40/H40,"")</f>
        <v/>
      </c>
      <c r="AJ40" s="69" t="n"/>
      <c r="AK40" s="69" t="n"/>
      <c r="AL40" s="69" t="n"/>
      <c r="AM40" s="69" t="n"/>
      <c r="AN40" s="69" t="n"/>
      <c r="AO40" s="24" t="n"/>
    </row>
    <row r="41" ht="15" customHeight="1">
      <c r="A41" s="68">
        <f>IF(C41="","",IFERROR(IF(SUMPRODUCT(MAX((tbl_Finance[Job Number]=C41&amp;"")*(tbl_Finance[Xero Invoice No]&lt;&gt;"")*tbl_Finance[Date]))=0,"",SUMPRODUCT(MAX((tbl_Finance[Job Number]=C41&amp;"")*(tbl_Finance[Xero Invoice No]&lt;&gt;"")*tbl_Finance[Date]))),""))</f>
        <v/>
      </c>
      <c r="B41" s="25">
        <f>IF(C41="","",IF(COUNTIFS(tbl_Finance[Job Number],C41&amp;"",tbl_Finance[Xero Invoice No],"&lt;&gt;")=0,"",IFERROR(IF(COUNTIFS(tbl_Finance[Job Number],C41&amp;"",tbl_Finance[Xero Invoice No],LOOKUP(2,1/((tbl_Finance[Job Number]=C41&amp;"")*(tbl_Finance[Xero Invoice No]&lt;&gt;"")),tbl_Finance[Xero Invoice No]))=COUNTIFS(tbl_Finance[Job Number],C41&amp;"",tbl_Finance[Xero Invoice No],"&lt;&gt;"),LOOKUP(2,1/((tbl_Finance[Job Number]=C41&amp;"")*(tbl_Finance[Xero Invoice No]&lt;&gt;"")),tbl_Finance[Xero Invoice No]),LOOKUP(2,1/((tbl_Finance[Job Number]=C41&amp;"")*(tbl_Finance[Xero Invoice No]&lt;&gt;"")),tbl_Finance[Xero Invoice No])&amp;" +more"),"")))</f>
        <v/>
      </c>
      <c r="C41" s="24" t="n"/>
      <c r="D41" s="25">
        <f>IF(C41="","",IF(COUNTIF(lst_Jobs,C41&amp;"")&gt;0,"OK","CHECK"))</f>
        <v/>
      </c>
      <c r="E41" s="25">
        <f>IF(C41="","",IFERROR(INDEX(lst_JobName,MATCH(C41&amp;"",lst_Jobs,0)),""))</f>
        <v/>
      </c>
      <c r="F41" s="25">
        <f>IF(C41="","",IFERROR(INDEX(tbl_Finance[Client],MATCH(C41&amp;"",tbl_Finance[Job Number],0)),""))</f>
        <v/>
      </c>
      <c r="G41" s="28">
        <f>IF(C41="","",COUNTIFS(tbl_Finance[Job Number],C41&amp;"",tbl_Finance[Ex GST],"&lt;&gt;"))</f>
        <v/>
      </c>
      <c r="H41" s="27">
        <f>IF(C41="","",SUMIFS(tbl_Finance[Ex GST],tbl_Finance[Job Number],C41&amp;""))</f>
        <v/>
      </c>
      <c r="I41" s="27">
        <f>IF(C41="","",SUMIFS(tbl_Finance[Ex GST],tbl_Finance[Job Number],C41&amp;"",tbl_Finance[Xero Invoice No],"&lt;&gt;"))</f>
        <v/>
      </c>
      <c r="J41" s="27">
        <f>IF(C41="","",H41-I41)</f>
        <v/>
      </c>
      <c r="K41" s="25">
        <f>IF(C41="","",IF(G41=0,"not invoiced yet",SUBSTITUTE(TRIM(IF(COUNTIFS(tbl_Finance[Job Number],C41&amp;"",tbl_Finance[Cost Centre],"ONSITE")&gt;0,"ONSITE ","")&amp;IF(COUNTIFS(tbl_Finance[Job Number],C41&amp;"",tbl_Finance[Cost Centre],"PRODUCTION")&gt;0,"PRODUCTION ","")&amp;IF(COUNTIFS(tbl_Finance[Job Number],C41&amp;"",tbl_Finance[Cost Centre],"VIDEO")&gt;0,"VIDEO ","")&amp;IF(COUNTIFS(tbl_Finance[Job Number],C41&amp;"",tbl_Finance[Cost Centre],"INTEGRATION")&gt;0,"INTEGRATION ","")&amp;IF(COUNTIFS(tbl_Finance[Job Number],C41&amp;"",tbl_Finance[Cost Centre],"CONSULTING")&gt;0,"CONSULTING ","")&amp;IF(COUNTIFS(tbl_Finance[Job Number],C41&amp;"",tbl_Finance[Cost Centre],"CTS")&gt;0,"CTS ",""))," ",", ")))</f>
        <v/>
      </c>
      <c r="L41" s="27">
        <f>IF(C41="","",SUMIFS(tbl_Finance[Inc GST],tbl_Finance[Job Number],C41&amp;""))</f>
        <v/>
      </c>
      <c r="M41" s="24" t="n"/>
      <c r="N41" s="25">
        <f>IF(C41="","",IFERROR(INDEX(tbl_Finance[Description],MATCH(C41&amp;"",tbl_Finance[Job Number],0)),""))</f>
        <v/>
      </c>
      <c r="O41" s="24" t="n"/>
      <c r="P41" s="24" t="n"/>
      <c r="Q41" s="22" t="n"/>
      <c r="R41" s="24" t="n"/>
      <c r="S41" s="25">
        <f>IF(R41="","",IF(AND(LEFT(R41,4)&lt;&gt;"http",set_RMSBase=""),"",HYPERLINK(IF(LEFT(R41,4)="http",R41,set_RMSBase&amp;R41),"Open opportunity")))</f>
        <v/>
      </c>
      <c r="T41" s="24" t="n"/>
      <c r="U41" s="25">
        <f>IF(T41="","",HYPERLINK(IF(LEFT(T41,4)="http",T41,set_QwilrBase&amp;T41),"Open quote"))</f>
        <v/>
      </c>
      <c r="V41" s="25">
        <f>IF(C41="","",C41)</f>
        <v/>
      </c>
      <c r="W41" s="24" t="n"/>
      <c r="X41" s="26" t="n"/>
      <c r="Y41" s="27">
        <f>IF(C41="","",H41+N(X41))</f>
        <v/>
      </c>
      <c r="Z41" s="29">
        <f>IFERROR(X41/Y41,"")</f>
        <v/>
      </c>
      <c r="AA41" s="26" t="n"/>
      <c r="AB41" s="26" t="n"/>
      <c r="AC41" s="26" t="n"/>
      <c r="AD41" s="26" t="n"/>
      <c r="AE41" s="27">
        <f>IF(C41="","",SUMIFS(tbl_Finance[Ex GST],tbl_Finance[Job Number],C41&amp;"",tbl_Finance[Cost Centre],"VIDEO"))</f>
        <v/>
      </c>
      <c r="AF41" s="29">
        <f>IFERROR(AE41/H41,"")</f>
        <v/>
      </c>
      <c r="AG41" s="27">
        <f>IF(C41="","",N(AA41)+N(AB41)+N(AC41)+N(AD41))</f>
        <v/>
      </c>
      <c r="AH41" s="27">
        <f>IF(C41="","",H41-AG41)</f>
        <v/>
      </c>
      <c r="AI41" s="29">
        <f>IFERROR(AH41/H41,"")</f>
        <v/>
      </c>
      <c r="AJ41" s="69" t="n"/>
      <c r="AK41" s="69" t="n"/>
      <c r="AL41" s="69" t="n"/>
      <c r="AM41" s="69" t="n"/>
      <c r="AN41" s="69" t="n"/>
      <c r="AO41" s="24" t="n"/>
    </row>
    <row r="42" ht="15" customHeight="1">
      <c r="A42" s="68">
        <f>IF(C42="","",IFERROR(IF(SUMPRODUCT(MAX((tbl_Finance[Job Number]=C42&amp;"")*(tbl_Finance[Xero Invoice No]&lt;&gt;"")*tbl_Finance[Date]))=0,"",SUMPRODUCT(MAX((tbl_Finance[Job Number]=C42&amp;"")*(tbl_Finance[Xero Invoice No]&lt;&gt;"")*tbl_Finance[Date]))),""))</f>
        <v/>
      </c>
      <c r="B42" s="25">
        <f>IF(C42="","",IF(COUNTIFS(tbl_Finance[Job Number],C42&amp;"",tbl_Finance[Xero Invoice No],"&lt;&gt;")=0,"",IFERROR(IF(COUNTIFS(tbl_Finance[Job Number],C42&amp;"",tbl_Finance[Xero Invoice No],LOOKUP(2,1/((tbl_Finance[Job Number]=C42&amp;"")*(tbl_Finance[Xero Invoice No]&lt;&gt;"")),tbl_Finance[Xero Invoice No]))=COUNTIFS(tbl_Finance[Job Number],C42&amp;"",tbl_Finance[Xero Invoice No],"&lt;&gt;"),LOOKUP(2,1/((tbl_Finance[Job Number]=C42&amp;"")*(tbl_Finance[Xero Invoice No]&lt;&gt;"")),tbl_Finance[Xero Invoice No]),LOOKUP(2,1/((tbl_Finance[Job Number]=C42&amp;"")*(tbl_Finance[Xero Invoice No]&lt;&gt;"")),tbl_Finance[Xero Invoice No])&amp;" +more"),"")))</f>
        <v/>
      </c>
      <c r="C42" s="24" t="n"/>
      <c r="D42" s="25">
        <f>IF(C42="","",IF(COUNTIF(lst_Jobs,C42&amp;"")&gt;0,"OK","CHECK"))</f>
        <v/>
      </c>
      <c r="E42" s="25">
        <f>IF(C42="","",IFERROR(INDEX(lst_JobName,MATCH(C42&amp;"",lst_Jobs,0)),""))</f>
        <v/>
      </c>
      <c r="F42" s="25">
        <f>IF(C42="","",IFERROR(INDEX(tbl_Finance[Client],MATCH(C42&amp;"",tbl_Finance[Job Number],0)),""))</f>
        <v/>
      </c>
      <c r="G42" s="28">
        <f>IF(C42="","",COUNTIFS(tbl_Finance[Job Number],C42&amp;"",tbl_Finance[Ex GST],"&lt;&gt;"))</f>
        <v/>
      </c>
      <c r="H42" s="27">
        <f>IF(C42="","",SUMIFS(tbl_Finance[Ex GST],tbl_Finance[Job Number],C42&amp;""))</f>
        <v/>
      </c>
      <c r="I42" s="27">
        <f>IF(C42="","",SUMIFS(tbl_Finance[Ex GST],tbl_Finance[Job Number],C42&amp;"",tbl_Finance[Xero Invoice No],"&lt;&gt;"))</f>
        <v/>
      </c>
      <c r="J42" s="27">
        <f>IF(C42="","",H42-I42)</f>
        <v/>
      </c>
      <c r="K42" s="25">
        <f>IF(C42="","",IF(G42=0,"not invoiced yet",SUBSTITUTE(TRIM(IF(COUNTIFS(tbl_Finance[Job Number],C42&amp;"",tbl_Finance[Cost Centre],"ONSITE")&gt;0,"ONSITE ","")&amp;IF(COUNTIFS(tbl_Finance[Job Number],C42&amp;"",tbl_Finance[Cost Centre],"PRODUCTION")&gt;0,"PRODUCTION ","")&amp;IF(COUNTIFS(tbl_Finance[Job Number],C42&amp;"",tbl_Finance[Cost Centre],"VIDEO")&gt;0,"VIDEO ","")&amp;IF(COUNTIFS(tbl_Finance[Job Number],C42&amp;"",tbl_Finance[Cost Centre],"INTEGRATION")&gt;0,"INTEGRATION ","")&amp;IF(COUNTIFS(tbl_Finance[Job Number],C42&amp;"",tbl_Finance[Cost Centre],"CONSULTING")&gt;0,"CONSULTING ","")&amp;IF(COUNTIFS(tbl_Finance[Job Number],C42&amp;"",tbl_Finance[Cost Centre],"CTS")&gt;0,"CTS ",""))," ",", ")))</f>
        <v/>
      </c>
      <c r="L42" s="27">
        <f>IF(C42="","",SUMIFS(tbl_Finance[Inc GST],tbl_Finance[Job Number],C42&amp;""))</f>
        <v/>
      </c>
      <c r="M42" s="24" t="n"/>
      <c r="N42" s="25">
        <f>IF(C42="","",IFERROR(INDEX(tbl_Finance[Description],MATCH(C42&amp;"",tbl_Finance[Job Number],0)),""))</f>
        <v/>
      </c>
      <c r="O42" s="24" t="n"/>
      <c r="P42" s="24" t="n"/>
      <c r="Q42" s="22" t="n"/>
      <c r="R42" s="24" t="n"/>
      <c r="S42" s="25">
        <f>IF(R42="","",IF(AND(LEFT(R42,4)&lt;&gt;"http",set_RMSBase=""),"",HYPERLINK(IF(LEFT(R42,4)="http",R42,set_RMSBase&amp;R42),"Open opportunity")))</f>
        <v/>
      </c>
      <c r="T42" s="24" t="n"/>
      <c r="U42" s="25">
        <f>IF(T42="","",HYPERLINK(IF(LEFT(T42,4)="http",T42,set_QwilrBase&amp;T42),"Open quote"))</f>
        <v/>
      </c>
      <c r="V42" s="25">
        <f>IF(C42="","",C42)</f>
        <v/>
      </c>
      <c r="W42" s="24" t="n"/>
      <c r="X42" s="26" t="n"/>
      <c r="Y42" s="27">
        <f>IF(C42="","",H42+N(X42))</f>
        <v/>
      </c>
      <c r="Z42" s="29">
        <f>IFERROR(X42/Y42,"")</f>
        <v/>
      </c>
      <c r="AA42" s="26" t="n"/>
      <c r="AB42" s="26" t="n"/>
      <c r="AC42" s="26" t="n"/>
      <c r="AD42" s="26" t="n"/>
      <c r="AE42" s="27">
        <f>IF(C42="","",SUMIFS(tbl_Finance[Ex GST],tbl_Finance[Job Number],C42&amp;"",tbl_Finance[Cost Centre],"VIDEO"))</f>
        <v/>
      </c>
      <c r="AF42" s="29">
        <f>IFERROR(AE42/H42,"")</f>
        <v/>
      </c>
      <c r="AG42" s="27">
        <f>IF(C42="","",N(AA42)+N(AB42)+N(AC42)+N(AD42))</f>
        <v/>
      </c>
      <c r="AH42" s="27">
        <f>IF(C42="","",H42-AG42)</f>
        <v/>
      </c>
      <c r="AI42" s="29">
        <f>IFERROR(AH42/H42,"")</f>
        <v/>
      </c>
      <c r="AJ42" s="69" t="n"/>
      <c r="AK42" s="69" t="n"/>
      <c r="AL42" s="69" t="n"/>
      <c r="AM42" s="69" t="n"/>
      <c r="AN42" s="69" t="n"/>
      <c r="AO42" s="24" t="n"/>
    </row>
    <row r="43" ht="15" customHeight="1">
      <c r="A43" s="68">
        <f>IF(C43="","",IFERROR(IF(SUMPRODUCT(MAX((tbl_Finance[Job Number]=C43&amp;"")*(tbl_Finance[Xero Invoice No]&lt;&gt;"")*tbl_Finance[Date]))=0,"",SUMPRODUCT(MAX((tbl_Finance[Job Number]=C43&amp;"")*(tbl_Finance[Xero Invoice No]&lt;&gt;"")*tbl_Finance[Date]))),""))</f>
        <v/>
      </c>
      <c r="B43" s="25">
        <f>IF(C43="","",IF(COUNTIFS(tbl_Finance[Job Number],C43&amp;"",tbl_Finance[Xero Invoice No],"&lt;&gt;")=0,"",IFERROR(IF(COUNTIFS(tbl_Finance[Job Number],C43&amp;"",tbl_Finance[Xero Invoice No],LOOKUP(2,1/((tbl_Finance[Job Number]=C43&amp;"")*(tbl_Finance[Xero Invoice No]&lt;&gt;"")),tbl_Finance[Xero Invoice No]))=COUNTIFS(tbl_Finance[Job Number],C43&amp;"",tbl_Finance[Xero Invoice No],"&lt;&gt;"),LOOKUP(2,1/((tbl_Finance[Job Number]=C43&amp;"")*(tbl_Finance[Xero Invoice No]&lt;&gt;"")),tbl_Finance[Xero Invoice No]),LOOKUP(2,1/((tbl_Finance[Job Number]=C43&amp;"")*(tbl_Finance[Xero Invoice No]&lt;&gt;"")),tbl_Finance[Xero Invoice No])&amp;" +more"),"")))</f>
        <v/>
      </c>
      <c r="C43" s="24" t="n"/>
      <c r="D43" s="25">
        <f>IF(C43="","",IF(COUNTIF(lst_Jobs,C43&amp;"")&gt;0,"OK","CHECK"))</f>
        <v/>
      </c>
      <c r="E43" s="25">
        <f>IF(C43="","",IFERROR(INDEX(lst_JobName,MATCH(C43&amp;"",lst_Jobs,0)),""))</f>
        <v/>
      </c>
      <c r="F43" s="25">
        <f>IF(C43="","",IFERROR(INDEX(tbl_Finance[Client],MATCH(C43&amp;"",tbl_Finance[Job Number],0)),""))</f>
        <v/>
      </c>
      <c r="G43" s="28">
        <f>IF(C43="","",COUNTIFS(tbl_Finance[Job Number],C43&amp;"",tbl_Finance[Ex GST],"&lt;&gt;"))</f>
        <v/>
      </c>
      <c r="H43" s="27">
        <f>IF(C43="","",SUMIFS(tbl_Finance[Ex GST],tbl_Finance[Job Number],C43&amp;""))</f>
        <v/>
      </c>
      <c r="I43" s="27">
        <f>IF(C43="","",SUMIFS(tbl_Finance[Ex GST],tbl_Finance[Job Number],C43&amp;"",tbl_Finance[Xero Invoice No],"&lt;&gt;"))</f>
        <v/>
      </c>
      <c r="J43" s="27">
        <f>IF(C43="","",H43-I43)</f>
        <v/>
      </c>
      <c r="K43" s="25">
        <f>IF(C43="","",IF(G43=0,"not invoiced yet",SUBSTITUTE(TRIM(IF(COUNTIFS(tbl_Finance[Job Number],C43&amp;"",tbl_Finance[Cost Centre],"ONSITE")&gt;0,"ONSITE ","")&amp;IF(COUNTIFS(tbl_Finance[Job Number],C43&amp;"",tbl_Finance[Cost Centre],"PRODUCTION")&gt;0,"PRODUCTION ","")&amp;IF(COUNTIFS(tbl_Finance[Job Number],C43&amp;"",tbl_Finance[Cost Centre],"VIDEO")&gt;0,"VIDEO ","")&amp;IF(COUNTIFS(tbl_Finance[Job Number],C43&amp;"",tbl_Finance[Cost Centre],"INTEGRATION")&gt;0,"INTEGRATION ","")&amp;IF(COUNTIFS(tbl_Finance[Job Number],C43&amp;"",tbl_Finance[Cost Centre],"CONSULTING")&gt;0,"CONSULTING ","")&amp;IF(COUNTIFS(tbl_Finance[Job Number],C43&amp;"",tbl_Finance[Cost Centre],"CTS")&gt;0,"CTS ",""))," ",", ")))</f>
        <v/>
      </c>
      <c r="L43" s="27">
        <f>IF(C43="","",SUMIFS(tbl_Finance[Inc GST],tbl_Finance[Job Number],C43&amp;""))</f>
        <v/>
      </c>
      <c r="M43" s="24" t="n"/>
      <c r="N43" s="25">
        <f>IF(C43="","",IFERROR(INDEX(tbl_Finance[Description],MATCH(C43&amp;"",tbl_Finance[Job Number],0)),""))</f>
        <v/>
      </c>
      <c r="O43" s="24" t="n"/>
      <c r="P43" s="24" t="n"/>
      <c r="Q43" s="22" t="n"/>
      <c r="R43" s="24" t="n"/>
      <c r="S43" s="25">
        <f>IF(R43="","",IF(AND(LEFT(R43,4)&lt;&gt;"http",set_RMSBase=""),"",HYPERLINK(IF(LEFT(R43,4)="http",R43,set_RMSBase&amp;R43),"Open opportunity")))</f>
        <v/>
      </c>
      <c r="T43" s="24" t="n"/>
      <c r="U43" s="25">
        <f>IF(T43="","",HYPERLINK(IF(LEFT(T43,4)="http",T43,set_QwilrBase&amp;T43),"Open quote"))</f>
        <v/>
      </c>
      <c r="V43" s="25">
        <f>IF(C43="","",C43)</f>
        <v/>
      </c>
      <c r="W43" s="24" t="n"/>
      <c r="X43" s="26" t="n"/>
      <c r="Y43" s="27">
        <f>IF(C43="","",H43+N(X43))</f>
        <v/>
      </c>
      <c r="Z43" s="29">
        <f>IFERROR(X43/Y43,"")</f>
        <v/>
      </c>
      <c r="AA43" s="26" t="n"/>
      <c r="AB43" s="26" t="n"/>
      <c r="AC43" s="26" t="n"/>
      <c r="AD43" s="26" t="n"/>
      <c r="AE43" s="27">
        <f>IF(C43="","",SUMIFS(tbl_Finance[Ex GST],tbl_Finance[Job Number],C43&amp;"",tbl_Finance[Cost Centre],"VIDEO"))</f>
        <v/>
      </c>
      <c r="AF43" s="29">
        <f>IFERROR(AE43/H43,"")</f>
        <v/>
      </c>
      <c r="AG43" s="27">
        <f>IF(C43="","",N(AA43)+N(AB43)+N(AC43)+N(AD43))</f>
        <v/>
      </c>
      <c r="AH43" s="27">
        <f>IF(C43="","",H43-AG43)</f>
        <v/>
      </c>
      <c r="AI43" s="29">
        <f>IFERROR(AH43/H43,"")</f>
        <v/>
      </c>
      <c r="AJ43" s="69" t="n"/>
      <c r="AK43" s="69" t="n"/>
      <c r="AL43" s="69" t="n"/>
      <c r="AM43" s="69" t="n"/>
      <c r="AN43" s="69" t="n"/>
      <c r="AO43" s="24" t="n"/>
    </row>
    <row r="44" ht="15" customHeight="1">
      <c r="A44" s="68">
        <f>IF(C44="","",IFERROR(IF(SUMPRODUCT(MAX((tbl_Finance[Job Number]=C44&amp;"")*(tbl_Finance[Xero Invoice No]&lt;&gt;"")*tbl_Finance[Date]))=0,"",SUMPRODUCT(MAX((tbl_Finance[Job Number]=C44&amp;"")*(tbl_Finance[Xero Invoice No]&lt;&gt;"")*tbl_Finance[Date]))),""))</f>
        <v/>
      </c>
      <c r="B44" s="25">
        <f>IF(C44="","",IF(COUNTIFS(tbl_Finance[Job Number],C44&amp;"",tbl_Finance[Xero Invoice No],"&lt;&gt;")=0,"",IFERROR(IF(COUNTIFS(tbl_Finance[Job Number],C44&amp;"",tbl_Finance[Xero Invoice No],LOOKUP(2,1/((tbl_Finance[Job Number]=C44&amp;"")*(tbl_Finance[Xero Invoice No]&lt;&gt;"")),tbl_Finance[Xero Invoice No]))=COUNTIFS(tbl_Finance[Job Number],C44&amp;"",tbl_Finance[Xero Invoice No],"&lt;&gt;"),LOOKUP(2,1/((tbl_Finance[Job Number]=C44&amp;"")*(tbl_Finance[Xero Invoice No]&lt;&gt;"")),tbl_Finance[Xero Invoice No]),LOOKUP(2,1/((tbl_Finance[Job Number]=C44&amp;"")*(tbl_Finance[Xero Invoice No]&lt;&gt;"")),tbl_Finance[Xero Invoice No])&amp;" +more"),"")))</f>
        <v/>
      </c>
      <c r="C44" s="24" t="n"/>
      <c r="D44" s="25">
        <f>IF(C44="","",IF(COUNTIF(lst_Jobs,C44&amp;"")&gt;0,"OK","CHECK"))</f>
        <v/>
      </c>
      <c r="E44" s="25">
        <f>IF(C44="","",IFERROR(INDEX(lst_JobName,MATCH(C44&amp;"",lst_Jobs,0)),""))</f>
        <v/>
      </c>
      <c r="F44" s="25">
        <f>IF(C44="","",IFERROR(INDEX(tbl_Finance[Client],MATCH(C44&amp;"",tbl_Finance[Job Number],0)),""))</f>
        <v/>
      </c>
      <c r="G44" s="28">
        <f>IF(C44="","",COUNTIFS(tbl_Finance[Job Number],C44&amp;"",tbl_Finance[Ex GST],"&lt;&gt;"))</f>
        <v/>
      </c>
      <c r="H44" s="27">
        <f>IF(C44="","",SUMIFS(tbl_Finance[Ex GST],tbl_Finance[Job Number],C44&amp;""))</f>
        <v/>
      </c>
      <c r="I44" s="27">
        <f>IF(C44="","",SUMIFS(tbl_Finance[Ex GST],tbl_Finance[Job Number],C44&amp;"",tbl_Finance[Xero Invoice No],"&lt;&gt;"))</f>
        <v/>
      </c>
      <c r="J44" s="27">
        <f>IF(C44="","",H44-I44)</f>
        <v/>
      </c>
      <c r="K44" s="25">
        <f>IF(C44="","",IF(G44=0,"not invoiced yet",SUBSTITUTE(TRIM(IF(COUNTIFS(tbl_Finance[Job Number],C44&amp;"",tbl_Finance[Cost Centre],"ONSITE")&gt;0,"ONSITE ","")&amp;IF(COUNTIFS(tbl_Finance[Job Number],C44&amp;"",tbl_Finance[Cost Centre],"PRODUCTION")&gt;0,"PRODUCTION ","")&amp;IF(COUNTIFS(tbl_Finance[Job Number],C44&amp;"",tbl_Finance[Cost Centre],"VIDEO")&gt;0,"VIDEO ","")&amp;IF(COUNTIFS(tbl_Finance[Job Number],C44&amp;"",tbl_Finance[Cost Centre],"INTEGRATION")&gt;0,"INTEGRATION ","")&amp;IF(COUNTIFS(tbl_Finance[Job Number],C44&amp;"",tbl_Finance[Cost Centre],"CONSULTING")&gt;0,"CONSULTING ","")&amp;IF(COUNTIFS(tbl_Finance[Job Number],C44&amp;"",tbl_Finance[Cost Centre],"CTS")&gt;0,"CTS ",""))," ",", ")))</f>
        <v/>
      </c>
      <c r="L44" s="27">
        <f>IF(C44="","",SUMIFS(tbl_Finance[Inc GST],tbl_Finance[Job Number],C44&amp;""))</f>
        <v/>
      </c>
      <c r="M44" s="24" t="n"/>
      <c r="N44" s="25">
        <f>IF(C44="","",IFERROR(INDEX(tbl_Finance[Description],MATCH(C44&amp;"",tbl_Finance[Job Number],0)),""))</f>
        <v/>
      </c>
      <c r="O44" s="24" t="n"/>
      <c r="P44" s="24" t="n"/>
      <c r="Q44" s="22" t="n"/>
      <c r="R44" s="24" t="n"/>
      <c r="S44" s="25">
        <f>IF(R44="","",IF(AND(LEFT(R44,4)&lt;&gt;"http",set_RMSBase=""),"",HYPERLINK(IF(LEFT(R44,4)="http",R44,set_RMSBase&amp;R44),"Open opportunity")))</f>
        <v/>
      </c>
      <c r="T44" s="24" t="n"/>
      <c r="U44" s="25">
        <f>IF(T44="","",HYPERLINK(IF(LEFT(T44,4)="http",T44,set_QwilrBase&amp;T44),"Open quote"))</f>
        <v/>
      </c>
      <c r="V44" s="25">
        <f>IF(C44="","",C44)</f>
        <v/>
      </c>
      <c r="W44" s="24" t="n"/>
      <c r="X44" s="26" t="n"/>
      <c r="Y44" s="27">
        <f>IF(C44="","",H44+N(X44))</f>
        <v/>
      </c>
      <c r="Z44" s="29">
        <f>IFERROR(X44/Y44,"")</f>
        <v/>
      </c>
      <c r="AA44" s="26" t="n"/>
      <c r="AB44" s="26" t="n"/>
      <c r="AC44" s="26" t="n"/>
      <c r="AD44" s="26" t="n"/>
      <c r="AE44" s="27">
        <f>IF(C44="","",SUMIFS(tbl_Finance[Ex GST],tbl_Finance[Job Number],C44&amp;"",tbl_Finance[Cost Centre],"VIDEO"))</f>
        <v/>
      </c>
      <c r="AF44" s="29">
        <f>IFERROR(AE44/H44,"")</f>
        <v/>
      </c>
      <c r="AG44" s="27">
        <f>IF(C44="","",N(AA44)+N(AB44)+N(AC44)+N(AD44))</f>
        <v/>
      </c>
      <c r="AH44" s="27">
        <f>IF(C44="","",H44-AG44)</f>
        <v/>
      </c>
      <c r="AI44" s="29">
        <f>IFERROR(AH44/H44,"")</f>
        <v/>
      </c>
      <c r="AJ44" s="69" t="n"/>
      <c r="AK44" s="69" t="n"/>
      <c r="AL44" s="69" t="n"/>
      <c r="AM44" s="69" t="n"/>
      <c r="AN44" s="69" t="n"/>
      <c r="AO44" s="24" t="n"/>
    </row>
    <row r="45" ht="15" customHeight="1">
      <c r="A45" s="68">
        <f>IF(C45="","",IFERROR(IF(SUMPRODUCT(MAX((tbl_Finance[Job Number]=C45&amp;"")*(tbl_Finance[Xero Invoice No]&lt;&gt;"")*tbl_Finance[Date]))=0,"",SUMPRODUCT(MAX((tbl_Finance[Job Number]=C45&amp;"")*(tbl_Finance[Xero Invoice No]&lt;&gt;"")*tbl_Finance[Date]))),""))</f>
        <v/>
      </c>
      <c r="B45" s="25">
        <f>IF(C45="","",IF(COUNTIFS(tbl_Finance[Job Number],C45&amp;"",tbl_Finance[Xero Invoice No],"&lt;&gt;")=0,"",IFERROR(IF(COUNTIFS(tbl_Finance[Job Number],C45&amp;"",tbl_Finance[Xero Invoice No],LOOKUP(2,1/((tbl_Finance[Job Number]=C45&amp;"")*(tbl_Finance[Xero Invoice No]&lt;&gt;"")),tbl_Finance[Xero Invoice No]))=COUNTIFS(tbl_Finance[Job Number],C45&amp;"",tbl_Finance[Xero Invoice No],"&lt;&gt;"),LOOKUP(2,1/((tbl_Finance[Job Number]=C45&amp;"")*(tbl_Finance[Xero Invoice No]&lt;&gt;"")),tbl_Finance[Xero Invoice No]),LOOKUP(2,1/((tbl_Finance[Job Number]=C45&amp;"")*(tbl_Finance[Xero Invoice No]&lt;&gt;"")),tbl_Finance[Xero Invoice No])&amp;" +more"),"")))</f>
        <v/>
      </c>
      <c r="C45" s="24" t="n"/>
      <c r="D45" s="25">
        <f>IF(C45="","",IF(COUNTIF(lst_Jobs,C45&amp;"")&gt;0,"OK","CHECK"))</f>
        <v/>
      </c>
      <c r="E45" s="25">
        <f>IF(C45="","",IFERROR(INDEX(lst_JobName,MATCH(C45&amp;"",lst_Jobs,0)),""))</f>
        <v/>
      </c>
      <c r="F45" s="25">
        <f>IF(C45="","",IFERROR(INDEX(tbl_Finance[Client],MATCH(C45&amp;"",tbl_Finance[Job Number],0)),""))</f>
        <v/>
      </c>
      <c r="G45" s="28">
        <f>IF(C45="","",COUNTIFS(tbl_Finance[Job Number],C45&amp;"",tbl_Finance[Ex GST],"&lt;&gt;"))</f>
        <v/>
      </c>
      <c r="H45" s="27">
        <f>IF(C45="","",SUMIFS(tbl_Finance[Ex GST],tbl_Finance[Job Number],C45&amp;""))</f>
        <v/>
      </c>
      <c r="I45" s="27">
        <f>IF(C45="","",SUMIFS(tbl_Finance[Ex GST],tbl_Finance[Job Number],C45&amp;"",tbl_Finance[Xero Invoice No],"&lt;&gt;"))</f>
        <v/>
      </c>
      <c r="J45" s="27">
        <f>IF(C45="","",H45-I45)</f>
        <v/>
      </c>
      <c r="K45" s="25">
        <f>IF(C45="","",IF(G45=0,"not invoiced yet",SUBSTITUTE(TRIM(IF(COUNTIFS(tbl_Finance[Job Number],C45&amp;"",tbl_Finance[Cost Centre],"ONSITE")&gt;0,"ONSITE ","")&amp;IF(COUNTIFS(tbl_Finance[Job Number],C45&amp;"",tbl_Finance[Cost Centre],"PRODUCTION")&gt;0,"PRODUCTION ","")&amp;IF(COUNTIFS(tbl_Finance[Job Number],C45&amp;"",tbl_Finance[Cost Centre],"VIDEO")&gt;0,"VIDEO ","")&amp;IF(COUNTIFS(tbl_Finance[Job Number],C45&amp;"",tbl_Finance[Cost Centre],"INTEGRATION")&gt;0,"INTEGRATION ","")&amp;IF(COUNTIFS(tbl_Finance[Job Number],C45&amp;"",tbl_Finance[Cost Centre],"CONSULTING")&gt;0,"CONSULTING ","")&amp;IF(COUNTIFS(tbl_Finance[Job Number],C45&amp;"",tbl_Finance[Cost Centre],"CTS")&gt;0,"CTS ",""))," ",", ")))</f>
        <v/>
      </c>
      <c r="L45" s="27">
        <f>IF(C45="","",SUMIFS(tbl_Finance[Inc GST],tbl_Finance[Job Number],C45&amp;""))</f>
        <v/>
      </c>
      <c r="M45" s="24" t="n"/>
      <c r="N45" s="25">
        <f>IF(C45="","",IFERROR(INDEX(tbl_Finance[Description],MATCH(C45&amp;"",tbl_Finance[Job Number],0)),""))</f>
        <v/>
      </c>
      <c r="O45" s="24" t="n"/>
      <c r="P45" s="24" t="n"/>
      <c r="Q45" s="22" t="n"/>
      <c r="R45" s="24" t="n"/>
      <c r="S45" s="25">
        <f>IF(R45="","",IF(AND(LEFT(R45,4)&lt;&gt;"http",set_RMSBase=""),"",HYPERLINK(IF(LEFT(R45,4)="http",R45,set_RMSBase&amp;R45),"Open opportunity")))</f>
        <v/>
      </c>
      <c r="T45" s="24" t="n"/>
      <c r="U45" s="25">
        <f>IF(T45="","",HYPERLINK(IF(LEFT(T45,4)="http",T45,set_QwilrBase&amp;T45),"Open quote"))</f>
        <v/>
      </c>
      <c r="V45" s="25">
        <f>IF(C45="","",C45)</f>
        <v/>
      </c>
      <c r="W45" s="24" t="n"/>
      <c r="X45" s="26" t="n"/>
      <c r="Y45" s="27">
        <f>IF(C45="","",H45+N(X45))</f>
        <v/>
      </c>
      <c r="Z45" s="29">
        <f>IFERROR(X45/Y45,"")</f>
        <v/>
      </c>
      <c r="AA45" s="26" t="n"/>
      <c r="AB45" s="26" t="n"/>
      <c r="AC45" s="26" t="n"/>
      <c r="AD45" s="26" t="n"/>
      <c r="AE45" s="27">
        <f>IF(C45="","",SUMIFS(tbl_Finance[Ex GST],tbl_Finance[Job Number],C45&amp;"",tbl_Finance[Cost Centre],"VIDEO"))</f>
        <v/>
      </c>
      <c r="AF45" s="29">
        <f>IFERROR(AE45/H45,"")</f>
        <v/>
      </c>
      <c r="AG45" s="27">
        <f>IF(C45="","",N(AA45)+N(AB45)+N(AC45)+N(AD45))</f>
        <v/>
      </c>
      <c r="AH45" s="27">
        <f>IF(C45="","",H45-AG45)</f>
        <v/>
      </c>
      <c r="AI45" s="29">
        <f>IFERROR(AH45/H45,"")</f>
        <v/>
      </c>
      <c r="AJ45" s="69" t="n"/>
      <c r="AK45" s="69" t="n"/>
      <c r="AL45" s="69" t="n"/>
      <c r="AM45" s="69" t="n"/>
      <c r="AN45" s="69" t="n"/>
      <c r="AO45" s="24" t="n"/>
    </row>
    <row r="46" ht="15" customHeight="1">
      <c r="A46" s="68">
        <f>IF(C46="","",IFERROR(IF(SUMPRODUCT(MAX((tbl_Finance[Job Number]=C46&amp;"")*(tbl_Finance[Xero Invoice No]&lt;&gt;"")*tbl_Finance[Date]))=0,"",SUMPRODUCT(MAX((tbl_Finance[Job Number]=C46&amp;"")*(tbl_Finance[Xero Invoice No]&lt;&gt;"")*tbl_Finance[Date]))),""))</f>
        <v/>
      </c>
      <c r="B46" s="25">
        <f>IF(C46="","",IF(COUNTIFS(tbl_Finance[Job Number],C46&amp;"",tbl_Finance[Xero Invoice No],"&lt;&gt;")=0,"",IFERROR(IF(COUNTIFS(tbl_Finance[Job Number],C46&amp;"",tbl_Finance[Xero Invoice No],LOOKUP(2,1/((tbl_Finance[Job Number]=C46&amp;"")*(tbl_Finance[Xero Invoice No]&lt;&gt;"")),tbl_Finance[Xero Invoice No]))=COUNTIFS(tbl_Finance[Job Number],C46&amp;"",tbl_Finance[Xero Invoice No],"&lt;&gt;"),LOOKUP(2,1/((tbl_Finance[Job Number]=C46&amp;"")*(tbl_Finance[Xero Invoice No]&lt;&gt;"")),tbl_Finance[Xero Invoice No]),LOOKUP(2,1/((tbl_Finance[Job Number]=C46&amp;"")*(tbl_Finance[Xero Invoice No]&lt;&gt;"")),tbl_Finance[Xero Invoice No])&amp;" +more"),"")))</f>
        <v/>
      </c>
      <c r="C46" s="24" t="n"/>
      <c r="D46" s="25">
        <f>IF(C46="","",IF(COUNTIF(lst_Jobs,C46&amp;"")&gt;0,"OK","CHECK"))</f>
        <v/>
      </c>
      <c r="E46" s="25">
        <f>IF(C46="","",IFERROR(INDEX(lst_JobName,MATCH(C46&amp;"",lst_Jobs,0)),""))</f>
        <v/>
      </c>
      <c r="F46" s="25">
        <f>IF(C46="","",IFERROR(INDEX(tbl_Finance[Client],MATCH(C46&amp;"",tbl_Finance[Job Number],0)),""))</f>
        <v/>
      </c>
      <c r="G46" s="28">
        <f>IF(C46="","",COUNTIFS(tbl_Finance[Job Number],C46&amp;"",tbl_Finance[Ex GST],"&lt;&gt;"))</f>
        <v/>
      </c>
      <c r="H46" s="27">
        <f>IF(C46="","",SUMIFS(tbl_Finance[Ex GST],tbl_Finance[Job Number],C46&amp;""))</f>
        <v/>
      </c>
      <c r="I46" s="27">
        <f>IF(C46="","",SUMIFS(tbl_Finance[Ex GST],tbl_Finance[Job Number],C46&amp;"",tbl_Finance[Xero Invoice No],"&lt;&gt;"))</f>
        <v/>
      </c>
      <c r="J46" s="27">
        <f>IF(C46="","",H46-I46)</f>
        <v/>
      </c>
      <c r="K46" s="25">
        <f>IF(C46="","",IF(G46=0,"not invoiced yet",SUBSTITUTE(TRIM(IF(COUNTIFS(tbl_Finance[Job Number],C46&amp;"",tbl_Finance[Cost Centre],"ONSITE")&gt;0,"ONSITE ","")&amp;IF(COUNTIFS(tbl_Finance[Job Number],C46&amp;"",tbl_Finance[Cost Centre],"PRODUCTION")&gt;0,"PRODUCTION ","")&amp;IF(COUNTIFS(tbl_Finance[Job Number],C46&amp;"",tbl_Finance[Cost Centre],"VIDEO")&gt;0,"VIDEO ","")&amp;IF(COUNTIFS(tbl_Finance[Job Number],C46&amp;"",tbl_Finance[Cost Centre],"INTEGRATION")&gt;0,"INTEGRATION ","")&amp;IF(COUNTIFS(tbl_Finance[Job Number],C46&amp;"",tbl_Finance[Cost Centre],"CONSULTING")&gt;0,"CONSULTING ","")&amp;IF(COUNTIFS(tbl_Finance[Job Number],C46&amp;"",tbl_Finance[Cost Centre],"CTS")&gt;0,"CTS ",""))," ",", ")))</f>
        <v/>
      </c>
      <c r="L46" s="27">
        <f>IF(C46="","",SUMIFS(tbl_Finance[Inc GST],tbl_Finance[Job Number],C46&amp;""))</f>
        <v/>
      </c>
      <c r="M46" s="24" t="n"/>
      <c r="N46" s="25">
        <f>IF(C46="","",IFERROR(INDEX(tbl_Finance[Description],MATCH(C46&amp;"",tbl_Finance[Job Number],0)),""))</f>
        <v/>
      </c>
      <c r="O46" s="24" t="n"/>
      <c r="P46" s="24" t="n"/>
      <c r="Q46" s="22" t="n"/>
      <c r="R46" s="24" t="n"/>
      <c r="S46" s="25">
        <f>IF(R46="","",IF(AND(LEFT(R46,4)&lt;&gt;"http",set_RMSBase=""),"",HYPERLINK(IF(LEFT(R46,4)="http",R46,set_RMSBase&amp;R46),"Open opportunity")))</f>
        <v/>
      </c>
      <c r="T46" s="24" t="n"/>
      <c r="U46" s="25">
        <f>IF(T46="","",HYPERLINK(IF(LEFT(T46,4)="http",T46,set_QwilrBase&amp;T46),"Open quote"))</f>
        <v/>
      </c>
      <c r="V46" s="25">
        <f>IF(C46="","",C46)</f>
        <v/>
      </c>
      <c r="W46" s="24" t="n"/>
      <c r="X46" s="26" t="n"/>
      <c r="Y46" s="27">
        <f>IF(C46="","",H46+N(X46))</f>
        <v/>
      </c>
      <c r="Z46" s="29">
        <f>IFERROR(X46/Y46,"")</f>
        <v/>
      </c>
      <c r="AA46" s="26" t="n"/>
      <c r="AB46" s="26" t="n"/>
      <c r="AC46" s="26" t="n"/>
      <c r="AD46" s="26" t="n"/>
      <c r="AE46" s="27">
        <f>IF(C46="","",SUMIFS(tbl_Finance[Ex GST],tbl_Finance[Job Number],C46&amp;"",tbl_Finance[Cost Centre],"VIDEO"))</f>
        <v/>
      </c>
      <c r="AF46" s="29">
        <f>IFERROR(AE46/H46,"")</f>
        <v/>
      </c>
      <c r="AG46" s="27">
        <f>IF(C46="","",N(AA46)+N(AB46)+N(AC46)+N(AD46))</f>
        <v/>
      </c>
      <c r="AH46" s="27">
        <f>IF(C46="","",H46-AG46)</f>
        <v/>
      </c>
      <c r="AI46" s="29">
        <f>IFERROR(AH46/H46,"")</f>
        <v/>
      </c>
      <c r="AJ46" s="69" t="n"/>
      <c r="AK46" s="69" t="n"/>
      <c r="AL46" s="69" t="n"/>
      <c r="AM46" s="69" t="n"/>
      <c r="AN46" s="69" t="n"/>
      <c r="AO46" s="24" t="n"/>
    </row>
    <row r="47" ht="15" customHeight="1">
      <c r="A47" s="68">
        <f>IF(C47="","",IFERROR(IF(SUMPRODUCT(MAX((tbl_Finance[Job Number]=C47&amp;"")*(tbl_Finance[Xero Invoice No]&lt;&gt;"")*tbl_Finance[Date]))=0,"",SUMPRODUCT(MAX((tbl_Finance[Job Number]=C47&amp;"")*(tbl_Finance[Xero Invoice No]&lt;&gt;"")*tbl_Finance[Date]))),""))</f>
        <v/>
      </c>
      <c r="B47" s="25">
        <f>IF(C47="","",IF(COUNTIFS(tbl_Finance[Job Number],C47&amp;"",tbl_Finance[Xero Invoice No],"&lt;&gt;")=0,"",IFERROR(IF(COUNTIFS(tbl_Finance[Job Number],C47&amp;"",tbl_Finance[Xero Invoice No],LOOKUP(2,1/((tbl_Finance[Job Number]=C47&amp;"")*(tbl_Finance[Xero Invoice No]&lt;&gt;"")),tbl_Finance[Xero Invoice No]))=COUNTIFS(tbl_Finance[Job Number],C47&amp;"",tbl_Finance[Xero Invoice No],"&lt;&gt;"),LOOKUP(2,1/((tbl_Finance[Job Number]=C47&amp;"")*(tbl_Finance[Xero Invoice No]&lt;&gt;"")),tbl_Finance[Xero Invoice No]),LOOKUP(2,1/((tbl_Finance[Job Number]=C47&amp;"")*(tbl_Finance[Xero Invoice No]&lt;&gt;"")),tbl_Finance[Xero Invoice No])&amp;" +more"),"")))</f>
        <v/>
      </c>
      <c r="C47" s="24" t="n"/>
      <c r="D47" s="25">
        <f>IF(C47="","",IF(COUNTIF(lst_Jobs,C47&amp;"")&gt;0,"OK","CHECK"))</f>
        <v/>
      </c>
      <c r="E47" s="25">
        <f>IF(C47="","",IFERROR(INDEX(lst_JobName,MATCH(C47&amp;"",lst_Jobs,0)),""))</f>
        <v/>
      </c>
      <c r="F47" s="25">
        <f>IF(C47="","",IFERROR(INDEX(tbl_Finance[Client],MATCH(C47&amp;"",tbl_Finance[Job Number],0)),""))</f>
        <v/>
      </c>
      <c r="G47" s="28">
        <f>IF(C47="","",COUNTIFS(tbl_Finance[Job Number],C47&amp;"",tbl_Finance[Ex GST],"&lt;&gt;"))</f>
        <v/>
      </c>
      <c r="H47" s="27">
        <f>IF(C47="","",SUMIFS(tbl_Finance[Ex GST],tbl_Finance[Job Number],C47&amp;""))</f>
        <v/>
      </c>
      <c r="I47" s="27">
        <f>IF(C47="","",SUMIFS(tbl_Finance[Ex GST],tbl_Finance[Job Number],C47&amp;"",tbl_Finance[Xero Invoice No],"&lt;&gt;"))</f>
        <v/>
      </c>
      <c r="J47" s="27">
        <f>IF(C47="","",H47-I47)</f>
        <v/>
      </c>
      <c r="K47" s="25">
        <f>IF(C47="","",IF(G47=0,"not invoiced yet",SUBSTITUTE(TRIM(IF(COUNTIFS(tbl_Finance[Job Number],C47&amp;"",tbl_Finance[Cost Centre],"ONSITE")&gt;0,"ONSITE ","")&amp;IF(COUNTIFS(tbl_Finance[Job Number],C47&amp;"",tbl_Finance[Cost Centre],"PRODUCTION")&gt;0,"PRODUCTION ","")&amp;IF(COUNTIFS(tbl_Finance[Job Number],C47&amp;"",tbl_Finance[Cost Centre],"VIDEO")&gt;0,"VIDEO ","")&amp;IF(COUNTIFS(tbl_Finance[Job Number],C47&amp;"",tbl_Finance[Cost Centre],"INTEGRATION")&gt;0,"INTEGRATION ","")&amp;IF(COUNTIFS(tbl_Finance[Job Number],C47&amp;"",tbl_Finance[Cost Centre],"CONSULTING")&gt;0,"CONSULTING ","")&amp;IF(COUNTIFS(tbl_Finance[Job Number],C47&amp;"",tbl_Finance[Cost Centre],"CTS")&gt;0,"CTS ",""))," ",", ")))</f>
        <v/>
      </c>
      <c r="L47" s="27">
        <f>IF(C47="","",SUMIFS(tbl_Finance[Inc GST],tbl_Finance[Job Number],C47&amp;""))</f>
        <v/>
      </c>
      <c r="M47" s="24" t="n"/>
      <c r="N47" s="25">
        <f>IF(C47="","",IFERROR(INDEX(tbl_Finance[Description],MATCH(C47&amp;"",tbl_Finance[Job Number],0)),""))</f>
        <v/>
      </c>
      <c r="O47" s="24" t="n"/>
      <c r="P47" s="24" t="n"/>
      <c r="Q47" s="22" t="n"/>
      <c r="R47" s="24" t="n"/>
      <c r="S47" s="25">
        <f>IF(R47="","",IF(AND(LEFT(R47,4)&lt;&gt;"http",set_RMSBase=""),"",HYPERLINK(IF(LEFT(R47,4)="http",R47,set_RMSBase&amp;R47),"Open opportunity")))</f>
        <v/>
      </c>
      <c r="T47" s="24" t="n"/>
      <c r="U47" s="25">
        <f>IF(T47="","",HYPERLINK(IF(LEFT(T47,4)="http",T47,set_QwilrBase&amp;T47),"Open quote"))</f>
        <v/>
      </c>
      <c r="V47" s="25">
        <f>IF(C47="","",C47)</f>
        <v/>
      </c>
      <c r="W47" s="24" t="n"/>
      <c r="X47" s="26" t="n"/>
      <c r="Y47" s="27">
        <f>IF(C47="","",H47+N(X47))</f>
        <v/>
      </c>
      <c r="Z47" s="29">
        <f>IFERROR(X47/Y47,"")</f>
        <v/>
      </c>
      <c r="AA47" s="26" t="n"/>
      <c r="AB47" s="26" t="n"/>
      <c r="AC47" s="26" t="n"/>
      <c r="AD47" s="26" t="n"/>
      <c r="AE47" s="27">
        <f>IF(C47="","",SUMIFS(tbl_Finance[Ex GST],tbl_Finance[Job Number],C47&amp;"",tbl_Finance[Cost Centre],"VIDEO"))</f>
        <v/>
      </c>
      <c r="AF47" s="29">
        <f>IFERROR(AE47/H47,"")</f>
        <v/>
      </c>
      <c r="AG47" s="27">
        <f>IF(C47="","",N(AA47)+N(AB47)+N(AC47)+N(AD47))</f>
        <v/>
      </c>
      <c r="AH47" s="27">
        <f>IF(C47="","",H47-AG47)</f>
        <v/>
      </c>
      <c r="AI47" s="29">
        <f>IFERROR(AH47/H47,"")</f>
        <v/>
      </c>
      <c r="AJ47" s="69" t="n"/>
      <c r="AK47" s="69" t="n"/>
      <c r="AL47" s="69" t="n"/>
      <c r="AM47" s="69" t="n"/>
      <c r="AN47" s="69" t="n"/>
      <c r="AO47" s="24" t="n"/>
    </row>
    <row r="48" ht="15" customHeight="1">
      <c r="A48" s="68">
        <f>IF(C48="","",IFERROR(IF(SUMPRODUCT(MAX((tbl_Finance[Job Number]=C48&amp;"")*(tbl_Finance[Xero Invoice No]&lt;&gt;"")*tbl_Finance[Date]))=0,"",SUMPRODUCT(MAX((tbl_Finance[Job Number]=C48&amp;"")*(tbl_Finance[Xero Invoice No]&lt;&gt;"")*tbl_Finance[Date]))),""))</f>
        <v/>
      </c>
      <c r="B48" s="25">
        <f>IF(C48="","",IF(COUNTIFS(tbl_Finance[Job Number],C48&amp;"",tbl_Finance[Xero Invoice No],"&lt;&gt;")=0,"",IFERROR(IF(COUNTIFS(tbl_Finance[Job Number],C48&amp;"",tbl_Finance[Xero Invoice No],LOOKUP(2,1/((tbl_Finance[Job Number]=C48&amp;"")*(tbl_Finance[Xero Invoice No]&lt;&gt;"")),tbl_Finance[Xero Invoice No]))=COUNTIFS(tbl_Finance[Job Number],C48&amp;"",tbl_Finance[Xero Invoice No],"&lt;&gt;"),LOOKUP(2,1/((tbl_Finance[Job Number]=C48&amp;"")*(tbl_Finance[Xero Invoice No]&lt;&gt;"")),tbl_Finance[Xero Invoice No]),LOOKUP(2,1/((tbl_Finance[Job Number]=C48&amp;"")*(tbl_Finance[Xero Invoice No]&lt;&gt;"")),tbl_Finance[Xero Invoice No])&amp;" +more"),"")))</f>
        <v/>
      </c>
      <c r="C48" s="24" t="n"/>
      <c r="D48" s="25">
        <f>IF(C48="","",IF(COUNTIF(lst_Jobs,C48&amp;"")&gt;0,"OK","CHECK"))</f>
        <v/>
      </c>
      <c r="E48" s="25">
        <f>IF(C48="","",IFERROR(INDEX(lst_JobName,MATCH(C48&amp;"",lst_Jobs,0)),""))</f>
        <v/>
      </c>
      <c r="F48" s="25">
        <f>IF(C48="","",IFERROR(INDEX(tbl_Finance[Client],MATCH(C48&amp;"",tbl_Finance[Job Number],0)),""))</f>
        <v/>
      </c>
      <c r="G48" s="28">
        <f>IF(C48="","",COUNTIFS(tbl_Finance[Job Number],C48&amp;"",tbl_Finance[Ex GST],"&lt;&gt;"))</f>
        <v/>
      </c>
      <c r="H48" s="27">
        <f>IF(C48="","",SUMIFS(tbl_Finance[Ex GST],tbl_Finance[Job Number],C48&amp;""))</f>
        <v/>
      </c>
      <c r="I48" s="27">
        <f>IF(C48="","",SUMIFS(tbl_Finance[Ex GST],tbl_Finance[Job Number],C48&amp;"",tbl_Finance[Xero Invoice No],"&lt;&gt;"))</f>
        <v/>
      </c>
      <c r="J48" s="27">
        <f>IF(C48="","",H48-I48)</f>
        <v/>
      </c>
      <c r="K48" s="25">
        <f>IF(C48="","",IF(G48=0,"not invoiced yet",SUBSTITUTE(TRIM(IF(COUNTIFS(tbl_Finance[Job Number],C48&amp;"",tbl_Finance[Cost Centre],"ONSITE")&gt;0,"ONSITE ","")&amp;IF(COUNTIFS(tbl_Finance[Job Number],C48&amp;"",tbl_Finance[Cost Centre],"PRODUCTION")&gt;0,"PRODUCTION ","")&amp;IF(COUNTIFS(tbl_Finance[Job Number],C48&amp;"",tbl_Finance[Cost Centre],"VIDEO")&gt;0,"VIDEO ","")&amp;IF(COUNTIFS(tbl_Finance[Job Number],C48&amp;"",tbl_Finance[Cost Centre],"INTEGRATION")&gt;0,"INTEGRATION ","")&amp;IF(COUNTIFS(tbl_Finance[Job Number],C48&amp;"",tbl_Finance[Cost Centre],"CONSULTING")&gt;0,"CONSULTING ","")&amp;IF(COUNTIFS(tbl_Finance[Job Number],C48&amp;"",tbl_Finance[Cost Centre],"CTS")&gt;0,"CTS ",""))," ",", ")))</f>
        <v/>
      </c>
      <c r="L48" s="27">
        <f>IF(C48="","",SUMIFS(tbl_Finance[Inc GST],tbl_Finance[Job Number],C48&amp;""))</f>
        <v/>
      </c>
      <c r="M48" s="24" t="n"/>
      <c r="N48" s="25">
        <f>IF(C48="","",IFERROR(INDEX(tbl_Finance[Description],MATCH(C48&amp;"",tbl_Finance[Job Number],0)),""))</f>
        <v/>
      </c>
      <c r="O48" s="24" t="n"/>
      <c r="P48" s="24" t="n"/>
      <c r="Q48" s="22" t="n"/>
      <c r="R48" s="24" t="n"/>
      <c r="S48" s="25">
        <f>IF(R48="","",IF(AND(LEFT(R48,4)&lt;&gt;"http",set_RMSBase=""),"",HYPERLINK(IF(LEFT(R48,4)="http",R48,set_RMSBase&amp;R48),"Open opportunity")))</f>
        <v/>
      </c>
      <c r="T48" s="24" t="n"/>
      <c r="U48" s="25">
        <f>IF(T48="","",HYPERLINK(IF(LEFT(T48,4)="http",T48,set_QwilrBase&amp;T48),"Open quote"))</f>
        <v/>
      </c>
      <c r="V48" s="25">
        <f>IF(C48="","",C48)</f>
        <v/>
      </c>
      <c r="W48" s="24" t="n"/>
      <c r="X48" s="26" t="n"/>
      <c r="Y48" s="27">
        <f>IF(C48="","",H48+N(X48))</f>
        <v/>
      </c>
      <c r="Z48" s="29">
        <f>IFERROR(X48/Y48,"")</f>
        <v/>
      </c>
      <c r="AA48" s="26" t="n"/>
      <c r="AB48" s="26" t="n"/>
      <c r="AC48" s="26" t="n"/>
      <c r="AD48" s="26" t="n"/>
      <c r="AE48" s="27">
        <f>IF(C48="","",SUMIFS(tbl_Finance[Ex GST],tbl_Finance[Job Number],C48&amp;"",tbl_Finance[Cost Centre],"VIDEO"))</f>
        <v/>
      </c>
      <c r="AF48" s="29">
        <f>IFERROR(AE48/H48,"")</f>
        <v/>
      </c>
      <c r="AG48" s="27">
        <f>IF(C48="","",N(AA48)+N(AB48)+N(AC48)+N(AD48))</f>
        <v/>
      </c>
      <c r="AH48" s="27">
        <f>IF(C48="","",H48-AG48)</f>
        <v/>
      </c>
      <c r="AI48" s="29">
        <f>IFERROR(AH48/H48,"")</f>
        <v/>
      </c>
      <c r="AJ48" s="69" t="n"/>
      <c r="AK48" s="69" t="n"/>
      <c r="AL48" s="69" t="n"/>
      <c r="AM48" s="69" t="n"/>
      <c r="AN48" s="69" t="n"/>
      <c r="AO48" s="24" t="n"/>
    </row>
    <row r="49" ht="15" customHeight="1">
      <c r="A49" s="68">
        <f>IF(C49="","",IFERROR(IF(SUMPRODUCT(MAX((tbl_Finance[Job Number]=C49&amp;"")*(tbl_Finance[Xero Invoice No]&lt;&gt;"")*tbl_Finance[Date]))=0,"",SUMPRODUCT(MAX((tbl_Finance[Job Number]=C49&amp;"")*(tbl_Finance[Xero Invoice No]&lt;&gt;"")*tbl_Finance[Date]))),""))</f>
        <v/>
      </c>
      <c r="B49" s="25">
        <f>IF(C49="","",IF(COUNTIFS(tbl_Finance[Job Number],C49&amp;"",tbl_Finance[Xero Invoice No],"&lt;&gt;")=0,"",IFERROR(IF(COUNTIFS(tbl_Finance[Job Number],C49&amp;"",tbl_Finance[Xero Invoice No],LOOKUP(2,1/((tbl_Finance[Job Number]=C49&amp;"")*(tbl_Finance[Xero Invoice No]&lt;&gt;"")),tbl_Finance[Xero Invoice No]))=COUNTIFS(tbl_Finance[Job Number],C49&amp;"",tbl_Finance[Xero Invoice No],"&lt;&gt;"),LOOKUP(2,1/((tbl_Finance[Job Number]=C49&amp;"")*(tbl_Finance[Xero Invoice No]&lt;&gt;"")),tbl_Finance[Xero Invoice No]),LOOKUP(2,1/((tbl_Finance[Job Number]=C49&amp;"")*(tbl_Finance[Xero Invoice No]&lt;&gt;"")),tbl_Finance[Xero Invoice No])&amp;" +more"),"")))</f>
        <v/>
      </c>
      <c r="C49" s="24" t="n"/>
      <c r="D49" s="25">
        <f>IF(C49="","",IF(COUNTIF(lst_Jobs,C49&amp;"")&gt;0,"OK","CHECK"))</f>
        <v/>
      </c>
      <c r="E49" s="25">
        <f>IF(C49="","",IFERROR(INDEX(lst_JobName,MATCH(C49&amp;"",lst_Jobs,0)),""))</f>
        <v/>
      </c>
      <c r="F49" s="25">
        <f>IF(C49="","",IFERROR(INDEX(tbl_Finance[Client],MATCH(C49&amp;"",tbl_Finance[Job Number],0)),""))</f>
        <v/>
      </c>
      <c r="G49" s="28">
        <f>IF(C49="","",COUNTIFS(tbl_Finance[Job Number],C49&amp;"",tbl_Finance[Ex GST],"&lt;&gt;"))</f>
        <v/>
      </c>
      <c r="H49" s="27">
        <f>IF(C49="","",SUMIFS(tbl_Finance[Ex GST],tbl_Finance[Job Number],C49&amp;""))</f>
        <v/>
      </c>
      <c r="I49" s="27">
        <f>IF(C49="","",SUMIFS(tbl_Finance[Ex GST],tbl_Finance[Job Number],C49&amp;"",tbl_Finance[Xero Invoice No],"&lt;&gt;"))</f>
        <v/>
      </c>
      <c r="J49" s="27">
        <f>IF(C49="","",H49-I49)</f>
        <v/>
      </c>
      <c r="K49" s="25">
        <f>IF(C49="","",IF(G49=0,"not invoiced yet",SUBSTITUTE(TRIM(IF(COUNTIFS(tbl_Finance[Job Number],C49&amp;"",tbl_Finance[Cost Centre],"ONSITE")&gt;0,"ONSITE ","")&amp;IF(COUNTIFS(tbl_Finance[Job Number],C49&amp;"",tbl_Finance[Cost Centre],"PRODUCTION")&gt;0,"PRODUCTION ","")&amp;IF(COUNTIFS(tbl_Finance[Job Number],C49&amp;"",tbl_Finance[Cost Centre],"VIDEO")&gt;0,"VIDEO ","")&amp;IF(COUNTIFS(tbl_Finance[Job Number],C49&amp;"",tbl_Finance[Cost Centre],"INTEGRATION")&gt;0,"INTEGRATION ","")&amp;IF(COUNTIFS(tbl_Finance[Job Number],C49&amp;"",tbl_Finance[Cost Centre],"CONSULTING")&gt;0,"CONSULTING ","")&amp;IF(COUNTIFS(tbl_Finance[Job Number],C49&amp;"",tbl_Finance[Cost Centre],"CTS")&gt;0,"CTS ",""))," ",", ")))</f>
        <v/>
      </c>
      <c r="L49" s="27">
        <f>IF(C49="","",SUMIFS(tbl_Finance[Inc GST],tbl_Finance[Job Number],C49&amp;""))</f>
        <v/>
      </c>
      <c r="M49" s="24" t="n"/>
      <c r="N49" s="25">
        <f>IF(C49="","",IFERROR(INDEX(tbl_Finance[Description],MATCH(C49&amp;"",tbl_Finance[Job Number],0)),""))</f>
        <v/>
      </c>
      <c r="O49" s="24" t="n"/>
      <c r="P49" s="24" t="n"/>
      <c r="Q49" s="22" t="n"/>
      <c r="R49" s="24" t="n"/>
      <c r="S49" s="25">
        <f>IF(R49="","",IF(AND(LEFT(R49,4)&lt;&gt;"http",set_RMSBase=""),"",HYPERLINK(IF(LEFT(R49,4)="http",R49,set_RMSBase&amp;R49),"Open opportunity")))</f>
        <v/>
      </c>
      <c r="T49" s="24" t="n"/>
      <c r="U49" s="25">
        <f>IF(T49="","",HYPERLINK(IF(LEFT(T49,4)="http",T49,set_QwilrBase&amp;T49),"Open quote"))</f>
        <v/>
      </c>
      <c r="V49" s="25">
        <f>IF(C49="","",C49)</f>
        <v/>
      </c>
      <c r="W49" s="24" t="n"/>
      <c r="X49" s="26" t="n"/>
      <c r="Y49" s="27">
        <f>IF(C49="","",H49+N(X49))</f>
        <v/>
      </c>
      <c r="Z49" s="29">
        <f>IFERROR(X49/Y49,"")</f>
        <v/>
      </c>
      <c r="AA49" s="26" t="n"/>
      <c r="AB49" s="26" t="n"/>
      <c r="AC49" s="26" t="n"/>
      <c r="AD49" s="26" t="n"/>
      <c r="AE49" s="27">
        <f>IF(C49="","",SUMIFS(tbl_Finance[Ex GST],tbl_Finance[Job Number],C49&amp;"",tbl_Finance[Cost Centre],"VIDEO"))</f>
        <v/>
      </c>
      <c r="AF49" s="29">
        <f>IFERROR(AE49/H49,"")</f>
        <v/>
      </c>
      <c r="AG49" s="27">
        <f>IF(C49="","",N(AA49)+N(AB49)+N(AC49)+N(AD49))</f>
        <v/>
      </c>
      <c r="AH49" s="27">
        <f>IF(C49="","",H49-AG49)</f>
        <v/>
      </c>
      <c r="AI49" s="29">
        <f>IFERROR(AH49/H49,"")</f>
        <v/>
      </c>
      <c r="AJ49" s="69" t="n"/>
      <c r="AK49" s="69" t="n"/>
      <c r="AL49" s="69" t="n"/>
      <c r="AM49" s="69" t="n"/>
      <c r="AN49" s="69" t="n"/>
      <c r="AO49" s="24" t="n"/>
    </row>
    <row r="50" ht="15" customHeight="1">
      <c r="A50" s="68">
        <f>IF(C50="","",IFERROR(IF(SUMPRODUCT(MAX((tbl_Finance[Job Number]=C50&amp;"")*(tbl_Finance[Xero Invoice No]&lt;&gt;"")*tbl_Finance[Date]))=0,"",SUMPRODUCT(MAX((tbl_Finance[Job Number]=C50&amp;"")*(tbl_Finance[Xero Invoice No]&lt;&gt;"")*tbl_Finance[Date]))),""))</f>
        <v/>
      </c>
      <c r="B50" s="25">
        <f>IF(C50="","",IF(COUNTIFS(tbl_Finance[Job Number],C50&amp;"",tbl_Finance[Xero Invoice No],"&lt;&gt;")=0,"",IFERROR(IF(COUNTIFS(tbl_Finance[Job Number],C50&amp;"",tbl_Finance[Xero Invoice No],LOOKUP(2,1/((tbl_Finance[Job Number]=C50&amp;"")*(tbl_Finance[Xero Invoice No]&lt;&gt;"")),tbl_Finance[Xero Invoice No]))=COUNTIFS(tbl_Finance[Job Number],C50&amp;"",tbl_Finance[Xero Invoice No],"&lt;&gt;"),LOOKUP(2,1/((tbl_Finance[Job Number]=C50&amp;"")*(tbl_Finance[Xero Invoice No]&lt;&gt;"")),tbl_Finance[Xero Invoice No]),LOOKUP(2,1/((tbl_Finance[Job Number]=C50&amp;"")*(tbl_Finance[Xero Invoice No]&lt;&gt;"")),tbl_Finance[Xero Invoice No])&amp;" +more"),"")))</f>
        <v/>
      </c>
      <c r="C50" s="24" t="n"/>
      <c r="D50" s="25">
        <f>IF(C50="","",IF(COUNTIF(lst_Jobs,C50&amp;"")&gt;0,"OK","CHECK"))</f>
        <v/>
      </c>
      <c r="E50" s="25">
        <f>IF(C50="","",IFERROR(INDEX(lst_JobName,MATCH(C50&amp;"",lst_Jobs,0)),""))</f>
        <v/>
      </c>
      <c r="F50" s="25">
        <f>IF(C50="","",IFERROR(INDEX(tbl_Finance[Client],MATCH(C50&amp;"",tbl_Finance[Job Number],0)),""))</f>
        <v/>
      </c>
      <c r="G50" s="28">
        <f>IF(C50="","",COUNTIFS(tbl_Finance[Job Number],C50&amp;"",tbl_Finance[Ex GST],"&lt;&gt;"))</f>
        <v/>
      </c>
      <c r="H50" s="27">
        <f>IF(C50="","",SUMIFS(tbl_Finance[Ex GST],tbl_Finance[Job Number],C50&amp;""))</f>
        <v/>
      </c>
      <c r="I50" s="27">
        <f>IF(C50="","",SUMIFS(tbl_Finance[Ex GST],tbl_Finance[Job Number],C50&amp;"",tbl_Finance[Xero Invoice No],"&lt;&gt;"))</f>
        <v/>
      </c>
      <c r="J50" s="27">
        <f>IF(C50="","",H50-I50)</f>
        <v/>
      </c>
      <c r="K50" s="25">
        <f>IF(C50="","",IF(G50=0,"not invoiced yet",SUBSTITUTE(TRIM(IF(COUNTIFS(tbl_Finance[Job Number],C50&amp;"",tbl_Finance[Cost Centre],"ONSITE")&gt;0,"ONSITE ","")&amp;IF(COUNTIFS(tbl_Finance[Job Number],C50&amp;"",tbl_Finance[Cost Centre],"PRODUCTION")&gt;0,"PRODUCTION ","")&amp;IF(COUNTIFS(tbl_Finance[Job Number],C50&amp;"",tbl_Finance[Cost Centre],"VIDEO")&gt;0,"VIDEO ","")&amp;IF(COUNTIFS(tbl_Finance[Job Number],C50&amp;"",tbl_Finance[Cost Centre],"INTEGRATION")&gt;0,"INTEGRATION ","")&amp;IF(COUNTIFS(tbl_Finance[Job Number],C50&amp;"",tbl_Finance[Cost Centre],"CONSULTING")&gt;0,"CONSULTING ","")&amp;IF(COUNTIFS(tbl_Finance[Job Number],C50&amp;"",tbl_Finance[Cost Centre],"CTS")&gt;0,"CTS ",""))," ",", ")))</f>
        <v/>
      </c>
      <c r="L50" s="27">
        <f>IF(C50="","",SUMIFS(tbl_Finance[Inc GST],tbl_Finance[Job Number],C50&amp;""))</f>
        <v/>
      </c>
      <c r="M50" s="24" t="n"/>
      <c r="N50" s="25">
        <f>IF(C50="","",IFERROR(INDEX(tbl_Finance[Description],MATCH(C50&amp;"",tbl_Finance[Job Number],0)),""))</f>
        <v/>
      </c>
      <c r="O50" s="24" t="n"/>
      <c r="P50" s="24" t="n"/>
      <c r="Q50" s="22" t="n"/>
      <c r="R50" s="24" t="n"/>
      <c r="S50" s="25">
        <f>IF(R50="","",IF(AND(LEFT(R50,4)&lt;&gt;"http",set_RMSBase=""),"",HYPERLINK(IF(LEFT(R50,4)="http",R50,set_RMSBase&amp;R50),"Open opportunity")))</f>
        <v/>
      </c>
      <c r="T50" s="24" t="n"/>
      <c r="U50" s="25">
        <f>IF(T50="","",HYPERLINK(IF(LEFT(T50,4)="http",T50,set_QwilrBase&amp;T50),"Open quote"))</f>
        <v/>
      </c>
      <c r="V50" s="25">
        <f>IF(C50="","",C50)</f>
        <v/>
      </c>
      <c r="W50" s="24" t="n"/>
      <c r="X50" s="26" t="n"/>
      <c r="Y50" s="27">
        <f>IF(C50="","",H50+N(X50))</f>
        <v/>
      </c>
      <c r="Z50" s="29">
        <f>IFERROR(X50/Y50,"")</f>
        <v/>
      </c>
      <c r="AA50" s="26" t="n"/>
      <c r="AB50" s="26" t="n"/>
      <c r="AC50" s="26" t="n"/>
      <c r="AD50" s="26" t="n"/>
      <c r="AE50" s="27">
        <f>IF(C50="","",SUMIFS(tbl_Finance[Ex GST],tbl_Finance[Job Number],C50&amp;"",tbl_Finance[Cost Centre],"VIDEO"))</f>
        <v/>
      </c>
      <c r="AF50" s="29">
        <f>IFERROR(AE50/H50,"")</f>
        <v/>
      </c>
      <c r="AG50" s="27">
        <f>IF(C50="","",N(AA50)+N(AB50)+N(AC50)+N(AD50))</f>
        <v/>
      </c>
      <c r="AH50" s="27">
        <f>IF(C50="","",H50-AG50)</f>
        <v/>
      </c>
      <c r="AI50" s="29">
        <f>IFERROR(AH50/H50,"")</f>
        <v/>
      </c>
      <c r="AJ50" s="69" t="n"/>
      <c r="AK50" s="69" t="n"/>
      <c r="AL50" s="69" t="n"/>
      <c r="AM50" s="69" t="n"/>
      <c r="AN50" s="69" t="n"/>
      <c r="AO50" s="24" t="n"/>
    </row>
    <row r="51" ht="15" customHeight="1">
      <c r="A51" s="68">
        <f>IF(C51="","",IFERROR(IF(SUMPRODUCT(MAX((tbl_Finance[Job Number]=C51&amp;"")*(tbl_Finance[Xero Invoice No]&lt;&gt;"")*tbl_Finance[Date]))=0,"",SUMPRODUCT(MAX((tbl_Finance[Job Number]=C51&amp;"")*(tbl_Finance[Xero Invoice No]&lt;&gt;"")*tbl_Finance[Date]))),""))</f>
        <v/>
      </c>
      <c r="B51" s="25">
        <f>IF(C51="","",IF(COUNTIFS(tbl_Finance[Job Number],C51&amp;"",tbl_Finance[Xero Invoice No],"&lt;&gt;")=0,"",IFERROR(IF(COUNTIFS(tbl_Finance[Job Number],C51&amp;"",tbl_Finance[Xero Invoice No],LOOKUP(2,1/((tbl_Finance[Job Number]=C51&amp;"")*(tbl_Finance[Xero Invoice No]&lt;&gt;"")),tbl_Finance[Xero Invoice No]))=COUNTIFS(tbl_Finance[Job Number],C51&amp;"",tbl_Finance[Xero Invoice No],"&lt;&gt;"),LOOKUP(2,1/((tbl_Finance[Job Number]=C51&amp;"")*(tbl_Finance[Xero Invoice No]&lt;&gt;"")),tbl_Finance[Xero Invoice No]),LOOKUP(2,1/((tbl_Finance[Job Number]=C51&amp;"")*(tbl_Finance[Xero Invoice No]&lt;&gt;"")),tbl_Finance[Xero Invoice No])&amp;" +more"),"")))</f>
        <v/>
      </c>
      <c r="C51" s="24" t="n"/>
      <c r="D51" s="25">
        <f>IF(C51="","",IF(COUNTIF(lst_Jobs,C51&amp;"")&gt;0,"OK","CHECK"))</f>
        <v/>
      </c>
      <c r="E51" s="25">
        <f>IF(C51="","",IFERROR(INDEX(lst_JobName,MATCH(C51&amp;"",lst_Jobs,0)),""))</f>
        <v/>
      </c>
      <c r="F51" s="25">
        <f>IF(C51="","",IFERROR(INDEX(tbl_Finance[Client],MATCH(C51&amp;"",tbl_Finance[Job Number],0)),""))</f>
        <v/>
      </c>
      <c r="G51" s="28">
        <f>IF(C51="","",COUNTIFS(tbl_Finance[Job Number],C51&amp;"",tbl_Finance[Ex GST],"&lt;&gt;"))</f>
        <v/>
      </c>
      <c r="H51" s="27">
        <f>IF(C51="","",SUMIFS(tbl_Finance[Ex GST],tbl_Finance[Job Number],C51&amp;""))</f>
        <v/>
      </c>
      <c r="I51" s="27">
        <f>IF(C51="","",SUMIFS(tbl_Finance[Ex GST],tbl_Finance[Job Number],C51&amp;"",tbl_Finance[Xero Invoice No],"&lt;&gt;"))</f>
        <v/>
      </c>
      <c r="J51" s="27">
        <f>IF(C51="","",H51-I51)</f>
        <v/>
      </c>
      <c r="K51" s="25">
        <f>IF(C51="","",IF(G51=0,"not invoiced yet",SUBSTITUTE(TRIM(IF(COUNTIFS(tbl_Finance[Job Number],C51&amp;"",tbl_Finance[Cost Centre],"ONSITE")&gt;0,"ONSITE ","")&amp;IF(COUNTIFS(tbl_Finance[Job Number],C51&amp;"",tbl_Finance[Cost Centre],"PRODUCTION")&gt;0,"PRODUCTION ","")&amp;IF(COUNTIFS(tbl_Finance[Job Number],C51&amp;"",tbl_Finance[Cost Centre],"VIDEO")&gt;0,"VIDEO ","")&amp;IF(COUNTIFS(tbl_Finance[Job Number],C51&amp;"",tbl_Finance[Cost Centre],"INTEGRATION")&gt;0,"INTEGRATION ","")&amp;IF(COUNTIFS(tbl_Finance[Job Number],C51&amp;"",tbl_Finance[Cost Centre],"CONSULTING")&gt;0,"CONSULTING ","")&amp;IF(COUNTIFS(tbl_Finance[Job Number],C51&amp;"",tbl_Finance[Cost Centre],"CTS")&gt;0,"CTS ",""))," ",", ")))</f>
        <v/>
      </c>
      <c r="L51" s="27">
        <f>IF(C51="","",SUMIFS(tbl_Finance[Inc GST],tbl_Finance[Job Number],C51&amp;""))</f>
        <v/>
      </c>
      <c r="M51" s="24" t="n"/>
      <c r="N51" s="25">
        <f>IF(C51="","",IFERROR(INDEX(tbl_Finance[Description],MATCH(C51&amp;"",tbl_Finance[Job Number],0)),""))</f>
        <v/>
      </c>
      <c r="O51" s="24" t="n"/>
      <c r="P51" s="24" t="n"/>
      <c r="Q51" s="22" t="n"/>
      <c r="R51" s="24" t="n"/>
      <c r="S51" s="25">
        <f>IF(R51="","",IF(AND(LEFT(R51,4)&lt;&gt;"http",set_RMSBase=""),"",HYPERLINK(IF(LEFT(R51,4)="http",R51,set_RMSBase&amp;R51),"Open opportunity")))</f>
        <v/>
      </c>
      <c r="T51" s="24" t="n"/>
      <c r="U51" s="25">
        <f>IF(T51="","",HYPERLINK(IF(LEFT(T51,4)="http",T51,set_QwilrBase&amp;T51),"Open quote"))</f>
        <v/>
      </c>
      <c r="V51" s="25">
        <f>IF(C51="","",C51)</f>
        <v/>
      </c>
      <c r="W51" s="24" t="n"/>
      <c r="X51" s="26" t="n"/>
      <c r="Y51" s="27">
        <f>IF(C51="","",H51+N(X51))</f>
        <v/>
      </c>
      <c r="Z51" s="29">
        <f>IFERROR(X51/Y51,"")</f>
        <v/>
      </c>
      <c r="AA51" s="26" t="n"/>
      <c r="AB51" s="26" t="n"/>
      <c r="AC51" s="26" t="n"/>
      <c r="AD51" s="26" t="n"/>
      <c r="AE51" s="27">
        <f>IF(C51="","",SUMIFS(tbl_Finance[Ex GST],tbl_Finance[Job Number],C51&amp;"",tbl_Finance[Cost Centre],"VIDEO"))</f>
        <v/>
      </c>
      <c r="AF51" s="29">
        <f>IFERROR(AE51/H51,"")</f>
        <v/>
      </c>
      <c r="AG51" s="27">
        <f>IF(C51="","",N(AA51)+N(AB51)+N(AC51)+N(AD51))</f>
        <v/>
      </c>
      <c r="AH51" s="27">
        <f>IF(C51="","",H51-AG51)</f>
        <v/>
      </c>
      <c r="AI51" s="29">
        <f>IFERROR(AH51/H51,"")</f>
        <v/>
      </c>
      <c r="AJ51" s="69" t="n"/>
      <c r="AK51" s="69" t="n"/>
      <c r="AL51" s="69" t="n"/>
      <c r="AM51" s="69" t="n"/>
      <c r="AN51" s="69" t="n"/>
      <c r="AO51" s="24" t="n"/>
    </row>
    <row r="52" ht="15" customHeight="1">
      <c r="A52" s="68">
        <f>IF(C52="","",IFERROR(IF(SUMPRODUCT(MAX((tbl_Finance[Job Number]=C52&amp;"")*(tbl_Finance[Xero Invoice No]&lt;&gt;"")*tbl_Finance[Date]))=0,"",SUMPRODUCT(MAX((tbl_Finance[Job Number]=C52&amp;"")*(tbl_Finance[Xero Invoice No]&lt;&gt;"")*tbl_Finance[Date]))),""))</f>
        <v/>
      </c>
      <c r="B52" s="25">
        <f>IF(C52="","",IF(COUNTIFS(tbl_Finance[Job Number],C52&amp;"",tbl_Finance[Xero Invoice No],"&lt;&gt;")=0,"",IFERROR(IF(COUNTIFS(tbl_Finance[Job Number],C52&amp;"",tbl_Finance[Xero Invoice No],LOOKUP(2,1/((tbl_Finance[Job Number]=C52&amp;"")*(tbl_Finance[Xero Invoice No]&lt;&gt;"")),tbl_Finance[Xero Invoice No]))=COUNTIFS(tbl_Finance[Job Number],C52&amp;"",tbl_Finance[Xero Invoice No],"&lt;&gt;"),LOOKUP(2,1/((tbl_Finance[Job Number]=C52&amp;"")*(tbl_Finance[Xero Invoice No]&lt;&gt;"")),tbl_Finance[Xero Invoice No]),LOOKUP(2,1/((tbl_Finance[Job Number]=C52&amp;"")*(tbl_Finance[Xero Invoice No]&lt;&gt;"")),tbl_Finance[Xero Invoice No])&amp;" +more"),"")))</f>
        <v/>
      </c>
      <c r="C52" s="24" t="n"/>
      <c r="D52" s="25">
        <f>IF(C52="","",IF(COUNTIF(lst_Jobs,C52&amp;"")&gt;0,"OK","CHECK"))</f>
        <v/>
      </c>
      <c r="E52" s="25">
        <f>IF(C52="","",IFERROR(INDEX(lst_JobName,MATCH(C52&amp;"",lst_Jobs,0)),""))</f>
        <v/>
      </c>
      <c r="F52" s="25">
        <f>IF(C52="","",IFERROR(INDEX(tbl_Finance[Client],MATCH(C52&amp;"",tbl_Finance[Job Number],0)),""))</f>
        <v/>
      </c>
      <c r="G52" s="28">
        <f>IF(C52="","",COUNTIFS(tbl_Finance[Job Number],C52&amp;"",tbl_Finance[Ex GST],"&lt;&gt;"))</f>
        <v/>
      </c>
      <c r="H52" s="27">
        <f>IF(C52="","",SUMIFS(tbl_Finance[Ex GST],tbl_Finance[Job Number],C52&amp;""))</f>
        <v/>
      </c>
      <c r="I52" s="27">
        <f>IF(C52="","",SUMIFS(tbl_Finance[Ex GST],tbl_Finance[Job Number],C52&amp;"",tbl_Finance[Xero Invoice No],"&lt;&gt;"))</f>
        <v/>
      </c>
      <c r="J52" s="27">
        <f>IF(C52="","",H52-I52)</f>
        <v/>
      </c>
      <c r="K52" s="25">
        <f>IF(C52="","",IF(G52=0,"not invoiced yet",SUBSTITUTE(TRIM(IF(COUNTIFS(tbl_Finance[Job Number],C52&amp;"",tbl_Finance[Cost Centre],"ONSITE")&gt;0,"ONSITE ","")&amp;IF(COUNTIFS(tbl_Finance[Job Number],C52&amp;"",tbl_Finance[Cost Centre],"PRODUCTION")&gt;0,"PRODUCTION ","")&amp;IF(COUNTIFS(tbl_Finance[Job Number],C52&amp;"",tbl_Finance[Cost Centre],"VIDEO")&gt;0,"VIDEO ","")&amp;IF(COUNTIFS(tbl_Finance[Job Number],C52&amp;"",tbl_Finance[Cost Centre],"INTEGRATION")&gt;0,"INTEGRATION ","")&amp;IF(COUNTIFS(tbl_Finance[Job Number],C52&amp;"",tbl_Finance[Cost Centre],"CONSULTING")&gt;0,"CONSULTING ","")&amp;IF(COUNTIFS(tbl_Finance[Job Number],C52&amp;"",tbl_Finance[Cost Centre],"CTS")&gt;0,"CTS ",""))," ",", ")))</f>
        <v/>
      </c>
      <c r="L52" s="27">
        <f>IF(C52="","",SUMIFS(tbl_Finance[Inc GST],tbl_Finance[Job Number],C52&amp;""))</f>
        <v/>
      </c>
      <c r="M52" s="24" t="n"/>
      <c r="N52" s="25">
        <f>IF(C52="","",IFERROR(INDEX(tbl_Finance[Description],MATCH(C52&amp;"",tbl_Finance[Job Number],0)),""))</f>
        <v/>
      </c>
      <c r="O52" s="24" t="n"/>
      <c r="P52" s="24" t="n"/>
      <c r="Q52" s="22" t="n"/>
      <c r="R52" s="24" t="n"/>
      <c r="S52" s="25">
        <f>IF(R52="","",IF(AND(LEFT(R52,4)&lt;&gt;"http",set_RMSBase=""),"",HYPERLINK(IF(LEFT(R52,4)="http",R52,set_RMSBase&amp;R52),"Open opportunity")))</f>
        <v/>
      </c>
      <c r="T52" s="24" t="n"/>
      <c r="U52" s="25">
        <f>IF(T52="","",HYPERLINK(IF(LEFT(T52,4)="http",T52,set_QwilrBase&amp;T52),"Open quote"))</f>
        <v/>
      </c>
      <c r="V52" s="25">
        <f>IF(C52="","",C52)</f>
        <v/>
      </c>
      <c r="W52" s="24" t="n"/>
      <c r="X52" s="26" t="n"/>
      <c r="Y52" s="27">
        <f>IF(C52="","",H52+N(X52))</f>
        <v/>
      </c>
      <c r="Z52" s="29">
        <f>IFERROR(X52/Y52,"")</f>
        <v/>
      </c>
      <c r="AA52" s="26" t="n"/>
      <c r="AB52" s="26" t="n"/>
      <c r="AC52" s="26" t="n"/>
      <c r="AD52" s="26" t="n"/>
      <c r="AE52" s="27">
        <f>IF(C52="","",SUMIFS(tbl_Finance[Ex GST],tbl_Finance[Job Number],C52&amp;"",tbl_Finance[Cost Centre],"VIDEO"))</f>
        <v/>
      </c>
      <c r="AF52" s="29">
        <f>IFERROR(AE52/H52,"")</f>
        <v/>
      </c>
      <c r="AG52" s="27">
        <f>IF(C52="","",N(AA52)+N(AB52)+N(AC52)+N(AD52))</f>
        <v/>
      </c>
      <c r="AH52" s="27">
        <f>IF(C52="","",H52-AG52)</f>
        <v/>
      </c>
      <c r="AI52" s="29">
        <f>IFERROR(AH52/H52,"")</f>
        <v/>
      </c>
      <c r="AJ52" s="69" t="n"/>
      <c r="AK52" s="69" t="n"/>
      <c r="AL52" s="69" t="n"/>
      <c r="AM52" s="69" t="n"/>
      <c r="AN52" s="69" t="n"/>
      <c r="AO52" s="24" t="n"/>
    </row>
    <row r="53" ht="15" customHeight="1">
      <c r="A53" s="68">
        <f>IF(C53="","",IFERROR(IF(SUMPRODUCT(MAX((tbl_Finance[Job Number]=C53&amp;"")*(tbl_Finance[Xero Invoice No]&lt;&gt;"")*tbl_Finance[Date]))=0,"",SUMPRODUCT(MAX((tbl_Finance[Job Number]=C53&amp;"")*(tbl_Finance[Xero Invoice No]&lt;&gt;"")*tbl_Finance[Date]))),""))</f>
        <v/>
      </c>
      <c r="B53" s="25">
        <f>IF(C53="","",IF(COUNTIFS(tbl_Finance[Job Number],C53&amp;"",tbl_Finance[Xero Invoice No],"&lt;&gt;")=0,"",IFERROR(IF(COUNTIFS(tbl_Finance[Job Number],C53&amp;"",tbl_Finance[Xero Invoice No],LOOKUP(2,1/((tbl_Finance[Job Number]=C53&amp;"")*(tbl_Finance[Xero Invoice No]&lt;&gt;"")),tbl_Finance[Xero Invoice No]))=COUNTIFS(tbl_Finance[Job Number],C53&amp;"",tbl_Finance[Xero Invoice No],"&lt;&gt;"),LOOKUP(2,1/((tbl_Finance[Job Number]=C53&amp;"")*(tbl_Finance[Xero Invoice No]&lt;&gt;"")),tbl_Finance[Xero Invoice No]),LOOKUP(2,1/((tbl_Finance[Job Number]=C53&amp;"")*(tbl_Finance[Xero Invoice No]&lt;&gt;"")),tbl_Finance[Xero Invoice No])&amp;" +more"),"")))</f>
        <v/>
      </c>
      <c r="C53" s="24" t="n"/>
      <c r="D53" s="25">
        <f>IF(C53="","",IF(COUNTIF(lst_Jobs,C53&amp;"")&gt;0,"OK","CHECK"))</f>
        <v/>
      </c>
      <c r="E53" s="25">
        <f>IF(C53="","",IFERROR(INDEX(lst_JobName,MATCH(C53&amp;"",lst_Jobs,0)),""))</f>
        <v/>
      </c>
      <c r="F53" s="25">
        <f>IF(C53="","",IFERROR(INDEX(tbl_Finance[Client],MATCH(C53&amp;"",tbl_Finance[Job Number],0)),""))</f>
        <v/>
      </c>
      <c r="G53" s="28">
        <f>IF(C53="","",COUNTIFS(tbl_Finance[Job Number],C53&amp;"",tbl_Finance[Ex GST],"&lt;&gt;"))</f>
        <v/>
      </c>
      <c r="H53" s="27">
        <f>IF(C53="","",SUMIFS(tbl_Finance[Ex GST],tbl_Finance[Job Number],C53&amp;""))</f>
        <v/>
      </c>
      <c r="I53" s="27">
        <f>IF(C53="","",SUMIFS(tbl_Finance[Ex GST],tbl_Finance[Job Number],C53&amp;"",tbl_Finance[Xero Invoice No],"&lt;&gt;"))</f>
        <v/>
      </c>
      <c r="J53" s="27">
        <f>IF(C53="","",H53-I53)</f>
        <v/>
      </c>
      <c r="K53" s="25">
        <f>IF(C53="","",IF(G53=0,"not invoiced yet",SUBSTITUTE(TRIM(IF(COUNTIFS(tbl_Finance[Job Number],C53&amp;"",tbl_Finance[Cost Centre],"ONSITE")&gt;0,"ONSITE ","")&amp;IF(COUNTIFS(tbl_Finance[Job Number],C53&amp;"",tbl_Finance[Cost Centre],"PRODUCTION")&gt;0,"PRODUCTION ","")&amp;IF(COUNTIFS(tbl_Finance[Job Number],C53&amp;"",tbl_Finance[Cost Centre],"VIDEO")&gt;0,"VIDEO ","")&amp;IF(COUNTIFS(tbl_Finance[Job Number],C53&amp;"",tbl_Finance[Cost Centre],"INTEGRATION")&gt;0,"INTEGRATION ","")&amp;IF(COUNTIFS(tbl_Finance[Job Number],C53&amp;"",tbl_Finance[Cost Centre],"CONSULTING")&gt;0,"CONSULTING ","")&amp;IF(COUNTIFS(tbl_Finance[Job Number],C53&amp;"",tbl_Finance[Cost Centre],"CTS")&gt;0,"CTS ",""))," ",", ")))</f>
        <v/>
      </c>
      <c r="L53" s="27">
        <f>IF(C53="","",SUMIFS(tbl_Finance[Inc GST],tbl_Finance[Job Number],C53&amp;""))</f>
        <v/>
      </c>
      <c r="M53" s="24" t="n"/>
      <c r="N53" s="25">
        <f>IF(C53="","",IFERROR(INDEX(tbl_Finance[Description],MATCH(C53&amp;"",tbl_Finance[Job Number],0)),""))</f>
        <v/>
      </c>
      <c r="O53" s="24" t="n"/>
      <c r="P53" s="24" t="n"/>
      <c r="Q53" s="22" t="n"/>
      <c r="R53" s="24" t="n"/>
      <c r="S53" s="25">
        <f>IF(R53="","",IF(AND(LEFT(R53,4)&lt;&gt;"http",set_RMSBase=""),"",HYPERLINK(IF(LEFT(R53,4)="http",R53,set_RMSBase&amp;R53),"Open opportunity")))</f>
        <v/>
      </c>
      <c r="T53" s="24" t="n"/>
      <c r="U53" s="25">
        <f>IF(T53="","",HYPERLINK(IF(LEFT(T53,4)="http",T53,set_QwilrBase&amp;T53),"Open quote"))</f>
        <v/>
      </c>
      <c r="V53" s="25">
        <f>IF(C53="","",C53)</f>
        <v/>
      </c>
      <c r="W53" s="24" t="n"/>
      <c r="X53" s="26" t="n"/>
      <c r="Y53" s="27">
        <f>IF(C53="","",H53+N(X53))</f>
        <v/>
      </c>
      <c r="Z53" s="29">
        <f>IFERROR(X53/Y53,"")</f>
        <v/>
      </c>
      <c r="AA53" s="26" t="n"/>
      <c r="AB53" s="26" t="n"/>
      <c r="AC53" s="26" t="n"/>
      <c r="AD53" s="26" t="n"/>
      <c r="AE53" s="27">
        <f>IF(C53="","",SUMIFS(tbl_Finance[Ex GST],tbl_Finance[Job Number],C53&amp;"",tbl_Finance[Cost Centre],"VIDEO"))</f>
        <v/>
      </c>
      <c r="AF53" s="29">
        <f>IFERROR(AE53/H53,"")</f>
        <v/>
      </c>
      <c r="AG53" s="27">
        <f>IF(C53="","",N(AA53)+N(AB53)+N(AC53)+N(AD53))</f>
        <v/>
      </c>
      <c r="AH53" s="27">
        <f>IF(C53="","",H53-AG53)</f>
        <v/>
      </c>
      <c r="AI53" s="29">
        <f>IFERROR(AH53/H53,"")</f>
        <v/>
      </c>
      <c r="AJ53" s="69" t="n"/>
      <c r="AK53" s="69" t="n"/>
      <c r="AL53" s="69" t="n"/>
      <c r="AM53" s="69" t="n"/>
      <c r="AN53" s="69" t="n"/>
      <c r="AO53" s="24" t="n"/>
    </row>
    <row r="54" ht="15" customHeight="1">
      <c r="A54" s="68">
        <f>IF(C54="","",IFERROR(IF(SUMPRODUCT(MAX((tbl_Finance[Job Number]=C54&amp;"")*(tbl_Finance[Xero Invoice No]&lt;&gt;"")*tbl_Finance[Date]))=0,"",SUMPRODUCT(MAX((tbl_Finance[Job Number]=C54&amp;"")*(tbl_Finance[Xero Invoice No]&lt;&gt;"")*tbl_Finance[Date]))),""))</f>
        <v/>
      </c>
      <c r="B54" s="25">
        <f>IF(C54="","",IF(COUNTIFS(tbl_Finance[Job Number],C54&amp;"",tbl_Finance[Xero Invoice No],"&lt;&gt;")=0,"",IFERROR(IF(COUNTIFS(tbl_Finance[Job Number],C54&amp;"",tbl_Finance[Xero Invoice No],LOOKUP(2,1/((tbl_Finance[Job Number]=C54&amp;"")*(tbl_Finance[Xero Invoice No]&lt;&gt;"")),tbl_Finance[Xero Invoice No]))=COUNTIFS(tbl_Finance[Job Number],C54&amp;"",tbl_Finance[Xero Invoice No],"&lt;&gt;"),LOOKUP(2,1/((tbl_Finance[Job Number]=C54&amp;"")*(tbl_Finance[Xero Invoice No]&lt;&gt;"")),tbl_Finance[Xero Invoice No]),LOOKUP(2,1/((tbl_Finance[Job Number]=C54&amp;"")*(tbl_Finance[Xero Invoice No]&lt;&gt;"")),tbl_Finance[Xero Invoice No])&amp;" +more"),"")))</f>
        <v/>
      </c>
      <c r="C54" s="24" t="n"/>
      <c r="D54" s="25">
        <f>IF(C54="","",IF(COUNTIF(lst_Jobs,C54&amp;"")&gt;0,"OK","CHECK"))</f>
        <v/>
      </c>
      <c r="E54" s="25">
        <f>IF(C54="","",IFERROR(INDEX(lst_JobName,MATCH(C54&amp;"",lst_Jobs,0)),""))</f>
        <v/>
      </c>
      <c r="F54" s="25">
        <f>IF(C54="","",IFERROR(INDEX(tbl_Finance[Client],MATCH(C54&amp;"",tbl_Finance[Job Number],0)),""))</f>
        <v/>
      </c>
      <c r="G54" s="28">
        <f>IF(C54="","",COUNTIFS(tbl_Finance[Job Number],C54&amp;"",tbl_Finance[Ex GST],"&lt;&gt;"))</f>
        <v/>
      </c>
      <c r="H54" s="27">
        <f>IF(C54="","",SUMIFS(tbl_Finance[Ex GST],tbl_Finance[Job Number],C54&amp;""))</f>
        <v/>
      </c>
      <c r="I54" s="27">
        <f>IF(C54="","",SUMIFS(tbl_Finance[Ex GST],tbl_Finance[Job Number],C54&amp;"",tbl_Finance[Xero Invoice No],"&lt;&gt;"))</f>
        <v/>
      </c>
      <c r="J54" s="27">
        <f>IF(C54="","",H54-I54)</f>
        <v/>
      </c>
      <c r="K54" s="25">
        <f>IF(C54="","",IF(G54=0,"not invoiced yet",SUBSTITUTE(TRIM(IF(COUNTIFS(tbl_Finance[Job Number],C54&amp;"",tbl_Finance[Cost Centre],"ONSITE")&gt;0,"ONSITE ","")&amp;IF(COUNTIFS(tbl_Finance[Job Number],C54&amp;"",tbl_Finance[Cost Centre],"PRODUCTION")&gt;0,"PRODUCTION ","")&amp;IF(COUNTIFS(tbl_Finance[Job Number],C54&amp;"",tbl_Finance[Cost Centre],"VIDEO")&gt;0,"VIDEO ","")&amp;IF(COUNTIFS(tbl_Finance[Job Number],C54&amp;"",tbl_Finance[Cost Centre],"INTEGRATION")&gt;0,"INTEGRATION ","")&amp;IF(COUNTIFS(tbl_Finance[Job Number],C54&amp;"",tbl_Finance[Cost Centre],"CONSULTING")&gt;0,"CONSULTING ","")&amp;IF(COUNTIFS(tbl_Finance[Job Number],C54&amp;"",tbl_Finance[Cost Centre],"CTS")&gt;0,"CTS ",""))," ",", ")))</f>
        <v/>
      </c>
      <c r="L54" s="27">
        <f>IF(C54="","",SUMIFS(tbl_Finance[Inc GST],tbl_Finance[Job Number],C54&amp;""))</f>
        <v/>
      </c>
      <c r="M54" s="24" t="n"/>
      <c r="N54" s="25">
        <f>IF(C54="","",IFERROR(INDEX(tbl_Finance[Description],MATCH(C54&amp;"",tbl_Finance[Job Number],0)),""))</f>
        <v/>
      </c>
      <c r="O54" s="24" t="n"/>
      <c r="P54" s="24" t="n"/>
      <c r="Q54" s="22" t="n"/>
      <c r="R54" s="24" t="n"/>
      <c r="S54" s="25">
        <f>IF(R54="","",IF(AND(LEFT(R54,4)&lt;&gt;"http",set_RMSBase=""),"",HYPERLINK(IF(LEFT(R54,4)="http",R54,set_RMSBase&amp;R54),"Open opportunity")))</f>
        <v/>
      </c>
      <c r="T54" s="24" t="n"/>
      <c r="U54" s="25">
        <f>IF(T54="","",HYPERLINK(IF(LEFT(T54,4)="http",T54,set_QwilrBase&amp;T54),"Open quote"))</f>
        <v/>
      </c>
      <c r="V54" s="25">
        <f>IF(C54="","",C54)</f>
        <v/>
      </c>
      <c r="W54" s="24" t="n"/>
      <c r="X54" s="26" t="n"/>
      <c r="Y54" s="27">
        <f>IF(C54="","",H54+N(X54))</f>
        <v/>
      </c>
      <c r="Z54" s="29">
        <f>IFERROR(X54/Y54,"")</f>
        <v/>
      </c>
      <c r="AA54" s="26" t="n"/>
      <c r="AB54" s="26" t="n"/>
      <c r="AC54" s="26" t="n"/>
      <c r="AD54" s="26" t="n"/>
      <c r="AE54" s="27">
        <f>IF(C54="","",SUMIFS(tbl_Finance[Ex GST],tbl_Finance[Job Number],C54&amp;"",tbl_Finance[Cost Centre],"VIDEO"))</f>
        <v/>
      </c>
      <c r="AF54" s="29">
        <f>IFERROR(AE54/H54,"")</f>
        <v/>
      </c>
      <c r="AG54" s="27">
        <f>IF(C54="","",N(AA54)+N(AB54)+N(AC54)+N(AD54))</f>
        <v/>
      </c>
      <c r="AH54" s="27">
        <f>IF(C54="","",H54-AG54)</f>
        <v/>
      </c>
      <c r="AI54" s="29">
        <f>IFERROR(AH54/H54,"")</f>
        <v/>
      </c>
      <c r="AJ54" s="69" t="n"/>
      <c r="AK54" s="69" t="n"/>
      <c r="AL54" s="69" t="n"/>
      <c r="AM54" s="69" t="n"/>
      <c r="AN54" s="69" t="n"/>
      <c r="AO54" s="24" t="n"/>
    </row>
    <row r="55" ht="15" customHeight="1">
      <c r="A55" s="68">
        <f>IF(C55="","",IFERROR(IF(SUMPRODUCT(MAX((tbl_Finance[Job Number]=C55&amp;"")*(tbl_Finance[Xero Invoice No]&lt;&gt;"")*tbl_Finance[Date]))=0,"",SUMPRODUCT(MAX((tbl_Finance[Job Number]=C55&amp;"")*(tbl_Finance[Xero Invoice No]&lt;&gt;"")*tbl_Finance[Date]))),""))</f>
        <v/>
      </c>
      <c r="B55" s="25">
        <f>IF(C55="","",IF(COUNTIFS(tbl_Finance[Job Number],C55&amp;"",tbl_Finance[Xero Invoice No],"&lt;&gt;")=0,"",IFERROR(IF(COUNTIFS(tbl_Finance[Job Number],C55&amp;"",tbl_Finance[Xero Invoice No],LOOKUP(2,1/((tbl_Finance[Job Number]=C55&amp;"")*(tbl_Finance[Xero Invoice No]&lt;&gt;"")),tbl_Finance[Xero Invoice No]))=COUNTIFS(tbl_Finance[Job Number],C55&amp;"",tbl_Finance[Xero Invoice No],"&lt;&gt;"),LOOKUP(2,1/((tbl_Finance[Job Number]=C55&amp;"")*(tbl_Finance[Xero Invoice No]&lt;&gt;"")),tbl_Finance[Xero Invoice No]),LOOKUP(2,1/((tbl_Finance[Job Number]=C55&amp;"")*(tbl_Finance[Xero Invoice No]&lt;&gt;"")),tbl_Finance[Xero Invoice No])&amp;" +more"),"")))</f>
        <v/>
      </c>
      <c r="C55" s="24" t="n"/>
      <c r="D55" s="25">
        <f>IF(C55="","",IF(COUNTIF(lst_Jobs,C55&amp;"")&gt;0,"OK","CHECK"))</f>
        <v/>
      </c>
      <c r="E55" s="25">
        <f>IF(C55="","",IFERROR(INDEX(lst_JobName,MATCH(C55&amp;"",lst_Jobs,0)),""))</f>
        <v/>
      </c>
      <c r="F55" s="25">
        <f>IF(C55="","",IFERROR(INDEX(tbl_Finance[Client],MATCH(C55&amp;"",tbl_Finance[Job Number],0)),""))</f>
        <v/>
      </c>
      <c r="G55" s="28">
        <f>IF(C55="","",COUNTIFS(tbl_Finance[Job Number],C55&amp;"",tbl_Finance[Ex GST],"&lt;&gt;"))</f>
        <v/>
      </c>
      <c r="H55" s="27">
        <f>IF(C55="","",SUMIFS(tbl_Finance[Ex GST],tbl_Finance[Job Number],C55&amp;""))</f>
        <v/>
      </c>
      <c r="I55" s="27">
        <f>IF(C55="","",SUMIFS(tbl_Finance[Ex GST],tbl_Finance[Job Number],C55&amp;"",tbl_Finance[Xero Invoice No],"&lt;&gt;"))</f>
        <v/>
      </c>
      <c r="J55" s="27">
        <f>IF(C55="","",H55-I55)</f>
        <v/>
      </c>
      <c r="K55" s="25">
        <f>IF(C55="","",IF(G55=0,"not invoiced yet",SUBSTITUTE(TRIM(IF(COUNTIFS(tbl_Finance[Job Number],C55&amp;"",tbl_Finance[Cost Centre],"ONSITE")&gt;0,"ONSITE ","")&amp;IF(COUNTIFS(tbl_Finance[Job Number],C55&amp;"",tbl_Finance[Cost Centre],"PRODUCTION")&gt;0,"PRODUCTION ","")&amp;IF(COUNTIFS(tbl_Finance[Job Number],C55&amp;"",tbl_Finance[Cost Centre],"VIDEO")&gt;0,"VIDEO ","")&amp;IF(COUNTIFS(tbl_Finance[Job Number],C55&amp;"",tbl_Finance[Cost Centre],"INTEGRATION")&gt;0,"INTEGRATION ","")&amp;IF(COUNTIFS(tbl_Finance[Job Number],C55&amp;"",tbl_Finance[Cost Centre],"CONSULTING")&gt;0,"CONSULTING ","")&amp;IF(COUNTIFS(tbl_Finance[Job Number],C55&amp;"",tbl_Finance[Cost Centre],"CTS")&gt;0,"CTS ",""))," ",", ")))</f>
        <v/>
      </c>
      <c r="L55" s="27">
        <f>IF(C55="","",SUMIFS(tbl_Finance[Inc GST],tbl_Finance[Job Number],C55&amp;""))</f>
        <v/>
      </c>
      <c r="M55" s="24" t="n"/>
      <c r="N55" s="25">
        <f>IF(C55="","",IFERROR(INDEX(tbl_Finance[Description],MATCH(C55&amp;"",tbl_Finance[Job Number],0)),""))</f>
        <v/>
      </c>
      <c r="O55" s="24" t="n"/>
      <c r="P55" s="24" t="n"/>
      <c r="Q55" s="22" t="n"/>
      <c r="R55" s="24" t="n"/>
      <c r="S55" s="25">
        <f>IF(R55="","",IF(AND(LEFT(R55,4)&lt;&gt;"http",set_RMSBase=""),"",HYPERLINK(IF(LEFT(R55,4)="http",R55,set_RMSBase&amp;R55),"Open opportunity")))</f>
        <v/>
      </c>
      <c r="T55" s="24" t="n"/>
      <c r="U55" s="25">
        <f>IF(T55="","",HYPERLINK(IF(LEFT(T55,4)="http",T55,set_QwilrBase&amp;T55),"Open quote"))</f>
        <v/>
      </c>
      <c r="V55" s="25">
        <f>IF(C55="","",C55)</f>
        <v/>
      </c>
      <c r="W55" s="24" t="n"/>
      <c r="X55" s="26" t="n"/>
      <c r="Y55" s="27">
        <f>IF(C55="","",H55+N(X55))</f>
        <v/>
      </c>
      <c r="Z55" s="29">
        <f>IFERROR(X55/Y55,"")</f>
        <v/>
      </c>
      <c r="AA55" s="26" t="n"/>
      <c r="AB55" s="26" t="n"/>
      <c r="AC55" s="26" t="n"/>
      <c r="AD55" s="26" t="n"/>
      <c r="AE55" s="27">
        <f>IF(C55="","",SUMIFS(tbl_Finance[Ex GST],tbl_Finance[Job Number],C55&amp;"",tbl_Finance[Cost Centre],"VIDEO"))</f>
        <v/>
      </c>
      <c r="AF55" s="29">
        <f>IFERROR(AE55/H55,"")</f>
        <v/>
      </c>
      <c r="AG55" s="27">
        <f>IF(C55="","",N(AA55)+N(AB55)+N(AC55)+N(AD55))</f>
        <v/>
      </c>
      <c r="AH55" s="27">
        <f>IF(C55="","",H55-AG55)</f>
        <v/>
      </c>
      <c r="AI55" s="29">
        <f>IFERROR(AH55/H55,"")</f>
        <v/>
      </c>
      <c r="AJ55" s="69" t="n"/>
      <c r="AK55" s="69" t="n"/>
      <c r="AL55" s="69" t="n"/>
      <c r="AM55" s="69" t="n"/>
      <c r="AN55" s="69" t="n"/>
      <c r="AO55" s="24" t="n"/>
    </row>
    <row r="56" ht="15" customHeight="1">
      <c r="A56" s="68">
        <f>IF(C56="","",IFERROR(IF(SUMPRODUCT(MAX((tbl_Finance[Job Number]=C56&amp;"")*(tbl_Finance[Xero Invoice No]&lt;&gt;"")*tbl_Finance[Date]))=0,"",SUMPRODUCT(MAX((tbl_Finance[Job Number]=C56&amp;"")*(tbl_Finance[Xero Invoice No]&lt;&gt;"")*tbl_Finance[Date]))),""))</f>
        <v/>
      </c>
      <c r="B56" s="25">
        <f>IF(C56="","",IF(COUNTIFS(tbl_Finance[Job Number],C56&amp;"",tbl_Finance[Xero Invoice No],"&lt;&gt;")=0,"",IFERROR(IF(COUNTIFS(tbl_Finance[Job Number],C56&amp;"",tbl_Finance[Xero Invoice No],LOOKUP(2,1/((tbl_Finance[Job Number]=C56&amp;"")*(tbl_Finance[Xero Invoice No]&lt;&gt;"")),tbl_Finance[Xero Invoice No]))=COUNTIFS(tbl_Finance[Job Number],C56&amp;"",tbl_Finance[Xero Invoice No],"&lt;&gt;"),LOOKUP(2,1/((tbl_Finance[Job Number]=C56&amp;"")*(tbl_Finance[Xero Invoice No]&lt;&gt;"")),tbl_Finance[Xero Invoice No]),LOOKUP(2,1/((tbl_Finance[Job Number]=C56&amp;"")*(tbl_Finance[Xero Invoice No]&lt;&gt;"")),tbl_Finance[Xero Invoice No])&amp;" +more"),"")))</f>
        <v/>
      </c>
      <c r="C56" s="24" t="n"/>
      <c r="D56" s="25">
        <f>IF(C56="","",IF(COUNTIF(lst_Jobs,C56&amp;"")&gt;0,"OK","CHECK"))</f>
        <v/>
      </c>
      <c r="E56" s="25">
        <f>IF(C56="","",IFERROR(INDEX(lst_JobName,MATCH(C56&amp;"",lst_Jobs,0)),""))</f>
        <v/>
      </c>
      <c r="F56" s="25">
        <f>IF(C56="","",IFERROR(INDEX(tbl_Finance[Client],MATCH(C56&amp;"",tbl_Finance[Job Number],0)),""))</f>
        <v/>
      </c>
      <c r="G56" s="28">
        <f>IF(C56="","",COUNTIFS(tbl_Finance[Job Number],C56&amp;"",tbl_Finance[Ex GST],"&lt;&gt;"))</f>
        <v/>
      </c>
      <c r="H56" s="27">
        <f>IF(C56="","",SUMIFS(tbl_Finance[Ex GST],tbl_Finance[Job Number],C56&amp;""))</f>
        <v/>
      </c>
      <c r="I56" s="27">
        <f>IF(C56="","",SUMIFS(tbl_Finance[Ex GST],tbl_Finance[Job Number],C56&amp;"",tbl_Finance[Xero Invoice No],"&lt;&gt;"))</f>
        <v/>
      </c>
      <c r="J56" s="27">
        <f>IF(C56="","",H56-I56)</f>
        <v/>
      </c>
      <c r="K56" s="25">
        <f>IF(C56="","",IF(G56=0,"not invoiced yet",SUBSTITUTE(TRIM(IF(COUNTIFS(tbl_Finance[Job Number],C56&amp;"",tbl_Finance[Cost Centre],"ONSITE")&gt;0,"ONSITE ","")&amp;IF(COUNTIFS(tbl_Finance[Job Number],C56&amp;"",tbl_Finance[Cost Centre],"PRODUCTION")&gt;0,"PRODUCTION ","")&amp;IF(COUNTIFS(tbl_Finance[Job Number],C56&amp;"",tbl_Finance[Cost Centre],"VIDEO")&gt;0,"VIDEO ","")&amp;IF(COUNTIFS(tbl_Finance[Job Number],C56&amp;"",tbl_Finance[Cost Centre],"INTEGRATION")&gt;0,"INTEGRATION ","")&amp;IF(COUNTIFS(tbl_Finance[Job Number],C56&amp;"",tbl_Finance[Cost Centre],"CONSULTING")&gt;0,"CONSULTING ","")&amp;IF(COUNTIFS(tbl_Finance[Job Number],C56&amp;"",tbl_Finance[Cost Centre],"CTS")&gt;0,"CTS ",""))," ",", ")))</f>
        <v/>
      </c>
      <c r="L56" s="27">
        <f>IF(C56="","",SUMIFS(tbl_Finance[Inc GST],tbl_Finance[Job Number],C56&amp;""))</f>
        <v/>
      </c>
      <c r="M56" s="24" t="n"/>
      <c r="N56" s="25">
        <f>IF(C56="","",IFERROR(INDEX(tbl_Finance[Description],MATCH(C56&amp;"",tbl_Finance[Job Number],0)),""))</f>
        <v/>
      </c>
      <c r="O56" s="24" t="n"/>
      <c r="P56" s="24" t="n"/>
      <c r="Q56" s="22" t="n"/>
      <c r="R56" s="24" t="n"/>
      <c r="S56" s="25">
        <f>IF(R56="","",IF(AND(LEFT(R56,4)&lt;&gt;"http",set_RMSBase=""),"",HYPERLINK(IF(LEFT(R56,4)="http",R56,set_RMSBase&amp;R56),"Open opportunity")))</f>
        <v/>
      </c>
      <c r="T56" s="24" t="n"/>
      <c r="U56" s="25">
        <f>IF(T56="","",HYPERLINK(IF(LEFT(T56,4)="http",T56,set_QwilrBase&amp;T56),"Open quote"))</f>
        <v/>
      </c>
      <c r="V56" s="25">
        <f>IF(C56="","",C56)</f>
        <v/>
      </c>
      <c r="W56" s="24" t="n"/>
      <c r="X56" s="26" t="n"/>
      <c r="Y56" s="27">
        <f>IF(C56="","",H56+N(X56))</f>
        <v/>
      </c>
      <c r="Z56" s="29">
        <f>IFERROR(X56/Y56,"")</f>
        <v/>
      </c>
      <c r="AA56" s="26" t="n"/>
      <c r="AB56" s="26" t="n"/>
      <c r="AC56" s="26" t="n"/>
      <c r="AD56" s="26" t="n"/>
      <c r="AE56" s="27">
        <f>IF(C56="","",SUMIFS(tbl_Finance[Ex GST],tbl_Finance[Job Number],C56&amp;"",tbl_Finance[Cost Centre],"VIDEO"))</f>
        <v/>
      </c>
      <c r="AF56" s="29">
        <f>IFERROR(AE56/H56,"")</f>
        <v/>
      </c>
      <c r="AG56" s="27">
        <f>IF(C56="","",N(AA56)+N(AB56)+N(AC56)+N(AD56))</f>
        <v/>
      </c>
      <c r="AH56" s="27">
        <f>IF(C56="","",H56-AG56)</f>
        <v/>
      </c>
      <c r="AI56" s="29">
        <f>IFERROR(AH56/H56,"")</f>
        <v/>
      </c>
      <c r="AJ56" s="69" t="n"/>
      <c r="AK56" s="69" t="n"/>
      <c r="AL56" s="69" t="n"/>
      <c r="AM56" s="69" t="n"/>
      <c r="AN56" s="69" t="n"/>
      <c r="AO56" s="24" t="n"/>
    </row>
    <row r="57" ht="15" customHeight="1">
      <c r="A57" s="68">
        <f>IF(C57="","",IFERROR(IF(SUMPRODUCT(MAX((tbl_Finance[Job Number]=C57&amp;"")*(tbl_Finance[Xero Invoice No]&lt;&gt;"")*tbl_Finance[Date]))=0,"",SUMPRODUCT(MAX((tbl_Finance[Job Number]=C57&amp;"")*(tbl_Finance[Xero Invoice No]&lt;&gt;"")*tbl_Finance[Date]))),""))</f>
        <v/>
      </c>
      <c r="B57" s="25">
        <f>IF(C57="","",IF(COUNTIFS(tbl_Finance[Job Number],C57&amp;"",tbl_Finance[Xero Invoice No],"&lt;&gt;")=0,"",IFERROR(IF(COUNTIFS(tbl_Finance[Job Number],C57&amp;"",tbl_Finance[Xero Invoice No],LOOKUP(2,1/((tbl_Finance[Job Number]=C57&amp;"")*(tbl_Finance[Xero Invoice No]&lt;&gt;"")),tbl_Finance[Xero Invoice No]))=COUNTIFS(tbl_Finance[Job Number],C57&amp;"",tbl_Finance[Xero Invoice No],"&lt;&gt;"),LOOKUP(2,1/((tbl_Finance[Job Number]=C57&amp;"")*(tbl_Finance[Xero Invoice No]&lt;&gt;"")),tbl_Finance[Xero Invoice No]),LOOKUP(2,1/((tbl_Finance[Job Number]=C57&amp;"")*(tbl_Finance[Xero Invoice No]&lt;&gt;"")),tbl_Finance[Xero Invoice No])&amp;" +more"),"")))</f>
        <v/>
      </c>
      <c r="C57" s="24" t="n"/>
      <c r="D57" s="25">
        <f>IF(C57="","",IF(COUNTIF(lst_Jobs,C57&amp;"")&gt;0,"OK","CHECK"))</f>
        <v/>
      </c>
      <c r="E57" s="25">
        <f>IF(C57="","",IFERROR(INDEX(lst_JobName,MATCH(C57&amp;"",lst_Jobs,0)),""))</f>
        <v/>
      </c>
      <c r="F57" s="25">
        <f>IF(C57="","",IFERROR(INDEX(tbl_Finance[Client],MATCH(C57&amp;"",tbl_Finance[Job Number],0)),""))</f>
        <v/>
      </c>
      <c r="G57" s="28">
        <f>IF(C57="","",COUNTIFS(tbl_Finance[Job Number],C57&amp;"",tbl_Finance[Ex GST],"&lt;&gt;"))</f>
        <v/>
      </c>
      <c r="H57" s="27">
        <f>IF(C57="","",SUMIFS(tbl_Finance[Ex GST],tbl_Finance[Job Number],C57&amp;""))</f>
        <v/>
      </c>
      <c r="I57" s="27">
        <f>IF(C57="","",SUMIFS(tbl_Finance[Ex GST],tbl_Finance[Job Number],C57&amp;"",tbl_Finance[Xero Invoice No],"&lt;&gt;"))</f>
        <v/>
      </c>
      <c r="J57" s="27">
        <f>IF(C57="","",H57-I57)</f>
        <v/>
      </c>
      <c r="K57" s="25">
        <f>IF(C57="","",IF(G57=0,"not invoiced yet",SUBSTITUTE(TRIM(IF(COUNTIFS(tbl_Finance[Job Number],C57&amp;"",tbl_Finance[Cost Centre],"ONSITE")&gt;0,"ONSITE ","")&amp;IF(COUNTIFS(tbl_Finance[Job Number],C57&amp;"",tbl_Finance[Cost Centre],"PRODUCTION")&gt;0,"PRODUCTION ","")&amp;IF(COUNTIFS(tbl_Finance[Job Number],C57&amp;"",tbl_Finance[Cost Centre],"VIDEO")&gt;0,"VIDEO ","")&amp;IF(COUNTIFS(tbl_Finance[Job Number],C57&amp;"",tbl_Finance[Cost Centre],"INTEGRATION")&gt;0,"INTEGRATION ","")&amp;IF(COUNTIFS(tbl_Finance[Job Number],C57&amp;"",tbl_Finance[Cost Centre],"CONSULTING")&gt;0,"CONSULTING ","")&amp;IF(COUNTIFS(tbl_Finance[Job Number],C57&amp;"",tbl_Finance[Cost Centre],"CTS")&gt;0,"CTS ",""))," ",", ")))</f>
        <v/>
      </c>
      <c r="L57" s="27">
        <f>IF(C57="","",SUMIFS(tbl_Finance[Inc GST],tbl_Finance[Job Number],C57&amp;""))</f>
        <v/>
      </c>
      <c r="M57" s="24" t="n"/>
      <c r="N57" s="25">
        <f>IF(C57="","",IFERROR(INDEX(tbl_Finance[Description],MATCH(C57&amp;"",tbl_Finance[Job Number],0)),""))</f>
        <v/>
      </c>
      <c r="O57" s="24" t="n"/>
      <c r="P57" s="24" t="n"/>
      <c r="Q57" s="22" t="n"/>
      <c r="R57" s="24" t="n"/>
      <c r="S57" s="25">
        <f>IF(R57="","",IF(AND(LEFT(R57,4)&lt;&gt;"http",set_RMSBase=""),"",HYPERLINK(IF(LEFT(R57,4)="http",R57,set_RMSBase&amp;R57),"Open opportunity")))</f>
        <v/>
      </c>
      <c r="T57" s="24" t="n"/>
      <c r="U57" s="25">
        <f>IF(T57="","",HYPERLINK(IF(LEFT(T57,4)="http",T57,set_QwilrBase&amp;T57),"Open quote"))</f>
        <v/>
      </c>
      <c r="V57" s="25">
        <f>IF(C57="","",C57)</f>
        <v/>
      </c>
      <c r="W57" s="24" t="n"/>
      <c r="X57" s="26" t="n"/>
      <c r="Y57" s="27">
        <f>IF(C57="","",H57+N(X57))</f>
        <v/>
      </c>
      <c r="Z57" s="29">
        <f>IFERROR(X57/Y57,"")</f>
        <v/>
      </c>
      <c r="AA57" s="26" t="n"/>
      <c r="AB57" s="26" t="n"/>
      <c r="AC57" s="26" t="n"/>
      <c r="AD57" s="26" t="n"/>
      <c r="AE57" s="27">
        <f>IF(C57="","",SUMIFS(tbl_Finance[Ex GST],tbl_Finance[Job Number],C57&amp;"",tbl_Finance[Cost Centre],"VIDEO"))</f>
        <v/>
      </c>
      <c r="AF57" s="29">
        <f>IFERROR(AE57/H57,"")</f>
        <v/>
      </c>
      <c r="AG57" s="27">
        <f>IF(C57="","",N(AA57)+N(AB57)+N(AC57)+N(AD57))</f>
        <v/>
      </c>
      <c r="AH57" s="27">
        <f>IF(C57="","",H57-AG57)</f>
        <v/>
      </c>
      <c r="AI57" s="29">
        <f>IFERROR(AH57/H57,"")</f>
        <v/>
      </c>
      <c r="AJ57" s="69" t="n"/>
      <c r="AK57" s="69" t="n"/>
      <c r="AL57" s="69" t="n"/>
      <c r="AM57" s="69" t="n"/>
      <c r="AN57" s="69" t="n"/>
      <c r="AO57" s="24" t="n"/>
    </row>
    <row r="58" ht="15" customHeight="1">
      <c r="A58" s="68">
        <f>IF(C58="","",IFERROR(IF(SUMPRODUCT(MAX((tbl_Finance[Job Number]=C58&amp;"")*(tbl_Finance[Xero Invoice No]&lt;&gt;"")*tbl_Finance[Date]))=0,"",SUMPRODUCT(MAX((tbl_Finance[Job Number]=C58&amp;"")*(tbl_Finance[Xero Invoice No]&lt;&gt;"")*tbl_Finance[Date]))),""))</f>
        <v/>
      </c>
      <c r="B58" s="25">
        <f>IF(C58="","",IF(COUNTIFS(tbl_Finance[Job Number],C58&amp;"",tbl_Finance[Xero Invoice No],"&lt;&gt;")=0,"",IFERROR(IF(COUNTIFS(tbl_Finance[Job Number],C58&amp;"",tbl_Finance[Xero Invoice No],LOOKUP(2,1/((tbl_Finance[Job Number]=C58&amp;"")*(tbl_Finance[Xero Invoice No]&lt;&gt;"")),tbl_Finance[Xero Invoice No]))=COUNTIFS(tbl_Finance[Job Number],C58&amp;"",tbl_Finance[Xero Invoice No],"&lt;&gt;"),LOOKUP(2,1/((tbl_Finance[Job Number]=C58&amp;"")*(tbl_Finance[Xero Invoice No]&lt;&gt;"")),tbl_Finance[Xero Invoice No]),LOOKUP(2,1/((tbl_Finance[Job Number]=C58&amp;"")*(tbl_Finance[Xero Invoice No]&lt;&gt;"")),tbl_Finance[Xero Invoice No])&amp;" +more"),"")))</f>
        <v/>
      </c>
      <c r="C58" s="24" t="n"/>
      <c r="D58" s="25">
        <f>IF(C58="","",IF(COUNTIF(lst_Jobs,C58&amp;"")&gt;0,"OK","CHECK"))</f>
        <v/>
      </c>
      <c r="E58" s="25">
        <f>IF(C58="","",IFERROR(INDEX(lst_JobName,MATCH(C58&amp;"",lst_Jobs,0)),""))</f>
        <v/>
      </c>
      <c r="F58" s="25">
        <f>IF(C58="","",IFERROR(INDEX(tbl_Finance[Client],MATCH(C58&amp;"",tbl_Finance[Job Number],0)),""))</f>
        <v/>
      </c>
      <c r="G58" s="28">
        <f>IF(C58="","",COUNTIFS(tbl_Finance[Job Number],C58&amp;"",tbl_Finance[Ex GST],"&lt;&gt;"))</f>
        <v/>
      </c>
      <c r="H58" s="27">
        <f>IF(C58="","",SUMIFS(tbl_Finance[Ex GST],tbl_Finance[Job Number],C58&amp;""))</f>
        <v/>
      </c>
      <c r="I58" s="27">
        <f>IF(C58="","",SUMIFS(tbl_Finance[Ex GST],tbl_Finance[Job Number],C58&amp;"",tbl_Finance[Xero Invoice No],"&lt;&gt;"))</f>
        <v/>
      </c>
      <c r="J58" s="27">
        <f>IF(C58="","",H58-I58)</f>
        <v/>
      </c>
      <c r="K58" s="25">
        <f>IF(C58="","",IF(G58=0,"not invoiced yet",SUBSTITUTE(TRIM(IF(COUNTIFS(tbl_Finance[Job Number],C58&amp;"",tbl_Finance[Cost Centre],"ONSITE")&gt;0,"ONSITE ","")&amp;IF(COUNTIFS(tbl_Finance[Job Number],C58&amp;"",tbl_Finance[Cost Centre],"PRODUCTION")&gt;0,"PRODUCTION ","")&amp;IF(COUNTIFS(tbl_Finance[Job Number],C58&amp;"",tbl_Finance[Cost Centre],"VIDEO")&gt;0,"VIDEO ","")&amp;IF(COUNTIFS(tbl_Finance[Job Number],C58&amp;"",tbl_Finance[Cost Centre],"INTEGRATION")&gt;0,"INTEGRATION ","")&amp;IF(COUNTIFS(tbl_Finance[Job Number],C58&amp;"",tbl_Finance[Cost Centre],"CONSULTING")&gt;0,"CONSULTING ","")&amp;IF(COUNTIFS(tbl_Finance[Job Number],C58&amp;"",tbl_Finance[Cost Centre],"CTS")&gt;0,"CTS ",""))," ",", ")))</f>
        <v/>
      </c>
      <c r="L58" s="27">
        <f>IF(C58="","",SUMIFS(tbl_Finance[Inc GST],tbl_Finance[Job Number],C58&amp;""))</f>
        <v/>
      </c>
      <c r="M58" s="24" t="n"/>
      <c r="N58" s="25">
        <f>IF(C58="","",IFERROR(INDEX(tbl_Finance[Description],MATCH(C58&amp;"",tbl_Finance[Job Number],0)),""))</f>
        <v/>
      </c>
      <c r="O58" s="24" t="n"/>
      <c r="P58" s="24" t="n"/>
      <c r="Q58" s="22" t="n"/>
      <c r="R58" s="24" t="n"/>
      <c r="S58" s="25">
        <f>IF(R58="","",IF(AND(LEFT(R58,4)&lt;&gt;"http",set_RMSBase=""),"",HYPERLINK(IF(LEFT(R58,4)="http",R58,set_RMSBase&amp;R58),"Open opportunity")))</f>
        <v/>
      </c>
      <c r="T58" s="24" t="n"/>
      <c r="U58" s="25">
        <f>IF(T58="","",HYPERLINK(IF(LEFT(T58,4)="http",T58,set_QwilrBase&amp;T58),"Open quote"))</f>
        <v/>
      </c>
      <c r="V58" s="25">
        <f>IF(C58="","",C58)</f>
        <v/>
      </c>
      <c r="W58" s="24" t="n"/>
      <c r="X58" s="26" t="n"/>
      <c r="Y58" s="27">
        <f>IF(C58="","",H58+N(X58))</f>
        <v/>
      </c>
      <c r="Z58" s="29">
        <f>IFERROR(X58/Y58,"")</f>
        <v/>
      </c>
      <c r="AA58" s="26" t="n"/>
      <c r="AB58" s="26" t="n"/>
      <c r="AC58" s="26" t="n"/>
      <c r="AD58" s="26" t="n"/>
      <c r="AE58" s="27">
        <f>IF(C58="","",SUMIFS(tbl_Finance[Ex GST],tbl_Finance[Job Number],C58&amp;"",tbl_Finance[Cost Centre],"VIDEO"))</f>
        <v/>
      </c>
      <c r="AF58" s="29">
        <f>IFERROR(AE58/H58,"")</f>
        <v/>
      </c>
      <c r="AG58" s="27">
        <f>IF(C58="","",N(AA58)+N(AB58)+N(AC58)+N(AD58))</f>
        <v/>
      </c>
      <c r="AH58" s="27">
        <f>IF(C58="","",H58-AG58)</f>
        <v/>
      </c>
      <c r="AI58" s="29">
        <f>IFERROR(AH58/H58,"")</f>
        <v/>
      </c>
      <c r="AJ58" s="69" t="n"/>
      <c r="AK58" s="69" t="n"/>
      <c r="AL58" s="69" t="n"/>
      <c r="AM58" s="69" t="n"/>
      <c r="AN58" s="69" t="n"/>
      <c r="AO58" s="24" t="n"/>
    </row>
    <row r="59" ht="15" customHeight="1">
      <c r="A59" s="68">
        <f>IF(C59="","",IFERROR(IF(SUMPRODUCT(MAX((tbl_Finance[Job Number]=C59&amp;"")*(tbl_Finance[Xero Invoice No]&lt;&gt;"")*tbl_Finance[Date]))=0,"",SUMPRODUCT(MAX((tbl_Finance[Job Number]=C59&amp;"")*(tbl_Finance[Xero Invoice No]&lt;&gt;"")*tbl_Finance[Date]))),""))</f>
        <v/>
      </c>
      <c r="B59" s="25">
        <f>IF(C59="","",IF(COUNTIFS(tbl_Finance[Job Number],C59&amp;"",tbl_Finance[Xero Invoice No],"&lt;&gt;")=0,"",IFERROR(IF(COUNTIFS(tbl_Finance[Job Number],C59&amp;"",tbl_Finance[Xero Invoice No],LOOKUP(2,1/((tbl_Finance[Job Number]=C59&amp;"")*(tbl_Finance[Xero Invoice No]&lt;&gt;"")),tbl_Finance[Xero Invoice No]))=COUNTIFS(tbl_Finance[Job Number],C59&amp;"",tbl_Finance[Xero Invoice No],"&lt;&gt;"),LOOKUP(2,1/((tbl_Finance[Job Number]=C59&amp;"")*(tbl_Finance[Xero Invoice No]&lt;&gt;"")),tbl_Finance[Xero Invoice No]),LOOKUP(2,1/((tbl_Finance[Job Number]=C59&amp;"")*(tbl_Finance[Xero Invoice No]&lt;&gt;"")),tbl_Finance[Xero Invoice No])&amp;" +more"),"")))</f>
        <v/>
      </c>
      <c r="C59" s="24" t="n"/>
      <c r="D59" s="25">
        <f>IF(C59="","",IF(COUNTIF(lst_Jobs,C59&amp;"")&gt;0,"OK","CHECK"))</f>
        <v/>
      </c>
      <c r="E59" s="25">
        <f>IF(C59="","",IFERROR(INDEX(lst_JobName,MATCH(C59&amp;"",lst_Jobs,0)),""))</f>
        <v/>
      </c>
      <c r="F59" s="25">
        <f>IF(C59="","",IFERROR(INDEX(tbl_Finance[Client],MATCH(C59&amp;"",tbl_Finance[Job Number],0)),""))</f>
        <v/>
      </c>
      <c r="G59" s="28">
        <f>IF(C59="","",COUNTIFS(tbl_Finance[Job Number],C59&amp;"",tbl_Finance[Ex GST],"&lt;&gt;"))</f>
        <v/>
      </c>
      <c r="H59" s="27">
        <f>IF(C59="","",SUMIFS(tbl_Finance[Ex GST],tbl_Finance[Job Number],C59&amp;""))</f>
        <v/>
      </c>
      <c r="I59" s="27">
        <f>IF(C59="","",SUMIFS(tbl_Finance[Ex GST],tbl_Finance[Job Number],C59&amp;"",tbl_Finance[Xero Invoice No],"&lt;&gt;"))</f>
        <v/>
      </c>
      <c r="J59" s="27">
        <f>IF(C59="","",H59-I59)</f>
        <v/>
      </c>
      <c r="K59" s="25">
        <f>IF(C59="","",IF(G59=0,"not invoiced yet",SUBSTITUTE(TRIM(IF(COUNTIFS(tbl_Finance[Job Number],C59&amp;"",tbl_Finance[Cost Centre],"ONSITE")&gt;0,"ONSITE ","")&amp;IF(COUNTIFS(tbl_Finance[Job Number],C59&amp;"",tbl_Finance[Cost Centre],"PRODUCTION")&gt;0,"PRODUCTION ","")&amp;IF(COUNTIFS(tbl_Finance[Job Number],C59&amp;"",tbl_Finance[Cost Centre],"VIDEO")&gt;0,"VIDEO ","")&amp;IF(COUNTIFS(tbl_Finance[Job Number],C59&amp;"",tbl_Finance[Cost Centre],"INTEGRATION")&gt;0,"INTEGRATION ","")&amp;IF(COUNTIFS(tbl_Finance[Job Number],C59&amp;"",tbl_Finance[Cost Centre],"CONSULTING")&gt;0,"CONSULTING ","")&amp;IF(COUNTIFS(tbl_Finance[Job Number],C59&amp;"",tbl_Finance[Cost Centre],"CTS")&gt;0,"CTS ",""))," ",", ")))</f>
        <v/>
      </c>
      <c r="L59" s="27">
        <f>IF(C59="","",SUMIFS(tbl_Finance[Inc GST],tbl_Finance[Job Number],C59&amp;""))</f>
        <v/>
      </c>
      <c r="M59" s="24" t="n"/>
      <c r="N59" s="25">
        <f>IF(C59="","",IFERROR(INDEX(tbl_Finance[Description],MATCH(C59&amp;"",tbl_Finance[Job Number],0)),""))</f>
        <v/>
      </c>
      <c r="O59" s="24" t="n"/>
      <c r="P59" s="24" t="n"/>
      <c r="Q59" s="22" t="n"/>
      <c r="R59" s="24" t="n"/>
      <c r="S59" s="25">
        <f>IF(R59="","",IF(AND(LEFT(R59,4)&lt;&gt;"http",set_RMSBase=""),"",HYPERLINK(IF(LEFT(R59,4)="http",R59,set_RMSBase&amp;R59),"Open opportunity")))</f>
        <v/>
      </c>
      <c r="T59" s="24" t="n"/>
      <c r="U59" s="25">
        <f>IF(T59="","",HYPERLINK(IF(LEFT(T59,4)="http",T59,set_QwilrBase&amp;T59),"Open quote"))</f>
        <v/>
      </c>
      <c r="V59" s="25">
        <f>IF(C59="","",C59)</f>
        <v/>
      </c>
      <c r="W59" s="24" t="n"/>
      <c r="X59" s="26" t="n"/>
      <c r="Y59" s="27">
        <f>IF(C59="","",H59+N(X59))</f>
        <v/>
      </c>
      <c r="Z59" s="29">
        <f>IFERROR(X59/Y59,"")</f>
        <v/>
      </c>
      <c r="AA59" s="26" t="n"/>
      <c r="AB59" s="26" t="n"/>
      <c r="AC59" s="26" t="n"/>
      <c r="AD59" s="26" t="n"/>
      <c r="AE59" s="27">
        <f>IF(C59="","",SUMIFS(tbl_Finance[Ex GST],tbl_Finance[Job Number],C59&amp;"",tbl_Finance[Cost Centre],"VIDEO"))</f>
        <v/>
      </c>
      <c r="AF59" s="29">
        <f>IFERROR(AE59/H59,"")</f>
        <v/>
      </c>
      <c r="AG59" s="27">
        <f>IF(C59="","",N(AA59)+N(AB59)+N(AC59)+N(AD59))</f>
        <v/>
      </c>
      <c r="AH59" s="27">
        <f>IF(C59="","",H59-AG59)</f>
        <v/>
      </c>
      <c r="AI59" s="29">
        <f>IFERROR(AH59/H59,"")</f>
        <v/>
      </c>
      <c r="AJ59" s="69" t="n"/>
      <c r="AK59" s="69" t="n"/>
      <c r="AL59" s="69" t="n"/>
      <c r="AM59" s="69" t="n"/>
      <c r="AN59" s="69" t="n"/>
      <c r="AO59" s="24" t="n"/>
    </row>
    <row r="60" ht="15" customHeight="1">
      <c r="A60" s="68">
        <f>IF(C60="","",IFERROR(IF(SUMPRODUCT(MAX((tbl_Finance[Job Number]=C60&amp;"")*(tbl_Finance[Xero Invoice No]&lt;&gt;"")*tbl_Finance[Date]))=0,"",SUMPRODUCT(MAX((tbl_Finance[Job Number]=C60&amp;"")*(tbl_Finance[Xero Invoice No]&lt;&gt;"")*tbl_Finance[Date]))),""))</f>
        <v/>
      </c>
      <c r="B60" s="25">
        <f>IF(C60="","",IF(COUNTIFS(tbl_Finance[Job Number],C60&amp;"",tbl_Finance[Xero Invoice No],"&lt;&gt;")=0,"",IFERROR(IF(COUNTIFS(tbl_Finance[Job Number],C60&amp;"",tbl_Finance[Xero Invoice No],LOOKUP(2,1/((tbl_Finance[Job Number]=C60&amp;"")*(tbl_Finance[Xero Invoice No]&lt;&gt;"")),tbl_Finance[Xero Invoice No]))=COUNTIFS(tbl_Finance[Job Number],C60&amp;"",tbl_Finance[Xero Invoice No],"&lt;&gt;"),LOOKUP(2,1/((tbl_Finance[Job Number]=C60&amp;"")*(tbl_Finance[Xero Invoice No]&lt;&gt;"")),tbl_Finance[Xero Invoice No]),LOOKUP(2,1/((tbl_Finance[Job Number]=C60&amp;"")*(tbl_Finance[Xero Invoice No]&lt;&gt;"")),tbl_Finance[Xero Invoice No])&amp;" +more"),"")))</f>
        <v/>
      </c>
      <c r="C60" s="24" t="n"/>
      <c r="D60" s="25">
        <f>IF(C60="","",IF(COUNTIF(lst_Jobs,C60&amp;"")&gt;0,"OK","CHECK"))</f>
        <v/>
      </c>
      <c r="E60" s="25">
        <f>IF(C60="","",IFERROR(INDEX(lst_JobName,MATCH(C60&amp;"",lst_Jobs,0)),""))</f>
        <v/>
      </c>
      <c r="F60" s="25">
        <f>IF(C60="","",IFERROR(INDEX(tbl_Finance[Client],MATCH(C60&amp;"",tbl_Finance[Job Number],0)),""))</f>
        <v/>
      </c>
      <c r="G60" s="28">
        <f>IF(C60="","",COUNTIFS(tbl_Finance[Job Number],C60&amp;"",tbl_Finance[Ex GST],"&lt;&gt;"))</f>
        <v/>
      </c>
      <c r="H60" s="27">
        <f>IF(C60="","",SUMIFS(tbl_Finance[Ex GST],tbl_Finance[Job Number],C60&amp;""))</f>
        <v/>
      </c>
      <c r="I60" s="27">
        <f>IF(C60="","",SUMIFS(tbl_Finance[Ex GST],tbl_Finance[Job Number],C60&amp;"",tbl_Finance[Xero Invoice No],"&lt;&gt;"))</f>
        <v/>
      </c>
      <c r="J60" s="27">
        <f>IF(C60="","",H60-I60)</f>
        <v/>
      </c>
      <c r="K60" s="25">
        <f>IF(C60="","",IF(G60=0,"not invoiced yet",SUBSTITUTE(TRIM(IF(COUNTIFS(tbl_Finance[Job Number],C60&amp;"",tbl_Finance[Cost Centre],"ONSITE")&gt;0,"ONSITE ","")&amp;IF(COUNTIFS(tbl_Finance[Job Number],C60&amp;"",tbl_Finance[Cost Centre],"PRODUCTION")&gt;0,"PRODUCTION ","")&amp;IF(COUNTIFS(tbl_Finance[Job Number],C60&amp;"",tbl_Finance[Cost Centre],"VIDEO")&gt;0,"VIDEO ","")&amp;IF(COUNTIFS(tbl_Finance[Job Number],C60&amp;"",tbl_Finance[Cost Centre],"INTEGRATION")&gt;0,"INTEGRATION ","")&amp;IF(COUNTIFS(tbl_Finance[Job Number],C60&amp;"",tbl_Finance[Cost Centre],"CONSULTING")&gt;0,"CONSULTING ","")&amp;IF(COUNTIFS(tbl_Finance[Job Number],C60&amp;"",tbl_Finance[Cost Centre],"CTS")&gt;0,"CTS ",""))," ",", ")))</f>
        <v/>
      </c>
      <c r="L60" s="27">
        <f>IF(C60="","",SUMIFS(tbl_Finance[Inc GST],tbl_Finance[Job Number],C60&amp;""))</f>
        <v/>
      </c>
      <c r="M60" s="24" t="n"/>
      <c r="N60" s="25">
        <f>IF(C60="","",IFERROR(INDEX(tbl_Finance[Description],MATCH(C60&amp;"",tbl_Finance[Job Number],0)),""))</f>
        <v/>
      </c>
      <c r="O60" s="24" t="n"/>
      <c r="P60" s="24" t="n"/>
      <c r="Q60" s="22" t="n"/>
      <c r="R60" s="24" t="n"/>
      <c r="S60" s="25">
        <f>IF(R60="","",IF(AND(LEFT(R60,4)&lt;&gt;"http",set_RMSBase=""),"",HYPERLINK(IF(LEFT(R60,4)="http",R60,set_RMSBase&amp;R60),"Open opportunity")))</f>
        <v/>
      </c>
      <c r="T60" s="24" t="n"/>
      <c r="U60" s="25">
        <f>IF(T60="","",HYPERLINK(IF(LEFT(T60,4)="http",T60,set_QwilrBase&amp;T60),"Open quote"))</f>
        <v/>
      </c>
      <c r="V60" s="25">
        <f>IF(C60="","",C60)</f>
        <v/>
      </c>
      <c r="W60" s="24" t="n"/>
      <c r="X60" s="26" t="n"/>
      <c r="Y60" s="27">
        <f>IF(C60="","",H60+N(X60))</f>
        <v/>
      </c>
      <c r="Z60" s="29">
        <f>IFERROR(X60/Y60,"")</f>
        <v/>
      </c>
      <c r="AA60" s="26" t="n"/>
      <c r="AB60" s="26" t="n"/>
      <c r="AC60" s="26" t="n"/>
      <c r="AD60" s="26" t="n"/>
      <c r="AE60" s="27">
        <f>IF(C60="","",SUMIFS(tbl_Finance[Ex GST],tbl_Finance[Job Number],C60&amp;"",tbl_Finance[Cost Centre],"VIDEO"))</f>
        <v/>
      </c>
      <c r="AF60" s="29">
        <f>IFERROR(AE60/H60,"")</f>
        <v/>
      </c>
      <c r="AG60" s="27">
        <f>IF(C60="","",N(AA60)+N(AB60)+N(AC60)+N(AD60))</f>
        <v/>
      </c>
      <c r="AH60" s="27">
        <f>IF(C60="","",H60-AG60)</f>
        <v/>
      </c>
      <c r="AI60" s="29">
        <f>IFERROR(AH60/H60,"")</f>
        <v/>
      </c>
      <c r="AJ60" s="69" t="n"/>
      <c r="AK60" s="69" t="n"/>
      <c r="AL60" s="69" t="n"/>
      <c r="AM60" s="69" t="n"/>
      <c r="AN60" s="69" t="n"/>
      <c r="AO60" s="24" t="n"/>
    </row>
    <row r="61" ht="15" customHeight="1">
      <c r="A61" s="68">
        <f>IF(C61="","",IFERROR(IF(SUMPRODUCT(MAX((tbl_Finance[Job Number]=C61&amp;"")*(tbl_Finance[Xero Invoice No]&lt;&gt;"")*tbl_Finance[Date]))=0,"",SUMPRODUCT(MAX((tbl_Finance[Job Number]=C61&amp;"")*(tbl_Finance[Xero Invoice No]&lt;&gt;"")*tbl_Finance[Date]))),""))</f>
        <v/>
      </c>
      <c r="B61" s="25">
        <f>IF(C61="","",IF(COUNTIFS(tbl_Finance[Job Number],C61&amp;"",tbl_Finance[Xero Invoice No],"&lt;&gt;")=0,"",IFERROR(IF(COUNTIFS(tbl_Finance[Job Number],C61&amp;"",tbl_Finance[Xero Invoice No],LOOKUP(2,1/((tbl_Finance[Job Number]=C61&amp;"")*(tbl_Finance[Xero Invoice No]&lt;&gt;"")),tbl_Finance[Xero Invoice No]))=COUNTIFS(tbl_Finance[Job Number],C61&amp;"",tbl_Finance[Xero Invoice No],"&lt;&gt;"),LOOKUP(2,1/((tbl_Finance[Job Number]=C61&amp;"")*(tbl_Finance[Xero Invoice No]&lt;&gt;"")),tbl_Finance[Xero Invoice No]),LOOKUP(2,1/((tbl_Finance[Job Number]=C61&amp;"")*(tbl_Finance[Xero Invoice No]&lt;&gt;"")),tbl_Finance[Xero Invoice No])&amp;" +more"),"")))</f>
        <v/>
      </c>
      <c r="C61" s="24" t="n"/>
      <c r="D61" s="25">
        <f>IF(C61="","",IF(COUNTIF(lst_Jobs,C61&amp;"")&gt;0,"OK","CHECK"))</f>
        <v/>
      </c>
      <c r="E61" s="25">
        <f>IF(C61="","",IFERROR(INDEX(lst_JobName,MATCH(C61&amp;"",lst_Jobs,0)),""))</f>
        <v/>
      </c>
      <c r="F61" s="25">
        <f>IF(C61="","",IFERROR(INDEX(tbl_Finance[Client],MATCH(C61&amp;"",tbl_Finance[Job Number],0)),""))</f>
        <v/>
      </c>
      <c r="G61" s="28">
        <f>IF(C61="","",COUNTIFS(tbl_Finance[Job Number],C61&amp;"",tbl_Finance[Ex GST],"&lt;&gt;"))</f>
        <v/>
      </c>
      <c r="H61" s="27">
        <f>IF(C61="","",SUMIFS(tbl_Finance[Ex GST],tbl_Finance[Job Number],C61&amp;""))</f>
        <v/>
      </c>
      <c r="I61" s="27">
        <f>IF(C61="","",SUMIFS(tbl_Finance[Ex GST],tbl_Finance[Job Number],C61&amp;"",tbl_Finance[Xero Invoice No],"&lt;&gt;"))</f>
        <v/>
      </c>
      <c r="J61" s="27">
        <f>IF(C61="","",H61-I61)</f>
        <v/>
      </c>
      <c r="K61" s="25">
        <f>IF(C61="","",IF(G61=0,"not invoiced yet",SUBSTITUTE(TRIM(IF(COUNTIFS(tbl_Finance[Job Number],C61&amp;"",tbl_Finance[Cost Centre],"ONSITE")&gt;0,"ONSITE ","")&amp;IF(COUNTIFS(tbl_Finance[Job Number],C61&amp;"",tbl_Finance[Cost Centre],"PRODUCTION")&gt;0,"PRODUCTION ","")&amp;IF(COUNTIFS(tbl_Finance[Job Number],C61&amp;"",tbl_Finance[Cost Centre],"VIDEO")&gt;0,"VIDEO ","")&amp;IF(COUNTIFS(tbl_Finance[Job Number],C61&amp;"",tbl_Finance[Cost Centre],"INTEGRATION")&gt;0,"INTEGRATION ","")&amp;IF(COUNTIFS(tbl_Finance[Job Number],C61&amp;"",tbl_Finance[Cost Centre],"CONSULTING")&gt;0,"CONSULTING ","")&amp;IF(COUNTIFS(tbl_Finance[Job Number],C61&amp;"",tbl_Finance[Cost Centre],"CTS")&gt;0,"CTS ",""))," ",", ")))</f>
        <v/>
      </c>
      <c r="L61" s="27">
        <f>IF(C61="","",SUMIFS(tbl_Finance[Inc GST],tbl_Finance[Job Number],C61&amp;""))</f>
        <v/>
      </c>
      <c r="M61" s="24" t="n"/>
      <c r="N61" s="25">
        <f>IF(C61="","",IFERROR(INDEX(tbl_Finance[Description],MATCH(C61&amp;"",tbl_Finance[Job Number],0)),""))</f>
        <v/>
      </c>
      <c r="O61" s="24" t="n"/>
      <c r="P61" s="24" t="n"/>
      <c r="Q61" s="22" t="n"/>
      <c r="R61" s="24" t="n"/>
      <c r="S61" s="25">
        <f>IF(R61="","",IF(AND(LEFT(R61,4)&lt;&gt;"http",set_RMSBase=""),"",HYPERLINK(IF(LEFT(R61,4)="http",R61,set_RMSBase&amp;R61),"Open opportunity")))</f>
        <v/>
      </c>
      <c r="T61" s="24" t="n"/>
      <c r="U61" s="25">
        <f>IF(T61="","",HYPERLINK(IF(LEFT(T61,4)="http",T61,set_QwilrBase&amp;T61),"Open quote"))</f>
        <v/>
      </c>
      <c r="V61" s="25">
        <f>IF(C61="","",C61)</f>
        <v/>
      </c>
      <c r="W61" s="24" t="n"/>
      <c r="X61" s="26" t="n"/>
      <c r="Y61" s="27">
        <f>IF(C61="","",H61+N(X61))</f>
        <v/>
      </c>
      <c r="Z61" s="29">
        <f>IFERROR(X61/Y61,"")</f>
        <v/>
      </c>
      <c r="AA61" s="26" t="n"/>
      <c r="AB61" s="26" t="n"/>
      <c r="AC61" s="26" t="n"/>
      <c r="AD61" s="26" t="n"/>
      <c r="AE61" s="27">
        <f>IF(C61="","",SUMIFS(tbl_Finance[Ex GST],tbl_Finance[Job Number],C61&amp;"",tbl_Finance[Cost Centre],"VIDEO"))</f>
        <v/>
      </c>
      <c r="AF61" s="29">
        <f>IFERROR(AE61/H61,"")</f>
        <v/>
      </c>
      <c r="AG61" s="27">
        <f>IF(C61="","",N(AA61)+N(AB61)+N(AC61)+N(AD61))</f>
        <v/>
      </c>
      <c r="AH61" s="27">
        <f>IF(C61="","",H61-AG61)</f>
        <v/>
      </c>
      <c r="AI61" s="29">
        <f>IFERROR(AH61/H61,"")</f>
        <v/>
      </c>
      <c r="AJ61" s="69" t="n"/>
      <c r="AK61" s="69" t="n"/>
      <c r="AL61" s="69" t="n"/>
      <c r="AM61" s="69" t="n"/>
      <c r="AN61" s="69" t="n"/>
      <c r="AO61" s="24" t="n"/>
    </row>
    <row r="62" ht="15" customHeight="1">
      <c r="A62" s="68">
        <f>IF(C62="","",IFERROR(IF(SUMPRODUCT(MAX((tbl_Finance[Job Number]=C62&amp;"")*(tbl_Finance[Xero Invoice No]&lt;&gt;"")*tbl_Finance[Date]))=0,"",SUMPRODUCT(MAX((tbl_Finance[Job Number]=C62&amp;"")*(tbl_Finance[Xero Invoice No]&lt;&gt;"")*tbl_Finance[Date]))),""))</f>
        <v/>
      </c>
      <c r="B62" s="25">
        <f>IF(C62="","",IF(COUNTIFS(tbl_Finance[Job Number],C62&amp;"",tbl_Finance[Xero Invoice No],"&lt;&gt;")=0,"",IFERROR(IF(COUNTIFS(tbl_Finance[Job Number],C62&amp;"",tbl_Finance[Xero Invoice No],LOOKUP(2,1/((tbl_Finance[Job Number]=C62&amp;"")*(tbl_Finance[Xero Invoice No]&lt;&gt;"")),tbl_Finance[Xero Invoice No]))=COUNTIFS(tbl_Finance[Job Number],C62&amp;"",tbl_Finance[Xero Invoice No],"&lt;&gt;"),LOOKUP(2,1/((tbl_Finance[Job Number]=C62&amp;"")*(tbl_Finance[Xero Invoice No]&lt;&gt;"")),tbl_Finance[Xero Invoice No]),LOOKUP(2,1/((tbl_Finance[Job Number]=C62&amp;"")*(tbl_Finance[Xero Invoice No]&lt;&gt;"")),tbl_Finance[Xero Invoice No])&amp;" +more"),"")))</f>
        <v/>
      </c>
      <c r="C62" s="24" t="n"/>
      <c r="D62" s="25">
        <f>IF(C62="","",IF(COUNTIF(lst_Jobs,C62&amp;"")&gt;0,"OK","CHECK"))</f>
        <v/>
      </c>
      <c r="E62" s="25">
        <f>IF(C62="","",IFERROR(INDEX(lst_JobName,MATCH(C62&amp;"",lst_Jobs,0)),""))</f>
        <v/>
      </c>
      <c r="F62" s="25">
        <f>IF(C62="","",IFERROR(INDEX(tbl_Finance[Client],MATCH(C62&amp;"",tbl_Finance[Job Number],0)),""))</f>
        <v/>
      </c>
      <c r="G62" s="28">
        <f>IF(C62="","",COUNTIFS(tbl_Finance[Job Number],C62&amp;"",tbl_Finance[Ex GST],"&lt;&gt;"))</f>
        <v/>
      </c>
      <c r="H62" s="27">
        <f>IF(C62="","",SUMIFS(tbl_Finance[Ex GST],tbl_Finance[Job Number],C62&amp;""))</f>
        <v/>
      </c>
      <c r="I62" s="27">
        <f>IF(C62="","",SUMIFS(tbl_Finance[Ex GST],tbl_Finance[Job Number],C62&amp;"",tbl_Finance[Xero Invoice No],"&lt;&gt;"))</f>
        <v/>
      </c>
      <c r="J62" s="27">
        <f>IF(C62="","",H62-I62)</f>
        <v/>
      </c>
      <c r="K62" s="25">
        <f>IF(C62="","",IF(G62=0,"not invoiced yet",SUBSTITUTE(TRIM(IF(COUNTIFS(tbl_Finance[Job Number],C62&amp;"",tbl_Finance[Cost Centre],"ONSITE")&gt;0,"ONSITE ","")&amp;IF(COUNTIFS(tbl_Finance[Job Number],C62&amp;"",tbl_Finance[Cost Centre],"PRODUCTION")&gt;0,"PRODUCTION ","")&amp;IF(COUNTIFS(tbl_Finance[Job Number],C62&amp;"",tbl_Finance[Cost Centre],"VIDEO")&gt;0,"VIDEO ","")&amp;IF(COUNTIFS(tbl_Finance[Job Number],C62&amp;"",tbl_Finance[Cost Centre],"INTEGRATION")&gt;0,"INTEGRATION ","")&amp;IF(COUNTIFS(tbl_Finance[Job Number],C62&amp;"",tbl_Finance[Cost Centre],"CONSULTING")&gt;0,"CONSULTING ","")&amp;IF(COUNTIFS(tbl_Finance[Job Number],C62&amp;"",tbl_Finance[Cost Centre],"CTS")&gt;0,"CTS ",""))," ",", ")))</f>
        <v/>
      </c>
      <c r="L62" s="27">
        <f>IF(C62="","",SUMIFS(tbl_Finance[Inc GST],tbl_Finance[Job Number],C62&amp;""))</f>
        <v/>
      </c>
      <c r="M62" s="24" t="n"/>
      <c r="N62" s="25">
        <f>IF(C62="","",IFERROR(INDEX(tbl_Finance[Description],MATCH(C62&amp;"",tbl_Finance[Job Number],0)),""))</f>
        <v/>
      </c>
      <c r="O62" s="24" t="n"/>
      <c r="P62" s="24" t="n"/>
      <c r="Q62" s="22" t="n"/>
      <c r="R62" s="24" t="n"/>
      <c r="S62" s="25">
        <f>IF(R62="","",IF(AND(LEFT(R62,4)&lt;&gt;"http",set_RMSBase=""),"",HYPERLINK(IF(LEFT(R62,4)="http",R62,set_RMSBase&amp;R62),"Open opportunity")))</f>
        <v/>
      </c>
      <c r="T62" s="24" t="n"/>
      <c r="U62" s="25">
        <f>IF(T62="","",HYPERLINK(IF(LEFT(T62,4)="http",T62,set_QwilrBase&amp;T62),"Open quote"))</f>
        <v/>
      </c>
      <c r="V62" s="25">
        <f>IF(C62="","",C62)</f>
        <v/>
      </c>
      <c r="W62" s="24" t="n"/>
      <c r="X62" s="26" t="n"/>
      <c r="Y62" s="27">
        <f>IF(C62="","",H62+N(X62))</f>
        <v/>
      </c>
      <c r="Z62" s="29">
        <f>IFERROR(X62/Y62,"")</f>
        <v/>
      </c>
      <c r="AA62" s="26" t="n"/>
      <c r="AB62" s="26" t="n"/>
      <c r="AC62" s="26" t="n"/>
      <c r="AD62" s="26" t="n"/>
      <c r="AE62" s="27">
        <f>IF(C62="","",SUMIFS(tbl_Finance[Ex GST],tbl_Finance[Job Number],C62&amp;"",tbl_Finance[Cost Centre],"VIDEO"))</f>
        <v/>
      </c>
      <c r="AF62" s="29">
        <f>IFERROR(AE62/H62,"")</f>
        <v/>
      </c>
      <c r="AG62" s="27">
        <f>IF(C62="","",N(AA62)+N(AB62)+N(AC62)+N(AD62))</f>
        <v/>
      </c>
      <c r="AH62" s="27">
        <f>IF(C62="","",H62-AG62)</f>
        <v/>
      </c>
      <c r="AI62" s="29">
        <f>IFERROR(AH62/H62,"")</f>
        <v/>
      </c>
      <c r="AJ62" s="69" t="n"/>
      <c r="AK62" s="69" t="n"/>
      <c r="AL62" s="69" t="n"/>
      <c r="AM62" s="69" t="n"/>
      <c r="AN62" s="69" t="n"/>
      <c r="AO62" s="24" t="n"/>
    </row>
    <row r="63" ht="15" customHeight="1">
      <c r="A63" s="68">
        <f>IF(C63="","",IFERROR(IF(SUMPRODUCT(MAX((tbl_Finance[Job Number]=C63&amp;"")*(tbl_Finance[Xero Invoice No]&lt;&gt;"")*tbl_Finance[Date]))=0,"",SUMPRODUCT(MAX((tbl_Finance[Job Number]=C63&amp;"")*(tbl_Finance[Xero Invoice No]&lt;&gt;"")*tbl_Finance[Date]))),""))</f>
        <v/>
      </c>
      <c r="B63" s="25">
        <f>IF(C63="","",IF(COUNTIFS(tbl_Finance[Job Number],C63&amp;"",tbl_Finance[Xero Invoice No],"&lt;&gt;")=0,"",IFERROR(IF(COUNTIFS(tbl_Finance[Job Number],C63&amp;"",tbl_Finance[Xero Invoice No],LOOKUP(2,1/((tbl_Finance[Job Number]=C63&amp;"")*(tbl_Finance[Xero Invoice No]&lt;&gt;"")),tbl_Finance[Xero Invoice No]))=COUNTIFS(tbl_Finance[Job Number],C63&amp;"",tbl_Finance[Xero Invoice No],"&lt;&gt;"),LOOKUP(2,1/((tbl_Finance[Job Number]=C63&amp;"")*(tbl_Finance[Xero Invoice No]&lt;&gt;"")),tbl_Finance[Xero Invoice No]),LOOKUP(2,1/((tbl_Finance[Job Number]=C63&amp;"")*(tbl_Finance[Xero Invoice No]&lt;&gt;"")),tbl_Finance[Xero Invoice No])&amp;" +more"),"")))</f>
        <v/>
      </c>
      <c r="C63" s="24" t="n"/>
      <c r="D63" s="25">
        <f>IF(C63="","",IF(COUNTIF(lst_Jobs,C63&amp;"")&gt;0,"OK","CHECK"))</f>
        <v/>
      </c>
      <c r="E63" s="25">
        <f>IF(C63="","",IFERROR(INDEX(lst_JobName,MATCH(C63&amp;"",lst_Jobs,0)),""))</f>
        <v/>
      </c>
      <c r="F63" s="25">
        <f>IF(C63="","",IFERROR(INDEX(tbl_Finance[Client],MATCH(C63&amp;"",tbl_Finance[Job Number],0)),""))</f>
        <v/>
      </c>
      <c r="G63" s="28">
        <f>IF(C63="","",COUNTIFS(tbl_Finance[Job Number],C63&amp;"",tbl_Finance[Ex GST],"&lt;&gt;"))</f>
        <v/>
      </c>
      <c r="H63" s="27">
        <f>IF(C63="","",SUMIFS(tbl_Finance[Ex GST],tbl_Finance[Job Number],C63&amp;""))</f>
        <v/>
      </c>
      <c r="I63" s="27">
        <f>IF(C63="","",SUMIFS(tbl_Finance[Ex GST],tbl_Finance[Job Number],C63&amp;"",tbl_Finance[Xero Invoice No],"&lt;&gt;"))</f>
        <v/>
      </c>
      <c r="J63" s="27">
        <f>IF(C63="","",H63-I63)</f>
        <v/>
      </c>
      <c r="K63" s="25">
        <f>IF(C63="","",IF(G63=0,"not invoiced yet",SUBSTITUTE(TRIM(IF(COUNTIFS(tbl_Finance[Job Number],C63&amp;"",tbl_Finance[Cost Centre],"ONSITE")&gt;0,"ONSITE ","")&amp;IF(COUNTIFS(tbl_Finance[Job Number],C63&amp;"",tbl_Finance[Cost Centre],"PRODUCTION")&gt;0,"PRODUCTION ","")&amp;IF(COUNTIFS(tbl_Finance[Job Number],C63&amp;"",tbl_Finance[Cost Centre],"VIDEO")&gt;0,"VIDEO ","")&amp;IF(COUNTIFS(tbl_Finance[Job Number],C63&amp;"",tbl_Finance[Cost Centre],"INTEGRATION")&gt;0,"INTEGRATION ","")&amp;IF(COUNTIFS(tbl_Finance[Job Number],C63&amp;"",tbl_Finance[Cost Centre],"CONSULTING")&gt;0,"CONSULTING ","")&amp;IF(COUNTIFS(tbl_Finance[Job Number],C63&amp;"",tbl_Finance[Cost Centre],"CTS")&gt;0,"CTS ",""))," ",", ")))</f>
        <v/>
      </c>
      <c r="L63" s="27">
        <f>IF(C63="","",SUMIFS(tbl_Finance[Inc GST],tbl_Finance[Job Number],C63&amp;""))</f>
        <v/>
      </c>
      <c r="M63" s="24" t="n"/>
      <c r="N63" s="25">
        <f>IF(C63="","",IFERROR(INDEX(tbl_Finance[Description],MATCH(C63&amp;"",tbl_Finance[Job Number],0)),""))</f>
        <v/>
      </c>
      <c r="O63" s="24" t="n"/>
      <c r="P63" s="24" t="n"/>
      <c r="Q63" s="22" t="n"/>
      <c r="R63" s="24" t="n"/>
      <c r="S63" s="25">
        <f>IF(R63="","",IF(AND(LEFT(R63,4)&lt;&gt;"http",set_RMSBase=""),"",HYPERLINK(IF(LEFT(R63,4)="http",R63,set_RMSBase&amp;R63),"Open opportunity")))</f>
        <v/>
      </c>
      <c r="T63" s="24" t="n"/>
      <c r="U63" s="25">
        <f>IF(T63="","",HYPERLINK(IF(LEFT(T63,4)="http",T63,set_QwilrBase&amp;T63),"Open quote"))</f>
        <v/>
      </c>
      <c r="V63" s="25">
        <f>IF(C63="","",C63)</f>
        <v/>
      </c>
      <c r="W63" s="24" t="n"/>
      <c r="X63" s="26" t="n"/>
      <c r="Y63" s="27">
        <f>IF(C63="","",H63+N(X63))</f>
        <v/>
      </c>
      <c r="Z63" s="29">
        <f>IFERROR(X63/Y63,"")</f>
        <v/>
      </c>
      <c r="AA63" s="26" t="n"/>
      <c r="AB63" s="26" t="n"/>
      <c r="AC63" s="26" t="n"/>
      <c r="AD63" s="26" t="n"/>
      <c r="AE63" s="27">
        <f>IF(C63="","",SUMIFS(tbl_Finance[Ex GST],tbl_Finance[Job Number],C63&amp;"",tbl_Finance[Cost Centre],"VIDEO"))</f>
        <v/>
      </c>
      <c r="AF63" s="29">
        <f>IFERROR(AE63/H63,"")</f>
        <v/>
      </c>
      <c r="AG63" s="27">
        <f>IF(C63="","",N(AA63)+N(AB63)+N(AC63)+N(AD63))</f>
        <v/>
      </c>
      <c r="AH63" s="27">
        <f>IF(C63="","",H63-AG63)</f>
        <v/>
      </c>
      <c r="AI63" s="29">
        <f>IFERROR(AH63/H63,"")</f>
        <v/>
      </c>
      <c r="AJ63" s="69" t="n"/>
      <c r="AK63" s="69" t="n"/>
      <c r="AL63" s="69" t="n"/>
      <c r="AM63" s="69" t="n"/>
      <c r="AN63" s="69" t="n"/>
      <c r="AO63" s="24" t="n"/>
    </row>
    <row r="64" ht="15" customHeight="1">
      <c r="A64" s="68">
        <f>IF(C64="","",IFERROR(IF(SUMPRODUCT(MAX((tbl_Finance[Job Number]=C64&amp;"")*(tbl_Finance[Xero Invoice No]&lt;&gt;"")*tbl_Finance[Date]))=0,"",SUMPRODUCT(MAX((tbl_Finance[Job Number]=C64&amp;"")*(tbl_Finance[Xero Invoice No]&lt;&gt;"")*tbl_Finance[Date]))),""))</f>
        <v/>
      </c>
      <c r="B64" s="25">
        <f>IF(C64="","",IF(COUNTIFS(tbl_Finance[Job Number],C64&amp;"",tbl_Finance[Xero Invoice No],"&lt;&gt;")=0,"",IFERROR(IF(COUNTIFS(tbl_Finance[Job Number],C64&amp;"",tbl_Finance[Xero Invoice No],LOOKUP(2,1/((tbl_Finance[Job Number]=C64&amp;"")*(tbl_Finance[Xero Invoice No]&lt;&gt;"")),tbl_Finance[Xero Invoice No]))=COUNTIFS(tbl_Finance[Job Number],C64&amp;"",tbl_Finance[Xero Invoice No],"&lt;&gt;"),LOOKUP(2,1/((tbl_Finance[Job Number]=C64&amp;"")*(tbl_Finance[Xero Invoice No]&lt;&gt;"")),tbl_Finance[Xero Invoice No]),LOOKUP(2,1/((tbl_Finance[Job Number]=C64&amp;"")*(tbl_Finance[Xero Invoice No]&lt;&gt;"")),tbl_Finance[Xero Invoice No])&amp;" +more"),"")))</f>
        <v/>
      </c>
      <c r="C64" s="24" t="n"/>
      <c r="D64" s="25">
        <f>IF(C64="","",IF(COUNTIF(lst_Jobs,C64&amp;"")&gt;0,"OK","CHECK"))</f>
        <v/>
      </c>
      <c r="E64" s="25">
        <f>IF(C64="","",IFERROR(INDEX(lst_JobName,MATCH(C64&amp;"",lst_Jobs,0)),""))</f>
        <v/>
      </c>
      <c r="F64" s="25">
        <f>IF(C64="","",IFERROR(INDEX(tbl_Finance[Client],MATCH(C64&amp;"",tbl_Finance[Job Number],0)),""))</f>
        <v/>
      </c>
      <c r="G64" s="28">
        <f>IF(C64="","",COUNTIFS(tbl_Finance[Job Number],C64&amp;"",tbl_Finance[Ex GST],"&lt;&gt;"))</f>
        <v/>
      </c>
      <c r="H64" s="27">
        <f>IF(C64="","",SUMIFS(tbl_Finance[Ex GST],tbl_Finance[Job Number],C64&amp;""))</f>
        <v/>
      </c>
      <c r="I64" s="27">
        <f>IF(C64="","",SUMIFS(tbl_Finance[Ex GST],tbl_Finance[Job Number],C64&amp;"",tbl_Finance[Xero Invoice No],"&lt;&gt;"))</f>
        <v/>
      </c>
      <c r="J64" s="27">
        <f>IF(C64="","",H64-I64)</f>
        <v/>
      </c>
      <c r="K64" s="25">
        <f>IF(C64="","",IF(G64=0,"not invoiced yet",SUBSTITUTE(TRIM(IF(COUNTIFS(tbl_Finance[Job Number],C64&amp;"",tbl_Finance[Cost Centre],"ONSITE")&gt;0,"ONSITE ","")&amp;IF(COUNTIFS(tbl_Finance[Job Number],C64&amp;"",tbl_Finance[Cost Centre],"PRODUCTION")&gt;0,"PRODUCTION ","")&amp;IF(COUNTIFS(tbl_Finance[Job Number],C64&amp;"",tbl_Finance[Cost Centre],"VIDEO")&gt;0,"VIDEO ","")&amp;IF(COUNTIFS(tbl_Finance[Job Number],C64&amp;"",tbl_Finance[Cost Centre],"INTEGRATION")&gt;0,"INTEGRATION ","")&amp;IF(COUNTIFS(tbl_Finance[Job Number],C64&amp;"",tbl_Finance[Cost Centre],"CONSULTING")&gt;0,"CONSULTING ","")&amp;IF(COUNTIFS(tbl_Finance[Job Number],C64&amp;"",tbl_Finance[Cost Centre],"CTS")&gt;0,"CTS ",""))," ",", ")))</f>
        <v/>
      </c>
      <c r="L64" s="27">
        <f>IF(C64="","",SUMIFS(tbl_Finance[Inc GST],tbl_Finance[Job Number],C64&amp;""))</f>
        <v/>
      </c>
      <c r="M64" s="24" t="n"/>
      <c r="N64" s="25">
        <f>IF(C64="","",IFERROR(INDEX(tbl_Finance[Description],MATCH(C64&amp;"",tbl_Finance[Job Number],0)),""))</f>
        <v/>
      </c>
      <c r="O64" s="24" t="n"/>
      <c r="P64" s="24" t="n"/>
      <c r="Q64" s="22" t="n"/>
      <c r="R64" s="24" t="n"/>
      <c r="S64" s="25">
        <f>IF(R64="","",IF(AND(LEFT(R64,4)&lt;&gt;"http",set_RMSBase=""),"",HYPERLINK(IF(LEFT(R64,4)="http",R64,set_RMSBase&amp;R64),"Open opportunity")))</f>
        <v/>
      </c>
      <c r="T64" s="24" t="n"/>
      <c r="U64" s="25">
        <f>IF(T64="","",HYPERLINK(IF(LEFT(T64,4)="http",T64,set_QwilrBase&amp;T64),"Open quote"))</f>
        <v/>
      </c>
      <c r="V64" s="25">
        <f>IF(C64="","",C64)</f>
        <v/>
      </c>
      <c r="W64" s="24" t="n"/>
      <c r="X64" s="26" t="n"/>
      <c r="Y64" s="27">
        <f>IF(C64="","",H64+N(X64))</f>
        <v/>
      </c>
      <c r="Z64" s="29">
        <f>IFERROR(X64/Y64,"")</f>
        <v/>
      </c>
      <c r="AA64" s="26" t="n"/>
      <c r="AB64" s="26" t="n"/>
      <c r="AC64" s="26" t="n"/>
      <c r="AD64" s="26" t="n"/>
      <c r="AE64" s="27">
        <f>IF(C64="","",SUMIFS(tbl_Finance[Ex GST],tbl_Finance[Job Number],C64&amp;"",tbl_Finance[Cost Centre],"VIDEO"))</f>
        <v/>
      </c>
      <c r="AF64" s="29">
        <f>IFERROR(AE64/H64,"")</f>
        <v/>
      </c>
      <c r="AG64" s="27">
        <f>IF(C64="","",N(AA64)+N(AB64)+N(AC64)+N(AD64))</f>
        <v/>
      </c>
      <c r="AH64" s="27">
        <f>IF(C64="","",H64-AG64)</f>
        <v/>
      </c>
      <c r="AI64" s="29">
        <f>IFERROR(AH64/H64,"")</f>
        <v/>
      </c>
      <c r="AJ64" s="69" t="n"/>
      <c r="AK64" s="69" t="n"/>
      <c r="AL64" s="69" t="n"/>
      <c r="AM64" s="69" t="n"/>
      <c r="AN64" s="69" t="n"/>
      <c r="AO64" s="24" t="n"/>
    </row>
    <row r="65" ht="15" customHeight="1">
      <c r="A65" s="68">
        <f>IF(C65="","",IFERROR(IF(SUMPRODUCT(MAX((tbl_Finance[Job Number]=C65&amp;"")*(tbl_Finance[Xero Invoice No]&lt;&gt;"")*tbl_Finance[Date]))=0,"",SUMPRODUCT(MAX((tbl_Finance[Job Number]=C65&amp;"")*(tbl_Finance[Xero Invoice No]&lt;&gt;"")*tbl_Finance[Date]))),""))</f>
        <v/>
      </c>
      <c r="B65" s="25">
        <f>IF(C65="","",IF(COUNTIFS(tbl_Finance[Job Number],C65&amp;"",tbl_Finance[Xero Invoice No],"&lt;&gt;")=0,"",IFERROR(IF(COUNTIFS(tbl_Finance[Job Number],C65&amp;"",tbl_Finance[Xero Invoice No],LOOKUP(2,1/((tbl_Finance[Job Number]=C65&amp;"")*(tbl_Finance[Xero Invoice No]&lt;&gt;"")),tbl_Finance[Xero Invoice No]))=COUNTIFS(tbl_Finance[Job Number],C65&amp;"",tbl_Finance[Xero Invoice No],"&lt;&gt;"),LOOKUP(2,1/((tbl_Finance[Job Number]=C65&amp;"")*(tbl_Finance[Xero Invoice No]&lt;&gt;"")),tbl_Finance[Xero Invoice No]),LOOKUP(2,1/((tbl_Finance[Job Number]=C65&amp;"")*(tbl_Finance[Xero Invoice No]&lt;&gt;"")),tbl_Finance[Xero Invoice No])&amp;" +more"),"")))</f>
        <v/>
      </c>
      <c r="C65" s="24" t="n"/>
      <c r="D65" s="25">
        <f>IF(C65="","",IF(COUNTIF(lst_Jobs,C65&amp;"")&gt;0,"OK","CHECK"))</f>
        <v/>
      </c>
      <c r="E65" s="25">
        <f>IF(C65="","",IFERROR(INDEX(lst_JobName,MATCH(C65&amp;"",lst_Jobs,0)),""))</f>
        <v/>
      </c>
      <c r="F65" s="25">
        <f>IF(C65="","",IFERROR(INDEX(tbl_Finance[Client],MATCH(C65&amp;"",tbl_Finance[Job Number],0)),""))</f>
        <v/>
      </c>
      <c r="G65" s="28">
        <f>IF(C65="","",COUNTIFS(tbl_Finance[Job Number],C65&amp;"",tbl_Finance[Ex GST],"&lt;&gt;"))</f>
        <v/>
      </c>
      <c r="H65" s="27">
        <f>IF(C65="","",SUMIFS(tbl_Finance[Ex GST],tbl_Finance[Job Number],C65&amp;""))</f>
        <v/>
      </c>
      <c r="I65" s="27">
        <f>IF(C65="","",SUMIFS(tbl_Finance[Ex GST],tbl_Finance[Job Number],C65&amp;"",tbl_Finance[Xero Invoice No],"&lt;&gt;"))</f>
        <v/>
      </c>
      <c r="J65" s="27">
        <f>IF(C65="","",H65-I65)</f>
        <v/>
      </c>
      <c r="K65" s="25">
        <f>IF(C65="","",IF(G65=0,"not invoiced yet",SUBSTITUTE(TRIM(IF(COUNTIFS(tbl_Finance[Job Number],C65&amp;"",tbl_Finance[Cost Centre],"ONSITE")&gt;0,"ONSITE ","")&amp;IF(COUNTIFS(tbl_Finance[Job Number],C65&amp;"",tbl_Finance[Cost Centre],"PRODUCTION")&gt;0,"PRODUCTION ","")&amp;IF(COUNTIFS(tbl_Finance[Job Number],C65&amp;"",tbl_Finance[Cost Centre],"VIDEO")&gt;0,"VIDEO ","")&amp;IF(COUNTIFS(tbl_Finance[Job Number],C65&amp;"",tbl_Finance[Cost Centre],"INTEGRATION")&gt;0,"INTEGRATION ","")&amp;IF(COUNTIFS(tbl_Finance[Job Number],C65&amp;"",tbl_Finance[Cost Centre],"CONSULTING")&gt;0,"CONSULTING ","")&amp;IF(COUNTIFS(tbl_Finance[Job Number],C65&amp;"",tbl_Finance[Cost Centre],"CTS")&gt;0,"CTS ",""))," ",", ")))</f>
        <v/>
      </c>
      <c r="L65" s="27">
        <f>IF(C65="","",SUMIFS(tbl_Finance[Inc GST],tbl_Finance[Job Number],C65&amp;""))</f>
        <v/>
      </c>
      <c r="M65" s="24" t="n"/>
      <c r="N65" s="25">
        <f>IF(C65="","",IFERROR(INDEX(tbl_Finance[Description],MATCH(C65&amp;"",tbl_Finance[Job Number],0)),""))</f>
        <v/>
      </c>
      <c r="O65" s="24" t="n"/>
      <c r="P65" s="24" t="n"/>
      <c r="Q65" s="22" t="n"/>
      <c r="R65" s="24" t="n"/>
      <c r="S65" s="25">
        <f>IF(R65="","",IF(AND(LEFT(R65,4)&lt;&gt;"http",set_RMSBase=""),"",HYPERLINK(IF(LEFT(R65,4)="http",R65,set_RMSBase&amp;R65),"Open opportunity")))</f>
        <v/>
      </c>
      <c r="T65" s="24" t="n"/>
      <c r="U65" s="25">
        <f>IF(T65="","",HYPERLINK(IF(LEFT(T65,4)="http",T65,set_QwilrBase&amp;T65),"Open quote"))</f>
        <v/>
      </c>
      <c r="V65" s="25">
        <f>IF(C65="","",C65)</f>
        <v/>
      </c>
      <c r="W65" s="24" t="n"/>
      <c r="X65" s="26" t="n"/>
      <c r="Y65" s="27">
        <f>IF(C65="","",H65+N(X65))</f>
        <v/>
      </c>
      <c r="Z65" s="29">
        <f>IFERROR(X65/Y65,"")</f>
        <v/>
      </c>
      <c r="AA65" s="26" t="n"/>
      <c r="AB65" s="26" t="n"/>
      <c r="AC65" s="26" t="n"/>
      <c r="AD65" s="26" t="n"/>
      <c r="AE65" s="27">
        <f>IF(C65="","",SUMIFS(tbl_Finance[Ex GST],tbl_Finance[Job Number],C65&amp;"",tbl_Finance[Cost Centre],"VIDEO"))</f>
        <v/>
      </c>
      <c r="AF65" s="29">
        <f>IFERROR(AE65/H65,"")</f>
        <v/>
      </c>
      <c r="AG65" s="27">
        <f>IF(C65="","",N(AA65)+N(AB65)+N(AC65)+N(AD65))</f>
        <v/>
      </c>
      <c r="AH65" s="27">
        <f>IF(C65="","",H65-AG65)</f>
        <v/>
      </c>
      <c r="AI65" s="29">
        <f>IFERROR(AH65/H65,"")</f>
        <v/>
      </c>
      <c r="AJ65" s="69" t="n"/>
      <c r="AK65" s="69" t="n"/>
      <c r="AL65" s="69" t="n"/>
      <c r="AM65" s="69" t="n"/>
      <c r="AN65" s="69" t="n"/>
      <c r="AO65" s="24" t="n"/>
    </row>
    <row r="66" ht="15" customHeight="1">
      <c r="A66" s="68">
        <f>IF(C66="","",IFERROR(IF(SUMPRODUCT(MAX((tbl_Finance[Job Number]=C66&amp;"")*(tbl_Finance[Xero Invoice No]&lt;&gt;"")*tbl_Finance[Date]))=0,"",SUMPRODUCT(MAX((tbl_Finance[Job Number]=C66&amp;"")*(tbl_Finance[Xero Invoice No]&lt;&gt;"")*tbl_Finance[Date]))),""))</f>
        <v/>
      </c>
      <c r="B66" s="25">
        <f>IF(C66="","",IF(COUNTIFS(tbl_Finance[Job Number],C66&amp;"",tbl_Finance[Xero Invoice No],"&lt;&gt;")=0,"",IFERROR(IF(COUNTIFS(tbl_Finance[Job Number],C66&amp;"",tbl_Finance[Xero Invoice No],LOOKUP(2,1/((tbl_Finance[Job Number]=C66&amp;"")*(tbl_Finance[Xero Invoice No]&lt;&gt;"")),tbl_Finance[Xero Invoice No]))=COUNTIFS(tbl_Finance[Job Number],C66&amp;"",tbl_Finance[Xero Invoice No],"&lt;&gt;"),LOOKUP(2,1/((tbl_Finance[Job Number]=C66&amp;"")*(tbl_Finance[Xero Invoice No]&lt;&gt;"")),tbl_Finance[Xero Invoice No]),LOOKUP(2,1/((tbl_Finance[Job Number]=C66&amp;"")*(tbl_Finance[Xero Invoice No]&lt;&gt;"")),tbl_Finance[Xero Invoice No])&amp;" +more"),"")))</f>
        <v/>
      </c>
      <c r="C66" s="24" t="n"/>
      <c r="D66" s="25">
        <f>IF(C66="","",IF(COUNTIF(lst_Jobs,C66&amp;"")&gt;0,"OK","CHECK"))</f>
        <v/>
      </c>
      <c r="E66" s="25">
        <f>IF(C66="","",IFERROR(INDEX(lst_JobName,MATCH(C66&amp;"",lst_Jobs,0)),""))</f>
        <v/>
      </c>
      <c r="F66" s="25">
        <f>IF(C66="","",IFERROR(INDEX(tbl_Finance[Client],MATCH(C66&amp;"",tbl_Finance[Job Number],0)),""))</f>
        <v/>
      </c>
      <c r="G66" s="28">
        <f>IF(C66="","",COUNTIFS(tbl_Finance[Job Number],C66&amp;"",tbl_Finance[Ex GST],"&lt;&gt;"))</f>
        <v/>
      </c>
      <c r="H66" s="27">
        <f>IF(C66="","",SUMIFS(tbl_Finance[Ex GST],tbl_Finance[Job Number],C66&amp;""))</f>
        <v/>
      </c>
      <c r="I66" s="27">
        <f>IF(C66="","",SUMIFS(tbl_Finance[Ex GST],tbl_Finance[Job Number],C66&amp;"",tbl_Finance[Xero Invoice No],"&lt;&gt;"))</f>
        <v/>
      </c>
      <c r="J66" s="27">
        <f>IF(C66="","",H66-I66)</f>
        <v/>
      </c>
      <c r="K66" s="25">
        <f>IF(C66="","",IF(G66=0,"not invoiced yet",SUBSTITUTE(TRIM(IF(COUNTIFS(tbl_Finance[Job Number],C66&amp;"",tbl_Finance[Cost Centre],"ONSITE")&gt;0,"ONSITE ","")&amp;IF(COUNTIFS(tbl_Finance[Job Number],C66&amp;"",tbl_Finance[Cost Centre],"PRODUCTION")&gt;0,"PRODUCTION ","")&amp;IF(COUNTIFS(tbl_Finance[Job Number],C66&amp;"",tbl_Finance[Cost Centre],"VIDEO")&gt;0,"VIDEO ","")&amp;IF(COUNTIFS(tbl_Finance[Job Number],C66&amp;"",tbl_Finance[Cost Centre],"INTEGRATION")&gt;0,"INTEGRATION ","")&amp;IF(COUNTIFS(tbl_Finance[Job Number],C66&amp;"",tbl_Finance[Cost Centre],"CONSULTING")&gt;0,"CONSULTING ","")&amp;IF(COUNTIFS(tbl_Finance[Job Number],C66&amp;"",tbl_Finance[Cost Centre],"CTS")&gt;0,"CTS ",""))," ",", ")))</f>
        <v/>
      </c>
      <c r="L66" s="27">
        <f>IF(C66="","",SUMIFS(tbl_Finance[Inc GST],tbl_Finance[Job Number],C66&amp;""))</f>
        <v/>
      </c>
      <c r="M66" s="24" t="n"/>
      <c r="N66" s="25">
        <f>IF(C66="","",IFERROR(INDEX(tbl_Finance[Description],MATCH(C66&amp;"",tbl_Finance[Job Number],0)),""))</f>
        <v/>
      </c>
      <c r="O66" s="24" t="n"/>
      <c r="P66" s="24" t="n"/>
      <c r="Q66" s="22" t="n"/>
      <c r="R66" s="24" t="n"/>
      <c r="S66" s="25">
        <f>IF(R66="","",IF(AND(LEFT(R66,4)&lt;&gt;"http",set_RMSBase=""),"",HYPERLINK(IF(LEFT(R66,4)="http",R66,set_RMSBase&amp;R66),"Open opportunity")))</f>
        <v/>
      </c>
      <c r="T66" s="24" t="n"/>
      <c r="U66" s="25">
        <f>IF(T66="","",HYPERLINK(IF(LEFT(T66,4)="http",T66,set_QwilrBase&amp;T66),"Open quote"))</f>
        <v/>
      </c>
      <c r="V66" s="25">
        <f>IF(C66="","",C66)</f>
        <v/>
      </c>
      <c r="W66" s="24" t="n"/>
      <c r="X66" s="26" t="n"/>
      <c r="Y66" s="27">
        <f>IF(C66="","",H66+N(X66))</f>
        <v/>
      </c>
      <c r="Z66" s="29">
        <f>IFERROR(X66/Y66,"")</f>
        <v/>
      </c>
      <c r="AA66" s="26" t="n"/>
      <c r="AB66" s="26" t="n"/>
      <c r="AC66" s="26" t="n"/>
      <c r="AD66" s="26" t="n"/>
      <c r="AE66" s="27">
        <f>IF(C66="","",SUMIFS(tbl_Finance[Ex GST],tbl_Finance[Job Number],C66&amp;"",tbl_Finance[Cost Centre],"VIDEO"))</f>
        <v/>
      </c>
      <c r="AF66" s="29">
        <f>IFERROR(AE66/H66,"")</f>
        <v/>
      </c>
      <c r="AG66" s="27">
        <f>IF(C66="","",N(AA66)+N(AB66)+N(AC66)+N(AD66))</f>
        <v/>
      </c>
      <c r="AH66" s="27">
        <f>IF(C66="","",H66-AG66)</f>
        <v/>
      </c>
      <c r="AI66" s="29">
        <f>IFERROR(AH66/H66,"")</f>
        <v/>
      </c>
      <c r="AJ66" s="69" t="n"/>
      <c r="AK66" s="69" t="n"/>
      <c r="AL66" s="69" t="n"/>
      <c r="AM66" s="69" t="n"/>
      <c r="AN66" s="69" t="n"/>
      <c r="AO66" s="24" t="n"/>
    </row>
    <row r="67" ht="15" customHeight="1">
      <c r="A67" s="68">
        <f>IF(C67="","",IFERROR(IF(SUMPRODUCT(MAX((tbl_Finance[Job Number]=C67&amp;"")*(tbl_Finance[Xero Invoice No]&lt;&gt;"")*tbl_Finance[Date]))=0,"",SUMPRODUCT(MAX((tbl_Finance[Job Number]=C67&amp;"")*(tbl_Finance[Xero Invoice No]&lt;&gt;"")*tbl_Finance[Date]))),""))</f>
        <v/>
      </c>
      <c r="B67" s="25">
        <f>IF(C67="","",IF(COUNTIFS(tbl_Finance[Job Number],C67&amp;"",tbl_Finance[Xero Invoice No],"&lt;&gt;")=0,"",IFERROR(IF(COUNTIFS(tbl_Finance[Job Number],C67&amp;"",tbl_Finance[Xero Invoice No],LOOKUP(2,1/((tbl_Finance[Job Number]=C67&amp;"")*(tbl_Finance[Xero Invoice No]&lt;&gt;"")),tbl_Finance[Xero Invoice No]))=COUNTIFS(tbl_Finance[Job Number],C67&amp;"",tbl_Finance[Xero Invoice No],"&lt;&gt;"),LOOKUP(2,1/((tbl_Finance[Job Number]=C67&amp;"")*(tbl_Finance[Xero Invoice No]&lt;&gt;"")),tbl_Finance[Xero Invoice No]),LOOKUP(2,1/((tbl_Finance[Job Number]=C67&amp;"")*(tbl_Finance[Xero Invoice No]&lt;&gt;"")),tbl_Finance[Xero Invoice No])&amp;" +more"),"")))</f>
        <v/>
      </c>
      <c r="C67" s="24" t="n"/>
      <c r="D67" s="25">
        <f>IF(C67="","",IF(COUNTIF(lst_Jobs,C67&amp;"")&gt;0,"OK","CHECK"))</f>
        <v/>
      </c>
      <c r="E67" s="25">
        <f>IF(C67="","",IFERROR(INDEX(lst_JobName,MATCH(C67&amp;"",lst_Jobs,0)),""))</f>
        <v/>
      </c>
      <c r="F67" s="25">
        <f>IF(C67="","",IFERROR(INDEX(tbl_Finance[Client],MATCH(C67&amp;"",tbl_Finance[Job Number],0)),""))</f>
        <v/>
      </c>
      <c r="G67" s="28">
        <f>IF(C67="","",COUNTIFS(tbl_Finance[Job Number],C67&amp;"",tbl_Finance[Ex GST],"&lt;&gt;"))</f>
        <v/>
      </c>
      <c r="H67" s="27">
        <f>IF(C67="","",SUMIFS(tbl_Finance[Ex GST],tbl_Finance[Job Number],C67&amp;""))</f>
        <v/>
      </c>
      <c r="I67" s="27">
        <f>IF(C67="","",SUMIFS(tbl_Finance[Ex GST],tbl_Finance[Job Number],C67&amp;"",tbl_Finance[Xero Invoice No],"&lt;&gt;"))</f>
        <v/>
      </c>
      <c r="J67" s="27">
        <f>IF(C67="","",H67-I67)</f>
        <v/>
      </c>
      <c r="K67" s="25">
        <f>IF(C67="","",IF(G67=0,"not invoiced yet",SUBSTITUTE(TRIM(IF(COUNTIFS(tbl_Finance[Job Number],C67&amp;"",tbl_Finance[Cost Centre],"ONSITE")&gt;0,"ONSITE ","")&amp;IF(COUNTIFS(tbl_Finance[Job Number],C67&amp;"",tbl_Finance[Cost Centre],"PRODUCTION")&gt;0,"PRODUCTION ","")&amp;IF(COUNTIFS(tbl_Finance[Job Number],C67&amp;"",tbl_Finance[Cost Centre],"VIDEO")&gt;0,"VIDEO ","")&amp;IF(COUNTIFS(tbl_Finance[Job Number],C67&amp;"",tbl_Finance[Cost Centre],"INTEGRATION")&gt;0,"INTEGRATION ","")&amp;IF(COUNTIFS(tbl_Finance[Job Number],C67&amp;"",tbl_Finance[Cost Centre],"CONSULTING")&gt;0,"CONSULTING ","")&amp;IF(COUNTIFS(tbl_Finance[Job Number],C67&amp;"",tbl_Finance[Cost Centre],"CTS")&gt;0,"CTS ",""))," ",", ")))</f>
        <v/>
      </c>
      <c r="L67" s="27">
        <f>IF(C67="","",SUMIFS(tbl_Finance[Inc GST],tbl_Finance[Job Number],C67&amp;""))</f>
        <v/>
      </c>
      <c r="M67" s="24" t="n"/>
      <c r="N67" s="25">
        <f>IF(C67="","",IFERROR(INDEX(tbl_Finance[Description],MATCH(C67&amp;"",tbl_Finance[Job Number],0)),""))</f>
        <v/>
      </c>
      <c r="O67" s="24" t="n"/>
      <c r="P67" s="24" t="n"/>
      <c r="Q67" s="22" t="n"/>
      <c r="R67" s="24" t="n"/>
      <c r="S67" s="25">
        <f>IF(R67="","",IF(AND(LEFT(R67,4)&lt;&gt;"http",set_RMSBase=""),"",HYPERLINK(IF(LEFT(R67,4)="http",R67,set_RMSBase&amp;R67),"Open opportunity")))</f>
        <v/>
      </c>
      <c r="T67" s="24" t="n"/>
      <c r="U67" s="25">
        <f>IF(T67="","",HYPERLINK(IF(LEFT(T67,4)="http",T67,set_QwilrBase&amp;T67),"Open quote"))</f>
        <v/>
      </c>
      <c r="V67" s="25">
        <f>IF(C67="","",C67)</f>
        <v/>
      </c>
      <c r="W67" s="24" t="n"/>
      <c r="X67" s="26" t="n"/>
      <c r="Y67" s="27">
        <f>IF(C67="","",H67+N(X67))</f>
        <v/>
      </c>
      <c r="Z67" s="29">
        <f>IFERROR(X67/Y67,"")</f>
        <v/>
      </c>
      <c r="AA67" s="26" t="n"/>
      <c r="AB67" s="26" t="n"/>
      <c r="AC67" s="26" t="n"/>
      <c r="AD67" s="26" t="n"/>
      <c r="AE67" s="27">
        <f>IF(C67="","",SUMIFS(tbl_Finance[Ex GST],tbl_Finance[Job Number],C67&amp;"",tbl_Finance[Cost Centre],"VIDEO"))</f>
        <v/>
      </c>
      <c r="AF67" s="29">
        <f>IFERROR(AE67/H67,"")</f>
        <v/>
      </c>
      <c r="AG67" s="27">
        <f>IF(C67="","",N(AA67)+N(AB67)+N(AC67)+N(AD67))</f>
        <v/>
      </c>
      <c r="AH67" s="27">
        <f>IF(C67="","",H67-AG67)</f>
        <v/>
      </c>
      <c r="AI67" s="29">
        <f>IFERROR(AH67/H67,"")</f>
        <v/>
      </c>
      <c r="AJ67" s="69" t="n"/>
      <c r="AK67" s="69" t="n"/>
      <c r="AL67" s="69" t="n"/>
      <c r="AM67" s="69" t="n"/>
      <c r="AN67" s="69" t="n"/>
      <c r="AO67" s="24" t="n"/>
    </row>
    <row r="68" ht="15" customHeight="1">
      <c r="A68" s="68">
        <f>IF(C68="","",IFERROR(IF(SUMPRODUCT(MAX((tbl_Finance[Job Number]=C68&amp;"")*(tbl_Finance[Xero Invoice No]&lt;&gt;"")*tbl_Finance[Date]))=0,"",SUMPRODUCT(MAX((tbl_Finance[Job Number]=C68&amp;"")*(tbl_Finance[Xero Invoice No]&lt;&gt;"")*tbl_Finance[Date]))),""))</f>
        <v/>
      </c>
      <c r="B68" s="25">
        <f>IF(C68="","",IF(COUNTIFS(tbl_Finance[Job Number],C68&amp;"",tbl_Finance[Xero Invoice No],"&lt;&gt;")=0,"",IFERROR(IF(COUNTIFS(tbl_Finance[Job Number],C68&amp;"",tbl_Finance[Xero Invoice No],LOOKUP(2,1/((tbl_Finance[Job Number]=C68&amp;"")*(tbl_Finance[Xero Invoice No]&lt;&gt;"")),tbl_Finance[Xero Invoice No]))=COUNTIFS(tbl_Finance[Job Number],C68&amp;"",tbl_Finance[Xero Invoice No],"&lt;&gt;"),LOOKUP(2,1/((tbl_Finance[Job Number]=C68&amp;"")*(tbl_Finance[Xero Invoice No]&lt;&gt;"")),tbl_Finance[Xero Invoice No]),LOOKUP(2,1/((tbl_Finance[Job Number]=C68&amp;"")*(tbl_Finance[Xero Invoice No]&lt;&gt;"")),tbl_Finance[Xero Invoice No])&amp;" +more"),"")))</f>
        <v/>
      </c>
      <c r="C68" s="24" t="n"/>
      <c r="D68" s="25">
        <f>IF(C68="","",IF(COUNTIF(lst_Jobs,C68&amp;"")&gt;0,"OK","CHECK"))</f>
        <v/>
      </c>
      <c r="E68" s="25">
        <f>IF(C68="","",IFERROR(INDEX(lst_JobName,MATCH(C68&amp;"",lst_Jobs,0)),""))</f>
        <v/>
      </c>
      <c r="F68" s="25">
        <f>IF(C68="","",IFERROR(INDEX(tbl_Finance[Client],MATCH(C68&amp;"",tbl_Finance[Job Number],0)),""))</f>
        <v/>
      </c>
      <c r="G68" s="28">
        <f>IF(C68="","",COUNTIFS(tbl_Finance[Job Number],C68&amp;"",tbl_Finance[Ex GST],"&lt;&gt;"))</f>
        <v/>
      </c>
      <c r="H68" s="27">
        <f>IF(C68="","",SUMIFS(tbl_Finance[Ex GST],tbl_Finance[Job Number],C68&amp;""))</f>
        <v/>
      </c>
      <c r="I68" s="27">
        <f>IF(C68="","",SUMIFS(tbl_Finance[Ex GST],tbl_Finance[Job Number],C68&amp;"",tbl_Finance[Xero Invoice No],"&lt;&gt;"))</f>
        <v/>
      </c>
      <c r="J68" s="27">
        <f>IF(C68="","",H68-I68)</f>
        <v/>
      </c>
      <c r="K68" s="25">
        <f>IF(C68="","",IF(G68=0,"not invoiced yet",SUBSTITUTE(TRIM(IF(COUNTIFS(tbl_Finance[Job Number],C68&amp;"",tbl_Finance[Cost Centre],"ONSITE")&gt;0,"ONSITE ","")&amp;IF(COUNTIFS(tbl_Finance[Job Number],C68&amp;"",tbl_Finance[Cost Centre],"PRODUCTION")&gt;0,"PRODUCTION ","")&amp;IF(COUNTIFS(tbl_Finance[Job Number],C68&amp;"",tbl_Finance[Cost Centre],"VIDEO")&gt;0,"VIDEO ","")&amp;IF(COUNTIFS(tbl_Finance[Job Number],C68&amp;"",tbl_Finance[Cost Centre],"INTEGRATION")&gt;0,"INTEGRATION ","")&amp;IF(COUNTIFS(tbl_Finance[Job Number],C68&amp;"",tbl_Finance[Cost Centre],"CONSULTING")&gt;0,"CONSULTING ","")&amp;IF(COUNTIFS(tbl_Finance[Job Number],C68&amp;"",tbl_Finance[Cost Centre],"CTS")&gt;0,"CTS ",""))," ",", ")))</f>
        <v/>
      </c>
      <c r="L68" s="27">
        <f>IF(C68="","",SUMIFS(tbl_Finance[Inc GST],tbl_Finance[Job Number],C68&amp;""))</f>
        <v/>
      </c>
      <c r="M68" s="24" t="n"/>
      <c r="N68" s="25">
        <f>IF(C68="","",IFERROR(INDEX(tbl_Finance[Description],MATCH(C68&amp;"",tbl_Finance[Job Number],0)),""))</f>
        <v/>
      </c>
      <c r="O68" s="24" t="n"/>
      <c r="P68" s="24" t="n"/>
      <c r="Q68" s="22" t="n"/>
      <c r="R68" s="24" t="n"/>
      <c r="S68" s="25">
        <f>IF(R68="","",IF(AND(LEFT(R68,4)&lt;&gt;"http",set_RMSBase=""),"",HYPERLINK(IF(LEFT(R68,4)="http",R68,set_RMSBase&amp;R68),"Open opportunity")))</f>
        <v/>
      </c>
      <c r="T68" s="24" t="n"/>
      <c r="U68" s="25">
        <f>IF(T68="","",HYPERLINK(IF(LEFT(T68,4)="http",T68,set_QwilrBase&amp;T68),"Open quote"))</f>
        <v/>
      </c>
      <c r="V68" s="25">
        <f>IF(C68="","",C68)</f>
        <v/>
      </c>
      <c r="W68" s="24" t="n"/>
      <c r="X68" s="26" t="n"/>
      <c r="Y68" s="27">
        <f>IF(C68="","",H68+N(X68))</f>
        <v/>
      </c>
      <c r="Z68" s="29">
        <f>IFERROR(X68/Y68,"")</f>
        <v/>
      </c>
      <c r="AA68" s="26" t="n"/>
      <c r="AB68" s="26" t="n"/>
      <c r="AC68" s="26" t="n"/>
      <c r="AD68" s="26" t="n"/>
      <c r="AE68" s="27">
        <f>IF(C68="","",SUMIFS(tbl_Finance[Ex GST],tbl_Finance[Job Number],C68&amp;"",tbl_Finance[Cost Centre],"VIDEO"))</f>
        <v/>
      </c>
      <c r="AF68" s="29">
        <f>IFERROR(AE68/H68,"")</f>
        <v/>
      </c>
      <c r="AG68" s="27">
        <f>IF(C68="","",N(AA68)+N(AB68)+N(AC68)+N(AD68))</f>
        <v/>
      </c>
      <c r="AH68" s="27">
        <f>IF(C68="","",H68-AG68)</f>
        <v/>
      </c>
      <c r="AI68" s="29">
        <f>IFERROR(AH68/H68,"")</f>
        <v/>
      </c>
      <c r="AJ68" s="69" t="n"/>
      <c r="AK68" s="69" t="n"/>
      <c r="AL68" s="69" t="n"/>
      <c r="AM68" s="69" t="n"/>
      <c r="AN68" s="69" t="n"/>
      <c r="AO68" s="24" t="n"/>
    </row>
    <row r="69" ht="15" customHeight="1">
      <c r="A69" s="68">
        <f>IF(C69="","",IFERROR(IF(SUMPRODUCT(MAX((tbl_Finance[Job Number]=C69&amp;"")*(tbl_Finance[Xero Invoice No]&lt;&gt;"")*tbl_Finance[Date]))=0,"",SUMPRODUCT(MAX((tbl_Finance[Job Number]=C69&amp;"")*(tbl_Finance[Xero Invoice No]&lt;&gt;"")*tbl_Finance[Date]))),""))</f>
        <v/>
      </c>
      <c r="B69" s="25">
        <f>IF(C69="","",IF(COUNTIFS(tbl_Finance[Job Number],C69&amp;"",tbl_Finance[Xero Invoice No],"&lt;&gt;")=0,"",IFERROR(IF(COUNTIFS(tbl_Finance[Job Number],C69&amp;"",tbl_Finance[Xero Invoice No],LOOKUP(2,1/((tbl_Finance[Job Number]=C69&amp;"")*(tbl_Finance[Xero Invoice No]&lt;&gt;"")),tbl_Finance[Xero Invoice No]))=COUNTIFS(tbl_Finance[Job Number],C69&amp;"",tbl_Finance[Xero Invoice No],"&lt;&gt;"),LOOKUP(2,1/((tbl_Finance[Job Number]=C69&amp;"")*(tbl_Finance[Xero Invoice No]&lt;&gt;"")),tbl_Finance[Xero Invoice No]),LOOKUP(2,1/((tbl_Finance[Job Number]=C69&amp;"")*(tbl_Finance[Xero Invoice No]&lt;&gt;"")),tbl_Finance[Xero Invoice No])&amp;" +more"),"")))</f>
        <v/>
      </c>
      <c r="C69" s="24" t="n"/>
      <c r="D69" s="25">
        <f>IF(C69="","",IF(COUNTIF(lst_Jobs,C69&amp;"")&gt;0,"OK","CHECK"))</f>
        <v/>
      </c>
      <c r="E69" s="25">
        <f>IF(C69="","",IFERROR(INDEX(lst_JobName,MATCH(C69&amp;"",lst_Jobs,0)),""))</f>
        <v/>
      </c>
      <c r="F69" s="25">
        <f>IF(C69="","",IFERROR(INDEX(tbl_Finance[Client],MATCH(C69&amp;"",tbl_Finance[Job Number],0)),""))</f>
        <v/>
      </c>
      <c r="G69" s="28">
        <f>IF(C69="","",COUNTIFS(tbl_Finance[Job Number],C69&amp;"",tbl_Finance[Ex GST],"&lt;&gt;"))</f>
        <v/>
      </c>
      <c r="H69" s="27">
        <f>IF(C69="","",SUMIFS(tbl_Finance[Ex GST],tbl_Finance[Job Number],C69&amp;""))</f>
        <v/>
      </c>
      <c r="I69" s="27">
        <f>IF(C69="","",SUMIFS(tbl_Finance[Ex GST],tbl_Finance[Job Number],C69&amp;"",tbl_Finance[Xero Invoice No],"&lt;&gt;"))</f>
        <v/>
      </c>
      <c r="J69" s="27">
        <f>IF(C69="","",H69-I69)</f>
        <v/>
      </c>
      <c r="K69" s="25">
        <f>IF(C69="","",IF(G69=0,"not invoiced yet",SUBSTITUTE(TRIM(IF(COUNTIFS(tbl_Finance[Job Number],C69&amp;"",tbl_Finance[Cost Centre],"ONSITE")&gt;0,"ONSITE ","")&amp;IF(COUNTIFS(tbl_Finance[Job Number],C69&amp;"",tbl_Finance[Cost Centre],"PRODUCTION")&gt;0,"PRODUCTION ","")&amp;IF(COUNTIFS(tbl_Finance[Job Number],C69&amp;"",tbl_Finance[Cost Centre],"VIDEO")&gt;0,"VIDEO ","")&amp;IF(COUNTIFS(tbl_Finance[Job Number],C69&amp;"",tbl_Finance[Cost Centre],"INTEGRATION")&gt;0,"INTEGRATION ","")&amp;IF(COUNTIFS(tbl_Finance[Job Number],C69&amp;"",tbl_Finance[Cost Centre],"CONSULTING")&gt;0,"CONSULTING ","")&amp;IF(COUNTIFS(tbl_Finance[Job Number],C69&amp;"",tbl_Finance[Cost Centre],"CTS")&gt;0,"CTS ",""))," ",", ")))</f>
        <v/>
      </c>
      <c r="L69" s="27">
        <f>IF(C69="","",SUMIFS(tbl_Finance[Inc GST],tbl_Finance[Job Number],C69&amp;""))</f>
        <v/>
      </c>
      <c r="M69" s="24" t="n"/>
      <c r="N69" s="25">
        <f>IF(C69="","",IFERROR(INDEX(tbl_Finance[Description],MATCH(C69&amp;"",tbl_Finance[Job Number],0)),""))</f>
        <v/>
      </c>
      <c r="O69" s="24" t="n"/>
      <c r="P69" s="24" t="n"/>
      <c r="Q69" s="22" t="n"/>
      <c r="R69" s="24" t="n"/>
      <c r="S69" s="25">
        <f>IF(R69="","",IF(AND(LEFT(R69,4)&lt;&gt;"http",set_RMSBase=""),"",HYPERLINK(IF(LEFT(R69,4)="http",R69,set_RMSBase&amp;R69),"Open opportunity")))</f>
        <v/>
      </c>
      <c r="T69" s="24" t="n"/>
      <c r="U69" s="25">
        <f>IF(T69="","",HYPERLINK(IF(LEFT(T69,4)="http",T69,set_QwilrBase&amp;T69),"Open quote"))</f>
        <v/>
      </c>
      <c r="V69" s="25">
        <f>IF(C69="","",C69)</f>
        <v/>
      </c>
      <c r="W69" s="24" t="n"/>
      <c r="X69" s="26" t="n"/>
      <c r="Y69" s="27">
        <f>IF(C69="","",H69+N(X69))</f>
        <v/>
      </c>
      <c r="Z69" s="29">
        <f>IFERROR(X69/Y69,"")</f>
        <v/>
      </c>
      <c r="AA69" s="26" t="n"/>
      <c r="AB69" s="26" t="n"/>
      <c r="AC69" s="26" t="n"/>
      <c r="AD69" s="26" t="n"/>
      <c r="AE69" s="27">
        <f>IF(C69="","",SUMIFS(tbl_Finance[Ex GST],tbl_Finance[Job Number],C69&amp;"",tbl_Finance[Cost Centre],"VIDEO"))</f>
        <v/>
      </c>
      <c r="AF69" s="29">
        <f>IFERROR(AE69/H69,"")</f>
        <v/>
      </c>
      <c r="AG69" s="27">
        <f>IF(C69="","",N(AA69)+N(AB69)+N(AC69)+N(AD69))</f>
        <v/>
      </c>
      <c r="AH69" s="27">
        <f>IF(C69="","",H69-AG69)</f>
        <v/>
      </c>
      <c r="AI69" s="29">
        <f>IFERROR(AH69/H69,"")</f>
        <v/>
      </c>
      <c r="AJ69" s="69" t="n"/>
      <c r="AK69" s="69" t="n"/>
      <c r="AL69" s="69" t="n"/>
      <c r="AM69" s="69" t="n"/>
      <c r="AN69" s="69" t="n"/>
      <c r="AO69" s="24" t="n"/>
    </row>
    <row r="70" ht="15" customHeight="1">
      <c r="A70" s="68">
        <f>IF(C70="","",IFERROR(IF(SUMPRODUCT(MAX((tbl_Finance[Job Number]=C70&amp;"")*(tbl_Finance[Xero Invoice No]&lt;&gt;"")*tbl_Finance[Date]))=0,"",SUMPRODUCT(MAX((tbl_Finance[Job Number]=C70&amp;"")*(tbl_Finance[Xero Invoice No]&lt;&gt;"")*tbl_Finance[Date]))),""))</f>
        <v/>
      </c>
      <c r="B70" s="25">
        <f>IF(C70="","",IF(COUNTIFS(tbl_Finance[Job Number],C70&amp;"",tbl_Finance[Xero Invoice No],"&lt;&gt;")=0,"",IFERROR(IF(COUNTIFS(tbl_Finance[Job Number],C70&amp;"",tbl_Finance[Xero Invoice No],LOOKUP(2,1/((tbl_Finance[Job Number]=C70&amp;"")*(tbl_Finance[Xero Invoice No]&lt;&gt;"")),tbl_Finance[Xero Invoice No]))=COUNTIFS(tbl_Finance[Job Number],C70&amp;"",tbl_Finance[Xero Invoice No],"&lt;&gt;"),LOOKUP(2,1/((tbl_Finance[Job Number]=C70&amp;"")*(tbl_Finance[Xero Invoice No]&lt;&gt;"")),tbl_Finance[Xero Invoice No]),LOOKUP(2,1/((tbl_Finance[Job Number]=C70&amp;"")*(tbl_Finance[Xero Invoice No]&lt;&gt;"")),tbl_Finance[Xero Invoice No])&amp;" +more"),"")))</f>
        <v/>
      </c>
      <c r="C70" s="24" t="n"/>
      <c r="D70" s="25">
        <f>IF(C70="","",IF(COUNTIF(lst_Jobs,C70&amp;"")&gt;0,"OK","CHECK"))</f>
        <v/>
      </c>
      <c r="E70" s="25">
        <f>IF(C70="","",IFERROR(INDEX(lst_JobName,MATCH(C70&amp;"",lst_Jobs,0)),""))</f>
        <v/>
      </c>
      <c r="F70" s="25">
        <f>IF(C70="","",IFERROR(INDEX(tbl_Finance[Client],MATCH(C70&amp;"",tbl_Finance[Job Number],0)),""))</f>
        <v/>
      </c>
      <c r="G70" s="28">
        <f>IF(C70="","",COUNTIFS(tbl_Finance[Job Number],C70&amp;"",tbl_Finance[Ex GST],"&lt;&gt;"))</f>
        <v/>
      </c>
      <c r="H70" s="27">
        <f>IF(C70="","",SUMIFS(tbl_Finance[Ex GST],tbl_Finance[Job Number],C70&amp;""))</f>
        <v/>
      </c>
      <c r="I70" s="27">
        <f>IF(C70="","",SUMIFS(tbl_Finance[Ex GST],tbl_Finance[Job Number],C70&amp;"",tbl_Finance[Xero Invoice No],"&lt;&gt;"))</f>
        <v/>
      </c>
      <c r="J70" s="27">
        <f>IF(C70="","",H70-I70)</f>
        <v/>
      </c>
      <c r="K70" s="25">
        <f>IF(C70="","",IF(G70=0,"not invoiced yet",SUBSTITUTE(TRIM(IF(COUNTIFS(tbl_Finance[Job Number],C70&amp;"",tbl_Finance[Cost Centre],"ONSITE")&gt;0,"ONSITE ","")&amp;IF(COUNTIFS(tbl_Finance[Job Number],C70&amp;"",tbl_Finance[Cost Centre],"PRODUCTION")&gt;0,"PRODUCTION ","")&amp;IF(COUNTIFS(tbl_Finance[Job Number],C70&amp;"",tbl_Finance[Cost Centre],"VIDEO")&gt;0,"VIDEO ","")&amp;IF(COUNTIFS(tbl_Finance[Job Number],C70&amp;"",tbl_Finance[Cost Centre],"INTEGRATION")&gt;0,"INTEGRATION ","")&amp;IF(COUNTIFS(tbl_Finance[Job Number],C70&amp;"",tbl_Finance[Cost Centre],"CONSULTING")&gt;0,"CONSULTING ","")&amp;IF(COUNTIFS(tbl_Finance[Job Number],C70&amp;"",tbl_Finance[Cost Centre],"CTS")&gt;0,"CTS ",""))," ",", ")))</f>
        <v/>
      </c>
      <c r="L70" s="27">
        <f>IF(C70="","",SUMIFS(tbl_Finance[Inc GST],tbl_Finance[Job Number],C70&amp;""))</f>
        <v/>
      </c>
      <c r="M70" s="24" t="n"/>
      <c r="N70" s="25">
        <f>IF(C70="","",IFERROR(INDEX(tbl_Finance[Description],MATCH(C70&amp;"",tbl_Finance[Job Number],0)),""))</f>
        <v/>
      </c>
      <c r="O70" s="24" t="n"/>
      <c r="P70" s="24" t="n"/>
      <c r="Q70" s="22" t="n"/>
      <c r="R70" s="24" t="n"/>
      <c r="S70" s="25">
        <f>IF(R70="","",IF(AND(LEFT(R70,4)&lt;&gt;"http",set_RMSBase=""),"",HYPERLINK(IF(LEFT(R70,4)="http",R70,set_RMSBase&amp;R70),"Open opportunity")))</f>
        <v/>
      </c>
      <c r="T70" s="24" t="n"/>
      <c r="U70" s="25">
        <f>IF(T70="","",HYPERLINK(IF(LEFT(T70,4)="http",T70,set_QwilrBase&amp;T70),"Open quote"))</f>
        <v/>
      </c>
      <c r="V70" s="25">
        <f>IF(C70="","",C70)</f>
        <v/>
      </c>
      <c r="W70" s="24" t="n"/>
      <c r="X70" s="26" t="n"/>
      <c r="Y70" s="27">
        <f>IF(C70="","",H70+N(X70))</f>
        <v/>
      </c>
      <c r="Z70" s="29">
        <f>IFERROR(X70/Y70,"")</f>
        <v/>
      </c>
      <c r="AA70" s="26" t="n"/>
      <c r="AB70" s="26" t="n"/>
      <c r="AC70" s="26" t="n"/>
      <c r="AD70" s="26" t="n"/>
      <c r="AE70" s="27">
        <f>IF(C70="","",SUMIFS(tbl_Finance[Ex GST],tbl_Finance[Job Number],C70&amp;"",tbl_Finance[Cost Centre],"VIDEO"))</f>
        <v/>
      </c>
      <c r="AF70" s="29">
        <f>IFERROR(AE70/H70,"")</f>
        <v/>
      </c>
      <c r="AG70" s="27">
        <f>IF(C70="","",N(AA70)+N(AB70)+N(AC70)+N(AD70))</f>
        <v/>
      </c>
      <c r="AH70" s="27">
        <f>IF(C70="","",H70-AG70)</f>
        <v/>
      </c>
      <c r="AI70" s="29">
        <f>IFERROR(AH70/H70,"")</f>
        <v/>
      </c>
      <c r="AJ70" s="69" t="n"/>
      <c r="AK70" s="69" t="n"/>
      <c r="AL70" s="69" t="n"/>
      <c r="AM70" s="69" t="n"/>
      <c r="AN70" s="69" t="n"/>
      <c r="AO70" s="24" t="n"/>
    </row>
    <row r="71" ht="15" customHeight="1">
      <c r="A71" s="68">
        <f>IF(C71="","",IFERROR(IF(SUMPRODUCT(MAX((tbl_Finance[Job Number]=C71&amp;"")*(tbl_Finance[Xero Invoice No]&lt;&gt;"")*tbl_Finance[Date]))=0,"",SUMPRODUCT(MAX((tbl_Finance[Job Number]=C71&amp;"")*(tbl_Finance[Xero Invoice No]&lt;&gt;"")*tbl_Finance[Date]))),""))</f>
        <v/>
      </c>
      <c r="B71" s="25">
        <f>IF(C71="","",IF(COUNTIFS(tbl_Finance[Job Number],C71&amp;"",tbl_Finance[Xero Invoice No],"&lt;&gt;")=0,"",IFERROR(IF(COUNTIFS(tbl_Finance[Job Number],C71&amp;"",tbl_Finance[Xero Invoice No],LOOKUP(2,1/((tbl_Finance[Job Number]=C71&amp;"")*(tbl_Finance[Xero Invoice No]&lt;&gt;"")),tbl_Finance[Xero Invoice No]))=COUNTIFS(tbl_Finance[Job Number],C71&amp;"",tbl_Finance[Xero Invoice No],"&lt;&gt;"),LOOKUP(2,1/((tbl_Finance[Job Number]=C71&amp;"")*(tbl_Finance[Xero Invoice No]&lt;&gt;"")),tbl_Finance[Xero Invoice No]),LOOKUP(2,1/((tbl_Finance[Job Number]=C71&amp;"")*(tbl_Finance[Xero Invoice No]&lt;&gt;"")),tbl_Finance[Xero Invoice No])&amp;" +more"),"")))</f>
        <v/>
      </c>
      <c r="C71" s="24" t="n"/>
      <c r="D71" s="25">
        <f>IF(C71="","",IF(COUNTIF(lst_Jobs,C71&amp;"")&gt;0,"OK","CHECK"))</f>
        <v/>
      </c>
      <c r="E71" s="25">
        <f>IF(C71="","",IFERROR(INDEX(lst_JobName,MATCH(C71&amp;"",lst_Jobs,0)),""))</f>
        <v/>
      </c>
      <c r="F71" s="25">
        <f>IF(C71="","",IFERROR(INDEX(tbl_Finance[Client],MATCH(C71&amp;"",tbl_Finance[Job Number],0)),""))</f>
        <v/>
      </c>
      <c r="G71" s="28">
        <f>IF(C71="","",COUNTIFS(tbl_Finance[Job Number],C71&amp;"",tbl_Finance[Ex GST],"&lt;&gt;"))</f>
        <v/>
      </c>
      <c r="H71" s="27">
        <f>IF(C71="","",SUMIFS(tbl_Finance[Ex GST],tbl_Finance[Job Number],C71&amp;""))</f>
        <v/>
      </c>
      <c r="I71" s="27">
        <f>IF(C71="","",SUMIFS(tbl_Finance[Ex GST],tbl_Finance[Job Number],C71&amp;"",tbl_Finance[Xero Invoice No],"&lt;&gt;"))</f>
        <v/>
      </c>
      <c r="J71" s="27">
        <f>IF(C71="","",H71-I71)</f>
        <v/>
      </c>
      <c r="K71" s="25">
        <f>IF(C71="","",IF(G71=0,"not invoiced yet",SUBSTITUTE(TRIM(IF(COUNTIFS(tbl_Finance[Job Number],C71&amp;"",tbl_Finance[Cost Centre],"ONSITE")&gt;0,"ONSITE ","")&amp;IF(COUNTIFS(tbl_Finance[Job Number],C71&amp;"",tbl_Finance[Cost Centre],"PRODUCTION")&gt;0,"PRODUCTION ","")&amp;IF(COUNTIFS(tbl_Finance[Job Number],C71&amp;"",tbl_Finance[Cost Centre],"VIDEO")&gt;0,"VIDEO ","")&amp;IF(COUNTIFS(tbl_Finance[Job Number],C71&amp;"",tbl_Finance[Cost Centre],"INTEGRATION")&gt;0,"INTEGRATION ","")&amp;IF(COUNTIFS(tbl_Finance[Job Number],C71&amp;"",tbl_Finance[Cost Centre],"CONSULTING")&gt;0,"CONSULTING ","")&amp;IF(COUNTIFS(tbl_Finance[Job Number],C71&amp;"",tbl_Finance[Cost Centre],"CTS")&gt;0,"CTS ",""))," ",", ")))</f>
        <v/>
      </c>
      <c r="L71" s="27">
        <f>IF(C71="","",SUMIFS(tbl_Finance[Inc GST],tbl_Finance[Job Number],C71&amp;""))</f>
        <v/>
      </c>
      <c r="M71" s="24" t="n"/>
      <c r="N71" s="25">
        <f>IF(C71="","",IFERROR(INDEX(tbl_Finance[Description],MATCH(C71&amp;"",tbl_Finance[Job Number],0)),""))</f>
        <v/>
      </c>
      <c r="O71" s="24" t="n"/>
      <c r="P71" s="24" t="n"/>
      <c r="Q71" s="22" t="n"/>
      <c r="R71" s="24" t="n"/>
      <c r="S71" s="25">
        <f>IF(R71="","",IF(AND(LEFT(R71,4)&lt;&gt;"http",set_RMSBase=""),"",HYPERLINK(IF(LEFT(R71,4)="http",R71,set_RMSBase&amp;R71),"Open opportunity")))</f>
        <v/>
      </c>
      <c r="T71" s="24" t="n"/>
      <c r="U71" s="25">
        <f>IF(T71="","",HYPERLINK(IF(LEFT(T71,4)="http",T71,set_QwilrBase&amp;T71),"Open quote"))</f>
        <v/>
      </c>
      <c r="V71" s="25">
        <f>IF(C71="","",C71)</f>
        <v/>
      </c>
      <c r="W71" s="24" t="n"/>
      <c r="X71" s="26" t="n"/>
      <c r="Y71" s="27">
        <f>IF(C71="","",H71+N(X71))</f>
        <v/>
      </c>
      <c r="Z71" s="29">
        <f>IFERROR(X71/Y71,"")</f>
        <v/>
      </c>
      <c r="AA71" s="26" t="n"/>
      <c r="AB71" s="26" t="n"/>
      <c r="AC71" s="26" t="n"/>
      <c r="AD71" s="26" t="n"/>
      <c r="AE71" s="27">
        <f>IF(C71="","",SUMIFS(tbl_Finance[Ex GST],tbl_Finance[Job Number],C71&amp;"",tbl_Finance[Cost Centre],"VIDEO"))</f>
        <v/>
      </c>
      <c r="AF71" s="29">
        <f>IFERROR(AE71/H71,"")</f>
        <v/>
      </c>
      <c r="AG71" s="27">
        <f>IF(C71="","",N(AA71)+N(AB71)+N(AC71)+N(AD71))</f>
        <v/>
      </c>
      <c r="AH71" s="27">
        <f>IF(C71="","",H71-AG71)</f>
        <v/>
      </c>
      <c r="AI71" s="29">
        <f>IFERROR(AH71/H71,"")</f>
        <v/>
      </c>
      <c r="AJ71" s="69" t="n"/>
      <c r="AK71" s="69" t="n"/>
      <c r="AL71" s="69" t="n"/>
      <c r="AM71" s="69" t="n"/>
      <c r="AN71" s="69" t="n"/>
      <c r="AO71" s="24" t="n"/>
    </row>
    <row r="72" ht="15" customHeight="1">
      <c r="A72" s="68">
        <f>IF(C72="","",IFERROR(IF(SUMPRODUCT(MAX((tbl_Finance[Job Number]=C72&amp;"")*(tbl_Finance[Xero Invoice No]&lt;&gt;"")*tbl_Finance[Date]))=0,"",SUMPRODUCT(MAX((tbl_Finance[Job Number]=C72&amp;"")*(tbl_Finance[Xero Invoice No]&lt;&gt;"")*tbl_Finance[Date]))),""))</f>
        <v/>
      </c>
      <c r="B72" s="25">
        <f>IF(C72="","",IF(COUNTIFS(tbl_Finance[Job Number],C72&amp;"",tbl_Finance[Xero Invoice No],"&lt;&gt;")=0,"",IFERROR(IF(COUNTIFS(tbl_Finance[Job Number],C72&amp;"",tbl_Finance[Xero Invoice No],LOOKUP(2,1/((tbl_Finance[Job Number]=C72&amp;"")*(tbl_Finance[Xero Invoice No]&lt;&gt;"")),tbl_Finance[Xero Invoice No]))=COUNTIFS(tbl_Finance[Job Number],C72&amp;"",tbl_Finance[Xero Invoice No],"&lt;&gt;"),LOOKUP(2,1/((tbl_Finance[Job Number]=C72&amp;"")*(tbl_Finance[Xero Invoice No]&lt;&gt;"")),tbl_Finance[Xero Invoice No]),LOOKUP(2,1/((tbl_Finance[Job Number]=C72&amp;"")*(tbl_Finance[Xero Invoice No]&lt;&gt;"")),tbl_Finance[Xero Invoice No])&amp;" +more"),"")))</f>
        <v/>
      </c>
      <c r="C72" s="24" t="n"/>
      <c r="D72" s="25">
        <f>IF(C72="","",IF(COUNTIF(lst_Jobs,C72&amp;"")&gt;0,"OK","CHECK"))</f>
        <v/>
      </c>
      <c r="E72" s="25">
        <f>IF(C72="","",IFERROR(INDEX(lst_JobName,MATCH(C72&amp;"",lst_Jobs,0)),""))</f>
        <v/>
      </c>
      <c r="F72" s="25">
        <f>IF(C72="","",IFERROR(INDEX(tbl_Finance[Client],MATCH(C72&amp;"",tbl_Finance[Job Number],0)),""))</f>
        <v/>
      </c>
      <c r="G72" s="28">
        <f>IF(C72="","",COUNTIFS(tbl_Finance[Job Number],C72&amp;"",tbl_Finance[Ex GST],"&lt;&gt;"))</f>
        <v/>
      </c>
      <c r="H72" s="27">
        <f>IF(C72="","",SUMIFS(tbl_Finance[Ex GST],tbl_Finance[Job Number],C72&amp;""))</f>
        <v/>
      </c>
      <c r="I72" s="27">
        <f>IF(C72="","",SUMIFS(tbl_Finance[Ex GST],tbl_Finance[Job Number],C72&amp;"",tbl_Finance[Xero Invoice No],"&lt;&gt;"))</f>
        <v/>
      </c>
      <c r="J72" s="27">
        <f>IF(C72="","",H72-I72)</f>
        <v/>
      </c>
      <c r="K72" s="25">
        <f>IF(C72="","",IF(G72=0,"not invoiced yet",SUBSTITUTE(TRIM(IF(COUNTIFS(tbl_Finance[Job Number],C72&amp;"",tbl_Finance[Cost Centre],"ONSITE")&gt;0,"ONSITE ","")&amp;IF(COUNTIFS(tbl_Finance[Job Number],C72&amp;"",tbl_Finance[Cost Centre],"PRODUCTION")&gt;0,"PRODUCTION ","")&amp;IF(COUNTIFS(tbl_Finance[Job Number],C72&amp;"",tbl_Finance[Cost Centre],"VIDEO")&gt;0,"VIDEO ","")&amp;IF(COUNTIFS(tbl_Finance[Job Number],C72&amp;"",tbl_Finance[Cost Centre],"INTEGRATION")&gt;0,"INTEGRATION ","")&amp;IF(COUNTIFS(tbl_Finance[Job Number],C72&amp;"",tbl_Finance[Cost Centre],"CONSULTING")&gt;0,"CONSULTING ","")&amp;IF(COUNTIFS(tbl_Finance[Job Number],C72&amp;"",tbl_Finance[Cost Centre],"CTS")&gt;0,"CTS ",""))," ",", ")))</f>
        <v/>
      </c>
      <c r="L72" s="27">
        <f>IF(C72="","",SUMIFS(tbl_Finance[Inc GST],tbl_Finance[Job Number],C72&amp;""))</f>
        <v/>
      </c>
      <c r="M72" s="24" t="n"/>
      <c r="N72" s="25">
        <f>IF(C72="","",IFERROR(INDEX(tbl_Finance[Description],MATCH(C72&amp;"",tbl_Finance[Job Number],0)),""))</f>
        <v/>
      </c>
      <c r="O72" s="24" t="n"/>
      <c r="P72" s="24" t="n"/>
      <c r="Q72" s="22" t="n"/>
      <c r="R72" s="24" t="n"/>
      <c r="S72" s="25">
        <f>IF(R72="","",IF(AND(LEFT(R72,4)&lt;&gt;"http",set_RMSBase=""),"",HYPERLINK(IF(LEFT(R72,4)="http",R72,set_RMSBase&amp;R72),"Open opportunity")))</f>
        <v/>
      </c>
      <c r="T72" s="24" t="n"/>
      <c r="U72" s="25">
        <f>IF(T72="","",HYPERLINK(IF(LEFT(T72,4)="http",T72,set_QwilrBase&amp;T72),"Open quote"))</f>
        <v/>
      </c>
      <c r="V72" s="25">
        <f>IF(C72="","",C72)</f>
        <v/>
      </c>
      <c r="W72" s="24" t="n"/>
      <c r="X72" s="26" t="n"/>
      <c r="Y72" s="27">
        <f>IF(C72="","",H72+N(X72))</f>
        <v/>
      </c>
      <c r="Z72" s="29">
        <f>IFERROR(X72/Y72,"")</f>
        <v/>
      </c>
      <c r="AA72" s="26" t="n"/>
      <c r="AB72" s="26" t="n"/>
      <c r="AC72" s="26" t="n"/>
      <c r="AD72" s="26" t="n"/>
      <c r="AE72" s="27">
        <f>IF(C72="","",SUMIFS(tbl_Finance[Ex GST],tbl_Finance[Job Number],C72&amp;"",tbl_Finance[Cost Centre],"VIDEO"))</f>
        <v/>
      </c>
      <c r="AF72" s="29">
        <f>IFERROR(AE72/H72,"")</f>
        <v/>
      </c>
      <c r="AG72" s="27">
        <f>IF(C72="","",N(AA72)+N(AB72)+N(AC72)+N(AD72))</f>
        <v/>
      </c>
      <c r="AH72" s="27">
        <f>IF(C72="","",H72-AG72)</f>
        <v/>
      </c>
      <c r="AI72" s="29">
        <f>IFERROR(AH72/H72,"")</f>
        <v/>
      </c>
      <c r="AJ72" s="69" t="n"/>
      <c r="AK72" s="69" t="n"/>
      <c r="AL72" s="69" t="n"/>
      <c r="AM72" s="69" t="n"/>
      <c r="AN72" s="69" t="n"/>
      <c r="AO72" s="24" t="n"/>
    </row>
    <row r="73" ht="15" customHeight="1">
      <c r="A73" s="68">
        <f>IF(C73="","",IFERROR(IF(SUMPRODUCT(MAX((tbl_Finance[Job Number]=C73&amp;"")*(tbl_Finance[Xero Invoice No]&lt;&gt;"")*tbl_Finance[Date]))=0,"",SUMPRODUCT(MAX((tbl_Finance[Job Number]=C73&amp;"")*(tbl_Finance[Xero Invoice No]&lt;&gt;"")*tbl_Finance[Date]))),""))</f>
        <v/>
      </c>
      <c r="B73" s="25">
        <f>IF(C73="","",IF(COUNTIFS(tbl_Finance[Job Number],C73&amp;"",tbl_Finance[Xero Invoice No],"&lt;&gt;")=0,"",IFERROR(IF(COUNTIFS(tbl_Finance[Job Number],C73&amp;"",tbl_Finance[Xero Invoice No],LOOKUP(2,1/((tbl_Finance[Job Number]=C73&amp;"")*(tbl_Finance[Xero Invoice No]&lt;&gt;"")),tbl_Finance[Xero Invoice No]))=COUNTIFS(tbl_Finance[Job Number],C73&amp;"",tbl_Finance[Xero Invoice No],"&lt;&gt;"),LOOKUP(2,1/((tbl_Finance[Job Number]=C73&amp;"")*(tbl_Finance[Xero Invoice No]&lt;&gt;"")),tbl_Finance[Xero Invoice No]),LOOKUP(2,1/((tbl_Finance[Job Number]=C73&amp;"")*(tbl_Finance[Xero Invoice No]&lt;&gt;"")),tbl_Finance[Xero Invoice No])&amp;" +more"),"")))</f>
        <v/>
      </c>
      <c r="C73" s="24" t="n"/>
      <c r="D73" s="25">
        <f>IF(C73="","",IF(COUNTIF(lst_Jobs,C73&amp;"")&gt;0,"OK","CHECK"))</f>
        <v/>
      </c>
      <c r="E73" s="25">
        <f>IF(C73="","",IFERROR(INDEX(lst_JobName,MATCH(C73&amp;"",lst_Jobs,0)),""))</f>
        <v/>
      </c>
      <c r="F73" s="25">
        <f>IF(C73="","",IFERROR(INDEX(tbl_Finance[Client],MATCH(C73&amp;"",tbl_Finance[Job Number],0)),""))</f>
        <v/>
      </c>
      <c r="G73" s="28">
        <f>IF(C73="","",COUNTIFS(tbl_Finance[Job Number],C73&amp;"",tbl_Finance[Ex GST],"&lt;&gt;"))</f>
        <v/>
      </c>
      <c r="H73" s="27">
        <f>IF(C73="","",SUMIFS(tbl_Finance[Ex GST],tbl_Finance[Job Number],C73&amp;""))</f>
        <v/>
      </c>
      <c r="I73" s="27">
        <f>IF(C73="","",SUMIFS(tbl_Finance[Ex GST],tbl_Finance[Job Number],C73&amp;"",tbl_Finance[Xero Invoice No],"&lt;&gt;"))</f>
        <v/>
      </c>
      <c r="J73" s="27">
        <f>IF(C73="","",H73-I73)</f>
        <v/>
      </c>
      <c r="K73" s="25">
        <f>IF(C73="","",IF(G73=0,"not invoiced yet",SUBSTITUTE(TRIM(IF(COUNTIFS(tbl_Finance[Job Number],C73&amp;"",tbl_Finance[Cost Centre],"ONSITE")&gt;0,"ONSITE ","")&amp;IF(COUNTIFS(tbl_Finance[Job Number],C73&amp;"",tbl_Finance[Cost Centre],"PRODUCTION")&gt;0,"PRODUCTION ","")&amp;IF(COUNTIFS(tbl_Finance[Job Number],C73&amp;"",tbl_Finance[Cost Centre],"VIDEO")&gt;0,"VIDEO ","")&amp;IF(COUNTIFS(tbl_Finance[Job Number],C73&amp;"",tbl_Finance[Cost Centre],"INTEGRATION")&gt;0,"INTEGRATION ","")&amp;IF(COUNTIFS(tbl_Finance[Job Number],C73&amp;"",tbl_Finance[Cost Centre],"CONSULTING")&gt;0,"CONSULTING ","")&amp;IF(COUNTIFS(tbl_Finance[Job Number],C73&amp;"",tbl_Finance[Cost Centre],"CTS")&gt;0,"CTS ",""))," ",", ")))</f>
        <v/>
      </c>
      <c r="L73" s="27">
        <f>IF(C73="","",SUMIFS(tbl_Finance[Inc GST],tbl_Finance[Job Number],C73&amp;""))</f>
        <v/>
      </c>
      <c r="M73" s="24" t="n"/>
      <c r="N73" s="25">
        <f>IF(C73="","",IFERROR(INDEX(tbl_Finance[Description],MATCH(C73&amp;"",tbl_Finance[Job Number],0)),""))</f>
        <v/>
      </c>
      <c r="O73" s="24" t="n"/>
      <c r="P73" s="24" t="n"/>
      <c r="Q73" s="22" t="n"/>
      <c r="R73" s="24" t="n"/>
      <c r="S73" s="25">
        <f>IF(R73="","",IF(AND(LEFT(R73,4)&lt;&gt;"http",set_RMSBase=""),"",HYPERLINK(IF(LEFT(R73,4)="http",R73,set_RMSBase&amp;R73),"Open opportunity")))</f>
        <v/>
      </c>
      <c r="T73" s="24" t="n"/>
      <c r="U73" s="25">
        <f>IF(T73="","",HYPERLINK(IF(LEFT(T73,4)="http",T73,set_QwilrBase&amp;T73),"Open quote"))</f>
        <v/>
      </c>
      <c r="V73" s="25">
        <f>IF(C73="","",C73)</f>
        <v/>
      </c>
      <c r="W73" s="24" t="n"/>
      <c r="X73" s="26" t="n"/>
      <c r="Y73" s="27">
        <f>IF(C73="","",H73+N(X73))</f>
        <v/>
      </c>
      <c r="Z73" s="29">
        <f>IFERROR(X73/Y73,"")</f>
        <v/>
      </c>
      <c r="AA73" s="26" t="n"/>
      <c r="AB73" s="26" t="n"/>
      <c r="AC73" s="26" t="n"/>
      <c r="AD73" s="26" t="n"/>
      <c r="AE73" s="27">
        <f>IF(C73="","",SUMIFS(tbl_Finance[Ex GST],tbl_Finance[Job Number],C73&amp;"",tbl_Finance[Cost Centre],"VIDEO"))</f>
        <v/>
      </c>
      <c r="AF73" s="29">
        <f>IFERROR(AE73/H73,"")</f>
        <v/>
      </c>
      <c r="AG73" s="27">
        <f>IF(C73="","",N(AA73)+N(AB73)+N(AC73)+N(AD73))</f>
        <v/>
      </c>
      <c r="AH73" s="27">
        <f>IF(C73="","",H73-AG73)</f>
        <v/>
      </c>
      <c r="AI73" s="29">
        <f>IFERROR(AH73/H73,"")</f>
        <v/>
      </c>
      <c r="AJ73" s="69" t="n"/>
      <c r="AK73" s="69" t="n"/>
      <c r="AL73" s="69" t="n"/>
      <c r="AM73" s="69" t="n"/>
      <c r="AN73" s="69" t="n"/>
      <c r="AO73" s="24" t="n"/>
    </row>
    <row r="74" ht="15" customHeight="1">
      <c r="A74" s="68">
        <f>IF(C74="","",IFERROR(IF(SUMPRODUCT(MAX((tbl_Finance[Job Number]=C74&amp;"")*(tbl_Finance[Xero Invoice No]&lt;&gt;"")*tbl_Finance[Date]))=0,"",SUMPRODUCT(MAX((tbl_Finance[Job Number]=C74&amp;"")*(tbl_Finance[Xero Invoice No]&lt;&gt;"")*tbl_Finance[Date]))),""))</f>
        <v/>
      </c>
      <c r="B74" s="25">
        <f>IF(C74="","",IF(COUNTIFS(tbl_Finance[Job Number],C74&amp;"",tbl_Finance[Xero Invoice No],"&lt;&gt;")=0,"",IFERROR(IF(COUNTIFS(tbl_Finance[Job Number],C74&amp;"",tbl_Finance[Xero Invoice No],LOOKUP(2,1/((tbl_Finance[Job Number]=C74&amp;"")*(tbl_Finance[Xero Invoice No]&lt;&gt;"")),tbl_Finance[Xero Invoice No]))=COUNTIFS(tbl_Finance[Job Number],C74&amp;"",tbl_Finance[Xero Invoice No],"&lt;&gt;"),LOOKUP(2,1/((tbl_Finance[Job Number]=C74&amp;"")*(tbl_Finance[Xero Invoice No]&lt;&gt;"")),tbl_Finance[Xero Invoice No]),LOOKUP(2,1/((tbl_Finance[Job Number]=C74&amp;"")*(tbl_Finance[Xero Invoice No]&lt;&gt;"")),tbl_Finance[Xero Invoice No])&amp;" +more"),"")))</f>
        <v/>
      </c>
      <c r="C74" s="24" t="n"/>
      <c r="D74" s="25">
        <f>IF(C74="","",IF(COUNTIF(lst_Jobs,C74&amp;"")&gt;0,"OK","CHECK"))</f>
        <v/>
      </c>
      <c r="E74" s="25">
        <f>IF(C74="","",IFERROR(INDEX(lst_JobName,MATCH(C74&amp;"",lst_Jobs,0)),""))</f>
        <v/>
      </c>
      <c r="F74" s="25">
        <f>IF(C74="","",IFERROR(INDEX(tbl_Finance[Client],MATCH(C74&amp;"",tbl_Finance[Job Number],0)),""))</f>
        <v/>
      </c>
      <c r="G74" s="28">
        <f>IF(C74="","",COUNTIFS(tbl_Finance[Job Number],C74&amp;"",tbl_Finance[Ex GST],"&lt;&gt;"))</f>
        <v/>
      </c>
      <c r="H74" s="27">
        <f>IF(C74="","",SUMIFS(tbl_Finance[Ex GST],tbl_Finance[Job Number],C74&amp;""))</f>
        <v/>
      </c>
      <c r="I74" s="27">
        <f>IF(C74="","",SUMIFS(tbl_Finance[Ex GST],tbl_Finance[Job Number],C74&amp;"",tbl_Finance[Xero Invoice No],"&lt;&gt;"))</f>
        <v/>
      </c>
      <c r="J74" s="27">
        <f>IF(C74="","",H74-I74)</f>
        <v/>
      </c>
      <c r="K74" s="25">
        <f>IF(C74="","",IF(G74=0,"not invoiced yet",SUBSTITUTE(TRIM(IF(COUNTIFS(tbl_Finance[Job Number],C74&amp;"",tbl_Finance[Cost Centre],"ONSITE")&gt;0,"ONSITE ","")&amp;IF(COUNTIFS(tbl_Finance[Job Number],C74&amp;"",tbl_Finance[Cost Centre],"PRODUCTION")&gt;0,"PRODUCTION ","")&amp;IF(COUNTIFS(tbl_Finance[Job Number],C74&amp;"",tbl_Finance[Cost Centre],"VIDEO")&gt;0,"VIDEO ","")&amp;IF(COUNTIFS(tbl_Finance[Job Number],C74&amp;"",tbl_Finance[Cost Centre],"INTEGRATION")&gt;0,"INTEGRATION ","")&amp;IF(COUNTIFS(tbl_Finance[Job Number],C74&amp;"",tbl_Finance[Cost Centre],"CONSULTING")&gt;0,"CONSULTING ","")&amp;IF(COUNTIFS(tbl_Finance[Job Number],C74&amp;"",tbl_Finance[Cost Centre],"CTS")&gt;0,"CTS ",""))," ",", ")))</f>
        <v/>
      </c>
      <c r="L74" s="27">
        <f>IF(C74="","",SUMIFS(tbl_Finance[Inc GST],tbl_Finance[Job Number],C74&amp;""))</f>
        <v/>
      </c>
      <c r="M74" s="24" t="n"/>
      <c r="N74" s="25">
        <f>IF(C74="","",IFERROR(INDEX(tbl_Finance[Description],MATCH(C74&amp;"",tbl_Finance[Job Number],0)),""))</f>
        <v/>
      </c>
      <c r="O74" s="24" t="n"/>
      <c r="P74" s="24" t="n"/>
      <c r="Q74" s="22" t="n"/>
      <c r="R74" s="24" t="n"/>
      <c r="S74" s="25">
        <f>IF(R74="","",IF(AND(LEFT(R74,4)&lt;&gt;"http",set_RMSBase=""),"",HYPERLINK(IF(LEFT(R74,4)="http",R74,set_RMSBase&amp;R74),"Open opportunity")))</f>
        <v/>
      </c>
      <c r="T74" s="24" t="n"/>
      <c r="U74" s="25">
        <f>IF(T74="","",HYPERLINK(IF(LEFT(T74,4)="http",T74,set_QwilrBase&amp;T74),"Open quote"))</f>
        <v/>
      </c>
      <c r="V74" s="25">
        <f>IF(C74="","",C74)</f>
        <v/>
      </c>
      <c r="W74" s="24" t="n"/>
      <c r="X74" s="26" t="n"/>
      <c r="Y74" s="27">
        <f>IF(C74="","",H74+N(X74))</f>
        <v/>
      </c>
      <c r="Z74" s="29">
        <f>IFERROR(X74/Y74,"")</f>
        <v/>
      </c>
      <c r="AA74" s="26" t="n"/>
      <c r="AB74" s="26" t="n"/>
      <c r="AC74" s="26" t="n"/>
      <c r="AD74" s="26" t="n"/>
      <c r="AE74" s="27">
        <f>IF(C74="","",SUMIFS(tbl_Finance[Ex GST],tbl_Finance[Job Number],C74&amp;"",tbl_Finance[Cost Centre],"VIDEO"))</f>
        <v/>
      </c>
      <c r="AF74" s="29">
        <f>IFERROR(AE74/H74,"")</f>
        <v/>
      </c>
      <c r="AG74" s="27">
        <f>IF(C74="","",N(AA74)+N(AB74)+N(AC74)+N(AD74))</f>
        <v/>
      </c>
      <c r="AH74" s="27">
        <f>IF(C74="","",H74-AG74)</f>
        <v/>
      </c>
      <c r="AI74" s="29">
        <f>IFERROR(AH74/H74,"")</f>
        <v/>
      </c>
      <c r="AJ74" s="69" t="n"/>
      <c r="AK74" s="69" t="n"/>
      <c r="AL74" s="69" t="n"/>
      <c r="AM74" s="69" t="n"/>
      <c r="AN74" s="69" t="n"/>
      <c r="AO74" s="24" t="n"/>
    </row>
    <row r="75" ht="15" customHeight="1">
      <c r="A75" s="68">
        <f>IF(C75="","",IFERROR(IF(SUMPRODUCT(MAX((tbl_Finance[Job Number]=C75&amp;"")*(tbl_Finance[Xero Invoice No]&lt;&gt;"")*tbl_Finance[Date]))=0,"",SUMPRODUCT(MAX((tbl_Finance[Job Number]=C75&amp;"")*(tbl_Finance[Xero Invoice No]&lt;&gt;"")*tbl_Finance[Date]))),""))</f>
        <v/>
      </c>
      <c r="B75" s="25">
        <f>IF(C75="","",IF(COUNTIFS(tbl_Finance[Job Number],C75&amp;"",tbl_Finance[Xero Invoice No],"&lt;&gt;")=0,"",IFERROR(IF(COUNTIFS(tbl_Finance[Job Number],C75&amp;"",tbl_Finance[Xero Invoice No],LOOKUP(2,1/((tbl_Finance[Job Number]=C75&amp;"")*(tbl_Finance[Xero Invoice No]&lt;&gt;"")),tbl_Finance[Xero Invoice No]))=COUNTIFS(tbl_Finance[Job Number],C75&amp;"",tbl_Finance[Xero Invoice No],"&lt;&gt;"),LOOKUP(2,1/((tbl_Finance[Job Number]=C75&amp;"")*(tbl_Finance[Xero Invoice No]&lt;&gt;"")),tbl_Finance[Xero Invoice No]),LOOKUP(2,1/((tbl_Finance[Job Number]=C75&amp;"")*(tbl_Finance[Xero Invoice No]&lt;&gt;"")),tbl_Finance[Xero Invoice No])&amp;" +more"),"")))</f>
        <v/>
      </c>
      <c r="C75" s="24" t="n"/>
      <c r="D75" s="25">
        <f>IF(C75="","",IF(COUNTIF(lst_Jobs,C75&amp;"")&gt;0,"OK","CHECK"))</f>
        <v/>
      </c>
      <c r="E75" s="25">
        <f>IF(C75="","",IFERROR(INDEX(lst_JobName,MATCH(C75&amp;"",lst_Jobs,0)),""))</f>
        <v/>
      </c>
      <c r="F75" s="25">
        <f>IF(C75="","",IFERROR(INDEX(tbl_Finance[Client],MATCH(C75&amp;"",tbl_Finance[Job Number],0)),""))</f>
        <v/>
      </c>
      <c r="G75" s="28">
        <f>IF(C75="","",COUNTIFS(tbl_Finance[Job Number],C75&amp;"",tbl_Finance[Ex GST],"&lt;&gt;"))</f>
        <v/>
      </c>
      <c r="H75" s="27">
        <f>IF(C75="","",SUMIFS(tbl_Finance[Ex GST],tbl_Finance[Job Number],C75&amp;""))</f>
        <v/>
      </c>
      <c r="I75" s="27">
        <f>IF(C75="","",SUMIFS(tbl_Finance[Ex GST],tbl_Finance[Job Number],C75&amp;"",tbl_Finance[Xero Invoice No],"&lt;&gt;"))</f>
        <v/>
      </c>
      <c r="J75" s="27">
        <f>IF(C75="","",H75-I75)</f>
        <v/>
      </c>
      <c r="K75" s="25">
        <f>IF(C75="","",IF(G75=0,"not invoiced yet",SUBSTITUTE(TRIM(IF(COUNTIFS(tbl_Finance[Job Number],C75&amp;"",tbl_Finance[Cost Centre],"ONSITE")&gt;0,"ONSITE ","")&amp;IF(COUNTIFS(tbl_Finance[Job Number],C75&amp;"",tbl_Finance[Cost Centre],"PRODUCTION")&gt;0,"PRODUCTION ","")&amp;IF(COUNTIFS(tbl_Finance[Job Number],C75&amp;"",tbl_Finance[Cost Centre],"VIDEO")&gt;0,"VIDEO ","")&amp;IF(COUNTIFS(tbl_Finance[Job Number],C75&amp;"",tbl_Finance[Cost Centre],"INTEGRATION")&gt;0,"INTEGRATION ","")&amp;IF(COUNTIFS(tbl_Finance[Job Number],C75&amp;"",tbl_Finance[Cost Centre],"CONSULTING")&gt;0,"CONSULTING ","")&amp;IF(COUNTIFS(tbl_Finance[Job Number],C75&amp;"",tbl_Finance[Cost Centre],"CTS")&gt;0,"CTS ",""))," ",", ")))</f>
        <v/>
      </c>
      <c r="L75" s="27">
        <f>IF(C75="","",SUMIFS(tbl_Finance[Inc GST],tbl_Finance[Job Number],C75&amp;""))</f>
        <v/>
      </c>
      <c r="M75" s="24" t="n"/>
      <c r="N75" s="25">
        <f>IF(C75="","",IFERROR(INDEX(tbl_Finance[Description],MATCH(C75&amp;"",tbl_Finance[Job Number],0)),""))</f>
        <v/>
      </c>
      <c r="O75" s="24" t="n"/>
      <c r="P75" s="24" t="n"/>
      <c r="Q75" s="22" t="n"/>
      <c r="R75" s="24" t="n"/>
      <c r="S75" s="25">
        <f>IF(R75="","",IF(AND(LEFT(R75,4)&lt;&gt;"http",set_RMSBase=""),"",HYPERLINK(IF(LEFT(R75,4)="http",R75,set_RMSBase&amp;R75),"Open opportunity")))</f>
        <v/>
      </c>
      <c r="T75" s="24" t="n"/>
      <c r="U75" s="25">
        <f>IF(T75="","",HYPERLINK(IF(LEFT(T75,4)="http",T75,set_QwilrBase&amp;T75),"Open quote"))</f>
        <v/>
      </c>
      <c r="V75" s="25">
        <f>IF(C75="","",C75)</f>
        <v/>
      </c>
      <c r="W75" s="24" t="n"/>
      <c r="X75" s="26" t="n"/>
      <c r="Y75" s="27">
        <f>IF(C75="","",H75+N(X75))</f>
        <v/>
      </c>
      <c r="Z75" s="29">
        <f>IFERROR(X75/Y75,"")</f>
        <v/>
      </c>
      <c r="AA75" s="26" t="n"/>
      <c r="AB75" s="26" t="n"/>
      <c r="AC75" s="26" t="n"/>
      <c r="AD75" s="26" t="n"/>
      <c r="AE75" s="27">
        <f>IF(C75="","",SUMIFS(tbl_Finance[Ex GST],tbl_Finance[Job Number],C75&amp;"",tbl_Finance[Cost Centre],"VIDEO"))</f>
        <v/>
      </c>
      <c r="AF75" s="29">
        <f>IFERROR(AE75/H75,"")</f>
        <v/>
      </c>
      <c r="AG75" s="27">
        <f>IF(C75="","",N(AA75)+N(AB75)+N(AC75)+N(AD75))</f>
        <v/>
      </c>
      <c r="AH75" s="27">
        <f>IF(C75="","",H75-AG75)</f>
        <v/>
      </c>
      <c r="AI75" s="29">
        <f>IFERROR(AH75/H75,"")</f>
        <v/>
      </c>
      <c r="AJ75" s="69" t="n"/>
      <c r="AK75" s="69" t="n"/>
      <c r="AL75" s="69" t="n"/>
      <c r="AM75" s="69" t="n"/>
      <c r="AN75" s="69" t="n"/>
      <c r="AO75" s="24" t="n"/>
    </row>
    <row r="76" ht="15" customHeight="1">
      <c r="A76" s="68">
        <f>IF(C76="","",IFERROR(IF(SUMPRODUCT(MAX((tbl_Finance[Job Number]=C76&amp;"")*(tbl_Finance[Xero Invoice No]&lt;&gt;"")*tbl_Finance[Date]))=0,"",SUMPRODUCT(MAX((tbl_Finance[Job Number]=C76&amp;"")*(tbl_Finance[Xero Invoice No]&lt;&gt;"")*tbl_Finance[Date]))),""))</f>
        <v/>
      </c>
      <c r="B76" s="25">
        <f>IF(C76="","",IF(COUNTIFS(tbl_Finance[Job Number],C76&amp;"",tbl_Finance[Xero Invoice No],"&lt;&gt;")=0,"",IFERROR(IF(COUNTIFS(tbl_Finance[Job Number],C76&amp;"",tbl_Finance[Xero Invoice No],LOOKUP(2,1/((tbl_Finance[Job Number]=C76&amp;"")*(tbl_Finance[Xero Invoice No]&lt;&gt;"")),tbl_Finance[Xero Invoice No]))=COUNTIFS(tbl_Finance[Job Number],C76&amp;"",tbl_Finance[Xero Invoice No],"&lt;&gt;"),LOOKUP(2,1/((tbl_Finance[Job Number]=C76&amp;"")*(tbl_Finance[Xero Invoice No]&lt;&gt;"")),tbl_Finance[Xero Invoice No]),LOOKUP(2,1/((tbl_Finance[Job Number]=C76&amp;"")*(tbl_Finance[Xero Invoice No]&lt;&gt;"")),tbl_Finance[Xero Invoice No])&amp;" +more"),"")))</f>
        <v/>
      </c>
      <c r="C76" s="24" t="n"/>
      <c r="D76" s="25">
        <f>IF(C76="","",IF(COUNTIF(lst_Jobs,C76&amp;"")&gt;0,"OK","CHECK"))</f>
        <v/>
      </c>
      <c r="E76" s="25">
        <f>IF(C76="","",IFERROR(INDEX(lst_JobName,MATCH(C76&amp;"",lst_Jobs,0)),""))</f>
        <v/>
      </c>
      <c r="F76" s="25">
        <f>IF(C76="","",IFERROR(INDEX(tbl_Finance[Client],MATCH(C76&amp;"",tbl_Finance[Job Number],0)),""))</f>
        <v/>
      </c>
      <c r="G76" s="28">
        <f>IF(C76="","",COUNTIFS(tbl_Finance[Job Number],C76&amp;"",tbl_Finance[Ex GST],"&lt;&gt;"))</f>
        <v/>
      </c>
      <c r="H76" s="27">
        <f>IF(C76="","",SUMIFS(tbl_Finance[Ex GST],tbl_Finance[Job Number],C76&amp;""))</f>
        <v/>
      </c>
      <c r="I76" s="27">
        <f>IF(C76="","",SUMIFS(tbl_Finance[Ex GST],tbl_Finance[Job Number],C76&amp;"",tbl_Finance[Xero Invoice No],"&lt;&gt;"))</f>
        <v/>
      </c>
      <c r="J76" s="27">
        <f>IF(C76="","",H76-I76)</f>
        <v/>
      </c>
      <c r="K76" s="25">
        <f>IF(C76="","",IF(G76=0,"not invoiced yet",SUBSTITUTE(TRIM(IF(COUNTIFS(tbl_Finance[Job Number],C76&amp;"",tbl_Finance[Cost Centre],"ONSITE")&gt;0,"ONSITE ","")&amp;IF(COUNTIFS(tbl_Finance[Job Number],C76&amp;"",tbl_Finance[Cost Centre],"PRODUCTION")&gt;0,"PRODUCTION ","")&amp;IF(COUNTIFS(tbl_Finance[Job Number],C76&amp;"",tbl_Finance[Cost Centre],"VIDEO")&gt;0,"VIDEO ","")&amp;IF(COUNTIFS(tbl_Finance[Job Number],C76&amp;"",tbl_Finance[Cost Centre],"INTEGRATION")&gt;0,"INTEGRATION ","")&amp;IF(COUNTIFS(tbl_Finance[Job Number],C76&amp;"",tbl_Finance[Cost Centre],"CONSULTING")&gt;0,"CONSULTING ","")&amp;IF(COUNTIFS(tbl_Finance[Job Number],C76&amp;"",tbl_Finance[Cost Centre],"CTS")&gt;0,"CTS ",""))," ",", ")))</f>
        <v/>
      </c>
      <c r="L76" s="27">
        <f>IF(C76="","",SUMIFS(tbl_Finance[Inc GST],tbl_Finance[Job Number],C76&amp;""))</f>
        <v/>
      </c>
      <c r="M76" s="24" t="n"/>
      <c r="N76" s="25">
        <f>IF(C76="","",IFERROR(INDEX(tbl_Finance[Description],MATCH(C76&amp;"",tbl_Finance[Job Number],0)),""))</f>
        <v/>
      </c>
      <c r="O76" s="24" t="n"/>
      <c r="P76" s="24" t="n"/>
      <c r="Q76" s="22" t="n"/>
      <c r="R76" s="24" t="n"/>
      <c r="S76" s="25">
        <f>IF(R76="","",IF(AND(LEFT(R76,4)&lt;&gt;"http",set_RMSBase=""),"",HYPERLINK(IF(LEFT(R76,4)="http",R76,set_RMSBase&amp;R76),"Open opportunity")))</f>
        <v/>
      </c>
      <c r="T76" s="24" t="n"/>
      <c r="U76" s="25">
        <f>IF(T76="","",HYPERLINK(IF(LEFT(T76,4)="http",T76,set_QwilrBase&amp;T76),"Open quote"))</f>
        <v/>
      </c>
      <c r="V76" s="25">
        <f>IF(C76="","",C76)</f>
        <v/>
      </c>
      <c r="W76" s="24" t="n"/>
      <c r="X76" s="26" t="n"/>
      <c r="Y76" s="27">
        <f>IF(C76="","",H76+N(X76))</f>
        <v/>
      </c>
      <c r="Z76" s="29">
        <f>IFERROR(X76/Y76,"")</f>
        <v/>
      </c>
      <c r="AA76" s="26" t="n"/>
      <c r="AB76" s="26" t="n"/>
      <c r="AC76" s="26" t="n"/>
      <c r="AD76" s="26" t="n"/>
      <c r="AE76" s="27">
        <f>IF(C76="","",SUMIFS(tbl_Finance[Ex GST],tbl_Finance[Job Number],C76&amp;"",tbl_Finance[Cost Centre],"VIDEO"))</f>
        <v/>
      </c>
      <c r="AF76" s="29">
        <f>IFERROR(AE76/H76,"")</f>
        <v/>
      </c>
      <c r="AG76" s="27">
        <f>IF(C76="","",N(AA76)+N(AB76)+N(AC76)+N(AD76))</f>
        <v/>
      </c>
      <c r="AH76" s="27">
        <f>IF(C76="","",H76-AG76)</f>
        <v/>
      </c>
      <c r="AI76" s="29">
        <f>IFERROR(AH76/H76,"")</f>
        <v/>
      </c>
      <c r="AJ76" s="69" t="n"/>
      <c r="AK76" s="69" t="n"/>
      <c r="AL76" s="69" t="n"/>
      <c r="AM76" s="69" t="n"/>
      <c r="AN76" s="69" t="n"/>
      <c r="AO76" s="24" t="n"/>
    </row>
    <row r="77" ht="15" customHeight="1">
      <c r="A77" s="68">
        <f>IF(C77="","",IFERROR(IF(SUMPRODUCT(MAX((tbl_Finance[Job Number]=C77&amp;"")*(tbl_Finance[Xero Invoice No]&lt;&gt;"")*tbl_Finance[Date]))=0,"",SUMPRODUCT(MAX((tbl_Finance[Job Number]=C77&amp;"")*(tbl_Finance[Xero Invoice No]&lt;&gt;"")*tbl_Finance[Date]))),""))</f>
        <v/>
      </c>
      <c r="B77" s="25">
        <f>IF(C77="","",IF(COUNTIFS(tbl_Finance[Job Number],C77&amp;"",tbl_Finance[Xero Invoice No],"&lt;&gt;")=0,"",IFERROR(IF(COUNTIFS(tbl_Finance[Job Number],C77&amp;"",tbl_Finance[Xero Invoice No],LOOKUP(2,1/((tbl_Finance[Job Number]=C77&amp;"")*(tbl_Finance[Xero Invoice No]&lt;&gt;"")),tbl_Finance[Xero Invoice No]))=COUNTIFS(tbl_Finance[Job Number],C77&amp;"",tbl_Finance[Xero Invoice No],"&lt;&gt;"),LOOKUP(2,1/((tbl_Finance[Job Number]=C77&amp;"")*(tbl_Finance[Xero Invoice No]&lt;&gt;"")),tbl_Finance[Xero Invoice No]),LOOKUP(2,1/((tbl_Finance[Job Number]=C77&amp;"")*(tbl_Finance[Xero Invoice No]&lt;&gt;"")),tbl_Finance[Xero Invoice No])&amp;" +more"),"")))</f>
        <v/>
      </c>
      <c r="C77" s="24" t="n"/>
      <c r="D77" s="25">
        <f>IF(C77="","",IF(COUNTIF(lst_Jobs,C77&amp;"")&gt;0,"OK","CHECK"))</f>
        <v/>
      </c>
      <c r="E77" s="25">
        <f>IF(C77="","",IFERROR(INDEX(lst_JobName,MATCH(C77&amp;"",lst_Jobs,0)),""))</f>
        <v/>
      </c>
      <c r="F77" s="25">
        <f>IF(C77="","",IFERROR(INDEX(tbl_Finance[Client],MATCH(C77&amp;"",tbl_Finance[Job Number],0)),""))</f>
        <v/>
      </c>
      <c r="G77" s="28">
        <f>IF(C77="","",COUNTIFS(tbl_Finance[Job Number],C77&amp;"",tbl_Finance[Ex GST],"&lt;&gt;"))</f>
        <v/>
      </c>
      <c r="H77" s="27">
        <f>IF(C77="","",SUMIFS(tbl_Finance[Ex GST],tbl_Finance[Job Number],C77&amp;""))</f>
        <v/>
      </c>
      <c r="I77" s="27">
        <f>IF(C77="","",SUMIFS(tbl_Finance[Ex GST],tbl_Finance[Job Number],C77&amp;"",tbl_Finance[Xero Invoice No],"&lt;&gt;"))</f>
        <v/>
      </c>
      <c r="J77" s="27">
        <f>IF(C77="","",H77-I77)</f>
        <v/>
      </c>
      <c r="K77" s="25">
        <f>IF(C77="","",IF(G77=0,"not invoiced yet",SUBSTITUTE(TRIM(IF(COUNTIFS(tbl_Finance[Job Number],C77&amp;"",tbl_Finance[Cost Centre],"ONSITE")&gt;0,"ONSITE ","")&amp;IF(COUNTIFS(tbl_Finance[Job Number],C77&amp;"",tbl_Finance[Cost Centre],"PRODUCTION")&gt;0,"PRODUCTION ","")&amp;IF(COUNTIFS(tbl_Finance[Job Number],C77&amp;"",tbl_Finance[Cost Centre],"VIDEO")&gt;0,"VIDEO ","")&amp;IF(COUNTIFS(tbl_Finance[Job Number],C77&amp;"",tbl_Finance[Cost Centre],"INTEGRATION")&gt;0,"INTEGRATION ","")&amp;IF(COUNTIFS(tbl_Finance[Job Number],C77&amp;"",tbl_Finance[Cost Centre],"CONSULTING")&gt;0,"CONSULTING ","")&amp;IF(COUNTIFS(tbl_Finance[Job Number],C77&amp;"",tbl_Finance[Cost Centre],"CTS")&gt;0,"CTS ",""))," ",", ")))</f>
        <v/>
      </c>
      <c r="L77" s="27">
        <f>IF(C77="","",SUMIFS(tbl_Finance[Inc GST],tbl_Finance[Job Number],C77&amp;""))</f>
        <v/>
      </c>
      <c r="M77" s="24" t="n"/>
      <c r="N77" s="25">
        <f>IF(C77="","",IFERROR(INDEX(tbl_Finance[Description],MATCH(C77&amp;"",tbl_Finance[Job Number],0)),""))</f>
        <v/>
      </c>
      <c r="O77" s="24" t="n"/>
      <c r="P77" s="24" t="n"/>
      <c r="Q77" s="22" t="n"/>
      <c r="R77" s="24" t="n"/>
      <c r="S77" s="25">
        <f>IF(R77="","",IF(AND(LEFT(R77,4)&lt;&gt;"http",set_RMSBase=""),"",HYPERLINK(IF(LEFT(R77,4)="http",R77,set_RMSBase&amp;R77),"Open opportunity")))</f>
        <v/>
      </c>
      <c r="T77" s="24" t="n"/>
      <c r="U77" s="25">
        <f>IF(T77="","",HYPERLINK(IF(LEFT(T77,4)="http",T77,set_QwilrBase&amp;T77),"Open quote"))</f>
        <v/>
      </c>
      <c r="V77" s="25">
        <f>IF(C77="","",C77)</f>
        <v/>
      </c>
      <c r="W77" s="24" t="n"/>
      <c r="X77" s="26" t="n"/>
      <c r="Y77" s="27">
        <f>IF(C77="","",H77+N(X77))</f>
        <v/>
      </c>
      <c r="Z77" s="29">
        <f>IFERROR(X77/Y77,"")</f>
        <v/>
      </c>
      <c r="AA77" s="26" t="n"/>
      <c r="AB77" s="26" t="n"/>
      <c r="AC77" s="26" t="n"/>
      <c r="AD77" s="26" t="n"/>
      <c r="AE77" s="27">
        <f>IF(C77="","",SUMIFS(tbl_Finance[Ex GST],tbl_Finance[Job Number],C77&amp;"",tbl_Finance[Cost Centre],"VIDEO"))</f>
        <v/>
      </c>
      <c r="AF77" s="29">
        <f>IFERROR(AE77/H77,"")</f>
        <v/>
      </c>
      <c r="AG77" s="27">
        <f>IF(C77="","",N(AA77)+N(AB77)+N(AC77)+N(AD77))</f>
        <v/>
      </c>
      <c r="AH77" s="27">
        <f>IF(C77="","",H77-AG77)</f>
        <v/>
      </c>
      <c r="AI77" s="29">
        <f>IFERROR(AH77/H77,"")</f>
        <v/>
      </c>
      <c r="AJ77" s="69" t="n"/>
      <c r="AK77" s="69" t="n"/>
      <c r="AL77" s="69" t="n"/>
      <c r="AM77" s="69" t="n"/>
      <c r="AN77" s="69" t="n"/>
      <c r="AO77" s="24" t="n"/>
    </row>
    <row r="78" ht="15" customHeight="1">
      <c r="A78" s="68">
        <f>IF(C78="","",IFERROR(IF(SUMPRODUCT(MAX((tbl_Finance[Job Number]=C78&amp;"")*(tbl_Finance[Xero Invoice No]&lt;&gt;"")*tbl_Finance[Date]))=0,"",SUMPRODUCT(MAX((tbl_Finance[Job Number]=C78&amp;"")*(tbl_Finance[Xero Invoice No]&lt;&gt;"")*tbl_Finance[Date]))),""))</f>
        <v/>
      </c>
      <c r="B78" s="25">
        <f>IF(C78="","",IF(COUNTIFS(tbl_Finance[Job Number],C78&amp;"",tbl_Finance[Xero Invoice No],"&lt;&gt;")=0,"",IFERROR(IF(COUNTIFS(tbl_Finance[Job Number],C78&amp;"",tbl_Finance[Xero Invoice No],LOOKUP(2,1/((tbl_Finance[Job Number]=C78&amp;"")*(tbl_Finance[Xero Invoice No]&lt;&gt;"")),tbl_Finance[Xero Invoice No]))=COUNTIFS(tbl_Finance[Job Number],C78&amp;"",tbl_Finance[Xero Invoice No],"&lt;&gt;"),LOOKUP(2,1/((tbl_Finance[Job Number]=C78&amp;"")*(tbl_Finance[Xero Invoice No]&lt;&gt;"")),tbl_Finance[Xero Invoice No]),LOOKUP(2,1/((tbl_Finance[Job Number]=C78&amp;"")*(tbl_Finance[Xero Invoice No]&lt;&gt;"")),tbl_Finance[Xero Invoice No])&amp;" +more"),"")))</f>
        <v/>
      </c>
      <c r="C78" s="24" t="n"/>
      <c r="D78" s="25">
        <f>IF(C78="","",IF(COUNTIF(lst_Jobs,C78&amp;"")&gt;0,"OK","CHECK"))</f>
        <v/>
      </c>
      <c r="E78" s="25">
        <f>IF(C78="","",IFERROR(INDEX(lst_JobName,MATCH(C78&amp;"",lst_Jobs,0)),""))</f>
        <v/>
      </c>
      <c r="F78" s="25">
        <f>IF(C78="","",IFERROR(INDEX(tbl_Finance[Client],MATCH(C78&amp;"",tbl_Finance[Job Number],0)),""))</f>
        <v/>
      </c>
      <c r="G78" s="28">
        <f>IF(C78="","",COUNTIFS(tbl_Finance[Job Number],C78&amp;"",tbl_Finance[Ex GST],"&lt;&gt;"))</f>
        <v/>
      </c>
      <c r="H78" s="27">
        <f>IF(C78="","",SUMIFS(tbl_Finance[Ex GST],tbl_Finance[Job Number],C78&amp;""))</f>
        <v/>
      </c>
      <c r="I78" s="27">
        <f>IF(C78="","",SUMIFS(tbl_Finance[Ex GST],tbl_Finance[Job Number],C78&amp;"",tbl_Finance[Xero Invoice No],"&lt;&gt;"))</f>
        <v/>
      </c>
      <c r="J78" s="27">
        <f>IF(C78="","",H78-I78)</f>
        <v/>
      </c>
      <c r="K78" s="25">
        <f>IF(C78="","",IF(G78=0,"not invoiced yet",SUBSTITUTE(TRIM(IF(COUNTIFS(tbl_Finance[Job Number],C78&amp;"",tbl_Finance[Cost Centre],"ONSITE")&gt;0,"ONSITE ","")&amp;IF(COUNTIFS(tbl_Finance[Job Number],C78&amp;"",tbl_Finance[Cost Centre],"PRODUCTION")&gt;0,"PRODUCTION ","")&amp;IF(COUNTIFS(tbl_Finance[Job Number],C78&amp;"",tbl_Finance[Cost Centre],"VIDEO")&gt;0,"VIDEO ","")&amp;IF(COUNTIFS(tbl_Finance[Job Number],C78&amp;"",tbl_Finance[Cost Centre],"INTEGRATION")&gt;0,"INTEGRATION ","")&amp;IF(COUNTIFS(tbl_Finance[Job Number],C78&amp;"",tbl_Finance[Cost Centre],"CONSULTING")&gt;0,"CONSULTING ","")&amp;IF(COUNTIFS(tbl_Finance[Job Number],C78&amp;"",tbl_Finance[Cost Centre],"CTS")&gt;0,"CTS ",""))," ",", ")))</f>
        <v/>
      </c>
      <c r="L78" s="27">
        <f>IF(C78="","",SUMIFS(tbl_Finance[Inc GST],tbl_Finance[Job Number],C78&amp;""))</f>
        <v/>
      </c>
      <c r="M78" s="24" t="n"/>
      <c r="N78" s="25">
        <f>IF(C78="","",IFERROR(INDEX(tbl_Finance[Description],MATCH(C78&amp;"",tbl_Finance[Job Number],0)),""))</f>
        <v/>
      </c>
      <c r="O78" s="24" t="n"/>
      <c r="P78" s="24" t="n"/>
      <c r="Q78" s="22" t="n"/>
      <c r="R78" s="24" t="n"/>
      <c r="S78" s="25">
        <f>IF(R78="","",IF(AND(LEFT(R78,4)&lt;&gt;"http",set_RMSBase=""),"",HYPERLINK(IF(LEFT(R78,4)="http",R78,set_RMSBase&amp;R78),"Open opportunity")))</f>
        <v/>
      </c>
      <c r="T78" s="24" t="n"/>
      <c r="U78" s="25">
        <f>IF(T78="","",HYPERLINK(IF(LEFT(T78,4)="http",T78,set_QwilrBase&amp;T78),"Open quote"))</f>
        <v/>
      </c>
      <c r="V78" s="25">
        <f>IF(C78="","",C78)</f>
        <v/>
      </c>
      <c r="W78" s="24" t="n"/>
      <c r="X78" s="26" t="n"/>
      <c r="Y78" s="27">
        <f>IF(C78="","",H78+N(X78))</f>
        <v/>
      </c>
      <c r="Z78" s="29">
        <f>IFERROR(X78/Y78,"")</f>
        <v/>
      </c>
      <c r="AA78" s="26" t="n"/>
      <c r="AB78" s="26" t="n"/>
      <c r="AC78" s="26" t="n"/>
      <c r="AD78" s="26" t="n"/>
      <c r="AE78" s="27">
        <f>IF(C78="","",SUMIFS(tbl_Finance[Ex GST],tbl_Finance[Job Number],C78&amp;"",tbl_Finance[Cost Centre],"VIDEO"))</f>
        <v/>
      </c>
      <c r="AF78" s="29">
        <f>IFERROR(AE78/H78,"")</f>
        <v/>
      </c>
      <c r="AG78" s="27">
        <f>IF(C78="","",N(AA78)+N(AB78)+N(AC78)+N(AD78))</f>
        <v/>
      </c>
      <c r="AH78" s="27">
        <f>IF(C78="","",H78-AG78)</f>
        <v/>
      </c>
      <c r="AI78" s="29">
        <f>IFERROR(AH78/H78,"")</f>
        <v/>
      </c>
      <c r="AJ78" s="69" t="n"/>
      <c r="AK78" s="69" t="n"/>
      <c r="AL78" s="69" t="n"/>
      <c r="AM78" s="69" t="n"/>
      <c r="AN78" s="69" t="n"/>
      <c r="AO78" s="24" t="n"/>
    </row>
    <row r="79" ht="15" customHeight="1">
      <c r="A79" s="68">
        <f>IF(C79="","",IFERROR(IF(SUMPRODUCT(MAX((tbl_Finance[Job Number]=C79&amp;"")*(tbl_Finance[Xero Invoice No]&lt;&gt;"")*tbl_Finance[Date]))=0,"",SUMPRODUCT(MAX((tbl_Finance[Job Number]=C79&amp;"")*(tbl_Finance[Xero Invoice No]&lt;&gt;"")*tbl_Finance[Date]))),""))</f>
        <v/>
      </c>
      <c r="B79" s="25">
        <f>IF(C79="","",IF(COUNTIFS(tbl_Finance[Job Number],C79&amp;"",tbl_Finance[Xero Invoice No],"&lt;&gt;")=0,"",IFERROR(IF(COUNTIFS(tbl_Finance[Job Number],C79&amp;"",tbl_Finance[Xero Invoice No],LOOKUP(2,1/((tbl_Finance[Job Number]=C79&amp;"")*(tbl_Finance[Xero Invoice No]&lt;&gt;"")),tbl_Finance[Xero Invoice No]))=COUNTIFS(tbl_Finance[Job Number],C79&amp;"",tbl_Finance[Xero Invoice No],"&lt;&gt;"),LOOKUP(2,1/((tbl_Finance[Job Number]=C79&amp;"")*(tbl_Finance[Xero Invoice No]&lt;&gt;"")),tbl_Finance[Xero Invoice No]),LOOKUP(2,1/((tbl_Finance[Job Number]=C79&amp;"")*(tbl_Finance[Xero Invoice No]&lt;&gt;"")),tbl_Finance[Xero Invoice No])&amp;" +more"),"")))</f>
        <v/>
      </c>
      <c r="C79" s="24" t="n"/>
      <c r="D79" s="25">
        <f>IF(C79="","",IF(COUNTIF(lst_Jobs,C79&amp;"")&gt;0,"OK","CHECK"))</f>
        <v/>
      </c>
      <c r="E79" s="25">
        <f>IF(C79="","",IFERROR(INDEX(lst_JobName,MATCH(C79&amp;"",lst_Jobs,0)),""))</f>
        <v/>
      </c>
      <c r="F79" s="25">
        <f>IF(C79="","",IFERROR(INDEX(tbl_Finance[Client],MATCH(C79&amp;"",tbl_Finance[Job Number],0)),""))</f>
        <v/>
      </c>
      <c r="G79" s="28">
        <f>IF(C79="","",COUNTIFS(tbl_Finance[Job Number],C79&amp;"",tbl_Finance[Ex GST],"&lt;&gt;"))</f>
        <v/>
      </c>
      <c r="H79" s="27">
        <f>IF(C79="","",SUMIFS(tbl_Finance[Ex GST],tbl_Finance[Job Number],C79&amp;""))</f>
        <v/>
      </c>
      <c r="I79" s="27">
        <f>IF(C79="","",SUMIFS(tbl_Finance[Ex GST],tbl_Finance[Job Number],C79&amp;"",tbl_Finance[Xero Invoice No],"&lt;&gt;"))</f>
        <v/>
      </c>
      <c r="J79" s="27">
        <f>IF(C79="","",H79-I79)</f>
        <v/>
      </c>
      <c r="K79" s="25">
        <f>IF(C79="","",IF(G79=0,"not invoiced yet",SUBSTITUTE(TRIM(IF(COUNTIFS(tbl_Finance[Job Number],C79&amp;"",tbl_Finance[Cost Centre],"ONSITE")&gt;0,"ONSITE ","")&amp;IF(COUNTIFS(tbl_Finance[Job Number],C79&amp;"",tbl_Finance[Cost Centre],"PRODUCTION")&gt;0,"PRODUCTION ","")&amp;IF(COUNTIFS(tbl_Finance[Job Number],C79&amp;"",tbl_Finance[Cost Centre],"VIDEO")&gt;0,"VIDEO ","")&amp;IF(COUNTIFS(tbl_Finance[Job Number],C79&amp;"",tbl_Finance[Cost Centre],"INTEGRATION")&gt;0,"INTEGRATION ","")&amp;IF(COUNTIFS(tbl_Finance[Job Number],C79&amp;"",tbl_Finance[Cost Centre],"CONSULTING")&gt;0,"CONSULTING ","")&amp;IF(COUNTIFS(tbl_Finance[Job Number],C79&amp;"",tbl_Finance[Cost Centre],"CTS")&gt;0,"CTS ",""))," ",", ")))</f>
        <v/>
      </c>
      <c r="L79" s="27">
        <f>IF(C79="","",SUMIFS(tbl_Finance[Inc GST],tbl_Finance[Job Number],C79&amp;""))</f>
        <v/>
      </c>
      <c r="M79" s="24" t="n"/>
      <c r="N79" s="25">
        <f>IF(C79="","",IFERROR(INDEX(tbl_Finance[Description],MATCH(C79&amp;"",tbl_Finance[Job Number],0)),""))</f>
        <v/>
      </c>
      <c r="O79" s="24" t="n"/>
      <c r="P79" s="24" t="n"/>
      <c r="Q79" s="22" t="n"/>
      <c r="R79" s="24" t="n"/>
      <c r="S79" s="25">
        <f>IF(R79="","",IF(AND(LEFT(R79,4)&lt;&gt;"http",set_RMSBase=""),"",HYPERLINK(IF(LEFT(R79,4)="http",R79,set_RMSBase&amp;R79),"Open opportunity")))</f>
        <v/>
      </c>
      <c r="T79" s="24" t="n"/>
      <c r="U79" s="25">
        <f>IF(T79="","",HYPERLINK(IF(LEFT(T79,4)="http",T79,set_QwilrBase&amp;T79),"Open quote"))</f>
        <v/>
      </c>
      <c r="V79" s="25">
        <f>IF(C79="","",C79)</f>
        <v/>
      </c>
      <c r="W79" s="24" t="n"/>
      <c r="X79" s="26" t="n"/>
      <c r="Y79" s="27">
        <f>IF(C79="","",H79+N(X79))</f>
        <v/>
      </c>
      <c r="Z79" s="29">
        <f>IFERROR(X79/Y79,"")</f>
        <v/>
      </c>
      <c r="AA79" s="26" t="n"/>
      <c r="AB79" s="26" t="n"/>
      <c r="AC79" s="26" t="n"/>
      <c r="AD79" s="26" t="n"/>
      <c r="AE79" s="27">
        <f>IF(C79="","",SUMIFS(tbl_Finance[Ex GST],tbl_Finance[Job Number],C79&amp;"",tbl_Finance[Cost Centre],"VIDEO"))</f>
        <v/>
      </c>
      <c r="AF79" s="29">
        <f>IFERROR(AE79/H79,"")</f>
        <v/>
      </c>
      <c r="AG79" s="27">
        <f>IF(C79="","",N(AA79)+N(AB79)+N(AC79)+N(AD79))</f>
        <v/>
      </c>
      <c r="AH79" s="27">
        <f>IF(C79="","",H79-AG79)</f>
        <v/>
      </c>
      <c r="AI79" s="29">
        <f>IFERROR(AH79/H79,"")</f>
        <v/>
      </c>
      <c r="AJ79" s="69" t="n"/>
      <c r="AK79" s="69" t="n"/>
      <c r="AL79" s="69" t="n"/>
      <c r="AM79" s="69" t="n"/>
      <c r="AN79" s="69" t="n"/>
      <c r="AO79" s="24" t="n"/>
    </row>
    <row r="80" ht="15" customHeight="1">
      <c r="A80" s="68">
        <f>IF(C80="","",IFERROR(IF(SUMPRODUCT(MAX((tbl_Finance[Job Number]=C80&amp;"")*(tbl_Finance[Xero Invoice No]&lt;&gt;"")*tbl_Finance[Date]))=0,"",SUMPRODUCT(MAX((tbl_Finance[Job Number]=C80&amp;"")*(tbl_Finance[Xero Invoice No]&lt;&gt;"")*tbl_Finance[Date]))),""))</f>
        <v/>
      </c>
      <c r="B80" s="25">
        <f>IF(C80="","",IF(COUNTIFS(tbl_Finance[Job Number],C80&amp;"",tbl_Finance[Xero Invoice No],"&lt;&gt;")=0,"",IFERROR(IF(COUNTIFS(tbl_Finance[Job Number],C80&amp;"",tbl_Finance[Xero Invoice No],LOOKUP(2,1/((tbl_Finance[Job Number]=C80&amp;"")*(tbl_Finance[Xero Invoice No]&lt;&gt;"")),tbl_Finance[Xero Invoice No]))=COUNTIFS(tbl_Finance[Job Number],C80&amp;"",tbl_Finance[Xero Invoice No],"&lt;&gt;"),LOOKUP(2,1/((tbl_Finance[Job Number]=C80&amp;"")*(tbl_Finance[Xero Invoice No]&lt;&gt;"")),tbl_Finance[Xero Invoice No]),LOOKUP(2,1/((tbl_Finance[Job Number]=C80&amp;"")*(tbl_Finance[Xero Invoice No]&lt;&gt;"")),tbl_Finance[Xero Invoice No])&amp;" +more"),"")))</f>
        <v/>
      </c>
      <c r="C80" s="24" t="n"/>
      <c r="D80" s="25">
        <f>IF(C80="","",IF(COUNTIF(lst_Jobs,C80&amp;"")&gt;0,"OK","CHECK"))</f>
        <v/>
      </c>
      <c r="E80" s="25">
        <f>IF(C80="","",IFERROR(INDEX(lst_JobName,MATCH(C80&amp;"",lst_Jobs,0)),""))</f>
        <v/>
      </c>
      <c r="F80" s="25">
        <f>IF(C80="","",IFERROR(INDEX(tbl_Finance[Client],MATCH(C80&amp;"",tbl_Finance[Job Number],0)),""))</f>
        <v/>
      </c>
      <c r="G80" s="28">
        <f>IF(C80="","",COUNTIFS(tbl_Finance[Job Number],C80&amp;"",tbl_Finance[Ex GST],"&lt;&gt;"))</f>
        <v/>
      </c>
      <c r="H80" s="27">
        <f>IF(C80="","",SUMIFS(tbl_Finance[Ex GST],tbl_Finance[Job Number],C80&amp;""))</f>
        <v/>
      </c>
      <c r="I80" s="27">
        <f>IF(C80="","",SUMIFS(tbl_Finance[Ex GST],tbl_Finance[Job Number],C80&amp;"",tbl_Finance[Xero Invoice No],"&lt;&gt;"))</f>
        <v/>
      </c>
      <c r="J80" s="27">
        <f>IF(C80="","",H80-I80)</f>
        <v/>
      </c>
      <c r="K80" s="25">
        <f>IF(C80="","",IF(G80=0,"not invoiced yet",SUBSTITUTE(TRIM(IF(COUNTIFS(tbl_Finance[Job Number],C80&amp;"",tbl_Finance[Cost Centre],"ONSITE")&gt;0,"ONSITE ","")&amp;IF(COUNTIFS(tbl_Finance[Job Number],C80&amp;"",tbl_Finance[Cost Centre],"PRODUCTION")&gt;0,"PRODUCTION ","")&amp;IF(COUNTIFS(tbl_Finance[Job Number],C80&amp;"",tbl_Finance[Cost Centre],"VIDEO")&gt;0,"VIDEO ","")&amp;IF(COUNTIFS(tbl_Finance[Job Number],C80&amp;"",tbl_Finance[Cost Centre],"INTEGRATION")&gt;0,"INTEGRATION ","")&amp;IF(COUNTIFS(tbl_Finance[Job Number],C80&amp;"",tbl_Finance[Cost Centre],"CONSULTING")&gt;0,"CONSULTING ","")&amp;IF(COUNTIFS(tbl_Finance[Job Number],C80&amp;"",tbl_Finance[Cost Centre],"CTS")&gt;0,"CTS ",""))," ",", ")))</f>
        <v/>
      </c>
      <c r="L80" s="27">
        <f>IF(C80="","",SUMIFS(tbl_Finance[Inc GST],tbl_Finance[Job Number],C80&amp;""))</f>
        <v/>
      </c>
      <c r="M80" s="24" t="n"/>
      <c r="N80" s="25">
        <f>IF(C80="","",IFERROR(INDEX(tbl_Finance[Description],MATCH(C80&amp;"",tbl_Finance[Job Number],0)),""))</f>
        <v/>
      </c>
      <c r="O80" s="24" t="n"/>
      <c r="P80" s="24" t="n"/>
      <c r="Q80" s="22" t="n"/>
      <c r="R80" s="24" t="n"/>
      <c r="S80" s="25">
        <f>IF(R80="","",IF(AND(LEFT(R80,4)&lt;&gt;"http",set_RMSBase=""),"",HYPERLINK(IF(LEFT(R80,4)="http",R80,set_RMSBase&amp;R80),"Open opportunity")))</f>
        <v/>
      </c>
      <c r="T80" s="24" t="n"/>
      <c r="U80" s="25">
        <f>IF(T80="","",HYPERLINK(IF(LEFT(T80,4)="http",T80,set_QwilrBase&amp;T80),"Open quote"))</f>
        <v/>
      </c>
      <c r="V80" s="25">
        <f>IF(C80="","",C80)</f>
        <v/>
      </c>
      <c r="W80" s="24" t="n"/>
      <c r="X80" s="26" t="n"/>
      <c r="Y80" s="27">
        <f>IF(C80="","",H80+N(X80))</f>
        <v/>
      </c>
      <c r="Z80" s="29">
        <f>IFERROR(X80/Y80,"")</f>
        <v/>
      </c>
      <c r="AA80" s="26" t="n"/>
      <c r="AB80" s="26" t="n"/>
      <c r="AC80" s="26" t="n"/>
      <c r="AD80" s="26" t="n"/>
      <c r="AE80" s="27">
        <f>IF(C80="","",SUMIFS(tbl_Finance[Ex GST],tbl_Finance[Job Number],C80&amp;"",tbl_Finance[Cost Centre],"VIDEO"))</f>
        <v/>
      </c>
      <c r="AF80" s="29">
        <f>IFERROR(AE80/H80,"")</f>
        <v/>
      </c>
      <c r="AG80" s="27">
        <f>IF(C80="","",N(AA80)+N(AB80)+N(AC80)+N(AD80))</f>
        <v/>
      </c>
      <c r="AH80" s="27">
        <f>IF(C80="","",H80-AG80)</f>
        <v/>
      </c>
      <c r="AI80" s="29">
        <f>IFERROR(AH80/H80,"")</f>
        <v/>
      </c>
      <c r="AJ80" s="69" t="n"/>
      <c r="AK80" s="69" t="n"/>
      <c r="AL80" s="69" t="n"/>
      <c r="AM80" s="69" t="n"/>
      <c r="AN80" s="69" t="n"/>
      <c r="AO80" s="24" t="n"/>
    </row>
    <row r="81" ht="15" customHeight="1">
      <c r="A81" s="68">
        <f>IF(C81="","",IFERROR(IF(SUMPRODUCT(MAX((tbl_Finance[Job Number]=C81&amp;"")*(tbl_Finance[Xero Invoice No]&lt;&gt;"")*tbl_Finance[Date]))=0,"",SUMPRODUCT(MAX((tbl_Finance[Job Number]=C81&amp;"")*(tbl_Finance[Xero Invoice No]&lt;&gt;"")*tbl_Finance[Date]))),""))</f>
        <v/>
      </c>
      <c r="B81" s="25">
        <f>IF(C81="","",IF(COUNTIFS(tbl_Finance[Job Number],C81&amp;"",tbl_Finance[Xero Invoice No],"&lt;&gt;")=0,"",IFERROR(IF(COUNTIFS(tbl_Finance[Job Number],C81&amp;"",tbl_Finance[Xero Invoice No],LOOKUP(2,1/((tbl_Finance[Job Number]=C81&amp;"")*(tbl_Finance[Xero Invoice No]&lt;&gt;"")),tbl_Finance[Xero Invoice No]))=COUNTIFS(tbl_Finance[Job Number],C81&amp;"",tbl_Finance[Xero Invoice No],"&lt;&gt;"),LOOKUP(2,1/((tbl_Finance[Job Number]=C81&amp;"")*(tbl_Finance[Xero Invoice No]&lt;&gt;"")),tbl_Finance[Xero Invoice No]),LOOKUP(2,1/((tbl_Finance[Job Number]=C81&amp;"")*(tbl_Finance[Xero Invoice No]&lt;&gt;"")),tbl_Finance[Xero Invoice No])&amp;" +more"),"")))</f>
        <v/>
      </c>
      <c r="C81" s="24" t="n"/>
      <c r="D81" s="25">
        <f>IF(C81="","",IF(COUNTIF(lst_Jobs,C81&amp;"")&gt;0,"OK","CHECK"))</f>
        <v/>
      </c>
      <c r="E81" s="25">
        <f>IF(C81="","",IFERROR(INDEX(lst_JobName,MATCH(C81&amp;"",lst_Jobs,0)),""))</f>
        <v/>
      </c>
      <c r="F81" s="25">
        <f>IF(C81="","",IFERROR(INDEX(tbl_Finance[Client],MATCH(C81&amp;"",tbl_Finance[Job Number],0)),""))</f>
        <v/>
      </c>
      <c r="G81" s="28">
        <f>IF(C81="","",COUNTIFS(tbl_Finance[Job Number],C81&amp;"",tbl_Finance[Ex GST],"&lt;&gt;"))</f>
        <v/>
      </c>
      <c r="H81" s="27">
        <f>IF(C81="","",SUMIFS(tbl_Finance[Ex GST],tbl_Finance[Job Number],C81&amp;""))</f>
        <v/>
      </c>
      <c r="I81" s="27">
        <f>IF(C81="","",SUMIFS(tbl_Finance[Ex GST],tbl_Finance[Job Number],C81&amp;"",tbl_Finance[Xero Invoice No],"&lt;&gt;"))</f>
        <v/>
      </c>
      <c r="J81" s="27">
        <f>IF(C81="","",H81-I81)</f>
        <v/>
      </c>
      <c r="K81" s="25">
        <f>IF(C81="","",IF(G81=0,"not invoiced yet",SUBSTITUTE(TRIM(IF(COUNTIFS(tbl_Finance[Job Number],C81&amp;"",tbl_Finance[Cost Centre],"ONSITE")&gt;0,"ONSITE ","")&amp;IF(COUNTIFS(tbl_Finance[Job Number],C81&amp;"",tbl_Finance[Cost Centre],"PRODUCTION")&gt;0,"PRODUCTION ","")&amp;IF(COUNTIFS(tbl_Finance[Job Number],C81&amp;"",tbl_Finance[Cost Centre],"VIDEO")&gt;0,"VIDEO ","")&amp;IF(COUNTIFS(tbl_Finance[Job Number],C81&amp;"",tbl_Finance[Cost Centre],"INTEGRATION")&gt;0,"INTEGRATION ","")&amp;IF(COUNTIFS(tbl_Finance[Job Number],C81&amp;"",tbl_Finance[Cost Centre],"CONSULTING")&gt;0,"CONSULTING ","")&amp;IF(COUNTIFS(tbl_Finance[Job Number],C81&amp;"",tbl_Finance[Cost Centre],"CTS")&gt;0,"CTS ",""))," ",", ")))</f>
        <v/>
      </c>
      <c r="L81" s="27">
        <f>IF(C81="","",SUMIFS(tbl_Finance[Inc GST],tbl_Finance[Job Number],C81&amp;""))</f>
        <v/>
      </c>
      <c r="M81" s="24" t="n"/>
      <c r="N81" s="25">
        <f>IF(C81="","",IFERROR(INDEX(tbl_Finance[Description],MATCH(C81&amp;"",tbl_Finance[Job Number],0)),""))</f>
        <v/>
      </c>
      <c r="O81" s="24" t="n"/>
      <c r="P81" s="24" t="n"/>
      <c r="Q81" s="22" t="n"/>
      <c r="R81" s="24" t="n"/>
      <c r="S81" s="25">
        <f>IF(R81="","",IF(AND(LEFT(R81,4)&lt;&gt;"http",set_RMSBase=""),"",HYPERLINK(IF(LEFT(R81,4)="http",R81,set_RMSBase&amp;R81),"Open opportunity")))</f>
        <v/>
      </c>
      <c r="T81" s="24" t="n"/>
      <c r="U81" s="25">
        <f>IF(T81="","",HYPERLINK(IF(LEFT(T81,4)="http",T81,set_QwilrBase&amp;T81),"Open quote"))</f>
        <v/>
      </c>
      <c r="V81" s="25">
        <f>IF(C81="","",C81)</f>
        <v/>
      </c>
      <c r="W81" s="24" t="n"/>
      <c r="X81" s="26" t="n"/>
      <c r="Y81" s="27">
        <f>IF(C81="","",H81+N(X81))</f>
        <v/>
      </c>
      <c r="Z81" s="29">
        <f>IFERROR(X81/Y81,"")</f>
        <v/>
      </c>
      <c r="AA81" s="26" t="n"/>
      <c r="AB81" s="26" t="n"/>
      <c r="AC81" s="26" t="n"/>
      <c r="AD81" s="26" t="n"/>
      <c r="AE81" s="27">
        <f>IF(C81="","",SUMIFS(tbl_Finance[Ex GST],tbl_Finance[Job Number],C81&amp;"",tbl_Finance[Cost Centre],"VIDEO"))</f>
        <v/>
      </c>
      <c r="AF81" s="29">
        <f>IFERROR(AE81/H81,"")</f>
        <v/>
      </c>
      <c r="AG81" s="27">
        <f>IF(C81="","",N(AA81)+N(AB81)+N(AC81)+N(AD81))</f>
        <v/>
      </c>
      <c r="AH81" s="27">
        <f>IF(C81="","",H81-AG81)</f>
        <v/>
      </c>
      <c r="AI81" s="29">
        <f>IFERROR(AH81/H81,"")</f>
        <v/>
      </c>
      <c r="AJ81" s="69" t="n"/>
      <c r="AK81" s="69" t="n"/>
      <c r="AL81" s="69" t="n"/>
      <c r="AM81" s="69" t="n"/>
      <c r="AN81" s="69" t="n"/>
      <c r="AO81" s="24" t="n"/>
    </row>
    <row r="82" ht="15" customHeight="1">
      <c r="A82" s="68">
        <f>IF(C82="","",IFERROR(IF(SUMPRODUCT(MAX((tbl_Finance[Job Number]=C82&amp;"")*(tbl_Finance[Xero Invoice No]&lt;&gt;"")*tbl_Finance[Date]))=0,"",SUMPRODUCT(MAX((tbl_Finance[Job Number]=C82&amp;"")*(tbl_Finance[Xero Invoice No]&lt;&gt;"")*tbl_Finance[Date]))),""))</f>
        <v/>
      </c>
      <c r="B82" s="25">
        <f>IF(C82="","",IF(COUNTIFS(tbl_Finance[Job Number],C82&amp;"",tbl_Finance[Xero Invoice No],"&lt;&gt;")=0,"",IFERROR(IF(COUNTIFS(tbl_Finance[Job Number],C82&amp;"",tbl_Finance[Xero Invoice No],LOOKUP(2,1/((tbl_Finance[Job Number]=C82&amp;"")*(tbl_Finance[Xero Invoice No]&lt;&gt;"")),tbl_Finance[Xero Invoice No]))=COUNTIFS(tbl_Finance[Job Number],C82&amp;"",tbl_Finance[Xero Invoice No],"&lt;&gt;"),LOOKUP(2,1/((tbl_Finance[Job Number]=C82&amp;"")*(tbl_Finance[Xero Invoice No]&lt;&gt;"")),tbl_Finance[Xero Invoice No]),LOOKUP(2,1/((tbl_Finance[Job Number]=C82&amp;"")*(tbl_Finance[Xero Invoice No]&lt;&gt;"")),tbl_Finance[Xero Invoice No])&amp;" +more"),"")))</f>
        <v/>
      </c>
      <c r="C82" s="24" t="n"/>
      <c r="D82" s="25">
        <f>IF(C82="","",IF(COUNTIF(lst_Jobs,C82&amp;"")&gt;0,"OK","CHECK"))</f>
        <v/>
      </c>
      <c r="E82" s="25">
        <f>IF(C82="","",IFERROR(INDEX(lst_JobName,MATCH(C82&amp;"",lst_Jobs,0)),""))</f>
        <v/>
      </c>
      <c r="F82" s="25">
        <f>IF(C82="","",IFERROR(INDEX(tbl_Finance[Client],MATCH(C82&amp;"",tbl_Finance[Job Number],0)),""))</f>
        <v/>
      </c>
      <c r="G82" s="28">
        <f>IF(C82="","",COUNTIFS(tbl_Finance[Job Number],C82&amp;"",tbl_Finance[Ex GST],"&lt;&gt;"))</f>
        <v/>
      </c>
      <c r="H82" s="27">
        <f>IF(C82="","",SUMIFS(tbl_Finance[Ex GST],tbl_Finance[Job Number],C82&amp;""))</f>
        <v/>
      </c>
      <c r="I82" s="27">
        <f>IF(C82="","",SUMIFS(tbl_Finance[Ex GST],tbl_Finance[Job Number],C82&amp;"",tbl_Finance[Xero Invoice No],"&lt;&gt;"))</f>
        <v/>
      </c>
      <c r="J82" s="27">
        <f>IF(C82="","",H82-I82)</f>
        <v/>
      </c>
      <c r="K82" s="25">
        <f>IF(C82="","",IF(G82=0,"not invoiced yet",SUBSTITUTE(TRIM(IF(COUNTIFS(tbl_Finance[Job Number],C82&amp;"",tbl_Finance[Cost Centre],"ONSITE")&gt;0,"ONSITE ","")&amp;IF(COUNTIFS(tbl_Finance[Job Number],C82&amp;"",tbl_Finance[Cost Centre],"PRODUCTION")&gt;0,"PRODUCTION ","")&amp;IF(COUNTIFS(tbl_Finance[Job Number],C82&amp;"",tbl_Finance[Cost Centre],"VIDEO")&gt;0,"VIDEO ","")&amp;IF(COUNTIFS(tbl_Finance[Job Number],C82&amp;"",tbl_Finance[Cost Centre],"INTEGRATION")&gt;0,"INTEGRATION ","")&amp;IF(COUNTIFS(tbl_Finance[Job Number],C82&amp;"",tbl_Finance[Cost Centre],"CONSULTING")&gt;0,"CONSULTING ","")&amp;IF(COUNTIFS(tbl_Finance[Job Number],C82&amp;"",tbl_Finance[Cost Centre],"CTS")&gt;0,"CTS ",""))," ",", ")))</f>
        <v/>
      </c>
      <c r="L82" s="27">
        <f>IF(C82="","",SUMIFS(tbl_Finance[Inc GST],tbl_Finance[Job Number],C82&amp;""))</f>
        <v/>
      </c>
      <c r="M82" s="24" t="n"/>
      <c r="N82" s="25">
        <f>IF(C82="","",IFERROR(INDEX(tbl_Finance[Description],MATCH(C82&amp;"",tbl_Finance[Job Number],0)),""))</f>
        <v/>
      </c>
      <c r="O82" s="24" t="n"/>
      <c r="P82" s="24" t="n"/>
      <c r="Q82" s="22" t="n"/>
      <c r="R82" s="24" t="n"/>
      <c r="S82" s="25">
        <f>IF(R82="","",IF(AND(LEFT(R82,4)&lt;&gt;"http",set_RMSBase=""),"",HYPERLINK(IF(LEFT(R82,4)="http",R82,set_RMSBase&amp;R82),"Open opportunity")))</f>
        <v/>
      </c>
      <c r="T82" s="24" t="n"/>
      <c r="U82" s="25">
        <f>IF(T82="","",HYPERLINK(IF(LEFT(T82,4)="http",T82,set_QwilrBase&amp;T82),"Open quote"))</f>
        <v/>
      </c>
      <c r="V82" s="25">
        <f>IF(C82="","",C82)</f>
        <v/>
      </c>
      <c r="W82" s="24" t="n"/>
      <c r="X82" s="26" t="n"/>
      <c r="Y82" s="27">
        <f>IF(C82="","",H82+N(X82))</f>
        <v/>
      </c>
      <c r="Z82" s="29">
        <f>IFERROR(X82/Y82,"")</f>
        <v/>
      </c>
      <c r="AA82" s="26" t="n"/>
      <c r="AB82" s="26" t="n"/>
      <c r="AC82" s="26" t="n"/>
      <c r="AD82" s="26" t="n"/>
      <c r="AE82" s="27">
        <f>IF(C82="","",SUMIFS(tbl_Finance[Ex GST],tbl_Finance[Job Number],C82&amp;"",tbl_Finance[Cost Centre],"VIDEO"))</f>
        <v/>
      </c>
      <c r="AF82" s="29">
        <f>IFERROR(AE82/H82,"")</f>
        <v/>
      </c>
      <c r="AG82" s="27">
        <f>IF(C82="","",N(AA82)+N(AB82)+N(AC82)+N(AD82))</f>
        <v/>
      </c>
      <c r="AH82" s="27">
        <f>IF(C82="","",H82-AG82)</f>
        <v/>
      </c>
      <c r="AI82" s="29">
        <f>IFERROR(AH82/H82,"")</f>
        <v/>
      </c>
      <c r="AJ82" s="69" t="n"/>
      <c r="AK82" s="69" t="n"/>
      <c r="AL82" s="69" t="n"/>
      <c r="AM82" s="69" t="n"/>
      <c r="AN82" s="69" t="n"/>
      <c r="AO82" s="24" t="n"/>
    </row>
    <row r="83" ht="15" customHeight="1">
      <c r="A83" s="68">
        <f>IF(C83="","",IFERROR(IF(SUMPRODUCT(MAX((tbl_Finance[Job Number]=C83&amp;"")*(tbl_Finance[Xero Invoice No]&lt;&gt;"")*tbl_Finance[Date]))=0,"",SUMPRODUCT(MAX((tbl_Finance[Job Number]=C83&amp;"")*(tbl_Finance[Xero Invoice No]&lt;&gt;"")*tbl_Finance[Date]))),""))</f>
        <v/>
      </c>
      <c r="B83" s="25">
        <f>IF(C83="","",IF(COUNTIFS(tbl_Finance[Job Number],C83&amp;"",tbl_Finance[Xero Invoice No],"&lt;&gt;")=0,"",IFERROR(IF(COUNTIFS(tbl_Finance[Job Number],C83&amp;"",tbl_Finance[Xero Invoice No],LOOKUP(2,1/((tbl_Finance[Job Number]=C83&amp;"")*(tbl_Finance[Xero Invoice No]&lt;&gt;"")),tbl_Finance[Xero Invoice No]))=COUNTIFS(tbl_Finance[Job Number],C83&amp;"",tbl_Finance[Xero Invoice No],"&lt;&gt;"),LOOKUP(2,1/((tbl_Finance[Job Number]=C83&amp;"")*(tbl_Finance[Xero Invoice No]&lt;&gt;"")),tbl_Finance[Xero Invoice No]),LOOKUP(2,1/((tbl_Finance[Job Number]=C83&amp;"")*(tbl_Finance[Xero Invoice No]&lt;&gt;"")),tbl_Finance[Xero Invoice No])&amp;" +more"),"")))</f>
        <v/>
      </c>
      <c r="C83" s="24" t="n"/>
      <c r="D83" s="25">
        <f>IF(C83="","",IF(COUNTIF(lst_Jobs,C83&amp;"")&gt;0,"OK","CHECK"))</f>
        <v/>
      </c>
      <c r="E83" s="25">
        <f>IF(C83="","",IFERROR(INDEX(lst_JobName,MATCH(C83&amp;"",lst_Jobs,0)),""))</f>
        <v/>
      </c>
      <c r="F83" s="25">
        <f>IF(C83="","",IFERROR(INDEX(tbl_Finance[Client],MATCH(C83&amp;"",tbl_Finance[Job Number],0)),""))</f>
        <v/>
      </c>
      <c r="G83" s="28">
        <f>IF(C83="","",COUNTIFS(tbl_Finance[Job Number],C83&amp;"",tbl_Finance[Ex GST],"&lt;&gt;"))</f>
        <v/>
      </c>
      <c r="H83" s="27">
        <f>IF(C83="","",SUMIFS(tbl_Finance[Ex GST],tbl_Finance[Job Number],C83&amp;""))</f>
        <v/>
      </c>
      <c r="I83" s="27">
        <f>IF(C83="","",SUMIFS(tbl_Finance[Ex GST],tbl_Finance[Job Number],C83&amp;"",tbl_Finance[Xero Invoice No],"&lt;&gt;"))</f>
        <v/>
      </c>
      <c r="J83" s="27">
        <f>IF(C83="","",H83-I83)</f>
        <v/>
      </c>
      <c r="K83" s="25">
        <f>IF(C83="","",IF(G83=0,"not invoiced yet",SUBSTITUTE(TRIM(IF(COUNTIFS(tbl_Finance[Job Number],C83&amp;"",tbl_Finance[Cost Centre],"ONSITE")&gt;0,"ONSITE ","")&amp;IF(COUNTIFS(tbl_Finance[Job Number],C83&amp;"",tbl_Finance[Cost Centre],"PRODUCTION")&gt;0,"PRODUCTION ","")&amp;IF(COUNTIFS(tbl_Finance[Job Number],C83&amp;"",tbl_Finance[Cost Centre],"VIDEO")&gt;0,"VIDEO ","")&amp;IF(COUNTIFS(tbl_Finance[Job Number],C83&amp;"",tbl_Finance[Cost Centre],"INTEGRATION")&gt;0,"INTEGRATION ","")&amp;IF(COUNTIFS(tbl_Finance[Job Number],C83&amp;"",tbl_Finance[Cost Centre],"CONSULTING")&gt;0,"CONSULTING ","")&amp;IF(COUNTIFS(tbl_Finance[Job Number],C83&amp;"",tbl_Finance[Cost Centre],"CTS")&gt;0,"CTS ",""))," ",", ")))</f>
        <v/>
      </c>
      <c r="L83" s="27">
        <f>IF(C83="","",SUMIFS(tbl_Finance[Inc GST],tbl_Finance[Job Number],C83&amp;""))</f>
        <v/>
      </c>
      <c r="M83" s="24" t="n"/>
      <c r="N83" s="25">
        <f>IF(C83="","",IFERROR(INDEX(tbl_Finance[Description],MATCH(C83&amp;"",tbl_Finance[Job Number],0)),""))</f>
        <v/>
      </c>
      <c r="O83" s="24" t="n"/>
      <c r="P83" s="24" t="n"/>
      <c r="Q83" s="22" t="n"/>
      <c r="R83" s="24" t="n"/>
      <c r="S83" s="25">
        <f>IF(R83="","",IF(AND(LEFT(R83,4)&lt;&gt;"http",set_RMSBase=""),"",HYPERLINK(IF(LEFT(R83,4)="http",R83,set_RMSBase&amp;R83),"Open opportunity")))</f>
        <v/>
      </c>
      <c r="T83" s="24" t="n"/>
      <c r="U83" s="25">
        <f>IF(T83="","",HYPERLINK(IF(LEFT(T83,4)="http",T83,set_QwilrBase&amp;T83),"Open quote"))</f>
        <v/>
      </c>
      <c r="V83" s="25">
        <f>IF(C83="","",C83)</f>
        <v/>
      </c>
      <c r="W83" s="24" t="n"/>
      <c r="X83" s="26" t="n"/>
      <c r="Y83" s="27">
        <f>IF(C83="","",H83+N(X83))</f>
        <v/>
      </c>
      <c r="Z83" s="29">
        <f>IFERROR(X83/Y83,"")</f>
        <v/>
      </c>
      <c r="AA83" s="26" t="n"/>
      <c r="AB83" s="26" t="n"/>
      <c r="AC83" s="26" t="n"/>
      <c r="AD83" s="26" t="n"/>
      <c r="AE83" s="27">
        <f>IF(C83="","",SUMIFS(tbl_Finance[Ex GST],tbl_Finance[Job Number],C83&amp;"",tbl_Finance[Cost Centre],"VIDEO"))</f>
        <v/>
      </c>
      <c r="AF83" s="29">
        <f>IFERROR(AE83/H83,"")</f>
        <v/>
      </c>
      <c r="AG83" s="27">
        <f>IF(C83="","",N(AA83)+N(AB83)+N(AC83)+N(AD83))</f>
        <v/>
      </c>
      <c r="AH83" s="27">
        <f>IF(C83="","",H83-AG83)</f>
        <v/>
      </c>
      <c r="AI83" s="29">
        <f>IFERROR(AH83/H83,"")</f>
        <v/>
      </c>
      <c r="AJ83" s="69" t="n"/>
      <c r="AK83" s="69" t="n"/>
      <c r="AL83" s="69" t="n"/>
      <c r="AM83" s="69" t="n"/>
      <c r="AN83" s="69" t="n"/>
      <c r="AO83" s="24" t="n"/>
    </row>
    <row r="84" ht="15" customHeight="1">
      <c r="A84" s="68">
        <f>IF(C84="","",IFERROR(IF(SUMPRODUCT(MAX((tbl_Finance[Job Number]=C84&amp;"")*(tbl_Finance[Xero Invoice No]&lt;&gt;"")*tbl_Finance[Date]))=0,"",SUMPRODUCT(MAX((tbl_Finance[Job Number]=C84&amp;"")*(tbl_Finance[Xero Invoice No]&lt;&gt;"")*tbl_Finance[Date]))),""))</f>
        <v/>
      </c>
      <c r="B84" s="25">
        <f>IF(C84="","",IF(COUNTIFS(tbl_Finance[Job Number],C84&amp;"",tbl_Finance[Xero Invoice No],"&lt;&gt;")=0,"",IFERROR(IF(COUNTIFS(tbl_Finance[Job Number],C84&amp;"",tbl_Finance[Xero Invoice No],LOOKUP(2,1/((tbl_Finance[Job Number]=C84&amp;"")*(tbl_Finance[Xero Invoice No]&lt;&gt;"")),tbl_Finance[Xero Invoice No]))=COUNTIFS(tbl_Finance[Job Number],C84&amp;"",tbl_Finance[Xero Invoice No],"&lt;&gt;"),LOOKUP(2,1/((tbl_Finance[Job Number]=C84&amp;"")*(tbl_Finance[Xero Invoice No]&lt;&gt;"")),tbl_Finance[Xero Invoice No]),LOOKUP(2,1/((tbl_Finance[Job Number]=C84&amp;"")*(tbl_Finance[Xero Invoice No]&lt;&gt;"")),tbl_Finance[Xero Invoice No])&amp;" +more"),"")))</f>
        <v/>
      </c>
      <c r="C84" s="24" t="n"/>
      <c r="D84" s="25">
        <f>IF(C84="","",IF(COUNTIF(lst_Jobs,C84&amp;"")&gt;0,"OK","CHECK"))</f>
        <v/>
      </c>
      <c r="E84" s="25">
        <f>IF(C84="","",IFERROR(INDEX(lst_JobName,MATCH(C84&amp;"",lst_Jobs,0)),""))</f>
        <v/>
      </c>
      <c r="F84" s="25">
        <f>IF(C84="","",IFERROR(INDEX(tbl_Finance[Client],MATCH(C84&amp;"",tbl_Finance[Job Number],0)),""))</f>
        <v/>
      </c>
      <c r="G84" s="28">
        <f>IF(C84="","",COUNTIFS(tbl_Finance[Job Number],C84&amp;"",tbl_Finance[Ex GST],"&lt;&gt;"))</f>
        <v/>
      </c>
      <c r="H84" s="27">
        <f>IF(C84="","",SUMIFS(tbl_Finance[Ex GST],tbl_Finance[Job Number],C84&amp;""))</f>
        <v/>
      </c>
      <c r="I84" s="27">
        <f>IF(C84="","",SUMIFS(tbl_Finance[Ex GST],tbl_Finance[Job Number],C84&amp;"",tbl_Finance[Xero Invoice No],"&lt;&gt;"))</f>
        <v/>
      </c>
      <c r="J84" s="27">
        <f>IF(C84="","",H84-I84)</f>
        <v/>
      </c>
      <c r="K84" s="25">
        <f>IF(C84="","",IF(G84=0,"not invoiced yet",SUBSTITUTE(TRIM(IF(COUNTIFS(tbl_Finance[Job Number],C84&amp;"",tbl_Finance[Cost Centre],"ONSITE")&gt;0,"ONSITE ","")&amp;IF(COUNTIFS(tbl_Finance[Job Number],C84&amp;"",tbl_Finance[Cost Centre],"PRODUCTION")&gt;0,"PRODUCTION ","")&amp;IF(COUNTIFS(tbl_Finance[Job Number],C84&amp;"",tbl_Finance[Cost Centre],"VIDEO")&gt;0,"VIDEO ","")&amp;IF(COUNTIFS(tbl_Finance[Job Number],C84&amp;"",tbl_Finance[Cost Centre],"INTEGRATION")&gt;0,"INTEGRATION ","")&amp;IF(COUNTIFS(tbl_Finance[Job Number],C84&amp;"",tbl_Finance[Cost Centre],"CONSULTING")&gt;0,"CONSULTING ","")&amp;IF(COUNTIFS(tbl_Finance[Job Number],C84&amp;"",tbl_Finance[Cost Centre],"CTS")&gt;0,"CTS ",""))," ",", ")))</f>
        <v/>
      </c>
      <c r="L84" s="27">
        <f>IF(C84="","",SUMIFS(tbl_Finance[Inc GST],tbl_Finance[Job Number],C84&amp;""))</f>
        <v/>
      </c>
      <c r="M84" s="24" t="n"/>
      <c r="N84" s="25">
        <f>IF(C84="","",IFERROR(INDEX(tbl_Finance[Description],MATCH(C84&amp;"",tbl_Finance[Job Number],0)),""))</f>
        <v/>
      </c>
      <c r="O84" s="24" t="n"/>
      <c r="P84" s="24" t="n"/>
      <c r="Q84" s="22" t="n"/>
      <c r="R84" s="24" t="n"/>
      <c r="S84" s="25">
        <f>IF(R84="","",IF(AND(LEFT(R84,4)&lt;&gt;"http",set_RMSBase=""),"",HYPERLINK(IF(LEFT(R84,4)="http",R84,set_RMSBase&amp;R84),"Open opportunity")))</f>
        <v/>
      </c>
      <c r="T84" s="24" t="n"/>
      <c r="U84" s="25">
        <f>IF(T84="","",HYPERLINK(IF(LEFT(T84,4)="http",T84,set_QwilrBase&amp;T84),"Open quote"))</f>
        <v/>
      </c>
      <c r="V84" s="25">
        <f>IF(C84="","",C84)</f>
        <v/>
      </c>
      <c r="W84" s="24" t="n"/>
      <c r="X84" s="26" t="n"/>
      <c r="Y84" s="27">
        <f>IF(C84="","",H84+N(X84))</f>
        <v/>
      </c>
      <c r="Z84" s="29">
        <f>IFERROR(X84/Y84,"")</f>
        <v/>
      </c>
      <c r="AA84" s="26" t="n"/>
      <c r="AB84" s="26" t="n"/>
      <c r="AC84" s="26" t="n"/>
      <c r="AD84" s="26" t="n"/>
      <c r="AE84" s="27">
        <f>IF(C84="","",SUMIFS(tbl_Finance[Ex GST],tbl_Finance[Job Number],C84&amp;"",tbl_Finance[Cost Centre],"VIDEO"))</f>
        <v/>
      </c>
      <c r="AF84" s="29">
        <f>IFERROR(AE84/H84,"")</f>
        <v/>
      </c>
      <c r="AG84" s="27">
        <f>IF(C84="","",N(AA84)+N(AB84)+N(AC84)+N(AD84))</f>
        <v/>
      </c>
      <c r="AH84" s="27">
        <f>IF(C84="","",H84-AG84)</f>
        <v/>
      </c>
      <c r="AI84" s="29">
        <f>IFERROR(AH84/H84,"")</f>
        <v/>
      </c>
      <c r="AJ84" s="69" t="n"/>
      <c r="AK84" s="69" t="n"/>
      <c r="AL84" s="69" t="n"/>
      <c r="AM84" s="69" t="n"/>
      <c r="AN84" s="69" t="n"/>
      <c r="AO84" s="24" t="n"/>
    </row>
    <row r="85" ht="15" customHeight="1">
      <c r="A85" s="68">
        <f>IF(C85="","",IFERROR(IF(SUMPRODUCT(MAX((tbl_Finance[Job Number]=C85&amp;"")*(tbl_Finance[Xero Invoice No]&lt;&gt;"")*tbl_Finance[Date]))=0,"",SUMPRODUCT(MAX((tbl_Finance[Job Number]=C85&amp;"")*(tbl_Finance[Xero Invoice No]&lt;&gt;"")*tbl_Finance[Date]))),""))</f>
        <v/>
      </c>
      <c r="B85" s="25">
        <f>IF(C85="","",IF(COUNTIFS(tbl_Finance[Job Number],C85&amp;"",tbl_Finance[Xero Invoice No],"&lt;&gt;")=0,"",IFERROR(IF(COUNTIFS(tbl_Finance[Job Number],C85&amp;"",tbl_Finance[Xero Invoice No],LOOKUP(2,1/((tbl_Finance[Job Number]=C85&amp;"")*(tbl_Finance[Xero Invoice No]&lt;&gt;"")),tbl_Finance[Xero Invoice No]))=COUNTIFS(tbl_Finance[Job Number],C85&amp;"",tbl_Finance[Xero Invoice No],"&lt;&gt;"),LOOKUP(2,1/((tbl_Finance[Job Number]=C85&amp;"")*(tbl_Finance[Xero Invoice No]&lt;&gt;"")),tbl_Finance[Xero Invoice No]),LOOKUP(2,1/((tbl_Finance[Job Number]=C85&amp;"")*(tbl_Finance[Xero Invoice No]&lt;&gt;"")),tbl_Finance[Xero Invoice No])&amp;" +more"),"")))</f>
        <v/>
      </c>
      <c r="C85" s="24" t="n"/>
      <c r="D85" s="25">
        <f>IF(C85="","",IF(COUNTIF(lst_Jobs,C85&amp;"")&gt;0,"OK","CHECK"))</f>
        <v/>
      </c>
      <c r="E85" s="25">
        <f>IF(C85="","",IFERROR(INDEX(lst_JobName,MATCH(C85&amp;"",lst_Jobs,0)),""))</f>
        <v/>
      </c>
      <c r="F85" s="25">
        <f>IF(C85="","",IFERROR(INDEX(tbl_Finance[Client],MATCH(C85&amp;"",tbl_Finance[Job Number],0)),""))</f>
        <v/>
      </c>
      <c r="G85" s="28">
        <f>IF(C85="","",COUNTIFS(tbl_Finance[Job Number],C85&amp;"",tbl_Finance[Ex GST],"&lt;&gt;"))</f>
        <v/>
      </c>
      <c r="H85" s="27">
        <f>IF(C85="","",SUMIFS(tbl_Finance[Ex GST],tbl_Finance[Job Number],C85&amp;""))</f>
        <v/>
      </c>
      <c r="I85" s="27">
        <f>IF(C85="","",SUMIFS(tbl_Finance[Ex GST],tbl_Finance[Job Number],C85&amp;"",tbl_Finance[Xero Invoice No],"&lt;&gt;"))</f>
        <v/>
      </c>
      <c r="J85" s="27">
        <f>IF(C85="","",H85-I85)</f>
        <v/>
      </c>
      <c r="K85" s="25">
        <f>IF(C85="","",IF(G85=0,"not invoiced yet",SUBSTITUTE(TRIM(IF(COUNTIFS(tbl_Finance[Job Number],C85&amp;"",tbl_Finance[Cost Centre],"ONSITE")&gt;0,"ONSITE ","")&amp;IF(COUNTIFS(tbl_Finance[Job Number],C85&amp;"",tbl_Finance[Cost Centre],"PRODUCTION")&gt;0,"PRODUCTION ","")&amp;IF(COUNTIFS(tbl_Finance[Job Number],C85&amp;"",tbl_Finance[Cost Centre],"VIDEO")&gt;0,"VIDEO ","")&amp;IF(COUNTIFS(tbl_Finance[Job Number],C85&amp;"",tbl_Finance[Cost Centre],"INTEGRATION")&gt;0,"INTEGRATION ","")&amp;IF(COUNTIFS(tbl_Finance[Job Number],C85&amp;"",tbl_Finance[Cost Centre],"CONSULTING")&gt;0,"CONSULTING ","")&amp;IF(COUNTIFS(tbl_Finance[Job Number],C85&amp;"",tbl_Finance[Cost Centre],"CTS")&gt;0,"CTS ",""))," ",", ")))</f>
        <v/>
      </c>
      <c r="L85" s="27">
        <f>IF(C85="","",SUMIFS(tbl_Finance[Inc GST],tbl_Finance[Job Number],C85&amp;""))</f>
        <v/>
      </c>
      <c r="M85" s="24" t="n"/>
      <c r="N85" s="25">
        <f>IF(C85="","",IFERROR(INDEX(tbl_Finance[Description],MATCH(C85&amp;"",tbl_Finance[Job Number],0)),""))</f>
        <v/>
      </c>
      <c r="O85" s="24" t="n"/>
      <c r="P85" s="24" t="n"/>
      <c r="Q85" s="22" t="n"/>
      <c r="R85" s="24" t="n"/>
      <c r="S85" s="25">
        <f>IF(R85="","",IF(AND(LEFT(R85,4)&lt;&gt;"http",set_RMSBase=""),"",HYPERLINK(IF(LEFT(R85,4)="http",R85,set_RMSBase&amp;R85),"Open opportunity")))</f>
        <v/>
      </c>
      <c r="T85" s="24" t="n"/>
      <c r="U85" s="25">
        <f>IF(T85="","",HYPERLINK(IF(LEFT(T85,4)="http",T85,set_QwilrBase&amp;T85),"Open quote"))</f>
        <v/>
      </c>
      <c r="V85" s="25">
        <f>IF(C85="","",C85)</f>
        <v/>
      </c>
      <c r="W85" s="24" t="n"/>
      <c r="X85" s="26" t="n"/>
      <c r="Y85" s="27">
        <f>IF(C85="","",H85+N(X85))</f>
        <v/>
      </c>
      <c r="Z85" s="29">
        <f>IFERROR(X85/Y85,"")</f>
        <v/>
      </c>
      <c r="AA85" s="26" t="n"/>
      <c r="AB85" s="26" t="n"/>
      <c r="AC85" s="26" t="n"/>
      <c r="AD85" s="26" t="n"/>
      <c r="AE85" s="27">
        <f>IF(C85="","",SUMIFS(tbl_Finance[Ex GST],tbl_Finance[Job Number],C85&amp;"",tbl_Finance[Cost Centre],"VIDEO"))</f>
        <v/>
      </c>
      <c r="AF85" s="29">
        <f>IFERROR(AE85/H85,"")</f>
        <v/>
      </c>
      <c r="AG85" s="27">
        <f>IF(C85="","",N(AA85)+N(AB85)+N(AC85)+N(AD85))</f>
        <v/>
      </c>
      <c r="AH85" s="27">
        <f>IF(C85="","",H85-AG85)</f>
        <v/>
      </c>
      <c r="AI85" s="29">
        <f>IFERROR(AH85/H85,"")</f>
        <v/>
      </c>
      <c r="AJ85" s="69" t="n"/>
      <c r="AK85" s="69" t="n"/>
      <c r="AL85" s="69" t="n"/>
      <c r="AM85" s="69" t="n"/>
      <c r="AN85" s="69" t="n"/>
      <c r="AO85" s="24" t="n"/>
    </row>
    <row r="86" ht="15" customHeight="1">
      <c r="A86" s="68">
        <f>IF(C86="","",IFERROR(IF(SUMPRODUCT(MAX((tbl_Finance[Job Number]=C86&amp;"")*(tbl_Finance[Xero Invoice No]&lt;&gt;"")*tbl_Finance[Date]))=0,"",SUMPRODUCT(MAX((tbl_Finance[Job Number]=C86&amp;"")*(tbl_Finance[Xero Invoice No]&lt;&gt;"")*tbl_Finance[Date]))),""))</f>
        <v/>
      </c>
      <c r="B86" s="25">
        <f>IF(C86="","",IF(COUNTIFS(tbl_Finance[Job Number],C86&amp;"",tbl_Finance[Xero Invoice No],"&lt;&gt;")=0,"",IFERROR(IF(COUNTIFS(tbl_Finance[Job Number],C86&amp;"",tbl_Finance[Xero Invoice No],LOOKUP(2,1/((tbl_Finance[Job Number]=C86&amp;"")*(tbl_Finance[Xero Invoice No]&lt;&gt;"")),tbl_Finance[Xero Invoice No]))=COUNTIFS(tbl_Finance[Job Number],C86&amp;"",tbl_Finance[Xero Invoice No],"&lt;&gt;"),LOOKUP(2,1/((tbl_Finance[Job Number]=C86&amp;"")*(tbl_Finance[Xero Invoice No]&lt;&gt;"")),tbl_Finance[Xero Invoice No]),LOOKUP(2,1/((tbl_Finance[Job Number]=C86&amp;"")*(tbl_Finance[Xero Invoice No]&lt;&gt;"")),tbl_Finance[Xero Invoice No])&amp;" +more"),"")))</f>
        <v/>
      </c>
      <c r="C86" s="24" t="n"/>
      <c r="D86" s="25">
        <f>IF(C86="","",IF(COUNTIF(lst_Jobs,C86&amp;"")&gt;0,"OK","CHECK"))</f>
        <v/>
      </c>
      <c r="E86" s="25">
        <f>IF(C86="","",IFERROR(INDEX(lst_JobName,MATCH(C86&amp;"",lst_Jobs,0)),""))</f>
        <v/>
      </c>
      <c r="F86" s="25">
        <f>IF(C86="","",IFERROR(INDEX(tbl_Finance[Client],MATCH(C86&amp;"",tbl_Finance[Job Number],0)),""))</f>
        <v/>
      </c>
      <c r="G86" s="28">
        <f>IF(C86="","",COUNTIFS(tbl_Finance[Job Number],C86&amp;"",tbl_Finance[Ex GST],"&lt;&gt;"))</f>
        <v/>
      </c>
      <c r="H86" s="27">
        <f>IF(C86="","",SUMIFS(tbl_Finance[Ex GST],tbl_Finance[Job Number],C86&amp;""))</f>
        <v/>
      </c>
      <c r="I86" s="27">
        <f>IF(C86="","",SUMIFS(tbl_Finance[Ex GST],tbl_Finance[Job Number],C86&amp;"",tbl_Finance[Xero Invoice No],"&lt;&gt;"))</f>
        <v/>
      </c>
      <c r="J86" s="27">
        <f>IF(C86="","",H86-I86)</f>
        <v/>
      </c>
      <c r="K86" s="25">
        <f>IF(C86="","",IF(G86=0,"not invoiced yet",SUBSTITUTE(TRIM(IF(COUNTIFS(tbl_Finance[Job Number],C86&amp;"",tbl_Finance[Cost Centre],"ONSITE")&gt;0,"ONSITE ","")&amp;IF(COUNTIFS(tbl_Finance[Job Number],C86&amp;"",tbl_Finance[Cost Centre],"PRODUCTION")&gt;0,"PRODUCTION ","")&amp;IF(COUNTIFS(tbl_Finance[Job Number],C86&amp;"",tbl_Finance[Cost Centre],"VIDEO")&gt;0,"VIDEO ","")&amp;IF(COUNTIFS(tbl_Finance[Job Number],C86&amp;"",tbl_Finance[Cost Centre],"INTEGRATION")&gt;0,"INTEGRATION ","")&amp;IF(COUNTIFS(tbl_Finance[Job Number],C86&amp;"",tbl_Finance[Cost Centre],"CONSULTING")&gt;0,"CONSULTING ","")&amp;IF(COUNTIFS(tbl_Finance[Job Number],C86&amp;"",tbl_Finance[Cost Centre],"CTS")&gt;0,"CTS ",""))," ",", ")))</f>
        <v/>
      </c>
      <c r="L86" s="27">
        <f>IF(C86="","",SUMIFS(tbl_Finance[Inc GST],tbl_Finance[Job Number],C86&amp;""))</f>
        <v/>
      </c>
      <c r="M86" s="24" t="n"/>
      <c r="N86" s="25">
        <f>IF(C86="","",IFERROR(INDEX(tbl_Finance[Description],MATCH(C86&amp;"",tbl_Finance[Job Number],0)),""))</f>
        <v/>
      </c>
      <c r="O86" s="24" t="n"/>
      <c r="P86" s="24" t="n"/>
      <c r="Q86" s="22" t="n"/>
      <c r="R86" s="24" t="n"/>
      <c r="S86" s="25">
        <f>IF(R86="","",IF(AND(LEFT(R86,4)&lt;&gt;"http",set_RMSBase=""),"",HYPERLINK(IF(LEFT(R86,4)="http",R86,set_RMSBase&amp;R86),"Open opportunity")))</f>
        <v/>
      </c>
      <c r="T86" s="24" t="n"/>
      <c r="U86" s="25">
        <f>IF(T86="","",HYPERLINK(IF(LEFT(T86,4)="http",T86,set_QwilrBase&amp;T86),"Open quote"))</f>
        <v/>
      </c>
      <c r="V86" s="25">
        <f>IF(C86="","",C86)</f>
        <v/>
      </c>
      <c r="W86" s="24" t="n"/>
      <c r="X86" s="26" t="n"/>
      <c r="Y86" s="27">
        <f>IF(C86="","",H86+N(X86))</f>
        <v/>
      </c>
      <c r="Z86" s="29">
        <f>IFERROR(X86/Y86,"")</f>
        <v/>
      </c>
      <c r="AA86" s="26" t="n"/>
      <c r="AB86" s="26" t="n"/>
      <c r="AC86" s="26" t="n"/>
      <c r="AD86" s="26" t="n"/>
      <c r="AE86" s="27">
        <f>IF(C86="","",SUMIFS(tbl_Finance[Ex GST],tbl_Finance[Job Number],C86&amp;"",tbl_Finance[Cost Centre],"VIDEO"))</f>
        <v/>
      </c>
      <c r="AF86" s="29">
        <f>IFERROR(AE86/H86,"")</f>
        <v/>
      </c>
      <c r="AG86" s="27">
        <f>IF(C86="","",N(AA86)+N(AB86)+N(AC86)+N(AD86))</f>
        <v/>
      </c>
      <c r="AH86" s="27">
        <f>IF(C86="","",H86-AG86)</f>
        <v/>
      </c>
      <c r="AI86" s="29">
        <f>IFERROR(AH86/H86,"")</f>
        <v/>
      </c>
      <c r="AJ86" s="69" t="n"/>
      <c r="AK86" s="69" t="n"/>
      <c r="AL86" s="69" t="n"/>
      <c r="AM86" s="69" t="n"/>
      <c r="AN86" s="69" t="n"/>
      <c r="AO86" s="24" t="n"/>
    </row>
    <row r="87" ht="15" customHeight="1">
      <c r="A87" s="68">
        <f>IF(C87="","",IFERROR(IF(SUMPRODUCT(MAX((tbl_Finance[Job Number]=C87&amp;"")*(tbl_Finance[Xero Invoice No]&lt;&gt;"")*tbl_Finance[Date]))=0,"",SUMPRODUCT(MAX((tbl_Finance[Job Number]=C87&amp;"")*(tbl_Finance[Xero Invoice No]&lt;&gt;"")*tbl_Finance[Date]))),""))</f>
        <v/>
      </c>
      <c r="B87" s="25">
        <f>IF(C87="","",IF(COUNTIFS(tbl_Finance[Job Number],C87&amp;"",tbl_Finance[Xero Invoice No],"&lt;&gt;")=0,"",IFERROR(IF(COUNTIFS(tbl_Finance[Job Number],C87&amp;"",tbl_Finance[Xero Invoice No],LOOKUP(2,1/((tbl_Finance[Job Number]=C87&amp;"")*(tbl_Finance[Xero Invoice No]&lt;&gt;"")),tbl_Finance[Xero Invoice No]))=COUNTIFS(tbl_Finance[Job Number],C87&amp;"",tbl_Finance[Xero Invoice No],"&lt;&gt;"),LOOKUP(2,1/((tbl_Finance[Job Number]=C87&amp;"")*(tbl_Finance[Xero Invoice No]&lt;&gt;"")),tbl_Finance[Xero Invoice No]),LOOKUP(2,1/((tbl_Finance[Job Number]=C87&amp;"")*(tbl_Finance[Xero Invoice No]&lt;&gt;"")),tbl_Finance[Xero Invoice No])&amp;" +more"),"")))</f>
        <v/>
      </c>
      <c r="C87" s="24" t="n"/>
      <c r="D87" s="25">
        <f>IF(C87="","",IF(COUNTIF(lst_Jobs,C87&amp;"")&gt;0,"OK","CHECK"))</f>
        <v/>
      </c>
      <c r="E87" s="25">
        <f>IF(C87="","",IFERROR(INDEX(lst_JobName,MATCH(C87&amp;"",lst_Jobs,0)),""))</f>
        <v/>
      </c>
      <c r="F87" s="25">
        <f>IF(C87="","",IFERROR(INDEX(tbl_Finance[Client],MATCH(C87&amp;"",tbl_Finance[Job Number],0)),""))</f>
        <v/>
      </c>
      <c r="G87" s="28">
        <f>IF(C87="","",COUNTIFS(tbl_Finance[Job Number],C87&amp;"",tbl_Finance[Ex GST],"&lt;&gt;"))</f>
        <v/>
      </c>
      <c r="H87" s="27">
        <f>IF(C87="","",SUMIFS(tbl_Finance[Ex GST],tbl_Finance[Job Number],C87&amp;""))</f>
        <v/>
      </c>
      <c r="I87" s="27">
        <f>IF(C87="","",SUMIFS(tbl_Finance[Ex GST],tbl_Finance[Job Number],C87&amp;"",tbl_Finance[Xero Invoice No],"&lt;&gt;"))</f>
        <v/>
      </c>
      <c r="J87" s="27">
        <f>IF(C87="","",H87-I87)</f>
        <v/>
      </c>
      <c r="K87" s="25">
        <f>IF(C87="","",IF(G87=0,"not invoiced yet",SUBSTITUTE(TRIM(IF(COUNTIFS(tbl_Finance[Job Number],C87&amp;"",tbl_Finance[Cost Centre],"ONSITE")&gt;0,"ONSITE ","")&amp;IF(COUNTIFS(tbl_Finance[Job Number],C87&amp;"",tbl_Finance[Cost Centre],"PRODUCTION")&gt;0,"PRODUCTION ","")&amp;IF(COUNTIFS(tbl_Finance[Job Number],C87&amp;"",tbl_Finance[Cost Centre],"VIDEO")&gt;0,"VIDEO ","")&amp;IF(COUNTIFS(tbl_Finance[Job Number],C87&amp;"",tbl_Finance[Cost Centre],"INTEGRATION")&gt;0,"INTEGRATION ","")&amp;IF(COUNTIFS(tbl_Finance[Job Number],C87&amp;"",tbl_Finance[Cost Centre],"CONSULTING")&gt;0,"CONSULTING ","")&amp;IF(COUNTIFS(tbl_Finance[Job Number],C87&amp;"",tbl_Finance[Cost Centre],"CTS")&gt;0,"CTS ",""))," ",", ")))</f>
        <v/>
      </c>
      <c r="L87" s="27">
        <f>IF(C87="","",SUMIFS(tbl_Finance[Inc GST],tbl_Finance[Job Number],C87&amp;""))</f>
        <v/>
      </c>
      <c r="M87" s="24" t="n"/>
      <c r="N87" s="25">
        <f>IF(C87="","",IFERROR(INDEX(tbl_Finance[Description],MATCH(C87&amp;"",tbl_Finance[Job Number],0)),""))</f>
        <v/>
      </c>
      <c r="O87" s="24" t="n"/>
      <c r="P87" s="24" t="n"/>
      <c r="Q87" s="22" t="n"/>
      <c r="R87" s="24" t="n"/>
      <c r="S87" s="25">
        <f>IF(R87="","",IF(AND(LEFT(R87,4)&lt;&gt;"http",set_RMSBase=""),"",HYPERLINK(IF(LEFT(R87,4)="http",R87,set_RMSBase&amp;R87),"Open opportunity")))</f>
        <v/>
      </c>
      <c r="T87" s="24" t="n"/>
      <c r="U87" s="25">
        <f>IF(T87="","",HYPERLINK(IF(LEFT(T87,4)="http",T87,set_QwilrBase&amp;T87),"Open quote"))</f>
        <v/>
      </c>
      <c r="V87" s="25">
        <f>IF(C87="","",C87)</f>
        <v/>
      </c>
      <c r="W87" s="24" t="n"/>
      <c r="X87" s="26" t="n"/>
      <c r="Y87" s="27">
        <f>IF(C87="","",H87+N(X87))</f>
        <v/>
      </c>
      <c r="Z87" s="29">
        <f>IFERROR(X87/Y87,"")</f>
        <v/>
      </c>
      <c r="AA87" s="26" t="n"/>
      <c r="AB87" s="26" t="n"/>
      <c r="AC87" s="26" t="n"/>
      <c r="AD87" s="26" t="n"/>
      <c r="AE87" s="27">
        <f>IF(C87="","",SUMIFS(tbl_Finance[Ex GST],tbl_Finance[Job Number],C87&amp;"",tbl_Finance[Cost Centre],"VIDEO"))</f>
        <v/>
      </c>
      <c r="AF87" s="29">
        <f>IFERROR(AE87/H87,"")</f>
        <v/>
      </c>
      <c r="AG87" s="27">
        <f>IF(C87="","",N(AA87)+N(AB87)+N(AC87)+N(AD87))</f>
        <v/>
      </c>
      <c r="AH87" s="27">
        <f>IF(C87="","",H87-AG87)</f>
        <v/>
      </c>
      <c r="AI87" s="29">
        <f>IFERROR(AH87/H87,"")</f>
        <v/>
      </c>
      <c r="AJ87" s="69" t="n"/>
      <c r="AK87" s="69" t="n"/>
      <c r="AL87" s="69" t="n"/>
      <c r="AM87" s="69" t="n"/>
      <c r="AN87" s="69" t="n"/>
      <c r="AO87" s="24" t="n"/>
    </row>
    <row r="88" ht="15" customHeight="1">
      <c r="A88" s="68">
        <f>IF(C88="","",IFERROR(IF(SUMPRODUCT(MAX((tbl_Finance[Job Number]=C88&amp;"")*(tbl_Finance[Xero Invoice No]&lt;&gt;"")*tbl_Finance[Date]))=0,"",SUMPRODUCT(MAX((tbl_Finance[Job Number]=C88&amp;"")*(tbl_Finance[Xero Invoice No]&lt;&gt;"")*tbl_Finance[Date]))),""))</f>
        <v/>
      </c>
      <c r="B88" s="25">
        <f>IF(C88="","",IF(COUNTIFS(tbl_Finance[Job Number],C88&amp;"",tbl_Finance[Xero Invoice No],"&lt;&gt;")=0,"",IFERROR(IF(COUNTIFS(tbl_Finance[Job Number],C88&amp;"",tbl_Finance[Xero Invoice No],LOOKUP(2,1/((tbl_Finance[Job Number]=C88&amp;"")*(tbl_Finance[Xero Invoice No]&lt;&gt;"")),tbl_Finance[Xero Invoice No]))=COUNTIFS(tbl_Finance[Job Number],C88&amp;"",tbl_Finance[Xero Invoice No],"&lt;&gt;"),LOOKUP(2,1/((tbl_Finance[Job Number]=C88&amp;"")*(tbl_Finance[Xero Invoice No]&lt;&gt;"")),tbl_Finance[Xero Invoice No]),LOOKUP(2,1/((tbl_Finance[Job Number]=C88&amp;"")*(tbl_Finance[Xero Invoice No]&lt;&gt;"")),tbl_Finance[Xero Invoice No])&amp;" +more"),"")))</f>
        <v/>
      </c>
      <c r="C88" s="24" t="n"/>
      <c r="D88" s="25">
        <f>IF(C88="","",IF(COUNTIF(lst_Jobs,C88&amp;"")&gt;0,"OK","CHECK"))</f>
        <v/>
      </c>
      <c r="E88" s="25">
        <f>IF(C88="","",IFERROR(INDEX(lst_JobName,MATCH(C88&amp;"",lst_Jobs,0)),""))</f>
        <v/>
      </c>
      <c r="F88" s="25">
        <f>IF(C88="","",IFERROR(INDEX(tbl_Finance[Client],MATCH(C88&amp;"",tbl_Finance[Job Number],0)),""))</f>
        <v/>
      </c>
      <c r="G88" s="28">
        <f>IF(C88="","",COUNTIFS(tbl_Finance[Job Number],C88&amp;"",tbl_Finance[Ex GST],"&lt;&gt;"))</f>
        <v/>
      </c>
      <c r="H88" s="27">
        <f>IF(C88="","",SUMIFS(tbl_Finance[Ex GST],tbl_Finance[Job Number],C88&amp;""))</f>
        <v/>
      </c>
      <c r="I88" s="27">
        <f>IF(C88="","",SUMIFS(tbl_Finance[Ex GST],tbl_Finance[Job Number],C88&amp;"",tbl_Finance[Xero Invoice No],"&lt;&gt;"))</f>
        <v/>
      </c>
      <c r="J88" s="27">
        <f>IF(C88="","",H88-I88)</f>
        <v/>
      </c>
      <c r="K88" s="25">
        <f>IF(C88="","",IF(G88=0,"not invoiced yet",SUBSTITUTE(TRIM(IF(COUNTIFS(tbl_Finance[Job Number],C88&amp;"",tbl_Finance[Cost Centre],"ONSITE")&gt;0,"ONSITE ","")&amp;IF(COUNTIFS(tbl_Finance[Job Number],C88&amp;"",tbl_Finance[Cost Centre],"PRODUCTION")&gt;0,"PRODUCTION ","")&amp;IF(COUNTIFS(tbl_Finance[Job Number],C88&amp;"",tbl_Finance[Cost Centre],"VIDEO")&gt;0,"VIDEO ","")&amp;IF(COUNTIFS(tbl_Finance[Job Number],C88&amp;"",tbl_Finance[Cost Centre],"INTEGRATION")&gt;0,"INTEGRATION ","")&amp;IF(COUNTIFS(tbl_Finance[Job Number],C88&amp;"",tbl_Finance[Cost Centre],"CONSULTING")&gt;0,"CONSULTING ","")&amp;IF(COUNTIFS(tbl_Finance[Job Number],C88&amp;"",tbl_Finance[Cost Centre],"CTS")&gt;0,"CTS ",""))," ",", ")))</f>
        <v/>
      </c>
      <c r="L88" s="27">
        <f>IF(C88="","",SUMIFS(tbl_Finance[Inc GST],tbl_Finance[Job Number],C88&amp;""))</f>
        <v/>
      </c>
      <c r="M88" s="24" t="n"/>
      <c r="N88" s="25">
        <f>IF(C88="","",IFERROR(INDEX(tbl_Finance[Description],MATCH(C88&amp;"",tbl_Finance[Job Number],0)),""))</f>
        <v/>
      </c>
      <c r="O88" s="24" t="n"/>
      <c r="P88" s="24" t="n"/>
      <c r="Q88" s="22" t="n"/>
      <c r="R88" s="24" t="n"/>
      <c r="S88" s="25">
        <f>IF(R88="","",IF(AND(LEFT(R88,4)&lt;&gt;"http",set_RMSBase=""),"",HYPERLINK(IF(LEFT(R88,4)="http",R88,set_RMSBase&amp;R88),"Open opportunity")))</f>
        <v/>
      </c>
      <c r="T88" s="24" t="n"/>
      <c r="U88" s="25">
        <f>IF(T88="","",HYPERLINK(IF(LEFT(T88,4)="http",T88,set_QwilrBase&amp;T88),"Open quote"))</f>
        <v/>
      </c>
      <c r="V88" s="25">
        <f>IF(C88="","",C88)</f>
        <v/>
      </c>
      <c r="W88" s="24" t="n"/>
      <c r="X88" s="26" t="n"/>
      <c r="Y88" s="27">
        <f>IF(C88="","",H88+N(X88))</f>
        <v/>
      </c>
      <c r="Z88" s="29">
        <f>IFERROR(X88/Y88,"")</f>
        <v/>
      </c>
      <c r="AA88" s="26" t="n"/>
      <c r="AB88" s="26" t="n"/>
      <c r="AC88" s="26" t="n"/>
      <c r="AD88" s="26" t="n"/>
      <c r="AE88" s="27">
        <f>IF(C88="","",SUMIFS(tbl_Finance[Ex GST],tbl_Finance[Job Number],C88&amp;"",tbl_Finance[Cost Centre],"VIDEO"))</f>
        <v/>
      </c>
      <c r="AF88" s="29">
        <f>IFERROR(AE88/H88,"")</f>
        <v/>
      </c>
      <c r="AG88" s="27">
        <f>IF(C88="","",N(AA88)+N(AB88)+N(AC88)+N(AD88))</f>
        <v/>
      </c>
      <c r="AH88" s="27">
        <f>IF(C88="","",H88-AG88)</f>
        <v/>
      </c>
      <c r="AI88" s="29">
        <f>IFERROR(AH88/H88,"")</f>
        <v/>
      </c>
      <c r="AJ88" s="69" t="n"/>
      <c r="AK88" s="69" t="n"/>
      <c r="AL88" s="69" t="n"/>
      <c r="AM88" s="69" t="n"/>
      <c r="AN88" s="69" t="n"/>
      <c r="AO88" s="24" t="n"/>
    </row>
    <row r="89" ht="15" customHeight="1">
      <c r="A89" s="68">
        <f>IF(C89="","",IFERROR(IF(SUMPRODUCT(MAX((tbl_Finance[Job Number]=C89&amp;"")*(tbl_Finance[Xero Invoice No]&lt;&gt;"")*tbl_Finance[Date]))=0,"",SUMPRODUCT(MAX((tbl_Finance[Job Number]=C89&amp;"")*(tbl_Finance[Xero Invoice No]&lt;&gt;"")*tbl_Finance[Date]))),""))</f>
        <v/>
      </c>
      <c r="B89" s="25">
        <f>IF(C89="","",IF(COUNTIFS(tbl_Finance[Job Number],C89&amp;"",tbl_Finance[Xero Invoice No],"&lt;&gt;")=0,"",IFERROR(IF(COUNTIFS(tbl_Finance[Job Number],C89&amp;"",tbl_Finance[Xero Invoice No],LOOKUP(2,1/((tbl_Finance[Job Number]=C89&amp;"")*(tbl_Finance[Xero Invoice No]&lt;&gt;"")),tbl_Finance[Xero Invoice No]))=COUNTIFS(tbl_Finance[Job Number],C89&amp;"",tbl_Finance[Xero Invoice No],"&lt;&gt;"),LOOKUP(2,1/((tbl_Finance[Job Number]=C89&amp;"")*(tbl_Finance[Xero Invoice No]&lt;&gt;"")),tbl_Finance[Xero Invoice No]),LOOKUP(2,1/((tbl_Finance[Job Number]=C89&amp;"")*(tbl_Finance[Xero Invoice No]&lt;&gt;"")),tbl_Finance[Xero Invoice No])&amp;" +more"),"")))</f>
        <v/>
      </c>
      <c r="C89" s="24" t="n"/>
      <c r="D89" s="25">
        <f>IF(C89="","",IF(COUNTIF(lst_Jobs,C89&amp;"")&gt;0,"OK","CHECK"))</f>
        <v/>
      </c>
      <c r="E89" s="25">
        <f>IF(C89="","",IFERROR(INDEX(lst_JobName,MATCH(C89&amp;"",lst_Jobs,0)),""))</f>
        <v/>
      </c>
      <c r="F89" s="25">
        <f>IF(C89="","",IFERROR(INDEX(tbl_Finance[Client],MATCH(C89&amp;"",tbl_Finance[Job Number],0)),""))</f>
        <v/>
      </c>
      <c r="G89" s="28">
        <f>IF(C89="","",COUNTIFS(tbl_Finance[Job Number],C89&amp;"",tbl_Finance[Ex GST],"&lt;&gt;"))</f>
        <v/>
      </c>
      <c r="H89" s="27">
        <f>IF(C89="","",SUMIFS(tbl_Finance[Ex GST],tbl_Finance[Job Number],C89&amp;""))</f>
        <v/>
      </c>
      <c r="I89" s="27">
        <f>IF(C89="","",SUMIFS(tbl_Finance[Ex GST],tbl_Finance[Job Number],C89&amp;"",tbl_Finance[Xero Invoice No],"&lt;&gt;"))</f>
        <v/>
      </c>
      <c r="J89" s="27">
        <f>IF(C89="","",H89-I89)</f>
        <v/>
      </c>
      <c r="K89" s="25">
        <f>IF(C89="","",IF(G89=0,"not invoiced yet",SUBSTITUTE(TRIM(IF(COUNTIFS(tbl_Finance[Job Number],C89&amp;"",tbl_Finance[Cost Centre],"ONSITE")&gt;0,"ONSITE ","")&amp;IF(COUNTIFS(tbl_Finance[Job Number],C89&amp;"",tbl_Finance[Cost Centre],"PRODUCTION")&gt;0,"PRODUCTION ","")&amp;IF(COUNTIFS(tbl_Finance[Job Number],C89&amp;"",tbl_Finance[Cost Centre],"VIDEO")&gt;0,"VIDEO ","")&amp;IF(COUNTIFS(tbl_Finance[Job Number],C89&amp;"",tbl_Finance[Cost Centre],"INTEGRATION")&gt;0,"INTEGRATION ","")&amp;IF(COUNTIFS(tbl_Finance[Job Number],C89&amp;"",tbl_Finance[Cost Centre],"CONSULTING")&gt;0,"CONSULTING ","")&amp;IF(COUNTIFS(tbl_Finance[Job Number],C89&amp;"",tbl_Finance[Cost Centre],"CTS")&gt;0,"CTS ",""))," ",", ")))</f>
        <v/>
      </c>
      <c r="L89" s="27">
        <f>IF(C89="","",SUMIFS(tbl_Finance[Inc GST],tbl_Finance[Job Number],C89&amp;""))</f>
        <v/>
      </c>
      <c r="M89" s="24" t="n"/>
      <c r="N89" s="25">
        <f>IF(C89="","",IFERROR(INDEX(tbl_Finance[Description],MATCH(C89&amp;"",tbl_Finance[Job Number],0)),""))</f>
        <v/>
      </c>
      <c r="O89" s="24" t="n"/>
      <c r="P89" s="24" t="n"/>
      <c r="Q89" s="22" t="n"/>
      <c r="R89" s="24" t="n"/>
      <c r="S89" s="25">
        <f>IF(R89="","",IF(AND(LEFT(R89,4)&lt;&gt;"http",set_RMSBase=""),"",HYPERLINK(IF(LEFT(R89,4)="http",R89,set_RMSBase&amp;R89),"Open opportunity")))</f>
        <v/>
      </c>
      <c r="T89" s="24" t="n"/>
      <c r="U89" s="25">
        <f>IF(T89="","",HYPERLINK(IF(LEFT(T89,4)="http",T89,set_QwilrBase&amp;T89),"Open quote"))</f>
        <v/>
      </c>
      <c r="V89" s="25">
        <f>IF(C89="","",C89)</f>
        <v/>
      </c>
      <c r="W89" s="24" t="n"/>
      <c r="X89" s="26" t="n"/>
      <c r="Y89" s="27">
        <f>IF(C89="","",H89+N(X89))</f>
        <v/>
      </c>
      <c r="Z89" s="29">
        <f>IFERROR(X89/Y89,"")</f>
        <v/>
      </c>
      <c r="AA89" s="26" t="n"/>
      <c r="AB89" s="26" t="n"/>
      <c r="AC89" s="26" t="n"/>
      <c r="AD89" s="26" t="n"/>
      <c r="AE89" s="27">
        <f>IF(C89="","",SUMIFS(tbl_Finance[Ex GST],tbl_Finance[Job Number],C89&amp;"",tbl_Finance[Cost Centre],"VIDEO"))</f>
        <v/>
      </c>
      <c r="AF89" s="29">
        <f>IFERROR(AE89/H89,"")</f>
        <v/>
      </c>
      <c r="AG89" s="27">
        <f>IF(C89="","",N(AA89)+N(AB89)+N(AC89)+N(AD89))</f>
        <v/>
      </c>
      <c r="AH89" s="27">
        <f>IF(C89="","",H89-AG89)</f>
        <v/>
      </c>
      <c r="AI89" s="29">
        <f>IFERROR(AH89/H89,"")</f>
        <v/>
      </c>
      <c r="AJ89" s="69" t="n"/>
      <c r="AK89" s="69" t="n"/>
      <c r="AL89" s="69" t="n"/>
      <c r="AM89" s="69" t="n"/>
      <c r="AN89" s="69" t="n"/>
      <c r="AO89" s="24" t="n"/>
    </row>
    <row r="90" ht="15" customHeight="1">
      <c r="A90" s="68">
        <f>IF(C90="","",IFERROR(IF(SUMPRODUCT(MAX((tbl_Finance[Job Number]=C90&amp;"")*(tbl_Finance[Xero Invoice No]&lt;&gt;"")*tbl_Finance[Date]))=0,"",SUMPRODUCT(MAX((tbl_Finance[Job Number]=C90&amp;"")*(tbl_Finance[Xero Invoice No]&lt;&gt;"")*tbl_Finance[Date]))),""))</f>
        <v/>
      </c>
      <c r="B90" s="25">
        <f>IF(C90="","",IF(COUNTIFS(tbl_Finance[Job Number],C90&amp;"",tbl_Finance[Xero Invoice No],"&lt;&gt;")=0,"",IFERROR(IF(COUNTIFS(tbl_Finance[Job Number],C90&amp;"",tbl_Finance[Xero Invoice No],LOOKUP(2,1/((tbl_Finance[Job Number]=C90&amp;"")*(tbl_Finance[Xero Invoice No]&lt;&gt;"")),tbl_Finance[Xero Invoice No]))=COUNTIFS(tbl_Finance[Job Number],C90&amp;"",tbl_Finance[Xero Invoice No],"&lt;&gt;"),LOOKUP(2,1/((tbl_Finance[Job Number]=C90&amp;"")*(tbl_Finance[Xero Invoice No]&lt;&gt;"")),tbl_Finance[Xero Invoice No]),LOOKUP(2,1/((tbl_Finance[Job Number]=C90&amp;"")*(tbl_Finance[Xero Invoice No]&lt;&gt;"")),tbl_Finance[Xero Invoice No])&amp;" +more"),"")))</f>
        <v/>
      </c>
      <c r="C90" s="24" t="n"/>
      <c r="D90" s="25">
        <f>IF(C90="","",IF(COUNTIF(lst_Jobs,C90&amp;"")&gt;0,"OK","CHECK"))</f>
        <v/>
      </c>
      <c r="E90" s="25">
        <f>IF(C90="","",IFERROR(INDEX(lst_JobName,MATCH(C90&amp;"",lst_Jobs,0)),""))</f>
        <v/>
      </c>
      <c r="F90" s="25">
        <f>IF(C90="","",IFERROR(INDEX(tbl_Finance[Client],MATCH(C90&amp;"",tbl_Finance[Job Number],0)),""))</f>
        <v/>
      </c>
      <c r="G90" s="28">
        <f>IF(C90="","",COUNTIFS(tbl_Finance[Job Number],C90&amp;"",tbl_Finance[Ex GST],"&lt;&gt;"))</f>
        <v/>
      </c>
      <c r="H90" s="27">
        <f>IF(C90="","",SUMIFS(tbl_Finance[Ex GST],tbl_Finance[Job Number],C90&amp;""))</f>
        <v/>
      </c>
      <c r="I90" s="27">
        <f>IF(C90="","",SUMIFS(tbl_Finance[Ex GST],tbl_Finance[Job Number],C90&amp;"",tbl_Finance[Xero Invoice No],"&lt;&gt;"))</f>
        <v/>
      </c>
      <c r="J90" s="27">
        <f>IF(C90="","",H90-I90)</f>
        <v/>
      </c>
      <c r="K90" s="25">
        <f>IF(C90="","",IF(G90=0,"not invoiced yet",SUBSTITUTE(TRIM(IF(COUNTIFS(tbl_Finance[Job Number],C90&amp;"",tbl_Finance[Cost Centre],"ONSITE")&gt;0,"ONSITE ","")&amp;IF(COUNTIFS(tbl_Finance[Job Number],C90&amp;"",tbl_Finance[Cost Centre],"PRODUCTION")&gt;0,"PRODUCTION ","")&amp;IF(COUNTIFS(tbl_Finance[Job Number],C90&amp;"",tbl_Finance[Cost Centre],"VIDEO")&gt;0,"VIDEO ","")&amp;IF(COUNTIFS(tbl_Finance[Job Number],C90&amp;"",tbl_Finance[Cost Centre],"INTEGRATION")&gt;0,"INTEGRATION ","")&amp;IF(COUNTIFS(tbl_Finance[Job Number],C90&amp;"",tbl_Finance[Cost Centre],"CONSULTING")&gt;0,"CONSULTING ","")&amp;IF(COUNTIFS(tbl_Finance[Job Number],C90&amp;"",tbl_Finance[Cost Centre],"CTS")&gt;0,"CTS ",""))," ",", ")))</f>
        <v/>
      </c>
      <c r="L90" s="27">
        <f>IF(C90="","",SUMIFS(tbl_Finance[Inc GST],tbl_Finance[Job Number],C90&amp;""))</f>
        <v/>
      </c>
      <c r="M90" s="24" t="n"/>
      <c r="N90" s="25">
        <f>IF(C90="","",IFERROR(INDEX(tbl_Finance[Description],MATCH(C90&amp;"",tbl_Finance[Job Number],0)),""))</f>
        <v/>
      </c>
      <c r="O90" s="24" t="n"/>
      <c r="P90" s="24" t="n"/>
      <c r="Q90" s="22" t="n"/>
      <c r="R90" s="24" t="n"/>
      <c r="S90" s="25">
        <f>IF(R90="","",IF(AND(LEFT(R90,4)&lt;&gt;"http",set_RMSBase=""),"",HYPERLINK(IF(LEFT(R90,4)="http",R90,set_RMSBase&amp;R90),"Open opportunity")))</f>
        <v/>
      </c>
      <c r="T90" s="24" t="n"/>
      <c r="U90" s="25">
        <f>IF(T90="","",HYPERLINK(IF(LEFT(T90,4)="http",T90,set_QwilrBase&amp;T90),"Open quote"))</f>
        <v/>
      </c>
      <c r="V90" s="25">
        <f>IF(C90="","",C90)</f>
        <v/>
      </c>
      <c r="W90" s="24" t="n"/>
      <c r="X90" s="26" t="n"/>
      <c r="Y90" s="27">
        <f>IF(C90="","",H90+N(X90))</f>
        <v/>
      </c>
      <c r="Z90" s="29">
        <f>IFERROR(X90/Y90,"")</f>
        <v/>
      </c>
      <c r="AA90" s="26" t="n"/>
      <c r="AB90" s="26" t="n"/>
      <c r="AC90" s="26" t="n"/>
      <c r="AD90" s="26" t="n"/>
      <c r="AE90" s="27">
        <f>IF(C90="","",SUMIFS(tbl_Finance[Ex GST],tbl_Finance[Job Number],C90&amp;"",tbl_Finance[Cost Centre],"VIDEO"))</f>
        <v/>
      </c>
      <c r="AF90" s="29">
        <f>IFERROR(AE90/H90,"")</f>
        <v/>
      </c>
      <c r="AG90" s="27">
        <f>IF(C90="","",N(AA90)+N(AB90)+N(AC90)+N(AD90))</f>
        <v/>
      </c>
      <c r="AH90" s="27">
        <f>IF(C90="","",H90-AG90)</f>
        <v/>
      </c>
      <c r="AI90" s="29">
        <f>IFERROR(AH90/H90,"")</f>
        <v/>
      </c>
      <c r="AJ90" s="69" t="n"/>
      <c r="AK90" s="69" t="n"/>
      <c r="AL90" s="69" t="n"/>
      <c r="AM90" s="69" t="n"/>
      <c r="AN90" s="69" t="n"/>
      <c r="AO90" s="24" t="n"/>
    </row>
    <row r="91" ht="15" customHeight="1">
      <c r="A91" s="68">
        <f>IF(C91="","",IFERROR(IF(SUMPRODUCT(MAX((tbl_Finance[Job Number]=C91&amp;"")*(tbl_Finance[Xero Invoice No]&lt;&gt;"")*tbl_Finance[Date]))=0,"",SUMPRODUCT(MAX((tbl_Finance[Job Number]=C91&amp;"")*(tbl_Finance[Xero Invoice No]&lt;&gt;"")*tbl_Finance[Date]))),""))</f>
        <v/>
      </c>
      <c r="B91" s="25">
        <f>IF(C91="","",IF(COUNTIFS(tbl_Finance[Job Number],C91&amp;"",tbl_Finance[Xero Invoice No],"&lt;&gt;")=0,"",IFERROR(IF(COUNTIFS(tbl_Finance[Job Number],C91&amp;"",tbl_Finance[Xero Invoice No],LOOKUP(2,1/((tbl_Finance[Job Number]=C91&amp;"")*(tbl_Finance[Xero Invoice No]&lt;&gt;"")),tbl_Finance[Xero Invoice No]))=COUNTIFS(tbl_Finance[Job Number],C91&amp;"",tbl_Finance[Xero Invoice No],"&lt;&gt;"),LOOKUP(2,1/((tbl_Finance[Job Number]=C91&amp;"")*(tbl_Finance[Xero Invoice No]&lt;&gt;"")),tbl_Finance[Xero Invoice No]),LOOKUP(2,1/((tbl_Finance[Job Number]=C91&amp;"")*(tbl_Finance[Xero Invoice No]&lt;&gt;"")),tbl_Finance[Xero Invoice No])&amp;" +more"),"")))</f>
        <v/>
      </c>
      <c r="C91" s="24" t="n"/>
      <c r="D91" s="25">
        <f>IF(C91="","",IF(COUNTIF(lst_Jobs,C91&amp;"")&gt;0,"OK","CHECK"))</f>
        <v/>
      </c>
      <c r="E91" s="25">
        <f>IF(C91="","",IFERROR(INDEX(lst_JobName,MATCH(C91&amp;"",lst_Jobs,0)),""))</f>
        <v/>
      </c>
      <c r="F91" s="25">
        <f>IF(C91="","",IFERROR(INDEX(tbl_Finance[Client],MATCH(C91&amp;"",tbl_Finance[Job Number],0)),""))</f>
        <v/>
      </c>
      <c r="G91" s="28">
        <f>IF(C91="","",COUNTIFS(tbl_Finance[Job Number],C91&amp;"",tbl_Finance[Ex GST],"&lt;&gt;"))</f>
        <v/>
      </c>
      <c r="H91" s="27">
        <f>IF(C91="","",SUMIFS(tbl_Finance[Ex GST],tbl_Finance[Job Number],C91&amp;""))</f>
        <v/>
      </c>
      <c r="I91" s="27">
        <f>IF(C91="","",SUMIFS(tbl_Finance[Ex GST],tbl_Finance[Job Number],C91&amp;"",tbl_Finance[Xero Invoice No],"&lt;&gt;"))</f>
        <v/>
      </c>
      <c r="J91" s="27">
        <f>IF(C91="","",H91-I91)</f>
        <v/>
      </c>
      <c r="K91" s="25">
        <f>IF(C91="","",IF(G91=0,"not invoiced yet",SUBSTITUTE(TRIM(IF(COUNTIFS(tbl_Finance[Job Number],C91&amp;"",tbl_Finance[Cost Centre],"ONSITE")&gt;0,"ONSITE ","")&amp;IF(COUNTIFS(tbl_Finance[Job Number],C91&amp;"",tbl_Finance[Cost Centre],"PRODUCTION")&gt;0,"PRODUCTION ","")&amp;IF(COUNTIFS(tbl_Finance[Job Number],C91&amp;"",tbl_Finance[Cost Centre],"VIDEO")&gt;0,"VIDEO ","")&amp;IF(COUNTIFS(tbl_Finance[Job Number],C91&amp;"",tbl_Finance[Cost Centre],"INTEGRATION")&gt;0,"INTEGRATION ","")&amp;IF(COUNTIFS(tbl_Finance[Job Number],C91&amp;"",tbl_Finance[Cost Centre],"CONSULTING")&gt;0,"CONSULTING ","")&amp;IF(COUNTIFS(tbl_Finance[Job Number],C91&amp;"",tbl_Finance[Cost Centre],"CTS")&gt;0,"CTS ",""))," ",", ")))</f>
        <v/>
      </c>
      <c r="L91" s="27">
        <f>IF(C91="","",SUMIFS(tbl_Finance[Inc GST],tbl_Finance[Job Number],C91&amp;""))</f>
        <v/>
      </c>
      <c r="M91" s="24" t="n"/>
      <c r="N91" s="25">
        <f>IF(C91="","",IFERROR(INDEX(tbl_Finance[Description],MATCH(C91&amp;"",tbl_Finance[Job Number],0)),""))</f>
        <v/>
      </c>
      <c r="O91" s="24" t="n"/>
      <c r="P91" s="24" t="n"/>
      <c r="Q91" s="22" t="n"/>
      <c r="R91" s="24" t="n"/>
      <c r="S91" s="25">
        <f>IF(R91="","",IF(AND(LEFT(R91,4)&lt;&gt;"http",set_RMSBase=""),"",HYPERLINK(IF(LEFT(R91,4)="http",R91,set_RMSBase&amp;R91),"Open opportunity")))</f>
        <v/>
      </c>
      <c r="T91" s="24" t="n"/>
      <c r="U91" s="25">
        <f>IF(T91="","",HYPERLINK(IF(LEFT(T91,4)="http",T91,set_QwilrBase&amp;T91),"Open quote"))</f>
        <v/>
      </c>
      <c r="V91" s="25">
        <f>IF(C91="","",C91)</f>
        <v/>
      </c>
      <c r="W91" s="24" t="n"/>
      <c r="X91" s="26" t="n"/>
      <c r="Y91" s="27">
        <f>IF(C91="","",H91+N(X91))</f>
        <v/>
      </c>
      <c r="Z91" s="29">
        <f>IFERROR(X91/Y91,"")</f>
        <v/>
      </c>
      <c r="AA91" s="26" t="n"/>
      <c r="AB91" s="26" t="n"/>
      <c r="AC91" s="26" t="n"/>
      <c r="AD91" s="26" t="n"/>
      <c r="AE91" s="27">
        <f>IF(C91="","",SUMIFS(tbl_Finance[Ex GST],tbl_Finance[Job Number],C91&amp;"",tbl_Finance[Cost Centre],"VIDEO"))</f>
        <v/>
      </c>
      <c r="AF91" s="29">
        <f>IFERROR(AE91/H91,"")</f>
        <v/>
      </c>
      <c r="AG91" s="27">
        <f>IF(C91="","",N(AA91)+N(AB91)+N(AC91)+N(AD91))</f>
        <v/>
      </c>
      <c r="AH91" s="27">
        <f>IF(C91="","",H91-AG91)</f>
        <v/>
      </c>
      <c r="AI91" s="29">
        <f>IFERROR(AH91/H91,"")</f>
        <v/>
      </c>
      <c r="AJ91" s="69" t="n"/>
      <c r="AK91" s="69" t="n"/>
      <c r="AL91" s="69" t="n"/>
      <c r="AM91" s="69" t="n"/>
      <c r="AN91" s="69" t="n"/>
      <c r="AO91" s="24" t="n"/>
    </row>
    <row r="92" ht="15" customHeight="1">
      <c r="A92" s="68">
        <f>IF(C92="","",IFERROR(IF(SUMPRODUCT(MAX((tbl_Finance[Job Number]=C92&amp;"")*(tbl_Finance[Xero Invoice No]&lt;&gt;"")*tbl_Finance[Date]))=0,"",SUMPRODUCT(MAX((tbl_Finance[Job Number]=C92&amp;"")*(tbl_Finance[Xero Invoice No]&lt;&gt;"")*tbl_Finance[Date]))),""))</f>
        <v/>
      </c>
      <c r="B92" s="25">
        <f>IF(C92="","",IF(COUNTIFS(tbl_Finance[Job Number],C92&amp;"",tbl_Finance[Xero Invoice No],"&lt;&gt;")=0,"",IFERROR(IF(COUNTIFS(tbl_Finance[Job Number],C92&amp;"",tbl_Finance[Xero Invoice No],LOOKUP(2,1/((tbl_Finance[Job Number]=C92&amp;"")*(tbl_Finance[Xero Invoice No]&lt;&gt;"")),tbl_Finance[Xero Invoice No]))=COUNTIFS(tbl_Finance[Job Number],C92&amp;"",tbl_Finance[Xero Invoice No],"&lt;&gt;"),LOOKUP(2,1/((tbl_Finance[Job Number]=C92&amp;"")*(tbl_Finance[Xero Invoice No]&lt;&gt;"")),tbl_Finance[Xero Invoice No]),LOOKUP(2,1/((tbl_Finance[Job Number]=C92&amp;"")*(tbl_Finance[Xero Invoice No]&lt;&gt;"")),tbl_Finance[Xero Invoice No])&amp;" +more"),"")))</f>
        <v/>
      </c>
      <c r="C92" s="24" t="n"/>
      <c r="D92" s="25">
        <f>IF(C92="","",IF(COUNTIF(lst_Jobs,C92&amp;"")&gt;0,"OK","CHECK"))</f>
        <v/>
      </c>
      <c r="E92" s="25">
        <f>IF(C92="","",IFERROR(INDEX(lst_JobName,MATCH(C92&amp;"",lst_Jobs,0)),""))</f>
        <v/>
      </c>
      <c r="F92" s="25">
        <f>IF(C92="","",IFERROR(INDEX(tbl_Finance[Client],MATCH(C92&amp;"",tbl_Finance[Job Number],0)),""))</f>
        <v/>
      </c>
      <c r="G92" s="28">
        <f>IF(C92="","",COUNTIFS(tbl_Finance[Job Number],C92&amp;"",tbl_Finance[Ex GST],"&lt;&gt;"))</f>
        <v/>
      </c>
      <c r="H92" s="27">
        <f>IF(C92="","",SUMIFS(tbl_Finance[Ex GST],tbl_Finance[Job Number],C92&amp;""))</f>
        <v/>
      </c>
      <c r="I92" s="27">
        <f>IF(C92="","",SUMIFS(tbl_Finance[Ex GST],tbl_Finance[Job Number],C92&amp;"",tbl_Finance[Xero Invoice No],"&lt;&gt;"))</f>
        <v/>
      </c>
      <c r="J92" s="27">
        <f>IF(C92="","",H92-I92)</f>
        <v/>
      </c>
      <c r="K92" s="25">
        <f>IF(C92="","",IF(G92=0,"not invoiced yet",SUBSTITUTE(TRIM(IF(COUNTIFS(tbl_Finance[Job Number],C92&amp;"",tbl_Finance[Cost Centre],"ONSITE")&gt;0,"ONSITE ","")&amp;IF(COUNTIFS(tbl_Finance[Job Number],C92&amp;"",tbl_Finance[Cost Centre],"PRODUCTION")&gt;0,"PRODUCTION ","")&amp;IF(COUNTIFS(tbl_Finance[Job Number],C92&amp;"",tbl_Finance[Cost Centre],"VIDEO")&gt;0,"VIDEO ","")&amp;IF(COUNTIFS(tbl_Finance[Job Number],C92&amp;"",tbl_Finance[Cost Centre],"INTEGRATION")&gt;0,"INTEGRATION ","")&amp;IF(COUNTIFS(tbl_Finance[Job Number],C92&amp;"",tbl_Finance[Cost Centre],"CONSULTING")&gt;0,"CONSULTING ","")&amp;IF(COUNTIFS(tbl_Finance[Job Number],C92&amp;"",tbl_Finance[Cost Centre],"CTS")&gt;0,"CTS ",""))," ",", ")))</f>
        <v/>
      </c>
      <c r="L92" s="27">
        <f>IF(C92="","",SUMIFS(tbl_Finance[Inc GST],tbl_Finance[Job Number],C92&amp;""))</f>
        <v/>
      </c>
      <c r="M92" s="24" t="n"/>
      <c r="N92" s="25">
        <f>IF(C92="","",IFERROR(INDEX(tbl_Finance[Description],MATCH(C92&amp;"",tbl_Finance[Job Number],0)),""))</f>
        <v/>
      </c>
      <c r="O92" s="24" t="n"/>
      <c r="P92" s="24" t="n"/>
      <c r="Q92" s="22" t="n"/>
      <c r="R92" s="24" t="n"/>
      <c r="S92" s="25">
        <f>IF(R92="","",IF(AND(LEFT(R92,4)&lt;&gt;"http",set_RMSBase=""),"",HYPERLINK(IF(LEFT(R92,4)="http",R92,set_RMSBase&amp;R92),"Open opportunity")))</f>
        <v/>
      </c>
      <c r="T92" s="24" t="n"/>
      <c r="U92" s="25">
        <f>IF(T92="","",HYPERLINK(IF(LEFT(T92,4)="http",T92,set_QwilrBase&amp;T92),"Open quote"))</f>
        <v/>
      </c>
      <c r="V92" s="25">
        <f>IF(C92="","",C92)</f>
        <v/>
      </c>
      <c r="W92" s="24" t="n"/>
      <c r="X92" s="26" t="n"/>
      <c r="Y92" s="27">
        <f>IF(C92="","",H92+N(X92))</f>
        <v/>
      </c>
      <c r="Z92" s="29">
        <f>IFERROR(X92/Y92,"")</f>
        <v/>
      </c>
      <c r="AA92" s="26" t="n"/>
      <c r="AB92" s="26" t="n"/>
      <c r="AC92" s="26" t="n"/>
      <c r="AD92" s="26" t="n"/>
      <c r="AE92" s="27">
        <f>IF(C92="","",SUMIFS(tbl_Finance[Ex GST],tbl_Finance[Job Number],C92&amp;"",tbl_Finance[Cost Centre],"VIDEO"))</f>
        <v/>
      </c>
      <c r="AF92" s="29">
        <f>IFERROR(AE92/H92,"")</f>
        <v/>
      </c>
      <c r="AG92" s="27">
        <f>IF(C92="","",N(AA92)+N(AB92)+N(AC92)+N(AD92))</f>
        <v/>
      </c>
      <c r="AH92" s="27">
        <f>IF(C92="","",H92-AG92)</f>
        <v/>
      </c>
      <c r="AI92" s="29">
        <f>IFERROR(AH92/H92,"")</f>
        <v/>
      </c>
      <c r="AJ92" s="69" t="n"/>
      <c r="AK92" s="69" t="n"/>
      <c r="AL92" s="69" t="n"/>
      <c r="AM92" s="69" t="n"/>
      <c r="AN92" s="69" t="n"/>
      <c r="AO92" s="24" t="n"/>
    </row>
    <row r="93" ht="15" customHeight="1">
      <c r="A93" s="68">
        <f>IF(C93="","",IFERROR(IF(SUMPRODUCT(MAX((tbl_Finance[Job Number]=C93&amp;"")*(tbl_Finance[Xero Invoice No]&lt;&gt;"")*tbl_Finance[Date]))=0,"",SUMPRODUCT(MAX((tbl_Finance[Job Number]=C93&amp;"")*(tbl_Finance[Xero Invoice No]&lt;&gt;"")*tbl_Finance[Date]))),""))</f>
        <v/>
      </c>
      <c r="B93" s="25">
        <f>IF(C93="","",IF(COUNTIFS(tbl_Finance[Job Number],C93&amp;"",tbl_Finance[Xero Invoice No],"&lt;&gt;")=0,"",IFERROR(IF(COUNTIFS(tbl_Finance[Job Number],C93&amp;"",tbl_Finance[Xero Invoice No],LOOKUP(2,1/((tbl_Finance[Job Number]=C93&amp;"")*(tbl_Finance[Xero Invoice No]&lt;&gt;"")),tbl_Finance[Xero Invoice No]))=COUNTIFS(tbl_Finance[Job Number],C93&amp;"",tbl_Finance[Xero Invoice No],"&lt;&gt;"),LOOKUP(2,1/((tbl_Finance[Job Number]=C93&amp;"")*(tbl_Finance[Xero Invoice No]&lt;&gt;"")),tbl_Finance[Xero Invoice No]),LOOKUP(2,1/((tbl_Finance[Job Number]=C93&amp;"")*(tbl_Finance[Xero Invoice No]&lt;&gt;"")),tbl_Finance[Xero Invoice No])&amp;" +more"),"")))</f>
        <v/>
      </c>
      <c r="C93" s="24" t="n"/>
      <c r="D93" s="25">
        <f>IF(C93="","",IF(COUNTIF(lst_Jobs,C93&amp;"")&gt;0,"OK","CHECK"))</f>
        <v/>
      </c>
      <c r="E93" s="25">
        <f>IF(C93="","",IFERROR(INDEX(lst_JobName,MATCH(C93&amp;"",lst_Jobs,0)),""))</f>
        <v/>
      </c>
      <c r="F93" s="25">
        <f>IF(C93="","",IFERROR(INDEX(tbl_Finance[Client],MATCH(C93&amp;"",tbl_Finance[Job Number],0)),""))</f>
        <v/>
      </c>
      <c r="G93" s="28">
        <f>IF(C93="","",COUNTIFS(tbl_Finance[Job Number],C93&amp;"",tbl_Finance[Ex GST],"&lt;&gt;"))</f>
        <v/>
      </c>
      <c r="H93" s="27">
        <f>IF(C93="","",SUMIFS(tbl_Finance[Ex GST],tbl_Finance[Job Number],C93&amp;""))</f>
        <v/>
      </c>
      <c r="I93" s="27">
        <f>IF(C93="","",SUMIFS(tbl_Finance[Ex GST],tbl_Finance[Job Number],C93&amp;"",tbl_Finance[Xero Invoice No],"&lt;&gt;"))</f>
        <v/>
      </c>
      <c r="J93" s="27">
        <f>IF(C93="","",H93-I93)</f>
        <v/>
      </c>
      <c r="K93" s="25">
        <f>IF(C93="","",IF(G93=0,"not invoiced yet",SUBSTITUTE(TRIM(IF(COUNTIFS(tbl_Finance[Job Number],C93&amp;"",tbl_Finance[Cost Centre],"ONSITE")&gt;0,"ONSITE ","")&amp;IF(COUNTIFS(tbl_Finance[Job Number],C93&amp;"",tbl_Finance[Cost Centre],"PRODUCTION")&gt;0,"PRODUCTION ","")&amp;IF(COUNTIFS(tbl_Finance[Job Number],C93&amp;"",tbl_Finance[Cost Centre],"VIDEO")&gt;0,"VIDEO ","")&amp;IF(COUNTIFS(tbl_Finance[Job Number],C93&amp;"",tbl_Finance[Cost Centre],"INTEGRATION")&gt;0,"INTEGRATION ","")&amp;IF(COUNTIFS(tbl_Finance[Job Number],C93&amp;"",tbl_Finance[Cost Centre],"CONSULTING")&gt;0,"CONSULTING ","")&amp;IF(COUNTIFS(tbl_Finance[Job Number],C93&amp;"",tbl_Finance[Cost Centre],"CTS")&gt;0,"CTS ",""))," ",", ")))</f>
        <v/>
      </c>
      <c r="L93" s="27">
        <f>IF(C93="","",SUMIFS(tbl_Finance[Inc GST],tbl_Finance[Job Number],C93&amp;""))</f>
        <v/>
      </c>
      <c r="M93" s="24" t="n"/>
      <c r="N93" s="25">
        <f>IF(C93="","",IFERROR(INDEX(tbl_Finance[Description],MATCH(C93&amp;"",tbl_Finance[Job Number],0)),""))</f>
        <v/>
      </c>
      <c r="O93" s="24" t="n"/>
      <c r="P93" s="24" t="n"/>
      <c r="Q93" s="22" t="n"/>
      <c r="R93" s="24" t="n"/>
      <c r="S93" s="25">
        <f>IF(R93="","",IF(AND(LEFT(R93,4)&lt;&gt;"http",set_RMSBase=""),"",HYPERLINK(IF(LEFT(R93,4)="http",R93,set_RMSBase&amp;R93),"Open opportunity")))</f>
        <v/>
      </c>
      <c r="T93" s="24" t="n"/>
      <c r="U93" s="25">
        <f>IF(T93="","",HYPERLINK(IF(LEFT(T93,4)="http",T93,set_QwilrBase&amp;T93),"Open quote"))</f>
        <v/>
      </c>
      <c r="V93" s="25">
        <f>IF(C93="","",C93)</f>
        <v/>
      </c>
      <c r="W93" s="24" t="n"/>
      <c r="X93" s="26" t="n"/>
      <c r="Y93" s="27">
        <f>IF(C93="","",H93+N(X93))</f>
        <v/>
      </c>
      <c r="Z93" s="29">
        <f>IFERROR(X93/Y93,"")</f>
        <v/>
      </c>
      <c r="AA93" s="26" t="n"/>
      <c r="AB93" s="26" t="n"/>
      <c r="AC93" s="26" t="n"/>
      <c r="AD93" s="26" t="n"/>
      <c r="AE93" s="27">
        <f>IF(C93="","",SUMIFS(tbl_Finance[Ex GST],tbl_Finance[Job Number],C93&amp;"",tbl_Finance[Cost Centre],"VIDEO"))</f>
        <v/>
      </c>
      <c r="AF93" s="29">
        <f>IFERROR(AE93/H93,"")</f>
        <v/>
      </c>
      <c r="AG93" s="27">
        <f>IF(C93="","",N(AA93)+N(AB93)+N(AC93)+N(AD93))</f>
        <v/>
      </c>
      <c r="AH93" s="27">
        <f>IF(C93="","",H93-AG93)</f>
        <v/>
      </c>
      <c r="AI93" s="29">
        <f>IFERROR(AH93/H93,"")</f>
        <v/>
      </c>
      <c r="AJ93" s="69" t="n"/>
      <c r="AK93" s="69" t="n"/>
      <c r="AL93" s="69" t="n"/>
      <c r="AM93" s="69" t="n"/>
      <c r="AN93" s="69" t="n"/>
      <c r="AO93" s="24" t="n"/>
    </row>
    <row r="94" ht="15" customHeight="1">
      <c r="A94" s="68">
        <f>IF(C94="","",IFERROR(IF(SUMPRODUCT(MAX((tbl_Finance[Job Number]=C94&amp;"")*(tbl_Finance[Xero Invoice No]&lt;&gt;"")*tbl_Finance[Date]))=0,"",SUMPRODUCT(MAX((tbl_Finance[Job Number]=C94&amp;"")*(tbl_Finance[Xero Invoice No]&lt;&gt;"")*tbl_Finance[Date]))),""))</f>
        <v/>
      </c>
      <c r="B94" s="25">
        <f>IF(C94="","",IF(COUNTIFS(tbl_Finance[Job Number],C94&amp;"",tbl_Finance[Xero Invoice No],"&lt;&gt;")=0,"",IFERROR(IF(COUNTIFS(tbl_Finance[Job Number],C94&amp;"",tbl_Finance[Xero Invoice No],LOOKUP(2,1/((tbl_Finance[Job Number]=C94&amp;"")*(tbl_Finance[Xero Invoice No]&lt;&gt;"")),tbl_Finance[Xero Invoice No]))=COUNTIFS(tbl_Finance[Job Number],C94&amp;"",tbl_Finance[Xero Invoice No],"&lt;&gt;"),LOOKUP(2,1/((tbl_Finance[Job Number]=C94&amp;"")*(tbl_Finance[Xero Invoice No]&lt;&gt;"")),tbl_Finance[Xero Invoice No]),LOOKUP(2,1/((tbl_Finance[Job Number]=C94&amp;"")*(tbl_Finance[Xero Invoice No]&lt;&gt;"")),tbl_Finance[Xero Invoice No])&amp;" +more"),"")))</f>
        <v/>
      </c>
      <c r="C94" s="24" t="n"/>
      <c r="D94" s="25">
        <f>IF(C94="","",IF(COUNTIF(lst_Jobs,C94&amp;"")&gt;0,"OK","CHECK"))</f>
        <v/>
      </c>
      <c r="E94" s="25">
        <f>IF(C94="","",IFERROR(INDEX(lst_JobName,MATCH(C94&amp;"",lst_Jobs,0)),""))</f>
        <v/>
      </c>
      <c r="F94" s="25">
        <f>IF(C94="","",IFERROR(INDEX(tbl_Finance[Client],MATCH(C94&amp;"",tbl_Finance[Job Number],0)),""))</f>
        <v/>
      </c>
      <c r="G94" s="28">
        <f>IF(C94="","",COUNTIFS(tbl_Finance[Job Number],C94&amp;"",tbl_Finance[Ex GST],"&lt;&gt;"))</f>
        <v/>
      </c>
      <c r="H94" s="27">
        <f>IF(C94="","",SUMIFS(tbl_Finance[Ex GST],tbl_Finance[Job Number],C94&amp;""))</f>
        <v/>
      </c>
      <c r="I94" s="27">
        <f>IF(C94="","",SUMIFS(tbl_Finance[Ex GST],tbl_Finance[Job Number],C94&amp;"",tbl_Finance[Xero Invoice No],"&lt;&gt;"))</f>
        <v/>
      </c>
      <c r="J94" s="27">
        <f>IF(C94="","",H94-I94)</f>
        <v/>
      </c>
      <c r="K94" s="25">
        <f>IF(C94="","",IF(G94=0,"not invoiced yet",SUBSTITUTE(TRIM(IF(COUNTIFS(tbl_Finance[Job Number],C94&amp;"",tbl_Finance[Cost Centre],"ONSITE")&gt;0,"ONSITE ","")&amp;IF(COUNTIFS(tbl_Finance[Job Number],C94&amp;"",tbl_Finance[Cost Centre],"PRODUCTION")&gt;0,"PRODUCTION ","")&amp;IF(COUNTIFS(tbl_Finance[Job Number],C94&amp;"",tbl_Finance[Cost Centre],"VIDEO")&gt;0,"VIDEO ","")&amp;IF(COUNTIFS(tbl_Finance[Job Number],C94&amp;"",tbl_Finance[Cost Centre],"INTEGRATION")&gt;0,"INTEGRATION ","")&amp;IF(COUNTIFS(tbl_Finance[Job Number],C94&amp;"",tbl_Finance[Cost Centre],"CONSULTING")&gt;0,"CONSULTING ","")&amp;IF(COUNTIFS(tbl_Finance[Job Number],C94&amp;"",tbl_Finance[Cost Centre],"CTS")&gt;0,"CTS ",""))," ",", ")))</f>
        <v/>
      </c>
      <c r="L94" s="27">
        <f>IF(C94="","",SUMIFS(tbl_Finance[Inc GST],tbl_Finance[Job Number],C94&amp;""))</f>
        <v/>
      </c>
      <c r="M94" s="24" t="n"/>
      <c r="N94" s="25">
        <f>IF(C94="","",IFERROR(INDEX(tbl_Finance[Description],MATCH(C94&amp;"",tbl_Finance[Job Number],0)),""))</f>
        <v/>
      </c>
      <c r="O94" s="24" t="n"/>
      <c r="P94" s="24" t="n"/>
      <c r="Q94" s="22" t="n"/>
      <c r="R94" s="24" t="n"/>
      <c r="S94" s="25">
        <f>IF(R94="","",IF(AND(LEFT(R94,4)&lt;&gt;"http",set_RMSBase=""),"",HYPERLINK(IF(LEFT(R94,4)="http",R94,set_RMSBase&amp;R94),"Open opportunity")))</f>
        <v/>
      </c>
      <c r="T94" s="24" t="n"/>
      <c r="U94" s="25">
        <f>IF(T94="","",HYPERLINK(IF(LEFT(T94,4)="http",T94,set_QwilrBase&amp;T94),"Open quote"))</f>
        <v/>
      </c>
      <c r="V94" s="25">
        <f>IF(C94="","",C94)</f>
        <v/>
      </c>
      <c r="W94" s="24" t="n"/>
      <c r="X94" s="26" t="n"/>
      <c r="Y94" s="27">
        <f>IF(C94="","",H94+N(X94))</f>
        <v/>
      </c>
      <c r="Z94" s="29">
        <f>IFERROR(X94/Y94,"")</f>
        <v/>
      </c>
      <c r="AA94" s="26" t="n"/>
      <c r="AB94" s="26" t="n"/>
      <c r="AC94" s="26" t="n"/>
      <c r="AD94" s="26" t="n"/>
      <c r="AE94" s="27">
        <f>IF(C94="","",SUMIFS(tbl_Finance[Ex GST],tbl_Finance[Job Number],C94&amp;"",tbl_Finance[Cost Centre],"VIDEO"))</f>
        <v/>
      </c>
      <c r="AF94" s="29">
        <f>IFERROR(AE94/H94,"")</f>
        <v/>
      </c>
      <c r="AG94" s="27">
        <f>IF(C94="","",N(AA94)+N(AB94)+N(AC94)+N(AD94))</f>
        <v/>
      </c>
      <c r="AH94" s="27">
        <f>IF(C94="","",H94-AG94)</f>
        <v/>
      </c>
      <c r="AI94" s="29">
        <f>IFERROR(AH94/H94,"")</f>
        <v/>
      </c>
      <c r="AJ94" s="69" t="n"/>
      <c r="AK94" s="69" t="n"/>
      <c r="AL94" s="69" t="n"/>
      <c r="AM94" s="69" t="n"/>
      <c r="AN94" s="69" t="n"/>
      <c r="AO94" s="24" t="n"/>
    </row>
    <row r="95" ht="15" customHeight="1">
      <c r="A95" s="68">
        <f>IF(C95="","",IFERROR(IF(SUMPRODUCT(MAX((tbl_Finance[Job Number]=C95&amp;"")*(tbl_Finance[Xero Invoice No]&lt;&gt;"")*tbl_Finance[Date]))=0,"",SUMPRODUCT(MAX((tbl_Finance[Job Number]=C95&amp;"")*(tbl_Finance[Xero Invoice No]&lt;&gt;"")*tbl_Finance[Date]))),""))</f>
        <v/>
      </c>
      <c r="B95" s="25">
        <f>IF(C95="","",IF(COUNTIFS(tbl_Finance[Job Number],C95&amp;"",tbl_Finance[Xero Invoice No],"&lt;&gt;")=0,"",IFERROR(IF(COUNTIFS(tbl_Finance[Job Number],C95&amp;"",tbl_Finance[Xero Invoice No],LOOKUP(2,1/((tbl_Finance[Job Number]=C95&amp;"")*(tbl_Finance[Xero Invoice No]&lt;&gt;"")),tbl_Finance[Xero Invoice No]))=COUNTIFS(tbl_Finance[Job Number],C95&amp;"",tbl_Finance[Xero Invoice No],"&lt;&gt;"),LOOKUP(2,1/((tbl_Finance[Job Number]=C95&amp;"")*(tbl_Finance[Xero Invoice No]&lt;&gt;"")),tbl_Finance[Xero Invoice No]),LOOKUP(2,1/((tbl_Finance[Job Number]=C95&amp;"")*(tbl_Finance[Xero Invoice No]&lt;&gt;"")),tbl_Finance[Xero Invoice No])&amp;" +more"),"")))</f>
        <v/>
      </c>
      <c r="C95" s="24" t="n"/>
      <c r="D95" s="25">
        <f>IF(C95="","",IF(COUNTIF(lst_Jobs,C95&amp;"")&gt;0,"OK","CHECK"))</f>
        <v/>
      </c>
      <c r="E95" s="25">
        <f>IF(C95="","",IFERROR(INDEX(lst_JobName,MATCH(C95&amp;"",lst_Jobs,0)),""))</f>
        <v/>
      </c>
      <c r="F95" s="25">
        <f>IF(C95="","",IFERROR(INDEX(tbl_Finance[Client],MATCH(C95&amp;"",tbl_Finance[Job Number],0)),""))</f>
        <v/>
      </c>
      <c r="G95" s="28">
        <f>IF(C95="","",COUNTIFS(tbl_Finance[Job Number],C95&amp;"",tbl_Finance[Ex GST],"&lt;&gt;"))</f>
        <v/>
      </c>
      <c r="H95" s="27">
        <f>IF(C95="","",SUMIFS(tbl_Finance[Ex GST],tbl_Finance[Job Number],C95&amp;""))</f>
        <v/>
      </c>
      <c r="I95" s="27">
        <f>IF(C95="","",SUMIFS(tbl_Finance[Ex GST],tbl_Finance[Job Number],C95&amp;"",tbl_Finance[Xero Invoice No],"&lt;&gt;"))</f>
        <v/>
      </c>
      <c r="J95" s="27">
        <f>IF(C95="","",H95-I95)</f>
        <v/>
      </c>
      <c r="K95" s="25">
        <f>IF(C95="","",IF(G95=0,"not invoiced yet",SUBSTITUTE(TRIM(IF(COUNTIFS(tbl_Finance[Job Number],C95&amp;"",tbl_Finance[Cost Centre],"ONSITE")&gt;0,"ONSITE ","")&amp;IF(COUNTIFS(tbl_Finance[Job Number],C95&amp;"",tbl_Finance[Cost Centre],"PRODUCTION")&gt;0,"PRODUCTION ","")&amp;IF(COUNTIFS(tbl_Finance[Job Number],C95&amp;"",tbl_Finance[Cost Centre],"VIDEO")&gt;0,"VIDEO ","")&amp;IF(COUNTIFS(tbl_Finance[Job Number],C95&amp;"",tbl_Finance[Cost Centre],"INTEGRATION")&gt;0,"INTEGRATION ","")&amp;IF(COUNTIFS(tbl_Finance[Job Number],C95&amp;"",tbl_Finance[Cost Centre],"CONSULTING")&gt;0,"CONSULTING ","")&amp;IF(COUNTIFS(tbl_Finance[Job Number],C95&amp;"",tbl_Finance[Cost Centre],"CTS")&gt;0,"CTS ",""))," ",", ")))</f>
        <v/>
      </c>
      <c r="L95" s="27">
        <f>IF(C95="","",SUMIFS(tbl_Finance[Inc GST],tbl_Finance[Job Number],C95&amp;""))</f>
        <v/>
      </c>
      <c r="M95" s="24" t="n"/>
      <c r="N95" s="25">
        <f>IF(C95="","",IFERROR(INDEX(tbl_Finance[Description],MATCH(C95&amp;"",tbl_Finance[Job Number],0)),""))</f>
        <v/>
      </c>
      <c r="O95" s="24" t="n"/>
      <c r="P95" s="24" t="n"/>
      <c r="Q95" s="22" t="n"/>
      <c r="R95" s="24" t="n"/>
      <c r="S95" s="25">
        <f>IF(R95="","",IF(AND(LEFT(R95,4)&lt;&gt;"http",set_RMSBase=""),"",HYPERLINK(IF(LEFT(R95,4)="http",R95,set_RMSBase&amp;R95),"Open opportunity")))</f>
        <v/>
      </c>
      <c r="T95" s="24" t="n"/>
      <c r="U95" s="25">
        <f>IF(T95="","",HYPERLINK(IF(LEFT(T95,4)="http",T95,set_QwilrBase&amp;T95),"Open quote"))</f>
        <v/>
      </c>
      <c r="V95" s="25">
        <f>IF(C95="","",C95)</f>
        <v/>
      </c>
      <c r="W95" s="24" t="n"/>
      <c r="X95" s="26" t="n"/>
      <c r="Y95" s="27">
        <f>IF(C95="","",H95+N(X95))</f>
        <v/>
      </c>
      <c r="Z95" s="29">
        <f>IFERROR(X95/Y95,"")</f>
        <v/>
      </c>
      <c r="AA95" s="26" t="n"/>
      <c r="AB95" s="26" t="n"/>
      <c r="AC95" s="26" t="n"/>
      <c r="AD95" s="26" t="n"/>
      <c r="AE95" s="27">
        <f>IF(C95="","",SUMIFS(tbl_Finance[Ex GST],tbl_Finance[Job Number],C95&amp;"",tbl_Finance[Cost Centre],"VIDEO"))</f>
        <v/>
      </c>
      <c r="AF95" s="29">
        <f>IFERROR(AE95/H95,"")</f>
        <v/>
      </c>
      <c r="AG95" s="27">
        <f>IF(C95="","",N(AA95)+N(AB95)+N(AC95)+N(AD95))</f>
        <v/>
      </c>
      <c r="AH95" s="27">
        <f>IF(C95="","",H95-AG95)</f>
        <v/>
      </c>
      <c r="AI95" s="29">
        <f>IFERROR(AH95/H95,"")</f>
        <v/>
      </c>
      <c r="AJ95" s="69" t="n"/>
      <c r="AK95" s="69" t="n"/>
      <c r="AL95" s="69" t="n"/>
      <c r="AM95" s="69" t="n"/>
      <c r="AN95" s="69" t="n"/>
      <c r="AO95" s="24" t="n"/>
    </row>
    <row r="96" ht="15" customHeight="1">
      <c r="A96" s="68">
        <f>IF(C96="","",IFERROR(IF(SUMPRODUCT(MAX((tbl_Finance[Job Number]=C96&amp;"")*(tbl_Finance[Xero Invoice No]&lt;&gt;"")*tbl_Finance[Date]))=0,"",SUMPRODUCT(MAX((tbl_Finance[Job Number]=C96&amp;"")*(tbl_Finance[Xero Invoice No]&lt;&gt;"")*tbl_Finance[Date]))),""))</f>
        <v/>
      </c>
      <c r="B96" s="25">
        <f>IF(C96="","",IF(COUNTIFS(tbl_Finance[Job Number],C96&amp;"",tbl_Finance[Xero Invoice No],"&lt;&gt;")=0,"",IFERROR(IF(COUNTIFS(tbl_Finance[Job Number],C96&amp;"",tbl_Finance[Xero Invoice No],LOOKUP(2,1/((tbl_Finance[Job Number]=C96&amp;"")*(tbl_Finance[Xero Invoice No]&lt;&gt;"")),tbl_Finance[Xero Invoice No]))=COUNTIFS(tbl_Finance[Job Number],C96&amp;"",tbl_Finance[Xero Invoice No],"&lt;&gt;"),LOOKUP(2,1/((tbl_Finance[Job Number]=C96&amp;"")*(tbl_Finance[Xero Invoice No]&lt;&gt;"")),tbl_Finance[Xero Invoice No]),LOOKUP(2,1/((tbl_Finance[Job Number]=C96&amp;"")*(tbl_Finance[Xero Invoice No]&lt;&gt;"")),tbl_Finance[Xero Invoice No])&amp;" +more"),"")))</f>
        <v/>
      </c>
      <c r="C96" s="24" t="n"/>
      <c r="D96" s="25">
        <f>IF(C96="","",IF(COUNTIF(lst_Jobs,C96&amp;"")&gt;0,"OK","CHECK"))</f>
        <v/>
      </c>
      <c r="E96" s="25">
        <f>IF(C96="","",IFERROR(INDEX(lst_JobName,MATCH(C96&amp;"",lst_Jobs,0)),""))</f>
        <v/>
      </c>
      <c r="F96" s="25">
        <f>IF(C96="","",IFERROR(INDEX(tbl_Finance[Client],MATCH(C96&amp;"",tbl_Finance[Job Number],0)),""))</f>
        <v/>
      </c>
      <c r="G96" s="28">
        <f>IF(C96="","",COUNTIFS(tbl_Finance[Job Number],C96&amp;"",tbl_Finance[Ex GST],"&lt;&gt;"))</f>
        <v/>
      </c>
      <c r="H96" s="27">
        <f>IF(C96="","",SUMIFS(tbl_Finance[Ex GST],tbl_Finance[Job Number],C96&amp;""))</f>
        <v/>
      </c>
      <c r="I96" s="27">
        <f>IF(C96="","",SUMIFS(tbl_Finance[Ex GST],tbl_Finance[Job Number],C96&amp;"",tbl_Finance[Xero Invoice No],"&lt;&gt;"))</f>
        <v/>
      </c>
      <c r="J96" s="27">
        <f>IF(C96="","",H96-I96)</f>
        <v/>
      </c>
      <c r="K96" s="25">
        <f>IF(C96="","",IF(G96=0,"not invoiced yet",SUBSTITUTE(TRIM(IF(COUNTIFS(tbl_Finance[Job Number],C96&amp;"",tbl_Finance[Cost Centre],"ONSITE")&gt;0,"ONSITE ","")&amp;IF(COUNTIFS(tbl_Finance[Job Number],C96&amp;"",tbl_Finance[Cost Centre],"PRODUCTION")&gt;0,"PRODUCTION ","")&amp;IF(COUNTIFS(tbl_Finance[Job Number],C96&amp;"",tbl_Finance[Cost Centre],"VIDEO")&gt;0,"VIDEO ","")&amp;IF(COUNTIFS(tbl_Finance[Job Number],C96&amp;"",tbl_Finance[Cost Centre],"INTEGRATION")&gt;0,"INTEGRATION ","")&amp;IF(COUNTIFS(tbl_Finance[Job Number],C96&amp;"",tbl_Finance[Cost Centre],"CONSULTING")&gt;0,"CONSULTING ","")&amp;IF(COUNTIFS(tbl_Finance[Job Number],C96&amp;"",tbl_Finance[Cost Centre],"CTS")&gt;0,"CTS ",""))," ",", ")))</f>
        <v/>
      </c>
      <c r="L96" s="27">
        <f>IF(C96="","",SUMIFS(tbl_Finance[Inc GST],tbl_Finance[Job Number],C96&amp;""))</f>
        <v/>
      </c>
      <c r="M96" s="24" t="n"/>
      <c r="N96" s="25">
        <f>IF(C96="","",IFERROR(INDEX(tbl_Finance[Description],MATCH(C96&amp;"",tbl_Finance[Job Number],0)),""))</f>
        <v/>
      </c>
      <c r="O96" s="24" t="n"/>
      <c r="P96" s="24" t="n"/>
      <c r="Q96" s="22" t="n"/>
      <c r="R96" s="24" t="n"/>
      <c r="S96" s="25">
        <f>IF(R96="","",IF(AND(LEFT(R96,4)&lt;&gt;"http",set_RMSBase=""),"",HYPERLINK(IF(LEFT(R96,4)="http",R96,set_RMSBase&amp;R96),"Open opportunity")))</f>
        <v/>
      </c>
      <c r="T96" s="24" t="n"/>
      <c r="U96" s="25">
        <f>IF(T96="","",HYPERLINK(IF(LEFT(T96,4)="http",T96,set_QwilrBase&amp;T96),"Open quote"))</f>
        <v/>
      </c>
      <c r="V96" s="25">
        <f>IF(C96="","",C96)</f>
        <v/>
      </c>
      <c r="W96" s="24" t="n"/>
      <c r="X96" s="26" t="n"/>
      <c r="Y96" s="27">
        <f>IF(C96="","",H96+N(X96))</f>
        <v/>
      </c>
      <c r="Z96" s="29">
        <f>IFERROR(X96/Y96,"")</f>
        <v/>
      </c>
      <c r="AA96" s="26" t="n"/>
      <c r="AB96" s="26" t="n"/>
      <c r="AC96" s="26" t="n"/>
      <c r="AD96" s="26" t="n"/>
      <c r="AE96" s="27">
        <f>IF(C96="","",SUMIFS(tbl_Finance[Ex GST],tbl_Finance[Job Number],C96&amp;"",tbl_Finance[Cost Centre],"VIDEO"))</f>
        <v/>
      </c>
      <c r="AF96" s="29">
        <f>IFERROR(AE96/H96,"")</f>
        <v/>
      </c>
      <c r="AG96" s="27">
        <f>IF(C96="","",N(AA96)+N(AB96)+N(AC96)+N(AD96))</f>
        <v/>
      </c>
      <c r="AH96" s="27">
        <f>IF(C96="","",H96-AG96)</f>
        <v/>
      </c>
      <c r="AI96" s="29">
        <f>IFERROR(AH96/H96,"")</f>
        <v/>
      </c>
      <c r="AJ96" s="69" t="n"/>
      <c r="AK96" s="69" t="n"/>
      <c r="AL96" s="69" t="n"/>
      <c r="AM96" s="69" t="n"/>
      <c r="AN96" s="69" t="n"/>
      <c r="AO96" s="24" t="n"/>
    </row>
    <row r="97" ht="15" customHeight="1">
      <c r="A97" s="68">
        <f>IF(C97="","",IFERROR(IF(SUMPRODUCT(MAX((tbl_Finance[Job Number]=C97&amp;"")*(tbl_Finance[Xero Invoice No]&lt;&gt;"")*tbl_Finance[Date]))=0,"",SUMPRODUCT(MAX((tbl_Finance[Job Number]=C97&amp;"")*(tbl_Finance[Xero Invoice No]&lt;&gt;"")*tbl_Finance[Date]))),""))</f>
        <v/>
      </c>
      <c r="B97" s="25">
        <f>IF(C97="","",IF(COUNTIFS(tbl_Finance[Job Number],C97&amp;"",tbl_Finance[Xero Invoice No],"&lt;&gt;")=0,"",IFERROR(IF(COUNTIFS(tbl_Finance[Job Number],C97&amp;"",tbl_Finance[Xero Invoice No],LOOKUP(2,1/((tbl_Finance[Job Number]=C97&amp;"")*(tbl_Finance[Xero Invoice No]&lt;&gt;"")),tbl_Finance[Xero Invoice No]))=COUNTIFS(tbl_Finance[Job Number],C97&amp;"",tbl_Finance[Xero Invoice No],"&lt;&gt;"),LOOKUP(2,1/((tbl_Finance[Job Number]=C97&amp;"")*(tbl_Finance[Xero Invoice No]&lt;&gt;"")),tbl_Finance[Xero Invoice No]),LOOKUP(2,1/((tbl_Finance[Job Number]=C97&amp;"")*(tbl_Finance[Xero Invoice No]&lt;&gt;"")),tbl_Finance[Xero Invoice No])&amp;" +more"),"")))</f>
        <v/>
      </c>
      <c r="C97" s="24" t="n"/>
      <c r="D97" s="25">
        <f>IF(C97="","",IF(COUNTIF(lst_Jobs,C97&amp;"")&gt;0,"OK","CHECK"))</f>
        <v/>
      </c>
      <c r="E97" s="25">
        <f>IF(C97="","",IFERROR(INDEX(lst_JobName,MATCH(C97&amp;"",lst_Jobs,0)),""))</f>
        <v/>
      </c>
      <c r="F97" s="25">
        <f>IF(C97="","",IFERROR(INDEX(tbl_Finance[Client],MATCH(C97&amp;"",tbl_Finance[Job Number],0)),""))</f>
        <v/>
      </c>
      <c r="G97" s="28">
        <f>IF(C97="","",COUNTIFS(tbl_Finance[Job Number],C97&amp;"",tbl_Finance[Ex GST],"&lt;&gt;"))</f>
        <v/>
      </c>
      <c r="H97" s="27">
        <f>IF(C97="","",SUMIFS(tbl_Finance[Ex GST],tbl_Finance[Job Number],C97&amp;""))</f>
        <v/>
      </c>
      <c r="I97" s="27">
        <f>IF(C97="","",SUMIFS(tbl_Finance[Ex GST],tbl_Finance[Job Number],C97&amp;"",tbl_Finance[Xero Invoice No],"&lt;&gt;"))</f>
        <v/>
      </c>
      <c r="J97" s="27">
        <f>IF(C97="","",H97-I97)</f>
        <v/>
      </c>
      <c r="K97" s="25">
        <f>IF(C97="","",IF(G97=0,"not invoiced yet",SUBSTITUTE(TRIM(IF(COUNTIFS(tbl_Finance[Job Number],C97&amp;"",tbl_Finance[Cost Centre],"ONSITE")&gt;0,"ONSITE ","")&amp;IF(COUNTIFS(tbl_Finance[Job Number],C97&amp;"",tbl_Finance[Cost Centre],"PRODUCTION")&gt;0,"PRODUCTION ","")&amp;IF(COUNTIFS(tbl_Finance[Job Number],C97&amp;"",tbl_Finance[Cost Centre],"VIDEO")&gt;0,"VIDEO ","")&amp;IF(COUNTIFS(tbl_Finance[Job Number],C97&amp;"",tbl_Finance[Cost Centre],"INTEGRATION")&gt;0,"INTEGRATION ","")&amp;IF(COUNTIFS(tbl_Finance[Job Number],C97&amp;"",tbl_Finance[Cost Centre],"CONSULTING")&gt;0,"CONSULTING ","")&amp;IF(COUNTIFS(tbl_Finance[Job Number],C97&amp;"",tbl_Finance[Cost Centre],"CTS")&gt;0,"CTS ",""))," ",", ")))</f>
        <v/>
      </c>
      <c r="L97" s="27">
        <f>IF(C97="","",SUMIFS(tbl_Finance[Inc GST],tbl_Finance[Job Number],C97&amp;""))</f>
        <v/>
      </c>
      <c r="M97" s="24" t="n"/>
      <c r="N97" s="25">
        <f>IF(C97="","",IFERROR(INDEX(tbl_Finance[Description],MATCH(C97&amp;"",tbl_Finance[Job Number],0)),""))</f>
        <v/>
      </c>
      <c r="O97" s="24" t="n"/>
      <c r="P97" s="24" t="n"/>
      <c r="Q97" s="22" t="n"/>
      <c r="R97" s="24" t="n"/>
      <c r="S97" s="25">
        <f>IF(R97="","",IF(AND(LEFT(R97,4)&lt;&gt;"http",set_RMSBase=""),"",HYPERLINK(IF(LEFT(R97,4)="http",R97,set_RMSBase&amp;R97),"Open opportunity")))</f>
        <v/>
      </c>
      <c r="T97" s="24" t="n"/>
      <c r="U97" s="25">
        <f>IF(T97="","",HYPERLINK(IF(LEFT(T97,4)="http",T97,set_QwilrBase&amp;T97),"Open quote"))</f>
        <v/>
      </c>
      <c r="V97" s="25">
        <f>IF(C97="","",C97)</f>
        <v/>
      </c>
      <c r="W97" s="24" t="n"/>
      <c r="X97" s="26" t="n"/>
      <c r="Y97" s="27">
        <f>IF(C97="","",H97+N(X97))</f>
        <v/>
      </c>
      <c r="Z97" s="29">
        <f>IFERROR(X97/Y97,"")</f>
        <v/>
      </c>
      <c r="AA97" s="26" t="n"/>
      <c r="AB97" s="26" t="n"/>
      <c r="AC97" s="26" t="n"/>
      <c r="AD97" s="26" t="n"/>
      <c r="AE97" s="27">
        <f>IF(C97="","",SUMIFS(tbl_Finance[Ex GST],tbl_Finance[Job Number],C97&amp;"",tbl_Finance[Cost Centre],"VIDEO"))</f>
        <v/>
      </c>
      <c r="AF97" s="29">
        <f>IFERROR(AE97/H97,"")</f>
        <v/>
      </c>
      <c r="AG97" s="27">
        <f>IF(C97="","",N(AA97)+N(AB97)+N(AC97)+N(AD97))</f>
        <v/>
      </c>
      <c r="AH97" s="27">
        <f>IF(C97="","",H97-AG97)</f>
        <v/>
      </c>
      <c r="AI97" s="29">
        <f>IFERROR(AH97/H97,"")</f>
        <v/>
      </c>
      <c r="AJ97" s="69" t="n"/>
      <c r="AK97" s="69" t="n"/>
      <c r="AL97" s="69" t="n"/>
      <c r="AM97" s="69" t="n"/>
      <c r="AN97" s="69" t="n"/>
      <c r="AO97" s="24" t="n"/>
    </row>
    <row r="98" ht="15" customHeight="1">
      <c r="A98" s="68">
        <f>IF(C98="","",IFERROR(IF(SUMPRODUCT(MAX((tbl_Finance[Job Number]=C98&amp;"")*(tbl_Finance[Xero Invoice No]&lt;&gt;"")*tbl_Finance[Date]))=0,"",SUMPRODUCT(MAX((tbl_Finance[Job Number]=C98&amp;"")*(tbl_Finance[Xero Invoice No]&lt;&gt;"")*tbl_Finance[Date]))),""))</f>
        <v/>
      </c>
      <c r="B98" s="25">
        <f>IF(C98="","",IF(COUNTIFS(tbl_Finance[Job Number],C98&amp;"",tbl_Finance[Xero Invoice No],"&lt;&gt;")=0,"",IFERROR(IF(COUNTIFS(tbl_Finance[Job Number],C98&amp;"",tbl_Finance[Xero Invoice No],LOOKUP(2,1/((tbl_Finance[Job Number]=C98&amp;"")*(tbl_Finance[Xero Invoice No]&lt;&gt;"")),tbl_Finance[Xero Invoice No]))=COUNTIFS(tbl_Finance[Job Number],C98&amp;"",tbl_Finance[Xero Invoice No],"&lt;&gt;"),LOOKUP(2,1/((tbl_Finance[Job Number]=C98&amp;"")*(tbl_Finance[Xero Invoice No]&lt;&gt;"")),tbl_Finance[Xero Invoice No]),LOOKUP(2,1/((tbl_Finance[Job Number]=C98&amp;"")*(tbl_Finance[Xero Invoice No]&lt;&gt;"")),tbl_Finance[Xero Invoice No])&amp;" +more"),"")))</f>
        <v/>
      </c>
      <c r="C98" s="24" t="n"/>
      <c r="D98" s="25">
        <f>IF(C98="","",IF(COUNTIF(lst_Jobs,C98&amp;"")&gt;0,"OK","CHECK"))</f>
        <v/>
      </c>
      <c r="E98" s="25">
        <f>IF(C98="","",IFERROR(INDEX(lst_JobName,MATCH(C98&amp;"",lst_Jobs,0)),""))</f>
        <v/>
      </c>
      <c r="F98" s="25">
        <f>IF(C98="","",IFERROR(INDEX(tbl_Finance[Client],MATCH(C98&amp;"",tbl_Finance[Job Number],0)),""))</f>
        <v/>
      </c>
      <c r="G98" s="28">
        <f>IF(C98="","",COUNTIFS(tbl_Finance[Job Number],C98&amp;"",tbl_Finance[Ex GST],"&lt;&gt;"))</f>
        <v/>
      </c>
      <c r="H98" s="27">
        <f>IF(C98="","",SUMIFS(tbl_Finance[Ex GST],tbl_Finance[Job Number],C98&amp;""))</f>
        <v/>
      </c>
      <c r="I98" s="27">
        <f>IF(C98="","",SUMIFS(tbl_Finance[Ex GST],tbl_Finance[Job Number],C98&amp;"",tbl_Finance[Xero Invoice No],"&lt;&gt;"))</f>
        <v/>
      </c>
      <c r="J98" s="27">
        <f>IF(C98="","",H98-I98)</f>
        <v/>
      </c>
      <c r="K98" s="25">
        <f>IF(C98="","",IF(G98=0,"not invoiced yet",SUBSTITUTE(TRIM(IF(COUNTIFS(tbl_Finance[Job Number],C98&amp;"",tbl_Finance[Cost Centre],"ONSITE")&gt;0,"ONSITE ","")&amp;IF(COUNTIFS(tbl_Finance[Job Number],C98&amp;"",tbl_Finance[Cost Centre],"PRODUCTION")&gt;0,"PRODUCTION ","")&amp;IF(COUNTIFS(tbl_Finance[Job Number],C98&amp;"",tbl_Finance[Cost Centre],"VIDEO")&gt;0,"VIDEO ","")&amp;IF(COUNTIFS(tbl_Finance[Job Number],C98&amp;"",tbl_Finance[Cost Centre],"INTEGRATION")&gt;0,"INTEGRATION ","")&amp;IF(COUNTIFS(tbl_Finance[Job Number],C98&amp;"",tbl_Finance[Cost Centre],"CONSULTING")&gt;0,"CONSULTING ","")&amp;IF(COUNTIFS(tbl_Finance[Job Number],C98&amp;"",tbl_Finance[Cost Centre],"CTS")&gt;0,"CTS ",""))," ",", ")))</f>
        <v/>
      </c>
      <c r="L98" s="27">
        <f>IF(C98="","",SUMIFS(tbl_Finance[Inc GST],tbl_Finance[Job Number],C98&amp;""))</f>
        <v/>
      </c>
      <c r="M98" s="24" t="n"/>
      <c r="N98" s="25">
        <f>IF(C98="","",IFERROR(INDEX(tbl_Finance[Description],MATCH(C98&amp;"",tbl_Finance[Job Number],0)),""))</f>
        <v/>
      </c>
      <c r="O98" s="24" t="n"/>
      <c r="P98" s="24" t="n"/>
      <c r="Q98" s="22" t="n"/>
      <c r="R98" s="24" t="n"/>
      <c r="S98" s="25">
        <f>IF(R98="","",IF(AND(LEFT(R98,4)&lt;&gt;"http",set_RMSBase=""),"",HYPERLINK(IF(LEFT(R98,4)="http",R98,set_RMSBase&amp;R98),"Open opportunity")))</f>
        <v/>
      </c>
      <c r="T98" s="24" t="n"/>
      <c r="U98" s="25">
        <f>IF(T98="","",HYPERLINK(IF(LEFT(T98,4)="http",T98,set_QwilrBase&amp;T98),"Open quote"))</f>
        <v/>
      </c>
      <c r="V98" s="25">
        <f>IF(C98="","",C98)</f>
        <v/>
      </c>
      <c r="W98" s="24" t="n"/>
      <c r="X98" s="26" t="n"/>
      <c r="Y98" s="27">
        <f>IF(C98="","",H98+N(X98))</f>
        <v/>
      </c>
      <c r="Z98" s="29">
        <f>IFERROR(X98/Y98,"")</f>
        <v/>
      </c>
      <c r="AA98" s="26" t="n"/>
      <c r="AB98" s="26" t="n"/>
      <c r="AC98" s="26" t="n"/>
      <c r="AD98" s="26" t="n"/>
      <c r="AE98" s="27">
        <f>IF(C98="","",SUMIFS(tbl_Finance[Ex GST],tbl_Finance[Job Number],C98&amp;"",tbl_Finance[Cost Centre],"VIDEO"))</f>
        <v/>
      </c>
      <c r="AF98" s="29">
        <f>IFERROR(AE98/H98,"")</f>
        <v/>
      </c>
      <c r="AG98" s="27">
        <f>IF(C98="","",N(AA98)+N(AB98)+N(AC98)+N(AD98))</f>
        <v/>
      </c>
      <c r="AH98" s="27">
        <f>IF(C98="","",H98-AG98)</f>
        <v/>
      </c>
      <c r="AI98" s="29">
        <f>IFERROR(AH98/H98,"")</f>
        <v/>
      </c>
      <c r="AJ98" s="69" t="n"/>
      <c r="AK98" s="69" t="n"/>
      <c r="AL98" s="69" t="n"/>
      <c r="AM98" s="69" t="n"/>
      <c r="AN98" s="69" t="n"/>
      <c r="AO98" s="24" t="n"/>
    </row>
    <row r="99" ht="15" customHeight="1">
      <c r="A99" s="68">
        <f>IF(C99="","",IFERROR(IF(SUMPRODUCT(MAX((tbl_Finance[Job Number]=C99&amp;"")*(tbl_Finance[Xero Invoice No]&lt;&gt;"")*tbl_Finance[Date]))=0,"",SUMPRODUCT(MAX((tbl_Finance[Job Number]=C99&amp;"")*(tbl_Finance[Xero Invoice No]&lt;&gt;"")*tbl_Finance[Date]))),""))</f>
        <v/>
      </c>
      <c r="B99" s="25">
        <f>IF(C99="","",IF(COUNTIFS(tbl_Finance[Job Number],C99&amp;"",tbl_Finance[Xero Invoice No],"&lt;&gt;")=0,"",IFERROR(IF(COUNTIFS(tbl_Finance[Job Number],C99&amp;"",tbl_Finance[Xero Invoice No],LOOKUP(2,1/((tbl_Finance[Job Number]=C99&amp;"")*(tbl_Finance[Xero Invoice No]&lt;&gt;"")),tbl_Finance[Xero Invoice No]))=COUNTIFS(tbl_Finance[Job Number],C99&amp;"",tbl_Finance[Xero Invoice No],"&lt;&gt;"),LOOKUP(2,1/((tbl_Finance[Job Number]=C99&amp;"")*(tbl_Finance[Xero Invoice No]&lt;&gt;"")),tbl_Finance[Xero Invoice No]),LOOKUP(2,1/((tbl_Finance[Job Number]=C99&amp;"")*(tbl_Finance[Xero Invoice No]&lt;&gt;"")),tbl_Finance[Xero Invoice No])&amp;" +more"),"")))</f>
        <v/>
      </c>
      <c r="C99" s="24" t="n"/>
      <c r="D99" s="25">
        <f>IF(C99="","",IF(COUNTIF(lst_Jobs,C99&amp;"")&gt;0,"OK","CHECK"))</f>
        <v/>
      </c>
      <c r="E99" s="25">
        <f>IF(C99="","",IFERROR(INDEX(lst_JobName,MATCH(C99&amp;"",lst_Jobs,0)),""))</f>
        <v/>
      </c>
      <c r="F99" s="25">
        <f>IF(C99="","",IFERROR(INDEX(tbl_Finance[Client],MATCH(C99&amp;"",tbl_Finance[Job Number],0)),""))</f>
        <v/>
      </c>
      <c r="G99" s="28">
        <f>IF(C99="","",COUNTIFS(tbl_Finance[Job Number],C99&amp;"",tbl_Finance[Ex GST],"&lt;&gt;"))</f>
        <v/>
      </c>
      <c r="H99" s="27">
        <f>IF(C99="","",SUMIFS(tbl_Finance[Ex GST],tbl_Finance[Job Number],C99&amp;""))</f>
        <v/>
      </c>
      <c r="I99" s="27">
        <f>IF(C99="","",SUMIFS(tbl_Finance[Ex GST],tbl_Finance[Job Number],C99&amp;"",tbl_Finance[Xero Invoice No],"&lt;&gt;"))</f>
        <v/>
      </c>
      <c r="J99" s="27">
        <f>IF(C99="","",H99-I99)</f>
        <v/>
      </c>
      <c r="K99" s="25">
        <f>IF(C99="","",IF(G99=0,"not invoiced yet",SUBSTITUTE(TRIM(IF(COUNTIFS(tbl_Finance[Job Number],C99&amp;"",tbl_Finance[Cost Centre],"ONSITE")&gt;0,"ONSITE ","")&amp;IF(COUNTIFS(tbl_Finance[Job Number],C99&amp;"",tbl_Finance[Cost Centre],"PRODUCTION")&gt;0,"PRODUCTION ","")&amp;IF(COUNTIFS(tbl_Finance[Job Number],C99&amp;"",tbl_Finance[Cost Centre],"VIDEO")&gt;0,"VIDEO ","")&amp;IF(COUNTIFS(tbl_Finance[Job Number],C99&amp;"",tbl_Finance[Cost Centre],"INTEGRATION")&gt;0,"INTEGRATION ","")&amp;IF(COUNTIFS(tbl_Finance[Job Number],C99&amp;"",tbl_Finance[Cost Centre],"CONSULTING")&gt;0,"CONSULTING ","")&amp;IF(COUNTIFS(tbl_Finance[Job Number],C99&amp;"",tbl_Finance[Cost Centre],"CTS")&gt;0,"CTS ",""))," ",", ")))</f>
        <v/>
      </c>
      <c r="L99" s="27">
        <f>IF(C99="","",SUMIFS(tbl_Finance[Inc GST],tbl_Finance[Job Number],C99&amp;""))</f>
        <v/>
      </c>
      <c r="M99" s="24" t="n"/>
      <c r="N99" s="25">
        <f>IF(C99="","",IFERROR(INDEX(tbl_Finance[Description],MATCH(C99&amp;"",tbl_Finance[Job Number],0)),""))</f>
        <v/>
      </c>
      <c r="O99" s="24" t="n"/>
      <c r="P99" s="24" t="n"/>
      <c r="Q99" s="22" t="n"/>
      <c r="R99" s="24" t="n"/>
      <c r="S99" s="25">
        <f>IF(R99="","",IF(AND(LEFT(R99,4)&lt;&gt;"http",set_RMSBase=""),"",HYPERLINK(IF(LEFT(R99,4)="http",R99,set_RMSBase&amp;R99),"Open opportunity")))</f>
        <v/>
      </c>
      <c r="T99" s="24" t="n"/>
      <c r="U99" s="25">
        <f>IF(T99="","",HYPERLINK(IF(LEFT(T99,4)="http",T99,set_QwilrBase&amp;T99),"Open quote"))</f>
        <v/>
      </c>
      <c r="V99" s="25">
        <f>IF(C99="","",C99)</f>
        <v/>
      </c>
      <c r="W99" s="24" t="n"/>
      <c r="X99" s="26" t="n"/>
      <c r="Y99" s="27">
        <f>IF(C99="","",H99+N(X99))</f>
        <v/>
      </c>
      <c r="Z99" s="29">
        <f>IFERROR(X99/Y99,"")</f>
        <v/>
      </c>
      <c r="AA99" s="26" t="n"/>
      <c r="AB99" s="26" t="n"/>
      <c r="AC99" s="26" t="n"/>
      <c r="AD99" s="26" t="n"/>
      <c r="AE99" s="27">
        <f>IF(C99="","",SUMIFS(tbl_Finance[Ex GST],tbl_Finance[Job Number],C99&amp;"",tbl_Finance[Cost Centre],"VIDEO"))</f>
        <v/>
      </c>
      <c r="AF99" s="29">
        <f>IFERROR(AE99/H99,"")</f>
        <v/>
      </c>
      <c r="AG99" s="27">
        <f>IF(C99="","",N(AA99)+N(AB99)+N(AC99)+N(AD99))</f>
        <v/>
      </c>
      <c r="AH99" s="27">
        <f>IF(C99="","",H99-AG99)</f>
        <v/>
      </c>
      <c r="AI99" s="29">
        <f>IFERROR(AH99/H99,"")</f>
        <v/>
      </c>
      <c r="AJ99" s="69" t="n"/>
      <c r="AK99" s="69" t="n"/>
      <c r="AL99" s="69" t="n"/>
      <c r="AM99" s="69" t="n"/>
      <c r="AN99" s="69" t="n"/>
      <c r="AO99" s="24" t="n"/>
    </row>
    <row r="100" ht="15" customHeight="1">
      <c r="A100" s="68">
        <f>IF(C100="","",IFERROR(IF(SUMPRODUCT(MAX((tbl_Finance[Job Number]=C100&amp;"")*(tbl_Finance[Xero Invoice No]&lt;&gt;"")*tbl_Finance[Date]))=0,"",SUMPRODUCT(MAX((tbl_Finance[Job Number]=C100&amp;"")*(tbl_Finance[Xero Invoice No]&lt;&gt;"")*tbl_Finance[Date]))),""))</f>
        <v/>
      </c>
      <c r="B100" s="25">
        <f>IF(C100="","",IF(COUNTIFS(tbl_Finance[Job Number],C100&amp;"",tbl_Finance[Xero Invoice No],"&lt;&gt;")=0,"",IFERROR(IF(COUNTIFS(tbl_Finance[Job Number],C100&amp;"",tbl_Finance[Xero Invoice No],LOOKUP(2,1/((tbl_Finance[Job Number]=C100&amp;"")*(tbl_Finance[Xero Invoice No]&lt;&gt;"")),tbl_Finance[Xero Invoice No]))=COUNTIFS(tbl_Finance[Job Number],C100&amp;"",tbl_Finance[Xero Invoice No],"&lt;&gt;"),LOOKUP(2,1/((tbl_Finance[Job Number]=C100&amp;"")*(tbl_Finance[Xero Invoice No]&lt;&gt;"")),tbl_Finance[Xero Invoice No]),LOOKUP(2,1/((tbl_Finance[Job Number]=C100&amp;"")*(tbl_Finance[Xero Invoice No]&lt;&gt;"")),tbl_Finance[Xero Invoice No])&amp;" +more"),"")))</f>
        <v/>
      </c>
      <c r="C100" s="24" t="n"/>
      <c r="D100" s="25">
        <f>IF(C100="","",IF(COUNTIF(lst_Jobs,C100&amp;"")&gt;0,"OK","CHECK"))</f>
        <v/>
      </c>
      <c r="E100" s="25">
        <f>IF(C100="","",IFERROR(INDEX(lst_JobName,MATCH(C100&amp;"",lst_Jobs,0)),""))</f>
        <v/>
      </c>
      <c r="F100" s="25">
        <f>IF(C100="","",IFERROR(INDEX(tbl_Finance[Client],MATCH(C100&amp;"",tbl_Finance[Job Number],0)),""))</f>
        <v/>
      </c>
      <c r="G100" s="28">
        <f>IF(C100="","",COUNTIFS(tbl_Finance[Job Number],C100&amp;"",tbl_Finance[Ex GST],"&lt;&gt;"))</f>
        <v/>
      </c>
      <c r="H100" s="27">
        <f>IF(C100="","",SUMIFS(tbl_Finance[Ex GST],tbl_Finance[Job Number],C100&amp;""))</f>
        <v/>
      </c>
      <c r="I100" s="27">
        <f>IF(C100="","",SUMIFS(tbl_Finance[Ex GST],tbl_Finance[Job Number],C100&amp;"",tbl_Finance[Xero Invoice No],"&lt;&gt;"))</f>
        <v/>
      </c>
      <c r="J100" s="27">
        <f>IF(C100="","",H100-I100)</f>
        <v/>
      </c>
      <c r="K100" s="25">
        <f>IF(C100="","",IF(G100=0,"not invoiced yet",SUBSTITUTE(TRIM(IF(COUNTIFS(tbl_Finance[Job Number],C100&amp;"",tbl_Finance[Cost Centre],"ONSITE")&gt;0,"ONSITE ","")&amp;IF(COUNTIFS(tbl_Finance[Job Number],C100&amp;"",tbl_Finance[Cost Centre],"PRODUCTION")&gt;0,"PRODUCTION ","")&amp;IF(COUNTIFS(tbl_Finance[Job Number],C100&amp;"",tbl_Finance[Cost Centre],"VIDEO")&gt;0,"VIDEO ","")&amp;IF(COUNTIFS(tbl_Finance[Job Number],C100&amp;"",tbl_Finance[Cost Centre],"INTEGRATION")&gt;0,"INTEGRATION ","")&amp;IF(COUNTIFS(tbl_Finance[Job Number],C100&amp;"",tbl_Finance[Cost Centre],"CONSULTING")&gt;0,"CONSULTING ","")&amp;IF(COUNTIFS(tbl_Finance[Job Number],C100&amp;"",tbl_Finance[Cost Centre],"CTS")&gt;0,"CTS ",""))," ",", ")))</f>
        <v/>
      </c>
      <c r="L100" s="27">
        <f>IF(C100="","",SUMIFS(tbl_Finance[Inc GST],tbl_Finance[Job Number],C100&amp;""))</f>
        <v/>
      </c>
      <c r="M100" s="24" t="n"/>
      <c r="N100" s="25">
        <f>IF(C100="","",IFERROR(INDEX(tbl_Finance[Description],MATCH(C100&amp;"",tbl_Finance[Job Number],0)),""))</f>
        <v/>
      </c>
      <c r="O100" s="24" t="n"/>
      <c r="P100" s="24" t="n"/>
      <c r="Q100" s="22" t="n"/>
      <c r="R100" s="24" t="n"/>
      <c r="S100" s="25">
        <f>IF(R100="","",IF(AND(LEFT(R100,4)&lt;&gt;"http",set_RMSBase=""),"",HYPERLINK(IF(LEFT(R100,4)="http",R100,set_RMSBase&amp;R100),"Open opportunity")))</f>
        <v/>
      </c>
      <c r="T100" s="24" t="n"/>
      <c r="U100" s="25">
        <f>IF(T100="","",HYPERLINK(IF(LEFT(T100,4)="http",T100,set_QwilrBase&amp;T100),"Open quote"))</f>
        <v/>
      </c>
      <c r="V100" s="25">
        <f>IF(C100="","",C100)</f>
        <v/>
      </c>
      <c r="W100" s="24" t="n"/>
      <c r="X100" s="26" t="n"/>
      <c r="Y100" s="27">
        <f>IF(C100="","",H100+N(X100))</f>
        <v/>
      </c>
      <c r="Z100" s="29">
        <f>IFERROR(X100/Y100,"")</f>
        <v/>
      </c>
      <c r="AA100" s="26" t="n"/>
      <c r="AB100" s="26" t="n"/>
      <c r="AC100" s="26" t="n"/>
      <c r="AD100" s="26" t="n"/>
      <c r="AE100" s="27">
        <f>IF(C100="","",SUMIFS(tbl_Finance[Ex GST],tbl_Finance[Job Number],C100&amp;"",tbl_Finance[Cost Centre],"VIDEO"))</f>
        <v/>
      </c>
      <c r="AF100" s="29">
        <f>IFERROR(AE100/H100,"")</f>
        <v/>
      </c>
      <c r="AG100" s="27">
        <f>IF(C100="","",N(AA100)+N(AB100)+N(AC100)+N(AD100))</f>
        <v/>
      </c>
      <c r="AH100" s="27">
        <f>IF(C100="","",H100-AG100)</f>
        <v/>
      </c>
      <c r="AI100" s="29">
        <f>IFERROR(AH100/H100,"")</f>
        <v/>
      </c>
      <c r="AJ100" s="69" t="n"/>
      <c r="AK100" s="69" t="n"/>
      <c r="AL100" s="69" t="n"/>
      <c r="AM100" s="69" t="n"/>
      <c r="AN100" s="69" t="n"/>
      <c r="AO100" s="24" t="n"/>
    </row>
    <row r="101" ht="15" customHeight="1">
      <c r="A101" s="68">
        <f>IF(C101="","",IFERROR(IF(SUMPRODUCT(MAX((tbl_Finance[Job Number]=C101&amp;"")*(tbl_Finance[Xero Invoice No]&lt;&gt;"")*tbl_Finance[Date]))=0,"",SUMPRODUCT(MAX((tbl_Finance[Job Number]=C101&amp;"")*(tbl_Finance[Xero Invoice No]&lt;&gt;"")*tbl_Finance[Date]))),""))</f>
        <v/>
      </c>
      <c r="B101" s="25">
        <f>IF(C101="","",IF(COUNTIFS(tbl_Finance[Job Number],C101&amp;"",tbl_Finance[Xero Invoice No],"&lt;&gt;")=0,"",IFERROR(IF(COUNTIFS(tbl_Finance[Job Number],C101&amp;"",tbl_Finance[Xero Invoice No],LOOKUP(2,1/((tbl_Finance[Job Number]=C101&amp;"")*(tbl_Finance[Xero Invoice No]&lt;&gt;"")),tbl_Finance[Xero Invoice No]))=COUNTIFS(tbl_Finance[Job Number],C101&amp;"",tbl_Finance[Xero Invoice No],"&lt;&gt;"),LOOKUP(2,1/((tbl_Finance[Job Number]=C101&amp;"")*(tbl_Finance[Xero Invoice No]&lt;&gt;"")),tbl_Finance[Xero Invoice No]),LOOKUP(2,1/((tbl_Finance[Job Number]=C101&amp;"")*(tbl_Finance[Xero Invoice No]&lt;&gt;"")),tbl_Finance[Xero Invoice No])&amp;" +more"),"")))</f>
        <v/>
      </c>
      <c r="C101" s="24" t="n"/>
      <c r="D101" s="25">
        <f>IF(C101="","",IF(COUNTIF(lst_Jobs,C101&amp;"")&gt;0,"OK","CHECK"))</f>
        <v/>
      </c>
      <c r="E101" s="25">
        <f>IF(C101="","",IFERROR(INDEX(lst_JobName,MATCH(C101&amp;"",lst_Jobs,0)),""))</f>
        <v/>
      </c>
      <c r="F101" s="25">
        <f>IF(C101="","",IFERROR(INDEX(tbl_Finance[Client],MATCH(C101&amp;"",tbl_Finance[Job Number],0)),""))</f>
        <v/>
      </c>
      <c r="G101" s="28">
        <f>IF(C101="","",COUNTIFS(tbl_Finance[Job Number],C101&amp;"",tbl_Finance[Ex GST],"&lt;&gt;"))</f>
        <v/>
      </c>
      <c r="H101" s="27">
        <f>IF(C101="","",SUMIFS(tbl_Finance[Ex GST],tbl_Finance[Job Number],C101&amp;""))</f>
        <v/>
      </c>
      <c r="I101" s="27">
        <f>IF(C101="","",SUMIFS(tbl_Finance[Ex GST],tbl_Finance[Job Number],C101&amp;"",tbl_Finance[Xero Invoice No],"&lt;&gt;"))</f>
        <v/>
      </c>
      <c r="J101" s="27">
        <f>IF(C101="","",H101-I101)</f>
        <v/>
      </c>
      <c r="K101" s="25">
        <f>IF(C101="","",IF(G101=0,"not invoiced yet",SUBSTITUTE(TRIM(IF(COUNTIFS(tbl_Finance[Job Number],C101&amp;"",tbl_Finance[Cost Centre],"ONSITE")&gt;0,"ONSITE ","")&amp;IF(COUNTIFS(tbl_Finance[Job Number],C101&amp;"",tbl_Finance[Cost Centre],"PRODUCTION")&gt;0,"PRODUCTION ","")&amp;IF(COUNTIFS(tbl_Finance[Job Number],C101&amp;"",tbl_Finance[Cost Centre],"VIDEO")&gt;0,"VIDEO ","")&amp;IF(COUNTIFS(tbl_Finance[Job Number],C101&amp;"",tbl_Finance[Cost Centre],"INTEGRATION")&gt;0,"INTEGRATION ","")&amp;IF(COUNTIFS(tbl_Finance[Job Number],C101&amp;"",tbl_Finance[Cost Centre],"CONSULTING")&gt;0,"CONSULTING ","")&amp;IF(COUNTIFS(tbl_Finance[Job Number],C101&amp;"",tbl_Finance[Cost Centre],"CTS")&gt;0,"CTS ",""))," ",", ")))</f>
        <v/>
      </c>
      <c r="L101" s="27">
        <f>IF(C101="","",SUMIFS(tbl_Finance[Inc GST],tbl_Finance[Job Number],C101&amp;""))</f>
        <v/>
      </c>
      <c r="M101" s="24" t="n"/>
      <c r="N101" s="25">
        <f>IF(C101="","",IFERROR(INDEX(tbl_Finance[Description],MATCH(C101&amp;"",tbl_Finance[Job Number],0)),""))</f>
        <v/>
      </c>
      <c r="O101" s="24" t="n"/>
      <c r="P101" s="24" t="n"/>
      <c r="Q101" s="22" t="n"/>
      <c r="R101" s="24" t="n"/>
      <c r="S101" s="25">
        <f>IF(R101="","",IF(AND(LEFT(R101,4)&lt;&gt;"http",set_RMSBase=""),"",HYPERLINK(IF(LEFT(R101,4)="http",R101,set_RMSBase&amp;R101),"Open opportunity")))</f>
        <v/>
      </c>
      <c r="T101" s="24" t="n"/>
      <c r="U101" s="25">
        <f>IF(T101="","",HYPERLINK(IF(LEFT(T101,4)="http",T101,set_QwilrBase&amp;T101),"Open quote"))</f>
        <v/>
      </c>
      <c r="V101" s="25">
        <f>IF(C101="","",C101)</f>
        <v/>
      </c>
      <c r="W101" s="24" t="n"/>
      <c r="X101" s="26" t="n"/>
      <c r="Y101" s="27">
        <f>IF(C101="","",H101+N(X101))</f>
        <v/>
      </c>
      <c r="Z101" s="29">
        <f>IFERROR(X101/Y101,"")</f>
        <v/>
      </c>
      <c r="AA101" s="26" t="n"/>
      <c r="AB101" s="26" t="n"/>
      <c r="AC101" s="26" t="n"/>
      <c r="AD101" s="26" t="n"/>
      <c r="AE101" s="27">
        <f>IF(C101="","",SUMIFS(tbl_Finance[Ex GST],tbl_Finance[Job Number],C101&amp;"",tbl_Finance[Cost Centre],"VIDEO"))</f>
        <v/>
      </c>
      <c r="AF101" s="29">
        <f>IFERROR(AE101/H101,"")</f>
        <v/>
      </c>
      <c r="AG101" s="27">
        <f>IF(C101="","",N(AA101)+N(AB101)+N(AC101)+N(AD101))</f>
        <v/>
      </c>
      <c r="AH101" s="27">
        <f>IF(C101="","",H101-AG101)</f>
        <v/>
      </c>
      <c r="AI101" s="29">
        <f>IFERROR(AH101/H101,"")</f>
        <v/>
      </c>
      <c r="AJ101" s="69" t="n"/>
      <c r="AK101" s="69" t="n"/>
      <c r="AL101" s="69" t="n"/>
      <c r="AM101" s="69" t="n"/>
      <c r="AN101" s="69" t="n"/>
      <c r="AO101" s="24" t="n"/>
    </row>
    <row r="102" ht="15" customHeight="1">
      <c r="A102" s="68">
        <f>IF(C102="","",IFERROR(IF(SUMPRODUCT(MAX((tbl_Finance[Job Number]=C102&amp;"")*(tbl_Finance[Xero Invoice No]&lt;&gt;"")*tbl_Finance[Date]))=0,"",SUMPRODUCT(MAX((tbl_Finance[Job Number]=C102&amp;"")*(tbl_Finance[Xero Invoice No]&lt;&gt;"")*tbl_Finance[Date]))),""))</f>
        <v/>
      </c>
      <c r="B102" s="25">
        <f>IF(C102="","",IF(COUNTIFS(tbl_Finance[Job Number],C102&amp;"",tbl_Finance[Xero Invoice No],"&lt;&gt;")=0,"",IFERROR(IF(COUNTIFS(tbl_Finance[Job Number],C102&amp;"",tbl_Finance[Xero Invoice No],LOOKUP(2,1/((tbl_Finance[Job Number]=C102&amp;"")*(tbl_Finance[Xero Invoice No]&lt;&gt;"")),tbl_Finance[Xero Invoice No]))=COUNTIFS(tbl_Finance[Job Number],C102&amp;"",tbl_Finance[Xero Invoice No],"&lt;&gt;"),LOOKUP(2,1/((tbl_Finance[Job Number]=C102&amp;"")*(tbl_Finance[Xero Invoice No]&lt;&gt;"")),tbl_Finance[Xero Invoice No]),LOOKUP(2,1/((tbl_Finance[Job Number]=C102&amp;"")*(tbl_Finance[Xero Invoice No]&lt;&gt;"")),tbl_Finance[Xero Invoice No])&amp;" +more"),"")))</f>
        <v/>
      </c>
      <c r="C102" s="24" t="n"/>
      <c r="D102" s="25">
        <f>IF(C102="","",IF(COUNTIF(lst_Jobs,C102&amp;"")&gt;0,"OK","CHECK"))</f>
        <v/>
      </c>
      <c r="E102" s="25">
        <f>IF(C102="","",IFERROR(INDEX(lst_JobName,MATCH(C102&amp;"",lst_Jobs,0)),""))</f>
        <v/>
      </c>
      <c r="F102" s="25">
        <f>IF(C102="","",IFERROR(INDEX(tbl_Finance[Client],MATCH(C102&amp;"",tbl_Finance[Job Number],0)),""))</f>
        <v/>
      </c>
      <c r="G102" s="28">
        <f>IF(C102="","",COUNTIFS(tbl_Finance[Job Number],C102&amp;"",tbl_Finance[Ex GST],"&lt;&gt;"))</f>
        <v/>
      </c>
      <c r="H102" s="27">
        <f>IF(C102="","",SUMIFS(tbl_Finance[Ex GST],tbl_Finance[Job Number],C102&amp;""))</f>
        <v/>
      </c>
      <c r="I102" s="27">
        <f>IF(C102="","",SUMIFS(tbl_Finance[Ex GST],tbl_Finance[Job Number],C102&amp;"",tbl_Finance[Xero Invoice No],"&lt;&gt;"))</f>
        <v/>
      </c>
      <c r="J102" s="27">
        <f>IF(C102="","",H102-I102)</f>
        <v/>
      </c>
      <c r="K102" s="25">
        <f>IF(C102="","",IF(G102=0,"not invoiced yet",SUBSTITUTE(TRIM(IF(COUNTIFS(tbl_Finance[Job Number],C102&amp;"",tbl_Finance[Cost Centre],"ONSITE")&gt;0,"ONSITE ","")&amp;IF(COUNTIFS(tbl_Finance[Job Number],C102&amp;"",tbl_Finance[Cost Centre],"PRODUCTION")&gt;0,"PRODUCTION ","")&amp;IF(COUNTIFS(tbl_Finance[Job Number],C102&amp;"",tbl_Finance[Cost Centre],"VIDEO")&gt;0,"VIDEO ","")&amp;IF(COUNTIFS(tbl_Finance[Job Number],C102&amp;"",tbl_Finance[Cost Centre],"INTEGRATION")&gt;0,"INTEGRATION ","")&amp;IF(COUNTIFS(tbl_Finance[Job Number],C102&amp;"",tbl_Finance[Cost Centre],"CONSULTING")&gt;0,"CONSULTING ","")&amp;IF(COUNTIFS(tbl_Finance[Job Number],C102&amp;"",tbl_Finance[Cost Centre],"CTS")&gt;0,"CTS ",""))," ",", ")))</f>
        <v/>
      </c>
      <c r="L102" s="27">
        <f>IF(C102="","",SUMIFS(tbl_Finance[Inc GST],tbl_Finance[Job Number],C102&amp;""))</f>
        <v/>
      </c>
      <c r="M102" s="24" t="n"/>
      <c r="N102" s="25">
        <f>IF(C102="","",IFERROR(INDEX(tbl_Finance[Description],MATCH(C102&amp;"",tbl_Finance[Job Number],0)),""))</f>
        <v/>
      </c>
      <c r="O102" s="24" t="n"/>
      <c r="P102" s="24" t="n"/>
      <c r="Q102" s="22" t="n"/>
      <c r="R102" s="24" t="n"/>
      <c r="S102" s="25">
        <f>IF(R102="","",IF(AND(LEFT(R102,4)&lt;&gt;"http",set_RMSBase=""),"",HYPERLINK(IF(LEFT(R102,4)="http",R102,set_RMSBase&amp;R102),"Open opportunity")))</f>
        <v/>
      </c>
      <c r="T102" s="24" t="n"/>
      <c r="U102" s="25">
        <f>IF(T102="","",HYPERLINK(IF(LEFT(T102,4)="http",T102,set_QwilrBase&amp;T102),"Open quote"))</f>
        <v/>
      </c>
      <c r="V102" s="25">
        <f>IF(C102="","",C102)</f>
        <v/>
      </c>
      <c r="W102" s="24" t="n"/>
      <c r="X102" s="26" t="n"/>
      <c r="Y102" s="27">
        <f>IF(C102="","",H102+N(X102))</f>
        <v/>
      </c>
      <c r="Z102" s="29">
        <f>IFERROR(X102/Y102,"")</f>
        <v/>
      </c>
      <c r="AA102" s="26" t="n"/>
      <c r="AB102" s="26" t="n"/>
      <c r="AC102" s="26" t="n"/>
      <c r="AD102" s="26" t="n"/>
      <c r="AE102" s="27">
        <f>IF(C102="","",SUMIFS(tbl_Finance[Ex GST],tbl_Finance[Job Number],C102&amp;"",tbl_Finance[Cost Centre],"VIDEO"))</f>
        <v/>
      </c>
      <c r="AF102" s="29">
        <f>IFERROR(AE102/H102,"")</f>
        <v/>
      </c>
      <c r="AG102" s="27">
        <f>IF(C102="","",N(AA102)+N(AB102)+N(AC102)+N(AD102))</f>
        <v/>
      </c>
      <c r="AH102" s="27">
        <f>IF(C102="","",H102-AG102)</f>
        <v/>
      </c>
      <c r="AI102" s="29">
        <f>IFERROR(AH102/H102,"")</f>
        <v/>
      </c>
      <c r="AJ102" s="69" t="n"/>
      <c r="AK102" s="69" t="n"/>
      <c r="AL102" s="69" t="n"/>
      <c r="AM102" s="69" t="n"/>
      <c r="AN102" s="69" t="n"/>
      <c r="AO102" s="24" t="n"/>
    </row>
    <row r="103" ht="15" customHeight="1">
      <c r="A103" s="68">
        <f>IF(C103="","",IFERROR(IF(SUMPRODUCT(MAX((tbl_Finance[Job Number]=C103&amp;"")*(tbl_Finance[Xero Invoice No]&lt;&gt;"")*tbl_Finance[Date]))=0,"",SUMPRODUCT(MAX((tbl_Finance[Job Number]=C103&amp;"")*(tbl_Finance[Xero Invoice No]&lt;&gt;"")*tbl_Finance[Date]))),""))</f>
        <v/>
      </c>
      <c r="B103" s="25">
        <f>IF(C103="","",IF(COUNTIFS(tbl_Finance[Job Number],C103&amp;"",tbl_Finance[Xero Invoice No],"&lt;&gt;")=0,"",IFERROR(IF(COUNTIFS(tbl_Finance[Job Number],C103&amp;"",tbl_Finance[Xero Invoice No],LOOKUP(2,1/((tbl_Finance[Job Number]=C103&amp;"")*(tbl_Finance[Xero Invoice No]&lt;&gt;"")),tbl_Finance[Xero Invoice No]))=COUNTIFS(tbl_Finance[Job Number],C103&amp;"",tbl_Finance[Xero Invoice No],"&lt;&gt;"),LOOKUP(2,1/((tbl_Finance[Job Number]=C103&amp;"")*(tbl_Finance[Xero Invoice No]&lt;&gt;"")),tbl_Finance[Xero Invoice No]),LOOKUP(2,1/((tbl_Finance[Job Number]=C103&amp;"")*(tbl_Finance[Xero Invoice No]&lt;&gt;"")),tbl_Finance[Xero Invoice No])&amp;" +more"),"")))</f>
        <v/>
      </c>
      <c r="C103" s="24" t="n"/>
      <c r="D103" s="25">
        <f>IF(C103="","",IF(COUNTIF(lst_Jobs,C103&amp;"")&gt;0,"OK","CHECK"))</f>
        <v/>
      </c>
      <c r="E103" s="25">
        <f>IF(C103="","",IFERROR(INDEX(lst_JobName,MATCH(C103&amp;"",lst_Jobs,0)),""))</f>
        <v/>
      </c>
      <c r="F103" s="25">
        <f>IF(C103="","",IFERROR(INDEX(tbl_Finance[Client],MATCH(C103&amp;"",tbl_Finance[Job Number],0)),""))</f>
        <v/>
      </c>
      <c r="G103" s="28">
        <f>IF(C103="","",COUNTIFS(tbl_Finance[Job Number],C103&amp;"",tbl_Finance[Ex GST],"&lt;&gt;"))</f>
        <v/>
      </c>
      <c r="H103" s="27">
        <f>IF(C103="","",SUMIFS(tbl_Finance[Ex GST],tbl_Finance[Job Number],C103&amp;""))</f>
        <v/>
      </c>
      <c r="I103" s="27">
        <f>IF(C103="","",SUMIFS(tbl_Finance[Ex GST],tbl_Finance[Job Number],C103&amp;"",tbl_Finance[Xero Invoice No],"&lt;&gt;"))</f>
        <v/>
      </c>
      <c r="J103" s="27">
        <f>IF(C103="","",H103-I103)</f>
        <v/>
      </c>
      <c r="K103" s="25">
        <f>IF(C103="","",IF(G103=0,"not invoiced yet",SUBSTITUTE(TRIM(IF(COUNTIFS(tbl_Finance[Job Number],C103&amp;"",tbl_Finance[Cost Centre],"ONSITE")&gt;0,"ONSITE ","")&amp;IF(COUNTIFS(tbl_Finance[Job Number],C103&amp;"",tbl_Finance[Cost Centre],"PRODUCTION")&gt;0,"PRODUCTION ","")&amp;IF(COUNTIFS(tbl_Finance[Job Number],C103&amp;"",tbl_Finance[Cost Centre],"VIDEO")&gt;0,"VIDEO ","")&amp;IF(COUNTIFS(tbl_Finance[Job Number],C103&amp;"",tbl_Finance[Cost Centre],"INTEGRATION")&gt;0,"INTEGRATION ","")&amp;IF(COUNTIFS(tbl_Finance[Job Number],C103&amp;"",tbl_Finance[Cost Centre],"CONSULTING")&gt;0,"CONSULTING ","")&amp;IF(COUNTIFS(tbl_Finance[Job Number],C103&amp;"",tbl_Finance[Cost Centre],"CTS")&gt;0,"CTS ",""))," ",", ")))</f>
        <v/>
      </c>
      <c r="L103" s="27">
        <f>IF(C103="","",SUMIFS(tbl_Finance[Inc GST],tbl_Finance[Job Number],C103&amp;""))</f>
        <v/>
      </c>
      <c r="M103" s="24" t="n"/>
      <c r="N103" s="25">
        <f>IF(C103="","",IFERROR(INDEX(tbl_Finance[Description],MATCH(C103&amp;"",tbl_Finance[Job Number],0)),""))</f>
        <v/>
      </c>
      <c r="O103" s="24" t="n"/>
      <c r="P103" s="24" t="n"/>
      <c r="Q103" s="22" t="n"/>
      <c r="R103" s="24" t="n"/>
      <c r="S103" s="25">
        <f>IF(R103="","",IF(AND(LEFT(R103,4)&lt;&gt;"http",set_RMSBase=""),"",HYPERLINK(IF(LEFT(R103,4)="http",R103,set_RMSBase&amp;R103),"Open opportunity")))</f>
        <v/>
      </c>
      <c r="T103" s="24" t="n"/>
      <c r="U103" s="25">
        <f>IF(T103="","",HYPERLINK(IF(LEFT(T103,4)="http",T103,set_QwilrBase&amp;T103),"Open quote"))</f>
        <v/>
      </c>
      <c r="V103" s="25">
        <f>IF(C103="","",C103)</f>
        <v/>
      </c>
      <c r="W103" s="24" t="n"/>
      <c r="X103" s="26" t="n"/>
      <c r="Y103" s="27">
        <f>IF(C103="","",H103+N(X103))</f>
        <v/>
      </c>
      <c r="Z103" s="29">
        <f>IFERROR(X103/Y103,"")</f>
        <v/>
      </c>
      <c r="AA103" s="26" t="n"/>
      <c r="AB103" s="26" t="n"/>
      <c r="AC103" s="26" t="n"/>
      <c r="AD103" s="26" t="n"/>
      <c r="AE103" s="27">
        <f>IF(C103="","",SUMIFS(tbl_Finance[Ex GST],tbl_Finance[Job Number],C103&amp;"",tbl_Finance[Cost Centre],"VIDEO"))</f>
        <v/>
      </c>
      <c r="AF103" s="29">
        <f>IFERROR(AE103/H103,"")</f>
        <v/>
      </c>
      <c r="AG103" s="27">
        <f>IF(C103="","",N(AA103)+N(AB103)+N(AC103)+N(AD103))</f>
        <v/>
      </c>
      <c r="AH103" s="27">
        <f>IF(C103="","",H103-AG103)</f>
        <v/>
      </c>
      <c r="AI103" s="29">
        <f>IFERROR(AH103/H103,"")</f>
        <v/>
      </c>
      <c r="AJ103" s="69" t="n"/>
      <c r="AK103" s="69" t="n"/>
      <c r="AL103" s="69" t="n"/>
      <c r="AM103" s="69" t="n"/>
      <c r="AN103" s="69" t="n"/>
      <c r="AO103" s="24" t="n"/>
    </row>
    <row r="104" ht="15" customHeight="1">
      <c r="A104" s="68">
        <f>IF(C104="","",IFERROR(IF(SUMPRODUCT(MAX((tbl_Finance[Job Number]=C104&amp;"")*(tbl_Finance[Xero Invoice No]&lt;&gt;"")*tbl_Finance[Date]))=0,"",SUMPRODUCT(MAX((tbl_Finance[Job Number]=C104&amp;"")*(tbl_Finance[Xero Invoice No]&lt;&gt;"")*tbl_Finance[Date]))),""))</f>
        <v/>
      </c>
      <c r="B104" s="25">
        <f>IF(C104="","",IF(COUNTIFS(tbl_Finance[Job Number],C104&amp;"",tbl_Finance[Xero Invoice No],"&lt;&gt;")=0,"",IFERROR(IF(COUNTIFS(tbl_Finance[Job Number],C104&amp;"",tbl_Finance[Xero Invoice No],LOOKUP(2,1/((tbl_Finance[Job Number]=C104&amp;"")*(tbl_Finance[Xero Invoice No]&lt;&gt;"")),tbl_Finance[Xero Invoice No]))=COUNTIFS(tbl_Finance[Job Number],C104&amp;"",tbl_Finance[Xero Invoice No],"&lt;&gt;"),LOOKUP(2,1/((tbl_Finance[Job Number]=C104&amp;"")*(tbl_Finance[Xero Invoice No]&lt;&gt;"")),tbl_Finance[Xero Invoice No]),LOOKUP(2,1/((tbl_Finance[Job Number]=C104&amp;"")*(tbl_Finance[Xero Invoice No]&lt;&gt;"")),tbl_Finance[Xero Invoice No])&amp;" +more"),"")))</f>
        <v/>
      </c>
      <c r="C104" s="24" t="n"/>
      <c r="D104" s="25">
        <f>IF(C104="","",IF(COUNTIF(lst_Jobs,C104&amp;"")&gt;0,"OK","CHECK"))</f>
        <v/>
      </c>
      <c r="E104" s="25">
        <f>IF(C104="","",IFERROR(INDEX(lst_JobName,MATCH(C104&amp;"",lst_Jobs,0)),""))</f>
        <v/>
      </c>
      <c r="F104" s="25">
        <f>IF(C104="","",IFERROR(INDEX(tbl_Finance[Client],MATCH(C104&amp;"",tbl_Finance[Job Number],0)),""))</f>
        <v/>
      </c>
      <c r="G104" s="28">
        <f>IF(C104="","",COUNTIFS(tbl_Finance[Job Number],C104&amp;"",tbl_Finance[Ex GST],"&lt;&gt;"))</f>
        <v/>
      </c>
      <c r="H104" s="27">
        <f>IF(C104="","",SUMIFS(tbl_Finance[Ex GST],tbl_Finance[Job Number],C104&amp;""))</f>
        <v/>
      </c>
      <c r="I104" s="27">
        <f>IF(C104="","",SUMIFS(tbl_Finance[Ex GST],tbl_Finance[Job Number],C104&amp;"",tbl_Finance[Xero Invoice No],"&lt;&gt;"))</f>
        <v/>
      </c>
      <c r="J104" s="27">
        <f>IF(C104="","",H104-I104)</f>
        <v/>
      </c>
      <c r="K104" s="25">
        <f>IF(C104="","",IF(G104=0,"not invoiced yet",SUBSTITUTE(TRIM(IF(COUNTIFS(tbl_Finance[Job Number],C104&amp;"",tbl_Finance[Cost Centre],"ONSITE")&gt;0,"ONSITE ","")&amp;IF(COUNTIFS(tbl_Finance[Job Number],C104&amp;"",tbl_Finance[Cost Centre],"PRODUCTION")&gt;0,"PRODUCTION ","")&amp;IF(COUNTIFS(tbl_Finance[Job Number],C104&amp;"",tbl_Finance[Cost Centre],"VIDEO")&gt;0,"VIDEO ","")&amp;IF(COUNTIFS(tbl_Finance[Job Number],C104&amp;"",tbl_Finance[Cost Centre],"INTEGRATION")&gt;0,"INTEGRATION ","")&amp;IF(COUNTIFS(tbl_Finance[Job Number],C104&amp;"",tbl_Finance[Cost Centre],"CONSULTING")&gt;0,"CONSULTING ","")&amp;IF(COUNTIFS(tbl_Finance[Job Number],C104&amp;"",tbl_Finance[Cost Centre],"CTS")&gt;0,"CTS ",""))," ",", ")))</f>
        <v/>
      </c>
      <c r="L104" s="27">
        <f>IF(C104="","",SUMIFS(tbl_Finance[Inc GST],tbl_Finance[Job Number],C104&amp;""))</f>
        <v/>
      </c>
      <c r="M104" s="24" t="n"/>
      <c r="N104" s="25">
        <f>IF(C104="","",IFERROR(INDEX(tbl_Finance[Description],MATCH(C104&amp;"",tbl_Finance[Job Number],0)),""))</f>
        <v/>
      </c>
      <c r="O104" s="24" t="n"/>
      <c r="P104" s="24" t="n"/>
      <c r="Q104" s="22" t="n"/>
      <c r="R104" s="24" t="n"/>
      <c r="S104" s="25">
        <f>IF(R104="","",IF(AND(LEFT(R104,4)&lt;&gt;"http",set_RMSBase=""),"",HYPERLINK(IF(LEFT(R104,4)="http",R104,set_RMSBase&amp;R104),"Open opportunity")))</f>
        <v/>
      </c>
      <c r="T104" s="24" t="n"/>
      <c r="U104" s="25">
        <f>IF(T104="","",HYPERLINK(IF(LEFT(T104,4)="http",T104,set_QwilrBase&amp;T104),"Open quote"))</f>
        <v/>
      </c>
      <c r="V104" s="25">
        <f>IF(C104="","",C104)</f>
        <v/>
      </c>
      <c r="W104" s="24" t="n"/>
      <c r="X104" s="26" t="n"/>
      <c r="Y104" s="27">
        <f>IF(C104="","",H104+N(X104))</f>
        <v/>
      </c>
      <c r="Z104" s="29">
        <f>IFERROR(X104/Y104,"")</f>
        <v/>
      </c>
      <c r="AA104" s="26" t="n"/>
      <c r="AB104" s="26" t="n"/>
      <c r="AC104" s="26" t="n"/>
      <c r="AD104" s="26" t="n"/>
      <c r="AE104" s="27">
        <f>IF(C104="","",SUMIFS(tbl_Finance[Ex GST],tbl_Finance[Job Number],C104&amp;"",tbl_Finance[Cost Centre],"VIDEO"))</f>
        <v/>
      </c>
      <c r="AF104" s="29">
        <f>IFERROR(AE104/H104,"")</f>
        <v/>
      </c>
      <c r="AG104" s="27">
        <f>IF(C104="","",N(AA104)+N(AB104)+N(AC104)+N(AD104))</f>
        <v/>
      </c>
      <c r="AH104" s="27">
        <f>IF(C104="","",H104-AG104)</f>
        <v/>
      </c>
      <c r="AI104" s="29">
        <f>IFERROR(AH104/H104,"")</f>
        <v/>
      </c>
      <c r="AJ104" s="69" t="n"/>
      <c r="AK104" s="69" t="n"/>
      <c r="AL104" s="69" t="n"/>
      <c r="AM104" s="69" t="n"/>
      <c r="AN104" s="69" t="n"/>
      <c r="AO104" s="24" t="n"/>
    </row>
    <row r="105" ht="15" customHeight="1">
      <c r="A105" s="68">
        <f>IF(C105="","",IFERROR(IF(SUMPRODUCT(MAX((tbl_Finance[Job Number]=C105&amp;"")*(tbl_Finance[Xero Invoice No]&lt;&gt;"")*tbl_Finance[Date]))=0,"",SUMPRODUCT(MAX((tbl_Finance[Job Number]=C105&amp;"")*(tbl_Finance[Xero Invoice No]&lt;&gt;"")*tbl_Finance[Date]))),""))</f>
        <v/>
      </c>
      <c r="B105" s="25">
        <f>IF(C105="","",IF(COUNTIFS(tbl_Finance[Job Number],C105&amp;"",tbl_Finance[Xero Invoice No],"&lt;&gt;")=0,"",IFERROR(IF(COUNTIFS(tbl_Finance[Job Number],C105&amp;"",tbl_Finance[Xero Invoice No],LOOKUP(2,1/((tbl_Finance[Job Number]=C105&amp;"")*(tbl_Finance[Xero Invoice No]&lt;&gt;"")),tbl_Finance[Xero Invoice No]))=COUNTIFS(tbl_Finance[Job Number],C105&amp;"",tbl_Finance[Xero Invoice No],"&lt;&gt;"),LOOKUP(2,1/((tbl_Finance[Job Number]=C105&amp;"")*(tbl_Finance[Xero Invoice No]&lt;&gt;"")),tbl_Finance[Xero Invoice No]),LOOKUP(2,1/((tbl_Finance[Job Number]=C105&amp;"")*(tbl_Finance[Xero Invoice No]&lt;&gt;"")),tbl_Finance[Xero Invoice No])&amp;" +more"),"")))</f>
        <v/>
      </c>
      <c r="C105" s="24" t="n"/>
      <c r="D105" s="25">
        <f>IF(C105="","",IF(COUNTIF(lst_Jobs,C105&amp;"")&gt;0,"OK","CHECK"))</f>
        <v/>
      </c>
      <c r="E105" s="25">
        <f>IF(C105="","",IFERROR(INDEX(lst_JobName,MATCH(C105&amp;"",lst_Jobs,0)),""))</f>
        <v/>
      </c>
      <c r="F105" s="25">
        <f>IF(C105="","",IFERROR(INDEX(tbl_Finance[Client],MATCH(C105&amp;"",tbl_Finance[Job Number],0)),""))</f>
        <v/>
      </c>
      <c r="G105" s="28">
        <f>IF(C105="","",COUNTIFS(tbl_Finance[Job Number],C105&amp;"",tbl_Finance[Ex GST],"&lt;&gt;"))</f>
        <v/>
      </c>
      <c r="H105" s="27">
        <f>IF(C105="","",SUMIFS(tbl_Finance[Ex GST],tbl_Finance[Job Number],C105&amp;""))</f>
        <v/>
      </c>
      <c r="I105" s="27">
        <f>IF(C105="","",SUMIFS(tbl_Finance[Ex GST],tbl_Finance[Job Number],C105&amp;"",tbl_Finance[Xero Invoice No],"&lt;&gt;"))</f>
        <v/>
      </c>
      <c r="J105" s="27">
        <f>IF(C105="","",H105-I105)</f>
        <v/>
      </c>
      <c r="K105" s="25">
        <f>IF(C105="","",IF(G105=0,"not invoiced yet",SUBSTITUTE(TRIM(IF(COUNTIFS(tbl_Finance[Job Number],C105&amp;"",tbl_Finance[Cost Centre],"ONSITE")&gt;0,"ONSITE ","")&amp;IF(COUNTIFS(tbl_Finance[Job Number],C105&amp;"",tbl_Finance[Cost Centre],"PRODUCTION")&gt;0,"PRODUCTION ","")&amp;IF(COUNTIFS(tbl_Finance[Job Number],C105&amp;"",tbl_Finance[Cost Centre],"VIDEO")&gt;0,"VIDEO ","")&amp;IF(COUNTIFS(tbl_Finance[Job Number],C105&amp;"",tbl_Finance[Cost Centre],"INTEGRATION")&gt;0,"INTEGRATION ","")&amp;IF(COUNTIFS(tbl_Finance[Job Number],C105&amp;"",tbl_Finance[Cost Centre],"CONSULTING")&gt;0,"CONSULTING ","")&amp;IF(COUNTIFS(tbl_Finance[Job Number],C105&amp;"",tbl_Finance[Cost Centre],"CTS")&gt;0,"CTS ",""))," ",", ")))</f>
        <v/>
      </c>
      <c r="L105" s="27">
        <f>IF(C105="","",SUMIFS(tbl_Finance[Inc GST],tbl_Finance[Job Number],C105&amp;""))</f>
        <v/>
      </c>
      <c r="M105" s="24" t="n"/>
      <c r="N105" s="25">
        <f>IF(C105="","",IFERROR(INDEX(tbl_Finance[Description],MATCH(C105&amp;"",tbl_Finance[Job Number],0)),""))</f>
        <v/>
      </c>
      <c r="O105" s="24" t="n"/>
      <c r="P105" s="24" t="n"/>
      <c r="Q105" s="22" t="n"/>
      <c r="R105" s="24" t="n"/>
      <c r="S105" s="25">
        <f>IF(R105="","",IF(AND(LEFT(R105,4)&lt;&gt;"http",set_RMSBase=""),"",HYPERLINK(IF(LEFT(R105,4)="http",R105,set_RMSBase&amp;R105),"Open opportunity")))</f>
        <v/>
      </c>
      <c r="T105" s="24" t="n"/>
      <c r="U105" s="25">
        <f>IF(T105="","",HYPERLINK(IF(LEFT(T105,4)="http",T105,set_QwilrBase&amp;T105),"Open quote"))</f>
        <v/>
      </c>
      <c r="V105" s="25">
        <f>IF(C105="","",C105)</f>
        <v/>
      </c>
      <c r="W105" s="24" t="n"/>
      <c r="X105" s="26" t="n"/>
      <c r="Y105" s="27">
        <f>IF(C105="","",H105+N(X105))</f>
        <v/>
      </c>
      <c r="Z105" s="29">
        <f>IFERROR(X105/Y105,"")</f>
        <v/>
      </c>
      <c r="AA105" s="26" t="n"/>
      <c r="AB105" s="26" t="n"/>
      <c r="AC105" s="26" t="n"/>
      <c r="AD105" s="26" t="n"/>
      <c r="AE105" s="27">
        <f>IF(C105="","",SUMIFS(tbl_Finance[Ex GST],tbl_Finance[Job Number],C105&amp;"",tbl_Finance[Cost Centre],"VIDEO"))</f>
        <v/>
      </c>
      <c r="AF105" s="29">
        <f>IFERROR(AE105/H105,"")</f>
        <v/>
      </c>
      <c r="AG105" s="27">
        <f>IF(C105="","",N(AA105)+N(AB105)+N(AC105)+N(AD105))</f>
        <v/>
      </c>
      <c r="AH105" s="27">
        <f>IF(C105="","",H105-AG105)</f>
        <v/>
      </c>
      <c r="AI105" s="29">
        <f>IFERROR(AH105/H105,"")</f>
        <v/>
      </c>
      <c r="AJ105" s="69" t="n"/>
      <c r="AK105" s="69" t="n"/>
      <c r="AL105" s="69" t="n"/>
      <c r="AM105" s="69" t="n"/>
      <c r="AN105" s="69" t="n"/>
      <c r="AO105" s="24" t="n"/>
    </row>
    <row r="106" ht="15" customHeight="1">
      <c r="A106" s="68">
        <f>IF(C106="","",IFERROR(IF(SUMPRODUCT(MAX((tbl_Finance[Job Number]=C106&amp;"")*(tbl_Finance[Xero Invoice No]&lt;&gt;"")*tbl_Finance[Date]))=0,"",SUMPRODUCT(MAX((tbl_Finance[Job Number]=C106&amp;"")*(tbl_Finance[Xero Invoice No]&lt;&gt;"")*tbl_Finance[Date]))),""))</f>
        <v/>
      </c>
      <c r="B106" s="25">
        <f>IF(C106="","",IF(COUNTIFS(tbl_Finance[Job Number],C106&amp;"",tbl_Finance[Xero Invoice No],"&lt;&gt;")=0,"",IFERROR(IF(COUNTIFS(tbl_Finance[Job Number],C106&amp;"",tbl_Finance[Xero Invoice No],LOOKUP(2,1/((tbl_Finance[Job Number]=C106&amp;"")*(tbl_Finance[Xero Invoice No]&lt;&gt;"")),tbl_Finance[Xero Invoice No]))=COUNTIFS(tbl_Finance[Job Number],C106&amp;"",tbl_Finance[Xero Invoice No],"&lt;&gt;"),LOOKUP(2,1/((tbl_Finance[Job Number]=C106&amp;"")*(tbl_Finance[Xero Invoice No]&lt;&gt;"")),tbl_Finance[Xero Invoice No]),LOOKUP(2,1/((tbl_Finance[Job Number]=C106&amp;"")*(tbl_Finance[Xero Invoice No]&lt;&gt;"")),tbl_Finance[Xero Invoice No])&amp;" +more"),"")))</f>
        <v/>
      </c>
      <c r="C106" s="24" t="n"/>
      <c r="D106" s="25">
        <f>IF(C106="","",IF(COUNTIF(lst_Jobs,C106&amp;"")&gt;0,"OK","CHECK"))</f>
        <v/>
      </c>
      <c r="E106" s="25">
        <f>IF(C106="","",IFERROR(INDEX(lst_JobName,MATCH(C106&amp;"",lst_Jobs,0)),""))</f>
        <v/>
      </c>
      <c r="F106" s="25">
        <f>IF(C106="","",IFERROR(INDEX(tbl_Finance[Client],MATCH(C106&amp;"",tbl_Finance[Job Number],0)),""))</f>
        <v/>
      </c>
      <c r="G106" s="28">
        <f>IF(C106="","",COUNTIFS(tbl_Finance[Job Number],C106&amp;"",tbl_Finance[Ex GST],"&lt;&gt;"))</f>
        <v/>
      </c>
      <c r="H106" s="27">
        <f>IF(C106="","",SUMIFS(tbl_Finance[Ex GST],tbl_Finance[Job Number],C106&amp;""))</f>
        <v/>
      </c>
      <c r="I106" s="27">
        <f>IF(C106="","",SUMIFS(tbl_Finance[Ex GST],tbl_Finance[Job Number],C106&amp;"",tbl_Finance[Xero Invoice No],"&lt;&gt;"))</f>
        <v/>
      </c>
      <c r="J106" s="27">
        <f>IF(C106="","",H106-I106)</f>
        <v/>
      </c>
      <c r="K106" s="25">
        <f>IF(C106="","",IF(G106=0,"not invoiced yet",SUBSTITUTE(TRIM(IF(COUNTIFS(tbl_Finance[Job Number],C106&amp;"",tbl_Finance[Cost Centre],"ONSITE")&gt;0,"ONSITE ","")&amp;IF(COUNTIFS(tbl_Finance[Job Number],C106&amp;"",tbl_Finance[Cost Centre],"PRODUCTION")&gt;0,"PRODUCTION ","")&amp;IF(COUNTIFS(tbl_Finance[Job Number],C106&amp;"",tbl_Finance[Cost Centre],"VIDEO")&gt;0,"VIDEO ","")&amp;IF(COUNTIFS(tbl_Finance[Job Number],C106&amp;"",tbl_Finance[Cost Centre],"INTEGRATION")&gt;0,"INTEGRATION ","")&amp;IF(COUNTIFS(tbl_Finance[Job Number],C106&amp;"",tbl_Finance[Cost Centre],"CONSULTING")&gt;0,"CONSULTING ","")&amp;IF(COUNTIFS(tbl_Finance[Job Number],C106&amp;"",tbl_Finance[Cost Centre],"CTS")&gt;0,"CTS ",""))," ",", ")))</f>
        <v/>
      </c>
      <c r="L106" s="27">
        <f>IF(C106="","",SUMIFS(tbl_Finance[Inc GST],tbl_Finance[Job Number],C106&amp;""))</f>
        <v/>
      </c>
      <c r="M106" s="24" t="n"/>
      <c r="N106" s="25">
        <f>IF(C106="","",IFERROR(INDEX(tbl_Finance[Description],MATCH(C106&amp;"",tbl_Finance[Job Number],0)),""))</f>
        <v/>
      </c>
      <c r="O106" s="24" t="n"/>
      <c r="P106" s="24" t="n"/>
      <c r="Q106" s="22" t="n"/>
      <c r="R106" s="24" t="n"/>
      <c r="S106" s="25">
        <f>IF(R106="","",IF(AND(LEFT(R106,4)&lt;&gt;"http",set_RMSBase=""),"",HYPERLINK(IF(LEFT(R106,4)="http",R106,set_RMSBase&amp;R106),"Open opportunity")))</f>
        <v/>
      </c>
      <c r="T106" s="24" t="n"/>
      <c r="U106" s="25">
        <f>IF(T106="","",HYPERLINK(IF(LEFT(T106,4)="http",T106,set_QwilrBase&amp;T106),"Open quote"))</f>
        <v/>
      </c>
      <c r="V106" s="25">
        <f>IF(C106="","",C106)</f>
        <v/>
      </c>
      <c r="W106" s="24" t="n"/>
      <c r="X106" s="26" t="n"/>
      <c r="Y106" s="27">
        <f>IF(C106="","",H106+N(X106))</f>
        <v/>
      </c>
      <c r="Z106" s="29">
        <f>IFERROR(X106/Y106,"")</f>
        <v/>
      </c>
      <c r="AA106" s="26" t="n"/>
      <c r="AB106" s="26" t="n"/>
      <c r="AC106" s="26" t="n"/>
      <c r="AD106" s="26" t="n"/>
      <c r="AE106" s="27">
        <f>IF(C106="","",SUMIFS(tbl_Finance[Ex GST],tbl_Finance[Job Number],C106&amp;"",tbl_Finance[Cost Centre],"VIDEO"))</f>
        <v/>
      </c>
      <c r="AF106" s="29">
        <f>IFERROR(AE106/H106,"")</f>
        <v/>
      </c>
      <c r="AG106" s="27">
        <f>IF(C106="","",N(AA106)+N(AB106)+N(AC106)+N(AD106))</f>
        <v/>
      </c>
      <c r="AH106" s="27">
        <f>IF(C106="","",H106-AG106)</f>
        <v/>
      </c>
      <c r="AI106" s="29">
        <f>IFERROR(AH106/H106,"")</f>
        <v/>
      </c>
      <c r="AJ106" s="69" t="n"/>
      <c r="AK106" s="69" t="n"/>
      <c r="AL106" s="69" t="n"/>
      <c r="AM106" s="69" t="n"/>
      <c r="AN106" s="69" t="n"/>
      <c r="AO106" s="24" t="n"/>
    </row>
    <row r="107" ht="15" customHeight="1">
      <c r="A107" s="68">
        <f>IF(C107="","",IFERROR(IF(SUMPRODUCT(MAX((tbl_Finance[Job Number]=C107&amp;"")*(tbl_Finance[Xero Invoice No]&lt;&gt;"")*tbl_Finance[Date]))=0,"",SUMPRODUCT(MAX((tbl_Finance[Job Number]=C107&amp;"")*(tbl_Finance[Xero Invoice No]&lt;&gt;"")*tbl_Finance[Date]))),""))</f>
        <v/>
      </c>
      <c r="B107" s="25">
        <f>IF(C107="","",IF(COUNTIFS(tbl_Finance[Job Number],C107&amp;"",tbl_Finance[Xero Invoice No],"&lt;&gt;")=0,"",IFERROR(IF(COUNTIFS(tbl_Finance[Job Number],C107&amp;"",tbl_Finance[Xero Invoice No],LOOKUP(2,1/((tbl_Finance[Job Number]=C107&amp;"")*(tbl_Finance[Xero Invoice No]&lt;&gt;"")),tbl_Finance[Xero Invoice No]))=COUNTIFS(tbl_Finance[Job Number],C107&amp;"",tbl_Finance[Xero Invoice No],"&lt;&gt;"),LOOKUP(2,1/((tbl_Finance[Job Number]=C107&amp;"")*(tbl_Finance[Xero Invoice No]&lt;&gt;"")),tbl_Finance[Xero Invoice No]),LOOKUP(2,1/((tbl_Finance[Job Number]=C107&amp;"")*(tbl_Finance[Xero Invoice No]&lt;&gt;"")),tbl_Finance[Xero Invoice No])&amp;" +more"),"")))</f>
        <v/>
      </c>
      <c r="C107" s="24" t="n"/>
      <c r="D107" s="25">
        <f>IF(C107="","",IF(COUNTIF(lst_Jobs,C107&amp;"")&gt;0,"OK","CHECK"))</f>
        <v/>
      </c>
      <c r="E107" s="25">
        <f>IF(C107="","",IFERROR(INDEX(lst_JobName,MATCH(C107&amp;"",lst_Jobs,0)),""))</f>
        <v/>
      </c>
      <c r="F107" s="25">
        <f>IF(C107="","",IFERROR(INDEX(tbl_Finance[Client],MATCH(C107&amp;"",tbl_Finance[Job Number],0)),""))</f>
        <v/>
      </c>
      <c r="G107" s="28">
        <f>IF(C107="","",COUNTIFS(tbl_Finance[Job Number],C107&amp;"",tbl_Finance[Ex GST],"&lt;&gt;"))</f>
        <v/>
      </c>
      <c r="H107" s="27">
        <f>IF(C107="","",SUMIFS(tbl_Finance[Ex GST],tbl_Finance[Job Number],C107&amp;""))</f>
        <v/>
      </c>
      <c r="I107" s="27">
        <f>IF(C107="","",SUMIFS(tbl_Finance[Ex GST],tbl_Finance[Job Number],C107&amp;"",tbl_Finance[Xero Invoice No],"&lt;&gt;"))</f>
        <v/>
      </c>
      <c r="J107" s="27">
        <f>IF(C107="","",H107-I107)</f>
        <v/>
      </c>
      <c r="K107" s="25">
        <f>IF(C107="","",IF(G107=0,"not invoiced yet",SUBSTITUTE(TRIM(IF(COUNTIFS(tbl_Finance[Job Number],C107&amp;"",tbl_Finance[Cost Centre],"ONSITE")&gt;0,"ONSITE ","")&amp;IF(COUNTIFS(tbl_Finance[Job Number],C107&amp;"",tbl_Finance[Cost Centre],"PRODUCTION")&gt;0,"PRODUCTION ","")&amp;IF(COUNTIFS(tbl_Finance[Job Number],C107&amp;"",tbl_Finance[Cost Centre],"VIDEO")&gt;0,"VIDEO ","")&amp;IF(COUNTIFS(tbl_Finance[Job Number],C107&amp;"",tbl_Finance[Cost Centre],"INTEGRATION")&gt;0,"INTEGRATION ","")&amp;IF(COUNTIFS(tbl_Finance[Job Number],C107&amp;"",tbl_Finance[Cost Centre],"CONSULTING")&gt;0,"CONSULTING ","")&amp;IF(COUNTIFS(tbl_Finance[Job Number],C107&amp;"",tbl_Finance[Cost Centre],"CTS")&gt;0,"CTS ",""))," ",", ")))</f>
        <v/>
      </c>
      <c r="L107" s="27">
        <f>IF(C107="","",SUMIFS(tbl_Finance[Inc GST],tbl_Finance[Job Number],C107&amp;""))</f>
        <v/>
      </c>
      <c r="M107" s="24" t="n"/>
      <c r="N107" s="25">
        <f>IF(C107="","",IFERROR(INDEX(tbl_Finance[Description],MATCH(C107&amp;"",tbl_Finance[Job Number],0)),""))</f>
        <v/>
      </c>
      <c r="O107" s="24" t="n"/>
      <c r="P107" s="24" t="n"/>
      <c r="Q107" s="22" t="n"/>
      <c r="R107" s="24" t="n"/>
      <c r="S107" s="25">
        <f>IF(R107="","",IF(AND(LEFT(R107,4)&lt;&gt;"http",set_RMSBase=""),"",HYPERLINK(IF(LEFT(R107,4)="http",R107,set_RMSBase&amp;R107),"Open opportunity")))</f>
        <v/>
      </c>
      <c r="T107" s="24" t="n"/>
      <c r="U107" s="25">
        <f>IF(T107="","",HYPERLINK(IF(LEFT(T107,4)="http",T107,set_QwilrBase&amp;T107),"Open quote"))</f>
        <v/>
      </c>
      <c r="V107" s="25">
        <f>IF(C107="","",C107)</f>
        <v/>
      </c>
      <c r="W107" s="24" t="n"/>
      <c r="X107" s="26" t="n"/>
      <c r="Y107" s="27">
        <f>IF(C107="","",H107+N(X107))</f>
        <v/>
      </c>
      <c r="Z107" s="29">
        <f>IFERROR(X107/Y107,"")</f>
        <v/>
      </c>
      <c r="AA107" s="26" t="n"/>
      <c r="AB107" s="26" t="n"/>
      <c r="AC107" s="26" t="n"/>
      <c r="AD107" s="26" t="n"/>
      <c r="AE107" s="27">
        <f>IF(C107="","",SUMIFS(tbl_Finance[Ex GST],tbl_Finance[Job Number],C107&amp;"",tbl_Finance[Cost Centre],"VIDEO"))</f>
        <v/>
      </c>
      <c r="AF107" s="29">
        <f>IFERROR(AE107/H107,"")</f>
        <v/>
      </c>
      <c r="AG107" s="27">
        <f>IF(C107="","",N(AA107)+N(AB107)+N(AC107)+N(AD107))</f>
        <v/>
      </c>
      <c r="AH107" s="27">
        <f>IF(C107="","",H107-AG107)</f>
        <v/>
      </c>
      <c r="AI107" s="29">
        <f>IFERROR(AH107/H107,"")</f>
        <v/>
      </c>
      <c r="AJ107" s="69" t="n"/>
      <c r="AK107" s="69" t="n"/>
      <c r="AL107" s="69" t="n"/>
      <c r="AM107" s="69" t="n"/>
      <c r="AN107" s="69" t="n"/>
      <c r="AO107" s="24" t="n"/>
    </row>
    <row r="108" ht="15" customHeight="1">
      <c r="A108" s="68">
        <f>IF(C108="","",IFERROR(IF(SUMPRODUCT(MAX((tbl_Finance[Job Number]=C108&amp;"")*(tbl_Finance[Xero Invoice No]&lt;&gt;"")*tbl_Finance[Date]))=0,"",SUMPRODUCT(MAX((tbl_Finance[Job Number]=C108&amp;"")*(tbl_Finance[Xero Invoice No]&lt;&gt;"")*tbl_Finance[Date]))),""))</f>
        <v/>
      </c>
      <c r="B108" s="25">
        <f>IF(C108="","",IF(COUNTIFS(tbl_Finance[Job Number],C108&amp;"",tbl_Finance[Xero Invoice No],"&lt;&gt;")=0,"",IFERROR(IF(COUNTIFS(tbl_Finance[Job Number],C108&amp;"",tbl_Finance[Xero Invoice No],LOOKUP(2,1/((tbl_Finance[Job Number]=C108&amp;"")*(tbl_Finance[Xero Invoice No]&lt;&gt;"")),tbl_Finance[Xero Invoice No]))=COUNTIFS(tbl_Finance[Job Number],C108&amp;"",tbl_Finance[Xero Invoice No],"&lt;&gt;"),LOOKUP(2,1/((tbl_Finance[Job Number]=C108&amp;"")*(tbl_Finance[Xero Invoice No]&lt;&gt;"")),tbl_Finance[Xero Invoice No]),LOOKUP(2,1/((tbl_Finance[Job Number]=C108&amp;"")*(tbl_Finance[Xero Invoice No]&lt;&gt;"")),tbl_Finance[Xero Invoice No])&amp;" +more"),"")))</f>
        <v/>
      </c>
      <c r="C108" s="24" t="n"/>
      <c r="D108" s="25">
        <f>IF(C108="","",IF(COUNTIF(lst_Jobs,C108&amp;"")&gt;0,"OK","CHECK"))</f>
        <v/>
      </c>
      <c r="E108" s="25">
        <f>IF(C108="","",IFERROR(INDEX(lst_JobName,MATCH(C108&amp;"",lst_Jobs,0)),""))</f>
        <v/>
      </c>
      <c r="F108" s="25">
        <f>IF(C108="","",IFERROR(INDEX(tbl_Finance[Client],MATCH(C108&amp;"",tbl_Finance[Job Number],0)),""))</f>
        <v/>
      </c>
      <c r="G108" s="28">
        <f>IF(C108="","",COUNTIFS(tbl_Finance[Job Number],C108&amp;"",tbl_Finance[Ex GST],"&lt;&gt;"))</f>
        <v/>
      </c>
      <c r="H108" s="27">
        <f>IF(C108="","",SUMIFS(tbl_Finance[Ex GST],tbl_Finance[Job Number],C108&amp;""))</f>
        <v/>
      </c>
      <c r="I108" s="27">
        <f>IF(C108="","",SUMIFS(tbl_Finance[Ex GST],tbl_Finance[Job Number],C108&amp;"",tbl_Finance[Xero Invoice No],"&lt;&gt;"))</f>
        <v/>
      </c>
      <c r="J108" s="27">
        <f>IF(C108="","",H108-I108)</f>
        <v/>
      </c>
      <c r="K108" s="25">
        <f>IF(C108="","",IF(G108=0,"not invoiced yet",SUBSTITUTE(TRIM(IF(COUNTIFS(tbl_Finance[Job Number],C108&amp;"",tbl_Finance[Cost Centre],"ONSITE")&gt;0,"ONSITE ","")&amp;IF(COUNTIFS(tbl_Finance[Job Number],C108&amp;"",tbl_Finance[Cost Centre],"PRODUCTION")&gt;0,"PRODUCTION ","")&amp;IF(COUNTIFS(tbl_Finance[Job Number],C108&amp;"",tbl_Finance[Cost Centre],"VIDEO")&gt;0,"VIDEO ","")&amp;IF(COUNTIFS(tbl_Finance[Job Number],C108&amp;"",tbl_Finance[Cost Centre],"INTEGRATION")&gt;0,"INTEGRATION ","")&amp;IF(COUNTIFS(tbl_Finance[Job Number],C108&amp;"",tbl_Finance[Cost Centre],"CONSULTING")&gt;0,"CONSULTING ","")&amp;IF(COUNTIFS(tbl_Finance[Job Number],C108&amp;"",tbl_Finance[Cost Centre],"CTS")&gt;0,"CTS ",""))," ",", ")))</f>
        <v/>
      </c>
      <c r="L108" s="27">
        <f>IF(C108="","",SUMIFS(tbl_Finance[Inc GST],tbl_Finance[Job Number],C108&amp;""))</f>
        <v/>
      </c>
      <c r="M108" s="24" t="n"/>
      <c r="N108" s="25">
        <f>IF(C108="","",IFERROR(INDEX(tbl_Finance[Description],MATCH(C108&amp;"",tbl_Finance[Job Number],0)),""))</f>
        <v/>
      </c>
      <c r="O108" s="24" t="n"/>
      <c r="P108" s="24" t="n"/>
      <c r="Q108" s="22" t="n"/>
      <c r="R108" s="24" t="n"/>
      <c r="S108" s="25">
        <f>IF(R108="","",IF(AND(LEFT(R108,4)&lt;&gt;"http",set_RMSBase=""),"",HYPERLINK(IF(LEFT(R108,4)="http",R108,set_RMSBase&amp;R108),"Open opportunity")))</f>
        <v/>
      </c>
      <c r="T108" s="24" t="n"/>
      <c r="U108" s="25">
        <f>IF(T108="","",HYPERLINK(IF(LEFT(T108,4)="http",T108,set_QwilrBase&amp;T108),"Open quote"))</f>
        <v/>
      </c>
      <c r="V108" s="25">
        <f>IF(C108="","",C108)</f>
        <v/>
      </c>
      <c r="W108" s="24" t="n"/>
      <c r="X108" s="26" t="n"/>
      <c r="Y108" s="27">
        <f>IF(C108="","",H108+N(X108))</f>
        <v/>
      </c>
      <c r="Z108" s="29">
        <f>IFERROR(X108/Y108,"")</f>
        <v/>
      </c>
      <c r="AA108" s="26" t="n"/>
      <c r="AB108" s="26" t="n"/>
      <c r="AC108" s="26" t="n"/>
      <c r="AD108" s="26" t="n"/>
      <c r="AE108" s="27">
        <f>IF(C108="","",SUMIFS(tbl_Finance[Ex GST],tbl_Finance[Job Number],C108&amp;"",tbl_Finance[Cost Centre],"VIDEO"))</f>
        <v/>
      </c>
      <c r="AF108" s="29">
        <f>IFERROR(AE108/H108,"")</f>
        <v/>
      </c>
      <c r="AG108" s="27">
        <f>IF(C108="","",N(AA108)+N(AB108)+N(AC108)+N(AD108))</f>
        <v/>
      </c>
      <c r="AH108" s="27">
        <f>IF(C108="","",H108-AG108)</f>
        <v/>
      </c>
      <c r="AI108" s="29">
        <f>IFERROR(AH108/H108,"")</f>
        <v/>
      </c>
      <c r="AJ108" s="69" t="n"/>
      <c r="AK108" s="69" t="n"/>
      <c r="AL108" s="69" t="n"/>
      <c r="AM108" s="69" t="n"/>
      <c r="AN108" s="69" t="n"/>
      <c r="AO108" s="24" t="n"/>
    </row>
    <row r="109" ht="15" customHeight="1">
      <c r="A109" s="68">
        <f>IF(C109="","",IFERROR(IF(SUMPRODUCT(MAX((tbl_Finance[Job Number]=C109&amp;"")*(tbl_Finance[Xero Invoice No]&lt;&gt;"")*tbl_Finance[Date]))=0,"",SUMPRODUCT(MAX((tbl_Finance[Job Number]=C109&amp;"")*(tbl_Finance[Xero Invoice No]&lt;&gt;"")*tbl_Finance[Date]))),""))</f>
        <v/>
      </c>
      <c r="B109" s="25">
        <f>IF(C109="","",IF(COUNTIFS(tbl_Finance[Job Number],C109&amp;"",tbl_Finance[Xero Invoice No],"&lt;&gt;")=0,"",IFERROR(IF(COUNTIFS(tbl_Finance[Job Number],C109&amp;"",tbl_Finance[Xero Invoice No],LOOKUP(2,1/((tbl_Finance[Job Number]=C109&amp;"")*(tbl_Finance[Xero Invoice No]&lt;&gt;"")),tbl_Finance[Xero Invoice No]))=COUNTIFS(tbl_Finance[Job Number],C109&amp;"",tbl_Finance[Xero Invoice No],"&lt;&gt;"),LOOKUP(2,1/((tbl_Finance[Job Number]=C109&amp;"")*(tbl_Finance[Xero Invoice No]&lt;&gt;"")),tbl_Finance[Xero Invoice No]),LOOKUP(2,1/((tbl_Finance[Job Number]=C109&amp;"")*(tbl_Finance[Xero Invoice No]&lt;&gt;"")),tbl_Finance[Xero Invoice No])&amp;" +more"),"")))</f>
        <v/>
      </c>
      <c r="C109" s="24" t="n"/>
      <c r="D109" s="25">
        <f>IF(C109="","",IF(COUNTIF(lst_Jobs,C109&amp;"")&gt;0,"OK","CHECK"))</f>
        <v/>
      </c>
      <c r="E109" s="25">
        <f>IF(C109="","",IFERROR(INDEX(lst_JobName,MATCH(C109&amp;"",lst_Jobs,0)),""))</f>
        <v/>
      </c>
      <c r="F109" s="25">
        <f>IF(C109="","",IFERROR(INDEX(tbl_Finance[Client],MATCH(C109&amp;"",tbl_Finance[Job Number],0)),""))</f>
        <v/>
      </c>
      <c r="G109" s="28">
        <f>IF(C109="","",COUNTIFS(tbl_Finance[Job Number],C109&amp;"",tbl_Finance[Ex GST],"&lt;&gt;"))</f>
        <v/>
      </c>
      <c r="H109" s="27">
        <f>IF(C109="","",SUMIFS(tbl_Finance[Ex GST],tbl_Finance[Job Number],C109&amp;""))</f>
        <v/>
      </c>
      <c r="I109" s="27">
        <f>IF(C109="","",SUMIFS(tbl_Finance[Ex GST],tbl_Finance[Job Number],C109&amp;"",tbl_Finance[Xero Invoice No],"&lt;&gt;"))</f>
        <v/>
      </c>
      <c r="J109" s="27">
        <f>IF(C109="","",H109-I109)</f>
        <v/>
      </c>
      <c r="K109" s="25">
        <f>IF(C109="","",IF(G109=0,"not invoiced yet",SUBSTITUTE(TRIM(IF(COUNTIFS(tbl_Finance[Job Number],C109&amp;"",tbl_Finance[Cost Centre],"ONSITE")&gt;0,"ONSITE ","")&amp;IF(COUNTIFS(tbl_Finance[Job Number],C109&amp;"",tbl_Finance[Cost Centre],"PRODUCTION")&gt;0,"PRODUCTION ","")&amp;IF(COUNTIFS(tbl_Finance[Job Number],C109&amp;"",tbl_Finance[Cost Centre],"VIDEO")&gt;0,"VIDEO ","")&amp;IF(COUNTIFS(tbl_Finance[Job Number],C109&amp;"",tbl_Finance[Cost Centre],"INTEGRATION")&gt;0,"INTEGRATION ","")&amp;IF(COUNTIFS(tbl_Finance[Job Number],C109&amp;"",tbl_Finance[Cost Centre],"CONSULTING")&gt;0,"CONSULTING ","")&amp;IF(COUNTIFS(tbl_Finance[Job Number],C109&amp;"",tbl_Finance[Cost Centre],"CTS")&gt;0,"CTS ",""))," ",", ")))</f>
        <v/>
      </c>
      <c r="L109" s="27">
        <f>IF(C109="","",SUMIFS(tbl_Finance[Inc GST],tbl_Finance[Job Number],C109&amp;""))</f>
        <v/>
      </c>
      <c r="M109" s="24" t="n"/>
      <c r="N109" s="25">
        <f>IF(C109="","",IFERROR(INDEX(tbl_Finance[Description],MATCH(C109&amp;"",tbl_Finance[Job Number],0)),""))</f>
        <v/>
      </c>
      <c r="O109" s="24" t="n"/>
      <c r="P109" s="24" t="n"/>
      <c r="Q109" s="22" t="n"/>
      <c r="R109" s="24" t="n"/>
      <c r="S109" s="25">
        <f>IF(R109="","",IF(AND(LEFT(R109,4)&lt;&gt;"http",set_RMSBase=""),"",HYPERLINK(IF(LEFT(R109,4)="http",R109,set_RMSBase&amp;R109),"Open opportunity")))</f>
        <v/>
      </c>
      <c r="T109" s="24" t="n"/>
      <c r="U109" s="25">
        <f>IF(T109="","",HYPERLINK(IF(LEFT(T109,4)="http",T109,set_QwilrBase&amp;T109),"Open quote"))</f>
        <v/>
      </c>
      <c r="V109" s="25">
        <f>IF(C109="","",C109)</f>
        <v/>
      </c>
      <c r="W109" s="24" t="n"/>
      <c r="X109" s="26" t="n"/>
      <c r="Y109" s="27">
        <f>IF(C109="","",H109+N(X109))</f>
        <v/>
      </c>
      <c r="Z109" s="29">
        <f>IFERROR(X109/Y109,"")</f>
        <v/>
      </c>
      <c r="AA109" s="26" t="n"/>
      <c r="AB109" s="26" t="n"/>
      <c r="AC109" s="26" t="n"/>
      <c r="AD109" s="26" t="n"/>
      <c r="AE109" s="27">
        <f>IF(C109="","",SUMIFS(tbl_Finance[Ex GST],tbl_Finance[Job Number],C109&amp;"",tbl_Finance[Cost Centre],"VIDEO"))</f>
        <v/>
      </c>
      <c r="AF109" s="29">
        <f>IFERROR(AE109/H109,"")</f>
        <v/>
      </c>
      <c r="AG109" s="27">
        <f>IF(C109="","",N(AA109)+N(AB109)+N(AC109)+N(AD109))</f>
        <v/>
      </c>
      <c r="AH109" s="27">
        <f>IF(C109="","",H109-AG109)</f>
        <v/>
      </c>
      <c r="AI109" s="29">
        <f>IFERROR(AH109/H109,"")</f>
        <v/>
      </c>
      <c r="AJ109" s="69" t="n"/>
      <c r="AK109" s="69" t="n"/>
      <c r="AL109" s="69" t="n"/>
      <c r="AM109" s="69" t="n"/>
      <c r="AN109" s="69" t="n"/>
      <c r="AO109" s="24" t="n"/>
    </row>
    <row r="110" ht="15" customHeight="1">
      <c r="A110" s="68">
        <f>IF(C110="","",IFERROR(IF(SUMPRODUCT(MAX((tbl_Finance[Job Number]=C110&amp;"")*(tbl_Finance[Xero Invoice No]&lt;&gt;"")*tbl_Finance[Date]))=0,"",SUMPRODUCT(MAX((tbl_Finance[Job Number]=C110&amp;"")*(tbl_Finance[Xero Invoice No]&lt;&gt;"")*tbl_Finance[Date]))),""))</f>
        <v/>
      </c>
      <c r="B110" s="25">
        <f>IF(C110="","",IF(COUNTIFS(tbl_Finance[Job Number],C110&amp;"",tbl_Finance[Xero Invoice No],"&lt;&gt;")=0,"",IFERROR(IF(COUNTIFS(tbl_Finance[Job Number],C110&amp;"",tbl_Finance[Xero Invoice No],LOOKUP(2,1/((tbl_Finance[Job Number]=C110&amp;"")*(tbl_Finance[Xero Invoice No]&lt;&gt;"")),tbl_Finance[Xero Invoice No]))=COUNTIFS(tbl_Finance[Job Number],C110&amp;"",tbl_Finance[Xero Invoice No],"&lt;&gt;"),LOOKUP(2,1/((tbl_Finance[Job Number]=C110&amp;"")*(tbl_Finance[Xero Invoice No]&lt;&gt;"")),tbl_Finance[Xero Invoice No]),LOOKUP(2,1/((tbl_Finance[Job Number]=C110&amp;"")*(tbl_Finance[Xero Invoice No]&lt;&gt;"")),tbl_Finance[Xero Invoice No])&amp;" +more"),"")))</f>
        <v/>
      </c>
      <c r="C110" s="24" t="n"/>
      <c r="D110" s="25">
        <f>IF(C110="","",IF(COUNTIF(lst_Jobs,C110&amp;"")&gt;0,"OK","CHECK"))</f>
        <v/>
      </c>
      <c r="E110" s="25">
        <f>IF(C110="","",IFERROR(INDEX(lst_JobName,MATCH(C110&amp;"",lst_Jobs,0)),""))</f>
        <v/>
      </c>
      <c r="F110" s="25">
        <f>IF(C110="","",IFERROR(INDEX(tbl_Finance[Client],MATCH(C110&amp;"",tbl_Finance[Job Number],0)),""))</f>
        <v/>
      </c>
      <c r="G110" s="28">
        <f>IF(C110="","",COUNTIFS(tbl_Finance[Job Number],C110&amp;"",tbl_Finance[Ex GST],"&lt;&gt;"))</f>
        <v/>
      </c>
      <c r="H110" s="27">
        <f>IF(C110="","",SUMIFS(tbl_Finance[Ex GST],tbl_Finance[Job Number],C110&amp;""))</f>
        <v/>
      </c>
      <c r="I110" s="27">
        <f>IF(C110="","",SUMIFS(tbl_Finance[Ex GST],tbl_Finance[Job Number],C110&amp;"",tbl_Finance[Xero Invoice No],"&lt;&gt;"))</f>
        <v/>
      </c>
      <c r="J110" s="27">
        <f>IF(C110="","",H110-I110)</f>
        <v/>
      </c>
      <c r="K110" s="25">
        <f>IF(C110="","",IF(G110=0,"not invoiced yet",SUBSTITUTE(TRIM(IF(COUNTIFS(tbl_Finance[Job Number],C110&amp;"",tbl_Finance[Cost Centre],"ONSITE")&gt;0,"ONSITE ","")&amp;IF(COUNTIFS(tbl_Finance[Job Number],C110&amp;"",tbl_Finance[Cost Centre],"PRODUCTION")&gt;0,"PRODUCTION ","")&amp;IF(COUNTIFS(tbl_Finance[Job Number],C110&amp;"",tbl_Finance[Cost Centre],"VIDEO")&gt;0,"VIDEO ","")&amp;IF(COUNTIFS(tbl_Finance[Job Number],C110&amp;"",tbl_Finance[Cost Centre],"INTEGRATION")&gt;0,"INTEGRATION ","")&amp;IF(COUNTIFS(tbl_Finance[Job Number],C110&amp;"",tbl_Finance[Cost Centre],"CONSULTING")&gt;0,"CONSULTING ","")&amp;IF(COUNTIFS(tbl_Finance[Job Number],C110&amp;"",tbl_Finance[Cost Centre],"CTS")&gt;0,"CTS ",""))," ",", ")))</f>
        <v/>
      </c>
      <c r="L110" s="27">
        <f>IF(C110="","",SUMIFS(tbl_Finance[Inc GST],tbl_Finance[Job Number],C110&amp;""))</f>
        <v/>
      </c>
      <c r="M110" s="24" t="n"/>
      <c r="N110" s="25">
        <f>IF(C110="","",IFERROR(INDEX(tbl_Finance[Description],MATCH(C110&amp;"",tbl_Finance[Job Number],0)),""))</f>
        <v/>
      </c>
      <c r="O110" s="24" t="n"/>
      <c r="P110" s="24" t="n"/>
      <c r="Q110" s="22" t="n"/>
      <c r="R110" s="24" t="n"/>
      <c r="S110" s="25">
        <f>IF(R110="","",IF(AND(LEFT(R110,4)&lt;&gt;"http",set_RMSBase=""),"",HYPERLINK(IF(LEFT(R110,4)="http",R110,set_RMSBase&amp;R110),"Open opportunity")))</f>
        <v/>
      </c>
      <c r="T110" s="24" t="n"/>
      <c r="U110" s="25">
        <f>IF(T110="","",HYPERLINK(IF(LEFT(T110,4)="http",T110,set_QwilrBase&amp;T110),"Open quote"))</f>
        <v/>
      </c>
      <c r="V110" s="25">
        <f>IF(C110="","",C110)</f>
        <v/>
      </c>
      <c r="W110" s="24" t="n"/>
      <c r="X110" s="26" t="n"/>
      <c r="Y110" s="27">
        <f>IF(C110="","",H110+N(X110))</f>
        <v/>
      </c>
      <c r="Z110" s="29">
        <f>IFERROR(X110/Y110,"")</f>
        <v/>
      </c>
      <c r="AA110" s="26" t="n"/>
      <c r="AB110" s="26" t="n"/>
      <c r="AC110" s="26" t="n"/>
      <c r="AD110" s="26" t="n"/>
      <c r="AE110" s="27">
        <f>IF(C110="","",SUMIFS(tbl_Finance[Ex GST],tbl_Finance[Job Number],C110&amp;"",tbl_Finance[Cost Centre],"VIDEO"))</f>
        <v/>
      </c>
      <c r="AF110" s="29">
        <f>IFERROR(AE110/H110,"")</f>
        <v/>
      </c>
      <c r="AG110" s="27">
        <f>IF(C110="","",N(AA110)+N(AB110)+N(AC110)+N(AD110))</f>
        <v/>
      </c>
      <c r="AH110" s="27">
        <f>IF(C110="","",H110-AG110)</f>
        <v/>
      </c>
      <c r="AI110" s="29">
        <f>IFERROR(AH110/H110,"")</f>
        <v/>
      </c>
      <c r="AJ110" s="69" t="n"/>
      <c r="AK110" s="69" t="n"/>
      <c r="AL110" s="69" t="n"/>
      <c r="AM110" s="69" t="n"/>
      <c r="AN110" s="69" t="n"/>
      <c r="AO110" s="24" t="n"/>
    </row>
    <row r="111" ht="15" customHeight="1">
      <c r="A111" s="68">
        <f>IF(C111="","",IFERROR(IF(SUMPRODUCT(MAX((tbl_Finance[Job Number]=C111&amp;"")*(tbl_Finance[Xero Invoice No]&lt;&gt;"")*tbl_Finance[Date]))=0,"",SUMPRODUCT(MAX((tbl_Finance[Job Number]=C111&amp;"")*(tbl_Finance[Xero Invoice No]&lt;&gt;"")*tbl_Finance[Date]))),""))</f>
        <v/>
      </c>
      <c r="B111" s="25">
        <f>IF(C111="","",IF(COUNTIFS(tbl_Finance[Job Number],C111&amp;"",tbl_Finance[Xero Invoice No],"&lt;&gt;")=0,"",IFERROR(IF(COUNTIFS(tbl_Finance[Job Number],C111&amp;"",tbl_Finance[Xero Invoice No],LOOKUP(2,1/((tbl_Finance[Job Number]=C111&amp;"")*(tbl_Finance[Xero Invoice No]&lt;&gt;"")),tbl_Finance[Xero Invoice No]))=COUNTIFS(tbl_Finance[Job Number],C111&amp;"",tbl_Finance[Xero Invoice No],"&lt;&gt;"),LOOKUP(2,1/((tbl_Finance[Job Number]=C111&amp;"")*(tbl_Finance[Xero Invoice No]&lt;&gt;"")),tbl_Finance[Xero Invoice No]),LOOKUP(2,1/((tbl_Finance[Job Number]=C111&amp;"")*(tbl_Finance[Xero Invoice No]&lt;&gt;"")),tbl_Finance[Xero Invoice No])&amp;" +more"),"")))</f>
        <v/>
      </c>
      <c r="C111" s="24" t="n"/>
      <c r="D111" s="25">
        <f>IF(C111="","",IF(COUNTIF(lst_Jobs,C111&amp;"")&gt;0,"OK","CHECK"))</f>
        <v/>
      </c>
      <c r="E111" s="25">
        <f>IF(C111="","",IFERROR(INDEX(lst_JobName,MATCH(C111&amp;"",lst_Jobs,0)),""))</f>
        <v/>
      </c>
      <c r="F111" s="25">
        <f>IF(C111="","",IFERROR(INDEX(tbl_Finance[Client],MATCH(C111&amp;"",tbl_Finance[Job Number],0)),""))</f>
        <v/>
      </c>
      <c r="G111" s="28">
        <f>IF(C111="","",COUNTIFS(tbl_Finance[Job Number],C111&amp;"",tbl_Finance[Ex GST],"&lt;&gt;"))</f>
        <v/>
      </c>
      <c r="H111" s="27">
        <f>IF(C111="","",SUMIFS(tbl_Finance[Ex GST],tbl_Finance[Job Number],C111&amp;""))</f>
        <v/>
      </c>
      <c r="I111" s="27">
        <f>IF(C111="","",SUMIFS(tbl_Finance[Ex GST],tbl_Finance[Job Number],C111&amp;"",tbl_Finance[Xero Invoice No],"&lt;&gt;"))</f>
        <v/>
      </c>
      <c r="J111" s="27">
        <f>IF(C111="","",H111-I111)</f>
        <v/>
      </c>
      <c r="K111" s="25">
        <f>IF(C111="","",IF(G111=0,"not invoiced yet",SUBSTITUTE(TRIM(IF(COUNTIFS(tbl_Finance[Job Number],C111&amp;"",tbl_Finance[Cost Centre],"ONSITE")&gt;0,"ONSITE ","")&amp;IF(COUNTIFS(tbl_Finance[Job Number],C111&amp;"",tbl_Finance[Cost Centre],"PRODUCTION")&gt;0,"PRODUCTION ","")&amp;IF(COUNTIFS(tbl_Finance[Job Number],C111&amp;"",tbl_Finance[Cost Centre],"VIDEO")&gt;0,"VIDEO ","")&amp;IF(COUNTIFS(tbl_Finance[Job Number],C111&amp;"",tbl_Finance[Cost Centre],"INTEGRATION")&gt;0,"INTEGRATION ","")&amp;IF(COUNTIFS(tbl_Finance[Job Number],C111&amp;"",tbl_Finance[Cost Centre],"CONSULTING")&gt;0,"CONSULTING ","")&amp;IF(COUNTIFS(tbl_Finance[Job Number],C111&amp;"",tbl_Finance[Cost Centre],"CTS")&gt;0,"CTS ",""))," ",", ")))</f>
        <v/>
      </c>
      <c r="L111" s="27">
        <f>IF(C111="","",SUMIFS(tbl_Finance[Inc GST],tbl_Finance[Job Number],C111&amp;""))</f>
        <v/>
      </c>
      <c r="M111" s="24" t="n"/>
      <c r="N111" s="25">
        <f>IF(C111="","",IFERROR(INDEX(tbl_Finance[Description],MATCH(C111&amp;"",tbl_Finance[Job Number],0)),""))</f>
        <v/>
      </c>
      <c r="O111" s="24" t="n"/>
      <c r="P111" s="24" t="n"/>
      <c r="Q111" s="22" t="n"/>
      <c r="R111" s="24" t="n"/>
      <c r="S111" s="25">
        <f>IF(R111="","",IF(AND(LEFT(R111,4)&lt;&gt;"http",set_RMSBase=""),"",HYPERLINK(IF(LEFT(R111,4)="http",R111,set_RMSBase&amp;R111),"Open opportunity")))</f>
        <v/>
      </c>
      <c r="T111" s="24" t="n"/>
      <c r="U111" s="25">
        <f>IF(T111="","",HYPERLINK(IF(LEFT(T111,4)="http",T111,set_QwilrBase&amp;T111),"Open quote"))</f>
        <v/>
      </c>
      <c r="V111" s="25">
        <f>IF(C111="","",C111)</f>
        <v/>
      </c>
      <c r="W111" s="24" t="n"/>
      <c r="X111" s="26" t="n"/>
      <c r="Y111" s="27">
        <f>IF(C111="","",H111+N(X111))</f>
        <v/>
      </c>
      <c r="Z111" s="29">
        <f>IFERROR(X111/Y111,"")</f>
        <v/>
      </c>
      <c r="AA111" s="26" t="n"/>
      <c r="AB111" s="26" t="n"/>
      <c r="AC111" s="26" t="n"/>
      <c r="AD111" s="26" t="n"/>
      <c r="AE111" s="27">
        <f>IF(C111="","",SUMIFS(tbl_Finance[Ex GST],tbl_Finance[Job Number],C111&amp;"",tbl_Finance[Cost Centre],"VIDEO"))</f>
        <v/>
      </c>
      <c r="AF111" s="29">
        <f>IFERROR(AE111/H111,"")</f>
        <v/>
      </c>
      <c r="AG111" s="27">
        <f>IF(C111="","",N(AA111)+N(AB111)+N(AC111)+N(AD111))</f>
        <v/>
      </c>
      <c r="AH111" s="27">
        <f>IF(C111="","",H111-AG111)</f>
        <v/>
      </c>
      <c r="AI111" s="29">
        <f>IFERROR(AH111/H111,"")</f>
        <v/>
      </c>
      <c r="AJ111" s="69" t="n"/>
      <c r="AK111" s="69" t="n"/>
      <c r="AL111" s="69" t="n"/>
      <c r="AM111" s="69" t="n"/>
      <c r="AN111" s="69" t="n"/>
      <c r="AO111" s="24" t="n"/>
    </row>
    <row r="112" ht="15" customHeight="1">
      <c r="A112" s="68">
        <f>IF(C112="","",IFERROR(IF(SUMPRODUCT(MAX((tbl_Finance[Job Number]=C112&amp;"")*(tbl_Finance[Xero Invoice No]&lt;&gt;"")*tbl_Finance[Date]))=0,"",SUMPRODUCT(MAX((tbl_Finance[Job Number]=C112&amp;"")*(tbl_Finance[Xero Invoice No]&lt;&gt;"")*tbl_Finance[Date]))),""))</f>
        <v/>
      </c>
      <c r="B112" s="25">
        <f>IF(C112="","",IF(COUNTIFS(tbl_Finance[Job Number],C112&amp;"",tbl_Finance[Xero Invoice No],"&lt;&gt;")=0,"",IFERROR(IF(COUNTIFS(tbl_Finance[Job Number],C112&amp;"",tbl_Finance[Xero Invoice No],LOOKUP(2,1/((tbl_Finance[Job Number]=C112&amp;"")*(tbl_Finance[Xero Invoice No]&lt;&gt;"")),tbl_Finance[Xero Invoice No]))=COUNTIFS(tbl_Finance[Job Number],C112&amp;"",tbl_Finance[Xero Invoice No],"&lt;&gt;"),LOOKUP(2,1/((tbl_Finance[Job Number]=C112&amp;"")*(tbl_Finance[Xero Invoice No]&lt;&gt;"")),tbl_Finance[Xero Invoice No]),LOOKUP(2,1/((tbl_Finance[Job Number]=C112&amp;"")*(tbl_Finance[Xero Invoice No]&lt;&gt;"")),tbl_Finance[Xero Invoice No])&amp;" +more"),"")))</f>
        <v/>
      </c>
      <c r="C112" s="24" t="n"/>
      <c r="D112" s="25">
        <f>IF(C112="","",IF(COUNTIF(lst_Jobs,C112&amp;"")&gt;0,"OK","CHECK"))</f>
        <v/>
      </c>
      <c r="E112" s="25">
        <f>IF(C112="","",IFERROR(INDEX(lst_JobName,MATCH(C112&amp;"",lst_Jobs,0)),""))</f>
        <v/>
      </c>
      <c r="F112" s="25">
        <f>IF(C112="","",IFERROR(INDEX(tbl_Finance[Client],MATCH(C112&amp;"",tbl_Finance[Job Number],0)),""))</f>
        <v/>
      </c>
      <c r="G112" s="28">
        <f>IF(C112="","",COUNTIFS(tbl_Finance[Job Number],C112&amp;"",tbl_Finance[Ex GST],"&lt;&gt;"))</f>
        <v/>
      </c>
      <c r="H112" s="27">
        <f>IF(C112="","",SUMIFS(tbl_Finance[Ex GST],tbl_Finance[Job Number],C112&amp;""))</f>
        <v/>
      </c>
      <c r="I112" s="27">
        <f>IF(C112="","",SUMIFS(tbl_Finance[Ex GST],tbl_Finance[Job Number],C112&amp;"",tbl_Finance[Xero Invoice No],"&lt;&gt;"))</f>
        <v/>
      </c>
      <c r="J112" s="27">
        <f>IF(C112="","",H112-I112)</f>
        <v/>
      </c>
      <c r="K112" s="25">
        <f>IF(C112="","",IF(G112=0,"not invoiced yet",SUBSTITUTE(TRIM(IF(COUNTIFS(tbl_Finance[Job Number],C112&amp;"",tbl_Finance[Cost Centre],"ONSITE")&gt;0,"ONSITE ","")&amp;IF(COUNTIFS(tbl_Finance[Job Number],C112&amp;"",tbl_Finance[Cost Centre],"PRODUCTION")&gt;0,"PRODUCTION ","")&amp;IF(COUNTIFS(tbl_Finance[Job Number],C112&amp;"",tbl_Finance[Cost Centre],"VIDEO")&gt;0,"VIDEO ","")&amp;IF(COUNTIFS(tbl_Finance[Job Number],C112&amp;"",tbl_Finance[Cost Centre],"INTEGRATION")&gt;0,"INTEGRATION ","")&amp;IF(COUNTIFS(tbl_Finance[Job Number],C112&amp;"",tbl_Finance[Cost Centre],"CONSULTING")&gt;0,"CONSULTING ","")&amp;IF(COUNTIFS(tbl_Finance[Job Number],C112&amp;"",tbl_Finance[Cost Centre],"CTS")&gt;0,"CTS ",""))," ",", ")))</f>
        <v/>
      </c>
      <c r="L112" s="27">
        <f>IF(C112="","",SUMIFS(tbl_Finance[Inc GST],tbl_Finance[Job Number],C112&amp;""))</f>
        <v/>
      </c>
      <c r="M112" s="24" t="n"/>
      <c r="N112" s="25">
        <f>IF(C112="","",IFERROR(INDEX(tbl_Finance[Description],MATCH(C112&amp;"",tbl_Finance[Job Number],0)),""))</f>
        <v/>
      </c>
      <c r="O112" s="24" t="n"/>
      <c r="P112" s="24" t="n"/>
      <c r="Q112" s="22" t="n"/>
      <c r="R112" s="24" t="n"/>
      <c r="S112" s="25">
        <f>IF(R112="","",IF(AND(LEFT(R112,4)&lt;&gt;"http",set_RMSBase=""),"",HYPERLINK(IF(LEFT(R112,4)="http",R112,set_RMSBase&amp;R112),"Open opportunity")))</f>
        <v/>
      </c>
      <c r="T112" s="24" t="n"/>
      <c r="U112" s="25">
        <f>IF(T112="","",HYPERLINK(IF(LEFT(T112,4)="http",T112,set_QwilrBase&amp;T112),"Open quote"))</f>
        <v/>
      </c>
      <c r="V112" s="25">
        <f>IF(C112="","",C112)</f>
        <v/>
      </c>
      <c r="W112" s="24" t="n"/>
      <c r="X112" s="26" t="n"/>
      <c r="Y112" s="27">
        <f>IF(C112="","",H112+N(X112))</f>
        <v/>
      </c>
      <c r="Z112" s="29">
        <f>IFERROR(X112/Y112,"")</f>
        <v/>
      </c>
      <c r="AA112" s="26" t="n"/>
      <c r="AB112" s="26" t="n"/>
      <c r="AC112" s="26" t="n"/>
      <c r="AD112" s="26" t="n"/>
      <c r="AE112" s="27">
        <f>IF(C112="","",SUMIFS(tbl_Finance[Ex GST],tbl_Finance[Job Number],C112&amp;"",tbl_Finance[Cost Centre],"VIDEO"))</f>
        <v/>
      </c>
      <c r="AF112" s="29">
        <f>IFERROR(AE112/H112,"")</f>
        <v/>
      </c>
      <c r="AG112" s="27">
        <f>IF(C112="","",N(AA112)+N(AB112)+N(AC112)+N(AD112))</f>
        <v/>
      </c>
      <c r="AH112" s="27">
        <f>IF(C112="","",H112-AG112)</f>
        <v/>
      </c>
      <c r="AI112" s="29">
        <f>IFERROR(AH112/H112,"")</f>
        <v/>
      </c>
      <c r="AJ112" s="69" t="n"/>
      <c r="AK112" s="69" t="n"/>
      <c r="AL112" s="69" t="n"/>
      <c r="AM112" s="69" t="n"/>
      <c r="AN112" s="69" t="n"/>
      <c r="AO112" s="24" t="n"/>
    </row>
    <row r="113" ht="15" customHeight="1">
      <c r="A113" s="68">
        <f>IF(C113="","",IFERROR(IF(SUMPRODUCT(MAX((tbl_Finance[Job Number]=C113&amp;"")*(tbl_Finance[Xero Invoice No]&lt;&gt;"")*tbl_Finance[Date]))=0,"",SUMPRODUCT(MAX((tbl_Finance[Job Number]=C113&amp;"")*(tbl_Finance[Xero Invoice No]&lt;&gt;"")*tbl_Finance[Date]))),""))</f>
        <v/>
      </c>
      <c r="B113" s="25">
        <f>IF(C113="","",IF(COUNTIFS(tbl_Finance[Job Number],C113&amp;"",tbl_Finance[Xero Invoice No],"&lt;&gt;")=0,"",IFERROR(IF(COUNTIFS(tbl_Finance[Job Number],C113&amp;"",tbl_Finance[Xero Invoice No],LOOKUP(2,1/((tbl_Finance[Job Number]=C113&amp;"")*(tbl_Finance[Xero Invoice No]&lt;&gt;"")),tbl_Finance[Xero Invoice No]))=COUNTIFS(tbl_Finance[Job Number],C113&amp;"",tbl_Finance[Xero Invoice No],"&lt;&gt;"),LOOKUP(2,1/((tbl_Finance[Job Number]=C113&amp;"")*(tbl_Finance[Xero Invoice No]&lt;&gt;"")),tbl_Finance[Xero Invoice No]),LOOKUP(2,1/((tbl_Finance[Job Number]=C113&amp;"")*(tbl_Finance[Xero Invoice No]&lt;&gt;"")),tbl_Finance[Xero Invoice No])&amp;" +more"),"")))</f>
        <v/>
      </c>
      <c r="C113" s="24" t="n"/>
      <c r="D113" s="25">
        <f>IF(C113="","",IF(COUNTIF(lst_Jobs,C113&amp;"")&gt;0,"OK","CHECK"))</f>
        <v/>
      </c>
      <c r="E113" s="25">
        <f>IF(C113="","",IFERROR(INDEX(lst_JobName,MATCH(C113&amp;"",lst_Jobs,0)),""))</f>
        <v/>
      </c>
      <c r="F113" s="25">
        <f>IF(C113="","",IFERROR(INDEX(tbl_Finance[Client],MATCH(C113&amp;"",tbl_Finance[Job Number],0)),""))</f>
        <v/>
      </c>
      <c r="G113" s="28">
        <f>IF(C113="","",COUNTIFS(tbl_Finance[Job Number],C113&amp;"",tbl_Finance[Ex GST],"&lt;&gt;"))</f>
        <v/>
      </c>
      <c r="H113" s="27">
        <f>IF(C113="","",SUMIFS(tbl_Finance[Ex GST],tbl_Finance[Job Number],C113&amp;""))</f>
        <v/>
      </c>
      <c r="I113" s="27">
        <f>IF(C113="","",SUMIFS(tbl_Finance[Ex GST],tbl_Finance[Job Number],C113&amp;"",tbl_Finance[Xero Invoice No],"&lt;&gt;"))</f>
        <v/>
      </c>
      <c r="J113" s="27">
        <f>IF(C113="","",H113-I113)</f>
        <v/>
      </c>
      <c r="K113" s="25">
        <f>IF(C113="","",IF(G113=0,"not invoiced yet",SUBSTITUTE(TRIM(IF(COUNTIFS(tbl_Finance[Job Number],C113&amp;"",tbl_Finance[Cost Centre],"ONSITE")&gt;0,"ONSITE ","")&amp;IF(COUNTIFS(tbl_Finance[Job Number],C113&amp;"",tbl_Finance[Cost Centre],"PRODUCTION")&gt;0,"PRODUCTION ","")&amp;IF(COUNTIFS(tbl_Finance[Job Number],C113&amp;"",tbl_Finance[Cost Centre],"VIDEO")&gt;0,"VIDEO ","")&amp;IF(COUNTIFS(tbl_Finance[Job Number],C113&amp;"",tbl_Finance[Cost Centre],"INTEGRATION")&gt;0,"INTEGRATION ","")&amp;IF(COUNTIFS(tbl_Finance[Job Number],C113&amp;"",tbl_Finance[Cost Centre],"CONSULTING")&gt;0,"CONSULTING ","")&amp;IF(COUNTIFS(tbl_Finance[Job Number],C113&amp;"",tbl_Finance[Cost Centre],"CTS")&gt;0,"CTS ",""))," ",", ")))</f>
        <v/>
      </c>
      <c r="L113" s="27">
        <f>IF(C113="","",SUMIFS(tbl_Finance[Inc GST],tbl_Finance[Job Number],C113&amp;""))</f>
        <v/>
      </c>
      <c r="M113" s="24" t="n"/>
      <c r="N113" s="25">
        <f>IF(C113="","",IFERROR(INDEX(tbl_Finance[Description],MATCH(C113&amp;"",tbl_Finance[Job Number],0)),""))</f>
        <v/>
      </c>
      <c r="O113" s="24" t="n"/>
      <c r="P113" s="24" t="n"/>
      <c r="Q113" s="22" t="n"/>
      <c r="R113" s="24" t="n"/>
      <c r="S113" s="25">
        <f>IF(R113="","",IF(AND(LEFT(R113,4)&lt;&gt;"http",set_RMSBase=""),"",HYPERLINK(IF(LEFT(R113,4)="http",R113,set_RMSBase&amp;R113),"Open opportunity")))</f>
        <v/>
      </c>
      <c r="T113" s="24" t="n"/>
      <c r="U113" s="25">
        <f>IF(T113="","",HYPERLINK(IF(LEFT(T113,4)="http",T113,set_QwilrBase&amp;T113),"Open quote"))</f>
        <v/>
      </c>
      <c r="V113" s="25">
        <f>IF(C113="","",C113)</f>
        <v/>
      </c>
      <c r="W113" s="24" t="n"/>
      <c r="X113" s="26" t="n"/>
      <c r="Y113" s="27">
        <f>IF(C113="","",H113+N(X113))</f>
        <v/>
      </c>
      <c r="Z113" s="29">
        <f>IFERROR(X113/Y113,"")</f>
        <v/>
      </c>
      <c r="AA113" s="26" t="n"/>
      <c r="AB113" s="26" t="n"/>
      <c r="AC113" s="26" t="n"/>
      <c r="AD113" s="26" t="n"/>
      <c r="AE113" s="27">
        <f>IF(C113="","",SUMIFS(tbl_Finance[Ex GST],tbl_Finance[Job Number],C113&amp;"",tbl_Finance[Cost Centre],"VIDEO"))</f>
        <v/>
      </c>
      <c r="AF113" s="29">
        <f>IFERROR(AE113/H113,"")</f>
        <v/>
      </c>
      <c r="AG113" s="27">
        <f>IF(C113="","",N(AA113)+N(AB113)+N(AC113)+N(AD113))</f>
        <v/>
      </c>
      <c r="AH113" s="27">
        <f>IF(C113="","",H113-AG113)</f>
        <v/>
      </c>
      <c r="AI113" s="29">
        <f>IFERROR(AH113/H113,"")</f>
        <v/>
      </c>
      <c r="AJ113" s="69" t="n"/>
      <c r="AK113" s="69" t="n"/>
      <c r="AL113" s="69" t="n"/>
      <c r="AM113" s="69" t="n"/>
      <c r="AN113" s="69" t="n"/>
      <c r="AO113" s="24" t="n"/>
    </row>
    <row r="114" ht="15" customHeight="1">
      <c r="A114" s="68">
        <f>IF(C114="","",IFERROR(IF(SUMPRODUCT(MAX((tbl_Finance[Job Number]=C114&amp;"")*(tbl_Finance[Xero Invoice No]&lt;&gt;"")*tbl_Finance[Date]))=0,"",SUMPRODUCT(MAX((tbl_Finance[Job Number]=C114&amp;"")*(tbl_Finance[Xero Invoice No]&lt;&gt;"")*tbl_Finance[Date]))),""))</f>
        <v/>
      </c>
      <c r="B114" s="25">
        <f>IF(C114="","",IF(COUNTIFS(tbl_Finance[Job Number],C114&amp;"",tbl_Finance[Xero Invoice No],"&lt;&gt;")=0,"",IFERROR(IF(COUNTIFS(tbl_Finance[Job Number],C114&amp;"",tbl_Finance[Xero Invoice No],LOOKUP(2,1/((tbl_Finance[Job Number]=C114&amp;"")*(tbl_Finance[Xero Invoice No]&lt;&gt;"")),tbl_Finance[Xero Invoice No]))=COUNTIFS(tbl_Finance[Job Number],C114&amp;"",tbl_Finance[Xero Invoice No],"&lt;&gt;"),LOOKUP(2,1/((tbl_Finance[Job Number]=C114&amp;"")*(tbl_Finance[Xero Invoice No]&lt;&gt;"")),tbl_Finance[Xero Invoice No]),LOOKUP(2,1/((tbl_Finance[Job Number]=C114&amp;"")*(tbl_Finance[Xero Invoice No]&lt;&gt;"")),tbl_Finance[Xero Invoice No])&amp;" +more"),"")))</f>
        <v/>
      </c>
      <c r="C114" s="24" t="n"/>
      <c r="D114" s="25">
        <f>IF(C114="","",IF(COUNTIF(lst_Jobs,C114&amp;"")&gt;0,"OK","CHECK"))</f>
        <v/>
      </c>
      <c r="E114" s="25">
        <f>IF(C114="","",IFERROR(INDEX(lst_JobName,MATCH(C114&amp;"",lst_Jobs,0)),""))</f>
        <v/>
      </c>
      <c r="F114" s="25">
        <f>IF(C114="","",IFERROR(INDEX(tbl_Finance[Client],MATCH(C114&amp;"",tbl_Finance[Job Number],0)),""))</f>
        <v/>
      </c>
      <c r="G114" s="28">
        <f>IF(C114="","",COUNTIFS(tbl_Finance[Job Number],C114&amp;"",tbl_Finance[Ex GST],"&lt;&gt;"))</f>
        <v/>
      </c>
      <c r="H114" s="27">
        <f>IF(C114="","",SUMIFS(tbl_Finance[Ex GST],tbl_Finance[Job Number],C114&amp;""))</f>
        <v/>
      </c>
      <c r="I114" s="27">
        <f>IF(C114="","",SUMIFS(tbl_Finance[Ex GST],tbl_Finance[Job Number],C114&amp;"",tbl_Finance[Xero Invoice No],"&lt;&gt;"))</f>
        <v/>
      </c>
      <c r="J114" s="27">
        <f>IF(C114="","",H114-I114)</f>
        <v/>
      </c>
      <c r="K114" s="25">
        <f>IF(C114="","",IF(G114=0,"not invoiced yet",SUBSTITUTE(TRIM(IF(COUNTIFS(tbl_Finance[Job Number],C114&amp;"",tbl_Finance[Cost Centre],"ONSITE")&gt;0,"ONSITE ","")&amp;IF(COUNTIFS(tbl_Finance[Job Number],C114&amp;"",tbl_Finance[Cost Centre],"PRODUCTION")&gt;0,"PRODUCTION ","")&amp;IF(COUNTIFS(tbl_Finance[Job Number],C114&amp;"",tbl_Finance[Cost Centre],"VIDEO")&gt;0,"VIDEO ","")&amp;IF(COUNTIFS(tbl_Finance[Job Number],C114&amp;"",tbl_Finance[Cost Centre],"INTEGRATION")&gt;0,"INTEGRATION ","")&amp;IF(COUNTIFS(tbl_Finance[Job Number],C114&amp;"",tbl_Finance[Cost Centre],"CONSULTING")&gt;0,"CONSULTING ","")&amp;IF(COUNTIFS(tbl_Finance[Job Number],C114&amp;"",tbl_Finance[Cost Centre],"CTS")&gt;0,"CTS ",""))," ",", ")))</f>
        <v/>
      </c>
      <c r="L114" s="27">
        <f>IF(C114="","",SUMIFS(tbl_Finance[Inc GST],tbl_Finance[Job Number],C114&amp;""))</f>
        <v/>
      </c>
      <c r="M114" s="24" t="n"/>
      <c r="N114" s="25">
        <f>IF(C114="","",IFERROR(INDEX(tbl_Finance[Description],MATCH(C114&amp;"",tbl_Finance[Job Number],0)),""))</f>
        <v/>
      </c>
      <c r="O114" s="24" t="n"/>
      <c r="P114" s="24" t="n"/>
      <c r="Q114" s="22" t="n"/>
      <c r="R114" s="24" t="n"/>
      <c r="S114" s="25">
        <f>IF(R114="","",IF(AND(LEFT(R114,4)&lt;&gt;"http",set_RMSBase=""),"",HYPERLINK(IF(LEFT(R114,4)="http",R114,set_RMSBase&amp;R114),"Open opportunity")))</f>
        <v/>
      </c>
      <c r="T114" s="24" t="n"/>
      <c r="U114" s="25">
        <f>IF(T114="","",HYPERLINK(IF(LEFT(T114,4)="http",T114,set_QwilrBase&amp;T114),"Open quote"))</f>
        <v/>
      </c>
      <c r="V114" s="25">
        <f>IF(C114="","",C114)</f>
        <v/>
      </c>
      <c r="W114" s="24" t="n"/>
      <c r="X114" s="26" t="n"/>
      <c r="Y114" s="27">
        <f>IF(C114="","",H114+N(X114))</f>
        <v/>
      </c>
      <c r="Z114" s="29">
        <f>IFERROR(X114/Y114,"")</f>
        <v/>
      </c>
      <c r="AA114" s="26" t="n"/>
      <c r="AB114" s="26" t="n"/>
      <c r="AC114" s="26" t="n"/>
      <c r="AD114" s="26" t="n"/>
      <c r="AE114" s="27">
        <f>IF(C114="","",SUMIFS(tbl_Finance[Ex GST],tbl_Finance[Job Number],C114&amp;"",tbl_Finance[Cost Centre],"VIDEO"))</f>
        <v/>
      </c>
      <c r="AF114" s="29">
        <f>IFERROR(AE114/H114,"")</f>
        <v/>
      </c>
      <c r="AG114" s="27">
        <f>IF(C114="","",N(AA114)+N(AB114)+N(AC114)+N(AD114))</f>
        <v/>
      </c>
      <c r="AH114" s="27">
        <f>IF(C114="","",H114-AG114)</f>
        <v/>
      </c>
      <c r="AI114" s="29">
        <f>IFERROR(AH114/H114,"")</f>
        <v/>
      </c>
      <c r="AJ114" s="69" t="n"/>
      <c r="AK114" s="69" t="n"/>
      <c r="AL114" s="69" t="n"/>
      <c r="AM114" s="69" t="n"/>
      <c r="AN114" s="69" t="n"/>
      <c r="AO114" s="24" t="n"/>
    </row>
    <row r="115" ht="15" customHeight="1">
      <c r="A115" s="68">
        <f>IF(C115="","",IFERROR(IF(SUMPRODUCT(MAX((tbl_Finance[Job Number]=C115&amp;"")*(tbl_Finance[Xero Invoice No]&lt;&gt;"")*tbl_Finance[Date]))=0,"",SUMPRODUCT(MAX((tbl_Finance[Job Number]=C115&amp;"")*(tbl_Finance[Xero Invoice No]&lt;&gt;"")*tbl_Finance[Date]))),""))</f>
        <v/>
      </c>
      <c r="B115" s="25">
        <f>IF(C115="","",IF(COUNTIFS(tbl_Finance[Job Number],C115&amp;"",tbl_Finance[Xero Invoice No],"&lt;&gt;")=0,"",IFERROR(IF(COUNTIFS(tbl_Finance[Job Number],C115&amp;"",tbl_Finance[Xero Invoice No],LOOKUP(2,1/((tbl_Finance[Job Number]=C115&amp;"")*(tbl_Finance[Xero Invoice No]&lt;&gt;"")),tbl_Finance[Xero Invoice No]))=COUNTIFS(tbl_Finance[Job Number],C115&amp;"",tbl_Finance[Xero Invoice No],"&lt;&gt;"),LOOKUP(2,1/((tbl_Finance[Job Number]=C115&amp;"")*(tbl_Finance[Xero Invoice No]&lt;&gt;"")),tbl_Finance[Xero Invoice No]),LOOKUP(2,1/((tbl_Finance[Job Number]=C115&amp;"")*(tbl_Finance[Xero Invoice No]&lt;&gt;"")),tbl_Finance[Xero Invoice No])&amp;" +more"),"")))</f>
        <v/>
      </c>
      <c r="C115" s="24" t="n"/>
      <c r="D115" s="25">
        <f>IF(C115="","",IF(COUNTIF(lst_Jobs,C115&amp;"")&gt;0,"OK","CHECK"))</f>
        <v/>
      </c>
      <c r="E115" s="25">
        <f>IF(C115="","",IFERROR(INDEX(lst_JobName,MATCH(C115&amp;"",lst_Jobs,0)),""))</f>
        <v/>
      </c>
      <c r="F115" s="25">
        <f>IF(C115="","",IFERROR(INDEX(tbl_Finance[Client],MATCH(C115&amp;"",tbl_Finance[Job Number],0)),""))</f>
        <v/>
      </c>
      <c r="G115" s="28">
        <f>IF(C115="","",COUNTIFS(tbl_Finance[Job Number],C115&amp;"",tbl_Finance[Ex GST],"&lt;&gt;"))</f>
        <v/>
      </c>
      <c r="H115" s="27">
        <f>IF(C115="","",SUMIFS(tbl_Finance[Ex GST],tbl_Finance[Job Number],C115&amp;""))</f>
        <v/>
      </c>
      <c r="I115" s="27">
        <f>IF(C115="","",SUMIFS(tbl_Finance[Ex GST],tbl_Finance[Job Number],C115&amp;"",tbl_Finance[Xero Invoice No],"&lt;&gt;"))</f>
        <v/>
      </c>
      <c r="J115" s="27">
        <f>IF(C115="","",H115-I115)</f>
        <v/>
      </c>
      <c r="K115" s="25">
        <f>IF(C115="","",IF(G115=0,"not invoiced yet",SUBSTITUTE(TRIM(IF(COUNTIFS(tbl_Finance[Job Number],C115&amp;"",tbl_Finance[Cost Centre],"ONSITE")&gt;0,"ONSITE ","")&amp;IF(COUNTIFS(tbl_Finance[Job Number],C115&amp;"",tbl_Finance[Cost Centre],"PRODUCTION")&gt;0,"PRODUCTION ","")&amp;IF(COUNTIFS(tbl_Finance[Job Number],C115&amp;"",tbl_Finance[Cost Centre],"VIDEO")&gt;0,"VIDEO ","")&amp;IF(COUNTIFS(tbl_Finance[Job Number],C115&amp;"",tbl_Finance[Cost Centre],"INTEGRATION")&gt;0,"INTEGRATION ","")&amp;IF(COUNTIFS(tbl_Finance[Job Number],C115&amp;"",tbl_Finance[Cost Centre],"CONSULTING")&gt;0,"CONSULTING ","")&amp;IF(COUNTIFS(tbl_Finance[Job Number],C115&amp;"",tbl_Finance[Cost Centre],"CTS")&gt;0,"CTS ",""))," ",", ")))</f>
        <v/>
      </c>
      <c r="L115" s="27">
        <f>IF(C115="","",SUMIFS(tbl_Finance[Inc GST],tbl_Finance[Job Number],C115&amp;""))</f>
        <v/>
      </c>
      <c r="M115" s="24" t="n"/>
      <c r="N115" s="25">
        <f>IF(C115="","",IFERROR(INDEX(tbl_Finance[Description],MATCH(C115&amp;"",tbl_Finance[Job Number],0)),""))</f>
        <v/>
      </c>
      <c r="O115" s="24" t="n"/>
      <c r="P115" s="24" t="n"/>
      <c r="Q115" s="22" t="n"/>
      <c r="R115" s="24" t="n"/>
      <c r="S115" s="25">
        <f>IF(R115="","",IF(AND(LEFT(R115,4)&lt;&gt;"http",set_RMSBase=""),"",HYPERLINK(IF(LEFT(R115,4)="http",R115,set_RMSBase&amp;R115),"Open opportunity")))</f>
        <v/>
      </c>
      <c r="T115" s="24" t="n"/>
      <c r="U115" s="25">
        <f>IF(T115="","",HYPERLINK(IF(LEFT(T115,4)="http",T115,set_QwilrBase&amp;T115),"Open quote"))</f>
        <v/>
      </c>
      <c r="V115" s="25">
        <f>IF(C115="","",C115)</f>
        <v/>
      </c>
      <c r="W115" s="24" t="n"/>
      <c r="X115" s="26" t="n"/>
      <c r="Y115" s="27">
        <f>IF(C115="","",H115+N(X115))</f>
        <v/>
      </c>
      <c r="Z115" s="29">
        <f>IFERROR(X115/Y115,"")</f>
        <v/>
      </c>
      <c r="AA115" s="26" t="n"/>
      <c r="AB115" s="26" t="n"/>
      <c r="AC115" s="26" t="n"/>
      <c r="AD115" s="26" t="n"/>
      <c r="AE115" s="27">
        <f>IF(C115="","",SUMIFS(tbl_Finance[Ex GST],tbl_Finance[Job Number],C115&amp;"",tbl_Finance[Cost Centre],"VIDEO"))</f>
        <v/>
      </c>
      <c r="AF115" s="29">
        <f>IFERROR(AE115/H115,"")</f>
        <v/>
      </c>
      <c r="AG115" s="27">
        <f>IF(C115="","",N(AA115)+N(AB115)+N(AC115)+N(AD115))</f>
        <v/>
      </c>
      <c r="AH115" s="27">
        <f>IF(C115="","",H115-AG115)</f>
        <v/>
      </c>
      <c r="AI115" s="29">
        <f>IFERROR(AH115/H115,"")</f>
        <v/>
      </c>
      <c r="AJ115" s="69" t="n"/>
      <c r="AK115" s="69" t="n"/>
      <c r="AL115" s="69" t="n"/>
      <c r="AM115" s="69" t="n"/>
      <c r="AN115" s="69" t="n"/>
      <c r="AO115" s="24" t="n"/>
    </row>
    <row r="116" ht="15" customHeight="1">
      <c r="A116" s="68">
        <f>IF(C116="","",IFERROR(IF(SUMPRODUCT(MAX((tbl_Finance[Job Number]=C116&amp;"")*(tbl_Finance[Xero Invoice No]&lt;&gt;"")*tbl_Finance[Date]))=0,"",SUMPRODUCT(MAX((tbl_Finance[Job Number]=C116&amp;"")*(tbl_Finance[Xero Invoice No]&lt;&gt;"")*tbl_Finance[Date]))),""))</f>
        <v/>
      </c>
      <c r="B116" s="25">
        <f>IF(C116="","",IF(COUNTIFS(tbl_Finance[Job Number],C116&amp;"",tbl_Finance[Xero Invoice No],"&lt;&gt;")=0,"",IFERROR(IF(COUNTIFS(tbl_Finance[Job Number],C116&amp;"",tbl_Finance[Xero Invoice No],LOOKUP(2,1/((tbl_Finance[Job Number]=C116&amp;"")*(tbl_Finance[Xero Invoice No]&lt;&gt;"")),tbl_Finance[Xero Invoice No]))=COUNTIFS(tbl_Finance[Job Number],C116&amp;"",tbl_Finance[Xero Invoice No],"&lt;&gt;"),LOOKUP(2,1/((tbl_Finance[Job Number]=C116&amp;"")*(tbl_Finance[Xero Invoice No]&lt;&gt;"")),tbl_Finance[Xero Invoice No]),LOOKUP(2,1/((tbl_Finance[Job Number]=C116&amp;"")*(tbl_Finance[Xero Invoice No]&lt;&gt;"")),tbl_Finance[Xero Invoice No])&amp;" +more"),"")))</f>
        <v/>
      </c>
      <c r="C116" s="24" t="n"/>
      <c r="D116" s="25">
        <f>IF(C116="","",IF(COUNTIF(lst_Jobs,C116&amp;"")&gt;0,"OK","CHECK"))</f>
        <v/>
      </c>
      <c r="E116" s="25">
        <f>IF(C116="","",IFERROR(INDEX(lst_JobName,MATCH(C116&amp;"",lst_Jobs,0)),""))</f>
        <v/>
      </c>
      <c r="F116" s="25">
        <f>IF(C116="","",IFERROR(INDEX(tbl_Finance[Client],MATCH(C116&amp;"",tbl_Finance[Job Number],0)),""))</f>
        <v/>
      </c>
      <c r="G116" s="28">
        <f>IF(C116="","",COUNTIFS(tbl_Finance[Job Number],C116&amp;"",tbl_Finance[Ex GST],"&lt;&gt;"))</f>
        <v/>
      </c>
      <c r="H116" s="27">
        <f>IF(C116="","",SUMIFS(tbl_Finance[Ex GST],tbl_Finance[Job Number],C116&amp;""))</f>
        <v/>
      </c>
      <c r="I116" s="27">
        <f>IF(C116="","",SUMIFS(tbl_Finance[Ex GST],tbl_Finance[Job Number],C116&amp;"",tbl_Finance[Xero Invoice No],"&lt;&gt;"))</f>
        <v/>
      </c>
      <c r="J116" s="27">
        <f>IF(C116="","",H116-I116)</f>
        <v/>
      </c>
      <c r="K116" s="25">
        <f>IF(C116="","",IF(G116=0,"not invoiced yet",SUBSTITUTE(TRIM(IF(COUNTIFS(tbl_Finance[Job Number],C116&amp;"",tbl_Finance[Cost Centre],"ONSITE")&gt;0,"ONSITE ","")&amp;IF(COUNTIFS(tbl_Finance[Job Number],C116&amp;"",tbl_Finance[Cost Centre],"PRODUCTION")&gt;0,"PRODUCTION ","")&amp;IF(COUNTIFS(tbl_Finance[Job Number],C116&amp;"",tbl_Finance[Cost Centre],"VIDEO")&gt;0,"VIDEO ","")&amp;IF(COUNTIFS(tbl_Finance[Job Number],C116&amp;"",tbl_Finance[Cost Centre],"INTEGRATION")&gt;0,"INTEGRATION ","")&amp;IF(COUNTIFS(tbl_Finance[Job Number],C116&amp;"",tbl_Finance[Cost Centre],"CONSULTING")&gt;0,"CONSULTING ","")&amp;IF(COUNTIFS(tbl_Finance[Job Number],C116&amp;"",tbl_Finance[Cost Centre],"CTS")&gt;0,"CTS ",""))," ",", ")))</f>
        <v/>
      </c>
      <c r="L116" s="27">
        <f>IF(C116="","",SUMIFS(tbl_Finance[Inc GST],tbl_Finance[Job Number],C116&amp;""))</f>
        <v/>
      </c>
      <c r="M116" s="24" t="n"/>
      <c r="N116" s="25">
        <f>IF(C116="","",IFERROR(INDEX(tbl_Finance[Description],MATCH(C116&amp;"",tbl_Finance[Job Number],0)),""))</f>
        <v/>
      </c>
      <c r="O116" s="24" t="n"/>
      <c r="P116" s="24" t="n"/>
      <c r="Q116" s="22" t="n"/>
      <c r="R116" s="24" t="n"/>
      <c r="S116" s="25">
        <f>IF(R116="","",IF(AND(LEFT(R116,4)&lt;&gt;"http",set_RMSBase=""),"",HYPERLINK(IF(LEFT(R116,4)="http",R116,set_RMSBase&amp;R116),"Open opportunity")))</f>
        <v/>
      </c>
      <c r="T116" s="24" t="n"/>
      <c r="U116" s="25">
        <f>IF(T116="","",HYPERLINK(IF(LEFT(T116,4)="http",T116,set_QwilrBase&amp;T116),"Open quote"))</f>
        <v/>
      </c>
      <c r="V116" s="25">
        <f>IF(C116="","",C116)</f>
        <v/>
      </c>
      <c r="W116" s="24" t="n"/>
      <c r="X116" s="26" t="n"/>
      <c r="Y116" s="27">
        <f>IF(C116="","",H116+N(X116))</f>
        <v/>
      </c>
      <c r="Z116" s="29">
        <f>IFERROR(X116/Y116,"")</f>
        <v/>
      </c>
      <c r="AA116" s="26" t="n"/>
      <c r="AB116" s="26" t="n"/>
      <c r="AC116" s="26" t="n"/>
      <c r="AD116" s="26" t="n"/>
      <c r="AE116" s="27">
        <f>IF(C116="","",SUMIFS(tbl_Finance[Ex GST],tbl_Finance[Job Number],C116&amp;"",tbl_Finance[Cost Centre],"VIDEO"))</f>
        <v/>
      </c>
      <c r="AF116" s="29">
        <f>IFERROR(AE116/H116,"")</f>
        <v/>
      </c>
      <c r="AG116" s="27">
        <f>IF(C116="","",N(AA116)+N(AB116)+N(AC116)+N(AD116))</f>
        <v/>
      </c>
      <c r="AH116" s="27">
        <f>IF(C116="","",H116-AG116)</f>
        <v/>
      </c>
      <c r="AI116" s="29">
        <f>IFERROR(AH116/H116,"")</f>
        <v/>
      </c>
      <c r="AJ116" s="69" t="n"/>
      <c r="AK116" s="69" t="n"/>
      <c r="AL116" s="69" t="n"/>
      <c r="AM116" s="69" t="n"/>
      <c r="AN116" s="69" t="n"/>
      <c r="AO116" s="24" t="n"/>
    </row>
    <row r="117" ht="15" customHeight="1">
      <c r="A117" s="68">
        <f>IF(C117="","",IFERROR(IF(SUMPRODUCT(MAX((tbl_Finance[Job Number]=C117&amp;"")*(tbl_Finance[Xero Invoice No]&lt;&gt;"")*tbl_Finance[Date]))=0,"",SUMPRODUCT(MAX((tbl_Finance[Job Number]=C117&amp;"")*(tbl_Finance[Xero Invoice No]&lt;&gt;"")*tbl_Finance[Date]))),""))</f>
        <v/>
      </c>
      <c r="B117" s="25">
        <f>IF(C117="","",IF(COUNTIFS(tbl_Finance[Job Number],C117&amp;"",tbl_Finance[Xero Invoice No],"&lt;&gt;")=0,"",IFERROR(IF(COUNTIFS(tbl_Finance[Job Number],C117&amp;"",tbl_Finance[Xero Invoice No],LOOKUP(2,1/((tbl_Finance[Job Number]=C117&amp;"")*(tbl_Finance[Xero Invoice No]&lt;&gt;"")),tbl_Finance[Xero Invoice No]))=COUNTIFS(tbl_Finance[Job Number],C117&amp;"",tbl_Finance[Xero Invoice No],"&lt;&gt;"),LOOKUP(2,1/((tbl_Finance[Job Number]=C117&amp;"")*(tbl_Finance[Xero Invoice No]&lt;&gt;"")),tbl_Finance[Xero Invoice No]),LOOKUP(2,1/((tbl_Finance[Job Number]=C117&amp;"")*(tbl_Finance[Xero Invoice No]&lt;&gt;"")),tbl_Finance[Xero Invoice No])&amp;" +more"),"")))</f>
        <v/>
      </c>
      <c r="C117" s="24" t="n"/>
      <c r="D117" s="25">
        <f>IF(C117="","",IF(COUNTIF(lst_Jobs,C117&amp;"")&gt;0,"OK","CHECK"))</f>
        <v/>
      </c>
      <c r="E117" s="25">
        <f>IF(C117="","",IFERROR(INDEX(lst_JobName,MATCH(C117&amp;"",lst_Jobs,0)),""))</f>
        <v/>
      </c>
      <c r="F117" s="25">
        <f>IF(C117="","",IFERROR(INDEX(tbl_Finance[Client],MATCH(C117&amp;"",tbl_Finance[Job Number],0)),""))</f>
        <v/>
      </c>
      <c r="G117" s="28">
        <f>IF(C117="","",COUNTIFS(tbl_Finance[Job Number],C117&amp;"",tbl_Finance[Ex GST],"&lt;&gt;"))</f>
        <v/>
      </c>
      <c r="H117" s="27">
        <f>IF(C117="","",SUMIFS(tbl_Finance[Ex GST],tbl_Finance[Job Number],C117&amp;""))</f>
        <v/>
      </c>
      <c r="I117" s="27">
        <f>IF(C117="","",SUMIFS(tbl_Finance[Ex GST],tbl_Finance[Job Number],C117&amp;"",tbl_Finance[Xero Invoice No],"&lt;&gt;"))</f>
        <v/>
      </c>
      <c r="J117" s="27">
        <f>IF(C117="","",H117-I117)</f>
        <v/>
      </c>
      <c r="K117" s="25">
        <f>IF(C117="","",IF(G117=0,"not invoiced yet",SUBSTITUTE(TRIM(IF(COUNTIFS(tbl_Finance[Job Number],C117&amp;"",tbl_Finance[Cost Centre],"ONSITE")&gt;0,"ONSITE ","")&amp;IF(COUNTIFS(tbl_Finance[Job Number],C117&amp;"",tbl_Finance[Cost Centre],"PRODUCTION")&gt;0,"PRODUCTION ","")&amp;IF(COUNTIFS(tbl_Finance[Job Number],C117&amp;"",tbl_Finance[Cost Centre],"VIDEO")&gt;0,"VIDEO ","")&amp;IF(COUNTIFS(tbl_Finance[Job Number],C117&amp;"",tbl_Finance[Cost Centre],"INTEGRATION")&gt;0,"INTEGRATION ","")&amp;IF(COUNTIFS(tbl_Finance[Job Number],C117&amp;"",tbl_Finance[Cost Centre],"CONSULTING")&gt;0,"CONSULTING ","")&amp;IF(COUNTIFS(tbl_Finance[Job Number],C117&amp;"",tbl_Finance[Cost Centre],"CTS")&gt;0,"CTS ",""))," ",", ")))</f>
        <v/>
      </c>
      <c r="L117" s="27">
        <f>IF(C117="","",SUMIFS(tbl_Finance[Inc GST],tbl_Finance[Job Number],C117&amp;""))</f>
        <v/>
      </c>
      <c r="M117" s="24" t="n"/>
      <c r="N117" s="25">
        <f>IF(C117="","",IFERROR(INDEX(tbl_Finance[Description],MATCH(C117&amp;"",tbl_Finance[Job Number],0)),""))</f>
        <v/>
      </c>
      <c r="O117" s="24" t="n"/>
      <c r="P117" s="24" t="n"/>
      <c r="Q117" s="22" t="n"/>
      <c r="R117" s="24" t="n"/>
      <c r="S117" s="25">
        <f>IF(R117="","",IF(AND(LEFT(R117,4)&lt;&gt;"http",set_RMSBase=""),"",HYPERLINK(IF(LEFT(R117,4)="http",R117,set_RMSBase&amp;R117),"Open opportunity")))</f>
        <v/>
      </c>
      <c r="T117" s="24" t="n"/>
      <c r="U117" s="25">
        <f>IF(T117="","",HYPERLINK(IF(LEFT(T117,4)="http",T117,set_QwilrBase&amp;T117),"Open quote"))</f>
        <v/>
      </c>
      <c r="V117" s="25">
        <f>IF(C117="","",C117)</f>
        <v/>
      </c>
      <c r="W117" s="24" t="n"/>
      <c r="X117" s="26" t="n"/>
      <c r="Y117" s="27">
        <f>IF(C117="","",H117+N(X117))</f>
        <v/>
      </c>
      <c r="Z117" s="29">
        <f>IFERROR(X117/Y117,"")</f>
        <v/>
      </c>
      <c r="AA117" s="26" t="n"/>
      <c r="AB117" s="26" t="n"/>
      <c r="AC117" s="26" t="n"/>
      <c r="AD117" s="26" t="n"/>
      <c r="AE117" s="27">
        <f>IF(C117="","",SUMIFS(tbl_Finance[Ex GST],tbl_Finance[Job Number],C117&amp;"",tbl_Finance[Cost Centre],"VIDEO"))</f>
        <v/>
      </c>
      <c r="AF117" s="29">
        <f>IFERROR(AE117/H117,"")</f>
        <v/>
      </c>
      <c r="AG117" s="27">
        <f>IF(C117="","",N(AA117)+N(AB117)+N(AC117)+N(AD117))</f>
        <v/>
      </c>
      <c r="AH117" s="27">
        <f>IF(C117="","",H117-AG117)</f>
        <v/>
      </c>
      <c r="AI117" s="29">
        <f>IFERROR(AH117/H117,"")</f>
        <v/>
      </c>
      <c r="AJ117" s="69" t="n"/>
      <c r="AK117" s="69" t="n"/>
      <c r="AL117" s="69" t="n"/>
      <c r="AM117" s="69" t="n"/>
      <c r="AN117" s="69" t="n"/>
      <c r="AO117" s="24" t="n"/>
    </row>
    <row r="118" ht="15" customHeight="1">
      <c r="A118" s="68">
        <f>IF(C118="","",IFERROR(IF(SUMPRODUCT(MAX((tbl_Finance[Job Number]=C118&amp;"")*(tbl_Finance[Xero Invoice No]&lt;&gt;"")*tbl_Finance[Date]))=0,"",SUMPRODUCT(MAX((tbl_Finance[Job Number]=C118&amp;"")*(tbl_Finance[Xero Invoice No]&lt;&gt;"")*tbl_Finance[Date]))),""))</f>
        <v/>
      </c>
      <c r="B118" s="25">
        <f>IF(C118="","",IF(COUNTIFS(tbl_Finance[Job Number],C118&amp;"",tbl_Finance[Xero Invoice No],"&lt;&gt;")=0,"",IFERROR(IF(COUNTIFS(tbl_Finance[Job Number],C118&amp;"",tbl_Finance[Xero Invoice No],LOOKUP(2,1/((tbl_Finance[Job Number]=C118&amp;"")*(tbl_Finance[Xero Invoice No]&lt;&gt;"")),tbl_Finance[Xero Invoice No]))=COUNTIFS(tbl_Finance[Job Number],C118&amp;"",tbl_Finance[Xero Invoice No],"&lt;&gt;"),LOOKUP(2,1/((tbl_Finance[Job Number]=C118&amp;"")*(tbl_Finance[Xero Invoice No]&lt;&gt;"")),tbl_Finance[Xero Invoice No]),LOOKUP(2,1/((tbl_Finance[Job Number]=C118&amp;"")*(tbl_Finance[Xero Invoice No]&lt;&gt;"")),tbl_Finance[Xero Invoice No])&amp;" +more"),"")))</f>
        <v/>
      </c>
      <c r="C118" s="24" t="n"/>
      <c r="D118" s="25">
        <f>IF(C118="","",IF(COUNTIF(lst_Jobs,C118&amp;"")&gt;0,"OK","CHECK"))</f>
        <v/>
      </c>
      <c r="E118" s="25">
        <f>IF(C118="","",IFERROR(INDEX(lst_JobName,MATCH(C118&amp;"",lst_Jobs,0)),""))</f>
        <v/>
      </c>
      <c r="F118" s="25">
        <f>IF(C118="","",IFERROR(INDEX(tbl_Finance[Client],MATCH(C118&amp;"",tbl_Finance[Job Number],0)),""))</f>
        <v/>
      </c>
      <c r="G118" s="28">
        <f>IF(C118="","",COUNTIFS(tbl_Finance[Job Number],C118&amp;"",tbl_Finance[Ex GST],"&lt;&gt;"))</f>
        <v/>
      </c>
      <c r="H118" s="27">
        <f>IF(C118="","",SUMIFS(tbl_Finance[Ex GST],tbl_Finance[Job Number],C118&amp;""))</f>
        <v/>
      </c>
      <c r="I118" s="27">
        <f>IF(C118="","",SUMIFS(tbl_Finance[Ex GST],tbl_Finance[Job Number],C118&amp;"",tbl_Finance[Xero Invoice No],"&lt;&gt;"))</f>
        <v/>
      </c>
      <c r="J118" s="27">
        <f>IF(C118="","",H118-I118)</f>
        <v/>
      </c>
      <c r="K118" s="25">
        <f>IF(C118="","",IF(G118=0,"not invoiced yet",SUBSTITUTE(TRIM(IF(COUNTIFS(tbl_Finance[Job Number],C118&amp;"",tbl_Finance[Cost Centre],"ONSITE")&gt;0,"ONSITE ","")&amp;IF(COUNTIFS(tbl_Finance[Job Number],C118&amp;"",tbl_Finance[Cost Centre],"PRODUCTION")&gt;0,"PRODUCTION ","")&amp;IF(COUNTIFS(tbl_Finance[Job Number],C118&amp;"",tbl_Finance[Cost Centre],"VIDEO")&gt;0,"VIDEO ","")&amp;IF(COUNTIFS(tbl_Finance[Job Number],C118&amp;"",tbl_Finance[Cost Centre],"INTEGRATION")&gt;0,"INTEGRATION ","")&amp;IF(COUNTIFS(tbl_Finance[Job Number],C118&amp;"",tbl_Finance[Cost Centre],"CONSULTING")&gt;0,"CONSULTING ","")&amp;IF(COUNTIFS(tbl_Finance[Job Number],C118&amp;"",tbl_Finance[Cost Centre],"CTS")&gt;0,"CTS ",""))," ",", ")))</f>
        <v/>
      </c>
      <c r="L118" s="27">
        <f>IF(C118="","",SUMIFS(tbl_Finance[Inc GST],tbl_Finance[Job Number],C118&amp;""))</f>
        <v/>
      </c>
      <c r="M118" s="24" t="n"/>
      <c r="N118" s="25">
        <f>IF(C118="","",IFERROR(INDEX(tbl_Finance[Description],MATCH(C118&amp;"",tbl_Finance[Job Number],0)),""))</f>
        <v/>
      </c>
      <c r="O118" s="24" t="n"/>
      <c r="P118" s="24" t="n"/>
      <c r="Q118" s="22" t="n"/>
      <c r="R118" s="24" t="n"/>
      <c r="S118" s="25">
        <f>IF(R118="","",IF(AND(LEFT(R118,4)&lt;&gt;"http",set_RMSBase=""),"",HYPERLINK(IF(LEFT(R118,4)="http",R118,set_RMSBase&amp;R118),"Open opportunity")))</f>
        <v/>
      </c>
      <c r="T118" s="24" t="n"/>
      <c r="U118" s="25">
        <f>IF(T118="","",HYPERLINK(IF(LEFT(T118,4)="http",T118,set_QwilrBase&amp;T118),"Open quote"))</f>
        <v/>
      </c>
      <c r="V118" s="25">
        <f>IF(C118="","",C118)</f>
        <v/>
      </c>
      <c r="W118" s="24" t="n"/>
      <c r="X118" s="26" t="n"/>
      <c r="Y118" s="27">
        <f>IF(C118="","",H118+N(X118))</f>
        <v/>
      </c>
      <c r="Z118" s="29">
        <f>IFERROR(X118/Y118,"")</f>
        <v/>
      </c>
      <c r="AA118" s="26" t="n"/>
      <c r="AB118" s="26" t="n"/>
      <c r="AC118" s="26" t="n"/>
      <c r="AD118" s="26" t="n"/>
      <c r="AE118" s="27">
        <f>IF(C118="","",SUMIFS(tbl_Finance[Ex GST],tbl_Finance[Job Number],C118&amp;"",tbl_Finance[Cost Centre],"VIDEO"))</f>
        <v/>
      </c>
      <c r="AF118" s="29">
        <f>IFERROR(AE118/H118,"")</f>
        <v/>
      </c>
      <c r="AG118" s="27">
        <f>IF(C118="","",N(AA118)+N(AB118)+N(AC118)+N(AD118))</f>
        <v/>
      </c>
      <c r="AH118" s="27">
        <f>IF(C118="","",H118-AG118)</f>
        <v/>
      </c>
      <c r="AI118" s="29">
        <f>IFERROR(AH118/H118,"")</f>
        <v/>
      </c>
      <c r="AJ118" s="69" t="n"/>
      <c r="AK118" s="69" t="n"/>
      <c r="AL118" s="69" t="n"/>
      <c r="AM118" s="69" t="n"/>
      <c r="AN118" s="69" t="n"/>
      <c r="AO118" s="24" t="n"/>
    </row>
    <row r="119" ht="15" customHeight="1">
      <c r="A119" s="68">
        <f>IF(C119="","",IFERROR(IF(SUMPRODUCT(MAX((tbl_Finance[Job Number]=C119&amp;"")*(tbl_Finance[Xero Invoice No]&lt;&gt;"")*tbl_Finance[Date]))=0,"",SUMPRODUCT(MAX((tbl_Finance[Job Number]=C119&amp;"")*(tbl_Finance[Xero Invoice No]&lt;&gt;"")*tbl_Finance[Date]))),""))</f>
        <v/>
      </c>
      <c r="B119" s="25">
        <f>IF(C119="","",IF(COUNTIFS(tbl_Finance[Job Number],C119&amp;"",tbl_Finance[Xero Invoice No],"&lt;&gt;")=0,"",IFERROR(IF(COUNTIFS(tbl_Finance[Job Number],C119&amp;"",tbl_Finance[Xero Invoice No],LOOKUP(2,1/((tbl_Finance[Job Number]=C119&amp;"")*(tbl_Finance[Xero Invoice No]&lt;&gt;"")),tbl_Finance[Xero Invoice No]))=COUNTIFS(tbl_Finance[Job Number],C119&amp;"",tbl_Finance[Xero Invoice No],"&lt;&gt;"),LOOKUP(2,1/((tbl_Finance[Job Number]=C119&amp;"")*(tbl_Finance[Xero Invoice No]&lt;&gt;"")),tbl_Finance[Xero Invoice No]),LOOKUP(2,1/((tbl_Finance[Job Number]=C119&amp;"")*(tbl_Finance[Xero Invoice No]&lt;&gt;"")),tbl_Finance[Xero Invoice No])&amp;" +more"),"")))</f>
        <v/>
      </c>
      <c r="C119" s="24" t="n"/>
      <c r="D119" s="25">
        <f>IF(C119="","",IF(COUNTIF(lst_Jobs,C119&amp;"")&gt;0,"OK","CHECK"))</f>
        <v/>
      </c>
      <c r="E119" s="25">
        <f>IF(C119="","",IFERROR(INDEX(lst_JobName,MATCH(C119&amp;"",lst_Jobs,0)),""))</f>
        <v/>
      </c>
      <c r="F119" s="25">
        <f>IF(C119="","",IFERROR(INDEX(tbl_Finance[Client],MATCH(C119&amp;"",tbl_Finance[Job Number],0)),""))</f>
        <v/>
      </c>
      <c r="G119" s="28">
        <f>IF(C119="","",COUNTIFS(tbl_Finance[Job Number],C119&amp;"",tbl_Finance[Ex GST],"&lt;&gt;"))</f>
        <v/>
      </c>
      <c r="H119" s="27">
        <f>IF(C119="","",SUMIFS(tbl_Finance[Ex GST],tbl_Finance[Job Number],C119&amp;""))</f>
        <v/>
      </c>
      <c r="I119" s="27">
        <f>IF(C119="","",SUMIFS(tbl_Finance[Ex GST],tbl_Finance[Job Number],C119&amp;"",tbl_Finance[Xero Invoice No],"&lt;&gt;"))</f>
        <v/>
      </c>
      <c r="J119" s="27">
        <f>IF(C119="","",H119-I119)</f>
        <v/>
      </c>
      <c r="K119" s="25">
        <f>IF(C119="","",IF(G119=0,"not invoiced yet",SUBSTITUTE(TRIM(IF(COUNTIFS(tbl_Finance[Job Number],C119&amp;"",tbl_Finance[Cost Centre],"ONSITE")&gt;0,"ONSITE ","")&amp;IF(COUNTIFS(tbl_Finance[Job Number],C119&amp;"",tbl_Finance[Cost Centre],"PRODUCTION")&gt;0,"PRODUCTION ","")&amp;IF(COUNTIFS(tbl_Finance[Job Number],C119&amp;"",tbl_Finance[Cost Centre],"VIDEO")&gt;0,"VIDEO ","")&amp;IF(COUNTIFS(tbl_Finance[Job Number],C119&amp;"",tbl_Finance[Cost Centre],"INTEGRATION")&gt;0,"INTEGRATION ","")&amp;IF(COUNTIFS(tbl_Finance[Job Number],C119&amp;"",tbl_Finance[Cost Centre],"CONSULTING")&gt;0,"CONSULTING ","")&amp;IF(COUNTIFS(tbl_Finance[Job Number],C119&amp;"",tbl_Finance[Cost Centre],"CTS")&gt;0,"CTS ",""))," ",", ")))</f>
        <v/>
      </c>
      <c r="L119" s="27">
        <f>IF(C119="","",SUMIFS(tbl_Finance[Inc GST],tbl_Finance[Job Number],C119&amp;""))</f>
        <v/>
      </c>
      <c r="M119" s="24" t="n"/>
      <c r="N119" s="25">
        <f>IF(C119="","",IFERROR(INDEX(tbl_Finance[Description],MATCH(C119&amp;"",tbl_Finance[Job Number],0)),""))</f>
        <v/>
      </c>
      <c r="O119" s="24" t="n"/>
      <c r="P119" s="24" t="n"/>
      <c r="Q119" s="22" t="n"/>
      <c r="R119" s="24" t="n"/>
      <c r="S119" s="25">
        <f>IF(R119="","",IF(AND(LEFT(R119,4)&lt;&gt;"http",set_RMSBase=""),"",HYPERLINK(IF(LEFT(R119,4)="http",R119,set_RMSBase&amp;R119),"Open opportunity")))</f>
        <v/>
      </c>
      <c r="T119" s="24" t="n"/>
      <c r="U119" s="25">
        <f>IF(T119="","",HYPERLINK(IF(LEFT(T119,4)="http",T119,set_QwilrBase&amp;T119),"Open quote"))</f>
        <v/>
      </c>
      <c r="V119" s="25">
        <f>IF(C119="","",C119)</f>
        <v/>
      </c>
      <c r="W119" s="24" t="n"/>
      <c r="X119" s="26" t="n"/>
      <c r="Y119" s="27">
        <f>IF(C119="","",H119+N(X119))</f>
        <v/>
      </c>
      <c r="Z119" s="29">
        <f>IFERROR(X119/Y119,"")</f>
        <v/>
      </c>
      <c r="AA119" s="26" t="n"/>
      <c r="AB119" s="26" t="n"/>
      <c r="AC119" s="26" t="n"/>
      <c r="AD119" s="26" t="n"/>
      <c r="AE119" s="27">
        <f>IF(C119="","",SUMIFS(tbl_Finance[Ex GST],tbl_Finance[Job Number],C119&amp;"",tbl_Finance[Cost Centre],"VIDEO"))</f>
        <v/>
      </c>
      <c r="AF119" s="29">
        <f>IFERROR(AE119/H119,"")</f>
        <v/>
      </c>
      <c r="AG119" s="27">
        <f>IF(C119="","",N(AA119)+N(AB119)+N(AC119)+N(AD119))</f>
        <v/>
      </c>
      <c r="AH119" s="27">
        <f>IF(C119="","",H119-AG119)</f>
        <v/>
      </c>
      <c r="AI119" s="29">
        <f>IFERROR(AH119/H119,"")</f>
        <v/>
      </c>
      <c r="AJ119" s="69" t="n"/>
      <c r="AK119" s="69" t="n"/>
      <c r="AL119" s="69" t="n"/>
      <c r="AM119" s="69" t="n"/>
      <c r="AN119" s="69" t="n"/>
      <c r="AO119" s="24" t="n"/>
    </row>
    <row r="120" ht="15" customHeight="1">
      <c r="A120" s="68">
        <f>IF(C120="","",IFERROR(IF(SUMPRODUCT(MAX((tbl_Finance[Job Number]=C120&amp;"")*(tbl_Finance[Xero Invoice No]&lt;&gt;"")*tbl_Finance[Date]))=0,"",SUMPRODUCT(MAX((tbl_Finance[Job Number]=C120&amp;"")*(tbl_Finance[Xero Invoice No]&lt;&gt;"")*tbl_Finance[Date]))),""))</f>
        <v/>
      </c>
      <c r="B120" s="25">
        <f>IF(C120="","",IF(COUNTIFS(tbl_Finance[Job Number],C120&amp;"",tbl_Finance[Xero Invoice No],"&lt;&gt;")=0,"",IFERROR(IF(COUNTIFS(tbl_Finance[Job Number],C120&amp;"",tbl_Finance[Xero Invoice No],LOOKUP(2,1/((tbl_Finance[Job Number]=C120&amp;"")*(tbl_Finance[Xero Invoice No]&lt;&gt;"")),tbl_Finance[Xero Invoice No]))=COUNTIFS(tbl_Finance[Job Number],C120&amp;"",tbl_Finance[Xero Invoice No],"&lt;&gt;"),LOOKUP(2,1/((tbl_Finance[Job Number]=C120&amp;"")*(tbl_Finance[Xero Invoice No]&lt;&gt;"")),tbl_Finance[Xero Invoice No]),LOOKUP(2,1/((tbl_Finance[Job Number]=C120&amp;"")*(tbl_Finance[Xero Invoice No]&lt;&gt;"")),tbl_Finance[Xero Invoice No])&amp;" +more"),"")))</f>
        <v/>
      </c>
      <c r="C120" s="24" t="n"/>
      <c r="D120" s="25">
        <f>IF(C120="","",IF(COUNTIF(lst_Jobs,C120&amp;"")&gt;0,"OK","CHECK"))</f>
        <v/>
      </c>
      <c r="E120" s="25">
        <f>IF(C120="","",IFERROR(INDEX(lst_JobName,MATCH(C120&amp;"",lst_Jobs,0)),""))</f>
        <v/>
      </c>
      <c r="F120" s="25">
        <f>IF(C120="","",IFERROR(INDEX(tbl_Finance[Client],MATCH(C120&amp;"",tbl_Finance[Job Number],0)),""))</f>
        <v/>
      </c>
      <c r="G120" s="28">
        <f>IF(C120="","",COUNTIFS(tbl_Finance[Job Number],C120&amp;"",tbl_Finance[Ex GST],"&lt;&gt;"))</f>
        <v/>
      </c>
      <c r="H120" s="27">
        <f>IF(C120="","",SUMIFS(tbl_Finance[Ex GST],tbl_Finance[Job Number],C120&amp;""))</f>
        <v/>
      </c>
      <c r="I120" s="27">
        <f>IF(C120="","",SUMIFS(tbl_Finance[Ex GST],tbl_Finance[Job Number],C120&amp;"",tbl_Finance[Xero Invoice No],"&lt;&gt;"))</f>
        <v/>
      </c>
      <c r="J120" s="27">
        <f>IF(C120="","",H120-I120)</f>
        <v/>
      </c>
      <c r="K120" s="25">
        <f>IF(C120="","",IF(G120=0,"not invoiced yet",SUBSTITUTE(TRIM(IF(COUNTIFS(tbl_Finance[Job Number],C120&amp;"",tbl_Finance[Cost Centre],"ONSITE")&gt;0,"ONSITE ","")&amp;IF(COUNTIFS(tbl_Finance[Job Number],C120&amp;"",tbl_Finance[Cost Centre],"PRODUCTION")&gt;0,"PRODUCTION ","")&amp;IF(COUNTIFS(tbl_Finance[Job Number],C120&amp;"",tbl_Finance[Cost Centre],"VIDEO")&gt;0,"VIDEO ","")&amp;IF(COUNTIFS(tbl_Finance[Job Number],C120&amp;"",tbl_Finance[Cost Centre],"INTEGRATION")&gt;0,"INTEGRATION ","")&amp;IF(COUNTIFS(tbl_Finance[Job Number],C120&amp;"",tbl_Finance[Cost Centre],"CONSULTING")&gt;0,"CONSULTING ","")&amp;IF(COUNTIFS(tbl_Finance[Job Number],C120&amp;"",tbl_Finance[Cost Centre],"CTS")&gt;0,"CTS ",""))," ",", ")))</f>
        <v/>
      </c>
      <c r="L120" s="27">
        <f>IF(C120="","",SUMIFS(tbl_Finance[Inc GST],tbl_Finance[Job Number],C120&amp;""))</f>
        <v/>
      </c>
      <c r="M120" s="24" t="n"/>
      <c r="N120" s="25">
        <f>IF(C120="","",IFERROR(INDEX(tbl_Finance[Description],MATCH(C120&amp;"",tbl_Finance[Job Number],0)),""))</f>
        <v/>
      </c>
      <c r="O120" s="24" t="n"/>
      <c r="P120" s="24" t="n"/>
      <c r="Q120" s="22" t="n"/>
      <c r="R120" s="24" t="n"/>
      <c r="S120" s="25">
        <f>IF(R120="","",IF(AND(LEFT(R120,4)&lt;&gt;"http",set_RMSBase=""),"",HYPERLINK(IF(LEFT(R120,4)="http",R120,set_RMSBase&amp;R120),"Open opportunity")))</f>
        <v/>
      </c>
      <c r="T120" s="24" t="n"/>
      <c r="U120" s="25">
        <f>IF(T120="","",HYPERLINK(IF(LEFT(T120,4)="http",T120,set_QwilrBase&amp;T120),"Open quote"))</f>
        <v/>
      </c>
      <c r="V120" s="25">
        <f>IF(C120="","",C120)</f>
        <v/>
      </c>
      <c r="W120" s="24" t="n"/>
      <c r="X120" s="26" t="n"/>
      <c r="Y120" s="27">
        <f>IF(C120="","",H120+N(X120))</f>
        <v/>
      </c>
      <c r="Z120" s="29">
        <f>IFERROR(X120/Y120,"")</f>
        <v/>
      </c>
      <c r="AA120" s="26" t="n"/>
      <c r="AB120" s="26" t="n"/>
      <c r="AC120" s="26" t="n"/>
      <c r="AD120" s="26" t="n"/>
      <c r="AE120" s="27">
        <f>IF(C120="","",SUMIFS(tbl_Finance[Ex GST],tbl_Finance[Job Number],C120&amp;"",tbl_Finance[Cost Centre],"VIDEO"))</f>
        <v/>
      </c>
      <c r="AF120" s="29">
        <f>IFERROR(AE120/H120,"")</f>
        <v/>
      </c>
      <c r="AG120" s="27">
        <f>IF(C120="","",N(AA120)+N(AB120)+N(AC120)+N(AD120))</f>
        <v/>
      </c>
      <c r="AH120" s="27">
        <f>IF(C120="","",H120-AG120)</f>
        <v/>
      </c>
      <c r="AI120" s="29">
        <f>IFERROR(AH120/H120,"")</f>
        <v/>
      </c>
      <c r="AJ120" s="69" t="n"/>
      <c r="AK120" s="69" t="n"/>
      <c r="AL120" s="69" t="n"/>
      <c r="AM120" s="69" t="n"/>
      <c r="AN120" s="69" t="n"/>
      <c r="AO120" s="24" t="n"/>
    </row>
    <row r="121" ht="15" customHeight="1">
      <c r="A121" s="68">
        <f>IF(C121="","",IFERROR(IF(SUMPRODUCT(MAX((tbl_Finance[Job Number]=C121&amp;"")*(tbl_Finance[Xero Invoice No]&lt;&gt;"")*tbl_Finance[Date]))=0,"",SUMPRODUCT(MAX((tbl_Finance[Job Number]=C121&amp;"")*(tbl_Finance[Xero Invoice No]&lt;&gt;"")*tbl_Finance[Date]))),""))</f>
        <v/>
      </c>
      <c r="B121" s="25">
        <f>IF(C121="","",IF(COUNTIFS(tbl_Finance[Job Number],C121&amp;"",tbl_Finance[Xero Invoice No],"&lt;&gt;")=0,"",IFERROR(IF(COUNTIFS(tbl_Finance[Job Number],C121&amp;"",tbl_Finance[Xero Invoice No],LOOKUP(2,1/((tbl_Finance[Job Number]=C121&amp;"")*(tbl_Finance[Xero Invoice No]&lt;&gt;"")),tbl_Finance[Xero Invoice No]))=COUNTIFS(tbl_Finance[Job Number],C121&amp;"",tbl_Finance[Xero Invoice No],"&lt;&gt;"),LOOKUP(2,1/((tbl_Finance[Job Number]=C121&amp;"")*(tbl_Finance[Xero Invoice No]&lt;&gt;"")),tbl_Finance[Xero Invoice No]),LOOKUP(2,1/((tbl_Finance[Job Number]=C121&amp;"")*(tbl_Finance[Xero Invoice No]&lt;&gt;"")),tbl_Finance[Xero Invoice No])&amp;" +more"),"")))</f>
        <v/>
      </c>
      <c r="C121" s="24" t="n"/>
      <c r="D121" s="25">
        <f>IF(C121="","",IF(COUNTIF(lst_Jobs,C121&amp;"")&gt;0,"OK","CHECK"))</f>
        <v/>
      </c>
      <c r="E121" s="25">
        <f>IF(C121="","",IFERROR(INDEX(lst_JobName,MATCH(C121&amp;"",lst_Jobs,0)),""))</f>
        <v/>
      </c>
      <c r="F121" s="25">
        <f>IF(C121="","",IFERROR(INDEX(tbl_Finance[Client],MATCH(C121&amp;"",tbl_Finance[Job Number],0)),""))</f>
        <v/>
      </c>
      <c r="G121" s="28">
        <f>IF(C121="","",COUNTIFS(tbl_Finance[Job Number],C121&amp;"",tbl_Finance[Ex GST],"&lt;&gt;"))</f>
        <v/>
      </c>
      <c r="H121" s="27">
        <f>IF(C121="","",SUMIFS(tbl_Finance[Ex GST],tbl_Finance[Job Number],C121&amp;""))</f>
        <v/>
      </c>
      <c r="I121" s="27">
        <f>IF(C121="","",SUMIFS(tbl_Finance[Ex GST],tbl_Finance[Job Number],C121&amp;"",tbl_Finance[Xero Invoice No],"&lt;&gt;"))</f>
        <v/>
      </c>
      <c r="J121" s="27">
        <f>IF(C121="","",H121-I121)</f>
        <v/>
      </c>
      <c r="K121" s="25">
        <f>IF(C121="","",IF(G121=0,"not invoiced yet",SUBSTITUTE(TRIM(IF(COUNTIFS(tbl_Finance[Job Number],C121&amp;"",tbl_Finance[Cost Centre],"ONSITE")&gt;0,"ONSITE ","")&amp;IF(COUNTIFS(tbl_Finance[Job Number],C121&amp;"",tbl_Finance[Cost Centre],"PRODUCTION")&gt;0,"PRODUCTION ","")&amp;IF(COUNTIFS(tbl_Finance[Job Number],C121&amp;"",tbl_Finance[Cost Centre],"VIDEO")&gt;0,"VIDEO ","")&amp;IF(COUNTIFS(tbl_Finance[Job Number],C121&amp;"",tbl_Finance[Cost Centre],"INTEGRATION")&gt;0,"INTEGRATION ","")&amp;IF(COUNTIFS(tbl_Finance[Job Number],C121&amp;"",tbl_Finance[Cost Centre],"CONSULTING")&gt;0,"CONSULTING ","")&amp;IF(COUNTIFS(tbl_Finance[Job Number],C121&amp;"",tbl_Finance[Cost Centre],"CTS")&gt;0,"CTS ",""))," ",", ")))</f>
        <v/>
      </c>
      <c r="L121" s="27">
        <f>IF(C121="","",SUMIFS(tbl_Finance[Inc GST],tbl_Finance[Job Number],C121&amp;""))</f>
        <v/>
      </c>
      <c r="M121" s="24" t="n"/>
      <c r="N121" s="25">
        <f>IF(C121="","",IFERROR(INDEX(tbl_Finance[Description],MATCH(C121&amp;"",tbl_Finance[Job Number],0)),""))</f>
        <v/>
      </c>
      <c r="O121" s="24" t="n"/>
      <c r="P121" s="24" t="n"/>
      <c r="Q121" s="22" t="n"/>
      <c r="R121" s="24" t="n"/>
      <c r="S121" s="25">
        <f>IF(R121="","",IF(AND(LEFT(R121,4)&lt;&gt;"http",set_RMSBase=""),"",HYPERLINK(IF(LEFT(R121,4)="http",R121,set_RMSBase&amp;R121),"Open opportunity")))</f>
        <v/>
      </c>
      <c r="T121" s="24" t="n"/>
      <c r="U121" s="25">
        <f>IF(T121="","",HYPERLINK(IF(LEFT(T121,4)="http",T121,set_QwilrBase&amp;T121),"Open quote"))</f>
        <v/>
      </c>
      <c r="V121" s="25">
        <f>IF(C121="","",C121)</f>
        <v/>
      </c>
      <c r="W121" s="24" t="n"/>
      <c r="X121" s="26" t="n"/>
      <c r="Y121" s="27">
        <f>IF(C121="","",H121+N(X121))</f>
        <v/>
      </c>
      <c r="Z121" s="29">
        <f>IFERROR(X121/Y121,"")</f>
        <v/>
      </c>
      <c r="AA121" s="26" t="n"/>
      <c r="AB121" s="26" t="n"/>
      <c r="AC121" s="26" t="n"/>
      <c r="AD121" s="26" t="n"/>
      <c r="AE121" s="27">
        <f>IF(C121="","",SUMIFS(tbl_Finance[Ex GST],tbl_Finance[Job Number],C121&amp;"",tbl_Finance[Cost Centre],"VIDEO"))</f>
        <v/>
      </c>
      <c r="AF121" s="29">
        <f>IFERROR(AE121/H121,"")</f>
        <v/>
      </c>
      <c r="AG121" s="27">
        <f>IF(C121="","",N(AA121)+N(AB121)+N(AC121)+N(AD121))</f>
        <v/>
      </c>
      <c r="AH121" s="27">
        <f>IF(C121="","",H121-AG121)</f>
        <v/>
      </c>
      <c r="AI121" s="29">
        <f>IFERROR(AH121/H121,"")</f>
        <v/>
      </c>
      <c r="AJ121" s="69" t="n"/>
      <c r="AK121" s="69" t="n"/>
      <c r="AL121" s="69" t="n"/>
      <c r="AM121" s="69" t="n"/>
      <c r="AN121" s="69" t="n"/>
      <c r="AO121" s="24" t="n"/>
    </row>
    <row r="122" ht="15" customHeight="1">
      <c r="A122" s="68">
        <f>IF(C122="","",IFERROR(IF(SUMPRODUCT(MAX((tbl_Finance[Job Number]=C122&amp;"")*(tbl_Finance[Xero Invoice No]&lt;&gt;"")*tbl_Finance[Date]))=0,"",SUMPRODUCT(MAX((tbl_Finance[Job Number]=C122&amp;"")*(tbl_Finance[Xero Invoice No]&lt;&gt;"")*tbl_Finance[Date]))),""))</f>
        <v/>
      </c>
      <c r="B122" s="25">
        <f>IF(C122="","",IF(COUNTIFS(tbl_Finance[Job Number],C122&amp;"",tbl_Finance[Xero Invoice No],"&lt;&gt;")=0,"",IFERROR(IF(COUNTIFS(tbl_Finance[Job Number],C122&amp;"",tbl_Finance[Xero Invoice No],LOOKUP(2,1/((tbl_Finance[Job Number]=C122&amp;"")*(tbl_Finance[Xero Invoice No]&lt;&gt;"")),tbl_Finance[Xero Invoice No]))=COUNTIFS(tbl_Finance[Job Number],C122&amp;"",tbl_Finance[Xero Invoice No],"&lt;&gt;"),LOOKUP(2,1/((tbl_Finance[Job Number]=C122&amp;"")*(tbl_Finance[Xero Invoice No]&lt;&gt;"")),tbl_Finance[Xero Invoice No]),LOOKUP(2,1/((tbl_Finance[Job Number]=C122&amp;"")*(tbl_Finance[Xero Invoice No]&lt;&gt;"")),tbl_Finance[Xero Invoice No])&amp;" +more"),"")))</f>
        <v/>
      </c>
      <c r="C122" s="24" t="n"/>
      <c r="D122" s="25">
        <f>IF(C122="","",IF(COUNTIF(lst_Jobs,C122&amp;"")&gt;0,"OK","CHECK"))</f>
        <v/>
      </c>
      <c r="E122" s="25">
        <f>IF(C122="","",IFERROR(INDEX(lst_JobName,MATCH(C122&amp;"",lst_Jobs,0)),""))</f>
        <v/>
      </c>
      <c r="F122" s="25">
        <f>IF(C122="","",IFERROR(INDEX(tbl_Finance[Client],MATCH(C122&amp;"",tbl_Finance[Job Number],0)),""))</f>
        <v/>
      </c>
      <c r="G122" s="28">
        <f>IF(C122="","",COUNTIFS(tbl_Finance[Job Number],C122&amp;"",tbl_Finance[Ex GST],"&lt;&gt;"))</f>
        <v/>
      </c>
      <c r="H122" s="27">
        <f>IF(C122="","",SUMIFS(tbl_Finance[Ex GST],tbl_Finance[Job Number],C122&amp;""))</f>
        <v/>
      </c>
      <c r="I122" s="27">
        <f>IF(C122="","",SUMIFS(tbl_Finance[Ex GST],tbl_Finance[Job Number],C122&amp;"",tbl_Finance[Xero Invoice No],"&lt;&gt;"))</f>
        <v/>
      </c>
      <c r="J122" s="27">
        <f>IF(C122="","",H122-I122)</f>
        <v/>
      </c>
      <c r="K122" s="25">
        <f>IF(C122="","",IF(G122=0,"not invoiced yet",SUBSTITUTE(TRIM(IF(COUNTIFS(tbl_Finance[Job Number],C122&amp;"",tbl_Finance[Cost Centre],"ONSITE")&gt;0,"ONSITE ","")&amp;IF(COUNTIFS(tbl_Finance[Job Number],C122&amp;"",tbl_Finance[Cost Centre],"PRODUCTION")&gt;0,"PRODUCTION ","")&amp;IF(COUNTIFS(tbl_Finance[Job Number],C122&amp;"",tbl_Finance[Cost Centre],"VIDEO")&gt;0,"VIDEO ","")&amp;IF(COUNTIFS(tbl_Finance[Job Number],C122&amp;"",tbl_Finance[Cost Centre],"INTEGRATION")&gt;0,"INTEGRATION ","")&amp;IF(COUNTIFS(tbl_Finance[Job Number],C122&amp;"",tbl_Finance[Cost Centre],"CONSULTING")&gt;0,"CONSULTING ","")&amp;IF(COUNTIFS(tbl_Finance[Job Number],C122&amp;"",tbl_Finance[Cost Centre],"CTS")&gt;0,"CTS ",""))," ",", ")))</f>
        <v/>
      </c>
      <c r="L122" s="27">
        <f>IF(C122="","",SUMIFS(tbl_Finance[Inc GST],tbl_Finance[Job Number],C122&amp;""))</f>
        <v/>
      </c>
      <c r="M122" s="24" t="n"/>
      <c r="N122" s="25">
        <f>IF(C122="","",IFERROR(INDEX(tbl_Finance[Description],MATCH(C122&amp;"",tbl_Finance[Job Number],0)),""))</f>
        <v/>
      </c>
      <c r="O122" s="24" t="n"/>
      <c r="P122" s="24" t="n"/>
      <c r="Q122" s="22" t="n"/>
      <c r="R122" s="24" t="n"/>
      <c r="S122" s="25">
        <f>IF(R122="","",IF(AND(LEFT(R122,4)&lt;&gt;"http",set_RMSBase=""),"",HYPERLINK(IF(LEFT(R122,4)="http",R122,set_RMSBase&amp;R122),"Open opportunity")))</f>
        <v/>
      </c>
      <c r="T122" s="24" t="n"/>
      <c r="U122" s="25">
        <f>IF(T122="","",HYPERLINK(IF(LEFT(T122,4)="http",T122,set_QwilrBase&amp;T122),"Open quote"))</f>
        <v/>
      </c>
      <c r="V122" s="25">
        <f>IF(C122="","",C122)</f>
        <v/>
      </c>
      <c r="W122" s="24" t="n"/>
      <c r="X122" s="26" t="n"/>
      <c r="Y122" s="27">
        <f>IF(C122="","",H122+N(X122))</f>
        <v/>
      </c>
      <c r="Z122" s="29">
        <f>IFERROR(X122/Y122,"")</f>
        <v/>
      </c>
      <c r="AA122" s="26" t="n"/>
      <c r="AB122" s="26" t="n"/>
      <c r="AC122" s="26" t="n"/>
      <c r="AD122" s="26" t="n"/>
      <c r="AE122" s="27">
        <f>IF(C122="","",SUMIFS(tbl_Finance[Ex GST],tbl_Finance[Job Number],C122&amp;"",tbl_Finance[Cost Centre],"VIDEO"))</f>
        <v/>
      </c>
      <c r="AF122" s="29">
        <f>IFERROR(AE122/H122,"")</f>
        <v/>
      </c>
      <c r="AG122" s="27">
        <f>IF(C122="","",N(AA122)+N(AB122)+N(AC122)+N(AD122))</f>
        <v/>
      </c>
      <c r="AH122" s="27">
        <f>IF(C122="","",H122-AG122)</f>
        <v/>
      </c>
      <c r="AI122" s="29">
        <f>IFERROR(AH122/H122,"")</f>
        <v/>
      </c>
      <c r="AJ122" s="69" t="n"/>
      <c r="AK122" s="69" t="n"/>
      <c r="AL122" s="69" t="n"/>
      <c r="AM122" s="69" t="n"/>
      <c r="AN122" s="69" t="n"/>
      <c r="AO122" s="24" t="n"/>
    </row>
    <row r="123" ht="15" customHeight="1">
      <c r="A123" s="68">
        <f>IF(C123="","",IFERROR(IF(SUMPRODUCT(MAX((tbl_Finance[Job Number]=C123&amp;"")*(tbl_Finance[Xero Invoice No]&lt;&gt;"")*tbl_Finance[Date]))=0,"",SUMPRODUCT(MAX((tbl_Finance[Job Number]=C123&amp;"")*(tbl_Finance[Xero Invoice No]&lt;&gt;"")*tbl_Finance[Date]))),""))</f>
        <v/>
      </c>
      <c r="B123" s="25">
        <f>IF(C123="","",IF(COUNTIFS(tbl_Finance[Job Number],C123&amp;"",tbl_Finance[Xero Invoice No],"&lt;&gt;")=0,"",IFERROR(IF(COUNTIFS(tbl_Finance[Job Number],C123&amp;"",tbl_Finance[Xero Invoice No],LOOKUP(2,1/((tbl_Finance[Job Number]=C123&amp;"")*(tbl_Finance[Xero Invoice No]&lt;&gt;"")),tbl_Finance[Xero Invoice No]))=COUNTIFS(tbl_Finance[Job Number],C123&amp;"",tbl_Finance[Xero Invoice No],"&lt;&gt;"),LOOKUP(2,1/((tbl_Finance[Job Number]=C123&amp;"")*(tbl_Finance[Xero Invoice No]&lt;&gt;"")),tbl_Finance[Xero Invoice No]),LOOKUP(2,1/((tbl_Finance[Job Number]=C123&amp;"")*(tbl_Finance[Xero Invoice No]&lt;&gt;"")),tbl_Finance[Xero Invoice No])&amp;" +more"),"")))</f>
        <v/>
      </c>
      <c r="C123" s="24" t="n"/>
      <c r="D123" s="25">
        <f>IF(C123="","",IF(COUNTIF(lst_Jobs,C123&amp;"")&gt;0,"OK","CHECK"))</f>
        <v/>
      </c>
      <c r="E123" s="25">
        <f>IF(C123="","",IFERROR(INDEX(lst_JobName,MATCH(C123&amp;"",lst_Jobs,0)),""))</f>
        <v/>
      </c>
      <c r="F123" s="25">
        <f>IF(C123="","",IFERROR(INDEX(tbl_Finance[Client],MATCH(C123&amp;"",tbl_Finance[Job Number],0)),""))</f>
        <v/>
      </c>
      <c r="G123" s="28">
        <f>IF(C123="","",COUNTIFS(tbl_Finance[Job Number],C123&amp;"",tbl_Finance[Ex GST],"&lt;&gt;"))</f>
        <v/>
      </c>
      <c r="H123" s="27">
        <f>IF(C123="","",SUMIFS(tbl_Finance[Ex GST],tbl_Finance[Job Number],C123&amp;""))</f>
        <v/>
      </c>
      <c r="I123" s="27">
        <f>IF(C123="","",SUMIFS(tbl_Finance[Ex GST],tbl_Finance[Job Number],C123&amp;"",tbl_Finance[Xero Invoice No],"&lt;&gt;"))</f>
        <v/>
      </c>
      <c r="J123" s="27">
        <f>IF(C123="","",H123-I123)</f>
        <v/>
      </c>
      <c r="K123" s="25">
        <f>IF(C123="","",IF(G123=0,"not invoiced yet",SUBSTITUTE(TRIM(IF(COUNTIFS(tbl_Finance[Job Number],C123&amp;"",tbl_Finance[Cost Centre],"ONSITE")&gt;0,"ONSITE ","")&amp;IF(COUNTIFS(tbl_Finance[Job Number],C123&amp;"",tbl_Finance[Cost Centre],"PRODUCTION")&gt;0,"PRODUCTION ","")&amp;IF(COUNTIFS(tbl_Finance[Job Number],C123&amp;"",tbl_Finance[Cost Centre],"VIDEO")&gt;0,"VIDEO ","")&amp;IF(COUNTIFS(tbl_Finance[Job Number],C123&amp;"",tbl_Finance[Cost Centre],"INTEGRATION")&gt;0,"INTEGRATION ","")&amp;IF(COUNTIFS(tbl_Finance[Job Number],C123&amp;"",tbl_Finance[Cost Centre],"CONSULTING")&gt;0,"CONSULTING ","")&amp;IF(COUNTIFS(tbl_Finance[Job Number],C123&amp;"",tbl_Finance[Cost Centre],"CTS")&gt;0,"CTS ",""))," ",", ")))</f>
        <v/>
      </c>
      <c r="L123" s="27">
        <f>IF(C123="","",SUMIFS(tbl_Finance[Inc GST],tbl_Finance[Job Number],C123&amp;""))</f>
        <v/>
      </c>
      <c r="M123" s="24" t="n"/>
      <c r="N123" s="25">
        <f>IF(C123="","",IFERROR(INDEX(tbl_Finance[Description],MATCH(C123&amp;"",tbl_Finance[Job Number],0)),""))</f>
        <v/>
      </c>
      <c r="O123" s="24" t="n"/>
      <c r="P123" s="24" t="n"/>
      <c r="Q123" s="22" t="n"/>
      <c r="R123" s="24" t="n"/>
      <c r="S123" s="25">
        <f>IF(R123="","",IF(AND(LEFT(R123,4)&lt;&gt;"http",set_RMSBase=""),"",HYPERLINK(IF(LEFT(R123,4)="http",R123,set_RMSBase&amp;R123),"Open opportunity")))</f>
        <v/>
      </c>
      <c r="T123" s="24" t="n"/>
      <c r="U123" s="25">
        <f>IF(T123="","",HYPERLINK(IF(LEFT(T123,4)="http",T123,set_QwilrBase&amp;T123),"Open quote"))</f>
        <v/>
      </c>
      <c r="V123" s="25">
        <f>IF(C123="","",C123)</f>
        <v/>
      </c>
      <c r="W123" s="24" t="n"/>
      <c r="X123" s="26" t="n"/>
      <c r="Y123" s="27">
        <f>IF(C123="","",H123+N(X123))</f>
        <v/>
      </c>
      <c r="Z123" s="29">
        <f>IFERROR(X123/Y123,"")</f>
        <v/>
      </c>
      <c r="AA123" s="26" t="n"/>
      <c r="AB123" s="26" t="n"/>
      <c r="AC123" s="26" t="n"/>
      <c r="AD123" s="26" t="n"/>
      <c r="AE123" s="27">
        <f>IF(C123="","",SUMIFS(tbl_Finance[Ex GST],tbl_Finance[Job Number],C123&amp;"",tbl_Finance[Cost Centre],"VIDEO"))</f>
        <v/>
      </c>
      <c r="AF123" s="29">
        <f>IFERROR(AE123/H123,"")</f>
        <v/>
      </c>
      <c r="AG123" s="27">
        <f>IF(C123="","",N(AA123)+N(AB123)+N(AC123)+N(AD123))</f>
        <v/>
      </c>
      <c r="AH123" s="27">
        <f>IF(C123="","",H123-AG123)</f>
        <v/>
      </c>
      <c r="AI123" s="29">
        <f>IFERROR(AH123/H123,"")</f>
        <v/>
      </c>
      <c r="AJ123" s="69" t="n"/>
      <c r="AK123" s="69" t="n"/>
      <c r="AL123" s="69" t="n"/>
      <c r="AM123" s="69" t="n"/>
      <c r="AN123" s="69" t="n"/>
      <c r="AO123" s="24" t="n"/>
    </row>
    <row r="124" ht="15" customHeight="1">
      <c r="A124" s="68">
        <f>IF(C124="","",IFERROR(IF(SUMPRODUCT(MAX((tbl_Finance[Job Number]=C124&amp;"")*(tbl_Finance[Xero Invoice No]&lt;&gt;"")*tbl_Finance[Date]))=0,"",SUMPRODUCT(MAX((tbl_Finance[Job Number]=C124&amp;"")*(tbl_Finance[Xero Invoice No]&lt;&gt;"")*tbl_Finance[Date]))),""))</f>
        <v/>
      </c>
      <c r="B124" s="25">
        <f>IF(C124="","",IF(COUNTIFS(tbl_Finance[Job Number],C124&amp;"",tbl_Finance[Xero Invoice No],"&lt;&gt;")=0,"",IFERROR(IF(COUNTIFS(tbl_Finance[Job Number],C124&amp;"",tbl_Finance[Xero Invoice No],LOOKUP(2,1/((tbl_Finance[Job Number]=C124&amp;"")*(tbl_Finance[Xero Invoice No]&lt;&gt;"")),tbl_Finance[Xero Invoice No]))=COUNTIFS(tbl_Finance[Job Number],C124&amp;"",tbl_Finance[Xero Invoice No],"&lt;&gt;"),LOOKUP(2,1/((tbl_Finance[Job Number]=C124&amp;"")*(tbl_Finance[Xero Invoice No]&lt;&gt;"")),tbl_Finance[Xero Invoice No]),LOOKUP(2,1/((tbl_Finance[Job Number]=C124&amp;"")*(tbl_Finance[Xero Invoice No]&lt;&gt;"")),tbl_Finance[Xero Invoice No])&amp;" +more"),"")))</f>
        <v/>
      </c>
      <c r="C124" s="24" t="n"/>
      <c r="D124" s="25">
        <f>IF(C124="","",IF(COUNTIF(lst_Jobs,C124&amp;"")&gt;0,"OK","CHECK"))</f>
        <v/>
      </c>
      <c r="E124" s="25">
        <f>IF(C124="","",IFERROR(INDEX(lst_JobName,MATCH(C124&amp;"",lst_Jobs,0)),""))</f>
        <v/>
      </c>
      <c r="F124" s="25">
        <f>IF(C124="","",IFERROR(INDEX(tbl_Finance[Client],MATCH(C124&amp;"",tbl_Finance[Job Number],0)),""))</f>
        <v/>
      </c>
      <c r="G124" s="28">
        <f>IF(C124="","",COUNTIFS(tbl_Finance[Job Number],C124&amp;"",tbl_Finance[Ex GST],"&lt;&gt;"))</f>
        <v/>
      </c>
      <c r="H124" s="27">
        <f>IF(C124="","",SUMIFS(tbl_Finance[Ex GST],tbl_Finance[Job Number],C124&amp;""))</f>
        <v/>
      </c>
      <c r="I124" s="27">
        <f>IF(C124="","",SUMIFS(tbl_Finance[Ex GST],tbl_Finance[Job Number],C124&amp;"",tbl_Finance[Xero Invoice No],"&lt;&gt;"))</f>
        <v/>
      </c>
      <c r="J124" s="27">
        <f>IF(C124="","",H124-I124)</f>
        <v/>
      </c>
      <c r="K124" s="25">
        <f>IF(C124="","",IF(G124=0,"not invoiced yet",SUBSTITUTE(TRIM(IF(COUNTIFS(tbl_Finance[Job Number],C124&amp;"",tbl_Finance[Cost Centre],"ONSITE")&gt;0,"ONSITE ","")&amp;IF(COUNTIFS(tbl_Finance[Job Number],C124&amp;"",tbl_Finance[Cost Centre],"PRODUCTION")&gt;0,"PRODUCTION ","")&amp;IF(COUNTIFS(tbl_Finance[Job Number],C124&amp;"",tbl_Finance[Cost Centre],"VIDEO")&gt;0,"VIDEO ","")&amp;IF(COUNTIFS(tbl_Finance[Job Number],C124&amp;"",tbl_Finance[Cost Centre],"INTEGRATION")&gt;0,"INTEGRATION ","")&amp;IF(COUNTIFS(tbl_Finance[Job Number],C124&amp;"",tbl_Finance[Cost Centre],"CONSULTING")&gt;0,"CONSULTING ","")&amp;IF(COUNTIFS(tbl_Finance[Job Number],C124&amp;"",tbl_Finance[Cost Centre],"CTS")&gt;0,"CTS ",""))," ",", ")))</f>
        <v/>
      </c>
      <c r="L124" s="27">
        <f>IF(C124="","",SUMIFS(tbl_Finance[Inc GST],tbl_Finance[Job Number],C124&amp;""))</f>
        <v/>
      </c>
      <c r="M124" s="24" t="n"/>
      <c r="N124" s="25">
        <f>IF(C124="","",IFERROR(INDEX(tbl_Finance[Description],MATCH(C124&amp;"",tbl_Finance[Job Number],0)),""))</f>
        <v/>
      </c>
      <c r="O124" s="24" t="n"/>
      <c r="P124" s="24" t="n"/>
      <c r="Q124" s="22" t="n"/>
      <c r="R124" s="24" t="n"/>
      <c r="S124" s="25">
        <f>IF(R124="","",IF(AND(LEFT(R124,4)&lt;&gt;"http",set_RMSBase=""),"",HYPERLINK(IF(LEFT(R124,4)="http",R124,set_RMSBase&amp;R124),"Open opportunity")))</f>
        <v/>
      </c>
      <c r="T124" s="24" t="n"/>
      <c r="U124" s="25">
        <f>IF(T124="","",HYPERLINK(IF(LEFT(T124,4)="http",T124,set_QwilrBase&amp;T124),"Open quote"))</f>
        <v/>
      </c>
      <c r="V124" s="25">
        <f>IF(C124="","",C124)</f>
        <v/>
      </c>
      <c r="W124" s="24" t="n"/>
      <c r="X124" s="26" t="n"/>
      <c r="Y124" s="27">
        <f>IF(C124="","",H124+N(X124))</f>
        <v/>
      </c>
      <c r="Z124" s="29">
        <f>IFERROR(X124/Y124,"")</f>
        <v/>
      </c>
      <c r="AA124" s="26" t="n"/>
      <c r="AB124" s="26" t="n"/>
      <c r="AC124" s="26" t="n"/>
      <c r="AD124" s="26" t="n"/>
      <c r="AE124" s="27">
        <f>IF(C124="","",SUMIFS(tbl_Finance[Ex GST],tbl_Finance[Job Number],C124&amp;"",tbl_Finance[Cost Centre],"VIDEO"))</f>
        <v/>
      </c>
      <c r="AF124" s="29">
        <f>IFERROR(AE124/H124,"")</f>
        <v/>
      </c>
      <c r="AG124" s="27">
        <f>IF(C124="","",N(AA124)+N(AB124)+N(AC124)+N(AD124))</f>
        <v/>
      </c>
      <c r="AH124" s="27">
        <f>IF(C124="","",H124-AG124)</f>
        <v/>
      </c>
      <c r="AI124" s="29">
        <f>IFERROR(AH124/H124,"")</f>
        <v/>
      </c>
      <c r="AJ124" s="69" t="n"/>
      <c r="AK124" s="69" t="n"/>
      <c r="AL124" s="69" t="n"/>
      <c r="AM124" s="69" t="n"/>
      <c r="AN124" s="69" t="n"/>
      <c r="AO124" s="24" t="n"/>
    </row>
    <row r="125" ht="15" customHeight="1">
      <c r="A125" s="68">
        <f>IF(C125="","",IFERROR(IF(SUMPRODUCT(MAX((tbl_Finance[Job Number]=C125&amp;"")*(tbl_Finance[Xero Invoice No]&lt;&gt;"")*tbl_Finance[Date]))=0,"",SUMPRODUCT(MAX((tbl_Finance[Job Number]=C125&amp;"")*(tbl_Finance[Xero Invoice No]&lt;&gt;"")*tbl_Finance[Date]))),""))</f>
        <v/>
      </c>
      <c r="B125" s="25">
        <f>IF(C125="","",IF(COUNTIFS(tbl_Finance[Job Number],C125&amp;"",tbl_Finance[Xero Invoice No],"&lt;&gt;")=0,"",IFERROR(IF(COUNTIFS(tbl_Finance[Job Number],C125&amp;"",tbl_Finance[Xero Invoice No],LOOKUP(2,1/((tbl_Finance[Job Number]=C125&amp;"")*(tbl_Finance[Xero Invoice No]&lt;&gt;"")),tbl_Finance[Xero Invoice No]))=COUNTIFS(tbl_Finance[Job Number],C125&amp;"",tbl_Finance[Xero Invoice No],"&lt;&gt;"),LOOKUP(2,1/((tbl_Finance[Job Number]=C125&amp;"")*(tbl_Finance[Xero Invoice No]&lt;&gt;"")),tbl_Finance[Xero Invoice No]),LOOKUP(2,1/((tbl_Finance[Job Number]=C125&amp;"")*(tbl_Finance[Xero Invoice No]&lt;&gt;"")),tbl_Finance[Xero Invoice No])&amp;" +more"),"")))</f>
        <v/>
      </c>
      <c r="C125" s="24" t="n"/>
      <c r="D125" s="25">
        <f>IF(C125="","",IF(COUNTIF(lst_Jobs,C125&amp;"")&gt;0,"OK","CHECK"))</f>
        <v/>
      </c>
      <c r="E125" s="25">
        <f>IF(C125="","",IFERROR(INDEX(lst_JobName,MATCH(C125&amp;"",lst_Jobs,0)),""))</f>
        <v/>
      </c>
      <c r="F125" s="25">
        <f>IF(C125="","",IFERROR(INDEX(tbl_Finance[Client],MATCH(C125&amp;"",tbl_Finance[Job Number],0)),""))</f>
        <v/>
      </c>
      <c r="G125" s="28">
        <f>IF(C125="","",COUNTIFS(tbl_Finance[Job Number],C125&amp;"",tbl_Finance[Ex GST],"&lt;&gt;"))</f>
        <v/>
      </c>
      <c r="H125" s="27">
        <f>IF(C125="","",SUMIFS(tbl_Finance[Ex GST],tbl_Finance[Job Number],C125&amp;""))</f>
        <v/>
      </c>
      <c r="I125" s="27">
        <f>IF(C125="","",SUMIFS(tbl_Finance[Ex GST],tbl_Finance[Job Number],C125&amp;"",tbl_Finance[Xero Invoice No],"&lt;&gt;"))</f>
        <v/>
      </c>
      <c r="J125" s="27">
        <f>IF(C125="","",H125-I125)</f>
        <v/>
      </c>
      <c r="K125" s="25">
        <f>IF(C125="","",IF(G125=0,"not invoiced yet",SUBSTITUTE(TRIM(IF(COUNTIFS(tbl_Finance[Job Number],C125&amp;"",tbl_Finance[Cost Centre],"ONSITE")&gt;0,"ONSITE ","")&amp;IF(COUNTIFS(tbl_Finance[Job Number],C125&amp;"",tbl_Finance[Cost Centre],"PRODUCTION")&gt;0,"PRODUCTION ","")&amp;IF(COUNTIFS(tbl_Finance[Job Number],C125&amp;"",tbl_Finance[Cost Centre],"VIDEO")&gt;0,"VIDEO ","")&amp;IF(COUNTIFS(tbl_Finance[Job Number],C125&amp;"",tbl_Finance[Cost Centre],"INTEGRATION")&gt;0,"INTEGRATION ","")&amp;IF(COUNTIFS(tbl_Finance[Job Number],C125&amp;"",tbl_Finance[Cost Centre],"CONSULTING")&gt;0,"CONSULTING ","")&amp;IF(COUNTIFS(tbl_Finance[Job Number],C125&amp;"",tbl_Finance[Cost Centre],"CTS")&gt;0,"CTS ",""))," ",", ")))</f>
        <v/>
      </c>
      <c r="L125" s="27">
        <f>IF(C125="","",SUMIFS(tbl_Finance[Inc GST],tbl_Finance[Job Number],C125&amp;""))</f>
        <v/>
      </c>
      <c r="M125" s="24" t="n"/>
      <c r="N125" s="25">
        <f>IF(C125="","",IFERROR(INDEX(tbl_Finance[Description],MATCH(C125&amp;"",tbl_Finance[Job Number],0)),""))</f>
        <v/>
      </c>
      <c r="O125" s="24" t="n"/>
      <c r="P125" s="24" t="n"/>
      <c r="Q125" s="22" t="n"/>
      <c r="R125" s="24" t="n"/>
      <c r="S125" s="25">
        <f>IF(R125="","",IF(AND(LEFT(R125,4)&lt;&gt;"http",set_RMSBase=""),"",HYPERLINK(IF(LEFT(R125,4)="http",R125,set_RMSBase&amp;R125),"Open opportunity")))</f>
        <v/>
      </c>
      <c r="T125" s="24" t="n"/>
      <c r="U125" s="25">
        <f>IF(T125="","",HYPERLINK(IF(LEFT(T125,4)="http",T125,set_QwilrBase&amp;T125),"Open quote"))</f>
        <v/>
      </c>
      <c r="V125" s="25">
        <f>IF(C125="","",C125)</f>
        <v/>
      </c>
      <c r="W125" s="24" t="n"/>
      <c r="X125" s="26" t="n"/>
      <c r="Y125" s="27">
        <f>IF(C125="","",H125+N(X125))</f>
        <v/>
      </c>
      <c r="Z125" s="29">
        <f>IFERROR(X125/Y125,"")</f>
        <v/>
      </c>
      <c r="AA125" s="26" t="n"/>
      <c r="AB125" s="26" t="n"/>
      <c r="AC125" s="26" t="n"/>
      <c r="AD125" s="26" t="n"/>
      <c r="AE125" s="27">
        <f>IF(C125="","",SUMIFS(tbl_Finance[Ex GST],tbl_Finance[Job Number],C125&amp;"",tbl_Finance[Cost Centre],"VIDEO"))</f>
        <v/>
      </c>
      <c r="AF125" s="29">
        <f>IFERROR(AE125/H125,"")</f>
        <v/>
      </c>
      <c r="AG125" s="27">
        <f>IF(C125="","",N(AA125)+N(AB125)+N(AC125)+N(AD125))</f>
        <v/>
      </c>
      <c r="AH125" s="27">
        <f>IF(C125="","",H125-AG125)</f>
        <v/>
      </c>
      <c r="AI125" s="29">
        <f>IFERROR(AH125/H125,"")</f>
        <v/>
      </c>
      <c r="AJ125" s="69" t="n"/>
      <c r="AK125" s="69" t="n"/>
      <c r="AL125" s="69" t="n"/>
      <c r="AM125" s="69" t="n"/>
      <c r="AN125" s="69" t="n"/>
      <c r="AO125" s="24" t="n"/>
    </row>
    <row r="126" ht="15" customHeight="1">
      <c r="A126" s="68">
        <f>IF(C126="","",IFERROR(IF(SUMPRODUCT(MAX((tbl_Finance[Job Number]=C126&amp;"")*(tbl_Finance[Xero Invoice No]&lt;&gt;"")*tbl_Finance[Date]))=0,"",SUMPRODUCT(MAX((tbl_Finance[Job Number]=C126&amp;"")*(tbl_Finance[Xero Invoice No]&lt;&gt;"")*tbl_Finance[Date]))),""))</f>
        <v/>
      </c>
      <c r="B126" s="25">
        <f>IF(C126="","",IF(COUNTIFS(tbl_Finance[Job Number],C126&amp;"",tbl_Finance[Xero Invoice No],"&lt;&gt;")=0,"",IFERROR(IF(COUNTIFS(tbl_Finance[Job Number],C126&amp;"",tbl_Finance[Xero Invoice No],LOOKUP(2,1/((tbl_Finance[Job Number]=C126&amp;"")*(tbl_Finance[Xero Invoice No]&lt;&gt;"")),tbl_Finance[Xero Invoice No]))=COUNTIFS(tbl_Finance[Job Number],C126&amp;"",tbl_Finance[Xero Invoice No],"&lt;&gt;"),LOOKUP(2,1/((tbl_Finance[Job Number]=C126&amp;"")*(tbl_Finance[Xero Invoice No]&lt;&gt;"")),tbl_Finance[Xero Invoice No]),LOOKUP(2,1/((tbl_Finance[Job Number]=C126&amp;"")*(tbl_Finance[Xero Invoice No]&lt;&gt;"")),tbl_Finance[Xero Invoice No])&amp;" +more"),"")))</f>
        <v/>
      </c>
      <c r="C126" s="24" t="n"/>
      <c r="D126" s="25">
        <f>IF(C126="","",IF(COUNTIF(lst_Jobs,C126&amp;"")&gt;0,"OK","CHECK"))</f>
        <v/>
      </c>
      <c r="E126" s="25">
        <f>IF(C126="","",IFERROR(INDEX(lst_JobName,MATCH(C126&amp;"",lst_Jobs,0)),""))</f>
        <v/>
      </c>
      <c r="F126" s="25">
        <f>IF(C126="","",IFERROR(INDEX(tbl_Finance[Client],MATCH(C126&amp;"",tbl_Finance[Job Number],0)),""))</f>
        <v/>
      </c>
      <c r="G126" s="28">
        <f>IF(C126="","",COUNTIFS(tbl_Finance[Job Number],C126&amp;"",tbl_Finance[Ex GST],"&lt;&gt;"))</f>
        <v/>
      </c>
      <c r="H126" s="27">
        <f>IF(C126="","",SUMIFS(tbl_Finance[Ex GST],tbl_Finance[Job Number],C126&amp;""))</f>
        <v/>
      </c>
      <c r="I126" s="27">
        <f>IF(C126="","",SUMIFS(tbl_Finance[Ex GST],tbl_Finance[Job Number],C126&amp;"",tbl_Finance[Xero Invoice No],"&lt;&gt;"))</f>
        <v/>
      </c>
      <c r="J126" s="27">
        <f>IF(C126="","",H126-I126)</f>
        <v/>
      </c>
      <c r="K126" s="25">
        <f>IF(C126="","",IF(G126=0,"not invoiced yet",SUBSTITUTE(TRIM(IF(COUNTIFS(tbl_Finance[Job Number],C126&amp;"",tbl_Finance[Cost Centre],"ONSITE")&gt;0,"ONSITE ","")&amp;IF(COUNTIFS(tbl_Finance[Job Number],C126&amp;"",tbl_Finance[Cost Centre],"PRODUCTION")&gt;0,"PRODUCTION ","")&amp;IF(COUNTIFS(tbl_Finance[Job Number],C126&amp;"",tbl_Finance[Cost Centre],"VIDEO")&gt;0,"VIDEO ","")&amp;IF(COUNTIFS(tbl_Finance[Job Number],C126&amp;"",tbl_Finance[Cost Centre],"INTEGRATION")&gt;0,"INTEGRATION ","")&amp;IF(COUNTIFS(tbl_Finance[Job Number],C126&amp;"",tbl_Finance[Cost Centre],"CONSULTING")&gt;0,"CONSULTING ","")&amp;IF(COUNTIFS(tbl_Finance[Job Number],C126&amp;"",tbl_Finance[Cost Centre],"CTS")&gt;0,"CTS ",""))," ",", ")))</f>
        <v/>
      </c>
      <c r="L126" s="27">
        <f>IF(C126="","",SUMIFS(tbl_Finance[Inc GST],tbl_Finance[Job Number],C126&amp;""))</f>
        <v/>
      </c>
      <c r="M126" s="24" t="n"/>
      <c r="N126" s="25">
        <f>IF(C126="","",IFERROR(INDEX(tbl_Finance[Description],MATCH(C126&amp;"",tbl_Finance[Job Number],0)),""))</f>
        <v/>
      </c>
      <c r="O126" s="24" t="n"/>
      <c r="P126" s="24" t="n"/>
      <c r="Q126" s="22" t="n"/>
      <c r="R126" s="24" t="n"/>
      <c r="S126" s="25">
        <f>IF(R126="","",IF(AND(LEFT(R126,4)&lt;&gt;"http",set_RMSBase=""),"",HYPERLINK(IF(LEFT(R126,4)="http",R126,set_RMSBase&amp;R126),"Open opportunity")))</f>
        <v/>
      </c>
      <c r="T126" s="24" t="n"/>
      <c r="U126" s="25">
        <f>IF(T126="","",HYPERLINK(IF(LEFT(T126,4)="http",T126,set_QwilrBase&amp;T126),"Open quote"))</f>
        <v/>
      </c>
      <c r="V126" s="25">
        <f>IF(C126="","",C126)</f>
        <v/>
      </c>
      <c r="W126" s="24" t="n"/>
      <c r="X126" s="26" t="n"/>
      <c r="Y126" s="27">
        <f>IF(C126="","",H126+N(X126))</f>
        <v/>
      </c>
      <c r="Z126" s="29">
        <f>IFERROR(X126/Y126,"")</f>
        <v/>
      </c>
      <c r="AA126" s="26" t="n"/>
      <c r="AB126" s="26" t="n"/>
      <c r="AC126" s="26" t="n"/>
      <c r="AD126" s="26" t="n"/>
      <c r="AE126" s="27">
        <f>IF(C126="","",SUMIFS(tbl_Finance[Ex GST],tbl_Finance[Job Number],C126&amp;"",tbl_Finance[Cost Centre],"VIDEO"))</f>
        <v/>
      </c>
      <c r="AF126" s="29">
        <f>IFERROR(AE126/H126,"")</f>
        <v/>
      </c>
      <c r="AG126" s="27">
        <f>IF(C126="","",N(AA126)+N(AB126)+N(AC126)+N(AD126))</f>
        <v/>
      </c>
      <c r="AH126" s="27">
        <f>IF(C126="","",H126-AG126)</f>
        <v/>
      </c>
      <c r="AI126" s="29">
        <f>IFERROR(AH126/H126,"")</f>
        <v/>
      </c>
      <c r="AJ126" s="69" t="n"/>
      <c r="AK126" s="69" t="n"/>
      <c r="AL126" s="69" t="n"/>
      <c r="AM126" s="69" t="n"/>
      <c r="AN126" s="69" t="n"/>
      <c r="AO126" s="24" t="n"/>
    </row>
    <row r="127" ht="15" customHeight="1">
      <c r="A127" s="68">
        <f>IF(C127="","",IFERROR(IF(SUMPRODUCT(MAX((tbl_Finance[Job Number]=C127&amp;"")*(tbl_Finance[Xero Invoice No]&lt;&gt;"")*tbl_Finance[Date]))=0,"",SUMPRODUCT(MAX((tbl_Finance[Job Number]=C127&amp;"")*(tbl_Finance[Xero Invoice No]&lt;&gt;"")*tbl_Finance[Date]))),""))</f>
        <v/>
      </c>
      <c r="B127" s="25">
        <f>IF(C127="","",IF(COUNTIFS(tbl_Finance[Job Number],C127&amp;"",tbl_Finance[Xero Invoice No],"&lt;&gt;")=0,"",IFERROR(IF(COUNTIFS(tbl_Finance[Job Number],C127&amp;"",tbl_Finance[Xero Invoice No],LOOKUP(2,1/((tbl_Finance[Job Number]=C127&amp;"")*(tbl_Finance[Xero Invoice No]&lt;&gt;"")),tbl_Finance[Xero Invoice No]))=COUNTIFS(tbl_Finance[Job Number],C127&amp;"",tbl_Finance[Xero Invoice No],"&lt;&gt;"),LOOKUP(2,1/((tbl_Finance[Job Number]=C127&amp;"")*(tbl_Finance[Xero Invoice No]&lt;&gt;"")),tbl_Finance[Xero Invoice No]),LOOKUP(2,1/((tbl_Finance[Job Number]=C127&amp;"")*(tbl_Finance[Xero Invoice No]&lt;&gt;"")),tbl_Finance[Xero Invoice No])&amp;" +more"),"")))</f>
        <v/>
      </c>
      <c r="C127" s="24" t="n"/>
      <c r="D127" s="25">
        <f>IF(C127="","",IF(COUNTIF(lst_Jobs,C127&amp;"")&gt;0,"OK","CHECK"))</f>
        <v/>
      </c>
      <c r="E127" s="25">
        <f>IF(C127="","",IFERROR(INDEX(lst_JobName,MATCH(C127&amp;"",lst_Jobs,0)),""))</f>
        <v/>
      </c>
      <c r="F127" s="25">
        <f>IF(C127="","",IFERROR(INDEX(tbl_Finance[Client],MATCH(C127&amp;"",tbl_Finance[Job Number],0)),""))</f>
        <v/>
      </c>
      <c r="G127" s="28">
        <f>IF(C127="","",COUNTIFS(tbl_Finance[Job Number],C127&amp;"",tbl_Finance[Ex GST],"&lt;&gt;"))</f>
        <v/>
      </c>
      <c r="H127" s="27">
        <f>IF(C127="","",SUMIFS(tbl_Finance[Ex GST],tbl_Finance[Job Number],C127&amp;""))</f>
        <v/>
      </c>
      <c r="I127" s="27">
        <f>IF(C127="","",SUMIFS(tbl_Finance[Ex GST],tbl_Finance[Job Number],C127&amp;"",tbl_Finance[Xero Invoice No],"&lt;&gt;"))</f>
        <v/>
      </c>
      <c r="J127" s="27">
        <f>IF(C127="","",H127-I127)</f>
        <v/>
      </c>
      <c r="K127" s="25">
        <f>IF(C127="","",IF(G127=0,"not invoiced yet",SUBSTITUTE(TRIM(IF(COUNTIFS(tbl_Finance[Job Number],C127&amp;"",tbl_Finance[Cost Centre],"ONSITE")&gt;0,"ONSITE ","")&amp;IF(COUNTIFS(tbl_Finance[Job Number],C127&amp;"",tbl_Finance[Cost Centre],"PRODUCTION")&gt;0,"PRODUCTION ","")&amp;IF(COUNTIFS(tbl_Finance[Job Number],C127&amp;"",tbl_Finance[Cost Centre],"VIDEO")&gt;0,"VIDEO ","")&amp;IF(COUNTIFS(tbl_Finance[Job Number],C127&amp;"",tbl_Finance[Cost Centre],"INTEGRATION")&gt;0,"INTEGRATION ","")&amp;IF(COUNTIFS(tbl_Finance[Job Number],C127&amp;"",tbl_Finance[Cost Centre],"CONSULTING")&gt;0,"CONSULTING ","")&amp;IF(COUNTIFS(tbl_Finance[Job Number],C127&amp;"",tbl_Finance[Cost Centre],"CTS")&gt;0,"CTS ",""))," ",", ")))</f>
        <v/>
      </c>
      <c r="L127" s="27">
        <f>IF(C127="","",SUMIFS(tbl_Finance[Inc GST],tbl_Finance[Job Number],C127&amp;""))</f>
        <v/>
      </c>
      <c r="M127" s="24" t="n"/>
      <c r="N127" s="25">
        <f>IF(C127="","",IFERROR(INDEX(tbl_Finance[Description],MATCH(C127&amp;"",tbl_Finance[Job Number],0)),""))</f>
        <v/>
      </c>
      <c r="O127" s="24" t="n"/>
      <c r="P127" s="24" t="n"/>
      <c r="Q127" s="22" t="n"/>
      <c r="R127" s="24" t="n"/>
      <c r="S127" s="25">
        <f>IF(R127="","",IF(AND(LEFT(R127,4)&lt;&gt;"http",set_RMSBase=""),"",HYPERLINK(IF(LEFT(R127,4)="http",R127,set_RMSBase&amp;R127),"Open opportunity")))</f>
        <v/>
      </c>
      <c r="T127" s="24" t="n"/>
      <c r="U127" s="25">
        <f>IF(T127="","",HYPERLINK(IF(LEFT(T127,4)="http",T127,set_QwilrBase&amp;T127),"Open quote"))</f>
        <v/>
      </c>
      <c r="V127" s="25">
        <f>IF(C127="","",C127)</f>
        <v/>
      </c>
      <c r="W127" s="24" t="n"/>
      <c r="X127" s="26" t="n"/>
      <c r="Y127" s="27">
        <f>IF(C127="","",H127+N(X127))</f>
        <v/>
      </c>
      <c r="Z127" s="29">
        <f>IFERROR(X127/Y127,"")</f>
        <v/>
      </c>
      <c r="AA127" s="26" t="n"/>
      <c r="AB127" s="26" t="n"/>
      <c r="AC127" s="26" t="n"/>
      <c r="AD127" s="26" t="n"/>
      <c r="AE127" s="27">
        <f>IF(C127="","",SUMIFS(tbl_Finance[Ex GST],tbl_Finance[Job Number],C127&amp;"",tbl_Finance[Cost Centre],"VIDEO"))</f>
        <v/>
      </c>
      <c r="AF127" s="29">
        <f>IFERROR(AE127/H127,"")</f>
        <v/>
      </c>
      <c r="AG127" s="27">
        <f>IF(C127="","",N(AA127)+N(AB127)+N(AC127)+N(AD127))</f>
        <v/>
      </c>
      <c r="AH127" s="27">
        <f>IF(C127="","",H127-AG127)</f>
        <v/>
      </c>
      <c r="AI127" s="29">
        <f>IFERROR(AH127/H127,"")</f>
        <v/>
      </c>
      <c r="AJ127" s="69" t="n"/>
      <c r="AK127" s="69" t="n"/>
      <c r="AL127" s="69" t="n"/>
      <c r="AM127" s="69" t="n"/>
      <c r="AN127" s="69" t="n"/>
      <c r="AO127" s="24" t="n"/>
    </row>
    <row r="128" ht="15" customHeight="1">
      <c r="A128" s="68">
        <f>IF(C128="","",IFERROR(IF(SUMPRODUCT(MAX((tbl_Finance[Job Number]=C128&amp;"")*(tbl_Finance[Xero Invoice No]&lt;&gt;"")*tbl_Finance[Date]))=0,"",SUMPRODUCT(MAX((tbl_Finance[Job Number]=C128&amp;"")*(tbl_Finance[Xero Invoice No]&lt;&gt;"")*tbl_Finance[Date]))),""))</f>
        <v/>
      </c>
      <c r="B128" s="25">
        <f>IF(C128="","",IF(COUNTIFS(tbl_Finance[Job Number],C128&amp;"",tbl_Finance[Xero Invoice No],"&lt;&gt;")=0,"",IFERROR(IF(COUNTIFS(tbl_Finance[Job Number],C128&amp;"",tbl_Finance[Xero Invoice No],LOOKUP(2,1/((tbl_Finance[Job Number]=C128&amp;"")*(tbl_Finance[Xero Invoice No]&lt;&gt;"")),tbl_Finance[Xero Invoice No]))=COUNTIFS(tbl_Finance[Job Number],C128&amp;"",tbl_Finance[Xero Invoice No],"&lt;&gt;"),LOOKUP(2,1/((tbl_Finance[Job Number]=C128&amp;"")*(tbl_Finance[Xero Invoice No]&lt;&gt;"")),tbl_Finance[Xero Invoice No]),LOOKUP(2,1/((tbl_Finance[Job Number]=C128&amp;"")*(tbl_Finance[Xero Invoice No]&lt;&gt;"")),tbl_Finance[Xero Invoice No])&amp;" +more"),"")))</f>
        <v/>
      </c>
      <c r="C128" s="24" t="n"/>
      <c r="D128" s="25">
        <f>IF(C128="","",IF(COUNTIF(lst_Jobs,C128&amp;"")&gt;0,"OK","CHECK"))</f>
        <v/>
      </c>
      <c r="E128" s="25">
        <f>IF(C128="","",IFERROR(INDEX(lst_JobName,MATCH(C128&amp;"",lst_Jobs,0)),""))</f>
        <v/>
      </c>
      <c r="F128" s="25">
        <f>IF(C128="","",IFERROR(INDEX(tbl_Finance[Client],MATCH(C128&amp;"",tbl_Finance[Job Number],0)),""))</f>
        <v/>
      </c>
      <c r="G128" s="28">
        <f>IF(C128="","",COUNTIFS(tbl_Finance[Job Number],C128&amp;"",tbl_Finance[Ex GST],"&lt;&gt;"))</f>
        <v/>
      </c>
      <c r="H128" s="27">
        <f>IF(C128="","",SUMIFS(tbl_Finance[Ex GST],tbl_Finance[Job Number],C128&amp;""))</f>
        <v/>
      </c>
      <c r="I128" s="27">
        <f>IF(C128="","",SUMIFS(tbl_Finance[Ex GST],tbl_Finance[Job Number],C128&amp;"",tbl_Finance[Xero Invoice No],"&lt;&gt;"))</f>
        <v/>
      </c>
      <c r="J128" s="27">
        <f>IF(C128="","",H128-I128)</f>
        <v/>
      </c>
      <c r="K128" s="25">
        <f>IF(C128="","",IF(G128=0,"not invoiced yet",SUBSTITUTE(TRIM(IF(COUNTIFS(tbl_Finance[Job Number],C128&amp;"",tbl_Finance[Cost Centre],"ONSITE")&gt;0,"ONSITE ","")&amp;IF(COUNTIFS(tbl_Finance[Job Number],C128&amp;"",tbl_Finance[Cost Centre],"PRODUCTION")&gt;0,"PRODUCTION ","")&amp;IF(COUNTIFS(tbl_Finance[Job Number],C128&amp;"",tbl_Finance[Cost Centre],"VIDEO")&gt;0,"VIDEO ","")&amp;IF(COUNTIFS(tbl_Finance[Job Number],C128&amp;"",tbl_Finance[Cost Centre],"INTEGRATION")&gt;0,"INTEGRATION ","")&amp;IF(COUNTIFS(tbl_Finance[Job Number],C128&amp;"",tbl_Finance[Cost Centre],"CONSULTING")&gt;0,"CONSULTING ","")&amp;IF(COUNTIFS(tbl_Finance[Job Number],C128&amp;"",tbl_Finance[Cost Centre],"CTS")&gt;0,"CTS ",""))," ",", ")))</f>
        <v/>
      </c>
      <c r="L128" s="27">
        <f>IF(C128="","",SUMIFS(tbl_Finance[Inc GST],tbl_Finance[Job Number],C128&amp;""))</f>
        <v/>
      </c>
      <c r="M128" s="24" t="n"/>
      <c r="N128" s="25">
        <f>IF(C128="","",IFERROR(INDEX(tbl_Finance[Description],MATCH(C128&amp;"",tbl_Finance[Job Number],0)),""))</f>
        <v/>
      </c>
      <c r="O128" s="24" t="n"/>
      <c r="P128" s="24" t="n"/>
      <c r="Q128" s="22" t="n"/>
      <c r="R128" s="24" t="n"/>
      <c r="S128" s="25">
        <f>IF(R128="","",IF(AND(LEFT(R128,4)&lt;&gt;"http",set_RMSBase=""),"",HYPERLINK(IF(LEFT(R128,4)="http",R128,set_RMSBase&amp;R128),"Open opportunity")))</f>
        <v/>
      </c>
      <c r="T128" s="24" t="n"/>
      <c r="U128" s="25">
        <f>IF(T128="","",HYPERLINK(IF(LEFT(T128,4)="http",T128,set_QwilrBase&amp;T128),"Open quote"))</f>
        <v/>
      </c>
      <c r="V128" s="25">
        <f>IF(C128="","",C128)</f>
        <v/>
      </c>
      <c r="W128" s="24" t="n"/>
      <c r="X128" s="26" t="n"/>
      <c r="Y128" s="27">
        <f>IF(C128="","",H128+N(X128))</f>
        <v/>
      </c>
      <c r="Z128" s="29">
        <f>IFERROR(X128/Y128,"")</f>
        <v/>
      </c>
      <c r="AA128" s="26" t="n"/>
      <c r="AB128" s="26" t="n"/>
      <c r="AC128" s="26" t="n"/>
      <c r="AD128" s="26" t="n"/>
      <c r="AE128" s="27">
        <f>IF(C128="","",SUMIFS(tbl_Finance[Ex GST],tbl_Finance[Job Number],C128&amp;"",tbl_Finance[Cost Centre],"VIDEO"))</f>
        <v/>
      </c>
      <c r="AF128" s="29">
        <f>IFERROR(AE128/H128,"")</f>
        <v/>
      </c>
      <c r="AG128" s="27">
        <f>IF(C128="","",N(AA128)+N(AB128)+N(AC128)+N(AD128))</f>
        <v/>
      </c>
      <c r="AH128" s="27">
        <f>IF(C128="","",H128-AG128)</f>
        <v/>
      </c>
      <c r="AI128" s="29">
        <f>IFERROR(AH128/H128,"")</f>
        <v/>
      </c>
      <c r="AJ128" s="69" t="n"/>
      <c r="AK128" s="69" t="n"/>
      <c r="AL128" s="69" t="n"/>
      <c r="AM128" s="69" t="n"/>
      <c r="AN128" s="69" t="n"/>
      <c r="AO128" s="24" t="n"/>
    </row>
    <row r="129" ht="15" customHeight="1">
      <c r="A129" s="68">
        <f>IF(C129="","",IFERROR(IF(SUMPRODUCT(MAX((tbl_Finance[Job Number]=C129&amp;"")*(tbl_Finance[Xero Invoice No]&lt;&gt;"")*tbl_Finance[Date]))=0,"",SUMPRODUCT(MAX((tbl_Finance[Job Number]=C129&amp;"")*(tbl_Finance[Xero Invoice No]&lt;&gt;"")*tbl_Finance[Date]))),""))</f>
        <v/>
      </c>
      <c r="B129" s="25">
        <f>IF(C129="","",IF(COUNTIFS(tbl_Finance[Job Number],C129&amp;"",tbl_Finance[Xero Invoice No],"&lt;&gt;")=0,"",IFERROR(IF(COUNTIFS(tbl_Finance[Job Number],C129&amp;"",tbl_Finance[Xero Invoice No],LOOKUP(2,1/((tbl_Finance[Job Number]=C129&amp;"")*(tbl_Finance[Xero Invoice No]&lt;&gt;"")),tbl_Finance[Xero Invoice No]))=COUNTIFS(tbl_Finance[Job Number],C129&amp;"",tbl_Finance[Xero Invoice No],"&lt;&gt;"),LOOKUP(2,1/((tbl_Finance[Job Number]=C129&amp;"")*(tbl_Finance[Xero Invoice No]&lt;&gt;"")),tbl_Finance[Xero Invoice No]),LOOKUP(2,1/((tbl_Finance[Job Number]=C129&amp;"")*(tbl_Finance[Xero Invoice No]&lt;&gt;"")),tbl_Finance[Xero Invoice No])&amp;" +more"),"")))</f>
        <v/>
      </c>
      <c r="C129" s="24" t="n"/>
      <c r="D129" s="25">
        <f>IF(C129="","",IF(COUNTIF(lst_Jobs,C129&amp;"")&gt;0,"OK","CHECK"))</f>
        <v/>
      </c>
      <c r="E129" s="25">
        <f>IF(C129="","",IFERROR(INDEX(lst_JobName,MATCH(C129&amp;"",lst_Jobs,0)),""))</f>
        <v/>
      </c>
      <c r="F129" s="25">
        <f>IF(C129="","",IFERROR(INDEX(tbl_Finance[Client],MATCH(C129&amp;"",tbl_Finance[Job Number],0)),""))</f>
        <v/>
      </c>
      <c r="G129" s="28">
        <f>IF(C129="","",COUNTIFS(tbl_Finance[Job Number],C129&amp;"",tbl_Finance[Ex GST],"&lt;&gt;"))</f>
        <v/>
      </c>
      <c r="H129" s="27">
        <f>IF(C129="","",SUMIFS(tbl_Finance[Ex GST],tbl_Finance[Job Number],C129&amp;""))</f>
        <v/>
      </c>
      <c r="I129" s="27">
        <f>IF(C129="","",SUMIFS(tbl_Finance[Ex GST],tbl_Finance[Job Number],C129&amp;"",tbl_Finance[Xero Invoice No],"&lt;&gt;"))</f>
        <v/>
      </c>
      <c r="J129" s="27">
        <f>IF(C129="","",H129-I129)</f>
        <v/>
      </c>
      <c r="K129" s="25">
        <f>IF(C129="","",IF(G129=0,"not invoiced yet",SUBSTITUTE(TRIM(IF(COUNTIFS(tbl_Finance[Job Number],C129&amp;"",tbl_Finance[Cost Centre],"ONSITE")&gt;0,"ONSITE ","")&amp;IF(COUNTIFS(tbl_Finance[Job Number],C129&amp;"",tbl_Finance[Cost Centre],"PRODUCTION")&gt;0,"PRODUCTION ","")&amp;IF(COUNTIFS(tbl_Finance[Job Number],C129&amp;"",tbl_Finance[Cost Centre],"VIDEO")&gt;0,"VIDEO ","")&amp;IF(COUNTIFS(tbl_Finance[Job Number],C129&amp;"",tbl_Finance[Cost Centre],"INTEGRATION")&gt;0,"INTEGRATION ","")&amp;IF(COUNTIFS(tbl_Finance[Job Number],C129&amp;"",tbl_Finance[Cost Centre],"CONSULTING")&gt;0,"CONSULTING ","")&amp;IF(COUNTIFS(tbl_Finance[Job Number],C129&amp;"",tbl_Finance[Cost Centre],"CTS")&gt;0,"CTS ",""))," ",", ")))</f>
        <v/>
      </c>
      <c r="L129" s="27">
        <f>IF(C129="","",SUMIFS(tbl_Finance[Inc GST],tbl_Finance[Job Number],C129&amp;""))</f>
        <v/>
      </c>
      <c r="M129" s="24" t="n"/>
      <c r="N129" s="25">
        <f>IF(C129="","",IFERROR(INDEX(tbl_Finance[Description],MATCH(C129&amp;"",tbl_Finance[Job Number],0)),""))</f>
        <v/>
      </c>
      <c r="O129" s="24" t="n"/>
      <c r="P129" s="24" t="n"/>
      <c r="Q129" s="22" t="n"/>
      <c r="R129" s="24" t="n"/>
      <c r="S129" s="25">
        <f>IF(R129="","",IF(AND(LEFT(R129,4)&lt;&gt;"http",set_RMSBase=""),"",HYPERLINK(IF(LEFT(R129,4)="http",R129,set_RMSBase&amp;R129),"Open opportunity")))</f>
        <v/>
      </c>
      <c r="T129" s="24" t="n"/>
      <c r="U129" s="25">
        <f>IF(T129="","",HYPERLINK(IF(LEFT(T129,4)="http",T129,set_QwilrBase&amp;T129),"Open quote"))</f>
        <v/>
      </c>
      <c r="V129" s="25">
        <f>IF(C129="","",C129)</f>
        <v/>
      </c>
      <c r="W129" s="24" t="n"/>
      <c r="X129" s="26" t="n"/>
      <c r="Y129" s="27">
        <f>IF(C129="","",H129+N(X129))</f>
        <v/>
      </c>
      <c r="Z129" s="29">
        <f>IFERROR(X129/Y129,"")</f>
        <v/>
      </c>
      <c r="AA129" s="26" t="n"/>
      <c r="AB129" s="26" t="n"/>
      <c r="AC129" s="26" t="n"/>
      <c r="AD129" s="26" t="n"/>
      <c r="AE129" s="27">
        <f>IF(C129="","",SUMIFS(tbl_Finance[Ex GST],tbl_Finance[Job Number],C129&amp;"",tbl_Finance[Cost Centre],"VIDEO"))</f>
        <v/>
      </c>
      <c r="AF129" s="29">
        <f>IFERROR(AE129/H129,"")</f>
        <v/>
      </c>
      <c r="AG129" s="27">
        <f>IF(C129="","",N(AA129)+N(AB129)+N(AC129)+N(AD129))</f>
        <v/>
      </c>
      <c r="AH129" s="27">
        <f>IF(C129="","",H129-AG129)</f>
        <v/>
      </c>
      <c r="AI129" s="29">
        <f>IFERROR(AH129/H129,"")</f>
        <v/>
      </c>
      <c r="AJ129" s="69" t="n"/>
      <c r="AK129" s="69" t="n"/>
      <c r="AL129" s="69" t="n"/>
      <c r="AM129" s="69" t="n"/>
      <c r="AN129" s="69" t="n"/>
      <c r="AO129" s="24" t="n"/>
    </row>
    <row r="130" ht="15" customHeight="1">
      <c r="A130" s="68">
        <f>IF(C130="","",IFERROR(IF(SUMPRODUCT(MAX((tbl_Finance[Job Number]=C130&amp;"")*(tbl_Finance[Xero Invoice No]&lt;&gt;"")*tbl_Finance[Date]))=0,"",SUMPRODUCT(MAX((tbl_Finance[Job Number]=C130&amp;"")*(tbl_Finance[Xero Invoice No]&lt;&gt;"")*tbl_Finance[Date]))),""))</f>
        <v/>
      </c>
      <c r="B130" s="25">
        <f>IF(C130="","",IF(COUNTIFS(tbl_Finance[Job Number],C130&amp;"",tbl_Finance[Xero Invoice No],"&lt;&gt;")=0,"",IFERROR(IF(COUNTIFS(tbl_Finance[Job Number],C130&amp;"",tbl_Finance[Xero Invoice No],LOOKUP(2,1/((tbl_Finance[Job Number]=C130&amp;"")*(tbl_Finance[Xero Invoice No]&lt;&gt;"")),tbl_Finance[Xero Invoice No]))=COUNTIFS(tbl_Finance[Job Number],C130&amp;"",tbl_Finance[Xero Invoice No],"&lt;&gt;"),LOOKUP(2,1/((tbl_Finance[Job Number]=C130&amp;"")*(tbl_Finance[Xero Invoice No]&lt;&gt;"")),tbl_Finance[Xero Invoice No]),LOOKUP(2,1/((tbl_Finance[Job Number]=C130&amp;"")*(tbl_Finance[Xero Invoice No]&lt;&gt;"")),tbl_Finance[Xero Invoice No])&amp;" +more"),"")))</f>
        <v/>
      </c>
      <c r="C130" s="24" t="n"/>
      <c r="D130" s="25">
        <f>IF(C130="","",IF(COUNTIF(lst_Jobs,C130&amp;"")&gt;0,"OK","CHECK"))</f>
        <v/>
      </c>
      <c r="E130" s="25">
        <f>IF(C130="","",IFERROR(INDEX(lst_JobName,MATCH(C130&amp;"",lst_Jobs,0)),""))</f>
        <v/>
      </c>
      <c r="F130" s="25">
        <f>IF(C130="","",IFERROR(INDEX(tbl_Finance[Client],MATCH(C130&amp;"",tbl_Finance[Job Number],0)),""))</f>
        <v/>
      </c>
      <c r="G130" s="28">
        <f>IF(C130="","",COUNTIFS(tbl_Finance[Job Number],C130&amp;"",tbl_Finance[Ex GST],"&lt;&gt;"))</f>
        <v/>
      </c>
      <c r="H130" s="27">
        <f>IF(C130="","",SUMIFS(tbl_Finance[Ex GST],tbl_Finance[Job Number],C130&amp;""))</f>
        <v/>
      </c>
      <c r="I130" s="27">
        <f>IF(C130="","",SUMIFS(tbl_Finance[Ex GST],tbl_Finance[Job Number],C130&amp;"",tbl_Finance[Xero Invoice No],"&lt;&gt;"))</f>
        <v/>
      </c>
      <c r="J130" s="27">
        <f>IF(C130="","",H130-I130)</f>
        <v/>
      </c>
      <c r="K130" s="25">
        <f>IF(C130="","",IF(G130=0,"not invoiced yet",SUBSTITUTE(TRIM(IF(COUNTIFS(tbl_Finance[Job Number],C130&amp;"",tbl_Finance[Cost Centre],"ONSITE")&gt;0,"ONSITE ","")&amp;IF(COUNTIFS(tbl_Finance[Job Number],C130&amp;"",tbl_Finance[Cost Centre],"PRODUCTION")&gt;0,"PRODUCTION ","")&amp;IF(COUNTIFS(tbl_Finance[Job Number],C130&amp;"",tbl_Finance[Cost Centre],"VIDEO")&gt;0,"VIDEO ","")&amp;IF(COUNTIFS(tbl_Finance[Job Number],C130&amp;"",tbl_Finance[Cost Centre],"INTEGRATION")&gt;0,"INTEGRATION ","")&amp;IF(COUNTIFS(tbl_Finance[Job Number],C130&amp;"",tbl_Finance[Cost Centre],"CONSULTING")&gt;0,"CONSULTING ","")&amp;IF(COUNTIFS(tbl_Finance[Job Number],C130&amp;"",tbl_Finance[Cost Centre],"CTS")&gt;0,"CTS ",""))," ",", ")))</f>
        <v/>
      </c>
      <c r="L130" s="27">
        <f>IF(C130="","",SUMIFS(tbl_Finance[Inc GST],tbl_Finance[Job Number],C130&amp;""))</f>
        <v/>
      </c>
      <c r="M130" s="24" t="n"/>
      <c r="N130" s="25">
        <f>IF(C130="","",IFERROR(INDEX(tbl_Finance[Description],MATCH(C130&amp;"",tbl_Finance[Job Number],0)),""))</f>
        <v/>
      </c>
      <c r="O130" s="24" t="n"/>
      <c r="P130" s="24" t="n"/>
      <c r="Q130" s="22" t="n"/>
      <c r="R130" s="24" t="n"/>
      <c r="S130" s="25">
        <f>IF(R130="","",IF(AND(LEFT(R130,4)&lt;&gt;"http",set_RMSBase=""),"",HYPERLINK(IF(LEFT(R130,4)="http",R130,set_RMSBase&amp;R130),"Open opportunity")))</f>
        <v/>
      </c>
      <c r="T130" s="24" t="n"/>
      <c r="U130" s="25">
        <f>IF(T130="","",HYPERLINK(IF(LEFT(T130,4)="http",T130,set_QwilrBase&amp;T130),"Open quote"))</f>
        <v/>
      </c>
      <c r="V130" s="25">
        <f>IF(C130="","",C130)</f>
        <v/>
      </c>
      <c r="W130" s="24" t="n"/>
      <c r="X130" s="26" t="n"/>
      <c r="Y130" s="27">
        <f>IF(C130="","",H130+N(X130))</f>
        <v/>
      </c>
      <c r="Z130" s="29">
        <f>IFERROR(X130/Y130,"")</f>
        <v/>
      </c>
      <c r="AA130" s="26" t="n"/>
      <c r="AB130" s="26" t="n"/>
      <c r="AC130" s="26" t="n"/>
      <c r="AD130" s="26" t="n"/>
      <c r="AE130" s="27">
        <f>IF(C130="","",SUMIFS(tbl_Finance[Ex GST],tbl_Finance[Job Number],C130&amp;"",tbl_Finance[Cost Centre],"VIDEO"))</f>
        <v/>
      </c>
      <c r="AF130" s="29">
        <f>IFERROR(AE130/H130,"")</f>
        <v/>
      </c>
      <c r="AG130" s="27">
        <f>IF(C130="","",N(AA130)+N(AB130)+N(AC130)+N(AD130))</f>
        <v/>
      </c>
      <c r="AH130" s="27">
        <f>IF(C130="","",H130-AG130)</f>
        <v/>
      </c>
      <c r="AI130" s="29">
        <f>IFERROR(AH130/H130,"")</f>
        <v/>
      </c>
      <c r="AJ130" s="69" t="n"/>
      <c r="AK130" s="69" t="n"/>
      <c r="AL130" s="69" t="n"/>
      <c r="AM130" s="69" t="n"/>
      <c r="AN130" s="69" t="n"/>
      <c r="AO130" s="24" t="n"/>
    </row>
    <row r="131" ht="15" customHeight="1">
      <c r="A131" s="68">
        <f>IF(C131="","",IFERROR(IF(SUMPRODUCT(MAX((tbl_Finance[Job Number]=C131&amp;"")*(tbl_Finance[Xero Invoice No]&lt;&gt;"")*tbl_Finance[Date]))=0,"",SUMPRODUCT(MAX((tbl_Finance[Job Number]=C131&amp;"")*(tbl_Finance[Xero Invoice No]&lt;&gt;"")*tbl_Finance[Date]))),""))</f>
        <v/>
      </c>
      <c r="B131" s="25">
        <f>IF(C131="","",IF(COUNTIFS(tbl_Finance[Job Number],C131&amp;"",tbl_Finance[Xero Invoice No],"&lt;&gt;")=0,"",IFERROR(IF(COUNTIFS(tbl_Finance[Job Number],C131&amp;"",tbl_Finance[Xero Invoice No],LOOKUP(2,1/((tbl_Finance[Job Number]=C131&amp;"")*(tbl_Finance[Xero Invoice No]&lt;&gt;"")),tbl_Finance[Xero Invoice No]))=COUNTIFS(tbl_Finance[Job Number],C131&amp;"",tbl_Finance[Xero Invoice No],"&lt;&gt;"),LOOKUP(2,1/((tbl_Finance[Job Number]=C131&amp;"")*(tbl_Finance[Xero Invoice No]&lt;&gt;"")),tbl_Finance[Xero Invoice No]),LOOKUP(2,1/((tbl_Finance[Job Number]=C131&amp;"")*(tbl_Finance[Xero Invoice No]&lt;&gt;"")),tbl_Finance[Xero Invoice No])&amp;" +more"),"")))</f>
        <v/>
      </c>
      <c r="C131" s="24" t="n"/>
      <c r="D131" s="25">
        <f>IF(C131="","",IF(COUNTIF(lst_Jobs,C131&amp;"")&gt;0,"OK","CHECK"))</f>
        <v/>
      </c>
      <c r="E131" s="25">
        <f>IF(C131="","",IFERROR(INDEX(lst_JobName,MATCH(C131&amp;"",lst_Jobs,0)),""))</f>
        <v/>
      </c>
      <c r="F131" s="25">
        <f>IF(C131="","",IFERROR(INDEX(tbl_Finance[Client],MATCH(C131&amp;"",tbl_Finance[Job Number],0)),""))</f>
        <v/>
      </c>
      <c r="G131" s="28">
        <f>IF(C131="","",COUNTIFS(tbl_Finance[Job Number],C131&amp;"",tbl_Finance[Ex GST],"&lt;&gt;"))</f>
        <v/>
      </c>
      <c r="H131" s="27">
        <f>IF(C131="","",SUMIFS(tbl_Finance[Ex GST],tbl_Finance[Job Number],C131&amp;""))</f>
        <v/>
      </c>
      <c r="I131" s="27">
        <f>IF(C131="","",SUMIFS(tbl_Finance[Ex GST],tbl_Finance[Job Number],C131&amp;"",tbl_Finance[Xero Invoice No],"&lt;&gt;"))</f>
        <v/>
      </c>
      <c r="J131" s="27">
        <f>IF(C131="","",H131-I131)</f>
        <v/>
      </c>
      <c r="K131" s="25">
        <f>IF(C131="","",IF(G131=0,"not invoiced yet",SUBSTITUTE(TRIM(IF(COUNTIFS(tbl_Finance[Job Number],C131&amp;"",tbl_Finance[Cost Centre],"ONSITE")&gt;0,"ONSITE ","")&amp;IF(COUNTIFS(tbl_Finance[Job Number],C131&amp;"",tbl_Finance[Cost Centre],"PRODUCTION")&gt;0,"PRODUCTION ","")&amp;IF(COUNTIFS(tbl_Finance[Job Number],C131&amp;"",tbl_Finance[Cost Centre],"VIDEO")&gt;0,"VIDEO ","")&amp;IF(COUNTIFS(tbl_Finance[Job Number],C131&amp;"",tbl_Finance[Cost Centre],"INTEGRATION")&gt;0,"INTEGRATION ","")&amp;IF(COUNTIFS(tbl_Finance[Job Number],C131&amp;"",tbl_Finance[Cost Centre],"CONSULTING")&gt;0,"CONSULTING ","")&amp;IF(COUNTIFS(tbl_Finance[Job Number],C131&amp;"",tbl_Finance[Cost Centre],"CTS")&gt;0,"CTS ",""))," ",", ")))</f>
        <v/>
      </c>
      <c r="L131" s="27">
        <f>IF(C131="","",SUMIFS(tbl_Finance[Inc GST],tbl_Finance[Job Number],C131&amp;""))</f>
        <v/>
      </c>
      <c r="M131" s="24" t="n"/>
      <c r="N131" s="25">
        <f>IF(C131="","",IFERROR(INDEX(tbl_Finance[Description],MATCH(C131&amp;"",tbl_Finance[Job Number],0)),""))</f>
        <v/>
      </c>
      <c r="O131" s="24" t="n"/>
      <c r="P131" s="24" t="n"/>
      <c r="Q131" s="22" t="n"/>
      <c r="R131" s="24" t="n"/>
      <c r="S131" s="25">
        <f>IF(R131="","",IF(AND(LEFT(R131,4)&lt;&gt;"http",set_RMSBase=""),"",HYPERLINK(IF(LEFT(R131,4)="http",R131,set_RMSBase&amp;R131),"Open opportunity")))</f>
        <v/>
      </c>
      <c r="T131" s="24" t="n"/>
      <c r="U131" s="25">
        <f>IF(T131="","",HYPERLINK(IF(LEFT(T131,4)="http",T131,set_QwilrBase&amp;T131),"Open quote"))</f>
        <v/>
      </c>
      <c r="V131" s="25">
        <f>IF(C131="","",C131)</f>
        <v/>
      </c>
      <c r="W131" s="24" t="n"/>
      <c r="X131" s="26" t="n"/>
      <c r="Y131" s="27">
        <f>IF(C131="","",H131+N(X131))</f>
        <v/>
      </c>
      <c r="Z131" s="29">
        <f>IFERROR(X131/Y131,"")</f>
        <v/>
      </c>
      <c r="AA131" s="26" t="n"/>
      <c r="AB131" s="26" t="n"/>
      <c r="AC131" s="26" t="n"/>
      <c r="AD131" s="26" t="n"/>
      <c r="AE131" s="27">
        <f>IF(C131="","",SUMIFS(tbl_Finance[Ex GST],tbl_Finance[Job Number],C131&amp;"",tbl_Finance[Cost Centre],"VIDEO"))</f>
        <v/>
      </c>
      <c r="AF131" s="29">
        <f>IFERROR(AE131/H131,"")</f>
        <v/>
      </c>
      <c r="AG131" s="27">
        <f>IF(C131="","",N(AA131)+N(AB131)+N(AC131)+N(AD131))</f>
        <v/>
      </c>
      <c r="AH131" s="27">
        <f>IF(C131="","",H131-AG131)</f>
        <v/>
      </c>
      <c r="AI131" s="29">
        <f>IFERROR(AH131/H131,"")</f>
        <v/>
      </c>
      <c r="AJ131" s="69" t="n"/>
      <c r="AK131" s="69" t="n"/>
      <c r="AL131" s="69" t="n"/>
      <c r="AM131" s="69" t="n"/>
      <c r="AN131" s="69" t="n"/>
      <c r="AO131" s="24" t="n"/>
    </row>
    <row r="132" ht="15" customHeight="1">
      <c r="A132" s="68">
        <f>IF(C132="","",IFERROR(IF(SUMPRODUCT(MAX((tbl_Finance[Job Number]=C132&amp;"")*(tbl_Finance[Xero Invoice No]&lt;&gt;"")*tbl_Finance[Date]))=0,"",SUMPRODUCT(MAX((tbl_Finance[Job Number]=C132&amp;"")*(tbl_Finance[Xero Invoice No]&lt;&gt;"")*tbl_Finance[Date]))),""))</f>
        <v/>
      </c>
      <c r="B132" s="25">
        <f>IF(C132="","",IF(COUNTIFS(tbl_Finance[Job Number],C132&amp;"",tbl_Finance[Xero Invoice No],"&lt;&gt;")=0,"",IFERROR(IF(COUNTIFS(tbl_Finance[Job Number],C132&amp;"",tbl_Finance[Xero Invoice No],LOOKUP(2,1/((tbl_Finance[Job Number]=C132&amp;"")*(tbl_Finance[Xero Invoice No]&lt;&gt;"")),tbl_Finance[Xero Invoice No]))=COUNTIFS(tbl_Finance[Job Number],C132&amp;"",tbl_Finance[Xero Invoice No],"&lt;&gt;"),LOOKUP(2,1/((tbl_Finance[Job Number]=C132&amp;"")*(tbl_Finance[Xero Invoice No]&lt;&gt;"")),tbl_Finance[Xero Invoice No]),LOOKUP(2,1/((tbl_Finance[Job Number]=C132&amp;"")*(tbl_Finance[Xero Invoice No]&lt;&gt;"")),tbl_Finance[Xero Invoice No])&amp;" +more"),"")))</f>
        <v/>
      </c>
      <c r="C132" s="24" t="n"/>
      <c r="D132" s="25">
        <f>IF(C132="","",IF(COUNTIF(lst_Jobs,C132&amp;"")&gt;0,"OK","CHECK"))</f>
        <v/>
      </c>
      <c r="E132" s="25">
        <f>IF(C132="","",IFERROR(INDEX(lst_JobName,MATCH(C132&amp;"",lst_Jobs,0)),""))</f>
        <v/>
      </c>
      <c r="F132" s="25">
        <f>IF(C132="","",IFERROR(INDEX(tbl_Finance[Client],MATCH(C132&amp;"",tbl_Finance[Job Number],0)),""))</f>
        <v/>
      </c>
      <c r="G132" s="28">
        <f>IF(C132="","",COUNTIFS(tbl_Finance[Job Number],C132&amp;"",tbl_Finance[Ex GST],"&lt;&gt;"))</f>
        <v/>
      </c>
      <c r="H132" s="27">
        <f>IF(C132="","",SUMIFS(tbl_Finance[Ex GST],tbl_Finance[Job Number],C132&amp;""))</f>
        <v/>
      </c>
      <c r="I132" s="27">
        <f>IF(C132="","",SUMIFS(tbl_Finance[Ex GST],tbl_Finance[Job Number],C132&amp;"",tbl_Finance[Xero Invoice No],"&lt;&gt;"))</f>
        <v/>
      </c>
      <c r="J132" s="27">
        <f>IF(C132="","",H132-I132)</f>
        <v/>
      </c>
      <c r="K132" s="25">
        <f>IF(C132="","",IF(G132=0,"not invoiced yet",SUBSTITUTE(TRIM(IF(COUNTIFS(tbl_Finance[Job Number],C132&amp;"",tbl_Finance[Cost Centre],"ONSITE")&gt;0,"ONSITE ","")&amp;IF(COUNTIFS(tbl_Finance[Job Number],C132&amp;"",tbl_Finance[Cost Centre],"PRODUCTION")&gt;0,"PRODUCTION ","")&amp;IF(COUNTIFS(tbl_Finance[Job Number],C132&amp;"",tbl_Finance[Cost Centre],"VIDEO")&gt;0,"VIDEO ","")&amp;IF(COUNTIFS(tbl_Finance[Job Number],C132&amp;"",tbl_Finance[Cost Centre],"INTEGRATION")&gt;0,"INTEGRATION ","")&amp;IF(COUNTIFS(tbl_Finance[Job Number],C132&amp;"",tbl_Finance[Cost Centre],"CONSULTING")&gt;0,"CONSULTING ","")&amp;IF(COUNTIFS(tbl_Finance[Job Number],C132&amp;"",tbl_Finance[Cost Centre],"CTS")&gt;0,"CTS ",""))," ",", ")))</f>
        <v/>
      </c>
      <c r="L132" s="27">
        <f>IF(C132="","",SUMIFS(tbl_Finance[Inc GST],tbl_Finance[Job Number],C132&amp;""))</f>
        <v/>
      </c>
      <c r="M132" s="24" t="n"/>
      <c r="N132" s="25">
        <f>IF(C132="","",IFERROR(INDEX(tbl_Finance[Description],MATCH(C132&amp;"",tbl_Finance[Job Number],0)),""))</f>
        <v/>
      </c>
      <c r="O132" s="24" t="n"/>
      <c r="P132" s="24" t="n"/>
      <c r="Q132" s="22" t="n"/>
      <c r="R132" s="24" t="n"/>
      <c r="S132" s="25">
        <f>IF(R132="","",IF(AND(LEFT(R132,4)&lt;&gt;"http",set_RMSBase=""),"",HYPERLINK(IF(LEFT(R132,4)="http",R132,set_RMSBase&amp;R132),"Open opportunity")))</f>
        <v/>
      </c>
      <c r="T132" s="24" t="n"/>
      <c r="U132" s="25">
        <f>IF(T132="","",HYPERLINK(IF(LEFT(T132,4)="http",T132,set_QwilrBase&amp;T132),"Open quote"))</f>
        <v/>
      </c>
      <c r="V132" s="25">
        <f>IF(C132="","",C132)</f>
        <v/>
      </c>
      <c r="W132" s="24" t="n"/>
      <c r="X132" s="26" t="n"/>
      <c r="Y132" s="27">
        <f>IF(C132="","",H132+N(X132))</f>
        <v/>
      </c>
      <c r="Z132" s="29">
        <f>IFERROR(X132/Y132,"")</f>
        <v/>
      </c>
      <c r="AA132" s="26" t="n"/>
      <c r="AB132" s="26" t="n"/>
      <c r="AC132" s="26" t="n"/>
      <c r="AD132" s="26" t="n"/>
      <c r="AE132" s="27">
        <f>IF(C132="","",SUMIFS(tbl_Finance[Ex GST],tbl_Finance[Job Number],C132&amp;"",tbl_Finance[Cost Centre],"VIDEO"))</f>
        <v/>
      </c>
      <c r="AF132" s="29">
        <f>IFERROR(AE132/H132,"")</f>
        <v/>
      </c>
      <c r="AG132" s="27">
        <f>IF(C132="","",N(AA132)+N(AB132)+N(AC132)+N(AD132))</f>
        <v/>
      </c>
      <c r="AH132" s="27">
        <f>IF(C132="","",H132-AG132)</f>
        <v/>
      </c>
      <c r="AI132" s="29">
        <f>IFERROR(AH132/H132,"")</f>
        <v/>
      </c>
      <c r="AJ132" s="69" t="n"/>
      <c r="AK132" s="69" t="n"/>
      <c r="AL132" s="69" t="n"/>
      <c r="AM132" s="69" t="n"/>
      <c r="AN132" s="69" t="n"/>
      <c r="AO132" s="24" t="n"/>
    </row>
    <row r="133" ht="15" customHeight="1">
      <c r="A133" s="68">
        <f>IF(C133="","",IFERROR(IF(SUMPRODUCT(MAX((tbl_Finance[Job Number]=C133&amp;"")*(tbl_Finance[Xero Invoice No]&lt;&gt;"")*tbl_Finance[Date]))=0,"",SUMPRODUCT(MAX((tbl_Finance[Job Number]=C133&amp;"")*(tbl_Finance[Xero Invoice No]&lt;&gt;"")*tbl_Finance[Date]))),""))</f>
        <v/>
      </c>
      <c r="B133" s="25">
        <f>IF(C133="","",IF(COUNTIFS(tbl_Finance[Job Number],C133&amp;"",tbl_Finance[Xero Invoice No],"&lt;&gt;")=0,"",IFERROR(IF(COUNTIFS(tbl_Finance[Job Number],C133&amp;"",tbl_Finance[Xero Invoice No],LOOKUP(2,1/((tbl_Finance[Job Number]=C133&amp;"")*(tbl_Finance[Xero Invoice No]&lt;&gt;"")),tbl_Finance[Xero Invoice No]))=COUNTIFS(tbl_Finance[Job Number],C133&amp;"",tbl_Finance[Xero Invoice No],"&lt;&gt;"),LOOKUP(2,1/((tbl_Finance[Job Number]=C133&amp;"")*(tbl_Finance[Xero Invoice No]&lt;&gt;"")),tbl_Finance[Xero Invoice No]),LOOKUP(2,1/((tbl_Finance[Job Number]=C133&amp;"")*(tbl_Finance[Xero Invoice No]&lt;&gt;"")),tbl_Finance[Xero Invoice No])&amp;" +more"),"")))</f>
        <v/>
      </c>
      <c r="C133" s="24" t="n"/>
      <c r="D133" s="25">
        <f>IF(C133="","",IF(COUNTIF(lst_Jobs,C133&amp;"")&gt;0,"OK","CHECK"))</f>
        <v/>
      </c>
      <c r="E133" s="25">
        <f>IF(C133="","",IFERROR(INDEX(lst_JobName,MATCH(C133&amp;"",lst_Jobs,0)),""))</f>
        <v/>
      </c>
      <c r="F133" s="25">
        <f>IF(C133="","",IFERROR(INDEX(tbl_Finance[Client],MATCH(C133&amp;"",tbl_Finance[Job Number],0)),""))</f>
        <v/>
      </c>
      <c r="G133" s="28">
        <f>IF(C133="","",COUNTIFS(tbl_Finance[Job Number],C133&amp;"",tbl_Finance[Ex GST],"&lt;&gt;"))</f>
        <v/>
      </c>
      <c r="H133" s="27">
        <f>IF(C133="","",SUMIFS(tbl_Finance[Ex GST],tbl_Finance[Job Number],C133&amp;""))</f>
        <v/>
      </c>
      <c r="I133" s="27">
        <f>IF(C133="","",SUMIFS(tbl_Finance[Ex GST],tbl_Finance[Job Number],C133&amp;"",tbl_Finance[Xero Invoice No],"&lt;&gt;"))</f>
        <v/>
      </c>
      <c r="J133" s="27">
        <f>IF(C133="","",H133-I133)</f>
        <v/>
      </c>
      <c r="K133" s="25">
        <f>IF(C133="","",IF(G133=0,"not invoiced yet",SUBSTITUTE(TRIM(IF(COUNTIFS(tbl_Finance[Job Number],C133&amp;"",tbl_Finance[Cost Centre],"ONSITE")&gt;0,"ONSITE ","")&amp;IF(COUNTIFS(tbl_Finance[Job Number],C133&amp;"",tbl_Finance[Cost Centre],"PRODUCTION")&gt;0,"PRODUCTION ","")&amp;IF(COUNTIFS(tbl_Finance[Job Number],C133&amp;"",tbl_Finance[Cost Centre],"VIDEO")&gt;0,"VIDEO ","")&amp;IF(COUNTIFS(tbl_Finance[Job Number],C133&amp;"",tbl_Finance[Cost Centre],"INTEGRATION")&gt;0,"INTEGRATION ","")&amp;IF(COUNTIFS(tbl_Finance[Job Number],C133&amp;"",tbl_Finance[Cost Centre],"CONSULTING")&gt;0,"CONSULTING ","")&amp;IF(COUNTIFS(tbl_Finance[Job Number],C133&amp;"",tbl_Finance[Cost Centre],"CTS")&gt;0,"CTS ",""))," ",", ")))</f>
        <v/>
      </c>
      <c r="L133" s="27">
        <f>IF(C133="","",SUMIFS(tbl_Finance[Inc GST],tbl_Finance[Job Number],C133&amp;""))</f>
        <v/>
      </c>
      <c r="M133" s="24" t="n"/>
      <c r="N133" s="25">
        <f>IF(C133="","",IFERROR(INDEX(tbl_Finance[Description],MATCH(C133&amp;"",tbl_Finance[Job Number],0)),""))</f>
        <v/>
      </c>
      <c r="O133" s="24" t="n"/>
      <c r="P133" s="24" t="n"/>
      <c r="Q133" s="22" t="n"/>
      <c r="R133" s="24" t="n"/>
      <c r="S133" s="25">
        <f>IF(R133="","",IF(AND(LEFT(R133,4)&lt;&gt;"http",set_RMSBase=""),"",HYPERLINK(IF(LEFT(R133,4)="http",R133,set_RMSBase&amp;R133),"Open opportunity")))</f>
        <v/>
      </c>
      <c r="T133" s="24" t="n"/>
      <c r="U133" s="25">
        <f>IF(T133="","",HYPERLINK(IF(LEFT(T133,4)="http",T133,set_QwilrBase&amp;T133),"Open quote"))</f>
        <v/>
      </c>
      <c r="V133" s="25">
        <f>IF(C133="","",C133)</f>
        <v/>
      </c>
      <c r="W133" s="24" t="n"/>
      <c r="X133" s="26" t="n"/>
      <c r="Y133" s="27">
        <f>IF(C133="","",H133+N(X133))</f>
        <v/>
      </c>
      <c r="Z133" s="29">
        <f>IFERROR(X133/Y133,"")</f>
        <v/>
      </c>
      <c r="AA133" s="26" t="n"/>
      <c r="AB133" s="26" t="n"/>
      <c r="AC133" s="26" t="n"/>
      <c r="AD133" s="26" t="n"/>
      <c r="AE133" s="27">
        <f>IF(C133="","",SUMIFS(tbl_Finance[Ex GST],tbl_Finance[Job Number],C133&amp;"",tbl_Finance[Cost Centre],"VIDEO"))</f>
        <v/>
      </c>
      <c r="AF133" s="29">
        <f>IFERROR(AE133/H133,"")</f>
        <v/>
      </c>
      <c r="AG133" s="27">
        <f>IF(C133="","",N(AA133)+N(AB133)+N(AC133)+N(AD133))</f>
        <v/>
      </c>
      <c r="AH133" s="27">
        <f>IF(C133="","",H133-AG133)</f>
        <v/>
      </c>
      <c r="AI133" s="29">
        <f>IFERROR(AH133/H133,"")</f>
        <v/>
      </c>
      <c r="AJ133" s="69" t="n"/>
      <c r="AK133" s="69" t="n"/>
      <c r="AL133" s="69" t="n"/>
      <c r="AM133" s="69" t="n"/>
      <c r="AN133" s="69" t="n"/>
      <c r="AO133" s="24" t="n"/>
    </row>
    <row r="134" ht="15" customHeight="1">
      <c r="A134" s="68">
        <f>IF(C134="","",IFERROR(IF(SUMPRODUCT(MAX((tbl_Finance[Job Number]=C134&amp;"")*(tbl_Finance[Xero Invoice No]&lt;&gt;"")*tbl_Finance[Date]))=0,"",SUMPRODUCT(MAX((tbl_Finance[Job Number]=C134&amp;"")*(tbl_Finance[Xero Invoice No]&lt;&gt;"")*tbl_Finance[Date]))),""))</f>
        <v/>
      </c>
      <c r="B134" s="25">
        <f>IF(C134="","",IF(COUNTIFS(tbl_Finance[Job Number],C134&amp;"",tbl_Finance[Xero Invoice No],"&lt;&gt;")=0,"",IFERROR(IF(COUNTIFS(tbl_Finance[Job Number],C134&amp;"",tbl_Finance[Xero Invoice No],LOOKUP(2,1/((tbl_Finance[Job Number]=C134&amp;"")*(tbl_Finance[Xero Invoice No]&lt;&gt;"")),tbl_Finance[Xero Invoice No]))=COUNTIFS(tbl_Finance[Job Number],C134&amp;"",tbl_Finance[Xero Invoice No],"&lt;&gt;"),LOOKUP(2,1/((tbl_Finance[Job Number]=C134&amp;"")*(tbl_Finance[Xero Invoice No]&lt;&gt;"")),tbl_Finance[Xero Invoice No]),LOOKUP(2,1/((tbl_Finance[Job Number]=C134&amp;"")*(tbl_Finance[Xero Invoice No]&lt;&gt;"")),tbl_Finance[Xero Invoice No])&amp;" +more"),"")))</f>
        <v/>
      </c>
      <c r="C134" s="24" t="n"/>
      <c r="D134" s="25">
        <f>IF(C134="","",IF(COUNTIF(lst_Jobs,C134&amp;"")&gt;0,"OK","CHECK"))</f>
        <v/>
      </c>
      <c r="E134" s="25">
        <f>IF(C134="","",IFERROR(INDEX(lst_JobName,MATCH(C134&amp;"",lst_Jobs,0)),""))</f>
        <v/>
      </c>
      <c r="F134" s="25">
        <f>IF(C134="","",IFERROR(INDEX(tbl_Finance[Client],MATCH(C134&amp;"",tbl_Finance[Job Number],0)),""))</f>
        <v/>
      </c>
      <c r="G134" s="28">
        <f>IF(C134="","",COUNTIFS(tbl_Finance[Job Number],C134&amp;"",tbl_Finance[Ex GST],"&lt;&gt;"))</f>
        <v/>
      </c>
      <c r="H134" s="27">
        <f>IF(C134="","",SUMIFS(tbl_Finance[Ex GST],tbl_Finance[Job Number],C134&amp;""))</f>
        <v/>
      </c>
      <c r="I134" s="27">
        <f>IF(C134="","",SUMIFS(tbl_Finance[Ex GST],tbl_Finance[Job Number],C134&amp;"",tbl_Finance[Xero Invoice No],"&lt;&gt;"))</f>
        <v/>
      </c>
      <c r="J134" s="27">
        <f>IF(C134="","",H134-I134)</f>
        <v/>
      </c>
      <c r="K134" s="25">
        <f>IF(C134="","",IF(G134=0,"not invoiced yet",SUBSTITUTE(TRIM(IF(COUNTIFS(tbl_Finance[Job Number],C134&amp;"",tbl_Finance[Cost Centre],"ONSITE")&gt;0,"ONSITE ","")&amp;IF(COUNTIFS(tbl_Finance[Job Number],C134&amp;"",tbl_Finance[Cost Centre],"PRODUCTION")&gt;0,"PRODUCTION ","")&amp;IF(COUNTIFS(tbl_Finance[Job Number],C134&amp;"",tbl_Finance[Cost Centre],"VIDEO")&gt;0,"VIDEO ","")&amp;IF(COUNTIFS(tbl_Finance[Job Number],C134&amp;"",tbl_Finance[Cost Centre],"INTEGRATION")&gt;0,"INTEGRATION ","")&amp;IF(COUNTIFS(tbl_Finance[Job Number],C134&amp;"",tbl_Finance[Cost Centre],"CONSULTING")&gt;0,"CONSULTING ","")&amp;IF(COUNTIFS(tbl_Finance[Job Number],C134&amp;"",tbl_Finance[Cost Centre],"CTS")&gt;0,"CTS ",""))," ",", ")))</f>
        <v/>
      </c>
      <c r="L134" s="27">
        <f>IF(C134="","",SUMIFS(tbl_Finance[Inc GST],tbl_Finance[Job Number],C134&amp;""))</f>
        <v/>
      </c>
      <c r="M134" s="24" t="n"/>
      <c r="N134" s="25">
        <f>IF(C134="","",IFERROR(INDEX(tbl_Finance[Description],MATCH(C134&amp;"",tbl_Finance[Job Number],0)),""))</f>
        <v/>
      </c>
      <c r="O134" s="24" t="n"/>
      <c r="P134" s="24" t="n"/>
      <c r="Q134" s="22" t="n"/>
      <c r="R134" s="24" t="n"/>
      <c r="S134" s="25">
        <f>IF(R134="","",IF(AND(LEFT(R134,4)&lt;&gt;"http",set_RMSBase=""),"",HYPERLINK(IF(LEFT(R134,4)="http",R134,set_RMSBase&amp;R134),"Open opportunity")))</f>
        <v/>
      </c>
      <c r="T134" s="24" t="n"/>
      <c r="U134" s="25">
        <f>IF(T134="","",HYPERLINK(IF(LEFT(T134,4)="http",T134,set_QwilrBase&amp;T134),"Open quote"))</f>
        <v/>
      </c>
      <c r="V134" s="25">
        <f>IF(C134="","",C134)</f>
        <v/>
      </c>
      <c r="W134" s="24" t="n"/>
      <c r="X134" s="26" t="n"/>
      <c r="Y134" s="27">
        <f>IF(C134="","",H134+N(X134))</f>
        <v/>
      </c>
      <c r="Z134" s="29">
        <f>IFERROR(X134/Y134,"")</f>
        <v/>
      </c>
      <c r="AA134" s="26" t="n"/>
      <c r="AB134" s="26" t="n"/>
      <c r="AC134" s="26" t="n"/>
      <c r="AD134" s="26" t="n"/>
      <c r="AE134" s="27">
        <f>IF(C134="","",SUMIFS(tbl_Finance[Ex GST],tbl_Finance[Job Number],C134&amp;"",tbl_Finance[Cost Centre],"VIDEO"))</f>
        <v/>
      </c>
      <c r="AF134" s="29">
        <f>IFERROR(AE134/H134,"")</f>
        <v/>
      </c>
      <c r="AG134" s="27">
        <f>IF(C134="","",N(AA134)+N(AB134)+N(AC134)+N(AD134))</f>
        <v/>
      </c>
      <c r="AH134" s="27">
        <f>IF(C134="","",H134-AG134)</f>
        <v/>
      </c>
      <c r="AI134" s="29">
        <f>IFERROR(AH134/H134,"")</f>
        <v/>
      </c>
      <c r="AJ134" s="69" t="n"/>
      <c r="AK134" s="69" t="n"/>
      <c r="AL134" s="69" t="n"/>
      <c r="AM134" s="69" t="n"/>
      <c r="AN134" s="69" t="n"/>
      <c r="AO134" s="24" t="n"/>
    </row>
    <row r="135" ht="15" customHeight="1">
      <c r="A135" s="68">
        <f>IF(C135="","",IFERROR(IF(SUMPRODUCT(MAX((tbl_Finance[Job Number]=C135&amp;"")*(tbl_Finance[Xero Invoice No]&lt;&gt;"")*tbl_Finance[Date]))=0,"",SUMPRODUCT(MAX((tbl_Finance[Job Number]=C135&amp;"")*(tbl_Finance[Xero Invoice No]&lt;&gt;"")*tbl_Finance[Date]))),""))</f>
        <v/>
      </c>
      <c r="B135" s="25">
        <f>IF(C135="","",IF(COUNTIFS(tbl_Finance[Job Number],C135&amp;"",tbl_Finance[Xero Invoice No],"&lt;&gt;")=0,"",IFERROR(IF(COUNTIFS(tbl_Finance[Job Number],C135&amp;"",tbl_Finance[Xero Invoice No],LOOKUP(2,1/((tbl_Finance[Job Number]=C135&amp;"")*(tbl_Finance[Xero Invoice No]&lt;&gt;"")),tbl_Finance[Xero Invoice No]))=COUNTIFS(tbl_Finance[Job Number],C135&amp;"",tbl_Finance[Xero Invoice No],"&lt;&gt;"),LOOKUP(2,1/((tbl_Finance[Job Number]=C135&amp;"")*(tbl_Finance[Xero Invoice No]&lt;&gt;"")),tbl_Finance[Xero Invoice No]),LOOKUP(2,1/((tbl_Finance[Job Number]=C135&amp;"")*(tbl_Finance[Xero Invoice No]&lt;&gt;"")),tbl_Finance[Xero Invoice No])&amp;" +more"),"")))</f>
        <v/>
      </c>
      <c r="C135" s="24" t="n"/>
      <c r="D135" s="25">
        <f>IF(C135="","",IF(COUNTIF(lst_Jobs,C135&amp;"")&gt;0,"OK","CHECK"))</f>
        <v/>
      </c>
      <c r="E135" s="25">
        <f>IF(C135="","",IFERROR(INDEX(lst_JobName,MATCH(C135&amp;"",lst_Jobs,0)),""))</f>
        <v/>
      </c>
      <c r="F135" s="25">
        <f>IF(C135="","",IFERROR(INDEX(tbl_Finance[Client],MATCH(C135&amp;"",tbl_Finance[Job Number],0)),""))</f>
        <v/>
      </c>
      <c r="G135" s="28">
        <f>IF(C135="","",COUNTIFS(tbl_Finance[Job Number],C135&amp;"",tbl_Finance[Ex GST],"&lt;&gt;"))</f>
        <v/>
      </c>
      <c r="H135" s="27">
        <f>IF(C135="","",SUMIFS(tbl_Finance[Ex GST],tbl_Finance[Job Number],C135&amp;""))</f>
        <v/>
      </c>
      <c r="I135" s="27">
        <f>IF(C135="","",SUMIFS(tbl_Finance[Ex GST],tbl_Finance[Job Number],C135&amp;"",tbl_Finance[Xero Invoice No],"&lt;&gt;"))</f>
        <v/>
      </c>
      <c r="J135" s="27">
        <f>IF(C135="","",H135-I135)</f>
        <v/>
      </c>
      <c r="K135" s="25">
        <f>IF(C135="","",IF(G135=0,"not invoiced yet",SUBSTITUTE(TRIM(IF(COUNTIFS(tbl_Finance[Job Number],C135&amp;"",tbl_Finance[Cost Centre],"ONSITE")&gt;0,"ONSITE ","")&amp;IF(COUNTIFS(tbl_Finance[Job Number],C135&amp;"",tbl_Finance[Cost Centre],"PRODUCTION")&gt;0,"PRODUCTION ","")&amp;IF(COUNTIFS(tbl_Finance[Job Number],C135&amp;"",tbl_Finance[Cost Centre],"VIDEO")&gt;0,"VIDEO ","")&amp;IF(COUNTIFS(tbl_Finance[Job Number],C135&amp;"",tbl_Finance[Cost Centre],"INTEGRATION")&gt;0,"INTEGRATION ","")&amp;IF(COUNTIFS(tbl_Finance[Job Number],C135&amp;"",tbl_Finance[Cost Centre],"CONSULTING")&gt;0,"CONSULTING ","")&amp;IF(COUNTIFS(tbl_Finance[Job Number],C135&amp;"",tbl_Finance[Cost Centre],"CTS")&gt;0,"CTS ",""))," ",", ")))</f>
        <v/>
      </c>
      <c r="L135" s="27">
        <f>IF(C135="","",SUMIFS(tbl_Finance[Inc GST],tbl_Finance[Job Number],C135&amp;""))</f>
        <v/>
      </c>
      <c r="M135" s="24" t="n"/>
      <c r="N135" s="25">
        <f>IF(C135="","",IFERROR(INDEX(tbl_Finance[Description],MATCH(C135&amp;"",tbl_Finance[Job Number],0)),""))</f>
        <v/>
      </c>
      <c r="O135" s="24" t="n"/>
      <c r="P135" s="24" t="n"/>
      <c r="Q135" s="22" t="n"/>
      <c r="R135" s="24" t="n"/>
      <c r="S135" s="25">
        <f>IF(R135="","",IF(AND(LEFT(R135,4)&lt;&gt;"http",set_RMSBase=""),"",HYPERLINK(IF(LEFT(R135,4)="http",R135,set_RMSBase&amp;R135),"Open opportunity")))</f>
        <v/>
      </c>
      <c r="T135" s="24" t="n"/>
      <c r="U135" s="25">
        <f>IF(T135="","",HYPERLINK(IF(LEFT(T135,4)="http",T135,set_QwilrBase&amp;T135),"Open quote"))</f>
        <v/>
      </c>
      <c r="V135" s="25">
        <f>IF(C135="","",C135)</f>
        <v/>
      </c>
      <c r="W135" s="24" t="n"/>
      <c r="X135" s="26" t="n"/>
      <c r="Y135" s="27">
        <f>IF(C135="","",H135+N(X135))</f>
        <v/>
      </c>
      <c r="Z135" s="29">
        <f>IFERROR(X135/Y135,"")</f>
        <v/>
      </c>
      <c r="AA135" s="26" t="n"/>
      <c r="AB135" s="26" t="n"/>
      <c r="AC135" s="26" t="n"/>
      <c r="AD135" s="26" t="n"/>
      <c r="AE135" s="27">
        <f>IF(C135="","",SUMIFS(tbl_Finance[Ex GST],tbl_Finance[Job Number],C135&amp;"",tbl_Finance[Cost Centre],"VIDEO"))</f>
        <v/>
      </c>
      <c r="AF135" s="29">
        <f>IFERROR(AE135/H135,"")</f>
        <v/>
      </c>
      <c r="AG135" s="27">
        <f>IF(C135="","",N(AA135)+N(AB135)+N(AC135)+N(AD135))</f>
        <v/>
      </c>
      <c r="AH135" s="27">
        <f>IF(C135="","",H135-AG135)</f>
        <v/>
      </c>
      <c r="AI135" s="29">
        <f>IFERROR(AH135/H135,"")</f>
        <v/>
      </c>
      <c r="AJ135" s="69" t="n"/>
      <c r="AK135" s="69" t="n"/>
      <c r="AL135" s="69" t="n"/>
      <c r="AM135" s="69" t="n"/>
      <c r="AN135" s="69" t="n"/>
      <c r="AO135" s="24" t="n"/>
    </row>
    <row r="136" ht="15" customHeight="1">
      <c r="A136" s="68">
        <f>IF(C136="","",IFERROR(IF(SUMPRODUCT(MAX((tbl_Finance[Job Number]=C136&amp;"")*(tbl_Finance[Xero Invoice No]&lt;&gt;"")*tbl_Finance[Date]))=0,"",SUMPRODUCT(MAX((tbl_Finance[Job Number]=C136&amp;"")*(tbl_Finance[Xero Invoice No]&lt;&gt;"")*tbl_Finance[Date]))),""))</f>
        <v/>
      </c>
      <c r="B136" s="25">
        <f>IF(C136="","",IF(COUNTIFS(tbl_Finance[Job Number],C136&amp;"",tbl_Finance[Xero Invoice No],"&lt;&gt;")=0,"",IFERROR(IF(COUNTIFS(tbl_Finance[Job Number],C136&amp;"",tbl_Finance[Xero Invoice No],LOOKUP(2,1/((tbl_Finance[Job Number]=C136&amp;"")*(tbl_Finance[Xero Invoice No]&lt;&gt;"")),tbl_Finance[Xero Invoice No]))=COUNTIFS(tbl_Finance[Job Number],C136&amp;"",tbl_Finance[Xero Invoice No],"&lt;&gt;"),LOOKUP(2,1/((tbl_Finance[Job Number]=C136&amp;"")*(tbl_Finance[Xero Invoice No]&lt;&gt;"")),tbl_Finance[Xero Invoice No]),LOOKUP(2,1/((tbl_Finance[Job Number]=C136&amp;"")*(tbl_Finance[Xero Invoice No]&lt;&gt;"")),tbl_Finance[Xero Invoice No])&amp;" +more"),"")))</f>
        <v/>
      </c>
      <c r="C136" s="24" t="n"/>
      <c r="D136" s="25">
        <f>IF(C136="","",IF(COUNTIF(lst_Jobs,C136&amp;"")&gt;0,"OK","CHECK"))</f>
        <v/>
      </c>
      <c r="E136" s="25">
        <f>IF(C136="","",IFERROR(INDEX(lst_JobName,MATCH(C136&amp;"",lst_Jobs,0)),""))</f>
        <v/>
      </c>
      <c r="F136" s="25">
        <f>IF(C136="","",IFERROR(INDEX(tbl_Finance[Client],MATCH(C136&amp;"",tbl_Finance[Job Number],0)),""))</f>
        <v/>
      </c>
      <c r="G136" s="28">
        <f>IF(C136="","",COUNTIFS(tbl_Finance[Job Number],C136&amp;"",tbl_Finance[Ex GST],"&lt;&gt;"))</f>
        <v/>
      </c>
      <c r="H136" s="27">
        <f>IF(C136="","",SUMIFS(tbl_Finance[Ex GST],tbl_Finance[Job Number],C136&amp;""))</f>
        <v/>
      </c>
      <c r="I136" s="27">
        <f>IF(C136="","",SUMIFS(tbl_Finance[Ex GST],tbl_Finance[Job Number],C136&amp;"",tbl_Finance[Xero Invoice No],"&lt;&gt;"))</f>
        <v/>
      </c>
      <c r="J136" s="27">
        <f>IF(C136="","",H136-I136)</f>
        <v/>
      </c>
      <c r="K136" s="25">
        <f>IF(C136="","",IF(G136=0,"not invoiced yet",SUBSTITUTE(TRIM(IF(COUNTIFS(tbl_Finance[Job Number],C136&amp;"",tbl_Finance[Cost Centre],"ONSITE")&gt;0,"ONSITE ","")&amp;IF(COUNTIFS(tbl_Finance[Job Number],C136&amp;"",tbl_Finance[Cost Centre],"PRODUCTION")&gt;0,"PRODUCTION ","")&amp;IF(COUNTIFS(tbl_Finance[Job Number],C136&amp;"",tbl_Finance[Cost Centre],"VIDEO")&gt;0,"VIDEO ","")&amp;IF(COUNTIFS(tbl_Finance[Job Number],C136&amp;"",tbl_Finance[Cost Centre],"INTEGRATION")&gt;0,"INTEGRATION ","")&amp;IF(COUNTIFS(tbl_Finance[Job Number],C136&amp;"",tbl_Finance[Cost Centre],"CONSULTING")&gt;0,"CONSULTING ","")&amp;IF(COUNTIFS(tbl_Finance[Job Number],C136&amp;"",tbl_Finance[Cost Centre],"CTS")&gt;0,"CTS ",""))," ",", ")))</f>
        <v/>
      </c>
      <c r="L136" s="27">
        <f>IF(C136="","",SUMIFS(tbl_Finance[Inc GST],tbl_Finance[Job Number],C136&amp;""))</f>
        <v/>
      </c>
      <c r="M136" s="24" t="n"/>
      <c r="N136" s="25">
        <f>IF(C136="","",IFERROR(INDEX(tbl_Finance[Description],MATCH(C136&amp;"",tbl_Finance[Job Number],0)),""))</f>
        <v/>
      </c>
      <c r="O136" s="24" t="n"/>
      <c r="P136" s="24" t="n"/>
      <c r="Q136" s="22" t="n"/>
      <c r="R136" s="24" t="n"/>
      <c r="S136" s="25">
        <f>IF(R136="","",IF(AND(LEFT(R136,4)&lt;&gt;"http",set_RMSBase=""),"",HYPERLINK(IF(LEFT(R136,4)="http",R136,set_RMSBase&amp;R136),"Open opportunity")))</f>
        <v/>
      </c>
      <c r="T136" s="24" t="n"/>
      <c r="U136" s="25">
        <f>IF(T136="","",HYPERLINK(IF(LEFT(T136,4)="http",T136,set_QwilrBase&amp;T136),"Open quote"))</f>
        <v/>
      </c>
      <c r="V136" s="25">
        <f>IF(C136="","",C136)</f>
        <v/>
      </c>
      <c r="W136" s="24" t="n"/>
      <c r="X136" s="26" t="n"/>
      <c r="Y136" s="27">
        <f>IF(C136="","",H136+N(X136))</f>
        <v/>
      </c>
      <c r="Z136" s="29">
        <f>IFERROR(X136/Y136,"")</f>
        <v/>
      </c>
      <c r="AA136" s="26" t="n"/>
      <c r="AB136" s="26" t="n"/>
      <c r="AC136" s="26" t="n"/>
      <c r="AD136" s="26" t="n"/>
      <c r="AE136" s="27">
        <f>IF(C136="","",SUMIFS(tbl_Finance[Ex GST],tbl_Finance[Job Number],C136&amp;"",tbl_Finance[Cost Centre],"VIDEO"))</f>
        <v/>
      </c>
      <c r="AF136" s="29">
        <f>IFERROR(AE136/H136,"")</f>
        <v/>
      </c>
      <c r="AG136" s="27">
        <f>IF(C136="","",N(AA136)+N(AB136)+N(AC136)+N(AD136))</f>
        <v/>
      </c>
      <c r="AH136" s="27">
        <f>IF(C136="","",H136-AG136)</f>
        <v/>
      </c>
      <c r="AI136" s="29">
        <f>IFERROR(AH136/H136,"")</f>
        <v/>
      </c>
      <c r="AJ136" s="69" t="n"/>
      <c r="AK136" s="69" t="n"/>
      <c r="AL136" s="69" t="n"/>
      <c r="AM136" s="69" t="n"/>
      <c r="AN136" s="69" t="n"/>
      <c r="AO136" s="24" t="n"/>
    </row>
    <row r="137" ht="15" customHeight="1">
      <c r="A137" s="68">
        <f>IF(C137="","",IFERROR(IF(SUMPRODUCT(MAX((tbl_Finance[Job Number]=C137&amp;"")*(tbl_Finance[Xero Invoice No]&lt;&gt;"")*tbl_Finance[Date]))=0,"",SUMPRODUCT(MAX((tbl_Finance[Job Number]=C137&amp;"")*(tbl_Finance[Xero Invoice No]&lt;&gt;"")*tbl_Finance[Date]))),""))</f>
        <v/>
      </c>
      <c r="B137" s="25">
        <f>IF(C137="","",IF(COUNTIFS(tbl_Finance[Job Number],C137&amp;"",tbl_Finance[Xero Invoice No],"&lt;&gt;")=0,"",IFERROR(IF(COUNTIFS(tbl_Finance[Job Number],C137&amp;"",tbl_Finance[Xero Invoice No],LOOKUP(2,1/((tbl_Finance[Job Number]=C137&amp;"")*(tbl_Finance[Xero Invoice No]&lt;&gt;"")),tbl_Finance[Xero Invoice No]))=COUNTIFS(tbl_Finance[Job Number],C137&amp;"",tbl_Finance[Xero Invoice No],"&lt;&gt;"),LOOKUP(2,1/((tbl_Finance[Job Number]=C137&amp;"")*(tbl_Finance[Xero Invoice No]&lt;&gt;"")),tbl_Finance[Xero Invoice No]),LOOKUP(2,1/((tbl_Finance[Job Number]=C137&amp;"")*(tbl_Finance[Xero Invoice No]&lt;&gt;"")),tbl_Finance[Xero Invoice No])&amp;" +more"),"")))</f>
        <v/>
      </c>
      <c r="C137" s="24" t="n"/>
      <c r="D137" s="25">
        <f>IF(C137="","",IF(COUNTIF(lst_Jobs,C137&amp;"")&gt;0,"OK","CHECK"))</f>
        <v/>
      </c>
      <c r="E137" s="25">
        <f>IF(C137="","",IFERROR(INDEX(lst_JobName,MATCH(C137&amp;"",lst_Jobs,0)),""))</f>
        <v/>
      </c>
      <c r="F137" s="25">
        <f>IF(C137="","",IFERROR(INDEX(tbl_Finance[Client],MATCH(C137&amp;"",tbl_Finance[Job Number],0)),""))</f>
        <v/>
      </c>
      <c r="G137" s="28">
        <f>IF(C137="","",COUNTIFS(tbl_Finance[Job Number],C137&amp;"",tbl_Finance[Ex GST],"&lt;&gt;"))</f>
        <v/>
      </c>
      <c r="H137" s="27">
        <f>IF(C137="","",SUMIFS(tbl_Finance[Ex GST],tbl_Finance[Job Number],C137&amp;""))</f>
        <v/>
      </c>
      <c r="I137" s="27">
        <f>IF(C137="","",SUMIFS(tbl_Finance[Ex GST],tbl_Finance[Job Number],C137&amp;"",tbl_Finance[Xero Invoice No],"&lt;&gt;"))</f>
        <v/>
      </c>
      <c r="J137" s="27">
        <f>IF(C137="","",H137-I137)</f>
        <v/>
      </c>
      <c r="K137" s="25">
        <f>IF(C137="","",IF(G137=0,"not invoiced yet",SUBSTITUTE(TRIM(IF(COUNTIFS(tbl_Finance[Job Number],C137&amp;"",tbl_Finance[Cost Centre],"ONSITE")&gt;0,"ONSITE ","")&amp;IF(COUNTIFS(tbl_Finance[Job Number],C137&amp;"",tbl_Finance[Cost Centre],"PRODUCTION")&gt;0,"PRODUCTION ","")&amp;IF(COUNTIFS(tbl_Finance[Job Number],C137&amp;"",tbl_Finance[Cost Centre],"VIDEO")&gt;0,"VIDEO ","")&amp;IF(COUNTIFS(tbl_Finance[Job Number],C137&amp;"",tbl_Finance[Cost Centre],"INTEGRATION")&gt;0,"INTEGRATION ","")&amp;IF(COUNTIFS(tbl_Finance[Job Number],C137&amp;"",tbl_Finance[Cost Centre],"CONSULTING")&gt;0,"CONSULTING ","")&amp;IF(COUNTIFS(tbl_Finance[Job Number],C137&amp;"",tbl_Finance[Cost Centre],"CTS")&gt;0,"CTS ",""))," ",", ")))</f>
        <v/>
      </c>
      <c r="L137" s="27">
        <f>IF(C137="","",SUMIFS(tbl_Finance[Inc GST],tbl_Finance[Job Number],C137&amp;""))</f>
        <v/>
      </c>
      <c r="M137" s="24" t="n"/>
      <c r="N137" s="25">
        <f>IF(C137="","",IFERROR(INDEX(tbl_Finance[Description],MATCH(C137&amp;"",tbl_Finance[Job Number],0)),""))</f>
        <v/>
      </c>
      <c r="O137" s="24" t="n"/>
      <c r="P137" s="24" t="n"/>
      <c r="Q137" s="22" t="n"/>
      <c r="R137" s="24" t="n"/>
      <c r="S137" s="25">
        <f>IF(R137="","",IF(AND(LEFT(R137,4)&lt;&gt;"http",set_RMSBase=""),"",HYPERLINK(IF(LEFT(R137,4)="http",R137,set_RMSBase&amp;R137),"Open opportunity")))</f>
        <v/>
      </c>
      <c r="T137" s="24" t="n"/>
      <c r="U137" s="25">
        <f>IF(T137="","",HYPERLINK(IF(LEFT(T137,4)="http",T137,set_QwilrBase&amp;T137),"Open quote"))</f>
        <v/>
      </c>
      <c r="V137" s="25">
        <f>IF(C137="","",C137)</f>
        <v/>
      </c>
      <c r="W137" s="24" t="n"/>
      <c r="X137" s="26" t="n"/>
      <c r="Y137" s="27">
        <f>IF(C137="","",H137+N(X137))</f>
        <v/>
      </c>
      <c r="Z137" s="29">
        <f>IFERROR(X137/Y137,"")</f>
        <v/>
      </c>
      <c r="AA137" s="26" t="n"/>
      <c r="AB137" s="26" t="n"/>
      <c r="AC137" s="26" t="n"/>
      <c r="AD137" s="26" t="n"/>
      <c r="AE137" s="27">
        <f>IF(C137="","",SUMIFS(tbl_Finance[Ex GST],tbl_Finance[Job Number],C137&amp;"",tbl_Finance[Cost Centre],"VIDEO"))</f>
        <v/>
      </c>
      <c r="AF137" s="29">
        <f>IFERROR(AE137/H137,"")</f>
        <v/>
      </c>
      <c r="AG137" s="27">
        <f>IF(C137="","",N(AA137)+N(AB137)+N(AC137)+N(AD137))</f>
        <v/>
      </c>
      <c r="AH137" s="27">
        <f>IF(C137="","",H137-AG137)</f>
        <v/>
      </c>
      <c r="AI137" s="29">
        <f>IFERROR(AH137/H137,"")</f>
        <v/>
      </c>
      <c r="AJ137" s="69" t="n"/>
      <c r="AK137" s="69" t="n"/>
      <c r="AL137" s="69" t="n"/>
      <c r="AM137" s="69" t="n"/>
      <c r="AN137" s="69" t="n"/>
      <c r="AO137" s="24" t="n"/>
    </row>
    <row r="138" ht="15" customHeight="1">
      <c r="A138" s="68">
        <f>IF(C138="","",IFERROR(IF(SUMPRODUCT(MAX((tbl_Finance[Job Number]=C138&amp;"")*(tbl_Finance[Xero Invoice No]&lt;&gt;"")*tbl_Finance[Date]))=0,"",SUMPRODUCT(MAX((tbl_Finance[Job Number]=C138&amp;"")*(tbl_Finance[Xero Invoice No]&lt;&gt;"")*tbl_Finance[Date]))),""))</f>
        <v/>
      </c>
      <c r="B138" s="25">
        <f>IF(C138="","",IF(COUNTIFS(tbl_Finance[Job Number],C138&amp;"",tbl_Finance[Xero Invoice No],"&lt;&gt;")=0,"",IFERROR(IF(COUNTIFS(tbl_Finance[Job Number],C138&amp;"",tbl_Finance[Xero Invoice No],LOOKUP(2,1/((tbl_Finance[Job Number]=C138&amp;"")*(tbl_Finance[Xero Invoice No]&lt;&gt;"")),tbl_Finance[Xero Invoice No]))=COUNTIFS(tbl_Finance[Job Number],C138&amp;"",tbl_Finance[Xero Invoice No],"&lt;&gt;"),LOOKUP(2,1/((tbl_Finance[Job Number]=C138&amp;"")*(tbl_Finance[Xero Invoice No]&lt;&gt;"")),tbl_Finance[Xero Invoice No]),LOOKUP(2,1/((tbl_Finance[Job Number]=C138&amp;"")*(tbl_Finance[Xero Invoice No]&lt;&gt;"")),tbl_Finance[Xero Invoice No])&amp;" +more"),"")))</f>
        <v/>
      </c>
      <c r="C138" s="24" t="n"/>
      <c r="D138" s="25">
        <f>IF(C138="","",IF(COUNTIF(lst_Jobs,C138&amp;"")&gt;0,"OK","CHECK"))</f>
        <v/>
      </c>
      <c r="E138" s="25">
        <f>IF(C138="","",IFERROR(INDEX(lst_JobName,MATCH(C138&amp;"",lst_Jobs,0)),""))</f>
        <v/>
      </c>
      <c r="F138" s="25">
        <f>IF(C138="","",IFERROR(INDEX(tbl_Finance[Client],MATCH(C138&amp;"",tbl_Finance[Job Number],0)),""))</f>
        <v/>
      </c>
      <c r="G138" s="28">
        <f>IF(C138="","",COUNTIFS(tbl_Finance[Job Number],C138&amp;"",tbl_Finance[Ex GST],"&lt;&gt;"))</f>
        <v/>
      </c>
      <c r="H138" s="27">
        <f>IF(C138="","",SUMIFS(tbl_Finance[Ex GST],tbl_Finance[Job Number],C138&amp;""))</f>
        <v/>
      </c>
      <c r="I138" s="27">
        <f>IF(C138="","",SUMIFS(tbl_Finance[Ex GST],tbl_Finance[Job Number],C138&amp;"",tbl_Finance[Xero Invoice No],"&lt;&gt;"))</f>
        <v/>
      </c>
      <c r="J138" s="27">
        <f>IF(C138="","",H138-I138)</f>
        <v/>
      </c>
      <c r="K138" s="25">
        <f>IF(C138="","",IF(G138=0,"not invoiced yet",SUBSTITUTE(TRIM(IF(COUNTIFS(tbl_Finance[Job Number],C138&amp;"",tbl_Finance[Cost Centre],"ONSITE")&gt;0,"ONSITE ","")&amp;IF(COUNTIFS(tbl_Finance[Job Number],C138&amp;"",tbl_Finance[Cost Centre],"PRODUCTION")&gt;0,"PRODUCTION ","")&amp;IF(COUNTIFS(tbl_Finance[Job Number],C138&amp;"",tbl_Finance[Cost Centre],"VIDEO")&gt;0,"VIDEO ","")&amp;IF(COUNTIFS(tbl_Finance[Job Number],C138&amp;"",tbl_Finance[Cost Centre],"INTEGRATION")&gt;0,"INTEGRATION ","")&amp;IF(COUNTIFS(tbl_Finance[Job Number],C138&amp;"",tbl_Finance[Cost Centre],"CONSULTING")&gt;0,"CONSULTING ","")&amp;IF(COUNTIFS(tbl_Finance[Job Number],C138&amp;"",tbl_Finance[Cost Centre],"CTS")&gt;0,"CTS ",""))," ",", ")))</f>
        <v/>
      </c>
      <c r="L138" s="27">
        <f>IF(C138="","",SUMIFS(tbl_Finance[Inc GST],tbl_Finance[Job Number],C138&amp;""))</f>
        <v/>
      </c>
      <c r="M138" s="24" t="n"/>
      <c r="N138" s="25">
        <f>IF(C138="","",IFERROR(INDEX(tbl_Finance[Description],MATCH(C138&amp;"",tbl_Finance[Job Number],0)),""))</f>
        <v/>
      </c>
      <c r="O138" s="24" t="n"/>
      <c r="P138" s="24" t="n"/>
      <c r="Q138" s="22" t="n"/>
      <c r="R138" s="24" t="n"/>
      <c r="S138" s="25">
        <f>IF(R138="","",IF(AND(LEFT(R138,4)&lt;&gt;"http",set_RMSBase=""),"",HYPERLINK(IF(LEFT(R138,4)="http",R138,set_RMSBase&amp;R138),"Open opportunity")))</f>
        <v/>
      </c>
      <c r="T138" s="24" t="n"/>
      <c r="U138" s="25">
        <f>IF(T138="","",HYPERLINK(IF(LEFT(T138,4)="http",T138,set_QwilrBase&amp;T138),"Open quote"))</f>
        <v/>
      </c>
      <c r="V138" s="25">
        <f>IF(C138="","",C138)</f>
        <v/>
      </c>
      <c r="W138" s="24" t="n"/>
      <c r="X138" s="26" t="n"/>
      <c r="Y138" s="27">
        <f>IF(C138="","",H138+N(X138))</f>
        <v/>
      </c>
      <c r="Z138" s="29">
        <f>IFERROR(X138/Y138,"")</f>
        <v/>
      </c>
      <c r="AA138" s="26" t="n"/>
      <c r="AB138" s="26" t="n"/>
      <c r="AC138" s="26" t="n"/>
      <c r="AD138" s="26" t="n"/>
      <c r="AE138" s="27">
        <f>IF(C138="","",SUMIFS(tbl_Finance[Ex GST],tbl_Finance[Job Number],C138&amp;"",tbl_Finance[Cost Centre],"VIDEO"))</f>
        <v/>
      </c>
      <c r="AF138" s="29">
        <f>IFERROR(AE138/H138,"")</f>
        <v/>
      </c>
      <c r="AG138" s="27">
        <f>IF(C138="","",N(AA138)+N(AB138)+N(AC138)+N(AD138))</f>
        <v/>
      </c>
      <c r="AH138" s="27">
        <f>IF(C138="","",H138-AG138)</f>
        <v/>
      </c>
      <c r="AI138" s="29">
        <f>IFERROR(AH138/H138,"")</f>
        <v/>
      </c>
      <c r="AJ138" s="69" t="n"/>
      <c r="AK138" s="69" t="n"/>
      <c r="AL138" s="69" t="n"/>
      <c r="AM138" s="69" t="n"/>
      <c r="AN138" s="69" t="n"/>
      <c r="AO138" s="24" t="n"/>
    </row>
    <row r="139" ht="15" customHeight="1">
      <c r="A139" s="68">
        <f>IF(C139="","",IFERROR(IF(SUMPRODUCT(MAX((tbl_Finance[Job Number]=C139&amp;"")*(tbl_Finance[Xero Invoice No]&lt;&gt;"")*tbl_Finance[Date]))=0,"",SUMPRODUCT(MAX((tbl_Finance[Job Number]=C139&amp;"")*(tbl_Finance[Xero Invoice No]&lt;&gt;"")*tbl_Finance[Date]))),""))</f>
        <v/>
      </c>
      <c r="B139" s="25">
        <f>IF(C139="","",IF(COUNTIFS(tbl_Finance[Job Number],C139&amp;"",tbl_Finance[Xero Invoice No],"&lt;&gt;")=0,"",IFERROR(IF(COUNTIFS(tbl_Finance[Job Number],C139&amp;"",tbl_Finance[Xero Invoice No],LOOKUP(2,1/((tbl_Finance[Job Number]=C139&amp;"")*(tbl_Finance[Xero Invoice No]&lt;&gt;"")),tbl_Finance[Xero Invoice No]))=COUNTIFS(tbl_Finance[Job Number],C139&amp;"",tbl_Finance[Xero Invoice No],"&lt;&gt;"),LOOKUP(2,1/((tbl_Finance[Job Number]=C139&amp;"")*(tbl_Finance[Xero Invoice No]&lt;&gt;"")),tbl_Finance[Xero Invoice No]),LOOKUP(2,1/((tbl_Finance[Job Number]=C139&amp;"")*(tbl_Finance[Xero Invoice No]&lt;&gt;"")),tbl_Finance[Xero Invoice No])&amp;" +more"),"")))</f>
        <v/>
      </c>
      <c r="C139" s="24" t="n"/>
      <c r="D139" s="25">
        <f>IF(C139="","",IF(COUNTIF(lst_Jobs,C139&amp;"")&gt;0,"OK","CHECK"))</f>
        <v/>
      </c>
      <c r="E139" s="25">
        <f>IF(C139="","",IFERROR(INDEX(lst_JobName,MATCH(C139&amp;"",lst_Jobs,0)),""))</f>
        <v/>
      </c>
      <c r="F139" s="25">
        <f>IF(C139="","",IFERROR(INDEX(tbl_Finance[Client],MATCH(C139&amp;"",tbl_Finance[Job Number],0)),""))</f>
        <v/>
      </c>
      <c r="G139" s="28">
        <f>IF(C139="","",COUNTIFS(tbl_Finance[Job Number],C139&amp;"",tbl_Finance[Ex GST],"&lt;&gt;"))</f>
        <v/>
      </c>
      <c r="H139" s="27">
        <f>IF(C139="","",SUMIFS(tbl_Finance[Ex GST],tbl_Finance[Job Number],C139&amp;""))</f>
        <v/>
      </c>
      <c r="I139" s="27">
        <f>IF(C139="","",SUMIFS(tbl_Finance[Ex GST],tbl_Finance[Job Number],C139&amp;"",tbl_Finance[Xero Invoice No],"&lt;&gt;"))</f>
        <v/>
      </c>
      <c r="J139" s="27">
        <f>IF(C139="","",H139-I139)</f>
        <v/>
      </c>
      <c r="K139" s="25">
        <f>IF(C139="","",IF(G139=0,"not invoiced yet",SUBSTITUTE(TRIM(IF(COUNTIFS(tbl_Finance[Job Number],C139&amp;"",tbl_Finance[Cost Centre],"ONSITE")&gt;0,"ONSITE ","")&amp;IF(COUNTIFS(tbl_Finance[Job Number],C139&amp;"",tbl_Finance[Cost Centre],"PRODUCTION")&gt;0,"PRODUCTION ","")&amp;IF(COUNTIFS(tbl_Finance[Job Number],C139&amp;"",tbl_Finance[Cost Centre],"VIDEO")&gt;0,"VIDEO ","")&amp;IF(COUNTIFS(tbl_Finance[Job Number],C139&amp;"",tbl_Finance[Cost Centre],"INTEGRATION")&gt;0,"INTEGRATION ","")&amp;IF(COUNTIFS(tbl_Finance[Job Number],C139&amp;"",tbl_Finance[Cost Centre],"CONSULTING")&gt;0,"CONSULTING ","")&amp;IF(COUNTIFS(tbl_Finance[Job Number],C139&amp;"",tbl_Finance[Cost Centre],"CTS")&gt;0,"CTS ",""))," ",", ")))</f>
        <v/>
      </c>
      <c r="L139" s="27">
        <f>IF(C139="","",SUMIFS(tbl_Finance[Inc GST],tbl_Finance[Job Number],C139&amp;""))</f>
        <v/>
      </c>
      <c r="M139" s="24" t="n"/>
      <c r="N139" s="25">
        <f>IF(C139="","",IFERROR(INDEX(tbl_Finance[Description],MATCH(C139&amp;"",tbl_Finance[Job Number],0)),""))</f>
        <v/>
      </c>
      <c r="O139" s="24" t="n"/>
      <c r="P139" s="24" t="n"/>
      <c r="Q139" s="22" t="n"/>
      <c r="R139" s="24" t="n"/>
      <c r="S139" s="25">
        <f>IF(R139="","",IF(AND(LEFT(R139,4)&lt;&gt;"http",set_RMSBase=""),"",HYPERLINK(IF(LEFT(R139,4)="http",R139,set_RMSBase&amp;R139),"Open opportunity")))</f>
        <v/>
      </c>
      <c r="T139" s="24" t="n"/>
      <c r="U139" s="25">
        <f>IF(T139="","",HYPERLINK(IF(LEFT(T139,4)="http",T139,set_QwilrBase&amp;T139),"Open quote"))</f>
        <v/>
      </c>
      <c r="V139" s="25">
        <f>IF(C139="","",C139)</f>
        <v/>
      </c>
      <c r="W139" s="24" t="n"/>
      <c r="X139" s="26" t="n"/>
      <c r="Y139" s="27">
        <f>IF(C139="","",H139+N(X139))</f>
        <v/>
      </c>
      <c r="Z139" s="29">
        <f>IFERROR(X139/Y139,"")</f>
        <v/>
      </c>
      <c r="AA139" s="26" t="n"/>
      <c r="AB139" s="26" t="n"/>
      <c r="AC139" s="26" t="n"/>
      <c r="AD139" s="26" t="n"/>
      <c r="AE139" s="27">
        <f>IF(C139="","",SUMIFS(tbl_Finance[Ex GST],tbl_Finance[Job Number],C139&amp;"",tbl_Finance[Cost Centre],"VIDEO"))</f>
        <v/>
      </c>
      <c r="AF139" s="29">
        <f>IFERROR(AE139/H139,"")</f>
        <v/>
      </c>
      <c r="AG139" s="27">
        <f>IF(C139="","",N(AA139)+N(AB139)+N(AC139)+N(AD139))</f>
        <v/>
      </c>
      <c r="AH139" s="27">
        <f>IF(C139="","",H139-AG139)</f>
        <v/>
      </c>
      <c r="AI139" s="29">
        <f>IFERROR(AH139/H139,"")</f>
        <v/>
      </c>
      <c r="AJ139" s="69" t="n"/>
      <c r="AK139" s="69" t="n"/>
      <c r="AL139" s="69" t="n"/>
      <c r="AM139" s="69" t="n"/>
      <c r="AN139" s="69" t="n"/>
      <c r="AO139" s="24" t="n"/>
    </row>
    <row r="140" ht="15" customHeight="1">
      <c r="A140" s="68">
        <f>IF(C140="","",IFERROR(IF(SUMPRODUCT(MAX((tbl_Finance[Job Number]=C140&amp;"")*(tbl_Finance[Xero Invoice No]&lt;&gt;"")*tbl_Finance[Date]))=0,"",SUMPRODUCT(MAX((tbl_Finance[Job Number]=C140&amp;"")*(tbl_Finance[Xero Invoice No]&lt;&gt;"")*tbl_Finance[Date]))),""))</f>
        <v/>
      </c>
      <c r="B140" s="25">
        <f>IF(C140="","",IF(COUNTIFS(tbl_Finance[Job Number],C140&amp;"",tbl_Finance[Xero Invoice No],"&lt;&gt;")=0,"",IFERROR(IF(COUNTIFS(tbl_Finance[Job Number],C140&amp;"",tbl_Finance[Xero Invoice No],LOOKUP(2,1/((tbl_Finance[Job Number]=C140&amp;"")*(tbl_Finance[Xero Invoice No]&lt;&gt;"")),tbl_Finance[Xero Invoice No]))=COUNTIFS(tbl_Finance[Job Number],C140&amp;"",tbl_Finance[Xero Invoice No],"&lt;&gt;"),LOOKUP(2,1/((tbl_Finance[Job Number]=C140&amp;"")*(tbl_Finance[Xero Invoice No]&lt;&gt;"")),tbl_Finance[Xero Invoice No]),LOOKUP(2,1/((tbl_Finance[Job Number]=C140&amp;"")*(tbl_Finance[Xero Invoice No]&lt;&gt;"")),tbl_Finance[Xero Invoice No])&amp;" +more"),"")))</f>
        <v/>
      </c>
      <c r="C140" s="24" t="n"/>
      <c r="D140" s="25">
        <f>IF(C140="","",IF(COUNTIF(lst_Jobs,C140&amp;"")&gt;0,"OK","CHECK"))</f>
        <v/>
      </c>
      <c r="E140" s="25">
        <f>IF(C140="","",IFERROR(INDEX(lst_JobName,MATCH(C140&amp;"",lst_Jobs,0)),""))</f>
        <v/>
      </c>
      <c r="F140" s="25">
        <f>IF(C140="","",IFERROR(INDEX(tbl_Finance[Client],MATCH(C140&amp;"",tbl_Finance[Job Number],0)),""))</f>
        <v/>
      </c>
      <c r="G140" s="28">
        <f>IF(C140="","",COUNTIFS(tbl_Finance[Job Number],C140&amp;"",tbl_Finance[Ex GST],"&lt;&gt;"))</f>
        <v/>
      </c>
      <c r="H140" s="27">
        <f>IF(C140="","",SUMIFS(tbl_Finance[Ex GST],tbl_Finance[Job Number],C140&amp;""))</f>
        <v/>
      </c>
      <c r="I140" s="27">
        <f>IF(C140="","",SUMIFS(tbl_Finance[Ex GST],tbl_Finance[Job Number],C140&amp;"",tbl_Finance[Xero Invoice No],"&lt;&gt;"))</f>
        <v/>
      </c>
      <c r="J140" s="27">
        <f>IF(C140="","",H140-I140)</f>
        <v/>
      </c>
      <c r="K140" s="25">
        <f>IF(C140="","",IF(G140=0,"not invoiced yet",SUBSTITUTE(TRIM(IF(COUNTIFS(tbl_Finance[Job Number],C140&amp;"",tbl_Finance[Cost Centre],"ONSITE")&gt;0,"ONSITE ","")&amp;IF(COUNTIFS(tbl_Finance[Job Number],C140&amp;"",tbl_Finance[Cost Centre],"PRODUCTION")&gt;0,"PRODUCTION ","")&amp;IF(COUNTIFS(tbl_Finance[Job Number],C140&amp;"",tbl_Finance[Cost Centre],"VIDEO")&gt;0,"VIDEO ","")&amp;IF(COUNTIFS(tbl_Finance[Job Number],C140&amp;"",tbl_Finance[Cost Centre],"INTEGRATION")&gt;0,"INTEGRATION ","")&amp;IF(COUNTIFS(tbl_Finance[Job Number],C140&amp;"",tbl_Finance[Cost Centre],"CONSULTING")&gt;0,"CONSULTING ","")&amp;IF(COUNTIFS(tbl_Finance[Job Number],C140&amp;"",tbl_Finance[Cost Centre],"CTS")&gt;0,"CTS ",""))," ",", ")))</f>
        <v/>
      </c>
      <c r="L140" s="27">
        <f>IF(C140="","",SUMIFS(tbl_Finance[Inc GST],tbl_Finance[Job Number],C140&amp;""))</f>
        <v/>
      </c>
      <c r="M140" s="24" t="n"/>
      <c r="N140" s="25">
        <f>IF(C140="","",IFERROR(INDEX(tbl_Finance[Description],MATCH(C140&amp;"",tbl_Finance[Job Number],0)),""))</f>
        <v/>
      </c>
      <c r="O140" s="24" t="n"/>
      <c r="P140" s="24" t="n"/>
      <c r="Q140" s="22" t="n"/>
      <c r="R140" s="24" t="n"/>
      <c r="S140" s="25">
        <f>IF(R140="","",IF(AND(LEFT(R140,4)&lt;&gt;"http",set_RMSBase=""),"",HYPERLINK(IF(LEFT(R140,4)="http",R140,set_RMSBase&amp;R140),"Open opportunity")))</f>
        <v/>
      </c>
      <c r="T140" s="24" t="n"/>
      <c r="U140" s="25">
        <f>IF(T140="","",HYPERLINK(IF(LEFT(T140,4)="http",T140,set_QwilrBase&amp;T140),"Open quote"))</f>
        <v/>
      </c>
      <c r="V140" s="25">
        <f>IF(C140="","",C140)</f>
        <v/>
      </c>
      <c r="W140" s="24" t="n"/>
      <c r="X140" s="26" t="n"/>
      <c r="Y140" s="27">
        <f>IF(C140="","",H140+N(X140))</f>
        <v/>
      </c>
      <c r="Z140" s="29">
        <f>IFERROR(X140/Y140,"")</f>
        <v/>
      </c>
      <c r="AA140" s="26" t="n"/>
      <c r="AB140" s="26" t="n"/>
      <c r="AC140" s="26" t="n"/>
      <c r="AD140" s="26" t="n"/>
      <c r="AE140" s="27">
        <f>IF(C140="","",SUMIFS(tbl_Finance[Ex GST],tbl_Finance[Job Number],C140&amp;"",tbl_Finance[Cost Centre],"VIDEO"))</f>
        <v/>
      </c>
      <c r="AF140" s="29">
        <f>IFERROR(AE140/H140,"")</f>
        <v/>
      </c>
      <c r="AG140" s="27">
        <f>IF(C140="","",N(AA140)+N(AB140)+N(AC140)+N(AD140))</f>
        <v/>
      </c>
      <c r="AH140" s="27">
        <f>IF(C140="","",H140-AG140)</f>
        <v/>
      </c>
      <c r="AI140" s="29">
        <f>IFERROR(AH140/H140,"")</f>
        <v/>
      </c>
      <c r="AJ140" s="69" t="n"/>
      <c r="AK140" s="69" t="n"/>
      <c r="AL140" s="69" t="n"/>
      <c r="AM140" s="69" t="n"/>
      <c r="AN140" s="69" t="n"/>
      <c r="AO140" s="24" t="n"/>
    </row>
    <row r="141" ht="15" customHeight="1">
      <c r="A141" s="68">
        <f>IF(C141="","",IFERROR(IF(SUMPRODUCT(MAX((tbl_Finance[Job Number]=C141&amp;"")*(tbl_Finance[Xero Invoice No]&lt;&gt;"")*tbl_Finance[Date]))=0,"",SUMPRODUCT(MAX((tbl_Finance[Job Number]=C141&amp;"")*(tbl_Finance[Xero Invoice No]&lt;&gt;"")*tbl_Finance[Date]))),""))</f>
        <v/>
      </c>
      <c r="B141" s="25">
        <f>IF(C141="","",IF(COUNTIFS(tbl_Finance[Job Number],C141&amp;"",tbl_Finance[Xero Invoice No],"&lt;&gt;")=0,"",IFERROR(IF(COUNTIFS(tbl_Finance[Job Number],C141&amp;"",tbl_Finance[Xero Invoice No],LOOKUP(2,1/((tbl_Finance[Job Number]=C141&amp;"")*(tbl_Finance[Xero Invoice No]&lt;&gt;"")),tbl_Finance[Xero Invoice No]))=COUNTIFS(tbl_Finance[Job Number],C141&amp;"",tbl_Finance[Xero Invoice No],"&lt;&gt;"),LOOKUP(2,1/((tbl_Finance[Job Number]=C141&amp;"")*(tbl_Finance[Xero Invoice No]&lt;&gt;"")),tbl_Finance[Xero Invoice No]),LOOKUP(2,1/((tbl_Finance[Job Number]=C141&amp;"")*(tbl_Finance[Xero Invoice No]&lt;&gt;"")),tbl_Finance[Xero Invoice No])&amp;" +more"),"")))</f>
        <v/>
      </c>
      <c r="C141" s="24" t="n"/>
      <c r="D141" s="25">
        <f>IF(C141="","",IF(COUNTIF(lst_Jobs,C141&amp;"")&gt;0,"OK","CHECK"))</f>
        <v/>
      </c>
      <c r="E141" s="25">
        <f>IF(C141="","",IFERROR(INDEX(lst_JobName,MATCH(C141&amp;"",lst_Jobs,0)),""))</f>
        <v/>
      </c>
      <c r="F141" s="25">
        <f>IF(C141="","",IFERROR(INDEX(tbl_Finance[Client],MATCH(C141&amp;"",tbl_Finance[Job Number],0)),""))</f>
        <v/>
      </c>
      <c r="G141" s="28">
        <f>IF(C141="","",COUNTIFS(tbl_Finance[Job Number],C141&amp;"",tbl_Finance[Ex GST],"&lt;&gt;"))</f>
        <v/>
      </c>
      <c r="H141" s="27">
        <f>IF(C141="","",SUMIFS(tbl_Finance[Ex GST],tbl_Finance[Job Number],C141&amp;""))</f>
        <v/>
      </c>
      <c r="I141" s="27">
        <f>IF(C141="","",SUMIFS(tbl_Finance[Ex GST],tbl_Finance[Job Number],C141&amp;"",tbl_Finance[Xero Invoice No],"&lt;&gt;"))</f>
        <v/>
      </c>
      <c r="J141" s="27">
        <f>IF(C141="","",H141-I141)</f>
        <v/>
      </c>
      <c r="K141" s="25">
        <f>IF(C141="","",IF(G141=0,"not invoiced yet",SUBSTITUTE(TRIM(IF(COUNTIFS(tbl_Finance[Job Number],C141&amp;"",tbl_Finance[Cost Centre],"ONSITE")&gt;0,"ONSITE ","")&amp;IF(COUNTIFS(tbl_Finance[Job Number],C141&amp;"",tbl_Finance[Cost Centre],"PRODUCTION")&gt;0,"PRODUCTION ","")&amp;IF(COUNTIFS(tbl_Finance[Job Number],C141&amp;"",tbl_Finance[Cost Centre],"VIDEO")&gt;0,"VIDEO ","")&amp;IF(COUNTIFS(tbl_Finance[Job Number],C141&amp;"",tbl_Finance[Cost Centre],"INTEGRATION")&gt;0,"INTEGRATION ","")&amp;IF(COUNTIFS(tbl_Finance[Job Number],C141&amp;"",tbl_Finance[Cost Centre],"CONSULTING")&gt;0,"CONSULTING ","")&amp;IF(COUNTIFS(tbl_Finance[Job Number],C141&amp;"",tbl_Finance[Cost Centre],"CTS")&gt;0,"CTS ",""))," ",", ")))</f>
        <v/>
      </c>
      <c r="L141" s="27">
        <f>IF(C141="","",SUMIFS(tbl_Finance[Inc GST],tbl_Finance[Job Number],C141&amp;""))</f>
        <v/>
      </c>
      <c r="M141" s="24" t="n"/>
      <c r="N141" s="25">
        <f>IF(C141="","",IFERROR(INDEX(tbl_Finance[Description],MATCH(C141&amp;"",tbl_Finance[Job Number],0)),""))</f>
        <v/>
      </c>
      <c r="O141" s="24" t="n"/>
      <c r="P141" s="24" t="n"/>
      <c r="Q141" s="22" t="n"/>
      <c r="R141" s="24" t="n"/>
      <c r="S141" s="25">
        <f>IF(R141="","",IF(AND(LEFT(R141,4)&lt;&gt;"http",set_RMSBase=""),"",HYPERLINK(IF(LEFT(R141,4)="http",R141,set_RMSBase&amp;R141),"Open opportunity")))</f>
        <v/>
      </c>
      <c r="T141" s="24" t="n"/>
      <c r="U141" s="25">
        <f>IF(T141="","",HYPERLINK(IF(LEFT(T141,4)="http",T141,set_QwilrBase&amp;T141),"Open quote"))</f>
        <v/>
      </c>
      <c r="V141" s="25">
        <f>IF(C141="","",C141)</f>
        <v/>
      </c>
      <c r="W141" s="24" t="n"/>
      <c r="X141" s="26" t="n"/>
      <c r="Y141" s="27">
        <f>IF(C141="","",H141+N(X141))</f>
        <v/>
      </c>
      <c r="Z141" s="29">
        <f>IFERROR(X141/Y141,"")</f>
        <v/>
      </c>
      <c r="AA141" s="26" t="n"/>
      <c r="AB141" s="26" t="n"/>
      <c r="AC141" s="26" t="n"/>
      <c r="AD141" s="26" t="n"/>
      <c r="AE141" s="27">
        <f>IF(C141="","",SUMIFS(tbl_Finance[Ex GST],tbl_Finance[Job Number],C141&amp;"",tbl_Finance[Cost Centre],"VIDEO"))</f>
        <v/>
      </c>
      <c r="AF141" s="29">
        <f>IFERROR(AE141/H141,"")</f>
        <v/>
      </c>
      <c r="AG141" s="27">
        <f>IF(C141="","",N(AA141)+N(AB141)+N(AC141)+N(AD141))</f>
        <v/>
      </c>
      <c r="AH141" s="27">
        <f>IF(C141="","",H141-AG141)</f>
        <v/>
      </c>
      <c r="AI141" s="29">
        <f>IFERROR(AH141/H141,"")</f>
        <v/>
      </c>
      <c r="AJ141" s="69" t="n"/>
      <c r="AK141" s="69" t="n"/>
      <c r="AL141" s="69" t="n"/>
      <c r="AM141" s="69" t="n"/>
      <c r="AN141" s="69" t="n"/>
      <c r="AO141" s="24" t="n"/>
    </row>
    <row r="142" ht="15" customHeight="1">
      <c r="A142" s="68">
        <f>IF(C142="","",IFERROR(IF(SUMPRODUCT(MAX((tbl_Finance[Job Number]=C142&amp;"")*(tbl_Finance[Xero Invoice No]&lt;&gt;"")*tbl_Finance[Date]))=0,"",SUMPRODUCT(MAX((tbl_Finance[Job Number]=C142&amp;"")*(tbl_Finance[Xero Invoice No]&lt;&gt;"")*tbl_Finance[Date]))),""))</f>
        <v/>
      </c>
      <c r="B142" s="25">
        <f>IF(C142="","",IF(COUNTIFS(tbl_Finance[Job Number],C142&amp;"",tbl_Finance[Xero Invoice No],"&lt;&gt;")=0,"",IFERROR(IF(COUNTIFS(tbl_Finance[Job Number],C142&amp;"",tbl_Finance[Xero Invoice No],LOOKUP(2,1/((tbl_Finance[Job Number]=C142&amp;"")*(tbl_Finance[Xero Invoice No]&lt;&gt;"")),tbl_Finance[Xero Invoice No]))=COUNTIFS(tbl_Finance[Job Number],C142&amp;"",tbl_Finance[Xero Invoice No],"&lt;&gt;"),LOOKUP(2,1/((tbl_Finance[Job Number]=C142&amp;"")*(tbl_Finance[Xero Invoice No]&lt;&gt;"")),tbl_Finance[Xero Invoice No]),LOOKUP(2,1/((tbl_Finance[Job Number]=C142&amp;"")*(tbl_Finance[Xero Invoice No]&lt;&gt;"")),tbl_Finance[Xero Invoice No])&amp;" +more"),"")))</f>
        <v/>
      </c>
      <c r="C142" s="24" t="n"/>
      <c r="D142" s="25">
        <f>IF(C142="","",IF(COUNTIF(lst_Jobs,C142&amp;"")&gt;0,"OK","CHECK"))</f>
        <v/>
      </c>
      <c r="E142" s="25">
        <f>IF(C142="","",IFERROR(INDEX(lst_JobName,MATCH(C142&amp;"",lst_Jobs,0)),""))</f>
        <v/>
      </c>
      <c r="F142" s="25">
        <f>IF(C142="","",IFERROR(INDEX(tbl_Finance[Client],MATCH(C142&amp;"",tbl_Finance[Job Number],0)),""))</f>
        <v/>
      </c>
      <c r="G142" s="28">
        <f>IF(C142="","",COUNTIFS(tbl_Finance[Job Number],C142&amp;"",tbl_Finance[Ex GST],"&lt;&gt;"))</f>
        <v/>
      </c>
      <c r="H142" s="27">
        <f>IF(C142="","",SUMIFS(tbl_Finance[Ex GST],tbl_Finance[Job Number],C142&amp;""))</f>
        <v/>
      </c>
      <c r="I142" s="27">
        <f>IF(C142="","",SUMIFS(tbl_Finance[Ex GST],tbl_Finance[Job Number],C142&amp;"",tbl_Finance[Xero Invoice No],"&lt;&gt;"))</f>
        <v/>
      </c>
      <c r="J142" s="27">
        <f>IF(C142="","",H142-I142)</f>
        <v/>
      </c>
      <c r="K142" s="25">
        <f>IF(C142="","",IF(G142=0,"not invoiced yet",SUBSTITUTE(TRIM(IF(COUNTIFS(tbl_Finance[Job Number],C142&amp;"",tbl_Finance[Cost Centre],"ONSITE")&gt;0,"ONSITE ","")&amp;IF(COUNTIFS(tbl_Finance[Job Number],C142&amp;"",tbl_Finance[Cost Centre],"PRODUCTION")&gt;0,"PRODUCTION ","")&amp;IF(COUNTIFS(tbl_Finance[Job Number],C142&amp;"",tbl_Finance[Cost Centre],"VIDEO")&gt;0,"VIDEO ","")&amp;IF(COUNTIFS(tbl_Finance[Job Number],C142&amp;"",tbl_Finance[Cost Centre],"INTEGRATION")&gt;0,"INTEGRATION ","")&amp;IF(COUNTIFS(tbl_Finance[Job Number],C142&amp;"",tbl_Finance[Cost Centre],"CONSULTING")&gt;0,"CONSULTING ","")&amp;IF(COUNTIFS(tbl_Finance[Job Number],C142&amp;"",tbl_Finance[Cost Centre],"CTS")&gt;0,"CTS ",""))," ",", ")))</f>
        <v/>
      </c>
      <c r="L142" s="27">
        <f>IF(C142="","",SUMIFS(tbl_Finance[Inc GST],tbl_Finance[Job Number],C142&amp;""))</f>
        <v/>
      </c>
      <c r="M142" s="24" t="n"/>
      <c r="N142" s="25">
        <f>IF(C142="","",IFERROR(INDEX(tbl_Finance[Description],MATCH(C142&amp;"",tbl_Finance[Job Number],0)),""))</f>
        <v/>
      </c>
      <c r="O142" s="24" t="n"/>
      <c r="P142" s="24" t="n"/>
      <c r="Q142" s="22" t="n"/>
      <c r="R142" s="24" t="n"/>
      <c r="S142" s="25">
        <f>IF(R142="","",IF(AND(LEFT(R142,4)&lt;&gt;"http",set_RMSBase=""),"",HYPERLINK(IF(LEFT(R142,4)="http",R142,set_RMSBase&amp;R142),"Open opportunity")))</f>
        <v/>
      </c>
      <c r="T142" s="24" t="n"/>
      <c r="U142" s="25">
        <f>IF(T142="","",HYPERLINK(IF(LEFT(T142,4)="http",T142,set_QwilrBase&amp;T142),"Open quote"))</f>
        <v/>
      </c>
      <c r="V142" s="25">
        <f>IF(C142="","",C142)</f>
        <v/>
      </c>
      <c r="W142" s="24" t="n"/>
      <c r="X142" s="26" t="n"/>
      <c r="Y142" s="27">
        <f>IF(C142="","",H142+N(X142))</f>
        <v/>
      </c>
      <c r="Z142" s="29">
        <f>IFERROR(X142/Y142,"")</f>
        <v/>
      </c>
      <c r="AA142" s="26" t="n"/>
      <c r="AB142" s="26" t="n"/>
      <c r="AC142" s="26" t="n"/>
      <c r="AD142" s="26" t="n"/>
      <c r="AE142" s="27">
        <f>IF(C142="","",SUMIFS(tbl_Finance[Ex GST],tbl_Finance[Job Number],C142&amp;"",tbl_Finance[Cost Centre],"VIDEO"))</f>
        <v/>
      </c>
      <c r="AF142" s="29">
        <f>IFERROR(AE142/H142,"")</f>
        <v/>
      </c>
      <c r="AG142" s="27">
        <f>IF(C142="","",N(AA142)+N(AB142)+N(AC142)+N(AD142))</f>
        <v/>
      </c>
      <c r="AH142" s="27">
        <f>IF(C142="","",H142-AG142)</f>
        <v/>
      </c>
      <c r="AI142" s="29">
        <f>IFERROR(AH142/H142,"")</f>
        <v/>
      </c>
      <c r="AJ142" s="69" t="n"/>
      <c r="AK142" s="69" t="n"/>
      <c r="AL142" s="69" t="n"/>
      <c r="AM142" s="69" t="n"/>
      <c r="AN142" s="69" t="n"/>
      <c r="AO142" s="24" t="n"/>
    </row>
    <row r="143" ht="15" customHeight="1">
      <c r="A143" s="68">
        <f>IF(C143="","",IFERROR(IF(SUMPRODUCT(MAX((tbl_Finance[Job Number]=C143&amp;"")*(tbl_Finance[Xero Invoice No]&lt;&gt;"")*tbl_Finance[Date]))=0,"",SUMPRODUCT(MAX((tbl_Finance[Job Number]=C143&amp;"")*(tbl_Finance[Xero Invoice No]&lt;&gt;"")*tbl_Finance[Date]))),""))</f>
        <v/>
      </c>
      <c r="B143" s="25">
        <f>IF(C143="","",IF(COUNTIFS(tbl_Finance[Job Number],C143&amp;"",tbl_Finance[Xero Invoice No],"&lt;&gt;")=0,"",IFERROR(IF(COUNTIFS(tbl_Finance[Job Number],C143&amp;"",tbl_Finance[Xero Invoice No],LOOKUP(2,1/((tbl_Finance[Job Number]=C143&amp;"")*(tbl_Finance[Xero Invoice No]&lt;&gt;"")),tbl_Finance[Xero Invoice No]))=COUNTIFS(tbl_Finance[Job Number],C143&amp;"",tbl_Finance[Xero Invoice No],"&lt;&gt;"),LOOKUP(2,1/((tbl_Finance[Job Number]=C143&amp;"")*(tbl_Finance[Xero Invoice No]&lt;&gt;"")),tbl_Finance[Xero Invoice No]),LOOKUP(2,1/((tbl_Finance[Job Number]=C143&amp;"")*(tbl_Finance[Xero Invoice No]&lt;&gt;"")),tbl_Finance[Xero Invoice No])&amp;" +more"),"")))</f>
        <v/>
      </c>
      <c r="C143" s="24" t="n"/>
      <c r="D143" s="25">
        <f>IF(C143="","",IF(COUNTIF(lst_Jobs,C143&amp;"")&gt;0,"OK","CHECK"))</f>
        <v/>
      </c>
      <c r="E143" s="25">
        <f>IF(C143="","",IFERROR(INDEX(lst_JobName,MATCH(C143&amp;"",lst_Jobs,0)),""))</f>
        <v/>
      </c>
      <c r="F143" s="25">
        <f>IF(C143="","",IFERROR(INDEX(tbl_Finance[Client],MATCH(C143&amp;"",tbl_Finance[Job Number],0)),""))</f>
        <v/>
      </c>
      <c r="G143" s="28">
        <f>IF(C143="","",COUNTIFS(tbl_Finance[Job Number],C143&amp;"",tbl_Finance[Ex GST],"&lt;&gt;"))</f>
        <v/>
      </c>
      <c r="H143" s="27">
        <f>IF(C143="","",SUMIFS(tbl_Finance[Ex GST],tbl_Finance[Job Number],C143&amp;""))</f>
        <v/>
      </c>
      <c r="I143" s="27">
        <f>IF(C143="","",SUMIFS(tbl_Finance[Ex GST],tbl_Finance[Job Number],C143&amp;"",tbl_Finance[Xero Invoice No],"&lt;&gt;"))</f>
        <v/>
      </c>
      <c r="J143" s="27">
        <f>IF(C143="","",H143-I143)</f>
        <v/>
      </c>
      <c r="K143" s="25">
        <f>IF(C143="","",IF(G143=0,"not invoiced yet",SUBSTITUTE(TRIM(IF(COUNTIFS(tbl_Finance[Job Number],C143&amp;"",tbl_Finance[Cost Centre],"ONSITE")&gt;0,"ONSITE ","")&amp;IF(COUNTIFS(tbl_Finance[Job Number],C143&amp;"",tbl_Finance[Cost Centre],"PRODUCTION")&gt;0,"PRODUCTION ","")&amp;IF(COUNTIFS(tbl_Finance[Job Number],C143&amp;"",tbl_Finance[Cost Centre],"VIDEO")&gt;0,"VIDEO ","")&amp;IF(COUNTIFS(tbl_Finance[Job Number],C143&amp;"",tbl_Finance[Cost Centre],"INTEGRATION")&gt;0,"INTEGRATION ","")&amp;IF(COUNTIFS(tbl_Finance[Job Number],C143&amp;"",tbl_Finance[Cost Centre],"CONSULTING")&gt;0,"CONSULTING ","")&amp;IF(COUNTIFS(tbl_Finance[Job Number],C143&amp;"",tbl_Finance[Cost Centre],"CTS")&gt;0,"CTS ",""))," ",", ")))</f>
        <v/>
      </c>
      <c r="L143" s="27">
        <f>IF(C143="","",SUMIFS(tbl_Finance[Inc GST],tbl_Finance[Job Number],C143&amp;""))</f>
        <v/>
      </c>
      <c r="M143" s="24" t="n"/>
      <c r="N143" s="25">
        <f>IF(C143="","",IFERROR(INDEX(tbl_Finance[Description],MATCH(C143&amp;"",tbl_Finance[Job Number],0)),""))</f>
        <v/>
      </c>
      <c r="O143" s="24" t="n"/>
      <c r="P143" s="24" t="n"/>
      <c r="Q143" s="22" t="n"/>
      <c r="R143" s="24" t="n"/>
      <c r="S143" s="25">
        <f>IF(R143="","",IF(AND(LEFT(R143,4)&lt;&gt;"http",set_RMSBase=""),"",HYPERLINK(IF(LEFT(R143,4)="http",R143,set_RMSBase&amp;R143),"Open opportunity")))</f>
        <v/>
      </c>
      <c r="T143" s="24" t="n"/>
      <c r="U143" s="25">
        <f>IF(T143="","",HYPERLINK(IF(LEFT(T143,4)="http",T143,set_QwilrBase&amp;T143),"Open quote"))</f>
        <v/>
      </c>
      <c r="V143" s="25">
        <f>IF(C143="","",C143)</f>
        <v/>
      </c>
      <c r="W143" s="24" t="n"/>
      <c r="X143" s="26" t="n"/>
      <c r="Y143" s="27">
        <f>IF(C143="","",H143+N(X143))</f>
        <v/>
      </c>
      <c r="Z143" s="29">
        <f>IFERROR(X143/Y143,"")</f>
        <v/>
      </c>
      <c r="AA143" s="26" t="n"/>
      <c r="AB143" s="26" t="n"/>
      <c r="AC143" s="26" t="n"/>
      <c r="AD143" s="26" t="n"/>
      <c r="AE143" s="27">
        <f>IF(C143="","",SUMIFS(tbl_Finance[Ex GST],tbl_Finance[Job Number],C143&amp;"",tbl_Finance[Cost Centre],"VIDEO"))</f>
        <v/>
      </c>
      <c r="AF143" s="29">
        <f>IFERROR(AE143/H143,"")</f>
        <v/>
      </c>
      <c r="AG143" s="27">
        <f>IF(C143="","",N(AA143)+N(AB143)+N(AC143)+N(AD143))</f>
        <v/>
      </c>
      <c r="AH143" s="27">
        <f>IF(C143="","",H143-AG143)</f>
        <v/>
      </c>
      <c r="AI143" s="29">
        <f>IFERROR(AH143/H143,"")</f>
        <v/>
      </c>
      <c r="AJ143" s="69" t="n"/>
      <c r="AK143" s="69" t="n"/>
      <c r="AL143" s="69" t="n"/>
      <c r="AM143" s="69" t="n"/>
      <c r="AN143" s="69" t="n"/>
      <c r="AO143" s="24" t="n"/>
    </row>
    <row r="144" ht="15" customHeight="1">
      <c r="A144" s="68">
        <f>IF(C144="","",IFERROR(IF(SUMPRODUCT(MAX((tbl_Finance[Job Number]=C144&amp;"")*(tbl_Finance[Xero Invoice No]&lt;&gt;"")*tbl_Finance[Date]))=0,"",SUMPRODUCT(MAX((tbl_Finance[Job Number]=C144&amp;"")*(tbl_Finance[Xero Invoice No]&lt;&gt;"")*tbl_Finance[Date]))),""))</f>
        <v/>
      </c>
      <c r="B144" s="25">
        <f>IF(C144="","",IF(COUNTIFS(tbl_Finance[Job Number],C144&amp;"",tbl_Finance[Xero Invoice No],"&lt;&gt;")=0,"",IFERROR(IF(COUNTIFS(tbl_Finance[Job Number],C144&amp;"",tbl_Finance[Xero Invoice No],LOOKUP(2,1/((tbl_Finance[Job Number]=C144&amp;"")*(tbl_Finance[Xero Invoice No]&lt;&gt;"")),tbl_Finance[Xero Invoice No]))=COUNTIFS(tbl_Finance[Job Number],C144&amp;"",tbl_Finance[Xero Invoice No],"&lt;&gt;"),LOOKUP(2,1/((tbl_Finance[Job Number]=C144&amp;"")*(tbl_Finance[Xero Invoice No]&lt;&gt;"")),tbl_Finance[Xero Invoice No]),LOOKUP(2,1/((tbl_Finance[Job Number]=C144&amp;"")*(tbl_Finance[Xero Invoice No]&lt;&gt;"")),tbl_Finance[Xero Invoice No])&amp;" +more"),"")))</f>
        <v/>
      </c>
      <c r="C144" s="24" t="n"/>
      <c r="D144" s="25">
        <f>IF(C144="","",IF(COUNTIF(lst_Jobs,C144&amp;"")&gt;0,"OK","CHECK"))</f>
        <v/>
      </c>
      <c r="E144" s="25">
        <f>IF(C144="","",IFERROR(INDEX(lst_JobName,MATCH(C144&amp;"",lst_Jobs,0)),""))</f>
        <v/>
      </c>
      <c r="F144" s="25">
        <f>IF(C144="","",IFERROR(INDEX(tbl_Finance[Client],MATCH(C144&amp;"",tbl_Finance[Job Number],0)),""))</f>
        <v/>
      </c>
      <c r="G144" s="28">
        <f>IF(C144="","",COUNTIFS(tbl_Finance[Job Number],C144&amp;"",tbl_Finance[Ex GST],"&lt;&gt;"))</f>
        <v/>
      </c>
      <c r="H144" s="27">
        <f>IF(C144="","",SUMIFS(tbl_Finance[Ex GST],tbl_Finance[Job Number],C144&amp;""))</f>
        <v/>
      </c>
      <c r="I144" s="27">
        <f>IF(C144="","",SUMIFS(tbl_Finance[Ex GST],tbl_Finance[Job Number],C144&amp;"",tbl_Finance[Xero Invoice No],"&lt;&gt;"))</f>
        <v/>
      </c>
      <c r="J144" s="27">
        <f>IF(C144="","",H144-I144)</f>
        <v/>
      </c>
      <c r="K144" s="25">
        <f>IF(C144="","",IF(G144=0,"not invoiced yet",SUBSTITUTE(TRIM(IF(COUNTIFS(tbl_Finance[Job Number],C144&amp;"",tbl_Finance[Cost Centre],"ONSITE")&gt;0,"ONSITE ","")&amp;IF(COUNTIFS(tbl_Finance[Job Number],C144&amp;"",tbl_Finance[Cost Centre],"PRODUCTION")&gt;0,"PRODUCTION ","")&amp;IF(COUNTIFS(tbl_Finance[Job Number],C144&amp;"",tbl_Finance[Cost Centre],"VIDEO")&gt;0,"VIDEO ","")&amp;IF(COUNTIFS(tbl_Finance[Job Number],C144&amp;"",tbl_Finance[Cost Centre],"INTEGRATION")&gt;0,"INTEGRATION ","")&amp;IF(COUNTIFS(tbl_Finance[Job Number],C144&amp;"",tbl_Finance[Cost Centre],"CONSULTING")&gt;0,"CONSULTING ","")&amp;IF(COUNTIFS(tbl_Finance[Job Number],C144&amp;"",tbl_Finance[Cost Centre],"CTS")&gt;0,"CTS ",""))," ",", ")))</f>
        <v/>
      </c>
      <c r="L144" s="27">
        <f>IF(C144="","",SUMIFS(tbl_Finance[Inc GST],tbl_Finance[Job Number],C144&amp;""))</f>
        <v/>
      </c>
      <c r="M144" s="24" t="n"/>
      <c r="N144" s="25">
        <f>IF(C144="","",IFERROR(INDEX(tbl_Finance[Description],MATCH(C144&amp;"",tbl_Finance[Job Number],0)),""))</f>
        <v/>
      </c>
      <c r="O144" s="24" t="n"/>
      <c r="P144" s="24" t="n"/>
      <c r="Q144" s="22" t="n"/>
      <c r="R144" s="24" t="n"/>
      <c r="S144" s="25">
        <f>IF(R144="","",IF(AND(LEFT(R144,4)&lt;&gt;"http",set_RMSBase=""),"",HYPERLINK(IF(LEFT(R144,4)="http",R144,set_RMSBase&amp;R144),"Open opportunity")))</f>
        <v/>
      </c>
      <c r="T144" s="24" t="n"/>
      <c r="U144" s="25">
        <f>IF(T144="","",HYPERLINK(IF(LEFT(T144,4)="http",T144,set_QwilrBase&amp;T144),"Open quote"))</f>
        <v/>
      </c>
      <c r="V144" s="25">
        <f>IF(C144="","",C144)</f>
        <v/>
      </c>
      <c r="W144" s="24" t="n"/>
      <c r="X144" s="26" t="n"/>
      <c r="Y144" s="27">
        <f>IF(C144="","",H144+N(X144))</f>
        <v/>
      </c>
      <c r="Z144" s="29">
        <f>IFERROR(X144/Y144,"")</f>
        <v/>
      </c>
      <c r="AA144" s="26" t="n"/>
      <c r="AB144" s="26" t="n"/>
      <c r="AC144" s="26" t="n"/>
      <c r="AD144" s="26" t="n"/>
      <c r="AE144" s="27">
        <f>IF(C144="","",SUMIFS(tbl_Finance[Ex GST],tbl_Finance[Job Number],C144&amp;"",tbl_Finance[Cost Centre],"VIDEO"))</f>
        <v/>
      </c>
      <c r="AF144" s="29">
        <f>IFERROR(AE144/H144,"")</f>
        <v/>
      </c>
      <c r="AG144" s="27">
        <f>IF(C144="","",N(AA144)+N(AB144)+N(AC144)+N(AD144))</f>
        <v/>
      </c>
      <c r="AH144" s="27">
        <f>IF(C144="","",H144-AG144)</f>
        <v/>
      </c>
      <c r="AI144" s="29">
        <f>IFERROR(AH144/H144,"")</f>
        <v/>
      </c>
      <c r="AJ144" s="69" t="n"/>
      <c r="AK144" s="69" t="n"/>
      <c r="AL144" s="69" t="n"/>
      <c r="AM144" s="69" t="n"/>
      <c r="AN144" s="69" t="n"/>
      <c r="AO144" s="24" t="n"/>
    </row>
    <row r="145" ht="15" customHeight="1">
      <c r="A145" s="68">
        <f>IF(C145="","",IFERROR(IF(SUMPRODUCT(MAX((tbl_Finance[Job Number]=C145&amp;"")*(tbl_Finance[Xero Invoice No]&lt;&gt;"")*tbl_Finance[Date]))=0,"",SUMPRODUCT(MAX((tbl_Finance[Job Number]=C145&amp;"")*(tbl_Finance[Xero Invoice No]&lt;&gt;"")*tbl_Finance[Date]))),""))</f>
        <v/>
      </c>
      <c r="B145" s="25">
        <f>IF(C145="","",IF(COUNTIFS(tbl_Finance[Job Number],C145&amp;"",tbl_Finance[Xero Invoice No],"&lt;&gt;")=0,"",IFERROR(IF(COUNTIFS(tbl_Finance[Job Number],C145&amp;"",tbl_Finance[Xero Invoice No],LOOKUP(2,1/((tbl_Finance[Job Number]=C145&amp;"")*(tbl_Finance[Xero Invoice No]&lt;&gt;"")),tbl_Finance[Xero Invoice No]))=COUNTIFS(tbl_Finance[Job Number],C145&amp;"",tbl_Finance[Xero Invoice No],"&lt;&gt;"),LOOKUP(2,1/((tbl_Finance[Job Number]=C145&amp;"")*(tbl_Finance[Xero Invoice No]&lt;&gt;"")),tbl_Finance[Xero Invoice No]),LOOKUP(2,1/((tbl_Finance[Job Number]=C145&amp;"")*(tbl_Finance[Xero Invoice No]&lt;&gt;"")),tbl_Finance[Xero Invoice No])&amp;" +more"),"")))</f>
        <v/>
      </c>
      <c r="C145" s="24" t="n"/>
      <c r="D145" s="25">
        <f>IF(C145="","",IF(COUNTIF(lst_Jobs,C145&amp;"")&gt;0,"OK","CHECK"))</f>
        <v/>
      </c>
      <c r="E145" s="25">
        <f>IF(C145="","",IFERROR(INDEX(lst_JobName,MATCH(C145&amp;"",lst_Jobs,0)),""))</f>
        <v/>
      </c>
      <c r="F145" s="25">
        <f>IF(C145="","",IFERROR(INDEX(tbl_Finance[Client],MATCH(C145&amp;"",tbl_Finance[Job Number],0)),""))</f>
        <v/>
      </c>
      <c r="G145" s="28">
        <f>IF(C145="","",COUNTIFS(tbl_Finance[Job Number],C145&amp;"",tbl_Finance[Ex GST],"&lt;&gt;"))</f>
        <v/>
      </c>
      <c r="H145" s="27">
        <f>IF(C145="","",SUMIFS(tbl_Finance[Ex GST],tbl_Finance[Job Number],C145&amp;""))</f>
        <v/>
      </c>
      <c r="I145" s="27">
        <f>IF(C145="","",SUMIFS(tbl_Finance[Ex GST],tbl_Finance[Job Number],C145&amp;"",tbl_Finance[Xero Invoice No],"&lt;&gt;"))</f>
        <v/>
      </c>
      <c r="J145" s="27">
        <f>IF(C145="","",H145-I145)</f>
        <v/>
      </c>
      <c r="K145" s="25">
        <f>IF(C145="","",IF(G145=0,"not invoiced yet",SUBSTITUTE(TRIM(IF(COUNTIFS(tbl_Finance[Job Number],C145&amp;"",tbl_Finance[Cost Centre],"ONSITE")&gt;0,"ONSITE ","")&amp;IF(COUNTIFS(tbl_Finance[Job Number],C145&amp;"",tbl_Finance[Cost Centre],"PRODUCTION")&gt;0,"PRODUCTION ","")&amp;IF(COUNTIFS(tbl_Finance[Job Number],C145&amp;"",tbl_Finance[Cost Centre],"VIDEO")&gt;0,"VIDEO ","")&amp;IF(COUNTIFS(tbl_Finance[Job Number],C145&amp;"",tbl_Finance[Cost Centre],"INTEGRATION")&gt;0,"INTEGRATION ","")&amp;IF(COUNTIFS(tbl_Finance[Job Number],C145&amp;"",tbl_Finance[Cost Centre],"CONSULTING")&gt;0,"CONSULTING ","")&amp;IF(COUNTIFS(tbl_Finance[Job Number],C145&amp;"",tbl_Finance[Cost Centre],"CTS")&gt;0,"CTS ",""))," ",", ")))</f>
        <v/>
      </c>
      <c r="L145" s="27">
        <f>IF(C145="","",SUMIFS(tbl_Finance[Inc GST],tbl_Finance[Job Number],C145&amp;""))</f>
        <v/>
      </c>
      <c r="M145" s="24" t="n"/>
      <c r="N145" s="25">
        <f>IF(C145="","",IFERROR(INDEX(tbl_Finance[Description],MATCH(C145&amp;"",tbl_Finance[Job Number],0)),""))</f>
        <v/>
      </c>
      <c r="O145" s="24" t="n"/>
      <c r="P145" s="24" t="n"/>
      <c r="Q145" s="22" t="n"/>
      <c r="R145" s="24" t="n"/>
      <c r="S145" s="25">
        <f>IF(R145="","",IF(AND(LEFT(R145,4)&lt;&gt;"http",set_RMSBase=""),"",HYPERLINK(IF(LEFT(R145,4)="http",R145,set_RMSBase&amp;R145),"Open opportunity")))</f>
        <v/>
      </c>
      <c r="T145" s="24" t="n"/>
      <c r="U145" s="25">
        <f>IF(T145="","",HYPERLINK(IF(LEFT(T145,4)="http",T145,set_QwilrBase&amp;T145),"Open quote"))</f>
        <v/>
      </c>
      <c r="V145" s="25">
        <f>IF(C145="","",C145)</f>
        <v/>
      </c>
      <c r="W145" s="24" t="n"/>
      <c r="X145" s="26" t="n"/>
      <c r="Y145" s="27">
        <f>IF(C145="","",H145+N(X145))</f>
        <v/>
      </c>
      <c r="Z145" s="29">
        <f>IFERROR(X145/Y145,"")</f>
        <v/>
      </c>
      <c r="AA145" s="26" t="n"/>
      <c r="AB145" s="26" t="n"/>
      <c r="AC145" s="26" t="n"/>
      <c r="AD145" s="26" t="n"/>
      <c r="AE145" s="27">
        <f>IF(C145="","",SUMIFS(tbl_Finance[Ex GST],tbl_Finance[Job Number],C145&amp;"",tbl_Finance[Cost Centre],"VIDEO"))</f>
        <v/>
      </c>
      <c r="AF145" s="29">
        <f>IFERROR(AE145/H145,"")</f>
        <v/>
      </c>
      <c r="AG145" s="27">
        <f>IF(C145="","",N(AA145)+N(AB145)+N(AC145)+N(AD145))</f>
        <v/>
      </c>
      <c r="AH145" s="27">
        <f>IF(C145="","",H145-AG145)</f>
        <v/>
      </c>
      <c r="AI145" s="29">
        <f>IFERROR(AH145/H145,"")</f>
        <v/>
      </c>
      <c r="AJ145" s="69" t="n"/>
      <c r="AK145" s="69" t="n"/>
      <c r="AL145" s="69" t="n"/>
      <c r="AM145" s="69" t="n"/>
      <c r="AN145" s="69" t="n"/>
      <c r="AO145" s="24" t="n"/>
    </row>
    <row r="146" ht="15" customHeight="1">
      <c r="A146" s="68">
        <f>IF(C146="","",IFERROR(IF(SUMPRODUCT(MAX((tbl_Finance[Job Number]=C146&amp;"")*(tbl_Finance[Xero Invoice No]&lt;&gt;"")*tbl_Finance[Date]))=0,"",SUMPRODUCT(MAX((tbl_Finance[Job Number]=C146&amp;"")*(tbl_Finance[Xero Invoice No]&lt;&gt;"")*tbl_Finance[Date]))),""))</f>
        <v/>
      </c>
      <c r="B146" s="25">
        <f>IF(C146="","",IF(COUNTIFS(tbl_Finance[Job Number],C146&amp;"",tbl_Finance[Xero Invoice No],"&lt;&gt;")=0,"",IFERROR(IF(COUNTIFS(tbl_Finance[Job Number],C146&amp;"",tbl_Finance[Xero Invoice No],LOOKUP(2,1/((tbl_Finance[Job Number]=C146&amp;"")*(tbl_Finance[Xero Invoice No]&lt;&gt;"")),tbl_Finance[Xero Invoice No]))=COUNTIFS(tbl_Finance[Job Number],C146&amp;"",tbl_Finance[Xero Invoice No],"&lt;&gt;"),LOOKUP(2,1/((tbl_Finance[Job Number]=C146&amp;"")*(tbl_Finance[Xero Invoice No]&lt;&gt;"")),tbl_Finance[Xero Invoice No]),LOOKUP(2,1/((tbl_Finance[Job Number]=C146&amp;"")*(tbl_Finance[Xero Invoice No]&lt;&gt;"")),tbl_Finance[Xero Invoice No])&amp;" +more"),"")))</f>
        <v/>
      </c>
      <c r="C146" s="24" t="n"/>
      <c r="D146" s="25">
        <f>IF(C146="","",IF(COUNTIF(lst_Jobs,C146&amp;"")&gt;0,"OK","CHECK"))</f>
        <v/>
      </c>
      <c r="E146" s="25">
        <f>IF(C146="","",IFERROR(INDEX(lst_JobName,MATCH(C146&amp;"",lst_Jobs,0)),""))</f>
        <v/>
      </c>
      <c r="F146" s="25">
        <f>IF(C146="","",IFERROR(INDEX(tbl_Finance[Client],MATCH(C146&amp;"",tbl_Finance[Job Number],0)),""))</f>
        <v/>
      </c>
      <c r="G146" s="28">
        <f>IF(C146="","",COUNTIFS(tbl_Finance[Job Number],C146&amp;"",tbl_Finance[Ex GST],"&lt;&gt;"))</f>
        <v/>
      </c>
      <c r="H146" s="27">
        <f>IF(C146="","",SUMIFS(tbl_Finance[Ex GST],tbl_Finance[Job Number],C146&amp;""))</f>
        <v/>
      </c>
      <c r="I146" s="27">
        <f>IF(C146="","",SUMIFS(tbl_Finance[Ex GST],tbl_Finance[Job Number],C146&amp;"",tbl_Finance[Xero Invoice No],"&lt;&gt;"))</f>
        <v/>
      </c>
      <c r="J146" s="27">
        <f>IF(C146="","",H146-I146)</f>
        <v/>
      </c>
      <c r="K146" s="25">
        <f>IF(C146="","",IF(G146=0,"not invoiced yet",SUBSTITUTE(TRIM(IF(COUNTIFS(tbl_Finance[Job Number],C146&amp;"",tbl_Finance[Cost Centre],"ONSITE")&gt;0,"ONSITE ","")&amp;IF(COUNTIFS(tbl_Finance[Job Number],C146&amp;"",tbl_Finance[Cost Centre],"PRODUCTION")&gt;0,"PRODUCTION ","")&amp;IF(COUNTIFS(tbl_Finance[Job Number],C146&amp;"",tbl_Finance[Cost Centre],"VIDEO")&gt;0,"VIDEO ","")&amp;IF(COUNTIFS(tbl_Finance[Job Number],C146&amp;"",tbl_Finance[Cost Centre],"INTEGRATION")&gt;0,"INTEGRATION ","")&amp;IF(COUNTIFS(tbl_Finance[Job Number],C146&amp;"",tbl_Finance[Cost Centre],"CONSULTING")&gt;0,"CONSULTING ","")&amp;IF(COUNTIFS(tbl_Finance[Job Number],C146&amp;"",tbl_Finance[Cost Centre],"CTS")&gt;0,"CTS ",""))," ",", ")))</f>
        <v/>
      </c>
      <c r="L146" s="27">
        <f>IF(C146="","",SUMIFS(tbl_Finance[Inc GST],tbl_Finance[Job Number],C146&amp;""))</f>
        <v/>
      </c>
      <c r="M146" s="24" t="n"/>
      <c r="N146" s="25">
        <f>IF(C146="","",IFERROR(INDEX(tbl_Finance[Description],MATCH(C146&amp;"",tbl_Finance[Job Number],0)),""))</f>
        <v/>
      </c>
      <c r="O146" s="24" t="n"/>
      <c r="P146" s="24" t="n"/>
      <c r="Q146" s="22" t="n"/>
      <c r="R146" s="24" t="n"/>
      <c r="S146" s="25">
        <f>IF(R146="","",IF(AND(LEFT(R146,4)&lt;&gt;"http",set_RMSBase=""),"",HYPERLINK(IF(LEFT(R146,4)="http",R146,set_RMSBase&amp;R146),"Open opportunity")))</f>
        <v/>
      </c>
      <c r="T146" s="24" t="n"/>
      <c r="U146" s="25">
        <f>IF(T146="","",HYPERLINK(IF(LEFT(T146,4)="http",T146,set_QwilrBase&amp;T146),"Open quote"))</f>
        <v/>
      </c>
      <c r="V146" s="25">
        <f>IF(C146="","",C146)</f>
        <v/>
      </c>
      <c r="W146" s="24" t="n"/>
      <c r="X146" s="26" t="n"/>
      <c r="Y146" s="27">
        <f>IF(C146="","",H146+N(X146))</f>
        <v/>
      </c>
      <c r="Z146" s="29">
        <f>IFERROR(X146/Y146,"")</f>
        <v/>
      </c>
      <c r="AA146" s="26" t="n"/>
      <c r="AB146" s="26" t="n"/>
      <c r="AC146" s="26" t="n"/>
      <c r="AD146" s="26" t="n"/>
      <c r="AE146" s="27">
        <f>IF(C146="","",SUMIFS(tbl_Finance[Ex GST],tbl_Finance[Job Number],C146&amp;"",tbl_Finance[Cost Centre],"VIDEO"))</f>
        <v/>
      </c>
      <c r="AF146" s="29">
        <f>IFERROR(AE146/H146,"")</f>
        <v/>
      </c>
      <c r="AG146" s="27">
        <f>IF(C146="","",N(AA146)+N(AB146)+N(AC146)+N(AD146))</f>
        <v/>
      </c>
      <c r="AH146" s="27">
        <f>IF(C146="","",H146-AG146)</f>
        <v/>
      </c>
      <c r="AI146" s="29">
        <f>IFERROR(AH146/H146,"")</f>
        <v/>
      </c>
      <c r="AJ146" s="69" t="n"/>
      <c r="AK146" s="69" t="n"/>
      <c r="AL146" s="69" t="n"/>
      <c r="AM146" s="69" t="n"/>
      <c r="AN146" s="69" t="n"/>
      <c r="AO146" s="24" t="n"/>
    </row>
    <row r="147" ht="15" customHeight="1">
      <c r="A147" s="68">
        <f>IF(C147="","",IFERROR(IF(SUMPRODUCT(MAX((tbl_Finance[Job Number]=C147&amp;"")*(tbl_Finance[Xero Invoice No]&lt;&gt;"")*tbl_Finance[Date]))=0,"",SUMPRODUCT(MAX((tbl_Finance[Job Number]=C147&amp;"")*(tbl_Finance[Xero Invoice No]&lt;&gt;"")*tbl_Finance[Date]))),""))</f>
        <v/>
      </c>
      <c r="B147" s="25">
        <f>IF(C147="","",IF(COUNTIFS(tbl_Finance[Job Number],C147&amp;"",tbl_Finance[Xero Invoice No],"&lt;&gt;")=0,"",IFERROR(IF(COUNTIFS(tbl_Finance[Job Number],C147&amp;"",tbl_Finance[Xero Invoice No],LOOKUP(2,1/((tbl_Finance[Job Number]=C147&amp;"")*(tbl_Finance[Xero Invoice No]&lt;&gt;"")),tbl_Finance[Xero Invoice No]))=COUNTIFS(tbl_Finance[Job Number],C147&amp;"",tbl_Finance[Xero Invoice No],"&lt;&gt;"),LOOKUP(2,1/((tbl_Finance[Job Number]=C147&amp;"")*(tbl_Finance[Xero Invoice No]&lt;&gt;"")),tbl_Finance[Xero Invoice No]),LOOKUP(2,1/((tbl_Finance[Job Number]=C147&amp;"")*(tbl_Finance[Xero Invoice No]&lt;&gt;"")),tbl_Finance[Xero Invoice No])&amp;" +more"),"")))</f>
        <v/>
      </c>
      <c r="C147" s="24" t="n"/>
      <c r="D147" s="25">
        <f>IF(C147="","",IF(COUNTIF(lst_Jobs,C147&amp;"")&gt;0,"OK","CHECK"))</f>
        <v/>
      </c>
      <c r="E147" s="25">
        <f>IF(C147="","",IFERROR(INDEX(lst_JobName,MATCH(C147&amp;"",lst_Jobs,0)),""))</f>
        <v/>
      </c>
      <c r="F147" s="25">
        <f>IF(C147="","",IFERROR(INDEX(tbl_Finance[Client],MATCH(C147&amp;"",tbl_Finance[Job Number],0)),""))</f>
        <v/>
      </c>
      <c r="G147" s="28">
        <f>IF(C147="","",COUNTIFS(tbl_Finance[Job Number],C147&amp;"",tbl_Finance[Ex GST],"&lt;&gt;"))</f>
        <v/>
      </c>
      <c r="H147" s="27">
        <f>IF(C147="","",SUMIFS(tbl_Finance[Ex GST],tbl_Finance[Job Number],C147&amp;""))</f>
        <v/>
      </c>
      <c r="I147" s="27">
        <f>IF(C147="","",SUMIFS(tbl_Finance[Ex GST],tbl_Finance[Job Number],C147&amp;"",tbl_Finance[Xero Invoice No],"&lt;&gt;"))</f>
        <v/>
      </c>
      <c r="J147" s="27">
        <f>IF(C147="","",H147-I147)</f>
        <v/>
      </c>
      <c r="K147" s="25">
        <f>IF(C147="","",IF(G147=0,"not invoiced yet",SUBSTITUTE(TRIM(IF(COUNTIFS(tbl_Finance[Job Number],C147&amp;"",tbl_Finance[Cost Centre],"ONSITE")&gt;0,"ONSITE ","")&amp;IF(COUNTIFS(tbl_Finance[Job Number],C147&amp;"",tbl_Finance[Cost Centre],"PRODUCTION")&gt;0,"PRODUCTION ","")&amp;IF(COUNTIFS(tbl_Finance[Job Number],C147&amp;"",tbl_Finance[Cost Centre],"VIDEO")&gt;0,"VIDEO ","")&amp;IF(COUNTIFS(tbl_Finance[Job Number],C147&amp;"",tbl_Finance[Cost Centre],"INTEGRATION")&gt;0,"INTEGRATION ","")&amp;IF(COUNTIFS(tbl_Finance[Job Number],C147&amp;"",tbl_Finance[Cost Centre],"CONSULTING")&gt;0,"CONSULTING ","")&amp;IF(COUNTIFS(tbl_Finance[Job Number],C147&amp;"",tbl_Finance[Cost Centre],"CTS")&gt;0,"CTS ",""))," ",", ")))</f>
        <v/>
      </c>
      <c r="L147" s="27">
        <f>IF(C147="","",SUMIFS(tbl_Finance[Inc GST],tbl_Finance[Job Number],C147&amp;""))</f>
        <v/>
      </c>
      <c r="M147" s="24" t="n"/>
      <c r="N147" s="25">
        <f>IF(C147="","",IFERROR(INDEX(tbl_Finance[Description],MATCH(C147&amp;"",tbl_Finance[Job Number],0)),""))</f>
        <v/>
      </c>
      <c r="O147" s="24" t="n"/>
      <c r="P147" s="24" t="n"/>
      <c r="Q147" s="22" t="n"/>
      <c r="R147" s="24" t="n"/>
      <c r="S147" s="25">
        <f>IF(R147="","",IF(AND(LEFT(R147,4)&lt;&gt;"http",set_RMSBase=""),"",HYPERLINK(IF(LEFT(R147,4)="http",R147,set_RMSBase&amp;R147),"Open opportunity")))</f>
        <v/>
      </c>
      <c r="T147" s="24" t="n"/>
      <c r="U147" s="25">
        <f>IF(T147="","",HYPERLINK(IF(LEFT(T147,4)="http",T147,set_QwilrBase&amp;T147),"Open quote"))</f>
        <v/>
      </c>
      <c r="V147" s="25">
        <f>IF(C147="","",C147)</f>
        <v/>
      </c>
      <c r="W147" s="24" t="n"/>
      <c r="X147" s="26" t="n"/>
      <c r="Y147" s="27">
        <f>IF(C147="","",H147+N(X147))</f>
        <v/>
      </c>
      <c r="Z147" s="29">
        <f>IFERROR(X147/Y147,"")</f>
        <v/>
      </c>
      <c r="AA147" s="26" t="n"/>
      <c r="AB147" s="26" t="n"/>
      <c r="AC147" s="26" t="n"/>
      <c r="AD147" s="26" t="n"/>
      <c r="AE147" s="27">
        <f>IF(C147="","",SUMIFS(tbl_Finance[Ex GST],tbl_Finance[Job Number],C147&amp;"",tbl_Finance[Cost Centre],"VIDEO"))</f>
        <v/>
      </c>
      <c r="AF147" s="29">
        <f>IFERROR(AE147/H147,"")</f>
        <v/>
      </c>
      <c r="AG147" s="27">
        <f>IF(C147="","",N(AA147)+N(AB147)+N(AC147)+N(AD147))</f>
        <v/>
      </c>
      <c r="AH147" s="27">
        <f>IF(C147="","",H147-AG147)</f>
        <v/>
      </c>
      <c r="AI147" s="29">
        <f>IFERROR(AH147/H147,"")</f>
        <v/>
      </c>
      <c r="AJ147" s="69" t="n"/>
      <c r="AK147" s="69" t="n"/>
      <c r="AL147" s="69" t="n"/>
      <c r="AM147" s="69" t="n"/>
      <c r="AN147" s="69" t="n"/>
      <c r="AO147" s="24" t="n"/>
    </row>
    <row r="148" ht="15" customHeight="1">
      <c r="A148" s="68">
        <f>IF(C148="","",IFERROR(IF(SUMPRODUCT(MAX((tbl_Finance[Job Number]=C148&amp;"")*(tbl_Finance[Xero Invoice No]&lt;&gt;"")*tbl_Finance[Date]))=0,"",SUMPRODUCT(MAX((tbl_Finance[Job Number]=C148&amp;"")*(tbl_Finance[Xero Invoice No]&lt;&gt;"")*tbl_Finance[Date]))),""))</f>
        <v/>
      </c>
      <c r="B148" s="25">
        <f>IF(C148="","",IF(COUNTIFS(tbl_Finance[Job Number],C148&amp;"",tbl_Finance[Xero Invoice No],"&lt;&gt;")=0,"",IFERROR(IF(COUNTIFS(tbl_Finance[Job Number],C148&amp;"",tbl_Finance[Xero Invoice No],LOOKUP(2,1/((tbl_Finance[Job Number]=C148&amp;"")*(tbl_Finance[Xero Invoice No]&lt;&gt;"")),tbl_Finance[Xero Invoice No]))=COUNTIFS(tbl_Finance[Job Number],C148&amp;"",tbl_Finance[Xero Invoice No],"&lt;&gt;"),LOOKUP(2,1/((tbl_Finance[Job Number]=C148&amp;"")*(tbl_Finance[Xero Invoice No]&lt;&gt;"")),tbl_Finance[Xero Invoice No]),LOOKUP(2,1/((tbl_Finance[Job Number]=C148&amp;"")*(tbl_Finance[Xero Invoice No]&lt;&gt;"")),tbl_Finance[Xero Invoice No])&amp;" +more"),"")))</f>
        <v/>
      </c>
      <c r="C148" s="24" t="n"/>
      <c r="D148" s="25">
        <f>IF(C148="","",IF(COUNTIF(lst_Jobs,C148&amp;"")&gt;0,"OK","CHECK"))</f>
        <v/>
      </c>
      <c r="E148" s="25">
        <f>IF(C148="","",IFERROR(INDEX(lst_JobName,MATCH(C148&amp;"",lst_Jobs,0)),""))</f>
        <v/>
      </c>
      <c r="F148" s="25">
        <f>IF(C148="","",IFERROR(INDEX(tbl_Finance[Client],MATCH(C148&amp;"",tbl_Finance[Job Number],0)),""))</f>
        <v/>
      </c>
      <c r="G148" s="28">
        <f>IF(C148="","",COUNTIFS(tbl_Finance[Job Number],C148&amp;"",tbl_Finance[Ex GST],"&lt;&gt;"))</f>
        <v/>
      </c>
      <c r="H148" s="27">
        <f>IF(C148="","",SUMIFS(tbl_Finance[Ex GST],tbl_Finance[Job Number],C148&amp;""))</f>
        <v/>
      </c>
      <c r="I148" s="27">
        <f>IF(C148="","",SUMIFS(tbl_Finance[Ex GST],tbl_Finance[Job Number],C148&amp;"",tbl_Finance[Xero Invoice No],"&lt;&gt;"))</f>
        <v/>
      </c>
      <c r="J148" s="27">
        <f>IF(C148="","",H148-I148)</f>
        <v/>
      </c>
      <c r="K148" s="25">
        <f>IF(C148="","",IF(G148=0,"not invoiced yet",SUBSTITUTE(TRIM(IF(COUNTIFS(tbl_Finance[Job Number],C148&amp;"",tbl_Finance[Cost Centre],"ONSITE")&gt;0,"ONSITE ","")&amp;IF(COUNTIFS(tbl_Finance[Job Number],C148&amp;"",tbl_Finance[Cost Centre],"PRODUCTION")&gt;0,"PRODUCTION ","")&amp;IF(COUNTIFS(tbl_Finance[Job Number],C148&amp;"",tbl_Finance[Cost Centre],"VIDEO")&gt;0,"VIDEO ","")&amp;IF(COUNTIFS(tbl_Finance[Job Number],C148&amp;"",tbl_Finance[Cost Centre],"INTEGRATION")&gt;0,"INTEGRATION ","")&amp;IF(COUNTIFS(tbl_Finance[Job Number],C148&amp;"",tbl_Finance[Cost Centre],"CONSULTING")&gt;0,"CONSULTING ","")&amp;IF(COUNTIFS(tbl_Finance[Job Number],C148&amp;"",tbl_Finance[Cost Centre],"CTS")&gt;0,"CTS ",""))," ",", ")))</f>
        <v/>
      </c>
      <c r="L148" s="27">
        <f>IF(C148="","",SUMIFS(tbl_Finance[Inc GST],tbl_Finance[Job Number],C148&amp;""))</f>
        <v/>
      </c>
      <c r="M148" s="24" t="n"/>
      <c r="N148" s="25">
        <f>IF(C148="","",IFERROR(INDEX(tbl_Finance[Description],MATCH(C148&amp;"",tbl_Finance[Job Number],0)),""))</f>
        <v/>
      </c>
      <c r="O148" s="24" t="n"/>
      <c r="P148" s="24" t="n"/>
      <c r="Q148" s="22" t="n"/>
      <c r="R148" s="24" t="n"/>
      <c r="S148" s="25">
        <f>IF(R148="","",IF(AND(LEFT(R148,4)&lt;&gt;"http",set_RMSBase=""),"",HYPERLINK(IF(LEFT(R148,4)="http",R148,set_RMSBase&amp;R148),"Open opportunity")))</f>
        <v/>
      </c>
      <c r="T148" s="24" t="n"/>
      <c r="U148" s="25">
        <f>IF(T148="","",HYPERLINK(IF(LEFT(T148,4)="http",T148,set_QwilrBase&amp;T148),"Open quote"))</f>
        <v/>
      </c>
      <c r="V148" s="25">
        <f>IF(C148="","",C148)</f>
        <v/>
      </c>
      <c r="W148" s="24" t="n"/>
      <c r="X148" s="26" t="n"/>
      <c r="Y148" s="27">
        <f>IF(C148="","",H148+N(X148))</f>
        <v/>
      </c>
      <c r="Z148" s="29">
        <f>IFERROR(X148/Y148,"")</f>
        <v/>
      </c>
      <c r="AA148" s="26" t="n"/>
      <c r="AB148" s="26" t="n"/>
      <c r="AC148" s="26" t="n"/>
      <c r="AD148" s="26" t="n"/>
      <c r="AE148" s="27">
        <f>IF(C148="","",SUMIFS(tbl_Finance[Ex GST],tbl_Finance[Job Number],C148&amp;"",tbl_Finance[Cost Centre],"VIDEO"))</f>
        <v/>
      </c>
      <c r="AF148" s="29">
        <f>IFERROR(AE148/H148,"")</f>
        <v/>
      </c>
      <c r="AG148" s="27">
        <f>IF(C148="","",N(AA148)+N(AB148)+N(AC148)+N(AD148))</f>
        <v/>
      </c>
      <c r="AH148" s="27">
        <f>IF(C148="","",H148-AG148)</f>
        <v/>
      </c>
      <c r="AI148" s="29">
        <f>IFERROR(AH148/H148,"")</f>
        <v/>
      </c>
      <c r="AJ148" s="69" t="n"/>
      <c r="AK148" s="69" t="n"/>
      <c r="AL148" s="69" t="n"/>
      <c r="AM148" s="69" t="n"/>
      <c r="AN148" s="69" t="n"/>
      <c r="AO148" s="24" t="n"/>
    </row>
    <row r="149" ht="15" customHeight="1">
      <c r="A149" s="68">
        <f>IF(C149="","",IFERROR(IF(SUMPRODUCT(MAX((tbl_Finance[Job Number]=C149&amp;"")*(tbl_Finance[Xero Invoice No]&lt;&gt;"")*tbl_Finance[Date]))=0,"",SUMPRODUCT(MAX((tbl_Finance[Job Number]=C149&amp;"")*(tbl_Finance[Xero Invoice No]&lt;&gt;"")*tbl_Finance[Date]))),""))</f>
        <v/>
      </c>
      <c r="B149" s="25">
        <f>IF(C149="","",IF(COUNTIFS(tbl_Finance[Job Number],C149&amp;"",tbl_Finance[Xero Invoice No],"&lt;&gt;")=0,"",IFERROR(IF(COUNTIFS(tbl_Finance[Job Number],C149&amp;"",tbl_Finance[Xero Invoice No],LOOKUP(2,1/((tbl_Finance[Job Number]=C149&amp;"")*(tbl_Finance[Xero Invoice No]&lt;&gt;"")),tbl_Finance[Xero Invoice No]))=COUNTIFS(tbl_Finance[Job Number],C149&amp;"",tbl_Finance[Xero Invoice No],"&lt;&gt;"),LOOKUP(2,1/((tbl_Finance[Job Number]=C149&amp;"")*(tbl_Finance[Xero Invoice No]&lt;&gt;"")),tbl_Finance[Xero Invoice No]),LOOKUP(2,1/((tbl_Finance[Job Number]=C149&amp;"")*(tbl_Finance[Xero Invoice No]&lt;&gt;"")),tbl_Finance[Xero Invoice No])&amp;" +more"),"")))</f>
        <v/>
      </c>
      <c r="C149" s="24" t="n"/>
      <c r="D149" s="25">
        <f>IF(C149="","",IF(COUNTIF(lst_Jobs,C149&amp;"")&gt;0,"OK","CHECK"))</f>
        <v/>
      </c>
      <c r="E149" s="25">
        <f>IF(C149="","",IFERROR(INDEX(lst_JobName,MATCH(C149&amp;"",lst_Jobs,0)),""))</f>
        <v/>
      </c>
      <c r="F149" s="25">
        <f>IF(C149="","",IFERROR(INDEX(tbl_Finance[Client],MATCH(C149&amp;"",tbl_Finance[Job Number],0)),""))</f>
        <v/>
      </c>
      <c r="G149" s="28">
        <f>IF(C149="","",COUNTIFS(tbl_Finance[Job Number],C149&amp;"",tbl_Finance[Ex GST],"&lt;&gt;"))</f>
        <v/>
      </c>
      <c r="H149" s="27">
        <f>IF(C149="","",SUMIFS(tbl_Finance[Ex GST],tbl_Finance[Job Number],C149&amp;""))</f>
        <v/>
      </c>
      <c r="I149" s="27">
        <f>IF(C149="","",SUMIFS(tbl_Finance[Ex GST],tbl_Finance[Job Number],C149&amp;"",tbl_Finance[Xero Invoice No],"&lt;&gt;"))</f>
        <v/>
      </c>
      <c r="J149" s="27">
        <f>IF(C149="","",H149-I149)</f>
        <v/>
      </c>
      <c r="K149" s="25">
        <f>IF(C149="","",IF(G149=0,"not invoiced yet",SUBSTITUTE(TRIM(IF(COUNTIFS(tbl_Finance[Job Number],C149&amp;"",tbl_Finance[Cost Centre],"ONSITE")&gt;0,"ONSITE ","")&amp;IF(COUNTIFS(tbl_Finance[Job Number],C149&amp;"",tbl_Finance[Cost Centre],"PRODUCTION")&gt;0,"PRODUCTION ","")&amp;IF(COUNTIFS(tbl_Finance[Job Number],C149&amp;"",tbl_Finance[Cost Centre],"VIDEO")&gt;0,"VIDEO ","")&amp;IF(COUNTIFS(tbl_Finance[Job Number],C149&amp;"",tbl_Finance[Cost Centre],"INTEGRATION")&gt;0,"INTEGRATION ","")&amp;IF(COUNTIFS(tbl_Finance[Job Number],C149&amp;"",tbl_Finance[Cost Centre],"CONSULTING")&gt;0,"CONSULTING ","")&amp;IF(COUNTIFS(tbl_Finance[Job Number],C149&amp;"",tbl_Finance[Cost Centre],"CTS")&gt;0,"CTS ",""))," ",", ")))</f>
        <v/>
      </c>
      <c r="L149" s="27">
        <f>IF(C149="","",SUMIFS(tbl_Finance[Inc GST],tbl_Finance[Job Number],C149&amp;""))</f>
        <v/>
      </c>
      <c r="M149" s="24" t="n"/>
      <c r="N149" s="25">
        <f>IF(C149="","",IFERROR(INDEX(tbl_Finance[Description],MATCH(C149&amp;"",tbl_Finance[Job Number],0)),""))</f>
        <v/>
      </c>
      <c r="O149" s="24" t="n"/>
      <c r="P149" s="24" t="n"/>
      <c r="Q149" s="22" t="n"/>
      <c r="R149" s="24" t="n"/>
      <c r="S149" s="25">
        <f>IF(R149="","",IF(AND(LEFT(R149,4)&lt;&gt;"http",set_RMSBase=""),"",HYPERLINK(IF(LEFT(R149,4)="http",R149,set_RMSBase&amp;R149),"Open opportunity")))</f>
        <v/>
      </c>
      <c r="T149" s="24" t="n"/>
      <c r="U149" s="25">
        <f>IF(T149="","",HYPERLINK(IF(LEFT(T149,4)="http",T149,set_QwilrBase&amp;T149),"Open quote"))</f>
        <v/>
      </c>
      <c r="V149" s="25">
        <f>IF(C149="","",C149)</f>
        <v/>
      </c>
      <c r="W149" s="24" t="n"/>
      <c r="X149" s="26" t="n"/>
      <c r="Y149" s="27">
        <f>IF(C149="","",H149+N(X149))</f>
        <v/>
      </c>
      <c r="Z149" s="29">
        <f>IFERROR(X149/Y149,"")</f>
        <v/>
      </c>
      <c r="AA149" s="26" t="n"/>
      <c r="AB149" s="26" t="n"/>
      <c r="AC149" s="26" t="n"/>
      <c r="AD149" s="26" t="n"/>
      <c r="AE149" s="27">
        <f>IF(C149="","",SUMIFS(tbl_Finance[Ex GST],tbl_Finance[Job Number],C149&amp;"",tbl_Finance[Cost Centre],"VIDEO"))</f>
        <v/>
      </c>
      <c r="AF149" s="29">
        <f>IFERROR(AE149/H149,"")</f>
        <v/>
      </c>
      <c r="AG149" s="27">
        <f>IF(C149="","",N(AA149)+N(AB149)+N(AC149)+N(AD149))</f>
        <v/>
      </c>
      <c r="AH149" s="27">
        <f>IF(C149="","",H149-AG149)</f>
        <v/>
      </c>
      <c r="AI149" s="29">
        <f>IFERROR(AH149/H149,"")</f>
        <v/>
      </c>
      <c r="AJ149" s="69" t="n"/>
      <c r="AK149" s="69" t="n"/>
      <c r="AL149" s="69" t="n"/>
      <c r="AM149" s="69" t="n"/>
      <c r="AN149" s="69" t="n"/>
      <c r="AO149" s="24" t="n"/>
    </row>
    <row r="150" ht="15" customHeight="1">
      <c r="A150" s="68">
        <f>IF(C150="","",IFERROR(IF(SUMPRODUCT(MAX((tbl_Finance[Job Number]=C150&amp;"")*(tbl_Finance[Xero Invoice No]&lt;&gt;"")*tbl_Finance[Date]))=0,"",SUMPRODUCT(MAX((tbl_Finance[Job Number]=C150&amp;"")*(tbl_Finance[Xero Invoice No]&lt;&gt;"")*tbl_Finance[Date]))),""))</f>
        <v/>
      </c>
      <c r="B150" s="25">
        <f>IF(C150="","",IF(COUNTIFS(tbl_Finance[Job Number],C150&amp;"",tbl_Finance[Xero Invoice No],"&lt;&gt;")=0,"",IFERROR(IF(COUNTIFS(tbl_Finance[Job Number],C150&amp;"",tbl_Finance[Xero Invoice No],LOOKUP(2,1/((tbl_Finance[Job Number]=C150&amp;"")*(tbl_Finance[Xero Invoice No]&lt;&gt;"")),tbl_Finance[Xero Invoice No]))=COUNTIFS(tbl_Finance[Job Number],C150&amp;"",tbl_Finance[Xero Invoice No],"&lt;&gt;"),LOOKUP(2,1/((tbl_Finance[Job Number]=C150&amp;"")*(tbl_Finance[Xero Invoice No]&lt;&gt;"")),tbl_Finance[Xero Invoice No]),LOOKUP(2,1/((tbl_Finance[Job Number]=C150&amp;"")*(tbl_Finance[Xero Invoice No]&lt;&gt;"")),tbl_Finance[Xero Invoice No])&amp;" +more"),"")))</f>
        <v/>
      </c>
      <c r="C150" s="24" t="n"/>
      <c r="D150" s="25">
        <f>IF(C150="","",IF(COUNTIF(lst_Jobs,C150&amp;"")&gt;0,"OK","CHECK"))</f>
        <v/>
      </c>
      <c r="E150" s="25">
        <f>IF(C150="","",IFERROR(INDEX(lst_JobName,MATCH(C150&amp;"",lst_Jobs,0)),""))</f>
        <v/>
      </c>
      <c r="F150" s="25">
        <f>IF(C150="","",IFERROR(INDEX(tbl_Finance[Client],MATCH(C150&amp;"",tbl_Finance[Job Number],0)),""))</f>
        <v/>
      </c>
      <c r="G150" s="28">
        <f>IF(C150="","",COUNTIFS(tbl_Finance[Job Number],C150&amp;"",tbl_Finance[Ex GST],"&lt;&gt;"))</f>
        <v/>
      </c>
      <c r="H150" s="27">
        <f>IF(C150="","",SUMIFS(tbl_Finance[Ex GST],tbl_Finance[Job Number],C150&amp;""))</f>
        <v/>
      </c>
      <c r="I150" s="27">
        <f>IF(C150="","",SUMIFS(tbl_Finance[Ex GST],tbl_Finance[Job Number],C150&amp;"",tbl_Finance[Xero Invoice No],"&lt;&gt;"))</f>
        <v/>
      </c>
      <c r="J150" s="27">
        <f>IF(C150="","",H150-I150)</f>
        <v/>
      </c>
      <c r="K150" s="25">
        <f>IF(C150="","",IF(G150=0,"not invoiced yet",SUBSTITUTE(TRIM(IF(COUNTIFS(tbl_Finance[Job Number],C150&amp;"",tbl_Finance[Cost Centre],"ONSITE")&gt;0,"ONSITE ","")&amp;IF(COUNTIFS(tbl_Finance[Job Number],C150&amp;"",tbl_Finance[Cost Centre],"PRODUCTION")&gt;0,"PRODUCTION ","")&amp;IF(COUNTIFS(tbl_Finance[Job Number],C150&amp;"",tbl_Finance[Cost Centre],"VIDEO")&gt;0,"VIDEO ","")&amp;IF(COUNTIFS(tbl_Finance[Job Number],C150&amp;"",tbl_Finance[Cost Centre],"INTEGRATION")&gt;0,"INTEGRATION ","")&amp;IF(COUNTIFS(tbl_Finance[Job Number],C150&amp;"",tbl_Finance[Cost Centre],"CONSULTING")&gt;0,"CONSULTING ","")&amp;IF(COUNTIFS(tbl_Finance[Job Number],C150&amp;"",tbl_Finance[Cost Centre],"CTS")&gt;0,"CTS ",""))," ",", ")))</f>
        <v/>
      </c>
      <c r="L150" s="27">
        <f>IF(C150="","",SUMIFS(tbl_Finance[Inc GST],tbl_Finance[Job Number],C150&amp;""))</f>
        <v/>
      </c>
      <c r="M150" s="24" t="n"/>
      <c r="N150" s="25">
        <f>IF(C150="","",IFERROR(INDEX(tbl_Finance[Description],MATCH(C150&amp;"",tbl_Finance[Job Number],0)),""))</f>
        <v/>
      </c>
      <c r="O150" s="24" t="n"/>
      <c r="P150" s="24" t="n"/>
      <c r="Q150" s="22" t="n"/>
      <c r="R150" s="24" t="n"/>
      <c r="S150" s="25">
        <f>IF(R150="","",IF(AND(LEFT(R150,4)&lt;&gt;"http",set_RMSBase=""),"",HYPERLINK(IF(LEFT(R150,4)="http",R150,set_RMSBase&amp;R150),"Open opportunity")))</f>
        <v/>
      </c>
      <c r="T150" s="24" t="n"/>
      <c r="U150" s="25">
        <f>IF(T150="","",HYPERLINK(IF(LEFT(T150,4)="http",T150,set_QwilrBase&amp;T150),"Open quote"))</f>
        <v/>
      </c>
      <c r="V150" s="25">
        <f>IF(C150="","",C150)</f>
        <v/>
      </c>
      <c r="W150" s="24" t="n"/>
      <c r="X150" s="26" t="n"/>
      <c r="Y150" s="27">
        <f>IF(C150="","",H150+N(X150))</f>
        <v/>
      </c>
      <c r="Z150" s="29">
        <f>IFERROR(X150/Y150,"")</f>
        <v/>
      </c>
      <c r="AA150" s="26" t="n"/>
      <c r="AB150" s="26" t="n"/>
      <c r="AC150" s="26" t="n"/>
      <c r="AD150" s="26" t="n"/>
      <c r="AE150" s="27">
        <f>IF(C150="","",SUMIFS(tbl_Finance[Ex GST],tbl_Finance[Job Number],C150&amp;"",tbl_Finance[Cost Centre],"VIDEO"))</f>
        <v/>
      </c>
      <c r="AF150" s="29">
        <f>IFERROR(AE150/H150,"")</f>
        <v/>
      </c>
      <c r="AG150" s="27">
        <f>IF(C150="","",N(AA150)+N(AB150)+N(AC150)+N(AD150))</f>
        <v/>
      </c>
      <c r="AH150" s="27">
        <f>IF(C150="","",H150-AG150)</f>
        <v/>
      </c>
      <c r="AI150" s="29">
        <f>IFERROR(AH150/H150,"")</f>
        <v/>
      </c>
      <c r="AJ150" s="69" t="n"/>
      <c r="AK150" s="69" t="n"/>
      <c r="AL150" s="69" t="n"/>
      <c r="AM150" s="69" t="n"/>
      <c r="AN150" s="69" t="n"/>
      <c r="AO150" s="24" t="n"/>
    </row>
    <row r="151" ht="15" customHeight="1">
      <c r="A151" s="68">
        <f>IF(C151="","",IFERROR(IF(SUMPRODUCT(MAX((tbl_Finance[Job Number]=C151&amp;"")*(tbl_Finance[Xero Invoice No]&lt;&gt;"")*tbl_Finance[Date]))=0,"",SUMPRODUCT(MAX((tbl_Finance[Job Number]=C151&amp;"")*(tbl_Finance[Xero Invoice No]&lt;&gt;"")*tbl_Finance[Date]))),""))</f>
        <v/>
      </c>
      <c r="B151" s="25">
        <f>IF(C151="","",IF(COUNTIFS(tbl_Finance[Job Number],C151&amp;"",tbl_Finance[Xero Invoice No],"&lt;&gt;")=0,"",IFERROR(IF(COUNTIFS(tbl_Finance[Job Number],C151&amp;"",tbl_Finance[Xero Invoice No],LOOKUP(2,1/((tbl_Finance[Job Number]=C151&amp;"")*(tbl_Finance[Xero Invoice No]&lt;&gt;"")),tbl_Finance[Xero Invoice No]))=COUNTIFS(tbl_Finance[Job Number],C151&amp;"",tbl_Finance[Xero Invoice No],"&lt;&gt;"),LOOKUP(2,1/((tbl_Finance[Job Number]=C151&amp;"")*(tbl_Finance[Xero Invoice No]&lt;&gt;"")),tbl_Finance[Xero Invoice No]),LOOKUP(2,1/((tbl_Finance[Job Number]=C151&amp;"")*(tbl_Finance[Xero Invoice No]&lt;&gt;"")),tbl_Finance[Xero Invoice No])&amp;" +more"),"")))</f>
        <v/>
      </c>
      <c r="C151" s="24" t="n"/>
      <c r="D151" s="25">
        <f>IF(C151="","",IF(COUNTIF(lst_Jobs,C151&amp;"")&gt;0,"OK","CHECK"))</f>
        <v/>
      </c>
      <c r="E151" s="25">
        <f>IF(C151="","",IFERROR(INDEX(lst_JobName,MATCH(C151&amp;"",lst_Jobs,0)),""))</f>
        <v/>
      </c>
      <c r="F151" s="25">
        <f>IF(C151="","",IFERROR(INDEX(tbl_Finance[Client],MATCH(C151&amp;"",tbl_Finance[Job Number],0)),""))</f>
        <v/>
      </c>
      <c r="G151" s="28">
        <f>IF(C151="","",COUNTIFS(tbl_Finance[Job Number],C151&amp;"",tbl_Finance[Ex GST],"&lt;&gt;"))</f>
        <v/>
      </c>
      <c r="H151" s="27">
        <f>IF(C151="","",SUMIFS(tbl_Finance[Ex GST],tbl_Finance[Job Number],C151&amp;""))</f>
        <v/>
      </c>
      <c r="I151" s="27">
        <f>IF(C151="","",SUMIFS(tbl_Finance[Ex GST],tbl_Finance[Job Number],C151&amp;"",tbl_Finance[Xero Invoice No],"&lt;&gt;"))</f>
        <v/>
      </c>
      <c r="J151" s="27">
        <f>IF(C151="","",H151-I151)</f>
        <v/>
      </c>
      <c r="K151" s="25">
        <f>IF(C151="","",IF(G151=0,"not invoiced yet",SUBSTITUTE(TRIM(IF(COUNTIFS(tbl_Finance[Job Number],C151&amp;"",tbl_Finance[Cost Centre],"ONSITE")&gt;0,"ONSITE ","")&amp;IF(COUNTIFS(tbl_Finance[Job Number],C151&amp;"",tbl_Finance[Cost Centre],"PRODUCTION")&gt;0,"PRODUCTION ","")&amp;IF(COUNTIFS(tbl_Finance[Job Number],C151&amp;"",tbl_Finance[Cost Centre],"VIDEO")&gt;0,"VIDEO ","")&amp;IF(COUNTIFS(tbl_Finance[Job Number],C151&amp;"",tbl_Finance[Cost Centre],"INTEGRATION")&gt;0,"INTEGRATION ","")&amp;IF(COUNTIFS(tbl_Finance[Job Number],C151&amp;"",tbl_Finance[Cost Centre],"CONSULTING")&gt;0,"CONSULTING ","")&amp;IF(COUNTIFS(tbl_Finance[Job Number],C151&amp;"",tbl_Finance[Cost Centre],"CTS")&gt;0,"CTS ",""))," ",", ")))</f>
        <v/>
      </c>
      <c r="L151" s="27">
        <f>IF(C151="","",SUMIFS(tbl_Finance[Inc GST],tbl_Finance[Job Number],C151&amp;""))</f>
        <v/>
      </c>
      <c r="M151" s="24" t="n"/>
      <c r="N151" s="25">
        <f>IF(C151="","",IFERROR(INDEX(tbl_Finance[Description],MATCH(C151&amp;"",tbl_Finance[Job Number],0)),""))</f>
        <v/>
      </c>
      <c r="O151" s="24" t="n"/>
      <c r="P151" s="24" t="n"/>
      <c r="Q151" s="22" t="n"/>
      <c r="R151" s="24" t="n"/>
      <c r="S151" s="25">
        <f>IF(R151="","",IF(AND(LEFT(R151,4)&lt;&gt;"http",set_RMSBase=""),"",HYPERLINK(IF(LEFT(R151,4)="http",R151,set_RMSBase&amp;R151),"Open opportunity")))</f>
        <v/>
      </c>
      <c r="T151" s="24" t="n"/>
      <c r="U151" s="25">
        <f>IF(T151="","",HYPERLINK(IF(LEFT(T151,4)="http",T151,set_QwilrBase&amp;T151),"Open quote"))</f>
        <v/>
      </c>
      <c r="V151" s="25">
        <f>IF(C151="","",C151)</f>
        <v/>
      </c>
      <c r="W151" s="24" t="n"/>
      <c r="X151" s="26" t="n"/>
      <c r="Y151" s="27">
        <f>IF(C151="","",H151+N(X151))</f>
        <v/>
      </c>
      <c r="Z151" s="29">
        <f>IFERROR(X151/Y151,"")</f>
        <v/>
      </c>
      <c r="AA151" s="26" t="n"/>
      <c r="AB151" s="26" t="n"/>
      <c r="AC151" s="26" t="n"/>
      <c r="AD151" s="26" t="n"/>
      <c r="AE151" s="27">
        <f>IF(C151="","",SUMIFS(tbl_Finance[Ex GST],tbl_Finance[Job Number],C151&amp;"",tbl_Finance[Cost Centre],"VIDEO"))</f>
        <v/>
      </c>
      <c r="AF151" s="29">
        <f>IFERROR(AE151/H151,"")</f>
        <v/>
      </c>
      <c r="AG151" s="27">
        <f>IF(C151="","",N(AA151)+N(AB151)+N(AC151)+N(AD151))</f>
        <v/>
      </c>
      <c r="AH151" s="27">
        <f>IF(C151="","",H151-AG151)</f>
        <v/>
      </c>
      <c r="AI151" s="29">
        <f>IFERROR(AH151/H151,"")</f>
        <v/>
      </c>
      <c r="AJ151" s="69" t="n"/>
      <c r="AK151" s="69" t="n"/>
      <c r="AL151" s="69" t="n"/>
      <c r="AM151" s="69" t="n"/>
      <c r="AN151" s="69" t="n"/>
      <c r="AO151" s="24" t="n"/>
    </row>
    <row r="152" ht="15" customHeight="1">
      <c r="A152" s="68">
        <f>IF(C152="","",IFERROR(IF(SUMPRODUCT(MAX((tbl_Finance[Job Number]=C152&amp;"")*(tbl_Finance[Xero Invoice No]&lt;&gt;"")*tbl_Finance[Date]))=0,"",SUMPRODUCT(MAX((tbl_Finance[Job Number]=C152&amp;"")*(tbl_Finance[Xero Invoice No]&lt;&gt;"")*tbl_Finance[Date]))),""))</f>
        <v/>
      </c>
      <c r="B152" s="25">
        <f>IF(C152="","",IF(COUNTIFS(tbl_Finance[Job Number],C152&amp;"",tbl_Finance[Xero Invoice No],"&lt;&gt;")=0,"",IFERROR(IF(COUNTIFS(tbl_Finance[Job Number],C152&amp;"",tbl_Finance[Xero Invoice No],LOOKUP(2,1/((tbl_Finance[Job Number]=C152&amp;"")*(tbl_Finance[Xero Invoice No]&lt;&gt;"")),tbl_Finance[Xero Invoice No]))=COUNTIFS(tbl_Finance[Job Number],C152&amp;"",tbl_Finance[Xero Invoice No],"&lt;&gt;"),LOOKUP(2,1/((tbl_Finance[Job Number]=C152&amp;"")*(tbl_Finance[Xero Invoice No]&lt;&gt;"")),tbl_Finance[Xero Invoice No]),LOOKUP(2,1/((tbl_Finance[Job Number]=C152&amp;"")*(tbl_Finance[Xero Invoice No]&lt;&gt;"")),tbl_Finance[Xero Invoice No])&amp;" +more"),"")))</f>
        <v/>
      </c>
      <c r="C152" s="24" t="n"/>
      <c r="D152" s="25">
        <f>IF(C152="","",IF(COUNTIF(lst_Jobs,C152&amp;"")&gt;0,"OK","CHECK"))</f>
        <v/>
      </c>
      <c r="E152" s="25">
        <f>IF(C152="","",IFERROR(INDEX(lst_JobName,MATCH(C152&amp;"",lst_Jobs,0)),""))</f>
        <v/>
      </c>
      <c r="F152" s="25">
        <f>IF(C152="","",IFERROR(INDEX(tbl_Finance[Client],MATCH(C152&amp;"",tbl_Finance[Job Number],0)),""))</f>
        <v/>
      </c>
      <c r="G152" s="28">
        <f>IF(C152="","",COUNTIFS(tbl_Finance[Job Number],C152&amp;"",tbl_Finance[Ex GST],"&lt;&gt;"))</f>
        <v/>
      </c>
      <c r="H152" s="27">
        <f>IF(C152="","",SUMIFS(tbl_Finance[Ex GST],tbl_Finance[Job Number],C152&amp;""))</f>
        <v/>
      </c>
      <c r="I152" s="27">
        <f>IF(C152="","",SUMIFS(tbl_Finance[Ex GST],tbl_Finance[Job Number],C152&amp;"",tbl_Finance[Xero Invoice No],"&lt;&gt;"))</f>
        <v/>
      </c>
      <c r="J152" s="27">
        <f>IF(C152="","",H152-I152)</f>
        <v/>
      </c>
      <c r="K152" s="25">
        <f>IF(C152="","",IF(G152=0,"not invoiced yet",SUBSTITUTE(TRIM(IF(COUNTIFS(tbl_Finance[Job Number],C152&amp;"",tbl_Finance[Cost Centre],"ONSITE")&gt;0,"ONSITE ","")&amp;IF(COUNTIFS(tbl_Finance[Job Number],C152&amp;"",tbl_Finance[Cost Centre],"PRODUCTION")&gt;0,"PRODUCTION ","")&amp;IF(COUNTIFS(tbl_Finance[Job Number],C152&amp;"",tbl_Finance[Cost Centre],"VIDEO")&gt;0,"VIDEO ","")&amp;IF(COUNTIFS(tbl_Finance[Job Number],C152&amp;"",tbl_Finance[Cost Centre],"INTEGRATION")&gt;0,"INTEGRATION ","")&amp;IF(COUNTIFS(tbl_Finance[Job Number],C152&amp;"",tbl_Finance[Cost Centre],"CONSULTING")&gt;0,"CONSULTING ","")&amp;IF(COUNTIFS(tbl_Finance[Job Number],C152&amp;"",tbl_Finance[Cost Centre],"CTS")&gt;0,"CTS ",""))," ",", ")))</f>
        <v/>
      </c>
      <c r="L152" s="27">
        <f>IF(C152="","",SUMIFS(tbl_Finance[Inc GST],tbl_Finance[Job Number],C152&amp;""))</f>
        <v/>
      </c>
      <c r="M152" s="24" t="n"/>
      <c r="N152" s="25">
        <f>IF(C152="","",IFERROR(INDEX(tbl_Finance[Description],MATCH(C152&amp;"",tbl_Finance[Job Number],0)),""))</f>
        <v/>
      </c>
      <c r="O152" s="24" t="n"/>
      <c r="P152" s="24" t="n"/>
      <c r="Q152" s="22" t="n"/>
      <c r="R152" s="24" t="n"/>
      <c r="S152" s="25">
        <f>IF(R152="","",IF(AND(LEFT(R152,4)&lt;&gt;"http",set_RMSBase=""),"",HYPERLINK(IF(LEFT(R152,4)="http",R152,set_RMSBase&amp;R152),"Open opportunity")))</f>
        <v/>
      </c>
      <c r="T152" s="24" t="n"/>
      <c r="U152" s="25">
        <f>IF(T152="","",HYPERLINK(IF(LEFT(T152,4)="http",T152,set_QwilrBase&amp;T152),"Open quote"))</f>
        <v/>
      </c>
      <c r="V152" s="25">
        <f>IF(C152="","",C152)</f>
        <v/>
      </c>
      <c r="W152" s="24" t="n"/>
      <c r="X152" s="26" t="n"/>
      <c r="Y152" s="27">
        <f>IF(C152="","",H152+N(X152))</f>
        <v/>
      </c>
      <c r="Z152" s="29">
        <f>IFERROR(X152/Y152,"")</f>
        <v/>
      </c>
      <c r="AA152" s="26" t="n"/>
      <c r="AB152" s="26" t="n"/>
      <c r="AC152" s="26" t="n"/>
      <c r="AD152" s="26" t="n"/>
      <c r="AE152" s="27">
        <f>IF(C152="","",SUMIFS(tbl_Finance[Ex GST],tbl_Finance[Job Number],C152&amp;"",tbl_Finance[Cost Centre],"VIDEO"))</f>
        <v/>
      </c>
      <c r="AF152" s="29">
        <f>IFERROR(AE152/H152,"")</f>
        <v/>
      </c>
      <c r="AG152" s="27">
        <f>IF(C152="","",N(AA152)+N(AB152)+N(AC152)+N(AD152))</f>
        <v/>
      </c>
      <c r="AH152" s="27">
        <f>IF(C152="","",H152-AG152)</f>
        <v/>
      </c>
      <c r="AI152" s="29">
        <f>IFERROR(AH152/H152,"")</f>
        <v/>
      </c>
      <c r="AJ152" s="69" t="n"/>
      <c r="AK152" s="69" t="n"/>
      <c r="AL152" s="69" t="n"/>
      <c r="AM152" s="69" t="n"/>
      <c r="AN152" s="69" t="n"/>
      <c r="AO152" s="24" t="n"/>
    </row>
    <row r="153" ht="15" customHeight="1">
      <c r="A153" s="68">
        <f>IF(C153="","",IFERROR(IF(SUMPRODUCT(MAX((tbl_Finance[Job Number]=C153&amp;"")*(tbl_Finance[Xero Invoice No]&lt;&gt;"")*tbl_Finance[Date]))=0,"",SUMPRODUCT(MAX((tbl_Finance[Job Number]=C153&amp;"")*(tbl_Finance[Xero Invoice No]&lt;&gt;"")*tbl_Finance[Date]))),""))</f>
        <v/>
      </c>
      <c r="B153" s="25">
        <f>IF(C153="","",IF(COUNTIFS(tbl_Finance[Job Number],C153&amp;"",tbl_Finance[Xero Invoice No],"&lt;&gt;")=0,"",IFERROR(IF(COUNTIFS(tbl_Finance[Job Number],C153&amp;"",tbl_Finance[Xero Invoice No],LOOKUP(2,1/((tbl_Finance[Job Number]=C153&amp;"")*(tbl_Finance[Xero Invoice No]&lt;&gt;"")),tbl_Finance[Xero Invoice No]))=COUNTIFS(tbl_Finance[Job Number],C153&amp;"",tbl_Finance[Xero Invoice No],"&lt;&gt;"),LOOKUP(2,1/((tbl_Finance[Job Number]=C153&amp;"")*(tbl_Finance[Xero Invoice No]&lt;&gt;"")),tbl_Finance[Xero Invoice No]),LOOKUP(2,1/((tbl_Finance[Job Number]=C153&amp;"")*(tbl_Finance[Xero Invoice No]&lt;&gt;"")),tbl_Finance[Xero Invoice No])&amp;" +more"),"")))</f>
        <v/>
      </c>
      <c r="C153" s="24" t="n"/>
      <c r="D153" s="25">
        <f>IF(C153="","",IF(COUNTIF(lst_Jobs,C153&amp;"")&gt;0,"OK","CHECK"))</f>
        <v/>
      </c>
      <c r="E153" s="25">
        <f>IF(C153="","",IFERROR(INDEX(lst_JobName,MATCH(C153&amp;"",lst_Jobs,0)),""))</f>
        <v/>
      </c>
      <c r="F153" s="25">
        <f>IF(C153="","",IFERROR(INDEX(tbl_Finance[Client],MATCH(C153&amp;"",tbl_Finance[Job Number],0)),""))</f>
        <v/>
      </c>
      <c r="G153" s="28">
        <f>IF(C153="","",COUNTIFS(tbl_Finance[Job Number],C153&amp;"",tbl_Finance[Ex GST],"&lt;&gt;"))</f>
        <v/>
      </c>
      <c r="H153" s="27">
        <f>IF(C153="","",SUMIFS(tbl_Finance[Ex GST],tbl_Finance[Job Number],C153&amp;""))</f>
        <v/>
      </c>
      <c r="I153" s="27">
        <f>IF(C153="","",SUMIFS(tbl_Finance[Ex GST],tbl_Finance[Job Number],C153&amp;"",tbl_Finance[Xero Invoice No],"&lt;&gt;"))</f>
        <v/>
      </c>
      <c r="J153" s="27">
        <f>IF(C153="","",H153-I153)</f>
        <v/>
      </c>
      <c r="K153" s="25">
        <f>IF(C153="","",IF(G153=0,"not invoiced yet",SUBSTITUTE(TRIM(IF(COUNTIFS(tbl_Finance[Job Number],C153&amp;"",tbl_Finance[Cost Centre],"ONSITE")&gt;0,"ONSITE ","")&amp;IF(COUNTIFS(tbl_Finance[Job Number],C153&amp;"",tbl_Finance[Cost Centre],"PRODUCTION")&gt;0,"PRODUCTION ","")&amp;IF(COUNTIFS(tbl_Finance[Job Number],C153&amp;"",tbl_Finance[Cost Centre],"VIDEO")&gt;0,"VIDEO ","")&amp;IF(COUNTIFS(tbl_Finance[Job Number],C153&amp;"",tbl_Finance[Cost Centre],"INTEGRATION")&gt;0,"INTEGRATION ","")&amp;IF(COUNTIFS(tbl_Finance[Job Number],C153&amp;"",tbl_Finance[Cost Centre],"CONSULTING")&gt;0,"CONSULTING ","")&amp;IF(COUNTIFS(tbl_Finance[Job Number],C153&amp;"",tbl_Finance[Cost Centre],"CTS")&gt;0,"CTS ",""))," ",", ")))</f>
        <v/>
      </c>
      <c r="L153" s="27">
        <f>IF(C153="","",SUMIFS(tbl_Finance[Inc GST],tbl_Finance[Job Number],C153&amp;""))</f>
        <v/>
      </c>
      <c r="M153" s="24" t="n"/>
      <c r="N153" s="25">
        <f>IF(C153="","",IFERROR(INDEX(tbl_Finance[Description],MATCH(C153&amp;"",tbl_Finance[Job Number],0)),""))</f>
        <v/>
      </c>
      <c r="O153" s="24" t="n"/>
      <c r="P153" s="24" t="n"/>
      <c r="Q153" s="22" t="n"/>
      <c r="R153" s="24" t="n"/>
      <c r="S153" s="25">
        <f>IF(R153="","",IF(AND(LEFT(R153,4)&lt;&gt;"http",set_RMSBase=""),"",HYPERLINK(IF(LEFT(R153,4)="http",R153,set_RMSBase&amp;R153),"Open opportunity")))</f>
        <v/>
      </c>
      <c r="T153" s="24" t="n"/>
      <c r="U153" s="25">
        <f>IF(T153="","",HYPERLINK(IF(LEFT(T153,4)="http",T153,set_QwilrBase&amp;T153),"Open quote"))</f>
        <v/>
      </c>
      <c r="V153" s="25">
        <f>IF(C153="","",C153)</f>
        <v/>
      </c>
      <c r="W153" s="24" t="n"/>
      <c r="X153" s="26" t="n"/>
      <c r="Y153" s="27">
        <f>IF(C153="","",H153+N(X153))</f>
        <v/>
      </c>
      <c r="Z153" s="29">
        <f>IFERROR(X153/Y153,"")</f>
        <v/>
      </c>
      <c r="AA153" s="26" t="n"/>
      <c r="AB153" s="26" t="n"/>
      <c r="AC153" s="26" t="n"/>
      <c r="AD153" s="26" t="n"/>
      <c r="AE153" s="27">
        <f>IF(C153="","",SUMIFS(tbl_Finance[Ex GST],tbl_Finance[Job Number],C153&amp;"",tbl_Finance[Cost Centre],"VIDEO"))</f>
        <v/>
      </c>
      <c r="AF153" s="29">
        <f>IFERROR(AE153/H153,"")</f>
        <v/>
      </c>
      <c r="AG153" s="27">
        <f>IF(C153="","",N(AA153)+N(AB153)+N(AC153)+N(AD153))</f>
        <v/>
      </c>
      <c r="AH153" s="27">
        <f>IF(C153="","",H153-AG153)</f>
        <v/>
      </c>
      <c r="AI153" s="29">
        <f>IFERROR(AH153/H153,"")</f>
        <v/>
      </c>
      <c r="AJ153" s="69" t="n"/>
      <c r="AK153" s="69" t="n"/>
      <c r="AL153" s="69" t="n"/>
      <c r="AM153" s="69" t="n"/>
      <c r="AN153" s="69" t="n"/>
      <c r="AO153" s="24" t="n"/>
    </row>
    <row r="154" ht="15" customHeight="1">
      <c r="A154" s="68">
        <f>IF(C154="","",IFERROR(IF(SUMPRODUCT(MAX((tbl_Finance[Job Number]=C154&amp;"")*(tbl_Finance[Xero Invoice No]&lt;&gt;"")*tbl_Finance[Date]))=0,"",SUMPRODUCT(MAX((tbl_Finance[Job Number]=C154&amp;"")*(tbl_Finance[Xero Invoice No]&lt;&gt;"")*tbl_Finance[Date]))),""))</f>
        <v/>
      </c>
      <c r="B154" s="25">
        <f>IF(C154="","",IF(COUNTIFS(tbl_Finance[Job Number],C154&amp;"",tbl_Finance[Xero Invoice No],"&lt;&gt;")=0,"",IFERROR(IF(COUNTIFS(tbl_Finance[Job Number],C154&amp;"",tbl_Finance[Xero Invoice No],LOOKUP(2,1/((tbl_Finance[Job Number]=C154&amp;"")*(tbl_Finance[Xero Invoice No]&lt;&gt;"")),tbl_Finance[Xero Invoice No]))=COUNTIFS(tbl_Finance[Job Number],C154&amp;"",tbl_Finance[Xero Invoice No],"&lt;&gt;"),LOOKUP(2,1/((tbl_Finance[Job Number]=C154&amp;"")*(tbl_Finance[Xero Invoice No]&lt;&gt;"")),tbl_Finance[Xero Invoice No]),LOOKUP(2,1/((tbl_Finance[Job Number]=C154&amp;"")*(tbl_Finance[Xero Invoice No]&lt;&gt;"")),tbl_Finance[Xero Invoice No])&amp;" +more"),"")))</f>
        <v/>
      </c>
      <c r="C154" s="24" t="n"/>
      <c r="D154" s="25">
        <f>IF(C154="","",IF(COUNTIF(lst_Jobs,C154&amp;"")&gt;0,"OK","CHECK"))</f>
        <v/>
      </c>
      <c r="E154" s="25">
        <f>IF(C154="","",IFERROR(INDEX(lst_JobName,MATCH(C154&amp;"",lst_Jobs,0)),""))</f>
        <v/>
      </c>
      <c r="F154" s="25">
        <f>IF(C154="","",IFERROR(INDEX(tbl_Finance[Client],MATCH(C154&amp;"",tbl_Finance[Job Number],0)),""))</f>
        <v/>
      </c>
      <c r="G154" s="28">
        <f>IF(C154="","",COUNTIFS(tbl_Finance[Job Number],C154&amp;"",tbl_Finance[Ex GST],"&lt;&gt;"))</f>
        <v/>
      </c>
      <c r="H154" s="27">
        <f>IF(C154="","",SUMIFS(tbl_Finance[Ex GST],tbl_Finance[Job Number],C154&amp;""))</f>
        <v/>
      </c>
      <c r="I154" s="27">
        <f>IF(C154="","",SUMIFS(tbl_Finance[Ex GST],tbl_Finance[Job Number],C154&amp;"",tbl_Finance[Xero Invoice No],"&lt;&gt;"))</f>
        <v/>
      </c>
      <c r="J154" s="27">
        <f>IF(C154="","",H154-I154)</f>
        <v/>
      </c>
      <c r="K154" s="25">
        <f>IF(C154="","",IF(G154=0,"not invoiced yet",SUBSTITUTE(TRIM(IF(COUNTIFS(tbl_Finance[Job Number],C154&amp;"",tbl_Finance[Cost Centre],"ONSITE")&gt;0,"ONSITE ","")&amp;IF(COUNTIFS(tbl_Finance[Job Number],C154&amp;"",tbl_Finance[Cost Centre],"PRODUCTION")&gt;0,"PRODUCTION ","")&amp;IF(COUNTIFS(tbl_Finance[Job Number],C154&amp;"",tbl_Finance[Cost Centre],"VIDEO")&gt;0,"VIDEO ","")&amp;IF(COUNTIFS(tbl_Finance[Job Number],C154&amp;"",tbl_Finance[Cost Centre],"INTEGRATION")&gt;0,"INTEGRATION ","")&amp;IF(COUNTIFS(tbl_Finance[Job Number],C154&amp;"",tbl_Finance[Cost Centre],"CONSULTING")&gt;0,"CONSULTING ","")&amp;IF(COUNTIFS(tbl_Finance[Job Number],C154&amp;"",tbl_Finance[Cost Centre],"CTS")&gt;0,"CTS ",""))," ",", ")))</f>
        <v/>
      </c>
      <c r="L154" s="27">
        <f>IF(C154="","",SUMIFS(tbl_Finance[Inc GST],tbl_Finance[Job Number],C154&amp;""))</f>
        <v/>
      </c>
      <c r="M154" s="24" t="n"/>
      <c r="N154" s="25">
        <f>IF(C154="","",IFERROR(INDEX(tbl_Finance[Description],MATCH(C154&amp;"",tbl_Finance[Job Number],0)),""))</f>
        <v/>
      </c>
      <c r="O154" s="24" t="n"/>
      <c r="P154" s="24" t="n"/>
      <c r="Q154" s="22" t="n"/>
      <c r="R154" s="24" t="n"/>
      <c r="S154" s="25">
        <f>IF(R154="","",IF(AND(LEFT(R154,4)&lt;&gt;"http",set_RMSBase=""),"",HYPERLINK(IF(LEFT(R154,4)="http",R154,set_RMSBase&amp;R154),"Open opportunity")))</f>
        <v/>
      </c>
      <c r="T154" s="24" t="n"/>
      <c r="U154" s="25">
        <f>IF(T154="","",HYPERLINK(IF(LEFT(T154,4)="http",T154,set_QwilrBase&amp;T154),"Open quote"))</f>
        <v/>
      </c>
      <c r="V154" s="25">
        <f>IF(C154="","",C154)</f>
        <v/>
      </c>
      <c r="W154" s="24" t="n"/>
      <c r="X154" s="26" t="n"/>
      <c r="Y154" s="27">
        <f>IF(C154="","",H154+N(X154))</f>
        <v/>
      </c>
      <c r="Z154" s="29">
        <f>IFERROR(X154/Y154,"")</f>
        <v/>
      </c>
      <c r="AA154" s="26" t="n"/>
      <c r="AB154" s="26" t="n"/>
      <c r="AC154" s="26" t="n"/>
      <c r="AD154" s="26" t="n"/>
      <c r="AE154" s="27">
        <f>IF(C154="","",SUMIFS(tbl_Finance[Ex GST],tbl_Finance[Job Number],C154&amp;"",tbl_Finance[Cost Centre],"VIDEO"))</f>
        <v/>
      </c>
      <c r="AF154" s="29">
        <f>IFERROR(AE154/H154,"")</f>
        <v/>
      </c>
      <c r="AG154" s="27">
        <f>IF(C154="","",N(AA154)+N(AB154)+N(AC154)+N(AD154))</f>
        <v/>
      </c>
      <c r="AH154" s="27">
        <f>IF(C154="","",H154-AG154)</f>
        <v/>
      </c>
      <c r="AI154" s="29">
        <f>IFERROR(AH154/H154,"")</f>
        <v/>
      </c>
      <c r="AJ154" s="69" t="n"/>
      <c r="AK154" s="69" t="n"/>
      <c r="AL154" s="69" t="n"/>
      <c r="AM154" s="69" t="n"/>
      <c r="AN154" s="69" t="n"/>
      <c r="AO154" s="24" t="n"/>
    </row>
    <row r="155" ht="15" customHeight="1">
      <c r="A155" s="68">
        <f>IF(C155="","",IFERROR(IF(SUMPRODUCT(MAX((tbl_Finance[Job Number]=C155&amp;"")*(tbl_Finance[Xero Invoice No]&lt;&gt;"")*tbl_Finance[Date]))=0,"",SUMPRODUCT(MAX((tbl_Finance[Job Number]=C155&amp;"")*(tbl_Finance[Xero Invoice No]&lt;&gt;"")*tbl_Finance[Date]))),""))</f>
        <v/>
      </c>
      <c r="B155" s="25">
        <f>IF(C155="","",IF(COUNTIFS(tbl_Finance[Job Number],C155&amp;"",tbl_Finance[Xero Invoice No],"&lt;&gt;")=0,"",IFERROR(IF(COUNTIFS(tbl_Finance[Job Number],C155&amp;"",tbl_Finance[Xero Invoice No],LOOKUP(2,1/((tbl_Finance[Job Number]=C155&amp;"")*(tbl_Finance[Xero Invoice No]&lt;&gt;"")),tbl_Finance[Xero Invoice No]))=COUNTIFS(tbl_Finance[Job Number],C155&amp;"",tbl_Finance[Xero Invoice No],"&lt;&gt;"),LOOKUP(2,1/((tbl_Finance[Job Number]=C155&amp;"")*(tbl_Finance[Xero Invoice No]&lt;&gt;"")),tbl_Finance[Xero Invoice No]),LOOKUP(2,1/((tbl_Finance[Job Number]=C155&amp;"")*(tbl_Finance[Xero Invoice No]&lt;&gt;"")),tbl_Finance[Xero Invoice No])&amp;" +more"),"")))</f>
        <v/>
      </c>
      <c r="C155" s="24" t="n"/>
      <c r="D155" s="25">
        <f>IF(C155="","",IF(COUNTIF(lst_Jobs,C155&amp;"")&gt;0,"OK","CHECK"))</f>
        <v/>
      </c>
      <c r="E155" s="25">
        <f>IF(C155="","",IFERROR(INDEX(lst_JobName,MATCH(C155&amp;"",lst_Jobs,0)),""))</f>
        <v/>
      </c>
      <c r="F155" s="25">
        <f>IF(C155="","",IFERROR(INDEX(tbl_Finance[Client],MATCH(C155&amp;"",tbl_Finance[Job Number],0)),""))</f>
        <v/>
      </c>
      <c r="G155" s="28">
        <f>IF(C155="","",COUNTIFS(tbl_Finance[Job Number],C155&amp;"",tbl_Finance[Ex GST],"&lt;&gt;"))</f>
        <v/>
      </c>
      <c r="H155" s="27">
        <f>IF(C155="","",SUMIFS(tbl_Finance[Ex GST],tbl_Finance[Job Number],C155&amp;""))</f>
        <v/>
      </c>
      <c r="I155" s="27">
        <f>IF(C155="","",SUMIFS(tbl_Finance[Ex GST],tbl_Finance[Job Number],C155&amp;"",tbl_Finance[Xero Invoice No],"&lt;&gt;"))</f>
        <v/>
      </c>
      <c r="J155" s="27">
        <f>IF(C155="","",H155-I155)</f>
        <v/>
      </c>
      <c r="K155" s="25">
        <f>IF(C155="","",IF(G155=0,"not invoiced yet",SUBSTITUTE(TRIM(IF(COUNTIFS(tbl_Finance[Job Number],C155&amp;"",tbl_Finance[Cost Centre],"ONSITE")&gt;0,"ONSITE ","")&amp;IF(COUNTIFS(tbl_Finance[Job Number],C155&amp;"",tbl_Finance[Cost Centre],"PRODUCTION")&gt;0,"PRODUCTION ","")&amp;IF(COUNTIFS(tbl_Finance[Job Number],C155&amp;"",tbl_Finance[Cost Centre],"VIDEO")&gt;0,"VIDEO ","")&amp;IF(COUNTIFS(tbl_Finance[Job Number],C155&amp;"",tbl_Finance[Cost Centre],"INTEGRATION")&gt;0,"INTEGRATION ","")&amp;IF(COUNTIFS(tbl_Finance[Job Number],C155&amp;"",tbl_Finance[Cost Centre],"CONSULTING")&gt;0,"CONSULTING ","")&amp;IF(COUNTIFS(tbl_Finance[Job Number],C155&amp;"",tbl_Finance[Cost Centre],"CTS")&gt;0,"CTS ",""))," ",", ")))</f>
        <v/>
      </c>
      <c r="L155" s="27">
        <f>IF(C155="","",SUMIFS(tbl_Finance[Inc GST],tbl_Finance[Job Number],C155&amp;""))</f>
        <v/>
      </c>
      <c r="M155" s="24" t="n"/>
      <c r="N155" s="25">
        <f>IF(C155="","",IFERROR(INDEX(tbl_Finance[Description],MATCH(C155&amp;"",tbl_Finance[Job Number],0)),""))</f>
        <v/>
      </c>
      <c r="O155" s="24" t="n"/>
      <c r="P155" s="24" t="n"/>
      <c r="Q155" s="22" t="n"/>
      <c r="R155" s="24" t="n"/>
      <c r="S155" s="25">
        <f>IF(R155="","",IF(AND(LEFT(R155,4)&lt;&gt;"http",set_RMSBase=""),"",HYPERLINK(IF(LEFT(R155,4)="http",R155,set_RMSBase&amp;R155),"Open opportunity")))</f>
        <v/>
      </c>
      <c r="T155" s="24" t="n"/>
      <c r="U155" s="25">
        <f>IF(T155="","",HYPERLINK(IF(LEFT(T155,4)="http",T155,set_QwilrBase&amp;T155),"Open quote"))</f>
        <v/>
      </c>
      <c r="V155" s="25">
        <f>IF(C155="","",C155)</f>
        <v/>
      </c>
      <c r="W155" s="24" t="n"/>
      <c r="X155" s="26" t="n"/>
      <c r="Y155" s="27">
        <f>IF(C155="","",H155+N(X155))</f>
        <v/>
      </c>
      <c r="Z155" s="29">
        <f>IFERROR(X155/Y155,"")</f>
        <v/>
      </c>
      <c r="AA155" s="26" t="n"/>
      <c r="AB155" s="26" t="n"/>
      <c r="AC155" s="26" t="n"/>
      <c r="AD155" s="26" t="n"/>
      <c r="AE155" s="27">
        <f>IF(C155="","",SUMIFS(tbl_Finance[Ex GST],tbl_Finance[Job Number],C155&amp;"",tbl_Finance[Cost Centre],"VIDEO"))</f>
        <v/>
      </c>
      <c r="AF155" s="29">
        <f>IFERROR(AE155/H155,"")</f>
        <v/>
      </c>
      <c r="AG155" s="27">
        <f>IF(C155="","",N(AA155)+N(AB155)+N(AC155)+N(AD155))</f>
        <v/>
      </c>
      <c r="AH155" s="27">
        <f>IF(C155="","",H155-AG155)</f>
        <v/>
      </c>
      <c r="AI155" s="29">
        <f>IFERROR(AH155/H155,"")</f>
        <v/>
      </c>
      <c r="AJ155" s="69" t="n"/>
      <c r="AK155" s="69" t="n"/>
      <c r="AL155" s="69" t="n"/>
      <c r="AM155" s="69" t="n"/>
      <c r="AN155" s="69" t="n"/>
      <c r="AO155" s="24" t="n"/>
    </row>
    <row r="156" ht="15" customHeight="1">
      <c r="A156" s="68">
        <f>IF(C156="","",IFERROR(IF(SUMPRODUCT(MAX((tbl_Finance[Job Number]=C156&amp;"")*(tbl_Finance[Xero Invoice No]&lt;&gt;"")*tbl_Finance[Date]))=0,"",SUMPRODUCT(MAX((tbl_Finance[Job Number]=C156&amp;"")*(tbl_Finance[Xero Invoice No]&lt;&gt;"")*tbl_Finance[Date]))),""))</f>
        <v/>
      </c>
      <c r="B156" s="25">
        <f>IF(C156="","",IF(COUNTIFS(tbl_Finance[Job Number],C156&amp;"",tbl_Finance[Xero Invoice No],"&lt;&gt;")=0,"",IFERROR(IF(COUNTIFS(tbl_Finance[Job Number],C156&amp;"",tbl_Finance[Xero Invoice No],LOOKUP(2,1/((tbl_Finance[Job Number]=C156&amp;"")*(tbl_Finance[Xero Invoice No]&lt;&gt;"")),tbl_Finance[Xero Invoice No]))=COUNTIFS(tbl_Finance[Job Number],C156&amp;"",tbl_Finance[Xero Invoice No],"&lt;&gt;"),LOOKUP(2,1/((tbl_Finance[Job Number]=C156&amp;"")*(tbl_Finance[Xero Invoice No]&lt;&gt;"")),tbl_Finance[Xero Invoice No]),LOOKUP(2,1/((tbl_Finance[Job Number]=C156&amp;"")*(tbl_Finance[Xero Invoice No]&lt;&gt;"")),tbl_Finance[Xero Invoice No])&amp;" +more"),"")))</f>
        <v/>
      </c>
      <c r="C156" s="24" t="n"/>
      <c r="D156" s="25">
        <f>IF(C156="","",IF(COUNTIF(lst_Jobs,C156&amp;"")&gt;0,"OK","CHECK"))</f>
        <v/>
      </c>
      <c r="E156" s="25">
        <f>IF(C156="","",IFERROR(INDEX(lst_JobName,MATCH(C156&amp;"",lst_Jobs,0)),""))</f>
        <v/>
      </c>
      <c r="F156" s="25">
        <f>IF(C156="","",IFERROR(INDEX(tbl_Finance[Client],MATCH(C156&amp;"",tbl_Finance[Job Number],0)),""))</f>
        <v/>
      </c>
      <c r="G156" s="28">
        <f>IF(C156="","",COUNTIFS(tbl_Finance[Job Number],C156&amp;"",tbl_Finance[Ex GST],"&lt;&gt;"))</f>
        <v/>
      </c>
      <c r="H156" s="27">
        <f>IF(C156="","",SUMIFS(tbl_Finance[Ex GST],tbl_Finance[Job Number],C156&amp;""))</f>
        <v/>
      </c>
      <c r="I156" s="27">
        <f>IF(C156="","",SUMIFS(tbl_Finance[Ex GST],tbl_Finance[Job Number],C156&amp;"",tbl_Finance[Xero Invoice No],"&lt;&gt;"))</f>
        <v/>
      </c>
      <c r="J156" s="27">
        <f>IF(C156="","",H156-I156)</f>
        <v/>
      </c>
      <c r="K156" s="25">
        <f>IF(C156="","",IF(G156=0,"not invoiced yet",SUBSTITUTE(TRIM(IF(COUNTIFS(tbl_Finance[Job Number],C156&amp;"",tbl_Finance[Cost Centre],"ONSITE")&gt;0,"ONSITE ","")&amp;IF(COUNTIFS(tbl_Finance[Job Number],C156&amp;"",tbl_Finance[Cost Centre],"PRODUCTION")&gt;0,"PRODUCTION ","")&amp;IF(COUNTIFS(tbl_Finance[Job Number],C156&amp;"",tbl_Finance[Cost Centre],"VIDEO")&gt;0,"VIDEO ","")&amp;IF(COUNTIFS(tbl_Finance[Job Number],C156&amp;"",tbl_Finance[Cost Centre],"INTEGRATION")&gt;0,"INTEGRATION ","")&amp;IF(COUNTIFS(tbl_Finance[Job Number],C156&amp;"",tbl_Finance[Cost Centre],"CONSULTING")&gt;0,"CONSULTING ","")&amp;IF(COUNTIFS(tbl_Finance[Job Number],C156&amp;"",tbl_Finance[Cost Centre],"CTS")&gt;0,"CTS ",""))," ",", ")))</f>
        <v/>
      </c>
      <c r="L156" s="27">
        <f>IF(C156="","",SUMIFS(tbl_Finance[Inc GST],tbl_Finance[Job Number],C156&amp;""))</f>
        <v/>
      </c>
      <c r="M156" s="24" t="n"/>
      <c r="N156" s="25">
        <f>IF(C156="","",IFERROR(INDEX(tbl_Finance[Description],MATCH(C156&amp;"",tbl_Finance[Job Number],0)),""))</f>
        <v/>
      </c>
      <c r="O156" s="24" t="n"/>
      <c r="P156" s="24" t="n"/>
      <c r="Q156" s="22" t="n"/>
      <c r="R156" s="24" t="n"/>
      <c r="S156" s="25">
        <f>IF(R156="","",IF(AND(LEFT(R156,4)&lt;&gt;"http",set_RMSBase=""),"",HYPERLINK(IF(LEFT(R156,4)="http",R156,set_RMSBase&amp;R156),"Open opportunity")))</f>
        <v/>
      </c>
      <c r="T156" s="24" t="n"/>
      <c r="U156" s="25">
        <f>IF(T156="","",HYPERLINK(IF(LEFT(T156,4)="http",T156,set_QwilrBase&amp;T156),"Open quote"))</f>
        <v/>
      </c>
      <c r="V156" s="25">
        <f>IF(C156="","",C156)</f>
        <v/>
      </c>
      <c r="W156" s="24" t="n"/>
      <c r="X156" s="26" t="n"/>
      <c r="Y156" s="27">
        <f>IF(C156="","",H156+N(X156))</f>
        <v/>
      </c>
      <c r="Z156" s="29">
        <f>IFERROR(X156/Y156,"")</f>
        <v/>
      </c>
      <c r="AA156" s="26" t="n"/>
      <c r="AB156" s="26" t="n"/>
      <c r="AC156" s="26" t="n"/>
      <c r="AD156" s="26" t="n"/>
      <c r="AE156" s="27">
        <f>IF(C156="","",SUMIFS(tbl_Finance[Ex GST],tbl_Finance[Job Number],C156&amp;"",tbl_Finance[Cost Centre],"VIDEO"))</f>
        <v/>
      </c>
      <c r="AF156" s="29">
        <f>IFERROR(AE156/H156,"")</f>
        <v/>
      </c>
      <c r="AG156" s="27">
        <f>IF(C156="","",N(AA156)+N(AB156)+N(AC156)+N(AD156))</f>
        <v/>
      </c>
      <c r="AH156" s="27">
        <f>IF(C156="","",H156-AG156)</f>
        <v/>
      </c>
      <c r="AI156" s="29">
        <f>IFERROR(AH156/H156,"")</f>
        <v/>
      </c>
      <c r="AJ156" s="69" t="n"/>
      <c r="AK156" s="69" t="n"/>
      <c r="AL156" s="69" t="n"/>
      <c r="AM156" s="69" t="n"/>
      <c r="AN156" s="69" t="n"/>
      <c r="AO156" s="24" t="n"/>
    </row>
    <row r="157" ht="15" customHeight="1">
      <c r="A157" s="68">
        <f>IF(C157="","",IFERROR(IF(SUMPRODUCT(MAX((tbl_Finance[Job Number]=C157&amp;"")*(tbl_Finance[Xero Invoice No]&lt;&gt;"")*tbl_Finance[Date]))=0,"",SUMPRODUCT(MAX((tbl_Finance[Job Number]=C157&amp;"")*(tbl_Finance[Xero Invoice No]&lt;&gt;"")*tbl_Finance[Date]))),""))</f>
        <v/>
      </c>
      <c r="B157" s="25">
        <f>IF(C157="","",IF(COUNTIFS(tbl_Finance[Job Number],C157&amp;"",tbl_Finance[Xero Invoice No],"&lt;&gt;")=0,"",IFERROR(IF(COUNTIFS(tbl_Finance[Job Number],C157&amp;"",tbl_Finance[Xero Invoice No],LOOKUP(2,1/((tbl_Finance[Job Number]=C157&amp;"")*(tbl_Finance[Xero Invoice No]&lt;&gt;"")),tbl_Finance[Xero Invoice No]))=COUNTIFS(tbl_Finance[Job Number],C157&amp;"",tbl_Finance[Xero Invoice No],"&lt;&gt;"),LOOKUP(2,1/((tbl_Finance[Job Number]=C157&amp;"")*(tbl_Finance[Xero Invoice No]&lt;&gt;"")),tbl_Finance[Xero Invoice No]),LOOKUP(2,1/((tbl_Finance[Job Number]=C157&amp;"")*(tbl_Finance[Xero Invoice No]&lt;&gt;"")),tbl_Finance[Xero Invoice No])&amp;" +more"),"")))</f>
        <v/>
      </c>
      <c r="C157" s="24" t="n"/>
      <c r="D157" s="25">
        <f>IF(C157="","",IF(COUNTIF(lst_Jobs,C157&amp;"")&gt;0,"OK","CHECK"))</f>
        <v/>
      </c>
      <c r="E157" s="25">
        <f>IF(C157="","",IFERROR(INDEX(lst_JobName,MATCH(C157&amp;"",lst_Jobs,0)),""))</f>
        <v/>
      </c>
      <c r="F157" s="25">
        <f>IF(C157="","",IFERROR(INDEX(tbl_Finance[Client],MATCH(C157&amp;"",tbl_Finance[Job Number],0)),""))</f>
        <v/>
      </c>
      <c r="G157" s="28">
        <f>IF(C157="","",COUNTIFS(tbl_Finance[Job Number],C157&amp;"",tbl_Finance[Ex GST],"&lt;&gt;"))</f>
        <v/>
      </c>
      <c r="H157" s="27">
        <f>IF(C157="","",SUMIFS(tbl_Finance[Ex GST],tbl_Finance[Job Number],C157&amp;""))</f>
        <v/>
      </c>
      <c r="I157" s="27">
        <f>IF(C157="","",SUMIFS(tbl_Finance[Ex GST],tbl_Finance[Job Number],C157&amp;"",tbl_Finance[Xero Invoice No],"&lt;&gt;"))</f>
        <v/>
      </c>
      <c r="J157" s="27">
        <f>IF(C157="","",H157-I157)</f>
        <v/>
      </c>
      <c r="K157" s="25">
        <f>IF(C157="","",IF(G157=0,"not invoiced yet",SUBSTITUTE(TRIM(IF(COUNTIFS(tbl_Finance[Job Number],C157&amp;"",tbl_Finance[Cost Centre],"ONSITE")&gt;0,"ONSITE ","")&amp;IF(COUNTIFS(tbl_Finance[Job Number],C157&amp;"",tbl_Finance[Cost Centre],"PRODUCTION")&gt;0,"PRODUCTION ","")&amp;IF(COUNTIFS(tbl_Finance[Job Number],C157&amp;"",tbl_Finance[Cost Centre],"VIDEO")&gt;0,"VIDEO ","")&amp;IF(COUNTIFS(tbl_Finance[Job Number],C157&amp;"",tbl_Finance[Cost Centre],"INTEGRATION")&gt;0,"INTEGRATION ","")&amp;IF(COUNTIFS(tbl_Finance[Job Number],C157&amp;"",tbl_Finance[Cost Centre],"CONSULTING")&gt;0,"CONSULTING ","")&amp;IF(COUNTIFS(tbl_Finance[Job Number],C157&amp;"",tbl_Finance[Cost Centre],"CTS")&gt;0,"CTS ",""))," ",", ")))</f>
        <v/>
      </c>
      <c r="L157" s="27">
        <f>IF(C157="","",SUMIFS(tbl_Finance[Inc GST],tbl_Finance[Job Number],C157&amp;""))</f>
        <v/>
      </c>
      <c r="M157" s="24" t="n"/>
      <c r="N157" s="25">
        <f>IF(C157="","",IFERROR(INDEX(tbl_Finance[Description],MATCH(C157&amp;"",tbl_Finance[Job Number],0)),""))</f>
        <v/>
      </c>
      <c r="O157" s="24" t="n"/>
      <c r="P157" s="24" t="n"/>
      <c r="Q157" s="22" t="n"/>
      <c r="R157" s="24" t="n"/>
      <c r="S157" s="25">
        <f>IF(R157="","",IF(AND(LEFT(R157,4)&lt;&gt;"http",set_RMSBase=""),"",HYPERLINK(IF(LEFT(R157,4)="http",R157,set_RMSBase&amp;R157),"Open opportunity")))</f>
        <v/>
      </c>
      <c r="T157" s="24" t="n"/>
      <c r="U157" s="25">
        <f>IF(T157="","",HYPERLINK(IF(LEFT(T157,4)="http",T157,set_QwilrBase&amp;T157),"Open quote"))</f>
        <v/>
      </c>
      <c r="V157" s="25">
        <f>IF(C157="","",C157)</f>
        <v/>
      </c>
      <c r="W157" s="24" t="n"/>
      <c r="X157" s="26" t="n"/>
      <c r="Y157" s="27">
        <f>IF(C157="","",H157+N(X157))</f>
        <v/>
      </c>
      <c r="Z157" s="29">
        <f>IFERROR(X157/Y157,"")</f>
        <v/>
      </c>
      <c r="AA157" s="26" t="n"/>
      <c r="AB157" s="26" t="n"/>
      <c r="AC157" s="26" t="n"/>
      <c r="AD157" s="26" t="n"/>
      <c r="AE157" s="27">
        <f>IF(C157="","",SUMIFS(tbl_Finance[Ex GST],tbl_Finance[Job Number],C157&amp;"",tbl_Finance[Cost Centre],"VIDEO"))</f>
        <v/>
      </c>
      <c r="AF157" s="29">
        <f>IFERROR(AE157/H157,"")</f>
        <v/>
      </c>
      <c r="AG157" s="27">
        <f>IF(C157="","",N(AA157)+N(AB157)+N(AC157)+N(AD157))</f>
        <v/>
      </c>
      <c r="AH157" s="27">
        <f>IF(C157="","",H157-AG157)</f>
        <v/>
      </c>
      <c r="AI157" s="29">
        <f>IFERROR(AH157/H157,"")</f>
        <v/>
      </c>
      <c r="AJ157" s="69" t="n"/>
      <c r="AK157" s="69" t="n"/>
      <c r="AL157" s="69" t="n"/>
      <c r="AM157" s="69" t="n"/>
      <c r="AN157" s="69" t="n"/>
      <c r="AO157" s="24" t="n"/>
    </row>
    <row r="158" ht="15" customHeight="1">
      <c r="A158" s="68">
        <f>IF(C158="","",IFERROR(IF(SUMPRODUCT(MAX((tbl_Finance[Job Number]=C158&amp;"")*(tbl_Finance[Xero Invoice No]&lt;&gt;"")*tbl_Finance[Date]))=0,"",SUMPRODUCT(MAX((tbl_Finance[Job Number]=C158&amp;"")*(tbl_Finance[Xero Invoice No]&lt;&gt;"")*tbl_Finance[Date]))),""))</f>
        <v/>
      </c>
      <c r="B158" s="25">
        <f>IF(C158="","",IF(COUNTIFS(tbl_Finance[Job Number],C158&amp;"",tbl_Finance[Xero Invoice No],"&lt;&gt;")=0,"",IFERROR(IF(COUNTIFS(tbl_Finance[Job Number],C158&amp;"",tbl_Finance[Xero Invoice No],LOOKUP(2,1/((tbl_Finance[Job Number]=C158&amp;"")*(tbl_Finance[Xero Invoice No]&lt;&gt;"")),tbl_Finance[Xero Invoice No]))=COUNTIFS(tbl_Finance[Job Number],C158&amp;"",tbl_Finance[Xero Invoice No],"&lt;&gt;"),LOOKUP(2,1/((tbl_Finance[Job Number]=C158&amp;"")*(tbl_Finance[Xero Invoice No]&lt;&gt;"")),tbl_Finance[Xero Invoice No]),LOOKUP(2,1/((tbl_Finance[Job Number]=C158&amp;"")*(tbl_Finance[Xero Invoice No]&lt;&gt;"")),tbl_Finance[Xero Invoice No])&amp;" +more"),"")))</f>
        <v/>
      </c>
      <c r="C158" s="24" t="n"/>
      <c r="D158" s="25">
        <f>IF(C158="","",IF(COUNTIF(lst_Jobs,C158&amp;"")&gt;0,"OK","CHECK"))</f>
        <v/>
      </c>
      <c r="E158" s="25">
        <f>IF(C158="","",IFERROR(INDEX(lst_JobName,MATCH(C158&amp;"",lst_Jobs,0)),""))</f>
        <v/>
      </c>
      <c r="F158" s="25">
        <f>IF(C158="","",IFERROR(INDEX(tbl_Finance[Client],MATCH(C158&amp;"",tbl_Finance[Job Number],0)),""))</f>
        <v/>
      </c>
      <c r="G158" s="28">
        <f>IF(C158="","",COUNTIFS(tbl_Finance[Job Number],C158&amp;"",tbl_Finance[Ex GST],"&lt;&gt;"))</f>
        <v/>
      </c>
      <c r="H158" s="27">
        <f>IF(C158="","",SUMIFS(tbl_Finance[Ex GST],tbl_Finance[Job Number],C158&amp;""))</f>
        <v/>
      </c>
      <c r="I158" s="27">
        <f>IF(C158="","",SUMIFS(tbl_Finance[Ex GST],tbl_Finance[Job Number],C158&amp;"",tbl_Finance[Xero Invoice No],"&lt;&gt;"))</f>
        <v/>
      </c>
      <c r="J158" s="27">
        <f>IF(C158="","",H158-I158)</f>
        <v/>
      </c>
      <c r="K158" s="25">
        <f>IF(C158="","",IF(G158=0,"not invoiced yet",SUBSTITUTE(TRIM(IF(COUNTIFS(tbl_Finance[Job Number],C158&amp;"",tbl_Finance[Cost Centre],"ONSITE")&gt;0,"ONSITE ","")&amp;IF(COUNTIFS(tbl_Finance[Job Number],C158&amp;"",tbl_Finance[Cost Centre],"PRODUCTION")&gt;0,"PRODUCTION ","")&amp;IF(COUNTIFS(tbl_Finance[Job Number],C158&amp;"",tbl_Finance[Cost Centre],"VIDEO")&gt;0,"VIDEO ","")&amp;IF(COUNTIFS(tbl_Finance[Job Number],C158&amp;"",tbl_Finance[Cost Centre],"INTEGRATION")&gt;0,"INTEGRATION ","")&amp;IF(COUNTIFS(tbl_Finance[Job Number],C158&amp;"",tbl_Finance[Cost Centre],"CONSULTING")&gt;0,"CONSULTING ","")&amp;IF(COUNTIFS(tbl_Finance[Job Number],C158&amp;"",tbl_Finance[Cost Centre],"CTS")&gt;0,"CTS ",""))," ",", ")))</f>
        <v/>
      </c>
      <c r="L158" s="27">
        <f>IF(C158="","",SUMIFS(tbl_Finance[Inc GST],tbl_Finance[Job Number],C158&amp;""))</f>
        <v/>
      </c>
      <c r="M158" s="24" t="n"/>
      <c r="N158" s="25">
        <f>IF(C158="","",IFERROR(INDEX(tbl_Finance[Description],MATCH(C158&amp;"",tbl_Finance[Job Number],0)),""))</f>
        <v/>
      </c>
      <c r="O158" s="24" t="n"/>
      <c r="P158" s="24" t="n"/>
      <c r="Q158" s="22" t="n"/>
      <c r="R158" s="24" t="n"/>
      <c r="S158" s="25">
        <f>IF(R158="","",IF(AND(LEFT(R158,4)&lt;&gt;"http",set_RMSBase=""),"",HYPERLINK(IF(LEFT(R158,4)="http",R158,set_RMSBase&amp;R158),"Open opportunity")))</f>
        <v/>
      </c>
      <c r="T158" s="24" t="n"/>
      <c r="U158" s="25">
        <f>IF(T158="","",HYPERLINK(IF(LEFT(T158,4)="http",T158,set_QwilrBase&amp;T158),"Open quote"))</f>
        <v/>
      </c>
      <c r="V158" s="25">
        <f>IF(C158="","",C158)</f>
        <v/>
      </c>
      <c r="W158" s="24" t="n"/>
      <c r="X158" s="26" t="n"/>
      <c r="Y158" s="27">
        <f>IF(C158="","",H158+N(X158))</f>
        <v/>
      </c>
      <c r="Z158" s="29">
        <f>IFERROR(X158/Y158,"")</f>
        <v/>
      </c>
      <c r="AA158" s="26" t="n"/>
      <c r="AB158" s="26" t="n"/>
      <c r="AC158" s="26" t="n"/>
      <c r="AD158" s="26" t="n"/>
      <c r="AE158" s="27">
        <f>IF(C158="","",SUMIFS(tbl_Finance[Ex GST],tbl_Finance[Job Number],C158&amp;"",tbl_Finance[Cost Centre],"VIDEO"))</f>
        <v/>
      </c>
      <c r="AF158" s="29">
        <f>IFERROR(AE158/H158,"")</f>
        <v/>
      </c>
      <c r="AG158" s="27">
        <f>IF(C158="","",N(AA158)+N(AB158)+N(AC158)+N(AD158))</f>
        <v/>
      </c>
      <c r="AH158" s="27">
        <f>IF(C158="","",H158-AG158)</f>
        <v/>
      </c>
      <c r="AI158" s="29">
        <f>IFERROR(AH158/H158,"")</f>
        <v/>
      </c>
      <c r="AJ158" s="69" t="n"/>
      <c r="AK158" s="69" t="n"/>
      <c r="AL158" s="69" t="n"/>
      <c r="AM158" s="69" t="n"/>
      <c r="AN158" s="69" t="n"/>
      <c r="AO158" s="24" t="n"/>
    </row>
    <row r="159" ht="15" customHeight="1">
      <c r="A159" s="68">
        <f>IF(C159="","",IFERROR(IF(SUMPRODUCT(MAX((tbl_Finance[Job Number]=C159&amp;"")*(tbl_Finance[Xero Invoice No]&lt;&gt;"")*tbl_Finance[Date]))=0,"",SUMPRODUCT(MAX((tbl_Finance[Job Number]=C159&amp;"")*(tbl_Finance[Xero Invoice No]&lt;&gt;"")*tbl_Finance[Date]))),""))</f>
        <v/>
      </c>
      <c r="B159" s="25">
        <f>IF(C159="","",IF(COUNTIFS(tbl_Finance[Job Number],C159&amp;"",tbl_Finance[Xero Invoice No],"&lt;&gt;")=0,"",IFERROR(IF(COUNTIFS(tbl_Finance[Job Number],C159&amp;"",tbl_Finance[Xero Invoice No],LOOKUP(2,1/((tbl_Finance[Job Number]=C159&amp;"")*(tbl_Finance[Xero Invoice No]&lt;&gt;"")),tbl_Finance[Xero Invoice No]))=COUNTIFS(tbl_Finance[Job Number],C159&amp;"",tbl_Finance[Xero Invoice No],"&lt;&gt;"),LOOKUP(2,1/((tbl_Finance[Job Number]=C159&amp;"")*(tbl_Finance[Xero Invoice No]&lt;&gt;"")),tbl_Finance[Xero Invoice No]),LOOKUP(2,1/((tbl_Finance[Job Number]=C159&amp;"")*(tbl_Finance[Xero Invoice No]&lt;&gt;"")),tbl_Finance[Xero Invoice No])&amp;" +more"),"")))</f>
        <v/>
      </c>
      <c r="C159" s="24" t="n"/>
      <c r="D159" s="25">
        <f>IF(C159="","",IF(COUNTIF(lst_Jobs,C159&amp;"")&gt;0,"OK","CHECK"))</f>
        <v/>
      </c>
      <c r="E159" s="25">
        <f>IF(C159="","",IFERROR(INDEX(lst_JobName,MATCH(C159&amp;"",lst_Jobs,0)),""))</f>
        <v/>
      </c>
      <c r="F159" s="25">
        <f>IF(C159="","",IFERROR(INDEX(tbl_Finance[Client],MATCH(C159&amp;"",tbl_Finance[Job Number],0)),""))</f>
        <v/>
      </c>
      <c r="G159" s="28">
        <f>IF(C159="","",COUNTIFS(tbl_Finance[Job Number],C159&amp;"",tbl_Finance[Ex GST],"&lt;&gt;"))</f>
        <v/>
      </c>
      <c r="H159" s="27">
        <f>IF(C159="","",SUMIFS(tbl_Finance[Ex GST],tbl_Finance[Job Number],C159&amp;""))</f>
        <v/>
      </c>
      <c r="I159" s="27">
        <f>IF(C159="","",SUMIFS(tbl_Finance[Ex GST],tbl_Finance[Job Number],C159&amp;"",tbl_Finance[Xero Invoice No],"&lt;&gt;"))</f>
        <v/>
      </c>
      <c r="J159" s="27">
        <f>IF(C159="","",H159-I159)</f>
        <v/>
      </c>
      <c r="K159" s="25">
        <f>IF(C159="","",IF(G159=0,"not invoiced yet",SUBSTITUTE(TRIM(IF(COUNTIFS(tbl_Finance[Job Number],C159&amp;"",tbl_Finance[Cost Centre],"ONSITE")&gt;0,"ONSITE ","")&amp;IF(COUNTIFS(tbl_Finance[Job Number],C159&amp;"",tbl_Finance[Cost Centre],"PRODUCTION")&gt;0,"PRODUCTION ","")&amp;IF(COUNTIFS(tbl_Finance[Job Number],C159&amp;"",tbl_Finance[Cost Centre],"VIDEO")&gt;0,"VIDEO ","")&amp;IF(COUNTIFS(tbl_Finance[Job Number],C159&amp;"",tbl_Finance[Cost Centre],"INTEGRATION")&gt;0,"INTEGRATION ","")&amp;IF(COUNTIFS(tbl_Finance[Job Number],C159&amp;"",tbl_Finance[Cost Centre],"CONSULTING")&gt;0,"CONSULTING ","")&amp;IF(COUNTIFS(tbl_Finance[Job Number],C159&amp;"",tbl_Finance[Cost Centre],"CTS")&gt;0,"CTS ",""))," ",", ")))</f>
        <v/>
      </c>
      <c r="L159" s="27">
        <f>IF(C159="","",SUMIFS(tbl_Finance[Inc GST],tbl_Finance[Job Number],C159&amp;""))</f>
        <v/>
      </c>
      <c r="M159" s="24" t="n"/>
      <c r="N159" s="25">
        <f>IF(C159="","",IFERROR(INDEX(tbl_Finance[Description],MATCH(C159&amp;"",tbl_Finance[Job Number],0)),""))</f>
        <v/>
      </c>
      <c r="O159" s="24" t="n"/>
      <c r="P159" s="24" t="n"/>
      <c r="Q159" s="22" t="n"/>
      <c r="R159" s="24" t="n"/>
      <c r="S159" s="25">
        <f>IF(R159="","",IF(AND(LEFT(R159,4)&lt;&gt;"http",set_RMSBase=""),"",HYPERLINK(IF(LEFT(R159,4)="http",R159,set_RMSBase&amp;R159),"Open opportunity")))</f>
        <v/>
      </c>
      <c r="T159" s="24" t="n"/>
      <c r="U159" s="25">
        <f>IF(T159="","",HYPERLINK(IF(LEFT(T159,4)="http",T159,set_QwilrBase&amp;T159),"Open quote"))</f>
        <v/>
      </c>
      <c r="V159" s="25">
        <f>IF(C159="","",C159)</f>
        <v/>
      </c>
      <c r="W159" s="24" t="n"/>
      <c r="X159" s="26" t="n"/>
      <c r="Y159" s="27">
        <f>IF(C159="","",H159+N(X159))</f>
        <v/>
      </c>
      <c r="Z159" s="29">
        <f>IFERROR(X159/Y159,"")</f>
        <v/>
      </c>
      <c r="AA159" s="26" t="n"/>
      <c r="AB159" s="26" t="n"/>
      <c r="AC159" s="26" t="n"/>
      <c r="AD159" s="26" t="n"/>
      <c r="AE159" s="27">
        <f>IF(C159="","",SUMIFS(tbl_Finance[Ex GST],tbl_Finance[Job Number],C159&amp;"",tbl_Finance[Cost Centre],"VIDEO"))</f>
        <v/>
      </c>
      <c r="AF159" s="29">
        <f>IFERROR(AE159/H159,"")</f>
        <v/>
      </c>
      <c r="AG159" s="27">
        <f>IF(C159="","",N(AA159)+N(AB159)+N(AC159)+N(AD159))</f>
        <v/>
      </c>
      <c r="AH159" s="27">
        <f>IF(C159="","",H159-AG159)</f>
        <v/>
      </c>
      <c r="AI159" s="29">
        <f>IFERROR(AH159/H159,"")</f>
        <v/>
      </c>
      <c r="AJ159" s="69" t="n"/>
      <c r="AK159" s="69" t="n"/>
      <c r="AL159" s="69" t="n"/>
      <c r="AM159" s="69" t="n"/>
      <c r="AN159" s="69" t="n"/>
      <c r="AO159" s="24" t="n"/>
    </row>
    <row r="160" ht="15" customHeight="1">
      <c r="A160" s="68">
        <f>IF(C160="","",IFERROR(IF(SUMPRODUCT(MAX((tbl_Finance[Job Number]=C160&amp;"")*(tbl_Finance[Xero Invoice No]&lt;&gt;"")*tbl_Finance[Date]))=0,"",SUMPRODUCT(MAX((tbl_Finance[Job Number]=C160&amp;"")*(tbl_Finance[Xero Invoice No]&lt;&gt;"")*tbl_Finance[Date]))),""))</f>
        <v/>
      </c>
      <c r="B160" s="25">
        <f>IF(C160="","",IF(COUNTIFS(tbl_Finance[Job Number],C160&amp;"",tbl_Finance[Xero Invoice No],"&lt;&gt;")=0,"",IFERROR(IF(COUNTIFS(tbl_Finance[Job Number],C160&amp;"",tbl_Finance[Xero Invoice No],LOOKUP(2,1/((tbl_Finance[Job Number]=C160&amp;"")*(tbl_Finance[Xero Invoice No]&lt;&gt;"")),tbl_Finance[Xero Invoice No]))=COUNTIFS(tbl_Finance[Job Number],C160&amp;"",tbl_Finance[Xero Invoice No],"&lt;&gt;"),LOOKUP(2,1/((tbl_Finance[Job Number]=C160&amp;"")*(tbl_Finance[Xero Invoice No]&lt;&gt;"")),tbl_Finance[Xero Invoice No]),LOOKUP(2,1/((tbl_Finance[Job Number]=C160&amp;"")*(tbl_Finance[Xero Invoice No]&lt;&gt;"")),tbl_Finance[Xero Invoice No])&amp;" +more"),"")))</f>
        <v/>
      </c>
      <c r="C160" s="24" t="n"/>
      <c r="D160" s="25">
        <f>IF(C160="","",IF(COUNTIF(lst_Jobs,C160&amp;"")&gt;0,"OK","CHECK"))</f>
        <v/>
      </c>
      <c r="E160" s="25">
        <f>IF(C160="","",IFERROR(INDEX(lst_JobName,MATCH(C160&amp;"",lst_Jobs,0)),""))</f>
        <v/>
      </c>
      <c r="F160" s="25">
        <f>IF(C160="","",IFERROR(INDEX(tbl_Finance[Client],MATCH(C160&amp;"",tbl_Finance[Job Number],0)),""))</f>
        <v/>
      </c>
      <c r="G160" s="28">
        <f>IF(C160="","",COUNTIFS(tbl_Finance[Job Number],C160&amp;"",tbl_Finance[Ex GST],"&lt;&gt;"))</f>
        <v/>
      </c>
      <c r="H160" s="27">
        <f>IF(C160="","",SUMIFS(tbl_Finance[Ex GST],tbl_Finance[Job Number],C160&amp;""))</f>
        <v/>
      </c>
      <c r="I160" s="27">
        <f>IF(C160="","",SUMIFS(tbl_Finance[Ex GST],tbl_Finance[Job Number],C160&amp;"",tbl_Finance[Xero Invoice No],"&lt;&gt;"))</f>
        <v/>
      </c>
      <c r="J160" s="27">
        <f>IF(C160="","",H160-I160)</f>
        <v/>
      </c>
      <c r="K160" s="25">
        <f>IF(C160="","",IF(G160=0,"not invoiced yet",SUBSTITUTE(TRIM(IF(COUNTIFS(tbl_Finance[Job Number],C160&amp;"",tbl_Finance[Cost Centre],"ONSITE")&gt;0,"ONSITE ","")&amp;IF(COUNTIFS(tbl_Finance[Job Number],C160&amp;"",tbl_Finance[Cost Centre],"PRODUCTION")&gt;0,"PRODUCTION ","")&amp;IF(COUNTIFS(tbl_Finance[Job Number],C160&amp;"",tbl_Finance[Cost Centre],"VIDEO")&gt;0,"VIDEO ","")&amp;IF(COUNTIFS(tbl_Finance[Job Number],C160&amp;"",tbl_Finance[Cost Centre],"INTEGRATION")&gt;0,"INTEGRATION ","")&amp;IF(COUNTIFS(tbl_Finance[Job Number],C160&amp;"",tbl_Finance[Cost Centre],"CONSULTING")&gt;0,"CONSULTING ","")&amp;IF(COUNTIFS(tbl_Finance[Job Number],C160&amp;"",tbl_Finance[Cost Centre],"CTS")&gt;0,"CTS ",""))," ",", ")))</f>
        <v/>
      </c>
      <c r="L160" s="27">
        <f>IF(C160="","",SUMIFS(tbl_Finance[Inc GST],tbl_Finance[Job Number],C160&amp;""))</f>
        <v/>
      </c>
      <c r="M160" s="24" t="n"/>
      <c r="N160" s="25">
        <f>IF(C160="","",IFERROR(INDEX(tbl_Finance[Description],MATCH(C160&amp;"",tbl_Finance[Job Number],0)),""))</f>
        <v/>
      </c>
      <c r="O160" s="24" t="n"/>
      <c r="P160" s="24" t="n"/>
      <c r="Q160" s="22" t="n"/>
      <c r="R160" s="24" t="n"/>
      <c r="S160" s="25">
        <f>IF(R160="","",IF(AND(LEFT(R160,4)&lt;&gt;"http",set_RMSBase=""),"",HYPERLINK(IF(LEFT(R160,4)="http",R160,set_RMSBase&amp;R160),"Open opportunity")))</f>
        <v/>
      </c>
      <c r="T160" s="24" t="n"/>
      <c r="U160" s="25">
        <f>IF(T160="","",HYPERLINK(IF(LEFT(T160,4)="http",T160,set_QwilrBase&amp;T160),"Open quote"))</f>
        <v/>
      </c>
      <c r="V160" s="25">
        <f>IF(C160="","",C160)</f>
        <v/>
      </c>
      <c r="W160" s="24" t="n"/>
      <c r="X160" s="26" t="n"/>
      <c r="Y160" s="27">
        <f>IF(C160="","",H160+N(X160))</f>
        <v/>
      </c>
      <c r="Z160" s="29">
        <f>IFERROR(X160/Y160,"")</f>
        <v/>
      </c>
      <c r="AA160" s="26" t="n"/>
      <c r="AB160" s="26" t="n"/>
      <c r="AC160" s="26" t="n"/>
      <c r="AD160" s="26" t="n"/>
      <c r="AE160" s="27">
        <f>IF(C160="","",SUMIFS(tbl_Finance[Ex GST],tbl_Finance[Job Number],C160&amp;"",tbl_Finance[Cost Centre],"VIDEO"))</f>
        <v/>
      </c>
      <c r="AF160" s="29">
        <f>IFERROR(AE160/H160,"")</f>
        <v/>
      </c>
      <c r="AG160" s="27">
        <f>IF(C160="","",N(AA160)+N(AB160)+N(AC160)+N(AD160))</f>
        <v/>
      </c>
      <c r="AH160" s="27">
        <f>IF(C160="","",H160-AG160)</f>
        <v/>
      </c>
      <c r="AI160" s="29">
        <f>IFERROR(AH160/H160,"")</f>
        <v/>
      </c>
      <c r="AJ160" s="69" t="n"/>
      <c r="AK160" s="69" t="n"/>
      <c r="AL160" s="69" t="n"/>
      <c r="AM160" s="69" t="n"/>
      <c r="AN160" s="69" t="n"/>
      <c r="AO160" s="24" t="n"/>
    </row>
    <row r="161" ht="15" customHeight="1">
      <c r="A161" s="68">
        <f>IF(C161="","",IFERROR(IF(SUMPRODUCT(MAX((tbl_Finance[Job Number]=C161&amp;"")*(tbl_Finance[Xero Invoice No]&lt;&gt;"")*tbl_Finance[Date]))=0,"",SUMPRODUCT(MAX((tbl_Finance[Job Number]=C161&amp;"")*(tbl_Finance[Xero Invoice No]&lt;&gt;"")*tbl_Finance[Date]))),""))</f>
        <v/>
      </c>
      <c r="B161" s="25">
        <f>IF(C161="","",IF(COUNTIFS(tbl_Finance[Job Number],C161&amp;"",tbl_Finance[Xero Invoice No],"&lt;&gt;")=0,"",IFERROR(IF(COUNTIFS(tbl_Finance[Job Number],C161&amp;"",tbl_Finance[Xero Invoice No],LOOKUP(2,1/((tbl_Finance[Job Number]=C161&amp;"")*(tbl_Finance[Xero Invoice No]&lt;&gt;"")),tbl_Finance[Xero Invoice No]))=COUNTIFS(tbl_Finance[Job Number],C161&amp;"",tbl_Finance[Xero Invoice No],"&lt;&gt;"),LOOKUP(2,1/((tbl_Finance[Job Number]=C161&amp;"")*(tbl_Finance[Xero Invoice No]&lt;&gt;"")),tbl_Finance[Xero Invoice No]),LOOKUP(2,1/((tbl_Finance[Job Number]=C161&amp;"")*(tbl_Finance[Xero Invoice No]&lt;&gt;"")),tbl_Finance[Xero Invoice No])&amp;" +more"),"")))</f>
        <v/>
      </c>
      <c r="C161" s="24" t="n"/>
      <c r="D161" s="25">
        <f>IF(C161="","",IF(COUNTIF(lst_Jobs,C161&amp;"")&gt;0,"OK","CHECK"))</f>
        <v/>
      </c>
      <c r="E161" s="25">
        <f>IF(C161="","",IFERROR(INDEX(lst_JobName,MATCH(C161&amp;"",lst_Jobs,0)),""))</f>
        <v/>
      </c>
      <c r="F161" s="25">
        <f>IF(C161="","",IFERROR(INDEX(tbl_Finance[Client],MATCH(C161&amp;"",tbl_Finance[Job Number],0)),""))</f>
        <v/>
      </c>
      <c r="G161" s="28">
        <f>IF(C161="","",COUNTIFS(tbl_Finance[Job Number],C161&amp;"",tbl_Finance[Ex GST],"&lt;&gt;"))</f>
        <v/>
      </c>
      <c r="H161" s="27">
        <f>IF(C161="","",SUMIFS(tbl_Finance[Ex GST],tbl_Finance[Job Number],C161&amp;""))</f>
        <v/>
      </c>
      <c r="I161" s="27">
        <f>IF(C161="","",SUMIFS(tbl_Finance[Ex GST],tbl_Finance[Job Number],C161&amp;"",tbl_Finance[Xero Invoice No],"&lt;&gt;"))</f>
        <v/>
      </c>
      <c r="J161" s="27">
        <f>IF(C161="","",H161-I161)</f>
        <v/>
      </c>
      <c r="K161" s="25">
        <f>IF(C161="","",IF(G161=0,"not invoiced yet",SUBSTITUTE(TRIM(IF(COUNTIFS(tbl_Finance[Job Number],C161&amp;"",tbl_Finance[Cost Centre],"ONSITE")&gt;0,"ONSITE ","")&amp;IF(COUNTIFS(tbl_Finance[Job Number],C161&amp;"",tbl_Finance[Cost Centre],"PRODUCTION")&gt;0,"PRODUCTION ","")&amp;IF(COUNTIFS(tbl_Finance[Job Number],C161&amp;"",tbl_Finance[Cost Centre],"VIDEO")&gt;0,"VIDEO ","")&amp;IF(COUNTIFS(tbl_Finance[Job Number],C161&amp;"",tbl_Finance[Cost Centre],"INTEGRATION")&gt;0,"INTEGRATION ","")&amp;IF(COUNTIFS(tbl_Finance[Job Number],C161&amp;"",tbl_Finance[Cost Centre],"CONSULTING")&gt;0,"CONSULTING ","")&amp;IF(COUNTIFS(tbl_Finance[Job Number],C161&amp;"",tbl_Finance[Cost Centre],"CTS")&gt;0,"CTS ",""))," ",", ")))</f>
        <v/>
      </c>
      <c r="L161" s="27">
        <f>IF(C161="","",SUMIFS(tbl_Finance[Inc GST],tbl_Finance[Job Number],C161&amp;""))</f>
        <v/>
      </c>
      <c r="M161" s="24" t="n"/>
      <c r="N161" s="25">
        <f>IF(C161="","",IFERROR(INDEX(tbl_Finance[Description],MATCH(C161&amp;"",tbl_Finance[Job Number],0)),""))</f>
        <v/>
      </c>
      <c r="O161" s="24" t="n"/>
      <c r="P161" s="24" t="n"/>
      <c r="Q161" s="22" t="n"/>
      <c r="R161" s="24" t="n"/>
      <c r="S161" s="25">
        <f>IF(R161="","",IF(AND(LEFT(R161,4)&lt;&gt;"http",set_RMSBase=""),"",HYPERLINK(IF(LEFT(R161,4)="http",R161,set_RMSBase&amp;R161),"Open opportunity")))</f>
        <v/>
      </c>
      <c r="T161" s="24" t="n"/>
      <c r="U161" s="25">
        <f>IF(T161="","",HYPERLINK(IF(LEFT(T161,4)="http",T161,set_QwilrBase&amp;T161),"Open quote"))</f>
        <v/>
      </c>
      <c r="V161" s="25">
        <f>IF(C161="","",C161)</f>
        <v/>
      </c>
      <c r="W161" s="24" t="n"/>
      <c r="X161" s="26" t="n"/>
      <c r="Y161" s="27">
        <f>IF(C161="","",H161+N(X161))</f>
        <v/>
      </c>
      <c r="Z161" s="29">
        <f>IFERROR(X161/Y161,"")</f>
        <v/>
      </c>
      <c r="AA161" s="26" t="n"/>
      <c r="AB161" s="26" t="n"/>
      <c r="AC161" s="26" t="n"/>
      <c r="AD161" s="26" t="n"/>
      <c r="AE161" s="27">
        <f>IF(C161="","",SUMIFS(tbl_Finance[Ex GST],tbl_Finance[Job Number],C161&amp;"",tbl_Finance[Cost Centre],"VIDEO"))</f>
        <v/>
      </c>
      <c r="AF161" s="29">
        <f>IFERROR(AE161/H161,"")</f>
        <v/>
      </c>
      <c r="AG161" s="27">
        <f>IF(C161="","",N(AA161)+N(AB161)+N(AC161)+N(AD161))</f>
        <v/>
      </c>
      <c r="AH161" s="27">
        <f>IF(C161="","",H161-AG161)</f>
        <v/>
      </c>
      <c r="AI161" s="29">
        <f>IFERROR(AH161/H161,"")</f>
        <v/>
      </c>
      <c r="AJ161" s="69" t="n"/>
      <c r="AK161" s="69" t="n"/>
      <c r="AL161" s="69" t="n"/>
      <c r="AM161" s="69" t="n"/>
      <c r="AN161" s="69" t="n"/>
      <c r="AO161" s="24" t="n"/>
    </row>
    <row r="162" ht="15" customHeight="1">
      <c r="A162" s="68">
        <f>IF(C162="","",IFERROR(IF(SUMPRODUCT(MAX((tbl_Finance[Job Number]=C162&amp;"")*(tbl_Finance[Xero Invoice No]&lt;&gt;"")*tbl_Finance[Date]))=0,"",SUMPRODUCT(MAX((tbl_Finance[Job Number]=C162&amp;"")*(tbl_Finance[Xero Invoice No]&lt;&gt;"")*tbl_Finance[Date]))),""))</f>
        <v/>
      </c>
      <c r="B162" s="25">
        <f>IF(C162="","",IF(COUNTIFS(tbl_Finance[Job Number],C162&amp;"",tbl_Finance[Xero Invoice No],"&lt;&gt;")=0,"",IFERROR(IF(COUNTIFS(tbl_Finance[Job Number],C162&amp;"",tbl_Finance[Xero Invoice No],LOOKUP(2,1/((tbl_Finance[Job Number]=C162&amp;"")*(tbl_Finance[Xero Invoice No]&lt;&gt;"")),tbl_Finance[Xero Invoice No]))=COUNTIFS(tbl_Finance[Job Number],C162&amp;"",tbl_Finance[Xero Invoice No],"&lt;&gt;"),LOOKUP(2,1/((tbl_Finance[Job Number]=C162&amp;"")*(tbl_Finance[Xero Invoice No]&lt;&gt;"")),tbl_Finance[Xero Invoice No]),LOOKUP(2,1/((tbl_Finance[Job Number]=C162&amp;"")*(tbl_Finance[Xero Invoice No]&lt;&gt;"")),tbl_Finance[Xero Invoice No])&amp;" +more"),"")))</f>
        <v/>
      </c>
      <c r="C162" s="24" t="n"/>
      <c r="D162" s="25">
        <f>IF(C162="","",IF(COUNTIF(lst_Jobs,C162&amp;"")&gt;0,"OK","CHECK"))</f>
        <v/>
      </c>
      <c r="E162" s="25">
        <f>IF(C162="","",IFERROR(INDEX(lst_JobName,MATCH(C162&amp;"",lst_Jobs,0)),""))</f>
        <v/>
      </c>
      <c r="F162" s="25">
        <f>IF(C162="","",IFERROR(INDEX(tbl_Finance[Client],MATCH(C162&amp;"",tbl_Finance[Job Number],0)),""))</f>
        <v/>
      </c>
      <c r="G162" s="28">
        <f>IF(C162="","",COUNTIFS(tbl_Finance[Job Number],C162&amp;"",tbl_Finance[Ex GST],"&lt;&gt;"))</f>
        <v/>
      </c>
      <c r="H162" s="27">
        <f>IF(C162="","",SUMIFS(tbl_Finance[Ex GST],tbl_Finance[Job Number],C162&amp;""))</f>
        <v/>
      </c>
      <c r="I162" s="27">
        <f>IF(C162="","",SUMIFS(tbl_Finance[Ex GST],tbl_Finance[Job Number],C162&amp;"",tbl_Finance[Xero Invoice No],"&lt;&gt;"))</f>
        <v/>
      </c>
      <c r="J162" s="27">
        <f>IF(C162="","",H162-I162)</f>
        <v/>
      </c>
      <c r="K162" s="25">
        <f>IF(C162="","",IF(G162=0,"not invoiced yet",SUBSTITUTE(TRIM(IF(COUNTIFS(tbl_Finance[Job Number],C162&amp;"",tbl_Finance[Cost Centre],"ONSITE")&gt;0,"ONSITE ","")&amp;IF(COUNTIFS(tbl_Finance[Job Number],C162&amp;"",tbl_Finance[Cost Centre],"PRODUCTION")&gt;0,"PRODUCTION ","")&amp;IF(COUNTIFS(tbl_Finance[Job Number],C162&amp;"",tbl_Finance[Cost Centre],"VIDEO")&gt;0,"VIDEO ","")&amp;IF(COUNTIFS(tbl_Finance[Job Number],C162&amp;"",tbl_Finance[Cost Centre],"INTEGRATION")&gt;0,"INTEGRATION ","")&amp;IF(COUNTIFS(tbl_Finance[Job Number],C162&amp;"",tbl_Finance[Cost Centre],"CONSULTING")&gt;0,"CONSULTING ","")&amp;IF(COUNTIFS(tbl_Finance[Job Number],C162&amp;"",tbl_Finance[Cost Centre],"CTS")&gt;0,"CTS ",""))," ",", ")))</f>
        <v/>
      </c>
      <c r="L162" s="27">
        <f>IF(C162="","",SUMIFS(tbl_Finance[Inc GST],tbl_Finance[Job Number],C162&amp;""))</f>
        <v/>
      </c>
      <c r="M162" s="24" t="n"/>
      <c r="N162" s="25">
        <f>IF(C162="","",IFERROR(INDEX(tbl_Finance[Description],MATCH(C162&amp;"",tbl_Finance[Job Number],0)),""))</f>
        <v/>
      </c>
      <c r="O162" s="24" t="n"/>
      <c r="P162" s="24" t="n"/>
      <c r="Q162" s="22" t="n"/>
      <c r="R162" s="24" t="n"/>
      <c r="S162" s="25">
        <f>IF(R162="","",IF(AND(LEFT(R162,4)&lt;&gt;"http",set_RMSBase=""),"",HYPERLINK(IF(LEFT(R162,4)="http",R162,set_RMSBase&amp;R162),"Open opportunity")))</f>
        <v/>
      </c>
      <c r="T162" s="24" t="n"/>
      <c r="U162" s="25">
        <f>IF(T162="","",HYPERLINK(IF(LEFT(T162,4)="http",T162,set_QwilrBase&amp;T162),"Open quote"))</f>
        <v/>
      </c>
      <c r="V162" s="25">
        <f>IF(C162="","",C162)</f>
        <v/>
      </c>
      <c r="W162" s="24" t="n"/>
      <c r="X162" s="26" t="n"/>
      <c r="Y162" s="27">
        <f>IF(C162="","",H162+N(X162))</f>
        <v/>
      </c>
      <c r="Z162" s="29">
        <f>IFERROR(X162/Y162,"")</f>
        <v/>
      </c>
      <c r="AA162" s="26" t="n"/>
      <c r="AB162" s="26" t="n"/>
      <c r="AC162" s="26" t="n"/>
      <c r="AD162" s="26" t="n"/>
      <c r="AE162" s="27">
        <f>IF(C162="","",SUMIFS(tbl_Finance[Ex GST],tbl_Finance[Job Number],C162&amp;"",tbl_Finance[Cost Centre],"VIDEO"))</f>
        <v/>
      </c>
      <c r="AF162" s="29">
        <f>IFERROR(AE162/H162,"")</f>
        <v/>
      </c>
      <c r="AG162" s="27">
        <f>IF(C162="","",N(AA162)+N(AB162)+N(AC162)+N(AD162))</f>
        <v/>
      </c>
      <c r="AH162" s="27">
        <f>IF(C162="","",H162-AG162)</f>
        <v/>
      </c>
      <c r="AI162" s="29">
        <f>IFERROR(AH162/H162,"")</f>
        <v/>
      </c>
      <c r="AJ162" s="69" t="n"/>
      <c r="AK162" s="69" t="n"/>
      <c r="AL162" s="69" t="n"/>
      <c r="AM162" s="69" t="n"/>
      <c r="AN162" s="69" t="n"/>
      <c r="AO162" s="24" t="n"/>
    </row>
    <row r="163" ht="15" customHeight="1">
      <c r="A163" s="68">
        <f>IF(C163="","",IFERROR(IF(SUMPRODUCT(MAX((tbl_Finance[Job Number]=C163&amp;"")*(tbl_Finance[Xero Invoice No]&lt;&gt;"")*tbl_Finance[Date]))=0,"",SUMPRODUCT(MAX((tbl_Finance[Job Number]=C163&amp;"")*(tbl_Finance[Xero Invoice No]&lt;&gt;"")*tbl_Finance[Date]))),""))</f>
        <v/>
      </c>
      <c r="B163" s="25">
        <f>IF(C163="","",IF(COUNTIFS(tbl_Finance[Job Number],C163&amp;"",tbl_Finance[Xero Invoice No],"&lt;&gt;")=0,"",IFERROR(IF(COUNTIFS(tbl_Finance[Job Number],C163&amp;"",tbl_Finance[Xero Invoice No],LOOKUP(2,1/((tbl_Finance[Job Number]=C163&amp;"")*(tbl_Finance[Xero Invoice No]&lt;&gt;"")),tbl_Finance[Xero Invoice No]))=COUNTIFS(tbl_Finance[Job Number],C163&amp;"",tbl_Finance[Xero Invoice No],"&lt;&gt;"),LOOKUP(2,1/((tbl_Finance[Job Number]=C163&amp;"")*(tbl_Finance[Xero Invoice No]&lt;&gt;"")),tbl_Finance[Xero Invoice No]),LOOKUP(2,1/((tbl_Finance[Job Number]=C163&amp;"")*(tbl_Finance[Xero Invoice No]&lt;&gt;"")),tbl_Finance[Xero Invoice No])&amp;" +more"),"")))</f>
        <v/>
      </c>
      <c r="C163" s="24" t="n"/>
      <c r="D163" s="25">
        <f>IF(C163="","",IF(COUNTIF(lst_Jobs,C163&amp;"")&gt;0,"OK","CHECK"))</f>
        <v/>
      </c>
      <c r="E163" s="25">
        <f>IF(C163="","",IFERROR(INDEX(lst_JobName,MATCH(C163&amp;"",lst_Jobs,0)),""))</f>
        <v/>
      </c>
      <c r="F163" s="25">
        <f>IF(C163="","",IFERROR(INDEX(tbl_Finance[Client],MATCH(C163&amp;"",tbl_Finance[Job Number],0)),""))</f>
        <v/>
      </c>
      <c r="G163" s="28">
        <f>IF(C163="","",COUNTIFS(tbl_Finance[Job Number],C163&amp;"",tbl_Finance[Ex GST],"&lt;&gt;"))</f>
        <v/>
      </c>
      <c r="H163" s="27">
        <f>IF(C163="","",SUMIFS(tbl_Finance[Ex GST],tbl_Finance[Job Number],C163&amp;""))</f>
        <v/>
      </c>
      <c r="I163" s="27">
        <f>IF(C163="","",SUMIFS(tbl_Finance[Ex GST],tbl_Finance[Job Number],C163&amp;"",tbl_Finance[Xero Invoice No],"&lt;&gt;"))</f>
        <v/>
      </c>
      <c r="J163" s="27">
        <f>IF(C163="","",H163-I163)</f>
        <v/>
      </c>
      <c r="K163" s="25">
        <f>IF(C163="","",IF(G163=0,"not invoiced yet",SUBSTITUTE(TRIM(IF(COUNTIFS(tbl_Finance[Job Number],C163&amp;"",tbl_Finance[Cost Centre],"ONSITE")&gt;0,"ONSITE ","")&amp;IF(COUNTIFS(tbl_Finance[Job Number],C163&amp;"",tbl_Finance[Cost Centre],"PRODUCTION")&gt;0,"PRODUCTION ","")&amp;IF(COUNTIFS(tbl_Finance[Job Number],C163&amp;"",tbl_Finance[Cost Centre],"VIDEO")&gt;0,"VIDEO ","")&amp;IF(COUNTIFS(tbl_Finance[Job Number],C163&amp;"",tbl_Finance[Cost Centre],"INTEGRATION")&gt;0,"INTEGRATION ","")&amp;IF(COUNTIFS(tbl_Finance[Job Number],C163&amp;"",tbl_Finance[Cost Centre],"CONSULTING")&gt;0,"CONSULTING ","")&amp;IF(COUNTIFS(tbl_Finance[Job Number],C163&amp;"",tbl_Finance[Cost Centre],"CTS")&gt;0,"CTS ",""))," ",", ")))</f>
        <v/>
      </c>
      <c r="L163" s="27">
        <f>IF(C163="","",SUMIFS(tbl_Finance[Inc GST],tbl_Finance[Job Number],C163&amp;""))</f>
        <v/>
      </c>
      <c r="M163" s="24" t="n"/>
      <c r="N163" s="25">
        <f>IF(C163="","",IFERROR(INDEX(tbl_Finance[Description],MATCH(C163&amp;"",tbl_Finance[Job Number],0)),""))</f>
        <v/>
      </c>
      <c r="O163" s="24" t="n"/>
      <c r="P163" s="24" t="n"/>
      <c r="Q163" s="22" t="n"/>
      <c r="R163" s="24" t="n"/>
      <c r="S163" s="25">
        <f>IF(R163="","",IF(AND(LEFT(R163,4)&lt;&gt;"http",set_RMSBase=""),"",HYPERLINK(IF(LEFT(R163,4)="http",R163,set_RMSBase&amp;R163),"Open opportunity")))</f>
        <v/>
      </c>
      <c r="T163" s="24" t="n"/>
      <c r="U163" s="25">
        <f>IF(T163="","",HYPERLINK(IF(LEFT(T163,4)="http",T163,set_QwilrBase&amp;T163),"Open quote"))</f>
        <v/>
      </c>
      <c r="V163" s="25">
        <f>IF(C163="","",C163)</f>
        <v/>
      </c>
      <c r="W163" s="24" t="n"/>
      <c r="X163" s="26" t="n"/>
      <c r="Y163" s="27">
        <f>IF(C163="","",H163+N(X163))</f>
        <v/>
      </c>
      <c r="Z163" s="29">
        <f>IFERROR(X163/Y163,"")</f>
        <v/>
      </c>
      <c r="AA163" s="26" t="n"/>
      <c r="AB163" s="26" t="n"/>
      <c r="AC163" s="26" t="n"/>
      <c r="AD163" s="26" t="n"/>
      <c r="AE163" s="27">
        <f>IF(C163="","",SUMIFS(tbl_Finance[Ex GST],tbl_Finance[Job Number],C163&amp;"",tbl_Finance[Cost Centre],"VIDEO"))</f>
        <v/>
      </c>
      <c r="AF163" s="29">
        <f>IFERROR(AE163/H163,"")</f>
        <v/>
      </c>
      <c r="AG163" s="27">
        <f>IF(C163="","",N(AA163)+N(AB163)+N(AC163)+N(AD163))</f>
        <v/>
      </c>
      <c r="AH163" s="27">
        <f>IF(C163="","",H163-AG163)</f>
        <v/>
      </c>
      <c r="AI163" s="29">
        <f>IFERROR(AH163/H163,"")</f>
        <v/>
      </c>
      <c r="AJ163" s="69" t="n"/>
      <c r="AK163" s="69" t="n"/>
      <c r="AL163" s="69" t="n"/>
      <c r="AM163" s="69" t="n"/>
      <c r="AN163" s="69" t="n"/>
      <c r="AO163" s="24" t="n"/>
    </row>
    <row r="164" ht="15" customHeight="1">
      <c r="A164" s="68">
        <f>IF(C164="","",IFERROR(IF(SUMPRODUCT(MAX((tbl_Finance[Job Number]=C164&amp;"")*(tbl_Finance[Xero Invoice No]&lt;&gt;"")*tbl_Finance[Date]))=0,"",SUMPRODUCT(MAX((tbl_Finance[Job Number]=C164&amp;"")*(tbl_Finance[Xero Invoice No]&lt;&gt;"")*tbl_Finance[Date]))),""))</f>
        <v/>
      </c>
      <c r="B164" s="25">
        <f>IF(C164="","",IF(COUNTIFS(tbl_Finance[Job Number],C164&amp;"",tbl_Finance[Xero Invoice No],"&lt;&gt;")=0,"",IFERROR(IF(COUNTIFS(tbl_Finance[Job Number],C164&amp;"",tbl_Finance[Xero Invoice No],LOOKUP(2,1/((tbl_Finance[Job Number]=C164&amp;"")*(tbl_Finance[Xero Invoice No]&lt;&gt;"")),tbl_Finance[Xero Invoice No]))=COUNTIFS(tbl_Finance[Job Number],C164&amp;"",tbl_Finance[Xero Invoice No],"&lt;&gt;"),LOOKUP(2,1/((tbl_Finance[Job Number]=C164&amp;"")*(tbl_Finance[Xero Invoice No]&lt;&gt;"")),tbl_Finance[Xero Invoice No]),LOOKUP(2,1/((tbl_Finance[Job Number]=C164&amp;"")*(tbl_Finance[Xero Invoice No]&lt;&gt;"")),tbl_Finance[Xero Invoice No])&amp;" +more"),"")))</f>
        <v/>
      </c>
      <c r="C164" s="24" t="n"/>
      <c r="D164" s="25">
        <f>IF(C164="","",IF(COUNTIF(lst_Jobs,C164&amp;"")&gt;0,"OK","CHECK"))</f>
        <v/>
      </c>
      <c r="E164" s="25">
        <f>IF(C164="","",IFERROR(INDEX(lst_JobName,MATCH(C164&amp;"",lst_Jobs,0)),""))</f>
        <v/>
      </c>
      <c r="F164" s="25">
        <f>IF(C164="","",IFERROR(INDEX(tbl_Finance[Client],MATCH(C164&amp;"",tbl_Finance[Job Number],0)),""))</f>
        <v/>
      </c>
      <c r="G164" s="28">
        <f>IF(C164="","",COUNTIFS(tbl_Finance[Job Number],C164&amp;"",tbl_Finance[Ex GST],"&lt;&gt;"))</f>
        <v/>
      </c>
      <c r="H164" s="27">
        <f>IF(C164="","",SUMIFS(tbl_Finance[Ex GST],tbl_Finance[Job Number],C164&amp;""))</f>
        <v/>
      </c>
      <c r="I164" s="27">
        <f>IF(C164="","",SUMIFS(tbl_Finance[Ex GST],tbl_Finance[Job Number],C164&amp;"",tbl_Finance[Xero Invoice No],"&lt;&gt;"))</f>
        <v/>
      </c>
      <c r="J164" s="27">
        <f>IF(C164="","",H164-I164)</f>
        <v/>
      </c>
      <c r="K164" s="25">
        <f>IF(C164="","",IF(G164=0,"not invoiced yet",SUBSTITUTE(TRIM(IF(COUNTIFS(tbl_Finance[Job Number],C164&amp;"",tbl_Finance[Cost Centre],"ONSITE")&gt;0,"ONSITE ","")&amp;IF(COUNTIFS(tbl_Finance[Job Number],C164&amp;"",tbl_Finance[Cost Centre],"PRODUCTION")&gt;0,"PRODUCTION ","")&amp;IF(COUNTIFS(tbl_Finance[Job Number],C164&amp;"",tbl_Finance[Cost Centre],"VIDEO")&gt;0,"VIDEO ","")&amp;IF(COUNTIFS(tbl_Finance[Job Number],C164&amp;"",tbl_Finance[Cost Centre],"INTEGRATION")&gt;0,"INTEGRATION ","")&amp;IF(COUNTIFS(tbl_Finance[Job Number],C164&amp;"",tbl_Finance[Cost Centre],"CONSULTING")&gt;0,"CONSULTING ","")&amp;IF(COUNTIFS(tbl_Finance[Job Number],C164&amp;"",tbl_Finance[Cost Centre],"CTS")&gt;0,"CTS ",""))," ",", ")))</f>
        <v/>
      </c>
      <c r="L164" s="27">
        <f>IF(C164="","",SUMIFS(tbl_Finance[Inc GST],tbl_Finance[Job Number],C164&amp;""))</f>
        <v/>
      </c>
      <c r="M164" s="24" t="n"/>
      <c r="N164" s="25">
        <f>IF(C164="","",IFERROR(INDEX(tbl_Finance[Description],MATCH(C164&amp;"",tbl_Finance[Job Number],0)),""))</f>
        <v/>
      </c>
      <c r="O164" s="24" t="n"/>
      <c r="P164" s="24" t="n"/>
      <c r="Q164" s="22" t="n"/>
      <c r="R164" s="24" t="n"/>
      <c r="S164" s="25">
        <f>IF(R164="","",IF(AND(LEFT(R164,4)&lt;&gt;"http",set_RMSBase=""),"",HYPERLINK(IF(LEFT(R164,4)="http",R164,set_RMSBase&amp;R164),"Open opportunity")))</f>
        <v/>
      </c>
      <c r="T164" s="24" t="n"/>
      <c r="U164" s="25">
        <f>IF(T164="","",HYPERLINK(IF(LEFT(T164,4)="http",T164,set_QwilrBase&amp;T164),"Open quote"))</f>
        <v/>
      </c>
      <c r="V164" s="25">
        <f>IF(C164="","",C164)</f>
        <v/>
      </c>
      <c r="W164" s="24" t="n"/>
      <c r="X164" s="26" t="n"/>
      <c r="Y164" s="27">
        <f>IF(C164="","",H164+N(X164))</f>
        <v/>
      </c>
      <c r="Z164" s="29">
        <f>IFERROR(X164/Y164,"")</f>
        <v/>
      </c>
      <c r="AA164" s="26" t="n"/>
      <c r="AB164" s="26" t="n"/>
      <c r="AC164" s="26" t="n"/>
      <c r="AD164" s="26" t="n"/>
      <c r="AE164" s="27">
        <f>IF(C164="","",SUMIFS(tbl_Finance[Ex GST],tbl_Finance[Job Number],C164&amp;"",tbl_Finance[Cost Centre],"VIDEO"))</f>
        <v/>
      </c>
      <c r="AF164" s="29">
        <f>IFERROR(AE164/H164,"")</f>
        <v/>
      </c>
      <c r="AG164" s="27">
        <f>IF(C164="","",N(AA164)+N(AB164)+N(AC164)+N(AD164))</f>
        <v/>
      </c>
      <c r="AH164" s="27">
        <f>IF(C164="","",H164-AG164)</f>
        <v/>
      </c>
      <c r="AI164" s="29">
        <f>IFERROR(AH164/H164,"")</f>
        <v/>
      </c>
      <c r="AJ164" s="69" t="n"/>
      <c r="AK164" s="69" t="n"/>
      <c r="AL164" s="69" t="n"/>
      <c r="AM164" s="69" t="n"/>
      <c r="AN164" s="69" t="n"/>
      <c r="AO164" s="24" t="n"/>
    </row>
    <row r="165" ht="15" customHeight="1">
      <c r="A165" s="68">
        <f>IF(C165="","",IFERROR(IF(SUMPRODUCT(MAX((tbl_Finance[Job Number]=C165&amp;"")*(tbl_Finance[Xero Invoice No]&lt;&gt;"")*tbl_Finance[Date]))=0,"",SUMPRODUCT(MAX((tbl_Finance[Job Number]=C165&amp;"")*(tbl_Finance[Xero Invoice No]&lt;&gt;"")*tbl_Finance[Date]))),""))</f>
        <v/>
      </c>
      <c r="B165" s="25">
        <f>IF(C165="","",IF(COUNTIFS(tbl_Finance[Job Number],C165&amp;"",tbl_Finance[Xero Invoice No],"&lt;&gt;")=0,"",IFERROR(IF(COUNTIFS(tbl_Finance[Job Number],C165&amp;"",tbl_Finance[Xero Invoice No],LOOKUP(2,1/((tbl_Finance[Job Number]=C165&amp;"")*(tbl_Finance[Xero Invoice No]&lt;&gt;"")),tbl_Finance[Xero Invoice No]))=COUNTIFS(tbl_Finance[Job Number],C165&amp;"",tbl_Finance[Xero Invoice No],"&lt;&gt;"),LOOKUP(2,1/((tbl_Finance[Job Number]=C165&amp;"")*(tbl_Finance[Xero Invoice No]&lt;&gt;"")),tbl_Finance[Xero Invoice No]),LOOKUP(2,1/((tbl_Finance[Job Number]=C165&amp;"")*(tbl_Finance[Xero Invoice No]&lt;&gt;"")),tbl_Finance[Xero Invoice No])&amp;" +more"),"")))</f>
        <v/>
      </c>
      <c r="C165" s="24" t="n"/>
      <c r="D165" s="25">
        <f>IF(C165="","",IF(COUNTIF(lst_Jobs,C165&amp;"")&gt;0,"OK","CHECK"))</f>
        <v/>
      </c>
      <c r="E165" s="25">
        <f>IF(C165="","",IFERROR(INDEX(lst_JobName,MATCH(C165&amp;"",lst_Jobs,0)),""))</f>
        <v/>
      </c>
      <c r="F165" s="25">
        <f>IF(C165="","",IFERROR(INDEX(tbl_Finance[Client],MATCH(C165&amp;"",tbl_Finance[Job Number],0)),""))</f>
        <v/>
      </c>
      <c r="G165" s="28">
        <f>IF(C165="","",COUNTIFS(tbl_Finance[Job Number],C165&amp;"",tbl_Finance[Ex GST],"&lt;&gt;"))</f>
        <v/>
      </c>
      <c r="H165" s="27">
        <f>IF(C165="","",SUMIFS(tbl_Finance[Ex GST],tbl_Finance[Job Number],C165&amp;""))</f>
        <v/>
      </c>
      <c r="I165" s="27">
        <f>IF(C165="","",SUMIFS(tbl_Finance[Ex GST],tbl_Finance[Job Number],C165&amp;"",tbl_Finance[Xero Invoice No],"&lt;&gt;"))</f>
        <v/>
      </c>
      <c r="J165" s="27">
        <f>IF(C165="","",H165-I165)</f>
        <v/>
      </c>
      <c r="K165" s="25">
        <f>IF(C165="","",IF(G165=0,"not invoiced yet",SUBSTITUTE(TRIM(IF(COUNTIFS(tbl_Finance[Job Number],C165&amp;"",tbl_Finance[Cost Centre],"ONSITE")&gt;0,"ONSITE ","")&amp;IF(COUNTIFS(tbl_Finance[Job Number],C165&amp;"",tbl_Finance[Cost Centre],"PRODUCTION")&gt;0,"PRODUCTION ","")&amp;IF(COUNTIFS(tbl_Finance[Job Number],C165&amp;"",tbl_Finance[Cost Centre],"VIDEO")&gt;0,"VIDEO ","")&amp;IF(COUNTIFS(tbl_Finance[Job Number],C165&amp;"",tbl_Finance[Cost Centre],"INTEGRATION")&gt;0,"INTEGRATION ","")&amp;IF(COUNTIFS(tbl_Finance[Job Number],C165&amp;"",tbl_Finance[Cost Centre],"CONSULTING")&gt;0,"CONSULTING ","")&amp;IF(COUNTIFS(tbl_Finance[Job Number],C165&amp;"",tbl_Finance[Cost Centre],"CTS")&gt;0,"CTS ",""))," ",", ")))</f>
        <v/>
      </c>
      <c r="L165" s="27">
        <f>IF(C165="","",SUMIFS(tbl_Finance[Inc GST],tbl_Finance[Job Number],C165&amp;""))</f>
        <v/>
      </c>
      <c r="M165" s="24" t="n"/>
      <c r="N165" s="25">
        <f>IF(C165="","",IFERROR(INDEX(tbl_Finance[Description],MATCH(C165&amp;"",tbl_Finance[Job Number],0)),""))</f>
        <v/>
      </c>
      <c r="O165" s="24" t="n"/>
      <c r="P165" s="24" t="n"/>
      <c r="Q165" s="22" t="n"/>
      <c r="R165" s="24" t="n"/>
      <c r="S165" s="25">
        <f>IF(R165="","",IF(AND(LEFT(R165,4)&lt;&gt;"http",set_RMSBase=""),"",HYPERLINK(IF(LEFT(R165,4)="http",R165,set_RMSBase&amp;R165),"Open opportunity")))</f>
        <v/>
      </c>
      <c r="T165" s="24" t="n"/>
      <c r="U165" s="25">
        <f>IF(T165="","",HYPERLINK(IF(LEFT(T165,4)="http",T165,set_QwilrBase&amp;T165),"Open quote"))</f>
        <v/>
      </c>
      <c r="V165" s="25">
        <f>IF(C165="","",C165)</f>
        <v/>
      </c>
      <c r="W165" s="24" t="n"/>
      <c r="X165" s="26" t="n"/>
      <c r="Y165" s="27">
        <f>IF(C165="","",H165+N(X165))</f>
        <v/>
      </c>
      <c r="Z165" s="29">
        <f>IFERROR(X165/Y165,"")</f>
        <v/>
      </c>
      <c r="AA165" s="26" t="n"/>
      <c r="AB165" s="26" t="n"/>
      <c r="AC165" s="26" t="n"/>
      <c r="AD165" s="26" t="n"/>
      <c r="AE165" s="27">
        <f>IF(C165="","",SUMIFS(tbl_Finance[Ex GST],tbl_Finance[Job Number],C165&amp;"",tbl_Finance[Cost Centre],"VIDEO"))</f>
        <v/>
      </c>
      <c r="AF165" s="29">
        <f>IFERROR(AE165/H165,"")</f>
        <v/>
      </c>
      <c r="AG165" s="27">
        <f>IF(C165="","",N(AA165)+N(AB165)+N(AC165)+N(AD165))</f>
        <v/>
      </c>
      <c r="AH165" s="27">
        <f>IF(C165="","",H165-AG165)</f>
        <v/>
      </c>
      <c r="AI165" s="29">
        <f>IFERROR(AH165/H165,"")</f>
        <v/>
      </c>
      <c r="AJ165" s="69" t="n"/>
      <c r="AK165" s="69" t="n"/>
      <c r="AL165" s="69" t="n"/>
      <c r="AM165" s="69" t="n"/>
      <c r="AN165" s="69" t="n"/>
      <c r="AO165" s="24" t="n"/>
    </row>
    <row r="166" ht="15" customHeight="1">
      <c r="A166" s="68">
        <f>IF(C166="","",IFERROR(IF(SUMPRODUCT(MAX((tbl_Finance[Job Number]=C166&amp;"")*(tbl_Finance[Xero Invoice No]&lt;&gt;"")*tbl_Finance[Date]))=0,"",SUMPRODUCT(MAX((tbl_Finance[Job Number]=C166&amp;"")*(tbl_Finance[Xero Invoice No]&lt;&gt;"")*tbl_Finance[Date]))),""))</f>
        <v/>
      </c>
      <c r="B166" s="25">
        <f>IF(C166="","",IF(COUNTIFS(tbl_Finance[Job Number],C166&amp;"",tbl_Finance[Xero Invoice No],"&lt;&gt;")=0,"",IFERROR(IF(COUNTIFS(tbl_Finance[Job Number],C166&amp;"",tbl_Finance[Xero Invoice No],LOOKUP(2,1/((tbl_Finance[Job Number]=C166&amp;"")*(tbl_Finance[Xero Invoice No]&lt;&gt;"")),tbl_Finance[Xero Invoice No]))=COUNTIFS(tbl_Finance[Job Number],C166&amp;"",tbl_Finance[Xero Invoice No],"&lt;&gt;"),LOOKUP(2,1/((tbl_Finance[Job Number]=C166&amp;"")*(tbl_Finance[Xero Invoice No]&lt;&gt;"")),tbl_Finance[Xero Invoice No]),LOOKUP(2,1/((tbl_Finance[Job Number]=C166&amp;"")*(tbl_Finance[Xero Invoice No]&lt;&gt;"")),tbl_Finance[Xero Invoice No])&amp;" +more"),"")))</f>
        <v/>
      </c>
      <c r="C166" s="24" t="n"/>
      <c r="D166" s="25">
        <f>IF(C166="","",IF(COUNTIF(lst_Jobs,C166&amp;"")&gt;0,"OK","CHECK"))</f>
        <v/>
      </c>
      <c r="E166" s="25">
        <f>IF(C166="","",IFERROR(INDEX(lst_JobName,MATCH(C166&amp;"",lst_Jobs,0)),""))</f>
        <v/>
      </c>
      <c r="F166" s="25">
        <f>IF(C166="","",IFERROR(INDEX(tbl_Finance[Client],MATCH(C166&amp;"",tbl_Finance[Job Number],0)),""))</f>
        <v/>
      </c>
      <c r="G166" s="28">
        <f>IF(C166="","",COUNTIFS(tbl_Finance[Job Number],C166&amp;"",tbl_Finance[Ex GST],"&lt;&gt;"))</f>
        <v/>
      </c>
      <c r="H166" s="27">
        <f>IF(C166="","",SUMIFS(tbl_Finance[Ex GST],tbl_Finance[Job Number],C166&amp;""))</f>
        <v/>
      </c>
      <c r="I166" s="27">
        <f>IF(C166="","",SUMIFS(tbl_Finance[Ex GST],tbl_Finance[Job Number],C166&amp;"",tbl_Finance[Xero Invoice No],"&lt;&gt;"))</f>
        <v/>
      </c>
      <c r="J166" s="27">
        <f>IF(C166="","",H166-I166)</f>
        <v/>
      </c>
      <c r="K166" s="25">
        <f>IF(C166="","",IF(G166=0,"not invoiced yet",SUBSTITUTE(TRIM(IF(COUNTIFS(tbl_Finance[Job Number],C166&amp;"",tbl_Finance[Cost Centre],"ONSITE")&gt;0,"ONSITE ","")&amp;IF(COUNTIFS(tbl_Finance[Job Number],C166&amp;"",tbl_Finance[Cost Centre],"PRODUCTION")&gt;0,"PRODUCTION ","")&amp;IF(COUNTIFS(tbl_Finance[Job Number],C166&amp;"",tbl_Finance[Cost Centre],"VIDEO")&gt;0,"VIDEO ","")&amp;IF(COUNTIFS(tbl_Finance[Job Number],C166&amp;"",tbl_Finance[Cost Centre],"INTEGRATION")&gt;0,"INTEGRATION ","")&amp;IF(COUNTIFS(tbl_Finance[Job Number],C166&amp;"",tbl_Finance[Cost Centre],"CONSULTING")&gt;0,"CONSULTING ","")&amp;IF(COUNTIFS(tbl_Finance[Job Number],C166&amp;"",tbl_Finance[Cost Centre],"CTS")&gt;0,"CTS ",""))," ",", ")))</f>
        <v/>
      </c>
      <c r="L166" s="27">
        <f>IF(C166="","",SUMIFS(tbl_Finance[Inc GST],tbl_Finance[Job Number],C166&amp;""))</f>
        <v/>
      </c>
      <c r="M166" s="24" t="n"/>
      <c r="N166" s="25">
        <f>IF(C166="","",IFERROR(INDEX(tbl_Finance[Description],MATCH(C166&amp;"",tbl_Finance[Job Number],0)),""))</f>
        <v/>
      </c>
      <c r="O166" s="24" t="n"/>
      <c r="P166" s="24" t="n"/>
      <c r="Q166" s="22" t="n"/>
      <c r="R166" s="24" t="n"/>
      <c r="S166" s="25">
        <f>IF(R166="","",IF(AND(LEFT(R166,4)&lt;&gt;"http",set_RMSBase=""),"",HYPERLINK(IF(LEFT(R166,4)="http",R166,set_RMSBase&amp;R166),"Open opportunity")))</f>
        <v/>
      </c>
      <c r="T166" s="24" t="n"/>
      <c r="U166" s="25">
        <f>IF(T166="","",HYPERLINK(IF(LEFT(T166,4)="http",T166,set_QwilrBase&amp;T166),"Open quote"))</f>
        <v/>
      </c>
      <c r="V166" s="25">
        <f>IF(C166="","",C166)</f>
        <v/>
      </c>
      <c r="W166" s="24" t="n"/>
      <c r="X166" s="26" t="n"/>
      <c r="Y166" s="27">
        <f>IF(C166="","",H166+N(X166))</f>
        <v/>
      </c>
      <c r="Z166" s="29">
        <f>IFERROR(X166/Y166,"")</f>
        <v/>
      </c>
      <c r="AA166" s="26" t="n"/>
      <c r="AB166" s="26" t="n"/>
      <c r="AC166" s="26" t="n"/>
      <c r="AD166" s="26" t="n"/>
      <c r="AE166" s="27">
        <f>IF(C166="","",SUMIFS(tbl_Finance[Ex GST],tbl_Finance[Job Number],C166&amp;"",tbl_Finance[Cost Centre],"VIDEO"))</f>
        <v/>
      </c>
      <c r="AF166" s="29">
        <f>IFERROR(AE166/H166,"")</f>
        <v/>
      </c>
      <c r="AG166" s="27">
        <f>IF(C166="","",N(AA166)+N(AB166)+N(AC166)+N(AD166))</f>
        <v/>
      </c>
      <c r="AH166" s="27">
        <f>IF(C166="","",H166-AG166)</f>
        <v/>
      </c>
      <c r="AI166" s="29">
        <f>IFERROR(AH166/H166,"")</f>
        <v/>
      </c>
      <c r="AJ166" s="69" t="n"/>
      <c r="AK166" s="69" t="n"/>
      <c r="AL166" s="69" t="n"/>
      <c r="AM166" s="69" t="n"/>
      <c r="AN166" s="69" t="n"/>
      <c r="AO166" s="24" t="n"/>
    </row>
    <row r="167" ht="15" customHeight="1">
      <c r="A167" s="68">
        <f>IF(C167="","",IFERROR(IF(SUMPRODUCT(MAX((tbl_Finance[Job Number]=C167&amp;"")*(tbl_Finance[Xero Invoice No]&lt;&gt;"")*tbl_Finance[Date]))=0,"",SUMPRODUCT(MAX((tbl_Finance[Job Number]=C167&amp;"")*(tbl_Finance[Xero Invoice No]&lt;&gt;"")*tbl_Finance[Date]))),""))</f>
        <v/>
      </c>
      <c r="B167" s="25">
        <f>IF(C167="","",IF(COUNTIFS(tbl_Finance[Job Number],C167&amp;"",tbl_Finance[Xero Invoice No],"&lt;&gt;")=0,"",IFERROR(IF(COUNTIFS(tbl_Finance[Job Number],C167&amp;"",tbl_Finance[Xero Invoice No],LOOKUP(2,1/((tbl_Finance[Job Number]=C167&amp;"")*(tbl_Finance[Xero Invoice No]&lt;&gt;"")),tbl_Finance[Xero Invoice No]))=COUNTIFS(tbl_Finance[Job Number],C167&amp;"",tbl_Finance[Xero Invoice No],"&lt;&gt;"),LOOKUP(2,1/((tbl_Finance[Job Number]=C167&amp;"")*(tbl_Finance[Xero Invoice No]&lt;&gt;"")),tbl_Finance[Xero Invoice No]),LOOKUP(2,1/((tbl_Finance[Job Number]=C167&amp;"")*(tbl_Finance[Xero Invoice No]&lt;&gt;"")),tbl_Finance[Xero Invoice No])&amp;" +more"),"")))</f>
        <v/>
      </c>
      <c r="C167" s="24" t="n"/>
      <c r="D167" s="25">
        <f>IF(C167="","",IF(COUNTIF(lst_Jobs,C167&amp;"")&gt;0,"OK","CHECK"))</f>
        <v/>
      </c>
      <c r="E167" s="25">
        <f>IF(C167="","",IFERROR(INDEX(lst_JobName,MATCH(C167&amp;"",lst_Jobs,0)),""))</f>
        <v/>
      </c>
      <c r="F167" s="25">
        <f>IF(C167="","",IFERROR(INDEX(tbl_Finance[Client],MATCH(C167&amp;"",tbl_Finance[Job Number],0)),""))</f>
        <v/>
      </c>
      <c r="G167" s="28">
        <f>IF(C167="","",COUNTIFS(tbl_Finance[Job Number],C167&amp;"",tbl_Finance[Ex GST],"&lt;&gt;"))</f>
        <v/>
      </c>
      <c r="H167" s="27">
        <f>IF(C167="","",SUMIFS(tbl_Finance[Ex GST],tbl_Finance[Job Number],C167&amp;""))</f>
        <v/>
      </c>
      <c r="I167" s="27">
        <f>IF(C167="","",SUMIFS(tbl_Finance[Ex GST],tbl_Finance[Job Number],C167&amp;"",tbl_Finance[Xero Invoice No],"&lt;&gt;"))</f>
        <v/>
      </c>
      <c r="J167" s="27">
        <f>IF(C167="","",H167-I167)</f>
        <v/>
      </c>
      <c r="K167" s="25">
        <f>IF(C167="","",IF(G167=0,"not invoiced yet",SUBSTITUTE(TRIM(IF(COUNTIFS(tbl_Finance[Job Number],C167&amp;"",tbl_Finance[Cost Centre],"ONSITE")&gt;0,"ONSITE ","")&amp;IF(COUNTIFS(tbl_Finance[Job Number],C167&amp;"",tbl_Finance[Cost Centre],"PRODUCTION")&gt;0,"PRODUCTION ","")&amp;IF(COUNTIFS(tbl_Finance[Job Number],C167&amp;"",tbl_Finance[Cost Centre],"VIDEO")&gt;0,"VIDEO ","")&amp;IF(COUNTIFS(tbl_Finance[Job Number],C167&amp;"",tbl_Finance[Cost Centre],"INTEGRATION")&gt;0,"INTEGRATION ","")&amp;IF(COUNTIFS(tbl_Finance[Job Number],C167&amp;"",tbl_Finance[Cost Centre],"CONSULTING")&gt;0,"CONSULTING ","")&amp;IF(COUNTIFS(tbl_Finance[Job Number],C167&amp;"",tbl_Finance[Cost Centre],"CTS")&gt;0,"CTS ",""))," ",", ")))</f>
        <v/>
      </c>
      <c r="L167" s="27">
        <f>IF(C167="","",SUMIFS(tbl_Finance[Inc GST],tbl_Finance[Job Number],C167&amp;""))</f>
        <v/>
      </c>
      <c r="M167" s="24" t="n"/>
      <c r="N167" s="25">
        <f>IF(C167="","",IFERROR(INDEX(tbl_Finance[Description],MATCH(C167&amp;"",tbl_Finance[Job Number],0)),""))</f>
        <v/>
      </c>
      <c r="O167" s="24" t="n"/>
      <c r="P167" s="24" t="n"/>
      <c r="Q167" s="22" t="n"/>
      <c r="R167" s="24" t="n"/>
      <c r="S167" s="25">
        <f>IF(R167="","",IF(AND(LEFT(R167,4)&lt;&gt;"http",set_RMSBase=""),"",HYPERLINK(IF(LEFT(R167,4)="http",R167,set_RMSBase&amp;R167),"Open opportunity")))</f>
        <v/>
      </c>
      <c r="T167" s="24" t="n"/>
      <c r="U167" s="25">
        <f>IF(T167="","",HYPERLINK(IF(LEFT(T167,4)="http",T167,set_QwilrBase&amp;T167),"Open quote"))</f>
        <v/>
      </c>
      <c r="V167" s="25">
        <f>IF(C167="","",C167)</f>
        <v/>
      </c>
      <c r="W167" s="24" t="n"/>
      <c r="X167" s="26" t="n"/>
      <c r="Y167" s="27">
        <f>IF(C167="","",H167+N(X167))</f>
        <v/>
      </c>
      <c r="Z167" s="29">
        <f>IFERROR(X167/Y167,"")</f>
        <v/>
      </c>
      <c r="AA167" s="26" t="n"/>
      <c r="AB167" s="26" t="n"/>
      <c r="AC167" s="26" t="n"/>
      <c r="AD167" s="26" t="n"/>
      <c r="AE167" s="27">
        <f>IF(C167="","",SUMIFS(tbl_Finance[Ex GST],tbl_Finance[Job Number],C167&amp;"",tbl_Finance[Cost Centre],"VIDEO"))</f>
        <v/>
      </c>
      <c r="AF167" s="29">
        <f>IFERROR(AE167/H167,"")</f>
        <v/>
      </c>
      <c r="AG167" s="27">
        <f>IF(C167="","",N(AA167)+N(AB167)+N(AC167)+N(AD167))</f>
        <v/>
      </c>
      <c r="AH167" s="27">
        <f>IF(C167="","",H167-AG167)</f>
        <v/>
      </c>
      <c r="AI167" s="29">
        <f>IFERROR(AH167/H167,"")</f>
        <v/>
      </c>
      <c r="AJ167" s="69" t="n"/>
      <c r="AK167" s="69" t="n"/>
      <c r="AL167" s="69" t="n"/>
      <c r="AM167" s="69" t="n"/>
      <c r="AN167" s="69" t="n"/>
      <c r="AO167" s="24" t="n"/>
    </row>
    <row r="168" ht="15" customHeight="1">
      <c r="A168" s="68">
        <f>IF(C168="","",IFERROR(IF(SUMPRODUCT(MAX((tbl_Finance[Job Number]=C168&amp;"")*(tbl_Finance[Xero Invoice No]&lt;&gt;"")*tbl_Finance[Date]))=0,"",SUMPRODUCT(MAX((tbl_Finance[Job Number]=C168&amp;"")*(tbl_Finance[Xero Invoice No]&lt;&gt;"")*tbl_Finance[Date]))),""))</f>
        <v/>
      </c>
      <c r="B168" s="25">
        <f>IF(C168="","",IF(COUNTIFS(tbl_Finance[Job Number],C168&amp;"",tbl_Finance[Xero Invoice No],"&lt;&gt;")=0,"",IFERROR(IF(COUNTIFS(tbl_Finance[Job Number],C168&amp;"",tbl_Finance[Xero Invoice No],LOOKUP(2,1/((tbl_Finance[Job Number]=C168&amp;"")*(tbl_Finance[Xero Invoice No]&lt;&gt;"")),tbl_Finance[Xero Invoice No]))=COUNTIFS(tbl_Finance[Job Number],C168&amp;"",tbl_Finance[Xero Invoice No],"&lt;&gt;"),LOOKUP(2,1/((tbl_Finance[Job Number]=C168&amp;"")*(tbl_Finance[Xero Invoice No]&lt;&gt;"")),tbl_Finance[Xero Invoice No]),LOOKUP(2,1/((tbl_Finance[Job Number]=C168&amp;"")*(tbl_Finance[Xero Invoice No]&lt;&gt;"")),tbl_Finance[Xero Invoice No])&amp;" +more"),"")))</f>
        <v/>
      </c>
      <c r="C168" s="24" t="n"/>
      <c r="D168" s="25">
        <f>IF(C168="","",IF(COUNTIF(lst_Jobs,C168&amp;"")&gt;0,"OK","CHECK"))</f>
        <v/>
      </c>
      <c r="E168" s="25">
        <f>IF(C168="","",IFERROR(INDEX(lst_JobName,MATCH(C168&amp;"",lst_Jobs,0)),""))</f>
        <v/>
      </c>
      <c r="F168" s="25">
        <f>IF(C168="","",IFERROR(INDEX(tbl_Finance[Client],MATCH(C168&amp;"",tbl_Finance[Job Number],0)),""))</f>
        <v/>
      </c>
      <c r="G168" s="28">
        <f>IF(C168="","",COUNTIFS(tbl_Finance[Job Number],C168&amp;"",tbl_Finance[Ex GST],"&lt;&gt;"))</f>
        <v/>
      </c>
      <c r="H168" s="27">
        <f>IF(C168="","",SUMIFS(tbl_Finance[Ex GST],tbl_Finance[Job Number],C168&amp;""))</f>
        <v/>
      </c>
      <c r="I168" s="27">
        <f>IF(C168="","",SUMIFS(tbl_Finance[Ex GST],tbl_Finance[Job Number],C168&amp;"",tbl_Finance[Xero Invoice No],"&lt;&gt;"))</f>
        <v/>
      </c>
      <c r="J168" s="27">
        <f>IF(C168="","",H168-I168)</f>
        <v/>
      </c>
      <c r="K168" s="25">
        <f>IF(C168="","",IF(G168=0,"not invoiced yet",SUBSTITUTE(TRIM(IF(COUNTIFS(tbl_Finance[Job Number],C168&amp;"",tbl_Finance[Cost Centre],"ONSITE")&gt;0,"ONSITE ","")&amp;IF(COUNTIFS(tbl_Finance[Job Number],C168&amp;"",tbl_Finance[Cost Centre],"PRODUCTION")&gt;0,"PRODUCTION ","")&amp;IF(COUNTIFS(tbl_Finance[Job Number],C168&amp;"",tbl_Finance[Cost Centre],"VIDEO")&gt;0,"VIDEO ","")&amp;IF(COUNTIFS(tbl_Finance[Job Number],C168&amp;"",tbl_Finance[Cost Centre],"INTEGRATION")&gt;0,"INTEGRATION ","")&amp;IF(COUNTIFS(tbl_Finance[Job Number],C168&amp;"",tbl_Finance[Cost Centre],"CONSULTING")&gt;0,"CONSULTING ","")&amp;IF(COUNTIFS(tbl_Finance[Job Number],C168&amp;"",tbl_Finance[Cost Centre],"CTS")&gt;0,"CTS ",""))," ",", ")))</f>
        <v/>
      </c>
      <c r="L168" s="27">
        <f>IF(C168="","",SUMIFS(tbl_Finance[Inc GST],tbl_Finance[Job Number],C168&amp;""))</f>
        <v/>
      </c>
      <c r="M168" s="24" t="n"/>
      <c r="N168" s="25">
        <f>IF(C168="","",IFERROR(INDEX(tbl_Finance[Description],MATCH(C168&amp;"",tbl_Finance[Job Number],0)),""))</f>
        <v/>
      </c>
      <c r="O168" s="24" t="n"/>
      <c r="P168" s="24" t="n"/>
      <c r="Q168" s="22" t="n"/>
      <c r="R168" s="24" t="n"/>
      <c r="S168" s="25">
        <f>IF(R168="","",IF(AND(LEFT(R168,4)&lt;&gt;"http",set_RMSBase=""),"",HYPERLINK(IF(LEFT(R168,4)="http",R168,set_RMSBase&amp;R168),"Open opportunity")))</f>
        <v/>
      </c>
      <c r="T168" s="24" t="n"/>
      <c r="U168" s="25">
        <f>IF(T168="","",HYPERLINK(IF(LEFT(T168,4)="http",T168,set_QwilrBase&amp;T168),"Open quote"))</f>
        <v/>
      </c>
      <c r="V168" s="25">
        <f>IF(C168="","",C168)</f>
        <v/>
      </c>
      <c r="W168" s="24" t="n"/>
      <c r="X168" s="26" t="n"/>
      <c r="Y168" s="27">
        <f>IF(C168="","",H168+N(X168))</f>
        <v/>
      </c>
      <c r="Z168" s="29">
        <f>IFERROR(X168/Y168,"")</f>
        <v/>
      </c>
      <c r="AA168" s="26" t="n"/>
      <c r="AB168" s="26" t="n"/>
      <c r="AC168" s="26" t="n"/>
      <c r="AD168" s="26" t="n"/>
      <c r="AE168" s="27">
        <f>IF(C168="","",SUMIFS(tbl_Finance[Ex GST],tbl_Finance[Job Number],C168&amp;"",tbl_Finance[Cost Centre],"VIDEO"))</f>
        <v/>
      </c>
      <c r="AF168" s="29">
        <f>IFERROR(AE168/H168,"")</f>
        <v/>
      </c>
      <c r="AG168" s="27">
        <f>IF(C168="","",N(AA168)+N(AB168)+N(AC168)+N(AD168))</f>
        <v/>
      </c>
      <c r="AH168" s="27">
        <f>IF(C168="","",H168-AG168)</f>
        <v/>
      </c>
      <c r="AI168" s="29">
        <f>IFERROR(AH168/H168,"")</f>
        <v/>
      </c>
      <c r="AJ168" s="69" t="n"/>
      <c r="AK168" s="69" t="n"/>
      <c r="AL168" s="69" t="n"/>
      <c r="AM168" s="69" t="n"/>
      <c r="AN168" s="69" t="n"/>
      <c r="AO168" s="24" t="n"/>
    </row>
    <row r="169" ht="15" customHeight="1">
      <c r="A169" s="68">
        <f>IF(C169="","",IFERROR(IF(SUMPRODUCT(MAX((tbl_Finance[Job Number]=C169&amp;"")*(tbl_Finance[Xero Invoice No]&lt;&gt;"")*tbl_Finance[Date]))=0,"",SUMPRODUCT(MAX((tbl_Finance[Job Number]=C169&amp;"")*(tbl_Finance[Xero Invoice No]&lt;&gt;"")*tbl_Finance[Date]))),""))</f>
        <v/>
      </c>
      <c r="B169" s="25">
        <f>IF(C169="","",IF(COUNTIFS(tbl_Finance[Job Number],C169&amp;"",tbl_Finance[Xero Invoice No],"&lt;&gt;")=0,"",IFERROR(IF(COUNTIFS(tbl_Finance[Job Number],C169&amp;"",tbl_Finance[Xero Invoice No],LOOKUP(2,1/((tbl_Finance[Job Number]=C169&amp;"")*(tbl_Finance[Xero Invoice No]&lt;&gt;"")),tbl_Finance[Xero Invoice No]))=COUNTIFS(tbl_Finance[Job Number],C169&amp;"",tbl_Finance[Xero Invoice No],"&lt;&gt;"),LOOKUP(2,1/((tbl_Finance[Job Number]=C169&amp;"")*(tbl_Finance[Xero Invoice No]&lt;&gt;"")),tbl_Finance[Xero Invoice No]),LOOKUP(2,1/((tbl_Finance[Job Number]=C169&amp;"")*(tbl_Finance[Xero Invoice No]&lt;&gt;"")),tbl_Finance[Xero Invoice No])&amp;" +more"),"")))</f>
        <v/>
      </c>
      <c r="C169" s="24" t="n"/>
      <c r="D169" s="25">
        <f>IF(C169="","",IF(COUNTIF(lst_Jobs,C169&amp;"")&gt;0,"OK","CHECK"))</f>
        <v/>
      </c>
      <c r="E169" s="25">
        <f>IF(C169="","",IFERROR(INDEX(lst_JobName,MATCH(C169&amp;"",lst_Jobs,0)),""))</f>
        <v/>
      </c>
      <c r="F169" s="25">
        <f>IF(C169="","",IFERROR(INDEX(tbl_Finance[Client],MATCH(C169&amp;"",tbl_Finance[Job Number],0)),""))</f>
        <v/>
      </c>
      <c r="G169" s="28">
        <f>IF(C169="","",COUNTIFS(tbl_Finance[Job Number],C169&amp;"",tbl_Finance[Ex GST],"&lt;&gt;"))</f>
        <v/>
      </c>
      <c r="H169" s="27">
        <f>IF(C169="","",SUMIFS(tbl_Finance[Ex GST],tbl_Finance[Job Number],C169&amp;""))</f>
        <v/>
      </c>
      <c r="I169" s="27">
        <f>IF(C169="","",SUMIFS(tbl_Finance[Ex GST],tbl_Finance[Job Number],C169&amp;"",tbl_Finance[Xero Invoice No],"&lt;&gt;"))</f>
        <v/>
      </c>
      <c r="J169" s="27">
        <f>IF(C169="","",H169-I169)</f>
        <v/>
      </c>
      <c r="K169" s="25">
        <f>IF(C169="","",IF(G169=0,"not invoiced yet",SUBSTITUTE(TRIM(IF(COUNTIFS(tbl_Finance[Job Number],C169&amp;"",tbl_Finance[Cost Centre],"ONSITE")&gt;0,"ONSITE ","")&amp;IF(COUNTIFS(tbl_Finance[Job Number],C169&amp;"",tbl_Finance[Cost Centre],"PRODUCTION")&gt;0,"PRODUCTION ","")&amp;IF(COUNTIFS(tbl_Finance[Job Number],C169&amp;"",tbl_Finance[Cost Centre],"VIDEO")&gt;0,"VIDEO ","")&amp;IF(COUNTIFS(tbl_Finance[Job Number],C169&amp;"",tbl_Finance[Cost Centre],"INTEGRATION")&gt;0,"INTEGRATION ","")&amp;IF(COUNTIFS(tbl_Finance[Job Number],C169&amp;"",tbl_Finance[Cost Centre],"CONSULTING")&gt;0,"CONSULTING ","")&amp;IF(COUNTIFS(tbl_Finance[Job Number],C169&amp;"",tbl_Finance[Cost Centre],"CTS")&gt;0,"CTS ",""))," ",", ")))</f>
        <v/>
      </c>
      <c r="L169" s="27">
        <f>IF(C169="","",SUMIFS(tbl_Finance[Inc GST],tbl_Finance[Job Number],C169&amp;""))</f>
        <v/>
      </c>
      <c r="M169" s="24" t="n"/>
      <c r="N169" s="25">
        <f>IF(C169="","",IFERROR(INDEX(tbl_Finance[Description],MATCH(C169&amp;"",tbl_Finance[Job Number],0)),""))</f>
        <v/>
      </c>
      <c r="O169" s="24" t="n"/>
      <c r="P169" s="24" t="n"/>
      <c r="Q169" s="22" t="n"/>
      <c r="R169" s="24" t="n"/>
      <c r="S169" s="25">
        <f>IF(R169="","",IF(AND(LEFT(R169,4)&lt;&gt;"http",set_RMSBase=""),"",HYPERLINK(IF(LEFT(R169,4)="http",R169,set_RMSBase&amp;R169),"Open opportunity")))</f>
        <v/>
      </c>
      <c r="T169" s="24" t="n"/>
      <c r="U169" s="25">
        <f>IF(T169="","",HYPERLINK(IF(LEFT(T169,4)="http",T169,set_QwilrBase&amp;T169),"Open quote"))</f>
        <v/>
      </c>
      <c r="V169" s="25">
        <f>IF(C169="","",C169)</f>
        <v/>
      </c>
      <c r="W169" s="24" t="n"/>
      <c r="X169" s="26" t="n"/>
      <c r="Y169" s="27">
        <f>IF(C169="","",H169+N(X169))</f>
        <v/>
      </c>
      <c r="Z169" s="29">
        <f>IFERROR(X169/Y169,"")</f>
        <v/>
      </c>
      <c r="AA169" s="26" t="n"/>
      <c r="AB169" s="26" t="n"/>
      <c r="AC169" s="26" t="n"/>
      <c r="AD169" s="26" t="n"/>
      <c r="AE169" s="27">
        <f>IF(C169="","",SUMIFS(tbl_Finance[Ex GST],tbl_Finance[Job Number],C169&amp;"",tbl_Finance[Cost Centre],"VIDEO"))</f>
        <v/>
      </c>
      <c r="AF169" s="29">
        <f>IFERROR(AE169/H169,"")</f>
        <v/>
      </c>
      <c r="AG169" s="27">
        <f>IF(C169="","",N(AA169)+N(AB169)+N(AC169)+N(AD169))</f>
        <v/>
      </c>
      <c r="AH169" s="27">
        <f>IF(C169="","",H169-AG169)</f>
        <v/>
      </c>
      <c r="AI169" s="29">
        <f>IFERROR(AH169/H169,"")</f>
        <v/>
      </c>
      <c r="AJ169" s="69" t="n"/>
      <c r="AK169" s="69" t="n"/>
      <c r="AL169" s="69" t="n"/>
      <c r="AM169" s="69" t="n"/>
      <c r="AN169" s="69" t="n"/>
      <c r="AO169" s="24" t="n"/>
    </row>
    <row r="170" ht="15" customHeight="1">
      <c r="A170" s="68">
        <f>IF(C170="","",IFERROR(IF(SUMPRODUCT(MAX((tbl_Finance[Job Number]=C170&amp;"")*(tbl_Finance[Xero Invoice No]&lt;&gt;"")*tbl_Finance[Date]))=0,"",SUMPRODUCT(MAX((tbl_Finance[Job Number]=C170&amp;"")*(tbl_Finance[Xero Invoice No]&lt;&gt;"")*tbl_Finance[Date]))),""))</f>
        <v/>
      </c>
      <c r="B170" s="25">
        <f>IF(C170="","",IF(COUNTIFS(tbl_Finance[Job Number],C170&amp;"",tbl_Finance[Xero Invoice No],"&lt;&gt;")=0,"",IFERROR(IF(COUNTIFS(tbl_Finance[Job Number],C170&amp;"",tbl_Finance[Xero Invoice No],LOOKUP(2,1/((tbl_Finance[Job Number]=C170&amp;"")*(tbl_Finance[Xero Invoice No]&lt;&gt;"")),tbl_Finance[Xero Invoice No]))=COUNTIFS(tbl_Finance[Job Number],C170&amp;"",tbl_Finance[Xero Invoice No],"&lt;&gt;"),LOOKUP(2,1/((tbl_Finance[Job Number]=C170&amp;"")*(tbl_Finance[Xero Invoice No]&lt;&gt;"")),tbl_Finance[Xero Invoice No]),LOOKUP(2,1/((tbl_Finance[Job Number]=C170&amp;"")*(tbl_Finance[Xero Invoice No]&lt;&gt;"")),tbl_Finance[Xero Invoice No])&amp;" +more"),"")))</f>
        <v/>
      </c>
      <c r="C170" s="24" t="n"/>
      <c r="D170" s="25">
        <f>IF(C170="","",IF(COUNTIF(lst_Jobs,C170&amp;"")&gt;0,"OK","CHECK"))</f>
        <v/>
      </c>
      <c r="E170" s="25">
        <f>IF(C170="","",IFERROR(INDEX(lst_JobName,MATCH(C170&amp;"",lst_Jobs,0)),""))</f>
        <v/>
      </c>
      <c r="F170" s="25">
        <f>IF(C170="","",IFERROR(INDEX(tbl_Finance[Client],MATCH(C170&amp;"",tbl_Finance[Job Number],0)),""))</f>
        <v/>
      </c>
      <c r="G170" s="28">
        <f>IF(C170="","",COUNTIFS(tbl_Finance[Job Number],C170&amp;"",tbl_Finance[Ex GST],"&lt;&gt;"))</f>
        <v/>
      </c>
      <c r="H170" s="27">
        <f>IF(C170="","",SUMIFS(tbl_Finance[Ex GST],tbl_Finance[Job Number],C170&amp;""))</f>
        <v/>
      </c>
      <c r="I170" s="27">
        <f>IF(C170="","",SUMIFS(tbl_Finance[Ex GST],tbl_Finance[Job Number],C170&amp;"",tbl_Finance[Xero Invoice No],"&lt;&gt;"))</f>
        <v/>
      </c>
      <c r="J170" s="27">
        <f>IF(C170="","",H170-I170)</f>
        <v/>
      </c>
      <c r="K170" s="25">
        <f>IF(C170="","",IF(G170=0,"not invoiced yet",SUBSTITUTE(TRIM(IF(COUNTIFS(tbl_Finance[Job Number],C170&amp;"",tbl_Finance[Cost Centre],"ONSITE")&gt;0,"ONSITE ","")&amp;IF(COUNTIFS(tbl_Finance[Job Number],C170&amp;"",tbl_Finance[Cost Centre],"PRODUCTION")&gt;0,"PRODUCTION ","")&amp;IF(COUNTIFS(tbl_Finance[Job Number],C170&amp;"",tbl_Finance[Cost Centre],"VIDEO")&gt;0,"VIDEO ","")&amp;IF(COUNTIFS(tbl_Finance[Job Number],C170&amp;"",tbl_Finance[Cost Centre],"INTEGRATION")&gt;0,"INTEGRATION ","")&amp;IF(COUNTIFS(tbl_Finance[Job Number],C170&amp;"",tbl_Finance[Cost Centre],"CONSULTING")&gt;0,"CONSULTING ","")&amp;IF(COUNTIFS(tbl_Finance[Job Number],C170&amp;"",tbl_Finance[Cost Centre],"CTS")&gt;0,"CTS ",""))," ",", ")))</f>
        <v/>
      </c>
      <c r="L170" s="27">
        <f>IF(C170="","",SUMIFS(tbl_Finance[Inc GST],tbl_Finance[Job Number],C170&amp;""))</f>
        <v/>
      </c>
      <c r="M170" s="24" t="n"/>
      <c r="N170" s="25">
        <f>IF(C170="","",IFERROR(INDEX(tbl_Finance[Description],MATCH(C170&amp;"",tbl_Finance[Job Number],0)),""))</f>
        <v/>
      </c>
      <c r="O170" s="24" t="n"/>
      <c r="P170" s="24" t="n"/>
      <c r="Q170" s="22" t="n"/>
      <c r="R170" s="24" t="n"/>
      <c r="S170" s="25">
        <f>IF(R170="","",IF(AND(LEFT(R170,4)&lt;&gt;"http",set_RMSBase=""),"",HYPERLINK(IF(LEFT(R170,4)="http",R170,set_RMSBase&amp;R170),"Open opportunity")))</f>
        <v/>
      </c>
      <c r="T170" s="24" t="n"/>
      <c r="U170" s="25">
        <f>IF(T170="","",HYPERLINK(IF(LEFT(T170,4)="http",T170,set_QwilrBase&amp;T170),"Open quote"))</f>
        <v/>
      </c>
      <c r="V170" s="25">
        <f>IF(C170="","",C170)</f>
        <v/>
      </c>
      <c r="W170" s="24" t="n"/>
      <c r="X170" s="26" t="n"/>
      <c r="Y170" s="27">
        <f>IF(C170="","",H170+N(X170))</f>
        <v/>
      </c>
      <c r="Z170" s="29">
        <f>IFERROR(X170/Y170,"")</f>
        <v/>
      </c>
      <c r="AA170" s="26" t="n"/>
      <c r="AB170" s="26" t="n"/>
      <c r="AC170" s="26" t="n"/>
      <c r="AD170" s="26" t="n"/>
      <c r="AE170" s="27">
        <f>IF(C170="","",SUMIFS(tbl_Finance[Ex GST],tbl_Finance[Job Number],C170&amp;"",tbl_Finance[Cost Centre],"VIDEO"))</f>
        <v/>
      </c>
      <c r="AF170" s="29">
        <f>IFERROR(AE170/H170,"")</f>
        <v/>
      </c>
      <c r="AG170" s="27">
        <f>IF(C170="","",N(AA170)+N(AB170)+N(AC170)+N(AD170))</f>
        <v/>
      </c>
      <c r="AH170" s="27">
        <f>IF(C170="","",H170-AG170)</f>
        <v/>
      </c>
      <c r="AI170" s="29">
        <f>IFERROR(AH170/H170,"")</f>
        <v/>
      </c>
      <c r="AJ170" s="69" t="n"/>
      <c r="AK170" s="69" t="n"/>
      <c r="AL170" s="69" t="n"/>
      <c r="AM170" s="69" t="n"/>
      <c r="AN170" s="69" t="n"/>
      <c r="AO170" s="24" t="n"/>
    </row>
    <row r="171" ht="15" customHeight="1">
      <c r="A171" s="68">
        <f>IF(C171="","",IFERROR(IF(SUMPRODUCT(MAX((tbl_Finance[Job Number]=C171&amp;"")*(tbl_Finance[Xero Invoice No]&lt;&gt;"")*tbl_Finance[Date]))=0,"",SUMPRODUCT(MAX((tbl_Finance[Job Number]=C171&amp;"")*(tbl_Finance[Xero Invoice No]&lt;&gt;"")*tbl_Finance[Date]))),""))</f>
        <v/>
      </c>
      <c r="B171" s="25">
        <f>IF(C171="","",IF(COUNTIFS(tbl_Finance[Job Number],C171&amp;"",tbl_Finance[Xero Invoice No],"&lt;&gt;")=0,"",IFERROR(IF(COUNTIFS(tbl_Finance[Job Number],C171&amp;"",tbl_Finance[Xero Invoice No],LOOKUP(2,1/((tbl_Finance[Job Number]=C171&amp;"")*(tbl_Finance[Xero Invoice No]&lt;&gt;"")),tbl_Finance[Xero Invoice No]))=COUNTIFS(tbl_Finance[Job Number],C171&amp;"",tbl_Finance[Xero Invoice No],"&lt;&gt;"),LOOKUP(2,1/((tbl_Finance[Job Number]=C171&amp;"")*(tbl_Finance[Xero Invoice No]&lt;&gt;"")),tbl_Finance[Xero Invoice No]),LOOKUP(2,1/((tbl_Finance[Job Number]=C171&amp;"")*(tbl_Finance[Xero Invoice No]&lt;&gt;"")),tbl_Finance[Xero Invoice No])&amp;" +more"),"")))</f>
        <v/>
      </c>
      <c r="C171" s="24" t="n"/>
      <c r="D171" s="25">
        <f>IF(C171="","",IF(COUNTIF(lst_Jobs,C171&amp;"")&gt;0,"OK","CHECK"))</f>
        <v/>
      </c>
      <c r="E171" s="25">
        <f>IF(C171="","",IFERROR(INDEX(lst_JobName,MATCH(C171&amp;"",lst_Jobs,0)),""))</f>
        <v/>
      </c>
      <c r="F171" s="25">
        <f>IF(C171="","",IFERROR(INDEX(tbl_Finance[Client],MATCH(C171&amp;"",tbl_Finance[Job Number],0)),""))</f>
        <v/>
      </c>
      <c r="G171" s="28">
        <f>IF(C171="","",COUNTIFS(tbl_Finance[Job Number],C171&amp;"",tbl_Finance[Ex GST],"&lt;&gt;"))</f>
        <v/>
      </c>
      <c r="H171" s="27">
        <f>IF(C171="","",SUMIFS(tbl_Finance[Ex GST],tbl_Finance[Job Number],C171&amp;""))</f>
        <v/>
      </c>
      <c r="I171" s="27">
        <f>IF(C171="","",SUMIFS(tbl_Finance[Ex GST],tbl_Finance[Job Number],C171&amp;"",tbl_Finance[Xero Invoice No],"&lt;&gt;"))</f>
        <v/>
      </c>
      <c r="J171" s="27">
        <f>IF(C171="","",H171-I171)</f>
        <v/>
      </c>
      <c r="K171" s="25">
        <f>IF(C171="","",IF(G171=0,"not invoiced yet",SUBSTITUTE(TRIM(IF(COUNTIFS(tbl_Finance[Job Number],C171&amp;"",tbl_Finance[Cost Centre],"ONSITE")&gt;0,"ONSITE ","")&amp;IF(COUNTIFS(tbl_Finance[Job Number],C171&amp;"",tbl_Finance[Cost Centre],"PRODUCTION")&gt;0,"PRODUCTION ","")&amp;IF(COUNTIFS(tbl_Finance[Job Number],C171&amp;"",tbl_Finance[Cost Centre],"VIDEO")&gt;0,"VIDEO ","")&amp;IF(COUNTIFS(tbl_Finance[Job Number],C171&amp;"",tbl_Finance[Cost Centre],"INTEGRATION")&gt;0,"INTEGRATION ","")&amp;IF(COUNTIFS(tbl_Finance[Job Number],C171&amp;"",tbl_Finance[Cost Centre],"CONSULTING")&gt;0,"CONSULTING ","")&amp;IF(COUNTIFS(tbl_Finance[Job Number],C171&amp;"",tbl_Finance[Cost Centre],"CTS")&gt;0,"CTS ",""))," ",", ")))</f>
        <v/>
      </c>
      <c r="L171" s="27">
        <f>IF(C171="","",SUMIFS(tbl_Finance[Inc GST],tbl_Finance[Job Number],C171&amp;""))</f>
        <v/>
      </c>
      <c r="M171" s="24" t="n"/>
      <c r="N171" s="25">
        <f>IF(C171="","",IFERROR(INDEX(tbl_Finance[Description],MATCH(C171&amp;"",tbl_Finance[Job Number],0)),""))</f>
        <v/>
      </c>
      <c r="O171" s="24" t="n"/>
      <c r="P171" s="24" t="n"/>
      <c r="Q171" s="22" t="n"/>
      <c r="R171" s="24" t="n"/>
      <c r="S171" s="25">
        <f>IF(R171="","",IF(AND(LEFT(R171,4)&lt;&gt;"http",set_RMSBase=""),"",HYPERLINK(IF(LEFT(R171,4)="http",R171,set_RMSBase&amp;R171),"Open opportunity")))</f>
        <v/>
      </c>
      <c r="T171" s="24" t="n"/>
      <c r="U171" s="25">
        <f>IF(T171="","",HYPERLINK(IF(LEFT(T171,4)="http",T171,set_QwilrBase&amp;T171),"Open quote"))</f>
        <v/>
      </c>
      <c r="V171" s="25">
        <f>IF(C171="","",C171)</f>
        <v/>
      </c>
      <c r="W171" s="24" t="n"/>
      <c r="X171" s="26" t="n"/>
      <c r="Y171" s="27">
        <f>IF(C171="","",H171+N(X171))</f>
        <v/>
      </c>
      <c r="Z171" s="29">
        <f>IFERROR(X171/Y171,"")</f>
        <v/>
      </c>
      <c r="AA171" s="26" t="n"/>
      <c r="AB171" s="26" t="n"/>
      <c r="AC171" s="26" t="n"/>
      <c r="AD171" s="26" t="n"/>
      <c r="AE171" s="27">
        <f>IF(C171="","",SUMIFS(tbl_Finance[Ex GST],tbl_Finance[Job Number],C171&amp;"",tbl_Finance[Cost Centre],"VIDEO"))</f>
        <v/>
      </c>
      <c r="AF171" s="29">
        <f>IFERROR(AE171/H171,"")</f>
        <v/>
      </c>
      <c r="AG171" s="27">
        <f>IF(C171="","",N(AA171)+N(AB171)+N(AC171)+N(AD171))</f>
        <v/>
      </c>
      <c r="AH171" s="27">
        <f>IF(C171="","",H171-AG171)</f>
        <v/>
      </c>
      <c r="AI171" s="29">
        <f>IFERROR(AH171/H171,"")</f>
        <v/>
      </c>
      <c r="AJ171" s="69" t="n"/>
      <c r="AK171" s="69" t="n"/>
      <c r="AL171" s="69" t="n"/>
      <c r="AM171" s="69" t="n"/>
      <c r="AN171" s="69" t="n"/>
      <c r="AO171" s="24" t="n"/>
    </row>
    <row r="172" ht="15" customHeight="1">
      <c r="A172" s="68">
        <f>IF(C172="","",IFERROR(IF(SUMPRODUCT(MAX((tbl_Finance[Job Number]=C172&amp;"")*(tbl_Finance[Xero Invoice No]&lt;&gt;"")*tbl_Finance[Date]))=0,"",SUMPRODUCT(MAX((tbl_Finance[Job Number]=C172&amp;"")*(tbl_Finance[Xero Invoice No]&lt;&gt;"")*tbl_Finance[Date]))),""))</f>
        <v/>
      </c>
      <c r="B172" s="25">
        <f>IF(C172="","",IF(COUNTIFS(tbl_Finance[Job Number],C172&amp;"",tbl_Finance[Xero Invoice No],"&lt;&gt;")=0,"",IFERROR(IF(COUNTIFS(tbl_Finance[Job Number],C172&amp;"",tbl_Finance[Xero Invoice No],LOOKUP(2,1/((tbl_Finance[Job Number]=C172&amp;"")*(tbl_Finance[Xero Invoice No]&lt;&gt;"")),tbl_Finance[Xero Invoice No]))=COUNTIFS(tbl_Finance[Job Number],C172&amp;"",tbl_Finance[Xero Invoice No],"&lt;&gt;"),LOOKUP(2,1/((tbl_Finance[Job Number]=C172&amp;"")*(tbl_Finance[Xero Invoice No]&lt;&gt;"")),tbl_Finance[Xero Invoice No]),LOOKUP(2,1/((tbl_Finance[Job Number]=C172&amp;"")*(tbl_Finance[Xero Invoice No]&lt;&gt;"")),tbl_Finance[Xero Invoice No])&amp;" +more"),"")))</f>
        <v/>
      </c>
      <c r="C172" s="24" t="n"/>
      <c r="D172" s="25">
        <f>IF(C172="","",IF(COUNTIF(lst_Jobs,C172&amp;"")&gt;0,"OK","CHECK"))</f>
        <v/>
      </c>
      <c r="E172" s="25">
        <f>IF(C172="","",IFERROR(INDEX(lst_JobName,MATCH(C172&amp;"",lst_Jobs,0)),""))</f>
        <v/>
      </c>
      <c r="F172" s="25">
        <f>IF(C172="","",IFERROR(INDEX(tbl_Finance[Client],MATCH(C172&amp;"",tbl_Finance[Job Number],0)),""))</f>
        <v/>
      </c>
      <c r="G172" s="28">
        <f>IF(C172="","",COUNTIFS(tbl_Finance[Job Number],C172&amp;"",tbl_Finance[Ex GST],"&lt;&gt;"))</f>
        <v/>
      </c>
      <c r="H172" s="27">
        <f>IF(C172="","",SUMIFS(tbl_Finance[Ex GST],tbl_Finance[Job Number],C172&amp;""))</f>
        <v/>
      </c>
      <c r="I172" s="27">
        <f>IF(C172="","",SUMIFS(tbl_Finance[Ex GST],tbl_Finance[Job Number],C172&amp;"",tbl_Finance[Xero Invoice No],"&lt;&gt;"))</f>
        <v/>
      </c>
      <c r="J172" s="27">
        <f>IF(C172="","",H172-I172)</f>
        <v/>
      </c>
      <c r="K172" s="25">
        <f>IF(C172="","",IF(G172=0,"not invoiced yet",SUBSTITUTE(TRIM(IF(COUNTIFS(tbl_Finance[Job Number],C172&amp;"",tbl_Finance[Cost Centre],"ONSITE")&gt;0,"ONSITE ","")&amp;IF(COUNTIFS(tbl_Finance[Job Number],C172&amp;"",tbl_Finance[Cost Centre],"PRODUCTION")&gt;0,"PRODUCTION ","")&amp;IF(COUNTIFS(tbl_Finance[Job Number],C172&amp;"",tbl_Finance[Cost Centre],"VIDEO")&gt;0,"VIDEO ","")&amp;IF(COUNTIFS(tbl_Finance[Job Number],C172&amp;"",tbl_Finance[Cost Centre],"INTEGRATION")&gt;0,"INTEGRATION ","")&amp;IF(COUNTIFS(tbl_Finance[Job Number],C172&amp;"",tbl_Finance[Cost Centre],"CONSULTING")&gt;0,"CONSULTING ","")&amp;IF(COUNTIFS(tbl_Finance[Job Number],C172&amp;"",tbl_Finance[Cost Centre],"CTS")&gt;0,"CTS ",""))," ",", ")))</f>
        <v/>
      </c>
      <c r="L172" s="27">
        <f>IF(C172="","",SUMIFS(tbl_Finance[Inc GST],tbl_Finance[Job Number],C172&amp;""))</f>
        <v/>
      </c>
      <c r="M172" s="24" t="n"/>
      <c r="N172" s="25">
        <f>IF(C172="","",IFERROR(INDEX(tbl_Finance[Description],MATCH(C172&amp;"",tbl_Finance[Job Number],0)),""))</f>
        <v/>
      </c>
      <c r="O172" s="24" t="n"/>
      <c r="P172" s="24" t="n"/>
      <c r="Q172" s="22" t="n"/>
      <c r="R172" s="24" t="n"/>
      <c r="S172" s="25">
        <f>IF(R172="","",IF(AND(LEFT(R172,4)&lt;&gt;"http",set_RMSBase=""),"",HYPERLINK(IF(LEFT(R172,4)="http",R172,set_RMSBase&amp;R172),"Open opportunity")))</f>
        <v/>
      </c>
      <c r="T172" s="24" t="n"/>
      <c r="U172" s="25">
        <f>IF(T172="","",HYPERLINK(IF(LEFT(T172,4)="http",T172,set_QwilrBase&amp;T172),"Open quote"))</f>
        <v/>
      </c>
      <c r="V172" s="25">
        <f>IF(C172="","",C172)</f>
        <v/>
      </c>
      <c r="W172" s="24" t="n"/>
      <c r="X172" s="26" t="n"/>
      <c r="Y172" s="27">
        <f>IF(C172="","",H172+N(X172))</f>
        <v/>
      </c>
      <c r="Z172" s="29">
        <f>IFERROR(X172/Y172,"")</f>
        <v/>
      </c>
      <c r="AA172" s="26" t="n"/>
      <c r="AB172" s="26" t="n"/>
      <c r="AC172" s="26" t="n"/>
      <c r="AD172" s="26" t="n"/>
      <c r="AE172" s="27">
        <f>IF(C172="","",SUMIFS(tbl_Finance[Ex GST],tbl_Finance[Job Number],C172&amp;"",tbl_Finance[Cost Centre],"VIDEO"))</f>
        <v/>
      </c>
      <c r="AF172" s="29">
        <f>IFERROR(AE172/H172,"")</f>
        <v/>
      </c>
      <c r="AG172" s="27">
        <f>IF(C172="","",N(AA172)+N(AB172)+N(AC172)+N(AD172))</f>
        <v/>
      </c>
      <c r="AH172" s="27">
        <f>IF(C172="","",H172-AG172)</f>
        <v/>
      </c>
      <c r="AI172" s="29">
        <f>IFERROR(AH172/H172,"")</f>
        <v/>
      </c>
      <c r="AJ172" s="69" t="n"/>
      <c r="AK172" s="69" t="n"/>
      <c r="AL172" s="69" t="n"/>
      <c r="AM172" s="69" t="n"/>
      <c r="AN172" s="69" t="n"/>
      <c r="AO172" s="24" t="n"/>
    </row>
    <row r="173" ht="15" customHeight="1">
      <c r="A173" s="68">
        <f>IF(C173="","",IFERROR(IF(SUMPRODUCT(MAX((tbl_Finance[Job Number]=C173&amp;"")*(tbl_Finance[Xero Invoice No]&lt;&gt;"")*tbl_Finance[Date]))=0,"",SUMPRODUCT(MAX((tbl_Finance[Job Number]=C173&amp;"")*(tbl_Finance[Xero Invoice No]&lt;&gt;"")*tbl_Finance[Date]))),""))</f>
        <v/>
      </c>
      <c r="B173" s="25">
        <f>IF(C173="","",IF(COUNTIFS(tbl_Finance[Job Number],C173&amp;"",tbl_Finance[Xero Invoice No],"&lt;&gt;")=0,"",IFERROR(IF(COUNTIFS(tbl_Finance[Job Number],C173&amp;"",tbl_Finance[Xero Invoice No],LOOKUP(2,1/((tbl_Finance[Job Number]=C173&amp;"")*(tbl_Finance[Xero Invoice No]&lt;&gt;"")),tbl_Finance[Xero Invoice No]))=COUNTIFS(tbl_Finance[Job Number],C173&amp;"",tbl_Finance[Xero Invoice No],"&lt;&gt;"),LOOKUP(2,1/((tbl_Finance[Job Number]=C173&amp;"")*(tbl_Finance[Xero Invoice No]&lt;&gt;"")),tbl_Finance[Xero Invoice No]),LOOKUP(2,1/((tbl_Finance[Job Number]=C173&amp;"")*(tbl_Finance[Xero Invoice No]&lt;&gt;"")),tbl_Finance[Xero Invoice No])&amp;" +more"),"")))</f>
        <v/>
      </c>
      <c r="C173" s="24" t="n"/>
      <c r="D173" s="25">
        <f>IF(C173="","",IF(COUNTIF(lst_Jobs,C173&amp;"")&gt;0,"OK","CHECK"))</f>
        <v/>
      </c>
      <c r="E173" s="25">
        <f>IF(C173="","",IFERROR(INDEX(lst_JobName,MATCH(C173&amp;"",lst_Jobs,0)),""))</f>
        <v/>
      </c>
      <c r="F173" s="25">
        <f>IF(C173="","",IFERROR(INDEX(tbl_Finance[Client],MATCH(C173&amp;"",tbl_Finance[Job Number],0)),""))</f>
        <v/>
      </c>
      <c r="G173" s="28">
        <f>IF(C173="","",COUNTIFS(tbl_Finance[Job Number],C173&amp;"",tbl_Finance[Ex GST],"&lt;&gt;"))</f>
        <v/>
      </c>
      <c r="H173" s="27">
        <f>IF(C173="","",SUMIFS(tbl_Finance[Ex GST],tbl_Finance[Job Number],C173&amp;""))</f>
        <v/>
      </c>
      <c r="I173" s="27">
        <f>IF(C173="","",SUMIFS(tbl_Finance[Ex GST],tbl_Finance[Job Number],C173&amp;"",tbl_Finance[Xero Invoice No],"&lt;&gt;"))</f>
        <v/>
      </c>
      <c r="J173" s="27">
        <f>IF(C173="","",H173-I173)</f>
        <v/>
      </c>
      <c r="K173" s="25">
        <f>IF(C173="","",IF(G173=0,"not invoiced yet",SUBSTITUTE(TRIM(IF(COUNTIFS(tbl_Finance[Job Number],C173&amp;"",tbl_Finance[Cost Centre],"ONSITE")&gt;0,"ONSITE ","")&amp;IF(COUNTIFS(tbl_Finance[Job Number],C173&amp;"",tbl_Finance[Cost Centre],"PRODUCTION")&gt;0,"PRODUCTION ","")&amp;IF(COUNTIFS(tbl_Finance[Job Number],C173&amp;"",tbl_Finance[Cost Centre],"VIDEO")&gt;0,"VIDEO ","")&amp;IF(COUNTIFS(tbl_Finance[Job Number],C173&amp;"",tbl_Finance[Cost Centre],"INTEGRATION")&gt;0,"INTEGRATION ","")&amp;IF(COUNTIFS(tbl_Finance[Job Number],C173&amp;"",tbl_Finance[Cost Centre],"CONSULTING")&gt;0,"CONSULTING ","")&amp;IF(COUNTIFS(tbl_Finance[Job Number],C173&amp;"",tbl_Finance[Cost Centre],"CTS")&gt;0,"CTS ",""))," ",", ")))</f>
        <v/>
      </c>
      <c r="L173" s="27">
        <f>IF(C173="","",SUMIFS(tbl_Finance[Inc GST],tbl_Finance[Job Number],C173&amp;""))</f>
        <v/>
      </c>
      <c r="M173" s="24" t="n"/>
      <c r="N173" s="25">
        <f>IF(C173="","",IFERROR(INDEX(tbl_Finance[Description],MATCH(C173&amp;"",tbl_Finance[Job Number],0)),""))</f>
        <v/>
      </c>
      <c r="O173" s="24" t="n"/>
      <c r="P173" s="24" t="n"/>
      <c r="Q173" s="22" t="n"/>
      <c r="R173" s="24" t="n"/>
      <c r="S173" s="25">
        <f>IF(R173="","",IF(AND(LEFT(R173,4)&lt;&gt;"http",set_RMSBase=""),"",HYPERLINK(IF(LEFT(R173,4)="http",R173,set_RMSBase&amp;R173),"Open opportunity")))</f>
        <v/>
      </c>
      <c r="T173" s="24" t="n"/>
      <c r="U173" s="25">
        <f>IF(T173="","",HYPERLINK(IF(LEFT(T173,4)="http",T173,set_QwilrBase&amp;T173),"Open quote"))</f>
        <v/>
      </c>
      <c r="V173" s="25">
        <f>IF(C173="","",C173)</f>
        <v/>
      </c>
      <c r="W173" s="24" t="n"/>
      <c r="X173" s="26" t="n"/>
      <c r="Y173" s="27">
        <f>IF(C173="","",H173+N(X173))</f>
        <v/>
      </c>
      <c r="Z173" s="29">
        <f>IFERROR(X173/Y173,"")</f>
        <v/>
      </c>
      <c r="AA173" s="26" t="n"/>
      <c r="AB173" s="26" t="n"/>
      <c r="AC173" s="26" t="n"/>
      <c r="AD173" s="26" t="n"/>
      <c r="AE173" s="27">
        <f>IF(C173="","",SUMIFS(tbl_Finance[Ex GST],tbl_Finance[Job Number],C173&amp;"",tbl_Finance[Cost Centre],"VIDEO"))</f>
        <v/>
      </c>
      <c r="AF173" s="29">
        <f>IFERROR(AE173/H173,"")</f>
        <v/>
      </c>
      <c r="AG173" s="27">
        <f>IF(C173="","",N(AA173)+N(AB173)+N(AC173)+N(AD173))</f>
        <v/>
      </c>
      <c r="AH173" s="27">
        <f>IF(C173="","",H173-AG173)</f>
        <v/>
      </c>
      <c r="AI173" s="29">
        <f>IFERROR(AH173/H173,"")</f>
        <v/>
      </c>
      <c r="AJ173" s="69" t="n"/>
      <c r="AK173" s="69" t="n"/>
      <c r="AL173" s="69" t="n"/>
      <c r="AM173" s="69" t="n"/>
      <c r="AN173" s="69" t="n"/>
      <c r="AO173" s="24" t="n"/>
    </row>
    <row r="174" ht="15" customHeight="1">
      <c r="A174" s="68">
        <f>IF(C174="","",IFERROR(IF(SUMPRODUCT(MAX((tbl_Finance[Job Number]=C174&amp;"")*(tbl_Finance[Xero Invoice No]&lt;&gt;"")*tbl_Finance[Date]))=0,"",SUMPRODUCT(MAX((tbl_Finance[Job Number]=C174&amp;"")*(tbl_Finance[Xero Invoice No]&lt;&gt;"")*tbl_Finance[Date]))),""))</f>
        <v/>
      </c>
      <c r="B174" s="25">
        <f>IF(C174="","",IF(COUNTIFS(tbl_Finance[Job Number],C174&amp;"",tbl_Finance[Xero Invoice No],"&lt;&gt;")=0,"",IFERROR(IF(COUNTIFS(tbl_Finance[Job Number],C174&amp;"",tbl_Finance[Xero Invoice No],LOOKUP(2,1/((tbl_Finance[Job Number]=C174&amp;"")*(tbl_Finance[Xero Invoice No]&lt;&gt;"")),tbl_Finance[Xero Invoice No]))=COUNTIFS(tbl_Finance[Job Number],C174&amp;"",tbl_Finance[Xero Invoice No],"&lt;&gt;"),LOOKUP(2,1/((tbl_Finance[Job Number]=C174&amp;"")*(tbl_Finance[Xero Invoice No]&lt;&gt;"")),tbl_Finance[Xero Invoice No]),LOOKUP(2,1/((tbl_Finance[Job Number]=C174&amp;"")*(tbl_Finance[Xero Invoice No]&lt;&gt;"")),tbl_Finance[Xero Invoice No])&amp;" +more"),"")))</f>
        <v/>
      </c>
      <c r="C174" s="24" t="n"/>
      <c r="D174" s="25">
        <f>IF(C174="","",IF(COUNTIF(lst_Jobs,C174&amp;"")&gt;0,"OK","CHECK"))</f>
        <v/>
      </c>
      <c r="E174" s="25">
        <f>IF(C174="","",IFERROR(INDEX(lst_JobName,MATCH(C174&amp;"",lst_Jobs,0)),""))</f>
        <v/>
      </c>
      <c r="F174" s="25">
        <f>IF(C174="","",IFERROR(INDEX(tbl_Finance[Client],MATCH(C174&amp;"",tbl_Finance[Job Number],0)),""))</f>
        <v/>
      </c>
      <c r="G174" s="28">
        <f>IF(C174="","",COUNTIFS(tbl_Finance[Job Number],C174&amp;"",tbl_Finance[Ex GST],"&lt;&gt;"))</f>
        <v/>
      </c>
      <c r="H174" s="27">
        <f>IF(C174="","",SUMIFS(tbl_Finance[Ex GST],tbl_Finance[Job Number],C174&amp;""))</f>
        <v/>
      </c>
      <c r="I174" s="27">
        <f>IF(C174="","",SUMIFS(tbl_Finance[Ex GST],tbl_Finance[Job Number],C174&amp;"",tbl_Finance[Xero Invoice No],"&lt;&gt;"))</f>
        <v/>
      </c>
      <c r="J174" s="27">
        <f>IF(C174="","",H174-I174)</f>
        <v/>
      </c>
      <c r="K174" s="25">
        <f>IF(C174="","",IF(G174=0,"not invoiced yet",SUBSTITUTE(TRIM(IF(COUNTIFS(tbl_Finance[Job Number],C174&amp;"",tbl_Finance[Cost Centre],"ONSITE")&gt;0,"ONSITE ","")&amp;IF(COUNTIFS(tbl_Finance[Job Number],C174&amp;"",tbl_Finance[Cost Centre],"PRODUCTION")&gt;0,"PRODUCTION ","")&amp;IF(COUNTIFS(tbl_Finance[Job Number],C174&amp;"",tbl_Finance[Cost Centre],"VIDEO")&gt;0,"VIDEO ","")&amp;IF(COUNTIFS(tbl_Finance[Job Number],C174&amp;"",tbl_Finance[Cost Centre],"INTEGRATION")&gt;0,"INTEGRATION ","")&amp;IF(COUNTIFS(tbl_Finance[Job Number],C174&amp;"",tbl_Finance[Cost Centre],"CONSULTING")&gt;0,"CONSULTING ","")&amp;IF(COUNTIFS(tbl_Finance[Job Number],C174&amp;"",tbl_Finance[Cost Centre],"CTS")&gt;0,"CTS ",""))," ",", ")))</f>
        <v/>
      </c>
      <c r="L174" s="27">
        <f>IF(C174="","",SUMIFS(tbl_Finance[Inc GST],tbl_Finance[Job Number],C174&amp;""))</f>
        <v/>
      </c>
      <c r="M174" s="24" t="n"/>
      <c r="N174" s="25">
        <f>IF(C174="","",IFERROR(INDEX(tbl_Finance[Description],MATCH(C174&amp;"",tbl_Finance[Job Number],0)),""))</f>
        <v/>
      </c>
      <c r="O174" s="24" t="n"/>
      <c r="P174" s="24" t="n"/>
      <c r="Q174" s="22" t="n"/>
      <c r="R174" s="24" t="n"/>
      <c r="S174" s="25">
        <f>IF(R174="","",IF(AND(LEFT(R174,4)&lt;&gt;"http",set_RMSBase=""),"",HYPERLINK(IF(LEFT(R174,4)="http",R174,set_RMSBase&amp;R174),"Open opportunity")))</f>
        <v/>
      </c>
      <c r="T174" s="24" t="n"/>
      <c r="U174" s="25">
        <f>IF(T174="","",HYPERLINK(IF(LEFT(T174,4)="http",T174,set_QwilrBase&amp;T174),"Open quote"))</f>
        <v/>
      </c>
      <c r="V174" s="25">
        <f>IF(C174="","",C174)</f>
        <v/>
      </c>
      <c r="W174" s="24" t="n"/>
      <c r="X174" s="26" t="n"/>
      <c r="Y174" s="27">
        <f>IF(C174="","",H174+N(X174))</f>
        <v/>
      </c>
      <c r="Z174" s="29">
        <f>IFERROR(X174/Y174,"")</f>
        <v/>
      </c>
      <c r="AA174" s="26" t="n"/>
      <c r="AB174" s="26" t="n"/>
      <c r="AC174" s="26" t="n"/>
      <c r="AD174" s="26" t="n"/>
      <c r="AE174" s="27">
        <f>IF(C174="","",SUMIFS(tbl_Finance[Ex GST],tbl_Finance[Job Number],C174&amp;"",tbl_Finance[Cost Centre],"VIDEO"))</f>
        <v/>
      </c>
      <c r="AF174" s="29">
        <f>IFERROR(AE174/H174,"")</f>
        <v/>
      </c>
      <c r="AG174" s="27">
        <f>IF(C174="","",N(AA174)+N(AB174)+N(AC174)+N(AD174))</f>
        <v/>
      </c>
      <c r="AH174" s="27">
        <f>IF(C174="","",H174-AG174)</f>
        <v/>
      </c>
      <c r="AI174" s="29">
        <f>IFERROR(AH174/H174,"")</f>
        <v/>
      </c>
      <c r="AJ174" s="69" t="n"/>
      <c r="AK174" s="69" t="n"/>
      <c r="AL174" s="69" t="n"/>
      <c r="AM174" s="69" t="n"/>
      <c r="AN174" s="69" t="n"/>
      <c r="AO174" s="24" t="n"/>
    </row>
    <row r="175" ht="15" customHeight="1">
      <c r="A175" s="68">
        <f>IF(C175="","",IFERROR(IF(SUMPRODUCT(MAX((tbl_Finance[Job Number]=C175&amp;"")*(tbl_Finance[Xero Invoice No]&lt;&gt;"")*tbl_Finance[Date]))=0,"",SUMPRODUCT(MAX((tbl_Finance[Job Number]=C175&amp;"")*(tbl_Finance[Xero Invoice No]&lt;&gt;"")*tbl_Finance[Date]))),""))</f>
        <v/>
      </c>
      <c r="B175" s="25">
        <f>IF(C175="","",IF(COUNTIFS(tbl_Finance[Job Number],C175&amp;"",tbl_Finance[Xero Invoice No],"&lt;&gt;")=0,"",IFERROR(IF(COUNTIFS(tbl_Finance[Job Number],C175&amp;"",tbl_Finance[Xero Invoice No],LOOKUP(2,1/((tbl_Finance[Job Number]=C175&amp;"")*(tbl_Finance[Xero Invoice No]&lt;&gt;"")),tbl_Finance[Xero Invoice No]))=COUNTIFS(tbl_Finance[Job Number],C175&amp;"",tbl_Finance[Xero Invoice No],"&lt;&gt;"),LOOKUP(2,1/((tbl_Finance[Job Number]=C175&amp;"")*(tbl_Finance[Xero Invoice No]&lt;&gt;"")),tbl_Finance[Xero Invoice No]),LOOKUP(2,1/((tbl_Finance[Job Number]=C175&amp;"")*(tbl_Finance[Xero Invoice No]&lt;&gt;"")),tbl_Finance[Xero Invoice No])&amp;" +more"),"")))</f>
        <v/>
      </c>
      <c r="C175" s="24" t="n"/>
      <c r="D175" s="25">
        <f>IF(C175="","",IF(COUNTIF(lst_Jobs,C175&amp;"")&gt;0,"OK","CHECK"))</f>
        <v/>
      </c>
      <c r="E175" s="25">
        <f>IF(C175="","",IFERROR(INDEX(lst_JobName,MATCH(C175&amp;"",lst_Jobs,0)),""))</f>
        <v/>
      </c>
      <c r="F175" s="25">
        <f>IF(C175="","",IFERROR(INDEX(tbl_Finance[Client],MATCH(C175&amp;"",tbl_Finance[Job Number],0)),""))</f>
        <v/>
      </c>
      <c r="G175" s="28">
        <f>IF(C175="","",COUNTIFS(tbl_Finance[Job Number],C175&amp;"",tbl_Finance[Ex GST],"&lt;&gt;"))</f>
        <v/>
      </c>
      <c r="H175" s="27">
        <f>IF(C175="","",SUMIFS(tbl_Finance[Ex GST],tbl_Finance[Job Number],C175&amp;""))</f>
        <v/>
      </c>
      <c r="I175" s="27">
        <f>IF(C175="","",SUMIFS(tbl_Finance[Ex GST],tbl_Finance[Job Number],C175&amp;"",tbl_Finance[Xero Invoice No],"&lt;&gt;"))</f>
        <v/>
      </c>
      <c r="J175" s="27">
        <f>IF(C175="","",H175-I175)</f>
        <v/>
      </c>
      <c r="K175" s="25">
        <f>IF(C175="","",IF(G175=0,"not invoiced yet",SUBSTITUTE(TRIM(IF(COUNTIFS(tbl_Finance[Job Number],C175&amp;"",tbl_Finance[Cost Centre],"ONSITE")&gt;0,"ONSITE ","")&amp;IF(COUNTIFS(tbl_Finance[Job Number],C175&amp;"",tbl_Finance[Cost Centre],"PRODUCTION")&gt;0,"PRODUCTION ","")&amp;IF(COUNTIFS(tbl_Finance[Job Number],C175&amp;"",tbl_Finance[Cost Centre],"VIDEO")&gt;0,"VIDEO ","")&amp;IF(COUNTIFS(tbl_Finance[Job Number],C175&amp;"",tbl_Finance[Cost Centre],"INTEGRATION")&gt;0,"INTEGRATION ","")&amp;IF(COUNTIFS(tbl_Finance[Job Number],C175&amp;"",tbl_Finance[Cost Centre],"CONSULTING")&gt;0,"CONSULTING ","")&amp;IF(COUNTIFS(tbl_Finance[Job Number],C175&amp;"",tbl_Finance[Cost Centre],"CTS")&gt;0,"CTS ",""))," ",", ")))</f>
        <v/>
      </c>
      <c r="L175" s="27">
        <f>IF(C175="","",SUMIFS(tbl_Finance[Inc GST],tbl_Finance[Job Number],C175&amp;""))</f>
        <v/>
      </c>
      <c r="M175" s="24" t="n"/>
      <c r="N175" s="25">
        <f>IF(C175="","",IFERROR(INDEX(tbl_Finance[Description],MATCH(C175&amp;"",tbl_Finance[Job Number],0)),""))</f>
        <v/>
      </c>
      <c r="O175" s="24" t="n"/>
      <c r="P175" s="24" t="n"/>
      <c r="Q175" s="22" t="n"/>
      <c r="R175" s="24" t="n"/>
      <c r="S175" s="25">
        <f>IF(R175="","",IF(AND(LEFT(R175,4)&lt;&gt;"http",set_RMSBase=""),"",HYPERLINK(IF(LEFT(R175,4)="http",R175,set_RMSBase&amp;R175),"Open opportunity")))</f>
        <v/>
      </c>
      <c r="T175" s="24" t="n"/>
      <c r="U175" s="25">
        <f>IF(T175="","",HYPERLINK(IF(LEFT(T175,4)="http",T175,set_QwilrBase&amp;T175),"Open quote"))</f>
        <v/>
      </c>
      <c r="V175" s="25">
        <f>IF(C175="","",C175)</f>
        <v/>
      </c>
      <c r="W175" s="24" t="n"/>
      <c r="X175" s="26" t="n"/>
      <c r="Y175" s="27">
        <f>IF(C175="","",H175+N(X175))</f>
        <v/>
      </c>
      <c r="Z175" s="29">
        <f>IFERROR(X175/Y175,"")</f>
        <v/>
      </c>
      <c r="AA175" s="26" t="n"/>
      <c r="AB175" s="26" t="n"/>
      <c r="AC175" s="26" t="n"/>
      <c r="AD175" s="26" t="n"/>
      <c r="AE175" s="27">
        <f>IF(C175="","",SUMIFS(tbl_Finance[Ex GST],tbl_Finance[Job Number],C175&amp;"",tbl_Finance[Cost Centre],"VIDEO"))</f>
        <v/>
      </c>
      <c r="AF175" s="29">
        <f>IFERROR(AE175/H175,"")</f>
        <v/>
      </c>
      <c r="AG175" s="27">
        <f>IF(C175="","",N(AA175)+N(AB175)+N(AC175)+N(AD175))</f>
        <v/>
      </c>
      <c r="AH175" s="27">
        <f>IF(C175="","",H175-AG175)</f>
        <v/>
      </c>
      <c r="AI175" s="29">
        <f>IFERROR(AH175/H175,"")</f>
        <v/>
      </c>
      <c r="AJ175" s="69" t="n"/>
      <c r="AK175" s="69" t="n"/>
      <c r="AL175" s="69" t="n"/>
      <c r="AM175" s="69" t="n"/>
      <c r="AN175" s="69" t="n"/>
      <c r="AO175" s="24" t="n"/>
    </row>
    <row r="176" ht="15" customHeight="1">
      <c r="A176" s="68">
        <f>IF(C176="","",IFERROR(IF(SUMPRODUCT(MAX((tbl_Finance[Job Number]=C176&amp;"")*(tbl_Finance[Xero Invoice No]&lt;&gt;"")*tbl_Finance[Date]))=0,"",SUMPRODUCT(MAX((tbl_Finance[Job Number]=C176&amp;"")*(tbl_Finance[Xero Invoice No]&lt;&gt;"")*tbl_Finance[Date]))),""))</f>
        <v/>
      </c>
      <c r="B176" s="25">
        <f>IF(C176="","",IF(COUNTIFS(tbl_Finance[Job Number],C176&amp;"",tbl_Finance[Xero Invoice No],"&lt;&gt;")=0,"",IFERROR(IF(COUNTIFS(tbl_Finance[Job Number],C176&amp;"",tbl_Finance[Xero Invoice No],LOOKUP(2,1/((tbl_Finance[Job Number]=C176&amp;"")*(tbl_Finance[Xero Invoice No]&lt;&gt;"")),tbl_Finance[Xero Invoice No]))=COUNTIFS(tbl_Finance[Job Number],C176&amp;"",tbl_Finance[Xero Invoice No],"&lt;&gt;"),LOOKUP(2,1/((tbl_Finance[Job Number]=C176&amp;"")*(tbl_Finance[Xero Invoice No]&lt;&gt;"")),tbl_Finance[Xero Invoice No]),LOOKUP(2,1/((tbl_Finance[Job Number]=C176&amp;"")*(tbl_Finance[Xero Invoice No]&lt;&gt;"")),tbl_Finance[Xero Invoice No])&amp;" +more"),"")))</f>
        <v/>
      </c>
      <c r="C176" s="24" t="n"/>
      <c r="D176" s="25">
        <f>IF(C176="","",IF(COUNTIF(lst_Jobs,C176&amp;"")&gt;0,"OK","CHECK"))</f>
        <v/>
      </c>
      <c r="E176" s="25">
        <f>IF(C176="","",IFERROR(INDEX(lst_JobName,MATCH(C176&amp;"",lst_Jobs,0)),""))</f>
        <v/>
      </c>
      <c r="F176" s="25">
        <f>IF(C176="","",IFERROR(INDEX(tbl_Finance[Client],MATCH(C176&amp;"",tbl_Finance[Job Number],0)),""))</f>
        <v/>
      </c>
      <c r="G176" s="28">
        <f>IF(C176="","",COUNTIFS(tbl_Finance[Job Number],C176&amp;"",tbl_Finance[Ex GST],"&lt;&gt;"))</f>
        <v/>
      </c>
      <c r="H176" s="27">
        <f>IF(C176="","",SUMIFS(tbl_Finance[Ex GST],tbl_Finance[Job Number],C176&amp;""))</f>
        <v/>
      </c>
      <c r="I176" s="27">
        <f>IF(C176="","",SUMIFS(tbl_Finance[Ex GST],tbl_Finance[Job Number],C176&amp;"",tbl_Finance[Xero Invoice No],"&lt;&gt;"))</f>
        <v/>
      </c>
      <c r="J176" s="27">
        <f>IF(C176="","",H176-I176)</f>
        <v/>
      </c>
      <c r="K176" s="25">
        <f>IF(C176="","",IF(G176=0,"not invoiced yet",SUBSTITUTE(TRIM(IF(COUNTIFS(tbl_Finance[Job Number],C176&amp;"",tbl_Finance[Cost Centre],"ONSITE")&gt;0,"ONSITE ","")&amp;IF(COUNTIFS(tbl_Finance[Job Number],C176&amp;"",tbl_Finance[Cost Centre],"PRODUCTION")&gt;0,"PRODUCTION ","")&amp;IF(COUNTIFS(tbl_Finance[Job Number],C176&amp;"",tbl_Finance[Cost Centre],"VIDEO")&gt;0,"VIDEO ","")&amp;IF(COUNTIFS(tbl_Finance[Job Number],C176&amp;"",tbl_Finance[Cost Centre],"INTEGRATION")&gt;0,"INTEGRATION ","")&amp;IF(COUNTIFS(tbl_Finance[Job Number],C176&amp;"",tbl_Finance[Cost Centre],"CONSULTING")&gt;0,"CONSULTING ","")&amp;IF(COUNTIFS(tbl_Finance[Job Number],C176&amp;"",tbl_Finance[Cost Centre],"CTS")&gt;0,"CTS ",""))," ",", ")))</f>
        <v/>
      </c>
      <c r="L176" s="27">
        <f>IF(C176="","",SUMIFS(tbl_Finance[Inc GST],tbl_Finance[Job Number],C176&amp;""))</f>
        <v/>
      </c>
      <c r="M176" s="24" t="n"/>
      <c r="N176" s="25">
        <f>IF(C176="","",IFERROR(INDEX(tbl_Finance[Description],MATCH(C176&amp;"",tbl_Finance[Job Number],0)),""))</f>
        <v/>
      </c>
      <c r="O176" s="24" t="n"/>
      <c r="P176" s="24" t="n"/>
      <c r="Q176" s="22" t="n"/>
      <c r="R176" s="24" t="n"/>
      <c r="S176" s="25">
        <f>IF(R176="","",IF(AND(LEFT(R176,4)&lt;&gt;"http",set_RMSBase=""),"",HYPERLINK(IF(LEFT(R176,4)="http",R176,set_RMSBase&amp;R176),"Open opportunity")))</f>
        <v/>
      </c>
      <c r="T176" s="24" t="n"/>
      <c r="U176" s="25">
        <f>IF(T176="","",HYPERLINK(IF(LEFT(T176,4)="http",T176,set_QwilrBase&amp;T176),"Open quote"))</f>
        <v/>
      </c>
      <c r="V176" s="25">
        <f>IF(C176="","",C176)</f>
        <v/>
      </c>
      <c r="W176" s="24" t="n"/>
      <c r="X176" s="26" t="n"/>
      <c r="Y176" s="27">
        <f>IF(C176="","",H176+N(X176))</f>
        <v/>
      </c>
      <c r="Z176" s="29">
        <f>IFERROR(X176/Y176,"")</f>
        <v/>
      </c>
      <c r="AA176" s="26" t="n"/>
      <c r="AB176" s="26" t="n"/>
      <c r="AC176" s="26" t="n"/>
      <c r="AD176" s="26" t="n"/>
      <c r="AE176" s="27">
        <f>IF(C176="","",SUMIFS(tbl_Finance[Ex GST],tbl_Finance[Job Number],C176&amp;"",tbl_Finance[Cost Centre],"VIDEO"))</f>
        <v/>
      </c>
      <c r="AF176" s="29">
        <f>IFERROR(AE176/H176,"")</f>
        <v/>
      </c>
      <c r="AG176" s="27">
        <f>IF(C176="","",N(AA176)+N(AB176)+N(AC176)+N(AD176))</f>
        <v/>
      </c>
      <c r="AH176" s="27">
        <f>IF(C176="","",H176-AG176)</f>
        <v/>
      </c>
      <c r="AI176" s="29">
        <f>IFERROR(AH176/H176,"")</f>
        <v/>
      </c>
      <c r="AJ176" s="69" t="n"/>
      <c r="AK176" s="69" t="n"/>
      <c r="AL176" s="69" t="n"/>
      <c r="AM176" s="69" t="n"/>
      <c r="AN176" s="69" t="n"/>
      <c r="AO176" s="24" t="n"/>
    </row>
    <row r="177" ht="15" customHeight="1">
      <c r="A177" s="68">
        <f>IF(C177="","",IFERROR(IF(SUMPRODUCT(MAX((tbl_Finance[Job Number]=C177&amp;"")*(tbl_Finance[Xero Invoice No]&lt;&gt;"")*tbl_Finance[Date]))=0,"",SUMPRODUCT(MAX((tbl_Finance[Job Number]=C177&amp;"")*(tbl_Finance[Xero Invoice No]&lt;&gt;"")*tbl_Finance[Date]))),""))</f>
        <v/>
      </c>
      <c r="B177" s="25">
        <f>IF(C177="","",IF(COUNTIFS(tbl_Finance[Job Number],C177&amp;"",tbl_Finance[Xero Invoice No],"&lt;&gt;")=0,"",IFERROR(IF(COUNTIFS(tbl_Finance[Job Number],C177&amp;"",tbl_Finance[Xero Invoice No],LOOKUP(2,1/((tbl_Finance[Job Number]=C177&amp;"")*(tbl_Finance[Xero Invoice No]&lt;&gt;"")),tbl_Finance[Xero Invoice No]))=COUNTIFS(tbl_Finance[Job Number],C177&amp;"",tbl_Finance[Xero Invoice No],"&lt;&gt;"),LOOKUP(2,1/((tbl_Finance[Job Number]=C177&amp;"")*(tbl_Finance[Xero Invoice No]&lt;&gt;"")),tbl_Finance[Xero Invoice No]),LOOKUP(2,1/((tbl_Finance[Job Number]=C177&amp;"")*(tbl_Finance[Xero Invoice No]&lt;&gt;"")),tbl_Finance[Xero Invoice No])&amp;" +more"),"")))</f>
        <v/>
      </c>
      <c r="C177" s="24" t="n"/>
      <c r="D177" s="25">
        <f>IF(C177="","",IF(COUNTIF(lst_Jobs,C177&amp;"")&gt;0,"OK","CHECK"))</f>
        <v/>
      </c>
      <c r="E177" s="25">
        <f>IF(C177="","",IFERROR(INDEX(lst_JobName,MATCH(C177&amp;"",lst_Jobs,0)),""))</f>
        <v/>
      </c>
      <c r="F177" s="25">
        <f>IF(C177="","",IFERROR(INDEX(tbl_Finance[Client],MATCH(C177&amp;"",tbl_Finance[Job Number],0)),""))</f>
        <v/>
      </c>
      <c r="G177" s="28">
        <f>IF(C177="","",COUNTIFS(tbl_Finance[Job Number],C177&amp;"",tbl_Finance[Ex GST],"&lt;&gt;"))</f>
        <v/>
      </c>
      <c r="H177" s="27">
        <f>IF(C177="","",SUMIFS(tbl_Finance[Ex GST],tbl_Finance[Job Number],C177&amp;""))</f>
        <v/>
      </c>
      <c r="I177" s="27">
        <f>IF(C177="","",SUMIFS(tbl_Finance[Ex GST],tbl_Finance[Job Number],C177&amp;"",tbl_Finance[Xero Invoice No],"&lt;&gt;"))</f>
        <v/>
      </c>
      <c r="J177" s="27">
        <f>IF(C177="","",H177-I177)</f>
        <v/>
      </c>
      <c r="K177" s="25">
        <f>IF(C177="","",IF(G177=0,"not invoiced yet",SUBSTITUTE(TRIM(IF(COUNTIFS(tbl_Finance[Job Number],C177&amp;"",tbl_Finance[Cost Centre],"ONSITE")&gt;0,"ONSITE ","")&amp;IF(COUNTIFS(tbl_Finance[Job Number],C177&amp;"",tbl_Finance[Cost Centre],"PRODUCTION")&gt;0,"PRODUCTION ","")&amp;IF(COUNTIFS(tbl_Finance[Job Number],C177&amp;"",tbl_Finance[Cost Centre],"VIDEO")&gt;0,"VIDEO ","")&amp;IF(COUNTIFS(tbl_Finance[Job Number],C177&amp;"",tbl_Finance[Cost Centre],"INTEGRATION")&gt;0,"INTEGRATION ","")&amp;IF(COUNTIFS(tbl_Finance[Job Number],C177&amp;"",tbl_Finance[Cost Centre],"CONSULTING")&gt;0,"CONSULTING ","")&amp;IF(COUNTIFS(tbl_Finance[Job Number],C177&amp;"",tbl_Finance[Cost Centre],"CTS")&gt;0,"CTS ",""))," ",", ")))</f>
        <v/>
      </c>
      <c r="L177" s="27">
        <f>IF(C177="","",SUMIFS(tbl_Finance[Inc GST],tbl_Finance[Job Number],C177&amp;""))</f>
        <v/>
      </c>
      <c r="M177" s="24" t="n"/>
      <c r="N177" s="25">
        <f>IF(C177="","",IFERROR(INDEX(tbl_Finance[Description],MATCH(C177&amp;"",tbl_Finance[Job Number],0)),""))</f>
        <v/>
      </c>
      <c r="O177" s="24" t="n"/>
      <c r="P177" s="24" t="n"/>
      <c r="Q177" s="22" t="n"/>
      <c r="R177" s="24" t="n"/>
      <c r="S177" s="25">
        <f>IF(R177="","",IF(AND(LEFT(R177,4)&lt;&gt;"http",set_RMSBase=""),"",HYPERLINK(IF(LEFT(R177,4)="http",R177,set_RMSBase&amp;R177),"Open opportunity")))</f>
        <v/>
      </c>
      <c r="T177" s="24" t="n"/>
      <c r="U177" s="25">
        <f>IF(T177="","",HYPERLINK(IF(LEFT(T177,4)="http",T177,set_QwilrBase&amp;T177),"Open quote"))</f>
        <v/>
      </c>
      <c r="V177" s="25">
        <f>IF(C177="","",C177)</f>
        <v/>
      </c>
      <c r="W177" s="24" t="n"/>
      <c r="X177" s="26" t="n"/>
      <c r="Y177" s="27">
        <f>IF(C177="","",H177+N(X177))</f>
        <v/>
      </c>
      <c r="Z177" s="29">
        <f>IFERROR(X177/Y177,"")</f>
        <v/>
      </c>
      <c r="AA177" s="26" t="n"/>
      <c r="AB177" s="26" t="n"/>
      <c r="AC177" s="26" t="n"/>
      <c r="AD177" s="26" t="n"/>
      <c r="AE177" s="27">
        <f>IF(C177="","",SUMIFS(tbl_Finance[Ex GST],tbl_Finance[Job Number],C177&amp;"",tbl_Finance[Cost Centre],"VIDEO"))</f>
        <v/>
      </c>
      <c r="AF177" s="29">
        <f>IFERROR(AE177/H177,"")</f>
        <v/>
      </c>
      <c r="AG177" s="27">
        <f>IF(C177="","",N(AA177)+N(AB177)+N(AC177)+N(AD177))</f>
        <v/>
      </c>
      <c r="AH177" s="27">
        <f>IF(C177="","",H177-AG177)</f>
        <v/>
      </c>
      <c r="AI177" s="29">
        <f>IFERROR(AH177/H177,"")</f>
        <v/>
      </c>
      <c r="AJ177" s="69" t="n"/>
      <c r="AK177" s="69" t="n"/>
      <c r="AL177" s="69" t="n"/>
      <c r="AM177" s="69" t="n"/>
      <c r="AN177" s="69" t="n"/>
      <c r="AO177" s="24" t="n"/>
    </row>
    <row r="178" ht="15" customHeight="1">
      <c r="A178" s="68">
        <f>IF(C178="","",IFERROR(IF(SUMPRODUCT(MAX((tbl_Finance[Job Number]=C178&amp;"")*(tbl_Finance[Xero Invoice No]&lt;&gt;"")*tbl_Finance[Date]))=0,"",SUMPRODUCT(MAX((tbl_Finance[Job Number]=C178&amp;"")*(tbl_Finance[Xero Invoice No]&lt;&gt;"")*tbl_Finance[Date]))),""))</f>
        <v/>
      </c>
      <c r="B178" s="25">
        <f>IF(C178="","",IF(COUNTIFS(tbl_Finance[Job Number],C178&amp;"",tbl_Finance[Xero Invoice No],"&lt;&gt;")=0,"",IFERROR(IF(COUNTIFS(tbl_Finance[Job Number],C178&amp;"",tbl_Finance[Xero Invoice No],LOOKUP(2,1/((tbl_Finance[Job Number]=C178&amp;"")*(tbl_Finance[Xero Invoice No]&lt;&gt;"")),tbl_Finance[Xero Invoice No]))=COUNTIFS(tbl_Finance[Job Number],C178&amp;"",tbl_Finance[Xero Invoice No],"&lt;&gt;"),LOOKUP(2,1/((tbl_Finance[Job Number]=C178&amp;"")*(tbl_Finance[Xero Invoice No]&lt;&gt;"")),tbl_Finance[Xero Invoice No]),LOOKUP(2,1/((tbl_Finance[Job Number]=C178&amp;"")*(tbl_Finance[Xero Invoice No]&lt;&gt;"")),tbl_Finance[Xero Invoice No])&amp;" +more"),"")))</f>
        <v/>
      </c>
      <c r="C178" s="24" t="n"/>
      <c r="D178" s="25">
        <f>IF(C178="","",IF(COUNTIF(lst_Jobs,C178&amp;"")&gt;0,"OK","CHECK"))</f>
        <v/>
      </c>
      <c r="E178" s="25">
        <f>IF(C178="","",IFERROR(INDEX(lst_JobName,MATCH(C178&amp;"",lst_Jobs,0)),""))</f>
        <v/>
      </c>
      <c r="F178" s="25">
        <f>IF(C178="","",IFERROR(INDEX(tbl_Finance[Client],MATCH(C178&amp;"",tbl_Finance[Job Number],0)),""))</f>
        <v/>
      </c>
      <c r="G178" s="28">
        <f>IF(C178="","",COUNTIFS(tbl_Finance[Job Number],C178&amp;"",tbl_Finance[Ex GST],"&lt;&gt;"))</f>
        <v/>
      </c>
      <c r="H178" s="27">
        <f>IF(C178="","",SUMIFS(tbl_Finance[Ex GST],tbl_Finance[Job Number],C178&amp;""))</f>
        <v/>
      </c>
      <c r="I178" s="27">
        <f>IF(C178="","",SUMIFS(tbl_Finance[Ex GST],tbl_Finance[Job Number],C178&amp;"",tbl_Finance[Xero Invoice No],"&lt;&gt;"))</f>
        <v/>
      </c>
      <c r="J178" s="27">
        <f>IF(C178="","",H178-I178)</f>
        <v/>
      </c>
      <c r="K178" s="25">
        <f>IF(C178="","",IF(G178=0,"not invoiced yet",SUBSTITUTE(TRIM(IF(COUNTIFS(tbl_Finance[Job Number],C178&amp;"",tbl_Finance[Cost Centre],"ONSITE")&gt;0,"ONSITE ","")&amp;IF(COUNTIFS(tbl_Finance[Job Number],C178&amp;"",tbl_Finance[Cost Centre],"PRODUCTION")&gt;0,"PRODUCTION ","")&amp;IF(COUNTIFS(tbl_Finance[Job Number],C178&amp;"",tbl_Finance[Cost Centre],"VIDEO")&gt;0,"VIDEO ","")&amp;IF(COUNTIFS(tbl_Finance[Job Number],C178&amp;"",tbl_Finance[Cost Centre],"INTEGRATION")&gt;0,"INTEGRATION ","")&amp;IF(COUNTIFS(tbl_Finance[Job Number],C178&amp;"",tbl_Finance[Cost Centre],"CONSULTING")&gt;0,"CONSULTING ","")&amp;IF(COUNTIFS(tbl_Finance[Job Number],C178&amp;"",tbl_Finance[Cost Centre],"CTS")&gt;0,"CTS ",""))," ",", ")))</f>
        <v/>
      </c>
      <c r="L178" s="27">
        <f>IF(C178="","",SUMIFS(tbl_Finance[Inc GST],tbl_Finance[Job Number],C178&amp;""))</f>
        <v/>
      </c>
      <c r="M178" s="24" t="n"/>
      <c r="N178" s="25">
        <f>IF(C178="","",IFERROR(INDEX(tbl_Finance[Description],MATCH(C178&amp;"",tbl_Finance[Job Number],0)),""))</f>
        <v/>
      </c>
      <c r="O178" s="24" t="n"/>
      <c r="P178" s="24" t="n"/>
      <c r="Q178" s="22" t="n"/>
      <c r="R178" s="24" t="n"/>
      <c r="S178" s="25">
        <f>IF(R178="","",IF(AND(LEFT(R178,4)&lt;&gt;"http",set_RMSBase=""),"",HYPERLINK(IF(LEFT(R178,4)="http",R178,set_RMSBase&amp;R178),"Open opportunity")))</f>
        <v/>
      </c>
      <c r="T178" s="24" t="n"/>
      <c r="U178" s="25">
        <f>IF(T178="","",HYPERLINK(IF(LEFT(T178,4)="http",T178,set_QwilrBase&amp;T178),"Open quote"))</f>
        <v/>
      </c>
      <c r="V178" s="25">
        <f>IF(C178="","",C178)</f>
        <v/>
      </c>
      <c r="W178" s="24" t="n"/>
      <c r="X178" s="26" t="n"/>
      <c r="Y178" s="27">
        <f>IF(C178="","",H178+N(X178))</f>
        <v/>
      </c>
      <c r="Z178" s="29">
        <f>IFERROR(X178/Y178,"")</f>
        <v/>
      </c>
      <c r="AA178" s="26" t="n"/>
      <c r="AB178" s="26" t="n"/>
      <c r="AC178" s="26" t="n"/>
      <c r="AD178" s="26" t="n"/>
      <c r="AE178" s="27">
        <f>IF(C178="","",SUMIFS(tbl_Finance[Ex GST],tbl_Finance[Job Number],C178&amp;"",tbl_Finance[Cost Centre],"VIDEO"))</f>
        <v/>
      </c>
      <c r="AF178" s="29">
        <f>IFERROR(AE178/H178,"")</f>
        <v/>
      </c>
      <c r="AG178" s="27">
        <f>IF(C178="","",N(AA178)+N(AB178)+N(AC178)+N(AD178))</f>
        <v/>
      </c>
      <c r="AH178" s="27">
        <f>IF(C178="","",H178-AG178)</f>
        <v/>
      </c>
      <c r="AI178" s="29">
        <f>IFERROR(AH178/H178,"")</f>
        <v/>
      </c>
      <c r="AJ178" s="69" t="n"/>
      <c r="AK178" s="69" t="n"/>
      <c r="AL178" s="69" t="n"/>
      <c r="AM178" s="69" t="n"/>
      <c r="AN178" s="69" t="n"/>
      <c r="AO178" s="24" t="n"/>
    </row>
    <row r="179" ht="15" customHeight="1">
      <c r="A179" s="68">
        <f>IF(C179="","",IFERROR(IF(SUMPRODUCT(MAX((tbl_Finance[Job Number]=C179&amp;"")*(tbl_Finance[Xero Invoice No]&lt;&gt;"")*tbl_Finance[Date]))=0,"",SUMPRODUCT(MAX((tbl_Finance[Job Number]=C179&amp;"")*(tbl_Finance[Xero Invoice No]&lt;&gt;"")*tbl_Finance[Date]))),""))</f>
        <v/>
      </c>
      <c r="B179" s="25">
        <f>IF(C179="","",IF(COUNTIFS(tbl_Finance[Job Number],C179&amp;"",tbl_Finance[Xero Invoice No],"&lt;&gt;")=0,"",IFERROR(IF(COUNTIFS(tbl_Finance[Job Number],C179&amp;"",tbl_Finance[Xero Invoice No],LOOKUP(2,1/((tbl_Finance[Job Number]=C179&amp;"")*(tbl_Finance[Xero Invoice No]&lt;&gt;"")),tbl_Finance[Xero Invoice No]))=COUNTIFS(tbl_Finance[Job Number],C179&amp;"",tbl_Finance[Xero Invoice No],"&lt;&gt;"),LOOKUP(2,1/((tbl_Finance[Job Number]=C179&amp;"")*(tbl_Finance[Xero Invoice No]&lt;&gt;"")),tbl_Finance[Xero Invoice No]),LOOKUP(2,1/((tbl_Finance[Job Number]=C179&amp;"")*(tbl_Finance[Xero Invoice No]&lt;&gt;"")),tbl_Finance[Xero Invoice No])&amp;" +more"),"")))</f>
        <v/>
      </c>
      <c r="C179" s="24" t="n"/>
      <c r="D179" s="25">
        <f>IF(C179="","",IF(COUNTIF(lst_Jobs,C179&amp;"")&gt;0,"OK","CHECK"))</f>
        <v/>
      </c>
      <c r="E179" s="25">
        <f>IF(C179="","",IFERROR(INDEX(lst_JobName,MATCH(C179&amp;"",lst_Jobs,0)),""))</f>
        <v/>
      </c>
      <c r="F179" s="25">
        <f>IF(C179="","",IFERROR(INDEX(tbl_Finance[Client],MATCH(C179&amp;"",tbl_Finance[Job Number],0)),""))</f>
        <v/>
      </c>
      <c r="G179" s="28">
        <f>IF(C179="","",COUNTIFS(tbl_Finance[Job Number],C179&amp;"",tbl_Finance[Ex GST],"&lt;&gt;"))</f>
        <v/>
      </c>
      <c r="H179" s="27">
        <f>IF(C179="","",SUMIFS(tbl_Finance[Ex GST],tbl_Finance[Job Number],C179&amp;""))</f>
        <v/>
      </c>
      <c r="I179" s="27">
        <f>IF(C179="","",SUMIFS(tbl_Finance[Ex GST],tbl_Finance[Job Number],C179&amp;"",tbl_Finance[Xero Invoice No],"&lt;&gt;"))</f>
        <v/>
      </c>
      <c r="J179" s="27">
        <f>IF(C179="","",H179-I179)</f>
        <v/>
      </c>
      <c r="K179" s="25">
        <f>IF(C179="","",IF(G179=0,"not invoiced yet",SUBSTITUTE(TRIM(IF(COUNTIFS(tbl_Finance[Job Number],C179&amp;"",tbl_Finance[Cost Centre],"ONSITE")&gt;0,"ONSITE ","")&amp;IF(COUNTIFS(tbl_Finance[Job Number],C179&amp;"",tbl_Finance[Cost Centre],"PRODUCTION")&gt;0,"PRODUCTION ","")&amp;IF(COUNTIFS(tbl_Finance[Job Number],C179&amp;"",tbl_Finance[Cost Centre],"VIDEO")&gt;0,"VIDEO ","")&amp;IF(COUNTIFS(tbl_Finance[Job Number],C179&amp;"",tbl_Finance[Cost Centre],"INTEGRATION")&gt;0,"INTEGRATION ","")&amp;IF(COUNTIFS(tbl_Finance[Job Number],C179&amp;"",tbl_Finance[Cost Centre],"CONSULTING")&gt;0,"CONSULTING ","")&amp;IF(COUNTIFS(tbl_Finance[Job Number],C179&amp;"",tbl_Finance[Cost Centre],"CTS")&gt;0,"CTS ",""))," ",", ")))</f>
        <v/>
      </c>
      <c r="L179" s="27">
        <f>IF(C179="","",SUMIFS(tbl_Finance[Inc GST],tbl_Finance[Job Number],C179&amp;""))</f>
        <v/>
      </c>
      <c r="M179" s="24" t="n"/>
      <c r="N179" s="25">
        <f>IF(C179="","",IFERROR(INDEX(tbl_Finance[Description],MATCH(C179&amp;"",tbl_Finance[Job Number],0)),""))</f>
        <v/>
      </c>
      <c r="O179" s="24" t="n"/>
      <c r="P179" s="24" t="n"/>
      <c r="Q179" s="22" t="n"/>
      <c r="R179" s="24" t="n"/>
      <c r="S179" s="25">
        <f>IF(R179="","",IF(AND(LEFT(R179,4)&lt;&gt;"http",set_RMSBase=""),"",HYPERLINK(IF(LEFT(R179,4)="http",R179,set_RMSBase&amp;R179),"Open opportunity")))</f>
        <v/>
      </c>
      <c r="T179" s="24" t="n"/>
      <c r="U179" s="25">
        <f>IF(T179="","",HYPERLINK(IF(LEFT(T179,4)="http",T179,set_QwilrBase&amp;T179),"Open quote"))</f>
        <v/>
      </c>
      <c r="V179" s="25">
        <f>IF(C179="","",C179)</f>
        <v/>
      </c>
      <c r="W179" s="24" t="n"/>
      <c r="X179" s="26" t="n"/>
      <c r="Y179" s="27">
        <f>IF(C179="","",H179+N(X179))</f>
        <v/>
      </c>
      <c r="Z179" s="29">
        <f>IFERROR(X179/Y179,"")</f>
        <v/>
      </c>
      <c r="AA179" s="26" t="n"/>
      <c r="AB179" s="26" t="n"/>
      <c r="AC179" s="26" t="n"/>
      <c r="AD179" s="26" t="n"/>
      <c r="AE179" s="27">
        <f>IF(C179="","",SUMIFS(tbl_Finance[Ex GST],tbl_Finance[Job Number],C179&amp;"",tbl_Finance[Cost Centre],"VIDEO"))</f>
        <v/>
      </c>
      <c r="AF179" s="29">
        <f>IFERROR(AE179/H179,"")</f>
        <v/>
      </c>
      <c r="AG179" s="27">
        <f>IF(C179="","",N(AA179)+N(AB179)+N(AC179)+N(AD179))</f>
        <v/>
      </c>
      <c r="AH179" s="27">
        <f>IF(C179="","",H179-AG179)</f>
        <v/>
      </c>
      <c r="AI179" s="29">
        <f>IFERROR(AH179/H179,"")</f>
        <v/>
      </c>
      <c r="AJ179" s="69" t="n"/>
      <c r="AK179" s="69" t="n"/>
      <c r="AL179" s="69" t="n"/>
      <c r="AM179" s="69" t="n"/>
      <c r="AN179" s="69" t="n"/>
      <c r="AO179" s="24" t="n"/>
    </row>
    <row r="180" ht="15" customHeight="1">
      <c r="A180" s="68">
        <f>IF(C180="","",IFERROR(IF(SUMPRODUCT(MAX((tbl_Finance[Job Number]=C180&amp;"")*(tbl_Finance[Xero Invoice No]&lt;&gt;"")*tbl_Finance[Date]))=0,"",SUMPRODUCT(MAX((tbl_Finance[Job Number]=C180&amp;"")*(tbl_Finance[Xero Invoice No]&lt;&gt;"")*tbl_Finance[Date]))),""))</f>
        <v/>
      </c>
      <c r="B180" s="25">
        <f>IF(C180="","",IF(COUNTIFS(tbl_Finance[Job Number],C180&amp;"",tbl_Finance[Xero Invoice No],"&lt;&gt;")=0,"",IFERROR(IF(COUNTIFS(tbl_Finance[Job Number],C180&amp;"",tbl_Finance[Xero Invoice No],LOOKUP(2,1/((tbl_Finance[Job Number]=C180&amp;"")*(tbl_Finance[Xero Invoice No]&lt;&gt;"")),tbl_Finance[Xero Invoice No]))=COUNTIFS(tbl_Finance[Job Number],C180&amp;"",tbl_Finance[Xero Invoice No],"&lt;&gt;"),LOOKUP(2,1/((tbl_Finance[Job Number]=C180&amp;"")*(tbl_Finance[Xero Invoice No]&lt;&gt;"")),tbl_Finance[Xero Invoice No]),LOOKUP(2,1/((tbl_Finance[Job Number]=C180&amp;"")*(tbl_Finance[Xero Invoice No]&lt;&gt;"")),tbl_Finance[Xero Invoice No])&amp;" +more"),"")))</f>
        <v/>
      </c>
      <c r="C180" s="24" t="n"/>
      <c r="D180" s="25">
        <f>IF(C180="","",IF(COUNTIF(lst_Jobs,C180&amp;"")&gt;0,"OK","CHECK"))</f>
        <v/>
      </c>
      <c r="E180" s="25">
        <f>IF(C180="","",IFERROR(INDEX(lst_JobName,MATCH(C180&amp;"",lst_Jobs,0)),""))</f>
        <v/>
      </c>
      <c r="F180" s="25">
        <f>IF(C180="","",IFERROR(INDEX(tbl_Finance[Client],MATCH(C180&amp;"",tbl_Finance[Job Number],0)),""))</f>
        <v/>
      </c>
      <c r="G180" s="28">
        <f>IF(C180="","",COUNTIFS(tbl_Finance[Job Number],C180&amp;"",tbl_Finance[Ex GST],"&lt;&gt;"))</f>
        <v/>
      </c>
      <c r="H180" s="27">
        <f>IF(C180="","",SUMIFS(tbl_Finance[Ex GST],tbl_Finance[Job Number],C180&amp;""))</f>
        <v/>
      </c>
      <c r="I180" s="27">
        <f>IF(C180="","",SUMIFS(tbl_Finance[Ex GST],tbl_Finance[Job Number],C180&amp;"",tbl_Finance[Xero Invoice No],"&lt;&gt;"))</f>
        <v/>
      </c>
      <c r="J180" s="27">
        <f>IF(C180="","",H180-I180)</f>
        <v/>
      </c>
      <c r="K180" s="25">
        <f>IF(C180="","",IF(G180=0,"not invoiced yet",SUBSTITUTE(TRIM(IF(COUNTIFS(tbl_Finance[Job Number],C180&amp;"",tbl_Finance[Cost Centre],"ONSITE")&gt;0,"ONSITE ","")&amp;IF(COUNTIFS(tbl_Finance[Job Number],C180&amp;"",tbl_Finance[Cost Centre],"PRODUCTION")&gt;0,"PRODUCTION ","")&amp;IF(COUNTIFS(tbl_Finance[Job Number],C180&amp;"",tbl_Finance[Cost Centre],"VIDEO")&gt;0,"VIDEO ","")&amp;IF(COUNTIFS(tbl_Finance[Job Number],C180&amp;"",tbl_Finance[Cost Centre],"INTEGRATION")&gt;0,"INTEGRATION ","")&amp;IF(COUNTIFS(tbl_Finance[Job Number],C180&amp;"",tbl_Finance[Cost Centre],"CONSULTING")&gt;0,"CONSULTING ","")&amp;IF(COUNTIFS(tbl_Finance[Job Number],C180&amp;"",tbl_Finance[Cost Centre],"CTS")&gt;0,"CTS ",""))," ",", ")))</f>
        <v/>
      </c>
      <c r="L180" s="27">
        <f>IF(C180="","",SUMIFS(tbl_Finance[Inc GST],tbl_Finance[Job Number],C180&amp;""))</f>
        <v/>
      </c>
      <c r="M180" s="24" t="n"/>
      <c r="N180" s="25">
        <f>IF(C180="","",IFERROR(INDEX(tbl_Finance[Description],MATCH(C180&amp;"",tbl_Finance[Job Number],0)),""))</f>
        <v/>
      </c>
      <c r="O180" s="24" t="n"/>
      <c r="P180" s="24" t="n"/>
      <c r="Q180" s="22" t="n"/>
      <c r="R180" s="24" t="n"/>
      <c r="S180" s="25">
        <f>IF(R180="","",IF(AND(LEFT(R180,4)&lt;&gt;"http",set_RMSBase=""),"",HYPERLINK(IF(LEFT(R180,4)="http",R180,set_RMSBase&amp;R180),"Open opportunity")))</f>
        <v/>
      </c>
      <c r="T180" s="24" t="n"/>
      <c r="U180" s="25">
        <f>IF(T180="","",HYPERLINK(IF(LEFT(T180,4)="http",T180,set_QwilrBase&amp;T180),"Open quote"))</f>
        <v/>
      </c>
      <c r="V180" s="25">
        <f>IF(C180="","",C180)</f>
        <v/>
      </c>
      <c r="W180" s="24" t="n"/>
      <c r="X180" s="26" t="n"/>
      <c r="Y180" s="27">
        <f>IF(C180="","",H180+N(X180))</f>
        <v/>
      </c>
      <c r="Z180" s="29">
        <f>IFERROR(X180/Y180,"")</f>
        <v/>
      </c>
      <c r="AA180" s="26" t="n"/>
      <c r="AB180" s="26" t="n"/>
      <c r="AC180" s="26" t="n"/>
      <c r="AD180" s="26" t="n"/>
      <c r="AE180" s="27">
        <f>IF(C180="","",SUMIFS(tbl_Finance[Ex GST],tbl_Finance[Job Number],C180&amp;"",tbl_Finance[Cost Centre],"VIDEO"))</f>
        <v/>
      </c>
      <c r="AF180" s="29">
        <f>IFERROR(AE180/H180,"")</f>
        <v/>
      </c>
      <c r="AG180" s="27">
        <f>IF(C180="","",N(AA180)+N(AB180)+N(AC180)+N(AD180))</f>
        <v/>
      </c>
      <c r="AH180" s="27">
        <f>IF(C180="","",H180-AG180)</f>
        <v/>
      </c>
      <c r="AI180" s="29">
        <f>IFERROR(AH180/H180,"")</f>
        <v/>
      </c>
      <c r="AJ180" s="69" t="n"/>
      <c r="AK180" s="69" t="n"/>
      <c r="AL180" s="69" t="n"/>
      <c r="AM180" s="69" t="n"/>
      <c r="AN180" s="69" t="n"/>
      <c r="AO180" s="24" t="n"/>
    </row>
    <row r="181" ht="15" customHeight="1">
      <c r="A181" s="68">
        <f>IF(C181="","",IFERROR(IF(SUMPRODUCT(MAX((tbl_Finance[Job Number]=C181&amp;"")*(tbl_Finance[Xero Invoice No]&lt;&gt;"")*tbl_Finance[Date]))=0,"",SUMPRODUCT(MAX((tbl_Finance[Job Number]=C181&amp;"")*(tbl_Finance[Xero Invoice No]&lt;&gt;"")*tbl_Finance[Date]))),""))</f>
        <v/>
      </c>
      <c r="B181" s="25">
        <f>IF(C181="","",IF(COUNTIFS(tbl_Finance[Job Number],C181&amp;"",tbl_Finance[Xero Invoice No],"&lt;&gt;")=0,"",IFERROR(IF(COUNTIFS(tbl_Finance[Job Number],C181&amp;"",tbl_Finance[Xero Invoice No],LOOKUP(2,1/((tbl_Finance[Job Number]=C181&amp;"")*(tbl_Finance[Xero Invoice No]&lt;&gt;"")),tbl_Finance[Xero Invoice No]))=COUNTIFS(tbl_Finance[Job Number],C181&amp;"",tbl_Finance[Xero Invoice No],"&lt;&gt;"),LOOKUP(2,1/((tbl_Finance[Job Number]=C181&amp;"")*(tbl_Finance[Xero Invoice No]&lt;&gt;"")),tbl_Finance[Xero Invoice No]),LOOKUP(2,1/((tbl_Finance[Job Number]=C181&amp;"")*(tbl_Finance[Xero Invoice No]&lt;&gt;"")),tbl_Finance[Xero Invoice No])&amp;" +more"),"")))</f>
        <v/>
      </c>
      <c r="C181" s="24" t="n"/>
      <c r="D181" s="25">
        <f>IF(C181="","",IF(COUNTIF(lst_Jobs,C181&amp;"")&gt;0,"OK","CHECK"))</f>
        <v/>
      </c>
      <c r="E181" s="25">
        <f>IF(C181="","",IFERROR(INDEX(lst_JobName,MATCH(C181&amp;"",lst_Jobs,0)),""))</f>
        <v/>
      </c>
      <c r="F181" s="25">
        <f>IF(C181="","",IFERROR(INDEX(tbl_Finance[Client],MATCH(C181&amp;"",tbl_Finance[Job Number],0)),""))</f>
        <v/>
      </c>
      <c r="G181" s="28">
        <f>IF(C181="","",COUNTIFS(tbl_Finance[Job Number],C181&amp;"",tbl_Finance[Ex GST],"&lt;&gt;"))</f>
        <v/>
      </c>
      <c r="H181" s="27">
        <f>IF(C181="","",SUMIFS(tbl_Finance[Ex GST],tbl_Finance[Job Number],C181&amp;""))</f>
        <v/>
      </c>
      <c r="I181" s="27">
        <f>IF(C181="","",SUMIFS(tbl_Finance[Ex GST],tbl_Finance[Job Number],C181&amp;"",tbl_Finance[Xero Invoice No],"&lt;&gt;"))</f>
        <v/>
      </c>
      <c r="J181" s="27">
        <f>IF(C181="","",H181-I181)</f>
        <v/>
      </c>
      <c r="K181" s="25">
        <f>IF(C181="","",IF(G181=0,"not invoiced yet",SUBSTITUTE(TRIM(IF(COUNTIFS(tbl_Finance[Job Number],C181&amp;"",tbl_Finance[Cost Centre],"ONSITE")&gt;0,"ONSITE ","")&amp;IF(COUNTIFS(tbl_Finance[Job Number],C181&amp;"",tbl_Finance[Cost Centre],"PRODUCTION")&gt;0,"PRODUCTION ","")&amp;IF(COUNTIFS(tbl_Finance[Job Number],C181&amp;"",tbl_Finance[Cost Centre],"VIDEO")&gt;0,"VIDEO ","")&amp;IF(COUNTIFS(tbl_Finance[Job Number],C181&amp;"",tbl_Finance[Cost Centre],"INTEGRATION")&gt;0,"INTEGRATION ","")&amp;IF(COUNTIFS(tbl_Finance[Job Number],C181&amp;"",tbl_Finance[Cost Centre],"CONSULTING")&gt;0,"CONSULTING ","")&amp;IF(COUNTIFS(tbl_Finance[Job Number],C181&amp;"",tbl_Finance[Cost Centre],"CTS")&gt;0,"CTS ",""))," ",", ")))</f>
        <v/>
      </c>
      <c r="L181" s="27">
        <f>IF(C181="","",SUMIFS(tbl_Finance[Inc GST],tbl_Finance[Job Number],C181&amp;""))</f>
        <v/>
      </c>
      <c r="M181" s="24" t="n"/>
      <c r="N181" s="25">
        <f>IF(C181="","",IFERROR(INDEX(tbl_Finance[Description],MATCH(C181&amp;"",tbl_Finance[Job Number],0)),""))</f>
        <v/>
      </c>
      <c r="O181" s="24" t="n"/>
      <c r="P181" s="24" t="n"/>
      <c r="Q181" s="22" t="n"/>
      <c r="R181" s="24" t="n"/>
      <c r="S181" s="25">
        <f>IF(R181="","",IF(AND(LEFT(R181,4)&lt;&gt;"http",set_RMSBase=""),"",HYPERLINK(IF(LEFT(R181,4)="http",R181,set_RMSBase&amp;R181),"Open opportunity")))</f>
        <v/>
      </c>
      <c r="T181" s="24" t="n"/>
      <c r="U181" s="25">
        <f>IF(T181="","",HYPERLINK(IF(LEFT(T181,4)="http",T181,set_QwilrBase&amp;T181),"Open quote"))</f>
        <v/>
      </c>
      <c r="V181" s="25">
        <f>IF(C181="","",C181)</f>
        <v/>
      </c>
      <c r="W181" s="24" t="n"/>
      <c r="X181" s="26" t="n"/>
      <c r="Y181" s="27">
        <f>IF(C181="","",H181+N(X181))</f>
        <v/>
      </c>
      <c r="Z181" s="29">
        <f>IFERROR(X181/Y181,"")</f>
        <v/>
      </c>
      <c r="AA181" s="26" t="n"/>
      <c r="AB181" s="26" t="n"/>
      <c r="AC181" s="26" t="n"/>
      <c r="AD181" s="26" t="n"/>
      <c r="AE181" s="27">
        <f>IF(C181="","",SUMIFS(tbl_Finance[Ex GST],tbl_Finance[Job Number],C181&amp;"",tbl_Finance[Cost Centre],"VIDEO"))</f>
        <v/>
      </c>
      <c r="AF181" s="29">
        <f>IFERROR(AE181/H181,"")</f>
        <v/>
      </c>
      <c r="AG181" s="27">
        <f>IF(C181="","",N(AA181)+N(AB181)+N(AC181)+N(AD181))</f>
        <v/>
      </c>
      <c r="AH181" s="27">
        <f>IF(C181="","",H181-AG181)</f>
        <v/>
      </c>
      <c r="AI181" s="29">
        <f>IFERROR(AH181/H181,"")</f>
        <v/>
      </c>
      <c r="AJ181" s="69" t="n"/>
      <c r="AK181" s="69" t="n"/>
      <c r="AL181" s="69" t="n"/>
      <c r="AM181" s="69" t="n"/>
      <c r="AN181" s="69" t="n"/>
      <c r="AO181" s="24" t="n"/>
    </row>
    <row r="182" ht="15" customHeight="1">
      <c r="A182" s="68">
        <f>IF(C182="","",IFERROR(IF(SUMPRODUCT(MAX((tbl_Finance[Job Number]=C182&amp;"")*(tbl_Finance[Xero Invoice No]&lt;&gt;"")*tbl_Finance[Date]))=0,"",SUMPRODUCT(MAX((tbl_Finance[Job Number]=C182&amp;"")*(tbl_Finance[Xero Invoice No]&lt;&gt;"")*tbl_Finance[Date]))),""))</f>
        <v/>
      </c>
      <c r="B182" s="25">
        <f>IF(C182="","",IF(COUNTIFS(tbl_Finance[Job Number],C182&amp;"",tbl_Finance[Xero Invoice No],"&lt;&gt;")=0,"",IFERROR(IF(COUNTIFS(tbl_Finance[Job Number],C182&amp;"",tbl_Finance[Xero Invoice No],LOOKUP(2,1/((tbl_Finance[Job Number]=C182&amp;"")*(tbl_Finance[Xero Invoice No]&lt;&gt;"")),tbl_Finance[Xero Invoice No]))=COUNTIFS(tbl_Finance[Job Number],C182&amp;"",tbl_Finance[Xero Invoice No],"&lt;&gt;"),LOOKUP(2,1/((tbl_Finance[Job Number]=C182&amp;"")*(tbl_Finance[Xero Invoice No]&lt;&gt;"")),tbl_Finance[Xero Invoice No]),LOOKUP(2,1/((tbl_Finance[Job Number]=C182&amp;"")*(tbl_Finance[Xero Invoice No]&lt;&gt;"")),tbl_Finance[Xero Invoice No])&amp;" +more"),"")))</f>
        <v/>
      </c>
      <c r="C182" s="24" t="n"/>
      <c r="D182" s="25">
        <f>IF(C182="","",IF(COUNTIF(lst_Jobs,C182&amp;"")&gt;0,"OK","CHECK"))</f>
        <v/>
      </c>
      <c r="E182" s="25">
        <f>IF(C182="","",IFERROR(INDEX(lst_JobName,MATCH(C182&amp;"",lst_Jobs,0)),""))</f>
        <v/>
      </c>
      <c r="F182" s="25">
        <f>IF(C182="","",IFERROR(INDEX(tbl_Finance[Client],MATCH(C182&amp;"",tbl_Finance[Job Number],0)),""))</f>
        <v/>
      </c>
      <c r="G182" s="28">
        <f>IF(C182="","",COUNTIFS(tbl_Finance[Job Number],C182&amp;"",tbl_Finance[Ex GST],"&lt;&gt;"))</f>
        <v/>
      </c>
      <c r="H182" s="27">
        <f>IF(C182="","",SUMIFS(tbl_Finance[Ex GST],tbl_Finance[Job Number],C182&amp;""))</f>
        <v/>
      </c>
      <c r="I182" s="27">
        <f>IF(C182="","",SUMIFS(tbl_Finance[Ex GST],tbl_Finance[Job Number],C182&amp;"",tbl_Finance[Xero Invoice No],"&lt;&gt;"))</f>
        <v/>
      </c>
      <c r="J182" s="27">
        <f>IF(C182="","",H182-I182)</f>
        <v/>
      </c>
      <c r="K182" s="25">
        <f>IF(C182="","",IF(G182=0,"not invoiced yet",SUBSTITUTE(TRIM(IF(COUNTIFS(tbl_Finance[Job Number],C182&amp;"",tbl_Finance[Cost Centre],"ONSITE")&gt;0,"ONSITE ","")&amp;IF(COUNTIFS(tbl_Finance[Job Number],C182&amp;"",tbl_Finance[Cost Centre],"PRODUCTION")&gt;0,"PRODUCTION ","")&amp;IF(COUNTIFS(tbl_Finance[Job Number],C182&amp;"",tbl_Finance[Cost Centre],"VIDEO")&gt;0,"VIDEO ","")&amp;IF(COUNTIFS(tbl_Finance[Job Number],C182&amp;"",tbl_Finance[Cost Centre],"INTEGRATION")&gt;0,"INTEGRATION ","")&amp;IF(COUNTIFS(tbl_Finance[Job Number],C182&amp;"",tbl_Finance[Cost Centre],"CONSULTING")&gt;0,"CONSULTING ","")&amp;IF(COUNTIFS(tbl_Finance[Job Number],C182&amp;"",tbl_Finance[Cost Centre],"CTS")&gt;0,"CTS ",""))," ",", ")))</f>
        <v/>
      </c>
      <c r="L182" s="27">
        <f>IF(C182="","",SUMIFS(tbl_Finance[Inc GST],tbl_Finance[Job Number],C182&amp;""))</f>
        <v/>
      </c>
      <c r="M182" s="24" t="n"/>
      <c r="N182" s="25">
        <f>IF(C182="","",IFERROR(INDEX(tbl_Finance[Description],MATCH(C182&amp;"",tbl_Finance[Job Number],0)),""))</f>
        <v/>
      </c>
      <c r="O182" s="24" t="n"/>
      <c r="P182" s="24" t="n"/>
      <c r="Q182" s="22" t="n"/>
      <c r="R182" s="24" t="n"/>
      <c r="S182" s="25">
        <f>IF(R182="","",IF(AND(LEFT(R182,4)&lt;&gt;"http",set_RMSBase=""),"",HYPERLINK(IF(LEFT(R182,4)="http",R182,set_RMSBase&amp;R182),"Open opportunity")))</f>
        <v/>
      </c>
      <c r="T182" s="24" t="n"/>
      <c r="U182" s="25">
        <f>IF(T182="","",HYPERLINK(IF(LEFT(T182,4)="http",T182,set_QwilrBase&amp;T182),"Open quote"))</f>
        <v/>
      </c>
      <c r="V182" s="25">
        <f>IF(C182="","",C182)</f>
        <v/>
      </c>
      <c r="W182" s="24" t="n"/>
      <c r="X182" s="26" t="n"/>
      <c r="Y182" s="27">
        <f>IF(C182="","",H182+N(X182))</f>
        <v/>
      </c>
      <c r="Z182" s="29">
        <f>IFERROR(X182/Y182,"")</f>
        <v/>
      </c>
      <c r="AA182" s="26" t="n"/>
      <c r="AB182" s="26" t="n"/>
      <c r="AC182" s="26" t="n"/>
      <c r="AD182" s="26" t="n"/>
      <c r="AE182" s="27">
        <f>IF(C182="","",SUMIFS(tbl_Finance[Ex GST],tbl_Finance[Job Number],C182&amp;"",tbl_Finance[Cost Centre],"VIDEO"))</f>
        <v/>
      </c>
      <c r="AF182" s="29">
        <f>IFERROR(AE182/H182,"")</f>
        <v/>
      </c>
      <c r="AG182" s="27">
        <f>IF(C182="","",N(AA182)+N(AB182)+N(AC182)+N(AD182))</f>
        <v/>
      </c>
      <c r="AH182" s="27">
        <f>IF(C182="","",H182-AG182)</f>
        <v/>
      </c>
      <c r="AI182" s="29">
        <f>IFERROR(AH182/H182,"")</f>
        <v/>
      </c>
      <c r="AJ182" s="69" t="n"/>
      <c r="AK182" s="69" t="n"/>
      <c r="AL182" s="69" t="n"/>
      <c r="AM182" s="69" t="n"/>
      <c r="AN182" s="69" t="n"/>
      <c r="AO182" s="24" t="n"/>
    </row>
    <row r="183" ht="15" customHeight="1">
      <c r="A183" s="68">
        <f>IF(C183="","",IFERROR(IF(SUMPRODUCT(MAX((tbl_Finance[Job Number]=C183&amp;"")*(tbl_Finance[Xero Invoice No]&lt;&gt;"")*tbl_Finance[Date]))=0,"",SUMPRODUCT(MAX((tbl_Finance[Job Number]=C183&amp;"")*(tbl_Finance[Xero Invoice No]&lt;&gt;"")*tbl_Finance[Date]))),""))</f>
        <v/>
      </c>
      <c r="B183" s="25">
        <f>IF(C183="","",IF(COUNTIFS(tbl_Finance[Job Number],C183&amp;"",tbl_Finance[Xero Invoice No],"&lt;&gt;")=0,"",IFERROR(IF(COUNTIFS(tbl_Finance[Job Number],C183&amp;"",tbl_Finance[Xero Invoice No],LOOKUP(2,1/((tbl_Finance[Job Number]=C183&amp;"")*(tbl_Finance[Xero Invoice No]&lt;&gt;"")),tbl_Finance[Xero Invoice No]))=COUNTIFS(tbl_Finance[Job Number],C183&amp;"",tbl_Finance[Xero Invoice No],"&lt;&gt;"),LOOKUP(2,1/((tbl_Finance[Job Number]=C183&amp;"")*(tbl_Finance[Xero Invoice No]&lt;&gt;"")),tbl_Finance[Xero Invoice No]),LOOKUP(2,1/((tbl_Finance[Job Number]=C183&amp;"")*(tbl_Finance[Xero Invoice No]&lt;&gt;"")),tbl_Finance[Xero Invoice No])&amp;" +more"),"")))</f>
        <v/>
      </c>
      <c r="C183" s="24" t="n"/>
      <c r="D183" s="25">
        <f>IF(C183="","",IF(COUNTIF(lst_Jobs,C183&amp;"")&gt;0,"OK","CHECK"))</f>
        <v/>
      </c>
      <c r="E183" s="25">
        <f>IF(C183="","",IFERROR(INDEX(lst_JobName,MATCH(C183&amp;"",lst_Jobs,0)),""))</f>
        <v/>
      </c>
      <c r="F183" s="25">
        <f>IF(C183="","",IFERROR(INDEX(tbl_Finance[Client],MATCH(C183&amp;"",tbl_Finance[Job Number],0)),""))</f>
        <v/>
      </c>
      <c r="G183" s="28">
        <f>IF(C183="","",COUNTIFS(tbl_Finance[Job Number],C183&amp;"",tbl_Finance[Ex GST],"&lt;&gt;"))</f>
        <v/>
      </c>
      <c r="H183" s="27">
        <f>IF(C183="","",SUMIFS(tbl_Finance[Ex GST],tbl_Finance[Job Number],C183&amp;""))</f>
        <v/>
      </c>
      <c r="I183" s="27">
        <f>IF(C183="","",SUMIFS(tbl_Finance[Ex GST],tbl_Finance[Job Number],C183&amp;"",tbl_Finance[Xero Invoice No],"&lt;&gt;"))</f>
        <v/>
      </c>
      <c r="J183" s="27">
        <f>IF(C183="","",H183-I183)</f>
        <v/>
      </c>
      <c r="K183" s="25">
        <f>IF(C183="","",IF(G183=0,"not invoiced yet",SUBSTITUTE(TRIM(IF(COUNTIFS(tbl_Finance[Job Number],C183&amp;"",tbl_Finance[Cost Centre],"ONSITE")&gt;0,"ONSITE ","")&amp;IF(COUNTIFS(tbl_Finance[Job Number],C183&amp;"",tbl_Finance[Cost Centre],"PRODUCTION")&gt;0,"PRODUCTION ","")&amp;IF(COUNTIFS(tbl_Finance[Job Number],C183&amp;"",tbl_Finance[Cost Centre],"VIDEO")&gt;0,"VIDEO ","")&amp;IF(COUNTIFS(tbl_Finance[Job Number],C183&amp;"",tbl_Finance[Cost Centre],"INTEGRATION")&gt;0,"INTEGRATION ","")&amp;IF(COUNTIFS(tbl_Finance[Job Number],C183&amp;"",tbl_Finance[Cost Centre],"CONSULTING")&gt;0,"CONSULTING ","")&amp;IF(COUNTIFS(tbl_Finance[Job Number],C183&amp;"",tbl_Finance[Cost Centre],"CTS")&gt;0,"CTS ",""))," ",", ")))</f>
        <v/>
      </c>
      <c r="L183" s="27">
        <f>IF(C183="","",SUMIFS(tbl_Finance[Inc GST],tbl_Finance[Job Number],C183&amp;""))</f>
        <v/>
      </c>
      <c r="M183" s="24" t="n"/>
      <c r="N183" s="25">
        <f>IF(C183="","",IFERROR(INDEX(tbl_Finance[Description],MATCH(C183&amp;"",tbl_Finance[Job Number],0)),""))</f>
        <v/>
      </c>
      <c r="O183" s="24" t="n"/>
      <c r="P183" s="24" t="n"/>
      <c r="Q183" s="22" t="n"/>
      <c r="R183" s="24" t="n"/>
      <c r="S183" s="25">
        <f>IF(R183="","",IF(AND(LEFT(R183,4)&lt;&gt;"http",set_RMSBase=""),"",HYPERLINK(IF(LEFT(R183,4)="http",R183,set_RMSBase&amp;R183),"Open opportunity")))</f>
        <v/>
      </c>
      <c r="T183" s="24" t="n"/>
      <c r="U183" s="25">
        <f>IF(T183="","",HYPERLINK(IF(LEFT(T183,4)="http",T183,set_QwilrBase&amp;T183),"Open quote"))</f>
        <v/>
      </c>
      <c r="V183" s="25">
        <f>IF(C183="","",C183)</f>
        <v/>
      </c>
      <c r="W183" s="24" t="n"/>
      <c r="X183" s="26" t="n"/>
      <c r="Y183" s="27">
        <f>IF(C183="","",H183+N(X183))</f>
        <v/>
      </c>
      <c r="Z183" s="29">
        <f>IFERROR(X183/Y183,"")</f>
        <v/>
      </c>
      <c r="AA183" s="26" t="n"/>
      <c r="AB183" s="26" t="n"/>
      <c r="AC183" s="26" t="n"/>
      <c r="AD183" s="26" t="n"/>
      <c r="AE183" s="27">
        <f>IF(C183="","",SUMIFS(tbl_Finance[Ex GST],tbl_Finance[Job Number],C183&amp;"",tbl_Finance[Cost Centre],"VIDEO"))</f>
        <v/>
      </c>
      <c r="AF183" s="29">
        <f>IFERROR(AE183/H183,"")</f>
        <v/>
      </c>
      <c r="AG183" s="27">
        <f>IF(C183="","",N(AA183)+N(AB183)+N(AC183)+N(AD183))</f>
        <v/>
      </c>
      <c r="AH183" s="27">
        <f>IF(C183="","",H183-AG183)</f>
        <v/>
      </c>
      <c r="AI183" s="29">
        <f>IFERROR(AH183/H183,"")</f>
        <v/>
      </c>
      <c r="AJ183" s="69" t="n"/>
      <c r="AK183" s="69" t="n"/>
      <c r="AL183" s="69" t="n"/>
      <c r="AM183" s="69" t="n"/>
      <c r="AN183" s="69" t="n"/>
      <c r="AO183" s="24" t="n"/>
    </row>
    <row r="184" ht="15" customHeight="1">
      <c r="A184" s="68">
        <f>IF(C184="","",IFERROR(IF(SUMPRODUCT(MAX((tbl_Finance[Job Number]=C184&amp;"")*(tbl_Finance[Xero Invoice No]&lt;&gt;"")*tbl_Finance[Date]))=0,"",SUMPRODUCT(MAX((tbl_Finance[Job Number]=C184&amp;"")*(tbl_Finance[Xero Invoice No]&lt;&gt;"")*tbl_Finance[Date]))),""))</f>
        <v/>
      </c>
      <c r="B184" s="25">
        <f>IF(C184="","",IF(COUNTIFS(tbl_Finance[Job Number],C184&amp;"",tbl_Finance[Xero Invoice No],"&lt;&gt;")=0,"",IFERROR(IF(COUNTIFS(tbl_Finance[Job Number],C184&amp;"",tbl_Finance[Xero Invoice No],LOOKUP(2,1/((tbl_Finance[Job Number]=C184&amp;"")*(tbl_Finance[Xero Invoice No]&lt;&gt;"")),tbl_Finance[Xero Invoice No]))=COUNTIFS(tbl_Finance[Job Number],C184&amp;"",tbl_Finance[Xero Invoice No],"&lt;&gt;"),LOOKUP(2,1/((tbl_Finance[Job Number]=C184&amp;"")*(tbl_Finance[Xero Invoice No]&lt;&gt;"")),tbl_Finance[Xero Invoice No]),LOOKUP(2,1/((tbl_Finance[Job Number]=C184&amp;"")*(tbl_Finance[Xero Invoice No]&lt;&gt;"")),tbl_Finance[Xero Invoice No])&amp;" +more"),"")))</f>
        <v/>
      </c>
      <c r="C184" s="24" t="n"/>
      <c r="D184" s="25">
        <f>IF(C184="","",IF(COUNTIF(lst_Jobs,C184&amp;"")&gt;0,"OK","CHECK"))</f>
        <v/>
      </c>
      <c r="E184" s="25">
        <f>IF(C184="","",IFERROR(INDEX(lst_JobName,MATCH(C184&amp;"",lst_Jobs,0)),""))</f>
        <v/>
      </c>
      <c r="F184" s="25">
        <f>IF(C184="","",IFERROR(INDEX(tbl_Finance[Client],MATCH(C184&amp;"",tbl_Finance[Job Number],0)),""))</f>
        <v/>
      </c>
      <c r="G184" s="28">
        <f>IF(C184="","",COUNTIFS(tbl_Finance[Job Number],C184&amp;"",tbl_Finance[Ex GST],"&lt;&gt;"))</f>
        <v/>
      </c>
      <c r="H184" s="27">
        <f>IF(C184="","",SUMIFS(tbl_Finance[Ex GST],tbl_Finance[Job Number],C184&amp;""))</f>
        <v/>
      </c>
      <c r="I184" s="27">
        <f>IF(C184="","",SUMIFS(tbl_Finance[Ex GST],tbl_Finance[Job Number],C184&amp;"",tbl_Finance[Xero Invoice No],"&lt;&gt;"))</f>
        <v/>
      </c>
      <c r="J184" s="27">
        <f>IF(C184="","",H184-I184)</f>
        <v/>
      </c>
      <c r="K184" s="25">
        <f>IF(C184="","",IF(G184=0,"not invoiced yet",SUBSTITUTE(TRIM(IF(COUNTIFS(tbl_Finance[Job Number],C184&amp;"",tbl_Finance[Cost Centre],"ONSITE")&gt;0,"ONSITE ","")&amp;IF(COUNTIFS(tbl_Finance[Job Number],C184&amp;"",tbl_Finance[Cost Centre],"PRODUCTION")&gt;0,"PRODUCTION ","")&amp;IF(COUNTIFS(tbl_Finance[Job Number],C184&amp;"",tbl_Finance[Cost Centre],"VIDEO")&gt;0,"VIDEO ","")&amp;IF(COUNTIFS(tbl_Finance[Job Number],C184&amp;"",tbl_Finance[Cost Centre],"INTEGRATION")&gt;0,"INTEGRATION ","")&amp;IF(COUNTIFS(tbl_Finance[Job Number],C184&amp;"",tbl_Finance[Cost Centre],"CONSULTING")&gt;0,"CONSULTING ","")&amp;IF(COUNTIFS(tbl_Finance[Job Number],C184&amp;"",tbl_Finance[Cost Centre],"CTS")&gt;0,"CTS ",""))," ",", ")))</f>
        <v/>
      </c>
      <c r="L184" s="27">
        <f>IF(C184="","",SUMIFS(tbl_Finance[Inc GST],tbl_Finance[Job Number],C184&amp;""))</f>
        <v/>
      </c>
      <c r="M184" s="24" t="n"/>
      <c r="N184" s="25">
        <f>IF(C184="","",IFERROR(INDEX(tbl_Finance[Description],MATCH(C184&amp;"",tbl_Finance[Job Number],0)),""))</f>
        <v/>
      </c>
      <c r="O184" s="24" t="n"/>
      <c r="P184" s="24" t="n"/>
      <c r="Q184" s="22" t="n"/>
      <c r="R184" s="24" t="n"/>
      <c r="S184" s="25">
        <f>IF(R184="","",IF(AND(LEFT(R184,4)&lt;&gt;"http",set_RMSBase=""),"",HYPERLINK(IF(LEFT(R184,4)="http",R184,set_RMSBase&amp;R184),"Open opportunity")))</f>
        <v/>
      </c>
      <c r="T184" s="24" t="n"/>
      <c r="U184" s="25">
        <f>IF(T184="","",HYPERLINK(IF(LEFT(T184,4)="http",T184,set_QwilrBase&amp;T184),"Open quote"))</f>
        <v/>
      </c>
      <c r="V184" s="25">
        <f>IF(C184="","",C184)</f>
        <v/>
      </c>
      <c r="W184" s="24" t="n"/>
      <c r="X184" s="26" t="n"/>
      <c r="Y184" s="27">
        <f>IF(C184="","",H184+N(X184))</f>
        <v/>
      </c>
      <c r="Z184" s="29">
        <f>IFERROR(X184/Y184,"")</f>
        <v/>
      </c>
      <c r="AA184" s="26" t="n"/>
      <c r="AB184" s="26" t="n"/>
      <c r="AC184" s="26" t="n"/>
      <c r="AD184" s="26" t="n"/>
      <c r="AE184" s="27">
        <f>IF(C184="","",SUMIFS(tbl_Finance[Ex GST],tbl_Finance[Job Number],C184&amp;"",tbl_Finance[Cost Centre],"VIDEO"))</f>
        <v/>
      </c>
      <c r="AF184" s="29">
        <f>IFERROR(AE184/H184,"")</f>
        <v/>
      </c>
      <c r="AG184" s="27">
        <f>IF(C184="","",N(AA184)+N(AB184)+N(AC184)+N(AD184))</f>
        <v/>
      </c>
      <c r="AH184" s="27">
        <f>IF(C184="","",H184-AG184)</f>
        <v/>
      </c>
      <c r="AI184" s="29">
        <f>IFERROR(AH184/H184,"")</f>
        <v/>
      </c>
      <c r="AJ184" s="69" t="n"/>
      <c r="AK184" s="69" t="n"/>
      <c r="AL184" s="69" t="n"/>
      <c r="AM184" s="69" t="n"/>
      <c r="AN184" s="69" t="n"/>
      <c r="AO184" s="24" t="n"/>
    </row>
    <row r="185" ht="15" customHeight="1">
      <c r="A185" s="68">
        <f>IF(C185="","",IFERROR(IF(SUMPRODUCT(MAX((tbl_Finance[Job Number]=C185&amp;"")*(tbl_Finance[Xero Invoice No]&lt;&gt;"")*tbl_Finance[Date]))=0,"",SUMPRODUCT(MAX((tbl_Finance[Job Number]=C185&amp;"")*(tbl_Finance[Xero Invoice No]&lt;&gt;"")*tbl_Finance[Date]))),""))</f>
        <v/>
      </c>
      <c r="B185" s="25">
        <f>IF(C185="","",IF(COUNTIFS(tbl_Finance[Job Number],C185&amp;"",tbl_Finance[Xero Invoice No],"&lt;&gt;")=0,"",IFERROR(IF(COUNTIFS(tbl_Finance[Job Number],C185&amp;"",tbl_Finance[Xero Invoice No],LOOKUP(2,1/((tbl_Finance[Job Number]=C185&amp;"")*(tbl_Finance[Xero Invoice No]&lt;&gt;"")),tbl_Finance[Xero Invoice No]))=COUNTIFS(tbl_Finance[Job Number],C185&amp;"",tbl_Finance[Xero Invoice No],"&lt;&gt;"),LOOKUP(2,1/((tbl_Finance[Job Number]=C185&amp;"")*(tbl_Finance[Xero Invoice No]&lt;&gt;"")),tbl_Finance[Xero Invoice No]),LOOKUP(2,1/((tbl_Finance[Job Number]=C185&amp;"")*(tbl_Finance[Xero Invoice No]&lt;&gt;"")),tbl_Finance[Xero Invoice No])&amp;" +more"),"")))</f>
        <v/>
      </c>
      <c r="C185" s="24" t="n"/>
      <c r="D185" s="25">
        <f>IF(C185="","",IF(COUNTIF(lst_Jobs,C185&amp;"")&gt;0,"OK","CHECK"))</f>
        <v/>
      </c>
      <c r="E185" s="25">
        <f>IF(C185="","",IFERROR(INDEX(lst_JobName,MATCH(C185&amp;"",lst_Jobs,0)),""))</f>
        <v/>
      </c>
      <c r="F185" s="25">
        <f>IF(C185="","",IFERROR(INDEX(tbl_Finance[Client],MATCH(C185&amp;"",tbl_Finance[Job Number],0)),""))</f>
        <v/>
      </c>
      <c r="G185" s="28">
        <f>IF(C185="","",COUNTIFS(tbl_Finance[Job Number],C185&amp;"",tbl_Finance[Ex GST],"&lt;&gt;"))</f>
        <v/>
      </c>
      <c r="H185" s="27">
        <f>IF(C185="","",SUMIFS(tbl_Finance[Ex GST],tbl_Finance[Job Number],C185&amp;""))</f>
        <v/>
      </c>
      <c r="I185" s="27">
        <f>IF(C185="","",SUMIFS(tbl_Finance[Ex GST],tbl_Finance[Job Number],C185&amp;"",tbl_Finance[Xero Invoice No],"&lt;&gt;"))</f>
        <v/>
      </c>
      <c r="J185" s="27">
        <f>IF(C185="","",H185-I185)</f>
        <v/>
      </c>
      <c r="K185" s="25">
        <f>IF(C185="","",IF(G185=0,"not invoiced yet",SUBSTITUTE(TRIM(IF(COUNTIFS(tbl_Finance[Job Number],C185&amp;"",tbl_Finance[Cost Centre],"ONSITE")&gt;0,"ONSITE ","")&amp;IF(COUNTIFS(tbl_Finance[Job Number],C185&amp;"",tbl_Finance[Cost Centre],"PRODUCTION")&gt;0,"PRODUCTION ","")&amp;IF(COUNTIFS(tbl_Finance[Job Number],C185&amp;"",tbl_Finance[Cost Centre],"VIDEO")&gt;0,"VIDEO ","")&amp;IF(COUNTIFS(tbl_Finance[Job Number],C185&amp;"",tbl_Finance[Cost Centre],"INTEGRATION")&gt;0,"INTEGRATION ","")&amp;IF(COUNTIFS(tbl_Finance[Job Number],C185&amp;"",tbl_Finance[Cost Centre],"CONSULTING")&gt;0,"CONSULTING ","")&amp;IF(COUNTIFS(tbl_Finance[Job Number],C185&amp;"",tbl_Finance[Cost Centre],"CTS")&gt;0,"CTS ",""))," ",", ")))</f>
        <v/>
      </c>
      <c r="L185" s="27">
        <f>IF(C185="","",SUMIFS(tbl_Finance[Inc GST],tbl_Finance[Job Number],C185&amp;""))</f>
        <v/>
      </c>
      <c r="M185" s="24" t="n"/>
      <c r="N185" s="25">
        <f>IF(C185="","",IFERROR(INDEX(tbl_Finance[Description],MATCH(C185&amp;"",tbl_Finance[Job Number],0)),""))</f>
        <v/>
      </c>
      <c r="O185" s="24" t="n"/>
      <c r="P185" s="24" t="n"/>
      <c r="Q185" s="22" t="n"/>
      <c r="R185" s="24" t="n"/>
      <c r="S185" s="25">
        <f>IF(R185="","",IF(AND(LEFT(R185,4)&lt;&gt;"http",set_RMSBase=""),"",HYPERLINK(IF(LEFT(R185,4)="http",R185,set_RMSBase&amp;R185),"Open opportunity")))</f>
        <v/>
      </c>
      <c r="T185" s="24" t="n"/>
      <c r="U185" s="25">
        <f>IF(T185="","",HYPERLINK(IF(LEFT(T185,4)="http",T185,set_QwilrBase&amp;T185),"Open quote"))</f>
        <v/>
      </c>
      <c r="V185" s="25">
        <f>IF(C185="","",C185)</f>
        <v/>
      </c>
      <c r="W185" s="24" t="n"/>
      <c r="X185" s="26" t="n"/>
      <c r="Y185" s="27">
        <f>IF(C185="","",H185+N(X185))</f>
        <v/>
      </c>
      <c r="Z185" s="29">
        <f>IFERROR(X185/Y185,"")</f>
        <v/>
      </c>
      <c r="AA185" s="26" t="n"/>
      <c r="AB185" s="26" t="n"/>
      <c r="AC185" s="26" t="n"/>
      <c r="AD185" s="26" t="n"/>
      <c r="AE185" s="27">
        <f>IF(C185="","",SUMIFS(tbl_Finance[Ex GST],tbl_Finance[Job Number],C185&amp;"",tbl_Finance[Cost Centre],"VIDEO"))</f>
        <v/>
      </c>
      <c r="AF185" s="29">
        <f>IFERROR(AE185/H185,"")</f>
        <v/>
      </c>
      <c r="AG185" s="27">
        <f>IF(C185="","",N(AA185)+N(AB185)+N(AC185)+N(AD185))</f>
        <v/>
      </c>
      <c r="AH185" s="27">
        <f>IF(C185="","",H185-AG185)</f>
        <v/>
      </c>
      <c r="AI185" s="29">
        <f>IFERROR(AH185/H185,"")</f>
        <v/>
      </c>
      <c r="AJ185" s="69" t="n"/>
      <c r="AK185" s="69" t="n"/>
      <c r="AL185" s="69" t="n"/>
      <c r="AM185" s="69" t="n"/>
      <c r="AN185" s="69" t="n"/>
      <c r="AO185" s="24" t="n"/>
    </row>
    <row r="186" ht="15" customHeight="1">
      <c r="A186" s="68">
        <f>IF(C186="","",IFERROR(IF(SUMPRODUCT(MAX((tbl_Finance[Job Number]=C186&amp;"")*(tbl_Finance[Xero Invoice No]&lt;&gt;"")*tbl_Finance[Date]))=0,"",SUMPRODUCT(MAX((tbl_Finance[Job Number]=C186&amp;"")*(tbl_Finance[Xero Invoice No]&lt;&gt;"")*tbl_Finance[Date]))),""))</f>
        <v/>
      </c>
      <c r="B186" s="25">
        <f>IF(C186="","",IF(COUNTIFS(tbl_Finance[Job Number],C186&amp;"",tbl_Finance[Xero Invoice No],"&lt;&gt;")=0,"",IFERROR(IF(COUNTIFS(tbl_Finance[Job Number],C186&amp;"",tbl_Finance[Xero Invoice No],LOOKUP(2,1/((tbl_Finance[Job Number]=C186&amp;"")*(tbl_Finance[Xero Invoice No]&lt;&gt;"")),tbl_Finance[Xero Invoice No]))=COUNTIFS(tbl_Finance[Job Number],C186&amp;"",tbl_Finance[Xero Invoice No],"&lt;&gt;"),LOOKUP(2,1/((tbl_Finance[Job Number]=C186&amp;"")*(tbl_Finance[Xero Invoice No]&lt;&gt;"")),tbl_Finance[Xero Invoice No]),LOOKUP(2,1/((tbl_Finance[Job Number]=C186&amp;"")*(tbl_Finance[Xero Invoice No]&lt;&gt;"")),tbl_Finance[Xero Invoice No])&amp;" +more"),"")))</f>
        <v/>
      </c>
      <c r="C186" s="24" t="n"/>
      <c r="D186" s="25">
        <f>IF(C186="","",IF(COUNTIF(lst_Jobs,C186&amp;"")&gt;0,"OK","CHECK"))</f>
        <v/>
      </c>
      <c r="E186" s="25">
        <f>IF(C186="","",IFERROR(INDEX(lst_JobName,MATCH(C186&amp;"",lst_Jobs,0)),""))</f>
        <v/>
      </c>
      <c r="F186" s="25">
        <f>IF(C186="","",IFERROR(INDEX(tbl_Finance[Client],MATCH(C186&amp;"",tbl_Finance[Job Number],0)),""))</f>
        <v/>
      </c>
      <c r="G186" s="28">
        <f>IF(C186="","",COUNTIFS(tbl_Finance[Job Number],C186&amp;"",tbl_Finance[Ex GST],"&lt;&gt;"))</f>
        <v/>
      </c>
      <c r="H186" s="27">
        <f>IF(C186="","",SUMIFS(tbl_Finance[Ex GST],tbl_Finance[Job Number],C186&amp;""))</f>
        <v/>
      </c>
      <c r="I186" s="27">
        <f>IF(C186="","",SUMIFS(tbl_Finance[Ex GST],tbl_Finance[Job Number],C186&amp;"",tbl_Finance[Xero Invoice No],"&lt;&gt;"))</f>
        <v/>
      </c>
      <c r="J186" s="27">
        <f>IF(C186="","",H186-I186)</f>
        <v/>
      </c>
      <c r="K186" s="25">
        <f>IF(C186="","",IF(G186=0,"not invoiced yet",SUBSTITUTE(TRIM(IF(COUNTIFS(tbl_Finance[Job Number],C186&amp;"",tbl_Finance[Cost Centre],"ONSITE")&gt;0,"ONSITE ","")&amp;IF(COUNTIFS(tbl_Finance[Job Number],C186&amp;"",tbl_Finance[Cost Centre],"PRODUCTION")&gt;0,"PRODUCTION ","")&amp;IF(COUNTIFS(tbl_Finance[Job Number],C186&amp;"",tbl_Finance[Cost Centre],"VIDEO")&gt;0,"VIDEO ","")&amp;IF(COUNTIFS(tbl_Finance[Job Number],C186&amp;"",tbl_Finance[Cost Centre],"INTEGRATION")&gt;0,"INTEGRATION ","")&amp;IF(COUNTIFS(tbl_Finance[Job Number],C186&amp;"",tbl_Finance[Cost Centre],"CONSULTING")&gt;0,"CONSULTING ","")&amp;IF(COUNTIFS(tbl_Finance[Job Number],C186&amp;"",tbl_Finance[Cost Centre],"CTS")&gt;0,"CTS ",""))," ",", ")))</f>
        <v/>
      </c>
      <c r="L186" s="27">
        <f>IF(C186="","",SUMIFS(tbl_Finance[Inc GST],tbl_Finance[Job Number],C186&amp;""))</f>
        <v/>
      </c>
      <c r="M186" s="24" t="n"/>
      <c r="N186" s="25">
        <f>IF(C186="","",IFERROR(INDEX(tbl_Finance[Description],MATCH(C186&amp;"",tbl_Finance[Job Number],0)),""))</f>
        <v/>
      </c>
      <c r="O186" s="24" t="n"/>
      <c r="P186" s="24" t="n"/>
      <c r="Q186" s="22" t="n"/>
      <c r="R186" s="24" t="n"/>
      <c r="S186" s="25">
        <f>IF(R186="","",IF(AND(LEFT(R186,4)&lt;&gt;"http",set_RMSBase=""),"",HYPERLINK(IF(LEFT(R186,4)="http",R186,set_RMSBase&amp;R186),"Open opportunity")))</f>
        <v/>
      </c>
      <c r="T186" s="24" t="n"/>
      <c r="U186" s="25">
        <f>IF(T186="","",HYPERLINK(IF(LEFT(T186,4)="http",T186,set_QwilrBase&amp;T186),"Open quote"))</f>
        <v/>
      </c>
      <c r="V186" s="25">
        <f>IF(C186="","",C186)</f>
        <v/>
      </c>
      <c r="W186" s="24" t="n"/>
      <c r="X186" s="26" t="n"/>
      <c r="Y186" s="27">
        <f>IF(C186="","",H186+N(X186))</f>
        <v/>
      </c>
      <c r="Z186" s="29">
        <f>IFERROR(X186/Y186,"")</f>
        <v/>
      </c>
      <c r="AA186" s="26" t="n"/>
      <c r="AB186" s="26" t="n"/>
      <c r="AC186" s="26" t="n"/>
      <c r="AD186" s="26" t="n"/>
      <c r="AE186" s="27">
        <f>IF(C186="","",SUMIFS(tbl_Finance[Ex GST],tbl_Finance[Job Number],C186&amp;"",tbl_Finance[Cost Centre],"VIDEO"))</f>
        <v/>
      </c>
      <c r="AF186" s="29">
        <f>IFERROR(AE186/H186,"")</f>
        <v/>
      </c>
      <c r="AG186" s="27">
        <f>IF(C186="","",N(AA186)+N(AB186)+N(AC186)+N(AD186))</f>
        <v/>
      </c>
      <c r="AH186" s="27">
        <f>IF(C186="","",H186-AG186)</f>
        <v/>
      </c>
      <c r="AI186" s="29">
        <f>IFERROR(AH186/H186,"")</f>
        <v/>
      </c>
      <c r="AJ186" s="69" t="n"/>
      <c r="AK186" s="69" t="n"/>
      <c r="AL186" s="69" t="n"/>
      <c r="AM186" s="69" t="n"/>
      <c r="AN186" s="69" t="n"/>
      <c r="AO186" s="24" t="n"/>
    </row>
    <row r="187" ht="15" customHeight="1">
      <c r="A187" s="68">
        <f>IF(C187="","",IFERROR(IF(SUMPRODUCT(MAX((tbl_Finance[Job Number]=C187&amp;"")*(tbl_Finance[Xero Invoice No]&lt;&gt;"")*tbl_Finance[Date]))=0,"",SUMPRODUCT(MAX((tbl_Finance[Job Number]=C187&amp;"")*(tbl_Finance[Xero Invoice No]&lt;&gt;"")*tbl_Finance[Date]))),""))</f>
        <v/>
      </c>
      <c r="B187" s="25">
        <f>IF(C187="","",IF(COUNTIFS(tbl_Finance[Job Number],C187&amp;"",tbl_Finance[Xero Invoice No],"&lt;&gt;")=0,"",IFERROR(IF(COUNTIFS(tbl_Finance[Job Number],C187&amp;"",tbl_Finance[Xero Invoice No],LOOKUP(2,1/((tbl_Finance[Job Number]=C187&amp;"")*(tbl_Finance[Xero Invoice No]&lt;&gt;"")),tbl_Finance[Xero Invoice No]))=COUNTIFS(tbl_Finance[Job Number],C187&amp;"",tbl_Finance[Xero Invoice No],"&lt;&gt;"),LOOKUP(2,1/((tbl_Finance[Job Number]=C187&amp;"")*(tbl_Finance[Xero Invoice No]&lt;&gt;"")),tbl_Finance[Xero Invoice No]),LOOKUP(2,1/((tbl_Finance[Job Number]=C187&amp;"")*(tbl_Finance[Xero Invoice No]&lt;&gt;"")),tbl_Finance[Xero Invoice No])&amp;" +more"),"")))</f>
        <v/>
      </c>
      <c r="C187" s="24" t="n"/>
      <c r="D187" s="25">
        <f>IF(C187="","",IF(COUNTIF(lst_Jobs,C187&amp;"")&gt;0,"OK","CHECK"))</f>
        <v/>
      </c>
      <c r="E187" s="25">
        <f>IF(C187="","",IFERROR(INDEX(lst_JobName,MATCH(C187&amp;"",lst_Jobs,0)),""))</f>
        <v/>
      </c>
      <c r="F187" s="25">
        <f>IF(C187="","",IFERROR(INDEX(tbl_Finance[Client],MATCH(C187&amp;"",tbl_Finance[Job Number],0)),""))</f>
        <v/>
      </c>
      <c r="G187" s="28">
        <f>IF(C187="","",COUNTIFS(tbl_Finance[Job Number],C187&amp;"",tbl_Finance[Ex GST],"&lt;&gt;"))</f>
        <v/>
      </c>
      <c r="H187" s="27">
        <f>IF(C187="","",SUMIFS(tbl_Finance[Ex GST],tbl_Finance[Job Number],C187&amp;""))</f>
        <v/>
      </c>
      <c r="I187" s="27">
        <f>IF(C187="","",SUMIFS(tbl_Finance[Ex GST],tbl_Finance[Job Number],C187&amp;"",tbl_Finance[Xero Invoice No],"&lt;&gt;"))</f>
        <v/>
      </c>
      <c r="J187" s="27">
        <f>IF(C187="","",H187-I187)</f>
        <v/>
      </c>
      <c r="K187" s="25">
        <f>IF(C187="","",IF(G187=0,"not invoiced yet",SUBSTITUTE(TRIM(IF(COUNTIFS(tbl_Finance[Job Number],C187&amp;"",tbl_Finance[Cost Centre],"ONSITE")&gt;0,"ONSITE ","")&amp;IF(COUNTIFS(tbl_Finance[Job Number],C187&amp;"",tbl_Finance[Cost Centre],"PRODUCTION")&gt;0,"PRODUCTION ","")&amp;IF(COUNTIFS(tbl_Finance[Job Number],C187&amp;"",tbl_Finance[Cost Centre],"VIDEO")&gt;0,"VIDEO ","")&amp;IF(COUNTIFS(tbl_Finance[Job Number],C187&amp;"",tbl_Finance[Cost Centre],"INTEGRATION")&gt;0,"INTEGRATION ","")&amp;IF(COUNTIFS(tbl_Finance[Job Number],C187&amp;"",tbl_Finance[Cost Centre],"CONSULTING")&gt;0,"CONSULTING ","")&amp;IF(COUNTIFS(tbl_Finance[Job Number],C187&amp;"",tbl_Finance[Cost Centre],"CTS")&gt;0,"CTS ",""))," ",", ")))</f>
        <v/>
      </c>
      <c r="L187" s="27">
        <f>IF(C187="","",SUMIFS(tbl_Finance[Inc GST],tbl_Finance[Job Number],C187&amp;""))</f>
        <v/>
      </c>
      <c r="M187" s="24" t="n"/>
      <c r="N187" s="25">
        <f>IF(C187="","",IFERROR(INDEX(tbl_Finance[Description],MATCH(C187&amp;"",tbl_Finance[Job Number],0)),""))</f>
        <v/>
      </c>
      <c r="O187" s="24" t="n"/>
      <c r="P187" s="24" t="n"/>
      <c r="Q187" s="22" t="n"/>
      <c r="R187" s="24" t="n"/>
      <c r="S187" s="25">
        <f>IF(R187="","",IF(AND(LEFT(R187,4)&lt;&gt;"http",set_RMSBase=""),"",HYPERLINK(IF(LEFT(R187,4)="http",R187,set_RMSBase&amp;R187),"Open opportunity")))</f>
        <v/>
      </c>
      <c r="T187" s="24" t="n"/>
      <c r="U187" s="25">
        <f>IF(T187="","",HYPERLINK(IF(LEFT(T187,4)="http",T187,set_QwilrBase&amp;T187),"Open quote"))</f>
        <v/>
      </c>
      <c r="V187" s="25">
        <f>IF(C187="","",C187)</f>
        <v/>
      </c>
      <c r="W187" s="24" t="n"/>
      <c r="X187" s="26" t="n"/>
      <c r="Y187" s="27">
        <f>IF(C187="","",H187+N(X187))</f>
        <v/>
      </c>
      <c r="Z187" s="29">
        <f>IFERROR(X187/Y187,"")</f>
        <v/>
      </c>
      <c r="AA187" s="26" t="n"/>
      <c r="AB187" s="26" t="n"/>
      <c r="AC187" s="26" t="n"/>
      <c r="AD187" s="26" t="n"/>
      <c r="AE187" s="27">
        <f>IF(C187="","",SUMIFS(tbl_Finance[Ex GST],tbl_Finance[Job Number],C187&amp;"",tbl_Finance[Cost Centre],"VIDEO"))</f>
        <v/>
      </c>
      <c r="AF187" s="29">
        <f>IFERROR(AE187/H187,"")</f>
        <v/>
      </c>
      <c r="AG187" s="27">
        <f>IF(C187="","",N(AA187)+N(AB187)+N(AC187)+N(AD187))</f>
        <v/>
      </c>
      <c r="AH187" s="27">
        <f>IF(C187="","",H187-AG187)</f>
        <v/>
      </c>
      <c r="AI187" s="29">
        <f>IFERROR(AH187/H187,"")</f>
        <v/>
      </c>
      <c r="AJ187" s="69" t="n"/>
      <c r="AK187" s="69" t="n"/>
      <c r="AL187" s="69" t="n"/>
      <c r="AM187" s="69" t="n"/>
      <c r="AN187" s="69" t="n"/>
      <c r="AO187" s="24" t="n"/>
    </row>
    <row r="188" ht="15" customHeight="1">
      <c r="A188" s="68">
        <f>IF(C188="","",IFERROR(IF(SUMPRODUCT(MAX((tbl_Finance[Job Number]=C188&amp;"")*(tbl_Finance[Xero Invoice No]&lt;&gt;"")*tbl_Finance[Date]))=0,"",SUMPRODUCT(MAX((tbl_Finance[Job Number]=C188&amp;"")*(tbl_Finance[Xero Invoice No]&lt;&gt;"")*tbl_Finance[Date]))),""))</f>
        <v/>
      </c>
      <c r="B188" s="25">
        <f>IF(C188="","",IF(COUNTIFS(tbl_Finance[Job Number],C188&amp;"",tbl_Finance[Xero Invoice No],"&lt;&gt;")=0,"",IFERROR(IF(COUNTIFS(tbl_Finance[Job Number],C188&amp;"",tbl_Finance[Xero Invoice No],LOOKUP(2,1/((tbl_Finance[Job Number]=C188&amp;"")*(tbl_Finance[Xero Invoice No]&lt;&gt;"")),tbl_Finance[Xero Invoice No]))=COUNTIFS(tbl_Finance[Job Number],C188&amp;"",tbl_Finance[Xero Invoice No],"&lt;&gt;"),LOOKUP(2,1/((tbl_Finance[Job Number]=C188&amp;"")*(tbl_Finance[Xero Invoice No]&lt;&gt;"")),tbl_Finance[Xero Invoice No]),LOOKUP(2,1/((tbl_Finance[Job Number]=C188&amp;"")*(tbl_Finance[Xero Invoice No]&lt;&gt;"")),tbl_Finance[Xero Invoice No])&amp;" +more"),"")))</f>
        <v/>
      </c>
      <c r="C188" s="24" t="n"/>
      <c r="D188" s="25">
        <f>IF(C188="","",IF(COUNTIF(lst_Jobs,C188&amp;"")&gt;0,"OK","CHECK"))</f>
        <v/>
      </c>
      <c r="E188" s="25">
        <f>IF(C188="","",IFERROR(INDEX(lst_JobName,MATCH(C188&amp;"",lst_Jobs,0)),""))</f>
        <v/>
      </c>
      <c r="F188" s="25">
        <f>IF(C188="","",IFERROR(INDEX(tbl_Finance[Client],MATCH(C188&amp;"",tbl_Finance[Job Number],0)),""))</f>
        <v/>
      </c>
      <c r="G188" s="28">
        <f>IF(C188="","",COUNTIFS(tbl_Finance[Job Number],C188&amp;"",tbl_Finance[Ex GST],"&lt;&gt;"))</f>
        <v/>
      </c>
      <c r="H188" s="27">
        <f>IF(C188="","",SUMIFS(tbl_Finance[Ex GST],tbl_Finance[Job Number],C188&amp;""))</f>
        <v/>
      </c>
      <c r="I188" s="27">
        <f>IF(C188="","",SUMIFS(tbl_Finance[Ex GST],tbl_Finance[Job Number],C188&amp;"",tbl_Finance[Xero Invoice No],"&lt;&gt;"))</f>
        <v/>
      </c>
      <c r="J188" s="27">
        <f>IF(C188="","",H188-I188)</f>
        <v/>
      </c>
      <c r="K188" s="25">
        <f>IF(C188="","",IF(G188=0,"not invoiced yet",SUBSTITUTE(TRIM(IF(COUNTIFS(tbl_Finance[Job Number],C188&amp;"",tbl_Finance[Cost Centre],"ONSITE")&gt;0,"ONSITE ","")&amp;IF(COUNTIFS(tbl_Finance[Job Number],C188&amp;"",tbl_Finance[Cost Centre],"PRODUCTION")&gt;0,"PRODUCTION ","")&amp;IF(COUNTIFS(tbl_Finance[Job Number],C188&amp;"",tbl_Finance[Cost Centre],"VIDEO")&gt;0,"VIDEO ","")&amp;IF(COUNTIFS(tbl_Finance[Job Number],C188&amp;"",tbl_Finance[Cost Centre],"INTEGRATION")&gt;0,"INTEGRATION ","")&amp;IF(COUNTIFS(tbl_Finance[Job Number],C188&amp;"",tbl_Finance[Cost Centre],"CONSULTING")&gt;0,"CONSULTING ","")&amp;IF(COUNTIFS(tbl_Finance[Job Number],C188&amp;"",tbl_Finance[Cost Centre],"CTS")&gt;0,"CTS ",""))," ",", ")))</f>
        <v/>
      </c>
      <c r="L188" s="27">
        <f>IF(C188="","",SUMIFS(tbl_Finance[Inc GST],tbl_Finance[Job Number],C188&amp;""))</f>
        <v/>
      </c>
      <c r="M188" s="24" t="n"/>
      <c r="N188" s="25">
        <f>IF(C188="","",IFERROR(INDEX(tbl_Finance[Description],MATCH(C188&amp;"",tbl_Finance[Job Number],0)),""))</f>
        <v/>
      </c>
      <c r="O188" s="24" t="n"/>
      <c r="P188" s="24" t="n"/>
      <c r="Q188" s="22" t="n"/>
      <c r="R188" s="24" t="n"/>
      <c r="S188" s="25">
        <f>IF(R188="","",IF(AND(LEFT(R188,4)&lt;&gt;"http",set_RMSBase=""),"",HYPERLINK(IF(LEFT(R188,4)="http",R188,set_RMSBase&amp;R188),"Open opportunity")))</f>
        <v/>
      </c>
      <c r="T188" s="24" t="n"/>
      <c r="U188" s="25">
        <f>IF(T188="","",HYPERLINK(IF(LEFT(T188,4)="http",T188,set_QwilrBase&amp;T188),"Open quote"))</f>
        <v/>
      </c>
      <c r="V188" s="25">
        <f>IF(C188="","",C188)</f>
        <v/>
      </c>
      <c r="W188" s="24" t="n"/>
      <c r="X188" s="26" t="n"/>
      <c r="Y188" s="27">
        <f>IF(C188="","",H188+N(X188))</f>
        <v/>
      </c>
      <c r="Z188" s="29">
        <f>IFERROR(X188/Y188,"")</f>
        <v/>
      </c>
      <c r="AA188" s="26" t="n"/>
      <c r="AB188" s="26" t="n"/>
      <c r="AC188" s="26" t="n"/>
      <c r="AD188" s="26" t="n"/>
      <c r="AE188" s="27">
        <f>IF(C188="","",SUMIFS(tbl_Finance[Ex GST],tbl_Finance[Job Number],C188&amp;"",tbl_Finance[Cost Centre],"VIDEO"))</f>
        <v/>
      </c>
      <c r="AF188" s="29">
        <f>IFERROR(AE188/H188,"")</f>
        <v/>
      </c>
      <c r="AG188" s="27">
        <f>IF(C188="","",N(AA188)+N(AB188)+N(AC188)+N(AD188))</f>
        <v/>
      </c>
      <c r="AH188" s="27">
        <f>IF(C188="","",H188-AG188)</f>
        <v/>
      </c>
      <c r="AI188" s="29">
        <f>IFERROR(AH188/H188,"")</f>
        <v/>
      </c>
      <c r="AJ188" s="69" t="n"/>
      <c r="AK188" s="69" t="n"/>
      <c r="AL188" s="69" t="n"/>
      <c r="AM188" s="69" t="n"/>
      <c r="AN188" s="69" t="n"/>
      <c r="AO188" s="24" t="n"/>
    </row>
    <row r="189" ht="15" customHeight="1">
      <c r="A189" s="68">
        <f>IF(C189="","",IFERROR(IF(SUMPRODUCT(MAX((tbl_Finance[Job Number]=C189&amp;"")*(tbl_Finance[Xero Invoice No]&lt;&gt;"")*tbl_Finance[Date]))=0,"",SUMPRODUCT(MAX((tbl_Finance[Job Number]=C189&amp;"")*(tbl_Finance[Xero Invoice No]&lt;&gt;"")*tbl_Finance[Date]))),""))</f>
        <v/>
      </c>
      <c r="B189" s="25">
        <f>IF(C189="","",IF(COUNTIFS(tbl_Finance[Job Number],C189&amp;"",tbl_Finance[Xero Invoice No],"&lt;&gt;")=0,"",IFERROR(IF(COUNTIFS(tbl_Finance[Job Number],C189&amp;"",tbl_Finance[Xero Invoice No],LOOKUP(2,1/((tbl_Finance[Job Number]=C189&amp;"")*(tbl_Finance[Xero Invoice No]&lt;&gt;"")),tbl_Finance[Xero Invoice No]))=COUNTIFS(tbl_Finance[Job Number],C189&amp;"",tbl_Finance[Xero Invoice No],"&lt;&gt;"),LOOKUP(2,1/((tbl_Finance[Job Number]=C189&amp;"")*(tbl_Finance[Xero Invoice No]&lt;&gt;"")),tbl_Finance[Xero Invoice No]),LOOKUP(2,1/((tbl_Finance[Job Number]=C189&amp;"")*(tbl_Finance[Xero Invoice No]&lt;&gt;"")),tbl_Finance[Xero Invoice No])&amp;" +more"),"")))</f>
        <v/>
      </c>
      <c r="C189" s="24" t="n"/>
      <c r="D189" s="25">
        <f>IF(C189="","",IF(COUNTIF(lst_Jobs,C189&amp;"")&gt;0,"OK","CHECK"))</f>
        <v/>
      </c>
      <c r="E189" s="25">
        <f>IF(C189="","",IFERROR(INDEX(lst_JobName,MATCH(C189&amp;"",lst_Jobs,0)),""))</f>
        <v/>
      </c>
      <c r="F189" s="25">
        <f>IF(C189="","",IFERROR(INDEX(tbl_Finance[Client],MATCH(C189&amp;"",tbl_Finance[Job Number],0)),""))</f>
        <v/>
      </c>
      <c r="G189" s="28">
        <f>IF(C189="","",COUNTIFS(tbl_Finance[Job Number],C189&amp;"",tbl_Finance[Ex GST],"&lt;&gt;"))</f>
        <v/>
      </c>
      <c r="H189" s="27">
        <f>IF(C189="","",SUMIFS(tbl_Finance[Ex GST],tbl_Finance[Job Number],C189&amp;""))</f>
        <v/>
      </c>
      <c r="I189" s="27">
        <f>IF(C189="","",SUMIFS(tbl_Finance[Ex GST],tbl_Finance[Job Number],C189&amp;"",tbl_Finance[Xero Invoice No],"&lt;&gt;"))</f>
        <v/>
      </c>
      <c r="J189" s="27">
        <f>IF(C189="","",H189-I189)</f>
        <v/>
      </c>
      <c r="K189" s="25">
        <f>IF(C189="","",IF(G189=0,"not invoiced yet",SUBSTITUTE(TRIM(IF(COUNTIFS(tbl_Finance[Job Number],C189&amp;"",tbl_Finance[Cost Centre],"ONSITE")&gt;0,"ONSITE ","")&amp;IF(COUNTIFS(tbl_Finance[Job Number],C189&amp;"",tbl_Finance[Cost Centre],"PRODUCTION")&gt;0,"PRODUCTION ","")&amp;IF(COUNTIFS(tbl_Finance[Job Number],C189&amp;"",tbl_Finance[Cost Centre],"VIDEO")&gt;0,"VIDEO ","")&amp;IF(COUNTIFS(tbl_Finance[Job Number],C189&amp;"",tbl_Finance[Cost Centre],"INTEGRATION")&gt;0,"INTEGRATION ","")&amp;IF(COUNTIFS(tbl_Finance[Job Number],C189&amp;"",tbl_Finance[Cost Centre],"CONSULTING")&gt;0,"CONSULTING ","")&amp;IF(COUNTIFS(tbl_Finance[Job Number],C189&amp;"",tbl_Finance[Cost Centre],"CTS")&gt;0,"CTS ",""))," ",", ")))</f>
        <v/>
      </c>
      <c r="L189" s="27">
        <f>IF(C189="","",SUMIFS(tbl_Finance[Inc GST],tbl_Finance[Job Number],C189&amp;""))</f>
        <v/>
      </c>
      <c r="M189" s="24" t="n"/>
      <c r="N189" s="25">
        <f>IF(C189="","",IFERROR(INDEX(tbl_Finance[Description],MATCH(C189&amp;"",tbl_Finance[Job Number],0)),""))</f>
        <v/>
      </c>
      <c r="O189" s="24" t="n"/>
      <c r="P189" s="24" t="n"/>
      <c r="Q189" s="22" t="n"/>
      <c r="R189" s="24" t="n"/>
      <c r="S189" s="25">
        <f>IF(R189="","",IF(AND(LEFT(R189,4)&lt;&gt;"http",set_RMSBase=""),"",HYPERLINK(IF(LEFT(R189,4)="http",R189,set_RMSBase&amp;R189),"Open opportunity")))</f>
        <v/>
      </c>
      <c r="T189" s="24" t="n"/>
      <c r="U189" s="25">
        <f>IF(T189="","",HYPERLINK(IF(LEFT(T189,4)="http",T189,set_QwilrBase&amp;T189),"Open quote"))</f>
        <v/>
      </c>
      <c r="V189" s="25">
        <f>IF(C189="","",C189)</f>
        <v/>
      </c>
      <c r="W189" s="24" t="n"/>
      <c r="X189" s="26" t="n"/>
      <c r="Y189" s="27">
        <f>IF(C189="","",H189+N(X189))</f>
        <v/>
      </c>
      <c r="Z189" s="29">
        <f>IFERROR(X189/Y189,"")</f>
        <v/>
      </c>
      <c r="AA189" s="26" t="n"/>
      <c r="AB189" s="26" t="n"/>
      <c r="AC189" s="26" t="n"/>
      <c r="AD189" s="26" t="n"/>
      <c r="AE189" s="27">
        <f>IF(C189="","",SUMIFS(tbl_Finance[Ex GST],tbl_Finance[Job Number],C189&amp;"",tbl_Finance[Cost Centre],"VIDEO"))</f>
        <v/>
      </c>
      <c r="AF189" s="29">
        <f>IFERROR(AE189/H189,"")</f>
        <v/>
      </c>
      <c r="AG189" s="27">
        <f>IF(C189="","",N(AA189)+N(AB189)+N(AC189)+N(AD189))</f>
        <v/>
      </c>
      <c r="AH189" s="27">
        <f>IF(C189="","",H189-AG189)</f>
        <v/>
      </c>
      <c r="AI189" s="29">
        <f>IFERROR(AH189/H189,"")</f>
        <v/>
      </c>
      <c r="AJ189" s="69" t="n"/>
      <c r="AK189" s="69" t="n"/>
      <c r="AL189" s="69" t="n"/>
      <c r="AM189" s="69" t="n"/>
      <c r="AN189" s="69" t="n"/>
      <c r="AO189" s="24" t="n"/>
    </row>
    <row r="190" ht="15" customHeight="1">
      <c r="A190" s="68">
        <f>IF(C190="","",IFERROR(IF(SUMPRODUCT(MAX((tbl_Finance[Job Number]=C190&amp;"")*(tbl_Finance[Xero Invoice No]&lt;&gt;"")*tbl_Finance[Date]))=0,"",SUMPRODUCT(MAX((tbl_Finance[Job Number]=C190&amp;"")*(tbl_Finance[Xero Invoice No]&lt;&gt;"")*tbl_Finance[Date]))),""))</f>
        <v/>
      </c>
      <c r="B190" s="25">
        <f>IF(C190="","",IF(COUNTIFS(tbl_Finance[Job Number],C190&amp;"",tbl_Finance[Xero Invoice No],"&lt;&gt;")=0,"",IFERROR(IF(COUNTIFS(tbl_Finance[Job Number],C190&amp;"",tbl_Finance[Xero Invoice No],LOOKUP(2,1/((tbl_Finance[Job Number]=C190&amp;"")*(tbl_Finance[Xero Invoice No]&lt;&gt;"")),tbl_Finance[Xero Invoice No]))=COUNTIFS(tbl_Finance[Job Number],C190&amp;"",tbl_Finance[Xero Invoice No],"&lt;&gt;"),LOOKUP(2,1/((tbl_Finance[Job Number]=C190&amp;"")*(tbl_Finance[Xero Invoice No]&lt;&gt;"")),tbl_Finance[Xero Invoice No]),LOOKUP(2,1/((tbl_Finance[Job Number]=C190&amp;"")*(tbl_Finance[Xero Invoice No]&lt;&gt;"")),tbl_Finance[Xero Invoice No])&amp;" +more"),"")))</f>
        <v/>
      </c>
      <c r="C190" s="24" t="n"/>
      <c r="D190" s="25">
        <f>IF(C190="","",IF(COUNTIF(lst_Jobs,C190&amp;"")&gt;0,"OK","CHECK"))</f>
        <v/>
      </c>
      <c r="E190" s="25">
        <f>IF(C190="","",IFERROR(INDEX(lst_JobName,MATCH(C190&amp;"",lst_Jobs,0)),""))</f>
        <v/>
      </c>
      <c r="F190" s="25">
        <f>IF(C190="","",IFERROR(INDEX(tbl_Finance[Client],MATCH(C190&amp;"",tbl_Finance[Job Number],0)),""))</f>
        <v/>
      </c>
      <c r="G190" s="28">
        <f>IF(C190="","",COUNTIFS(tbl_Finance[Job Number],C190&amp;"",tbl_Finance[Ex GST],"&lt;&gt;"))</f>
        <v/>
      </c>
      <c r="H190" s="27">
        <f>IF(C190="","",SUMIFS(tbl_Finance[Ex GST],tbl_Finance[Job Number],C190&amp;""))</f>
        <v/>
      </c>
      <c r="I190" s="27">
        <f>IF(C190="","",SUMIFS(tbl_Finance[Ex GST],tbl_Finance[Job Number],C190&amp;"",tbl_Finance[Xero Invoice No],"&lt;&gt;"))</f>
        <v/>
      </c>
      <c r="J190" s="27">
        <f>IF(C190="","",H190-I190)</f>
        <v/>
      </c>
      <c r="K190" s="25">
        <f>IF(C190="","",IF(G190=0,"not invoiced yet",SUBSTITUTE(TRIM(IF(COUNTIFS(tbl_Finance[Job Number],C190&amp;"",tbl_Finance[Cost Centre],"ONSITE")&gt;0,"ONSITE ","")&amp;IF(COUNTIFS(tbl_Finance[Job Number],C190&amp;"",tbl_Finance[Cost Centre],"PRODUCTION")&gt;0,"PRODUCTION ","")&amp;IF(COUNTIFS(tbl_Finance[Job Number],C190&amp;"",tbl_Finance[Cost Centre],"VIDEO")&gt;0,"VIDEO ","")&amp;IF(COUNTIFS(tbl_Finance[Job Number],C190&amp;"",tbl_Finance[Cost Centre],"INTEGRATION")&gt;0,"INTEGRATION ","")&amp;IF(COUNTIFS(tbl_Finance[Job Number],C190&amp;"",tbl_Finance[Cost Centre],"CONSULTING")&gt;0,"CONSULTING ","")&amp;IF(COUNTIFS(tbl_Finance[Job Number],C190&amp;"",tbl_Finance[Cost Centre],"CTS")&gt;0,"CTS ",""))," ",", ")))</f>
        <v/>
      </c>
      <c r="L190" s="27">
        <f>IF(C190="","",SUMIFS(tbl_Finance[Inc GST],tbl_Finance[Job Number],C190&amp;""))</f>
        <v/>
      </c>
      <c r="M190" s="24" t="n"/>
      <c r="N190" s="25">
        <f>IF(C190="","",IFERROR(INDEX(tbl_Finance[Description],MATCH(C190&amp;"",tbl_Finance[Job Number],0)),""))</f>
        <v/>
      </c>
      <c r="O190" s="24" t="n"/>
      <c r="P190" s="24" t="n"/>
      <c r="Q190" s="22" t="n"/>
      <c r="R190" s="24" t="n"/>
      <c r="S190" s="25">
        <f>IF(R190="","",IF(AND(LEFT(R190,4)&lt;&gt;"http",set_RMSBase=""),"",HYPERLINK(IF(LEFT(R190,4)="http",R190,set_RMSBase&amp;R190),"Open opportunity")))</f>
        <v/>
      </c>
      <c r="T190" s="24" t="n"/>
      <c r="U190" s="25">
        <f>IF(T190="","",HYPERLINK(IF(LEFT(T190,4)="http",T190,set_QwilrBase&amp;T190),"Open quote"))</f>
        <v/>
      </c>
      <c r="V190" s="25">
        <f>IF(C190="","",C190)</f>
        <v/>
      </c>
      <c r="W190" s="24" t="n"/>
      <c r="X190" s="26" t="n"/>
      <c r="Y190" s="27">
        <f>IF(C190="","",H190+N(X190))</f>
        <v/>
      </c>
      <c r="Z190" s="29">
        <f>IFERROR(X190/Y190,"")</f>
        <v/>
      </c>
      <c r="AA190" s="26" t="n"/>
      <c r="AB190" s="26" t="n"/>
      <c r="AC190" s="26" t="n"/>
      <c r="AD190" s="26" t="n"/>
      <c r="AE190" s="27">
        <f>IF(C190="","",SUMIFS(tbl_Finance[Ex GST],tbl_Finance[Job Number],C190&amp;"",tbl_Finance[Cost Centre],"VIDEO"))</f>
        <v/>
      </c>
      <c r="AF190" s="29">
        <f>IFERROR(AE190/H190,"")</f>
        <v/>
      </c>
      <c r="AG190" s="27">
        <f>IF(C190="","",N(AA190)+N(AB190)+N(AC190)+N(AD190))</f>
        <v/>
      </c>
      <c r="AH190" s="27">
        <f>IF(C190="","",H190-AG190)</f>
        <v/>
      </c>
      <c r="AI190" s="29">
        <f>IFERROR(AH190/H190,"")</f>
        <v/>
      </c>
      <c r="AJ190" s="69" t="n"/>
      <c r="AK190" s="69" t="n"/>
      <c r="AL190" s="69" t="n"/>
      <c r="AM190" s="69" t="n"/>
      <c r="AN190" s="69" t="n"/>
      <c r="AO190" s="24" t="n"/>
    </row>
    <row r="191" ht="15" customHeight="1">
      <c r="A191" s="68">
        <f>IF(C191="","",IFERROR(IF(SUMPRODUCT(MAX((tbl_Finance[Job Number]=C191&amp;"")*(tbl_Finance[Xero Invoice No]&lt;&gt;"")*tbl_Finance[Date]))=0,"",SUMPRODUCT(MAX((tbl_Finance[Job Number]=C191&amp;"")*(tbl_Finance[Xero Invoice No]&lt;&gt;"")*tbl_Finance[Date]))),""))</f>
        <v/>
      </c>
      <c r="B191" s="25">
        <f>IF(C191="","",IF(COUNTIFS(tbl_Finance[Job Number],C191&amp;"",tbl_Finance[Xero Invoice No],"&lt;&gt;")=0,"",IFERROR(IF(COUNTIFS(tbl_Finance[Job Number],C191&amp;"",tbl_Finance[Xero Invoice No],LOOKUP(2,1/((tbl_Finance[Job Number]=C191&amp;"")*(tbl_Finance[Xero Invoice No]&lt;&gt;"")),tbl_Finance[Xero Invoice No]))=COUNTIFS(tbl_Finance[Job Number],C191&amp;"",tbl_Finance[Xero Invoice No],"&lt;&gt;"),LOOKUP(2,1/((tbl_Finance[Job Number]=C191&amp;"")*(tbl_Finance[Xero Invoice No]&lt;&gt;"")),tbl_Finance[Xero Invoice No]),LOOKUP(2,1/((tbl_Finance[Job Number]=C191&amp;"")*(tbl_Finance[Xero Invoice No]&lt;&gt;"")),tbl_Finance[Xero Invoice No])&amp;" +more"),"")))</f>
        <v/>
      </c>
      <c r="C191" s="24" t="n"/>
      <c r="D191" s="25">
        <f>IF(C191="","",IF(COUNTIF(lst_Jobs,C191&amp;"")&gt;0,"OK","CHECK"))</f>
        <v/>
      </c>
      <c r="E191" s="25">
        <f>IF(C191="","",IFERROR(INDEX(lst_JobName,MATCH(C191&amp;"",lst_Jobs,0)),""))</f>
        <v/>
      </c>
      <c r="F191" s="25">
        <f>IF(C191="","",IFERROR(INDEX(tbl_Finance[Client],MATCH(C191&amp;"",tbl_Finance[Job Number],0)),""))</f>
        <v/>
      </c>
      <c r="G191" s="28">
        <f>IF(C191="","",COUNTIFS(tbl_Finance[Job Number],C191&amp;"",tbl_Finance[Ex GST],"&lt;&gt;"))</f>
        <v/>
      </c>
      <c r="H191" s="27">
        <f>IF(C191="","",SUMIFS(tbl_Finance[Ex GST],tbl_Finance[Job Number],C191&amp;""))</f>
        <v/>
      </c>
      <c r="I191" s="27">
        <f>IF(C191="","",SUMIFS(tbl_Finance[Ex GST],tbl_Finance[Job Number],C191&amp;"",tbl_Finance[Xero Invoice No],"&lt;&gt;"))</f>
        <v/>
      </c>
      <c r="J191" s="27">
        <f>IF(C191="","",H191-I191)</f>
        <v/>
      </c>
      <c r="K191" s="25">
        <f>IF(C191="","",IF(G191=0,"not invoiced yet",SUBSTITUTE(TRIM(IF(COUNTIFS(tbl_Finance[Job Number],C191&amp;"",tbl_Finance[Cost Centre],"ONSITE")&gt;0,"ONSITE ","")&amp;IF(COUNTIFS(tbl_Finance[Job Number],C191&amp;"",tbl_Finance[Cost Centre],"PRODUCTION")&gt;0,"PRODUCTION ","")&amp;IF(COUNTIFS(tbl_Finance[Job Number],C191&amp;"",tbl_Finance[Cost Centre],"VIDEO")&gt;0,"VIDEO ","")&amp;IF(COUNTIFS(tbl_Finance[Job Number],C191&amp;"",tbl_Finance[Cost Centre],"INTEGRATION")&gt;0,"INTEGRATION ","")&amp;IF(COUNTIFS(tbl_Finance[Job Number],C191&amp;"",tbl_Finance[Cost Centre],"CONSULTING")&gt;0,"CONSULTING ","")&amp;IF(COUNTIFS(tbl_Finance[Job Number],C191&amp;"",tbl_Finance[Cost Centre],"CTS")&gt;0,"CTS ",""))," ",", ")))</f>
        <v/>
      </c>
      <c r="L191" s="27">
        <f>IF(C191="","",SUMIFS(tbl_Finance[Inc GST],tbl_Finance[Job Number],C191&amp;""))</f>
        <v/>
      </c>
      <c r="M191" s="24" t="n"/>
      <c r="N191" s="25">
        <f>IF(C191="","",IFERROR(INDEX(tbl_Finance[Description],MATCH(C191&amp;"",tbl_Finance[Job Number],0)),""))</f>
        <v/>
      </c>
      <c r="O191" s="24" t="n"/>
      <c r="P191" s="24" t="n"/>
      <c r="Q191" s="22" t="n"/>
      <c r="R191" s="24" t="n"/>
      <c r="S191" s="25">
        <f>IF(R191="","",IF(AND(LEFT(R191,4)&lt;&gt;"http",set_RMSBase=""),"",HYPERLINK(IF(LEFT(R191,4)="http",R191,set_RMSBase&amp;R191),"Open opportunity")))</f>
        <v/>
      </c>
      <c r="T191" s="24" t="n"/>
      <c r="U191" s="25">
        <f>IF(T191="","",HYPERLINK(IF(LEFT(T191,4)="http",T191,set_QwilrBase&amp;T191),"Open quote"))</f>
        <v/>
      </c>
      <c r="V191" s="25">
        <f>IF(C191="","",C191)</f>
        <v/>
      </c>
      <c r="W191" s="24" t="n"/>
      <c r="X191" s="26" t="n"/>
      <c r="Y191" s="27">
        <f>IF(C191="","",H191+N(X191))</f>
        <v/>
      </c>
      <c r="Z191" s="29">
        <f>IFERROR(X191/Y191,"")</f>
        <v/>
      </c>
      <c r="AA191" s="26" t="n"/>
      <c r="AB191" s="26" t="n"/>
      <c r="AC191" s="26" t="n"/>
      <c r="AD191" s="26" t="n"/>
      <c r="AE191" s="27">
        <f>IF(C191="","",SUMIFS(tbl_Finance[Ex GST],tbl_Finance[Job Number],C191&amp;"",tbl_Finance[Cost Centre],"VIDEO"))</f>
        <v/>
      </c>
      <c r="AF191" s="29">
        <f>IFERROR(AE191/H191,"")</f>
        <v/>
      </c>
      <c r="AG191" s="27">
        <f>IF(C191="","",N(AA191)+N(AB191)+N(AC191)+N(AD191))</f>
        <v/>
      </c>
      <c r="AH191" s="27">
        <f>IF(C191="","",H191-AG191)</f>
        <v/>
      </c>
      <c r="AI191" s="29">
        <f>IFERROR(AH191/H191,"")</f>
        <v/>
      </c>
      <c r="AJ191" s="69" t="n"/>
      <c r="AK191" s="69" t="n"/>
      <c r="AL191" s="69" t="n"/>
      <c r="AM191" s="69" t="n"/>
      <c r="AN191" s="69" t="n"/>
      <c r="AO191" s="24" t="n"/>
    </row>
    <row r="192" ht="15" customHeight="1">
      <c r="A192" s="68">
        <f>IF(C192="","",IFERROR(IF(SUMPRODUCT(MAX((tbl_Finance[Job Number]=C192&amp;"")*(tbl_Finance[Xero Invoice No]&lt;&gt;"")*tbl_Finance[Date]))=0,"",SUMPRODUCT(MAX((tbl_Finance[Job Number]=C192&amp;"")*(tbl_Finance[Xero Invoice No]&lt;&gt;"")*tbl_Finance[Date]))),""))</f>
        <v/>
      </c>
      <c r="B192" s="25">
        <f>IF(C192="","",IF(COUNTIFS(tbl_Finance[Job Number],C192&amp;"",tbl_Finance[Xero Invoice No],"&lt;&gt;")=0,"",IFERROR(IF(COUNTIFS(tbl_Finance[Job Number],C192&amp;"",tbl_Finance[Xero Invoice No],LOOKUP(2,1/((tbl_Finance[Job Number]=C192&amp;"")*(tbl_Finance[Xero Invoice No]&lt;&gt;"")),tbl_Finance[Xero Invoice No]))=COUNTIFS(tbl_Finance[Job Number],C192&amp;"",tbl_Finance[Xero Invoice No],"&lt;&gt;"),LOOKUP(2,1/((tbl_Finance[Job Number]=C192&amp;"")*(tbl_Finance[Xero Invoice No]&lt;&gt;"")),tbl_Finance[Xero Invoice No]),LOOKUP(2,1/((tbl_Finance[Job Number]=C192&amp;"")*(tbl_Finance[Xero Invoice No]&lt;&gt;"")),tbl_Finance[Xero Invoice No])&amp;" +more"),"")))</f>
        <v/>
      </c>
      <c r="C192" s="24" t="n"/>
      <c r="D192" s="25">
        <f>IF(C192="","",IF(COUNTIF(lst_Jobs,C192&amp;"")&gt;0,"OK","CHECK"))</f>
        <v/>
      </c>
      <c r="E192" s="25">
        <f>IF(C192="","",IFERROR(INDEX(lst_JobName,MATCH(C192&amp;"",lst_Jobs,0)),""))</f>
        <v/>
      </c>
      <c r="F192" s="25">
        <f>IF(C192="","",IFERROR(INDEX(tbl_Finance[Client],MATCH(C192&amp;"",tbl_Finance[Job Number],0)),""))</f>
        <v/>
      </c>
      <c r="G192" s="28">
        <f>IF(C192="","",COUNTIFS(tbl_Finance[Job Number],C192&amp;"",tbl_Finance[Ex GST],"&lt;&gt;"))</f>
        <v/>
      </c>
      <c r="H192" s="27">
        <f>IF(C192="","",SUMIFS(tbl_Finance[Ex GST],tbl_Finance[Job Number],C192&amp;""))</f>
        <v/>
      </c>
      <c r="I192" s="27">
        <f>IF(C192="","",SUMIFS(tbl_Finance[Ex GST],tbl_Finance[Job Number],C192&amp;"",tbl_Finance[Xero Invoice No],"&lt;&gt;"))</f>
        <v/>
      </c>
      <c r="J192" s="27">
        <f>IF(C192="","",H192-I192)</f>
        <v/>
      </c>
      <c r="K192" s="25">
        <f>IF(C192="","",IF(G192=0,"not invoiced yet",SUBSTITUTE(TRIM(IF(COUNTIFS(tbl_Finance[Job Number],C192&amp;"",tbl_Finance[Cost Centre],"ONSITE")&gt;0,"ONSITE ","")&amp;IF(COUNTIFS(tbl_Finance[Job Number],C192&amp;"",tbl_Finance[Cost Centre],"PRODUCTION")&gt;0,"PRODUCTION ","")&amp;IF(COUNTIFS(tbl_Finance[Job Number],C192&amp;"",tbl_Finance[Cost Centre],"VIDEO")&gt;0,"VIDEO ","")&amp;IF(COUNTIFS(tbl_Finance[Job Number],C192&amp;"",tbl_Finance[Cost Centre],"INTEGRATION")&gt;0,"INTEGRATION ","")&amp;IF(COUNTIFS(tbl_Finance[Job Number],C192&amp;"",tbl_Finance[Cost Centre],"CONSULTING")&gt;0,"CONSULTING ","")&amp;IF(COUNTIFS(tbl_Finance[Job Number],C192&amp;"",tbl_Finance[Cost Centre],"CTS")&gt;0,"CTS ",""))," ",", ")))</f>
        <v/>
      </c>
      <c r="L192" s="27">
        <f>IF(C192="","",SUMIFS(tbl_Finance[Inc GST],tbl_Finance[Job Number],C192&amp;""))</f>
        <v/>
      </c>
      <c r="M192" s="24" t="n"/>
      <c r="N192" s="25">
        <f>IF(C192="","",IFERROR(INDEX(tbl_Finance[Description],MATCH(C192&amp;"",tbl_Finance[Job Number],0)),""))</f>
        <v/>
      </c>
      <c r="O192" s="24" t="n"/>
      <c r="P192" s="24" t="n"/>
      <c r="Q192" s="22" t="n"/>
      <c r="R192" s="24" t="n"/>
      <c r="S192" s="25">
        <f>IF(R192="","",IF(AND(LEFT(R192,4)&lt;&gt;"http",set_RMSBase=""),"",HYPERLINK(IF(LEFT(R192,4)="http",R192,set_RMSBase&amp;R192),"Open opportunity")))</f>
        <v/>
      </c>
      <c r="T192" s="24" t="n"/>
      <c r="U192" s="25">
        <f>IF(T192="","",HYPERLINK(IF(LEFT(T192,4)="http",T192,set_QwilrBase&amp;T192),"Open quote"))</f>
        <v/>
      </c>
      <c r="V192" s="25">
        <f>IF(C192="","",C192)</f>
        <v/>
      </c>
      <c r="W192" s="24" t="n"/>
      <c r="X192" s="26" t="n"/>
      <c r="Y192" s="27">
        <f>IF(C192="","",H192+N(X192))</f>
        <v/>
      </c>
      <c r="Z192" s="29">
        <f>IFERROR(X192/Y192,"")</f>
        <v/>
      </c>
      <c r="AA192" s="26" t="n"/>
      <c r="AB192" s="26" t="n"/>
      <c r="AC192" s="26" t="n"/>
      <c r="AD192" s="26" t="n"/>
      <c r="AE192" s="27">
        <f>IF(C192="","",SUMIFS(tbl_Finance[Ex GST],tbl_Finance[Job Number],C192&amp;"",tbl_Finance[Cost Centre],"VIDEO"))</f>
        <v/>
      </c>
      <c r="AF192" s="29">
        <f>IFERROR(AE192/H192,"")</f>
        <v/>
      </c>
      <c r="AG192" s="27">
        <f>IF(C192="","",N(AA192)+N(AB192)+N(AC192)+N(AD192))</f>
        <v/>
      </c>
      <c r="AH192" s="27">
        <f>IF(C192="","",H192-AG192)</f>
        <v/>
      </c>
      <c r="AI192" s="29">
        <f>IFERROR(AH192/H192,"")</f>
        <v/>
      </c>
      <c r="AJ192" s="69" t="n"/>
      <c r="AK192" s="69" t="n"/>
      <c r="AL192" s="69" t="n"/>
      <c r="AM192" s="69" t="n"/>
      <c r="AN192" s="69" t="n"/>
      <c r="AO192" s="24" t="n"/>
    </row>
    <row r="193" ht="15" customHeight="1">
      <c r="A193" s="68">
        <f>IF(C193="","",IFERROR(IF(SUMPRODUCT(MAX((tbl_Finance[Job Number]=C193&amp;"")*(tbl_Finance[Xero Invoice No]&lt;&gt;"")*tbl_Finance[Date]))=0,"",SUMPRODUCT(MAX((tbl_Finance[Job Number]=C193&amp;"")*(tbl_Finance[Xero Invoice No]&lt;&gt;"")*tbl_Finance[Date]))),""))</f>
        <v/>
      </c>
      <c r="B193" s="25">
        <f>IF(C193="","",IF(COUNTIFS(tbl_Finance[Job Number],C193&amp;"",tbl_Finance[Xero Invoice No],"&lt;&gt;")=0,"",IFERROR(IF(COUNTIFS(tbl_Finance[Job Number],C193&amp;"",tbl_Finance[Xero Invoice No],LOOKUP(2,1/((tbl_Finance[Job Number]=C193&amp;"")*(tbl_Finance[Xero Invoice No]&lt;&gt;"")),tbl_Finance[Xero Invoice No]))=COUNTIFS(tbl_Finance[Job Number],C193&amp;"",tbl_Finance[Xero Invoice No],"&lt;&gt;"),LOOKUP(2,1/((tbl_Finance[Job Number]=C193&amp;"")*(tbl_Finance[Xero Invoice No]&lt;&gt;"")),tbl_Finance[Xero Invoice No]),LOOKUP(2,1/((tbl_Finance[Job Number]=C193&amp;"")*(tbl_Finance[Xero Invoice No]&lt;&gt;"")),tbl_Finance[Xero Invoice No])&amp;" +more"),"")))</f>
        <v/>
      </c>
      <c r="C193" s="24" t="n"/>
      <c r="D193" s="25">
        <f>IF(C193="","",IF(COUNTIF(lst_Jobs,C193&amp;"")&gt;0,"OK","CHECK"))</f>
        <v/>
      </c>
      <c r="E193" s="25">
        <f>IF(C193="","",IFERROR(INDEX(lst_JobName,MATCH(C193&amp;"",lst_Jobs,0)),""))</f>
        <v/>
      </c>
      <c r="F193" s="25">
        <f>IF(C193="","",IFERROR(INDEX(tbl_Finance[Client],MATCH(C193&amp;"",tbl_Finance[Job Number],0)),""))</f>
        <v/>
      </c>
      <c r="G193" s="28">
        <f>IF(C193="","",COUNTIFS(tbl_Finance[Job Number],C193&amp;"",tbl_Finance[Ex GST],"&lt;&gt;"))</f>
        <v/>
      </c>
      <c r="H193" s="27">
        <f>IF(C193="","",SUMIFS(tbl_Finance[Ex GST],tbl_Finance[Job Number],C193&amp;""))</f>
        <v/>
      </c>
      <c r="I193" s="27">
        <f>IF(C193="","",SUMIFS(tbl_Finance[Ex GST],tbl_Finance[Job Number],C193&amp;"",tbl_Finance[Xero Invoice No],"&lt;&gt;"))</f>
        <v/>
      </c>
      <c r="J193" s="27">
        <f>IF(C193="","",H193-I193)</f>
        <v/>
      </c>
      <c r="K193" s="25">
        <f>IF(C193="","",IF(G193=0,"not invoiced yet",SUBSTITUTE(TRIM(IF(COUNTIFS(tbl_Finance[Job Number],C193&amp;"",tbl_Finance[Cost Centre],"ONSITE")&gt;0,"ONSITE ","")&amp;IF(COUNTIFS(tbl_Finance[Job Number],C193&amp;"",tbl_Finance[Cost Centre],"PRODUCTION")&gt;0,"PRODUCTION ","")&amp;IF(COUNTIFS(tbl_Finance[Job Number],C193&amp;"",tbl_Finance[Cost Centre],"VIDEO")&gt;0,"VIDEO ","")&amp;IF(COUNTIFS(tbl_Finance[Job Number],C193&amp;"",tbl_Finance[Cost Centre],"INTEGRATION")&gt;0,"INTEGRATION ","")&amp;IF(COUNTIFS(tbl_Finance[Job Number],C193&amp;"",tbl_Finance[Cost Centre],"CONSULTING")&gt;0,"CONSULTING ","")&amp;IF(COUNTIFS(tbl_Finance[Job Number],C193&amp;"",tbl_Finance[Cost Centre],"CTS")&gt;0,"CTS ",""))," ",", ")))</f>
        <v/>
      </c>
      <c r="L193" s="27">
        <f>IF(C193="","",SUMIFS(tbl_Finance[Inc GST],tbl_Finance[Job Number],C193&amp;""))</f>
        <v/>
      </c>
      <c r="M193" s="24" t="n"/>
      <c r="N193" s="25">
        <f>IF(C193="","",IFERROR(INDEX(tbl_Finance[Description],MATCH(C193&amp;"",tbl_Finance[Job Number],0)),""))</f>
        <v/>
      </c>
      <c r="O193" s="24" t="n"/>
      <c r="P193" s="24" t="n"/>
      <c r="Q193" s="22" t="n"/>
      <c r="R193" s="24" t="n"/>
      <c r="S193" s="25">
        <f>IF(R193="","",IF(AND(LEFT(R193,4)&lt;&gt;"http",set_RMSBase=""),"",HYPERLINK(IF(LEFT(R193,4)="http",R193,set_RMSBase&amp;R193),"Open opportunity")))</f>
        <v/>
      </c>
      <c r="T193" s="24" t="n"/>
      <c r="U193" s="25">
        <f>IF(T193="","",HYPERLINK(IF(LEFT(T193,4)="http",T193,set_QwilrBase&amp;T193),"Open quote"))</f>
        <v/>
      </c>
      <c r="V193" s="25">
        <f>IF(C193="","",C193)</f>
        <v/>
      </c>
      <c r="W193" s="24" t="n"/>
      <c r="X193" s="26" t="n"/>
      <c r="Y193" s="27">
        <f>IF(C193="","",H193+N(X193))</f>
        <v/>
      </c>
      <c r="Z193" s="29">
        <f>IFERROR(X193/Y193,"")</f>
        <v/>
      </c>
      <c r="AA193" s="26" t="n"/>
      <c r="AB193" s="26" t="n"/>
      <c r="AC193" s="26" t="n"/>
      <c r="AD193" s="26" t="n"/>
      <c r="AE193" s="27">
        <f>IF(C193="","",SUMIFS(tbl_Finance[Ex GST],tbl_Finance[Job Number],C193&amp;"",tbl_Finance[Cost Centre],"VIDEO"))</f>
        <v/>
      </c>
      <c r="AF193" s="29">
        <f>IFERROR(AE193/H193,"")</f>
        <v/>
      </c>
      <c r="AG193" s="27">
        <f>IF(C193="","",N(AA193)+N(AB193)+N(AC193)+N(AD193))</f>
        <v/>
      </c>
      <c r="AH193" s="27">
        <f>IF(C193="","",H193-AG193)</f>
        <v/>
      </c>
      <c r="AI193" s="29">
        <f>IFERROR(AH193/H193,"")</f>
        <v/>
      </c>
      <c r="AJ193" s="69" t="n"/>
      <c r="AK193" s="69" t="n"/>
      <c r="AL193" s="69" t="n"/>
      <c r="AM193" s="69" t="n"/>
      <c r="AN193" s="69" t="n"/>
      <c r="AO193" s="24" t="n"/>
    </row>
    <row r="194" ht="15" customHeight="1">
      <c r="A194" s="68">
        <f>IF(C194="","",IFERROR(IF(SUMPRODUCT(MAX((tbl_Finance[Job Number]=C194&amp;"")*(tbl_Finance[Xero Invoice No]&lt;&gt;"")*tbl_Finance[Date]))=0,"",SUMPRODUCT(MAX((tbl_Finance[Job Number]=C194&amp;"")*(tbl_Finance[Xero Invoice No]&lt;&gt;"")*tbl_Finance[Date]))),""))</f>
        <v/>
      </c>
      <c r="B194" s="25">
        <f>IF(C194="","",IF(COUNTIFS(tbl_Finance[Job Number],C194&amp;"",tbl_Finance[Xero Invoice No],"&lt;&gt;")=0,"",IFERROR(IF(COUNTIFS(tbl_Finance[Job Number],C194&amp;"",tbl_Finance[Xero Invoice No],LOOKUP(2,1/((tbl_Finance[Job Number]=C194&amp;"")*(tbl_Finance[Xero Invoice No]&lt;&gt;"")),tbl_Finance[Xero Invoice No]))=COUNTIFS(tbl_Finance[Job Number],C194&amp;"",tbl_Finance[Xero Invoice No],"&lt;&gt;"),LOOKUP(2,1/((tbl_Finance[Job Number]=C194&amp;"")*(tbl_Finance[Xero Invoice No]&lt;&gt;"")),tbl_Finance[Xero Invoice No]),LOOKUP(2,1/((tbl_Finance[Job Number]=C194&amp;"")*(tbl_Finance[Xero Invoice No]&lt;&gt;"")),tbl_Finance[Xero Invoice No])&amp;" +more"),"")))</f>
        <v/>
      </c>
      <c r="C194" s="24" t="n"/>
      <c r="D194" s="25">
        <f>IF(C194="","",IF(COUNTIF(lst_Jobs,C194&amp;"")&gt;0,"OK","CHECK"))</f>
        <v/>
      </c>
      <c r="E194" s="25">
        <f>IF(C194="","",IFERROR(INDEX(lst_JobName,MATCH(C194&amp;"",lst_Jobs,0)),""))</f>
        <v/>
      </c>
      <c r="F194" s="25">
        <f>IF(C194="","",IFERROR(INDEX(tbl_Finance[Client],MATCH(C194&amp;"",tbl_Finance[Job Number],0)),""))</f>
        <v/>
      </c>
      <c r="G194" s="28">
        <f>IF(C194="","",COUNTIFS(tbl_Finance[Job Number],C194&amp;"",tbl_Finance[Ex GST],"&lt;&gt;"))</f>
        <v/>
      </c>
      <c r="H194" s="27">
        <f>IF(C194="","",SUMIFS(tbl_Finance[Ex GST],tbl_Finance[Job Number],C194&amp;""))</f>
        <v/>
      </c>
      <c r="I194" s="27">
        <f>IF(C194="","",SUMIFS(tbl_Finance[Ex GST],tbl_Finance[Job Number],C194&amp;"",tbl_Finance[Xero Invoice No],"&lt;&gt;"))</f>
        <v/>
      </c>
      <c r="J194" s="27">
        <f>IF(C194="","",H194-I194)</f>
        <v/>
      </c>
      <c r="K194" s="25">
        <f>IF(C194="","",IF(G194=0,"not invoiced yet",SUBSTITUTE(TRIM(IF(COUNTIFS(tbl_Finance[Job Number],C194&amp;"",tbl_Finance[Cost Centre],"ONSITE")&gt;0,"ONSITE ","")&amp;IF(COUNTIFS(tbl_Finance[Job Number],C194&amp;"",tbl_Finance[Cost Centre],"PRODUCTION")&gt;0,"PRODUCTION ","")&amp;IF(COUNTIFS(tbl_Finance[Job Number],C194&amp;"",tbl_Finance[Cost Centre],"VIDEO")&gt;0,"VIDEO ","")&amp;IF(COUNTIFS(tbl_Finance[Job Number],C194&amp;"",tbl_Finance[Cost Centre],"INTEGRATION")&gt;0,"INTEGRATION ","")&amp;IF(COUNTIFS(tbl_Finance[Job Number],C194&amp;"",tbl_Finance[Cost Centre],"CONSULTING")&gt;0,"CONSULTING ","")&amp;IF(COUNTIFS(tbl_Finance[Job Number],C194&amp;"",tbl_Finance[Cost Centre],"CTS")&gt;0,"CTS ",""))," ",", ")))</f>
        <v/>
      </c>
      <c r="L194" s="27">
        <f>IF(C194="","",SUMIFS(tbl_Finance[Inc GST],tbl_Finance[Job Number],C194&amp;""))</f>
        <v/>
      </c>
      <c r="M194" s="24" t="n"/>
      <c r="N194" s="25">
        <f>IF(C194="","",IFERROR(INDEX(tbl_Finance[Description],MATCH(C194&amp;"",tbl_Finance[Job Number],0)),""))</f>
        <v/>
      </c>
      <c r="O194" s="24" t="n"/>
      <c r="P194" s="24" t="n"/>
      <c r="Q194" s="22" t="n"/>
      <c r="R194" s="24" t="n"/>
      <c r="S194" s="25">
        <f>IF(R194="","",IF(AND(LEFT(R194,4)&lt;&gt;"http",set_RMSBase=""),"",HYPERLINK(IF(LEFT(R194,4)="http",R194,set_RMSBase&amp;R194),"Open opportunity")))</f>
        <v/>
      </c>
      <c r="T194" s="24" t="n"/>
      <c r="U194" s="25">
        <f>IF(T194="","",HYPERLINK(IF(LEFT(T194,4)="http",T194,set_QwilrBase&amp;T194),"Open quote"))</f>
        <v/>
      </c>
      <c r="V194" s="25">
        <f>IF(C194="","",C194)</f>
        <v/>
      </c>
      <c r="W194" s="24" t="n"/>
      <c r="X194" s="26" t="n"/>
      <c r="Y194" s="27">
        <f>IF(C194="","",H194+N(X194))</f>
        <v/>
      </c>
      <c r="Z194" s="29">
        <f>IFERROR(X194/Y194,"")</f>
        <v/>
      </c>
      <c r="AA194" s="26" t="n"/>
      <c r="AB194" s="26" t="n"/>
      <c r="AC194" s="26" t="n"/>
      <c r="AD194" s="26" t="n"/>
      <c r="AE194" s="27">
        <f>IF(C194="","",SUMIFS(tbl_Finance[Ex GST],tbl_Finance[Job Number],C194&amp;"",tbl_Finance[Cost Centre],"VIDEO"))</f>
        <v/>
      </c>
      <c r="AF194" s="29">
        <f>IFERROR(AE194/H194,"")</f>
        <v/>
      </c>
      <c r="AG194" s="27">
        <f>IF(C194="","",N(AA194)+N(AB194)+N(AC194)+N(AD194))</f>
        <v/>
      </c>
      <c r="AH194" s="27">
        <f>IF(C194="","",H194-AG194)</f>
        <v/>
      </c>
      <c r="AI194" s="29">
        <f>IFERROR(AH194/H194,"")</f>
        <v/>
      </c>
      <c r="AJ194" s="69" t="n"/>
      <c r="AK194" s="69" t="n"/>
      <c r="AL194" s="69" t="n"/>
      <c r="AM194" s="69" t="n"/>
      <c r="AN194" s="69" t="n"/>
      <c r="AO194" s="24" t="n"/>
    </row>
    <row r="195" ht="15" customHeight="1">
      <c r="A195" s="68">
        <f>IF(C195="","",IFERROR(IF(SUMPRODUCT(MAX((tbl_Finance[Job Number]=C195&amp;"")*(tbl_Finance[Xero Invoice No]&lt;&gt;"")*tbl_Finance[Date]))=0,"",SUMPRODUCT(MAX((tbl_Finance[Job Number]=C195&amp;"")*(tbl_Finance[Xero Invoice No]&lt;&gt;"")*tbl_Finance[Date]))),""))</f>
        <v/>
      </c>
      <c r="B195" s="25">
        <f>IF(C195="","",IF(COUNTIFS(tbl_Finance[Job Number],C195&amp;"",tbl_Finance[Xero Invoice No],"&lt;&gt;")=0,"",IFERROR(IF(COUNTIFS(tbl_Finance[Job Number],C195&amp;"",tbl_Finance[Xero Invoice No],LOOKUP(2,1/((tbl_Finance[Job Number]=C195&amp;"")*(tbl_Finance[Xero Invoice No]&lt;&gt;"")),tbl_Finance[Xero Invoice No]))=COUNTIFS(tbl_Finance[Job Number],C195&amp;"",tbl_Finance[Xero Invoice No],"&lt;&gt;"),LOOKUP(2,1/((tbl_Finance[Job Number]=C195&amp;"")*(tbl_Finance[Xero Invoice No]&lt;&gt;"")),tbl_Finance[Xero Invoice No]),LOOKUP(2,1/((tbl_Finance[Job Number]=C195&amp;"")*(tbl_Finance[Xero Invoice No]&lt;&gt;"")),tbl_Finance[Xero Invoice No])&amp;" +more"),"")))</f>
        <v/>
      </c>
      <c r="C195" s="24" t="n"/>
      <c r="D195" s="25">
        <f>IF(C195="","",IF(COUNTIF(lst_Jobs,C195&amp;"")&gt;0,"OK","CHECK"))</f>
        <v/>
      </c>
      <c r="E195" s="25">
        <f>IF(C195="","",IFERROR(INDEX(lst_JobName,MATCH(C195&amp;"",lst_Jobs,0)),""))</f>
        <v/>
      </c>
      <c r="F195" s="25">
        <f>IF(C195="","",IFERROR(INDEX(tbl_Finance[Client],MATCH(C195&amp;"",tbl_Finance[Job Number],0)),""))</f>
        <v/>
      </c>
      <c r="G195" s="28">
        <f>IF(C195="","",COUNTIFS(tbl_Finance[Job Number],C195&amp;"",tbl_Finance[Ex GST],"&lt;&gt;"))</f>
        <v/>
      </c>
      <c r="H195" s="27">
        <f>IF(C195="","",SUMIFS(tbl_Finance[Ex GST],tbl_Finance[Job Number],C195&amp;""))</f>
        <v/>
      </c>
      <c r="I195" s="27">
        <f>IF(C195="","",SUMIFS(tbl_Finance[Ex GST],tbl_Finance[Job Number],C195&amp;"",tbl_Finance[Xero Invoice No],"&lt;&gt;"))</f>
        <v/>
      </c>
      <c r="J195" s="27">
        <f>IF(C195="","",H195-I195)</f>
        <v/>
      </c>
      <c r="K195" s="25">
        <f>IF(C195="","",IF(G195=0,"not invoiced yet",SUBSTITUTE(TRIM(IF(COUNTIFS(tbl_Finance[Job Number],C195&amp;"",tbl_Finance[Cost Centre],"ONSITE")&gt;0,"ONSITE ","")&amp;IF(COUNTIFS(tbl_Finance[Job Number],C195&amp;"",tbl_Finance[Cost Centre],"PRODUCTION")&gt;0,"PRODUCTION ","")&amp;IF(COUNTIFS(tbl_Finance[Job Number],C195&amp;"",tbl_Finance[Cost Centre],"VIDEO")&gt;0,"VIDEO ","")&amp;IF(COUNTIFS(tbl_Finance[Job Number],C195&amp;"",tbl_Finance[Cost Centre],"INTEGRATION")&gt;0,"INTEGRATION ","")&amp;IF(COUNTIFS(tbl_Finance[Job Number],C195&amp;"",tbl_Finance[Cost Centre],"CONSULTING")&gt;0,"CONSULTING ","")&amp;IF(COUNTIFS(tbl_Finance[Job Number],C195&amp;"",tbl_Finance[Cost Centre],"CTS")&gt;0,"CTS ",""))," ",", ")))</f>
        <v/>
      </c>
      <c r="L195" s="27">
        <f>IF(C195="","",SUMIFS(tbl_Finance[Inc GST],tbl_Finance[Job Number],C195&amp;""))</f>
        <v/>
      </c>
      <c r="M195" s="24" t="n"/>
      <c r="N195" s="25">
        <f>IF(C195="","",IFERROR(INDEX(tbl_Finance[Description],MATCH(C195&amp;"",tbl_Finance[Job Number],0)),""))</f>
        <v/>
      </c>
      <c r="O195" s="24" t="n"/>
      <c r="P195" s="24" t="n"/>
      <c r="Q195" s="22" t="n"/>
      <c r="R195" s="24" t="n"/>
      <c r="S195" s="25">
        <f>IF(R195="","",IF(AND(LEFT(R195,4)&lt;&gt;"http",set_RMSBase=""),"",HYPERLINK(IF(LEFT(R195,4)="http",R195,set_RMSBase&amp;R195),"Open opportunity")))</f>
        <v/>
      </c>
      <c r="T195" s="24" t="n"/>
      <c r="U195" s="25">
        <f>IF(T195="","",HYPERLINK(IF(LEFT(T195,4)="http",T195,set_QwilrBase&amp;T195),"Open quote"))</f>
        <v/>
      </c>
      <c r="V195" s="25">
        <f>IF(C195="","",C195)</f>
        <v/>
      </c>
      <c r="W195" s="24" t="n"/>
      <c r="X195" s="26" t="n"/>
      <c r="Y195" s="27">
        <f>IF(C195="","",H195+N(X195))</f>
        <v/>
      </c>
      <c r="Z195" s="29">
        <f>IFERROR(X195/Y195,"")</f>
        <v/>
      </c>
      <c r="AA195" s="26" t="n"/>
      <c r="AB195" s="26" t="n"/>
      <c r="AC195" s="26" t="n"/>
      <c r="AD195" s="26" t="n"/>
      <c r="AE195" s="27">
        <f>IF(C195="","",SUMIFS(tbl_Finance[Ex GST],tbl_Finance[Job Number],C195&amp;"",tbl_Finance[Cost Centre],"VIDEO"))</f>
        <v/>
      </c>
      <c r="AF195" s="29">
        <f>IFERROR(AE195/H195,"")</f>
        <v/>
      </c>
      <c r="AG195" s="27">
        <f>IF(C195="","",N(AA195)+N(AB195)+N(AC195)+N(AD195))</f>
        <v/>
      </c>
      <c r="AH195" s="27">
        <f>IF(C195="","",H195-AG195)</f>
        <v/>
      </c>
      <c r="AI195" s="29">
        <f>IFERROR(AH195/H195,"")</f>
        <v/>
      </c>
      <c r="AJ195" s="69" t="n"/>
      <c r="AK195" s="69" t="n"/>
      <c r="AL195" s="69" t="n"/>
      <c r="AM195" s="69" t="n"/>
      <c r="AN195" s="69" t="n"/>
      <c r="AO195" s="24" t="n"/>
    </row>
    <row r="196" ht="15" customHeight="1">
      <c r="A196" s="68">
        <f>IF(C196="","",IFERROR(IF(SUMPRODUCT(MAX((tbl_Finance[Job Number]=C196&amp;"")*(tbl_Finance[Xero Invoice No]&lt;&gt;"")*tbl_Finance[Date]))=0,"",SUMPRODUCT(MAX((tbl_Finance[Job Number]=C196&amp;"")*(tbl_Finance[Xero Invoice No]&lt;&gt;"")*tbl_Finance[Date]))),""))</f>
        <v/>
      </c>
      <c r="B196" s="25">
        <f>IF(C196="","",IF(COUNTIFS(tbl_Finance[Job Number],C196&amp;"",tbl_Finance[Xero Invoice No],"&lt;&gt;")=0,"",IFERROR(IF(COUNTIFS(tbl_Finance[Job Number],C196&amp;"",tbl_Finance[Xero Invoice No],LOOKUP(2,1/((tbl_Finance[Job Number]=C196&amp;"")*(tbl_Finance[Xero Invoice No]&lt;&gt;"")),tbl_Finance[Xero Invoice No]))=COUNTIFS(tbl_Finance[Job Number],C196&amp;"",tbl_Finance[Xero Invoice No],"&lt;&gt;"),LOOKUP(2,1/((tbl_Finance[Job Number]=C196&amp;"")*(tbl_Finance[Xero Invoice No]&lt;&gt;"")),tbl_Finance[Xero Invoice No]),LOOKUP(2,1/((tbl_Finance[Job Number]=C196&amp;"")*(tbl_Finance[Xero Invoice No]&lt;&gt;"")),tbl_Finance[Xero Invoice No])&amp;" +more"),"")))</f>
        <v/>
      </c>
      <c r="C196" s="24" t="n"/>
      <c r="D196" s="25">
        <f>IF(C196="","",IF(COUNTIF(lst_Jobs,C196&amp;"")&gt;0,"OK","CHECK"))</f>
        <v/>
      </c>
      <c r="E196" s="25">
        <f>IF(C196="","",IFERROR(INDEX(lst_JobName,MATCH(C196&amp;"",lst_Jobs,0)),""))</f>
        <v/>
      </c>
      <c r="F196" s="25">
        <f>IF(C196="","",IFERROR(INDEX(tbl_Finance[Client],MATCH(C196&amp;"",tbl_Finance[Job Number],0)),""))</f>
        <v/>
      </c>
      <c r="G196" s="28">
        <f>IF(C196="","",COUNTIFS(tbl_Finance[Job Number],C196&amp;"",tbl_Finance[Ex GST],"&lt;&gt;"))</f>
        <v/>
      </c>
      <c r="H196" s="27">
        <f>IF(C196="","",SUMIFS(tbl_Finance[Ex GST],tbl_Finance[Job Number],C196&amp;""))</f>
        <v/>
      </c>
      <c r="I196" s="27">
        <f>IF(C196="","",SUMIFS(tbl_Finance[Ex GST],tbl_Finance[Job Number],C196&amp;"",tbl_Finance[Xero Invoice No],"&lt;&gt;"))</f>
        <v/>
      </c>
      <c r="J196" s="27">
        <f>IF(C196="","",H196-I196)</f>
        <v/>
      </c>
      <c r="K196" s="25">
        <f>IF(C196="","",IF(G196=0,"not invoiced yet",SUBSTITUTE(TRIM(IF(COUNTIFS(tbl_Finance[Job Number],C196&amp;"",tbl_Finance[Cost Centre],"ONSITE")&gt;0,"ONSITE ","")&amp;IF(COUNTIFS(tbl_Finance[Job Number],C196&amp;"",tbl_Finance[Cost Centre],"PRODUCTION")&gt;0,"PRODUCTION ","")&amp;IF(COUNTIFS(tbl_Finance[Job Number],C196&amp;"",tbl_Finance[Cost Centre],"VIDEO")&gt;0,"VIDEO ","")&amp;IF(COUNTIFS(tbl_Finance[Job Number],C196&amp;"",tbl_Finance[Cost Centre],"INTEGRATION")&gt;0,"INTEGRATION ","")&amp;IF(COUNTIFS(tbl_Finance[Job Number],C196&amp;"",tbl_Finance[Cost Centre],"CONSULTING")&gt;0,"CONSULTING ","")&amp;IF(COUNTIFS(tbl_Finance[Job Number],C196&amp;"",tbl_Finance[Cost Centre],"CTS")&gt;0,"CTS ",""))," ",", ")))</f>
        <v/>
      </c>
      <c r="L196" s="27">
        <f>IF(C196="","",SUMIFS(tbl_Finance[Inc GST],tbl_Finance[Job Number],C196&amp;""))</f>
        <v/>
      </c>
      <c r="M196" s="24" t="n"/>
      <c r="N196" s="25">
        <f>IF(C196="","",IFERROR(INDEX(tbl_Finance[Description],MATCH(C196&amp;"",tbl_Finance[Job Number],0)),""))</f>
        <v/>
      </c>
      <c r="O196" s="24" t="n"/>
      <c r="P196" s="24" t="n"/>
      <c r="Q196" s="22" t="n"/>
      <c r="R196" s="24" t="n"/>
      <c r="S196" s="25">
        <f>IF(R196="","",IF(AND(LEFT(R196,4)&lt;&gt;"http",set_RMSBase=""),"",HYPERLINK(IF(LEFT(R196,4)="http",R196,set_RMSBase&amp;R196),"Open opportunity")))</f>
        <v/>
      </c>
      <c r="T196" s="24" t="n"/>
      <c r="U196" s="25">
        <f>IF(T196="","",HYPERLINK(IF(LEFT(T196,4)="http",T196,set_QwilrBase&amp;T196),"Open quote"))</f>
        <v/>
      </c>
      <c r="V196" s="25">
        <f>IF(C196="","",C196)</f>
        <v/>
      </c>
      <c r="W196" s="24" t="n"/>
      <c r="X196" s="26" t="n"/>
      <c r="Y196" s="27">
        <f>IF(C196="","",H196+N(X196))</f>
        <v/>
      </c>
      <c r="Z196" s="29">
        <f>IFERROR(X196/Y196,"")</f>
        <v/>
      </c>
      <c r="AA196" s="26" t="n"/>
      <c r="AB196" s="26" t="n"/>
      <c r="AC196" s="26" t="n"/>
      <c r="AD196" s="26" t="n"/>
      <c r="AE196" s="27">
        <f>IF(C196="","",SUMIFS(tbl_Finance[Ex GST],tbl_Finance[Job Number],C196&amp;"",tbl_Finance[Cost Centre],"VIDEO"))</f>
        <v/>
      </c>
      <c r="AF196" s="29">
        <f>IFERROR(AE196/H196,"")</f>
        <v/>
      </c>
      <c r="AG196" s="27">
        <f>IF(C196="","",N(AA196)+N(AB196)+N(AC196)+N(AD196))</f>
        <v/>
      </c>
      <c r="AH196" s="27">
        <f>IF(C196="","",H196-AG196)</f>
        <v/>
      </c>
      <c r="AI196" s="29">
        <f>IFERROR(AH196/H196,"")</f>
        <v/>
      </c>
      <c r="AJ196" s="69" t="n"/>
      <c r="AK196" s="69" t="n"/>
      <c r="AL196" s="69" t="n"/>
      <c r="AM196" s="69" t="n"/>
      <c r="AN196" s="69" t="n"/>
      <c r="AO196" s="24" t="n"/>
    </row>
    <row r="197" ht="15" customHeight="1">
      <c r="A197" s="68">
        <f>IF(C197="","",IFERROR(IF(SUMPRODUCT(MAX((tbl_Finance[Job Number]=C197&amp;"")*(tbl_Finance[Xero Invoice No]&lt;&gt;"")*tbl_Finance[Date]))=0,"",SUMPRODUCT(MAX((tbl_Finance[Job Number]=C197&amp;"")*(tbl_Finance[Xero Invoice No]&lt;&gt;"")*tbl_Finance[Date]))),""))</f>
        <v/>
      </c>
      <c r="B197" s="25">
        <f>IF(C197="","",IF(COUNTIFS(tbl_Finance[Job Number],C197&amp;"",tbl_Finance[Xero Invoice No],"&lt;&gt;")=0,"",IFERROR(IF(COUNTIFS(tbl_Finance[Job Number],C197&amp;"",tbl_Finance[Xero Invoice No],LOOKUP(2,1/((tbl_Finance[Job Number]=C197&amp;"")*(tbl_Finance[Xero Invoice No]&lt;&gt;"")),tbl_Finance[Xero Invoice No]))=COUNTIFS(tbl_Finance[Job Number],C197&amp;"",tbl_Finance[Xero Invoice No],"&lt;&gt;"),LOOKUP(2,1/((tbl_Finance[Job Number]=C197&amp;"")*(tbl_Finance[Xero Invoice No]&lt;&gt;"")),tbl_Finance[Xero Invoice No]),LOOKUP(2,1/((tbl_Finance[Job Number]=C197&amp;"")*(tbl_Finance[Xero Invoice No]&lt;&gt;"")),tbl_Finance[Xero Invoice No])&amp;" +more"),"")))</f>
        <v/>
      </c>
      <c r="C197" s="24" t="n"/>
      <c r="D197" s="25">
        <f>IF(C197="","",IF(COUNTIF(lst_Jobs,C197&amp;"")&gt;0,"OK","CHECK"))</f>
        <v/>
      </c>
      <c r="E197" s="25">
        <f>IF(C197="","",IFERROR(INDEX(lst_JobName,MATCH(C197&amp;"",lst_Jobs,0)),""))</f>
        <v/>
      </c>
      <c r="F197" s="25">
        <f>IF(C197="","",IFERROR(INDEX(tbl_Finance[Client],MATCH(C197&amp;"",tbl_Finance[Job Number],0)),""))</f>
        <v/>
      </c>
      <c r="G197" s="28">
        <f>IF(C197="","",COUNTIFS(tbl_Finance[Job Number],C197&amp;"",tbl_Finance[Ex GST],"&lt;&gt;"))</f>
        <v/>
      </c>
      <c r="H197" s="27">
        <f>IF(C197="","",SUMIFS(tbl_Finance[Ex GST],tbl_Finance[Job Number],C197&amp;""))</f>
        <v/>
      </c>
      <c r="I197" s="27">
        <f>IF(C197="","",SUMIFS(tbl_Finance[Ex GST],tbl_Finance[Job Number],C197&amp;"",tbl_Finance[Xero Invoice No],"&lt;&gt;"))</f>
        <v/>
      </c>
      <c r="J197" s="27">
        <f>IF(C197="","",H197-I197)</f>
        <v/>
      </c>
      <c r="K197" s="25">
        <f>IF(C197="","",IF(G197=0,"not invoiced yet",SUBSTITUTE(TRIM(IF(COUNTIFS(tbl_Finance[Job Number],C197&amp;"",tbl_Finance[Cost Centre],"ONSITE")&gt;0,"ONSITE ","")&amp;IF(COUNTIFS(tbl_Finance[Job Number],C197&amp;"",tbl_Finance[Cost Centre],"PRODUCTION")&gt;0,"PRODUCTION ","")&amp;IF(COUNTIFS(tbl_Finance[Job Number],C197&amp;"",tbl_Finance[Cost Centre],"VIDEO")&gt;0,"VIDEO ","")&amp;IF(COUNTIFS(tbl_Finance[Job Number],C197&amp;"",tbl_Finance[Cost Centre],"INTEGRATION")&gt;0,"INTEGRATION ","")&amp;IF(COUNTIFS(tbl_Finance[Job Number],C197&amp;"",tbl_Finance[Cost Centre],"CONSULTING")&gt;0,"CONSULTING ","")&amp;IF(COUNTIFS(tbl_Finance[Job Number],C197&amp;"",tbl_Finance[Cost Centre],"CTS")&gt;0,"CTS ",""))," ",", ")))</f>
        <v/>
      </c>
      <c r="L197" s="27">
        <f>IF(C197="","",SUMIFS(tbl_Finance[Inc GST],tbl_Finance[Job Number],C197&amp;""))</f>
        <v/>
      </c>
      <c r="M197" s="24" t="n"/>
      <c r="N197" s="25">
        <f>IF(C197="","",IFERROR(INDEX(tbl_Finance[Description],MATCH(C197&amp;"",tbl_Finance[Job Number],0)),""))</f>
        <v/>
      </c>
      <c r="O197" s="24" t="n"/>
      <c r="P197" s="24" t="n"/>
      <c r="Q197" s="22" t="n"/>
      <c r="R197" s="24" t="n"/>
      <c r="S197" s="25">
        <f>IF(R197="","",IF(AND(LEFT(R197,4)&lt;&gt;"http",set_RMSBase=""),"",HYPERLINK(IF(LEFT(R197,4)="http",R197,set_RMSBase&amp;R197),"Open opportunity")))</f>
        <v/>
      </c>
      <c r="T197" s="24" t="n"/>
      <c r="U197" s="25">
        <f>IF(T197="","",HYPERLINK(IF(LEFT(T197,4)="http",T197,set_QwilrBase&amp;T197),"Open quote"))</f>
        <v/>
      </c>
      <c r="V197" s="25">
        <f>IF(C197="","",C197)</f>
        <v/>
      </c>
      <c r="W197" s="24" t="n"/>
      <c r="X197" s="26" t="n"/>
      <c r="Y197" s="27">
        <f>IF(C197="","",H197+N(X197))</f>
        <v/>
      </c>
      <c r="Z197" s="29">
        <f>IFERROR(X197/Y197,"")</f>
        <v/>
      </c>
      <c r="AA197" s="26" t="n"/>
      <c r="AB197" s="26" t="n"/>
      <c r="AC197" s="26" t="n"/>
      <c r="AD197" s="26" t="n"/>
      <c r="AE197" s="27">
        <f>IF(C197="","",SUMIFS(tbl_Finance[Ex GST],tbl_Finance[Job Number],C197&amp;"",tbl_Finance[Cost Centre],"VIDEO"))</f>
        <v/>
      </c>
      <c r="AF197" s="29">
        <f>IFERROR(AE197/H197,"")</f>
        <v/>
      </c>
      <c r="AG197" s="27">
        <f>IF(C197="","",N(AA197)+N(AB197)+N(AC197)+N(AD197))</f>
        <v/>
      </c>
      <c r="AH197" s="27">
        <f>IF(C197="","",H197-AG197)</f>
        <v/>
      </c>
      <c r="AI197" s="29">
        <f>IFERROR(AH197/H197,"")</f>
        <v/>
      </c>
      <c r="AJ197" s="69" t="n"/>
      <c r="AK197" s="69" t="n"/>
      <c r="AL197" s="69" t="n"/>
      <c r="AM197" s="69" t="n"/>
      <c r="AN197" s="69" t="n"/>
      <c r="AO197" s="24" t="n"/>
    </row>
    <row r="198" ht="15" customHeight="1">
      <c r="A198" s="68">
        <f>IF(C198="","",IFERROR(IF(SUMPRODUCT(MAX((tbl_Finance[Job Number]=C198&amp;"")*(tbl_Finance[Xero Invoice No]&lt;&gt;"")*tbl_Finance[Date]))=0,"",SUMPRODUCT(MAX((tbl_Finance[Job Number]=C198&amp;"")*(tbl_Finance[Xero Invoice No]&lt;&gt;"")*tbl_Finance[Date]))),""))</f>
        <v/>
      </c>
      <c r="B198" s="25">
        <f>IF(C198="","",IF(COUNTIFS(tbl_Finance[Job Number],C198&amp;"",tbl_Finance[Xero Invoice No],"&lt;&gt;")=0,"",IFERROR(IF(COUNTIFS(tbl_Finance[Job Number],C198&amp;"",tbl_Finance[Xero Invoice No],LOOKUP(2,1/((tbl_Finance[Job Number]=C198&amp;"")*(tbl_Finance[Xero Invoice No]&lt;&gt;"")),tbl_Finance[Xero Invoice No]))=COUNTIFS(tbl_Finance[Job Number],C198&amp;"",tbl_Finance[Xero Invoice No],"&lt;&gt;"),LOOKUP(2,1/((tbl_Finance[Job Number]=C198&amp;"")*(tbl_Finance[Xero Invoice No]&lt;&gt;"")),tbl_Finance[Xero Invoice No]),LOOKUP(2,1/((tbl_Finance[Job Number]=C198&amp;"")*(tbl_Finance[Xero Invoice No]&lt;&gt;"")),tbl_Finance[Xero Invoice No])&amp;" +more"),"")))</f>
        <v/>
      </c>
      <c r="C198" s="24" t="n"/>
      <c r="D198" s="25">
        <f>IF(C198="","",IF(COUNTIF(lst_Jobs,C198&amp;"")&gt;0,"OK","CHECK"))</f>
        <v/>
      </c>
      <c r="E198" s="25">
        <f>IF(C198="","",IFERROR(INDEX(lst_JobName,MATCH(C198&amp;"",lst_Jobs,0)),""))</f>
        <v/>
      </c>
      <c r="F198" s="25">
        <f>IF(C198="","",IFERROR(INDEX(tbl_Finance[Client],MATCH(C198&amp;"",tbl_Finance[Job Number],0)),""))</f>
        <v/>
      </c>
      <c r="G198" s="28">
        <f>IF(C198="","",COUNTIFS(tbl_Finance[Job Number],C198&amp;"",tbl_Finance[Ex GST],"&lt;&gt;"))</f>
        <v/>
      </c>
      <c r="H198" s="27">
        <f>IF(C198="","",SUMIFS(tbl_Finance[Ex GST],tbl_Finance[Job Number],C198&amp;""))</f>
        <v/>
      </c>
      <c r="I198" s="27">
        <f>IF(C198="","",SUMIFS(tbl_Finance[Ex GST],tbl_Finance[Job Number],C198&amp;"",tbl_Finance[Xero Invoice No],"&lt;&gt;"))</f>
        <v/>
      </c>
      <c r="J198" s="27">
        <f>IF(C198="","",H198-I198)</f>
        <v/>
      </c>
      <c r="K198" s="25">
        <f>IF(C198="","",IF(G198=0,"not invoiced yet",SUBSTITUTE(TRIM(IF(COUNTIFS(tbl_Finance[Job Number],C198&amp;"",tbl_Finance[Cost Centre],"ONSITE")&gt;0,"ONSITE ","")&amp;IF(COUNTIFS(tbl_Finance[Job Number],C198&amp;"",tbl_Finance[Cost Centre],"PRODUCTION")&gt;0,"PRODUCTION ","")&amp;IF(COUNTIFS(tbl_Finance[Job Number],C198&amp;"",tbl_Finance[Cost Centre],"VIDEO")&gt;0,"VIDEO ","")&amp;IF(COUNTIFS(tbl_Finance[Job Number],C198&amp;"",tbl_Finance[Cost Centre],"INTEGRATION")&gt;0,"INTEGRATION ","")&amp;IF(COUNTIFS(tbl_Finance[Job Number],C198&amp;"",tbl_Finance[Cost Centre],"CONSULTING")&gt;0,"CONSULTING ","")&amp;IF(COUNTIFS(tbl_Finance[Job Number],C198&amp;"",tbl_Finance[Cost Centre],"CTS")&gt;0,"CTS ",""))," ",", ")))</f>
        <v/>
      </c>
      <c r="L198" s="27">
        <f>IF(C198="","",SUMIFS(tbl_Finance[Inc GST],tbl_Finance[Job Number],C198&amp;""))</f>
        <v/>
      </c>
      <c r="M198" s="24" t="n"/>
      <c r="N198" s="25">
        <f>IF(C198="","",IFERROR(INDEX(tbl_Finance[Description],MATCH(C198&amp;"",tbl_Finance[Job Number],0)),""))</f>
        <v/>
      </c>
      <c r="O198" s="24" t="n"/>
      <c r="P198" s="24" t="n"/>
      <c r="Q198" s="22" t="n"/>
      <c r="R198" s="24" t="n"/>
      <c r="S198" s="25">
        <f>IF(R198="","",IF(AND(LEFT(R198,4)&lt;&gt;"http",set_RMSBase=""),"",HYPERLINK(IF(LEFT(R198,4)="http",R198,set_RMSBase&amp;R198),"Open opportunity")))</f>
        <v/>
      </c>
      <c r="T198" s="24" t="n"/>
      <c r="U198" s="25">
        <f>IF(T198="","",HYPERLINK(IF(LEFT(T198,4)="http",T198,set_QwilrBase&amp;T198),"Open quote"))</f>
        <v/>
      </c>
      <c r="V198" s="25">
        <f>IF(C198="","",C198)</f>
        <v/>
      </c>
      <c r="W198" s="24" t="n"/>
      <c r="X198" s="26" t="n"/>
      <c r="Y198" s="27">
        <f>IF(C198="","",H198+N(X198))</f>
        <v/>
      </c>
      <c r="Z198" s="29">
        <f>IFERROR(X198/Y198,"")</f>
        <v/>
      </c>
      <c r="AA198" s="26" t="n"/>
      <c r="AB198" s="26" t="n"/>
      <c r="AC198" s="26" t="n"/>
      <c r="AD198" s="26" t="n"/>
      <c r="AE198" s="27">
        <f>IF(C198="","",SUMIFS(tbl_Finance[Ex GST],tbl_Finance[Job Number],C198&amp;"",tbl_Finance[Cost Centre],"VIDEO"))</f>
        <v/>
      </c>
      <c r="AF198" s="29">
        <f>IFERROR(AE198/H198,"")</f>
        <v/>
      </c>
      <c r="AG198" s="27">
        <f>IF(C198="","",N(AA198)+N(AB198)+N(AC198)+N(AD198))</f>
        <v/>
      </c>
      <c r="AH198" s="27">
        <f>IF(C198="","",H198-AG198)</f>
        <v/>
      </c>
      <c r="AI198" s="29">
        <f>IFERROR(AH198/H198,"")</f>
        <v/>
      </c>
      <c r="AJ198" s="69" t="n"/>
      <c r="AK198" s="69" t="n"/>
      <c r="AL198" s="69" t="n"/>
      <c r="AM198" s="69" t="n"/>
      <c r="AN198" s="69" t="n"/>
      <c r="AO198" s="24" t="n"/>
    </row>
    <row r="199" ht="15" customHeight="1">
      <c r="A199" s="68">
        <f>IF(C199="","",IFERROR(IF(SUMPRODUCT(MAX((tbl_Finance[Job Number]=C199&amp;"")*(tbl_Finance[Xero Invoice No]&lt;&gt;"")*tbl_Finance[Date]))=0,"",SUMPRODUCT(MAX((tbl_Finance[Job Number]=C199&amp;"")*(tbl_Finance[Xero Invoice No]&lt;&gt;"")*tbl_Finance[Date]))),""))</f>
        <v/>
      </c>
      <c r="B199" s="25">
        <f>IF(C199="","",IF(COUNTIFS(tbl_Finance[Job Number],C199&amp;"",tbl_Finance[Xero Invoice No],"&lt;&gt;")=0,"",IFERROR(IF(COUNTIFS(tbl_Finance[Job Number],C199&amp;"",tbl_Finance[Xero Invoice No],LOOKUP(2,1/((tbl_Finance[Job Number]=C199&amp;"")*(tbl_Finance[Xero Invoice No]&lt;&gt;"")),tbl_Finance[Xero Invoice No]))=COUNTIFS(tbl_Finance[Job Number],C199&amp;"",tbl_Finance[Xero Invoice No],"&lt;&gt;"),LOOKUP(2,1/((tbl_Finance[Job Number]=C199&amp;"")*(tbl_Finance[Xero Invoice No]&lt;&gt;"")),tbl_Finance[Xero Invoice No]),LOOKUP(2,1/((tbl_Finance[Job Number]=C199&amp;"")*(tbl_Finance[Xero Invoice No]&lt;&gt;"")),tbl_Finance[Xero Invoice No])&amp;" +more"),"")))</f>
        <v/>
      </c>
      <c r="C199" s="24" t="n"/>
      <c r="D199" s="25">
        <f>IF(C199="","",IF(COUNTIF(lst_Jobs,C199&amp;"")&gt;0,"OK","CHECK"))</f>
        <v/>
      </c>
      <c r="E199" s="25">
        <f>IF(C199="","",IFERROR(INDEX(lst_JobName,MATCH(C199&amp;"",lst_Jobs,0)),""))</f>
        <v/>
      </c>
      <c r="F199" s="25">
        <f>IF(C199="","",IFERROR(INDEX(tbl_Finance[Client],MATCH(C199&amp;"",tbl_Finance[Job Number],0)),""))</f>
        <v/>
      </c>
      <c r="G199" s="28">
        <f>IF(C199="","",COUNTIFS(tbl_Finance[Job Number],C199&amp;"",tbl_Finance[Ex GST],"&lt;&gt;"))</f>
        <v/>
      </c>
      <c r="H199" s="27">
        <f>IF(C199="","",SUMIFS(tbl_Finance[Ex GST],tbl_Finance[Job Number],C199&amp;""))</f>
        <v/>
      </c>
      <c r="I199" s="27">
        <f>IF(C199="","",SUMIFS(tbl_Finance[Ex GST],tbl_Finance[Job Number],C199&amp;"",tbl_Finance[Xero Invoice No],"&lt;&gt;"))</f>
        <v/>
      </c>
      <c r="J199" s="27">
        <f>IF(C199="","",H199-I199)</f>
        <v/>
      </c>
      <c r="K199" s="25">
        <f>IF(C199="","",IF(G199=0,"not invoiced yet",SUBSTITUTE(TRIM(IF(COUNTIFS(tbl_Finance[Job Number],C199&amp;"",tbl_Finance[Cost Centre],"ONSITE")&gt;0,"ONSITE ","")&amp;IF(COUNTIFS(tbl_Finance[Job Number],C199&amp;"",tbl_Finance[Cost Centre],"PRODUCTION")&gt;0,"PRODUCTION ","")&amp;IF(COUNTIFS(tbl_Finance[Job Number],C199&amp;"",tbl_Finance[Cost Centre],"VIDEO")&gt;0,"VIDEO ","")&amp;IF(COUNTIFS(tbl_Finance[Job Number],C199&amp;"",tbl_Finance[Cost Centre],"INTEGRATION")&gt;0,"INTEGRATION ","")&amp;IF(COUNTIFS(tbl_Finance[Job Number],C199&amp;"",tbl_Finance[Cost Centre],"CONSULTING")&gt;0,"CONSULTING ","")&amp;IF(COUNTIFS(tbl_Finance[Job Number],C199&amp;"",tbl_Finance[Cost Centre],"CTS")&gt;0,"CTS ",""))," ",", ")))</f>
        <v/>
      </c>
      <c r="L199" s="27">
        <f>IF(C199="","",SUMIFS(tbl_Finance[Inc GST],tbl_Finance[Job Number],C199&amp;""))</f>
        <v/>
      </c>
      <c r="M199" s="24" t="n"/>
      <c r="N199" s="25">
        <f>IF(C199="","",IFERROR(INDEX(tbl_Finance[Description],MATCH(C199&amp;"",tbl_Finance[Job Number],0)),""))</f>
        <v/>
      </c>
      <c r="O199" s="24" t="n"/>
      <c r="P199" s="24" t="n"/>
      <c r="Q199" s="22" t="n"/>
      <c r="R199" s="24" t="n"/>
      <c r="S199" s="25">
        <f>IF(R199="","",IF(AND(LEFT(R199,4)&lt;&gt;"http",set_RMSBase=""),"",HYPERLINK(IF(LEFT(R199,4)="http",R199,set_RMSBase&amp;R199),"Open opportunity")))</f>
        <v/>
      </c>
      <c r="T199" s="24" t="n"/>
      <c r="U199" s="25">
        <f>IF(T199="","",HYPERLINK(IF(LEFT(T199,4)="http",T199,set_QwilrBase&amp;T199),"Open quote"))</f>
        <v/>
      </c>
      <c r="V199" s="25">
        <f>IF(C199="","",C199)</f>
        <v/>
      </c>
      <c r="W199" s="24" t="n"/>
      <c r="X199" s="26" t="n"/>
      <c r="Y199" s="27">
        <f>IF(C199="","",H199+N(X199))</f>
        <v/>
      </c>
      <c r="Z199" s="29">
        <f>IFERROR(X199/Y199,"")</f>
        <v/>
      </c>
      <c r="AA199" s="26" t="n"/>
      <c r="AB199" s="26" t="n"/>
      <c r="AC199" s="26" t="n"/>
      <c r="AD199" s="26" t="n"/>
      <c r="AE199" s="27">
        <f>IF(C199="","",SUMIFS(tbl_Finance[Ex GST],tbl_Finance[Job Number],C199&amp;"",tbl_Finance[Cost Centre],"VIDEO"))</f>
        <v/>
      </c>
      <c r="AF199" s="29">
        <f>IFERROR(AE199/H199,"")</f>
        <v/>
      </c>
      <c r="AG199" s="27">
        <f>IF(C199="","",N(AA199)+N(AB199)+N(AC199)+N(AD199))</f>
        <v/>
      </c>
      <c r="AH199" s="27">
        <f>IF(C199="","",H199-AG199)</f>
        <v/>
      </c>
      <c r="AI199" s="29">
        <f>IFERROR(AH199/H199,"")</f>
        <v/>
      </c>
      <c r="AJ199" s="69" t="n"/>
      <c r="AK199" s="69" t="n"/>
      <c r="AL199" s="69" t="n"/>
      <c r="AM199" s="69" t="n"/>
      <c r="AN199" s="69" t="n"/>
      <c r="AO199" s="24" t="n"/>
    </row>
    <row r="200" ht="15" customHeight="1">
      <c r="A200" s="68">
        <f>IF(C200="","",IFERROR(IF(SUMPRODUCT(MAX((tbl_Finance[Job Number]=C200&amp;"")*(tbl_Finance[Xero Invoice No]&lt;&gt;"")*tbl_Finance[Date]))=0,"",SUMPRODUCT(MAX((tbl_Finance[Job Number]=C200&amp;"")*(tbl_Finance[Xero Invoice No]&lt;&gt;"")*tbl_Finance[Date]))),""))</f>
        <v/>
      </c>
      <c r="B200" s="25">
        <f>IF(C200="","",IF(COUNTIFS(tbl_Finance[Job Number],C200&amp;"",tbl_Finance[Xero Invoice No],"&lt;&gt;")=0,"",IFERROR(IF(COUNTIFS(tbl_Finance[Job Number],C200&amp;"",tbl_Finance[Xero Invoice No],LOOKUP(2,1/((tbl_Finance[Job Number]=C200&amp;"")*(tbl_Finance[Xero Invoice No]&lt;&gt;"")),tbl_Finance[Xero Invoice No]))=COUNTIFS(tbl_Finance[Job Number],C200&amp;"",tbl_Finance[Xero Invoice No],"&lt;&gt;"),LOOKUP(2,1/((tbl_Finance[Job Number]=C200&amp;"")*(tbl_Finance[Xero Invoice No]&lt;&gt;"")),tbl_Finance[Xero Invoice No]),LOOKUP(2,1/((tbl_Finance[Job Number]=C200&amp;"")*(tbl_Finance[Xero Invoice No]&lt;&gt;"")),tbl_Finance[Xero Invoice No])&amp;" +more"),"")))</f>
        <v/>
      </c>
      <c r="C200" s="24" t="n"/>
      <c r="D200" s="25">
        <f>IF(C200="","",IF(COUNTIF(lst_Jobs,C200&amp;"")&gt;0,"OK","CHECK"))</f>
        <v/>
      </c>
      <c r="E200" s="25">
        <f>IF(C200="","",IFERROR(INDEX(lst_JobName,MATCH(C200&amp;"",lst_Jobs,0)),""))</f>
        <v/>
      </c>
      <c r="F200" s="25">
        <f>IF(C200="","",IFERROR(INDEX(tbl_Finance[Client],MATCH(C200&amp;"",tbl_Finance[Job Number],0)),""))</f>
        <v/>
      </c>
      <c r="G200" s="28">
        <f>IF(C200="","",COUNTIFS(tbl_Finance[Job Number],C200&amp;"",tbl_Finance[Ex GST],"&lt;&gt;"))</f>
        <v/>
      </c>
      <c r="H200" s="27">
        <f>IF(C200="","",SUMIFS(tbl_Finance[Ex GST],tbl_Finance[Job Number],C200&amp;""))</f>
        <v/>
      </c>
      <c r="I200" s="27">
        <f>IF(C200="","",SUMIFS(tbl_Finance[Ex GST],tbl_Finance[Job Number],C200&amp;"",tbl_Finance[Xero Invoice No],"&lt;&gt;"))</f>
        <v/>
      </c>
      <c r="J200" s="27">
        <f>IF(C200="","",H200-I200)</f>
        <v/>
      </c>
      <c r="K200" s="25">
        <f>IF(C200="","",IF(G200=0,"not invoiced yet",SUBSTITUTE(TRIM(IF(COUNTIFS(tbl_Finance[Job Number],C200&amp;"",tbl_Finance[Cost Centre],"ONSITE")&gt;0,"ONSITE ","")&amp;IF(COUNTIFS(tbl_Finance[Job Number],C200&amp;"",tbl_Finance[Cost Centre],"PRODUCTION")&gt;0,"PRODUCTION ","")&amp;IF(COUNTIFS(tbl_Finance[Job Number],C200&amp;"",tbl_Finance[Cost Centre],"VIDEO")&gt;0,"VIDEO ","")&amp;IF(COUNTIFS(tbl_Finance[Job Number],C200&amp;"",tbl_Finance[Cost Centre],"INTEGRATION")&gt;0,"INTEGRATION ","")&amp;IF(COUNTIFS(tbl_Finance[Job Number],C200&amp;"",tbl_Finance[Cost Centre],"CONSULTING")&gt;0,"CONSULTING ","")&amp;IF(COUNTIFS(tbl_Finance[Job Number],C200&amp;"",tbl_Finance[Cost Centre],"CTS")&gt;0,"CTS ",""))," ",", ")))</f>
        <v/>
      </c>
      <c r="L200" s="27">
        <f>IF(C200="","",SUMIFS(tbl_Finance[Inc GST],tbl_Finance[Job Number],C200&amp;""))</f>
        <v/>
      </c>
      <c r="M200" s="24" t="n"/>
      <c r="N200" s="25">
        <f>IF(C200="","",IFERROR(INDEX(tbl_Finance[Description],MATCH(C200&amp;"",tbl_Finance[Job Number],0)),""))</f>
        <v/>
      </c>
      <c r="O200" s="24" t="n"/>
      <c r="P200" s="24" t="n"/>
      <c r="Q200" s="22" t="n"/>
      <c r="R200" s="24" t="n"/>
      <c r="S200" s="25">
        <f>IF(R200="","",IF(AND(LEFT(R200,4)&lt;&gt;"http",set_RMSBase=""),"",HYPERLINK(IF(LEFT(R200,4)="http",R200,set_RMSBase&amp;R200),"Open opportunity")))</f>
        <v/>
      </c>
      <c r="T200" s="24" t="n"/>
      <c r="U200" s="25">
        <f>IF(T200="","",HYPERLINK(IF(LEFT(T200,4)="http",T200,set_QwilrBase&amp;T200),"Open quote"))</f>
        <v/>
      </c>
      <c r="V200" s="25">
        <f>IF(C200="","",C200)</f>
        <v/>
      </c>
      <c r="W200" s="24" t="n"/>
      <c r="X200" s="26" t="n"/>
      <c r="Y200" s="27">
        <f>IF(C200="","",H200+N(X200))</f>
        <v/>
      </c>
      <c r="Z200" s="29">
        <f>IFERROR(X200/Y200,"")</f>
        <v/>
      </c>
      <c r="AA200" s="26" t="n"/>
      <c r="AB200" s="26" t="n"/>
      <c r="AC200" s="26" t="n"/>
      <c r="AD200" s="26" t="n"/>
      <c r="AE200" s="27">
        <f>IF(C200="","",SUMIFS(tbl_Finance[Ex GST],tbl_Finance[Job Number],C200&amp;"",tbl_Finance[Cost Centre],"VIDEO"))</f>
        <v/>
      </c>
      <c r="AF200" s="29">
        <f>IFERROR(AE200/H200,"")</f>
        <v/>
      </c>
      <c r="AG200" s="27">
        <f>IF(C200="","",N(AA200)+N(AB200)+N(AC200)+N(AD200))</f>
        <v/>
      </c>
      <c r="AH200" s="27">
        <f>IF(C200="","",H200-AG200)</f>
        <v/>
      </c>
      <c r="AI200" s="29">
        <f>IFERROR(AH200/H200,"")</f>
        <v/>
      </c>
      <c r="AJ200" s="69" t="n"/>
      <c r="AK200" s="69" t="n"/>
      <c r="AL200" s="69" t="n"/>
      <c r="AM200" s="69" t="n"/>
      <c r="AN200" s="69" t="n"/>
      <c r="AO200" s="24" t="n"/>
    </row>
    <row r="201" ht="15" customHeight="1">
      <c r="A201" s="68">
        <f>IF(C201="","",IFERROR(IF(SUMPRODUCT(MAX((tbl_Finance[Job Number]=C201&amp;"")*(tbl_Finance[Xero Invoice No]&lt;&gt;"")*tbl_Finance[Date]))=0,"",SUMPRODUCT(MAX((tbl_Finance[Job Number]=C201&amp;"")*(tbl_Finance[Xero Invoice No]&lt;&gt;"")*tbl_Finance[Date]))),""))</f>
        <v/>
      </c>
      <c r="B201" s="25">
        <f>IF(C201="","",IF(COUNTIFS(tbl_Finance[Job Number],C201&amp;"",tbl_Finance[Xero Invoice No],"&lt;&gt;")=0,"",IFERROR(IF(COUNTIFS(tbl_Finance[Job Number],C201&amp;"",tbl_Finance[Xero Invoice No],LOOKUP(2,1/((tbl_Finance[Job Number]=C201&amp;"")*(tbl_Finance[Xero Invoice No]&lt;&gt;"")),tbl_Finance[Xero Invoice No]))=COUNTIFS(tbl_Finance[Job Number],C201&amp;"",tbl_Finance[Xero Invoice No],"&lt;&gt;"),LOOKUP(2,1/((tbl_Finance[Job Number]=C201&amp;"")*(tbl_Finance[Xero Invoice No]&lt;&gt;"")),tbl_Finance[Xero Invoice No]),LOOKUP(2,1/((tbl_Finance[Job Number]=C201&amp;"")*(tbl_Finance[Xero Invoice No]&lt;&gt;"")),tbl_Finance[Xero Invoice No])&amp;" +more"),"")))</f>
        <v/>
      </c>
      <c r="C201" s="24" t="n"/>
      <c r="D201" s="25">
        <f>IF(C201="","",IF(COUNTIF(lst_Jobs,C201&amp;"")&gt;0,"OK","CHECK"))</f>
        <v/>
      </c>
      <c r="E201" s="25">
        <f>IF(C201="","",IFERROR(INDEX(lst_JobName,MATCH(C201&amp;"",lst_Jobs,0)),""))</f>
        <v/>
      </c>
      <c r="F201" s="25">
        <f>IF(C201="","",IFERROR(INDEX(tbl_Finance[Client],MATCH(C201&amp;"",tbl_Finance[Job Number],0)),""))</f>
        <v/>
      </c>
      <c r="G201" s="28">
        <f>IF(C201="","",COUNTIFS(tbl_Finance[Job Number],C201&amp;"",tbl_Finance[Ex GST],"&lt;&gt;"))</f>
        <v/>
      </c>
      <c r="H201" s="27">
        <f>IF(C201="","",SUMIFS(tbl_Finance[Ex GST],tbl_Finance[Job Number],C201&amp;""))</f>
        <v/>
      </c>
      <c r="I201" s="27">
        <f>IF(C201="","",SUMIFS(tbl_Finance[Ex GST],tbl_Finance[Job Number],C201&amp;"",tbl_Finance[Xero Invoice No],"&lt;&gt;"))</f>
        <v/>
      </c>
      <c r="J201" s="27">
        <f>IF(C201="","",H201-I201)</f>
        <v/>
      </c>
      <c r="K201" s="25">
        <f>IF(C201="","",IF(G201=0,"not invoiced yet",SUBSTITUTE(TRIM(IF(COUNTIFS(tbl_Finance[Job Number],C201&amp;"",tbl_Finance[Cost Centre],"ONSITE")&gt;0,"ONSITE ","")&amp;IF(COUNTIFS(tbl_Finance[Job Number],C201&amp;"",tbl_Finance[Cost Centre],"PRODUCTION")&gt;0,"PRODUCTION ","")&amp;IF(COUNTIFS(tbl_Finance[Job Number],C201&amp;"",tbl_Finance[Cost Centre],"VIDEO")&gt;0,"VIDEO ","")&amp;IF(COUNTIFS(tbl_Finance[Job Number],C201&amp;"",tbl_Finance[Cost Centre],"INTEGRATION")&gt;0,"INTEGRATION ","")&amp;IF(COUNTIFS(tbl_Finance[Job Number],C201&amp;"",tbl_Finance[Cost Centre],"CONSULTING")&gt;0,"CONSULTING ","")&amp;IF(COUNTIFS(tbl_Finance[Job Number],C201&amp;"",tbl_Finance[Cost Centre],"CTS")&gt;0,"CTS ",""))," ",", ")))</f>
        <v/>
      </c>
      <c r="L201" s="27">
        <f>IF(C201="","",SUMIFS(tbl_Finance[Inc GST],tbl_Finance[Job Number],C201&amp;""))</f>
        <v/>
      </c>
      <c r="M201" s="24" t="n"/>
      <c r="N201" s="25">
        <f>IF(C201="","",IFERROR(INDEX(tbl_Finance[Description],MATCH(C201&amp;"",tbl_Finance[Job Number],0)),""))</f>
        <v/>
      </c>
      <c r="O201" s="24" t="n"/>
      <c r="P201" s="24" t="n"/>
      <c r="Q201" s="22" t="n"/>
      <c r="R201" s="24" t="n"/>
      <c r="S201" s="25">
        <f>IF(R201="","",IF(AND(LEFT(R201,4)&lt;&gt;"http",set_RMSBase=""),"",HYPERLINK(IF(LEFT(R201,4)="http",R201,set_RMSBase&amp;R201),"Open opportunity")))</f>
        <v/>
      </c>
      <c r="T201" s="24" t="n"/>
      <c r="U201" s="25">
        <f>IF(T201="","",HYPERLINK(IF(LEFT(T201,4)="http",T201,set_QwilrBase&amp;T201),"Open quote"))</f>
        <v/>
      </c>
      <c r="V201" s="25">
        <f>IF(C201="","",C201)</f>
        <v/>
      </c>
      <c r="W201" s="24" t="n"/>
      <c r="X201" s="26" t="n"/>
      <c r="Y201" s="27">
        <f>IF(C201="","",H201+N(X201))</f>
        <v/>
      </c>
      <c r="Z201" s="29">
        <f>IFERROR(X201/Y201,"")</f>
        <v/>
      </c>
      <c r="AA201" s="26" t="n"/>
      <c r="AB201" s="26" t="n"/>
      <c r="AC201" s="26" t="n"/>
      <c r="AD201" s="26" t="n"/>
      <c r="AE201" s="27">
        <f>IF(C201="","",SUMIFS(tbl_Finance[Ex GST],tbl_Finance[Job Number],C201&amp;"",tbl_Finance[Cost Centre],"VIDEO"))</f>
        <v/>
      </c>
      <c r="AF201" s="29">
        <f>IFERROR(AE201/H201,"")</f>
        <v/>
      </c>
      <c r="AG201" s="27">
        <f>IF(C201="","",N(AA201)+N(AB201)+N(AC201)+N(AD201))</f>
        <v/>
      </c>
      <c r="AH201" s="27">
        <f>IF(C201="","",H201-AG201)</f>
        <v/>
      </c>
      <c r="AI201" s="29">
        <f>IFERROR(AH201/H201,"")</f>
        <v/>
      </c>
      <c r="AJ201" s="69" t="n"/>
      <c r="AK201" s="69" t="n"/>
      <c r="AL201" s="69" t="n"/>
      <c r="AM201" s="69" t="n"/>
      <c r="AN201" s="69" t="n"/>
      <c r="AO201" s="24" t="n"/>
    </row>
    <row r="202" ht="15" customHeight="1">
      <c r="A202" s="68">
        <f>IF(C202="","",IFERROR(IF(SUMPRODUCT(MAX((tbl_Finance[Job Number]=C202&amp;"")*(tbl_Finance[Xero Invoice No]&lt;&gt;"")*tbl_Finance[Date]))=0,"",SUMPRODUCT(MAX((tbl_Finance[Job Number]=C202&amp;"")*(tbl_Finance[Xero Invoice No]&lt;&gt;"")*tbl_Finance[Date]))),""))</f>
        <v/>
      </c>
      <c r="B202" s="25">
        <f>IF(C202="","",IF(COUNTIFS(tbl_Finance[Job Number],C202&amp;"",tbl_Finance[Xero Invoice No],"&lt;&gt;")=0,"",IFERROR(IF(COUNTIFS(tbl_Finance[Job Number],C202&amp;"",tbl_Finance[Xero Invoice No],LOOKUP(2,1/((tbl_Finance[Job Number]=C202&amp;"")*(tbl_Finance[Xero Invoice No]&lt;&gt;"")),tbl_Finance[Xero Invoice No]))=COUNTIFS(tbl_Finance[Job Number],C202&amp;"",tbl_Finance[Xero Invoice No],"&lt;&gt;"),LOOKUP(2,1/((tbl_Finance[Job Number]=C202&amp;"")*(tbl_Finance[Xero Invoice No]&lt;&gt;"")),tbl_Finance[Xero Invoice No]),LOOKUP(2,1/((tbl_Finance[Job Number]=C202&amp;"")*(tbl_Finance[Xero Invoice No]&lt;&gt;"")),tbl_Finance[Xero Invoice No])&amp;" +more"),"")))</f>
        <v/>
      </c>
      <c r="C202" s="24" t="n"/>
      <c r="D202" s="25">
        <f>IF(C202="","",IF(COUNTIF(lst_Jobs,C202&amp;"")&gt;0,"OK","CHECK"))</f>
        <v/>
      </c>
      <c r="E202" s="25">
        <f>IF(C202="","",IFERROR(INDEX(lst_JobName,MATCH(C202&amp;"",lst_Jobs,0)),""))</f>
        <v/>
      </c>
      <c r="F202" s="25">
        <f>IF(C202="","",IFERROR(INDEX(tbl_Finance[Client],MATCH(C202&amp;"",tbl_Finance[Job Number],0)),""))</f>
        <v/>
      </c>
      <c r="G202" s="28">
        <f>IF(C202="","",COUNTIFS(tbl_Finance[Job Number],C202&amp;"",tbl_Finance[Ex GST],"&lt;&gt;"))</f>
        <v/>
      </c>
      <c r="H202" s="27">
        <f>IF(C202="","",SUMIFS(tbl_Finance[Ex GST],tbl_Finance[Job Number],C202&amp;""))</f>
        <v/>
      </c>
      <c r="I202" s="27">
        <f>IF(C202="","",SUMIFS(tbl_Finance[Ex GST],tbl_Finance[Job Number],C202&amp;"",tbl_Finance[Xero Invoice No],"&lt;&gt;"))</f>
        <v/>
      </c>
      <c r="J202" s="27">
        <f>IF(C202="","",H202-I202)</f>
        <v/>
      </c>
      <c r="K202" s="25">
        <f>IF(C202="","",IF(G202=0,"not invoiced yet",SUBSTITUTE(TRIM(IF(COUNTIFS(tbl_Finance[Job Number],C202&amp;"",tbl_Finance[Cost Centre],"ONSITE")&gt;0,"ONSITE ","")&amp;IF(COUNTIFS(tbl_Finance[Job Number],C202&amp;"",tbl_Finance[Cost Centre],"PRODUCTION")&gt;0,"PRODUCTION ","")&amp;IF(COUNTIFS(tbl_Finance[Job Number],C202&amp;"",tbl_Finance[Cost Centre],"VIDEO")&gt;0,"VIDEO ","")&amp;IF(COUNTIFS(tbl_Finance[Job Number],C202&amp;"",tbl_Finance[Cost Centre],"INTEGRATION")&gt;0,"INTEGRATION ","")&amp;IF(COUNTIFS(tbl_Finance[Job Number],C202&amp;"",tbl_Finance[Cost Centre],"CONSULTING")&gt;0,"CONSULTING ","")&amp;IF(COUNTIFS(tbl_Finance[Job Number],C202&amp;"",tbl_Finance[Cost Centre],"CTS")&gt;0,"CTS ",""))," ",", ")))</f>
        <v/>
      </c>
      <c r="L202" s="27">
        <f>IF(C202="","",SUMIFS(tbl_Finance[Inc GST],tbl_Finance[Job Number],C202&amp;""))</f>
        <v/>
      </c>
      <c r="M202" s="24" t="n"/>
      <c r="N202" s="25">
        <f>IF(C202="","",IFERROR(INDEX(tbl_Finance[Description],MATCH(C202&amp;"",tbl_Finance[Job Number],0)),""))</f>
        <v/>
      </c>
      <c r="O202" s="24" t="n"/>
      <c r="P202" s="24" t="n"/>
      <c r="Q202" s="22" t="n"/>
      <c r="R202" s="24" t="n"/>
      <c r="S202" s="25">
        <f>IF(R202="","",IF(AND(LEFT(R202,4)&lt;&gt;"http",set_RMSBase=""),"",HYPERLINK(IF(LEFT(R202,4)="http",R202,set_RMSBase&amp;R202),"Open opportunity")))</f>
        <v/>
      </c>
      <c r="T202" s="24" t="n"/>
      <c r="U202" s="25">
        <f>IF(T202="","",HYPERLINK(IF(LEFT(T202,4)="http",T202,set_QwilrBase&amp;T202),"Open quote"))</f>
        <v/>
      </c>
      <c r="V202" s="25">
        <f>IF(C202="","",C202)</f>
        <v/>
      </c>
      <c r="W202" s="24" t="n"/>
      <c r="X202" s="26" t="n"/>
      <c r="Y202" s="27">
        <f>IF(C202="","",H202+N(X202))</f>
        <v/>
      </c>
      <c r="Z202" s="29">
        <f>IFERROR(X202/Y202,"")</f>
        <v/>
      </c>
      <c r="AA202" s="26" t="n"/>
      <c r="AB202" s="26" t="n"/>
      <c r="AC202" s="26" t="n"/>
      <c r="AD202" s="26" t="n"/>
      <c r="AE202" s="27">
        <f>IF(C202="","",SUMIFS(tbl_Finance[Ex GST],tbl_Finance[Job Number],C202&amp;"",tbl_Finance[Cost Centre],"VIDEO"))</f>
        <v/>
      </c>
      <c r="AF202" s="29">
        <f>IFERROR(AE202/H202,"")</f>
        <v/>
      </c>
      <c r="AG202" s="27">
        <f>IF(C202="","",N(AA202)+N(AB202)+N(AC202)+N(AD202))</f>
        <v/>
      </c>
      <c r="AH202" s="27">
        <f>IF(C202="","",H202-AG202)</f>
        <v/>
      </c>
      <c r="AI202" s="29">
        <f>IFERROR(AH202/H202,"")</f>
        <v/>
      </c>
      <c r="AJ202" s="69" t="n"/>
      <c r="AK202" s="69" t="n"/>
      <c r="AL202" s="69" t="n"/>
      <c r="AM202" s="69" t="n"/>
      <c r="AN202" s="69" t="n"/>
      <c r="AO202" s="24" t="n"/>
    </row>
    <row r="203" ht="15" customHeight="1">
      <c r="A203" s="68">
        <f>IF(C203="","",IFERROR(IF(SUMPRODUCT(MAX((tbl_Finance[Job Number]=C203&amp;"")*(tbl_Finance[Xero Invoice No]&lt;&gt;"")*tbl_Finance[Date]))=0,"",SUMPRODUCT(MAX((tbl_Finance[Job Number]=C203&amp;"")*(tbl_Finance[Xero Invoice No]&lt;&gt;"")*tbl_Finance[Date]))),""))</f>
        <v/>
      </c>
      <c r="B203" s="25">
        <f>IF(C203="","",IF(COUNTIFS(tbl_Finance[Job Number],C203&amp;"",tbl_Finance[Xero Invoice No],"&lt;&gt;")=0,"",IFERROR(IF(COUNTIFS(tbl_Finance[Job Number],C203&amp;"",tbl_Finance[Xero Invoice No],LOOKUP(2,1/((tbl_Finance[Job Number]=C203&amp;"")*(tbl_Finance[Xero Invoice No]&lt;&gt;"")),tbl_Finance[Xero Invoice No]))=COUNTIFS(tbl_Finance[Job Number],C203&amp;"",tbl_Finance[Xero Invoice No],"&lt;&gt;"),LOOKUP(2,1/((tbl_Finance[Job Number]=C203&amp;"")*(tbl_Finance[Xero Invoice No]&lt;&gt;"")),tbl_Finance[Xero Invoice No]),LOOKUP(2,1/((tbl_Finance[Job Number]=C203&amp;"")*(tbl_Finance[Xero Invoice No]&lt;&gt;"")),tbl_Finance[Xero Invoice No])&amp;" +more"),"")))</f>
        <v/>
      </c>
      <c r="C203" s="24" t="n"/>
      <c r="D203" s="25">
        <f>IF(C203="","",IF(COUNTIF(lst_Jobs,C203&amp;"")&gt;0,"OK","CHECK"))</f>
        <v/>
      </c>
      <c r="E203" s="25">
        <f>IF(C203="","",IFERROR(INDEX(lst_JobName,MATCH(C203&amp;"",lst_Jobs,0)),""))</f>
        <v/>
      </c>
      <c r="F203" s="25">
        <f>IF(C203="","",IFERROR(INDEX(tbl_Finance[Client],MATCH(C203&amp;"",tbl_Finance[Job Number],0)),""))</f>
        <v/>
      </c>
      <c r="G203" s="28">
        <f>IF(C203="","",COUNTIFS(tbl_Finance[Job Number],C203&amp;"",tbl_Finance[Ex GST],"&lt;&gt;"))</f>
        <v/>
      </c>
      <c r="H203" s="27">
        <f>IF(C203="","",SUMIFS(tbl_Finance[Ex GST],tbl_Finance[Job Number],C203&amp;""))</f>
        <v/>
      </c>
      <c r="I203" s="27">
        <f>IF(C203="","",SUMIFS(tbl_Finance[Ex GST],tbl_Finance[Job Number],C203&amp;"",tbl_Finance[Xero Invoice No],"&lt;&gt;"))</f>
        <v/>
      </c>
      <c r="J203" s="27">
        <f>IF(C203="","",H203-I203)</f>
        <v/>
      </c>
      <c r="K203" s="25">
        <f>IF(C203="","",IF(G203=0,"not invoiced yet",SUBSTITUTE(TRIM(IF(COUNTIFS(tbl_Finance[Job Number],C203&amp;"",tbl_Finance[Cost Centre],"ONSITE")&gt;0,"ONSITE ","")&amp;IF(COUNTIFS(tbl_Finance[Job Number],C203&amp;"",tbl_Finance[Cost Centre],"PRODUCTION")&gt;0,"PRODUCTION ","")&amp;IF(COUNTIFS(tbl_Finance[Job Number],C203&amp;"",tbl_Finance[Cost Centre],"VIDEO")&gt;0,"VIDEO ","")&amp;IF(COUNTIFS(tbl_Finance[Job Number],C203&amp;"",tbl_Finance[Cost Centre],"INTEGRATION")&gt;0,"INTEGRATION ","")&amp;IF(COUNTIFS(tbl_Finance[Job Number],C203&amp;"",tbl_Finance[Cost Centre],"CONSULTING")&gt;0,"CONSULTING ","")&amp;IF(COUNTIFS(tbl_Finance[Job Number],C203&amp;"",tbl_Finance[Cost Centre],"CTS")&gt;0,"CTS ",""))," ",", ")))</f>
        <v/>
      </c>
      <c r="L203" s="27">
        <f>IF(C203="","",SUMIFS(tbl_Finance[Inc GST],tbl_Finance[Job Number],C203&amp;""))</f>
        <v/>
      </c>
      <c r="M203" s="24" t="n"/>
      <c r="N203" s="25">
        <f>IF(C203="","",IFERROR(INDEX(tbl_Finance[Description],MATCH(C203&amp;"",tbl_Finance[Job Number],0)),""))</f>
        <v/>
      </c>
      <c r="O203" s="24" t="n"/>
      <c r="P203" s="24" t="n"/>
      <c r="Q203" s="22" t="n"/>
      <c r="R203" s="24" t="n"/>
      <c r="S203" s="25">
        <f>IF(R203="","",IF(AND(LEFT(R203,4)&lt;&gt;"http",set_RMSBase=""),"",HYPERLINK(IF(LEFT(R203,4)="http",R203,set_RMSBase&amp;R203),"Open opportunity")))</f>
        <v/>
      </c>
      <c r="T203" s="24" t="n"/>
      <c r="U203" s="25">
        <f>IF(T203="","",HYPERLINK(IF(LEFT(T203,4)="http",T203,set_QwilrBase&amp;T203),"Open quote"))</f>
        <v/>
      </c>
      <c r="V203" s="25">
        <f>IF(C203="","",C203)</f>
        <v/>
      </c>
      <c r="W203" s="24" t="n"/>
      <c r="X203" s="26" t="n"/>
      <c r="Y203" s="27">
        <f>IF(C203="","",H203+N(X203))</f>
        <v/>
      </c>
      <c r="Z203" s="29">
        <f>IFERROR(X203/Y203,"")</f>
        <v/>
      </c>
      <c r="AA203" s="26" t="n"/>
      <c r="AB203" s="26" t="n"/>
      <c r="AC203" s="26" t="n"/>
      <c r="AD203" s="26" t="n"/>
      <c r="AE203" s="27">
        <f>IF(C203="","",SUMIFS(tbl_Finance[Ex GST],tbl_Finance[Job Number],C203&amp;"",tbl_Finance[Cost Centre],"VIDEO"))</f>
        <v/>
      </c>
      <c r="AF203" s="29">
        <f>IFERROR(AE203/H203,"")</f>
        <v/>
      </c>
      <c r="AG203" s="27">
        <f>IF(C203="","",N(AA203)+N(AB203)+N(AC203)+N(AD203))</f>
        <v/>
      </c>
      <c r="AH203" s="27">
        <f>IF(C203="","",H203-AG203)</f>
        <v/>
      </c>
      <c r="AI203" s="29">
        <f>IFERROR(AH203/H203,"")</f>
        <v/>
      </c>
      <c r="AJ203" s="69" t="n"/>
      <c r="AK203" s="69" t="n"/>
      <c r="AL203" s="69" t="n"/>
      <c r="AM203" s="69" t="n"/>
      <c r="AN203" s="69" t="n"/>
      <c r="AO203" s="24" t="n"/>
    </row>
    <row r="204" ht="15" customHeight="1">
      <c r="A204" s="68">
        <f>IF(C204="","",IFERROR(IF(SUMPRODUCT(MAX((tbl_Finance[Job Number]=C204&amp;"")*(tbl_Finance[Xero Invoice No]&lt;&gt;"")*tbl_Finance[Date]))=0,"",SUMPRODUCT(MAX((tbl_Finance[Job Number]=C204&amp;"")*(tbl_Finance[Xero Invoice No]&lt;&gt;"")*tbl_Finance[Date]))),""))</f>
        <v/>
      </c>
      <c r="B204" s="25">
        <f>IF(C204="","",IF(COUNTIFS(tbl_Finance[Job Number],C204&amp;"",tbl_Finance[Xero Invoice No],"&lt;&gt;")=0,"",IFERROR(IF(COUNTIFS(tbl_Finance[Job Number],C204&amp;"",tbl_Finance[Xero Invoice No],LOOKUP(2,1/((tbl_Finance[Job Number]=C204&amp;"")*(tbl_Finance[Xero Invoice No]&lt;&gt;"")),tbl_Finance[Xero Invoice No]))=COUNTIFS(tbl_Finance[Job Number],C204&amp;"",tbl_Finance[Xero Invoice No],"&lt;&gt;"),LOOKUP(2,1/((tbl_Finance[Job Number]=C204&amp;"")*(tbl_Finance[Xero Invoice No]&lt;&gt;"")),tbl_Finance[Xero Invoice No]),LOOKUP(2,1/((tbl_Finance[Job Number]=C204&amp;"")*(tbl_Finance[Xero Invoice No]&lt;&gt;"")),tbl_Finance[Xero Invoice No])&amp;" +more"),"")))</f>
        <v/>
      </c>
      <c r="C204" s="24" t="n"/>
      <c r="D204" s="25">
        <f>IF(C204="","",IF(COUNTIF(lst_Jobs,C204&amp;"")&gt;0,"OK","CHECK"))</f>
        <v/>
      </c>
      <c r="E204" s="25">
        <f>IF(C204="","",IFERROR(INDEX(lst_JobName,MATCH(C204&amp;"",lst_Jobs,0)),""))</f>
        <v/>
      </c>
      <c r="F204" s="25">
        <f>IF(C204="","",IFERROR(INDEX(tbl_Finance[Client],MATCH(C204&amp;"",tbl_Finance[Job Number],0)),""))</f>
        <v/>
      </c>
      <c r="G204" s="28">
        <f>IF(C204="","",COUNTIFS(tbl_Finance[Job Number],C204&amp;"",tbl_Finance[Ex GST],"&lt;&gt;"))</f>
        <v/>
      </c>
      <c r="H204" s="27">
        <f>IF(C204="","",SUMIFS(tbl_Finance[Ex GST],tbl_Finance[Job Number],C204&amp;""))</f>
        <v/>
      </c>
      <c r="I204" s="27">
        <f>IF(C204="","",SUMIFS(tbl_Finance[Ex GST],tbl_Finance[Job Number],C204&amp;"",tbl_Finance[Xero Invoice No],"&lt;&gt;"))</f>
        <v/>
      </c>
      <c r="J204" s="27">
        <f>IF(C204="","",H204-I204)</f>
        <v/>
      </c>
      <c r="K204" s="25">
        <f>IF(C204="","",IF(G204=0,"not invoiced yet",SUBSTITUTE(TRIM(IF(COUNTIFS(tbl_Finance[Job Number],C204&amp;"",tbl_Finance[Cost Centre],"ONSITE")&gt;0,"ONSITE ","")&amp;IF(COUNTIFS(tbl_Finance[Job Number],C204&amp;"",tbl_Finance[Cost Centre],"PRODUCTION")&gt;0,"PRODUCTION ","")&amp;IF(COUNTIFS(tbl_Finance[Job Number],C204&amp;"",tbl_Finance[Cost Centre],"VIDEO")&gt;0,"VIDEO ","")&amp;IF(COUNTIFS(tbl_Finance[Job Number],C204&amp;"",tbl_Finance[Cost Centre],"INTEGRATION")&gt;0,"INTEGRATION ","")&amp;IF(COUNTIFS(tbl_Finance[Job Number],C204&amp;"",tbl_Finance[Cost Centre],"CONSULTING")&gt;0,"CONSULTING ","")&amp;IF(COUNTIFS(tbl_Finance[Job Number],C204&amp;"",tbl_Finance[Cost Centre],"CTS")&gt;0,"CTS ",""))," ",", ")))</f>
        <v/>
      </c>
      <c r="L204" s="27">
        <f>IF(C204="","",SUMIFS(tbl_Finance[Inc GST],tbl_Finance[Job Number],C204&amp;""))</f>
        <v/>
      </c>
      <c r="M204" s="24" t="n"/>
      <c r="N204" s="25">
        <f>IF(C204="","",IFERROR(INDEX(tbl_Finance[Description],MATCH(C204&amp;"",tbl_Finance[Job Number],0)),""))</f>
        <v/>
      </c>
      <c r="O204" s="24" t="n"/>
      <c r="P204" s="24" t="n"/>
      <c r="Q204" s="22" t="n"/>
      <c r="R204" s="24" t="n"/>
      <c r="S204" s="25">
        <f>IF(R204="","",IF(AND(LEFT(R204,4)&lt;&gt;"http",set_RMSBase=""),"",HYPERLINK(IF(LEFT(R204,4)="http",R204,set_RMSBase&amp;R204),"Open opportunity")))</f>
        <v/>
      </c>
      <c r="T204" s="24" t="n"/>
      <c r="U204" s="25">
        <f>IF(T204="","",HYPERLINK(IF(LEFT(T204,4)="http",T204,set_QwilrBase&amp;T204),"Open quote"))</f>
        <v/>
      </c>
      <c r="V204" s="25">
        <f>IF(C204="","",C204)</f>
        <v/>
      </c>
      <c r="W204" s="24" t="n"/>
      <c r="X204" s="26" t="n"/>
      <c r="Y204" s="27">
        <f>IF(C204="","",H204+N(X204))</f>
        <v/>
      </c>
      <c r="Z204" s="29">
        <f>IFERROR(X204/Y204,"")</f>
        <v/>
      </c>
      <c r="AA204" s="26" t="n"/>
      <c r="AB204" s="26" t="n"/>
      <c r="AC204" s="26" t="n"/>
      <c r="AD204" s="26" t="n"/>
      <c r="AE204" s="27">
        <f>IF(C204="","",SUMIFS(tbl_Finance[Ex GST],tbl_Finance[Job Number],C204&amp;"",tbl_Finance[Cost Centre],"VIDEO"))</f>
        <v/>
      </c>
      <c r="AF204" s="29">
        <f>IFERROR(AE204/H204,"")</f>
        <v/>
      </c>
      <c r="AG204" s="27">
        <f>IF(C204="","",N(AA204)+N(AB204)+N(AC204)+N(AD204))</f>
        <v/>
      </c>
      <c r="AH204" s="27">
        <f>IF(C204="","",H204-AG204)</f>
        <v/>
      </c>
      <c r="AI204" s="29">
        <f>IFERROR(AH204/H204,"")</f>
        <v/>
      </c>
      <c r="AJ204" s="69" t="n"/>
      <c r="AK204" s="69" t="n"/>
      <c r="AL204" s="69" t="n"/>
      <c r="AM204" s="69" t="n"/>
      <c r="AN204" s="69" t="n"/>
      <c r="AO204" s="24" t="n"/>
    </row>
    <row r="205" ht="15" customHeight="1">
      <c r="A205" s="68">
        <f>IF(C205="","",IFERROR(IF(SUMPRODUCT(MAX((tbl_Finance[Job Number]=C205&amp;"")*(tbl_Finance[Xero Invoice No]&lt;&gt;"")*tbl_Finance[Date]))=0,"",SUMPRODUCT(MAX((tbl_Finance[Job Number]=C205&amp;"")*(tbl_Finance[Xero Invoice No]&lt;&gt;"")*tbl_Finance[Date]))),""))</f>
        <v/>
      </c>
      <c r="B205" s="25">
        <f>IF(C205="","",IF(COUNTIFS(tbl_Finance[Job Number],C205&amp;"",tbl_Finance[Xero Invoice No],"&lt;&gt;")=0,"",IFERROR(IF(COUNTIFS(tbl_Finance[Job Number],C205&amp;"",tbl_Finance[Xero Invoice No],LOOKUP(2,1/((tbl_Finance[Job Number]=C205&amp;"")*(tbl_Finance[Xero Invoice No]&lt;&gt;"")),tbl_Finance[Xero Invoice No]))=COUNTIFS(tbl_Finance[Job Number],C205&amp;"",tbl_Finance[Xero Invoice No],"&lt;&gt;"),LOOKUP(2,1/((tbl_Finance[Job Number]=C205&amp;"")*(tbl_Finance[Xero Invoice No]&lt;&gt;"")),tbl_Finance[Xero Invoice No]),LOOKUP(2,1/((tbl_Finance[Job Number]=C205&amp;"")*(tbl_Finance[Xero Invoice No]&lt;&gt;"")),tbl_Finance[Xero Invoice No])&amp;" +more"),"")))</f>
        <v/>
      </c>
      <c r="C205" s="24" t="n"/>
      <c r="D205" s="25">
        <f>IF(C205="","",IF(COUNTIF(lst_Jobs,C205&amp;"")&gt;0,"OK","CHECK"))</f>
        <v/>
      </c>
      <c r="E205" s="25">
        <f>IF(C205="","",IFERROR(INDEX(lst_JobName,MATCH(C205&amp;"",lst_Jobs,0)),""))</f>
        <v/>
      </c>
      <c r="F205" s="25">
        <f>IF(C205="","",IFERROR(INDEX(tbl_Finance[Client],MATCH(C205&amp;"",tbl_Finance[Job Number],0)),""))</f>
        <v/>
      </c>
      <c r="G205" s="28">
        <f>IF(C205="","",COUNTIFS(tbl_Finance[Job Number],C205&amp;"",tbl_Finance[Ex GST],"&lt;&gt;"))</f>
        <v/>
      </c>
      <c r="H205" s="27">
        <f>IF(C205="","",SUMIFS(tbl_Finance[Ex GST],tbl_Finance[Job Number],C205&amp;""))</f>
        <v/>
      </c>
      <c r="I205" s="27">
        <f>IF(C205="","",SUMIFS(tbl_Finance[Ex GST],tbl_Finance[Job Number],C205&amp;"",tbl_Finance[Xero Invoice No],"&lt;&gt;"))</f>
        <v/>
      </c>
      <c r="J205" s="27">
        <f>IF(C205="","",H205-I205)</f>
        <v/>
      </c>
      <c r="K205" s="25">
        <f>IF(C205="","",IF(G205=0,"not invoiced yet",SUBSTITUTE(TRIM(IF(COUNTIFS(tbl_Finance[Job Number],C205&amp;"",tbl_Finance[Cost Centre],"ONSITE")&gt;0,"ONSITE ","")&amp;IF(COUNTIFS(tbl_Finance[Job Number],C205&amp;"",tbl_Finance[Cost Centre],"PRODUCTION")&gt;0,"PRODUCTION ","")&amp;IF(COUNTIFS(tbl_Finance[Job Number],C205&amp;"",tbl_Finance[Cost Centre],"VIDEO")&gt;0,"VIDEO ","")&amp;IF(COUNTIFS(tbl_Finance[Job Number],C205&amp;"",tbl_Finance[Cost Centre],"INTEGRATION")&gt;0,"INTEGRATION ","")&amp;IF(COUNTIFS(tbl_Finance[Job Number],C205&amp;"",tbl_Finance[Cost Centre],"CONSULTING")&gt;0,"CONSULTING ","")&amp;IF(COUNTIFS(tbl_Finance[Job Number],C205&amp;"",tbl_Finance[Cost Centre],"CTS")&gt;0,"CTS ",""))," ",", ")))</f>
        <v/>
      </c>
      <c r="L205" s="27">
        <f>IF(C205="","",SUMIFS(tbl_Finance[Inc GST],tbl_Finance[Job Number],C205&amp;""))</f>
        <v/>
      </c>
      <c r="M205" s="24" t="n"/>
      <c r="N205" s="25">
        <f>IF(C205="","",IFERROR(INDEX(tbl_Finance[Description],MATCH(C205&amp;"",tbl_Finance[Job Number],0)),""))</f>
        <v/>
      </c>
      <c r="O205" s="24" t="n"/>
      <c r="P205" s="24" t="n"/>
      <c r="Q205" s="22" t="n"/>
      <c r="R205" s="24" t="n"/>
      <c r="S205" s="25">
        <f>IF(R205="","",IF(AND(LEFT(R205,4)&lt;&gt;"http",set_RMSBase=""),"",HYPERLINK(IF(LEFT(R205,4)="http",R205,set_RMSBase&amp;R205),"Open opportunity")))</f>
        <v/>
      </c>
      <c r="T205" s="24" t="n"/>
      <c r="U205" s="25">
        <f>IF(T205="","",HYPERLINK(IF(LEFT(T205,4)="http",T205,set_QwilrBase&amp;T205),"Open quote"))</f>
        <v/>
      </c>
      <c r="V205" s="25">
        <f>IF(C205="","",C205)</f>
        <v/>
      </c>
      <c r="W205" s="24" t="n"/>
      <c r="X205" s="26" t="n"/>
      <c r="Y205" s="27">
        <f>IF(C205="","",H205+N(X205))</f>
        <v/>
      </c>
      <c r="Z205" s="29">
        <f>IFERROR(X205/Y205,"")</f>
        <v/>
      </c>
      <c r="AA205" s="26" t="n"/>
      <c r="AB205" s="26" t="n"/>
      <c r="AC205" s="26" t="n"/>
      <c r="AD205" s="26" t="n"/>
      <c r="AE205" s="27">
        <f>IF(C205="","",SUMIFS(tbl_Finance[Ex GST],tbl_Finance[Job Number],C205&amp;"",tbl_Finance[Cost Centre],"VIDEO"))</f>
        <v/>
      </c>
      <c r="AF205" s="29">
        <f>IFERROR(AE205/H205,"")</f>
        <v/>
      </c>
      <c r="AG205" s="27">
        <f>IF(C205="","",N(AA205)+N(AB205)+N(AC205)+N(AD205))</f>
        <v/>
      </c>
      <c r="AH205" s="27">
        <f>IF(C205="","",H205-AG205)</f>
        <v/>
      </c>
      <c r="AI205" s="29">
        <f>IFERROR(AH205/H205,"")</f>
        <v/>
      </c>
      <c r="AJ205" s="69" t="n"/>
      <c r="AK205" s="69" t="n"/>
      <c r="AL205" s="69" t="n"/>
      <c r="AM205" s="69" t="n"/>
      <c r="AN205" s="69" t="n"/>
      <c r="AO205" s="24" t="n"/>
    </row>
    <row r="206" ht="15" customHeight="1">
      <c r="A206" s="68">
        <f>IF(C206="","",IFERROR(IF(SUMPRODUCT(MAX((tbl_Finance[Job Number]=C206&amp;"")*(tbl_Finance[Xero Invoice No]&lt;&gt;"")*tbl_Finance[Date]))=0,"",SUMPRODUCT(MAX((tbl_Finance[Job Number]=C206&amp;"")*(tbl_Finance[Xero Invoice No]&lt;&gt;"")*tbl_Finance[Date]))),""))</f>
        <v/>
      </c>
      <c r="B206" s="25">
        <f>IF(C206="","",IF(COUNTIFS(tbl_Finance[Job Number],C206&amp;"",tbl_Finance[Xero Invoice No],"&lt;&gt;")=0,"",IFERROR(IF(COUNTIFS(tbl_Finance[Job Number],C206&amp;"",tbl_Finance[Xero Invoice No],LOOKUP(2,1/((tbl_Finance[Job Number]=C206&amp;"")*(tbl_Finance[Xero Invoice No]&lt;&gt;"")),tbl_Finance[Xero Invoice No]))=COUNTIFS(tbl_Finance[Job Number],C206&amp;"",tbl_Finance[Xero Invoice No],"&lt;&gt;"),LOOKUP(2,1/((tbl_Finance[Job Number]=C206&amp;"")*(tbl_Finance[Xero Invoice No]&lt;&gt;"")),tbl_Finance[Xero Invoice No]),LOOKUP(2,1/((tbl_Finance[Job Number]=C206&amp;"")*(tbl_Finance[Xero Invoice No]&lt;&gt;"")),tbl_Finance[Xero Invoice No])&amp;" +more"),"")))</f>
        <v/>
      </c>
      <c r="C206" s="24" t="n"/>
      <c r="D206" s="25">
        <f>IF(C206="","",IF(COUNTIF(lst_Jobs,C206&amp;"")&gt;0,"OK","CHECK"))</f>
        <v/>
      </c>
      <c r="E206" s="25">
        <f>IF(C206="","",IFERROR(INDEX(lst_JobName,MATCH(C206&amp;"",lst_Jobs,0)),""))</f>
        <v/>
      </c>
      <c r="F206" s="25">
        <f>IF(C206="","",IFERROR(INDEX(tbl_Finance[Client],MATCH(C206&amp;"",tbl_Finance[Job Number],0)),""))</f>
        <v/>
      </c>
      <c r="G206" s="28">
        <f>IF(C206="","",COUNTIFS(tbl_Finance[Job Number],C206&amp;"",tbl_Finance[Ex GST],"&lt;&gt;"))</f>
        <v/>
      </c>
      <c r="H206" s="27">
        <f>IF(C206="","",SUMIFS(tbl_Finance[Ex GST],tbl_Finance[Job Number],C206&amp;""))</f>
        <v/>
      </c>
      <c r="I206" s="27">
        <f>IF(C206="","",SUMIFS(tbl_Finance[Ex GST],tbl_Finance[Job Number],C206&amp;"",tbl_Finance[Xero Invoice No],"&lt;&gt;"))</f>
        <v/>
      </c>
      <c r="J206" s="27">
        <f>IF(C206="","",H206-I206)</f>
        <v/>
      </c>
      <c r="K206" s="25">
        <f>IF(C206="","",IF(G206=0,"not invoiced yet",SUBSTITUTE(TRIM(IF(COUNTIFS(tbl_Finance[Job Number],C206&amp;"",tbl_Finance[Cost Centre],"ONSITE")&gt;0,"ONSITE ","")&amp;IF(COUNTIFS(tbl_Finance[Job Number],C206&amp;"",tbl_Finance[Cost Centre],"PRODUCTION")&gt;0,"PRODUCTION ","")&amp;IF(COUNTIFS(tbl_Finance[Job Number],C206&amp;"",tbl_Finance[Cost Centre],"VIDEO")&gt;0,"VIDEO ","")&amp;IF(COUNTIFS(tbl_Finance[Job Number],C206&amp;"",tbl_Finance[Cost Centre],"INTEGRATION")&gt;0,"INTEGRATION ","")&amp;IF(COUNTIFS(tbl_Finance[Job Number],C206&amp;"",tbl_Finance[Cost Centre],"CONSULTING")&gt;0,"CONSULTING ","")&amp;IF(COUNTIFS(tbl_Finance[Job Number],C206&amp;"",tbl_Finance[Cost Centre],"CTS")&gt;0,"CTS ",""))," ",", ")))</f>
        <v/>
      </c>
      <c r="L206" s="27">
        <f>IF(C206="","",SUMIFS(tbl_Finance[Inc GST],tbl_Finance[Job Number],C206&amp;""))</f>
        <v/>
      </c>
      <c r="M206" s="24" t="n"/>
      <c r="N206" s="25">
        <f>IF(C206="","",IFERROR(INDEX(tbl_Finance[Description],MATCH(C206&amp;"",tbl_Finance[Job Number],0)),""))</f>
        <v/>
      </c>
      <c r="O206" s="24" t="n"/>
      <c r="P206" s="24" t="n"/>
      <c r="Q206" s="22" t="n"/>
      <c r="R206" s="24" t="n"/>
      <c r="S206" s="25">
        <f>IF(R206="","",IF(AND(LEFT(R206,4)&lt;&gt;"http",set_RMSBase=""),"",HYPERLINK(IF(LEFT(R206,4)="http",R206,set_RMSBase&amp;R206),"Open opportunity")))</f>
        <v/>
      </c>
      <c r="T206" s="24" t="n"/>
      <c r="U206" s="25">
        <f>IF(T206="","",HYPERLINK(IF(LEFT(T206,4)="http",T206,set_QwilrBase&amp;T206),"Open quote"))</f>
        <v/>
      </c>
      <c r="V206" s="25">
        <f>IF(C206="","",C206)</f>
        <v/>
      </c>
      <c r="W206" s="24" t="n"/>
      <c r="X206" s="26" t="n"/>
      <c r="Y206" s="27">
        <f>IF(C206="","",H206+N(X206))</f>
        <v/>
      </c>
      <c r="Z206" s="29">
        <f>IFERROR(X206/Y206,"")</f>
        <v/>
      </c>
      <c r="AA206" s="26" t="n"/>
      <c r="AB206" s="26" t="n"/>
      <c r="AC206" s="26" t="n"/>
      <c r="AD206" s="26" t="n"/>
      <c r="AE206" s="27">
        <f>IF(C206="","",SUMIFS(tbl_Finance[Ex GST],tbl_Finance[Job Number],C206&amp;"",tbl_Finance[Cost Centre],"VIDEO"))</f>
        <v/>
      </c>
      <c r="AF206" s="29">
        <f>IFERROR(AE206/H206,"")</f>
        <v/>
      </c>
      <c r="AG206" s="27">
        <f>IF(C206="","",N(AA206)+N(AB206)+N(AC206)+N(AD206))</f>
        <v/>
      </c>
      <c r="AH206" s="27">
        <f>IF(C206="","",H206-AG206)</f>
        <v/>
      </c>
      <c r="AI206" s="29">
        <f>IFERROR(AH206/H206,"")</f>
        <v/>
      </c>
      <c r="AJ206" s="69" t="n"/>
      <c r="AK206" s="69" t="n"/>
      <c r="AL206" s="69" t="n"/>
      <c r="AM206" s="69" t="n"/>
      <c r="AN206" s="69" t="n"/>
      <c r="AO206" s="24" t="n"/>
    </row>
    <row r="207" ht="15" customHeight="1">
      <c r="A207" s="68">
        <f>IF(C207="","",IFERROR(IF(SUMPRODUCT(MAX((tbl_Finance[Job Number]=C207&amp;"")*(tbl_Finance[Xero Invoice No]&lt;&gt;"")*tbl_Finance[Date]))=0,"",SUMPRODUCT(MAX((tbl_Finance[Job Number]=C207&amp;"")*(tbl_Finance[Xero Invoice No]&lt;&gt;"")*tbl_Finance[Date]))),""))</f>
        <v/>
      </c>
      <c r="B207" s="25">
        <f>IF(C207="","",IF(COUNTIFS(tbl_Finance[Job Number],C207&amp;"",tbl_Finance[Xero Invoice No],"&lt;&gt;")=0,"",IFERROR(IF(COUNTIFS(tbl_Finance[Job Number],C207&amp;"",tbl_Finance[Xero Invoice No],LOOKUP(2,1/((tbl_Finance[Job Number]=C207&amp;"")*(tbl_Finance[Xero Invoice No]&lt;&gt;"")),tbl_Finance[Xero Invoice No]))=COUNTIFS(tbl_Finance[Job Number],C207&amp;"",tbl_Finance[Xero Invoice No],"&lt;&gt;"),LOOKUP(2,1/((tbl_Finance[Job Number]=C207&amp;"")*(tbl_Finance[Xero Invoice No]&lt;&gt;"")),tbl_Finance[Xero Invoice No]),LOOKUP(2,1/((tbl_Finance[Job Number]=C207&amp;"")*(tbl_Finance[Xero Invoice No]&lt;&gt;"")),tbl_Finance[Xero Invoice No])&amp;" +more"),"")))</f>
        <v/>
      </c>
      <c r="C207" s="24" t="n"/>
      <c r="D207" s="25">
        <f>IF(C207="","",IF(COUNTIF(lst_Jobs,C207&amp;"")&gt;0,"OK","CHECK"))</f>
        <v/>
      </c>
      <c r="E207" s="25">
        <f>IF(C207="","",IFERROR(INDEX(lst_JobName,MATCH(C207&amp;"",lst_Jobs,0)),""))</f>
        <v/>
      </c>
      <c r="F207" s="25">
        <f>IF(C207="","",IFERROR(INDEX(tbl_Finance[Client],MATCH(C207&amp;"",tbl_Finance[Job Number],0)),""))</f>
        <v/>
      </c>
      <c r="G207" s="28">
        <f>IF(C207="","",COUNTIFS(tbl_Finance[Job Number],C207&amp;"",tbl_Finance[Ex GST],"&lt;&gt;"))</f>
        <v/>
      </c>
      <c r="H207" s="27">
        <f>IF(C207="","",SUMIFS(tbl_Finance[Ex GST],tbl_Finance[Job Number],C207&amp;""))</f>
        <v/>
      </c>
      <c r="I207" s="27">
        <f>IF(C207="","",SUMIFS(tbl_Finance[Ex GST],tbl_Finance[Job Number],C207&amp;"",tbl_Finance[Xero Invoice No],"&lt;&gt;"))</f>
        <v/>
      </c>
      <c r="J207" s="27">
        <f>IF(C207="","",H207-I207)</f>
        <v/>
      </c>
      <c r="K207" s="25">
        <f>IF(C207="","",IF(G207=0,"not invoiced yet",SUBSTITUTE(TRIM(IF(COUNTIFS(tbl_Finance[Job Number],C207&amp;"",tbl_Finance[Cost Centre],"ONSITE")&gt;0,"ONSITE ","")&amp;IF(COUNTIFS(tbl_Finance[Job Number],C207&amp;"",tbl_Finance[Cost Centre],"PRODUCTION")&gt;0,"PRODUCTION ","")&amp;IF(COUNTIFS(tbl_Finance[Job Number],C207&amp;"",tbl_Finance[Cost Centre],"VIDEO")&gt;0,"VIDEO ","")&amp;IF(COUNTIFS(tbl_Finance[Job Number],C207&amp;"",tbl_Finance[Cost Centre],"INTEGRATION")&gt;0,"INTEGRATION ","")&amp;IF(COUNTIFS(tbl_Finance[Job Number],C207&amp;"",tbl_Finance[Cost Centre],"CONSULTING")&gt;0,"CONSULTING ","")&amp;IF(COUNTIFS(tbl_Finance[Job Number],C207&amp;"",tbl_Finance[Cost Centre],"CTS")&gt;0,"CTS ",""))," ",", ")))</f>
        <v/>
      </c>
      <c r="L207" s="27">
        <f>IF(C207="","",SUMIFS(tbl_Finance[Inc GST],tbl_Finance[Job Number],C207&amp;""))</f>
        <v/>
      </c>
      <c r="M207" s="24" t="n"/>
      <c r="N207" s="25">
        <f>IF(C207="","",IFERROR(INDEX(tbl_Finance[Description],MATCH(C207&amp;"",tbl_Finance[Job Number],0)),""))</f>
        <v/>
      </c>
      <c r="O207" s="24" t="n"/>
      <c r="P207" s="24" t="n"/>
      <c r="Q207" s="22" t="n"/>
      <c r="R207" s="24" t="n"/>
      <c r="S207" s="25">
        <f>IF(R207="","",IF(AND(LEFT(R207,4)&lt;&gt;"http",set_RMSBase=""),"",HYPERLINK(IF(LEFT(R207,4)="http",R207,set_RMSBase&amp;R207),"Open opportunity")))</f>
        <v/>
      </c>
      <c r="T207" s="24" t="n"/>
      <c r="U207" s="25">
        <f>IF(T207="","",HYPERLINK(IF(LEFT(T207,4)="http",T207,set_QwilrBase&amp;T207),"Open quote"))</f>
        <v/>
      </c>
      <c r="V207" s="25">
        <f>IF(C207="","",C207)</f>
        <v/>
      </c>
      <c r="W207" s="24" t="n"/>
      <c r="X207" s="26" t="n"/>
      <c r="Y207" s="27">
        <f>IF(C207="","",H207+N(X207))</f>
        <v/>
      </c>
      <c r="Z207" s="29">
        <f>IFERROR(X207/Y207,"")</f>
        <v/>
      </c>
      <c r="AA207" s="26" t="n"/>
      <c r="AB207" s="26" t="n"/>
      <c r="AC207" s="26" t="n"/>
      <c r="AD207" s="26" t="n"/>
      <c r="AE207" s="27">
        <f>IF(C207="","",SUMIFS(tbl_Finance[Ex GST],tbl_Finance[Job Number],C207&amp;"",tbl_Finance[Cost Centre],"VIDEO"))</f>
        <v/>
      </c>
      <c r="AF207" s="29">
        <f>IFERROR(AE207/H207,"")</f>
        <v/>
      </c>
      <c r="AG207" s="27">
        <f>IF(C207="","",N(AA207)+N(AB207)+N(AC207)+N(AD207))</f>
        <v/>
      </c>
      <c r="AH207" s="27">
        <f>IF(C207="","",H207-AG207)</f>
        <v/>
      </c>
      <c r="AI207" s="29">
        <f>IFERROR(AH207/H207,"")</f>
        <v/>
      </c>
      <c r="AJ207" s="69" t="n"/>
      <c r="AK207" s="69" t="n"/>
      <c r="AL207" s="69" t="n"/>
      <c r="AM207" s="69" t="n"/>
      <c r="AN207" s="69" t="n"/>
      <c r="AO207" s="24" t="n"/>
    </row>
    <row r="208" ht="15" customHeight="1">
      <c r="A208" s="68">
        <f>IF(C208="","",IFERROR(IF(SUMPRODUCT(MAX((tbl_Finance[Job Number]=C208&amp;"")*(tbl_Finance[Xero Invoice No]&lt;&gt;"")*tbl_Finance[Date]))=0,"",SUMPRODUCT(MAX((tbl_Finance[Job Number]=C208&amp;"")*(tbl_Finance[Xero Invoice No]&lt;&gt;"")*tbl_Finance[Date]))),""))</f>
        <v/>
      </c>
      <c r="B208" s="25">
        <f>IF(C208="","",IF(COUNTIFS(tbl_Finance[Job Number],C208&amp;"",tbl_Finance[Xero Invoice No],"&lt;&gt;")=0,"",IFERROR(IF(COUNTIFS(tbl_Finance[Job Number],C208&amp;"",tbl_Finance[Xero Invoice No],LOOKUP(2,1/((tbl_Finance[Job Number]=C208&amp;"")*(tbl_Finance[Xero Invoice No]&lt;&gt;"")),tbl_Finance[Xero Invoice No]))=COUNTIFS(tbl_Finance[Job Number],C208&amp;"",tbl_Finance[Xero Invoice No],"&lt;&gt;"),LOOKUP(2,1/((tbl_Finance[Job Number]=C208&amp;"")*(tbl_Finance[Xero Invoice No]&lt;&gt;"")),tbl_Finance[Xero Invoice No]),LOOKUP(2,1/((tbl_Finance[Job Number]=C208&amp;"")*(tbl_Finance[Xero Invoice No]&lt;&gt;"")),tbl_Finance[Xero Invoice No])&amp;" +more"),"")))</f>
        <v/>
      </c>
      <c r="C208" s="24" t="n"/>
      <c r="D208" s="25">
        <f>IF(C208="","",IF(COUNTIF(lst_Jobs,C208&amp;"")&gt;0,"OK","CHECK"))</f>
        <v/>
      </c>
      <c r="E208" s="25">
        <f>IF(C208="","",IFERROR(INDEX(lst_JobName,MATCH(C208&amp;"",lst_Jobs,0)),""))</f>
        <v/>
      </c>
      <c r="F208" s="25">
        <f>IF(C208="","",IFERROR(INDEX(tbl_Finance[Client],MATCH(C208&amp;"",tbl_Finance[Job Number],0)),""))</f>
        <v/>
      </c>
      <c r="G208" s="28">
        <f>IF(C208="","",COUNTIFS(tbl_Finance[Job Number],C208&amp;"",tbl_Finance[Ex GST],"&lt;&gt;"))</f>
        <v/>
      </c>
      <c r="H208" s="27">
        <f>IF(C208="","",SUMIFS(tbl_Finance[Ex GST],tbl_Finance[Job Number],C208&amp;""))</f>
        <v/>
      </c>
      <c r="I208" s="27">
        <f>IF(C208="","",SUMIFS(tbl_Finance[Ex GST],tbl_Finance[Job Number],C208&amp;"",tbl_Finance[Xero Invoice No],"&lt;&gt;"))</f>
        <v/>
      </c>
      <c r="J208" s="27">
        <f>IF(C208="","",H208-I208)</f>
        <v/>
      </c>
      <c r="K208" s="25">
        <f>IF(C208="","",IF(G208=0,"not invoiced yet",SUBSTITUTE(TRIM(IF(COUNTIFS(tbl_Finance[Job Number],C208&amp;"",tbl_Finance[Cost Centre],"ONSITE")&gt;0,"ONSITE ","")&amp;IF(COUNTIFS(tbl_Finance[Job Number],C208&amp;"",tbl_Finance[Cost Centre],"PRODUCTION")&gt;0,"PRODUCTION ","")&amp;IF(COUNTIFS(tbl_Finance[Job Number],C208&amp;"",tbl_Finance[Cost Centre],"VIDEO")&gt;0,"VIDEO ","")&amp;IF(COUNTIFS(tbl_Finance[Job Number],C208&amp;"",tbl_Finance[Cost Centre],"INTEGRATION")&gt;0,"INTEGRATION ","")&amp;IF(COUNTIFS(tbl_Finance[Job Number],C208&amp;"",tbl_Finance[Cost Centre],"CONSULTING")&gt;0,"CONSULTING ","")&amp;IF(COUNTIFS(tbl_Finance[Job Number],C208&amp;"",tbl_Finance[Cost Centre],"CTS")&gt;0,"CTS ",""))," ",", ")))</f>
        <v/>
      </c>
      <c r="L208" s="27">
        <f>IF(C208="","",SUMIFS(tbl_Finance[Inc GST],tbl_Finance[Job Number],C208&amp;""))</f>
        <v/>
      </c>
      <c r="M208" s="24" t="n"/>
      <c r="N208" s="25">
        <f>IF(C208="","",IFERROR(INDEX(tbl_Finance[Description],MATCH(C208&amp;"",tbl_Finance[Job Number],0)),""))</f>
        <v/>
      </c>
      <c r="O208" s="24" t="n"/>
      <c r="P208" s="24" t="n"/>
      <c r="Q208" s="22" t="n"/>
      <c r="R208" s="24" t="n"/>
      <c r="S208" s="25">
        <f>IF(R208="","",IF(AND(LEFT(R208,4)&lt;&gt;"http",set_RMSBase=""),"",HYPERLINK(IF(LEFT(R208,4)="http",R208,set_RMSBase&amp;R208),"Open opportunity")))</f>
        <v/>
      </c>
      <c r="T208" s="24" t="n"/>
      <c r="U208" s="25">
        <f>IF(T208="","",HYPERLINK(IF(LEFT(T208,4)="http",T208,set_QwilrBase&amp;T208),"Open quote"))</f>
        <v/>
      </c>
      <c r="V208" s="25">
        <f>IF(C208="","",C208)</f>
        <v/>
      </c>
      <c r="W208" s="24" t="n"/>
      <c r="X208" s="26" t="n"/>
      <c r="Y208" s="27">
        <f>IF(C208="","",H208+N(X208))</f>
        <v/>
      </c>
      <c r="Z208" s="29">
        <f>IFERROR(X208/Y208,"")</f>
        <v/>
      </c>
      <c r="AA208" s="26" t="n"/>
      <c r="AB208" s="26" t="n"/>
      <c r="AC208" s="26" t="n"/>
      <c r="AD208" s="26" t="n"/>
      <c r="AE208" s="27">
        <f>IF(C208="","",SUMIFS(tbl_Finance[Ex GST],tbl_Finance[Job Number],C208&amp;"",tbl_Finance[Cost Centre],"VIDEO"))</f>
        <v/>
      </c>
      <c r="AF208" s="29">
        <f>IFERROR(AE208/H208,"")</f>
        <v/>
      </c>
      <c r="AG208" s="27">
        <f>IF(C208="","",N(AA208)+N(AB208)+N(AC208)+N(AD208))</f>
        <v/>
      </c>
      <c r="AH208" s="27">
        <f>IF(C208="","",H208-AG208)</f>
        <v/>
      </c>
      <c r="AI208" s="29">
        <f>IFERROR(AH208/H208,"")</f>
        <v/>
      </c>
      <c r="AJ208" s="69" t="n"/>
      <c r="AK208" s="69" t="n"/>
      <c r="AL208" s="69" t="n"/>
      <c r="AM208" s="69" t="n"/>
      <c r="AN208" s="69" t="n"/>
      <c r="AO208" s="24" t="n"/>
    </row>
    <row r="209" ht="15" customHeight="1">
      <c r="A209" s="68">
        <f>IF(C209="","",IFERROR(IF(SUMPRODUCT(MAX((tbl_Finance[Job Number]=C209&amp;"")*(tbl_Finance[Xero Invoice No]&lt;&gt;"")*tbl_Finance[Date]))=0,"",SUMPRODUCT(MAX((tbl_Finance[Job Number]=C209&amp;"")*(tbl_Finance[Xero Invoice No]&lt;&gt;"")*tbl_Finance[Date]))),""))</f>
        <v/>
      </c>
      <c r="B209" s="25">
        <f>IF(C209="","",IF(COUNTIFS(tbl_Finance[Job Number],C209&amp;"",tbl_Finance[Xero Invoice No],"&lt;&gt;")=0,"",IFERROR(IF(COUNTIFS(tbl_Finance[Job Number],C209&amp;"",tbl_Finance[Xero Invoice No],LOOKUP(2,1/((tbl_Finance[Job Number]=C209&amp;"")*(tbl_Finance[Xero Invoice No]&lt;&gt;"")),tbl_Finance[Xero Invoice No]))=COUNTIFS(tbl_Finance[Job Number],C209&amp;"",tbl_Finance[Xero Invoice No],"&lt;&gt;"),LOOKUP(2,1/((tbl_Finance[Job Number]=C209&amp;"")*(tbl_Finance[Xero Invoice No]&lt;&gt;"")),tbl_Finance[Xero Invoice No]),LOOKUP(2,1/((tbl_Finance[Job Number]=C209&amp;"")*(tbl_Finance[Xero Invoice No]&lt;&gt;"")),tbl_Finance[Xero Invoice No])&amp;" +more"),"")))</f>
        <v/>
      </c>
      <c r="C209" s="24" t="n"/>
      <c r="D209" s="25">
        <f>IF(C209="","",IF(COUNTIF(lst_Jobs,C209&amp;"")&gt;0,"OK","CHECK"))</f>
        <v/>
      </c>
      <c r="E209" s="25">
        <f>IF(C209="","",IFERROR(INDEX(lst_JobName,MATCH(C209&amp;"",lst_Jobs,0)),""))</f>
        <v/>
      </c>
      <c r="F209" s="25">
        <f>IF(C209="","",IFERROR(INDEX(tbl_Finance[Client],MATCH(C209&amp;"",tbl_Finance[Job Number],0)),""))</f>
        <v/>
      </c>
      <c r="G209" s="28">
        <f>IF(C209="","",COUNTIFS(tbl_Finance[Job Number],C209&amp;"",tbl_Finance[Ex GST],"&lt;&gt;"))</f>
        <v/>
      </c>
      <c r="H209" s="27">
        <f>IF(C209="","",SUMIFS(tbl_Finance[Ex GST],tbl_Finance[Job Number],C209&amp;""))</f>
        <v/>
      </c>
      <c r="I209" s="27">
        <f>IF(C209="","",SUMIFS(tbl_Finance[Ex GST],tbl_Finance[Job Number],C209&amp;"",tbl_Finance[Xero Invoice No],"&lt;&gt;"))</f>
        <v/>
      </c>
      <c r="J209" s="27">
        <f>IF(C209="","",H209-I209)</f>
        <v/>
      </c>
      <c r="K209" s="25">
        <f>IF(C209="","",IF(G209=0,"not invoiced yet",SUBSTITUTE(TRIM(IF(COUNTIFS(tbl_Finance[Job Number],C209&amp;"",tbl_Finance[Cost Centre],"ONSITE")&gt;0,"ONSITE ","")&amp;IF(COUNTIFS(tbl_Finance[Job Number],C209&amp;"",tbl_Finance[Cost Centre],"PRODUCTION")&gt;0,"PRODUCTION ","")&amp;IF(COUNTIFS(tbl_Finance[Job Number],C209&amp;"",tbl_Finance[Cost Centre],"VIDEO")&gt;0,"VIDEO ","")&amp;IF(COUNTIFS(tbl_Finance[Job Number],C209&amp;"",tbl_Finance[Cost Centre],"INTEGRATION")&gt;0,"INTEGRATION ","")&amp;IF(COUNTIFS(tbl_Finance[Job Number],C209&amp;"",tbl_Finance[Cost Centre],"CONSULTING")&gt;0,"CONSULTING ","")&amp;IF(COUNTIFS(tbl_Finance[Job Number],C209&amp;"",tbl_Finance[Cost Centre],"CTS")&gt;0,"CTS ",""))," ",", ")))</f>
        <v/>
      </c>
      <c r="L209" s="27">
        <f>IF(C209="","",SUMIFS(tbl_Finance[Inc GST],tbl_Finance[Job Number],C209&amp;""))</f>
        <v/>
      </c>
      <c r="M209" s="24" t="n"/>
      <c r="N209" s="25">
        <f>IF(C209="","",IFERROR(INDEX(tbl_Finance[Description],MATCH(C209&amp;"",tbl_Finance[Job Number],0)),""))</f>
        <v/>
      </c>
      <c r="O209" s="24" t="n"/>
      <c r="P209" s="24" t="n"/>
      <c r="Q209" s="22" t="n"/>
      <c r="R209" s="24" t="n"/>
      <c r="S209" s="25">
        <f>IF(R209="","",IF(AND(LEFT(R209,4)&lt;&gt;"http",set_RMSBase=""),"",HYPERLINK(IF(LEFT(R209,4)="http",R209,set_RMSBase&amp;R209),"Open opportunity")))</f>
        <v/>
      </c>
      <c r="T209" s="24" t="n"/>
      <c r="U209" s="25">
        <f>IF(T209="","",HYPERLINK(IF(LEFT(T209,4)="http",T209,set_QwilrBase&amp;T209),"Open quote"))</f>
        <v/>
      </c>
      <c r="V209" s="25">
        <f>IF(C209="","",C209)</f>
        <v/>
      </c>
      <c r="W209" s="24" t="n"/>
      <c r="X209" s="26" t="n"/>
      <c r="Y209" s="27">
        <f>IF(C209="","",H209+N(X209))</f>
        <v/>
      </c>
      <c r="Z209" s="29">
        <f>IFERROR(X209/Y209,"")</f>
        <v/>
      </c>
      <c r="AA209" s="26" t="n"/>
      <c r="AB209" s="26" t="n"/>
      <c r="AC209" s="26" t="n"/>
      <c r="AD209" s="26" t="n"/>
      <c r="AE209" s="27">
        <f>IF(C209="","",SUMIFS(tbl_Finance[Ex GST],tbl_Finance[Job Number],C209&amp;"",tbl_Finance[Cost Centre],"VIDEO"))</f>
        <v/>
      </c>
      <c r="AF209" s="29">
        <f>IFERROR(AE209/H209,"")</f>
        <v/>
      </c>
      <c r="AG209" s="27">
        <f>IF(C209="","",N(AA209)+N(AB209)+N(AC209)+N(AD209))</f>
        <v/>
      </c>
      <c r="AH209" s="27">
        <f>IF(C209="","",H209-AG209)</f>
        <v/>
      </c>
      <c r="AI209" s="29">
        <f>IFERROR(AH209/H209,"")</f>
        <v/>
      </c>
      <c r="AJ209" s="69" t="n"/>
      <c r="AK209" s="69" t="n"/>
      <c r="AL209" s="69" t="n"/>
      <c r="AM209" s="69" t="n"/>
      <c r="AN209" s="69" t="n"/>
      <c r="AO209" s="24" t="n"/>
    </row>
    <row r="210" ht="15" customHeight="1">
      <c r="A210" s="68">
        <f>IF(C210="","",IFERROR(IF(SUMPRODUCT(MAX((tbl_Finance[Job Number]=C210&amp;"")*(tbl_Finance[Xero Invoice No]&lt;&gt;"")*tbl_Finance[Date]))=0,"",SUMPRODUCT(MAX((tbl_Finance[Job Number]=C210&amp;"")*(tbl_Finance[Xero Invoice No]&lt;&gt;"")*tbl_Finance[Date]))),""))</f>
        <v/>
      </c>
      <c r="B210" s="25">
        <f>IF(C210="","",IF(COUNTIFS(tbl_Finance[Job Number],C210&amp;"",tbl_Finance[Xero Invoice No],"&lt;&gt;")=0,"",IFERROR(IF(COUNTIFS(tbl_Finance[Job Number],C210&amp;"",tbl_Finance[Xero Invoice No],LOOKUP(2,1/((tbl_Finance[Job Number]=C210&amp;"")*(tbl_Finance[Xero Invoice No]&lt;&gt;"")),tbl_Finance[Xero Invoice No]))=COUNTIFS(tbl_Finance[Job Number],C210&amp;"",tbl_Finance[Xero Invoice No],"&lt;&gt;"),LOOKUP(2,1/((tbl_Finance[Job Number]=C210&amp;"")*(tbl_Finance[Xero Invoice No]&lt;&gt;"")),tbl_Finance[Xero Invoice No]),LOOKUP(2,1/((tbl_Finance[Job Number]=C210&amp;"")*(tbl_Finance[Xero Invoice No]&lt;&gt;"")),tbl_Finance[Xero Invoice No])&amp;" +more"),"")))</f>
        <v/>
      </c>
      <c r="C210" s="24" t="n"/>
      <c r="D210" s="25">
        <f>IF(C210="","",IF(COUNTIF(lst_Jobs,C210&amp;"")&gt;0,"OK","CHECK"))</f>
        <v/>
      </c>
      <c r="E210" s="25">
        <f>IF(C210="","",IFERROR(INDEX(lst_JobName,MATCH(C210&amp;"",lst_Jobs,0)),""))</f>
        <v/>
      </c>
      <c r="F210" s="25">
        <f>IF(C210="","",IFERROR(INDEX(tbl_Finance[Client],MATCH(C210&amp;"",tbl_Finance[Job Number],0)),""))</f>
        <v/>
      </c>
      <c r="G210" s="28">
        <f>IF(C210="","",COUNTIFS(tbl_Finance[Job Number],C210&amp;"",tbl_Finance[Ex GST],"&lt;&gt;"))</f>
        <v/>
      </c>
      <c r="H210" s="27">
        <f>IF(C210="","",SUMIFS(tbl_Finance[Ex GST],tbl_Finance[Job Number],C210&amp;""))</f>
        <v/>
      </c>
      <c r="I210" s="27">
        <f>IF(C210="","",SUMIFS(tbl_Finance[Ex GST],tbl_Finance[Job Number],C210&amp;"",tbl_Finance[Xero Invoice No],"&lt;&gt;"))</f>
        <v/>
      </c>
      <c r="J210" s="27">
        <f>IF(C210="","",H210-I210)</f>
        <v/>
      </c>
      <c r="K210" s="25">
        <f>IF(C210="","",IF(G210=0,"not invoiced yet",SUBSTITUTE(TRIM(IF(COUNTIFS(tbl_Finance[Job Number],C210&amp;"",tbl_Finance[Cost Centre],"ONSITE")&gt;0,"ONSITE ","")&amp;IF(COUNTIFS(tbl_Finance[Job Number],C210&amp;"",tbl_Finance[Cost Centre],"PRODUCTION")&gt;0,"PRODUCTION ","")&amp;IF(COUNTIFS(tbl_Finance[Job Number],C210&amp;"",tbl_Finance[Cost Centre],"VIDEO")&gt;0,"VIDEO ","")&amp;IF(COUNTIFS(tbl_Finance[Job Number],C210&amp;"",tbl_Finance[Cost Centre],"INTEGRATION")&gt;0,"INTEGRATION ","")&amp;IF(COUNTIFS(tbl_Finance[Job Number],C210&amp;"",tbl_Finance[Cost Centre],"CONSULTING")&gt;0,"CONSULTING ","")&amp;IF(COUNTIFS(tbl_Finance[Job Number],C210&amp;"",tbl_Finance[Cost Centre],"CTS")&gt;0,"CTS ",""))," ",", ")))</f>
        <v/>
      </c>
      <c r="L210" s="27">
        <f>IF(C210="","",SUMIFS(tbl_Finance[Inc GST],tbl_Finance[Job Number],C210&amp;""))</f>
        <v/>
      </c>
      <c r="M210" s="24" t="n"/>
      <c r="N210" s="25">
        <f>IF(C210="","",IFERROR(INDEX(tbl_Finance[Description],MATCH(C210&amp;"",tbl_Finance[Job Number],0)),""))</f>
        <v/>
      </c>
      <c r="O210" s="24" t="n"/>
      <c r="P210" s="24" t="n"/>
      <c r="Q210" s="22" t="n"/>
      <c r="R210" s="24" t="n"/>
      <c r="S210" s="25">
        <f>IF(R210="","",IF(AND(LEFT(R210,4)&lt;&gt;"http",set_RMSBase=""),"",HYPERLINK(IF(LEFT(R210,4)="http",R210,set_RMSBase&amp;R210),"Open opportunity")))</f>
        <v/>
      </c>
      <c r="T210" s="24" t="n"/>
      <c r="U210" s="25">
        <f>IF(T210="","",HYPERLINK(IF(LEFT(T210,4)="http",T210,set_QwilrBase&amp;T210),"Open quote"))</f>
        <v/>
      </c>
      <c r="V210" s="25">
        <f>IF(C210="","",C210)</f>
        <v/>
      </c>
      <c r="W210" s="24" t="n"/>
      <c r="X210" s="26" t="n"/>
      <c r="Y210" s="27">
        <f>IF(C210="","",H210+N(X210))</f>
        <v/>
      </c>
      <c r="Z210" s="29">
        <f>IFERROR(X210/Y210,"")</f>
        <v/>
      </c>
      <c r="AA210" s="26" t="n"/>
      <c r="AB210" s="26" t="n"/>
      <c r="AC210" s="26" t="n"/>
      <c r="AD210" s="26" t="n"/>
      <c r="AE210" s="27">
        <f>IF(C210="","",SUMIFS(tbl_Finance[Ex GST],tbl_Finance[Job Number],C210&amp;"",tbl_Finance[Cost Centre],"VIDEO"))</f>
        <v/>
      </c>
      <c r="AF210" s="29">
        <f>IFERROR(AE210/H210,"")</f>
        <v/>
      </c>
      <c r="AG210" s="27">
        <f>IF(C210="","",N(AA210)+N(AB210)+N(AC210)+N(AD210))</f>
        <v/>
      </c>
      <c r="AH210" s="27">
        <f>IF(C210="","",H210-AG210)</f>
        <v/>
      </c>
      <c r="AI210" s="29">
        <f>IFERROR(AH210/H210,"")</f>
        <v/>
      </c>
      <c r="AJ210" s="69" t="n"/>
      <c r="AK210" s="69" t="n"/>
      <c r="AL210" s="69" t="n"/>
      <c r="AM210" s="69" t="n"/>
      <c r="AN210" s="69" t="n"/>
      <c r="AO210" s="24" t="n"/>
    </row>
    <row r="211" ht="15" customHeight="1">
      <c r="A211" s="68">
        <f>IF(C211="","",IFERROR(IF(SUMPRODUCT(MAX((tbl_Finance[Job Number]=C211&amp;"")*(tbl_Finance[Xero Invoice No]&lt;&gt;"")*tbl_Finance[Date]))=0,"",SUMPRODUCT(MAX((tbl_Finance[Job Number]=C211&amp;"")*(tbl_Finance[Xero Invoice No]&lt;&gt;"")*tbl_Finance[Date]))),""))</f>
        <v/>
      </c>
      <c r="B211" s="25">
        <f>IF(C211="","",IF(COUNTIFS(tbl_Finance[Job Number],C211&amp;"",tbl_Finance[Xero Invoice No],"&lt;&gt;")=0,"",IFERROR(IF(COUNTIFS(tbl_Finance[Job Number],C211&amp;"",tbl_Finance[Xero Invoice No],LOOKUP(2,1/((tbl_Finance[Job Number]=C211&amp;"")*(tbl_Finance[Xero Invoice No]&lt;&gt;"")),tbl_Finance[Xero Invoice No]))=COUNTIFS(tbl_Finance[Job Number],C211&amp;"",tbl_Finance[Xero Invoice No],"&lt;&gt;"),LOOKUP(2,1/((tbl_Finance[Job Number]=C211&amp;"")*(tbl_Finance[Xero Invoice No]&lt;&gt;"")),tbl_Finance[Xero Invoice No]),LOOKUP(2,1/((tbl_Finance[Job Number]=C211&amp;"")*(tbl_Finance[Xero Invoice No]&lt;&gt;"")),tbl_Finance[Xero Invoice No])&amp;" +more"),"")))</f>
        <v/>
      </c>
      <c r="C211" s="24" t="n"/>
      <c r="D211" s="25">
        <f>IF(C211="","",IF(COUNTIF(lst_Jobs,C211&amp;"")&gt;0,"OK","CHECK"))</f>
        <v/>
      </c>
      <c r="E211" s="25">
        <f>IF(C211="","",IFERROR(INDEX(lst_JobName,MATCH(C211&amp;"",lst_Jobs,0)),""))</f>
        <v/>
      </c>
      <c r="F211" s="25">
        <f>IF(C211="","",IFERROR(INDEX(tbl_Finance[Client],MATCH(C211&amp;"",tbl_Finance[Job Number],0)),""))</f>
        <v/>
      </c>
      <c r="G211" s="28">
        <f>IF(C211="","",COUNTIFS(tbl_Finance[Job Number],C211&amp;"",tbl_Finance[Ex GST],"&lt;&gt;"))</f>
        <v/>
      </c>
      <c r="H211" s="27">
        <f>IF(C211="","",SUMIFS(tbl_Finance[Ex GST],tbl_Finance[Job Number],C211&amp;""))</f>
        <v/>
      </c>
      <c r="I211" s="27">
        <f>IF(C211="","",SUMIFS(tbl_Finance[Ex GST],tbl_Finance[Job Number],C211&amp;"",tbl_Finance[Xero Invoice No],"&lt;&gt;"))</f>
        <v/>
      </c>
      <c r="J211" s="27">
        <f>IF(C211="","",H211-I211)</f>
        <v/>
      </c>
      <c r="K211" s="25">
        <f>IF(C211="","",IF(G211=0,"not invoiced yet",SUBSTITUTE(TRIM(IF(COUNTIFS(tbl_Finance[Job Number],C211&amp;"",tbl_Finance[Cost Centre],"ONSITE")&gt;0,"ONSITE ","")&amp;IF(COUNTIFS(tbl_Finance[Job Number],C211&amp;"",tbl_Finance[Cost Centre],"PRODUCTION")&gt;0,"PRODUCTION ","")&amp;IF(COUNTIFS(tbl_Finance[Job Number],C211&amp;"",tbl_Finance[Cost Centre],"VIDEO")&gt;0,"VIDEO ","")&amp;IF(COUNTIFS(tbl_Finance[Job Number],C211&amp;"",tbl_Finance[Cost Centre],"INTEGRATION")&gt;0,"INTEGRATION ","")&amp;IF(COUNTIFS(tbl_Finance[Job Number],C211&amp;"",tbl_Finance[Cost Centre],"CONSULTING")&gt;0,"CONSULTING ","")&amp;IF(COUNTIFS(tbl_Finance[Job Number],C211&amp;"",tbl_Finance[Cost Centre],"CTS")&gt;0,"CTS ",""))," ",", ")))</f>
        <v/>
      </c>
      <c r="L211" s="27">
        <f>IF(C211="","",SUMIFS(tbl_Finance[Inc GST],tbl_Finance[Job Number],C211&amp;""))</f>
        <v/>
      </c>
      <c r="M211" s="24" t="n"/>
      <c r="N211" s="25">
        <f>IF(C211="","",IFERROR(INDEX(tbl_Finance[Description],MATCH(C211&amp;"",tbl_Finance[Job Number],0)),""))</f>
        <v/>
      </c>
      <c r="O211" s="24" t="n"/>
      <c r="P211" s="24" t="n"/>
      <c r="Q211" s="22" t="n"/>
      <c r="R211" s="24" t="n"/>
      <c r="S211" s="25">
        <f>IF(R211="","",IF(AND(LEFT(R211,4)&lt;&gt;"http",set_RMSBase=""),"",HYPERLINK(IF(LEFT(R211,4)="http",R211,set_RMSBase&amp;R211),"Open opportunity")))</f>
        <v/>
      </c>
      <c r="T211" s="24" t="n"/>
      <c r="U211" s="25">
        <f>IF(T211="","",HYPERLINK(IF(LEFT(T211,4)="http",T211,set_QwilrBase&amp;T211),"Open quote"))</f>
        <v/>
      </c>
      <c r="V211" s="25">
        <f>IF(C211="","",C211)</f>
        <v/>
      </c>
      <c r="W211" s="24" t="n"/>
      <c r="X211" s="26" t="n"/>
      <c r="Y211" s="27">
        <f>IF(C211="","",H211+N(X211))</f>
        <v/>
      </c>
      <c r="Z211" s="29">
        <f>IFERROR(X211/Y211,"")</f>
        <v/>
      </c>
      <c r="AA211" s="26" t="n"/>
      <c r="AB211" s="26" t="n"/>
      <c r="AC211" s="26" t="n"/>
      <c r="AD211" s="26" t="n"/>
      <c r="AE211" s="27">
        <f>IF(C211="","",SUMIFS(tbl_Finance[Ex GST],tbl_Finance[Job Number],C211&amp;"",tbl_Finance[Cost Centre],"VIDEO"))</f>
        <v/>
      </c>
      <c r="AF211" s="29">
        <f>IFERROR(AE211/H211,"")</f>
        <v/>
      </c>
      <c r="AG211" s="27">
        <f>IF(C211="","",N(AA211)+N(AB211)+N(AC211)+N(AD211))</f>
        <v/>
      </c>
      <c r="AH211" s="27">
        <f>IF(C211="","",H211-AG211)</f>
        <v/>
      </c>
      <c r="AI211" s="29">
        <f>IFERROR(AH211/H211,"")</f>
        <v/>
      </c>
      <c r="AJ211" s="69" t="n"/>
      <c r="AK211" s="69" t="n"/>
      <c r="AL211" s="69" t="n"/>
      <c r="AM211" s="69" t="n"/>
      <c r="AN211" s="69" t="n"/>
      <c r="AO211" s="24" t="n"/>
    </row>
    <row r="212" ht="15" customHeight="1">
      <c r="A212" s="68">
        <f>IF(C212="","",IFERROR(IF(SUMPRODUCT(MAX((tbl_Finance[Job Number]=C212&amp;"")*(tbl_Finance[Xero Invoice No]&lt;&gt;"")*tbl_Finance[Date]))=0,"",SUMPRODUCT(MAX((tbl_Finance[Job Number]=C212&amp;"")*(tbl_Finance[Xero Invoice No]&lt;&gt;"")*tbl_Finance[Date]))),""))</f>
        <v/>
      </c>
      <c r="B212" s="25">
        <f>IF(C212="","",IF(COUNTIFS(tbl_Finance[Job Number],C212&amp;"",tbl_Finance[Xero Invoice No],"&lt;&gt;")=0,"",IFERROR(IF(COUNTIFS(tbl_Finance[Job Number],C212&amp;"",tbl_Finance[Xero Invoice No],LOOKUP(2,1/((tbl_Finance[Job Number]=C212&amp;"")*(tbl_Finance[Xero Invoice No]&lt;&gt;"")),tbl_Finance[Xero Invoice No]))=COUNTIFS(tbl_Finance[Job Number],C212&amp;"",tbl_Finance[Xero Invoice No],"&lt;&gt;"),LOOKUP(2,1/((tbl_Finance[Job Number]=C212&amp;"")*(tbl_Finance[Xero Invoice No]&lt;&gt;"")),tbl_Finance[Xero Invoice No]),LOOKUP(2,1/((tbl_Finance[Job Number]=C212&amp;"")*(tbl_Finance[Xero Invoice No]&lt;&gt;"")),tbl_Finance[Xero Invoice No])&amp;" +more"),"")))</f>
        <v/>
      </c>
      <c r="C212" s="24" t="n"/>
      <c r="D212" s="25">
        <f>IF(C212="","",IF(COUNTIF(lst_Jobs,C212&amp;"")&gt;0,"OK","CHECK"))</f>
        <v/>
      </c>
      <c r="E212" s="25">
        <f>IF(C212="","",IFERROR(INDEX(lst_JobName,MATCH(C212&amp;"",lst_Jobs,0)),""))</f>
        <v/>
      </c>
      <c r="F212" s="25">
        <f>IF(C212="","",IFERROR(INDEX(tbl_Finance[Client],MATCH(C212&amp;"",tbl_Finance[Job Number],0)),""))</f>
        <v/>
      </c>
      <c r="G212" s="28">
        <f>IF(C212="","",COUNTIFS(tbl_Finance[Job Number],C212&amp;"",tbl_Finance[Ex GST],"&lt;&gt;"))</f>
        <v/>
      </c>
      <c r="H212" s="27">
        <f>IF(C212="","",SUMIFS(tbl_Finance[Ex GST],tbl_Finance[Job Number],C212&amp;""))</f>
        <v/>
      </c>
      <c r="I212" s="27">
        <f>IF(C212="","",SUMIFS(tbl_Finance[Ex GST],tbl_Finance[Job Number],C212&amp;"",tbl_Finance[Xero Invoice No],"&lt;&gt;"))</f>
        <v/>
      </c>
      <c r="J212" s="27">
        <f>IF(C212="","",H212-I212)</f>
        <v/>
      </c>
      <c r="K212" s="25">
        <f>IF(C212="","",IF(G212=0,"not invoiced yet",SUBSTITUTE(TRIM(IF(COUNTIFS(tbl_Finance[Job Number],C212&amp;"",tbl_Finance[Cost Centre],"ONSITE")&gt;0,"ONSITE ","")&amp;IF(COUNTIFS(tbl_Finance[Job Number],C212&amp;"",tbl_Finance[Cost Centre],"PRODUCTION")&gt;0,"PRODUCTION ","")&amp;IF(COUNTIFS(tbl_Finance[Job Number],C212&amp;"",tbl_Finance[Cost Centre],"VIDEO")&gt;0,"VIDEO ","")&amp;IF(COUNTIFS(tbl_Finance[Job Number],C212&amp;"",tbl_Finance[Cost Centre],"INTEGRATION")&gt;0,"INTEGRATION ","")&amp;IF(COUNTIFS(tbl_Finance[Job Number],C212&amp;"",tbl_Finance[Cost Centre],"CONSULTING")&gt;0,"CONSULTING ","")&amp;IF(COUNTIFS(tbl_Finance[Job Number],C212&amp;"",tbl_Finance[Cost Centre],"CTS")&gt;0,"CTS ",""))," ",", ")))</f>
        <v/>
      </c>
      <c r="L212" s="27">
        <f>IF(C212="","",SUMIFS(tbl_Finance[Inc GST],tbl_Finance[Job Number],C212&amp;""))</f>
        <v/>
      </c>
      <c r="M212" s="24" t="n"/>
      <c r="N212" s="25">
        <f>IF(C212="","",IFERROR(INDEX(tbl_Finance[Description],MATCH(C212&amp;"",tbl_Finance[Job Number],0)),""))</f>
        <v/>
      </c>
      <c r="O212" s="24" t="n"/>
      <c r="P212" s="24" t="n"/>
      <c r="Q212" s="22" t="n"/>
      <c r="R212" s="24" t="n"/>
      <c r="S212" s="25">
        <f>IF(R212="","",IF(AND(LEFT(R212,4)&lt;&gt;"http",set_RMSBase=""),"",HYPERLINK(IF(LEFT(R212,4)="http",R212,set_RMSBase&amp;R212),"Open opportunity")))</f>
        <v/>
      </c>
      <c r="T212" s="24" t="n"/>
      <c r="U212" s="25">
        <f>IF(T212="","",HYPERLINK(IF(LEFT(T212,4)="http",T212,set_QwilrBase&amp;T212),"Open quote"))</f>
        <v/>
      </c>
      <c r="V212" s="25">
        <f>IF(C212="","",C212)</f>
        <v/>
      </c>
      <c r="W212" s="24" t="n"/>
      <c r="X212" s="26" t="n"/>
      <c r="Y212" s="27">
        <f>IF(C212="","",H212+N(X212))</f>
        <v/>
      </c>
      <c r="Z212" s="29">
        <f>IFERROR(X212/Y212,"")</f>
        <v/>
      </c>
      <c r="AA212" s="26" t="n"/>
      <c r="AB212" s="26" t="n"/>
      <c r="AC212" s="26" t="n"/>
      <c r="AD212" s="26" t="n"/>
      <c r="AE212" s="27">
        <f>IF(C212="","",SUMIFS(tbl_Finance[Ex GST],tbl_Finance[Job Number],C212&amp;"",tbl_Finance[Cost Centre],"VIDEO"))</f>
        <v/>
      </c>
      <c r="AF212" s="29">
        <f>IFERROR(AE212/H212,"")</f>
        <v/>
      </c>
      <c r="AG212" s="27">
        <f>IF(C212="","",N(AA212)+N(AB212)+N(AC212)+N(AD212))</f>
        <v/>
      </c>
      <c r="AH212" s="27">
        <f>IF(C212="","",H212-AG212)</f>
        <v/>
      </c>
      <c r="AI212" s="29">
        <f>IFERROR(AH212/H212,"")</f>
        <v/>
      </c>
      <c r="AJ212" s="69" t="n"/>
      <c r="AK212" s="69" t="n"/>
      <c r="AL212" s="69" t="n"/>
      <c r="AM212" s="69" t="n"/>
      <c r="AN212" s="69" t="n"/>
      <c r="AO212" s="24" t="n"/>
    </row>
    <row r="213" ht="15" customHeight="1">
      <c r="A213" s="68">
        <f>IF(C213="","",IFERROR(IF(SUMPRODUCT(MAX((tbl_Finance[Job Number]=C213&amp;"")*(tbl_Finance[Xero Invoice No]&lt;&gt;"")*tbl_Finance[Date]))=0,"",SUMPRODUCT(MAX((tbl_Finance[Job Number]=C213&amp;"")*(tbl_Finance[Xero Invoice No]&lt;&gt;"")*tbl_Finance[Date]))),""))</f>
        <v/>
      </c>
      <c r="B213" s="25">
        <f>IF(C213="","",IF(COUNTIFS(tbl_Finance[Job Number],C213&amp;"",tbl_Finance[Xero Invoice No],"&lt;&gt;")=0,"",IFERROR(IF(COUNTIFS(tbl_Finance[Job Number],C213&amp;"",tbl_Finance[Xero Invoice No],LOOKUP(2,1/((tbl_Finance[Job Number]=C213&amp;"")*(tbl_Finance[Xero Invoice No]&lt;&gt;"")),tbl_Finance[Xero Invoice No]))=COUNTIFS(tbl_Finance[Job Number],C213&amp;"",tbl_Finance[Xero Invoice No],"&lt;&gt;"),LOOKUP(2,1/((tbl_Finance[Job Number]=C213&amp;"")*(tbl_Finance[Xero Invoice No]&lt;&gt;"")),tbl_Finance[Xero Invoice No]),LOOKUP(2,1/((tbl_Finance[Job Number]=C213&amp;"")*(tbl_Finance[Xero Invoice No]&lt;&gt;"")),tbl_Finance[Xero Invoice No])&amp;" +more"),"")))</f>
        <v/>
      </c>
      <c r="C213" s="24" t="n"/>
      <c r="D213" s="25">
        <f>IF(C213="","",IF(COUNTIF(lst_Jobs,C213&amp;"")&gt;0,"OK","CHECK"))</f>
        <v/>
      </c>
      <c r="E213" s="25">
        <f>IF(C213="","",IFERROR(INDEX(lst_JobName,MATCH(C213&amp;"",lst_Jobs,0)),""))</f>
        <v/>
      </c>
      <c r="F213" s="25">
        <f>IF(C213="","",IFERROR(INDEX(tbl_Finance[Client],MATCH(C213&amp;"",tbl_Finance[Job Number],0)),""))</f>
        <v/>
      </c>
      <c r="G213" s="28">
        <f>IF(C213="","",COUNTIFS(tbl_Finance[Job Number],C213&amp;"",tbl_Finance[Ex GST],"&lt;&gt;"))</f>
        <v/>
      </c>
      <c r="H213" s="27">
        <f>IF(C213="","",SUMIFS(tbl_Finance[Ex GST],tbl_Finance[Job Number],C213&amp;""))</f>
        <v/>
      </c>
      <c r="I213" s="27">
        <f>IF(C213="","",SUMIFS(tbl_Finance[Ex GST],tbl_Finance[Job Number],C213&amp;"",tbl_Finance[Xero Invoice No],"&lt;&gt;"))</f>
        <v/>
      </c>
      <c r="J213" s="27">
        <f>IF(C213="","",H213-I213)</f>
        <v/>
      </c>
      <c r="K213" s="25">
        <f>IF(C213="","",IF(G213=0,"not invoiced yet",SUBSTITUTE(TRIM(IF(COUNTIFS(tbl_Finance[Job Number],C213&amp;"",tbl_Finance[Cost Centre],"ONSITE")&gt;0,"ONSITE ","")&amp;IF(COUNTIFS(tbl_Finance[Job Number],C213&amp;"",tbl_Finance[Cost Centre],"PRODUCTION")&gt;0,"PRODUCTION ","")&amp;IF(COUNTIFS(tbl_Finance[Job Number],C213&amp;"",tbl_Finance[Cost Centre],"VIDEO")&gt;0,"VIDEO ","")&amp;IF(COUNTIFS(tbl_Finance[Job Number],C213&amp;"",tbl_Finance[Cost Centre],"INTEGRATION")&gt;0,"INTEGRATION ","")&amp;IF(COUNTIFS(tbl_Finance[Job Number],C213&amp;"",tbl_Finance[Cost Centre],"CONSULTING")&gt;0,"CONSULTING ","")&amp;IF(COUNTIFS(tbl_Finance[Job Number],C213&amp;"",tbl_Finance[Cost Centre],"CTS")&gt;0,"CTS ",""))," ",", ")))</f>
        <v/>
      </c>
      <c r="L213" s="27">
        <f>IF(C213="","",SUMIFS(tbl_Finance[Inc GST],tbl_Finance[Job Number],C213&amp;""))</f>
        <v/>
      </c>
      <c r="M213" s="24" t="n"/>
      <c r="N213" s="25">
        <f>IF(C213="","",IFERROR(INDEX(tbl_Finance[Description],MATCH(C213&amp;"",tbl_Finance[Job Number],0)),""))</f>
        <v/>
      </c>
      <c r="O213" s="24" t="n"/>
      <c r="P213" s="24" t="n"/>
      <c r="Q213" s="22" t="n"/>
      <c r="R213" s="24" t="n"/>
      <c r="S213" s="25">
        <f>IF(R213="","",IF(AND(LEFT(R213,4)&lt;&gt;"http",set_RMSBase=""),"",HYPERLINK(IF(LEFT(R213,4)="http",R213,set_RMSBase&amp;R213),"Open opportunity")))</f>
        <v/>
      </c>
      <c r="T213" s="24" t="n"/>
      <c r="U213" s="25">
        <f>IF(T213="","",HYPERLINK(IF(LEFT(T213,4)="http",T213,set_QwilrBase&amp;T213),"Open quote"))</f>
        <v/>
      </c>
      <c r="V213" s="25">
        <f>IF(C213="","",C213)</f>
        <v/>
      </c>
      <c r="W213" s="24" t="n"/>
      <c r="X213" s="26" t="n"/>
      <c r="Y213" s="27">
        <f>IF(C213="","",H213+N(X213))</f>
        <v/>
      </c>
      <c r="Z213" s="29">
        <f>IFERROR(X213/Y213,"")</f>
        <v/>
      </c>
      <c r="AA213" s="26" t="n"/>
      <c r="AB213" s="26" t="n"/>
      <c r="AC213" s="26" t="n"/>
      <c r="AD213" s="26" t="n"/>
      <c r="AE213" s="27">
        <f>IF(C213="","",SUMIFS(tbl_Finance[Ex GST],tbl_Finance[Job Number],C213&amp;"",tbl_Finance[Cost Centre],"VIDEO"))</f>
        <v/>
      </c>
      <c r="AF213" s="29">
        <f>IFERROR(AE213/H213,"")</f>
        <v/>
      </c>
      <c r="AG213" s="27">
        <f>IF(C213="","",N(AA213)+N(AB213)+N(AC213)+N(AD213))</f>
        <v/>
      </c>
      <c r="AH213" s="27">
        <f>IF(C213="","",H213-AG213)</f>
        <v/>
      </c>
      <c r="AI213" s="29">
        <f>IFERROR(AH213/H213,"")</f>
        <v/>
      </c>
      <c r="AJ213" s="69" t="n"/>
      <c r="AK213" s="69" t="n"/>
      <c r="AL213" s="69" t="n"/>
      <c r="AM213" s="69" t="n"/>
      <c r="AN213" s="69" t="n"/>
      <c r="AO213" s="24" t="n"/>
    </row>
    <row r="214" ht="15" customHeight="1">
      <c r="A214" s="68">
        <f>IF(C214="","",IFERROR(IF(SUMPRODUCT(MAX((tbl_Finance[Job Number]=C214&amp;"")*(tbl_Finance[Xero Invoice No]&lt;&gt;"")*tbl_Finance[Date]))=0,"",SUMPRODUCT(MAX((tbl_Finance[Job Number]=C214&amp;"")*(tbl_Finance[Xero Invoice No]&lt;&gt;"")*tbl_Finance[Date]))),""))</f>
        <v/>
      </c>
      <c r="B214" s="25">
        <f>IF(C214="","",IF(COUNTIFS(tbl_Finance[Job Number],C214&amp;"",tbl_Finance[Xero Invoice No],"&lt;&gt;")=0,"",IFERROR(IF(COUNTIFS(tbl_Finance[Job Number],C214&amp;"",tbl_Finance[Xero Invoice No],LOOKUP(2,1/((tbl_Finance[Job Number]=C214&amp;"")*(tbl_Finance[Xero Invoice No]&lt;&gt;"")),tbl_Finance[Xero Invoice No]))=COUNTIFS(tbl_Finance[Job Number],C214&amp;"",tbl_Finance[Xero Invoice No],"&lt;&gt;"),LOOKUP(2,1/((tbl_Finance[Job Number]=C214&amp;"")*(tbl_Finance[Xero Invoice No]&lt;&gt;"")),tbl_Finance[Xero Invoice No]),LOOKUP(2,1/((tbl_Finance[Job Number]=C214&amp;"")*(tbl_Finance[Xero Invoice No]&lt;&gt;"")),tbl_Finance[Xero Invoice No])&amp;" +more"),"")))</f>
        <v/>
      </c>
      <c r="C214" s="24" t="n"/>
      <c r="D214" s="25">
        <f>IF(C214="","",IF(COUNTIF(lst_Jobs,C214&amp;"")&gt;0,"OK","CHECK"))</f>
        <v/>
      </c>
      <c r="E214" s="25">
        <f>IF(C214="","",IFERROR(INDEX(lst_JobName,MATCH(C214&amp;"",lst_Jobs,0)),""))</f>
        <v/>
      </c>
      <c r="F214" s="25">
        <f>IF(C214="","",IFERROR(INDEX(tbl_Finance[Client],MATCH(C214&amp;"",tbl_Finance[Job Number],0)),""))</f>
        <v/>
      </c>
      <c r="G214" s="28">
        <f>IF(C214="","",COUNTIFS(tbl_Finance[Job Number],C214&amp;"",tbl_Finance[Ex GST],"&lt;&gt;"))</f>
        <v/>
      </c>
      <c r="H214" s="27">
        <f>IF(C214="","",SUMIFS(tbl_Finance[Ex GST],tbl_Finance[Job Number],C214&amp;""))</f>
        <v/>
      </c>
      <c r="I214" s="27">
        <f>IF(C214="","",SUMIFS(tbl_Finance[Ex GST],tbl_Finance[Job Number],C214&amp;"",tbl_Finance[Xero Invoice No],"&lt;&gt;"))</f>
        <v/>
      </c>
      <c r="J214" s="27">
        <f>IF(C214="","",H214-I214)</f>
        <v/>
      </c>
      <c r="K214" s="25">
        <f>IF(C214="","",IF(G214=0,"not invoiced yet",SUBSTITUTE(TRIM(IF(COUNTIFS(tbl_Finance[Job Number],C214&amp;"",tbl_Finance[Cost Centre],"ONSITE")&gt;0,"ONSITE ","")&amp;IF(COUNTIFS(tbl_Finance[Job Number],C214&amp;"",tbl_Finance[Cost Centre],"PRODUCTION")&gt;0,"PRODUCTION ","")&amp;IF(COUNTIFS(tbl_Finance[Job Number],C214&amp;"",tbl_Finance[Cost Centre],"VIDEO")&gt;0,"VIDEO ","")&amp;IF(COUNTIFS(tbl_Finance[Job Number],C214&amp;"",tbl_Finance[Cost Centre],"INTEGRATION")&gt;0,"INTEGRATION ","")&amp;IF(COUNTIFS(tbl_Finance[Job Number],C214&amp;"",tbl_Finance[Cost Centre],"CONSULTING")&gt;0,"CONSULTING ","")&amp;IF(COUNTIFS(tbl_Finance[Job Number],C214&amp;"",tbl_Finance[Cost Centre],"CTS")&gt;0,"CTS ",""))," ",", ")))</f>
        <v/>
      </c>
      <c r="L214" s="27">
        <f>IF(C214="","",SUMIFS(tbl_Finance[Inc GST],tbl_Finance[Job Number],C214&amp;""))</f>
        <v/>
      </c>
      <c r="M214" s="24" t="n"/>
      <c r="N214" s="25">
        <f>IF(C214="","",IFERROR(INDEX(tbl_Finance[Description],MATCH(C214&amp;"",tbl_Finance[Job Number],0)),""))</f>
        <v/>
      </c>
      <c r="O214" s="24" t="n"/>
      <c r="P214" s="24" t="n"/>
      <c r="Q214" s="22" t="n"/>
      <c r="R214" s="24" t="n"/>
      <c r="S214" s="25">
        <f>IF(R214="","",IF(AND(LEFT(R214,4)&lt;&gt;"http",set_RMSBase=""),"",HYPERLINK(IF(LEFT(R214,4)="http",R214,set_RMSBase&amp;R214),"Open opportunity")))</f>
        <v/>
      </c>
      <c r="T214" s="24" t="n"/>
      <c r="U214" s="25">
        <f>IF(T214="","",HYPERLINK(IF(LEFT(T214,4)="http",T214,set_QwilrBase&amp;T214),"Open quote"))</f>
        <v/>
      </c>
      <c r="V214" s="25">
        <f>IF(C214="","",C214)</f>
        <v/>
      </c>
      <c r="W214" s="24" t="n"/>
      <c r="X214" s="26" t="n"/>
      <c r="Y214" s="27">
        <f>IF(C214="","",H214+N(X214))</f>
        <v/>
      </c>
      <c r="Z214" s="29">
        <f>IFERROR(X214/Y214,"")</f>
        <v/>
      </c>
      <c r="AA214" s="26" t="n"/>
      <c r="AB214" s="26" t="n"/>
      <c r="AC214" s="26" t="n"/>
      <c r="AD214" s="26" t="n"/>
      <c r="AE214" s="27">
        <f>IF(C214="","",SUMIFS(tbl_Finance[Ex GST],tbl_Finance[Job Number],C214&amp;"",tbl_Finance[Cost Centre],"VIDEO"))</f>
        <v/>
      </c>
      <c r="AF214" s="29">
        <f>IFERROR(AE214/H214,"")</f>
        <v/>
      </c>
      <c r="AG214" s="27">
        <f>IF(C214="","",N(AA214)+N(AB214)+N(AC214)+N(AD214))</f>
        <v/>
      </c>
      <c r="AH214" s="27">
        <f>IF(C214="","",H214-AG214)</f>
        <v/>
      </c>
      <c r="AI214" s="29">
        <f>IFERROR(AH214/H214,"")</f>
        <v/>
      </c>
      <c r="AJ214" s="69" t="n"/>
      <c r="AK214" s="69" t="n"/>
      <c r="AL214" s="69" t="n"/>
      <c r="AM214" s="69" t="n"/>
      <c r="AN214" s="69" t="n"/>
      <c r="AO214" s="24" t="n"/>
    </row>
    <row r="215" ht="15" customHeight="1">
      <c r="A215" s="68">
        <f>IF(C215="","",IFERROR(IF(SUMPRODUCT(MAX((tbl_Finance[Job Number]=C215&amp;"")*(tbl_Finance[Xero Invoice No]&lt;&gt;"")*tbl_Finance[Date]))=0,"",SUMPRODUCT(MAX((tbl_Finance[Job Number]=C215&amp;"")*(tbl_Finance[Xero Invoice No]&lt;&gt;"")*tbl_Finance[Date]))),""))</f>
        <v/>
      </c>
      <c r="B215" s="25">
        <f>IF(C215="","",IF(COUNTIFS(tbl_Finance[Job Number],C215&amp;"",tbl_Finance[Xero Invoice No],"&lt;&gt;")=0,"",IFERROR(IF(COUNTIFS(tbl_Finance[Job Number],C215&amp;"",tbl_Finance[Xero Invoice No],LOOKUP(2,1/((tbl_Finance[Job Number]=C215&amp;"")*(tbl_Finance[Xero Invoice No]&lt;&gt;"")),tbl_Finance[Xero Invoice No]))=COUNTIFS(tbl_Finance[Job Number],C215&amp;"",tbl_Finance[Xero Invoice No],"&lt;&gt;"),LOOKUP(2,1/((tbl_Finance[Job Number]=C215&amp;"")*(tbl_Finance[Xero Invoice No]&lt;&gt;"")),tbl_Finance[Xero Invoice No]),LOOKUP(2,1/((tbl_Finance[Job Number]=C215&amp;"")*(tbl_Finance[Xero Invoice No]&lt;&gt;"")),tbl_Finance[Xero Invoice No])&amp;" +more"),"")))</f>
        <v/>
      </c>
      <c r="C215" s="24" t="n"/>
      <c r="D215" s="25">
        <f>IF(C215="","",IF(COUNTIF(lst_Jobs,C215&amp;"")&gt;0,"OK","CHECK"))</f>
        <v/>
      </c>
      <c r="E215" s="25">
        <f>IF(C215="","",IFERROR(INDEX(lst_JobName,MATCH(C215&amp;"",lst_Jobs,0)),""))</f>
        <v/>
      </c>
      <c r="F215" s="25">
        <f>IF(C215="","",IFERROR(INDEX(tbl_Finance[Client],MATCH(C215&amp;"",tbl_Finance[Job Number],0)),""))</f>
        <v/>
      </c>
      <c r="G215" s="28">
        <f>IF(C215="","",COUNTIFS(tbl_Finance[Job Number],C215&amp;"",tbl_Finance[Ex GST],"&lt;&gt;"))</f>
        <v/>
      </c>
      <c r="H215" s="27">
        <f>IF(C215="","",SUMIFS(tbl_Finance[Ex GST],tbl_Finance[Job Number],C215&amp;""))</f>
        <v/>
      </c>
      <c r="I215" s="27">
        <f>IF(C215="","",SUMIFS(tbl_Finance[Ex GST],tbl_Finance[Job Number],C215&amp;"",tbl_Finance[Xero Invoice No],"&lt;&gt;"))</f>
        <v/>
      </c>
      <c r="J215" s="27">
        <f>IF(C215="","",H215-I215)</f>
        <v/>
      </c>
      <c r="K215" s="25">
        <f>IF(C215="","",IF(G215=0,"not invoiced yet",SUBSTITUTE(TRIM(IF(COUNTIFS(tbl_Finance[Job Number],C215&amp;"",tbl_Finance[Cost Centre],"ONSITE")&gt;0,"ONSITE ","")&amp;IF(COUNTIFS(tbl_Finance[Job Number],C215&amp;"",tbl_Finance[Cost Centre],"PRODUCTION")&gt;0,"PRODUCTION ","")&amp;IF(COUNTIFS(tbl_Finance[Job Number],C215&amp;"",tbl_Finance[Cost Centre],"VIDEO")&gt;0,"VIDEO ","")&amp;IF(COUNTIFS(tbl_Finance[Job Number],C215&amp;"",tbl_Finance[Cost Centre],"INTEGRATION")&gt;0,"INTEGRATION ","")&amp;IF(COUNTIFS(tbl_Finance[Job Number],C215&amp;"",tbl_Finance[Cost Centre],"CONSULTING")&gt;0,"CONSULTING ","")&amp;IF(COUNTIFS(tbl_Finance[Job Number],C215&amp;"",tbl_Finance[Cost Centre],"CTS")&gt;0,"CTS ",""))," ",", ")))</f>
        <v/>
      </c>
      <c r="L215" s="27">
        <f>IF(C215="","",SUMIFS(tbl_Finance[Inc GST],tbl_Finance[Job Number],C215&amp;""))</f>
        <v/>
      </c>
      <c r="M215" s="24" t="n"/>
      <c r="N215" s="25">
        <f>IF(C215="","",IFERROR(INDEX(tbl_Finance[Description],MATCH(C215&amp;"",tbl_Finance[Job Number],0)),""))</f>
        <v/>
      </c>
      <c r="O215" s="24" t="n"/>
      <c r="P215" s="24" t="n"/>
      <c r="Q215" s="22" t="n"/>
      <c r="R215" s="24" t="n"/>
      <c r="S215" s="25">
        <f>IF(R215="","",IF(AND(LEFT(R215,4)&lt;&gt;"http",set_RMSBase=""),"",HYPERLINK(IF(LEFT(R215,4)="http",R215,set_RMSBase&amp;R215),"Open opportunity")))</f>
        <v/>
      </c>
      <c r="T215" s="24" t="n"/>
      <c r="U215" s="25">
        <f>IF(T215="","",HYPERLINK(IF(LEFT(T215,4)="http",T215,set_QwilrBase&amp;T215),"Open quote"))</f>
        <v/>
      </c>
      <c r="V215" s="25">
        <f>IF(C215="","",C215)</f>
        <v/>
      </c>
      <c r="W215" s="24" t="n"/>
      <c r="X215" s="26" t="n"/>
      <c r="Y215" s="27">
        <f>IF(C215="","",H215+N(X215))</f>
        <v/>
      </c>
      <c r="Z215" s="29">
        <f>IFERROR(X215/Y215,"")</f>
        <v/>
      </c>
      <c r="AA215" s="26" t="n"/>
      <c r="AB215" s="26" t="n"/>
      <c r="AC215" s="26" t="n"/>
      <c r="AD215" s="26" t="n"/>
      <c r="AE215" s="27">
        <f>IF(C215="","",SUMIFS(tbl_Finance[Ex GST],tbl_Finance[Job Number],C215&amp;"",tbl_Finance[Cost Centre],"VIDEO"))</f>
        <v/>
      </c>
      <c r="AF215" s="29">
        <f>IFERROR(AE215/H215,"")</f>
        <v/>
      </c>
      <c r="AG215" s="27">
        <f>IF(C215="","",N(AA215)+N(AB215)+N(AC215)+N(AD215))</f>
        <v/>
      </c>
      <c r="AH215" s="27">
        <f>IF(C215="","",H215-AG215)</f>
        <v/>
      </c>
      <c r="AI215" s="29">
        <f>IFERROR(AH215/H215,"")</f>
        <v/>
      </c>
      <c r="AJ215" s="69" t="n"/>
      <c r="AK215" s="69" t="n"/>
      <c r="AL215" s="69" t="n"/>
      <c r="AM215" s="69" t="n"/>
      <c r="AN215" s="69" t="n"/>
      <c r="AO215" s="24" t="n"/>
    </row>
    <row r="216" ht="15" customHeight="1">
      <c r="A216" s="68">
        <f>IF(C216="","",IFERROR(IF(SUMPRODUCT(MAX((tbl_Finance[Job Number]=C216&amp;"")*(tbl_Finance[Xero Invoice No]&lt;&gt;"")*tbl_Finance[Date]))=0,"",SUMPRODUCT(MAX((tbl_Finance[Job Number]=C216&amp;"")*(tbl_Finance[Xero Invoice No]&lt;&gt;"")*tbl_Finance[Date]))),""))</f>
        <v/>
      </c>
      <c r="B216" s="25">
        <f>IF(C216="","",IF(COUNTIFS(tbl_Finance[Job Number],C216&amp;"",tbl_Finance[Xero Invoice No],"&lt;&gt;")=0,"",IFERROR(IF(COUNTIFS(tbl_Finance[Job Number],C216&amp;"",tbl_Finance[Xero Invoice No],LOOKUP(2,1/((tbl_Finance[Job Number]=C216&amp;"")*(tbl_Finance[Xero Invoice No]&lt;&gt;"")),tbl_Finance[Xero Invoice No]))=COUNTIFS(tbl_Finance[Job Number],C216&amp;"",tbl_Finance[Xero Invoice No],"&lt;&gt;"),LOOKUP(2,1/((tbl_Finance[Job Number]=C216&amp;"")*(tbl_Finance[Xero Invoice No]&lt;&gt;"")),tbl_Finance[Xero Invoice No]),LOOKUP(2,1/((tbl_Finance[Job Number]=C216&amp;"")*(tbl_Finance[Xero Invoice No]&lt;&gt;"")),tbl_Finance[Xero Invoice No])&amp;" +more"),"")))</f>
        <v/>
      </c>
      <c r="C216" s="24" t="n"/>
      <c r="D216" s="25">
        <f>IF(C216="","",IF(COUNTIF(lst_Jobs,C216&amp;"")&gt;0,"OK","CHECK"))</f>
        <v/>
      </c>
      <c r="E216" s="25">
        <f>IF(C216="","",IFERROR(INDEX(lst_JobName,MATCH(C216&amp;"",lst_Jobs,0)),""))</f>
        <v/>
      </c>
      <c r="F216" s="25">
        <f>IF(C216="","",IFERROR(INDEX(tbl_Finance[Client],MATCH(C216&amp;"",tbl_Finance[Job Number],0)),""))</f>
        <v/>
      </c>
      <c r="G216" s="28">
        <f>IF(C216="","",COUNTIFS(tbl_Finance[Job Number],C216&amp;"",tbl_Finance[Ex GST],"&lt;&gt;"))</f>
        <v/>
      </c>
      <c r="H216" s="27">
        <f>IF(C216="","",SUMIFS(tbl_Finance[Ex GST],tbl_Finance[Job Number],C216&amp;""))</f>
        <v/>
      </c>
      <c r="I216" s="27">
        <f>IF(C216="","",SUMIFS(tbl_Finance[Ex GST],tbl_Finance[Job Number],C216&amp;"",tbl_Finance[Xero Invoice No],"&lt;&gt;"))</f>
        <v/>
      </c>
      <c r="J216" s="27">
        <f>IF(C216="","",H216-I216)</f>
        <v/>
      </c>
      <c r="K216" s="25">
        <f>IF(C216="","",IF(G216=0,"not invoiced yet",SUBSTITUTE(TRIM(IF(COUNTIFS(tbl_Finance[Job Number],C216&amp;"",tbl_Finance[Cost Centre],"ONSITE")&gt;0,"ONSITE ","")&amp;IF(COUNTIFS(tbl_Finance[Job Number],C216&amp;"",tbl_Finance[Cost Centre],"PRODUCTION")&gt;0,"PRODUCTION ","")&amp;IF(COUNTIFS(tbl_Finance[Job Number],C216&amp;"",tbl_Finance[Cost Centre],"VIDEO")&gt;0,"VIDEO ","")&amp;IF(COUNTIFS(tbl_Finance[Job Number],C216&amp;"",tbl_Finance[Cost Centre],"INTEGRATION")&gt;0,"INTEGRATION ","")&amp;IF(COUNTIFS(tbl_Finance[Job Number],C216&amp;"",tbl_Finance[Cost Centre],"CONSULTING")&gt;0,"CONSULTING ","")&amp;IF(COUNTIFS(tbl_Finance[Job Number],C216&amp;"",tbl_Finance[Cost Centre],"CTS")&gt;0,"CTS ",""))," ",", ")))</f>
        <v/>
      </c>
      <c r="L216" s="27">
        <f>IF(C216="","",SUMIFS(tbl_Finance[Inc GST],tbl_Finance[Job Number],C216&amp;""))</f>
        <v/>
      </c>
      <c r="M216" s="24" t="n"/>
      <c r="N216" s="25">
        <f>IF(C216="","",IFERROR(INDEX(tbl_Finance[Description],MATCH(C216&amp;"",tbl_Finance[Job Number],0)),""))</f>
        <v/>
      </c>
      <c r="O216" s="24" t="n"/>
      <c r="P216" s="24" t="n"/>
      <c r="Q216" s="22" t="n"/>
      <c r="R216" s="24" t="n"/>
      <c r="S216" s="25">
        <f>IF(R216="","",IF(AND(LEFT(R216,4)&lt;&gt;"http",set_RMSBase=""),"",HYPERLINK(IF(LEFT(R216,4)="http",R216,set_RMSBase&amp;R216),"Open opportunity")))</f>
        <v/>
      </c>
      <c r="T216" s="24" t="n"/>
      <c r="U216" s="25">
        <f>IF(T216="","",HYPERLINK(IF(LEFT(T216,4)="http",T216,set_QwilrBase&amp;T216),"Open quote"))</f>
        <v/>
      </c>
      <c r="V216" s="25">
        <f>IF(C216="","",C216)</f>
        <v/>
      </c>
      <c r="W216" s="24" t="n"/>
      <c r="X216" s="26" t="n"/>
      <c r="Y216" s="27">
        <f>IF(C216="","",H216+N(X216))</f>
        <v/>
      </c>
      <c r="Z216" s="29">
        <f>IFERROR(X216/Y216,"")</f>
        <v/>
      </c>
      <c r="AA216" s="26" t="n"/>
      <c r="AB216" s="26" t="n"/>
      <c r="AC216" s="26" t="n"/>
      <c r="AD216" s="26" t="n"/>
      <c r="AE216" s="27">
        <f>IF(C216="","",SUMIFS(tbl_Finance[Ex GST],tbl_Finance[Job Number],C216&amp;"",tbl_Finance[Cost Centre],"VIDEO"))</f>
        <v/>
      </c>
      <c r="AF216" s="29">
        <f>IFERROR(AE216/H216,"")</f>
        <v/>
      </c>
      <c r="AG216" s="27">
        <f>IF(C216="","",N(AA216)+N(AB216)+N(AC216)+N(AD216))</f>
        <v/>
      </c>
      <c r="AH216" s="27">
        <f>IF(C216="","",H216-AG216)</f>
        <v/>
      </c>
      <c r="AI216" s="29">
        <f>IFERROR(AH216/H216,"")</f>
        <v/>
      </c>
      <c r="AJ216" s="69" t="n"/>
      <c r="AK216" s="69" t="n"/>
      <c r="AL216" s="69" t="n"/>
      <c r="AM216" s="69" t="n"/>
      <c r="AN216" s="69" t="n"/>
      <c r="AO216" s="24" t="n"/>
    </row>
    <row r="217" ht="15" customHeight="1">
      <c r="A217" s="68">
        <f>IF(C217="","",IFERROR(IF(SUMPRODUCT(MAX((tbl_Finance[Job Number]=C217&amp;"")*(tbl_Finance[Xero Invoice No]&lt;&gt;"")*tbl_Finance[Date]))=0,"",SUMPRODUCT(MAX((tbl_Finance[Job Number]=C217&amp;"")*(tbl_Finance[Xero Invoice No]&lt;&gt;"")*tbl_Finance[Date]))),""))</f>
        <v/>
      </c>
      <c r="B217" s="25">
        <f>IF(C217="","",IF(COUNTIFS(tbl_Finance[Job Number],C217&amp;"",tbl_Finance[Xero Invoice No],"&lt;&gt;")=0,"",IFERROR(IF(COUNTIFS(tbl_Finance[Job Number],C217&amp;"",tbl_Finance[Xero Invoice No],LOOKUP(2,1/((tbl_Finance[Job Number]=C217&amp;"")*(tbl_Finance[Xero Invoice No]&lt;&gt;"")),tbl_Finance[Xero Invoice No]))=COUNTIFS(tbl_Finance[Job Number],C217&amp;"",tbl_Finance[Xero Invoice No],"&lt;&gt;"),LOOKUP(2,1/((tbl_Finance[Job Number]=C217&amp;"")*(tbl_Finance[Xero Invoice No]&lt;&gt;"")),tbl_Finance[Xero Invoice No]),LOOKUP(2,1/((tbl_Finance[Job Number]=C217&amp;"")*(tbl_Finance[Xero Invoice No]&lt;&gt;"")),tbl_Finance[Xero Invoice No])&amp;" +more"),"")))</f>
        <v/>
      </c>
      <c r="C217" s="24" t="n"/>
      <c r="D217" s="25">
        <f>IF(C217="","",IF(COUNTIF(lst_Jobs,C217&amp;"")&gt;0,"OK","CHECK"))</f>
        <v/>
      </c>
      <c r="E217" s="25">
        <f>IF(C217="","",IFERROR(INDEX(lst_JobName,MATCH(C217&amp;"",lst_Jobs,0)),""))</f>
        <v/>
      </c>
      <c r="F217" s="25">
        <f>IF(C217="","",IFERROR(INDEX(tbl_Finance[Client],MATCH(C217&amp;"",tbl_Finance[Job Number],0)),""))</f>
        <v/>
      </c>
      <c r="G217" s="28">
        <f>IF(C217="","",COUNTIFS(tbl_Finance[Job Number],C217&amp;"",tbl_Finance[Ex GST],"&lt;&gt;"))</f>
        <v/>
      </c>
      <c r="H217" s="27">
        <f>IF(C217="","",SUMIFS(tbl_Finance[Ex GST],tbl_Finance[Job Number],C217&amp;""))</f>
        <v/>
      </c>
      <c r="I217" s="27">
        <f>IF(C217="","",SUMIFS(tbl_Finance[Ex GST],tbl_Finance[Job Number],C217&amp;"",tbl_Finance[Xero Invoice No],"&lt;&gt;"))</f>
        <v/>
      </c>
      <c r="J217" s="27">
        <f>IF(C217="","",H217-I217)</f>
        <v/>
      </c>
      <c r="K217" s="25">
        <f>IF(C217="","",IF(G217=0,"not invoiced yet",SUBSTITUTE(TRIM(IF(COUNTIFS(tbl_Finance[Job Number],C217&amp;"",tbl_Finance[Cost Centre],"ONSITE")&gt;0,"ONSITE ","")&amp;IF(COUNTIFS(tbl_Finance[Job Number],C217&amp;"",tbl_Finance[Cost Centre],"PRODUCTION")&gt;0,"PRODUCTION ","")&amp;IF(COUNTIFS(tbl_Finance[Job Number],C217&amp;"",tbl_Finance[Cost Centre],"VIDEO")&gt;0,"VIDEO ","")&amp;IF(COUNTIFS(tbl_Finance[Job Number],C217&amp;"",tbl_Finance[Cost Centre],"INTEGRATION")&gt;0,"INTEGRATION ","")&amp;IF(COUNTIFS(tbl_Finance[Job Number],C217&amp;"",tbl_Finance[Cost Centre],"CONSULTING")&gt;0,"CONSULTING ","")&amp;IF(COUNTIFS(tbl_Finance[Job Number],C217&amp;"",tbl_Finance[Cost Centre],"CTS")&gt;0,"CTS ",""))," ",", ")))</f>
        <v/>
      </c>
      <c r="L217" s="27">
        <f>IF(C217="","",SUMIFS(tbl_Finance[Inc GST],tbl_Finance[Job Number],C217&amp;""))</f>
        <v/>
      </c>
      <c r="M217" s="24" t="n"/>
      <c r="N217" s="25">
        <f>IF(C217="","",IFERROR(INDEX(tbl_Finance[Description],MATCH(C217&amp;"",tbl_Finance[Job Number],0)),""))</f>
        <v/>
      </c>
      <c r="O217" s="24" t="n"/>
      <c r="P217" s="24" t="n"/>
      <c r="Q217" s="22" t="n"/>
      <c r="R217" s="24" t="n"/>
      <c r="S217" s="25">
        <f>IF(R217="","",IF(AND(LEFT(R217,4)&lt;&gt;"http",set_RMSBase=""),"",HYPERLINK(IF(LEFT(R217,4)="http",R217,set_RMSBase&amp;R217),"Open opportunity")))</f>
        <v/>
      </c>
      <c r="T217" s="24" t="n"/>
      <c r="U217" s="25">
        <f>IF(T217="","",HYPERLINK(IF(LEFT(T217,4)="http",T217,set_QwilrBase&amp;T217),"Open quote"))</f>
        <v/>
      </c>
      <c r="V217" s="25">
        <f>IF(C217="","",C217)</f>
        <v/>
      </c>
      <c r="W217" s="24" t="n"/>
      <c r="X217" s="26" t="n"/>
      <c r="Y217" s="27">
        <f>IF(C217="","",H217+N(X217))</f>
        <v/>
      </c>
      <c r="Z217" s="29">
        <f>IFERROR(X217/Y217,"")</f>
        <v/>
      </c>
      <c r="AA217" s="26" t="n"/>
      <c r="AB217" s="26" t="n"/>
      <c r="AC217" s="26" t="n"/>
      <c r="AD217" s="26" t="n"/>
      <c r="AE217" s="27">
        <f>IF(C217="","",SUMIFS(tbl_Finance[Ex GST],tbl_Finance[Job Number],C217&amp;"",tbl_Finance[Cost Centre],"VIDEO"))</f>
        <v/>
      </c>
      <c r="AF217" s="29">
        <f>IFERROR(AE217/H217,"")</f>
        <v/>
      </c>
      <c r="AG217" s="27">
        <f>IF(C217="","",N(AA217)+N(AB217)+N(AC217)+N(AD217))</f>
        <v/>
      </c>
      <c r="AH217" s="27">
        <f>IF(C217="","",H217-AG217)</f>
        <v/>
      </c>
      <c r="AI217" s="29">
        <f>IFERROR(AH217/H217,"")</f>
        <v/>
      </c>
      <c r="AJ217" s="69" t="n"/>
      <c r="AK217" s="69" t="n"/>
      <c r="AL217" s="69" t="n"/>
      <c r="AM217" s="69" t="n"/>
      <c r="AN217" s="69" t="n"/>
      <c r="AO217" s="24" t="n"/>
    </row>
    <row r="218" ht="15" customHeight="1">
      <c r="A218" s="68">
        <f>IF(C218="","",IFERROR(IF(SUMPRODUCT(MAX((tbl_Finance[Job Number]=C218&amp;"")*(tbl_Finance[Xero Invoice No]&lt;&gt;"")*tbl_Finance[Date]))=0,"",SUMPRODUCT(MAX((tbl_Finance[Job Number]=C218&amp;"")*(tbl_Finance[Xero Invoice No]&lt;&gt;"")*tbl_Finance[Date]))),""))</f>
        <v/>
      </c>
      <c r="B218" s="25">
        <f>IF(C218="","",IF(COUNTIFS(tbl_Finance[Job Number],C218&amp;"",tbl_Finance[Xero Invoice No],"&lt;&gt;")=0,"",IFERROR(IF(COUNTIFS(tbl_Finance[Job Number],C218&amp;"",tbl_Finance[Xero Invoice No],LOOKUP(2,1/((tbl_Finance[Job Number]=C218&amp;"")*(tbl_Finance[Xero Invoice No]&lt;&gt;"")),tbl_Finance[Xero Invoice No]))=COUNTIFS(tbl_Finance[Job Number],C218&amp;"",tbl_Finance[Xero Invoice No],"&lt;&gt;"),LOOKUP(2,1/((tbl_Finance[Job Number]=C218&amp;"")*(tbl_Finance[Xero Invoice No]&lt;&gt;"")),tbl_Finance[Xero Invoice No]),LOOKUP(2,1/((tbl_Finance[Job Number]=C218&amp;"")*(tbl_Finance[Xero Invoice No]&lt;&gt;"")),tbl_Finance[Xero Invoice No])&amp;" +more"),"")))</f>
        <v/>
      </c>
      <c r="C218" s="24" t="n"/>
      <c r="D218" s="25">
        <f>IF(C218="","",IF(COUNTIF(lst_Jobs,C218&amp;"")&gt;0,"OK","CHECK"))</f>
        <v/>
      </c>
      <c r="E218" s="25">
        <f>IF(C218="","",IFERROR(INDEX(lst_JobName,MATCH(C218&amp;"",lst_Jobs,0)),""))</f>
        <v/>
      </c>
      <c r="F218" s="25">
        <f>IF(C218="","",IFERROR(INDEX(tbl_Finance[Client],MATCH(C218&amp;"",tbl_Finance[Job Number],0)),""))</f>
        <v/>
      </c>
      <c r="G218" s="28">
        <f>IF(C218="","",COUNTIFS(tbl_Finance[Job Number],C218&amp;"",tbl_Finance[Ex GST],"&lt;&gt;"))</f>
        <v/>
      </c>
      <c r="H218" s="27">
        <f>IF(C218="","",SUMIFS(tbl_Finance[Ex GST],tbl_Finance[Job Number],C218&amp;""))</f>
        <v/>
      </c>
      <c r="I218" s="27">
        <f>IF(C218="","",SUMIFS(tbl_Finance[Ex GST],tbl_Finance[Job Number],C218&amp;"",tbl_Finance[Xero Invoice No],"&lt;&gt;"))</f>
        <v/>
      </c>
      <c r="J218" s="27">
        <f>IF(C218="","",H218-I218)</f>
        <v/>
      </c>
      <c r="K218" s="25">
        <f>IF(C218="","",IF(G218=0,"not invoiced yet",SUBSTITUTE(TRIM(IF(COUNTIFS(tbl_Finance[Job Number],C218&amp;"",tbl_Finance[Cost Centre],"ONSITE")&gt;0,"ONSITE ","")&amp;IF(COUNTIFS(tbl_Finance[Job Number],C218&amp;"",tbl_Finance[Cost Centre],"PRODUCTION")&gt;0,"PRODUCTION ","")&amp;IF(COUNTIFS(tbl_Finance[Job Number],C218&amp;"",tbl_Finance[Cost Centre],"VIDEO")&gt;0,"VIDEO ","")&amp;IF(COUNTIFS(tbl_Finance[Job Number],C218&amp;"",tbl_Finance[Cost Centre],"INTEGRATION")&gt;0,"INTEGRATION ","")&amp;IF(COUNTIFS(tbl_Finance[Job Number],C218&amp;"",tbl_Finance[Cost Centre],"CONSULTING")&gt;0,"CONSULTING ","")&amp;IF(COUNTIFS(tbl_Finance[Job Number],C218&amp;"",tbl_Finance[Cost Centre],"CTS")&gt;0,"CTS ",""))," ",", ")))</f>
        <v/>
      </c>
      <c r="L218" s="27">
        <f>IF(C218="","",SUMIFS(tbl_Finance[Inc GST],tbl_Finance[Job Number],C218&amp;""))</f>
        <v/>
      </c>
      <c r="M218" s="24" t="n"/>
      <c r="N218" s="25">
        <f>IF(C218="","",IFERROR(INDEX(tbl_Finance[Description],MATCH(C218&amp;"",tbl_Finance[Job Number],0)),""))</f>
        <v/>
      </c>
      <c r="O218" s="24" t="n"/>
      <c r="P218" s="24" t="n"/>
      <c r="Q218" s="22" t="n"/>
      <c r="R218" s="24" t="n"/>
      <c r="S218" s="25">
        <f>IF(R218="","",IF(AND(LEFT(R218,4)&lt;&gt;"http",set_RMSBase=""),"",HYPERLINK(IF(LEFT(R218,4)="http",R218,set_RMSBase&amp;R218),"Open opportunity")))</f>
        <v/>
      </c>
      <c r="T218" s="24" t="n"/>
      <c r="U218" s="25">
        <f>IF(T218="","",HYPERLINK(IF(LEFT(T218,4)="http",T218,set_QwilrBase&amp;T218),"Open quote"))</f>
        <v/>
      </c>
      <c r="V218" s="25">
        <f>IF(C218="","",C218)</f>
        <v/>
      </c>
      <c r="W218" s="24" t="n"/>
      <c r="X218" s="26" t="n"/>
      <c r="Y218" s="27">
        <f>IF(C218="","",H218+N(X218))</f>
        <v/>
      </c>
      <c r="Z218" s="29">
        <f>IFERROR(X218/Y218,"")</f>
        <v/>
      </c>
      <c r="AA218" s="26" t="n"/>
      <c r="AB218" s="26" t="n"/>
      <c r="AC218" s="26" t="n"/>
      <c r="AD218" s="26" t="n"/>
      <c r="AE218" s="27">
        <f>IF(C218="","",SUMIFS(tbl_Finance[Ex GST],tbl_Finance[Job Number],C218&amp;"",tbl_Finance[Cost Centre],"VIDEO"))</f>
        <v/>
      </c>
      <c r="AF218" s="29">
        <f>IFERROR(AE218/H218,"")</f>
        <v/>
      </c>
      <c r="AG218" s="27">
        <f>IF(C218="","",N(AA218)+N(AB218)+N(AC218)+N(AD218))</f>
        <v/>
      </c>
      <c r="AH218" s="27">
        <f>IF(C218="","",H218-AG218)</f>
        <v/>
      </c>
      <c r="AI218" s="29">
        <f>IFERROR(AH218/H218,"")</f>
        <v/>
      </c>
      <c r="AJ218" s="69" t="n"/>
      <c r="AK218" s="69" t="n"/>
      <c r="AL218" s="69" t="n"/>
      <c r="AM218" s="69" t="n"/>
      <c r="AN218" s="69" t="n"/>
      <c r="AO218" s="24" t="n"/>
    </row>
    <row r="219" ht="15" customHeight="1">
      <c r="A219" s="68">
        <f>IF(C219="","",IFERROR(IF(SUMPRODUCT(MAX((tbl_Finance[Job Number]=C219&amp;"")*(tbl_Finance[Xero Invoice No]&lt;&gt;"")*tbl_Finance[Date]))=0,"",SUMPRODUCT(MAX((tbl_Finance[Job Number]=C219&amp;"")*(tbl_Finance[Xero Invoice No]&lt;&gt;"")*tbl_Finance[Date]))),""))</f>
        <v/>
      </c>
      <c r="B219" s="25">
        <f>IF(C219="","",IF(COUNTIFS(tbl_Finance[Job Number],C219&amp;"",tbl_Finance[Xero Invoice No],"&lt;&gt;")=0,"",IFERROR(IF(COUNTIFS(tbl_Finance[Job Number],C219&amp;"",tbl_Finance[Xero Invoice No],LOOKUP(2,1/((tbl_Finance[Job Number]=C219&amp;"")*(tbl_Finance[Xero Invoice No]&lt;&gt;"")),tbl_Finance[Xero Invoice No]))=COUNTIFS(tbl_Finance[Job Number],C219&amp;"",tbl_Finance[Xero Invoice No],"&lt;&gt;"),LOOKUP(2,1/((tbl_Finance[Job Number]=C219&amp;"")*(tbl_Finance[Xero Invoice No]&lt;&gt;"")),tbl_Finance[Xero Invoice No]),LOOKUP(2,1/((tbl_Finance[Job Number]=C219&amp;"")*(tbl_Finance[Xero Invoice No]&lt;&gt;"")),tbl_Finance[Xero Invoice No])&amp;" +more"),"")))</f>
        <v/>
      </c>
      <c r="C219" s="24" t="n"/>
      <c r="D219" s="25">
        <f>IF(C219="","",IF(COUNTIF(lst_Jobs,C219&amp;"")&gt;0,"OK","CHECK"))</f>
        <v/>
      </c>
      <c r="E219" s="25">
        <f>IF(C219="","",IFERROR(INDEX(lst_JobName,MATCH(C219&amp;"",lst_Jobs,0)),""))</f>
        <v/>
      </c>
      <c r="F219" s="25">
        <f>IF(C219="","",IFERROR(INDEX(tbl_Finance[Client],MATCH(C219&amp;"",tbl_Finance[Job Number],0)),""))</f>
        <v/>
      </c>
      <c r="G219" s="28">
        <f>IF(C219="","",COUNTIFS(tbl_Finance[Job Number],C219&amp;"",tbl_Finance[Ex GST],"&lt;&gt;"))</f>
        <v/>
      </c>
      <c r="H219" s="27">
        <f>IF(C219="","",SUMIFS(tbl_Finance[Ex GST],tbl_Finance[Job Number],C219&amp;""))</f>
        <v/>
      </c>
      <c r="I219" s="27">
        <f>IF(C219="","",SUMIFS(tbl_Finance[Ex GST],tbl_Finance[Job Number],C219&amp;"",tbl_Finance[Xero Invoice No],"&lt;&gt;"))</f>
        <v/>
      </c>
      <c r="J219" s="27">
        <f>IF(C219="","",H219-I219)</f>
        <v/>
      </c>
      <c r="K219" s="25">
        <f>IF(C219="","",IF(G219=0,"not invoiced yet",SUBSTITUTE(TRIM(IF(COUNTIFS(tbl_Finance[Job Number],C219&amp;"",tbl_Finance[Cost Centre],"ONSITE")&gt;0,"ONSITE ","")&amp;IF(COUNTIFS(tbl_Finance[Job Number],C219&amp;"",tbl_Finance[Cost Centre],"PRODUCTION")&gt;0,"PRODUCTION ","")&amp;IF(COUNTIFS(tbl_Finance[Job Number],C219&amp;"",tbl_Finance[Cost Centre],"VIDEO")&gt;0,"VIDEO ","")&amp;IF(COUNTIFS(tbl_Finance[Job Number],C219&amp;"",tbl_Finance[Cost Centre],"INTEGRATION")&gt;0,"INTEGRATION ","")&amp;IF(COUNTIFS(tbl_Finance[Job Number],C219&amp;"",tbl_Finance[Cost Centre],"CONSULTING")&gt;0,"CONSULTING ","")&amp;IF(COUNTIFS(tbl_Finance[Job Number],C219&amp;"",tbl_Finance[Cost Centre],"CTS")&gt;0,"CTS ",""))," ",", ")))</f>
        <v/>
      </c>
      <c r="L219" s="27">
        <f>IF(C219="","",SUMIFS(tbl_Finance[Inc GST],tbl_Finance[Job Number],C219&amp;""))</f>
        <v/>
      </c>
      <c r="M219" s="24" t="n"/>
      <c r="N219" s="25">
        <f>IF(C219="","",IFERROR(INDEX(tbl_Finance[Description],MATCH(C219&amp;"",tbl_Finance[Job Number],0)),""))</f>
        <v/>
      </c>
      <c r="O219" s="24" t="n"/>
      <c r="P219" s="24" t="n"/>
      <c r="Q219" s="22" t="n"/>
      <c r="R219" s="24" t="n"/>
      <c r="S219" s="25">
        <f>IF(R219="","",IF(AND(LEFT(R219,4)&lt;&gt;"http",set_RMSBase=""),"",HYPERLINK(IF(LEFT(R219,4)="http",R219,set_RMSBase&amp;R219),"Open opportunity")))</f>
        <v/>
      </c>
      <c r="T219" s="24" t="n"/>
      <c r="U219" s="25">
        <f>IF(T219="","",HYPERLINK(IF(LEFT(T219,4)="http",T219,set_QwilrBase&amp;T219),"Open quote"))</f>
        <v/>
      </c>
      <c r="V219" s="25">
        <f>IF(C219="","",C219)</f>
        <v/>
      </c>
      <c r="W219" s="24" t="n"/>
      <c r="X219" s="26" t="n"/>
      <c r="Y219" s="27">
        <f>IF(C219="","",H219+N(X219))</f>
        <v/>
      </c>
      <c r="Z219" s="29">
        <f>IFERROR(X219/Y219,"")</f>
        <v/>
      </c>
      <c r="AA219" s="26" t="n"/>
      <c r="AB219" s="26" t="n"/>
      <c r="AC219" s="26" t="n"/>
      <c r="AD219" s="26" t="n"/>
      <c r="AE219" s="27">
        <f>IF(C219="","",SUMIFS(tbl_Finance[Ex GST],tbl_Finance[Job Number],C219&amp;"",tbl_Finance[Cost Centre],"VIDEO"))</f>
        <v/>
      </c>
      <c r="AF219" s="29">
        <f>IFERROR(AE219/H219,"")</f>
        <v/>
      </c>
      <c r="AG219" s="27">
        <f>IF(C219="","",N(AA219)+N(AB219)+N(AC219)+N(AD219))</f>
        <v/>
      </c>
      <c r="AH219" s="27">
        <f>IF(C219="","",H219-AG219)</f>
        <v/>
      </c>
      <c r="AI219" s="29">
        <f>IFERROR(AH219/H219,"")</f>
        <v/>
      </c>
      <c r="AJ219" s="69" t="n"/>
      <c r="AK219" s="69" t="n"/>
      <c r="AL219" s="69" t="n"/>
      <c r="AM219" s="69" t="n"/>
      <c r="AN219" s="69" t="n"/>
      <c r="AO219" s="24" t="n"/>
    </row>
    <row r="220" ht="15" customHeight="1">
      <c r="A220" s="68">
        <f>IF(C220="","",IFERROR(IF(SUMPRODUCT(MAX((tbl_Finance[Job Number]=C220&amp;"")*(tbl_Finance[Xero Invoice No]&lt;&gt;"")*tbl_Finance[Date]))=0,"",SUMPRODUCT(MAX((tbl_Finance[Job Number]=C220&amp;"")*(tbl_Finance[Xero Invoice No]&lt;&gt;"")*tbl_Finance[Date]))),""))</f>
        <v/>
      </c>
      <c r="B220" s="25">
        <f>IF(C220="","",IF(COUNTIFS(tbl_Finance[Job Number],C220&amp;"",tbl_Finance[Xero Invoice No],"&lt;&gt;")=0,"",IFERROR(IF(COUNTIFS(tbl_Finance[Job Number],C220&amp;"",tbl_Finance[Xero Invoice No],LOOKUP(2,1/((tbl_Finance[Job Number]=C220&amp;"")*(tbl_Finance[Xero Invoice No]&lt;&gt;"")),tbl_Finance[Xero Invoice No]))=COUNTIFS(tbl_Finance[Job Number],C220&amp;"",tbl_Finance[Xero Invoice No],"&lt;&gt;"),LOOKUP(2,1/((tbl_Finance[Job Number]=C220&amp;"")*(tbl_Finance[Xero Invoice No]&lt;&gt;"")),tbl_Finance[Xero Invoice No]),LOOKUP(2,1/((tbl_Finance[Job Number]=C220&amp;"")*(tbl_Finance[Xero Invoice No]&lt;&gt;"")),tbl_Finance[Xero Invoice No])&amp;" +more"),"")))</f>
        <v/>
      </c>
      <c r="C220" s="24" t="n"/>
      <c r="D220" s="25">
        <f>IF(C220="","",IF(COUNTIF(lst_Jobs,C220&amp;"")&gt;0,"OK","CHECK"))</f>
        <v/>
      </c>
      <c r="E220" s="25">
        <f>IF(C220="","",IFERROR(INDEX(lst_JobName,MATCH(C220&amp;"",lst_Jobs,0)),""))</f>
        <v/>
      </c>
      <c r="F220" s="25">
        <f>IF(C220="","",IFERROR(INDEX(tbl_Finance[Client],MATCH(C220&amp;"",tbl_Finance[Job Number],0)),""))</f>
        <v/>
      </c>
      <c r="G220" s="28">
        <f>IF(C220="","",COUNTIFS(tbl_Finance[Job Number],C220&amp;"",tbl_Finance[Ex GST],"&lt;&gt;"))</f>
        <v/>
      </c>
      <c r="H220" s="27">
        <f>IF(C220="","",SUMIFS(tbl_Finance[Ex GST],tbl_Finance[Job Number],C220&amp;""))</f>
        <v/>
      </c>
      <c r="I220" s="27">
        <f>IF(C220="","",SUMIFS(tbl_Finance[Ex GST],tbl_Finance[Job Number],C220&amp;"",tbl_Finance[Xero Invoice No],"&lt;&gt;"))</f>
        <v/>
      </c>
      <c r="J220" s="27">
        <f>IF(C220="","",H220-I220)</f>
        <v/>
      </c>
      <c r="K220" s="25">
        <f>IF(C220="","",IF(G220=0,"not invoiced yet",SUBSTITUTE(TRIM(IF(COUNTIFS(tbl_Finance[Job Number],C220&amp;"",tbl_Finance[Cost Centre],"ONSITE")&gt;0,"ONSITE ","")&amp;IF(COUNTIFS(tbl_Finance[Job Number],C220&amp;"",tbl_Finance[Cost Centre],"PRODUCTION")&gt;0,"PRODUCTION ","")&amp;IF(COUNTIFS(tbl_Finance[Job Number],C220&amp;"",tbl_Finance[Cost Centre],"VIDEO")&gt;0,"VIDEO ","")&amp;IF(COUNTIFS(tbl_Finance[Job Number],C220&amp;"",tbl_Finance[Cost Centre],"INTEGRATION")&gt;0,"INTEGRATION ","")&amp;IF(COUNTIFS(tbl_Finance[Job Number],C220&amp;"",tbl_Finance[Cost Centre],"CONSULTING")&gt;0,"CONSULTING ","")&amp;IF(COUNTIFS(tbl_Finance[Job Number],C220&amp;"",tbl_Finance[Cost Centre],"CTS")&gt;0,"CTS ",""))," ",", ")))</f>
        <v/>
      </c>
      <c r="L220" s="27">
        <f>IF(C220="","",SUMIFS(tbl_Finance[Inc GST],tbl_Finance[Job Number],C220&amp;""))</f>
        <v/>
      </c>
      <c r="M220" s="24" t="n"/>
      <c r="N220" s="25">
        <f>IF(C220="","",IFERROR(INDEX(tbl_Finance[Description],MATCH(C220&amp;"",tbl_Finance[Job Number],0)),""))</f>
        <v/>
      </c>
      <c r="O220" s="24" t="n"/>
      <c r="P220" s="24" t="n"/>
      <c r="Q220" s="22" t="n"/>
      <c r="R220" s="24" t="n"/>
      <c r="S220" s="25">
        <f>IF(R220="","",IF(AND(LEFT(R220,4)&lt;&gt;"http",set_RMSBase=""),"",HYPERLINK(IF(LEFT(R220,4)="http",R220,set_RMSBase&amp;R220),"Open opportunity")))</f>
        <v/>
      </c>
      <c r="T220" s="24" t="n"/>
      <c r="U220" s="25">
        <f>IF(T220="","",HYPERLINK(IF(LEFT(T220,4)="http",T220,set_QwilrBase&amp;T220),"Open quote"))</f>
        <v/>
      </c>
      <c r="V220" s="25">
        <f>IF(C220="","",C220)</f>
        <v/>
      </c>
      <c r="W220" s="24" t="n"/>
      <c r="X220" s="26" t="n"/>
      <c r="Y220" s="27">
        <f>IF(C220="","",H220+N(X220))</f>
        <v/>
      </c>
      <c r="Z220" s="29">
        <f>IFERROR(X220/Y220,"")</f>
        <v/>
      </c>
      <c r="AA220" s="26" t="n"/>
      <c r="AB220" s="26" t="n"/>
      <c r="AC220" s="26" t="n"/>
      <c r="AD220" s="26" t="n"/>
      <c r="AE220" s="27">
        <f>IF(C220="","",SUMIFS(tbl_Finance[Ex GST],tbl_Finance[Job Number],C220&amp;"",tbl_Finance[Cost Centre],"VIDEO"))</f>
        <v/>
      </c>
      <c r="AF220" s="29">
        <f>IFERROR(AE220/H220,"")</f>
        <v/>
      </c>
      <c r="AG220" s="27">
        <f>IF(C220="","",N(AA220)+N(AB220)+N(AC220)+N(AD220))</f>
        <v/>
      </c>
      <c r="AH220" s="27">
        <f>IF(C220="","",H220-AG220)</f>
        <v/>
      </c>
      <c r="AI220" s="29">
        <f>IFERROR(AH220/H220,"")</f>
        <v/>
      </c>
      <c r="AJ220" s="69" t="n"/>
      <c r="AK220" s="69" t="n"/>
      <c r="AL220" s="69" t="n"/>
      <c r="AM220" s="69" t="n"/>
      <c r="AN220" s="69" t="n"/>
      <c r="AO220" s="24" t="n"/>
    </row>
    <row r="221" ht="15" customHeight="1">
      <c r="A221" s="68">
        <f>IF(C221="","",IFERROR(IF(SUMPRODUCT(MAX((tbl_Finance[Job Number]=C221&amp;"")*(tbl_Finance[Xero Invoice No]&lt;&gt;"")*tbl_Finance[Date]))=0,"",SUMPRODUCT(MAX((tbl_Finance[Job Number]=C221&amp;"")*(tbl_Finance[Xero Invoice No]&lt;&gt;"")*tbl_Finance[Date]))),""))</f>
        <v/>
      </c>
      <c r="B221" s="25">
        <f>IF(C221="","",IF(COUNTIFS(tbl_Finance[Job Number],C221&amp;"",tbl_Finance[Xero Invoice No],"&lt;&gt;")=0,"",IFERROR(IF(COUNTIFS(tbl_Finance[Job Number],C221&amp;"",tbl_Finance[Xero Invoice No],LOOKUP(2,1/((tbl_Finance[Job Number]=C221&amp;"")*(tbl_Finance[Xero Invoice No]&lt;&gt;"")),tbl_Finance[Xero Invoice No]))=COUNTIFS(tbl_Finance[Job Number],C221&amp;"",tbl_Finance[Xero Invoice No],"&lt;&gt;"),LOOKUP(2,1/((tbl_Finance[Job Number]=C221&amp;"")*(tbl_Finance[Xero Invoice No]&lt;&gt;"")),tbl_Finance[Xero Invoice No]),LOOKUP(2,1/((tbl_Finance[Job Number]=C221&amp;"")*(tbl_Finance[Xero Invoice No]&lt;&gt;"")),tbl_Finance[Xero Invoice No])&amp;" +more"),"")))</f>
        <v/>
      </c>
      <c r="C221" s="24" t="n"/>
      <c r="D221" s="25">
        <f>IF(C221="","",IF(COUNTIF(lst_Jobs,C221&amp;"")&gt;0,"OK","CHECK"))</f>
        <v/>
      </c>
      <c r="E221" s="25">
        <f>IF(C221="","",IFERROR(INDEX(lst_JobName,MATCH(C221&amp;"",lst_Jobs,0)),""))</f>
        <v/>
      </c>
      <c r="F221" s="25">
        <f>IF(C221="","",IFERROR(INDEX(tbl_Finance[Client],MATCH(C221&amp;"",tbl_Finance[Job Number],0)),""))</f>
        <v/>
      </c>
      <c r="G221" s="28">
        <f>IF(C221="","",COUNTIFS(tbl_Finance[Job Number],C221&amp;"",tbl_Finance[Ex GST],"&lt;&gt;"))</f>
        <v/>
      </c>
      <c r="H221" s="27">
        <f>IF(C221="","",SUMIFS(tbl_Finance[Ex GST],tbl_Finance[Job Number],C221&amp;""))</f>
        <v/>
      </c>
      <c r="I221" s="27">
        <f>IF(C221="","",SUMIFS(tbl_Finance[Ex GST],tbl_Finance[Job Number],C221&amp;"",tbl_Finance[Xero Invoice No],"&lt;&gt;"))</f>
        <v/>
      </c>
      <c r="J221" s="27">
        <f>IF(C221="","",H221-I221)</f>
        <v/>
      </c>
      <c r="K221" s="25">
        <f>IF(C221="","",IF(G221=0,"not invoiced yet",SUBSTITUTE(TRIM(IF(COUNTIFS(tbl_Finance[Job Number],C221&amp;"",tbl_Finance[Cost Centre],"ONSITE")&gt;0,"ONSITE ","")&amp;IF(COUNTIFS(tbl_Finance[Job Number],C221&amp;"",tbl_Finance[Cost Centre],"PRODUCTION")&gt;0,"PRODUCTION ","")&amp;IF(COUNTIFS(tbl_Finance[Job Number],C221&amp;"",tbl_Finance[Cost Centre],"VIDEO")&gt;0,"VIDEO ","")&amp;IF(COUNTIFS(tbl_Finance[Job Number],C221&amp;"",tbl_Finance[Cost Centre],"INTEGRATION")&gt;0,"INTEGRATION ","")&amp;IF(COUNTIFS(tbl_Finance[Job Number],C221&amp;"",tbl_Finance[Cost Centre],"CONSULTING")&gt;0,"CONSULTING ","")&amp;IF(COUNTIFS(tbl_Finance[Job Number],C221&amp;"",tbl_Finance[Cost Centre],"CTS")&gt;0,"CTS ",""))," ",", ")))</f>
        <v/>
      </c>
      <c r="L221" s="27">
        <f>IF(C221="","",SUMIFS(tbl_Finance[Inc GST],tbl_Finance[Job Number],C221&amp;""))</f>
        <v/>
      </c>
      <c r="M221" s="24" t="n"/>
      <c r="N221" s="25">
        <f>IF(C221="","",IFERROR(INDEX(tbl_Finance[Description],MATCH(C221&amp;"",tbl_Finance[Job Number],0)),""))</f>
        <v/>
      </c>
      <c r="O221" s="24" t="n"/>
      <c r="P221" s="24" t="n"/>
      <c r="Q221" s="22" t="n"/>
      <c r="R221" s="24" t="n"/>
      <c r="S221" s="25">
        <f>IF(R221="","",IF(AND(LEFT(R221,4)&lt;&gt;"http",set_RMSBase=""),"",HYPERLINK(IF(LEFT(R221,4)="http",R221,set_RMSBase&amp;R221),"Open opportunity")))</f>
        <v/>
      </c>
      <c r="T221" s="24" t="n"/>
      <c r="U221" s="25">
        <f>IF(T221="","",HYPERLINK(IF(LEFT(T221,4)="http",T221,set_QwilrBase&amp;T221),"Open quote"))</f>
        <v/>
      </c>
      <c r="V221" s="25">
        <f>IF(C221="","",C221)</f>
        <v/>
      </c>
      <c r="W221" s="24" t="n"/>
      <c r="X221" s="26" t="n"/>
      <c r="Y221" s="27">
        <f>IF(C221="","",H221+N(X221))</f>
        <v/>
      </c>
      <c r="Z221" s="29">
        <f>IFERROR(X221/Y221,"")</f>
        <v/>
      </c>
      <c r="AA221" s="26" t="n"/>
      <c r="AB221" s="26" t="n"/>
      <c r="AC221" s="26" t="n"/>
      <c r="AD221" s="26" t="n"/>
      <c r="AE221" s="27">
        <f>IF(C221="","",SUMIFS(tbl_Finance[Ex GST],tbl_Finance[Job Number],C221&amp;"",tbl_Finance[Cost Centre],"VIDEO"))</f>
        <v/>
      </c>
      <c r="AF221" s="29">
        <f>IFERROR(AE221/H221,"")</f>
        <v/>
      </c>
      <c r="AG221" s="27">
        <f>IF(C221="","",N(AA221)+N(AB221)+N(AC221)+N(AD221))</f>
        <v/>
      </c>
      <c r="AH221" s="27">
        <f>IF(C221="","",H221-AG221)</f>
        <v/>
      </c>
      <c r="AI221" s="29">
        <f>IFERROR(AH221/H221,"")</f>
        <v/>
      </c>
      <c r="AJ221" s="69" t="n"/>
      <c r="AK221" s="69" t="n"/>
      <c r="AL221" s="69" t="n"/>
      <c r="AM221" s="69" t="n"/>
      <c r="AN221" s="69" t="n"/>
      <c r="AO221" s="24" t="n"/>
    </row>
    <row r="222" ht="15" customHeight="1">
      <c r="A222" s="68">
        <f>IF(C222="","",IFERROR(IF(SUMPRODUCT(MAX((tbl_Finance[Job Number]=C222&amp;"")*(tbl_Finance[Xero Invoice No]&lt;&gt;"")*tbl_Finance[Date]))=0,"",SUMPRODUCT(MAX((tbl_Finance[Job Number]=C222&amp;"")*(tbl_Finance[Xero Invoice No]&lt;&gt;"")*tbl_Finance[Date]))),""))</f>
        <v/>
      </c>
      <c r="B222" s="25">
        <f>IF(C222="","",IF(COUNTIFS(tbl_Finance[Job Number],C222&amp;"",tbl_Finance[Xero Invoice No],"&lt;&gt;")=0,"",IFERROR(IF(COUNTIFS(tbl_Finance[Job Number],C222&amp;"",tbl_Finance[Xero Invoice No],LOOKUP(2,1/((tbl_Finance[Job Number]=C222&amp;"")*(tbl_Finance[Xero Invoice No]&lt;&gt;"")),tbl_Finance[Xero Invoice No]))=COUNTIFS(tbl_Finance[Job Number],C222&amp;"",tbl_Finance[Xero Invoice No],"&lt;&gt;"),LOOKUP(2,1/((tbl_Finance[Job Number]=C222&amp;"")*(tbl_Finance[Xero Invoice No]&lt;&gt;"")),tbl_Finance[Xero Invoice No]),LOOKUP(2,1/((tbl_Finance[Job Number]=C222&amp;"")*(tbl_Finance[Xero Invoice No]&lt;&gt;"")),tbl_Finance[Xero Invoice No])&amp;" +more"),"")))</f>
        <v/>
      </c>
      <c r="C222" s="24" t="n"/>
      <c r="D222" s="25">
        <f>IF(C222="","",IF(COUNTIF(lst_Jobs,C222&amp;"")&gt;0,"OK","CHECK"))</f>
        <v/>
      </c>
      <c r="E222" s="25">
        <f>IF(C222="","",IFERROR(INDEX(lst_JobName,MATCH(C222&amp;"",lst_Jobs,0)),""))</f>
        <v/>
      </c>
      <c r="F222" s="25">
        <f>IF(C222="","",IFERROR(INDEX(tbl_Finance[Client],MATCH(C222&amp;"",tbl_Finance[Job Number],0)),""))</f>
        <v/>
      </c>
      <c r="G222" s="28">
        <f>IF(C222="","",COUNTIFS(tbl_Finance[Job Number],C222&amp;"",tbl_Finance[Ex GST],"&lt;&gt;"))</f>
        <v/>
      </c>
      <c r="H222" s="27">
        <f>IF(C222="","",SUMIFS(tbl_Finance[Ex GST],tbl_Finance[Job Number],C222&amp;""))</f>
        <v/>
      </c>
      <c r="I222" s="27">
        <f>IF(C222="","",SUMIFS(tbl_Finance[Ex GST],tbl_Finance[Job Number],C222&amp;"",tbl_Finance[Xero Invoice No],"&lt;&gt;"))</f>
        <v/>
      </c>
      <c r="J222" s="27">
        <f>IF(C222="","",H222-I222)</f>
        <v/>
      </c>
      <c r="K222" s="25">
        <f>IF(C222="","",IF(G222=0,"not invoiced yet",SUBSTITUTE(TRIM(IF(COUNTIFS(tbl_Finance[Job Number],C222&amp;"",tbl_Finance[Cost Centre],"ONSITE")&gt;0,"ONSITE ","")&amp;IF(COUNTIFS(tbl_Finance[Job Number],C222&amp;"",tbl_Finance[Cost Centre],"PRODUCTION")&gt;0,"PRODUCTION ","")&amp;IF(COUNTIFS(tbl_Finance[Job Number],C222&amp;"",tbl_Finance[Cost Centre],"VIDEO")&gt;0,"VIDEO ","")&amp;IF(COUNTIFS(tbl_Finance[Job Number],C222&amp;"",tbl_Finance[Cost Centre],"INTEGRATION")&gt;0,"INTEGRATION ","")&amp;IF(COUNTIFS(tbl_Finance[Job Number],C222&amp;"",tbl_Finance[Cost Centre],"CONSULTING")&gt;0,"CONSULTING ","")&amp;IF(COUNTIFS(tbl_Finance[Job Number],C222&amp;"",tbl_Finance[Cost Centre],"CTS")&gt;0,"CTS ",""))," ",", ")))</f>
        <v/>
      </c>
      <c r="L222" s="27">
        <f>IF(C222="","",SUMIFS(tbl_Finance[Inc GST],tbl_Finance[Job Number],C222&amp;""))</f>
        <v/>
      </c>
      <c r="M222" s="24" t="n"/>
      <c r="N222" s="25">
        <f>IF(C222="","",IFERROR(INDEX(tbl_Finance[Description],MATCH(C222&amp;"",tbl_Finance[Job Number],0)),""))</f>
        <v/>
      </c>
      <c r="O222" s="24" t="n"/>
      <c r="P222" s="24" t="n"/>
      <c r="Q222" s="22" t="n"/>
      <c r="R222" s="24" t="n"/>
      <c r="S222" s="25">
        <f>IF(R222="","",IF(AND(LEFT(R222,4)&lt;&gt;"http",set_RMSBase=""),"",HYPERLINK(IF(LEFT(R222,4)="http",R222,set_RMSBase&amp;R222),"Open opportunity")))</f>
        <v/>
      </c>
      <c r="T222" s="24" t="n"/>
      <c r="U222" s="25">
        <f>IF(T222="","",HYPERLINK(IF(LEFT(T222,4)="http",T222,set_QwilrBase&amp;T222),"Open quote"))</f>
        <v/>
      </c>
      <c r="V222" s="25">
        <f>IF(C222="","",C222)</f>
        <v/>
      </c>
      <c r="W222" s="24" t="n"/>
      <c r="X222" s="26" t="n"/>
      <c r="Y222" s="27">
        <f>IF(C222="","",H222+N(X222))</f>
        <v/>
      </c>
      <c r="Z222" s="29">
        <f>IFERROR(X222/Y222,"")</f>
        <v/>
      </c>
      <c r="AA222" s="26" t="n"/>
      <c r="AB222" s="26" t="n"/>
      <c r="AC222" s="26" t="n"/>
      <c r="AD222" s="26" t="n"/>
      <c r="AE222" s="27">
        <f>IF(C222="","",SUMIFS(tbl_Finance[Ex GST],tbl_Finance[Job Number],C222&amp;"",tbl_Finance[Cost Centre],"VIDEO"))</f>
        <v/>
      </c>
      <c r="AF222" s="29">
        <f>IFERROR(AE222/H222,"")</f>
        <v/>
      </c>
      <c r="AG222" s="27">
        <f>IF(C222="","",N(AA222)+N(AB222)+N(AC222)+N(AD222))</f>
        <v/>
      </c>
      <c r="AH222" s="27">
        <f>IF(C222="","",H222-AG222)</f>
        <v/>
      </c>
      <c r="AI222" s="29">
        <f>IFERROR(AH222/H222,"")</f>
        <v/>
      </c>
      <c r="AJ222" s="69" t="n"/>
      <c r="AK222" s="69" t="n"/>
      <c r="AL222" s="69" t="n"/>
      <c r="AM222" s="69" t="n"/>
      <c r="AN222" s="69" t="n"/>
      <c r="AO222" s="24" t="n"/>
    </row>
    <row r="223" ht="15" customHeight="1">
      <c r="A223" s="68">
        <f>IF(C223="","",IFERROR(IF(SUMPRODUCT(MAX((tbl_Finance[Job Number]=C223&amp;"")*(tbl_Finance[Xero Invoice No]&lt;&gt;"")*tbl_Finance[Date]))=0,"",SUMPRODUCT(MAX((tbl_Finance[Job Number]=C223&amp;"")*(tbl_Finance[Xero Invoice No]&lt;&gt;"")*tbl_Finance[Date]))),""))</f>
        <v/>
      </c>
      <c r="B223" s="25">
        <f>IF(C223="","",IF(COUNTIFS(tbl_Finance[Job Number],C223&amp;"",tbl_Finance[Xero Invoice No],"&lt;&gt;")=0,"",IFERROR(IF(COUNTIFS(tbl_Finance[Job Number],C223&amp;"",tbl_Finance[Xero Invoice No],LOOKUP(2,1/((tbl_Finance[Job Number]=C223&amp;"")*(tbl_Finance[Xero Invoice No]&lt;&gt;"")),tbl_Finance[Xero Invoice No]))=COUNTIFS(tbl_Finance[Job Number],C223&amp;"",tbl_Finance[Xero Invoice No],"&lt;&gt;"),LOOKUP(2,1/((tbl_Finance[Job Number]=C223&amp;"")*(tbl_Finance[Xero Invoice No]&lt;&gt;"")),tbl_Finance[Xero Invoice No]),LOOKUP(2,1/((tbl_Finance[Job Number]=C223&amp;"")*(tbl_Finance[Xero Invoice No]&lt;&gt;"")),tbl_Finance[Xero Invoice No])&amp;" +more"),"")))</f>
        <v/>
      </c>
      <c r="C223" s="24" t="n"/>
      <c r="D223" s="25">
        <f>IF(C223="","",IF(COUNTIF(lst_Jobs,C223&amp;"")&gt;0,"OK","CHECK"))</f>
        <v/>
      </c>
      <c r="E223" s="25">
        <f>IF(C223="","",IFERROR(INDEX(lst_JobName,MATCH(C223&amp;"",lst_Jobs,0)),""))</f>
        <v/>
      </c>
      <c r="F223" s="25">
        <f>IF(C223="","",IFERROR(INDEX(tbl_Finance[Client],MATCH(C223&amp;"",tbl_Finance[Job Number],0)),""))</f>
        <v/>
      </c>
      <c r="G223" s="28">
        <f>IF(C223="","",COUNTIFS(tbl_Finance[Job Number],C223&amp;"",tbl_Finance[Ex GST],"&lt;&gt;"))</f>
        <v/>
      </c>
      <c r="H223" s="27">
        <f>IF(C223="","",SUMIFS(tbl_Finance[Ex GST],tbl_Finance[Job Number],C223&amp;""))</f>
        <v/>
      </c>
      <c r="I223" s="27">
        <f>IF(C223="","",SUMIFS(tbl_Finance[Ex GST],tbl_Finance[Job Number],C223&amp;"",tbl_Finance[Xero Invoice No],"&lt;&gt;"))</f>
        <v/>
      </c>
      <c r="J223" s="27">
        <f>IF(C223="","",H223-I223)</f>
        <v/>
      </c>
      <c r="K223" s="25">
        <f>IF(C223="","",IF(G223=0,"not invoiced yet",SUBSTITUTE(TRIM(IF(COUNTIFS(tbl_Finance[Job Number],C223&amp;"",tbl_Finance[Cost Centre],"ONSITE")&gt;0,"ONSITE ","")&amp;IF(COUNTIFS(tbl_Finance[Job Number],C223&amp;"",tbl_Finance[Cost Centre],"PRODUCTION")&gt;0,"PRODUCTION ","")&amp;IF(COUNTIFS(tbl_Finance[Job Number],C223&amp;"",tbl_Finance[Cost Centre],"VIDEO")&gt;0,"VIDEO ","")&amp;IF(COUNTIFS(tbl_Finance[Job Number],C223&amp;"",tbl_Finance[Cost Centre],"INTEGRATION")&gt;0,"INTEGRATION ","")&amp;IF(COUNTIFS(tbl_Finance[Job Number],C223&amp;"",tbl_Finance[Cost Centre],"CONSULTING")&gt;0,"CONSULTING ","")&amp;IF(COUNTIFS(tbl_Finance[Job Number],C223&amp;"",tbl_Finance[Cost Centre],"CTS")&gt;0,"CTS ",""))," ",", ")))</f>
        <v/>
      </c>
      <c r="L223" s="27">
        <f>IF(C223="","",SUMIFS(tbl_Finance[Inc GST],tbl_Finance[Job Number],C223&amp;""))</f>
        <v/>
      </c>
      <c r="M223" s="24" t="n"/>
      <c r="N223" s="25">
        <f>IF(C223="","",IFERROR(INDEX(tbl_Finance[Description],MATCH(C223&amp;"",tbl_Finance[Job Number],0)),""))</f>
        <v/>
      </c>
      <c r="O223" s="24" t="n"/>
      <c r="P223" s="24" t="n"/>
      <c r="Q223" s="22" t="n"/>
      <c r="R223" s="24" t="n"/>
      <c r="S223" s="25">
        <f>IF(R223="","",IF(AND(LEFT(R223,4)&lt;&gt;"http",set_RMSBase=""),"",HYPERLINK(IF(LEFT(R223,4)="http",R223,set_RMSBase&amp;R223),"Open opportunity")))</f>
        <v/>
      </c>
      <c r="T223" s="24" t="n"/>
      <c r="U223" s="25">
        <f>IF(T223="","",HYPERLINK(IF(LEFT(T223,4)="http",T223,set_QwilrBase&amp;T223),"Open quote"))</f>
        <v/>
      </c>
      <c r="V223" s="25">
        <f>IF(C223="","",C223)</f>
        <v/>
      </c>
      <c r="W223" s="24" t="n"/>
      <c r="X223" s="26" t="n"/>
      <c r="Y223" s="27">
        <f>IF(C223="","",H223+N(X223))</f>
        <v/>
      </c>
      <c r="Z223" s="29">
        <f>IFERROR(X223/Y223,"")</f>
        <v/>
      </c>
      <c r="AA223" s="26" t="n"/>
      <c r="AB223" s="26" t="n"/>
      <c r="AC223" s="26" t="n"/>
      <c r="AD223" s="26" t="n"/>
      <c r="AE223" s="27">
        <f>IF(C223="","",SUMIFS(tbl_Finance[Ex GST],tbl_Finance[Job Number],C223&amp;"",tbl_Finance[Cost Centre],"VIDEO"))</f>
        <v/>
      </c>
      <c r="AF223" s="29">
        <f>IFERROR(AE223/H223,"")</f>
        <v/>
      </c>
      <c r="AG223" s="27">
        <f>IF(C223="","",N(AA223)+N(AB223)+N(AC223)+N(AD223))</f>
        <v/>
      </c>
      <c r="AH223" s="27">
        <f>IF(C223="","",H223-AG223)</f>
        <v/>
      </c>
      <c r="AI223" s="29">
        <f>IFERROR(AH223/H223,"")</f>
        <v/>
      </c>
      <c r="AJ223" s="69" t="n"/>
      <c r="AK223" s="69" t="n"/>
      <c r="AL223" s="69" t="n"/>
      <c r="AM223" s="69" t="n"/>
      <c r="AN223" s="69" t="n"/>
      <c r="AO223" s="24" t="n"/>
    </row>
    <row r="224" ht="15" customHeight="1">
      <c r="A224" s="68">
        <f>IF(C224="","",IFERROR(IF(SUMPRODUCT(MAX((tbl_Finance[Job Number]=C224&amp;"")*(tbl_Finance[Xero Invoice No]&lt;&gt;"")*tbl_Finance[Date]))=0,"",SUMPRODUCT(MAX((tbl_Finance[Job Number]=C224&amp;"")*(tbl_Finance[Xero Invoice No]&lt;&gt;"")*tbl_Finance[Date]))),""))</f>
        <v/>
      </c>
      <c r="B224" s="25">
        <f>IF(C224="","",IF(COUNTIFS(tbl_Finance[Job Number],C224&amp;"",tbl_Finance[Xero Invoice No],"&lt;&gt;")=0,"",IFERROR(IF(COUNTIFS(tbl_Finance[Job Number],C224&amp;"",tbl_Finance[Xero Invoice No],LOOKUP(2,1/((tbl_Finance[Job Number]=C224&amp;"")*(tbl_Finance[Xero Invoice No]&lt;&gt;"")),tbl_Finance[Xero Invoice No]))=COUNTIFS(tbl_Finance[Job Number],C224&amp;"",tbl_Finance[Xero Invoice No],"&lt;&gt;"),LOOKUP(2,1/((tbl_Finance[Job Number]=C224&amp;"")*(tbl_Finance[Xero Invoice No]&lt;&gt;"")),tbl_Finance[Xero Invoice No]),LOOKUP(2,1/((tbl_Finance[Job Number]=C224&amp;"")*(tbl_Finance[Xero Invoice No]&lt;&gt;"")),tbl_Finance[Xero Invoice No])&amp;" +more"),"")))</f>
        <v/>
      </c>
      <c r="C224" s="24" t="n"/>
      <c r="D224" s="25">
        <f>IF(C224="","",IF(COUNTIF(lst_Jobs,C224&amp;"")&gt;0,"OK","CHECK"))</f>
        <v/>
      </c>
      <c r="E224" s="25">
        <f>IF(C224="","",IFERROR(INDEX(lst_JobName,MATCH(C224&amp;"",lst_Jobs,0)),""))</f>
        <v/>
      </c>
      <c r="F224" s="25">
        <f>IF(C224="","",IFERROR(INDEX(tbl_Finance[Client],MATCH(C224&amp;"",tbl_Finance[Job Number],0)),""))</f>
        <v/>
      </c>
      <c r="G224" s="28">
        <f>IF(C224="","",COUNTIFS(tbl_Finance[Job Number],C224&amp;"",tbl_Finance[Ex GST],"&lt;&gt;"))</f>
        <v/>
      </c>
      <c r="H224" s="27">
        <f>IF(C224="","",SUMIFS(tbl_Finance[Ex GST],tbl_Finance[Job Number],C224&amp;""))</f>
        <v/>
      </c>
      <c r="I224" s="27">
        <f>IF(C224="","",SUMIFS(tbl_Finance[Ex GST],tbl_Finance[Job Number],C224&amp;"",tbl_Finance[Xero Invoice No],"&lt;&gt;"))</f>
        <v/>
      </c>
      <c r="J224" s="27">
        <f>IF(C224="","",H224-I224)</f>
        <v/>
      </c>
      <c r="K224" s="25">
        <f>IF(C224="","",IF(G224=0,"not invoiced yet",SUBSTITUTE(TRIM(IF(COUNTIFS(tbl_Finance[Job Number],C224&amp;"",tbl_Finance[Cost Centre],"ONSITE")&gt;0,"ONSITE ","")&amp;IF(COUNTIFS(tbl_Finance[Job Number],C224&amp;"",tbl_Finance[Cost Centre],"PRODUCTION")&gt;0,"PRODUCTION ","")&amp;IF(COUNTIFS(tbl_Finance[Job Number],C224&amp;"",tbl_Finance[Cost Centre],"VIDEO")&gt;0,"VIDEO ","")&amp;IF(COUNTIFS(tbl_Finance[Job Number],C224&amp;"",tbl_Finance[Cost Centre],"INTEGRATION")&gt;0,"INTEGRATION ","")&amp;IF(COUNTIFS(tbl_Finance[Job Number],C224&amp;"",tbl_Finance[Cost Centre],"CONSULTING")&gt;0,"CONSULTING ","")&amp;IF(COUNTIFS(tbl_Finance[Job Number],C224&amp;"",tbl_Finance[Cost Centre],"CTS")&gt;0,"CTS ",""))," ",", ")))</f>
        <v/>
      </c>
      <c r="L224" s="27">
        <f>IF(C224="","",SUMIFS(tbl_Finance[Inc GST],tbl_Finance[Job Number],C224&amp;""))</f>
        <v/>
      </c>
      <c r="M224" s="24" t="n"/>
      <c r="N224" s="25">
        <f>IF(C224="","",IFERROR(INDEX(tbl_Finance[Description],MATCH(C224&amp;"",tbl_Finance[Job Number],0)),""))</f>
        <v/>
      </c>
      <c r="O224" s="24" t="n"/>
      <c r="P224" s="24" t="n"/>
      <c r="Q224" s="22" t="n"/>
      <c r="R224" s="24" t="n"/>
      <c r="S224" s="25">
        <f>IF(R224="","",IF(AND(LEFT(R224,4)&lt;&gt;"http",set_RMSBase=""),"",HYPERLINK(IF(LEFT(R224,4)="http",R224,set_RMSBase&amp;R224),"Open opportunity")))</f>
        <v/>
      </c>
      <c r="T224" s="24" t="n"/>
      <c r="U224" s="25">
        <f>IF(T224="","",HYPERLINK(IF(LEFT(T224,4)="http",T224,set_QwilrBase&amp;T224),"Open quote"))</f>
        <v/>
      </c>
      <c r="V224" s="25">
        <f>IF(C224="","",C224)</f>
        <v/>
      </c>
      <c r="W224" s="24" t="n"/>
      <c r="X224" s="26" t="n"/>
      <c r="Y224" s="27">
        <f>IF(C224="","",H224+N(X224))</f>
        <v/>
      </c>
      <c r="Z224" s="29">
        <f>IFERROR(X224/Y224,"")</f>
        <v/>
      </c>
      <c r="AA224" s="26" t="n"/>
      <c r="AB224" s="26" t="n"/>
      <c r="AC224" s="26" t="n"/>
      <c r="AD224" s="26" t="n"/>
      <c r="AE224" s="27">
        <f>IF(C224="","",SUMIFS(tbl_Finance[Ex GST],tbl_Finance[Job Number],C224&amp;"",tbl_Finance[Cost Centre],"VIDEO"))</f>
        <v/>
      </c>
      <c r="AF224" s="29">
        <f>IFERROR(AE224/H224,"")</f>
        <v/>
      </c>
      <c r="AG224" s="27">
        <f>IF(C224="","",N(AA224)+N(AB224)+N(AC224)+N(AD224))</f>
        <v/>
      </c>
      <c r="AH224" s="27">
        <f>IF(C224="","",H224-AG224)</f>
        <v/>
      </c>
      <c r="AI224" s="29">
        <f>IFERROR(AH224/H224,"")</f>
        <v/>
      </c>
      <c r="AJ224" s="69" t="n"/>
      <c r="AK224" s="69" t="n"/>
      <c r="AL224" s="69" t="n"/>
      <c r="AM224" s="69" t="n"/>
      <c r="AN224" s="69" t="n"/>
      <c r="AO224" s="24" t="n"/>
    </row>
    <row r="225" ht="15" customHeight="1">
      <c r="A225" s="68">
        <f>IF(C225="","",IFERROR(IF(SUMPRODUCT(MAX((tbl_Finance[Job Number]=C225&amp;"")*(tbl_Finance[Xero Invoice No]&lt;&gt;"")*tbl_Finance[Date]))=0,"",SUMPRODUCT(MAX((tbl_Finance[Job Number]=C225&amp;"")*(tbl_Finance[Xero Invoice No]&lt;&gt;"")*tbl_Finance[Date]))),""))</f>
        <v/>
      </c>
      <c r="B225" s="25">
        <f>IF(C225="","",IF(COUNTIFS(tbl_Finance[Job Number],C225&amp;"",tbl_Finance[Xero Invoice No],"&lt;&gt;")=0,"",IFERROR(IF(COUNTIFS(tbl_Finance[Job Number],C225&amp;"",tbl_Finance[Xero Invoice No],LOOKUP(2,1/((tbl_Finance[Job Number]=C225&amp;"")*(tbl_Finance[Xero Invoice No]&lt;&gt;"")),tbl_Finance[Xero Invoice No]))=COUNTIFS(tbl_Finance[Job Number],C225&amp;"",tbl_Finance[Xero Invoice No],"&lt;&gt;"),LOOKUP(2,1/((tbl_Finance[Job Number]=C225&amp;"")*(tbl_Finance[Xero Invoice No]&lt;&gt;"")),tbl_Finance[Xero Invoice No]),LOOKUP(2,1/((tbl_Finance[Job Number]=C225&amp;"")*(tbl_Finance[Xero Invoice No]&lt;&gt;"")),tbl_Finance[Xero Invoice No])&amp;" +more"),"")))</f>
        <v/>
      </c>
      <c r="C225" s="24" t="n"/>
      <c r="D225" s="25">
        <f>IF(C225="","",IF(COUNTIF(lst_Jobs,C225&amp;"")&gt;0,"OK","CHECK"))</f>
        <v/>
      </c>
      <c r="E225" s="25">
        <f>IF(C225="","",IFERROR(INDEX(lst_JobName,MATCH(C225&amp;"",lst_Jobs,0)),""))</f>
        <v/>
      </c>
      <c r="F225" s="25">
        <f>IF(C225="","",IFERROR(INDEX(tbl_Finance[Client],MATCH(C225&amp;"",tbl_Finance[Job Number],0)),""))</f>
        <v/>
      </c>
      <c r="G225" s="28">
        <f>IF(C225="","",COUNTIFS(tbl_Finance[Job Number],C225&amp;"",tbl_Finance[Ex GST],"&lt;&gt;"))</f>
        <v/>
      </c>
      <c r="H225" s="27">
        <f>IF(C225="","",SUMIFS(tbl_Finance[Ex GST],tbl_Finance[Job Number],C225&amp;""))</f>
        <v/>
      </c>
      <c r="I225" s="27">
        <f>IF(C225="","",SUMIFS(tbl_Finance[Ex GST],tbl_Finance[Job Number],C225&amp;"",tbl_Finance[Xero Invoice No],"&lt;&gt;"))</f>
        <v/>
      </c>
      <c r="J225" s="27">
        <f>IF(C225="","",H225-I225)</f>
        <v/>
      </c>
      <c r="K225" s="25">
        <f>IF(C225="","",IF(G225=0,"not invoiced yet",SUBSTITUTE(TRIM(IF(COUNTIFS(tbl_Finance[Job Number],C225&amp;"",tbl_Finance[Cost Centre],"ONSITE")&gt;0,"ONSITE ","")&amp;IF(COUNTIFS(tbl_Finance[Job Number],C225&amp;"",tbl_Finance[Cost Centre],"PRODUCTION")&gt;0,"PRODUCTION ","")&amp;IF(COUNTIFS(tbl_Finance[Job Number],C225&amp;"",tbl_Finance[Cost Centre],"VIDEO")&gt;0,"VIDEO ","")&amp;IF(COUNTIFS(tbl_Finance[Job Number],C225&amp;"",tbl_Finance[Cost Centre],"INTEGRATION")&gt;0,"INTEGRATION ","")&amp;IF(COUNTIFS(tbl_Finance[Job Number],C225&amp;"",tbl_Finance[Cost Centre],"CONSULTING")&gt;0,"CONSULTING ","")&amp;IF(COUNTIFS(tbl_Finance[Job Number],C225&amp;"",tbl_Finance[Cost Centre],"CTS")&gt;0,"CTS ",""))," ",", ")))</f>
        <v/>
      </c>
      <c r="L225" s="27">
        <f>IF(C225="","",SUMIFS(tbl_Finance[Inc GST],tbl_Finance[Job Number],C225&amp;""))</f>
        <v/>
      </c>
      <c r="M225" s="24" t="n"/>
      <c r="N225" s="25">
        <f>IF(C225="","",IFERROR(INDEX(tbl_Finance[Description],MATCH(C225&amp;"",tbl_Finance[Job Number],0)),""))</f>
        <v/>
      </c>
      <c r="O225" s="24" t="n"/>
      <c r="P225" s="24" t="n"/>
      <c r="Q225" s="22" t="n"/>
      <c r="R225" s="24" t="n"/>
      <c r="S225" s="25">
        <f>IF(R225="","",IF(AND(LEFT(R225,4)&lt;&gt;"http",set_RMSBase=""),"",HYPERLINK(IF(LEFT(R225,4)="http",R225,set_RMSBase&amp;R225),"Open opportunity")))</f>
        <v/>
      </c>
      <c r="T225" s="24" t="n"/>
      <c r="U225" s="25">
        <f>IF(T225="","",HYPERLINK(IF(LEFT(T225,4)="http",T225,set_QwilrBase&amp;T225),"Open quote"))</f>
        <v/>
      </c>
      <c r="V225" s="25">
        <f>IF(C225="","",C225)</f>
        <v/>
      </c>
      <c r="W225" s="24" t="n"/>
      <c r="X225" s="26" t="n"/>
      <c r="Y225" s="27">
        <f>IF(C225="","",H225+N(X225))</f>
        <v/>
      </c>
      <c r="Z225" s="29">
        <f>IFERROR(X225/Y225,"")</f>
        <v/>
      </c>
      <c r="AA225" s="26" t="n"/>
      <c r="AB225" s="26" t="n"/>
      <c r="AC225" s="26" t="n"/>
      <c r="AD225" s="26" t="n"/>
      <c r="AE225" s="27">
        <f>IF(C225="","",SUMIFS(tbl_Finance[Ex GST],tbl_Finance[Job Number],C225&amp;"",tbl_Finance[Cost Centre],"VIDEO"))</f>
        <v/>
      </c>
      <c r="AF225" s="29">
        <f>IFERROR(AE225/H225,"")</f>
        <v/>
      </c>
      <c r="AG225" s="27">
        <f>IF(C225="","",N(AA225)+N(AB225)+N(AC225)+N(AD225))</f>
        <v/>
      </c>
      <c r="AH225" s="27">
        <f>IF(C225="","",H225-AG225)</f>
        <v/>
      </c>
      <c r="AI225" s="29">
        <f>IFERROR(AH225/H225,"")</f>
        <v/>
      </c>
      <c r="AJ225" s="69" t="n"/>
      <c r="AK225" s="69" t="n"/>
      <c r="AL225" s="69" t="n"/>
      <c r="AM225" s="69" t="n"/>
      <c r="AN225" s="69" t="n"/>
      <c r="AO225" s="24" t="n"/>
    </row>
    <row r="226" ht="15" customHeight="1">
      <c r="A226" s="68">
        <f>IF(C226="","",IFERROR(IF(SUMPRODUCT(MAX((tbl_Finance[Job Number]=C226&amp;"")*(tbl_Finance[Xero Invoice No]&lt;&gt;"")*tbl_Finance[Date]))=0,"",SUMPRODUCT(MAX((tbl_Finance[Job Number]=C226&amp;"")*(tbl_Finance[Xero Invoice No]&lt;&gt;"")*tbl_Finance[Date]))),""))</f>
        <v/>
      </c>
      <c r="B226" s="25">
        <f>IF(C226="","",IF(COUNTIFS(tbl_Finance[Job Number],C226&amp;"",tbl_Finance[Xero Invoice No],"&lt;&gt;")=0,"",IFERROR(IF(COUNTIFS(tbl_Finance[Job Number],C226&amp;"",tbl_Finance[Xero Invoice No],LOOKUP(2,1/((tbl_Finance[Job Number]=C226&amp;"")*(tbl_Finance[Xero Invoice No]&lt;&gt;"")),tbl_Finance[Xero Invoice No]))=COUNTIFS(tbl_Finance[Job Number],C226&amp;"",tbl_Finance[Xero Invoice No],"&lt;&gt;"),LOOKUP(2,1/((tbl_Finance[Job Number]=C226&amp;"")*(tbl_Finance[Xero Invoice No]&lt;&gt;"")),tbl_Finance[Xero Invoice No]),LOOKUP(2,1/((tbl_Finance[Job Number]=C226&amp;"")*(tbl_Finance[Xero Invoice No]&lt;&gt;"")),tbl_Finance[Xero Invoice No])&amp;" +more"),"")))</f>
        <v/>
      </c>
      <c r="C226" s="24" t="n"/>
      <c r="D226" s="25">
        <f>IF(C226="","",IF(COUNTIF(lst_Jobs,C226&amp;"")&gt;0,"OK","CHECK"))</f>
        <v/>
      </c>
      <c r="E226" s="25">
        <f>IF(C226="","",IFERROR(INDEX(lst_JobName,MATCH(C226&amp;"",lst_Jobs,0)),""))</f>
        <v/>
      </c>
      <c r="F226" s="25">
        <f>IF(C226="","",IFERROR(INDEX(tbl_Finance[Client],MATCH(C226&amp;"",tbl_Finance[Job Number],0)),""))</f>
        <v/>
      </c>
      <c r="G226" s="28">
        <f>IF(C226="","",COUNTIFS(tbl_Finance[Job Number],C226&amp;"",tbl_Finance[Ex GST],"&lt;&gt;"))</f>
        <v/>
      </c>
      <c r="H226" s="27">
        <f>IF(C226="","",SUMIFS(tbl_Finance[Ex GST],tbl_Finance[Job Number],C226&amp;""))</f>
        <v/>
      </c>
      <c r="I226" s="27">
        <f>IF(C226="","",SUMIFS(tbl_Finance[Ex GST],tbl_Finance[Job Number],C226&amp;"",tbl_Finance[Xero Invoice No],"&lt;&gt;"))</f>
        <v/>
      </c>
      <c r="J226" s="27">
        <f>IF(C226="","",H226-I226)</f>
        <v/>
      </c>
      <c r="K226" s="25">
        <f>IF(C226="","",IF(G226=0,"not invoiced yet",SUBSTITUTE(TRIM(IF(COUNTIFS(tbl_Finance[Job Number],C226&amp;"",tbl_Finance[Cost Centre],"ONSITE")&gt;0,"ONSITE ","")&amp;IF(COUNTIFS(tbl_Finance[Job Number],C226&amp;"",tbl_Finance[Cost Centre],"PRODUCTION")&gt;0,"PRODUCTION ","")&amp;IF(COUNTIFS(tbl_Finance[Job Number],C226&amp;"",tbl_Finance[Cost Centre],"VIDEO")&gt;0,"VIDEO ","")&amp;IF(COUNTIFS(tbl_Finance[Job Number],C226&amp;"",tbl_Finance[Cost Centre],"INTEGRATION")&gt;0,"INTEGRATION ","")&amp;IF(COUNTIFS(tbl_Finance[Job Number],C226&amp;"",tbl_Finance[Cost Centre],"CONSULTING")&gt;0,"CONSULTING ","")&amp;IF(COUNTIFS(tbl_Finance[Job Number],C226&amp;"",tbl_Finance[Cost Centre],"CTS")&gt;0,"CTS ",""))," ",", ")))</f>
        <v/>
      </c>
      <c r="L226" s="27">
        <f>IF(C226="","",SUMIFS(tbl_Finance[Inc GST],tbl_Finance[Job Number],C226&amp;""))</f>
        <v/>
      </c>
      <c r="M226" s="24" t="n"/>
      <c r="N226" s="25">
        <f>IF(C226="","",IFERROR(INDEX(tbl_Finance[Description],MATCH(C226&amp;"",tbl_Finance[Job Number],0)),""))</f>
        <v/>
      </c>
      <c r="O226" s="24" t="n"/>
      <c r="P226" s="24" t="n"/>
      <c r="Q226" s="22" t="n"/>
      <c r="R226" s="24" t="n"/>
      <c r="S226" s="25">
        <f>IF(R226="","",IF(AND(LEFT(R226,4)&lt;&gt;"http",set_RMSBase=""),"",HYPERLINK(IF(LEFT(R226,4)="http",R226,set_RMSBase&amp;R226),"Open opportunity")))</f>
        <v/>
      </c>
      <c r="T226" s="24" t="n"/>
      <c r="U226" s="25">
        <f>IF(T226="","",HYPERLINK(IF(LEFT(T226,4)="http",T226,set_QwilrBase&amp;T226),"Open quote"))</f>
        <v/>
      </c>
      <c r="V226" s="25">
        <f>IF(C226="","",C226)</f>
        <v/>
      </c>
      <c r="W226" s="24" t="n"/>
      <c r="X226" s="26" t="n"/>
      <c r="Y226" s="27">
        <f>IF(C226="","",H226+N(X226))</f>
        <v/>
      </c>
      <c r="Z226" s="29">
        <f>IFERROR(X226/Y226,"")</f>
        <v/>
      </c>
      <c r="AA226" s="26" t="n"/>
      <c r="AB226" s="26" t="n"/>
      <c r="AC226" s="26" t="n"/>
      <c r="AD226" s="26" t="n"/>
      <c r="AE226" s="27">
        <f>IF(C226="","",SUMIFS(tbl_Finance[Ex GST],tbl_Finance[Job Number],C226&amp;"",tbl_Finance[Cost Centre],"VIDEO"))</f>
        <v/>
      </c>
      <c r="AF226" s="29">
        <f>IFERROR(AE226/H226,"")</f>
        <v/>
      </c>
      <c r="AG226" s="27">
        <f>IF(C226="","",N(AA226)+N(AB226)+N(AC226)+N(AD226))</f>
        <v/>
      </c>
      <c r="AH226" s="27">
        <f>IF(C226="","",H226-AG226)</f>
        <v/>
      </c>
      <c r="AI226" s="29">
        <f>IFERROR(AH226/H226,"")</f>
        <v/>
      </c>
      <c r="AJ226" s="69" t="n"/>
      <c r="AK226" s="69" t="n"/>
      <c r="AL226" s="69" t="n"/>
      <c r="AM226" s="69" t="n"/>
      <c r="AN226" s="69" t="n"/>
      <c r="AO226" s="24" t="n"/>
    </row>
    <row r="227" ht="15" customHeight="1">
      <c r="A227" s="68">
        <f>IF(C227="","",IFERROR(IF(SUMPRODUCT(MAX((tbl_Finance[Job Number]=C227&amp;"")*(tbl_Finance[Xero Invoice No]&lt;&gt;"")*tbl_Finance[Date]))=0,"",SUMPRODUCT(MAX((tbl_Finance[Job Number]=C227&amp;"")*(tbl_Finance[Xero Invoice No]&lt;&gt;"")*tbl_Finance[Date]))),""))</f>
        <v/>
      </c>
      <c r="B227" s="25">
        <f>IF(C227="","",IF(COUNTIFS(tbl_Finance[Job Number],C227&amp;"",tbl_Finance[Xero Invoice No],"&lt;&gt;")=0,"",IFERROR(IF(COUNTIFS(tbl_Finance[Job Number],C227&amp;"",tbl_Finance[Xero Invoice No],LOOKUP(2,1/((tbl_Finance[Job Number]=C227&amp;"")*(tbl_Finance[Xero Invoice No]&lt;&gt;"")),tbl_Finance[Xero Invoice No]))=COUNTIFS(tbl_Finance[Job Number],C227&amp;"",tbl_Finance[Xero Invoice No],"&lt;&gt;"),LOOKUP(2,1/((tbl_Finance[Job Number]=C227&amp;"")*(tbl_Finance[Xero Invoice No]&lt;&gt;"")),tbl_Finance[Xero Invoice No]),LOOKUP(2,1/((tbl_Finance[Job Number]=C227&amp;"")*(tbl_Finance[Xero Invoice No]&lt;&gt;"")),tbl_Finance[Xero Invoice No])&amp;" +more"),"")))</f>
        <v/>
      </c>
      <c r="C227" s="24" t="n"/>
      <c r="D227" s="25">
        <f>IF(C227="","",IF(COUNTIF(lst_Jobs,C227&amp;"")&gt;0,"OK","CHECK"))</f>
        <v/>
      </c>
      <c r="E227" s="25">
        <f>IF(C227="","",IFERROR(INDEX(lst_JobName,MATCH(C227&amp;"",lst_Jobs,0)),""))</f>
        <v/>
      </c>
      <c r="F227" s="25">
        <f>IF(C227="","",IFERROR(INDEX(tbl_Finance[Client],MATCH(C227&amp;"",tbl_Finance[Job Number],0)),""))</f>
        <v/>
      </c>
      <c r="G227" s="28">
        <f>IF(C227="","",COUNTIFS(tbl_Finance[Job Number],C227&amp;"",tbl_Finance[Ex GST],"&lt;&gt;"))</f>
        <v/>
      </c>
      <c r="H227" s="27">
        <f>IF(C227="","",SUMIFS(tbl_Finance[Ex GST],tbl_Finance[Job Number],C227&amp;""))</f>
        <v/>
      </c>
      <c r="I227" s="27">
        <f>IF(C227="","",SUMIFS(tbl_Finance[Ex GST],tbl_Finance[Job Number],C227&amp;"",tbl_Finance[Xero Invoice No],"&lt;&gt;"))</f>
        <v/>
      </c>
      <c r="J227" s="27">
        <f>IF(C227="","",H227-I227)</f>
        <v/>
      </c>
      <c r="K227" s="25">
        <f>IF(C227="","",IF(G227=0,"not invoiced yet",SUBSTITUTE(TRIM(IF(COUNTIFS(tbl_Finance[Job Number],C227&amp;"",tbl_Finance[Cost Centre],"ONSITE")&gt;0,"ONSITE ","")&amp;IF(COUNTIFS(tbl_Finance[Job Number],C227&amp;"",tbl_Finance[Cost Centre],"PRODUCTION")&gt;0,"PRODUCTION ","")&amp;IF(COUNTIFS(tbl_Finance[Job Number],C227&amp;"",tbl_Finance[Cost Centre],"VIDEO")&gt;0,"VIDEO ","")&amp;IF(COUNTIFS(tbl_Finance[Job Number],C227&amp;"",tbl_Finance[Cost Centre],"INTEGRATION")&gt;0,"INTEGRATION ","")&amp;IF(COUNTIFS(tbl_Finance[Job Number],C227&amp;"",tbl_Finance[Cost Centre],"CONSULTING")&gt;0,"CONSULTING ","")&amp;IF(COUNTIFS(tbl_Finance[Job Number],C227&amp;"",tbl_Finance[Cost Centre],"CTS")&gt;0,"CTS ",""))," ",", ")))</f>
        <v/>
      </c>
      <c r="L227" s="27">
        <f>IF(C227="","",SUMIFS(tbl_Finance[Inc GST],tbl_Finance[Job Number],C227&amp;""))</f>
        <v/>
      </c>
      <c r="M227" s="24" t="n"/>
      <c r="N227" s="25">
        <f>IF(C227="","",IFERROR(INDEX(tbl_Finance[Description],MATCH(C227&amp;"",tbl_Finance[Job Number],0)),""))</f>
        <v/>
      </c>
      <c r="O227" s="24" t="n"/>
      <c r="P227" s="24" t="n"/>
      <c r="Q227" s="22" t="n"/>
      <c r="R227" s="24" t="n"/>
      <c r="S227" s="25">
        <f>IF(R227="","",IF(AND(LEFT(R227,4)&lt;&gt;"http",set_RMSBase=""),"",HYPERLINK(IF(LEFT(R227,4)="http",R227,set_RMSBase&amp;R227),"Open opportunity")))</f>
        <v/>
      </c>
      <c r="T227" s="24" t="n"/>
      <c r="U227" s="25">
        <f>IF(T227="","",HYPERLINK(IF(LEFT(T227,4)="http",T227,set_QwilrBase&amp;T227),"Open quote"))</f>
        <v/>
      </c>
      <c r="V227" s="25">
        <f>IF(C227="","",C227)</f>
        <v/>
      </c>
      <c r="W227" s="24" t="n"/>
      <c r="X227" s="26" t="n"/>
      <c r="Y227" s="27">
        <f>IF(C227="","",H227+N(X227))</f>
        <v/>
      </c>
      <c r="Z227" s="29">
        <f>IFERROR(X227/Y227,"")</f>
        <v/>
      </c>
      <c r="AA227" s="26" t="n"/>
      <c r="AB227" s="26" t="n"/>
      <c r="AC227" s="26" t="n"/>
      <c r="AD227" s="26" t="n"/>
      <c r="AE227" s="27">
        <f>IF(C227="","",SUMIFS(tbl_Finance[Ex GST],tbl_Finance[Job Number],C227&amp;"",tbl_Finance[Cost Centre],"VIDEO"))</f>
        <v/>
      </c>
      <c r="AF227" s="29">
        <f>IFERROR(AE227/H227,"")</f>
        <v/>
      </c>
      <c r="AG227" s="27">
        <f>IF(C227="","",N(AA227)+N(AB227)+N(AC227)+N(AD227))</f>
        <v/>
      </c>
      <c r="AH227" s="27">
        <f>IF(C227="","",H227-AG227)</f>
        <v/>
      </c>
      <c r="AI227" s="29">
        <f>IFERROR(AH227/H227,"")</f>
        <v/>
      </c>
      <c r="AJ227" s="69" t="n"/>
      <c r="AK227" s="69" t="n"/>
      <c r="AL227" s="69" t="n"/>
      <c r="AM227" s="69" t="n"/>
      <c r="AN227" s="69" t="n"/>
      <c r="AO227" s="24" t="n"/>
    </row>
    <row r="228" ht="15" customHeight="1">
      <c r="A228" s="68">
        <f>IF(C228="","",IFERROR(IF(SUMPRODUCT(MAX((tbl_Finance[Job Number]=C228&amp;"")*(tbl_Finance[Xero Invoice No]&lt;&gt;"")*tbl_Finance[Date]))=0,"",SUMPRODUCT(MAX((tbl_Finance[Job Number]=C228&amp;"")*(tbl_Finance[Xero Invoice No]&lt;&gt;"")*tbl_Finance[Date]))),""))</f>
        <v/>
      </c>
      <c r="B228" s="25">
        <f>IF(C228="","",IF(COUNTIFS(tbl_Finance[Job Number],C228&amp;"",tbl_Finance[Xero Invoice No],"&lt;&gt;")=0,"",IFERROR(IF(COUNTIFS(tbl_Finance[Job Number],C228&amp;"",tbl_Finance[Xero Invoice No],LOOKUP(2,1/((tbl_Finance[Job Number]=C228&amp;"")*(tbl_Finance[Xero Invoice No]&lt;&gt;"")),tbl_Finance[Xero Invoice No]))=COUNTIFS(tbl_Finance[Job Number],C228&amp;"",tbl_Finance[Xero Invoice No],"&lt;&gt;"),LOOKUP(2,1/((tbl_Finance[Job Number]=C228&amp;"")*(tbl_Finance[Xero Invoice No]&lt;&gt;"")),tbl_Finance[Xero Invoice No]),LOOKUP(2,1/((tbl_Finance[Job Number]=C228&amp;"")*(tbl_Finance[Xero Invoice No]&lt;&gt;"")),tbl_Finance[Xero Invoice No])&amp;" +more"),"")))</f>
        <v/>
      </c>
      <c r="C228" s="24" t="n"/>
      <c r="D228" s="25">
        <f>IF(C228="","",IF(COUNTIF(lst_Jobs,C228&amp;"")&gt;0,"OK","CHECK"))</f>
        <v/>
      </c>
      <c r="E228" s="25">
        <f>IF(C228="","",IFERROR(INDEX(lst_JobName,MATCH(C228&amp;"",lst_Jobs,0)),""))</f>
        <v/>
      </c>
      <c r="F228" s="25">
        <f>IF(C228="","",IFERROR(INDEX(tbl_Finance[Client],MATCH(C228&amp;"",tbl_Finance[Job Number],0)),""))</f>
        <v/>
      </c>
      <c r="G228" s="28">
        <f>IF(C228="","",COUNTIFS(tbl_Finance[Job Number],C228&amp;"",tbl_Finance[Ex GST],"&lt;&gt;"))</f>
        <v/>
      </c>
      <c r="H228" s="27">
        <f>IF(C228="","",SUMIFS(tbl_Finance[Ex GST],tbl_Finance[Job Number],C228&amp;""))</f>
        <v/>
      </c>
      <c r="I228" s="27">
        <f>IF(C228="","",SUMIFS(tbl_Finance[Ex GST],tbl_Finance[Job Number],C228&amp;"",tbl_Finance[Xero Invoice No],"&lt;&gt;"))</f>
        <v/>
      </c>
      <c r="J228" s="27">
        <f>IF(C228="","",H228-I228)</f>
        <v/>
      </c>
      <c r="K228" s="25">
        <f>IF(C228="","",IF(G228=0,"not invoiced yet",SUBSTITUTE(TRIM(IF(COUNTIFS(tbl_Finance[Job Number],C228&amp;"",tbl_Finance[Cost Centre],"ONSITE")&gt;0,"ONSITE ","")&amp;IF(COUNTIFS(tbl_Finance[Job Number],C228&amp;"",tbl_Finance[Cost Centre],"PRODUCTION")&gt;0,"PRODUCTION ","")&amp;IF(COUNTIFS(tbl_Finance[Job Number],C228&amp;"",tbl_Finance[Cost Centre],"VIDEO")&gt;0,"VIDEO ","")&amp;IF(COUNTIFS(tbl_Finance[Job Number],C228&amp;"",tbl_Finance[Cost Centre],"INTEGRATION")&gt;0,"INTEGRATION ","")&amp;IF(COUNTIFS(tbl_Finance[Job Number],C228&amp;"",tbl_Finance[Cost Centre],"CONSULTING")&gt;0,"CONSULTING ","")&amp;IF(COUNTIFS(tbl_Finance[Job Number],C228&amp;"",tbl_Finance[Cost Centre],"CTS")&gt;0,"CTS ",""))," ",", ")))</f>
        <v/>
      </c>
      <c r="L228" s="27">
        <f>IF(C228="","",SUMIFS(tbl_Finance[Inc GST],tbl_Finance[Job Number],C228&amp;""))</f>
        <v/>
      </c>
      <c r="M228" s="24" t="n"/>
      <c r="N228" s="25">
        <f>IF(C228="","",IFERROR(INDEX(tbl_Finance[Description],MATCH(C228&amp;"",tbl_Finance[Job Number],0)),""))</f>
        <v/>
      </c>
      <c r="O228" s="24" t="n"/>
      <c r="P228" s="24" t="n"/>
      <c r="Q228" s="22" t="n"/>
      <c r="R228" s="24" t="n"/>
      <c r="S228" s="25">
        <f>IF(R228="","",IF(AND(LEFT(R228,4)&lt;&gt;"http",set_RMSBase=""),"",HYPERLINK(IF(LEFT(R228,4)="http",R228,set_RMSBase&amp;R228),"Open opportunity")))</f>
        <v/>
      </c>
      <c r="T228" s="24" t="n"/>
      <c r="U228" s="25">
        <f>IF(T228="","",HYPERLINK(IF(LEFT(T228,4)="http",T228,set_QwilrBase&amp;T228),"Open quote"))</f>
        <v/>
      </c>
      <c r="V228" s="25">
        <f>IF(C228="","",C228)</f>
        <v/>
      </c>
      <c r="W228" s="24" t="n"/>
      <c r="X228" s="26" t="n"/>
      <c r="Y228" s="27">
        <f>IF(C228="","",H228+N(X228))</f>
        <v/>
      </c>
      <c r="Z228" s="29">
        <f>IFERROR(X228/Y228,"")</f>
        <v/>
      </c>
      <c r="AA228" s="26" t="n"/>
      <c r="AB228" s="26" t="n"/>
      <c r="AC228" s="26" t="n"/>
      <c r="AD228" s="26" t="n"/>
      <c r="AE228" s="27">
        <f>IF(C228="","",SUMIFS(tbl_Finance[Ex GST],tbl_Finance[Job Number],C228&amp;"",tbl_Finance[Cost Centre],"VIDEO"))</f>
        <v/>
      </c>
      <c r="AF228" s="29">
        <f>IFERROR(AE228/H228,"")</f>
        <v/>
      </c>
      <c r="AG228" s="27">
        <f>IF(C228="","",N(AA228)+N(AB228)+N(AC228)+N(AD228))</f>
        <v/>
      </c>
      <c r="AH228" s="27">
        <f>IF(C228="","",H228-AG228)</f>
        <v/>
      </c>
      <c r="AI228" s="29">
        <f>IFERROR(AH228/H228,"")</f>
        <v/>
      </c>
      <c r="AJ228" s="69" t="n"/>
      <c r="AK228" s="69" t="n"/>
      <c r="AL228" s="69" t="n"/>
      <c r="AM228" s="69" t="n"/>
      <c r="AN228" s="69" t="n"/>
      <c r="AO228" s="24" t="n"/>
    </row>
    <row r="229" ht="15" customHeight="1">
      <c r="A229" s="68">
        <f>IF(C229="","",IFERROR(IF(SUMPRODUCT(MAX((tbl_Finance[Job Number]=C229&amp;"")*(tbl_Finance[Xero Invoice No]&lt;&gt;"")*tbl_Finance[Date]))=0,"",SUMPRODUCT(MAX((tbl_Finance[Job Number]=C229&amp;"")*(tbl_Finance[Xero Invoice No]&lt;&gt;"")*tbl_Finance[Date]))),""))</f>
        <v/>
      </c>
      <c r="B229" s="25">
        <f>IF(C229="","",IF(COUNTIFS(tbl_Finance[Job Number],C229&amp;"",tbl_Finance[Xero Invoice No],"&lt;&gt;")=0,"",IFERROR(IF(COUNTIFS(tbl_Finance[Job Number],C229&amp;"",tbl_Finance[Xero Invoice No],LOOKUP(2,1/((tbl_Finance[Job Number]=C229&amp;"")*(tbl_Finance[Xero Invoice No]&lt;&gt;"")),tbl_Finance[Xero Invoice No]))=COUNTIFS(tbl_Finance[Job Number],C229&amp;"",tbl_Finance[Xero Invoice No],"&lt;&gt;"),LOOKUP(2,1/((tbl_Finance[Job Number]=C229&amp;"")*(tbl_Finance[Xero Invoice No]&lt;&gt;"")),tbl_Finance[Xero Invoice No]),LOOKUP(2,1/((tbl_Finance[Job Number]=C229&amp;"")*(tbl_Finance[Xero Invoice No]&lt;&gt;"")),tbl_Finance[Xero Invoice No])&amp;" +more"),"")))</f>
        <v/>
      </c>
      <c r="C229" s="24" t="n"/>
      <c r="D229" s="25">
        <f>IF(C229="","",IF(COUNTIF(lst_Jobs,C229&amp;"")&gt;0,"OK","CHECK"))</f>
        <v/>
      </c>
      <c r="E229" s="25">
        <f>IF(C229="","",IFERROR(INDEX(lst_JobName,MATCH(C229&amp;"",lst_Jobs,0)),""))</f>
        <v/>
      </c>
      <c r="F229" s="25">
        <f>IF(C229="","",IFERROR(INDEX(tbl_Finance[Client],MATCH(C229&amp;"",tbl_Finance[Job Number],0)),""))</f>
        <v/>
      </c>
      <c r="G229" s="28">
        <f>IF(C229="","",COUNTIFS(tbl_Finance[Job Number],C229&amp;"",tbl_Finance[Ex GST],"&lt;&gt;"))</f>
        <v/>
      </c>
      <c r="H229" s="27">
        <f>IF(C229="","",SUMIFS(tbl_Finance[Ex GST],tbl_Finance[Job Number],C229&amp;""))</f>
        <v/>
      </c>
      <c r="I229" s="27">
        <f>IF(C229="","",SUMIFS(tbl_Finance[Ex GST],tbl_Finance[Job Number],C229&amp;"",tbl_Finance[Xero Invoice No],"&lt;&gt;"))</f>
        <v/>
      </c>
      <c r="J229" s="27">
        <f>IF(C229="","",H229-I229)</f>
        <v/>
      </c>
      <c r="K229" s="25">
        <f>IF(C229="","",IF(G229=0,"not invoiced yet",SUBSTITUTE(TRIM(IF(COUNTIFS(tbl_Finance[Job Number],C229&amp;"",tbl_Finance[Cost Centre],"ONSITE")&gt;0,"ONSITE ","")&amp;IF(COUNTIFS(tbl_Finance[Job Number],C229&amp;"",tbl_Finance[Cost Centre],"PRODUCTION")&gt;0,"PRODUCTION ","")&amp;IF(COUNTIFS(tbl_Finance[Job Number],C229&amp;"",tbl_Finance[Cost Centre],"VIDEO")&gt;0,"VIDEO ","")&amp;IF(COUNTIFS(tbl_Finance[Job Number],C229&amp;"",tbl_Finance[Cost Centre],"INTEGRATION")&gt;0,"INTEGRATION ","")&amp;IF(COUNTIFS(tbl_Finance[Job Number],C229&amp;"",tbl_Finance[Cost Centre],"CONSULTING")&gt;0,"CONSULTING ","")&amp;IF(COUNTIFS(tbl_Finance[Job Number],C229&amp;"",tbl_Finance[Cost Centre],"CTS")&gt;0,"CTS ",""))," ",", ")))</f>
        <v/>
      </c>
      <c r="L229" s="27">
        <f>IF(C229="","",SUMIFS(tbl_Finance[Inc GST],tbl_Finance[Job Number],C229&amp;""))</f>
        <v/>
      </c>
      <c r="M229" s="24" t="n"/>
      <c r="N229" s="25">
        <f>IF(C229="","",IFERROR(INDEX(tbl_Finance[Description],MATCH(C229&amp;"",tbl_Finance[Job Number],0)),""))</f>
        <v/>
      </c>
      <c r="O229" s="24" t="n"/>
      <c r="P229" s="24" t="n"/>
      <c r="Q229" s="22" t="n"/>
      <c r="R229" s="24" t="n"/>
      <c r="S229" s="25">
        <f>IF(R229="","",IF(AND(LEFT(R229,4)&lt;&gt;"http",set_RMSBase=""),"",HYPERLINK(IF(LEFT(R229,4)="http",R229,set_RMSBase&amp;R229),"Open opportunity")))</f>
        <v/>
      </c>
      <c r="T229" s="24" t="n"/>
      <c r="U229" s="25">
        <f>IF(T229="","",HYPERLINK(IF(LEFT(T229,4)="http",T229,set_QwilrBase&amp;T229),"Open quote"))</f>
        <v/>
      </c>
      <c r="V229" s="25">
        <f>IF(C229="","",C229)</f>
        <v/>
      </c>
      <c r="W229" s="24" t="n"/>
      <c r="X229" s="26" t="n"/>
      <c r="Y229" s="27">
        <f>IF(C229="","",H229+N(X229))</f>
        <v/>
      </c>
      <c r="Z229" s="29">
        <f>IFERROR(X229/Y229,"")</f>
        <v/>
      </c>
      <c r="AA229" s="26" t="n"/>
      <c r="AB229" s="26" t="n"/>
      <c r="AC229" s="26" t="n"/>
      <c r="AD229" s="26" t="n"/>
      <c r="AE229" s="27">
        <f>IF(C229="","",SUMIFS(tbl_Finance[Ex GST],tbl_Finance[Job Number],C229&amp;"",tbl_Finance[Cost Centre],"VIDEO"))</f>
        <v/>
      </c>
      <c r="AF229" s="29">
        <f>IFERROR(AE229/H229,"")</f>
        <v/>
      </c>
      <c r="AG229" s="27">
        <f>IF(C229="","",N(AA229)+N(AB229)+N(AC229)+N(AD229))</f>
        <v/>
      </c>
      <c r="AH229" s="27">
        <f>IF(C229="","",H229-AG229)</f>
        <v/>
      </c>
      <c r="AI229" s="29">
        <f>IFERROR(AH229/H229,"")</f>
        <v/>
      </c>
      <c r="AJ229" s="69" t="n"/>
      <c r="AK229" s="69" t="n"/>
      <c r="AL229" s="69" t="n"/>
      <c r="AM229" s="69" t="n"/>
      <c r="AN229" s="69" t="n"/>
      <c r="AO229" s="24" t="n"/>
    </row>
    <row r="230" ht="15" customHeight="1">
      <c r="A230" s="68">
        <f>IF(C230="","",IFERROR(IF(SUMPRODUCT(MAX((tbl_Finance[Job Number]=C230&amp;"")*(tbl_Finance[Xero Invoice No]&lt;&gt;"")*tbl_Finance[Date]))=0,"",SUMPRODUCT(MAX((tbl_Finance[Job Number]=C230&amp;"")*(tbl_Finance[Xero Invoice No]&lt;&gt;"")*tbl_Finance[Date]))),""))</f>
        <v/>
      </c>
      <c r="B230" s="25">
        <f>IF(C230="","",IF(COUNTIFS(tbl_Finance[Job Number],C230&amp;"",tbl_Finance[Xero Invoice No],"&lt;&gt;")=0,"",IFERROR(IF(COUNTIFS(tbl_Finance[Job Number],C230&amp;"",tbl_Finance[Xero Invoice No],LOOKUP(2,1/((tbl_Finance[Job Number]=C230&amp;"")*(tbl_Finance[Xero Invoice No]&lt;&gt;"")),tbl_Finance[Xero Invoice No]))=COUNTIFS(tbl_Finance[Job Number],C230&amp;"",tbl_Finance[Xero Invoice No],"&lt;&gt;"),LOOKUP(2,1/((tbl_Finance[Job Number]=C230&amp;"")*(tbl_Finance[Xero Invoice No]&lt;&gt;"")),tbl_Finance[Xero Invoice No]),LOOKUP(2,1/((tbl_Finance[Job Number]=C230&amp;"")*(tbl_Finance[Xero Invoice No]&lt;&gt;"")),tbl_Finance[Xero Invoice No])&amp;" +more"),"")))</f>
        <v/>
      </c>
      <c r="C230" s="24" t="n"/>
      <c r="D230" s="25">
        <f>IF(C230="","",IF(COUNTIF(lst_Jobs,C230&amp;"")&gt;0,"OK","CHECK"))</f>
        <v/>
      </c>
      <c r="E230" s="25">
        <f>IF(C230="","",IFERROR(INDEX(lst_JobName,MATCH(C230&amp;"",lst_Jobs,0)),""))</f>
        <v/>
      </c>
      <c r="F230" s="25">
        <f>IF(C230="","",IFERROR(INDEX(tbl_Finance[Client],MATCH(C230&amp;"",tbl_Finance[Job Number],0)),""))</f>
        <v/>
      </c>
      <c r="G230" s="28">
        <f>IF(C230="","",COUNTIFS(tbl_Finance[Job Number],C230&amp;"",tbl_Finance[Ex GST],"&lt;&gt;"))</f>
        <v/>
      </c>
      <c r="H230" s="27">
        <f>IF(C230="","",SUMIFS(tbl_Finance[Ex GST],tbl_Finance[Job Number],C230&amp;""))</f>
        <v/>
      </c>
      <c r="I230" s="27">
        <f>IF(C230="","",SUMIFS(tbl_Finance[Ex GST],tbl_Finance[Job Number],C230&amp;"",tbl_Finance[Xero Invoice No],"&lt;&gt;"))</f>
        <v/>
      </c>
      <c r="J230" s="27">
        <f>IF(C230="","",H230-I230)</f>
        <v/>
      </c>
      <c r="K230" s="25">
        <f>IF(C230="","",IF(G230=0,"not invoiced yet",SUBSTITUTE(TRIM(IF(COUNTIFS(tbl_Finance[Job Number],C230&amp;"",tbl_Finance[Cost Centre],"ONSITE")&gt;0,"ONSITE ","")&amp;IF(COUNTIFS(tbl_Finance[Job Number],C230&amp;"",tbl_Finance[Cost Centre],"PRODUCTION")&gt;0,"PRODUCTION ","")&amp;IF(COUNTIFS(tbl_Finance[Job Number],C230&amp;"",tbl_Finance[Cost Centre],"VIDEO")&gt;0,"VIDEO ","")&amp;IF(COUNTIFS(tbl_Finance[Job Number],C230&amp;"",tbl_Finance[Cost Centre],"INTEGRATION")&gt;0,"INTEGRATION ","")&amp;IF(COUNTIFS(tbl_Finance[Job Number],C230&amp;"",tbl_Finance[Cost Centre],"CONSULTING")&gt;0,"CONSULTING ","")&amp;IF(COUNTIFS(tbl_Finance[Job Number],C230&amp;"",tbl_Finance[Cost Centre],"CTS")&gt;0,"CTS ",""))," ",", ")))</f>
        <v/>
      </c>
      <c r="L230" s="27">
        <f>IF(C230="","",SUMIFS(tbl_Finance[Inc GST],tbl_Finance[Job Number],C230&amp;""))</f>
        <v/>
      </c>
      <c r="M230" s="24" t="n"/>
      <c r="N230" s="25">
        <f>IF(C230="","",IFERROR(INDEX(tbl_Finance[Description],MATCH(C230&amp;"",tbl_Finance[Job Number],0)),""))</f>
        <v/>
      </c>
      <c r="O230" s="24" t="n"/>
      <c r="P230" s="24" t="n"/>
      <c r="Q230" s="22" t="n"/>
      <c r="R230" s="24" t="n"/>
      <c r="S230" s="25">
        <f>IF(R230="","",IF(AND(LEFT(R230,4)&lt;&gt;"http",set_RMSBase=""),"",HYPERLINK(IF(LEFT(R230,4)="http",R230,set_RMSBase&amp;R230),"Open opportunity")))</f>
        <v/>
      </c>
      <c r="T230" s="24" t="n"/>
      <c r="U230" s="25">
        <f>IF(T230="","",HYPERLINK(IF(LEFT(T230,4)="http",T230,set_QwilrBase&amp;T230),"Open quote"))</f>
        <v/>
      </c>
      <c r="V230" s="25">
        <f>IF(C230="","",C230)</f>
        <v/>
      </c>
      <c r="W230" s="24" t="n"/>
      <c r="X230" s="26" t="n"/>
      <c r="Y230" s="27">
        <f>IF(C230="","",H230+N(X230))</f>
        <v/>
      </c>
      <c r="Z230" s="29">
        <f>IFERROR(X230/Y230,"")</f>
        <v/>
      </c>
      <c r="AA230" s="26" t="n"/>
      <c r="AB230" s="26" t="n"/>
      <c r="AC230" s="26" t="n"/>
      <c r="AD230" s="26" t="n"/>
      <c r="AE230" s="27">
        <f>IF(C230="","",SUMIFS(tbl_Finance[Ex GST],tbl_Finance[Job Number],C230&amp;"",tbl_Finance[Cost Centre],"VIDEO"))</f>
        <v/>
      </c>
      <c r="AF230" s="29">
        <f>IFERROR(AE230/H230,"")</f>
        <v/>
      </c>
      <c r="AG230" s="27">
        <f>IF(C230="","",N(AA230)+N(AB230)+N(AC230)+N(AD230))</f>
        <v/>
      </c>
      <c r="AH230" s="27">
        <f>IF(C230="","",H230-AG230)</f>
        <v/>
      </c>
      <c r="AI230" s="29">
        <f>IFERROR(AH230/H230,"")</f>
        <v/>
      </c>
      <c r="AJ230" s="69" t="n"/>
      <c r="AK230" s="69" t="n"/>
      <c r="AL230" s="69" t="n"/>
      <c r="AM230" s="69" t="n"/>
      <c r="AN230" s="69" t="n"/>
      <c r="AO230" s="24" t="n"/>
    </row>
    <row r="231" ht="15" customHeight="1">
      <c r="A231" s="68">
        <f>IF(C231="","",IFERROR(IF(SUMPRODUCT(MAX((tbl_Finance[Job Number]=C231&amp;"")*(tbl_Finance[Xero Invoice No]&lt;&gt;"")*tbl_Finance[Date]))=0,"",SUMPRODUCT(MAX((tbl_Finance[Job Number]=C231&amp;"")*(tbl_Finance[Xero Invoice No]&lt;&gt;"")*tbl_Finance[Date]))),""))</f>
        <v/>
      </c>
      <c r="B231" s="25">
        <f>IF(C231="","",IF(COUNTIFS(tbl_Finance[Job Number],C231&amp;"",tbl_Finance[Xero Invoice No],"&lt;&gt;")=0,"",IFERROR(IF(COUNTIFS(tbl_Finance[Job Number],C231&amp;"",tbl_Finance[Xero Invoice No],LOOKUP(2,1/((tbl_Finance[Job Number]=C231&amp;"")*(tbl_Finance[Xero Invoice No]&lt;&gt;"")),tbl_Finance[Xero Invoice No]))=COUNTIFS(tbl_Finance[Job Number],C231&amp;"",tbl_Finance[Xero Invoice No],"&lt;&gt;"),LOOKUP(2,1/((tbl_Finance[Job Number]=C231&amp;"")*(tbl_Finance[Xero Invoice No]&lt;&gt;"")),tbl_Finance[Xero Invoice No]),LOOKUP(2,1/((tbl_Finance[Job Number]=C231&amp;"")*(tbl_Finance[Xero Invoice No]&lt;&gt;"")),tbl_Finance[Xero Invoice No])&amp;" +more"),"")))</f>
        <v/>
      </c>
      <c r="C231" s="24" t="n"/>
      <c r="D231" s="25">
        <f>IF(C231="","",IF(COUNTIF(lst_Jobs,C231&amp;"")&gt;0,"OK","CHECK"))</f>
        <v/>
      </c>
      <c r="E231" s="25">
        <f>IF(C231="","",IFERROR(INDEX(lst_JobName,MATCH(C231&amp;"",lst_Jobs,0)),""))</f>
        <v/>
      </c>
      <c r="F231" s="25">
        <f>IF(C231="","",IFERROR(INDEX(tbl_Finance[Client],MATCH(C231&amp;"",tbl_Finance[Job Number],0)),""))</f>
        <v/>
      </c>
      <c r="G231" s="28">
        <f>IF(C231="","",COUNTIFS(tbl_Finance[Job Number],C231&amp;"",tbl_Finance[Ex GST],"&lt;&gt;"))</f>
        <v/>
      </c>
      <c r="H231" s="27">
        <f>IF(C231="","",SUMIFS(tbl_Finance[Ex GST],tbl_Finance[Job Number],C231&amp;""))</f>
        <v/>
      </c>
      <c r="I231" s="27">
        <f>IF(C231="","",SUMIFS(tbl_Finance[Ex GST],tbl_Finance[Job Number],C231&amp;"",tbl_Finance[Xero Invoice No],"&lt;&gt;"))</f>
        <v/>
      </c>
      <c r="J231" s="27">
        <f>IF(C231="","",H231-I231)</f>
        <v/>
      </c>
      <c r="K231" s="25">
        <f>IF(C231="","",IF(G231=0,"not invoiced yet",SUBSTITUTE(TRIM(IF(COUNTIFS(tbl_Finance[Job Number],C231&amp;"",tbl_Finance[Cost Centre],"ONSITE")&gt;0,"ONSITE ","")&amp;IF(COUNTIFS(tbl_Finance[Job Number],C231&amp;"",tbl_Finance[Cost Centre],"PRODUCTION")&gt;0,"PRODUCTION ","")&amp;IF(COUNTIFS(tbl_Finance[Job Number],C231&amp;"",tbl_Finance[Cost Centre],"VIDEO")&gt;0,"VIDEO ","")&amp;IF(COUNTIFS(tbl_Finance[Job Number],C231&amp;"",tbl_Finance[Cost Centre],"INTEGRATION")&gt;0,"INTEGRATION ","")&amp;IF(COUNTIFS(tbl_Finance[Job Number],C231&amp;"",tbl_Finance[Cost Centre],"CONSULTING")&gt;0,"CONSULTING ","")&amp;IF(COUNTIFS(tbl_Finance[Job Number],C231&amp;"",tbl_Finance[Cost Centre],"CTS")&gt;0,"CTS ",""))," ",", ")))</f>
        <v/>
      </c>
      <c r="L231" s="27">
        <f>IF(C231="","",SUMIFS(tbl_Finance[Inc GST],tbl_Finance[Job Number],C231&amp;""))</f>
        <v/>
      </c>
      <c r="M231" s="24" t="n"/>
      <c r="N231" s="25">
        <f>IF(C231="","",IFERROR(INDEX(tbl_Finance[Description],MATCH(C231&amp;"",tbl_Finance[Job Number],0)),""))</f>
        <v/>
      </c>
      <c r="O231" s="24" t="n"/>
      <c r="P231" s="24" t="n"/>
      <c r="Q231" s="22" t="n"/>
      <c r="R231" s="24" t="n"/>
      <c r="S231" s="25">
        <f>IF(R231="","",IF(AND(LEFT(R231,4)&lt;&gt;"http",set_RMSBase=""),"",HYPERLINK(IF(LEFT(R231,4)="http",R231,set_RMSBase&amp;R231),"Open opportunity")))</f>
        <v/>
      </c>
      <c r="T231" s="24" t="n"/>
      <c r="U231" s="25">
        <f>IF(T231="","",HYPERLINK(IF(LEFT(T231,4)="http",T231,set_QwilrBase&amp;T231),"Open quote"))</f>
        <v/>
      </c>
      <c r="V231" s="25">
        <f>IF(C231="","",C231)</f>
        <v/>
      </c>
      <c r="W231" s="24" t="n"/>
      <c r="X231" s="26" t="n"/>
      <c r="Y231" s="27">
        <f>IF(C231="","",H231+N(X231))</f>
        <v/>
      </c>
      <c r="Z231" s="29">
        <f>IFERROR(X231/Y231,"")</f>
        <v/>
      </c>
      <c r="AA231" s="26" t="n"/>
      <c r="AB231" s="26" t="n"/>
      <c r="AC231" s="26" t="n"/>
      <c r="AD231" s="26" t="n"/>
      <c r="AE231" s="27">
        <f>IF(C231="","",SUMIFS(tbl_Finance[Ex GST],tbl_Finance[Job Number],C231&amp;"",tbl_Finance[Cost Centre],"VIDEO"))</f>
        <v/>
      </c>
      <c r="AF231" s="29">
        <f>IFERROR(AE231/H231,"")</f>
        <v/>
      </c>
      <c r="AG231" s="27">
        <f>IF(C231="","",N(AA231)+N(AB231)+N(AC231)+N(AD231))</f>
        <v/>
      </c>
      <c r="AH231" s="27">
        <f>IF(C231="","",H231-AG231)</f>
        <v/>
      </c>
      <c r="AI231" s="29">
        <f>IFERROR(AH231/H231,"")</f>
        <v/>
      </c>
      <c r="AJ231" s="69" t="n"/>
      <c r="AK231" s="69" t="n"/>
      <c r="AL231" s="69" t="n"/>
      <c r="AM231" s="69" t="n"/>
      <c r="AN231" s="69" t="n"/>
      <c r="AO231" s="24" t="n"/>
    </row>
    <row r="232" ht="15" customHeight="1">
      <c r="A232" s="68">
        <f>IF(C232="","",IFERROR(IF(SUMPRODUCT(MAX((tbl_Finance[Job Number]=C232&amp;"")*(tbl_Finance[Xero Invoice No]&lt;&gt;"")*tbl_Finance[Date]))=0,"",SUMPRODUCT(MAX((tbl_Finance[Job Number]=C232&amp;"")*(tbl_Finance[Xero Invoice No]&lt;&gt;"")*tbl_Finance[Date]))),""))</f>
        <v/>
      </c>
      <c r="B232" s="25">
        <f>IF(C232="","",IF(COUNTIFS(tbl_Finance[Job Number],C232&amp;"",tbl_Finance[Xero Invoice No],"&lt;&gt;")=0,"",IFERROR(IF(COUNTIFS(tbl_Finance[Job Number],C232&amp;"",tbl_Finance[Xero Invoice No],LOOKUP(2,1/((tbl_Finance[Job Number]=C232&amp;"")*(tbl_Finance[Xero Invoice No]&lt;&gt;"")),tbl_Finance[Xero Invoice No]))=COUNTIFS(tbl_Finance[Job Number],C232&amp;"",tbl_Finance[Xero Invoice No],"&lt;&gt;"),LOOKUP(2,1/((tbl_Finance[Job Number]=C232&amp;"")*(tbl_Finance[Xero Invoice No]&lt;&gt;"")),tbl_Finance[Xero Invoice No]),LOOKUP(2,1/((tbl_Finance[Job Number]=C232&amp;"")*(tbl_Finance[Xero Invoice No]&lt;&gt;"")),tbl_Finance[Xero Invoice No])&amp;" +more"),"")))</f>
        <v/>
      </c>
      <c r="C232" s="24" t="n"/>
      <c r="D232" s="25">
        <f>IF(C232="","",IF(COUNTIF(lst_Jobs,C232&amp;"")&gt;0,"OK","CHECK"))</f>
        <v/>
      </c>
      <c r="E232" s="25">
        <f>IF(C232="","",IFERROR(INDEX(lst_JobName,MATCH(C232&amp;"",lst_Jobs,0)),""))</f>
        <v/>
      </c>
      <c r="F232" s="25">
        <f>IF(C232="","",IFERROR(INDEX(tbl_Finance[Client],MATCH(C232&amp;"",tbl_Finance[Job Number],0)),""))</f>
        <v/>
      </c>
      <c r="G232" s="28">
        <f>IF(C232="","",COUNTIFS(tbl_Finance[Job Number],C232&amp;"",tbl_Finance[Ex GST],"&lt;&gt;"))</f>
        <v/>
      </c>
      <c r="H232" s="27">
        <f>IF(C232="","",SUMIFS(tbl_Finance[Ex GST],tbl_Finance[Job Number],C232&amp;""))</f>
        <v/>
      </c>
      <c r="I232" s="27">
        <f>IF(C232="","",SUMIFS(tbl_Finance[Ex GST],tbl_Finance[Job Number],C232&amp;"",tbl_Finance[Xero Invoice No],"&lt;&gt;"))</f>
        <v/>
      </c>
      <c r="J232" s="27">
        <f>IF(C232="","",H232-I232)</f>
        <v/>
      </c>
      <c r="K232" s="25">
        <f>IF(C232="","",IF(G232=0,"not invoiced yet",SUBSTITUTE(TRIM(IF(COUNTIFS(tbl_Finance[Job Number],C232&amp;"",tbl_Finance[Cost Centre],"ONSITE")&gt;0,"ONSITE ","")&amp;IF(COUNTIFS(tbl_Finance[Job Number],C232&amp;"",tbl_Finance[Cost Centre],"PRODUCTION")&gt;0,"PRODUCTION ","")&amp;IF(COUNTIFS(tbl_Finance[Job Number],C232&amp;"",tbl_Finance[Cost Centre],"VIDEO")&gt;0,"VIDEO ","")&amp;IF(COUNTIFS(tbl_Finance[Job Number],C232&amp;"",tbl_Finance[Cost Centre],"INTEGRATION")&gt;0,"INTEGRATION ","")&amp;IF(COUNTIFS(tbl_Finance[Job Number],C232&amp;"",tbl_Finance[Cost Centre],"CONSULTING")&gt;0,"CONSULTING ","")&amp;IF(COUNTIFS(tbl_Finance[Job Number],C232&amp;"",tbl_Finance[Cost Centre],"CTS")&gt;0,"CTS ",""))," ",", ")))</f>
        <v/>
      </c>
      <c r="L232" s="27">
        <f>IF(C232="","",SUMIFS(tbl_Finance[Inc GST],tbl_Finance[Job Number],C232&amp;""))</f>
        <v/>
      </c>
      <c r="M232" s="24" t="n"/>
      <c r="N232" s="25">
        <f>IF(C232="","",IFERROR(INDEX(tbl_Finance[Description],MATCH(C232&amp;"",tbl_Finance[Job Number],0)),""))</f>
        <v/>
      </c>
      <c r="O232" s="24" t="n"/>
      <c r="P232" s="24" t="n"/>
      <c r="Q232" s="22" t="n"/>
      <c r="R232" s="24" t="n"/>
      <c r="S232" s="25">
        <f>IF(R232="","",IF(AND(LEFT(R232,4)&lt;&gt;"http",set_RMSBase=""),"",HYPERLINK(IF(LEFT(R232,4)="http",R232,set_RMSBase&amp;R232),"Open opportunity")))</f>
        <v/>
      </c>
      <c r="T232" s="24" t="n"/>
      <c r="U232" s="25">
        <f>IF(T232="","",HYPERLINK(IF(LEFT(T232,4)="http",T232,set_QwilrBase&amp;T232),"Open quote"))</f>
        <v/>
      </c>
      <c r="V232" s="25">
        <f>IF(C232="","",C232)</f>
        <v/>
      </c>
      <c r="W232" s="24" t="n"/>
      <c r="X232" s="26" t="n"/>
      <c r="Y232" s="27">
        <f>IF(C232="","",H232+N(X232))</f>
        <v/>
      </c>
      <c r="Z232" s="29">
        <f>IFERROR(X232/Y232,"")</f>
        <v/>
      </c>
      <c r="AA232" s="26" t="n"/>
      <c r="AB232" s="26" t="n"/>
      <c r="AC232" s="26" t="n"/>
      <c r="AD232" s="26" t="n"/>
      <c r="AE232" s="27">
        <f>IF(C232="","",SUMIFS(tbl_Finance[Ex GST],tbl_Finance[Job Number],C232&amp;"",tbl_Finance[Cost Centre],"VIDEO"))</f>
        <v/>
      </c>
      <c r="AF232" s="29">
        <f>IFERROR(AE232/H232,"")</f>
        <v/>
      </c>
      <c r="AG232" s="27">
        <f>IF(C232="","",N(AA232)+N(AB232)+N(AC232)+N(AD232))</f>
        <v/>
      </c>
      <c r="AH232" s="27">
        <f>IF(C232="","",H232-AG232)</f>
        <v/>
      </c>
      <c r="AI232" s="29">
        <f>IFERROR(AH232/H232,"")</f>
        <v/>
      </c>
      <c r="AJ232" s="69" t="n"/>
      <c r="AK232" s="69" t="n"/>
      <c r="AL232" s="69" t="n"/>
      <c r="AM232" s="69" t="n"/>
      <c r="AN232" s="69" t="n"/>
      <c r="AO232" s="24" t="n"/>
    </row>
    <row r="233" ht="15" customHeight="1">
      <c r="A233" s="68">
        <f>IF(C233="","",IFERROR(IF(SUMPRODUCT(MAX((tbl_Finance[Job Number]=C233&amp;"")*(tbl_Finance[Xero Invoice No]&lt;&gt;"")*tbl_Finance[Date]))=0,"",SUMPRODUCT(MAX((tbl_Finance[Job Number]=C233&amp;"")*(tbl_Finance[Xero Invoice No]&lt;&gt;"")*tbl_Finance[Date]))),""))</f>
        <v/>
      </c>
      <c r="B233" s="25">
        <f>IF(C233="","",IF(COUNTIFS(tbl_Finance[Job Number],C233&amp;"",tbl_Finance[Xero Invoice No],"&lt;&gt;")=0,"",IFERROR(IF(COUNTIFS(tbl_Finance[Job Number],C233&amp;"",tbl_Finance[Xero Invoice No],LOOKUP(2,1/((tbl_Finance[Job Number]=C233&amp;"")*(tbl_Finance[Xero Invoice No]&lt;&gt;"")),tbl_Finance[Xero Invoice No]))=COUNTIFS(tbl_Finance[Job Number],C233&amp;"",tbl_Finance[Xero Invoice No],"&lt;&gt;"),LOOKUP(2,1/((tbl_Finance[Job Number]=C233&amp;"")*(tbl_Finance[Xero Invoice No]&lt;&gt;"")),tbl_Finance[Xero Invoice No]),LOOKUP(2,1/((tbl_Finance[Job Number]=C233&amp;"")*(tbl_Finance[Xero Invoice No]&lt;&gt;"")),tbl_Finance[Xero Invoice No])&amp;" +more"),"")))</f>
        <v/>
      </c>
      <c r="C233" s="24" t="n"/>
      <c r="D233" s="25">
        <f>IF(C233="","",IF(COUNTIF(lst_Jobs,C233&amp;"")&gt;0,"OK","CHECK"))</f>
        <v/>
      </c>
      <c r="E233" s="25">
        <f>IF(C233="","",IFERROR(INDEX(lst_JobName,MATCH(C233&amp;"",lst_Jobs,0)),""))</f>
        <v/>
      </c>
      <c r="F233" s="25">
        <f>IF(C233="","",IFERROR(INDEX(tbl_Finance[Client],MATCH(C233&amp;"",tbl_Finance[Job Number],0)),""))</f>
        <v/>
      </c>
      <c r="G233" s="28">
        <f>IF(C233="","",COUNTIFS(tbl_Finance[Job Number],C233&amp;"",tbl_Finance[Ex GST],"&lt;&gt;"))</f>
        <v/>
      </c>
      <c r="H233" s="27">
        <f>IF(C233="","",SUMIFS(tbl_Finance[Ex GST],tbl_Finance[Job Number],C233&amp;""))</f>
        <v/>
      </c>
      <c r="I233" s="27">
        <f>IF(C233="","",SUMIFS(tbl_Finance[Ex GST],tbl_Finance[Job Number],C233&amp;"",tbl_Finance[Xero Invoice No],"&lt;&gt;"))</f>
        <v/>
      </c>
      <c r="J233" s="27">
        <f>IF(C233="","",H233-I233)</f>
        <v/>
      </c>
      <c r="K233" s="25">
        <f>IF(C233="","",IF(G233=0,"not invoiced yet",SUBSTITUTE(TRIM(IF(COUNTIFS(tbl_Finance[Job Number],C233&amp;"",tbl_Finance[Cost Centre],"ONSITE")&gt;0,"ONSITE ","")&amp;IF(COUNTIFS(tbl_Finance[Job Number],C233&amp;"",tbl_Finance[Cost Centre],"PRODUCTION")&gt;0,"PRODUCTION ","")&amp;IF(COUNTIFS(tbl_Finance[Job Number],C233&amp;"",tbl_Finance[Cost Centre],"VIDEO")&gt;0,"VIDEO ","")&amp;IF(COUNTIFS(tbl_Finance[Job Number],C233&amp;"",tbl_Finance[Cost Centre],"INTEGRATION")&gt;0,"INTEGRATION ","")&amp;IF(COUNTIFS(tbl_Finance[Job Number],C233&amp;"",tbl_Finance[Cost Centre],"CONSULTING")&gt;0,"CONSULTING ","")&amp;IF(COUNTIFS(tbl_Finance[Job Number],C233&amp;"",tbl_Finance[Cost Centre],"CTS")&gt;0,"CTS ",""))," ",", ")))</f>
        <v/>
      </c>
      <c r="L233" s="27">
        <f>IF(C233="","",SUMIFS(tbl_Finance[Inc GST],tbl_Finance[Job Number],C233&amp;""))</f>
        <v/>
      </c>
      <c r="M233" s="24" t="n"/>
      <c r="N233" s="25">
        <f>IF(C233="","",IFERROR(INDEX(tbl_Finance[Description],MATCH(C233&amp;"",tbl_Finance[Job Number],0)),""))</f>
        <v/>
      </c>
      <c r="O233" s="24" t="n"/>
      <c r="P233" s="24" t="n"/>
      <c r="Q233" s="22" t="n"/>
      <c r="R233" s="24" t="n"/>
      <c r="S233" s="25">
        <f>IF(R233="","",IF(AND(LEFT(R233,4)&lt;&gt;"http",set_RMSBase=""),"",HYPERLINK(IF(LEFT(R233,4)="http",R233,set_RMSBase&amp;R233),"Open opportunity")))</f>
        <v/>
      </c>
      <c r="T233" s="24" t="n"/>
      <c r="U233" s="25">
        <f>IF(T233="","",HYPERLINK(IF(LEFT(T233,4)="http",T233,set_QwilrBase&amp;T233),"Open quote"))</f>
        <v/>
      </c>
      <c r="V233" s="25">
        <f>IF(C233="","",C233)</f>
        <v/>
      </c>
      <c r="W233" s="24" t="n"/>
      <c r="X233" s="26" t="n"/>
      <c r="Y233" s="27">
        <f>IF(C233="","",H233+N(X233))</f>
        <v/>
      </c>
      <c r="Z233" s="29">
        <f>IFERROR(X233/Y233,"")</f>
        <v/>
      </c>
      <c r="AA233" s="26" t="n"/>
      <c r="AB233" s="26" t="n"/>
      <c r="AC233" s="26" t="n"/>
      <c r="AD233" s="26" t="n"/>
      <c r="AE233" s="27">
        <f>IF(C233="","",SUMIFS(tbl_Finance[Ex GST],tbl_Finance[Job Number],C233&amp;"",tbl_Finance[Cost Centre],"VIDEO"))</f>
        <v/>
      </c>
      <c r="AF233" s="29">
        <f>IFERROR(AE233/H233,"")</f>
        <v/>
      </c>
      <c r="AG233" s="27">
        <f>IF(C233="","",N(AA233)+N(AB233)+N(AC233)+N(AD233))</f>
        <v/>
      </c>
      <c r="AH233" s="27">
        <f>IF(C233="","",H233-AG233)</f>
        <v/>
      </c>
      <c r="AI233" s="29">
        <f>IFERROR(AH233/H233,"")</f>
        <v/>
      </c>
      <c r="AJ233" s="69" t="n"/>
      <c r="AK233" s="69" t="n"/>
      <c r="AL233" s="69" t="n"/>
      <c r="AM233" s="69" t="n"/>
      <c r="AN233" s="69" t="n"/>
      <c r="AO233" s="24" t="n"/>
    </row>
    <row r="234" ht="15" customHeight="1">
      <c r="A234" s="68">
        <f>IF(C234="","",IFERROR(IF(SUMPRODUCT(MAX((tbl_Finance[Job Number]=C234&amp;"")*(tbl_Finance[Xero Invoice No]&lt;&gt;"")*tbl_Finance[Date]))=0,"",SUMPRODUCT(MAX((tbl_Finance[Job Number]=C234&amp;"")*(tbl_Finance[Xero Invoice No]&lt;&gt;"")*tbl_Finance[Date]))),""))</f>
        <v/>
      </c>
      <c r="B234" s="25">
        <f>IF(C234="","",IF(COUNTIFS(tbl_Finance[Job Number],C234&amp;"",tbl_Finance[Xero Invoice No],"&lt;&gt;")=0,"",IFERROR(IF(COUNTIFS(tbl_Finance[Job Number],C234&amp;"",tbl_Finance[Xero Invoice No],LOOKUP(2,1/((tbl_Finance[Job Number]=C234&amp;"")*(tbl_Finance[Xero Invoice No]&lt;&gt;"")),tbl_Finance[Xero Invoice No]))=COUNTIFS(tbl_Finance[Job Number],C234&amp;"",tbl_Finance[Xero Invoice No],"&lt;&gt;"),LOOKUP(2,1/((tbl_Finance[Job Number]=C234&amp;"")*(tbl_Finance[Xero Invoice No]&lt;&gt;"")),tbl_Finance[Xero Invoice No]),LOOKUP(2,1/((tbl_Finance[Job Number]=C234&amp;"")*(tbl_Finance[Xero Invoice No]&lt;&gt;"")),tbl_Finance[Xero Invoice No])&amp;" +more"),"")))</f>
        <v/>
      </c>
      <c r="C234" s="24" t="n"/>
      <c r="D234" s="25">
        <f>IF(C234="","",IF(COUNTIF(lst_Jobs,C234&amp;"")&gt;0,"OK","CHECK"))</f>
        <v/>
      </c>
      <c r="E234" s="25">
        <f>IF(C234="","",IFERROR(INDEX(lst_JobName,MATCH(C234&amp;"",lst_Jobs,0)),""))</f>
        <v/>
      </c>
      <c r="F234" s="25">
        <f>IF(C234="","",IFERROR(INDEX(tbl_Finance[Client],MATCH(C234&amp;"",tbl_Finance[Job Number],0)),""))</f>
        <v/>
      </c>
      <c r="G234" s="28">
        <f>IF(C234="","",COUNTIFS(tbl_Finance[Job Number],C234&amp;"",tbl_Finance[Ex GST],"&lt;&gt;"))</f>
        <v/>
      </c>
      <c r="H234" s="27">
        <f>IF(C234="","",SUMIFS(tbl_Finance[Ex GST],tbl_Finance[Job Number],C234&amp;""))</f>
        <v/>
      </c>
      <c r="I234" s="27">
        <f>IF(C234="","",SUMIFS(tbl_Finance[Ex GST],tbl_Finance[Job Number],C234&amp;"",tbl_Finance[Xero Invoice No],"&lt;&gt;"))</f>
        <v/>
      </c>
      <c r="J234" s="27">
        <f>IF(C234="","",H234-I234)</f>
        <v/>
      </c>
      <c r="K234" s="25">
        <f>IF(C234="","",IF(G234=0,"not invoiced yet",SUBSTITUTE(TRIM(IF(COUNTIFS(tbl_Finance[Job Number],C234&amp;"",tbl_Finance[Cost Centre],"ONSITE")&gt;0,"ONSITE ","")&amp;IF(COUNTIFS(tbl_Finance[Job Number],C234&amp;"",tbl_Finance[Cost Centre],"PRODUCTION")&gt;0,"PRODUCTION ","")&amp;IF(COUNTIFS(tbl_Finance[Job Number],C234&amp;"",tbl_Finance[Cost Centre],"VIDEO")&gt;0,"VIDEO ","")&amp;IF(COUNTIFS(tbl_Finance[Job Number],C234&amp;"",tbl_Finance[Cost Centre],"INTEGRATION")&gt;0,"INTEGRATION ","")&amp;IF(COUNTIFS(tbl_Finance[Job Number],C234&amp;"",tbl_Finance[Cost Centre],"CONSULTING")&gt;0,"CONSULTING ","")&amp;IF(COUNTIFS(tbl_Finance[Job Number],C234&amp;"",tbl_Finance[Cost Centre],"CTS")&gt;0,"CTS ",""))," ",", ")))</f>
        <v/>
      </c>
      <c r="L234" s="27">
        <f>IF(C234="","",SUMIFS(tbl_Finance[Inc GST],tbl_Finance[Job Number],C234&amp;""))</f>
        <v/>
      </c>
      <c r="M234" s="24" t="n"/>
      <c r="N234" s="25">
        <f>IF(C234="","",IFERROR(INDEX(tbl_Finance[Description],MATCH(C234&amp;"",tbl_Finance[Job Number],0)),""))</f>
        <v/>
      </c>
      <c r="O234" s="24" t="n"/>
      <c r="P234" s="24" t="n"/>
      <c r="Q234" s="22" t="n"/>
      <c r="R234" s="24" t="n"/>
      <c r="S234" s="25">
        <f>IF(R234="","",IF(AND(LEFT(R234,4)&lt;&gt;"http",set_RMSBase=""),"",HYPERLINK(IF(LEFT(R234,4)="http",R234,set_RMSBase&amp;R234),"Open opportunity")))</f>
        <v/>
      </c>
      <c r="T234" s="24" t="n"/>
      <c r="U234" s="25">
        <f>IF(T234="","",HYPERLINK(IF(LEFT(T234,4)="http",T234,set_QwilrBase&amp;T234),"Open quote"))</f>
        <v/>
      </c>
      <c r="V234" s="25">
        <f>IF(C234="","",C234)</f>
        <v/>
      </c>
      <c r="W234" s="24" t="n"/>
      <c r="X234" s="26" t="n"/>
      <c r="Y234" s="27">
        <f>IF(C234="","",H234+N(X234))</f>
        <v/>
      </c>
      <c r="Z234" s="29">
        <f>IFERROR(X234/Y234,"")</f>
        <v/>
      </c>
      <c r="AA234" s="26" t="n"/>
      <c r="AB234" s="26" t="n"/>
      <c r="AC234" s="26" t="n"/>
      <c r="AD234" s="26" t="n"/>
      <c r="AE234" s="27">
        <f>IF(C234="","",SUMIFS(tbl_Finance[Ex GST],tbl_Finance[Job Number],C234&amp;"",tbl_Finance[Cost Centre],"VIDEO"))</f>
        <v/>
      </c>
      <c r="AF234" s="29">
        <f>IFERROR(AE234/H234,"")</f>
        <v/>
      </c>
      <c r="AG234" s="27">
        <f>IF(C234="","",N(AA234)+N(AB234)+N(AC234)+N(AD234))</f>
        <v/>
      </c>
      <c r="AH234" s="27">
        <f>IF(C234="","",H234-AG234)</f>
        <v/>
      </c>
      <c r="AI234" s="29">
        <f>IFERROR(AH234/H234,"")</f>
        <v/>
      </c>
      <c r="AJ234" s="69" t="n"/>
      <c r="AK234" s="69" t="n"/>
      <c r="AL234" s="69" t="n"/>
      <c r="AM234" s="69" t="n"/>
      <c r="AN234" s="69" t="n"/>
      <c r="AO234" s="24" t="n"/>
    </row>
    <row r="235" ht="15" customHeight="1">
      <c r="A235" s="68">
        <f>IF(C235="","",IFERROR(IF(SUMPRODUCT(MAX((tbl_Finance[Job Number]=C235&amp;"")*(tbl_Finance[Xero Invoice No]&lt;&gt;"")*tbl_Finance[Date]))=0,"",SUMPRODUCT(MAX((tbl_Finance[Job Number]=C235&amp;"")*(tbl_Finance[Xero Invoice No]&lt;&gt;"")*tbl_Finance[Date]))),""))</f>
        <v/>
      </c>
      <c r="B235" s="25">
        <f>IF(C235="","",IF(COUNTIFS(tbl_Finance[Job Number],C235&amp;"",tbl_Finance[Xero Invoice No],"&lt;&gt;")=0,"",IFERROR(IF(COUNTIFS(tbl_Finance[Job Number],C235&amp;"",tbl_Finance[Xero Invoice No],LOOKUP(2,1/((tbl_Finance[Job Number]=C235&amp;"")*(tbl_Finance[Xero Invoice No]&lt;&gt;"")),tbl_Finance[Xero Invoice No]))=COUNTIFS(tbl_Finance[Job Number],C235&amp;"",tbl_Finance[Xero Invoice No],"&lt;&gt;"),LOOKUP(2,1/((tbl_Finance[Job Number]=C235&amp;"")*(tbl_Finance[Xero Invoice No]&lt;&gt;"")),tbl_Finance[Xero Invoice No]),LOOKUP(2,1/((tbl_Finance[Job Number]=C235&amp;"")*(tbl_Finance[Xero Invoice No]&lt;&gt;"")),tbl_Finance[Xero Invoice No])&amp;" +more"),"")))</f>
        <v/>
      </c>
      <c r="C235" s="24" t="n"/>
      <c r="D235" s="25">
        <f>IF(C235="","",IF(COUNTIF(lst_Jobs,C235&amp;"")&gt;0,"OK","CHECK"))</f>
        <v/>
      </c>
      <c r="E235" s="25">
        <f>IF(C235="","",IFERROR(INDEX(lst_JobName,MATCH(C235&amp;"",lst_Jobs,0)),""))</f>
        <v/>
      </c>
      <c r="F235" s="25">
        <f>IF(C235="","",IFERROR(INDEX(tbl_Finance[Client],MATCH(C235&amp;"",tbl_Finance[Job Number],0)),""))</f>
        <v/>
      </c>
      <c r="G235" s="28">
        <f>IF(C235="","",COUNTIFS(tbl_Finance[Job Number],C235&amp;"",tbl_Finance[Ex GST],"&lt;&gt;"))</f>
        <v/>
      </c>
      <c r="H235" s="27">
        <f>IF(C235="","",SUMIFS(tbl_Finance[Ex GST],tbl_Finance[Job Number],C235&amp;""))</f>
        <v/>
      </c>
      <c r="I235" s="27">
        <f>IF(C235="","",SUMIFS(tbl_Finance[Ex GST],tbl_Finance[Job Number],C235&amp;"",tbl_Finance[Xero Invoice No],"&lt;&gt;"))</f>
        <v/>
      </c>
      <c r="J235" s="27">
        <f>IF(C235="","",H235-I235)</f>
        <v/>
      </c>
      <c r="K235" s="25">
        <f>IF(C235="","",IF(G235=0,"not invoiced yet",SUBSTITUTE(TRIM(IF(COUNTIFS(tbl_Finance[Job Number],C235&amp;"",tbl_Finance[Cost Centre],"ONSITE")&gt;0,"ONSITE ","")&amp;IF(COUNTIFS(tbl_Finance[Job Number],C235&amp;"",tbl_Finance[Cost Centre],"PRODUCTION")&gt;0,"PRODUCTION ","")&amp;IF(COUNTIFS(tbl_Finance[Job Number],C235&amp;"",tbl_Finance[Cost Centre],"VIDEO")&gt;0,"VIDEO ","")&amp;IF(COUNTIFS(tbl_Finance[Job Number],C235&amp;"",tbl_Finance[Cost Centre],"INTEGRATION")&gt;0,"INTEGRATION ","")&amp;IF(COUNTIFS(tbl_Finance[Job Number],C235&amp;"",tbl_Finance[Cost Centre],"CONSULTING")&gt;0,"CONSULTING ","")&amp;IF(COUNTIFS(tbl_Finance[Job Number],C235&amp;"",tbl_Finance[Cost Centre],"CTS")&gt;0,"CTS ",""))," ",", ")))</f>
        <v/>
      </c>
      <c r="L235" s="27">
        <f>IF(C235="","",SUMIFS(tbl_Finance[Inc GST],tbl_Finance[Job Number],C235&amp;""))</f>
        <v/>
      </c>
      <c r="M235" s="24" t="n"/>
      <c r="N235" s="25">
        <f>IF(C235="","",IFERROR(INDEX(tbl_Finance[Description],MATCH(C235&amp;"",tbl_Finance[Job Number],0)),""))</f>
        <v/>
      </c>
      <c r="O235" s="24" t="n"/>
      <c r="P235" s="24" t="n"/>
      <c r="Q235" s="22" t="n"/>
      <c r="R235" s="24" t="n"/>
      <c r="S235" s="25">
        <f>IF(R235="","",IF(AND(LEFT(R235,4)&lt;&gt;"http",set_RMSBase=""),"",HYPERLINK(IF(LEFT(R235,4)="http",R235,set_RMSBase&amp;R235),"Open opportunity")))</f>
        <v/>
      </c>
      <c r="T235" s="24" t="n"/>
      <c r="U235" s="25">
        <f>IF(T235="","",HYPERLINK(IF(LEFT(T235,4)="http",T235,set_QwilrBase&amp;T235),"Open quote"))</f>
        <v/>
      </c>
      <c r="V235" s="25">
        <f>IF(C235="","",C235)</f>
        <v/>
      </c>
      <c r="W235" s="24" t="n"/>
      <c r="X235" s="26" t="n"/>
      <c r="Y235" s="27">
        <f>IF(C235="","",H235+N(X235))</f>
        <v/>
      </c>
      <c r="Z235" s="29">
        <f>IFERROR(X235/Y235,"")</f>
        <v/>
      </c>
      <c r="AA235" s="26" t="n"/>
      <c r="AB235" s="26" t="n"/>
      <c r="AC235" s="26" t="n"/>
      <c r="AD235" s="26" t="n"/>
      <c r="AE235" s="27">
        <f>IF(C235="","",SUMIFS(tbl_Finance[Ex GST],tbl_Finance[Job Number],C235&amp;"",tbl_Finance[Cost Centre],"VIDEO"))</f>
        <v/>
      </c>
      <c r="AF235" s="29">
        <f>IFERROR(AE235/H235,"")</f>
        <v/>
      </c>
      <c r="AG235" s="27">
        <f>IF(C235="","",N(AA235)+N(AB235)+N(AC235)+N(AD235))</f>
        <v/>
      </c>
      <c r="AH235" s="27">
        <f>IF(C235="","",H235-AG235)</f>
        <v/>
      </c>
      <c r="AI235" s="29">
        <f>IFERROR(AH235/H235,"")</f>
        <v/>
      </c>
      <c r="AJ235" s="69" t="n"/>
      <c r="AK235" s="69" t="n"/>
      <c r="AL235" s="69" t="n"/>
      <c r="AM235" s="69" t="n"/>
      <c r="AN235" s="69" t="n"/>
      <c r="AO235" s="24" t="n"/>
    </row>
    <row r="236" ht="15" customHeight="1">
      <c r="A236" s="68">
        <f>IF(C236="","",IFERROR(IF(SUMPRODUCT(MAX((tbl_Finance[Job Number]=C236&amp;"")*(tbl_Finance[Xero Invoice No]&lt;&gt;"")*tbl_Finance[Date]))=0,"",SUMPRODUCT(MAX((tbl_Finance[Job Number]=C236&amp;"")*(tbl_Finance[Xero Invoice No]&lt;&gt;"")*tbl_Finance[Date]))),""))</f>
        <v/>
      </c>
      <c r="B236" s="25">
        <f>IF(C236="","",IF(COUNTIFS(tbl_Finance[Job Number],C236&amp;"",tbl_Finance[Xero Invoice No],"&lt;&gt;")=0,"",IFERROR(IF(COUNTIFS(tbl_Finance[Job Number],C236&amp;"",tbl_Finance[Xero Invoice No],LOOKUP(2,1/((tbl_Finance[Job Number]=C236&amp;"")*(tbl_Finance[Xero Invoice No]&lt;&gt;"")),tbl_Finance[Xero Invoice No]))=COUNTIFS(tbl_Finance[Job Number],C236&amp;"",tbl_Finance[Xero Invoice No],"&lt;&gt;"),LOOKUP(2,1/((tbl_Finance[Job Number]=C236&amp;"")*(tbl_Finance[Xero Invoice No]&lt;&gt;"")),tbl_Finance[Xero Invoice No]),LOOKUP(2,1/((tbl_Finance[Job Number]=C236&amp;"")*(tbl_Finance[Xero Invoice No]&lt;&gt;"")),tbl_Finance[Xero Invoice No])&amp;" +more"),"")))</f>
        <v/>
      </c>
      <c r="C236" s="24" t="n"/>
      <c r="D236" s="25">
        <f>IF(C236="","",IF(COUNTIF(lst_Jobs,C236&amp;"")&gt;0,"OK","CHECK"))</f>
        <v/>
      </c>
      <c r="E236" s="25">
        <f>IF(C236="","",IFERROR(INDEX(lst_JobName,MATCH(C236&amp;"",lst_Jobs,0)),""))</f>
        <v/>
      </c>
      <c r="F236" s="25">
        <f>IF(C236="","",IFERROR(INDEX(tbl_Finance[Client],MATCH(C236&amp;"",tbl_Finance[Job Number],0)),""))</f>
        <v/>
      </c>
      <c r="G236" s="28">
        <f>IF(C236="","",COUNTIFS(tbl_Finance[Job Number],C236&amp;"",tbl_Finance[Ex GST],"&lt;&gt;"))</f>
        <v/>
      </c>
      <c r="H236" s="27">
        <f>IF(C236="","",SUMIFS(tbl_Finance[Ex GST],tbl_Finance[Job Number],C236&amp;""))</f>
        <v/>
      </c>
      <c r="I236" s="27">
        <f>IF(C236="","",SUMIFS(tbl_Finance[Ex GST],tbl_Finance[Job Number],C236&amp;"",tbl_Finance[Xero Invoice No],"&lt;&gt;"))</f>
        <v/>
      </c>
      <c r="J236" s="27">
        <f>IF(C236="","",H236-I236)</f>
        <v/>
      </c>
      <c r="K236" s="25">
        <f>IF(C236="","",IF(G236=0,"not invoiced yet",SUBSTITUTE(TRIM(IF(COUNTIFS(tbl_Finance[Job Number],C236&amp;"",tbl_Finance[Cost Centre],"ONSITE")&gt;0,"ONSITE ","")&amp;IF(COUNTIFS(tbl_Finance[Job Number],C236&amp;"",tbl_Finance[Cost Centre],"PRODUCTION")&gt;0,"PRODUCTION ","")&amp;IF(COUNTIFS(tbl_Finance[Job Number],C236&amp;"",tbl_Finance[Cost Centre],"VIDEO")&gt;0,"VIDEO ","")&amp;IF(COUNTIFS(tbl_Finance[Job Number],C236&amp;"",tbl_Finance[Cost Centre],"INTEGRATION")&gt;0,"INTEGRATION ","")&amp;IF(COUNTIFS(tbl_Finance[Job Number],C236&amp;"",tbl_Finance[Cost Centre],"CONSULTING")&gt;0,"CONSULTING ","")&amp;IF(COUNTIFS(tbl_Finance[Job Number],C236&amp;"",tbl_Finance[Cost Centre],"CTS")&gt;0,"CTS ",""))," ",", ")))</f>
        <v/>
      </c>
      <c r="L236" s="27">
        <f>IF(C236="","",SUMIFS(tbl_Finance[Inc GST],tbl_Finance[Job Number],C236&amp;""))</f>
        <v/>
      </c>
      <c r="M236" s="24" t="n"/>
      <c r="N236" s="25">
        <f>IF(C236="","",IFERROR(INDEX(tbl_Finance[Description],MATCH(C236&amp;"",tbl_Finance[Job Number],0)),""))</f>
        <v/>
      </c>
      <c r="O236" s="24" t="n"/>
      <c r="P236" s="24" t="n"/>
      <c r="Q236" s="22" t="n"/>
      <c r="R236" s="24" t="n"/>
      <c r="S236" s="25">
        <f>IF(R236="","",IF(AND(LEFT(R236,4)&lt;&gt;"http",set_RMSBase=""),"",HYPERLINK(IF(LEFT(R236,4)="http",R236,set_RMSBase&amp;R236),"Open opportunity")))</f>
        <v/>
      </c>
      <c r="T236" s="24" t="n"/>
      <c r="U236" s="25">
        <f>IF(T236="","",HYPERLINK(IF(LEFT(T236,4)="http",T236,set_QwilrBase&amp;T236),"Open quote"))</f>
        <v/>
      </c>
      <c r="V236" s="25">
        <f>IF(C236="","",C236)</f>
        <v/>
      </c>
      <c r="W236" s="24" t="n"/>
      <c r="X236" s="26" t="n"/>
      <c r="Y236" s="27">
        <f>IF(C236="","",H236+N(X236))</f>
        <v/>
      </c>
      <c r="Z236" s="29">
        <f>IFERROR(X236/Y236,"")</f>
        <v/>
      </c>
      <c r="AA236" s="26" t="n"/>
      <c r="AB236" s="26" t="n"/>
      <c r="AC236" s="26" t="n"/>
      <c r="AD236" s="26" t="n"/>
      <c r="AE236" s="27">
        <f>IF(C236="","",SUMIFS(tbl_Finance[Ex GST],tbl_Finance[Job Number],C236&amp;"",tbl_Finance[Cost Centre],"VIDEO"))</f>
        <v/>
      </c>
      <c r="AF236" s="29">
        <f>IFERROR(AE236/H236,"")</f>
        <v/>
      </c>
      <c r="AG236" s="27">
        <f>IF(C236="","",N(AA236)+N(AB236)+N(AC236)+N(AD236))</f>
        <v/>
      </c>
      <c r="AH236" s="27">
        <f>IF(C236="","",H236-AG236)</f>
        <v/>
      </c>
      <c r="AI236" s="29">
        <f>IFERROR(AH236/H236,"")</f>
        <v/>
      </c>
      <c r="AJ236" s="69" t="n"/>
      <c r="AK236" s="69" t="n"/>
      <c r="AL236" s="69" t="n"/>
      <c r="AM236" s="69" t="n"/>
      <c r="AN236" s="69" t="n"/>
      <c r="AO236" s="24" t="n"/>
    </row>
    <row r="237" ht="15" customHeight="1">
      <c r="A237" s="68">
        <f>IF(C237="","",IFERROR(IF(SUMPRODUCT(MAX((tbl_Finance[Job Number]=C237&amp;"")*(tbl_Finance[Xero Invoice No]&lt;&gt;"")*tbl_Finance[Date]))=0,"",SUMPRODUCT(MAX((tbl_Finance[Job Number]=C237&amp;"")*(tbl_Finance[Xero Invoice No]&lt;&gt;"")*tbl_Finance[Date]))),""))</f>
        <v/>
      </c>
      <c r="B237" s="25">
        <f>IF(C237="","",IF(COUNTIFS(tbl_Finance[Job Number],C237&amp;"",tbl_Finance[Xero Invoice No],"&lt;&gt;")=0,"",IFERROR(IF(COUNTIFS(tbl_Finance[Job Number],C237&amp;"",tbl_Finance[Xero Invoice No],LOOKUP(2,1/((tbl_Finance[Job Number]=C237&amp;"")*(tbl_Finance[Xero Invoice No]&lt;&gt;"")),tbl_Finance[Xero Invoice No]))=COUNTIFS(tbl_Finance[Job Number],C237&amp;"",tbl_Finance[Xero Invoice No],"&lt;&gt;"),LOOKUP(2,1/((tbl_Finance[Job Number]=C237&amp;"")*(tbl_Finance[Xero Invoice No]&lt;&gt;"")),tbl_Finance[Xero Invoice No]),LOOKUP(2,1/((tbl_Finance[Job Number]=C237&amp;"")*(tbl_Finance[Xero Invoice No]&lt;&gt;"")),tbl_Finance[Xero Invoice No])&amp;" +more"),"")))</f>
        <v/>
      </c>
      <c r="C237" s="24" t="n"/>
      <c r="D237" s="25">
        <f>IF(C237="","",IF(COUNTIF(lst_Jobs,C237&amp;"")&gt;0,"OK","CHECK"))</f>
        <v/>
      </c>
      <c r="E237" s="25">
        <f>IF(C237="","",IFERROR(INDEX(lst_JobName,MATCH(C237&amp;"",lst_Jobs,0)),""))</f>
        <v/>
      </c>
      <c r="F237" s="25">
        <f>IF(C237="","",IFERROR(INDEX(tbl_Finance[Client],MATCH(C237&amp;"",tbl_Finance[Job Number],0)),""))</f>
        <v/>
      </c>
      <c r="G237" s="28">
        <f>IF(C237="","",COUNTIFS(tbl_Finance[Job Number],C237&amp;"",tbl_Finance[Ex GST],"&lt;&gt;"))</f>
        <v/>
      </c>
      <c r="H237" s="27">
        <f>IF(C237="","",SUMIFS(tbl_Finance[Ex GST],tbl_Finance[Job Number],C237&amp;""))</f>
        <v/>
      </c>
      <c r="I237" s="27">
        <f>IF(C237="","",SUMIFS(tbl_Finance[Ex GST],tbl_Finance[Job Number],C237&amp;"",tbl_Finance[Xero Invoice No],"&lt;&gt;"))</f>
        <v/>
      </c>
      <c r="J237" s="27">
        <f>IF(C237="","",H237-I237)</f>
        <v/>
      </c>
      <c r="K237" s="25">
        <f>IF(C237="","",IF(G237=0,"not invoiced yet",SUBSTITUTE(TRIM(IF(COUNTIFS(tbl_Finance[Job Number],C237&amp;"",tbl_Finance[Cost Centre],"ONSITE")&gt;0,"ONSITE ","")&amp;IF(COUNTIFS(tbl_Finance[Job Number],C237&amp;"",tbl_Finance[Cost Centre],"PRODUCTION")&gt;0,"PRODUCTION ","")&amp;IF(COUNTIFS(tbl_Finance[Job Number],C237&amp;"",tbl_Finance[Cost Centre],"VIDEO")&gt;0,"VIDEO ","")&amp;IF(COUNTIFS(tbl_Finance[Job Number],C237&amp;"",tbl_Finance[Cost Centre],"INTEGRATION")&gt;0,"INTEGRATION ","")&amp;IF(COUNTIFS(tbl_Finance[Job Number],C237&amp;"",tbl_Finance[Cost Centre],"CONSULTING")&gt;0,"CONSULTING ","")&amp;IF(COUNTIFS(tbl_Finance[Job Number],C237&amp;"",tbl_Finance[Cost Centre],"CTS")&gt;0,"CTS ",""))," ",", ")))</f>
        <v/>
      </c>
      <c r="L237" s="27">
        <f>IF(C237="","",SUMIFS(tbl_Finance[Inc GST],tbl_Finance[Job Number],C237&amp;""))</f>
        <v/>
      </c>
      <c r="M237" s="24" t="n"/>
      <c r="N237" s="25">
        <f>IF(C237="","",IFERROR(INDEX(tbl_Finance[Description],MATCH(C237&amp;"",tbl_Finance[Job Number],0)),""))</f>
        <v/>
      </c>
      <c r="O237" s="24" t="n"/>
      <c r="P237" s="24" t="n"/>
      <c r="Q237" s="22" t="n"/>
      <c r="R237" s="24" t="n"/>
      <c r="S237" s="25">
        <f>IF(R237="","",IF(AND(LEFT(R237,4)&lt;&gt;"http",set_RMSBase=""),"",HYPERLINK(IF(LEFT(R237,4)="http",R237,set_RMSBase&amp;R237),"Open opportunity")))</f>
        <v/>
      </c>
      <c r="T237" s="24" t="n"/>
      <c r="U237" s="25">
        <f>IF(T237="","",HYPERLINK(IF(LEFT(T237,4)="http",T237,set_QwilrBase&amp;T237),"Open quote"))</f>
        <v/>
      </c>
      <c r="V237" s="25">
        <f>IF(C237="","",C237)</f>
        <v/>
      </c>
      <c r="W237" s="24" t="n"/>
      <c r="X237" s="26" t="n"/>
      <c r="Y237" s="27">
        <f>IF(C237="","",H237+N(X237))</f>
        <v/>
      </c>
      <c r="Z237" s="29">
        <f>IFERROR(X237/Y237,"")</f>
        <v/>
      </c>
      <c r="AA237" s="26" t="n"/>
      <c r="AB237" s="26" t="n"/>
      <c r="AC237" s="26" t="n"/>
      <c r="AD237" s="26" t="n"/>
      <c r="AE237" s="27">
        <f>IF(C237="","",SUMIFS(tbl_Finance[Ex GST],tbl_Finance[Job Number],C237&amp;"",tbl_Finance[Cost Centre],"VIDEO"))</f>
        <v/>
      </c>
      <c r="AF237" s="29">
        <f>IFERROR(AE237/H237,"")</f>
        <v/>
      </c>
      <c r="AG237" s="27">
        <f>IF(C237="","",N(AA237)+N(AB237)+N(AC237)+N(AD237))</f>
        <v/>
      </c>
      <c r="AH237" s="27">
        <f>IF(C237="","",H237-AG237)</f>
        <v/>
      </c>
      <c r="AI237" s="29">
        <f>IFERROR(AH237/H237,"")</f>
        <v/>
      </c>
      <c r="AJ237" s="69" t="n"/>
      <c r="AK237" s="69" t="n"/>
      <c r="AL237" s="69" t="n"/>
      <c r="AM237" s="69" t="n"/>
      <c r="AN237" s="69" t="n"/>
      <c r="AO237" s="24" t="n"/>
    </row>
    <row r="238" ht="15" customHeight="1">
      <c r="A238" s="68">
        <f>IF(C238="","",IFERROR(IF(SUMPRODUCT(MAX((tbl_Finance[Job Number]=C238&amp;"")*(tbl_Finance[Xero Invoice No]&lt;&gt;"")*tbl_Finance[Date]))=0,"",SUMPRODUCT(MAX((tbl_Finance[Job Number]=C238&amp;"")*(tbl_Finance[Xero Invoice No]&lt;&gt;"")*tbl_Finance[Date]))),""))</f>
        <v/>
      </c>
      <c r="B238" s="25">
        <f>IF(C238="","",IF(COUNTIFS(tbl_Finance[Job Number],C238&amp;"",tbl_Finance[Xero Invoice No],"&lt;&gt;")=0,"",IFERROR(IF(COUNTIFS(tbl_Finance[Job Number],C238&amp;"",tbl_Finance[Xero Invoice No],LOOKUP(2,1/((tbl_Finance[Job Number]=C238&amp;"")*(tbl_Finance[Xero Invoice No]&lt;&gt;"")),tbl_Finance[Xero Invoice No]))=COUNTIFS(tbl_Finance[Job Number],C238&amp;"",tbl_Finance[Xero Invoice No],"&lt;&gt;"),LOOKUP(2,1/((tbl_Finance[Job Number]=C238&amp;"")*(tbl_Finance[Xero Invoice No]&lt;&gt;"")),tbl_Finance[Xero Invoice No]),LOOKUP(2,1/((tbl_Finance[Job Number]=C238&amp;"")*(tbl_Finance[Xero Invoice No]&lt;&gt;"")),tbl_Finance[Xero Invoice No])&amp;" +more"),"")))</f>
        <v/>
      </c>
      <c r="C238" s="24" t="n"/>
      <c r="D238" s="25">
        <f>IF(C238="","",IF(COUNTIF(lst_Jobs,C238&amp;"")&gt;0,"OK","CHECK"))</f>
        <v/>
      </c>
      <c r="E238" s="25">
        <f>IF(C238="","",IFERROR(INDEX(lst_JobName,MATCH(C238&amp;"",lst_Jobs,0)),""))</f>
        <v/>
      </c>
      <c r="F238" s="25">
        <f>IF(C238="","",IFERROR(INDEX(tbl_Finance[Client],MATCH(C238&amp;"",tbl_Finance[Job Number],0)),""))</f>
        <v/>
      </c>
      <c r="G238" s="28">
        <f>IF(C238="","",COUNTIFS(tbl_Finance[Job Number],C238&amp;"",tbl_Finance[Ex GST],"&lt;&gt;"))</f>
        <v/>
      </c>
      <c r="H238" s="27">
        <f>IF(C238="","",SUMIFS(tbl_Finance[Ex GST],tbl_Finance[Job Number],C238&amp;""))</f>
        <v/>
      </c>
      <c r="I238" s="27">
        <f>IF(C238="","",SUMIFS(tbl_Finance[Ex GST],tbl_Finance[Job Number],C238&amp;"",tbl_Finance[Xero Invoice No],"&lt;&gt;"))</f>
        <v/>
      </c>
      <c r="J238" s="27">
        <f>IF(C238="","",H238-I238)</f>
        <v/>
      </c>
      <c r="K238" s="25">
        <f>IF(C238="","",IF(G238=0,"not invoiced yet",SUBSTITUTE(TRIM(IF(COUNTIFS(tbl_Finance[Job Number],C238&amp;"",tbl_Finance[Cost Centre],"ONSITE")&gt;0,"ONSITE ","")&amp;IF(COUNTIFS(tbl_Finance[Job Number],C238&amp;"",tbl_Finance[Cost Centre],"PRODUCTION")&gt;0,"PRODUCTION ","")&amp;IF(COUNTIFS(tbl_Finance[Job Number],C238&amp;"",tbl_Finance[Cost Centre],"VIDEO")&gt;0,"VIDEO ","")&amp;IF(COUNTIFS(tbl_Finance[Job Number],C238&amp;"",tbl_Finance[Cost Centre],"INTEGRATION")&gt;0,"INTEGRATION ","")&amp;IF(COUNTIFS(tbl_Finance[Job Number],C238&amp;"",tbl_Finance[Cost Centre],"CONSULTING")&gt;0,"CONSULTING ","")&amp;IF(COUNTIFS(tbl_Finance[Job Number],C238&amp;"",tbl_Finance[Cost Centre],"CTS")&gt;0,"CTS ",""))," ",", ")))</f>
        <v/>
      </c>
      <c r="L238" s="27">
        <f>IF(C238="","",SUMIFS(tbl_Finance[Inc GST],tbl_Finance[Job Number],C238&amp;""))</f>
        <v/>
      </c>
      <c r="M238" s="24" t="n"/>
      <c r="N238" s="25">
        <f>IF(C238="","",IFERROR(INDEX(tbl_Finance[Description],MATCH(C238&amp;"",tbl_Finance[Job Number],0)),""))</f>
        <v/>
      </c>
      <c r="O238" s="24" t="n"/>
      <c r="P238" s="24" t="n"/>
      <c r="Q238" s="22" t="n"/>
      <c r="R238" s="24" t="n"/>
      <c r="S238" s="25">
        <f>IF(R238="","",IF(AND(LEFT(R238,4)&lt;&gt;"http",set_RMSBase=""),"",HYPERLINK(IF(LEFT(R238,4)="http",R238,set_RMSBase&amp;R238),"Open opportunity")))</f>
        <v/>
      </c>
      <c r="T238" s="24" t="n"/>
      <c r="U238" s="25">
        <f>IF(T238="","",HYPERLINK(IF(LEFT(T238,4)="http",T238,set_QwilrBase&amp;T238),"Open quote"))</f>
        <v/>
      </c>
      <c r="V238" s="25">
        <f>IF(C238="","",C238)</f>
        <v/>
      </c>
      <c r="W238" s="24" t="n"/>
      <c r="X238" s="26" t="n"/>
      <c r="Y238" s="27">
        <f>IF(C238="","",H238+N(X238))</f>
        <v/>
      </c>
      <c r="Z238" s="29">
        <f>IFERROR(X238/Y238,"")</f>
        <v/>
      </c>
      <c r="AA238" s="26" t="n"/>
      <c r="AB238" s="26" t="n"/>
      <c r="AC238" s="26" t="n"/>
      <c r="AD238" s="26" t="n"/>
      <c r="AE238" s="27">
        <f>IF(C238="","",SUMIFS(tbl_Finance[Ex GST],tbl_Finance[Job Number],C238&amp;"",tbl_Finance[Cost Centre],"VIDEO"))</f>
        <v/>
      </c>
      <c r="AF238" s="29">
        <f>IFERROR(AE238/H238,"")</f>
        <v/>
      </c>
      <c r="AG238" s="27">
        <f>IF(C238="","",N(AA238)+N(AB238)+N(AC238)+N(AD238))</f>
        <v/>
      </c>
      <c r="AH238" s="27">
        <f>IF(C238="","",H238-AG238)</f>
        <v/>
      </c>
      <c r="AI238" s="29">
        <f>IFERROR(AH238/H238,"")</f>
        <v/>
      </c>
      <c r="AJ238" s="69" t="n"/>
      <c r="AK238" s="69" t="n"/>
      <c r="AL238" s="69" t="n"/>
      <c r="AM238" s="69" t="n"/>
      <c r="AN238" s="69" t="n"/>
      <c r="AO238" s="24" t="n"/>
    </row>
    <row r="239" ht="15" customHeight="1">
      <c r="A239" s="68">
        <f>IF(C239="","",IFERROR(IF(SUMPRODUCT(MAX((tbl_Finance[Job Number]=C239&amp;"")*(tbl_Finance[Xero Invoice No]&lt;&gt;"")*tbl_Finance[Date]))=0,"",SUMPRODUCT(MAX((tbl_Finance[Job Number]=C239&amp;"")*(tbl_Finance[Xero Invoice No]&lt;&gt;"")*tbl_Finance[Date]))),""))</f>
        <v/>
      </c>
      <c r="B239" s="25">
        <f>IF(C239="","",IF(COUNTIFS(tbl_Finance[Job Number],C239&amp;"",tbl_Finance[Xero Invoice No],"&lt;&gt;")=0,"",IFERROR(IF(COUNTIFS(tbl_Finance[Job Number],C239&amp;"",tbl_Finance[Xero Invoice No],LOOKUP(2,1/((tbl_Finance[Job Number]=C239&amp;"")*(tbl_Finance[Xero Invoice No]&lt;&gt;"")),tbl_Finance[Xero Invoice No]))=COUNTIFS(tbl_Finance[Job Number],C239&amp;"",tbl_Finance[Xero Invoice No],"&lt;&gt;"),LOOKUP(2,1/((tbl_Finance[Job Number]=C239&amp;"")*(tbl_Finance[Xero Invoice No]&lt;&gt;"")),tbl_Finance[Xero Invoice No]),LOOKUP(2,1/((tbl_Finance[Job Number]=C239&amp;"")*(tbl_Finance[Xero Invoice No]&lt;&gt;"")),tbl_Finance[Xero Invoice No])&amp;" +more"),"")))</f>
        <v/>
      </c>
      <c r="C239" s="24" t="n"/>
      <c r="D239" s="25">
        <f>IF(C239="","",IF(COUNTIF(lst_Jobs,C239&amp;"")&gt;0,"OK","CHECK"))</f>
        <v/>
      </c>
      <c r="E239" s="25">
        <f>IF(C239="","",IFERROR(INDEX(lst_JobName,MATCH(C239&amp;"",lst_Jobs,0)),""))</f>
        <v/>
      </c>
      <c r="F239" s="25">
        <f>IF(C239="","",IFERROR(INDEX(tbl_Finance[Client],MATCH(C239&amp;"",tbl_Finance[Job Number],0)),""))</f>
        <v/>
      </c>
      <c r="G239" s="28">
        <f>IF(C239="","",COUNTIFS(tbl_Finance[Job Number],C239&amp;"",tbl_Finance[Ex GST],"&lt;&gt;"))</f>
        <v/>
      </c>
      <c r="H239" s="27">
        <f>IF(C239="","",SUMIFS(tbl_Finance[Ex GST],tbl_Finance[Job Number],C239&amp;""))</f>
        <v/>
      </c>
      <c r="I239" s="27">
        <f>IF(C239="","",SUMIFS(tbl_Finance[Ex GST],tbl_Finance[Job Number],C239&amp;"",tbl_Finance[Xero Invoice No],"&lt;&gt;"))</f>
        <v/>
      </c>
      <c r="J239" s="27">
        <f>IF(C239="","",H239-I239)</f>
        <v/>
      </c>
      <c r="K239" s="25">
        <f>IF(C239="","",IF(G239=0,"not invoiced yet",SUBSTITUTE(TRIM(IF(COUNTIFS(tbl_Finance[Job Number],C239&amp;"",tbl_Finance[Cost Centre],"ONSITE")&gt;0,"ONSITE ","")&amp;IF(COUNTIFS(tbl_Finance[Job Number],C239&amp;"",tbl_Finance[Cost Centre],"PRODUCTION")&gt;0,"PRODUCTION ","")&amp;IF(COUNTIFS(tbl_Finance[Job Number],C239&amp;"",tbl_Finance[Cost Centre],"VIDEO")&gt;0,"VIDEO ","")&amp;IF(COUNTIFS(tbl_Finance[Job Number],C239&amp;"",tbl_Finance[Cost Centre],"INTEGRATION")&gt;0,"INTEGRATION ","")&amp;IF(COUNTIFS(tbl_Finance[Job Number],C239&amp;"",tbl_Finance[Cost Centre],"CONSULTING")&gt;0,"CONSULTING ","")&amp;IF(COUNTIFS(tbl_Finance[Job Number],C239&amp;"",tbl_Finance[Cost Centre],"CTS")&gt;0,"CTS ",""))," ",", ")))</f>
        <v/>
      </c>
      <c r="L239" s="27">
        <f>IF(C239="","",SUMIFS(tbl_Finance[Inc GST],tbl_Finance[Job Number],C239&amp;""))</f>
        <v/>
      </c>
      <c r="M239" s="24" t="n"/>
      <c r="N239" s="25">
        <f>IF(C239="","",IFERROR(INDEX(tbl_Finance[Description],MATCH(C239&amp;"",tbl_Finance[Job Number],0)),""))</f>
        <v/>
      </c>
      <c r="O239" s="24" t="n"/>
      <c r="P239" s="24" t="n"/>
      <c r="Q239" s="22" t="n"/>
      <c r="R239" s="24" t="n"/>
      <c r="S239" s="25">
        <f>IF(R239="","",IF(AND(LEFT(R239,4)&lt;&gt;"http",set_RMSBase=""),"",HYPERLINK(IF(LEFT(R239,4)="http",R239,set_RMSBase&amp;R239),"Open opportunity")))</f>
        <v/>
      </c>
      <c r="T239" s="24" t="n"/>
      <c r="U239" s="25">
        <f>IF(T239="","",HYPERLINK(IF(LEFT(T239,4)="http",T239,set_QwilrBase&amp;T239),"Open quote"))</f>
        <v/>
      </c>
      <c r="V239" s="25">
        <f>IF(C239="","",C239)</f>
        <v/>
      </c>
      <c r="W239" s="24" t="n"/>
      <c r="X239" s="26" t="n"/>
      <c r="Y239" s="27">
        <f>IF(C239="","",H239+N(X239))</f>
        <v/>
      </c>
      <c r="Z239" s="29">
        <f>IFERROR(X239/Y239,"")</f>
        <v/>
      </c>
      <c r="AA239" s="26" t="n"/>
      <c r="AB239" s="26" t="n"/>
      <c r="AC239" s="26" t="n"/>
      <c r="AD239" s="26" t="n"/>
      <c r="AE239" s="27">
        <f>IF(C239="","",SUMIFS(tbl_Finance[Ex GST],tbl_Finance[Job Number],C239&amp;"",tbl_Finance[Cost Centre],"VIDEO"))</f>
        <v/>
      </c>
      <c r="AF239" s="29">
        <f>IFERROR(AE239/H239,"")</f>
        <v/>
      </c>
      <c r="AG239" s="27">
        <f>IF(C239="","",N(AA239)+N(AB239)+N(AC239)+N(AD239))</f>
        <v/>
      </c>
      <c r="AH239" s="27">
        <f>IF(C239="","",H239-AG239)</f>
        <v/>
      </c>
      <c r="AI239" s="29">
        <f>IFERROR(AH239/H239,"")</f>
        <v/>
      </c>
      <c r="AJ239" s="69" t="n"/>
      <c r="AK239" s="69" t="n"/>
      <c r="AL239" s="69" t="n"/>
      <c r="AM239" s="69" t="n"/>
      <c r="AN239" s="69" t="n"/>
      <c r="AO239" s="24" t="n"/>
    </row>
    <row r="240" ht="15" customHeight="1">
      <c r="A240" s="68">
        <f>IF(C240="","",IFERROR(IF(SUMPRODUCT(MAX((tbl_Finance[Job Number]=C240&amp;"")*(tbl_Finance[Xero Invoice No]&lt;&gt;"")*tbl_Finance[Date]))=0,"",SUMPRODUCT(MAX((tbl_Finance[Job Number]=C240&amp;"")*(tbl_Finance[Xero Invoice No]&lt;&gt;"")*tbl_Finance[Date]))),""))</f>
        <v/>
      </c>
      <c r="B240" s="25">
        <f>IF(C240="","",IF(COUNTIFS(tbl_Finance[Job Number],C240&amp;"",tbl_Finance[Xero Invoice No],"&lt;&gt;")=0,"",IFERROR(IF(COUNTIFS(tbl_Finance[Job Number],C240&amp;"",tbl_Finance[Xero Invoice No],LOOKUP(2,1/((tbl_Finance[Job Number]=C240&amp;"")*(tbl_Finance[Xero Invoice No]&lt;&gt;"")),tbl_Finance[Xero Invoice No]))=COUNTIFS(tbl_Finance[Job Number],C240&amp;"",tbl_Finance[Xero Invoice No],"&lt;&gt;"),LOOKUP(2,1/((tbl_Finance[Job Number]=C240&amp;"")*(tbl_Finance[Xero Invoice No]&lt;&gt;"")),tbl_Finance[Xero Invoice No]),LOOKUP(2,1/((tbl_Finance[Job Number]=C240&amp;"")*(tbl_Finance[Xero Invoice No]&lt;&gt;"")),tbl_Finance[Xero Invoice No])&amp;" +more"),"")))</f>
        <v/>
      </c>
      <c r="C240" s="24" t="n"/>
      <c r="D240" s="25">
        <f>IF(C240="","",IF(COUNTIF(lst_Jobs,C240&amp;"")&gt;0,"OK","CHECK"))</f>
        <v/>
      </c>
      <c r="E240" s="25">
        <f>IF(C240="","",IFERROR(INDEX(lst_JobName,MATCH(C240&amp;"",lst_Jobs,0)),""))</f>
        <v/>
      </c>
      <c r="F240" s="25">
        <f>IF(C240="","",IFERROR(INDEX(tbl_Finance[Client],MATCH(C240&amp;"",tbl_Finance[Job Number],0)),""))</f>
        <v/>
      </c>
      <c r="G240" s="28">
        <f>IF(C240="","",COUNTIFS(tbl_Finance[Job Number],C240&amp;"",tbl_Finance[Ex GST],"&lt;&gt;"))</f>
        <v/>
      </c>
      <c r="H240" s="27">
        <f>IF(C240="","",SUMIFS(tbl_Finance[Ex GST],tbl_Finance[Job Number],C240&amp;""))</f>
        <v/>
      </c>
      <c r="I240" s="27">
        <f>IF(C240="","",SUMIFS(tbl_Finance[Ex GST],tbl_Finance[Job Number],C240&amp;"",tbl_Finance[Xero Invoice No],"&lt;&gt;"))</f>
        <v/>
      </c>
      <c r="J240" s="27">
        <f>IF(C240="","",H240-I240)</f>
        <v/>
      </c>
      <c r="K240" s="25">
        <f>IF(C240="","",IF(G240=0,"not invoiced yet",SUBSTITUTE(TRIM(IF(COUNTIFS(tbl_Finance[Job Number],C240&amp;"",tbl_Finance[Cost Centre],"ONSITE")&gt;0,"ONSITE ","")&amp;IF(COUNTIFS(tbl_Finance[Job Number],C240&amp;"",tbl_Finance[Cost Centre],"PRODUCTION")&gt;0,"PRODUCTION ","")&amp;IF(COUNTIFS(tbl_Finance[Job Number],C240&amp;"",tbl_Finance[Cost Centre],"VIDEO")&gt;0,"VIDEO ","")&amp;IF(COUNTIFS(tbl_Finance[Job Number],C240&amp;"",tbl_Finance[Cost Centre],"INTEGRATION")&gt;0,"INTEGRATION ","")&amp;IF(COUNTIFS(tbl_Finance[Job Number],C240&amp;"",tbl_Finance[Cost Centre],"CONSULTING")&gt;0,"CONSULTING ","")&amp;IF(COUNTIFS(tbl_Finance[Job Number],C240&amp;"",tbl_Finance[Cost Centre],"CTS")&gt;0,"CTS ",""))," ",", ")))</f>
        <v/>
      </c>
      <c r="L240" s="27">
        <f>IF(C240="","",SUMIFS(tbl_Finance[Inc GST],tbl_Finance[Job Number],C240&amp;""))</f>
        <v/>
      </c>
      <c r="M240" s="24" t="n"/>
      <c r="N240" s="25">
        <f>IF(C240="","",IFERROR(INDEX(tbl_Finance[Description],MATCH(C240&amp;"",tbl_Finance[Job Number],0)),""))</f>
        <v/>
      </c>
      <c r="O240" s="24" t="n"/>
      <c r="P240" s="24" t="n"/>
      <c r="Q240" s="22" t="n"/>
      <c r="R240" s="24" t="n"/>
      <c r="S240" s="25">
        <f>IF(R240="","",IF(AND(LEFT(R240,4)&lt;&gt;"http",set_RMSBase=""),"",HYPERLINK(IF(LEFT(R240,4)="http",R240,set_RMSBase&amp;R240),"Open opportunity")))</f>
        <v/>
      </c>
      <c r="T240" s="24" t="n"/>
      <c r="U240" s="25">
        <f>IF(T240="","",HYPERLINK(IF(LEFT(T240,4)="http",T240,set_QwilrBase&amp;T240),"Open quote"))</f>
        <v/>
      </c>
      <c r="V240" s="25">
        <f>IF(C240="","",C240)</f>
        <v/>
      </c>
      <c r="W240" s="24" t="n"/>
      <c r="X240" s="26" t="n"/>
      <c r="Y240" s="27">
        <f>IF(C240="","",H240+N(X240))</f>
        <v/>
      </c>
      <c r="Z240" s="29">
        <f>IFERROR(X240/Y240,"")</f>
        <v/>
      </c>
      <c r="AA240" s="26" t="n"/>
      <c r="AB240" s="26" t="n"/>
      <c r="AC240" s="26" t="n"/>
      <c r="AD240" s="26" t="n"/>
      <c r="AE240" s="27">
        <f>IF(C240="","",SUMIFS(tbl_Finance[Ex GST],tbl_Finance[Job Number],C240&amp;"",tbl_Finance[Cost Centre],"VIDEO"))</f>
        <v/>
      </c>
      <c r="AF240" s="29">
        <f>IFERROR(AE240/H240,"")</f>
        <v/>
      </c>
      <c r="AG240" s="27">
        <f>IF(C240="","",N(AA240)+N(AB240)+N(AC240)+N(AD240))</f>
        <v/>
      </c>
      <c r="AH240" s="27">
        <f>IF(C240="","",H240-AG240)</f>
        <v/>
      </c>
      <c r="AI240" s="29">
        <f>IFERROR(AH240/H240,"")</f>
        <v/>
      </c>
      <c r="AJ240" s="69" t="n"/>
      <c r="AK240" s="69" t="n"/>
      <c r="AL240" s="69" t="n"/>
      <c r="AM240" s="69" t="n"/>
      <c r="AN240" s="69" t="n"/>
      <c r="AO240" s="24" t="n"/>
    </row>
    <row r="241" ht="15" customHeight="1">
      <c r="A241" s="68">
        <f>IF(C241="","",IFERROR(IF(SUMPRODUCT(MAX((tbl_Finance[Job Number]=C241&amp;"")*(tbl_Finance[Xero Invoice No]&lt;&gt;"")*tbl_Finance[Date]))=0,"",SUMPRODUCT(MAX((tbl_Finance[Job Number]=C241&amp;"")*(tbl_Finance[Xero Invoice No]&lt;&gt;"")*tbl_Finance[Date]))),""))</f>
        <v/>
      </c>
      <c r="B241" s="25">
        <f>IF(C241="","",IF(COUNTIFS(tbl_Finance[Job Number],C241&amp;"",tbl_Finance[Xero Invoice No],"&lt;&gt;")=0,"",IFERROR(IF(COUNTIFS(tbl_Finance[Job Number],C241&amp;"",tbl_Finance[Xero Invoice No],LOOKUP(2,1/((tbl_Finance[Job Number]=C241&amp;"")*(tbl_Finance[Xero Invoice No]&lt;&gt;"")),tbl_Finance[Xero Invoice No]))=COUNTIFS(tbl_Finance[Job Number],C241&amp;"",tbl_Finance[Xero Invoice No],"&lt;&gt;"),LOOKUP(2,1/((tbl_Finance[Job Number]=C241&amp;"")*(tbl_Finance[Xero Invoice No]&lt;&gt;"")),tbl_Finance[Xero Invoice No]),LOOKUP(2,1/((tbl_Finance[Job Number]=C241&amp;"")*(tbl_Finance[Xero Invoice No]&lt;&gt;"")),tbl_Finance[Xero Invoice No])&amp;" +more"),"")))</f>
        <v/>
      </c>
      <c r="C241" s="24" t="n"/>
      <c r="D241" s="25">
        <f>IF(C241="","",IF(COUNTIF(lst_Jobs,C241&amp;"")&gt;0,"OK","CHECK"))</f>
        <v/>
      </c>
      <c r="E241" s="25">
        <f>IF(C241="","",IFERROR(INDEX(lst_JobName,MATCH(C241&amp;"",lst_Jobs,0)),""))</f>
        <v/>
      </c>
      <c r="F241" s="25">
        <f>IF(C241="","",IFERROR(INDEX(tbl_Finance[Client],MATCH(C241&amp;"",tbl_Finance[Job Number],0)),""))</f>
        <v/>
      </c>
      <c r="G241" s="28">
        <f>IF(C241="","",COUNTIFS(tbl_Finance[Job Number],C241&amp;"",tbl_Finance[Ex GST],"&lt;&gt;"))</f>
        <v/>
      </c>
      <c r="H241" s="27">
        <f>IF(C241="","",SUMIFS(tbl_Finance[Ex GST],tbl_Finance[Job Number],C241&amp;""))</f>
        <v/>
      </c>
      <c r="I241" s="27">
        <f>IF(C241="","",SUMIFS(tbl_Finance[Ex GST],tbl_Finance[Job Number],C241&amp;"",tbl_Finance[Xero Invoice No],"&lt;&gt;"))</f>
        <v/>
      </c>
      <c r="J241" s="27">
        <f>IF(C241="","",H241-I241)</f>
        <v/>
      </c>
      <c r="K241" s="25">
        <f>IF(C241="","",IF(G241=0,"not invoiced yet",SUBSTITUTE(TRIM(IF(COUNTIFS(tbl_Finance[Job Number],C241&amp;"",tbl_Finance[Cost Centre],"ONSITE")&gt;0,"ONSITE ","")&amp;IF(COUNTIFS(tbl_Finance[Job Number],C241&amp;"",tbl_Finance[Cost Centre],"PRODUCTION")&gt;0,"PRODUCTION ","")&amp;IF(COUNTIFS(tbl_Finance[Job Number],C241&amp;"",tbl_Finance[Cost Centre],"VIDEO")&gt;0,"VIDEO ","")&amp;IF(COUNTIFS(tbl_Finance[Job Number],C241&amp;"",tbl_Finance[Cost Centre],"INTEGRATION")&gt;0,"INTEGRATION ","")&amp;IF(COUNTIFS(tbl_Finance[Job Number],C241&amp;"",tbl_Finance[Cost Centre],"CONSULTING")&gt;0,"CONSULTING ","")&amp;IF(COUNTIFS(tbl_Finance[Job Number],C241&amp;"",tbl_Finance[Cost Centre],"CTS")&gt;0,"CTS ",""))," ",", ")))</f>
        <v/>
      </c>
      <c r="L241" s="27">
        <f>IF(C241="","",SUMIFS(tbl_Finance[Inc GST],tbl_Finance[Job Number],C241&amp;""))</f>
        <v/>
      </c>
      <c r="M241" s="24" t="n"/>
      <c r="N241" s="25">
        <f>IF(C241="","",IFERROR(INDEX(tbl_Finance[Description],MATCH(C241&amp;"",tbl_Finance[Job Number],0)),""))</f>
        <v/>
      </c>
      <c r="O241" s="24" t="n"/>
      <c r="P241" s="24" t="n"/>
      <c r="Q241" s="22" t="n"/>
      <c r="R241" s="24" t="n"/>
      <c r="S241" s="25">
        <f>IF(R241="","",IF(AND(LEFT(R241,4)&lt;&gt;"http",set_RMSBase=""),"",HYPERLINK(IF(LEFT(R241,4)="http",R241,set_RMSBase&amp;R241),"Open opportunity")))</f>
        <v/>
      </c>
      <c r="T241" s="24" t="n"/>
      <c r="U241" s="25">
        <f>IF(T241="","",HYPERLINK(IF(LEFT(T241,4)="http",T241,set_QwilrBase&amp;T241),"Open quote"))</f>
        <v/>
      </c>
      <c r="V241" s="25">
        <f>IF(C241="","",C241)</f>
        <v/>
      </c>
      <c r="W241" s="24" t="n"/>
      <c r="X241" s="26" t="n"/>
      <c r="Y241" s="27">
        <f>IF(C241="","",H241+N(X241))</f>
        <v/>
      </c>
      <c r="Z241" s="29">
        <f>IFERROR(X241/Y241,"")</f>
        <v/>
      </c>
      <c r="AA241" s="26" t="n"/>
      <c r="AB241" s="26" t="n"/>
      <c r="AC241" s="26" t="n"/>
      <c r="AD241" s="26" t="n"/>
      <c r="AE241" s="27">
        <f>IF(C241="","",SUMIFS(tbl_Finance[Ex GST],tbl_Finance[Job Number],C241&amp;"",tbl_Finance[Cost Centre],"VIDEO"))</f>
        <v/>
      </c>
      <c r="AF241" s="29">
        <f>IFERROR(AE241/H241,"")</f>
        <v/>
      </c>
      <c r="AG241" s="27">
        <f>IF(C241="","",N(AA241)+N(AB241)+N(AC241)+N(AD241))</f>
        <v/>
      </c>
      <c r="AH241" s="27">
        <f>IF(C241="","",H241-AG241)</f>
        <v/>
      </c>
      <c r="AI241" s="29">
        <f>IFERROR(AH241/H241,"")</f>
        <v/>
      </c>
      <c r="AJ241" s="69" t="n"/>
      <c r="AK241" s="69" t="n"/>
      <c r="AL241" s="69" t="n"/>
      <c r="AM241" s="69" t="n"/>
      <c r="AN241" s="69" t="n"/>
      <c r="AO241" s="24" t="n"/>
    </row>
    <row r="242" ht="15" customHeight="1">
      <c r="A242" s="68">
        <f>IF(C242="","",IFERROR(IF(SUMPRODUCT(MAX((tbl_Finance[Job Number]=C242&amp;"")*(tbl_Finance[Xero Invoice No]&lt;&gt;"")*tbl_Finance[Date]))=0,"",SUMPRODUCT(MAX((tbl_Finance[Job Number]=C242&amp;"")*(tbl_Finance[Xero Invoice No]&lt;&gt;"")*tbl_Finance[Date]))),""))</f>
        <v/>
      </c>
      <c r="B242" s="25">
        <f>IF(C242="","",IF(COUNTIFS(tbl_Finance[Job Number],C242&amp;"",tbl_Finance[Xero Invoice No],"&lt;&gt;")=0,"",IFERROR(IF(COUNTIFS(tbl_Finance[Job Number],C242&amp;"",tbl_Finance[Xero Invoice No],LOOKUP(2,1/((tbl_Finance[Job Number]=C242&amp;"")*(tbl_Finance[Xero Invoice No]&lt;&gt;"")),tbl_Finance[Xero Invoice No]))=COUNTIFS(tbl_Finance[Job Number],C242&amp;"",tbl_Finance[Xero Invoice No],"&lt;&gt;"),LOOKUP(2,1/((tbl_Finance[Job Number]=C242&amp;"")*(tbl_Finance[Xero Invoice No]&lt;&gt;"")),tbl_Finance[Xero Invoice No]),LOOKUP(2,1/((tbl_Finance[Job Number]=C242&amp;"")*(tbl_Finance[Xero Invoice No]&lt;&gt;"")),tbl_Finance[Xero Invoice No])&amp;" +more"),"")))</f>
        <v/>
      </c>
      <c r="C242" s="24" t="n"/>
      <c r="D242" s="25">
        <f>IF(C242="","",IF(COUNTIF(lst_Jobs,C242&amp;"")&gt;0,"OK","CHECK"))</f>
        <v/>
      </c>
      <c r="E242" s="25">
        <f>IF(C242="","",IFERROR(INDEX(lst_JobName,MATCH(C242&amp;"",lst_Jobs,0)),""))</f>
        <v/>
      </c>
      <c r="F242" s="25">
        <f>IF(C242="","",IFERROR(INDEX(tbl_Finance[Client],MATCH(C242&amp;"",tbl_Finance[Job Number],0)),""))</f>
        <v/>
      </c>
      <c r="G242" s="28">
        <f>IF(C242="","",COUNTIFS(tbl_Finance[Job Number],C242&amp;"",tbl_Finance[Ex GST],"&lt;&gt;"))</f>
        <v/>
      </c>
      <c r="H242" s="27">
        <f>IF(C242="","",SUMIFS(tbl_Finance[Ex GST],tbl_Finance[Job Number],C242&amp;""))</f>
        <v/>
      </c>
      <c r="I242" s="27">
        <f>IF(C242="","",SUMIFS(tbl_Finance[Ex GST],tbl_Finance[Job Number],C242&amp;"",tbl_Finance[Xero Invoice No],"&lt;&gt;"))</f>
        <v/>
      </c>
      <c r="J242" s="27">
        <f>IF(C242="","",H242-I242)</f>
        <v/>
      </c>
      <c r="K242" s="25">
        <f>IF(C242="","",IF(G242=0,"not invoiced yet",SUBSTITUTE(TRIM(IF(COUNTIFS(tbl_Finance[Job Number],C242&amp;"",tbl_Finance[Cost Centre],"ONSITE")&gt;0,"ONSITE ","")&amp;IF(COUNTIFS(tbl_Finance[Job Number],C242&amp;"",tbl_Finance[Cost Centre],"PRODUCTION")&gt;0,"PRODUCTION ","")&amp;IF(COUNTIFS(tbl_Finance[Job Number],C242&amp;"",tbl_Finance[Cost Centre],"VIDEO")&gt;0,"VIDEO ","")&amp;IF(COUNTIFS(tbl_Finance[Job Number],C242&amp;"",tbl_Finance[Cost Centre],"INTEGRATION")&gt;0,"INTEGRATION ","")&amp;IF(COUNTIFS(tbl_Finance[Job Number],C242&amp;"",tbl_Finance[Cost Centre],"CONSULTING")&gt;0,"CONSULTING ","")&amp;IF(COUNTIFS(tbl_Finance[Job Number],C242&amp;"",tbl_Finance[Cost Centre],"CTS")&gt;0,"CTS ",""))," ",", ")))</f>
        <v/>
      </c>
      <c r="L242" s="27">
        <f>IF(C242="","",SUMIFS(tbl_Finance[Inc GST],tbl_Finance[Job Number],C242&amp;""))</f>
        <v/>
      </c>
      <c r="M242" s="24" t="n"/>
      <c r="N242" s="25">
        <f>IF(C242="","",IFERROR(INDEX(tbl_Finance[Description],MATCH(C242&amp;"",tbl_Finance[Job Number],0)),""))</f>
        <v/>
      </c>
      <c r="O242" s="24" t="n"/>
      <c r="P242" s="24" t="n"/>
      <c r="Q242" s="22" t="n"/>
      <c r="R242" s="24" t="n"/>
      <c r="S242" s="25">
        <f>IF(R242="","",IF(AND(LEFT(R242,4)&lt;&gt;"http",set_RMSBase=""),"",HYPERLINK(IF(LEFT(R242,4)="http",R242,set_RMSBase&amp;R242),"Open opportunity")))</f>
        <v/>
      </c>
      <c r="T242" s="24" t="n"/>
      <c r="U242" s="25">
        <f>IF(T242="","",HYPERLINK(IF(LEFT(T242,4)="http",T242,set_QwilrBase&amp;T242),"Open quote"))</f>
        <v/>
      </c>
      <c r="V242" s="25">
        <f>IF(C242="","",C242)</f>
        <v/>
      </c>
      <c r="W242" s="24" t="n"/>
      <c r="X242" s="26" t="n"/>
      <c r="Y242" s="27">
        <f>IF(C242="","",H242+N(X242))</f>
        <v/>
      </c>
      <c r="Z242" s="29">
        <f>IFERROR(X242/Y242,"")</f>
        <v/>
      </c>
      <c r="AA242" s="26" t="n"/>
      <c r="AB242" s="26" t="n"/>
      <c r="AC242" s="26" t="n"/>
      <c r="AD242" s="26" t="n"/>
      <c r="AE242" s="27">
        <f>IF(C242="","",SUMIFS(tbl_Finance[Ex GST],tbl_Finance[Job Number],C242&amp;"",tbl_Finance[Cost Centre],"VIDEO"))</f>
        <v/>
      </c>
      <c r="AF242" s="29">
        <f>IFERROR(AE242/H242,"")</f>
        <v/>
      </c>
      <c r="AG242" s="27">
        <f>IF(C242="","",N(AA242)+N(AB242)+N(AC242)+N(AD242))</f>
        <v/>
      </c>
      <c r="AH242" s="27">
        <f>IF(C242="","",H242-AG242)</f>
        <v/>
      </c>
      <c r="AI242" s="29">
        <f>IFERROR(AH242/H242,"")</f>
        <v/>
      </c>
      <c r="AJ242" s="69" t="n"/>
      <c r="AK242" s="69" t="n"/>
      <c r="AL242" s="69" t="n"/>
      <c r="AM242" s="69" t="n"/>
      <c r="AN242" s="69" t="n"/>
      <c r="AO242" s="24" t="n"/>
    </row>
    <row r="243" ht="15" customHeight="1">
      <c r="A243" s="68">
        <f>IF(C243="","",IFERROR(IF(SUMPRODUCT(MAX((tbl_Finance[Job Number]=C243&amp;"")*(tbl_Finance[Xero Invoice No]&lt;&gt;"")*tbl_Finance[Date]))=0,"",SUMPRODUCT(MAX((tbl_Finance[Job Number]=C243&amp;"")*(tbl_Finance[Xero Invoice No]&lt;&gt;"")*tbl_Finance[Date]))),""))</f>
        <v/>
      </c>
      <c r="B243" s="25">
        <f>IF(C243="","",IF(COUNTIFS(tbl_Finance[Job Number],C243&amp;"",tbl_Finance[Xero Invoice No],"&lt;&gt;")=0,"",IFERROR(IF(COUNTIFS(tbl_Finance[Job Number],C243&amp;"",tbl_Finance[Xero Invoice No],LOOKUP(2,1/((tbl_Finance[Job Number]=C243&amp;"")*(tbl_Finance[Xero Invoice No]&lt;&gt;"")),tbl_Finance[Xero Invoice No]))=COUNTIFS(tbl_Finance[Job Number],C243&amp;"",tbl_Finance[Xero Invoice No],"&lt;&gt;"),LOOKUP(2,1/((tbl_Finance[Job Number]=C243&amp;"")*(tbl_Finance[Xero Invoice No]&lt;&gt;"")),tbl_Finance[Xero Invoice No]),LOOKUP(2,1/((tbl_Finance[Job Number]=C243&amp;"")*(tbl_Finance[Xero Invoice No]&lt;&gt;"")),tbl_Finance[Xero Invoice No])&amp;" +more"),"")))</f>
        <v/>
      </c>
      <c r="C243" s="24" t="n"/>
      <c r="D243" s="25">
        <f>IF(C243="","",IF(COUNTIF(lst_Jobs,C243&amp;"")&gt;0,"OK","CHECK"))</f>
        <v/>
      </c>
      <c r="E243" s="25">
        <f>IF(C243="","",IFERROR(INDEX(lst_JobName,MATCH(C243&amp;"",lst_Jobs,0)),""))</f>
        <v/>
      </c>
      <c r="F243" s="25">
        <f>IF(C243="","",IFERROR(INDEX(tbl_Finance[Client],MATCH(C243&amp;"",tbl_Finance[Job Number],0)),""))</f>
        <v/>
      </c>
      <c r="G243" s="28">
        <f>IF(C243="","",COUNTIFS(tbl_Finance[Job Number],C243&amp;"",tbl_Finance[Ex GST],"&lt;&gt;"))</f>
        <v/>
      </c>
      <c r="H243" s="27">
        <f>IF(C243="","",SUMIFS(tbl_Finance[Ex GST],tbl_Finance[Job Number],C243&amp;""))</f>
        <v/>
      </c>
      <c r="I243" s="27">
        <f>IF(C243="","",SUMIFS(tbl_Finance[Ex GST],tbl_Finance[Job Number],C243&amp;"",tbl_Finance[Xero Invoice No],"&lt;&gt;"))</f>
        <v/>
      </c>
      <c r="J243" s="27">
        <f>IF(C243="","",H243-I243)</f>
        <v/>
      </c>
      <c r="K243" s="25">
        <f>IF(C243="","",IF(G243=0,"not invoiced yet",SUBSTITUTE(TRIM(IF(COUNTIFS(tbl_Finance[Job Number],C243&amp;"",tbl_Finance[Cost Centre],"ONSITE")&gt;0,"ONSITE ","")&amp;IF(COUNTIFS(tbl_Finance[Job Number],C243&amp;"",tbl_Finance[Cost Centre],"PRODUCTION")&gt;0,"PRODUCTION ","")&amp;IF(COUNTIFS(tbl_Finance[Job Number],C243&amp;"",tbl_Finance[Cost Centre],"VIDEO")&gt;0,"VIDEO ","")&amp;IF(COUNTIFS(tbl_Finance[Job Number],C243&amp;"",tbl_Finance[Cost Centre],"INTEGRATION")&gt;0,"INTEGRATION ","")&amp;IF(COUNTIFS(tbl_Finance[Job Number],C243&amp;"",tbl_Finance[Cost Centre],"CONSULTING")&gt;0,"CONSULTING ","")&amp;IF(COUNTIFS(tbl_Finance[Job Number],C243&amp;"",tbl_Finance[Cost Centre],"CTS")&gt;0,"CTS ",""))," ",", ")))</f>
        <v/>
      </c>
      <c r="L243" s="27">
        <f>IF(C243="","",SUMIFS(tbl_Finance[Inc GST],tbl_Finance[Job Number],C243&amp;""))</f>
        <v/>
      </c>
      <c r="M243" s="24" t="n"/>
      <c r="N243" s="25">
        <f>IF(C243="","",IFERROR(INDEX(tbl_Finance[Description],MATCH(C243&amp;"",tbl_Finance[Job Number],0)),""))</f>
        <v/>
      </c>
      <c r="O243" s="24" t="n"/>
      <c r="P243" s="24" t="n"/>
      <c r="Q243" s="22" t="n"/>
      <c r="R243" s="24" t="n"/>
      <c r="S243" s="25">
        <f>IF(R243="","",IF(AND(LEFT(R243,4)&lt;&gt;"http",set_RMSBase=""),"",HYPERLINK(IF(LEFT(R243,4)="http",R243,set_RMSBase&amp;R243),"Open opportunity")))</f>
        <v/>
      </c>
      <c r="T243" s="24" t="n"/>
      <c r="U243" s="25">
        <f>IF(T243="","",HYPERLINK(IF(LEFT(T243,4)="http",T243,set_QwilrBase&amp;T243),"Open quote"))</f>
        <v/>
      </c>
      <c r="V243" s="25">
        <f>IF(C243="","",C243)</f>
        <v/>
      </c>
      <c r="W243" s="24" t="n"/>
      <c r="X243" s="26" t="n"/>
      <c r="Y243" s="27">
        <f>IF(C243="","",H243+N(X243))</f>
        <v/>
      </c>
      <c r="Z243" s="29">
        <f>IFERROR(X243/Y243,"")</f>
        <v/>
      </c>
      <c r="AA243" s="26" t="n"/>
      <c r="AB243" s="26" t="n"/>
      <c r="AC243" s="26" t="n"/>
      <c r="AD243" s="26" t="n"/>
      <c r="AE243" s="27">
        <f>IF(C243="","",SUMIFS(tbl_Finance[Ex GST],tbl_Finance[Job Number],C243&amp;"",tbl_Finance[Cost Centre],"VIDEO"))</f>
        <v/>
      </c>
      <c r="AF243" s="29">
        <f>IFERROR(AE243/H243,"")</f>
        <v/>
      </c>
      <c r="AG243" s="27">
        <f>IF(C243="","",N(AA243)+N(AB243)+N(AC243)+N(AD243))</f>
        <v/>
      </c>
      <c r="AH243" s="27">
        <f>IF(C243="","",H243-AG243)</f>
        <v/>
      </c>
      <c r="AI243" s="29">
        <f>IFERROR(AH243/H243,"")</f>
        <v/>
      </c>
      <c r="AJ243" s="69" t="n"/>
      <c r="AK243" s="69" t="n"/>
      <c r="AL243" s="69" t="n"/>
      <c r="AM243" s="69" t="n"/>
      <c r="AN243" s="69" t="n"/>
      <c r="AO243" s="24" t="n"/>
    </row>
    <row r="244" ht="15" customHeight="1">
      <c r="A244" s="68">
        <f>IF(C244="","",IFERROR(IF(SUMPRODUCT(MAX((tbl_Finance[Job Number]=C244&amp;"")*(tbl_Finance[Xero Invoice No]&lt;&gt;"")*tbl_Finance[Date]))=0,"",SUMPRODUCT(MAX((tbl_Finance[Job Number]=C244&amp;"")*(tbl_Finance[Xero Invoice No]&lt;&gt;"")*tbl_Finance[Date]))),""))</f>
        <v/>
      </c>
      <c r="B244" s="25">
        <f>IF(C244="","",IF(COUNTIFS(tbl_Finance[Job Number],C244&amp;"",tbl_Finance[Xero Invoice No],"&lt;&gt;")=0,"",IFERROR(IF(COUNTIFS(tbl_Finance[Job Number],C244&amp;"",tbl_Finance[Xero Invoice No],LOOKUP(2,1/((tbl_Finance[Job Number]=C244&amp;"")*(tbl_Finance[Xero Invoice No]&lt;&gt;"")),tbl_Finance[Xero Invoice No]))=COUNTIFS(tbl_Finance[Job Number],C244&amp;"",tbl_Finance[Xero Invoice No],"&lt;&gt;"),LOOKUP(2,1/((tbl_Finance[Job Number]=C244&amp;"")*(tbl_Finance[Xero Invoice No]&lt;&gt;"")),tbl_Finance[Xero Invoice No]),LOOKUP(2,1/((tbl_Finance[Job Number]=C244&amp;"")*(tbl_Finance[Xero Invoice No]&lt;&gt;"")),tbl_Finance[Xero Invoice No])&amp;" +more"),"")))</f>
        <v/>
      </c>
      <c r="C244" s="24" t="n"/>
      <c r="D244" s="25">
        <f>IF(C244="","",IF(COUNTIF(lst_Jobs,C244&amp;"")&gt;0,"OK","CHECK"))</f>
        <v/>
      </c>
      <c r="E244" s="25">
        <f>IF(C244="","",IFERROR(INDEX(lst_JobName,MATCH(C244&amp;"",lst_Jobs,0)),""))</f>
        <v/>
      </c>
      <c r="F244" s="25">
        <f>IF(C244="","",IFERROR(INDEX(tbl_Finance[Client],MATCH(C244&amp;"",tbl_Finance[Job Number],0)),""))</f>
        <v/>
      </c>
      <c r="G244" s="28">
        <f>IF(C244="","",COUNTIFS(tbl_Finance[Job Number],C244&amp;"",tbl_Finance[Ex GST],"&lt;&gt;"))</f>
        <v/>
      </c>
      <c r="H244" s="27">
        <f>IF(C244="","",SUMIFS(tbl_Finance[Ex GST],tbl_Finance[Job Number],C244&amp;""))</f>
        <v/>
      </c>
      <c r="I244" s="27">
        <f>IF(C244="","",SUMIFS(tbl_Finance[Ex GST],tbl_Finance[Job Number],C244&amp;"",tbl_Finance[Xero Invoice No],"&lt;&gt;"))</f>
        <v/>
      </c>
      <c r="J244" s="27">
        <f>IF(C244="","",H244-I244)</f>
        <v/>
      </c>
      <c r="K244" s="25">
        <f>IF(C244="","",IF(G244=0,"not invoiced yet",SUBSTITUTE(TRIM(IF(COUNTIFS(tbl_Finance[Job Number],C244&amp;"",tbl_Finance[Cost Centre],"ONSITE")&gt;0,"ONSITE ","")&amp;IF(COUNTIFS(tbl_Finance[Job Number],C244&amp;"",tbl_Finance[Cost Centre],"PRODUCTION")&gt;0,"PRODUCTION ","")&amp;IF(COUNTIFS(tbl_Finance[Job Number],C244&amp;"",tbl_Finance[Cost Centre],"VIDEO")&gt;0,"VIDEO ","")&amp;IF(COUNTIFS(tbl_Finance[Job Number],C244&amp;"",tbl_Finance[Cost Centre],"INTEGRATION")&gt;0,"INTEGRATION ","")&amp;IF(COUNTIFS(tbl_Finance[Job Number],C244&amp;"",tbl_Finance[Cost Centre],"CONSULTING")&gt;0,"CONSULTING ","")&amp;IF(COUNTIFS(tbl_Finance[Job Number],C244&amp;"",tbl_Finance[Cost Centre],"CTS")&gt;0,"CTS ",""))," ",", ")))</f>
        <v/>
      </c>
      <c r="L244" s="27">
        <f>IF(C244="","",SUMIFS(tbl_Finance[Inc GST],tbl_Finance[Job Number],C244&amp;""))</f>
        <v/>
      </c>
      <c r="M244" s="24" t="n"/>
      <c r="N244" s="25">
        <f>IF(C244="","",IFERROR(INDEX(tbl_Finance[Description],MATCH(C244&amp;"",tbl_Finance[Job Number],0)),""))</f>
        <v/>
      </c>
      <c r="O244" s="24" t="n"/>
      <c r="P244" s="24" t="n"/>
      <c r="Q244" s="22" t="n"/>
      <c r="R244" s="24" t="n"/>
      <c r="S244" s="25">
        <f>IF(R244="","",IF(AND(LEFT(R244,4)&lt;&gt;"http",set_RMSBase=""),"",HYPERLINK(IF(LEFT(R244,4)="http",R244,set_RMSBase&amp;R244),"Open opportunity")))</f>
        <v/>
      </c>
      <c r="T244" s="24" t="n"/>
      <c r="U244" s="25">
        <f>IF(T244="","",HYPERLINK(IF(LEFT(T244,4)="http",T244,set_QwilrBase&amp;T244),"Open quote"))</f>
        <v/>
      </c>
      <c r="V244" s="25">
        <f>IF(C244="","",C244)</f>
        <v/>
      </c>
      <c r="W244" s="24" t="n"/>
      <c r="X244" s="26" t="n"/>
      <c r="Y244" s="27">
        <f>IF(C244="","",H244+N(X244))</f>
        <v/>
      </c>
      <c r="Z244" s="29">
        <f>IFERROR(X244/Y244,"")</f>
        <v/>
      </c>
      <c r="AA244" s="26" t="n"/>
      <c r="AB244" s="26" t="n"/>
      <c r="AC244" s="26" t="n"/>
      <c r="AD244" s="26" t="n"/>
      <c r="AE244" s="27">
        <f>IF(C244="","",SUMIFS(tbl_Finance[Ex GST],tbl_Finance[Job Number],C244&amp;"",tbl_Finance[Cost Centre],"VIDEO"))</f>
        <v/>
      </c>
      <c r="AF244" s="29">
        <f>IFERROR(AE244/H244,"")</f>
        <v/>
      </c>
      <c r="AG244" s="27">
        <f>IF(C244="","",N(AA244)+N(AB244)+N(AC244)+N(AD244))</f>
        <v/>
      </c>
      <c r="AH244" s="27">
        <f>IF(C244="","",H244-AG244)</f>
        <v/>
      </c>
      <c r="AI244" s="29">
        <f>IFERROR(AH244/H244,"")</f>
        <v/>
      </c>
      <c r="AJ244" s="69" t="n"/>
      <c r="AK244" s="69" t="n"/>
      <c r="AL244" s="69" t="n"/>
      <c r="AM244" s="69" t="n"/>
      <c r="AN244" s="69" t="n"/>
      <c r="AO244" s="24" t="n"/>
    </row>
    <row r="245" ht="15" customHeight="1">
      <c r="A245" s="68">
        <f>IF(C245="","",IFERROR(IF(SUMPRODUCT(MAX((tbl_Finance[Job Number]=C245&amp;"")*(tbl_Finance[Xero Invoice No]&lt;&gt;"")*tbl_Finance[Date]))=0,"",SUMPRODUCT(MAX((tbl_Finance[Job Number]=C245&amp;"")*(tbl_Finance[Xero Invoice No]&lt;&gt;"")*tbl_Finance[Date]))),""))</f>
        <v/>
      </c>
      <c r="B245" s="25">
        <f>IF(C245="","",IF(COUNTIFS(tbl_Finance[Job Number],C245&amp;"",tbl_Finance[Xero Invoice No],"&lt;&gt;")=0,"",IFERROR(IF(COUNTIFS(tbl_Finance[Job Number],C245&amp;"",tbl_Finance[Xero Invoice No],LOOKUP(2,1/((tbl_Finance[Job Number]=C245&amp;"")*(tbl_Finance[Xero Invoice No]&lt;&gt;"")),tbl_Finance[Xero Invoice No]))=COUNTIFS(tbl_Finance[Job Number],C245&amp;"",tbl_Finance[Xero Invoice No],"&lt;&gt;"),LOOKUP(2,1/((tbl_Finance[Job Number]=C245&amp;"")*(tbl_Finance[Xero Invoice No]&lt;&gt;"")),tbl_Finance[Xero Invoice No]),LOOKUP(2,1/((tbl_Finance[Job Number]=C245&amp;"")*(tbl_Finance[Xero Invoice No]&lt;&gt;"")),tbl_Finance[Xero Invoice No])&amp;" +more"),"")))</f>
        <v/>
      </c>
      <c r="C245" s="24" t="n"/>
      <c r="D245" s="25">
        <f>IF(C245="","",IF(COUNTIF(lst_Jobs,C245&amp;"")&gt;0,"OK","CHECK"))</f>
        <v/>
      </c>
      <c r="E245" s="25">
        <f>IF(C245="","",IFERROR(INDEX(lst_JobName,MATCH(C245&amp;"",lst_Jobs,0)),""))</f>
        <v/>
      </c>
      <c r="F245" s="25">
        <f>IF(C245="","",IFERROR(INDEX(tbl_Finance[Client],MATCH(C245&amp;"",tbl_Finance[Job Number],0)),""))</f>
        <v/>
      </c>
      <c r="G245" s="28">
        <f>IF(C245="","",COUNTIFS(tbl_Finance[Job Number],C245&amp;"",tbl_Finance[Ex GST],"&lt;&gt;"))</f>
        <v/>
      </c>
      <c r="H245" s="27">
        <f>IF(C245="","",SUMIFS(tbl_Finance[Ex GST],tbl_Finance[Job Number],C245&amp;""))</f>
        <v/>
      </c>
      <c r="I245" s="27">
        <f>IF(C245="","",SUMIFS(tbl_Finance[Ex GST],tbl_Finance[Job Number],C245&amp;"",tbl_Finance[Xero Invoice No],"&lt;&gt;"))</f>
        <v/>
      </c>
      <c r="J245" s="27">
        <f>IF(C245="","",H245-I245)</f>
        <v/>
      </c>
      <c r="K245" s="25">
        <f>IF(C245="","",IF(G245=0,"not invoiced yet",SUBSTITUTE(TRIM(IF(COUNTIFS(tbl_Finance[Job Number],C245&amp;"",tbl_Finance[Cost Centre],"ONSITE")&gt;0,"ONSITE ","")&amp;IF(COUNTIFS(tbl_Finance[Job Number],C245&amp;"",tbl_Finance[Cost Centre],"PRODUCTION")&gt;0,"PRODUCTION ","")&amp;IF(COUNTIFS(tbl_Finance[Job Number],C245&amp;"",tbl_Finance[Cost Centre],"VIDEO")&gt;0,"VIDEO ","")&amp;IF(COUNTIFS(tbl_Finance[Job Number],C245&amp;"",tbl_Finance[Cost Centre],"INTEGRATION")&gt;0,"INTEGRATION ","")&amp;IF(COUNTIFS(tbl_Finance[Job Number],C245&amp;"",tbl_Finance[Cost Centre],"CONSULTING")&gt;0,"CONSULTING ","")&amp;IF(COUNTIFS(tbl_Finance[Job Number],C245&amp;"",tbl_Finance[Cost Centre],"CTS")&gt;0,"CTS ",""))," ",", ")))</f>
        <v/>
      </c>
      <c r="L245" s="27">
        <f>IF(C245="","",SUMIFS(tbl_Finance[Inc GST],tbl_Finance[Job Number],C245&amp;""))</f>
        <v/>
      </c>
      <c r="M245" s="24" t="n"/>
      <c r="N245" s="25">
        <f>IF(C245="","",IFERROR(INDEX(tbl_Finance[Description],MATCH(C245&amp;"",tbl_Finance[Job Number],0)),""))</f>
        <v/>
      </c>
      <c r="O245" s="24" t="n"/>
      <c r="P245" s="24" t="n"/>
      <c r="Q245" s="22" t="n"/>
      <c r="R245" s="24" t="n"/>
      <c r="S245" s="25">
        <f>IF(R245="","",IF(AND(LEFT(R245,4)&lt;&gt;"http",set_RMSBase=""),"",HYPERLINK(IF(LEFT(R245,4)="http",R245,set_RMSBase&amp;R245),"Open opportunity")))</f>
        <v/>
      </c>
      <c r="T245" s="24" t="n"/>
      <c r="U245" s="25">
        <f>IF(T245="","",HYPERLINK(IF(LEFT(T245,4)="http",T245,set_QwilrBase&amp;T245),"Open quote"))</f>
        <v/>
      </c>
      <c r="V245" s="25">
        <f>IF(C245="","",C245)</f>
        <v/>
      </c>
      <c r="W245" s="24" t="n"/>
      <c r="X245" s="26" t="n"/>
      <c r="Y245" s="27">
        <f>IF(C245="","",H245+N(X245))</f>
        <v/>
      </c>
      <c r="Z245" s="29">
        <f>IFERROR(X245/Y245,"")</f>
        <v/>
      </c>
      <c r="AA245" s="26" t="n"/>
      <c r="AB245" s="26" t="n"/>
      <c r="AC245" s="26" t="n"/>
      <c r="AD245" s="26" t="n"/>
      <c r="AE245" s="27">
        <f>IF(C245="","",SUMIFS(tbl_Finance[Ex GST],tbl_Finance[Job Number],C245&amp;"",tbl_Finance[Cost Centre],"VIDEO"))</f>
        <v/>
      </c>
      <c r="AF245" s="29">
        <f>IFERROR(AE245/H245,"")</f>
        <v/>
      </c>
      <c r="AG245" s="27">
        <f>IF(C245="","",N(AA245)+N(AB245)+N(AC245)+N(AD245))</f>
        <v/>
      </c>
      <c r="AH245" s="27">
        <f>IF(C245="","",H245-AG245)</f>
        <v/>
      </c>
      <c r="AI245" s="29">
        <f>IFERROR(AH245/H245,"")</f>
        <v/>
      </c>
      <c r="AJ245" s="69" t="n"/>
      <c r="AK245" s="69" t="n"/>
      <c r="AL245" s="69" t="n"/>
      <c r="AM245" s="69" t="n"/>
      <c r="AN245" s="69" t="n"/>
      <c r="AO245" s="24" t="n"/>
    </row>
    <row r="246" ht="15" customHeight="1">
      <c r="A246" s="68">
        <f>IF(C246="","",IFERROR(IF(SUMPRODUCT(MAX((tbl_Finance[Job Number]=C246&amp;"")*(tbl_Finance[Xero Invoice No]&lt;&gt;"")*tbl_Finance[Date]))=0,"",SUMPRODUCT(MAX((tbl_Finance[Job Number]=C246&amp;"")*(tbl_Finance[Xero Invoice No]&lt;&gt;"")*tbl_Finance[Date]))),""))</f>
        <v/>
      </c>
      <c r="B246" s="25">
        <f>IF(C246="","",IF(COUNTIFS(tbl_Finance[Job Number],C246&amp;"",tbl_Finance[Xero Invoice No],"&lt;&gt;")=0,"",IFERROR(IF(COUNTIFS(tbl_Finance[Job Number],C246&amp;"",tbl_Finance[Xero Invoice No],LOOKUP(2,1/((tbl_Finance[Job Number]=C246&amp;"")*(tbl_Finance[Xero Invoice No]&lt;&gt;"")),tbl_Finance[Xero Invoice No]))=COUNTIFS(tbl_Finance[Job Number],C246&amp;"",tbl_Finance[Xero Invoice No],"&lt;&gt;"),LOOKUP(2,1/((tbl_Finance[Job Number]=C246&amp;"")*(tbl_Finance[Xero Invoice No]&lt;&gt;"")),tbl_Finance[Xero Invoice No]),LOOKUP(2,1/((tbl_Finance[Job Number]=C246&amp;"")*(tbl_Finance[Xero Invoice No]&lt;&gt;"")),tbl_Finance[Xero Invoice No])&amp;" +more"),"")))</f>
        <v/>
      </c>
      <c r="C246" s="24" t="n"/>
      <c r="D246" s="25">
        <f>IF(C246="","",IF(COUNTIF(lst_Jobs,C246&amp;"")&gt;0,"OK","CHECK"))</f>
        <v/>
      </c>
      <c r="E246" s="25">
        <f>IF(C246="","",IFERROR(INDEX(lst_JobName,MATCH(C246&amp;"",lst_Jobs,0)),""))</f>
        <v/>
      </c>
      <c r="F246" s="25">
        <f>IF(C246="","",IFERROR(INDEX(tbl_Finance[Client],MATCH(C246&amp;"",tbl_Finance[Job Number],0)),""))</f>
        <v/>
      </c>
      <c r="G246" s="28">
        <f>IF(C246="","",COUNTIFS(tbl_Finance[Job Number],C246&amp;"",tbl_Finance[Ex GST],"&lt;&gt;"))</f>
        <v/>
      </c>
      <c r="H246" s="27">
        <f>IF(C246="","",SUMIFS(tbl_Finance[Ex GST],tbl_Finance[Job Number],C246&amp;""))</f>
        <v/>
      </c>
      <c r="I246" s="27">
        <f>IF(C246="","",SUMIFS(tbl_Finance[Ex GST],tbl_Finance[Job Number],C246&amp;"",tbl_Finance[Xero Invoice No],"&lt;&gt;"))</f>
        <v/>
      </c>
      <c r="J246" s="27">
        <f>IF(C246="","",H246-I246)</f>
        <v/>
      </c>
      <c r="K246" s="25">
        <f>IF(C246="","",IF(G246=0,"not invoiced yet",SUBSTITUTE(TRIM(IF(COUNTIFS(tbl_Finance[Job Number],C246&amp;"",tbl_Finance[Cost Centre],"ONSITE")&gt;0,"ONSITE ","")&amp;IF(COUNTIFS(tbl_Finance[Job Number],C246&amp;"",tbl_Finance[Cost Centre],"PRODUCTION")&gt;0,"PRODUCTION ","")&amp;IF(COUNTIFS(tbl_Finance[Job Number],C246&amp;"",tbl_Finance[Cost Centre],"VIDEO")&gt;0,"VIDEO ","")&amp;IF(COUNTIFS(tbl_Finance[Job Number],C246&amp;"",tbl_Finance[Cost Centre],"INTEGRATION")&gt;0,"INTEGRATION ","")&amp;IF(COUNTIFS(tbl_Finance[Job Number],C246&amp;"",tbl_Finance[Cost Centre],"CONSULTING")&gt;0,"CONSULTING ","")&amp;IF(COUNTIFS(tbl_Finance[Job Number],C246&amp;"",tbl_Finance[Cost Centre],"CTS")&gt;0,"CTS ",""))," ",", ")))</f>
        <v/>
      </c>
      <c r="L246" s="27">
        <f>IF(C246="","",SUMIFS(tbl_Finance[Inc GST],tbl_Finance[Job Number],C246&amp;""))</f>
        <v/>
      </c>
      <c r="M246" s="24" t="n"/>
      <c r="N246" s="25">
        <f>IF(C246="","",IFERROR(INDEX(tbl_Finance[Description],MATCH(C246&amp;"",tbl_Finance[Job Number],0)),""))</f>
        <v/>
      </c>
      <c r="O246" s="24" t="n"/>
      <c r="P246" s="24" t="n"/>
      <c r="Q246" s="22" t="n"/>
      <c r="R246" s="24" t="n"/>
      <c r="S246" s="25">
        <f>IF(R246="","",IF(AND(LEFT(R246,4)&lt;&gt;"http",set_RMSBase=""),"",HYPERLINK(IF(LEFT(R246,4)="http",R246,set_RMSBase&amp;R246),"Open opportunity")))</f>
        <v/>
      </c>
      <c r="T246" s="24" t="n"/>
      <c r="U246" s="25">
        <f>IF(T246="","",HYPERLINK(IF(LEFT(T246,4)="http",T246,set_QwilrBase&amp;T246),"Open quote"))</f>
        <v/>
      </c>
      <c r="V246" s="25">
        <f>IF(C246="","",C246)</f>
        <v/>
      </c>
      <c r="W246" s="24" t="n"/>
      <c r="X246" s="26" t="n"/>
      <c r="Y246" s="27">
        <f>IF(C246="","",H246+N(X246))</f>
        <v/>
      </c>
      <c r="Z246" s="29">
        <f>IFERROR(X246/Y246,"")</f>
        <v/>
      </c>
      <c r="AA246" s="26" t="n"/>
      <c r="AB246" s="26" t="n"/>
      <c r="AC246" s="26" t="n"/>
      <c r="AD246" s="26" t="n"/>
      <c r="AE246" s="27">
        <f>IF(C246="","",SUMIFS(tbl_Finance[Ex GST],tbl_Finance[Job Number],C246&amp;"",tbl_Finance[Cost Centre],"VIDEO"))</f>
        <v/>
      </c>
      <c r="AF246" s="29">
        <f>IFERROR(AE246/H246,"")</f>
        <v/>
      </c>
      <c r="AG246" s="27">
        <f>IF(C246="","",N(AA246)+N(AB246)+N(AC246)+N(AD246))</f>
        <v/>
      </c>
      <c r="AH246" s="27">
        <f>IF(C246="","",H246-AG246)</f>
        <v/>
      </c>
      <c r="AI246" s="29">
        <f>IFERROR(AH246/H246,"")</f>
        <v/>
      </c>
      <c r="AJ246" s="69" t="n"/>
      <c r="AK246" s="69" t="n"/>
      <c r="AL246" s="69" t="n"/>
      <c r="AM246" s="69" t="n"/>
      <c r="AN246" s="69" t="n"/>
      <c r="AO246" s="24" t="n"/>
    </row>
    <row r="247" ht="15" customHeight="1">
      <c r="A247" s="68">
        <f>IF(C247="","",IFERROR(IF(SUMPRODUCT(MAX((tbl_Finance[Job Number]=C247&amp;"")*(tbl_Finance[Xero Invoice No]&lt;&gt;"")*tbl_Finance[Date]))=0,"",SUMPRODUCT(MAX((tbl_Finance[Job Number]=C247&amp;"")*(tbl_Finance[Xero Invoice No]&lt;&gt;"")*tbl_Finance[Date]))),""))</f>
        <v/>
      </c>
      <c r="B247" s="25">
        <f>IF(C247="","",IF(COUNTIFS(tbl_Finance[Job Number],C247&amp;"",tbl_Finance[Xero Invoice No],"&lt;&gt;")=0,"",IFERROR(IF(COUNTIFS(tbl_Finance[Job Number],C247&amp;"",tbl_Finance[Xero Invoice No],LOOKUP(2,1/((tbl_Finance[Job Number]=C247&amp;"")*(tbl_Finance[Xero Invoice No]&lt;&gt;"")),tbl_Finance[Xero Invoice No]))=COUNTIFS(tbl_Finance[Job Number],C247&amp;"",tbl_Finance[Xero Invoice No],"&lt;&gt;"),LOOKUP(2,1/((tbl_Finance[Job Number]=C247&amp;"")*(tbl_Finance[Xero Invoice No]&lt;&gt;"")),tbl_Finance[Xero Invoice No]),LOOKUP(2,1/((tbl_Finance[Job Number]=C247&amp;"")*(tbl_Finance[Xero Invoice No]&lt;&gt;"")),tbl_Finance[Xero Invoice No])&amp;" +more"),"")))</f>
        <v/>
      </c>
      <c r="C247" s="24" t="n"/>
      <c r="D247" s="25">
        <f>IF(C247="","",IF(COUNTIF(lst_Jobs,C247&amp;"")&gt;0,"OK","CHECK"))</f>
        <v/>
      </c>
      <c r="E247" s="25">
        <f>IF(C247="","",IFERROR(INDEX(lst_JobName,MATCH(C247&amp;"",lst_Jobs,0)),""))</f>
        <v/>
      </c>
      <c r="F247" s="25">
        <f>IF(C247="","",IFERROR(INDEX(tbl_Finance[Client],MATCH(C247&amp;"",tbl_Finance[Job Number],0)),""))</f>
        <v/>
      </c>
      <c r="G247" s="28">
        <f>IF(C247="","",COUNTIFS(tbl_Finance[Job Number],C247&amp;"",tbl_Finance[Ex GST],"&lt;&gt;"))</f>
        <v/>
      </c>
      <c r="H247" s="27">
        <f>IF(C247="","",SUMIFS(tbl_Finance[Ex GST],tbl_Finance[Job Number],C247&amp;""))</f>
        <v/>
      </c>
      <c r="I247" s="27">
        <f>IF(C247="","",SUMIFS(tbl_Finance[Ex GST],tbl_Finance[Job Number],C247&amp;"",tbl_Finance[Xero Invoice No],"&lt;&gt;"))</f>
        <v/>
      </c>
      <c r="J247" s="27">
        <f>IF(C247="","",H247-I247)</f>
        <v/>
      </c>
      <c r="K247" s="25">
        <f>IF(C247="","",IF(G247=0,"not invoiced yet",SUBSTITUTE(TRIM(IF(COUNTIFS(tbl_Finance[Job Number],C247&amp;"",tbl_Finance[Cost Centre],"ONSITE")&gt;0,"ONSITE ","")&amp;IF(COUNTIFS(tbl_Finance[Job Number],C247&amp;"",tbl_Finance[Cost Centre],"PRODUCTION")&gt;0,"PRODUCTION ","")&amp;IF(COUNTIFS(tbl_Finance[Job Number],C247&amp;"",tbl_Finance[Cost Centre],"VIDEO")&gt;0,"VIDEO ","")&amp;IF(COUNTIFS(tbl_Finance[Job Number],C247&amp;"",tbl_Finance[Cost Centre],"INTEGRATION")&gt;0,"INTEGRATION ","")&amp;IF(COUNTIFS(tbl_Finance[Job Number],C247&amp;"",tbl_Finance[Cost Centre],"CONSULTING")&gt;0,"CONSULTING ","")&amp;IF(COUNTIFS(tbl_Finance[Job Number],C247&amp;"",tbl_Finance[Cost Centre],"CTS")&gt;0,"CTS ",""))," ",", ")))</f>
        <v/>
      </c>
      <c r="L247" s="27">
        <f>IF(C247="","",SUMIFS(tbl_Finance[Inc GST],tbl_Finance[Job Number],C247&amp;""))</f>
        <v/>
      </c>
      <c r="M247" s="24" t="n"/>
      <c r="N247" s="25">
        <f>IF(C247="","",IFERROR(INDEX(tbl_Finance[Description],MATCH(C247&amp;"",tbl_Finance[Job Number],0)),""))</f>
        <v/>
      </c>
      <c r="O247" s="24" t="n"/>
      <c r="P247" s="24" t="n"/>
      <c r="Q247" s="22" t="n"/>
      <c r="R247" s="24" t="n"/>
      <c r="S247" s="25">
        <f>IF(R247="","",IF(AND(LEFT(R247,4)&lt;&gt;"http",set_RMSBase=""),"",HYPERLINK(IF(LEFT(R247,4)="http",R247,set_RMSBase&amp;R247),"Open opportunity")))</f>
        <v/>
      </c>
      <c r="T247" s="24" t="n"/>
      <c r="U247" s="25">
        <f>IF(T247="","",HYPERLINK(IF(LEFT(T247,4)="http",T247,set_QwilrBase&amp;T247),"Open quote"))</f>
        <v/>
      </c>
      <c r="V247" s="25">
        <f>IF(C247="","",C247)</f>
        <v/>
      </c>
      <c r="W247" s="24" t="n"/>
      <c r="X247" s="26" t="n"/>
      <c r="Y247" s="27">
        <f>IF(C247="","",H247+N(X247))</f>
        <v/>
      </c>
      <c r="Z247" s="29">
        <f>IFERROR(X247/Y247,"")</f>
        <v/>
      </c>
      <c r="AA247" s="26" t="n"/>
      <c r="AB247" s="26" t="n"/>
      <c r="AC247" s="26" t="n"/>
      <c r="AD247" s="26" t="n"/>
      <c r="AE247" s="27">
        <f>IF(C247="","",SUMIFS(tbl_Finance[Ex GST],tbl_Finance[Job Number],C247&amp;"",tbl_Finance[Cost Centre],"VIDEO"))</f>
        <v/>
      </c>
      <c r="AF247" s="29">
        <f>IFERROR(AE247/H247,"")</f>
        <v/>
      </c>
      <c r="AG247" s="27">
        <f>IF(C247="","",N(AA247)+N(AB247)+N(AC247)+N(AD247))</f>
        <v/>
      </c>
      <c r="AH247" s="27">
        <f>IF(C247="","",H247-AG247)</f>
        <v/>
      </c>
      <c r="AI247" s="29">
        <f>IFERROR(AH247/H247,"")</f>
        <v/>
      </c>
      <c r="AJ247" s="69" t="n"/>
      <c r="AK247" s="69" t="n"/>
      <c r="AL247" s="69" t="n"/>
      <c r="AM247" s="69" t="n"/>
      <c r="AN247" s="69" t="n"/>
      <c r="AO247" s="24" t="n"/>
    </row>
    <row r="248" ht="15" customHeight="1">
      <c r="A248" s="68">
        <f>IF(C248="","",IFERROR(IF(SUMPRODUCT(MAX((tbl_Finance[Job Number]=C248&amp;"")*(tbl_Finance[Xero Invoice No]&lt;&gt;"")*tbl_Finance[Date]))=0,"",SUMPRODUCT(MAX((tbl_Finance[Job Number]=C248&amp;"")*(tbl_Finance[Xero Invoice No]&lt;&gt;"")*tbl_Finance[Date]))),""))</f>
        <v/>
      </c>
      <c r="B248" s="25">
        <f>IF(C248="","",IF(COUNTIFS(tbl_Finance[Job Number],C248&amp;"",tbl_Finance[Xero Invoice No],"&lt;&gt;")=0,"",IFERROR(IF(COUNTIFS(tbl_Finance[Job Number],C248&amp;"",tbl_Finance[Xero Invoice No],LOOKUP(2,1/((tbl_Finance[Job Number]=C248&amp;"")*(tbl_Finance[Xero Invoice No]&lt;&gt;"")),tbl_Finance[Xero Invoice No]))=COUNTIFS(tbl_Finance[Job Number],C248&amp;"",tbl_Finance[Xero Invoice No],"&lt;&gt;"),LOOKUP(2,1/((tbl_Finance[Job Number]=C248&amp;"")*(tbl_Finance[Xero Invoice No]&lt;&gt;"")),tbl_Finance[Xero Invoice No]),LOOKUP(2,1/((tbl_Finance[Job Number]=C248&amp;"")*(tbl_Finance[Xero Invoice No]&lt;&gt;"")),tbl_Finance[Xero Invoice No])&amp;" +more"),"")))</f>
        <v/>
      </c>
      <c r="C248" s="24" t="n"/>
      <c r="D248" s="25">
        <f>IF(C248="","",IF(COUNTIF(lst_Jobs,C248&amp;"")&gt;0,"OK","CHECK"))</f>
        <v/>
      </c>
      <c r="E248" s="25">
        <f>IF(C248="","",IFERROR(INDEX(lst_JobName,MATCH(C248&amp;"",lst_Jobs,0)),""))</f>
        <v/>
      </c>
      <c r="F248" s="25">
        <f>IF(C248="","",IFERROR(INDEX(tbl_Finance[Client],MATCH(C248&amp;"",tbl_Finance[Job Number],0)),""))</f>
        <v/>
      </c>
      <c r="G248" s="28">
        <f>IF(C248="","",COUNTIFS(tbl_Finance[Job Number],C248&amp;"",tbl_Finance[Ex GST],"&lt;&gt;"))</f>
        <v/>
      </c>
      <c r="H248" s="27">
        <f>IF(C248="","",SUMIFS(tbl_Finance[Ex GST],tbl_Finance[Job Number],C248&amp;""))</f>
        <v/>
      </c>
      <c r="I248" s="27">
        <f>IF(C248="","",SUMIFS(tbl_Finance[Ex GST],tbl_Finance[Job Number],C248&amp;"",tbl_Finance[Xero Invoice No],"&lt;&gt;"))</f>
        <v/>
      </c>
      <c r="J248" s="27">
        <f>IF(C248="","",H248-I248)</f>
        <v/>
      </c>
      <c r="K248" s="25">
        <f>IF(C248="","",IF(G248=0,"not invoiced yet",SUBSTITUTE(TRIM(IF(COUNTIFS(tbl_Finance[Job Number],C248&amp;"",tbl_Finance[Cost Centre],"ONSITE")&gt;0,"ONSITE ","")&amp;IF(COUNTIFS(tbl_Finance[Job Number],C248&amp;"",tbl_Finance[Cost Centre],"PRODUCTION")&gt;0,"PRODUCTION ","")&amp;IF(COUNTIFS(tbl_Finance[Job Number],C248&amp;"",tbl_Finance[Cost Centre],"VIDEO")&gt;0,"VIDEO ","")&amp;IF(COUNTIFS(tbl_Finance[Job Number],C248&amp;"",tbl_Finance[Cost Centre],"INTEGRATION")&gt;0,"INTEGRATION ","")&amp;IF(COUNTIFS(tbl_Finance[Job Number],C248&amp;"",tbl_Finance[Cost Centre],"CONSULTING")&gt;0,"CONSULTING ","")&amp;IF(COUNTIFS(tbl_Finance[Job Number],C248&amp;"",tbl_Finance[Cost Centre],"CTS")&gt;0,"CTS ",""))," ",", ")))</f>
        <v/>
      </c>
      <c r="L248" s="27">
        <f>IF(C248="","",SUMIFS(tbl_Finance[Inc GST],tbl_Finance[Job Number],C248&amp;""))</f>
        <v/>
      </c>
      <c r="M248" s="24" t="n"/>
      <c r="N248" s="25">
        <f>IF(C248="","",IFERROR(INDEX(tbl_Finance[Description],MATCH(C248&amp;"",tbl_Finance[Job Number],0)),""))</f>
        <v/>
      </c>
      <c r="O248" s="24" t="n"/>
      <c r="P248" s="24" t="n"/>
      <c r="Q248" s="22" t="n"/>
      <c r="R248" s="24" t="n"/>
      <c r="S248" s="25">
        <f>IF(R248="","",IF(AND(LEFT(R248,4)&lt;&gt;"http",set_RMSBase=""),"",HYPERLINK(IF(LEFT(R248,4)="http",R248,set_RMSBase&amp;R248),"Open opportunity")))</f>
        <v/>
      </c>
      <c r="T248" s="24" t="n"/>
      <c r="U248" s="25">
        <f>IF(T248="","",HYPERLINK(IF(LEFT(T248,4)="http",T248,set_QwilrBase&amp;T248),"Open quote"))</f>
        <v/>
      </c>
      <c r="V248" s="25">
        <f>IF(C248="","",C248)</f>
        <v/>
      </c>
      <c r="W248" s="24" t="n"/>
      <c r="X248" s="26" t="n"/>
      <c r="Y248" s="27">
        <f>IF(C248="","",H248+N(X248))</f>
        <v/>
      </c>
      <c r="Z248" s="29">
        <f>IFERROR(X248/Y248,"")</f>
        <v/>
      </c>
      <c r="AA248" s="26" t="n"/>
      <c r="AB248" s="26" t="n"/>
      <c r="AC248" s="26" t="n"/>
      <c r="AD248" s="26" t="n"/>
      <c r="AE248" s="27">
        <f>IF(C248="","",SUMIFS(tbl_Finance[Ex GST],tbl_Finance[Job Number],C248&amp;"",tbl_Finance[Cost Centre],"VIDEO"))</f>
        <v/>
      </c>
      <c r="AF248" s="29">
        <f>IFERROR(AE248/H248,"")</f>
        <v/>
      </c>
      <c r="AG248" s="27">
        <f>IF(C248="","",N(AA248)+N(AB248)+N(AC248)+N(AD248))</f>
        <v/>
      </c>
      <c r="AH248" s="27">
        <f>IF(C248="","",H248-AG248)</f>
        <v/>
      </c>
      <c r="AI248" s="29">
        <f>IFERROR(AH248/H248,"")</f>
        <v/>
      </c>
      <c r="AJ248" s="69" t="n"/>
      <c r="AK248" s="69" t="n"/>
      <c r="AL248" s="69" t="n"/>
      <c r="AM248" s="69" t="n"/>
      <c r="AN248" s="69" t="n"/>
      <c r="AO248" s="24" t="n"/>
    </row>
    <row r="249" ht="15" customHeight="1">
      <c r="A249" s="68">
        <f>IF(C249="","",IFERROR(IF(SUMPRODUCT(MAX((tbl_Finance[Job Number]=C249&amp;"")*(tbl_Finance[Xero Invoice No]&lt;&gt;"")*tbl_Finance[Date]))=0,"",SUMPRODUCT(MAX((tbl_Finance[Job Number]=C249&amp;"")*(tbl_Finance[Xero Invoice No]&lt;&gt;"")*tbl_Finance[Date]))),""))</f>
        <v/>
      </c>
      <c r="B249" s="25">
        <f>IF(C249="","",IF(COUNTIFS(tbl_Finance[Job Number],C249&amp;"",tbl_Finance[Xero Invoice No],"&lt;&gt;")=0,"",IFERROR(IF(COUNTIFS(tbl_Finance[Job Number],C249&amp;"",tbl_Finance[Xero Invoice No],LOOKUP(2,1/((tbl_Finance[Job Number]=C249&amp;"")*(tbl_Finance[Xero Invoice No]&lt;&gt;"")),tbl_Finance[Xero Invoice No]))=COUNTIFS(tbl_Finance[Job Number],C249&amp;"",tbl_Finance[Xero Invoice No],"&lt;&gt;"),LOOKUP(2,1/((tbl_Finance[Job Number]=C249&amp;"")*(tbl_Finance[Xero Invoice No]&lt;&gt;"")),tbl_Finance[Xero Invoice No]),LOOKUP(2,1/((tbl_Finance[Job Number]=C249&amp;"")*(tbl_Finance[Xero Invoice No]&lt;&gt;"")),tbl_Finance[Xero Invoice No])&amp;" +more"),"")))</f>
        <v/>
      </c>
      <c r="C249" s="24" t="n"/>
      <c r="D249" s="25">
        <f>IF(C249="","",IF(COUNTIF(lst_Jobs,C249&amp;"")&gt;0,"OK","CHECK"))</f>
        <v/>
      </c>
      <c r="E249" s="25">
        <f>IF(C249="","",IFERROR(INDEX(lst_JobName,MATCH(C249&amp;"",lst_Jobs,0)),""))</f>
        <v/>
      </c>
      <c r="F249" s="25">
        <f>IF(C249="","",IFERROR(INDEX(tbl_Finance[Client],MATCH(C249&amp;"",tbl_Finance[Job Number],0)),""))</f>
        <v/>
      </c>
      <c r="G249" s="28">
        <f>IF(C249="","",COUNTIFS(tbl_Finance[Job Number],C249&amp;"",tbl_Finance[Ex GST],"&lt;&gt;"))</f>
        <v/>
      </c>
      <c r="H249" s="27">
        <f>IF(C249="","",SUMIFS(tbl_Finance[Ex GST],tbl_Finance[Job Number],C249&amp;""))</f>
        <v/>
      </c>
      <c r="I249" s="27">
        <f>IF(C249="","",SUMIFS(tbl_Finance[Ex GST],tbl_Finance[Job Number],C249&amp;"",tbl_Finance[Xero Invoice No],"&lt;&gt;"))</f>
        <v/>
      </c>
      <c r="J249" s="27">
        <f>IF(C249="","",H249-I249)</f>
        <v/>
      </c>
      <c r="K249" s="25">
        <f>IF(C249="","",IF(G249=0,"not invoiced yet",SUBSTITUTE(TRIM(IF(COUNTIFS(tbl_Finance[Job Number],C249&amp;"",tbl_Finance[Cost Centre],"ONSITE")&gt;0,"ONSITE ","")&amp;IF(COUNTIFS(tbl_Finance[Job Number],C249&amp;"",tbl_Finance[Cost Centre],"PRODUCTION")&gt;0,"PRODUCTION ","")&amp;IF(COUNTIFS(tbl_Finance[Job Number],C249&amp;"",tbl_Finance[Cost Centre],"VIDEO")&gt;0,"VIDEO ","")&amp;IF(COUNTIFS(tbl_Finance[Job Number],C249&amp;"",tbl_Finance[Cost Centre],"INTEGRATION")&gt;0,"INTEGRATION ","")&amp;IF(COUNTIFS(tbl_Finance[Job Number],C249&amp;"",tbl_Finance[Cost Centre],"CONSULTING")&gt;0,"CONSULTING ","")&amp;IF(COUNTIFS(tbl_Finance[Job Number],C249&amp;"",tbl_Finance[Cost Centre],"CTS")&gt;0,"CTS ",""))," ",", ")))</f>
        <v/>
      </c>
      <c r="L249" s="27">
        <f>IF(C249="","",SUMIFS(tbl_Finance[Inc GST],tbl_Finance[Job Number],C249&amp;""))</f>
        <v/>
      </c>
      <c r="M249" s="24" t="n"/>
      <c r="N249" s="25">
        <f>IF(C249="","",IFERROR(INDEX(tbl_Finance[Description],MATCH(C249&amp;"",tbl_Finance[Job Number],0)),""))</f>
        <v/>
      </c>
      <c r="O249" s="24" t="n"/>
      <c r="P249" s="24" t="n"/>
      <c r="Q249" s="22" t="n"/>
      <c r="R249" s="24" t="n"/>
      <c r="S249" s="25">
        <f>IF(R249="","",IF(AND(LEFT(R249,4)&lt;&gt;"http",set_RMSBase=""),"",HYPERLINK(IF(LEFT(R249,4)="http",R249,set_RMSBase&amp;R249),"Open opportunity")))</f>
        <v/>
      </c>
      <c r="T249" s="24" t="n"/>
      <c r="U249" s="25">
        <f>IF(T249="","",HYPERLINK(IF(LEFT(T249,4)="http",T249,set_QwilrBase&amp;T249),"Open quote"))</f>
        <v/>
      </c>
      <c r="V249" s="25">
        <f>IF(C249="","",C249)</f>
        <v/>
      </c>
      <c r="W249" s="24" t="n"/>
      <c r="X249" s="26" t="n"/>
      <c r="Y249" s="27">
        <f>IF(C249="","",H249+N(X249))</f>
        <v/>
      </c>
      <c r="Z249" s="29">
        <f>IFERROR(X249/Y249,"")</f>
        <v/>
      </c>
      <c r="AA249" s="26" t="n"/>
      <c r="AB249" s="26" t="n"/>
      <c r="AC249" s="26" t="n"/>
      <c r="AD249" s="26" t="n"/>
      <c r="AE249" s="27">
        <f>IF(C249="","",SUMIFS(tbl_Finance[Ex GST],tbl_Finance[Job Number],C249&amp;"",tbl_Finance[Cost Centre],"VIDEO"))</f>
        <v/>
      </c>
      <c r="AF249" s="29">
        <f>IFERROR(AE249/H249,"")</f>
        <v/>
      </c>
      <c r="AG249" s="27">
        <f>IF(C249="","",N(AA249)+N(AB249)+N(AC249)+N(AD249))</f>
        <v/>
      </c>
      <c r="AH249" s="27">
        <f>IF(C249="","",H249-AG249)</f>
        <v/>
      </c>
      <c r="AI249" s="29">
        <f>IFERROR(AH249/H249,"")</f>
        <v/>
      </c>
      <c r="AJ249" s="69" t="n"/>
      <c r="AK249" s="69" t="n"/>
      <c r="AL249" s="69" t="n"/>
      <c r="AM249" s="69" t="n"/>
      <c r="AN249" s="69" t="n"/>
      <c r="AO249" s="24" t="n"/>
    </row>
    <row r="250" ht="15" customHeight="1">
      <c r="A250" s="68">
        <f>IF(C250="","",IFERROR(IF(SUMPRODUCT(MAX((tbl_Finance[Job Number]=C250&amp;"")*(tbl_Finance[Xero Invoice No]&lt;&gt;"")*tbl_Finance[Date]))=0,"",SUMPRODUCT(MAX((tbl_Finance[Job Number]=C250&amp;"")*(tbl_Finance[Xero Invoice No]&lt;&gt;"")*tbl_Finance[Date]))),""))</f>
        <v/>
      </c>
      <c r="B250" s="25">
        <f>IF(C250="","",IF(COUNTIFS(tbl_Finance[Job Number],C250&amp;"",tbl_Finance[Xero Invoice No],"&lt;&gt;")=0,"",IFERROR(IF(COUNTIFS(tbl_Finance[Job Number],C250&amp;"",tbl_Finance[Xero Invoice No],LOOKUP(2,1/((tbl_Finance[Job Number]=C250&amp;"")*(tbl_Finance[Xero Invoice No]&lt;&gt;"")),tbl_Finance[Xero Invoice No]))=COUNTIFS(tbl_Finance[Job Number],C250&amp;"",tbl_Finance[Xero Invoice No],"&lt;&gt;"),LOOKUP(2,1/((tbl_Finance[Job Number]=C250&amp;"")*(tbl_Finance[Xero Invoice No]&lt;&gt;"")),tbl_Finance[Xero Invoice No]),LOOKUP(2,1/((tbl_Finance[Job Number]=C250&amp;"")*(tbl_Finance[Xero Invoice No]&lt;&gt;"")),tbl_Finance[Xero Invoice No])&amp;" +more"),"")))</f>
        <v/>
      </c>
      <c r="C250" s="24" t="n"/>
      <c r="D250" s="25">
        <f>IF(C250="","",IF(COUNTIF(lst_Jobs,C250&amp;"")&gt;0,"OK","CHECK"))</f>
        <v/>
      </c>
      <c r="E250" s="25">
        <f>IF(C250="","",IFERROR(INDEX(lst_JobName,MATCH(C250&amp;"",lst_Jobs,0)),""))</f>
        <v/>
      </c>
      <c r="F250" s="25">
        <f>IF(C250="","",IFERROR(INDEX(tbl_Finance[Client],MATCH(C250&amp;"",tbl_Finance[Job Number],0)),""))</f>
        <v/>
      </c>
      <c r="G250" s="28">
        <f>IF(C250="","",COUNTIFS(tbl_Finance[Job Number],C250&amp;"",tbl_Finance[Ex GST],"&lt;&gt;"))</f>
        <v/>
      </c>
      <c r="H250" s="27">
        <f>IF(C250="","",SUMIFS(tbl_Finance[Ex GST],tbl_Finance[Job Number],C250&amp;""))</f>
        <v/>
      </c>
      <c r="I250" s="27">
        <f>IF(C250="","",SUMIFS(tbl_Finance[Ex GST],tbl_Finance[Job Number],C250&amp;"",tbl_Finance[Xero Invoice No],"&lt;&gt;"))</f>
        <v/>
      </c>
      <c r="J250" s="27">
        <f>IF(C250="","",H250-I250)</f>
        <v/>
      </c>
      <c r="K250" s="25">
        <f>IF(C250="","",IF(G250=0,"not invoiced yet",SUBSTITUTE(TRIM(IF(COUNTIFS(tbl_Finance[Job Number],C250&amp;"",tbl_Finance[Cost Centre],"ONSITE")&gt;0,"ONSITE ","")&amp;IF(COUNTIFS(tbl_Finance[Job Number],C250&amp;"",tbl_Finance[Cost Centre],"PRODUCTION")&gt;0,"PRODUCTION ","")&amp;IF(COUNTIFS(tbl_Finance[Job Number],C250&amp;"",tbl_Finance[Cost Centre],"VIDEO")&gt;0,"VIDEO ","")&amp;IF(COUNTIFS(tbl_Finance[Job Number],C250&amp;"",tbl_Finance[Cost Centre],"INTEGRATION")&gt;0,"INTEGRATION ","")&amp;IF(COUNTIFS(tbl_Finance[Job Number],C250&amp;"",tbl_Finance[Cost Centre],"CONSULTING")&gt;0,"CONSULTING ","")&amp;IF(COUNTIFS(tbl_Finance[Job Number],C250&amp;"",tbl_Finance[Cost Centre],"CTS")&gt;0,"CTS ",""))," ",", ")))</f>
        <v/>
      </c>
      <c r="L250" s="27">
        <f>IF(C250="","",SUMIFS(tbl_Finance[Inc GST],tbl_Finance[Job Number],C250&amp;""))</f>
        <v/>
      </c>
      <c r="M250" s="24" t="n"/>
      <c r="N250" s="25">
        <f>IF(C250="","",IFERROR(INDEX(tbl_Finance[Description],MATCH(C250&amp;"",tbl_Finance[Job Number],0)),""))</f>
        <v/>
      </c>
      <c r="O250" s="24" t="n"/>
      <c r="P250" s="24" t="n"/>
      <c r="Q250" s="22" t="n"/>
      <c r="R250" s="24" t="n"/>
      <c r="S250" s="25">
        <f>IF(R250="","",IF(AND(LEFT(R250,4)&lt;&gt;"http",set_RMSBase=""),"",HYPERLINK(IF(LEFT(R250,4)="http",R250,set_RMSBase&amp;R250),"Open opportunity")))</f>
        <v/>
      </c>
      <c r="T250" s="24" t="n"/>
      <c r="U250" s="25">
        <f>IF(T250="","",HYPERLINK(IF(LEFT(T250,4)="http",T250,set_QwilrBase&amp;T250),"Open quote"))</f>
        <v/>
      </c>
      <c r="V250" s="25">
        <f>IF(C250="","",C250)</f>
        <v/>
      </c>
      <c r="W250" s="24" t="n"/>
      <c r="X250" s="26" t="n"/>
      <c r="Y250" s="27">
        <f>IF(C250="","",H250+N(X250))</f>
        <v/>
      </c>
      <c r="Z250" s="29">
        <f>IFERROR(X250/Y250,"")</f>
        <v/>
      </c>
      <c r="AA250" s="26" t="n"/>
      <c r="AB250" s="26" t="n"/>
      <c r="AC250" s="26" t="n"/>
      <c r="AD250" s="26" t="n"/>
      <c r="AE250" s="27">
        <f>IF(C250="","",SUMIFS(tbl_Finance[Ex GST],tbl_Finance[Job Number],C250&amp;"",tbl_Finance[Cost Centre],"VIDEO"))</f>
        <v/>
      </c>
      <c r="AF250" s="29">
        <f>IFERROR(AE250/H250,"")</f>
        <v/>
      </c>
      <c r="AG250" s="27">
        <f>IF(C250="","",N(AA250)+N(AB250)+N(AC250)+N(AD250))</f>
        <v/>
      </c>
      <c r="AH250" s="27">
        <f>IF(C250="","",H250-AG250)</f>
        <v/>
      </c>
      <c r="AI250" s="29">
        <f>IFERROR(AH250/H250,"")</f>
        <v/>
      </c>
      <c r="AJ250" s="69" t="n"/>
      <c r="AK250" s="69" t="n"/>
      <c r="AL250" s="69" t="n"/>
      <c r="AM250" s="69" t="n"/>
      <c r="AN250" s="69" t="n"/>
      <c r="AO250" s="24" t="n"/>
    </row>
    <row r="251" ht="15" customHeight="1">
      <c r="A251" s="68">
        <f>IF(C251="","",IFERROR(IF(SUMPRODUCT(MAX((tbl_Finance[Job Number]=C251&amp;"")*(tbl_Finance[Xero Invoice No]&lt;&gt;"")*tbl_Finance[Date]))=0,"",SUMPRODUCT(MAX((tbl_Finance[Job Number]=C251&amp;"")*(tbl_Finance[Xero Invoice No]&lt;&gt;"")*tbl_Finance[Date]))),""))</f>
        <v/>
      </c>
      <c r="B251" s="25">
        <f>IF(C251="","",IF(COUNTIFS(tbl_Finance[Job Number],C251&amp;"",tbl_Finance[Xero Invoice No],"&lt;&gt;")=0,"",IFERROR(IF(COUNTIFS(tbl_Finance[Job Number],C251&amp;"",tbl_Finance[Xero Invoice No],LOOKUP(2,1/((tbl_Finance[Job Number]=C251&amp;"")*(tbl_Finance[Xero Invoice No]&lt;&gt;"")),tbl_Finance[Xero Invoice No]))=COUNTIFS(tbl_Finance[Job Number],C251&amp;"",tbl_Finance[Xero Invoice No],"&lt;&gt;"),LOOKUP(2,1/((tbl_Finance[Job Number]=C251&amp;"")*(tbl_Finance[Xero Invoice No]&lt;&gt;"")),tbl_Finance[Xero Invoice No]),LOOKUP(2,1/((tbl_Finance[Job Number]=C251&amp;"")*(tbl_Finance[Xero Invoice No]&lt;&gt;"")),tbl_Finance[Xero Invoice No])&amp;" +more"),"")))</f>
        <v/>
      </c>
      <c r="C251" s="24" t="n"/>
      <c r="D251" s="25">
        <f>IF(C251="","",IF(COUNTIF(lst_Jobs,C251&amp;"")&gt;0,"OK","CHECK"))</f>
        <v/>
      </c>
      <c r="E251" s="25">
        <f>IF(C251="","",IFERROR(INDEX(lst_JobName,MATCH(C251&amp;"",lst_Jobs,0)),""))</f>
        <v/>
      </c>
      <c r="F251" s="25">
        <f>IF(C251="","",IFERROR(INDEX(tbl_Finance[Client],MATCH(C251&amp;"",tbl_Finance[Job Number],0)),""))</f>
        <v/>
      </c>
      <c r="G251" s="28">
        <f>IF(C251="","",COUNTIFS(tbl_Finance[Job Number],C251&amp;"",tbl_Finance[Ex GST],"&lt;&gt;"))</f>
        <v/>
      </c>
      <c r="H251" s="27">
        <f>IF(C251="","",SUMIFS(tbl_Finance[Ex GST],tbl_Finance[Job Number],C251&amp;""))</f>
        <v/>
      </c>
      <c r="I251" s="27">
        <f>IF(C251="","",SUMIFS(tbl_Finance[Ex GST],tbl_Finance[Job Number],C251&amp;"",tbl_Finance[Xero Invoice No],"&lt;&gt;"))</f>
        <v/>
      </c>
      <c r="J251" s="27">
        <f>IF(C251="","",H251-I251)</f>
        <v/>
      </c>
      <c r="K251" s="25">
        <f>IF(C251="","",IF(G251=0,"not invoiced yet",SUBSTITUTE(TRIM(IF(COUNTIFS(tbl_Finance[Job Number],C251&amp;"",tbl_Finance[Cost Centre],"ONSITE")&gt;0,"ONSITE ","")&amp;IF(COUNTIFS(tbl_Finance[Job Number],C251&amp;"",tbl_Finance[Cost Centre],"PRODUCTION")&gt;0,"PRODUCTION ","")&amp;IF(COUNTIFS(tbl_Finance[Job Number],C251&amp;"",tbl_Finance[Cost Centre],"VIDEO")&gt;0,"VIDEO ","")&amp;IF(COUNTIFS(tbl_Finance[Job Number],C251&amp;"",tbl_Finance[Cost Centre],"INTEGRATION")&gt;0,"INTEGRATION ","")&amp;IF(COUNTIFS(tbl_Finance[Job Number],C251&amp;"",tbl_Finance[Cost Centre],"CONSULTING")&gt;0,"CONSULTING ","")&amp;IF(COUNTIFS(tbl_Finance[Job Number],C251&amp;"",tbl_Finance[Cost Centre],"CTS")&gt;0,"CTS ",""))," ",", ")))</f>
        <v/>
      </c>
      <c r="L251" s="27">
        <f>IF(C251="","",SUMIFS(tbl_Finance[Inc GST],tbl_Finance[Job Number],C251&amp;""))</f>
        <v/>
      </c>
      <c r="M251" s="24" t="n"/>
      <c r="N251" s="25">
        <f>IF(C251="","",IFERROR(INDEX(tbl_Finance[Description],MATCH(C251&amp;"",tbl_Finance[Job Number],0)),""))</f>
        <v/>
      </c>
      <c r="O251" s="24" t="n"/>
      <c r="P251" s="24" t="n"/>
      <c r="Q251" s="22" t="n"/>
      <c r="R251" s="24" t="n"/>
      <c r="S251" s="25">
        <f>IF(R251="","",IF(AND(LEFT(R251,4)&lt;&gt;"http",set_RMSBase=""),"",HYPERLINK(IF(LEFT(R251,4)="http",R251,set_RMSBase&amp;R251),"Open opportunity")))</f>
        <v/>
      </c>
      <c r="T251" s="24" t="n"/>
      <c r="U251" s="25">
        <f>IF(T251="","",HYPERLINK(IF(LEFT(T251,4)="http",T251,set_QwilrBase&amp;T251),"Open quote"))</f>
        <v/>
      </c>
      <c r="V251" s="25">
        <f>IF(C251="","",C251)</f>
        <v/>
      </c>
      <c r="W251" s="24" t="n"/>
      <c r="X251" s="26" t="n"/>
      <c r="Y251" s="27">
        <f>IF(C251="","",H251+N(X251))</f>
        <v/>
      </c>
      <c r="Z251" s="29">
        <f>IFERROR(X251/Y251,"")</f>
        <v/>
      </c>
      <c r="AA251" s="26" t="n"/>
      <c r="AB251" s="26" t="n"/>
      <c r="AC251" s="26" t="n"/>
      <c r="AD251" s="26" t="n"/>
      <c r="AE251" s="27">
        <f>IF(C251="","",SUMIFS(tbl_Finance[Ex GST],tbl_Finance[Job Number],C251&amp;"",tbl_Finance[Cost Centre],"VIDEO"))</f>
        <v/>
      </c>
      <c r="AF251" s="29">
        <f>IFERROR(AE251/H251,"")</f>
        <v/>
      </c>
      <c r="AG251" s="27">
        <f>IF(C251="","",N(AA251)+N(AB251)+N(AC251)+N(AD251))</f>
        <v/>
      </c>
      <c r="AH251" s="27">
        <f>IF(C251="","",H251-AG251)</f>
        <v/>
      </c>
      <c r="AI251" s="29">
        <f>IFERROR(AH251/H251,"")</f>
        <v/>
      </c>
      <c r="AJ251" s="69" t="n"/>
      <c r="AK251" s="69" t="n"/>
      <c r="AL251" s="69" t="n"/>
      <c r="AM251" s="69" t="n"/>
      <c r="AN251" s="69" t="n"/>
      <c r="AO251" s="24" t="n"/>
    </row>
    <row r="252" ht="15" customHeight="1">
      <c r="A252" s="68">
        <f>IF(C252="","",IFERROR(IF(SUMPRODUCT(MAX((tbl_Finance[Job Number]=C252&amp;"")*(tbl_Finance[Xero Invoice No]&lt;&gt;"")*tbl_Finance[Date]))=0,"",SUMPRODUCT(MAX((tbl_Finance[Job Number]=C252&amp;"")*(tbl_Finance[Xero Invoice No]&lt;&gt;"")*tbl_Finance[Date]))),""))</f>
        <v/>
      </c>
      <c r="B252" s="25">
        <f>IF(C252="","",IF(COUNTIFS(tbl_Finance[Job Number],C252&amp;"",tbl_Finance[Xero Invoice No],"&lt;&gt;")=0,"",IFERROR(IF(COUNTIFS(tbl_Finance[Job Number],C252&amp;"",tbl_Finance[Xero Invoice No],LOOKUP(2,1/((tbl_Finance[Job Number]=C252&amp;"")*(tbl_Finance[Xero Invoice No]&lt;&gt;"")),tbl_Finance[Xero Invoice No]))=COUNTIFS(tbl_Finance[Job Number],C252&amp;"",tbl_Finance[Xero Invoice No],"&lt;&gt;"),LOOKUP(2,1/((tbl_Finance[Job Number]=C252&amp;"")*(tbl_Finance[Xero Invoice No]&lt;&gt;"")),tbl_Finance[Xero Invoice No]),LOOKUP(2,1/((tbl_Finance[Job Number]=C252&amp;"")*(tbl_Finance[Xero Invoice No]&lt;&gt;"")),tbl_Finance[Xero Invoice No])&amp;" +more"),"")))</f>
        <v/>
      </c>
      <c r="C252" s="24" t="n"/>
      <c r="D252" s="25">
        <f>IF(C252="","",IF(COUNTIF(lst_Jobs,C252&amp;"")&gt;0,"OK","CHECK"))</f>
        <v/>
      </c>
      <c r="E252" s="25">
        <f>IF(C252="","",IFERROR(INDEX(lst_JobName,MATCH(C252&amp;"",lst_Jobs,0)),""))</f>
        <v/>
      </c>
      <c r="F252" s="25">
        <f>IF(C252="","",IFERROR(INDEX(tbl_Finance[Client],MATCH(C252&amp;"",tbl_Finance[Job Number],0)),""))</f>
        <v/>
      </c>
      <c r="G252" s="28">
        <f>IF(C252="","",COUNTIFS(tbl_Finance[Job Number],C252&amp;"",tbl_Finance[Ex GST],"&lt;&gt;"))</f>
        <v/>
      </c>
      <c r="H252" s="27">
        <f>IF(C252="","",SUMIFS(tbl_Finance[Ex GST],tbl_Finance[Job Number],C252&amp;""))</f>
        <v/>
      </c>
      <c r="I252" s="27">
        <f>IF(C252="","",SUMIFS(tbl_Finance[Ex GST],tbl_Finance[Job Number],C252&amp;"",tbl_Finance[Xero Invoice No],"&lt;&gt;"))</f>
        <v/>
      </c>
      <c r="J252" s="27">
        <f>IF(C252="","",H252-I252)</f>
        <v/>
      </c>
      <c r="K252" s="25">
        <f>IF(C252="","",IF(G252=0,"not invoiced yet",SUBSTITUTE(TRIM(IF(COUNTIFS(tbl_Finance[Job Number],C252&amp;"",tbl_Finance[Cost Centre],"ONSITE")&gt;0,"ONSITE ","")&amp;IF(COUNTIFS(tbl_Finance[Job Number],C252&amp;"",tbl_Finance[Cost Centre],"PRODUCTION")&gt;0,"PRODUCTION ","")&amp;IF(COUNTIFS(tbl_Finance[Job Number],C252&amp;"",tbl_Finance[Cost Centre],"VIDEO")&gt;0,"VIDEO ","")&amp;IF(COUNTIFS(tbl_Finance[Job Number],C252&amp;"",tbl_Finance[Cost Centre],"INTEGRATION")&gt;0,"INTEGRATION ","")&amp;IF(COUNTIFS(tbl_Finance[Job Number],C252&amp;"",tbl_Finance[Cost Centre],"CONSULTING")&gt;0,"CONSULTING ","")&amp;IF(COUNTIFS(tbl_Finance[Job Number],C252&amp;"",tbl_Finance[Cost Centre],"CTS")&gt;0,"CTS ",""))," ",", ")))</f>
        <v/>
      </c>
      <c r="L252" s="27">
        <f>IF(C252="","",SUMIFS(tbl_Finance[Inc GST],tbl_Finance[Job Number],C252&amp;""))</f>
        <v/>
      </c>
      <c r="M252" s="24" t="n"/>
      <c r="N252" s="25">
        <f>IF(C252="","",IFERROR(INDEX(tbl_Finance[Description],MATCH(C252&amp;"",tbl_Finance[Job Number],0)),""))</f>
        <v/>
      </c>
      <c r="O252" s="24" t="n"/>
      <c r="P252" s="24" t="n"/>
      <c r="Q252" s="22" t="n"/>
      <c r="R252" s="24" t="n"/>
      <c r="S252" s="25">
        <f>IF(R252="","",IF(AND(LEFT(R252,4)&lt;&gt;"http",set_RMSBase=""),"",HYPERLINK(IF(LEFT(R252,4)="http",R252,set_RMSBase&amp;R252),"Open opportunity")))</f>
        <v/>
      </c>
      <c r="T252" s="24" t="n"/>
      <c r="U252" s="25">
        <f>IF(T252="","",HYPERLINK(IF(LEFT(T252,4)="http",T252,set_QwilrBase&amp;T252),"Open quote"))</f>
        <v/>
      </c>
      <c r="V252" s="25">
        <f>IF(C252="","",C252)</f>
        <v/>
      </c>
      <c r="W252" s="24" t="n"/>
      <c r="X252" s="26" t="n"/>
      <c r="Y252" s="27">
        <f>IF(C252="","",H252+N(X252))</f>
        <v/>
      </c>
      <c r="Z252" s="29">
        <f>IFERROR(X252/Y252,"")</f>
        <v/>
      </c>
      <c r="AA252" s="26" t="n"/>
      <c r="AB252" s="26" t="n"/>
      <c r="AC252" s="26" t="n"/>
      <c r="AD252" s="26" t="n"/>
      <c r="AE252" s="27">
        <f>IF(C252="","",SUMIFS(tbl_Finance[Ex GST],tbl_Finance[Job Number],C252&amp;"",tbl_Finance[Cost Centre],"VIDEO"))</f>
        <v/>
      </c>
      <c r="AF252" s="29">
        <f>IFERROR(AE252/H252,"")</f>
        <v/>
      </c>
      <c r="AG252" s="27">
        <f>IF(C252="","",N(AA252)+N(AB252)+N(AC252)+N(AD252))</f>
        <v/>
      </c>
      <c r="AH252" s="27">
        <f>IF(C252="","",H252-AG252)</f>
        <v/>
      </c>
      <c r="AI252" s="29">
        <f>IFERROR(AH252/H252,"")</f>
        <v/>
      </c>
      <c r="AJ252" s="69" t="n"/>
      <c r="AK252" s="69" t="n"/>
      <c r="AL252" s="69" t="n"/>
      <c r="AM252" s="69" t="n"/>
      <c r="AN252" s="69" t="n"/>
      <c r="AO252" s="24" t="n"/>
    </row>
    <row r="253" ht="15" customHeight="1">
      <c r="A253" s="68">
        <f>IF(C253="","",IFERROR(IF(SUMPRODUCT(MAX((tbl_Finance[Job Number]=C253&amp;"")*(tbl_Finance[Xero Invoice No]&lt;&gt;"")*tbl_Finance[Date]))=0,"",SUMPRODUCT(MAX((tbl_Finance[Job Number]=C253&amp;"")*(tbl_Finance[Xero Invoice No]&lt;&gt;"")*tbl_Finance[Date]))),""))</f>
        <v/>
      </c>
      <c r="B253" s="25">
        <f>IF(C253="","",IF(COUNTIFS(tbl_Finance[Job Number],C253&amp;"",tbl_Finance[Xero Invoice No],"&lt;&gt;")=0,"",IFERROR(IF(COUNTIFS(tbl_Finance[Job Number],C253&amp;"",tbl_Finance[Xero Invoice No],LOOKUP(2,1/((tbl_Finance[Job Number]=C253&amp;"")*(tbl_Finance[Xero Invoice No]&lt;&gt;"")),tbl_Finance[Xero Invoice No]))=COUNTIFS(tbl_Finance[Job Number],C253&amp;"",tbl_Finance[Xero Invoice No],"&lt;&gt;"),LOOKUP(2,1/((tbl_Finance[Job Number]=C253&amp;"")*(tbl_Finance[Xero Invoice No]&lt;&gt;"")),tbl_Finance[Xero Invoice No]),LOOKUP(2,1/((tbl_Finance[Job Number]=C253&amp;"")*(tbl_Finance[Xero Invoice No]&lt;&gt;"")),tbl_Finance[Xero Invoice No])&amp;" +more"),"")))</f>
        <v/>
      </c>
      <c r="C253" s="24" t="n"/>
      <c r="D253" s="25">
        <f>IF(C253="","",IF(COUNTIF(lst_Jobs,C253&amp;"")&gt;0,"OK","CHECK"))</f>
        <v/>
      </c>
      <c r="E253" s="25">
        <f>IF(C253="","",IFERROR(INDEX(lst_JobName,MATCH(C253&amp;"",lst_Jobs,0)),""))</f>
        <v/>
      </c>
      <c r="F253" s="25">
        <f>IF(C253="","",IFERROR(INDEX(tbl_Finance[Client],MATCH(C253&amp;"",tbl_Finance[Job Number],0)),""))</f>
        <v/>
      </c>
      <c r="G253" s="28">
        <f>IF(C253="","",COUNTIFS(tbl_Finance[Job Number],C253&amp;"",tbl_Finance[Ex GST],"&lt;&gt;"))</f>
        <v/>
      </c>
      <c r="H253" s="27">
        <f>IF(C253="","",SUMIFS(tbl_Finance[Ex GST],tbl_Finance[Job Number],C253&amp;""))</f>
        <v/>
      </c>
      <c r="I253" s="27">
        <f>IF(C253="","",SUMIFS(tbl_Finance[Ex GST],tbl_Finance[Job Number],C253&amp;"",tbl_Finance[Xero Invoice No],"&lt;&gt;"))</f>
        <v/>
      </c>
      <c r="J253" s="27">
        <f>IF(C253="","",H253-I253)</f>
        <v/>
      </c>
      <c r="K253" s="25">
        <f>IF(C253="","",IF(G253=0,"not invoiced yet",SUBSTITUTE(TRIM(IF(COUNTIFS(tbl_Finance[Job Number],C253&amp;"",tbl_Finance[Cost Centre],"ONSITE")&gt;0,"ONSITE ","")&amp;IF(COUNTIFS(tbl_Finance[Job Number],C253&amp;"",tbl_Finance[Cost Centre],"PRODUCTION")&gt;0,"PRODUCTION ","")&amp;IF(COUNTIFS(tbl_Finance[Job Number],C253&amp;"",tbl_Finance[Cost Centre],"VIDEO")&gt;0,"VIDEO ","")&amp;IF(COUNTIFS(tbl_Finance[Job Number],C253&amp;"",tbl_Finance[Cost Centre],"INTEGRATION")&gt;0,"INTEGRATION ","")&amp;IF(COUNTIFS(tbl_Finance[Job Number],C253&amp;"",tbl_Finance[Cost Centre],"CONSULTING")&gt;0,"CONSULTING ","")&amp;IF(COUNTIFS(tbl_Finance[Job Number],C253&amp;"",tbl_Finance[Cost Centre],"CTS")&gt;0,"CTS ",""))," ",", ")))</f>
        <v/>
      </c>
      <c r="L253" s="27">
        <f>IF(C253="","",SUMIFS(tbl_Finance[Inc GST],tbl_Finance[Job Number],C253&amp;""))</f>
        <v/>
      </c>
      <c r="M253" s="24" t="n"/>
      <c r="N253" s="25">
        <f>IF(C253="","",IFERROR(INDEX(tbl_Finance[Description],MATCH(C253&amp;"",tbl_Finance[Job Number],0)),""))</f>
        <v/>
      </c>
      <c r="O253" s="24" t="n"/>
      <c r="P253" s="24" t="n"/>
      <c r="Q253" s="22" t="n"/>
      <c r="R253" s="24" t="n"/>
      <c r="S253" s="25">
        <f>IF(R253="","",IF(AND(LEFT(R253,4)&lt;&gt;"http",set_RMSBase=""),"",HYPERLINK(IF(LEFT(R253,4)="http",R253,set_RMSBase&amp;R253),"Open opportunity")))</f>
        <v/>
      </c>
      <c r="T253" s="24" t="n"/>
      <c r="U253" s="25">
        <f>IF(T253="","",HYPERLINK(IF(LEFT(T253,4)="http",T253,set_QwilrBase&amp;T253),"Open quote"))</f>
        <v/>
      </c>
      <c r="V253" s="25">
        <f>IF(C253="","",C253)</f>
        <v/>
      </c>
      <c r="W253" s="24" t="n"/>
      <c r="X253" s="26" t="n"/>
      <c r="Y253" s="27">
        <f>IF(C253="","",H253+N(X253))</f>
        <v/>
      </c>
      <c r="Z253" s="29">
        <f>IFERROR(X253/Y253,"")</f>
        <v/>
      </c>
      <c r="AA253" s="26" t="n"/>
      <c r="AB253" s="26" t="n"/>
      <c r="AC253" s="26" t="n"/>
      <c r="AD253" s="26" t="n"/>
      <c r="AE253" s="27">
        <f>IF(C253="","",SUMIFS(tbl_Finance[Ex GST],tbl_Finance[Job Number],C253&amp;"",tbl_Finance[Cost Centre],"VIDEO"))</f>
        <v/>
      </c>
      <c r="AF253" s="29">
        <f>IFERROR(AE253/H253,"")</f>
        <v/>
      </c>
      <c r="AG253" s="27">
        <f>IF(C253="","",N(AA253)+N(AB253)+N(AC253)+N(AD253))</f>
        <v/>
      </c>
      <c r="AH253" s="27">
        <f>IF(C253="","",H253-AG253)</f>
        <v/>
      </c>
      <c r="AI253" s="29">
        <f>IFERROR(AH253/H253,"")</f>
        <v/>
      </c>
      <c r="AJ253" s="69" t="n"/>
      <c r="AK253" s="69" t="n"/>
      <c r="AL253" s="69" t="n"/>
      <c r="AM253" s="69" t="n"/>
      <c r="AN253" s="69" t="n"/>
      <c r="AO253" s="24" t="n"/>
    </row>
    <row r="254" ht="15" customHeight="1">
      <c r="A254" s="68">
        <f>IF(C254="","",IFERROR(IF(SUMPRODUCT(MAX((tbl_Finance[Job Number]=C254&amp;"")*(tbl_Finance[Xero Invoice No]&lt;&gt;"")*tbl_Finance[Date]))=0,"",SUMPRODUCT(MAX((tbl_Finance[Job Number]=C254&amp;"")*(tbl_Finance[Xero Invoice No]&lt;&gt;"")*tbl_Finance[Date]))),""))</f>
        <v/>
      </c>
      <c r="B254" s="25">
        <f>IF(C254="","",IF(COUNTIFS(tbl_Finance[Job Number],C254&amp;"",tbl_Finance[Xero Invoice No],"&lt;&gt;")=0,"",IFERROR(IF(COUNTIFS(tbl_Finance[Job Number],C254&amp;"",tbl_Finance[Xero Invoice No],LOOKUP(2,1/((tbl_Finance[Job Number]=C254&amp;"")*(tbl_Finance[Xero Invoice No]&lt;&gt;"")),tbl_Finance[Xero Invoice No]))=COUNTIFS(tbl_Finance[Job Number],C254&amp;"",tbl_Finance[Xero Invoice No],"&lt;&gt;"),LOOKUP(2,1/((tbl_Finance[Job Number]=C254&amp;"")*(tbl_Finance[Xero Invoice No]&lt;&gt;"")),tbl_Finance[Xero Invoice No]),LOOKUP(2,1/((tbl_Finance[Job Number]=C254&amp;"")*(tbl_Finance[Xero Invoice No]&lt;&gt;"")),tbl_Finance[Xero Invoice No])&amp;" +more"),"")))</f>
        <v/>
      </c>
      <c r="C254" s="24" t="n"/>
      <c r="D254" s="25">
        <f>IF(C254="","",IF(COUNTIF(lst_Jobs,C254&amp;"")&gt;0,"OK","CHECK"))</f>
        <v/>
      </c>
      <c r="E254" s="25">
        <f>IF(C254="","",IFERROR(INDEX(lst_JobName,MATCH(C254&amp;"",lst_Jobs,0)),""))</f>
        <v/>
      </c>
      <c r="F254" s="25">
        <f>IF(C254="","",IFERROR(INDEX(tbl_Finance[Client],MATCH(C254&amp;"",tbl_Finance[Job Number],0)),""))</f>
        <v/>
      </c>
      <c r="G254" s="28">
        <f>IF(C254="","",COUNTIFS(tbl_Finance[Job Number],C254&amp;"",tbl_Finance[Ex GST],"&lt;&gt;"))</f>
        <v/>
      </c>
      <c r="H254" s="27">
        <f>IF(C254="","",SUMIFS(tbl_Finance[Ex GST],tbl_Finance[Job Number],C254&amp;""))</f>
        <v/>
      </c>
      <c r="I254" s="27">
        <f>IF(C254="","",SUMIFS(tbl_Finance[Ex GST],tbl_Finance[Job Number],C254&amp;"",tbl_Finance[Xero Invoice No],"&lt;&gt;"))</f>
        <v/>
      </c>
      <c r="J254" s="27">
        <f>IF(C254="","",H254-I254)</f>
        <v/>
      </c>
      <c r="K254" s="25">
        <f>IF(C254="","",IF(G254=0,"not invoiced yet",SUBSTITUTE(TRIM(IF(COUNTIFS(tbl_Finance[Job Number],C254&amp;"",tbl_Finance[Cost Centre],"ONSITE")&gt;0,"ONSITE ","")&amp;IF(COUNTIFS(tbl_Finance[Job Number],C254&amp;"",tbl_Finance[Cost Centre],"PRODUCTION")&gt;0,"PRODUCTION ","")&amp;IF(COUNTIFS(tbl_Finance[Job Number],C254&amp;"",tbl_Finance[Cost Centre],"VIDEO")&gt;0,"VIDEO ","")&amp;IF(COUNTIFS(tbl_Finance[Job Number],C254&amp;"",tbl_Finance[Cost Centre],"INTEGRATION")&gt;0,"INTEGRATION ","")&amp;IF(COUNTIFS(tbl_Finance[Job Number],C254&amp;"",tbl_Finance[Cost Centre],"CONSULTING")&gt;0,"CONSULTING ","")&amp;IF(COUNTIFS(tbl_Finance[Job Number],C254&amp;"",tbl_Finance[Cost Centre],"CTS")&gt;0,"CTS ",""))," ",", ")))</f>
        <v/>
      </c>
      <c r="L254" s="27">
        <f>IF(C254="","",SUMIFS(tbl_Finance[Inc GST],tbl_Finance[Job Number],C254&amp;""))</f>
        <v/>
      </c>
      <c r="M254" s="24" t="n"/>
      <c r="N254" s="25">
        <f>IF(C254="","",IFERROR(INDEX(tbl_Finance[Description],MATCH(C254&amp;"",tbl_Finance[Job Number],0)),""))</f>
        <v/>
      </c>
      <c r="O254" s="24" t="n"/>
      <c r="P254" s="24" t="n"/>
      <c r="Q254" s="22" t="n"/>
      <c r="R254" s="24" t="n"/>
      <c r="S254" s="25">
        <f>IF(R254="","",IF(AND(LEFT(R254,4)&lt;&gt;"http",set_RMSBase=""),"",HYPERLINK(IF(LEFT(R254,4)="http",R254,set_RMSBase&amp;R254),"Open opportunity")))</f>
        <v/>
      </c>
      <c r="T254" s="24" t="n"/>
      <c r="U254" s="25">
        <f>IF(T254="","",HYPERLINK(IF(LEFT(T254,4)="http",T254,set_QwilrBase&amp;T254),"Open quote"))</f>
        <v/>
      </c>
      <c r="V254" s="25">
        <f>IF(C254="","",C254)</f>
        <v/>
      </c>
      <c r="W254" s="24" t="n"/>
      <c r="X254" s="26" t="n"/>
      <c r="Y254" s="27">
        <f>IF(C254="","",H254+N(X254))</f>
        <v/>
      </c>
      <c r="Z254" s="29">
        <f>IFERROR(X254/Y254,"")</f>
        <v/>
      </c>
      <c r="AA254" s="26" t="n"/>
      <c r="AB254" s="26" t="n"/>
      <c r="AC254" s="26" t="n"/>
      <c r="AD254" s="26" t="n"/>
      <c r="AE254" s="27">
        <f>IF(C254="","",SUMIFS(tbl_Finance[Ex GST],tbl_Finance[Job Number],C254&amp;"",tbl_Finance[Cost Centre],"VIDEO"))</f>
        <v/>
      </c>
      <c r="AF254" s="29">
        <f>IFERROR(AE254/H254,"")</f>
        <v/>
      </c>
      <c r="AG254" s="27">
        <f>IF(C254="","",N(AA254)+N(AB254)+N(AC254)+N(AD254))</f>
        <v/>
      </c>
      <c r="AH254" s="27">
        <f>IF(C254="","",H254-AG254)</f>
        <v/>
      </c>
      <c r="AI254" s="29">
        <f>IFERROR(AH254/H254,"")</f>
        <v/>
      </c>
      <c r="AJ254" s="69" t="n"/>
      <c r="AK254" s="69" t="n"/>
      <c r="AL254" s="69" t="n"/>
      <c r="AM254" s="69" t="n"/>
      <c r="AN254" s="69" t="n"/>
      <c r="AO254" s="24" t="n"/>
    </row>
    <row r="255" ht="15" customHeight="1">
      <c r="A255" s="68">
        <f>IF(C255="","",IFERROR(IF(SUMPRODUCT(MAX((tbl_Finance[Job Number]=C255&amp;"")*(tbl_Finance[Xero Invoice No]&lt;&gt;"")*tbl_Finance[Date]))=0,"",SUMPRODUCT(MAX((tbl_Finance[Job Number]=C255&amp;"")*(tbl_Finance[Xero Invoice No]&lt;&gt;"")*tbl_Finance[Date]))),""))</f>
        <v/>
      </c>
      <c r="B255" s="25">
        <f>IF(C255="","",IF(COUNTIFS(tbl_Finance[Job Number],C255&amp;"",tbl_Finance[Xero Invoice No],"&lt;&gt;")=0,"",IFERROR(IF(COUNTIFS(tbl_Finance[Job Number],C255&amp;"",tbl_Finance[Xero Invoice No],LOOKUP(2,1/((tbl_Finance[Job Number]=C255&amp;"")*(tbl_Finance[Xero Invoice No]&lt;&gt;"")),tbl_Finance[Xero Invoice No]))=COUNTIFS(tbl_Finance[Job Number],C255&amp;"",tbl_Finance[Xero Invoice No],"&lt;&gt;"),LOOKUP(2,1/((tbl_Finance[Job Number]=C255&amp;"")*(tbl_Finance[Xero Invoice No]&lt;&gt;"")),tbl_Finance[Xero Invoice No]),LOOKUP(2,1/((tbl_Finance[Job Number]=C255&amp;"")*(tbl_Finance[Xero Invoice No]&lt;&gt;"")),tbl_Finance[Xero Invoice No])&amp;" +more"),"")))</f>
        <v/>
      </c>
      <c r="C255" s="24" t="n"/>
      <c r="D255" s="25">
        <f>IF(C255="","",IF(COUNTIF(lst_Jobs,C255&amp;"")&gt;0,"OK","CHECK"))</f>
        <v/>
      </c>
      <c r="E255" s="25">
        <f>IF(C255="","",IFERROR(INDEX(lst_JobName,MATCH(C255&amp;"",lst_Jobs,0)),""))</f>
        <v/>
      </c>
      <c r="F255" s="25">
        <f>IF(C255="","",IFERROR(INDEX(tbl_Finance[Client],MATCH(C255&amp;"",tbl_Finance[Job Number],0)),""))</f>
        <v/>
      </c>
      <c r="G255" s="28">
        <f>IF(C255="","",COUNTIFS(tbl_Finance[Job Number],C255&amp;"",tbl_Finance[Ex GST],"&lt;&gt;"))</f>
        <v/>
      </c>
      <c r="H255" s="27">
        <f>IF(C255="","",SUMIFS(tbl_Finance[Ex GST],tbl_Finance[Job Number],C255&amp;""))</f>
        <v/>
      </c>
      <c r="I255" s="27">
        <f>IF(C255="","",SUMIFS(tbl_Finance[Ex GST],tbl_Finance[Job Number],C255&amp;"",tbl_Finance[Xero Invoice No],"&lt;&gt;"))</f>
        <v/>
      </c>
      <c r="J255" s="27">
        <f>IF(C255="","",H255-I255)</f>
        <v/>
      </c>
      <c r="K255" s="25">
        <f>IF(C255="","",IF(G255=0,"not invoiced yet",SUBSTITUTE(TRIM(IF(COUNTIFS(tbl_Finance[Job Number],C255&amp;"",tbl_Finance[Cost Centre],"ONSITE")&gt;0,"ONSITE ","")&amp;IF(COUNTIFS(tbl_Finance[Job Number],C255&amp;"",tbl_Finance[Cost Centre],"PRODUCTION")&gt;0,"PRODUCTION ","")&amp;IF(COUNTIFS(tbl_Finance[Job Number],C255&amp;"",tbl_Finance[Cost Centre],"VIDEO")&gt;0,"VIDEO ","")&amp;IF(COUNTIFS(tbl_Finance[Job Number],C255&amp;"",tbl_Finance[Cost Centre],"INTEGRATION")&gt;0,"INTEGRATION ","")&amp;IF(COUNTIFS(tbl_Finance[Job Number],C255&amp;"",tbl_Finance[Cost Centre],"CONSULTING")&gt;0,"CONSULTING ","")&amp;IF(COUNTIFS(tbl_Finance[Job Number],C255&amp;"",tbl_Finance[Cost Centre],"CTS")&gt;0,"CTS ",""))," ",", ")))</f>
        <v/>
      </c>
      <c r="L255" s="27">
        <f>IF(C255="","",SUMIFS(tbl_Finance[Inc GST],tbl_Finance[Job Number],C255&amp;""))</f>
        <v/>
      </c>
      <c r="M255" s="24" t="n"/>
      <c r="N255" s="25">
        <f>IF(C255="","",IFERROR(INDEX(tbl_Finance[Description],MATCH(C255&amp;"",tbl_Finance[Job Number],0)),""))</f>
        <v/>
      </c>
      <c r="O255" s="24" t="n"/>
      <c r="P255" s="24" t="n"/>
      <c r="Q255" s="22" t="n"/>
      <c r="R255" s="24" t="n"/>
      <c r="S255" s="25">
        <f>IF(R255="","",IF(AND(LEFT(R255,4)&lt;&gt;"http",set_RMSBase=""),"",HYPERLINK(IF(LEFT(R255,4)="http",R255,set_RMSBase&amp;R255),"Open opportunity")))</f>
        <v/>
      </c>
      <c r="T255" s="24" t="n"/>
      <c r="U255" s="25">
        <f>IF(T255="","",HYPERLINK(IF(LEFT(T255,4)="http",T255,set_QwilrBase&amp;T255),"Open quote"))</f>
        <v/>
      </c>
      <c r="V255" s="25">
        <f>IF(C255="","",C255)</f>
        <v/>
      </c>
      <c r="W255" s="24" t="n"/>
      <c r="X255" s="26" t="n"/>
      <c r="Y255" s="27">
        <f>IF(C255="","",H255+N(X255))</f>
        <v/>
      </c>
      <c r="Z255" s="29">
        <f>IFERROR(X255/Y255,"")</f>
        <v/>
      </c>
      <c r="AA255" s="26" t="n"/>
      <c r="AB255" s="26" t="n"/>
      <c r="AC255" s="26" t="n"/>
      <c r="AD255" s="26" t="n"/>
      <c r="AE255" s="27">
        <f>IF(C255="","",SUMIFS(tbl_Finance[Ex GST],tbl_Finance[Job Number],C255&amp;"",tbl_Finance[Cost Centre],"VIDEO"))</f>
        <v/>
      </c>
      <c r="AF255" s="29">
        <f>IFERROR(AE255/H255,"")</f>
        <v/>
      </c>
      <c r="AG255" s="27">
        <f>IF(C255="","",N(AA255)+N(AB255)+N(AC255)+N(AD255))</f>
        <v/>
      </c>
      <c r="AH255" s="27">
        <f>IF(C255="","",H255-AG255)</f>
        <v/>
      </c>
      <c r="AI255" s="29">
        <f>IFERROR(AH255/H255,"")</f>
        <v/>
      </c>
      <c r="AJ255" s="69" t="n"/>
      <c r="AK255" s="69" t="n"/>
      <c r="AL255" s="69" t="n"/>
      <c r="AM255" s="69" t="n"/>
      <c r="AN255" s="69" t="n"/>
      <c r="AO255" s="24" t="n"/>
    </row>
    <row r="256" ht="15" customHeight="1">
      <c r="A256" s="68">
        <f>IF(C256="","",IFERROR(IF(SUMPRODUCT(MAX((tbl_Finance[Job Number]=C256&amp;"")*(tbl_Finance[Xero Invoice No]&lt;&gt;"")*tbl_Finance[Date]))=0,"",SUMPRODUCT(MAX((tbl_Finance[Job Number]=C256&amp;"")*(tbl_Finance[Xero Invoice No]&lt;&gt;"")*tbl_Finance[Date]))),""))</f>
        <v/>
      </c>
      <c r="B256" s="25">
        <f>IF(C256="","",IF(COUNTIFS(tbl_Finance[Job Number],C256&amp;"",tbl_Finance[Xero Invoice No],"&lt;&gt;")=0,"",IFERROR(IF(COUNTIFS(tbl_Finance[Job Number],C256&amp;"",tbl_Finance[Xero Invoice No],LOOKUP(2,1/((tbl_Finance[Job Number]=C256&amp;"")*(tbl_Finance[Xero Invoice No]&lt;&gt;"")),tbl_Finance[Xero Invoice No]))=COUNTIFS(tbl_Finance[Job Number],C256&amp;"",tbl_Finance[Xero Invoice No],"&lt;&gt;"),LOOKUP(2,1/((tbl_Finance[Job Number]=C256&amp;"")*(tbl_Finance[Xero Invoice No]&lt;&gt;"")),tbl_Finance[Xero Invoice No]),LOOKUP(2,1/((tbl_Finance[Job Number]=C256&amp;"")*(tbl_Finance[Xero Invoice No]&lt;&gt;"")),tbl_Finance[Xero Invoice No])&amp;" +more"),"")))</f>
        <v/>
      </c>
      <c r="C256" s="24" t="n"/>
      <c r="D256" s="25">
        <f>IF(C256="","",IF(COUNTIF(lst_Jobs,C256&amp;"")&gt;0,"OK","CHECK"))</f>
        <v/>
      </c>
      <c r="E256" s="25">
        <f>IF(C256="","",IFERROR(INDEX(lst_JobName,MATCH(C256&amp;"",lst_Jobs,0)),""))</f>
        <v/>
      </c>
      <c r="F256" s="25">
        <f>IF(C256="","",IFERROR(INDEX(tbl_Finance[Client],MATCH(C256&amp;"",tbl_Finance[Job Number],0)),""))</f>
        <v/>
      </c>
      <c r="G256" s="28">
        <f>IF(C256="","",COUNTIFS(tbl_Finance[Job Number],C256&amp;"",tbl_Finance[Ex GST],"&lt;&gt;"))</f>
        <v/>
      </c>
      <c r="H256" s="27">
        <f>IF(C256="","",SUMIFS(tbl_Finance[Ex GST],tbl_Finance[Job Number],C256&amp;""))</f>
        <v/>
      </c>
      <c r="I256" s="27">
        <f>IF(C256="","",SUMIFS(tbl_Finance[Ex GST],tbl_Finance[Job Number],C256&amp;"",tbl_Finance[Xero Invoice No],"&lt;&gt;"))</f>
        <v/>
      </c>
      <c r="J256" s="27">
        <f>IF(C256="","",H256-I256)</f>
        <v/>
      </c>
      <c r="K256" s="25">
        <f>IF(C256="","",IF(G256=0,"not invoiced yet",SUBSTITUTE(TRIM(IF(COUNTIFS(tbl_Finance[Job Number],C256&amp;"",tbl_Finance[Cost Centre],"ONSITE")&gt;0,"ONSITE ","")&amp;IF(COUNTIFS(tbl_Finance[Job Number],C256&amp;"",tbl_Finance[Cost Centre],"PRODUCTION")&gt;0,"PRODUCTION ","")&amp;IF(COUNTIFS(tbl_Finance[Job Number],C256&amp;"",tbl_Finance[Cost Centre],"VIDEO")&gt;0,"VIDEO ","")&amp;IF(COUNTIFS(tbl_Finance[Job Number],C256&amp;"",tbl_Finance[Cost Centre],"INTEGRATION")&gt;0,"INTEGRATION ","")&amp;IF(COUNTIFS(tbl_Finance[Job Number],C256&amp;"",tbl_Finance[Cost Centre],"CONSULTING")&gt;0,"CONSULTING ","")&amp;IF(COUNTIFS(tbl_Finance[Job Number],C256&amp;"",tbl_Finance[Cost Centre],"CTS")&gt;0,"CTS ",""))," ",", ")))</f>
        <v/>
      </c>
      <c r="L256" s="27">
        <f>IF(C256="","",SUMIFS(tbl_Finance[Inc GST],tbl_Finance[Job Number],C256&amp;""))</f>
        <v/>
      </c>
      <c r="M256" s="24" t="n"/>
      <c r="N256" s="25">
        <f>IF(C256="","",IFERROR(INDEX(tbl_Finance[Description],MATCH(C256&amp;"",tbl_Finance[Job Number],0)),""))</f>
        <v/>
      </c>
      <c r="O256" s="24" t="n"/>
      <c r="P256" s="24" t="n"/>
      <c r="Q256" s="22" t="n"/>
      <c r="R256" s="24" t="n"/>
      <c r="S256" s="25">
        <f>IF(R256="","",IF(AND(LEFT(R256,4)&lt;&gt;"http",set_RMSBase=""),"",HYPERLINK(IF(LEFT(R256,4)="http",R256,set_RMSBase&amp;R256),"Open opportunity")))</f>
        <v/>
      </c>
      <c r="T256" s="24" t="n"/>
      <c r="U256" s="25">
        <f>IF(T256="","",HYPERLINK(IF(LEFT(T256,4)="http",T256,set_QwilrBase&amp;T256),"Open quote"))</f>
        <v/>
      </c>
      <c r="V256" s="25">
        <f>IF(C256="","",C256)</f>
        <v/>
      </c>
      <c r="W256" s="24" t="n"/>
      <c r="X256" s="26" t="n"/>
      <c r="Y256" s="27">
        <f>IF(C256="","",H256+N(X256))</f>
        <v/>
      </c>
      <c r="Z256" s="29">
        <f>IFERROR(X256/Y256,"")</f>
        <v/>
      </c>
      <c r="AA256" s="26" t="n"/>
      <c r="AB256" s="26" t="n"/>
      <c r="AC256" s="26" t="n"/>
      <c r="AD256" s="26" t="n"/>
      <c r="AE256" s="27">
        <f>IF(C256="","",SUMIFS(tbl_Finance[Ex GST],tbl_Finance[Job Number],C256&amp;"",tbl_Finance[Cost Centre],"VIDEO"))</f>
        <v/>
      </c>
      <c r="AF256" s="29">
        <f>IFERROR(AE256/H256,"")</f>
        <v/>
      </c>
      <c r="AG256" s="27">
        <f>IF(C256="","",N(AA256)+N(AB256)+N(AC256)+N(AD256))</f>
        <v/>
      </c>
      <c r="AH256" s="27">
        <f>IF(C256="","",H256-AG256)</f>
        <v/>
      </c>
      <c r="AI256" s="29">
        <f>IFERROR(AH256/H256,"")</f>
        <v/>
      </c>
      <c r="AJ256" s="69" t="n"/>
      <c r="AK256" s="69" t="n"/>
      <c r="AL256" s="69" t="n"/>
      <c r="AM256" s="69" t="n"/>
      <c r="AN256" s="69" t="n"/>
      <c r="AO256" s="24" t="n"/>
    </row>
    <row r="257" ht="15" customHeight="1">
      <c r="A257" s="68">
        <f>IF(C257="","",IFERROR(IF(SUMPRODUCT(MAX((tbl_Finance[Job Number]=C257&amp;"")*(tbl_Finance[Xero Invoice No]&lt;&gt;"")*tbl_Finance[Date]))=0,"",SUMPRODUCT(MAX((tbl_Finance[Job Number]=C257&amp;"")*(tbl_Finance[Xero Invoice No]&lt;&gt;"")*tbl_Finance[Date]))),""))</f>
        <v/>
      </c>
      <c r="B257" s="25">
        <f>IF(C257="","",IF(COUNTIFS(tbl_Finance[Job Number],C257&amp;"",tbl_Finance[Xero Invoice No],"&lt;&gt;")=0,"",IFERROR(IF(COUNTIFS(tbl_Finance[Job Number],C257&amp;"",tbl_Finance[Xero Invoice No],LOOKUP(2,1/((tbl_Finance[Job Number]=C257&amp;"")*(tbl_Finance[Xero Invoice No]&lt;&gt;"")),tbl_Finance[Xero Invoice No]))=COUNTIFS(tbl_Finance[Job Number],C257&amp;"",tbl_Finance[Xero Invoice No],"&lt;&gt;"),LOOKUP(2,1/((tbl_Finance[Job Number]=C257&amp;"")*(tbl_Finance[Xero Invoice No]&lt;&gt;"")),tbl_Finance[Xero Invoice No]),LOOKUP(2,1/((tbl_Finance[Job Number]=C257&amp;"")*(tbl_Finance[Xero Invoice No]&lt;&gt;"")),tbl_Finance[Xero Invoice No])&amp;" +more"),"")))</f>
        <v/>
      </c>
      <c r="C257" s="24" t="n"/>
      <c r="D257" s="25">
        <f>IF(C257="","",IF(COUNTIF(lst_Jobs,C257&amp;"")&gt;0,"OK","CHECK"))</f>
        <v/>
      </c>
      <c r="E257" s="25">
        <f>IF(C257="","",IFERROR(INDEX(lst_JobName,MATCH(C257&amp;"",lst_Jobs,0)),""))</f>
        <v/>
      </c>
      <c r="F257" s="25">
        <f>IF(C257="","",IFERROR(INDEX(tbl_Finance[Client],MATCH(C257&amp;"",tbl_Finance[Job Number],0)),""))</f>
        <v/>
      </c>
      <c r="G257" s="28">
        <f>IF(C257="","",COUNTIFS(tbl_Finance[Job Number],C257&amp;"",tbl_Finance[Ex GST],"&lt;&gt;"))</f>
        <v/>
      </c>
      <c r="H257" s="27">
        <f>IF(C257="","",SUMIFS(tbl_Finance[Ex GST],tbl_Finance[Job Number],C257&amp;""))</f>
        <v/>
      </c>
      <c r="I257" s="27">
        <f>IF(C257="","",SUMIFS(tbl_Finance[Ex GST],tbl_Finance[Job Number],C257&amp;"",tbl_Finance[Xero Invoice No],"&lt;&gt;"))</f>
        <v/>
      </c>
      <c r="J257" s="27">
        <f>IF(C257="","",H257-I257)</f>
        <v/>
      </c>
      <c r="K257" s="25">
        <f>IF(C257="","",IF(G257=0,"not invoiced yet",SUBSTITUTE(TRIM(IF(COUNTIFS(tbl_Finance[Job Number],C257&amp;"",tbl_Finance[Cost Centre],"ONSITE")&gt;0,"ONSITE ","")&amp;IF(COUNTIFS(tbl_Finance[Job Number],C257&amp;"",tbl_Finance[Cost Centre],"PRODUCTION")&gt;0,"PRODUCTION ","")&amp;IF(COUNTIFS(tbl_Finance[Job Number],C257&amp;"",tbl_Finance[Cost Centre],"VIDEO")&gt;0,"VIDEO ","")&amp;IF(COUNTIFS(tbl_Finance[Job Number],C257&amp;"",tbl_Finance[Cost Centre],"INTEGRATION")&gt;0,"INTEGRATION ","")&amp;IF(COUNTIFS(tbl_Finance[Job Number],C257&amp;"",tbl_Finance[Cost Centre],"CONSULTING")&gt;0,"CONSULTING ","")&amp;IF(COUNTIFS(tbl_Finance[Job Number],C257&amp;"",tbl_Finance[Cost Centre],"CTS")&gt;0,"CTS ",""))," ",", ")))</f>
        <v/>
      </c>
      <c r="L257" s="27">
        <f>IF(C257="","",SUMIFS(tbl_Finance[Inc GST],tbl_Finance[Job Number],C257&amp;""))</f>
        <v/>
      </c>
      <c r="M257" s="24" t="n"/>
      <c r="N257" s="25">
        <f>IF(C257="","",IFERROR(INDEX(tbl_Finance[Description],MATCH(C257&amp;"",tbl_Finance[Job Number],0)),""))</f>
        <v/>
      </c>
      <c r="O257" s="24" t="n"/>
      <c r="P257" s="24" t="n"/>
      <c r="Q257" s="22" t="n"/>
      <c r="R257" s="24" t="n"/>
      <c r="S257" s="25">
        <f>IF(R257="","",IF(AND(LEFT(R257,4)&lt;&gt;"http",set_RMSBase=""),"",HYPERLINK(IF(LEFT(R257,4)="http",R257,set_RMSBase&amp;R257),"Open opportunity")))</f>
        <v/>
      </c>
      <c r="T257" s="24" t="n"/>
      <c r="U257" s="25">
        <f>IF(T257="","",HYPERLINK(IF(LEFT(T257,4)="http",T257,set_QwilrBase&amp;T257),"Open quote"))</f>
        <v/>
      </c>
      <c r="V257" s="25">
        <f>IF(C257="","",C257)</f>
        <v/>
      </c>
      <c r="W257" s="24" t="n"/>
      <c r="X257" s="26" t="n"/>
      <c r="Y257" s="27">
        <f>IF(C257="","",H257+N(X257))</f>
        <v/>
      </c>
      <c r="Z257" s="29">
        <f>IFERROR(X257/Y257,"")</f>
        <v/>
      </c>
      <c r="AA257" s="26" t="n"/>
      <c r="AB257" s="26" t="n"/>
      <c r="AC257" s="26" t="n"/>
      <c r="AD257" s="26" t="n"/>
      <c r="AE257" s="27">
        <f>IF(C257="","",SUMIFS(tbl_Finance[Ex GST],tbl_Finance[Job Number],C257&amp;"",tbl_Finance[Cost Centre],"VIDEO"))</f>
        <v/>
      </c>
      <c r="AF257" s="29">
        <f>IFERROR(AE257/H257,"")</f>
        <v/>
      </c>
      <c r="AG257" s="27">
        <f>IF(C257="","",N(AA257)+N(AB257)+N(AC257)+N(AD257))</f>
        <v/>
      </c>
      <c r="AH257" s="27">
        <f>IF(C257="","",H257-AG257)</f>
        <v/>
      </c>
      <c r="AI257" s="29">
        <f>IFERROR(AH257/H257,"")</f>
        <v/>
      </c>
      <c r="AJ257" s="69" t="n"/>
      <c r="AK257" s="69" t="n"/>
      <c r="AL257" s="69" t="n"/>
      <c r="AM257" s="69" t="n"/>
      <c r="AN257" s="69" t="n"/>
      <c r="AO257" s="24" t="n"/>
    </row>
    <row r="258" ht="15" customHeight="1">
      <c r="A258" s="68">
        <f>IF(C258="","",IFERROR(IF(SUMPRODUCT(MAX((tbl_Finance[Job Number]=C258&amp;"")*(tbl_Finance[Xero Invoice No]&lt;&gt;"")*tbl_Finance[Date]))=0,"",SUMPRODUCT(MAX((tbl_Finance[Job Number]=C258&amp;"")*(tbl_Finance[Xero Invoice No]&lt;&gt;"")*tbl_Finance[Date]))),""))</f>
        <v/>
      </c>
      <c r="B258" s="25">
        <f>IF(C258="","",IF(COUNTIFS(tbl_Finance[Job Number],C258&amp;"",tbl_Finance[Xero Invoice No],"&lt;&gt;")=0,"",IFERROR(IF(COUNTIFS(tbl_Finance[Job Number],C258&amp;"",tbl_Finance[Xero Invoice No],LOOKUP(2,1/((tbl_Finance[Job Number]=C258&amp;"")*(tbl_Finance[Xero Invoice No]&lt;&gt;"")),tbl_Finance[Xero Invoice No]))=COUNTIFS(tbl_Finance[Job Number],C258&amp;"",tbl_Finance[Xero Invoice No],"&lt;&gt;"),LOOKUP(2,1/((tbl_Finance[Job Number]=C258&amp;"")*(tbl_Finance[Xero Invoice No]&lt;&gt;"")),tbl_Finance[Xero Invoice No]),LOOKUP(2,1/((tbl_Finance[Job Number]=C258&amp;"")*(tbl_Finance[Xero Invoice No]&lt;&gt;"")),tbl_Finance[Xero Invoice No])&amp;" +more"),"")))</f>
        <v/>
      </c>
      <c r="C258" s="24" t="n"/>
      <c r="D258" s="25">
        <f>IF(C258="","",IF(COUNTIF(lst_Jobs,C258&amp;"")&gt;0,"OK","CHECK"))</f>
        <v/>
      </c>
      <c r="E258" s="25">
        <f>IF(C258="","",IFERROR(INDEX(lst_JobName,MATCH(C258&amp;"",lst_Jobs,0)),""))</f>
        <v/>
      </c>
      <c r="F258" s="25">
        <f>IF(C258="","",IFERROR(INDEX(tbl_Finance[Client],MATCH(C258&amp;"",tbl_Finance[Job Number],0)),""))</f>
        <v/>
      </c>
      <c r="G258" s="28">
        <f>IF(C258="","",COUNTIFS(tbl_Finance[Job Number],C258&amp;"",tbl_Finance[Ex GST],"&lt;&gt;"))</f>
        <v/>
      </c>
      <c r="H258" s="27">
        <f>IF(C258="","",SUMIFS(tbl_Finance[Ex GST],tbl_Finance[Job Number],C258&amp;""))</f>
        <v/>
      </c>
      <c r="I258" s="27">
        <f>IF(C258="","",SUMIFS(tbl_Finance[Ex GST],tbl_Finance[Job Number],C258&amp;"",tbl_Finance[Xero Invoice No],"&lt;&gt;"))</f>
        <v/>
      </c>
      <c r="J258" s="27">
        <f>IF(C258="","",H258-I258)</f>
        <v/>
      </c>
      <c r="K258" s="25">
        <f>IF(C258="","",IF(G258=0,"not invoiced yet",SUBSTITUTE(TRIM(IF(COUNTIFS(tbl_Finance[Job Number],C258&amp;"",tbl_Finance[Cost Centre],"ONSITE")&gt;0,"ONSITE ","")&amp;IF(COUNTIFS(tbl_Finance[Job Number],C258&amp;"",tbl_Finance[Cost Centre],"PRODUCTION")&gt;0,"PRODUCTION ","")&amp;IF(COUNTIFS(tbl_Finance[Job Number],C258&amp;"",tbl_Finance[Cost Centre],"VIDEO")&gt;0,"VIDEO ","")&amp;IF(COUNTIFS(tbl_Finance[Job Number],C258&amp;"",tbl_Finance[Cost Centre],"INTEGRATION")&gt;0,"INTEGRATION ","")&amp;IF(COUNTIFS(tbl_Finance[Job Number],C258&amp;"",tbl_Finance[Cost Centre],"CONSULTING")&gt;0,"CONSULTING ","")&amp;IF(COUNTIFS(tbl_Finance[Job Number],C258&amp;"",tbl_Finance[Cost Centre],"CTS")&gt;0,"CTS ",""))," ",", ")))</f>
        <v/>
      </c>
      <c r="L258" s="27">
        <f>IF(C258="","",SUMIFS(tbl_Finance[Inc GST],tbl_Finance[Job Number],C258&amp;""))</f>
        <v/>
      </c>
      <c r="M258" s="24" t="n"/>
      <c r="N258" s="25">
        <f>IF(C258="","",IFERROR(INDEX(tbl_Finance[Description],MATCH(C258&amp;"",tbl_Finance[Job Number],0)),""))</f>
        <v/>
      </c>
      <c r="O258" s="24" t="n"/>
      <c r="P258" s="24" t="n"/>
      <c r="Q258" s="22" t="n"/>
      <c r="R258" s="24" t="n"/>
      <c r="S258" s="25">
        <f>IF(R258="","",IF(AND(LEFT(R258,4)&lt;&gt;"http",set_RMSBase=""),"",HYPERLINK(IF(LEFT(R258,4)="http",R258,set_RMSBase&amp;R258),"Open opportunity")))</f>
        <v/>
      </c>
      <c r="T258" s="24" t="n"/>
      <c r="U258" s="25">
        <f>IF(T258="","",HYPERLINK(IF(LEFT(T258,4)="http",T258,set_QwilrBase&amp;T258),"Open quote"))</f>
        <v/>
      </c>
      <c r="V258" s="25">
        <f>IF(C258="","",C258)</f>
        <v/>
      </c>
      <c r="W258" s="24" t="n"/>
      <c r="X258" s="26" t="n"/>
      <c r="Y258" s="27">
        <f>IF(C258="","",H258+N(X258))</f>
        <v/>
      </c>
      <c r="Z258" s="29">
        <f>IFERROR(X258/Y258,"")</f>
        <v/>
      </c>
      <c r="AA258" s="26" t="n"/>
      <c r="AB258" s="26" t="n"/>
      <c r="AC258" s="26" t="n"/>
      <c r="AD258" s="26" t="n"/>
      <c r="AE258" s="27">
        <f>IF(C258="","",SUMIFS(tbl_Finance[Ex GST],tbl_Finance[Job Number],C258&amp;"",tbl_Finance[Cost Centre],"VIDEO"))</f>
        <v/>
      </c>
      <c r="AF258" s="29">
        <f>IFERROR(AE258/H258,"")</f>
        <v/>
      </c>
      <c r="AG258" s="27">
        <f>IF(C258="","",N(AA258)+N(AB258)+N(AC258)+N(AD258))</f>
        <v/>
      </c>
      <c r="AH258" s="27">
        <f>IF(C258="","",H258-AG258)</f>
        <v/>
      </c>
      <c r="AI258" s="29">
        <f>IFERROR(AH258/H258,"")</f>
        <v/>
      </c>
      <c r="AJ258" s="69" t="n"/>
      <c r="AK258" s="69" t="n"/>
      <c r="AL258" s="69" t="n"/>
      <c r="AM258" s="69" t="n"/>
      <c r="AN258" s="69" t="n"/>
      <c r="AO258" s="24" t="n"/>
    </row>
    <row r="259" ht="15" customHeight="1">
      <c r="A259" s="68">
        <f>IF(C259="","",IFERROR(IF(SUMPRODUCT(MAX((tbl_Finance[Job Number]=C259&amp;"")*(tbl_Finance[Xero Invoice No]&lt;&gt;"")*tbl_Finance[Date]))=0,"",SUMPRODUCT(MAX((tbl_Finance[Job Number]=C259&amp;"")*(tbl_Finance[Xero Invoice No]&lt;&gt;"")*tbl_Finance[Date]))),""))</f>
        <v/>
      </c>
      <c r="B259" s="25">
        <f>IF(C259="","",IF(COUNTIFS(tbl_Finance[Job Number],C259&amp;"",tbl_Finance[Xero Invoice No],"&lt;&gt;")=0,"",IFERROR(IF(COUNTIFS(tbl_Finance[Job Number],C259&amp;"",tbl_Finance[Xero Invoice No],LOOKUP(2,1/((tbl_Finance[Job Number]=C259&amp;"")*(tbl_Finance[Xero Invoice No]&lt;&gt;"")),tbl_Finance[Xero Invoice No]))=COUNTIFS(tbl_Finance[Job Number],C259&amp;"",tbl_Finance[Xero Invoice No],"&lt;&gt;"),LOOKUP(2,1/((tbl_Finance[Job Number]=C259&amp;"")*(tbl_Finance[Xero Invoice No]&lt;&gt;"")),tbl_Finance[Xero Invoice No]),LOOKUP(2,1/((tbl_Finance[Job Number]=C259&amp;"")*(tbl_Finance[Xero Invoice No]&lt;&gt;"")),tbl_Finance[Xero Invoice No])&amp;" +more"),"")))</f>
        <v/>
      </c>
      <c r="C259" s="24" t="n"/>
      <c r="D259" s="25">
        <f>IF(C259="","",IF(COUNTIF(lst_Jobs,C259&amp;"")&gt;0,"OK","CHECK"))</f>
        <v/>
      </c>
      <c r="E259" s="25">
        <f>IF(C259="","",IFERROR(INDEX(lst_JobName,MATCH(C259&amp;"",lst_Jobs,0)),""))</f>
        <v/>
      </c>
      <c r="F259" s="25">
        <f>IF(C259="","",IFERROR(INDEX(tbl_Finance[Client],MATCH(C259&amp;"",tbl_Finance[Job Number],0)),""))</f>
        <v/>
      </c>
      <c r="G259" s="28">
        <f>IF(C259="","",COUNTIFS(tbl_Finance[Job Number],C259&amp;"",tbl_Finance[Ex GST],"&lt;&gt;"))</f>
        <v/>
      </c>
      <c r="H259" s="27">
        <f>IF(C259="","",SUMIFS(tbl_Finance[Ex GST],tbl_Finance[Job Number],C259&amp;""))</f>
        <v/>
      </c>
      <c r="I259" s="27">
        <f>IF(C259="","",SUMIFS(tbl_Finance[Ex GST],tbl_Finance[Job Number],C259&amp;"",tbl_Finance[Xero Invoice No],"&lt;&gt;"))</f>
        <v/>
      </c>
      <c r="J259" s="27">
        <f>IF(C259="","",H259-I259)</f>
        <v/>
      </c>
      <c r="K259" s="25">
        <f>IF(C259="","",IF(G259=0,"not invoiced yet",SUBSTITUTE(TRIM(IF(COUNTIFS(tbl_Finance[Job Number],C259&amp;"",tbl_Finance[Cost Centre],"ONSITE")&gt;0,"ONSITE ","")&amp;IF(COUNTIFS(tbl_Finance[Job Number],C259&amp;"",tbl_Finance[Cost Centre],"PRODUCTION")&gt;0,"PRODUCTION ","")&amp;IF(COUNTIFS(tbl_Finance[Job Number],C259&amp;"",tbl_Finance[Cost Centre],"VIDEO")&gt;0,"VIDEO ","")&amp;IF(COUNTIFS(tbl_Finance[Job Number],C259&amp;"",tbl_Finance[Cost Centre],"INTEGRATION")&gt;0,"INTEGRATION ","")&amp;IF(COUNTIFS(tbl_Finance[Job Number],C259&amp;"",tbl_Finance[Cost Centre],"CONSULTING")&gt;0,"CONSULTING ","")&amp;IF(COUNTIFS(tbl_Finance[Job Number],C259&amp;"",tbl_Finance[Cost Centre],"CTS")&gt;0,"CTS ",""))," ",", ")))</f>
        <v/>
      </c>
      <c r="L259" s="27">
        <f>IF(C259="","",SUMIFS(tbl_Finance[Inc GST],tbl_Finance[Job Number],C259&amp;""))</f>
        <v/>
      </c>
      <c r="M259" s="24" t="n"/>
      <c r="N259" s="25">
        <f>IF(C259="","",IFERROR(INDEX(tbl_Finance[Description],MATCH(C259&amp;"",tbl_Finance[Job Number],0)),""))</f>
        <v/>
      </c>
      <c r="O259" s="24" t="n"/>
      <c r="P259" s="24" t="n"/>
      <c r="Q259" s="22" t="n"/>
      <c r="R259" s="24" t="n"/>
      <c r="S259" s="25">
        <f>IF(R259="","",IF(AND(LEFT(R259,4)&lt;&gt;"http",set_RMSBase=""),"",HYPERLINK(IF(LEFT(R259,4)="http",R259,set_RMSBase&amp;R259),"Open opportunity")))</f>
        <v/>
      </c>
      <c r="T259" s="24" t="n"/>
      <c r="U259" s="25">
        <f>IF(T259="","",HYPERLINK(IF(LEFT(T259,4)="http",T259,set_QwilrBase&amp;T259),"Open quote"))</f>
        <v/>
      </c>
      <c r="V259" s="25">
        <f>IF(C259="","",C259)</f>
        <v/>
      </c>
      <c r="W259" s="24" t="n"/>
      <c r="X259" s="26" t="n"/>
      <c r="Y259" s="27">
        <f>IF(C259="","",H259+N(X259))</f>
        <v/>
      </c>
      <c r="Z259" s="29">
        <f>IFERROR(X259/Y259,"")</f>
        <v/>
      </c>
      <c r="AA259" s="26" t="n"/>
      <c r="AB259" s="26" t="n"/>
      <c r="AC259" s="26" t="n"/>
      <c r="AD259" s="26" t="n"/>
      <c r="AE259" s="27">
        <f>IF(C259="","",SUMIFS(tbl_Finance[Ex GST],tbl_Finance[Job Number],C259&amp;"",tbl_Finance[Cost Centre],"VIDEO"))</f>
        <v/>
      </c>
      <c r="AF259" s="29">
        <f>IFERROR(AE259/H259,"")</f>
        <v/>
      </c>
      <c r="AG259" s="27">
        <f>IF(C259="","",N(AA259)+N(AB259)+N(AC259)+N(AD259))</f>
        <v/>
      </c>
      <c r="AH259" s="27">
        <f>IF(C259="","",H259-AG259)</f>
        <v/>
      </c>
      <c r="AI259" s="29">
        <f>IFERROR(AH259/H259,"")</f>
        <v/>
      </c>
      <c r="AJ259" s="69" t="n"/>
      <c r="AK259" s="69" t="n"/>
      <c r="AL259" s="69" t="n"/>
      <c r="AM259" s="69" t="n"/>
      <c r="AN259" s="69" t="n"/>
      <c r="AO259" s="24" t="n"/>
    </row>
    <row r="260" ht="15" customHeight="1">
      <c r="A260" s="68">
        <f>IF(C260="","",IFERROR(IF(SUMPRODUCT(MAX((tbl_Finance[Job Number]=C260&amp;"")*(tbl_Finance[Xero Invoice No]&lt;&gt;"")*tbl_Finance[Date]))=0,"",SUMPRODUCT(MAX((tbl_Finance[Job Number]=C260&amp;"")*(tbl_Finance[Xero Invoice No]&lt;&gt;"")*tbl_Finance[Date]))),""))</f>
        <v/>
      </c>
      <c r="B260" s="25">
        <f>IF(C260="","",IF(COUNTIFS(tbl_Finance[Job Number],C260&amp;"",tbl_Finance[Xero Invoice No],"&lt;&gt;")=0,"",IFERROR(IF(COUNTIFS(tbl_Finance[Job Number],C260&amp;"",tbl_Finance[Xero Invoice No],LOOKUP(2,1/((tbl_Finance[Job Number]=C260&amp;"")*(tbl_Finance[Xero Invoice No]&lt;&gt;"")),tbl_Finance[Xero Invoice No]))=COUNTIFS(tbl_Finance[Job Number],C260&amp;"",tbl_Finance[Xero Invoice No],"&lt;&gt;"),LOOKUP(2,1/((tbl_Finance[Job Number]=C260&amp;"")*(tbl_Finance[Xero Invoice No]&lt;&gt;"")),tbl_Finance[Xero Invoice No]),LOOKUP(2,1/((tbl_Finance[Job Number]=C260&amp;"")*(tbl_Finance[Xero Invoice No]&lt;&gt;"")),tbl_Finance[Xero Invoice No])&amp;" +more"),"")))</f>
        <v/>
      </c>
      <c r="C260" s="24" t="n"/>
      <c r="D260" s="25">
        <f>IF(C260="","",IF(COUNTIF(lst_Jobs,C260&amp;"")&gt;0,"OK","CHECK"))</f>
        <v/>
      </c>
      <c r="E260" s="25">
        <f>IF(C260="","",IFERROR(INDEX(lst_JobName,MATCH(C260&amp;"",lst_Jobs,0)),""))</f>
        <v/>
      </c>
      <c r="F260" s="25">
        <f>IF(C260="","",IFERROR(INDEX(tbl_Finance[Client],MATCH(C260&amp;"",tbl_Finance[Job Number],0)),""))</f>
        <v/>
      </c>
      <c r="G260" s="28">
        <f>IF(C260="","",COUNTIFS(tbl_Finance[Job Number],C260&amp;"",tbl_Finance[Ex GST],"&lt;&gt;"))</f>
        <v/>
      </c>
      <c r="H260" s="27">
        <f>IF(C260="","",SUMIFS(tbl_Finance[Ex GST],tbl_Finance[Job Number],C260&amp;""))</f>
        <v/>
      </c>
      <c r="I260" s="27">
        <f>IF(C260="","",SUMIFS(tbl_Finance[Ex GST],tbl_Finance[Job Number],C260&amp;"",tbl_Finance[Xero Invoice No],"&lt;&gt;"))</f>
        <v/>
      </c>
      <c r="J260" s="27">
        <f>IF(C260="","",H260-I260)</f>
        <v/>
      </c>
      <c r="K260" s="25">
        <f>IF(C260="","",IF(G260=0,"not invoiced yet",SUBSTITUTE(TRIM(IF(COUNTIFS(tbl_Finance[Job Number],C260&amp;"",tbl_Finance[Cost Centre],"ONSITE")&gt;0,"ONSITE ","")&amp;IF(COUNTIFS(tbl_Finance[Job Number],C260&amp;"",tbl_Finance[Cost Centre],"PRODUCTION")&gt;0,"PRODUCTION ","")&amp;IF(COUNTIFS(tbl_Finance[Job Number],C260&amp;"",tbl_Finance[Cost Centre],"VIDEO")&gt;0,"VIDEO ","")&amp;IF(COUNTIFS(tbl_Finance[Job Number],C260&amp;"",tbl_Finance[Cost Centre],"INTEGRATION")&gt;0,"INTEGRATION ","")&amp;IF(COUNTIFS(tbl_Finance[Job Number],C260&amp;"",tbl_Finance[Cost Centre],"CONSULTING")&gt;0,"CONSULTING ","")&amp;IF(COUNTIFS(tbl_Finance[Job Number],C260&amp;"",tbl_Finance[Cost Centre],"CTS")&gt;0,"CTS ",""))," ",", ")))</f>
        <v/>
      </c>
      <c r="L260" s="27">
        <f>IF(C260="","",SUMIFS(tbl_Finance[Inc GST],tbl_Finance[Job Number],C260&amp;""))</f>
        <v/>
      </c>
      <c r="M260" s="24" t="n"/>
      <c r="N260" s="25">
        <f>IF(C260="","",IFERROR(INDEX(tbl_Finance[Description],MATCH(C260&amp;"",tbl_Finance[Job Number],0)),""))</f>
        <v/>
      </c>
      <c r="O260" s="24" t="n"/>
      <c r="P260" s="24" t="n"/>
      <c r="Q260" s="22" t="n"/>
      <c r="R260" s="24" t="n"/>
      <c r="S260" s="25">
        <f>IF(R260="","",IF(AND(LEFT(R260,4)&lt;&gt;"http",set_RMSBase=""),"",HYPERLINK(IF(LEFT(R260,4)="http",R260,set_RMSBase&amp;R260),"Open opportunity")))</f>
        <v/>
      </c>
      <c r="T260" s="24" t="n"/>
      <c r="U260" s="25">
        <f>IF(T260="","",HYPERLINK(IF(LEFT(T260,4)="http",T260,set_QwilrBase&amp;T260),"Open quote"))</f>
        <v/>
      </c>
      <c r="V260" s="25">
        <f>IF(C260="","",C260)</f>
        <v/>
      </c>
      <c r="W260" s="24" t="n"/>
      <c r="X260" s="26" t="n"/>
      <c r="Y260" s="27">
        <f>IF(C260="","",H260+N(X260))</f>
        <v/>
      </c>
      <c r="Z260" s="29">
        <f>IFERROR(X260/Y260,"")</f>
        <v/>
      </c>
      <c r="AA260" s="26" t="n"/>
      <c r="AB260" s="26" t="n"/>
      <c r="AC260" s="26" t="n"/>
      <c r="AD260" s="26" t="n"/>
      <c r="AE260" s="27">
        <f>IF(C260="","",SUMIFS(tbl_Finance[Ex GST],tbl_Finance[Job Number],C260&amp;"",tbl_Finance[Cost Centre],"VIDEO"))</f>
        <v/>
      </c>
      <c r="AF260" s="29">
        <f>IFERROR(AE260/H260,"")</f>
        <v/>
      </c>
      <c r="AG260" s="27">
        <f>IF(C260="","",N(AA260)+N(AB260)+N(AC260)+N(AD260))</f>
        <v/>
      </c>
      <c r="AH260" s="27">
        <f>IF(C260="","",H260-AG260)</f>
        <v/>
      </c>
      <c r="AI260" s="29">
        <f>IFERROR(AH260/H260,"")</f>
        <v/>
      </c>
      <c r="AJ260" s="69" t="n"/>
      <c r="AK260" s="69" t="n"/>
      <c r="AL260" s="69" t="n"/>
      <c r="AM260" s="69" t="n"/>
      <c r="AN260" s="69" t="n"/>
      <c r="AO260" s="24" t="n"/>
    </row>
    <row r="261" ht="15" customHeight="1">
      <c r="A261" s="68">
        <f>IF(C261="","",IFERROR(IF(SUMPRODUCT(MAX((tbl_Finance[Job Number]=C261&amp;"")*(tbl_Finance[Xero Invoice No]&lt;&gt;"")*tbl_Finance[Date]))=0,"",SUMPRODUCT(MAX((tbl_Finance[Job Number]=C261&amp;"")*(tbl_Finance[Xero Invoice No]&lt;&gt;"")*tbl_Finance[Date]))),""))</f>
        <v/>
      </c>
      <c r="B261" s="25">
        <f>IF(C261="","",IF(COUNTIFS(tbl_Finance[Job Number],C261&amp;"",tbl_Finance[Xero Invoice No],"&lt;&gt;")=0,"",IFERROR(IF(COUNTIFS(tbl_Finance[Job Number],C261&amp;"",tbl_Finance[Xero Invoice No],LOOKUP(2,1/((tbl_Finance[Job Number]=C261&amp;"")*(tbl_Finance[Xero Invoice No]&lt;&gt;"")),tbl_Finance[Xero Invoice No]))=COUNTIFS(tbl_Finance[Job Number],C261&amp;"",tbl_Finance[Xero Invoice No],"&lt;&gt;"),LOOKUP(2,1/((tbl_Finance[Job Number]=C261&amp;"")*(tbl_Finance[Xero Invoice No]&lt;&gt;"")),tbl_Finance[Xero Invoice No]),LOOKUP(2,1/((tbl_Finance[Job Number]=C261&amp;"")*(tbl_Finance[Xero Invoice No]&lt;&gt;"")),tbl_Finance[Xero Invoice No])&amp;" +more"),"")))</f>
        <v/>
      </c>
      <c r="C261" s="24" t="n"/>
      <c r="D261" s="25">
        <f>IF(C261="","",IF(COUNTIF(lst_Jobs,C261&amp;"")&gt;0,"OK","CHECK"))</f>
        <v/>
      </c>
      <c r="E261" s="25">
        <f>IF(C261="","",IFERROR(INDEX(lst_JobName,MATCH(C261&amp;"",lst_Jobs,0)),""))</f>
        <v/>
      </c>
      <c r="F261" s="25">
        <f>IF(C261="","",IFERROR(INDEX(tbl_Finance[Client],MATCH(C261&amp;"",tbl_Finance[Job Number],0)),""))</f>
        <v/>
      </c>
      <c r="G261" s="28">
        <f>IF(C261="","",COUNTIFS(tbl_Finance[Job Number],C261&amp;"",tbl_Finance[Ex GST],"&lt;&gt;"))</f>
        <v/>
      </c>
      <c r="H261" s="27">
        <f>IF(C261="","",SUMIFS(tbl_Finance[Ex GST],tbl_Finance[Job Number],C261&amp;""))</f>
        <v/>
      </c>
      <c r="I261" s="27">
        <f>IF(C261="","",SUMIFS(tbl_Finance[Ex GST],tbl_Finance[Job Number],C261&amp;"",tbl_Finance[Xero Invoice No],"&lt;&gt;"))</f>
        <v/>
      </c>
      <c r="J261" s="27">
        <f>IF(C261="","",H261-I261)</f>
        <v/>
      </c>
      <c r="K261" s="25">
        <f>IF(C261="","",IF(G261=0,"not invoiced yet",SUBSTITUTE(TRIM(IF(COUNTIFS(tbl_Finance[Job Number],C261&amp;"",tbl_Finance[Cost Centre],"ONSITE")&gt;0,"ONSITE ","")&amp;IF(COUNTIFS(tbl_Finance[Job Number],C261&amp;"",tbl_Finance[Cost Centre],"PRODUCTION")&gt;0,"PRODUCTION ","")&amp;IF(COUNTIFS(tbl_Finance[Job Number],C261&amp;"",tbl_Finance[Cost Centre],"VIDEO")&gt;0,"VIDEO ","")&amp;IF(COUNTIFS(tbl_Finance[Job Number],C261&amp;"",tbl_Finance[Cost Centre],"INTEGRATION")&gt;0,"INTEGRATION ","")&amp;IF(COUNTIFS(tbl_Finance[Job Number],C261&amp;"",tbl_Finance[Cost Centre],"CONSULTING")&gt;0,"CONSULTING ","")&amp;IF(COUNTIFS(tbl_Finance[Job Number],C261&amp;"",tbl_Finance[Cost Centre],"CTS")&gt;0,"CTS ",""))," ",", ")))</f>
        <v/>
      </c>
      <c r="L261" s="27">
        <f>IF(C261="","",SUMIFS(tbl_Finance[Inc GST],tbl_Finance[Job Number],C261&amp;""))</f>
        <v/>
      </c>
      <c r="M261" s="24" t="n"/>
      <c r="N261" s="25">
        <f>IF(C261="","",IFERROR(INDEX(tbl_Finance[Description],MATCH(C261&amp;"",tbl_Finance[Job Number],0)),""))</f>
        <v/>
      </c>
      <c r="O261" s="24" t="n"/>
      <c r="P261" s="24" t="n"/>
      <c r="Q261" s="22" t="n"/>
      <c r="R261" s="24" t="n"/>
      <c r="S261" s="25">
        <f>IF(R261="","",IF(AND(LEFT(R261,4)&lt;&gt;"http",set_RMSBase=""),"",HYPERLINK(IF(LEFT(R261,4)="http",R261,set_RMSBase&amp;R261),"Open opportunity")))</f>
        <v/>
      </c>
      <c r="T261" s="24" t="n"/>
      <c r="U261" s="25">
        <f>IF(T261="","",HYPERLINK(IF(LEFT(T261,4)="http",T261,set_QwilrBase&amp;T261),"Open quote"))</f>
        <v/>
      </c>
      <c r="V261" s="25">
        <f>IF(C261="","",C261)</f>
        <v/>
      </c>
      <c r="W261" s="24" t="n"/>
      <c r="X261" s="26" t="n"/>
      <c r="Y261" s="27">
        <f>IF(C261="","",H261+N(X261))</f>
        <v/>
      </c>
      <c r="Z261" s="29">
        <f>IFERROR(X261/Y261,"")</f>
        <v/>
      </c>
      <c r="AA261" s="26" t="n"/>
      <c r="AB261" s="26" t="n"/>
      <c r="AC261" s="26" t="n"/>
      <c r="AD261" s="26" t="n"/>
      <c r="AE261" s="27">
        <f>IF(C261="","",SUMIFS(tbl_Finance[Ex GST],tbl_Finance[Job Number],C261&amp;"",tbl_Finance[Cost Centre],"VIDEO"))</f>
        <v/>
      </c>
      <c r="AF261" s="29">
        <f>IFERROR(AE261/H261,"")</f>
        <v/>
      </c>
      <c r="AG261" s="27">
        <f>IF(C261="","",N(AA261)+N(AB261)+N(AC261)+N(AD261))</f>
        <v/>
      </c>
      <c r="AH261" s="27">
        <f>IF(C261="","",H261-AG261)</f>
        <v/>
      </c>
      <c r="AI261" s="29">
        <f>IFERROR(AH261/H261,"")</f>
        <v/>
      </c>
      <c r="AJ261" s="69" t="n"/>
      <c r="AK261" s="69" t="n"/>
      <c r="AL261" s="69" t="n"/>
      <c r="AM261" s="69" t="n"/>
      <c r="AN261" s="69" t="n"/>
      <c r="AO261" s="24" t="n"/>
    </row>
    <row r="262" ht="15" customHeight="1">
      <c r="A262" s="68">
        <f>IF(C262="","",IFERROR(IF(SUMPRODUCT(MAX((tbl_Finance[Job Number]=C262&amp;"")*(tbl_Finance[Xero Invoice No]&lt;&gt;"")*tbl_Finance[Date]))=0,"",SUMPRODUCT(MAX((tbl_Finance[Job Number]=C262&amp;"")*(tbl_Finance[Xero Invoice No]&lt;&gt;"")*tbl_Finance[Date]))),""))</f>
        <v/>
      </c>
      <c r="B262" s="25">
        <f>IF(C262="","",IF(COUNTIFS(tbl_Finance[Job Number],C262&amp;"",tbl_Finance[Xero Invoice No],"&lt;&gt;")=0,"",IFERROR(IF(COUNTIFS(tbl_Finance[Job Number],C262&amp;"",tbl_Finance[Xero Invoice No],LOOKUP(2,1/((tbl_Finance[Job Number]=C262&amp;"")*(tbl_Finance[Xero Invoice No]&lt;&gt;"")),tbl_Finance[Xero Invoice No]))=COUNTIFS(tbl_Finance[Job Number],C262&amp;"",tbl_Finance[Xero Invoice No],"&lt;&gt;"),LOOKUP(2,1/((tbl_Finance[Job Number]=C262&amp;"")*(tbl_Finance[Xero Invoice No]&lt;&gt;"")),tbl_Finance[Xero Invoice No]),LOOKUP(2,1/((tbl_Finance[Job Number]=C262&amp;"")*(tbl_Finance[Xero Invoice No]&lt;&gt;"")),tbl_Finance[Xero Invoice No])&amp;" +more"),"")))</f>
        <v/>
      </c>
      <c r="C262" s="24" t="n"/>
      <c r="D262" s="25">
        <f>IF(C262="","",IF(COUNTIF(lst_Jobs,C262&amp;"")&gt;0,"OK","CHECK"))</f>
        <v/>
      </c>
      <c r="E262" s="25">
        <f>IF(C262="","",IFERROR(INDEX(lst_JobName,MATCH(C262&amp;"",lst_Jobs,0)),""))</f>
        <v/>
      </c>
      <c r="F262" s="25">
        <f>IF(C262="","",IFERROR(INDEX(tbl_Finance[Client],MATCH(C262&amp;"",tbl_Finance[Job Number],0)),""))</f>
        <v/>
      </c>
      <c r="G262" s="28">
        <f>IF(C262="","",COUNTIFS(tbl_Finance[Job Number],C262&amp;"",tbl_Finance[Ex GST],"&lt;&gt;"))</f>
        <v/>
      </c>
      <c r="H262" s="27">
        <f>IF(C262="","",SUMIFS(tbl_Finance[Ex GST],tbl_Finance[Job Number],C262&amp;""))</f>
        <v/>
      </c>
      <c r="I262" s="27">
        <f>IF(C262="","",SUMIFS(tbl_Finance[Ex GST],tbl_Finance[Job Number],C262&amp;"",tbl_Finance[Xero Invoice No],"&lt;&gt;"))</f>
        <v/>
      </c>
      <c r="J262" s="27">
        <f>IF(C262="","",H262-I262)</f>
        <v/>
      </c>
      <c r="K262" s="25">
        <f>IF(C262="","",IF(G262=0,"not invoiced yet",SUBSTITUTE(TRIM(IF(COUNTIFS(tbl_Finance[Job Number],C262&amp;"",tbl_Finance[Cost Centre],"ONSITE")&gt;0,"ONSITE ","")&amp;IF(COUNTIFS(tbl_Finance[Job Number],C262&amp;"",tbl_Finance[Cost Centre],"PRODUCTION")&gt;0,"PRODUCTION ","")&amp;IF(COUNTIFS(tbl_Finance[Job Number],C262&amp;"",tbl_Finance[Cost Centre],"VIDEO")&gt;0,"VIDEO ","")&amp;IF(COUNTIFS(tbl_Finance[Job Number],C262&amp;"",tbl_Finance[Cost Centre],"INTEGRATION")&gt;0,"INTEGRATION ","")&amp;IF(COUNTIFS(tbl_Finance[Job Number],C262&amp;"",tbl_Finance[Cost Centre],"CONSULTING")&gt;0,"CONSULTING ","")&amp;IF(COUNTIFS(tbl_Finance[Job Number],C262&amp;"",tbl_Finance[Cost Centre],"CTS")&gt;0,"CTS ",""))," ",", ")))</f>
        <v/>
      </c>
      <c r="L262" s="27">
        <f>IF(C262="","",SUMIFS(tbl_Finance[Inc GST],tbl_Finance[Job Number],C262&amp;""))</f>
        <v/>
      </c>
      <c r="M262" s="24" t="n"/>
      <c r="N262" s="25">
        <f>IF(C262="","",IFERROR(INDEX(tbl_Finance[Description],MATCH(C262&amp;"",tbl_Finance[Job Number],0)),""))</f>
        <v/>
      </c>
      <c r="O262" s="24" t="n"/>
      <c r="P262" s="24" t="n"/>
      <c r="Q262" s="22" t="n"/>
      <c r="R262" s="24" t="n"/>
      <c r="S262" s="25">
        <f>IF(R262="","",IF(AND(LEFT(R262,4)&lt;&gt;"http",set_RMSBase=""),"",HYPERLINK(IF(LEFT(R262,4)="http",R262,set_RMSBase&amp;R262),"Open opportunity")))</f>
        <v/>
      </c>
      <c r="T262" s="24" t="n"/>
      <c r="U262" s="25">
        <f>IF(T262="","",HYPERLINK(IF(LEFT(T262,4)="http",T262,set_QwilrBase&amp;T262),"Open quote"))</f>
        <v/>
      </c>
      <c r="V262" s="25">
        <f>IF(C262="","",C262)</f>
        <v/>
      </c>
      <c r="W262" s="24" t="n"/>
      <c r="X262" s="26" t="n"/>
      <c r="Y262" s="27">
        <f>IF(C262="","",H262+N(X262))</f>
        <v/>
      </c>
      <c r="Z262" s="29">
        <f>IFERROR(X262/Y262,"")</f>
        <v/>
      </c>
      <c r="AA262" s="26" t="n"/>
      <c r="AB262" s="26" t="n"/>
      <c r="AC262" s="26" t="n"/>
      <c r="AD262" s="26" t="n"/>
      <c r="AE262" s="27">
        <f>IF(C262="","",SUMIFS(tbl_Finance[Ex GST],tbl_Finance[Job Number],C262&amp;"",tbl_Finance[Cost Centre],"VIDEO"))</f>
        <v/>
      </c>
      <c r="AF262" s="29">
        <f>IFERROR(AE262/H262,"")</f>
        <v/>
      </c>
      <c r="AG262" s="27">
        <f>IF(C262="","",N(AA262)+N(AB262)+N(AC262)+N(AD262))</f>
        <v/>
      </c>
      <c r="AH262" s="27">
        <f>IF(C262="","",H262-AG262)</f>
        <v/>
      </c>
      <c r="AI262" s="29">
        <f>IFERROR(AH262/H262,"")</f>
        <v/>
      </c>
      <c r="AJ262" s="69" t="n"/>
      <c r="AK262" s="69" t="n"/>
      <c r="AL262" s="69" t="n"/>
      <c r="AM262" s="69" t="n"/>
      <c r="AN262" s="69" t="n"/>
      <c r="AO262" s="24" t="n"/>
    </row>
    <row r="263" ht="15" customHeight="1">
      <c r="A263" s="68">
        <f>IF(C263="","",IFERROR(IF(SUMPRODUCT(MAX((tbl_Finance[Job Number]=C263&amp;"")*(tbl_Finance[Xero Invoice No]&lt;&gt;"")*tbl_Finance[Date]))=0,"",SUMPRODUCT(MAX((tbl_Finance[Job Number]=C263&amp;"")*(tbl_Finance[Xero Invoice No]&lt;&gt;"")*tbl_Finance[Date]))),""))</f>
        <v/>
      </c>
      <c r="B263" s="25">
        <f>IF(C263="","",IF(COUNTIFS(tbl_Finance[Job Number],C263&amp;"",tbl_Finance[Xero Invoice No],"&lt;&gt;")=0,"",IFERROR(IF(COUNTIFS(tbl_Finance[Job Number],C263&amp;"",tbl_Finance[Xero Invoice No],LOOKUP(2,1/((tbl_Finance[Job Number]=C263&amp;"")*(tbl_Finance[Xero Invoice No]&lt;&gt;"")),tbl_Finance[Xero Invoice No]))=COUNTIFS(tbl_Finance[Job Number],C263&amp;"",tbl_Finance[Xero Invoice No],"&lt;&gt;"),LOOKUP(2,1/((tbl_Finance[Job Number]=C263&amp;"")*(tbl_Finance[Xero Invoice No]&lt;&gt;"")),tbl_Finance[Xero Invoice No]),LOOKUP(2,1/((tbl_Finance[Job Number]=C263&amp;"")*(tbl_Finance[Xero Invoice No]&lt;&gt;"")),tbl_Finance[Xero Invoice No])&amp;" +more"),"")))</f>
        <v/>
      </c>
      <c r="C263" s="24" t="n"/>
      <c r="D263" s="25">
        <f>IF(C263="","",IF(COUNTIF(lst_Jobs,C263&amp;"")&gt;0,"OK","CHECK"))</f>
        <v/>
      </c>
      <c r="E263" s="25">
        <f>IF(C263="","",IFERROR(INDEX(lst_JobName,MATCH(C263&amp;"",lst_Jobs,0)),""))</f>
        <v/>
      </c>
      <c r="F263" s="25">
        <f>IF(C263="","",IFERROR(INDEX(tbl_Finance[Client],MATCH(C263&amp;"",tbl_Finance[Job Number],0)),""))</f>
        <v/>
      </c>
      <c r="G263" s="28">
        <f>IF(C263="","",COUNTIFS(tbl_Finance[Job Number],C263&amp;"",tbl_Finance[Ex GST],"&lt;&gt;"))</f>
        <v/>
      </c>
      <c r="H263" s="27">
        <f>IF(C263="","",SUMIFS(tbl_Finance[Ex GST],tbl_Finance[Job Number],C263&amp;""))</f>
        <v/>
      </c>
      <c r="I263" s="27">
        <f>IF(C263="","",SUMIFS(tbl_Finance[Ex GST],tbl_Finance[Job Number],C263&amp;"",tbl_Finance[Xero Invoice No],"&lt;&gt;"))</f>
        <v/>
      </c>
      <c r="J263" s="27">
        <f>IF(C263="","",H263-I263)</f>
        <v/>
      </c>
      <c r="K263" s="25">
        <f>IF(C263="","",IF(G263=0,"not invoiced yet",SUBSTITUTE(TRIM(IF(COUNTIFS(tbl_Finance[Job Number],C263&amp;"",tbl_Finance[Cost Centre],"ONSITE")&gt;0,"ONSITE ","")&amp;IF(COUNTIFS(tbl_Finance[Job Number],C263&amp;"",tbl_Finance[Cost Centre],"PRODUCTION")&gt;0,"PRODUCTION ","")&amp;IF(COUNTIFS(tbl_Finance[Job Number],C263&amp;"",tbl_Finance[Cost Centre],"VIDEO")&gt;0,"VIDEO ","")&amp;IF(COUNTIFS(tbl_Finance[Job Number],C263&amp;"",tbl_Finance[Cost Centre],"INTEGRATION")&gt;0,"INTEGRATION ","")&amp;IF(COUNTIFS(tbl_Finance[Job Number],C263&amp;"",tbl_Finance[Cost Centre],"CONSULTING")&gt;0,"CONSULTING ","")&amp;IF(COUNTIFS(tbl_Finance[Job Number],C263&amp;"",tbl_Finance[Cost Centre],"CTS")&gt;0,"CTS ",""))," ",", ")))</f>
        <v/>
      </c>
      <c r="L263" s="27">
        <f>IF(C263="","",SUMIFS(tbl_Finance[Inc GST],tbl_Finance[Job Number],C263&amp;""))</f>
        <v/>
      </c>
      <c r="M263" s="24" t="n"/>
      <c r="N263" s="25">
        <f>IF(C263="","",IFERROR(INDEX(tbl_Finance[Description],MATCH(C263&amp;"",tbl_Finance[Job Number],0)),""))</f>
        <v/>
      </c>
      <c r="O263" s="24" t="n"/>
      <c r="P263" s="24" t="n"/>
      <c r="Q263" s="22" t="n"/>
      <c r="R263" s="24" t="n"/>
      <c r="S263" s="25">
        <f>IF(R263="","",IF(AND(LEFT(R263,4)&lt;&gt;"http",set_RMSBase=""),"",HYPERLINK(IF(LEFT(R263,4)="http",R263,set_RMSBase&amp;R263),"Open opportunity")))</f>
        <v/>
      </c>
      <c r="T263" s="24" t="n"/>
      <c r="U263" s="25">
        <f>IF(T263="","",HYPERLINK(IF(LEFT(T263,4)="http",T263,set_QwilrBase&amp;T263),"Open quote"))</f>
        <v/>
      </c>
      <c r="V263" s="25">
        <f>IF(C263="","",C263)</f>
        <v/>
      </c>
      <c r="W263" s="24" t="n"/>
      <c r="X263" s="26" t="n"/>
      <c r="Y263" s="27">
        <f>IF(C263="","",H263+N(X263))</f>
        <v/>
      </c>
      <c r="Z263" s="29">
        <f>IFERROR(X263/Y263,"")</f>
        <v/>
      </c>
      <c r="AA263" s="26" t="n"/>
      <c r="AB263" s="26" t="n"/>
      <c r="AC263" s="26" t="n"/>
      <c r="AD263" s="26" t="n"/>
      <c r="AE263" s="27">
        <f>IF(C263="","",SUMIFS(tbl_Finance[Ex GST],tbl_Finance[Job Number],C263&amp;"",tbl_Finance[Cost Centre],"VIDEO"))</f>
        <v/>
      </c>
      <c r="AF263" s="29">
        <f>IFERROR(AE263/H263,"")</f>
        <v/>
      </c>
      <c r="AG263" s="27">
        <f>IF(C263="","",N(AA263)+N(AB263)+N(AC263)+N(AD263))</f>
        <v/>
      </c>
      <c r="AH263" s="27">
        <f>IF(C263="","",H263-AG263)</f>
        <v/>
      </c>
      <c r="AI263" s="29">
        <f>IFERROR(AH263/H263,"")</f>
        <v/>
      </c>
      <c r="AJ263" s="69" t="n"/>
      <c r="AK263" s="69" t="n"/>
      <c r="AL263" s="69" t="n"/>
      <c r="AM263" s="69" t="n"/>
      <c r="AN263" s="69" t="n"/>
      <c r="AO263" s="24" t="n"/>
    </row>
    <row r="264" ht="15" customHeight="1">
      <c r="A264" s="68">
        <f>IF(C264="","",IFERROR(IF(SUMPRODUCT(MAX((tbl_Finance[Job Number]=C264&amp;"")*(tbl_Finance[Xero Invoice No]&lt;&gt;"")*tbl_Finance[Date]))=0,"",SUMPRODUCT(MAX((tbl_Finance[Job Number]=C264&amp;"")*(tbl_Finance[Xero Invoice No]&lt;&gt;"")*tbl_Finance[Date]))),""))</f>
        <v/>
      </c>
      <c r="B264" s="25">
        <f>IF(C264="","",IF(COUNTIFS(tbl_Finance[Job Number],C264&amp;"",tbl_Finance[Xero Invoice No],"&lt;&gt;")=0,"",IFERROR(IF(COUNTIFS(tbl_Finance[Job Number],C264&amp;"",tbl_Finance[Xero Invoice No],LOOKUP(2,1/((tbl_Finance[Job Number]=C264&amp;"")*(tbl_Finance[Xero Invoice No]&lt;&gt;"")),tbl_Finance[Xero Invoice No]))=COUNTIFS(tbl_Finance[Job Number],C264&amp;"",tbl_Finance[Xero Invoice No],"&lt;&gt;"),LOOKUP(2,1/((tbl_Finance[Job Number]=C264&amp;"")*(tbl_Finance[Xero Invoice No]&lt;&gt;"")),tbl_Finance[Xero Invoice No]),LOOKUP(2,1/((tbl_Finance[Job Number]=C264&amp;"")*(tbl_Finance[Xero Invoice No]&lt;&gt;"")),tbl_Finance[Xero Invoice No])&amp;" +more"),"")))</f>
        <v/>
      </c>
      <c r="C264" s="24" t="n"/>
      <c r="D264" s="25">
        <f>IF(C264="","",IF(COUNTIF(lst_Jobs,C264&amp;"")&gt;0,"OK","CHECK"))</f>
        <v/>
      </c>
      <c r="E264" s="25">
        <f>IF(C264="","",IFERROR(INDEX(lst_JobName,MATCH(C264&amp;"",lst_Jobs,0)),""))</f>
        <v/>
      </c>
      <c r="F264" s="25">
        <f>IF(C264="","",IFERROR(INDEX(tbl_Finance[Client],MATCH(C264&amp;"",tbl_Finance[Job Number],0)),""))</f>
        <v/>
      </c>
      <c r="G264" s="28">
        <f>IF(C264="","",COUNTIFS(tbl_Finance[Job Number],C264&amp;"",tbl_Finance[Ex GST],"&lt;&gt;"))</f>
        <v/>
      </c>
      <c r="H264" s="27">
        <f>IF(C264="","",SUMIFS(tbl_Finance[Ex GST],tbl_Finance[Job Number],C264&amp;""))</f>
        <v/>
      </c>
      <c r="I264" s="27">
        <f>IF(C264="","",SUMIFS(tbl_Finance[Ex GST],tbl_Finance[Job Number],C264&amp;"",tbl_Finance[Xero Invoice No],"&lt;&gt;"))</f>
        <v/>
      </c>
      <c r="J264" s="27">
        <f>IF(C264="","",H264-I264)</f>
        <v/>
      </c>
      <c r="K264" s="25">
        <f>IF(C264="","",IF(G264=0,"not invoiced yet",SUBSTITUTE(TRIM(IF(COUNTIFS(tbl_Finance[Job Number],C264&amp;"",tbl_Finance[Cost Centre],"ONSITE")&gt;0,"ONSITE ","")&amp;IF(COUNTIFS(tbl_Finance[Job Number],C264&amp;"",tbl_Finance[Cost Centre],"PRODUCTION")&gt;0,"PRODUCTION ","")&amp;IF(COUNTIFS(tbl_Finance[Job Number],C264&amp;"",tbl_Finance[Cost Centre],"VIDEO")&gt;0,"VIDEO ","")&amp;IF(COUNTIFS(tbl_Finance[Job Number],C264&amp;"",tbl_Finance[Cost Centre],"INTEGRATION")&gt;0,"INTEGRATION ","")&amp;IF(COUNTIFS(tbl_Finance[Job Number],C264&amp;"",tbl_Finance[Cost Centre],"CONSULTING")&gt;0,"CONSULTING ","")&amp;IF(COUNTIFS(tbl_Finance[Job Number],C264&amp;"",tbl_Finance[Cost Centre],"CTS")&gt;0,"CTS ",""))," ",", ")))</f>
        <v/>
      </c>
      <c r="L264" s="27">
        <f>IF(C264="","",SUMIFS(tbl_Finance[Inc GST],tbl_Finance[Job Number],C264&amp;""))</f>
        <v/>
      </c>
      <c r="M264" s="24" t="n"/>
      <c r="N264" s="25">
        <f>IF(C264="","",IFERROR(INDEX(tbl_Finance[Description],MATCH(C264&amp;"",tbl_Finance[Job Number],0)),""))</f>
        <v/>
      </c>
      <c r="O264" s="24" t="n"/>
      <c r="P264" s="24" t="n"/>
      <c r="Q264" s="22" t="n"/>
      <c r="R264" s="24" t="n"/>
      <c r="S264" s="25">
        <f>IF(R264="","",IF(AND(LEFT(R264,4)&lt;&gt;"http",set_RMSBase=""),"",HYPERLINK(IF(LEFT(R264,4)="http",R264,set_RMSBase&amp;R264),"Open opportunity")))</f>
        <v/>
      </c>
      <c r="T264" s="24" t="n"/>
      <c r="U264" s="25">
        <f>IF(T264="","",HYPERLINK(IF(LEFT(T264,4)="http",T264,set_QwilrBase&amp;T264),"Open quote"))</f>
        <v/>
      </c>
      <c r="V264" s="25">
        <f>IF(C264="","",C264)</f>
        <v/>
      </c>
      <c r="W264" s="24" t="n"/>
      <c r="X264" s="26" t="n"/>
      <c r="Y264" s="27">
        <f>IF(C264="","",H264+N(X264))</f>
        <v/>
      </c>
      <c r="Z264" s="29">
        <f>IFERROR(X264/Y264,"")</f>
        <v/>
      </c>
      <c r="AA264" s="26" t="n"/>
      <c r="AB264" s="26" t="n"/>
      <c r="AC264" s="26" t="n"/>
      <c r="AD264" s="26" t="n"/>
      <c r="AE264" s="27">
        <f>IF(C264="","",SUMIFS(tbl_Finance[Ex GST],tbl_Finance[Job Number],C264&amp;"",tbl_Finance[Cost Centre],"VIDEO"))</f>
        <v/>
      </c>
      <c r="AF264" s="29">
        <f>IFERROR(AE264/H264,"")</f>
        <v/>
      </c>
      <c r="AG264" s="27">
        <f>IF(C264="","",N(AA264)+N(AB264)+N(AC264)+N(AD264))</f>
        <v/>
      </c>
      <c r="AH264" s="27">
        <f>IF(C264="","",H264-AG264)</f>
        <v/>
      </c>
      <c r="AI264" s="29">
        <f>IFERROR(AH264/H264,"")</f>
        <v/>
      </c>
      <c r="AJ264" s="69" t="n"/>
      <c r="AK264" s="69" t="n"/>
      <c r="AL264" s="69" t="n"/>
      <c r="AM264" s="69" t="n"/>
      <c r="AN264" s="69" t="n"/>
      <c r="AO264" s="24" t="n"/>
    </row>
    <row r="265" ht="15" customHeight="1">
      <c r="A265" s="68">
        <f>IF(C265="","",IFERROR(IF(SUMPRODUCT(MAX((tbl_Finance[Job Number]=C265&amp;"")*(tbl_Finance[Xero Invoice No]&lt;&gt;"")*tbl_Finance[Date]))=0,"",SUMPRODUCT(MAX((tbl_Finance[Job Number]=C265&amp;"")*(tbl_Finance[Xero Invoice No]&lt;&gt;"")*tbl_Finance[Date]))),""))</f>
        <v/>
      </c>
      <c r="B265" s="25">
        <f>IF(C265="","",IF(COUNTIFS(tbl_Finance[Job Number],C265&amp;"",tbl_Finance[Xero Invoice No],"&lt;&gt;")=0,"",IFERROR(IF(COUNTIFS(tbl_Finance[Job Number],C265&amp;"",tbl_Finance[Xero Invoice No],LOOKUP(2,1/((tbl_Finance[Job Number]=C265&amp;"")*(tbl_Finance[Xero Invoice No]&lt;&gt;"")),tbl_Finance[Xero Invoice No]))=COUNTIFS(tbl_Finance[Job Number],C265&amp;"",tbl_Finance[Xero Invoice No],"&lt;&gt;"),LOOKUP(2,1/((tbl_Finance[Job Number]=C265&amp;"")*(tbl_Finance[Xero Invoice No]&lt;&gt;"")),tbl_Finance[Xero Invoice No]),LOOKUP(2,1/((tbl_Finance[Job Number]=C265&amp;"")*(tbl_Finance[Xero Invoice No]&lt;&gt;"")),tbl_Finance[Xero Invoice No])&amp;" +more"),"")))</f>
        <v/>
      </c>
      <c r="C265" s="24" t="n"/>
      <c r="D265" s="25">
        <f>IF(C265="","",IF(COUNTIF(lst_Jobs,C265&amp;"")&gt;0,"OK","CHECK"))</f>
        <v/>
      </c>
      <c r="E265" s="25">
        <f>IF(C265="","",IFERROR(INDEX(lst_JobName,MATCH(C265&amp;"",lst_Jobs,0)),""))</f>
        <v/>
      </c>
      <c r="F265" s="25">
        <f>IF(C265="","",IFERROR(INDEX(tbl_Finance[Client],MATCH(C265&amp;"",tbl_Finance[Job Number],0)),""))</f>
        <v/>
      </c>
      <c r="G265" s="28">
        <f>IF(C265="","",COUNTIFS(tbl_Finance[Job Number],C265&amp;"",tbl_Finance[Ex GST],"&lt;&gt;"))</f>
        <v/>
      </c>
      <c r="H265" s="27">
        <f>IF(C265="","",SUMIFS(tbl_Finance[Ex GST],tbl_Finance[Job Number],C265&amp;""))</f>
        <v/>
      </c>
      <c r="I265" s="27">
        <f>IF(C265="","",SUMIFS(tbl_Finance[Ex GST],tbl_Finance[Job Number],C265&amp;"",tbl_Finance[Xero Invoice No],"&lt;&gt;"))</f>
        <v/>
      </c>
      <c r="J265" s="27">
        <f>IF(C265="","",H265-I265)</f>
        <v/>
      </c>
      <c r="K265" s="25">
        <f>IF(C265="","",IF(G265=0,"not invoiced yet",SUBSTITUTE(TRIM(IF(COUNTIFS(tbl_Finance[Job Number],C265&amp;"",tbl_Finance[Cost Centre],"ONSITE")&gt;0,"ONSITE ","")&amp;IF(COUNTIFS(tbl_Finance[Job Number],C265&amp;"",tbl_Finance[Cost Centre],"PRODUCTION")&gt;0,"PRODUCTION ","")&amp;IF(COUNTIFS(tbl_Finance[Job Number],C265&amp;"",tbl_Finance[Cost Centre],"VIDEO")&gt;0,"VIDEO ","")&amp;IF(COUNTIFS(tbl_Finance[Job Number],C265&amp;"",tbl_Finance[Cost Centre],"INTEGRATION")&gt;0,"INTEGRATION ","")&amp;IF(COUNTIFS(tbl_Finance[Job Number],C265&amp;"",tbl_Finance[Cost Centre],"CONSULTING")&gt;0,"CONSULTING ","")&amp;IF(COUNTIFS(tbl_Finance[Job Number],C265&amp;"",tbl_Finance[Cost Centre],"CTS")&gt;0,"CTS ",""))," ",", ")))</f>
        <v/>
      </c>
      <c r="L265" s="27">
        <f>IF(C265="","",SUMIFS(tbl_Finance[Inc GST],tbl_Finance[Job Number],C265&amp;""))</f>
        <v/>
      </c>
      <c r="M265" s="24" t="n"/>
      <c r="N265" s="25">
        <f>IF(C265="","",IFERROR(INDEX(tbl_Finance[Description],MATCH(C265&amp;"",tbl_Finance[Job Number],0)),""))</f>
        <v/>
      </c>
      <c r="O265" s="24" t="n"/>
      <c r="P265" s="24" t="n"/>
      <c r="Q265" s="22" t="n"/>
      <c r="R265" s="24" t="n"/>
      <c r="S265" s="25">
        <f>IF(R265="","",IF(AND(LEFT(R265,4)&lt;&gt;"http",set_RMSBase=""),"",HYPERLINK(IF(LEFT(R265,4)="http",R265,set_RMSBase&amp;R265),"Open opportunity")))</f>
        <v/>
      </c>
      <c r="T265" s="24" t="n"/>
      <c r="U265" s="25">
        <f>IF(T265="","",HYPERLINK(IF(LEFT(T265,4)="http",T265,set_QwilrBase&amp;T265),"Open quote"))</f>
        <v/>
      </c>
      <c r="V265" s="25">
        <f>IF(C265="","",C265)</f>
        <v/>
      </c>
      <c r="W265" s="24" t="n"/>
      <c r="X265" s="26" t="n"/>
      <c r="Y265" s="27">
        <f>IF(C265="","",H265+N(X265))</f>
        <v/>
      </c>
      <c r="Z265" s="29">
        <f>IFERROR(X265/Y265,"")</f>
        <v/>
      </c>
      <c r="AA265" s="26" t="n"/>
      <c r="AB265" s="26" t="n"/>
      <c r="AC265" s="26" t="n"/>
      <c r="AD265" s="26" t="n"/>
      <c r="AE265" s="27">
        <f>IF(C265="","",SUMIFS(tbl_Finance[Ex GST],tbl_Finance[Job Number],C265&amp;"",tbl_Finance[Cost Centre],"VIDEO"))</f>
        <v/>
      </c>
      <c r="AF265" s="29">
        <f>IFERROR(AE265/H265,"")</f>
        <v/>
      </c>
      <c r="AG265" s="27">
        <f>IF(C265="","",N(AA265)+N(AB265)+N(AC265)+N(AD265))</f>
        <v/>
      </c>
      <c r="AH265" s="27">
        <f>IF(C265="","",H265-AG265)</f>
        <v/>
      </c>
      <c r="AI265" s="29">
        <f>IFERROR(AH265/H265,"")</f>
        <v/>
      </c>
      <c r="AJ265" s="69" t="n"/>
      <c r="AK265" s="69" t="n"/>
      <c r="AL265" s="69" t="n"/>
      <c r="AM265" s="69" t="n"/>
      <c r="AN265" s="69" t="n"/>
      <c r="AO265" s="24" t="n"/>
    </row>
    <row r="266" ht="15" customHeight="1">
      <c r="A266" s="68">
        <f>IF(C266="","",IFERROR(IF(SUMPRODUCT(MAX((tbl_Finance[Job Number]=C266&amp;"")*(tbl_Finance[Xero Invoice No]&lt;&gt;"")*tbl_Finance[Date]))=0,"",SUMPRODUCT(MAX((tbl_Finance[Job Number]=C266&amp;"")*(tbl_Finance[Xero Invoice No]&lt;&gt;"")*tbl_Finance[Date]))),""))</f>
        <v/>
      </c>
      <c r="B266" s="25">
        <f>IF(C266="","",IF(COUNTIFS(tbl_Finance[Job Number],C266&amp;"",tbl_Finance[Xero Invoice No],"&lt;&gt;")=0,"",IFERROR(IF(COUNTIFS(tbl_Finance[Job Number],C266&amp;"",tbl_Finance[Xero Invoice No],LOOKUP(2,1/((tbl_Finance[Job Number]=C266&amp;"")*(tbl_Finance[Xero Invoice No]&lt;&gt;"")),tbl_Finance[Xero Invoice No]))=COUNTIFS(tbl_Finance[Job Number],C266&amp;"",tbl_Finance[Xero Invoice No],"&lt;&gt;"),LOOKUP(2,1/((tbl_Finance[Job Number]=C266&amp;"")*(tbl_Finance[Xero Invoice No]&lt;&gt;"")),tbl_Finance[Xero Invoice No]),LOOKUP(2,1/((tbl_Finance[Job Number]=C266&amp;"")*(tbl_Finance[Xero Invoice No]&lt;&gt;"")),tbl_Finance[Xero Invoice No])&amp;" +more"),"")))</f>
        <v/>
      </c>
      <c r="C266" s="24" t="n"/>
      <c r="D266" s="25">
        <f>IF(C266="","",IF(COUNTIF(lst_Jobs,C266&amp;"")&gt;0,"OK","CHECK"))</f>
        <v/>
      </c>
      <c r="E266" s="25">
        <f>IF(C266="","",IFERROR(INDEX(lst_JobName,MATCH(C266&amp;"",lst_Jobs,0)),""))</f>
        <v/>
      </c>
      <c r="F266" s="25">
        <f>IF(C266="","",IFERROR(INDEX(tbl_Finance[Client],MATCH(C266&amp;"",tbl_Finance[Job Number],0)),""))</f>
        <v/>
      </c>
      <c r="G266" s="28">
        <f>IF(C266="","",COUNTIFS(tbl_Finance[Job Number],C266&amp;"",tbl_Finance[Ex GST],"&lt;&gt;"))</f>
        <v/>
      </c>
      <c r="H266" s="27">
        <f>IF(C266="","",SUMIFS(tbl_Finance[Ex GST],tbl_Finance[Job Number],C266&amp;""))</f>
        <v/>
      </c>
      <c r="I266" s="27">
        <f>IF(C266="","",SUMIFS(tbl_Finance[Ex GST],tbl_Finance[Job Number],C266&amp;"",tbl_Finance[Xero Invoice No],"&lt;&gt;"))</f>
        <v/>
      </c>
      <c r="J266" s="27">
        <f>IF(C266="","",H266-I266)</f>
        <v/>
      </c>
      <c r="K266" s="25">
        <f>IF(C266="","",IF(G266=0,"not invoiced yet",SUBSTITUTE(TRIM(IF(COUNTIFS(tbl_Finance[Job Number],C266&amp;"",tbl_Finance[Cost Centre],"ONSITE")&gt;0,"ONSITE ","")&amp;IF(COUNTIFS(tbl_Finance[Job Number],C266&amp;"",tbl_Finance[Cost Centre],"PRODUCTION")&gt;0,"PRODUCTION ","")&amp;IF(COUNTIFS(tbl_Finance[Job Number],C266&amp;"",tbl_Finance[Cost Centre],"VIDEO")&gt;0,"VIDEO ","")&amp;IF(COUNTIFS(tbl_Finance[Job Number],C266&amp;"",tbl_Finance[Cost Centre],"INTEGRATION")&gt;0,"INTEGRATION ","")&amp;IF(COUNTIFS(tbl_Finance[Job Number],C266&amp;"",tbl_Finance[Cost Centre],"CONSULTING")&gt;0,"CONSULTING ","")&amp;IF(COUNTIFS(tbl_Finance[Job Number],C266&amp;"",tbl_Finance[Cost Centre],"CTS")&gt;0,"CTS ",""))," ",", ")))</f>
        <v/>
      </c>
      <c r="L266" s="27">
        <f>IF(C266="","",SUMIFS(tbl_Finance[Inc GST],tbl_Finance[Job Number],C266&amp;""))</f>
        <v/>
      </c>
      <c r="M266" s="24" t="n"/>
      <c r="N266" s="25">
        <f>IF(C266="","",IFERROR(INDEX(tbl_Finance[Description],MATCH(C266&amp;"",tbl_Finance[Job Number],0)),""))</f>
        <v/>
      </c>
      <c r="O266" s="24" t="n"/>
      <c r="P266" s="24" t="n"/>
      <c r="Q266" s="22" t="n"/>
      <c r="R266" s="24" t="n"/>
      <c r="S266" s="25">
        <f>IF(R266="","",IF(AND(LEFT(R266,4)&lt;&gt;"http",set_RMSBase=""),"",HYPERLINK(IF(LEFT(R266,4)="http",R266,set_RMSBase&amp;R266),"Open opportunity")))</f>
        <v/>
      </c>
      <c r="T266" s="24" t="n"/>
      <c r="U266" s="25">
        <f>IF(T266="","",HYPERLINK(IF(LEFT(T266,4)="http",T266,set_QwilrBase&amp;T266),"Open quote"))</f>
        <v/>
      </c>
      <c r="V266" s="25">
        <f>IF(C266="","",C266)</f>
        <v/>
      </c>
      <c r="W266" s="24" t="n"/>
      <c r="X266" s="26" t="n"/>
      <c r="Y266" s="27">
        <f>IF(C266="","",H266+N(X266))</f>
        <v/>
      </c>
      <c r="Z266" s="29">
        <f>IFERROR(X266/Y266,"")</f>
        <v/>
      </c>
      <c r="AA266" s="26" t="n"/>
      <c r="AB266" s="26" t="n"/>
      <c r="AC266" s="26" t="n"/>
      <c r="AD266" s="26" t="n"/>
      <c r="AE266" s="27">
        <f>IF(C266="","",SUMIFS(tbl_Finance[Ex GST],tbl_Finance[Job Number],C266&amp;"",tbl_Finance[Cost Centre],"VIDEO"))</f>
        <v/>
      </c>
      <c r="AF266" s="29">
        <f>IFERROR(AE266/H266,"")</f>
        <v/>
      </c>
      <c r="AG266" s="27">
        <f>IF(C266="","",N(AA266)+N(AB266)+N(AC266)+N(AD266))</f>
        <v/>
      </c>
      <c r="AH266" s="27">
        <f>IF(C266="","",H266-AG266)</f>
        <v/>
      </c>
      <c r="AI266" s="29">
        <f>IFERROR(AH266/H266,"")</f>
        <v/>
      </c>
      <c r="AJ266" s="69" t="n"/>
      <c r="AK266" s="69" t="n"/>
      <c r="AL266" s="69" t="n"/>
      <c r="AM266" s="69" t="n"/>
      <c r="AN266" s="69" t="n"/>
      <c r="AO266" s="24" t="n"/>
    </row>
    <row r="267" ht="15" customHeight="1">
      <c r="A267" s="68">
        <f>IF(C267="","",IFERROR(IF(SUMPRODUCT(MAX((tbl_Finance[Job Number]=C267&amp;"")*(tbl_Finance[Xero Invoice No]&lt;&gt;"")*tbl_Finance[Date]))=0,"",SUMPRODUCT(MAX((tbl_Finance[Job Number]=C267&amp;"")*(tbl_Finance[Xero Invoice No]&lt;&gt;"")*tbl_Finance[Date]))),""))</f>
        <v/>
      </c>
      <c r="B267" s="25">
        <f>IF(C267="","",IF(COUNTIFS(tbl_Finance[Job Number],C267&amp;"",tbl_Finance[Xero Invoice No],"&lt;&gt;")=0,"",IFERROR(IF(COUNTIFS(tbl_Finance[Job Number],C267&amp;"",tbl_Finance[Xero Invoice No],LOOKUP(2,1/((tbl_Finance[Job Number]=C267&amp;"")*(tbl_Finance[Xero Invoice No]&lt;&gt;"")),tbl_Finance[Xero Invoice No]))=COUNTIFS(tbl_Finance[Job Number],C267&amp;"",tbl_Finance[Xero Invoice No],"&lt;&gt;"),LOOKUP(2,1/((tbl_Finance[Job Number]=C267&amp;"")*(tbl_Finance[Xero Invoice No]&lt;&gt;"")),tbl_Finance[Xero Invoice No]),LOOKUP(2,1/((tbl_Finance[Job Number]=C267&amp;"")*(tbl_Finance[Xero Invoice No]&lt;&gt;"")),tbl_Finance[Xero Invoice No])&amp;" +more"),"")))</f>
        <v/>
      </c>
      <c r="C267" s="24" t="n"/>
      <c r="D267" s="25">
        <f>IF(C267="","",IF(COUNTIF(lst_Jobs,C267&amp;"")&gt;0,"OK","CHECK"))</f>
        <v/>
      </c>
      <c r="E267" s="25">
        <f>IF(C267="","",IFERROR(INDEX(lst_JobName,MATCH(C267&amp;"",lst_Jobs,0)),""))</f>
        <v/>
      </c>
      <c r="F267" s="25">
        <f>IF(C267="","",IFERROR(INDEX(tbl_Finance[Client],MATCH(C267&amp;"",tbl_Finance[Job Number],0)),""))</f>
        <v/>
      </c>
      <c r="G267" s="28">
        <f>IF(C267="","",COUNTIFS(tbl_Finance[Job Number],C267&amp;"",tbl_Finance[Ex GST],"&lt;&gt;"))</f>
        <v/>
      </c>
      <c r="H267" s="27">
        <f>IF(C267="","",SUMIFS(tbl_Finance[Ex GST],tbl_Finance[Job Number],C267&amp;""))</f>
        <v/>
      </c>
      <c r="I267" s="27">
        <f>IF(C267="","",SUMIFS(tbl_Finance[Ex GST],tbl_Finance[Job Number],C267&amp;"",tbl_Finance[Xero Invoice No],"&lt;&gt;"))</f>
        <v/>
      </c>
      <c r="J267" s="27">
        <f>IF(C267="","",H267-I267)</f>
        <v/>
      </c>
      <c r="K267" s="25">
        <f>IF(C267="","",IF(G267=0,"not invoiced yet",SUBSTITUTE(TRIM(IF(COUNTIFS(tbl_Finance[Job Number],C267&amp;"",tbl_Finance[Cost Centre],"ONSITE")&gt;0,"ONSITE ","")&amp;IF(COUNTIFS(tbl_Finance[Job Number],C267&amp;"",tbl_Finance[Cost Centre],"PRODUCTION")&gt;0,"PRODUCTION ","")&amp;IF(COUNTIFS(tbl_Finance[Job Number],C267&amp;"",tbl_Finance[Cost Centre],"VIDEO")&gt;0,"VIDEO ","")&amp;IF(COUNTIFS(tbl_Finance[Job Number],C267&amp;"",tbl_Finance[Cost Centre],"INTEGRATION")&gt;0,"INTEGRATION ","")&amp;IF(COUNTIFS(tbl_Finance[Job Number],C267&amp;"",tbl_Finance[Cost Centre],"CONSULTING")&gt;0,"CONSULTING ","")&amp;IF(COUNTIFS(tbl_Finance[Job Number],C267&amp;"",tbl_Finance[Cost Centre],"CTS")&gt;0,"CTS ",""))," ",", ")))</f>
        <v/>
      </c>
      <c r="L267" s="27">
        <f>IF(C267="","",SUMIFS(tbl_Finance[Inc GST],tbl_Finance[Job Number],C267&amp;""))</f>
        <v/>
      </c>
      <c r="M267" s="24" t="n"/>
      <c r="N267" s="25">
        <f>IF(C267="","",IFERROR(INDEX(tbl_Finance[Description],MATCH(C267&amp;"",tbl_Finance[Job Number],0)),""))</f>
        <v/>
      </c>
      <c r="O267" s="24" t="n"/>
      <c r="P267" s="24" t="n"/>
      <c r="Q267" s="22" t="n"/>
      <c r="R267" s="24" t="n"/>
      <c r="S267" s="25">
        <f>IF(R267="","",IF(AND(LEFT(R267,4)&lt;&gt;"http",set_RMSBase=""),"",HYPERLINK(IF(LEFT(R267,4)="http",R267,set_RMSBase&amp;R267),"Open opportunity")))</f>
        <v/>
      </c>
      <c r="T267" s="24" t="n"/>
      <c r="U267" s="25">
        <f>IF(T267="","",HYPERLINK(IF(LEFT(T267,4)="http",T267,set_QwilrBase&amp;T267),"Open quote"))</f>
        <v/>
      </c>
      <c r="V267" s="25">
        <f>IF(C267="","",C267)</f>
        <v/>
      </c>
      <c r="W267" s="24" t="n"/>
      <c r="X267" s="26" t="n"/>
      <c r="Y267" s="27">
        <f>IF(C267="","",H267+N(X267))</f>
        <v/>
      </c>
      <c r="Z267" s="29">
        <f>IFERROR(X267/Y267,"")</f>
        <v/>
      </c>
      <c r="AA267" s="26" t="n"/>
      <c r="AB267" s="26" t="n"/>
      <c r="AC267" s="26" t="n"/>
      <c r="AD267" s="26" t="n"/>
      <c r="AE267" s="27">
        <f>IF(C267="","",SUMIFS(tbl_Finance[Ex GST],tbl_Finance[Job Number],C267&amp;"",tbl_Finance[Cost Centre],"VIDEO"))</f>
        <v/>
      </c>
      <c r="AF267" s="29">
        <f>IFERROR(AE267/H267,"")</f>
        <v/>
      </c>
      <c r="AG267" s="27">
        <f>IF(C267="","",N(AA267)+N(AB267)+N(AC267)+N(AD267))</f>
        <v/>
      </c>
      <c r="AH267" s="27">
        <f>IF(C267="","",H267-AG267)</f>
        <v/>
      </c>
      <c r="AI267" s="29">
        <f>IFERROR(AH267/H267,"")</f>
        <v/>
      </c>
      <c r="AJ267" s="69" t="n"/>
      <c r="AK267" s="69" t="n"/>
      <c r="AL267" s="69" t="n"/>
      <c r="AM267" s="69" t="n"/>
      <c r="AN267" s="69" t="n"/>
      <c r="AO267" s="24" t="n"/>
    </row>
    <row r="268" ht="15" customHeight="1">
      <c r="A268" s="68">
        <f>IF(C268="","",IFERROR(IF(SUMPRODUCT(MAX((tbl_Finance[Job Number]=C268&amp;"")*(tbl_Finance[Xero Invoice No]&lt;&gt;"")*tbl_Finance[Date]))=0,"",SUMPRODUCT(MAX((tbl_Finance[Job Number]=C268&amp;"")*(tbl_Finance[Xero Invoice No]&lt;&gt;"")*tbl_Finance[Date]))),""))</f>
        <v/>
      </c>
      <c r="B268" s="25">
        <f>IF(C268="","",IF(COUNTIFS(tbl_Finance[Job Number],C268&amp;"",tbl_Finance[Xero Invoice No],"&lt;&gt;")=0,"",IFERROR(IF(COUNTIFS(tbl_Finance[Job Number],C268&amp;"",tbl_Finance[Xero Invoice No],LOOKUP(2,1/((tbl_Finance[Job Number]=C268&amp;"")*(tbl_Finance[Xero Invoice No]&lt;&gt;"")),tbl_Finance[Xero Invoice No]))=COUNTIFS(tbl_Finance[Job Number],C268&amp;"",tbl_Finance[Xero Invoice No],"&lt;&gt;"),LOOKUP(2,1/((tbl_Finance[Job Number]=C268&amp;"")*(tbl_Finance[Xero Invoice No]&lt;&gt;"")),tbl_Finance[Xero Invoice No]),LOOKUP(2,1/((tbl_Finance[Job Number]=C268&amp;"")*(tbl_Finance[Xero Invoice No]&lt;&gt;"")),tbl_Finance[Xero Invoice No])&amp;" +more"),"")))</f>
        <v/>
      </c>
      <c r="C268" s="24" t="n"/>
      <c r="D268" s="25">
        <f>IF(C268="","",IF(COUNTIF(lst_Jobs,C268&amp;"")&gt;0,"OK","CHECK"))</f>
        <v/>
      </c>
      <c r="E268" s="25">
        <f>IF(C268="","",IFERROR(INDEX(lst_JobName,MATCH(C268&amp;"",lst_Jobs,0)),""))</f>
        <v/>
      </c>
      <c r="F268" s="25">
        <f>IF(C268="","",IFERROR(INDEX(tbl_Finance[Client],MATCH(C268&amp;"",tbl_Finance[Job Number],0)),""))</f>
        <v/>
      </c>
      <c r="G268" s="28">
        <f>IF(C268="","",COUNTIFS(tbl_Finance[Job Number],C268&amp;"",tbl_Finance[Ex GST],"&lt;&gt;"))</f>
        <v/>
      </c>
      <c r="H268" s="27">
        <f>IF(C268="","",SUMIFS(tbl_Finance[Ex GST],tbl_Finance[Job Number],C268&amp;""))</f>
        <v/>
      </c>
      <c r="I268" s="27">
        <f>IF(C268="","",SUMIFS(tbl_Finance[Ex GST],tbl_Finance[Job Number],C268&amp;"",tbl_Finance[Xero Invoice No],"&lt;&gt;"))</f>
        <v/>
      </c>
      <c r="J268" s="27">
        <f>IF(C268="","",H268-I268)</f>
        <v/>
      </c>
      <c r="K268" s="25">
        <f>IF(C268="","",IF(G268=0,"not invoiced yet",SUBSTITUTE(TRIM(IF(COUNTIFS(tbl_Finance[Job Number],C268&amp;"",tbl_Finance[Cost Centre],"ONSITE")&gt;0,"ONSITE ","")&amp;IF(COUNTIFS(tbl_Finance[Job Number],C268&amp;"",tbl_Finance[Cost Centre],"PRODUCTION")&gt;0,"PRODUCTION ","")&amp;IF(COUNTIFS(tbl_Finance[Job Number],C268&amp;"",tbl_Finance[Cost Centre],"VIDEO")&gt;0,"VIDEO ","")&amp;IF(COUNTIFS(tbl_Finance[Job Number],C268&amp;"",tbl_Finance[Cost Centre],"INTEGRATION")&gt;0,"INTEGRATION ","")&amp;IF(COUNTIFS(tbl_Finance[Job Number],C268&amp;"",tbl_Finance[Cost Centre],"CONSULTING")&gt;0,"CONSULTING ","")&amp;IF(COUNTIFS(tbl_Finance[Job Number],C268&amp;"",tbl_Finance[Cost Centre],"CTS")&gt;0,"CTS ",""))," ",", ")))</f>
        <v/>
      </c>
      <c r="L268" s="27">
        <f>IF(C268="","",SUMIFS(tbl_Finance[Inc GST],tbl_Finance[Job Number],C268&amp;""))</f>
        <v/>
      </c>
      <c r="M268" s="24" t="n"/>
      <c r="N268" s="25">
        <f>IF(C268="","",IFERROR(INDEX(tbl_Finance[Description],MATCH(C268&amp;"",tbl_Finance[Job Number],0)),""))</f>
        <v/>
      </c>
      <c r="O268" s="24" t="n"/>
      <c r="P268" s="24" t="n"/>
      <c r="Q268" s="22" t="n"/>
      <c r="R268" s="24" t="n"/>
      <c r="S268" s="25">
        <f>IF(R268="","",IF(AND(LEFT(R268,4)&lt;&gt;"http",set_RMSBase=""),"",HYPERLINK(IF(LEFT(R268,4)="http",R268,set_RMSBase&amp;R268),"Open opportunity")))</f>
        <v/>
      </c>
      <c r="T268" s="24" t="n"/>
      <c r="U268" s="25">
        <f>IF(T268="","",HYPERLINK(IF(LEFT(T268,4)="http",T268,set_QwilrBase&amp;T268),"Open quote"))</f>
        <v/>
      </c>
      <c r="V268" s="25">
        <f>IF(C268="","",C268)</f>
        <v/>
      </c>
      <c r="W268" s="24" t="n"/>
      <c r="X268" s="26" t="n"/>
      <c r="Y268" s="27">
        <f>IF(C268="","",H268+N(X268))</f>
        <v/>
      </c>
      <c r="Z268" s="29">
        <f>IFERROR(X268/Y268,"")</f>
        <v/>
      </c>
      <c r="AA268" s="26" t="n"/>
      <c r="AB268" s="26" t="n"/>
      <c r="AC268" s="26" t="n"/>
      <c r="AD268" s="26" t="n"/>
      <c r="AE268" s="27">
        <f>IF(C268="","",SUMIFS(tbl_Finance[Ex GST],tbl_Finance[Job Number],C268&amp;"",tbl_Finance[Cost Centre],"VIDEO"))</f>
        <v/>
      </c>
      <c r="AF268" s="29">
        <f>IFERROR(AE268/H268,"")</f>
        <v/>
      </c>
      <c r="AG268" s="27">
        <f>IF(C268="","",N(AA268)+N(AB268)+N(AC268)+N(AD268))</f>
        <v/>
      </c>
      <c r="AH268" s="27">
        <f>IF(C268="","",H268-AG268)</f>
        <v/>
      </c>
      <c r="AI268" s="29">
        <f>IFERROR(AH268/H268,"")</f>
        <v/>
      </c>
      <c r="AJ268" s="69" t="n"/>
      <c r="AK268" s="69" t="n"/>
      <c r="AL268" s="69" t="n"/>
      <c r="AM268" s="69" t="n"/>
      <c r="AN268" s="69" t="n"/>
      <c r="AO268" s="24" t="n"/>
    </row>
    <row r="269" ht="15" customHeight="1">
      <c r="A269" s="68">
        <f>IF(C269="","",IFERROR(IF(SUMPRODUCT(MAX((tbl_Finance[Job Number]=C269&amp;"")*(tbl_Finance[Xero Invoice No]&lt;&gt;"")*tbl_Finance[Date]))=0,"",SUMPRODUCT(MAX((tbl_Finance[Job Number]=C269&amp;"")*(tbl_Finance[Xero Invoice No]&lt;&gt;"")*tbl_Finance[Date]))),""))</f>
        <v/>
      </c>
      <c r="B269" s="25">
        <f>IF(C269="","",IF(COUNTIFS(tbl_Finance[Job Number],C269&amp;"",tbl_Finance[Xero Invoice No],"&lt;&gt;")=0,"",IFERROR(IF(COUNTIFS(tbl_Finance[Job Number],C269&amp;"",tbl_Finance[Xero Invoice No],LOOKUP(2,1/((tbl_Finance[Job Number]=C269&amp;"")*(tbl_Finance[Xero Invoice No]&lt;&gt;"")),tbl_Finance[Xero Invoice No]))=COUNTIFS(tbl_Finance[Job Number],C269&amp;"",tbl_Finance[Xero Invoice No],"&lt;&gt;"),LOOKUP(2,1/((tbl_Finance[Job Number]=C269&amp;"")*(tbl_Finance[Xero Invoice No]&lt;&gt;"")),tbl_Finance[Xero Invoice No]),LOOKUP(2,1/((tbl_Finance[Job Number]=C269&amp;"")*(tbl_Finance[Xero Invoice No]&lt;&gt;"")),tbl_Finance[Xero Invoice No])&amp;" +more"),"")))</f>
        <v/>
      </c>
      <c r="C269" s="24" t="n"/>
      <c r="D269" s="25">
        <f>IF(C269="","",IF(COUNTIF(lst_Jobs,C269&amp;"")&gt;0,"OK","CHECK"))</f>
        <v/>
      </c>
      <c r="E269" s="25">
        <f>IF(C269="","",IFERROR(INDEX(lst_JobName,MATCH(C269&amp;"",lst_Jobs,0)),""))</f>
        <v/>
      </c>
      <c r="F269" s="25">
        <f>IF(C269="","",IFERROR(INDEX(tbl_Finance[Client],MATCH(C269&amp;"",tbl_Finance[Job Number],0)),""))</f>
        <v/>
      </c>
      <c r="G269" s="28">
        <f>IF(C269="","",COUNTIFS(tbl_Finance[Job Number],C269&amp;"",tbl_Finance[Ex GST],"&lt;&gt;"))</f>
        <v/>
      </c>
      <c r="H269" s="27">
        <f>IF(C269="","",SUMIFS(tbl_Finance[Ex GST],tbl_Finance[Job Number],C269&amp;""))</f>
        <v/>
      </c>
      <c r="I269" s="27">
        <f>IF(C269="","",SUMIFS(tbl_Finance[Ex GST],tbl_Finance[Job Number],C269&amp;"",tbl_Finance[Xero Invoice No],"&lt;&gt;"))</f>
        <v/>
      </c>
      <c r="J269" s="27">
        <f>IF(C269="","",H269-I269)</f>
        <v/>
      </c>
      <c r="K269" s="25">
        <f>IF(C269="","",IF(G269=0,"not invoiced yet",SUBSTITUTE(TRIM(IF(COUNTIFS(tbl_Finance[Job Number],C269&amp;"",tbl_Finance[Cost Centre],"ONSITE")&gt;0,"ONSITE ","")&amp;IF(COUNTIFS(tbl_Finance[Job Number],C269&amp;"",tbl_Finance[Cost Centre],"PRODUCTION")&gt;0,"PRODUCTION ","")&amp;IF(COUNTIFS(tbl_Finance[Job Number],C269&amp;"",tbl_Finance[Cost Centre],"VIDEO")&gt;0,"VIDEO ","")&amp;IF(COUNTIFS(tbl_Finance[Job Number],C269&amp;"",tbl_Finance[Cost Centre],"INTEGRATION")&gt;0,"INTEGRATION ","")&amp;IF(COUNTIFS(tbl_Finance[Job Number],C269&amp;"",tbl_Finance[Cost Centre],"CONSULTING")&gt;0,"CONSULTING ","")&amp;IF(COUNTIFS(tbl_Finance[Job Number],C269&amp;"",tbl_Finance[Cost Centre],"CTS")&gt;0,"CTS ",""))," ",", ")))</f>
        <v/>
      </c>
      <c r="L269" s="27">
        <f>IF(C269="","",SUMIFS(tbl_Finance[Inc GST],tbl_Finance[Job Number],C269&amp;""))</f>
        <v/>
      </c>
      <c r="M269" s="24" t="n"/>
      <c r="N269" s="25">
        <f>IF(C269="","",IFERROR(INDEX(tbl_Finance[Description],MATCH(C269&amp;"",tbl_Finance[Job Number],0)),""))</f>
        <v/>
      </c>
      <c r="O269" s="24" t="n"/>
      <c r="P269" s="24" t="n"/>
      <c r="Q269" s="22" t="n"/>
      <c r="R269" s="24" t="n"/>
      <c r="S269" s="25">
        <f>IF(R269="","",IF(AND(LEFT(R269,4)&lt;&gt;"http",set_RMSBase=""),"",HYPERLINK(IF(LEFT(R269,4)="http",R269,set_RMSBase&amp;R269),"Open opportunity")))</f>
        <v/>
      </c>
      <c r="T269" s="24" t="n"/>
      <c r="U269" s="25">
        <f>IF(T269="","",HYPERLINK(IF(LEFT(T269,4)="http",T269,set_QwilrBase&amp;T269),"Open quote"))</f>
        <v/>
      </c>
      <c r="V269" s="25">
        <f>IF(C269="","",C269)</f>
        <v/>
      </c>
      <c r="W269" s="24" t="n"/>
      <c r="X269" s="26" t="n"/>
      <c r="Y269" s="27">
        <f>IF(C269="","",H269+N(X269))</f>
        <v/>
      </c>
      <c r="Z269" s="29">
        <f>IFERROR(X269/Y269,"")</f>
        <v/>
      </c>
      <c r="AA269" s="26" t="n"/>
      <c r="AB269" s="26" t="n"/>
      <c r="AC269" s="26" t="n"/>
      <c r="AD269" s="26" t="n"/>
      <c r="AE269" s="27">
        <f>IF(C269="","",SUMIFS(tbl_Finance[Ex GST],tbl_Finance[Job Number],C269&amp;"",tbl_Finance[Cost Centre],"VIDEO"))</f>
        <v/>
      </c>
      <c r="AF269" s="29">
        <f>IFERROR(AE269/H269,"")</f>
        <v/>
      </c>
      <c r="AG269" s="27">
        <f>IF(C269="","",N(AA269)+N(AB269)+N(AC269)+N(AD269))</f>
        <v/>
      </c>
      <c r="AH269" s="27">
        <f>IF(C269="","",H269-AG269)</f>
        <v/>
      </c>
      <c r="AI269" s="29">
        <f>IFERROR(AH269/H269,"")</f>
        <v/>
      </c>
      <c r="AJ269" s="69" t="n"/>
      <c r="AK269" s="69" t="n"/>
      <c r="AL269" s="69" t="n"/>
      <c r="AM269" s="69" t="n"/>
      <c r="AN269" s="69" t="n"/>
      <c r="AO269" s="24" t="n"/>
    </row>
    <row r="270" ht="15" customHeight="1">
      <c r="A270" s="68">
        <f>IF(C270="","",IFERROR(IF(SUMPRODUCT(MAX((tbl_Finance[Job Number]=C270&amp;"")*(tbl_Finance[Xero Invoice No]&lt;&gt;"")*tbl_Finance[Date]))=0,"",SUMPRODUCT(MAX((tbl_Finance[Job Number]=C270&amp;"")*(tbl_Finance[Xero Invoice No]&lt;&gt;"")*tbl_Finance[Date]))),""))</f>
        <v/>
      </c>
      <c r="B270" s="25">
        <f>IF(C270="","",IF(COUNTIFS(tbl_Finance[Job Number],C270&amp;"",tbl_Finance[Xero Invoice No],"&lt;&gt;")=0,"",IFERROR(IF(COUNTIFS(tbl_Finance[Job Number],C270&amp;"",tbl_Finance[Xero Invoice No],LOOKUP(2,1/((tbl_Finance[Job Number]=C270&amp;"")*(tbl_Finance[Xero Invoice No]&lt;&gt;"")),tbl_Finance[Xero Invoice No]))=COUNTIFS(tbl_Finance[Job Number],C270&amp;"",tbl_Finance[Xero Invoice No],"&lt;&gt;"),LOOKUP(2,1/((tbl_Finance[Job Number]=C270&amp;"")*(tbl_Finance[Xero Invoice No]&lt;&gt;"")),tbl_Finance[Xero Invoice No]),LOOKUP(2,1/((tbl_Finance[Job Number]=C270&amp;"")*(tbl_Finance[Xero Invoice No]&lt;&gt;"")),tbl_Finance[Xero Invoice No])&amp;" +more"),"")))</f>
        <v/>
      </c>
      <c r="C270" s="24" t="n"/>
      <c r="D270" s="25">
        <f>IF(C270="","",IF(COUNTIF(lst_Jobs,C270&amp;"")&gt;0,"OK","CHECK"))</f>
        <v/>
      </c>
      <c r="E270" s="25">
        <f>IF(C270="","",IFERROR(INDEX(lst_JobName,MATCH(C270&amp;"",lst_Jobs,0)),""))</f>
        <v/>
      </c>
      <c r="F270" s="25">
        <f>IF(C270="","",IFERROR(INDEX(tbl_Finance[Client],MATCH(C270&amp;"",tbl_Finance[Job Number],0)),""))</f>
        <v/>
      </c>
      <c r="G270" s="28">
        <f>IF(C270="","",COUNTIFS(tbl_Finance[Job Number],C270&amp;"",tbl_Finance[Ex GST],"&lt;&gt;"))</f>
        <v/>
      </c>
      <c r="H270" s="27">
        <f>IF(C270="","",SUMIFS(tbl_Finance[Ex GST],tbl_Finance[Job Number],C270&amp;""))</f>
        <v/>
      </c>
      <c r="I270" s="27">
        <f>IF(C270="","",SUMIFS(tbl_Finance[Ex GST],tbl_Finance[Job Number],C270&amp;"",tbl_Finance[Xero Invoice No],"&lt;&gt;"))</f>
        <v/>
      </c>
      <c r="J270" s="27">
        <f>IF(C270="","",H270-I270)</f>
        <v/>
      </c>
      <c r="K270" s="25">
        <f>IF(C270="","",IF(G270=0,"not invoiced yet",SUBSTITUTE(TRIM(IF(COUNTIFS(tbl_Finance[Job Number],C270&amp;"",tbl_Finance[Cost Centre],"ONSITE")&gt;0,"ONSITE ","")&amp;IF(COUNTIFS(tbl_Finance[Job Number],C270&amp;"",tbl_Finance[Cost Centre],"PRODUCTION")&gt;0,"PRODUCTION ","")&amp;IF(COUNTIFS(tbl_Finance[Job Number],C270&amp;"",tbl_Finance[Cost Centre],"VIDEO")&gt;0,"VIDEO ","")&amp;IF(COUNTIFS(tbl_Finance[Job Number],C270&amp;"",tbl_Finance[Cost Centre],"INTEGRATION")&gt;0,"INTEGRATION ","")&amp;IF(COUNTIFS(tbl_Finance[Job Number],C270&amp;"",tbl_Finance[Cost Centre],"CONSULTING")&gt;0,"CONSULTING ","")&amp;IF(COUNTIFS(tbl_Finance[Job Number],C270&amp;"",tbl_Finance[Cost Centre],"CTS")&gt;0,"CTS ",""))," ",", ")))</f>
        <v/>
      </c>
      <c r="L270" s="27">
        <f>IF(C270="","",SUMIFS(tbl_Finance[Inc GST],tbl_Finance[Job Number],C270&amp;""))</f>
        <v/>
      </c>
      <c r="M270" s="24" t="n"/>
      <c r="N270" s="25">
        <f>IF(C270="","",IFERROR(INDEX(tbl_Finance[Description],MATCH(C270&amp;"",tbl_Finance[Job Number],0)),""))</f>
        <v/>
      </c>
      <c r="O270" s="24" t="n"/>
      <c r="P270" s="24" t="n"/>
      <c r="Q270" s="22" t="n"/>
      <c r="R270" s="24" t="n"/>
      <c r="S270" s="25">
        <f>IF(R270="","",IF(AND(LEFT(R270,4)&lt;&gt;"http",set_RMSBase=""),"",HYPERLINK(IF(LEFT(R270,4)="http",R270,set_RMSBase&amp;R270),"Open opportunity")))</f>
        <v/>
      </c>
      <c r="T270" s="24" t="n"/>
      <c r="U270" s="25">
        <f>IF(T270="","",HYPERLINK(IF(LEFT(T270,4)="http",T270,set_QwilrBase&amp;T270),"Open quote"))</f>
        <v/>
      </c>
      <c r="V270" s="25">
        <f>IF(C270="","",C270)</f>
        <v/>
      </c>
      <c r="W270" s="24" t="n"/>
      <c r="X270" s="26" t="n"/>
      <c r="Y270" s="27">
        <f>IF(C270="","",H270+N(X270))</f>
        <v/>
      </c>
      <c r="Z270" s="29">
        <f>IFERROR(X270/Y270,"")</f>
        <v/>
      </c>
      <c r="AA270" s="26" t="n"/>
      <c r="AB270" s="26" t="n"/>
      <c r="AC270" s="26" t="n"/>
      <c r="AD270" s="26" t="n"/>
      <c r="AE270" s="27">
        <f>IF(C270="","",SUMIFS(tbl_Finance[Ex GST],tbl_Finance[Job Number],C270&amp;"",tbl_Finance[Cost Centre],"VIDEO"))</f>
        <v/>
      </c>
      <c r="AF270" s="29">
        <f>IFERROR(AE270/H270,"")</f>
        <v/>
      </c>
      <c r="AG270" s="27">
        <f>IF(C270="","",N(AA270)+N(AB270)+N(AC270)+N(AD270))</f>
        <v/>
      </c>
      <c r="AH270" s="27">
        <f>IF(C270="","",H270-AG270)</f>
        <v/>
      </c>
      <c r="AI270" s="29">
        <f>IFERROR(AH270/H270,"")</f>
        <v/>
      </c>
      <c r="AJ270" s="69" t="n"/>
      <c r="AK270" s="69" t="n"/>
      <c r="AL270" s="69" t="n"/>
      <c r="AM270" s="69" t="n"/>
      <c r="AN270" s="69" t="n"/>
      <c r="AO270" s="24" t="n"/>
    </row>
    <row r="271" ht="15" customHeight="1">
      <c r="A271" s="68">
        <f>IF(C271="","",IFERROR(IF(SUMPRODUCT(MAX((tbl_Finance[Job Number]=C271&amp;"")*(tbl_Finance[Xero Invoice No]&lt;&gt;"")*tbl_Finance[Date]))=0,"",SUMPRODUCT(MAX((tbl_Finance[Job Number]=C271&amp;"")*(tbl_Finance[Xero Invoice No]&lt;&gt;"")*tbl_Finance[Date]))),""))</f>
        <v/>
      </c>
      <c r="B271" s="25">
        <f>IF(C271="","",IF(COUNTIFS(tbl_Finance[Job Number],C271&amp;"",tbl_Finance[Xero Invoice No],"&lt;&gt;")=0,"",IFERROR(IF(COUNTIFS(tbl_Finance[Job Number],C271&amp;"",tbl_Finance[Xero Invoice No],LOOKUP(2,1/((tbl_Finance[Job Number]=C271&amp;"")*(tbl_Finance[Xero Invoice No]&lt;&gt;"")),tbl_Finance[Xero Invoice No]))=COUNTIFS(tbl_Finance[Job Number],C271&amp;"",tbl_Finance[Xero Invoice No],"&lt;&gt;"),LOOKUP(2,1/((tbl_Finance[Job Number]=C271&amp;"")*(tbl_Finance[Xero Invoice No]&lt;&gt;"")),tbl_Finance[Xero Invoice No]),LOOKUP(2,1/((tbl_Finance[Job Number]=C271&amp;"")*(tbl_Finance[Xero Invoice No]&lt;&gt;"")),tbl_Finance[Xero Invoice No])&amp;" +more"),"")))</f>
        <v/>
      </c>
      <c r="C271" s="24" t="n"/>
      <c r="D271" s="25">
        <f>IF(C271="","",IF(COUNTIF(lst_Jobs,C271&amp;"")&gt;0,"OK","CHECK"))</f>
        <v/>
      </c>
      <c r="E271" s="25">
        <f>IF(C271="","",IFERROR(INDEX(lst_JobName,MATCH(C271&amp;"",lst_Jobs,0)),""))</f>
        <v/>
      </c>
      <c r="F271" s="25">
        <f>IF(C271="","",IFERROR(INDEX(tbl_Finance[Client],MATCH(C271&amp;"",tbl_Finance[Job Number],0)),""))</f>
        <v/>
      </c>
      <c r="G271" s="28">
        <f>IF(C271="","",COUNTIFS(tbl_Finance[Job Number],C271&amp;"",tbl_Finance[Ex GST],"&lt;&gt;"))</f>
        <v/>
      </c>
      <c r="H271" s="27">
        <f>IF(C271="","",SUMIFS(tbl_Finance[Ex GST],tbl_Finance[Job Number],C271&amp;""))</f>
        <v/>
      </c>
      <c r="I271" s="27">
        <f>IF(C271="","",SUMIFS(tbl_Finance[Ex GST],tbl_Finance[Job Number],C271&amp;"",tbl_Finance[Xero Invoice No],"&lt;&gt;"))</f>
        <v/>
      </c>
      <c r="J271" s="27">
        <f>IF(C271="","",H271-I271)</f>
        <v/>
      </c>
      <c r="K271" s="25">
        <f>IF(C271="","",IF(G271=0,"not invoiced yet",SUBSTITUTE(TRIM(IF(COUNTIFS(tbl_Finance[Job Number],C271&amp;"",tbl_Finance[Cost Centre],"ONSITE")&gt;0,"ONSITE ","")&amp;IF(COUNTIFS(tbl_Finance[Job Number],C271&amp;"",tbl_Finance[Cost Centre],"PRODUCTION")&gt;0,"PRODUCTION ","")&amp;IF(COUNTIFS(tbl_Finance[Job Number],C271&amp;"",tbl_Finance[Cost Centre],"VIDEO")&gt;0,"VIDEO ","")&amp;IF(COUNTIFS(tbl_Finance[Job Number],C271&amp;"",tbl_Finance[Cost Centre],"INTEGRATION")&gt;0,"INTEGRATION ","")&amp;IF(COUNTIFS(tbl_Finance[Job Number],C271&amp;"",tbl_Finance[Cost Centre],"CONSULTING")&gt;0,"CONSULTING ","")&amp;IF(COUNTIFS(tbl_Finance[Job Number],C271&amp;"",tbl_Finance[Cost Centre],"CTS")&gt;0,"CTS ",""))," ",", ")))</f>
        <v/>
      </c>
      <c r="L271" s="27">
        <f>IF(C271="","",SUMIFS(tbl_Finance[Inc GST],tbl_Finance[Job Number],C271&amp;""))</f>
        <v/>
      </c>
      <c r="M271" s="24" t="n"/>
      <c r="N271" s="25">
        <f>IF(C271="","",IFERROR(INDEX(tbl_Finance[Description],MATCH(C271&amp;"",tbl_Finance[Job Number],0)),""))</f>
        <v/>
      </c>
      <c r="O271" s="24" t="n"/>
      <c r="P271" s="24" t="n"/>
      <c r="Q271" s="22" t="n"/>
      <c r="R271" s="24" t="n"/>
      <c r="S271" s="25">
        <f>IF(R271="","",IF(AND(LEFT(R271,4)&lt;&gt;"http",set_RMSBase=""),"",HYPERLINK(IF(LEFT(R271,4)="http",R271,set_RMSBase&amp;R271),"Open opportunity")))</f>
        <v/>
      </c>
      <c r="T271" s="24" t="n"/>
      <c r="U271" s="25">
        <f>IF(T271="","",HYPERLINK(IF(LEFT(T271,4)="http",T271,set_QwilrBase&amp;T271),"Open quote"))</f>
        <v/>
      </c>
      <c r="V271" s="25">
        <f>IF(C271="","",C271)</f>
        <v/>
      </c>
      <c r="W271" s="24" t="n"/>
      <c r="X271" s="26" t="n"/>
      <c r="Y271" s="27">
        <f>IF(C271="","",H271+N(X271))</f>
        <v/>
      </c>
      <c r="Z271" s="29">
        <f>IFERROR(X271/Y271,"")</f>
        <v/>
      </c>
      <c r="AA271" s="26" t="n"/>
      <c r="AB271" s="26" t="n"/>
      <c r="AC271" s="26" t="n"/>
      <c r="AD271" s="26" t="n"/>
      <c r="AE271" s="27">
        <f>IF(C271="","",SUMIFS(tbl_Finance[Ex GST],tbl_Finance[Job Number],C271&amp;"",tbl_Finance[Cost Centre],"VIDEO"))</f>
        <v/>
      </c>
      <c r="AF271" s="29">
        <f>IFERROR(AE271/H271,"")</f>
        <v/>
      </c>
      <c r="AG271" s="27">
        <f>IF(C271="","",N(AA271)+N(AB271)+N(AC271)+N(AD271))</f>
        <v/>
      </c>
      <c r="AH271" s="27">
        <f>IF(C271="","",H271-AG271)</f>
        <v/>
      </c>
      <c r="AI271" s="29">
        <f>IFERROR(AH271/H271,"")</f>
        <v/>
      </c>
      <c r="AJ271" s="69" t="n"/>
      <c r="AK271" s="69" t="n"/>
      <c r="AL271" s="69" t="n"/>
      <c r="AM271" s="69" t="n"/>
      <c r="AN271" s="69" t="n"/>
      <c r="AO271" s="24" t="n"/>
    </row>
    <row r="272" ht="15" customHeight="1">
      <c r="A272" s="68">
        <f>IF(C272="","",IFERROR(IF(SUMPRODUCT(MAX((tbl_Finance[Job Number]=C272&amp;"")*(tbl_Finance[Xero Invoice No]&lt;&gt;"")*tbl_Finance[Date]))=0,"",SUMPRODUCT(MAX((tbl_Finance[Job Number]=C272&amp;"")*(tbl_Finance[Xero Invoice No]&lt;&gt;"")*tbl_Finance[Date]))),""))</f>
        <v/>
      </c>
      <c r="B272" s="25">
        <f>IF(C272="","",IF(COUNTIFS(tbl_Finance[Job Number],C272&amp;"",tbl_Finance[Xero Invoice No],"&lt;&gt;")=0,"",IFERROR(IF(COUNTIFS(tbl_Finance[Job Number],C272&amp;"",tbl_Finance[Xero Invoice No],LOOKUP(2,1/((tbl_Finance[Job Number]=C272&amp;"")*(tbl_Finance[Xero Invoice No]&lt;&gt;"")),tbl_Finance[Xero Invoice No]))=COUNTIFS(tbl_Finance[Job Number],C272&amp;"",tbl_Finance[Xero Invoice No],"&lt;&gt;"),LOOKUP(2,1/((tbl_Finance[Job Number]=C272&amp;"")*(tbl_Finance[Xero Invoice No]&lt;&gt;"")),tbl_Finance[Xero Invoice No]),LOOKUP(2,1/((tbl_Finance[Job Number]=C272&amp;"")*(tbl_Finance[Xero Invoice No]&lt;&gt;"")),tbl_Finance[Xero Invoice No])&amp;" +more"),"")))</f>
        <v/>
      </c>
      <c r="C272" s="24" t="n"/>
      <c r="D272" s="25">
        <f>IF(C272="","",IF(COUNTIF(lst_Jobs,C272&amp;"")&gt;0,"OK","CHECK"))</f>
        <v/>
      </c>
      <c r="E272" s="25">
        <f>IF(C272="","",IFERROR(INDEX(lst_JobName,MATCH(C272&amp;"",lst_Jobs,0)),""))</f>
        <v/>
      </c>
      <c r="F272" s="25">
        <f>IF(C272="","",IFERROR(INDEX(tbl_Finance[Client],MATCH(C272&amp;"",tbl_Finance[Job Number],0)),""))</f>
        <v/>
      </c>
      <c r="G272" s="28">
        <f>IF(C272="","",COUNTIFS(tbl_Finance[Job Number],C272&amp;"",tbl_Finance[Ex GST],"&lt;&gt;"))</f>
        <v/>
      </c>
      <c r="H272" s="27">
        <f>IF(C272="","",SUMIFS(tbl_Finance[Ex GST],tbl_Finance[Job Number],C272&amp;""))</f>
        <v/>
      </c>
      <c r="I272" s="27">
        <f>IF(C272="","",SUMIFS(tbl_Finance[Ex GST],tbl_Finance[Job Number],C272&amp;"",tbl_Finance[Xero Invoice No],"&lt;&gt;"))</f>
        <v/>
      </c>
      <c r="J272" s="27">
        <f>IF(C272="","",H272-I272)</f>
        <v/>
      </c>
      <c r="K272" s="25">
        <f>IF(C272="","",IF(G272=0,"not invoiced yet",SUBSTITUTE(TRIM(IF(COUNTIFS(tbl_Finance[Job Number],C272&amp;"",tbl_Finance[Cost Centre],"ONSITE")&gt;0,"ONSITE ","")&amp;IF(COUNTIFS(tbl_Finance[Job Number],C272&amp;"",tbl_Finance[Cost Centre],"PRODUCTION")&gt;0,"PRODUCTION ","")&amp;IF(COUNTIFS(tbl_Finance[Job Number],C272&amp;"",tbl_Finance[Cost Centre],"VIDEO")&gt;0,"VIDEO ","")&amp;IF(COUNTIFS(tbl_Finance[Job Number],C272&amp;"",tbl_Finance[Cost Centre],"INTEGRATION")&gt;0,"INTEGRATION ","")&amp;IF(COUNTIFS(tbl_Finance[Job Number],C272&amp;"",tbl_Finance[Cost Centre],"CONSULTING")&gt;0,"CONSULTING ","")&amp;IF(COUNTIFS(tbl_Finance[Job Number],C272&amp;"",tbl_Finance[Cost Centre],"CTS")&gt;0,"CTS ",""))," ",", ")))</f>
        <v/>
      </c>
      <c r="L272" s="27">
        <f>IF(C272="","",SUMIFS(tbl_Finance[Inc GST],tbl_Finance[Job Number],C272&amp;""))</f>
        <v/>
      </c>
      <c r="M272" s="24" t="n"/>
      <c r="N272" s="25">
        <f>IF(C272="","",IFERROR(INDEX(tbl_Finance[Description],MATCH(C272&amp;"",tbl_Finance[Job Number],0)),""))</f>
        <v/>
      </c>
      <c r="O272" s="24" t="n"/>
      <c r="P272" s="24" t="n"/>
      <c r="Q272" s="22" t="n"/>
      <c r="R272" s="24" t="n"/>
      <c r="S272" s="25">
        <f>IF(R272="","",IF(AND(LEFT(R272,4)&lt;&gt;"http",set_RMSBase=""),"",HYPERLINK(IF(LEFT(R272,4)="http",R272,set_RMSBase&amp;R272),"Open opportunity")))</f>
        <v/>
      </c>
      <c r="T272" s="24" t="n"/>
      <c r="U272" s="25">
        <f>IF(T272="","",HYPERLINK(IF(LEFT(T272,4)="http",T272,set_QwilrBase&amp;T272),"Open quote"))</f>
        <v/>
      </c>
      <c r="V272" s="25">
        <f>IF(C272="","",C272)</f>
        <v/>
      </c>
      <c r="W272" s="24" t="n"/>
      <c r="X272" s="26" t="n"/>
      <c r="Y272" s="27">
        <f>IF(C272="","",H272+N(X272))</f>
        <v/>
      </c>
      <c r="Z272" s="29">
        <f>IFERROR(X272/Y272,"")</f>
        <v/>
      </c>
      <c r="AA272" s="26" t="n"/>
      <c r="AB272" s="26" t="n"/>
      <c r="AC272" s="26" t="n"/>
      <c r="AD272" s="26" t="n"/>
      <c r="AE272" s="27">
        <f>IF(C272="","",SUMIFS(tbl_Finance[Ex GST],tbl_Finance[Job Number],C272&amp;"",tbl_Finance[Cost Centre],"VIDEO"))</f>
        <v/>
      </c>
      <c r="AF272" s="29">
        <f>IFERROR(AE272/H272,"")</f>
        <v/>
      </c>
      <c r="AG272" s="27">
        <f>IF(C272="","",N(AA272)+N(AB272)+N(AC272)+N(AD272))</f>
        <v/>
      </c>
      <c r="AH272" s="27">
        <f>IF(C272="","",H272-AG272)</f>
        <v/>
      </c>
      <c r="AI272" s="29">
        <f>IFERROR(AH272/H272,"")</f>
        <v/>
      </c>
      <c r="AJ272" s="69" t="n"/>
      <c r="AK272" s="69" t="n"/>
      <c r="AL272" s="69" t="n"/>
      <c r="AM272" s="69" t="n"/>
      <c r="AN272" s="69" t="n"/>
      <c r="AO272" s="24" t="n"/>
    </row>
    <row r="273" ht="15" customHeight="1">
      <c r="A273" s="68">
        <f>IF(C273="","",IFERROR(IF(SUMPRODUCT(MAX((tbl_Finance[Job Number]=C273&amp;"")*(tbl_Finance[Xero Invoice No]&lt;&gt;"")*tbl_Finance[Date]))=0,"",SUMPRODUCT(MAX((tbl_Finance[Job Number]=C273&amp;"")*(tbl_Finance[Xero Invoice No]&lt;&gt;"")*tbl_Finance[Date]))),""))</f>
        <v/>
      </c>
      <c r="B273" s="25">
        <f>IF(C273="","",IF(COUNTIFS(tbl_Finance[Job Number],C273&amp;"",tbl_Finance[Xero Invoice No],"&lt;&gt;")=0,"",IFERROR(IF(COUNTIFS(tbl_Finance[Job Number],C273&amp;"",tbl_Finance[Xero Invoice No],LOOKUP(2,1/((tbl_Finance[Job Number]=C273&amp;"")*(tbl_Finance[Xero Invoice No]&lt;&gt;"")),tbl_Finance[Xero Invoice No]))=COUNTIFS(tbl_Finance[Job Number],C273&amp;"",tbl_Finance[Xero Invoice No],"&lt;&gt;"),LOOKUP(2,1/((tbl_Finance[Job Number]=C273&amp;"")*(tbl_Finance[Xero Invoice No]&lt;&gt;"")),tbl_Finance[Xero Invoice No]),LOOKUP(2,1/((tbl_Finance[Job Number]=C273&amp;"")*(tbl_Finance[Xero Invoice No]&lt;&gt;"")),tbl_Finance[Xero Invoice No])&amp;" +more"),"")))</f>
        <v/>
      </c>
      <c r="C273" s="24" t="n"/>
      <c r="D273" s="25">
        <f>IF(C273="","",IF(COUNTIF(lst_Jobs,C273&amp;"")&gt;0,"OK","CHECK"))</f>
        <v/>
      </c>
      <c r="E273" s="25">
        <f>IF(C273="","",IFERROR(INDEX(lst_JobName,MATCH(C273&amp;"",lst_Jobs,0)),""))</f>
        <v/>
      </c>
      <c r="F273" s="25">
        <f>IF(C273="","",IFERROR(INDEX(tbl_Finance[Client],MATCH(C273&amp;"",tbl_Finance[Job Number],0)),""))</f>
        <v/>
      </c>
      <c r="G273" s="28">
        <f>IF(C273="","",COUNTIFS(tbl_Finance[Job Number],C273&amp;"",tbl_Finance[Ex GST],"&lt;&gt;"))</f>
        <v/>
      </c>
      <c r="H273" s="27">
        <f>IF(C273="","",SUMIFS(tbl_Finance[Ex GST],tbl_Finance[Job Number],C273&amp;""))</f>
        <v/>
      </c>
      <c r="I273" s="27">
        <f>IF(C273="","",SUMIFS(tbl_Finance[Ex GST],tbl_Finance[Job Number],C273&amp;"",tbl_Finance[Xero Invoice No],"&lt;&gt;"))</f>
        <v/>
      </c>
      <c r="J273" s="27">
        <f>IF(C273="","",H273-I273)</f>
        <v/>
      </c>
      <c r="K273" s="25">
        <f>IF(C273="","",IF(G273=0,"not invoiced yet",SUBSTITUTE(TRIM(IF(COUNTIFS(tbl_Finance[Job Number],C273&amp;"",tbl_Finance[Cost Centre],"ONSITE")&gt;0,"ONSITE ","")&amp;IF(COUNTIFS(tbl_Finance[Job Number],C273&amp;"",tbl_Finance[Cost Centre],"PRODUCTION")&gt;0,"PRODUCTION ","")&amp;IF(COUNTIFS(tbl_Finance[Job Number],C273&amp;"",tbl_Finance[Cost Centre],"VIDEO")&gt;0,"VIDEO ","")&amp;IF(COUNTIFS(tbl_Finance[Job Number],C273&amp;"",tbl_Finance[Cost Centre],"INTEGRATION")&gt;0,"INTEGRATION ","")&amp;IF(COUNTIFS(tbl_Finance[Job Number],C273&amp;"",tbl_Finance[Cost Centre],"CONSULTING")&gt;0,"CONSULTING ","")&amp;IF(COUNTIFS(tbl_Finance[Job Number],C273&amp;"",tbl_Finance[Cost Centre],"CTS")&gt;0,"CTS ",""))," ",", ")))</f>
        <v/>
      </c>
      <c r="L273" s="27">
        <f>IF(C273="","",SUMIFS(tbl_Finance[Inc GST],tbl_Finance[Job Number],C273&amp;""))</f>
        <v/>
      </c>
      <c r="M273" s="24" t="n"/>
      <c r="N273" s="25">
        <f>IF(C273="","",IFERROR(INDEX(tbl_Finance[Description],MATCH(C273&amp;"",tbl_Finance[Job Number],0)),""))</f>
        <v/>
      </c>
      <c r="O273" s="24" t="n"/>
      <c r="P273" s="24" t="n"/>
      <c r="Q273" s="22" t="n"/>
      <c r="R273" s="24" t="n"/>
      <c r="S273" s="25">
        <f>IF(R273="","",IF(AND(LEFT(R273,4)&lt;&gt;"http",set_RMSBase=""),"",HYPERLINK(IF(LEFT(R273,4)="http",R273,set_RMSBase&amp;R273),"Open opportunity")))</f>
        <v/>
      </c>
      <c r="T273" s="24" t="n"/>
      <c r="U273" s="25">
        <f>IF(T273="","",HYPERLINK(IF(LEFT(T273,4)="http",T273,set_QwilrBase&amp;T273),"Open quote"))</f>
        <v/>
      </c>
      <c r="V273" s="25">
        <f>IF(C273="","",C273)</f>
        <v/>
      </c>
      <c r="W273" s="24" t="n"/>
      <c r="X273" s="26" t="n"/>
      <c r="Y273" s="27">
        <f>IF(C273="","",H273+N(X273))</f>
        <v/>
      </c>
      <c r="Z273" s="29">
        <f>IFERROR(X273/Y273,"")</f>
        <v/>
      </c>
      <c r="AA273" s="26" t="n"/>
      <c r="AB273" s="26" t="n"/>
      <c r="AC273" s="26" t="n"/>
      <c r="AD273" s="26" t="n"/>
      <c r="AE273" s="27">
        <f>IF(C273="","",SUMIFS(tbl_Finance[Ex GST],tbl_Finance[Job Number],C273&amp;"",tbl_Finance[Cost Centre],"VIDEO"))</f>
        <v/>
      </c>
      <c r="AF273" s="29">
        <f>IFERROR(AE273/H273,"")</f>
        <v/>
      </c>
      <c r="AG273" s="27">
        <f>IF(C273="","",N(AA273)+N(AB273)+N(AC273)+N(AD273))</f>
        <v/>
      </c>
      <c r="AH273" s="27">
        <f>IF(C273="","",H273-AG273)</f>
        <v/>
      </c>
      <c r="AI273" s="29">
        <f>IFERROR(AH273/H273,"")</f>
        <v/>
      </c>
      <c r="AJ273" s="69" t="n"/>
      <c r="AK273" s="69" t="n"/>
      <c r="AL273" s="69" t="n"/>
      <c r="AM273" s="69" t="n"/>
      <c r="AN273" s="69" t="n"/>
      <c r="AO273" s="24" t="n"/>
    </row>
    <row r="274" ht="15" customHeight="1">
      <c r="A274" s="68">
        <f>IF(C274="","",IFERROR(IF(SUMPRODUCT(MAX((tbl_Finance[Job Number]=C274&amp;"")*(tbl_Finance[Xero Invoice No]&lt;&gt;"")*tbl_Finance[Date]))=0,"",SUMPRODUCT(MAX((tbl_Finance[Job Number]=C274&amp;"")*(tbl_Finance[Xero Invoice No]&lt;&gt;"")*tbl_Finance[Date]))),""))</f>
        <v/>
      </c>
      <c r="B274" s="25">
        <f>IF(C274="","",IF(COUNTIFS(tbl_Finance[Job Number],C274&amp;"",tbl_Finance[Xero Invoice No],"&lt;&gt;")=0,"",IFERROR(IF(COUNTIFS(tbl_Finance[Job Number],C274&amp;"",tbl_Finance[Xero Invoice No],LOOKUP(2,1/((tbl_Finance[Job Number]=C274&amp;"")*(tbl_Finance[Xero Invoice No]&lt;&gt;"")),tbl_Finance[Xero Invoice No]))=COUNTIFS(tbl_Finance[Job Number],C274&amp;"",tbl_Finance[Xero Invoice No],"&lt;&gt;"),LOOKUP(2,1/((tbl_Finance[Job Number]=C274&amp;"")*(tbl_Finance[Xero Invoice No]&lt;&gt;"")),tbl_Finance[Xero Invoice No]),LOOKUP(2,1/((tbl_Finance[Job Number]=C274&amp;"")*(tbl_Finance[Xero Invoice No]&lt;&gt;"")),tbl_Finance[Xero Invoice No])&amp;" +more"),"")))</f>
        <v/>
      </c>
      <c r="C274" s="24" t="n"/>
      <c r="D274" s="25">
        <f>IF(C274="","",IF(COUNTIF(lst_Jobs,C274&amp;"")&gt;0,"OK","CHECK"))</f>
        <v/>
      </c>
      <c r="E274" s="25">
        <f>IF(C274="","",IFERROR(INDEX(lst_JobName,MATCH(C274&amp;"",lst_Jobs,0)),""))</f>
        <v/>
      </c>
      <c r="F274" s="25">
        <f>IF(C274="","",IFERROR(INDEX(tbl_Finance[Client],MATCH(C274&amp;"",tbl_Finance[Job Number],0)),""))</f>
        <v/>
      </c>
      <c r="G274" s="28">
        <f>IF(C274="","",COUNTIFS(tbl_Finance[Job Number],C274&amp;"",tbl_Finance[Ex GST],"&lt;&gt;"))</f>
        <v/>
      </c>
      <c r="H274" s="27">
        <f>IF(C274="","",SUMIFS(tbl_Finance[Ex GST],tbl_Finance[Job Number],C274&amp;""))</f>
        <v/>
      </c>
      <c r="I274" s="27">
        <f>IF(C274="","",SUMIFS(tbl_Finance[Ex GST],tbl_Finance[Job Number],C274&amp;"",tbl_Finance[Xero Invoice No],"&lt;&gt;"))</f>
        <v/>
      </c>
      <c r="J274" s="27">
        <f>IF(C274="","",H274-I274)</f>
        <v/>
      </c>
      <c r="K274" s="25">
        <f>IF(C274="","",IF(G274=0,"not invoiced yet",SUBSTITUTE(TRIM(IF(COUNTIFS(tbl_Finance[Job Number],C274&amp;"",tbl_Finance[Cost Centre],"ONSITE")&gt;0,"ONSITE ","")&amp;IF(COUNTIFS(tbl_Finance[Job Number],C274&amp;"",tbl_Finance[Cost Centre],"PRODUCTION")&gt;0,"PRODUCTION ","")&amp;IF(COUNTIFS(tbl_Finance[Job Number],C274&amp;"",tbl_Finance[Cost Centre],"VIDEO")&gt;0,"VIDEO ","")&amp;IF(COUNTIFS(tbl_Finance[Job Number],C274&amp;"",tbl_Finance[Cost Centre],"INTEGRATION")&gt;0,"INTEGRATION ","")&amp;IF(COUNTIFS(tbl_Finance[Job Number],C274&amp;"",tbl_Finance[Cost Centre],"CONSULTING")&gt;0,"CONSULTING ","")&amp;IF(COUNTIFS(tbl_Finance[Job Number],C274&amp;"",tbl_Finance[Cost Centre],"CTS")&gt;0,"CTS ",""))," ",", ")))</f>
        <v/>
      </c>
      <c r="L274" s="27">
        <f>IF(C274="","",SUMIFS(tbl_Finance[Inc GST],tbl_Finance[Job Number],C274&amp;""))</f>
        <v/>
      </c>
      <c r="M274" s="24" t="n"/>
      <c r="N274" s="25">
        <f>IF(C274="","",IFERROR(INDEX(tbl_Finance[Description],MATCH(C274&amp;"",tbl_Finance[Job Number],0)),""))</f>
        <v/>
      </c>
      <c r="O274" s="24" t="n"/>
      <c r="P274" s="24" t="n"/>
      <c r="Q274" s="22" t="n"/>
      <c r="R274" s="24" t="n"/>
      <c r="S274" s="25">
        <f>IF(R274="","",IF(AND(LEFT(R274,4)&lt;&gt;"http",set_RMSBase=""),"",HYPERLINK(IF(LEFT(R274,4)="http",R274,set_RMSBase&amp;R274),"Open opportunity")))</f>
        <v/>
      </c>
      <c r="T274" s="24" t="n"/>
      <c r="U274" s="25">
        <f>IF(T274="","",HYPERLINK(IF(LEFT(T274,4)="http",T274,set_QwilrBase&amp;T274),"Open quote"))</f>
        <v/>
      </c>
      <c r="V274" s="25">
        <f>IF(C274="","",C274)</f>
        <v/>
      </c>
      <c r="W274" s="24" t="n"/>
      <c r="X274" s="26" t="n"/>
      <c r="Y274" s="27">
        <f>IF(C274="","",H274+N(X274))</f>
        <v/>
      </c>
      <c r="Z274" s="29">
        <f>IFERROR(X274/Y274,"")</f>
        <v/>
      </c>
      <c r="AA274" s="26" t="n"/>
      <c r="AB274" s="26" t="n"/>
      <c r="AC274" s="26" t="n"/>
      <c r="AD274" s="26" t="n"/>
      <c r="AE274" s="27">
        <f>IF(C274="","",SUMIFS(tbl_Finance[Ex GST],tbl_Finance[Job Number],C274&amp;"",tbl_Finance[Cost Centre],"VIDEO"))</f>
        <v/>
      </c>
      <c r="AF274" s="29">
        <f>IFERROR(AE274/H274,"")</f>
        <v/>
      </c>
      <c r="AG274" s="27">
        <f>IF(C274="","",N(AA274)+N(AB274)+N(AC274)+N(AD274))</f>
        <v/>
      </c>
      <c r="AH274" s="27">
        <f>IF(C274="","",H274-AG274)</f>
        <v/>
      </c>
      <c r="AI274" s="29">
        <f>IFERROR(AH274/H274,"")</f>
        <v/>
      </c>
      <c r="AJ274" s="69" t="n"/>
      <c r="AK274" s="69" t="n"/>
      <c r="AL274" s="69" t="n"/>
      <c r="AM274" s="69" t="n"/>
      <c r="AN274" s="69" t="n"/>
      <c r="AO274" s="24" t="n"/>
    </row>
    <row r="275" ht="15" customHeight="1">
      <c r="A275" s="68">
        <f>IF(C275="","",IFERROR(IF(SUMPRODUCT(MAX((tbl_Finance[Job Number]=C275&amp;"")*(tbl_Finance[Xero Invoice No]&lt;&gt;"")*tbl_Finance[Date]))=0,"",SUMPRODUCT(MAX((tbl_Finance[Job Number]=C275&amp;"")*(tbl_Finance[Xero Invoice No]&lt;&gt;"")*tbl_Finance[Date]))),""))</f>
        <v/>
      </c>
      <c r="B275" s="25">
        <f>IF(C275="","",IF(COUNTIFS(tbl_Finance[Job Number],C275&amp;"",tbl_Finance[Xero Invoice No],"&lt;&gt;")=0,"",IFERROR(IF(COUNTIFS(tbl_Finance[Job Number],C275&amp;"",tbl_Finance[Xero Invoice No],LOOKUP(2,1/((tbl_Finance[Job Number]=C275&amp;"")*(tbl_Finance[Xero Invoice No]&lt;&gt;"")),tbl_Finance[Xero Invoice No]))=COUNTIFS(tbl_Finance[Job Number],C275&amp;"",tbl_Finance[Xero Invoice No],"&lt;&gt;"),LOOKUP(2,1/((tbl_Finance[Job Number]=C275&amp;"")*(tbl_Finance[Xero Invoice No]&lt;&gt;"")),tbl_Finance[Xero Invoice No]),LOOKUP(2,1/((tbl_Finance[Job Number]=C275&amp;"")*(tbl_Finance[Xero Invoice No]&lt;&gt;"")),tbl_Finance[Xero Invoice No])&amp;" +more"),"")))</f>
        <v/>
      </c>
      <c r="C275" s="24" t="n"/>
      <c r="D275" s="25">
        <f>IF(C275="","",IF(COUNTIF(lst_Jobs,C275&amp;"")&gt;0,"OK","CHECK"))</f>
        <v/>
      </c>
      <c r="E275" s="25">
        <f>IF(C275="","",IFERROR(INDEX(lst_JobName,MATCH(C275&amp;"",lst_Jobs,0)),""))</f>
        <v/>
      </c>
      <c r="F275" s="25">
        <f>IF(C275="","",IFERROR(INDEX(tbl_Finance[Client],MATCH(C275&amp;"",tbl_Finance[Job Number],0)),""))</f>
        <v/>
      </c>
      <c r="G275" s="28">
        <f>IF(C275="","",COUNTIFS(tbl_Finance[Job Number],C275&amp;"",tbl_Finance[Ex GST],"&lt;&gt;"))</f>
        <v/>
      </c>
      <c r="H275" s="27">
        <f>IF(C275="","",SUMIFS(tbl_Finance[Ex GST],tbl_Finance[Job Number],C275&amp;""))</f>
        <v/>
      </c>
      <c r="I275" s="27">
        <f>IF(C275="","",SUMIFS(tbl_Finance[Ex GST],tbl_Finance[Job Number],C275&amp;"",tbl_Finance[Xero Invoice No],"&lt;&gt;"))</f>
        <v/>
      </c>
      <c r="J275" s="27">
        <f>IF(C275="","",H275-I275)</f>
        <v/>
      </c>
      <c r="K275" s="25">
        <f>IF(C275="","",IF(G275=0,"not invoiced yet",SUBSTITUTE(TRIM(IF(COUNTIFS(tbl_Finance[Job Number],C275&amp;"",tbl_Finance[Cost Centre],"ONSITE")&gt;0,"ONSITE ","")&amp;IF(COUNTIFS(tbl_Finance[Job Number],C275&amp;"",tbl_Finance[Cost Centre],"PRODUCTION")&gt;0,"PRODUCTION ","")&amp;IF(COUNTIFS(tbl_Finance[Job Number],C275&amp;"",tbl_Finance[Cost Centre],"VIDEO")&gt;0,"VIDEO ","")&amp;IF(COUNTIFS(tbl_Finance[Job Number],C275&amp;"",tbl_Finance[Cost Centre],"INTEGRATION")&gt;0,"INTEGRATION ","")&amp;IF(COUNTIFS(tbl_Finance[Job Number],C275&amp;"",tbl_Finance[Cost Centre],"CONSULTING")&gt;0,"CONSULTING ","")&amp;IF(COUNTIFS(tbl_Finance[Job Number],C275&amp;"",tbl_Finance[Cost Centre],"CTS")&gt;0,"CTS ",""))," ",", ")))</f>
        <v/>
      </c>
      <c r="L275" s="27">
        <f>IF(C275="","",SUMIFS(tbl_Finance[Inc GST],tbl_Finance[Job Number],C275&amp;""))</f>
        <v/>
      </c>
      <c r="M275" s="24" t="n"/>
      <c r="N275" s="25">
        <f>IF(C275="","",IFERROR(INDEX(tbl_Finance[Description],MATCH(C275&amp;"",tbl_Finance[Job Number],0)),""))</f>
        <v/>
      </c>
      <c r="O275" s="24" t="n"/>
      <c r="P275" s="24" t="n"/>
      <c r="Q275" s="22" t="n"/>
      <c r="R275" s="24" t="n"/>
      <c r="S275" s="25">
        <f>IF(R275="","",IF(AND(LEFT(R275,4)&lt;&gt;"http",set_RMSBase=""),"",HYPERLINK(IF(LEFT(R275,4)="http",R275,set_RMSBase&amp;R275),"Open opportunity")))</f>
        <v/>
      </c>
      <c r="T275" s="24" t="n"/>
      <c r="U275" s="25">
        <f>IF(T275="","",HYPERLINK(IF(LEFT(T275,4)="http",T275,set_QwilrBase&amp;T275),"Open quote"))</f>
        <v/>
      </c>
      <c r="V275" s="25">
        <f>IF(C275="","",C275)</f>
        <v/>
      </c>
      <c r="W275" s="24" t="n"/>
      <c r="X275" s="26" t="n"/>
      <c r="Y275" s="27">
        <f>IF(C275="","",H275+N(X275))</f>
        <v/>
      </c>
      <c r="Z275" s="29">
        <f>IFERROR(X275/Y275,"")</f>
        <v/>
      </c>
      <c r="AA275" s="26" t="n"/>
      <c r="AB275" s="26" t="n"/>
      <c r="AC275" s="26" t="n"/>
      <c r="AD275" s="26" t="n"/>
      <c r="AE275" s="27">
        <f>IF(C275="","",SUMIFS(tbl_Finance[Ex GST],tbl_Finance[Job Number],C275&amp;"",tbl_Finance[Cost Centre],"VIDEO"))</f>
        <v/>
      </c>
      <c r="AF275" s="29">
        <f>IFERROR(AE275/H275,"")</f>
        <v/>
      </c>
      <c r="AG275" s="27">
        <f>IF(C275="","",N(AA275)+N(AB275)+N(AC275)+N(AD275))</f>
        <v/>
      </c>
      <c r="AH275" s="27">
        <f>IF(C275="","",H275-AG275)</f>
        <v/>
      </c>
      <c r="AI275" s="29">
        <f>IFERROR(AH275/H275,"")</f>
        <v/>
      </c>
      <c r="AJ275" s="69" t="n"/>
      <c r="AK275" s="69" t="n"/>
      <c r="AL275" s="69" t="n"/>
      <c r="AM275" s="69" t="n"/>
      <c r="AN275" s="69" t="n"/>
      <c r="AO275" s="24" t="n"/>
    </row>
    <row r="276" ht="15" customHeight="1">
      <c r="A276" s="68">
        <f>IF(C276="","",IFERROR(IF(SUMPRODUCT(MAX((tbl_Finance[Job Number]=C276&amp;"")*(tbl_Finance[Xero Invoice No]&lt;&gt;"")*tbl_Finance[Date]))=0,"",SUMPRODUCT(MAX((tbl_Finance[Job Number]=C276&amp;"")*(tbl_Finance[Xero Invoice No]&lt;&gt;"")*tbl_Finance[Date]))),""))</f>
        <v/>
      </c>
      <c r="B276" s="25">
        <f>IF(C276="","",IF(COUNTIFS(tbl_Finance[Job Number],C276&amp;"",tbl_Finance[Xero Invoice No],"&lt;&gt;")=0,"",IFERROR(IF(COUNTIFS(tbl_Finance[Job Number],C276&amp;"",tbl_Finance[Xero Invoice No],LOOKUP(2,1/((tbl_Finance[Job Number]=C276&amp;"")*(tbl_Finance[Xero Invoice No]&lt;&gt;"")),tbl_Finance[Xero Invoice No]))=COUNTIFS(tbl_Finance[Job Number],C276&amp;"",tbl_Finance[Xero Invoice No],"&lt;&gt;"),LOOKUP(2,1/((tbl_Finance[Job Number]=C276&amp;"")*(tbl_Finance[Xero Invoice No]&lt;&gt;"")),tbl_Finance[Xero Invoice No]),LOOKUP(2,1/((tbl_Finance[Job Number]=C276&amp;"")*(tbl_Finance[Xero Invoice No]&lt;&gt;"")),tbl_Finance[Xero Invoice No])&amp;" +more"),"")))</f>
        <v/>
      </c>
      <c r="C276" s="24" t="n"/>
      <c r="D276" s="25">
        <f>IF(C276="","",IF(COUNTIF(lst_Jobs,C276&amp;"")&gt;0,"OK","CHECK"))</f>
        <v/>
      </c>
      <c r="E276" s="25">
        <f>IF(C276="","",IFERROR(INDEX(lst_JobName,MATCH(C276&amp;"",lst_Jobs,0)),""))</f>
        <v/>
      </c>
      <c r="F276" s="25">
        <f>IF(C276="","",IFERROR(INDEX(tbl_Finance[Client],MATCH(C276&amp;"",tbl_Finance[Job Number],0)),""))</f>
        <v/>
      </c>
      <c r="G276" s="28">
        <f>IF(C276="","",COUNTIFS(tbl_Finance[Job Number],C276&amp;"",tbl_Finance[Ex GST],"&lt;&gt;"))</f>
        <v/>
      </c>
      <c r="H276" s="27">
        <f>IF(C276="","",SUMIFS(tbl_Finance[Ex GST],tbl_Finance[Job Number],C276&amp;""))</f>
        <v/>
      </c>
      <c r="I276" s="27">
        <f>IF(C276="","",SUMIFS(tbl_Finance[Ex GST],tbl_Finance[Job Number],C276&amp;"",tbl_Finance[Xero Invoice No],"&lt;&gt;"))</f>
        <v/>
      </c>
      <c r="J276" s="27">
        <f>IF(C276="","",H276-I276)</f>
        <v/>
      </c>
      <c r="K276" s="25">
        <f>IF(C276="","",IF(G276=0,"not invoiced yet",SUBSTITUTE(TRIM(IF(COUNTIFS(tbl_Finance[Job Number],C276&amp;"",tbl_Finance[Cost Centre],"ONSITE")&gt;0,"ONSITE ","")&amp;IF(COUNTIFS(tbl_Finance[Job Number],C276&amp;"",tbl_Finance[Cost Centre],"PRODUCTION")&gt;0,"PRODUCTION ","")&amp;IF(COUNTIFS(tbl_Finance[Job Number],C276&amp;"",tbl_Finance[Cost Centre],"VIDEO")&gt;0,"VIDEO ","")&amp;IF(COUNTIFS(tbl_Finance[Job Number],C276&amp;"",tbl_Finance[Cost Centre],"INTEGRATION")&gt;0,"INTEGRATION ","")&amp;IF(COUNTIFS(tbl_Finance[Job Number],C276&amp;"",tbl_Finance[Cost Centre],"CONSULTING")&gt;0,"CONSULTING ","")&amp;IF(COUNTIFS(tbl_Finance[Job Number],C276&amp;"",tbl_Finance[Cost Centre],"CTS")&gt;0,"CTS ",""))," ",", ")))</f>
        <v/>
      </c>
      <c r="L276" s="27">
        <f>IF(C276="","",SUMIFS(tbl_Finance[Inc GST],tbl_Finance[Job Number],C276&amp;""))</f>
        <v/>
      </c>
      <c r="M276" s="24" t="n"/>
      <c r="N276" s="25">
        <f>IF(C276="","",IFERROR(INDEX(tbl_Finance[Description],MATCH(C276&amp;"",tbl_Finance[Job Number],0)),""))</f>
        <v/>
      </c>
      <c r="O276" s="24" t="n"/>
      <c r="P276" s="24" t="n"/>
      <c r="Q276" s="22" t="n"/>
      <c r="R276" s="24" t="n"/>
      <c r="S276" s="25">
        <f>IF(R276="","",IF(AND(LEFT(R276,4)&lt;&gt;"http",set_RMSBase=""),"",HYPERLINK(IF(LEFT(R276,4)="http",R276,set_RMSBase&amp;R276),"Open opportunity")))</f>
        <v/>
      </c>
      <c r="T276" s="24" t="n"/>
      <c r="U276" s="25">
        <f>IF(T276="","",HYPERLINK(IF(LEFT(T276,4)="http",T276,set_QwilrBase&amp;T276),"Open quote"))</f>
        <v/>
      </c>
      <c r="V276" s="25">
        <f>IF(C276="","",C276)</f>
        <v/>
      </c>
      <c r="W276" s="24" t="n"/>
      <c r="X276" s="26" t="n"/>
      <c r="Y276" s="27">
        <f>IF(C276="","",H276+N(X276))</f>
        <v/>
      </c>
      <c r="Z276" s="29">
        <f>IFERROR(X276/Y276,"")</f>
        <v/>
      </c>
      <c r="AA276" s="26" t="n"/>
      <c r="AB276" s="26" t="n"/>
      <c r="AC276" s="26" t="n"/>
      <c r="AD276" s="26" t="n"/>
      <c r="AE276" s="27">
        <f>IF(C276="","",SUMIFS(tbl_Finance[Ex GST],tbl_Finance[Job Number],C276&amp;"",tbl_Finance[Cost Centre],"VIDEO"))</f>
        <v/>
      </c>
      <c r="AF276" s="29">
        <f>IFERROR(AE276/H276,"")</f>
        <v/>
      </c>
      <c r="AG276" s="27">
        <f>IF(C276="","",N(AA276)+N(AB276)+N(AC276)+N(AD276))</f>
        <v/>
      </c>
      <c r="AH276" s="27">
        <f>IF(C276="","",H276-AG276)</f>
        <v/>
      </c>
      <c r="AI276" s="29">
        <f>IFERROR(AH276/H276,"")</f>
        <v/>
      </c>
      <c r="AJ276" s="69" t="n"/>
      <c r="AK276" s="69" t="n"/>
      <c r="AL276" s="69" t="n"/>
      <c r="AM276" s="69" t="n"/>
      <c r="AN276" s="69" t="n"/>
      <c r="AO276" s="24" t="n"/>
    </row>
    <row r="277" ht="15" customHeight="1">
      <c r="A277" s="68">
        <f>IF(C277="","",IFERROR(IF(SUMPRODUCT(MAX((tbl_Finance[Job Number]=C277&amp;"")*(tbl_Finance[Xero Invoice No]&lt;&gt;"")*tbl_Finance[Date]))=0,"",SUMPRODUCT(MAX((tbl_Finance[Job Number]=C277&amp;"")*(tbl_Finance[Xero Invoice No]&lt;&gt;"")*tbl_Finance[Date]))),""))</f>
        <v/>
      </c>
      <c r="B277" s="25">
        <f>IF(C277="","",IF(COUNTIFS(tbl_Finance[Job Number],C277&amp;"",tbl_Finance[Xero Invoice No],"&lt;&gt;")=0,"",IFERROR(IF(COUNTIFS(tbl_Finance[Job Number],C277&amp;"",tbl_Finance[Xero Invoice No],LOOKUP(2,1/((tbl_Finance[Job Number]=C277&amp;"")*(tbl_Finance[Xero Invoice No]&lt;&gt;"")),tbl_Finance[Xero Invoice No]))=COUNTIFS(tbl_Finance[Job Number],C277&amp;"",tbl_Finance[Xero Invoice No],"&lt;&gt;"),LOOKUP(2,1/((tbl_Finance[Job Number]=C277&amp;"")*(tbl_Finance[Xero Invoice No]&lt;&gt;"")),tbl_Finance[Xero Invoice No]),LOOKUP(2,1/((tbl_Finance[Job Number]=C277&amp;"")*(tbl_Finance[Xero Invoice No]&lt;&gt;"")),tbl_Finance[Xero Invoice No])&amp;" +more"),"")))</f>
        <v/>
      </c>
      <c r="C277" s="24" t="n"/>
      <c r="D277" s="25">
        <f>IF(C277="","",IF(COUNTIF(lst_Jobs,C277&amp;"")&gt;0,"OK","CHECK"))</f>
        <v/>
      </c>
      <c r="E277" s="25">
        <f>IF(C277="","",IFERROR(INDEX(lst_JobName,MATCH(C277&amp;"",lst_Jobs,0)),""))</f>
        <v/>
      </c>
      <c r="F277" s="25">
        <f>IF(C277="","",IFERROR(INDEX(tbl_Finance[Client],MATCH(C277&amp;"",tbl_Finance[Job Number],0)),""))</f>
        <v/>
      </c>
      <c r="G277" s="28">
        <f>IF(C277="","",COUNTIFS(tbl_Finance[Job Number],C277&amp;"",tbl_Finance[Ex GST],"&lt;&gt;"))</f>
        <v/>
      </c>
      <c r="H277" s="27">
        <f>IF(C277="","",SUMIFS(tbl_Finance[Ex GST],tbl_Finance[Job Number],C277&amp;""))</f>
        <v/>
      </c>
      <c r="I277" s="27">
        <f>IF(C277="","",SUMIFS(tbl_Finance[Ex GST],tbl_Finance[Job Number],C277&amp;"",tbl_Finance[Xero Invoice No],"&lt;&gt;"))</f>
        <v/>
      </c>
      <c r="J277" s="27">
        <f>IF(C277="","",H277-I277)</f>
        <v/>
      </c>
      <c r="K277" s="25">
        <f>IF(C277="","",IF(G277=0,"not invoiced yet",SUBSTITUTE(TRIM(IF(COUNTIFS(tbl_Finance[Job Number],C277&amp;"",tbl_Finance[Cost Centre],"ONSITE")&gt;0,"ONSITE ","")&amp;IF(COUNTIFS(tbl_Finance[Job Number],C277&amp;"",tbl_Finance[Cost Centre],"PRODUCTION")&gt;0,"PRODUCTION ","")&amp;IF(COUNTIFS(tbl_Finance[Job Number],C277&amp;"",tbl_Finance[Cost Centre],"VIDEO")&gt;0,"VIDEO ","")&amp;IF(COUNTIFS(tbl_Finance[Job Number],C277&amp;"",tbl_Finance[Cost Centre],"INTEGRATION")&gt;0,"INTEGRATION ","")&amp;IF(COUNTIFS(tbl_Finance[Job Number],C277&amp;"",tbl_Finance[Cost Centre],"CONSULTING")&gt;0,"CONSULTING ","")&amp;IF(COUNTIFS(tbl_Finance[Job Number],C277&amp;"",tbl_Finance[Cost Centre],"CTS")&gt;0,"CTS ",""))," ",", ")))</f>
        <v/>
      </c>
      <c r="L277" s="27">
        <f>IF(C277="","",SUMIFS(tbl_Finance[Inc GST],tbl_Finance[Job Number],C277&amp;""))</f>
        <v/>
      </c>
      <c r="M277" s="24" t="n"/>
      <c r="N277" s="25">
        <f>IF(C277="","",IFERROR(INDEX(tbl_Finance[Description],MATCH(C277&amp;"",tbl_Finance[Job Number],0)),""))</f>
        <v/>
      </c>
      <c r="O277" s="24" t="n"/>
      <c r="P277" s="24" t="n"/>
      <c r="Q277" s="22" t="n"/>
      <c r="R277" s="24" t="n"/>
      <c r="S277" s="25">
        <f>IF(R277="","",IF(AND(LEFT(R277,4)&lt;&gt;"http",set_RMSBase=""),"",HYPERLINK(IF(LEFT(R277,4)="http",R277,set_RMSBase&amp;R277),"Open opportunity")))</f>
        <v/>
      </c>
      <c r="T277" s="24" t="n"/>
      <c r="U277" s="25">
        <f>IF(T277="","",HYPERLINK(IF(LEFT(T277,4)="http",T277,set_QwilrBase&amp;T277),"Open quote"))</f>
        <v/>
      </c>
      <c r="V277" s="25">
        <f>IF(C277="","",C277)</f>
        <v/>
      </c>
      <c r="W277" s="24" t="n"/>
      <c r="X277" s="26" t="n"/>
      <c r="Y277" s="27">
        <f>IF(C277="","",H277+N(X277))</f>
        <v/>
      </c>
      <c r="Z277" s="29">
        <f>IFERROR(X277/Y277,"")</f>
        <v/>
      </c>
      <c r="AA277" s="26" t="n"/>
      <c r="AB277" s="26" t="n"/>
      <c r="AC277" s="26" t="n"/>
      <c r="AD277" s="26" t="n"/>
      <c r="AE277" s="27">
        <f>IF(C277="","",SUMIFS(tbl_Finance[Ex GST],tbl_Finance[Job Number],C277&amp;"",tbl_Finance[Cost Centre],"VIDEO"))</f>
        <v/>
      </c>
      <c r="AF277" s="29">
        <f>IFERROR(AE277/H277,"")</f>
        <v/>
      </c>
      <c r="AG277" s="27">
        <f>IF(C277="","",N(AA277)+N(AB277)+N(AC277)+N(AD277))</f>
        <v/>
      </c>
      <c r="AH277" s="27">
        <f>IF(C277="","",H277-AG277)</f>
        <v/>
      </c>
      <c r="AI277" s="29">
        <f>IFERROR(AH277/H277,"")</f>
        <v/>
      </c>
      <c r="AJ277" s="69" t="n"/>
      <c r="AK277" s="69" t="n"/>
      <c r="AL277" s="69" t="n"/>
      <c r="AM277" s="69" t="n"/>
      <c r="AN277" s="69" t="n"/>
      <c r="AO277" s="24" t="n"/>
    </row>
    <row r="278" ht="15" customHeight="1">
      <c r="A278" s="68">
        <f>IF(C278="","",IFERROR(IF(SUMPRODUCT(MAX((tbl_Finance[Job Number]=C278&amp;"")*(tbl_Finance[Xero Invoice No]&lt;&gt;"")*tbl_Finance[Date]))=0,"",SUMPRODUCT(MAX((tbl_Finance[Job Number]=C278&amp;"")*(tbl_Finance[Xero Invoice No]&lt;&gt;"")*tbl_Finance[Date]))),""))</f>
        <v/>
      </c>
      <c r="B278" s="25">
        <f>IF(C278="","",IF(COUNTIFS(tbl_Finance[Job Number],C278&amp;"",tbl_Finance[Xero Invoice No],"&lt;&gt;")=0,"",IFERROR(IF(COUNTIFS(tbl_Finance[Job Number],C278&amp;"",tbl_Finance[Xero Invoice No],LOOKUP(2,1/((tbl_Finance[Job Number]=C278&amp;"")*(tbl_Finance[Xero Invoice No]&lt;&gt;"")),tbl_Finance[Xero Invoice No]))=COUNTIFS(tbl_Finance[Job Number],C278&amp;"",tbl_Finance[Xero Invoice No],"&lt;&gt;"),LOOKUP(2,1/((tbl_Finance[Job Number]=C278&amp;"")*(tbl_Finance[Xero Invoice No]&lt;&gt;"")),tbl_Finance[Xero Invoice No]),LOOKUP(2,1/((tbl_Finance[Job Number]=C278&amp;"")*(tbl_Finance[Xero Invoice No]&lt;&gt;"")),tbl_Finance[Xero Invoice No])&amp;" +more"),"")))</f>
        <v/>
      </c>
      <c r="C278" s="24" t="n"/>
      <c r="D278" s="25">
        <f>IF(C278="","",IF(COUNTIF(lst_Jobs,C278&amp;"")&gt;0,"OK","CHECK"))</f>
        <v/>
      </c>
      <c r="E278" s="25">
        <f>IF(C278="","",IFERROR(INDEX(lst_JobName,MATCH(C278&amp;"",lst_Jobs,0)),""))</f>
        <v/>
      </c>
      <c r="F278" s="25">
        <f>IF(C278="","",IFERROR(INDEX(tbl_Finance[Client],MATCH(C278&amp;"",tbl_Finance[Job Number],0)),""))</f>
        <v/>
      </c>
      <c r="G278" s="28">
        <f>IF(C278="","",COUNTIFS(tbl_Finance[Job Number],C278&amp;"",tbl_Finance[Ex GST],"&lt;&gt;"))</f>
        <v/>
      </c>
      <c r="H278" s="27">
        <f>IF(C278="","",SUMIFS(tbl_Finance[Ex GST],tbl_Finance[Job Number],C278&amp;""))</f>
        <v/>
      </c>
      <c r="I278" s="27">
        <f>IF(C278="","",SUMIFS(tbl_Finance[Ex GST],tbl_Finance[Job Number],C278&amp;"",tbl_Finance[Xero Invoice No],"&lt;&gt;"))</f>
        <v/>
      </c>
      <c r="J278" s="27">
        <f>IF(C278="","",H278-I278)</f>
        <v/>
      </c>
      <c r="K278" s="25">
        <f>IF(C278="","",IF(G278=0,"not invoiced yet",SUBSTITUTE(TRIM(IF(COUNTIFS(tbl_Finance[Job Number],C278&amp;"",tbl_Finance[Cost Centre],"ONSITE")&gt;0,"ONSITE ","")&amp;IF(COUNTIFS(tbl_Finance[Job Number],C278&amp;"",tbl_Finance[Cost Centre],"PRODUCTION")&gt;0,"PRODUCTION ","")&amp;IF(COUNTIFS(tbl_Finance[Job Number],C278&amp;"",tbl_Finance[Cost Centre],"VIDEO")&gt;0,"VIDEO ","")&amp;IF(COUNTIFS(tbl_Finance[Job Number],C278&amp;"",tbl_Finance[Cost Centre],"INTEGRATION")&gt;0,"INTEGRATION ","")&amp;IF(COUNTIFS(tbl_Finance[Job Number],C278&amp;"",tbl_Finance[Cost Centre],"CONSULTING")&gt;0,"CONSULTING ","")&amp;IF(COUNTIFS(tbl_Finance[Job Number],C278&amp;"",tbl_Finance[Cost Centre],"CTS")&gt;0,"CTS ",""))," ",", ")))</f>
        <v/>
      </c>
      <c r="L278" s="27">
        <f>IF(C278="","",SUMIFS(tbl_Finance[Inc GST],tbl_Finance[Job Number],C278&amp;""))</f>
        <v/>
      </c>
      <c r="M278" s="24" t="n"/>
      <c r="N278" s="25">
        <f>IF(C278="","",IFERROR(INDEX(tbl_Finance[Description],MATCH(C278&amp;"",tbl_Finance[Job Number],0)),""))</f>
        <v/>
      </c>
      <c r="O278" s="24" t="n"/>
      <c r="P278" s="24" t="n"/>
      <c r="Q278" s="22" t="n"/>
      <c r="R278" s="24" t="n"/>
      <c r="S278" s="25">
        <f>IF(R278="","",IF(AND(LEFT(R278,4)&lt;&gt;"http",set_RMSBase=""),"",HYPERLINK(IF(LEFT(R278,4)="http",R278,set_RMSBase&amp;R278),"Open opportunity")))</f>
        <v/>
      </c>
      <c r="T278" s="24" t="n"/>
      <c r="U278" s="25">
        <f>IF(T278="","",HYPERLINK(IF(LEFT(T278,4)="http",T278,set_QwilrBase&amp;T278),"Open quote"))</f>
        <v/>
      </c>
      <c r="V278" s="25">
        <f>IF(C278="","",C278)</f>
        <v/>
      </c>
      <c r="W278" s="24" t="n"/>
      <c r="X278" s="26" t="n"/>
      <c r="Y278" s="27">
        <f>IF(C278="","",H278+N(X278))</f>
        <v/>
      </c>
      <c r="Z278" s="29">
        <f>IFERROR(X278/Y278,"")</f>
        <v/>
      </c>
      <c r="AA278" s="26" t="n"/>
      <c r="AB278" s="26" t="n"/>
      <c r="AC278" s="26" t="n"/>
      <c r="AD278" s="26" t="n"/>
      <c r="AE278" s="27">
        <f>IF(C278="","",SUMIFS(tbl_Finance[Ex GST],tbl_Finance[Job Number],C278&amp;"",tbl_Finance[Cost Centre],"VIDEO"))</f>
        <v/>
      </c>
      <c r="AF278" s="29">
        <f>IFERROR(AE278/H278,"")</f>
        <v/>
      </c>
      <c r="AG278" s="27">
        <f>IF(C278="","",N(AA278)+N(AB278)+N(AC278)+N(AD278))</f>
        <v/>
      </c>
      <c r="AH278" s="27">
        <f>IF(C278="","",H278-AG278)</f>
        <v/>
      </c>
      <c r="AI278" s="29">
        <f>IFERROR(AH278/H278,"")</f>
        <v/>
      </c>
      <c r="AJ278" s="69" t="n"/>
      <c r="AK278" s="69" t="n"/>
      <c r="AL278" s="69" t="n"/>
      <c r="AM278" s="69" t="n"/>
      <c r="AN278" s="69" t="n"/>
      <c r="AO278" s="24" t="n"/>
    </row>
    <row r="279" ht="15" customHeight="1">
      <c r="A279" s="68">
        <f>IF(C279="","",IFERROR(IF(SUMPRODUCT(MAX((tbl_Finance[Job Number]=C279&amp;"")*(tbl_Finance[Xero Invoice No]&lt;&gt;"")*tbl_Finance[Date]))=0,"",SUMPRODUCT(MAX((tbl_Finance[Job Number]=C279&amp;"")*(tbl_Finance[Xero Invoice No]&lt;&gt;"")*tbl_Finance[Date]))),""))</f>
        <v/>
      </c>
      <c r="B279" s="25">
        <f>IF(C279="","",IF(COUNTIFS(tbl_Finance[Job Number],C279&amp;"",tbl_Finance[Xero Invoice No],"&lt;&gt;")=0,"",IFERROR(IF(COUNTIFS(tbl_Finance[Job Number],C279&amp;"",tbl_Finance[Xero Invoice No],LOOKUP(2,1/((tbl_Finance[Job Number]=C279&amp;"")*(tbl_Finance[Xero Invoice No]&lt;&gt;"")),tbl_Finance[Xero Invoice No]))=COUNTIFS(tbl_Finance[Job Number],C279&amp;"",tbl_Finance[Xero Invoice No],"&lt;&gt;"),LOOKUP(2,1/((tbl_Finance[Job Number]=C279&amp;"")*(tbl_Finance[Xero Invoice No]&lt;&gt;"")),tbl_Finance[Xero Invoice No]),LOOKUP(2,1/((tbl_Finance[Job Number]=C279&amp;"")*(tbl_Finance[Xero Invoice No]&lt;&gt;"")),tbl_Finance[Xero Invoice No])&amp;" +more"),"")))</f>
        <v/>
      </c>
      <c r="C279" s="24" t="n"/>
      <c r="D279" s="25">
        <f>IF(C279="","",IF(COUNTIF(lst_Jobs,C279&amp;"")&gt;0,"OK","CHECK"))</f>
        <v/>
      </c>
      <c r="E279" s="25">
        <f>IF(C279="","",IFERROR(INDEX(lst_JobName,MATCH(C279&amp;"",lst_Jobs,0)),""))</f>
        <v/>
      </c>
      <c r="F279" s="25">
        <f>IF(C279="","",IFERROR(INDEX(tbl_Finance[Client],MATCH(C279&amp;"",tbl_Finance[Job Number],0)),""))</f>
        <v/>
      </c>
      <c r="G279" s="28">
        <f>IF(C279="","",COUNTIFS(tbl_Finance[Job Number],C279&amp;"",tbl_Finance[Ex GST],"&lt;&gt;"))</f>
        <v/>
      </c>
      <c r="H279" s="27">
        <f>IF(C279="","",SUMIFS(tbl_Finance[Ex GST],tbl_Finance[Job Number],C279&amp;""))</f>
        <v/>
      </c>
      <c r="I279" s="27">
        <f>IF(C279="","",SUMIFS(tbl_Finance[Ex GST],tbl_Finance[Job Number],C279&amp;"",tbl_Finance[Xero Invoice No],"&lt;&gt;"))</f>
        <v/>
      </c>
      <c r="J279" s="27">
        <f>IF(C279="","",H279-I279)</f>
        <v/>
      </c>
      <c r="K279" s="25">
        <f>IF(C279="","",IF(G279=0,"not invoiced yet",SUBSTITUTE(TRIM(IF(COUNTIFS(tbl_Finance[Job Number],C279&amp;"",tbl_Finance[Cost Centre],"ONSITE")&gt;0,"ONSITE ","")&amp;IF(COUNTIFS(tbl_Finance[Job Number],C279&amp;"",tbl_Finance[Cost Centre],"PRODUCTION")&gt;0,"PRODUCTION ","")&amp;IF(COUNTIFS(tbl_Finance[Job Number],C279&amp;"",tbl_Finance[Cost Centre],"VIDEO")&gt;0,"VIDEO ","")&amp;IF(COUNTIFS(tbl_Finance[Job Number],C279&amp;"",tbl_Finance[Cost Centre],"INTEGRATION")&gt;0,"INTEGRATION ","")&amp;IF(COUNTIFS(tbl_Finance[Job Number],C279&amp;"",tbl_Finance[Cost Centre],"CONSULTING")&gt;0,"CONSULTING ","")&amp;IF(COUNTIFS(tbl_Finance[Job Number],C279&amp;"",tbl_Finance[Cost Centre],"CTS")&gt;0,"CTS ",""))," ",", ")))</f>
        <v/>
      </c>
      <c r="L279" s="27">
        <f>IF(C279="","",SUMIFS(tbl_Finance[Inc GST],tbl_Finance[Job Number],C279&amp;""))</f>
        <v/>
      </c>
      <c r="M279" s="24" t="n"/>
      <c r="N279" s="25">
        <f>IF(C279="","",IFERROR(INDEX(tbl_Finance[Description],MATCH(C279&amp;"",tbl_Finance[Job Number],0)),""))</f>
        <v/>
      </c>
      <c r="O279" s="24" t="n"/>
      <c r="P279" s="24" t="n"/>
      <c r="Q279" s="22" t="n"/>
      <c r="R279" s="24" t="n"/>
      <c r="S279" s="25">
        <f>IF(R279="","",IF(AND(LEFT(R279,4)&lt;&gt;"http",set_RMSBase=""),"",HYPERLINK(IF(LEFT(R279,4)="http",R279,set_RMSBase&amp;R279),"Open opportunity")))</f>
        <v/>
      </c>
      <c r="T279" s="24" t="n"/>
      <c r="U279" s="25">
        <f>IF(T279="","",HYPERLINK(IF(LEFT(T279,4)="http",T279,set_QwilrBase&amp;T279),"Open quote"))</f>
        <v/>
      </c>
      <c r="V279" s="25">
        <f>IF(C279="","",C279)</f>
        <v/>
      </c>
      <c r="W279" s="24" t="n"/>
      <c r="X279" s="26" t="n"/>
      <c r="Y279" s="27">
        <f>IF(C279="","",H279+N(X279))</f>
        <v/>
      </c>
      <c r="Z279" s="29">
        <f>IFERROR(X279/Y279,"")</f>
        <v/>
      </c>
      <c r="AA279" s="26" t="n"/>
      <c r="AB279" s="26" t="n"/>
      <c r="AC279" s="26" t="n"/>
      <c r="AD279" s="26" t="n"/>
      <c r="AE279" s="27">
        <f>IF(C279="","",SUMIFS(tbl_Finance[Ex GST],tbl_Finance[Job Number],C279&amp;"",tbl_Finance[Cost Centre],"VIDEO"))</f>
        <v/>
      </c>
      <c r="AF279" s="29">
        <f>IFERROR(AE279/H279,"")</f>
        <v/>
      </c>
      <c r="AG279" s="27">
        <f>IF(C279="","",N(AA279)+N(AB279)+N(AC279)+N(AD279))</f>
        <v/>
      </c>
      <c r="AH279" s="27">
        <f>IF(C279="","",H279-AG279)</f>
        <v/>
      </c>
      <c r="AI279" s="29">
        <f>IFERROR(AH279/H279,"")</f>
        <v/>
      </c>
      <c r="AJ279" s="69" t="n"/>
      <c r="AK279" s="69" t="n"/>
      <c r="AL279" s="69" t="n"/>
      <c r="AM279" s="69" t="n"/>
      <c r="AN279" s="69" t="n"/>
      <c r="AO279" s="24" t="n"/>
    </row>
    <row r="280" ht="15" customHeight="1">
      <c r="A280" s="68">
        <f>IF(C280="","",IFERROR(IF(SUMPRODUCT(MAX((tbl_Finance[Job Number]=C280&amp;"")*(tbl_Finance[Xero Invoice No]&lt;&gt;"")*tbl_Finance[Date]))=0,"",SUMPRODUCT(MAX((tbl_Finance[Job Number]=C280&amp;"")*(tbl_Finance[Xero Invoice No]&lt;&gt;"")*tbl_Finance[Date]))),""))</f>
        <v/>
      </c>
      <c r="B280" s="25">
        <f>IF(C280="","",IF(COUNTIFS(tbl_Finance[Job Number],C280&amp;"",tbl_Finance[Xero Invoice No],"&lt;&gt;")=0,"",IFERROR(IF(COUNTIFS(tbl_Finance[Job Number],C280&amp;"",tbl_Finance[Xero Invoice No],LOOKUP(2,1/((tbl_Finance[Job Number]=C280&amp;"")*(tbl_Finance[Xero Invoice No]&lt;&gt;"")),tbl_Finance[Xero Invoice No]))=COUNTIFS(tbl_Finance[Job Number],C280&amp;"",tbl_Finance[Xero Invoice No],"&lt;&gt;"),LOOKUP(2,1/((tbl_Finance[Job Number]=C280&amp;"")*(tbl_Finance[Xero Invoice No]&lt;&gt;"")),tbl_Finance[Xero Invoice No]),LOOKUP(2,1/((tbl_Finance[Job Number]=C280&amp;"")*(tbl_Finance[Xero Invoice No]&lt;&gt;"")),tbl_Finance[Xero Invoice No])&amp;" +more"),"")))</f>
        <v/>
      </c>
      <c r="C280" s="24" t="n"/>
      <c r="D280" s="25">
        <f>IF(C280="","",IF(COUNTIF(lst_Jobs,C280&amp;"")&gt;0,"OK","CHECK"))</f>
        <v/>
      </c>
      <c r="E280" s="25">
        <f>IF(C280="","",IFERROR(INDEX(lst_JobName,MATCH(C280&amp;"",lst_Jobs,0)),""))</f>
        <v/>
      </c>
      <c r="F280" s="25">
        <f>IF(C280="","",IFERROR(INDEX(tbl_Finance[Client],MATCH(C280&amp;"",tbl_Finance[Job Number],0)),""))</f>
        <v/>
      </c>
      <c r="G280" s="28">
        <f>IF(C280="","",COUNTIFS(tbl_Finance[Job Number],C280&amp;"",tbl_Finance[Ex GST],"&lt;&gt;"))</f>
        <v/>
      </c>
      <c r="H280" s="27">
        <f>IF(C280="","",SUMIFS(tbl_Finance[Ex GST],tbl_Finance[Job Number],C280&amp;""))</f>
        <v/>
      </c>
      <c r="I280" s="27">
        <f>IF(C280="","",SUMIFS(tbl_Finance[Ex GST],tbl_Finance[Job Number],C280&amp;"",tbl_Finance[Xero Invoice No],"&lt;&gt;"))</f>
        <v/>
      </c>
      <c r="J280" s="27">
        <f>IF(C280="","",H280-I280)</f>
        <v/>
      </c>
      <c r="K280" s="25">
        <f>IF(C280="","",IF(G280=0,"not invoiced yet",SUBSTITUTE(TRIM(IF(COUNTIFS(tbl_Finance[Job Number],C280&amp;"",tbl_Finance[Cost Centre],"ONSITE")&gt;0,"ONSITE ","")&amp;IF(COUNTIFS(tbl_Finance[Job Number],C280&amp;"",tbl_Finance[Cost Centre],"PRODUCTION")&gt;0,"PRODUCTION ","")&amp;IF(COUNTIFS(tbl_Finance[Job Number],C280&amp;"",tbl_Finance[Cost Centre],"VIDEO")&gt;0,"VIDEO ","")&amp;IF(COUNTIFS(tbl_Finance[Job Number],C280&amp;"",tbl_Finance[Cost Centre],"INTEGRATION")&gt;0,"INTEGRATION ","")&amp;IF(COUNTIFS(tbl_Finance[Job Number],C280&amp;"",tbl_Finance[Cost Centre],"CONSULTING")&gt;0,"CONSULTING ","")&amp;IF(COUNTIFS(tbl_Finance[Job Number],C280&amp;"",tbl_Finance[Cost Centre],"CTS")&gt;0,"CTS ",""))," ",", ")))</f>
        <v/>
      </c>
      <c r="L280" s="27">
        <f>IF(C280="","",SUMIFS(tbl_Finance[Inc GST],tbl_Finance[Job Number],C280&amp;""))</f>
        <v/>
      </c>
      <c r="M280" s="24" t="n"/>
      <c r="N280" s="25">
        <f>IF(C280="","",IFERROR(INDEX(tbl_Finance[Description],MATCH(C280&amp;"",tbl_Finance[Job Number],0)),""))</f>
        <v/>
      </c>
      <c r="O280" s="24" t="n"/>
      <c r="P280" s="24" t="n"/>
      <c r="Q280" s="22" t="n"/>
      <c r="R280" s="24" t="n"/>
      <c r="S280" s="25">
        <f>IF(R280="","",IF(AND(LEFT(R280,4)&lt;&gt;"http",set_RMSBase=""),"",HYPERLINK(IF(LEFT(R280,4)="http",R280,set_RMSBase&amp;R280),"Open opportunity")))</f>
        <v/>
      </c>
      <c r="T280" s="24" t="n"/>
      <c r="U280" s="25">
        <f>IF(T280="","",HYPERLINK(IF(LEFT(T280,4)="http",T280,set_QwilrBase&amp;T280),"Open quote"))</f>
        <v/>
      </c>
      <c r="V280" s="25">
        <f>IF(C280="","",C280)</f>
        <v/>
      </c>
      <c r="W280" s="24" t="n"/>
      <c r="X280" s="26" t="n"/>
      <c r="Y280" s="27">
        <f>IF(C280="","",H280+N(X280))</f>
        <v/>
      </c>
      <c r="Z280" s="29">
        <f>IFERROR(X280/Y280,"")</f>
        <v/>
      </c>
      <c r="AA280" s="26" t="n"/>
      <c r="AB280" s="26" t="n"/>
      <c r="AC280" s="26" t="n"/>
      <c r="AD280" s="26" t="n"/>
      <c r="AE280" s="27">
        <f>IF(C280="","",SUMIFS(tbl_Finance[Ex GST],tbl_Finance[Job Number],C280&amp;"",tbl_Finance[Cost Centre],"VIDEO"))</f>
        <v/>
      </c>
      <c r="AF280" s="29">
        <f>IFERROR(AE280/H280,"")</f>
        <v/>
      </c>
      <c r="AG280" s="27">
        <f>IF(C280="","",N(AA280)+N(AB280)+N(AC280)+N(AD280))</f>
        <v/>
      </c>
      <c r="AH280" s="27">
        <f>IF(C280="","",H280-AG280)</f>
        <v/>
      </c>
      <c r="AI280" s="29">
        <f>IFERROR(AH280/H280,"")</f>
        <v/>
      </c>
      <c r="AJ280" s="69" t="n"/>
      <c r="AK280" s="69" t="n"/>
      <c r="AL280" s="69" t="n"/>
      <c r="AM280" s="69" t="n"/>
      <c r="AN280" s="69" t="n"/>
      <c r="AO280" s="24" t="n"/>
    </row>
    <row r="281" ht="15" customHeight="1">
      <c r="A281" s="68">
        <f>IF(C281="","",IFERROR(IF(SUMPRODUCT(MAX((tbl_Finance[Job Number]=C281&amp;"")*(tbl_Finance[Xero Invoice No]&lt;&gt;"")*tbl_Finance[Date]))=0,"",SUMPRODUCT(MAX((tbl_Finance[Job Number]=C281&amp;"")*(tbl_Finance[Xero Invoice No]&lt;&gt;"")*tbl_Finance[Date]))),""))</f>
        <v/>
      </c>
      <c r="B281" s="25">
        <f>IF(C281="","",IF(COUNTIFS(tbl_Finance[Job Number],C281&amp;"",tbl_Finance[Xero Invoice No],"&lt;&gt;")=0,"",IFERROR(IF(COUNTIFS(tbl_Finance[Job Number],C281&amp;"",tbl_Finance[Xero Invoice No],LOOKUP(2,1/((tbl_Finance[Job Number]=C281&amp;"")*(tbl_Finance[Xero Invoice No]&lt;&gt;"")),tbl_Finance[Xero Invoice No]))=COUNTIFS(tbl_Finance[Job Number],C281&amp;"",tbl_Finance[Xero Invoice No],"&lt;&gt;"),LOOKUP(2,1/((tbl_Finance[Job Number]=C281&amp;"")*(tbl_Finance[Xero Invoice No]&lt;&gt;"")),tbl_Finance[Xero Invoice No]),LOOKUP(2,1/((tbl_Finance[Job Number]=C281&amp;"")*(tbl_Finance[Xero Invoice No]&lt;&gt;"")),tbl_Finance[Xero Invoice No])&amp;" +more"),"")))</f>
        <v/>
      </c>
      <c r="C281" s="24" t="n"/>
      <c r="D281" s="25">
        <f>IF(C281="","",IF(COUNTIF(lst_Jobs,C281&amp;"")&gt;0,"OK","CHECK"))</f>
        <v/>
      </c>
      <c r="E281" s="25">
        <f>IF(C281="","",IFERROR(INDEX(lst_JobName,MATCH(C281&amp;"",lst_Jobs,0)),""))</f>
        <v/>
      </c>
      <c r="F281" s="25">
        <f>IF(C281="","",IFERROR(INDEX(tbl_Finance[Client],MATCH(C281&amp;"",tbl_Finance[Job Number],0)),""))</f>
        <v/>
      </c>
      <c r="G281" s="28">
        <f>IF(C281="","",COUNTIFS(tbl_Finance[Job Number],C281&amp;"",tbl_Finance[Ex GST],"&lt;&gt;"))</f>
        <v/>
      </c>
      <c r="H281" s="27">
        <f>IF(C281="","",SUMIFS(tbl_Finance[Ex GST],tbl_Finance[Job Number],C281&amp;""))</f>
        <v/>
      </c>
      <c r="I281" s="27">
        <f>IF(C281="","",SUMIFS(tbl_Finance[Ex GST],tbl_Finance[Job Number],C281&amp;"",tbl_Finance[Xero Invoice No],"&lt;&gt;"))</f>
        <v/>
      </c>
      <c r="J281" s="27">
        <f>IF(C281="","",H281-I281)</f>
        <v/>
      </c>
      <c r="K281" s="25">
        <f>IF(C281="","",IF(G281=0,"not invoiced yet",SUBSTITUTE(TRIM(IF(COUNTIFS(tbl_Finance[Job Number],C281&amp;"",tbl_Finance[Cost Centre],"ONSITE")&gt;0,"ONSITE ","")&amp;IF(COUNTIFS(tbl_Finance[Job Number],C281&amp;"",tbl_Finance[Cost Centre],"PRODUCTION")&gt;0,"PRODUCTION ","")&amp;IF(COUNTIFS(tbl_Finance[Job Number],C281&amp;"",tbl_Finance[Cost Centre],"VIDEO")&gt;0,"VIDEO ","")&amp;IF(COUNTIFS(tbl_Finance[Job Number],C281&amp;"",tbl_Finance[Cost Centre],"INTEGRATION")&gt;0,"INTEGRATION ","")&amp;IF(COUNTIFS(tbl_Finance[Job Number],C281&amp;"",tbl_Finance[Cost Centre],"CONSULTING")&gt;0,"CONSULTING ","")&amp;IF(COUNTIFS(tbl_Finance[Job Number],C281&amp;"",tbl_Finance[Cost Centre],"CTS")&gt;0,"CTS ",""))," ",", ")))</f>
        <v/>
      </c>
      <c r="L281" s="27">
        <f>IF(C281="","",SUMIFS(tbl_Finance[Inc GST],tbl_Finance[Job Number],C281&amp;""))</f>
        <v/>
      </c>
      <c r="M281" s="24" t="n"/>
      <c r="N281" s="25">
        <f>IF(C281="","",IFERROR(INDEX(tbl_Finance[Description],MATCH(C281&amp;"",tbl_Finance[Job Number],0)),""))</f>
        <v/>
      </c>
      <c r="O281" s="24" t="n"/>
      <c r="P281" s="24" t="n"/>
      <c r="Q281" s="22" t="n"/>
      <c r="R281" s="24" t="n"/>
      <c r="S281" s="25">
        <f>IF(R281="","",IF(AND(LEFT(R281,4)&lt;&gt;"http",set_RMSBase=""),"",HYPERLINK(IF(LEFT(R281,4)="http",R281,set_RMSBase&amp;R281),"Open opportunity")))</f>
        <v/>
      </c>
      <c r="T281" s="24" t="n"/>
      <c r="U281" s="25">
        <f>IF(T281="","",HYPERLINK(IF(LEFT(T281,4)="http",T281,set_QwilrBase&amp;T281),"Open quote"))</f>
        <v/>
      </c>
      <c r="V281" s="25">
        <f>IF(C281="","",C281)</f>
        <v/>
      </c>
      <c r="W281" s="24" t="n"/>
      <c r="X281" s="26" t="n"/>
      <c r="Y281" s="27">
        <f>IF(C281="","",H281+N(X281))</f>
        <v/>
      </c>
      <c r="Z281" s="29">
        <f>IFERROR(X281/Y281,"")</f>
        <v/>
      </c>
      <c r="AA281" s="26" t="n"/>
      <c r="AB281" s="26" t="n"/>
      <c r="AC281" s="26" t="n"/>
      <c r="AD281" s="26" t="n"/>
      <c r="AE281" s="27">
        <f>IF(C281="","",SUMIFS(tbl_Finance[Ex GST],tbl_Finance[Job Number],C281&amp;"",tbl_Finance[Cost Centre],"VIDEO"))</f>
        <v/>
      </c>
      <c r="AF281" s="29">
        <f>IFERROR(AE281/H281,"")</f>
        <v/>
      </c>
      <c r="AG281" s="27">
        <f>IF(C281="","",N(AA281)+N(AB281)+N(AC281)+N(AD281))</f>
        <v/>
      </c>
      <c r="AH281" s="27">
        <f>IF(C281="","",H281-AG281)</f>
        <v/>
      </c>
      <c r="AI281" s="29">
        <f>IFERROR(AH281/H281,"")</f>
        <v/>
      </c>
      <c r="AJ281" s="69" t="n"/>
      <c r="AK281" s="69" t="n"/>
      <c r="AL281" s="69" t="n"/>
      <c r="AM281" s="69" t="n"/>
      <c r="AN281" s="69" t="n"/>
      <c r="AO281" s="24" t="n"/>
    </row>
    <row r="282" ht="15" customHeight="1">
      <c r="A282" s="68">
        <f>IF(C282="","",IFERROR(IF(SUMPRODUCT(MAX((tbl_Finance[Job Number]=C282&amp;"")*(tbl_Finance[Xero Invoice No]&lt;&gt;"")*tbl_Finance[Date]))=0,"",SUMPRODUCT(MAX((tbl_Finance[Job Number]=C282&amp;"")*(tbl_Finance[Xero Invoice No]&lt;&gt;"")*tbl_Finance[Date]))),""))</f>
        <v/>
      </c>
      <c r="B282" s="25">
        <f>IF(C282="","",IF(COUNTIFS(tbl_Finance[Job Number],C282&amp;"",tbl_Finance[Xero Invoice No],"&lt;&gt;")=0,"",IFERROR(IF(COUNTIFS(tbl_Finance[Job Number],C282&amp;"",tbl_Finance[Xero Invoice No],LOOKUP(2,1/((tbl_Finance[Job Number]=C282&amp;"")*(tbl_Finance[Xero Invoice No]&lt;&gt;"")),tbl_Finance[Xero Invoice No]))=COUNTIFS(tbl_Finance[Job Number],C282&amp;"",tbl_Finance[Xero Invoice No],"&lt;&gt;"),LOOKUP(2,1/((tbl_Finance[Job Number]=C282&amp;"")*(tbl_Finance[Xero Invoice No]&lt;&gt;"")),tbl_Finance[Xero Invoice No]),LOOKUP(2,1/((tbl_Finance[Job Number]=C282&amp;"")*(tbl_Finance[Xero Invoice No]&lt;&gt;"")),tbl_Finance[Xero Invoice No])&amp;" +more"),"")))</f>
        <v/>
      </c>
      <c r="C282" s="24" t="n"/>
      <c r="D282" s="25">
        <f>IF(C282="","",IF(COUNTIF(lst_Jobs,C282&amp;"")&gt;0,"OK","CHECK"))</f>
        <v/>
      </c>
      <c r="E282" s="25">
        <f>IF(C282="","",IFERROR(INDEX(lst_JobName,MATCH(C282&amp;"",lst_Jobs,0)),""))</f>
        <v/>
      </c>
      <c r="F282" s="25">
        <f>IF(C282="","",IFERROR(INDEX(tbl_Finance[Client],MATCH(C282&amp;"",tbl_Finance[Job Number],0)),""))</f>
        <v/>
      </c>
      <c r="G282" s="28">
        <f>IF(C282="","",COUNTIFS(tbl_Finance[Job Number],C282&amp;"",tbl_Finance[Ex GST],"&lt;&gt;"))</f>
        <v/>
      </c>
      <c r="H282" s="27">
        <f>IF(C282="","",SUMIFS(tbl_Finance[Ex GST],tbl_Finance[Job Number],C282&amp;""))</f>
        <v/>
      </c>
      <c r="I282" s="27">
        <f>IF(C282="","",SUMIFS(tbl_Finance[Ex GST],tbl_Finance[Job Number],C282&amp;"",tbl_Finance[Xero Invoice No],"&lt;&gt;"))</f>
        <v/>
      </c>
      <c r="J282" s="27">
        <f>IF(C282="","",H282-I282)</f>
        <v/>
      </c>
      <c r="K282" s="25">
        <f>IF(C282="","",IF(G282=0,"not invoiced yet",SUBSTITUTE(TRIM(IF(COUNTIFS(tbl_Finance[Job Number],C282&amp;"",tbl_Finance[Cost Centre],"ONSITE")&gt;0,"ONSITE ","")&amp;IF(COUNTIFS(tbl_Finance[Job Number],C282&amp;"",tbl_Finance[Cost Centre],"PRODUCTION")&gt;0,"PRODUCTION ","")&amp;IF(COUNTIFS(tbl_Finance[Job Number],C282&amp;"",tbl_Finance[Cost Centre],"VIDEO")&gt;0,"VIDEO ","")&amp;IF(COUNTIFS(tbl_Finance[Job Number],C282&amp;"",tbl_Finance[Cost Centre],"INTEGRATION")&gt;0,"INTEGRATION ","")&amp;IF(COUNTIFS(tbl_Finance[Job Number],C282&amp;"",tbl_Finance[Cost Centre],"CONSULTING")&gt;0,"CONSULTING ","")&amp;IF(COUNTIFS(tbl_Finance[Job Number],C282&amp;"",tbl_Finance[Cost Centre],"CTS")&gt;0,"CTS ",""))," ",", ")))</f>
        <v/>
      </c>
      <c r="L282" s="27">
        <f>IF(C282="","",SUMIFS(tbl_Finance[Inc GST],tbl_Finance[Job Number],C282&amp;""))</f>
        <v/>
      </c>
      <c r="M282" s="24" t="n"/>
      <c r="N282" s="25">
        <f>IF(C282="","",IFERROR(INDEX(tbl_Finance[Description],MATCH(C282&amp;"",tbl_Finance[Job Number],0)),""))</f>
        <v/>
      </c>
      <c r="O282" s="24" t="n"/>
      <c r="P282" s="24" t="n"/>
      <c r="Q282" s="22" t="n"/>
      <c r="R282" s="24" t="n"/>
      <c r="S282" s="25">
        <f>IF(R282="","",IF(AND(LEFT(R282,4)&lt;&gt;"http",set_RMSBase=""),"",HYPERLINK(IF(LEFT(R282,4)="http",R282,set_RMSBase&amp;R282),"Open opportunity")))</f>
        <v/>
      </c>
      <c r="T282" s="24" t="n"/>
      <c r="U282" s="25">
        <f>IF(T282="","",HYPERLINK(IF(LEFT(T282,4)="http",T282,set_QwilrBase&amp;T282),"Open quote"))</f>
        <v/>
      </c>
      <c r="V282" s="25">
        <f>IF(C282="","",C282)</f>
        <v/>
      </c>
      <c r="W282" s="24" t="n"/>
      <c r="X282" s="26" t="n"/>
      <c r="Y282" s="27">
        <f>IF(C282="","",H282+N(X282))</f>
        <v/>
      </c>
      <c r="Z282" s="29">
        <f>IFERROR(X282/Y282,"")</f>
        <v/>
      </c>
      <c r="AA282" s="26" t="n"/>
      <c r="AB282" s="26" t="n"/>
      <c r="AC282" s="26" t="n"/>
      <c r="AD282" s="26" t="n"/>
      <c r="AE282" s="27">
        <f>IF(C282="","",SUMIFS(tbl_Finance[Ex GST],tbl_Finance[Job Number],C282&amp;"",tbl_Finance[Cost Centre],"VIDEO"))</f>
        <v/>
      </c>
      <c r="AF282" s="29">
        <f>IFERROR(AE282/H282,"")</f>
        <v/>
      </c>
      <c r="AG282" s="27">
        <f>IF(C282="","",N(AA282)+N(AB282)+N(AC282)+N(AD282))</f>
        <v/>
      </c>
      <c r="AH282" s="27">
        <f>IF(C282="","",H282-AG282)</f>
        <v/>
      </c>
      <c r="AI282" s="29">
        <f>IFERROR(AH282/H282,"")</f>
        <v/>
      </c>
      <c r="AJ282" s="69" t="n"/>
      <c r="AK282" s="69" t="n"/>
      <c r="AL282" s="69" t="n"/>
      <c r="AM282" s="69" t="n"/>
      <c r="AN282" s="69" t="n"/>
      <c r="AO282" s="24" t="n"/>
    </row>
    <row r="283" ht="15" customHeight="1">
      <c r="A283" s="68">
        <f>IF(C283="","",IFERROR(IF(SUMPRODUCT(MAX((tbl_Finance[Job Number]=C283&amp;"")*(tbl_Finance[Xero Invoice No]&lt;&gt;"")*tbl_Finance[Date]))=0,"",SUMPRODUCT(MAX((tbl_Finance[Job Number]=C283&amp;"")*(tbl_Finance[Xero Invoice No]&lt;&gt;"")*tbl_Finance[Date]))),""))</f>
        <v/>
      </c>
      <c r="B283" s="25">
        <f>IF(C283="","",IF(COUNTIFS(tbl_Finance[Job Number],C283&amp;"",tbl_Finance[Xero Invoice No],"&lt;&gt;")=0,"",IFERROR(IF(COUNTIFS(tbl_Finance[Job Number],C283&amp;"",tbl_Finance[Xero Invoice No],LOOKUP(2,1/((tbl_Finance[Job Number]=C283&amp;"")*(tbl_Finance[Xero Invoice No]&lt;&gt;"")),tbl_Finance[Xero Invoice No]))=COUNTIFS(tbl_Finance[Job Number],C283&amp;"",tbl_Finance[Xero Invoice No],"&lt;&gt;"),LOOKUP(2,1/((tbl_Finance[Job Number]=C283&amp;"")*(tbl_Finance[Xero Invoice No]&lt;&gt;"")),tbl_Finance[Xero Invoice No]),LOOKUP(2,1/((tbl_Finance[Job Number]=C283&amp;"")*(tbl_Finance[Xero Invoice No]&lt;&gt;"")),tbl_Finance[Xero Invoice No])&amp;" +more"),"")))</f>
        <v/>
      </c>
      <c r="C283" s="24" t="n"/>
      <c r="D283" s="25">
        <f>IF(C283="","",IF(COUNTIF(lst_Jobs,C283&amp;"")&gt;0,"OK","CHECK"))</f>
        <v/>
      </c>
      <c r="E283" s="25">
        <f>IF(C283="","",IFERROR(INDEX(lst_JobName,MATCH(C283&amp;"",lst_Jobs,0)),""))</f>
        <v/>
      </c>
      <c r="F283" s="25">
        <f>IF(C283="","",IFERROR(INDEX(tbl_Finance[Client],MATCH(C283&amp;"",tbl_Finance[Job Number],0)),""))</f>
        <v/>
      </c>
      <c r="G283" s="28">
        <f>IF(C283="","",COUNTIFS(tbl_Finance[Job Number],C283&amp;"",tbl_Finance[Ex GST],"&lt;&gt;"))</f>
        <v/>
      </c>
      <c r="H283" s="27">
        <f>IF(C283="","",SUMIFS(tbl_Finance[Ex GST],tbl_Finance[Job Number],C283&amp;""))</f>
        <v/>
      </c>
      <c r="I283" s="27">
        <f>IF(C283="","",SUMIFS(tbl_Finance[Ex GST],tbl_Finance[Job Number],C283&amp;"",tbl_Finance[Xero Invoice No],"&lt;&gt;"))</f>
        <v/>
      </c>
      <c r="J283" s="27">
        <f>IF(C283="","",H283-I283)</f>
        <v/>
      </c>
      <c r="K283" s="25">
        <f>IF(C283="","",IF(G283=0,"not invoiced yet",SUBSTITUTE(TRIM(IF(COUNTIFS(tbl_Finance[Job Number],C283&amp;"",tbl_Finance[Cost Centre],"ONSITE")&gt;0,"ONSITE ","")&amp;IF(COUNTIFS(tbl_Finance[Job Number],C283&amp;"",tbl_Finance[Cost Centre],"PRODUCTION")&gt;0,"PRODUCTION ","")&amp;IF(COUNTIFS(tbl_Finance[Job Number],C283&amp;"",tbl_Finance[Cost Centre],"VIDEO")&gt;0,"VIDEO ","")&amp;IF(COUNTIFS(tbl_Finance[Job Number],C283&amp;"",tbl_Finance[Cost Centre],"INTEGRATION")&gt;0,"INTEGRATION ","")&amp;IF(COUNTIFS(tbl_Finance[Job Number],C283&amp;"",tbl_Finance[Cost Centre],"CONSULTING")&gt;0,"CONSULTING ","")&amp;IF(COUNTIFS(tbl_Finance[Job Number],C283&amp;"",tbl_Finance[Cost Centre],"CTS")&gt;0,"CTS ",""))," ",", ")))</f>
        <v/>
      </c>
      <c r="L283" s="27">
        <f>IF(C283="","",SUMIFS(tbl_Finance[Inc GST],tbl_Finance[Job Number],C283&amp;""))</f>
        <v/>
      </c>
      <c r="M283" s="24" t="n"/>
      <c r="N283" s="25">
        <f>IF(C283="","",IFERROR(INDEX(tbl_Finance[Description],MATCH(C283&amp;"",tbl_Finance[Job Number],0)),""))</f>
        <v/>
      </c>
      <c r="O283" s="24" t="n"/>
      <c r="P283" s="24" t="n"/>
      <c r="Q283" s="22" t="n"/>
      <c r="R283" s="24" t="n"/>
      <c r="S283" s="25">
        <f>IF(R283="","",IF(AND(LEFT(R283,4)&lt;&gt;"http",set_RMSBase=""),"",HYPERLINK(IF(LEFT(R283,4)="http",R283,set_RMSBase&amp;R283),"Open opportunity")))</f>
        <v/>
      </c>
      <c r="T283" s="24" t="n"/>
      <c r="U283" s="25">
        <f>IF(T283="","",HYPERLINK(IF(LEFT(T283,4)="http",T283,set_QwilrBase&amp;T283),"Open quote"))</f>
        <v/>
      </c>
      <c r="V283" s="25">
        <f>IF(C283="","",C283)</f>
        <v/>
      </c>
      <c r="W283" s="24" t="n"/>
      <c r="X283" s="26" t="n"/>
      <c r="Y283" s="27">
        <f>IF(C283="","",H283+N(X283))</f>
        <v/>
      </c>
      <c r="Z283" s="29">
        <f>IFERROR(X283/Y283,"")</f>
        <v/>
      </c>
      <c r="AA283" s="26" t="n"/>
      <c r="AB283" s="26" t="n"/>
      <c r="AC283" s="26" t="n"/>
      <c r="AD283" s="26" t="n"/>
      <c r="AE283" s="27">
        <f>IF(C283="","",SUMIFS(tbl_Finance[Ex GST],tbl_Finance[Job Number],C283&amp;"",tbl_Finance[Cost Centre],"VIDEO"))</f>
        <v/>
      </c>
      <c r="AF283" s="29">
        <f>IFERROR(AE283/H283,"")</f>
        <v/>
      </c>
      <c r="AG283" s="27">
        <f>IF(C283="","",N(AA283)+N(AB283)+N(AC283)+N(AD283))</f>
        <v/>
      </c>
      <c r="AH283" s="27">
        <f>IF(C283="","",H283-AG283)</f>
        <v/>
      </c>
      <c r="AI283" s="29">
        <f>IFERROR(AH283/H283,"")</f>
        <v/>
      </c>
      <c r="AJ283" s="69" t="n"/>
      <c r="AK283" s="69" t="n"/>
      <c r="AL283" s="69" t="n"/>
      <c r="AM283" s="69" t="n"/>
      <c r="AN283" s="69" t="n"/>
      <c r="AO283" s="24" t="n"/>
    </row>
    <row r="284" ht="15" customHeight="1">
      <c r="A284" s="68">
        <f>IF(C284="","",IFERROR(IF(SUMPRODUCT(MAX((tbl_Finance[Job Number]=C284&amp;"")*(tbl_Finance[Xero Invoice No]&lt;&gt;"")*tbl_Finance[Date]))=0,"",SUMPRODUCT(MAX((tbl_Finance[Job Number]=C284&amp;"")*(tbl_Finance[Xero Invoice No]&lt;&gt;"")*tbl_Finance[Date]))),""))</f>
        <v/>
      </c>
      <c r="B284" s="25">
        <f>IF(C284="","",IF(COUNTIFS(tbl_Finance[Job Number],C284&amp;"",tbl_Finance[Xero Invoice No],"&lt;&gt;")=0,"",IFERROR(IF(COUNTIFS(tbl_Finance[Job Number],C284&amp;"",tbl_Finance[Xero Invoice No],LOOKUP(2,1/((tbl_Finance[Job Number]=C284&amp;"")*(tbl_Finance[Xero Invoice No]&lt;&gt;"")),tbl_Finance[Xero Invoice No]))=COUNTIFS(tbl_Finance[Job Number],C284&amp;"",tbl_Finance[Xero Invoice No],"&lt;&gt;"),LOOKUP(2,1/((tbl_Finance[Job Number]=C284&amp;"")*(tbl_Finance[Xero Invoice No]&lt;&gt;"")),tbl_Finance[Xero Invoice No]),LOOKUP(2,1/((tbl_Finance[Job Number]=C284&amp;"")*(tbl_Finance[Xero Invoice No]&lt;&gt;"")),tbl_Finance[Xero Invoice No])&amp;" +more"),"")))</f>
        <v/>
      </c>
      <c r="C284" s="24" t="n"/>
      <c r="D284" s="25">
        <f>IF(C284="","",IF(COUNTIF(lst_Jobs,C284&amp;"")&gt;0,"OK","CHECK"))</f>
        <v/>
      </c>
      <c r="E284" s="25">
        <f>IF(C284="","",IFERROR(INDEX(lst_JobName,MATCH(C284&amp;"",lst_Jobs,0)),""))</f>
        <v/>
      </c>
      <c r="F284" s="25">
        <f>IF(C284="","",IFERROR(INDEX(tbl_Finance[Client],MATCH(C284&amp;"",tbl_Finance[Job Number],0)),""))</f>
        <v/>
      </c>
      <c r="G284" s="28">
        <f>IF(C284="","",COUNTIFS(tbl_Finance[Job Number],C284&amp;"",tbl_Finance[Ex GST],"&lt;&gt;"))</f>
        <v/>
      </c>
      <c r="H284" s="27">
        <f>IF(C284="","",SUMIFS(tbl_Finance[Ex GST],tbl_Finance[Job Number],C284&amp;""))</f>
        <v/>
      </c>
      <c r="I284" s="27">
        <f>IF(C284="","",SUMIFS(tbl_Finance[Ex GST],tbl_Finance[Job Number],C284&amp;"",tbl_Finance[Xero Invoice No],"&lt;&gt;"))</f>
        <v/>
      </c>
      <c r="J284" s="27">
        <f>IF(C284="","",H284-I284)</f>
        <v/>
      </c>
      <c r="K284" s="25">
        <f>IF(C284="","",IF(G284=0,"not invoiced yet",SUBSTITUTE(TRIM(IF(COUNTIFS(tbl_Finance[Job Number],C284&amp;"",tbl_Finance[Cost Centre],"ONSITE")&gt;0,"ONSITE ","")&amp;IF(COUNTIFS(tbl_Finance[Job Number],C284&amp;"",tbl_Finance[Cost Centre],"PRODUCTION")&gt;0,"PRODUCTION ","")&amp;IF(COUNTIFS(tbl_Finance[Job Number],C284&amp;"",tbl_Finance[Cost Centre],"VIDEO")&gt;0,"VIDEO ","")&amp;IF(COUNTIFS(tbl_Finance[Job Number],C284&amp;"",tbl_Finance[Cost Centre],"INTEGRATION")&gt;0,"INTEGRATION ","")&amp;IF(COUNTIFS(tbl_Finance[Job Number],C284&amp;"",tbl_Finance[Cost Centre],"CONSULTING")&gt;0,"CONSULTING ","")&amp;IF(COUNTIFS(tbl_Finance[Job Number],C284&amp;"",tbl_Finance[Cost Centre],"CTS")&gt;0,"CTS ",""))," ",", ")))</f>
        <v/>
      </c>
      <c r="L284" s="27">
        <f>IF(C284="","",SUMIFS(tbl_Finance[Inc GST],tbl_Finance[Job Number],C284&amp;""))</f>
        <v/>
      </c>
      <c r="M284" s="24" t="n"/>
      <c r="N284" s="25">
        <f>IF(C284="","",IFERROR(INDEX(tbl_Finance[Description],MATCH(C284&amp;"",tbl_Finance[Job Number],0)),""))</f>
        <v/>
      </c>
      <c r="O284" s="24" t="n"/>
      <c r="P284" s="24" t="n"/>
      <c r="Q284" s="22" t="n"/>
      <c r="R284" s="24" t="n"/>
      <c r="S284" s="25">
        <f>IF(R284="","",IF(AND(LEFT(R284,4)&lt;&gt;"http",set_RMSBase=""),"",HYPERLINK(IF(LEFT(R284,4)="http",R284,set_RMSBase&amp;R284),"Open opportunity")))</f>
        <v/>
      </c>
      <c r="T284" s="24" t="n"/>
      <c r="U284" s="25">
        <f>IF(T284="","",HYPERLINK(IF(LEFT(T284,4)="http",T284,set_QwilrBase&amp;T284),"Open quote"))</f>
        <v/>
      </c>
      <c r="V284" s="25">
        <f>IF(C284="","",C284)</f>
        <v/>
      </c>
      <c r="W284" s="24" t="n"/>
      <c r="X284" s="26" t="n"/>
      <c r="Y284" s="27">
        <f>IF(C284="","",H284+N(X284))</f>
        <v/>
      </c>
      <c r="Z284" s="29">
        <f>IFERROR(X284/Y284,"")</f>
        <v/>
      </c>
      <c r="AA284" s="26" t="n"/>
      <c r="AB284" s="26" t="n"/>
      <c r="AC284" s="26" t="n"/>
      <c r="AD284" s="26" t="n"/>
      <c r="AE284" s="27">
        <f>IF(C284="","",SUMIFS(tbl_Finance[Ex GST],tbl_Finance[Job Number],C284&amp;"",tbl_Finance[Cost Centre],"VIDEO"))</f>
        <v/>
      </c>
      <c r="AF284" s="29">
        <f>IFERROR(AE284/H284,"")</f>
        <v/>
      </c>
      <c r="AG284" s="27">
        <f>IF(C284="","",N(AA284)+N(AB284)+N(AC284)+N(AD284))</f>
        <v/>
      </c>
      <c r="AH284" s="27">
        <f>IF(C284="","",H284-AG284)</f>
        <v/>
      </c>
      <c r="AI284" s="29">
        <f>IFERROR(AH284/H284,"")</f>
        <v/>
      </c>
      <c r="AJ284" s="69" t="n"/>
      <c r="AK284" s="69" t="n"/>
      <c r="AL284" s="69" t="n"/>
      <c r="AM284" s="69" t="n"/>
      <c r="AN284" s="69" t="n"/>
      <c r="AO284" s="24" t="n"/>
    </row>
    <row r="285" ht="15" customHeight="1">
      <c r="A285" s="68">
        <f>IF(C285="","",IFERROR(IF(SUMPRODUCT(MAX((tbl_Finance[Job Number]=C285&amp;"")*(tbl_Finance[Xero Invoice No]&lt;&gt;"")*tbl_Finance[Date]))=0,"",SUMPRODUCT(MAX((tbl_Finance[Job Number]=C285&amp;"")*(tbl_Finance[Xero Invoice No]&lt;&gt;"")*tbl_Finance[Date]))),""))</f>
        <v/>
      </c>
      <c r="B285" s="25">
        <f>IF(C285="","",IF(COUNTIFS(tbl_Finance[Job Number],C285&amp;"",tbl_Finance[Xero Invoice No],"&lt;&gt;")=0,"",IFERROR(IF(COUNTIFS(tbl_Finance[Job Number],C285&amp;"",tbl_Finance[Xero Invoice No],LOOKUP(2,1/((tbl_Finance[Job Number]=C285&amp;"")*(tbl_Finance[Xero Invoice No]&lt;&gt;"")),tbl_Finance[Xero Invoice No]))=COUNTIFS(tbl_Finance[Job Number],C285&amp;"",tbl_Finance[Xero Invoice No],"&lt;&gt;"),LOOKUP(2,1/((tbl_Finance[Job Number]=C285&amp;"")*(tbl_Finance[Xero Invoice No]&lt;&gt;"")),tbl_Finance[Xero Invoice No]),LOOKUP(2,1/((tbl_Finance[Job Number]=C285&amp;"")*(tbl_Finance[Xero Invoice No]&lt;&gt;"")),tbl_Finance[Xero Invoice No])&amp;" +more"),"")))</f>
        <v/>
      </c>
      <c r="C285" s="24" t="n"/>
      <c r="D285" s="25">
        <f>IF(C285="","",IF(COUNTIF(lst_Jobs,C285&amp;"")&gt;0,"OK","CHECK"))</f>
        <v/>
      </c>
      <c r="E285" s="25">
        <f>IF(C285="","",IFERROR(INDEX(lst_JobName,MATCH(C285&amp;"",lst_Jobs,0)),""))</f>
        <v/>
      </c>
      <c r="F285" s="25">
        <f>IF(C285="","",IFERROR(INDEX(tbl_Finance[Client],MATCH(C285&amp;"",tbl_Finance[Job Number],0)),""))</f>
        <v/>
      </c>
      <c r="G285" s="28">
        <f>IF(C285="","",COUNTIFS(tbl_Finance[Job Number],C285&amp;"",tbl_Finance[Ex GST],"&lt;&gt;"))</f>
        <v/>
      </c>
      <c r="H285" s="27">
        <f>IF(C285="","",SUMIFS(tbl_Finance[Ex GST],tbl_Finance[Job Number],C285&amp;""))</f>
        <v/>
      </c>
      <c r="I285" s="27">
        <f>IF(C285="","",SUMIFS(tbl_Finance[Ex GST],tbl_Finance[Job Number],C285&amp;"",tbl_Finance[Xero Invoice No],"&lt;&gt;"))</f>
        <v/>
      </c>
      <c r="J285" s="27">
        <f>IF(C285="","",H285-I285)</f>
        <v/>
      </c>
      <c r="K285" s="25">
        <f>IF(C285="","",IF(G285=0,"not invoiced yet",SUBSTITUTE(TRIM(IF(COUNTIFS(tbl_Finance[Job Number],C285&amp;"",tbl_Finance[Cost Centre],"ONSITE")&gt;0,"ONSITE ","")&amp;IF(COUNTIFS(tbl_Finance[Job Number],C285&amp;"",tbl_Finance[Cost Centre],"PRODUCTION")&gt;0,"PRODUCTION ","")&amp;IF(COUNTIFS(tbl_Finance[Job Number],C285&amp;"",tbl_Finance[Cost Centre],"VIDEO")&gt;0,"VIDEO ","")&amp;IF(COUNTIFS(tbl_Finance[Job Number],C285&amp;"",tbl_Finance[Cost Centre],"INTEGRATION")&gt;0,"INTEGRATION ","")&amp;IF(COUNTIFS(tbl_Finance[Job Number],C285&amp;"",tbl_Finance[Cost Centre],"CONSULTING")&gt;0,"CONSULTING ","")&amp;IF(COUNTIFS(tbl_Finance[Job Number],C285&amp;"",tbl_Finance[Cost Centre],"CTS")&gt;0,"CTS ",""))," ",", ")))</f>
        <v/>
      </c>
      <c r="L285" s="27">
        <f>IF(C285="","",SUMIFS(tbl_Finance[Inc GST],tbl_Finance[Job Number],C285&amp;""))</f>
        <v/>
      </c>
      <c r="M285" s="24" t="n"/>
      <c r="N285" s="25">
        <f>IF(C285="","",IFERROR(INDEX(tbl_Finance[Description],MATCH(C285&amp;"",tbl_Finance[Job Number],0)),""))</f>
        <v/>
      </c>
      <c r="O285" s="24" t="n"/>
      <c r="P285" s="24" t="n"/>
      <c r="Q285" s="22" t="n"/>
      <c r="R285" s="24" t="n"/>
      <c r="S285" s="25">
        <f>IF(R285="","",IF(AND(LEFT(R285,4)&lt;&gt;"http",set_RMSBase=""),"",HYPERLINK(IF(LEFT(R285,4)="http",R285,set_RMSBase&amp;R285),"Open opportunity")))</f>
        <v/>
      </c>
      <c r="T285" s="24" t="n"/>
      <c r="U285" s="25">
        <f>IF(T285="","",HYPERLINK(IF(LEFT(T285,4)="http",T285,set_QwilrBase&amp;T285),"Open quote"))</f>
        <v/>
      </c>
      <c r="V285" s="25">
        <f>IF(C285="","",C285)</f>
        <v/>
      </c>
      <c r="W285" s="24" t="n"/>
      <c r="X285" s="26" t="n"/>
      <c r="Y285" s="27">
        <f>IF(C285="","",H285+N(X285))</f>
        <v/>
      </c>
      <c r="Z285" s="29">
        <f>IFERROR(X285/Y285,"")</f>
        <v/>
      </c>
      <c r="AA285" s="26" t="n"/>
      <c r="AB285" s="26" t="n"/>
      <c r="AC285" s="26" t="n"/>
      <c r="AD285" s="26" t="n"/>
      <c r="AE285" s="27">
        <f>IF(C285="","",SUMIFS(tbl_Finance[Ex GST],tbl_Finance[Job Number],C285&amp;"",tbl_Finance[Cost Centre],"VIDEO"))</f>
        <v/>
      </c>
      <c r="AF285" s="29">
        <f>IFERROR(AE285/H285,"")</f>
        <v/>
      </c>
      <c r="AG285" s="27">
        <f>IF(C285="","",N(AA285)+N(AB285)+N(AC285)+N(AD285))</f>
        <v/>
      </c>
      <c r="AH285" s="27">
        <f>IF(C285="","",H285-AG285)</f>
        <v/>
      </c>
      <c r="AI285" s="29">
        <f>IFERROR(AH285/H285,"")</f>
        <v/>
      </c>
      <c r="AJ285" s="69" t="n"/>
      <c r="AK285" s="69" t="n"/>
      <c r="AL285" s="69" t="n"/>
      <c r="AM285" s="69" t="n"/>
      <c r="AN285" s="69" t="n"/>
      <c r="AO285" s="24" t="n"/>
    </row>
    <row r="286" ht="15" customHeight="1">
      <c r="A286" s="68">
        <f>IF(C286="","",IFERROR(IF(SUMPRODUCT(MAX((tbl_Finance[Job Number]=C286&amp;"")*(tbl_Finance[Xero Invoice No]&lt;&gt;"")*tbl_Finance[Date]))=0,"",SUMPRODUCT(MAX((tbl_Finance[Job Number]=C286&amp;"")*(tbl_Finance[Xero Invoice No]&lt;&gt;"")*tbl_Finance[Date]))),""))</f>
        <v/>
      </c>
      <c r="B286" s="25">
        <f>IF(C286="","",IF(COUNTIFS(tbl_Finance[Job Number],C286&amp;"",tbl_Finance[Xero Invoice No],"&lt;&gt;")=0,"",IFERROR(IF(COUNTIFS(tbl_Finance[Job Number],C286&amp;"",tbl_Finance[Xero Invoice No],LOOKUP(2,1/((tbl_Finance[Job Number]=C286&amp;"")*(tbl_Finance[Xero Invoice No]&lt;&gt;"")),tbl_Finance[Xero Invoice No]))=COUNTIFS(tbl_Finance[Job Number],C286&amp;"",tbl_Finance[Xero Invoice No],"&lt;&gt;"),LOOKUP(2,1/((tbl_Finance[Job Number]=C286&amp;"")*(tbl_Finance[Xero Invoice No]&lt;&gt;"")),tbl_Finance[Xero Invoice No]),LOOKUP(2,1/((tbl_Finance[Job Number]=C286&amp;"")*(tbl_Finance[Xero Invoice No]&lt;&gt;"")),tbl_Finance[Xero Invoice No])&amp;" +more"),"")))</f>
        <v/>
      </c>
      <c r="C286" s="24" t="n"/>
      <c r="D286" s="25">
        <f>IF(C286="","",IF(COUNTIF(lst_Jobs,C286&amp;"")&gt;0,"OK","CHECK"))</f>
        <v/>
      </c>
      <c r="E286" s="25">
        <f>IF(C286="","",IFERROR(INDEX(lst_JobName,MATCH(C286&amp;"",lst_Jobs,0)),""))</f>
        <v/>
      </c>
      <c r="F286" s="25">
        <f>IF(C286="","",IFERROR(INDEX(tbl_Finance[Client],MATCH(C286&amp;"",tbl_Finance[Job Number],0)),""))</f>
        <v/>
      </c>
      <c r="G286" s="28">
        <f>IF(C286="","",COUNTIFS(tbl_Finance[Job Number],C286&amp;"",tbl_Finance[Ex GST],"&lt;&gt;"))</f>
        <v/>
      </c>
      <c r="H286" s="27">
        <f>IF(C286="","",SUMIFS(tbl_Finance[Ex GST],tbl_Finance[Job Number],C286&amp;""))</f>
        <v/>
      </c>
      <c r="I286" s="27">
        <f>IF(C286="","",SUMIFS(tbl_Finance[Ex GST],tbl_Finance[Job Number],C286&amp;"",tbl_Finance[Xero Invoice No],"&lt;&gt;"))</f>
        <v/>
      </c>
      <c r="J286" s="27">
        <f>IF(C286="","",H286-I286)</f>
        <v/>
      </c>
      <c r="K286" s="25">
        <f>IF(C286="","",IF(G286=0,"not invoiced yet",SUBSTITUTE(TRIM(IF(COUNTIFS(tbl_Finance[Job Number],C286&amp;"",tbl_Finance[Cost Centre],"ONSITE")&gt;0,"ONSITE ","")&amp;IF(COUNTIFS(tbl_Finance[Job Number],C286&amp;"",tbl_Finance[Cost Centre],"PRODUCTION")&gt;0,"PRODUCTION ","")&amp;IF(COUNTIFS(tbl_Finance[Job Number],C286&amp;"",tbl_Finance[Cost Centre],"VIDEO")&gt;0,"VIDEO ","")&amp;IF(COUNTIFS(tbl_Finance[Job Number],C286&amp;"",tbl_Finance[Cost Centre],"INTEGRATION")&gt;0,"INTEGRATION ","")&amp;IF(COUNTIFS(tbl_Finance[Job Number],C286&amp;"",tbl_Finance[Cost Centre],"CONSULTING")&gt;0,"CONSULTING ","")&amp;IF(COUNTIFS(tbl_Finance[Job Number],C286&amp;"",tbl_Finance[Cost Centre],"CTS")&gt;0,"CTS ",""))," ",", ")))</f>
        <v/>
      </c>
      <c r="L286" s="27">
        <f>IF(C286="","",SUMIFS(tbl_Finance[Inc GST],tbl_Finance[Job Number],C286&amp;""))</f>
        <v/>
      </c>
      <c r="M286" s="24" t="n"/>
      <c r="N286" s="25">
        <f>IF(C286="","",IFERROR(INDEX(tbl_Finance[Description],MATCH(C286&amp;"",tbl_Finance[Job Number],0)),""))</f>
        <v/>
      </c>
      <c r="O286" s="24" t="n"/>
      <c r="P286" s="24" t="n"/>
      <c r="Q286" s="22" t="n"/>
      <c r="R286" s="24" t="n"/>
      <c r="S286" s="25">
        <f>IF(R286="","",IF(AND(LEFT(R286,4)&lt;&gt;"http",set_RMSBase=""),"",HYPERLINK(IF(LEFT(R286,4)="http",R286,set_RMSBase&amp;R286),"Open opportunity")))</f>
        <v/>
      </c>
      <c r="T286" s="24" t="n"/>
      <c r="U286" s="25">
        <f>IF(T286="","",HYPERLINK(IF(LEFT(T286,4)="http",T286,set_QwilrBase&amp;T286),"Open quote"))</f>
        <v/>
      </c>
      <c r="V286" s="25">
        <f>IF(C286="","",C286)</f>
        <v/>
      </c>
      <c r="W286" s="24" t="n"/>
      <c r="X286" s="26" t="n"/>
      <c r="Y286" s="27">
        <f>IF(C286="","",H286+N(X286))</f>
        <v/>
      </c>
      <c r="Z286" s="29">
        <f>IFERROR(X286/Y286,"")</f>
        <v/>
      </c>
      <c r="AA286" s="26" t="n"/>
      <c r="AB286" s="26" t="n"/>
      <c r="AC286" s="26" t="n"/>
      <c r="AD286" s="26" t="n"/>
      <c r="AE286" s="27">
        <f>IF(C286="","",SUMIFS(tbl_Finance[Ex GST],tbl_Finance[Job Number],C286&amp;"",tbl_Finance[Cost Centre],"VIDEO"))</f>
        <v/>
      </c>
      <c r="AF286" s="29">
        <f>IFERROR(AE286/H286,"")</f>
        <v/>
      </c>
      <c r="AG286" s="27">
        <f>IF(C286="","",N(AA286)+N(AB286)+N(AC286)+N(AD286))</f>
        <v/>
      </c>
      <c r="AH286" s="27">
        <f>IF(C286="","",H286-AG286)</f>
        <v/>
      </c>
      <c r="AI286" s="29">
        <f>IFERROR(AH286/H286,"")</f>
        <v/>
      </c>
      <c r="AJ286" s="69" t="n"/>
      <c r="AK286" s="69" t="n"/>
      <c r="AL286" s="69" t="n"/>
      <c r="AM286" s="69" t="n"/>
      <c r="AN286" s="69" t="n"/>
      <c r="AO286" s="24" t="n"/>
    </row>
    <row r="287" ht="15" customHeight="1">
      <c r="A287" s="68">
        <f>IF(C287="","",IFERROR(IF(SUMPRODUCT(MAX((tbl_Finance[Job Number]=C287&amp;"")*(tbl_Finance[Xero Invoice No]&lt;&gt;"")*tbl_Finance[Date]))=0,"",SUMPRODUCT(MAX((tbl_Finance[Job Number]=C287&amp;"")*(tbl_Finance[Xero Invoice No]&lt;&gt;"")*tbl_Finance[Date]))),""))</f>
        <v/>
      </c>
      <c r="B287" s="25">
        <f>IF(C287="","",IF(COUNTIFS(tbl_Finance[Job Number],C287&amp;"",tbl_Finance[Xero Invoice No],"&lt;&gt;")=0,"",IFERROR(IF(COUNTIFS(tbl_Finance[Job Number],C287&amp;"",tbl_Finance[Xero Invoice No],LOOKUP(2,1/((tbl_Finance[Job Number]=C287&amp;"")*(tbl_Finance[Xero Invoice No]&lt;&gt;"")),tbl_Finance[Xero Invoice No]))=COUNTIFS(tbl_Finance[Job Number],C287&amp;"",tbl_Finance[Xero Invoice No],"&lt;&gt;"),LOOKUP(2,1/((tbl_Finance[Job Number]=C287&amp;"")*(tbl_Finance[Xero Invoice No]&lt;&gt;"")),tbl_Finance[Xero Invoice No]),LOOKUP(2,1/((tbl_Finance[Job Number]=C287&amp;"")*(tbl_Finance[Xero Invoice No]&lt;&gt;"")),tbl_Finance[Xero Invoice No])&amp;" +more"),"")))</f>
        <v/>
      </c>
      <c r="C287" s="24" t="n"/>
      <c r="D287" s="25">
        <f>IF(C287="","",IF(COUNTIF(lst_Jobs,C287&amp;"")&gt;0,"OK","CHECK"))</f>
        <v/>
      </c>
      <c r="E287" s="25">
        <f>IF(C287="","",IFERROR(INDEX(lst_JobName,MATCH(C287&amp;"",lst_Jobs,0)),""))</f>
        <v/>
      </c>
      <c r="F287" s="25">
        <f>IF(C287="","",IFERROR(INDEX(tbl_Finance[Client],MATCH(C287&amp;"",tbl_Finance[Job Number],0)),""))</f>
        <v/>
      </c>
      <c r="G287" s="28">
        <f>IF(C287="","",COUNTIFS(tbl_Finance[Job Number],C287&amp;"",tbl_Finance[Ex GST],"&lt;&gt;"))</f>
        <v/>
      </c>
      <c r="H287" s="27">
        <f>IF(C287="","",SUMIFS(tbl_Finance[Ex GST],tbl_Finance[Job Number],C287&amp;""))</f>
        <v/>
      </c>
      <c r="I287" s="27">
        <f>IF(C287="","",SUMIFS(tbl_Finance[Ex GST],tbl_Finance[Job Number],C287&amp;"",tbl_Finance[Xero Invoice No],"&lt;&gt;"))</f>
        <v/>
      </c>
      <c r="J287" s="27">
        <f>IF(C287="","",H287-I287)</f>
        <v/>
      </c>
      <c r="K287" s="25">
        <f>IF(C287="","",IF(G287=0,"not invoiced yet",SUBSTITUTE(TRIM(IF(COUNTIFS(tbl_Finance[Job Number],C287&amp;"",tbl_Finance[Cost Centre],"ONSITE")&gt;0,"ONSITE ","")&amp;IF(COUNTIFS(tbl_Finance[Job Number],C287&amp;"",tbl_Finance[Cost Centre],"PRODUCTION")&gt;0,"PRODUCTION ","")&amp;IF(COUNTIFS(tbl_Finance[Job Number],C287&amp;"",tbl_Finance[Cost Centre],"VIDEO")&gt;0,"VIDEO ","")&amp;IF(COUNTIFS(tbl_Finance[Job Number],C287&amp;"",tbl_Finance[Cost Centre],"INTEGRATION")&gt;0,"INTEGRATION ","")&amp;IF(COUNTIFS(tbl_Finance[Job Number],C287&amp;"",tbl_Finance[Cost Centre],"CONSULTING")&gt;0,"CONSULTING ","")&amp;IF(COUNTIFS(tbl_Finance[Job Number],C287&amp;"",tbl_Finance[Cost Centre],"CTS")&gt;0,"CTS ",""))," ",", ")))</f>
        <v/>
      </c>
      <c r="L287" s="27">
        <f>IF(C287="","",SUMIFS(tbl_Finance[Inc GST],tbl_Finance[Job Number],C287&amp;""))</f>
        <v/>
      </c>
      <c r="M287" s="24" t="n"/>
      <c r="N287" s="25">
        <f>IF(C287="","",IFERROR(INDEX(tbl_Finance[Description],MATCH(C287&amp;"",tbl_Finance[Job Number],0)),""))</f>
        <v/>
      </c>
      <c r="O287" s="24" t="n"/>
      <c r="P287" s="24" t="n"/>
      <c r="Q287" s="22" t="n"/>
      <c r="R287" s="24" t="n"/>
      <c r="S287" s="25">
        <f>IF(R287="","",IF(AND(LEFT(R287,4)&lt;&gt;"http",set_RMSBase=""),"",HYPERLINK(IF(LEFT(R287,4)="http",R287,set_RMSBase&amp;R287),"Open opportunity")))</f>
        <v/>
      </c>
      <c r="T287" s="24" t="n"/>
      <c r="U287" s="25">
        <f>IF(T287="","",HYPERLINK(IF(LEFT(T287,4)="http",T287,set_QwilrBase&amp;T287),"Open quote"))</f>
        <v/>
      </c>
      <c r="V287" s="25">
        <f>IF(C287="","",C287)</f>
        <v/>
      </c>
      <c r="W287" s="24" t="n"/>
      <c r="X287" s="26" t="n"/>
      <c r="Y287" s="27">
        <f>IF(C287="","",H287+N(X287))</f>
        <v/>
      </c>
      <c r="Z287" s="29">
        <f>IFERROR(X287/Y287,"")</f>
        <v/>
      </c>
      <c r="AA287" s="26" t="n"/>
      <c r="AB287" s="26" t="n"/>
      <c r="AC287" s="26" t="n"/>
      <c r="AD287" s="26" t="n"/>
      <c r="AE287" s="27">
        <f>IF(C287="","",SUMIFS(tbl_Finance[Ex GST],tbl_Finance[Job Number],C287&amp;"",tbl_Finance[Cost Centre],"VIDEO"))</f>
        <v/>
      </c>
      <c r="AF287" s="29">
        <f>IFERROR(AE287/H287,"")</f>
        <v/>
      </c>
      <c r="AG287" s="27">
        <f>IF(C287="","",N(AA287)+N(AB287)+N(AC287)+N(AD287))</f>
        <v/>
      </c>
      <c r="AH287" s="27">
        <f>IF(C287="","",H287-AG287)</f>
        <v/>
      </c>
      <c r="AI287" s="29">
        <f>IFERROR(AH287/H287,"")</f>
        <v/>
      </c>
      <c r="AJ287" s="69" t="n"/>
      <c r="AK287" s="69" t="n"/>
      <c r="AL287" s="69" t="n"/>
      <c r="AM287" s="69" t="n"/>
      <c r="AN287" s="69" t="n"/>
      <c r="AO287" s="24" t="n"/>
    </row>
    <row r="288" ht="15" customHeight="1">
      <c r="A288" s="68">
        <f>IF(C288="","",IFERROR(IF(SUMPRODUCT(MAX((tbl_Finance[Job Number]=C288&amp;"")*(tbl_Finance[Xero Invoice No]&lt;&gt;"")*tbl_Finance[Date]))=0,"",SUMPRODUCT(MAX((tbl_Finance[Job Number]=C288&amp;"")*(tbl_Finance[Xero Invoice No]&lt;&gt;"")*tbl_Finance[Date]))),""))</f>
        <v/>
      </c>
      <c r="B288" s="25">
        <f>IF(C288="","",IF(COUNTIFS(tbl_Finance[Job Number],C288&amp;"",tbl_Finance[Xero Invoice No],"&lt;&gt;")=0,"",IFERROR(IF(COUNTIFS(tbl_Finance[Job Number],C288&amp;"",tbl_Finance[Xero Invoice No],LOOKUP(2,1/((tbl_Finance[Job Number]=C288&amp;"")*(tbl_Finance[Xero Invoice No]&lt;&gt;"")),tbl_Finance[Xero Invoice No]))=COUNTIFS(tbl_Finance[Job Number],C288&amp;"",tbl_Finance[Xero Invoice No],"&lt;&gt;"),LOOKUP(2,1/((tbl_Finance[Job Number]=C288&amp;"")*(tbl_Finance[Xero Invoice No]&lt;&gt;"")),tbl_Finance[Xero Invoice No]),LOOKUP(2,1/((tbl_Finance[Job Number]=C288&amp;"")*(tbl_Finance[Xero Invoice No]&lt;&gt;"")),tbl_Finance[Xero Invoice No])&amp;" +more"),"")))</f>
        <v/>
      </c>
      <c r="C288" s="24" t="n"/>
      <c r="D288" s="25">
        <f>IF(C288="","",IF(COUNTIF(lst_Jobs,C288&amp;"")&gt;0,"OK","CHECK"))</f>
        <v/>
      </c>
      <c r="E288" s="25">
        <f>IF(C288="","",IFERROR(INDEX(lst_JobName,MATCH(C288&amp;"",lst_Jobs,0)),""))</f>
        <v/>
      </c>
      <c r="F288" s="25">
        <f>IF(C288="","",IFERROR(INDEX(tbl_Finance[Client],MATCH(C288&amp;"",tbl_Finance[Job Number],0)),""))</f>
        <v/>
      </c>
      <c r="G288" s="28">
        <f>IF(C288="","",COUNTIFS(tbl_Finance[Job Number],C288&amp;"",tbl_Finance[Ex GST],"&lt;&gt;"))</f>
        <v/>
      </c>
      <c r="H288" s="27">
        <f>IF(C288="","",SUMIFS(tbl_Finance[Ex GST],tbl_Finance[Job Number],C288&amp;""))</f>
        <v/>
      </c>
      <c r="I288" s="27">
        <f>IF(C288="","",SUMIFS(tbl_Finance[Ex GST],tbl_Finance[Job Number],C288&amp;"",tbl_Finance[Xero Invoice No],"&lt;&gt;"))</f>
        <v/>
      </c>
      <c r="J288" s="27">
        <f>IF(C288="","",H288-I288)</f>
        <v/>
      </c>
      <c r="K288" s="25">
        <f>IF(C288="","",IF(G288=0,"not invoiced yet",SUBSTITUTE(TRIM(IF(COUNTIFS(tbl_Finance[Job Number],C288&amp;"",tbl_Finance[Cost Centre],"ONSITE")&gt;0,"ONSITE ","")&amp;IF(COUNTIFS(tbl_Finance[Job Number],C288&amp;"",tbl_Finance[Cost Centre],"PRODUCTION")&gt;0,"PRODUCTION ","")&amp;IF(COUNTIFS(tbl_Finance[Job Number],C288&amp;"",tbl_Finance[Cost Centre],"VIDEO")&gt;0,"VIDEO ","")&amp;IF(COUNTIFS(tbl_Finance[Job Number],C288&amp;"",tbl_Finance[Cost Centre],"INTEGRATION")&gt;0,"INTEGRATION ","")&amp;IF(COUNTIFS(tbl_Finance[Job Number],C288&amp;"",tbl_Finance[Cost Centre],"CONSULTING")&gt;0,"CONSULTING ","")&amp;IF(COUNTIFS(tbl_Finance[Job Number],C288&amp;"",tbl_Finance[Cost Centre],"CTS")&gt;0,"CTS ",""))," ",", ")))</f>
        <v/>
      </c>
      <c r="L288" s="27">
        <f>IF(C288="","",SUMIFS(tbl_Finance[Inc GST],tbl_Finance[Job Number],C288&amp;""))</f>
        <v/>
      </c>
      <c r="M288" s="24" t="n"/>
      <c r="N288" s="25">
        <f>IF(C288="","",IFERROR(INDEX(tbl_Finance[Description],MATCH(C288&amp;"",tbl_Finance[Job Number],0)),""))</f>
        <v/>
      </c>
      <c r="O288" s="24" t="n"/>
      <c r="P288" s="24" t="n"/>
      <c r="Q288" s="22" t="n"/>
      <c r="R288" s="24" t="n"/>
      <c r="S288" s="25">
        <f>IF(R288="","",IF(AND(LEFT(R288,4)&lt;&gt;"http",set_RMSBase=""),"",HYPERLINK(IF(LEFT(R288,4)="http",R288,set_RMSBase&amp;R288),"Open opportunity")))</f>
        <v/>
      </c>
      <c r="T288" s="24" t="n"/>
      <c r="U288" s="25">
        <f>IF(T288="","",HYPERLINK(IF(LEFT(T288,4)="http",T288,set_QwilrBase&amp;T288),"Open quote"))</f>
        <v/>
      </c>
      <c r="V288" s="25">
        <f>IF(C288="","",C288)</f>
        <v/>
      </c>
      <c r="W288" s="24" t="n"/>
      <c r="X288" s="26" t="n"/>
      <c r="Y288" s="27">
        <f>IF(C288="","",H288+N(X288))</f>
        <v/>
      </c>
      <c r="Z288" s="29">
        <f>IFERROR(X288/Y288,"")</f>
        <v/>
      </c>
      <c r="AA288" s="26" t="n"/>
      <c r="AB288" s="26" t="n"/>
      <c r="AC288" s="26" t="n"/>
      <c r="AD288" s="26" t="n"/>
      <c r="AE288" s="27">
        <f>IF(C288="","",SUMIFS(tbl_Finance[Ex GST],tbl_Finance[Job Number],C288&amp;"",tbl_Finance[Cost Centre],"VIDEO"))</f>
        <v/>
      </c>
      <c r="AF288" s="29">
        <f>IFERROR(AE288/H288,"")</f>
        <v/>
      </c>
      <c r="AG288" s="27">
        <f>IF(C288="","",N(AA288)+N(AB288)+N(AC288)+N(AD288))</f>
        <v/>
      </c>
      <c r="AH288" s="27">
        <f>IF(C288="","",H288-AG288)</f>
        <v/>
      </c>
      <c r="AI288" s="29">
        <f>IFERROR(AH288/H288,"")</f>
        <v/>
      </c>
      <c r="AJ288" s="69" t="n"/>
      <c r="AK288" s="69" t="n"/>
      <c r="AL288" s="69" t="n"/>
      <c r="AM288" s="69" t="n"/>
      <c r="AN288" s="69" t="n"/>
      <c r="AO288" s="24" t="n"/>
    </row>
    <row r="289" ht="15" customHeight="1">
      <c r="A289" s="68">
        <f>IF(C289="","",IFERROR(IF(SUMPRODUCT(MAX((tbl_Finance[Job Number]=C289&amp;"")*(tbl_Finance[Xero Invoice No]&lt;&gt;"")*tbl_Finance[Date]))=0,"",SUMPRODUCT(MAX((tbl_Finance[Job Number]=C289&amp;"")*(tbl_Finance[Xero Invoice No]&lt;&gt;"")*tbl_Finance[Date]))),""))</f>
        <v/>
      </c>
      <c r="B289" s="25">
        <f>IF(C289="","",IF(COUNTIFS(tbl_Finance[Job Number],C289&amp;"",tbl_Finance[Xero Invoice No],"&lt;&gt;")=0,"",IFERROR(IF(COUNTIFS(tbl_Finance[Job Number],C289&amp;"",tbl_Finance[Xero Invoice No],LOOKUP(2,1/((tbl_Finance[Job Number]=C289&amp;"")*(tbl_Finance[Xero Invoice No]&lt;&gt;"")),tbl_Finance[Xero Invoice No]))=COUNTIFS(tbl_Finance[Job Number],C289&amp;"",tbl_Finance[Xero Invoice No],"&lt;&gt;"),LOOKUP(2,1/((tbl_Finance[Job Number]=C289&amp;"")*(tbl_Finance[Xero Invoice No]&lt;&gt;"")),tbl_Finance[Xero Invoice No]),LOOKUP(2,1/((tbl_Finance[Job Number]=C289&amp;"")*(tbl_Finance[Xero Invoice No]&lt;&gt;"")),tbl_Finance[Xero Invoice No])&amp;" +more"),"")))</f>
        <v/>
      </c>
      <c r="C289" s="24" t="n"/>
      <c r="D289" s="25">
        <f>IF(C289="","",IF(COUNTIF(lst_Jobs,C289&amp;"")&gt;0,"OK","CHECK"))</f>
        <v/>
      </c>
      <c r="E289" s="25">
        <f>IF(C289="","",IFERROR(INDEX(lst_JobName,MATCH(C289&amp;"",lst_Jobs,0)),""))</f>
        <v/>
      </c>
      <c r="F289" s="25">
        <f>IF(C289="","",IFERROR(INDEX(tbl_Finance[Client],MATCH(C289&amp;"",tbl_Finance[Job Number],0)),""))</f>
        <v/>
      </c>
      <c r="G289" s="28">
        <f>IF(C289="","",COUNTIFS(tbl_Finance[Job Number],C289&amp;"",tbl_Finance[Ex GST],"&lt;&gt;"))</f>
        <v/>
      </c>
      <c r="H289" s="27">
        <f>IF(C289="","",SUMIFS(tbl_Finance[Ex GST],tbl_Finance[Job Number],C289&amp;""))</f>
        <v/>
      </c>
      <c r="I289" s="27">
        <f>IF(C289="","",SUMIFS(tbl_Finance[Ex GST],tbl_Finance[Job Number],C289&amp;"",tbl_Finance[Xero Invoice No],"&lt;&gt;"))</f>
        <v/>
      </c>
      <c r="J289" s="27">
        <f>IF(C289="","",H289-I289)</f>
        <v/>
      </c>
      <c r="K289" s="25">
        <f>IF(C289="","",IF(G289=0,"not invoiced yet",SUBSTITUTE(TRIM(IF(COUNTIFS(tbl_Finance[Job Number],C289&amp;"",tbl_Finance[Cost Centre],"ONSITE")&gt;0,"ONSITE ","")&amp;IF(COUNTIFS(tbl_Finance[Job Number],C289&amp;"",tbl_Finance[Cost Centre],"PRODUCTION")&gt;0,"PRODUCTION ","")&amp;IF(COUNTIFS(tbl_Finance[Job Number],C289&amp;"",tbl_Finance[Cost Centre],"VIDEO")&gt;0,"VIDEO ","")&amp;IF(COUNTIFS(tbl_Finance[Job Number],C289&amp;"",tbl_Finance[Cost Centre],"INTEGRATION")&gt;0,"INTEGRATION ","")&amp;IF(COUNTIFS(tbl_Finance[Job Number],C289&amp;"",tbl_Finance[Cost Centre],"CONSULTING")&gt;0,"CONSULTING ","")&amp;IF(COUNTIFS(tbl_Finance[Job Number],C289&amp;"",tbl_Finance[Cost Centre],"CTS")&gt;0,"CTS ",""))," ",", ")))</f>
        <v/>
      </c>
      <c r="L289" s="27">
        <f>IF(C289="","",SUMIFS(tbl_Finance[Inc GST],tbl_Finance[Job Number],C289&amp;""))</f>
        <v/>
      </c>
      <c r="M289" s="24" t="n"/>
      <c r="N289" s="25">
        <f>IF(C289="","",IFERROR(INDEX(tbl_Finance[Description],MATCH(C289&amp;"",tbl_Finance[Job Number],0)),""))</f>
        <v/>
      </c>
      <c r="O289" s="24" t="n"/>
      <c r="P289" s="24" t="n"/>
      <c r="Q289" s="22" t="n"/>
      <c r="R289" s="24" t="n"/>
      <c r="S289" s="25">
        <f>IF(R289="","",IF(AND(LEFT(R289,4)&lt;&gt;"http",set_RMSBase=""),"",HYPERLINK(IF(LEFT(R289,4)="http",R289,set_RMSBase&amp;R289),"Open opportunity")))</f>
        <v/>
      </c>
      <c r="T289" s="24" t="n"/>
      <c r="U289" s="25">
        <f>IF(T289="","",HYPERLINK(IF(LEFT(T289,4)="http",T289,set_QwilrBase&amp;T289),"Open quote"))</f>
        <v/>
      </c>
      <c r="V289" s="25">
        <f>IF(C289="","",C289)</f>
        <v/>
      </c>
      <c r="W289" s="24" t="n"/>
      <c r="X289" s="26" t="n"/>
      <c r="Y289" s="27">
        <f>IF(C289="","",H289+N(X289))</f>
        <v/>
      </c>
      <c r="Z289" s="29">
        <f>IFERROR(X289/Y289,"")</f>
        <v/>
      </c>
      <c r="AA289" s="26" t="n"/>
      <c r="AB289" s="26" t="n"/>
      <c r="AC289" s="26" t="n"/>
      <c r="AD289" s="26" t="n"/>
      <c r="AE289" s="27">
        <f>IF(C289="","",SUMIFS(tbl_Finance[Ex GST],tbl_Finance[Job Number],C289&amp;"",tbl_Finance[Cost Centre],"VIDEO"))</f>
        <v/>
      </c>
      <c r="AF289" s="29">
        <f>IFERROR(AE289/H289,"")</f>
        <v/>
      </c>
      <c r="AG289" s="27">
        <f>IF(C289="","",N(AA289)+N(AB289)+N(AC289)+N(AD289))</f>
        <v/>
      </c>
      <c r="AH289" s="27">
        <f>IF(C289="","",H289-AG289)</f>
        <v/>
      </c>
      <c r="AI289" s="29">
        <f>IFERROR(AH289/H289,"")</f>
        <v/>
      </c>
      <c r="AJ289" s="69" t="n"/>
      <c r="AK289" s="69" t="n"/>
      <c r="AL289" s="69" t="n"/>
      <c r="AM289" s="69" t="n"/>
      <c r="AN289" s="69" t="n"/>
      <c r="AO289" s="24" t="n"/>
    </row>
    <row r="290" ht="15" customHeight="1">
      <c r="A290" s="68">
        <f>IF(C290="","",IFERROR(IF(SUMPRODUCT(MAX((tbl_Finance[Job Number]=C290&amp;"")*(tbl_Finance[Xero Invoice No]&lt;&gt;"")*tbl_Finance[Date]))=0,"",SUMPRODUCT(MAX((tbl_Finance[Job Number]=C290&amp;"")*(tbl_Finance[Xero Invoice No]&lt;&gt;"")*tbl_Finance[Date]))),""))</f>
        <v/>
      </c>
      <c r="B290" s="25">
        <f>IF(C290="","",IF(COUNTIFS(tbl_Finance[Job Number],C290&amp;"",tbl_Finance[Xero Invoice No],"&lt;&gt;")=0,"",IFERROR(IF(COUNTIFS(tbl_Finance[Job Number],C290&amp;"",tbl_Finance[Xero Invoice No],LOOKUP(2,1/((tbl_Finance[Job Number]=C290&amp;"")*(tbl_Finance[Xero Invoice No]&lt;&gt;"")),tbl_Finance[Xero Invoice No]))=COUNTIFS(tbl_Finance[Job Number],C290&amp;"",tbl_Finance[Xero Invoice No],"&lt;&gt;"),LOOKUP(2,1/((tbl_Finance[Job Number]=C290&amp;"")*(tbl_Finance[Xero Invoice No]&lt;&gt;"")),tbl_Finance[Xero Invoice No]),LOOKUP(2,1/((tbl_Finance[Job Number]=C290&amp;"")*(tbl_Finance[Xero Invoice No]&lt;&gt;"")),tbl_Finance[Xero Invoice No])&amp;" +more"),"")))</f>
        <v/>
      </c>
      <c r="C290" s="24" t="n"/>
      <c r="D290" s="25">
        <f>IF(C290="","",IF(COUNTIF(lst_Jobs,C290&amp;"")&gt;0,"OK","CHECK"))</f>
        <v/>
      </c>
      <c r="E290" s="25">
        <f>IF(C290="","",IFERROR(INDEX(lst_JobName,MATCH(C290&amp;"",lst_Jobs,0)),""))</f>
        <v/>
      </c>
      <c r="F290" s="25">
        <f>IF(C290="","",IFERROR(INDEX(tbl_Finance[Client],MATCH(C290&amp;"",tbl_Finance[Job Number],0)),""))</f>
        <v/>
      </c>
      <c r="G290" s="28">
        <f>IF(C290="","",COUNTIFS(tbl_Finance[Job Number],C290&amp;"",tbl_Finance[Ex GST],"&lt;&gt;"))</f>
        <v/>
      </c>
      <c r="H290" s="27">
        <f>IF(C290="","",SUMIFS(tbl_Finance[Ex GST],tbl_Finance[Job Number],C290&amp;""))</f>
        <v/>
      </c>
      <c r="I290" s="27">
        <f>IF(C290="","",SUMIFS(tbl_Finance[Ex GST],tbl_Finance[Job Number],C290&amp;"",tbl_Finance[Xero Invoice No],"&lt;&gt;"))</f>
        <v/>
      </c>
      <c r="J290" s="27">
        <f>IF(C290="","",H290-I290)</f>
        <v/>
      </c>
      <c r="K290" s="25">
        <f>IF(C290="","",IF(G290=0,"not invoiced yet",SUBSTITUTE(TRIM(IF(COUNTIFS(tbl_Finance[Job Number],C290&amp;"",tbl_Finance[Cost Centre],"ONSITE")&gt;0,"ONSITE ","")&amp;IF(COUNTIFS(tbl_Finance[Job Number],C290&amp;"",tbl_Finance[Cost Centre],"PRODUCTION")&gt;0,"PRODUCTION ","")&amp;IF(COUNTIFS(tbl_Finance[Job Number],C290&amp;"",tbl_Finance[Cost Centre],"VIDEO")&gt;0,"VIDEO ","")&amp;IF(COUNTIFS(tbl_Finance[Job Number],C290&amp;"",tbl_Finance[Cost Centre],"INTEGRATION")&gt;0,"INTEGRATION ","")&amp;IF(COUNTIFS(tbl_Finance[Job Number],C290&amp;"",tbl_Finance[Cost Centre],"CONSULTING")&gt;0,"CONSULTING ","")&amp;IF(COUNTIFS(tbl_Finance[Job Number],C290&amp;"",tbl_Finance[Cost Centre],"CTS")&gt;0,"CTS ",""))," ",", ")))</f>
        <v/>
      </c>
      <c r="L290" s="27">
        <f>IF(C290="","",SUMIFS(tbl_Finance[Inc GST],tbl_Finance[Job Number],C290&amp;""))</f>
        <v/>
      </c>
      <c r="M290" s="24" t="n"/>
      <c r="N290" s="25">
        <f>IF(C290="","",IFERROR(INDEX(tbl_Finance[Description],MATCH(C290&amp;"",tbl_Finance[Job Number],0)),""))</f>
        <v/>
      </c>
      <c r="O290" s="24" t="n"/>
      <c r="P290" s="24" t="n"/>
      <c r="Q290" s="22" t="n"/>
      <c r="R290" s="24" t="n"/>
      <c r="S290" s="25">
        <f>IF(R290="","",IF(AND(LEFT(R290,4)&lt;&gt;"http",set_RMSBase=""),"",HYPERLINK(IF(LEFT(R290,4)="http",R290,set_RMSBase&amp;R290),"Open opportunity")))</f>
        <v/>
      </c>
      <c r="T290" s="24" t="n"/>
      <c r="U290" s="25">
        <f>IF(T290="","",HYPERLINK(IF(LEFT(T290,4)="http",T290,set_QwilrBase&amp;T290),"Open quote"))</f>
        <v/>
      </c>
      <c r="V290" s="25">
        <f>IF(C290="","",C290)</f>
        <v/>
      </c>
      <c r="W290" s="24" t="n"/>
      <c r="X290" s="26" t="n"/>
      <c r="Y290" s="27">
        <f>IF(C290="","",H290+N(X290))</f>
        <v/>
      </c>
      <c r="Z290" s="29">
        <f>IFERROR(X290/Y290,"")</f>
        <v/>
      </c>
      <c r="AA290" s="26" t="n"/>
      <c r="AB290" s="26" t="n"/>
      <c r="AC290" s="26" t="n"/>
      <c r="AD290" s="26" t="n"/>
      <c r="AE290" s="27">
        <f>IF(C290="","",SUMIFS(tbl_Finance[Ex GST],tbl_Finance[Job Number],C290&amp;"",tbl_Finance[Cost Centre],"VIDEO"))</f>
        <v/>
      </c>
      <c r="AF290" s="29">
        <f>IFERROR(AE290/H290,"")</f>
        <v/>
      </c>
      <c r="AG290" s="27">
        <f>IF(C290="","",N(AA290)+N(AB290)+N(AC290)+N(AD290))</f>
        <v/>
      </c>
      <c r="AH290" s="27">
        <f>IF(C290="","",H290-AG290)</f>
        <v/>
      </c>
      <c r="AI290" s="29">
        <f>IFERROR(AH290/H290,"")</f>
        <v/>
      </c>
      <c r="AJ290" s="69" t="n"/>
      <c r="AK290" s="69" t="n"/>
      <c r="AL290" s="69" t="n"/>
      <c r="AM290" s="69" t="n"/>
      <c r="AN290" s="69" t="n"/>
      <c r="AO290" s="24" t="n"/>
    </row>
    <row r="291" ht="15" customHeight="1">
      <c r="A291" s="68">
        <f>IF(C291="","",IFERROR(IF(SUMPRODUCT(MAX((tbl_Finance[Job Number]=C291&amp;"")*(tbl_Finance[Xero Invoice No]&lt;&gt;"")*tbl_Finance[Date]))=0,"",SUMPRODUCT(MAX((tbl_Finance[Job Number]=C291&amp;"")*(tbl_Finance[Xero Invoice No]&lt;&gt;"")*tbl_Finance[Date]))),""))</f>
        <v/>
      </c>
      <c r="B291" s="25">
        <f>IF(C291="","",IF(COUNTIFS(tbl_Finance[Job Number],C291&amp;"",tbl_Finance[Xero Invoice No],"&lt;&gt;")=0,"",IFERROR(IF(COUNTIFS(tbl_Finance[Job Number],C291&amp;"",tbl_Finance[Xero Invoice No],LOOKUP(2,1/((tbl_Finance[Job Number]=C291&amp;"")*(tbl_Finance[Xero Invoice No]&lt;&gt;"")),tbl_Finance[Xero Invoice No]))=COUNTIFS(tbl_Finance[Job Number],C291&amp;"",tbl_Finance[Xero Invoice No],"&lt;&gt;"),LOOKUP(2,1/((tbl_Finance[Job Number]=C291&amp;"")*(tbl_Finance[Xero Invoice No]&lt;&gt;"")),tbl_Finance[Xero Invoice No]),LOOKUP(2,1/((tbl_Finance[Job Number]=C291&amp;"")*(tbl_Finance[Xero Invoice No]&lt;&gt;"")),tbl_Finance[Xero Invoice No])&amp;" +more"),"")))</f>
        <v/>
      </c>
      <c r="C291" s="24" t="n"/>
      <c r="D291" s="25">
        <f>IF(C291="","",IF(COUNTIF(lst_Jobs,C291&amp;"")&gt;0,"OK","CHECK"))</f>
        <v/>
      </c>
      <c r="E291" s="25">
        <f>IF(C291="","",IFERROR(INDEX(lst_JobName,MATCH(C291&amp;"",lst_Jobs,0)),""))</f>
        <v/>
      </c>
      <c r="F291" s="25">
        <f>IF(C291="","",IFERROR(INDEX(tbl_Finance[Client],MATCH(C291&amp;"",tbl_Finance[Job Number],0)),""))</f>
        <v/>
      </c>
      <c r="G291" s="28">
        <f>IF(C291="","",COUNTIFS(tbl_Finance[Job Number],C291&amp;"",tbl_Finance[Ex GST],"&lt;&gt;"))</f>
        <v/>
      </c>
      <c r="H291" s="27">
        <f>IF(C291="","",SUMIFS(tbl_Finance[Ex GST],tbl_Finance[Job Number],C291&amp;""))</f>
        <v/>
      </c>
      <c r="I291" s="27">
        <f>IF(C291="","",SUMIFS(tbl_Finance[Ex GST],tbl_Finance[Job Number],C291&amp;"",tbl_Finance[Xero Invoice No],"&lt;&gt;"))</f>
        <v/>
      </c>
      <c r="J291" s="27">
        <f>IF(C291="","",H291-I291)</f>
        <v/>
      </c>
      <c r="K291" s="25">
        <f>IF(C291="","",IF(G291=0,"not invoiced yet",SUBSTITUTE(TRIM(IF(COUNTIFS(tbl_Finance[Job Number],C291&amp;"",tbl_Finance[Cost Centre],"ONSITE")&gt;0,"ONSITE ","")&amp;IF(COUNTIFS(tbl_Finance[Job Number],C291&amp;"",tbl_Finance[Cost Centre],"PRODUCTION")&gt;0,"PRODUCTION ","")&amp;IF(COUNTIFS(tbl_Finance[Job Number],C291&amp;"",tbl_Finance[Cost Centre],"VIDEO")&gt;0,"VIDEO ","")&amp;IF(COUNTIFS(tbl_Finance[Job Number],C291&amp;"",tbl_Finance[Cost Centre],"INTEGRATION")&gt;0,"INTEGRATION ","")&amp;IF(COUNTIFS(tbl_Finance[Job Number],C291&amp;"",tbl_Finance[Cost Centre],"CONSULTING")&gt;0,"CONSULTING ","")&amp;IF(COUNTIFS(tbl_Finance[Job Number],C291&amp;"",tbl_Finance[Cost Centre],"CTS")&gt;0,"CTS ",""))," ",", ")))</f>
        <v/>
      </c>
      <c r="L291" s="27">
        <f>IF(C291="","",SUMIFS(tbl_Finance[Inc GST],tbl_Finance[Job Number],C291&amp;""))</f>
        <v/>
      </c>
      <c r="M291" s="24" t="n"/>
      <c r="N291" s="25">
        <f>IF(C291="","",IFERROR(INDEX(tbl_Finance[Description],MATCH(C291&amp;"",tbl_Finance[Job Number],0)),""))</f>
        <v/>
      </c>
      <c r="O291" s="24" t="n"/>
      <c r="P291" s="24" t="n"/>
      <c r="Q291" s="22" t="n"/>
      <c r="R291" s="24" t="n"/>
      <c r="S291" s="25">
        <f>IF(R291="","",IF(AND(LEFT(R291,4)&lt;&gt;"http",set_RMSBase=""),"",HYPERLINK(IF(LEFT(R291,4)="http",R291,set_RMSBase&amp;R291),"Open opportunity")))</f>
        <v/>
      </c>
      <c r="T291" s="24" t="n"/>
      <c r="U291" s="25">
        <f>IF(T291="","",HYPERLINK(IF(LEFT(T291,4)="http",T291,set_QwilrBase&amp;T291),"Open quote"))</f>
        <v/>
      </c>
      <c r="V291" s="25">
        <f>IF(C291="","",C291)</f>
        <v/>
      </c>
      <c r="W291" s="24" t="n"/>
      <c r="X291" s="26" t="n"/>
      <c r="Y291" s="27">
        <f>IF(C291="","",H291+N(X291))</f>
        <v/>
      </c>
      <c r="Z291" s="29">
        <f>IFERROR(X291/Y291,"")</f>
        <v/>
      </c>
      <c r="AA291" s="26" t="n"/>
      <c r="AB291" s="26" t="n"/>
      <c r="AC291" s="26" t="n"/>
      <c r="AD291" s="26" t="n"/>
      <c r="AE291" s="27">
        <f>IF(C291="","",SUMIFS(tbl_Finance[Ex GST],tbl_Finance[Job Number],C291&amp;"",tbl_Finance[Cost Centre],"VIDEO"))</f>
        <v/>
      </c>
      <c r="AF291" s="29">
        <f>IFERROR(AE291/H291,"")</f>
        <v/>
      </c>
      <c r="AG291" s="27">
        <f>IF(C291="","",N(AA291)+N(AB291)+N(AC291)+N(AD291))</f>
        <v/>
      </c>
      <c r="AH291" s="27">
        <f>IF(C291="","",H291-AG291)</f>
        <v/>
      </c>
      <c r="AI291" s="29">
        <f>IFERROR(AH291/H291,"")</f>
        <v/>
      </c>
      <c r="AJ291" s="69" t="n"/>
      <c r="AK291" s="69" t="n"/>
      <c r="AL291" s="69" t="n"/>
      <c r="AM291" s="69" t="n"/>
      <c r="AN291" s="69" t="n"/>
      <c r="AO291" s="24" t="n"/>
    </row>
    <row r="292" ht="15" customHeight="1">
      <c r="A292" s="68">
        <f>IF(C292="","",IFERROR(IF(SUMPRODUCT(MAX((tbl_Finance[Job Number]=C292&amp;"")*(tbl_Finance[Xero Invoice No]&lt;&gt;"")*tbl_Finance[Date]))=0,"",SUMPRODUCT(MAX((tbl_Finance[Job Number]=C292&amp;"")*(tbl_Finance[Xero Invoice No]&lt;&gt;"")*tbl_Finance[Date]))),""))</f>
        <v/>
      </c>
      <c r="B292" s="25">
        <f>IF(C292="","",IF(COUNTIFS(tbl_Finance[Job Number],C292&amp;"",tbl_Finance[Xero Invoice No],"&lt;&gt;")=0,"",IFERROR(IF(COUNTIFS(tbl_Finance[Job Number],C292&amp;"",tbl_Finance[Xero Invoice No],LOOKUP(2,1/((tbl_Finance[Job Number]=C292&amp;"")*(tbl_Finance[Xero Invoice No]&lt;&gt;"")),tbl_Finance[Xero Invoice No]))=COUNTIFS(tbl_Finance[Job Number],C292&amp;"",tbl_Finance[Xero Invoice No],"&lt;&gt;"),LOOKUP(2,1/((tbl_Finance[Job Number]=C292&amp;"")*(tbl_Finance[Xero Invoice No]&lt;&gt;"")),tbl_Finance[Xero Invoice No]),LOOKUP(2,1/((tbl_Finance[Job Number]=C292&amp;"")*(tbl_Finance[Xero Invoice No]&lt;&gt;"")),tbl_Finance[Xero Invoice No])&amp;" +more"),"")))</f>
        <v/>
      </c>
      <c r="C292" s="24" t="n"/>
      <c r="D292" s="25">
        <f>IF(C292="","",IF(COUNTIF(lst_Jobs,C292&amp;"")&gt;0,"OK","CHECK"))</f>
        <v/>
      </c>
      <c r="E292" s="25">
        <f>IF(C292="","",IFERROR(INDEX(lst_JobName,MATCH(C292&amp;"",lst_Jobs,0)),""))</f>
        <v/>
      </c>
      <c r="F292" s="25">
        <f>IF(C292="","",IFERROR(INDEX(tbl_Finance[Client],MATCH(C292&amp;"",tbl_Finance[Job Number],0)),""))</f>
        <v/>
      </c>
      <c r="G292" s="28">
        <f>IF(C292="","",COUNTIFS(tbl_Finance[Job Number],C292&amp;"",tbl_Finance[Ex GST],"&lt;&gt;"))</f>
        <v/>
      </c>
      <c r="H292" s="27">
        <f>IF(C292="","",SUMIFS(tbl_Finance[Ex GST],tbl_Finance[Job Number],C292&amp;""))</f>
        <v/>
      </c>
      <c r="I292" s="27">
        <f>IF(C292="","",SUMIFS(tbl_Finance[Ex GST],tbl_Finance[Job Number],C292&amp;"",tbl_Finance[Xero Invoice No],"&lt;&gt;"))</f>
        <v/>
      </c>
      <c r="J292" s="27">
        <f>IF(C292="","",H292-I292)</f>
        <v/>
      </c>
      <c r="K292" s="25">
        <f>IF(C292="","",IF(G292=0,"not invoiced yet",SUBSTITUTE(TRIM(IF(COUNTIFS(tbl_Finance[Job Number],C292&amp;"",tbl_Finance[Cost Centre],"ONSITE")&gt;0,"ONSITE ","")&amp;IF(COUNTIFS(tbl_Finance[Job Number],C292&amp;"",tbl_Finance[Cost Centre],"PRODUCTION")&gt;0,"PRODUCTION ","")&amp;IF(COUNTIFS(tbl_Finance[Job Number],C292&amp;"",tbl_Finance[Cost Centre],"VIDEO")&gt;0,"VIDEO ","")&amp;IF(COUNTIFS(tbl_Finance[Job Number],C292&amp;"",tbl_Finance[Cost Centre],"INTEGRATION")&gt;0,"INTEGRATION ","")&amp;IF(COUNTIFS(tbl_Finance[Job Number],C292&amp;"",tbl_Finance[Cost Centre],"CONSULTING")&gt;0,"CONSULTING ","")&amp;IF(COUNTIFS(tbl_Finance[Job Number],C292&amp;"",tbl_Finance[Cost Centre],"CTS")&gt;0,"CTS ",""))," ",", ")))</f>
        <v/>
      </c>
      <c r="L292" s="27">
        <f>IF(C292="","",SUMIFS(tbl_Finance[Inc GST],tbl_Finance[Job Number],C292&amp;""))</f>
        <v/>
      </c>
      <c r="M292" s="24" t="n"/>
      <c r="N292" s="25">
        <f>IF(C292="","",IFERROR(INDEX(tbl_Finance[Description],MATCH(C292&amp;"",tbl_Finance[Job Number],0)),""))</f>
        <v/>
      </c>
      <c r="O292" s="24" t="n"/>
      <c r="P292" s="24" t="n"/>
      <c r="Q292" s="22" t="n"/>
      <c r="R292" s="24" t="n"/>
      <c r="S292" s="25">
        <f>IF(R292="","",IF(AND(LEFT(R292,4)&lt;&gt;"http",set_RMSBase=""),"",HYPERLINK(IF(LEFT(R292,4)="http",R292,set_RMSBase&amp;R292),"Open opportunity")))</f>
        <v/>
      </c>
      <c r="T292" s="24" t="n"/>
      <c r="U292" s="25">
        <f>IF(T292="","",HYPERLINK(IF(LEFT(T292,4)="http",T292,set_QwilrBase&amp;T292),"Open quote"))</f>
        <v/>
      </c>
      <c r="V292" s="25">
        <f>IF(C292="","",C292)</f>
        <v/>
      </c>
      <c r="W292" s="24" t="n"/>
      <c r="X292" s="26" t="n"/>
      <c r="Y292" s="27">
        <f>IF(C292="","",H292+N(X292))</f>
        <v/>
      </c>
      <c r="Z292" s="29">
        <f>IFERROR(X292/Y292,"")</f>
        <v/>
      </c>
      <c r="AA292" s="26" t="n"/>
      <c r="AB292" s="26" t="n"/>
      <c r="AC292" s="26" t="n"/>
      <c r="AD292" s="26" t="n"/>
      <c r="AE292" s="27">
        <f>IF(C292="","",SUMIFS(tbl_Finance[Ex GST],tbl_Finance[Job Number],C292&amp;"",tbl_Finance[Cost Centre],"VIDEO"))</f>
        <v/>
      </c>
      <c r="AF292" s="29">
        <f>IFERROR(AE292/H292,"")</f>
        <v/>
      </c>
      <c r="AG292" s="27">
        <f>IF(C292="","",N(AA292)+N(AB292)+N(AC292)+N(AD292))</f>
        <v/>
      </c>
      <c r="AH292" s="27">
        <f>IF(C292="","",H292-AG292)</f>
        <v/>
      </c>
      <c r="AI292" s="29">
        <f>IFERROR(AH292/H292,"")</f>
        <v/>
      </c>
      <c r="AJ292" s="69" t="n"/>
      <c r="AK292" s="69" t="n"/>
      <c r="AL292" s="69" t="n"/>
      <c r="AM292" s="69" t="n"/>
      <c r="AN292" s="69" t="n"/>
      <c r="AO292" s="24" t="n"/>
    </row>
    <row r="293" ht="15" customHeight="1">
      <c r="A293" s="68">
        <f>IF(C293="","",IFERROR(IF(SUMPRODUCT(MAX((tbl_Finance[Job Number]=C293&amp;"")*(tbl_Finance[Xero Invoice No]&lt;&gt;"")*tbl_Finance[Date]))=0,"",SUMPRODUCT(MAX((tbl_Finance[Job Number]=C293&amp;"")*(tbl_Finance[Xero Invoice No]&lt;&gt;"")*tbl_Finance[Date]))),""))</f>
        <v/>
      </c>
      <c r="B293" s="25">
        <f>IF(C293="","",IF(COUNTIFS(tbl_Finance[Job Number],C293&amp;"",tbl_Finance[Xero Invoice No],"&lt;&gt;")=0,"",IFERROR(IF(COUNTIFS(tbl_Finance[Job Number],C293&amp;"",tbl_Finance[Xero Invoice No],LOOKUP(2,1/((tbl_Finance[Job Number]=C293&amp;"")*(tbl_Finance[Xero Invoice No]&lt;&gt;"")),tbl_Finance[Xero Invoice No]))=COUNTIFS(tbl_Finance[Job Number],C293&amp;"",tbl_Finance[Xero Invoice No],"&lt;&gt;"),LOOKUP(2,1/((tbl_Finance[Job Number]=C293&amp;"")*(tbl_Finance[Xero Invoice No]&lt;&gt;"")),tbl_Finance[Xero Invoice No]),LOOKUP(2,1/((tbl_Finance[Job Number]=C293&amp;"")*(tbl_Finance[Xero Invoice No]&lt;&gt;"")),tbl_Finance[Xero Invoice No])&amp;" +more"),"")))</f>
        <v/>
      </c>
      <c r="C293" s="24" t="n"/>
      <c r="D293" s="25">
        <f>IF(C293="","",IF(COUNTIF(lst_Jobs,C293&amp;"")&gt;0,"OK","CHECK"))</f>
        <v/>
      </c>
      <c r="E293" s="25">
        <f>IF(C293="","",IFERROR(INDEX(lst_JobName,MATCH(C293&amp;"",lst_Jobs,0)),""))</f>
        <v/>
      </c>
      <c r="F293" s="25">
        <f>IF(C293="","",IFERROR(INDEX(tbl_Finance[Client],MATCH(C293&amp;"",tbl_Finance[Job Number],0)),""))</f>
        <v/>
      </c>
      <c r="G293" s="28">
        <f>IF(C293="","",COUNTIFS(tbl_Finance[Job Number],C293&amp;"",tbl_Finance[Ex GST],"&lt;&gt;"))</f>
        <v/>
      </c>
      <c r="H293" s="27">
        <f>IF(C293="","",SUMIFS(tbl_Finance[Ex GST],tbl_Finance[Job Number],C293&amp;""))</f>
        <v/>
      </c>
      <c r="I293" s="27">
        <f>IF(C293="","",SUMIFS(tbl_Finance[Ex GST],tbl_Finance[Job Number],C293&amp;"",tbl_Finance[Xero Invoice No],"&lt;&gt;"))</f>
        <v/>
      </c>
      <c r="J293" s="27">
        <f>IF(C293="","",H293-I293)</f>
        <v/>
      </c>
      <c r="K293" s="25">
        <f>IF(C293="","",IF(G293=0,"not invoiced yet",SUBSTITUTE(TRIM(IF(COUNTIFS(tbl_Finance[Job Number],C293&amp;"",tbl_Finance[Cost Centre],"ONSITE")&gt;0,"ONSITE ","")&amp;IF(COUNTIFS(tbl_Finance[Job Number],C293&amp;"",tbl_Finance[Cost Centre],"PRODUCTION")&gt;0,"PRODUCTION ","")&amp;IF(COUNTIFS(tbl_Finance[Job Number],C293&amp;"",tbl_Finance[Cost Centre],"VIDEO")&gt;0,"VIDEO ","")&amp;IF(COUNTIFS(tbl_Finance[Job Number],C293&amp;"",tbl_Finance[Cost Centre],"INTEGRATION")&gt;0,"INTEGRATION ","")&amp;IF(COUNTIFS(tbl_Finance[Job Number],C293&amp;"",tbl_Finance[Cost Centre],"CONSULTING")&gt;0,"CONSULTING ","")&amp;IF(COUNTIFS(tbl_Finance[Job Number],C293&amp;"",tbl_Finance[Cost Centre],"CTS")&gt;0,"CTS ",""))," ",", ")))</f>
        <v/>
      </c>
      <c r="L293" s="27">
        <f>IF(C293="","",SUMIFS(tbl_Finance[Inc GST],tbl_Finance[Job Number],C293&amp;""))</f>
        <v/>
      </c>
      <c r="M293" s="24" t="n"/>
      <c r="N293" s="25">
        <f>IF(C293="","",IFERROR(INDEX(tbl_Finance[Description],MATCH(C293&amp;"",tbl_Finance[Job Number],0)),""))</f>
        <v/>
      </c>
      <c r="O293" s="24" t="n"/>
      <c r="P293" s="24" t="n"/>
      <c r="Q293" s="22" t="n"/>
      <c r="R293" s="24" t="n"/>
      <c r="S293" s="25">
        <f>IF(R293="","",IF(AND(LEFT(R293,4)&lt;&gt;"http",set_RMSBase=""),"",HYPERLINK(IF(LEFT(R293,4)="http",R293,set_RMSBase&amp;R293),"Open opportunity")))</f>
        <v/>
      </c>
      <c r="T293" s="24" t="n"/>
      <c r="U293" s="25">
        <f>IF(T293="","",HYPERLINK(IF(LEFT(T293,4)="http",T293,set_QwilrBase&amp;T293),"Open quote"))</f>
        <v/>
      </c>
      <c r="V293" s="25">
        <f>IF(C293="","",C293)</f>
        <v/>
      </c>
      <c r="W293" s="24" t="n"/>
      <c r="X293" s="26" t="n"/>
      <c r="Y293" s="27">
        <f>IF(C293="","",H293+N(X293))</f>
        <v/>
      </c>
      <c r="Z293" s="29">
        <f>IFERROR(X293/Y293,"")</f>
        <v/>
      </c>
      <c r="AA293" s="26" t="n"/>
      <c r="AB293" s="26" t="n"/>
      <c r="AC293" s="26" t="n"/>
      <c r="AD293" s="26" t="n"/>
      <c r="AE293" s="27">
        <f>IF(C293="","",SUMIFS(tbl_Finance[Ex GST],tbl_Finance[Job Number],C293&amp;"",tbl_Finance[Cost Centre],"VIDEO"))</f>
        <v/>
      </c>
      <c r="AF293" s="29">
        <f>IFERROR(AE293/H293,"")</f>
        <v/>
      </c>
      <c r="AG293" s="27">
        <f>IF(C293="","",N(AA293)+N(AB293)+N(AC293)+N(AD293))</f>
        <v/>
      </c>
      <c r="AH293" s="27">
        <f>IF(C293="","",H293-AG293)</f>
        <v/>
      </c>
      <c r="AI293" s="29">
        <f>IFERROR(AH293/H293,"")</f>
        <v/>
      </c>
      <c r="AJ293" s="69" t="n"/>
      <c r="AK293" s="69" t="n"/>
      <c r="AL293" s="69" t="n"/>
      <c r="AM293" s="69" t="n"/>
      <c r="AN293" s="69" t="n"/>
      <c r="AO293" s="24" t="n"/>
    </row>
    <row r="294" ht="15" customHeight="1">
      <c r="A294" s="68">
        <f>IF(C294="","",IFERROR(IF(SUMPRODUCT(MAX((tbl_Finance[Job Number]=C294&amp;"")*(tbl_Finance[Xero Invoice No]&lt;&gt;"")*tbl_Finance[Date]))=0,"",SUMPRODUCT(MAX((tbl_Finance[Job Number]=C294&amp;"")*(tbl_Finance[Xero Invoice No]&lt;&gt;"")*tbl_Finance[Date]))),""))</f>
        <v/>
      </c>
      <c r="B294" s="25">
        <f>IF(C294="","",IF(COUNTIFS(tbl_Finance[Job Number],C294&amp;"",tbl_Finance[Xero Invoice No],"&lt;&gt;")=0,"",IFERROR(IF(COUNTIFS(tbl_Finance[Job Number],C294&amp;"",tbl_Finance[Xero Invoice No],LOOKUP(2,1/((tbl_Finance[Job Number]=C294&amp;"")*(tbl_Finance[Xero Invoice No]&lt;&gt;"")),tbl_Finance[Xero Invoice No]))=COUNTIFS(tbl_Finance[Job Number],C294&amp;"",tbl_Finance[Xero Invoice No],"&lt;&gt;"),LOOKUP(2,1/((tbl_Finance[Job Number]=C294&amp;"")*(tbl_Finance[Xero Invoice No]&lt;&gt;"")),tbl_Finance[Xero Invoice No]),LOOKUP(2,1/((tbl_Finance[Job Number]=C294&amp;"")*(tbl_Finance[Xero Invoice No]&lt;&gt;"")),tbl_Finance[Xero Invoice No])&amp;" +more"),"")))</f>
        <v/>
      </c>
      <c r="C294" s="24" t="n"/>
      <c r="D294" s="25">
        <f>IF(C294="","",IF(COUNTIF(lst_Jobs,C294&amp;"")&gt;0,"OK","CHECK"))</f>
        <v/>
      </c>
      <c r="E294" s="25">
        <f>IF(C294="","",IFERROR(INDEX(lst_JobName,MATCH(C294&amp;"",lst_Jobs,0)),""))</f>
        <v/>
      </c>
      <c r="F294" s="25">
        <f>IF(C294="","",IFERROR(INDEX(tbl_Finance[Client],MATCH(C294&amp;"",tbl_Finance[Job Number],0)),""))</f>
        <v/>
      </c>
      <c r="G294" s="28">
        <f>IF(C294="","",COUNTIFS(tbl_Finance[Job Number],C294&amp;"",tbl_Finance[Ex GST],"&lt;&gt;"))</f>
        <v/>
      </c>
      <c r="H294" s="27">
        <f>IF(C294="","",SUMIFS(tbl_Finance[Ex GST],tbl_Finance[Job Number],C294&amp;""))</f>
        <v/>
      </c>
      <c r="I294" s="27">
        <f>IF(C294="","",SUMIFS(tbl_Finance[Ex GST],tbl_Finance[Job Number],C294&amp;"",tbl_Finance[Xero Invoice No],"&lt;&gt;"))</f>
        <v/>
      </c>
      <c r="J294" s="27">
        <f>IF(C294="","",H294-I294)</f>
        <v/>
      </c>
      <c r="K294" s="25">
        <f>IF(C294="","",IF(G294=0,"not invoiced yet",SUBSTITUTE(TRIM(IF(COUNTIFS(tbl_Finance[Job Number],C294&amp;"",tbl_Finance[Cost Centre],"ONSITE")&gt;0,"ONSITE ","")&amp;IF(COUNTIFS(tbl_Finance[Job Number],C294&amp;"",tbl_Finance[Cost Centre],"PRODUCTION")&gt;0,"PRODUCTION ","")&amp;IF(COUNTIFS(tbl_Finance[Job Number],C294&amp;"",tbl_Finance[Cost Centre],"VIDEO")&gt;0,"VIDEO ","")&amp;IF(COUNTIFS(tbl_Finance[Job Number],C294&amp;"",tbl_Finance[Cost Centre],"INTEGRATION")&gt;0,"INTEGRATION ","")&amp;IF(COUNTIFS(tbl_Finance[Job Number],C294&amp;"",tbl_Finance[Cost Centre],"CONSULTING")&gt;0,"CONSULTING ","")&amp;IF(COUNTIFS(tbl_Finance[Job Number],C294&amp;"",tbl_Finance[Cost Centre],"CTS")&gt;0,"CTS ",""))," ",", ")))</f>
        <v/>
      </c>
      <c r="L294" s="27">
        <f>IF(C294="","",SUMIFS(tbl_Finance[Inc GST],tbl_Finance[Job Number],C294&amp;""))</f>
        <v/>
      </c>
      <c r="M294" s="24" t="n"/>
      <c r="N294" s="25">
        <f>IF(C294="","",IFERROR(INDEX(tbl_Finance[Description],MATCH(C294&amp;"",tbl_Finance[Job Number],0)),""))</f>
        <v/>
      </c>
      <c r="O294" s="24" t="n"/>
      <c r="P294" s="24" t="n"/>
      <c r="Q294" s="22" t="n"/>
      <c r="R294" s="24" t="n"/>
      <c r="S294" s="25">
        <f>IF(R294="","",IF(AND(LEFT(R294,4)&lt;&gt;"http",set_RMSBase=""),"",HYPERLINK(IF(LEFT(R294,4)="http",R294,set_RMSBase&amp;R294),"Open opportunity")))</f>
        <v/>
      </c>
      <c r="T294" s="24" t="n"/>
      <c r="U294" s="25">
        <f>IF(T294="","",HYPERLINK(IF(LEFT(T294,4)="http",T294,set_QwilrBase&amp;T294),"Open quote"))</f>
        <v/>
      </c>
      <c r="V294" s="25">
        <f>IF(C294="","",C294)</f>
        <v/>
      </c>
      <c r="W294" s="24" t="n"/>
      <c r="X294" s="26" t="n"/>
      <c r="Y294" s="27">
        <f>IF(C294="","",H294+N(X294))</f>
        <v/>
      </c>
      <c r="Z294" s="29">
        <f>IFERROR(X294/Y294,"")</f>
        <v/>
      </c>
      <c r="AA294" s="26" t="n"/>
      <c r="AB294" s="26" t="n"/>
      <c r="AC294" s="26" t="n"/>
      <c r="AD294" s="26" t="n"/>
      <c r="AE294" s="27">
        <f>IF(C294="","",SUMIFS(tbl_Finance[Ex GST],tbl_Finance[Job Number],C294&amp;"",tbl_Finance[Cost Centre],"VIDEO"))</f>
        <v/>
      </c>
      <c r="AF294" s="29">
        <f>IFERROR(AE294/H294,"")</f>
        <v/>
      </c>
      <c r="AG294" s="27">
        <f>IF(C294="","",N(AA294)+N(AB294)+N(AC294)+N(AD294))</f>
        <v/>
      </c>
      <c r="AH294" s="27">
        <f>IF(C294="","",H294-AG294)</f>
        <v/>
      </c>
      <c r="AI294" s="29">
        <f>IFERROR(AH294/H294,"")</f>
        <v/>
      </c>
      <c r="AJ294" s="69" t="n"/>
      <c r="AK294" s="69" t="n"/>
      <c r="AL294" s="69" t="n"/>
      <c r="AM294" s="69" t="n"/>
      <c r="AN294" s="69" t="n"/>
      <c r="AO294" s="24" t="n"/>
    </row>
    <row r="295" ht="15" customHeight="1">
      <c r="A295" s="68">
        <f>IF(C295="","",IFERROR(IF(SUMPRODUCT(MAX((tbl_Finance[Job Number]=C295&amp;"")*(tbl_Finance[Xero Invoice No]&lt;&gt;"")*tbl_Finance[Date]))=0,"",SUMPRODUCT(MAX((tbl_Finance[Job Number]=C295&amp;"")*(tbl_Finance[Xero Invoice No]&lt;&gt;"")*tbl_Finance[Date]))),""))</f>
        <v/>
      </c>
      <c r="B295" s="25">
        <f>IF(C295="","",IF(COUNTIFS(tbl_Finance[Job Number],C295&amp;"",tbl_Finance[Xero Invoice No],"&lt;&gt;")=0,"",IFERROR(IF(COUNTIFS(tbl_Finance[Job Number],C295&amp;"",tbl_Finance[Xero Invoice No],LOOKUP(2,1/((tbl_Finance[Job Number]=C295&amp;"")*(tbl_Finance[Xero Invoice No]&lt;&gt;"")),tbl_Finance[Xero Invoice No]))=COUNTIFS(tbl_Finance[Job Number],C295&amp;"",tbl_Finance[Xero Invoice No],"&lt;&gt;"),LOOKUP(2,1/((tbl_Finance[Job Number]=C295&amp;"")*(tbl_Finance[Xero Invoice No]&lt;&gt;"")),tbl_Finance[Xero Invoice No]),LOOKUP(2,1/((tbl_Finance[Job Number]=C295&amp;"")*(tbl_Finance[Xero Invoice No]&lt;&gt;"")),tbl_Finance[Xero Invoice No])&amp;" +more"),"")))</f>
        <v/>
      </c>
      <c r="C295" s="24" t="n"/>
      <c r="D295" s="25">
        <f>IF(C295="","",IF(COUNTIF(lst_Jobs,C295&amp;"")&gt;0,"OK","CHECK"))</f>
        <v/>
      </c>
      <c r="E295" s="25">
        <f>IF(C295="","",IFERROR(INDEX(lst_JobName,MATCH(C295&amp;"",lst_Jobs,0)),""))</f>
        <v/>
      </c>
      <c r="F295" s="25">
        <f>IF(C295="","",IFERROR(INDEX(tbl_Finance[Client],MATCH(C295&amp;"",tbl_Finance[Job Number],0)),""))</f>
        <v/>
      </c>
      <c r="G295" s="28">
        <f>IF(C295="","",COUNTIFS(tbl_Finance[Job Number],C295&amp;"",tbl_Finance[Ex GST],"&lt;&gt;"))</f>
        <v/>
      </c>
      <c r="H295" s="27">
        <f>IF(C295="","",SUMIFS(tbl_Finance[Ex GST],tbl_Finance[Job Number],C295&amp;""))</f>
        <v/>
      </c>
      <c r="I295" s="27">
        <f>IF(C295="","",SUMIFS(tbl_Finance[Ex GST],tbl_Finance[Job Number],C295&amp;"",tbl_Finance[Xero Invoice No],"&lt;&gt;"))</f>
        <v/>
      </c>
      <c r="J295" s="27">
        <f>IF(C295="","",H295-I295)</f>
        <v/>
      </c>
      <c r="K295" s="25">
        <f>IF(C295="","",IF(G295=0,"not invoiced yet",SUBSTITUTE(TRIM(IF(COUNTIFS(tbl_Finance[Job Number],C295&amp;"",tbl_Finance[Cost Centre],"ONSITE")&gt;0,"ONSITE ","")&amp;IF(COUNTIFS(tbl_Finance[Job Number],C295&amp;"",tbl_Finance[Cost Centre],"PRODUCTION")&gt;0,"PRODUCTION ","")&amp;IF(COUNTIFS(tbl_Finance[Job Number],C295&amp;"",tbl_Finance[Cost Centre],"VIDEO")&gt;0,"VIDEO ","")&amp;IF(COUNTIFS(tbl_Finance[Job Number],C295&amp;"",tbl_Finance[Cost Centre],"INTEGRATION")&gt;0,"INTEGRATION ","")&amp;IF(COUNTIFS(tbl_Finance[Job Number],C295&amp;"",tbl_Finance[Cost Centre],"CONSULTING")&gt;0,"CONSULTING ","")&amp;IF(COUNTIFS(tbl_Finance[Job Number],C295&amp;"",tbl_Finance[Cost Centre],"CTS")&gt;0,"CTS ",""))," ",", ")))</f>
        <v/>
      </c>
      <c r="L295" s="27">
        <f>IF(C295="","",SUMIFS(tbl_Finance[Inc GST],tbl_Finance[Job Number],C295&amp;""))</f>
        <v/>
      </c>
      <c r="M295" s="24" t="n"/>
      <c r="N295" s="25">
        <f>IF(C295="","",IFERROR(INDEX(tbl_Finance[Description],MATCH(C295&amp;"",tbl_Finance[Job Number],0)),""))</f>
        <v/>
      </c>
      <c r="O295" s="24" t="n"/>
      <c r="P295" s="24" t="n"/>
      <c r="Q295" s="22" t="n"/>
      <c r="R295" s="24" t="n"/>
      <c r="S295" s="25">
        <f>IF(R295="","",IF(AND(LEFT(R295,4)&lt;&gt;"http",set_RMSBase=""),"",HYPERLINK(IF(LEFT(R295,4)="http",R295,set_RMSBase&amp;R295),"Open opportunity")))</f>
        <v/>
      </c>
      <c r="T295" s="24" t="n"/>
      <c r="U295" s="25">
        <f>IF(T295="","",HYPERLINK(IF(LEFT(T295,4)="http",T295,set_QwilrBase&amp;T295),"Open quote"))</f>
        <v/>
      </c>
      <c r="V295" s="25">
        <f>IF(C295="","",C295)</f>
        <v/>
      </c>
      <c r="W295" s="24" t="n"/>
      <c r="X295" s="26" t="n"/>
      <c r="Y295" s="27">
        <f>IF(C295="","",H295+N(X295))</f>
        <v/>
      </c>
      <c r="Z295" s="29">
        <f>IFERROR(X295/Y295,"")</f>
        <v/>
      </c>
      <c r="AA295" s="26" t="n"/>
      <c r="AB295" s="26" t="n"/>
      <c r="AC295" s="26" t="n"/>
      <c r="AD295" s="26" t="n"/>
      <c r="AE295" s="27">
        <f>IF(C295="","",SUMIFS(tbl_Finance[Ex GST],tbl_Finance[Job Number],C295&amp;"",tbl_Finance[Cost Centre],"VIDEO"))</f>
        <v/>
      </c>
      <c r="AF295" s="29">
        <f>IFERROR(AE295/H295,"")</f>
        <v/>
      </c>
      <c r="AG295" s="27">
        <f>IF(C295="","",N(AA295)+N(AB295)+N(AC295)+N(AD295))</f>
        <v/>
      </c>
      <c r="AH295" s="27">
        <f>IF(C295="","",H295-AG295)</f>
        <v/>
      </c>
      <c r="AI295" s="29">
        <f>IFERROR(AH295/H295,"")</f>
        <v/>
      </c>
      <c r="AJ295" s="69" t="n"/>
      <c r="AK295" s="69" t="n"/>
      <c r="AL295" s="69" t="n"/>
      <c r="AM295" s="69" t="n"/>
      <c r="AN295" s="69" t="n"/>
      <c r="AO295" s="24" t="n"/>
    </row>
    <row r="296" ht="15" customHeight="1">
      <c r="A296" s="68">
        <f>IF(C296="","",IFERROR(IF(SUMPRODUCT(MAX((tbl_Finance[Job Number]=C296&amp;"")*(tbl_Finance[Xero Invoice No]&lt;&gt;"")*tbl_Finance[Date]))=0,"",SUMPRODUCT(MAX((tbl_Finance[Job Number]=C296&amp;"")*(tbl_Finance[Xero Invoice No]&lt;&gt;"")*tbl_Finance[Date]))),""))</f>
        <v/>
      </c>
      <c r="B296" s="25">
        <f>IF(C296="","",IF(COUNTIFS(tbl_Finance[Job Number],C296&amp;"",tbl_Finance[Xero Invoice No],"&lt;&gt;")=0,"",IFERROR(IF(COUNTIFS(tbl_Finance[Job Number],C296&amp;"",tbl_Finance[Xero Invoice No],LOOKUP(2,1/((tbl_Finance[Job Number]=C296&amp;"")*(tbl_Finance[Xero Invoice No]&lt;&gt;"")),tbl_Finance[Xero Invoice No]))=COUNTIFS(tbl_Finance[Job Number],C296&amp;"",tbl_Finance[Xero Invoice No],"&lt;&gt;"),LOOKUP(2,1/((tbl_Finance[Job Number]=C296&amp;"")*(tbl_Finance[Xero Invoice No]&lt;&gt;"")),tbl_Finance[Xero Invoice No]),LOOKUP(2,1/((tbl_Finance[Job Number]=C296&amp;"")*(tbl_Finance[Xero Invoice No]&lt;&gt;"")),tbl_Finance[Xero Invoice No])&amp;" +more"),"")))</f>
        <v/>
      </c>
      <c r="C296" s="24" t="n"/>
      <c r="D296" s="25">
        <f>IF(C296="","",IF(COUNTIF(lst_Jobs,C296&amp;"")&gt;0,"OK","CHECK"))</f>
        <v/>
      </c>
      <c r="E296" s="25">
        <f>IF(C296="","",IFERROR(INDEX(lst_JobName,MATCH(C296&amp;"",lst_Jobs,0)),""))</f>
        <v/>
      </c>
      <c r="F296" s="25">
        <f>IF(C296="","",IFERROR(INDEX(tbl_Finance[Client],MATCH(C296&amp;"",tbl_Finance[Job Number],0)),""))</f>
        <v/>
      </c>
      <c r="G296" s="28">
        <f>IF(C296="","",COUNTIFS(tbl_Finance[Job Number],C296&amp;"",tbl_Finance[Ex GST],"&lt;&gt;"))</f>
        <v/>
      </c>
      <c r="H296" s="27">
        <f>IF(C296="","",SUMIFS(tbl_Finance[Ex GST],tbl_Finance[Job Number],C296&amp;""))</f>
        <v/>
      </c>
      <c r="I296" s="27">
        <f>IF(C296="","",SUMIFS(tbl_Finance[Ex GST],tbl_Finance[Job Number],C296&amp;"",tbl_Finance[Xero Invoice No],"&lt;&gt;"))</f>
        <v/>
      </c>
      <c r="J296" s="27">
        <f>IF(C296="","",H296-I296)</f>
        <v/>
      </c>
      <c r="K296" s="25">
        <f>IF(C296="","",IF(G296=0,"not invoiced yet",SUBSTITUTE(TRIM(IF(COUNTIFS(tbl_Finance[Job Number],C296&amp;"",tbl_Finance[Cost Centre],"ONSITE")&gt;0,"ONSITE ","")&amp;IF(COUNTIFS(tbl_Finance[Job Number],C296&amp;"",tbl_Finance[Cost Centre],"PRODUCTION")&gt;0,"PRODUCTION ","")&amp;IF(COUNTIFS(tbl_Finance[Job Number],C296&amp;"",tbl_Finance[Cost Centre],"VIDEO")&gt;0,"VIDEO ","")&amp;IF(COUNTIFS(tbl_Finance[Job Number],C296&amp;"",tbl_Finance[Cost Centre],"INTEGRATION")&gt;0,"INTEGRATION ","")&amp;IF(COUNTIFS(tbl_Finance[Job Number],C296&amp;"",tbl_Finance[Cost Centre],"CONSULTING")&gt;0,"CONSULTING ","")&amp;IF(COUNTIFS(tbl_Finance[Job Number],C296&amp;"",tbl_Finance[Cost Centre],"CTS")&gt;0,"CTS ",""))," ",", ")))</f>
        <v/>
      </c>
      <c r="L296" s="27">
        <f>IF(C296="","",SUMIFS(tbl_Finance[Inc GST],tbl_Finance[Job Number],C296&amp;""))</f>
        <v/>
      </c>
      <c r="M296" s="24" t="n"/>
      <c r="N296" s="25">
        <f>IF(C296="","",IFERROR(INDEX(tbl_Finance[Description],MATCH(C296&amp;"",tbl_Finance[Job Number],0)),""))</f>
        <v/>
      </c>
      <c r="O296" s="24" t="n"/>
      <c r="P296" s="24" t="n"/>
      <c r="Q296" s="22" t="n"/>
      <c r="R296" s="24" t="n"/>
      <c r="S296" s="25">
        <f>IF(R296="","",IF(AND(LEFT(R296,4)&lt;&gt;"http",set_RMSBase=""),"",HYPERLINK(IF(LEFT(R296,4)="http",R296,set_RMSBase&amp;R296),"Open opportunity")))</f>
        <v/>
      </c>
      <c r="T296" s="24" t="n"/>
      <c r="U296" s="25">
        <f>IF(T296="","",HYPERLINK(IF(LEFT(T296,4)="http",T296,set_QwilrBase&amp;T296),"Open quote"))</f>
        <v/>
      </c>
      <c r="V296" s="25">
        <f>IF(C296="","",C296)</f>
        <v/>
      </c>
      <c r="W296" s="24" t="n"/>
      <c r="X296" s="26" t="n"/>
      <c r="Y296" s="27">
        <f>IF(C296="","",H296+N(X296))</f>
        <v/>
      </c>
      <c r="Z296" s="29">
        <f>IFERROR(X296/Y296,"")</f>
        <v/>
      </c>
      <c r="AA296" s="26" t="n"/>
      <c r="AB296" s="26" t="n"/>
      <c r="AC296" s="26" t="n"/>
      <c r="AD296" s="26" t="n"/>
      <c r="AE296" s="27">
        <f>IF(C296="","",SUMIFS(tbl_Finance[Ex GST],tbl_Finance[Job Number],C296&amp;"",tbl_Finance[Cost Centre],"VIDEO"))</f>
        <v/>
      </c>
      <c r="AF296" s="29">
        <f>IFERROR(AE296/H296,"")</f>
        <v/>
      </c>
      <c r="AG296" s="27">
        <f>IF(C296="","",N(AA296)+N(AB296)+N(AC296)+N(AD296))</f>
        <v/>
      </c>
      <c r="AH296" s="27">
        <f>IF(C296="","",H296-AG296)</f>
        <v/>
      </c>
      <c r="AI296" s="29">
        <f>IFERROR(AH296/H296,"")</f>
        <v/>
      </c>
      <c r="AJ296" s="69" t="n"/>
      <c r="AK296" s="69" t="n"/>
      <c r="AL296" s="69" t="n"/>
      <c r="AM296" s="69" t="n"/>
      <c r="AN296" s="69" t="n"/>
      <c r="AO296" s="24" t="n"/>
    </row>
    <row r="297" ht="15" customHeight="1">
      <c r="A297" s="68">
        <f>IF(C297="","",IFERROR(IF(SUMPRODUCT(MAX((tbl_Finance[Job Number]=C297&amp;"")*(tbl_Finance[Xero Invoice No]&lt;&gt;"")*tbl_Finance[Date]))=0,"",SUMPRODUCT(MAX((tbl_Finance[Job Number]=C297&amp;"")*(tbl_Finance[Xero Invoice No]&lt;&gt;"")*tbl_Finance[Date]))),""))</f>
        <v/>
      </c>
      <c r="B297" s="25">
        <f>IF(C297="","",IF(COUNTIFS(tbl_Finance[Job Number],C297&amp;"",tbl_Finance[Xero Invoice No],"&lt;&gt;")=0,"",IFERROR(IF(COUNTIFS(tbl_Finance[Job Number],C297&amp;"",tbl_Finance[Xero Invoice No],LOOKUP(2,1/((tbl_Finance[Job Number]=C297&amp;"")*(tbl_Finance[Xero Invoice No]&lt;&gt;"")),tbl_Finance[Xero Invoice No]))=COUNTIFS(tbl_Finance[Job Number],C297&amp;"",tbl_Finance[Xero Invoice No],"&lt;&gt;"),LOOKUP(2,1/((tbl_Finance[Job Number]=C297&amp;"")*(tbl_Finance[Xero Invoice No]&lt;&gt;"")),tbl_Finance[Xero Invoice No]),LOOKUP(2,1/((tbl_Finance[Job Number]=C297&amp;"")*(tbl_Finance[Xero Invoice No]&lt;&gt;"")),tbl_Finance[Xero Invoice No])&amp;" +more"),"")))</f>
        <v/>
      </c>
      <c r="C297" s="24" t="n"/>
      <c r="D297" s="25">
        <f>IF(C297="","",IF(COUNTIF(lst_Jobs,C297&amp;"")&gt;0,"OK","CHECK"))</f>
        <v/>
      </c>
      <c r="E297" s="25">
        <f>IF(C297="","",IFERROR(INDEX(lst_JobName,MATCH(C297&amp;"",lst_Jobs,0)),""))</f>
        <v/>
      </c>
      <c r="F297" s="25">
        <f>IF(C297="","",IFERROR(INDEX(tbl_Finance[Client],MATCH(C297&amp;"",tbl_Finance[Job Number],0)),""))</f>
        <v/>
      </c>
      <c r="G297" s="28">
        <f>IF(C297="","",COUNTIFS(tbl_Finance[Job Number],C297&amp;"",tbl_Finance[Ex GST],"&lt;&gt;"))</f>
        <v/>
      </c>
      <c r="H297" s="27">
        <f>IF(C297="","",SUMIFS(tbl_Finance[Ex GST],tbl_Finance[Job Number],C297&amp;""))</f>
        <v/>
      </c>
      <c r="I297" s="27">
        <f>IF(C297="","",SUMIFS(tbl_Finance[Ex GST],tbl_Finance[Job Number],C297&amp;"",tbl_Finance[Xero Invoice No],"&lt;&gt;"))</f>
        <v/>
      </c>
      <c r="J297" s="27">
        <f>IF(C297="","",H297-I297)</f>
        <v/>
      </c>
      <c r="K297" s="25">
        <f>IF(C297="","",IF(G297=0,"not invoiced yet",SUBSTITUTE(TRIM(IF(COUNTIFS(tbl_Finance[Job Number],C297&amp;"",tbl_Finance[Cost Centre],"ONSITE")&gt;0,"ONSITE ","")&amp;IF(COUNTIFS(tbl_Finance[Job Number],C297&amp;"",tbl_Finance[Cost Centre],"PRODUCTION")&gt;0,"PRODUCTION ","")&amp;IF(COUNTIFS(tbl_Finance[Job Number],C297&amp;"",tbl_Finance[Cost Centre],"VIDEO")&gt;0,"VIDEO ","")&amp;IF(COUNTIFS(tbl_Finance[Job Number],C297&amp;"",tbl_Finance[Cost Centre],"INTEGRATION")&gt;0,"INTEGRATION ","")&amp;IF(COUNTIFS(tbl_Finance[Job Number],C297&amp;"",tbl_Finance[Cost Centre],"CONSULTING")&gt;0,"CONSULTING ","")&amp;IF(COUNTIFS(tbl_Finance[Job Number],C297&amp;"",tbl_Finance[Cost Centre],"CTS")&gt;0,"CTS ",""))," ",", ")))</f>
        <v/>
      </c>
      <c r="L297" s="27">
        <f>IF(C297="","",SUMIFS(tbl_Finance[Inc GST],tbl_Finance[Job Number],C297&amp;""))</f>
        <v/>
      </c>
      <c r="M297" s="24" t="n"/>
      <c r="N297" s="25">
        <f>IF(C297="","",IFERROR(INDEX(tbl_Finance[Description],MATCH(C297&amp;"",tbl_Finance[Job Number],0)),""))</f>
        <v/>
      </c>
      <c r="O297" s="24" t="n"/>
      <c r="P297" s="24" t="n"/>
      <c r="Q297" s="22" t="n"/>
      <c r="R297" s="24" t="n"/>
      <c r="S297" s="25">
        <f>IF(R297="","",IF(AND(LEFT(R297,4)&lt;&gt;"http",set_RMSBase=""),"",HYPERLINK(IF(LEFT(R297,4)="http",R297,set_RMSBase&amp;R297),"Open opportunity")))</f>
        <v/>
      </c>
      <c r="T297" s="24" t="n"/>
      <c r="U297" s="25">
        <f>IF(T297="","",HYPERLINK(IF(LEFT(T297,4)="http",T297,set_QwilrBase&amp;T297),"Open quote"))</f>
        <v/>
      </c>
      <c r="V297" s="25">
        <f>IF(C297="","",C297)</f>
        <v/>
      </c>
      <c r="W297" s="24" t="n"/>
      <c r="X297" s="26" t="n"/>
      <c r="Y297" s="27">
        <f>IF(C297="","",H297+N(X297))</f>
        <v/>
      </c>
      <c r="Z297" s="29">
        <f>IFERROR(X297/Y297,"")</f>
        <v/>
      </c>
      <c r="AA297" s="26" t="n"/>
      <c r="AB297" s="26" t="n"/>
      <c r="AC297" s="26" t="n"/>
      <c r="AD297" s="26" t="n"/>
      <c r="AE297" s="27">
        <f>IF(C297="","",SUMIFS(tbl_Finance[Ex GST],tbl_Finance[Job Number],C297&amp;"",tbl_Finance[Cost Centre],"VIDEO"))</f>
        <v/>
      </c>
      <c r="AF297" s="29">
        <f>IFERROR(AE297/H297,"")</f>
        <v/>
      </c>
      <c r="AG297" s="27">
        <f>IF(C297="","",N(AA297)+N(AB297)+N(AC297)+N(AD297))</f>
        <v/>
      </c>
      <c r="AH297" s="27">
        <f>IF(C297="","",H297-AG297)</f>
        <v/>
      </c>
      <c r="AI297" s="29">
        <f>IFERROR(AH297/H297,"")</f>
        <v/>
      </c>
      <c r="AJ297" s="69" t="n"/>
      <c r="AK297" s="69" t="n"/>
      <c r="AL297" s="69" t="n"/>
      <c r="AM297" s="69" t="n"/>
      <c r="AN297" s="69" t="n"/>
      <c r="AO297" s="24" t="n"/>
    </row>
    <row r="298" ht="15" customHeight="1">
      <c r="A298" s="68">
        <f>IF(C298="","",IFERROR(IF(SUMPRODUCT(MAX((tbl_Finance[Job Number]=C298&amp;"")*(tbl_Finance[Xero Invoice No]&lt;&gt;"")*tbl_Finance[Date]))=0,"",SUMPRODUCT(MAX((tbl_Finance[Job Number]=C298&amp;"")*(tbl_Finance[Xero Invoice No]&lt;&gt;"")*tbl_Finance[Date]))),""))</f>
        <v/>
      </c>
      <c r="B298" s="25">
        <f>IF(C298="","",IF(COUNTIFS(tbl_Finance[Job Number],C298&amp;"",tbl_Finance[Xero Invoice No],"&lt;&gt;")=0,"",IFERROR(IF(COUNTIFS(tbl_Finance[Job Number],C298&amp;"",tbl_Finance[Xero Invoice No],LOOKUP(2,1/((tbl_Finance[Job Number]=C298&amp;"")*(tbl_Finance[Xero Invoice No]&lt;&gt;"")),tbl_Finance[Xero Invoice No]))=COUNTIFS(tbl_Finance[Job Number],C298&amp;"",tbl_Finance[Xero Invoice No],"&lt;&gt;"),LOOKUP(2,1/((tbl_Finance[Job Number]=C298&amp;"")*(tbl_Finance[Xero Invoice No]&lt;&gt;"")),tbl_Finance[Xero Invoice No]),LOOKUP(2,1/((tbl_Finance[Job Number]=C298&amp;"")*(tbl_Finance[Xero Invoice No]&lt;&gt;"")),tbl_Finance[Xero Invoice No])&amp;" +more"),"")))</f>
        <v/>
      </c>
      <c r="C298" s="24" t="n"/>
      <c r="D298" s="25">
        <f>IF(C298="","",IF(COUNTIF(lst_Jobs,C298&amp;"")&gt;0,"OK","CHECK"))</f>
        <v/>
      </c>
      <c r="E298" s="25">
        <f>IF(C298="","",IFERROR(INDEX(lst_JobName,MATCH(C298&amp;"",lst_Jobs,0)),""))</f>
        <v/>
      </c>
      <c r="F298" s="25">
        <f>IF(C298="","",IFERROR(INDEX(tbl_Finance[Client],MATCH(C298&amp;"",tbl_Finance[Job Number],0)),""))</f>
        <v/>
      </c>
      <c r="G298" s="28">
        <f>IF(C298="","",COUNTIFS(tbl_Finance[Job Number],C298&amp;"",tbl_Finance[Ex GST],"&lt;&gt;"))</f>
        <v/>
      </c>
      <c r="H298" s="27">
        <f>IF(C298="","",SUMIFS(tbl_Finance[Ex GST],tbl_Finance[Job Number],C298&amp;""))</f>
        <v/>
      </c>
      <c r="I298" s="27">
        <f>IF(C298="","",SUMIFS(tbl_Finance[Ex GST],tbl_Finance[Job Number],C298&amp;"",tbl_Finance[Xero Invoice No],"&lt;&gt;"))</f>
        <v/>
      </c>
      <c r="J298" s="27">
        <f>IF(C298="","",H298-I298)</f>
        <v/>
      </c>
      <c r="K298" s="25">
        <f>IF(C298="","",IF(G298=0,"not invoiced yet",SUBSTITUTE(TRIM(IF(COUNTIFS(tbl_Finance[Job Number],C298&amp;"",tbl_Finance[Cost Centre],"ONSITE")&gt;0,"ONSITE ","")&amp;IF(COUNTIFS(tbl_Finance[Job Number],C298&amp;"",tbl_Finance[Cost Centre],"PRODUCTION")&gt;0,"PRODUCTION ","")&amp;IF(COUNTIFS(tbl_Finance[Job Number],C298&amp;"",tbl_Finance[Cost Centre],"VIDEO")&gt;0,"VIDEO ","")&amp;IF(COUNTIFS(tbl_Finance[Job Number],C298&amp;"",tbl_Finance[Cost Centre],"INTEGRATION")&gt;0,"INTEGRATION ","")&amp;IF(COUNTIFS(tbl_Finance[Job Number],C298&amp;"",tbl_Finance[Cost Centre],"CONSULTING")&gt;0,"CONSULTING ","")&amp;IF(COUNTIFS(tbl_Finance[Job Number],C298&amp;"",tbl_Finance[Cost Centre],"CTS")&gt;0,"CTS ",""))," ",", ")))</f>
        <v/>
      </c>
      <c r="L298" s="27">
        <f>IF(C298="","",SUMIFS(tbl_Finance[Inc GST],tbl_Finance[Job Number],C298&amp;""))</f>
        <v/>
      </c>
      <c r="M298" s="24" t="n"/>
      <c r="N298" s="25">
        <f>IF(C298="","",IFERROR(INDEX(tbl_Finance[Description],MATCH(C298&amp;"",tbl_Finance[Job Number],0)),""))</f>
        <v/>
      </c>
      <c r="O298" s="24" t="n"/>
      <c r="P298" s="24" t="n"/>
      <c r="Q298" s="22" t="n"/>
      <c r="R298" s="24" t="n"/>
      <c r="S298" s="25">
        <f>IF(R298="","",IF(AND(LEFT(R298,4)&lt;&gt;"http",set_RMSBase=""),"",HYPERLINK(IF(LEFT(R298,4)="http",R298,set_RMSBase&amp;R298),"Open opportunity")))</f>
        <v/>
      </c>
      <c r="T298" s="24" t="n"/>
      <c r="U298" s="25">
        <f>IF(T298="","",HYPERLINK(IF(LEFT(T298,4)="http",T298,set_QwilrBase&amp;T298),"Open quote"))</f>
        <v/>
      </c>
      <c r="V298" s="25">
        <f>IF(C298="","",C298)</f>
        <v/>
      </c>
      <c r="W298" s="24" t="n"/>
      <c r="X298" s="26" t="n"/>
      <c r="Y298" s="27">
        <f>IF(C298="","",H298+N(X298))</f>
        <v/>
      </c>
      <c r="Z298" s="29">
        <f>IFERROR(X298/Y298,"")</f>
        <v/>
      </c>
      <c r="AA298" s="26" t="n"/>
      <c r="AB298" s="26" t="n"/>
      <c r="AC298" s="26" t="n"/>
      <c r="AD298" s="26" t="n"/>
      <c r="AE298" s="27">
        <f>IF(C298="","",SUMIFS(tbl_Finance[Ex GST],tbl_Finance[Job Number],C298&amp;"",tbl_Finance[Cost Centre],"VIDEO"))</f>
        <v/>
      </c>
      <c r="AF298" s="29">
        <f>IFERROR(AE298/H298,"")</f>
        <v/>
      </c>
      <c r="AG298" s="27">
        <f>IF(C298="","",N(AA298)+N(AB298)+N(AC298)+N(AD298))</f>
        <v/>
      </c>
      <c r="AH298" s="27">
        <f>IF(C298="","",H298-AG298)</f>
        <v/>
      </c>
      <c r="AI298" s="29">
        <f>IFERROR(AH298/H298,"")</f>
        <v/>
      </c>
      <c r="AJ298" s="69" t="n"/>
      <c r="AK298" s="69" t="n"/>
      <c r="AL298" s="69" t="n"/>
      <c r="AM298" s="69" t="n"/>
      <c r="AN298" s="69" t="n"/>
      <c r="AO298" s="24" t="n"/>
    </row>
    <row r="299" ht="15" customHeight="1">
      <c r="A299" s="68">
        <f>IF(C299="","",IFERROR(IF(SUMPRODUCT(MAX((tbl_Finance[Job Number]=C299&amp;"")*(tbl_Finance[Xero Invoice No]&lt;&gt;"")*tbl_Finance[Date]))=0,"",SUMPRODUCT(MAX((tbl_Finance[Job Number]=C299&amp;"")*(tbl_Finance[Xero Invoice No]&lt;&gt;"")*tbl_Finance[Date]))),""))</f>
        <v/>
      </c>
      <c r="B299" s="25">
        <f>IF(C299="","",IF(COUNTIFS(tbl_Finance[Job Number],C299&amp;"",tbl_Finance[Xero Invoice No],"&lt;&gt;")=0,"",IFERROR(IF(COUNTIFS(tbl_Finance[Job Number],C299&amp;"",tbl_Finance[Xero Invoice No],LOOKUP(2,1/((tbl_Finance[Job Number]=C299&amp;"")*(tbl_Finance[Xero Invoice No]&lt;&gt;"")),tbl_Finance[Xero Invoice No]))=COUNTIFS(tbl_Finance[Job Number],C299&amp;"",tbl_Finance[Xero Invoice No],"&lt;&gt;"),LOOKUP(2,1/((tbl_Finance[Job Number]=C299&amp;"")*(tbl_Finance[Xero Invoice No]&lt;&gt;"")),tbl_Finance[Xero Invoice No]),LOOKUP(2,1/((tbl_Finance[Job Number]=C299&amp;"")*(tbl_Finance[Xero Invoice No]&lt;&gt;"")),tbl_Finance[Xero Invoice No])&amp;" +more"),"")))</f>
        <v/>
      </c>
      <c r="C299" s="24" t="n"/>
      <c r="D299" s="25">
        <f>IF(C299="","",IF(COUNTIF(lst_Jobs,C299&amp;"")&gt;0,"OK","CHECK"))</f>
        <v/>
      </c>
      <c r="E299" s="25">
        <f>IF(C299="","",IFERROR(INDEX(lst_JobName,MATCH(C299&amp;"",lst_Jobs,0)),""))</f>
        <v/>
      </c>
      <c r="F299" s="25">
        <f>IF(C299="","",IFERROR(INDEX(tbl_Finance[Client],MATCH(C299&amp;"",tbl_Finance[Job Number],0)),""))</f>
        <v/>
      </c>
      <c r="G299" s="28">
        <f>IF(C299="","",COUNTIFS(tbl_Finance[Job Number],C299&amp;"",tbl_Finance[Ex GST],"&lt;&gt;"))</f>
        <v/>
      </c>
      <c r="H299" s="27">
        <f>IF(C299="","",SUMIFS(tbl_Finance[Ex GST],tbl_Finance[Job Number],C299&amp;""))</f>
        <v/>
      </c>
      <c r="I299" s="27">
        <f>IF(C299="","",SUMIFS(tbl_Finance[Ex GST],tbl_Finance[Job Number],C299&amp;"",tbl_Finance[Xero Invoice No],"&lt;&gt;"))</f>
        <v/>
      </c>
      <c r="J299" s="27">
        <f>IF(C299="","",H299-I299)</f>
        <v/>
      </c>
      <c r="K299" s="25">
        <f>IF(C299="","",IF(G299=0,"not invoiced yet",SUBSTITUTE(TRIM(IF(COUNTIFS(tbl_Finance[Job Number],C299&amp;"",tbl_Finance[Cost Centre],"ONSITE")&gt;0,"ONSITE ","")&amp;IF(COUNTIFS(tbl_Finance[Job Number],C299&amp;"",tbl_Finance[Cost Centre],"PRODUCTION")&gt;0,"PRODUCTION ","")&amp;IF(COUNTIFS(tbl_Finance[Job Number],C299&amp;"",tbl_Finance[Cost Centre],"VIDEO")&gt;0,"VIDEO ","")&amp;IF(COUNTIFS(tbl_Finance[Job Number],C299&amp;"",tbl_Finance[Cost Centre],"INTEGRATION")&gt;0,"INTEGRATION ","")&amp;IF(COUNTIFS(tbl_Finance[Job Number],C299&amp;"",tbl_Finance[Cost Centre],"CONSULTING")&gt;0,"CONSULTING ","")&amp;IF(COUNTIFS(tbl_Finance[Job Number],C299&amp;"",tbl_Finance[Cost Centre],"CTS")&gt;0,"CTS ",""))," ",", ")))</f>
        <v/>
      </c>
      <c r="L299" s="27">
        <f>IF(C299="","",SUMIFS(tbl_Finance[Inc GST],tbl_Finance[Job Number],C299&amp;""))</f>
        <v/>
      </c>
      <c r="M299" s="24" t="n"/>
      <c r="N299" s="25">
        <f>IF(C299="","",IFERROR(INDEX(tbl_Finance[Description],MATCH(C299&amp;"",tbl_Finance[Job Number],0)),""))</f>
        <v/>
      </c>
      <c r="O299" s="24" t="n"/>
      <c r="P299" s="24" t="n"/>
      <c r="Q299" s="22" t="n"/>
      <c r="R299" s="24" t="n"/>
      <c r="S299" s="25">
        <f>IF(R299="","",IF(AND(LEFT(R299,4)&lt;&gt;"http",set_RMSBase=""),"",HYPERLINK(IF(LEFT(R299,4)="http",R299,set_RMSBase&amp;R299),"Open opportunity")))</f>
        <v/>
      </c>
      <c r="T299" s="24" t="n"/>
      <c r="U299" s="25">
        <f>IF(T299="","",HYPERLINK(IF(LEFT(T299,4)="http",T299,set_QwilrBase&amp;T299),"Open quote"))</f>
        <v/>
      </c>
      <c r="V299" s="25">
        <f>IF(C299="","",C299)</f>
        <v/>
      </c>
      <c r="W299" s="24" t="n"/>
      <c r="X299" s="26" t="n"/>
      <c r="Y299" s="27">
        <f>IF(C299="","",H299+N(X299))</f>
        <v/>
      </c>
      <c r="Z299" s="29">
        <f>IFERROR(X299/Y299,"")</f>
        <v/>
      </c>
      <c r="AA299" s="26" t="n"/>
      <c r="AB299" s="26" t="n"/>
      <c r="AC299" s="26" t="n"/>
      <c r="AD299" s="26" t="n"/>
      <c r="AE299" s="27">
        <f>IF(C299="","",SUMIFS(tbl_Finance[Ex GST],tbl_Finance[Job Number],C299&amp;"",tbl_Finance[Cost Centre],"VIDEO"))</f>
        <v/>
      </c>
      <c r="AF299" s="29">
        <f>IFERROR(AE299/H299,"")</f>
        <v/>
      </c>
      <c r="AG299" s="27">
        <f>IF(C299="","",N(AA299)+N(AB299)+N(AC299)+N(AD299))</f>
        <v/>
      </c>
      <c r="AH299" s="27">
        <f>IF(C299="","",H299-AG299)</f>
        <v/>
      </c>
      <c r="AI299" s="29">
        <f>IFERROR(AH299/H299,"")</f>
        <v/>
      </c>
      <c r="AJ299" s="69" t="n"/>
      <c r="AK299" s="69" t="n"/>
      <c r="AL299" s="69" t="n"/>
      <c r="AM299" s="69" t="n"/>
      <c r="AN299" s="69" t="n"/>
      <c r="AO299" s="24" t="n"/>
    </row>
    <row r="300" ht="15" customHeight="1">
      <c r="A300" s="68">
        <f>IF(C300="","",IFERROR(IF(SUMPRODUCT(MAX((tbl_Finance[Job Number]=C300&amp;"")*(tbl_Finance[Xero Invoice No]&lt;&gt;"")*tbl_Finance[Date]))=0,"",SUMPRODUCT(MAX((tbl_Finance[Job Number]=C300&amp;"")*(tbl_Finance[Xero Invoice No]&lt;&gt;"")*tbl_Finance[Date]))),""))</f>
        <v/>
      </c>
      <c r="B300" s="25">
        <f>IF(C300="","",IF(COUNTIFS(tbl_Finance[Job Number],C300&amp;"",tbl_Finance[Xero Invoice No],"&lt;&gt;")=0,"",IFERROR(IF(COUNTIFS(tbl_Finance[Job Number],C300&amp;"",tbl_Finance[Xero Invoice No],LOOKUP(2,1/((tbl_Finance[Job Number]=C300&amp;"")*(tbl_Finance[Xero Invoice No]&lt;&gt;"")),tbl_Finance[Xero Invoice No]))=COUNTIFS(tbl_Finance[Job Number],C300&amp;"",tbl_Finance[Xero Invoice No],"&lt;&gt;"),LOOKUP(2,1/((tbl_Finance[Job Number]=C300&amp;"")*(tbl_Finance[Xero Invoice No]&lt;&gt;"")),tbl_Finance[Xero Invoice No]),LOOKUP(2,1/((tbl_Finance[Job Number]=C300&amp;"")*(tbl_Finance[Xero Invoice No]&lt;&gt;"")),tbl_Finance[Xero Invoice No])&amp;" +more"),"")))</f>
        <v/>
      </c>
      <c r="C300" s="24" t="n"/>
      <c r="D300" s="25">
        <f>IF(C300="","",IF(COUNTIF(lst_Jobs,C300&amp;"")&gt;0,"OK","CHECK"))</f>
        <v/>
      </c>
      <c r="E300" s="25">
        <f>IF(C300="","",IFERROR(INDEX(lst_JobName,MATCH(C300&amp;"",lst_Jobs,0)),""))</f>
        <v/>
      </c>
      <c r="F300" s="25">
        <f>IF(C300="","",IFERROR(INDEX(tbl_Finance[Client],MATCH(C300&amp;"",tbl_Finance[Job Number],0)),""))</f>
        <v/>
      </c>
      <c r="G300" s="28">
        <f>IF(C300="","",COUNTIFS(tbl_Finance[Job Number],C300&amp;"",tbl_Finance[Ex GST],"&lt;&gt;"))</f>
        <v/>
      </c>
      <c r="H300" s="27">
        <f>IF(C300="","",SUMIFS(tbl_Finance[Ex GST],tbl_Finance[Job Number],C300&amp;""))</f>
        <v/>
      </c>
      <c r="I300" s="27">
        <f>IF(C300="","",SUMIFS(tbl_Finance[Ex GST],tbl_Finance[Job Number],C300&amp;"",tbl_Finance[Xero Invoice No],"&lt;&gt;"))</f>
        <v/>
      </c>
      <c r="J300" s="27">
        <f>IF(C300="","",H300-I300)</f>
        <v/>
      </c>
      <c r="K300" s="25">
        <f>IF(C300="","",IF(G300=0,"not invoiced yet",SUBSTITUTE(TRIM(IF(COUNTIFS(tbl_Finance[Job Number],C300&amp;"",tbl_Finance[Cost Centre],"ONSITE")&gt;0,"ONSITE ","")&amp;IF(COUNTIFS(tbl_Finance[Job Number],C300&amp;"",tbl_Finance[Cost Centre],"PRODUCTION")&gt;0,"PRODUCTION ","")&amp;IF(COUNTIFS(tbl_Finance[Job Number],C300&amp;"",tbl_Finance[Cost Centre],"VIDEO")&gt;0,"VIDEO ","")&amp;IF(COUNTIFS(tbl_Finance[Job Number],C300&amp;"",tbl_Finance[Cost Centre],"INTEGRATION")&gt;0,"INTEGRATION ","")&amp;IF(COUNTIFS(tbl_Finance[Job Number],C300&amp;"",tbl_Finance[Cost Centre],"CONSULTING")&gt;0,"CONSULTING ","")&amp;IF(COUNTIFS(tbl_Finance[Job Number],C300&amp;"",tbl_Finance[Cost Centre],"CTS")&gt;0,"CTS ",""))," ",", ")))</f>
        <v/>
      </c>
      <c r="L300" s="27">
        <f>IF(C300="","",SUMIFS(tbl_Finance[Inc GST],tbl_Finance[Job Number],C300&amp;""))</f>
        <v/>
      </c>
      <c r="M300" s="24" t="n"/>
      <c r="N300" s="25">
        <f>IF(C300="","",IFERROR(INDEX(tbl_Finance[Description],MATCH(C300&amp;"",tbl_Finance[Job Number],0)),""))</f>
        <v/>
      </c>
      <c r="O300" s="24" t="n"/>
      <c r="P300" s="24" t="n"/>
      <c r="Q300" s="22" t="n"/>
      <c r="R300" s="24" t="n"/>
      <c r="S300" s="25">
        <f>IF(R300="","",IF(AND(LEFT(R300,4)&lt;&gt;"http",set_RMSBase=""),"",HYPERLINK(IF(LEFT(R300,4)="http",R300,set_RMSBase&amp;R300),"Open opportunity")))</f>
        <v/>
      </c>
      <c r="T300" s="24" t="n"/>
      <c r="U300" s="25">
        <f>IF(T300="","",HYPERLINK(IF(LEFT(T300,4)="http",T300,set_QwilrBase&amp;T300),"Open quote"))</f>
        <v/>
      </c>
      <c r="V300" s="25">
        <f>IF(C300="","",C300)</f>
        <v/>
      </c>
      <c r="W300" s="24" t="n"/>
      <c r="X300" s="26" t="n"/>
      <c r="Y300" s="27">
        <f>IF(C300="","",H300+N(X300))</f>
        <v/>
      </c>
      <c r="Z300" s="29">
        <f>IFERROR(X300/Y300,"")</f>
        <v/>
      </c>
      <c r="AA300" s="26" t="n"/>
      <c r="AB300" s="26" t="n"/>
      <c r="AC300" s="26" t="n"/>
      <c r="AD300" s="26" t="n"/>
      <c r="AE300" s="27">
        <f>IF(C300="","",SUMIFS(tbl_Finance[Ex GST],tbl_Finance[Job Number],C300&amp;"",tbl_Finance[Cost Centre],"VIDEO"))</f>
        <v/>
      </c>
      <c r="AF300" s="29">
        <f>IFERROR(AE300/H300,"")</f>
        <v/>
      </c>
      <c r="AG300" s="27">
        <f>IF(C300="","",N(AA300)+N(AB300)+N(AC300)+N(AD300))</f>
        <v/>
      </c>
      <c r="AH300" s="27">
        <f>IF(C300="","",H300-AG300)</f>
        <v/>
      </c>
      <c r="AI300" s="29">
        <f>IFERROR(AH300/H300,"")</f>
        <v/>
      </c>
      <c r="AJ300" s="69" t="n"/>
      <c r="AK300" s="69" t="n"/>
      <c r="AL300" s="69" t="n"/>
      <c r="AM300" s="69" t="n"/>
      <c r="AN300" s="69" t="n"/>
      <c r="AO300" s="24" t="n"/>
    </row>
    <row r="301" ht="15" customHeight="1">
      <c r="A301" s="68">
        <f>IF(C301="","",IFERROR(IF(SUMPRODUCT(MAX((tbl_Finance[Job Number]=C301&amp;"")*(tbl_Finance[Xero Invoice No]&lt;&gt;"")*tbl_Finance[Date]))=0,"",SUMPRODUCT(MAX((tbl_Finance[Job Number]=C301&amp;"")*(tbl_Finance[Xero Invoice No]&lt;&gt;"")*tbl_Finance[Date]))),""))</f>
        <v/>
      </c>
      <c r="B301" s="25">
        <f>IF(C301="","",IF(COUNTIFS(tbl_Finance[Job Number],C301&amp;"",tbl_Finance[Xero Invoice No],"&lt;&gt;")=0,"",IFERROR(IF(COUNTIFS(tbl_Finance[Job Number],C301&amp;"",tbl_Finance[Xero Invoice No],LOOKUP(2,1/((tbl_Finance[Job Number]=C301&amp;"")*(tbl_Finance[Xero Invoice No]&lt;&gt;"")),tbl_Finance[Xero Invoice No]))=COUNTIFS(tbl_Finance[Job Number],C301&amp;"",tbl_Finance[Xero Invoice No],"&lt;&gt;"),LOOKUP(2,1/((tbl_Finance[Job Number]=C301&amp;"")*(tbl_Finance[Xero Invoice No]&lt;&gt;"")),tbl_Finance[Xero Invoice No]),LOOKUP(2,1/((tbl_Finance[Job Number]=C301&amp;"")*(tbl_Finance[Xero Invoice No]&lt;&gt;"")),tbl_Finance[Xero Invoice No])&amp;" +more"),"")))</f>
        <v/>
      </c>
      <c r="C301" s="24" t="n"/>
      <c r="D301" s="25">
        <f>IF(C301="","",IF(COUNTIF(lst_Jobs,C301&amp;"")&gt;0,"OK","CHECK"))</f>
        <v/>
      </c>
      <c r="E301" s="25">
        <f>IF(C301="","",IFERROR(INDEX(lst_JobName,MATCH(C301&amp;"",lst_Jobs,0)),""))</f>
        <v/>
      </c>
      <c r="F301" s="25">
        <f>IF(C301="","",IFERROR(INDEX(tbl_Finance[Client],MATCH(C301&amp;"",tbl_Finance[Job Number],0)),""))</f>
        <v/>
      </c>
      <c r="G301" s="28">
        <f>IF(C301="","",COUNTIFS(tbl_Finance[Job Number],C301&amp;"",tbl_Finance[Ex GST],"&lt;&gt;"))</f>
        <v/>
      </c>
      <c r="H301" s="27">
        <f>IF(C301="","",SUMIFS(tbl_Finance[Ex GST],tbl_Finance[Job Number],C301&amp;""))</f>
        <v/>
      </c>
      <c r="I301" s="27">
        <f>IF(C301="","",SUMIFS(tbl_Finance[Ex GST],tbl_Finance[Job Number],C301&amp;"",tbl_Finance[Xero Invoice No],"&lt;&gt;"))</f>
        <v/>
      </c>
      <c r="J301" s="27">
        <f>IF(C301="","",H301-I301)</f>
        <v/>
      </c>
      <c r="K301" s="25">
        <f>IF(C301="","",IF(G301=0,"not invoiced yet",SUBSTITUTE(TRIM(IF(COUNTIFS(tbl_Finance[Job Number],C301&amp;"",tbl_Finance[Cost Centre],"ONSITE")&gt;0,"ONSITE ","")&amp;IF(COUNTIFS(tbl_Finance[Job Number],C301&amp;"",tbl_Finance[Cost Centre],"PRODUCTION")&gt;0,"PRODUCTION ","")&amp;IF(COUNTIFS(tbl_Finance[Job Number],C301&amp;"",tbl_Finance[Cost Centre],"VIDEO")&gt;0,"VIDEO ","")&amp;IF(COUNTIFS(tbl_Finance[Job Number],C301&amp;"",tbl_Finance[Cost Centre],"INTEGRATION")&gt;0,"INTEGRATION ","")&amp;IF(COUNTIFS(tbl_Finance[Job Number],C301&amp;"",tbl_Finance[Cost Centre],"CONSULTING")&gt;0,"CONSULTING ","")&amp;IF(COUNTIFS(tbl_Finance[Job Number],C301&amp;"",tbl_Finance[Cost Centre],"CTS")&gt;0,"CTS ",""))," ",", ")))</f>
        <v/>
      </c>
      <c r="L301" s="27">
        <f>IF(C301="","",SUMIFS(tbl_Finance[Inc GST],tbl_Finance[Job Number],C301&amp;""))</f>
        <v/>
      </c>
      <c r="M301" s="24" t="n"/>
      <c r="N301" s="25">
        <f>IF(C301="","",IFERROR(INDEX(tbl_Finance[Description],MATCH(C301&amp;"",tbl_Finance[Job Number],0)),""))</f>
        <v/>
      </c>
      <c r="O301" s="24" t="n"/>
      <c r="P301" s="24" t="n"/>
      <c r="Q301" s="22" t="n"/>
      <c r="R301" s="24" t="n"/>
      <c r="S301" s="25">
        <f>IF(R301="","",IF(AND(LEFT(R301,4)&lt;&gt;"http",set_RMSBase=""),"",HYPERLINK(IF(LEFT(R301,4)="http",R301,set_RMSBase&amp;R301),"Open opportunity")))</f>
        <v/>
      </c>
      <c r="T301" s="24" t="n"/>
      <c r="U301" s="25">
        <f>IF(T301="","",HYPERLINK(IF(LEFT(T301,4)="http",T301,set_QwilrBase&amp;T301),"Open quote"))</f>
        <v/>
      </c>
      <c r="V301" s="25">
        <f>IF(C301="","",C301)</f>
        <v/>
      </c>
      <c r="W301" s="24" t="n"/>
      <c r="X301" s="26" t="n"/>
      <c r="Y301" s="27">
        <f>IF(C301="","",H301+N(X301))</f>
        <v/>
      </c>
      <c r="Z301" s="29">
        <f>IFERROR(X301/Y301,"")</f>
        <v/>
      </c>
      <c r="AA301" s="26" t="n"/>
      <c r="AB301" s="26" t="n"/>
      <c r="AC301" s="26" t="n"/>
      <c r="AD301" s="26" t="n"/>
      <c r="AE301" s="27">
        <f>IF(C301="","",SUMIFS(tbl_Finance[Ex GST],tbl_Finance[Job Number],C301&amp;"",tbl_Finance[Cost Centre],"VIDEO"))</f>
        <v/>
      </c>
      <c r="AF301" s="29">
        <f>IFERROR(AE301/H301,"")</f>
        <v/>
      </c>
      <c r="AG301" s="27">
        <f>IF(C301="","",N(AA301)+N(AB301)+N(AC301)+N(AD301))</f>
        <v/>
      </c>
      <c r="AH301" s="27">
        <f>IF(C301="","",H301-AG301)</f>
        <v/>
      </c>
      <c r="AI301" s="29">
        <f>IFERROR(AH301/H301,"")</f>
        <v/>
      </c>
      <c r="AJ301" s="69" t="n"/>
      <c r="AK301" s="69" t="n"/>
      <c r="AL301" s="69" t="n"/>
      <c r="AM301" s="69" t="n"/>
      <c r="AN301" s="69" t="n"/>
      <c r="AO301" s="24" t="n"/>
    </row>
    <row r="302" ht="15" customHeight="1">
      <c r="A302" s="68">
        <f>IF(C302="","",IFERROR(IF(SUMPRODUCT(MAX((tbl_Finance[Job Number]=C302&amp;"")*(tbl_Finance[Xero Invoice No]&lt;&gt;"")*tbl_Finance[Date]))=0,"",SUMPRODUCT(MAX((tbl_Finance[Job Number]=C302&amp;"")*(tbl_Finance[Xero Invoice No]&lt;&gt;"")*tbl_Finance[Date]))),""))</f>
        <v/>
      </c>
      <c r="B302" s="25">
        <f>IF(C302="","",IF(COUNTIFS(tbl_Finance[Job Number],C302&amp;"",tbl_Finance[Xero Invoice No],"&lt;&gt;")=0,"",IFERROR(IF(COUNTIFS(tbl_Finance[Job Number],C302&amp;"",tbl_Finance[Xero Invoice No],LOOKUP(2,1/((tbl_Finance[Job Number]=C302&amp;"")*(tbl_Finance[Xero Invoice No]&lt;&gt;"")),tbl_Finance[Xero Invoice No]))=COUNTIFS(tbl_Finance[Job Number],C302&amp;"",tbl_Finance[Xero Invoice No],"&lt;&gt;"),LOOKUP(2,1/((tbl_Finance[Job Number]=C302&amp;"")*(tbl_Finance[Xero Invoice No]&lt;&gt;"")),tbl_Finance[Xero Invoice No]),LOOKUP(2,1/((tbl_Finance[Job Number]=C302&amp;"")*(tbl_Finance[Xero Invoice No]&lt;&gt;"")),tbl_Finance[Xero Invoice No])&amp;" +more"),"")))</f>
        <v/>
      </c>
      <c r="C302" s="24" t="n"/>
      <c r="D302" s="25">
        <f>IF(C302="","",IF(COUNTIF(lst_Jobs,C302&amp;"")&gt;0,"OK","CHECK"))</f>
        <v/>
      </c>
      <c r="E302" s="25">
        <f>IF(C302="","",IFERROR(INDEX(lst_JobName,MATCH(C302&amp;"",lst_Jobs,0)),""))</f>
        <v/>
      </c>
      <c r="F302" s="25">
        <f>IF(C302="","",IFERROR(INDEX(tbl_Finance[Client],MATCH(C302&amp;"",tbl_Finance[Job Number],0)),""))</f>
        <v/>
      </c>
      <c r="G302" s="28">
        <f>IF(C302="","",COUNTIFS(tbl_Finance[Job Number],C302&amp;"",tbl_Finance[Ex GST],"&lt;&gt;"))</f>
        <v/>
      </c>
      <c r="H302" s="27">
        <f>IF(C302="","",SUMIFS(tbl_Finance[Ex GST],tbl_Finance[Job Number],C302&amp;""))</f>
        <v/>
      </c>
      <c r="I302" s="27">
        <f>IF(C302="","",SUMIFS(tbl_Finance[Ex GST],tbl_Finance[Job Number],C302&amp;"",tbl_Finance[Xero Invoice No],"&lt;&gt;"))</f>
        <v/>
      </c>
      <c r="J302" s="27">
        <f>IF(C302="","",H302-I302)</f>
        <v/>
      </c>
      <c r="K302" s="25">
        <f>IF(C302="","",IF(G302=0,"not invoiced yet",SUBSTITUTE(TRIM(IF(COUNTIFS(tbl_Finance[Job Number],C302&amp;"",tbl_Finance[Cost Centre],"ONSITE")&gt;0,"ONSITE ","")&amp;IF(COUNTIFS(tbl_Finance[Job Number],C302&amp;"",tbl_Finance[Cost Centre],"PRODUCTION")&gt;0,"PRODUCTION ","")&amp;IF(COUNTIFS(tbl_Finance[Job Number],C302&amp;"",tbl_Finance[Cost Centre],"VIDEO")&gt;0,"VIDEO ","")&amp;IF(COUNTIFS(tbl_Finance[Job Number],C302&amp;"",tbl_Finance[Cost Centre],"INTEGRATION")&gt;0,"INTEGRATION ","")&amp;IF(COUNTIFS(tbl_Finance[Job Number],C302&amp;"",tbl_Finance[Cost Centre],"CONSULTING")&gt;0,"CONSULTING ","")&amp;IF(COUNTIFS(tbl_Finance[Job Number],C302&amp;"",tbl_Finance[Cost Centre],"CTS")&gt;0,"CTS ",""))," ",", ")))</f>
        <v/>
      </c>
      <c r="L302" s="27">
        <f>IF(C302="","",SUMIFS(tbl_Finance[Inc GST],tbl_Finance[Job Number],C302&amp;""))</f>
        <v/>
      </c>
      <c r="M302" s="24" t="n"/>
      <c r="N302" s="25">
        <f>IF(C302="","",IFERROR(INDEX(tbl_Finance[Description],MATCH(C302&amp;"",tbl_Finance[Job Number],0)),""))</f>
        <v/>
      </c>
      <c r="O302" s="24" t="n"/>
      <c r="P302" s="24" t="n"/>
      <c r="Q302" s="22" t="n"/>
      <c r="R302" s="24" t="n"/>
      <c r="S302" s="25">
        <f>IF(R302="","",IF(AND(LEFT(R302,4)&lt;&gt;"http",set_RMSBase=""),"",HYPERLINK(IF(LEFT(R302,4)="http",R302,set_RMSBase&amp;R302),"Open opportunity")))</f>
        <v/>
      </c>
      <c r="T302" s="24" t="n"/>
      <c r="U302" s="25">
        <f>IF(T302="","",HYPERLINK(IF(LEFT(T302,4)="http",T302,set_QwilrBase&amp;T302),"Open quote"))</f>
        <v/>
      </c>
      <c r="V302" s="25">
        <f>IF(C302="","",C302)</f>
        <v/>
      </c>
      <c r="W302" s="24" t="n"/>
      <c r="X302" s="26" t="n"/>
      <c r="Y302" s="27">
        <f>IF(C302="","",H302+N(X302))</f>
        <v/>
      </c>
      <c r="Z302" s="29">
        <f>IFERROR(X302/Y302,"")</f>
        <v/>
      </c>
      <c r="AA302" s="26" t="n"/>
      <c r="AB302" s="26" t="n"/>
      <c r="AC302" s="26" t="n"/>
      <c r="AD302" s="26" t="n"/>
      <c r="AE302" s="27">
        <f>IF(C302="","",SUMIFS(tbl_Finance[Ex GST],tbl_Finance[Job Number],C302&amp;"",tbl_Finance[Cost Centre],"VIDEO"))</f>
        <v/>
      </c>
      <c r="AF302" s="29">
        <f>IFERROR(AE302/H302,"")</f>
        <v/>
      </c>
      <c r="AG302" s="27">
        <f>IF(C302="","",N(AA302)+N(AB302)+N(AC302)+N(AD302))</f>
        <v/>
      </c>
      <c r="AH302" s="27">
        <f>IF(C302="","",H302-AG302)</f>
        <v/>
      </c>
      <c r="AI302" s="29">
        <f>IFERROR(AH302/H302,"")</f>
        <v/>
      </c>
      <c r="AJ302" s="69" t="n"/>
      <c r="AK302" s="69" t="n"/>
      <c r="AL302" s="69" t="n"/>
      <c r="AM302" s="69" t="n"/>
      <c r="AN302" s="69" t="n"/>
      <c r="AO302" s="24" t="n"/>
    </row>
    <row r="303" ht="15" customHeight="1">
      <c r="A303" s="68">
        <f>IF(C303="","",IFERROR(IF(SUMPRODUCT(MAX((tbl_Finance[Job Number]=C303&amp;"")*(tbl_Finance[Xero Invoice No]&lt;&gt;"")*tbl_Finance[Date]))=0,"",SUMPRODUCT(MAX((tbl_Finance[Job Number]=C303&amp;"")*(tbl_Finance[Xero Invoice No]&lt;&gt;"")*tbl_Finance[Date]))),""))</f>
        <v/>
      </c>
      <c r="B303" s="25">
        <f>IF(C303="","",IF(COUNTIFS(tbl_Finance[Job Number],C303&amp;"",tbl_Finance[Xero Invoice No],"&lt;&gt;")=0,"",IFERROR(IF(COUNTIFS(tbl_Finance[Job Number],C303&amp;"",tbl_Finance[Xero Invoice No],LOOKUP(2,1/((tbl_Finance[Job Number]=C303&amp;"")*(tbl_Finance[Xero Invoice No]&lt;&gt;"")),tbl_Finance[Xero Invoice No]))=COUNTIFS(tbl_Finance[Job Number],C303&amp;"",tbl_Finance[Xero Invoice No],"&lt;&gt;"),LOOKUP(2,1/((tbl_Finance[Job Number]=C303&amp;"")*(tbl_Finance[Xero Invoice No]&lt;&gt;"")),tbl_Finance[Xero Invoice No]),LOOKUP(2,1/((tbl_Finance[Job Number]=C303&amp;"")*(tbl_Finance[Xero Invoice No]&lt;&gt;"")),tbl_Finance[Xero Invoice No])&amp;" +more"),"")))</f>
        <v/>
      </c>
      <c r="C303" s="24" t="n"/>
      <c r="D303" s="25">
        <f>IF(C303="","",IF(COUNTIF(lst_Jobs,C303&amp;"")&gt;0,"OK","CHECK"))</f>
        <v/>
      </c>
      <c r="E303" s="25">
        <f>IF(C303="","",IFERROR(INDEX(lst_JobName,MATCH(C303&amp;"",lst_Jobs,0)),""))</f>
        <v/>
      </c>
      <c r="F303" s="25">
        <f>IF(C303="","",IFERROR(INDEX(tbl_Finance[Client],MATCH(C303&amp;"",tbl_Finance[Job Number],0)),""))</f>
        <v/>
      </c>
      <c r="G303" s="28">
        <f>IF(C303="","",COUNTIFS(tbl_Finance[Job Number],C303&amp;"",tbl_Finance[Ex GST],"&lt;&gt;"))</f>
        <v/>
      </c>
      <c r="H303" s="27">
        <f>IF(C303="","",SUMIFS(tbl_Finance[Ex GST],tbl_Finance[Job Number],C303&amp;""))</f>
        <v/>
      </c>
      <c r="I303" s="27">
        <f>IF(C303="","",SUMIFS(tbl_Finance[Ex GST],tbl_Finance[Job Number],C303&amp;"",tbl_Finance[Xero Invoice No],"&lt;&gt;"))</f>
        <v/>
      </c>
      <c r="J303" s="27">
        <f>IF(C303="","",H303-I303)</f>
        <v/>
      </c>
      <c r="K303" s="25">
        <f>IF(C303="","",IF(G303=0,"not invoiced yet",SUBSTITUTE(TRIM(IF(COUNTIFS(tbl_Finance[Job Number],C303&amp;"",tbl_Finance[Cost Centre],"ONSITE")&gt;0,"ONSITE ","")&amp;IF(COUNTIFS(tbl_Finance[Job Number],C303&amp;"",tbl_Finance[Cost Centre],"PRODUCTION")&gt;0,"PRODUCTION ","")&amp;IF(COUNTIFS(tbl_Finance[Job Number],C303&amp;"",tbl_Finance[Cost Centre],"VIDEO")&gt;0,"VIDEO ","")&amp;IF(COUNTIFS(tbl_Finance[Job Number],C303&amp;"",tbl_Finance[Cost Centre],"INTEGRATION")&gt;0,"INTEGRATION ","")&amp;IF(COUNTIFS(tbl_Finance[Job Number],C303&amp;"",tbl_Finance[Cost Centre],"CONSULTING")&gt;0,"CONSULTING ","")&amp;IF(COUNTIFS(tbl_Finance[Job Number],C303&amp;"",tbl_Finance[Cost Centre],"CTS")&gt;0,"CTS ",""))," ",", ")))</f>
        <v/>
      </c>
      <c r="L303" s="27">
        <f>IF(C303="","",SUMIFS(tbl_Finance[Inc GST],tbl_Finance[Job Number],C303&amp;""))</f>
        <v/>
      </c>
      <c r="M303" s="24" t="n"/>
      <c r="N303" s="25">
        <f>IF(C303="","",IFERROR(INDEX(tbl_Finance[Description],MATCH(C303&amp;"",tbl_Finance[Job Number],0)),""))</f>
        <v/>
      </c>
      <c r="O303" s="24" t="n"/>
      <c r="P303" s="24" t="n"/>
      <c r="Q303" s="22" t="n"/>
      <c r="R303" s="24" t="n"/>
      <c r="S303" s="25">
        <f>IF(R303="","",IF(AND(LEFT(R303,4)&lt;&gt;"http",set_RMSBase=""),"",HYPERLINK(IF(LEFT(R303,4)="http",R303,set_RMSBase&amp;R303),"Open opportunity")))</f>
        <v/>
      </c>
      <c r="T303" s="24" t="n"/>
      <c r="U303" s="25">
        <f>IF(T303="","",HYPERLINK(IF(LEFT(T303,4)="http",T303,set_QwilrBase&amp;T303),"Open quote"))</f>
        <v/>
      </c>
      <c r="V303" s="25">
        <f>IF(C303="","",C303)</f>
        <v/>
      </c>
      <c r="W303" s="24" t="n"/>
      <c r="X303" s="26" t="n"/>
      <c r="Y303" s="27">
        <f>IF(C303="","",H303+N(X303))</f>
        <v/>
      </c>
      <c r="Z303" s="29">
        <f>IFERROR(X303/Y303,"")</f>
        <v/>
      </c>
      <c r="AA303" s="26" t="n"/>
      <c r="AB303" s="26" t="n"/>
      <c r="AC303" s="26" t="n"/>
      <c r="AD303" s="26" t="n"/>
      <c r="AE303" s="27">
        <f>IF(C303="","",SUMIFS(tbl_Finance[Ex GST],tbl_Finance[Job Number],C303&amp;"",tbl_Finance[Cost Centre],"VIDEO"))</f>
        <v/>
      </c>
      <c r="AF303" s="29">
        <f>IFERROR(AE303/H303,"")</f>
        <v/>
      </c>
      <c r="AG303" s="27">
        <f>IF(C303="","",N(AA303)+N(AB303)+N(AC303)+N(AD303))</f>
        <v/>
      </c>
      <c r="AH303" s="27">
        <f>IF(C303="","",H303-AG303)</f>
        <v/>
      </c>
      <c r="AI303" s="29">
        <f>IFERROR(AH303/H303,"")</f>
        <v/>
      </c>
      <c r="AJ303" s="69" t="n"/>
      <c r="AK303" s="69" t="n"/>
      <c r="AL303" s="69" t="n"/>
      <c r="AM303" s="69" t="n"/>
      <c r="AN303" s="69" t="n"/>
      <c r="AO303" s="24" t="n"/>
    </row>
    <row r="304" ht="15" customHeight="1">
      <c r="A304" s="68">
        <f>IF(C304="","",IFERROR(IF(SUMPRODUCT(MAX((tbl_Finance[Job Number]=C304&amp;"")*(tbl_Finance[Xero Invoice No]&lt;&gt;"")*tbl_Finance[Date]))=0,"",SUMPRODUCT(MAX((tbl_Finance[Job Number]=C304&amp;"")*(tbl_Finance[Xero Invoice No]&lt;&gt;"")*tbl_Finance[Date]))),""))</f>
        <v/>
      </c>
      <c r="B304" s="25">
        <f>IF(C304="","",IF(COUNTIFS(tbl_Finance[Job Number],C304&amp;"",tbl_Finance[Xero Invoice No],"&lt;&gt;")=0,"",IFERROR(IF(COUNTIFS(tbl_Finance[Job Number],C304&amp;"",tbl_Finance[Xero Invoice No],LOOKUP(2,1/((tbl_Finance[Job Number]=C304&amp;"")*(tbl_Finance[Xero Invoice No]&lt;&gt;"")),tbl_Finance[Xero Invoice No]))=COUNTIFS(tbl_Finance[Job Number],C304&amp;"",tbl_Finance[Xero Invoice No],"&lt;&gt;"),LOOKUP(2,1/((tbl_Finance[Job Number]=C304&amp;"")*(tbl_Finance[Xero Invoice No]&lt;&gt;"")),tbl_Finance[Xero Invoice No]),LOOKUP(2,1/((tbl_Finance[Job Number]=C304&amp;"")*(tbl_Finance[Xero Invoice No]&lt;&gt;"")),tbl_Finance[Xero Invoice No])&amp;" +more"),"")))</f>
        <v/>
      </c>
      <c r="C304" s="24" t="n"/>
      <c r="D304" s="25">
        <f>IF(C304="","",IF(COUNTIF(lst_Jobs,C304&amp;"")&gt;0,"OK","CHECK"))</f>
        <v/>
      </c>
      <c r="E304" s="25">
        <f>IF(C304="","",IFERROR(INDEX(lst_JobName,MATCH(C304&amp;"",lst_Jobs,0)),""))</f>
        <v/>
      </c>
      <c r="F304" s="25">
        <f>IF(C304="","",IFERROR(INDEX(tbl_Finance[Client],MATCH(C304&amp;"",tbl_Finance[Job Number],0)),""))</f>
        <v/>
      </c>
      <c r="G304" s="28">
        <f>IF(C304="","",COUNTIFS(tbl_Finance[Job Number],C304&amp;"",tbl_Finance[Ex GST],"&lt;&gt;"))</f>
        <v/>
      </c>
      <c r="H304" s="27">
        <f>IF(C304="","",SUMIFS(tbl_Finance[Ex GST],tbl_Finance[Job Number],C304&amp;""))</f>
        <v/>
      </c>
      <c r="I304" s="27">
        <f>IF(C304="","",SUMIFS(tbl_Finance[Ex GST],tbl_Finance[Job Number],C304&amp;"",tbl_Finance[Xero Invoice No],"&lt;&gt;"))</f>
        <v/>
      </c>
      <c r="J304" s="27">
        <f>IF(C304="","",H304-I304)</f>
        <v/>
      </c>
      <c r="K304" s="25">
        <f>IF(C304="","",IF(G304=0,"not invoiced yet",SUBSTITUTE(TRIM(IF(COUNTIFS(tbl_Finance[Job Number],C304&amp;"",tbl_Finance[Cost Centre],"ONSITE")&gt;0,"ONSITE ","")&amp;IF(COUNTIFS(tbl_Finance[Job Number],C304&amp;"",tbl_Finance[Cost Centre],"PRODUCTION")&gt;0,"PRODUCTION ","")&amp;IF(COUNTIFS(tbl_Finance[Job Number],C304&amp;"",tbl_Finance[Cost Centre],"VIDEO")&gt;0,"VIDEO ","")&amp;IF(COUNTIFS(tbl_Finance[Job Number],C304&amp;"",tbl_Finance[Cost Centre],"INTEGRATION")&gt;0,"INTEGRATION ","")&amp;IF(COUNTIFS(tbl_Finance[Job Number],C304&amp;"",tbl_Finance[Cost Centre],"CONSULTING")&gt;0,"CONSULTING ","")&amp;IF(COUNTIFS(tbl_Finance[Job Number],C304&amp;"",tbl_Finance[Cost Centre],"CTS")&gt;0,"CTS ",""))," ",", ")))</f>
        <v/>
      </c>
      <c r="L304" s="27">
        <f>IF(C304="","",SUMIFS(tbl_Finance[Inc GST],tbl_Finance[Job Number],C304&amp;""))</f>
        <v/>
      </c>
      <c r="M304" s="24" t="n"/>
      <c r="N304" s="25">
        <f>IF(C304="","",IFERROR(INDEX(tbl_Finance[Description],MATCH(C304&amp;"",tbl_Finance[Job Number],0)),""))</f>
        <v/>
      </c>
      <c r="O304" s="24" t="n"/>
      <c r="P304" s="24" t="n"/>
      <c r="Q304" s="22" t="n"/>
      <c r="R304" s="24" t="n"/>
      <c r="S304" s="25">
        <f>IF(R304="","",IF(AND(LEFT(R304,4)&lt;&gt;"http",set_RMSBase=""),"",HYPERLINK(IF(LEFT(R304,4)="http",R304,set_RMSBase&amp;R304),"Open opportunity")))</f>
        <v/>
      </c>
      <c r="T304" s="24" t="n"/>
      <c r="U304" s="25">
        <f>IF(T304="","",HYPERLINK(IF(LEFT(T304,4)="http",T304,set_QwilrBase&amp;T304),"Open quote"))</f>
        <v/>
      </c>
      <c r="V304" s="25">
        <f>IF(C304="","",C304)</f>
        <v/>
      </c>
      <c r="W304" s="24" t="n"/>
      <c r="X304" s="26" t="n"/>
      <c r="Y304" s="27">
        <f>IF(C304="","",H304+N(X304))</f>
        <v/>
      </c>
      <c r="Z304" s="29">
        <f>IFERROR(X304/Y304,"")</f>
        <v/>
      </c>
      <c r="AA304" s="26" t="n"/>
      <c r="AB304" s="26" t="n"/>
      <c r="AC304" s="26" t="n"/>
      <c r="AD304" s="26" t="n"/>
      <c r="AE304" s="27">
        <f>IF(C304="","",SUMIFS(tbl_Finance[Ex GST],tbl_Finance[Job Number],C304&amp;"",tbl_Finance[Cost Centre],"VIDEO"))</f>
        <v/>
      </c>
      <c r="AF304" s="29">
        <f>IFERROR(AE304/H304,"")</f>
        <v/>
      </c>
      <c r="AG304" s="27">
        <f>IF(C304="","",N(AA304)+N(AB304)+N(AC304)+N(AD304))</f>
        <v/>
      </c>
      <c r="AH304" s="27">
        <f>IF(C304="","",H304-AG304)</f>
        <v/>
      </c>
      <c r="AI304" s="29">
        <f>IFERROR(AH304/H304,"")</f>
        <v/>
      </c>
      <c r="AJ304" s="69" t="n"/>
      <c r="AK304" s="69" t="n"/>
      <c r="AL304" s="69" t="n"/>
      <c r="AM304" s="69" t="n"/>
      <c r="AN304" s="69" t="n"/>
      <c r="AO304" s="24" t="n"/>
    </row>
    <row r="305" ht="15" customHeight="1">
      <c r="A305" s="68">
        <f>IF(C305="","",IFERROR(IF(SUMPRODUCT(MAX((tbl_Finance[Job Number]=C305&amp;"")*(tbl_Finance[Xero Invoice No]&lt;&gt;"")*tbl_Finance[Date]))=0,"",SUMPRODUCT(MAX((tbl_Finance[Job Number]=C305&amp;"")*(tbl_Finance[Xero Invoice No]&lt;&gt;"")*tbl_Finance[Date]))),""))</f>
        <v/>
      </c>
      <c r="B305" s="25">
        <f>IF(C305="","",IF(COUNTIFS(tbl_Finance[Job Number],C305&amp;"",tbl_Finance[Xero Invoice No],"&lt;&gt;")=0,"",IFERROR(IF(COUNTIFS(tbl_Finance[Job Number],C305&amp;"",tbl_Finance[Xero Invoice No],LOOKUP(2,1/((tbl_Finance[Job Number]=C305&amp;"")*(tbl_Finance[Xero Invoice No]&lt;&gt;"")),tbl_Finance[Xero Invoice No]))=COUNTIFS(tbl_Finance[Job Number],C305&amp;"",tbl_Finance[Xero Invoice No],"&lt;&gt;"),LOOKUP(2,1/((tbl_Finance[Job Number]=C305&amp;"")*(tbl_Finance[Xero Invoice No]&lt;&gt;"")),tbl_Finance[Xero Invoice No]),LOOKUP(2,1/((tbl_Finance[Job Number]=C305&amp;"")*(tbl_Finance[Xero Invoice No]&lt;&gt;"")),tbl_Finance[Xero Invoice No])&amp;" +more"),"")))</f>
        <v/>
      </c>
      <c r="C305" s="24" t="n"/>
      <c r="D305" s="25">
        <f>IF(C305="","",IF(COUNTIF(lst_Jobs,C305&amp;"")&gt;0,"OK","CHECK"))</f>
        <v/>
      </c>
      <c r="E305" s="25">
        <f>IF(C305="","",IFERROR(INDEX(lst_JobName,MATCH(C305&amp;"",lst_Jobs,0)),""))</f>
        <v/>
      </c>
      <c r="F305" s="25">
        <f>IF(C305="","",IFERROR(INDEX(tbl_Finance[Client],MATCH(C305&amp;"",tbl_Finance[Job Number],0)),""))</f>
        <v/>
      </c>
      <c r="G305" s="28">
        <f>IF(C305="","",COUNTIFS(tbl_Finance[Job Number],C305&amp;"",tbl_Finance[Ex GST],"&lt;&gt;"))</f>
        <v/>
      </c>
      <c r="H305" s="27">
        <f>IF(C305="","",SUMIFS(tbl_Finance[Ex GST],tbl_Finance[Job Number],C305&amp;""))</f>
        <v/>
      </c>
      <c r="I305" s="27">
        <f>IF(C305="","",SUMIFS(tbl_Finance[Ex GST],tbl_Finance[Job Number],C305&amp;"",tbl_Finance[Xero Invoice No],"&lt;&gt;"))</f>
        <v/>
      </c>
      <c r="J305" s="27">
        <f>IF(C305="","",H305-I305)</f>
        <v/>
      </c>
      <c r="K305" s="25">
        <f>IF(C305="","",IF(G305=0,"not invoiced yet",SUBSTITUTE(TRIM(IF(COUNTIFS(tbl_Finance[Job Number],C305&amp;"",tbl_Finance[Cost Centre],"ONSITE")&gt;0,"ONSITE ","")&amp;IF(COUNTIFS(tbl_Finance[Job Number],C305&amp;"",tbl_Finance[Cost Centre],"PRODUCTION")&gt;0,"PRODUCTION ","")&amp;IF(COUNTIFS(tbl_Finance[Job Number],C305&amp;"",tbl_Finance[Cost Centre],"VIDEO")&gt;0,"VIDEO ","")&amp;IF(COUNTIFS(tbl_Finance[Job Number],C305&amp;"",tbl_Finance[Cost Centre],"INTEGRATION")&gt;0,"INTEGRATION ","")&amp;IF(COUNTIFS(tbl_Finance[Job Number],C305&amp;"",tbl_Finance[Cost Centre],"CONSULTING")&gt;0,"CONSULTING ","")&amp;IF(COUNTIFS(tbl_Finance[Job Number],C305&amp;"",tbl_Finance[Cost Centre],"CTS")&gt;0,"CTS ",""))," ",", ")))</f>
        <v/>
      </c>
      <c r="L305" s="27">
        <f>IF(C305="","",SUMIFS(tbl_Finance[Inc GST],tbl_Finance[Job Number],C305&amp;""))</f>
        <v/>
      </c>
      <c r="M305" s="24" t="n"/>
      <c r="N305" s="25">
        <f>IF(C305="","",IFERROR(INDEX(tbl_Finance[Description],MATCH(C305&amp;"",tbl_Finance[Job Number],0)),""))</f>
        <v/>
      </c>
      <c r="O305" s="24" t="n"/>
      <c r="P305" s="24" t="n"/>
      <c r="Q305" s="22" t="n"/>
      <c r="R305" s="24" t="n"/>
      <c r="S305" s="25">
        <f>IF(R305="","",IF(AND(LEFT(R305,4)&lt;&gt;"http",set_RMSBase=""),"",HYPERLINK(IF(LEFT(R305,4)="http",R305,set_RMSBase&amp;R305),"Open opportunity")))</f>
        <v/>
      </c>
      <c r="T305" s="24" t="n"/>
      <c r="U305" s="25">
        <f>IF(T305="","",HYPERLINK(IF(LEFT(T305,4)="http",T305,set_QwilrBase&amp;T305),"Open quote"))</f>
        <v/>
      </c>
      <c r="V305" s="25">
        <f>IF(C305="","",C305)</f>
        <v/>
      </c>
      <c r="W305" s="24" t="n"/>
      <c r="X305" s="26" t="n"/>
      <c r="Y305" s="27">
        <f>IF(C305="","",H305+N(X305))</f>
        <v/>
      </c>
      <c r="Z305" s="29">
        <f>IFERROR(X305/Y305,"")</f>
        <v/>
      </c>
      <c r="AA305" s="26" t="n"/>
      <c r="AB305" s="26" t="n"/>
      <c r="AC305" s="26" t="n"/>
      <c r="AD305" s="26" t="n"/>
      <c r="AE305" s="27">
        <f>IF(C305="","",SUMIFS(tbl_Finance[Ex GST],tbl_Finance[Job Number],C305&amp;"",tbl_Finance[Cost Centre],"VIDEO"))</f>
        <v/>
      </c>
      <c r="AF305" s="29">
        <f>IFERROR(AE305/H305,"")</f>
        <v/>
      </c>
      <c r="AG305" s="27">
        <f>IF(C305="","",N(AA305)+N(AB305)+N(AC305)+N(AD305))</f>
        <v/>
      </c>
      <c r="AH305" s="27">
        <f>IF(C305="","",H305-AG305)</f>
        <v/>
      </c>
      <c r="AI305" s="29">
        <f>IFERROR(AH305/H305,"")</f>
        <v/>
      </c>
      <c r="AJ305" s="69" t="n"/>
      <c r="AK305" s="69" t="n"/>
      <c r="AL305" s="69" t="n"/>
      <c r="AM305" s="69" t="n"/>
      <c r="AN305" s="69" t="n"/>
      <c r="AO305" s="24" t="n"/>
    </row>
    <row r="306" ht="15" customHeight="1">
      <c r="A306" s="68">
        <f>IF(C306="","",IFERROR(IF(SUMPRODUCT(MAX((tbl_Finance[Job Number]=C306&amp;"")*(tbl_Finance[Xero Invoice No]&lt;&gt;"")*tbl_Finance[Date]))=0,"",SUMPRODUCT(MAX((tbl_Finance[Job Number]=C306&amp;"")*(tbl_Finance[Xero Invoice No]&lt;&gt;"")*tbl_Finance[Date]))),""))</f>
        <v/>
      </c>
      <c r="B306" s="25">
        <f>IF(C306="","",IF(COUNTIFS(tbl_Finance[Job Number],C306&amp;"",tbl_Finance[Xero Invoice No],"&lt;&gt;")=0,"",IFERROR(IF(COUNTIFS(tbl_Finance[Job Number],C306&amp;"",tbl_Finance[Xero Invoice No],LOOKUP(2,1/((tbl_Finance[Job Number]=C306&amp;"")*(tbl_Finance[Xero Invoice No]&lt;&gt;"")),tbl_Finance[Xero Invoice No]))=COUNTIFS(tbl_Finance[Job Number],C306&amp;"",tbl_Finance[Xero Invoice No],"&lt;&gt;"),LOOKUP(2,1/((tbl_Finance[Job Number]=C306&amp;"")*(tbl_Finance[Xero Invoice No]&lt;&gt;"")),tbl_Finance[Xero Invoice No]),LOOKUP(2,1/((tbl_Finance[Job Number]=C306&amp;"")*(tbl_Finance[Xero Invoice No]&lt;&gt;"")),tbl_Finance[Xero Invoice No])&amp;" +more"),"")))</f>
        <v/>
      </c>
      <c r="C306" s="24" t="n"/>
      <c r="D306" s="25">
        <f>IF(C306="","",IF(COUNTIF(lst_Jobs,C306&amp;"")&gt;0,"OK","CHECK"))</f>
        <v/>
      </c>
      <c r="E306" s="25">
        <f>IF(C306="","",IFERROR(INDEX(lst_JobName,MATCH(C306&amp;"",lst_Jobs,0)),""))</f>
        <v/>
      </c>
      <c r="F306" s="25">
        <f>IF(C306="","",IFERROR(INDEX(tbl_Finance[Client],MATCH(C306&amp;"",tbl_Finance[Job Number],0)),""))</f>
        <v/>
      </c>
      <c r="G306" s="28">
        <f>IF(C306="","",COUNTIFS(tbl_Finance[Job Number],C306&amp;"",tbl_Finance[Ex GST],"&lt;&gt;"))</f>
        <v/>
      </c>
      <c r="H306" s="27">
        <f>IF(C306="","",SUMIFS(tbl_Finance[Ex GST],tbl_Finance[Job Number],C306&amp;""))</f>
        <v/>
      </c>
      <c r="I306" s="27">
        <f>IF(C306="","",SUMIFS(tbl_Finance[Ex GST],tbl_Finance[Job Number],C306&amp;"",tbl_Finance[Xero Invoice No],"&lt;&gt;"))</f>
        <v/>
      </c>
      <c r="J306" s="27">
        <f>IF(C306="","",H306-I306)</f>
        <v/>
      </c>
      <c r="K306" s="25">
        <f>IF(C306="","",IF(G306=0,"not invoiced yet",SUBSTITUTE(TRIM(IF(COUNTIFS(tbl_Finance[Job Number],C306&amp;"",tbl_Finance[Cost Centre],"ONSITE")&gt;0,"ONSITE ","")&amp;IF(COUNTIFS(tbl_Finance[Job Number],C306&amp;"",tbl_Finance[Cost Centre],"PRODUCTION")&gt;0,"PRODUCTION ","")&amp;IF(COUNTIFS(tbl_Finance[Job Number],C306&amp;"",tbl_Finance[Cost Centre],"VIDEO")&gt;0,"VIDEO ","")&amp;IF(COUNTIFS(tbl_Finance[Job Number],C306&amp;"",tbl_Finance[Cost Centre],"INTEGRATION")&gt;0,"INTEGRATION ","")&amp;IF(COUNTIFS(tbl_Finance[Job Number],C306&amp;"",tbl_Finance[Cost Centre],"CONSULTING")&gt;0,"CONSULTING ","")&amp;IF(COUNTIFS(tbl_Finance[Job Number],C306&amp;"",tbl_Finance[Cost Centre],"CTS")&gt;0,"CTS ",""))," ",", ")))</f>
        <v/>
      </c>
      <c r="L306" s="27">
        <f>IF(C306="","",SUMIFS(tbl_Finance[Inc GST],tbl_Finance[Job Number],C306&amp;""))</f>
        <v/>
      </c>
      <c r="M306" s="24" t="n"/>
      <c r="N306" s="25">
        <f>IF(C306="","",IFERROR(INDEX(tbl_Finance[Description],MATCH(C306&amp;"",tbl_Finance[Job Number],0)),""))</f>
        <v/>
      </c>
      <c r="O306" s="24" t="n"/>
      <c r="P306" s="24" t="n"/>
      <c r="Q306" s="22" t="n"/>
      <c r="R306" s="24" t="n"/>
      <c r="S306" s="25">
        <f>IF(R306="","",IF(AND(LEFT(R306,4)&lt;&gt;"http",set_RMSBase=""),"",HYPERLINK(IF(LEFT(R306,4)="http",R306,set_RMSBase&amp;R306),"Open opportunity")))</f>
        <v/>
      </c>
      <c r="T306" s="24" t="n"/>
      <c r="U306" s="25">
        <f>IF(T306="","",HYPERLINK(IF(LEFT(T306,4)="http",T306,set_QwilrBase&amp;T306),"Open quote"))</f>
        <v/>
      </c>
      <c r="V306" s="25">
        <f>IF(C306="","",C306)</f>
        <v/>
      </c>
      <c r="W306" s="24" t="n"/>
      <c r="X306" s="26" t="n"/>
      <c r="Y306" s="27">
        <f>IF(C306="","",H306+N(X306))</f>
        <v/>
      </c>
      <c r="Z306" s="29">
        <f>IFERROR(X306/Y306,"")</f>
        <v/>
      </c>
      <c r="AA306" s="26" t="n"/>
      <c r="AB306" s="26" t="n"/>
      <c r="AC306" s="26" t="n"/>
      <c r="AD306" s="26" t="n"/>
      <c r="AE306" s="27">
        <f>IF(C306="","",SUMIFS(tbl_Finance[Ex GST],tbl_Finance[Job Number],C306&amp;"",tbl_Finance[Cost Centre],"VIDEO"))</f>
        <v/>
      </c>
      <c r="AF306" s="29">
        <f>IFERROR(AE306/H306,"")</f>
        <v/>
      </c>
      <c r="AG306" s="27">
        <f>IF(C306="","",N(AA306)+N(AB306)+N(AC306)+N(AD306))</f>
        <v/>
      </c>
      <c r="AH306" s="27">
        <f>IF(C306="","",H306-AG306)</f>
        <v/>
      </c>
      <c r="AI306" s="29">
        <f>IFERROR(AH306/H306,"")</f>
        <v/>
      </c>
      <c r="AJ306" s="69" t="n"/>
      <c r="AK306" s="69" t="n"/>
      <c r="AL306" s="69" t="n"/>
      <c r="AM306" s="69" t="n"/>
      <c r="AN306" s="69" t="n"/>
      <c r="AO306" s="24" t="n"/>
    </row>
    <row r="307" ht="15" customHeight="1">
      <c r="A307" s="68">
        <f>IF(C307="","",IFERROR(IF(SUMPRODUCT(MAX((tbl_Finance[Job Number]=C307&amp;"")*(tbl_Finance[Xero Invoice No]&lt;&gt;"")*tbl_Finance[Date]))=0,"",SUMPRODUCT(MAX((tbl_Finance[Job Number]=C307&amp;"")*(tbl_Finance[Xero Invoice No]&lt;&gt;"")*tbl_Finance[Date]))),""))</f>
        <v/>
      </c>
      <c r="B307" s="25">
        <f>IF(C307="","",IF(COUNTIFS(tbl_Finance[Job Number],C307&amp;"",tbl_Finance[Xero Invoice No],"&lt;&gt;")=0,"",IFERROR(IF(COUNTIFS(tbl_Finance[Job Number],C307&amp;"",tbl_Finance[Xero Invoice No],LOOKUP(2,1/((tbl_Finance[Job Number]=C307&amp;"")*(tbl_Finance[Xero Invoice No]&lt;&gt;"")),tbl_Finance[Xero Invoice No]))=COUNTIFS(tbl_Finance[Job Number],C307&amp;"",tbl_Finance[Xero Invoice No],"&lt;&gt;"),LOOKUP(2,1/((tbl_Finance[Job Number]=C307&amp;"")*(tbl_Finance[Xero Invoice No]&lt;&gt;"")),tbl_Finance[Xero Invoice No]),LOOKUP(2,1/((tbl_Finance[Job Number]=C307&amp;"")*(tbl_Finance[Xero Invoice No]&lt;&gt;"")),tbl_Finance[Xero Invoice No])&amp;" +more"),"")))</f>
        <v/>
      </c>
      <c r="C307" s="24" t="n"/>
      <c r="D307" s="25">
        <f>IF(C307="","",IF(COUNTIF(lst_Jobs,C307&amp;"")&gt;0,"OK","CHECK"))</f>
        <v/>
      </c>
      <c r="E307" s="25">
        <f>IF(C307="","",IFERROR(INDEX(lst_JobName,MATCH(C307&amp;"",lst_Jobs,0)),""))</f>
        <v/>
      </c>
      <c r="F307" s="25">
        <f>IF(C307="","",IFERROR(INDEX(tbl_Finance[Client],MATCH(C307&amp;"",tbl_Finance[Job Number],0)),""))</f>
        <v/>
      </c>
      <c r="G307" s="28">
        <f>IF(C307="","",COUNTIFS(tbl_Finance[Job Number],C307&amp;"",tbl_Finance[Ex GST],"&lt;&gt;"))</f>
        <v/>
      </c>
      <c r="H307" s="27">
        <f>IF(C307="","",SUMIFS(tbl_Finance[Ex GST],tbl_Finance[Job Number],C307&amp;""))</f>
        <v/>
      </c>
      <c r="I307" s="27">
        <f>IF(C307="","",SUMIFS(tbl_Finance[Ex GST],tbl_Finance[Job Number],C307&amp;"",tbl_Finance[Xero Invoice No],"&lt;&gt;"))</f>
        <v/>
      </c>
      <c r="J307" s="27">
        <f>IF(C307="","",H307-I307)</f>
        <v/>
      </c>
      <c r="K307" s="25">
        <f>IF(C307="","",IF(G307=0,"not invoiced yet",SUBSTITUTE(TRIM(IF(COUNTIFS(tbl_Finance[Job Number],C307&amp;"",tbl_Finance[Cost Centre],"ONSITE")&gt;0,"ONSITE ","")&amp;IF(COUNTIFS(tbl_Finance[Job Number],C307&amp;"",tbl_Finance[Cost Centre],"PRODUCTION")&gt;0,"PRODUCTION ","")&amp;IF(COUNTIFS(tbl_Finance[Job Number],C307&amp;"",tbl_Finance[Cost Centre],"VIDEO")&gt;0,"VIDEO ","")&amp;IF(COUNTIFS(tbl_Finance[Job Number],C307&amp;"",tbl_Finance[Cost Centre],"INTEGRATION")&gt;0,"INTEGRATION ","")&amp;IF(COUNTIFS(tbl_Finance[Job Number],C307&amp;"",tbl_Finance[Cost Centre],"CONSULTING")&gt;0,"CONSULTING ","")&amp;IF(COUNTIFS(tbl_Finance[Job Number],C307&amp;"",tbl_Finance[Cost Centre],"CTS")&gt;0,"CTS ",""))," ",", ")))</f>
        <v/>
      </c>
      <c r="L307" s="27">
        <f>IF(C307="","",SUMIFS(tbl_Finance[Inc GST],tbl_Finance[Job Number],C307&amp;""))</f>
        <v/>
      </c>
      <c r="M307" s="24" t="n"/>
      <c r="N307" s="25">
        <f>IF(C307="","",IFERROR(INDEX(tbl_Finance[Description],MATCH(C307&amp;"",tbl_Finance[Job Number],0)),""))</f>
        <v/>
      </c>
      <c r="O307" s="24" t="n"/>
      <c r="P307" s="24" t="n"/>
      <c r="Q307" s="22" t="n"/>
      <c r="R307" s="24" t="n"/>
      <c r="S307" s="25">
        <f>IF(R307="","",IF(AND(LEFT(R307,4)&lt;&gt;"http",set_RMSBase=""),"",HYPERLINK(IF(LEFT(R307,4)="http",R307,set_RMSBase&amp;R307),"Open opportunity")))</f>
        <v/>
      </c>
      <c r="T307" s="24" t="n"/>
      <c r="U307" s="25">
        <f>IF(T307="","",HYPERLINK(IF(LEFT(T307,4)="http",T307,set_QwilrBase&amp;T307),"Open quote"))</f>
        <v/>
      </c>
      <c r="V307" s="25">
        <f>IF(C307="","",C307)</f>
        <v/>
      </c>
      <c r="W307" s="24" t="n"/>
      <c r="X307" s="26" t="n"/>
      <c r="Y307" s="27">
        <f>IF(C307="","",H307+N(X307))</f>
        <v/>
      </c>
      <c r="Z307" s="29">
        <f>IFERROR(X307/Y307,"")</f>
        <v/>
      </c>
      <c r="AA307" s="26" t="n"/>
      <c r="AB307" s="26" t="n"/>
      <c r="AC307" s="26" t="n"/>
      <c r="AD307" s="26" t="n"/>
      <c r="AE307" s="27">
        <f>IF(C307="","",SUMIFS(tbl_Finance[Ex GST],tbl_Finance[Job Number],C307&amp;"",tbl_Finance[Cost Centre],"VIDEO"))</f>
        <v/>
      </c>
      <c r="AF307" s="29">
        <f>IFERROR(AE307/H307,"")</f>
        <v/>
      </c>
      <c r="AG307" s="27">
        <f>IF(C307="","",N(AA307)+N(AB307)+N(AC307)+N(AD307))</f>
        <v/>
      </c>
      <c r="AH307" s="27">
        <f>IF(C307="","",H307-AG307)</f>
        <v/>
      </c>
      <c r="AI307" s="29">
        <f>IFERROR(AH307/H307,"")</f>
        <v/>
      </c>
      <c r="AJ307" s="69" t="n"/>
      <c r="AK307" s="69" t="n"/>
      <c r="AL307" s="69" t="n"/>
      <c r="AM307" s="69" t="n"/>
      <c r="AN307" s="69" t="n"/>
      <c r="AO307" s="24" t="n"/>
    </row>
    <row r="308" ht="15" customHeight="1">
      <c r="A308" s="68">
        <f>IF(C308="","",IFERROR(IF(SUMPRODUCT(MAX((tbl_Finance[Job Number]=C308&amp;"")*(tbl_Finance[Xero Invoice No]&lt;&gt;"")*tbl_Finance[Date]))=0,"",SUMPRODUCT(MAX((tbl_Finance[Job Number]=C308&amp;"")*(tbl_Finance[Xero Invoice No]&lt;&gt;"")*tbl_Finance[Date]))),""))</f>
        <v/>
      </c>
      <c r="B308" s="25">
        <f>IF(C308="","",IF(COUNTIFS(tbl_Finance[Job Number],C308&amp;"",tbl_Finance[Xero Invoice No],"&lt;&gt;")=0,"",IFERROR(IF(COUNTIFS(tbl_Finance[Job Number],C308&amp;"",tbl_Finance[Xero Invoice No],LOOKUP(2,1/((tbl_Finance[Job Number]=C308&amp;"")*(tbl_Finance[Xero Invoice No]&lt;&gt;"")),tbl_Finance[Xero Invoice No]))=COUNTIFS(tbl_Finance[Job Number],C308&amp;"",tbl_Finance[Xero Invoice No],"&lt;&gt;"),LOOKUP(2,1/((tbl_Finance[Job Number]=C308&amp;"")*(tbl_Finance[Xero Invoice No]&lt;&gt;"")),tbl_Finance[Xero Invoice No]),LOOKUP(2,1/((tbl_Finance[Job Number]=C308&amp;"")*(tbl_Finance[Xero Invoice No]&lt;&gt;"")),tbl_Finance[Xero Invoice No])&amp;" +more"),"")))</f>
        <v/>
      </c>
      <c r="C308" s="24" t="n"/>
      <c r="D308" s="25">
        <f>IF(C308="","",IF(COUNTIF(lst_Jobs,C308&amp;"")&gt;0,"OK","CHECK"))</f>
        <v/>
      </c>
      <c r="E308" s="25">
        <f>IF(C308="","",IFERROR(INDEX(lst_JobName,MATCH(C308&amp;"",lst_Jobs,0)),""))</f>
        <v/>
      </c>
      <c r="F308" s="25">
        <f>IF(C308="","",IFERROR(INDEX(tbl_Finance[Client],MATCH(C308&amp;"",tbl_Finance[Job Number],0)),""))</f>
        <v/>
      </c>
      <c r="G308" s="28">
        <f>IF(C308="","",COUNTIFS(tbl_Finance[Job Number],C308&amp;"",tbl_Finance[Ex GST],"&lt;&gt;"))</f>
        <v/>
      </c>
      <c r="H308" s="27">
        <f>IF(C308="","",SUMIFS(tbl_Finance[Ex GST],tbl_Finance[Job Number],C308&amp;""))</f>
        <v/>
      </c>
      <c r="I308" s="27">
        <f>IF(C308="","",SUMIFS(tbl_Finance[Ex GST],tbl_Finance[Job Number],C308&amp;"",tbl_Finance[Xero Invoice No],"&lt;&gt;"))</f>
        <v/>
      </c>
      <c r="J308" s="27">
        <f>IF(C308="","",H308-I308)</f>
        <v/>
      </c>
      <c r="K308" s="25">
        <f>IF(C308="","",IF(G308=0,"not invoiced yet",SUBSTITUTE(TRIM(IF(COUNTIFS(tbl_Finance[Job Number],C308&amp;"",tbl_Finance[Cost Centre],"ONSITE")&gt;0,"ONSITE ","")&amp;IF(COUNTIFS(tbl_Finance[Job Number],C308&amp;"",tbl_Finance[Cost Centre],"PRODUCTION")&gt;0,"PRODUCTION ","")&amp;IF(COUNTIFS(tbl_Finance[Job Number],C308&amp;"",tbl_Finance[Cost Centre],"VIDEO")&gt;0,"VIDEO ","")&amp;IF(COUNTIFS(tbl_Finance[Job Number],C308&amp;"",tbl_Finance[Cost Centre],"INTEGRATION")&gt;0,"INTEGRATION ","")&amp;IF(COUNTIFS(tbl_Finance[Job Number],C308&amp;"",tbl_Finance[Cost Centre],"CONSULTING")&gt;0,"CONSULTING ","")&amp;IF(COUNTIFS(tbl_Finance[Job Number],C308&amp;"",tbl_Finance[Cost Centre],"CTS")&gt;0,"CTS ",""))," ",", ")))</f>
        <v/>
      </c>
      <c r="L308" s="27">
        <f>IF(C308="","",SUMIFS(tbl_Finance[Inc GST],tbl_Finance[Job Number],C308&amp;""))</f>
        <v/>
      </c>
      <c r="M308" s="24" t="n"/>
      <c r="N308" s="25">
        <f>IF(C308="","",IFERROR(INDEX(tbl_Finance[Description],MATCH(C308&amp;"",tbl_Finance[Job Number],0)),""))</f>
        <v/>
      </c>
      <c r="O308" s="24" t="n"/>
      <c r="P308" s="24" t="n"/>
      <c r="Q308" s="22" t="n"/>
      <c r="R308" s="24" t="n"/>
      <c r="S308" s="25">
        <f>IF(R308="","",IF(AND(LEFT(R308,4)&lt;&gt;"http",set_RMSBase=""),"",HYPERLINK(IF(LEFT(R308,4)="http",R308,set_RMSBase&amp;R308),"Open opportunity")))</f>
        <v/>
      </c>
      <c r="T308" s="24" t="n"/>
      <c r="U308" s="25">
        <f>IF(T308="","",HYPERLINK(IF(LEFT(T308,4)="http",T308,set_QwilrBase&amp;T308),"Open quote"))</f>
        <v/>
      </c>
      <c r="V308" s="25">
        <f>IF(C308="","",C308)</f>
        <v/>
      </c>
      <c r="W308" s="24" t="n"/>
      <c r="X308" s="26" t="n"/>
      <c r="Y308" s="27">
        <f>IF(C308="","",H308+N(X308))</f>
        <v/>
      </c>
      <c r="Z308" s="29">
        <f>IFERROR(X308/Y308,"")</f>
        <v/>
      </c>
      <c r="AA308" s="26" t="n"/>
      <c r="AB308" s="26" t="n"/>
      <c r="AC308" s="26" t="n"/>
      <c r="AD308" s="26" t="n"/>
      <c r="AE308" s="27">
        <f>IF(C308="","",SUMIFS(tbl_Finance[Ex GST],tbl_Finance[Job Number],C308&amp;"",tbl_Finance[Cost Centre],"VIDEO"))</f>
        <v/>
      </c>
      <c r="AF308" s="29">
        <f>IFERROR(AE308/H308,"")</f>
        <v/>
      </c>
      <c r="AG308" s="27">
        <f>IF(C308="","",N(AA308)+N(AB308)+N(AC308)+N(AD308))</f>
        <v/>
      </c>
      <c r="AH308" s="27">
        <f>IF(C308="","",H308-AG308)</f>
        <v/>
      </c>
      <c r="AI308" s="29">
        <f>IFERROR(AH308/H308,"")</f>
        <v/>
      </c>
      <c r="AJ308" s="69" t="n"/>
      <c r="AK308" s="69" t="n"/>
      <c r="AL308" s="69" t="n"/>
      <c r="AM308" s="69" t="n"/>
      <c r="AN308" s="69" t="n"/>
      <c r="AO308" s="24" t="n"/>
    </row>
    <row r="309" ht="15" customHeight="1">
      <c r="A309" s="68">
        <f>IF(C309="","",IFERROR(IF(SUMPRODUCT(MAX((tbl_Finance[Job Number]=C309&amp;"")*(tbl_Finance[Xero Invoice No]&lt;&gt;"")*tbl_Finance[Date]))=0,"",SUMPRODUCT(MAX((tbl_Finance[Job Number]=C309&amp;"")*(tbl_Finance[Xero Invoice No]&lt;&gt;"")*tbl_Finance[Date]))),""))</f>
        <v/>
      </c>
      <c r="B309" s="25">
        <f>IF(C309="","",IF(COUNTIFS(tbl_Finance[Job Number],C309&amp;"",tbl_Finance[Xero Invoice No],"&lt;&gt;")=0,"",IFERROR(IF(COUNTIFS(tbl_Finance[Job Number],C309&amp;"",tbl_Finance[Xero Invoice No],LOOKUP(2,1/((tbl_Finance[Job Number]=C309&amp;"")*(tbl_Finance[Xero Invoice No]&lt;&gt;"")),tbl_Finance[Xero Invoice No]))=COUNTIFS(tbl_Finance[Job Number],C309&amp;"",tbl_Finance[Xero Invoice No],"&lt;&gt;"),LOOKUP(2,1/((tbl_Finance[Job Number]=C309&amp;"")*(tbl_Finance[Xero Invoice No]&lt;&gt;"")),tbl_Finance[Xero Invoice No]),LOOKUP(2,1/((tbl_Finance[Job Number]=C309&amp;"")*(tbl_Finance[Xero Invoice No]&lt;&gt;"")),tbl_Finance[Xero Invoice No])&amp;" +more"),"")))</f>
        <v/>
      </c>
      <c r="C309" s="24" t="n"/>
      <c r="D309" s="25">
        <f>IF(C309="","",IF(COUNTIF(lst_Jobs,C309&amp;"")&gt;0,"OK","CHECK"))</f>
        <v/>
      </c>
      <c r="E309" s="25">
        <f>IF(C309="","",IFERROR(INDEX(lst_JobName,MATCH(C309&amp;"",lst_Jobs,0)),""))</f>
        <v/>
      </c>
      <c r="F309" s="25">
        <f>IF(C309="","",IFERROR(INDEX(tbl_Finance[Client],MATCH(C309&amp;"",tbl_Finance[Job Number],0)),""))</f>
        <v/>
      </c>
      <c r="G309" s="28">
        <f>IF(C309="","",COUNTIFS(tbl_Finance[Job Number],C309&amp;"",tbl_Finance[Ex GST],"&lt;&gt;"))</f>
        <v/>
      </c>
      <c r="H309" s="27">
        <f>IF(C309="","",SUMIFS(tbl_Finance[Ex GST],tbl_Finance[Job Number],C309&amp;""))</f>
        <v/>
      </c>
      <c r="I309" s="27">
        <f>IF(C309="","",SUMIFS(tbl_Finance[Ex GST],tbl_Finance[Job Number],C309&amp;"",tbl_Finance[Xero Invoice No],"&lt;&gt;"))</f>
        <v/>
      </c>
      <c r="J309" s="27">
        <f>IF(C309="","",H309-I309)</f>
        <v/>
      </c>
      <c r="K309" s="25">
        <f>IF(C309="","",IF(G309=0,"not invoiced yet",SUBSTITUTE(TRIM(IF(COUNTIFS(tbl_Finance[Job Number],C309&amp;"",tbl_Finance[Cost Centre],"ONSITE")&gt;0,"ONSITE ","")&amp;IF(COUNTIFS(tbl_Finance[Job Number],C309&amp;"",tbl_Finance[Cost Centre],"PRODUCTION")&gt;0,"PRODUCTION ","")&amp;IF(COUNTIFS(tbl_Finance[Job Number],C309&amp;"",tbl_Finance[Cost Centre],"VIDEO")&gt;0,"VIDEO ","")&amp;IF(COUNTIFS(tbl_Finance[Job Number],C309&amp;"",tbl_Finance[Cost Centre],"INTEGRATION")&gt;0,"INTEGRATION ","")&amp;IF(COUNTIFS(tbl_Finance[Job Number],C309&amp;"",tbl_Finance[Cost Centre],"CONSULTING")&gt;0,"CONSULTING ","")&amp;IF(COUNTIFS(tbl_Finance[Job Number],C309&amp;"",tbl_Finance[Cost Centre],"CTS")&gt;0,"CTS ",""))," ",", ")))</f>
        <v/>
      </c>
      <c r="L309" s="27">
        <f>IF(C309="","",SUMIFS(tbl_Finance[Inc GST],tbl_Finance[Job Number],C309&amp;""))</f>
        <v/>
      </c>
      <c r="M309" s="24" t="n"/>
      <c r="N309" s="25">
        <f>IF(C309="","",IFERROR(INDEX(tbl_Finance[Description],MATCH(C309&amp;"",tbl_Finance[Job Number],0)),""))</f>
        <v/>
      </c>
      <c r="O309" s="24" t="n"/>
      <c r="P309" s="24" t="n"/>
      <c r="Q309" s="22" t="n"/>
      <c r="R309" s="24" t="n"/>
      <c r="S309" s="25">
        <f>IF(R309="","",IF(AND(LEFT(R309,4)&lt;&gt;"http",set_RMSBase=""),"",HYPERLINK(IF(LEFT(R309,4)="http",R309,set_RMSBase&amp;R309),"Open opportunity")))</f>
        <v/>
      </c>
      <c r="T309" s="24" t="n"/>
      <c r="U309" s="25">
        <f>IF(T309="","",HYPERLINK(IF(LEFT(T309,4)="http",T309,set_QwilrBase&amp;T309),"Open quote"))</f>
        <v/>
      </c>
      <c r="V309" s="25">
        <f>IF(C309="","",C309)</f>
        <v/>
      </c>
      <c r="W309" s="24" t="n"/>
      <c r="X309" s="26" t="n"/>
      <c r="Y309" s="27">
        <f>IF(C309="","",H309+N(X309))</f>
        <v/>
      </c>
      <c r="Z309" s="29">
        <f>IFERROR(X309/Y309,"")</f>
        <v/>
      </c>
      <c r="AA309" s="26" t="n"/>
      <c r="AB309" s="26" t="n"/>
      <c r="AC309" s="26" t="n"/>
      <c r="AD309" s="26" t="n"/>
      <c r="AE309" s="27">
        <f>IF(C309="","",SUMIFS(tbl_Finance[Ex GST],tbl_Finance[Job Number],C309&amp;"",tbl_Finance[Cost Centre],"VIDEO"))</f>
        <v/>
      </c>
      <c r="AF309" s="29">
        <f>IFERROR(AE309/H309,"")</f>
        <v/>
      </c>
      <c r="AG309" s="27">
        <f>IF(C309="","",N(AA309)+N(AB309)+N(AC309)+N(AD309))</f>
        <v/>
      </c>
      <c r="AH309" s="27">
        <f>IF(C309="","",H309-AG309)</f>
        <v/>
      </c>
      <c r="AI309" s="29">
        <f>IFERROR(AH309/H309,"")</f>
        <v/>
      </c>
      <c r="AJ309" s="69" t="n"/>
      <c r="AK309" s="69" t="n"/>
      <c r="AL309" s="69" t="n"/>
      <c r="AM309" s="69" t="n"/>
      <c r="AN309" s="69" t="n"/>
      <c r="AO309" s="24" t="n"/>
    </row>
    <row r="310" ht="15" customHeight="1">
      <c r="A310" s="68">
        <f>IF(C310="","",IFERROR(IF(SUMPRODUCT(MAX((tbl_Finance[Job Number]=C310&amp;"")*(tbl_Finance[Xero Invoice No]&lt;&gt;"")*tbl_Finance[Date]))=0,"",SUMPRODUCT(MAX((tbl_Finance[Job Number]=C310&amp;"")*(tbl_Finance[Xero Invoice No]&lt;&gt;"")*tbl_Finance[Date]))),""))</f>
        <v/>
      </c>
      <c r="B310" s="25">
        <f>IF(C310="","",IF(COUNTIFS(tbl_Finance[Job Number],C310&amp;"",tbl_Finance[Xero Invoice No],"&lt;&gt;")=0,"",IFERROR(IF(COUNTIFS(tbl_Finance[Job Number],C310&amp;"",tbl_Finance[Xero Invoice No],LOOKUP(2,1/((tbl_Finance[Job Number]=C310&amp;"")*(tbl_Finance[Xero Invoice No]&lt;&gt;"")),tbl_Finance[Xero Invoice No]))=COUNTIFS(tbl_Finance[Job Number],C310&amp;"",tbl_Finance[Xero Invoice No],"&lt;&gt;"),LOOKUP(2,1/((tbl_Finance[Job Number]=C310&amp;"")*(tbl_Finance[Xero Invoice No]&lt;&gt;"")),tbl_Finance[Xero Invoice No]),LOOKUP(2,1/((tbl_Finance[Job Number]=C310&amp;"")*(tbl_Finance[Xero Invoice No]&lt;&gt;"")),tbl_Finance[Xero Invoice No])&amp;" +more"),"")))</f>
        <v/>
      </c>
      <c r="C310" s="24" t="n"/>
      <c r="D310" s="25">
        <f>IF(C310="","",IF(COUNTIF(lst_Jobs,C310&amp;"")&gt;0,"OK","CHECK"))</f>
        <v/>
      </c>
      <c r="E310" s="25">
        <f>IF(C310="","",IFERROR(INDEX(lst_JobName,MATCH(C310&amp;"",lst_Jobs,0)),""))</f>
        <v/>
      </c>
      <c r="F310" s="25">
        <f>IF(C310="","",IFERROR(INDEX(tbl_Finance[Client],MATCH(C310&amp;"",tbl_Finance[Job Number],0)),""))</f>
        <v/>
      </c>
      <c r="G310" s="28">
        <f>IF(C310="","",COUNTIFS(tbl_Finance[Job Number],C310&amp;"",tbl_Finance[Ex GST],"&lt;&gt;"))</f>
        <v/>
      </c>
      <c r="H310" s="27">
        <f>IF(C310="","",SUMIFS(tbl_Finance[Ex GST],tbl_Finance[Job Number],C310&amp;""))</f>
        <v/>
      </c>
      <c r="I310" s="27">
        <f>IF(C310="","",SUMIFS(tbl_Finance[Ex GST],tbl_Finance[Job Number],C310&amp;"",tbl_Finance[Xero Invoice No],"&lt;&gt;"))</f>
        <v/>
      </c>
      <c r="J310" s="27">
        <f>IF(C310="","",H310-I310)</f>
        <v/>
      </c>
      <c r="K310" s="25">
        <f>IF(C310="","",IF(G310=0,"not invoiced yet",SUBSTITUTE(TRIM(IF(COUNTIFS(tbl_Finance[Job Number],C310&amp;"",tbl_Finance[Cost Centre],"ONSITE")&gt;0,"ONSITE ","")&amp;IF(COUNTIFS(tbl_Finance[Job Number],C310&amp;"",tbl_Finance[Cost Centre],"PRODUCTION")&gt;0,"PRODUCTION ","")&amp;IF(COUNTIFS(tbl_Finance[Job Number],C310&amp;"",tbl_Finance[Cost Centre],"VIDEO")&gt;0,"VIDEO ","")&amp;IF(COUNTIFS(tbl_Finance[Job Number],C310&amp;"",tbl_Finance[Cost Centre],"INTEGRATION")&gt;0,"INTEGRATION ","")&amp;IF(COUNTIFS(tbl_Finance[Job Number],C310&amp;"",tbl_Finance[Cost Centre],"CONSULTING")&gt;0,"CONSULTING ","")&amp;IF(COUNTIFS(tbl_Finance[Job Number],C310&amp;"",tbl_Finance[Cost Centre],"CTS")&gt;0,"CTS ",""))," ",", ")))</f>
        <v/>
      </c>
      <c r="L310" s="27">
        <f>IF(C310="","",SUMIFS(tbl_Finance[Inc GST],tbl_Finance[Job Number],C310&amp;""))</f>
        <v/>
      </c>
      <c r="M310" s="24" t="n"/>
      <c r="N310" s="25">
        <f>IF(C310="","",IFERROR(INDEX(tbl_Finance[Description],MATCH(C310&amp;"",tbl_Finance[Job Number],0)),""))</f>
        <v/>
      </c>
      <c r="O310" s="24" t="n"/>
      <c r="P310" s="24" t="n"/>
      <c r="Q310" s="22" t="n"/>
      <c r="R310" s="24" t="n"/>
      <c r="S310" s="25">
        <f>IF(R310="","",IF(AND(LEFT(R310,4)&lt;&gt;"http",set_RMSBase=""),"",HYPERLINK(IF(LEFT(R310,4)="http",R310,set_RMSBase&amp;R310),"Open opportunity")))</f>
        <v/>
      </c>
      <c r="T310" s="24" t="n"/>
      <c r="U310" s="25">
        <f>IF(T310="","",HYPERLINK(IF(LEFT(T310,4)="http",T310,set_QwilrBase&amp;T310),"Open quote"))</f>
        <v/>
      </c>
      <c r="V310" s="25">
        <f>IF(C310="","",C310)</f>
        <v/>
      </c>
      <c r="W310" s="24" t="n"/>
      <c r="X310" s="26" t="n"/>
      <c r="Y310" s="27">
        <f>IF(C310="","",H310+N(X310))</f>
        <v/>
      </c>
      <c r="Z310" s="29">
        <f>IFERROR(X310/Y310,"")</f>
        <v/>
      </c>
      <c r="AA310" s="26" t="n"/>
      <c r="AB310" s="26" t="n"/>
      <c r="AC310" s="26" t="n"/>
      <c r="AD310" s="26" t="n"/>
      <c r="AE310" s="27">
        <f>IF(C310="","",SUMIFS(tbl_Finance[Ex GST],tbl_Finance[Job Number],C310&amp;"",tbl_Finance[Cost Centre],"VIDEO"))</f>
        <v/>
      </c>
      <c r="AF310" s="29">
        <f>IFERROR(AE310/H310,"")</f>
        <v/>
      </c>
      <c r="AG310" s="27">
        <f>IF(C310="","",N(AA310)+N(AB310)+N(AC310)+N(AD310))</f>
        <v/>
      </c>
      <c r="AH310" s="27">
        <f>IF(C310="","",H310-AG310)</f>
        <v/>
      </c>
      <c r="AI310" s="29">
        <f>IFERROR(AH310/H310,"")</f>
        <v/>
      </c>
      <c r="AJ310" s="69" t="n"/>
      <c r="AK310" s="69" t="n"/>
      <c r="AL310" s="69" t="n"/>
      <c r="AM310" s="69" t="n"/>
      <c r="AN310" s="69" t="n"/>
      <c r="AO310" s="24" t="n"/>
    </row>
    <row r="311" ht="15" customHeight="1">
      <c r="A311" s="68">
        <f>IF(C311="","",IFERROR(IF(SUMPRODUCT(MAX((tbl_Finance[Job Number]=C311&amp;"")*(tbl_Finance[Xero Invoice No]&lt;&gt;"")*tbl_Finance[Date]))=0,"",SUMPRODUCT(MAX((tbl_Finance[Job Number]=C311&amp;"")*(tbl_Finance[Xero Invoice No]&lt;&gt;"")*tbl_Finance[Date]))),""))</f>
        <v/>
      </c>
      <c r="B311" s="25">
        <f>IF(C311="","",IF(COUNTIFS(tbl_Finance[Job Number],C311&amp;"",tbl_Finance[Xero Invoice No],"&lt;&gt;")=0,"",IFERROR(IF(COUNTIFS(tbl_Finance[Job Number],C311&amp;"",tbl_Finance[Xero Invoice No],LOOKUP(2,1/((tbl_Finance[Job Number]=C311&amp;"")*(tbl_Finance[Xero Invoice No]&lt;&gt;"")),tbl_Finance[Xero Invoice No]))=COUNTIFS(tbl_Finance[Job Number],C311&amp;"",tbl_Finance[Xero Invoice No],"&lt;&gt;"),LOOKUP(2,1/((tbl_Finance[Job Number]=C311&amp;"")*(tbl_Finance[Xero Invoice No]&lt;&gt;"")),tbl_Finance[Xero Invoice No]),LOOKUP(2,1/((tbl_Finance[Job Number]=C311&amp;"")*(tbl_Finance[Xero Invoice No]&lt;&gt;"")),tbl_Finance[Xero Invoice No])&amp;" +more"),"")))</f>
        <v/>
      </c>
      <c r="C311" s="24" t="n"/>
      <c r="D311" s="25">
        <f>IF(C311="","",IF(COUNTIF(lst_Jobs,C311&amp;"")&gt;0,"OK","CHECK"))</f>
        <v/>
      </c>
      <c r="E311" s="25">
        <f>IF(C311="","",IFERROR(INDEX(lst_JobName,MATCH(C311&amp;"",lst_Jobs,0)),""))</f>
        <v/>
      </c>
      <c r="F311" s="25">
        <f>IF(C311="","",IFERROR(INDEX(tbl_Finance[Client],MATCH(C311&amp;"",tbl_Finance[Job Number],0)),""))</f>
        <v/>
      </c>
      <c r="G311" s="28">
        <f>IF(C311="","",COUNTIFS(tbl_Finance[Job Number],C311&amp;"",tbl_Finance[Ex GST],"&lt;&gt;"))</f>
        <v/>
      </c>
      <c r="H311" s="27">
        <f>IF(C311="","",SUMIFS(tbl_Finance[Ex GST],tbl_Finance[Job Number],C311&amp;""))</f>
        <v/>
      </c>
      <c r="I311" s="27">
        <f>IF(C311="","",SUMIFS(tbl_Finance[Ex GST],tbl_Finance[Job Number],C311&amp;"",tbl_Finance[Xero Invoice No],"&lt;&gt;"))</f>
        <v/>
      </c>
      <c r="J311" s="27">
        <f>IF(C311="","",H311-I311)</f>
        <v/>
      </c>
      <c r="K311" s="25">
        <f>IF(C311="","",IF(G311=0,"not invoiced yet",SUBSTITUTE(TRIM(IF(COUNTIFS(tbl_Finance[Job Number],C311&amp;"",tbl_Finance[Cost Centre],"ONSITE")&gt;0,"ONSITE ","")&amp;IF(COUNTIFS(tbl_Finance[Job Number],C311&amp;"",tbl_Finance[Cost Centre],"PRODUCTION")&gt;0,"PRODUCTION ","")&amp;IF(COUNTIFS(tbl_Finance[Job Number],C311&amp;"",tbl_Finance[Cost Centre],"VIDEO")&gt;0,"VIDEO ","")&amp;IF(COUNTIFS(tbl_Finance[Job Number],C311&amp;"",tbl_Finance[Cost Centre],"INTEGRATION")&gt;0,"INTEGRATION ","")&amp;IF(COUNTIFS(tbl_Finance[Job Number],C311&amp;"",tbl_Finance[Cost Centre],"CONSULTING")&gt;0,"CONSULTING ","")&amp;IF(COUNTIFS(tbl_Finance[Job Number],C311&amp;"",tbl_Finance[Cost Centre],"CTS")&gt;0,"CTS ",""))," ",", ")))</f>
        <v/>
      </c>
      <c r="L311" s="27">
        <f>IF(C311="","",SUMIFS(tbl_Finance[Inc GST],tbl_Finance[Job Number],C311&amp;""))</f>
        <v/>
      </c>
      <c r="M311" s="24" t="n"/>
      <c r="N311" s="25">
        <f>IF(C311="","",IFERROR(INDEX(tbl_Finance[Description],MATCH(C311&amp;"",tbl_Finance[Job Number],0)),""))</f>
        <v/>
      </c>
      <c r="O311" s="24" t="n"/>
      <c r="P311" s="24" t="n"/>
      <c r="Q311" s="22" t="n"/>
      <c r="R311" s="24" t="n"/>
      <c r="S311" s="25">
        <f>IF(R311="","",IF(AND(LEFT(R311,4)&lt;&gt;"http",set_RMSBase=""),"",HYPERLINK(IF(LEFT(R311,4)="http",R311,set_RMSBase&amp;R311),"Open opportunity")))</f>
        <v/>
      </c>
      <c r="T311" s="24" t="n"/>
      <c r="U311" s="25">
        <f>IF(T311="","",HYPERLINK(IF(LEFT(T311,4)="http",T311,set_QwilrBase&amp;T311),"Open quote"))</f>
        <v/>
      </c>
      <c r="V311" s="25">
        <f>IF(C311="","",C311)</f>
        <v/>
      </c>
      <c r="W311" s="24" t="n"/>
      <c r="X311" s="26" t="n"/>
      <c r="Y311" s="27">
        <f>IF(C311="","",H311+N(X311))</f>
        <v/>
      </c>
      <c r="Z311" s="29">
        <f>IFERROR(X311/Y311,"")</f>
        <v/>
      </c>
      <c r="AA311" s="26" t="n"/>
      <c r="AB311" s="26" t="n"/>
      <c r="AC311" s="26" t="n"/>
      <c r="AD311" s="26" t="n"/>
      <c r="AE311" s="27">
        <f>IF(C311="","",SUMIFS(tbl_Finance[Ex GST],tbl_Finance[Job Number],C311&amp;"",tbl_Finance[Cost Centre],"VIDEO"))</f>
        <v/>
      </c>
      <c r="AF311" s="29">
        <f>IFERROR(AE311/H311,"")</f>
        <v/>
      </c>
      <c r="AG311" s="27">
        <f>IF(C311="","",N(AA311)+N(AB311)+N(AC311)+N(AD311))</f>
        <v/>
      </c>
      <c r="AH311" s="27">
        <f>IF(C311="","",H311-AG311)</f>
        <v/>
      </c>
      <c r="AI311" s="29">
        <f>IFERROR(AH311/H311,"")</f>
        <v/>
      </c>
      <c r="AJ311" s="69" t="n"/>
      <c r="AK311" s="69" t="n"/>
      <c r="AL311" s="69" t="n"/>
      <c r="AM311" s="69" t="n"/>
      <c r="AN311" s="69" t="n"/>
      <c r="AO311" s="24" t="n"/>
    </row>
    <row r="312" ht="15" customHeight="1">
      <c r="A312" s="68">
        <f>IF(C312="","",IFERROR(IF(SUMPRODUCT(MAX((tbl_Finance[Job Number]=C312&amp;"")*(tbl_Finance[Xero Invoice No]&lt;&gt;"")*tbl_Finance[Date]))=0,"",SUMPRODUCT(MAX((tbl_Finance[Job Number]=C312&amp;"")*(tbl_Finance[Xero Invoice No]&lt;&gt;"")*tbl_Finance[Date]))),""))</f>
        <v/>
      </c>
      <c r="B312" s="25">
        <f>IF(C312="","",IF(COUNTIFS(tbl_Finance[Job Number],C312&amp;"",tbl_Finance[Xero Invoice No],"&lt;&gt;")=0,"",IFERROR(IF(COUNTIFS(tbl_Finance[Job Number],C312&amp;"",tbl_Finance[Xero Invoice No],LOOKUP(2,1/((tbl_Finance[Job Number]=C312&amp;"")*(tbl_Finance[Xero Invoice No]&lt;&gt;"")),tbl_Finance[Xero Invoice No]))=COUNTIFS(tbl_Finance[Job Number],C312&amp;"",tbl_Finance[Xero Invoice No],"&lt;&gt;"),LOOKUP(2,1/((tbl_Finance[Job Number]=C312&amp;"")*(tbl_Finance[Xero Invoice No]&lt;&gt;"")),tbl_Finance[Xero Invoice No]),LOOKUP(2,1/((tbl_Finance[Job Number]=C312&amp;"")*(tbl_Finance[Xero Invoice No]&lt;&gt;"")),tbl_Finance[Xero Invoice No])&amp;" +more"),"")))</f>
        <v/>
      </c>
      <c r="C312" s="24" t="n"/>
      <c r="D312" s="25">
        <f>IF(C312="","",IF(COUNTIF(lst_Jobs,C312&amp;"")&gt;0,"OK","CHECK"))</f>
        <v/>
      </c>
      <c r="E312" s="25">
        <f>IF(C312="","",IFERROR(INDEX(lst_JobName,MATCH(C312&amp;"",lst_Jobs,0)),""))</f>
        <v/>
      </c>
      <c r="F312" s="25">
        <f>IF(C312="","",IFERROR(INDEX(tbl_Finance[Client],MATCH(C312&amp;"",tbl_Finance[Job Number],0)),""))</f>
        <v/>
      </c>
      <c r="G312" s="28">
        <f>IF(C312="","",COUNTIFS(tbl_Finance[Job Number],C312&amp;"",tbl_Finance[Ex GST],"&lt;&gt;"))</f>
        <v/>
      </c>
      <c r="H312" s="27">
        <f>IF(C312="","",SUMIFS(tbl_Finance[Ex GST],tbl_Finance[Job Number],C312&amp;""))</f>
        <v/>
      </c>
      <c r="I312" s="27">
        <f>IF(C312="","",SUMIFS(tbl_Finance[Ex GST],tbl_Finance[Job Number],C312&amp;"",tbl_Finance[Xero Invoice No],"&lt;&gt;"))</f>
        <v/>
      </c>
      <c r="J312" s="27">
        <f>IF(C312="","",H312-I312)</f>
        <v/>
      </c>
      <c r="K312" s="25">
        <f>IF(C312="","",IF(G312=0,"not invoiced yet",SUBSTITUTE(TRIM(IF(COUNTIFS(tbl_Finance[Job Number],C312&amp;"",tbl_Finance[Cost Centre],"ONSITE")&gt;0,"ONSITE ","")&amp;IF(COUNTIFS(tbl_Finance[Job Number],C312&amp;"",tbl_Finance[Cost Centre],"PRODUCTION")&gt;0,"PRODUCTION ","")&amp;IF(COUNTIFS(tbl_Finance[Job Number],C312&amp;"",tbl_Finance[Cost Centre],"VIDEO")&gt;0,"VIDEO ","")&amp;IF(COUNTIFS(tbl_Finance[Job Number],C312&amp;"",tbl_Finance[Cost Centre],"INTEGRATION")&gt;0,"INTEGRATION ","")&amp;IF(COUNTIFS(tbl_Finance[Job Number],C312&amp;"",tbl_Finance[Cost Centre],"CONSULTING")&gt;0,"CONSULTING ","")&amp;IF(COUNTIFS(tbl_Finance[Job Number],C312&amp;"",tbl_Finance[Cost Centre],"CTS")&gt;0,"CTS ",""))," ",", ")))</f>
        <v/>
      </c>
      <c r="L312" s="27">
        <f>IF(C312="","",SUMIFS(tbl_Finance[Inc GST],tbl_Finance[Job Number],C312&amp;""))</f>
        <v/>
      </c>
      <c r="M312" s="24" t="n"/>
      <c r="N312" s="25">
        <f>IF(C312="","",IFERROR(INDEX(tbl_Finance[Description],MATCH(C312&amp;"",tbl_Finance[Job Number],0)),""))</f>
        <v/>
      </c>
      <c r="O312" s="24" t="n"/>
      <c r="P312" s="24" t="n"/>
      <c r="Q312" s="22" t="n"/>
      <c r="R312" s="24" t="n"/>
      <c r="S312" s="25">
        <f>IF(R312="","",IF(AND(LEFT(R312,4)&lt;&gt;"http",set_RMSBase=""),"",HYPERLINK(IF(LEFT(R312,4)="http",R312,set_RMSBase&amp;R312),"Open opportunity")))</f>
        <v/>
      </c>
      <c r="T312" s="24" t="n"/>
      <c r="U312" s="25">
        <f>IF(T312="","",HYPERLINK(IF(LEFT(T312,4)="http",T312,set_QwilrBase&amp;T312),"Open quote"))</f>
        <v/>
      </c>
      <c r="V312" s="25">
        <f>IF(C312="","",C312)</f>
        <v/>
      </c>
      <c r="W312" s="24" t="n"/>
      <c r="X312" s="26" t="n"/>
      <c r="Y312" s="27">
        <f>IF(C312="","",H312+N(X312))</f>
        <v/>
      </c>
      <c r="Z312" s="29">
        <f>IFERROR(X312/Y312,"")</f>
        <v/>
      </c>
      <c r="AA312" s="26" t="n"/>
      <c r="AB312" s="26" t="n"/>
      <c r="AC312" s="26" t="n"/>
      <c r="AD312" s="26" t="n"/>
      <c r="AE312" s="27">
        <f>IF(C312="","",SUMIFS(tbl_Finance[Ex GST],tbl_Finance[Job Number],C312&amp;"",tbl_Finance[Cost Centre],"VIDEO"))</f>
        <v/>
      </c>
      <c r="AF312" s="29">
        <f>IFERROR(AE312/H312,"")</f>
        <v/>
      </c>
      <c r="AG312" s="27">
        <f>IF(C312="","",N(AA312)+N(AB312)+N(AC312)+N(AD312))</f>
        <v/>
      </c>
      <c r="AH312" s="27">
        <f>IF(C312="","",H312-AG312)</f>
        <v/>
      </c>
      <c r="AI312" s="29">
        <f>IFERROR(AH312/H312,"")</f>
        <v/>
      </c>
      <c r="AJ312" s="69" t="n"/>
      <c r="AK312" s="69" t="n"/>
      <c r="AL312" s="69" t="n"/>
      <c r="AM312" s="69" t="n"/>
      <c r="AN312" s="69" t="n"/>
      <c r="AO312" s="24" t="n"/>
    </row>
    <row r="313" ht="15" customHeight="1">
      <c r="A313" s="68">
        <f>IF(C313="","",IFERROR(IF(SUMPRODUCT(MAX((tbl_Finance[Job Number]=C313&amp;"")*(tbl_Finance[Xero Invoice No]&lt;&gt;"")*tbl_Finance[Date]))=0,"",SUMPRODUCT(MAX((tbl_Finance[Job Number]=C313&amp;"")*(tbl_Finance[Xero Invoice No]&lt;&gt;"")*tbl_Finance[Date]))),""))</f>
        <v/>
      </c>
      <c r="B313" s="25">
        <f>IF(C313="","",IF(COUNTIFS(tbl_Finance[Job Number],C313&amp;"",tbl_Finance[Xero Invoice No],"&lt;&gt;")=0,"",IFERROR(IF(COUNTIFS(tbl_Finance[Job Number],C313&amp;"",tbl_Finance[Xero Invoice No],LOOKUP(2,1/((tbl_Finance[Job Number]=C313&amp;"")*(tbl_Finance[Xero Invoice No]&lt;&gt;"")),tbl_Finance[Xero Invoice No]))=COUNTIFS(tbl_Finance[Job Number],C313&amp;"",tbl_Finance[Xero Invoice No],"&lt;&gt;"),LOOKUP(2,1/((tbl_Finance[Job Number]=C313&amp;"")*(tbl_Finance[Xero Invoice No]&lt;&gt;"")),tbl_Finance[Xero Invoice No]),LOOKUP(2,1/((tbl_Finance[Job Number]=C313&amp;"")*(tbl_Finance[Xero Invoice No]&lt;&gt;"")),tbl_Finance[Xero Invoice No])&amp;" +more"),"")))</f>
        <v/>
      </c>
      <c r="C313" s="24" t="n"/>
      <c r="D313" s="25">
        <f>IF(C313="","",IF(COUNTIF(lst_Jobs,C313&amp;"")&gt;0,"OK","CHECK"))</f>
        <v/>
      </c>
      <c r="E313" s="25">
        <f>IF(C313="","",IFERROR(INDEX(lst_JobName,MATCH(C313&amp;"",lst_Jobs,0)),""))</f>
        <v/>
      </c>
      <c r="F313" s="25">
        <f>IF(C313="","",IFERROR(INDEX(tbl_Finance[Client],MATCH(C313&amp;"",tbl_Finance[Job Number],0)),""))</f>
        <v/>
      </c>
      <c r="G313" s="28">
        <f>IF(C313="","",COUNTIFS(tbl_Finance[Job Number],C313&amp;"",tbl_Finance[Ex GST],"&lt;&gt;"))</f>
        <v/>
      </c>
      <c r="H313" s="27">
        <f>IF(C313="","",SUMIFS(tbl_Finance[Ex GST],tbl_Finance[Job Number],C313&amp;""))</f>
        <v/>
      </c>
      <c r="I313" s="27">
        <f>IF(C313="","",SUMIFS(tbl_Finance[Ex GST],tbl_Finance[Job Number],C313&amp;"",tbl_Finance[Xero Invoice No],"&lt;&gt;"))</f>
        <v/>
      </c>
      <c r="J313" s="27">
        <f>IF(C313="","",H313-I313)</f>
        <v/>
      </c>
      <c r="K313" s="25">
        <f>IF(C313="","",IF(G313=0,"not invoiced yet",SUBSTITUTE(TRIM(IF(COUNTIFS(tbl_Finance[Job Number],C313&amp;"",tbl_Finance[Cost Centre],"ONSITE")&gt;0,"ONSITE ","")&amp;IF(COUNTIFS(tbl_Finance[Job Number],C313&amp;"",tbl_Finance[Cost Centre],"PRODUCTION")&gt;0,"PRODUCTION ","")&amp;IF(COUNTIFS(tbl_Finance[Job Number],C313&amp;"",tbl_Finance[Cost Centre],"VIDEO")&gt;0,"VIDEO ","")&amp;IF(COUNTIFS(tbl_Finance[Job Number],C313&amp;"",tbl_Finance[Cost Centre],"INTEGRATION")&gt;0,"INTEGRATION ","")&amp;IF(COUNTIFS(tbl_Finance[Job Number],C313&amp;"",tbl_Finance[Cost Centre],"CONSULTING")&gt;0,"CONSULTING ","")&amp;IF(COUNTIFS(tbl_Finance[Job Number],C313&amp;"",tbl_Finance[Cost Centre],"CTS")&gt;0,"CTS ",""))," ",", ")))</f>
        <v/>
      </c>
      <c r="L313" s="27">
        <f>IF(C313="","",SUMIFS(tbl_Finance[Inc GST],tbl_Finance[Job Number],C313&amp;""))</f>
        <v/>
      </c>
      <c r="M313" s="24" t="n"/>
      <c r="N313" s="25">
        <f>IF(C313="","",IFERROR(INDEX(tbl_Finance[Description],MATCH(C313&amp;"",tbl_Finance[Job Number],0)),""))</f>
        <v/>
      </c>
      <c r="O313" s="24" t="n"/>
      <c r="P313" s="24" t="n"/>
      <c r="Q313" s="22" t="n"/>
      <c r="R313" s="24" t="n"/>
      <c r="S313" s="25">
        <f>IF(R313="","",IF(AND(LEFT(R313,4)&lt;&gt;"http",set_RMSBase=""),"",HYPERLINK(IF(LEFT(R313,4)="http",R313,set_RMSBase&amp;R313),"Open opportunity")))</f>
        <v/>
      </c>
      <c r="T313" s="24" t="n"/>
      <c r="U313" s="25">
        <f>IF(T313="","",HYPERLINK(IF(LEFT(T313,4)="http",T313,set_QwilrBase&amp;T313),"Open quote"))</f>
        <v/>
      </c>
      <c r="V313" s="25">
        <f>IF(C313="","",C313)</f>
        <v/>
      </c>
      <c r="W313" s="24" t="n"/>
      <c r="X313" s="26" t="n"/>
      <c r="Y313" s="27">
        <f>IF(C313="","",H313+N(X313))</f>
        <v/>
      </c>
      <c r="Z313" s="29">
        <f>IFERROR(X313/Y313,"")</f>
        <v/>
      </c>
      <c r="AA313" s="26" t="n"/>
      <c r="AB313" s="26" t="n"/>
      <c r="AC313" s="26" t="n"/>
      <c r="AD313" s="26" t="n"/>
      <c r="AE313" s="27">
        <f>IF(C313="","",SUMIFS(tbl_Finance[Ex GST],tbl_Finance[Job Number],C313&amp;"",tbl_Finance[Cost Centre],"VIDEO"))</f>
        <v/>
      </c>
      <c r="AF313" s="29">
        <f>IFERROR(AE313/H313,"")</f>
        <v/>
      </c>
      <c r="AG313" s="27">
        <f>IF(C313="","",N(AA313)+N(AB313)+N(AC313)+N(AD313))</f>
        <v/>
      </c>
      <c r="AH313" s="27">
        <f>IF(C313="","",H313-AG313)</f>
        <v/>
      </c>
      <c r="AI313" s="29">
        <f>IFERROR(AH313/H313,"")</f>
        <v/>
      </c>
      <c r="AJ313" s="69" t="n"/>
      <c r="AK313" s="69" t="n"/>
      <c r="AL313" s="69" t="n"/>
      <c r="AM313" s="69" t="n"/>
      <c r="AN313" s="69" t="n"/>
      <c r="AO313" s="24" t="n"/>
    </row>
    <row r="314" ht="15" customHeight="1">
      <c r="A314" s="68">
        <f>IF(C314="","",IFERROR(IF(SUMPRODUCT(MAX((tbl_Finance[Job Number]=C314&amp;"")*(tbl_Finance[Xero Invoice No]&lt;&gt;"")*tbl_Finance[Date]))=0,"",SUMPRODUCT(MAX((tbl_Finance[Job Number]=C314&amp;"")*(tbl_Finance[Xero Invoice No]&lt;&gt;"")*tbl_Finance[Date]))),""))</f>
        <v/>
      </c>
      <c r="B314" s="25">
        <f>IF(C314="","",IF(COUNTIFS(tbl_Finance[Job Number],C314&amp;"",tbl_Finance[Xero Invoice No],"&lt;&gt;")=0,"",IFERROR(IF(COUNTIFS(tbl_Finance[Job Number],C314&amp;"",tbl_Finance[Xero Invoice No],LOOKUP(2,1/((tbl_Finance[Job Number]=C314&amp;"")*(tbl_Finance[Xero Invoice No]&lt;&gt;"")),tbl_Finance[Xero Invoice No]))=COUNTIFS(tbl_Finance[Job Number],C314&amp;"",tbl_Finance[Xero Invoice No],"&lt;&gt;"),LOOKUP(2,1/((tbl_Finance[Job Number]=C314&amp;"")*(tbl_Finance[Xero Invoice No]&lt;&gt;"")),tbl_Finance[Xero Invoice No]),LOOKUP(2,1/((tbl_Finance[Job Number]=C314&amp;"")*(tbl_Finance[Xero Invoice No]&lt;&gt;"")),tbl_Finance[Xero Invoice No])&amp;" +more"),"")))</f>
        <v/>
      </c>
      <c r="C314" s="24" t="n"/>
      <c r="D314" s="25">
        <f>IF(C314="","",IF(COUNTIF(lst_Jobs,C314&amp;"")&gt;0,"OK","CHECK"))</f>
        <v/>
      </c>
      <c r="E314" s="25">
        <f>IF(C314="","",IFERROR(INDEX(lst_JobName,MATCH(C314&amp;"",lst_Jobs,0)),""))</f>
        <v/>
      </c>
      <c r="F314" s="25">
        <f>IF(C314="","",IFERROR(INDEX(tbl_Finance[Client],MATCH(C314&amp;"",tbl_Finance[Job Number],0)),""))</f>
        <v/>
      </c>
      <c r="G314" s="28">
        <f>IF(C314="","",COUNTIFS(tbl_Finance[Job Number],C314&amp;"",tbl_Finance[Ex GST],"&lt;&gt;"))</f>
        <v/>
      </c>
      <c r="H314" s="27">
        <f>IF(C314="","",SUMIFS(tbl_Finance[Ex GST],tbl_Finance[Job Number],C314&amp;""))</f>
        <v/>
      </c>
      <c r="I314" s="27">
        <f>IF(C314="","",SUMIFS(tbl_Finance[Ex GST],tbl_Finance[Job Number],C314&amp;"",tbl_Finance[Xero Invoice No],"&lt;&gt;"))</f>
        <v/>
      </c>
      <c r="J314" s="27">
        <f>IF(C314="","",H314-I314)</f>
        <v/>
      </c>
      <c r="K314" s="25">
        <f>IF(C314="","",IF(G314=0,"not invoiced yet",SUBSTITUTE(TRIM(IF(COUNTIFS(tbl_Finance[Job Number],C314&amp;"",tbl_Finance[Cost Centre],"ONSITE")&gt;0,"ONSITE ","")&amp;IF(COUNTIFS(tbl_Finance[Job Number],C314&amp;"",tbl_Finance[Cost Centre],"PRODUCTION")&gt;0,"PRODUCTION ","")&amp;IF(COUNTIFS(tbl_Finance[Job Number],C314&amp;"",tbl_Finance[Cost Centre],"VIDEO")&gt;0,"VIDEO ","")&amp;IF(COUNTIFS(tbl_Finance[Job Number],C314&amp;"",tbl_Finance[Cost Centre],"INTEGRATION")&gt;0,"INTEGRATION ","")&amp;IF(COUNTIFS(tbl_Finance[Job Number],C314&amp;"",tbl_Finance[Cost Centre],"CONSULTING")&gt;0,"CONSULTING ","")&amp;IF(COUNTIFS(tbl_Finance[Job Number],C314&amp;"",tbl_Finance[Cost Centre],"CTS")&gt;0,"CTS ",""))," ",", ")))</f>
        <v/>
      </c>
      <c r="L314" s="27">
        <f>IF(C314="","",SUMIFS(tbl_Finance[Inc GST],tbl_Finance[Job Number],C314&amp;""))</f>
        <v/>
      </c>
      <c r="M314" s="24" t="n"/>
      <c r="N314" s="25">
        <f>IF(C314="","",IFERROR(INDEX(tbl_Finance[Description],MATCH(C314&amp;"",tbl_Finance[Job Number],0)),""))</f>
        <v/>
      </c>
      <c r="O314" s="24" t="n"/>
      <c r="P314" s="24" t="n"/>
      <c r="Q314" s="22" t="n"/>
      <c r="R314" s="24" t="n"/>
      <c r="S314" s="25">
        <f>IF(R314="","",IF(AND(LEFT(R314,4)&lt;&gt;"http",set_RMSBase=""),"",HYPERLINK(IF(LEFT(R314,4)="http",R314,set_RMSBase&amp;R314),"Open opportunity")))</f>
        <v/>
      </c>
      <c r="T314" s="24" t="n"/>
      <c r="U314" s="25">
        <f>IF(T314="","",HYPERLINK(IF(LEFT(T314,4)="http",T314,set_QwilrBase&amp;T314),"Open quote"))</f>
        <v/>
      </c>
      <c r="V314" s="25">
        <f>IF(C314="","",C314)</f>
        <v/>
      </c>
      <c r="W314" s="24" t="n"/>
      <c r="X314" s="26" t="n"/>
      <c r="Y314" s="27">
        <f>IF(C314="","",H314+N(X314))</f>
        <v/>
      </c>
      <c r="Z314" s="29">
        <f>IFERROR(X314/Y314,"")</f>
        <v/>
      </c>
      <c r="AA314" s="26" t="n"/>
      <c r="AB314" s="26" t="n"/>
      <c r="AC314" s="26" t="n"/>
      <c r="AD314" s="26" t="n"/>
      <c r="AE314" s="27">
        <f>IF(C314="","",SUMIFS(tbl_Finance[Ex GST],tbl_Finance[Job Number],C314&amp;"",tbl_Finance[Cost Centre],"VIDEO"))</f>
        <v/>
      </c>
      <c r="AF314" s="29">
        <f>IFERROR(AE314/H314,"")</f>
        <v/>
      </c>
      <c r="AG314" s="27">
        <f>IF(C314="","",N(AA314)+N(AB314)+N(AC314)+N(AD314))</f>
        <v/>
      </c>
      <c r="AH314" s="27">
        <f>IF(C314="","",H314-AG314)</f>
        <v/>
      </c>
      <c r="AI314" s="29">
        <f>IFERROR(AH314/H314,"")</f>
        <v/>
      </c>
      <c r="AJ314" s="69" t="n"/>
      <c r="AK314" s="69" t="n"/>
      <c r="AL314" s="69" t="n"/>
      <c r="AM314" s="69" t="n"/>
      <c r="AN314" s="69" t="n"/>
      <c r="AO314" s="24" t="n"/>
    </row>
    <row r="315" ht="15" customHeight="1">
      <c r="A315" s="68">
        <f>IF(C315="","",IFERROR(IF(SUMPRODUCT(MAX((tbl_Finance[Job Number]=C315&amp;"")*(tbl_Finance[Xero Invoice No]&lt;&gt;"")*tbl_Finance[Date]))=0,"",SUMPRODUCT(MAX((tbl_Finance[Job Number]=C315&amp;"")*(tbl_Finance[Xero Invoice No]&lt;&gt;"")*tbl_Finance[Date]))),""))</f>
        <v/>
      </c>
      <c r="B315" s="25">
        <f>IF(C315="","",IF(COUNTIFS(tbl_Finance[Job Number],C315&amp;"",tbl_Finance[Xero Invoice No],"&lt;&gt;")=0,"",IFERROR(IF(COUNTIFS(tbl_Finance[Job Number],C315&amp;"",tbl_Finance[Xero Invoice No],LOOKUP(2,1/((tbl_Finance[Job Number]=C315&amp;"")*(tbl_Finance[Xero Invoice No]&lt;&gt;"")),tbl_Finance[Xero Invoice No]))=COUNTIFS(tbl_Finance[Job Number],C315&amp;"",tbl_Finance[Xero Invoice No],"&lt;&gt;"),LOOKUP(2,1/((tbl_Finance[Job Number]=C315&amp;"")*(tbl_Finance[Xero Invoice No]&lt;&gt;"")),tbl_Finance[Xero Invoice No]),LOOKUP(2,1/((tbl_Finance[Job Number]=C315&amp;"")*(tbl_Finance[Xero Invoice No]&lt;&gt;"")),tbl_Finance[Xero Invoice No])&amp;" +more"),"")))</f>
        <v/>
      </c>
      <c r="C315" s="24" t="n"/>
      <c r="D315" s="25">
        <f>IF(C315="","",IF(COUNTIF(lst_Jobs,C315&amp;"")&gt;0,"OK","CHECK"))</f>
        <v/>
      </c>
      <c r="E315" s="25">
        <f>IF(C315="","",IFERROR(INDEX(lst_JobName,MATCH(C315&amp;"",lst_Jobs,0)),""))</f>
        <v/>
      </c>
      <c r="F315" s="25">
        <f>IF(C315="","",IFERROR(INDEX(tbl_Finance[Client],MATCH(C315&amp;"",tbl_Finance[Job Number],0)),""))</f>
        <v/>
      </c>
      <c r="G315" s="28">
        <f>IF(C315="","",COUNTIFS(tbl_Finance[Job Number],C315&amp;"",tbl_Finance[Ex GST],"&lt;&gt;"))</f>
        <v/>
      </c>
      <c r="H315" s="27">
        <f>IF(C315="","",SUMIFS(tbl_Finance[Ex GST],tbl_Finance[Job Number],C315&amp;""))</f>
        <v/>
      </c>
      <c r="I315" s="27">
        <f>IF(C315="","",SUMIFS(tbl_Finance[Ex GST],tbl_Finance[Job Number],C315&amp;"",tbl_Finance[Xero Invoice No],"&lt;&gt;"))</f>
        <v/>
      </c>
      <c r="J315" s="27">
        <f>IF(C315="","",H315-I315)</f>
        <v/>
      </c>
      <c r="K315" s="25">
        <f>IF(C315="","",IF(G315=0,"not invoiced yet",SUBSTITUTE(TRIM(IF(COUNTIFS(tbl_Finance[Job Number],C315&amp;"",tbl_Finance[Cost Centre],"ONSITE")&gt;0,"ONSITE ","")&amp;IF(COUNTIFS(tbl_Finance[Job Number],C315&amp;"",tbl_Finance[Cost Centre],"PRODUCTION")&gt;0,"PRODUCTION ","")&amp;IF(COUNTIFS(tbl_Finance[Job Number],C315&amp;"",tbl_Finance[Cost Centre],"VIDEO")&gt;0,"VIDEO ","")&amp;IF(COUNTIFS(tbl_Finance[Job Number],C315&amp;"",tbl_Finance[Cost Centre],"INTEGRATION")&gt;0,"INTEGRATION ","")&amp;IF(COUNTIFS(tbl_Finance[Job Number],C315&amp;"",tbl_Finance[Cost Centre],"CONSULTING")&gt;0,"CONSULTING ","")&amp;IF(COUNTIFS(tbl_Finance[Job Number],C315&amp;"",tbl_Finance[Cost Centre],"CTS")&gt;0,"CTS ",""))," ",", ")))</f>
        <v/>
      </c>
      <c r="L315" s="27">
        <f>IF(C315="","",SUMIFS(tbl_Finance[Inc GST],tbl_Finance[Job Number],C315&amp;""))</f>
        <v/>
      </c>
      <c r="M315" s="24" t="n"/>
      <c r="N315" s="25">
        <f>IF(C315="","",IFERROR(INDEX(tbl_Finance[Description],MATCH(C315&amp;"",tbl_Finance[Job Number],0)),""))</f>
        <v/>
      </c>
      <c r="O315" s="24" t="n"/>
      <c r="P315" s="24" t="n"/>
      <c r="Q315" s="22" t="n"/>
      <c r="R315" s="24" t="n"/>
      <c r="S315" s="25">
        <f>IF(R315="","",IF(AND(LEFT(R315,4)&lt;&gt;"http",set_RMSBase=""),"",HYPERLINK(IF(LEFT(R315,4)="http",R315,set_RMSBase&amp;R315),"Open opportunity")))</f>
        <v/>
      </c>
      <c r="T315" s="24" t="n"/>
      <c r="U315" s="25">
        <f>IF(T315="","",HYPERLINK(IF(LEFT(T315,4)="http",T315,set_QwilrBase&amp;T315),"Open quote"))</f>
        <v/>
      </c>
      <c r="V315" s="25">
        <f>IF(C315="","",C315)</f>
        <v/>
      </c>
      <c r="W315" s="24" t="n"/>
      <c r="X315" s="26" t="n"/>
      <c r="Y315" s="27">
        <f>IF(C315="","",H315+N(X315))</f>
        <v/>
      </c>
      <c r="Z315" s="29">
        <f>IFERROR(X315/Y315,"")</f>
        <v/>
      </c>
      <c r="AA315" s="26" t="n"/>
      <c r="AB315" s="26" t="n"/>
      <c r="AC315" s="26" t="n"/>
      <c r="AD315" s="26" t="n"/>
      <c r="AE315" s="27">
        <f>IF(C315="","",SUMIFS(tbl_Finance[Ex GST],tbl_Finance[Job Number],C315&amp;"",tbl_Finance[Cost Centre],"VIDEO"))</f>
        <v/>
      </c>
      <c r="AF315" s="29">
        <f>IFERROR(AE315/H315,"")</f>
        <v/>
      </c>
      <c r="AG315" s="27">
        <f>IF(C315="","",N(AA315)+N(AB315)+N(AC315)+N(AD315))</f>
        <v/>
      </c>
      <c r="AH315" s="27">
        <f>IF(C315="","",H315-AG315)</f>
        <v/>
      </c>
      <c r="AI315" s="29">
        <f>IFERROR(AH315/H315,"")</f>
        <v/>
      </c>
      <c r="AJ315" s="69" t="n"/>
      <c r="AK315" s="69" t="n"/>
      <c r="AL315" s="69" t="n"/>
      <c r="AM315" s="69" t="n"/>
      <c r="AN315" s="69" t="n"/>
      <c r="AO315" s="24" t="n"/>
    </row>
    <row r="316" ht="15" customHeight="1">
      <c r="A316" s="68">
        <f>IF(C316="","",IFERROR(IF(SUMPRODUCT(MAX((tbl_Finance[Job Number]=C316&amp;"")*(tbl_Finance[Xero Invoice No]&lt;&gt;"")*tbl_Finance[Date]))=0,"",SUMPRODUCT(MAX((tbl_Finance[Job Number]=C316&amp;"")*(tbl_Finance[Xero Invoice No]&lt;&gt;"")*tbl_Finance[Date]))),""))</f>
        <v/>
      </c>
      <c r="B316" s="25">
        <f>IF(C316="","",IF(COUNTIFS(tbl_Finance[Job Number],C316&amp;"",tbl_Finance[Xero Invoice No],"&lt;&gt;")=0,"",IFERROR(IF(COUNTIFS(tbl_Finance[Job Number],C316&amp;"",tbl_Finance[Xero Invoice No],LOOKUP(2,1/((tbl_Finance[Job Number]=C316&amp;"")*(tbl_Finance[Xero Invoice No]&lt;&gt;"")),tbl_Finance[Xero Invoice No]))=COUNTIFS(tbl_Finance[Job Number],C316&amp;"",tbl_Finance[Xero Invoice No],"&lt;&gt;"),LOOKUP(2,1/((tbl_Finance[Job Number]=C316&amp;"")*(tbl_Finance[Xero Invoice No]&lt;&gt;"")),tbl_Finance[Xero Invoice No]),LOOKUP(2,1/((tbl_Finance[Job Number]=C316&amp;"")*(tbl_Finance[Xero Invoice No]&lt;&gt;"")),tbl_Finance[Xero Invoice No])&amp;" +more"),"")))</f>
        <v/>
      </c>
      <c r="C316" s="24" t="n"/>
      <c r="D316" s="25">
        <f>IF(C316="","",IF(COUNTIF(lst_Jobs,C316&amp;"")&gt;0,"OK","CHECK"))</f>
        <v/>
      </c>
      <c r="E316" s="25">
        <f>IF(C316="","",IFERROR(INDEX(lst_JobName,MATCH(C316&amp;"",lst_Jobs,0)),""))</f>
        <v/>
      </c>
      <c r="F316" s="25">
        <f>IF(C316="","",IFERROR(INDEX(tbl_Finance[Client],MATCH(C316&amp;"",tbl_Finance[Job Number],0)),""))</f>
        <v/>
      </c>
      <c r="G316" s="28">
        <f>IF(C316="","",COUNTIFS(tbl_Finance[Job Number],C316&amp;"",tbl_Finance[Ex GST],"&lt;&gt;"))</f>
        <v/>
      </c>
      <c r="H316" s="27">
        <f>IF(C316="","",SUMIFS(tbl_Finance[Ex GST],tbl_Finance[Job Number],C316&amp;""))</f>
        <v/>
      </c>
      <c r="I316" s="27">
        <f>IF(C316="","",SUMIFS(tbl_Finance[Ex GST],tbl_Finance[Job Number],C316&amp;"",tbl_Finance[Xero Invoice No],"&lt;&gt;"))</f>
        <v/>
      </c>
      <c r="J316" s="27">
        <f>IF(C316="","",H316-I316)</f>
        <v/>
      </c>
      <c r="K316" s="25">
        <f>IF(C316="","",IF(G316=0,"not invoiced yet",SUBSTITUTE(TRIM(IF(COUNTIFS(tbl_Finance[Job Number],C316&amp;"",tbl_Finance[Cost Centre],"ONSITE")&gt;0,"ONSITE ","")&amp;IF(COUNTIFS(tbl_Finance[Job Number],C316&amp;"",tbl_Finance[Cost Centre],"PRODUCTION")&gt;0,"PRODUCTION ","")&amp;IF(COUNTIFS(tbl_Finance[Job Number],C316&amp;"",tbl_Finance[Cost Centre],"VIDEO")&gt;0,"VIDEO ","")&amp;IF(COUNTIFS(tbl_Finance[Job Number],C316&amp;"",tbl_Finance[Cost Centre],"INTEGRATION")&gt;0,"INTEGRATION ","")&amp;IF(COUNTIFS(tbl_Finance[Job Number],C316&amp;"",tbl_Finance[Cost Centre],"CONSULTING")&gt;0,"CONSULTING ","")&amp;IF(COUNTIFS(tbl_Finance[Job Number],C316&amp;"",tbl_Finance[Cost Centre],"CTS")&gt;0,"CTS ",""))," ",", ")))</f>
        <v/>
      </c>
      <c r="L316" s="27">
        <f>IF(C316="","",SUMIFS(tbl_Finance[Inc GST],tbl_Finance[Job Number],C316&amp;""))</f>
        <v/>
      </c>
      <c r="M316" s="24" t="n"/>
      <c r="N316" s="25">
        <f>IF(C316="","",IFERROR(INDEX(tbl_Finance[Description],MATCH(C316&amp;"",tbl_Finance[Job Number],0)),""))</f>
        <v/>
      </c>
      <c r="O316" s="24" t="n"/>
      <c r="P316" s="24" t="n"/>
      <c r="Q316" s="22" t="n"/>
      <c r="R316" s="24" t="n"/>
      <c r="S316" s="25">
        <f>IF(R316="","",IF(AND(LEFT(R316,4)&lt;&gt;"http",set_RMSBase=""),"",HYPERLINK(IF(LEFT(R316,4)="http",R316,set_RMSBase&amp;R316),"Open opportunity")))</f>
        <v/>
      </c>
      <c r="T316" s="24" t="n"/>
      <c r="U316" s="25">
        <f>IF(T316="","",HYPERLINK(IF(LEFT(T316,4)="http",T316,set_QwilrBase&amp;T316),"Open quote"))</f>
        <v/>
      </c>
      <c r="V316" s="25">
        <f>IF(C316="","",C316)</f>
        <v/>
      </c>
      <c r="W316" s="24" t="n"/>
      <c r="X316" s="26" t="n"/>
      <c r="Y316" s="27">
        <f>IF(C316="","",H316+N(X316))</f>
        <v/>
      </c>
      <c r="Z316" s="29">
        <f>IFERROR(X316/Y316,"")</f>
        <v/>
      </c>
      <c r="AA316" s="26" t="n"/>
      <c r="AB316" s="26" t="n"/>
      <c r="AC316" s="26" t="n"/>
      <c r="AD316" s="26" t="n"/>
      <c r="AE316" s="27">
        <f>IF(C316="","",SUMIFS(tbl_Finance[Ex GST],tbl_Finance[Job Number],C316&amp;"",tbl_Finance[Cost Centre],"VIDEO"))</f>
        <v/>
      </c>
      <c r="AF316" s="29">
        <f>IFERROR(AE316/H316,"")</f>
        <v/>
      </c>
      <c r="AG316" s="27">
        <f>IF(C316="","",N(AA316)+N(AB316)+N(AC316)+N(AD316))</f>
        <v/>
      </c>
      <c r="AH316" s="27">
        <f>IF(C316="","",H316-AG316)</f>
        <v/>
      </c>
      <c r="AI316" s="29">
        <f>IFERROR(AH316/H316,"")</f>
        <v/>
      </c>
      <c r="AJ316" s="69" t="n"/>
      <c r="AK316" s="69" t="n"/>
      <c r="AL316" s="69" t="n"/>
      <c r="AM316" s="69" t="n"/>
      <c r="AN316" s="69" t="n"/>
      <c r="AO316" s="24" t="n"/>
    </row>
    <row r="317" ht="15" customHeight="1">
      <c r="A317" s="68">
        <f>IF(C317="","",IFERROR(IF(SUMPRODUCT(MAX((tbl_Finance[Job Number]=C317&amp;"")*(tbl_Finance[Xero Invoice No]&lt;&gt;"")*tbl_Finance[Date]))=0,"",SUMPRODUCT(MAX((tbl_Finance[Job Number]=C317&amp;"")*(tbl_Finance[Xero Invoice No]&lt;&gt;"")*tbl_Finance[Date]))),""))</f>
        <v/>
      </c>
      <c r="B317" s="25">
        <f>IF(C317="","",IF(COUNTIFS(tbl_Finance[Job Number],C317&amp;"",tbl_Finance[Xero Invoice No],"&lt;&gt;")=0,"",IFERROR(IF(COUNTIFS(tbl_Finance[Job Number],C317&amp;"",tbl_Finance[Xero Invoice No],LOOKUP(2,1/((tbl_Finance[Job Number]=C317&amp;"")*(tbl_Finance[Xero Invoice No]&lt;&gt;"")),tbl_Finance[Xero Invoice No]))=COUNTIFS(tbl_Finance[Job Number],C317&amp;"",tbl_Finance[Xero Invoice No],"&lt;&gt;"),LOOKUP(2,1/((tbl_Finance[Job Number]=C317&amp;"")*(tbl_Finance[Xero Invoice No]&lt;&gt;"")),tbl_Finance[Xero Invoice No]),LOOKUP(2,1/((tbl_Finance[Job Number]=C317&amp;"")*(tbl_Finance[Xero Invoice No]&lt;&gt;"")),tbl_Finance[Xero Invoice No])&amp;" +more"),"")))</f>
        <v/>
      </c>
      <c r="C317" s="24" t="n"/>
      <c r="D317" s="25">
        <f>IF(C317="","",IF(COUNTIF(lst_Jobs,C317&amp;"")&gt;0,"OK","CHECK"))</f>
        <v/>
      </c>
      <c r="E317" s="25">
        <f>IF(C317="","",IFERROR(INDEX(lst_JobName,MATCH(C317&amp;"",lst_Jobs,0)),""))</f>
        <v/>
      </c>
      <c r="F317" s="25">
        <f>IF(C317="","",IFERROR(INDEX(tbl_Finance[Client],MATCH(C317&amp;"",tbl_Finance[Job Number],0)),""))</f>
        <v/>
      </c>
      <c r="G317" s="28">
        <f>IF(C317="","",COUNTIFS(tbl_Finance[Job Number],C317&amp;"",tbl_Finance[Ex GST],"&lt;&gt;"))</f>
        <v/>
      </c>
      <c r="H317" s="27">
        <f>IF(C317="","",SUMIFS(tbl_Finance[Ex GST],tbl_Finance[Job Number],C317&amp;""))</f>
        <v/>
      </c>
      <c r="I317" s="27">
        <f>IF(C317="","",SUMIFS(tbl_Finance[Ex GST],tbl_Finance[Job Number],C317&amp;"",tbl_Finance[Xero Invoice No],"&lt;&gt;"))</f>
        <v/>
      </c>
      <c r="J317" s="27">
        <f>IF(C317="","",H317-I317)</f>
        <v/>
      </c>
      <c r="K317" s="25">
        <f>IF(C317="","",IF(G317=0,"not invoiced yet",SUBSTITUTE(TRIM(IF(COUNTIFS(tbl_Finance[Job Number],C317&amp;"",tbl_Finance[Cost Centre],"ONSITE")&gt;0,"ONSITE ","")&amp;IF(COUNTIFS(tbl_Finance[Job Number],C317&amp;"",tbl_Finance[Cost Centre],"PRODUCTION")&gt;0,"PRODUCTION ","")&amp;IF(COUNTIFS(tbl_Finance[Job Number],C317&amp;"",tbl_Finance[Cost Centre],"VIDEO")&gt;0,"VIDEO ","")&amp;IF(COUNTIFS(tbl_Finance[Job Number],C317&amp;"",tbl_Finance[Cost Centre],"INTEGRATION")&gt;0,"INTEGRATION ","")&amp;IF(COUNTIFS(tbl_Finance[Job Number],C317&amp;"",tbl_Finance[Cost Centre],"CONSULTING")&gt;0,"CONSULTING ","")&amp;IF(COUNTIFS(tbl_Finance[Job Number],C317&amp;"",tbl_Finance[Cost Centre],"CTS")&gt;0,"CTS ",""))," ",", ")))</f>
        <v/>
      </c>
      <c r="L317" s="27">
        <f>IF(C317="","",SUMIFS(tbl_Finance[Inc GST],tbl_Finance[Job Number],C317&amp;""))</f>
        <v/>
      </c>
      <c r="M317" s="24" t="n"/>
      <c r="N317" s="25">
        <f>IF(C317="","",IFERROR(INDEX(tbl_Finance[Description],MATCH(C317&amp;"",tbl_Finance[Job Number],0)),""))</f>
        <v/>
      </c>
      <c r="O317" s="24" t="n"/>
      <c r="P317" s="24" t="n"/>
      <c r="Q317" s="22" t="n"/>
      <c r="R317" s="24" t="n"/>
      <c r="S317" s="25">
        <f>IF(R317="","",IF(AND(LEFT(R317,4)&lt;&gt;"http",set_RMSBase=""),"",HYPERLINK(IF(LEFT(R317,4)="http",R317,set_RMSBase&amp;R317),"Open opportunity")))</f>
        <v/>
      </c>
      <c r="T317" s="24" t="n"/>
      <c r="U317" s="25">
        <f>IF(T317="","",HYPERLINK(IF(LEFT(T317,4)="http",T317,set_QwilrBase&amp;T317),"Open quote"))</f>
        <v/>
      </c>
      <c r="V317" s="25">
        <f>IF(C317="","",C317)</f>
        <v/>
      </c>
      <c r="W317" s="24" t="n"/>
      <c r="X317" s="26" t="n"/>
      <c r="Y317" s="27">
        <f>IF(C317="","",H317+N(X317))</f>
        <v/>
      </c>
      <c r="Z317" s="29">
        <f>IFERROR(X317/Y317,"")</f>
        <v/>
      </c>
      <c r="AA317" s="26" t="n"/>
      <c r="AB317" s="26" t="n"/>
      <c r="AC317" s="26" t="n"/>
      <c r="AD317" s="26" t="n"/>
      <c r="AE317" s="27">
        <f>IF(C317="","",SUMIFS(tbl_Finance[Ex GST],tbl_Finance[Job Number],C317&amp;"",tbl_Finance[Cost Centre],"VIDEO"))</f>
        <v/>
      </c>
      <c r="AF317" s="29">
        <f>IFERROR(AE317/H317,"")</f>
        <v/>
      </c>
      <c r="AG317" s="27">
        <f>IF(C317="","",N(AA317)+N(AB317)+N(AC317)+N(AD317))</f>
        <v/>
      </c>
      <c r="AH317" s="27">
        <f>IF(C317="","",H317-AG317)</f>
        <v/>
      </c>
      <c r="AI317" s="29">
        <f>IFERROR(AH317/H317,"")</f>
        <v/>
      </c>
      <c r="AJ317" s="69" t="n"/>
      <c r="AK317" s="69" t="n"/>
      <c r="AL317" s="69" t="n"/>
      <c r="AM317" s="69" t="n"/>
      <c r="AN317" s="69" t="n"/>
      <c r="AO317" s="24" t="n"/>
    </row>
    <row r="318" ht="15" customHeight="1">
      <c r="A318" s="68">
        <f>IF(C318="","",IFERROR(IF(SUMPRODUCT(MAX((tbl_Finance[Job Number]=C318&amp;"")*(tbl_Finance[Xero Invoice No]&lt;&gt;"")*tbl_Finance[Date]))=0,"",SUMPRODUCT(MAX((tbl_Finance[Job Number]=C318&amp;"")*(tbl_Finance[Xero Invoice No]&lt;&gt;"")*tbl_Finance[Date]))),""))</f>
        <v/>
      </c>
      <c r="B318" s="25">
        <f>IF(C318="","",IF(COUNTIFS(tbl_Finance[Job Number],C318&amp;"",tbl_Finance[Xero Invoice No],"&lt;&gt;")=0,"",IFERROR(IF(COUNTIFS(tbl_Finance[Job Number],C318&amp;"",tbl_Finance[Xero Invoice No],LOOKUP(2,1/((tbl_Finance[Job Number]=C318&amp;"")*(tbl_Finance[Xero Invoice No]&lt;&gt;"")),tbl_Finance[Xero Invoice No]))=COUNTIFS(tbl_Finance[Job Number],C318&amp;"",tbl_Finance[Xero Invoice No],"&lt;&gt;"),LOOKUP(2,1/((tbl_Finance[Job Number]=C318&amp;"")*(tbl_Finance[Xero Invoice No]&lt;&gt;"")),tbl_Finance[Xero Invoice No]),LOOKUP(2,1/((tbl_Finance[Job Number]=C318&amp;"")*(tbl_Finance[Xero Invoice No]&lt;&gt;"")),tbl_Finance[Xero Invoice No])&amp;" +more"),"")))</f>
        <v/>
      </c>
      <c r="C318" s="24" t="n"/>
      <c r="D318" s="25">
        <f>IF(C318="","",IF(COUNTIF(lst_Jobs,C318&amp;"")&gt;0,"OK","CHECK"))</f>
        <v/>
      </c>
      <c r="E318" s="25">
        <f>IF(C318="","",IFERROR(INDEX(lst_JobName,MATCH(C318&amp;"",lst_Jobs,0)),""))</f>
        <v/>
      </c>
      <c r="F318" s="25">
        <f>IF(C318="","",IFERROR(INDEX(tbl_Finance[Client],MATCH(C318&amp;"",tbl_Finance[Job Number],0)),""))</f>
        <v/>
      </c>
      <c r="G318" s="28">
        <f>IF(C318="","",COUNTIFS(tbl_Finance[Job Number],C318&amp;"",tbl_Finance[Ex GST],"&lt;&gt;"))</f>
        <v/>
      </c>
      <c r="H318" s="27">
        <f>IF(C318="","",SUMIFS(tbl_Finance[Ex GST],tbl_Finance[Job Number],C318&amp;""))</f>
        <v/>
      </c>
      <c r="I318" s="27">
        <f>IF(C318="","",SUMIFS(tbl_Finance[Ex GST],tbl_Finance[Job Number],C318&amp;"",tbl_Finance[Xero Invoice No],"&lt;&gt;"))</f>
        <v/>
      </c>
      <c r="J318" s="27">
        <f>IF(C318="","",H318-I318)</f>
        <v/>
      </c>
      <c r="K318" s="25">
        <f>IF(C318="","",IF(G318=0,"not invoiced yet",SUBSTITUTE(TRIM(IF(COUNTIFS(tbl_Finance[Job Number],C318&amp;"",tbl_Finance[Cost Centre],"ONSITE")&gt;0,"ONSITE ","")&amp;IF(COUNTIFS(tbl_Finance[Job Number],C318&amp;"",tbl_Finance[Cost Centre],"PRODUCTION")&gt;0,"PRODUCTION ","")&amp;IF(COUNTIFS(tbl_Finance[Job Number],C318&amp;"",tbl_Finance[Cost Centre],"VIDEO")&gt;0,"VIDEO ","")&amp;IF(COUNTIFS(tbl_Finance[Job Number],C318&amp;"",tbl_Finance[Cost Centre],"INTEGRATION")&gt;0,"INTEGRATION ","")&amp;IF(COUNTIFS(tbl_Finance[Job Number],C318&amp;"",tbl_Finance[Cost Centre],"CONSULTING")&gt;0,"CONSULTING ","")&amp;IF(COUNTIFS(tbl_Finance[Job Number],C318&amp;"",tbl_Finance[Cost Centre],"CTS")&gt;0,"CTS ",""))," ",", ")))</f>
        <v/>
      </c>
      <c r="L318" s="27">
        <f>IF(C318="","",SUMIFS(tbl_Finance[Inc GST],tbl_Finance[Job Number],C318&amp;""))</f>
        <v/>
      </c>
      <c r="M318" s="24" t="n"/>
      <c r="N318" s="25">
        <f>IF(C318="","",IFERROR(INDEX(tbl_Finance[Description],MATCH(C318&amp;"",tbl_Finance[Job Number],0)),""))</f>
        <v/>
      </c>
      <c r="O318" s="24" t="n"/>
      <c r="P318" s="24" t="n"/>
      <c r="Q318" s="22" t="n"/>
      <c r="R318" s="24" t="n"/>
      <c r="S318" s="25">
        <f>IF(R318="","",IF(AND(LEFT(R318,4)&lt;&gt;"http",set_RMSBase=""),"",HYPERLINK(IF(LEFT(R318,4)="http",R318,set_RMSBase&amp;R318),"Open opportunity")))</f>
        <v/>
      </c>
      <c r="T318" s="24" t="n"/>
      <c r="U318" s="25">
        <f>IF(T318="","",HYPERLINK(IF(LEFT(T318,4)="http",T318,set_QwilrBase&amp;T318),"Open quote"))</f>
        <v/>
      </c>
      <c r="V318" s="25">
        <f>IF(C318="","",C318)</f>
        <v/>
      </c>
      <c r="W318" s="24" t="n"/>
      <c r="X318" s="26" t="n"/>
      <c r="Y318" s="27">
        <f>IF(C318="","",H318+N(X318))</f>
        <v/>
      </c>
      <c r="Z318" s="29">
        <f>IFERROR(X318/Y318,"")</f>
        <v/>
      </c>
      <c r="AA318" s="26" t="n"/>
      <c r="AB318" s="26" t="n"/>
      <c r="AC318" s="26" t="n"/>
      <c r="AD318" s="26" t="n"/>
      <c r="AE318" s="27">
        <f>IF(C318="","",SUMIFS(tbl_Finance[Ex GST],tbl_Finance[Job Number],C318&amp;"",tbl_Finance[Cost Centre],"VIDEO"))</f>
        <v/>
      </c>
      <c r="AF318" s="29">
        <f>IFERROR(AE318/H318,"")</f>
        <v/>
      </c>
      <c r="AG318" s="27">
        <f>IF(C318="","",N(AA318)+N(AB318)+N(AC318)+N(AD318))</f>
        <v/>
      </c>
      <c r="AH318" s="27">
        <f>IF(C318="","",H318-AG318)</f>
        <v/>
      </c>
      <c r="AI318" s="29">
        <f>IFERROR(AH318/H318,"")</f>
        <v/>
      </c>
      <c r="AJ318" s="69" t="n"/>
      <c r="AK318" s="69" t="n"/>
      <c r="AL318" s="69" t="n"/>
      <c r="AM318" s="69" t="n"/>
      <c r="AN318" s="69" t="n"/>
      <c r="AO318" s="24" t="n"/>
    </row>
    <row r="319" ht="15" customHeight="1">
      <c r="A319" s="68">
        <f>IF(C319="","",IFERROR(IF(SUMPRODUCT(MAX((tbl_Finance[Job Number]=C319&amp;"")*(tbl_Finance[Xero Invoice No]&lt;&gt;"")*tbl_Finance[Date]))=0,"",SUMPRODUCT(MAX((tbl_Finance[Job Number]=C319&amp;"")*(tbl_Finance[Xero Invoice No]&lt;&gt;"")*tbl_Finance[Date]))),""))</f>
        <v/>
      </c>
      <c r="B319" s="25">
        <f>IF(C319="","",IF(COUNTIFS(tbl_Finance[Job Number],C319&amp;"",tbl_Finance[Xero Invoice No],"&lt;&gt;")=0,"",IFERROR(IF(COUNTIFS(tbl_Finance[Job Number],C319&amp;"",tbl_Finance[Xero Invoice No],LOOKUP(2,1/((tbl_Finance[Job Number]=C319&amp;"")*(tbl_Finance[Xero Invoice No]&lt;&gt;"")),tbl_Finance[Xero Invoice No]))=COUNTIFS(tbl_Finance[Job Number],C319&amp;"",tbl_Finance[Xero Invoice No],"&lt;&gt;"),LOOKUP(2,1/((tbl_Finance[Job Number]=C319&amp;"")*(tbl_Finance[Xero Invoice No]&lt;&gt;"")),tbl_Finance[Xero Invoice No]),LOOKUP(2,1/((tbl_Finance[Job Number]=C319&amp;"")*(tbl_Finance[Xero Invoice No]&lt;&gt;"")),tbl_Finance[Xero Invoice No])&amp;" +more"),"")))</f>
        <v/>
      </c>
      <c r="C319" s="24" t="n"/>
      <c r="D319" s="25">
        <f>IF(C319="","",IF(COUNTIF(lst_Jobs,C319&amp;"")&gt;0,"OK","CHECK"))</f>
        <v/>
      </c>
      <c r="E319" s="25">
        <f>IF(C319="","",IFERROR(INDEX(lst_JobName,MATCH(C319&amp;"",lst_Jobs,0)),""))</f>
        <v/>
      </c>
      <c r="F319" s="25">
        <f>IF(C319="","",IFERROR(INDEX(tbl_Finance[Client],MATCH(C319&amp;"",tbl_Finance[Job Number],0)),""))</f>
        <v/>
      </c>
      <c r="G319" s="28">
        <f>IF(C319="","",COUNTIFS(tbl_Finance[Job Number],C319&amp;"",tbl_Finance[Ex GST],"&lt;&gt;"))</f>
        <v/>
      </c>
      <c r="H319" s="27">
        <f>IF(C319="","",SUMIFS(tbl_Finance[Ex GST],tbl_Finance[Job Number],C319&amp;""))</f>
        <v/>
      </c>
      <c r="I319" s="27">
        <f>IF(C319="","",SUMIFS(tbl_Finance[Ex GST],tbl_Finance[Job Number],C319&amp;"",tbl_Finance[Xero Invoice No],"&lt;&gt;"))</f>
        <v/>
      </c>
      <c r="J319" s="27">
        <f>IF(C319="","",H319-I319)</f>
        <v/>
      </c>
      <c r="K319" s="25">
        <f>IF(C319="","",IF(G319=0,"not invoiced yet",SUBSTITUTE(TRIM(IF(COUNTIFS(tbl_Finance[Job Number],C319&amp;"",tbl_Finance[Cost Centre],"ONSITE")&gt;0,"ONSITE ","")&amp;IF(COUNTIFS(tbl_Finance[Job Number],C319&amp;"",tbl_Finance[Cost Centre],"PRODUCTION")&gt;0,"PRODUCTION ","")&amp;IF(COUNTIFS(tbl_Finance[Job Number],C319&amp;"",tbl_Finance[Cost Centre],"VIDEO")&gt;0,"VIDEO ","")&amp;IF(COUNTIFS(tbl_Finance[Job Number],C319&amp;"",tbl_Finance[Cost Centre],"INTEGRATION")&gt;0,"INTEGRATION ","")&amp;IF(COUNTIFS(tbl_Finance[Job Number],C319&amp;"",tbl_Finance[Cost Centre],"CONSULTING")&gt;0,"CONSULTING ","")&amp;IF(COUNTIFS(tbl_Finance[Job Number],C319&amp;"",tbl_Finance[Cost Centre],"CTS")&gt;0,"CTS ",""))," ",", ")))</f>
        <v/>
      </c>
      <c r="L319" s="27">
        <f>IF(C319="","",SUMIFS(tbl_Finance[Inc GST],tbl_Finance[Job Number],C319&amp;""))</f>
        <v/>
      </c>
      <c r="M319" s="24" t="n"/>
      <c r="N319" s="25">
        <f>IF(C319="","",IFERROR(INDEX(tbl_Finance[Description],MATCH(C319&amp;"",tbl_Finance[Job Number],0)),""))</f>
        <v/>
      </c>
      <c r="O319" s="24" t="n"/>
      <c r="P319" s="24" t="n"/>
      <c r="Q319" s="22" t="n"/>
      <c r="R319" s="24" t="n"/>
      <c r="S319" s="25">
        <f>IF(R319="","",IF(AND(LEFT(R319,4)&lt;&gt;"http",set_RMSBase=""),"",HYPERLINK(IF(LEFT(R319,4)="http",R319,set_RMSBase&amp;R319),"Open opportunity")))</f>
        <v/>
      </c>
      <c r="T319" s="24" t="n"/>
      <c r="U319" s="25">
        <f>IF(T319="","",HYPERLINK(IF(LEFT(T319,4)="http",T319,set_QwilrBase&amp;T319),"Open quote"))</f>
        <v/>
      </c>
      <c r="V319" s="25">
        <f>IF(C319="","",C319)</f>
        <v/>
      </c>
      <c r="W319" s="24" t="n"/>
      <c r="X319" s="26" t="n"/>
      <c r="Y319" s="27">
        <f>IF(C319="","",H319+N(X319))</f>
        <v/>
      </c>
      <c r="Z319" s="29">
        <f>IFERROR(X319/Y319,"")</f>
        <v/>
      </c>
      <c r="AA319" s="26" t="n"/>
      <c r="AB319" s="26" t="n"/>
      <c r="AC319" s="26" t="n"/>
      <c r="AD319" s="26" t="n"/>
      <c r="AE319" s="27">
        <f>IF(C319="","",SUMIFS(tbl_Finance[Ex GST],tbl_Finance[Job Number],C319&amp;"",tbl_Finance[Cost Centre],"VIDEO"))</f>
        <v/>
      </c>
      <c r="AF319" s="29">
        <f>IFERROR(AE319/H319,"")</f>
        <v/>
      </c>
      <c r="AG319" s="27">
        <f>IF(C319="","",N(AA319)+N(AB319)+N(AC319)+N(AD319))</f>
        <v/>
      </c>
      <c r="AH319" s="27">
        <f>IF(C319="","",H319-AG319)</f>
        <v/>
      </c>
      <c r="AI319" s="29">
        <f>IFERROR(AH319/H319,"")</f>
        <v/>
      </c>
      <c r="AJ319" s="69" t="n"/>
      <c r="AK319" s="69" t="n"/>
      <c r="AL319" s="69" t="n"/>
      <c r="AM319" s="69" t="n"/>
      <c r="AN319" s="69" t="n"/>
      <c r="AO319" s="24" t="n"/>
    </row>
    <row r="320" ht="15" customHeight="1">
      <c r="A320" s="68">
        <f>IF(C320="","",IFERROR(IF(SUMPRODUCT(MAX((tbl_Finance[Job Number]=C320&amp;"")*(tbl_Finance[Xero Invoice No]&lt;&gt;"")*tbl_Finance[Date]))=0,"",SUMPRODUCT(MAX((tbl_Finance[Job Number]=C320&amp;"")*(tbl_Finance[Xero Invoice No]&lt;&gt;"")*tbl_Finance[Date]))),""))</f>
        <v/>
      </c>
      <c r="B320" s="25">
        <f>IF(C320="","",IF(COUNTIFS(tbl_Finance[Job Number],C320&amp;"",tbl_Finance[Xero Invoice No],"&lt;&gt;")=0,"",IFERROR(IF(COUNTIFS(tbl_Finance[Job Number],C320&amp;"",tbl_Finance[Xero Invoice No],LOOKUP(2,1/((tbl_Finance[Job Number]=C320&amp;"")*(tbl_Finance[Xero Invoice No]&lt;&gt;"")),tbl_Finance[Xero Invoice No]))=COUNTIFS(tbl_Finance[Job Number],C320&amp;"",tbl_Finance[Xero Invoice No],"&lt;&gt;"),LOOKUP(2,1/((tbl_Finance[Job Number]=C320&amp;"")*(tbl_Finance[Xero Invoice No]&lt;&gt;"")),tbl_Finance[Xero Invoice No]),LOOKUP(2,1/((tbl_Finance[Job Number]=C320&amp;"")*(tbl_Finance[Xero Invoice No]&lt;&gt;"")),tbl_Finance[Xero Invoice No])&amp;" +more"),"")))</f>
        <v/>
      </c>
      <c r="C320" s="24" t="n"/>
      <c r="D320" s="25">
        <f>IF(C320="","",IF(COUNTIF(lst_Jobs,C320&amp;"")&gt;0,"OK","CHECK"))</f>
        <v/>
      </c>
      <c r="E320" s="25">
        <f>IF(C320="","",IFERROR(INDEX(lst_JobName,MATCH(C320&amp;"",lst_Jobs,0)),""))</f>
        <v/>
      </c>
      <c r="F320" s="25">
        <f>IF(C320="","",IFERROR(INDEX(tbl_Finance[Client],MATCH(C320&amp;"",tbl_Finance[Job Number],0)),""))</f>
        <v/>
      </c>
      <c r="G320" s="28">
        <f>IF(C320="","",COUNTIFS(tbl_Finance[Job Number],C320&amp;"",tbl_Finance[Ex GST],"&lt;&gt;"))</f>
        <v/>
      </c>
      <c r="H320" s="27">
        <f>IF(C320="","",SUMIFS(tbl_Finance[Ex GST],tbl_Finance[Job Number],C320&amp;""))</f>
        <v/>
      </c>
      <c r="I320" s="27">
        <f>IF(C320="","",SUMIFS(tbl_Finance[Ex GST],tbl_Finance[Job Number],C320&amp;"",tbl_Finance[Xero Invoice No],"&lt;&gt;"))</f>
        <v/>
      </c>
      <c r="J320" s="27">
        <f>IF(C320="","",H320-I320)</f>
        <v/>
      </c>
      <c r="K320" s="25">
        <f>IF(C320="","",IF(G320=0,"not invoiced yet",SUBSTITUTE(TRIM(IF(COUNTIFS(tbl_Finance[Job Number],C320&amp;"",tbl_Finance[Cost Centre],"ONSITE")&gt;0,"ONSITE ","")&amp;IF(COUNTIFS(tbl_Finance[Job Number],C320&amp;"",tbl_Finance[Cost Centre],"PRODUCTION")&gt;0,"PRODUCTION ","")&amp;IF(COUNTIFS(tbl_Finance[Job Number],C320&amp;"",tbl_Finance[Cost Centre],"VIDEO")&gt;0,"VIDEO ","")&amp;IF(COUNTIFS(tbl_Finance[Job Number],C320&amp;"",tbl_Finance[Cost Centre],"INTEGRATION")&gt;0,"INTEGRATION ","")&amp;IF(COUNTIFS(tbl_Finance[Job Number],C320&amp;"",tbl_Finance[Cost Centre],"CONSULTING")&gt;0,"CONSULTING ","")&amp;IF(COUNTIFS(tbl_Finance[Job Number],C320&amp;"",tbl_Finance[Cost Centre],"CTS")&gt;0,"CTS ",""))," ",", ")))</f>
        <v/>
      </c>
      <c r="L320" s="27">
        <f>IF(C320="","",SUMIFS(tbl_Finance[Inc GST],tbl_Finance[Job Number],C320&amp;""))</f>
        <v/>
      </c>
      <c r="M320" s="24" t="n"/>
      <c r="N320" s="25">
        <f>IF(C320="","",IFERROR(INDEX(tbl_Finance[Description],MATCH(C320&amp;"",tbl_Finance[Job Number],0)),""))</f>
        <v/>
      </c>
      <c r="O320" s="24" t="n"/>
      <c r="P320" s="24" t="n"/>
      <c r="Q320" s="22" t="n"/>
      <c r="R320" s="24" t="n"/>
      <c r="S320" s="25">
        <f>IF(R320="","",IF(AND(LEFT(R320,4)&lt;&gt;"http",set_RMSBase=""),"",HYPERLINK(IF(LEFT(R320,4)="http",R320,set_RMSBase&amp;R320),"Open opportunity")))</f>
        <v/>
      </c>
      <c r="T320" s="24" t="n"/>
      <c r="U320" s="25">
        <f>IF(T320="","",HYPERLINK(IF(LEFT(T320,4)="http",T320,set_QwilrBase&amp;T320),"Open quote"))</f>
        <v/>
      </c>
      <c r="V320" s="25">
        <f>IF(C320="","",C320)</f>
        <v/>
      </c>
      <c r="W320" s="24" t="n"/>
      <c r="X320" s="26" t="n"/>
      <c r="Y320" s="27">
        <f>IF(C320="","",H320+N(X320))</f>
        <v/>
      </c>
      <c r="Z320" s="29">
        <f>IFERROR(X320/Y320,"")</f>
        <v/>
      </c>
      <c r="AA320" s="26" t="n"/>
      <c r="AB320" s="26" t="n"/>
      <c r="AC320" s="26" t="n"/>
      <c r="AD320" s="26" t="n"/>
      <c r="AE320" s="27">
        <f>IF(C320="","",SUMIFS(tbl_Finance[Ex GST],tbl_Finance[Job Number],C320&amp;"",tbl_Finance[Cost Centre],"VIDEO"))</f>
        <v/>
      </c>
      <c r="AF320" s="29">
        <f>IFERROR(AE320/H320,"")</f>
        <v/>
      </c>
      <c r="AG320" s="27">
        <f>IF(C320="","",N(AA320)+N(AB320)+N(AC320)+N(AD320))</f>
        <v/>
      </c>
      <c r="AH320" s="27">
        <f>IF(C320="","",H320-AG320)</f>
        <v/>
      </c>
      <c r="AI320" s="29">
        <f>IFERROR(AH320/H320,"")</f>
        <v/>
      </c>
      <c r="AJ320" s="69" t="n"/>
      <c r="AK320" s="69" t="n"/>
      <c r="AL320" s="69" t="n"/>
      <c r="AM320" s="69" t="n"/>
      <c r="AN320" s="69" t="n"/>
      <c r="AO320" s="24" t="n"/>
    </row>
    <row r="321" ht="15" customHeight="1">
      <c r="A321" s="68">
        <f>IF(C321="","",IFERROR(IF(SUMPRODUCT(MAX((tbl_Finance[Job Number]=C321&amp;"")*(tbl_Finance[Xero Invoice No]&lt;&gt;"")*tbl_Finance[Date]))=0,"",SUMPRODUCT(MAX((tbl_Finance[Job Number]=C321&amp;"")*(tbl_Finance[Xero Invoice No]&lt;&gt;"")*tbl_Finance[Date]))),""))</f>
        <v/>
      </c>
      <c r="B321" s="25">
        <f>IF(C321="","",IF(COUNTIFS(tbl_Finance[Job Number],C321&amp;"",tbl_Finance[Xero Invoice No],"&lt;&gt;")=0,"",IFERROR(IF(COUNTIFS(tbl_Finance[Job Number],C321&amp;"",tbl_Finance[Xero Invoice No],LOOKUP(2,1/((tbl_Finance[Job Number]=C321&amp;"")*(tbl_Finance[Xero Invoice No]&lt;&gt;"")),tbl_Finance[Xero Invoice No]))=COUNTIFS(tbl_Finance[Job Number],C321&amp;"",tbl_Finance[Xero Invoice No],"&lt;&gt;"),LOOKUP(2,1/((tbl_Finance[Job Number]=C321&amp;"")*(tbl_Finance[Xero Invoice No]&lt;&gt;"")),tbl_Finance[Xero Invoice No]),LOOKUP(2,1/((tbl_Finance[Job Number]=C321&amp;"")*(tbl_Finance[Xero Invoice No]&lt;&gt;"")),tbl_Finance[Xero Invoice No])&amp;" +more"),"")))</f>
        <v/>
      </c>
      <c r="C321" s="24" t="n"/>
      <c r="D321" s="25">
        <f>IF(C321="","",IF(COUNTIF(lst_Jobs,C321&amp;"")&gt;0,"OK","CHECK"))</f>
        <v/>
      </c>
      <c r="E321" s="25">
        <f>IF(C321="","",IFERROR(INDEX(lst_JobName,MATCH(C321&amp;"",lst_Jobs,0)),""))</f>
        <v/>
      </c>
      <c r="F321" s="25">
        <f>IF(C321="","",IFERROR(INDEX(tbl_Finance[Client],MATCH(C321&amp;"",tbl_Finance[Job Number],0)),""))</f>
        <v/>
      </c>
      <c r="G321" s="28">
        <f>IF(C321="","",COUNTIFS(tbl_Finance[Job Number],C321&amp;"",tbl_Finance[Ex GST],"&lt;&gt;"))</f>
        <v/>
      </c>
      <c r="H321" s="27">
        <f>IF(C321="","",SUMIFS(tbl_Finance[Ex GST],tbl_Finance[Job Number],C321&amp;""))</f>
        <v/>
      </c>
      <c r="I321" s="27">
        <f>IF(C321="","",SUMIFS(tbl_Finance[Ex GST],tbl_Finance[Job Number],C321&amp;"",tbl_Finance[Xero Invoice No],"&lt;&gt;"))</f>
        <v/>
      </c>
      <c r="J321" s="27">
        <f>IF(C321="","",H321-I321)</f>
        <v/>
      </c>
      <c r="K321" s="25">
        <f>IF(C321="","",IF(G321=0,"not invoiced yet",SUBSTITUTE(TRIM(IF(COUNTIFS(tbl_Finance[Job Number],C321&amp;"",tbl_Finance[Cost Centre],"ONSITE")&gt;0,"ONSITE ","")&amp;IF(COUNTIFS(tbl_Finance[Job Number],C321&amp;"",tbl_Finance[Cost Centre],"PRODUCTION")&gt;0,"PRODUCTION ","")&amp;IF(COUNTIFS(tbl_Finance[Job Number],C321&amp;"",tbl_Finance[Cost Centre],"VIDEO")&gt;0,"VIDEO ","")&amp;IF(COUNTIFS(tbl_Finance[Job Number],C321&amp;"",tbl_Finance[Cost Centre],"INTEGRATION")&gt;0,"INTEGRATION ","")&amp;IF(COUNTIFS(tbl_Finance[Job Number],C321&amp;"",tbl_Finance[Cost Centre],"CONSULTING")&gt;0,"CONSULTING ","")&amp;IF(COUNTIFS(tbl_Finance[Job Number],C321&amp;"",tbl_Finance[Cost Centre],"CTS")&gt;0,"CTS ",""))," ",", ")))</f>
        <v/>
      </c>
      <c r="L321" s="27">
        <f>IF(C321="","",SUMIFS(tbl_Finance[Inc GST],tbl_Finance[Job Number],C321&amp;""))</f>
        <v/>
      </c>
      <c r="M321" s="24" t="n"/>
      <c r="N321" s="25">
        <f>IF(C321="","",IFERROR(INDEX(tbl_Finance[Description],MATCH(C321&amp;"",tbl_Finance[Job Number],0)),""))</f>
        <v/>
      </c>
      <c r="O321" s="24" t="n"/>
      <c r="P321" s="24" t="n"/>
      <c r="Q321" s="22" t="n"/>
      <c r="R321" s="24" t="n"/>
      <c r="S321" s="25">
        <f>IF(R321="","",IF(AND(LEFT(R321,4)&lt;&gt;"http",set_RMSBase=""),"",HYPERLINK(IF(LEFT(R321,4)="http",R321,set_RMSBase&amp;R321),"Open opportunity")))</f>
        <v/>
      </c>
      <c r="T321" s="24" t="n"/>
      <c r="U321" s="25">
        <f>IF(T321="","",HYPERLINK(IF(LEFT(T321,4)="http",T321,set_QwilrBase&amp;T321),"Open quote"))</f>
        <v/>
      </c>
      <c r="V321" s="25">
        <f>IF(C321="","",C321)</f>
        <v/>
      </c>
      <c r="W321" s="24" t="n"/>
      <c r="X321" s="26" t="n"/>
      <c r="Y321" s="27">
        <f>IF(C321="","",H321+N(X321))</f>
        <v/>
      </c>
      <c r="Z321" s="29">
        <f>IFERROR(X321/Y321,"")</f>
        <v/>
      </c>
      <c r="AA321" s="26" t="n"/>
      <c r="AB321" s="26" t="n"/>
      <c r="AC321" s="26" t="n"/>
      <c r="AD321" s="26" t="n"/>
      <c r="AE321" s="27">
        <f>IF(C321="","",SUMIFS(tbl_Finance[Ex GST],tbl_Finance[Job Number],C321&amp;"",tbl_Finance[Cost Centre],"VIDEO"))</f>
        <v/>
      </c>
      <c r="AF321" s="29">
        <f>IFERROR(AE321/H321,"")</f>
        <v/>
      </c>
      <c r="AG321" s="27">
        <f>IF(C321="","",N(AA321)+N(AB321)+N(AC321)+N(AD321))</f>
        <v/>
      </c>
      <c r="AH321" s="27">
        <f>IF(C321="","",H321-AG321)</f>
        <v/>
      </c>
      <c r="AI321" s="29">
        <f>IFERROR(AH321/H321,"")</f>
        <v/>
      </c>
      <c r="AJ321" s="69" t="n"/>
      <c r="AK321" s="69" t="n"/>
      <c r="AL321" s="69" t="n"/>
      <c r="AM321" s="69" t="n"/>
      <c r="AN321" s="69" t="n"/>
      <c r="AO321" s="24" t="n"/>
    </row>
    <row r="322" ht="15" customHeight="1">
      <c r="A322" s="68">
        <f>IF(C322="","",IFERROR(IF(SUMPRODUCT(MAX((tbl_Finance[Job Number]=C322&amp;"")*(tbl_Finance[Xero Invoice No]&lt;&gt;"")*tbl_Finance[Date]))=0,"",SUMPRODUCT(MAX((tbl_Finance[Job Number]=C322&amp;"")*(tbl_Finance[Xero Invoice No]&lt;&gt;"")*tbl_Finance[Date]))),""))</f>
        <v/>
      </c>
      <c r="B322" s="25">
        <f>IF(C322="","",IF(COUNTIFS(tbl_Finance[Job Number],C322&amp;"",tbl_Finance[Xero Invoice No],"&lt;&gt;")=0,"",IFERROR(IF(COUNTIFS(tbl_Finance[Job Number],C322&amp;"",tbl_Finance[Xero Invoice No],LOOKUP(2,1/((tbl_Finance[Job Number]=C322&amp;"")*(tbl_Finance[Xero Invoice No]&lt;&gt;"")),tbl_Finance[Xero Invoice No]))=COUNTIFS(tbl_Finance[Job Number],C322&amp;"",tbl_Finance[Xero Invoice No],"&lt;&gt;"),LOOKUP(2,1/((tbl_Finance[Job Number]=C322&amp;"")*(tbl_Finance[Xero Invoice No]&lt;&gt;"")),tbl_Finance[Xero Invoice No]),LOOKUP(2,1/((tbl_Finance[Job Number]=C322&amp;"")*(tbl_Finance[Xero Invoice No]&lt;&gt;"")),tbl_Finance[Xero Invoice No])&amp;" +more"),"")))</f>
        <v/>
      </c>
      <c r="C322" s="24" t="n"/>
      <c r="D322" s="25">
        <f>IF(C322="","",IF(COUNTIF(lst_Jobs,C322&amp;"")&gt;0,"OK","CHECK"))</f>
        <v/>
      </c>
      <c r="E322" s="25">
        <f>IF(C322="","",IFERROR(INDEX(lst_JobName,MATCH(C322&amp;"",lst_Jobs,0)),""))</f>
        <v/>
      </c>
      <c r="F322" s="25">
        <f>IF(C322="","",IFERROR(INDEX(tbl_Finance[Client],MATCH(C322&amp;"",tbl_Finance[Job Number],0)),""))</f>
        <v/>
      </c>
      <c r="G322" s="28">
        <f>IF(C322="","",COUNTIFS(tbl_Finance[Job Number],C322&amp;"",tbl_Finance[Ex GST],"&lt;&gt;"))</f>
        <v/>
      </c>
      <c r="H322" s="27">
        <f>IF(C322="","",SUMIFS(tbl_Finance[Ex GST],tbl_Finance[Job Number],C322&amp;""))</f>
        <v/>
      </c>
      <c r="I322" s="27">
        <f>IF(C322="","",SUMIFS(tbl_Finance[Ex GST],tbl_Finance[Job Number],C322&amp;"",tbl_Finance[Xero Invoice No],"&lt;&gt;"))</f>
        <v/>
      </c>
      <c r="J322" s="27">
        <f>IF(C322="","",H322-I322)</f>
        <v/>
      </c>
      <c r="K322" s="25">
        <f>IF(C322="","",IF(G322=0,"not invoiced yet",SUBSTITUTE(TRIM(IF(COUNTIFS(tbl_Finance[Job Number],C322&amp;"",tbl_Finance[Cost Centre],"ONSITE")&gt;0,"ONSITE ","")&amp;IF(COUNTIFS(tbl_Finance[Job Number],C322&amp;"",tbl_Finance[Cost Centre],"PRODUCTION")&gt;0,"PRODUCTION ","")&amp;IF(COUNTIFS(tbl_Finance[Job Number],C322&amp;"",tbl_Finance[Cost Centre],"VIDEO")&gt;0,"VIDEO ","")&amp;IF(COUNTIFS(tbl_Finance[Job Number],C322&amp;"",tbl_Finance[Cost Centre],"INTEGRATION")&gt;0,"INTEGRATION ","")&amp;IF(COUNTIFS(tbl_Finance[Job Number],C322&amp;"",tbl_Finance[Cost Centre],"CONSULTING")&gt;0,"CONSULTING ","")&amp;IF(COUNTIFS(tbl_Finance[Job Number],C322&amp;"",tbl_Finance[Cost Centre],"CTS")&gt;0,"CTS ",""))," ",", ")))</f>
        <v/>
      </c>
      <c r="L322" s="27">
        <f>IF(C322="","",SUMIFS(tbl_Finance[Inc GST],tbl_Finance[Job Number],C322&amp;""))</f>
        <v/>
      </c>
      <c r="M322" s="24" t="n"/>
      <c r="N322" s="25">
        <f>IF(C322="","",IFERROR(INDEX(tbl_Finance[Description],MATCH(C322&amp;"",tbl_Finance[Job Number],0)),""))</f>
        <v/>
      </c>
      <c r="O322" s="24" t="n"/>
      <c r="P322" s="24" t="n"/>
      <c r="Q322" s="22" t="n"/>
      <c r="R322" s="24" t="n"/>
      <c r="S322" s="25">
        <f>IF(R322="","",IF(AND(LEFT(R322,4)&lt;&gt;"http",set_RMSBase=""),"",HYPERLINK(IF(LEFT(R322,4)="http",R322,set_RMSBase&amp;R322),"Open opportunity")))</f>
        <v/>
      </c>
      <c r="T322" s="24" t="n"/>
      <c r="U322" s="25">
        <f>IF(T322="","",HYPERLINK(IF(LEFT(T322,4)="http",T322,set_QwilrBase&amp;T322),"Open quote"))</f>
        <v/>
      </c>
      <c r="V322" s="25">
        <f>IF(C322="","",C322)</f>
        <v/>
      </c>
      <c r="W322" s="24" t="n"/>
      <c r="X322" s="26" t="n"/>
      <c r="Y322" s="27">
        <f>IF(C322="","",H322+N(X322))</f>
        <v/>
      </c>
      <c r="Z322" s="29">
        <f>IFERROR(X322/Y322,"")</f>
        <v/>
      </c>
      <c r="AA322" s="26" t="n"/>
      <c r="AB322" s="26" t="n"/>
      <c r="AC322" s="26" t="n"/>
      <c r="AD322" s="26" t="n"/>
      <c r="AE322" s="27">
        <f>IF(C322="","",SUMIFS(tbl_Finance[Ex GST],tbl_Finance[Job Number],C322&amp;"",tbl_Finance[Cost Centre],"VIDEO"))</f>
        <v/>
      </c>
      <c r="AF322" s="29">
        <f>IFERROR(AE322/H322,"")</f>
        <v/>
      </c>
      <c r="AG322" s="27">
        <f>IF(C322="","",N(AA322)+N(AB322)+N(AC322)+N(AD322))</f>
        <v/>
      </c>
      <c r="AH322" s="27">
        <f>IF(C322="","",H322-AG322)</f>
        <v/>
      </c>
      <c r="AI322" s="29">
        <f>IFERROR(AH322/H322,"")</f>
        <v/>
      </c>
      <c r="AJ322" s="69" t="n"/>
      <c r="AK322" s="69" t="n"/>
      <c r="AL322" s="69" t="n"/>
      <c r="AM322" s="69" t="n"/>
      <c r="AN322" s="69" t="n"/>
      <c r="AO322" s="24" t="n"/>
    </row>
    <row r="323" ht="15" customHeight="1">
      <c r="A323" s="68">
        <f>IF(C323="","",IFERROR(IF(SUMPRODUCT(MAX((tbl_Finance[Job Number]=C323&amp;"")*(tbl_Finance[Xero Invoice No]&lt;&gt;"")*tbl_Finance[Date]))=0,"",SUMPRODUCT(MAX((tbl_Finance[Job Number]=C323&amp;"")*(tbl_Finance[Xero Invoice No]&lt;&gt;"")*tbl_Finance[Date]))),""))</f>
        <v/>
      </c>
      <c r="B323" s="25">
        <f>IF(C323="","",IF(COUNTIFS(tbl_Finance[Job Number],C323&amp;"",tbl_Finance[Xero Invoice No],"&lt;&gt;")=0,"",IFERROR(IF(COUNTIFS(tbl_Finance[Job Number],C323&amp;"",tbl_Finance[Xero Invoice No],LOOKUP(2,1/((tbl_Finance[Job Number]=C323&amp;"")*(tbl_Finance[Xero Invoice No]&lt;&gt;"")),tbl_Finance[Xero Invoice No]))=COUNTIFS(tbl_Finance[Job Number],C323&amp;"",tbl_Finance[Xero Invoice No],"&lt;&gt;"),LOOKUP(2,1/((tbl_Finance[Job Number]=C323&amp;"")*(tbl_Finance[Xero Invoice No]&lt;&gt;"")),tbl_Finance[Xero Invoice No]),LOOKUP(2,1/((tbl_Finance[Job Number]=C323&amp;"")*(tbl_Finance[Xero Invoice No]&lt;&gt;"")),tbl_Finance[Xero Invoice No])&amp;" +more"),"")))</f>
        <v/>
      </c>
      <c r="C323" s="24" t="n"/>
      <c r="D323" s="25">
        <f>IF(C323="","",IF(COUNTIF(lst_Jobs,C323&amp;"")&gt;0,"OK","CHECK"))</f>
        <v/>
      </c>
      <c r="E323" s="25">
        <f>IF(C323="","",IFERROR(INDEX(lst_JobName,MATCH(C323&amp;"",lst_Jobs,0)),""))</f>
        <v/>
      </c>
      <c r="F323" s="25">
        <f>IF(C323="","",IFERROR(INDEX(tbl_Finance[Client],MATCH(C323&amp;"",tbl_Finance[Job Number],0)),""))</f>
        <v/>
      </c>
      <c r="G323" s="28">
        <f>IF(C323="","",COUNTIFS(tbl_Finance[Job Number],C323&amp;"",tbl_Finance[Ex GST],"&lt;&gt;"))</f>
        <v/>
      </c>
      <c r="H323" s="27">
        <f>IF(C323="","",SUMIFS(tbl_Finance[Ex GST],tbl_Finance[Job Number],C323&amp;""))</f>
        <v/>
      </c>
      <c r="I323" s="27">
        <f>IF(C323="","",SUMIFS(tbl_Finance[Ex GST],tbl_Finance[Job Number],C323&amp;"",tbl_Finance[Xero Invoice No],"&lt;&gt;"))</f>
        <v/>
      </c>
      <c r="J323" s="27">
        <f>IF(C323="","",H323-I323)</f>
        <v/>
      </c>
      <c r="K323" s="25">
        <f>IF(C323="","",IF(G323=0,"not invoiced yet",SUBSTITUTE(TRIM(IF(COUNTIFS(tbl_Finance[Job Number],C323&amp;"",tbl_Finance[Cost Centre],"ONSITE")&gt;0,"ONSITE ","")&amp;IF(COUNTIFS(tbl_Finance[Job Number],C323&amp;"",tbl_Finance[Cost Centre],"PRODUCTION")&gt;0,"PRODUCTION ","")&amp;IF(COUNTIFS(tbl_Finance[Job Number],C323&amp;"",tbl_Finance[Cost Centre],"VIDEO")&gt;0,"VIDEO ","")&amp;IF(COUNTIFS(tbl_Finance[Job Number],C323&amp;"",tbl_Finance[Cost Centre],"INTEGRATION")&gt;0,"INTEGRATION ","")&amp;IF(COUNTIFS(tbl_Finance[Job Number],C323&amp;"",tbl_Finance[Cost Centre],"CONSULTING")&gt;0,"CONSULTING ","")&amp;IF(COUNTIFS(tbl_Finance[Job Number],C323&amp;"",tbl_Finance[Cost Centre],"CTS")&gt;0,"CTS ",""))," ",", ")))</f>
        <v/>
      </c>
      <c r="L323" s="27">
        <f>IF(C323="","",SUMIFS(tbl_Finance[Inc GST],tbl_Finance[Job Number],C323&amp;""))</f>
        <v/>
      </c>
      <c r="M323" s="24" t="n"/>
      <c r="N323" s="25">
        <f>IF(C323="","",IFERROR(INDEX(tbl_Finance[Description],MATCH(C323&amp;"",tbl_Finance[Job Number],0)),""))</f>
        <v/>
      </c>
      <c r="O323" s="24" t="n"/>
      <c r="P323" s="24" t="n"/>
      <c r="Q323" s="22" t="n"/>
      <c r="R323" s="24" t="n"/>
      <c r="S323" s="25">
        <f>IF(R323="","",IF(AND(LEFT(R323,4)&lt;&gt;"http",set_RMSBase=""),"",HYPERLINK(IF(LEFT(R323,4)="http",R323,set_RMSBase&amp;R323),"Open opportunity")))</f>
        <v/>
      </c>
      <c r="T323" s="24" t="n"/>
      <c r="U323" s="25">
        <f>IF(T323="","",HYPERLINK(IF(LEFT(T323,4)="http",T323,set_QwilrBase&amp;T323),"Open quote"))</f>
        <v/>
      </c>
      <c r="V323" s="25">
        <f>IF(C323="","",C323)</f>
        <v/>
      </c>
      <c r="W323" s="24" t="n"/>
      <c r="X323" s="26" t="n"/>
      <c r="Y323" s="27">
        <f>IF(C323="","",H323+N(X323))</f>
        <v/>
      </c>
      <c r="Z323" s="29">
        <f>IFERROR(X323/Y323,"")</f>
        <v/>
      </c>
      <c r="AA323" s="26" t="n"/>
      <c r="AB323" s="26" t="n"/>
      <c r="AC323" s="26" t="n"/>
      <c r="AD323" s="26" t="n"/>
      <c r="AE323" s="27">
        <f>IF(C323="","",SUMIFS(tbl_Finance[Ex GST],tbl_Finance[Job Number],C323&amp;"",tbl_Finance[Cost Centre],"VIDEO"))</f>
        <v/>
      </c>
      <c r="AF323" s="29">
        <f>IFERROR(AE323/H323,"")</f>
        <v/>
      </c>
      <c r="AG323" s="27">
        <f>IF(C323="","",N(AA323)+N(AB323)+N(AC323)+N(AD323))</f>
        <v/>
      </c>
      <c r="AH323" s="27">
        <f>IF(C323="","",H323-AG323)</f>
        <v/>
      </c>
      <c r="AI323" s="29">
        <f>IFERROR(AH323/H323,"")</f>
        <v/>
      </c>
      <c r="AJ323" s="69" t="n"/>
      <c r="AK323" s="69" t="n"/>
      <c r="AL323" s="69" t="n"/>
      <c r="AM323" s="69" t="n"/>
      <c r="AN323" s="69" t="n"/>
      <c r="AO323" s="24" t="n"/>
    </row>
    <row r="324" ht="15" customHeight="1">
      <c r="A324" s="68">
        <f>IF(C324="","",IFERROR(IF(SUMPRODUCT(MAX((tbl_Finance[Job Number]=C324&amp;"")*(tbl_Finance[Xero Invoice No]&lt;&gt;"")*tbl_Finance[Date]))=0,"",SUMPRODUCT(MAX((tbl_Finance[Job Number]=C324&amp;"")*(tbl_Finance[Xero Invoice No]&lt;&gt;"")*tbl_Finance[Date]))),""))</f>
        <v/>
      </c>
      <c r="B324" s="25">
        <f>IF(C324="","",IF(COUNTIFS(tbl_Finance[Job Number],C324&amp;"",tbl_Finance[Xero Invoice No],"&lt;&gt;")=0,"",IFERROR(IF(COUNTIFS(tbl_Finance[Job Number],C324&amp;"",tbl_Finance[Xero Invoice No],LOOKUP(2,1/((tbl_Finance[Job Number]=C324&amp;"")*(tbl_Finance[Xero Invoice No]&lt;&gt;"")),tbl_Finance[Xero Invoice No]))=COUNTIFS(tbl_Finance[Job Number],C324&amp;"",tbl_Finance[Xero Invoice No],"&lt;&gt;"),LOOKUP(2,1/((tbl_Finance[Job Number]=C324&amp;"")*(tbl_Finance[Xero Invoice No]&lt;&gt;"")),tbl_Finance[Xero Invoice No]),LOOKUP(2,1/((tbl_Finance[Job Number]=C324&amp;"")*(tbl_Finance[Xero Invoice No]&lt;&gt;"")),tbl_Finance[Xero Invoice No])&amp;" +more"),"")))</f>
        <v/>
      </c>
      <c r="C324" s="24" t="n"/>
      <c r="D324" s="25">
        <f>IF(C324="","",IF(COUNTIF(lst_Jobs,C324&amp;"")&gt;0,"OK","CHECK"))</f>
        <v/>
      </c>
      <c r="E324" s="25">
        <f>IF(C324="","",IFERROR(INDEX(lst_JobName,MATCH(C324&amp;"",lst_Jobs,0)),""))</f>
        <v/>
      </c>
      <c r="F324" s="25">
        <f>IF(C324="","",IFERROR(INDEX(tbl_Finance[Client],MATCH(C324&amp;"",tbl_Finance[Job Number],0)),""))</f>
        <v/>
      </c>
      <c r="G324" s="28">
        <f>IF(C324="","",COUNTIFS(tbl_Finance[Job Number],C324&amp;"",tbl_Finance[Ex GST],"&lt;&gt;"))</f>
        <v/>
      </c>
      <c r="H324" s="27">
        <f>IF(C324="","",SUMIFS(tbl_Finance[Ex GST],tbl_Finance[Job Number],C324&amp;""))</f>
        <v/>
      </c>
      <c r="I324" s="27">
        <f>IF(C324="","",SUMIFS(tbl_Finance[Ex GST],tbl_Finance[Job Number],C324&amp;"",tbl_Finance[Xero Invoice No],"&lt;&gt;"))</f>
        <v/>
      </c>
      <c r="J324" s="27">
        <f>IF(C324="","",H324-I324)</f>
        <v/>
      </c>
      <c r="K324" s="25">
        <f>IF(C324="","",IF(G324=0,"not invoiced yet",SUBSTITUTE(TRIM(IF(COUNTIFS(tbl_Finance[Job Number],C324&amp;"",tbl_Finance[Cost Centre],"ONSITE")&gt;0,"ONSITE ","")&amp;IF(COUNTIFS(tbl_Finance[Job Number],C324&amp;"",tbl_Finance[Cost Centre],"PRODUCTION")&gt;0,"PRODUCTION ","")&amp;IF(COUNTIFS(tbl_Finance[Job Number],C324&amp;"",tbl_Finance[Cost Centre],"VIDEO")&gt;0,"VIDEO ","")&amp;IF(COUNTIFS(tbl_Finance[Job Number],C324&amp;"",tbl_Finance[Cost Centre],"INTEGRATION")&gt;0,"INTEGRATION ","")&amp;IF(COUNTIFS(tbl_Finance[Job Number],C324&amp;"",tbl_Finance[Cost Centre],"CONSULTING")&gt;0,"CONSULTING ","")&amp;IF(COUNTIFS(tbl_Finance[Job Number],C324&amp;"",tbl_Finance[Cost Centre],"CTS")&gt;0,"CTS ",""))," ",", ")))</f>
        <v/>
      </c>
      <c r="L324" s="27">
        <f>IF(C324="","",SUMIFS(tbl_Finance[Inc GST],tbl_Finance[Job Number],C324&amp;""))</f>
        <v/>
      </c>
      <c r="M324" s="24" t="n"/>
      <c r="N324" s="25">
        <f>IF(C324="","",IFERROR(INDEX(tbl_Finance[Description],MATCH(C324&amp;"",tbl_Finance[Job Number],0)),""))</f>
        <v/>
      </c>
      <c r="O324" s="24" t="n"/>
      <c r="P324" s="24" t="n"/>
      <c r="Q324" s="22" t="n"/>
      <c r="R324" s="24" t="n"/>
      <c r="S324" s="25">
        <f>IF(R324="","",IF(AND(LEFT(R324,4)&lt;&gt;"http",set_RMSBase=""),"",HYPERLINK(IF(LEFT(R324,4)="http",R324,set_RMSBase&amp;R324),"Open opportunity")))</f>
        <v/>
      </c>
      <c r="T324" s="24" t="n"/>
      <c r="U324" s="25">
        <f>IF(T324="","",HYPERLINK(IF(LEFT(T324,4)="http",T324,set_QwilrBase&amp;T324),"Open quote"))</f>
        <v/>
      </c>
      <c r="V324" s="25">
        <f>IF(C324="","",C324)</f>
        <v/>
      </c>
      <c r="W324" s="24" t="n"/>
      <c r="X324" s="26" t="n"/>
      <c r="Y324" s="27">
        <f>IF(C324="","",H324+N(X324))</f>
        <v/>
      </c>
      <c r="Z324" s="29">
        <f>IFERROR(X324/Y324,"")</f>
        <v/>
      </c>
      <c r="AA324" s="26" t="n"/>
      <c r="AB324" s="26" t="n"/>
      <c r="AC324" s="26" t="n"/>
      <c r="AD324" s="26" t="n"/>
      <c r="AE324" s="27">
        <f>IF(C324="","",SUMIFS(tbl_Finance[Ex GST],tbl_Finance[Job Number],C324&amp;"",tbl_Finance[Cost Centre],"VIDEO"))</f>
        <v/>
      </c>
      <c r="AF324" s="29">
        <f>IFERROR(AE324/H324,"")</f>
        <v/>
      </c>
      <c r="AG324" s="27">
        <f>IF(C324="","",N(AA324)+N(AB324)+N(AC324)+N(AD324))</f>
        <v/>
      </c>
      <c r="AH324" s="27">
        <f>IF(C324="","",H324-AG324)</f>
        <v/>
      </c>
      <c r="AI324" s="29">
        <f>IFERROR(AH324/H324,"")</f>
        <v/>
      </c>
      <c r="AJ324" s="69" t="n"/>
      <c r="AK324" s="69" t="n"/>
      <c r="AL324" s="69" t="n"/>
      <c r="AM324" s="69" t="n"/>
      <c r="AN324" s="69" t="n"/>
      <c r="AO324" s="24" t="n"/>
    </row>
    <row r="325" ht="15" customHeight="1">
      <c r="A325" s="68">
        <f>IF(C325="","",IFERROR(IF(SUMPRODUCT(MAX((tbl_Finance[Job Number]=C325&amp;"")*(tbl_Finance[Xero Invoice No]&lt;&gt;"")*tbl_Finance[Date]))=0,"",SUMPRODUCT(MAX((tbl_Finance[Job Number]=C325&amp;"")*(tbl_Finance[Xero Invoice No]&lt;&gt;"")*tbl_Finance[Date]))),""))</f>
        <v/>
      </c>
      <c r="B325" s="25">
        <f>IF(C325="","",IF(COUNTIFS(tbl_Finance[Job Number],C325&amp;"",tbl_Finance[Xero Invoice No],"&lt;&gt;")=0,"",IFERROR(IF(COUNTIFS(tbl_Finance[Job Number],C325&amp;"",tbl_Finance[Xero Invoice No],LOOKUP(2,1/((tbl_Finance[Job Number]=C325&amp;"")*(tbl_Finance[Xero Invoice No]&lt;&gt;"")),tbl_Finance[Xero Invoice No]))=COUNTIFS(tbl_Finance[Job Number],C325&amp;"",tbl_Finance[Xero Invoice No],"&lt;&gt;"),LOOKUP(2,1/((tbl_Finance[Job Number]=C325&amp;"")*(tbl_Finance[Xero Invoice No]&lt;&gt;"")),tbl_Finance[Xero Invoice No]),LOOKUP(2,1/((tbl_Finance[Job Number]=C325&amp;"")*(tbl_Finance[Xero Invoice No]&lt;&gt;"")),tbl_Finance[Xero Invoice No])&amp;" +more"),"")))</f>
        <v/>
      </c>
      <c r="C325" s="24" t="n"/>
      <c r="D325" s="25">
        <f>IF(C325="","",IF(COUNTIF(lst_Jobs,C325&amp;"")&gt;0,"OK","CHECK"))</f>
        <v/>
      </c>
      <c r="E325" s="25">
        <f>IF(C325="","",IFERROR(INDEX(lst_JobName,MATCH(C325&amp;"",lst_Jobs,0)),""))</f>
        <v/>
      </c>
      <c r="F325" s="25">
        <f>IF(C325="","",IFERROR(INDEX(tbl_Finance[Client],MATCH(C325&amp;"",tbl_Finance[Job Number],0)),""))</f>
        <v/>
      </c>
      <c r="G325" s="28">
        <f>IF(C325="","",COUNTIFS(tbl_Finance[Job Number],C325&amp;"",tbl_Finance[Ex GST],"&lt;&gt;"))</f>
        <v/>
      </c>
      <c r="H325" s="27">
        <f>IF(C325="","",SUMIFS(tbl_Finance[Ex GST],tbl_Finance[Job Number],C325&amp;""))</f>
        <v/>
      </c>
      <c r="I325" s="27">
        <f>IF(C325="","",SUMIFS(tbl_Finance[Ex GST],tbl_Finance[Job Number],C325&amp;"",tbl_Finance[Xero Invoice No],"&lt;&gt;"))</f>
        <v/>
      </c>
      <c r="J325" s="27">
        <f>IF(C325="","",H325-I325)</f>
        <v/>
      </c>
      <c r="K325" s="25">
        <f>IF(C325="","",IF(G325=0,"not invoiced yet",SUBSTITUTE(TRIM(IF(COUNTIFS(tbl_Finance[Job Number],C325&amp;"",tbl_Finance[Cost Centre],"ONSITE")&gt;0,"ONSITE ","")&amp;IF(COUNTIFS(tbl_Finance[Job Number],C325&amp;"",tbl_Finance[Cost Centre],"PRODUCTION")&gt;0,"PRODUCTION ","")&amp;IF(COUNTIFS(tbl_Finance[Job Number],C325&amp;"",tbl_Finance[Cost Centre],"VIDEO")&gt;0,"VIDEO ","")&amp;IF(COUNTIFS(tbl_Finance[Job Number],C325&amp;"",tbl_Finance[Cost Centre],"INTEGRATION")&gt;0,"INTEGRATION ","")&amp;IF(COUNTIFS(tbl_Finance[Job Number],C325&amp;"",tbl_Finance[Cost Centre],"CONSULTING")&gt;0,"CONSULTING ","")&amp;IF(COUNTIFS(tbl_Finance[Job Number],C325&amp;"",tbl_Finance[Cost Centre],"CTS")&gt;0,"CTS ",""))," ",", ")))</f>
        <v/>
      </c>
      <c r="L325" s="27">
        <f>IF(C325="","",SUMIFS(tbl_Finance[Inc GST],tbl_Finance[Job Number],C325&amp;""))</f>
        <v/>
      </c>
      <c r="M325" s="24" t="n"/>
      <c r="N325" s="25">
        <f>IF(C325="","",IFERROR(INDEX(tbl_Finance[Description],MATCH(C325&amp;"",tbl_Finance[Job Number],0)),""))</f>
        <v/>
      </c>
      <c r="O325" s="24" t="n"/>
      <c r="P325" s="24" t="n"/>
      <c r="Q325" s="22" t="n"/>
      <c r="R325" s="24" t="n"/>
      <c r="S325" s="25">
        <f>IF(R325="","",IF(AND(LEFT(R325,4)&lt;&gt;"http",set_RMSBase=""),"",HYPERLINK(IF(LEFT(R325,4)="http",R325,set_RMSBase&amp;R325),"Open opportunity")))</f>
        <v/>
      </c>
      <c r="T325" s="24" t="n"/>
      <c r="U325" s="25">
        <f>IF(T325="","",HYPERLINK(IF(LEFT(T325,4)="http",T325,set_QwilrBase&amp;T325),"Open quote"))</f>
        <v/>
      </c>
      <c r="V325" s="25">
        <f>IF(C325="","",C325)</f>
        <v/>
      </c>
      <c r="W325" s="24" t="n"/>
      <c r="X325" s="26" t="n"/>
      <c r="Y325" s="27">
        <f>IF(C325="","",H325+N(X325))</f>
        <v/>
      </c>
      <c r="Z325" s="29">
        <f>IFERROR(X325/Y325,"")</f>
        <v/>
      </c>
      <c r="AA325" s="26" t="n"/>
      <c r="AB325" s="26" t="n"/>
      <c r="AC325" s="26" t="n"/>
      <c r="AD325" s="26" t="n"/>
      <c r="AE325" s="27">
        <f>IF(C325="","",SUMIFS(tbl_Finance[Ex GST],tbl_Finance[Job Number],C325&amp;"",tbl_Finance[Cost Centre],"VIDEO"))</f>
        <v/>
      </c>
      <c r="AF325" s="29">
        <f>IFERROR(AE325/H325,"")</f>
        <v/>
      </c>
      <c r="AG325" s="27">
        <f>IF(C325="","",N(AA325)+N(AB325)+N(AC325)+N(AD325))</f>
        <v/>
      </c>
      <c r="AH325" s="27">
        <f>IF(C325="","",H325-AG325)</f>
        <v/>
      </c>
      <c r="AI325" s="29">
        <f>IFERROR(AH325/H325,"")</f>
        <v/>
      </c>
      <c r="AJ325" s="69" t="n"/>
      <c r="AK325" s="69" t="n"/>
      <c r="AL325" s="69" t="n"/>
      <c r="AM325" s="69" t="n"/>
      <c r="AN325" s="69" t="n"/>
      <c r="AO325" s="24" t="n"/>
    </row>
    <row r="326" ht="15" customHeight="1">
      <c r="A326" s="68">
        <f>IF(C326="","",IFERROR(IF(SUMPRODUCT(MAX((tbl_Finance[Job Number]=C326&amp;"")*(tbl_Finance[Xero Invoice No]&lt;&gt;"")*tbl_Finance[Date]))=0,"",SUMPRODUCT(MAX((tbl_Finance[Job Number]=C326&amp;"")*(tbl_Finance[Xero Invoice No]&lt;&gt;"")*tbl_Finance[Date]))),""))</f>
        <v/>
      </c>
      <c r="B326" s="25">
        <f>IF(C326="","",IF(COUNTIFS(tbl_Finance[Job Number],C326&amp;"",tbl_Finance[Xero Invoice No],"&lt;&gt;")=0,"",IFERROR(IF(COUNTIFS(tbl_Finance[Job Number],C326&amp;"",tbl_Finance[Xero Invoice No],LOOKUP(2,1/((tbl_Finance[Job Number]=C326&amp;"")*(tbl_Finance[Xero Invoice No]&lt;&gt;"")),tbl_Finance[Xero Invoice No]))=COUNTIFS(tbl_Finance[Job Number],C326&amp;"",tbl_Finance[Xero Invoice No],"&lt;&gt;"),LOOKUP(2,1/((tbl_Finance[Job Number]=C326&amp;"")*(tbl_Finance[Xero Invoice No]&lt;&gt;"")),tbl_Finance[Xero Invoice No]),LOOKUP(2,1/((tbl_Finance[Job Number]=C326&amp;"")*(tbl_Finance[Xero Invoice No]&lt;&gt;"")),tbl_Finance[Xero Invoice No])&amp;" +more"),"")))</f>
        <v/>
      </c>
      <c r="C326" s="24" t="n"/>
      <c r="D326" s="25">
        <f>IF(C326="","",IF(COUNTIF(lst_Jobs,C326&amp;"")&gt;0,"OK","CHECK"))</f>
        <v/>
      </c>
      <c r="E326" s="25">
        <f>IF(C326="","",IFERROR(INDEX(lst_JobName,MATCH(C326&amp;"",lst_Jobs,0)),""))</f>
        <v/>
      </c>
      <c r="F326" s="25">
        <f>IF(C326="","",IFERROR(INDEX(tbl_Finance[Client],MATCH(C326&amp;"",tbl_Finance[Job Number],0)),""))</f>
        <v/>
      </c>
      <c r="G326" s="28">
        <f>IF(C326="","",COUNTIFS(tbl_Finance[Job Number],C326&amp;"",tbl_Finance[Ex GST],"&lt;&gt;"))</f>
        <v/>
      </c>
      <c r="H326" s="27">
        <f>IF(C326="","",SUMIFS(tbl_Finance[Ex GST],tbl_Finance[Job Number],C326&amp;""))</f>
        <v/>
      </c>
      <c r="I326" s="27">
        <f>IF(C326="","",SUMIFS(tbl_Finance[Ex GST],tbl_Finance[Job Number],C326&amp;"",tbl_Finance[Xero Invoice No],"&lt;&gt;"))</f>
        <v/>
      </c>
      <c r="J326" s="27">
        <f>IF(C326="","",H326-I326)</f>
        <v/>
      </c>
      <c r="K326" s="25">
        <f>IF(C326="","",IF(G326=0,"not invoiced yet",SUBSTITUTE(TRIM(IF(COUNTIFS(tbl_Finance[Job Number],C326&amp;"",tbl_Finance[Cost Centre],"ONSITE")&gt;0,"ONSITE ","")&amp;IF(COUNTIFS(tbl_Finance[Job Number],C326&amp;"",tbl_Finance[Cost Centre],"PRODUCTION")&gt;0,"PRODUCTION ","")&amp;IF(COUNTIFS(tbl_Finance[Job Number],C326&amp;"",tbl_Finance[Cost Centre],"VIDEO")&gt;0,"VIDEO ","")&amp;IF(COUNTIFS(tbl_Finance[Job Number],C326&amp;"",tbl_Finance[Cost Centre],"INTEGRATION")&gt;0,"INTEGRATION ","")&amp;IF(COUNTIFS(tbl_Finance[Job Number],C326&amp;"",tbl_Finance[Cost Centre],"CONSULTING")&gt;0,"CONSULTING ","")&amp;IF(COUNTIFS(tbl_Finance[Job Number],C326&amp;"",tbl_Finance[Cost Centre],"CTS")&gt;0,"CTS ",""))," ",", ")))</f>
        <v/>
      </c>
      <c r="L326" s="27">
        <f>IF(C326="","",SUMIFS(tbl_Finance[Inc GST],tbl_Finance[Job Number],C326&amp;""))</f>
        <v/>
      </c>
      <c r="M326" s="24" t="n"/>
      <c r="N326" s="25">
        <f>IF(C326="","",IFERROR(INDEX(tbl_Finance[Description],MATCH(C326&amp;"",tbl_Finance[Job Number],0)),""))</f>
        <v/>
      </c>
      <c r="O326" s="24" t="n"/>
      <c r="P326" s="24" t="n"/>
      <c r="Q326" s="22" t="n"/>
      <c r="R326" s="24" t="n"/>
      <c r="S326" s="25">
        <f>IF(R326="","",IF(AND(LEFT(R326,4)&lt;&gt;"http",set_RMSBase=""),"",HYPERLINK(IF(LEFT(R326,4)="http",R326,set_RMSBase&amp;R326),"Open opportunity")))</f>
        <v/>
      </c>
      <c r="T326" s="24" t="n"/>
      <c r="U326" s="25">
        <f>IF(T326="","",HYPERLINK(IF(LEFT(T326,4)="http",T326,set_QwilrBase&amp;T326),"Open quote"))</f>
        <v/>
      </c>
      <c r="V326" s="25">
        <f>IF(C326="","",C326)</f>
        <v/>
      </c>
      <c r="W326" s="24" t="n"/>
      <c r="X326" s="26" t="n"/>
      <c r="Y326" s="27">
        <f>IF(C326="","",H326+N(X326))</f>
        <v/>
      </c>
      <c r="Z326" s="29">
        <f>IFERROR(X326/Y326,"")</f>
        <v/>
      </c>
      <c r="AA326" s="26" t="n"/>
      <c r="AB326" s="26" t="n"/>
      <c r="AC326" s="26" t="n"/>
      <c r="AD326" s="26" t="n"/>
      <c r="AE326" s="27">
        <f>IF(C326="","",SUMIFS(tbl_Finance[Ex GST],tbl_Finance[Job Number],C326&amp;"",tbl_Finance[Cost Centre],"VIDEO"))</f>
        <v/>
      </c>
      <c r="AF326" s="29">
        <f>IFERROR(AE326/H326,"")</f>
        <v/>
      </c>
      <c r="AG326" s="27">
        <f>IF(C326="","",N(AA326)+N(AB326)+N(AC326)+N(AD326))</f>
        <v/>
      </c>
      <c r="AH326" s="27">
        <f>IF(C326="","",H326-AG326)</f>
        <v/>
      </c>
      <c r="AI326" s="29">
        <f>IFERROR(AH326/H326,"")</f>
        <v/>
      </c>
      <c r="AJ326" s="69" t="n"/>
      <c r="AK326" s="69" t="n"/>
      <c r="AL326" s="69" t="n"/>
      <c r="AM326" s="69" t="n"/>
      <c r="AN326" s="69" t="n"/>
      <c r="AO326" s="24" t="n"/>
    </row>
    <row r="327" ht="15" customHeight="1">
      <c r="A327" s="68">
        <f>IF(C327="","",IFERROR(IF(SUMPRODUCT(MAX((tbl_Finance[Job Number]=C327&amp;"")*(tbl_Finance[Xero Invoice No]&lt;&gt;"")*tbl_Finance[Date]))=0,"",SUMPRODUCT(MAX((tbl_Finance[Job Number]=C327&amp;"")*(tbl_Finance[Xero Invoice No]&lt;&gt;"")*tbl_Finance[Date]))),""))</f>
        <v/>
      </c>
      <c r="B327" s="25">
        <f>IF(C327="","",IF(COUNTIFS(tbl_Finance[Job Number],C327&amp;"",tbl_Finance[Xero Invoice No],"&lt;&gt;")=0,"",IFERROR(IF(COUNTIFS(tbl_Finance[Job Number],C327&amp;"",tbl_Finance[Xero Invoice No],LOOKUP(2,1/((tbl_Finance[Job Number]=C327&amp;"")*(tbl_Finance[Xero Invoice No]&lt;&gt;"")),tbl_Finance[Xero Invoice No]))=COUNTIFS(tbl_Finance[Job Number],C327&amp;"",tbl_Finance[Xero Invoice No],"&lt;&gt;"),LOOKUP(2,1/((tbl_Finance[Job Number]=C327&amp;"")*(tbl_Finance[Xero Invoice No]&lt;&gt;"")),tbl_Finance[Xero Invoice No]),LOOKUP(2,1/((tbl_Finance[Job Number]=C327&amp;"")*(tbl_Finance[Xero Invoice No]&lt;&gt;"")),tbl_Finance[Xero Invoice No])&amp;" +more"),"")))</f>
        <v/>
      </c>
      <c r="C327" s="24" t="n"/>
      <c r="D327" s="25">
        <f>IF(C327="","",IF(COUNTIF(lst_Jobs,C327&amp;"")&gt;0,"OK","CHECK"))</f>
        <v/>
      </c>
      <c r="E327" s="25">
        <f>IF(C327="","",IFERROR(INDEX(lst_JobName,MATCH(C327&amp;"",lst_Jobs,0)),""))</f>
        <v/>
      </c>
      <c r="F327" s="25">
        <f>IF(C327="","",IFERROR(INDEX(tbl_Finance[Client],MATCH(C327&amp;"",tbl_Finance[Job Number],0)),""))</f>
        <v/>
      </c>
      <c r="G327" s="28">
        <f>IF(C327="","",COUNTIFS(tbl_Finance[Job Number],C327&amp;"",tbl_Finance[Ex GST],"&lt;&gt;"))</f>
        <v/>
      </c>
      <c r="H327" s="27">
        <f>IF(C327="","",SUMIFS(tbl_Finance[Ex GST],tbl_Finance[Job Number],C327&amp;""))</f>
        <v/>
      </c>
      <c r="I327" s="27">
        <f>IF(C327="","",SUMIFS(tbl_Finance[Ex GST],tbl_Finance[Job Number],C327&amp;"",tbl_Finance[Xero Invoice No],"&lt;&gt;"))</f>
        <v/>
      </c>
      <c r="J327" s="27">
        <f>IF(C327="","",H327-I327)</f>
        <v/>
      </c>
      <c r="K327" s="25">
        <f>IF(C327="","",IF(G327=0,"not invoiced yet",SUBSTITUTE(TRIM(IF(COUNTIFS(tbl_Finance[Job Number],C327&amp;"",tbl_Finance[Cost Centre],"ONSITE")&gt;0,"ONSITE ","")&amp;IF(COUNTIFS(tbl_Finance[Job Number],C327&amp;"",tbl_Finance[Cost Centre],"PRODUCTION")&gt;0,"PRODUCTION ","")&amp;IF(COUNTIFS(tbl_Finance[Job Number],C327&amp;"",tbl_Finance[Cost Centre],"VIDEO")&gt;0,"VIDEO ","")&amp;IF(COUNTIFS(tbl_Finance[Job Number],C327&amp;"",tbl_Finance[Cost Centre],"INTEGRATION")&gt;0,"INTEGRATION ","")&amp;IF(COUNTIFS(tbl_Finance[Job Number],C327&amp;"",tbl_Finance[Cost Centre],"CONSULTING")&gt;0,"CONSULTING ","")&amp;IF(COUNTIFS(tbl_Finance[Job Number],C327&amp;"",tbl_Finance[Cost Centre],"CTS")&gt;0,"CTS ",""))," ",", ")))</f>
        <v/>
      </c>
      <c r="L327" s="27">
        <f>IF(C327="","",SUMIFS(tbl_Finance[Inc GST],tbl_Finance[Job Number],C327&amp;""))</f>
        <v/>
      </c>
      <c r="M327" s="24" t="n"/>
      <c r="N327" s="25">
        <f>IF(C327="","",IFERROR(INDEX(tbl_Finance[Description],MATCH(C327&amp;"",tbl_Finance[Job Number],0)),""))</f>
        <v/>
      </c>
      <c r="O327" s="24" t="n"/>
      <c r="P327" s="24" t="n"/>
      <c r="Q327" s="22" t="n"/>
      <c r="R327" s="24" t="n"/>
      <c r="S327" s="25">
        <f>IF(R327="","",IF(AND(LEFT(R327,4)&lt;&gt;"http",set_RMSBase=""),"",HYPERLINK(IF(LEFT(R327,4)="http",R327,set_RMSBase&amp;R327),"Open opportunity")))</f>
        <v/>
      </c>
      <c r="T327" s="24" t="n"/>
      <c r="U327" s="25">
        <f>IF(T327="","",HYPERLINK(IF(LEFT(T327,4)="http",T327,set_QwilrBase&amp;T327),"Open quote"))</f>
        <v/>
      </c>
      <c r="V327" s="25">
        <f>IF(C327="","",C327)</f>
        <v/>
      </c>
      <c r="W327" s="24" t="n"/>
      <c r="X327" s="26" t="n"/>
      <c r="Y327" s="27">
        <f>IF(C327="","",H327+N(X327))</f>
        <v/>
      </c>
      <c r="Z327" s="29">
        <f>IFERROR(X327/Y327,"")</f>
        <v/>
      </c>
      <c r="AA327" s="26" t="n"/>
      <c r="AB327" s="26" t="n"/>
      <c r="AC327" s="26" t="n"/>
      <c r="AD327" s="26" t="n"/>
      <c r="AE327" s="27">
        <f>IF(C327="","",SUMIFS(tbl_Finance[Ex GST],tbl_Finance[Job Number],C327&amp;"",tbl_Finance[Cost Centre],"VIDEO"))</f>
        <v/>
      </c>
      <c r="AF327" s="29">
        <f>IFERROR(AE327/H327,"")</f>
        <v/>
      </c>
      <c r="AG327" s="27">
        <f>IF(C327="","",N(AA327)+N(AB327)+N(AC327)+N(AD327))</f>
        <v/>
      </c>
      <c r="AH327" s="27">
        <f>IF(C327="","",H327-AG327)</f>
        <v/>
      </c>
      <c r="AI327" s="29">
        <f>IFERROR(AH327/H327,"")</f>
        <v/>
      </c>
      <c r="AJ327" s="69" t="n"/>
      <c r="AK327" s="69" t="n"/>
      <c r="AL327" s="69" t="n"/>
      <c r="AM327" s="69" t="n"/>
      <c r="AN327" s="69" t="n"/>
      <c r="AO327" s="24" t="n"/>
    </row>
    <row r="328" ht="15" customHeight="1">
      <c r="A328" s="68">
        <f>IF(C328="","",IFERROR(IF(SUMPRODUCT(MAX((tbl_Finance[Job Number]=C328&amp;"")*(tbl_Finance[Xero Invoice No]&lt;&gt;"")*tbl_Finance[Date]))=0,"",SUMPRODUCT(MAX((tbl_Finance[Job Number]=C328&amp;"")*(tbl_Finance[Xero Invoice No]&lt;&gt;"")*tbl_Finance[Date]))),""))</f>
        <v/>
      </c>
      <c r="B328" s="25">
        <f>IF(C328="","",IF(COUNTIFS(tbl_Finance[Job Number],C328&amp;"",tbl_Finance[Xero Invoice No],"&lt;&gt;")=0,"",IFERROR(IF(COUNTIFS(tbl_Finance[Job Number],C328&amp;"",tbl_Finance[Xero Invoice No],LOOKUP(2,1/((tbl_Finance[Job Number]=C328&amp;"")*(tbl_Finance[Xero Invoice No]&lt;&gt;"")),tbl_Finance[Xero Invoice No]))=COUNTIFS(tbl_Finance[Job Number],C328&amp;"",tbl_Finance[Xero Invoice No],"&lt;&gt;"),LOOKUP(2,1/((tbl_Finance[Job Number]=C328&amp;"")*(tbl_Finance[Xero Invoice No]&lt;&gt;"")),tbl_Finance[Xero Invoice No]),LOOKUP(2,1/((tbl_Finance[Job Number]=C328&amp;"")*(tbl_Finance[Xero Invoice No]&lt;&gt;"")),tbl_Finance[Xero Invoice No])&amp;" +more"),"")))</f>
        <v/>
      </c>
      <c r="C328" s="24" t="n"/>
      <c r="D328" s="25">
        <f>IF(C328="","",IF(COUNTIF(lst_Jobs,C328&amp;"")&gt;0,"OK","CHECK"))</f>
        <v/>
      </c>
      <c r="E328" s="25">
        <f>IF(C328="","",IFERROR(INDEX(lst_JobName,MATCH(C328&amp;"",lst_Jobs,0)),""))</f>
        <v/>
      </c>
      <c r="F328" s="25">
        <f>IF(C328="","",IFERROR(INDEX(tbl_Finance[Client],MATCH(C328&amp;"",tbl_Finance[Job Number],0)),""))</f>
        <v/>
      </c>
      <c r="G328" s="28">
        <f>IF(C328="","",COUNTIFS(tbl_Finance[Job Number],C328&amp;"",tbl_Finance[Ex GST],"&lt;&gt;"))</f>
        <v/>
      </c>
      <c r="H328" s="27">
        <f>IF(C328="","",SUMIFS(tbl_Finance[Ex GST],tbl_Finance[Job Number],C328&amp;""))</f>
        <v/>
      </c>
      <c r="I328" s="27">
        <f>IF(C328="","",SUMIFS(tbl_Finance[Ex GST],tbl_Finance[Job Number],C328&amp;"",tbl_Finance[Xero Invoice No],"&lt;&gt;"))</f>
        <v/>
      </c>
      <c r="J328" s="27">
        <f>IF(C328="","",H328-I328)</f>
        <v/>
      </c>
      <c r="K328" s="25">
        <f>IF(C328="","",IF(G328=0,"not invoiced yet",SUBSTITUTE(TRIM(IF(COUNTIFS(tbl_Finance[Job Number],C328&amp;"",tbl_Finance[Cost Centre],"ONSITE")&gt;0,"ONSITE ","")&amp;IF(COUNTIFS(tbl_Finance[Job Number],C328&amp;"",tbl_Finance[Cost Centre],"PRODUCTION")&gt;0,"PRODUCTION ","")&amp;IF(COUNTIFS(tbl_Finance[Job Number],C328&amp;"",tbl_Finance[Cost Centre],"VIDEO")&gt;0,"VIDEO ","")&amp;IF(COUNTIFS(tbl_Finance[Job Number],C328&amp;"",tbl_Finance[Cost Centre],"INTEGRATION")&gt;0,"INTEGRATION ","")&amp;IF(COUNTIFS(tbl_Finance[Job Number],C328&amp;"",tbl_Finance[Cost Centre],"CONSULTING")&gt;0,"CONSULTING ","")&amp;IF(COUNTIFS(tbl_Finance[Job Number],C328&amp;"",tbl_Finance[Cost Centre],"CTS")&gt;0,"CTS ",""))," ",", ")))</f>
        <v/>
      </c>
      <c r="L328" s="27">
        <f>IF(C328="","",SUMIFS(tbl_Finance[Inc GST],tbl_Finance[Job Number],C328&amp;""))</f>
        <v/>
      </c>
      <c r="M328" s="24" t="n"/>
      <c r="N328" s="25">
        <f>IF(C328="","",IFERROR(INDEX(tbl_Finance[Description],MATCH(C328&amp;"",tbl_Finance[Job Number],0)),""))</f>
        <v/>
      </c>
      <c r="O328" s="24" t="n"/>
      <c r="P328" s="24" t="n"/>
      <c r="Q328" s="22" t="n"/>
      <c r="R328" s="24" t="n"/>
      <c r="S328" s="25">
        <f>IF(R328="","",IF(AND(LEFT(R328,4)&lt;&gt;"http",set_RMSBase=""),"",HYPERLINK(IF(LEFT(R328,4)="http",R328,set_RMSBase&amp;R328),"Open opportunity")))</f>
        <v/>
      </c>
      <c r="T328" s="24" t="n"/>
      <c r="U328" s="25">
        <f>IF(T328="","",HYPERLINK(IF(LEFT(T328,4)="http",T328,set_QwilrBase&amp;T328),"Open quote"))</f>
        <v/>
      </c>
      <c r="V328" s="25">
        <f>IF(C328="","",C328)</f>
        <v/>
      </c>
      <c r="W328" s="24" t="n"/>
      <c r="X328" s="26" t="n"/>
      <c r="Y328" s="27">
        <f>IF(C328="","",H328+N(X328))</f>
        <v/>
      </c>
      <c r="Z328" s="29">
        <f>IFERROR(X328/Y328,"")</f>
        <v/>
      </c>
      <c r="AA328" s="26" t="n"/>
      <c r="AB328" s="26" t="n"/>
      <c r="AC328" s="26" t="n"/>
      <c r="AD328" s="26" t="n"/>
      <c r="AE328" s="27">
        <f>IF(C328="","",SUMIFS(tbl_Finance[Ex GST],tbl_Finance[Job Number],C328&amp;"",tbl_Finance[Cost Centre],"VIDEO"))</f>
        <v/>
      </c>
      <c r="AF328" s="29">
        <f>IFERROR(AE328/H328,"")</f>
        <v/>
      </c>
      <c r="AG328" s="27">
        <f>IF(C328="","",N(AA328)+N(AB328)+N(AC328)+N(AD328))</f>
        <v/>
      </c>
      <c r="AH328" s="27">
        <f>IF(C328="","",H328-AG328)</f>
        <v/>
      </c>
      <c r="AI328" s="29">
        <f>IFERROR(AH328/H328,"")</f>
        <v/>
      </c>
      <c r="AJ328" s="69" t="n"/>
      <c r="AK328" s="69" t="n"/>
      <c r="AL328" s="69" t="n"/>
      <c r="AM328" s="69" t="n"/>
      <c r="AN328" s="69" t="n"/>
      <c r="AO328" s="24" t="n"/>
    </row>
    <row r="329" ht="15" customHeight="1">
      <c r="A329" s="68">
        <f>IF(C329="","",IFERROR(IF(SUMPRODUCT(MAX((tbl_Finance[Job Number]=C329&amp;"")*(tbl_Finance[Xero Invoice No]&lt;&gt;"")*tbl_Finance[Date]))=0,"",SUMPRODUCT(MAX((tbl_Finance[Job Number]=C329&amp;"")*(tbl_Finance[Xero Invoice No]&lt;&gt;"")*tbl_Finance[Date]))),""))</f>
        <v/>
      </c>
      <c r="B329" s="25">
        <f>IF(C329="","",IF(COUNTIFS(tbl_Finance[Job Number],C329&amp;"",tbl_Finance[Xero Invoice No],"&lt;&gt;")=0,"",IFERROR(IF(COUNTIFS(tbl_Finance[Job Number],C329&amp;"",tbl_Finance[Xero Invoice No],LOOKUP(2,1/((tbl_Finance[Job Number]=C329&amp;"")*(tbl_Finance[Xero Invoice No]&lt;&gt;"")),tbl_Finance[Xero Invoice No]))=COUNTIFS(tbl_Finance[Job Number],C329&amp;"",tbl_Finance[Xero Invoice No],"&lt;&gt;"),LOOKUP(2,1/((tbl_Finance[Job Number]=C329&amp;"")*(tbl_Finance[Xero Invoice No]&lt;&gt;"")),tbl_Finance[Xero Invoice No]),LOOKUP(2,1/((tbl_Finance[Job Number]=C329&amp;"")*(tbl_Finance[Xero Invoice No]&lt;&gt;"")),tbl_Finance[Xero Invoice No])&amp;" +more"),"")))</f>
        <v/>
      </c>
      <c r="C329" s="24" t="n"/>
      <c r="D329" s="25">
        <f>IF(C329="","",IF(COUNTIF(lst_Jobs,C329&amp;"")&gt;0,"OK","CHECK"))</f>
        <v/>
      </c>
      <c r="E329" s="25">
        <f>IF(C329="","",IFERROR(INDEX(lst_JobName,MATCH(C329&amp;"",lst_Jobs,0)),""))</f>
        <v/>
      </c>
      <c r="F329" s="25">
        <f>IF(C329="","",IFERROR(INDEX(tbl_Finance[Client],MATCH(C329&amp;"",tbl_Finance[Job Number],0)),""))</f>
        <v/>
      </c>
      <c r="G329" s="28">
        <f>IF(C329="","",COUNTIFS(tbl_Finance[Job Number],C329&amp;"",tbl_Finance[Ex GST],"&lt;&gt;"))</f>
        <v/>
      </c>
      <c r="H329" s="27">
        <f>IF(C329="","",SUMIFS(tbl_Finance[Ex GST],tbl_Finance[Job Number],C329&amp;""))</f>
        <v/>
      </c>
      <c r="I329" s="27">
        <f>IF(C329="","",SUMIFS(tbl_Finance[Ex GST],tbl_Finance[Job Number],C329&amp;"",tbl_Finance[Xero Invoice No],"&lt;&gt;"))</f>
        <v/>
      </c>
      <c r="J329" s="27">
        <f>IF(C329="","",H329-I329)</f>
        <v/>
      </c>
      <c r="K329" s="25">
        <f>IF(C329="","",IF(G329=0,"not invoiced yet",SUBSTITUTE(TRIM(IF(COUNTIFS(tbl_Finance[Job Number],C329&amp;"",tbl_Finance[Cost Centre],"ONSITE")&gt;0,"ONSITE ","")&amp;IF(COUNTIFS(tbl_Finance[Job Number],C329&amp;"",tbl_Finance[Cost Centre],"PRODUCTION")&gt;0,"PRODUCTION ","")&amp;IF(COUNTIFS(tbl_Finance[Job Number],C329&amp;"",tbl_Finance[Cost Centre],"VIDEO")&gt;0,"VIDEO ","")&amp;IF(COUNTIFS(tbl_Finance[Job Number],C329&amp;"",tbl_Finance[Cost Centre],"INTEGRATION")&gt;0,"INTEGRATION ","")&amp;IF(COUNTIFS(tbl_Finance[Job Number],C329&amp;"",tbl_Finance[Cost Centre],"CONSULTING")&gt;0,"CONSULTING ","")&amp;IF(COUNTIFS(tbl_Finance[Job Number],C329&amp;"",tbl_Finance[Cost Centre],"CTS")&gt;0,"CTS ",""))," ",", ")))</f>
        <v/>
      </c>
      <c r="L329" s="27">
        <f>IF(C329="","",SUMIFS(tbl_Finance[Inc GST],tbl_Finance[Job Number],C329&amp;""))</f>
        <v/>
      </c>
      <c r="M329" s="24" t="n"/>
      <c r="N329" s="25">
        <f>IF(C329="","",IFERROR(INDEX(tbl_Finance[Description],MATCH(C329&amp;"",tbl_Finance[Job Number],0)),""))</f>
        <v/>
      </c>
      <c r="O329" s="24" t="n"/>
      <c r="P329" s="24" t="n"/>
      <c r="Q329" s="22" t="n"/>
      <c r="R329" s="24" t="n"/>
      <c r="S329" s="25">
        <f>IF(R329="","",IF(AND(LEFT(R329,4)&lt;&gt;"http",set_RMSBase=""),"",HYPERLINK(IF(LEFT(R329,4)="http",R329,set_RMSBase&amp;R329),"Open opportunity")))</f>
        <v/>
      </c>
      <c r="T329" s="24" t="n"/>
      <c r="U329" s="25">
        <f>IF(T329="","",HYPERLINK(IF(LEFT(T329,4)="http",T329,set_QwilrBase&amp;T329),"Open quote"))</f>
        <v/>
      </c>
      <c r="V329" s="25">
        <f>IF(C329="","",C329)</f>
        <v/>
      </c>
      <c r="W329" s="24" t="n"/>
      <c r="X329" s="26" t="n"/>
      <c r="Y329" s="27">
        <f>IF(C329="","",H329+N(X329))</f>
        <v/>
      </c>
      <c r="Z329" s="29">
        <f>IFERROR(X329/Y329,"")</f>
        <v/>
      </c>
      <c r="AA329" s="26" t="n"/>
      <c r="AB329" s="26" t="n"/>
      <c r="AC329" s="26" t="n"/>
      <c r="AD329" s="26" t="n"/>
      <c r="AE329" s="27">
        <f>IF(C329="","",SUMIFS(tbl_Finance[Ex GST],tbl_Finance[Job Number],C329&amp;"",tbl_Finance[Cost Centre],"VIDEO"))</f>
        <v/>
      </c>
      <c r="AF329" s="29">
        <f>IFERROR(AE329/H329,"")</f>
        <v/>
      </c>
      <c r="AG329" s="27">
        <f>IF(C329="","",N(AA329)+N(AB329)+N(AC329)+N(AD329))</f>
        <v/>
      </c>
      <c r="AH329" s="27">
        <f>IF(C329="","",H329-AG329)</f>
        <v/>
      </c>
      <c r="AI329" s="29">
        <f>IFERROR(AH329/H329,"")</f>
        <v/>
      </c>
      <c r="AJ329" s="69" t="n"/>
      <c r="AK329" s="69" t="n"/>
      <c r="AL329" s="69" t="n"/>
      <c r="AM329" s="69" t="n"/>
      <c r="AN329" s="69" t="n"/>
      <c r="AO329" s="24" t="n"/>
    </row>
    <row r="330" ht="15" customHeight="1">
      <c r="A330" s="68">
        <f>IF(C330="","",IFERROR(IF(SUMPRODUCT(MAX((tbl_Finance[Job Number]=C330&amp;"")*(tbl_Finance[Xero Invoice No]&lt;&gt;"")*tbl_Finance[Date]))=0,"",SUMPRODUCT(MAX((tbl_Finance[Job Number]=C330&amp;"")*(tbl_Finance[Xero Invoice No]&lt;&gt;"")*tbl_Finance[Date]))),""))</f>
        <v/>
      </c>
      <c r="B330" s="25">
        <f>IF(C330="","",IF(COUNTIFS(tbl_Finance[Job Number],C330&amp;"",tbl_Finance[Xero Invoice No],"&lt;&gt;")=0,"",IFERROR(IF(COUNTIFS(tbl_Finance[Job Number],C330&amp;"",tbl_Finance[Xero Invoice No],LOOKUP(2,1/((tbl_Finance[Job Number]=C330&amp;"")*(tbl_Finance[Xero Invoice No]&lt;&gt;"")),tbl_Finance[Xero Invoice No]))=COUNTIFS(tbl_Finance[Job Number],C330&amp;"",tbl_Finance[Xero Invoice No],"&lt;&gt;"),LOOKUP(2,1/((tbl_Finance[Job Number]=C330&amp;"")*(tbl_Finance[Xero Invoice No]&lt;&gt;"")),tbl_Finance[Xero Invoice No]),LOOKUP(2,1/((tbl_Finance[Job Number]=C330&amp;"")*(tbl_Finance[Xero Invoice No]&lt;&gt;"")),tbl_Finance[Xero Invoice No])&amp;" +more"),"")))</f>
        <v/>
      </c>
      <c r="C330" s="24" t="n"/>
      <c r="D330" s="25">
        <f>IF(C330="","",IF(COUNTIF(lst_Jobs,C330&amp;"")&gt;0,"OK","CHECK"))</f>
        <v/>
      </c>
      <c r="E330" s="25">
        <f>IF(C330="","",IFERROR(INDEX(lst_JobName,MATCH(C330&amp;"",lst_Jobs,0)),""))</f>
        <v/>
      </c>
      <c r="F330" s="25">
        <f>IF(C330="","",IFERROR(INDEX(tbl_Finance[Client],MATCH(C330&amp;"",tbl_Finance[Job Number],0)),""))</f>
        <v/>
      </c>
      <c r="G330" s="28">
        <f>IF(C330="","",COUNTIFS(tbl_Finance[Job Number],C330&amp;"",tbl_Finance[Ex GST],"&lt;&gt;"))</f>
        <v/>
      </c>
      <c r="H330" s="27">
        <f>IF(C330="","",SUMIFS(tbl_Finance[Ex GST],tbl_Finance[Job Number],C330&amp;""))</f>
        <v/>
      </c>
      <c r="I330" s="27">
        <f>IF(C330="","",SUMIFS(tbl_Finance[Ex GST],tbl_Finance[Job Number],C330&amp;"",tbl_Finance[Xero Invoice No],"&lt;&gt;"))</f>
        <v/>
      </c>
      <c r="J330" s="27">
        <f>IF(C330="","",H330-I330)</f>
        <v/>
      </c>
      <c r="K330" s="25">
        <f>IF(C330="","",IF(G330=0,"not invoiced yet",SUBSTITUTE(TRIM(IF(COUNTIFS(tbl_Finance[Job Number],C330&amp;"",tbl_Finance[Cost Centre],"ONSITE")&gt;0,"ONSITE ","")&amp;IF(COUNTIFS(tbl_Finance[Job Number],C330&amp;"",tbl_Finance[Cost Centre],"PRODUCTION")&gt;0,"PRODUCTION ","")&amp;IF(COUNTIFS(tbl_Finance[Job Number],C330&amp;"",tbl_Finance[Cost Centre],"VIDEO")&gt;0,"VIDEO ","")&amp;IF(COUNTIFS(tbl_Finance[Job Number],C330&amp;"",tbl_Finance[Cost Centre],"INTEGRATION")&gt;0,"INTEGRATION ","")&amp;IF(COUNTIFS(tbl_Finance[Job Number],C330&amp;"",tbl_Finance[Cost Centre],"CONSULTING")&gt;0,"CONSULTING ","")&amp;IF(COUNTIFS(tbl_Finance[Job Number],C330&amp;"",tbl_Finance[Cost Centre],"CTS")&gt;0,"CTS ",""))," ",", ")))</f>
        <v/>
      </c>
      <c r="L330" s="27">
        <f>IF(C330="","",SUMIFS(tbl_Finance[Inc GST],tbl_Finance[Job Number],C330&amp;""))</f>
        <v/>
      </c>
      <c r="M330" s="24" t="n"/>
      <c r="N330" s="25">
        <f>IF(C330="","",IFERROR(INDEX(tbl_Finance[Description],MATCH(C330&amp;"",tbl_Finance[Job Number],0)),""))</f>
        <v/>
      </c>
      <c r="O330" s="24" t="n"/>
      <c r="P330" s="24" t="n"/>
      <c r="Q330" s="22" t="n"/>
      <c r="R330" s="24" t="n"/>
      <c r="S330" s="25">
        <f>IF(R330="","",IF(AND(LEFT(R330,4)&lt;&gt;"http",set_RMSBase=""),"",HYPERLINK(IF(LEFT(R330,4)="http",R330,set_RMSBase&amp;R330),"Open opportunity")))</f>
        <v/>
      </c>
      <c r="T330" s="24" t="n"/>
      <c r="U330" s="25">
        <f>IF(T330="","",HYPERLINK(IF(LEFT(T330,4)="http",T330,set_QwilrBase&amp;T330),"Open quote"))</f>
        <v/>
      </c>
      <c r="V330" s="25">
        <f>IF(C330="","",C330)</f>
        <v/>
      </c>
      <c r="W330" s="24" t="n"/>
      <c r="X330" s="26" t="n"/>
      <c r="Y330" s="27">
        <f>IF(C330="","",H330+N(X330))</f>
        <v/>
      </c>
      <c r="Z330" s="29">
        <f>IFERROR(X330/Y330,"")</f>
        <v/>
      </c>
      <c r="AA330" s="26" t="n"/>
      <c r="AB330" s="26" t="n"/>
      <c r="AC330" s="26" t="n"/>
      <c r="AD330" s="26" t="n"/>
      <c r="AE330" s="27">
        <f>IF(C330="","",SUMIFS(tbl_Finance[Ex GST],tbl_Finance[Job Number],C330&amp;"",tbl_Finance[Cost Centre],"VIDEO"))</f>
        <v/>
      </c>
      <c r="AF330" s="29">
        <f>IFERROR(AE330/H330,"")</f>
        <v/>
      </c>
      <c r="AG330" s="27">
        <f>IF(C330="","",N(AA330)+N(AB330)+N(AC330)+N(AD330))</f>
        <v/>
      </c>
      <c r="AH330" s="27">
        <f>IF(C330="","",H330-AG330)</f>
        <v/>
      </c>
      <c r="AI330" s="29">
        <f>IFERROR(AH330/H330,"")</f>
        <v/>
      </c>
      <c r="AJ330" s="69" t="n"/>
      <c r="AK330" s="69" t="n"/>
      <c r="AL330" s="69" t="n"/>
      <c r="AM330" s="69" t="n"/>
      <c r="AN330" s="69" t="n"/>
      <c r="AO330" s="24" t="n"/>
    </row>
    <row r="331" ht="15" customHeight="1">
      <c r="A331" s="68">
        <f>IF(C331="","",IFERROR(IF(SUMPRODUCT(MAX((tbl_Finance[Job Number]=C331&amp;"")*(tbl_Finance[Xero Invoice No]&lt;&gt;"")*tbl_Finance[Date]))=0,"",SUMPRODUCT(MAX((tbl_Finance[Job Number]=C331&amp;"")*(tbl_Finance[Xero Invoice No]&lt;&gt;"")*tbl_Finance[Date]))),""))</f>
        <v/>
      </c>
      <c r="B331" s="25">
        <f>IF(C331="","",IF(COUNTIFS(tbl_Finance[Job Number],C331&amp;"",tbl_Finance[Xero Invoice No],"&lt;&gt;")=0,"",IFERROR(IF(COUNTIFS(tbl_Finance[Job Number],C331&amp;"",tbl_Finance[Xero Invoice No],LOOKUP(2,1/((tbl_Finance[Job Number]=C331&amp;"")*(tbl_Finance[Xero Invoice No]&lt;&gt;"")),tbl_Finance[Xero Invoice No]))=COUNTIFS(tbl_Finance[Job Number],C331&amp;"",tbl_Finance[Xero Invoice No],"&lt;&gt;"),LOOKUP(2,1/((tbl_Finance[Job Number]=C331&amp;"")*(tbl_Finance[Xero Invoice No]&lt;&gt;"")),tbl_Finance[Xero Invoice No]),LOOKUP(2,1/((tbl_Finance[Job Number]=C331&amp;"")*(tbl_Finance[Xero Invoice No]&lt;&gt;"")),tbl_Finance[Xero Invoice No])&amp;" +more"),"")))</f>
        <v/>
      </c>
      <c r="C331" s="24" t="n"/>
      <c r="D331" s="25">
        <f>IF(C331="","",IF(COUNTIF(lst_Jobs,C331&amp;"")&gt;0,"OK","CHECK"))</f>
        <v/>
      </c>
      <c r="E331" s="25">
        <f>IF(C331="","",IFERROR(INDEX(lst_JobName,MATCH(C331&amp;"",lst_Jobs,0)),""))</f>
        <v/>
      </c>
      <c r="F331" s="25">
        <f>IF(C331="","",IFERROR(INDEX(tbl_Finance[Client],MATCH(C331&amp;"",tbl_Finance[Job Number],0)),""))</f>
        <v/>
      </c>
      <c r="G331" s="28">
        <f>IF(C331="","",COUNTIFS(tbl_Finance[Job Number],C331&amp;"",tbl_Finance[Ex GST],"&lt;&gt;"))</f>
        <v/>
      </c>
      <c r="H331" s="27">
        <f>IF(C331="","",SUMIFS(tbl_Finance[Ex GST],tbl_Finance[Job Number],C331&amp;""))</f>
        <v/>
      </c>
      <c r="I331" s="27">
        <f>IF(C331="","",SUMIFS(tbl_Finance[Ex GST],tbl_Finance[Job Number],C331&amp;"",tbl_Finance[Xero Invoice No],"&lt;&gt;"))</f>
        <v/>
      </c>
      <c r="J331" s="27">
        <f>IF(C331="","",H331-I331)</f>
        <v/>
      </c>
      <c r="K331" s="25">
        <f>IF(C331="","",IF(G331=0,"not invoiced yet",SUBSTITUTE(TRIM(IF(COUNTIFS(tbl_Finance[Job Number],C331&amp;"",tbl_Finance[Cost Centre],"ONSITE")&gt;0,"ONSITE ","")&amp;IF(COUNTIFS(tbl_Finance[Job Number],C331&amp;"",tbl_Finance[Cost Centre],"PRODUCTION")&gt;0,"PRODUCTION ","")&amp;IF(COUNTIFS(tbl_Finance[Job Number],C331&amp;"",tbl_Finance[Cost Centre],"VIDEO")&gt;0,"VIDEO ","")&amp;IF(COUNTIFS(tbl_Finance[Job Number],C331&amp;"",tbl_Finance[Cost Centre],"INTEGRATION")&gt;0,"INTEGRATION ","")&amp;IF(COUNTIFS(tbl_Finance[Job Number],C331&amp;"",tbl_Finance[Cost Centre],"CONSULTING")&gt;0,"CONSULTING ","")&amp;IF(COUNTIFS(tbl_Finance[Job Number],C331&amp;"",tbl_Finance[Cost Centre],"CTS")&gt;0,"CTS ",""))," ",", ")))</f>
        <v/>
      </c>
      <c r="L331" s="27">
        <f>IF(C331="","",SUMIFS(tbl_Finance[Inc GST],tbl_Finance[Job Number],C331&amp;""))</f>
        <v/>
      </c>
      <c r="M331" s="24" t="n"/>
      <c r="N331" s="25">
        <f>IF(C331="","",IFERROR(INDEX(tbl_Finance[Description],MATCH(C331&amp;"",tbl_Finance[Job Number],0)),""))</f>
        <v/>
      </c>
      <c r="O331" s="24" t="n"/>
      <c r="P331" s="24" t="n"/>
      <c r="Q331" s="22" t="n"/>
      <c r="R331" s="24" t="n"/>
      <c r="S331" s="25">
        <f>IF(R331="","",IF(AND(LEFT(R331,4)&lt;&gt;"http",set_RMSBase=""),"",HYPERLINK(IF(LEFT(R331,4)="http",R331,set_RMSBase&amp;R331),"Open opportunity")))</f>
        <v/>
      </c>
      <c r="T331" s="24" t="n"/>
      <c r="U331" s="25">
        <f>IF(T331="","",HYPERLINK(IF(LEFT(T331,4)="http",T331,set_QwilrBase&amp;T331),"Open quote"))</f>
        <v/>
      </c>
      <c r="V331" s="25">
        <f>IF(C331="","",C331)</f>
        <v/>
      </c>
      <c r="W331" s="24" t="n"/>
      <c r="X331" s="26" t="n"/>
      <c r="Y331" s="27">
        <f>IF(C331="","",H331+N(X331))</f>
        <v/>
      </c>
      <c r="Z331" s="29">
        <f>IFERROR(X331/Y331,"")</f>
        <v/>
      </c>
      <c r="AA331" s="26" t="n"/>
      <c r="AB331" s="26" t="n"/>
      <c r="AC331" s="26" t="n"/>
      <c r="AD331" s="26" t="n"/>
      <c r="AE331" s="27">
        <f>IF(C331="","",SUMIFS(tbl_Finance[Ex GST],tbl_Finance[Job Number],C331&amp;"",tbl_Finance[Cost Centre],"VIDEO"))</f>
        <v/>
      </c>
      <c r="AF331" s="29">
        <f>IFERROR(AE331/H331,"")</f>
        <v/>
      </c>
      <c r="AG331" s="27">
        <f>IF(C331="","",N(AA331)+N(AB331)+N(AC331)+N(AD331))</f>
        <v/>
      </c>
      <c r="AH331" s="27">
        <f>IF(C331="","",H331-AG331)</f>
        <v/>
      </c>
      <c r="AI331" s="29">
        <f>IFERROR(AH331/H331,"")</f>
        <v/>
      </c>
      <c r="AJ331" s="69" t="n"/>
      <c r="AK331" s="69" t="n"/>
      <c r="AL331" s="69" t="n"/>
      <c r="AM331" s="69" t="n"/>
      <c r="AN331" s="69" t="n"/>
      <c r="AO331" s="24" t="n"/>
    </row>
    <row r="332" ht="15" customHeight="1">
      <c r="A332" s="68">
        <f>IF(C332="","",IFERROR(IF(SUMPRODUCT(MAX((tbl_Finance[Job Number]=C332&amp;"")*(tbl_Finance[Xero Invoice No]&lt;&gt;"")*tbl_Finance[Date]))=0,"",SUMPRODUCT(MAX((tbl_Finance[Job Number]=C332&amp;"")*(tbl_Finance[Xero Invoice No]&lt;&gt;"")*tbl_Finance[Date]))),""))</f>
        <v/>
      </c>
      <c r="B332" s="25">
        <f>IF(C332="","",IF(COUNTIFS(tbl_Finance[Job Number],C332&amp;"",tbl_Finance[Xero Invoice No],"&lt;&gt;")=0,"",IFERROR(IF(COUNTIFS(tbl_Finance[Job Number],C332&amp;"",tbl_Finance[Xero Invoice No],LOOKUP(2,1/((tbl_Finance[Job Number]=C332&amp;"")*(tbl_Finance[Xero Invoice No]&lt;&gt;"")),tbl_Finance[Xero Invoice No]))=COUNTIFS(tbl_Finance[Job Number],C332&amp;"",tbl_Finance[Xero Invoice No],"&lt;&gt;"),LOOKUP(2,1/((tbl_Finance[Job Number]=C332&amp;"")*(tbl_Finance[Xero Invoice No]&lt;&gt;"")),tbl_Finance[Xero Invoice No]),LOOKUP(2,1/((tbl_Finance[Job Number]=C332&amp;"")*(tbl_Finance[Xero Invoice No]&lt;&gt;"")),tbl_Finance[Xero Invoice No])&amp;" +more"),"")))</f>
        <v/>
      </c>
      <c r="C332" s="24" t="n"/>
      <c r="D332" s="25">
        <f>IF(C332="","",IF(COUNTIF(lst_Jobs,C332&amp;"")&gt;0,"OK","CHECK"))</f>
        <v/>
      </c>
      <c r="E332" s="25">
        <f>IF(C332="","",IFERROR(INDEX(lst_JobName,MATCH(C332&amp;"",lst_Jobs,0)),""))</f>
        <v/>
      </c>
      <c r="F332" s="25">
        <f>IF(C332="","",IFERROR(INDEX(tbl_Finance[Client],MATCH(C332&amp;"",tbl_Finance[Job Number],0)),""))</f>
        <v/>
      </c>
      <c r="G332" s="28">
        <f>IF(C332="","",COUNTIFS(tbl_Finance[Job Number],C332&amp;"",tbl_Finance[Ex GST],"&lt;&gt;"))</f>
        <v/>
      </c>
      <c r="H332" s="27">
        <f>IF(C332="","",SUMIFS(tbl_Finance[Ex GST],tbl_Finance[Job Number],C332&amp;""))</f>
        <v/>
      </c>
      <c r="I332" s="27">
        <f>IF(C332="","",SUMIFS(tbl_Finance[Ex GST],tbl_Finance[Job Number],C332&amp;"",tbl_Finance[Xero Invoice No],"&lt;&gt;"))</f>
        <v/>
      </c>
      <c r="J332" s="27">
        <f>IF(C332="","",H332-I332)</f>
        <v/>
      </c>
      <c r="K332" s="25">
        <f>IF(C332="","",IF(G332=0,"not invoiced yet",SUBSTITUTE(TRIM(IF(COUNTIFS(tbl_Finance[Job Number],C332&amp;"",tbl_Finance[Cost Centre],"ONSITE")&gt;0,"ONSITE ","")&amp;IF(COUNTIFS(tbl_Finance[Job Number],C332&amp;"",tbl_Finance[Cost Centre],"PRODUCTION")&gt;0,"PRODUCTION ","")&amp;IF(COUNTIFS(tbl_Finance[Job Number],C332&amp;"",tbl_Finance[Cost Centre],"VIDEO")&gt;0,"VIDEO ","")&amp;IF(COUNTIFS(tbl_Finance[Job Number],C332&amp;"",tbl_Finance[Cost Centre],"INTEGRATION")&gt;0,"INTEGRATION ","")&amp;IF(COUNTIFS(tbl_Finance[Job Number],C332&amp;"",tbl_Finance[Cost Centre],"CONSULTING")&gt;0,"CONSULTING ","")&amp;IF(COUNTIFS(tbl_Finance[Job Number],C332&amp;"",tbl_Finance[Cost Centre],"CTS")&gt;0,"CTS ",""))," ",", ")))</f>
        <v/>
      </c>
      <c r="L332" s="27">
        <f>IF(C332="","",SUMIFS(tbl_Finance[Inc GST],tbl_Finance[Job Number],C332&amp;""))</f>
        <v/>
      </c>
      <c r="M332" s="24" t="n"/>
      <c r="N332" s="25">
        <f>IF(C332="","",IFERROR(INDEX(tbl_Finance[Description],MATCH(C332&amp;"",tbl_Finance[Job Number],0)),""))</f>
        <v/>
      </c>
      <c r="O332" s="24" t="n"/>
      <c r="P332" s="24" t="n"/>
      <c r="Q332" s="22" t="n"/>
      <c r="R332" s="24" t="n"/>
      <c r="S332" s="25">
        <f>IF(R332="","",IF(AND(LEFT(R332,4)&lt;&gt;"http",set_RMSBase=""),"",HYPERLINK(IF(LEFT(R332,4)="http",R332,set_RMSBase&amp;R332),"Open opportunity")))</f>
        <v/>
      </c>
      <c r="T332" s="24" t="n"/>
      <c r="U332" s="25">
        <f>IF(T332="","",HYPERLINK(IF(LEFT(T332,4)="http",T332,set_QwilrBase&amp;T332),"Open quote"))</f>
        <v/>
      </c>
      <c r="V332" s="25">
        <f>IF(C332="","",C332)</f>
        <v/>
      </c>
      <c r="W332" s="24" t="n"/>
      <c r="X332" s="26" t="n"/>
      <c r="Y332" s="27">
        <f>IF(C332="","",H332+N(X332))</f>
        <v/>
      </c>
      <c r="Z332" s="29">
        <f>IFERROR(X332/Y332,"")</f>
        <v/>
      </c>
      <c r="AA332" s="26" t="n"/>
      <c r="AB332" s="26" t="n"/>
      <c r="AC332" s="26" t="n"/>
      <c r="AD332" s="26" t="n"/>
      <c r="AE332" s="27">
        <f>IF(C332="","",SUMIFS(tbl_Finance[Ex GST],tbl_Finance[Job Number],C332&amp;"",tbl_Finance[Cost Centre],"VIDEO"))</f>
        <v/>
      </c>
      <c r="AF332" s="29">
        <f>IFERROR(AE332/H332,"")</f>
        <v/>
      </c>
      <c r="AG332" s="27">
        <f>IF(C332="","",N(AA332)+N(AB332)+N(AC332)+N(AD332))</f>
        <v/>
      </c>
      <c r="AH332" s="27">
        <f>IF(C332="","",H332-AG332)</f>
        <v/>
      </c>
      <c r="AI332" s="29">
        <f>IFERROR(AH332/H332,"")</f>
        <v/>
      </c>
      <c r="AJ332" s="69" t="n"/>
      <c r="AK332" s="69" t="n"/>
      <c r="AL332" s="69" t="n"/>
      <c r="AM332" s="69" t="n"/>
      <c r="AN332" s="69" t="n"/>
      <c r="AO332" s="24" t="n"/>
    </row>
    <row r="333" ht="15" customHeight="1">
      <c r="A333" s="68">
        <f>IF(C333="","",IFERROR(IF(SUMPRODUCT(MAX((tbl_Finance[Job Number]=C333&amp;"")*(tbl_Finance[Xero Invoice No]&lt;&gt;"")*tbl_Finance[Date]))=0,"",SUMPRODUCT(MAX((tbl_Finance[Job Number]=C333&amp;"")*(tbl_Finance[Xero Invoice No]&lt;&gt;"")*tbl_Finance[Date]))),""))</f>
        <v/>
      </c>
      <c r="B333" s="25">
        <f>IF(C333="","",IF(COUNTIFS(tbl_Finance[Job Number],C333&amp;"",tbl_Finance[Xero Invoice No],"&lt;&gt;")=0,"",IFERROR(IF(COUNTIFS(tbl_Finance[Job Number],C333&amp;"",tbl_Finance[Xero Invoice No],LOOKUP(2,1/((tbl_Finance[Job Number]=C333&amp;"")*(tbl_Finance[Xero Invoice No]&lt;&gt;"")),tbl_Finance[Xero Invoice No]))=COUNTIFS(tbl_Finance[Job Number],C333&amp;"",tbl_Finance[Xero Invoice No],"&lt;&gt;"),LOOKUP(2,1/((tbl_Finance[Job Number]=C333&amp;"")*(tbl_Finance[Xero Invoice No]&lt;&gt;"")),tbl_Finance[Xero Invoice No]),LOOKUP(2,1/((tbl_Finance[Job Number]=C333&amp;"")*(tbl_Finance[Xero Invoice No]&lt;&gt;"")),tbl_Finance[Xero Invoice No])&amp;" +more"),"")))</f>
        <v/>
      </c>
      <c r="C333" s="24" t="n"/>
      <c r="D333" s="25">
        <f>IF(C333="","",IF(COUNTIF(lst_Jobs,C333&amp;"")&gt;0,"OK","CHECK"))</f>
        <v/>
      </c>
      <c r="E333" s="25">
        <f>IF(C333="","",IFERROR(INDEX(lst_JobName,MATCH(C333&amp;"",lst_Jobs,0)),""))</f>
        <v/>
      </c>
      <c r="F333" s="25">
        <f>IF(C333="","",IFERROR(INDEX(tbl_Finance[Client],MATCH(C333&amp;"",tbl_Finance[Job Number],0)),""))</f>
        <v/>
      </c>
      <c r="G333" s="28">
        <f>IF(C333="","",COUNTIFS(tbl_Finance[Job Number],C333&amp;"",tbl_Finance[Ex GST],"&lt;&gt;"))</f>
        <v/>
      </c>
      <c r="H333" s="27">
        <f>IF(C333="","",SUMIFS(tbl_Finance[Ex GST],tbl_Finance[Job Number],C333&amp;""))</f>
        <v/>
      </c>
      <c r="I333" s="27">
        <f>IF(C333="","",SUMIFS(tbl_Finance[Ex GST],tbl_Finance[Job Number],C333&amp;"",tbl_Finance[Xero Invoice No],"&lt;&gt;"))</f>
        <v/>
      </c>
      <c r="J333" s="27">
        <f>IF(C333="","",H333-I333)</f>
        <v/>
      </c>
      <c r="K333" s="25">
        <f>IF(C333="","",IF(G333=0,"not invoiced yet",SUBSTITUTE(TRIM(IF(COUNTIFS(tbl_Finance[Job Number],C333&amp;"",tbl_Finance[Cost Centre],"ONSITE")&gt;0,"ONSITE ","")&amp;IF(COUNTIFS(tbl_Finance[Job Number],C333&amp;"",tbl_Finance[Cost Centre],"PRODUCTION")&gt;0,"PRODUCTION ","")&amp;IF(COUNTIFS(tbl_Finance[Job Number],C333&amp;"",tbl_Finance[Cost Centre],"VIDEO")&gt;0,"VIDEO ","")&amp;IF(COUNTIFS(tbl_Finance[Job Number],C333&amp;"",tbl_Finance[Cost Centre],"INTEGRATION")&gt;0,"INTEGRATION ","")&amp;IF(COUNTIFS(tbl_Finance[Job Number],C333&amp;"",tbl_Finance[Cost Centre],"CONSULTING")&gt;0,"CONSULTING ","")&amp;IF(COUNTIFS(tbl_Finance[Job Number],C333&amp;"",tbl_Finance[Cost Centre],"CTS")&gt;0,"CTS ",""))," ",", ")))</f>
        <v/>
      </c>
      <c r="L333" s="27">
        <f>IF(C333="","",SUMIFS(tbl_Finance[Inc GST],tbl_Finance[Job Number],C333&amp;""))</f>
        <v/>
      </c>
      <c r="M333" s="24" t="n"/>
      <c r="N333" s="25">
        <f>IF(C333="","",IFERROR(INDEX(tbl_Finance[Description],MATCH(C333&amp;"",tbl_Finance[Job Number],0)),""))</f>
        <v/>
      </c>
      <c r="O333" s="24" t="n"/>
      <c r="P333" s="24" t="n"/>
      <c r="Q333" s="22" t="n"/>
      <c r="R333" s="24" t="n"/>
      <c r="S333" s="25">
        <f>IF(R333="","",IF(AND(LEFT(R333,4)&lt;&gt;"http",set_RMSBase=""),"",HYPERLINK(IF(LEFT(R333,4)="http",R333,set_RMSBase&amp;R333),"Open opportunity")))</f>
        <v/>
      </c>
      <c r="T333" s="24" t="n"/>
      <c r="U333" s="25">
        <f>IF(T333="","",HYPERLINK(IF(LEFT(T333,4)="http",T333,set_QwilrBase&amp;T333),"Open quote"))</f>
        <v/>
      </c>
      <c r="V333" s="25">
        <f>IF(C333="","",C333)</f>
        <v/>
      </c>
      <c r="W333" s="24" t="n"/>
      <c r="X333" s="26" t="n"/>
      <c r="Y333" s="27">
        <f>IF(C333="","",H333+N(X333))</f>
        <v/>
      </c>
      <c r="Z333" s="29">
        <f>IFERROR(X333/Y333,"")</f>
        <v/>
      </c>
      <c r="AA333" s="26" t="n"/>
      <c r="AB333" s="26" t="n"/>
      <c r="AC333" s="26" t="n"/>
      <c r="AD333" s="26" t="n"/>
      <c r="AE333" s="27">
        <f>IF(C333="","",SUMIFS(tbl_Finance[Ex GST],tbl_Finance[Job Number],C333&amp;"",tbl_Finance[Cost Centre],"VIDEO"))</f>
        <v/>
      </c>
      <c r="AF333" s="29">
        <f>IFERROR(AE333/H333,"")</f>
        <v/>
      </c>
      <c r="AG333" s="27">
        <f>IF(C333="","",N(AA333)+N(AB333)+N(AC333)+N(AD333))</f>
        <v/>
      </c>
      <c r="AH333" s="27">
        <f>IF(C333="","",H333-AG333)</f>
        <v/>
      </c>
      <c r="AI333" s="29">
        <f>IFERROR(AH333/H333,"")</f>
        <v/>
      </c>
      <c r="AJ333" s="69" t="n"/>
      <c r="AK333" s="69" t="n"/>
      <c r="AL333" s="69" t="n"/>
      <c r="AM333" s="69" t="n"/>
      <c r="AN333" s="69" t="n"/>
      <c r="AO333" s="24" t="n"/>
    </row>
    <row r="334" ht="15" customHeight="1">
      <c r="A334" s="68">
        <f>IF(C334="","",IFERROR(IF(SUMPRODUCT(MAX((tbl_Finance[Job Number]=C334&amp;"")*(tbl_Finance[Xero Invoice No]&lt;&gt;"")*tbl_Finance[Date]))=0,"",SUMPRODUCT(MAX((tbl_Finance[Job Number]=C334&amp;"")*(tbl_Finance[Xero Invoice No]&lt;&gt;"")*tbl_Finance[Date]))),""))</f>
        <v/>
      </c>
      <c r="B334" s="25">
        <f>IF(C334="","",IF(COUNTIFS(tbl_Finance[Job Number],C334&amp;"",tbl_Finance[Xero Invoice No],"&lt;&gt;")=0,"",IFERROR(IF(COUNTIFS(tbl_Finance[Job Number],C334&amp;"",tbl_Finance[Xero Invoice No],LOOKUP(2,1/((tbl_Finance[Job Number]=C334&amp;"")*(tbl_Finance[Xero Invoice No]&lt;&gt;"")),tbl_Finance[Xero Invoice No]))=COUNTIFS(tbl_Finance[Job Number],C334&amp;"",tbl_Finance[Xero Invoice No],"&lt;&gt;"),LOOKUP(2,1/((tbl_Finance[Job Number]=C334&amp;"")*(tbl_Finance[Xero Invoice No]&lt;&gt;"")),tbl_Finance[Xero Invoice No]),LOOKUP(2,1/((tbl_Finance[Job Number]=C334&amp;"")*(tbl_Finance[Xero Invoice No]&lt;&gt;"")),tbl_Finance[Xero Invoice No])&amp;" +more"),"")))</f>
        <v/>
      </c>
      <c r="C334" s="24" t="n"/>
      <c r="D334" s="25">
        <f>IF(C334="","",IF(COUNTIF(lst_Jobs,C334&amp;"")&gt;0,"OK","CHECK"))</f>
        <v/>
      </c>
      <c r="E334" s="25">
        <f>IF(C334="","",IFERROR(INDEX(lst_JobName,MATCH(C334&amp;"",lst_Jobs,0)),""))</f>
        <v/>
      </c>
      <c r="F334" s="25">
        <f>IF(C334="","",IFERROR(INDEX(tbl_Finance[Client],MATCH(C334&amp;"",tbl_Finance[Job Number],0)),""))</f>
        <v/>
      </c>
      <c r="G334" s="28">
        <f>IF(C334="","",COUNTIFS(tbl_Finance[Job Number],C334&amp;"",tbl_Finance[Ex GST],"&lt;&gt;"))</f>
        <v/>
      </c>
      <c r="H334" s="27">
        <f>IF(C334="","",SUMIFS(tbl_Finance[Ex GST],tbl_Finance[Job Number],C334&amp;""))</f>
        <v/>
      </c>
      <c r="I334" s="27">
        <f>IF(C334="","",SUMIFS(tbl_Finance[Ex GST],tbl_Finance[Job Number],C334&amp;"",tbl_Finance[Xero Invoice No],"&lt;&gt;"))</f>
        <v/>
      </c>
      <c r="J334" s="27">
        <f>IF(C334="","",H334-I334)</f>
        <v/>
      </c>
      <c r="K334" s="25">
        <f>IF(C334="","",IF(G334=0,"not invoiced yet",SUBSTITUTE(TRIM(IF(COUNTIFS(tbl_Finance[Job Number],C334&amp;"",tbl_Finance[Cost Centre],"ONSITE")&gt;0,"ONSITE ","")&amp;IF(COUNTIFS(tbl_Finance[Job Number],C334&amp;"",tbl_Finance[Cost Centre],"PRODUCTION")&gt;0,"PRODUCTION ","")&amp;IF(COUNTIFS(tbl_Finance[Job Number],C334&amp;"",tbl_Finance[Cost Centre],"VIDEO")&gt;0,"VIDEO ","")&amp;IF(COUNTIFS(tbl_Finance[Job Number],C334&amp;"",tbl_Finance[Cost Centre],"INTEGRATION")&gt;0,"INTEGRATION ","")&amp;IF(COUNTIFS(tbl_Finance[Job Number],C334&amp;"",tbl_Finance[Cost Centre],"CONSULTING")&gt;0,"CONSULTING ","")&amp;IF(COUNTIFS(tbl_Finance[Job Number],C334&amp;"",tbl_Finance[Cost Centre],"CTS")&gt;0,"CTS ",""))," ",", ")))</f>
        <v/>
      </c>
      <c r="L334" s="27">
        <f>IF(C334="","",SUMIFS(tbl_Finance[Inc GST],tbl_Finance[Job Number],C334&amp;""))</f>
        <v/>
      </c>
      <c r="M334" s="24" t="n"/>
      <c r="N334" s="25">
        <f>IF(C334="","",IFERROR(INDEX(tbl_Finance[Description],MATCH(C334&amp;"",tbl_Finance[Job Number],0)),""))</f>
        <v/>
      </c>
      <c r="O334" s="24" t="n"/>
      <c r="P334" s="24" t="n"/>
      <c r="Q334" s="22" t="n"/>
      <c r="R334" s="24" t="n"/>
      <c r="S334" s="25">
        <f>IF(R334="","",IF(AND(LEFT(R334,4)&lt;&gt;"http",set_RMSBase=""),"",HYPERLINK(IF(LEFT(R334,4)="http",R334,set_RMSBase&amp;R334),"Open opportunity")))</f>
        <v/>
      </c>
      <c r="T334" s="24" t="n"/>
      <c r="U334" s="25">
        <f>IF(T334="","",HYPERLINK(IF(LEFT(T334,4)="http",T334,set_QwilrBase&amp;T334),"Open quote"))</f>
        <v/>
      </c>
      <c r="V334" s="25">
        <f>IF(C334="","",C334)</f>
        <v/>
      </c>
      <c r="W334" s="24" t="n"/>
      <c r="X334" s="26" t="n"/>
      <c r="Y334" s="27">
        <f>IF(C334="","",H334+N(X334))</f>
        <v/>
      </c>
      <c r="Z334" s="29">
        <f>IFERROR(X334/Y334,"")</f>
        <v/>
      </c>
      <c r="AA334" s="26" t="n"/>
      <c r="AB334" s="26" t="n"/>
      <c r="AC334" s="26" t="n"/>
      <c r="AD334" s="26" t="n"/>
      <c r="AE334" s="27">
        <f>IF(C334="","",SUMIFS(tbl_Finance[Ex GST],tbl_Finance[Job Number],C334&amp;"",tbl_Finance[Cost Centre],"VIDEO"))</f>
        <v/>
      </c>
      <c r="AF334" s="29">
        <f>IFERROR(AE334/H334,"")</f>
        <v/>
      </c>
      <c r="AG334" s="27">
        <f>IF(C334="","",N(AA334)+N(AB334)+N(AC334)+N(AD334))</f>
        <v/>
      </c>
      <c r="AH334" s="27">
        <f>IF(C334="","",H334-AG334)</f>
        <v/>
      </c>
      <c r="AI334" s="29">
        <f>IFERROR(AH334/H334,"")</f>
        <v/>
      </c>
      <c r="AJ334" s="69" t="n"/>
      <c r="AK334" s="69" t="n"/>
      <c r="AL334" s="69" t="n"/>
      <c r="AM334" s="69" t="n"/>
      <c r="AN334" s="69" t="n"/>
      <c r="AO334" s="24" t="n"/>
    </row>
    <row r="335" ht="15" customHeight="1">
      <c r="A335" s="68">
        <f>IF(C335="","",IFERROR(IF(SUMPRODUCT(MAX((tbl_Finance[Job Number]=C335&amp;"")*(tbl_Finance[Xero Invoice No]&lt;&gt;"")*tbl_Finance[Date]))=0,"",SUMPRODUCT(MAX((tbl_Finance[Job Number]=C335&amp;"")*(tbl_Finance[Xero Invoice No]&lt;&gt;"")*tbl_Finance[Date]))),""))</f>
        <v/>
      </c>
      <c r="B335" s="25">
        <f>IF(C335="","",IF(COUNTIFS(tbl_Finance[Job Number],C335&amp;"",tbl_Finance[Xero Invoice No],"&lt;&gt;")=0,"",IFERROR(IF(COUNTIFS(tbl_Finance[Job Number],C335&amp;"",tbl_Finance[Xero Invoice No],LOOKUP(2,1/((tbl_Finance[Job Number]=C335&amp;"")*(tbl_Finance[Xero Invoice No]&lt;&gt;"")),tbl_Finance[Xero Invoice No]))=COUNTIFS(tbl_Finance[Job Number],C335&amp;"",tbl_Finance[Xero Invoice No],"&lt;&gt;"),LOOKUP(2,1/((tbl_Finance[Job Number]=C335&amp;"")*(tbl_Finance[Xero Invoice No]&lt;&gt;"")),tbl_Finance[Xero Invoice No]),LOOKUP(2,1/((tbl_Finance[Job Number]=C335&amp;"")*(tbl_Finance[Xero Invoice No]&lt;&gt;"")),tbl_Finance[Xero Invoice No])&amp;" +more"),"")))</f>
        <v/>
      </c>
      <c r="C335" s="24" t="n"/>
      <c r="D335" s="25">
        <f>IF(C335="","",IF(COUNTIF(lst_Jobs,C335&amp;"")&gt;0,"OK","CHECK"))</f>
        <v/>
      </c>
      <c r="E335" s="25">
        <f>IF(C335="","",IFERROR(INDEX(lst_JobName,MATCH(C335&amp;"",lst_Jobs,0)),""))</f>
        <v/>
      </c>
      <c r="F335" s="25">
        <f>IF(C335="","",IFERROR(INDEX(tbl_Finance[Client],MATCH(C335&amp;"",tbl_Finance[Job Number],0)),""))</f>
        <v/>
      </c>
      <c r="G335" s="28">
        <f>IF(C335="","",COUNTIFS(tbl_Finance[Job Number],C335&amp;"",tbl_Finance[Ex GST],"&lt;&gt;"))</f>
        <v/>
      </c>
      <c r="H335" s="27">
        <f>IF(C335="","",SUMIFS(tbl_Finance[Ex GST],tbl_Finance[Job Number],C335&amp;""))</f>
        <v/>
      </c>
      <c r="I335" s="27">
        <f>IF(C335="","",SUMIFS(tbl_Finance[Ex GST],tbl_Finance[Job Number],C335&amp;"",tbl_Finance[Xero Invoice No],"&lt;&gt;"))</f>
        <v/>
      </c>
      <c r="J335" s="27">
        <f>IF(C335="","",H335-I335)</f>
        <v/>
      </c>
      <c r="K335" s="25">
        <f>IF(C335="","",IF(G335=0,"not invoiced yet",SUBSTITUTE(TRIM(IF(COUNTIFS(tbl_Finance[Job Number],C335&amp;"",tbl_Finance[Cost Centre],"ONSITE")&gt;0,"ONSITE ","")&amp;IF(COUNTIFS(tbl_Finance[Job Number],C335&amp;"",tbl_Finance[Cost Centre],"PRODUCTION")&gt;0,"PRODUCTION ","")&amp;IF(COUNTIFS(tbl_Finance[Job Number],C335&amp;"",tbl_Finance[Cost Centre],"VIDEO")&gt;0,"VIDEO ","")&amp;IF(COUNTIFS(tbl_Finance[Job Number],C335&amp;"",tbl_Finance[Cost Centre],"INTEGRATION")&gt;0,"INTEGRATION ","")&amp;IF(COUNTIFS(tbl_Finance[Job Number],C335&amp;"",tbl_Finance[Cost Centre],"CONSULTING")&gt;0,"CONSULTING ","")&amp;IF(COUNTIFS(tbl_Finance[Job Number],C335&amp;"",tbl_Finance[Cost Centre],"CTS")&gt;0,"CTS ",""))," ",", ")))</f>
        <v/>
      </c>
      <c r="L335" s="27">
        <f>IF(C335="","",SUMIFS(tbl_Finance[Inc GST],tbl_Finance[Job Number],C335&amp;""))</f>
        <v/>
      </c>
      <c r="M335" s="24" t="n"/>
      <c r="N335" s="25">
        <f>IF(C335="","",IFERROR(INDEX(tbl_Finance[Description],MATCH(C335&amp;"",tbl_Finance[Job Number],0)),""))</f>
        <v/>
      </c>
      <c r="O335" s="24" t="n"/>
      <c r="P335" s="24" t="n"/>
      <c r="Q335" s="22" t="n"/>
      <c r="R335" s="24" t="n"/>
      <c r="S335" s="25">
        <f>IF(R335="","",IF(AND(LEFT(R335,4)&lt;&gt;"http",set_RMSBase=""),"",HYPERLINK(IF(LEFT(R335,4)="http",R335,set_RMSBase&amp;R335),"Open opportunity")))</f>
        <v/>
      </c>
      <c r="T335" s="24" t="n"/>
      <c r="U335" s="25">
        <f>IF(T335="","",HYPERLINK(IF(LEFT(T335,4)="http",T335,set_QwilrBase&amp;T335),"Open quote"))</f>
        <v/>
      </c>
      <c r="V335" s="25">
        <f>IF(C335="","",C335)</f>
        <v/>
      </c>
      <c r="W335" s="24" t="n"/>
      <c r="X335" s="26" t="n"/>
      <c r="Y335" s="27">
        <f>IF(C335="","",H335+N(X335))</f>
        <v/>
      </c>
      <c r="Z335" s="29">
        <f>IFERROR(X335/Y335,"")</f>
        <v/>
      </c>
      <c r="AA335" s="26" t="n"/>
      <c r="AB335" s="26" t="n"/>
      <c r="AC335" s="26" t="n"/>
      <c r="AD335" s="26" t="n"/>
      <c r="AE335" s="27">
        <f>IF(C335="","",SUMIFS(tbl_Finance[Ex GST],tbl_Finance[Job Number],C335&amp;"",tbl_Finance[Cost Centre],"VIDEO"))</f>
        <v/>
      </c>
      <c r="AF335" s="29">
        <f>IFERROR(AE335/H335,"")</f>
        <v/>
      </c>
      <c r="AG335" s="27">
        <f>IF(C335="","",N(AA335)+N(AB335)+N(AC335)+N(AD335))</f>
        <v/>
      </c>
      <c r="AH335" s="27">
        <f>IF(C335="","",H335-AG335)</f>
        <v/>
      </c>
      <c r="AI335" s="29">
        <f>IFERROR(AH335/H335,"")</f>
        <v/>
      </c>
      <c r="AJ335" s="69" t="n"/>
      <c r="AK335" s="69" t="n"/>
      <c r="AL335" s="69" t="n"/>
      <c r="AM335" s="69" t="n"/>
      <c r="AN335" s="69" t="n"/>
      <c r="AO335" s="24" t="n"/>
    </row>
    <row r="336" ht="15" customHeight="1">
      <c r="A336" s="68">
        <f>IF(C336="","",IFERROR(IF(SUMPRODUCT(MAX((tbl_Finance[Job Number]=C336&amp;"")*(tbl_Finance[Xero Invoice No]&lt;&gt;"")*tbl_Finance[Date]))=0,"",SUMPRODUCT(MAX((tbl_Finance[Job Number]=C336&amp;"")*(tbl_Finance[Xero Invoice No]&lt;&gt;"")*tbl_Finance[Date]))),""))</f>
        <v/>
      </c>
      <c r="B336" s="25">
        <f>IF(C336="","",IF(COUNTIFS(tbl_Finance[Job Number],C336&amp;"",tbl_Finance[Xero Invoice No],"&lt;&gt;")=0,"",IFERROR(IF(COUNTIFS(tbl_Finance[Job Number],C336&amp;"",tbl_Finance[Xero Invoice No],LOOKUP(2,1/((tbl_Finance[Job Number]=C336&amp;"")*(tbl_Finance[Xero Invoice No]&lt;&gt;"")),tbl_Finance[Xero Invoice No]))=COUNTIFS(tbl_Finance[Job Number],C336&amp;"",tbl_Finance[Xero Invoice No],"&lt;&gt;"),LOOKUP(2,1/((tbl_Finance[Job Number]=C336&amp;"")*(tbl_Finance[Xero Invoice No]&lt;&gt;"")),tbl_Finance[Xero Invoice No]),LOOKUP(2,1/((tbl_Finance[Job Number]=C336&amp;"")*(tbl_Finance[Xero Invoice No]&lt;&gt;"")),tbl_Finance[Xero Invoice No])&amp;" +more"),"")))</f>
        <v/>
      </c>
      <c r="C336" s="24" t="n"/>
      <c r="D336" s="25">
        <f>IF(C336="","",IF(COUNTIF(lst_Jobs,C336&amp;"")&gt;0,"OK","CHECK"))</f>
        <v/>
      </c>
      <c r="E336" s="25">
        <f>IF(C336="","",IFERROR(INDEX(lst_JobName,MATCH(C336&amp;"",lst_Jobs,0)),""))</f>
        <v/>
      </c>
      <c r="F336" s="25">
        <f>IF(C336="","",IFERROR(INDEX(tbl_Finance[Client],MATCH(C336&amp;"",tbl_Finance[Job Number],0)),""))</f>
        <v/>
      </c>
      <c r="G336" s="28">
        <f>IF(C336="","",COUNTIFS(tbl_Finance[Job Number],C336&amp;"",tbl_Finance[Ex GST],"&lt;&gt;"))</f>
        <v/>
      </c>
      <c r="H336" s="27">
        <f>IF(C336="","",SUMIFS(tbl_Finance[Ex GST],tbl_Finance[Job Number],C336&amp;""))</f>
        <v/>
      </c>
      <c r="I336" s="27">
        <f>IF(C336="","",SUMIFS(tbl_Finance[Ex GST],tbl_Finance[Job Number],C336&amp;"",tbl_Finance[Xero Invoice No],"&lt;&gt;"))</f>
        <v/>
      </c>
      <c r="J336" s="27">
        <f>IF(C336="","",H336-I336)</f>
        <v/>
      </c>
      <c r="K336" s="25">
        <f>IF(C336="","",IF(G336=0,"not invoiced yet",SUBSTITUTE(TRIM(IF(COUNTIFS(tbl_Finance[Job Number],C336&amp;"",tbl_Finance[Cost Centre],"ONSITE")&gt;0,"ONSITE ","")&amp;IF(COUNTIFS(tbl_Finance[Job Number],C336&amp;"",tbl_Finance[Cost Centre],"PRODUCTION")&gt;0,"PRODUCTION ","")&amp;IF(COUNTIFS(tbl_Finance[Job Number],C336&amp;"",tbl_Finance[Cost Centre],"VIDEO")&gt;0,"VIDEO ","")&amp;IF(COUNTIFS(tbl_Finance[Job Number],C336&amp;"",tbl_Finance[Cost Centre],"INTEGRATION")&gt;0,"INTEGRATION ","")&amp;IF(COUNTIFS(tbl_Finance[Job Number],C336&amp;"",tbl_Finance[Cost Centre],"CONSULTING")&gt;0,"CONSULTING ","")&amp;IF(COUNTIFS(tbl_Finance[Job Number],C336&amp;"",tbl_Finance[Cost Centre],"CTS")&gt;0,"CTS ",""))," ",", ")))</f>
        <v/>
      </c>
      <c r="L336" s="27">
        <f>IF(C336="","",SUMIFS(tbl_Finance[Inc GST],tbl_Finance[Job Number],C336&amp;""))</f>
        <v/>
      </c>
      <c r="M336" s="24" t="n"/>
      <c r="N336" s="25">
        <f>IF(C336="","",IFERROR(INDEX(tbl_Finance[Description],MATCH(C336&amp;"",tbl_Finance[Job Number],0)),""))</f>
        <v/>
      </c>
      <c r="O336" s="24" t="n"/>
      <c r="P336" s="24" t="n"/>
      <c r="Q336" s="22" t="n"/>
      <c r="R336" s="24" t="n"/>
      <c r="S336" s="25">
        <f>IF(R336="","",IF(AND(LEFT(R336,4)&lt;&gt;"http",set_RMSBase=""),"",HYPERLINK(IF(LEFT(R336,4)="http",R336,set_RMSBase&amp;R336),"Open opportunity")))</f>
        <v/>
      </c>
      <c r="T336" s="24" t="n"/>
      <c r="U336" s="25">
        <f>IF(T336="","",HYPERLINK(IF(LEFT(T336,4)="http",T336,set_QwilrBase&amp;T336),"Open quote"))</f>
        <v/>
      </c>
      <c r="V336" s="25">
        <f>IF(C336="","",C336)</f>
        <v/>
      </c>
      <c r="W336" s="24" t="n"/>
      <c r="X336" s="26" t="n"/>
      <c r="Y336" s="27">
        <f>IF(C336="","",H336+N(X336))</f>
        <v/>
      </c>
      <c r="Z336" s="29">
        <f>IFERROR(X336/Y336,"")</f>
        <v/>
      </c>
      <c r="AA336" s="26" t="n"/>
      <c r="AB336" s="26" t="n"/>
      <c r="AC336" s="26" t="n"/>
      <c r="AD336" s="26" t="n"/>
      <c r="AE336" s="27">
        <f>IF(C336="","",SUMIFS(tbl_Finance[Ex GST],tbl_Finance[Job Number],C336&amp;"",tbl_Finance[Cost Centre],"VIDEO"))</f>
        <v/>
      </c>
      <c r="AF336" s="29">
        <f>IFERROR(AE336/H336,"")</f>
        <v/>
      </c>
      <c r="AG336" s="27">
        <f>IF(C336="","",N(AA336)+N(AB336)+N(AC336)+N(AD336))</f>
        <v/>
      </c>
      <c r="AH336" s="27">
        <f>IF(C336="","",H336-AG336)</f>
        <v/>
      </c>
      <c r="AI336" s="29">
        <f>IFERROR(AH336/H336,"")</f>
        <v/>
      </c>
      <c r="AJ336" s="69" t="n"/>
      <c r="AK336" s="69" t="n"/>
      <c r="AL336" s="69" t="n"/>
      <c r="AM336" s="69" t="n"/>
      <c r="AN336" s="69" t="n"/>
      <c r="AO336" s="24" t="n"/>
    </row>
    <row r="337" ht="15" customHeight="1">
      <c r="A337" s="68">
        <f>IF(C337="","",IFERROR(IF(SUMPRODUCT(MAX((tbl_Finance[Job Number]=C337&amp;"")*(tbl_Finance[Xero Invoice No]&lt;&gt;"")*tbl_Finance[Date]))=0,"",SUMPRODUCT(MAX((tbl_Finance[Job Number]=C337&amp;"")*(tbl_Finance[Xero Invoice No]&lt;&gt;"")*tbl_Finance[Date]))),""))</f>
        <v/>
      </c>
      <c r="B337" s="25">
        <f>IF(C337="","",IF(COUNTIFS(tbl_Finance[Job Number],C337&amp;"",tbl_Finance[Xero Invoice No],"&lt;&gt;")=0,"",IFERROR(IF(COUNTIFS(tbl_Finance[Job Number],C337&amp;"",tbl_Finance[Xero Invoice No],LOOKUP(2,1/((tbl_Finance[Job Number]=C337&amp;"")*(tbl_Finance[Xero Invoice No]&lt;&gt;"")),tbl_Finance[Xero Invoice No]))=COUNTIFS(tbl_Finance[Job Number],C337&amp;"",tbl_Finance[Xero Invoice No],"&lt;&gt;"),LOOKUP(2,1/((tbl_Finance[Job Number]=C337&amp;"")*(tbl_Finance[Xero Invoice No]&lt;&gt;"")),tbl_Finance[Xero Invoice No]),LOOKUP(2,1/((tbl_Finance[Job Number]=C337&amp;"")*(tbl_Finance[Xero Invoice No]&lt;&gt;"")),tbl_Finance[Xero Invoice No])&amp;" +more"),"")))</f>
        <v/>
      </c>
      <c r="C337" s="24" t="n"/>
      <c r="D337" s="25">
        <f>IF(C337="","",IF(COUNTIF(lst_Jobs,C337&amp;"")&gt;0,"OK","CHECK"))</f>
        <v/>
      </c>
      <c r="E337" s="25">
        <f>IF(C337="","",IFERROR(INDEX(lst_JobName,MATCH(C337&amp;"",lst_Jobs,0)),""))</f>
        <v/>
      </c>
      <c r="F337" s="25">
        <f>IF(C337="","",IFERROR(INDEX(tbl_Finance[Client],MATCH(C337&amp;"",tbl_Finance[Job Number],0)),""))</f>
        <v/>
      </c>
      <c r="G337" s="28">
        <f>IF(C337="","",COUNTIFS(tbl_Finance[Job Number],C337&amp;"",tbl_Finance[Ex GST],"&lt;&gt;"))</f>
        <v/>
      </c>
      <c r="H337" s="27">
        <f>IF(C337="","",SUMIFS(tbl_Finance[Ex GST],tbl_Finance[Job Number],C337&amp;""))</f>
        <v/>
      </c>
      <c r="I337" s="27">
        <f>IF(C337="","",SUMIFS(tbl_Finance[Ex GST],tbl_Finance[Job Number],C337&amp;"",tbl_Finance[Xero Invoice No],"&lt;&gt;"))</f>
        <v/>
      </c>
      <c r="J337" s="27">
        <f>IF(C337="","",H337-I337)</f>
        <v/>
      </c>
      <c r="K337" s="25">
        <f>IF(C337="","",IF(G337=0,"not invoiced yet",SUBSTITUTE(TRIM(IF(COUNTIFS(tbl_Finance[Job Number],C337&amp;"",tbl_Finance[Cost Centre],"ONSITE")&gt;0,"ONSITE ","")&amp;IF(COUNTIFS(tbl_Finance[Job Number],C337&amp;"",tbl_Finance[Cost Centre],"PRODUCTION")&gt;0,"PRODUCTION ","")&amp;IF(COUNTIFS(tbl_Finance[Job Number],C337&amp;"",tbl_Finance[Cost Centre],"VIDEO")&gt;0,"VIDEO ","")&amp;IF(COUNTIFS(tbl_Finance[Job Number],C337&amp;"",tbl_Finance[Cost Centre],"INTEGRATION")&gt;0,"INTEGRATION ","")&amp;IF(COUNTIFS(tbl_Finance[Job Number],C337&amp;"",tbl_Finance[Cost Centre],"CONSULTING")&gt;0,"CONSULTING ","")&amp;IF(COUNTIFS(tbl_Finance[Job Number],C337&amp;"",tbl_Finance[Cost Centre],"CTS")&gt;0,"CTS ",""))," ",", ")))</f>
        <v/>
      </c>
      <c r="L337" s="27">
        <f>IF(C337="","",SUMIFS(tbl_Finance[Inc GST],tbl_Finance[Job Number],C337&amp;""))</f>
        <v/>
      </c>
      <c r="M337" s="24" t="n"/>
      <c r="N337" s="25">
        <f>IF(C337="","",IFERROR(INDEX(tbl_Finance[Description],MATCH(C337&amp;"",tbl_Finance[Job Number],0)),""))</f>
        <v/>
      </c>
      <c r="O337" s="24" t="n"/>
      <c r="P337" s="24" t="n"/>
      <c r="Q337" s="22" t="n"/>
      <c r="R337" s="24" t="n"/>
      <c r="S337" s="25">
        <f>IF(R337="","",IF(AND(LEFT(R337,4)&lt;&gt;"http",set_RMSBase=""),"",HYPERLINK(IF(LEFT(R337,4)="http",R337,set_RMSBase&amp;R337),"Open opportunity")))</f>
        <v/>
      </c>
      <c r="T337" s="24" t="n"/>
      <c r="U337" s="25">
        <f>IF(T337="","",HYPERLINK(IF(LEFT(T337,4)="http",T337,set_QwilrBase&amp;T337),"Open quote"))</f>
        <v/>
      </c>
      <c r="V337" s="25">
        <f>IF(C337="","",C337)</f>
        <v/>
      </c>
      <c r="W337" s="24" t="n"/>
      <c r="X337" s="26" t="n"/>
      <c r="Y337" s="27">
        <f>IF(C337="","",H337+N(X337))</f>
        <v/>
      </c>
      <c r="Z337" s="29">
        <f>IFERROR(X337/Y337,"")</f>
        <v/>
      </c>
      <c r="AA337" s="26" t="n"/>
      <c r="AB337" s="26" t="n"/>
      <c r="AC337" s="26" t="n"/>
      <c r="AD337" s="26" t="n"/>
      <c r="AE337" s="27">
        <f>IF(C337="","",SUMIFS(tbl_Finance[Ex GST],tbl_Finance[Job Number],C337&amp;"",tbl_Finance[Cost Centre],"VIDEO"))</f>
        <v/>
      </c>
      <c r="AF337" s="29">
        <f>IFERROR(AE337/H337,"")</f>
        <v/>
      </c>
      <c r="AG337" s="27">
        <f>IF(C337="","",N(AA337)+N(AB337)+N(AC337)+N(AD337))</f>
        <v/>
      </c>
      <c r="AH337" s="27">
        <f>IF(C337="","",H337-AG337)</f>
        <v/>
      </c>
      <c r="AI337" s="29">
        <f>IFERROR(AH337/H337,"")</f>
        <v/>
      </c>
      <c r="AJ337" s="69" t="n"/>
      <c r="AK337" s="69" t="n"/>
      <c r="AL337" s="69" t="n"/>
      <c r="AM337" s="69" t="n"/>
      <c r="AN337" s="69" t="n"/>
      <c r="AO337" s="24" t="n"/>
    </row>
    <row r="338" ht="15" customHeight="1">
      <c r="A338" s="68">
        <f>IF(C338="","",IFERROR(IF(SUMPRODUCT(MAX((tbl_Finance[Job Number]=C338&amp;"")*(tbl_Finance[Xero Invoice No]&lt;&gt;"")*tbl_Finance[Date]))=0,"",SUMPRODUCT(MAX((tbl_Finance[Job Number]=C338&amp;"")*(tbl_Finance[Xero Invoice No]&lt;&gt;"")*tbl_Finance[Date]))),""))</f>
        <v/>
      </c>
      <c r="B338" s="25">
        <f>IF(C338="","",IF(COUNTIFS(tbl_Finance[Job Number],C338&amp;"",tbl_Finance[Xero Invoice No],"&lt;&gt;")=0,"",IFERROR(IF(COUNTIFS(tbl_Finance[Job Number],C338&amp;"",tbl_Finance[Xero Invoice No],LOOKUP(2,1/((tbl_Finance[Job Number]=C338&amp;"")*(tbl_Finance[Xero Invoice No]&lt;&gt;"")),tbl_Finance[Xero Invoice No]))=COUNTIFS(tbl_Finance[Job Number],C338&amp;"",tbl_Finance[Xero Invoice No],"&lt;&gt;"),LOOKUP(2,1/((tbl_Finance[Job Number]=C338&amp;"")*(tbl_Finance[Xero Invoice No]&lt;&gt;"")),tbl_Finance[Xero Invoice No]),LOOKUP(2,1/((tbl_Finance[Job Number]=C338&amp;"")*(tbl_Finance[Xero Invoice No]&lt;&gt;"")),tbl_Finance[Xero Invoice No])&amp;" +more"),"")))</f>
        <v/>
      </c>
      <c r="C338" s="24" t="n"/>
      <c r="D338" s="25">
        <f>IF(C338="","",IF(COUNTIF(lst_Jobs,C338&amp;"")&gt;0,"OK","CHECK"))</f>
        <v/>
      </c>
      <c r="E338" s="25">
        <f>IF(C338="","",IFERROR(INDEX(lst_JobName,MATCH(C338&amp;"",lst_Jobs,0)),""))</f>
        <v/>
      </c>
      <c r="F338" s="25">
        <f>IF(C338="","",IFERROR(INDEX(tbl_Finance[Client],MATCH(C338&amp;"",tbl_Finance[Job Number],0)),""))</f>
        <v/>
      </c>
      <c r="G338" s="28">
        <f>IF(C338="","",COUNTIFS(tbl_Finance[Job Number],C338&amp;"",tbl_Finance[Ex GST],"&lt;&gt;"))</f>
        <v/>
      </c>
      <c r="H338" s="27">
        <f>IF(C338="","",SUMIFS(tbl_Finance[Ex GST],tbl_Finance[Job Number],C338&amp;""))</f>
        <v/>
      </c>
      <c r="I338" s="27">
        <f>IF(C338="","",SUMIFS(tbl_Finance[Ex GST],tbl_Finance[Job Number],C338&amp;"",tbl_Finance[Xero Invoice No],"&lt;&gt;"))</f>
        <v/>
      </c>
      <c r="J338" s="27">
        <f>IF(C338="","",H338-I338)</f>
        <v/>
      </c>
      <c r="K338" s="25">
        <f>IF(C338="","",IF(G338=0,"not invoiced yet",SUBSTITUTE(TRIM(IF(COUNTIFS(tbl_Finance[Job Number],C338&amp;"",tbl_Finance[Cost Centre],"ONSITE")&gt;0,"ONSITE ","")&amp;IF(COUNTIFS(tbl_Finance[Job Number],C338&amp;"",tbl_Finance[Cost Centre],"PRODUCTION")&gt;0,"PRODUCTION ","")&amp;IF(COUNTIFS(tbl_Finance[Job Number],C338&amp;"",tbl_Finance[Cost Centre],"VIDEO")&gt;0,"VIDEO ","")&amp;IF(COUNTIFS(tbl_Finance[Job Number],C338&amp;"",tbl_Finance[Cost Centre],"INTEGRATION")&gt;0,"INTEGRATION ","")&amp;IF(COUNTIFS(tbl_Finance[Job Number],C338&amp;"",tbl_Finance[Cost Centre],"CONSULTING")&gt;0,"CONSULTING ","")&amp;IF(COUNTIFS(tbl_Finance[Job Number],C338&amp;"",tbl_Finance[Cost Centre],"CTS")&gt;0,"CTS ",""))," ",", ")))</f>
        <v/>
      </c>
      <c r="L338" s="27">
        <f>IF(C338="","",SUMIFS(tbl_Finance[Inc GST],tbl_Finance[Job Number],C338&amp;""))</f>
        <v/>
      </c>
      <c r="M338" s="24" t="n"/>
      <c r="N338" s="25">
        <f>IF(C338="","",IFERROR(INDEX(tbl_Finance[Description],MATCH(C338&amp;"",tbl_Finance[Job Number],0)),""))</f>
        <v/>
      </c>
      <c r="O338" s="24" t="n"/>
      <c r="P338" s="24" t="n"/>
      <c r="Q338" s="22" t="n"/>
      <c r="R338" s="24" t="n"/>
      <c r="S338" s="25">
        <f>IF(R338="","",IF(AND(LEFT(R338,4)&lt;&gt;"http",set_RMSBase=""),"",HYPERLINK(IF(LEFT(R338,4)="http",R338,set_RMSBase&amp;R338),"Open opportunity")))</f>
        <v/>
      </c>
      <c r="T338" s="24" t="n"/>
      <c r="U338" s="25">
        <f>IF(T338="","",HYPERLINK(IF(LEFT(T338,4)="http",T338,set_QwilrBase&amp;T338),"Open quote"))</f>
        <v/>
      </c>
      <c r="V338" s="25">
        <f>IF(C338="","",C338)</f>
        <v/>
      </c>
      <c r="W338" s="24" t="n"/>
      <c r="X338" s="26" t="n"/>
      <c r="Y338" s="27">
        <f>IF(C338="","",H338+N(X338))</f>
        <v/>
      </c>
      <c r="Z338" s="29">
        <f>IFERROR(X338/Y338,"")</f>
        <v/>
      </c>
      <c r="AA338" s="26" t="n"/>
      <c r="AB338" s="26" t="n"/>
      <c r="AC338" s="26" t="n"/>
      <c r="AD338" s="26" t="n"/>
      <c r="AE338" s="27">
        <f>IF(C338="","",SUMIFS(tbl_Finance[Ex GST],tbl_Finance[Job Number],C338&amp;"",tbl_Finance[Cost Centre],"VIDEO"))</f>
        <v/>
      </c>
      <c r="AF338" s="29">
        <f>IFERROR(AE338/H338,"")</f>
        <v/>
      </c>
      <c r="AG338" s="27">
        <f>IF(C338="","",N(AA338)+N(AB338)+N(AC338)+N(AD338))</f>
        <v/>
      </c>
      <c r="AH338" s="27">
        <f>IF(C338="","",H338-AG338)</f>
        <v/>
      </c>
      <c r="AI338" s="29">
        <f>IFERROR(AH338/H338,"")</f>
        <v/>
      </c>
      <c r="AJ338" s="69" t="n"/>
      <c r="AK338" s="69" t="n"/>
      <c r="AL338" s="69" t="n"/>
      <c r="AM338" s="69" t="n"/>
      <c r="AN338" s="69" t="n"/>
      <c r="AO338" s="24" t="n"/>
    </row>
    <row r="339" ht="15" customHeight="1">
      <c r="A339" s="68">
        <f>IF(C339="","",IFERROR(IF(SUMPRODUCT(MAX((tbl_Finance[Job Number]=C339&amp;"")*(tbl_Finance[Xero Invoice No]&lt;&gt;"")*tbl_Finance[Date]))=0,"",SUMPRODUCT(MAX((tbl_Finance[Job Number]=C339&amp;"")*(tbl_Finance[Xero Invoice No]&lt;&gt;"")*tbl_Finance[Date]))),""))</f>
        <v/>
      </c>
      <c r="B339" s="25">
        <f>IF(C339="","",IF(COUNTIFS(tbl_Finance[Job Number],C339&amp;"",tbl_Finance[Xero Invoice No],"&lt;&gt;")=0,"",IFERROR(IF(COUNTIFS(tbl_Finance[Job Number],C339&amp;"",tbl_Finance[Xero Invoice No],LOOKUP(2,1/((tbl_Finance[Job Number]=C339&amp;"")*(tbl_Finance[Xero Invoice No]&lt;&gt;"")),tbl_Finance[Xero Invoice No]))=COUNTIFS(tbl_Finance[Job Number],C339&amp;"",tbl_Finance[Xero Invoice No],"&lt;&gt;"),LOOKUP(2,1/((tbl_Finance[Job Number]=C339&amp;"")*(tbl_Finance[Xero Invoice No]&lt;&gt;"")),tbl_Finance[Xero Invoice No]),LOOKUP(2,1/((tbl_Finance[Job Number]=C339&amp;"")*(tbl_Finance[Xero Invoice No]&lt;&gt;"")),tbl_Finance[Xero Invoice No])&amp;" +more"),"")))</f>
        <v/>
      </c>
      <c r="C339" s="24" t="n"/>
      <c r="D339" s="25">
        <f>IF(C339="","",IF(COUNTIF(lst_Jobs,C339&amp;"")&gt;0,"OK","CHECK"))</f>
        <v/>
      </c>
      <c r="E339" s="25">
        <f>IF(C339="","",IFERROR(INDEX(lst_JobName,MATCH(C339&amp;"",lst_Jobs,0)),""))</f>
        <v/>
      </c>
      <c r="F339" s="25">
        <f>IF(C339="","",IFERROR(INDEX(tbl_Finance[Client],MATCH(C339&amp;"",tbl_Finance[Job Number],0)),""))</f>
        <v/>
      </c>
      <c r="G339" s="28">
        <f>IF(C339="","",COUNTIFS(tbl_Finance[Job Number],C339&amp;"",tbl_Finance[Ex GST],"&lt;&gt;"))</f>
        <v/>
      </c>
      <c r="H339" s="27">
        <f>IF(C339="","",SUMIFS(tbl_Finance[Ex GST],tbl_Finance[Job Number],C339&amp;""))</f>
        <v/>
      </c>
      <c r="I339" s="27">
        <f>IF(C339="","",SUMIFS(tbl_Finance[Ex GST],tbl_Finance[Job Number],C339&amp;"",tbl_Finance[Xero Invoice No],"&lt;&gt;"))</f>
        <v/>
      </c>
      <c r="J339" s="27">
        <f>IF(C339="","",H339-I339)</f>
        <v/>
      </c>
      <c r="K339" s="25">
        <f>IF(C339="","",IF(G339=0,"not invoiced yet",SUBSTITUTE(TRIM(IF(COUNTIFS(tbl_Finance[Job Number],C339&amp;"",tbl_Finance[Cost Centre],"ONSITE")&gt;0,"ONSITE ","")&amp;IF(COUNTIFS(tbl_Finance[Job Number],C339&amp;"",tbl_Finance[Cost Centre],"PRODUCTION")&gt;0,"PRODUCTION ","")&amp;IF(COUNTIFS(tbl_Finance[Job Number],C339&amp;"",tbl_Finance[Cost Centre],"VIDEO")&gt;0,"VIDEO ","")&amp;IF(COUNTIFS(tbl_Finance[Job Number],C339&amp;"",tbl_Finance[Cost Centre],"INTEGRATION")&gt;0,"INTEGRATION ","")&amp;IF(COUNTIFS(tbl_Finance[Job Number],C339&amp;"",tbl_Finance[Cost Centre],"CONSULTING")&gt;0,"CONSULTING ","")&amp;IF(COUNTIFS(tbl_Finance[Job Number],C339&amp;"",tbl_Finance[Cost Centre],"CTS")&gt;0,"CTS ",""))," ",", ")))</f>
        <v/>
      </c>
      <c r="L339" s="27">
        <f>IF(C339="","",SUMIFS(tbl_Finance[Inc GST],tbl_Finance[Job Number],C339&amp;""))</f>
        <v/>
      </c>
      <c r="M339" s="24" t="n"/>
      <c r="N339" s="25">
        <f>IF(C339="","",IFERROR(INDEX(tbl_Finance[Description],MATCH(C339&amp;"",tbl_Finance[Job Number],0)),""))</f>
        <v/>
      </c>
      <c r="O339" s="24" t="n"/>
      <c r="P339" s="24" t="n"/>
      <c r="Q339" s="22" t="n"/>
      <c r="R339" s="24" t="n"/>
      <c r="S339" s="25">
        <f>IF(R339="","",IF(AND(LEFT(R339,4)&lt;&gt;"http",set_RMSBase=""),"",HYPERLINK(IF(LEFT(R339,4)="http",R339,set_RMSBase&amp;R339),"Open opportunity")))</f>
        <v/>
      </c>
      <c r="T339" s="24" t="n"/>
      <c r="U339" s="25">
        <f>IF(T339="","",HYPERLINK(IF(LEFT(T339,4)="http",T339,set_QwilrBase&amp;T339),"Open quote"))</f>
        <v/>
      </c>
      <c r="V339" s="25">
        <f>IF(C339="","",C339)</f>
        <v/>
      </c>
      <c r="W339" s="24" t="n"/>
      <c r="X339" s="26" t="n"/>
      <c r="Y339" s="27">
        <f>IF(C339="","",H339+N(X339))</f>
        <v/>
      </c>
      <c r="Z339" s="29">
        <f>IFERROR(X339/Y339,"")</f>
        <v/>
      </c>
      <c r="AA339" s="26" t="n"/>
      <c r="AB339" s="26" t="n"/>
      <c r="AC339" s="26" t="n"/>
      <c r="AD339" s="26" t="n"/>
      <c r="AE339" s="27">
        <f>IF(C339="","",SUMIFS(tbl_Finance[Ex GST],tbl_Finance[Job Number],C339&amp;"",tbl_Finance[Cost Centre],"VIDEO"))</f>
        <v/>
      </c>
      <c r="AF339" s="29">
        <f>IFERROR(AE339/H339,"")</f>
        <v/>
      </c>
      <c r="AG339" s="27">
        <f>IF(C339="","",N(AA339)+N(AB339)+N(AC339)+N(AD339))</f>
        <v/>
      </c>
      <c r="AH339" s="27">
        <f>IF(C339="","",H339-AG339)</f>
        <v/>
      </c>
      <c r="AI339" s="29">
        <f>IFERROR(AH339/H339,"")</f>
        <v/>
      </c>
      <c r="AJ339" s="69" t="n"/>
      <c r="AK339" s="69" t="n"/>
      <c r="AL339" s="69" t="n"/>
      <c r="AM339" s="69" t="n"/>
      <c r="AN339" s="69" t="n"/>
      <c r="AO339" s="24" t="n"/>
    </row>
    <row r="340" ht="15" customHeight="1">
      <c r="A340" s="68">
        <f>IF(C340="","",IFERROR(IF(SUMPRODUCT(MAX((tbl_Finance[Job Number]=C340&amp;"")*(tbl_Finance[Xero Invoice No]&lt;&gt;"")*tbl_Finance[Date]))=0,"",SUMPRODUCT(MAX((tbl_Finance[Job Number]=C340&amp;"")*(tbl_Finance[Xero Invoice No]&lt;&gt;"")*tbl_Finance[Date]))),""))</f>
        <v/>
      </c>
      <c r="B340" s="25">
        <f>IF(C340="","",IF(COUNTIFS(tbl_Finance[Job Number],C340&amp;"",tbl_Finance[Xero Invoice No],"&lt;&gt;")=0,"",IFERROR(IF(COUNTIFS(tbl_Finance[Job Number],C340&amp;"",tbl_Finance[Xero Invoice No],LOOKUP(2,1/((tbl_Finance[Job Number]=C340&amp;"")*(tbl_Finance[Xero Invoice No]&lt;&gt;"")),tbl_Finance[Xero Invoice No]))=COUNTIFS(tbl_Finance[Job Number],C340&amp;"",tbl_Finance[Xero Invoice No],"&lt;&gt;"),LOOKUP(2,1/((tbl_Finance[Job Number]=C340&amp;"")*(tbl_Finance[Xero Invoice No]&lt;&gt;"")),tbl_Finance[Xero Invoice No]),LOOKUP(2,1/((tbl_Finance[Job Number]=C340&amp;"")*(tbl_Finance[Xero Invoice No]&lt;&gt;"")),tbl_Finance[Xero Invoice No])&amp;" +more"),"")))</f>
        <v/>
      </c>
      <c r="C340" s="24" t="n"/>
      <c r="D340" s="25">
        <f>IF(C340="","",IF(COUNTIF(lst_Jobs,C340&amp;"")&gt;0,"OK","CHECK"))</f>
        <v/>
      </c>
      <c r="E340" s="25">
        <f>IF(C340="","",IFERROR(INDEX(lst_JobName,MATCH(C340&amp;"",lst_Jobs,0)),""))</f>
        <v/>
      </c>
      <c r="F340" s="25">
        <f>IF(C340="","",IFERROR(INDEX(tbl_Finance[Client],MATCH(C340&amp;"",tbl_Finance[Job Number],0)),""))</f>
        <v/>
      </c>
      <c r="G340" s="28">
        <f>IF(C340="","",COUNTIFS(tbl_Finance[Job Number],C340&amp;"",tbl_Finance[Ex GST],"&lt;&gt;"))</f>
        <v/>
      </c>
      <c r="H340" s="27">
        <f>IF(C340="","",SUMIFS(tbl_Finance[Ex GST],tbl_Finance[Job Number],C340&amp;""))</f>
        <v/>
      </c>
      <c r="I340" s="27">
        <f>IF(C340="","",SUMIFS(tbl_Finance[Ex GST],tbl_Finance[Job Number],C340&amp;"",tbl_Finance[Xero Invoice No],"&lt;&gt;"))</f>
        <v/>
      </c>
      <c r="J340" s="27">
        <f>IF(C340="","",H340-I340)</f>
        <v/>
      </c>
      <c r="K340" s="25">
        <f>IF(C340="","",IF(G340=0,"not invoiced yet",SUBSTITUTE(TRIM(IF(COUNTIFS(tbl_Finance[Job Number],C340&amp;"",tbl_Finance[Cost Centre],"ONSITE")&gt;0,"ONSITE ","")&amp;IF(COUNTIFS(tbl_Finance[Job Number],C340&amp;"",tbl_Finance[Cost Centre],"PRODUCTION")&gt;0,"PRODUCTION ","")&amp;IF(COUNTIFS(tbl_Finance[Job Number],C340&amp;"",tbl_Finance[Cost Centre],"VIDEO")&gt;0,"VIDEO ","")&amp;IF(COUNTIFS(tbl_Finance[Job Number],C340&amp;"",tbl_Finance[Cost Centre],"INTEGRATION")&gt;0,"INTEGRATION ","")&amp;IF(COUNTIFS(tbl_Finance[Job Number],C340&amp;"",tbl_Finance[Cost Centre],"CONSULTING")&gt;0,"CONSULTING ","")&amp;IF(COUNTIFS(tbl_Finance[Job Number],C340&amp;"",tbl_Finance[Cost Centre],"CTS")&gt;0,"CTS ",""))," ",", ")))</f>
        <v/>
      </c>
      <c r="L340" s="27">
        <f>IF(C340="","",SUMIFS(tbl_Finance[Inc GST],tbl_Finance[Job Number],C340&amp;""))</f>
        <v/>
      </c>
      <c r="M340" s="24" t="n"/>
      <c r="N340" s="25">
        <f>IF(C340="","",IFERROR(INDEX(tbl_Finance[Description],MATCH(C340&amp;"",tbl_Finance[Job Number],0)),""))</f>
        <v/>
      </c>
      <c r="O340" s="24" t="n"/>
      <c r="P340" s="24" t="n"/>
      <c r="Q340" s="22" t="n"/>
      <c r="R340" s="24" t="n"/>
      <c r="S340" s="25">
        <f>IF(R340="","",IF(AND(LEFT(R340,4)&lt;&gt;"http",set_RMSBase=""),"",HYPERLINK(IF(LEFT(R340,4)="http",R340,set_RMSBase&amp;R340),"Open opportunity")))</f>
        <v/>
      </c>
      <c r="T340" s="24" t="n"/>
      <c r="U340" s="25">
        <f>IF(T340="","",HYPERLINK(IF(LEFT(T340,4)="http",T340,set_QwilrBase&amp;T340),"Open quote"))</f>
        <v/>
      </c>
      <c r="V340" s="25">
        <f>IF(C340="","",C340)</f>
        <v/>
      </c>
      <c r="W340" s="24" t="n"/>
      <c r="X340" s="26" t="n"/>
      <c r="Y340" s="27">
        <f>IF(C340="","",H340+N(X340))</f>
        <v/>
      </c>
      <c r="Z340" s="29">
        <f>IFERROR(X340/Y340,"")</f>
        <v/>
      </c>
      <c r="AA340" s="26" t="n"/>
      <c r="AB340" s="26" t="n"/>
      <c r="AC340" s="26" t="n"/>
      <c r="AD340" s="26" t="n"/>
      <c r="AE340" s="27">
        <f>IF(C340="","",SUMIFS(tbl_Finance[Ex GST],tbl_Finance[Job Number],C340&amp;"",tbl_Finance[Cost Centre],"VIDEO"))</f>
        <v/>
      </c>
      <c r="AF340" s="29">
        <f>IFERROR(AE340/H340,"")</f>
        <v/>
      </c>
      <c r="AG340" s="27">
        <f>IF(C340="","",N(AA340)+N(AB340)+N(AC340)+N(AD340))</f>
        <v/>
      </c>
      <c r="AH340" s="27">
        <f>IF(C340="","",H340-AG340)</f>
        <v/>
      </c>
      <c r="AI340" s="29">
        <f>IFERROR(AH340/H340,"")</f>
        <v/>
      </c>
      <c r="AJ340" s="69" t="n"/>
      <c r="AK340" s="69" t="n"/>
      <c r="AL340" s="69" t="n"/>
      <c r="AM340" s="69" t="n"/>
      <c r="AN340" s="69" t="n"/>
      <c r="AO340" s="24" t="n"/>
    </row>
    <row r="341" ht="15" customHeight="1">
      <c r="A341" s="68">
        <f>IF(C341="","",IFERROR(IF(SUMPRODUCT(MAX((tbl_Finance[Job Number]=C341&amp;"")*(tbl_Finance[Xero Invoice No]&lt;&gt;"")*tbl_Finance[Date]))=0,"",SUMPRODUCT(MAX((tbl_Finance[Job Number]=C341&amp;"")*(tbl_Finance[Xero Invoice No]&lt;&gt;"")*tbl_Finance[Date]))),""))</f>
        <v/>
      </c>
      <c r="B341" s="25">
        <f>IF(C341="","",IF(COUNTIFS(tbl_Finance[Job Number],C341&amp;"",tbl_Finance[Xero Invoice No],"&lt;&gt;")=0,"",IFERROR(IF(COUNTIFS(tbl_Finance[Job Number],C341&amp;"",tbl_Finance[Xero Invoice No],LOOKUP(2,1/((tbl_Finance[Job Number]=C341&amp;"")*(tbl_Finance[Xero Invoice No]&lt;&gt;"")),tbl_Finance[Xero Invoice No]))=COUNTIFS(tbl_Finance[Job Number],C341&amp;"",tbl_Finance[Xero Invoice No],"&lt;&gt;"),LOOKUP(2,1/((tbl_Finance[Job Number]=C341&amp;"")*(tbl_Finance[Xero Invoice No]&lt;&gt;"")),tbl_Finance[Xero Invoice No]),LOOKUP(2,1/((tbl_Finance[Job Number]=C341&amp;"")*(tbl_Finance[Xero Invoice No]&lt;&gt;"")),tbl_Finance[Xero Invoice No])&amp;" +more"),"")))</f>
        <v/>
      </c>
      <c r="C341" s="24" t="n"/>
      <c r="D341" s="25">
        <f>IF(C341="","",IF(COUNTIF(lst_Jobs,C341&amp;"")&gt;0,"OK","CHECK"))</f>
        <v/>
      </c>
      <c r="E341" s="25">
        <f>IF(C341="","",IFERROR(INDEX(lst_JobName,MATCH(C341&amp;"",lst_Jobs,0)),""))</f>
        <v/>
      </c>
      <c r="F341" s="25">
        <f>IF(C341="","",IFERROR(INDEX(tbl_Finance[Client],MATCH(C341&amp;"",tbl_Finance[Job Number],0)),""))</f>
        <v/>
      </c>
      <c r="G341" s="28">
        <f>IF(C341="","",COUNTIFS(tbl_Finance[Job Number],C341&amp;"",tbl_Finance[Ex GST],"&lt;&gt;"))</f>
        <v/>
      </c>
      <c r="H341" s="27">
        <f>IF(C341="","",SUMIFS(tbl_Finance[Ex GST],tbl_Finance[Job Number],C341&amp;""))</f>
        <v/>
      </c>
      <c r="I341" s="27">
        <f>IF(C341="","",SUMIFS(tbl_Finance[Ex GST],tbl_Finance[Job Number],C341&amp;"",tbl_Finance[Xero Invoice No],"&lt;&gt;"))</f>
        <v/>
      </c>
      <c r="J341" s="27">
        <f>IF(C341="","",H341-I341)</f>
        <v/>
      </c>
      <c r="K341" s="25">
        <f>IF(C341="","",IF(G341=0,"not invoiced yet",SUBSTITUTE(TRIM(IF(COUNTIFS(tbl_Finance[Job Number],C341&amp;"",tbl_Finance[Cost Centre],"ONSITE")&gt;0,"ONSITE ","")&amp;IF(COUNTIFS(tbl_Finance[Job Number],C341&amp;"",tbl_Finance[Cost Centre],"PRODUCTION")&gt;0,"PRODUCTION ","")&amp;IF(COUNTIFS(tbl_Finance[Job Number],C341&amp;"",tbl_Finance[Cost Centre],"VIDEO")&gt;0,"VIDEO ","")&amp;IF(COUNTIFS(tbl_Finance[Job Number],C341&amp;"",tbl_Finance[Cost Centre],"INTEGRATION")&gt;0,"INTEGRATION ","")&amp;IF(COUNTIFS(tbl_Finance[Job Number],C341&amp;"",tbl_Finance[Cost Centre],"CONSULTING")&gt;0,"CONSULTING ","")&amp;IF(COUNTIFS(tbl_Finance[Job Number],C341&amp;"",tbl_Finance[Cost Centre],"CTS")&gt;0,"CTS ",""))," ",", ")))</f>
        <v/>
      </c>
      <c r="L341" s="27">
        <f>IF(C341="","",SUMIFS(tbl_Finance[Inc GST],tbl_Finance[Job Number],C341&amp;""))</f>
        <v/>
      </c>
      <c r="M341" s="24" t="n"/>
      <c r="N341" s="25">
        <f>IF(C341="","",IFERROR(INDEX(tbl_Finance[Description],MATCH(C341&amp;"",tbl_Finance[Job Number],0)),""))</f>
        <v/>
      </c>
      <c r="O341" s="24" t="n"/>
      <c r="P341" s="24" t="n"/>
      <c r="Q341" s="22" t="n"/>
      <c r="R341" s="24" t="n"/>
      <c r="S341" s="25">
        <f>IF(R341="","",IF(AND(LEFT(R341,4)&lt;&gt;"http",set_RMSBase=""),"",HYPERLINK(IF(LEFT(R341,4)="http",R341,set_RMSBase&amp;R341),"Open opportunity")))</f>
        <v/>
      </c>
      <c r="T341" s="24" t="n"/>
      <c r="U341" s="25">
        <f>IF(T341="","",HYPERLINK(IF(LEFT(T341,4)="http",T341,set_QwilrBase&amp;T341),"Open quote"))</f>
        <v/>
      </c>
      <c r="V341" s="25">
        <f>IF(C341="","",C341)</f>
        <v/>
      </c>
      <c r="W341" s="24" t="n"/>
      <c r="X341" s="26" t="n"/>
      <c r="Y341" s="27">
        <f>IF(C341="","",H341+N(X341))</f>
        <v/>
      </c>
      <c r="Z341" s="29">
        <f>IFERROR(X341/Y341,"")</f>
        <v/>
      </c>
      <c r="AA341" s="26" t="n"/>
      <c r="AB341" s="26" t="n"/>
      <c r="AC341" s="26" t="n"/>
      <c r="AD341" s="26" t="n"/>
      <c r="AE341" s="27">
        <f>IF(C341="","",SUMIFS(tbl_Finance[Ex GST],tbl_Finance[Job Number],C341&amp;"",tbl_Finance[Cost Centre],"VIDEO"))</f>
        <v/>
      </c>
      <c r="AF341" s="29">
        <f>IFERROR(AE341/H341,"")</f>
        <v/>
      </c>
      <c r="AG341" s="27">
        <f>IF(C341="","",N(AA341)+N(AB341)+N(AC341)+N(AD341))</f>
        <v/>
      </c>
      <c r="AH341" s="27">
        <f>IF(C341="","",H341-AG341)</f>
        <v/>
      </c>
      <c r="AI341" s="29">
        <f>IFERROR(AH341/H341,"")</f>
        <v/>
      </c>
      <c r="AJ341" s="69" t="n"/>
      <c r="AK341" s="69" t="n"/>
      <c r="AL341" s="69" t="n"/>
      <c r="AM341" s="69" t="n"/>
      <c r="AN341" s="69" t="n"/>
      <c r="AO341" s="24" t="n"/>
    </row>
    <row r="342" ht="15" customHeight="1">
      <c r="A342" s="68">
        <f>IF(C342="","",IFERROR(IF(SUMPRODUCT(MAX((tbl_Finance[Job Number]=C342&amp;"")*(tbl_Finance[Xero Invoice No]&lt;&gt;"")*tbl_Finance[Date]))=0,"",SUMPRODUCT(MAX((tbl_Finance[Job Number]=C342&amp;"")*(tbl_Finance[Xero Invoice No]&lt;&gt;"")*tbl_Finance[Date]))),""))</f>
        <v/>
      </c>
      <c r="B342" s="25">
        <f>IF(C342="","",IF(COUNTIFS(tbl_Finance[Job Number],C342&amp;"",tbl_Finance[Xero Invoice No],"&lt;&gt;")=0,"",IFERROR(IF(COUNTIFS(tbl_Finance[Job Number],C342&amp;"",tbl_Finance[Xero Invoice No],LOOKUP(2,1/((tbl_Finance[Job Number]=C342&amp;"")*(tbl_Finance[Xero Invoice No]&lt;&gt;"")),tbl_Finance[Xero Invoice No]))=COUNTIFS(tbl_Finance[Job Number],C342&amp;"",tbl_Finance[Xero Invoice No],"&lt;&gt;"),LOOKUP(2,1/((tbl_Finance[Job Number]=C342&amp;"")*(tbl_Finance[Xero Invoice No]&lt;&gt;"")),tbl_Finance[Xero Invoice No]),LOOKUP(2,1/((tbl_Finance[Job Number]=C342&amp;"")*(tbl_Finance[Xero Invoice No]&lt;&gt;"")),tbl_Finance[Xero Invoice No])&amp;" +more"),"")))</f>
        <v/>
      </c>
      <c r="C342" s="24" t="n"/>
      <c r="D342" s="25">
        <f>IF(C342="","",IF(COUNTIF(lst_Jobs,C342&amp;"")&gt;0,"OK","CHECK"))</f>
        <v/>
      </c>
      <c r="E342" s="25">
        <f>IF(C342="","",IFERROR(INDEX(lst_JobName,MATCH(C342&amp;"",lst_Jobs,0)),""))</f>
        <v/>
      </c>
      <c r="F342" s="25">
        <f>IF(C342="","",IFERROR(INDEX(tbl_Finance[Client],MATCH(C342&amp;"",tbl_Finance[Job Number],0)),""))</f>
        <v/>
      </c>
      <c r="G342" s="28">
        <f>IF(C342="","",COUNTIFS(tbl_Finance[Job Number],C342&amp;"",tbl_Finance[Ex GST],"&lt;&gt;"))</f>
        <v/>
      </c>
      <c r="H342" s="27">
        <f>IF(C342="","",SUMIFS(tbl_Finance[Ex GST],tbl_Finance[Job Number],C342&amp;""))</f>
        <v/>
      </c>
      <c r="I342" s="27">
        <f>IF(C342="","",SUMIFS(tbl_Finance[Ex GST],tbl_Finance[Job Number],C342&amp;"",tbl_Finance[Xero Invoice No],"&lt;&gt;"))</f>
        <v/>
      </c>
      <c r="J342" s="27">
        <f>IF(C342="","",H342-I342)</f>
        <v/>
      </c>
      <c r="K342" s="25">
        <f>IF(C342="","",IF(G342=0,"not invoiced yet",SUBSTITUTE(TRIM(IF(COUNTIFS(tbl_Finance[Job Number],C342&amp;"",tbl_Finance[Cost Centre],"ONSITE")&gt;0,"ONSITE ","")&amp;IF(COUNTIFS(tbl_Finance[Job Number],C342&amp;"",tbl_Finance[Cost Centre],"PRODUCTION")&gt;0,"PRODUCTION ","")&amp;IF(COUNTIFS(tbl_Finance[Job Number],C342&amp;"",tbl_Finance[Cost Centre],"VIDEO")&gt;0,"VIDEO ","")&amp;IF(COUNTIFS(tbl_Finance[Job Number],C342&amp;"",tbl_Finance[Cost Centre],"INTEGRATION")&gt;0,"INTEGRATION ","")&amp;IF(COUNTIFS(tbl_Finance[Job Number],C342&amp;"",tbl_Finance[Cost Centre],"CONSULTING")&gt;0,"CONSULTING ","")&amp;IF(COUNTIFS(tbl_Finance[Job Number],C342&amp;"",tbl_Finance[Cost Centre],"CTS")&gt;0,"CTS ",""))," ",", ")))</f>
        <v/>
      </c>
      <c r="L342" s="27">
        <f>IF(C342="","",SUMIFS(tbl_Finance[Inc GST],tbl_Finance[Job Number],C342&amp;""))</f>
        <v/>
      </c>
      <c r="M342" s="24" t="n"/>
      <c r="N342" s="25">
        <f>IF(C342="","",IFERROR(INDEX(tbl_Finance[Description],MATCH(C342&amp;"",tbl_Finance[Job Number],0)),""))</f>
        <v/>
      </c>
      <c r="O342" s="24" t="n"/>
      <c r="P342" s="24" t="n"/>
      <c r="Q342" s="22" t="n"/>
      <c r="R342" s="24" t="n"/>
      <c r="S342" s="25">
        <f>IF(R342="","",IF(AND(LEFT(R342,4)&lt;&gt;"http",set_RMSBase=""),"",HYPERLINK(IF(LEFT(R342,4)="http",R342,set_RMSBase&amp;R342),"Open opportunity")))</f>
        <v/>
      </c>
      <c r="T342" s="24" t="n"/>
      <c r="U342" s="25">
        <f>IF(T342="","",HYPERLINK(IF(LEFT(T342,4)="http",T342,set_QwilrBase&amp;T342),"Open quote"))</f>
        <v/>
      </c>
      <c r="V342" s="25">
        <f>IF(C342="","",C342)</f>
        <v/>
      </c>
      <c r="W342" s="24" t="n"/>
      <c r="X342" s="26" t="n"/>
      <c r="Y342" s="27">
        <f>IF(C342="","",H342+N(X342))</f>
        <v/>
      </c>
      <c r="Z342" s="29">
        <f>IFERROR(X342/Y342,"")</f>
        <v/>
      </c>
      <c r="AA342" s="26" t="n"/>
      <c r="AB342" s="26" t="n"/>
      <c r="AC342" s="26" t="n"/>
      <c r="AD342" s="26" t="n"/>
      <c r="AE342" s="27">
        <f>IF(C342="","",SUMIFS(tbl_Finance[Ex GST],tbl_Finance[Job Number],C342&amp;"",tbl_Finance[Cost Centre],"VIDEO"))</f>
        <v/>
      </c>
      <c r="AF342" s="29">
        <f>IFERROR(AE342/H342,"")</f>
        <v/>
      </c>
      <c r="AG342" s="27">
        <f>IF(C342="","",N(AA342)+N(AB342)+N(AC342)+N(AD342))</f>
        <v/>
      </c>
      <c r="AH342" s="27">
        <f>IF(C342="","",H342-AG342)</f>
        <v/>
      </c>
      <c r="AI342" s="29">
        <f>IFERROR(AH342/H342,"")</f>
        <v/>
      </c>
      <c r="AJ342" s="69" t="n"/>
      <c r="AK342" s="69" t="n"/>
      <c r="AL342" s="69" t="n"/>
      <c r="AM342" s="69" t="n"/>
      <c r="AN342" s="69" t="n"/>
      <c r="AO342" s="24" t="n"/>
    </row>
    <row r="343" ht="15" customHeight="1">
      <c r="A343" s="68">
        <f>IF(C343="","",IFERROR(IF(SUMPRODUCT(MAX((tbl_Finance[Job Number]=C343&amp;"")*(tbl_Finance[Xero Invoice No]&lt;&gt;"")*tbl_Finance[Date]))=0,"",SUMPRODUCT(MAX((tbl_Finance[Job Number]=C343&amp;"")*(tbl_Finance[Xero Invoice No]&lt;&gt;"")*tbl_Finance[Date]))),""))</f>
        <v/>
      </c>
      <c r="B343" s="25">
        <f>IF(C343="","",IF(COUNTIFS(tbl_Finance[Job Number],C343&amp;"",tbl_Finance[Xero Invoice No],"&lt;&gt;")=0,"",IFERROR(IF(COUNTIFS(tbl_Finance[Job Number],C343&amp;"",tbl_Finance[Xero Invoice No],LOOKUP(2,1/((tbl_Finance[Job Number]=C343&amp;"")*(tbl_Finance[Xero Invoice No]&lt;&gt;"")),tbl_Finance[Xero Invoice No]))=COUNTIFS(tbl_Finance[Job Number],C343&amp;"",tbl_Finance[Xero Invoice No],"&lt;&gt;"),LOOKUP(2,1/((tbl_Finance[Job Number]=C343&amp;"")*(tbl_Finance[Xero Invoice No]&lt;&gt;"")),tbl_Finance[Xero Invoice No]),LOOKUP(2,1/((tbl_Finance[Job Number]=C343&amp;"")*(tbl_Finance[Xero Invoice No]&lt;&gt;"")),tbl_Finance[Xero Invoice No])&amp;" +more"),"")))</f>
        <v/>
      </c>
      <c r="C343" s="24" t="n"/>
      <c r="D343" s="25">
        <f>IF(C343="","",IF(COUNTIF(lst_Jobs,C343&amp;"")&gt;0,"OK","CHECK"))</f>
        <v/>
      </c>
      <c r="E343" s="25">
        <f>IF(C343="","",IFERROR(INDEX(lst_JobName,MATCH(C343&amp;"",lst_Jobs,0)),""))</f>
        <v/>
      </c>
      <c r="F343" s="25">
        <f>IF(C343="","",IFERROR(INDEX(tbl_Finance[Client],MATCH(C343&amp;"",tbl_Finance[Job Number],0)),""))</f>
        <v/>
      </c>
      <c r="G343" s="28">
        <f>IF(C343="","",COUNTIFS(tbl_Finance[Job Number],C343&amp;"",tbl_Finance[Ex GST],"&lt;&gt;"))</f>
        <v/>
      </c>
      <c r="H343" s="27">
        <f>IF(C343="","",SUMIFS(tbl_Finance[Ex GST],tbl_Finance[Job Number],C343&amp;""))</f>
        <v/>
      </c>
      <c r="I343" s="27">
        <f>IF(C343="","",SUMIFS(tbl_Finance[Ex GST],tbl_Finance[Job Number],C343&amp;"",tbl_Finance[Xero Invoice No],"&lt;&gt;"))</f>
        <v/>
      </c>
      <c r="J343" s="27">
        <f>IF(C343="","",H343-I343)</f>
        <v/>
      </c>
      <c r="K343" s="25">
        <f>IF(C343="","",IF(G343=0,"not invoiced yet",SUBSTITUTE(TRIM(IF(COUNTIFS(tbl_Finance[Job Number],C343&amp;"",tbl_Finance[Cost Centre],"ONSITE")&gt;0,"ONSITE ","")&amp;IF(COUNTIFS(tbl_Finance[Job Number],C343&amp;"",tbl_Finance[Cost Centre],"PRODUCTION")&gt;0,"PRODUCTION ","")&amp;IF(COUNTIFS(tbl_Finance[Job Number],C343&amp;"",tbl_Finance[Cost Centre],"VIDEO")&gt;0,"VIDEO ","")&amp;IF(COUNTIFS(tbl_Finance[Job Number],C343&amp;"",tbl_Finance[Cost Centre],"INTEGRATION")&gt;0,"INTEGRATION ","")&amp;IF(COUNTIFS(tbl_Finance[Job Number],C343&amp;"",tbl_Finance[Cost Centre],"CONSULTING")&gt;0,"CONSULTING ","")&amp;IF(COUNTIFS(tbl_Finance[Job Number],C343&amp;"",tbl_Finance[Cost Centre],"CTS")&gt;0,"CTS ",""))," ",", ")))</f>
        <v/>
      </c>
      <c r="L343" s="27">
        <f>IF(C343="","",SUMIFS(tbl_Finance[Inc GST],tbl_Finance[Job Number],C343&amp;""))</f>
        <v/>
      </c>
      <c r="M343" s="24" t="n"/>
      <c r="N343" s="25">
        <f>IF(C343="","",IFERROR(INDEX(tbl_Finance[Description],MATCH(C343&amp;"",tbl_Finance[Job Number],0)),""))</f>
        <v/>
      </c>
      <c r="O343" s="24" t="n"/>
      <c r="P343" s="24" t="n"/>
      <c r="Q343" s="22" t="n"/>
      <c r="R343" s="24" t="n"/>
      <c r="S343" s="25">
        <f>IF(R343="","",IF(AND(LEFT(R343,4)&lt;&gt;"http",set_RMSBase=""),"",HYPERLINK(IF(LEFT(R343,4)="http",R343,set_RMSBase&amp;R343),"Open opportunity")))</f>
        <v/>
      </c>
      <c r="T343" s="24" t="n"/>
      <c r="U343" s="25">
        <f>IF(T343="","",HYPERLINK(IF(LEFT(T343,4)="http",T343,set_QwilrBase&amp;T343),"Open quote"))</f>
        <v/>
      </c>
      <c r="V343" s="25">
        <f>IF(C343="","",C343)</f>
        <v/>
      </c>
      <c r="W343" s="24" t="n"/>
      <c r="X343" s="26" t="n"/>
      <c r="Y343" s="27">
        <f>IF(C343="","",H343+N(X343))</f>
        <v/>
      </c>
      <c r="Z343" s="29">
        <f>IFERROR(X343/Y343,"")</f>
        <v/>
      </c>
      <c r="AA343" s="26" t="n"/>
      <c r="AB343" s="26" t="n"/>
      <c r="AC343" s="26" t="n"/>
      <c r="AD343" s="26" t="n"/>
      <c r="AE343" s="27">
        <f>IF(C343="","",SUMIFS(tbl_Finance[Ex GST],tbl_Finance[Job Number],C343&amp;"",tbl_Finance[Cost Centre],"VIDEO"))</f>
        <v/>
      </c>
      <c r="AF343" s="29">
        <f>IFERROR(AE343/H343,"")</f>
        <v/>
      </c>
      <c r="AG343" s="27">
        <f>IF(C343="","",N(AA343)+N(AB343)+N(AC343)+N(AD343))</f>
        <v/>
      </c>
      <c r="AH343" s="27">
        <f>IF(C343="","",H343-AG343)</f>
        <v/>
      </c>
      <c r="AI343" s="29">
        <f>IFERROR(AH343/H343,"")</f>
        <v/>
      </c>
      <c r="AJ343" s="69" t="n"/>
      <c r="AK343" s="69" t="n"/>
      <c r="AL343" s="69" t="n"/>
      <c r="AM343" s="69" t="n"/>
      <c r="AN343" s="69" t="n"/>
      <c r="AO343" s="24" t="n"/>
    </row>
    <row r="344" ht="15" customHeight="1">
      <c r="A344" s="68">
        <f>IF(C344="","",IFERROR(IF(SUMPRODUCT(MAX((tbl_Finance[Job Number]=C344&amp;"")*(tbl_Finance[Xero Invoice No]&lt;&gt;"")*tbl_Finance[Date]))=0,"",SUMPRODUCT(MAX((tbl_Finance[Job Number]=C344&amp;"")*(tbl_Finance[Xero Invoice No]&lt;&gt;"")*tbl_Finance[Date]))),""))</f>
        <v/>
      </c>
      <c r="B344" s="25">
        <f>IF(C344="","",IF(COUNTIFS(tbl_Finance[Job Number],C344&amp;"",tbl_Finance[Xero Invoice No],"&lt;&gt;")=0,"",IFERROR(IF(COUNTIFS(tbl_Finance[Job Number],C344&amp;"",tbl_Finance[Xero Invoice No],LOOKUP(2,1/((tbl_Finance[Job Number]=C344&amp;"")*(tbl_Finance[Xero Invoice No]&lt;&gt;"")),tbl_Finance[Xero Invoice No]))=COUNTIFS(tbl_Finance[Job Number],C344&amp;"",tbl_Finance[Xero Invoice No],"&lt;&gt;"),LOOKUP(2,1/((tbl_Finance[Job Number]=C344&amp;"")*(tbl_Finance[Xero Invoice No]&lt;&gt;"")),tbl_Finance[Xero Invoice No]),LOOKUP(2,1/((tbl_Finance[Job Number]=C344&amp;"")*(tbl_Finance[Xero Invoice No]&lt;&gt;"")),tbl_Finance[Xero Invoice No])&amp;" +more"),"")))</f>
        <v/>
      </c>
      <c r="C344" s="24" t="n"/>
      <c r="D344" s="25">
        <f>IF(C344="","",IF(COUNTIF(lst_Jobs,C344&amp;"")&gt;0,"OK","CHECK"))</f>
        <v/>
      </c>
      <c r="E344" s="25">
        <f>IF(C344="","",IFERROR(INDEX(lst_JobName,MATCH(C344&amp;"",lst_Jobs,0)),""))</f>
        <v/>
      </c>
      <c r="F344" s="25">
        <f>IF(C344="","",IFERROR(INDEX(tbl_Finance[Client],MATCH(C344&amp;"",tbl_Finance[Job Number],0)),""))</f>
        <v/>
      </c>
      <c r="G344" s="28">
        <f>IF(C344="","",COUNTIFS(tbl_Finance[Job Number],C344&amp;"",tbl_Finance[Ex GST],"&lt;&gt;"))</f>
        <v/>
      </c>
      <c r="H344" s="27">
        <f>IF(C344="","",SUMIFS(tbl_Finance[Ex GST],tbl_Finance[Job Number],C344&amp;""))</f>
        <v/>
      </c>
      <c r="I344" s="27">
        <f>IF(C344="","",SUMIFS(tbl_Finance[Ex GST],tbl_Finance[Job Number],C344&amp;"",tbl_Finance[Xero Invoice No],"&lt;&gt;"))</f>
        <v/>
      </c>
      <c r="J344" s="27">
        <f>IF(C344="","",H344-I344)</f>
        <v/>
      </c>
      <c r="K344" s="25">
        <f>IF(C344="","",IF(G344=0,"not invoiced yet",SUBSTITUTE(TRIM(IF(COUNTIFS(tbl_Finance[Job Number],C344&amp;"",tbl_Finance[Cost Centre],"ONSITE")&gt;0,"ONSITE ","")&amp;IF(COUNTIFS(tbl_Finance[Job Number],C344&amp;"",tbl_Finance[Cost Centre],"PRODUCTION")&gt;0,"PRODUCTION ","")&amp;IF(COUNTIFS(tbl_Finance[Job Number],C344&amp;"",tbl_Finance[Cost Centre],"VIDEO")&gt;0,"VIDEO ","")&amp;IF(COUNTIFS(tbl_Finance[Job Number],C344&amp;"",tbl_Finance[Cost Centre],"INTEGRATION")&gt;0,"INTEGRATION ","")&amp;IF(COUNTIFS(tbl_Finance[Job Number],C344&amp;"",tbl_Finance[Cost Centre],"CONSULTING")&gt;0,"CONSULTING ","")&amp;IF(COUNTIFS(tbl_Finance[Job Number],C344&amp;"",tbl_Finance[Cost Centre],"CTS")&gt;0,"CTS ",""))," ",", ")))</f>
        <v/>
      </c>
      <c r="L344" s="27">
        <f>IF(C344="","",SUMIFS(tbl_Finance[Inc GST],tbl_Finance[Job Number],C344&amp;""))</f>
        <v/>
      </c>
      <c r="M344" s="24" t="n"/>
      <c r="N344" s="25">
        <f>IF(C344="","",IFERROR(INDEX(tbl_Finance[Description],MATCH(C344&amp;"",tbl_Finance[Job Number],0)),""))</f>
        <v/>
      </c>
      <c r="O344" s="24" t="n"/>
      <c r="P344" s="24" t="n"/>
      <c r="Q344" s="22" t="n"/>
      <c r="R344" s="24" t="n"/>
      <c r="S344" s="25">
        <f>IF(R344="","",IF(AND(LEFT(R344,4)&lt;&gt;"http",set_RMSBase=""),"",HYPERLINK(IF(LEFT(R344,4)="http",R344,set_RMSBase&amp;R344),"Open opportunity")))</f>
        <v/>
      </c>
      <c r="T344" s="24" t="n"/>
      <c r="U344" s="25">
        <f>IF(T344="","",HYPERLINK(IF(LEFT(T344,4)="http",T344,set_QwilrBase&amp;T344),"Open quote"))</f>
        <v/>
      </c>
      <c r="V344" s="25">
        <f>IF(C344="","",C344)</f>
        <v/>
      </c>
      <c r="W344" s="24" t="n"/>
      <c r="X344" s="26" t="n"/>
      <c r="Y344" s="27">
        <f>IF(C344="","",H344+N(X344))</f>
        <v/>
      </c>
      <c r="Z344" s="29">
        <f>IFERROR(X344/Y344,"")</f>
        <v/>
      </c>
      <c r="AA344" s="26" t="n"/>
      <c r="AB344" s="26" t="n"/>
      <c r="AC344" s="26" t="n"/>
      <c r="AD344" s="26" t="n"/>
      <c r="AE344" s="27">
        <f>IF(C344="","",SUMIFS(tbl_Finance[Ex GST],tbl_Finance[Job Number],C344&amp;"",tbl_Finance[Cost Centre],"VIDEO"))</f>
        <v/>
      </c>
      <c r="AF344" s="29">
        <f>IFERROR(AE344/H344,"")</f>
        <v/>
      </c>
      <c r="AG344" s="27">
        <f>IF(C344="","",N(AA344)+N(AB344)+N(AC344)+N(AD344))</f>
        <v/>
      </c>
      <c r="AH344" s="27">
        <f>IF(C344="","",H344-AG344)</f>
        <v/>
      </c>
      <c r="AI344" s="29">
        <f>IFERROR(AH344/H344,"")</f>
        <v/>
      </c>
      <c r="AJ344" s="69" t="n"/>
      <c r="AK344" s="69" t="n"/>
      <c r="AL344" s="69" t="n"/>
      <c r="AM344" s="69" t="n"/>
      <c r="AN344" s="69" t="n"/>
      <c r="AO344" s="24" t="n"/>
    </row>
    <row r="345" ht="15" customHeight="1">
      <c r="A345" s="68">
        <f>IF(C345="","",IFERROR(IF(SUMPRODUCT(MAX((tbl_Finance[Job Number]=C345&amp;"")*(tbl_Finance[Xero Invoice No]&lt;&gt;"")*tbl_Finance[Date]))=0,"",SUMPRODUCT(MAX((tbl_Finance[Job Number]=C345&amp;"")*(tbl_Finance[Xero Invoice No]&lt;&gt;"")*tbl_Finance[Date]))),""))</f>
        <v/>
      </c>
      <c r="B345" s="25">
        <f>IF(C345="","",IF(COUNTIFS(tbl_Finance[Job Number],C345&amp;"",tbl_Finance[Xero Invoice No],"&lt;&gt;")=0,"",IFERROR(IF(COUNTIFS(tbl_Finance[Job Number],C345&amp;"",tbl_Finance[Xero Invoice No],LOOKUP(2,1/((tbl_Finance[Job Number]=C345&amp;"")*(tbl_Finance[Xero Invoice No]&lt;&gt;"")),tbl_Finance[Xero Invoice No]))=COUNTIFS(tbl_Finance[Job Number],C345&amp;"",tbl_Finance[Xero Invoice No],"&lt;&gt;"),LOOKUP(2,1/((tbl_Finance[Job Number]=C345&amp;"")*(tbl_Finance[Xero Invoice No]&lt;&gt;"")),tbl_Finance[Xero Invoice No]),LOOKUP(2,1/((tbl_Finance[Job Number]=C345&amp;"")*(tbl_Finance[Xero Invoice No]&lt;&gt;"")),tbl_Finance[Xero Invoice No])&amp;" +more"),"")))</f>
        <v/>
      </c>
      <c r="C345" s="24" t="n"/>
      <c r="D345" s="25">
        <f>IF(C345="","",IF(COUNTIF(lst_Jobs,C345&amp;"")&gt;0,"OK","CHECK"))</f>
        <v/>
      </c>
      <c r="E345" s="25">
        <f>IF(C345="","",IFERROR(INDEX(lst_JobName,MATCH(C345&amp;"",lst_Jobs,0)),""))</f>
        <v/>
      </c>
      <c r="F345" s="25">
        <f>IF(C345="","",IFERROR(INDEX(tbl_Finance[Client],MATCH(C345&amp;"",tbl_Finance[Job Number],0)),""))</f>
        <v/>
      </c>
      <c r="G345" s="28">
        <f>IF(C345="","",COUNTIFS(tbl_Finance[Job Number],C345&amp;"",tbl_Finance[Ex GST],"&lt;&gt;"))</f>
        <v/>
      </c>
      <c r="H345" s="27">
        <f>IF(C345="","",SUMIFS(tbl_Finance[Ex GST],tbl_Finance[Job Number],C345&amp;""))</f>
        <v/>
      </c>
      <c r="I345" s="27">
        <f>IF(C345="","",SUMIFS(tbl_Finance[Ex GST],tbl_Finance[Job Number],C345&amp;"",tbl_Finance[Xero Invoice No],"&lt;&gt;"))</f>
        <v/>
      </c>
      <c r="J345" s="27">
        <f>IF(C345="","",H345-I345)</f>
        <v/>
      </c>
      <c r="K345" s="25">
        <f>IF(C345="","",IF(G345=0,"not invoiced yet",SUBSTITUTE(TRIM(IF(COUNTIFS(tbl_Finance[Job Number],C345&amp;"",tbl_Finance[Cost Centre],"ONSITE")&gt;0,"ONSITE ","")&amp;IF(COUNTIFS(tbl_Finance[Job Number],C345&amp;"",tbl_Finance[Cost Centre],"PRODUCTION")&gt;0,"PRODUCTION ","")&amp;IF(COUNTIFS(tbl_Finance[Job Number],C345&amp;"",tbl_Finance[Cost Centre],"VIDEO")&gt;0,"VIDEO ","")&amp;IF(COUNTIFS(tbl_Finance[Job Number],C345&amp;"",tbl_Finance[Cost Centre],"INTEGRATION")&gt;0,"INTEGRATION ","")&amp;IF(COUNTIFS(tbl_Finance[Job Number],C345&amp;"",tbl_Finance[Cost Centre],"CONSULTING")&gt;0,"CONSULTING ","")&amp;IF(COUNTIFS(tbl_Finance[Job Number],C345&amp;"",tbl_Finance[Cost Centre],"CTS")&gt;0,"CTS ",""))," ",", ")))</f>
        <v/>
      </c>
      <c r="L345" s="27">
        <f>IF(C345="","",SUMIFS(tbl_Finance[Inc GST],tbl_Finance[Job Number],C345&amp;""))</f>
        <v/>
      </c>
      <c r="M345" s="24" t="n"/>
      <c r="N345" s="25">
        <f>IF(C345="","",IFERROR(INDEX(tbl_Finance[Description],MATCH(C345&amp;"",tbl_Finance[Job Number],0)),""))</f>
        <v/>
      </c>
      <c r="O345" s="24" t="n"/>
      <c r="P345" s="24" t="n"/>
      <c r="Q345" s="22" t="n"/>
      <c r="R345" s="24" t="n"/>
      <c r="S345" s="25">
        <f>IF(R345="","",IF(AND(LEFT(R345,4)&lt;&gt;"http",set_RMSBase=""),"",HYPERLINK(IF(LEFT(R345,4)="http",R345,set_RMSBase&amp;R345),"Open opportunity")))</f>
        <v/>
      </c>
      <c r="T345" s="24" t="n"/>
      <c r="U345" s="25">
        <f>IF(T345="","",HYPERLINK(IF(LEFT(T345,4)="http",T345,set_QwilrBase&amp;T345),"Open quote"))</f>
        <v/>
      </c>
      <c r="V345" s="25">
        <f>IF(C345="","",C345)</f>
        <v/>
      </c>
      <c r="W345" s="24" t="n"/>
      <c r="X345" s="26" t="n"/>
      <c r="Y345" s="27">
        <f>IF(C345="","",H345+N(X345))</f>
        <v/>
      </c>
      <c r="Z345" s="29">
        <f>IFERROR(X345/Y345,"")</f>
        <v/>
      </c>
      <c r="AA345" s="26" t="n"/>
      <c r="AB345" s="26" t="n"/>
      <c r="AC345" s="26" t="n"/>
      <c r="AD345" s="26" t="n"/>
      <c r="AE345" s="27">
        <f>IF(C345="","",SUMIFS(tbl_Finance[Ex GST],tbl_Finance[Job Number],C345&amp;"",tbl_Finance[Cost Centre],"VIDEO"))</f>
        <v/>
      </c>
      <c r="AF345" s="29">
        <f>IFERROR(AE345/H345,"")</f>
        <v/>
      </c>
      <c r="AG345" s="27">
        <f>IF(C345="","",N(AA345)+N(AB345)+N(AC345)+N(AD345))</f>
        <v/>
      </c>
      <c r="AH345" s="27">
        <f>IF(C345="","",H345-AG345)</f>
        <v/>
      </c>
      <c r="AI345" s="29">
        <f>IFERROR(AH345/H345,"")</f>
        <v/>
      </c>
      <c r="AJ345" s="69" t="n"/>
      <c r="AK345" s="69" t="n"/>
      <c r="AL345" s="69" t="n"/>
      <c r="AM345" s="69" t="n"/>
      <c r="AN345" s="69" t="n"/>
      <c r="AO345" s="24" t="n"/>
    </row>
    <row r="346" ht="15" customHeight="1">
      <c r="A346" s="68">
        <f>IF(C346="","",IFERROR(IF(SUMPRODUCT(MAX((tbl_Finance[Job Number]=C346&amp;"")*(tbl_Finance[Xero Invoice No]&lt;&gt;"")*tbl_Finance[Date]))=0,"",SUMPRODUCT(MAX((tbl_Finance[Job Number]=C346&amp;"")*(tbl_Finance[Xero Invoice No]&lt;&gt;"")*tbl_Finance[Date]))),""))</f>
        <v/>
      </c>
      <c r="B346" s="25">
        <f>IF(C346="","",IF(COUNTIFS(tbl_Finance[Job Number],C346&amp;"",tbl_Finance[Xero Invoice No],"&lt;&gt;")=0,"",IFERROR(IF(COUNTIFS(tbl_Finance[Job Number],C346&amp;"",tbl_Finance[Xero Invoice No],LOOKUP(2,1/((tbl_Finance[Job Number]=C346&amp;"")*(tbl_Finance[Xero Invoice No]&lt;&gt;"")),tbl_Finance[Xero Invoice No]))=COUNTIFS(tbl_Finance[Job Number],C346&amp;"",tbl_Finance[Xero Invoice No],"&lt;&gt;"),LOOKUP(2,1/((tbl_Finance[Job Number]=C346&amp;"")*(tbl_Finance[Xero Invoice No]&lt;&gt;"")),tbl_Finance[Xero Invoice No]),LOOKUP(2,1/((tbl_Finance[Job Number]=C346&amp;"")*(tbl_Finance[Xero Invoice No]&lt;&gt;"")),tbl_Finance[Xero Invoice No])&amp;" +more"),"")))</f>
        <v/>
      </c>
      <c r="C346" s="24" t="n"/>
      <c r="D346" s="25">
        <f>IF(C346="","",IF(COUNTIF(lst_Jobs,C346&amp;"")&gt;0,"OK","CHECK"))</f>
        <v/>
      </c>
      <c r="E346" s="25">
        <f>IF(C346="","",IFERROR(INDEX(lst_JobName,MATCH(C346&amp;"",lst_Jobs,0)),""))</f>
        <v/>
      </c>
      <c r="F346" s="25">
        <f>IF(C346="","",IFERROR(INDEX(tbl_Finance[Client],MATCH(C346&amp;"",tbl_Finance[Job Number],0)),""))</f>
        <v/>
      </c>
      <c r="G346" s="28">
        <f>IF(C346="","",COUNTIFS(tbl_Finance[Job Number],C346&amp;"",tbl_Finance[Ex GST],"&lt;&gt;"))</f>
        <v/>
      </c>
      <c r="H346" s="27">
        <f>IF(C346="","",SUMIFS(tbl_Finance[Ex GST],tbl_Finance[Job Number],C346&amp;""))</f>
        <v/>
      </c>
      <c r="I346" s="27">
        <f>IF(C346="","",SUMIFS(tbl_Finance[Ex GST],tbl_Finance[Job Number],C346&amp;"",tbl_Finance[Xero Invoice No],"&lt;&gt;"))</f>
        <v/>
      </c>
      <c r="J346" s="27">
        <f>IF(C346="","",H346-I346)</f>
        <v/>
      </c>
      <c r="K346" s="25">
        <f>IF(C346="","",IF(G346=0,"not invoiced yet",SUBSTITUTE(TRIM(IF(COUNTIFS(tbl_Finance[Job Number],C346&amp;"",tbl_Finance[Cost Centre],"ONSITE")&gt;0,"ONSITE ","")&amp;IF(COUNTIFS(tbl_Finance[Job Number],C346&amp;"",tbl_Finance[Cost Centre],"PRODUCTION")&gt;0,"PRODUCTION ","")&amp;IF(COUNTIFS(tbl_Finance[Job Number],C346&amp;"",tbl_Finance[Cost Centre],"VIDEO")&gt;0,"VIDEO ","")&amp;IF(COUNTIFS(tbl_Finance[Job Number],C346&amp;"",tbl_Finance[Cost Centre],"INTEGRATION")&gt;0,"INTEGRATION ","")&amp;IF(COUNTIFS(tbl_Finance[Job Number],C346&amp;"",tbl_Finance[Cost Centre],"CONSULTING")&gt;0,"CONSULTING ","")&amp;IF(COUNTIFS(tbl_Finance[Job Number],C346&amp;"",tbl_Finance[Cost Centre],"CTS")&gt;0,"CTS ",""))," ",", ")))</f>
        <v/>
      </c>
      <c r="L346" s="27">
        <f>IF(C346="","",SUMIFS(tbl_Finance[Inc GST],tbl_Finance[Job Number],C346&amp;""))</f>
        <v/>
      </c>
      <c r="M346" s="24" t="n"/>
      <c r="N346" s="25">
        <f>IF(C346="","",IFERROR(INDEX(tbl_Finance[Description],MATCH(C346&amp;"",tbl_Finance[Job Number],0)),""))</f>
        <v/>
      </c>
      <c r="O346" s="24" t="n"/>
      <c r="P346" s="24" t="n"/>
      <c r="Q346" s="22" t="n"/>
      <c r="R346" s="24" t="n"/>
      <c r="S346" s="25">
        <f>IF(R346="","",IF(AND(LEFT(R346,4)&lt;&gt;"http",set_RMSBase=""),"",HYPERLINK(IF(LEFT(R346,4)="http",R346,set_RMSBase&amp;R346),"Open opportunity")))</f>
        <v/>
      </c>
      <c r="T346" s="24" t="n"/>
      <c r="U346" s="25">
        <f>IF(T346="","",HYPERLINK(IF(LEFT(T346,4)="http",T346,set_QwilrBase&amp;T346),"Open quote"))</f>
        <v/>
      </c>
      <c r="V346" s="25">
        <f>IF(C346="","",C346)</f>
        <v/>
      </c>
      <c r="W346" s="24" t="n"/>
      <c r="X346" s="26" t="n"/>
      <c r="Y346" s="27">
        <f>IF(C346="","",H346+N(X346))</f>
        <v/>
      </c>
      <c r="Z346" s="29">
        <f>IFERROR(X346/Y346,"")</f>
        <v/>
      </c>
      <c r="AA346" s="26" t="n"/>
      <c r="AB346" s="26" t="n"/>
      <c r="AC346" s="26" t="n"/>
      <c r="AD346" s="26" t="n"/>
      <c r="AE346" s="27">
        <f>IF(C346="","",SUMIFS(tbl_Finance[Ex GST],tbl_Finance[Job Number],C346&amp;"",tbl_Finance[Cost Centre],"VIDEO"))</f>
        <v/>
      </c>
      <c r="AF346" s="29">
        <f>IFERROR(AE346/H346,"")</f>
        <v/>
      </c>
      <c r="AG346" s="27">
        <f>IF(C346="","",N(AA346)+N(AB346)+N(AC346)+N(AD346))</f>
        <v/>
      </c>
      <c r="AH346" s="27">
        <f>IF(C346="","",H346-AG346)</f>
        <v/>
      </c>
      <c r="AI346" s="29">
        <f>IFERROR(AH346/H346,"")</f>
        <v/>
      </c>
      <c r="AJ346" s="69" t="n"/>
      <c r="AK346" s="69" t="n"/>
      <c r="AL346" s="69" t="n"/>
      <c r="AM346" s="69" t="n"/>
      <c r="AN346" s="69" t="n"/>
      <c r="AO346" s="24" t="n"/>
    </row>
    <row r="347" ht="15" customHeight="1">
      <c r="A347" s="68">
        <f>IF(C347="","",IFERROR(IF(SUMPRODUCT(MAX((tbl_Finance[Job Number]=C347&amp;"")*(tbl_Finance[Xero Invoice No]&lt;&gt;"")*tbl_Finance[Date]))=0,"",SUMPRODUCT(MAX((tbl_Finance[Job Number]=C347&amp;"")*(tbl_Finance[Xero Invoice No]&lt;&gt;"")*tbl_Finance[Date]))),""))</f>
        <v/>
      </c>
      <c r="B347" s="25">
        <f>IF(C347="","",IF(COUNTIFS(tbl_Finance[Job Number],C347&amp;"",tbl_Finance[Xero Invoice No],"&lt;&gt;")=0,"",IFERROR(IF(COUNTIFS(tbl_Finance[Job Number],C347&amp;"",tbl_Finance[Xero Invoice No],LOOKUP(2,1/((tbl_Finance[Job Number]=C347&amp;"")*(tbl_Finance[Xero Invoice No]&lt;&gt;"")),tbl_Finance[Xero Invoice No]))=COUNTIFS(tbl_Finance[Job Number],C347&amp;"",tbl_Finance[Xero Invoice No],"&lt;&gt;"),LOOKUP(2,1/((tbl_Finance[Job Number]=C347&amp;"")*(tbl_Finance[Xero Invoice No]&lt;&gt;"")),tbl_Finance[Xero Invoice No]),LOOKUP(2,1/((tbl_Finance[Job Number]=C347&amp;"")*(tbl_Finance[Xero Invoice No]&lt;&gt;"")),tbl_Finance[Xero Invoice No])&amp;" +more"),"")))</f>
        <v/>
      </c>
      <c r="C347" s="24" t="n"/>
      <c r="D347" s="25">
        <f>IF(C347="","",IF(COUNTIF(lst_Jobs,C347&amp;"")&gt;0,"OK","CHECK"))</f>
        <v/>
      </c>
      <c r="E347" s="25">
        <f>IF(C347="","",IFERROR(INDEX(lst_JobName,MATCH(C347&amp;"",lst_Jobs,0)),""))</f>
        <v/>
      </c>
      <c r="F347" s="25">
        <f>IF(C347="","",IFERROR(INDEX(tbl_Finance[Client],MATCH(C347&amp;"",tbl_Finance[Job Number],0)),""))</f>
        <v/>
      </c>
      <c r="G347" s="28">
        <f>IF(C347="","",COUNTIFS(tbl_Finance[Job Number],C347&amp;"",tbl_Finance[Ex GST],"&lt;&gt;"))</f>
        <v/>
      </c>
      <c r="H347" s="27">
        <f>IF(C347="","",SUMIFS(tbl_Finance[Ex GST],tbl_Finance[Job Number],C347&amp;""))</f>
        <v/>
      </c>
      <c r="I347" s="27">
        <f>IF(C347="","",SUMIFS(tbl_Finance[Ex GST],tbl_Finance[Job Number],C347&amp;"",tbl_Finance[Xero Invoice No],"&lt;&gt;"))</f>
        <v/>
      </c>
      <c r="J347" s="27">
        <f>IF(C347="","",H347-I347)</f>
        <v/>
      </c>
      <c r="K347" s="25">
        <f>IF(C347="","",IF(G347=0,"not invoiced yet",SUBSTITUTE(TRIM(IF(COUNTIFS(tbl_Finance[Job Number],C347&amp;"",tbl_Finance[Cost Centre],"ONSITE")&gt;0,"ONSITE ","")&amp;IF(COUNTIFS(tbl_Finance[Job Number],C347&amp;"",tbl_Finance[Cost Centre],"PRODUCTION")&gt;0,"PRODUCTION ","")&amp;IF(COUNTIFS(tbl_Finance[Job Number],C347&amp;"",tbl_Finance[Cost Centre],"VIDEO")&gt;0,"VIDEO ","")&amp;IF(COUNTIFS(tbl_Finance[Job Number],C347&amp;"",tbl_Finance[Cost Centre],"INTEGRATION")&gt;0,"INTEGRATION ","")&amp;IF(COUNTIFS(tbl_Finance[Job Number],C347&amp;"",tbl_Finance[Cost Centre],"CONSULTING")&gt;0,"CONSULTING ","")&amp;IF(COUNTIFS(tbl_Finance[Job Number],C347&amp;"",tbl_Finance[Cost Centre],"CTS")&gt;0,"CTS ",""))," ",", ")))</f>
        <v/>
      </c>
      <c r="L347" s="27">
        <f>IF(C347="","",SUMIFS(tbl_Finance[Inc GST],tbl_Finance[Job Number],C347&amp;""))</f>
        <v/>
      </c>
      <c r="M347" s="24" t="n"/>
      <c r="N347" s="25">
        <f>IF(C347="","",IFERROR(INDEX(tbl_Finance[Description],MATCH(C347&amp;"",tbl_Finance[Job Number],0)),""))</f>
        <v/>
      </c>
      <c r="O347" s="24" t="n"/>
      <c r="P347" s="24" t="n"/>
      <c r="Q347" s="22" t="n"/>
      <c r="R347" s="24" t="n"/>
      <c r="S347" s="25">
        <f>IF(R347="","",IF(AND(LEFT(R347,4)&lt;&gt;"http",set_RMSBase=""),"",HYPERLINK(IF(LEFT(R347,4)="http",R347,set_RMSBase&amp;R347),"Open opportunity")))</f>
        <v/>
      </c>
      <c r="T347" s="24" t="n"/>
      <c r="U347" s="25">
        <f>IF(T347="","",HYPERLINK(IF(LEFT(T347,4)="http",T347,set_QwilrBase&amp;T347),"Open quote"))</f>
        <v/>
      </c>
      <c r="V347" s="25">
        <f>IF(C347="","",C347)</f>
        <v/>
      </c>
      <c r="W347" s="24" t="n"/>
      <c r="X347" s="26" t="n"/>
      <c r="Y347" s="27">
        <f>IF(C347="","",H347+N(X347))</f>
        <v/>
      </c>
      <c r="Z347" s="29">
        <f>IFERROR(X347/Y347,"")</f>
        <v/>
      </c>
      <c r="AA347" s="26" t="n"/>
      <c r="AB347" s="26" t="n"/>
      <c r="AC347" s="26" t="n"/>
      <c r="AD347" s="26" t="n"/>
      <c r="AE347" s="27">
        <f>IF(C347="","",SUMIFS(tbl_Finance[Ex GST],tbl_Finance[Job Number],C347&amp;"",tbl_Finance[Cost Centre],"VIDEO"))</f>
        <v/>
      </c>
      <c r="AF347" s="29">
        <f>IFERROR(AE347/H347,"")</f>
        <v/>
      </c>
      <c r="AG347" s="27">
        <f>IF(C347="","",N(AA347)+N(AB347)+N(AC347)+N(AD347))</f>
        <v/>
      </c>
      <c r="AH347" s="27">
        <f>IF(C347="","",H347-AG347)</f>
        <v/>
      </c>
      <c r="AI347" s="29">
        <f>IFERROR(AH347/H347,"")</f>
        <v/>
      </c>
      <c r="AJ347" s="69" t="n"/>
      <c r="AK347" s="69" t="n"/>
      <c r="AL347" s="69" t="n"/>
      <c r="AM347" s="69" t="n"/>
      <c r="AN347" s="69" t="n"/>
      <c r="AO347" s="24" t="n"/>
    </row>
    <row r="348" ht="15" customHeight="1">
      <c r="A348" s="68">
        <f>IF(C348="","",IFERROR(IF(SUMPRODUCT(MAX((tbl_Finance[Job Number]=C348&amp;"")*(tbl_Finance[Xero Invoice No]&lt;&gt;"")*tbl_Finance[Date]))=0,"",SUMPRODUCT(MAX((tbl_Finance[Job Number]=C348&amp;"")*(tbl_Finance[Xero Invoice No]&lt;&gt;"")*tbl_Finance[Date]))),""))</f>
        <v/>
      </c>
      <c r="B348" s="25">
        <f>IF(C348="","",IF(COUNTIFS(tbl_Finance[Job Number],C348&amp;"",tbl_Finance[Xero Invoice No],"&lt;&gt;")=0,"",IFERROR(IF(COUNTIFS(tbl_Finance[Job Number],C348&amp;"",tbl_Finance[Xero Invoice No],LOOKUP(2,1/((tbl_Finance[Job Number]=C348&amp;"")*(tbl_Finance[Xero Invoice No]&lt;&gt;"")),tbl_Finance[Xero Invoice No]))=COUNTIFS(tbl_Finance[Job Number],C348&amp;"",tbl_Finance[Xero Invoice No],"&lt;&gt;"),LOOKUP(2,1/((tbl_Finance[Job Number]=C348&amp;"")*(tbl_Finance[Xero Invoice No]&lt;&gt;"")),tbl_Finance[Xero Invoice No]),LOOKUP(2,1/((tbl_Finance[Job Number]=C348&amp;"")*(tbl_Finance[Xero Invoice No]&lt;&gt;"")),tbl_Finance[Xero Invoice No])&amp;" +more"),"")))</f>
        <v/>
      </c>
      <c r="C348" s="24" t="n"/>
      <c r="D348" s="25">
        <f>IF(C348="","",IF(COUNTIF(lst_Jobs,C348&amp;"")&gt;0,"OK","CHECK"))</f>
        <v/>
      </c>
      <c r="E348" s="25">
        <f>IF(C348="","",IFERROR(INDEX(lst_JobName,MATCH(C348&amp;"",lst_Jobs,0)),""))</f>
        <v/>
      </c>
      <c r="F348" s="25">
        <f>IF(C348="","",IFERROR(INDEX(tbl_Finance[Client],MATCH(C348&amp;"",tbl_Finance[Job Number],0)),""))</f>
        <v/>
      </c>
      <c r="G348" s="28">
        <f>IF(C348="","",COUNTIFS(tbl_Finance[Job Number],C348&amp;"",tbl_Finance[Ex GST],"&lt;&gt;"))</f>
        <v/>
      </c>
      <c r="H348" s="27">
        <f>IF(C348="","",SUMIFS(tbl_Finance[Ex GST],tbl_Finance[Job Number],C348&amp;""))</f>
        <v/>
      </c>
      <c r="I348" s="27">
        <f>IF(C348="","",SUMIFS(tbl_Finance[Ex GST],tbl_Finance[Job Number],C348&amp;"",tbl_Finance[Xero Invoice No],"&lt;&gt;"))</f>
        <v/>
      </c>
      <c r="J348" s="27">
        <f>IF(C348="","",H348-I348)</f>
        <v/>
      </c>
      <c r="K348" s="25">
        <f>IF(C348="","",IF(G348=0,"not invoiced yet",SUBSTITUTE(TRIM(IF(COUNTIFS(tbl_Finance[Job Number],C348&amp;"",tbl_Finance[Cost Centre],"ONSITE")&gt;0,"ONSITE ","")&amp;IF(COUNTIFS(tbl_Finance[Job Number],C348&amp;"",tbl_Finance[Cost Centre],"PRODUCTION")&gt;0,"PRODUCTION ","")&amp;IF(COUNTIFS(tbl_Finance[Job Number],C348&amp;"",tbl_Finance[Cost Centre],"VIDEO")&gt;0,"VIDEO ","")&amp;IF(COUNTIFS(tbl_Finance[Job Number],C348&amp;"",tbl_Finance[Cost Centre],"INTEGRATION")&gt;0,"INTEGRATION ","")&amp;IF(COUNTIFS(tbl_Finance[Job Number],C348&amp;"",tbl_Finance[Cost Centre],"CONSULTING")&gt;0,"CONSULTING ","")&amp;IF(COUNTIFS(tbl_Finance[Job Number],C348&amp;"",tbl_Finance[Cost Centre],"CTS")&gt;0,"CTS ",""))," ",", ")))</f>
        <v/>
      </c>
      <c r="L348" s="27">
        <f>IF(C348="","",SUMIFS(tbl_Finance[Inc GST],tbl_Finance[Job Number],C348&amp;""))</f>
        <v/>
      </c>
      <c r="M348" s="24" t="n"/>
      <c r="N348" s="25">
        <f>IF(C348="","",IFERROR(INDEX(tbl_Finance[Description],MATCH(C348&amp;"",tbl_Finance[Job Number],0)),""))</f>
        <v/>
      </c>
      <c r="O348" s="24" t="n"/>
      <c r="P348" s="24" t="n"/>
      <c r="Q348" s="22" t="n"/>
      <c r="R348" s="24" t="n"/>
      <c r="S348" s="25">
        <f>IF(R348="","",IF(AND(LEFT(R348,4)&lt;&gt;"http",set_RMSBase=""),"",HYPERLINK(IF(LEFT(R348,4)="http",R348,set_RMSBase&amp;R348),"Open opportunity")))</f>
        <v/>
      </c>
      <c r="T348" s="24" t="n"/>
      <c r="U348" s="25">
        <f>IF(T348="","",HYPERLINK(IF(LEFT(T348,4)="http",T348,set_QwilrBase&amp;T348),"Open quote"))</f>
        <v/>
      </c>
      <c r="V348" s="25">
        <f>IF(C348="","",C348)</f>
        <v/>
      </c>
      <c r="W348" s="24" t="n"/>
      <c r="X348" s="26" t="n"/>
      <c r="Y348" s="27">
        <f>IF(C348="","",H348+N(X348))</f>
        <v/>
      </c>
      <c r="Z348" s="29">
        <f>IFERROR(X348/Y348,"")</f>
        <v/>
      </c>
      <c r="AA348" s="26" t="n"/>
      <c r="AB348" s="26" t="n"/>
      <c r="AC348" s="26" t="n"/>
      <c r="AD348" s="26" t="n"/>
      <c r="AE348" s="27">
        <f>IF(C348="","",SUMIFS(tbl_Finance[Ex GST],tbl_Finance[Job Number],C348&amp;"",tbl_Finance[Cost Centre],"VIDEO"))</f>
        <v/>
      </c>
      <c r="AF348" s="29">
        <f>IFERROR(AE348/H348,"")</f>
        <v/>
      </c>
      <c r="AG348" s="27">
        <f>IF(C348="","",N(AA348)+N(AB348)+N(AC348)+N(AD348))</f>
        <v/>
      </c>
      <c r="AH348" s="27">
        <f>IF(C348="","",H348-AG348)</f>
        <v/>
      </c>
      <c r="AI348" s="29">
        <f>IFERROR(AH348/H348,"")</f>
        <v/>
      </c>
      <c r="AJ348" s="69" t="n"/>
      <c r="AK348" s="69" t="n"/>
      <c r="AL348" s="69" t="n"/>
      <c r="AM348" s="69" t="n"/>
      <c r="AN348" s="69" t="n"/>
      <c r="AO348" s="24" t="n"/>
    </row>
    <row r="349" ht="15" customHeight="1">
      <c r="A349" s="68">
        <f>IF(C349="","",IFERROR(IF(SUMPRODUCT(MAX((tbl_Finance[Job Number]=C349&amp;"")*(tbl_Finance[Xero Invoice No]&lt;&gt;"")*tbl_Finance[Date]))=0,"",SUMPRODUCT(MAX((tbl_Finance[Job Number]=C349&amp;"")*(tbl_Finance[Xero Invoice No]&lt;&gt;"")*tbl_Finance[Date]))),""))</f>
        <v/>
      </c>
      <c r="B349" s="25">
        <f>IF(C349="","",IF(COUNTIFS(tbl_Finance[Job Number],C349&amp;"",tbl_Finance[Xero Invoice No],"&lt;&gt;")=0,"",IFERROR(IF(COUNTIFS(tbl_Finance[Job Number],C349&amp;"",tbl_Finance[Xero Invoice No],LOOKUP(2,1/((tbl_Finance[Job Number]=C349&amp;"")*(tbl_Finance[Xero Invoice No]&lt;&gt;"")),tbl_Finance[Xero Invoice No]))=COUNTIFS(tbl_Finance[Job Number],C349&amp;"",tbl_Finance[Xero Invoice No],"&lt;&gt;"),LOOKUP(2,1/((tbl_Finance[Job Number]=C349&amp;"")*(tbl_Finance[Xero Invoice No]&lt;&gt;"")),tbl_Finance[Xero Invoice No]),LOOKUP(2,1/((tbl_Finance[Job Number]=C349&amp;"")*(tbl_Finance[Xero Invoice No]&lt;&gt;"")),tbl_Finance[Xero Invoice No])&amp;" +more"),"")))</f>
        <v/>
      </c>
      <c r="C349" s="24" t="n"/>
      <c r="D349" s="25">
        <f>IF(C349="","",IF(COUNTIF(lst_Jobs,C349&amp;"")&gt;0,"OK","CHECK"))</f>
        <v/>
      </c>
      <c r="E349" s="25">
        <f>IF(C349="","",IFERROR(INDEX(lst_JobName,MATCH(C349&amp;"",lst_Jobs,0)),""))</f>
        <v/>
      </c>
      <c r="F349" s="25">
        <f>IF(C349="","",IFERROR(INDEX(tbl_Finance[Client],MATCH(C349&amp;"",tbl_Finance[Job Number],0)),""))</f>
        <v/>
      </c>
      <c r="G349" s="28">
        <f>IF(C349="","",COUNTIFS(tbl_Finance[Job Number],C349&amp;"",tbl_Finance[Ex GST],"&lt;&gt;"))</f>
        <v/>
      </c>
      <c r="H349" s="27">
        <f>IF(C349="","",SUMIFS(tbl_Finance[Ex GST],tbl_Finance[Job Number],C349&amp;""))</f>
        <v/>
      </c>
      <c r="I349" s="27">
        <f>IF(C349="","",SUMIFS(tbl_Finance[Ex GST],tbl_Finance[Job Number],C349&amp;"",tbl_Finance[Xero Invoice No],"&lt;&gt;"))</f>
        <v/>
      </c>
      <c r="J349" s="27">
        <f>IF(C349="","",H349-I349)</f>
        <v/>
      </c>
      <c r="K349" s="25">
        <f>IF(C349="","",IF(G349=0,"not invoiced yet",SUBSTITUTE(TRIM(IF(COUNTIFS(tbl_Finance[Job Number],C349&amp;"",tbl_Finance[Cost Centre],"ONSITE")&gt;0,"ONSITE ","")&amp;IF(COUNTIFS(tbl_Finance[Job Number],C349&amp;"",tbl_Finance[Cost Centre],"PRODUCTION")&gt;0,"PRODUCTION ","")&amp;IF(COUNTIFS(tbl_Finance[Job Number],C349&amp;"",tbl_Finance[Cost Centre],"VIDEO")&gt;0,"VIDEO ","")&amp;IF(COUNTIFS(tbl_Finance[Job Number],C349&amp;"",tbl_Finance[Cost Centre],"INTEGRATION")&gt;0,"INTEGRATION ","")&amp;IF(COUNTIFS(tbl_Finance[Job Number],C349&amp;"",tbl_Finance[Cost Centre],"CONSULTING")&gt;0,"CONSULTING ","")&amp;IF(COUNTIFS(tbl_Finance[Job Number],C349&amp;"",tbl_Finance[Cost Centre],"CTS")&gt;0,"CTS ",""))," ",", ")))</f>
        <v/>
      </c>
      <c r="L349" s="27">
        <f>IF(C349="","",SUMIFS(tbl_Finance[Inc GST],tbl_Finance[Job Number],C349&amp;""))</f>
        <v/>
      </c>
      <c r="M349" s="24" t="n"/>
      <c r="N349" s="25">
        <f>IF(C349="","",IFERROR(INDEX(tbl_Finance[Description],MATCH(C349&amp;"",tbl_Finance[Job Number],0)),""))</f>
        <v/>
      </c>
      <c r="O349" s="24" t="n"/>
      <c r="P349" s="24" t="n"/>
      <c r="Q349" s="22" t="n"/>
      <c r="R349" s="24" t="n"/>
      <c r="S349" s="25">
        <f>IF(R349="","",IF(AND(LEFT(R349,4)&lt;&gt;"http",set_RMSBase=""),"",HYPERLINK(IF(LEFT(R349,4)="http",R349,set_RMSBase&amp;R349),"Open opportunity")))</f>
        <v/>
      </c>
      <c r="T349" s="24" t="n"/>
      <c r="U349" s="25">
        <f>IF(T349="","",HYPERLINK(IF(LEFT(T349,4)="http",T349,set_QwilrBase&amp;T349),"Open quote"))</f>
        <v/>
      </c>
      <c r="V349" s="25">
        <f>IF(C349="","",C349)</f>
        <v/>
      </c>
      <c r="W349" s="24" t="n"/>
      <c r="X349" s="26" t="n"/>
      <c r="Y349" s="27">
        <f>IF(C349="","",H349+N(X349))</f>
        <v/>
      </c>
      <c r="Z349" s="29">
        <f>IFERROR(X349/Y349,"")</f>
        <v/>
      </c>
      <c r="AA349" s="26" t="n"/>
      <c r="AB349" s="26" t="n"/>
      <c r="AC349" s="26" t="n"/>
      <c r="AD349" s="26" t="n"/>
      <c r="AE349" s="27">
        <f>IF(C349="","",SUMIFS(tbl_Finance[Ex GST],tbl_Finance[Job Number],C349&amp;"",tbl_Finance[Cost Centre],"VIDEO"))</f>
        <v/>
      </c>
      <c r="AF349" s="29">
        <f>IFERROR(AE349/H349,"")</f>
        <v/>
      </c>
      <c r="AG349" s="27">
        <f>IF(C349="","",N(AA349)+N(AB349)+N(AC349)+N(AD349))</f>
        <v/>
      </c>
      <c r="AH349" s="27">
        <f>IF(C349="","",H349-AG349)</f>
        <v/>
      </c>
      <c r="AI349" s="29">
        <f>IFERROR(AH349/H349,"")</f>
        <v/>
      </c>
      <c r="AJ349" s="69" t="n"/>
      <c r="AK349" s="69" t="n"/>
      <c r="AL349" s="69" t="n"/>
      <c r="AM349" s="69" t="n"/>
      <c r="AN349" s="69" t="n"/>
      <c r="AO349" s="24" t="n"/>
    </row>
    <row r="350" ht="15" customHeight="1">
      <c r="A350" s="68">
        <f>IF(C350="","",IFERROR(IF(SUMPRODUCT(MAX((tbl_Finance[Job Number]=C350&amp;"")*(tbl_Finance[Xero Invoice No]&lt;&gt;"")*tbl_Finance[Date]))=0,"",SUMPRODUCT(MAX((tbl_Finance[Job Number]=C350&amp;"")*(tbl_Finance[Xero Invoice No]&lt;&gt;"")*tbl_Finance[Date]))),""))</f>
        <v/>
      </c>
      <c r="B350" s="25">
        <f>IF(C350="","",IF(COUNTIFS(tbl_Finance[Job Number],C350&amp;"",tbl_Finance[Xero Invoice No],"&lt;&gt;")=0,"",IFERROR(IF(COUNTIFS(tbl_Finance[Job Number],C350&amp;"",tbl_Finance[Xero Invoice No],LOOKUP(2,1/((tbl_Finance[Job Number]=C350&amp;"")*(tbl_Finance[Xero Invoice No]&lt;&gt;"")),tbl_Finance[Xero Invoice No]))=COUNTIFS(tbl_Finance[Job Number],C350&amp;"",tbl_Finance[Xero Invoice No],"&lt;&gt;"),LOOKUP(2,1/((tbl_Finance[Job Number]=C350&amp;"")*(tbl_Finance[Xero Invoice No]&lt;&gt;"")),tbl_Finance[Xero Invoice No]),LOOKUP(2,1/((tbl_Finance[Job Number]=C350&amp;"")*(tbl_Finance[Xero Invoice No]&lt;&gt;"")),tbl_Finance[Xero Invoice No])&amp;" +more"),"")))</f>
        <v/>
      </c>
      <c r="C350" s="24" t="n"/>
      <c r="D350" s="25">
        <f>IF(C350="","",IF(COUNTIF(lst_Jobs,C350&amp;"")&gt;0,"OK","CHECK"))</f>
        <v/>
      </c>
      <c r="E350" s="25">
        <f>IF(C350="","",IFERROR(INDEX(lst_JobName,MATCH(C350&amp;"",lst_Jobs,0)),""))</f>
        <v/>
      </c>
      <c r="F350" s="25">
        <f>IF(C350="","",IFERROR(INDEX(tbl_Finance[Client],MATCH(C350&amp;"",tbl_Finance[Job Number],0)),""))</f>
        <v/>
      </c>
      <c r="G350" s="28">
        <f>IF(C350="","",COUNTIFS(tbl_Finance[Job Number],C350&amp;"",tbl_Finance[Ex GST],"&lt;&gt;"))</f>
        <v/>
      </c>
      <c r="H350" s="27">
        <f>IF(C350="","",SUMIFS(tbl_Finance[Ex GST],tbl_Finance[Job Number],C350&amp;""))</f>
        <v/>
      </c>
      <c r="I350" s="27">
        <f>IF(C350="","",SUMIFS(tbl_Finance[Ex GST],tbl_Finance[Job Number],C350&amp;"",tbl_Finance[Xero Invoice No],"&lt;&gt;"))</f>
        <v/>
      </c>
      <c r="J350" s="27">
        <f>IF(C350="","",H350-I350)</f>
        <v/>
      </c>
      <c r="K350" s="25">
        <f>IF(C350="","",IF(G350=0,"not invoiced yet",SUBSTITUTE(TRIM(IF(COUNTIFS(tbl_Finance[Job Number],C350&amp;"",tbl_Finance[Cost Centre],"ONSITE")&gt;0,"ONSITE ","")&amp;IF(COUNTIFS(tbl_Finance[Job Number],C350&amp;"",tbl_Finance[Cost Centre],"PRODUCTION")&gt;0,"PRODUCTION ","")&amp;IF(COUNTIFS(tbl_Finance[Job Number],C350&amp;"",tbl_Finance[Cost Centre],"VIDEO")&gt;0,"VIDEO ","")&amp;IF(COUNTIFS(tbl_Finance[Job Number],C350&amp;"",tbl_Finance[Cost Centre],"INTEGRATION")&gt;0,"INTEGRATION ","")&amp;IF(COUNTIFS(tbl_Finance[Job Number],C350&amp;"",tbl_Finance[Cost Centre],"CONSULTING")&gt;0,"CONSULTING ","")&amp;IF(COUNTIFS(tbl_Finance[Job Number],C350&amp;"",tbl_Finance[Cost Centre],"CTS")&gt;0,"CTS ",""))," ",", ")))</f>
        <v/>
      </c>
      <c r="L350" s="27">
        <f>IF(C350="","",SUMIFS(tbl_Finance[Inc GST],tbl_Finance[Job Number],C350&amp;""))</f>
        <v/>
      </c>
      <c r="M350" s="24" t="n"/>
      <c r="N350" s="25">
        <f>IF(C350="","",IFERROR(INDEX(tbl_Finance[Description],MATCH(C350&amp;"",tbl_Finance[Job Number],0)),""))</f>
        <v/>
      </c>
      <c r="O350" s="24" t="n"/>
      <c r="P350" s="24" t="n"/>
      <c r="Q350" s="22" t="n"/>
      <c r="R350" s="24" t="n"/>
      <c r="S350" s="25">
        <f>IF(R350="","",IF(AND(LEFT(R350,4)&lt;&gt;"http",set_RMSBase=""),"",HYPERLINK(IF(LEFT(R350,4)="http",R350,set_RMSBase&amp;R350),"Open opportunity")))</f>
        <v/>
      </c>
      <c r="T350" s="24" t="n"/>
      <c r="U350" s="25">
        <f>IF(T350="","",HYPERLINK(IF(LEFT(T350,4)="http",T350,set_QwilrBase&amp;T350),"Open quote"))</f>
        <v/>
      </c>
      <c r="V350" s="25">
        <f>IF(C350="","",C350)</f>
        <v/>
      </c>
      <c r="W350" s="24" t="n"/>
      <c r="X350" s="26" t="n"/>
      <c r="Y350" s="27">
        <f>IF(C350="","",H350+N(X350))</f>
        <v/>
      </c>
      <c r="Z350" s="29">
        <f>IFERROR(X350/Y350,"")</f>
        <v/>
      </c>
      <c r="AA350" s="26" t="n"/>
      <c r="AB350" s="26" t="n"/>
      <c r="AC350" s="26" t="n"/>
      <c r="AD350" s="26" t="n"/>
      <c r="AE350" s="27">
        <f>IF(C350="","",SUMIFS(tbl_Finance[Ex GST],tbl_Finance[Job Number],C350&amp;"",tbl_Finance[Cost Centre],"VIDEO"))</f>
        <v/>
      </c>
      <c r="AF350" s="29">
        <f>IFERROR(AE350/H350,"")</f>
        <v/>
      </c>
      <c r="AG350" s="27">
        <f>IF(C350="","",N(AA350)+N(AB350)+N(AC350)+N(AD350))</f>
        <v/>
      </c>
      <c r="AH350" s="27">
        <f>IF(C350="","",H350-AG350)</f>
        <v/>
      </c>
      <c r="AI350" s="29">
        <f>IFERROR(AH350/H350,"")</f>
        <v/>
      </c>
      <c r="AJ350" s="69" t="n"/>
      <c r="AK350" s="69" t="n"/>
      <c r="AL350" s="69" t="n"/>
      <c r="AM350" s="69" t="n"/>
      <c r="AN350" s="69" t="n"/>
      <c r="AO350" s="24" t="n"/>
    </row>
    <row r="351" ht="15" customHeight="1">
      <c r="A351" s="68">
        <f>IF(C351="","",IFERROR(IF(SUMPRODUCT(MAX((tbl_Finance[Job Number]=C351&amp;"")*(tbl_Finance[Xero Invoice No]&lt;&gt;"")*tbl_Finance[Date]))=0,"",SUMPRODUCT(MAX((tbl_Finance[Job Number]=C351&amp;"")*(tbl_Finance[Xero Invoice No]&lt;&gt;"")*tbl_Finance[Date]))),""))</f>
        <v/>
      </c>
      <c r="B351" s="25">
        <f>IF(C351="","",IF(COUNTIFS(tbl_Finance[Job Number],C351&amp;"",tbl_Finance[Xero Invoice No],"&lt;&gt;")=0,"",IFERROR(IF(COUNTIFS(tbl_Finance[Job Number],C351&amp;"",tbl_Finance[Xero Invoice No],LOOKUP(2,1/((tbl_Finance[Job Number]=C351&amp;"")*(tbl_Finance[Xero Invoice No]&lt;&gt;"")),tbl_Finance[Xero Invoice No]))=COUNTIFS(tbl_Finance[Job Number],C351&amp;"",tbl_Finance[Xero Invoice No],"&lt;&gt;"),LOOKUP(2,1/((tbl_Finance[Job Number]=C351&amp;"")*(tbl_Finance[Xero Invoice No]&lt;&gt;"")),tbl_Finance[Xero Invoice No]),LOOKUP(2,1/((tbl_Finance[Job Number]=C351&amp;"")*(tbl_Finance[Xero Invoice No]&lt;&gt;"")),tbl_Finance[Xero Invoice No])&amp;" +more"),"")))</f>
        <v/>
      </c>
      <c r="C351" s="24" t="n"/>
      <c r="D351" s="25">
        <f>IF(C351="","",IF(COUNTIF(lst_Jobs,C351&amp;"")&gt;0,"OK","CHECK"))</f>
        <v/>
      </c>
      <c r="E351" s="25">
        <f>IF(C351="","",IFERROR(INDEX(lst_JobName,MATCH(C351&amp;"",lst_Jobs,0)),""))</f>
        <v/>
      </c>
      <c r="F351" s="25">
        <f>IF(C351="","",IFERROR(INDEX(tbl_Finance[Client],MATCH(C351&amp;"",tbl_Finance[Job Number],0)),""))</f>
        <v/>
      </c>
      <c r="G351" s="28">
        <f>IF(C351="","",COUNTIFS(tbl_Finance[Job Number],C351&amp;"",tbl_Finance[Ex GST],"&lt;&gt;"))</f>
        <v/>
      </c>
      <c r="H351" s="27">
        <f>IF(C351="","",SUMIFS(tbl_Finance[Ex GST],tbl_Finance[Job Number],C351&amp;""))</f>
        <v/>
      </c>
      <c r="I351" s="27">
        <f>IF(C351="","",SUMIFS(tbl_Finance[Ex GST],tbl_Finance[Job Number],C351&amp;"",tbl_Finance[Xero Invoice No],"&lt;&gt;"))</f>
        <v/>
      </c>
      <c r="J351" s="27">
        <f>IF(C351="","",H351-I351)</f>
        <v/>
      </c>
      <c r="K351" s="25">
        <f>IF(C351="","",IF(G351=0,"not invoiced yet",SUBSTITUTE(TRIM(IF(COUNTIFS(tbl_Finance[Job Number],C351&amp;"",tbl_Finance[Cost Centre],"ONSITE")&gt;0,"ONSITE ","")&amp;IF(COUNTIFS(tbl_Finance[Job Number],C351&amp;"",tbl_Finance[Cost Centre],"PRODUCTION")&gt;0,"PRODUCTION ","")&amp;IF(COUNTIFS(tbl_Finance[Job Number],C351&amp;"",tbl_Finance[Cost Centre],"VIDEO")&gt;0,"VIDEO ","")&amp;IF(COUNTIFS(tbl_Finance[Job Number],C351&amp;"",tbl_Finance[Cost Centre],"INTEGRATION")&gt;0,"INTEGRATION ","")&amp;IF(COUNTIFS(tbl_Finance[Job Number],C351&amp;"",tbl_Finance[Cost Centre],"CONSULTING")&gt;0,"CONSULTING ","")&amp;IF(COUNTIFS(tbl_Finance[Job Number],C351&amp;"",tbl_Finance[Cost Centre],"CTS")&gt;0,"CTS ",""))," ",", ")))</f>
        <v/>
      </c>
      <c r="L351" s="27">
        <f>IF(C351="","",SUMIFS(tbl_Finance[Inc GST],tbl_Finance[Job Number],C351&amp;""))</f>
        <v/>
      </c>
      <c r="M351" s="24" t="n"/>
      <c r="N351" s="25">
        <f>IF(C351="","",IFERROR(INDEX(tbl_Finance[Description],MATCH(C351&amp;"",tbl_Finance[Job Number],0)),""))</f>
        <v/>
      </c>
      <c r="O351" s="24" t="n"/>
      <c r="P351" s="24" t="n"/>
      <c r="Q351" s="22" t="n"/>
      <c r="R351" s="24" t="n"/>
      <c r="S351" s="25">
        <f>IF(R351="","",IF(AND(LEFT(R351,4)&lt;&gt;"http",set_RMSBase=""),"",HYPERLINK(IF(LEFT(R351,4)="http",R351,set_RMSBase&amp;R351),"Open opportunity")))</f>
        <v/>
      </c>
      <c r="T351" s="24" t="n"/>
      <c r="U351" s="25">
        <f>IF(T351="","",HYPERLINK(IF(LEFT(T351,4)="http",T351,set_QwilrBase&amp;T351),"Open quote"))</f>
        <v/>
      </c>
      <c r="V351" s="25">
        <f>IF(C351="","",C351)</f>
        <v/>
      </c>
      <c r="W351" s="24" t="n"/>
      <c r="X351" s="26" t="n"/>
      <c r="Y351" s="27">
        <f>IF(C351="","",H351+N(X351))</f>
        <v/>
      </c>
      <c r="Z351" s="29">
        <f>IFERROR(X351/Y351,"")</f>
        <v/>
      </c>
      <c r="AA351" s="26" t="n"/>
      <c r="AB351" s="26" t="n"/>
      <c r="AC351" s="26" t="n"/>
      <c r="AD351" s="26" t="n"/>
      <c r="AE351" s="27">
        <f>IF(C351="","",SUMIFS(tbl_Finance[Ex GST],tbl_Finance[Job Number],C351&amp;"",tbl_Finance[Cost Centre],"VIDEO"))</f>
        <v/>
      </c>
      <c r="AF351" s="29">
        <f>IFERROR(AE351/H351,"")</f>
        <v/>
      </c>
      <c r="AG351" s="27">
        <f>IF(C351="","",N(AA351)+N(AB351)+N(AC351)+N(AD351))</f>
        <v/>
      </c>
      <c r="AH351" s="27">
        <f>IF(C351="","",H351-AG351)</f>
        <v/>
      </c>
      <c r="AI351" s="29">
        <f>IFERROR(AH351/H351,"")</f>
        <v/>
      </c>
      <c r="AJ351" s="69" t="n"/>
      <c r="AK351" s="69" t="n"/>
      <c r="AL351" s="69" t="n"/>
      <c r="AM351" s="69" t="n"/>
      <c r="AN351" s="69" t="n"/>
      <c r="AO351" s="24" t="n"/>
    </row>
    <row r="352" ht="15" customHeight="1">
      <c r="A352" s="68">
        <f>IF(C352="","",IFERROR(IF(SUMPRODUCT(MAX((tbl_Finance[Job Number]=C352&amp;"")*(tbl_Finance[Xero Invoice No]&lt;&gt;"")*tbl_Finance[Date]))=0,"",SUMPRODUCT(MAX((tbl_Finance[Job Number]=C352&amp;"")*(tbl_Finance[Xero Invoice No]&lt;&gt;"")*tbl_Finance[Date]))),""))</f>
        <v/>
      </c>
      <c r="B352" s="25">
        <f>IF(C352="","",IF(COUNTIFS(tbl_Finance[Job Number],C352&amp;"",tbl_Finance[Xero Invoice No],"&lt;&gt;")=0,"",IFERROR(IF(COUNTIFS(tbl_Finance[Job Number],C352&amp;"",tbl_Finance[Xero Invoice No],LOOKUP(2,1/((tbl_Finance[Job Number]=C352&amp;"")*(tbl_Finance[Xero Invoice No]&lt;&gt;"")),tbl_Finance[Xero Invoice No]))=COUNTIFS(tbl_Finance[Job Number],C352&amp;"",tbl_Finance[Xero Invoice No],"&lt;&gt;"),LOOKUP(2,1/((tbl_Finance[Job Number]=C352&amp;"")*(tbl_Finance[Xero Invoice No]&lt;&gt;"")),tbl_Finance[Xero Invoice No]),LOOKUP(2,1/((tbl_Finance[Job Number]=C352&amp;"")*(tbl_Finance[Xero Invoice No]&lt;&gt;"")),tbl_Finance[Xero Invoice No])&amp;" +more"),"")))</f>
        <v/>
      </c>
      <c r="C352" s="24" t="n"/>
      <c r="D352" s="25">
        <f>IF(C352="","",IF(COUNTIF(lst_Jobs,C352&amp;"")&gt;0,"OK","CHECK"))</f>
        <v/>
      </c>
      <c r="E352" s="25">
        <f>IF(C352="","",IFERROR(INDEX(lst_JobName,MATCH(C352&amp;"",lst_Jobs,0)),""))</f>
        <v/>
      </c>
      <c r="F352" s="25">
        <f>IF(C352="","",IFERROR(INDEX(tbl_Finance[Client],MATCH(C352&amp;"",tbl_Finance[Job Number],0)),""))</f>
        <v/>
      </c>
      <c r="G352" s="28">
        <f>IF(C352="","",COUNTIFS(tbl_Finance[Job Number],C352&amp;"",tbl_Finance[Ex GST],"&lt;&gt;"))</f>
        <v/>
      </c>
      <c r="H352" s="27">
        <f>IF(C352="","",SUMIFS(tbl_Finance[Ex GST],tbl_Finance[Job Number],C352&amp;""))</f>
        <v/>
      </c>
      <c r="I352" s="27">
        <f>IF(C352="","",SUMIFS(tbl_Finance[Ex GST],tbl_Finance[Job Number],C352&amp;"",tbl_Finance[Xero Invoice No],"&lt;&gt;"))</f>
        <v/>
      </c>
      <c r="J352" s="27">
        <f>IF(C352="","",H352-I352)</f>
        <v/>
      </c>
      <c r="K352" s="25">
        <f>IF(C352="","",IF(G352=0,"not invoiced yet",SUBSTITUTE(TRIM(IF(COUNTIFS(tbl_Finance[Job Number],C352&amp;"",tbl_Finance[Cost Centre],"ONSITE")&gt;0,"ONSITE ","")&amp;IF(COUNTIFS(tbl_Finance[Job Number],C352&amp;"",tbl_Finance[Cost Centre],"PRODUCTION")&gt;0,"PRODUCTION ","")&amp;IF(COUNTIFS(tbl_Finance[Job Number],C352&amp;"",tbl_Finance[Cost Centre],"VIDEO")&gt;0,"VIDEO ","")&amp;IF(COUNTIFS(tbl_Finance[Job Number],C352&amp;"",tbl_Finance[Cost Centre],"INTEGRATION")&gt;0,"INTEGRATION ","")&amp;IF(COUNTIFS(tbl_Finance[Job Number],C352&amp;"",tbl_Finance[Cost Centre],"CONSULTING")&gt;0,"CONSULTING ","")&amp;IF(COUNTIFS(tbl_Finance[Job Number],C352&amp;"",tbl_Finance[Cost Centre],"CTS")&gt;0,"CTS ",""))," ",", ")))</f>
        <v/>
      </c>
      <c r="L352" s="27">
        <f>IF(C352="","",SUMIFS(tbl_Finance[Inc GST],tbl_Finance[Job Number],C352&amp;""))</f>
        <v/>
      </c>
      <c r="M352" s="24" t="n"/>
      <c r="N352" s="25">
        <f>IF(C352="","",IFERROR(INDEX(tbl_Finance[Description],MATCH(C352&amp;"",tbl_Finance[Job Number],0)),""))</f>
        <v/>
      </c>
      <c r="O352" s="24" t="n"/>
      <c r="P352" s="24" t="n"/>
      <c r="Q352" s="22" t="n"/>
      <c r="R352" s="24" t="n"/>
      <c r="S352" s="25">
        <f>IF(R352="","",IF(AND(LEFT(R352,4)&lt;&gt;"http",set_RMSBase=""),"",HYPERLINK(IF(LEFT(R352,4)="http",R352,set_RMSBase&amp;R352),"Open opportunity")))</f>
        <v/>
      </c>
      <c r="T352" s="24" t="n"/>
      <c r="U352" s="25">
        <f>IF(T352="","",HYPERLINK(IF(LEFT(T352,4)="http",T352,set_QwilrBase&amp;T352),"Open quote"))</f>
        <v/>
      </c>
      <c r="V352" s="25">
        <f>IF(C352="","",C352)</f>
        <v/>
      </c>
      <c r="W352" s="24" t="n"/>
      <c r="X352" s="26" t="n"/>
      <c r="Y352" s="27">
        <f>IF(C352="","",H352+N(X352))</f>
        <v/>
      </c>
      <c r="Z352" s="29">
        <f>IFERROR(X352/Y352,"")</f>
        <v/>
      </c>
      <c r="AA352" s="26" t="n"/>
      <c r="AB352" s="26" t="n"/>
      <c r="AC352" s="26" t="n"/>
      <c r="AD352" s="26" t="n"/>
      <c r="AE352" s="27">
        <f>IF(C352="","",SUMIFS(tbl_Finance[Ex GST],tbl_Finance[Job Number],C352&amp;"",tbl_Finance[Cost Centre],"VIDEO"))</f>
        <v/>
      </c>
      <c r="AF352" s="29">
        <f>IFERROR(AE352/H352,"")</f>
        <v/>
      </c>
      <c r="AG352" s="27">
        <f>IF(C352="","",N(AA352)+N(AB352)+N(AC352)+N(AD352))</f>
        <v/>
      </c>
      <c r="AH352" s="27">
        <f>IF(C352="","",H352-AG352)</f>
        <v/>
      </c>
      <c r="AI352" s="29">
        <f>IFERROR(AH352/H352,"")</f>
        <v/>
      </c>
      <c r="AJ352" s="69" t="n"/>
      <c r="AK352" s="69" t="n"/>
      <c r="AL352" s="69" t="n"/>
      <c r="AM352" s="69" t="n"/>
      <c r="AN352" s="69" t="n"/>
      <c r="AO352" s="24" t="n"/>
    </row>
    <row r="353" ht="15" customHeight="1">
      <c r="A353" s="68">
        <f>IF(C353="","",IFERROR(IF(SUMPRODUCT(MAX((tbl_Finance[Job Number]=C353&amp;"")*(tbl_Finance[Xero Invoice No]&lt;&gt;"")*tbl_Finance[Date]))=0,"",SUMPRODUCT(MAX((tbl_Finance[Job Number]=C353&amp;"")*(tbl_Finance[Xero Invoice No]&lt;&gt;"")*tbl_Finance[Date]))),""))</f>
        <v/>
      </c>
      <c r="B353" s="25">
        <f>IF(C353="","",IF(COUNTIFS(tbl_Finance[Job Number],C353&amp;"",tbl_Finance[Xero Invoice No],"&lt;&gt;")=0,"",IFERROR(IF(COUNTIFS(tbl_Finance[Job Number],C353&amp;"",tbl_Finance[Xero Invoice No],LOOKUP(2,1/((tbl_Finance[Job Number]=C353&amp;"")*(tbl_Finance[Xero Invoice No]&lt;&gt;"")),tbl_Finance[Xero Invoice No]))=COUNTIFS(tbl_Finance[Job Number],C353&amp;"",tbl_Finance[Xero Invoice No],"&lt;&gt;"),LOOKUP(2,1/((tbl_Finance[Job Number]=C353&amp;"")*(tbl_Finance[Xero Invoice No]&lt;&gt;"")),tbl_Finance[Xero Invoice No]),LOOKUP(2,1/((tbl_Finance[Job Number]=C353&amp;"")*(tbl_Finance[Xero Invoice No]&lt;&gt;"")),tbl_Finance[Xero Invoice No])&amp;" +more"),"")))</f>
        <v/>
      </c>
      <c r="C353" s="24" t="n"/>
      <c r="D353" s="25">
        <f>IF(C353="","",IF(COUNTIF(lst_Jobs,C353&amp;"")&gt;0,"OK","CHECK"))</f>
        <v/>
      </c>
      <c r="E353" s="25">
        <f>IF(C353="","",IFERROR(INDEX(lst_JobName,MATCH(C353&amp;"",lst_Jobs,0)),""))</f>
        <v/>
      </c>
      <c r="F353" s="25">
        <f>IF(C353="","",IFERROR(INDEX(tbl_Finance[Client],MATCH(C353&amp;"",tbl_Finance[Job Number],0)),""))</f>
        <v/>
      </c>
      <c r="G353" s="28">
        <f>IF(C353="","",COUNTIFS(tbl_Finance[Job Number],C353&amp;"",tbl_Finance[Ex GST],"&lt;&gt;"))</f>
        <v/>
      </c>
      <c r="H353" s="27">
        <f>IF(C353="","",SUMIFS(tbl_Finance[Ex GST],tbl_Finance[Job Number],C353&amp;""))</f>
        <v/>
      </c>
      <c r="I353" s="27">
        <f>IF(C353="","",SUMIFS(tbl_Finance[Ex GST],tbl_Finance[Job Number],C353&amp;"",tbl_Finance[Xero Invoice No],"&lt;&gt;"))</f>
        <v/>
      </c>
      <c r="J353" s="27">
        <f>IF(C353="","",H353-I353)</f>
        <v/>
      </c>
      <c r="K353" s="25">
        <f>IF(C353="","",IF(G353=0,"not invoiced yet",SUBSTITUTE(TRIM(IF(COUNTIFS(tbl_Finance[Job Number],C353&amp;"",tbl_Finance[Cost Centre],"ONSITE")&gt;0,"ONSITE ","")&amp;IF(COUNTIFS(tbl_Finance[Job Number],C353&amp;"",tbl_Finance[Cost Centre],"PRODUCTION")&gt;0,"PRODUCTION ","")&amp;IF(COUNTIFS(tbl_Finance[Job Number],C353&amp;"",tbl_Finance[Cost Centre],"VIDEO")&gt;0,"VIDEO ","")&amp;IF(COUNTIFS(tbl_Finance[Job Number],C353&amp;"",tbl_Finance[Cost Centre],"INTEGRATION")&gt;0,"INTEGRATION ","")&amp;IF(COUNTIFS(tbl_Finance[Job Number],C353&amp;"",tbl_Finance[Cost Centre],"CONSULTING")&gt;0,"CONSULTING ","")&amp;IF(COUNTIFS(tbl_Finance[Job Number],C353&amp;"",tbl_Finance[Cost Centre],"CTS")&gt;0,"CTS ",""))," ",", ")))</f>
        <v/>
      </c>
      <c r="L353" s="27">
        <f>IF(C353="","",SUMIFS(tbl_Finance[Inc GST],tbl_Finance[Job Number],C353&amp;""))</f>
        <v/>
      </c>
      <c r="M353" s="24" t="n"/>
      <c r="N353" s="25">
        <f>IF(C353="","",IFERROR(INDEX(tbl_Finance[Description],MATCH(C353&amp;"",tbl_Finance[Job Number],0)),""))</f>
        <v/>
      </c>
      <c r="O353" s="24" t="n"/>
      <c r="P353" s="24" t="n"/>
      <c r="Q353" s="22" t="n"/>
      <c r="R353" s="24" t="n"/>
      <c r="S353" s="25">
        <f>IF(R353="","",IF(AND(LEFT(R353,4)&lt;&gt;"http",set_RMSBase=""),"",HYPERLINK(IF(LEFT(R353,4)="http",R353,set_RMSBase&amp;R353),"Open opportunity")))</f>
        <v/>
      </c>
      <c r="T353" s="24" t="n"/>
      <c r="U353" s="25">
        <f>IF(T353="","",HYPERLINK(IF(LEFT(T353,4)="http",T353,set_QwilrBase&amp;T353),"Open quote"))</f>
        <v/>
      </c>
      <c r="V353" s="25">
        <f>IF(C353="","",C353)</f>
        <v/>
      </c>
      <c r="W353" s="24" t="n"/>
      <c r="X353" s="26" t="n"/>
      <c r="Y353" s="27">
        <f>IF(C353="","",H353+N(X353))</f>
        <v/>
      </c>
      <c r="Z353" s="29">
        <f>IFERROR(X353/Y353,"")</f>
        <v/>
      </c>
      <c r="AA353" s="26" t="n"/>
      <c r="AB353" s="26" t="n"/>
      <c r="AC353" s="26" t="n"/>
      <c r="AD353" s="26" t="n"/>
      <c r="AE353" s="27">
        <f>IF(C353="","",SUMIFS(tbl_Finance[Ex GST],tbl_Finance[Job Number],C353&amp;"",tbl_Finance[Cost Centre],"VIDEO"))</f>
        <v/>
      </c>
      <c r="AF353" s="29">
        <f>IFERROR(AE353/H353,"")</f>
        <v/>
      </c>
      <c r="AG353" s="27">
        <f>IF(C353="","",N(AA353)+N(AB353)+N(AC353)+N(AD353))</f>
        <v/>
      </c>
      <c r="AH353" s="27">
        <f>IF(C353="","",H353-AG353)</f>
        <v/>
      </c>
      <c r="AI353" s="29">
        <f>IFERROR(AH353/H353,"")</f>
        <v/>
      </c>
      <c r="AJ353" s="69" t="n"/>
      <c r="AK353" s="69" t="n"/>
      <c r="AL353" s="69" t="n"/>
      <c r="AM353" s="69" t="n"/>
      <c r="AN353" s="69" t="n"/>
      <c r="AO353" s="24" t="n"/>
    </row>
    <row r="354" ht="15" customHeight="1">
      <c r="A354" s="68">
        <f>IF(C354="","",IFERROR(IF(SUMPRODUCT(MAX((tbl_Finance[Job Number]=C354&amp;"")*(tbl_Finance[Xero Invoice No]&lt;&gt;"")*tbl_Finance[Date]))=0,"",SUMPRODUCT(MAX((tbl_Finance[Job Number]=C354&amp;"")*(tbl_Finance[Xero Invoice No]&lt;&gt;"")*tbl_Finance[Date]))),""))</f>
        <v/>
      </c>
      <c r="B354" s="25">
        <f>IF(C354="","",IF(COUNTIFS(tbl_Finance[Job Number],C354&amp;"",tbl_Finance[Xero Invoice No],"&lt;&gt;")=0,"",IFERROR(IF(COUNTIFS(tbl_Finance[Job Number],C354&amp;"",tbl_Finance[Xero Invoice No],LOOKUP(2,1/((tbl_Finance[Job Number]=C354&amp;"")*(tbl_Finance[Xero Invoice No]&lt;&gt;"")),tbl_Finance[Xero Invoice No]))=COUNTIFS(tbl_Finance[Job Number],C354&amp;"",tbl_Finance[Xero Invoice No],"&lt;&gt;"),LOOKUP(2,1/((tbl_Finance[Job Number]=C354&amp;"")*(tbl_Finance[Xero Invoice No]&lt;&gt;"")),tbl_Finance[Xero Invoice No]),LOOKUP(2,1/((tbl_Finance[Job Number]=C354&amp;"")*(tbl_Finance[Xero Invoice No]&lt;&gt;"")),tbl_Finance[Xero Invoice No])&amp;" +more"),"")))</f>
        <v/>
      </c>
      <c r="C354" s="24" t="n"/>
      <c r="D354" s="25">
        <f>IF(C354="","",IF(COUNTIF(lst_Jobs,C354&amp;"")&gt;0,"OK","CHECK"))</f>
        <v/>
      </c>
      <c r="E354" s="25">
        <f>IF(C354="","",IFERROR(INDEX(lst_JobName,MATCH(C354&amp;"",lst_Jobs,0)),""))</f>
        <v/>
      </c>
      <c r="F354" s="25">
        <f>IF(C354="","",IFERROR(INDEX(tbl_Finance[Client],MATCH(C354&amp;"",tbl_Finance[Job Number],0)),""))</f>
        <v/>
      </c>
      <c r="G354" s="28">
        <f>IF(C354="","",COUNTIFS(tbl_Finance[Job Number],C354&amp;"",tbl_Finance[Ex GST],"&lt;&gt;"))</f>
        <v/>
      </c>
      <c r="H354" s="27">
        <f>IF(C354="","",SUMIFS(tbl_Finance[Ex GST],tbl_Finance[Job Number],C354&amp;""))</f>
        <v/>
      </c>
      <c r="I354" s="27">
        <f>IF(C354="","",SUMIFS(tbl_Finance[Ex GST],tbl_Finance[Job Number],C354&amp;"",tbl_Finance[Xero Invoice No],"&lt;&gt;"))</f>
        <v/>
      </c>
      <c r="J354" s="27">
        <f>IF(C354="","",H354-I354)</f>
        <v/>
      </c>
      <c r="K354" s="25">
        <f>IF(C354="","",IF(G354=0,"not invoiced yet",SUBSTITUTE(TRIM(IF(COUNTIFS(tbl_Finance[Job Number],C354&amp;"",tbl_Finance[Cost Centre],"ONSITE")&gt;0,"ONSITE ","")&amp;IF(COUNTIFS(tbl_Finance[Job Number],C354&amp;"",tbl_Finance[Cost Centre],"PRODUCTION")&gt;0,"PRODUCTION ","")&amp;IF(COUNTIFS(tbl_Finance[Job Number],C354&amp;"",tbl_Finance[Cost Centre],"VIDEO")&gt;0,"VIDEO ","")&amp;IF(COUNTIFS(tbl_Finance[Job Number],C354&amp;"",tbl_Finance[Cost Centre],"INTEGRATION")&gt;0,"INTEGRATION ","")&amp;IF(COUNTIFS(tbl_Finance[Job Number],C354&amp;"",tbl_Finance[Cost Centre],"CONSULTING")&gt;0,"CONSULTING ","")&amp;IF(COUNTIFS(tbl_Finance[Job Number],C354&amp;"",tbl_Finance[Cost Centre],"CTS")&gt;0,"CTS ",""))," ",", ")))</f>
        <v/>
      </c>
      <c r="L354" s="27">
        <f>IF(C354="","",SUMIFS(tbl_Finance[Inc GST],tbl_Finance[Job Number],C354&amp;""))</f>
        <v/>
      </c>
      <c r="M354" s="24" t="n"/>
      <c r="N354" s="25">
        <f>IF(C354="","",IFERROR(INDEX(tbl_Finance[Description],MATCH(C354&amp;"",tbl_Finance[Job Number],0)),""))</f>
        <v/>
      </c>
      <c r="O354" s="24" t="n"/>
      <c r="P354" s="24" t="n"/>
      <c r="Q354" s="22" t="n"/>
      <c r="R354" s="24" t="n"/>
      <c r="S354" s="25">
        <f>IF(R354="","",IF(AND(LEFT(R354,4)&lt;&gt;"http",set_RMSBase=""),"",HYPERLINK(IF(LEFT(R354,4)="http",R354,set_RMSBase&amp;R354),"Open opportunity")))</f>
        <v/>
      </c>
      <c r="T354" s="24" t="n"/>
      <c r="U354" s="25">
        <f>IF(T354="","",HYPERLINK(IF(LEFT(T354,4)="http",T354,set_QwilrBase&amp;T354),"Open quote"))</f>
        <v/>
      </c>
      <c r="V354" s="25">
        <f>IF(C354="","",C354)</f>
        <v/>
      </c>
      <c r="W354" s="24" t="n"/>
      <c r="X354" s="26" t="n"/>
      <c r="Y354" s="27">
        <f>IF(C354="","",H354+N(X354))</f>
        <v/>
      </c>
      <c r="Z354" s="29">
        <f>IFERROR(X354/Y354,"")</f>
        <v/>
      </c>
      <c r="AA354" s="26" t="n"/>
      <c r="AB354" s="26" t="n"/>
      <c r="AC354" s="26" t="n"/>
      <c r="AD354" s="26" t="n"/>
      <c r="AE354" s="27">
        <f>IF(C354="","",SUMIFS(tbl_Finance[Ex GST],tbl_Finance[Job Number],C354&amp;"",tbl_Finance[Cost Centre],"VIDEO"))</f>
        <v/>
      </c>
      <c r="AF354" s="29">
        <f>IFERROR(AE354/H354,"")</f>
        <v/>
      </c>
      <c r="AG354" s="27">
        <f>IF(C354="","",N(AA354)+N(AB354)+N(AC354)+N(AD354))</f>
        <v/>
      </c>
      <c r="AH354" s="27">
        <f>IF(C354="","",H354-AG354)</f>
        <v/>
      </c>
      <c r="AI354" s="29">
        <f>IFERROR(AH354/H354,"")</f>
        <v/>
      </c>
      <c r="AJ354" s="69" t="n"/>
      <c r="AK354" s="69" t="n"/>
      <c r="AL354" s="69" t="n"/>
      <c r="AM354" s="69" t="n"/>
      <c r="AN354" s="69" t="n"/>
      <c r="AO354" s="24" t="n"/>
    </row>
    <row r="355" ht="15" customHeight="1">
      <c r="A355" s="68">
        <f>IF(C355="","",IFERROR(IF(SUMPRODUCT(MAX((tbl_Finance[Job Number]=C355&amp;"")*(tbl_Finance[Xero Invoice No]&lt;&gt;"")*tbl_Finance[Date]))=0,"",SUMPRODUCT(MAX((tbl_Finance[Job Number]=C355&amp;"")*(tbl_Finance[Xero Invoice No]&lt;&gt;"")*tbl_Finance[Date]))),""))</f>
        <v/>
      </c>
      <c r="B355" s="25">
        <f>IF(C355="","",IF(COUNTIFS(tbl_Finance[Job Number],C355&amp;"",tbl_Finance[Xero Invoice No],"&lt;&gt;")=0,"",IFERROR(IF(COUNTIFS(tbl_Finance[Job Number],C355&amp;"",tbl_Finance[Xero Invoice No],LOOKUP(2,1/((tbl_Finance[Job Number]=C355&amp;"")*(tbl_Finance[Xero Invoice No]&lt;&gt;"")),tbl_Finance[Xero Invoice No]))=COUNTIFS(tbl_Finance[Job Number],C355&amp;"",tbl_Finance[Xero Invoice No],"&lt;&gt;"),LOOKUP(2,1/((tbl_Finance[Job Number]=C355&amp;"")*(tbl_Finance[Xero Invoice No]&lt;&gt;"")),tbl_Finance[Xero Invoice No]),LOOKUP(2,1/((tbl_Finance[Job Number]=C355&amp;"")*(tbl_Finance[Xero Invoice No]&lt;&gt;"")),tbl_Finance[Xero Invoice No])&amp;" +more"),"")))</f>
        <v/>
      </c>
      <c r="C355" s="24" t="n"/>
      <c r="D355" s="25">
        <f>IF(C355="","",IF(COUNTIF(lst_Jobs,C355&amp;"")&gt;0,"OK","CHECK"))</f>
        <v/>
      </c>
      <c r="E355" s="25">
        <f>IF(C355="","",IFERROR(INDEX(lst_JobName,MATCH(C355&amp;"",lst_Jobs,0)),""))</f>
        <v/>
      </c>
      <c r="F355" s="25">
        <f>IF(C355="","",IFERROR(INDEX(tbl_Finance[Client],MATCH(C355&amp;"",tbl_Finance[Job Number],0)),""))</f>
        <v/>
      </c>
      <c r="G355" s="28">
        <f>IF(C355="","",COUNTIFS(tbl_Finance[Job Number],C355&amp;"",tbl_Finance[Ex GST],"&lt;&gt;"))</f>
        <v/>
      </c>
      <c r="H355" s="27">
        <f>IF(C355="","",SUMIFS(tbl_Finance[Ex GST],tbl_Finance[Job Number],C355&amp;""))</f>
        <v/>
      </c>
      <c r="I355" s="27">
        <f>IF(C355="","",SUMIFS(tbl_Finance[Ex GST],tbl_Finance[Job Number],C355&amp;"",tbl_Finance[Xero Invoice No],"&lt;&gt;"))</f>
        <v/>
      </c>
      <c r="J355" s="27">
        <f>IF(C355="","",H355-I355)</f>
        <v/>
      </c>
      <c r="K355" s="25">
        <f>IF(C355="","",IF(G355=0,"not invoiced yet",SUBSTITUTE(TRIM(IF(COUNTIFS(tbl_Finance[Job Number],C355&amp;"",tbl_Finance[Cost Centre],"ONSITE")&gt;0,"ONSITE ","")&amp;IF(COUNTIFS(tbl_Finance[Job Number],C355&amp;"",tbl_Finance[Cost Centre],"PRODUCTION")&gt;0,"PRODUCTION ","")&amp;IF(COUNTIFS(tbl_Finance[Job Number],C355&amp;"",tbl_Finance[Cost Centre],"VIDEO")&gt;0,"VIDEO ","")&amp;IF(COUNTIFS(tbl_Finance[Job Number],C355&amp;"",tbl_Finance[Cost Centre],"INTEGRATION")&gt;0,"INTEGRATION ","")&amp;IF(COUNTIFS(tbl_Finance[Job Number],C355&amp;"",tbl_Finance[Cost Centre],"CONSULTING")&gt;0,"CONSULTING ","")&amp;IF(COUNTIFS(tbl_Finance[Job Number],C355&amp;"",tbl_Finance[Cost Centre],"CTS")&gt;0,"CTS ",""))," ",", ")))</f>
        <v/>
      </c>
      <c r="L355" s="27">
        <f>IF(C355="","",SUMIFS(tbl_Finance[Inc GST],tbl_Finance[Job Number],C355&amp;""))</f>
        <v/>
      </c>
      <c r="M355" s="24" t="n"/>
      <c r="N355" s="25">
        <f>IF(C355="","",IFERROR(INDEX(tbl_Finance[Description],MATCH(C355&amp;"",tbl_Finance[Job Number],0)),""))</f>
        <v/>
      </c>
      <c r="O355" s="24" t="n"/>
      <c r="P355" s="24" t="n"/>
      <c r="Q355" s="22" t="n"/>
      <c r="R355" s="24" t="n"/>
      <c r="S355" s="25">
        <f>IF(R355="","",IF(AND(LEFT(R355,4)&lt;&gt;"http",set_RMSBase=""),"",HYPERLINK(IF(LEFT(R355,4)="http",R355,set_RMSBase&amp;R355),"Open opportunity")))</f>
        <v/>
      </c>
      <c r="T355" s="24" t="n"/>
      <c r="U355" s="25">
        <f>IF(T355="","",HYPERLINK(IF(LEFT(T355,4)="http",T355,set_QwilrBase&amp;T355),"Open quote"))</f>
        <v/>
      </c>
      <c r="V355" s="25">
        <f>IF(C355="","",C355)</f>
        <v/>
      </c>
      <c r="W355" s="24" t="n"/>
      <c r="X355" s="26" t="n"/>
      <c r="Y355" s="27">
        <f>IF(C355="","",H355+N(X355))</f>
        <v/>
      </c>
      <c r="Z355" s="29">
        <f>IFERROR(X355/Y355,"")</f>
        <v/>
      </c>
      <c r="AA355" s="26" t="n"/>
      <c r="AB355" s="26" t="n"/>
      <c r="AC355" s="26" t="n"/>
      <c r="AD355" s="26" t="n"/>
      <c r="AE355" s="27">
        <f>IF(C355="","",SUMIFS(tbl_Finance[Ex GST],tbl_Finance[Job Number],C355&amp;"",tbl_Finance[Cost Centre],"VIDEO"))</f>
        <v/>
      </c>
      <c r="AF355" s="29">
        <f>IFERROR(AE355/H355,"")</f>
        <v/>
      </c>
      <c r="AG355" s="27">
        <f>IF(C355="","",N(AA355)+N(AB355)+N(AC355)+N(AD355))</f>
        <v/>
      </c>
      <c r="AH355" s="27">
        <f>IF(C355="","",H355-AG355)</f>
        <v/>
      </c>
      <c r="AI355" s="29">
        <f>IFERROR(AH355/H355,"")</f>
        <v/>
      </c>
      <c r="AJ355" s="69" t="n"/>
      <c r="AK355" s="69" t="n"/>
      <c r="AL355" s="69" t="n"/>
      <c r="AM355" s="69" t="n"/>
      <c r="AN355" s="69" t="n"/>
      <c r="AO355" s="24" t="n"/>
    </row>
    <row r="356" ht="15" customHeight="1">
      <c r="A356" s="68">
        <f>IF(C356="","",IFERROR(IF(SUMPRODUCT(MAX((tbl_Finance[Job Number]=C356&amp;"")*(tbl_Finance[Xero Invoice No]&lt;&gt;"")*tbl_Finance[Date]))=0,"",SUMPRODUCT(MAX((tbl_Finance[Job Number]=C356&amp;"")*(tbl_Finance[Xero Invoice No]&lt;&gt;"")*tbl_Finance[Date]))),""))</f>
        <v/>
      </c>
      <c r="B356" s="25">
        <f>IF(C356="","",IF(COUNTIFS(tbl_Finance[Job Number],C356&amp;"",tbl_Finance[Xero Invoice No],"&lt;&gt;")=0,"",IFERROR(IF(COUNTIFS(tbl_Finance[Job Number],C356&amp;"",tbl_Finance[Xero Invoice No],LOOKUP(2,1/((tbl_Finance[Job Number]=C356&amp;"")*(tbl_Finance[Xero Invoice No]&lt;&gt;"")),tbl_Finance[Xero Invoice No]))=COUNTIFS(tbl_Finance[Job Number],C356&amp;"",tbl_Finance[Xero Invoice No],"&lt;&gt;"),LOOKUP(2,1/((tbl_Finance[Job Number]=C356&amp;"")*(tbl_Finance[Xero Invoice No]&lt;&gt;"")),tbl_Finance[Xero Invoice No]),LOOKUP(2,1/((tbl_Finance[Job Number]=C356&amp;"")*(tbl_Finance[Xero Invoice No]&lt;&gt;"")),tbl_Finance[Xero Invoice No])&amp;" +more"),"")))</f>
        <v/>
      </c>
      <c r="C356" s="24" t="n"/>
      <c r="D356" s="25">
        <f>IF(C356="","",IF(COUNTIF(lst_Jobs,C356&amp;"")&gt;0,"OK","CHECK"))</f>
        <v/>
      </c>
      <c r="E356" s="25">
        <f>IF(C356="","",IFERROR(INDEX(lst_JobName,MATCH(C356&amp;"",lst_Jobs,0)),""))</f>
        <v/>
      </c>
      <c r="F356" s="25">
        <f>IF(C356="","",IFERROR(INDEX(tbl_Finance[Client],MATCH(C356&amp;"",tbl_Finance[Job Number],0)),""))</f>
        <v/>
      </c>
      <c r="G356" s="28">
        <f>IF(C356="","",COUNTIFS(tbl_Finance[Job Number],C356&amp;"",tbl_Finance[Ex GST],"&lt;&gt;"))</f>
        <v/>
      </c>
      <c r="H356" s="27">
        <f>IF(C356="","",SUMIFS(tbl_Finance[Ex GST],tbl_Finance[Job Number],C356&amp;""))</f>
        <v/>
      </c>
      <c r="I356" s="27">
        <f>IF(C356="","",SUMIFS(tbl_Finance[Ex GST],tbl_Finance[Job Number],C356&amp;"",tbl_Finance[Xero Invoice No],"&lt;&gt;"))</f>
        <v/>
      </c>
      <c r="J356" s="27">
        <f>IF(C356="","",H356-I356)</f>
        <v/>
      </c>
      <c r="K356" s="25">
        <f>IF(C356="","",IF(G356=0,"not invoiced yet",SUBSTITUTE(TRIM(IF(COUNTIFS(tbl_Finance[Job Number],C356&amp;"",tbl_Finance[Cost Centre],"ONSITE")&gt;0,"ONSITE ","")&amp;IF(COUNTIFS(tbl_Finance[Job Number],C356&amp;"",tbl_Finance[Cost Centre],"PRODUCTION")&gt;0,"PRODUCTION ","")&amp;IF(COUNTIFS(tbl_Finance[Job Number],C356&amp;"",tbl_Finance[Cost Centre],"VIDEO")&gt;0,"VIDEO ","")&amp;IF(COUNTIFS(tbl_Finance[Job Number],C356&amp;"",tbl_Finance[Cost Centre],"INTEGRATION")&gt;0,"INTEGRATION ","")&amp;IF(COUNTIFS(tbl_Finance[Job Number],C356&amp;"",tbl_Finance[Cost Centre],"CONSULTING")&gt;0,"CONSULTING ","")&amp;IF(COUNTIFS(tbl_Finance[Job Number],C356&amp;"",tbl_Finance[Cost Centre],"CTS")&gt;0,"CTS ",""))," ",", ")))</f>
        <v/>
      </c>
      <c r="L356" s="27">
        <f>IF(C356="","",SUMIFS(tbl_Finance[Inc GST],tbl_Finance[Job Number],C356&amp;""))</f>
        <v/>
      </c>
      <c r="M356" s="24" t="n"/>
      <c r="N356" s="25">
        <f>IF(C356="","",IFERROR(INDEX(tbl_Finance[Description],MATCH(C356&amp;"",tbl_Finance[Job Number],0)),""))</f>
        <v/>
      </c>
      <c r="O356" s="24" t="n"/>
      <c r="P356" s="24" t="n"/>
      <c r="Q356" s="22" t="n"/>
      <c r="R356" s="24" t="n"/>
      <c r="S356" s="25">
        <f>IF(R356="","",IF(AND(LEFT(R356,4)&lt;&gt;"http",set_RMSBase=""),"",HYPERLINK(IF(LEFT(R356,4)="http",R356,set_RMSBase&amp;R356),"Open opportunity")))</f>
        <v/>
      </c>
      <c r="T356" s="24" t="n"/>
      <c r="U356" s="25">
        <f>IF(T356="","",HYPERLINK(IF(LEFT(T356,4)="http",T356,set_QwilrBase&amp;T356),"Open quote"))</f>
        <v/>
      </c>
      <c r="V356" s="25">
        <f>IF(C356="","",C356)</f>
        <v/>
      </c>
      <c r="W356" s="24" t="n"/>
      <c r="X356" s="26" t="n"/>
      <c r="Y356" s="27">
        <f>IF(C356="","",H356+N(X356))</f>
        <v/>
      </c>
      <c r="Z356" s="29">
        <f>IFERROR(X356/Y356,"")</f>
        <v/>
      </c>
      <c r="AA356" s="26" t="n"/>
      <c r="AB356" s="26" t="n"/>
      <c r="AC356" s="26" t="n"/>
      <c r="AD356" s="26" t="n"/>
      <c r="AE356" s="27">
        <f>IF(C356="","",SUMIFS(tbl_Finance[Ex GST],tbl_Finance[Job Number],C356&amp;"",tbl_Finance[Cost Centre],"VIDEO"))</f>
        <v/>
      </c>
      <c r="AF356" s="29">
        <f>IFERROR(AE356/H356,"")</f>
        <v/>
      </c>
      <c r="AG356" s="27">
        <f>IF(C356="","",N(AA356)+N(AB356)+N(AC356)+N(AD356))</f>
        <v/>
      </c>
      <c r="AH356" s="27">
        <f>IF(C356="","",H356-AG356)</f>
        <v/>
      </c>
      <c r="AI356" s="29">
        <f>IFERROR(AH356/H356,"")</f>
        <v/>
      </c>
      <c r="AJ356" s="69" t="n"/>
      <c r="AK356" s="69" t="n"/>
      <c r="AL356" s="69" t="n"/>
      <c r="AM356" s="69" t="n"/>
      <c r="AN356" s="69" t="n"/>
      <c r="AO356" s="24" t="n"/>
    </row>
    <row r="357" ht="15" customHeight="1">
      <c r="A357" s="68">
        <f>IF(C357="","",IFERROR(IF(SUMPRODUCT(MAX((tbl_Finance[Job Number]=C357&amp;"")*(tbl_Finance[Xero Invoice No]&lt;&gt;"")*tbl_Finance[Date]))=0,"",SUMPRODUCT(MAX((tbl_Finance[Job Number]=C357&amp;"")*(tbl_Finance[Xero Invoice No]&lt;&gt;"")*tbl_Finance[Date]))),""))</f>
        <v/>
      </c>
      <c r="B357" s="25">
        <f>IF(C357="","",IF(COUNTIFS(tbl_Finance[Job Number],C357&amp;"",tbl_Finance[Xero Invoice No],"&lt;&gt;")=0,"",IFERROR(IF(COUNTIFS(tbl_Finance[Job Number],C357&amp;"",tbl_Finance[Xero Invoice No],LOOKUP(2,1/((tbl_Finance[Job Number]=C357&amp;"")*(tbl_Finance[Xero Invoice No]&lt;&gt;"")),tbl_Finance[Xero Invoice No]))=COUNTIFS(tbl_Finance[Job Number],C357&amp;"",tbl_Finance[Xero Invoice No],"&lt;&gt;"),LOOKUP(2,1/((tbl_Finance[Job Number]=C357&amp;"")*(tbl_Finance[Xero Invoice No]&lt;&gt;"")),tbl_Finance[Xero Invoice No]),LOOKUP(2,1/((tbl_Finance[Job Number]=C357&amp;"")*(tbl_Finance[Xero Invoice No]&lt;&gt;"")),tbl_Finance[Xero Invoice No])&amp;" +more"),"")))</f>
        <v/>
      </c>
      <c r="C357" s="24" t="n"/>
      <c r="D357" s="25">
        <f>IF(C357="","",IF(COUNTIF(lst_Jobs,C357&amp;"")&gt;0,"OK","CHECK"))</f>
        <v/>
      </c>
      <c r="E357" s="25">
        <f>IF(C357="","",IFERROR(INDEX(lst_JobName,MATCH(C357&amp;"",lst_Jobs,0)),""))</f>
        <v/>
      </c>
      <c r="F357" s="25">
        <f>IF(C357="","",IFERROR(INDEX(tbl_Finance[Client],MATCH(C357&amp;"",tbl_Finance[Job Number],0)),""))</f>
        <v/>
      </c>
      <c r="G357" s="28">
        <f>IF(C357="","",COUNTIFS(tbl_Finance[Job Number],C357&amp;"",tbl_Finance[Ex GST],"&lt;&gt;"))</f>
        <v/>
      </c>
      <c r="H357" s="27">
        <f>IF(C357="","",SUMIFS(tbl_Finance[Ex GST],tbl_Finance[Job Number],C357&amp;""))</f>
        <v/>
      </c>
      <c r="I357" s="27">
        <f>IF(C357="","",SUMIFS(tbl_Finance[Ex GST],tbl_Finance[Job Number],C357&amp;"",tbl_Finance[Xero Invoice No],"&lt;&gt;"))</f>
        <v/>
      </c>
      <c r="J357" s="27">
        <f>IF(C357="","",H357-I357)</f>
        <v/>
      </c>
      <c r="K357" s="25">
        <f>IF(C357="","",IF(G357=0,"not invoiced yet",SUBSTITUTE(TRIM(IF(COUNTIFS(tbl_Finance[Job Number],C357&amp;"",tbl_Finance[Cost Centre],"ONSITE")&gt;0,"ONSITE ","")&amp;IF(COUNTIFS(tbl_Finance[Job Number],C357&amp;"",tbl_Finance[Cost Centre],"PRODUCTION")&gt;0,"PRODUCTION ","")&amp;IF(COUNTIFS(tbl_Finance[Job Number],C357&amp;"",tbl_Finance[Cost Centre],"VIDEO")&gt;0,"VIDEO ","")&amp;IF(COUNTIFS(tbl_Finance[Job Number],C357&amp;"",tbl_Finance[Cost Centre],"INTEGRATION")&gt;0,"INTEGRATION ","")&amp;IF(COUNTIFS(tbl_Finance[Job Number],C357&amp;"",tbl_Finance[Cost Centre],"CONSULTING")&gt;0,"CONSULTING ","")&amp;IF(COUNTIFS(tbl_Finance[Job Number],C357&amp;"",tbl_Finance[Cost Centre],"CTS")&gt;0,"CTS ",""))," ",", ")))</f>
        <v/>
      </c>
      <c r="L357" s="27">
        <f>IF(C357="","",SUMIFS(tbl_Finance[Inc GST],tbl_Finance[Job Number],C357&amp;""))</f>
        <v/>
      </c>
      <c r="M357" s="24" t="n"/>
      <c r="N357" s="25">
        <f>IF(C357="","",IFERROR(INDEX(tbl_Finance[Description],MATCH(C357&amp;"",tbl_Finance[Job Number],0)),""))</f>
        <v/>
      </c>
      <c r="O357" s="24" t="n"/>
      <c r="P357" s="24" t="n"/>
      <c r="Q357" s="22" t="n"/>
      <c r="R357" s="24" t="n"/>
      <c r="S357" s="25">
        <f>IF(R357="","",IF(AND(LEFT(R357,4)&lt;&gt;"http",set_RMSBase=""),"",HYPERLINK(IF(LEFT(R357,4)="http",R357,set_RMSBase&amp;R357),"Open opportunity")))</f>
        <v/>
      </c>
      <c r="T357" s="24" t="n"/>
      <c r="U357" s="25">
        <f>IF(T357="","",HYPERLINK(IF(LEFT(T357,4)="http",T357,set_QwilrBase&amp;T357),"Open quote"))</f>
        <v/>
      </c>
      <c r="V357" s="25">
        <f>IF(C357="","",C357)</f>
        <v/>
      </c>
      <c r="W357" s="24" t="n"/>
      <c r="X357" s="26" t="n"/>
      <c r="Y357" s="27">
        <f>IF(C357="","",H357+N(X357))</f>
        <v/>
      </c>
      <c r="Z357" s="29">
        <f>IFERROR(X357/Y357,"")</f>
        <v/>
      </c>
      <c r="AA357" s="26" t="n"/>
      <c r="AB357" s="26" t="n"/>
      <c r="AC357" s="26" t="n"/>
      <c r="AD357" s="26" t="n"/>
      <c r="AE357" s="27">
        <f>IF(C357="","",SUMIFS(tbl_Finance[Ex GST],tbl_Finance[Job Number],C357&amp;"",tbl_Finance[Cost Centre],"VIDEO"))</f>
        <v/>
      </c>
      <c r="AF357" s="29">
        <f>IFERROR(AE357/H357,"")</f>
        <v/>
      </c>
      <c r="AG357" s="27">
        <f>IF(C357="","",N(AA357)+N(AB357)+N(AC357)+N(AD357))</f>
        <v/>
      </c>
      <c r="AH357" s="27">
        <f>IF(C357="","",H357-AG357)</f>
        <v/>
      </c>
      <c r="AI357" s="29">
        <f>IFERROR(AH357/H357,"")</f>
        <v/>
      </c>
      <c r="AJ357" s="69" t="n"/>
      <c r="AK357" s="69" t="n"/>
      <c r="AL357" s="69" t="n"/>
      <c r="AM357" s="69" t="n"/>
      <c r="AN357" s="69" t="n"/>
      <c r="AO357" s="24" t="n"/>
    </row>
    <row r="358" ht="15" customHeight="1">
      <c r="A358" s="68">
        <f>IF(C358="","",IFERROR(IF(SUMPRODUCT(MAX((tbl_Finance[Job Number]=C358&amp;"")*(tbl_Finance[Xero Invoice No]&lt;&gt;"")*tbl_Finance[Date]))=0,"",SUMPRODUCT(MAX((tbl_Finance[Job Number]=C358&amp;"")*(tbl_Finance[Xero Invoice No]&lt;&gt;"")*tbl_Finance[Date]))),""))</f>
        <v/>
      </c>
      <c r="B358" s="25">
        <f>IF(C358="","",IF(COUNTIFS(tbl_Finance[Job Number],C358&amp;"",tbl_Finance[Xero Invoice No],"&lt;&gt;")=0,"",IFERROR(IF(COUNTIFS(tbl_Finance[Job Number],C358&amp;"",tbl_Finance[Xero Invoice No],LOOKUP(2,1/((tbl_Finance[Job Number]=C358&amp;"")*(tbl_Finance[Xero Invoice No]&lt;&gt;"")),tbl_Finance[Xero Invoice No]))=COUNTIFS(tbl_Finance[Job Number],C358&amp;"",tbl_Finance[Xero Invoice No],"&lt;&gt;"),LOOKUP(2,1/((tbl_Finance[Job Number]=C358&amp;"")*(tbl_Finance[Xero Invoice No]&lt;&gt;"")),tbl_Finance[Xero Invoice No]),LOOKUP(2,1/((tbl_Finance[Job Number]=C358&amp;"")*(tbl_Finance[Xero Invoice No]&lt;&gt;"")),tbl_Finance[Xero Invoice No])&amp;" +more"),"")))</f>
        <v/>
      </c>
      <c r="C358" s="24" t="n"/>
      <c r="D358" s="25">
        <f>IF(C358="","",IF(COUNTIF(lst_Jobs,C358&amp;"")&gt;0,"OK","CHECK"))</f>
        <v/>
      </c>
      <c r="E358" s="25">
        <f>IF(C358="","",IFERROR(INDEX(lst_JobName,MATCH(C358&amp;"",lst_Jobs,0)),""))</f>
        <v/>
      </c>
      <c r="F358" s="25">
        <f>IF(C358="","",IFERROR(INDEX(tbl_Finance[Client],MATCH(C358&amp;"",tbl_Finance[Job Number],0)),""))</f>
        <v/>
      </c>
      <c r="G358" s="28">
        <f>IF(C358="","",COUNTIFS(tbl_Finance[Job Number],C358&amp;"",tbl_Finance[Ex GST],"&lt;&gt;"))</f>
        <v/>
      </c>
      <c r="H358" s="27">
        <f>IF(C358="","",SUMIFS(tbl_Finance[Ex GST],tbl_Finance[Job Number],C358&amp;""))</f>
        <v/>
      </c>
      <c r="I358" s="27">
        <f>IF(C358="","",SUMIFS(tbl_Finance[Ex GST],tbl_Finance[Job Number],C358&amp;"",tbl_Finance[Xero Invoice No],"&lt;&gt;"))</f>
        <v/>
      </c>
      <c r="J358" s="27">
        <f>IF(C358="","",H358-I358)</f>
        <v/>
      </c>
      <c r="K358" s="25">
        <f>IF(C358="","",IF(G358=0,"not invoiced yet",SUBSTITUTE(TRIM(IF(COUNTIFS(tbl_Finance[Job Number],C358&amp;"",tbl_Finance[Cost Centre],"ONSITE")&gt;0,"ONSITE ","")&amp;IF(COUNTIFS(tbl_Finance[Job Number],C358&amp;"",tbl_Finance[Cost Centre],"PRODUCTION")&gt;0,"PRODUCTION ","")&amp;IF(COUNTIFS(tbl_Finance[Job Number],C358&amp;"",tbl_Finance[Cost Centre],"VIDEO")&gt;0,"VIDEO ","")&amp;IF(COUNTIFS(tbl_Finance[Job Number],C358&amp;"",tbl_Finance[Cost Centre],"INTEGRATION")&gt;0,"INTEGRATION ","")&amp;IF(COUNTIFS(tbl_Finance[Job Number],C358&amp;"",tbl_Finance[Cost Centre],"CONSULTING")&gt;0,"CONSULTING ","")&amp;IF(COUNTIFS(tbl_Finance[Job Number],C358&amp;"",tbl_Finance[Cost Centre],"CTS")&gt;0,"CTS ",""))," ",", ")))</f>
        <v/>
      </c>
      <c r="L358" s="27">
        <f>IF(C358="","",SUMIFS(tbl_Finance[Inc GST],tbl_Finance[Job Number],C358&amp;""))</f>
        <v/>
      </c>
      <c r="M358" s="24" t="n"/>
      <c r="N358" s="25">
        <f>IF(C358="","",IFERROR(INDEX(tbl_Finance[Description],MATCH(C358&amp;"",tbl_Finance[Job Number],0)),""))</f>
        <v/>
      </c>
      <c r="O358" s="24" t="n"/>
      <c r="P358" s="24" t="n"/>
      <c r="Q358" s="22" t="n"/>
      <c r="R358" s="24" t="n"/>
      <c r="S358" s="25">
        <f>IF(R358="","",IF(AND(LEFT(R358,4)&lt;&gt;"http",set_RMSBase=""),"",HYPERLINK(IF(LEFT(R358,4)="http",R358,set_RMSBase&amp;R358),"Open opportunity")))</f>
        <v/>
      </c>
      <c r="T358" s="24" t="n"/>
      <c r="U358" s="25">
        <f>IF(T358="","",HYPERLINK(IF(LEFT(T358,4)="http",T358,set_QwilrBase&amp;T358),"Open quote"))</f>
        <v/>
      </c>
      <c r="V358" s="25">
        <f>IF(C358="","",C358)</f>
        <v/>
      </c>
      <c r="W358" s="24" t="n"/>
      <c r="X358" s="26" t="n"/>
      <c r="Y358" s="27">
        <f>IF(C358="","",H358+N(X358))</f>
        <v/>
      </c>
      <c r="Z358" s="29">
        <f>IFERROR(X358/Y358,"")</f>
        <v/>
      </c>
      <c r="AA358" s="26" t="n"/>
      <c r="AB358" s="26" t="n"/>
      <c r="AC358" s="26" t="n"/>
      <c r="AD358" s="26" t="n"/>
      <c r="AE358" s="27">
        <f>IF(C358="","",SUMIFS(tbl_Finance[Ex GST],tbl_Finance[Job Number],C358&amp;"",tbl_Finance[Cost Centre],"VIDEO"))</f>
        <v/>
      </c>
      <c r="AF358" s="29">
        <f>IFERROR(AE358/H358,"")</f>
        <v/>
      </c>
      <c r="AG358" s="27">
        <f>IF(C358="","",N(AA358)+N(AB358)+N(AC358)+N(AD358))</f>
        <v/>
      </c>
      <c r="AH358" s="27">
        <f>IF(C358="","",H358-AG358)</f>
        <v/>
      </c>
      <c r="AI358" s="29">
        <f>IFERROR(AH358/H358,"")</f>
        <v/>
      </c>
      <c r="AJ358" s="69" t="n"/>
      <c r="AK358" s="69" t="n"/>
      <c r="AL358" s="69" t="n"/>
      <c r="AM358" s="69" t="n"/>
      <c r="AN358" s="69" t="n"/>
      <c r="AO358" s="24" t="n"/>
    </row>
    <row r="359" ht="15" customHeight="1">
      <c r="A359" s="68">
        <f>IF(C359="","",IFERROR(IF(SUMPRODUCT(MAX((tbl_Finance[Job Number]=C359&amp;"")*(tbl_Finance[Xero Invoice No]&lt;&gt;"")*tbl_Finance[Date]))=0,"",SUMPRODUCT(MAX((tbl_Finance[Job Number]=C359&amp;"")*(tbl_Finance[Xero Invoice No]&lt;&gt;"")*tbl_Finance[Date]))),""))</f>
        <v/>
      </c>
      <c r="B359" s="25">
        <f>IF(C359="","",IF(COUNTIFS(tbl_Finance[Job Number],C359&amp;"",tbl_Finance[Xero Invoice No],"&lt;&gt;")=0,"",IFERROR(IF(COUNTIFS(tbl_Finance[Job Number],C359&amp;"",tbl_Finance[Xero Invoice No],LOOKUP(2,1/((tbl_Finance[Job Number]=C359&amp;"")*(tbl_Finance[Xero Invoice No]&lt;&gt;"")),tbl_Finance[Xero Invoice No]))=COUNTIFS(tbl_Finance[Job Number],C359&amp;"",tbl_Finance[Xero Invoice No],"&lt;&gt;"),LOOKUP(2,1/((tbl_Finance[Job Number]=C359&amp;"")*(tbl_Finance[Xero Invoice No]&lt;&gt;"")),tbl_Finance[Xero Invoice No]),LOOKUP(2,1/((tbl_Finance[Job Number]=C359&amp;"")*(tbl_Finance[Xero Invoice No]&lt;&gt;"")),tbl_Finance[Xero Invoice No])&amp;" +more"),"")))</f>
        <v/>
      </c>
      <c r="C359" s="24" t="n"/>
      <c r="D359" s="25">
        <f>IF(C359="","",IF(COUNTIF(lst_Jobs,C359&amp;"")&gt;0,"OK","CHECK"))</f>
        <v/>
      </c>
      <c r="E359" s="25">
        <f>IF(C359="","",IFERROR(INDEX(lst_JobName,MATCH(C359&amp;"",lst_Jobs,0)),""))</f>
        <v/>
      </c>
      <c r="F359" s="25">
        <f>IF(C359="","",IFERROR(INDEX(tbl_Finance[Client],MATCH(C359&amp;"",tbl_Finance[Job Number],0)),""))</f>
        <v/>
      </c>
      <c r="G359" s="28">
        <f>IF(C359="","",COUNTIFS(tbl_Finance[Job Number],C359&amp;"",tbl_Finance[Ex GST],"&lt;&gt;"))</f>
        <v/>
      </c>
      <c r="H359" s="27">
        <f>IF(C359="","",SUMIFS(tbl_Finance[Ex GST],tbl_Finance[Job Number],C359&amp;""))</f>
        <v/>
      </c>
      <c r="I359" s="27">
        <f>IF(C359="","",SUMIFS(tbl_Finance[Ex GST],tbl_Finance[Job Number],C359&amp;"",tbl_Finance[Xero Invoice No],"&lt;&gt;"))</f>
        <v/>
      </c>
      <c r="J359" s="27">
        <f>IF(C359="","",H359-I359)</f>
        <v/>
      </c>
      <c r="K359" s="25">
        <f>IF(C359="","",IF(G359=0,"not invoiced yet",SUBSTITUTE(TRIM(IF(COUNTIFS(tbl_Finance[Job Number],C359&amp;"",tbl_Finance[Cost Centre],"ONSITE")&gt;0,"ONSITE ","")&amp;IF(COUNTIFS(tbl_Finance[Job Number],C359&amp;"",tbl_Finance[Cost Centre],"PRODUCTION")&gt;0,"PRODUCTION ","")&amp;IF(COUNTIFS(tbl_Finance[Job Number],C359&amp;"",tbl_Finance[Cost Centre],"VIDEO")&gt;0,"VIDEO ","")&amp;IF(COUNTIFS(tbl_Finance[Job Number],C359&amp;"",tbl_Finance[Cost Centre],"INTEGRATION")&gt;0,"INTEGRATION ","")&amp;IF(COUNTIFS(tbl_Finance[Job Number],C359&amp;"",tbl_Finance[Cost Centre],"CONSULTING")&gt;0,"CONSULTING ","")&amp;IF(COUNTIFS(tbl_Finance[Job Number],C359&amp;"",tbl_Finance[Cost Centre],"CTS")&gt;0,"CTS ",""))," ",", ")))</f>
        <v/>
      </c>
      <c r="L359" s="27">
        <f>IF(C359="","",SUMIFS(tbl_Finance[Inc GST],tbl_Finance[Job Number],C359&amp;""))</f>
        <v/>
      </c>
      <c r="M359" s="24" t="n"/>
      <c r="N359" s="25">
        <f>IF(C359="","",IFERROR(INDEX(tbl_Finance[Description],MATCH(C359&amp;"",tbl_Finance[Job Number],0)),""))</f>
        <v/>
      </c>
      <c r="O359" s="24" t="n"/>
      <c r="P359" s="24" t="n"/>
      <c r="Q359" s="22" t="n"/>
      <c r="R359" s="24" t="n"/>
      <c r="S359" s="25">
        <f>IF(R359="","",IF(AND(LEFT(R359,4)&lt;&gt;"http",set_RMSBase=""),"",HYPERLINK(IF(LEFT(R359,4)="http",R359,set_RMSBase&amp;R359),"Open opportunity")))</f>
        <v/>
      </c>
      <c r="T359" s="24" t="n"/>
      <c r="U359" s="25">
        <f>IF(T359="","",HYPERLINK(IF(LEFT(T359,4)="http",T359,set_QwilrBase&amp;T359),"Open quote"))</f>
        <v/>
      </c>
      <c r="V359" s="25">
        <f>IF(C359="","",C359)</f>
        <v/>
      </c>
      <c r="W359" s="24" t="n"/>
      <c r="X359" s="26" t="n"/>
      <c r="Y359" s="27">
        <f>IF(C359="","",H359+N(X359))</f>
        <v/>
      </c>
      <c r="Z359" s="29">
        <f>IFERROR(X359/Y359,"")</f>
        <v/>
      </c>
      <c r="AA359" s="26" t="n"/>
      <c r="AB359" s="26" t="n"/>
      <c r="AC359" s="26" t="n"/>
      <c r="AD359" s="26" t="n"/>
      <c r="AE359" s="27">
        <f>IF(C359="","",SUMIFS(tbl_Finance[Ex GST],tbl_Finance[Job Number],C359&amp;"",tbl_Finance[Cost Centre],"VIDEO"))</f>
        <v/>
      </c>
      <c r="AF359" s="29">
        <f>IFERROR(AE359/H359,"")</f>
        <v/>
      </c>
      <c r="AG359" s="27">
        <f>IF(C359="","",N(AA359)+N(AB359)+N(AC359)+N(AD359))</f>
        <v/>
      </c>
      <c r="AH359" s="27">
        <f>IF(C359="","",H359-AG359)</f>
        <v/>
      </c>
      <c r="AI359" s="29">
        <f>IFERROR(AH359/H359,"")</f>
        <v/>
      </c>
      <c r="AJ359" s="69" t="n"/>
      <c r="AK359" s="69" t="n"/>
      <c r="AL359" s="69" t="n"/>
      <c r="AM359" s="69" t="n"/>
      <c r="AN359" s="69" t="n"/>
      <c r="AO359" s="24" t="n"/>
    </row>
    <row r="360" ht="15" customHeight="1">
      <c r="A360" s="68">
        <f>IF(C360="","",IFERROR(IF(SUMPRODUCT(MAX((tbl_Finance[Job Number]=C360&amp;"")*(tbl_Finance[Xero Invoice No]&lt;&gt;"")*tbl_Finance[Date]))=0,"",SUMPRODUCT(MAX((tbl_Finance[Job Number]=C360&amp;"")*(tbl_Finance[Xero Invoice No]&lt;&gt;"")*tbl_Finance[Date]))),""))</f>
        <v/>
      </c>
      <c r="B360" s="25">
        <f>IF(C360="","",IF(COUNTIFS(tbl_Finance[Job Number],C360&amp;"",tbl_Finance[Xero Invoice No],"&lt;&gt;")=0,"",IFERROR(IF(COUNTIFS(tbl_Finance[Job Number],C360&amp;"",tbl_Finance[Xero Invoice No],LOOKUP(2,1/((tbl_Finance[Job Number]=C360&amp;"")*(tbl_Finance[Xero Invoice No]&lt;&gt;"")),tbl_Finance[Xero Invoice No]))=COUNTIFS(tbl_Finance[Job Number],C360&amp;"",tbl_Finance[Xero Invoice No],"&lt;&gt;"),LOOKUP(2,1/((tbl_Finance[Job Number]=C360&amp;"")*(tbl_Finance[Xero Invoice No]&lt;&gt;"")),tbl_Finance[Xero Invoice No]),LOOKUP(2,1/((tbl_Finance[Job Number]=C360&amp;"")*(tbl_Finance[Xero Invoice No]&lt;&gt;"")),tbl_Finance[Xero Invoice No])&amp;" +more"),"")))</f>
        <v/>
      </c>
      <c r="C360" s="24" t="n"/>
      <c r="D360" s="25">
        <f>IF(C360="","",IF(COUNTIF(lst_Jobs,C360&amp;"")&gt;0,"OK","CHECK"))</f>
        <v/>
      </c>
      <c r="E360" s="25">
        <f>IF(C360="","",IFERROR(INDEX(lst_JobName,MATCH(C360&amp;"",lst_Jobs,0)),""))</f>
        <v/>
      </c>
      <c r="F360" s="25">
        <f>IF(C360="","",IFERROR(INDEX(tbl_Finance[Client],MATCH(C360&amp;"",tbl_Finance[Job Number],0)),""))</f>
        <v/>
      </c>
      <c r="G360" s="28">
        <f>IF(C360="","",COUNTIFS(tbl_Finance[Job Number],C360&amp;"",tbl_Finance[Ex GST],"&lt;&gt;"))</f>
        <v/>
      </c>
      <c r="H360" s="27">
        <f>IF(C360="","",SUMIFS(tbl_Finance[Ex GST],tbl_Finance[Job Number],C360&amp;""))</f>
        <v/>
      </c>
      <c r="I360" s="27">
        <f>IF(C360="","",SUMIFS(tbl_Finance[Ex GST],tbl_Finance[Job Number],C360&amp;"",tbl_Finance[Xero Invoice No],"&lt;&gt;"))</f>
        <v/>
      </c>
      <c r="J360" s="27">
        <f>IF(C360="","",H360-I360)</f>
        <v/>
      </c>
      <c r="K360" s="25">
        <f>IF(C360="","",IF(G360=0,"not invoiced yet",SUBSTITUTE(TRIM(IF(COUNTIFS(tbl_Finance[Job Number],C360&amp;"",tbl_Finance[Cost Centre],"ONSITE")&gt;0,"ONSITE ","")&amp;IF(COUNTIFS(tbl_Finance[Job Number],C360&amp;"",tbl_Finance[Cost Centre],"PRODUCTION")&gt;0,"PRODUCTION ","")&amp;IF(COUNTIFS(tbl_Finance[Job Number],C360&amp;"",tbl_Finance[Cost Centre],"VIDEO")&gt;0,"VIDEO ","")&amp;IF(COUNTIFS(tbl_Finance[Job Number],C360&amp;"",tbl_Finance[Cost Centre],"INTEGRATION")&gt;0,"INTEGRATION ","")&amp;IF(COUNTIFS(tbl_Finance[Job Number],C360&amp;"",tbl_Finance[Cost Centre],"CONSULTING")&gt;0,"CONSULTING ","")&amp;IF(COUNTIFS(tbl_Finance[Job Number],C360&amp;"",tbl_Finance[Cost Centre],"CTS")&gt;0,"CTS ",""))," ",", ")))</f>
        <v/>
      </c>
      <c r="L360" s="27">
        <f>IF(C360="","",SUMIFS(tbl_Finance[Inc GST],tbl_Finance[Job Number],C360&amp;""))</f>
        <v/>
      </c>
      <c r="M360" s="24" t="n"/>
      <c r="N360" s="25">
        <f>IF(C360="","",IFERROR(INDEX(tbl_Finance[Description],MATCH(C360&amp;"",tbl_Finance[Job Number],0)),""))</f>
        <v/>
      </c>
      <c r="O360" s="24" t="n"/>
      <c r="P360" s="24" t="n"/>
      <c r="Q360" s="22" t="n"/>
      <c r="R360" s="24" t="n"/>
      <c r="S360" s="25">
        <f>IF(R360="","",IF(AND(LEFT(R360,4)&lt;&gt;"http",set_RMSBase=""),"",HYPERLINK(IF(LEFT(R360,4)="http",R360,set_RMSBase&amp;R360),"Open opportunity")))</f>
        <v/>
      </c>
      <c r="T360" s="24" t="n"/>
      <c r="U360" s="25">
        <f>IF(T360="","",HYPERLINK(IF(LEFT(T360,4)="http",T360,set_QwilrBase&amp;T360),"Open quote"))</f>
        <v/>
      </c>
      <c r="V360" s="25">
        <f>IF(C360="","",C360)</f>
        <v/>
      </c>
      <c r="W360" s="24" t="n"/>
      <c r="X360" s="26" t="n"/>
      <c r="Y360" s="27">
        <f>IF(C360="","",H360+N(X360))</f>
        <v/>
      </c>
      <c r="Z360" s="29">
        <f>IFERROR(X360/Y360,"")</f>
        <v/>
      </c>
      <c r="AA360" s="26" t="n"/>
      <c r="AB360" s="26" t="n"/>
      <c r="AC360" s="26" t="n"/>
      <c r="AD360" s="26" t="n"/>
      <c r="AE360" s="27">
        <f>IF(C360="","",SUMIFS(tbl_Finance[Ex GST],tbl_Finance[Job Number],C360&amp;"",tbl_Finance[Cost Centre],"VIDEO"))</f>
        <v/>
      </c>
      <c r="AF360" s="29">
        <f>IFERROR(AE360/H360,"")</f>
        <v/>
      </c>
      <c r="AG360" s="27">
        <f>IF(C360="","",N(AA360)+N(AB360)+N(AC360)+N(AD360))</f>
        <v/>
      </c>
      <c r="AH360" s="27">
        <f>IF(C360="","",H360-AG360)</f>
        <v/>
      </c>
      <c r="AI360" s="29">
        <f>IFERROR(AH360/H360,"")</f>
        <v/>
      </c>
      <c r="AJ360" s="69" t="n"/>
      <c r="AK360" s="69" t="n"/>
      <c r="AL360" s="69" t="n"/>
      <c r="AM360" s="69" t="n"/>
      <c r="AN360" s="69" t="n"/>
      <c r="AO360" s="24" t="n"/>
    </row>
    <row r="361" ht="15" customHeight="1">
      <c r="A361" s="68">
        <f>IF(C361="","",IFERROR(IF(SUMPRODUCT(MAX((tbl_Finance[Job Number]=C361&amp;"")*(tbl_Finance[Xero Invoice No]&lt;&gt;"")*tbl_Finance[Date]))=0,"",SUMPRODUCT(MAX((tbl_Finance[Job Number]=C361&amp;"")*(tbl_Finance[Xero Invoice No]&lt;&gt;"")*tbl_Finance[Date]))),""))</f>
        <v/>
      </c>
      <c r="B361" s="25">
        <f>IF(C361="","",IF(COUNTIFS(tbl_Finance[Job Number],C361&amp;"",tbl_Finance[Xero Invoice No],"&lt;&gt;")=0,"",IFERROR(IF(COUNTIFS(tbl_Finance[Job Number],C361&amp;"",tbl_Finance[Xero Invoice No],LOOKUP(2,1/((tbl_Finance[Job Number]=C361&amp;"")*(tbl_Finance[Xero Invoice No]&lt;&gt;"")),tbl_Finance[Xero Invoice No]))=COUNTIFS(tbl_Finance[Job Number],C361&amp;"",tbl_Finance[Xero Invoice No],"&lt;&gt;"),LOOKUP(2,1/((tbl_Finance[Job Number]=C361&amp;"")*(tbl_Finance[Xero Invoice No]&lt;&gt;"")),tbl_Finance[Xero Invoice No]),LOOKUP(2,1/((tbl_Finance[Job Number]=C361&amp;"")*(tbl_Finance[Xero Invoice No]&lt;&gt;"")),tbl_Finance[Xero Invoice No])&amp;" +more"),"")))</f>
        <v/>
      </c>
      <c r="C361" s="24" t="n"/>
      <c r="D361" s="25">
        <f>IF(C361="","",IF(COUNTIF(lst_Jobs,C361&amp;"")&gt;0,"OK","CHECK"))</f>
        <v/>
      </c>
      <c r="E361" s="25">
        <f>IF(C361="","",IFERROR(INDEX(lst_JobName,MATCH(C361&amp;"",lst_Jobs,0)),""))</f>
        <v/>
      </c>
      <c r="F361" s="25">
        <f>IF(C361="","",IFERROR(INDEX(tbl_Finance[Client],MATCH(C361&amp;"",tbl_Finance[Job Number],0)),""))</f>
        <v/>
      </c>
      <c r="G361" s="28">
        <f>IF(C361="","",COUNTIFS(tbl_Finance[Job Number],C361&amp;"",tbl_Finance[Ex GST],"&lt;&gt;"))</f>
        <v/>
      </c>
      <c r="H361" s="27">
        <f>IF(C361="","",SUMIFS(tbl_Finance[Ex GST],tbl_Finance[Job Number],C361&amp;""))</f>
        <v/>
      </c>
      <c r="I361" s="27">
        <f>IF(C361="","",SUMIFS(tbl_Finance[Ex GST],tbl_Finance[Job Number],C361&amp;"",tbl_Finance[Xero Invoice No],"&lt;&gt;"))</f>
        <v/>
      </c>
      <c r="J361" s="27">
        <f>IF(C361="","",H361-I361)</f>
        <v/>
      </c>
      <c r="K361" s="25">
        <f>IF(C361="","",IF(G361=0,"not invoiced yet",SUBSTITUTE(TRIM(IF(COUNTIFS(tbl_Finance[Job Number],C361&amp;"",tbl_Finance[Cost Centre],"ONSITE")&gt;0,"ONSITE ","")&amp;IF(COUNTIFS(tbl_Finance[Job Number],C361&amp;"",tbl_Finance[Cost Centre],"PRODUCTION")&gt;0,"PRODUCTION ","")&amp;IF(COUNTIFS(tbl_Finance[Job Number],C361&amp;"",tbl_Finance[Cost Centre],"VIDEO")&gt;0,"VIDEO ","")&amp;IF(COUNTIFS(tbl_Finance[Job Number],C361&amp;"",tbl_Finance[Cost Centre],"INTEGRATION")&gt;0,"INTEGRATION ","")&amp;IF(COUNTIFS(tbl_Finance[Job Number],C361&amp;"",tbl_Finance[Cost Centre],"CONSULTING")&gt;0,"CONSULTING ","")&amp;IF(COUNTIFS(tbl_Finance[Job Number],C361&amp;"",tbl_Finance[Cost Centre],"CTS")&gt;0,"CTS ",""))," ",", ")))</f>
        <v/>
      </c>
      <c r="L361" s="27">
        <f>IF(C361="","",SUMIFS(tbl_Finance[Inc GST],tbl_Finance[Job Number],C361&amp;""))</f>
        <v/>
      </c>
      <c r="M361" s="24" t="n"/>
      <c r="N361" s="25">
        <f>IF(C361="","",IFERROR(INDEX(tbl_Finance[Description],MATCH(C361&amp;"",tbl_Finance[Job Number],0)),""))</f>
        <v/>
      </c>
      <c r="O361" s="24" t="n"/>
      <c r="P361" s="24" t="n"/>
      <c r="Q361" s="22" t="n"/>
      <c r="R361" s="24" t="n"/>
      <c r="S361" s="25">
        <f>IF(R361="","",IF(AND(LEFT(R361,4)&lt;&gt;"http",set_RMSBase=""),"",HYPERLINK(IF(LEFT(R361,4)="http",R361,set_RMSBase&amp;R361),"Open opportunity")))</f>
        <v/>
      </c>
      <c r="T361" s="24" t="n"/>
      <c r="U361" s="25">
        <f>IF(T361="","",HYPERLINK(IF(LEFT(T361,4)="http",T361,set_QwilrBase&amp;T361),"Open quote"))</f>
        <v/>
      </c>
      <c r="V361" s="25">
        <f>IF(C361="","",C361)</f>
        <v/>
      </c>
      <c r="W361" s="24" t="n"/>
      <c r="X361" s="26" t="n"/>
      <c r="Y361" s="27">
        <f>IF(C361="","",H361+N(X361))</f>
        <v/>
      </c>
      <c r="Z361" s="29">
        <f>IFERROR(X361/Y361,"")</f>
        <v/>
      </c>
      <c r="AA361" s="26" t="n"/>
      <c r="AB361" s="26" t="n"/>
      <c r="AC361" s="26" t="n"/>
      <c r="AD361" s="26" t="n"/>
      <c r="AE361" s="27">
        <f>IF(C361="","",SUMIFS(tbl_Finance[Ex GST],tbl_Finance[Job Number],C361&amp;"",tbl_Finance[Cost Centre],"VIDEO"))</f>
        <v/>
      </c>
      <c r="AF361" s="29">
        <f>IFERROR(AE361/H361,"")</f>
        <v/>
      </c>
      <c r="AG361" s="27">
        <f>IF(C361="","",N(AA361)+N(AB361)+N(AC361)+N(AD361))</f>
        <v/>
      </c>
      <c r="AH361" s="27">
        <f>IF(C361="","",H361-AG361)</f>
        <v/>
      </c>
      <c r="AI361" s="29">
        <f>IFERROR(AH361/H361,"")</f>
        <v/>
      </c>
      <c r="AJ361" s="69" t="n"/>
      <c r="AK361" s="69" t="n"/>
      <c r="AL361" s="69" t="n"/>
      <c r="AM361" s="69" t="n"/>
      <c r="AN361" s="69" t="n"/>
      <c r="AO361" s="24" t="n"/>
    </row>
    <row r="362" ht="15" customHeight="1">
      <c r="A362" s="68">
        <f>IF(C362="","",IFERROR(IF(SUMPRODUCT(MAX((tbl_Finance[Job Number]=C362&amp;"")*(tbl_Finance[Xero Invoice No]&lt;&gt;"")*tbl_Finance[Date]))=0,"",SUMPRODUCT(MAX((tbl_Finance[Job Number]=C362&amp;"")*(tbl_Finance[Xero Invoice No]&lt;&gt;"")*tbl_Finance[Date]))),""))</f>
        <v/>
      </c>
      <c r="B362" s="25">
        <f>IF(C362="","",IF(COUNTIFS(tbl_Finance[Job Number],C362&amp;"",tbl_Finance[Xero Invoice No],"&lt;&gt;")=0,"",IFERROR(IF(COUNTIFS(tbl_Finance[Job Number],C362&amp;"",tbl_Finance[Xero Invoice No],LOOKUP(2,1/((tbl_Finance[Job Number]=C362&amp;"")*(tbl_Finance[Xero Invoice No]&lt;&gt;"")),tbl_Finance[Xero Invoice No]))=COUNTIFS(tbl_Finance[Job Number],C362&amp;"",tbl_Finance[Xero Invoice No],"&lt;&gt;"),LOOKUP(2,1/((tbl_Finance[Job Number]=C362&amp;"")*(tbl_Finance[Xero Invoice No]&lt;&gt;"")),tbl_Finance[Xero Invoice No]),LOOKUP(2,1/((tbl_Finance[Job Number]=C362&amp;"")*(tbl_Finance[Xero Invoice No]&lt;&gt;"")),tbl_Finance[Xero Invoice No])&amp;" +more"),"")))</f>
        <v/>
      </c>
      <c r="C362" s="24" t="n"/>
      <c r="D362" s="25">
        <f>IF(C362="","",IF(COUNTIF(lst_Jobs,C362&amp;"")&gt;0,"OK","CHECK"))</f>
        <v/>
      </c>
      <c r="E362" s="25">
        <f>IF(C362="","",IFERROR(INDEX(lst_JobName,MATCH(C362&amp;"",lst_Jobs,0)),""))</f>
        <v/>
      </c>
      <c r="F362" s="25">
        <f>IF(C362="","",IFERROR(INDEX(tbl_Finance[Client],MATCH(C362&amp;"",tbl_Finance[Job Number],0)),""))</f>
        <v/>
      </c>
      <c r="G362" s="28">
        <f>IF(C362="","",COUNTIFS(tbl_Finance[Job Number],C362&amp;"",tbl_Finance[Ex GST],"&lt;&gt;"))</f>
        <v/>
      </c>
      <c r="H362" s="27">
        <f>IF(C362="","",SUMIFS(tbl_Finance[Ex GST],tbl_Finance[Job Number],C362&amp;""))</f>
        <v/>
      </c>
      <c r="I362" s="27">
        <f>IF(C362="","",SUMIFS(tbl_Finance[Ex GST],tbl_Finance[Job Number],C362&amp;"",tbl_Finance[Xero Invoice No],"&lt;&gt;"))</f>
        <v/>
      </c>
      <c r="J362" s="27">
        <f>IF(C362="","",H362-I362)</f>
        <v/>
      </c>
      <c r="K362" s="25">
        <f>IF(C362="","",IF(G362=0,"not invoiced yet",SUBSTITUTE(TRIM(IF(COUNTIFS(tbl_Finance[Job Number],C362&amp;"",tbl_Finance[Cost Centre],"ONSITE")&gt;0,"ONSITE ","")&amp;IF(COUNTIFS(tbl_Finance[Job Number],C362&amp;"",tbl_Finance[Cost Centre],"PRODUCTION")&gt;0,"PRODUCTION ","")&amp;IF(COUNTIFS(tbl_Finance[Job Number],C362&amp;"",tbl_Finance[Cost Centre],"VIDEO")&gt;0,"VIDEO ","")&amp;IF(COUNTIFS(tbl_Finance[Job Number],C362&amp;"",tbl_Finance[Cost Centre],"INTEGRATION")&gt;0,"INTEGRATION ","")&amp;IF(COUNTIFS(tbl_Finance[Job Number],C362&amp;"",tbl_Finance[Cost Centre],"CONSULTING")&gt;0,"CONSULTING ","")&amp;IF(COUNTIFS(tbl_Finance[Job Number],C362&amp;"",tbl_Finance[Cost Centre],"CTS")&gt;0,"CTS ",""))," ",", ")))</f>
        <v/>
      </c>
      <c r="L362" s="27">
        <f>IF(C362="","",SUMIFS(tbl_Finance[Inc GST],tbl_Finance[Job Number],C362&amp;""))</f>
        <v/>
      </c>
      <c r="M362" s="24" t="n"/>
      <c r="N362" s="25">
        <f>IF(C362="","",IFERROR(INDEX(tbl_Finance[Description],MATCH(C362&amp;"",tbl_Finance[Job Number],0)),""))</f>
        <v/>
      </c>
      <c r="O362" s="24" t="n"/>
      <c r="P362" s="24" t="n"/>
      <c r="Q362" s="22" t="n"/>
      <c r="R362" s="24" t="n"/>
      <c r="S362" s="25">
        <f>IF(R362="","",IF(AND(LEFT(R362,4)&lt;&gt;"http",set_RMSBase=""),"",HYPERLINK(IF(LEFT(R362,4)="http",R362,set_RMSBase&amp;R362),"Open opportunity")))</f>
        <v/>
      </c>
      <c r="T362" s="24" t="n"/>
      <c r="U362" s="25">
        <f>IF(T362="","",HYPERLINK(IF(LEFT(T362,4)="http",T362,set_QwilrBase&amp;T362),"Open quote"))</f>
        <v/>
      </c>
      <c r="V362" s="25">
        <f>IF(C362="","",C362)</f>
        <v/>
      </c>
      <c r="W362" s="24" t="n"/>
      <c r="X362" s="26" t="n"/>
      <c r="Y362" s="27">
        <f>IF(C362="","",H362+N(X362))</f>
        <v/>
      </c>
      <c r="Z362" s="29">
        <f>IFERROR(X362/Y362,"")</f>
        <v/>
      </c>
      <c r="AA362" s="26" t="n"/>
      <c r="AB362" s="26" t="n"/>
      <c r="AC362" s="26" t="n"/>
      <c r="AD362" s="26" t="n"/>
      <c r="AE362" s="27">
        <f>IF(C362="","",SUMIFS(tbl_Finance[Ex GST],tbl_Finance[Job Number],C362&amp;"",tbl_Finance[Cost Centre],"VIDEO"))</f>
        <v/>
      </c>
      <c r="AF362" s="29">
        <f>IFERROR(AE362/H362,"")</f>
        <v/>
      </c>
      <c r="AG362" s="27">
        <f>IF(C362="","",N(AA362)+N(AB362)+N(AC362)+N(AD362))</f>
        <v/>
      </c>
      <c r="AH362" s="27">
        <f>IF(C362="","",H362-AG362)</f>
        <v/>
      </c>
      <c r="AI362" s="29">
        <f>IFERROR(AH362/H362,"")</f>
        <v/>
      </c>
      <c r="AJ362" s="69" t="n"/>
      <c r="AK362" s="69" t="n"/>
      <c r="AL362" s="69" t="n"/>
      <c r="AM362" s="69" t="n"/>
      <c r="AN362" s="69" t="n"/>
      <c r="AO362" s="24" t="n"/>
    </row>
    <row r="363" ht="15" customHeight="1">
      <c r="A363" s="68">
        <f>IF(C363="","",IFERROR(IF(SUMPRODUCT(MAX((tbl_Finance[Job Number]=C363&amp;"")*(tbl_Finance[Xero Invoice No]&lt;&gt;"")*tbl_Finance[Date]))=0,"",SUMPRODUCT(MAX((tbl_Finance[Job Number]=C363&amp;"")*(tbl_Finance[Xero Invoice No]&lt;&gt;"")*tbl_Finance[Date]))),""))</f>
        <v/>
      </c>
      <c r="B363" s="25">
        <f>IF(C363="","",IF(COUNTIFS(tbl_Finance[Job Number],C363&amp;"",tbl_Finance[Xero Invoice No],"&lt;&gt;")=0,"",IFERROR(IF(COUNTIFS(tbl_Finance[Job Number],C363&amp;"",tbl_Finance[Xero Invoice No],LOOKUP(2,1/((tbl_Finance[Job Number]=C363&amp;"")*(tbl_Finance[Xero Invoice No]&lt;&gt;"")),tbl_Finance[Xero Invoice No]))=COUNTIFS(tbl_Finance[Job Number],C363&amp;"",tbl_Finance[Xero Invoice No],"&lt;&gt;"),LOOKUP(2,1/((tbl_Finance[Job Number]=C363&amp;"")*(tbl_Finance[Xero Invoice No]&lt;&gt;"")),tbl_Finance[Xero Invoice No]),LOOKUP(2,1/((tbl_Finance[Job Number]=C363&amp;"")*(tbl_Finance[Xero Invoice No]&lt;&gt;"")),tbl_Finance[Xero Invoice No])&amp;" +more"),"")))</f>
        <v/>
      </c>
      <c r="C363" s="24" t="n"/>
      <c r="D363" s="25">
        <f>IF(C363="","",IF(COUNTIF(lst_Jobs,C363&amp;"")&gt;0,"OK","CHECK"))</f>
        <v/>
      </c>
      <c r="E363" s="25">
        <f>IF(C363="","",IFERROR(INDEX(lst_JobName,MATCH(C363&amp;"",lst_Jobs,0)),""))</f>
        <v/>
      </c>
      <c r="F363" s="25">
        <f>IF(C363="","",IFERROR(INDEX(tbl_Finance[Client],MATCH(C363&amp;"",tbl_Finance[Job Number],0)),""))</f>
        <v/>
      </c>
      <c r="G363" s="28">
        <f>IF(C363="","",COUNTIFS(tbl_Finance[Job Number],C363&amp;"",tbl_Finance[Ex GST],"&lt;&gt;"))</f>
        <v/>
      </c>
      <c r="H363" s="27">
        <f>IF(C363="","",SUMIFS(tbl_Finance[Ex GST],tbl_Finance[Job Number],C363&amp;""))</f>
        <v/>
      </c>
      <c r="I363" s="27">
        <f>IF(C363="","",SUMIFS(tbl_Finance[Ex GST],tbl_Finance[Job Number],C363&amp;"",tbl_Finance[Xero Invoice No],"&lt;&gt;"))</f>
        <v/>
      </c>
      <c r="J363" s="27">
        <f>IF(C363="","",H363-I363)</f>
        <v/>
      </c>
      <c r="K363" s="25">
        <f>IF(C363="","",IF(G363=0,"not invoiced yet",SUBSTITUTE(TRIM(IF(COUNTIFS(tbl_Finance[Job Number],C363&amp;"",tbl_Finance[Cost Centre],"ONSITE")&gt;0,"ONSITE ","")&amp;IF(COUNTIFS(tbl_Finance[Job Number],C363&amp;"",tbl_Finance[Cost Centre],"PRODUCTION")&gt;0,"PRODUCTION ","")&amp;IF(COUNTIFS(tbl_Finance[Job Number],C363&amp;"",tbl_Finance[Cost Centre],"VIDEO")&gt;0,"VIDEO ","")&amp;IF(COUNTIFS(tbl_Finance[Job Number],C363&amp;"",tbl_Finance[Cost Centre],"INTEGRATION")&gt;0,"INTEGRATION ","")&amp;IF(COUNTIFS(tbl_Finance[Job Number],C363&amp;"",tbl_Finance[Cost Centre],"CONSULTING")&gt;0,"CONSULTING ","")&amp;IF(COUNTIFS(tbl_Finance[Job Number],C363&amp;"",tbl_Finance[Cost Centre],"CTS")&gt;0,"CTS ",""))," ",", ")))</f>
        <v/>
      </c>
      <c r="L363" s="27">
        <f>IF(C363="","",SUMIFS(tbl_Finance[Inc GST],tbl_Finance[Job Number],C363&amp;""))</f>
        <v/>
      </c>
      <c r="M363" s="24" t="n"/>
      <c r="N363" s="25">
        <f>IF(C363="","",IFERROR(INDEX(tbl_Finance[Description],MATCH(C363&amp;"",tbl_Finance[Job Number],0)),""))</f>
        <v/>
      </c>
      <c r="O363" s="24" t="n"/>
      <c r="P363" s="24" t="n"/>
      <c r="Q363" s="22" t="n"/>
      <c r="R363" s="24" t="n"/>
      <c r="S363" s="25">
        <f>IF(R363="","",IF(AND(LEFT(R363,4)&lt;&gt;"http",set_RMSBase=""),"",HYPERLINK(IF(LEFT(R363,4)="http",R363,set_RMSBase&amp;R363),"Open opportunity")))</f>
        <v/>
      </c>
      <c r="T363" s="24" t="n"/>
      <c r="U363" s="25">
        <f>IF(T363="","",HYPERLINK(IF(LEFT(T363,4)="http",T363,set_QwilrBase&amp;T363),"Open quote"))</f>
        <v/>
      </c>
      <c r="V363" s="25">
        <f>IF(C363="","",C363)</f>
        <v/>
      </c>
      <c r="W363" s="24" t="n"/>
      <c r="X363" s="26" t="n"/>
      <c r="Y363" s="27">
        <f>IF(C363="","",H363+N(X363))</f>
        <v/>
      </c>
      <c r="Z363" s="29">
        <f>IFERROR(X363/Y363,"")</f>
        <v/>
      </c>
      <c r="AA363" s="26" t="n"/>
      <c r="AB363" s="26" t="n"/>
      <c r="AC363" s="26" t="n"/>
      <c r="AD363" s="26" t="n"/>
      <c r="AE363" s="27">
        <f>IF(C363="","",SUMIFS(tbl_Finance[Ex GST],tbl_Finance[Job Number],C363&amp;"",tbl_Finance[Cost Centre],"VIDEO"))</f>
        <v/>
      </c>
      <c r="AF363" s="29">
        <f>IFERROR(AE363/H363,"")</f>
        <v/>
      </c>
      <c r="AG363" s="27">
        <f>IF(C363="","",N(AA363)+N(AB363)+N(AC363)+N(AD363))</f>
        <v/>
      </c>
      <c r="AH363" s="27">
        <f>IF(C363="","",H363-AG363)</f>
        <v/>
      </c>
      <c r="AI363" s="29">
        <f>IFERROR(AH363/H363,"")</f>
        <v/>
      </c>
      <c r="AJ363" s="69" t="n"/>
      <c r="AK363" s="69" t="n"/>
      <c r="AL363" s="69" t="n"/>
      <c r="AM363" s="69" t="n"/>
      <c r="AN363" s="69" t="n"/>
      <c r="AO363" s="24" t="n"/>
    </row>
    <row r="364" ht="15" customHeight="1">
      <c r="A364" s="68">
        <f>IF(C364="","",IFERROR(IF(SUMPRODUCT(MAX((tbl_Finance[Job Number]=C364&amp;"")*(tbl_Finance[Xero Invoice No]&lt;&gt;"")*tbl_Finance[Date]))=0,"",SUMPRODUCT(MAX((tbl_Finance[Job Number]=C364&amp;"")*(tbl_Finance[Xero Invoice No]&lt;&gt;"")*tbl_Finance[Date]))),""))</f>
        <v/>
      </c>
      <c r="B364" s="25">
        <f>IF(C364="","",IF(COUNTIFS(tbl_Finance[Job Number],C364&amp;"",tbl_Finance[Xero Invoice No],"&lt;&gt;")=0,"",IFERROR(IF(COUNTIFS(tbl_Finance[Job Number],C364&amp;"",tbl_Finance[Xero Invoice No],LOOKUP(2,1/((tbl_Finance[Job Number]=C364&amp;"")*(tbl_Finance[Xero Invoice No]&lt;&gt;"")),tbl_Finance[Xero Invoice No]))=COUNTIFS(tbl_Finance[Job Number],C364&amp;"",tbl_Finance[Xero Invoice No],"&lt;&gt;"),LOOKUP(2,1/((tbl_Finance[Job Number]=C364&amp;"")*(tbl_Finance[Xero Invoice No]&lt;&gt;"")),tbl_Finance[Xero Invoice No]),LOOKUP(2,1/((tbl_Finance[Job Number]=C364&amp;"")*(tbl_Finance[Xero Invoice No]&lt;&gt;"")),tbl_Finance[Xero Invoice No])&amp;" +more"),"")))</f>
        <v/>
      </c>
      <c r="C364" s="24" t="n"/>
      <c r="D364" s="25">
        <f>IF(C364="","",IF(COUNTIF(lst_Jobs,C364&amp;"")&gt;0,"OK","CHECK"))</f>
        <v/>
      </c>
      <c r="E364" s="25">
        <f>IF(C364="","",IFERROR(INDEX(lst_JobName,MATCH(C364&amp;"",lst_Jobs,0)),""))</f>
        <v/>
      </c>
      <c r="F364" s="25">
        <f>IF(C364="","",IFERROR(INDEX(tbl_Finance[Client],MATCH(C364&amp;"",tbl_Finance[Job Number],0)),""))</f>
        <v/>
      </c>
      <c r="G364" s="28">
        <f>IF(C364="","",COUNTIFS(tbl_Finance[Job Number],C364&amp;"",tbl_Finance[Ex GST],"&lt;&gt;"))</f>
        <v/>
      </c>
      <c r="H364" s="27">
        <f>IF(C364="","",SUMIFS(tbl_Finance[Ex GST],tbl_Finance[Job Number],C364&amp;""))</f>
        <v/>
      </c>
      <c r="I364" s="27">
        <f>IF(C364="","",SUMIFS(tbl_Finance[Ex GST],tbl_Finance[Job Number],C364&amp;"",tbl_Finance[Xero Invoice No],"&lt;&gt;"))</f>
        <v/>
      </c>
      <c r="J364" s="27">
        <f>IF(C364="","",H364-I364)</f>
        <v/>
      </c>
      <c r="K364" s="25">
        <f>IF(C364="","",IF(G364=0,"not invoiced yet",SUBSTITUTE(TRIM(IF(COUNTIFS(tbl_Finance[Job Number],C364&amp;"",tbl_Finance[Cost Centre],"ONSITE")&gt;0,"ONSITE ","")&amp;IF(COUNTIFS(tbl_Finance[Job Number],C364&amp;"",tbl_Finance[Cost Centre],"PRODUCTION")&gt;0,"PRODUCTION ","")&amp;IF(COUNTIFS(tbl_Finance[Job Number],C364&amp;"",tbl_Finance[Cost Centre],"VIDEO")&gt;0,"VIDEO ","")&amp;IF(COUNTIFS(tbl_Finance[Job Number],C364&amp;"",tbl_Finance[Cost Centre],"INTEGRATION")&gt;0,"INTEGRATION ","")&amp;IF(COUNTIFS(tbl_Finance[Job Number],C364&amp;"",tbl_Finance[Cost Centre],"CONSULTING")&gt;0,"CONSULTING ","")&amp;IF(COUNTIFS(tbl_Finance[Job Number],C364&amp;"",tbl_Finance[Cost Centre],"CTS")&gt;0,"CTS ",""))," ",", ")))</f>
        <v/>
      </c>
      <c r="L364" s="27">
        <f>IF(C364="","",SUMIFS(tbl_Finance[Inc GST],tbl_Finance[Job Number],C364&amp;""))</f>
        <v/>
      </c>
      <c r="M364" s="24" t="n"/>
      <c r="N364" s="25">
        <f>IF(C364="","",IFERROR(INDEX(tbl_Finance[Description],MATCH(C364&amp;"",tbl_Finance[Job Number],0)),""))</f>
        <v/>
      </c>
      <c r="O364" s="24" t="n"/>
      <c r="P364" s="24" t="n"/>
      <c r="Q364" s="22" t="n"/>
      <c r="R364" s="24" t="n"/>
      <c r="S364" s="25">
        <f>IF(R364="","",IF(AND(LEFT(R364,4)&lt;&gt;"http",set_RMSBase=""),"",HYPERLINK(IF(LEFT(R364,4)="http",R364,set_RMSBase&amp;R364),"Open opportunity")))</f>
        <v/>
      </c>
      <c r="T364" s="24" t="n"/>
      <c r="U364" s="25">
        <f>IF(T364="","",HYPERLINK(IF(LEFT(T364,4)="http",T364,set_QwilrBase&amp;T364),"Open quote"))</f>
        <v/>
      </c>
      <c r="V364" s="25">
        <f>IF(C364="","",C364)</f>
        <v/>
      </c>
      <c r="W364" s="24" t="n"/>
      <c r="X364" s="26" t="n"/>
      <c r="Y364" s="27">
        <f>IF(C364="","",H364+N(X364))</f>
        <v/>
      </c>
      <c r="Z364" s="29">
        <f>IFERROR(X364/Y364,"")</f>
        <v/>
      </c>
      <c r="AA364" s="26" t="n"/>
      <c r="AB364" s="26" t="n"/>
      <c r="AC364" s="26" t="n"/>
      <c r="AD364" s="26" t="n"/>
      <c r="AE364" s="27">
        <f>IF(C364="","",SUMIFS(tbl_Finance[Ex GST],tbl_Finance[Job Number],C364&amp;"",tbl_Finance[Cost Centre],"VIDEO"))</f>
        <v/>
      </c>
      <c r="AF364" s="29">
        <f>IFERROR(AE364/H364,"")</f>
        <v/>
      </c>
      <c r="AG364" s="27">
        <f>IF(C364="","",N(AA364)+N(AB364)+N(AC364)+N(AD364))</f>
        <v/>
      </c>
      <c r="AH364" s="27">
        <f>IF(C364="","",H364-AG364)</f>
        <v/>
      </c>
      <c r="AI364" s="29">
        <f>IFERROR(AH364/H364,"")</f>
        <v/>
      </c>
      <c r="AJ364" s="69" t="n"/>
      <c r="AK364" s="69" t="n"/>
      <c r="AL364" s="69" t="n"/>
      <c r="AM364" s="69" t="n"/>
      <c r="AN364" s="69" t="n"/>
      <c r="AO364" s="24" t="n"/>
    </row>
    <row r="365" ht="15" customHeight="1">
      <c r="A365" s="68">
        <f>IF(C365="","",IFERROR(IF(SUMPRODUCT(MAX((tbl_Finance[Job Number]=C365&amp;"")*(tbl_Finance[Xero Invoice No]&lt;&gt;"")*tbl_Finance[Date]))=0,"",SUMPRODUCT(MAX((tbl_Finance[Job Number]=C365&amp;"")*(tbl_Finance[Xero Invoice No]&lt;&gt;"")*tbl_Finance[Date]))),""))</f>
        <v/>
      </c>
      <c r="B365" s="25">
        <f>IF(C365="","",IF(COUNTIFS(tbl_Finance[Job Number],C365&amp;"",tbl_Finance[Xero Invoice No],"&lt;&gt;")=0,"",IFERROR(IF(COUNTIFS(tbl_Finance[Job Number],C365&amp;"",tbl_Finance[Xero Invoice No],LOOKUP(2,1/((tbl_Finance[Job Number]=C365&amp;"")*(tbl_Finance[Xero Invoice No]&lt;&gt;"")),tbl_Finance[Xero Invoice No]))=COUNTIFS(tbl_Finance[Job Number],C365&amp;"",tbl_Finance[Xero Invoice No],"&lt;&gt;"),LOOKUP(2,1/((tbl_Finance[Job Number]=C365&amp;"")*(tbl_Finance[Xero Invoice No]&lt;&gt;"")),tbl_Finance[Xero Invoice No]),LOOKUP(2,1/((tbl_Finance[Job Number]=C365&amp;"")*(tbl_Finance[Xero Invoice No]&lt;&gt;"")),tbl_Finance[Xero Invoice No])&amp;" +more"),"")))</f>
        <v/>
      </c>
      <c r="C365" s="24" t="n"/>
      <c r="D365" s="25">
        <f>IF(C365="","",IF(COUNTIF(lst_Jobs,C365&amp;"")&gt;0,"OK","CHECK"))</f>
        <v/>
      </c>
      <c r="E365" s="25">
        <f>IF(C365="","",IFERROR(INDEX(lst_JobName,MATCH(C365&amp;"",lst_Jobs,0)),""))</f>
        <v/>
      </c>
      <c r="F365" s="25">
        <f>IF(C365="","",IFERROR(INDEX(tbl_Finance[Client],MATCH(C365&amp;"",tbl_Finance[Job Number],0)),""))</f>
        <v/>
      </c>
      <c r="G365" s="28">
        <f>IF(C365="","",COUNTIFS(tbl_Finance[Job Number],C365&amp;"",tbl_Finance[Ex GST],"&lt;&gt;"))</f>
        <v/>
      </c>
      <c r="H365" s="27">
        <f>IF(C365="","",SUMIFS(tbl_Finance[Ex GST],tbl_Finance[Job Number],C365&amp;""))</f>
        <v/>
      </c>
      <c r="I365" s="27">
        <f>IF(C365="","",SUMIFS(tbl_Finance[Ex GST],tbl_Finance[Job Number],C365&amp;"",tbl_Finance[Xero Invoice No],"&lt;&gt;"))</f>
        <v/>
      </c>
      <c r="J365" s="27">
        <f>IF(C365="","",H365-I365)</f>
        <v/>
      </c>
      <c r="K365" s="25">
        <f>IF(C365="","",IF(G365=0,"not invoiced yet",SUBSTITUTE(TRIM(IF(COUNTIFS(tbl_Finance[Job Number],C365&amp;"",tbl_Finance[Cost Centre],"ONSITE")&gt;0,"ONSITE ","")&amp;IF(COUNTIFS(tbl_Finance[Job Number],C365&amp;"",tbl_Finance[Cost Centre],"PRODUCTION")&gt;0,"PRODUCTION ","")&amp;IF(COUNTIFS(tbl_Finance[Job Number],C365&amp;"",tbl_Finance[Cost Centre],"VIDEO")&gt;0,"VIDEO ","")&amp;IF(COUNTIFS(tbl_Finance[Job Number],C365&amp;"",tbl_Finance[Cost Centre],"INTEGRATION")&gt;0,"INTEGRATION ","")&amp;IF(COUNTIFS(tbl_Finance[Job Number],C365&amp;"",tbl_Finance[Cost Centre],"CONSULTING")&gt;0,"CONSULTING ","")&amp;IF(COUNTIFS(tbl_Finance[Job Number],C365&amp;"",tbl_Finance[Cost Centre],"CTS")&gt;0,"CTS ",""))," ",", ")))</f>
        <v/>
      </c>
      <c r="L365" s="27">
        <f>IF(C365="","",SUMIFS(tbl_Finance[Inc GST],tbl_Finance[Job Number],C365&amp;""))</f>
        <v/>
      </c>
      <c r="M365" s="24" t="n"/>
      <c r="N365" s="25">
        <f>IF(C365="","",IFERROR(INDEX(tbl_Finance[Description],MATCH(C365&amp;"",tbl_Finance[Job Number],0)),""))</f>
        <v/>
      </c>
      <c r="O365" s="24" t="n"/>
      <c r="P365" s="24" t="n"/>
      <c r="Q365" s="22" t="n"/>
      <c r="R365" s="24" t="n"/>
      <c r="S365" s="25">
        <f>IF(R365="","",IF(AND(LEFT(R365,4)&lt;&gt;"http",set_RMSBase=""),"",HYPERLINK(IF(LEFT(R365,4)="http",R365,set_RMSBase&amp;R365),"Open opportunity")))</f>
        <v/>
      </c>
      <c r="T365" s="24" t="n"/>
      <c r="U365" s="25">
        <f>IF(T365="","",HYPERLINK(IF(LEFT(T365,4)="http",T365,set_QwilrBase&amp;T365),"Open quote"))</f>
        <v/>
      </c>
      <c r="V365" s="25">
        <f>IF(C365="","",C365)</f>
        <v/>
      </c>
      <c r="W365" s="24" t="n"/>
      <c r="X365" s="26" t="n"/>
      <c r="Y365" s="27">
        <f>IF(C365="","",H365+N(X365))</f>
        <v/>
      </c>
      <c r="Z365" s="29">
        <f>IFERROR(X365/Y365,"")</f>
        <v/>
      </c>
      <c r="AA365" s="26" t="n"/>
      <c r="AB365" s="26" t="n"/>
      <c r="AC365" s="26" t="n"/>
      <c r="AD365" s="26" t="n"/>
      <c r="AE365" s="27">
        <f>IF(C365="","",SUMIFS(tbl_Finance[Ex GST],tbl_Finance[Job Number],C365&amp;"",tbl_Finance[Cost Centre],"VIDEO"))</f>
        <v/>
      </c>
      <c r="AF365" s="29">
        <f>IFERROR(AE365/H365,"")</f>
        <v/>
      </c>
      <c r="AG365" s="27">
        <f>IF(C365="","",N(AA365)+N(AB365)+N(AC365)+N(AD365))</f>
        <v/>
      </c>
      <c r="AH365" s="27">
        <f>IF(C365="","",H365-AG365)</f>
        <v/>
      </c>
      <c r="AI365" s="29">
        <f>IFERROR(AH365/H365,"")</f>
        <v/>
      </c>
      <c r="AJ365" s="69" t="n"/>
      <c r="AK365" s="69" t="n"/>
      <c r="AL365" s="69" t="n"/>
      <c r="AM365" s="69" t="n"/>
      <c r="AN365" s="69" t="n"/>
      <c r="AO365" s="24" t="n"/>
    </row>
    <row r="366" ht="15" customHeight="1">
      <c r="A366" s="68">
        <f>IF(C366="","",IFERROR(IF(SUMPRODUCT(MAX((tbl_Finance[Job Number]=C366&amp;"")*(tbl_Finance[Xero Invoice No]&lt;&gt;"")*tbl_Finance[Date]))=0,"",SUMPRODUCT(MAX((tbl_Finance[Job Number]=C366&amp;"")*(tbl_Finance[Xero Invoice No]&lt;&gt;"")*tbl_Finance[Date]))),""))</f>
        <v/>
      </c>
      <c r="B366" s="25">
        <f>IF(C366="","",IF(COUNTIFS(tbl_Finance[Job Number],C366&amp;"",tbl_Finance[Xero Invoice No],"&lt;&gt;")=0,"",IFERROR(IF(COUNTIFS(tbl_Finance[Job Number],C366&amp;"",tbl_Finance[Xero Invoice No],LOOKUP(2,1/((tbl_Finance[Job Number]=C366&amp;"")*(tbl_Finance[Xero Invoice No]&lt;&gt;"")),tbl_Finance[Xero Invoice No]))=COUNTIFS(tbl_Finance[Job Number],C366&amp;"",tbl_Finance[Xero Invoice No],"&lt;&gt;"),LOOKUP(2,1/((tbl_Finance[Job Number]=C366&amp;"")*(tbl_Finance[Xero Invoice No]&lt;&gt;"")),tbl_Finance[Xero Invoice No]),LOOKUP(2,1/((tbl_Finance[Job Number]=C366&amp;"")*(tbl_Finance[Xero Invoice No]&lt;&gt;"")),tbl_Finance[Xero Invoice No])&amp;" +more"),"")))</f>
        <v/>
      </c>
      <c r="C366" s="24" t="n"/>
      <c r="D366" s="25">
        <f>IF(C366="","",IF(COUNTIF(lst_Jobs,C366&amp;"")&gt;0,"OK","CHECK"))</f>
        <v/>
      </c>
      <c r="E366" s="25">
        <f>IF(C366="","",IFERROR(INDEX(lst_JobName,MATCH(C366&amp;"",lst_Jobs,0)),""))</f>
        <v/>
      </c>
      <c r="F366" s="25">
        <f>IF(C366="","",IFERROR(INDEX(tbl_Finance[Client],MATCH(C366&amp;"",tbl_Finance[Job Number],0)),""))</f>
        <v/>
      </c>
      <c r="G366" s="28">
        <f>IF(C366="","",COUNTIFS(tbl_Finance[Job Number],C366&amp;"",tbl_Finance[Ex GST],"&lt;&gt;"))</f>
        <v/>
      </c>
      <c r="H366" s="27">
        <f>IF(C366="","",SUMIFS(tbl_Finance[Ex GST],tbl_Finance[Job Number],C366&amp;""))</f>
        <v/>
      </c>
      <c r="I366" s="27">
        <f>IF(C366="","",SUMIFS(tbl_Finance[Ex GST],tbl_Finance[Job Number],C366&amp;"",tbl_Finance[Xero Invoice No],"&lt;&gt;"))</f>
        <v/>
      </c>
      <c r="J366" s="27">
        <f>IF(C366="","",H366-I366)</f>
        <v/>
      </c>
      <c r="K366" s="25">
        <f>IF(C366="","",IF(G366=0,"not invoiced yet",SUBSTITUTE(TRIM(IF(COUNTIFS(tbl_Finance[Job Number],C366&amp;"",tbl_Finance[Cost Centre],"ONSITE")&gt;0,"ONSITE ","")&amp;IF(COUNTIFS(tbl_Finance[Job Number],C366&amp;"",tbl_Finance[Cost Centre],"PRODUCTION")&gt;0,"PRODUCTION ","")&amp;IF(COUNTIFS(tbl_Finance[Job Number],C366&amp;"",tbl_Finance[Cost Centre],"VIDEO")&gt;0,"VIDEO ","")&amp;IF(COUNTIFS(tbl_Finance[Job Number],C366&amp;"",tbl_Finance[Cost Centre],"INTEGRATION")&gt;0,"INTEGRATION ","")&amp;IF(COUNTIFS(tbl_Finance[Job Number],C366&amp;"",tbl_Finance[Cost Centre],"CONSULTING")&gt;0,"CONSULTING ","")&amp;IF(COUNTIFS(tbl_Finance[Job Number],C366&amp;"",tbl_Finance[Cost Centre],"CTS")&gt;0,"CTS ",""))," ",", ")))</f>
        <v/>
      </c>
      <c r="L366" s="27">
        <f>IF(C366="","",SUMIFS(tbl_Finance[Inc GST],tbl_Finance[Job Number],C366&amp;""))</f>
        <v/>
      </c>
      <c r="M366" s="24" t="n"/>
      <c r="N366" s="25">
        <f>IF(C366="","",IFERROR(INDEX(tbl_Finance[Description],MATCH(C366&amp;"",tbl_Finance[Job Number],0)),""))</f>
        <v/>
      </c>
      <c r="O366" s="24" t="n"/>
      <c r="P366" s="24" t="n"/>
      <c r="Q366" s="22" t="n"/>
      <c r="R366" s="24" t="n"/>
      <c r="S366" s="25">
        <f>IF(R366="","",IF(AND(LEFT(R366,4)&lt;&gt;"http",set_RMSBase=""),"",HYPERLINK(IF(LEFT(R366,4)="http",R366,set_RMSBase&amp;R366),"Open opportunity")))</f>
        <v/>
      </c>
      <c r="T366" s="24" t="n"/>
      <c r="U366" s="25">
        <f>IF(T366="","",HYPERLINK(IF(LEFT(T366,4)="http",T366,set_QwilrBase&amp;T366),"Open quote"))</f>
        <v/>
      </c>
      <c r="V366" s="25">
        <f>IF(C366="","",C366)</f>
        <v/>
      </c>
      <c r="W366" s="24" t="n"/>
      <c r="X366" s="26" t="n"/>
      <c r="Y366" s="27">
        <f>IF(C366="","",H366+N(X366))</f>
        <v/>
      </c>
      <c r="Z366" s="29">
        <f>IFERROR(X366/Y366,"")</f>
        <v/>
      </c>
      <c r="AA366" s="26" t="n"/>
      <c r="AB366" s="26" t="n"/>
      <c r="AC366" s="26" t="n"/>
      <c r="AD366" s="26" t="n"/>
      <c r="AE366" s="27">
        <f>IF(C366="","",SUMIFS(tbl_Finance[Ex GST],tbl_Finance[Job Number],C366&amp;"",tbl_Finance[Cost Centre],"VIDEO"))</f>
        <v/>
      </c>
      <c r="AF366" s="29">
        <f>IFERROR(AE366/H366,"")</f>
        <v/>
      </c>
      <c r="AG366" s="27">
        <f>IF(C366="","",N(AA366)+N(AB366)+N(AC366)+N(AD366))</f>
        <v/>
      </c>
      <c r="AH366" s="27">
        <f>IF(C366="","",H366-AG366)</f>
        <v/>
      </c>
      <c r="AI366" s="29">
        <f>IFERROR(AH366/H366,"")</f>
        <v/>
      </c>
      <c r="AJ366" s="69" t="n"/>
      <c r="AK366" s="69" t="n"/>
      <c r="AL366" s="69" t="n"/>
      <c r="AM366" s="69" t="n"/>
      <c r="AN366" s="69" t="n"/>
      <c r="AO366" s="24" t="n"/>
    </row>
    <row r="367" ht="15" customHeight="1">
      <c r="A367" s="68">
        <f>IF(C367="","",IFERROR(IF(SUMPRODUCT(MAX((tbl_Finance[Job Number]=C367&amp;"")*(tbl_Finance[Xero Invoice No]&lt;&gt;"")*tbl_Finance[Date]))=0,"",SUMPRODUCT(MAX((tbl_Finance[Job Number]=C367&amp;"")*(tbl_Finance[Xero Invoice No]&lt;&gt;"")*tbl_Finance[Date]))),""))</f>
        <v/>
      </c>
      <c r="B367" s="25">
        <f>IF(C367="","",IF(COUNTIFS(tbl_Finance[Job Number],C367&amp;"",tbl_Finance[Xero Invoice No],"&lt;&gt;")=0,"",IFERROR(IF(COUNTIFS(tbl_Finance[Job Number],C367&amp;"",tbl_Finance[Xero Invoice No],LOOKUP(2,1/((tbl_Finance[Job Number]=C367&amp;"")*(tbl_Finance[Xero Invoice No]&lt;&gt;"")),tbl_Finance[Xero Invoice No]))=COUNTIFS(tbl_Finance[Job Number],C367&amp;"",tbl_Finance[Xero Invoice No],"&lt;&gt;"),LOOKUP(2,1/((tbl_Finance[Job Number]=C367&amp;"")*(tbl_Finance[Xero Invoice No]&lt;&gt;"")),tbl_Finance[Xero Invoice No]),LOOKUP(2,1/((tbl_Finance[Job Number]=C367&amp;"")*(tbl_Finance[Xero Invoice No]&lt;&gt;"")),tbl_Finance[Xero Invoice No])&amp;" +more"),"")))</f>
        <v/>
      </c>
      <c r="C367" s="24" t="n"/>
      <c r="D367" s="25">
        <f>IF(C367="","",IF(COUNTIF(lst_Jobs,C367&amp;"")&gt;0,"OK","CHECK"))</f>
        <v/>
      </c>
      <c r="E367" s="25">
        <f>IF(C367="","",IFERROR(INDEX(lst_JobName,MATCH(C367&amp;"",lst_Jobs,0)),""))</f>
        <v/>
      </c>
      <c r="F367" s="25">
        <f>IF(C367="","",IFERROR(INDEX(tbl_Finance[Client],MATCH(C367&amp;"",tbl_Finance[Job Number],0)),""))</f>
        <v/>
      </c>
      <c r="G367" s="28">
        <f>IF(C367="","",COUNTIFS(tbl_Finance[Job Number],C367&amp;"",tbl_Finance[Ex GST],"&lt;&gt;"))</f>
        <v/>
      </c>
      <c r="H367" s="27">
        <f>IF(C367="","",SUMIFS(tbl_Finance[Ex GST],tbl_Finance[Job Number],C367&amp;""))</f>
        <v/>
      </c>
      <c r="I367" s="27">
        <f>IF(C367="","",SUMIFS(tbl_Finance[Ex GST],tbl_Finance[Job Number],C367&amp;"",tbl_Finance[Xero Invoice No],"&lt;&gt;"))</f>
        <v/>
      </c>
      <c r="J367" s="27">
        <f>IF(C367="","",H367-I367)</f>
        <v/>
      </c>
      <c r="K367" s="25">
        <f>IF(C367="","",IF(G367=0,"not invoiced yet",SUBSTITUTE(TRIM(IF(COUNTIFS(tbl_Finance[Job Number],C367&amp;"",tbl_Finance[Cost Centre],"ONSITE")&gt;0,"ONSITE ","")&amp;IF(COUNTIFS(tbl_Finance[Job Number],C367&amp;"",tbl_Finance[Cost Centre],"PRODUCTION")&gt;0,"PRODUCTION ","")&amp;IF(COUNTIFS(tbl_Finance[Job Number],C367&amp;"",tbl_Finance[Cost Centre],"VIDEO")&gt;0,"VIDEO ","")&amp;IF(COUNTIFS(tbl_Finance[Job Number],C367&amp;"",tbl_Finance[Cost Centre],"INTEGRATION")&gt;0,"INTEGRATION ","")&amp;IF(COUNTIFS(tbl_Finance[Job Number],C367&amp;"",tbl_Finance[Cost Centre],"CONSULTING")&gt;0,"CONSULTING ","")&amp;IF(COUNTIFS(tbl_Finance[Job Number],C367&amp;"",tbl_Finance[Cost Centre],"CTS")&gt;0,"CTS ",""))," ",", ")))</f>
        <v/>
      </c>
      <c r="L367" s="27">
        <f>IF(C367="","",SUMIFS(tbl_Finance[Inc GST],tbl_Finance[Job Number],C367&amp;""))</f>
        <v/>
      </c>
      <c r="M367" s="24" t="n"/>
      <c r="N367" s="25">
        <f>IF(C367="","",IFERROR(INDEX(tbl_Finance[Description],MATCH(C367&amp;"",tbl_Finance[Job Number],0)),""))</f>
        <v/>
      </c>
      <c r="O367" s="24" t="n"/>
      <c r="P367" s="24" t="n"/>
      <c r="Q367" s="22" t="n"/>
      <c r="R367" s="24" t="n"/>
      <c r="S367" s="25">
        <f>IF(R367="","",IF(AND(LEFT(R367,4)&lt;&gt;"http",set_RMSBase=""),"",HYPERLINK(IF(LEFT(R367,4)="http",R367,set_RMSBase&amp;R367),"Open opportunity")))</f>
        <v/>
      </c>
      <c r="T367" s="24" t="n"/>
      <c r="U367" s="25">
        <f>IF(T367="","",HYPERLINK(IF(LEFT(T367,4)="http",T367,set_QwilrBase&amp;T367),"Open quote"))</f>
        <v/>
      </c>
      <c r="V367" s="25">
        <f>IF(C367="","",C367)</f>
        <v/>
      </c>
      <c r="W367" s="24" t="n"/>
      <c r="X367" s="26" t="n"/>
      <c r="Y367" s="27">
        <f>IF(C367="","",H367+N(X367))</f>
        <v/>
      </c>
      <c r="Z367" s="29">
        <f>IFERROR(X367/Y367,"")</f>
        <v/>
      </c>
      <c r="AA367" s="26" t="n"/>
      <c r="AB367" s="26" t="n"/>
      <c r="AC367" s="26" t="n"/>
      <c r="AD367" s="26" t="n"/>
      <c r="AE367" s="27">
        <f>IF(C367="","",SUMIFS(tbl_Finance[Ex GST],tbl_Finance[Job Number],C367&amp;"",tbl_Finance[Cost Centre],"VIDEO"))</f>
        <v/>
      </c>
      <c r="AF367" s="29">
        <f>IFERROR(AE367/H367,"")</f>
        <v/>
      </c>
      <c r="AG367" s="27">
        <f>IF(C367="","",N(AA367)+N(AB367)+N(AC367)+N(AD367))</f>
        <v/>
      </c>
      <c r="AH367" s="27">
        <f>IF(C367="","",H367-AG367)</f>
        <v/>
      </c>
      <c r="AI367" s="29">
        <f>IFERROR(AH367/H367,"")</f>
        <v/>
      </c>
      <c r="AJ367" s="69" t="n"/>
      <c r="AK367" s="69" t="n"/>
      <c r="AL367" s="69" t="n"/>
      <c r="AM367" s="69" t="n"/>
      <c r="AN367" s="69" t="n"/>
      <c r="AO367" s="24" t="n"/>
    </row>
    <row r="368" ht="15" customHeight="1">
      <c r="A368" s="68">
        <f>IF(C368="","",IFERROR(IF(SUMPRODUCT(MAX((tbl_Finance[Job Number]=C368&amp;"")*(tbl_Finance[Xero Invoice No]&lt;&gt;"")*tbl_Finance[Date]))=0,"",SUMPRODUCT(MAX((tbl_Finance[Job Number]=C368&amp;"")*(tbl_Finance[Xero Invoice No]&lt;&gt;"")*tbl_Finance[Date]))),""))</f>
        <v/>
      </c>
      <c r="B368" s="25">
        <f>IF(C368="","",IF(COUNTIFS(tbl_Finance[Job Number],C368&amp;"",tbl_Finance[Xero Invoice No],"&lt;&gt;")=0,"",IFERROR(IF(COUNTIFS(tbl_Finance[Job Number],C368&amp;"",tbl_Finance[Xero Invoice No],LOOKUP(2,1/((tbl_Finance[Job Number]=C368&amp;"")*(tbl_Finance[Xero Invoice No]&lt;&gt;"")),tbl_Finance[Xero Invoice No]))=COUNTIFS(tbl_Finance[Job Number],C368&amp;"",tbl_Finance[Xero Invoice No],"&lt;&gt;"),LOOKUP(2,1/((tbl_Finance[Job Number]=C368&amp;"")*(tbl_Finance[Xero Invoice No]&lt;&gt;"")),tbl_Finance[Xero Invoice No]),LOOKUP(2,1/((tbl_Finance[Job Number]=C368&amp;"")*(tbl_Finance[Xero Invoice No]&lt;&gt;"")),tbl_Finance[Xero Invoice No])&amp;" +more"),"")))</f>
        <v/>
      </c>
      <c r="C368" s="24" t="n"/>
      <c r="D368" s="25">
        <f>IF(C368="","",IF(COUNTIF(lst_Jobs,C368&amp;"")&gt;0,"OK","CHECK"))</f>
        <v/>
      </c>
      <c r="E368" s="25">
        <f>IF(C368="","",IFERROR(INDEX(lst_JobName,MATCH(C368&amp;"",lst_Jobs,0)),""))</f>
        <v/>
      </c>
      <c r="F368" s="25">
        <f>IF(C368="","",IFERROR(INDEX(tbl_Finance[Client],MATCH(C368&amp;"",tbl_Finance[Job Number],0)),""))</f>
        <v/>
      </c>
      <c r="G368" s="28">
        <f>IF(C368="","",COUNTIFS(tbl_Finance[Job Number],C368&amp;"",tbl_Finance[Ex GST],"&lt;&gt;"))</f>
        <v/>
      </c>
      <c r="H368" s="27">
        <f>IF(C368="","",SUMIFS(tbl_Finance[Ex GST],tbl_Finance[Job Number],C368&amp;""))</f>
        <v/>
      </c>
      <c r="I368" s="27">
        <f>IF(C368="","",SUMIFS(tbl_Finance[Ex GST],tbl_Finance[Job Number],C368&amp;"",tbl_Finance[Xero Invoice No],"&lt;&gt;"))</f>
        <v/>
      </c>
      <c r="J368" s="27">
        <f>IF(C368="","",H368-I368)</f>
        <v/>
      </c>
      <c r="K368" s="25">
        <f>IF(C368="","",IF(G368=0,"not invoiced yet",SUBSTITUTE(TRIM(IF(COUNTIFS(tbl_Finance[Job Number],C368&amp;"",tbl_Finance[Cost Centre],"ONSITE")&gt;0,"ONSITE ","")&amp;IF(COUNTIFS(tbl_Finance[Job Number],C368&amp;"",tbl_Finance[Cost Centre],"PRODUCTION")&gt;0,"PRODUCTION ","")&amp;IF(COUNTIFS(tbl_Finance[Job Number],C368&amp;"",tbl_Finance[Cost Centre],"VIDEO")&gt;0,"VIDEO ","")&amp;IF(COUNTIFS(tbl_Finance[Job Number],C368&amp;"",tbl_Finance[Cost Centre],"INTEGRATION")&gt;0,"INTEGRATION ","")&amp;IF(COUNTIFS(tbl_Finance[Job Number],C368&amp;"",tbl_Finance[Cost Centre],"CONSULTING")&gt;0,"CONSULTING ","")&amp;IF(COUNTIFS(tbl_Finance[Job Number],C368&amp;"",tbl_Finance[Cost Centre],"CTS")&gt;0,"CTS ",""))," ",", ")))</f>
        <v/>
      </c>
      <c r="L368" s="27">
        <f>IF(C368="","",SUMIFS(tbl_Finance[Inc GST],tbl_Finance[Job Number],C368&amp;""))</f>
        <v/>
      </c>
      <c r="M368" s="24" t="n"/>
      <c r="N368" s="25">
        <f>IF(C368="","",IFERROR(INDEX(tbl_Finance[Description],MATCH(C368&amp;"",tbl_Finance[Job Number],0)),""))</f>
        <v/>
      </c>
      <c r="O368" s="24" t="n"/>
      <c r="P368" s="24" t="n"/>
      <c r="Q368" s="22" t="n"/>
      <c r="R368" s="24" t="n"/>
      <c r="S368" s="25">
        <f>IF(R368="","",IF(AND(LEFT(R368,4)&lt;&gt;"http",set_RMSBase=""),"",HYPERLINK(IF(LEFT(R368,4)="http",R368,set_RMSBase&amp;R368),"Open opportunity")))</f>
        <v/>
      </c>
      <c r="T368" s="24" t="n"/>
      <c r="U368" s="25">
        <f>IF(T368="","",HYPERLINK(IF(LEFT(T368,4)="http",T368,set_QwilrBase&amp;T368),"Open quote"))</f>
        <v/>
      </c>
      <c r="V368" s="25">
        <f>IF(C368="","",C368)</f>
        <v/>
      </c>
      <c r="W368" s="24" t="n"/>
      <c r="X368" s="26" t="n"/>
      <c r="Y368" s="27">
        <f>IF(C368="","",H368+N(X368))</f>
        <v/>
      </c>
      <c r="Z368" s="29">
        <f>IFERROR(X368/Y368,"")</f>
        <v/>
      </c>
      <c r="AA368" s="26" t="n"/>
      <c r="AB368" s="26" t="n"/>
      <c r="AC368" s="26" t="n"/>
      <c r="AD368" s="26" t="n"/>
      <c r="AE368" s="27">
        <f>IF(C368="","",SUMIFS(tbl_Finance[Ex GST],tbl_Finance[Job Number],C368&amp;"",tbl_Finance[Cost Centre],"VIDEO"))</f>
        <v/>
      </c>
      <c r="AF368" s="29">
        <f>IFERROR(AE368/H368,"")</f>
        <v/>
      </c>
      <c r="AG368" s="27">
        <f>IF(C368="","",N(AA368)+N(AB368)+N(AC368)+N(AD368))</f>
        <v/>
      </c>
      <c r="AH368" s="27">
        <f>IF(C368="","",H368-AG368)</f>
        <v/>
      </c>
      <c r="AI368" s="29">
        <f>IFERROR(AH368/H368,"")</f>
        <v/>
      </c>
      <c r="AJ368" s="69" t="n"/>
      <c r="AK368" s="69" t="n"/>
      <c r="AL368" s="69" t="n"/>
      <c r="AM368" s="69" t="n"/>
      <c r="AN368" s="69" t="n"/>
      <c r="AO368" s="24" t="n"/>
    </row>
    <row r="369" ht="15" customHeight="1">
      <c r="A369" s="68">
        <f>IF(C369="","",IFERROR(IF(SUMPRODUCT(MAX((tbl_Finance[Job Number]=C369&amp;"")*(tbl_Finance[Xero Invoice No]&lt;&gt;"")*tbl_Finance[Date]))=0,"",SUMPRODUCT(MAX((tbl_Finance[Job Number]=C369&amp;"")*(tbl_Finance[Xero Invoice No]&lt;&gt;"")*tbl_Finance[Date]))),""))</f>
        <v/>
      </c>
      <c r="B369" s="25">
        <f>IF(C369="","",IF(COUNTIFS(tbl_Finance[Job Number],C369&amp;"",tbl_Finance[Xero Invoice No],"&lt;&gt;")=0,"",IFERROR(IF(COUNTIFS(tbl_Finance[Job Number],C369&amp;"",tbl_Finance[Xero Invoice No],LOOKUP(2,1/((tbl_Finance[Job Number]=C369&amp;"")*(tbl_Finance[Xero Invoice No]&lt;&gt;"")),tbl_Finance[Xero Invoice No]))=COUNTIFS(tbl_Finance[Job Number],C369&amp;"",tbl_Finance[Xero Invoice No],"&lt;&gt;"),LOOKUP(2,1/((tbl_Finance[Job Number]=C369&amp;"")*(tbl_Finance[Xero Invoice No]&lt;&gt;"")),tbl_Finance[Xero Invoice No]),LOOKUP(2,1/((tbl_Finance[Job Number]=C369&amp;"")*(tbl_Finance[Xero Invoice No]&lt;&gt;"")),tbl_Finance[Xero Invoice No])&amp;" +more"),"")))</f>
        <v/>
      </c>
      <c r="C369" s="24" t="n"/>
      <c r="D369" s="25">
        <f>IF(C369="","",IF(COUNTIF(lst_Jobs,C369&amp;"")&gt;0,"OK","CHECK"))</f>
        <v/>
      </c>
      <c r="E369" s="25">
        <f>IF(C369="","",IFERROR(INDEX(lst_JobName,MATCH(C369&amp;"",lst_Jobs,0)),""))</f>
        <v/>
      </c>
      <c r="F369" s="25">
        <f>IF(C369="","",IFERROR(INDEX(tbl_Finance[Client],MATCH(C369&amp;"",tbl_Finance[Job Number],0)),""))</f>
        <v/>
      </c>
      <c r="G369" s="28">
        <f>IF(C369="","",COUNTIFS(tbl_Finance[Job Number],C369&amp;"",tbl_Finance[Ex GST],"&lt;&gt;"))</f>
        <v/>
      </c>
      <c r="H369" s="27">
        <f>IF(C369="","",SUMIFS(tbl_Finance[Ex GST],tbl_Finance[Job Number],C369&amp;""))</f>
        <v/>
      </c>
      <c r="I369" s="27">
        <f>IF(C369="","",SUMIFS(tbl_Finance[Ex GST],tbl_Finance[Job Number],C369&amp;"",tbl_Finance[Xero Invoice No],"&lt;&gt;"))</f>
        <v/>
      </c>
      <c r="J369" s="27">
        <f>IF(C369="","",H369-I369)</f>
        <v/>
      </c>
      <c r="K369" s="25">
        <f>IF(C369="","",IF(G369=0,"not invoiced yet",SUBSTITUTE(TRIM(IF(COUNTIFS(tbl_Finance[Job Number],C369&amp;"",tbl_Finance[Cost Centre],"ONSITE")&gt;0,"ONSITE ","")&amp;IF(COUNTIFS(tbl_Finance[Job Number],C369&amp;"",tbl_Finance[Cost Centre],"PRODUCTION")&gt;0,"PRODUCTION ","")&amp;IF(COUNTIFS(tbl_Finance[Job Number],C369&amp;"",tbl_Finance[Cost Centre],"VIDEO")&gt;0,"VIDEO ","")&amp;IF(COUNTIFS(tbl_Finance[Job Number],C369&amp;"",tbl_Finance[Cost Centre],"INTEGRATION")&gt;0,"INTEGRATION ","")&amp;IF(COUNTIFS(tbl_Finance[Job Number],C369&amp;"",tbl_Finance[Cost Centre],"CONSULTING")&gt;0,"CONSULTING ","")&amp;IF(COUNTIFS(tbl_Finance[Job Number],C369&amp;"",tbl_Finance[Cost Centre],"CTS")&gt;0,"CTS ",""))," ",", ")))</f>
        <v/>
      </c>
      <c r="L369" s="27">
        <f>IF(C369="","",SUMIFS(tbl_Finance[Inc GST],tbl_Finance[Job Number],C369&amp;""))</f>
        <v/>
      </c>
      <c r="M369" s="24" t="n"/>
      <c r="N369" s="25">
        <f>IF(C369="","",IFERROR(INDEX(tbl_Finance[Description],MATCH(C369&amp;"",tbl_Finance[Job Number],0)),""))</f>
        <v/>
      </c>
      <c r="O369" s="24" t="n"/>
      <c r="P369" s="24" t="n"/>
      <c r="Q369" s="22" t="n"/>
      <c r="R369" s="24" t="n"/>
      <c r="S369" s="25">
        <f>IF(R369="","",IF(AND(LEFT(R369,4)&lt;&gt;"http",set_RMSBase=""),"",HYPERLINK(IF(LEFT(R369,4)="http",R369,set_RMSBase&amp;R369),"Open opportunity")))</f>
        <v/>
      </c>
      <c r="T369" s="24" t="n"/>
      <c r="U369" s="25">
        <f>IF(T369="","",HYPERLINK(IF(LEFT(T369,4)="http",T369,set_QwilrBase&amp;T369),"Open quote"))</f>
        <v/>
      </c>
      <c r="V369" s="25">
        <f>IF(C369="","",C369)</f>
        <v/>
      </c>
      <c r="W369" s="24" t="n"/>
      <c r="X369" s="26" t="n"/>
      <c r="Y369" s="27">
        <f>IF(C369="","",H369+N(X369))</f>
        <v/>
      </c>
      <c r="Z369" s="29">
        <f>IFERROR(X369/Y369,"")</f>
        <v/>
      </c>
      <c r="AA369" s="26" t="n"/>
      <c r="AB369" s="26" t="n"/>
      <c r="AC369" s="26" t="n"/>
      <c r="AD369" s="26" t="n"/>
      <c r="AE369" s="27">
        <f>IF(C369="","",SUMIFS(tbl_Finance[Ex GST],tbl_Finance[Job Number],C369&amp;"",tbl_Finance[Cost Centre],"VIDEO"))</f>
        <v/>
      </c>
      <c r="AF369" s="29">
        <f>IFERROR(AE369/H369,"")</f>
        <v/>
      </c>
      <c r="AG369" s="27">
        <f>IF(C369="","",N(AA369)+N(AB369)+N(AC369)+N(AD369))</f>
        <v/>
      </c>
      <c r="AH369" s="27">
        <f>IF(C369="","",H369-AG369)</f>
        <v/>
      </c>
      <c r="AI369" s="29">
        <f>IFERROR(AH369/H369,"")</f>
        <v/>
      </c>
      <c r="AJ369" s="69" t="n"/>
      <c r="AK369" s="69" t="n"/>
      <c r="AL369" s="69" t="n"/>
      <c r="AM369" s="69" t="n"/>
      <c r="AN369" s="69" t="n"/>
      <c r="AO369" s="24" t="n"/>
    </row>
    <row r="370" ht="15" customHeight="1">
      <c r="A370" s="68">
        <f>IF(C370="","",IFERROR(IF(SUMPRODUCT(MAX((tbl_Finance[Job Number]=C370&amp;"")*(tbl_Finance[Xero Invoice No]&lt;&gt;"")*tbl_Finance[Date]))=0,"",SUMPRODUCT(MAX((tbl_Finance[Job Number]=C370&amp;"")*(tbl_Finance[Xero Invoice No]&lt;&gt;"")*tbl_Finance[Date]))),""))</f>
        <v/>
      </c>
      <c r="B370" s="25">
        <f>IF(C370="","",IF(COUNTIFS(tbl_Finance[Job Number],C370&amp;"",tbl_Finance[Xero Invoice No],"&lt;&gt;")=0,"",IFERROR(IF(COUNTIFS(tbl_Finance[Job Number],C370&amp;"",tbl_Finance[Xero Invoice No],LOOKUP(2,1/((tbl_Finance[Job Number]=C370&amp;"")*(tbl_Finance[Xero Invoice No]&lt;&gt;"")),tbl_Finance[Xero Invoice No]))=COUNTIFS(tbl_Finance[Job Number],C370&amp;"",tbl_Finance[Xero Invoice No],"&lt;&gt;"),LOOKUP(2,1/((tbl_Finance[Job Number]=C370&amp;"")*(tbl_Finance[Xero Invoice No]&lt;&gt;"")),tbl_Finance[Xero Invoice No]),LOOKUP(2,1/((tbl_Finance[Job Number]=C370&amp;"")*(tbl_Finance[Xero Invoice No]&lt;&gt;"")),tbl_Finance[Xero Invoice No])&amp;" +more"),"")))</f>
        <v/>
      </c>
      <c r="C370" s="24" t="n"/>
      <c r="D370" s="25">
        <f>IF(C370="","",IF(COUNTIF(lst_Jobs,C370&amp;"")&gt;0,"OK","CHECK"))</f>
        <v/>
      </c>
      <c r="E370" s="25">
        <f>IF(C370="","",IFERROR(INDEX(lst_JobName,MATCH(C370&amp;"",lst_Jobs,0)),""))</f>
        <v/>
      </c>
      <c r="F370" s="25">
        <f>IF(C370="","",IFERROR(INDEX(tbl_Finance[Client],MATCH(C370&amp;"",tbl_Finance[Job Number],0)),""))</f>
        <v/>
      </c>
      <c r="G370" s="28">
        <f>IF(C370="","",COUNTIFS(tbl_Finance[Job Number],C370&amp;"",tbl_Finance[Ex GST],"&lt;&gt;"))</f>
        <v/>
      </c>
      <c r="H370" s="27">
        <f>IF(C370="","",SUMIFS(tbl_Finance[Ex GST],tbl_Finance[Job Number],C370&amp;""))</f>
        <v/>
      </c>
      <c r="I370" s="27">
        <f>IF(C370="","",SUMIFS(tbl_Finance[Ex GST],tbl_Finance[Job Number],C370&amp;"",tbl_Finance[Xero Invoice No],"&lt;&gt;"))</f>
        <v/>
      </c>
      <c r="J370" s="27">
        <f>IF(C370="","",H370-I370)</f>
        <v/>
      </c>
      <c r="K370" s="25">
        <f>IF(C370="","",IF(G370=0,"not invoiced yet",SUBSTITUTE(TRIM(IF(COUNTIFS(tbl_Finance[Job Number],C370&amp;"",tbl_Finance[Cost Centre],"ONSITE")&gt;0,"ONSITE ","")&amp;IF(COUNTIFS(tbl_Finance[Job Number],C370&amp;"",tbl_Finance[Cost Centre],"PRODUCTION")&gt;0,"PRODUCTION ","")&amp;IF(COUNTIFS(tbl_Finance[Job Number],C370&amp;"",tbl_Finance[Cost Centre],"VIDEO")&gt;0,"VIDEO ","")&amp;IF(COUNTIFS(tbl_Finance[Job Number],C370&amp;"",tbl_Finance[Cost Centre],"INTEGRATION")&gt;0,"INTEGRATION ","")&amp;IF(COUNTIFS(tbl_Finance[Job Number],C370&amp;"",tbl_Finance[Cost Centre],"CONSULTING")&gt;0,"CONSULTING ","")&amp;IF(COUNTIFS(tbl_Finance[Job Number],C370&amp;"",tbl_Finance[Cost Centre],"CTS")&gt;0,"CTS ",""))," ",", ")))</f>
        <v/>
      </c>
      <c r="L370" s="27">
        <f>IF(C370="","",SUMIFS(tbl_Finance[Inc GST],tbl_Finance[Job Number],C370&amp;""))</f>
        <v/>
      </c>
      <c r="M370" s="24" t="n"/>
      <c r="N370" s="25">
        <f>IF(C370="","",IFERROR(INDEX(tbl_Finance[Description],MATCH(C370&amp;"",tbl_Finance[Job Number],0)),""))</f>
        <v/>
      </c>
      <c r="O370" s="24" t="n"/>
      <c r="P370" s="24" t="n"/>
      <c r="Q370" s="22" t="n"/>
      <c r="R370" s="24" t="n"/>
      <c r="S370" s="25">
        <f>IF(R370="","",IF(AND(LEFT(R370,4)&lt;&gt;"http",set_RMSBase=""),"",HYPERLINK(IF(LEFT(R370,4)="http",R370,set_RMSBase&amp;R370),"Open opportunity")))</f>
        <v/>
      </c>
      <c r="T370" s="24" t="n"/>
      <c r="U370" s="25">
        <f>IF(T370="","",HYPERLINK(IF(LEFT(T370,4)="http",T370,set_QwilrBase&amp;T370),"Open quote"))</f>
        <v/>
      </c>
      <c r="V370" s="25">
        <f>IF(C370="","",C370)</f>
        <v/>
      </c>
      <c r="W370" s="24" t="n"/>
      <c r="X370" s="26" t="n"/>
      <c r="Y370" s="27">
        <f>IF(C370="","",H370+N(X370))</f>
        <v/>
      </c>
      <c r="Z370" s="29">
        <f>IFERROR(X370/Y370,"")</f>
        <v/>
      </c>
      <c r="AA370" s="26" t="n"/>
      <c r="AB370" s="26" t="n"/>
      <c r="AC370" s="26" t="n"/>
      <c r="AD370" s="26" t="n"/>
      <c r="AE370" s="27">
        <f>IF(C370="","",SUMIFS(tbl_Finance[Ex GST],tbl_Finance[Job Number],C370&amp;"",tbl_Finance[Cost Centre],"VIDEO"))</f>
        <v/>
      </c>
      <c r="AF370" s="29">
        <f>IFERROR(AE370/H370,"")</f>
        <v/>
      </c>
      <c r="AG370" s="27">
        <f>IF(C370="","",N(AA370)+N(AB370)+N(AC370)+N(AD370))</f>
        <v/>
      </c>
      <c r="AH370" s="27">
        <f>IF(C370="","",H370-AG370)</f>
        <v/>
      </c>
      <c r="AI370" s="29">
        <f>IFERROR(AH370/H370,"")</f>
        <v/>
      </c>
      <c r="AJ370" s="69" t="n"/>
      <c r="AK370" s="69" t="n"/>
      <c r="AL370" s="69" t="n"/>
      <c r="AM370" s="69" t="n"/>
      <c r="AN370" s="69" t="n"/>
      <c r="AO370" s="24" t="n"/>
    </row>
    <row r="371" ht="15" customHeight="1">
      <c r="A371" s="68">
        <f>IF(C371="","",IFERROR(IF(SUMPRODUCT(MAX((tbl_Finance[Job Number]=C371&amp;"")*(tbl_Finance[Xero Invoice No]&lt;&gt;"")*tbl_Finance[Date]))=0,"",SUMPRODUCT(MAX((tbl_Finance[Job Number]=C371&amp;"")*(tbl_Finance[Xero Invoice No]&lt;&gt;"")*tbl_Finance[Date]))),""))</f>
        <v/>
      </c>
      <c r="B371" s="25">
        <f>IF(C371="","",IF(COUNTIFS(tbl_Finance[Job Number],C371&amp;"",tbl_Finance[Xero Invoice No],"&lt;&gt;")=0,"",IFERROR(IF(COUNTIFS(tbl_Finance[Job Number],C371&amp;"",tbl_Finance[Xero Invoice No],LOOKUP(2,1/((tbl_Finance[Job Number]=C371&amp;"")*(tbl_Finance[Xero Invoice No]&lt;&gt;"")),tbl_Finance[Xero Invoice No]))=COUNTIFS(tbl_Finance[Job Number],C371&amp;"",tbl_Finance[Xero Invoice No],"&lt;&gt;"),LOOKUP(2,1/((tbl_Finance[Job Number]=C371&amp;"")*(tbl_Finance[Xero Invoice No]&lt;&gt;"")),tbl_Finance[Xero Invoice No]),LOOKUP(2,1/((tbl_Finance[Job Number]=C371&amp;"")*(tbl_Finance[Xero Invoice No]&lt;&gt;"")),tbl_Finance[Xero Invoice No])&amp;" +more"),"")))</f>
        <v/>
      </c>
      <c r="C371" s="24" t="n"/>
      <c r="D371" s="25">
        <f>IF(C371="","",IF(COUNTIF(lst_Jobs,C371&amp;"")&gt;0,"OK","CHECK"))</f>
        <v/>
      </c>
      <c r="E371" s="25">
        <f>IF(C371="","",IFERROR(INDEX(lst_JobName,MATCH(C371&amp;"",lst_Jobs,0)),""))</f>
        <v/>
      </c>
      <c r="F371" s="25">
        <f>IF(C371="","",IFERROR(INDEX(tbl_Finance[Client],MATCH(C371&amp;"",tbl_Finance[Job Number],0)),""))</f>
        <v/>
      </c>
      <c r="G371" s="28">
        <f>IF(C371="","",COUNTIFS(tbl_Finance[Job Number],C371&amp;"",tbl_Finance[Ex GST],"&lt;&gt;"))</f>
        <v/>
      </c>
      <c r="H371" s="27">
        <f>IF(C371="","",SUMIFS(tbl_Finance[Ex GST],tbl_Finance[Job Number],C371&amp;""))</f>
        <v/>
      </c>
      <c r="I371" s="27">
        <f>IF(C371="","",SUMIFS(tbl_Finance[Ex GST],tbl_Finance[Job Number],C371&amp;"",tbl_Finance[Xero Invoice No],"&lt;&gt;"))</f>
        <v/>
      </c>
      <c r="J371" s="27">
        <f>IF(C371="","",H371-I371)</f>
        <v/>
      </c>
      <c r="K371" s="25">
        <f>IF(C371="","",IF(G371=0,"not invoiced yet",SUBSTITUTE(TRIM(IF(COUNTIFS(tbl_Finance[Job Number],C371&amp;"",tbl_Finance[Cost Centre],"ONSITE")&gt;0,"ONSITE ","")&amp;IF(COUNTIFS(tbl_Finance[Job Number],C371&amp;"",tbl_Finance[Cost Centre],"PRODUCTION")&gt;0,"PRODUCTION ","")&amp;IF(COUNTIFS(tbl_Finance[Job Number],C371&amp;"",tbl_Finance[Cost Centre],"VIDEO")&gt;0,"VIDEO ","")&amp;IF(COUNTIFS(tbl_Finance[Job Number],C371&amp;"",tbl_Finance[Cost Centre],"INTEGRATION")&gt;0,"INTEGRATION ","")&amp;IF(COUNTIFS(tbl_Finance[Job Number],C371&amp;"",tbl_Finance[Cost Centre],"CONSULTING")&gt;0,"CONSULTING ","")&amp;IF(COUNTIFS(tbl_Finance[Job Number],C371&amp;"",tbl_Finance[Cost Centre],"CTS")&gt;0,"CTS ",""))," ",", ")))</f>
        <v/>
      </c>
      <c r="L371" s="27">
        <f>IF(C371="","",SUMIFS(tbl_Finance[Inc GST],tbl_Finance[Job Number],C371&amp;""))</f>
        <v/>
      </c>
      <c r="M371" s="24" t="n"/>
      <c r="N371" s="25">
        <f>IF(C371="","",IFERROR(INDEX(tbl_Finance[Description],MATCH(C371&amp;"",tbl_Finance[Job Number],0)),""))</f>
        <v/>
      </c>
      <c r="O371" s="24" t="n"/>
      <c r="P371" s="24" t="n"/>
      <c r="Q371" s="22" t="n"/>
      <c r="R371" s="24" t="n"/>
      <c r="S371" s="25">
        <f>IF(R371="","",IF(AND(LEFT(R371,4)&lt;&gt;"http",set_RMSBase=""),"",HYPERLINK(IF(LEFT(R371,4)="http",R371,set_RMSBase&amp;R371),"Open opportunity")))</f>
        <v/>
      </c>
      <c r="T371" s="24" t="n"/>
      <c r="U371" s="25">
        <f>IF(T371="","",HYPERLINK(IF(LEFT(T371,4)="http",T371,set_QwilrBase&amp;T371),"Open quote"))</f>
        <v/>
      </c>
      <c r="V371" s="25">
        <f>IF(C371="","",C371)</f>
        <v/>
      </c>
      <c r="W371" s="24" t="n"/>
      <c r="X371" s="26" t="n"/>
      <c r="Y371" s="27">
        <f>IF(C371="","",H371+N(X371))</f>
        <v/>
      </c>
      <c r="Z371" s="29">
        <f>IFERROR(X371/Y371,"")</f>
        <v/>
      </c>
      <c r="AA371" s="26" t="n"/>
      <c r="AB371" s="26" t="n"/>
      <c r="AC371" s="26" t="n"/>
      <c r="AD371" s="26" t="n"/>
      <c r="AE371" s="27">
        <f>IF(C371="","",SUMIFS(tbl_Finance[Ex GST],tbl_Finance[Job Number],C371&amp;"",tbl_Finance[Cost Centre],"VIDEO"))</f>
        <v/>
      </c>
      <c r="AF371" s="29">
        <f>IFERROR(AE371/H371,"")</f>
        <v/>
      </c>
      <c r="AG371" s="27">
        <f>IF(C371="","",N(AA371)+N(AB371)+N(AC371)+N(AD371))</f>
        <v/>
      </c>
      <c r="AH371" s="27">
        <f>IF(C371="","",H371-AG371)</f>
        <v/>
      </c>
      <c r="AI371" s="29">
        <f>IFERROR(AH371/H371,"")</f>
        <v/>
      </c>
      <c r="AJ371" s="69" t="n"/>
      <c r="AK371" s="69" t="n"/>
      <c r="AL371" s="69" t="n"/>
      <c r="AM371" s="69" t="n"/>
      <c r="AN371" s="69" t="n"/>
      <c r="AO371" s="24" t="n"/>
    </row>
    <row r="372" ht="15" customHeight="1">
      <c r="A372" s="68">
        <f>IF(C372="","",IFERROR(IF(SUMPRODUCT(MAX((tbl_Finance[Job Number]=C372&amp;"")*(tbl_Finance[Xero Invoice No]&lt;&gt;"")*tbl_Finance[Date]))=0,"",SUMPRODUCT(MAX((tbl_Finance[Job Number]=C372&amp;"")*(tbl_Finance[Xero Invoice No]&lt;&gt;"")*tbl_Finance[Date]))),""))</f>
        <v/>
      </c>
      <c r="B372" s="25">
        <f>IF(C372="","",IF(COUNTIFS(tbl_Finance[Job Number],C372&amp;"",tbl_Finance[Xero Invoice No],"&lt;&gt;")=0,"",IFERROR(IF(COUNTIFS(tbl_Finance[Job Number],C372&amp;"",tbl_Finance[Xero Invoice No],LOOKUP(2,1/((tbl_Finance[Job Number]=C372&amp;"")*(tbl_Finance[Xero Invoice No]&lt;&gt;"")),tbl_Finance[Xero Invoice No]))=COUNTIFS(tbl_Finance[Job Number],C372&amp;"",tbl_Finance[Xero Invoice No],"&lt;&gt;"),LOOKUP(2,1/((tbl_Finance[Job Number]=C372&amp;"")*(tbl_Finance[Xero Invoice No]&lt;&gt;"")),tbl_Finance[Xero Invoice No]),LOOKUP(2,1/((tbl_Finance[Job Number]=C372&amp;"")*(tbl_Finance[Xero Invoice No]&lt;&gt;"")),tbl_Finance[Xero Invoice No])&amp;" +more"),"")))</f>
        <v/>
      </c>
      <c r="C372" s="24" t="n"/>
      <c r="D372" s="25">
        <f>IF(C372="","",IF(COUNTIF(lst_Jobs,C372&amp;"")&gt;0,"OK","CHECK"))</f>
        <v/>
      </c>
      <c r="E372" s="25">
        <f>IF(C372="","",IFERROR(INDEX(lst_JobName,MATCH(C372&amp;"",lst_Jobs,0)),""))</f>
        <v/>
      </c>
      <c r="F372" s="25">
        <f>IF(C372="","",IFERROR(INDEX(tbl_Finance[Client],MATCH(C372&amp;"",tbl_Finance[Job Number],0)),""))</f>
        <v/>
      </c>
      <c r="G372" s="28">
        <f>IF(C372="","",COUNTIFS(tbl_Finance[Job Number],C372&amp;"",tbl_Finance[Ex GST],"&lt;&gt;"))</f>
        <v/>
      </c>
      <c r="H372" s="27">
        <f>IF(C372="","",SUMIFS(tbl_Finance[Ex GST],tbl_Finance[Job Number],C372&amp;""))</f>
        <v/>
      </c>
      <c r="I372" s="27">
        <f>IF(C372="","",SUMIFS(tbl_Finance[Ex GST],tbl_Finance[Job Number],C372&amp;"",tbl_Finance[Xero Invoice No],"&lt;&gt;"))</f>
        <v/>
      </c>
      <c r="J372" s="27">
        <f>IF(C372="","",H372-I372)</f>
        <v/>
      </c>
      <c r="K372" s="25">
        <f>IF(C372="","",IF(G372=0,"not invoiced yet",SUBSTITUTE(TRIM(IF(COUNTIFS(tbl_Finance[Job Number],C372&amp;"",tbl_Finance[Cost Centre],"ONSITE")&gt;0,"ONSITE ","")&amp;IF(COUNTIFS(tbl_Finance[Job Number],C372&amp;"",tbl_Finance[Cost Centre],"PRODUCTION")&gt;0,"PRODUCTION ","")&amp;IF(COUNTIFS(tbl_Finance[Job Number],C372&amp;"",tbl_Finance[Cost Centre],"VIDEO")&gt;0,"VIDEO ","")&amp;IF(COUNTIFS(tbl_Finance[Job Number],C372&amp;"",tbl_Finance[Cost Centre],"INTEGRATION")&gt;0,"INTEGRATION ","")&amp;IF(COUNTIFS(tbl_Finance[Job Number],C372&amp;"",tbl_Finance[Cost Centre],"CONSULTING")&gt;0,"CONSULTING ","")&amp;IF(COUNTIFS(tbl_Finance[Job Number],C372&amp;"",tbl_Finance[Cost Centre],"CTS")&gt;0,"CTS ",""))," ",", ")))</f>
        <v/>
      </c>
      <c r="L372" s="27">
        <f>IF(C372="","",SUMIFS(tbl_Finance[Inc GST],tbl_Finance[Job Number],C372&amp;""))</f>
        <v/>
      </c>
      <c r="M372" s="24" t="n"/>
      <c r="N372" s="25">
        <f>IF(C372="","",IFERROR(INDEX(tbl_Finance[Description],MATCH(C372&amp;"",tbl_Finance[Job Number],0)),""))</f>
        <v/>
      </c>
      <c r="O372" s="24" t="n"/>
      <c r="P372" s="24" t="n"/>
      <c r="Q372" s="22" t="n"/>
      <c r="R372" s="24" t="n"/>
      <c r="S372" s="25">
        <f>IF(R372="","",IF(AND(LEFT(R372,4)&lt;&gt;"http",set_RMSBase=""),"",HYPERLINK(IF(LEFT(R372,4)="http",R372,set_RMSBase&amp;R372),"Open opportunity")))</f>
        <v/>
      </c>
      <c r="T372" s="24" t="n"/>
      <c r="U372" s="25">
        <f>IF(T372="","",HYPERLINK(IF(LEFT(T372,4)="http",T372,set_QwilrBase&amp;T372),"Open quote"))</f>
        <v/>
      </c>
      <c r="V372" s="25">
        <f>IF(C372="","",C372)</f>
        <v/>
      </c>
      <c r="W372" s="24" t="n"/>
      <c r="X372" s="26" t="n"/>
      <c r="Y372" s="27">
        <f>IF(C372="","",H372+N(X372))</f>
        <v/>
      </c>
      <c r="Z372" s="29">
        <f>IFERROR(X372/Y372,"")</f>
        <v/>
      </c>
      <c r="AA372" s="26" t="n"/>
      <c r="AB372" s="26" t="n"/>
      <c r="AC372" s="26" t="n"/>
      <c r="AD372" s="26" t="n"/>
      <c r="AE372" s="27">
        <f>IF(C372="","",SUMIFS(tbl_Finance[Ex GST],tbl_Finance[Job Number],C372&amp;"",tbl_Finance[Cost Centre],"VIDEO"))</f>
        <v/>
      </c>
      <c r="AF372" s="29">
        <f>IFERROR(AE372/H372,"")</f>
        <v/>
      </c>
      <c r="AG372" s="27">
        <f>IF(C372="","",N(AA372)+N(AB372)+N(AC372)+N(AD372))</f>
        <v/>
      </c>
      <c r="AH372" s="27">
        <f>IF(C372="","",H372-AG372)</f>
        <v/>
      </c>
      <c r="AI372" s="29">
        <f>IFERROR(AH372/H372,"")</f>
        <v/>
      </c>
      <c r="AJ372" s="69" t="n"/>
      <c r="AK372" s="69" t="n"/>
      <c r="AL372" s="69" t="n"/>
      <c r="AM372" s="69" t="n"/>
      <c r="AN372" s="69" t="n"/>
      <c r="AO372" s="24" t="n"/>
    </row>
    <row r="373" ht="15" customHeight="1">
      <c r="A373" s="68">
        <f>IF(C373="","",IFERROR(IF(SUMPRODUCT(MAX((tbl_Finance[Job Number]=C373&amp;"")*(tbl_Finance[Xero Invoice No]&lt;&gt;"")*tbl_Finance[Date]))=0,"",SUMPRODUCT(MAX((tbl_Finance[Job Number]=C373&amp;"")*(tbl_Finance[Xero Invoice No]&lt;&gt;"")*tbl_Finance[Date]))),""))</f>
        <v/>
      </c>
      <c r="B373" s="25">
        <f>IF(C373="","",IF(COUNTIFS(tbl_Finance[Job Number],C373&amp;"",tbl_Finance[Xero Invoice No],"&lt;&gt;")=0,"",IFERROR(IF(COUNTIFS(tbl_Finance[Job Number],C373&amp;"",tbl_Finance[Xero Invoice No],LOOKUP(2,1/((tbl_Finance[Job Number]=C373&amp;"")*(tbl_Finance[Xero Invoice No]&lt;&gt;"")),tbl_Finance[Xero Invoice No]))=COUNTIFS(tbl_Finance[Job Number],C373&amp;"",tbl_Finance[Xero Invoice No],"&lt;&gt;"),LOOKUP(2,1/((tbl_Finance[Job Number]=C373&amp;"")*(tbl_Finance[Xero Invoice No]&lt;&gt;"")),tbl_Finance[Xero Invoice No]),LOOKUP(2,1/((tbl_Finance[Job Number]=C373&amp;"")*(tbl_Finance[Xero Invoice No]&lt;&gt;"")),tbl_Finance[Xero Invoice No])&amp;" +more"),"")))</f>
        <v/>
      </c>
      <c r="C373" s="24" t="n"/>
      <c r="D373" s="25">
        <f>IF(C373="","",IF(COUNTIF(lst_Jobs,C373&amp;"")&gt;0,"OK","CHECK"))</f>
        <v/>
      </c>
      <c r="E373" s="25">
        <f>IF(C373="","",IFERROR(INDEX(lst_JobName,MATCH(C373&amp;"",lst_Jobs,0)),""))</f>
        <v/>
      </c>
      <c r="F373" s="25">
        <f>IF(C373="","",IFERROR(INDEX(tbl_Finance[Client],MATCH(C373&amp;"",tbl_Finance[Job Number],0)),""))</f>
        <v/>
      </c>
      <c r="G373" s="28">
        <f>IF(C373="","",COUNTIFS(tbl_Finance[Job Number],C373&amp;"",tbl_Finance[Ex GST],"&lt;&gt;"))</f>
        <v/>
      </c>
      <c r="H373" s="27">
        <f>IF(C373="","",SUMIFS(tbl_Finance[Ex GST],tbl_Finance[Job Number],C373&amp;""))</f>
        <v/>
      </c>
      <c r="I373" s="27">
        <f>IF(C373="","",SUMIFS(tbl_Finance[Ex GST],tbl_Finance[Job Number],C373&amp;"",tbl_Finance[Xero Invoice No],"&lt;&gt;"))</f>
        <v/>
      </c>
      <c r="J373" s="27">
        <f>IF(C373="","",H373-I373)</f>
        <v/>
      </c>
      <c r="K373" s="25">
        <f>IF(C373="","",IF(G373=0,"not invoiced yet",SUBSTITUTE(TRIM(IF(COUNTIFS(tbl_Finance[Job Number],C373&amp;"",tbl_Finance[Cost Centre],"ONSITE")&gt;0,"ONSITE ","")&amp;IF(COUNTIFS(tbl_Finance[Job Number],C373&amp;"",tbl_Finance[Cost Centre],"PRODUCTION")&gt;0,"PRODUCTION ","")&amp;IF(COUNTIFS(tbl_Finance[Job Number],C373&amp;"",tbl_Finance[Cost Centre],"VIDEO")&gt;0,"VIDEO ","")&amp;IF(COUNTIFS(tbl_Finance[Job Number],C373&amp;"",tbl_Finance[Cost Centre],"INTEGRATION")&gt;0,"INTEGRATION ","")&amp;IF(COUNTIFS(tbl_Finance[Job Number],C373&amp;"",tbl_Finance[Cost Centre],"CONSULTING")&gt;0,"CONSULTING ","")&amp;IF(COUNTIFS(tbl_Finance[Job Number],C373&amp;"",tbl_Finance[Cost Centre],"CTS")&gt;0,"CTS ",""))," ",", ")))</f>
        <v/>
      </c>
      <c r="L373" s="27">
        <f>IF(C373="","",SUMIFS(tbl_Finance[Inc GST],tbl_Finance[Job Number],C373&amp;""))</f>
        <v/>
      </c>
      <c r="M373" s="24" t="n"/>
      <c r="N373" s="25">
        <f>IF(C373="","",IFERROR(INDEX(tbl_Finance[Description],MATCH(C373&amp;"",tbl_Finance[Job Number],0)),""))</f>
        <v/>
      </c>
      <c r="O373" s="24" t="n"/>
      <c r="P373" s="24" t="n"/>
      <c r="Q373" s="22" t="n"/>
      <c r="R373" s="24" t="n"/>
      <c r="S373" s="25">
        <f>IF(R373="","",IF(AND(LEFT(R373,4)&lt;&gt;"http",set_RMSBase=""),"",HYPERLINK(IF(LEFT(R373,4)="http",R373,set_RMSBase&amp;R373),"Open opportunity")))</f>
        <v/>
      </c>
      <c r="T373" s="24" t="n"/>
      <c r="U373" s="25">
        <f>IF(T373="","",HYPERLINK(IF(LEFT(T373,4)="http",T373,set_QwilrBase&amp;T373),"Open quote"))</f>
        <v/>
      </c>
      <c r="V373" s="25">
        <f>IF(C373="","",C373)</f>
        <v/>
      </c>
      <c r="W373" s="24" t="n"/>
      <c r="X373" s="26" t="n"/>
      <c r="Y373" s="27">
        <f>IF(C373="","",H373+N(X373))</f>
        <v/>
      </c>
      <c r="Z373" s="29">
        <f>IFERROR(X373/Y373,"")</f>
        <v/>
      </c>
      <c r="AA373" s="26" t="n"/>
      <c r="AB373" s="26" t="n"/>
      <c r="AC373" s="26" t="n"/>
      <c r="AD373" s="26" t="n"/>
      <c r="AE373" s="27">
        <f>IF(C373="","",SUMIFS(tbl_Finance[Ex GST],tbl_Finance[Job Number],C373&amp;"",tbl_Finance[Cost Centre],"VIDEO"))</f>
        <v/>
      </c>
      <c r="AF373" s="29">
        <f>IFERROR(AE373/H373,"")</f>
        <v/>
      </c>
      <c r="AG373" s="27">
        <f>IF(C373="","",N(AA373)+N(AB373)+N(AC373)+N(AD373))</f>
        <v/>
      </c>
      <c r="AH373" s="27">
        <f>IF(C373="","",H373-AG373)</f>
        <v/>
      </c>
      <c r="AI373" s="29">
        <f>IFERROR(AH373/H373,"")</f>
        <v/>
      </c>
      <c r="AJ373" s="69" t="n"/>
      <c r="AK373" s="69" t="n"/>
      <c r="AL373" s="69" t="n"/>
      <c r="AM373" s="69" t="n"/>
      <c r="AN373" s="69" t="n"/>
      <c r="AO373" s="24" t="n"/>
    </row>
    <row r="374" ht="15" customHeight="1">
      <c r="A374" s="68">
        <f>IF(C374="","",IFERROR(IF(SUMPRODUCT(MAX((tbl_Finance[Job Number]=C374&amp;"")*(tbl_Finance[Xero Invoice No]&lt;&gt;"")*tbl_Finance[Date]))=0,"",SUMPRODUCT(MAX((tbl_Finance[Job Number]=C374&amp;"")*(tbl_Finance[Xero Invoice No]&lt;&gt;"")*tbl_Finance[Date]))),""))</f>
        <v/>
      </c>
      <c r="B374" s="25">
        <f>IF(C374="","",IF(COUNTIFS(tbl_Finance[Job Number],C374&amp;"",tbl_Finance[Xero Invoice No],"&lt;&gt;")=0,"",IFERROR(IF(COUNTIFS(tbl_Finance[Job Number],C374&amp;"",tbl_Finance[Xero Invoice No],LOOKUP(2,1/((tbl_Finance[Job Number]=C374&amp;"")*(tbl_Finance[Xero Invoice No]&lt;&gt;"")),tbl_Finance[Xero Invoice No]))=COUNTIFS(tbl_Finance[Job Number],C374&amp;"",tbl_Finance[Xero Invoice No],"&lt;&gt;"),LOOKUP(2,1/((tbl_Finance[Job Number]=C374&amp;"")*(tbl_Finance[Xero Invoice No]&lt;&gt;"")),tbl_Finance[Xero Invoice No]),LOOKUP(2,1/((tbl_Finance[Job Number]=C374&amp;"")*(tbl_Finance[Xero Invoice No]&lt;&gt;"")),tbl_Finance[Xero Invoice No])&amp;" +more"),"")))</f>
        <v/>
      </c>
      <c r="C374" s="24" t="n"/>
      <c r="D374" s="25">
        <f>IF(C374="","",IF(COUNTIF(lst_Jobs,C374&amp;"")&gt;0,"OK","CHECK"))</f>
        <v/>
      </c>
      <c r="E374" s="25">
        <f>IF(C374="","",IFERROR(INDEX(lst_JobName,MATCH(C374&amp;"",lst_Jobs,0)),""))</f>
        <v/>
      </c>
      <c r="F374" s="25">
        <f>IF(C374="","",IFERROR(INDEX(tbl_Finance[Client],MATCH(C374&amp;"",tbl_Finance[Job Number],0)),""))</f>
        <v/>
      </c>
      <c r="G374" s="28">
        <f>IF(C374="","",COUNTIFS(tbl_Finance[Job Number],C374&amp;"",tbl_Finance[Ex GST],"&lt;&gt;"))</f>
        <v/>
      </c>
      <c r="H374" s="27">
        <f>IF(C374="","",SUMIFS(tbl_Finance[Ex GST],tbl_Finance[Job Number],C374&amp;""))</f>
        <v/>
      </c>
      <c r="I374" s="27">
        <f>IF(C374="","",SUMIFS(tbl_Finance[Ex GST],tbl_Finance[Job Number],C374&amp;"",tbl_Finance[Xero Invoice No],"&lt;&gt;"))</f>
        <v/>
      </c>
      <c r="J374" s="27">
        <f>IF(C374="","",H374-I374)</f>
        <v/>
      </c>
      <c r="K374" s="25">
        <f>IF(C374="","",IF(G374=0,"not invoiced yet",SUBSTITUTE(TRIM(IF(COUNTIFS(tbl_Finance[Job Number],C374&amp;"",tbl_Finance[Cost Centre],"ONSITE")&gt;0,"ONSITE ","")&amp;IF(COUNTIFS(tbl_Finance[Job Number],C374&amp;"",tbl_Finance[Cost Centre],"PRODUCTION")&gt;0,"PRODUCTION ","")&amp;IF(COUNTIFS(tbl_Finance[Job Number],C374&amp;"",tbl_Finance[Cost Centre],"VIDEO")&gt;0,"VIDEO ","")&amp;IF(COUNTIFS(tbl_Finance[Job Number],C374&amp;"",tbl_Finance[Cost Centre],"INTEGRATION")&gt;0,"INTEGRATION ","")&amp;IF(COUNTIFS(tbl_Finance[Job Number],C374&amp;"",tbl_Finance[Cost Centre],"CONSULTING")&gt;0,"CONSULTING ","")&amp;IF(COUNTIFS(tbl_Finance[Job Number],C374&amp;"",tbl_Finance[Cost Centre],"CTS")&gt;0,"CTS ",""))," ",", ")))</f>
        <v/>
      </c>
      <c r="L374" s="27">
        <f>IF(C374="","",SUMIFS(tbl_Finance[Inc GST],tbl_Finance[Job Number],C374&amp;""))</f>
        <v/>
      </c>
      <c r="M374" s="24" t="n"/>
      <c r="N374" s="25">
        <f>IF(C374="","",IFERROR(INDEX(tbl_Finance[Description],MATCH(C374&amp;"",tbl_Finance[Job Number],0)),""))</f>
        <v/>
      </c>
      <c r="O374" s="24" t="n"/>
      <c r="P374" s="24" t="n"/>
      <c r="Q374" s="22" t="n"/>
      <c r="R374" s="24" t="n"/>
      <c r="S374" s="25">
        <f>IF(R374="","",IF(AND(LEFT(R374,4)&lt;&gt;"http",set_RMSBase=""),"",HYPERLINK(IF(LEFT(R374,4)="http",R374,set_RMSBase&amp;R374),"Open opportunity")))</f>
        <v/>
      </c>
      <c r="T374" s="24" t="n"/>
      <c r="U374" s="25">
        <f>IF(T374="","",HYPERLINK(IF(LEFT(T374,4)="http",T374,set_QwilrBase&amp;T374),"Open quote"))</f>
        <v/>
      </c>
      <c r="V374" s="25">
        <f>IF(C374="","",C374)</f>
        <v/>
      </c>
      <c r="W374" s="24" t="n"/>
      <c r="X374" s="26" t="n"/>
      <c r="Y374" s="27">
        <f>IF(C374="","",H374+N(X374))</f>
        <v/>
      </c>
      <c r="Z374" s="29">
        <f>IFERROR(X374/Y374,"")</f>
        <v/>
      </c>
      <c r="AA374" s="26" t="n"/>
      <c r="AB374" s="26" t="n"/>
      <c r="AC374" s="26" t="n"/>
      <c r="AD374" s="26" t="n"/>
      <c r="AE374" s="27">
        <f>IF(C374="","",SUMIFS(tbl_Finance[Ex GST],tbl_Finance[Job Number],C374&amp;"",tbl_Finance[Cost Centre],"VIDEO"))</f>
        <v/>
      </c>
      <c r="AF374" s="29">
        <f>IFERROR(AE374/H374,"")</f>
        <v/>
      </c>
      <c r="AG374" s="27">
        <f>IF(C374="","",N(AA374)+N(AB374)+N(AC374)+N(AD374))</f>
        <v/>
      </c>
      <c r="AH374" s="27">
        <f>IF(C374="","",H374-AG374)</f>
        <v/>
      </c>
      <c r="AI374" s="29">
        <f>IFERROR(AH374/H374,"")</f>
        <v/>
      </c>
      <c r="AJ374" s="69" t="n"/>
      <c r="AK374" s="69" t="n"/>
      <c r="AL374" s="69" t="n"/>
      <c r="AM374" s="69" t="n"/>
      <c r="AN374" s="69" t="n"/>
      <c r="AO374" s="24" t="n"/>
    </row>
    <row r="375" ht="15" customHeight="1">
      <c r="A375" s="68">
        <f>IF(C375="","",IFERROR(IF(SUMPRODUCT(MAX((tbl_Finance[Job Number]=C375&amp;"")*(tbl_Finance[Xero Invoice No]&lt;&gt;"")*tbl_Finance[Date]))=0,"",SUMPRODUCT(MAX((tbl_Finance[Job Number]=C375&amp;"")*(tbl_Finance[Xero Invoice No]&lt;&gt;"")*tbl_Finance[Date]))),""))</f>
        <v/>
      </c>
      <c r="B375" s="25">
        <f>IF(C375="","",IF(COUNTIFS(tbl_Finance[Job Number],C375&amp;"",tbl_Finance[Xero Invoice No],"&lt;&gt;")=0,"",IFERROR(IF(COUNTIFS(tbl_Finance[Job Number],C375&amp;"",tbl_Finance[Xero Invoice No],LOOKUP(2,1/((tbl_Finance[Job Number]=C375&amp;"")*(tbl_Finance[Xero Invoice No]&lt;&gt;"")),tbl_Finance[Xero Invoice No]))=COUNTIFS(tbl_Finance[Job Number],C375&amp;"",tbl_Finance[Xero Invoice No],"&lt;&gt;"),LOOKUP(2,1/((tbl_Finance[Job Number]=C375&amp;"")*(tbl_Finance[Xero Invoice No]&lt;&gt;"")),tbl_Finance[Xero Invoice No]),LOOKUP(2,1/((tbl_Finance[Job Number]=C375&amp;"")*(tbl_Finance[Xero Invoice No]&lt;&gt;"")),tbl_Finance[Xero Invoice No])&amp;" +more"),"")))</f>
        <v/>
      </c>
      <c r="C375" s="24" t="n"/>
      <c r="D375" s="25">
        <f>IF(C375="","",IF(COUNTIF(lst_Jobs,C375&amp;"")&gt;0,"OK","CHECK"))</f>
        <v/>
      </c>
      <c r="E375" s="25">
        <f>IF(C375="","",IFERROR(INDEX(lst_JobName,MATCH(C375&amp;"",lst_Jobs,0)),""))</f>
        <v/>
      </c>
      <c r="F375" s="25">
        <f>IF(C375="","",IFERROR(INDEX(tbl_Finance[Client],MATCH(C375&amp;"",tbl_Finance[Job Number],0)),""))</f>
        <v/>
      </c>
      <c r="G375" s="28">
        <f>IF(C375="","",COUNTIFS(tbl_Finance[Job Number],C375&amp;"",tbl_Finance[Ex GST],"&lt;&gt;"))</f>
        <v/>
      </c>
      <c r="H375" s="27">
        <f>IF(C375="","",SUMIFS(tbl_Finance[Ex GST],tbl_Finance[Job Number],C375&amp;""))</f>
        <v/>
      </c>
      <c r="I375" s="27">
        <f>IF(C375="","",SUMIFS(tbl_Finance[Ex GST],tbl_Finance[Job Number],C375&amp;"",tbl_Finance[Xero Invoice No],"&lt;&gt;"))</f>
        <v/>
      </c>
      <c r="J375" s="27">
        <f>IF(C375="","",H375-I375)</f>
        <v/>
      </c>
      <c r="K375" s="25">
        <f>IF(C375="","",IF(G375=0,"not invoiced yet",SUBSTITUTE(TRIM(IF(COUNTIFS(tbl_Finance[Job Number],C375&amp;"",tbl_Finance[Cost Centre],"ONSITE")&gt;0,"ONSITE ","")&amp;IF(COUNTIFS(tbl_Finance[Job Number],C375&amp;"",tbl_Finance[Cost Centre],"PRODUCTION")&gt;0,"PRODUCTION ","")&amp;IF(COUNTIFS(tbl_Finance[Job Number],C375&amp;"",tbl_Finance[Cost Centre],"VIDEO")&gt;0,"VIDEO ","")&amp;IF(COUNTIFS(tbl_Finance[Job Number],C375&amp;"",tbl_Finance[Cost Centre],"INTEGRATION")&gt;0,"INTEGRATION ","")&amp;IF(COUNTIFS(tbl_Finance[Job Number],C375&amp;"",tbl_Finance[Cost Centre],"CONSULTING")&gt;0,"CONSULTING ","")&amp;IF(COUNTIFS(tbl_Finance[Job Number],C375&amp;"",tbl_Finance[Cost Centre],"CTS")&gt;0,"CTS ",""))," ",", ")))</f>
        <v/>
      </c>
      <c r="L375" s="27">
        <f>IF(C375="","",SUMIFS(tbl_Finance[Inc GST],tbl_Finance[Job Number],C375&amp;""))</f>
        <v/>
      </c>
      <c r="M375" s="24" t="n"/>
      <c r="N375" s="25">
        <f>IF(C375="","",IFERROR(INDEX(tbl_Finance[Description],MATCH(C375&amp;"",tbl_Finance[Job Number],0)),""))</f>
        <v/>
      </c>
      <c r="O375" s="24" t="n"/>
      <c r="P375" s="24" t="n"/>
      <c r="Q375" s="22" t="n"/>
      <c r="R375" s="24" t="n"/>
      <c r="S375" s="25">
        <f>IF(R375="","",IF(AND(LEFT(R375,4)&lt;&gt;"http",set_RMSBase=""),"",HYPERLINK(IF(LEFT(R375,4)="http",R375,set_RMSBase&amp;R375),"Open opportunity")))</f>
        <v/>
      </c>
      <c r="T375" s="24" t="n"/>
      <c r="U375" s="25">
        <f>IF(T375="","",HYPERLINK(IF(LEFT(T375,4)="http",T375,set_QwilrBase&amp;T375),"Open quote"))</f>
        <v/>
      </c>
      <c r="V375" s="25">
        <f>IF(C375="","",C375)</f>
        <v/>
      </c>
      <c r="W375" s="24" t="n"/>
      <c r="X375" s="26" t="n"/>
      <c r="Y375" s="27">
        <f>IF(C375="","",H375+N(X375))</f>
        <v/>
      </c>
      <c r="Z375" s="29">
        <f>IFERROR(X375/Y375,"")</f>
        <v/>
      </c>
      <c r="AA375" s="26" t="n"/>
      <c r="AB375" s="26" t="n"/>
      <c r="AC375" s="26" t="n"/>
      <c r="AD375" s="26" t="n"/>
      <c r="AE375" s="27">
        <f>IF(C375="","",SUMIFS(tbl_Finance[Ex GST],tbl_Finance[Job Number],C375&amp;"",tbl_Finance[Cost Centre],"VIDEO"))</f>
        <v/>
      </c>
      <c r="AF375" s="29">
        <f>IFERROR(AE375/H375,"")</f>
        <v/>
      </c>
      <c r="AG375" s="27">
        <f>IF(C375="","",N(AA375)+N(AB375)+N(AC375)+N(AD375))</f>
        <v/>
      </c>
      <c r="AH375" s="27">
        <f>IF(C375="","",H375-AG375)</f>
        <v/>
      </c>
      <c r="AI375" s="29">
        <f>IFERROR(AH375/H375,"")</f>
        <v/>
      </c>
      <c r="AJ375" s="69" t="n"/>
      <c r="AK375" s="69" t="n"/>
      <c r="AL375" s="69" t="n"/>
      <c r="AM375" s="69" t="n"/>
      <c r="AN375" s="69" t="n"/>
      <c r="AO375" s="24" t="n"/>
    </row>
    <row r="376" ht="15" customHeight="1">
      <c r="A376" s="68">
        <f>IF(C376="","",IFERROR(IF(SUMPRODUCT(MAX((tbl_Finance[Job Number]=C376&amp;"")*(tbl_Finance[Xero Invoice No]&lt;&gt;"")*tbl_Finance[Date]))=0,"",SUMPRODUCT(MAX((tbl_Finance[Job Number]=C376&amp;"")*(tbl_Finance[Xero Invoice No]&lt;&gt;"")*tbl_Finance[Date]))),""))</f>
        <v/>
      </c>
      <c r="B376" s="25">
        <f>IF(C376="","",IF(COUNTIFS(tbl_Finance[Job Number],C376&amp;"",tbl_Finance[Xero Invoice No],"&lt;&gt;")=0,"",IFERROR(IF(COUNTIFS(tbl_Finance[Job Number],C376&amp;"",tbl_Finance[Xero Invoice No],LOOKUP(2,1/((tbl_Finance[Job Number]=C376&amp;"")*(tbl_Finance[Xero Invoice No]&lt;&gt;"")),tbl_Finance[Xero Invoice No]))=COUNTIFS(tbl_Finance[Job Number],C376&amp;"",tbl_Finance[Xero Invoice No],"&lt;&gt;"),LOOKUP(2,1/((tbl_Finance[Job Number]=C376&amp;"")*(tbl_Finance[Xero Invoice No]&lt;&gt;"")),tbl_Finance[Xero Invoice No]),LOOKUP(2,1/((tbl_Finance[Job Number]=C376&amp;"")*(tbl_Finance[Xero Invoice No]&lt;&gt;"")),tbl_Finance[Xero Invoice No])&amp;" +more"),"")))</f>
        <v/>
      </c>
      <c r="C376" s="24" t="n"/>
      <c r="D376" s="25">
        <f>IF(C376="","",IF(COUNTIF(lst_Jobs,C376&amp;"")&gt;0,"OK","CHECK"))</f>
        <v/>
      </c>
      <c r="E376" s="25">
        <f>IF(C376="","",IFERROR(INDEX(lst_JobName,MATCH(C376&amp;"",lst_Jobs,0)),""))</f>
        <v/>
      </c>
      <c r="F376" s="25">
        <f>IF(C376="","",IFERROR(INDEX(tbl_Finance[Client],MATCH(C376&amp;"",tbl_Finance[Job Number],0)),""))</f>
        <v/>
      </c>
      <c r="G376" s="28">
        <f>IF(C376="","",COUNTIFS(tbl_Finance[Job Number],C376&amp;"",tbl_Finance[Ex GST],"&lt;&gt;"))</f>
        <v/>
      </c>
      <c r="H376" s="27">
        <f>IF(C376="","",SUMIFS(tbl_Finance[Ex GST],tbl_Finance[Job Number],C376&amp;""))</f>
        <v/>
      </c>
      <c r="I376" s="27">
        <f>IF(C376="","",SUMIFS(tbl_Finance[Ex GST],tbl_Finance[Job Number],C376&amp;"",tbl_Finance[Xero Invoice No],"&lt;&gt;"))</f>
        <v/>
      </c>
      <c r="J376" s="27">
        <f>IF(C376="","",H376-I376)</f>
        <v/>
      </c>
      <c r="K376" s="25">
        <f>IF(C376="","",IF(G376=0,"not invoiced yet",SUBSTITUTE(TRIM(IF(COUNTIFS(tbl_Finance[Job Number],C376&amp;"",tbl_Finance[Cost Centre],"ONSITE")&gt;0,"ONSITE ","")&amp;IF(COUNTIFS(tbl_Finance[Job Number],C376&amp;"",tbl_Finance[Cost Centre],"PRODUCTION")&gt;0,"PRODUCTION ","")&amp;IF(COUNTIFS(tbl_Finance[Job Number],C376&amp;"",tbl_Finance[Cost Centre],"VIDEO")&gt;0,"VIDEO ","")&amp;IF(COUNTIFS(tbl_Finance[Job Number],C376&amp;"",tbl_Finance[Cost Centre],"INTEGRATION")&gt;0,"INTEGRATION ","")&amp;IF(COUNTIFS(tbl_Finance[Job Number],C376&amp;"",tbl_Finance[Cost Centre],"CONSULTING")&gt;0,"CONSULTING ","")&amp;IF(COUNTIFS(tbl_Finance[Job Number],C376&amp;"",tbl_Finance[Cost Centre],"CTS")&gt;0,"CTS ",""))," ",", ")))</f>
        <v/>
      </c>
      <c r="L376" s="27">
        <f>IF(C376="","",SUMIFS(tbl_Finance[Inc GST],tbl_Finance[Job Number],C376&amp;""))</f>
        <v/>
      </c>
      <c r="M376" s="24" t="n"/>
      <c r="N376" s="25">
        <f>IF(C376="","",IFERROR(INDEX(tbl_Finance[Description],MATCH(C376&amp;"",tbl_Finance[Job Number],0)),""))</f>
        <v/>
      </c>
      <c r="O376" s="24" t="n"/>
      <c r="P376" s="24" t="n"/>
      <c r="Q376" s="22" t="n"/>
      <c r="R376" s="24" t="n"/>
      <c r="S376" s="25">
        <f>IF(R376="","",IF(AND(LEFT(R376,4)&lt;&gt;"http",set_RMSBase=""),"",HYPERLINK(IF(LEFT(R376,4)="http",R376,set_RMSBase&amp;R376),"Open opportunity")))</f>
        <v/>
      </c>
      <c r="T376" s="24" t="n"/>
      <c r="U376" s="25">
        <f>IF(T376="","",HYPERLINK(IF(LEFT(T376,4)="http",T376,set_QwilrBase&amp;T376),"Open quote"))</f>
        <v/>
      </c>
      <c r="V376" s="25">
        <f>IF(C376="","",C376)</f>
        <v/>
      </c>
      <c r="W376" s="24" t="n"/>
      <c r="X376" s="26" t="n"/>
      <c r="Y376" s="27">
        <f>IF(C376="","",H376+N(X376))</f>
        <v/>
      </c>
      <c r="Z376" s="29">
        <f>IFERROR(X376/Y376,"")</f>
        <v/>
      </c>
      <c r="AA376" s="26" t="n"/>
      <c r="AB376" s="26" t="n"/>
      <c r="AC376" s="26" t="n"/>
      <c r="AD376" s="26" t="n"/>
      <c r="AE376" s="27">
        <f>IF(C376="","",SUMIFS(tbl_Finance[Ex GST],tbl_Finance[Job Number],C376&amp;"",tbl_Finance[Cost Centre],"VIDEO"))</f>
        <v/>
      </c>
      <c r="AF376" s="29">
        <f>IFERROR(AE376/H376,"")</f>
        <v/>
      </c>
      <c r="AG376" s="27">
        <f>IF(C376="","",N(AA376)+N(AB376)+N(AC376)+N(AD376))</f>
        <v/>
      </c>
      <c r="AH376" s="27">
        <f>IF(C376="","",H376-AG376)</f>
        <v/>
      </c>
      <c r="AI376" s="29">
        <f>IFERROR(AH376/H376,"")</f>
        <v/>
      </c>
      <c r="AJ376" s="69" t="n"/>
      <c r="AK376" s="69" t="n"/>
      <c r="AL376" s="69" t="n"/>
      <c r="AM376" s="69" t="n"/>
      <c r="AN376" s="69" t="n"/>
      <c r="AO376" s="24" t="n"/>
    </row>
    <row r="377" ht="15" customHeight="1">
      <c r="A377" s="68">
        <f>IF(C377="","",IFERROR(IF(SUMPRODUCT(MAX((tbl_Finance[Job Number]=C377&amp;"")*(tbl_Finance[Xero Invoice No]&lt;&gt;"")*tbl_Finance[Date]))=0,"",SUMPRODUCT(MAX((tbl_Finance[Job Number]=C377&amp;"")*(tbl_Finance[Xero Invoice No]&lt;&gt;"")*tbl_Finance[Date]))),""))</f>
        <v/>
      </c>
      <c r="B377" s="25">
        <f>IF(C377="","",IF(COUNTIFS(tbl_Finance[Job Number],C377&amp;"",tbl_Finance[Xero Invoice No],"&lt;&gt;")=0,"",IFERROR(IF(COUNTIFS(tbl_Finance[Job Number],C377&amp;"",tbl_Finance[Xero Invoice No],LOOKUP(2,1/((tbl_Finance[Job Number]=C377&amp;"")*(tbl_Finance[Xero Invoice No]&lt;&gt;"")),tbl_Finance[Xero Invoice No]))=COUNTIFS(tbl_Finance[Job Number],C377&amp;"",tbl_Finance[Xero Invoice No],"&lt;&gt;"),LOOKUP(2,1/((tbl_Finance[Job Number]=C377&amp;"")*(tbl_Finance[Xero Invoice No]&lt;&gt;"")),tbl_Finance[Xero Invoice No]),LOOKUP(2,1/((tbl_Finance[Job Number]=C377&amp;"")*(tbl_Finance[Xero Invoice No]&lt;&gt;"")),tbl_Finance[Xero Invoice No])&amp;" +more"),"")))</f>
        <v/>
      </c>
      <c r="C377" s="24" t="n"/>
      <c r="D377" s="25">
        <f>IF(C377="","",IF(COUNTIF(lst_Jobs,C377&amp;"")&gt;0,"OK","CHECK"))</f>
        <v/>
      </c>
      <c r="E377" s="25">
        <f>IF(C377="","",IFERROR(INDEX(lst_JobName,MATCH(C377&amp;"",lst_Jobs,0)),""))</f>
        <v/>
      </c>
      <c r="F377" s="25">
        <f>IF(C377="","",IFERROR(INDEX(tbl_Finance[Client],MATCH(C377&amp;"",tbl_Finance[Job Number],0)),""))</f>
        <v/>
      </c>
      <c r="G377" s="28">
        <f>IF(C377="","",COUNTIFS(tbl_Finance[Job Number],C377&amp;"",tbl_Finance[Ex GST],"&lt;&gt;"))</f>
        <v/>
      </c>
      <c r="H377" s="27">
        <f>IF(C377="","",SUMIFS(tbl_Finance[Ex GST],tbl_Finance[Job Number],C377&amp;""))</f>
        <v/>
      </c>
      <c r="I377" s="27">
        <f>IF(C377="","",SUMIFS(tbl_Finance[Ex GST],tbl_Finance[Job Number],C377&amp;"",tbl_Finance[Xero Invoice No],"&lt;&gt;"))</f>
        <v/>
      </c>
      <c r="J377" s="27">
        <f>IF(C377="","",H377-I377)</f>
        <v/>
      </c>
      <c r="K377" s="25">
        <f>IF(C377="","",IF(G377=0,"not invoiced yet",SUBSTITUTE(TRIM(IF(COUNTIFS(tbl_Finance[Job Number],C377&amp;"",tbl_Finance[Cost Centre],"ONSITE")&gt;0,"ONSITE ","")&amp;IF(COUNTIFS(tbl_Finance[Job Number],C377&amp;"",tbl_Finance[Cost Centre],"PRODUCTION")&gt;0,"PRODUCTION ","")&amp;IF(COUNTIFS(tbl_Finance[Job Number],C377&amp;"",tbl_Finance[Cost Centre],"VIDEO")&gt;0,"VIDEO ","")&amp;IF(COUNTIFS(tbl_Finance[Job Number],C377&amp;"",tbl_Finance[Cost Centre],"INTEGRATION")&gt;0,"INTEGRATION ","")&amp;IF(COUNTIFS(tbl_Finance[Job Number],C377&amp;"",tbl_Finance[Cost Centre],"CONSULTING")&gt;0,"CONSULTING ","")&amp;IF(COUNTIFS(tbl_Finance[Job Number],C377&amp;"",tbl_Finance[Cost Centre],"CTS")&gt;0,"CTS ",""))," ",", ")))</f>
        <v/>
      </c>
      <c r="L377" s="27">
        <f>IF(C377="","",SUMIFS(tbl_Finance[Inc GST],tbl_Finance[Job Number],C377&amp;""))</f>
        <v/>
      </c>
      <c r="M377" s="24" t="n"/>
      <c r="N377" s="25">
        <f>IF(C377="","",IFERROR(INDEX(tbl_Finance[Description],MATCH(C377&amp;"",tbl_Finance[Job Number],0)),""))</f>
        <v/>
      </c>
      <c r="O377" s="24" t="n"/>
      <c r="P377" s="24" t="n"/>
      <c r="Q377" s="22" t="n"/>
      <c r="R377" s="24" t="n"/>
      <c r="S377" s="25">
        <f>IF(R377="","",IF(AND(LEFT(R377,4)&lt;&gt;"http",set_RMSBase=""),"",HYPERLINK(IF(LEFT(R377,4)="http",R377,set_RMSBase&amp;R377),"Open opportunity")))</f>
        <v/>
      </c>
      <c r="T377" s="24" t="n"/>
      <c r="U377" s="25">
        <f>IF(T377="","",HYPERLINK(IF(LEFT(T377,4)="http",T377,set_QwilrBase&amp;T377),"Open quote"))</f>
        <v/>
      </c>
      <c r="V377" s="25">
        <f>IF(C377="","",C377)</f>
        <v/>
      </c>
      <c r="W377" s="24" t="n"/>
      <c r="X377" s="26" t="n"/>
      <c r="Y377" s="27">
        <f>IF(C377="","",H377+N(X377))</f>
        <v/>
      </c>
      <c r="Z377" s="29">
        <f>IFERROR(X377/Y377,"")</f>
        <v/>
      </c>
      <c r="AA377" s="26" t="n"/>
      <c r="AB377" s="26" t="n"/>
      <c r="AC377" s="26" t="n"/>
      <c r="AD377" s="26" t="n"/>
      <c r="AE377" s="27">
        <f>IF(C377="","",SUMIFS(tbl_Finance[Ex GST],tbl_Finance[Job Number],C377&amp;"",tbl_Finance[Cost Centre],"VIDEO"))</f>
        <v/>
      </c>
      <c r="AF377" s="29">
        <f>IFERROR(AE377/H377,"")</f>
        <v/>
      </c>
      <c r="AG377" s="27">
        <f>IF(C377="","",N(AA377)+N(AB377)+N(AC377)+N(AD377))</f>
        <v/>
      </c>
      <c r="AH377" s="27">
        <f>IF(C377="","",H377-AG377)</f>
        <v/>
      </c>
      <c r="AI377" s="29">
        <f>IFERROR(AH377/H377,"")</f>
        <v/>
      </c>
      <c r="AJ377" s="69" t="n"/>
      <c r="AK377" s="69" t="n"/>
      <c r="AL377" s="69" t="n"/>
      <c r="AM377" s="69" t="n"/>
      <c r="AN377" s="69" t="n"/>
      <c r="AO377" s="24" t="n"/>
    </row>
    <row r="378" ht="15" customHeight="1">
      <c r="A378" s="68">
        <f>IF(C378="","",IFERROR(IF(SUMPRODUCT(MAX((tbl_Finance[Job Number]=C378&amp;"")*(tbl_Finance[Xero Invoice No]&lt;&gt;"")*tbl_Finance[Date]))=0,"",SUMPRODUCT(MAX((tbl_Finance[Job Number]=C378&amp;"")*(tbl_Finance[Xero Invoice No]&lt;&gt;"")*tbl_Finance[Date]))),""))</f>
        <v/>
      </c>
      <c r="B378" s="25">
        <f>IF(C378="","",IF(COUNTIFS(tbl_Finance[Job Number],C378&amp;"",tbl_Finance[Xero Invoice No],"&lt;&gt;")=0,"",IFERROR(IF(COUNTIFS(tbl_Finance[Job Number],C378&amp;"",tbl_Finance[Xero Invoice No],LOOKUP(2,1/((tbl_Finance[Job Number]=C378&amp;"")*(tbl_Finance[Xero Invoice No]&lt;&gt;"")),tbl_Finance[Xero Invoice No]))=COUNTIFS(tbl_Finance[Job Number],C378&amp;"",tbl_Finance[Xero Invoice No],"&lt;&gt;"),LOOKUP(2,1/((tbl_Finance[Job Number]=C378&amp;"")*(tbl_Finance[Xero Invoice No]&lt;&gt;"")),tbl_Finance[Xero Invoice No]),LOOKUP(2,1/((tbl_Finance[Job Number]=C378&amp;"")*(tbl_Finance[Xero Invoice No]&lt;&gt;"")),tbl_Finance[Xero Invoice No])&amp;" +more"),"")))</f>
        <v/>
      </c>
      <c r="C378" s="24" t="n"/>
      <c r="D378" s="25">
        <f>IF(C378="","",IF(COUNTIF(lst_Jobs,C378&amp;"")&gt;0,"OK","CHECK"))</f>
        <v/>
      </c>
      <c r="E378" s="25">
        <f>IF(C378="","",IFERROR(INDEX(lst_JobName,MATCH(C378&amp;"",lst_Jobs,0)),""))</f>
        <v/>
      </c>
      <c r="F378" s="25">
        <f>IF(C378="","",IFERROR(INDEX(tbl_Finance[Client],MATCH(C378&amp;"",tbl_Finance[Job Number],0)),""))</f>
        <v/>
      </c>
      <c r="G378" s="28">
        <f>IF(C378="","",COUNTIFS(tbl_Finance[Job Number],C378&amp;"",tbl_Finance[Ex GST],"&lt;&gt;"))</f>
        <v/>
      </c>
      <c r="H378" s="27">
        <f>IF(C378="","",SUMIFS(tbl_Finance[Ex GST],tbl_Finance[Job Number],C378&amp;""))</f>
        <v/>
      </c>
      <c r="I378" s="27">
        <f>IF(C378="","",SUMIFS(tbl_Finance[Ex GST],tbl_Finance[Job Number],C378&amp;"",tbl_Finance[Xero Invoice No],"&lt;&gt;"))</f>
        <v/>
      </c>
      <c r="J378" s="27">
        <f>IF(C378="","",H378-I378)</f>
        <v/>
      </c>
      <c r="K378" s="25">
        <f>IF(C378="","",IF(G378=0,"not invoiced yet",SUBSTITUTE(TRIM(IF(COUNTIFS(tbl_Finance[Job Number],C378&amp;"",tbl_Finance[Cost Centre],"ONSITE")&gt;0,"ONSITE ","")&amp;IF(COUNTIFS(tbl_Finance[Job Number],C378&amp;"",tbl_Finance[Cost Centre],"PRODUCTION")&gt;0,"PRODUCTION ","")&amp;IF(COUNTIFS(tbl_Finance[Job Number],C378&amp;"",tbl_Finance[Cost Centre],"VIDEO")&gt;0,"VIDEO ","")&amp;IF(COUNTIFS(tbl_Finance[Job Number],C378&amp;"",tbl_Finance[Cost Centre],"INTEGRATION")&gt;0,"INTEGRATION ","")&amp;IF(COUNTIFS(tbl_Finance[Job Number],C378&amp;"",tbl_Finance[Cost Centre],"CONSULTING")&gt;0,"CONSULTING ","")&amp;IF(COUNTIFS(tbl_Finance[Job Number],C378&amp;"",tbl_Finance[Cost Centre],"CTS")&gt;0,"CTS ",""))," ",", ")))</f>
        <v/>
      </c>
      <c r="L378" s="27">
        <f>IF(C378="","",SUMIFS(tbl_Finance[Inc GST],tbl_Finance[Job Number],C378&amp;""))</f>
        <v/>
      </c>
      <c r="M378" s="24" t="n"/>
      <c r="N378" s="25">
        <f>IF(C378="","",IFERROR(INDEX(tbl_Finance[Description],MATCH(C378&amp;"",tbl_Finance[Job Number],0)),""))</f>
        <v/>
      </c>
      <c r="O378" s="24" t="n"/>
      <c r="P378" s="24" t="n"/>
      <c r="Q378" s="22" t="n"/>
      <c r="R378" s="24" t="n"/>
      <c r="S378" s="25">
        <f>IF(R378="","",IF(AND(LEFT(R378,4)&lt;&gt;"http",set_RMSBase=""),"",HYPERLINK(IF(LEFT(R378,4)="http",R378,set_RMSBase&amp;R378),"Open opportunity")))</f>
        <v/>
      </c>
      <c r="T378" s="24" t="n"/>
      <c r="U378" s="25">
        <f>IF(T378="","",HYPERLINK(IF(LEFT(T378,4)="http",T378,set_QwilrBase&amp;T378),"Open quote"))</f>
        <v/>
      </c>
      <c r="V378" s="25">
        <f>IF(C378="","",C378)</f>
        <v/>
      </c>
      <c r="W378" s="24" t="n"/>
      <c r="X378" s="26" t="n"/>
      <c r="Y378" s="27">
        <f>IF(C378="","",H378+N(X378))</f>
        <v/>
      </c>
      <c r="Z378" s="29">
        <f>IFERROR(X378/Y378,"")</f>
        <v/>
      </c>
      <c r="AA378" s="26" t="n"/>
      <c r="AB378" s="26" t="n"/>
      <c r="AC378" s="26" t="n"/>
      <c r="AD378" s="26" t="n"/>
      <c r="AE378" s="27">
        <f>IF(C378="","",SUMIFS(tbl_Finance[Ex GST],tbl_Finance[Job Number],C378&amp;"",tbl_Finance[Cost Centre],"VIDEO"))</f>
        <v/>
      </c>
      <c r="AF378" s="29">
        <f>IFERROR(AE378/H378,"")</f>
        <v/>
      </c>
      <c r="AG378" s="27">
        <f>IF(C378="","",N(AA378)+N(AB378)+N(AC378)+N(AD378))</f>
        <v/>
      </c>
      <c r="AH378" s="27">
        <f>IF(C378="","",H378-AG378)</f>
        <v/>
      </c>
      <c r="AI378" s="29">
        <f>IFERROR(AH378/H378,"")</f>
        <v/>
      </c>
      <c r="AJ378" s="69" t="n"/>
      <c r="AK378" s="69" t="n"/>
      <c r="AL378" s="69" t="n"/>
      <c r="AM378" s="69" t="n"/>
      <c r="AN378" s="69" t="n"/>
      <c r="AO378" s="24" t="n"/>
    </row>
    <row r="379" ht="15" customHeight="1">
      <c r="A379" s="68">
        <f>IF(C379="","",IFERROR(IF(SUMPRODUCT(MAX((tbl_Finance[Job Number]=C379&amp;"")*(tbl_Finance[Xero Invoice No]&lt;&gt;"")*tbl_Finance[Date]))=0,"",SUMPRODUCT(MAX((tbl_Finance[Job Number]=C379&amp;"")*(tbl_Finance[Xero Invoice No]&lt;&gt;"")*tbl_Finance[Date]))),""))</f>
        <v/>
      </c>
      <c r="B379" s="25">
        <f>IF(C379="","",IF(COUNTIFS(tbl_Finance[Job Number],C379&amp;"",tbl_Finance[Xero Invoice No],"&lt;&gt;")=0,"",IFERROR(IF(COUNTIFS(tbl_Finance[Job Number],C379&amp;"",tbl_Finance[Xero Invoice No],LOOKUP(2,1/((tbl_Finance[Job Number]=C379&amp;"")*(tbl_Finance[Xero Invoice No]&lt;&gt;"")),tbl_Finance[Xero Invoice No]))=COUNTIFS(tbl_Finance[Job Number],C379&amp;"",tbl_Finance[Xero Invoice No],"&lt;&gt;"),LOOKUP(2,1/((tbl_Finance[Job Number]=C379&amp;"")*(tbl_Finance[Xero Invoice No]&lt;&gt;"")),tbl_Finance[Xero Invoice No]),LOOKUP(2,1/((tbl_Finance[Job Number]=C379&amp;"")*(tbl_Finance[Xero Invoice No]&lt;&gt;"")),tbl_Finance[Xero Invoice No])&amp;" +more"),"")))</f>
        <v/>
      </c>
      <c r="C379" s="24" t="n"/>
      <c r="D379" s="25">
        <f>IF(C379="","",IF(COUNTIF(lst_Jobs,C379&amp;"")&gt;0,"OK","CHECK"))</f>
        <v/>
      </c>
      <c r="E379" s="25">
        <f>IF(C379="","",IFERROR(INDEX(lst_JobName,MATCH(C379&amp;"",lst_Jobs,0)),""))</f>
        <v/>
      </c>
      <c r="F379" s="25">
        <f>IF(C379="","",IFERROR(INDEX(tbl_Finance[Client],MATCH(C379&amp;"",tbl_Finance[Job Number],0)),""))</f>
        <v/>
      </c>
      <c r="G379" s="28">
        <f>IF(C379="","",COUNTIFS(tbl_Finance[Job Number],C379&amp;"",tbl_Finance[Ex GST],"&lt;&gt;"))</f>
        <v/>
      </c>
      <c r="H379" s="27">
        <f>IF(C379="","",SUMIFS(tbl_Finance[Ex GST],tbl_Finance[Job Number],C379&amp;""))</f>
        <v/>
      </c>
      <c r="I379" s="27">
        <f>IF(C379="","",SUMIFS(tbl_Finance[Ex GST],tbl_Finance[Job Number],C379&amp;"",tbl_Finance[Xero Invoice No],"&lt;&gt;"))</f>
        <v/>
      </c>
      <c r="J379" s="27">
        <f>IF(C379="","",H379-I379)</f>
        <v/>
      </c>
      <c r="K379" s="25">
        <f>IF(C379="","",IF(G379=0,"not invoiced yet",SUBSTITUTE(TRIM(IF(COUNTIFS(tbl_Finance[Job Number],C379&amp;"",tbl_Finance[Cost Centre],"ONSITE")&gt;0,"ONSITE ","")&amp;IF(COUNTIFS(tbl_Finance[Job Number],C379&amp;"",tbl_Finance[Cost Centre],"PRODUCTION")&gt;0,"PRODUCTION ","")&amp;IF(COUNTIFS(tbl_Finance[Job Number],C379&amp;"",tbl_Finance[Cost Centre],"VIDEO")&gt;0,"VIDEO ","")&amp;IF(COUNTIFS(tbl_Finance[Job Number],C379&amp;"",tbl_Finance[Cost Centre],"INTEGRATION")&gt;0,"INTEGRATION ","")&amp;IF(COUNTIFS(tbl_Finance[Job Number],C379&amp;"",tbl_Finance[Cost Centre],"CONSULTING")&gt;0,"CONSULTING ","")&amp;IF(COUNTIFS(tbl_Finance[Job Number],C379&amp;"",tbl_Finance[Cost Centre],"CTS")&gt;0,"CTS ",""))," ",", ")))</f>
        <v/>
      </c>
      <c r="L379" s="27">
        <f>IF(C379="","",SUMIFS(tbl_Finance[Inc GST],tbl_Finance[Job Number],C379&amp;""))</f>
        <v/>
      </c>
      <c r="M379" s="24" t="n"/>
      <c r="N379" s="25">
        <f>IF(C379="","",IFERROR(INDEX(tbl_Finance[Description],MATCH(C379&amp;"",tbl_Finance[Job Number],0)),""))</f>
        <v/>
      </c>
      <c r="O379" s="24" t="n"/>
      <c r="P379" s="24" t="n"/>
      <c r="Q379" s="22" t="n"/>
      <c r="R379" s="24" t="n"/>
      <c r="S379" s="25">
        <f>IF(R379="","",IF(AND(LEFT(R379,4)&lt;&gt;"http",set_RMSBase=""),"",HYPERLINK(IF(LEFT(R379,4)="http",R379,set_RMSBase&amp;R379),"Open opportunity")))</f>
        <v/>
      </c>
      <c r="T379" s="24" t="n"/>
      <c r="U379" s="25">
        <f>IF(T379="","",HYPERLINK(IF(LEFT(T379,4)="http",T379,set_QwilrBase&amp;T379),"Open quote"))</f>
        <v/>
      </c>
      <c r="V379" s="25">
        <f>IF(C379="","",C379)</f>
        <v/>
      </c>
      <c r="W379" s="24" t="n"/>
      <c r="X379" s="26" t="n"/>
      <c r="Y379" s="27">
        <f>IF(C379="","",H379+N(X379))</f>
        <v/>
      </c>
      <c r="Z379" s="29">
        <f>IFERROR(X379/Y379,"")</f>
        <v/>
      </c>
      <c r="AA379" s="26" t="n"/>
      <c r="AB379" s="26" t="n"/>
      <c r="AC379" s="26" t="n"/>
      <c r="AD379" s="26" t="n"/>
      <c r="AE379" s="27">
        <f>IF(C379="","",SUMIFS(tbl_Finance[Ex GST],tbl_Finance[Job Number],C379&amp;"",tbl_Finance[Cost Centre],"VIDEO"))</f>
        <v/>
      </c>
      <c r="AF379" s="29">
        <f>IFERROR(AE379/H379,"")</f>
        <v/>
      </c>
      <c r="AG379" s="27">
        <f>IF(C379="","",N(AA379)+N(AB379)+N(AC379)+N(AD379))</f>
        <v/>
      </c>
      <c r="AH379" s="27">
        <f>IF(C379="","",H379-AG379)</f>
        <v/>
      </c>
      <c r="AI379" s="29">
        <f>IFERROR(AH379/H379,"")</f>
        <v/>
      </c>
      <c r="AJ379" s="69" t="n"/>
      <c r="AK379" s="69" t="n"/>
      <c r="AL379" s="69" t="n"/>
      <c r="AM379" s="69" t="n"/>
      <c r="AN379" s="69" t="n"/>
      <c r="AO379" s="24" t="n"/>
    </row>
    <row r="380" ht="15" customHeight="1">
      <c r="A380" s="68">
        <f>IF(C380="","",IFERROR(IF(SUMPRODUCT(MAX((tbl_Finance[Job Number]=C380&amp;"")*(tbl_Finance[Xero Invoice No]&lt;&gt;"")*tbl_Finance[Date]))=0,"",SUMPRODUCT(MAX((tbl_Finance[Job Number]=C380&amp;"")*(tbl_Finance[Xero Invoice No]&lt;&gt;"")*tbl_Finance[Date]))),""))</f>
        <v/>
      </c>
      <c r="B380" s="25">
        <f>IF(C380="","",IF(COUNTIFS(tbl_Finance[Job Number],C380&amp;"",tbl_Finance[Xero Invoice No],"&lt;&gt;")=0,"",IFERROR(IF(COUNTIFS(tbl_Finance[Job Number],C380&amp;"",tbl_Finance[Xero Invoice No],LOOKUP(2,1/((tbl_Finance[Job Number]=C380&amp;"")*(tbl_Finance[Xero Invoice No]&lt;&gt;"")),tbl_Finance[Xero Invoice No]))=COUNTIFS(tbl_Finance[Job Number],C380&amp;"",tbl_Finance[Xero Invoice No],"&lt;&gt;"),LOOKUP(2,1/((tbl_Finance[Job Number]=C380&amp;"")*(tbl_Finance[Xero Invoice No]&lt;&gt;"")),tbl_Finance[Xero Invoice No]),LOOKUP(2,1/((tbl_Finance[Job Number]=C380&amp;"")*(tbl_Finance[Xero Invoice No]&lt;&gt;"")),tbl_Finance[Xero Invoice No])&amp;" +more"),"")))</f>
        <v/>
      </c>
      <c r="C380" s="24" t="n"/>
      <c r="D380" s="25">
        <f>IF(C380="","",IF(COUNTIF(lst_Jobs,C380&amp;"")&gt;0,"OK","CHECK"))</f>
        <v/>
      </c>
      <c r="E380" s="25">
        <f>IF(C380="","",IFERROR(INDEX(lst_JobName,MATCH(C380&amp;"",lst_Jobs,0)),""))</f>
        <v/>
      </c>
      <c r="F380" s="25">
        <f>IF(C380="","",IFERROR(INDEX(tbl_Finance[Client],MATCH(C380&amp;"",tbl_Finance[Job Number],0)),""))</f>
        <v/>
      </c>
      <c r="G380" s="28">
        <f>IF(C380="","",COUNTIFS(tbl_Finance[Job Number],C380&amp;"",tbl_Finance[Ex GST],"&lt;&gt;"))</f>
        <v/>
      </c>
      <c r="H380" s="27">
        <f>IF(C380="","",SUMIFS(tbl_Finance[Ex GST],tbl_Finance[Job Number],C380&amp;""))</f>
        <v/>
      </c>
      <c r="I380" s="27">
        <f>IF(C380="","",SUMIFS(tbl_Finance[Ex GST],tbl_Finance[Job Number],C380&amp;"",tbl_Finance[Xero Invoice No],"&lt;&gt;"))</f>
        <v/>
      </c>
      <c r="J380" s="27">
        <f>IF(C380="","",H380-I380)</f>
        <v/>
      </c>
      <c r="K380" s="25">
        <f>IF(C380="","",IF(G380=0,"not invoiced yet",SUBSTITUTE(TRIM(IF(COUNTIFS(tbl_Finance[Job Number],C380&amp;"",tbl_Finance[Cost Centre],"ONSITE")&gt;0,"ONSITE ","")&amp;IF(COUNTIFS(tbl_Finance[Job Number],C380&amp;"",tbl_Finance[Cost Centre],"PRODUCTION")&gt;0,"PRODUCTION ","")&amp;IF(COUNTIFS(tbl_Finance[Job Number],C380&amp;"",tbl_Finance[Cost Centre],"VIDEO")&gt;0,"VIDEO ","")&amp;IF(COUNTIFS(tbl_Finance[Job Number],C380&amp;"",tbl_Finance[Cost Centre],"INTEGRATION")&gt;0,"INTEGRATION ","")&amp;IF(COUNTIFS(tbl_Finance[Job Number],C380&amp;"",tbl_Finance[Cost Centre],"CONSULTING")&gt;0,"CONSULTING ","")&amp;IF(COUNTIFS(tbl_Finance[Job Number],C380&amp;"",tbl_Finance[Cost Centre],"CTS")&gt;0,"CTS ",""))," ",", ")))</f>
        <v/>
      </c>
      <c r="L380" s="27">
        <f>IF(C380="","",SUMIFS(tbl_Finance[Inc GST],tbl_Finance[Job Number],C380&amp;""))</f>
        <v/>
      </c>
      <c r="M380" s="24" t="n"/>
      <c r="N380" s="25">
        <f>IF(C380="","",IFERROR(INDEX(tbl_Finance[Description],MATCH(C380&amp;"",tbl_Finance[Job Number],0)),""))</f>
        <v/>
      </c>
      <c r="O380" s="24" t="n"/>
      <c r="P380" s="24" t="n"/>
      <c r="Q380" s="22" t="n"/>
      <c r="R380" s="24" t="n"/>
      <c r="S380" s="25">
        <f>IF(R380="","",IF(AND(LEFT(R380,4)&lt;&gt;"http",set_RMSBase=""),"",HYPERLINK(IF(LEFT(R380,4)="http",R380,set_RMSBase&amp;R380),"Open opportunity")))</f>
        <v/>
      </c>
      <c r="T380" s="24" t="n"/>
      <c r="U380" s="25">
        <f>IF(T380="","",HYPERLINK(IF(LEFT(T380,4)="http",T380,set_QwilrBase&amp;T380),"Open quote"))</f>
        <v/>
      </c>
      <c r="V380" s="25">
        <f>IF(C380="","",C380)</f>
        <v/>
      </c>
      <c r="W380" s="24" t="n"/>
      <c r="X380" s="26" t="n"/>
      <c r="Y380" s="27">
        <f>IF(C380="","",H380+N(X380))</f>
        <v/>
      </c>
      <c r="Z380" s="29">
        <f>IFERROR(X380/Y380,"")</f>
        <v/>
      </c>
      <c r="AA380" s="26" t="n"/>
      <c r="AB380" s="26" t="n"/>
      <c r="AC380" s="26" t="n"/>
      <c r="AD380" s="26" t="n"/>
      <c r="AE380" s="27">
        <f>IF(C380="","",SUMIFS(tbl_Finance[Ex GST],tbl_Finance[Job Number],C380&amp;"",tbl_Finance[Cost Centre],"VIDEO"))</f>
        <v/>
      </c>
      <c r="AF380" s="29">
        <f>IFERROR(AE380/H380,"")</f>
        <v/>
      </c>
      <c r="AG380" s="27">
        <f>IF(C380="","",N(AA380)+N(AB380)+N(AC380)+N(AD380))</f>
        <v/>
      </c>
      <c r="AH380" s="27">
        <f>IF(C380="","",H380-AG380)</f>
        <v/>
      </c>
      <c r="AI380" s="29">
        <f>IFERROR(AH380/H380,"")</f>
        <v/>
      </c>
      <c r="AJ380" s="69" t="n"/>
      <c r="AK380" s="69" t="n"/>
      <c r="AL380" s="69" t="n"/>
      <c r="AM380" s="69" t="n"/>
      <c r="AN380" s="69" t="n"/>
      <c r="AO380" s="24" t="n"/>
    </row>
    <row r="381" ht="15" customHeight="1">
      <c r="A381" s="68">
        <f>IF(C381="","",IFERROR(IF(SUMPRODUCT(MAX((tbl_Finance[Job Number]=C381&amp;"")*(tbl_Finance[Xero Invoice No]&lt;&gt;"")*tbl_Finance[Date]))=0,"",SUMPRODUCT(MAX((tbl_Finance[Job Number]=C381&amp;"")*(tbl_Finance[Xero Invoice No]&lt;&gt;"")*tbl_Finance[Date]))),""))</f>
        <v/>
      </c>
      <c r="B381" s="25">
        <f>IF(C381="","",IF(COUNTIFS(tbl_Finance[Job Number],C381&amp;"",tbl_Finance[Xero Invoice No],"&lt;&gt;")=0,"",IFERROR(IF(COUNTIFS(tbl_Finance[Job Number],C381&amp;"",tbl_Finance[Xero Invoice No],LOOKUP(2,1/((tbl_Finance[Job Number]=C381&amp;"")*(tbl_Finance[Xero Invoice No]&lt;&gt;"")),tbl_Finance[Xero Invoice No]))=COUNTIFS(tbl_Finance[Job Number],C381&amp;"",tbl_Finance[Xero Invoice No],"&lt;&gt;"),LOOKUP(2,1/((tbl_Finance[Job Number]=C381&amp;"")*(tbl_Finance[Xero Invoice No]&lt;&gt;"")),tbl_Finance[Xero Invoice No]),LOOKUP(2,1/((tbl_Finance[Job Number]=C381&amp;"")*(tbl_Finance[Xero Invoice No]&lt;&gt;"")),tbl_Finance[Xero Invoice No])&amp;" +more"),"")))</f>
        <v/>
      </c>
      <c r="C381" s="24" t="n"/>
      <c r="D381" s="25">
        <f>IF(C381="","",IF(COUNTIF(lst_Jobs,C381&amp;"")&gt;0,"OK","CHECK"))</f>
        <v/>
      </c>
      <c r="E381" s="25">
        <f>IF(C381="","",IFERROR(INDEX(lst_JobName,MATCH(C381&amp;"",lst_Jobs,0)),""))</f>
        <v/>
      </c>
      <c r="F381" s="25">
        <f>IF(C381="","",IFERROR(INDEX(tbl_Finance[Client],MATCH(C381&amp;"",tbl_Finance[Job Number],0)),""))</f>
        <v/>
      </c>
      <c r="G381" s="28">
        <f>IF(C381="","",COUNTIFS(tbl_Finance[Job Number],C381&amp;"",tbl_Finance[Ex GST],"&lt;&gt;"))</f>
        <v/>
      </c>
      <c r="H381" s="27">
        <f>IF(C381="","",SUMIFS(tbl_Finance[Ex GST],tbl_Finance[Job Number],C381&amp;""))</f>
        <v/>
      </c>
      <c r="I381" s="27">
        <f>IF(C381="","",SUMIFS(tbl_Finance[Ex GST],tbl_Finance[Job Number],C381&amp;"",tbl_Finance[Xero Invoice No],"&lt;&gt;"))</f>
        <v/>
      </c>
      <c r="J381" s="27">
        <f>IF(C381="","",H381-I381)</f>
        <v/>
      </c>
      <c r="K381" s="25">
        <f>IF(C381="","",IF(G381=0,"not invoiced yet",SUBSTITUTE(TRIM(IF(COUNTIFS(tbl_Finance[Job Number],C381&amp;"",tbl_Finance[Cost Centre],"ONSITE")&gt;0,"ONSITE ","")&amp;IF(COUNTIFS(tbl_Finance[Job Number],C381&amp;"",tbl_Finance[Cost Centre],"PRODUCTION")&gt;0,"PRODUCTION ","")&amp;IF(COUNTIFS(tbl_Finance[Job Number],C381&amp;"",tbl_Finance[Cost Centre],"VIDEO")&gt;0,"VIDEO ","")&amp;IF(COUNTIFS(tbl_Finance[Job Number],C381&amp;"",tbl_Finance[Cost Centre],"INTEGRATION")&gt;0,"INTEGRATION ","")&amp;IF(COUNTIFS(tbl_Finance[Job Number],C381&amp;"",tbl_Finance[Cost Centre],"CONSULTING")&gt;0,"CONSULTING ","")&amp;IF(COUNTIFS(tbl_Finance[Job Number],C381&amp;"",tbl_Finance[Cost Centre],"CTS")&gt;0,"CTS ",""))," ",", ")))</f>
        <v/>
      </c>
      <c r="L381" s="27">
        <f>IF(C381="","",SUMIFS(tbl_Finance[Inc GST],tbl_Finance[Job Number],C381&amp;""))</f>
        <v/>
      </c>
      <c r="M381" s="24" t="n"/>
      <c r="N381" s="25">
        <f>IF(C381="","",IFERROR(INDEX(tbl_Finance[Description],MATCH(C381&amp;"",tbl_Finance[Job Number],0)),""))</f>
        <v/>
      </c>
      <c r="O381" s="24" t="n"/>
      <c r="P381" s="24" t="n"/>
      <c r="Q381" s="22" t="n"/>
      <c r="R381" s="24" t="n"/>
      <c r="S381" s="25">
        <f>IF(R381="","",IF(AND(LEFT(R381,4)&lt;&gt;"http",set_RMSBase=""),"",HYPERLINK(IF(LEFT(R381,4)="http",R381,set_RMSBase&amp;R381),"Open opportunity")))</f>
        <v/>
      </c>
      <c r="T381" s="24" t="n"/>
      <c r="U381" s="25">
        <f>IF(T381="","",HYPERLINK(IF(LEFT(T381,4)="http",T381,set_QwilrBase&amp;T381),"Open quote"))</f>
        <v/>
      </c>
      <c r="V381" s="25">
        <f>IF(C381="","",C381)</f>
        <v/>
      </c>
      <c r="W381" s="24" t="n"/>
      <c r="X381" s="26" t="n"/>
      <c r="Y381" s="27">
        <f>IF(C381="","",H381+N(X381))</f>
        <v/>
      </c>
      <c r="Z381" s="29">
        <f>IFERROR(X381/Y381,"")</f>
        <v/>
      </c>
      <c r="AA381" s="26" t="n"/>
      <c r="AB381" s="26" t="n"/>
      <c r="AC381" s="26" t="n"/>
      <c r="AD381" s="26" t="n"/>
      <c r="AE381" s="27">
        <f>IF(C381="","",SUMIFS(tbl_Finance[Ex GST],tbl_Finance[Job Number],C381&amp;"",tbl_Finance[Cost Centre],"VIDEO"))</f>
        <v/>
      </c>
      <c r="AF381" s="29">
        <f>IFERROR(AE381/H381,"")</f>
        <v/>
      </c>
      <c r="AG381" s="27">
        <f>IF(C381="","",N(AA381)+N(AB381)+N(AC381)+N(AD381))</f>
        <v/>
      </c>
      <c r="AH381" s="27">
        <f>IF(C381="","",H381-AG381)</f>
        <v/>
      </c>
      <c r="AI381" s="29">
        <f>IFERROR(AH381/H381,"")</f>
        <v/>
      </c>
      <c r="AJ381" s="69" t="n"/>
      <c r="AK381" s="69" t="n"/>
      <c r="AL381" s="69" t="n"/>
      <c r="AM381" s="69" t="n"/>
      <c r="AN381" s="69" t="n"/>
      <c r="AO381" s="24" t="n"/>
    </row>
    <row r="382" ht="15" customHeight="1">
      <c r="A382" s="68">
        <f>IF(C382="","",IFERROR(IF(SUMPRODUCT(MAX((tbl_Finance[Job Number]=C382&amp;"")*(tbl_Finance[Xero Invoice No]&lt;&gt;"")*tbl_Finance[Date]))=0,"",SUMPRODUCT(MAX((tbl_Finance[Job Number]=C382&amp;"")*(tbl_Finance[Xero Invoice No]&lt;&gt;"")*tbl_Finance[Date]))),""))</f>
        <v/>
      </c>
      <c r="B382" s="25">
        <f>IF(C382="","",IF(COUNTIFS(tbl_Finance[Job Number],C382&amp;"",tbl_Finance[Xero Invoice No],"&lt;&gt;")=0,"",IFERROR(IF(COUNTIFS(tbl_Finance[Job Number],C382&amp;"",tbl_Finance[Xero Invoice No],LOOKUP(2,1/((tbl_Finance[Job Number]=C382&amp;"")*(tbl_Finance[Xero Invoice No]&lt;&gt;"")),tbl_Finance[Xero Invoice No]))=COUNTIFS(tbl_Finance[Job Number],C382&amp;"",tbl_Finance[Xero Invoice No],"&lt;&gt;"),LOOKUP(2,1/((tbl_Finance[Job Number]=C382&amp;"")*(tbl_Finance[Xero Invoice No]&lt;&gt;"")),tbl_Finance[Xero Invoice No]),LOOKUP(2,1/((tbl_Finance[Job Number]=C382&amp;"")*(tbl_Finance[Xero Invoice No]&lt;&gt;"")),tbl_Finance[Xero Invoice No])&amp;" +more"),"")))</f>
        <v/>
      </c>
      <c r="C382" s="24" t="n"/>
      <c r="D382" s="25">
        <f>IF(C382="","",IF(COUNTIF(lst_Jobs,C382&amp;"")&gt;0,"OK","CHECK"))</f>
        <v/>
      </c>
      <c r="E382" s="25">
        <f>IF(C382="","",IFERROR(INDEX(lst_JobName,MATCH(C382&amp;"",lst_Jobs,0)),""))</f>
        <v/>
      </c>
      <c r="F382" s="25">
        <f>IF(C382="","",IFERROR(INDEX(tbl_Finance[Client],MATCH(C382&amp;"",tbl_Finance[Job Number],0)),""))</f>
        <v/>
      </c>
      <c r="G382" s="28">
        <f>IF(C382="","",COUNTIFS(tbl_Finance[Job Number],C382&amp;"",tbl_Finance[Ex GST],"&lt;&gt;"))</f>
        <v/>
      </c>
      <c r="H382" s="27">
        <f>IF(C382="","",SUMIFS(tbl_Finance[Ex GST],tbl_Finance[Job Number],C382&amp;""))</f>
        <v/>
      </c>
      <c r="I382" s="27">
        <f>IF(C382="","",SUMIFS(tbl_Finance[Ex GST],tbl_Finance[Job Number],C382&amp;"",tbl_Finance[Xero Invoice No],"&lt;&gt;"))</f>
        <v/>
      </c>
      <c r="J382" s="27">
        <f>IF(C382="","",H382-I382)</f>
        <v/>
      </c>
      <c r="K382" s="25">
        <f>IF(C382="","",IF(G382=0,"not invoiced yet",SUBSTITUTE(TRIM(IF(COUNTIFS(tbl_Finance[Job Number],C382&amp;"",tbl_Finance[Cost Centre],"ONSITE")&gt;0,"ONSITE ","")&amp;IF(COUNTIFS(tbl_Finance[Job Number],C382&amp;"",tbl_Finance[Cost Centre],"PRODUCTION")&gt;0,"PRODUCTION ","")&amp;IF(COUNTIFS(tbl_Finance[Job Number],C382&amp;"",tbl_Finance[Cost Centre],"VIDEO")&gt;0,"VIDEO ","")&amp;IF(COUNTIFS(tbl_Finance[Job Number],C382&amp;"",tbl_Finance[Cost Centre],"INTEGRATION")&gt;0,"INTEGRATION ","")&amp;IF(COUNTIFS(tbl_Finance[Job Number],C382&amp;"",tbl_Finance[Cost Centre],"CONSULTING")&gt;0,"CONSULTING ","")&amp;IF(COUNTIFS(tbl_Finance[Job Number],C382&amp;"",tbl_Finance[Cost Centre],"CTS")&gt;0,"CTS ",""))," ",", ")))</f>
        <v/>
      </c>
      <c r="L382" s="27">
        <f>IF(C382="","",SUMIFS(tbl_Finance[Inc GST],tbl_Finance[Job Number],C382&amp;""))</f>
        <v/>
      </c>
      <c r="M382" s="24" t="n"/>
      <c r="N382" s="25">
        <f>IF(C382="","",IFERROR(INDEX(tbl_Finance[Description],MATCH(C382&amp;"",tbl_Finance[Job Number],0)),""))</f>
        <v/>
      </c>
      <c r="O382" s="24" t="n"/>
      <c r="P382" s="24" t="n"/>
      <c r="Q382" s="22" t="n"/>
      <c r="R382" s="24" t="n"/>
      <c r="S382" s="25">
        <f>IF(R382="","",IF(AND(LEFT(R382,4)&lt;&gt;"http",set_RMSBase=""),"",HYPERLINK(IF(LEFT(R382,4)="http",R382,set_RMSBase&amp;R382),"Open opportunity")))</f>
        <v/>
      </c>
      <c r="T382" s="24" t="n"/>
      <c r="U382" s="25">
        <f>IF(T382="","",HYPERLINK(IF(LEFT(T382,4)="http",T382,set_QwilrBase&amp;T382),"Open quote"))</f>
        <v/>
      </c>
      <c r="V382" s="25">
        <f>IF(C382="","",C382)</f>
        <v/>
      </c>
      <c r="W382" s="24" t="n"/>
      <c r="X382" s="26" t="n"/>
      <c r="Y382" s="27">
        <f>IF(C382="","",H382+N(X382))</f>
        <v/>
      </c>
      <c r="Z382" s="29">
        <f>IFERROR(X382/Y382,"")</f>
        <v/>
      </c>
      <c r="AA382" s="26" t="n"/>
      <c r="AB382" s="26" t="n"/>
      <c r="AC382" s="26" t="n"/>
      <c r="AD382" s="26" t="n"/>
      <c r="AE382" s="27">
        <f>IF(C382="","",SUMIFS(tbl_Finance[Ex GST],tbl_Finance[Job Number],C382&amp;"",tbl_Finance[Cost Centre],"VIDEO"))</f>
        <v/>
      </c>
      <c r="AF382" s="29">
        <f>IFERROR(AE382/H382,"")</f>
        <v/>
      </c>
      <c r="AG382" s="27">
        <f>IF(C382="","",N(AA382)+N(AB382)+N(AC382)+N(AD382))</f>
        <v/>
      </c>
      <c r="AH382" s="27">
        <f>IF(C382="","",H382-AG382)</f>
        <v/>
      </c>
      <c r="AI382" s="29">
        <f>IFERROR(AH382/H382,"")</f>
        <v/>
      </c>
      <c r="AJ382" s="69" t="n"/>
      <c r="AK382" s="69" t="n"/>
      <c r="AL382" s="69" t="n"/>
      <c r="AM382" s="69" t="n"/>
      <c r="AN382" s="69" t="n"/>
      <c r="AO382" s="24" t="n"/>
    </row>
    <row r="383" ht="15" customHeight="1">
      <c r="A383" s="68">
        <f>IF(C383="","",IFERROR(IF(SUMPRODUCT(MAX((tbl_Finance[Job Number]=C383&amp;"")*(tbl_Finance[Xero Invoice No]&lt;&gt;"")*tbl_Finance[Date]))=0,"",SUMPRODUCT(MAX((tbl_Finance[Job Number]=C383&amp;"")*(tbl_Finance[Xero Invoice No]&lt;&gt;"")*tbl_Finance[Date]))),""))</f>
        <v/>
      </c>
      <c r="B383" s="25">
        <f>IF(C383="","",IF(COUNTIFS(tbl_Finance[Job Number],C383&amp;"",tbl_Finance[Xero Invoice No],"&lt;&gt;")=0,"",IFERROR(IF(COUNTIFS(tbl_Finance[Job Number],C383&amp;"",tbl_Finance[Xero Invoice No],LOOKUP(2,1/((tbl_Finance[Job Number]=C383&amp;"")*(tbl_Finance[Xero Invoice No]&lt;&gt;"")),tbl_Finance[Xero Invoice No]))=COUNTIFS(tbl_Finance[Job Number],C383&amp;"",tbl_Finance[Xero Invoice No],"&lt;&gt;"),LOOKUP(2,1/((tbl_Finance[Job Number]=C383&amp;"")*(tbl_Finance[Xero Invoice No]&lt;&gt;"")),tbl_Finance[Xero Invoice No]),LOOKUP(2,1/((tbl_Finance[Job Number]=C383&amp;"")*(tbl_Finance[Xero Invoice No]&lt;&gt;"")),tbl_Finance[Xero Invoice No])&amp;" +more"),"")))</f>
        <v/>
      </c>
      <c r="C383" s="24" t="n"/>
      <c r="D383" s="25">
        <f>IF(C383="","",IF(COUNTIF(lst_Jobs,C383&amp;"")&gt;0,"OK","CHECK"))</f>
        <v/>
      </c>
      <c r="E383" s="25">
        <f>IF(C383="","",IFERROR(INDEX(lst_JobName,MATCH(C383&amp;"",lst_Jobs,0)),""))</f>
        <v/>
      </c>
      <c r="F383" s="25">
        <f>IF(C383="","",IFERROR(INDEX(tbl_Finance[Client],MATCH(C383&amp;"",tbl_Finance[Job Number],0)),""))</f>
        <v/>
      </c>
      <c r="G383" s="28">
        <f>IF(C383="","",COUNTIFS(tbl_Finance[Job Number],C383&amp;"",tbl_Finance[Ex GST],"&lt;&gt;"))</f>
        <v/>
      </c>
      <c r="H383" s="27">
        <f>IF(C383="","",SUMIFS(tbl_Finance[Ex GST],tbl_Finance[Job Number],C383&amp;""))</f>
        <v/>
      </c>
      <c r="I383" s="27">
        <f>IF(C383="","",SUMIFS(tbl_Finance[Ex GST],tbl_Finance[Job Number],C383&amp;"",tbl_Finance[Xero Invoice No],"&lt;&gt;"))</f>
        <v/>
      </c>
      <c r="J383" s="27">
        <f>IF(C383="","",H383-I383)</f>
        <v/>
      </c>
      <c r="K383" s="25">
        <f>IF(C383="","",IF(G383=0,"not invoiced yet",SUBSTITUTE(TRIM(IF(COUNTIFS(tbl_Finance[Job Number],C383&amp;"",tbl_Finance[Cost Centre],"ONSITE")&gt;0,"ONSITE ","")&amp;IF(COUNTIFS(tbl_Finance[Job Number],C383&amp;"",tbl_Finance[Cost Centre],"PRODUCTION")&gt;0,"PRODUCTION ","")&amp;IF(COUNTIFS(tbl_Finance[Job Number],C383&amp;"",tbl_Finance[Cost Centre],"VIDEO")&gt;0,"VIDEO ","")&amp;IF(COUNTIFS(tbl_Finance[Job Number],C383&amp;"",tbl_Finance[Cost Centre],"INTEGRATION")&gt;0,"INTEGRATION ","")&amp;IF(COUNTIFS(tbl_Finance[Job Number],C383&amp;"",tbl_Finance[Cost Centre],"CONSULTING")&gt;0,"CONSULTING ","")&amp;IF(COUNTIFS(tbl_Finance[Job Number],C383&amp;"",tbl_Finance[Cost Centre],"CTS")&gt;0,"CTS ",""))," ",", ")))</f>
        <v/>
      </c>
      <c r="L383" s="27">
        <f>IF(C383="","",SUMIFS(tbl_Finance[Inc GST],tbl_Finance[Job Number],C383&amp;""))</f>
        <v/>
      </c>
      <c r="M383" s="24" t="n"/>
      <c r="N383" s="25">
        <f>IF(C383="","",IFERROR(INDEX(tbl_Finance[Description],MATCH(C383&amp;"",tbl_Finance[Job Number],0)),""))</f>
        <v/>
      </c>
      <c r="O383" s="24" t="n"/>
      <c r="P383" s="24" t="n"/>
      <c r="Q383" s="22" t="n"/>
      <c r="R383" s="24" t="n"/>
      <c r="S383" s="25">
        <f>IF(R383="","",IF(AND(LEFT(R383,4)&lt;&gt;"http",set_RMSBase=""),"",HYPERLINK(IF(LEFT(R383,4)="http",R383,set_RMSBase&amp;R383),"Open opportunity")))</f>
        <v/>
      </c>
      <c r="T383" s="24" t="n"/>
      <c r="U383" s="25">
        <f>IF(T383="","",HYPERLINK(IF(LEFT(T383,4)="http",T383,set_QwilrBase&amp;T383),"Open quote"))</f>
        <v/>
      </c>
      <c r="V383" s="25">
        <f>IF(C383="","",C383)</f>
        <v/>
      </c>
      <c r="W383" s="24" t="n"/>
      <c r="X383" s="26" t="n"/>
      <c r="Y383" s="27">
        <f>IF(C383="","",H383+N(X383))</f>
        <v/>
      </c>
      <c r="Z383" s="29">
        <f>IFERROR(X383/Y383,"")</f>
        <v/>
      </c>
      <c r="AA383" s="26" t="n"/>
      <c r="AB383" s="26" t="n"/>
      <c r="AC383" s="26" t="n"/>
      <c r="AD383" s="26" t="n"/>
      <c r="AE383" s="27">
        <f>IF(C383="","",SUMIFS(tbl_Finance[Ex GST],tbl_Finance[Job Number],C383&amp;"",tbl_Finance[Cost Centre],"VIDEO"))</f>
        <v/>
      </c>
      <c r="AF383" s="29">
        <f>IFERROR(AE383/H383,"")</f>
        <v/>
      </c>
      <c r="AG383" s="27">
        <f>IF(C383="","",N(AA383)+N(AB383)+N(AC383)+N(AD383))</f>
        <v/>
      </c>
      <c r="AH383" s="27">
        <f>IF(C383="","",H383-AG383)</f>
        <v/>
      </c>
      <c r="AI383" s="29">
        <f>IFERROR(AH383/H383,"")</f>
        <v/>
      </c>
      <c r="AJ383" s="69" t="n"/>
      <c r="AK383" s="69" t="n"/>
      <c r="AL383" s="69" t="n"/>
      <c r="AM383" s="69" t="n"/>
      <c r="AN383" s="69" t="n"/>
      <c r="AO383" s="24" t="n"/>
    </row>
    <row r="384" ht="15" customHeight="1">
      <c r="A384" s="68">
        <f>IF(C384="","",IFERROR(IF(SUMPRODUCT(MAX((tbl_Finance[Job Number]=C384&amp;"")*(tbl_Finance[Xero Invoice No]&lt;&gt;"")*tbl_Finance[Date]))=0,"",SUMPRODUCT(MAX((tbl_Finance[Job Number]=C384&amp;"")*(tbl_Finance[Xero Invoice No]&lt;&gt;"")*tbl_Finance[Date]))),""))</f>
        <v/>
      </c>
      <c r="B384" s="25">
        <f>IF(C384="","",IF(COUNTIFS(tbl_Finance[Job Number],C384&amp;"",tbl_Finance[Xero Invoice No],"&lt;&gt;")=0,"",IFERROR(IF(COUNTIFS(tbl_Finance[Job Number],C384&amp;"",tbl_Finance[Xero Invoice No],LOOKUP(2,1/((tbl_Finance[Job Number]=C384&amp;"")*(tbl_Finance[Xero Invoice No]&lt;&gt;"")),tbl_Finance[Xero Invoice No]))=COUNTIFS(tbl_Finance[Job Number],C384&amp;"",tbl_Finance[Xero Invoice No],"&lt;&gt;"),LOOKUP(2,1/((tbl_Finance[Job Number]=C384&amp;"")*(tbl_Finance[Xero Invoice No]&lt;&gt;"")),tbl_Finance[Xero Invoice No]),LOOKUP(2,1/((tbl_Finance[Job Number]=C384&amp;"")*(tbl_Finance[Xero Invoice No]&lt;&gt;"")),tbl_Finance[Xero Invoice No])&amp;" +more"),"")))</f>
        <v/>
      </c>
      <c r="C384" s="24" t="n"/>
      <c r="D384" s="25">
        <f>IF(C384="","",IF(COUNTIF(lst_Jobs,C384&amp;"")&gt;0,"OK","CHECK"))</f>
        <v/>
      </c>
      <c r="E384" s="25">
        <f>IF(C384="","",IFERROR(INDEX(lst_JobName,MATCH(C384&amp;"",lst_Jobs,0)),""))</f>
        <v/>
      </c>
      <c r="F384" s="25">
        <f>IF(C384="","",IFERROR(INDEX(tbl_Finance[Client],MATCH(C384&amp;"",tbl_Finance[Job Number],0)),""))</f>
        <v/>
      </c>
      <c r="G384" s="28">
        <f>IF(C384="","",COUNTIFS(tbl_Finance[Job Number],C384&amp;"",tbl_Finance[Ex GST],"&lt;&gt;"))</f>
        <v/>
      </c>
      <c r="H384" s="27">
        <f>IF(C384="","",SUMIFS(tbl_Finance[Ex GST],tbl_Finance[Job Number],C384&amp;""))</f>
        <v/>
      </c>
      <c r="I384" s="27">
        <f>IF(C384="","",SUMIFS(tbl_Finance[Ex GST],tbl_Finance[Job Number],C384&amp;"",tbl_Finance[Xero Invoice No],"&lt;&gt;"))</f>
        <v/>
      </c>
      <c r="J384" s="27">
        <f>IF(C384="","",H384-I384)</f>
        <v/>
      </c>
      <c r="K384" s="25">
        <f>IF(C384="","",IF(G384=0,"not invoiced yet",SUBSTITUTE(TRIM(IF(COUNTIFS(tbl_Finance[Job Number],C384&amp;"",tbl_Finance[Cost Centre],"ONSITE")&gt;0,"ONSITE ","")&amp;IF(COUNTIFS(tbl_Finance[Job Number],C384&amp;"",tbl_Finance[Cost Centre],"PRODUCTION")&gt;0,"PRODUCTION ","")&amp;IF(COUNTIFS(tbl_Finance[Job Number],C384&amp;"",tbl_Finance[Cost Centre],"VIDEO")&gt;0,"VIDEO ","")&amp;IF(COUNTIFS(tbl_Finance[Job Number],C384&amp;"",tbl_Finance[Cost Centre],"INTEGRATION")&gt;0,"INTEGRATION ","")&amp;IF(COUNTIFS(tbl_Finance[Job Number],C384&amp;"",tbl_Finance[Cost Centre],"CONSULTING")&gt;0,"CONSULTING ","")&amp;IF(COUNTIFS(tbl_Finance[Job Number],C384&amp;"",tbl_Finance[Cost Centre],"CTS")&gt;0,"CTS ",""))," ",", ")))</f>
        <v/>
      </c>
      <c r="L384" s="27">
        <f>IF(C384="","",SUMIFS(tbl_Finance[Inc GST],tbl_Finance[Job Number],C384&amp;""))</f>
        <v/>
      </c>
      <c r="M384" s="24" t="n"/>
      <c r="N384" s="25">
        <f>IF(C384="","",IFERROR(INDEX(tbl_Finance[Description],MATCH(C384&amp;"",tbl_Finance[Job Number],0)),""))</f>
        <v/>
      </c>
      <c r="O384" s="24" t="n"/>
      <c r="P384" s="24" t="n"/>
      <c r="Q384" s="22" t="n"/>
      <c r="R384" s="24" t="n"/>
      <c r="S384" s="25">
        <f>IF(R384="","",IF(AND(LEFT(R384,4)&lt;&gt;"http",set_RMSBase=""),"",HYPERLINK(IF(LEFT(R384,4)="http",R384,set_RMSBase&amp;R384),"Open opportunity")))</f>
        <v/>
      </c>
      <c r="T384" s="24" t="n"/>
      <c r="U384" s="25">
        <f>IF(T384="","",HYPERLINK(IF(LEFT(T384,4)="http",T384,set_QwilrBase&amp;T384),"Open quote"))</f>
        <v/>
      </c>
      <c r="V384" s="25">
        <f>IF(C384="","",C384)</f>
        <v/>
      </c>
      <c r="W384" s="24" t="n"/>
      <c r="X384" s="26" t="n"/>
      <c r="Y384" s="27">
        <f>IF(C384="","",H384+N(X384))</f>
        <v/>
      </c>
      <c r="Z384" s="29">
        <f>IFERROR(X384/Y384,"")</f>
        <v/>
      </c>
      <c r="AA384" s="26" t="n"/>
      <c r="AB384" s="26" t="n"/>
      <c r="AC384" s="26" t="n"/>
      <c r="AD384" s="26" t="n"/>
      <c r="AE384" s="27">
        <f>IF(C384="","",SUMIFS(tbl_Finance[Ex GST],tbl_Finance[Job Number],C384&amp;"",tbl_Finance[Cost Centre],"VIDEO"))</f>
        <v/>
      </c>
      <c r="AF384" s="29">
        <f>IFERROR(AE384/H384,"")</f>
        <v/>
      </c>
      <c r="AG384" s="27">
        <f>IF(C384="","",N(AA384)+N(AB384)+N(AC384)+N(AD384))</f>
        <v/>
      </c>
      <c r="AH384" s="27">
        <f>IF(C384="","",H384-AG384)</f>
        <v/>
      </c>
      <c r="AI384" s="29">
        <f>IFERROR(AH384/H384,"")</f>
        <v/>
      </c>
      <c r="AJ384" s="69" t="n"/>
      <c r="AK384" s="69" t="n"/>
      <c r="AL384" s="69" t="n"/>
      <c r="AM384" s="69" t="n"/>
      <c r="AN384" s="69" t="n"/>
      <c r="AO384" s="24" t="n"/>
    </row>
    <row r="385" ht="15" customHeight="1">
      <c r="A385" s="68">
        <f>IF(C385="","",IFERROR(IF(SUMPRODUCT(MAX((tbl_Finance[Job Number]=C385&amp;"")*(tbl_Finance[Xero Invoice No]&lt;&gt;"")*tbl_Finance[Date]))=0,"",SUMPRODUCT(MAX((tbl_Finance[Job Number]=C385&amp;"")*(tbl_Finance[Xero Invoice No]&lt;&gt;"")*tbl_Finance[Date]))),""))</f>
        <v/>
      </c>
      <c r="B385" s="25">
        <f>IF(C385="","",IF(COUNTIFS(tbl_Finance[Job Number],C385&amp;"",tbl_Finance[Xero Invoice No],"&lt;&gt;")=0,"",IFERROR(IF(COUNTIFS(tbl_Finance[Job Number],C385&amp;"",tbl_Finance[Xero Invoice No],LOOKUP(2,1/((tbl_Finance[Job Number]=C385&amp;"")*(tbl_Finance[Xero Invoice No]&lt;&gt;"")),tbl_Finance[Xero Invoice No]))=COUNTIFS(tbl_Finance[Job Number],C385&amp;"",tbl_Finance[Xero Invoice No],"&lt;&gt;"),LOOKUP(2,1/((tbl_Finance[Job Number]=C385&amp;"")*(tbl_Finance[Xero Invoice No]&lt;&gt;"")),tbl_Finance[Xero Invoice No]),LOOKUP(2,1/((tbl_Finance[Job Number]=C385&amp;"")*(tbl_Finance[Xero Invoice No]&lt;&gt;"")),tbl_Finance[Xero Invoice No])&amp;" +more"),"")))</f>
        <v/>
      </c>
      <c r="C385" s="24" t="n"/>
      <c r="D385" s="25">
        <f>IF(C385="","",IF(COUNTIF(lst_Jobs,C385&amp;"")&gt;0,"OK","CHECK"))</f>
        <v/>
      </c>
      <c r="E385" s="25">
        <f>IF(C385="","",IFERROR(INDEX(lst_JobName,MATCH(C385&amp;"",lst_Jobs,0)),""))</f>
        <v/>
      </c>
      <c r="F385" s="25">
        <f>IF(C385="","",IFERROR(INDEX(tbl_Finance[Client],MATCH(C385&amp;"",tbl_Finance[Job Number],0)),""))</f>
        <v/>
      </c>
      <c r="G385" s="28">
        <f>IF(C385="","",COUNTIFS(tbl_Finance[Job Number],C385&amp;"",tbl_Finance[Ex GST],"&lt;&gt;"))</f>
        <v/>
      </c>
      <c r="H385" s="27">
        <f>IF(C385="","",SUMIFS(tbl_Finance[Ex GST],tbl_Finance[Job Number],C385&amp;""))</f>
        <v/>
      </c>
      <c r="I385" s="27">
        <f>IF(C385="","",SUMIFS(tbl_Finance[Ex GST],tbl_Finance[Job Number],C385&amp;"",tbl_Finance[Xero Invoice No],"&lt;&gt;"))</f>
        <v/>
      </c>
      <c r="J385" s="27">
        <f>IF(C385="","",H385-I385)</f>
        <v/>
      </c>
      <c r="K385" s="25">
        <f>IF(C385="","",IF(G385=0,"not invoiced yet",SUBSTITUTE(TRIM(IF(COUNTIFS(tbl_Finance[Job Number],C385&amp;"",tbl_Finance[Cost Centre],"ONSITE")&gt;0,"ONSITE ","")&amp;IF(COUNTIFS(tbl_Finance[Job Number],C385&amp;"",tbl_Finance[Cost Centre],"PRODUCTION")&gt;0,"PRODUCTION ","")&amp;IF(COUNTIFS(tbl_Finance[Job Number],C385&amp;"",tbl_Finance[Cost Centre],"VIDEO")&gt;0,"VIDEO ","")&amp;IF(COUNTIFS(tbl_Finance[Job Number],C385&amp;"",tbl_Finance[Cost Centre],"INTEGRATION")&gt;0,"INTEGRATION ","")&amp;IF(COUNTIFS(tbl_Finance[Job Number],C385&amp;"",tbl_Finance[Cost Centre],"CONSULTING")&gt;0,"CONSULTING ","")&amp;IF(COUNTIFS(tbl_Finance[Job Number],C385&amp;"",tbl_Finance[Cost Centre],"CTS")&gt;0,"CTS ",""))," ",", ")))</f>
        <v/>
      </c>
      <c r="L385" s="27">
        <f>IF(C385="","",SUMIFS(tbl_Finance[Inc GST],tbl_Finance[Job Number],C385&amp;""))</f>
        <v/>
      </c>
      <c r="M385" s="24" t="n"/>
      <c r="N385" s="25">
        <f>IF(C385="","",IFERROR(INDEX(tbl_Finance[Description],MATCH(C385&amp;"",tbl_Finance[Job Number],0)),""))</f>
        <v/>
      </c>
      <c r="O385" s="24" t="n"/>
      <c r="P385" s="24" t="n"/>
      <c r="Q385" s="22" t="n"/>
      <c r="R385" s="24" t="n"/>
      <c r="S385" s="25">
        <f>IF(R385="","",IF(AND(LEFT(R385,4)&lt;&gt;"http",set_RMSBase=""),"",HYPERLINK(IF(LEFT(R385,4)="http",R385,set_RMSBase&amp;R385),"Open opportunity")))</f>
        <v/>
      </c>
      <c r="T385" s="24" t="n"/>
      <c r="U385" s="25">
        <f>IF(T385="","",HYPERLINK(IF(LEFT(T385,4)="http",T385,set_QwilrBase&amp;T385),"Open quote"))</f>
        <v/>
      </c>
      <c r="V385" s="25">
        <f>IF(C385="","",C385)</f>
        <v/>
      </c>
      <c r="W385" s="24" t="n"/>
      <c r="X385" s="26" t="n"/>
      <c r="Y385" s="27">
        <f>IF(C385="","",H385+N(X385))</f>
        <v/>
      </c>
      <c r="Z385" s="29">
        <f>IFERROR(X385/Y385,"")</f>
        <v/>
      </c>
      <c r="AA385" s="26" t="n"/>
      <c r="AB385" s="26" t="n"/>
      <c r="AC385" s="26" t="n"/>
      <c r="AD385" s="26" t="n"/>
      <c r="AE385" s="27">
        <f>IF(C385="","",SUMIFS(tbl_Finance[Ex GST],tbl_Finance[Job Number],C385&amp;"",tbl_Finance[Cost Centre],"VIDEO"))</f>
        <v/>
      </c>
      <c r="AF385" s="29">
        <f>IFERROR(AE385/H385,"")</f>
        <v/>
      </c>
      <c r="AG385" s="27">
        <f>IF(C385="","",N(AA385)+N(AB385)+N(AC385)+N(AD385))</f>
        <v/>
      </c>
      <c r="AH385" s="27">
        <f>IF(C385="","",H385-AG385)</f>
        <v/>
      </c>
      <c r="AI385" s="29">
        <f>IFERROR(AH385/H385,"")</f>
        <v/>
      </c>
      <c r="AJ385" s="69" t="n"/>
      <c r="AK385" s="69" t="n"/>
      <c r="AL385" s="69" t="n"/>
      <c r="AM385" s="69" t="n"/>
      <c r="AN385" s="69" t="n"/>
      <c r="AO385" s="24" t="n"/>
    </row>
    <row r="386" ht="15" customHeight="1">
      <c r="A386" s="68">
        <f>IF(C386="","",IFERROR(IF(SUMPRODUCT(MAX((tbl_Finance[Job Number]=C386&amp;"")*(tbl_Finance[Xero Invoice No]&lt;&gt;"")*tbl_Finance[Date]))=0,"",SUMPRODUCT(MAX((tbl_Finance[Job Number]=C386&amp;"")*(tbl_Finance[Xero Invoice No]&lt;&gt;"")*tbl_Finance[Date]))),""))</f>
        <v/>
      </c>
      <c r="B386" s="25">
        <f>IF(C386="","",IF(COUNTIFS(tbl_Finance[Job Number],C386&amp;"",tbl_Finance[Xero Invoice No],"&lt;&gt;")=0,"",IFERROR(IF(COUNTIFS(tbl_Finance[Job Number],C386&amp;"",tbl_Finance[Xero Invoice No],LOOKUP(2,1/((tbl_Finance[Job Number]=C386&amp;"")*(tbl_Finance[Xero Invoice No]&lt;&gt;"")),tbl_Finance[Xero Invoice No]))=COUNTIFS(tbl_Finance[Job Number],C386&amp;"",tbl_Finance[Xero Invoice No],"&lt;&gt;"),LOOKUP(2,1/((tbl_Finance[Job Number]=C386&amp;"")*(tbl_Finance[Xero Invoice No]&lt;&gt;"")),tbl_Finance[Xero Invoice No]),LOOKUP(2,1/((tbl_Finance[Job Number]=C386&amp;"")*(tbl_Finance[Xero Invoice No]&lt;&gt;"")),tbl_Finance[Xero Invoice No])&amp;" +more"),"")))</f>
        <v/>
      </c>
      <c r="C386" s="24" t="n"/>
      <c r="D386" s="25">
        <f>IF(C386="","",IF(COUNTIF(lst_Jobs,C386&amp;"")&gt;0,"OK","CHECK"))</f>
        <v/>
      </c>
      <c r="E386" s="25">
        <f>IF(C386="","",IFERROR(INDEX(lst_JobName,MATCH(C386&amp;"",lst_Jobs,0)),""))</f>
        <v/>
      </c>
      <c r="F386" s="25">
        <f>IF(C386="","",IFERROR(INDEX(tbl_Finance[Client],MATCH(C386&amp;"",tbl_Finance[Job Number],0)),""))</f>
        <v/>
      </c>
      <c r="G386" s="28">
        <f>IF(C386="","",COUNTIFS(tbl_Finance[Job Number],C386&amp;"",tbl_Finance[Ex GST],"&lt;&gt;"))</f>
        <v/>
      </c>
      <c r="H386" s="27">
        <f>IF(C386="","",SUMIFS(tbl_Finance[Ex GST],tbl_Finance[Job Number],C386&amp;""))</f>
        <v/>
      </c>
      <c r="I386" s="27">
        <f>IF(C386="","",SUMIFS(tbl_Finance[Ex GST],tbl_Finance[Job Number],C386&amp;"",tbl_Finance[Xero Invoice No],"&lt;&gt;"))</f>
        <v/>
      </c>
      <c r="J386" s="27">
        <f>IF(C386="","",H386-I386)</f>
        <v/>
      </c>
      <c r="K386" s="25">
        <f>IF(C386="","",IF(G386=0,"not invoiced yet",SUBSTITUTE(TRIM(IF(COUNTIFS(tbl_Finance[Job Number],C386&amp;"",tbl_Finance[Cost Centre],"ONSITE")&gt;0,"ONSITE ","")&amp;IF(COUNTIFS(tbl_Finance[Job Number],C386&amp;"",tbl_Finance[Cost Centre],"PRODUCTION")&gt;0,"PRODUCTION ","")&amp;IF(COUNTIFS(tbl_Finance[Job Number],C386&amp;"",tbl_Finance[Cost Centre],"VIDEO")&gt;0,"VIDEO ","")&amp;IF(COUNTIFS(tbl_Finance[Job Number],C386&amp;"",tbl_Finance[Cost Centre],"INTEGRATION")&gt;0,"INTEGRATION ","")&amp;IF(COUNTIFS(tbl_Finance[Job Number],C386&amp;"",tbl_Finance[Cost Centre],"CONSULTING")&gt;0,"CONSULTING ","")&amp;IF(COUNTIFS(tbl_Finance[Job Number],C386&amp;"",tbl_Finance[Cost Centre],"CTS")&gt;0,"CTS ",""))," ",", ")))</f>
        <v/>
      </c>
      <c r="L386" s="27">
        <f>IF(C386="","",SUMIFS(tbl_Finance[Inc GST],tbl_Finance[Job Number],C386&amp;""))</f>
        <v/>
      </c>
      <c r="M386" s="24" t="n"/>
      <c r="N386" s="25">
        <f>IF(C386="","",IFERROR(INDEX(tbl_Finance[Description],MATCH(C386&amp;"",tbl_Finance[Job Number],0)),""))</f>
        <v/>
      </c>
      <c r="O386" s="24" t="n"/>
      <c r="P386" s="24" t="n"/>
      <c r="Q386" s="22" t="n"/>
      <c r="R386" s="24" t="n"/>
      <c r="S386" s="25">
        <f>IF(R386="","",IF(AND(LEFT(R386,4)&lt;&gt;"http",set_RMSBase=""),"",HYPERLINK(IF(LEFT(R386,4)="http",R386,set_RMSBase&amp;R386),"Open opportunity")))</f>
        <v/>
      </c>
      <c r="T386" s="24" t="n"/>
      <c r="U386" s="25">
        <f>IF(T386="","",HYPERLINK(IF(LEFT(T386,4)="http",T386,set_QwilrBase&amp;T386),"Open quote"))</f>
        <v/>
      </c>
      <c r="V386" s="25">
        <f>IF(C386="","",C386)</f>
        <v/>
      </c>
      <c r="W386" s="24" t="n"/>
      <c r="X386" s="26" t="n"/>
      <c r="Y386" s="27">
        <f>IF(C386="","",H386+N(X386))</f>
        <v/>
      </c>
      <c r="Z386" s="29">
        <f>IFERROR(X386/Y386,"")</f>
        <v/>
      </c>
      <c r="AA386" s="26" t="n"/>
      <c r="AB386" s="26" t="n"/>
      <c r="AC386" s="26" t="n"/>
      <c r="AD386" s="26" t="n"/>
      <c r="AE386" s="27">
        <f>IF(C386="","",SUMIFS(tbl_Finance[Ex GST],tbl_Finance[Job Number],C386&amp;"",tbl_Finance[Cost Centre],"VIDEO"))</f>
        <v/>
      </c>
      <c r="AF386" s="29">
        <f>IFERROR(AE386/H386,"")</f>
        <v/>
      </c>
      <c r="AG386" s="27">
        <f>IF(C386="","",N(AA386)+N(AB386)+N(AC386)+N(AD386))</f>
        <v/>
      </c>
      <c r="AH386" s="27">
        <f>IF(C386="","",H386-AG386)</f>
        <v/>
      </c>
      <c r="AI386" s="29">
        <f>IFERROR(AH386/H386,"")</f>
        <v/>
      </c>
      <c r="AJ386" s="69" t="n"/>
      <c r="AK386" s="69" t="n"/>
      <c r="AL386" s="69" t="n"/>
      <c r="AM386" s="69" t="n"/>
      <c r="AN386" s="69" t="n"/>
      <c r="AO386" s="24" t="n"/>
    </row>
    <row r="387" ht="15" customHeight="1">
      <c r="A387" s="68">
        <f>IF(C387="","",IFERROR(IF(SUMPRODUCT(MAX((tbl_Finance[Job Number]=C387&amp;"")*(tbl_Finance[Xero Invoice No]&lt;&gt;"")*tbl_Finance[Date]))=0,"",SUMPRODUCT(MAX((tbl_Finance[Job Number]=C387&amp;"")*(tbl_Finance[Xero Invoice No]&lt;&gt;"")*tbl_Finance[Date]))),""))</f>
        <v/>
      </c>
      <c r="B387" s="25">
        <f>IF(C387="","",IF(COUNTIFS(tbl_Finance[Job Number],C387&amp;"",tbl_Finance[Xero Invoice No],"&lt;&gt;")=0,"",IFERROR(IF(COUNTIFS(tbl_Finance[Job Number],C387&amp;"",tbl_Finance[Xero Invoice No],LOOKUP(2,1/((tbl_Finance[Job Number]=C387&amp;"")*(tbl_Finance[Xero Invoice No]&lt;&gt;"")),tbl_Finance[Xero Invoice No]))=COUNTIFS(tbl_Finance[Job Number],C387&amp;"",tbl_Finance[Xero Invoice No],"&lt;&gt;"),LOOKUP(2,1/((tbl_Finance[Job Number]=C387&amp;"")*(tbl_Finance[Xero Invoice No]&lt;&gt;"")),tbl_Finance[Xero Invoice No]),LOOKUP(2,1/((tbl_Finance[Job Number]=C387&amp;"")*(tbl_Finance[Xero Invoice No]&lt;&gt;"")),tbl_Finance[Xero Invoice No])&amp;" +more"),"")))</f>
        <v/>
      </c>
      <c r="C387" s="24" t="n"/>
      <c r="D387" s="25">
        <f>IF(C387="","",IF(COUNTIF(lst_Jobs,C387&amp;"")&gt;0,"OK","CHECK"))</f>
        <v/>
      </c>
      <c r="E387" s="25">
        <f>IF(C387="","",IFERROR(INDEX(lst_JobName,MATCH(C387&amp;"",lst_Jobs,0)),""))</f>
        <v/>
      </c>
      <c r="F387" s="25">
        <f>IF(C387="","",IFERROR(INDEX(tbl_Finance[Client],MATCH(C387&amp;"",tbl_Finance[Job Number],0)),""))</f>
        <v/>
      </c>
      <c r="G387" s="28">
        <f>IF(C387="","",COUNTIFS(tbl_Finance[Job Number],C387&amp;"",tbl_Finance[Ex GST],"&lt;&gt;"))</f>
        <v/>
      </c>
      <c r="H387" s="27">
        <f>IF(C387="","",SUMIFS(tbl_Finance[Ex GST],tbl_Finance[Job Number],C387&amp;""))</f>
        <v/>
      </c>
      <c r="I387" s="27">
        <f>IF(C387="","",SUMIFS(tbl_Finance[Ex GST],tbl_Finance[Job Number],C387&amp;"",tbl_Finance[Xero Invoice No],"&lt;&gt;"))</f>
        <v/>
      </c>
      <c r="J387" s="27">
        <f>IF(C387="","",H387-I387)</f>
        <v/>
      </c>
      <c r="K387" s="25">
        <f>IF(C387="","",IF(G387=0,"not invoiced yet",SUBSTITUTE(TRIM(IF(COUNTIFS(tbl_Finance[Job Number],C387&amp;"",tbl_Finance[Cost Centre],"ONSITE")&gt;0,"ONSITE ","")&amp;IF(COUNTIFS(tbl_Finance[Job Number],C387&amp;"",tbl_Finance[Cost Centre],"PRODUCTION")&gt;0,"PRODUCTION ","")&amp;IF(COUNTIFS(tbl_Finance[Job Number],C387&amp;"",tbl_Finance[Cost Centre],"VIDEO")&gt;0,"VIDEO ","")&amp;IF(COUNTIFS(tbl_Finance[Job Number],C387&amp;"",tbl_Finance[Cost Centre],"INTEGRATION")&gt;0,"INTEGRATION ","")&amp;IF(COUNTIFS(tbl_Finance[Job Number],C387&amp;"",tbl_Finance[Cost Centre],"CONSULTING")&gt;0,"CONSULTING ","")&amp;IF(COUNTIFS(tbl_Finance[Job Number],C387&amp;"",tbl_Finance[Cost Centre],"CTS")&gt;0,"CTS ",""))," ",", ")))</f>
        <v/>
      </c>
      <c r="L387" s="27">
        <f>IF(C387="","",SUMIFS(tbl_Finance[Inc GST],tbl_Finance[Job Number],C387&amp;""))</f>
        <v/>
      </c>
      <c r="M387" s="24" t="n"/>
      <c r="N387" s="25">
        <f>IF(C387="","",IFERROR(INDEX(tbl_Finance[Description],MATCH(C387&amp;"",tbl_Finance[Job Number],0)),""))</f>
        <v/>
      </c>
      <c r="O387" s="24" t="n"/>
      <c r="P387" s="24" t="n"/>
      <c r="Q387" s="22" t="n"/>
      <c r="R387" s="24" t="n"/>
      <c r="S387" s="25">
        <f>IF(R387="","",IF(AND(LEFT(R387,4)&lt;&gt;"http",set_RMSBase=""),"",HYPERLINK(IF(LEFT(R387,4)="http",R387,set_RMSBase&amp;R387),"Open opportunity")))</f>
        <v/>
      </c>
      <c r="T387" s="24" t="n"/>
      <c r="U387" s="25">
        <f>IF(T387="","",HYPERLINK(IF(LEFT(T387,4)="http",T387,set_QwilrBase&amp;T387),"Open quote"))</f>
        <v/>
      </c>
      <c r="V387" s="25">
        <f>IF(C387="","",C387)</f>
        <v/>
      </c>
      <c r="W387" s="24" t="n"/>
      <c r="X387" s="26" t="n"/>
      <c r="Y387" s="27">
        <f>IF(C387="","",H387+N(X387))</f>
        <v/>
      </c>
      <c r="Z387" s="29">
        <f>IFERROR(X387/Y387,"")</f>
        <v/>
      </c>
      <c r="AA387" s="26" t="n"/>
      <c r="AB387" s="26" t="n"/>
      <c r="AC387" s="26" t="n"/>
      <c r="AD387" s="26" t="n"/>
      <c r="AE387" s="27">
        <f>IF(C387="","",SUMIFS(tbl_Finance[Ex GST],tbl_Finance[Job Number],C387&amp;"",tbl_Finance[Cost Centre],"VIDEO"))</f>
        <v/>
      </c>
      <c r="AF387" s="29">
        <f>IFERROR(AE387/H387,"")</f>
        <v/>
      </c>
      <c r="AG387" s="27">
        <f>IF(C387="","",N(AA387)+N(AB387)+N(AC387)+N(AD387))</f>
        <v/>
      </c>
      <c r="AH387" s="27">
        <f>IF(C387="","",H387-AG387)</f>
        <v/>
      </c>
      <c r="AI387" s="29">
        <f>IFERROR(AH387/H387,"")</f>
        <v/>
      </c>
      <c r="AJ387" s="69" t="n"/>
      <c r="AK387" s="69" t="n"/>
      <c r="AL387" s="69" t="n"/>
      <c r="AM387" s="69" t="n"/>
      <c r="AN387" s="69" t="n"/>
      <c r="AO387" s="24" t="n"/>
    </row>
    <row r="388" ht="15" customHeight="1">
      <c r="A388" s="68">
        <f>IF(C388="","",IFERROR(IF(SUMPRODUCT(MAX((tbl_Finance[Job Number]=C388&amp;"")*(tbl_Finance[Xero Invoice No]&lt;&gt;"")*tbl_Finance[Date]))=0,"",SUMPRODUCT(MAX((tbl_Finance[Job Number]=C388&amp;"")*(tbl_Finance[Xero Invoice No]&lt;&gt;"")*tbl_Finance[Date]))),""))</f>
        <v/>
      </c>
      <c r="B388" s="25">
        <f>IF(C388="","",IF(COUNTIFS(tbl_Finance[Job Number],C388&amp;"",tbl_Finance[Xero Invoice No],"&lt;&gt;")=0,"",IFERROR(IF(COUNTIFS(tbl_Finance[Job Number],C388&amp;"",tbl_Finance[Xero Invoice No],LOOKUP(2,1/((tbl_Finance[Job Number]=C388&amp;"")*(tbl_Finance[Xero Invoice No]&lt;&gt;"")),tbl_Finance[Xero Invoice No]))=COUNTIFS(tbl_Finance[Job Number],C388&amp;"",tbl_Finance[Xero Invoice No],"&lt;&gt;"),LOOKUP(2,1/((tbl_Finance[Job Number]=C388&amp;"")*(tbl_Finance[Xero Invoice No]&lt;&gt;"")),tbl_Finance[Xero Invoice No]),LOOKUP(2,1/((tbl_Finance[Job Number]=C388&amp;"")*(tbl_Finance[Xero Invoice No]&lt;&gt;"")),tbl_Finance[Xero Invoice No])&amp;" +more"),"")))</f>
        <v/>
      </c>
      <c r="C388" s="24" t="n"/>
      <c r="D388" s="25">
        <f>IF(C388="","",IF(COUNTIF(lst_Jobs,C388&amp;"")&gt;0,"OK","CHECK"))</f>
        <v/>
      </c>
      <c r="E388" s="25">
        <f>IF(C388="","",IFERROR(INDEX(lst_JobName,MATCH(C388&amp;"",lst_Jobs,0)),""))</f>
        <v/>
      </c>
      <c r="F388" s="25">
        <f>IF(C388="","",IFERROR(INDEX(tbl_Finance[Client],MATCH(C388&amp;"",tbl_Finance[Job Number],0)),""))</f>
        <v/>
      </c>
      <c r="G388" s="28">
        <f>IF(C388="","",COUNTIFS(tbl_Finance[Job Number],C388&amp;"",tbl_Finance[Ex GST],"&lt;&gt;"))</f>
        <v/>
      </c>
      <c r="H388" s="27">
        <f>IF(C388="","",SUMIFS(tbl_Finance[Ex GST],tbl_Finance[Job Number],C388&amp;""))</f>
        <v/>
      </c>
      <c r="I388" s="27">
        <f>IF(C388="","",SUMIFS(tbl_Finance[Ex GST],tbl_Finance[Job Number],C388&amp;"",tbl_Finance[Xero Invoice No],"&lt;&gt;"))</f>
        <v/>
      </c>
      <c r="J388" s="27">
        <f>IF(C388="","",H388-I388)</f>
        <v/>
      </c>
      <c r="K388" s="25">
        <f>IF(C388="","",IF(G388=0,"not invoiced yet",SUBSTITUTE(TRIM(IF(COUNTIFS(tbl_Finance[Job Number],C388&amp;"",tbl_Finance[Cost Centre],"ONSITE")&gt;0,"ONSITE ","")&amp;IF(COUNTIFS(tbl_Finance[Job Number],C388&amp;"",tbl_Finance[Cost Centre],"PRODUCTION")&gt;0,"PRODUCTION ","")&amp;IF(COUNTIFS(tbl_Finance[Job Number],C388&amp;"",tbl_Finance[Cost Centre],"VIDEO")&gt;0,"VIDEO ","")&amp;IF(COUNTIFS(tbl_Finance[Job Number],C388&amp;"",tbl_Finance[Cost Centre],"INTEGRATION")&gt;0,"INTEGRATION ","")&amp;IF(COUNTIFS(tbl_Finance[Job Number],C388&amp;"",tbl_Finance[Cost Centre],"CONSULTING")&gt;0,"CONSULTING ","")&amp;IF(COUNTIFS(tbl_Finance[Job Number],C388&amp;"",tbl_Finance[Cost Centre],"CTS")&gt;0,"CTS ",""))," ",", ")))</f>
        <v/>
      </c>
      <c r="L388" s="27">
        <f>IF(C388="","",SUMIFS(tbl_Finance[Inc GST],tbl_Finance[Job Number],C388&amp;""))</f>
        <v/>
      </c>
      <c r="M388" s="24" t="n"/>
      <c r="N388" s="25">
        <f>IF(C388="","",IFERROR(INDEX(tbl_Finance[Description],MATCH(C388&amp;"",tbl_Finance[Job Number],0)),""))</f>
        <v/>
      </c>
      <c r="O388" s="24" t="n"/>
      <c r="P388" s="24" t="n"/>
      <c r="Q388" s="22" t="n"/>
      <c r="R388" s="24" t="n"/>
      <c r="S388" s="25">
        <f>IF(R388="","",IF(AND(LEFT(R388,4)&lt;&gt;"http",set_RMSBase=""),"",HYPERLINK(IF(LEFT(R388,4)="http",R388,set_RMSBase&amp;R388),"Open opportunity")))</f>
        <v/>
      </c>
      <c r="T388" s="24" t="n"/>
      <c r="U388" s="25">
        <f>IF(T388="","",HYPERLINK(IF(LEFT(T388,4)="http",T388,set_QwilrBase&amp;T388),"Open quote"))</f>
        <v/>
      </c>
      <c r="V388" s="25">
        <f>IF(C388="","",C388)</f>
        <v/>
      </c>
      <c r="W388" s="24" t="n"/>
      <c r="X388" s="26" t="n"/>
      <c r="Y388" s="27">
        <f>IF(C388="","",H388+N(X388))</f>
        <v/>
      </c>
      <c r="Z388" s="29">
        <f>IFERROR(X388/Y388,"")</f>
        <v/>
      </c>
      <c r="AA388" s="26" t="n"/>
      <c r="AB388" s="26" t="n"/>
      <c r="AC388" s="26" t="n"/>
      <c r="AD388" s="26" t="n"/>
      <c r="AE388" s="27">
        <f>IF(C388="","",SUMIFS(tbl_Finance[Ex GST],tbl_Finance[Job Number],C388&amp;"",tbl_Finance[Cost Centre],"VIDEO"))</f>
        <v/>
      </c>
      <c r="AF388" s="29">
        <f>IFERROR(AE388/H388,"")</f>
        <v/>
      </c>
      <c r="AG388" s="27">
        <f>IF(C388="","",N(AA388)+N(AB388)+N(AC388)+N(AD388))</f>
        <v/>
      </c>
      <c r="AH388" s="27">
        <f>IF(C388="","",H388-AG388)</f>
        <v/>
      </c>
      <c r="AI388" s="29">
        <f>IFERROR(AH388/H388,"")</f>
        <v/>
      </c>
      <c r="AJ388" s="69" t="n"/>
      <c r="AK388" s="69" t="n"/>
      <c r="AL388" s="69" t="n"/>
      <c r="AM388" s="69" t="n"/>
      <c r="AN388" s="69" t="n"/>
      <c r="AO388" s="24" t="n"/>
    </row>
    <row r="389" ht="15" customHeight="1">
      <c r="A389" s="68">
        <f>IF(C389="","",IFERROR(IF(SUMPRODUCT(MAX((tbl_Finance[Job Number]=C389&amp;"")*(tbl_Finance[Xero Invoice No]&lt;&gt;"")*tbl_Finance[Date]))=0,"",SUMPRODUCT(MAX((tbl_Finance[Job Number]=C389&amp;"")*(tbl_Finance[Xero Invoice No]&lt;&gt;"")*tbl_Finance[Date]))),""))</f>
        <v/>
      </c>
      <c r="B389" s="25">
        <f>IF(C389="","",IF(COUNTIFS(tbl_Finance[Job Number],C389&amp;"",tbl_Finance[Xero Invoice No],"&lt;&gt;")=0,"",IFERROR(IF(COUNTIFS(tbl_Finance[Job Number],C389&amp;"",tbl_Finance[Xero Invoice No],LOOKUP(2,1/((tbl_Finance[Job Number]=C389&amp;"")*(tbl_Finance[Xero Invoice No]&lt;&gt;"")),tbl_Finance[Xero Invoice No]))=COUNTIFS(tbl_Finance[Job Number],C389&amp;"",tbl_Finance[Xero Invoice No],"&lt;&gt;"),LOOKUP(2,1/((tbl_Finance[Job Number]=C389&amp;"")*(tbl_Finance[Xero Invoice No]&lt;&gt;"")),tbl_Finance[Xero Invoice No]),LOOKUP(2,1/((tbl_Finance[Job Number]=C389&amp;"")*(tbl_Finance[Xero Invoice No]&lt;&gt;"")),tbl_Finance[Xero Invoice No])&amp;" +more"),"")))</f>
        <v/>
      </c>
      <c r="C389" s="24" t="n"/>
      <c r="D389" s="25">
        <f>IF(C389="","",IF(COUNTIF(lst_Jobs,C389&amp;"")&gt;0,"OK","CHECK"))</f>
        <v/>
      </c>
      <c r="E389" s="25">
        <f>IF(C389="","",IFERROR(INDEX(lst_JobName,MATCH(C389&amp;"",lst_Jobs,0)),""))</f>
        <v/>
      </c>
      <c r="F389" s="25">
        <f>IF(C389="","",IFERROR(INDEX(tbl_Finance[Client],MATCH(C389&amp;"",tbl_Finance[Job Number],0)),""))</f>
        <v/>
      </c>
      <c r="G389" s="28">
        <f>IF(C389="","",COUNTIFS(tbl_Finance[Job Number],C389&amp;"",tbl_Finance[Ex GST],"&lt;&gt;"))</f>
        <v/>
      </c>
      <c r="H389" s="27">
        <f>IF(C389="","",SUMIFS(tbl_Finance[Ex GST],tbl_Finance[Job Number],C389&amp;""))</f>
        <v/>
      </c>
      <c r="I389" s="27">
        <f>IF(C389="","",SUMIFS(tbl_Finance[Ex GST],tbl_Finance[Job Number],C389&amp;"",tbl_Finance[Xero Invoice No],"&lt;&gt;"))</f>
        <v/>
      </c>
      <c r="J389" s="27">
        <f>IF(C389="","",H389-I389)</f>
        <v/>
      </c>
      <c r="K389" s="25">
        <f>IF(C389="","",IF(G389=0,"not invoiced yet",SUBSTITUTE(TRIM(IF(COUNTIFS(tbl_Finance[Job Number],C389&amp;"",tbl_Finance[Cost Centre],"ONSITE")&gt;0,"ONSITE ","")&amp;IF(COUNTIFS(tbl_Finance[Job Number],C389&amp;"",tbl_Finance[Cost Centre],"PRODUCTION")&gt;0,"PRODUCTION ","")&amp;IF(COUNTIFS(tbl_Finance[Job Number],C389&amp;"",tbl_Finance[Cost Centre],"VIDEO")&gt;0,"VIDEO ","")&amp;IF(COUNTIFS(tbl_Finance[Job Number],C389&amp;"",tbl_Finance[Cost Centre],"INTEGRATION")&gt;0,"INTEGRATION ","")&amp;IF(COUNTIFS(tbl_Finance[Job Number],C389&amp;"",tbl_Finance[Cost Centre],"CONSULTING")&gt;0,"CONSULTING ","")&amp;IF(COUNTIFS(tbl_Finance[Job Number],C389&amp;"",tbl_Finance[Cost Centre],"CTS")&gt;0,"CTS ",""))," ",", ")))</f>
        <v/>
      </c>
      <c r="L389" s="27">
        <f>IF(C389="","",SUMIFS(tbl_Finance[Inc GST],tbl_Finance[Job Number],C389&amp;""))</f>
        <v/>
      </c>
      <c r="M389" s="24" t="n"/>
      <c r="N389" s="25">
        <f>IF(C389="","",IFERROR(INDEX(tbl_Finance[Description],MATCH(C389&amp;"",tbl_Finance[Job Number],0)),""))</f>
        <v/>
      </c>
      <c r="O389" s="24" t="n"/>
      <c r="P389" s="24" t="n"/>
      <c r="Q389" s="22" t="n"/>
      <c r="R389" s="24" t="n"/>
      <c r="S389" s="25">
        <f>IF(R389="","",IF(AND(LEFT(R389,4)&lt;&gt;"http",set_RMSBase=""),"",HYPERLINK(IF(LEFT(R389,4)="http",R389,set_RMSBase&amp;R389),"Open opportunity")))</f>
        <v/>
      </c>
      <c r="T389" s="24" t="n"/>
      <c r="U389" s="25">
        <f>IF(T389="","",HYPERLINK(IF(LEFT(T389,4)="http",T389,set_QwilrBase&amp;T389),"Open quote"))</f>
        <v/>
      </c>
      <c r="V389" s="25">
        <f>IF(C389="","",C389)</f>
        <v/>
      </c>
      <c r="W389" s="24" t="n"/>
      <c r="X389" s="26" t="n"/>
      <c r="Y389" s="27">
        <f>IF(C389="","",H389+N(X389))</f>
        <v/>
      </c>
      <c r="Z389" s="29">
        <f>IFERROR(X389/Y389,"")</f>
        <v/>
      </c>
      <c r="AA389" s="26" t="n"/>
      <c r="AB389" s="26" t="n"/>
      <c r="AC389" s="26" t="n"/>
      <c r="AD389" s="26" t="n"/>
      <c r="AE389" s="27">
        <f>IF(C389="","",SUMIFS(tbl_Finance[Ex GST],tbl_Finance[Job Number],C389&amp;"",tbl_Finance[Cost Centre],"VIDEO"))</f>
        <v/>
      </c>
      <c r="AF389" s="29">
        <f>IFERROR(AE389/H389,"")</f>
        <v/>
      </c>
      <c r="AG389" s="27">
        <f>IF(C389="","",N(AA389)+N(AB389)+N(AC389)+N(AD389))</f>
        <v/>
      </c>
      <c r="AH389" s="27">
        <f>IF(C389="","",H389-AG389)</f>
        <v/>
      </c>
      <c r="AI389" s="29">
        <f>IFERROR(AH389/H389,"")</f>
        <v/>
      </c>
      <c r="AJ389" s="69" t="n"/>
      <c r="AK389" s="69" t="n"/>
      <c r="AL389" s="69" t="n"/>
      <c r="AM389" s="69" t="n"/>
      <c r="AN389" s="69" t="n"/>
      <c r="AO389" s="24" t="n"/>
    </row>
    <row r="390" ht="15" customHeight="1">
      <c r="A390" s="68">
        <f>IF(C390="","",IFERROR(IF(SUMPRODUCT(MAX((tbl_Finance[Job Number]=C390&amp;"")*(tbl_Finance[Xero Invoice No]&lt;&gt;"")*tbl_Finance[Date]))=0,"",SUMPRODUCT(MAX((tbl_Finance[Job Number]=C390&amp;"")*(tbl_Finance[Xero Invoice No]&lt;&gt;"")*tbl_Finance[Date]))),""))</f>
        <v/>
      </c>
      <c r="B390" s="25">
        <f>IF(C390="","",IF(COUNTIFS(tbl_Finance[Job Number],C390&amp;"",tbl_Finance[Xero Invoice No],"&lt;&gt;")=0,"",IFERROR(IF(COUNTIFS(tbl_Finance[Job Number],C390&amp;"",tbl_Finance[Xero Invoice No],LOOKUP(2,1/((tbl_Finance[Job Number]=C390&amp;"")*(tbl_Finance[Xero Invoice No]&lt;&gt;"")),tbl_Finance[Xero Invoice No]))=COUNTIFS(tbl_Finance[Job Number],C390&amp;"",tbl_Finance[Xero Invoice No],"&lt;&gt;"),LOOKUP(2,1/((tbl_Finance[Job Number]=C390&amp;"")*(tbl_Finance[Xero Invoice No]&lt;&gt;"")),tbl_Finance[Xero Invoice No]),LOOKUP(2,1/((tbl_Finance[Job Number]=C390&amp;"")*(tbl_Finance[Xero Invoice No]&lt;&gt;"")),tbl_Finance[Xero Invoice No])&amp;" +more"),"")))</f>
        <v/>
      </c>
      <c r="C390" s="24" t="n"/>
      <c r="D390" s="25">
        <f>IF(C390="","",IF(COUNTIF(lst_Jobs,C390&amp;"")&gt;0,"OK","CHECK"))</f>
        <v/>
      </c>
      <c r="E390" s="25">
        <f>IF(C390="","",IFERROR(INDEX(lst_JobName,MATCH(C390&amp;"",lst_Jobs,0)),""))</f>
        <v/>
      </c>
      <c r="F390" s="25">
        <f>IF(C390="","",IFERROR(INDEX(tbl_Finance[Client],MATCH(C390&amp;"",tbl_Finance[Job Number],0)),""))</f>
        <v/>
      </c>
      <c r="G390" s="28">
        <f>IF(C390="","",COUNTIFS(tbl_Finance[Job Number],C390&amp;"",tbl_Finance[Ex GST],"&lt;&gt;"))</f>
        <v/>
      </c>
      <c r="H390" s="27">
        <f>IF(C390="","",SUMIFS(tbl_Finance[Ex GST],tbl_Finance[Job Number],C390&amp;""))</f>
        <v/>
      </c>
      <c r="I390" s="27">
        <f>IF(C390="","",SUMIFS(tbl_Finance[Ex GST],tbl_Finance[Job Number],C390&amp;"",tbl_Finance[Xero Invoice No],"&lt;&gt;"))</f>
        <v/>
      </c>
      <c r="J390" s="27">
        <f>IF(C390="","",H390-I390)</f>
        <v/>
      </c>
      <c r="K390" s="25">
        <f>IF(C390="","",IF(G390=0,"not invoiced yet",SUBSTITUTE(TRIM(IF(COUNTIFS(tbl_Finance[Job Number],C390&amp;"",tbl_Finance[Cost Centre],"ONSITE")&gt;0,"ONSITE ","")&amp;IF(COUNTIFS(tbl_Finance[Job Number],C390&amp;"",tbl_Finance[Cost Centre],"PRODUCTION")&gt;0,"PRODUCTION ","")&amp;IF(COUNTIFS(tbl_Finance[Job Number],C390&amp;"",tbl_Finance[Cost Centre],"VIDEO")&gt;0,"VIDEO ","")&amp;IF(COUNTIFS(tbl_Finance[Job Number],C390&amp;"",tbl_Finance[Cost Centre],"INTEGRATION")&gt;0,"INTEGRATION ","")&amp;IF(COUNTIFS(tbl_Finance[Job Number],C390&amp;"",tbl_Finance[Cost Centre],"CONSULTING")&gt;0,"CONSULTING ","")&amp;IF(COUNTIFS(tbl_Finance[Job Number],C390&amp;"",tbl_Finance[Cost Centre],"CTS")&gt;0,"CTS ",""))," ",", ")))</f>
        <v/>
      </c>
      <c r="L390" s="27">
        <f>IF(C390="","",SUMIFS(tbl_Finance[Inc GST],tbl_Finance[Job Number],C390&amp;""))</f>
        <v/>
      </c>
      <c r="M390" s="24" t="n"/>
      <c r="N390" s="25">
        <f>IF(C390="","",IFERROR(INDEX(tbl_Finance[Description],MATCH(C390&amp;"",tbl_Finance[Job Number],0)),""))</f>
        <v/>
      </c>
      <c r="O390" s="24" t="n"/>
      <c r="P390" s="24" t="n"/>
      <c r="Q390" s="22" t="n"/>
      <c r="R390" s="24" t="n"/>
      <c r="S390" s="25">
        <f>IF(R390="","",IF(AND(LEFT(R390,4)&lt;&gt;"http",set_RMSBase=""),"",HYPERLINK(IF(LEFT(R390,4)="http",R390,set_RMSBase&amp;R390),"Open opportunity")))</f>
        <v/>
      </c>
      <c r="T390" s="24" t="n"/>
      <c r="U390" s="25">
        <f>IF(T390="","",HYPERLINK(IF(LEFT(T390,4)="http",T390,set_QwilrBase&amp;T390),"Open quote"))</f>
        <v/>
      </c>
      <c r="V390" s="25">
        <f>IF(C390="","",C390)</f>
        <v/>
      </c>
      <c r="W390" s="24" t="n"/>
      <c r="X390" s="26" t="n"/>
      <c r="Y390" s="27">
        <f>IF(C390="","",H390+N(X390))</f>
        <v/>
      </c>
      <c r="Z390" s="29">
        <f>IFERROR(X390/Y390,"")</f>
        <v/>
      </c>
      <c r="AA390" s="26" t="n"/>
      <c r="AB390" s="26" t="n"/>
      <c r="AC390" s="26" t="n"/>
      <c r="AD390" s="26" t="n"/>
      <c r="AE390" s="27">
        <f>IF(C390="","",SUMIFS(tbl_Finance[Ex GST],tbl_Finance[Job Number],C390&amp;"",tbl_Finance[Cost Centre],"VIDEO"))</f>
        <v/>
      </c>
      <c r="AF390" s="29">
        <f>IFERROR(AE390/H390,"")</f>
        <v/>
      </c>
      <c r="AG390" s="27">
        <f>IF(C390="","",N(AA390)+N(AB390)+N(AC390)+N(AD390))</f>
        <v/>
      </c>
      <c r="AH390" s="27">
        <f>IF(C390="","",H390-AG390)</f>
        <v/>
      </c>
      <c r="AI390" s="29">
        <f>IFERROR(AH390/H390,"")</f>
        <v/>
      </c>
      <c r="AJ390" s="69" t="n"/>
      <c r="AK390" s="69" t="n"/>
      <c r="AL390" s="69" t="n"/>
      <c r="AM390" s="69" t="n"/>
      <c r="AN390" s="69" t="n"/>
      <c r="AO390" s="24" t="n"/>
    </row>
    <row r="391" ht="15" customHeight="1">
      <c r="A391" s="68">
        <f>IF(C391="","",IFERROR(IF(SUMPRODUCT(MAX((tbl_Finance[Job Number]=C391&amp;"")*(tbl_Finance[Xero Invoice No]&lt;&gt;"")*tbl_Finance[Date]))=0,"",SUMPRODUCT(MAX((tbl_Finance[Job Number]=C391&amp;"")*(tbl_Finance[Xero Invoice No]&lt;&gt;"")*tbl_Finance[Date]))),""))</f>
        <v/>
      </c>
      <c r="B391" s="25">
        <f>IF(C391="","",IF(COUNTIFS(tbl_Finance[Job Number],C391&amp;"",tbl_Finance[Xero Invoice No],"&lt;&gt;")=0,"",IFERROR(IF(COUNTIFS(tbl_Finance[Job Number],C391&amp;"",tbl_Finance[Xero Invoice No],LOOKUP(2,1/((tbl_Finance[Job Number]=C391&amp;"")*(tbl_Finance[Xero Invoice No]&lt;&gt;"")),tbl_Finance[Xero Invoice No]))=COUNTIFS(tbl_Finance[Job Number],C391&amp;"",tbl_Finance[Xero Invoice No],"&lt;&gt;"),LOOKUP(2,1/((tbl_Finance[Job Number]=C391&amp;"")*(tbl_Finance[Xero Invoice No]&lt;&gt;"")),tbl_Finance[Xero Invoice No]),LOOKUP(2,1/((tbl_Finance[Job Number]=C391&amp;"")*(tbl_Finance[Xero Invoice No]&lt;&gt;"")),tbl_Finance[Xero Invoice No])&amp;" +more"),"")))</f>
        <v/>
      </c>
      <c r="C391" s="24" t="n"/>
      <c r="D391" s="25">
        <f>IF(C391="","",IF(COUNTIF(lst_Jobs,C391&amp;"")&gt;0,"OK","CHECK"))</f>
        <v/>
      </c>
      <c r="E391" s="25">
        <f>IF(C391="","",IFERROR(INDEX(lst_JobName,MATCH(C391&amp;"",lst_Jobs,0)),""))</f>
        <v/>
      </c>
      <c r="F391" s="25">
        <f>IF(C391="","",IFERROR(INDEX(tbl_Finance[Client],MATCH(C391&amp;"",tbl_Finance[Job Number],0)),""))</f>
        <v/>
      </c>
      <c r="G391" s="28">
        <f>IF(C391="","",COUNTIFS(tbl_Finance[Job Number],C391&amp;"",tbl_Finance[Ex GST],"&lt;&gt;"))</f>
        <v/>
      </c>
      <c r="H391" s="27">
        <f>IF(C391="","",SUMIFS(tbl_Finance[Ex GST],tbl_Finance[Job Number],C391&amp;""))</f>
        <v/>
      </c>
      <c r="I391" s="27">
        <f>IF(C391="","",SUMIFS(tbl_Finance[Ex GST],tbl_Finance[Job Number],C391&amp;"",tbl_Finance[Xero Invoice No],"&lt;&gt;"))</f>
        <v/>
      </c>
      <c r="J391" s="27">
        <f>IF(C391="","",H391-I391)</f>
        <v/>
      </c>
      <c r="K391" s="25">
        <f>IF(C391="","",IF(G391=0,"not invoiced yet",SUBSTITUTE(TRIM(IF(COUNTIFS(tbl_Finance[Job Number],C391&amp;"",tbl_Finance[Cost Centre],"ONSITE")&gt;0,"ONSITE ","")&amp;IF(COUNTIFS(tbl_Finance[Job Number],C391&amp;"",tbl_Finance[Cost Centre],"PRODUCTION")&gt;0,"PRODUCTION ","")&amp;IF(COUNTIFS(tbl_Finance[Job Number],C391&amp;"",tbl_Finance[Cost Centre],"VIDEO")&gt;0,"VIDEO ","")&amp;IF(COUNTIFS(tbl_Finance[Job Number],C391&amp;"",tbl_Finance[Cost Centre],"INTEGRATION")&gt;0,"INTEGRATION ","")&amp;IF(COUNTIFS(tbl_Finance[Job Number],C391&amp;"",tbl_Finance[Cost Centre],"CONSULTING")&gt;0,"CONSULTING ","")&amp;IF(COUNTIFS(tbl_Finance[Job Number],C391&amp;"",tbl_Finance[Cost Centre],"CTS")&gt;0,"CTS ",""))," ",", ")))</f>
        <v/>
      </c>
      <c r="L391" s="27">
        <f>IF(C391="","",SUMIFS(tbl_Finance[Inc GST],tbl_Finance[Job Number],C391&amp;""))</f>
        <v/>
      </c>
      <c r="M391" s="24" t="n"/>
      <c r="N391" s="25">
        <f>IF(C391="","",IFERROR(INDEX(tbl_Finance[Description],MATCH(C391&amp;"",tbl_Finance[Job Number],0)),""))</f>
        <v/>
      </c>
      <c r="O391" s="24" t="n"/>
      <c r="P391" s="24" t="n"/>
      <c r="Q391" s="22" t="n"/>
      <c r="R391" s="24" t="n"/>
      <c r="S391" s="25">
        <f>IF(R391="","",IF(AND(LEFT(R391,4)&lt;&gt;"http",set_RMSBase=""),"",HYPERLINK(IF(LEFT(R391,4)="http",R391,set_RMSBase&amp;R391),"Open opportunity")))</f>
        <v/>
      </c>
      <c r="T391" s="24" t="n"/>
      <c r="U391" s="25">
        <f>IF(T391="","",HYPERLINK(IF(LEFT(T391,4)="http",T391,set_QwilrBase&amp;T391),"Open quote"))</f>
        <v/>
      </c>
      <c r="V391" s="25">
        <f>IF(C391="","",C391)</f>
        <v/>
      </c>
      <c r="W391" s="24" t="n"/>
      <c r="X391" s="26" t="n"/>
      <c r="Y391" s="27">
        <f>IF(C391="","",H391+N(X391))</f>
        <v/>
      </c>
      <c r="Z391" s="29">
        <f>IFERROR(X391/Y391,"")</f>
        <v/>
      </c>
      <c r="AA391" s="26" t="n"/>
      <c r="AB391" s="26" t="n"/>
      <c r="AC391" s="26" t="n"/>
      <c r="AD391" s="26" t="n"/>
      <c r="AE391" s="27">
        <f>IF(C391="","",SUMIFS(tbl_Finance[Ex GST],tbl_Finance[Job Number],C391&amp;"",tbl_Finance[Cost Centre],"VIDEO"))</f>
        <v/>
      </c>
      <c r="AF391" s="29">
        <f>IFERROR(AE391/H391,"")</f>
        <v/>
      </c>
      <c r="AG391" s="27">
        <f>IF(C391="","",N(AA391)+N(AB391)+N(AC391)+N(AD391))</f>
        <v/>
      </c>
      <c r="AH391" s="27">
        <f>IF(C391="","",H391-AG391)</f>
        <v/>
      </c>
      <c r="AI391" s="29">
        <f>IFERROR(AH391/H391,"")</f>
        <v/>
      </c>
      <c r="AJ391" s="69" t="n"/>
      <c r="AK391" s="69" t="n"/>
      <c r="AL391" s="69" t="n"/>
      <c r="AM391" s="69" t="n"/>
      <c r="AN391" s="69" t="n"/>
      <c r="AO391" s="24" t="n"/>
    </row>
    <row r="392" ht="15" customHeight="1">
      <c r="A392" s="68">
        <f>IF(C392="","",IFERROR(IF(SUMPRODUCT(MAX((tbl_Finance[Job Number]=C392&amp;"")*(tbl_Finance[Xero Invoice No]&lt;&gt;"")*tbl_Finance[Date]))=0,"",SUMPRODUCT(MAX((tbl_Finance[Job Number]=C392&amp;"")*(tbl_Finance[Xero Invoice No]&lt;&gt;"")*tbl_Finance[Date]))),""))</f>
        <v/>
      </c>
      <c r="B392" s="25">
        <f>IF(C392="","",IF(COUNTIFS(tbl_Finance[Job Number],C392&amp;"",tbl_Finance[Xero Invoice No],"&lt;&gt;")=0,"",IFERROR(IF(COUNTIFS(tbl_Finance[Job Number],C392&amp;"",tbl_Finance[Xero Invoice No],LOOKUP(2,1/((tbl_Finance[Job Number]=C392&amp;"")*(tbl_Finance[Xero Invoice No]&lt;&gt;"")),tbl_Finance[Xero Invoice No]))=COUNTIFS(tbl_Finance[Job Number],C392&amp;"",tbl_Finance[Xero Invoice No],"&lt;&gt;"),LOOKUP(2,1/((tbl_Finance[Job Number]=C392&amp;"")*(tbl_Finance[Xero Invoice No]&lt;&gt;"")),tbl_Finance[Xero Invoice No]),LOOKUP(2,1/((tbl_Finance[Job Number]=C392&amp;"")*(tbl_Finance[Xero Invoice No]&lt;&gt;"")),tbl_Finance[Xero Invoice No])&amp;" +more"),"")))</f>
        <v/>
      </c>
      <c r="C392" s="24" t="n"/>
      <c r="D392" s="25">
        <f>IF(C392="","",IF(COUNTIF(lst_Jobs,C392&amp;"")&gt;0,"OK","CHECK"))</f>
        <v/>
      </c>
      <c r="E392" s="25">
        <f>IF(C392="","",IFERROR(INDEX(lst_JobName,MATCH(C392&amp;"",lst_Jobs,0)),""))</f>
        <v/>
      </c>
      <c r="F392" s="25">
        <f>IF(C392="","",IFERROR(INDEX(tbl_Finance[Client],MATCH(C392&amp;"",tbl_Finance[Job Number],0)),""))</f>
        <v/>
      </c>
      <c r="G392" s="28">
        <f>IF(C392="","",COUNTIFS(tbl_Finance[Job Number],C392&amp;"",tbl_Finance[Ex GST],"&lt;&gt;"))</f>
        <v/>
      </c>
      <c r="H392" s="27">
        <f>IF(C392="","",SUMIFS(tbl_Finance[Ex GST],tbl_Finance[Job Number],C392&amp;""))</f>
        <v/>
      </c>
      <c r="I392" s="27">
        <f>IF(C392="","",SUMIFS(tbl_Finance[Ex GST],tbl_Finance[Job Number],C392&amp;"",tbl_Finance[Xero Invoice No],"&lt;&gt;"))</f>
        <v/>
      </c>
      <c r="J392" s="27">
        <f>IF(C392="","",H392-I392)</f>
        <v/>
      </c>
      <c r="K392" s="25">
        <f>IF(C392="","",IF(G392=0,"not invoiced yet",SUBSTITUTE(TRIM(IF(COUNTIFS(tbl_Finance[Job Number],C392&amp;"",tbl_Finance[Cost Centre],"ONSITE")&gt;0,"ONSITE ","")&amp;IF(COUNTIFS(tbl_Finance[Job Number],C392&amp;"",tbl_Finance[Cost Centre],"PRODUCTION")&gt;0,"PRODUCTION ","")&amp;IF(COUNTIFS(tbl_Finance[Job Number],C392&amp;"",tbl_Finance[Cost Centre],"VIDEO")&gt;0,"VIDEO ","")&amp;IF(COUNTIFS(tbl_Finance[Job Number],C392&amp;"",tbl_Finance[Cost Centre],"INTEGRATION")&gt;0,"INTEGRATION ","")&amp;IF(COUNTIFS(tbl_Finance[Job Number],C392&amp;"",tbl_Finance[Cost Centre],"CONSULTING")&gt;0,"CONSULTING ","")&amp;IF(COUNTIFS(tbl_Finance[Job Number],C392&amp;"",tbl_Finance[Cost Centre],"CTS")&gt;0,"CTS ",""))," ",", ")))</f>
        <v/>
      </c>
      <c r="L392" s="27">
        <f>IF(C392="","",SUMIFS(tbl_Finance[Inc GST],tbl_Finance[Job Number],C392&amp;""))</f>
        <v/>
      </c>
      <c r="M392" s="24" t="n"/>
      <c r="N392" s="25">
        <f>IF(C392="","",IFERROR(INDEX(tbl_Finance[Description],MATCH(C392&amp;"",tbl_Finance[Job Number],0)),""))</f>
        <v/>
      </c>
      <c r="O392" s="24" t="n"/>
      <c r="P392" s="24" t="n"/>
      <c r="Q392" s="22" t="n"/>
      <c r="R392" s="24" t="n"/>
      <c r="S392" s="25">
        <f>IF(R392="","",IF(AND(LEFT(R392,4)&lt;&gt;"http",set_RMSBase=""),"",HYPERLINK(IF(LEFT(R392,4)="http",R392,set_RMSBase&amp;R392),"Open opportunity")))</f>
        <v/>
      </c>
      <c r="T392" s="24" t="n"/>
      <c r="U392" s="25">
        <f>IF(T392="","",HYPERLINK(IF(LEFT(T392,4)="http",T392,set_QwilrBase&amp;T392),"Open quote"))</f>
        <v/>
      </c>
      <c r="V392" s="25">
        <f>IF(C392="","",C392)</f>
        <v/>
      </c>
      <c r="W392" s="24" t="n"/>
      <c r="X392" s="26" t="n"/>
      <c r="Y392" s="27">
        <f>IF(C392="","",H392+N(X392))</f>
        <v/>
      </c>
      <c r="Z392" s="29">
        <f>IFERROR(X392/Y392,"")</f>
        <v/>
      </c>
      <c r="AA392" s="26" t="n"/>
      <c r="AB392" s="26" t="n"/>
      <c r="AC392" s="26" t="n"/>
      <c r="AD392" s="26" t="n"/>
      <c r="AE392" s="27">
        <f>IF(C392="","",SUMIFS(tbl_Finance[Ex GST],tbl_Finance[Job Number],C392&amp;"",tbl_Finance[Cost Centre],"VIDEO"))</f>
        <v/>
      </c>
      <c r="AF392" s="29">
        <f>IFERROR(AE392/H392,"")</f>
        <v/>
      </c>
      <c r="AG392" s="27">
        <f>IF(C392="","",N(AA392)+N(AB392)+N(AC392)+N(AD392))</f>
        <v/>
      </c>
      <c r="AH392" s="27">
        <f>IF(C392="","",H392-AG392)</f>
        <v/>
      </c>
      <c r="AI392" s="29">
        <f>IFERROR(AH392/H392,"")</f>
        <v/>
      </c>
      <c r="AJ392" s="69" t="n"/>
      <c r="AK392" s="69" t="n"/>
      <c r="AL392" s="69" t="n"/>
      <c r="AM392" s="69" t="n"/>
      <c r="AN392" s="69" t="n"/>
      <c r="AO392" s="24" t="n"/>
    </row>
    <row r="393" ht="15" customHeight="1">
      <c r="A393" s="68">
        <f>IF(C393="","",IFERROR(IF(SUMPRODUCT(MAX((tbl_Finance[Job Number]=C393&amp;"")*(tbl_Finance[Xero Invoice No]&lt;&gt;"")*tbl_Finance[Date]))=0,"",SUMPRODUCT(MAX((tbl_Finance[Job Number]=C393&amp;"")*(tbl_Finance[Xero Invoice No]&lt;&gt;"")*tbl_Finance[Date]))),""))</f>
        <v/>
      </c>
      <c r="B393" s="25">
        <f>IF(C393="","",IF(COUNTIFS(tbl_Finance[Job Number],C393&amp;"",tbl_Finance[Xero Invoice No],"&lt;&gt;")=0,"",IFERROR(IF(COUNTIFS(tbl_Finance[Job Number],C393&amp;"",tbl_Finance[Xero Invoice No],LOOKUP(2,1/((tbl_Finance[Job Number]=C393&amp;"")*(tbl_Finance[Xero Invoice No]&lt;&gt;"")),tbl_Finance[Xero Invoice No]))=COUNTIFS(tbl_Finance[Job Number],C393&amp;"",tbl_Finance[Xero Invoice No],"&lt;&gt;"),LOOKUP(2,1/((tbl_Finance[Job Number]=C393&amp;"")*(tbl_Finance[Xero Invoice No]&lt;&gt;"")),tbl_Finance[Xero Invoice No]),LOOKUP(2,1/((tbl_Finance[Job Number]=C393&amp;"")*(tbl_Finance[Xero Invoice No]&lt;&gt;"")),tbl_Finance[Xero Invoice No])&amp;" +more"),"")))</f>
        <v/>
      </c>
      <c r="C393" s="24" t="n"/>
      <c r="D393" s="25">
        <f>IF(C393="","",IF(COUNTIF(lst_Jobs,C393&amp;"")&gt;0,"OK","CHECK"))</f>
        <v/>
      </c>
      <c r="E393" s="25">
        <f>IF(C393="","",IFERROR(INDEX(lst_JobName,MATCH(C393&amp;"",lst_Jobs,0)),""))</f>
        <v/>
      </c>
      <c r="F393" s="25">
        <f>IF(C393="","",IFERROR(INDEX(tbl_Finance[Client],MATCH(C393&amp;"",tbl_Finance[Job Number],0)),""))</f>
        <v/>
      </c>
      <c r="G393" s="28">
        <f>IF(C393="","",COUNTIFS(tbl_Finance[Job Number],C393&amp;"",tbl_Finance[Ex GST],"&lt;&gt;"))</f>
        <v/>
      </c>
      <c r="H393" s="27">
        <f>IF(C393="","",SUMIFS(tbl_Finance[Ex GST],tbl_Finance[Job Number],C393&amp;""))</f>
        <v/>
      </c>
      <c r="I393" s="27">
        <f>IF(C393="","",SUMIFS(tbl_Finance[Ex GST],tbl_Finance[Job Number],C393&amp;"",tbl_Finance[Xero Invoice No],"&lt;&gt;"))</f>
        <v/>
      </c>
      <c r="J393" s="27">
        <f>IF(C393="","",H393-I393)</f>
        <v/>
      </c>
      <c r="K393" s="25">
        <f>IF(C393="","",IF(G393=0,"not invoiced yet",SUBSTITUTE(TRIM(IF(COUNTIFS(tbl_Finance[Job Number],C393&amp;"",tbl_Finance[Cost Centre],"ONSITE")&gt;0,"ONSITE ","")&amp;IF(COUNTIFS(tbl_Finance[Job Number],C393&amp;"",tbl_Finance[Cost Centre],"PRODUCTION")&gt;0,"PRODUCTION ","")&amp;IF(COUNTIFS(tbl_Finance[Job Number],C393&amp;"",tbl_Finance[Cost Centre],"VIDEO")&gt;0,"VIDEO ","")&amp;IF(COUNTIFS(tbl_Finance[Job Number],C393&amp;"",tbl_Finance[Cost Centre],"INTEGRATION")&gt;0,"INTEGRATION ","")&amp;IF(COUNTIFS(tbl_Finance[Job Number],C393&amp;"",tbl_Finance[Cost Centre],"CONSULTING")&gt;0,"CONSULTING ","")&amp;IF(COUNTIFS(tbl_Finance[Job Number],C393&amp;"",tbl_Finance[Cost Centre],"CTS")&gt;0,"CTS ",""))," ",", ")))</f>
        <v/>
      </c>
      <c r="L393" s="27">
        <f>IF(C393="","",SUMIFS(tbl_Finance[Inc GST],tbl_Finance[Job Number],C393&amp;""))</f>
        <v/>
      </c>
      <c r="M393" s="24" t="n"/>
      <c r="N393" s="25">
        <f>IF(C393="","",IFERROR(INDEX(tbl_Finance[Description],MATCH(C393&amp;"",tbl_Finance[Job Number],0)),""))</f>
        <v/>
      </c>
      <c r="O393" s="24" t="n"/>
      <c r="P393" s="24" t="n"/>
      <c r="Q393" s="22" t="n"/>
      <c r="R393" s="24" t="n"/>
      <c r="S393" s="25">
        <f>IF(R393="","",IF(AND(LEFT(R393,4)&lt;&gt;"http",set_RMSBase=""),"",HYPERLINK(IF(LEFT(R393,4)="http",R393,set_RMSBase&amp;R393),"Open opportunity")))</f>
        <v/>
      </c>
      <c r="T393" s="24" t="n"/>
      <c r="U393" s="25">
        <f>IF(T393="","",HYPERLINK(IF(LEFT(T393,4)="http",T393,set_QwilrBase&amp;T393),"Open quote"))</f>
        <v/>
      </c>
      <c r="V393" s="25">
        <f>IF(C393="","",C393)</f>
        <v/>
      </c>
      <c r="W393" s="24" t="n"/>
      <c r="X393" s="26" t="n"/>
      <c r="Y393" s="27">
        <f>IF(C393="","",H393+N(X393))</f>
        <v/>
      </c>
      <c r="Z393" s="29">
        <f>IFERROR(X393/Y393,"")</f>
        <v/>
      </c>
      <c r="AA393" s="26" t="n"/>
      <c r="AB393" s="26" t="n"/>
      <c r="AC393" s="26" t="n"/>
      <c r="AD393" s="26" t="n"/>
      <c r="AE393" s="27">
        <f>IF(C393="","",SUMIFS(tbl_Finance[Ex GST],tbl_Finance[Job Number],C393&amp;"",tbl_Finance[Cost Centre],"VIDEO"))</f>
        <v/>
      </c>
      <c r="AF393" s="29">
        <f>IFERROR(AE393/H393,"")</f>
        <v/>
      </c>
      <c r="AG393" s="27">
        <f>IF(C393="","",N(AA393)+N(AB393)+N(AC393)+N(AD393))</f>
        <v/>
      </c>
      <c r="AH393" s="27">
        <f>IF(C393="","",H393-AG393)</f>
        <v/>
      </c>
      <c r="AI393" s="29">
        <f>IFERROR(AH393/H393,"")</f>
        <v/>
      </c>
      <c r="AJ393" s="69" t="n"/>
      <c r="AK393" s="69" t="n"/>
      <c r="AL393" s="69" t="n"/>
      <c r="AM393" s="69" t="n"/>
      <c r="AN393" s="69" t="n"/>
      <c r="AO393" s="24" t="n"/>
    </row>
    <row r="394" ht="15" customHeight="1">
      <c r="A394" s="68">
        <f>IF(C394="","",IFERROR(IF(SUMPRODUCT(MAX((tbl_Finance[Job Number]=C394&amp;"")*(tbl_Finance[Xero Invoice No]&lt;&gt;"")*tbl_Finance[Date]))=0,"",SUMPRODUCT(MAX((tbl_Finance[Job Number]=C394&amp;"")*(tbl_Finance[Xero Invoice No]&lt;&gt;"")*tbl_Finance[Date]))),""))</f>
        <v/>
      </c>
      <c r="B394" s="25">
        <f>IF(C394="","",IF(COUNTIFS(tbl_Finance[Job Number],C394&amp;"",tbl_Finance[Xero Invoice No],"&lt;&gt;")=0,"",IFERROR(IF(COUNTIFS(tbl_Finance[Job Number],C394&amp;"",tbl_Finance[Xero Invoice No],LOOKUP(2,1/((tbl_Finance[Job Number]=C394&amp;"")*(tbl_Finance[Xero Invoice No]&lt;&gt;"")),tbl_Finance[Xero Invoice No]))=COUNTIFS(tbl_Finance[Job Number],C394&amp;"",tbl_Finance[Xero Invoice No],"&lt;&gt;"),LOOKUP(2,1/((tbl_Finance[Job Number]=C394&amp;"")*(tbl_Finance[Xero Invoice No]&lt;&gt;"")),tbl_Finance[Xero Invoice No]),LOOKUP(2,1/((tbl_Finance[Job Number]=C394&amp;"")*(tbl_Finance[Xero Invoice No]&lt;&gt;"")),tbl_Finance[Xero Invoice No])&amp;" +more"),"")))</f>
        <v/>
      </c>
      <c r="C394" s="24" t="n"/>
      <c r="D394" s="25">
        <f>IF(C394="","",IF(COUNTIF(lst_Jobs,C394&amp;"")&gt;0,"OK","CHECK"))</f>
        <v/>
      </c>
      <c r="E394" s="25">
        <f>IF(C394="","",IFERROR(INDEX(lst_JobName,MATCH(C394&amp;"",lst_Jobs,0)),""))</f>
        <v/>
      </c>
      <c r="F394" s="25">
        <f>IF(C394="","",IFERROR(INDEX(tbl_Finance[Client],MATCH(C394&amp;"",tbl_Finance[Job Number],0)),""))</f>
        <v/>
      </c>
      <c r="G394" s="28">
        <f>IF(C394="","",COUNTIFS(tbl_Finance[Job Number],C394&amp;"",tbl_Finance[Ex GST],"&lt;&gt;"))</f>
        <v/>
      </c>
      <c r="H394" s="27">
        <f>IF(C394="","",SUMIFS(tbl_Finance[Ex GST],tbl_Finance[Job Number],C394&amp;""))</f>
        <v/>
      </c>
      <c r="I394" s="27">
        <f>IF(C394="","",SUMIFS(tbl_Finance[Ex GST],tbl_Finance[Job Number],C394&amp;"",tbl_Finance[Xero Invoice No],"&lt;&gt;"))</f>
        <v/>
      </c>
      <c r="J394" s="27">
        <f>IF(C394="","",H394-I394)</f>
        <v/>
      </c>
      <c r="K394" s="25">
        <f>IF(C394="","",IF(G394=0,"not invoiced yet",SUBSTITUTE(TRIM(IF(COUNTIFS(tbl_Finance[Job Number],C394&amp;"",tbl_Finance[Cost Centre],"ONSITE")&gt;0,"ONSITE ","")&amp;IF(COUNTIFS(tbl_Finance[Job Number],C394&amp;"",tbl_Finance[Cost Centre],"PRODUCTION")&gt;0,"PRODUCTION ","")&amp;IF(COUNTIFS(tbl_Finance[Job Number],C394&amp;"",tbl_Finance[Cost Centre],"VIDEO")&gt;0,"VIDEO ","")&amp;IF(COUNTIFS(tbl_Finance[Job Number],C394&amp;"",tbl_Finance[Cost Centre],"INTEGRATION")&gt;0,"INTEGRATION ","")&amp;IF(COUNTIFS(tbl_Finance[Job Number],C394&amp;"",tbl_Finance[Cost Centre],"CONSULTING")&gt;0,"CONSULTING ","")&amp;IF(COUNTIFS(tbl_Finance[Job Number],C394&amp;"",tbl_Finance[Cost Centre],"CTS")&gt;0,"CTS ",""))," ",", ")))</f>
        <v/>
      </c>
      <c r="L394" s="27">
        <f>IF(C394="","",SUMIFS(tbl_Finance[Inc GST],tbl_Finance[Job Number],C394&amp;""))</f>
        <v/>
      </c>
      <c r="M394" s="24" t="n"/>
      <c r="N394" s="25">
        <f>IF(C394="","",IFERROR(INDEX(tbl_Finance[Description],MATCH(C394&amp;"",tbl_Finance[Job Number],0)),""))</f>
        <v/>
      </c>
      <c r="O394" s="24" t="n"/>
      <c r="P394" s="24" t="n"/>
      <c r="Q394" s="22" t="n"/>
      <c r="R394" s="24" t="n"/>
      <c r="S394" s="25">
        <f>IF(R394="","",IF(AND(LEFT(R394,4)&lt;&gt;"http",set_RMSBase=""),"",HYPERLINK(IF(LEFT(R394,4)="http",R394,set_RMSBase&amp;R394),"Open opportunity")))</f>
        <v/>
      </c>
      <c r="T394" s="24" t="n"/>
      <c r="U394" s="25">
        <f>IF(T394="","",HYPERLINK(IF(LEFT(T394,4)="http",T394,set_QwilrBase&amp;T394),"Open quote"))</f>
        <v/>
      </c>
      <c r="V394" s="25">
        <f>IF(C394="","",C394)</f>
        <v/>
      </c>
      <c r="W394" s="24" t="n"/>
      <c r="X394" s="26" t="n"/>
      <c r="Y394" s="27">
        <f>IF(C394="","",H394+N(X394))</f>
        <v/>
      </c>
      <c r="Z394" s="29">
        <f>IFERROR(X394/Y394,"")</f>
        <v/>
      </c>
      <c r="AA394" s="26" t="n"/>
      <c r="AB394" s="26" t="n"/>
      <c r="AC394" s="26" t="n"/>
      <c r="AD394" s="26" t="n"/>
      <c r="AE394" s="27">
        <f>IF(C394="","",SUMIFS(tbl_Finance[Ex GST],tbl_Finance[Job Number],C394&amp;"",tbl_Finance[Cost Centre],"VIDEO"))</f>
        <v/>
      </c>
      <c r="AF394" s="29">
        <f>IFERROR(AE394/H394,"")</f>
        <v/>
      </c>
      <c r="AG394" s="27">
        <f>IF(C394="","",N(AA394)+N(AB394)+N(AC394)+N(AD394))</f>
        <v/>
      </c>
      <c r="AH394" s="27">
        <f>IF(C394="","",H394-AG394)</f>
        <v/>
      </c>
      <c r="AI394" s="29">
        <f>IFERROR(AH394/H394,"")</f>
        <v/>
      </c>
      <c r="AJ394" s="69" t="n"/>
      <c r="AK394" s="69" t="n"/>
      <c r="AL394" s="69" t="n"/>
      <c r="AM394" s="69" t="n"/>
      <c r="AN394" s="69" t="n"/>
      <c r="AO394" s="24" t="n"/>
    </row>
    <row r="395" ht="15" customHeight="1">
      <c r="A395" s="68">
        <f>IF(C395="","",IFERROR(IF(SUMPRODUCT(MAX((tbl_Finance[Job Number]=C395&amp;"")*(tbl_Finance[Xero Invoice No]&lt;&gt;"")*tbl_Finance[Date]))=0,"",SUMPRODUCT(MAX((tbl_Finance[Job Number]=C395&amp;"")*(tbl_Finance[Xero Invoice No]&lt;&gt;"")*tbl_Finance[Date]))),""))</f>
        <v/>
      </c>
      <c r="B395" s="25">
        <f>IF(C395="","",IF(COUNTIFS(tbl_Finance[Job Number],C395&amp;"",tbl_Finance[Xero Invoice No],"&lt;&gt;")=0,"",IFERROR(IF(COUNTIFS(tbl_Finance[Job Number],C395&amp;"",tbl_Finance[Xero Invoice No],LOOKUP(2,1/((tbl_Finance[Job Number]=C395&amp;"")*(tbl_Finance[Xero Invoice No]&lt;&gt;"")),tbl_Finance[Xero Invoice No]))=COUNTIFS(tbl_Finance[Job Number],C395&amp;"",tbl_Finance[Xero Invoice No],"&lt;&gt;"),LOOKUP(2,1/((tbl_Finance[Job Number]=C395&amp;"")*(tbl_Finance[Xero Invoice No]&lt;&gt;"")),tbl_Finance[Xero Invoice No]),LOOKUP(2,1/((tbl_Finance[Job Number]=C395&amp;"")*(tbl_Finance[Xero Invoice No]&lt;&gt;"")),tbl_Finance[Xero Invoice No])&amp;" +more"),"")))</f>
        <v/>
      </c>
      <c r="C395" s="24" t="n"/>
      <c r="D395" s="25">
        <f>IF(C395="","",IF(COUNTIF(lst_Jobs,C395&amp;"")&gt;0,"OK","CHECK"))</f>
        <v/>
      </c>
      <c r="E395" s="25">
        <f>IF(C395="","",IFERROR(INDEX(lst_JobName,MATCH(C395&amp;"",lst_Jobs,0)),""))</f>
        <v/>
      </c>
      <c r="F395" s="25">
        <f>IF(C395="","",IFERROR(INDEX(tbl_Finance[Client],MATCH(C395&amp;"",tbl_Finance[Job Number],0)),""))</f>
        <v/>
      </c>
      <c r="G395" s="28">
        <f>IF(C395="","",COUNTIFS(tbl_Finance[Job Number],C395&amp;"",tbl_Finance[Ex GST],"&lt;&gt;"))</f>
        <v/>
      </c>
      <c r="H395" s="27">
        <f>IF(C395="","",SUMIFS(tbl_Finance[Ex GST],tbl_Finance[Job Number],C395&amp;""))</f>
        <v/>
      </c>
      <c r="I395" s="27">
        <f>IF(C395="","",SUMIFS(tbl_Finance[Ex GST],tbl_Finance[Job Number],C395&amp;"",tbl_Finance[Xero Invoice No],"&lt;&gt;"))</f>
        <v/>
      </c>
      <c r="J395" s="27">
        <f>IF(C395="","",H395-I395)</f>
        <v/>
      </c>
      <c r="K395" s="25">
        <f>IF(C395="","",IF(G395=0,"not invoiced yet",SUBSTITUTE(TRIM(IF(COUNTIFS(tbl_Finance[Job Number],C395&amp;"",tbl_Finance[Cost Centre],"ONSITE")&gt;0,"ONSITE ","")&amp;IF(COUNTIFS(tbl_Finance[Job Number],C395&amp;"",tbl_Finance[Cost Centre],"PRODUCTION")&gt;0,"PRODUCTION ","")&amp;IF(COUNTIFS(tbl_Finance[Job Number],C395&amp;"",tbl_Finance[Cost Centre],"VIDEO")&gt;0,"VIDEO ","")&amp;IF(COUNTIFS(tbl_Finance[Job Number],C395&amp;"",tbl_Finance[Cost Centre],"INTEGRATION")&gt;0,"INTEGRATION ","")&amp;IF(COUNTIFS(tbl_Finance[Job Number],C395&amp;"",tbl_Finance[Cost Centre],"CONSULTING")&gt;0,"CONSULTING ","")&amp;IF(COUNTIFS(tbl_Finance[Job Number],C395&amp;"",tbl_Finance[Cost Centre],"CTS")&gt;0,"CTS ",""))," ",", ")))</f>
        <v/>
      </c>
      <c r="L395" s="27">
        <f>IF(C395="","",SUMIFS(tbl_Finance[Inc GST],tbl_Finance[Job Number],C395&amp;""))</f>
        <v/>
      </c>
      <c r="M395" s="24" t="n"/>
      <c r="N395" s="25">
        <f>IF(C395="","",IFERROR(INDEX(tbl_Finance[Description],MATCH(C395&amp;"",tbl_Finance[Job Number],0)),""))</f>
        <v/>
      </c>
      <c r="O395" s="24" t="n"/>
      <c r="P395" s="24" t="n"/>
      <c r="Q395" s="22" t="n"/>
      <c r="R395" s="24" t="n"/>
      <c r="S395" s="25">
        <f>IF(R395="","",IF(AND(LEFT(R395,4)&lt;&gt;"http",set_RMSBase=""),"",HYPERLINK(IF(LEFT(R395,4)="http",R395,set_RMSBase&amp;R395),"Open opportunity")))</f>
        <v/>
      </c>
      <c r="T395" s="24" t="n"/>
      <c r="U395" s="25">
        <f>IF(T395="","",HYPERLINK(IF(LEFT(T395,4)="http",T395,set_QwilrBase&amp;T395),"Open quote"))</f>
        <v/>
      </c>
      <c r="V395" s="25">
        <f>IF(C395="","",C395)</f>
        <v/>
      </c>
      <c r="W395" s="24" t="n"/>
      <c r="X395" s="26" t="n"/>
      <c r="Y395" s="27">
        <f>IF(C395="","",H395+N(X395))</f>
        <v/>
      </c>
      <c r="Z395" s="29">
        <f>IFERROR(X395/Y395,"")</f>
        <v/>
      </c>
      <c r="AA395" s="26" t="n"/>
      <c r="AB395" s="26" t="n"/>
      <c r="AC395" s="26" t="n"/>
      <c r="AD395" s="26" t="n"/>
      <c r="AE395" s="27">
        <f>IF(C395="","",SUMIFS(tbl_Finance[Ex GST],tbl_Finance[Job Number],C395&amp;"",tbl_Finance[Cost Centre],"VIDEO"))</f>
        <v/>
      </c>
      <c r="AF395" s="29">
        <f>IFERROR(AE395/H395,"")</f>
        <v/>
      </c>
      <c r="AG395" s="27">
        <f>IF(C395="","",N(AA395)+N(AB395)+N(AC395)+N(AD395))</f>
        <v/>
      </c>
      <c r="AH395" s="27">
        <f>IF(C395="","",H395-AG395)</f>
        <v/>
      </c>
      <c r="AI395" s="29">
        <f>IFERROR(AH395/H395,"")</f>
        <v/>
      </c>
      <c r="AJ395" s="69" t="n"/>
      <c r="AK395" s="69" t="n"/>
      <c r="AL395" s="69" t="n"/>
      <c r="AM395" s="69" t="n"/>
      <c r="AN395" s="69" t="n"/>
      <c r="AO395" s="24" t="n"/>
    </row>
    <row r="396" ht="15" customHeight="1">
      <c r="A396" s="68">
        <f>IF(C396="","",IFERROR(IF(SUMPRODUCT(MAX((tbl_Finance[Job Number]=C396&amp;"")*(tbl_Finance[Xero Invoice No]&lt;&gt;"")*tbl_Finance[Date]))=0,"",SUMPRODUCT(MAX((tbl_Finance[Job Number]=C396&amp;"")*(tbl_Finance[Xero Invoice No]&lt;&gt;"")*tbl_Finance[Date]))),""))</f>
        <v/>
      </c>
      <c r="B396" s="25">
        <f>IF(C396="","",IF(COUNTIFS(tbl_Finance[Job Number],C396&amp;"",tbl_Finance[Xero Invoice No],"&lt;&gt;")=0,"",IFERROR(IF(COUNTIFS(tbl_Finance[Job Number],C396&amp;"",tbl_Finance[Xero Invoice No],LOOKUP(2,1/((tbl_Finance[Job Number]=C396&amp;"")*(tbl_Finance[Xero Invoice No]&lt;&gt;"")),tbl_Finance[Xero Invoice No]))=COUNTIFS(tbl_Finance[Job Number],C396&amp;"",tbl_Finance[Xero Invoice No],"&lt;&gt;"),LOOKUP(2,1/((tbl_Finance[Job Number]=C396&amp;"")*(tbl_Finance[Xero Invoice No]&lt;&gt;"")),tbl_Finance[Xero Invoice No]),LOOKUP(2,1/((tbl_Finance[Job Number]=C396&amp;"")*(tbl_Finance[Xero Invoice No]&lt;&gt;"")),tbl_Finance[Xero Invoice No])&amp;" +more"),"")))</f>
        <v/>
      </c>
      <c r="C396" s="24" t="n"/>
      <c r="D396" s="25">
        <f>IF(C396="","",IF(COUNTIF(lst_Jobs,C396&amp;"")&gt;0,"OK","CHECK"))</f>
        <v/>
      </c>
      <c r="E396" s="25">
        <f>IF(C396="","",IFERROR(INDEX(lst_JobName,MATCH(C396&amp;"",lst_Jobs,0)),""))</f>
        <v/>
      </c>
      <c r="F396" s="25">
        <f>IF(C396="","",IFERROR(INDEX(tbl_Finance[Client],MATCH(C396&amp;"",tbl_Finance[Job Number],0)),""))</f>
        <v/>
      </c>
      <c r="G396" s="28">
        <f>IF(C396="","",COUNTIFS(tbl_Finance[Job Number],C396&amp;"",tbl_Finance[Ex GST],"&lt;&gt;"))</f>
        <v/>
      </c>
      <c r="H396" s="27">
        <f>IF(C396="","",SUMIFS(tbl_Finance[Ex GST],tbl_Finance[Job Number],C396&amp;""))</f>
        <v/>
      </c>
      <c r="I396" s="27">
        <f>IF(C396="","",SUMIFS(tbl_Finance[Ex GST],tbl_Finance[Job Number],C396&amp;"",tbl_Finance[Xero Invoice No],"&lt;&gt;"))</f>
        <v/>
      </c>
      <c r="J396" s="27">
        <f>IF(C396="","",H396-I396)</f>
        <v/>
      </c>
      <c r="K396" s="25">
        <f>IF(C396="","",IF(G396=0,"not invoiced yet",SUBSTITUTE(TRIM(IF(COUNTIFS(tbl_Finance[Job Number],C396&amp;"",tbl_Finance[Cost Centre],"ONSITE")&gt;0,"ONSITE ","")&amp;IF(COUNTIFS(tbl_Finance[Job Number],C396&amp;"",tbl_Finance[Cost Centre],"PRODUCTION")&gt;0,"PRODUCTION ","")&amp;IF(COUNTIFS(tbl_Finance[Job Number],C396&amp;"",tbl_Finance[Cost Centre],"VIDEO")&gt;0,"VIDEO ","")&amp;IF(COUNTIFS(tbl_Finance[Job Number],C396&amp;"",tbl_Finance[Cost Centre],"INTEGRATION")&gt;0,"INTEGRATION ","")&amp;IF(COUNTIFS(tbl_Finance[Job Number],C396&amp;"",tbl_Finance[Cost Centre],"CONSULTING")&gt;0,"CONSULTING ","")&amp;IF(COUNTIFS(tbl_Finance[Job Number],C396&amp;"",tbl_Finance[Cost Centre],"CTS")&gt;0,"CTS ",""))," ",", ")))</f>
        <v/>
      </c>
      <c r="L396" s="27">
        <f>IF(C396="","",SUMIFS(tbl_Finance[Inc GST],tbl_Finance[Job Number],C396&amp;""))</f>
        <v/>
      </c>
      <c r="M396" s="24" t="n"/>
      <c r="N396" s="25">
        <f>IF(C396="","",IFERROR(INDEX(tbl_Finance[Description],MATCH(C396&amp;"",tbl_Finance[Job Number],0)),""))</f>
        <v/>
      </c>
      <c r="O396" s="24" t="n"/>
      <c r="P396" s="24" t="n"/>
      <c r="Q396" s="22" t="n"/>
      <c r="R396" s="24" t="n"/>
      <c r="S396" s="25">
        <f>IF(R396="","",IF(AND(LEFT(R396,4)&lt;&gt;"http",set_RMSBase=""),"",HYPERLINK(IF(LEFT(R396,4)="http",R396,set_RMSBase&amp;R396),"Open opportunity")))</f>
        <v/>
      </c>
      <c r="T396" s="24" t="n"/>
      <c r="U396" s="25">
        <f>IF(T396="","",HYPERLINK(IF(LEFT(T396,4)="http",T396,set_QwilrBase&amp;T396),"Open quote"))</f>
        <v/>
      </c>
      <c r="V396" s="25">
        <f>IF(C396="","",C396)</f>
        <v/>
      </c>
      <c r="W396" s="24" t="n"/>
      <c r="X396" s="26" t="n"/>
      <c r="Y396" s="27">
        <f>IF(C396="","",H396+N(X396))</f>
        <v/>
      </c>
      <c r="Z396" s="29">
        <f>IFERROR(X396/Y396,"")</f>
        <v/>
      </c>
      <c r="AA396" s="26" t="n"/>
      <c r="AB396" s="26" t="n"/>
      <c r="AC396" s="26" t="n"/>
      <c r="AD396" s="26" t="n"/>
      <c r="AE396" s="27">
        <f>IF(C396="","",SUMIFS(tbl_Finance[Ex GST],tbl_Finance[Job Number],C396&amp;"",tbl_Finance[Cost Centre],"VIDEO"))</f>
        <v/>
      </c>
      <c r="AF396" s="29">
        <f>IFERROR(AE396/H396,"")</f>
        <v/>
      </c>
      <c r="AG396" s="27">
        <f>IF(C396="","",N(AA396)+N(AB396)+N(AC396)+N(AD396))</f>
        <v/>
      </c>
      <c r="AH396" s="27">
        <f>IF(C396="","",H396-AG396)</f>
        <v/>
      </c>
      <c r="AI396" s="29">
        <f>IFERROR(AH396/H396,"")</f>
        <v/>
      </c>
      <c r="AJ396" s="69" t="n"/>
      <c r="AK396" s="69" t="n"/>
      <c r="AL396" s="69" t="n"/>
      <c r="AM396" s="69" t="n"/>
      <c r="AN396" s="69" t="n"/>
      <c r="AO396" s="24" t="n"/>
    </row>
    <row r="397" ht="15" customHeight="1">
      <c r="A397" s="68">
        <f>IF(C397="","",IFERROR(IF(SUMPRODUCT(MAX((tbl_Finance[Job Number]=C397&amp;"")*(tbl_Finance[Xero Invoice No]&lt;&gt;"")*tbl_Finance[Date]))=0,"",SUMPRODUCT(MAX((tbl_Finance[Job Number]=C397&amp;"")*(tbl_Finance[Xero Invoice No]&lt;&gt;"")*tbl_Finance[Date]))),""))</f>
        <v/>
      </c>
      <c r="B397" s="25">
        <f>IF(C397="","",IF(COUNTIFS(tbl_Finance[Job Number],C397&amp;"",tbl_Finance[Xero Invoice No],"&lt;&gt;")=0,"",IFERROR(IF(COUNTIFS(tbl_Finance[Job Number],C397&amp;"",tbl_Finance[Xero Invoice No],LOOKUP(2,1/((tbl_Finance[Job Number]=C397&amp;"")*(tbl_Finance[Xero Invoice No]&lt;&gt;"")),tbl_Finance[Xero Invoice No]))=COUNTIFS(tbl_Finance[Job Number],C397&amp;"",tbl_Finance[Xero Invoice No],"&lt;&gt;"),LOOKUP(2,1/((tbl_Finance[Job Number]=C397&amp;"")*(tbl_Finance[Xero Invoice No]&lt;&gt;"")),tbl_Finance[Xero Invoice No]),LOOKUP(2,1/((tbl_Finance[Job Number]=C397&amp;"")*(tbl_Finance[Xero Invoice No]&lt;&gt;"")),tbl_Finance[Xero Invoice No])&amp;" +more"),"")))</f>
        <v/>
      </c>
      <c r="C397" s="24" t="n"/>
      <c r="D397" s="25">
        <f>IF(C397="","",IF(COUNTIF(lst_Jobs,C397&amp;"")&gt;0,"OK","CHECK"))</f>
        <v/>
      </c>
      <c r="E397" s="25">
        <f>IF(C397="","",IFERROR(INDEX(lst_JobName,MATCH(C397&amp;"",lst_Jobs,0)),""))</f>
        <v/>
      </c>
      <c r="F397" s="25">
        <f>IF(C397="","",IFERROR(INDEX(tbl_Finance[Client],MATCH(C397&amp;"",tbl_Finance[Job Number],0)),""))</f>
        <v/>
      </c>
      <c r="G397" s="28">
        <f>IF(C397="","",COUNTIFS(tbl_Finance[Job Number],C397&amp;"",tbl_Finance[Ex GST],"&lt;&gt;"))</f>
        <v/>
      </c>
      <c r="H397" s="27">
        <f>IF(C397="","",SUMIFS(tbl_Finance[Ex GST],tbl_Finance[Job Number],C397&amp;""))</f>
        <v/>
      </c>
      <c r="I397" s="27">
        <f>IF(C397="","",SUMIFS(tbl_Finance[Ex GST],tbl_Finance[Job Number],C397&amp;"",tbl_Finance[Xero Invoice No],"&lt;&gt;"))</f>
        <v/>
      </c>
      <c r="J397" s="27">
        <f>IF(C397="","",H397-I397)</f>
        <v/>
      </c>
      <c r="K397" s="25">
        <f>IF(C397="","",IF(G397=0,"not invoiced yet",SUBSTITUTE(TRIM(IF(COUNTIFS(tbl_Finance[Job Number],C397&amp;"",tbl_Finance[Cost Centre],"ONSITE")&gt;0,"ONSITE ","")&amp;IF(COUNTIFS(tbl_Finance[Job Number],C397&amp;"",tbl_Finance[Cost Centre],"PRODUCTION")&gt;0,"PRODUCTION ","")&amp;IF(COUNTIFS(tbl_Finance[Job Number],C397&amp;"",tbl_Finance[Cost Centre],"VIDEO")&gt;0,"VIDEO ","")&amp;IF(COUNTIFS(tbl_Finance[Job Number],C397&amp;"",tbl_Finance[Cost Centre],"INTEGRATION")&gt;0,"INTEGRATION ","")&amp;IF(COUNTIFS(tbl_Finance[Job Number],C397&amp;"",tbl_Finance[Cost Centre],"CONSULTING")&gt;0,"CONSULTING ","")&amp;IF(COUNTIFS(tbl_Finance[Job Number],C397&amp;"",tbl_Finance[Cost Centre],"CTS")&gt;0,"CTS ",""))," ",", ")))</f>
        <v/>
      </c>
      <c r="L397" s="27">
        <f>IF(C397="","",SUMIFS(tbl_Finance[Inc GST],tbl_Finance[Job Number],C397&amp;""))</f>
        <v/>
      </c>
      <c r="M397" s="24" t="n"/>
      <c r="N397" s="25">
        <f>IF(C397="","",IFERROR(INDEX(tbl_Finance[Description],MATCH(C397&amp;"",tbl_Finance[Job Number],0)),""))</f>
        <v/>
      </c>
      <c r="O397" s="24" t="n"/>
      <c r="P397" s="24" t="n"/>
      <c r="Q397" s="22" t="n"/>
      <c r="R397" s="24" t="n"/>
      <c r="S397" s="25">
        <f>IF(R397="","",IF(AND(LEFT(R397,4)&lt;&gt;"http",set_RMSBase=""),"",HYPERLINK(IF(LEFT(R397,4)="http",R397,set_RMSBase&amp;R397),"Open opportunity")))</f>
        <v/>
      </c>
      <c r="T397" s="24" t="n"/>
      <c r="U397" s="25">
        <f>IF(T397="","",HYPERLINK(IF(LEFT(T397,4)="http",T397,set_QwilrBase&amp;T397),"Open quote"))</f>
        <v/>
      </c>
      <c r="V397" s="25">
        <f>IF(C397="","",C397)</f>
        <v/>
      </c>
      <c r="W397" s="24" t="n"/>
      <c r="X397" s="26" t="n"/>
      <c r="Y397" s="27">
        <f>IF(C397="","",H397+N(X397))</f>
        <v/>
      </c>
      <c r="Z397" s="29">
        <f>IFERROR(X397/Y397,"")</f>
        <v/>
      </c>
      <c r="AA397" s="26" t="n"/>
      <c r="AB397" s="26" t="n"/>
      <c r="AC397" s="26" t="n"/>
      <c r="AD397" s="26" t="n"/>
      <c r="AE397" s="27">
        <f>IF(C397="","",SUMIFS(tbl_Finance[Ex GST],tbl_Finance[Job Number],C397&amp;"",tbl_Finance[Cost Centre],"VIDEO"))</f>
        <v/>
      </c>
      <c r="AF397" s="29">
        <f>IFERROR(AE397/H397,"")</f>
        <v/>
      </c>
      <c r="AG397" s="27">
        <f>IF(C397="","",N(AA397)+N(AB397)+N(AC397)+N(AD397))</f>
        <v/>
      </c>
      <c r="AH397" s="27">
        <f>IF(C397="","",H397-AG397)</f>
        <v/>
      </c>
      <c r="AI397" s="29">
        <f>IFERROR(AH397/H397,"")</f>
        <v/>
      </c>
      <c r="AJ397" s="69" t="n"/>
      <c r="AK397" s="69" t="n"/>
      <c r="AL397" s="69" t="n"/>
      <c r="AM397" s="69" t="n"/>
      <c r="AN397" s="69" t="n"/>
      <c r="AO397" s="24" t="n"/>
    </row>
    <row r="398" ht="15" customHeight="1">
      <c r="A398" s="68">
        <f>IF(C398="","",IFERROR(IF(SUMPRODUCT(MAX((tbl_Finance[Job Number]=C398&amp;"")*(tbl_Finance[Xero Invoice No]&lt;&gt;"")*tbl_Finance[Date]))=0,"",SUMPRODUCT(MAX((tbl_Finance[Job Number]=C398&amp;"")*(tbl_Finance[Xero Invoice No]&lt;&gt;"")*tbl_Finance[Date]))),""))</f>
        <v/>
      </c>
      <c r="B398" s="25">
        <f>IF(C398="","",IF(COUNTIFS(tbl_Finance[Job Number],C398&amp;"",tbl_Finance[Xero Invoice No],"&lt;&gt;")=0,"",IFERROR(IF(COUNTIFS(tbl_Finance[Job Number],C398&amp;"",tbl_Finance[Xero Invoice No],LOOKUP(2,1/((tbl_Finance[Job Number]=C398&amp;"")*(tbl_Finance[Xero Invoice No]&lt;&gt;"")),tbl_Finance[Xero Invoice No]))=COUNTIFS(tbl_Finance[Job Number],C398&amp;"",tbl_Finance[Xero Invoice No],"&lt;&gt;"),LOOKUP(2,1/((tbl_Finance[Job Number]=C398&amp;"")*(tbl_Finance[Xero Invoice No]&lt;&gt;"")),tbl_Finance[Xero Invoice No]),LOOKUP(2,1/((tbl_Finance[Job Number]=C398&amp;"")*(tbl_Finance[Xero Invoice No]&lt;&gt;"")),tbl_Finance[Xero Invoice No])&amp;" +more"),"")))</f>
        <v/>
      </c>
      <c r="C398" s="24" t="n"/>
      <c r="D398" s="25">
        <f>IF(C398="","",IF(COUNTIF(lst_Jobs,C398&amp;"")&gt;0,"OK","CHECK"))</f>
        <v/>
      </c>
      <c r="E398" s="25">
        <f>IF(C398="","",IFERROR(INDEX(lst_JobName,MATCH(C398&amp;"",lst_Jobs,0)),""))</f>
        <v/>
      </c>
      <c r="F398" s="25">
        <f>IF(C398="","",IFERROR(INDEX(tbl_Finance[Client],MATCH(C398&amp;"",tbl_Finance[Job Number],0)),""))</f>
        <v/>
      </c>
      <c r="G398" s="28">
        <f>IF(C398="","",COUNTIFS(tbl_Finance[Job Number],C398&amp;"",tbl_Finance[Ex GST],"&lt;&gt;"))</f>
        <v/>
      </c>
      <c r="H398" s="27">
        <f>IF(C398="","",SUMIFS(tbl_Finance[Ex GST],tbl_Finance[Job Number],C398&amp;""))</f>
        <v/>
      </c>
      <c r="I398" s="27">
        <f>IF(C398="","",SUMIFS(tbl_Finance[Ex GST],tbl_Finance[Job Number],C398&amp;"",tbl_Finance[Xero Invoice No],"&lt;&gt;"))</f>
        <v/>
      </c>
      <c r="J398" s="27">
        <f>IF(C398="","",H398-I398)</f>
        <v/>
      </c>
      <c r="K398" s="25">
        <f>IF(C398="","",IF(G398=0,"not invoiced yet",SUBSTITUTE(TRIM(IF(COUNTIFS(tbl_Finance[Job Number],C398&amp;"",tbl_Finance[Cost Centre],"ONSITE")&gt;0,"ONSITE ","")&amp;IF(COUNTIFS(tbl_Finance[Job Number],C398&amp;"",tbl_Finance[Cost Centre],"PRODUCTION")&gt;0,"PRODUCTION ","")&amp;IF(COUNTIFS(tbl_Finance[Job Number],C398&amp;"",tbl_Finance[Cost Centre],"VIDEO")&gt;0,"VIDEO ","")&amp;IF(COUNTIFS(tbl_Finance[Job Number],C398&amp;"",tbl_Finance[Cost Centre],"INTEGRATION")&gt;0,"INTEGRATION ","")&amp;IF(COUNTIFS(tbl_Finance[Job Number],C398&amp;"",tbl_Finance[Cost Centre],"CONSULTING")&gt;0,"CONSULTING ","")&amp;IF(COUNTIFS(tbl_Finance[Job Number],C398&amp;"",tbl_Finance[Cost Centre],"CTS")&gt;0,"CTS ",""))," ",", ")))</f>
        <v/>
      </c>
      <c r="L398" s="27">
        <f>IF(C398="","",SUMIFS(tbl_Finance[Inc GST],tbl_Finance[Job Number],C398&amp;""))</f>
        <v/>
      </c>
      <c r="M398" s="24" t="n"/>
      <c r="N398" s="25">
        <f>IF(C398="","",IFERROR(INDEX(tbl_Finance[Description],MATCH(C398&amp;"",tbl_Finance[Job Number],0)),""))</f>
        <v/>
      </c>
      <c r="O398" s="24" t="n"/>
      <c r="P398" s="24" t="n"/>
      <c r="Q398" s="22" t="n"/>
      <c r="R398" s="24" t="n"/>
      <c r="S398" s="25">
        <f>IF(R398="","",IF(AND(LEFT(R398,4)&lt;&gt;"http",set_RMSBase=""),"",HYPERLINK(IF(LEFT(R398,4)="http",R398,set_RMSBase&amp;R398),"Open opportunity")))</f>
        <v/>
      </c>
      <c r="T398" s="24" t="n"/>
      <c r="U398" s="25">
        <f>IF(T398="","",HYPERLINK(IF(LEFT(T398,4)="http",T398,set_QwilrBase&amp;T398),"Open quote"))</f>
        <v/>
      </c>
      <c r="V398" s="25">
        <f>IF(C398="","",C398)</f>
        <v/>
      </c>
      <c r="W398" s="24" t="n"/>
      <c r="X398" s="26" t="n"/>
      <c r="Y398" s="27">
        <f>IF(C398="","",H398+N(X398))</f>
        <v/>
      </c>
      <c r="Z398" s="29">
        <f>IFERROR(X398/Y398,"")</f>
        <v/>
      </c>
      <c r="AA398" s="26" t="n"/>
      <c r="AB398" s="26" t="n"/>
      <c r="AC398" s="26" t="n"/>
      <c r="AD398" s="26" t="n"/>
      <c r="AE398" s="27">
        <f>IF(C398="","",SUMIFS(tbl_Finance[Ex GST],tbl_Finance[Job Number],C398&amp;"",tbl_Finance[Cost Centre],"VIDEO"))</f>
        <v/>
      </c>
      <c r="AF398" s="29">
        <f>IFERROR(AE398/H398,"")</f>
        <v/>
      </c>
      <c r="AG398" s="27">
        <f>IF(C398="","",N(AA398)+N(AB398)+N(AC398)+N(AD398))</f>
        <v/>
      </c>
      <c r="AH398" s="27">
        <f>IF(C398="","",H398-AG398)</f>
        <v/>
      </c>
      <c r="AI398" s="29">
        <f>IFERROR(AH398/H398,"")</f>
        <v/>
      </c>
      <c r="AJ398" s="69" t="n"/>
      <c r="AK398" s="69" t="n"/>
      <c r="AL398" s="69" t="n"/>
      <c r="AM398" s="69" t="n"/>
      <c r="AN398" s="69" t="n"/>
      <c r="AO398" s="24" t="n"/>
    </row>
    <row r="399" ht="15" customHeight="1">
      <c r="A399" s="68">
        <f>IF(C399="","",IFERROR(IF(SUMPRODUCT(MAX((tbl_Finance[Job Number]=C399&amp;"")*(tbl_Finance[Xero Invoice No]&lt;&gt;"")*tbl_Finance[Date]))=0,"",SUMPRODUCT(MAX((tbl_Finance[Job Number]=C399&amp;"")*(tbl_Finance[Xero Invoice No]&lt;&gt;"")*tbl_Finance[Date]))),""))</f>
        <v/>
      </c>
      <c r="B399" s="25">
        <f>IF(C399="","",IF(COUNTIFS(tbl_Finance[Job Number],C399&amp;"",tbl_Finance[Xero Invoice No],"&lt;&gt;")=0,"",IFERROR(IF(COUNTIFS(tbl_Finance[Job Number],C399&amp;"",tbl_Finance[Xero Invoice No],LOOKUP(2,1/((tbl_Finance[Job Number]=C399&amp;"")*(tbl_Finance[Xero Invoice No]&lt;&gt;"")),tbl_Finance[Xero Invoice No]))=COUNTIFS(tbl_Finance[Job Number],C399&amp;"",tbl_Finance[Xero Invoice No],"&lt;&gt;"),LOOKUP(2,1/((tbl_Finance[Job Number]=C399&amp;"")*(tbl_Finance[Xero Invoice No]&lt;&gt;"")),tbl_Finance[Xero Invoice No]),LOOKUP(2,1/((tbl_Finance[Job Number]=C399&amp;"")*(tbl_Finance[Xero Invoice No]&lt;&gt;"")),tbl_Finance[Xero Invoice No])&amp;" +more"),"")))</f>
        <v/>
      </c>
      <c r="C399" s="24" t="n"/>
      <c r="D399" s="25">
        <f>IF(C399="","",IF(COUNTIF(lst_Jobs,C399&amp;"")&gt;0,"OK","CHECK"))</f>
        <v/>
      </c>
      <c r="E399" s="25">
        <f>IF(C399="","",IFERROR(INDEX(lst_JobName,MATCH(C399&amp;"",lst_Jobs,0)),""))</f>
        <v/>
      </c>
      <c r="F399" s="25">
        <f>IF(C399="","",IFERROR(INDEX(tbl_Finance[Client],MATCH(C399&amp;"",tbl_Finance[Job Number],0)),""))</f>
        <v/>
      </c>
      <c r="G399" s="28">
        <f>IF(C399="","",COUNTIFS(tbl_Finance[Job Number],C399&amp;"",tbl_Finance[Ex GST],"&lt;&gt;"))</f>
        <v/>
      </c>
      <c r="H399" s="27">
        <f>IF(C399="","",SUMIFS(tbl_Finance[Ex GST],tbl_Finance[Job Number],C399&amp;""))</f>
        <v/>
      </c>
      <c r="I399" s="27">
        <f>IF(C399="","",SUMIFS(tbl_Finance[Ex GST],tbl_Finance[Job Number],C399&amp;"",tbl_Finance[Xero Invoice No],"&lt;&gt;"))</f>
        <v/>
      </c>
      <c r="J399" s="27">
        <f>IF(C399="","",H399-I399)</f>
        <v/>
      </c>
      <c r="K399" s="25">
        <f>IF(C399="","",IF(G399=0,"not invoiced yet",SUBSTITUTE(TRIM(IF(COUNTIFS(tbl_Finance[Job Number],C399&amp;"",tbl_Finance[Cost Centre],"ONSITE")&gt;0,"ONSITE ","")&amp;IF(COUNTIFS(tbl_Finance[Job Number],C399&amp;"",tbl_Finance[Cost Centre],"PRODUCTION")&gt;0,"PRODUCTION ","")&amp;IF(COUNTIFS(tbl_Finance[Job Number],C399&amp;"",tbl_Finance[Cost Centre],"VIDEO")&gt;0,"VIDEO ","")&amp;IF(COUNTIFS(tbl_Finance[Job Number],C399&amp;"",tbl_Finance[Cost Centre],"INTEGRATION")&gt;0,"INTEGRATION ","")&amp;IF(COUNTIFS(tbl_Finance[Job Number],C399&amp;"",tbl_Finance[Cost Centre],"CONSULTING")&gt;0,"CONSULTING ","")&amp;IF(COUNTIFS(tbl_Finance[Job Number],C399&amp;"",tbl_Finance[Cost Centre],"CTS")&gt;0,"CTS ",""))," ",", ")))</f>
        <v/>
      </c>
      <c r="L399" s="27">
        <f>IF(C399="","",SUMIFS(tbl_Finance[Inc GST],tbl_Finance[Job Number],C399&amp;""))</f>
        <v/>
      </c>
      <c r="M399" s="24" t="n"/>
      <c r="N399" s="25">
        <f>IF(C399="","",IFERROR(INDEX(tbl_Finance[Description],MATCH(C399&amp;"",tbl_Finance[Job Number],0)),""))</f>
        <v/>
      </c>
      <c r="O399" s="24" t="n"/>
      <c r="P399" s="24" t="n"/>
      <c r="Q399" s="22" t="n"/>
      <c r="R399" s="24" t="n"/>
      <c r="S399" s="25">
        <f>IF(R399="","",IF(AND(LEFT(R399,4)&lt;&gt;"http",set_RMSBase=""),"",HYPERLINK(IF(LEFT(R399,4)="http",R399,set_RMSBase&amp;R399),"Open opportunity")))</f>
        <v/>
      </c>
      <c r="T399" s="24" t="n"/>
      <c r="U399" s="25">
        <f>IF(T399="","",HYPERLINK(IF(LEFT(T399,4)="http",T399,set_QwilrBase&amp;T399),"Open quote"))</f>
        <v/>
      </c>
      <c r="V399" s="25">
        <f>IF(C399="","",C399)</f>
        <v/>
      </c>
      <c r="W399" s="24" t="n"/>
      <c r="X399" s="26" t="n"/>
      <c r="Y399" s="27">
        <f>IF(C399="","",H399+N(X399))</f>
        <v/>
      </c>
      <c r="Z399" s="29">
        <f>IFERROR(X399/Y399,"")</f>
        <v/>
      </c>
      <c r="AA399" s="26" t="n"/>
      <c r="AB399" s="26" t="n"/>
      <c r="AC399" s="26" t="n"/>
      <c r="AD399" s="26" t="n"/>
      <c r="AE399" s="27">
        <f>IF(C399="","",SUMIFS(tbl_Finance[Ex GST],tbl_Finance[Job Number],C399&amp;"",tbl_Finance[Cost Centre],"VIDEO"))</f>
        <v/>
      </c>
      <c r="AF399" s="29">
        <f>IFERROR(AE399/H399,"")</f>
        <v/>
      </c>
      <c r="AG399" s="27">
        <f>IF(C399="","",N(AA399)+N(AB399)+N(AC399)+N(AD399))</f>
        <v/>
      </c>
      <c r="AH399" s="27">
        <f>IF(C399="","",H399-AG399)</f>
        <v/>
      </c>
      <c r="AI399" s="29">
        <f>IFERROR(AH399/H399,"")</f>
        <v/>
      </c>
      <c r="AJ399" s="69" t="n"/>
      <c r="AK399" s="69" t="n"/>
      <c r="AL399" s="69" t="n"/>
      <c r="AM399" s="69" t="n"/>
      <c r="AN399" s="69" t="n"/>
      <c r="AO399" s="24" t="n"/>
    </row>
    <row r="400" ht="15" customHeight="1">
      <c r="A400" s="68">
        <f>IF(C400="","",IFERROR(IF(SUMPRODUCT(MAX((tbl_Finance[Job Number]=C400&amp;"")*(tbl_Finance[Xero Invoice No]&lt;&gt;"")*tbl_Finance[Date]))=0,"",SUMPRODUCT(MAX((tbl_Finance[Job Number]=C400&amp;"")*(tbl_Finance[Xero Invoice No]&lt;&gt;"")*tbl_Finance[Date]))),""))</f>
        <v/>
      </c>
      <c r="B400" s="25">
        <f>IF(C400="","",IF(COUNTIFS(tbl_Finance[Job Number],C400&amp;"",tbl_Finance[Xero Invoice No],"&lt;&gt;")=0,"",IFERROR(IF(COUNTIFS(tbl_Finance[Job Number],C400&amp;"",tbl_Finance[Xero Invoice No],LOOKUP(2,1/((tbl_Finance[Job Number]=C400&amp;"")*(tbl_Finance[Xero Invoice No]&lt;&gt;"")),tbl_Finance[Xero Invoice No]))=COUNTIFS(tbl_Finance[Job Number],C400&amp;"",tbl_Finance[Xero Invoice No],"&lt;&gt;"),LOOKUP(2,1/((tbl_Finance[Job Number]=C400&amp;"")*(tbl_Finance[Xero Invoice No]&lt;&gt;"")),tbl_Finance[Xero Invoice No]),LOOKUP(2,1/((tbl_Finance[Job Number]=C400&amp;"")*(tbl_Finance[Xero Invoice No]&lt;&gt;"")),tbl_Finance[Xero Invoice No])&amp;" +more"),"")))</f>
        <v/>
      </c>
      <c r="C400" s="24" t="n"/>
      <c r="D400" s="25">
        <f>IF(C400="","",IF(COUNTIF(lst_Jobs,C400&amp;"")&gt;0,"OK","CHECK"))</f>
        <v/>
      </c>
      <c r="E400" s="25">
        <f>IF(C400="","",IFERROR(INDEX(lst_JobName,MATCH(C400&amp;"",lst_Jobs,0)),""))</f>
        <v/>
      </c>
      <c r="F400" s="25">
        <f>IF(C400="","",IFERROR(INDEX(tbl_Finance[Client],MATCH(C400&amp;"",tbl_Finance[Job Number],0)),""))</f>
        <v/>
      </c>
      <c r="G400" s="28">
        <f>IF(C400="","",COUNTIFS(tbl_Finance[Job Number],C400&amp;"",tbl_Finance[Ex GST],"&lt;&gt;"))</f>
        <v/>
      </c>
      <c r="H400" s="27">
        <f>IF(C400="","",SUMIFS(tbl_Finance[Ex GST],tbl_Finance[Job Number],C400&amp;""))</f>
        <v/>
      </c>
      <c r="I400" s="27">
        <f>IF(C400="","",SUMIFS(tbl_Finance[Ex GST],tbl_Finance[Job Number],C400&amp;"",tbl_Finance[Xero Invoice No],"&lt;&gt;"))</f>
        <v/>
      </c>
      <c r="J400" s="27">
        <f>IF(C400="","",H400-I400)</f>
        <v/>
      </c>
      <c r="K400" s="25">
        <f>IF(C400="","",IF(G400=0,"not invoiced yet",SUBSTITUTE(TRIM(IF(COUNTIFS(tbl_Finance[Job Number],C400&amp;"",tbl_Finance[Cost Centre],"ONSITE")&gt;0,"ONSITE ","")&amp;IF(COUNTIFS(tbl_Finance[Job Number],C400&amp;"",tbl_Finance[Cost Centre],"PRODUCTION")&gt;0,"PRODUCTION ","")&amp;IF(COUNTIFS(tbl_Finance[Job Number],C400&amp;"",tbl_Finance[Cost Centre],"VIDEO")&gt;0,"VIDEO ","")&amp;IF(COUNTIFS(tbl_Finance[Job Number],C400&amp;"",tbl_Finance[Cost Centre],"INTEGRATION")&gt;0,"INTEGRATION ","")&amp;IF(COUNTIFS(tbl_Finance[Job Number],C400&amp;"",tbl_Finance[Cost Centre],"CONSULTING")&gt;0,"CONSULTING ","")&amp;IF(COUNTIFS(tbl_Finance[Job Number],C400&amp;"",tbl_Finance[Cost Centre],"CTS")&gt;0,"CTS ",""))," ",", ")))</f>
        <v/>
      </c>
      <c r="L400" s="27">
        <f>IF(C400="","",SUMIFS(tbl_Finance[Inc GST],tbl_Finance[Job Number],C400&amp;""))</f>
        <v/>
      </c>
      <c r="M400" s="24" t="n"/>
      <c r="N400" s="25">
        <f>IF(C400="","",IFERROR(INDEX(tbl_Finance[Description],MATCH(C400&amp;"",tbl_Finance[Job Number],0)),""))</f>
        <v/>
      </c>
      <c r="O400" s="24" t="n"/>
      <c r="P400" s="24" t="n"/>
      <c r="Q400" s="22" t="n"/>
      <c r="R400" s="24" t="n"/>
      <c r="S400" s="25">
        <f>IF(R400="","",IF(AND(LEFT(R400,4)&lt;&gt;"http",set_RMSBase=""),"",HYPERLINK(IF(LEFT(R400,4)="http",R400,set_RMSBase&amp;R400),"Open opportunity")))</f>
        <v/>
      </c>
      <c r="T400" s="24" t="n"/>
      <c r="U400" s="25">
        <f>IF(T400="","",HYPERLINK(IF(LEFT(T400,4)="http",T400,set_QwilrBase&amp;T400),"Open quote"))</f>
        <v/>
      </c>
      <c r="V400" s="25">
        <f>IF(C400="","",C400)</f>
        <v/>
      </c>
      <c r="W400" s="24" t="n"/>
      <c r="X400" s="26" t="n"/>
      <c r="Y400" s="27">
        <f>IF(C400="","",H400+N(X400))</f>
        <v/>
      </c>
      <c r="Z400" s="29">
        <f>IFERROR(X400/Y400,"")</f>
        <v/>
      </c>
      <c r="AA400" s="26" t="n"/>
      <c r="AB400" s="26" t="n"/>
      <c r="AC400" s="26" t="n"/>
      <c r="AD400" s="26" t="n"/>
      <c r="AE400" s="27">
        <f>IF(C400="","",SUMIFS(tbl_Finance[Ex GST],tbl_Finance[Job Number],C400&amp;"",tbl_Finance[Cost Centre],"VIDEO"))</f>
        <v/>
      </c>
      <c r="AF400" s="29">
        <f>IFERROR(AE400/H400,"")</f>
        <v/>
      </c>
      <c r="AG400" s="27">
        <f>IF(C400="","",N(AA400)+N(AB400)+N(AC400)+N(AD400))</f>
        <v/>
      </c>
      <c r="AH400" s="27">
        <f>IF(C400="","",H400-AG400)</f>
        <v/>
      </c>
      <c r="AI400" s="29">
        <f>IFERROR(AH400/H400,"")</f>
        <v/>
      </c>
      <c r="AJ400" s="69" t="n"/>
      <c r="AK400" s="69" t="n"/>
      <c r="AL400" s="69" t="n"/>
      <c r="AM400" s="69" t="n"/>
      <c r="AN400" s="69" t="n"/>
      <c r="AO400" s="24" t="n"/>
    </row>
    <row r="401" ht="15" customHeight="1">
      <c r="A401" s="68">
        <f>IF(C401="","",IFERROR(IF(SUMPRODUCT(MAX((tbl_Finance[Job Number]=C401&amp;"")*(tbl_Finance[Xero Invoice No]&lt;&gt;"")*tbl_Finance[Date]))=0,"",SUMPRODUCT(MAX((tbl_Finance[Job Number]=C401&amp;"")*(tbl_Finance[Xero Invoice No]&lt;&gt;"")*tbl_Finance[Date]))),""))</f>
        <v/>
      </c>
      <c r="B401" s="25">
        <f>IF(C401="","",IF(COUNTIFS(tbl_Finance[Job Number],C401&amp;"",tbl_Finance[Xero Invoice No],"&lt;&gt;")=0,"",IFERROR(IF(COUNTIFS(tbl_Finance[Job Number],C401&amp;"",tbl_Finance[Xero Invoice No],LOOKUP(2,1/((tbl_Finance[Job Number]=C401&amp;"")*(tbl_Finance[Xero Invoice No]&lt;&gt;"")),tbl_Finance[Xero Invoice No]))=COUNTIFS(tbl_Finance[Job Number],C401&amp;"",tbl_Finance[Xero Invoice No],"&lt;&gt;"),LOOKUP(2,1/((tbl_Finance[Job Number]=C401&amp;"")*(tbl_Finance[Xero Invoice No]&lt;&gt;"")),tbl_Finance[Xero Invoice No]),LOOKUP(2,1/((tbl_Finance[Job Number]=C401&amp;"")*(tbl_Finance[Xero Invoice No]&lt;&gt;"")),tbl_Finance[Xero Invoice No])&amp;" +more"),"")))</f>
        <v/>
      </c>
      <c r="C401" s="24" t="n"/>
      <c r="D401" s="25">
        <f>IF(C401="","",IF(COUNTIF(lst_Jobs,C401&amp;"")&gt;0,"OK","CHECK"))</f>
        <v/>
      </c>
      <c r="E401" s="25">
        <f>IF(C401="","",IFERROR(INDEX(lst_JobName,MATCH(C401&amp;"",lst_Jobs,0)),""))</f>
        <v/>
      </c>
      <c r="F401" s="25">
        <f>IF(C401="","",IFERROR(INDEX(tbl_Finance[Client],MATCH(C401&amp;"",tbl_Finance[Job Number],0)),""))</f>
        <v/>
      </c>
      <c r="G401" s="28">
        <f>IF(C401="","",COUNTIFS(tbl_Finance[Job Number],C401&amp;"",tbl_Finance[Ex GST],"&lt;&gt;"))</f>
        <v/>
      </c>
      <c r="H401" s="27">
        <f>IF(C401="","",SUMIFS(tbl_Finance[Ex GST],tbl_Finance[Job Number],C401&amp;""))</f>
        <v/>
      </c>
      <c r="I401" s="27">
        <f>IF(C401="","",SUMIFS(tbl_Finance[Ex GST],tbl_Finance[Job Number],C401&amp;"",tbl_Finance[Xero Invoice No],"&lt;&gt;"))</f>
        <v/>
      </c>
      <c r="J401" s="27">
        <f>IF(C401="","",H401-I401)</f>
        <v/>
      </c>
      <c r="K401" s="25">
        <f>IF(C401="","",IF(G401=0,"not invoiced yet",SUBSTITUTE(TRIM(IF(COUNTIFS(tbl_Finance[Job Number],C401&amp;"",tbl_Finance[Cost Centre],"ONSITE")&gt;0,"ONSITE ","")&amp;IF(COUNTIFS(tbl_Finance[Job Number],C401&amp;"",tbl_Finance[Cost Centre],"PRODUCTION")&gt;0,"PRODUCTION ","")&amp;IF(COUNTIFS(tbl_Finance[Job Number],C401&amp;"",tbl_Finance[Cost Centre],"VIDEO")&gt;0,"VIDEO ","")&amp;IF(COUNTIFS(tbl_Finance[Job Number],C401&amp;"",tbl_Finance[Cost Centre],"INTEGRATION")&gt;0,"INTEGRATION ","")&amp;IF(COUNTIFS(tbl_Finance[Job Number],C401&amp;"",tbl_Finance[Cost Centre],"CONSULTING")&gt;0,"CONSULTING ","")&amp;IF(COUNTIFS(tbl_Finance[Job Number],C401&amp;"",tbl_Finance[Cost Centre],"CTS")&gt;0,"CTS ",""))," ",", ")))</f>
        <v/>
      </c>
      <c r="L401" s="27">
        <f>IF(C401="","",SUMIFS(tbl_Finance[Inc GST],tbl_Finance[Job Number],C401&amp;""))</f>
        <v/>
      </c>
      <c r="M401" s="24" t="n"/>
      <c r="N401" s="25">
        <f>IF(C401="","",IFERROR(INDEX(tbl_Finance[Description],MATCH(C401&amp;"",tbl_Finance[Job Number],0)),""))</f>
        <v/>
      </c>
      <c r="O401" s="24" t="n"/>
      <c r="P401" s="24" t="n"/>
      <c r="Q401" s="22" t="n"/>
      <c r="R401" s="24" t="n"/>
      <c r="S401" s="25">
        <f>IF(R401="","",IF(AND(LEFT(R401,4)&lt;&gt;"http",set_RMSBase=""),"",HYPERLINK(IF(LEFT(R401,4)="http",R401,set_RMSBase&amp;R401),"Open opportunity")))</f>
        <v/>
      </c>
      <c r="T401" s="24" t="n"/>
      <c r="U401" s="25">
        <f>IF(T401="","",HYPERLINK(IF(LEFT(T401,4)="http",T401,set_QwilrBase&amp;T401),"Open quote"))</f>
        <v/>
      </c>
      <c r="V401" s="25">
        <f>IF(C401="","",C401)</f>
        <v/>
      </c>
      <c r="W401" s="24" t="n"/>
      <c r="X401" s="26" t="n"/>
      <c r="Y401" s="27">
        <f>IF(C401="","",H401+N(X401))</f>
        <v/>
      </c>
      <c r="Z401" s="29">
        <f>IFERROR(X401/Y401,"")</f>
        <v/>
      </c>
      <c r="AA401" s="26" t="n"/>
      <c r="AB401" s="26" t="n"/>
      <c r="AC401" s="26" t="n"/>
      <c r="AD401" s="26" t="n"/>
      <c r="AE401" s="27">
        <f>IF(C401="","",SUMIFS(tbl_Finance[Ex GST],tbl_Finance[Job Number],C401&amp;"",tbl_Finance[Cost Centre],"VIDEO"))</f>
        <v/>
      </c>
      <c r="AF401" s="29">
        <f>IFERROR(AE401/H401,"")</f>
        <v/>
      </c>
      <c r="AG401" s="27">
        <f>IF(C401="","",N(AA401)+N(AB401)+N(AC401)+N(AD401))</f>
        <v/>
      </c>
      <c r="AH401" s="27">
        <f>IF(C401="","",H401-AG401)</f>
        <v/>
      </c>
      <c r="AI401" s="29">
        <f>IFERROR(AH401/H401,"")</f>
        <v/>
      </c>
      <c r="AJ401" s="69" t="n"/>
      <c r="AK401" s="69" t="n"/>
      <c r="AL401" s="69" t="n"/>
      <c r="AM401" s="69" t="n"/>
      <c r="AN401" s="69" t="n"/>
      <c r="AO401" s="24" t="n"/>
    </row>
    <row r="402" ht="15" customHeight="1">
      <c r="A402" s="68">
        <f>IF(C402="","",IFERROR(IF(SUMPRODUCT(MAX((tbl_Finance[Job Number]=C402&amp;"")*(tbl_Finance[Xero Invoice No]&lt;&gt;"")*tbl_Finance[Date]))=0,"",SUMPRODUCT(MAX((tbl_Finance[Job Number]=C402&amp;"")*(tbl_Finance[Xero Invoice No]&lt;&gt;"")*tbl_Finance[Date]))),""))</f>
        <v/>
      </c>
      <c r="B402" s="25">
        <f>IF(C402="","",IF(COUNTIFS(tbl_Finance[Job Number],C402&amp;"",tbl_Finance[Xero Invoice No],"&lt;&gt;")=0,"",IFERROR(IF(COUNTIFS(tbl_Finance[Job Number],C402&amp;"",tbl_Finance[Xero Invoice No],LOOKUP(2,1/((tbl_Finance[Job Number]=C402&amp;"")*(tbl_Finance[Xero Invoice No]&lt;&gt;"")),tbl_Finance[Xero Invoice No]))=COUNTIFS(tbl_Finance[Job Number],C402&amp;"",tbl_Finance[Xero Invoice No],"&lt;&gt;"),LOOKUP(2,1/((tbl_Finance[Job Number]=C402&amp;"")*(tbl_Finance[Xero Invoice No]&lt;&gt;"")),tbl_Finance[Xero Invoice No]),LOOKUP(2,1/((tbl_Finance[Job Number]=C402&amp;"")*(tbl_Finance[Xero Invoice No]&lt;&gt;"")),tbl_Finance[Xero Invoice No])&amp;" +more"),"")))</f>
        <v/>
      </c>
      <c r="C402" s="24" t="n"/>
      <c r="D402" s="25">
        <f>IF(C402="","",IF(COUNTIF(lst_Jobs,C402&amp;"")&gt;0,"OK","CHECK"))</f>
        <v/>
      </c>
      <c r="E402" s="25">
        <f>IF(C402="","",IFERROR(INDEX(lst_JobName,MATCH(C402&amp;"",lst_Jobs,0)),""))</f>
        <v/>
      </c>
      <c r="F402" s="25">
        <f>IF(C402="","",IFERROR(INDEX(tbl_Finance[Client],MATCH(C402&amp;"",tbl_Finance[Job Number],0)),""))</f>
        <v/>
      </c>
      <c r="G402" s="28">
        <f>IF(C402="","",COUNTIFS(tbl_Finance[Job Number],C402&amp;"",tbl_Finance[Ex GST],"&lt;&gt;"))</f>
        <v/>
      </c>
      <c r="H402" s="27">
        <f>IF(C402="","",SUMIFS(tbl_Finance[Ex GST],tbl_Finance[Job Number],C402&amp;""))</f>
        <v/>
      </c>
      <c r="I402" s="27">
        <f>IF(C402="","",SUMIFS(tbl_Finance[Ex GST],tbl_Finance[Job Number],C402&amp;"",tbl_Finance[Xero Invoice No],"&lt;&gt;"))</f>
        <v/>
      </c>
      <c r="J402" s="27">
        <f>IF(C402="","",H402-I402)</f>
        <v/>
      </c>
      <c r="K402" s="25">
        <f>IF(C402="","",IF(G402=0,"not invoiced yet",SUBSTITUTE(TRIM(IF(COUNTIFS(tbl_Finance[Job Number],C402&amp;"",tbl_Finance[Cost Centre],"ONSITE")&gt;0,"ONSITE ","")&amp;IF(COUNTIFS(tbl_Finance[Job Number],C402&amp;"",tbl_Finance[Cost Centre],"PRODUCTION")&gt;0,"PRODUCTION ","")&amp;IF(COUNTIFS(tbl_Finance[Job Number],C402&amp;"",tbl_Finance[Cost Centre],"VIDEO")&gt;0,"VIDEO ","")&amp;IF(COUNTIFS(tbl_Finance[Job Number],C402&amp;"",tbl_Finance[Cost Centre],"INTEGRATION")&gt;0,"INTEGRATION ","")&amp;IF(COUNTIFS(tbl_Finance[Job Number],C402&amp;"",tbl_Finance[Cost Centre],"CONSULTING")&gt;0,"CONSULTING ","")&amp;IF(COUNTIFS(tbl_Finance[Job Number],C402&amp;"",tbl_Finance[Cost Centre],"CTS")&gt;0,"CTS ",""))," ",", ")))</f>
        <v/>
      </c>
      <c r="L402" s="27">
        <f>IF(C402="","",SUMIFS(tbl_Finance[Inc GST],tbl_Finance[Job Number],C402&amp;""))</f>
        <v/>
      </c>
      <c r="M402" s="24" t="n"/>
      <c r="N402" s="25">
        <f>IF(C402="","",IFERROR(INDEX(tbl_Finance[Description],MATCH(C402&amp;"",tbl_Finance[Job Number],0)),""))</f>
        <v/>
      </c>
      <c r="O402" s="24" t="n"/>
      <c r="P402" s="24" t="n"/>
      <c r="Q402" s="22" t="n"/>
      <c r="R402" s="24" t="n"/>
      <c r="S402" s="25">
        <f>IF(R402="","",IF(AND(LEFT(R402,4)&lt;&gt;"http",set_RMSBase=""),"",HYPERLINK(IF(LEFT(R402,4)="http",R402,set_RMSBase&amp;R402),"Open opportunity")))</f>
        <v/>
      </c>
      <c r="T402" s="24" t="n"/>
      <c r="U402" s="25">
        <f>IF(T402="","",HYPERLINK(IF(LEFT(T402,4)="http",T402,set_QwilrBase&amp;T402),"Open quote"))</f>
        <v/>
      </c>
      <c r="V402" s="25">
        <f>IF(C402="","",C402)</f>
        <v/>
      </c>
      <c r="W402" s="24" t="n"/>
      <c r="X402" s="26" t="n"/>
      <c r="Y402" s="27">
        <f>IF(C402="","",H402+N(X402))</f>
        <v/>
      </c>
      <c r="Z402" s="29">
        <f>IFERROR(X402/Y402,"")</f>
        <v/>
      </c>
      <c r="AA402" s="26" t="n"/>
      <c r="AB402" s="26" t="n"/>
      <c r="AC402" s="26" t="n"/>
      <c r="AD402" s="26" t="n"/>
      <c r="AE402" s="27">
        <f>IF(C402="","",SUMIFS(tbl_Finance[Ex GST],tbl_Finance[Job Number],C402&amp;"",tbl_Finance[Cost Centre],"VIDEO"))</f>
        <v/>
      </c>
      <c r="AF402" s="29">
        <f>IFERROR(AE402/H402,"")</f>
        <v/>
      </c>
      <c r="AG402" s="27">
        <f>IF(C402="","",N(AA402)+N(AB402)+N(AC402)+N(AD402))</f>
        <v/>
      </c>
      <c r="AH402" s="27">
        <f>IF(C402="","",H402-AG402)</f>
        <v/>
      </c>
      <c r="AI402" s="29">
        <f>IFERROR(AH402/H402,"")</f>
        <v/>
      </c>
      <c r="AJ402" s="69" t="n"/>
      <c r="AK402" s="69" t="n"/>
      <c r="AL402" s="69" t="n"/>
      <c r="AM402" s="69" t="n"/>
      <c r="AN402" s="69" t="n"/>
      <c r="AO402" s="24" t="n"/>
    </row>
    <row r="403" ht="15" customHeight="1">
      <c r="A403" s="68">
        <f>IF(C403="","",IFERROR(IF(SUMPRODUCT(MAX((tbl_Finance[Job Number]=C403&amp;"")*(tbl_Finance[Xero Invoice No]&lt;&gt;"")*tbl_Finance[Date]))=0,"",SUMPRODUCT(MAX((tbl_Finance[Job Number]=C403&amp;"")*(tbl_Finance[Xero Invoice No]&lt;&gt;"")*tbl_Finance[Date]))),""))</f>
        <v/>
      </c>
      <c r="B403" s="25">
        <f>IF(C403="","",IF(COUNTIFS(tbl_Finance[Job Number],C403&amp;"",tbl_Finance[Xero Invoice No],"&lt;&gt;")=0,"",IFERROR(IF(COUNTIFS(tbl_Finance[Job Number],C403&amp;"",tbl_Finance[Xero Invoice No],LOOKUP(2,1/((tbl_Finance[Job Number]=C403&amp;"")*(tbl_Finance[Xero Invoice No]&lt;&gt;"")),tbl_Finance[Xero Invoice No]))=COUNTIFS(tbl_Finance[Job Number],C403&amp;"",tbl_Finance[Xero Invoice No],"&lt;&gt;"),LOOKUP(2,1/((tbl_Finance[Job Number]=C403&amp;"")*(tbl_Finance[Xero Invoice No]&lt;&gt;"")),tbl_Finance[Xero Invoice No]),LOOKUP(2,1/((tbl_Finance[Job Number]=C403&amp;"")*(tbl_Finance[Xero Invoice No]&lt;&gt;"")),tbl_Finance[Xero Invoice No])&amp;" +more"),"")))</f>
        <v/>
      </c>
      <c r="C403" s="24" t="n"/>
      <c r="D403" s="25">
        <f>IF(C403="","",IF(COUNTIF(lst_Jobs,C403&amp;"")&gt;0,"OK","CHECK"))</f>
        <v/>
      </c>
      <c r="E403" s="25">
        <f>IF(C403="","",IFERROR(INDEX(lst_JobName,MATCH(C403&amp;"",lst_Jobs,0)),""))</f>
        <v/>
      </c>
      <c r="F403" s="25">
        <f>IF(C403="","",IFERROR(INDEX(tbl_Finance[Client],MATCH(C403&amp;"",tbl_Finance[Job Number],0)),""))</f>
        <v/>
      </c>
      <c r="G403" s="28">
        <f>IF(C403="","",COUNTIFS(tbl_Finance[Job Number],C403&amp;"",tbl_Finance[Ex GST],"&lt;&gt;"))</f>
        <v/>
      </c>
      <c r="H403" s="27">
        <f>IF(C403="","",SUMIFS(tbl_Finance[Ex GST],tbl_Finance[Job Number],C403&amp;""))</f>
        <v/>
      </c>
      <c r="I403" s="27">
        <f>IF(C403="","",SUMIFS(tbl_Finance[Ex GST],tbl_Finance[Job Number],C403&amp;"",tbl_Finance[Xero Invoice No],"&lt;&gt;"))</f>
        <v/>
      </c>
      <c r="J403" s="27">
        <f>IF(C403="","",H403-I403)</f>
        <v/>
      </c>
      <c r="K403" s="25">
        <f>IF(C403="","",IF(G403=0,"not invoiced yet",SUBSTITUTE(TRIM(IF(COUNTIFS(tbl_Finance[Job Number],C403&amp;"",tbl_Finance[Cost Centre],"ONSITE")&gt;0,"ONSITE ","")&amp;IF(COUNTIFS(tbl_Finance[Job Number],C403&amp;"",tbl_Finance[Cost Centre],"PRODUCTION")&gt;0,"PRODUCTION ","")&amp;IF(COUNTIFS(tbl_Finance[Job Number],C403&amp;"",tbl_Finance[Cost Centre],"VIDEO")&gt;0,"VIDEO ","")&amp;IF(COUNTIFS(tbl_Finance[Job Number],C403&amp;"",tbl_Finance[Cost Centre],"INTEGRATION")&gt;0,"INTEGRATION ","")&amp;IF(COUNTIFS(tbl_Finance[Job Number],C403&amp;"",tbl_Finance[Cost Centre],"CONSULTING")&gt;0,"CONSULTING ","")&amp;IF(COUNTIFS(tbl_Finance[Job Number],C403&amp;"",tbl_Finance[Cost Centre],"CTS")&gt;0,"CTS ",""))," ",", ")))</f>
        <v/>
      </c>
      <c r="L403" s="27">
        <f>IF(C403="","",SUMIFS(tbl_Finance[Inc GST],tbl_Finance[Job Number],C403&amp;""))</f>
        <v/>
      </c>
      <c r="M403" s="24" t="n"/>
      <c r="N403" s="25">
        <f>IF(C403="","",IFERROR(INDEX(tbl_Finance[Description],MATCH(C403&amp;"",tbl_Finance[Job Number],0)),""))</f>
        <v/>
      </c>
      <c r="O403" s="24" t="n"/>
      <c r="P403" s="24" t="n"/>
      <c r="Q403" s="22" t="n"/>
      <c r="R403" s="24" t="n"/>
      <c r="S403" s="25">
        <f>IF(R403="","",IF(AND(LEFT(R403,4)&lt;&gt;"http",set_RMSBase=""),"",HYPERLINK(IF(LEFT(R403,4)="http",R403,set_RMSBase&amp;R403),"Open opportunity")))</f>
        <v/>
      </c>
      <c r="T403" s="24" t="n"/>
      <c r="U403" s="25">
        <f>IF(T403="","",HYPERLINK(IF(LEFT(T403,4)="http",T403,set_QwilrBase&amp;T403),"Open quote"))</f>
        <v/>
      </c>
      <c r="V403" s="25">
        <f>IF(C403="","",C403)</f>
        <v/>
      </c>
      <c r="W403" s="24" t="n"/>
      <c r="X403" s="26" t="n"/>
      <c r="Y403" s="27">
        <f>IF(C403="","",H403+N(X403))</f>
        <v/>
      </c>
      <c r="Z403" s="29">
        <f>IFERROR(X403/Y403,"")</f>
        <v/>
      </c>
      <c r="AA403" s="26" t="n"/>
      <c r="AB403" s="26" t="n"/>
      <c r="AC403" s="26" t="n"/>
      <c r="AD403" s="26" t="n"/>
      <c r="AE403" s="27">
        <f>IF(C403="","",SUMIFS(tbl_Finance[Ex GST],tbl_Finance[Job Number],C403&amp;"",tbl_Finance[Cost Centre],"VIDEO"))</f>
        <v/>
      </c>
      <c r="AF403" s="29">
        <f>IFERROR(AE403/H403,"")</f>
        <v/>
      </c>
      <c r="AG403" s="27">
        <f>IF(C403="","",N(AA403)+N(AB403)+N(AC403)+N(AD403))</f>
        <v/>
      </c>
      <c r="AH403" s="27">
        <f>IF(C403="","",H403-AG403)</f>
        <v/>
      </c>
      <c r="AI403" s="29">
        <f>IFERROR(AH403/H403,"")</f>
        <v/>
      </c>
      <c r="AJ403" s="69" t="n"/>
      <c r="AK403" s="69" t="n"/>
      <c r="AL403" s="69" t="n"/>
      <c r="AM403" s="69" t="n"/>
      <c r="AN403" s="69" t="n"/>
      <c r="AO403" s="24" t="n"/>
    </row>
    <row r="404" ht="15" customHeight="1">
      <c r="A404" s="68">
        <f>IF(C404="","",IFERROR(IF(SUMPRODUCT(MAX((tbl_Finance[Job Number]=C404&amp;"")*(tbl_Finance[Xero Invoice No]&lt;&gt;"")*tbl_Finance[Date]))=0,"",SUMPRODUCT(MAX((tbl_Finance[Job Number]=C404&amp;"")*(tbl_Finance[Xero Invoice No]&lt;&gt;"")*tbl_Finance[Date]))),""))</f>
        <v/>
      </c>
      <c r="B404" s="25">
        <f>IF(C404="","",IF(COUNTIFS(tbl_Finance[Job Number],C404&amp;"",tbl_Finance[Xero Invoice No],"&lt;&gt;")=0,"",IFERROR(IF(COUNTIFS(tbl_Finance[Job Number],C404&amp;"",tbl_Finance[Xero Invoice No],LOOKUP(2,1/((tbl_Finance[Job Number]=C404&amp;"")*(tbl_Finance[Xero Invoice No]&lt;&gt;"")),tbl_Finance[Xero Invoice No]))=COUNTIFS(tbl_Finance[Job Number],C404&amp;"",tbl_Finance[Xero Invoice No],"&lt;&gt;"),LOOKUP(2,1/((tbl_Finance[Job Number]=C404&amp;"")*(tbl_Finance[Xero Invoice No]&lt;&gt;"")),tbl_Finance[Xero Invoice No]),LOOKUP(2,1/((tbl_Finance[Job Number]=C404&amp;"")*(tbl_Finance[Xero Invoice No]&lt;&gt;"")),tbl_Finance[Xero Invoice No])&amp;" +more"),"")))</f>
        <v/>
      </c>
      <c r="C404" s="24" t="n"/>
      <c r="D404" s="25">
        <f>IF(C404="","",IF(COUNTIF(lst_Jobs,C404&amp;"")&gt;0,"OK","CHECK"))</f>
        <v/>
      </c>
      <c r="E404" s="25">
        <f>IF(C404="","",IFERROR(INDEX(lst_JobName,MATCH(C404&amp;"",lst_Jobs,0)),""))</f>
        <v/>
      </c>
      <c r="F404" s="25">
        <f>IF(C404="","",IFERROR(INDEX(tbl_Finance[Client],MATCH(C404&amp;"",tbl_Finance[Job Number],0)),""))</f>
        <v/>
      </c>
      <c r="G404" s="28">
        <f>IF(C404="","",COUNTIFS(tbl_Finance[Job Number],C404&amp;"",tbl_Finance[Ex GST],"&lt;&gt;"))</f>
        <v/>
      </c>
      <c r="H404" s="27">
        <f>IF(C404="","",SUMIFS(tbl_Finance[Ex GST],tbl_Finance[Job Number],C404&amp;""))</f>
        <v/>
      </c>
      <c r="I404" s="27">
        <f>IF(C404="","",SUMIFS(tbl_Finance[Ex GST],tbl_Finance[Job Number],C404&amp;"",tbl_Finance[Xero Invoice No],"&lt;&gt;"))</f>
        <v/>
      </c>
      <c r="J404" s="27">
        <f>IF(C404="","",H404-I404)</f>
        <v/>
      </c>
      <c r="K404" s="25">
        <f>IF(C404="","",IF(G404=0,"not invoiced yet",SUBSTITUTE(TRIM(IF(COUNTIFS(tbl_Finance[Job Number],C404&amp;"",tbl_Finance[Cost Centre],"ONSITE")&gt;0,"ONSITE ","")&amp;IF(COUNTIFS(tbl_Finance[Job Number],C404&amp;"",tbl_Finance[Cost Centre],"PRODUCTION")&gt;0,"PRODUCTION ","")&amp;IF(COUNTIFS(tbl_Finance[Job Number],C404&amp;"",tbl_Finance[Cost Centre],"VIDEO")&gt;0,"VIDEO ","")&amp;IF(COUNTIFS(tbl_Finance[Job Number],C404&amp;"",tbl_Finance[Cost Centre],"INTEGRATION")&gt;0,"INTEGRATION ","")&amp;IF(COUNTIFS(tbl_Finance[Job Number],C404&amp;"",tbl_Finance[Cost Centre],"CONSULTING")&gt;0,"CONSULTING ","")&amp;IF(COUNTIFS(tbl_Finance[Job Number],C404&amp;"",tbl_Finance[Cost Centre],"CTS")&gt;0,"CTS ",""))," ",", ")))</f>
        <v/>
      </c>
      <c r="L404" s="27">
        <f>IF(C404="","",SUMIFS(tbl_Finance[Inc GST],tbl_Finance[Job Number],C404&amp;""))</f>
        <v/>
      </c>
      <c r="M404" s="24" t="n"/>
      <c r="N404" s="25">
        <f>IF(C404="","",IFERROR(INDEX(tbl_Finance[Description],MATCH(C404&amp;"",tbl_Finance[Job Number],0)),""))</f>
        <v/>
      </c>
      <c r="O404" s="24" t="n"/>
      <c r="P404" s="24" t="n"/>
      <c r="Q404" s="22" t="n"/>
      <c r="R404" s="24" t="n"/>
      <c r="S404" s="25">
        <f>IF(R404="","",IF(AND(LEFT(R404,4)&lt;&gt;"http",set_RMSBase=""),"",HYPERLINK(IF(LEFT(R404,4)="http",R404,set_RMSBase&amp;R404),"Open opportunity")))</f>
        <v/>
      </c>
      <c r="T404" s="24" t="n"/>
      <c r="U404" s="25">
        <f>IF(T404="","",HYPERLINK(IF(LEFT(T404,4)="http",T404,set_QwilrBase&amp;T404),"Open quote"))</f>
        <v/>
      </c>
      <c r="V404" s="25">
        <f>IF(C404="","",C404)</f>
        <v/>
      </c>
      <c r="W404" s="24" t="n"/>
      <c r="X404" s="26" t="n"/>
      <c r="Y404" s="27">
        <f>IF(C404="","",H404+N(X404))</f>
        <v/>
      </c>
      <c r="Z404" s="29">
        <f>IFERROR(X404/Y404,"")</f>
        <v/>
      </c>
      <c r="AA404" s="26" t="n"/>
      <c r="AB404" s="26" t="n"/>
      <c r="AC404" s="26" t="n"/>
      <c r="AD404" s="26" t="n"/>
      <c r="AE404" s="27">
        <f>IF(C404="","",SUMIFS(tbl_Finance[Ex GST],tbl_Finance[Job Number],C404&amp;"",tbl_Finance[Cost Centre],"VIDEO"))</f>
        <v/>
      </c>
      <c r="AF404" s="29">
        <f>IFERROR(AE404/H404,"")</f>
        <v/>
      </c>
      <c r="AG404" s="27">
        <f>IF(C404="","",N(AA404)+N(AB404)+N(AC404)+N(AD404))</f>
        <v/>
      </c>
      <c r="AH404" s="27">
        <f>IF(C404="","",H404-AG404)</f>
        <v/>
      </c>
      <c r="AI404" s="29">
        <f>IFERROR(AH404/H404,"")</f>
        <v/>
      </c>
      <c r="AJ404" s="69" t="n"/>
      <c r="AK404" s="69" t="n"/>
      <c r="AL404" s="69" t="n"/>
      <c r="AM404" s="69" t="n"/>
      <c r="AN404" s="69" t="n"/>
      <c r="AO404" s="24" t="n"/>
    </row>
  </sheetData>
  <sheetProtection selectLockedCells="0" selectUnlockedCells="0" sheet="1" objects="0" insertRows="0" insertHyperlinks="1" autoFilter="0" scenarios="0" formatColumns="0" deleteColumns="1" insertColumns="1" pivotTables="1" deleteRows="1" formatCells="0" formatRows="0" sort="0" password="DE92"/>
  <mergeCells count="1">
    <mergeCell ref="A3:K3"/>
  </mergeCells>
  <conditionalFormatting sqref="D5:D5000">
    <cfRule type="expression" priority="1" dxfId="0" stopIfTrue="0">
      <formula>D5="CHECK"</formula>
    </cfRule>
  </conditionalFormatting>
  <dataValidations count="1">
    <dataValidation sqref="W5:W20000" showDropDown="0" showInputMessage="0" showErrorMessage="1" allowBlank="1" errorTitle="Not on the list" error="&quot;Job Closed&quot; is not on the list in the Lists sheet. Add it there if it is genuinely new." type="list" errorStyle="warning">
      <formula1>lst_YN</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5B708A"/>
    <outlinePr summaryBelow="1" summaryRight="1"/>
    <pageSetUpPr/>
  </sheetPr>
  <dimension ref="A1:X404"/>
  <sheetViews>
    <sheetView showGridLines="0"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5" customWidth="1" min="3" max="3"/>
    <col width="12" customWidth="1" min="4" max="4"/>
    <col width="38" customWidth="1" min="5" max="5"/>
    <col width="24" customWidth="1" min="6" max="6"/>
    <col width="11" customWidth="1" min="7" max="7"/>
    <col width="16" customWidth="1" min="8" max="8"/>
    <col width="14" customWidth="1" min="9" max="9"/>
    <col width="14" customWidth="1" min="10" max="10"/>
    <col width="16" customWidth="1" min="11" max="11"/>
    <col width="40" customWidth="1" min="12" max="12"/>
    <col width="14" customWidth="1" min="13" max="13"/>
    <col width="15" customWidth="1" min="14" max="14"/>
    <col width="17" customWidth="1" min="15" max="15"/>
    <col width="19" customWidth="1" min="16" max="16"/>
    <col width="18" customWidth="1" min="17" max="17"/>
    <col width="22" customWidth="1" min="18" max="18"/>
    <col width="26" customWidth="1" min="19" max="19"/>
    <col width="28" customWidth="1" min="20" max="20"/>
    <col width="14" customWidth="1" min="21" max="21"/>
    <col width="14" customWidth="1" min="22" max="22"/>
    <col width="10" customWidth="1" min="23" max="23"/>
    <col width="38" customWidth="1" min="24" max="24"/>
  </cols>
  <sheetData>
    <row r="1" ht="24" customHeight="1">
      <c r="A1" s="18" t="inlineStr">
        <is>
          <t>Consulting - Job Detail</t>
        </is>
      </c>
    </row>
    <row r="2" ht="16" customHeight="1">
      <c r="A2" s="2" t="inlineStr">
        <is>
          <t>Consulting and Integration jobs. One row per job number. Revenue comes from the Finance sheet; split it across Labour / Equipment / Subscription and the check column flags any mismatch.</t>
        </is>
      </c>
    </row>
    <row r="3" ht="22" customHeight="1">
      <c r="A3" s="19">
        <f>"Revenue Ex GST  "&amp;TEXT(SUBTOTAL(109,tbl_Consulting[Revenue Ex GST]),"$#,##0.00")</f>
        <v/>
      </c>
    </row>
    <row r="4" ht="34" customHeight="1">
      <c r="A4" s="21" t="inlineStr">
        <is>
          <t>Invoice Date</t>
        </is>
      </c>
      <c r="B4" s="21" t="inlineStr">
        <is>
          <t>Invoice No</t>
        </is>
      </c>
      <c r="C4" s="20" t="inlineStr">
        <is>
          <t>Job Number</t>
        </is>
      </c>
      <c r="D4" s="21" t="inlineStr">
        <is>
          <t>Job in Xero?</t>
        </is>
      </c>
      <c r="E4" s="21" t="inlineStr">
        <is>
          <t>Job Name (Xero)</t>
        </is>
      </c>
      <c r="F4" s="21" t="inlineStr">
        <is>
          <t>Client</t>
        </is>
      </c>
      <c r="G4" s="21" t="inlineStr">
        <is>
          <t>Lines on Job</t>
        </is>
      </c>
      <c r="H4" s="21" t="inlineStr">
        <is>
          <t>Revenue Ex GST</t>
        </is>
      </c>
      <c r="I4" s="21" t="inlineStr">
        <is>
          <t>Invoiced</t>
        </is>
      </c>
      <c r="J4" s="21" t="inlineStr">
        <is>
          <t>To Invoice</t>
        </is>
      </c>
      <c r="K4" s="21" t="inlineStr">
        <is>
          <t>Cost Centres</t>
        </is>
      </c>
      <c r="L4" s="20" t="inlineStr">
        <is>
          <t>Qwilr Quote</t>
        </is>
      </c>
      <c r="M4" s="21" t="inlineStr">
        <is>
          <t>Open Qwilr</t>
        </is>
      </c>
      <c r="N4" s="20" t="inlineStr">
        <is>
          <t>Labour Revenue</t>
        </is>
      </c>
      <c r="O4" s="20" t="inlineStr">
        <is>
          <t>Equipment Revenue</t>
        </is>
      </c>
      <c r="P4" s="20" t="inlineStr">
        <is>
          <t>Subscription Revenue</t>
        </is>
      </c>
      <c r="Q4" s="21" t="inlineStr">
        <is>
          <t>Revenue Split Check</t>
        </is>
      </c>
      <c r="R4" s="20" t="inlineStr">
        <is>
          <t>Labour Expense (External)</t>
        </is>
      </c>
      <c r="S4" s="20" t="inlineStr">
        <is>
          <t>Equipment Expense (Internal)</t>
        </is>
      </c>
      <c r="T4" s="20" t="inlineStr">
        <is>
          <t>Subscription &amp; Licences Expense</t>
        </is>
      </c>
      <c r="U4" s="21" t="inlineStr">
        <is>
          <t>Total Expense</t>
        </is>
      </c>
      <c r="V4" s="21" t="inlineStr">
        <is>
          <t>Margin</t>
        </is>
      </c>
      <c r="W4" s="21" t="inlineStr">
        <is>
          <t>Margin %</t>
        </is>
      </c>
      <c r="X4" s="20" t="inlineStr">
        <is>
          <t>Notes</t>
        </is>
      </c>
    </row>
    <row r="5" ht="15" customHeight="1">
      <c r="A5" s="68">
        <f>IF(C5="","",IFERROR(IF(SUMPRODUCT(MAX((tbl_Finance[Job Number]=C5&amp;"")*(tbl_Finance[Xero Invoice No]&lt;&gt;"")*tbl_Finance[Date]))=0,"",SUMPRODUCT(MAX((tbl_Finance[Job Number]=C5&amp;"")*(tbl_Finance[Xero Invoice No]&lt;&gt;"")*tbl_Finance[Date]))),""))</f>
        <v/>
      </c>
      <c r="B5" s="25">
        <f>IF(C5="","",IF(COUNTIFS(tbl_Finance[Job Number],C5&amp;"",tbl_Finance[Xero Invoice No],"&lt;&gt;")=0,"",IFERROR(IF(COUNTIFS(tbl_Finance[Job Number],C5&amp;"",tbl_Finance[Xero Invoice No],LOOKUP(2,1/((tbl_Finance[Job Number]=C5&amp;"")*(tbl_Finance[Xero Invoice No]&lt;&gt;"")),tbl_Finance[Xero Invoice No]))=COUNTIFS(tbl_Finance[Job Number],C5&amp;"",tbl_Finance[Xero Invoice No],"&lt;&gt;"),LOOKUP(2,1/((tbl_Finance[Job Number]=C5&amp;"")*(tbl_Finance[Xero Invoice No]&lt;&gt;"")),tbl_Finance[Xero Invoice No]),LOOKUP(2,1/((tbl_Finance[Job Number]=C5&amp;"")*(tbl_Finance[Xero Invoice No]&lt;&gt;"")),tbl_Finance[Xero Invoice No])&amp;" +more"),"")))</f>
        <v/>
      </c>
      <c r="C5" s="24" t="n"/>
      <c r="D5" s="25">
        <f>IF(C5="","",IF(COUNTIF(lst_Jobs,C5&amp;"")&gt;0,"OK","CHECK"))</f>
        <v/>
      </c>
      <c r="E5" s="25">
        <f>IF(C5="","",IFERROR(INDEX(lst_JobName,MATCH(C5&amp;"",lst_Jobs,0)),""))</f>
        <v/>
      </c>
      <c r="F5" s="25">
        <f>IF(C5="","",IFERROR(INDEX(tbl_Finance[Client],MATCH(C5&amp;"",tbl_Finance[Job Number],0)),""))</f>
        <v/>
      </c>
      <c r="G5" s="28">
        <f>IF(C5="","",COUNTIFS(tbl_Finance[Job Number],C5&amp;"",tbl_Finance[Ex GST],"&lt;&gt;"))</f>
        <v/>
      </c>
      <c r="H5" s="27">
        <f>IF(C5="","",SUMIFS(tbl_Finance[Ex GST],tbl_Finance[Job Number],C5&amp;""))</f>
        <v/>
      </c>
      <c r="I5" s="27">
        <f>IF(C5="","",SUMIFS(tbl_Finance[Ex GST],tbl_Finance[Job Number],C5&amp;"",tbl_Finance[Xero Invoice No],"&lt;&gt;"))</f>
        <v/>
      </c>
      <c r="J5" s="27">
        <f>IF(C5="","",H5-I5)</f>
        <v/>
      </c>
      <c r="K5" s="25">
        <f>IF(C5="","",IF(G5=0,"not invoiced yet",SUBSTITUTE(TRIM(IF(COUNTIFS(tbl_Finance[Job Number],C5&amp;"",tbl_Finance[Cost Centre],"ONSITE")&gt;0,"ONSITE ","")&amp;IF(COUNTIFS(tbl_Finance[Job Number],C5&amp;"",tbl_Finance[Cost Centre],"PRODUCTION")&gt;0,"PRODUCTION ","")&amp;IF(COUNTIFS(tbl_Finance[Job Number],C5&amp;"",tbl_Finance[Cost Centre],"VIDEO")&gt;0,"VIDEO ","")&amp;IF(COUNTIFS(tbl_Finance[Job Number],C5&amp;"",tbl_Finance[Cost Centre],"INTEGRATION")&gt;0,"INTEGRATION ","")&amp;IF(COUNTIFS(tbl_Finance[Job Number],C5&amp;"",tbl_Finance[Cost Centre],"CONSULTING")&gt;0,"CONSULTING ","")&amp;IF(COUNTIFS(tbl_Finance[Job Number],C5&amp;"",tbl_Finance[Cost Centre],"CTS")&gt;0,"CTS ",""))," ",", ")))</f>
        <v/>
      </c>
      <c r="L5" s="24" t="n"/>
      <c r="M5" s="25">
        <f>IF(L5="","",HYPERLINK(IF(LEFT(L5,4)="http",L5,set_QwilrBase&amp;L5),"Open quote"))</f>
        <v/>
      </c>
      <c r="N5" s="26" t="n"/>
      <c r="O5" s="26" t="n"/>
      <c r="P5" s="26" t="n"/>
      <c r="Q5" s="25">
        <f>IF(C5="","",IF(N(N5)+N(O5)+N(P5)=0,"Not split",IF(ROUND(N(N5)+N(O5)+N(P5),2)=ROUND(H5,2),"OK","MISMATCH")))</f>
        <v/>
      </c>
      <c r="R5" s="26" t="n"/>
      <c r="S5" s="26" t="n"/>
      <c r="T5" s="26" t="n"/>
      <c r="U5" s="27">
        <f>IF(C5="","",N(R5)+N(S5)+N(T5))</f>
        <v/>
      </c>
      <c r="V5" s="27">
        <f>IF(C5="","",H5-U5)</f>
        <v/>
      </c>
      <c r="W5" s="29">
        <f>IFERROR(V5/H5,"")</f>
        <v/>
      </c>
      <c r="X5" s="24" t="n"/>
    </row>
    <row r="6" ht="15" customHeight="1">
      <c r="A6" s="68">
        <f>IF(C6="","",IFERROR(IF(SUMPRODUCT(MAX((tbl_Finance[Job Number]=C6&amp;"")*(tbl_Finance[Xero Invoice No]&lt;&gt;"")*tbl_Finance[Date]))=0,"",SUMPRODUCT(MAX((tbl_Finance[Job Number]=C6&amp;"")*(tbl_Finance[Xero Invoice No]&lt;&gt;"")*tbl_Finance[Date]))),""))</f>
        <v/>
      </c>
      <c r="B6" s="25">
        <f>IF(C6="","",IF(COUNTIFS(tbl_Finance[Job Number],C6&amp;"",tbl_Finance[Xero Invoice No],"&lt;&gt;")=0,"",IFERROR(IF(COUNTIFS(tbl_Finance[Job Number],C6&amp;"",tbl_Finance[Xero Invoice No],LOOKUP(2,1/((tbl_Finance[Job Number]=C6&amp;"")*(tbl_Finance[Xero Invoice No]&lt;&gt;"")),tbl_Finance[Xero Invoice No]))=COUNTIFS(tbl_Finance[Job Number],C6&amp;"",tbl_Finance[Xero Invoice No],"&lt;&gt;"),LOOKUP(2,1/((tbl_Finance[Job Number]=C6&amp;"")*(tbl_Finance[Xero Invoice No]&lt;&gt;"")),tbl_Finance[Xero Invoice No]),LOOKUP(2,1/((tbl_Finance[Job Number]=C6&amp;"")*(tbl_Finance[Xero Invoice No]&lt;&gt;"")),tbl_Finance[Xero Invoice No])&amp;" +more"),"")))</f>
        <v/>
      </c>
      <c r="C6" s="24" t="n"/>
      <c r="D6" s="25">
        <f>IF(C6="","",IF(COUNTIF(lst_Jobs,C6&amp;"")&gt;0,"OK","CHECK"))</f>
        <v/>
      </c>
      <c r="E6" s="25">
        <f>IF(C6="","",IFERROR(INDEX(lst_JobName,MATCH(C6&amp;"",lst_Jobs,0)),""))</f>
        <v/>
      </c>
      <c r="F6" s="25">
        <f>IF(C6="","",IFERROR(INDEX(tbl_Finance[Client],MATCH(C6&amp;"",tbl_Finance[Job Number],0)),""))</f>
        <v/>
      </c>
      <c r="G6" s="28">
        <f>IF(C6="","",COUNTIFS(tbl_Finance[Job Number],C6&amp;"",tbl_Finance[Ex GST],"&lt;&gt;"))</f>
        <v/>
      </c>
      <c r="H6" s="27">
        <f>IF(C6="","",SUMIFS(tbl_Finance[Ex GST],tbl_Finance[Job Number],C6&amp;""))</f>
        <v/>
      </c>
      <c r="I6" s="27">
        <f>IF(C6="","",SUMIFS(tbl_Finance[Ex GST],tbl_Finance[Job Number],C6&amp;"",tbl_Finance[Xero Invoice No],"&lt;&gt;"))</f>
        <v/>
      </c>
      <c r="J6" s="27">
        <f>IF(C6="","",H6-I6)</f>
        <v/>
      </c>
      <c r="K6" s="25">
        <f>IF(C6="","",IF(G6=0,"not invoiced yet",SUBSTITUTE(TRIM(IF(COUNTIFS(tbl_Finance[Job Number],C6&amp;"",tbl_Finance[Cost Centre],"ONSITE")&gt;0,"ONSITE ","")&amp;IF(COUNTIFS(tbl_Finance[Job Number],C6&amp;"",tbl_Finance[Cost Centre],"PRODUCTION")&gt;0,"PRODUCTION ","")&amp;IF(COUNTIFS(tbl_Finance[Job Number],C6&amp;"",tbl_Finance[Cost Centre],"VIDEO")&gt;0,"VIDEO ","")&amp;IF(COUNTIFS(tbl_Finance[Job Number],C6&amp;"",tbl_Finance[Cost Centre],"INTEGRATION")&gt;0,"INTEGRATION ","")&amp;IF(COUNTIFS(tbl_Finance[Job Number],C6&amp;"",tbl_Finance[Cost Centre],"CONSULTING")&gt;0,"CONSULTING ","")&amp;IF(COUNTIFS(tbl_Finance[Job Number],C6&amp;"",tbl_Finance[Cost Centre],"CTS")&gt;0,"CTS ",""))," ",", ")))</f>
        <v/>
      </c>
      <c r="L6" s="24" t="n"/>
      <c r="M6" s="25">
        <f>IF(L6="","",HYPERLINK(IF(LEFT(L6,4)="http",L6,set_QwilrBase&amp;L6),"Open quote"))</f>
        <v/>
      </c>
      <c r="N6" s="26" t="n"/>
      <c r="O6" s="26" t="n"/>
      <c r="P6" s="26" t="n"/>
      <c r="Q6" s="25">
        <f>IF(C6="","",IF(N(N6)+N(O6)+N(P6)=0,"Not split",IF(ROUND(N(N6)+N(O6)+N(P6),2)=ROUND(H6,2),"OK","MISMATCH")))</f>
        <v/>
      </c>
      <c r="R6" s="26" t="n"/>
      <c r="S6" s="26" t="n"/>
      <c r="T6" s="26" t="n"/>
      <c r="U6" s="27">
        <f>IF(C6="","",N(R6)+N(S6)+N(T6))</f>
        <v/>
      </c>
      <c r="V6" s="27">
        <f>IF(C6="","",H6-U6)</f>
        <v/>
      </c>
      <c r="W6" s="29">
        <f>IFERROR(V6/H6,"")</f>
        <v/>
      </c>
      <c r="X6" s="24" t="n"/>
    </row>
    <row r="7" ht="15" customHeight="1">
      <c r="A7" s="68">
        <f>IF(C7="","",IFERROR(IF(SUMPRODUCT(MAX((tbl_Finance[Job Number]=C7&amp;"")*(tbl_Finance[Xero Invoice No]&lt;&gt;"")*tbl_Finance[Date]))=0,"",SUMPRODUCT(MAX((tbl_Finance[Job Number]=C7&amp;"")*(tbl_Finance[Xero Invoice No]&lt;&gt;"")*tbl_Finance[Date]))),""))</f>
        <v/>
      </c>
      <c r="B7" s="25">
        <f>IF(C7="","",IF(COUNTIFS(tbl_Finance[Job Number],C7&amp;"",tbl_Finance[Xero Invoice No],"&lt;&gt;")=0,"",IFERROR(IF(COUNTIFS(tbl_Finance[Job Number],C7&amp;"",tbl_Finance[Xero Invoice No],LOOKUP(2,1/((tbl_Finance[Job Number]=C7&amp;"")*(tbl_Finance[Xero Invoice No]&lt;&gt;"")),tbl_Finance[Xero Invoice No]))=COUNTIFS(tbl_Finance[Job Number],C7&amp;"",tbl_Finance[Xero Invoice No],"&lt;&gt;"),LOOKUP(2,1/((tbl_Finance[Job Number]=C7&amp;"")*(tbl_Finance[Xero Invoice No]&lt;&gt;"")),tbl_Finance[Xero Invoice No]),LOOKUP(2,1/((tbl_Finance[Job Number]=C7&amp;"")*(tbl_Finance[Xero Invoice No]&lt;&gt;"")),tbl_Finance[Xero Invoice No])&amp;" +more"),"")))</f>
        <v/>
      </c>
      <c r="C7" s="24" t="n"/>
      <c r="D7" s="25">
        <f>IF(C7="","",IF(COUNTIF(lst_Jobs,C7&amp;"")&gt;0,"OK","CHECK"))</f>
        <v/>
      </c>
      <c r="E7" s="25">
        <f>IF(C7="","",IFERROR(INDEX(lst_JobName,MATCH(C7&amp;"",lst_Jobs,0)),""))</f>
        <v/>
      </c>
      <c r="F7" s="25">
        <f>IF(C7="","",IFERROR(INDEX(tbl_Finance[Client],MATCH(C7&amp;"",tbl_Finance[Job Number],0)),""))</f>
        <v/>
      </c>
      <c r="G7" s="28">
        <f>IF(C7="","",COUNTIFS(tbl_Finance[Job Number],C7&amp;"",tbl_Finance[Ex GST],"&lt;&gt;"))</f>
        <v/>
      </c>
      <c r="H7" s="27">
        <f>IF(C7="","",SUMIFS(tbl_Finance[Ex GST],tbl_Finance[Job Number],C7&amp;""))</f>
        <v/>
      </c>
      <c r="I7" s="27">
        <f>IF(C7="","",SUMIFS(tbl_Finance[Ex GST],tbl_Finance[Job Number],C7&amp;"",tbl_Finance[Xero Invoice No],"&lt;&gt;"))</f>
        <v/>
      </c>
      <c r="J7" s="27">
        <f>IF(C7="","",H7-I7)</f>
        <v/>
      </c>
      <c r="K7" s="25">
        <f>IF(C7="","",IF(G7=0,"not invoiced yet",SUBSTITUTE(TRIM(IF(COUNTIFS(tbl_Finance[Job Number],C7&amp;"",tbl_Finance[Cost Centre],"ONSITE")&gt;0,"ONSITE ","")&amp;IF(COUNTIFS(tbl_Finance[Job Number],C7&amp;"",tbl_Finance[Cost Centre],"PRODUCTION")&gt;0,"PRODUCTION ","")&amp;IF(COUNTIFS(tbl_Finance[Job Number],C7&amp;"",tbl_Finance[Cost Centre],"VIDEO")&gt;0,"VIDEO ","")&amp;IF(COUNTIFS(tbl_Finance[Job Number],C7&amp;"",tbl_Finance[Cost Centre],"INTEGRATION")&gt;0,"INTEGRATION ","")&amp;IF(COUNTIFS(tbl_Finance[Job Number],C7&amp;"",tbl_Finance[Cost Centre],"CONSULTING")&gt;0,"CONSULTING ","")&amp;IF(COUNTIFS(tbl_Finance[Job Number],C7&amp;"",tbl_Finance[Cost Centre],"CTS")&gt;0,"CTS ",""))," ",", ")))</f>
        <v/>
      </c>
      <c r="L7" s="24" t="n"/>
      <c r="M7" s="25">
        <f>IF(L7="","",HYPERLINK(IF(LEFT(L7,4)="http",L7,set_QwilrBase&amp;L7),"Open quote"))</f>
        <v/>
      </c>
      <c r="N7" s="26" t="n"/>
      <c r="O7" s="26" t="n"/>
      <c r="P7" s="26" t="n"/>
      <c r="Q7" s="25">
        <f>IF(C7="","",IF(N(N7)+N(O7)+N(P7)=0,"Not split",IF(ROUND(N(N7)+N(O7)+N(P7),2)=ROUND(H7,2),"OK","MISMATCH")))</f>
        <v/>
      </c>
      <c r="R7" s="26" t="n"/>
      <c r="S7" s="26" t="n"/>
      <c r="T7" s="26" t="n"/>
      <c r="U7" s="27">
        <f>IF(C7="","",N(R7)+N(S7)+N(T7))</f>
        <v/>
      </c>
      <c r="V7" s="27">
        <f>IF(C7="","",H7-U7)</f>
        <v/>
      </c>
      <c r="W7" s="29">
        <f>IFERROR(V7/H7,"")</f>
        <v/>
      </c>
      <c r="X7" s="24" t="n"/>
    </row>
    <row r="8" ht="15" customHeight="1">
      <c r="A8" s="68">
        <f>IF(C8="","",IFERROR(IF(SUMPRODUCT(MAX((tbl_Finance[Job Number]=C8&amp;"")*(tbl_Finance[Xero Invoice No]&lt;&gt;"")*tbl_Finance[Date]))=0,"",SUMPRODUCT(MAX((tbl_Finance[Job Number]=C8&amp;"")*(tbl_Finance[Xero Invoice No]&lt;&gt;"")*tbl_Finance[Date]))),""))</f>
        <v/>
      </c>
      <c r="B8" s="25">
        <f>IF(C8="","",IF(COUNTIFS(tbl_Finance[Job Number],C8&amp;"",tbl_Finance[Xero Invoice No],"&lt;&gt;")=0,"",IFERROR(IF(COUNTIFS(tbl_Finance[Job Number],C8&amp;"",tbl_Finance[Xero Invoice No],LOOKUP(2,1/((tbl_Finance[Job Number]=C8&amp;"")*(tbl_Finance[Xero Invoice No]&lt;&gt;"")),tbl_Finance[Xero Invoice No]))=COUNTIFS(tbl_Finance[Job Number],C8&amp;"",tbl_Finance[Xero Invoice No],"&lt;&gt;"),LOOKUP(2,1/((tbl_Finance[Job Number]=C8&amp;"")*(tbl_Finance[Xero Invoice No]&lt;&gt;"")),tbl_Finance[Xero Invoice No]),LOOKUP(2,1/((tbl_Finance[Job Number]=C8&amp;"")*(tbl_Finance[Xero Invoice No]&lt;&gt;"")),tbl_Finance[Xero Invoice No])&amp;" +more"),"")))</f>
        <v/>
      </c>
      <c r="C8" s="24" t="n"/>
      <c r="D8" s="25">
        <f>IF(C8="","",IF(COUNTIF(lst_Jobs,C8&amp;"")&gt;0,"OK","CHECK"))</f>
        <v/>
      </c>
      <c r="E8" s="25">
        <f>IF(C8="","",IFERROR(INDEX(lst_JobName,MATCH(C8&amp;"",lst_Jobs,0)),""))</f>
        <v/>
      </c>
      <c r="F8" s="25">
        <f>IF(C8="","",IFERROR(INDEX(tbl_Finance[Client],MATCH(C8&amp;"",tbl_Finance[Job Number],0)),""))</f>
        <v/>
      </c>
      <c r="G8" s="28">
        <f>IF(C8="","",COUNTIFS(tbl_Finance[Job Number],C8&amp;"",tbl_Finance[Ex GST],"&lt;&gt;"))</f>
        <v/>
      </c>
      <c r="H8" s="27">
        <f>IF(C8="","",SUMIFS(tbl_Finance[Ex GST],tbl_Finance[Job Number],C8&amp;""))</f>
        <v/>
      </c>
      <c r="I8" s="27">
        <f>IF(C8="","",SUMIFS(tbl_Finance[Ex GST],tbl_Finance[Job Number],C8&amp;"",tbl_Finance[Xero Invoice No],"&lt;&gt;"))</f>
        <v/>
      </c>
      <c r="J8" s="27">
        <f>IF(C8="","",H8-I8)</f>
        <v/>
      </c>
      <c r="K8" s="25">
        <f>IF(C8="","",IF(G8=0,"not invoiced yet",SUBSTITUTE(TRIM(IF(COUNTIFS(tbl_Finance[Job Number],C8&amp;"",tbl_Finance[Cost Centre],"ONSITE")&gt;0,"ONSITE ","")&amp;IF(COUNTIFS(tbl_Finance[Job Number],C8&amp;"",tbl_Finance[Cost Centre],"PRODUCTION")&gt;0,"PRODUCTION ","")&amp;IF(COUNTIFS(tbl_Finance[Job Number],C8&amp;"",tbl_Finance[Cost Centre],"VIDEO")&gt;0,"VIDEO ","")&amp;IF(COUNTIFS(tbl_Finance[Job Number],C8&amp;"",tbl_Finance[Cost Centre],"INTEGRATION")&gt;0,"INTEGRATION ","")&amp;IF(COUNTIFS(tbl_Finance[Job Number],C8&amp;"",tbl_Finance[Cost Centre],"CONSULTING")&gt;0,"CONSULTING ","")&amp;IF(COUNTIFS(tbl_Finance[Job Number],C8&amp;"",tbl_Finance[Cost Centre],"CTS")&gt;0,"CTS ",""))," ",", ")))</f>
        <v/>
      </c>
      <c r="L8" s="24" t="n"/>
      <c r="M8" s="25">
        <f>IF(L8="","",HYPERLINK(IF(LEFT(L8,4)="http",L8,set_QwilrBase&amp;L8),"Open quote"))</f>
        <v/>
      </c>
      <c r="N8" s="26" t="n"/>
      <c r="O8" s="26" t="n"/>
      <c r="P8" s="26" t="n"/>
      <c r="Q8" s="25">
        <f>IF(C8="","",IF(N(N8)+N(O8)+N(P8)=0,"Not split",IF(ROUND(N(N8)+N(O8)+N(P8),2)=ROUND(H8,2),"OK","MISMATCH")))</f>
        <v/>
      </c>
      <c r="R8" s="26" t="n"/>
      <c r="S8" s="26" t="n"/>
      <c r="T8" s="26" t="n"/>
      <c r="U8" s="27">
        <f>IF(C8="","",N(R8)+N(S8)+N(T8))</f>
        <v/>
      </c>
      <c r="V8" s="27">
        <f>IF(C8="","",H8-U8)</f>
        <v/>
      </c>
      <c r="W8" s="29">
        <f>IFERROR(V8/H8,"")</f>
        <v/>
      </c>
      <c r="X8" s="24" t="n"/>
    </row>
    <row r="9" ht="15" customHeight="1">
      <c r="A9" s="68">
        <f>IF(C9="","",IFERROR(IF(SUMPRODUCT(MAX((tbl_Finance[Job Number]=C9&amp;"")*(tbl_Finance[Xero Invoice No]&lt;&gt;"")*tbl_Finance[Date]))=0,"",SUMPRODUCT(MAX((tbl_Finance[Job Number]=C9&amp;"")*(tbl_Finance[Xero Invoice No]&lt;&gt;"")*tbl_Finance[Date]))),""))</f>
        <v/>
      </c>
      <c r="B9" s="25">
        <f>IF(C9="","",IF(COUNTIFS(tbl_Finance[Job Number],C9&amp;"",tbl_Finance[Xero Invoice No],"&lt;&gt;")=0,"",IFERROR(IF(COUNTIFS(tbl_Finance[Job Number],C9&amp;"",tbl_Finance[Xero Invoice No],LOOKUP(2,1/((tbl_Finance[Job Number]=C9&amp;"")*(tbl_Finance[Xero Invoice No]&lt;&gt;"")),tbl_Finance[Xero Invoice No]))=COUNTIFS(tbl_Finance[Job Number],C9&amp;"",tbl_Finance[Xero Invoice No],"&lt;&gt;"),LOOKUP(2,1/((tbl_Finance[Job Number]=C9&amp;"")*(tbl_Finance[Xero Invoice No]&lt;&gt;"")),tbl_Finance[Xero Invoice No]),LOOKUP(2,1/((tbl_Finance[Job Number]=C9&amp;"")*(tbl_Finance[Xero Invoice No]&lt;&gt;"")),tbl_Finance[Xero Invoice No])&amp;" +more"),"")))</f>
        <v/>
      </c>
      <c r="C9" s="24" t="n"/>
      <c r="D9" s="25">
        <f>IF(C9="","",IF(COUNTIF(lst_Jobs,C9&amp;"")&gt;0,"OK","CHECK"))</f>
        <v/>
      </c>
      <c r="E9" s="25">
        <f>IF(C9="","",IFERROR(INDEX(lst_JobName,MATCH(C9&amp;"",lst_Jobs,0)),""))</f>
        <v/>
      </c>
      <c r="F9" s="25">
        <f>IF(C9="","",IFERROR(INDEX(tbl_Finance[Client],MATCH(C9&amp;"",tbl_Finance[Job Number],0)),""))</f>
        <v/>
      </c>
      <c r="G9" s="28">
        <f>IF(C9="","",COUNTIFS(tbl_Finance[Job Number],C9&amp;"",tbl_Finance[Ex GST],"&lt;&gt;"))</f>
        <v/>
      </c>
      <c r="H9" s="27">
        <f>IF(C9="","",SUMIFS(tbl_Finance[Ex GST],tbl_Finance[Job Number],C9&amp;""))</f>
        <v/>
      </c>
      <c r="I9" s="27">
        <f>IF(C9="","",SUMIFS(tbl_Finance[Ex GST],tbl_Finance[Job Number],C9&amp;"",tbl_Finance[Xero Invoice No],"&lt;&gt;"))</f>
        <v/>
      </c>
      <c r="J9" s="27">
        <f>IF(C9="","",H9-I9)</f>
        <v/>
      </c>
      <c r="K9" s="25">
        <f>IF(C9="","",IF(G9=0,"not invoiced yet",SUBSTITUTE(TRIM(IF(COUNTIFS(tbl_Finance[Job Number],C9&amp;"",tbl_Finance[Cost Centre],"ONSITE")&gt;0,"ONSITE ","")&amp;IF(COUNTIFS(tbl_Finance[Job Number],C9&amp;"",tbl_Finance[Cost Centre],"PRODUCTION")&gt;0,"PRODUCTION ","")&amp;IF(COUNTIFS(tbl_Finance[Job Number],C9&amp;"",tbl_Finance[Cost Centre],"VIDEO")&gt;0,"VIDEO ","")&amp;IF(COUNTIFS(tbl_Finance[Job Number],C9&amp;"",tbl_Finance[Cost Centre],"INTEGRATION")&gt;0,"INTEGRATION ","")&amp;IF(COUNTIFS(tbl_Finance[Job Number],C9&amp;"",tbl_Finance[Cost Centre],"CONSULTING")&gt;0,"CONSULTING ","")&amp;IF(COUNTIFS(tbl_Finance[Job Number],C9&amp;"",tbl_Finance[Cost Centre],"CTS")&gt;0,"CTS ",""))," ",", ")))</f>
        <v/>
      </c>
      <c r="L9" s="24" t="n"/>
      <c r="M9" s="25">
        <f>IF(L9="","",HYPERLINK(IF(LEFT(L9,4)="http",L9,set_QwilrBase&amp;L9),"Open quote"))</f>
        <v/>
      </c>
      <c r="N9" s="26" t="n"/>
      <c r="O9" s="26" t="n"/>
      <c r="P9" s="26" t="n"/>
      <c r="Q9" s="25">
        <f>IF(C9="","",IF(N(N9)+N(O9)+N(P9)=0,"Not split",IF(ROUND(N(N9)+N(O9)+N(P9),2)=ROUND(H9,2),"OK","MISMATCH")))</f>
        <v/>
      </c>
      <c r="R9" s="26" t="n"/>
      <c r="S9" s="26" t="n"/>
      <c r="T9" s="26" t="n"/>
      <c r="U9" s="27">
        <f>IF(C9="","",N(R9)+N(S9)+N(T9))</f>
        <v/>
      </c>
      <c r="V9" s="27">
        <f>IF(C9="","",H9-U9)</f>
        <v/>
      </c>
      <c r="W9" s="29">
        <f>IFERROR(V9/H9,"")</f>
        <v/>
      </c>
      <c r="X9" s="24" t="n"/>
    </row>
    <row r="10" ht="15" customHeight="1">
      <c r="A10" s="68">
        <f>IF(C10="","",IFERROR(IF(SUMPRODUCT(MAX((tbl_Finance[Job Number]=C10&amp;"")*(tbl_Finance[Xero Invoice No]&lt;&gt;"")*tbl_Finance[Date]))=0,"",SUMPRODUCT(MAX((tbl_Finance[Job Number]=C10&amp;"")*(tbl_Finance[Xero Invoice No]&lt;&gt;"")*tbl_Finance[Date]))),""))</f>
        <v/>
      </c>
      <c r="B10" s="25">
        <f>IF(C10="","",IF(COUNTIFS(tbl_Finance[Job Number],C10&amp;"",tbl_Finance[Xero Invoice No],"&lt;&gt;")=0,"",IFERROR(IF(COUNTIFS(tbl_Finance[Job Number],C10&amp;"",tbl_Finance[Xero Invoice No],LOOKUP(2,1/((tbl_Finance[Job Number]=C10&amp;"")*(tbl_Finance[Xero Invoice No]&lt;&gt;"")),tbl_Finance[Xero Invoice No]))=COUNTIFS(tbl_Finance[Job Number],C10&amp;"",tbl_Finance[Xero Invoice No],"&lt;&gt;"),LOOKUP(2,1/((tbl_Finance[Job Number]=C10&amp;"")*(tbl_Finance[Xero Invoice No]&lt;&gt;"")),tbl_Finance[Xero Invoice No]),LOOKUP(2,1/((tbl_Finance[Job Number]=C10&amp;"")*(tbl_Finance[Xero Invoice No]&lt;&gt;"")),tbl_Finance[Xero Invoice No])&amp;" +more"),"")))</f>
        <v/>
      </c>
      <c r="C10" s="24" t="n"/>
      <c r="D10" s="25">
        <f>IF(C10="","",IF(COUNTIF(lst_Jobs,C10&amp;"")&gt;0,"OK","CHECK"))</f>
        <v/>
      </c>
      <c r="E10" s="25">
        <f>IF(C10="","",IFERROR(INDEX(lst_JobName,MATCH(C10&amp;"",lst_Jobs,0)),""))</f>
        <v/>
      </c>
      <c r="F10" s="25">
        <f>IF(C10="","",IFERROR(INDEX(tbl_Finance[Client],MATCH(C10&amp;"",tbl_Finance[Job Number],0)),""))</f>
        <v/>
      </c>
      <c r="G10" s="28">
        <f>IF(C10="","",COUNTIFS(tbl_Finance[Job Number],C10&amp;"",tbl_Finance[Ex GST],"&lt;&gt;"))</f>
        <v/>
      </c>
      <c r="H10" s="27">
        <f>IF(C10="","",SUMIFS(tbl_Finance[Ex GST],tbl_Finance[Job Number],C10&amp;""))</f>
        <v/>
      </c>
      <c r="I10" s="27">
        <f>IF(C10="","",SUMIFS(tbl_Finance[Ex GST],tbl_Finance[Job Number],C10&amp;"",tbl_Finance[Xero Invoice No],"&lt;&gt;"))</f>
        <v/>
      </c>
      <c r="J10" s="27">
        <f>IF(C10="","",H10-I10)</f>
        <v/>
      </c>
      <c r="K10" s="25">
        <f>IF(C10="","",IF(G10=0,"not invoiced yet",SUBSTITUTE(TRIM(IF(COUNTIFS(tbl_Finance[Job Number],C10&amp;"",tbl_Finance[Cost Centre],"ONSITE")&gt;0,"ONSITE ","")&amp;IF(COUNTIFS(tbl_Finance[Job Number],C10&amp;"",tbl_Finance[Cost Centre],"PRODUCTION")&gt;0,"PRODUCTION ","")&amp;IF(COUNTIFS(tbl_Finance[Job Number],C10&amp;"",tbl_Finance[Cost Centre],"VIDEO")&gt;0,"VIDEO ","")&amp;IF(COUNTIFS(tbl_Finance[Job Number],C10&amp;"",tbl_Finance[Cost Centre],"INTEGRATION")&gt;0,"INTEGRATION ","")&amp;IF(COUNTIFS(tbl_Finance[Job Number],C10&amp;"",tbl_Finance[Cost Centre],"CONSULTING")&gt;0,"CONSULTING ","")&amp;IF(COUNTIFS(tbl_Finance[Job Number],C10&amp;"",tbl_Finance[Cost Centre],"CTS")&gt;0,"CTS ",""))," ",", ")))</f>
        <v/>
      </c>
      <c r="L10" s="24" t="n"/>
      <c r="M10" s="25">
        <f>IF(L10="","",HYPERLINK(IF(LEFT(L10,4)="http",L10,set_QwilrBase&amp;L10),"Open quote"))</f>
        <v/>
      </c>
      <c r="N10" s="26" t="n"/>
      <c r="O10" s="26" t="n"/>
      <c r="P10" s="26" t="n"/>
      <c r="Q10" s="25">
        <f>IF(C10="","",IF(N(N10)+N(O10)+N(P10)=0,"Not split",IF(ROUND(N(N10)+N(O10)+N(P10),2)=ROUND(H10,2),"OK","MISMATCH")))</f>
        <v/>
      </c>
      <c r="R10" s="26" t="n"/>
      <c r="S10" s="26" t="n"/>
      <c r="T10" s="26" t="n"/>
      <c r="U10" s="27">
        <f>IF(C10="","",N(R10)+N(S10)+N(T10))</f>
        <v/>
      </c>
      <c r="V10" s="27">
        <f>IF(C10="","",H10-U10)</f>
        <v/>
      </c>
      <c r="W10" s="29">
        <f>IFERROR(V10/H10,"")</f>
        <v/>
      </c>
      <c r="X10" s="24" t="n"/>
    </row>
    <row r="11" ht="15" customHeight="1">
      <c r="A11" s="68">
        <f>IF(C11="","",IFERROR(IF(SUMPRODUCT(MAX((tbl_Finance[Job Number]=C11&amp;"")*(tbl_Finance[Xero Invoice No]&lt;&gt;"")*tbl_Finance[Date]))=0,"",SUMPRODUCT(MAX((tbl_Finance[Job Number]=C11&amp;"")*(tbl_Finance[Xero Invoice No]&lt;&gt;"")*tbl_Finance[Date]))),""))</f>
        <v/>
      </c>
      <c r="B11" s="25">
        <f>IF(C11="","",IF(COUNTIFS(tbl_Finance[Job Number],C11&amp;"",tbl_Finance[Xero Invoice No],"&lt;&gt;")=0,"",IFERROR(IF(COUNTIFS(tbl_Finance[Job Number],C11&amp;"",tbl_Finance[Xero Invoice No],LOOKUP(2,1/((tbl_Finance[Job Number]=C11&amp;"")*(tbl_Finance[Xero Invoice No]&lt;&gt;"")),tbl_Finance[Xero Invoice No]))=COUNTIFS(tbl_Finance[Job Number],C11&amp;"",tbl_Finance[Xero Invoice No],"&lt;&gt;"),LOOKUP(2,1/((tbl_Finance[Job Number]=C11&amp;"")*(tbl_Finance[Xero Invoice No]&lt;&gt;"")),tbl_Finance[Xero Invoice No]),LOOKUP(2,1/((tbl_Finance[Job Number]=C11&amp;"")*(tbl_Finance[Xero Invoice No]&lt;&gt;"")),tbl_Finance[Xero Invoice No])&amp;" +more"),"")))</f>
        <v/>
      </c>
      <c r="C11" s="24" t="n"/>
      <c r="D11" s="25">
        <f>IF(C11="","",IF(COUNTIF(lst_Jobs,C11&amp;"")&gt;0,"OK","CHECK"))</f>
        <v/>
      </c>
      <c r="E11" s="25">
        <f>IF(C11="","",IFERROR(INDEX(lst_JobName,MATCH(C11&amp;"",lst_Jobs,0)),""))</f>
        <v/>
      </c>
      <c r="F11" s="25">
        <f>IF(C11="","",IFERROR(INDEX(tbl_Finance[Client],MATCH(C11&amp;"",tbl_Finance[Job Number],0)),""))</f>
        <v/>
      </c>
      <c r="G11" s="28">
        <f>IF(C11="","",COUNTIFS(tbl_Finance[Job Number],C11&amp;"",tbl_Finance[Ex GST],"&lt;&gt;"))</f>
        <v/>
      </c>
      <c r="H11" s="27">
        <f>IF(C11="","",SUMIFS(tbl_Finance[Ex GST],tbl_Finance[Job Number],C11&amp;""))</f>
        <v/>
      </c>
      <c r="I11" s="27">
        <f>IF(C11="","",SUMIFS(tbl_Finance[Ex GST],tbl_Finance[Job Number],C11&amp;"",tbl_Finance[Xero Invoice No],"&lt;&gt;"))</f>
        <v/>
      </c>
      <c r="J11" s="27">
        <f>IF(C11="","",H11-I11)</f>
        <v/>
      </c>
      <c r="K11" s="25">
        <f>IF(C11="","",IF(G11=0,"not invoiced yet",SUBSTITUTE(TRIM(IF(COUNTIFS(tbl_Finance[Job Number],C11&amp;"",tbl_Finance[Cost Centre],"ONSITE")&gt;0,"ONSITE ","")&amp;IF(COUNTIFS(tbl_Finance[Job Number],C11&amp;"",tbl_Finance[Cost Centre],"PRODUCTION")&gt;0,"PRODUCTION ","")&amp;IF(COUNTIFS(tbl_Finance[Job Number],C11&amp;"",tbl_Finance[Cost Centre],"VIDEO")&gt;0,"VIDEO ","")&amp;IF(COUNTIFS(tbl_Finance[Job Number],C11&amp;"",tbl_Finance[Cost Centre],"INTEGRATION")&gt;0,"INTEGRATION ","")&amp;IF(COUNTIFS(tbl_Finance[Job Number],C11&amp;"",tbl_Finance[Cost Centre],"CONSULTING")&gt;0,"CONSULTING ","")&amp;IF(COUNTIFS(tbl_Finance[Job Number],C11&amp;"",tbl_Finance[Cost Centre],"CTS")&gt;0,"CTS ",""))," ",", ")))</f>
        <v/>
      </c>
      <c r="L11" s="24" t="n"/>
      <c r="M11" s="25">
        <f>IF(L11="","",HYPERLINK(IF(LEFT(L11,4)="http",L11,set_QwilrBase&amp;L11),"Open quote"))</f>
        <v/>
      </c>
      <c r="N11" s="26" t="n"/>
      <c r="O11" s="26" t="n"/>
      <c r="P11" s="26" t="n"/>
      <c r="Q11" s="25">
        <f>IF(C11="","",IF(N(N11)+N(O11)+N(P11)=0,"Not split",IF(ROUND(N(N11)+N(O11)+N(P11),2)=ROUND(H11,2),"OK","MISMATCH")))</f>
        <v/>
      </c>
      <c r="R11" s="26" t="n"/>
      <c r="S11" s="26" t="n"/>
      <c r="T11" s="26" t="n"/>
      <c r="U11" s="27">
        <f>IF(C11="","",N(R11)+N(S11)+N(T11))</f>
        <v/>
      </c>
      <c r="V11" s="27">
        <f>IF(C11="","",H11-U11)</f>
        <v/>
      </c>
      <c r="W11" s="29">
        <f>IFERROR(V11/H11,"")</f>
        <v/>
      </c>
      <c r="X11" s="24" t="n"/>
    </row>
    <row r="12" ht="15" customHeight="1">
      <c r="A12" s="68">
        <f>IF(C12="","",IFERROR(IF(SUMPRODUCT(MAX((tbl_Finance[Job Number]=C12&amp;"")*(tbl_Finance[Xero Invoice No]&lt;&gt;"")*tbl_Finance[Date]))=0,"",SUMPRODUCT(MAX((tbl_Finance[Job Number]=C12&amp;"")*(tbl_Finance[Xero Invoice No]&lt;&gt;"")*tbl_Finance[Date]))),""))</f>
        <v/>
      </c>
      <c r="B12" s="25">
        <f>IF(C12="","",IF(COUNTIFS(tbl_Finance[Job Number],C12&amp;"",tbl_Finance[Xero Invoice No],"&lt;&gt;")=0,"",IFERROR(IF(COUNTIFS(tbl_Finance[Job Number],C12&amp;"",tbl_Finance[Xero Invoice No],LOOKUP(2,1/((tbl_Finance[Job Number]=C12&amp;"")*(tbl_Finance[Xero Invoice No]&lt;&gt;"")),tbl_Finance[Xero Invoice No]))=COUNTIFS(tbl_Finance[Job Number],C12&amp;"",tbl_Finance[Xero Invoice No],"&lt;&gt;"),LOOKUP(2,1/((tbl_Finance[Job Number]=C12&amp;"")*(tbl_Finance[Xero Invoice No]&lt;&gt;"")),tbl_Finance[Xero Invoice No]),LOOKUP(2,1/((tbl_Finance[Job Number]=C12&amp;"")*(tbl_Finance[Xero Invoice No]&lt;&gt;"")),tbl_Finance[Xero Invoice No])&amp;" +more"),"")))</f>
        <v/>
      </c>
      <c r="C12" s="24" t="n"/>
      <c r="D12" s="25">
        <f>IF(C12="","",IF(COUNTIF(lst_Jobs,C12&amp;"")&gt;0,"OK","CHECK"))</f>
        <v/>
      </c>
      <c r="E12" s="25">
        <f>IF(C12="","",IFERROR(INDEX(lst_JobName,MATCH(C12&amp;"",lst_Jobs,0)),""))</f>
        <v/>
      </c>
      <c r="F12" s="25">
        <f>IF(C12="","",IFERROR(INDEX(tbl_Finance[Client],MATCH(C12&amp;"",tbl_Finance[Job Number],0)),""))</f>
        <v/>
      </c>
      <c r="G12" s="28">
        <f>IF(C12="","",COUNTIFS(tbl_Finance[Job Number],C12&amp;"",tbl_Finance[Ex GST],"&lt;&gt;"))</f>
        <v/>
      </c>
      <c r="H12" s="27">
        <f>IF(C12="","",SUMIFS(tbl_Finance[Ex GST],tbl_Finance[Job Number],C12&amp;""))</f>
        <v/>
      </c>
      <c r="I12" s="27">
        <f>IF(C12="","",SUMIFS(tbl_Finance[Ex GST],tbl_Finance[Job Number],C12&amp;"",tbl_Finance[Xero Invoice No],"&lt;&gt;"))</f>
        <v/>
      </c>
      <c r="J12" s="27">
        <f>IF(C12="","",H12-I12)</f>
        <v/>
      </c>
      <c r="K12" s="25">
        <f>IF(C12="","",IF(G12=0,"not invoiced yet",SUBSTITUTE(TRIM(IF(COUNTIFS(tbl_Finance[Job Number],C12&amp;"",tbl_Finance[Cost Centre],"ONSITE")&gt;0,"ONSITE ","")&amp;IF(COUNTIFS(tbl_Finance[Job Number],C12&amp;"",tbl_Finance[Cost Centre],"PRODUCTION")&gt;0,"PRODUCTION ","")&amp;IF(COUNTIFS(tbl_Finance[Job Number],C12&amp;"",tbl_Finance[Cost Centre],"VIDEO")&gt;0,"VIDEO ","")&amp;IF(COUNTIFS(tbl_Finance[Job Number],C12&amp;"",tbl_Finance[Cost Centre],"INTEGRATION")&gt;0,"INTEGRATION ","")&amp;IF(COUNTIFS(tbl_Finance[Job Number],C12&amp;"",tbl_Finance[Cost Centre],"CONSULTING")&gt;0,"CONSULTING ","")&amp;IF(COUNTIFS(tbl_Finance[Job Number],C12&amp;"",tbl_Finance[Cost Centre],"CTS")&gt;0,"CTS ",""))," ",", ")))</f>
        <v/>
      </c>
      <c r="L12" s="24" t="n"/>
      <c r="M12" s="25">
        <f>IF(L12="","",HYPERLINK(IF(LEFT(L12,4)="http",L12,set_QwilrBase&amp;L12),"Open quote"))</f>
        <v/>
      </c>
      <c r="N12" s="26" t="n"/>
      <c r="O12" s="26" t="n"/>
      <c r="P12" s="26" t="n"/>
      <c r="Q12" s="25">
        <f>IF(C12="","",IF(N(N12)+N(O12)+N(P12)=0,"Not split",IF(ROUND(N(N12)+N(O12)+N(P12),2)=ROUND(H12,2),"OK","MISMATCH")))</f>
        <v/>
      </c>
      <c r="R12" s="26" t="n"/>
      <c r="S12" s="26" t="n"/>
      <c r="T12" s="26" t="n"/>
      <c r="U12" s="27">
        <f>IF(C12="","",N(R12)+N(S12)+N(T12))</f>
        <v/>
      </c>
      <c r="V12" s="27">
        <f>IF(C12="","",H12-U12)</f>
        <v/>
      </c>
      <c r="W12" s="29">
        <f>IFERROR(V12/H12,"")</f>
        <v/>
      </c>
      <c r="X12" s="24" t="n"/>
    </row>
    <row r="13" ht="15" customHeight="1">
      <c r="A13" s="68">
        <f>IF(C13="","",IFERROR(IF(SUMPRODUCT(MAX((tbl_Finance[Job Number]=C13&amp;"")*(tbl_Finance[Xero Invoice No]&lt;&gt;"")*tbl_Finance[Date]))=0,"",SUMPRODUCT(MAX((tbl_Finance[Job Number]=C13&amp;"")*(tbl_Finance[Xero Invoice No]&lt;&gt;"")*tbl_Finance[Date]))),""))</f>
        <v/>
      </c>
      <c r="B13" s="25">
        <f>IF(C13="","",IF(COUNTIFS(tbl_Finance[Job Number],C13&amp;"",tbl_Finance[Xero Invoice No],"&lt;&gt;")=0,"",IFERROR(IF(COUNTIFS(tbl_Finance[Job Number],C13&amp;"",tbl_Finance[Xero Invoice No],LOOKUP(2,1/((tbl_Finance[Job Number]=C13&amp;"")*(tbl_Finance[Xero Invoice No]&lt;&gt;"")),tbl_Finance[Xero Invoice No]))=COUNTIFS(tbl_Finance[Job Number],C13&amp;"",tbl_Finance[Xero Invoice No],"&lt;&gt;"),LOOKUP(2,1/((tbl_Finance[Job Number]=C13&amp;"")*(tbl_Finance[Xero Invoice No]&lt;&gt;"")),tbl_Finance[Xero Invoice No]),LOOKUP(2,1/((tbl_Finance[Job Number]=C13&amp;"")*(tbl_Finance[Xero Invoice No]&lt;&gt;"")),tbl_Finance[Xero Invoice No])&amp;" +more"),"")))</f>
        <v/>
      </c>
      <c r="C13" s="24" t="n"/>
      <c r="D13" s="25">
        <f>IF(C13="","",IF(COUNTIF(lst_Jobs,C13&amp;"")&gt;0,"OK","CHECK"))</f>
        <v/>
      </c>
      <c r="E13" s="25">
        <f>IF(C13="","",IFERROR(INDEX(lst_JobName,MATCH(C13&amp;"",lst_Jobs,0)),""))</f>
        <v/>
      </c>
      <c r="F13" s="25">
        <f>IF(C13="","",IFERROR(INDEX(tbl_Finance[Client],MATCH(C13&amp;"",tbl_Finance[Job Number],0)),""))</f>
        <v/>
      </c>
      <c r="G13" s="28">
        <f>IF(C13="","",COUNTIFS(tbl_Finance[Job Number],C13&amp;"",tbl_Finance[Ex GST],"&lt;&gt;"))</f>
        <v/>
      </c>
      <c r="H13" s="27">
        <f>IF(C13="","",SUMIFS(tbl_Finance[Ex GST],tbl_Finance[Job Number],C13&amp;""))</f>
        <v/>
      </c>
      <c r="I13" s="27">
        <f>IF(C13="","",SUMIFS(tbl_Finance[Ex GST],tbl_Finance[Job Number],C13&amp;"",tbl_Finance[Xero Invoice No],"&lt;&gt;"))</f>
        <v/>
      </c>
      <c r="J13" s="27">
        <f>IF(C13="","",H13-I13)</f>
        <v/>
      </c>
      <c r="K13" s="25">
        <f>IF(C13="","",IF(G13=0,"not invoiced yet",SUBSTITUTE(TRIM(IF(COUNTIFS(tbl_Finance[Job Number],C13&amp;"",tbl_Finance[Cost Centre],"ONSITE")&gt;0,"ONSITE ","")&amp;IF(COUNTIFS(tbl_Finance[Job Number],C13&amp;"",tbl_Finance[Cost Centre],"PRODUCTION")&gt;0,"PRODUCTION ","")&amp;IF(COUNTIFS(tbl_Finance[Job Number],C13&amp;"",tbl_Finance[Cost Centre],"VIDEO")&gt;0,"VIDEO ","")&amp;IF(COUNTIFS(tbl_Finance[Job Number],C13&amp;"",tbl_Finance[Cost Centre],"INTEGRATION")&gt;0,"INTEGRATION ","")&amp;IF(COUNTIFS(tbl_Finance[Job Number],C13&amp;"",tbl_Finance[Cost Centre],"CONSULTING")&gt;0,"CONSULTING ","")&amp;IF(COUNTIFS(tbl_Finance[Job Number],C13&amp;"",tbl_Finance[Cost Centre],"CTS")&gt;0,"CTS ",""))," ",", ")))</f>
        <v/>
      </c>
      <c r="L13" s="24" t="n"/>
      <c r="M13" s="25">
        <f>IF(L13="","",HYPERLINK(IF(LEFT(L13,4)="http",L13,set_QwilrBase&amp;L13),"Open quote"))</f>
        <v/>
      </c>
      <c r="N13" s="26" t="n"/>
      <c r="O13" s="26" t="n"/>
      <c r="P13" s="26" t="n"/>
      <c r="Q13" s="25">
        <f>IF(C13="","",IF(N(N13)+N(O13)+N(P13)=0,"Not split",IF(ROUND(N(N13)+N(O13)+N(P13),2)=ROUND(H13,2),"OK","MISMATCH")))</f>
        <v/>
      </c>
      <c r="R13" s="26" t="n"/>
      <c r="S13" s="26" t="n"/>
      <c r="T13" s="26" t="n"/>
      <c r="U13" s="27">
        <f>IF(C13="","",N(R13)+N(S13)+N(T13))</f>
        <v/>
      </c>
      <c r="V13" s="27">
        <f>IF(C13="","",H13-U13)</f>
        <v/>
      </c>
      <c r="W13" s="29">
        <f>IFERROR(V13/H13,"")</f>
        <v/>
      </c>
      <c r="X13" s="24" t="n"/>
    </row>
    <row r="14" ht="15" customHeight="1">
      <c r="A14" s="68">
        <f>IF(C14="","",IFERROR(IF(SUMPRODUCT(MAX((tbl_Finance[Job Number]=C14&amp;"")*(tbl_Finance[Xero Invoice No]&lt;&gt;"")*tbl_Finance[Date]))=0,"",SUMPRODUCT(MAX((tbl_Finance[Job Number]=C14&amp;"")*(tbl_Finance[Xero Invoice No]&lt;&gt;"")*tbl_Finance[Date]))),""))</f>
        <v/>
      </c>
      <c r="B14" s="25">
        <f>IF(C14="","",IF(COUNTIFS(tbl_Finance[Job Number],C14&amp;"",tbl_Finance[Xero Invoice No],"&lt;&gt;")=0,"",IFERROR(IF(COUNTIFS(tbl_Finance[Job Number],C14&amp;"",tbl_Finance[Xero Invoice No],LOOKUP(2,1/((tbl_Finance[Job Number]=C14&amp;"")*(tbl_Finance[Xero Invoice No]&lt;&gt;"")),tbl_Finance[Xero Invoice No]))=COUNTIFS(tbl_Finance[Job Number],C14&amp;"",tbl_Finance[Xero Invoice No],"&lt;&gt;"),LOOKUP(2,1/((tbl_Finance[Job Number]=C14&amp;"")*(tbl_Finance[Xero Invoice No]&lt;&gt;"")),tbl_Finance[Xero Invoice No]),LOOKUP(2,1/((tbl_Finance[Job Number]=C14&amp;"")*(tbl_Finance[Xero Invoice No]&lt;&gt;"")),tbl_Finance[Xero Invoice No])&amp;" +more"),"")))</f>
        <v/>
      </c>
      <c r="C14" s="24" t="n"/>
      <c r="D14" s="25">
        <f>IF(C14="","",IF(COUNTIF(lst_Jobs,C14&amp;"")&gt;0,"OK","CHECK"))</f>
        <v/>
      </c>
      <c r="E14" s="25">
        <f>IF(C14="","",IFERROR(INDEX(lst_JobName,MATCH(C14&amp;"",lst_Jobs,0)),""))</f>
        <v/>
      </c>
      <c r="F14" s="25">
        <f>IF(C14="","",IFERROR(INDEX(tbl_Finance[Client],MATCH(C14&amp;"",tbl_Finance[Job Number],0)),""))</f>
        <v/>
      </c>
      <c r="G14" s="28">
        <f>IF(C14="","",COUNTIFS(tbl_Finance[Job Number],C14&amp;"",tbl_Finance[Ex GST],"&lt;&gt;"))</f>
        <v/>
      </c>
      <c r="H14" s="27">
        <f>IF(C14="","",SUMIFS(tbl_Finance[Ex GST],tbl_Finance[Job Number],C14&amp;""))</f>
        <v/>
      </c>
      <c r="I14" s="27">
        <f>IF(C14="","",SUMIFS(tbl_Finance[Ex GST],tbl_Finance[Job Number],C14&amp;"",tbl_Finance[Xero Invoice No],"&lt;&gt;"))</f>
        <v/>
      </c>
      <c r="J14" s="27">
        <f>IF(C14="","",H14-I14)</f>
        <v/>
      </c>
      <c r="K14" s="25">
        <f>IF(C14="","",IF(G14=0,"not invoiced yet",SUBSTITUTE(TRIM(IF(COUNTIFS(tbl_Finance[Job Number],C14&amp;"",tbl_Finance[Cost Centre],"ONSITE")&gt;0,"ONSITE ","")&amp;IF(COUNTIFS(tbl_Finance[Job Number],C14&amp;"",tbl_Finance[Cost Centre],"PRODUCTION")&gt;0,"PRODUCTION ","")&amp;IF(COUNTIFS(tbl_Finance[Job Number],C14&amp;"",tbl_Finance[Cost Centre],"VIDEO")&gt;0,"VIDEO ","")&amp;IF(COUNTIFS(tbl_Finance[Job Number],C14&amp;"",tbl_Finance[Cost Centre],"INTEGRATION")&gt;0,"INTEGRATION ","")&amp;IF(COUNTIFS(tbl_Finance[Job Number],C14&amp;"",tbl_Finance[Cost Centre],"CONSULTING")&gt;0,"CONSULTING ","")&amp;IF(COUNTIFS(tbl_Finance[Job Number],C14&amp;"",tbl_Finance[Cost Centre],"CTS")&gt;0,"CTS ",""))," ",", ")))</f>
        <v/>
      </c>
      <c r="L14" s="24" t="n"/>
      <c r="M14" s="25">
        <f>IF(L14="","",HYPERLINK(IF(LEFT(L14,4)="http",L14,set_QwilrBase&amp;L14),"Open quote"))</f>
        <v/>
      </c>
      <c r="N14" s="26" t="n"/>
      <c r="O14" s="26" t="n"/>
      <c r="P14" s="26" t="n"/>
      <c r="Q14" s="25">
        <f>IF(C14="","",IF(N(N14)+N(O14)+N(P14)=0,"Not split",IF(ROUND(N(N14)+N(O14)+N(P14),2)=ROUND(H14,2),"OK","MISMATCH")))</f>
        <v/>
      </c>
      <c r="R14" s="26" t="n"/>
      <c r="S14" s="26" t="n"/>
      <c r="T14" s="26" t="n"/>
      <c r="U14" s="27">
        <f>IF(C14="","",N(R14)+N(S14)+N(T14))</f>
        <v/>
      </c>
      <c r="V14" s="27">
        <f>IF(C14="","",H14-U14)</f>
        <v/>
      </c>
      <c r="W14" s="29">
        <f>IFERROR(V14/H14,"")</f>
        <v/>
      </c>
      <c r="X14" s="24" t="n"/>
    </row>
    <row r="15" ht="15" customHeight="1">
      <c r="A15" s="68">
        <f>IF(C15="","",IFERROR(IF(SUMPRODUCT(MAX((tbl_Finance[Job Number]=C15&amp;"")*(tbl_Finance[Xero Invoice No]&lt;&gt;"")*tbl_Finance[Date]))=0,"",SUMPRODUCT(MAX((tbl_Finance[Job Number]=C15&amp;"")*(tbl_Finance[Xero Invoice No]&lt;&gt;"")*tbl_Finance[Date]))),""))</f>
        <v/>
      </c>
      <c r="B15" s="25">
        <f>IF(C15="","",IF(COUNTIFS(tbl_Finance[Job Number],C15&amp;"",tbl_Finance[Xero Invoice No],"&lt;&gt;")=0,"",IFERROR(IF(COUNTIFS(tbl_Finance[Job Number],C15&amp;"",tbl_Finance[Xero Invoice No],LOOKUP(2,1/((tbl_Finance[Job Number]=C15&amp;"")*(tbl_Finance[Xero Invoice No]&lt;&gt;"")),tbl_Finance[Xero Invoice No]))=COUNTIFS(tbl_Finance[Job Number],C15&amp;"",tbl_Finance[Xero Invoice No],"&lt;&gt;"),LOOKUP(2,1/((tbl_Finance[Job Number]=C15&amp;"")*(tbl_Finance[Xero Invoice No]&lt;&gt;"")),tbl_Finance[Xero Invoice No]),LOOKUP(2,1/((tbl_Finance[Job Number]=C15&amp;"")*(tbl_Finance[Xero Invoice No]&lt;&gt;"")),tbl_Finance[Xero Invoice No])&amp;" +more"),"")))</f>
        <v/>
      </c>
      <c r="C15" s="24" t="n"/>
      <c r="D15" s="25">
        <f>IF(C15="","",IF(COUNTIF(lst_Jobs,C15&amp;"")&gt;0,"OK","CHECK"))</f>
        <v/>
      </c>
      <c r="E15" s="25">
        <f>IF(C15="","",IFERROR(INDEX(lst_JobName,MATCH(C15&amp;"",lst_Jobs,0)),""))</f>
        <v/>
      </c>
      <c r="F15" s="25">
        <f>IF(C15="","",IFERROR(INDEX(tbl_Finance[Client],MATCH(C15&amp;"",tbl_Finance[Job Number],0)),""))</f>
        <v/>
      </c>
      <c r="G15" s="28">
        <f>IF(C15="","",COUNTIFS(tbl_Finance[Job Number],C15&amp;"",tbl_Finance[Ex GST],"&lt;&gt;"))</f>
        <v/>
      </c>
      <c r="H15" s="27">
        <f>IF(C15="","",SUMIFS(tbl_Finance[Ex GST],tbl_Finance[Job Number],C15&amp;""))</f>
        <v/>
      </c>
      <c r="I15" s="27">
        <f>IF(C15="","",SUMIFS(tbl_Finance[Ex GST],tbl_Finance[Job Number],C15&amp;"",tbl_Finance[Xero Invoice No],"&lt;&gt;"))</f>
        <v/>
      </c>
      <c r="J15" s="27">
        <f>IF(C15="","",H15-I15)</f>
        <v/>
      </c>
      <c r="K15" s="25">
        <f>IF(C15="","",IF(G15=0,"not invoiced yet",SUBSTITUTE(TRIM(IF(COUNTIFS(tbl_Finance[Job Number],C15&amp;"",tbl_Finance[Cost Centre],"ONSITE")&gt;0,"ONSITE ","")&amp;IF(COUNTIFS(tbl_Finance[Job Number],C15&amp;"",tbl_Finance[Cost Centre],"PRODUCTION")&gt;0,"PRODUCTION ","")&amp;IF(COUNTIFS(tbl_Finance[Job Number],C15&amp;"",tbl_Finance[Cost Centre],"VIDEO")&gt;0,"VIDEO ","")&amp;IF(COUNTIFS(tbl_Finance[Job Number],C15&amp;"",tbl_Finance[Cost Centre],"INTEGRATION")&gt;0,"INTEGRATION ","")&amp;IF(COUNTIFS(tbl_Finance[Job Number],C15&amp;"",tbl_Finance[Cost Centre],"CONSULTING")&gt;0,"CONSULTING ","")&amp;IF(COUNTIFS(tbl_Finance[Job Number],C15&amp;"",tbl_Finance[Cost Centre],"CTS")&gt;0,"CTS ",""))," ",", ")))</f>
        <v/>
      </c>
      <c r="L15" s="24" t="n"/>
      <c r="M15" s="25">
        <f>IF(L15="","",HYPERLINK(IF(LEFT(L15,4)="http",L15,set_QwilrBase&amp;L15),"Open quote"))</f>
        <v/>
      </c>
      <c r="N15" s="26" t="n"/>
      <c r="O15" s="26" t="n"/>
      <c r="P15" s="26" t="n"/>
      <c r="Q15" s="25">
        <f>IF(C15="","",IF(N(N15)+N(O15)+N(P15)=0,"Not split",IF(ROUND(N(N15)+N(O15)+N(P15),2)=ROUND(H15,2),"OK","MISMATCH")))</f>
        <v/>
      </c>
      <c r="R15" s="26" t="n"/>
      <c r="S15" s="26" t="n"/>
      <c r="T15" s="26" t="n"/>
      <c r="U15" s="27">
        <f>IF(C15="","",N(R15)+N(S15)+N(T15))</f>
        <v/>
      </c>
      <c r="V15" s="27">
        <f>IF(C15="","",H15-U15)</f>
        <v/>
      </c>
      <c r="W15" s="29">
        <f>IFERROR(V15/H15,"")</f>
        <v/>
      </c>
      <c r="X15" s="24" t="n"/>
    </row>
    <row r="16" ht="15" customHeight="1">
      <c r="A16" s="68">
        <f>IF(C16="","",IFERROR(IF(SUMPRODUCT(MAX((tbl_Finance[Job Number]=C16&amp;"")*(tbl_Finance[Xero Invoice No]&lt;&gt;"")*tbl_Finance[Date]))=0,"",SUMPRODUCT(MAX((tbl_Finance[Job Number]=C16&amp;"")*(tbl_Finance[Xero Invoice No]&lt;&gt;"")*tbl_Finance[Date]))),""))</f>
        <v/>
      </c>
      <c r="B16" s="25">
        <f>IF(C16="","",IF(COUNTIFS(tbl_Finance[Job Number],C16&amp;"",tbl_Finance[Xero Invoice No],"&lt;&gt;")=0,"",IFERROR(IF(COUNTIFS(tbl_Finance[Job Number],C16&amp;"",tbl_Finance[Xero Invoice No],LOOKUP(2,1/((tbl_Finance[Job Number]=C16&amp;"")*(tbl_Finance[Xero Invoice No]&lt;&gt;"")),tbl_Finance[Xero Invoice No]))=COUNTIFS(tbl_Finance[Job Number],C16&amp;"",tbl_Finance[Xero Invoice No],"&lt;&gt;"),LOOKUP(2,1/((tbl_Finance[Job Number]=C16&amp;"")*(tbl_Finance[Xero Invoice No]&lt;&gt;"")),tbl_Finance[Xero Invoice No]),LOOKUP(2,1/((tbl_Finance[Job Number]=C16&amp;"")*(tbl_Finance[Xero Invoice No]&lt;&gt;"")),tbl_Finance[Xero Invoice No])&amp;" +more"),"")))</f>
        <v/>
      </c>
      <c r="C16" s="24" t="n"/>
      <c r="D16" s="25">
        <f>IF(C16="","",IF(COUNTIF(lst_Jobs,C16&amp;"")&gt;0,"OK","CHECK"))</f>
        <v/>
      </c>
      <c r="E16" s="25">
        <f>IF(C16="","",IFERROR(INDEX(lst_JobName,MATCH(C16&amp;"",lst_Jobs,0)),""))</f>
        <v/>
      </c>
      <c r="F16" s="25">
        <f>IF(C16="","",IFERROR(INDEX(tbl_Finance[Client],MATCH(C16&amp;"",tbl_Finance[Job Number],0)),""))</f>
        <v/>
      </c>
      <c r="G16" s="28">
        <f>IF(C16="","",COUNTIFS(tbl_Finance[Job Number],C16&amp;"",tbl_Finance[Ex GST],"&lt;&gt;"))</f>
        <v/>
      </c>
      <c r="H16" s="27">
        <f>IF(C16="","",SUMIFS(tbl_Finance[Ex GST],tbl_Finance[Job Number],C16&amp;""))</f>
        <v/>
      </c>
      <c r="I16" s="27">
        <f>IF(C16="","",SUMIFS(tbl_Finance[Ex GST],tbl_Finance[Job Number],C16&amp;"",tbl_Finance[Xero Invoice No],"&lt;&gt;"))</f>
        <v/>
      </c>
      <c r="J16" s="27">
        <f>IF(C16="","",H16-I16)</f>
        <v/>
      </c>
      <c r="K16" s="25">
        <f>IF(C16="","",IF(G16=0,"not invoiced yet",SUBSTITUTE(TRIM(IF(COUNTIFS(tbl_Finance[Job Number],C16&amp;"",tbl_Finance[Cost Centre],"ONSITE")&gt;0,"ONSITE ","")&amp;IF(COUNTIFS(tbl_Finance[Job Number],C16&amp;"",tbl_Finance[Cost Centre],"PRODUCTION")&gt;0,"PRODUCTION ","")&amp;IF(COUNTIFS(tbl_Finance[Job Number],C16&amp;"",tbl_Finance[Cost Centre],"VIDEO")&gt;0,"VIDEO ","")&amp;IF(COUNTIFS(tbl_Finance[Job Number],C16&amp;"",tbl_Finance[Cost Centre],"INTEGRATION")&gt;0,"INTEGRATION ","")&amp;IF(COUNTIFS(tbl_Finance[Job Number],C16&amp;"",tbl_Finance[Cost Centre],"CONSULTING")&gt;0,"CONSULTING ","")&amp;IF(COUNTIFS(tbl_Finance[Job Number],C16&amp;"",tbl_Finance[Cost Centre],"CTS")&gt;0,"CTS ",""))," ",", ")))</f>
        <v/>
      </c>
      <c r="L16" s="24" t="n"/>
      <c r="M16" s="25">
        <f>IF(L16="","",HYPERLINK(IF(LEFT(L16,4)="http",L16,set_QwilrBase&amp;L16),"Open quote"))</f>
        <v/>
      </c>
      <c r="N16" s="26" t="n"/>
      <c r="O16" s="26" t="n"/>
      <c r="P16" s="26" t="n"/>
      <c r="Q16" s="25">
        <f>IF(C16="","",IF(N(N16)+N(O16)+N(P16)=0,"Not split",IF(ROUND(N(N16)+N(O16)+N(P16),2)=ROUND(H16,2),"OK","MISMATCH")))</f>
        <v/>
      </c>
      <c r="R16" s="26" t="n"/>
      <c r="S16" s="26" t="n"/>
      <c r="T16" s="26" t="n"/>
      <c r="U16" s="27">
        <f>IF(C16="","",N(R16)+N(S16)+N(T16))</f>
        <v/>
      </c>
      <c r="V16" s="27">
        <f>IF(C16="","",H16-U16)</f>
        <v/>
      </c>
      <c r="W16" s="29">
        <f>IFERROR(V16/H16,"")</f>
        <v/>
      </c>
      <c r="X16" s="24" t="n"/>
    </row>
    <row r="17" ht="15" customHeight="1">
      <c r="A17" s="68">
        <f>IF(C17="","",IFERROR(IF(SUMPRODUCT(MAX((tbl_Finance[Job Number]=C17&amp;"")*(tbl_Finance[Xero Invoice No]&lt;&gt;"")*tbl_Finance[Date]))=0,"",SUMPRODUCT(MAX((tbl_Finance[Job Number]=C17&amp;"")*(tbl_Finance[Xero Invoice No]&lt;&gt;"")*tbl_Finance[Date]))),""))</f>
        <v/>
      </c>
      <c r="B17" s="25">
        <f>IF(C17="","",IF(COUNTIFS(tbl_Finance[Job Number],C17&amp;"",tbl_Finance[Xero Invoice No],"&lt;&gt;")=0,"",IFERROR(IF(COUNTIFS(tbl_Finance[Job Number],C17&amp;"",tbl_Finance[Xero Invoice No],LOOKUP(2,1/((tbl_Finance[Job Number]=C17&amp;"")*(tbl_Finance[Xero Invoice No]&lt;&gt;"")),tbl_Finance[Xero Invoice No]))=COUNTIFS(tbl_Finance[Job Number],C17&amp;"",tbl_Finance[Xero Invoice No],"&lt;&gt;"),LOOKUP(2,1/((tbl_Finance[Job Number]=C17&amp;"")*(tbl_Finance[Xero Invoice No]&lt;&gt;"")),tbl_Finance[Xero Invoice No]),LOOKUP(2,1/((tbl_Finance[Job Number]=C17&amp;"")*(tbl_Finance[Xero Invoice No]&lt;&gt;"")),tbl_Finance[Xero Invoice No])&amp;" +more"),"")))</f>
        <v/>
      </c>
      <c r="C17" s="24" t="n"/>
      <c r="D17" s="25">
        <f>IF(C17="","",IF(COUNTIF(lst_Jobs,C17&amp;"")&gt;0,"OK","CHECK"))</f>
        <v/>
      </c>
      <c r="E17" s="25">
        <f>IF(C17="","",IFERROR(INDEX(lst_JobName,MATCH(C17&amp;"",lst_Jobs,0)),""))</f>
        <v/>
      </c>
      <c r="F17" s="25">
        <f>IF(C17="","",IFERROR(INDEX(tbl_Finance[Client],MATCH(C17&amp;"",tbl_Finance[Job Number],0)),""))</f>
        <v/>
      </c>
      <c r="G17" s="28">
        <f>IF(C17="","",COUNTIFS(tbl_Finance[Job Number],C17&amp;"",tbl_Finance[Ex GST],"&lt;&gt;"))</f>
        <v/>
      </c>
      <c r="H17" s="27">
        <f>IF(C17="","",SUMIFS(tbl_Finance[Ex GST],tbl_Finance[Job Number],C17&amp;""))</f>
        <v/>
      </c>
      <c r="I17" s="27">
        <f>IF(C17="","",SUMIFS(tbl_Finance[Ex GST],tbl_Finance[Job Number],C17&amp;"",tbl_Finance[Xero Invoice No],"&lt;&gt;"))</f>
        <v/>
      </c>
      <c r="J17" s="27">
        <f>IF(C17="","",H17-I17)</f>
        <v/>
      </c>
      <c r="K17" s="25">
        <f>IF(C17="","",IF(G17=0,"not invoiced yet",SUBSTITUTE(TRIM(IF(COUNTIFS(tbl_Finance[Job Number],C17&amp;"",tbl_Finance[Cost Centre],"ONSITE")&gt;0,"ONSITE ","")&amp;IF(COUNTIFS(tbl_Finance[Job Number],C17&amp;"",tbl_Finance[Cost Centre],"PRODUCTION")&gt;0,"PRODUCTION ","")&amp;IF(COUNTIFS(tbl_Finance[Job Number],C17&amp;"",tbl_Finance[Cost Centre],"VIDEO")&gt;0,"VIDEO ","")&amp;IF(COUNTIFS(tbl_Finance[Job Number],C17&amp;"",tbl_Finance[Cost Centre],"INTEGRATION")&gt;0,"INTEGRATION ","")&amp;IF(COUNTIFS(tbl_Finance[Job Number],C17&amp;"",tbl_Finance[Cost Centre],"CONSULTING")&gt;0,"CONSULTING ","")&amp;IF(COUNTIFS(tbl_Finance[Job Number],C17&amp;"",tbl_Finance[Cost Centre],"CTS")&gt;0,"CTS ",""))," ",", ")))</f>
        <v/>
      </c>
      <c r="L17" s="24" t="n"/>
      <c r="M17" s="25">
        <f>IF(L17="","",HYPERLINK(IF(LEFT(L17,4)="http",L17,set_QwilrBase&amp;L17),"Open quote"))</f>
        <v/>
      </c>
      <c r="N17" s="26" t="n"/>
      <c r="O17" s="26" t="n"/>
      <c r="P17" s="26" t="n"/>
      <c r="Q17" s="25">
        <f>IF(C17="","",IF(N(N17)+N(O17)+N(P17)=0,"Not split",IF(ROUND(N(N17)+N(O17)+N(P17),2)=ROUND(H17,2),"OK","MISMATCH")))</f>
        <v/>
      </c>
      <c r="R17" s="26" t="n"/>
      <c r="S17" s="26" t="n"/>
      <c r="T17" s="26" t="n"/>
      <c r="U17" s="27">
        <f>IF(C17="","",N(R17)+N(S17)+N(T17))</f>
        <v/>
      </c>
      <c r="V17" s="27">
        <f>IF(C17="","",H17-U17)</f>
        <v/>
      </c>
      <c r="W17" s="29">
        <f>IFERROR(V17/H17,"")</f>
        <v/>
      </c>
      <c r="X17" s="24" t="n"/>
    </row>
    <row r="18" ht="15" customHeight="1">
      <c r="A18" s="68">
        <f>IF(C18="","",IFERROR(IF(SUMPRODUCT(MAX((tbl_Finance[Job Number]=C18&amp;"")*(tbl_Finance[Xero Invoice No]&lt;&gt;"")*tbl_Finance[Date]))=0,"",SUMPRODUCT(MAX((tbl_Finance[Job Number]=C18&amp;"")*(tbl_Finance[Xero Invoice No]&lt;&gt;"")*tbl_Finance[Date]))),""))</f>
        <v/>
      </c>
      <c r="B18" s="25">
        <f>IF(C18="","",IF(COUNTIFS(tbl_Finance[Job Number],C18&amp;"",tbl_Finance[Xero Invoice No],"&lt;&gt;")=0,"",IFERROR(IF(COUNTIFS(tbl_Finance[Job Number],C18&amp;"",tbl_Finance[Xero Invoice No],LOOKUP(2,1/((tbl_Finance[Job Number]=C18&amp;"")*(tbl_Finance[Xero Invoice No]&lt;&gt;"")),tbl_Finance[Xero Invoice No]))=COUNTIFS(tbl_Finance[Job Number],C18&amp;"",tbl_Finance[Xero Invoice No],"&lt;&gt;"),LOOKUP(2,1/((tbl_Finance[Job Number]=C18&amp;"")*(tbl_Finance[Xero Invoice No]&lt;&gt;"")),tbl_Finance[Xero Invoice No]),LOOKUP(2,1/((tbl_Finance[Job Number]=C18&amp;"")*(tbl_Finance[Xero Invoice No]&lt;&gt;"")),tbl_Finance[Xero Invoice No])&amp;" +more"),"")))</f>
        <v/>
      </c>
      <c r="C18" s="24" t="n"/>
      <c r="D18" s="25">
        <f>IF(C18="","",IF(COUNTIF(lst_Jobs,C18&amp;"")&gt;0,"OK","CHECK"))</f>
        <v/>
      </c>
      <c r="E18" s="25">
        <f>IF(C18="","",IFERROR(INDEX(lst_JobName,MATCH(C18&amp;"",lst_Jobs,0)),""))</f>
        <v/>
      </c>
      <c r="F18" s="25">
        <f>IF(C18="","",IFERROR(INDEX(tbl_Finance[Client],MATCH(C18&amp;"",tbl_Finance[Job Number],0)),""))</f>
        <v/>
      </c>
      <c r="G18" s="28">
        <f>IF(C18="","",COUNTIFS(tbl_Finance[Job Number],C18&amp;"",tbl_Finance[Ex GST],"&lt;&gt;"))</f>
        <v/>
      </c>
      <c r="H18" s="27">
        <f>IF(C18="","",SUMIFS(tbl_Finance[Ex GST],tbl_Finance[Job Number],C18&amp;""))</f>
        <v/>
      </c>
      <c r="I18" s="27">
        <f>IF(C18="","",SUMIFS(tbl_Finance[Ex GST],tbl_Finance[Job Number],C18&amp;"",tbl_Finance[Xero Invoice No],"&lt;&gt;"))</f>
        <v/>
      </c>
      <c r="J18" s="27">
        <f>IF(C18="","",H18-I18)</f>
        <v/>
      </c>
      <c r="K18" s="25">
        <f>IF(C18="","",IF(G18=0,"not invoiced yet",SUBSTITUTE(TRIM(IF(COUNTIFS(tbl_Finance[Job Number],C18&amp;"",tbl_Finance[Cost Centre],"ONSITE")&gt;0,"ONSITE ","")&amp;IF(COUNTIFS(tbl_Finance[Job Number],C18&amp;"",tbl_Finance[Cost Centre],"PRODUCTION")&gt;0,"PRODUCTION ","")&amp;IF(COUNTIFS(tbl_Finance[Job Number],C18&amp;"",tbl_Finance[Cost Centre],"VIDEO")&gt;0,"VIDEO ","")&amp;IF(COUNTIFS(tbl_Finance[Job Number],C18&amp;"",tbl_Finance[Cost Centre],"INTEGRATION")&gt;0,"INTEGRATION ","")&amp;IF(COUNTIFS(tbl_Finance[Job Number],C18&amp;"",tbl_Finance[Cost Centre],"CONSULTING")&gt;0,"CONSULTING ","")&amp;IF(COUNTIFS(tbl_Finance[Job Number],C18&amp;"",tbl_Finance[Cost Centre],"CTS")&gt;0,"CTS ",""))," ",", ")))</f>
        <v/>
      </c>
      <c r="L18" s="24" t="n"/>
      <c r="M18" s="25">
        <f>IF(L18="","",HYPERLINK(IF(LEFT(L18,4)="http",L18,set_QwilrBase&amp;L18),"Open quote"))</f>
        <v/>
      </c>
      <c r="N18" s="26" t="n"/>
      <c r="O18" s="26" t="n"/>
      <c r="P18" s="26" t="n"/>
      <c r="Q18" s="25">
        <f>IF(C18="","",IF(N(N18)+N(O18)+N(P18)=0,"Not split",IF(ROUND(N(N18)+N(O18)+N(P18),2)=ROUND(H18,2),"OK","MISMATCH")))</f>
        <v/>
      </c>
      <c r="R18" s="26" t="n"/>
      <c r="S18" s="26" t="n"/>
      <c r="T18" s="26" t="n"/>
      <c r="U18" s="27">
        <f>IF(C18="","",N(R18)+N(S18)+N(T18))</f>
        <v/>
      </c>
      <c r="V18" s="27">
        <f>IF(C18="","",H18-U18)</f>
        <v/>
      </c>
      <c r="W18" s="29">
        <f>IFERROR(V18/H18,"")</f>
        <v/>
      </c>
      <c r="X18" s="24" t="n"/>
    </row>
    <row r="19" ht="15" customHeight="1">
      <c r="A19" s="68">
        <f>IF(C19="","",IFERROR(IF(SUMPRODUCT(MAX((tbl_Finance[Job Number]=C19&amp;"")*(tbl_Finance[Xero Invoice No]&lt;&gt;"")*tbl_Finance[Date]))=0,"",SUMPRODUCT(MAX((tbl_Finance[Job Number]=C19&amp;"")*(tbl_Finance[Xero Invoice No]&lt;&gt;"")*tbl_Finance[Date]))),""))</f>
        <v/>
      </c>
      <c r="B19" s="25">
        <f>IF(C19="","",IF(COUNTIFS(tbl_Finance[Job Number],C19&amp;"",tbl_Finance[Xero Invoice No],"&lt;&gt;")=0,"",IFERROR(IF(COUNTIFS(tbl_Finance[Job Number],C19&amp;"",tbl_Finance[Xero Invoice No],LOOKUP(2,1/((tbl_Finance[Job Number]=C19&amp;"")*(tbl_Finance[Xero Invoice No]&lt;&gt;"")),tbl_Finance[Xero Invoice No]))=COUNTIFS(tbl_Finance[Job Number],C19&amp;"",tbl_Finance[Xero Invoice No],"&lt;&gt;"),LOOKUP(2,1/((tbl_Finance[Job Number]=C19&amp;"")*(tbl_Finance[Xero Invoice No]&lt;&gt;"")),tbl_Finance[Xero Invoice No]),LOOKUP(2,1/((tbl_Finance[Job Number]=C19&amp;"")*(tbl_Finance[Xero Invoice No]&lt;&gt;"")),tbl_Finance[Xero Invoice No])&amp;" +more"),"")))</f>
        <v/>
      </c>
      <c r="C19" s="24" t="n"/>
      <c r="D19" s="25">
        <f>IF(C19="","",IF(COUNTIF(lst_Jobs,C19&amp;"")&gt;0,"OK","CHECK"))</f>
        <v/>
      </c>
      <c r="E19" s="25">
        <f>IF(C19="","",IFERROR(INDEX(lst_JobName,MATCH(C19&amp;"",lst_Jobs,0)),""))</f>
        <v/>
      </c>
      <c r="F19" s="25">
        <f>IF(C19="","",IFERROR(INDEX(tbl_Finance[Client],MATCH(C19&amp;"",tbl_Finance[Job Number],0)),""))</f>
        <v/>
      </c>
      <c r="G19" s="28">
        <f>IF(C19="","",COUNTIFS(tbl_Finance[Job Number],C19&amp;"",tbl_Finance[Ex GST],"&lt;&gt;"))</f>
        <v/>
      </c>
      <c r="H19" s="27">
        <f>IF(C19="","",SUMIFS(tbl_Finance[Ex GST],tbl_Finance[Job Number],C19&amp;""))</f>
        <v/>
      </c>
      <c r="I19" s="27">
        <f>IF(C19="","",SUMIFS(tbl_Finance[Ex GST],tbl_Finance[Job Number],C19&amp;"",tbl_Finance[Xero Invoice No],"&lt;&gt;"))</f>
        <v/>
      </c>
      <c r="J19" s="27">
        <f>IF(C19="","",H19-I19)</f>
        <v/>
      </c>
      <c r="K19" s="25">
        <f>IF(C19="","",IF(G19=0,"not invoiced yet",SUBSTITUTE(TRIM(IF(COUNTIFS(tbl_Finance[Job Number],C19&amp;"",tbl_Finance[Cost Centre],"ONSITE")&gt;0,"ONSITE ","")&amp;IF(COUNTIFS(tbl_Finance[Job Number],C19&amp;"",tbl_Finance[Cost Centre],"PRODUCTION")&gt;0,"PRODUCTION ","")&amp;IF(COUNTIFS(tbl_Finance[Job Number],C19&amp;"",tbl_Finance[Cost Centre],"VIDEO")&gt;0,"VIDEO ","")&amp;IF(COUNTIFS(tbl_Finance[Job Number],C19&amp;"",tbl_Finance[Cost Centre],"INTEGRATION")&gt;0,"INTEGRATION ","")&amp;IF(COUNTIFS(tbl_Finance[Job Number],C19&amp;"",tbl_Finance[Cost Centre],"CONSULTING")&gt;0,"CONSULTING ","")&amp;IF(COUNTIFS(tbl_Finance[Job Number],C19&amp;"",tbl_Finance[Cost Centre],"CTS")&gt;0,"CTS ",""))," ",", ")))</f>
        <v/>
      </c>
      <c r="L19" s="24" t="n"/>
      <c r="M19" s="25">
        <f>IF(L19="","",HYPERLINK(IF(LEFT(L19,4)="http",L19,set_QwilrBase&amp;L19),"Open quote"))</f>
        <v/>
      </c>
      <c r="N19" s="26" t="n"/>
      <c r="O19" s="26" t="n"/>
      <c r="P19" s="26" t="n"/>
      <c r="Q19" s="25">
        <f>IF(C19="","",IF(N(N19)+N(O19)+N(P19)=0,"Not split",IF(ROUND(N(N19)+N(O19)+N(P19),2)=ROUND(H19,2),"OK","MISMATCH")))</f>
        <v/>
      </c>
      <c r="R19" s="26" t="n"/>
      <c r="S19" s="26" t="n"/>
      <c r="T19" s="26" t="n"/>
      <c r="U19" s="27">
        <f>IF(C19="","",N(R19)+N(S19)+N(T19))</f>
        <v/>
      </c>
      <c r="V19" s="27">
        <f>IF(C19="","",H19-U19)</f>
        <v/>
      </c>
      <c r="W19" s="29">
        <f>IFERROR(V19/H19,"")</f>
        <v/>
      </c>
      <c r="X19" s="24" t="n"/>
    </row>
    <row r="20" ht="15" customHeight="1">
      <c r="A20" s="68">
        <f>IF(C20="","",IFERROR(IF(SUMPRODUCT(MAX((tbl_Finance[Job Number]=C20&amp;"")*(tbl_Finance[Xero Invoice No]&lt;&gt;"")*tbl_Finance[Date]))=0,"",SUMPRODUCT(MAX((tbl_Finance[Job Number]=C20&amp;"")*(tbl_Finance[Xero Invoice No]&lt;&gt;"")*tbl_Finance[Date]))),""))</f>
        <v/>
      </c>
      <c r="B20" s="25">
        <f>IF(C20="","",IF(COUNTIFS(tbl_Finance[Job Number],C20&amp;"",tbl_Finance[Xero Invoice No],"&lt;&gt;")=0,"",IFERROR(IF(COUNTIFS(tbl_Finance[Job Number],C20&amp;"",tbl_Finance[Xero Invoice No],LOOKUP(2,1/((tbl_Finance[Job Number]=C20&amp;"")*(tbl_Finance[Xero Invoice No]&lt;&gt;"")),tbl_Finance[Xero Invoice No]))=COUNTIFS(tbl_Finance[Job Number],C20&amp;"",tbl_Finance[Xero Invoice No],"&lt;&gt;"),LOOKUP(2,1/((tbl_Finance[Job Number]=C20&amp;"")*(tbl_Finance[Xero Invoice No]&lt;&gt;"")),tbl_Finance[Xero Invoice No]),LOOKUP(2,1/((tbl_Finance[Job Number]=C20&amp;"")*(tbl_Finance[Xero Invoice No]&lt;&gt;"")),tbl_Finance[Xero Invoice No])&amp;" +more"),"")))</f>
        <v/>
      </c>
      <c r="C20" s="24" t="n"/>
      <c r="D20" s="25">
        <f>IF(C20="","",IF(COUNTIF(lst_Jobs,C20&amp;"")&gt;0,"OK","CHECK"))</f>
        <v/>
      </c>
      <c r="E20" s="25">
        <f>IF(C20="","",IFERROR(INDEX(lst_JobName,MATCH(C20&amp;"",lst_Jobs,0)),""))</f>
        <v/>
      </c>
      <c r="F20" s="25">
        <f>IF(C20="","",IFERROR(INDEX(tbl_Finance[Client],MATCH(C20&amp;"",tbl_Finance[Job Number],0)),""))</f>
        <v/>
      </c>
      <c r="G20" s="28">
        <f>IF(C20="","",COUNTIFS(tbl_Finance[Job Number],C20&amp;"",tbl_Finance[Ex GST],"&lt;&gt;"))</f>
        <v/>
      </c>
      <c r="H20" s="27">
        <f>IF(C20="","",SUMIFS(tbl_Finance[Ex GST],tbl_Finance[Job Number],C20&amp;""))</f>
        <v/>
      </c>
      <c r="I20" s="27">
        <f>IF(C20="","",SUMIFS(tbl_Finance[Ex GST],tbl_Finance[Job Number],C20&amp;"",tbl_Finance[Xero Invoice No],"&lt;&gt;"))</f>
        <v/>
      </c>
      <c r="J20" s="27">
        <f>IF(C20="","",H20-I20)</f>
        <v/>
      </c>
      <c r="K20" s="25">
        <f>IF(C20="","",IF(G20=0,"not invoiced yet",SUBSTITUTE(TRIM(IF(COUNTIFS(tbl_Finance[Job Number],C20&amp;"",tbl_Finance[Cost Centre],"ONSITE")&gt;0,"ONSITE ","")&amp;IF(COUNTIFS(tbl_Finance[Job Number],C20&amp;"",tbl_Finance[Cost Centre],"PRODUCTION")&gt;0,"PRODUCTION ","")&amp;IF(COUNTIFS(tbl_Finance[Job Number],C20&amp;"",tbl_Finance[Cost Centre],"VIDEO")&gt;0,"VIDEO ","")&amp;IF(COUNTIFS(tbl_Finance[Job Number],C20&amp;"",tbl_Finance[Cost Centre],"INTEGRATION")&gt;0,"INTEGRATION ","")&amp;IF(COUNTIFS(tbl_Finance[Job Number],C20&amp;"",tbl_Finance[Cost Centre],"CONSULTING")&gt;0,"CONSULTING ","")&amp;IF(COUNTIFS(tbl_Finance[Job Number],C20&amp;"",tbl_Finance[Cost Centre],"CTS")&gt;0,"CTS ",""))," ",", ")))</f>
        <v/>
      </c>
      <c r="L20" s="24" t="n"/>
      <c r="M20" s="25">
        <f>IF(L20="","",HYPERLINK(IF(LEFT(L20,4)="http",L20,set_QwilrBase&amp;L20),"Open quote"))</f>
        <v/>
      </c>
      <c r="N20" s="26" t="n"/>
      <c r="O20" s="26" t="n"/>
      <c r="P20" s="26" t="n"/>
      <c r="Q20" s="25">
        <f>IF(C20="","",IF(N(N20)+N(O20)+N(P20)=0,"Not split",IF(ROUND(N(N20)+N(O20)+N(P20),2)=ROUND(H20,2),"OK","MISMATCH")))</f>
        <v/>
      </c>
      <c r="R20" s="26" t="n"/>
      <c r="S20" s="26" t="n"/>
      <c r="T20" s="26" t="n"/>
      <c r="U20" s="27">
        <f>IF(C20="","",N(R20)+N(S20)+N(T20))</f>
        <v/>
      </c>
      <c r="V20" s="27">
        <f>IF(C20="","",H20-U20)</f>
        <v/>
      </c>
      <c r="W20" s="29">
        <f>IFERROR(V20/H20,"")</f>
        <v/>
      </c>
      <c r="X20" s="24" t="n"/>
    </row>
    <row r="21" ht="15" customHeight="1">
      <c r="A21" s="68">
        <f>IF(C21="","",IFERROR(IF(SUMPRODUCT(MAX((tbl_Finance[Job Number]=C21&amp;"")*(tbl_Finance[Xero Invoice No]&lt;&gt;"")*tbl_Finance[Date]))=0,"",SUMPRODUCT(MAX((tbl_Finance[Job Number]=C21&amp;"")*(tbl_Finance[Xero Invoice No]&lt;&gt;"")*tbl_Finance[Date]))),""))</f>
        <v/>
      </c>
      <c r="B21" s="25">
        <f>IF(C21="","",IF(COUNTIFS(tbl_Finance[Job Number],C21&amp;"",tbl_Finance[Xero Invoice No],"&lt;&gt;")=0,"",IFERROR(IF(COUNTIFS(tbl_Finance[Job Number],C21&amp;"",tbl_Finance[Xero Invoice No],LOOKUP(2,1/((tbl_Finance[Job Number]=C21&amp;"")*(tbl_Finance[Xero Invoice No]&lt;&gt;"")),tbl_Finance[Xero Invoice No]))=COUNTIFS(tbl_Finance[Job Number],C21&amp;"",tbl_Finance[Xero Invoice No],"&lt;&gt;"),LOOKUP(2,1/((tbl_Finance[Job Number]=C21&amp;"")*(tbl_Finance[Xero Invoice No]&lt;&gt;"")),tbl_Finance[Xero Invoice No]),LOOKUP(2,1/((tbl_Finance[Job Number]=C21&amp;"")*(tbl_Finance[Xero Invoice No]&lt;&gt;"")),tbl_Finance[Xero Invoice No])&amp;" +more"),"")))</f>
        <v/>
      </c>
      <c r="C21" s="24" t="n"/>
      <c r="D21" s="25">
        <f>IF(C21="","",IF(COUNTIF(lst_Jobs,C21&amp;"")&gt;0,"OK","CHECK"))</f>
        <v/>
      </c>
      <c r="E21" s="25">
        <f>IF(C21="","",IFERROR(INDEX(lst_JobName,MATCH(C21&amp;"",lst_Jobs,0)),""))</f>
        <v/>
      </c>
      <c r="F21" s="25">
        <f>IF(C21="","",IFERROR(INDEX(tbl_Finance[Client],MATCH(C21&amp;"",tbl_Finance[Job Number],0)),""))</f>
        <v/>
      </c>
      <c r="G21" s="28">
        <f>IF(C21="","",COUNTIFS(tbl_Finance[Job Number],C21&amp;"",tbl_Finance[Ex GST],"&lt;&gt;"))</f>
        <v/>
      </c>
      <c r="H21" s="27">
        <f>IF(C21="","",SUMIFS(tbl_Finance[Ex GST],tbl_Finance[Job Number],C21&amp;""))</f>
        <v/>
      </c>
      <c r="I21" s="27">
        <f>IF(C21="","",SUMIFS(tbl_Finance[Ex GST],tbl_Finance[Job Number],C21&amp;"",tbl_Finance[Xero Invoice No],"&lt;&gt;"))</f>
        <v/>
      </c>
      <c r="J21" s="27">
        <f>IF(C21="","",H21-I21)</f>
        <v/>
      </c>
      <c r="K21" s="25">
        <f>IF(C21="","",IF(G21=0,"not invoiced yet",SUBSTITUTE(TRIM(IF(COUNTIFS(tbl_Finance[Job Number],C21&amp;"",tbl_Finance[Cost Centre],"ONSITE")&gt;0,"ONSITE ","")&amp;IF(COUNTIFS(tbl_Finance[Job Number],C21&amp;"",tbl_Finance[Cost Centre],"PRODUCTION")&gt;0,"PRODUCTION ","")&amp;IF(COUNTIFS(tbl_Finance[Job Number],C21&amp;"",tbl_Finance[Cost Centre],"VIDEO")&gt;0,"VIDEO ","")&amp;IF(COUNTIFS(tbl_Finance[Job Number],C21&amp;"",tbl_Finance[Cost Centre],"INTEGRATION")&gt;0,"INTEGRATION ","")&amp;IF(COUNTIFS(tbl_Finance[Job Number],C21&amp;"",tbl_Finance[Cost Centre],"CONSULTING")&gt;0,"CONSULTING ","")&amp;IF(COUNTIFS(tbl_Finance[Job Number],C21&amp;"",tbl_Finance[Cost Centre],"CTS")&gt;0,"CTS ",""))," ",", ")))</f>
        <v/>
      </c>
      <c r="L21" s="24" t="n"/>
      <c r="M21" s="25">
        <f>IF(L21="","",HYPERLINK(IF(LEFT(L21,4)="http",L21,set_QwilrBase&amp;L21),"Open quote"))</f>
        <v/>
      </c>
      <c r="N21" s="26" t="n"/>
      <c r="O21" s="26" t="n"/>
      <c r="P21" s="26" t="n"/>
      <c r="Q21" s="25">
        <f>IF(C21="","",IF(N(N21)+N(O21)+N(P21)=0,"Not split",IF(ROUND(N(N21)+N(O21)+N(P21),2)=ROUND(H21,2),"OK","MISMATCH")))</f>
        <v/>
      </c>
      <c r="R21" s="26" t="n"/>
      <c r="S21" s="26" t="n"/>
      <c r="T21" s="26" t="n"/>
      <c r="U21" s="27">
        <f>IF(C21="","",N(R21)+N(S21)+N(T21))</f>
        <v/>
      </c>
      <c r="V21" s="27">
        <f>IF(C21="","",H21-U21)</f>
        <v/>
      </c>
      <c r="W21" s="29">
        <f>IFERROR(V21/H21,"")</f>
        <v/>
      </c>
      <c r="X21" s="24" t="n"/>
    </row>
    <row r="22" ht="15" customHeight="1">
      <c r="A22" s="68">
        <f>IF(C22="","",IFERROR(IF(SUMPRODUCT(MAX((tbl_Finance[Job Number]=C22&amp;"")*(tbl_Finance[Xero Invoice No]&lt;&gt;"")*tbl_Finance[Date]))=0,"",SUMPRODUCT(MAX((tbl_Finance[Job Number]=C22&amp;"")*(tbl_Finance[Xero Invoice No]&lt;&gt;"")*tbl_Finance[Date]))),""))</f>
        <v/>
      </c>
      <c r="B22" s="25">
        <f>IF(C22="","",IF(COUNTIFS(tbl_Finance[Job Number],C22&amp;"",tbl_Finance[Xero Invoice No],"&lt;&gt;")=0,"",IFERROR(IF(COUNTIFS(tbl_Finance[Job Number],C22&amp;"",tbl_Finance[Xero Invoice No],LOOKUP(2,1/((tbl_Finance[Job Number]=C22&amp;"")*(tbl_Finance[Xero Invoice No]&lt;&gt;"")),tbl_Finance[Xero Invoice No]))=COUNTIFS(tbl_Finance[Job Number],C22&amp;"",tbl_Finance[Xero Invoice No],"&lt;&gt;"),LOOKUP(2,1/((tbl_Finance[Job Number]=C22&amp;"")*(tbl_Finance[Xero Invoice No]&lt;&gt;"")),tbl_Finance[Xero Invoice No]),LOOKUP(2,1/((tbl_Finance[Job Number]=C22&amp;"")*(tbl_Finance[Xero Invoice No]&lt;&gt;"")),tbl_Finance[Xero Invoice No])&amp;" +more"),"")))</f>
        <v/>
      </c>
      <c r="C22" s="24" t="n"/>
      <c r="D22" s="25">
        <f>IF(C22="","",IF(COUNTIF(lst_Jobs,C22&amp;"")&gt;0,"OK","CHECK"))</f>
        <v/>
      </c>
      <c r="E22" s="25">
        <f>IF(C22="","",IFERROR(INDEX(lst_JobName,MATCH(C22&amp;"",lst_Jobs,0)),""))</f>
        <v/>
      </c>
      <c r="F22" s="25">
        <f>IF(C22="","",IFERROR(INDEX(tbl_Finance[Client],MATCH(C22&amp;"",tbl_Finance[Job Number],0)),""))</f>
        <v/>
      </c>
      <c r="G22" s="28">
        <f>IF(C22="","",COUNTIFS(tbl_Finance[Job Number],C22&amp;"",tbl_Finance[Ex GST],"&lt;&gt;"))</f>
        <v/>
      </c>
      <c r="H22" s="27">
        <f>IF(C22="","",SUMIFS(tbl_Finance[Ex GST],tbl_Finance[Job Number],C22&amp;""))</f>
        <v/>
      </c>
      <c r="I22" s="27">
        <f>IF(C22="","",SUMIFS(tbl_Finance[Ex GST],tbl_Finance[Job Number],C22&amp;"",tbl_Finance[Xero Invoice No],"&lt;&gt;"))</f>
        <v/>
      </c>
      <c r="J22" s="27">
        <f>IF(C22="","",H22-I22)</f>
        <v/>
      </c>
      <c r="K22" s="25">
        <f>IF(C22="","",IF(G22=0,"not invoiced yet",SUBSTITUTE(TRIM(IF(COUNTIFS(tbl_Finance[Job Number],C22&amp;"",tbl_Finance[Cost Centre],"ONSITE")&gt;0,"ONSITE ","")&amp;IF(COUNTIFS(tbl_Finance[Job Number],C22&amp;"",tbl_Finance[Cost Centre],"PRODUCTION")&gt;0,"PRODUCTION ","")&amp;IF(COUNTIFS(tbl_Finance[Job Number],C22&amp;"",tbl_Finance[Cost Centre],"VIDEO")&gt;0,"VIDEO ","")&amp;IF(COUNTIFS(tbl_Finance[Job Number],C22&amp;"",tbl_Finance[Cost Centre],"INTEGRATION")&gt;0,"INTEGRATION ","")&amp;IF(COUNTIFS(tbl_Finance[Job Number],C22&amp;"",tbl_Finance[Cost Centre],"CONSULTING")&gt;0,"CONSULTING ","")&amp;IF(COUNTIFS(tbl_Finance[Job Number],C22&amp;"",tbl_Finance[Cost Centre],"CTS")&gt;0,"CTS ",""))," ",", ")))</f>
        <v/>
      </c>
      <c r="L22" s="24" t="n"/>
      <c r="M22" s="25">
        <f>IF(L22="","",HYPERLINK(IF(LEFT(L22,4)="http",L22,set_QwilrBase&amp;L22),"Open quote"))</f>
        <v/>
      </c>
      <c r="N22" s="26" t="n"/>
      <c r="O22" s="26" t="n"/>
      <c r="P22" s="26" t="n"/>
      <c r="Q22" s="25">
        <f>IF(C22="","",IF(N(N22)+N(O22)+N(P22)=0,"Not split",IF(ROUND(N(N22)+N(O22)+N(P22),2)=ROUND(H22,2),"OK","MISMATCH")))</f>
        <v/>
      </c>
      <c r="R22" s="26" t="n"/>
      <c r="S22" s="26" t="n"/>
      <c r="T22" s="26" t="n"/>
      <c r="U22" s="27">
        <f>IF(C22="","",N(R22)+N(S22)+N(T22))</f>
        <v/>
      </c>
      <c r="V22" s="27">
        <f>IF(C22="","",H22-U22)</f>
        <v/>
      </c>
      <c r="W22" s="29">
        <f>IFERROR(V22/H22,"")</f>
        <v/>
      </c>
      <c r="X22" s="24" t="n"/>
    </row>
    <row r="23" ht="15" customHeight="1">
      <c r="A23" s="68">
        <f>IF(C23="","",IFERROR(IF(SUMPRODUCT(MAX((tbl_Finance[Job Number]=C23&amp;"")*(tbl_Finance[Xero Invoice No]&lt;&gt;"")*tbl_Finance[Date]))=0,"",SUMPRODUCT(MAX((tbl_Finance[Job Number]=C23&amp;"")*(tbl_Finance[Xero Invoice No]&lt;&gt;"")*tbl_Finance[Date]))),""))</f>
        <v/>
      </c>
      <c r="B23" s="25">
        <f>IF(C23="","",IF(COUNTIFS(tbl_Finance[Job Number],C23&amp;"",tbl_Finance[Xero Invoice No],"&lt;&gt;")=0,"",IFERROR(IF(COUNTIFS(tbl_Finance[Job Number],C23&amp;"",tbl_Finance[Xero Invoice No],LOOKUP(2,1/((tbl_Finance[Job Number]=C23&amp;"")*(tbl_Finance[Xero Invoice No]&lt;&gt;"")),tbl_Finance[Xero Invoice No]))=COUNTIFS(tbl_Finance[Job Number],C23&amp;"",tbl_Finance[Xero Invoice No],"&lt;&gt;"),LOOKUP(2,1/((tbl_Finance[Job Number]=C23&amp;"")*(tbl_Finance[Xero Invoice No]&lt;&gt;"")),tbl_Finance[Xero Invoice No]),LOOKUP(2,1/((tbl_Finance[Job Number]=C23&amp;"")*(tbl_Finance[Xero Invoice No]&lt;&gt;"")),tbl_Finance[Xero Invoice No])&amp;" +more"),"")))</f>
        <v/>
      </c>
      <c r="C23" s="24" t="n"/>
      <c r="D23" s="25">
        <f>IF(C23="","",IF(COUNTIF(lst_Jobs,C23&amp;"")&gt;0,"OK","CHECK"))</f>
        <v/>
      </c>
      <c r="E23" s="25">
        <f>IF(C23="","",IFERROR(INDEX(lst_JobName,MATCH(C23&amp;"",lst_Jobs,0)),""))</f>
        <v/>
      </c>
      <c r="F23" s="25">
        <f>IF(C23="","",IFERROR(INDEX(tbl_Finance[Client],MATCH(C23&amp;"",tbl_Finance[Job Number],0)),""))</f>
        <v/>
      </c>
      <c r="G23" s="28">
        <f>IF(C23="","",COUNTIFS(tbl_Finance[Job Number],C23&amp;"",tbl_Finance[Ex GST],"&lt;&gt;"))</f>
        <v/>
      </c>
      <c r="H23" s="27">
        <f>IF(C23="","",SUMIFS(tbl_Finance[Ex GST],tbl_Finance[Job Number],C23&amp;""))</f>
        <v/>
      </c>
      <c r="I23" s="27">
        <f>IF(C23="","",SUMIFS(tbl_Finance[Ex GST],tbl_Finance[Job Number],C23&amp;"",tbl_Finance[Xero Invoice No],"&lt;&gt;"))</f>
        <v/>
      </c>
      <c r="J23" s="27">
        <f>IF(C23="","",H23-I23)</f>
        <v/>
      </c>
      <c r="K23" s="25">
        <f>IF(C23="","",IF(G23=0,"not invoiced yet",SUBSTITUTE(TRIM(IF(COUNTIFS(tbl_Finance[Job Number],C23&amp;"",tbl_Finance[Cost Centre],"ONSITE")&gt;0,"ONSITE ","")&amp;IF(COUNTIFS(tbl_Finance[Job Number],C23&amp;"",tbl_Finance[Cost Centre],"PRODUCTION")&gt;0,"PRODUCTION ","")&amp;IF(COUNTIFS(tbl_Finance[Job Number],C23&amp;"",tbl_Finance[Cost Centre],"VIDEO")&gt;0,"VIDEO ","")&amp;IF(COUNTIFS(tbl_Finance[Job Number],C23&amp;"",tbl_Finance[Cost Centre],"INTEGRATION")&gt;0,"INTEGRATION ","")&amp;IF(COUNTIFS(tbl_Finance[Job Number],C23&amp;"",tbl_Finance[Cost Centre],"CONSULTING")&gt;0,"CONSULTING ","")&amp;IF(COUNTIFS(tbl_Finance[Job Number],C23&amp;"",tbl_Finance[Cost Centre],"CTS")&gt;0,"CTS ",""))," ",", ")))</f>
        <v/>
      </c>
      <c r="L23" s="24" t="n"/>
      <c r="M23" s="25">
        <f>IF(L23="","",HYPERLINK(IF(LEFT(L23,4)="http",L23,set_QwilrBase&amp;L23),"Open quote"))</f>
        <v/>
      </c>
      <c r="N23" s="26" t="n"/>
      <c r="O23" s="26" t="n"/>
      <c r="P23" s="26" t="n"/>
      <c r="Q23" s="25">
        <f>IF(C23="","",IF(N(N23)+N(O23)+N(P23)=0,"Not split",IF(ROUND(N(N23)+N(O23)+N(P23),2)=ROUND(H23,2),"OK","MISMATCH")))</f>
        <v/>
      </c>
      <c r="R23" s="26" t="n"/>
      <c r="S23" s="26" t="n"/>
      <c r="T23" s="26" t="n"/>
      <c r="U23" s="27">
        <f>IF(C23="","",N(R23)+N(S23)+N(T23))</f>
        <v/>
      </c>
      <c r="V23" s="27">
        <f>IF(C23="","",H23-U23)</f>
        <v/>
      </c>
      <c r="W23" s="29">
        <f>IFERROR(V23/H23,"")</f>
        <v/>
      </c>
      <c r="X23" s="24" t="n"/>
    </row>
    <row r="24" ht="15" customHeight="1">
      <c r="A24" s="68">
        <f>IF(C24="","",IFERROR(IF(SUMPRODUCT(MAX((tbl_Finance[Job Number]=C24&amp;"")*(tbl_Finance[Xero Invoice No]&lt;&gt;"")*tbl_Finance[Date]))=0,"",SUMPRODUCT(MAX((tbl_Finance[Job Number]=C24&amp;"")*(tbl_Finance[Xero Invoice No]&lt;&gt;"")*tbl_Finance[Date]))),""))</f>
        <v/>
      </c>
      <c r="B24" s="25">
        <f>IF(C24="","",IF(COUNTIFS(tbl_Finance[Job Number],C24&amp;"",tbl_Finance[Xero Invoice No],"&lt;&gt;")=0,"",IFERROR(IF(COUNTIFS(tbl_Finance[Job Number],C24&amp;"",tbl_Finance[Xero Invoice No],LOOKUP(2,1/((tbl_Finance[Job Number]=C24&amp;"")*(tbl_Finance[Xero Invoice No]&lt;&gt;"")),tbl_Finance[Xero Invoice No]))=COUNTIFS(tbl_Finance[Job Number],C24&amp;"",tbl_Finance[Xero Invoice No],"&lt;&gt;"),LOOKUP(2,1/((tbl_Finance[Job Number]=C24&amp;"")*(tbl_Finance[Xero Invoice No]&lt;&gt;"")),tbl_Finance[Xero Invoice No]),LOOKUP(2,1/((tbl_Finance[Job Number]=C24&amp;"")*(tbl_Finance[Xero Invoice No]&lt;&gt;"")),tbl_Finance[Xero Invoice No])&amp;" +more"),"")))</f>
        <v/>
      </c>
      <c r="C24" s="24" t="n"/>
      <c r="D24" s="25">
        <f>IF(C24="","",IF(COUNTIF(lst_Jobs,C24&amp;"")&gt;0,"OK","CHECK"))</f>
        <v/>
      </c>
      <c r="E24" s="25">
        <f>IF(C24="","",IFERROR(INDEX(lst_JobName,MATCH(C24&amp;"",lst_Jobs,0)),""))</f>
        <v/>
      </c>
      <c r="F24" s="25">
        <f>IF(C24="","",IFERROR(INDEX(tbl_Finance[Client],MATCH(C24&amp;"",tbl_Finance[Job Number],0)),""))</f>
        <v/>
      </c>
      <c r="G24" s="28">
        <f>IF(C24="","",COUNTIFS(tbl_Finance[Job Number],C24&amp;"",tbl_Finance[Ex GST],"&lt;&gt;"))</f>
        <v/>
      </c>
      <c r="H24" s="27">
        <f>IF(C24="","",SUMIFS(tbl_Finance[Ex GST],tbl_Finance[Job Number],C24&amp;""))</f>
        <v/>
      </c>
      <c r="I24" s="27">
        <f>IF(C24="","",SUMIFS(tbl_Finance[Ex GST],tbl_Finance[Job Number],C24&amp;"",tbl_Finance[Xero Invoice No],"&lt;&gt;"))</f>
        <v/>
      </c>
      <c r="J24" s="27">
        <f>IF(C24="","",H24-I24)</f>
        <v/>
      </c>
      <c r="K24" s="25">
        <f>IF(C24="","",IF(G24=0,"not invoiced yet",SUBSTITUTE(TRIM(IF(COUNTIFS(tbl_Finance[Job Number],C24&amp;"",tbl_Finance[Cost Centre],"ONSITE")&gt;0,"ONSITE ","")&amp;IF(COUNTIFS(tbl_Finance[Job Number],C24&amp;"",tbl_Finance[Cost Centre],"PRODUCTION")&gt;0,"PRODUCTION ","")&amp;IF(COUNTIFS(tbl_Finance[Job Number],C24&amp;"",tbl_Finance[Cost Centre],"VIDEO")&gt;0,"VIDEO ","")&amp;IF(COUNTIFS(tbl_Finance[Job Number],C24&amp;"",tbl_Finance[Cost Centre],"INTEGRATION")&gt;0,"INTEGRATION ","")&amp;IF(COUNTIFS(tbl_Finance[Job Number],C24&amp;"",tbl_Finance[Cost Centre],"CONSULTING")&gt;0,"CONSULTING ","")&amp;IF(COUNTIFS(tbl_Finance[Job Number],C24&amp;"",tbl_Finance[Cost Centre],"CTS")&gt;0,"CTS ",""))," ",", ")))</f>
        <v/>
      </c>
      <c r="L24" s="24" t="n"/>
      <c r="M24" s="25">
        <f>IF(L24="","",HYPERLINK(IF(LEFT(L24,4)="http",L24,set_QwilrBase&amp;L24),"Open quote"))</f>
        <v/>
      </c>
      <c r="N24" s="26" t="n"/>
      <c r="O24" s="26" t="n"/>
      <c r="P24" s="26" t="n"/>
      <c r="Q24" s="25">
        <f>IF(C24="","",IF(N(N24)+N(O24)+N(P24)=0,"Not split",IF(ROUND(N(N24)+N(O24)+N(P24),2)=ROUND(H24,2),"OK","MISMATCH")))</f>
        <v/>
      </c>
      <c r="R24" s="26" t="n"/>
      <c r="S24" s="26" t="n"/>
      <c r="T24" s="26" t="n"/>
      <c r="U24" s="27">
        <f>IF(C24="","",N(R24)+N(S24)+N(T24))</f>
        <v/>
      </c>
      <c r="V24" s="27">
        <f>IF(C24="","",H24-U24)</f>
        <v/>
      </c>
      <c r="W24" s="29">
        <f>IFERROR(V24/H24,"")</f>
        <v/>
      </c>
      <c r="X24" s="24" t="n"/>
    </row>
    <row r="25" ht="15" customHeight="1">
      <c r="A25" s="68">
        <f>IF(C25="","",IFERROR(IF(SUMPRODUCT(MAX((tbl_Finance[Job Number]=C25&amp;"")*(tbl_Finance[Xero Invoice No]&lt;&gt;"")*tbl_Finance[Date]))=0,"",SUMPRODUCT(MAX((tbl_Finance[Job Number]=C25&amp;"")*(tbl_Finance[Xero Invoice No]&lt;&gt;"")*tbl_Finance[Date]))),""))</f>
        <v/>
      </c>
      <c r="B25" s="25">
        <f>IF(C25="","",IF(COUNTIFS(tbl_Finance[Job Number],C25&amp;"",tbl_Finance[Xero Invoice No],"&lt;&gt;")=0,"",IFERROR(IF(COUNTIFS(tbl_Finance[Job Number],C25&amp;"",tbl_Finance[Xero Invoice No],LOOKUP(2,1/((tbl_Finance[Job Number]=C25&amp;"")*(tbl_Finance[Xero Invoice No]&lt;&gt;"")),tbl_Finance[Xero Invoice No]))=COUNTIFS(tbl_Finance[Job Number],C25&amp;"",tbl_Finance[Xero Invoice No],"&lt;&gt;"),LOOKUP(2,1/((tbl_Finance[Job Number]=C25&amp;"")*(tbl_Finance[Xero Invoice No]&lt;&gt;"")),tbl_Finance[Xero Invoice No]),LOOKUP(2,1/((tbl_Finance[Job Number]=C25&amp;"")*(tbl_Finance[Xero Invoice No]&lt;&gt;"")),tbl_Finance[Xero Invoice No])&amp;" +more"),"")))</f>
        <v/>
      </c>
      <c r="C25" s="24" t="n"/>
      <c r="D25" s="25">
        <f>IF(C25="","",IF(COUNTIF(lst_Jobs,C25&amp;"")&gt;0,"OK","CHECK"))</f>
        <v/>
      </c>
      <c r="E25" s="25">
        <f>IF(C25="","",IFERROR(INDEX(lst_JobName,MATCH(C25&amp;"",lst_Jobs,0)),""))</f>
        <v/>
      </c>
      <c r="F25" s="25">
        <f>IF(C25="","",IFERROR(INDEX(tbl_Finance[Client],MATCH(C25&amp;"",tbl_Finance[Job Number],0)),""))</f>
        <v/>
      </c>
      <c r="G25" s="28">
        <f>IF(C25="","",COUNTIFS(tbl_Finance[Job Number],C25&amp;"",tbl_Finance[Ex GST],"&lt;&gt;"))</f>
        <v/>
      </c>
      <c r="H25" s="27">
        <f>IF(C25="","",SUMIFS(tbl_Finance[Ex GST],tbl_Finance[Job Number],C25&amp;""))</f>
        <v/>
      </c>
      <c r="I25" s="27">
        <f>IF(C25="","",SUMIFS(tbl_Finance[Ex GST],tbl_Finance[Job Number],C25&amp;"",tbl_Finance[Xero Invoice No],"&lt;&gt;"))</f>
        <v/>
      </c>
      <c r="J25" s="27">
        <f>IF(C25="","",H25-I25)</f>
        <v/>
      </c>
      <c r="K25" s="25">
        <f>IF(C25="","",IF(G25=0,"not invoiced yet",SUBSTITUTE(TRIM(IF(COUNTIFS(tbl_Finance[Job Number],C25&amp;"",tbl_Finance[Cost Centre],"ONSITE")&gt;0,"ONSITE ","")&amp;IF(COUNTIFS(tbl_Finance[Job Number],C25&amp;"",tbl_Finance[Cost Centre],"PRODUCTION")&gt;0,"PRODUCTION ","")&amp;IF(COUNTIFS(tbl_Finance[Job Number],C25&amp;"",tbl_Finance[Cost Centre],"VIDEO")&gt;0,"VIDEO ","")&amp;IF(COUNTIFS(tbl_Finance[Job Number],C25&amp;"",tbl_Finance[Cost Centre],"INTEGRATION")&gt;0,"INTEGRATION ","")&amp;IF(COUNTIFS(tbl_Finance[Job Number],C25&amp;"",tbl_Finance[Cost Centre],"CONSULTING")&gt;0,"CONSULTING ","")&amp;IF(COUNTIFS(tbl_Finance[Job Number],C25&amp;"",tbl_Finance[Cost Centre],"CTS")&gt;0,"CTS ",""))," ",", ")))</f>
        <v/>
      </c>
      <c r="L25" s="24" t="n"/>
      <c r="M25" s="25">
        <f>IF(L25="","",HYPERLINK(IF(LEFT(L25,4)="http",L25,set_QwilrBase&amp;L25),"Open quote"))</f>
        <v/>
      </c>
      <c r="N25" s="26" t="n"/>
      <c r="O25" s="26" t="n"/>
      <c r="P25" s="26" t="n"/>
      <c r="Q25" s="25">
        <f>IF(C25="","",IF(N(N25)+N(O25)+N(P25)=0,"Not split",IF(ROUND(N(N25)+N(O25)+N(P25),2)=ROUND(H25,2),"OK","MISMATCH")))</f>
        <v/>
      </c>
      <c r="R25" s="26" t="n"/>
      <c r="S25" s="26" t="n"/>
      <c r="T25" s="26" t="n"/>
      <c r="U25" s="27">
        <f>IF(C25="","",N(R25)+N(S25)+N(T25))</f>
        <v/>
      </c>
      <c r="V25" s="27">
        <f>IF(C25="","",H25-U25)</f>
        <v/>
      </c>
      <c r="W25" s="29">
        <f>IFERROR(V25/H25,"")</f>
        <v/>
      </c>
      <c r="X25" s="24" t="n"/>
    </row>
    <row r="26" ht="15" customHeight="1">
      <c r="A26" s="68">
        <f>IF(C26="","",IFERROR(IF(SUMPRODUCT(MAX((tbl_Finance[Job Number]=C26&amp;"")*(tbl_Finance[Xero Invoice No]&lt;&gt;"")*tbl_Finance[Date]))=0,"",SUMPRODUCT(MAX((tbl_Finance[Job Number]=C26&amp;"")*(tbl_Finance[Xero Invoice No]&lt;&gt;"")*tbl_Finance[Date]))),""))</f>
        <v/>
      </c>
      <c r="B26" s="25">
        <f>IF(C26="","",IF(COUNTIFS(tbl_Finance[Job Number],C26&amp;"",tbl_Finance[Xero Invoice No],"&lt;&gt;")=0,"",IFERROR(IF(COUNTIFS(tbl_Finance[Job Number],C26&amp;"",tbl_Finance[Xero Invoice No],LOOKUP(2,1/((tbl_Finance[Job Number]=C26&amp;"")*(tbl_Finance[Xero Invoice No]&lt;&gt;"")),tbl_Finance[Xero Invoice No]))=COUNTIFS(tbl_Finance[Job Number],C26&amp;"",tbl_Finance[Xero Invoice No],"&lt;&gt;"),LOOKUP(2,1/((tbl_Finance[Job Number]=C26&amp;"")*(tbl_Finance[Xero Invoice No]&lt;&gt;"")),tbl_Finance[Xero Invoice No]),LOOKUP(2,1/((tbl_Finance[Job Number]=C26&amp;"")*(tbl_Finance[Xero Invoice No]&lt;&gt;"")),tbl_Finance[Xero Invoice No])&amp;" +more"),"")))</f>
        <v/>
      </c>
      <c r="C26" s="24" t="n"/>
      <c r="D26" s="25">
        <f>IF(C26="","",IF(COUNTIF(lst_Jobs,C26&amp;"")&gt;0,"OK","CHECK"))</f>
        <v/>
      </c>
      <c r="E26" s="25">
        <f>IF(C26="","",IFERROR(INDEX(lst_JobName,MATCH(C26&amp;"",lst_Jobs,0)),""))</f>
        <v/>
      </c>
      <c r="F26" s="25">
        <f>IF(C26="","",IFERROR(INDEX(tbl_Finance[Client],MATCH(C26&amp;"",tbl_Finance[Job Number],0)),""))</f>
        <v/>
      </c>
      <c r="G26" s="28">
        <f>IF(C26="","",COUNTIFS(tbl_Finance[Job Number],C26&amp;"",tbl_Finance[Ex GST],"&lt;&gt;"))</f>
        <v/>
      </c>
      <c r="H26" s="27">
        <f>IF(C26="","",SUMIFS(tbl_Finance[Ex GST],tbl_Finance[Job Number],C26&amp;""))</f>
        <v/>
      </c>
      <c r="I26" s="27">
        <f>IF(C26="","",SUMIFS(tbl_Finance[Ex GST],tbl_Finance[Job Number],C26&amp;"",tbl_Finance[Xero Invoice No],"&lt;&gt;"))</f>
        <v/>
      </c>
      <c r="J26" s="27">
        <f>IF(C26="","",H26-I26)</f>
        <v/>
      </c>
      <c r="K26" s="25">
        <f>IF(C26="","",IF(G26=0,"not invoiced yet",SUBSTITUTE(TRIM(IF(COUNTIFS(tbl_Finance[Job Number],C26&amp;"",tbl_Finance[Cost Centre],"ONSITE")&gt;0,"ONSITE ","")&amp;IF(COUNTIFS(tbl_Finance[Job Number],C26&amp;"",tbl_Finance[Cost Centre],"PRODUCTION")&gt;0,"PRODUCTION ","")&amp;IF(COUNTIFS(tbl_Finance[Job Number],C26&amp;"",tbl_Finance[Cost Centre],"VIDEO")&gt;0,"VIDEO ","")&amp;IF(COUNTIFS(tbl_Finance[Job Number],C26&amp;"",tbl_Finance[Cost Centre],"INTEGRATION")&gt;0,"INTEGRATION ","")&amp;IF(COUNTIFS(tbl_Finance[Job Number],C26&amp;"",tbl_Finance[Cost Centre],"CONSULTING")&gt;0,"CONSULTING ","")&amp;IF(COUNTIFS(tbl_Finance[Job Number],C26&amp;"",tbl_Finance[Cost Centre],"CTS")&gt;0,"CTS ",""))," ",", ")))</f>
        <v/>
      </c>
      <c r="L26" s="24" t="n"/>
      <c r="M26" s="25">
        <f>IF(L26="","",HYPERLINK(IF(LEFT(L26,4)="http",L26,set_QwilrBase&amp;L26),"Open quote"))</f>
        <v/>
      </c>
      <c r="N26" s="26" t="n"/>
      <c r="O26" s="26" t="n"/>
      <c r="P26" s="26" t="n"/>
      <c r="Q26" s="25">
        <f>IF(C26="","",IF(N(N26)+N(O26)+N(P26)=0,"Not split",IF(ROUND(N(N26)+N(O26)+N(P26),2)=ROUND(H26,2),"OK","MISMATCH")))</f>
        <v/>
      </c>
      <c r="R26" s="26" t="n"/>
      <c r="S26" s="26" t="n"/>
      <c r="T26" s="26" t="n"/>
      <c r="U26" s="27">
        <f>IF(C26="","",N(R26)+N(S26)+N(T26))</f>
        <v/>
      </c>
      <c r="V26" s="27">
        <f>IF(C26="","",H26-U26)</f>
        <v/>
      </c>
      <c r="W26" s="29">
        <f>IFERROR(V26/H26,"")</f>
        <v/>
      </c>
      <c r="X26" s="24" t="n"/>
    </row>
    <row r="27" ht="15" customHeight="1">
      <c r="A27" s="68">
        <f>IF(C27="","",IFERROR(IF(SUMPRODUCT(MAX((tbl_Finance[Job Number]=C27&amp;"")*(tbl_Finance[Xero Invoice No]&lt;&gt;"")*tbl_Finance[Date]))=0,"",SUMPRODUCT(MAX((tbl_Finance[Job Number]=C27&amp;"")*(tbl_Finance[Xero Invoice No]&lt;&gt;"")*tbl_Finance[Date]))),""))</f>
        <v/>
      </c>
      <c r="B27" s="25">
        <f>IF(C27="","",IF(COUNTIFS(tbl_Finance[Job Number],C27&amp;"",tbl_Finance[Xero Invoice No],"&lt;&gt;")=0,"",IFERROR(IF(COUNTIFS(tbl_Finance[Job Number],C27&amp;"",tbl_Finance[Xero Invoice No],LOOKUP(2,1/((tbl_Finance[Job Number]=C27&amp;"")*(tbl_Finance[Xero Invoice No]&lt;&gt;"")),tbl_Finance[Xero Invoice No]))=COUNTIFS(tbl_Finance[Job Number],C27&amp;"",tbl_Finance[Xero Invoice No],"&lt;&gt;"),LOOKUP(2,1/((tbl_Finance[Job Number]=C27&amp;"")*(tbl_Finance[Xero Invoice No]&lt;&gt;"")),tbl_Finance[Xero Invoice No]),LOOKUP(2,1/((tbl_Finance[Job Number]=C27&amp;"")*(tbl_Finance[Xero Invoice No]&lt;&gt;"")),tbl_Finance[Xero Invoice No])&amp;" +more"),"")))</f>
        <v/>
      </c>
      <c r="C27" s="24" t="n"/>
      <c r="D27" s="25">
        <f>IF(C27="","",IF(COUNTIF(lst_Jobs,C27&amp;"")&gt;0,"OK","CHECK"))</f>
        <v/>
      </c>
      <c r="E27" s="25">
        <f>IF(C27="","",IFERROR(INDEX(lst_JobName,MATCH(C27&amp;"",lst_Jobs,0)),""))</f>
        <v/>
      </c>
      <c r="F27" s="25">
        <f>IF(C27="","",IFERROR(INDEX(tbl_Finance[Client],MATCH(C27&amp;"",tbl_Finance[Job Number],0)),""))</f>
        <v/>
      </c>
      <c r="G27" s="28">
        <f>IF(C27="","",COUNTIFS(tbl_Finance[Job Number],C27&amp;"",tbl_Finance[Ex GST],"&lt;&gt;"))</f>
        <v/>
      </c>
      <c r="H27" s="27">
        <f>IF(C27="","",SUMIFS(tbl_Finance[Ex GST],tbl_Finance[Job Number],C27&amp;""))</f>
        <v/>
      </c>
      <c r="I27" s="27">
        <f>IF(C27="","",SUMIFS(tbl_Finance[Ex GST],tbl_Finance[Job Number],C27&amp;"",tbl_Finance[Xero Invoice No],"&lt;&gt;"))</f>
        <v/>
      </c>
      <c r="J27" s="27">
        <f>IF(C27="","",H27-I27)</f>
        <v/>
      </c>
      <c r="K27" s="25">
        <f>IF(C27="","",IF(G27=0,"not invoiced yet",SUBSTITUTE(TRIM(IF(COUNTIFS(tbl_Finance[Job Number],C27&amp;"",tbl_Finance[Cost Centre],"ONSITE")&gt;0,"ONSITE ","")&amp;IF(COUNTIFS(tbl_Finance[Job Number],C27&amp;"",tbl_Finance[Cost Centre],"PRODUCTION")&gt;0,"PRODUCTION ","")&amp;IF(COUNTIFS(tbl_Finance[Job Number],C27&amp;"",tbl_Finance[Cost Centre],"VIDEO")&gt;0,"VIDEO ","")&amp;IF(COUNTIFS(tbl_Finance[Job Number],C27&amp;"",tbl_Finance[Cost Centre],"INTEGRATION")&gt;0,"INTEGRATION ","")&amp;IF(COUNTIFS(tbl_Finance[Job Number],C27&amp;"",tbl_Finance[Cost Centre],"CONSULTING")&gt;0,"CONSULTING ","")&amp;IF(COUNTIFS(tbl_Finance[Job Number],C27&amp;"",tbl_Finance[Cost Centre],"CTS")&gt;0,"CTS ",""))," ",", ")))</f>
        <v/>
      </c>
      <c r="L27" s="24" t="n"/>
      <c r="M27" s="25">
        <f>IF(L27="","",HYPERLINK(IF(LEFT(L27,4)="http",L27,set_QwilrBase&amp;L27),"Open quote"))</f>
        <v/>
      </c>
      <c r="N27" s="26" t="n"/>
      <c r="O27" s="26" t="n"/>
      <c r="P27" s="26" t="n"/>
      <c r="Q27" s="25">
        <f>IF(C27="","",IF(N(N27)+N(O27)+N(P27)=0,"Not split",IF(ROUND(N(N27)+N(O27)+N(P27),2)=ROUND(H27,2),"OK","MISMATCH")))</f>
        <v/>
      </c>
      <c r="R27" s="26" t="n"/>
      <c r="S27" s="26" t="n"/>
      <c r="T27" s="26" t="n"/>
      <c r="U27" s="27">
        <f>IF(C27="","",N(R27)+N(S27)+N(T27))</f>
        <v/>
      </c>
      <c r="V27" s="27">
        <f>IF(C27="","",H27-U27)</f>
        <v/>
      </c>
      <c r="W27" s="29">
        <f>IFERROR(V27/H27,"")</f>
        <v/>
      </c>
      <c r="X27" s="24" t="n"/>
    </row>
    <row r="28" ht="15" customHeight="1">
      <c r="A28" s="68">
        <f>IF(C28="","",IFERROR(IF(SUMPRODUCT(MAX((tbl_Finance[Job Number]=C28&amp;"")*(tbl_Finance[Xero Invoice No]&lt;&gt;"")*tbl_Finance[Date]))=0,"",SUMPRODUCT(MAX((tbl_Finance[Job Number]=C28&amp;"")*(tbl_Finance[Xero Invoice No]&lt;&gt;"")*tbl_Finance[Date]))),""))</f>
        <v/>
      </c>
      <c r="B28" s="25">
        <f>IF(C28="","",IF(COUNTIFS(tbl_Finance[Job Number],C28&amp;"",tbl_Finance[Xero Invoice No],"&lt;&gt;")=0,"",IFERROR(IF(COUNTIFS(tbl_Finance[Job Number],C28&amp;"",tbl_Finance[Xero Invoice No],LOOKUP(2,1/((tbl_Finance[Job Number]=C28&amp;"")*(tbl_Finance[Xero Invoice No]&lt;&gt;"")),tbl_Finance[Xero Invoice No]))=COUNTIFS(tbl_Finance[Job Number],C28&amp;"",tbl_Finance[Xero Invoice No],"&lt;&gt;"),LOOKUP(2,1/((tbl_Finance[Job Number]=C28&amp;"")*(tbl_Finance[Xero Invoice No]&lt;&gt;"")),tbl_Finance[Xero Invoice No]),LOOKUP(2,1/((tbl_Finance[Job Number]=C28&amp;"")*(tbl_Finance[Xero Invoice No]&lt;&gt;"")),tbl_Finance[Xero Invoice No])&amp;" +more"),"")))</f>
        <v/>
      </c>
      <c r="C28" s="24" t="n"/>
      <c r="D28" s="25">
        <f>IF(C28="","",IF(COUNTIF(lst_Jobs,C28&amp;"")&gt;0,"OK","CHECK"))</f>
        <v/>
      </c>
      <c r="E28" s="25">
        <f>IF(C28="","",IFERROR(INDEX(lst_JobName,MATCH(C28&amp;"",lst_Jobs,0)),""))</f>
        <v/>
      </c>
      <c r="F28" s="25">
        <f>IF(C28="","",IFERROR(INDEX(tbl_Finance[Client],MATCH(C28&amp;"",tbl_Finance[Job Number],0)),""))</f>
        <v/>
      </c>
      <c r="G28" s="28">
        <f>IF(C28="","",COUNTIFS(tbl_Finance[Job Number],C28&amp;"",tbl_Finance[Ex GST],"&lt;&gt;"))</f>
        <v/>
      </c>
      <c r="H28" s="27">
        <f>IF(C28="","",SUMIFS(tbl_Finance[Ex GST],tbl_Finance[Job Number],C28&amp;""))</f>
        <v/>
      </c>
      <c r="I28" s="27">
        <f>IF(C28="","",SUMIFS(tbl_Finance[Ex GST],tbl_Finance[Job Number],C28&amp;"",tbl_Finance[Xero Invoice No],"&lt;&gt;"))</f>
        <v/>
      </c>
      <c r="J28" s="27">
        <f>IF(C28="","",H28-I28)</f>
        <v/>
      </c>
      <c r="K28" s="25">
        <f>IF(C28="","",IF(G28=0,"not invoiced yet",SUBSTITUTE(TRIM(IF(COUNTIFS(tbl_Finance[Job Number],C28&amp;"",tbl_Finance[Cost Centre],"ONSITE")&gt;0,"ONSITE ","")&amp;IF(COUNTIFS(tbl_Finance[Job Number],C28&amp;"",tbl_Finance[Cost Centre],"PRODUCTION")&gt;0,"PRODUCTION ","")&amp;IF(COUNTIFS(tbl_Finance[Job Number],C28&amp;"",tbl_Finance[Cost Centre],"VIDEO")&gt;0,"VIDEO ","")&amp;IF(COUNTIFS(tbl_Finance[Job Number],C28&amp;"",tbl_Finance[Cost Centre],"INTEGRATION")&gt;0,"INTEGRATION ","")&amp;IF(COUNTIFS(tbl_Finance[Job Number],C28&amp;"",tbl_Finance[Cost Centre],"CONSULTING")&gt;0,"CONSULTING ","")&amp;IF(COUNTIFS(tbl_Finance[Job Number],C28&amp;"",tbl_Finance[Cost Centre],"CTS")&gt;0,"CTS ",""))," ",", ")))</f>
        <v/>
      </c>
      <c r="L28" s="24" t="n"/>
      <c r="M28" s="25">
        <f>IF(L28="","",HYPERLINK(IF(LEFT(L28,4)="http",L28,set_QwilrBase&amp;L28),"Open quote"))</f>
        <v/>
      </c>
      <c r="N28" s="26" t="n"/>
      <c r="O28" s="26" t="n"/>
      <c r="P28" s="26" t="n"/>
      <c r="Q28" s="25">
        <f>IF(C28="","",IF(N(N28)+N(O28)+N(P28)=0,"Not split",IF(ROUND(N(N28)+N(O28)+N(P28),2)=ROUND(H28,2),"OK","MISMATCH")))</f>
        <v/>
      </c>
      <c r="R28" s="26" t="n"/>
      <c r="S28" s="26" t="n"/>
      <c r="T28" s="26" t="n"/>
      <c r="U28" s="27">
        <f>IF(C28="","",N(R28)+N(S28)+N(T28))</f>
        <v/>
      </c>
      <c r="V28" s="27">
        <f>IF(C28="","",H28-U28)</f>
        <v/>
      </c>
      <c r="W28" s="29">
        <f>IFERROR(V28/H28,"")</f>
        <v/>
      </c>
      <c r="X28" s="24" t="n"/>
    </row>
    <row r="29" ht="15" customHeight="1">
      <c r="A29" s="68">
        <f>IF(C29="","",IFERROR(IF(SUMPRODUCT(MAX((tbl_Finance[Job Number]=C29&amp;"")*(tbl_Finance[Xero Invoice No]&lt;&gt;"")*tbl_Finance[Date]))=0,"",SUMPRODUCT(MAX((tbl_Finance[Job Number]=C29&amp;"")*(tbl_Finance[Xero Invoice No]&lt;&gt;"")*tbl_Finance[Date]))),""))</f>
        <v/>
      </c>
      <c r="B29" s="25">
        <f>IF(C29="","",IF(COUNTIFS(tbl_Finance[Job Number],C29&amp;"",tbl_Finance[Xero Invoice No],"&lt;&gt;")=0,"",IFERROR(IF(COUNTIFS(tbl_Finance[Job Number],C29&amp;"",tbl_Finance[Xero Invoice No],LOOKUP(2,1/((tbl_Finance[Job Number]=C29&amp;"")*(tbl_Finance[Xero Invoice No]&lt;&gt;"")),tbl_Finance[Xero Invoice No]))=COUNTIFS(tbl_Finance[Job Number],C29&amp;"",tbl_Finance[Xero Invoice No],"&lt;&gt;"),LOOKUP(2,1/((tbl_Finance[Job Number]=C29&amp;"")*(tbl_Finance[Xero Invoice No]&lt;&gt;"")),tbl_Finance[Xero Invoice No]),LOOKUP(2,1/((tbl_Finance[Job Number]=C29&amp;"")*(tbl_Finance[Xero Invoice No]&lt;&gt;"")),tbl_Finance[Xero Invoice No])&amp;" +more"),"")))</f>
        <v/>
      </c>
      <c r="C29" s="24" t="n"/>
      <c r="D29" s="25">
        <f>IF(C29="","",IF(COUNTIF(lst_Jobs,C29&amp;"")&gt;0,"OK","CHECK"))</f>
        <v/>
      </c>
      <c r="E29" s="25">
        <f>IF(C29="","",IFERROR(INDEX(lst_JobName,MATCH(C29&amp;"",lst_Jobs,0)),""))</f>
        <v/>
      </c>
      <c r="F29" s="25">
        <f>IF(C29="","",IFERROR(INDEX(tbl_Finance[Client],MATCH(C29&amp;"",tbl_Finance[Job Number],0)),""))</f>
        <v/>
      </c>
      <c r="G29" s="28">
        <f>IF(C29="","",COUNTIFS(tbl_Finance[Job Number],C29&amp;"",tbl_Finance[Ex GST],"&lt;&gt;"))</f>
        <v/>
      </c>
      <c r="H29" s="27">
        <f>IF(C29="","",SUMIFS(tbl_Finance[Ex GST],tbl_Finance[Job Number],C29&amp;""))</f>
        <v/>
      </c>
      <c r="I29" s="27">
        <f>IF(C29="","",SUMIFS(tbl_Finance[Ex GST],tbl_Finance[Job Number],C29&amp;"",tbl_Finance[Xero Invoice No],"&lt;&gt;"))</f>
        <v/>
      </c>
      <c r="J29" s="27">
        <f>IF(C29="","",H29-I29)</f>
        <v/>
      </c>
      <c r="K29" s="25">
        <f>IF(C29="","",IF(G29=0,"not invoiced yet",SUBSTITUTE(TRIM(IF(COUNTIFS(tbl_Finance[Job Number],C29&amp;"",tbl_Finance[Cost Centre],"ONSITE")&gt;0,"ONSITE ","")&amp;IF(COUNTIFS(tbl_Finance[Job Number],C29&amp;"",tbl_Finance[Cost Centre],"PRODUCTION")&gt;0,"PRODUCTION ","")&amp;IF(COUNTIFS(tbl_Finance[Job Number],C29&amp;"",tbl_Finance[Cost Centre],"VIDEO")&gt;0,"VIDEO ","")&amp;IF(COUNTIFS(tbl_Finance[Job Number],C29&amp;"",tbl_Finance[Cost Centre],"INTEGRATION")&gt;0,"INTEGRATION ","")&amp;IF(COUNTIFS(tbl_Finance[Job Number],C29&amp;"",tbl_Finance[Cost Centre],"CONSULTING")&gt;0,"CONSULTING ","")&amp;IF(COUNTIFS(tbl_Finance[Job Number],C29&amp;"",tbl_Finance[Cost Centre],"CTS")&gt;0,"CTS ",""))," ",", ")))</f>
        <v/>
      </c>
      <c r="L29" s="24" t="n"/>
      <c r="M29" s="25">
        <f>IF(L29="","",HYPERLINK(IF(LEFT(L29,4)="http",L29,set_QwilrBase&amp;L29),"Open quote"))</f>
        <v/>
      </c>
      <c r="N29" s="26" t="n"/>
      <c r="O29" s="26" t="n"/>
      <c r="P29" s="26" t="n"/>
      <c r="Q29" s="25">
        <f>IF(C29="","",IF(N(N29)+N(O29)+N(P29)=0,"Not split",IF(ROUND(N(N29)+N(O29)+N(P29),2)=ROUND(H29,2),"OK","MISMATCH")))</f>
        <v/>
      </c>
      <c r="R29" s="26" t="n"/>
      <c r="S29" s="26" t="n"/>
      <c r="T29" s="26" t="n"/>
      <c r="U29" s="27">
        <f>IF(C29="","",N(R29)+N(S29)+N(T29))</f>
        <v/>
      </c>
      <c r="V29" s="27">
        <f>IF(C29="","",H29-U29)</f>
        <v/>
      </c>
      <c r="W29" s="29">
        <f>IFERROR(V29/H29,"")</f>
        <v/>
      </c>
      <c r="X29" s="24" t="n"/>
    </row>
    <row r="30" ht="15" customHeight="1">
      <c r="A30" s="68">
        <f>IF(C30="","",IFERROR(IF(SUMPRODUCT(MAX((tbl_Finance[Job Number]=C30&amp;"")*(tbl_Finance[Xero Invoice No]&lt;&gt;"")*tbl_Finance[Date]))=0,"",SUMPRODUCT(MAX((tbl_Finance[Job Number]=C30&amp;"")*(tbl_Finance[Xero Invoice No]&lt;&gt;"")*tbl_Finance[Date]))),""))</f>
        <v/>
      </c>
      <c r="B30" s="25">
        <f>IF(C30="","",IF(COUNTIFS(tbl_Finance[Job Number],C30&amp;"",tbl_Finance[Xero Invoice No],"&lt;&gt;")=0,"",IFERROR(IF(COUNTIFS(tbl_Finance[Job Number],C30&amp;"",tbl_Finance[Xero Invoice No],LOOKUP(2,1/((tbl_Finance[Job Number]=C30&amp;"")*(tbl_Finance[Xero Invoice No]&lt;&gt;"")),tbl_Finance[Xero Invoice No]))=COUNTIFS(tbl_Finance[Job Number],C30&amp;"",tbl_Finance[Xero Invoice No],"&lt;&gt;"),LOOKUP(2,1/((tbl_Finance[Job Number]=C30&amp;"")*(tbl_Finance[Xero Invoice No]&lt;&gt;"")),tbl_Finance[Xero Invoice No]),LOOKUP(2,1/((tbl_Finance[Job Number]=C30&amp;"")*(tbl_Finance[Xero Invoice No]&lt;&gt;"")),tbl_Finance[Xero Invoice No])&amp;" +more"),"")))</f>
        <v/>
      </c>
      <c r="C30" s="24" t="n"/>
      <c r="D30" s="25">
        <f>IF(C30="","",IF(COUNTIF(lst_Jobs,C30&amp;"")&gt;0,"OK","CHECK"))</f>
        <v/>
      </c>
      <c r="E30" s="25">
        <f>IF(C30="","",IFERROR(INDEX(lst_JobName,MATCH(C30&amp;"",lst_Jobs,0)),""))</f>
        <v/>
      </c>
      <c r="F30" s="25">
        <f>IF(C30="","",IFERROR(INDEX(tbl_Finance[Client],MATCH(C30&amp;"",tbl_Finance[Job Number],0)),""))</f>
        <v/>
      </c>
      <c r="G30" s="28">
        <f>IF(C30="","",COUNTIFS(tbl_Finance[Job Number],C30&amp;"",tbl_Finance[Ex GST],"&lt;&gt;"))</f>
        <v/>
      </c>
      <c r="H30" s="27">
        <f>IF(C30="","",SUMIFS(tbl_Finance[Ex GST],tbl_Finance[Job Number],C30&amp;""))</f>
        <v/>
      </c>
      <c r="I30" s="27">
        <f>IF(C30="","",SUMIFS(tbl_Finance[Ex GST],tbl_Finance[Job Number],C30&amp;"",tbl_Finance[Xero Invoice No],"&lt;&gt;"))</f>
        <v/>
      </c>
      <c r="J30" s="27">
        <f>IF(C30="","",H30-I30)</f>
        <v/>
      </c>
      <c r="K30" s="25">
        <f>IF(C30="","",IF(G30=0,"not invoiced yet",SUBSTITUTE(TRIM(IF(COUNTIFS(tbl_Finance[Job Number],C30&amp;"",tbl_Finance[Cost Centre],"ONSITE")&gt;0,"ONSITE ","")&amp;IF(COUNTIFS(tbl_Finance[Job Number],C30&amp;"",tbl_Finance[Cost Centre],"PRODUCTION")&gt;0,"PRODUCTION ","")&amp;IF(COUNTIFS(tbl_Finance[Job Number],C30&amp;"",tbl_Finance[Cost Centre],"VIDEO")&gt;0,"VIDEO ","")&amp;IF(COUNTIFS(tbl_Finance[Job Number],C30&amp;"",tbl_Finance[Cost Centre],"INTEGRATION")&gt;0,"INTEGRATION ","")&amp;IF(COUNTIFS(tbl_Finance[Job Number],C30&amp;"",tbl_Finance[Cost Centre],"CONSULTING")&gt;0,"CONSULTING ","")&amp;IF(COUNTIFS(tbl_Finance[Job Number],C30&amp;"",tbl_Finance[Cost Centre],"CTS")&gt;0,"CTS ",""))," ",", ")))</f>
        <v/>
      </c>
      <c r="L30" s="24" t="n"/>
      <c r="M30" s="25">
        <f>IF(L30="","",HYPERLINK(IF(LEFT(L30,4)="http",L30,set_QwilrBase&amp;L30),"Open quote"))</f>
        <v/>
      </c>
      <c r="N30" s="26" t="n"/>
      <c r="O30" s="26" t="n"/>
      <c r="P30" s="26" t="n"/>
      <c r="Q30" s="25">
        <f>IF(C30="","",IF(N(N30)+N(O30)+N(P30)=0,"Not split",IF(ROUND(N(N30)+N(O30)+N(P30),2)=ROUND(H30,2),"OK","MISMATCH")))</f>
        <v/>
      </c>
      <c r="R30" s="26" t="n"/>
      <c r="S30" s="26" t="n"/>
      <c r="T30" s="26" t="n"/>
      <c r="U30" s="27">
        <f>IF(C30="","",N(R30)+N(S30)+N(T30))</f>
        <v/>
      </c>
      <c r="V30" s="27">
        <f>IF(C30="","",H30-U30)</f>
        <v/>
      </c>
      <c r="W30" s="29">
        <f>IFERROR(V30/H30,"")</f>
        <v/>
      </c>
      <c r="X30" s="24" t="n"/>
    </row>
    <row r="31" ht="15" customHeight="1">
      <c r="A31" s="68">
        <f>IF(C31="","",IFERROR(IF(SUMPRODUCT(MAX((tbl_Finance[Job Number]=C31&amp;"")*(tbl_Finance[Xero Invoice No]&lt;&gt;"")*tbl_Finance[Date]))=0,"",SUMPRODUCT(MAX((tbl_Finance[Job Number]=C31&amp;"")*(tbl_Finance[Xero Invoice No]&lt;&gt;"")*tbl_Finance[Date]))),""))</f>
        <v/>
      </c>
      <c r="B31" s="25">
        <f>IF(C31="","",IF(COUNTIFS(tbl_Finance[Job Number],C31&amp;"",tbl_Finance[Xero Invoice No],"&lt;&gt;")=0,"",IFERROR(IF(COUNTIFS(tbl_Finance[Job Number],C31&amp;"",tbl_Finance[Xero Invoice No],LOOKUP(2,1/((tbl_Finance[Job Number]=C31&amp;"")*(tbl_Finance[Xero Invoice No]&lt;&gt;"")),tbl_Finance[Xero Invoice No]))=COUNTIFS(tbl_Finance[Job Number],C31&amp;"",tbl_Finance[Xero Invoice No],"&lt;&gt;"),LOOKUP(2,1/((tbl_Finance[Job Number]=C31&amp;"")*(tbl_Finance[Xero Invoice No]&lt;&gt;"")),tbl_Finance[Xero Invoice No]),LOOKUP(2,1/((tbl_Finance[Job Number]=C31&amp;"")*(tbl_Finance[Xero Invoice No]&lt;&gt;"")),tbl_Finance[Xero Invoice No])&amp;" +more"),"")))</f>
        <v/>
      </c>
      <c r="C31" s="24" t="n"/>
      <c r="D31" s="25">
        <f>IF(C31="","",IF(COUNTIF(lst_Jobs,C31&amp;"")&gt;0,"OK","CHECK"))</f>
        <v/>
      </c>
      <c r="E31" s="25">
        <f>IF(C31="","",IFERROR(INDEX(lst_JobName,MATCH(C31&amp;"",lst_Jobs,0)),""))</f>
        <v/>
      </c>
      <c r="F31" s="25">
        <f>IF(C31="","",IFERROR(INDEX(tbl_Finance[Client],MATCH(C31&amp;"",tbl_Finance[Job Number],0)),""))</f>
        <v/>
      </c>
      <c r="G31" s="28">
        <f>IF(C31="","",COUNTIFS(tbl_Finance[Job Number],C31&amp;"",tbl_Finance[Ex GST],"&lt;&gt;"))</f>
        <v/>
      </c>
      <c r="H31" s="27">
        <f>IF(C31="","",SUMIFS(tbl_Finance[Ex GST],tbl_Finance[Job Number],C31&amp;""))</f>
        <v/>
      </c>
      <c r="I31" s="27">
        <f>IF(C31="","",SUMIFS(tbl_Finance[Ex GST],tbl_Finance[Job Number],C31&amp;"",tbl_Finance[Xero Invoice No],"&lt;&gt;"))</f>
        <v/>
      </c>
      <c r="J31" s="27">
        <f>IF(C31="","",H31-I31)</f>
        <v/>
      </c>
      <c r="K31" s="25">
        <f>IF(C31="","",IF(G31=0,"not invoiced yet",SUBSTITUTE(TRIM(IF(COUNTIFS(tbl_Finance[Job Number],C31&amp;"",tbl_Finance[Cost Centre],"ONSITE")&gt;0,"ONSITE ","")&amp;IF(COUNTIFS(tbl_Finance[Job Number],C31&amp;"",tbl_Finance[Cost Centre],"PRODUCTION")&gt;0,"PRODUCTION ","")&amp;IF(COUNTIFS(tbl_Finance[Job Number],C31&amp;"",tbl_Finance[Cost Centre],"VIDEO")&gt;0,"VIDEO ","")&amp;IF(COUNTIFS(tbl_Finance[Job Number],C31&amp;"",tbl_Finance[Cost Centre],"INTEGRATION")&gt;0,"INTEGRATION ","")&amp;IF(COUNTIFS(tbl_Finance[Job Number],C31&amp;"",tbl_Finance[Cost Centre],"CONSULTING")&gt;0,"CONSULTING ","")&amp;IF(COUNTIFS(tbl_Finance[Job Number],C31&amp;"",tbl_Finance[Cost Centre],"CTS")&gt;0,"CTS ",""))," ",", ")))</f>
        <v/>
      </c>
      <c r="L31" s="24" t="n"/>
      <c r="M31" s="25">
        <f>IF(L31="","",HYPERLINK(IF(LEFT(L31,4)="http",L31,set_QwilrBase&amp;L31),"Open quote"))</f>
        <v/>
      </c>
      <c r="N31" s="26" t="n"/>
      <c r="O31" s="26" t="n"/>
      <c r="P31" s="26" t="n"/>
      <c r="Q31" s="25">
        <f>IF(C31="","",IF(N(N31)+N(O31)+N(P31)=0,"Not split",IF(ROUND(N(N31)+N(O31)+N(P31),2)=ROUND(H31,2),"OK","MISMATCH")))</f>
        <v/>
      </c>
      <c r="R31" s="26" t="n"/>
      <c r="S31" s="26" t="n"/>
      <c r="T31" s="26" t="n"/>
      <c r="U31" s="27">
        <f>IF(C31="","",N(R31)+N(S31)+N(T31))</f>
        <v/>
      </c>
      <c r="V31" s="27">
        <f>IF(C31="","",H31-U31)</f>
        <v/>
      </c>
      <c r="W31" s="29">
        <f>IFERROR(V31/H31,"")</f>
        <v/>
      </c>
      <c r="X31" s="24" t="n"/>
    </row>
    <row r="32" ht="15" customHeight="1">
      <c r="A32" s="68">
        <f>IF(C32="","",IFERROR(IF(SUMPRODUCT(MAX((tbl_Finance[Job Number]=C32&amp;"")*(tbl_Finance[Xero Invoice No]&lt;&gt;"")*tbl_Finance[Date]))=0,"",SUMPRODUCT(MAX((tbl_Finance[Job Number]=C32&amp;"")*(tbl_Finance[Xero Invoice No]&lt;&gt;"")*tbl_Finance[Date]))),""))</f>
        <v/>
      </c>
      <c r="B32" s="25">
        <f>IF(C32="","",IF(COUNTIFS(tbl_Finance[Job Number],C32&amp;"",tbl_Finance[Xero Invoice No],"&lt;&gt;")=0,"",IFERROR(IF(COUNTIFS(tbl_Finance[Job Number],C32&amp;"",tbl_Finance[Xero Invoice No],LOOKUP(2,1/((tbl_Finance[Job Number]=C32&amp;"")*(tbl_Finance[Xero Invoice No]&lt;&gt;"")),tbl_Finance[Xero Invoice No]))=COUNTIFS(tbl_Finance[Job Number],C32&amp;"",tbl_Finance[Xero Invoice No],"&lt;&gt;"),LOOKUP(2,1/((tbl_Finance[Job Number]=C32&amp;"")*(tbl_Finance[Xero Invoice No]&lt;&gt;"")),tbl_Finance[Xero Invoice No]),LOOKUP(2,1/((tbl_Finance[Job Number]=C32&amp;"")*(tbl_Finance[Xero Invoice No]&lt;&gt;"")),tbl_Finance[Xero Invoice No])&amp;" +more"),"")))</f>
        <v/>
      </c>
      <c r="C32" s="24" t="n"/>
      <c r="D32" s="25">
        <f>IF(C32="","",IF(COUNTIF(lst_Jobs,C32&amp;"")&gt;0,"OK","CHECK"))</f>
        <v/>
      </c>
      <c r="E32" s="25">
        <f>IF(C32="","",IFERROR(INDEX(lst_JobName,MATCH(C32&amp;"",lst_Jobs,0)),""))</f>
        <v/>
      </c>
      <c r="F32" s="25">
        <f>IF(C32="","",IFERROR(INDEX(tbl_Finance[Client],MATCH(C32&amp;"",tbl_Finance[Job Number],0)),""))</f>
        <v/>
      </c>
      <c r="G32" s="28">
        <f>IF(C32="","",COUNTIFS(tbl_Finance[Job Number],C32&amp;"",tbl_Finance[Ex GST],"&lt;&gt;"))</f>
        <v/>
      </c>
      <c r="H32" s="27">
        <f>IF(C32="","",SUMIFS(tbl_Finance[Ex GST],tbl_Finance[Job Number],C32&amp;""))</f>
        <v/>
      </c>
      <c r="I32" s="27">
        <f>IF(C32="","",SUMIFS(tbl_Finance[Ex GST],tbl_Finance[Job Number],C32&amp;"",tbl_Finance[Xero Invoice No],"&lt;&gt;"))</f>
        <v/>
      </c>
      <c r="J32" s="27">
        <f>IF(C32="","",H32-I32)</f>
        <v/>
      </c>
      <c r="K32" s="25">
        <f>IF(C32="","",IF(G32=0,"not invoiced yet",SUBSTITUTE(TRIM(IF(COUNTIFS(tbl_Finance[Job Number],C32&amp;"",tbl_Finance[Cost Centre],"ONSITE")&gt;0,"ONSITE ","")&amp;IF(COUNTIFS(tbl_Finance[Job Number],C32&amp;"",tbl_Finance[Cost Centre],"PRODUCTION")&gt;0,"PRODUCTION ","")&amp;IF(COUNTIFS(tbl_Finance[Job Number],C32&amp;"",tbl_Finance[Cost Centre],"VIDEO")&gt;0,"VIDEO ","")&amp;IF(COUNTIFS(tbl_Finance[Job Number],C32&amp;"",tbl_Finance[Cost Centre],"INTEGRATION")&gt;0,"INTEGRATION ","")&amp;IF(COUNTIFS(tbl_Finance[Job Number],C32&amp;"",tbl_Finance[Cost Centre],"CONSULTING")&gt;0,"CONSULTING ","")&amp;IF(COUNTIFS(tbl_Finance[Job Number],C32&amp;"",tbl_Finance[Cost Centre],"CTS")&gt;0,"CTS ",""))," ",", ")))</f>
        <v/>
      </c>
      <c r="L32" s="24" t="n"/>
      <c r="M32" s="25">
        <f>IF(L32="","",HYPERLINK(IF(LEFT(L32,4)="http",L32,set_QwilrBase&amp;L32),"Open quote"))</f>
        <v/>
      </c>
      <c r="N32" s="26" t="n"/>
      <c r="O32" s="26" t="n"/>
      <c r="P32" s="26" t="n"/>
      <c r="Q32" s="25">
        <f>IF(C32="","",IF(N(N32)+N(O32)+N(P32)=0,"Not split",IF(ROUND(N(N32)+N(O32)+N(P32),2)=ROUND(H32,2),"OK","MISMATCH")))</f>
        <v/>
      </c>
      <c r="R32" s="26" t="n"/>
      <c r="S32" s="26" t="n"/>
      <c r="T32" s="26" t="n"/>
      <c r="U32" s="27">
        <f>IF(C32="","",N(R32)+N(S32)+N(T32))</f>
        <v/>
      </c>
      <c r="V32" s="27">
        <f>IF(C32="","",H32-U32)</f>
        <v/>
      </c>
      <c r="W32" s="29">
        <f>IFERROR(V32/H32,"")</f>
        <v/>
      </c>
      <c r="X32" s="24" t="n"/>
    </row>
    <row r="33" ht="15" customHeight="1">
      <c r="A33" s="68">
        <f>IF(C33="","",IFERROR(IF(SUMPRODUCT(MAX((tbl_Finance[Job Number]=C33&amp;"")*(tbl_Finance[Xero Invoice No]&lt;&gt;"")*tbl_Finance[Date]))=0,"",SUMPRODUCT(MAX((tbl_Finance[Job Number]=C33&amp;"")*(tbl_Finance[Xero Invoice No]&lt;&gt;"")*tbl_Finance[Date]))),""))</f>
        <v/>
      </c>
      <c r="B33" s="25">
        <f>IF(C33="","",IF(COUNTIFS(tbl_Finance[Job Number],C33&amp;"",tbl_Finance[Xero Invoice No],"&lt;&gt;")=0,"",IFERROR(IF(COUNTIFS(tbl_Finance[Job Number],C33&amp;"",tbl_Finance[Xero Invoice No],LOOKUP(2,1/((tbl_Finance[Job Number]=C33&amp;"")*(tbl_Finance[Xero Invoice No]&lt;&gt;"")),tbl_Finance[Xero Invoice No]))=COUNTIFS(tbl_Finance[Job Number],C33&amp;"",tbl_Finance[Xero Invoice No],"&lt;&gt;"),LOOKUP(2,1/((tbl_Finance[Job Number]=C33&amp;"")*(tbl_Finance[Xero Invoice No]&lt;&gt;"")),tbl_Finance[Xero Invoice No]),LOOKUP(2,1/((tbl_Finance[Job Number]=C33&amp;"")*(tbl_Finance[Xero Invoice No]&lt;&gt;"")),tbl_Finance[Xero Invoice No])&amp;" +more"),"")))</f>
        <v/>
      </c>
      <c r="C33" s="24" t="n"/>
      <c r="D33" s="25">
        <f>IF(C33="","",IF(COUNTIF(lst_Jobs,C33&amp;"")&gt;0,"OK","CHECK"))</f>
        <v/>
      </c>
      <c r="E33" s="25">
        <f>IF(C33="","",IFERROR(INDEX(lst_JobName,MATCH(C33&amp;"",lst_Jobs,0)),""))</f>
        <v/>
      </c>
      <c r="F33" s="25">
        <f>IF(C33="","",IFERROR(INDEX(tbl_Finance[Client],MATCH(C33&amp;"",tbl_Finance[Job Number],0)),""))</f>
        <v/>
      </c>
      <c r="G33" s="28">
        <f>IF(C33="","",COUNTIFS(tbl_Finance[Job Number],C33&amp;"",tbl_Finance[Ex GST],"&lt;&gt;"))</f>
        <v/>
      </c>
      <c r="H33" s="27">
        <f>IF(C33="","",SUMIFS(tbl_Finance[Ex GST],tbl_Finance[Job Number],C33&amp;""))</f>
        <v/>
      </c>
      <c r="I33" s="27">
        <f>IF(C33="","",SUMIFS(tbl_Finance[Ex GST],tbl_Finance[Job Number],C33&amp;"",tbl_Finance[Xero Invoice No],"&lt;&gt;"))</f>
        <v/>
      </c>
      <c r="J33" s="27">
        <f>IF(C33="","",H33-I33)</f>
        <v/>
      </c>
      <c r="K33" s="25">
        <f>IF(C33="","",IF(G33=0,"not invoiced yet",SUBSTITUTE(TRIM(IF(COUNTIFS(tbl_Finance[Job Number],C33&amp;"",tbl_Finance[Cost Centre],"ONSITE")&gt;0,"ONSITE ","")&amp;IF(COUNTIFS(tbl_Finance[Job Number],C33&amp;"",tbl_Finance[Cost Centre],"PRODUCTION")&gt;0,"PRODUCTION ","")&amp;IF(COUNTIFS(tbl_Finance[Job Number],C33&amp;"",tbl_Finance[Cost Centre],"VIDEO")&gt;0,"VIDEO ","")&amp;IF(COUNTIFS(tbl_Finance[Job Number],C33&amp;"",tbl_Finance[Cost Centre],"INTEGRATION")&gt;0,"INTEGRATION ","")&amp;IF(COUNTIFS(tbl_Finance[Job Number],C33&amp;"",tbl_Finance[Cost Centre],"CONSULTING")&gt;0,"CONSULTING ","")&amp;IF(COUNTIFS(tbl_Finance[Job Number],C33&amp;"",tbl_Finance[Cost Centre],"CTS")&gt;0,"CTS ",""))," ",", ")))</f>
        <v/>
      </c>
      <c r="L33" s="24" t="n"/>
      <c r="M33" s="25">
        <f>IF(L33="","",HYPERLINK(IF(LEFT(L33,4)="http",L33,set_QwilrBase&amp;L33),"Open quote"))</f>
        <v/>
      </c>
      <c r="N33" s="26" t="n"/>
      <c r="O33" s="26" t="n"/>
      <c r="P33" s="26" t="n"/>
      <c r="Q33" s="25">
        <f>IF(C33="","",IF(N(N33)+N(O33)+N(P33)=0,"Not split",IF(ROUND(N(N33)+N(O33)+N(P33),2)=ROUND(H33,2),"OK","MISMATCH")))</f>
        <v/>
      </c>
      <c r="R33" s="26" t="n"/>
      <c r="S33" s="26" t="n"/>
      <c r="T33" s="26" t="n"/>
      <c r="U33" s="27">
        <f>IF(C33="","",N(R33)+N(S33)+N(T33))</f>
        <v/>
      </c>
      <c r="V33" s="27">
        <f>IF(C33="","",H33-U33)</f>
        <v/>
      </c>
      <c r="W33" s="29">
        <f>IFERROR(V33/H33,"")</f>
        <v/>
      </c>
      <c r="X33" s="24" t="n"/>
    </row>
    <row r="34" ht="15" customHeight="1">
      <c r="A34" s="68">
        <f>IF(C34="","",IFERROR(IF(SUMPRODUCT(MAX((tbl_Finance[Job Number]=C34&amp;"")*(tbl_Finance[Xero Invoice No]&lt;&gt;"")*tbl_Finance[Date]))=0,"",SUMPRODUCT(MAX((tbl_Finance[Job Number]=C34&amp;"")*(tbl_Finance[Xero Invoice No]&lt;&gt;"")*tbl_Finance[Date]))),""))</f>
        <v/>
      </c>
      <c r="B34" s="25">
        <f>IF(C34="","",IF(COUNTIFS(tbl_Finance[Job Number],C34&amp;"",tbl_Finance[Xero Invoice No],"&lt;&gt;")=0,"",IFERROR(IF(COUNTIFS(tbl_Finance[Job Number],C34&amp;"",tbl_Finance[Xero Invoice No],LOOKUP(2,1/((tbl_Finance[Job Number]=C34&amp;"")*(tbl_Finance[Xero Invoice No]&lt;&gt;"")),tbl_Finance[Xero Invoice No]))=COUNTIFS(tbl_Finance[Job Number],C34&amp;"",tbl_Finance[Xero Invoice No],"&lt;&gt;"),LOOKUP(2,1/((tbl_Finance[Job Number]=C34&amp;"")*(tbl_Finance[Xero Invoice No]&lt;&gt;"")),tbl_Finance[Xero Invoice No]),LOOKUP(2,1/((tbl_Finance[Job Number]=C34&amp;"")*(tbl_Finance[Xero Invoice No]&lt;&gt;"")),tbl_Finance[Xero Invoice No])&amp;" +more"),"")))</f>
        <v/>
      </c>
      <c r="C34" s="24" t="n"/>
      <c r="D34" s="25">
        <f>IF(C34="","",IF(COUNTIF(lst_Jobs,C34&amp;"")&gt;0,"OK","CHECK"))</f>
        <v/>
      </c>
      <c r="E34" s="25">
        <f>IF(C34="","",IFERROR(INDEX(lst_JobName,MATCH(C34&amp;"",lst_Jobs,0)),""))</f>
        <v/>
      </c>
      <c r="F34" s="25">
        <f>IF(C34="","",IFERROR(INDEX(tbl_Finance[Client],MATCH(C34&amp;"",tbl_Finance[Job Number],0)),""))</f>
        <v/>
      </c>
      <c r="G34" s="28">
        <f>IF(C34="","",COUNTIFS(tbl_Finance[Job Number],C34&amp;"",tbl_Finance[Ex GST],"&lt;&gt;"))</f>
        <v/>
      </c>
      <c r="H34" s="27">
        <f>IF(C34="","",SUMIFS(tbl_Finance[Ex GST],tbl_Finance[Job Number],C34&amp;""))</f>
        <v/>
      </c>
      <c r="I34" s="27">
        <f>IF(C34="","",SUMIFS(tbl_Finance[Ex GST],tbl_Finance[Job Number],C34&amp;"",tbl_Finance[Xero Invoice No],"&lt;&gt;"))</f>
        <v/>
      </c>
      <c r="J34" s="27">
        <f>IF(C34="","",H34-I34)</f>
        <v/>
      </c>
      <c r="K34" s="25">
        <f>IF(C34="","",IF(G34=0,"not invoiced yet",SUBSTITUTE(TRIM(IF(COUNTIFS(tbl_Finance[Job Number],C34&amp;"",tbl_Finance[Cost Centre],"ONSITE")&gt;0,"ONSITE ","")&amp;IF(COUNTIFS(tbl_Finance[Job Number],C34&amp;"",tbl_Finance[Cost Centre],"PRODUCTION")&gt;0,"PRODUCTION ","")&amp;IF(COUNTIFS(tbl_Finance[Job Number],C34&amp;"",tbl_Finance[Cost Centre],"VIDEO")&gt;0,"VIDEO ","")&amp;IF(COUNTIFS(tbl_Finance[Job Number],C34&amp;"",tbl_Finance[Cost Centre],"INTEGRATION")&gt;0,"INTEGRATION ","")&amp;IF(COUNTIFS(tbl_Finance[Job Number],C34&amp;"",tbl_Finance[Cost Centre],"CONSULTING")&gt;0,"CONSULTING ","")&amp;IF(COUNTIFS(tbl_Finance[Job Number],C34&amp;"",tbl_Finance[Cost Centre],"CTS")&gt;0,"CTS ",""))," ",", ")))</f>
        <v/>
      </c>
      <c r="L34" s="24" t="n"/>
      <c r="M34" s="25">
        <f>IF(L34="","",HYPERLINK(IF(LEFT(L34,4)="http",L34,set_QwilrBase&amp;L34),"Open quote"))</f>
        <v/>
      </c>
      <c r="N34" s="26" t="n"/>
      <c r="O34" s="26" t="n"/>
      <c r="P34" s="26" t="n"/>
      <c r="Q34" s="25">
        <f>IF(C34="","",IF(N(N34)+N(O34)+N(P34)=0,"Not split",IF(ROUND(N(N34)+N(O34)+N(P34),2)=ROUND(H34,2),"OK","MISMATCH")))</f>
        <v/>
      </c>
      <c r="R34" s="26" t="n"/>
      <c r="S34" s="26" t="n"/>
      <c r="T34" s="26" t="n"/>
      <c r="U34" s="27">
        <f>IF(C34="","",N(R34)+N(S34)+N(T34))</f>
        <v/>
      </c>
      <c r="V34" s="27">
        <f>IF(C34="","",H34-U34)</f>
        <v/>
      </c>
      <c r="W34" s="29">
        <f>IFERROR(V34/H34,"")</f>
        <v/>
      </c>
      <c r="X34" s="24" t="n"/>
    </row>
    <row r="35" ht="15" customHeight="1">
      <c r="A35" s="68">
        <f>IF(C35="","",IFERROR(IF(SUMPRODUCT(MAX((tbl_Finance[Job Number]=C35&amp;"")*(tbl_Finance[Xero Invoice No]&lt;&gt;"")*tbl_Finance[Date]))=0,"",SUMPRODUCT(MAX((tbl_Finance[Job Number]=C35&amp;"")*(tbl_Finance[Xero Invoice No]&lt;&gt;"")*tbl_Finance[Date]))),""))</f>
        <v/>
      </c>
      <c r="B35" s="25">
        <f>IF(C35="","",IF(COUNTIFS(tbl_Finance[Job Number],C35&amp;"",tbl_Finance[Xero Invoice No],"&lt;&gt;")=0,"",IFERROR(IF(COUNTIFS(tbl_Finance[Job Number],C35&amp;"",tbl_Finance[Xero Invoice No],LOOKUP(2,1/((tbl_Finance[Job Number]=C35&amp;"")*(tbl_Finance[Xero Invoice No]&lt;&gt;"")),tbl_Finance[Xero Invoice No]))=COUNTIFS(tbl_Finance[Job Number],C35&amp;"",tbl_Finance[Xero Invoice No],"&lt;&gt;"),LOOKUP(2,1/((tbl_Finance[Job Number]=C35&amp;"")*(tbl_Finance[Xero Invoice No]&lt;&gt;"")),tbl_Finance[Xero Invoice No]),LOOKUP(2,1/((tbl_Finance[Job Number]=C35&amp;"")*(tbl_Finance[Xero Invoice No]&lt;&gt;"")),tbl_Finance[Xero Invoice No])&amp;" +more"),"")))</f>
        <v/>
      </c>
      <c r="C35" s="24" t="n"/>
      <c r="D35" s="25">
        <f>IF(C35="","",IF(COUNTIF(lst_Jobs,C35&amp;"")&gt;0,"OK","CHECK"))</f>
        <v/>
      </c>
      <c r="E35" s="25">
        <f>IF(C35="","",IFERROR(INDEX(lst_JobName,MATCH(C35&amp;"",lst_Jobs,0)),""))</f>
        <v/>
      </c>
      <c r="F35" s="25">
        <f>IF(C35="","",IFERROR(INDEX(tbl_Finance[Client],MATCH(C35&amp;"",tbl_Finance[Job Number],0)),""))</f>
        <v/>
      </c>
      <c r="G35" s="28">
        <f>IF(C35="","",COUNTIFS(tbl_Finance[Job Number],C35&amp;"",tbl_Finance[Ex GST],"&lt;&gt;"))</f>
        <v/>
      </c>
      <c r="H35" s="27">
        <f>IF(C35="","",SUMIFS(tbl_Finance[Ex GST],tbl_Finance[Job Number],C35&amp;""))</f>
        <v/>
      </c>
      <c r="I35" s="27">
        <f>IF(C35="","",SUMIFS(tbl_Finance[Ex GST],tbl_Finance[Job Number],C35&amp;"",tbl_Finance[Xero Invoice No],"&lt;&gt;"))</f>
        <v/>
      </c>
      <c r="J35" s="27">
        <f>IF(C35="","",H35-I35)</f>
        <v/>
      </c>
      <c r="K35" s="25">
        <f>IF(C35="","",IF(G35=0,"not invoiced yet",SUBSTITUTE(TRIM(IF(COUNTIFS(tbl_Finance[Job Number],C35&amp;"",tbl_Finance[Cost Centre],"ONSITE")&gt;0,"ONSITE ","")&amp;IF(COUNTIFS(tbl_Finance[Job Number],C35&amp;"",tbl_Finance[Cost Centre],"PRODUCTION")&gt;0,"PRODUCTION ","")&amp;IF(COUNTIFS(tbl_Finance[Job Number],C35&amp;"",tbl_Finance[Cost Centre],"VIDEO")&gt;0,"VIDEO ","")&amp;IF(COUNTIFS(tbl_Finance[Job Number],C35&amp;"",tbl_Finance[Cost Centre],"INTEGRATION")&gt;0,"INTEGRATION ","")&amp;IF(COUNTIFS(tbl_Finance[Job Number],C35&amp;"",tbl_Finance[Cost Centre],"CONSULTING")&gt;0,"CONSULTING ","")&amp;IF(COUNTIFS(tbl_Finance[Job Number],C35&amp;"",tbl_Finance[Cost Centre],"CTS")&gt;0,"CTS ",""))," ",", ")))</f>
        <v/>
      </c>
      <c r="L35" s="24" t="n"/>
      <c r="M35" s="25">
        <f>IF(L35="","",HYPERLINK(IF(LEFT(L35,4)="http",L35,set_QwilrBase&amp;L35),"Open quote"))</f>
        <v/>
      </c>
      <c r="N35" s="26" t="n"/>
      <c r="O35" s="26" t="n"/>
      <c r="P35" s="26" t="n"/>
      <c r="Q35" s="25">
        <f>IF(C35="","",IF(N(N35)+N(O35)+N(P35)=0,"Not split",IF(ROUND(N(N35)+N(O35)+N(P35),2)=ROUND(H35,2),"OK","MISMATCH")))</f>
        <v/>
      </c>
      <c r="R35" s="26" t="n"/>
      <c r="S35" s="26" t="n"/>
      <c r="T35" s="26" t="n"/>
      <c r="U35" s="27">
        <f>IF(C35="","",N(R35)+N(S35)+N(T35))</f>
        <v/>
      </c>
      <c r="V35" s="27">
        <f>IF(C35="","",H35-U35)</f>
        <v/>
      </c>
      <c r="W35" s="29">
        <f>IFERROR(V35/H35,"")</f>
        <v/>
      </c>
      <c r="X35" s="24" t="n"/>
    </row>
    <row r="36" ht="15" customHeight="1">
      <c r="A36" s="68">
        <f>IF(C36="","",IFERROR(IF(SUMPRODUCT(MAX((tbl_Finance[Job Number]=C36&amp;"")*(tbl_Finance[Xero Invoice No]&lt;&gt;"")*tbl_Finance[Date]))=0,"",SUMPRODUCT(MAX((tbl_Finance[Job Number]=C36&amp;"")*(tbl_Finance[Xero Invoice No]&lt;&gt;"")*tbl_Finance[Date]))),""))</f>
        <v/>
      </c>
      <c r="B36" s="25">
        <f>IF(C36="","",IF(COUNTIFS(tbl_Finance[Job Number],C36&amp;"",tbl_Finance[Xero Invoice No],"&lt;&gt;")=0,"",IFERROR(IF(COUNTIFS(tbl_Finance[Job Number],C36&amp;"",tbl_Finance[Xero Invoice No],LOOKUP(2,1/((tbl_Finance[Job Number]=C36&amp;"")*(tbl_Finance[Xero Invoice No]&lt;&gt;"")),tbl_Finance[Xero Invoice No]))=COUNTIFS(tbl_Finance[Job Number],C36&amp;"",tbl_Finance[Xero Invoice No],"&lt;&gt;"),LOOKUP(2,1/((tbl_Finance[Job Number]=C36&amp;"")*(tbl_Finance[Xero Invoice No]&lt;&gt;"")),tbl_Finance[Xero Invoice No]),LOOKUP(2,1/((tbl_Finance[Job Number]=C36&amp;"")*(tbl_Finance[Xero Invoice No]&lt;&gt;"")),tbl_Finance[Xero Invoice No])&amp;" +more"),"")))</f>
        <v/>
      </c>
      <c r="C36" s="24" t="n"/>
      <c r="D36" s="25">
        <f>IF(C36="","",IF(COUNTIF(lst_Jobs,C36&amp;"")&gt;0,"OK","CHECK"))</f>
        <v/>
      </c>
      <c r="E36" s="25">
        <f>IF(C36="","",IFERROR(INDEX(lst_JobName,MATCH(C36&amp;"",lst_Jobs,0)),""))</f>
        <v/>
      </c>
      <c r="F36" s="25">
        <f>IF(C36="","",IFERROR(INDEX(tbl_Finance[Client],MATCH(C36&amp;"",tbl_Finance[Job Number],0)),""))</f>
        <v/>
      </c>
      <c r="G36" s="28">
        <f>IF(C36="","",COUNTIFS(tbl_Finance[Job Number],C36&amp;"",tbl_Finance[Ex GST],"&lt;&gt;"))</f>
        <v/>
      </c>
      <c r="H36" s="27">
        <f>IF(C36="","",SUMIFS(tbl_Finance[Ex GST],tbl_Finance[Job Number],C36&amp;""))</f>
        <v/>
      </c>
      <c r="I36" s="27">
        <f>IF(C36="","",SUMIFS(tbl_Finance[Ex GST],tbl_Finance[Job Number],C36&amp;"",tbl_Finance[Xero Invoice No],"&lt;&gt;"))</f>
        <v/>
      </c>
      <c r="J36" s="27">
        <f>IF(C36="","",H36-I36)</f>
        <v/>
      </c>
      <c r="K36" s="25">
        <f>IF(C36="","",IF(G36=0,"not invoiced yet",SUBSTITUTE(TRIM(IF(COUNTIFS(tbl_Finance[Job Number],C36&amp;"",tbl_Finance[Cost Centre],"ONSITE")&gt;0,"ONSITE ","")&amp;IF(COUNTIFS(tbl_Finance[Job Number],C36&amp;"",tbl_Finance[Cost Centre],"PRODUCTION")&gt;0,"PRODUCTION ","")&amp;IF(COUNTIFS(tbl_Finance[Job Number],C36&amp;"",tbl_Finance[Cost Centre],"VIDEO")&gt;0,"VIDEO ","")&amp;IF(COUNTIFS(tbl_Finance[Job Number],C36&amp;"",tbl_Finance[Cost Centre],"INTEGRATION")&gt;0,"INTEGRATION ","")&amp;IF(COUNTIFS(tbl_Finance[Job Number],C36&amp;"",tbl_Finance[Cost Centre],"CONSULTING")&gt;0,"CONSULTING ","")&amp;IF(COUNTIFS(tbl_Finance[Job Number],C36&amp;"",tbl_Finance[Cost Centre],"CTS")&gt;0,"CTS ",""))," ",", ")))</f>
        <v/>
      </c>
      <c r="L36" s="24" t="n"/>
      <c r="M36" s="25">
        <f>IF(L36="","",HYPERLINK(IF(LEFT(L36,4)="http",L36,set_QwilrBase&amp;L36),"Open quote"))</f>
        <v/>
      </c>
      <c r="N36" s="26" t="n"/>
      <c r="O36" s="26" t="n"/>
      <c r="P36" s="26" t="n"/>
      <c r="Q36" s="25">
        <f>IF(C36="","",IF(N(N36)+N(O36)+N(P36)=0,"Not split",IF(ROUND(N(N36)+N(O36)+N(P36),2)=ROUND(H36,2),"OK","MISMATCH")))</f>
        <v/>
      </c>
      <c r="R36" s="26" t="n"/>
      <c r="S36" s="26" t="n"/>
      <c r="T36" s="26" t="n"/>
      <c r="U36" s="27">
        <f>IF(C36="","",N(R36)+N(S36)+N(T36))</f>
        <v/>
      </c>
      <c r="V36" s="27">
        <f>IF(C36="","",H36-U36)</f>
        <v/>
      </c>
      <c r="W36" s="29">
        <f>IFERROR(V36/H36,"")</f>
        <v/>
      </c>
      <c r="X36" s="24" t="n"/>
    </row>
    <row r="37" ht="15" customHeight="1">
      <c r="A37" s="68">
        <f>IF(C37="","",IFERROR(IF(SUMPRODUCT(MAX((tbl_Finance[Job Number]=C37&amp;"")*(tbl_Finance[Xero Invoice No]&lt;&gt;"")*tbl_Finance[Date]))=0,"",SUMPRODUCT(MAX((tbl_Finance[Job Number]=C37&amp;"")*(tbl_Finance[Xero Invoice No]&lt;&gt;"")*tbl_Finance[Date]))),""))</f>
        <v/>
      </c>
      <c r="B37" s="25">
        <f>IF(C37="","",IF(COUNTIFS(tbl_Finance[Job Number],C37&amp;"",tbl_Finance[Xero Invoice No],"&lt;&gt;")=0,"",IFERROR(IF(COUNTIFS(tbl_Finance[Job Number],C37&amp;"",tbl_Finance[Xero Invoice No],LOOKUP(2,1/((tbl_Finance[Job Number]=C37&amp;"")*(tbl_Finance[Xero Invoice No]&lt;&gt;"")),tbl_Finance[Xero Invoice No]))=COUNTIFS(tbl_Finance[Job Number],C37&amp;"",tbl_Finance[Xero Invoice No],"&lt;&gt;"),LOOKUP(2,1/((tbl_Finance[Job Number]=C37&amp;"")*(tbl_Finance[Xero Invoice No]&lt;&gt;"")),tbl_Finance[Xero Invoice No]),LOOKUP(2,1/((tbl_Finance[Job Number]=C37&amp;"")*(tbl_Finance[Xero Invoice No]&lt;&gt;"")),tbl_Finance[Xero Invoice No])&amp;" +more"),"")))</f>
        <v/>
      </c>
      <c r="C37" s="24" t="n"/>
      <c r="D37" s="25">
        <f>IF(C37="","",IF(COUNTIF(lst_Jobs,C37&amp;"")&gt;0,"OK","CHECK"))</f>
        <v/>
      </c>
      <c r="E37" s="25">
        <f>IF(C37="","",IFERROR(INDEX(lst_JobName,MATCH(C37&amp;"",lst_Jobs,0)),""))</f>
        <v/>
      </c>
      <c r="F37" s="25">
        <f>IF(C37="","",IFERROR(INDEX(tbl_Finance[Client],MATCH(C37&amp;"",tbl_Finance[Job Number],0)),""))</f>
        <v/>
      </c>
      <c r="G37" s="28">
        <f>IF(C37="","",COUNTIFS(tbl_Finance[Job Number],C37&amp;"",tbl_Finance[Ex GST],"&lt;&gt;"))</f>
        <v/>
      </c>
      <c r="H37" s="27">
        <f>IF(C37="","",SUMIFS(tbl_Finance[Ex GST],tbl_Finance[Job Number],C37&amp;""))</f>
        <v/>
      </c>
      <c r="I37" s="27">
        <f>IF(C37="","",SUMIFS(tbl_Finance[Ex GST],tbl_Finance[Job Number],C37&amp;"",tbl_Finance[Xero Invoice No],"&lt;&gt;"))</f>
        <v/>
      </c>
      <c r="J37" s="27">
        <f>IF(C37="","",H37-I37)</f>
        <v/>
      </c>
      <c r="K37" s="25">
        <f>IF(C37="","",IF(G37=0,"not invoiced yet",SUBSTITUTE(TRIM(IF(COUNTIFS(tbl_Finance[Job Number],C37&amp;"",tbl_Finance[Cost Centre],"ONSITE")&gt;0,"ONSITE ","")&amp;IF(COUNTIFS(tbl_Finance[Job Number],C37&amp;"",tbl_Finance[Cost Centre],"PRODUCTION")&gt;0,"PRODUCTION ","")&amp;IF(COUNTIFS(tbl_Finance[Job Number],C37&amp;"",tbl_Finance[Cost Centre],"VIDEO")&gt;0,"VIDEO ","")&amp;IF(COUNTIFS(tbl_Finance[Job Number],C37&amp;"",tbl_Finance[Cost Centre],"INTEGRATION")&gt;0,"INTEGRATION ","")&amp;IF(COUNTIFS(tbl_Finance[Job Number],C37&amp;"",tbl_Finance[Cost Centre],"CONSULTING")&gt;0,"CONSULTING ","")&amp;IF(COUNTIFS(tbl_Finance[Job Number],C37&amp;"",tbl_Finance[Cost Centre],"CTS")&gt;0,"CTS ",""))," ",", ")))</f>
        <v/>
      </c>
      <c r="L37" s="24" t="n"/>
      <c r="M37" s="25">
        <f>IF(L37="","",HYPERLINK(IF(LEFT(L37,4)="http",L37,set_QwilrBase&amp;L37),"Open quote"))</f>
        <v/>
      </c>
      <c r="N37" s="26" t="n"/>
      <c r="O37" s="26" t="n"/>
      <c r="P37" s="26" t="n"/>
      <c r="Q37" s="25">
        <f>IF(C37="","",IF(N(N37)+N(O37)+N(P37)=0,"Not split",IF(ROUND(N(N37)+N(O37)+N(P37),2)=ROUND(H37,2),"OK","MISMATCH")))</f>
        <v/>
      </c>
      <c r="R37" s="26" t="n"/>
      <c r="S37" s="26" t="n"/>
      <c r="T37" s="26" t="n"/>
      <c r="U37" s="27">
        <f>IF(C37="","",N(R37)+N(S37)+N(T37))</f>
        <v/>
      </c>
      <c r="V37" s="27">
        <f>IF(C37="","",H37-U37)</f>
        <v/>
      </c>
      <c r="W37" s="29">
        <f>IFERROR(V37/H37,"")</f>
        <v/>
      </c>
      <c r="X37" s="24" t="n"/>
    </row>
    <row r="38" ht="15" customHeight="1">
      <c r="A38" s="68">
        <f>IF(C38="","",IFERROR(IF(SUMPRODUCT(MAX((tbl_Finance[Job Number]=C38&amp;"")*(tbl_Finance[Xero Invoice No]&lt;&gt;"")*tbl_Finance[Date]))=0,"",SUMPRODUCT(MAX((tbl_Finance[Job Number]=C38&amp;"")*(tbl_Finance[Xero Invoice No]&lt;&gt;"")*tbl_Finance[Date]))),""))</f>
        <v/>
      </c>
      <c r="B38" s="25">
        <f>IF(C38="","",IF(COUNTIFS(tbl_Finance[Job Number],C38&amp;"",tbl_Finance[Xero Invoice No],"&lt;&gt;")=0,"",IFERROR(IF(COUNTIFS(tbl_Finance[Job Number],C38&amp;"",tbl_Finance[Xero Invoice No],LOOKUP(2,1/((tbl_Finance[Job Number]=C38&amp;"")*(tbl_Finance[Xero Invoice No]&lt;&gt;"")),tbl_Finance[Xero Invoice No]))=COUNTIFS(tbl_Finance[Job Number],C38&amp;"",tbl_Finance[Xero Invoice No],"&lt;&gt;"),LOOKUP(2,1/((tbl_Finance[Job Number]=C38&amp;"")*(tbl_Finance[Xero Invoice No]&lt;&gt;"")),tbl_Finance[Xero Invoice No]),LOOKUP(2,1/((tbl_Finance[Job Number]=C38&amp;"")*(tbl_Finance[Xero Invoice No]&lt;&gt;"")),tbl_Finance[Xero Invoice No])&amp;" +more"),"")))</f>
        <v/>
      </c>
      <c r="C38" s="24" t="n"/>
      <c r="D38" s="25">
        <f>IF(C38="","",IF(COUNTIF(lst_Jobs,C38&amp;"")&gt;0,"OK","CHECK"))</f>
        <v/>
      </c>
      <c r="E38" s="25">
        <f>IF(C38="","",IFERROR(INDEX(lst_JobName,MATCH(C38&amp;"",lst_Jobs,0)),""))</f>
        <v/>
      </c>
      <c r="F38" s="25">
        <f>IF(C38="","",IFERROR(INDEX(tbl_Finance[Client],MATCH(C38&amp;"",tbl_Finance[Job Number],0)),""))</f>
        <v/>
      </c>
      <c r="G38" s="28">
        <f>IF(C38="","",COUNTIFS(tbl_Finance[Job Number],C38&amp;"",tbl_Finance[Ex GST],"&lt;&gt;"))</f>
        <v/>
      </c>
      <c r="H38" s="27">
        <f>IF(C38="","",SUMIFS(tbl_Finance[Ex GST],tbl_Finance[Job Number],C38&amp;""))</f>
        <v/>
      </c>
      <c r="I38" s="27">
        <f>IF(C38="","",SUMIFS(tbl_Finance[Ex GST],tbl_Finance[Job Number],C38&amp;"",tbl_Finance[Xero Invoice No],"&lt;&gt;"))</f>
        <v/>
      </c>
      <c r="J38" s="27">
        <f>IF(C38="","",H38-I38)</f>
        <v/>
      </c>
      <c r="K38" s="25">
        <f>IF(C38="","",IF(G38=0,"not invoiced yet",SUBSTITUTE(TRIM(IF(COUNTIFS(tbl_Finance[Job Number],C38&amp;"",tbl_Finance[Cost Centre],"ONSITE")&gt;0,"ONSITE ","")&amp;IF(COUNTIFS(tbl_Finance[Job Number],C38&amp;"",tbl_Finance[Cost Centre],"PRODUCTION")&gt;0,"PRODUCTION ","")&amp;IF(COUNTIFS(tbl_Finance[Job Number],C38&amp;"",tbl_Finance[Cost Centre],"VIDEO")&gt;0,"VIDEO ","")&amp;IF(COUNTIFS(tbl_Finance[Job Number],C38&amp;"",tbl_Finance[Cost Centre],"INTEGRATION")&gt;0,"INTEGRATION ","")&amp;IF(COUNTIFS(tbl_Finance[Job Number],C38&amp;"",tbl_Finance[Cost Centre],"CONSULTING")&gt;0,"CONSULTING ","")&amp;IF(COUNTIFS(tbl_Finance[Job Number],C38&amp;"",tbl_Finance[Cost Centre],"CTS")&gt;0,"CTS ",""))," ",", ")))</f>
        <v/>
      </c>
      <c r="L38" s="24" t="n"/>
      <c r="M38" s="25">
        <f>IF(L38="","",HYPERLINK(IF(LEFT(L38,4)="http",L38,set_QwilrBase&amp;L38),"Open quote"))</f>
        <v/>
      </c>
      <c r="N38" s="26" t="n"/>
      <c r="O38" s="26" t="n"/>
      <c r="P38" s="26" t="n"/>
      <c r="Q38" s="25">
        <f>IF(C38="","",IF(N(N38)+N(O38)+N(P38)=0,"Not split",IF(ROUND(N(N38)+N(O38)+N(P38),2)=ROUND(H38,2),"OK","MISMATCH")))</f>
        <v/>
      </c>
      <c r="R38" s="26" t="n"/>
      <c r="S38" s="26" t="n"/>
      <c r="T38" s="26" t="n"/>
      <c r="U38" s="27">
        <f>IF(C38="","",N(R38)+N(S38)+N(T38))</f>
        <v/>
      </c>
      <c r="V38" s="27">
        <f>IF(C38="","",H38-U38)</f>
        <v/>
      </c>
      <c r="W38" s="29">
        <f>IFERROR(V38/H38,"")</f>
        <v/>
      </c>
      <c r="X38" s="24" t="n"/>
    </row>
    <row r="39" ht="15" customHeight="1">
      <c r="A39" s="68">
        <f>IF(C39="","",IFERROR(IF(SUMPRODUCT(MAX((tbl_Finance[Job Number]=C39&amp;"")*(tbl_Finance[Xero Invoice No]&lt;&gt;"")*tbl_Finance[Date]))=0,"",SUMPRODUCT(MAX((tbl_Finance[Job Number]=C39&amp;"")*(tbl_Finance[Xero Invoice No]&lt;&gt;"")*tbl_Finance[Date]))),""))</f>
        <v/>
      </c>
      <c r="B39" s="25">
        <f>IF(C39="","",IF(COUNTIFS(tbl_Finance[Job Number],C39&amp;"",tbl_Finance[Xero Invoice No],"&lt;&gt;")=0,"",IFERROR(IF(COUNTIFS(tbl_Finance[Job Number],C39&amp;"",tbl_Finance[Xero Invoice No],LOOKUP(2,1/((tbl_Finance[Job Number]=C39&amp;"")*(tbl_Finance[Xero Invoice No]&lt;&gt;"")),tbl_Finance[Xero Invoice No]))=COUNTIFS(tbl_Finance[Job Number],C39&amp;"",tbl_Finance[Xero Invoice No],"&lt;&gt;"),LOOKUP(2,1/((tbl_Finance[Job Number]=C39&amp;"")*(tbl_Finance[Xero Invoice No]&lt;&gt;"")),tbl_Finance[Xero Invoice No]),LOOKUP(2,1/((tbl_Finance[Job Number]=C39&amp;"")*(tbl_Finance[Xero Invoice No]&lt;&gt;"")),tbl_Finance[Xero Invoice No])&amp;" +more"),"")))</f>
        <v/>
      </c>
      <c r="C39" s="24" t="n"/>
      <c r="D39" s="25">
        <f>IF(C39="","",IF(COUNTIF(lst_Jobs,C39&amp;"")&gt;0,"OK","CHECK"))</f>
        <v/>
      </c>
      <c r="E39" s="25">
        <f>IF(C39="","",IFERROR(INDEX(lst_JobName,MATCH(C39&amp;"",lst_Jobs,0)),""))</f>
        <v/>
      </c>
      <c r="F39" s="25">
        <f>IF(C39="","",IFERROR(INDEX(tbl_Finance[Client],MATCH(C39&amp;"",tbl_Finance[Job Number],0)),""))</f>
        <v/>
      </c>
      <c r="G39" s="28">
        <f>IF(C39="","",COUNTIFS(tbl_Finance[Job Number],C39&amp;"",tbl_Finance[Ex GST],"&lt;&gt;"))</f>
        <v/>
      </c>
      <c r="H39" s="27">
        <f>IF(C39="","",SUMIFS(tbl_Finance[Ex GST],tbl_Finance[Job Number],C39&amp;""))</f>
        <v/>
      </c>
      <c r="I39" s="27">
        <f>IF(C39="","",SUMIFS(tbl_Finance[Ex GST],tbl_Finance[Job Number],C39&amp;"",tbl_Finance[Xero Invoice No],"&lt;&gt;"))</f>
        <v/>
      </c>
      <c r="J39" s="27">
        <f>IF(C39="","",H39-I39)</f>
        <v/>
      </c>
      <c r="K39" s="25">
        <f>IF(C39="","",IF(G39=0,"not invoiced yet",SUBSTITUTE(TRIM(IF(COUNTIFS(tbl_Finance[Job Number],C39&amp;"",tbl_Finance[Cost Centre],"ONSITE")&gt;0,"ONSITE ","")&amp;IF(COUNTIFS(tbl_Finance[Job Number],C39&amp;"",tbl_Finance[Cost Centre],"PRODUCTION")&gt;0,"PRODUCTION ","")&amp;IF(COUNTIFS(tbl_Finance[Job Number],C39&amp;"",tbl_Finance[Cost Centre],"VIDEO")&gt;0,"VIDEO ","")&amp;IF(COUNTIFS(tbl_Finance[Job Number],C39&amp;"",tbl_Finance[Cost Centre],"INTEGRATION")&gt;0,"INTEGRATION ","")&amp;IF(COUNTIFS(tbl_Finance[Job Number],C39&amp;"",tbl_Finance[Cost Centre],"CONSULTING")&gt;0,"CONSULTING ","")&amp;IF(COUNTIFS(tbl_Finance[Job Number],C39&amp;"",tbl_Finance[Cost Centre],"CTS")&gt;0,"CTS ",""))," ",", ")))</f>
        <v/>
      </c>
      <c r="L39" s="24" t="n"/>
      <c r="M39" s="25">
        <f>IF(L39="","",HYPERLINK(IF(LEFT(L39,4)="http",L39,set_QwilrBase&amp;L39),"Open quote"))</f>
        <v/>
      </c>
      <c r="N39" s="26" t="n"/>
      <c r="O39" s="26" t="n"/>
      <c r="P39" s="26" t="n"/>
      <c r="Q39" s="25">
        <f>IF(C39="","",IF(N(N39)+N(O39)+N(P39)=0,"Not split",IF(ROUND(N(N39)+N(O39)+N(P39),2)=ROUND(H39,2),"OK","MISMATCH")))</f>
        <v/>
      </c>
      <c r="R39" s="26" t="n"/>
      <c r="S39" s="26" t="n"/>
      <c r="T39" s="26" t="n"/>
      <c r="U39" s="27">
        <f>IF(C39="","",N(R39)+N(S39)+N(T39))</f>
        <v/>
      </c>
      <c r="V39" s="27">
        <f>IF(C39="","",H39-U39)</f>
        <v/>
      </c>
      <c r="W39" s="29">
        <f>IFERROR(V39/H39,"")</f>
        <v/>
      </c>
      <c r="X39" s="24" t="n"/>
    </row>
    <row r="40" ht="15" customHeight="1">
      <c r="A40" s="68">
        <f>IF(C40="","",IFERROR(IF(SUMPRODUCT(MAX((tbl_Finance[Job Number]=C40&amp;"")*(tbl_Finance[Xero Invoice No]&lt;&gt;"")*tbl_Finance[Date]))=0,"",SUMPRODUCT(MAX((tbl_Finance[Job Number]=C40&amp;"")*(tbl_Finance[Xero Invoice No]&lt;&gt;"")*tbl_Finance[Date]))),""))</f>
        <v/>
      </c>
      <c r="B40" s="25">
        <f>IF(C40="","",IF(COUNTIFS(tbl_Finance[Job Number],C40&amp;"",tbl_Finance[Xero Invoice No],"&lt;&gt;")=0,"",IFERROR(IF(COUNTIFS(tbl_Finance[Job Number],C40&amp;"",tbl_Finance[Xero Invoice No],LOOKUP(2,1/((tbl_Finance[Job Number]=C40&amp;"")*(tbl_Finance[Xero Invoice No]&lt;&gt;"")),tbl_Finance[Xero Invoice No]))=COUNTIFS(tbl_Finance[Job Number],C40&amp;"",tbl_Finance[Xero Invoice No],"&lt;&gt;"),LOOKUP(2,1/((tbl_Finance[Job Number]=C40&amp;"")*(tbl_Finance[Xero Invoice No]&lt;&gt;"")),tbl_Finance[Xero Invoice No]),LOOKUP(2,1/((tbl_Finance[Job Number]=C40&amp;"")*(tbl_Finance[Xero Invoice No]&lt;&gt;"")),tbl_Finance[Xero Invoice No])&amp;" +more"),"")))</f>
        <v/>
      </c>
      <c r="C40" s="24" t="n"/>
      <c r="D40" s="25">
        <f>IF(C40="","",IF(COUNTIF(lst_Jobs,C40&amp;"")&gt;0,"OK","CHECK"))</f>
        <v/>
      </c>
      <c r="E40" s="25">
        <f>IF(C40="","",IFERROR(INDEX(lst_JobName,MATCH(C40&amp;"",lst_Jobs,0)),""))</f>
        <v/>
      </c>
      <c r="F40" s="25">
        <f>IF(C40="","",IFERROR(INDEX(tbl_Finance[Client],MATCH(C40&amp;"",tbl_Finance[Job Number],0)),""))</f>
        <v/>
      </c>
      <c r="G40" s="28">
        <f>IF(C40="","",COUNTIFS(tbl_Finance[Job Number],C40&amp;"",tbl_Finance[Ex GST],"&lt;&gt;"))</f>
        <v/>
      </c>
      <c r="H40" s="27">
        <f>IF(C40="","",SUMIFS(tbl_Finance[Ex GST],tbl_Finance[Job Number],C40&amp;""))</f>
        <v/>
      </c>
      <c r="I40" s="27">
        <f>IF(C40="","",SUMIFS(tbl_Finance[Ex GST],tbl_Finance[Job Number],C40&amp;"",tbl_Finance[Xero Invoice No],"&lt;&gt;"))</f>
        <v/>
      </c>
      <c r="J40" s="27">
        <f>IF(C40="","",H40-I40)</f>
        <v/>
      </c>
      <c r="K40" s="25">
        <f>IF(C40="","",IF(G40=0,"not invoiced yet",SUBSTITUTE(TRIM(IF(COUNTIFS(tbl_Finance[Job Number],C40&amp;"",tbl_Finance[Cost Centre],"ONSITE")&gt;0,"ONSITE ","")&amp;IF(COUNTIFS(tbl_Finance[Job Number],C40&amp;"",tbl_Finance[Cost Centre],"PRODUCTION")&gt;0,"PRODUCTION ","")&amp;IF(COUNTIFS(tbl_Finance[Job Number],C40&amp;"",tbl_Finance[Cost Centre],"VIDEO")&gt;0,"VIDEO ","")&amp;IF(COUNTIFS(tbl_Finance[Job Number],C40&amp;"",tbl_Finance[Cost Centre],"INTEGRATION")&gt;0,"INTEGRATION ","")&amp;IF(COUNTIFS(tbl_Finance[Job Number],C40&amp;"",tbl_Finance[Cost Centre],"CONSULTING")&gt;0,"CONSULTING ","")&amp;IF(COUNTIFS(tbl_Finance[Job Number],C40&amp;"",tbl_Finance[Cost Centre],"CTS")&gt;0,"CTS ",""))," ",", ")))</f>
        <v/>
      </c>
      <c r="L40" s="24" t="n"/>
      <c r="M40" s="25">
        <f>IF(L40="","",HYPERLINK(IF(LEFT(L40,4)="http",L40,set_QwilrBase&amp;L40),"Open quote"))</f>
        <v/>
      </c>
      <c r="N40" s="26" t="n"/>
      <c r="O40" s="26" t="n"/>
      <c r="P40" s="26" t="n"/>
      <c r="Q40" s="25">
        <f>IF(C40="","",IF(N(N40)+N(O40)+N(P40)=0,"Not split",IF(ROUND(N(N40)+N(O40)+N(P40),2)=ROUND(H40,2),"OK","MISMATCH")))</f>
        <v/>
      </c>
      <c r="R40" s="26" t="n"/>
      <c r="S40" s="26" t="n"/>
      <c r="T40" s="26" t="n"/>
      <c r="U40" s="27">
        <f>IF(C40="","",N(R40)+N(S40)+N(T40))</f>
        <v/>
      </c>
      <c r="V40" s="27">
        <f>IF(C40="","",H40-U40)</f>
        <v/>
      </c>
      <c r="W40" s="29">
        <f>IFERROR(V40/H40,"")</f>
        <v/>
      </c>
      <c r="X40" s="24" t="n"/>
    </row>
    <row r="41" ht="15" customHeight="1">
      <c r="A41" s="68">
        <f>IF(C41="","",IFERROR(IF(SUMPRODUCT(MAX((tbl_Finance[Job Number]=C41&amp;"")*(tbl_Finance[Xero Invoice No]&lt;&gt;"")*tbl_Finance[Date]))=0,"",SUMPRODUCT(MAX((tbl_Finance[Job Number]=C41&amp;"")*(tbl_Finance[Xero Invoice No]&lt;&gt;"")*tbl_Finance[Date]))),""))</f>
        <v/>
      </c>
      <c r="B41" s="25">
        <f>IF(C41="","",IF(COUNTIFS(tbl_Finance[Job Number],C41&amp;"",tbl_Finance[Xero Invoice No],"&lt;&gt;")=0,"",IFERROR(IF(COUNTIFS(tbl_Finance[Job Number],C41&amp;"",tbl_Finance[Xero Invoice No],LOOKUP(2,1/((tbl_Finance[Job Number]=C41&amp;"")*(tbl_Finance[Xero Invoice No]&lt;&gt;"")),tbl_Finance[Xero Invoice No]))=COUNTIFS(tbl_Finance[Job Number],C41&amp;"",tbl_Finance[Xero Invoice No],"&lt;&gt;"),LOOKUP(2,1/((tbl_Finance[Job Number]=C41&amp;"")*(tbl_Finance[Xero Invoice No]&lt;&gt;"")),tbl_Finance[Xero Invoice No]),LOOKUP(2,1/((tbl_Finance[Job Number]=C41&amp;"")*(tbl_Finance[Xero Invoice No]&lt;&gt;"")),tbl_Finance[Xero Invoice No])&amp;" +more"),"")))</f>
        <v/>
      </c>
      <c r="C41" s="24" t="n"/>
      <c r="D41" s="25">
        <f>IF(C41="","",IF(COUNTIF(lst_Jobs,C41&amp;"")&gt;0,"OK","CHECK"))</f>
        <v/>
      </c>
      <c r="E41" s="25">
        <f>IF(C41="","",IFERROR(INDEX(lst_JobName,MATCH(C41&amp;"",lst_Jobs,0)),""))</f>
        <v/>
      </c>
      <c r="F41" s="25">
        <f>IF(C41="","",IFERROR(INDEX(tbl_Finance[Client],MATCH(C41&amp;"",tbl_Finance[Job Number],0)),""))</f>
        <v/>
      </c>
      <c r="G41" s="28">
        <f>IF(C41="","",COUNTIFS(tbl_Finance[Job Number],C41&amp;"",tbl_Finance[Ex GST],"&lt;&gt;"))</f>
        <v/>
      </c>
      <c r="H41" s="27">
        <f>IF(C41="","",SUMIFS(tbl_Finance[Ex GST],tbl_Finance[Job Number],C41&amp;""))</f>
        <v/>
      </c>
      <c r="I41" s="27">
        <f>IF(C41="","",SUMIFS(tbl_Finance[Ex GST],tbl_Finance[Job Number],C41&amp;"",tbl_Finance[Xero Invoice No],"&lt;&gt;"))</f>
        <v/>
      </c>
      <c r="J41" s="27">
        <f>IF(C41="","",H41-I41)</f>
        <v/>
      </c>
      <c r="K41" s="25">
        <f>IF(C41="","",IF(G41=0,"not invoiced yet",SUBSTITUTE(TRIM(IF(COUNTIFS(tbl_Finance[Job Number],C41&amp;"",tbl_Finance[Cost Centre],"ONSITE")&gt;0,"ONSITE ","")&amp;IF(COUNTIFS(tbl_Finance[Job Number],C41&amp;"",tbl_Finance[Cost Centre],"PRODUCTION")&gt;0,"PRODUCTION ","")&amp;IF(COUNTIFS(tbl_Finance[Job Number],C41&amp;"",tbl_Finance[Cost Centre],"VIDEO")&gt;0,"VIDEO ","")&amp;IF(COUNTIFS(tbl_Finance[Job Number],C41&amp;"",tbl_Finance[Cost Centre],"INTEGRATION")&gt;0,"INTEGRATION ","")&amp;IF(COUNTIFS(tbl_Finance[Job Number],C41&amp;"",tbl_Finance[Cost Centre],"CONSULTING")&gt;0,"CONSULTING ","")&amp;IF(COUNTIFS(tbl_Finance[Job Number],C41&amp;"",tbl_Finance[Cost Centre],"CTS")&gt;0,"CTS ",""))," ",", ")))</f>
        <v/>
      </c>
      <c r="L41" s="24" t="n"/>
      <c r="M41" s="25">
        <f>IF(L41="","",HYPERLINK(IF(LEFT(L41,4)="http",L41,set_QwilrBase&amp;L41),"Open quote"))</f>
        <v/>
      </c>
      <c r="N41" s="26" t="n"/>
      <c r="O41" s="26" t="n"/>
      <c r="P41" s="26" t="n"/>
      <c r="Q41" s="25">
        <f>IF(C41="","",IF(N(N41)+N(O41)+N(P41)=0,"Not split",IF(ROUND(N(N41)+N(O41)+N(P41),2)=ROUND(H41,2),"OK","MISMATCH")))</f>
        <v/>
      </c>
      <c r="R41" s="26" t="n"/>
      <c r="S41" s="26" t="n"/>
      <c r="T41" s="26" t="n"/>
      <c r="U41" s="27">
        <f>IF(C41="","",N(R41)+N(S41)+N(T41))</f>
        <v/>
      </c>
      <c r="V41" s="27">
        <f>IF(C41="","",H41-U41)</f>
        <v/>
      </c>
      <c r="W41" s="29">
        <f>IFERROR(V41/H41,"")</f>
        <v/>
      </c>
      <c r="X41" s="24" t="n"/>
    </row>
    <row r="42" ht="15" customHeight="1">
      <c r="A42" s="68">
        <f>IF(C42="","",IFERROR(IF(SUMPRODUCT(MAX((tbl_Finance[Job Number]=C42&amp;"")*(tbl_Finance[Xero Invoice No]&lt;&gt;"")*tbl_Finance[Date]))=0,"",SUMPRODUCT(MAX((tbl_Finance[Job Number]=C42&amp;"")*(tbl_Finance[Xero Invoice No]&lt;&gt;"")*tbl_Finance[Date]))),""))</f>
        <v/>
      </c>
      <c r="B42" s="25">
        <f>IF(C42="","",IF(COUNTIFS(tbl_Finance[Job Number],C42&amp;"",tbl_Finance[Xero Invoice No],"&lt;&gt;")=0,"",IFERROR(IF(COUNTIFS(tbl_Finance[Job Number],C42&amp;"",tbl_Finance[Xero Invoice No],LOOKUP(2,1/((tbl_Finance[Job Number]=C42&amp;"")*(tbl_Finance[Xero Invoice No]&lt;&gt;"")),tbl_Finance[Xero Invoice No]))=COUNTIFS(tbl_Finance[Job Number],C42&amp;"",tbl_Finance[Xero Invoice No],"&lt;&gt;"),LOOKUP(2,1/((tbl_Finance[Job Number]=C42&amp;"")*(tbl_Finance[Xero Invoice No]&lt;&gt;"")),tbl_Finance[Xero Invoice No]),LOOKUP(2,1/((tbl_Finance[Job Number]=C42&amp;"")*(tbl_Finance[Xero Invoice No]&lt;&gt;"")),tbl_Finance[Xero Invoice No])&amp;" +more"),"")))</f>
        <v/>
      </c>
      <c r="C42" s="24" t="n"/>
      <c r="D42" s="25">
        <f>IF(C42="","",IF(COUNTIF(lst_Jobs,C42&amp;"")&gt;0,"OK","CHECK"))</f>
        <v/>
      </c>
      <c r="E42" s="25">
        <f>IF(C42="","",IFERROR(INDEX(lst_JobName,MATCH(C42&amp;"",lst_Jobs,0)),""))</f>
        <v/>
      </c>
      <c r="F42" s="25">
        <f>IF(C42="","",IFERROR(INDEX(tbl_Finance[Client],MATCH(C42&amp;"",tbl_Finance[Job Number],0)),""))</f>
        <v/>
      </c>
      <c r="G42" s="28">
        <f>IF(C42="","",COUNTIFS(tbl_Finance[Job Number],C42&amp;"",tbl_Finance[Ex GST],"&lt;&gt;"))</f>
        <v/>
      </c>
      <c r="H42" s="27">
        <f>IF(C42="","",SUMIFS(tbl_Finance[Ex GST],tbl_Finance[Job Number],C42&amp;""))</f>
        <v/>
      </c>
      <c r="I42" s="27">
        <f>IF(C42="","",SUMIFS(tbl_Finance[Ex GST],tbl_Finance[Job Number],C42&amp;"",tbl_Finance[Xero Invoice No],"&lt;&gt;"))</f>
        <v/>
      </c>
      <c r="J42" s="27">
        <f>IF(C42="","",H42-I42)</f>
        <v/>
      </c>
      <c r="K42" s="25">
        <f>IF(C42="","",IF(G42=0,"not invoiced yet",SUBSTITUTE(TRIM(IF(COUNTIFS(tbl_Finance[Job Number],C42&amp;"",tbl_Finance[Cost Centre],"ONSITE")&gt;0,"ONSITE ","")&amp;IF(COUNTIFS(tbl_Finance[Job Number],C42&amp;"",tbl_Finance[Cost Centre],"PRODUCTION")&gt;0,"PRODUCTION ","")&amp;IF(COUNTIFS(tbl_Finance[Job Number],C42&amp;"",tbl_Finance[Cost Centre],"VIDEO")&gt;0,"VIDEO ","")&amp;IF(COUNTIFS(tbl_Finance[Job Number],C42&amp;"",tbl_Finance[Cost Centre],"INTEGRATION")&gt;0,"INTEGRATION ","")&amp;IF(COUNTIFS(tbl_Finance[Job Number],C42&amp;"",tbl_Finance[Cost Centre],"CONSULTING")&gt;0,"CONSULTING ","")&amp;IF(COUNTIFS(tbl_Finance[Job Number],C42&amp;"",tbl_Finance[Cost Centre],"CTS")&gt;0,"CTS ",""))," ",", ")))</f>
        <v/>
      </c>
      <c r="L42" s="24" t="n"/>
      <c r="M42" s="25">
        <f>IF(L42="","",HYPERLINK(IF(LEFT(L42,4)="http",L42,set_QwilrBase&amp;L42),"Open quote"))</f>
        <v/>
      </c>
      <c r="N42" s="26" t="n"/>
      <c r="O42" s="26" t="n"/>
      <c r="P42" s="26" t="n"/>
      <c r="Q42" s="25">
        <f>IF(C42="","",IF(N(N42)+N(O42)+N(P42)=0,"Not split",IF(ROUND(N(N42)+N(O42)+N(P42),2)=ROUND(H42,2),"OK","MISMATCH")))</f>
        <v/>
      </c>
      <c r="R42" s="26" t="n"/>
      <c r="S42" s="26" t="n"/>
      <c r="T42" s="26" t="n"/>
      <c r="U42" s="27">
        <f>IF(C42="","",N(R42)+N(S42)+N(T42))</f>
        <v/>
      </c>
      <c r="V42" s="27">
        <f>IF(C42="","",H42-U42)</f>
        <v/>
      </c>
      <c r="W42" s="29">
        <f>IFERROR(V42/H42,"")</f>
        <v/>
      </c>
      <c r="X42" s="24" t="n"/>
    </row>
    <row r="43" ht="15" customHeight="1">
      <c r="A43" s="68">
        <f>IF(C43="","",IFERROR(IF(SUMPRODUCT(MAX((tbl_Finance[Job Number]=C43&amp;"")*(tbl_Finance[Xero Invoice No]&lt;&gt;"")*tbl_Finance[Date]))=0,"",SUMPRODUCT(MAX((tbl_Finance[Job Number]=C43&amp;"")*(tbl_Finance[Xero Invoice No]&lt;&gt;"")*tbl_Finance[Date]))),""))</f>
        <v/>
      </c>
      <c r="B43" s="25">
        <f>IF(C43="","",IF(COUNTIFS(tbl_Finance[Job Number],C43&amp;"",tbl_Finance[Xero Invoice No],"&lt;&gt;")=0,"",IFERROR(IF(COUNTIFS(tbl_Finance[Job Number],C43&amp;"",tbl_Finance[Xero Invoice No],LOOKUP(2,1/((tbl_Finance[Job Number]=C43&amp;"")*(tbl_Finance[Xero Invoice No]&lt;&gt;"")),tbl_Finance[Xero Invoice No]))=COUNTIFS(tbl_Finance[Job Number],C43&amp;"",tbl_Finance[Xero Invoice No],"&lt;&gt;"),LOOKUP(2,1/((tbl_Finance[Job Number]=C43&amp;"")*(tbl_Finance[Xero Invoice No]&lt;&gt;"")),tbl_Finance[Xero Invoice No]),LOOKUP(2,1/((tbl_Finance[Job Number]=C43&amp;"")*(tbl_Finance[Xero Invoice No]&lt;&gt;"")),tbl_Finance[Xero Invoice No])&amp;" +more"),"")))</f>
        <v/>
      </c>
      <c r="C43" s="24" t="n"/>
      <c r="D43" s="25">
        <f>IF(C43="","",IF(COUNTIF(lst_Jobs,C43&amp;"")&gt;0,"OK","CHECK"))</f>
        <v/>
      </c>
      <c r="E43" s="25">
        <f>IF(C43="","",IFERROR(INDEX(lst_JobName,MATCH(C43&amp;"",lst_Jobs,0)),""))</f>
        <v/>
      </c>
      <c r="F43" s="25">
        <f>IF(C43="","",IFERROR(INDEX(tbl_Finance[Client],MATCH(C43&amp;"",tbl_Finance[Job Number],0)),""))</f>
        <v/>
      </c>
      <c r="G43" s="28">
        <f>IF(C43="","",COUNTIFS(tbl_Finance[Job Number],C43&amp;"",tbl_Finance[Ex GST],"&lt;&gt;"))</f>
        <v/>
      </c>
      <c r="H43" s="27">
        <f>IF(C43="","",SUMIFS(tbl_Finance[Ex GST],tbl_Finance[Job Number],C43&amp;""))</f>
        <v/>
      </c>
      <c r="I43" s="27">
        <f>IF(C43="","",SUMIFS(tbl_Finance[Ex GST],tbl_Finance[Job Number],C43&amp;"",tbl_Finance[Xero Invoice No],"&lt;&gt;"))</f>
        <v/>
      </c>
      <c r="J43" s="27">
        <f>IF(C43="","",H43-I43)</f>
        <v/>
      </c>
      <c r="K43" s="25">
        <f>IF(C43="","",IF(G43=0,"not invoiced yet",SUBSTITUTE(TRIM(IF(COUNTIFS(tbl_Finance[Job Number],C43&amp;"",tbl_Finance[Cost Centre],"ONSITE")&gt;0,"ONSITE ","")&amp;IF(COUNTIFS(tbl_Finance[Job Number],C43&amp;"",tbl_Finance[Cost Centre],"PRODUCTION")&gt;0,"PRODUCTION ","")&amp;IF(COUNTIFS(tbl_Finance[Job Number],C43&amp;"",tbl_Finance[Cost Centre],"VIDEO")&gt;0,"VIDEO ","")&amp;IF(COUNTIFS(tbl_Finance[Job Number],C43&amp;"",tbl_Finance[Cost Centre],"INTEGRATION")&gt;0,"INTEGRATION ","")&amp;IF(COUNTIFS(tbl_Finance[Job Number],C43&amp;"",tbl_Finance[Cost Centre],"CONSULTING")&gt;0,"CONSULTING ","")&amp;IF(COUNTIFS(tbl_Finance[Job Number],C43&amp;"",tbl_Finance[Cost Centre],"CTS")&gt;0,"CTS ",""))," ",", ")))</f>
        <v/>
      </c>
      <c r="L43" s="24" t="n"/>
      <c r="M43" s="25">
        <f>IF(L43="","",HYPERLINK(IF(LEFT(L43,4)="http",L43,set_QwilrBase&amp;L43),"Open quote"))</f>
        <v/>
      </c>
      <c r="N43" s="26" t="n"/>
      <c r="O43" s="26" t="n"/>
      <c r="P43" s="26" t="n"/>
      <c r="Q43" s="25">
        <f>IF(C43="","",IF(N(N43)+N(O43)+N(P43)=0,"Not split",IF(ROUND(N(N43)+N(O43)+N(P43),2)=ROUND(H43,2),"OK","MISMATCH")))</f>
        <v/>
      </c>
      <c r="R43" s="26" t="n"/>
      <c r="S43" s="26" t="n"/>
      <c r="T43" s="26" t="n"/>
      <c r="U43" s="27">
        <f>IF(C43="","",N(R43)+N(S43)+N(T43))</f>
        <v/>
      </c>
      <c r="V43" s="27">
        <f>IF(C43="","",H43-U43)</f>
        <v/>
      </c>
      <c r="W43" s="29">
        <f>IFERROR(V43/H43,"")</f>
        <v/>
      </c>
      <c r="X43" s="24" t="n"/>
    </row>
    <row r="44" ht="15" customHeight="1">
      <c r="A44" s="68">
        <f>IF(C44="","",IFERROR(IF(SUMPRODUCT(MAX((tbl_Finance[Job Number]=C44&amp;"")*(tbl_Finance[Xero Invoice No]&lt;&gt;"")*tbl_Finance[Date]))=0,"",SUMPRODUCT(MAX((tbl_Finance[Job Number]=C44&amp;"")*(tbl_Finance[Xero Invoice No]&lt;&gt;"")*tbl_Finance[Date]))),""))</f>
        <v/>
      </c>
      <c r="B44" s="25">
        <f>IF(C44="","",IF(COUNTIFS(tbl_Finance[Job Number],C44&amp;"",tbl_Finance[Xero Invoice No],"&lt;&gt;")=0,"",IFERROR(IF(COUNTIFS(tbl_Finance[Job Number],C44&amp;"",tbl_Finance[Xero Invoice No],LOOKUP(2,1/((tbl_Finance[Job Number]=C44&amp;"")*(tbl_Finance[Xero Invoice No]&lt;&gt;"")),tbl_Finance[Xero Invoice No]))=COUNTIFS(tbl_Finance[Job Number],C44&amp;"",tbl_Finance[Xero Invoice No],"&lt;&gt;"),LOOKUP(2,1/((tbl_Finance[Job Number]=C44&amp;"")*(tbl_Finance[Xero Invoice No]&lt;&gt;"")),tbl_Finance[Xero Invoice No]),LOOKUP(2,1/((tbl_Finance[Job Number]=C44&amp;"")*(tbl_Finance[Xero Invoice No]&lt;&gt;"")),tbl_Finance[Xero Invoice No])&amp;" +more"),"")))</f>
        <v/>
      </c>
      <c r="C44" s="24" t="n"/>
      <c r="D44" s="25">
        <f>IF(C44="","",IF(COUNTIF(lst_Jobs,C44&amp;"")&gt;0,"OK","CHECK"))</f>
        <v/>
      </c>
      <c r="E44" s="25">
        <f>IF(C44="","",IFERROR(INDEX(lst_JobName,MATCH(C44&amp;"",lst_Jobs,0)),""))</f>
        <v/>
      </c>
      <c r="F44" s="25">
        <f>IF(C44="","",IFERROR(INDEX(tbl_Finance[Client],MATCH(C44&amp;"",tbl_Finance[Job Number],0)),""))</f>
        <v/>
      </c>
      <c r="G44" s="28">
        <f>IF(C44="","",COUNTIFS(tbl_Finance[Job Number],C44&amp;"",tbl_Finance[Ex GST],"&lt;&gt;"))</f>
        <v/>
      </c>
      <c r="H44" s="27">
        <f>IF(C44="","",SUMIFS(tbl_Finance[Ex GST],tbl_Finance[Job Number],C44&amp;""))</f>
        <v/>
      </c>
      <c r="I44" s="27">
        <f>IF(C44="","",SUMIFS(tbl_Finance[Ex GST],tbl_Finance[Job Number],C44&amp;"",tbl_Finance[Xero Invoice No],"&lt;&gt;"))</f>
        <v/>
      </c>
      <c r="J44" s="27">
        <f>IF(C44="","",H44-I44)</f>
        <v/>
      </c>
      <c r="K44" s="25">
        <f>IF(C44="","",IF(G44=0,"not invoiced yet",SUBSTITUTE(TRIM(IF(COUNTIFS(tbl_Finance[Job Number],C44&amp;"",tbl_Finance[Cost Centre],"ONSITE")&gt;0,"ONSITE ","")&amp;IF(COUNTIFS(tbl_Finance[Job Number],C44&amp;"",tbl_Finance[Cost Centre],"PRODUCTION")&gt;0,"PRODUCTION ","")&amp;IF(COUNTIFS(tbl_Finance[Job Number],C44&amp;"",tbl_Finance[Cost Centre],"VIDEO")&gt;0,"VIDEO ","")&amp;IF(COUNTIFS(tbl_Finance[Job Number],C44&amp;"",tbl_Finance[Cost Centre],"INTEGRATION")&gt;0,"INTEGRATION ","")&amp;IF(COUNTIFS(tbl_Finance[Job Number],C44&amp;"",tbl_Finance[Cost Centre],"CONSULTING")&gt;0,"CONSULTING ","")&amp;IF(COUNTIFS(tbl_Finance[Job Number],C44&amp;"",tbl_Finance[Cost Centre],"CTS")&gt;0,"CTS ",""))," ",", ")))</f>
        <v/>
      </c>
      <c r="L44" s="24" t="n"/>
      <c r="M44" s="25">
        <f>IF(L44="","",HYPERLINK(IF(LEFT(L44,4)="http",L44,set_QwilrBase&amp;L44),"Open quote"))</f>
        <v/>
      </c>
      <c r="N44" s="26" t="n"/>
      <c r="O44" s="26" t="n"/>
      <c r="P44" s="26" t="n"/>
      <c r="Q44" s="25">
        <f>IF(C44="","",IF(N(N44)+N(O44)+N(P44)=0,"Not split",IF(ROUND(N(N44)+N(O44)+N(P44),2)=ROUND(H44,2),"OK","MISMATCH")))</f>
        <v/>
      </c>
      <c r="R44" s="26" t="n"/>
      <c r="S44" s="26" t="n"/>
      <c r="T44" s="26" t="n"/>
      <c r="U44" s="27">
        <f>IF(C44="","",N(R44)+N(S44)+N(T44))</f>
        <v/>
      </c>
      <c r="V44" s="27">
        <f>IF(C44="","",H44-U44)</f>
        <v/>
      </c>
      <c r="W44" s="29">
        <f>IFERROR(V44/H44,"")</f>
        <v/>
      </c>
      <c r="X44" s="24" t="n"/>
    </row>
    <row r="45" ht="15" customHeight="1">
      <c r="A45" s="68">
        <f>IF(C45="","",IFERROR(IF(SUMPRODUCT(MAX((tbl_Finance[Job Number]=C45&amp;"")*(tbl_Finance[Xero Invoice No]&lt;&gt;"")*tbl_Finance[Date]))=0,"",SUMPRODUCT(MAX((tbl_Finance[Job Number]=C45&amp;"")*(tbl_Finance[Xero Invoice No]&lt;&gt;"")*tbl_Finance[Date]))),""))</f>
        <v/>
      </c>
      <c r="B45" s="25">
        <f>IF(C45="","",IF(COUNTIFS(tbl_Finance[Job Number],C45&amp;"",tbl_Finance[Xero Invoice No],"&lt;&gt;")=0,"",IFERROR(IF(COUNTIFS(tbl_Finance[Job Number],C45&amp;"",tbl_Finance[Xero Invoice No],LOOKUP(2,1/((tbl_Finance[Job Number]=C45&amp;"")*(tbl_Finance[Xero Invoice No]&lt;&gt;"")),tbl_Finance[Xero Invoice No]))=COUNTIFS(tbl_Finance[Job Number],C45&amp;"",tbl_Finance[Xero Invoice No],"&lt;&gt;"),LOOKUP(2,1/((tbl_Finance[Job Number]=C45&amp;"")*(tbl_Finance[Xero Invoice No]&lt;&gt;"")),tbl_Finance[Xero Invoice No]),LOOKUP(2,1/((tbl_Finance[Job Number]=C45&amp;"")*(tbl_Finance[Xero Invoice No]&lt;&gt;"")),tbl_Finance[Xero Invoice No])&amp;" +more"),"")))</f>
        <v/>
      </c>
      <c r="C45" s="24" t="n"/>
      <c r="D45" s="25">
        <f>IF(C45="","",IF(COUNTIF(lst_Jobs,C45&amp;"")&gt;0,"OK","CHECK"))</f>
        <v/>
      </c>
      <c r="E45" s="25">
        <f>IF(C45="","",IFERROR(INDEX(lst_JobName,MATCH(C45&amp;"",lst_Jobs,0)),""))</f>
        <v/>
      </c>
      <c r="F45" s="25">
        <f>IF(C45="","",IFERROR(INDEX(tbl_Finance[Client],MATCH(C45&amp;"",tbl_Finance[Job Number],0)),""))</f>
        <v/>
      </c>
      <c r="G45" s="28">
        <f>IF(C45="","",COUNTIFS(tbl_Finance[Job Number],C45&amp;"",tbl_Finance[Ex GST],"&lt;&gt;"))</f>
        <v/>
      </c>
      <c r="H45" s="27">
        <f>IF(C45="","",SUMIFS(tbl_Finance[Ex GST],tbl_Finance[Job Number],C45&amp;""))</f>
        <v/>
      </c>
      <c r="I45" s="27">
        <f>IF(C45="","",SUMIFS(tbl_Finance[Ex GST],tbl_Finance[Job Number],C45&amp;"",tbl_Finance[Xero Invoice No],"&lt;&gt;"))</f>
        <v/>
      </c>
      <c r="J45" s="27">
        <f>IF(C45="","",H45-I45)</f>
        <v/>
      </c>
      <c r="K45" s="25">
        <f>IF(C45="","",IF(G45=0,"not invoiced yet",SUBSTITUTE(TRIM(IF(COUNTIFS(tbl_Finance[Job Number],C45&amp;"",tbl_Finance[Cost Centre],"ONSITE")&gt;0,"ONSITE ","")&amp;IF(COUNTIFS(tbl_Finance[Job Number],C45&amp;"",tbl_Finance[Cost Centre],"PRODUCTION")&gt;0,"PRODUCTION ","")&amp;IF(COUNTIFS(tbl_Finance[Job Number],C45&amp;"",tbl_Finance[Cost Centre],"VIDEO")&gt;0,"VIDEO ","")&amp;IF(COUNTIFS(tbl_Finance[Job Number],C45&amp;"",tbl_Finance[Cost Centre],"INTEGRATION")&gt;0,"INTEGRATION ","")&amp;IF(COUNTIFS(tbl_Finance[Job Number],C45&amp;"",tbl_Finance[Cost Centre],"CONSULTING")&gt;0,"CONSULTING ","")&amp;IF(COUNTIFS(tbl_Finance[Job Number],C45&amp;"",tbl_Finance[Cost Centre],"CTS")&gt;0,"CTS ",""))," ",", ")))</f>
        <v/>
      </c>
      <c r="L45" s="24" t="n"/>
      <c r="M45" s="25">
        <f>IF(L45="","",HYPERLINK(IF(LEFT(L45,4)="http",L45,set_QwilrBase&amp;L45),"Open quote"))</f>
        <v/>
      </c>
      <c r="N45" s="26" t="n"/>
      <c r="O45" s="26" t="n"/>
      <c r="P45" s="26" t="n"/>
      <c r="Q45" s="25">
        <f>IF(C45="","",IF(N(N45)+N(O45)+N(P45)=0,"Not split",IF(ROUND(N(N45)+N(O45)+N(P45),2)=ROUND(H45,2),"OK","MISMATCH")))</f>
        <v/>
      </c>
      <c r="R45" s="26" t="n"/>
      <c r="S45" s="26" t="n"/>
      <c r="T45" s="26" t="n"/>
      <c r="U45" s="27">
        <f>IF(C45="","",N(R45)+N(S45)+N(T45))</f>
        <v/>
      </c>
      <c r="V45" s="27">
        <f>IF(C45="","",H45-U45)</f>
        <v/>
      </c>
      <c r="W45" s="29">
        <f>IFERROR(V45/H45,"")</f>
        <v/>
      </c>
      <c r="X45" s="24" t="n"/>
    </row>
    <row r="46" ht="15" customHeight="1">
      <c r="A46" s="68">
        <f>IF(C46="","",IFERROR(IF(SUMPRODUCT(MAX((tbl_Finance[Job Number]=C46&amp;"")*(tbl_Finance[Xero Invoice No]&lt;&gt;"")*tbl_Finance[Date]))=0,"",SUMPRODUCT(MAX((tbl_Finance[Job Number]=C46&amp;"")*(tbl_Finance[Xero Invoice No]&lt;&gt;"")*tbl_Finance[Date]))),""))</f>
        <v/>
      </c>
      <c r="B46" s="25">
        <f>IF(C46="","",IF(COUNTIFS(tbl_Finance[Job Number],C46&amp;"",tbl_Finance[Xero Invoice No],"&lt;&gt;")=0,"",IFERROR(IF(COUNTIFS(tbl_Finance[Job Number],C46&amp;"",tbl_Finance[Xero Invoice No],LOOKUP(2,1/((tbl_Finance[Job Number]=C46&amp;"")*(tbl_Finance[Xero Invoice No]&lt;&gt;"")),tbl_Finance[Xero Invoice No]))=COUNTIFS(tbl_Finance[Job Number],C46&amp;"",tbl_Finance[Xero Invoice No],"&lt;&gt;"),LOOKUP(2,1/((tbl_Finance[Job Number]=C46&amp;"")*(tbl_Finance[Xero Invoice No]&lt;&gt;"")),tbl_Finance[Xero Invoice No]),LOOKUP(2,1/((tbl_Finance[Job Number]=C46&amp;"")*(tbl_Finance[Xero Invoice No]&lt;&gt;"")),tbl_Finance[Xero Invoice No])&amp;" +more"),"")))</f>
        <v/>
      </c>
      <c r="C46" s="24" t="n"/>
      <c r="D46" s="25">
        <f>IF(C46="","",IF(COUNTIF(lst_Jobs,C46&amp;"")&gt;0,"OK","CHECK"))</f>
        <v/>
      </c>
      <c r="E46" s="25">
        <f>IF(C46="","",IFERROR(INDEX(lst_JobName,MATCH(C46&amp;"",lst_Jobs,0)),""))</f>
        <v/>
      </c>
      <c r="F46" s="25">
        <f>IF(C46="","",IFERROR(INDEX(tbl_Finance[Client],MATCH(C46&amp;"",tbl_Finance[Job Number],0)),""))</f>
        <v/>
      </c>
      <c r="G46" s="28">
        <f>IF(C46="","",COUNTIFS(tbl_Finance[Job Number],C46&amp;"",tbl_Finance[Ex GST],"&lt;&gt;"))</f>
        <v/>
      </c>
      <c r="H46" s="27">
        <f>IF(C46="","",SUMIFS(tbl_Finance[Ex GST],tbl_Finance[Job Number],C46&amp;""))</f>
        <v/>
      </c>
      <c r="I46" s="27">
        <f>IF(C46="","",SUMIFS(tbl_Finance[Ex GST],tbl_Finance[Job Number],C46&amp;"",tbl_Finance[Xero Invoice No],"&lt;&gt;"))</f>
        <v/>
      </c>
      <c r="J46" s="27">
        <f>IF(C46="","",H46-I46)</f>
        <v/>
      </c>
      <c r="K46" s="25">
        <f>IF(C46="","",IF(G46=0,"not invoiced yet",SUBSTITUTE(TRIM(IF(COUNTIFS(tbl_Finance[Job Number],C46&amp;"",tbl_Finance[Cost Centre],"ONSITE")&gt;0,"ONSITE ","")&amp;IF(COUNTIFS(tbl_Finance[Job Number],C46&amp;"",tbl_Finance[Cost Centre],"PRODUCTION")&gt;0,"PRODUCTION ","")&amp;IF(COUNTIFS(tbl_Finance[Job Number],C46&amp;"",tbl_Finance[Cost Centre],"VIDEO")&gt;0,"VIDEO ","")&amp;IF(COUNTIFS(tbl_Finance[Job Number],C46&amp;"",tbl_Finance[Cost Centre],"INTEGRATION")&gt;0,"INTEGRATION ","")&amp;IF(COUNTIFS(tbl_Finance[Job Number],C46&amp;"",tbl_Finance[Cost Centre],"CONSULTING")&gt;0,"CONSULTING ","")&amp;IF(COUNTIFS(tbl_Finance[Job Number],C46&amp;"",tbl_Finance[Cost Centre],"CTS")&gt;0,"CTS ",""))," ",", ")))</f>
        <v/>
      </c>
      <c r="L46" s="24" t="n"/>
      <c r="M46" s="25">
        <f>IF(L46="","",HYPERLINK(IF(LEFT(L46,4)="http",L46,set_QwilrBase&amp;L46),"Open quote"))</f>
        <v/>
      </c>
      <c r="N46" s="26" t="n"/>
      <c r="O46" s="26" t="n"/>
      <c r="P46" s="26" t="n"/>
      <c r="Q46" s="25">
        <f>IF(C46="","",IF(N(N46)+N(O46)+N(P46)=0,"Not split",IF(ROUND(N(N46)+N(O46)+N(P46),2)=ROUND(H46,2),"OK","MISMATCH")))</f>
        <v/>
      </c>
      <c r="R46" s="26" t="n"/>
      <c r="S46" s="26" t="n"/>
      <c r="T46" s="26" t="n"/>
      <c r="U46" s="27">
        <f>IF(C46="","",N(R46)+N(S46)+N(T46))</f>
        <v/>
      </c>
      <c r="V46" s="27">
        <f>IF(C46="","",H46-U46)</f>
        <v/>
      </c>
      <c r="W46" s="29">
        <f>IFERROR(V46/H46,"")</f>
        <v/>
      </c>
      <c r="X46" s="24" t="n"/>
    </row>
    <row r="47" ht="15" customHeight="1">
      <c r="A47" s="68">
        <f>IF(C47="","",IFERROR(IF(SUMPRODUCT(MAX((tbl_Finance[Job Number]=C47&amp;"")*(tbl_Finance[Xero Invoice No]&lt;&gt;"")*tbl_Finance[Date]))=0,"",SUMPRODUCT(MAX((tbl_Finance[Job Number]=C47&amp;"")*(tbl_Finance[Xero Invoice No]&lt;&gt;"")*tbl_Finance[Date]))),""))</f>
        <v/>
      </c>
      <c r="B47" s="25">
        <f>IF(C47="","",IF(COUNTIFS(tbl_Finance[Job Number],C47&amp;"",tbl_Finance[Xero Invoice No],"&lt;&gt;")=0,"",IFERROR(IF(COUNTIFS(tbl_Finance[Job Number],C47&amp;"",tbl_Finance[Xero Invoice No],LOOKUP(2,1/((tbl_Finance[Job Number]=C47&amp;"")*(tbl_Finance[Xero Invoice No]&lt;&gt;"")),tbl_Finance[Xero Invoice No]))=COUNTIFS(tbl_Finance[Job Number],C47&amp;"",tbl_Finance[Xero Invoice No],"&lt;&gt;"),LOOKUP(2,1/((tbl_Finance[Job Number]=C47&amp;"")*(tbl_Finance[Xero Invoice No]&lt;&gt;"")),tbl_Finance[Xero Invoice No]),LOOKUP(2,1/((tbl_Finance[Job Number]=C47&amp;"")*(tbl_Finance[Xero Invoice No]&lt;&gt;"")),tbl_Finance[Xero Invoice No])&amp;" +more"),"")))</f>
        <v/>
      </c>
      <c r="C47" s="24" t="n"/>
      <c r="D47" s="25">
        <f>IF(C47="","",IF(COUNTIF(lst_Jobs,C47&amp;"")&gt;0,"OK","CHECK"))</f>
        <v/>
      </c>
      <c r="E47" s="25">
        <f>IF(C47="","",IFERROR(INDEX(lst_JobName,MATCH(C47&amp;"",lst_Jobs,0)),""))</f>
        <v/>
      </c>
      <c r="F47" s="25">
        <f>IF(C47="","",IFERROR(INDEX(tbl_Finance[Client],MATCH(C47&amp;"",tbl_Finance[Job Number],0)),""))</f>
        <v/>
      </c>
      <c r="G47" s="28">
        <f>IF(C47="","",COUNTIFS(tbl_Finance[Job Number],C47&amp;"",tbl_Finance[Ex GST],"&lt;&gt;"))</f>
        <v/>
      </c>
      <c r="H47" s="27">
        <f>IF(C47="","",SUMIFS(tbl_Finance[Ex GST],tbl_Finance[Job Number],C47&amp;""))</f>
        <v/>
      </c>
      <c r="I47" s="27">
        <f>IF(C47="","",SUMIFS(tbl_Finance[Ex GST],tbl_Finance[Job Number],C47&amp;"",tbl_Finance[Xero Invoice No],"&lt;&gt;"))</f>
        <v/>
      </c>
      <c r="J47" s="27">
        <f>IF(C47="","",H47-I47)</f>
        <v/>
      </c>
      <c r="K47" s="25">
        <f>IF(C47="","",IF(G47=0,"not invoiced yet",SUBSTITUTE(TRIM(IF(COUNTIFS(tbl_Finance[Job Number],C47&amp;"",tbl_Finance[Cost Centre],"ONSITE")&gt;0,"ONSITE ","")&amp;IF(COUNTIFS(tbl_Finance[Job Number],C47&amp;"",tbl_Finance[Cost Centre],"PRODUCTION")&gt;0,"PRODUCTION ","")&amp;IF(COUNTIFS(tbl_Finance[Job Number],C47&amp;"",tbl_Finance[Cost Centre],"VIDEO")&gt;0,"VIDEO ","")&amp;IF(COUNTIFS(tbl_Finance[Job Number],C47&amp;"",tbl_Finance[Cost Centre],"INTEGRATION")&gt;0,"INTEGRATION ","")&amp;IF(COUNTIFS(tbl_Finance[Job Number],C47&amp;"",tbl_Finance[Cost Centre],"CONSULTING")&gt;0,"CONSULTING ","")&amp;IF(COUNTIFS(tbl_Finance[Job Number],C47&amp;"",tbl_Finance[Cost Centre],"CTS")&gt;0,"CTS ",""))," ",", ")))</f>
        <v/>
      </c>
      <c r="L47" s="24" t="n"/>
      <c r="M47" s="25">
        <f>IF(L47="","",HYPERLINK(IF(LEFT(L47,4)="http",L47,set_QwilrBase&amp;L47),"Open quote"))</f>
        <v/>
      </c>
      <c r="N47" s="26" t="n"/>
      <c r="O47" s="26" t="n"/>
      <c r="P47" s="26" t="n"/>
      <c r="Q47" s="25">
        <f>IF(C47="","",IF(N(N47)+N(O47)+N(P47)=0,"Not split",IF(ROUND(N(N47)+N(O47)+N(P47),2)=ROUND(H47,2),"OK","MISMATCH")))</f>
        <v/>
      </c>
      <c r="R47" s="26" t="n"/>
      <c r="S47" s="26" t="n"/>
      <c r="T47" s="26" t="n"/>
      <c r="U47" s="27">
        <f>IF(C47="","",N(R47)+N(S47)+N(T47))</f>
        <v/>
      </c>
      <c r="V47" s="27">
        <f>IF(C47="","",H47-U47)</f>
        <v/>
      </c>
      <c r="W47" s="29">
        <f>IFERROR(V47/H47,"")</f>
        <v/>
      </c>
      <c r="X47" s="24" t="n"/>
    </row>
    <row r="48" ht="15" customHeight="1">
      <c r="A48" s="68">
        <f>IF(C48="","",IFERROR(IF(SUMPRODUCT(MAX((tbl_Finance[Job Number]=C48&amp;"")*(tbl_Finance[Xero Invoice No]&lt;&gt;"")*tbl_Finance[Date]))=0,"",SUMPRODUCT(MAX((tbl_Finance[Job Number]=C48&amp;"")*(tbl_Finance[Xero Invoice No]&lt;&gt;"")*tbl_Finance[Date]))),""))</f>
        <v/>
      </c>
      <c r="B48" s="25">
        <f>IF(C48="","",IF(COUNTIFS(tbl_Finance[Job Number],C48&amp;"",tbl_Finance[Xero Invoice No],"&lt;&gt;")=0,"",IFERROR(IF(COUNTIFS(tbl_Finance[Job Number],C48&amp;"",tbl_Finance[Xero Invoice No],LOOKUP(2,1/((tbl_Finance[Job Number]=C48&amp;"")*(tbl_Finance[Xero Invoice No]&lt;&gt;"")),tbl_Finance[Xero Invoice No]))=COUNTIFS(tbl_Finance[Job Number],C48&amp;"",tbl_Finance[Xero Invoice No],"&lt;&gt;"),LOOKUP(2,1/((tbl_Finance[Job Number]=C48&amp;"")*(tbl_Finance[Xero Invoice No]&lt;&gt;"")),tbl_Finance[Xero Invoice No]),LOOKUP(2,1/((tbl_Finance[Job Number]=C48&amp;"")*(tbl_Finance[Xero Invoice No]&lt;&gt;"")),tbl_Finance[Xero Invoice No])&amp;" +more"),"")))</f>
        <v/>
      </c>
      <c r="C48" s="24" t="n"/>
      <c r="D48" s="25">
        <f>IF(C48="","",IF(COUNTIF(lst_Jobs,C48&amp;"")&gt;0,"OK","CHECK"))</f>
        <v/>
      </c>
      <c r="E48" s="25">
        <f>IF(C48="","",IFERROR(INDEX(lst_JobName,MATCH(C48&amp;"",lst_Jobs,0)),""))</f>
        <v/>
      </c>
      <c r="F48" s="25">
        <f>IF(C48="","",IFERROR(INDEX(tbl_Finance[Client],MATCH(C48&amp;"",tbl_Finance[Job Number],0)),""))</f>
        <v/>
      </c>
      <c r="G48" s="28">
        <f>IF(C48="","",COUNTIFS(tbl_Finance[Job Number],C48&amp;"",tbl_Finance[Ex GST],"&lt;&gt;"))</f>
        <v/>
      </c>
      <c r="H48" s="27">
        <f>IF(C48="","",SUMIFS(tbl_Finance[Ex GST],tbl_Finance[Job Number],C48&amp;""))</f>
        <v/>
      </c>
      <c r="I48" s="27">
        <f>IF(C48="","",SUMIFS(tbl_Finance[Ex GST],tbl_Finance[Job Number],C48&amp;"",tbl_Finance[Xero Invoice No],"&lt;&gt;"))</f>
        <v/>
      </c>
      <c r="J48" s="27">
        <f>IF(C48="","",H48-I48)</f>
        <v/>
      </c>
      <c r="K48" s="25">
        <f>IF(C48="","",IF(G48=0,"not invoiced yet",SUBSTITUTE(TRIM(IF(COUNTIFS(tbl_Finance[Job Number],C48&amp;"",tbl_Finance[Cost Centre],"ONSITE")&gt;0,"ONSITE ","")&amp;IF(COUNTIFS(tbl_Finance[Job Number],C48&amp;"",tbl_Finance[Cost Centre],"PRODUCTION")&gt;0,"PRODUCTION ","")&amp;IF(COUNTIFS(tbl_Finance[Job Number],C48&amp;"",tbl_Finance[Cost Centre],"VIDEO")&gt;0,"VIDEO ","")&amp;IF(COUNTIFS(tbl_Finance[Job Number],C48&amp;"",tbl_Finance[Cost Centre],"INTEGRATION")&gt;0,"INTEGRATION ","")&amp;IF(COUNTIFS(tbl_Finance[Job Number],C48&amp;"",tbl_Finance[Cost Centre],"CONSULTING")&gt;0,"CONSULTING ","")&amp;IF(COUNTIFS(tbl_Finance[Job Number],C48&amp;"",tbl_Finance[Cost Centre],"CTS")&gt;0,"CTS ",""))," ",", ")))</f>
        <v/>
      </c>
      <c r="L48" s="24" t="n"/>
      <c r="M48" s="25">
        <f>IF(L48="","",HYPERLINK(IF(LEFT(L48,4)="http",L48,set_QwilrBase&amp;L48),"Open quote"))</f>
        <v/>
      </c>
      <c r="N48" s="26" t="n"/>
      <c r="O48" s="26" t="n"/>
      <c r="P48" s="26" t="n"/>
      <c r="Q48" s="25">
        <f>IF(C48="","",IF(N(N48)+N(O48)+N(P48)=0,"Not split",IF(ROUND(N(N48)+N(O48)+N(P48),2)=ROUND(H48,2),"OK","MISMATCH")))</f>
        <v/>
      </c>
      <c r="R48" s="26" t="n"/>
      <c r="S48" s="26" t="n"/>
      <c r="T48" s="26" t="n"/>
      <c r="U48" s="27">
        <f>IF(C48="","",N(R48)+N(S48)+N(T48))</f>
        <v/>
      </c>
      <c r="V48" s="27">
        <f>IF(C48="","",H48-U48)</f>
        <v/>
      </c>
      <c r="W48" s="29">
        <f>IFERROR(V48/H48,"")</f>
        <v/>
      </c>
      <c r="X48" s="24" t="n"/>
    </row>
    <row r="49" ht="15" customHeight="1">
      <c r="A49" s="68">
        <f>IF(C49="","",IFERROR(IF(SUMPRODUCT(MAX((tbl_Finance[Job Number]=C49&amp;"")*(tbl_Finance[Xero Invoice No]&lt;&gt;"")*tbl_Finance[Date]))=0,"",SUMPRODUCT(MAX((tbl_Finance[Job Number]=C49&amp;"")*(tbl_Finance[Xero Invoice No]&lt;&gt;"")*tbl_Finance[Date]))),""))</f>
        <v/>
      </c>
      <c r="B49" s="25">
        <f>IF(C49="","",IF(COUNTIFS(tbl_Finance[Job Number],C49&amp;"",tbl_Finance[Xero Invoice No],"&lt;&gt;")=0,"",IFERROR(IF(COUNTIFS(tbl_Finance[Job Number],C49&amp;"",tbl_Finance[Xero Invoice No],LOOKUP(2,1/((tbl_Finance[Job Number]=C49&amp;"")*(tbl_Finance[Xero Invoice No]&lt;&gt;"")),tbl_Finance[Xero Invoice No]))=COUNTIFS(tbl_Finance[Job Number],C49&amp;"",tbl_Finance[Xero Invoice No],"&lt;&gt;"),LOOKUP(2,1/((tbl_Finance[Job Number]=C49&amp;"")*(tbl_Finance[Xero Invoice No]&lt;&gt;"")),tbl_Finance[Xero Invoice No]),LOOKUP(2,1/((tbl_Finance[Job Number]=C49&amp;"")*(tbl_Finance[Xero Invoice No]&lt;&gt;"")),tbl_Finance[Xero Invoice No])&amp;" +more"),"")))</f>
        <v/>
      </c>
      <c r="C49" s="24" t="n"/>
      <c r="D49" s="25">
        <f>IF(C49="","",IF(COUNTIF(lst_Jobs,C49&amp;"")&gt;0,"OK","CHECK"))</f>
        <v/>
      </c>
      <c r="E49" s="25">
        <f>IF(C49="","",IFERROR(INDEX(lst_JobName,MATCH(C49&amp;"",lst_Jobs,0)),""))</f>
        <v/>
      </c>
      <c r="F49" s="25">
        <f>IF(C49="","",IFERROR(INDEX(tbl_Finance[Client],MATCH(C49&amp;"",tbl_Finance[Job Number],0)),""))</f>
        <v/>
      </c>
      <c r="G49" s="28">
        <f>IF(C49="","",COUNTIFS(tbl_Finance[Job Number],C49&amp;"",tbl_Finance[Ex GST],"&lt;&gt;"))</f>
        <v/>
      </c>
      <c r="H49" s="27">
        <f>IF(C49="","",SUMIFS(tbl_Finance[Ex GST],tbl_Finance[Job Number],C49&amp;""))</f>
        <v/>
      </c>
      <c r="I49" s="27">
        <f>IF(C49="","",SUMIFS(tbl_Finance[Ex GST],tbl_Finance[Job Number],C49&amp;"",tbl_Finance[Xero Invoice No],"&lt;&gt;"))</f>
        <v/>
      </c>
      <c r="J49" s="27">
        <f>IF(C49="","",H49-I49)</f>
        <v/>
      </c>
      <c r="K49" s="25">
        <f>IF(C49="","",IF(G49=0,"not invoiced yet",SUBSTITUTE(TRIM(IF(COUNTIFS(tbl_Finance[Job Number],C49&amp;"",tbl_Finance[Cost Centre],"ONSITE")&gt;0,"ONSITE ","")&amp;IF(COUNTIFS(tbl_Finance[Job Number],C49&amp;"",tbl_Finance[Cost Centre],"PRODUCTION")&gt;0,"PRODUCTION ","")&amp;IF(COUNTIFS(tbl_Finance[Job Number],C49&amp;"",tbl_Finance[Cost Centre],"VIDEO")&gt;0,"VIDEO ","")&amp;IF(COUNTIFS(tbl_Finance[Job Number],C49&amp;"",tbl_Finance[Cost Centre],"INTEGRATION")&gt;0,"INTEGRATION ","")&amp;IF(COUNTIFS(tbl_Finance[Job Number],C49&amp;"",tbl_Finance[Cost Centre],"CONSULTING")&gt;0,"CONSULTING ","")&amp;IF(COUNTIFS(tbl_Finance[Job Number],C49&amp;"",tbl_Finance[Cost Centre],"CTS")&gt;0,"CTS ",""))," ",", ")))</f>
        <v/>
      </c>
      <c r="L49" s="24" t="n"/>
      <c r="M49" s="25">
        <f>IF(L49="","",HYPERLINK(IF(LEFT(L49,4)="http",L49,set_QwilrBase&amp;L49),"Open quote"))</f>
        <v/>
      </c>
      <c r="N49" s="26" t="n"/>
      <c r="O49" s="26" t="n"/>
      <c r="P49" s="26" t="n"/>
      <c r="Q49" s="25">
        <f>IF(C49="","",IF(N(N49)+N(O49)+N(P49)=0,"Not split",IF(ROUND(N(N49)+N(O49)+N(P49),2)=ROUND(H49,2),"OK","MISMATCH")))</f>
        <v/>
      </c>
      <c r="R49" s="26" t="n"/>
      <c r="S49" s="26" t="n"/>
      <c r="T49" s="26" t="n"/>
      <c r="U49" s="27">
        <f>IF(C49="","",N(R49)+N(S49)+N(T49))</f>
        <v/>
      </c>
      <c r="V49" s="27">
        <f>IF(C49="","",H49-U49)</f>
        <v/>
      </c>
      <c r="W49" s="29">
        <f>IFERROR(V49/H49,"")</f>
        <v/>
      </c>
      <c r="X49" s="24" t="n"/>
    </row>
    <row r="50" ht="15" customHeight="1">
      <c r="A50" s="68">
        <f>IF(C50="","",IFERROR(IF(SUMPRODUCT(MAX((tbl_Finance[Job Number]=C50&amp;"")*(tbl_Finance[Xero Invoice No]&lt;&gt;"")*tbl_Finance[Date]))=0,"",SUMPRODUCT(MAX((tbl_Finance[Job Number]=C50&amp;"")*(tbl_Finance[Xero Invoice No]&lt;&gt;"")*tbl_Finance[Date]))),""))</f>
        <v/>
      </c>
      <c r="B50" s="25">
        <f>IF(C50="","",IF(COUNTIFS(tbl_Finance[Job Number],C50&amp;"",tbl_Finance[Xero Invoice No],"&lt;&gt;")=0,"",IFERROR(IF(COUNTIFS(tbl_Finance[Job Number],C50&amp;"",tbl_Finance[Xero Invoice No],LOOKUP(2,1/((tbl_Finance[Job Number]=C50&amp;"")*(tbl_Finance[Xero Invoice No]&lt;&gt;"")),tbl_Finance[Xero Invoice No]))=COUNTIFS(tbl_Finance[Job Number],C50&amp;"",tbl_Finance[Xero Invoice No],"&lt;&gt;"),LOOKUP(2,1/((tbl_Finance[Job Number]=C50&amp;"")*(tbl_Finance[Xero Invoice No]&lt;&gt;"")),tbl_Finance[Xero Invoice No]),LOOKUP(2,1/((tbl_Finance[Job Number]=C50&amp;"")*(tbl_Finance[Xero Invoice No]&lt;&gt;"")),tbl_Finance[Xero Invoice No])&amp;" +more"),"")))</f>
        <v/>
      </c>
      <c r="C50" s="24" t="n"/>
      <c r="D50" s="25">
        <f>IF(C50="","",IF(COUNTIF(lst_Jobs,C50&amp;"")&gt;0,"OK","CHECK"))</f>
        <v/>
      </c>
      <c r="E50" s="25">
        <f>IF(C50="","",IFERROR(INDEX(lst_JobName,MATCH(C50&amp;"",lst_Jobs,0)),""))</f>
        <v/>
      </c>
      <c r="F50" s="25">
        <f>IF(C50="","",IFERROR(INDEX(tbl_Finance[Client],MATCH(C50&amp;"",tbl_Finance[Job Number],0)),""))</f>
        <v/>
      </c>
      <c r="G50" s="28">
        <f>IF(C50="","",COUNTIFS(tbl_Finance[Job Number],C50&amp;"",tbl_Finance[Ex GST],"&lt;&gt;"))</f>
        <v/>
      </c>
      <c r="H50" s="27">
        <f>IF(C50="","",SUMIFS(tbl_Finance[Ex GST],tbl_Finance[Job Number],C50&amp;""))</f>
        <v/>
      </c>
      <c r="I50" s="27">
        <f>IF(C50="","",SUMIFS(tbl_Finance[Ex GST],tbl_Finance[Job Number],C50&amp;"",tbl_Finance[Xero Invoice No],"&lt;&gt;"))</f>
        <v/>
      </c>
      <c r="J50" s="27">
        <f>IF(C50="","",H50-I50)</f>
        <v/>
      </c>
      <c r="K50" s="25">
        <f>IF(C50="","",IF(G50=0,"not invoiced yet",SUBSTITUTE(TRIM(IF(COUNTIFS(tbl_Finance[Job Number],C50&amp;"",tbl_Finance[Cost Centre],"ONSITE")&gt;0,"ONSITE ","")&amp;IF(COUNTIFS(tbl_Finance[Job Number],C50&amp;"",tbl_Finance[Cost Centre],"PRODUCTION")&gt;0,"PRODUCTION ","")&amp;IF(COUNTIFS(tbl_Finance[Job Number],C50&amp;"",tbl_Finance[Cost Centre],"VIDEO")&gt;0,"VIDEO ","")&amp;IF(COUNTIFS(tbl_Finance[Job Number],C50&amp;"",tbl_Finance[Cost Centre],"INTEGRATION")&gt;0,"INTEGRATION ","")&amp;IF(COUNTIFS(tbl_Finance[Job Number],C50&amp;"",tbl_Finance[Cost Centre],"CONSULTING")&gt;0,"CONSULTING ","")&amp;IF(COUNTIFS(tbl_Finance[Job Number],C50&amp;"",tbl_Finance[Cost Centre],"CTS")&gt;0,"CTS ",""))," ",", ")))</f>
        <v/>
      </c>
      <c r="L50" s="24" t="n"/>
      <c r="M50" s="25">
        <f>IF(L50="","",HYPERLINK(IF(LEFT(L50,4)="http",L50,set_QwilrBase&amp;L50),"Open quote"))</f>
        <v/>
      </c>
      <c r="N50" s="26" t="n"/>
      <c r="O50" s="26" t="n"/>
      <c r="P50" s="26" t="n"/>
      <c r="Q50" s="25">
        <f>IF(C50="","",IF(N(N50)+N(O50)+N(P50)=0,"Not split",IF(ROUND(N(N50)+N(O50)+N(P50),2)=ROUND(H50,2),"OK","MISMATCH")))</f>
        <v/>
      </c>
      <c r="R50" s="26" t="n"/>
      <c r="S50" s="26" t="n"/>
      <c r="T50" s="26" t="n"/>
      <c r="U50" s="27">
        <f>IF(C50="","",N(R50)+N(S50)+N(T50))</f>
        <v/>
      </c>
      <c r="V50" s="27">
        <f>IF(C50="","",H50-U50)</f>
        <v/>
      </c>
      <c r="W50" s="29">
        <f>IFERROR(V50/H50,"")</f>
        <v/>
      </c>
      <c r="X50" s="24" t="n"/>
    </row>
    <row r="51" ht="15" customHeight="1">
      <c r="A51" s="68">
        <f>IF(C51="","",IFERROR(IF(SUMPRODUCT(MAX((tbl_Finance[Job Number]=C51&amp;"")*(tbl_Finance[Xero Invoice No]&lt;&gt;"")*tbl_Finance[Date]))=0,"",SUMPRODUCT(MAX((tbl_Finance[Job Number]=C51&amp;"")*(tbl_Finance[Xero Invoice No]&lt;&gt;"")*tbl_Finance[Date]))),""))</f>
        <v/>
      </c>
      <c r="B51" s="25">
        <f>IF(C51="","",IF(COUNTIFS(tbl_Finance[Job Number],C51&amp;"",tbl_Finance[Xero Invoice No],"&lt;&gt;")=0,"",IFERROR(IF(COUNTIFS(tbl_Finance[Job Number],C51&amp;"",tbl_Finance[Xero Invoice No],LOOKUP(2,1/((tbl_Finance[Job Number]=C51&amp;"")*(tbl_Finance[Xero Invoice No]&lt;&gt;"")),tbl_Finance[Xero Invoice No]))=COUNTIFS(tbl_Finance[Job Number],C51&amp;"",tbl_Finance[Xero Invoice No],"&lt;&gt;"),LOOKUP(2,1/((tbl_Finance[Job Number]=C51&amp;"")*(tbl_Finance[Xero Invoice No]&lt;&gt;"")),tbl_Finance[Xero Invoice No]),LOOKUP(2,1/((tbl_Finance[Job Number]=C51&amp;"")*(tbl_Finance[Xero Invoice No]&lt;&gt;"")),tbl_Finance[Xero Invoice No])&amp;" +more"),"")))</f>
        <v/>
      </c>
      <c r="C51" s="24" t="n"/>
      <c r="D51" s="25">
        <f>IF(C51="","",IF(COUNTIF(lst_Jobs,C51&amp;"")&gt;0,"OK","CHECK"))</f>
        <v/>
      </c>
      <c r="E51" s="25">
        <f>IF(C51="","",IFERROR(INDEX(lst_JobName,MATCH(C51&amp;"",lst_Jobs,0)),""))</f>
        <v/>
      </c>
      <c r="F51" s="25">
        <f>IF(C51="","",IFERROR(INDEX(tbl_Finance[Client],MATCH(C51&amp;"",tbl_Finance[Job Number],0)),""))</f>
        <v/>
      </c>
      <c r="G51" s="28">
        <f>IF(C51="","",COUNTIFS(tbl_Finance[Job Number],C51&amp;"",tbl_Finance[Ex GST],"&lt;&gt;"))</f>
        <v/>
      </c>
      <c r="H51" s="27">
        <f>IF(C51="","",SUMIFS(tbl_Finance[Ex GST],tbl_Finance[Job Number],C51&amp;""))</f>
        <v/>
      </c>
      <c r="I51" s="27">
        <f>IF(C51="","",SUMIFS(tbl_Finance[Ex GST],tbl_Finance[Job Number],C51&amp;"",tbl_Finance[Xero Invoice No],"&lt;&gt;"))</f>
        <v/>
      </c>
      <c r="J51" s="27">
        <f>IF(C51="","",H51-I51)</f>
        <v/>
      </c>
      <c r="K51" s="25">
        <f>IF(C51="","",IF(G51=0,"not invoiced yet",SUBSTITUTE(TRIM(IF(COUNTIFS(tbl_Finance[Job Number],C51&amp;"",tbl_Finance[Cost Centre],"ONSITE")&gt;0,"ONSITE ","")&amp;IF(COUNTIFS(tbl_Finance[Job Number],C51&amp;"",tbl_Finance[Cost Centre],"PRODUCTION")&gt;0,"PRODUCTION ","")&amp;IF(COUNTIFS(tbl_Finance[Job Number],C51&amp;"",tbl_Finance[Cost Centre],"VIDEO")&gt;0,"VIDEO ","")&amp;IF(COUNTIFS(tbl_Finance[Job Number],C51&amp;"",tbl_Finance[Cost Centre],"INTEGRATION")&gt;0,"INTEGRATION ","")&amp;IF(COUNTIFS(tbl_Finance[Job Number],C51&amp;"",tbl_Finance[Cost Centre],"CONSULTING")&gt;0,"CONSULTING ","")&amp;IF(COUNTIFS(tbl_Finance[Job Number],C51&amp;"",tbl_Finance[Cost Centre],"CTS")&gt;0,"CTS ",""))," ",", ")))</f>
        <v/>
      </c>
      <c r="L51" s="24" t="n"/>
      <c r="M51" s="25">
        <f>IF(L51="","",HYPERLINK(IF(LEFT(L51,4)="http",L51,set_QwilrBase&amp;L51),"Open quote"))</f>
        <v/>
      </c>
      <c r="N51" s="26" t="n"/>
      <c r="O51" s="26" t="n"/>
      <c r="P51" s="26" t="n"/>
      <c r="Q51" s="25">
        <f>IF(C51="","",IF(N(N51)+N(O51)+N(P51)=0,"Not split",IF(ROUND(N(N51)+N(O51)+N(P51),2)=ROUND(H51,2),"OK","MISMATCH")))</f>
        <v/>
      </c>
      <c r="R51" s="26" t="n"/>
      <c r="S51" s="26" t="n"/>
      <c r="T51" s="26" t="n"/>
      <c r="U51" s="27">
        <f>IF(C51="","",N(R51)+N(S51)+N(T51))</f>
        <v/>
      </c>
      <c r="V51" s="27">
        <f>IF(C51="","",H51-U51)</f>
        <v/>
      </c>
      <c r="W51" s="29">
        <f>IFERROR(V51/H51,"")</f>
        <v/>
      </c>
      <c r="X51" s="24" t="n"/>
    </row>
    <row r="52" ht="15" customHeight="1">
      <c r="A52" s="68">
        <f>IF(C52="","",IFERROR(IF(SUMPRODUCT(MAX((tbl_Finance[Job Number]=C52&amp;"")*(tbl_Finance[Xero Invoice No]&lt;&gt;"")*tbl_Finance[Date]))=0,"",SUMPRODUCT(MAX((tbl_Finance[Job Number]=C52&amp;"")*(tbl_Finance[Xero Invoice No]&lt;&gt;"")*tbl_Finance[Date]))),""))</f>
        <v/>
      </c>
      <c r="B52" s="25">
        <f>IF(C52="","",IF(COUNTIFS(tbl_Finance[Job Number],C52&amp;"",tbl_Finance[Xero Invoice No],"&lt;&gt;")=0,"",IFERROR(IF(COUNTIFS(tbl_Finance[Job Number],C52&amp;"",tbl_Finance[Xero Invoice No],LOOKUP(2,1/((tbl_Finance[Job Number]=C52&amp;"")*(tbl_Finance[Xero Invoice No]&lt;&gt;"")),tbl_Finance[Xero Invoice No]))=COUNTIFS(tbl_Finance[Job Number],C52&amp;"",tbl_Finance[Xero Invoice No],"&lt;&gt;"),LOOKUP(2,1/((tbl_Finance[Job Number]=C52&amp;"")*(tbl_Finance[Xero Invoice No]&lt;&gt;"")),tbl_Finance[Xero Invoice No]),LOOKUP(2,1/((tbl_Finance[Job Number]=C52&amp;"")*(tbl_Finance[Xero Invoice No]&lt;&gt;"")),tbl_Finance[Xero Invoice No])&amp;" +more"),"")))</f>
        <v/>
      </c>
      <c r="C52" s="24" t="n"/>
      <c r="D52" s="25">
        <f>IF(C52="","",IF(COUNTIF(lst_Jobs,C52&amp;"")&gt;0,"OK","CHECK"))</f>
        <v/>
      </c>
      <c r="E52" s="25">
        <f>IF(C52="","",IFERROR(INDEX(lst_JobName,MATCH(C52&amp;"",lst_Jobs,0)),""))</f>
        <v/>
      </c>
      <c r="F52" s="25">
        <f>IF(C52="","",IFERROR(INDEX(tbl_Finance[Client],MATCH(C52&amp;"",tbl_Finance[Job Number],0)),""))</f>
        <v/>
      </c>
      <c r="G52" s="28">
        <f>IF(C52="","",COUNTIFS(tbl_Finance[Job Number],C52&amp;"",tbl_Finance[Ex GST],"&lt;&gt;"))</f>
        <v/>
      </c>
      <c r="H52" s="27">
        <f>IF(C52="","",SUMIFS(tbl_Finance[Ex GST],tbl_Finance[Job Number],C52&amp;""))</f>
        <v/>
      </c>
      <c r="I52" s="27">
        <f>IF(C52="","",SUMIFS(tbl_Finance[Ex GST],tbl_Finance[Job Number],C52&amp;"",tbl_Finance[Xero Invoice No],"&lt;&gt;"))</f>
        <v/>
      </c>
      <c r="J52" s="27">
        <f>IF(C52="","",H52-I52)</f>
        <v/>
      </c>
      <c r="K52" s="25">
        <f>IF(C52="","",IF(G52=0,"not invoiced yet",SUBSTITUTE(TRIM(IF(COUNTIFS(tbl_Finance[Job Number],C52&amp;"",tbl_Finance[Cost Centre],"ONSITE")&gt;0,"ONSITE ","")&amp;IF(COUNTIFS(tbl_Finance[Job Number],C52&amp;"",tbl_Finance[Cost Centre],"PRODUCTION")&gt;0,"PRODUCTION ","")&amp;IF(COUNTIFS(tbl_Finance[Job Number],C52&amp;"",tbl_Finance[Cost Centre],"VIDEO")&gt;0,"VIDEO ","")&amp;IF(COUNTIFS(tbl_Finance[Job Number],C52&amp;"",tbl_Finance[Cost Centre],"INTEGRATION")&gt;0,"INTEGRATION ","")&amp;IF(COUNTIFS(tbl_Finance[Job Number],C52&amp;"",tbl_Finance[Cost Centre],"CONSULTING")&gt;0,"CONSULTING ","")&amp;IF(COUNTIFS(tbl_Finance[Job Number],C52&amp;"",tbl_Finance[Cost Centre],"CTS")&gt;0,"CTS ",""))," ",", ")))</f>
        <v/>
      </c>
      <c r="L52" s="24" t="n"/>
      <c r="M52" s="25">
        <f>IF(L52="","",HYPERLINK(IF(LEFT(L52,4)="http",L52,set_QwilrBase&amp;L52),"Open quote"))</f>
        <v/>
      </c>
      <c r="N52" s="26" t="n"/>
      <c r="O52" s="26" t="n"/>
      <c r="P52" s="26" t="n"/>
      <c r="Q52" s="25">
        <f>IF(C52="","",IF(N(N52)+N(O52)+N(P52)=0,"Not split",IF(ROUND(N(N52)+N(O52)+N(P52),2)=ROUND(H52,2),"OK","MISMATCH")))</f>
        <v/>
      </c>
      <c r="R52" s="26" t="n"/>
      <c r="S52" s="26" t="n"/>
      <c r="T52" s="26" t="n"/>
      <c r="U52" s="27">
        <f>IF(C52="","",N(R52)+N(S52)+N(T52))</f>
        <v/>
      </c>
      <c r="V52" s="27">
        <f>IF(C52="","",H52-U52)</f>
        <v/>
      </c>
      <c r="W52" s="29">
        <f>IFERROR(V52/H52,"")</f>
        <v/>
      </c>
      <c r="X52" s="24" t="n"/>
    </row>
    <row r="53" ht="15" customHeight="1">
      <c r="A53" s="68">
        <f>IF(C53="","",IFERROR(IF(SUMPRODUCT(MAX((tbl_Finance[Job Number]=C53&amp;"")*(tbl_Finance[Xero Invoice No]&lt;&gt;"")*tbl_Finance[Date]))=0,"",SUMPRODUCT(MAX((tbl_Finance[Job Number]=C53&amp;"")*(tbl_Finance[Xero Invoice No]&lt;&gt;"")*tbl_Finance[Date]))),""))</f>
        <v/>
      </c>
      <c r="B53" s="25">
        <f>IF(C53="","",IF(COUNTIFS(tbl_Finance[Job Number],C53&amp;"",tbl_Finance[Xero Invoice No],"&lt;&gt;")=0,"",IFERROR(IF(COUNTIFS(tbl_Finance[Job Number],C53&amp;"",tbl_Finance[Xero Invoice No],LOOKUP(2,1/((tbl_Finance[Job Number]=C53&amp;"")*(tbl_Finance[Xero Invoice No]&lt;&gt;"")),tbl_Finance[Xero Invoice No]))=COUNTIFS(tbl_Finance[Job Number],C53&amp;"",tbl_Finance[Xero Invoice No],"&lt;&gt;"),LOOKUP(2,1/((tbl_Finance[Job Number]=C53&amp;"")*(tbl_Finance[Xero Invoice No]&lt;&gt;"")),tbl_Finance[Xero Invoice No]),LOOKUP(2,1/((tbl_Finance[Job Number]=C53&amp;"")*(tbl_Finance[Xero Invoice No]&lt;&gt;"")),tbl_Finance[Xero Invoice No])&amp;" +more"),"")))</f>
        <v/>
      </c>
      <c r="C53" s="24" t="n"/>
      <c r="D53" s="25">
        <f>IF(C53="","",IF(COUNTIF(lst_Jobs,C53&amp;"")&gt;0,"OK","CHECK"))</f>
        <v/>
      </c>
      <c r="E53" s="25">
        <f>IF(C53="","",IFERROR(INDEX(lst_JobName,MATCH(C53&amp;"",lst_Jobs,0)),""))</f>
        <v/>
      </c>
      <c r="F53" s="25">
        <f>IF(C53="","",IFERROR(INDEX(tbl_Finance[Client],MATCH(C53&amp;"",tbl_Finance[Job Number],0)),""))</f>
        <v/>
      </c>
      <c r="G53" s="28">
        <f>IF(C53="","",COUNTIFS(tbl_Finance[Job Number],C53&amp;"",tbl_Finance[Ex GST],"&lt;&gt;"))</f>
        <v/>
      </c>
      <c r="H53" s="27">
        <f>IF(C53="","",SUMIFS(tbl_Finance[Ex GST],tbl_Finance[Job Number],C53&amp;""))</f>
        <v/>
      </c>
      <c r="I53" s="27">
        <f>IF(C53="","",SUMIFS(tbl_Finance[Ex GST],tbl_Finance[Job Number],C53&amp;"",tbl_Finance[Xero Invoice No],"&lt;&gt;"))</f>
        <v/>
      </c>
      <c r="J53" s="27">
        <f>IF(C53="","",H53-I53)</f>
        <v/>
      </c>
      <c r="K53" s="25">
        <f>IF(C53="","",IF(G53=0,"not invoiced yet",SUBSTITUTE(TRIM(IF(COUNTIFS(tbl_Finance[Job Number],C53&amp;"",tbl_Finance[Cost Centre],"ONSITE")&gt;0,"ONSITE ","")&amp;IF(COUNTIFS(tbl_Finance[Job Number],C53&amp;"",tbl_Finance[Cost Centre],"PRODUCTION")&gt;0,"PRODUCTION ","")&amp;IF(COUNTIFS(tbl_Finance[Job Number],C53&amp;"",tbl_Finance[Cost Centre],"VIDEO")&gt;0,"VIDEO ","")&amp;IF(COUNTIFS(tbl_Finance[Job Number],C53&amp;"",tbl_Finance[Cost Centre],"INTEGRATION")&gt;0,"INTEGRATION ","")&amp;IF(COUNTIFS(tbl_Finance[Job Number],C53&amp;"",tbl_Finance[Cost Centre],"CONSULTING")&gt;0,"CONSULTING ","")&amp;IF(COUNTIFS(tbl_Finance[Job Number],C53&amp;"",tbl_Finance[Cost Centre],"CTS")&gt;0,"CTS ",""))," ",", ")))</f>
        <v/>
      </c>
      <c r="L53" s="24" t="n"/>
      <c r="M53" s="25">
        <f>IF(L53="","",HYPERLINK(IF(LEFT(L53,4)="http",L53,set_QwilrBase&amp;L53),"Open quote"))</f>
        <v/>
      </c>
      <c r="N53" s="26" t="n"/>
      <c r="O53" s="26" t="n"/>
      <c r="P53" s="26" t="n"/>
      <c r="Q53" s="25">
        <f>IF(C53="","",IF(N(N53)+N(O53)+N(P53)=0,"Not split",IF(ROUND(N(N53)+N(O53)+N(P53),2)=ROUND(H53,2),"OK","MISMATCH")))</f>
        <v/>
      </c>
      <c r="R53" s="26" t="n"/>
      <c r="S53" s="26" t="n"/>
      <c r="T53" s="26" t="n"/>
      <c r="U53" s="27">
        <f>IF(C53="","",N(R53)+N(S53)+N(T53))</f>
        <v/>
      </c>
      <c r="V53" s="27">
        <f>IF(C53="","",H53-U53)</f>
        <v/>
      </c>
      <c r="W53" s="29">
        <f>IFERROR(V53/H53,"")</f>
        <v/>
      </c>
      <c r="X53" s="24" t="n"/>
    </row>
    <row r="54" ht="15" customHeight="1">
      <c r="A54" s="68">
        <f>IF(C54="","",IFERROR(IF(SUMPRODUCT(MAX((tbl_Finance[Job Number]=C54&amp;"")*(tbl_Finance[Xero Invoice No]&lt;&gt;"")*tbl_Finance[Date]))=0,"",SUMPRODUCT(MAX((tbl_Finance[Job Number]=C54&amp;"")*(tbl_Finance[Xero Invoice No]&lt;&gt;"")*tbl_Finance[Date]))),""))</f>
        <v/>
      </c>
      <c r="B54" s="25">
        <f>IF(C54="","",IF(COUNTIFS(tbl_Finance[Job Number],C54&amp;"",tbl_Finance[Xero Invoice No],"&lt;&gt;")=0,"",IFERROR(IF(COUNTIFS(tbl_Finance[Job Number],C54&amp;"",tbl_Finance[Xero Invoice No],LOOKUP(2,1/((tbl_Finance[Job Number]=C54&amp;"")*(tbl_Finance[Xero Invoice No]&lt;&gt;"")),tbl_Finance[Xero Invoice No]))=COUNTIFS(tbl_Finance[Job Number],C54&amp;"",tbl_Finance[Xero Invoice No],"&lt;&gt;"),LOOKUP(2,1/((tbl_Finance[Job Number]=C54&amp;"")*(tbl_Finance[Xero Invoice No]&lt;&gt;"")),tbl_Finance[Xero Invoice No]),LOOKUP(2,1/((tbl_Finance[Job Number]=C54&amp;"")*(tbl_Finance[Xero Invoice No]&lt;&gt;"")),tbl_Finance[Xero Invoice No])&amp;" +more"),"")))</f>
        <v/>
      </c>
      <c r="C54" s="24" t="n"/>
      <c r="D54" s="25">
        <f>IF(C54="","",IF(COUNTIF(lst_Jobs,C54&amp;"")&gt;0,"OK","CHECK"))</f>
        <v/>
      </c>
      <c r="E54" s="25">
        <f>IF(C54="","",IFERROR(INDEX(lst_JobName,MATCH(C54&amp;"",lst_Jobs,0)),""))</f>
        <v/>
      </c>
      <c r="F54" s="25">
        <f>IF(C54="","",IFERROR(INDEX(tbl_Finance[Client],MATCH(C54&amp;"",tbl_Finance[Job Number],0)),""))</f>
        <v/>
      </c>
      <c r="G54" s="28">
        <f>IF(C54="","",COUNTIFS(tbl_Finance[Job Number],C54&amp;"",tbl_Finance[Ex GST],"&lt;&gt;"))</f>
        <v/>
      </c>
      <c r="H54" s="27">
        <f>IF(C54="","",SUMIFS(tbl_Finance[Ex GST],tbl_Finance[Job Number],C54&amp;""))</f>
        <v/>
      </c>
      <c r="I54" s="27">
        <f>IF(C54="","",SUMIFS(tbl_Finance[Ex GST],tbl_Finance[Job Number],C54&amp;"",tbl_Finance[Xero Invoice No],"&lt;&gt;"))</f>
        <v/>
      </c>
      <c r="J54" s="27">
        <f>IF(C54="","",H54-I54)</f>
        <v/>
      </c>
      <c r="K54" s="25">
        <f>IF(C54="","",IF(G54=0,"not invoiced yet",SUBSTITUTE(TRIM(IF(COUNTIFS(tbl_Finance[Job Number],C54&amp;"",tbl_Finance[Cost Centre],"ONSITE")&gt;0,"ONSITE ","")&amp;IF(COUNTIFS(tbl_Finance[Job Number],C54&amp;"",tbl_Finance[Cost Centre],"PRODUCTION")&gt;0,"PRODUCTION ","")&amp;IF(COUNTIFS(tbl_Finance[Job Number],C54&amp;"",tbl_Finance[Cost Centre],"VIDEO")&gt;0,"VIDEO ","")&amp;IF(COUNTIFS(tbl_Finance[Job Number],C54&amp;"",tbl_Finance[Cost Centre],"INTEGRATION")&gt;0,"INTEGRATION ","")&amp;IF(COUNTIFS(tbl_Finance[Job Number],C54&amp;"",tbl_Finance[Cost Centre],"CONSULTING")&gt;0,"CONSULTING ","")&amp;IF(COUNTIFS(tbl_Finance[Job Number],C54&amp;"",tbl_Finance[Cost Centre],"CTS")&gt;0,"CTS ",""))," ",", ")))</f>
        <v/>
      </c>
      <c r="L54" s="24" t="n"/>
      <c r="M54" s="25">
        <f>IF(L54="","",HYPERLINK(IF(LEFT(L54,4)="http",L54,set_QwilrBase&amp;L54),"Open quote"))</f>
        <v/>
      </c>
      <c r="N54" s="26" t="n"/>
      <c r="O54" s="26" t="n"/>
      <c r="P54" s="26" t="n"/>
      <c r="Q54" s="25">
        <f>IF(C54="","",IF(N(N54)+N(O54)+N(P54)=0,"Not split",IF(ROUND(N(N54)+N(O54)+N(P54),2)=ROUND(H54,2),"OK","MISMATCH")))</f>
        <v/>
      </c>
      <c r="R54" s="26" t="n"/>
      <c r="S54" s="26" t="n"/>
      <c r="T54" s="26" t="n"/>
      <c r="U54" s="27">
        <f>IF(C54="","",N(R54)+N(S54)+N(T54))</f>
        <v/>
      </c>
      <c r="V54" s="27">
        <f>IF(C54="","",H54-U54)</f>
        <v/>
      </c>
      <c r="W54" s="29">
        <f>IFERROR(V54/H54,"")</f>
        <v/>
      </c>
      <c r="X54" s="24" t="n"/>
    </row>
    <row r="55" ht="15" customHeight="1">
      <c r="A55" s="68">
        <f>IF(C55="","",IFERROR(IF(SUMPRODUCT(MAX((tbl_Finance[Job Number]=C55&amp;"")*(tbl_Finance[Xero Invoice No]&lt;&gt;"")*tbl_Finance[Date]))=0,"",SUMPRODUCT(MAX((tbl_Finance[Job Number]=C55&amp;"")*(tbl_Finance[Xero Invoice No]&lt;&gt;"")*tbl_Finance[Date]))),""))</f>
        <v/>
      </c>
      <c r="B55" s="25">
        <f>IF(C55="","",IF(COUNTIFS(tbl_Finance[Job Number],C55&amp;"",tbl_Finance[Xero Invoice No],"&lt;&gt;")=0,"",IFERROR(IF(COUNTIFS(tbl_Finance[Job Number],C55&amp;"",tbl_Finance[Xero Invoice No],LOOKUP(2,1/((tbl_Finance[Job Number]=C55&amp;"")*(tbl_Finance[Xero Invoice No]&lt;&gt;"")),tbl_Finance[Xero Invoice No]))=COUNTIFS(tbl_Finance[Job Number],C55&amp;"",tbl_Finance[Xero Invoice No],"&lt;&gt;"),LOOKUP(2,1/((tbl_Finance[Job Number]=C55&amp;"")*(tbl_Finance[Xero Invoice No]&lt;&gt;"")),tbl_Finance[Xero Invoice No]),LOOKUP(2,1/((tbl_Finance[Job Number]=C55&amp;"")*(tbl_Finance[Xero Invoice No]&lt;&gt;"")),tbl_Finance[Xero Invoice No])&amp;" +more"),"")))</f>
        <v/>
      </c>
      <c r="C55" s="24" t="n"/>
      <c r="D55" s="25">
        <f>IF(C55="","",IF(COUNTIF(lst_Jobs,C55&amp;"")&gt;0,"OK","CHECK"))</f>
        <v/>
      </c>
      <c r="E55" s="25">
        <f>IF(C55="","",IFERROR(INDEX(lst_JobName,MATCH(C55&amp;"",lst_Jobs,0)),""))</f>
        <v/>
      </c>
      <c r="F55" s="25">
        <f>IF(C55="","",IFERROR(INDEX(tbl_Finance[Client],MATCH(C55&amp;"",tbl_Finance[Job Number],0)),""))</f>
        <v/>
      </c>
      <c r="G55" s="28">
        <f>IF(C55="","",COUNTIFS(tbl_Finance[Job Number],C55&amp;"",tbl_Finance[Ex GST],"&lt;&gt;"))</f>
        <v/>
      </c>
      <c r="H55" s="27">
        <f>IF(C55="","",SUMIFS(tbl_Finance[Ex GST],tbl_Finance[Job Number],C55&amp;""))</f>
        <v/>
      </c>
      <c r="I55" s="27">
        <f>IF(C55="","",SUMIFS(tbl_Finance[Ex GST],tbl_Finance[Job Number],C55&amp;"",tbl_Finance[Xero Invoice No],"&lt;&gt;"))</f>
        <v/>
      </c>
      <c r="J55" s="27">
        <f>IF(C55="","",H55-I55)</f>
        <v/>
      </c>
      <c r="K55" s="25">
        <f>IF(C55="","",IF(G55=0,"not invoiced yet",SUBSTITUTE(TRIM(IF(COUNTIFS(tbl_Finance[Job Number],C55&amp;"",tbl_Finance[Cost Centre],"ONSITE")&gt;0,"ONSITE ","")&amp;IF(COUNTIFS(tbl_Finance[Job Number],C55&amp;"",tbl_Finance[Cost Centre],"PRODUCTION")&gt;0,"PRODUCTION ","")&amp;IF(COUNTIFS(tbl_Finance[Job Number],C55&amp;"",tbl_Finance[Cost Centre],"VIDEO")&gt;0,"VIDEO ","")&amp;IF(COUNTIFS(tbl_Finance[Job Number],C55&amp;"",tbl_Finance[Cost Centre],"INTEGRATION")&gt;0,"INTEGRATION ","")&amp;IF(COUNTIFS(tbl_Finance[Job Number],C55&amp;"",tbl_Finance[Cost Centre],"CONSULTING")&gt;0,"CONSULTING ","")&amp;IF(COUNTIFS(tbl_Finance[Job Number],C55&amp;"",tbl_Finance[Cost Centre],"CTS")&gt;0,"CTS ",""))," ",", ")))</f>
        <v/>
      </c>
      <c r="L55" s="24" t="n"/>
      <c r="M55" s="25">
        <f>IF(L55="","",HYPERLINK(IF(LEFT(L55,4)="http",L55,set_QwilrBase&amp;L55),"Open quote"))</f>
        <v/>
      </c>
      <c r="N55" s="26" t="n"/>
      <c r="O55" s="26" t="n"/>
      <c r="P55" s="26" t="n"/>
      <c r="Q55" s="25">
        <f>IF(C55="","",IF(N(N55)+N(O55)+N(P55)=0,"Not split",IF(ROUND(N(N55)+N(O55)+N(P55),2)=ROUND(H55,2),"OK","MISMATCH")))</f>
        <v/>
      </c>
      <c r="R55" s="26" t="n"/>
      <c r="S55" s="26" t="n"/>
      <c r="T55" s="26" t="n"/>
      <c r="U55" s="27">
        <f>IF(C55="","",N(R55)+N(S55)+N(T55))</f>
        <v/>
      </c>
      <c r="V55" s="27">
        <f>IF(C55="","",H55-U55)</f>
        <v/>
      </c>
      <c r="W55" s="29">
        <f>IFERROR(V55/H55,"")</f>
        <v/>
      </c>
      <c r="X55" s="24" t="n"/>
    </row>
    <row r="56" ht="15" customHeight="1">
      <c r="A56" s="68">
        <f>IF(C56="","",IFERROR(IF(SUMPRODUCT(MAX((tbl_Finance[Job Number]=C56&amp;"")*(tbl_Finance[Xero Invoice No]&lt;&gt;"")*tbl_Finance[Date]))=0,"",SUMPRODUCT(MAX((tbl_Finance[Job Number]=C56&amp;"")*(tbl_Finance[Xero Invoice No]&lt;&gt;"")*tbl_Finance[Date]))),""))</f>
        <v/>
      </c>
      <c r="B56" s="25">
        <f>IF(C56="","",IF(COUNTIFS(tbl_Finance[Job Number],C56&amp;"",tbl_Finance[Xero Invoice No],"&lt;&gt;")=0,"",IFERROR(IF(COUNTIFS(tbl_Finance[Job Number],C56&amp;"",tbl_Finance[Xero Invoice No],LOOKUP(2,1/((tbl_Finance[Job Number]=C56&amp;"")*(tbl_Finance[Xero Invoice No]&lt;&gt;"")),tbl_Finance[Xero Invoice No]))=COUNTIFS(tbl_Finance[Job Number],C56&amp;"",tbl_Finance[Xero Invoice No],"&lt;&gt;"),LOOKUP(2,1/((tbl_Finance[Job Number]=C56&amp;"")*(tbl_Finance[Xero Invoice No]&lt;&gt;"")),tbl_Finance[Xero Invoice No]),LOOKUP(2,1/((tbl_Finance[Job Number]=C56&amp;"")*(tbl_Finance[Xero Invoice No]&lt;&gt;"")),tbl_Finance[Xero Invoice No])&amp;" +more"),"")))</f>
        <v/>
      </c>
      <c r="C56" s="24" t="n"/>
      <c r="D56" s="25">
        <f>IF(C56="","",IF(COUNTIF(lst_Jobs,C56&amp;"")&gt;0,"OK","CHECK"))</f>
        <v/>
      </c>
      <c r="E56" s="25">
        <f>IF(C56="","",IFERROR(INDEX(lst_JobName,MATCH(C56&amp;"",lst_Jobs,0)),""))</f>
        <v/>
      </c>
      <c r="F56" s="25">
        <f>IF(C56="","",IFERROR(INDEX(tbl_Finance[Client],MATCH(C56&amp;"",tbl_Finance[Job Number],0)),""))</f>
        <v/>
      </c>
      <c r="G56" s="28">
        <f>IF(C56="","",COUNTIFS(tbl_Finance[Job Number],C56&amp;"",tbl_Finance[Ex GST],"&lt;&gt;"))</f>
        <v/>
      </c>
      <c r="H56" s="27">
        <f>IF(C56="","",SUMIFS(tbl_Finance[Ex GST],tbl_Finance[Job Number],C56&amp;""))</f>
        <v/>
      </c>
      <c r="I56" s="27">
        <f>IF(C56="","",SUMIFS(tbl_Finance[Ex GST],tbl_Finance[Job Number],C56&amp;"",tbl_Finance[Xero Invoice No],"&lt;&gt;"))</f>
        <v/>
      </c>
      <c r="J56" s="27">
        <f>IF(C56="","",H56-I56)</f>
        <v/>
      </c>
      <c r="K56" s="25">
        <f>IF(C56="","",IF(G56=0,"not invoiced yet",SUBSTITUTE(TRIM(IF(COUNTIFS(tbl_Finance[Job Number],C56&amp;"",tbl_Finance[Cost Centre],"ONSITE")&gt;0,"ONSITE ","")&amp;IF(COUNTIFS(tbl_Finance[Job Number],C56&amp;"",tbl_Finance[Cost Centre],"PRODUCTION")&gt;0,"PRODUCTION ","")&amp;IF(COUNTIFS(tbl_Finance[Job Number],C56&amp;"",tbl_Finance[Cost Centre],"VIDEO")&gt;0,"VIDEO ","")&amp;IF(COUNTIFS(tbl_Finance[Job Number],C56&amp;"",tbl_Finance[Cost Centre],"INTEGRATION")&gt;0,"INTEGRATION ","")&amp;IF(COUNTIFS(tbl_Finance[Job Number],C56&amp;"",tbl_Finance[Cost Centre],"CONSULTING")&gt;0,"CONSULTING ","")&amp;IF(COUNTIFS(tbl_Finance[Job Number],C56&amp;"",tbl_Finance[Cost Centre],"CTS")&gt;0,"CTS ",""))," ",", ")))</f>
        <v/>
      </c>
      <c r="L56" s="24" t="n"/>
      <c r="M56" s="25">
        <f>IF(L56="","",HYPERLINK(IF(LEFT(L56,4)="http",L56,set_QwilrBase&amp;L56),"Open quote"))</f>
        <v/>
      </c>
      <c r="N56" s="26" t="n"/>
      <c r="O56" s="26" t="n"/>
      <c r="P56" s="26" t="n"/>
      <c r="Q56" s="25">
        <f>IF(C56="","",IF(N(N56)+N(O56)+N(P56)=0,"Not split",IF(ROUND(N(N56)+N(O56)+N(P56),2)=ROUND(H56,2),"OK","MISMATCH")))</f>
        <v/>
      </c>
      <c r="R56" s="26" t="n"/>
      <c r="S56" s="26" t="n"/>
      <c r="T56" s="26" t="n"/>
      <c r="U56" s="27">
        <f>IF(C56="","",N(R56)+N(S56)+N(T56))</f>
        <v/>
      </c>
      <c r="V56" s="27">
        <f>IF(C56="","",H56-U56)</f>
        <v/>
      </c>
      <c r="W56" s="29">
        <f>IFERROR(V56/H56,"")</f>
        <v/>
      </c>
      <c r="X56" s="24" t="n"/>
    </row>
    <row r="57" ht="15" customHeight="1">
      <c r="A57" s="68">
        <f>IF(C57="","",IFERROR(IF(SUMPRODUCT(MAX((tbl_Finance[Job Number]=C57&amp;"")*(tbl_Finance[Xero Invoice No]&lt;&gt;"")*tbl_Finance[Date]))=0,"",SUMPRODUCT(MAX((tbl_Finance[Job Number]=C57&amp;"")*(tbl_Finance[Xero Invoice No]&lt;&gt;"")*tbl_Finance[Date]))),""))</f>
        <v/>
      </c>
      <c r="B57" s="25">
        <f>IF(C57="","",IF(COUNTIFS(tbl_Finance[Job Number],C57&amp;"",tbl_Finance[Xero Invoice No],"&lt;&gt;")=0,"",IFERROR(IF(COUNTIFS(tbl_Finance[Job Number],C57&amp;"",tbl_Finance[Xero Invoice No],LOOKUP(2,1/((tbl_Finance[Job Number]=C57&amp;"")*(tbl_Finance[Xero Invoice No]&lt;&gt;"")),tbl_Finance[Xero Invoice No]))=COUNTIFS(tbl_Finance[Job Number],C57&amp;"",tbl_Finance[Xero Invoice No],"&lt;&gt;"),LOOKUP(2,1/((tbl_Finance[Job Number]=C57&amp;"")*(tbl_Finance[Xero Invoice No]&lt;&gt;"")),tbl_Finance[Xero Invoice No]),LOOKUP(2,1/((tbl_Finance[Job Number]=C57&amp;"")*(tbl_Finance[Xero Invoice No]&lt;&gt;"")),tbl_Finance[Xero Invoice No])&amp;" +more"),"")))</f>
        <v/>
      </c>
      <c r="C57" s="24" t="n"/>
      <c r="D57" s="25">
        <f>IF(C57="","",IF(COUNTIF(lst_Jobs,C57&amp;"")&gt;0,"OK","CHECK"))</f>
        <v/>
      </c>
      <c r="E57" s="25">
        <f>IF(C57="","",IFERROR(INDEX(lst_JobName,MATCH(C57&amp;"",lst_Jobs,0)),""))</f>
        <v/>
      </c>
      <c r="F57" s="25">
        <f>IF(C57="","",IFERROR(INDEX(tbl_Finance[Client],MATCH(C57&amp;"",tbl_Finance[Job Number],0)),""))</f>
        <v/>
      </c>
      <c r="G57" s="28">
        <f>IF(C57="","",COUNTIFS(tbl_Finance[Job Number],C57&amp;"",tbl_Finance[Ex GST],"&lt;&gt;"))</f>
        <v/>
      </c>
      <c r="H57" s="27">
        <f>IF(C57="","",SUMIFS(tbl_Finance[Ex GST],tbl_Finance[Job Number],C57&amp;""))</f>
        <v/>
      </c>
      <c r="I57" s="27">
        <f>IF(C57="","",SUMIFS(tbl_Finance[Ex GST],tbl_Finance[Job Number],C57&amp;"",tbl_Finance[Xero Invoice No],"&lt;&gt;"))</f>
        <v/>
      </c>
      <c r="J57" s="27">
        <f>IF(C57="","",H57-I57)</f>
        <v/>
      </c>
      <c r="K57" s="25">
        <f>IF(C57="","",IF(G57=0,"not invoiced yet",SUBSTITUTE(TRIM(IF(COUNTIFS(tbl_Finance[Job Number],C57&amp;"",tbl_Finance[Cost Centre],"ONSITE")&gt;0,"ONSITE ","")&amp;IF(COUNTIFS(tbl_Finance[Job Number],C57&amp;"",tbl_Finance[Cost Centre],"PRODUCTION")&gt;0,"PRODUCTION ","")&amp;IF(COUNTIFS(tbl_Finance[Job Number],C57&amp;"",tbl_Finance[Cost Centre],"VIDEO")&gt;0,"VIDEO ","")&amp;IF(COUNTIFS(tbl_Finance[Job Number],C57&amp;"",tbl_Finance[Cost Centre],"INTEGRATION")&gt;0,"INTEGRATION ","")&amp;IF(COUNTIFS(tbl_Finance[Job Number],C57&amp;"",tbl_Finance[Cost Centre],"CONSULTING")&gt;0,"CONSULTING ","")&amp;IF(COUNTIFS(tbl_Finance[Job Number],C57&amp;"",tbl_Finance[Cost Centre],"CTS")&gt;0,"CTS ",""))," ",", ")))</f>
        <v/>
      </c>
      <c r="L57" s="24" t="n"/>
      <c r="M57" s="25">
        <f>IF(L57="","",HYPERLINK(IF(LEFT(L57,4)="http",L57,set_QwilrBase&amp;L57),"Open quote"))</f>
        <v/>
      </c>
      <c r="N57" s="26" t="n"/>
      <c r="O57" s="26" t="n"/>
      <c r="P57" s="26" t="n"/>
      <c r="Q57" s="25">
        <f>IF(C57="","",IF(N(N57)+N(O57)+N(P57)=0,"Not split",IF(ROUND(N(N57)+N(O57)+N(P57),2)=ROUND(H57,2),"OK","MISMATCH")))</f>
        <v/>
      </c>
      <c r="R57" s="26" t="n"/>
      <c r="S57" s="26" t="n"/>
      <c r="T57" s="26" t="n"/>
      <c r="U57" s="27">
        <f>IF(C57="","",N(R57)+N(S57)+N(T57))</f>
        <v/>
      </c>
      <c r="V57" s="27">
        <f>IF(C57="","",H57-U57)</f>
        <v/>
      </c>
      <c r="W57" s="29">
        <f>IFERROR(V57/H57,"")</f>
        <v/>
      </c>
      <c r="X57" s="24" t="n"/>
    </row>
    <row r="58" ht="15" customHeight="1">
      <c r="A58" s="68">
        <f>IF(C58="","",IFERROR(IF(SUMPRODUCT(MAX((tbl_Finance[Job Number]=C58&amp;"")*(tbl_Finance[Xero Invoice No]&lt;&gt;"")*tbl_Finance[Date]))=0,"",SUMPRODUCT(MAX((tbl_Finance[Job Number]=C58&amp;"")*(tbl_Finance[Xero Invoice No]&lt;&gt;"")*tbl_Finance[Date]))),""))</f>
        <v/>
      </c>
      <c r="B58" s="25">
        <f>IF(C58="","",IF(COUNTIFS(tbl_Finance[Job Number],C58&amp;"",tbl_Finance[Xero Invoice No],"&lt;&gt;")=0,"",IFERROR(IF(COUNTIFS(tbl_Finance[Job Number],C58&amp;"",tbl_Finance[Xero Invoice No],LOOKUP(2,1/((tbl_Finance[Job Number]=C58&amp;"")*(tbl_Finance[Xero Invoice No]&lt;&gt;"")),tbl_Finance[Xero Invoice No]))=COUNTIFS(tbl_Finance[Job Number],C58&amp;"",tbl_Finance[Xero Invoice No],"&lt;&gt;"),LOOKUP(2,1/((tbl_Finance[Job Number]=C58&amp;"")*(tbl_Finance[Xero Invoice No]&lt;&gt;"")),tbl_Finance[Xero Invoice No]),LOOKUP(2,1/((tbl_Finance[Job Number]=C58&amp;"")*(tbl_Finance[Xero Invoice No]&lt;&gt;"")),tbl_Finance[Xero Invoice No])&amp;" +more"),"")))</f>
        <v/>
      </c>
      <c r="C58" s="24" t="n"/>
      <c r="D58" s="25">
        <f>IF(C58="","",IF(COUNTIF(lst_Jobs,C58&amp;"")&gt;0,"OK","CHECK"))</f>
        <v/>
      </c>
      <c r="E58" s="25">
        <f>IF(C58="","",IFERROR(INDEX(lst_JobName,MATCH(C58&amp;"",lst_Jobs,0)),""))</f>
        <v/>
      </c>
      <c r="F58" s="25">
        <f>IF(C58="","",IFERROR(INDEX(tbl_Finance[Client],MATCH(C58&amp;"",tbl_Finance[Job Number],0)),""))</f>
        <v/>
      </c>
      <c r="G58" s="28">
        <f>IF(C58="","",COUNTIFS(tbl_Finance[Job Number],C58&amp;"",tbl_Finance[Ex GST],"&lt;&gt;"))</f>
        <v/>
      </c>
      <c r="H58" s="27">
        <f>IF(C58="","",SUMIFS(tbl_Finance[Ex GST],tbl_Finance[Job Number],C58&amp;""))</f>
        <v/>
      </c>
      <c r="I58" s="27">
        <f>IF(C58="","",SUMIFS(tbl_Finance[Ex GST],tbl_Finance[Job Number],C58&amp;"",tbl_Finance[Xero Invoice No],"&lt;&gt;"))</f>
        <v/>
      </c>
      <c r="J58" s="27">
        <f>IF(C58="","",H58-I58)</f>
        <v/>
      </c>
      <c r="K58" s="25">
        <f>IF(C58="","",IF(G58=0,"not invoiced yet",SUBSTITUTE(TRIM(IF(COUNTIFS(tbl_Finance[Job Number],C58&amp;"",tbl_Finance[Cost Centre],"ONSITE")&gt;0,"ONSITE ","")&amp;IF(COUNTIFS(tbl_Finance[Job Number],C58&amp;"",tbl_Finance[Cost Centre],"PRODUCTION")&gt;0,"PRODUCTION ","")&amp;IF(COUNTIFS(tbl_Finance[Job Number],C58&amp;"",tbl_Finance[Cost Centre],"VIDEO")&gt;0,"VIDEO ","")&amp;IF(COUNTIFS(tbl_Finance[Job Number],C58&amp;"",tbl_Finance[Cost Centre],"INTEGRATION")&gt;0,"INTEGRATION ","")&amp;IF(COUNTIFS(tbl_Finance[Job Number],C58&amp;"",tbl_Finance[Cost Centre],"CONSULTING")&gt;0,"CONSULTING ","")&amp;IF(COUNTIFS(tbl_Finance[Job Number],C58&amp;"",tbl_Finance[Cost Centre],"CTS")&gt;0,"CTS ",""))," ",", ")))</f>
        <v/>
      </c>
      <c r="L58" s="24" t="n"/>
      <c r="M58" s="25">
        <f>IF(L58="","",HYPERLINK(IF(LEFT(L58,4)="http",L58,set_QwilrBase&amp;L58),"Open quote"))</f>
        <v/>
      </c>
      <c r="N58" s="26" t="n"/>
      <c r="O58" s="26" t="n"/>
      <c r="P58" s="26" t="n"/>
      <c r="Q58" s="25">
        <f>IF(C58="","",IF(N(N58)+N(O58)+N(P58)=0,"Not split",IF(ROUND(N(N58)+N(O58)+N(P58),2)=ROUND(H58,2),"OK","MISMATCH")))</f>
        <v/>
      </c>
      <c r="R58" s="26" t="n"/>
      <c r="S58" s="26" t="n"/>
      <c r="T58" s="26" t="n"/>
      <c r="U58" s="27">
        <f>IF(C58="","",N(R58)+N(S58)+N(T58))</f>
        <v/>
      </c>
      <c r="V58" s="27">
        <f>IF(C58="","",H58-U58)</f>
        <v/>
      </c>
      <c r="W58" s="29">
        <f>IFERROR(V58/H58,"")</f>
        <v/>
      </c>
      <c r="X58" s="24" t="n"/>
    </row>
    <row r="59" ht="15" customHeight="1">
      <c r="A59" s="68">
        <f>IF(C59="","",IFERROR(IF(SUMPRODUCT(MAX((tbl_Finance[Job Number]=C59&amp;"")*(tbl_Finance[Xero Invoice No]&lt;&gt;"")*tbl_Finance[Date]))=0,"",SUMPRODUCT(MAX((tbl_Finance[Job Number]=C59&amp;"")*(tbl_Finance[Xero Invoice No]&lt;&gt;"")*tbl_Finance[Date]))),""))</f>
        <v/>
      </c>
      <c r="B59" s="25">
        <f>IF(C59="","",IF(COUNTIFS(tbl_Finance[Job Number],C59&amp;"",tbl_Finance[Xero Invoice No],"&lt;&gt;")=0,"",IFERROR(IF(COUNTIFS(tbl_Finance[Job Number],C59&amp;"",tbl_Finance[Xero Invoice No],LOOKUP(2,1/((tbl_Finance[Job Number]=C59&amp;"")*(tbl_Finance[Xero Invoice No]&lt;&gt;"")),tbl_Finance[Xero Invoice No]))=COUNTIFS(tbl_Finance[Job Number],C59&amp;"",tbl_Finance[Xero Invoice No],"&lt;&gt;"),LOOKUP(2,1/((tbl_Finance[Job Number]=C59&amp;"")*(tbl_Finance[Xero Invoice No]&lt;&gt;"")),tbl_Finance[Xero Invoice No]),LOOKUP(2,1/((tbl_Finance[Job Number]=C59&amp;"")*(tbl_Finance[Xero Invoice No]&lt;&gt;"")),tbl_Finance[Xero Invoice No])&amp;" +more"),"")))</f>
        <v/>
      </c>
      <c r="C59" s="24" t="n"/>
      <c r="D59" s="25">
        <f>IF(C59="","",IF(COUNTIF(lst_Jobs,C59&amp;"")&gt;0,"OK","CHECK"))</f>
        <v/>
      </c>
      <c r="E59" s="25">
        <f>IF(C59="","",IFERROR(INDEX(lst_JobName,MATCH(C59&amp;"",lst_Jobs,0)),""))</f>
        <v/>
      </c>
      <c r="F59" s="25">
        <f>IF(C59="","",IFERROR(INDEX(tbl_Finance[Client],MATCH(C59&amp;"",tbl_Finance[Job Number],0)),""))</f>
        <v/>
      </c>
      <c r="G59" s="28">
        <f>IF(C59="","",COUNTIFS(tbl_Finance[Job Number],C59&amp;"",tbl_Finance[Ex GST],"&lt;&gt;"))</f>
        <v/>
      </c>
      <c r="H59" s="27">
        <f>IF(C59="","",SUMIFS(tbl_Finance[Ex GST],tbl_Finance[Job Number],C59&amp;""))</f>
        <v/>
      </c>
      <c r="I59" s="27">
        <f>IF(C59="","",SUMIFS(tbl_Finance[Ex GST],tbl_Finance[Job Number],C59&amp;"",tbl_Finance[Xero Invoice No],"&lt;&gt;"))</f>
        <v/>
      </c>
      <c r="J59" s="27">
        <f>IF(C59="","",H59-I59)</f>
        <v/>
      </c>
      <c r="K59" s="25">
        <f>IF(C59="","",IF(G59=0,"not invoiced yet",SUBSTITUTE(TRIM(IF(COUNTIFS(tbl_Finance[Job Number],C59&amp;"",tbl_Finance[Cost Centre],"ONSITE")&gt;0,"ONSITE ","")&amp;IF(COUNTIFS(tbl_Finance[Job Number],C59&amp;"",tbl_Finance[Cost Centre],"PRODUCTION")&gt;0,"PRODUCTION ","")&amp;IF(COUNTIFS(tbl_Finance[Job Number],C59&amp;"",tbl_Finance[Cost Centre],"VIDEO")&gt;0,"VIDEO ","")&amp;IF(COUNTIFS(tbl_Finance[Job Number],C59&amp;"",tbl_Finance[Cost Centre],"INTEGRATION")&gt;0,"INTEGRATION ","")&amp;IF(COUNTIFS(tbl_Finance[Job Number],C59&amp;"",tbl_Finance[Cost Centre],"CONSULTING")&gt;0,"CONSULTING ","")&amp;IF(COUNTIFS(tbl_Finance[Job Number],C59&amp;"",tbl_Finance[Cost Centre],"CTS")&gt;0,"CTS ",""))," ",", ")))</f>
        <v/>
      </c>
      <c r="L59" s="24" t="n"/>
      <c r="M59" s="25">
        <f>IF(L59="","",HYPERLINK(IF(LEFT(L59,4)="http",L59,set_QwilrBase&amp;L59),"Open quote"))</f>
        <v/>
      </c>
      <c r="N59" s="26" t="n"/>
      <c r="O59" s="26" t="n"/>
      <c r="P59" s="26" t="n"/>
      <c r="Q59" s="25">
        <f>IF(C59="","",IF(N(N59)+N(O59)+N(P59)=0,"Not split",IF(ROUND(N(N59)+N(O59)+N(P59),2)=ROUND(H59,2),"OK","MISMATCH")))</f>
        <v/>
      </c>
      <c r="R59" s="26" t="n"/>
      <c r="S59" s="26" t="n"/>
      <c r="T59" s="26" t="n"/>
      <c r="U59" s="27">
        <f>IF(C59="","",N(R59)+N(S59)+N(T59))</f>
        <v/>
      </c>
      <c r="V59" s="27">
        <f>IF(C59="","",H59-U59)</f>
        <v/>
      </c>
      <c r="W59" s="29">
        <f>IFERROR(V59/H59,"")</f>
        <v/>
      </c>
      <c r="X59" s="24" t="n"/>
    </row>
    <row r="60" ht="15" customHeight="1">
      <c r="A60" s="68">
        <f>IF(C60="","",IFERROR(IF(SUMPRODUCT(MAX((tbl_Finance[Job Number]=C60&amp;"")*(tbl_Finance[Xero Invoice No]&lt;&gt;"")*tbl_Finance[Date]))=0,"",SUMPRODUCT(MAX((tbl_Finance[Job Number]=C60&amp;"")*(tbl_Finance[Xero Invoice No]&lt;&gt;"")*tbl_Finance[Date]))),""))</f>
        <v/>
      </c>
      <c r="B60" s="25">
        <f>IF(C60="","",IF(COUNTIFS(tbl_Finance[Job Number],C60&amp;"",tbl_Finance[Xero Invoice No],"&lt;&gt;")=0,"",IFERROR(IF(COUNTIFS(tbl_Finance[Job Number],C60&amp;"",tbl_Finance[Xero Invoice No],LOOKUP(2,1/((tbl_Finance[Job Number]=C60&amp;"")*(tbl_Finance[Xero Invoice No]&lt;&gt;"")),tbl_Finance[Xero Invoice No]))=COUNTIFS(tbl_Finance[Job Number],C60&amp;"",tbl_Finance[Xero Invoice No],"&lt;&gt;"),LOOKUP(2,1/((tbl_Finance[Job Number]=C60&amp;"")*(tbl_Finance[Xero Invoice No]&lt;&gt;"")),tbl_Finance[Xero Invoice No]),LOOKUP(2,1/((tbl_Finance[Job Number]=C60&amp;"")*(tbl_Finance[Xero Invoice No]&lt;&gt;"")),tbl_Finance[Xero Invoice No])&amp;" +more"),"")))</f>
        <v/>
      </c>
      <c r="C60" s="24" t="n"/>
      <c r="D60" s="25">
        <f>IF(C60="","",IF(COUNTIF(lst_Jobs,C60&amp;"")&gt;0,"OK","CHECK"))</f>
        <v/>
      </c>
      <c r="E60" s="25">
        <f>IF(C60="","",IFERROR(INDEX(lst_JobName,MATCH(C60&amp;"",lst_Jobs,0)),""))</f>
        <v/>
      </c>
      <c r="F60" s="25">
        <f>IF(C60="","",IFERROR(INDEX(tbl_Finance[Client],MATCH(C60&amp;"",tbl_Finance[Job Number],0)),""))</f>
        <v/>
      </c>
      <c r="G60" s="28">
        <f>IF(C60="","",COUNTIFS(tbl_Finance[Job Number],C60&amp;"",tbl_Finance[Ex GST],"&lt;&gt;"))</f>
        <v/>
      </c>
      <c r="H60" s="27">
        <f>IF(C60="","",SUMIFS(tbl_Finance[Ex GST],tbl_Finance[Job Number],C60&amp;""))</f>
        <v/>
      </c>
      <c r="I60" s="27">
        <f>IF(C60="","",SUMIFS(tbl_Finance[Ex GST],tbl_Finance[Job Number],C60&amp;"",tbl_Finance[Xero Invoice No],"&lt;&gt;"))</f>
        <v/>
      </c>
      <c r="J60" s="27">
        <f>IF(C60="","",H60-I60)</f>
        <v/>
      </c>
      <c r="K60" s="25">
        <f>IF(C60="","",IF(G60=0,"not invoiced yet",SUBSTITUTE(TRIM(IF(COUNTIFS(tbl_Finance[Job Number],C60&amp;"",tbl_Finance[Cost Centre],"ONSITE")&gt;0,"ONSITE ","")&amp;IF(COUNTIFS(tbl_Finance[Job Number],C60&amp;"",tbl_Finance[Cost Centre],"PRODUCTION")&gt;0,"PRODUCTION ","")&amp;IF(COUNTIFS(tbl_Finance[Job Number],C60&amp;"",tbl_Finance[Cost Centre],"VIDEO")&gt;0,"VIDEO ","")&amp;IF(COUNTIFS(tbl_Finance[Job Number],C60&amp;"",tbl_Finance[Cost Centre],"INTEGRATION")&gt;0,"INTEGRATION ","")&amp;IF(COUNTIFS(tbl_Finance[Job Number],C60&amp;"",tbl_Finance[Cost Centre],"CONSULTING")&gt;0,"CONSULTING ","")&amp;IF(COUNTIFS(tbl_Finance[Job Number],C60&amp;"",tbl_Finance[Cost Centre],"CTS")&gt;0,"CTS ",""))," ",", ")))</f>
        <v/>
      </c>
      <c r="L60" s="24" t="n"/>
      <c r="M60" s="25">
        <f>IF(L60="","",HYPERLINK(IF(LEFT(L60,4)="http",L60,set_QwilrBase&amp;L60),"Open quote"))</f>
        <v/>
      </c>
      <c r="N60" s="26" t="n"/>
      <c r="O60" s="26" t="n"/>
      <c r="P60" s="26" t="n"/>
      <c r="Q60" s="25">
        <f>IF(C60="","",IF(N(N60)+N(O60)+N(P60)=0,"Not split",IF(ROUND(N(N60)+N(O60)+N(P60),2)=ROUND(H60,2),"OK","MISMATCH")))</f>
        <v/>
      </c>
      <c r="R60" s="26" t="n"/>
      <c r="S60" s="26" t="n"/>
      <c r="T60" s="26" t="n"/>
      <c r="U60" s="27">
        <f>IF(C60="","",N(R60)+N(S60)+N(T60))</f>
        <v/>
      </c>
      <c r="V60" s="27">
        <f>IF(C60="","",H60-U60)</f>
        <v/>
      </c>
      <c r="W60" s="29">
        <f>IFERROR(V60/H60,"")</f>
        <v/>
      </c>
      <c r="X60" s="24" t="n"/>
    </row>
    <row r="61" ht="15" customHeight="1">
      <c r="A61" s="68">
        <f>IF(C61="","",IFERROR(IF(SUMPRODUCT(MAX((tbl_Finance[Job Number]=C61&amp;"")*(tbl_Finance[Xero Invoice No]&lt;&gt;"")*tbl_Finance[Date]))=0,"",SUMPRODUCT(MAX((tbl_Finance[Job Number]=C61&amp;"")*(tbl_Finance[Xero Invoice No]&lt;&gt;"")*tbl_Finance[Date]))),""))</f>
        <v/>
      </c>
      <c r="B61" s="25">
        <f>IF(C61="","",IF(COUNTIFS(tbl_Finance[Job Number],C61&amp;"",tbl_Finance[Xero Invoice No],"&lt;&gt;")=0,"",IFERROR(IF(COUNTIFS(tbl_Finance[Job Number],C61&amp;"",tbl_Finance[Xero Invoice No],LOOKUP(2,1/((tbl_Finance[Job Number]=C61&amp;"")*(tbl_Finance[Xero Invoice No]&lt;&gt;"")),tbl_Finance[Xero Invoice No]))=COUNTIFS(tbl_Finance[Job Number],C61&amp;"",tbl_Finance[Xero Invoice No],"&lt;&gt;"),LOOKUP(2,1/((tbl_Finance[Job Number]=C61&amp;"")*(tbl_Finance[Xero Invoice No]&lt;&gt;"")),tbl_Finance[Xero Invoice No]),LOOKUP(2,1/((tbl_Finance[Job Number]=C61&amp;"")*(tbl_Finance[Xero Invoice No]&lt;&gt;"")),tbl_Finance[Xero Invoice No])&amp;" +more"),"")))</f>
        <v/>
      </c>
      <c r="C61" s="24" t="n"/>
      <c r="D61" s="25">
        <f>IF(C61="","",IF(COUNTIF(lst_Jobs,C61&amp;"")&gt;0,"OK","CHECK"))</f>
        <v/>
      </c>
      <c r="E61" s="25">
        <f>IF(C61="","",IFERROR(INDEX(lst_JobName,MATCH(C61&amp;"",lst_Jobs,0)),""))</f>
        <v/>
      </c>
      <c r="F61" s="25">
        <f>IF(C61="","",IFERROR(INDEX(tbl_Finance[Client],MATCH(C61&amp;"",tbl_Finance[Job Number],0)),""))</f>
        <v/>
      </c>
      <c r="G61" s="28">
        <f>IF(C61="","",COUNTIFS(tbl_Finance[Job Number],C61&amp;"",tbl_Finance[Ex GST],"&lt;&gt;"))</f>
        <v/>
      </c>
      <c r="H61" s="27">
        <f>IF(C61="","",SUMIFS(tbl_Finance[Ex GST],tbl_Finance[Job Number],C61&amp;""))</f>
        <v/>
      </c>
      <c r="I61" s="27">
        <f>IF(C61="","",SUMIFS(tbl_Finance[Ex GST],tbl_Finance[Job Number],C61&amp;"",tbl_Finance[Xero Invoice No],"&lt;&gt;"))</f>
        <v/>
      </c>
      <c r="J61" s="27">
        <f>IF(C61="","",H61-I61)</f>
        <v/>
      </c>
      <c r="K61" s="25">
        <f>IF(C61="","",IF(G61=0,"not invoiced yet",SUBSTITUTE(TRIM(IF(COUNTIFS(tbl_Finance[Job Number],C61&amp;"",tbl_Finance[Cost Centre],"ONSITE")&gt;0,"ONSITE ","")&amp;IF(COUNTIFS(tbl_Finance[Job Number],C61&amp;"",tbl_Finance[Cost Centre],"PRODUCTION")&gt;0,"PRODUCTION ","")&amp;IF(COUNTIFS(tbl_Finance[Job Number],C61&amp;"",tbl_Finance[Cost Centre],"VIDEO")&gt;0,"VIDEO ","")&amp;IF(COUNTIFS(tbl_Finance[Job Number],C61&amp;"",tbl_Finance[Cost Centre],"INTEGRATION")&gt;0,"INTEGRATION ","")&amp;IF(COUNTIFS(tbl_Finance[Job Number],C61&amp;"",tbl_Finance[Cost Centre],"CONSULTING")&gt;0,"CONSULTING ","")&amp;IF(COUNTIFS(tbl_Finance[Job Number],C61&amp;"",tbl_Finance[Cost Centre],"CTS")&gt;0,"CTS ",""))," ",", ")))</f>
        <v/>
      </c>
      <c r="L61" s="24" t="n"/>
      <c r="M61" s="25">
        <f>IF(L61="","",HYPERLINK(IF(LEFT(L61,4)="http",L61,set_QwilrBase&amp;L61),"Open quote"))</f>
        <v/>
      </c>
      <c r="N61" s="26" t="n"/>
      <c r="O61" s="26" t="n"/>
      <c r="P61" s="26" t="n"/>
      <c r="Q61" s="25">
        <f>IF(C61="","",IF(N(N61)+N(O61)+N(P61)=0,"Not split",IF(ROUND(N(N61)+N(O61)+N(P61),2)=ROUND(H61,2),"OK","MISMATCH")))</f>
        <v/>
      </c>
      <c r="R61" s="26" t="n"/>
      <c r="S61" s="26" t="n"/>
      <c r="T61" s="26" t="n"/>
      <c r="U61" s="27">
        <f>IF(C61="","",N(R61)+N(S61)+N(T61))</f>
        <v/>
      </c>
      <c r="V61" s="27">
        <f>IF(C61="","",H61-U61)</f>
        <v/>
      </c>
      <c r="W61" s="29">
        <f>IFERROR(V61/H61,"")</f>
        <v/>
      </c>
      <c r="X61" s="24" t="n"/>
    </row>
    <row r="62" ht="15" customHeight="1">
      <c r="A62" s="68">
        <f>IF(C62="","",IFERROR(IF(SUMPRODUCT(MAX((tbl_Finance[Job Number]=C62&amp;"")*(tbl_Finance[Xero Invoice No]&lt;&gt;"")*tbl_Finance[Date]))=0,"",SUMPRODUCT(MAX((tbl_Finance[Job Number]=C62&amp;"")*(tbl_Finance[Xero Invoice No]&lt;&gt;"")*tbl_Finance[Date]))),""))</f>
        <v/>
      </c>
      <c r="B62" s="25">
        <f>IF(C62="","",IF(COUNTIFS(tbl_Finance[Job Number],C62&amp;"",tbl_Finance[Xero Invoice No],"&lt;&gt;")=0,"",IFERROR(IF(COUNTIFS(tbl_Finance[Job Number],C62&amp;"",tbl_Finance[Xero Invoice No],LOOKUP(2,1/((tbl_Finance[Job Number]=C62&amp;"")*(tbl_Finance[Xero Invoice No]&lt;&gt;"")),tbl_Finance[Xero Invoice No]))=COUNTIFS(tbl_Finance[Job Number],C62&amp;"",tbl_Finance[Xero Invoice No],"&lt;&gt;"),LOOKUP(2,1/((tbl_Finance[Job Number]=C62&amp;"")*(tbl_Finance[Xero Invoice No]&lt;&gt;"")),tbl_Finance[Xero Invoice No]),LOOKUP(2,1/((tbl_Finance[Job Number]=C62&amp;"")*(tbl_Finance[Xero Invoice No]&lt;&gt;"")),tbl_Finance[Xero Invoice No])&amp;" +more"),"")))</f>
        <v/>
      </c>
      <c r="C62" s="24" t="n"/>
      <c r="D62" s="25">
        <f>IF(C62="","",IF(COUNTIF(lst_Jobs,C62&amp;"")&gt;0,"OK","CHECK"))</f>
        <v/>
      </c>
      <c r="E62" s="25">
        <f>IF(C62="","",IFERROR(INDEX(lst_JobName,MATCH(C62&amp;"",lst_Jobs,0)),""))</f>
        <v/>
      </c>
      <c r="F62" s="25">
        <f>IF(C62="","",IFERROR(INDEX(tbl_Finance[Client],MATCH(C62&amp;"",tbl_Finance[Job Number],0)),""))</f>
        <v/>
      </c>
      <c r="G62" s="28">
        <f>IF(C62="","",COUNTIFS(tbl_Finance[Job Number],C62&amp;"",tbl_Finance[Ex GST],"&lt;&gt;"))</f>
        <v/>
      </c>
      <c r="H62" s="27">
        <f>IF(C62="","",SUMIFS(tbl_Finance[Ex GST],tbl_Finance[Job Number],C62&amp;""))</f>
        <v/>
      </c>
      <c r="I62" s="27">
        <f>IF(C62="","",SUMIFS(tbl_Finance[Ex GST],tbl_Finance[Job Number],C62&amp;"",tbl_Finance[Xero Invoice No],"&lt;&gt;"))</f>
        <v/>
      </c>
      <c r="J62" s="27">
        <f>IF(C62="","",H62-I62)</f>
        <v/>
      </c>
      <c r="K62" s="25">
        <f>IF(C62="","",IF(G62=0,"not invoiced yet",SUBSTITUTE(TRIM(IF(COUNTIFS(tbl_Finance[Job Number],C62&amp;"",tbl_Finance[Cost Centre],"ONSITE")&gt;0,"ONSITE ","")&amp;IF(COUNTIFS(tbl_Finance[Job Number],C62&amp;"",tbl_Finance[Cost Centre],"PRODUCTION")&gt;0,"PRODUCTION ","")&amp;IF(COUNTIFS(tbl_Finance[Job Number],C62&amp;"",tbl_Finance[Cost Centre],"VIDEO")&gt;0,"VIDEO ","")&amp;IF(COUNTIFS(tbl_Finance[Job Number],C62&amp;"",tbl_Finance[Cost Centre],"INTEGRATION")&gt;0,"INTEGRATION ","")&amp;IF(COUNTIFS(tbl_Finance[Job Number],C62&amp;"",tbl_Finance[Cost Centre],"CONSULTING")&gt;0,"CONSULTING ","")&amp;IF(COUNTIFS(tbl_Finance[Job Number],C62&amp;"",tbl_Finance[Cost Centre],"CTS")&gt;0,"CTS ",""))," ",", ")))</f>
        <v/>
      </c>
      <c r="L62" s="24" t="n"/>
      <c r="M62" s="25">
        <f>IF(L62="","",HYPERLINK(IF(LEFT(L62,4)="http",L62,set_QwilrBase&amp;L62),"Open quote"))</f>
        <v/>
      </c>
      <c r="N62" s="26" t="n"/>
      <c r="O62" s="26" t="n"/>
      <c r="P62" s="26" t="n"/>
      <c r="Q62" s="25">
        <f>IF(C62="","",IF(N(N62)+N(O62)+N(P62)=0,"Not split",IF(ROUND(N(N62)+N(O62)+N(P62),2)=ROUND(H62,2),"OK","MISMATCH")))</f>
        <v/>
      </c>
      <c r="R62" s="26" t="n"/>
      <c r="S62" s="26" t="n"/>
      <c r="T62" s="26" t="n"/>
      <c r="U62" s="27">
        <f>IF(C62="","",N(R62)+N(S62)+N(T62))</f>
        <v/>
      </c>
      <c r="V62" s="27">
        <f>IF(C62="","",H62-U62)</f>
        <v/>
      </c>
      <c r="W62" s="29">
        <f>IFERROR(V62/H62,"")</f>
        <v/>
      </c>
      <c r="X62" s="24" t="n"/>
    </row>
    <row r="63" ht="15" customHeight="1">
      <c r="A63" s="68">
        <f>IF(C63="","",IFERROR(IF(SUMPRODUCT(MAX((tbl_Finance[Job Number]=C63&amp;"")*(tbl_Finance[Xero Invoice No]&lt;&gt;"")*tbl_Finance[Date]))=0,"",SUMPRODUCT(MAX((tbl_Finance[Job Number]=C63&amp;"")*(tbl_Finance[Xero Invoice No]&lt;&gt;"")*tbl_Finance[Date]))),""))</f>
        <v/>
      </c>
      <c r="B63" s="25">
        <f>IF(C63="","",IF(COUNTIFS(tbl_Finance[Job Number],C63&amp;"",tbl_Finance[Xero Invoice No],"&lt;&gt;")=0,"",IFERROR(IF(COUNTIFS(tbl_Finance[Job Number],C63&amp;"",tbl_Finance[Xero Invoice No],LOOKUP(2,1/((tbl_Finance[Job Number]=C63&amp;"")*(tbl_Finance[Xero Invoice No]&lt;&gt;"")),tbl_Finance[Xero Invoice No]))=COUNTIFS(tbl_Finance[Job Number],C63&amp;"",tbl_Finance[Xero Invoice No],"&lt;&gt;"),LOOKUP(2,1/((tbl_Finance[Job Number]=C63&amp;"")*(tbl_Finance[Xero Invoice No]&lt;&gt;"")),tbl_Finance[Xero Invoice No]),LOOKUP(2,1/((tbl_Finance[Job Number]=C63&amp;"")*(tbl_Finance[Xero Invoice No]&lt;&gt;"")),tbl_Finance[Xero Invoice No])&amp;" +more"),"")))</f>
        <v/>
      </c>
      <c r="C63" s="24" t="n"/>
      <c r="D63" s="25">
        <f>IF(C63="","",IF(COUNTIF(lst_Jobs,C63&amp;"")&gt;0,"OK","CHECK"))</f>
        <v/>
      </c>
      <c r="E63" s="25">
        <f>IF(C63="","",IFERROR(INDEX(lst_JobName,MATCH(C63&amp;"",lst_Jobs,0)),""))</f>
        <v/>
      </c>
      <c r="F63" s="25">
        <f>IF(C63="","",IFERROR(INDEX(tbl_Finance[Client],MATCH(C63&amp;"",tbl_Finance[Job Number],0)),""))</f>
        <v/>
      </c>
      <c r="G63" s="28">
        <f>IF(C63="","",COUNTIFS(tbl_Finance[Job Number],C63&amp;"",tbl_Finance[Ex GST],"&lt;&gt;"))</f>
        <v/>
      </c>
      <c r="H63" s="27">
        <f>IF(C63="","",SUMIFS(tbl_Finance[Ex GST],tbl_Finance[Job Number],C63&amp;""))</f>
        <v/>
      </c>
      <c r="I63" s="27">
        <f>IF(C63="","",SUMIFS(tbl_Finance[Ex GST],tbl_Finance[Job Number],C63&amp;"",tbl_Finance[Xero Invoice No],"&lt;&gt;"))</f>
        <v/>
      </c>
      <c r="J63" s="27">
        <f>IF(C63="","",H63-I63)</f>
        <v/>
      </c>
      <c r="K63" s="25">
        <f>IF(C63="","",IF(G63=0,"not invoiced yet",SUBSTITUTE(TRIM(IF(COUNTIFS(tbl_Finance[Job Number],C63&amp;"",tbl_Finance[Cost Centre],"ONSITE")&gt;0,"ONSITE ","")&amp;IF(COUNTIFS(tbl_Finance[Job Number],C63&amp;"",tbl_Finance[Cost Centre],"PRODUCTION")&gt;0,"PRODUCTION ","")&amp;IF(COUNTIFS(tbl_Finance[Job Number],C63&amp;"",tbl_Finance[Cost Centre],"VIDEO")&gt;0,"VIDEO ","")&amp;IF(COUNTIFS(tbl_Finance[Job Number],C63&amp;"",tbl_Finance[Cost Centre],"INTEGRATION")&gt;0,"INTEGRATION ","")&amp;IF(COUNTIFS(tbl_Finance[Job Number],C63&amp;"",tbl_Finance[Cost Centre],"CONSULTING")&gt;0,"CONSULTING ","")&amp;IF(COUNTIFS(tbl_Finance[Job Number],C63&amp;"",tbl_Finance[Cost Centre],"CTS")&gt;0,"CTS ",""))," ",", ")))</f>
        <v/>
      </c>
      <c r="L63" s="24" t="n"/>
      <c r="M63" s="25">
        <f>IF(L63="","",HYPERLINK(IF(LEFT(L63,4)="http",L63,set_QwilrBase&amp;L63),"Open quote"))</f>
        <v/>
      </c>
      <c r="N63" s="26" t="n"/>
      <c r="O63" s="26" t="n"/>
      <c r="P63" s="26" t="n"/>
      <c r="Q63" s="25">
        <f>IF(C63="","",IF(N(N63)+N(O63)+N(P63)=0,"Not split",IF(ROUND(N(N63)+N(O63)+N(P63),2)=ROUND(H63,2),"OK","MISMATCH")))</f>
        <v/>
      </c>
      <c r="R63" s="26" t="n"/>
      <c r="S63" s="26" t="n"/>
      <c r="T63" s="26" t="n"/>
      <c r="U63" s="27">
        <f>IF(C63="","",N(R63)+N(S63)+N(T63))</f>
        <v/>
      </c>
      <c r="V63" s="27">
        <f>IF(C63="","",H63-U63)</f>
        <v/>
      </c>
      <c r="W63" s="29">
        <f>IFERROR(V63/H63,"")</f>
        <v/>
      </c>
      <c r="X63" s="24" t="n"/>
    </row>
    <row r="64" ht="15" customHeight="1">
      <c r="A64" s="68">
        <f>IF(C64="","",IFERROR(IF(SUMPRODUCT(MAX((tbl_Finance[Job Number]=C64&amp;"")*(tbl_Finance[Xero Invoice No]&lt;&gt;"")*tbl_Finance[Date]))=0,"",SUMPRODUCT(MAX((tbl_Finance[Job Number]=C64&amp;"")*(tbl_Finance[Xero Invoice No]&lt;&gt;"")*tbl_Finance[Date]))),""))</f>
        <v/>
      </c>
      <c r="B64" s="25">
        <f>IF(C64="","",IF(COUNTIFS(tbl_Finance[Job Number],C64&amp;"",tbl_Finance[Xero Invoice No],"&lt;&gt;")=0,"",IFERROR(IF(COUNTIFS(tbl_Finance[Job Number],C64&amp;"",tbl_Finance[Xero Invoice No],LOOKUP(2,1/((tbl_Finance[Job Number]=C64&amp;"")*(tbl_Finance[Xero Invoice No]&lt;&gt;"")),tbl_Finance[Xero Invoice No]))=COUNTIFS(tbl_Finance[Job Number],C64&amp;"",tbl_Finance[Xero Invoice No],"&lt;&gt;"),LOOKUP(2,1/((tbl_Finance[Job Number]=C64&amp;"")*(tbl_Finance[Xero Invoice No]&lt;&gt;"")),tbl_Finance[Xero Invoice No]),LOOKUP(2,1/((tbl_Finance[Job Number]=C64&amp;"")*(tbl_Finance[Xero Invoice No]&lt;&gt;"")),tbl_Finance[Xero Invoice No])&amp;" +more"),"")))</f>
        <v/>
      </c>
      <c r="C64" s="24" t="n"/>
      <c r="D64" s="25">
        <f>IF(C64="","",IF(COUNTIF(lst_Jobs,C64&amp;"")&gt;0,"OK","CHECK"))</f>
        <v/>
      </c>
      <c r="E64" s="25">
        <f>IF(C64="","",IFERROR(INDEX(lst_JobName,MATCH(C64&amp;"",lst_Jobs,0)),""))</f>
        <v/>
      </c>
      <c r="F64" s="25">
        <f>IF(C64="","",IFERROR(INDEX(tbl_Finance[Client],MATCH(C64&amp;"",tbl_Finance[Job Number],0)),""))</f>
        <v/>
      </c>
      <c r="G64" s="28">
        <f>IF(C64="","",COUNTIFS(tbl_Finance[Job Number],C64&amp;"",tbl_Finance[Ex GST],"&lt;&gt;"))</f>
        <v/>
      </c>
      <c r="H64" s="27">
        <f>IF(C64="","",SUMIFS(tbl_Finance[Ex GST],tbl_Finance[Job Number],C64&amp;""))</f>
        <v/>
      </c>
      <c r="I64" s="27">
        <f>IF(C64="","",SUMIFS(tbl_Finance[Ex GST],tbl_Finance[Job Number],C64&amp;"",tbl_Finance[Xero Invoice No],"&lt;&gt;"))</f>
        <v/>
      </c>
      <c r="J64" s="27">
        <f>IF(C64="","",H64-I64)</f>
        <v/>
      </c>
      <c r="K64" s="25">
        <f>IF(C64="","",IF(G64=0,"not invoiced yet",SUBSTITUTE(TRIM(IF(COUNTIFS(tbl_Finance[Job Number],C64&amp;"",tbl_Finance[Cost Centre],"ONSITE")&gt;0,"ONSITE ","")&amp;IF(COUNTIFS(tbl_Finance[Job Number],C64&amp;"",tbl_Finance[Cost Centre],"PRODUCTION")&gt;0,"PRODUCTION ","")&amp;IF(COUNTIFS(tbl_Finance[Job Number],C64&amp;"",tbl_Finance[Cost Centre],"VIDEO")&gt;0,"VIDEO ","")&amp;IF(COUNTIFS(tbl_Finance[Job Number],C64&amp;"",tbl_Finance[Cost Centre],"INTEGRATION")&gt;0,"INTEGRATION ","")&amp;IF(COUNTIFS(tbl_Finance[Job Number],C64&amp;"",tbl_Finance[Cost Centre],"CONSULTING")&gt;0,"CONSULTING ","")&amp;IF(COUNTIFS(tbl_Finance[Job Number],C64&amp;"",tbl_Finance[Cost Centre],"CTS")&gt;0,"CTS ",""))," ",", ")))</f>
        <v/>
      </c>
      <c r="L64" s="24" t="n"/>
      <c r="M64" s="25">
        <f>IF(L64="","",HYPERLINK(IF(LEFT(L64,4)="http",L64,set_QwilrBase&amp;L64),"Open quote"))</f>
        <v/>
      </c>
      <c r="N64" s="26" t="n"/>
      <c r="O64" s="26" t="n"/>
      <c r="P64" s="26" t="n"/>
      <c r="Q64" s="25">
        <f>IF(C64="","",IF(N(N64)+N(O64)+N(P64)=0,"Not split",IF(ROUND(N(N64)+N(O64)+N(P64),2)=ROUND(H64,2),"OK","MISMATCH")))</f>
        <v/>
      </c>
      <c r="R64" s="26" t="n"/>
      <c r="S64" s="26" t="n"/>
      <c r="T64" s="26" t="n"/>
      <c r="U64" s="27">
        <f>IF(C64="","",N(R64)+N(S64)+N(T64))</f>
        <v/>
      </c>
      <c r="V64" s="27">
        <f>IF(C64="","",H64-U64)</f>
        <v/>
      </c>
      <c r="W64" s="29">
        <f>IFERROR(V64/H64,"")</f>
        <v/>
      </c>
      <c r="X64" s="24" t="n"/>
    </row>
    <row r="65" ht="15" customHeight="1">
      <c r="A65" s="68">
        <f>IF(C65="","",IFERROR(IF(SUMPRODUCT(MAX((tbl_Finance[Job Number]=C65&amp;"")*(tbl_Finance[Xero Invoice No]&lt;&gt;"")*tbl_Finance[Date]))=0,"",SUMPRODUCT(MAX((tbl_Finance[Job Number]=C65&amp;"")*(tbl_Finance[Xero Invoice No]&lt;&gt;"")*tbl_Finance[Date]))),""))</f>
        <v/>
      </c>
      <c r="B65" s="25">
        <f>IF(C65="","",IF(COUNTIFS(tbl_Finance[Job Number],C65&amp;"",tbl_Finance[Xero Invoice No],"&lt;&gt;")=0,"",IFERROR(IF(COUNTIFS(tbl_Finance[Job Number],C65&amp;"",tbl_Finance[Xero Invoice No],LOOKUP(2,1/((tbl_Finance[Job Number]=C65&amp;"")*(tbl_Finance[Xero Invoice No]&lt;&gt;"")),tbl_Finance[Xero Invoice No]))=COUNTIFS(tbl_Finance[Job Number],C65&amp;"",tbl_Finance[Xero Invoice No],"&lt;&gt;"),LOOKUP(2,1/((tbl_Finance[Job Number]=C65&amp;"")*(tbl_Finance[Xero Invoice No]&lt;&gt;"")),tbl_Finance[Xero Invoice No]),LOOKUP(2,1/((tbl_Finance[Job Number]=C65&amp;"")*(tbl_Finance[Xero Invoice No]&lt;&gt;"")),tbl_Finance[Xero Invoice No])&amp;" +more"),"")))</f>
        <v/>
      </c>
      <c r="C65" s="24" t="n"/>
      <c r="D65" s="25">
        <f>IF(C65="","",IF(COUNTIF(lst_Jobs,C65&amp;"")&gt;0,"OK","CHECK"))</f>
        <v/>
      </c>
      <c r="E65" s="25">
        <f>IF(C65="","",IFERROR(INDEX(lst_JobName,MATCH(C65&amp;"",lst_Jobs,0)),""))</f>
        <v/>
      </c>
      <c r="F65" s="25">
        <f>IF(C65="","",IFERROR(INDEX(tbl_Finance[Client],MATCH(C65&amp;"",tbl_Finance[Job Number],0)),""))</f>
        <v/>
      </c>
      <c r="G65" s="28">
        <f>IF(C65="","",COUNTIFS(tbl_Finance[Job Number],C65&amp;"",tbl_Finance[Ex GST],"&lt;&gt;"))</f>
        <v/>
      </c>
      <c r="H65" s="27">
        <f>IF(C65="","",SUMIFS(tbl_Finance[Ex GST],tbl_Finance[Job Number],C65&amp;""))</f>
        <v/>
      </c>
      <c r="I65" s="27">
        <f>IF(C65="","",SUMIFS(tbl_Finance[Ex GST],tbl_Finance[Job Number],C65&amp;"",tbl_Finance[Xero Invoice No],"&lt;&gt;"))</f>
        <v/>
      </c>
      <c r="J65" s="27">
        <f>IF(C65="","",H65-I65)</f>
        <v/>
      </c>
      <c r="K65" s="25">
        <f>IF(C65="","",IF(G65=0,"not invoiced yet",SUBSTITUTE(TRIM(IF(COUNTIFS(tbl_Finance[Job Number],C65&amp;"",tbl_Finance[Cost Centre],"ONSITE")&gt;0,"ONSITE ","")&amp;IF(COUNTIFS(tbl_Finance[Job Number],C65&amp;"",tbl_Finance[Cost Centre],"PRODUCTION")&gt;0,"PRODUCTION ","")&amp;IF(COUNTIFS(tbl_Finance[Job Number],C65&amp;"",tbl_Finance[Cost Centre],"VIDEO")&gt;0,"VIDEO ","")&amp;IF(COUNTIFS(tbl_Finance[Job Number],C65&amp;"",tbl_Finance[Cost Centre],"INTEGRATION")&gt;0,"INTEGRATION ","")&amp;IF(COUNTIFS(tbl_Finance[Job Number],C65&amp;"",tbl_Finance[Cost Centre],"CONSULTING")&gt;0,"CONSULTING ","")&amp;IF(COUNTIFS(tbl_Finance[Job Number],C65&amp;"",tbl_Finance[Cost Centre],"CTS")&gt;0,"CTS ",""))," ",", ")))</f>
        <v/>
      </c>
      <c r="L65" s="24" t="n"/>
      <c r="M65" s="25">
        <f>IF(L65="","",HYPERLINK(IF(LEFT(L65,4)="http",L65,set_QwilrBase&amp;L65),"Open quote"))</f>
        <v/>
      </c>
      <c r="N65" s="26" t="n"/>
      <c r="O65" s="26" t="n"/>
      <c r="P65" s="26" t="n"/>
      <c r="Q65" s="25">
        <f>IF(C65="","",IF(N(N65)+N(O65)+N(P65)=0,"Not split",IF(ROUND(N(N65)+N(O65)+N(P65),2)=ROUND(H65,2),"OK","MISMATCH")))</f>
        <v/>
      </c>
      <c r="R65" s="26" t="n"/>
      <c r="S65" s="26" t="n"/>
      <c r="T65" s="26" t="n"/>
      <c r="U65" s="27">
        <f>IF(C65="","",N(R65)+N(S65)+N(T65))</f>
        <v/>
      </c>
      <c r="V65" s="27">
        <f>IF(C65="","",H65-U65)</f>
        <v/>
      </c>
      <c r="W65" s="29">
        <f>IFERROR(V65/H65,"")</f>
        <v/>
      </c>
      <c r="X65" s="24" t="n"/>
    </row>
    <row r="66" ht="15" customHeight="1">
      <c r="A66" s="68">
        <f>IF(C66="","",IFERROR(IF(SUMPRODUCT(MAX((tbl_Finance[Job Number]=C66&amp;"")*(tbl_Finance[Xero Invoice No]&lt;&gt;"")*tbl_Finance[Date]))=0,"",SUMPRODUCT(MAX((tbl_Finance[Job Number]=C66&amp;"")*(tbl_Finance[Xero Invoice No]&lt;&gt;"")*tbl_Finance[Date]))),""))</f>
        <v/>
      </c>
      <c r="B66" s="25">
        <f>IF(C66="","",IF(COUNTIFS(tbl_Finance[Job Number],C66&amp;"",tbl_Finance[Xero Invoice No],"&lt;&gt;")=0,"",IFERROR(IF(COUNTIFS(tbl_Finance[Job Number],C66&amp;"",tbl_Finance[Xero Invoice No],LOOKUP(2,1/((tbl_Finance[Job Number]=C66&amp;"")*(tbl_Finance[Xero Invoice No]&lt;&gt;"")),tbl_Finance[Xero Invoice No]))=COUNTIFS(tbl_Finance[Job Number],C66&amp;"",tbl_Finance[Xero Invoice No],"&lt;&gt;"),LOOKUP(2,1/((tbl_Finance[Job Number]=C66&amp;"")*(tbl_Finance[Xero Invoice No]&lt;&gt;"")),tbl_Finance[Xero Invoice No]),LOOKUP(2,1/((tbl_Finance[Job Number]=C66&amp;"")*(tbl_Finance[Xero Invoice No]&lt;&gt;"")),tbl_Finance[Xero Invoice No])&amp;" +more"),"")))</f>
        <v/>
      </c>
      <c r="C66" s="24" t="n"/>
      <c r="D66" s="25">
        <f>IF(C66="","",IF(COUNTIF(lst_Jobs,C66&amp;"")&gt;0,"OK","CHECK"))</f>
        <v/>
      </c>
      <c r="E66" s="25">
        <f>IF(C66="","",IFERROR(INDEX(lst_JobName,MATCH(C66&amp;"",lst_Jobs,0)),""))</f>
        <v/>
      </c>
      <c r="F66" s="25">
        <f>IF(C66="","",IFERROR(INDEX(tbl_Finance[Client],MATCH(C66&amp;"",tbl_Finance[Job Number],0)),""))</f>
        <v/>
      </c>
      <c r="G66" s="28">
        <f>IF(C66="","",COUNTIFS(tbl_Finance[Job Number],C66&amp;"",tbl_Finance[Ex GST],"&lt;&gt;"))</f>
        <v/>
      </c>
      <c r="H66" s="27">
        <f>IF(C66="","",SUMIFS(tbl_Finance[Ex GST],tbl_Finance[Job Number],C66&amp;""))</f>
        <v/>
      </c>
      <c r="I66" s="27">
        <f>IF(C66="","",SUMIFS(tbl_Finance[Ex GST],tbl_Finance[Job Number],C66&amp;"",tbl_Finance[Xero Invoice No],"&lt;&gt;"))</f>
        <v/>
      </c>
      <c r="J66" s="27">
        <f>IF(C66="","",H66-I66)</f>
        <v/>
      </c>
      <c r="K66" s="25">
        <f>IF(C66="","",IF(G66=0,"not invoiced yet",SUBSTITUTE(TRIM(IF(COUNTIFS(tbl_Finance[Job Number],C66&amp;"",tbl_Finance[Cost Centre],"ONSITE")&gt;0,"ONSITE ","")&amp;IF(COUNTIFS(tbl_Finance[Job Number],C66&amp;"",tbl_Finance[Cost Centre],"PRODUCTION")&gt;0,"PRODUCTION ","")&amp;IF(COUNTIFS(tbl_Finance[Job Number],C66&amp;"",tbl_Finance[Cost Centre],"VIDEO")&gt;0,"VIDEO ","")&amp;IF(COUNTIFS(tbl_Finance[Job Number],C66&amp;"",tbl_Finance[Cost Centre],"INTEGRATION")&gt;0,"INTEGRATION ","")&amp;IF(COUNTIFS(tbl_Finance[Job Number],C66&amp;"",tbl_Finance[Cost Centre],"CONSULTING")&gt;0,"CONSULTING ","")&amp;IF(COUNTIFS(tbl_Finance[Job Number],C66&amp;"",tbl_Finance[Cost Centre],"CTS")&gt;0,"CTS ",""))," ",", ")))</f>
        <v/>
      </c>
      <c r="L66" s="24" t="n"/>
      <c r="M66" s="25">
        <f>IF(L66="","",HYPERLINK(IF(LEFT(L66,4)="http",L66,set_QwilrBase&amp;L66),"Open quote"))</f>
        <v/>
      </c>
      <c r="N66" s="26" t="n"/>
      <c r="O66" s="26" t="n"/>
      <c r="P66" s="26" t="n"/>
      <c r="Q66" s="25">
        <f>IF(C66="","",IF(N(N66)+N(O66)+N(P66)=0,"Not split",IF(ROUND(N(N66)+N(O66)+N(P66),2)=ROUND(H66,2),"OK","MISMATCH")))</f>
        <v/>
      </c>
      <c r="R66" s="26" t="n"/>
      <c r="S66" s="26" t="n"/>
      <c r="T66" s="26" t="n"/>
      <c r="U66" s="27">
        <f>IF(C66="","",N(R66)+N(S66)+N(T66))</f>
        <v/>
      </c>
      <c r="V66" s="27">
        <f>IF(C66="","",H66-U66)</f>
        <v/>
      </c>
      <c r="W66" s="29">
        <f>IFERROR(V66/H66,"")</f>
        <v/>
      </c>
      <c r="X66" s="24" t="n"/>
    </row>
    <row r="67" ht="15" customHeight="1">
      <c r="A67" s="68">
        <f>IF(C67="","",IFERROR(IF(SUMPRODUCT(MAX((tbl_Finance[Job Number]=C67&amp;"")*(tbl_Finance[Xero Invoice No]&lt;&gt;"")*tbl_Finance[Date]))=0,"",SUMPRODUCT(MAX((tbl_Finance[Job Number]=C67&amp;"")*(tbl_Finance[Xero Invoice No]&lt;&gt;"")*tbl_Finance[Date]))),""))</f>
        <v/>
      </c>
      <c r="B67" s="25">
        <f>IF(C67="","",IF(COUNTIFS(tbl_Finance[Job Number],C67&amp;"",tbl_Finance[Xero Invoice No],"&lt;&gt;")=0,"",IFERROR(IF(COUNTIFS(tbl_Finance[Job Number],C67&amp;"",tbl_Finance[Xero Invoice No],LOOKUP(2,1/((tbl_Finance[Job Number]=C67&amp;"")*(tbl_Finance[Xero Invoice No]&lt;&gt;"")),tbl_Finance[Xero Invoice No]))=COUNTIFS(tbl_Finance[Job Number],C67&amp;"",tbl_Finance[Xero Invoice No],"&lt;&gt;"),LOOKUP(2,1/((tbl_Finance[Job Number]=C67&amp;"")*(tbl_Finance[Xero Invoice No]&lt;&gt;"")),tbl_Finance[Xero Invoice No]),LOOKUP(2,1/((tbl_Finance[Job Number]=C67&amp;"")*(tbl_Finance[Xero Invoice No]&lt;&gt;"")),tbl_Finance[Xero Invoice No])&amp;" +more"),"")))</f>
        <v/>
      </c>
      <c r="C67" s="24" t="n"/>
      <c r="D67" s="25">
        <f>IF(C67="","",IF(COUNTIF(lst_Jobs,C67&amp;"")&gt;0,"OK","CHECK"))</f>
        <v/>
      </c>
      <c r="E67" s="25">
        <f>IF(C67="","",IFERROR(INDEX(lst_JobName,MATCH(C67&amp;"",lst_Jobs,0)),""))</f>
        <v/>
      </c>
      <c r="F67" s="25">
        <f>IF(C67="","",IFERROR(INDEX(tbl_Finance[Client],MATCH(C67&amp;"",tbl_Finance[Job Number],0)),""))</f>
        <v/>
      </c>
      <c r="G67" s="28">
        <f>IF(C67="","",COUNTIFS(tbl_Finance[Job Number],C67&amp;"",tbl_Finance[Ex GST],"&lt;&gt;"))</f>
        <v/>
      </c>
      <c r="H67" s="27">
        <f>IF(C67="","",SUMIFS(tbl_Finance[Ex GST],tbl_Finance[Job Number],C67&amp;""))</f>
        <v/>
      </c>
      <c r="I67" s="27">
        <f>IF(C67="","",SUMIFS(tbl_Finance[Ex GST],tbl_Finance[Job Number],C67&amp;"",tbl_Finance[Xero Invoice No],"&lt;&gt;"))</f>
        <v/>
      </c>
      <c r="J67" s="27">
        <f>IF(C67="","",H67-I67)</f>
        <v/>
      </c>
      <c r="K67" s="25">
        <f>IF(C67="","",IF(G67=0,"not invoiced yet",SUBSTITUTE(TRIM(IF(COUNTIFS(tbl_Finance[Job Number],C67&amp;"",tbl_Finance[Cost Centre],"ONSITE")&gt;0,"ONSITE ","")&amp;IF(COUNTIFS(tbl_Finance[Job Number],C67&amp;"",tbl_Finance[Cost Centre],"PRODUCTION")&gt;0,"PRODUCTION ","")&amp;IF(COUNTIFS(tbl_Finance[Job Number],C67&amp;"",tbl_Finance[Cost Centre],"VIDEO")&gt;0,"VIDEO ","")&amp;IF(COUNTIFS(tbl_Finance[Job Number],C67&amp;"",tbl_Finance[Cost Centre],"INTEGRATION")&gt;0,"INTEGRATION ","")&amp;IF(COUNTIFS(tbl_Finance[Job Number],C67&amp;"",tbl_Finance[Cost Centre],"CONSULTING")&gt;0,"CONSULTING ","")&amp;IF(COUNTIFS(tbl_Finance[Job Number],C67&amp;"",tbl_Finance[Cost Centre],"CTS")&gt;0,"CTS ",""))," ",", ")))</f>
        <v/>
      </c>
      <c r="L67" s="24" t="n"/>
      <c r="M67" s="25">
        <f>IF(L67="","",HYPERLINK(IF(LEFT(L67,4)="http",L67,set_QwilrBase&amp;L67),"Open quote"))</f>
        <v/>
      </c>
      <c r="N67" s="26" t="n"/>
      <c r="O67" s="26" t="n"/>
      <c r="P67" s="26" t="n"/>
      <c r="Q67" s="25">
        <f>IF(C67="","",IF(N(N67)+N(O67)+N(P67)=0,"Not split",IF(ROUND(N(N67)+N(O67)+N(P67),2)=ROUND(H67,2),"OK","MISMATCH")))</f>
        <v/>
      </c>
      <c r="R67" s="26" t="n"/>
      <c r="S67" s="26" t="n"/>
      <c r="T67" s="26" t="n"/>
      <c r="U67" s="27">
        <f>IF(C67="","",N(R67)+N(S67)+N(T67))</f>
        <v/>
      </c>
      <c r="V67" s="27">
        <f>IF(C67="","",H67-U67)</f>
        <v/>
      </c>
      <c r="W67" s="29">
        <f>IFERROR(V67/H67,"")</f>
        <v/>
      </c>
      <c r="X67" s="24" t="n"/>
    </row>
    <row r="68" ht="15" customHeight="1">
      <c r="A68" s="68">
        <f>IF(C68="","",IFERROR(IF(SUMPRODUCT(MAX((tbl_Finance[Job Number]=C68&amp;"")*(tbl_Finance[Xero Invoice No]&lt;&gt;"")*tbl_Finance[Date]))=0,"",SUMPRODUCT(MAX((tbl_Finance[Job Number]=C68&amp;"")*(tbl_Finance[Xero Invoice No]&lt;&gt;"")*tbl_Finance[Date]))),""))</f>
        <v/>
      </c>
      <c r="B68" s="25">
        <f>IF(C68="","",IF(COUNTIFS(tbl_Finance[Job Number],C68&amp;"",tbl_Finance[Xero Invoice No],"&lt;&gt;")=0,"",IFERROR(IF(COUNTIFS(tbl_Finance[Job Number],C68&amp;"",tbl_Finance[Xero Invoice No],LOOKUP(2,1/((tbl_Finance[Job Number]=C68&amp;"")*(tbl_Finance[Xero Invoice No]&lt;&gt;"")),tbl_Finance[Xero Invoice No]))=COUNTIFS(tbl_Finance[Job Number],C68&amp;"",tbl_Finance[Xero Invoice No],"&lt;&gt;"),LOOKUP(2,1/((tbl_Finance[Job Number]=C68&amp;"")*(tbl_Finance[Xero Invoice No]&lt;&gt;"")),tbl_Finance[Xero Invoice No]),LOOKUP(2,1/((tbl_Finance[Job Number]=C68&amp;"")*(tbl_Finance[Xero Invoice No]&lt;&gt;"")),tbl_Finance[Xero Invoice No])&amp;" +more"),"")))</f>
        <v/>
      </c>
      <c r="C68" s="24" t="n"/>
      <c r="D68" s="25">
        <f>IF(C68="","",IF(COUNTIF(lst_Jobs,C68&amp;"")&gt;0,"OK","CHECK"))</f>
        <v/>
      </c>
      <c r="E68" s="25">
        <f>IF(C68="","",IFERROR(INDEX(lst_JobName,MATCH(C68&amp;"",lst_Jobs,0)),""))</f>
        <v/>
      </c>
      <c r="F68" s="25">
        <f>IF(C68="","",IFERROR(INDEX(tbl_Finance[Client],MATCH(C68&amp;"",tbl_Finance[Job Number],0)),""))</f>
        <v/>
      </c>
      <c r="G68" s="28">
        <f>IF(C68="","",COUNTIFS(tbl_Finance[Job Number],C68&amp;"",tbl_Finance[Ex GST],"&lt;&gt;"))</f>
        <v/>
      </c>
      <c r="H68" s="27">
        <f>IF(C68="","",SUMIFS(tbl_Finance[Ex GST],tbl_Finance[Job Number],C68&amp;""))</f>
        <v/>
      </c>
      <c r="I68" s="27">
        <f>IF(C68="","",SUMIFS(tbl_Finance[Ex GST],tbl_Finance[Job Number],C68&amp;"",tbl_Finance[Xero Invoice No],"&lt;&gt;"))</f>
        <v/>
      </c>
      <c r="J68" s="27">
        <f>IF(C68="","",H68-I68)</f>
        <v/>
      </c>
      <c r="K68" s="25">
        <f>IF(C68="","",IF(G68=0,"not invoiced yet",SUBSTITUTE(TRIM(IF(COUNTIFS(tbl_Finance[Job Number],C68&amp;"",tbl_Finance[Cost Centre],"ONSITE")&gt;0,"ONSITE ","")&amp;IF(COUNTIFS(tbl_Finance[Job Number],C68&amp;"",tbl_Finance[Cost Centre],"PRODUCTION")&gt;0,"PRODUCTION ","")&amp;IF(COUNTIFS(tbl_Finance[Job Number],C68&amp;"",tbl_Finance[Cost Centre],"VIDEO")&gt;0,"VIDEO ","")&amp;IF(COUNTIFS(tbl_Finance[Job Number],C68&amp;"",tbl_Finance[Cost Centre],"INTEGRATION")&gt;0,"INTEGRATION ","")&amp;IF(COUNTIFS(tbl_Finance[Job Number],C68&amp;"",tbl_Finance[Cost Centre],"CONSULTING")&gt;0,"CONSULTING ","")&amp;IF(COUNTIFS(tbl_Finance[Job Number],C68&amp;"",tbl_Finance[Cost Centre],"CTS")&gt;0,"CTS ",""))," ",", ")))</f>
        <v/>
      </c>
      <c r="L68" s="24" t="n"/>
      <c r="M68" s="25">
        <f>IF(L68="","",HYPERLINK(IF(LEFT(L68,4)="http",L68,set_QwilrBase&amp;L68),"Open quote"))</f>
        <v/>
      </c>
      <c r="N68" s="26" t="n"/>
      <c r="O68" s="26" t="n"/>
      <c r="P68" s="26" t="n"/>
      <c r="Q68" s="25">
        <f>IF(C68="","",IF(N(N68)+N(O68)+N(P68)=0,"Not split",IF(ROUND(N(N68)+N(O68)+N(P68),2)=ROUND(H68,2),"OK","MISMATCH")))</f>
        <v/>
      </c>
      <c r="R68" s="26" t="n"/>
      <c r="S68" s="26" t="n"/>
      <c r="T68" s="26" t="n"/>
      <c r="U68" s="27">
        <f>IF(C68="","",N(R68)+N(S68)+N(T68))</f>
        <v/>
      </c>
      <c r="V68" s="27">
        <f>IF(C68="","",H68-U68)</f>
        <v/>
      </c>
      <c r="W68" s="29">
        <f>IFERROR(V68/H68,"")</f>
        <v/>
      </c>
      <c r="X68" s="24" t="n"/>
    </row>
    <row r="69" ht="15" customHeight="1">
      <c r="A69" s="68">
        <f>IF(C69="","",IFERROR(IF(SUMPRODUCT(MAX((tbl_Finance[Job Number]=C69&amp;"")*(tbl_Finance[Xero Invoice No]&lt;&gt;"")*tbl_Finance[Date]))=0,"",SUMPRODUCT(MAX((tbl_Finance[Job Number]=C69&amp;"")*(tbl_Finance[Xero Invoice No]&lt;&gt;"")*tbl_Finance[Date]))),""))</f>
        <v/>
      </c>
      <c r="B69" s="25">
        <f>IF(C69="","",IF(COUNTIFS(tbl_Finance[Job Number],C69&amp;"",tbl_Finance[Xero Invoice No],"&lt;&gt;")=0,"",IFERROR(IF(COUNTIFS(tbl_Finance[Job Number],C69&amp;"",tbl_Finance[Xero Invoice No],LOOKUP(2,1/((tbl_Finance[Job Number]=C69&amp;"")*(tbl_Finance[Xero Invoice No]&lt;&gt;"")),tbl_Finance[Xero Invoice No]))=COUNTIFS(tbl_Finance[Job Number],C69&amp;"",tbl_Finance[Xero Invoice No],"&lt;&gt;"),LOOKUP(2,1/((tbl_Finance[Job Number]=C69&amp;"")*(tbl_Finance[Xero Invoice No]&lt;&gt;"")),tbl_Finance[Xero Invoice No]),LOOKUP(2,1/((tbl_Finance[Job Number]=C69&amp;"")*(tbl_Finance[Xero Invoice No]&lt;&gt;"")),tbl_Finance[Xero Invoice No])&amp;" +more"),"")))</f>
        <v/>
      </c>
      <c r="C69" s="24" t="n"/>
      <c r="D69" s="25">
        <f>IF(C69="","",IF(COUNTIF(lst_Jobs,C69&amp;"")&gt;0,"OK","CHECK"))</f>
        <v/>
      </c>
      <c r="E69" s="25">
        <f>IF(C69="","",IFERROR(INDEX(lst_JobName,MATCH(C69&amp;"",lst_Jobs,0)),""))</f>
        <v/>
      </c>
      <c r="F69" s="25">
        <f>IF(C69="","",IFERROR(INDEX(tbl_Finance[Client],MATCH(C69&amp;"",tbl_Finance[Job Number],0)),""))</f>
        <v/>
      </c>
      <c r="G69" s="28">
        <f>IF(C69="","",COUNTIFS(tbl_Finance[Job Number],C69&amp;"",tbl_Finance[Ex GST],"&lt;&gt;"))</f>
        <v/>
      </c>
      <c r="H69" s="27">
        <f>IF(C69="","",SUMIFS(tbl_Finance[Ex GST],tbl_Finance[Job Number],C69&amp;""))</f>
        <v/>
      </c>
      <c r="I69" s="27">
        <f>IF(C69="","",SUMIFS(tbl_Finance[Ex GST],tbl_Finance[Job Number],C69&amp;"",tbl_Finance[Xero Invoice No],"&lt;&gt;"))</f>
        <v/>
      </c>
      <c r="J69" s="27">
        <f>IF(C69="","",H69-I69)</f>
        <v/>
      </c>
      <c r="K69" s="25">
        <f>IF(C69="","",IF(G69=0,"not invoiced yet",SUBSTITUTE(TRIM(IF(COUNTIFS(tbl_Finance[Job Number],C69&amp;"",tbl_Finance[Cost Centre],"ONSITE")&gt;0,"ONSITE ","")&amp;IF(COUNTIFS(tbl_Finance[Job Number],C69&amp;"",tbl_Finance[Cost Centre],"PRODUCTION")&gt;0,"PRODUCTION ","")&amp;IF(COUNTIFS(tbl_Finance[Job Number],C69&amp;"",tbl_Finance[Cost Centre],"VIDEO")&gt;0,"VIDEO ","")&amp;IF(COUNTIFS(tbl_Finance[Job Number],C69&amp;"",tbl_Finance[Cost Centre],"INTEGRATION")&gt;0,"INTEGRATION ","")&amp;IF(COUNTIFS(tbl_Finance[Job Number],C69&amp;"",tbl_Finance[Cost Centre],"CONSULTING")&gt;0,"CONSULTING ","")&amp;IF(COUNTIFS(tbl_Finance[Job Number],C69&amp;"",tbl_Finance[Cost Centre],"CTS")&gt;0,"CTS ",""))," ",", ")))</f>
        <v/>
      </c>
      <c r="L69" s="24" t="n"/>
      <c r="M69" s="25">
        <f>IF(L69="","",HYPERLINK(IF(LEFT(L69,4)="http",L69,set_QwilrBase&amp;L69),"Open quote"))</f>
        <v/>
      </c>
      <c r="N69" s="26" t="n"/>
      <c r="O69" s="26" t="n"/>
      <c r="P69" s="26" t="n"/>
      <c r="Q69" s="25">
        <f>IF(C69="","",IF(N(N69)+N(O69)+N(P69)=0,"Not split",IF(ROUND(N(N69)+N(O69)+N(P69),2)=ROUND(H69,2),"OK","MISMATCH")))</f>
        <v/>
      </c>
      <c r="R69" s="26" t="n"/>
      <c r="S69" s="26" t="n"/>
      <c r="T69" s="26" t="n"/>
      <c r="U69" s="27">
        <f>IF(C69="","",N(R69)+N(S69)+N(T69))</f>
        <v/>
      </c>
      <c r="V69" s="27">
        <f>IF(C69="","",H69-U69)</f>
        <v/>
      </c>
      <c r="W69" s="29">
        <f>IFERROR(V69/H69,"")</f>
        <v/>
      </c>
      <c r="X69" s="24" t="n"/>
    </row>
    <row r="70" ht="15" customHeight="1">
      <c r="A70" s="68">
        <f>IF(C70="","",IFERROR(IF(SUMPRODUCT(MAX((tbl_Finance[Job Number]=C70&amp;"")*(tbl_Finance[Xero Invoice No]&lt;&gt;"")*tbl_Finance[Date]))=0,"",SUMPRODUCT(MAX((tbl_Finance[Job Number]=C70&amp;"")*(tbl_Finance[Xero Invoice No]&lt;&gt;"")*tbl_Finance[Date]))),""))</f>
        <v/>
      </c>
      <c r="B70" s="25">
        <f>IF(C70="","",IF(COUNTIFS(tbl_Finance[Job Number],C70&amp;"",tbl_Finance[Xero Invoice No],"&lt;&gt;")=0,"",IFERROR(IF(COUNTIFS(tbl_Finance[Job Number],C70&amp;"",tbl_Finance[Xero Invoice No],LOOKUP(2,1/((tbl_Finance[Job Number]=C70&amp;"")*(tbl_Finance[Xero Invoice No]&lt;&gt;"")),tbl_Finance[Xero Invoice No]))=COUNTIFS(tbl_Finance[Job Number],C70&amp;"",tbl_Finance[Xero Invoice No],"&lt;&gt;"),LOOKUP(2,1/((tbl_Finance[Job Number]=C70&amp;"")*(tbl_Finance[Xero Invoice No]&lt;&gt;"")),tbl_Finance[Xero Invoice No]),LOOKUP(2,1/((tbl_Finance[Job Number]=C70&amp;"")*(tbl_Finance[Xero Invoice No]&lt;&gt;"")),tbl_Finance[Xero Invoice No])&amp;" +more"),"")))</f>
        <v/>
      </c>
      <c r="C70" s="24" t="n"/>
      <c r="D70" s="25">
        <f>IF(C70="","",IF(COUNTIF(lst_Jobs,C70&amp;"")&gt;0,"OK","CHECK"))</f>
        <v/>
      </c>
      <c r="E70" s="25">
        <f>IF(C70="","",IFERROR(INDEX(lst_JobName,MATCH(C70&amp;"",lst_Jobs,0)),""))</f>
        <v/>
      </c>
      <c r="F70" s="25">
        <f>IF(C70="","",IFERROR(INDEX(tbl_Finance[Client],MATCH(C70&amp;"",tbl_Finance[Job Number],0)),""))</f>
        <v/>
      </c>
      <c r="G70" s="28">
        <f>IF(C70="","",COUNTIFS(tbl_Finance[Job Number],C70&amp;"",tbl_Finance[Ex GST],"&lt;&gt;"))</f>
        <v/>
      </c>
      <c r="H70" s="27">
        <f>IF(C70="","",SUMIFS(tbl_Finance[Ex GST],tbl_Finance[Job Number],C70&amp;""))</f>
        <v/>
      </c>
      <c r="I70" s="27">
        <f>IF(C70="","",SUMIFS(tbl_Finance[Ex GST],tbl_Finance[Job Number],C70&amp;"",tbl_Finance[Xero Invoice No],"&lt;&gt;"))</f>
        <v/>
      </c>
      <c r="J70" s="27">
        <f>IF(C70="","",H70-I70)</f>
        <v/>
      </c>
      <c r="K70" s="25">
        <f>IF(C70="","",IF(G70=0,"not invoiced yet",SUBSTITUTE(TRIM(IF(COUNTIFS(tbl_Finance[Job Number],C70&amp;"",tbl_Finance[Cost Centre],"ONSITE")&gt;0,"ONSITE ","")&amp;IF(COUNTIFS(tbl_Finance[Job Number],C70&amp;"",tbl_Finance[Cost Centre],"PRODUCTION")&gt;0,"PRODUCTION ","")&amp;IF(COUNTIFS(tbl_Finance[Job Number],C70&amp;"",tbl_Finance[Cost Centre],"VIDEO")&gt;0,"VIDEO ","")&amp;IF(COUNTIFS(tbl_Finance[Job Number],C70&amp;"",tbl_Finance[Cost Centre],"INTEGRATION")&gt;0,"INTEGRATION ","")&amp;IF(COUNTIFS(tbl_Finance[Job Number],C70&amp;"",tbl_Finance[Cost Centre],"CONSULTING")&gt;0,"CONSULTING ","")&amp;IF(COUNTIFS(tbl_Finance[Job Number],C70&amp;"",tbl_Finance[Cost Centre],"CTS")&gt;0,"CTS ",""))," ",", ")))</f>
        <v/>
      </c>
      <c r="L70" s="24" t="n"/>
      <c r="M70" s="25">
        <f>IF(L70="","",HYPERLINK(IF(LEFT(L70,4)="http",L70,set_QwilrBase&amp;L70),"Open quote"))</f>
        <v/>
      </c>
      <c r="N70" s="26" t="n"/>
      <c r="O70" s="26" t="n"/>
      <c r="P70" s="26" t="n"/>
      <c r="Q70" s="25">
        <f>IF(C70="","",IF(N(N70)+N(O70)+N(P70)=0,"Not split",IF(ROUND(N(N70)+N(O70)+N(P70),2)=ROUND(H70,2),"OK","MISMATCH")))</f>
        <v/>
      </c>
      <c r="R70" s="26" t="n"/>
      <c r="S70" s="26" t="n"/>
      <c r="T70" s="26" t="n"/>
      <c r="U70" s="27">
        <f>IF(C70="","",N(R70)+N(S70)+N(T70))</f>
        <v/>
      </c>
      <c r="V70" s="27">
        <f>IF(C70="","",H70-U70)</f>
        <v/>
      </c>
      <c r="W70" s="29">
        <f>IFERROR(V70/H70,"")</f>
        <v/>
      </c>
      <c r="X70" s="24" t="n"/>
    </row>
    <row r="71" ht="15" customHeight="1">
      <c r="A71" s="68">
        <f>IF(C71="","",IFERROR(IF(SUMPRODUCT(MAX((tbl_Finance[Job Number]=C71&amp;"")*(tbl_Finance[Xero Invoice No]&lt;&gt;"")*tbl_Finance[Date]))=0,"",SUMPRODUCT(MAX((tbl_Finance[Job Number]=C71&amp;"")*(tbl_Finance[Xero Invoice No]&lt;&gt;"")*tbl_Finance[Date]))),""))</f>
        <v/>
      </c>
      <c r="B71" s="25">
        <f>IF(C71="","",IF(COUNTIFS(tbl_Finance[Job Number],C71&amp;"",tbl_Finance[Xero Invoice No],"&lt;&gt;")=0,"",IFERROR(IF(COUNTIFS(tbl_Finance[Job Number],C71&amp;"",tbl_Finance[Xero Invoice No],LOOKUP(2,1/((tbl_Finance[Job Number]=C71&amp;"")*(tbl_Finance[Xero Invoice No]&lt;&gt;"")),tbl_Finance[Xero Invoice No]))=COUNTIFS(tbl_Finance[Job Number],C71&amp;"",tbl_Finance[Xero Invoice No],"&lt;&gt;"),LOOKUP(2,1/((tbl_Finance[Job Number]=C71&amp;"")*(tbl_Finance[Xero Invoice No]&lt;&gt;"")),tbl_Finance[Xero Invoice No]),LOOKUP(2,1/((tbl_Finance[Job Number]=C71&amp;"")*(tbl_Finance[Xero Invoice No]&lt;&gt;"")),tbl_Finance[Xero Invoice No])&amp;" +more"),"")))</f>
        <v/>
      </c>
      <c r="C71" s="24" t="n"/>
      <c r="D71" s="25">
        <f>IF(C71="","",IF(COUNTIF(lst_Jobs,C71&amp;"")&gt;0,"OK","CHECK"))</f>
        <v/>
      </c>
      <c r="E71" s="25">
        <f>IF(C71="","",IFERROR(INDEX(lst_JobName,MATCH(C71&amp;"",lst_Jobs,0)),""))</f>
        <v/>
      </c>
      <c r="F71" s="25">
        <f>IF(C71="","",IFERROR(INDEX(tbl_Finance[Client],MATCH(C71&amp;"",tbl_Finance[Job Number],0)),""))</f>
        <v/>
      </c>
      <c r="G71" s="28">
        <f>IF(C71="","",COUNTIFS(tbl_Finance[Job Number],C71&amp;"",tbl_Finance[Ex GST],"&lt;&gt;"))</f>
        <v/>
      </c>
      <c r="H71" s="27">
        <f>IF(C71="","",SUMIFS(tbl_Finance[Ex GST],tbl_Finance[Job Number],C71&amp;""))</f>
        <v/>
      </c>
      <c r="I71" s="27">
        <f>IF(C71="","",SUMIFS(tbl_Finance[Ex GST],tbl_Finance[Job Number],C71&amp;"",tbl_Finance[Xero Invoice No],"&lt;&gt;"))</f>
        <v/>
      </c>
      <c r="J71" s="27">
        <f>IF(C71="","",H71-I71)</f>
        <v/>
      </c>
      <c r="K71" s="25">
        <f>IF(C71="","",IF(G71=0,"not invoiced yet",SUBSTITUTE(TRIM(IF(COUNTIFS(tbl_Finance[Job Number],C71&amp;"",tbl_Finance[Cost Centre],"ONSITE")&gt;0,"ONSITE ","")&amp;IF(COUNTIFS(tbl_Finance[Job Number],C71&amp;"",tbl_Finance[Cost Centre],"PRODUCTION")&gt;0,"PRODUCTION ","")&amp;IF(COUNTIFS(tbl_Finance[Job Number],C71&amp;"",tbl_Finance[Cost Centre],"VIDEO")&gt;0,"VIDEO ","")&amp;IF(COUNTIFS(tbl_Finance[Job Number],C71&amp;"",tbl_Finance[Cost Centre],"INTEGRATION")&gt;0,"INTEGRATION ","")&amp;IF(COUNTIFS(tbl_Finance[Job Number],C71&amp;"",tbl_Finance[Cost Centre],"CONSULTING")&gt;0,"CONSULTING ","")&amp;IF(COUNTIFS(tbl_Finance[Job Number],C71&amp;"",tbl_Finance[Cost Centre],"CTS")&gt;0,"CTS ",""))," ",", ")))</f>
        <v/>
      </c>
      <c r="L71" s="24" t="n"/>
      <c r="M71" s="25">
        <f>IF(L71="","",HYPERLINK(IF(LEFT(L71,4)="http",L71,set_QwilrBase&amp;L71),"Open quote"))</f>
        <v/>
      </c>
      <c r="N71" s="26" t="n"/>
      <c r="O71" s="26" t="n"/>
      <c r="P71" s="26" t="n"/>
      <c r="Q71" s="25">
        <f>IF(C71="","",IF(N(N71)+N(O71)+N(P71)=0,"Not split",IF(ROUND(N(N71)+N(O71)+N(P71),2)=ROUND(H71,2),"OK","MISMATCH")))</f>
        <v/>
      </c>
      <c r="R71" s="26" t="n"/>
      <c r="S71" s="26" t="n"/>
      <c r="T71" s="26" t="n"/>
      <c r="U71" s="27">
        <f>IF(C71="","",N(R71)+N(S71)+N(T71))</f>
        <v/>
      </c>
      <c r="V71" s="27">
        <f>IF(C71="","",H71-U71)</f>
        <v/>
      </c>
      <c r="W71" s="29">
        <f>IFERROR(V71/H71,"")</f>
        <v/>
      </c>
      <c r="X71" s="24" t="n"/>
    </row>
    <row r="72" ht="15" customHeight="1">
      <c r="A72" s="68">
        <f>IF(C72="","",IFERROR(IF(SUMPRODUCT(MAX((tbl_Finance[Job Number]=C72&amp;"")*(tbl_Finance[Xero Invoice No]&lt;&gt;"")*tbl_Finance[Date]))=0,"",SUMPRODUCT(MAX((tbl_Finance[Job Number]=C72&amp;"")*(tbl_Finance[Xero Invoice No]&lt;&gt;"")*tbl_Finance[Date]))),""))</f>
        <v/>
      </c>
      <c r="B72" s="25">
        <f>IF(C72="","",IF(COUNTIFS(tbl_Finance[Job Number],C72&amp;"",tbl_Finance[Xero Invoice No],"&lt;&gt;")=0,"",IFERROR(IF(COUNTIFS(tbl_Finance[Job Number],C72&amp;"",tbl_Finance[Xero Invoice No],LOOKUP(2,1/((tbl_Finance[Job Number]=C72&amp;"")*(tbl_Finance[Xero Invoice No]&lt;&gt;"")),tbl_Finance[Xero Invoice No]))=COUNTIFS(tbl_Finance[Job Number],C72&amp;"",tbl_Finance[Xero Invoice No],"&lt;&gt;"),LOOKUP(2,1/((tbl_Finance[Job Number]=C72&amp;"")*(tbl_Finance[Xero Invoice No]&lt;&gt;"")),tbl_Finance[Xero Invoice No]),LOOKUP(2,1/((tbl_Finance[Job Number]=C72&amp;"")*(tbl_Finance[Xero Invoice No]&lt;&gt;"")),tbl_Finance[Xero Invoice No])&amp;" +more"),"")))</f>
        <v/>
      </c>
      <c r="C72" s="24" t="n"/>
      <c r="D72" s="25">
        <f>IF(C72="","",IF(COUNTIF(lst_Jobs,C72&amp;"")&gt;0,"OK","CHECK"))</f>
        <v/>
      </c>
      <c r="E72" s="25">
        <f>IF(C72="","",IFERROR(INDEX(lst_JobName,MATCH(C72&amp;"",lst_Jobs,0)),""))</f>
        <v/>
      </c>
      <c r="F72" s="25">
        <f>IF(C72="","",IFERROR(INDEX(tbl_Finance[Client],MATCH(C72&amp;"",tbl_Finance[Job Number],0)),""))</f>
        <v/>
      </c>
      <c r="G72" s="28">
        <f>IF(C72="","",COUNTIFS(tbl_Finance[Job Number],C72&amp;"",tbl_Finance[Ex GST],"&lt;&gt;"))</f>
        <v/>
      </c>
      <c r="H72" s="27">
        <f>IF(C72="","",SUMIFS(tbl_Finance[Ex GST],tbl_Finance[Job Number],C72&amp;""))</f>
        <v/>
      </c>
      <c r="I72" s="27">
        <f>IF(C72="","",SUMIFS(tbl_Finance[Ex GST],tbl_Finance[Job Number],C72&amp;"",tbl_Finance[Xero Invoice No],"&lt;&gt;"))</f>
        <v/>
      </c>
      <c r="J72" s="27">
        <f>IF(C72="","",H72-I72)</f>
        <v/>
      </c>
      <c r="K72" s="25">
        <f>IF(C72="","",IF(G72=0,"not invoiced yet",SUBSTITUTE(TRIM(IF(COUNTIFS(tbl_Finance[Job Number],C72&amp;"",tbl_Finance[Cost Centre],"ONSITE")&gt;0,"ONSITE ","")&amp;IF(COUNTIFS(tbl_Finance[Job Number],C72&amp;"",tbl_Finance[Cost Centre],"PRODUCTION")&gt;0,"PRODUCTION ","")&amp;IF(COUNTIFS(tbl_Finance[Job Number],C72&amp;"",tbl_Finance[Cost Centre],"VIDEO")&gt;0,"VIDEO ","")&amp;IF(COUNTIFS(tbl_Finance[Job Number],C72&amp;"",tbl_Finance[Cost Centre],"INTEGRATION")&gt;0,"INTEGRATION ","")&amp;IF(COUNTIFS(tbl_Finance[Job Number],C72&amp;"",tbl_Finance[Cost Centre],"CONSULTING")&gt;0,"CONSULTING ","")&amp;IF(COUNTIFS(tbl_Finance[Job Number],C72&amp;"",tbl_Finance[Cost Centre],"CTS")&gt;0,"CTS ",""))," ",", ")))</f>
        <v/>
      </c>
      <c r="L72" s="24" t="n"/>
      <c r="M72" s="25">
        <f>IF(L72="","",HYPERLINK(IF(LEFT(L72,4)="http",L72,set_QwilrBase&amp;L72),"Open quote"))</f>
        <v/>
      </c>
      <c r="N72" s="26" t="n"/>
      <c r="O72" s="26" t="n"/>
      <c r="P72" s="26" t="n"/>
      <c r="Q72" s="25">
        <f>IF(C72="","",IF(N(N72)+N(O72)+N(P72)=0,"Not split",IF(ROUND(N(N72)+N(O72)+N(P72),2)=ROUND(H72,2),"OK","MISMATCH")))</f>
        <v/>
      </c>
      <c r="R72" s="26" t="n"/>
      <c r="S72" s="26" t="n"/>
      <c r="T72" s="26" t="n"/>
      <c r="U72" s="27">
        <f>IF(C72="","",N(R72)+N(S72)+N(T72))</f>
        <v/>
      </c>
      <c r="V72" s="27">
        <f>IF(C72="","",H72-U72)</f>
        <v/>
      </c>
      <c r="W72" s="29">
        <f>IFERROR(V72/H72,"")</f>
        <v/>
      </c>
      <c r="X72" s="24" t="n"/>
    </row>
    <row r="73" ht="15" customHeight="1">
      <c r="A73" s="68">
        <f>IF(C73="","",IFERROR(IF(SUMPRODUCT(MAX((tbl_Finance[Job Number]=C73&amp;"")*(tbl_Finance[Xero Invoice No]&lt;&gt;"")*tbl_Finance[Date]))=0,"",SUMPRODUCT(MAX((tbl_Finance[Job Number]=C73&amp;"")*(tbl_Finance[Xero Invoice No]&lt;&gt;"")*tbl_Finance[Date]))),""))</f>
        <v/>
      </c>
      <c r="B73" s="25">
        <f>IF(C73="","",IF(COUNTIFS(tbl_Finance[Job Number],C73&amp;"",tbl_Finance[Xero Invoice No],"&lt;&gt;")=0,"",IFERROR(IF(COUNTIFS(tbl_Finance[Job Number],C73&amp;"",tbl_Finance[Xero Invoice No],LOOKUP(2,1/((tbl_Finance[Job Number]=C73&amp;"")*(tbl_Finance[Xero Invoice No]&lt;&gt;"")),tbl_Finance[Xero Invoice No]))=COUNTIFS(tbl_Finance[Job Number],C73&amp;"",tbl_Finance[Xero Invoice No],"&lt;&gt;"),LOOKUP(2,1/((tbl_Finance[Job Number]=C73&amp;"")*(tbl_Finance[Xero Invoice No]&lt;&gt;"")),tbl_Finance[Xero Invoice No]),LOOKUP(2,1/((tbl_Finance[Job Number]=C73&amp;"")*(tbl_Finance[Xero Invoice No]&lt;&gt;"")),tbl_Finance[Xero Invoice No])&amp;" +more"),"")))</f>
        <v/>
      </c>
      <c r="C73" s="24" t="n"/>
      <c r="D73" s="25">
        <f>IF(C73="","",IF(COUNTIF(lst_Jobs,C73&amp;"")&gt;0,"OK","CHECK"))</f>
        <v/>
      </c>
      <c r="E73" s="25">
        <f>IF(C73="","",IFERROR(INDEX(lst_JobName,MATCH(C73&amp;"",lst_Jobs,0)),""))</f>
        <v/>
      </c>
      <c r="F73" s="25">
        <f>IF(C73="","",IFERROR(INDEX(tbl_Finance[Client],MATCH(C73&amp;"",tbl_Finance[Job Number],0)),""))</f>
        <v/>
      </c>
      <c r="G73" s="28">
        <f>IF(C73="","",COUNTIFS(tbl_Finance[Job Number],C73&amp;"",tbl_Finance[Ex GST],"&lt;&gt;"))</f>
        <v/>
      </c>
      <c r="H73" s="27">
        <f>IF(C73="","",SUMIFS(tbl_Finance[Ex GST],tbl_Finance[Job Number],C73&amp;""))</f>
        <v/>
      </c>
      <c r="I73" s="27">
        <f>IF(C73="","",SUMIFS(tbl_Finance[Ex GST],tbl_Finance[Job Number],C73&amp;"",tbl_Finance[Xero Invoice No],"&lt;&gt;"))</f>
        <v/>
      </c>
      <c r="J73" s="27">
        <f>IF(C73="","",H73-I73)</f>
        <v/>
      </c>
      <c r="K73" s="25">
        <f>IF(C73="","",IF(G73=0,"not invoiced yet",SUBSTITUTE(TRIM(IF(COUNTIFS(tbl_Finance[Job Number],C73&amp;"",tbl_Finance[Cost Centre],"ONSITE")&gt;0,"ONSITE ","")&amp;IF(COUNTIFS(tbl_Finance[Job Number],C73&amp;"",tbl_Finance[Cost Centre],"PRODUCTION")&gt;0,"PRODUCTION ","")&amp;IF(COUNTIFS(tbl_Finance[Job Number],C73&amp;"",tbl_Finance[Cost Centre],"VIDEO")&gt;0,"VIDEO ","")&amp;IF(COUNTIFS(tbl_Finance[Job Number],C73&amp;"",tbl_Finance[Cost Centre],"INTEGRATION")&gt;0,"INTEGRATION ","")&amp;IF(COUNTIFS(tbl_Finance[Job Number],C73&amp;"",tbl_Finance[Cost Centre],"CONSULTING")&gt;0,"CONSULTING ","")&amp;IF(COUNTIFS(tbl_Finance[Job Number],C73&amp;"",tbl_Finance[Cost Centre],"CTS")&gt;0,"CTS ",""))," ",", ")))</f>
        <v/>
      </c>
      <c r="L73" s="24" t="n"/>
      <c r="M73" s="25">
        <f>IF(L73="","",HYPERLINK(IF(LEFT(L73,4)="http",L73,set_QwilrBase&amp;L73),"Open quote"))</f>
        <v/>
      </c>
      <c r="N73" s="26" t="n"/>
      <c r="O73" s="26" t="n"/>
      <c r="P73" s="26" t="n"/>
      <c r="Q73" s="25">
        <f>IF(C73="","",IF(N(N73)+N(O73)+N(P73)=0,"Not split",IF(ROUND(N(N73)+N(O73)+N(P73),2)=ROUND(H73,2),"OK","MISMATCH")))</f>
        <v/>
      </c>
      <c r="R73" s="26" t="n"/>
      <c r="S73" s="26" t="n"/>
      <c r="T73" s="26" t="n"/>
      <c r="U73" s="27">
        <f>IF(C73="","",N(R73)+N(S73)+N(T73))</f>
        <v/>
      </c>
      <c r="V73" s="27">
        <f>IF(C73="","",H73-U73)</f>
        <v/>
      </c>
      <c r="W73" s="29">
        <f>IFERROR(V73/H73,"")</f>
        <v/>
      </c>
      <c r="X73" s="24" t="n"/>
    </row>
    <row r="74" ht="15" customHeight="1">
      <c r="A74" s="68">
        <f>IF(C74="","",IFERROR(IF(SUMPRODUCT(MAX((tbl_Finance[Job Number]=C74&amp;"")*(tbl_Finance[Xero Invoice No]&lt;&gt;"")*tbl_Finance[Date]))=0,"",SUMPRODUCT(MAX((tbl_Finance[Job Number]=C74&amp;"")*(tbl_Finance[Xero Invoice No]&lt;&gt;"")*tbl_Finance[Date]))),""))</f>
        <v/>
      </c>
      <c r="B74" s="25">
        <f>IF(C74="","",IF(COUNTIFS(tbl_Finance[Job Number],C74&amp;"",tbl_Finance[Xero Invoice No],"&lt;&gt;")=0,"",IFERROR(IF(COUNTIFS(tbl_Finance[Job Number],C74&amp;"",tbl_Finance[Xero Invoice No],LOOKUP(2,1/((tbl_Finance[Job Number]=C74&amp;"")*(tbl_Finance[Xero Invoice No]&lt;&gt;"")),tbl_Finance[Xero Invoice No]))=COUNTIFS(tbl_Finance[Job Number],C74&amp;"",tbl_Finance[Xero Invoice No],"&lt;&gt;"),LOOKUP(2,1/((tbl_Finance[Job Number]=C74&amp;"")*(tbl_Finance[Xero Invoice No]&lt;&gt;"")),tbl_Finance[Xero Invoice No]),LOOKUP(2,1/((tbl_Finance[Job Number]=C74&amp;"")*(tbl_Finance[Xero Invoice No]&lt;&gt;"")),tbl_Finance[Xero Invoice No])&amp;" +more"),"")))</f>
        <v/>
      </c>
      <c r="C74" s="24" t="n"/>
      <c r="D74" s="25">
        <f>IF(C74="","",IF(COUNTIF(lst_Jobs,C74&amp;"")&gt;0,"OK","CHECK"))</f>
        <v/>
      </c>
      <c r="E74" s="25">
        <f>IF(C74="","",IFERROR(INDEX(lst_JobName,MATCH(C74&amp;"",lst_Jobs,0)),""))</f>
        <v/>
      </c>
      <c r="F74" s="25">
        <f>IF(C74="","",IFERROR(INDEX(tbl_Finance[Client],MATCH(C74&amp;"",tbl_Finance[Job Number],0)),""))</f>
        <v/>
      </c>
      <c r="G74" s="28">
        <f>IF(C74="","",COUNTIFS(tbl_Finance[Job Number],C74&amp;"",tbl_Finance[Ex GST],"&lt;&gt;"))</f>
        <v/>
      </c>
      <c r="H74" s="27">
        <f>IF(C74="","",SUMIFS(tbl_Finance[Ex GST],tbl_Finance[Job Number],C74&amp;""))</f>
        <v/>
      </c>
      <c r="I74" s="27">
        <f>IF(C74="","",SUMIFS(tbl_Finance[Ex GST],tbl_Finance[Job Number],C74&amp;"",tbl_Finance[Xero Invoice No],"&lt;&gt;"))</f>
        <v/>
      </c>
      <c r="J74" s="27">
        <f>IF(C74="","",H74-I74)</f>
        <v/>
      </c>
      <c r="K74" s="25">
        <f>IF(C74="","",IF(G74=0,"not invoiced yet",SUBSTITUTE(TRIM(IF(COUNTIFS(tbl_Finance[Job Number],C74&amp;"",tbl_Finance[Cost Centre],"ONSITE")&gt;0,"ONSITE ","")&amp;IF(COUNTIFS(tbl_Finance[Job Number],C74&amp;"",tbl_Finance[Cost Centre],"PRODUCTION")&gt;0,"PRODUCTION ","")&amp;IF(COUNTIFS(tbl_Finance[Job Number],C74&amp;"",tbl_Finance[Cost Centre],"VIDEO")&gt;0,"VIDEO ","")&amp;IF(COUNTIFS(tbl_Finance[Job Number],C74&amp;"",tbl_Finance[Cost Centre],"INTEGRATION")&gt;0,"INTEGRATION ","")&amp;IF(COUNTIFS(tbl_Finance[Job Number],C74&amp;"",tbl_Finance[Cost Centre],"CONSULTING")&gt;0,"CONSULTING ","")&amp;IF(COUNTIFS(tbl_Finance[Job Number],C74&amp;"",tbl_Finance[Cost Centre],"CTS")&gt;0,"CTS ",""))," ",", ")))</f>
        <v/>
      </c>
      <c r="L74" s="24" t="n"/>
      <c r="M74" s="25">
        <f>IF(L74="","",HYPERLINK(IF(LEFT(L74,4)="http",L74,set_QwilrBase&amp;L74),"Open quote"))</f>
        <v/>
      </c>
      <c r="N74" s="26" t="n"/>
      <c r="O74" s="26" t="n"/>
      <c r="P74" s="26" t="n"/>
      <c r="Q74" s="25">
        <f>IF(C74="","",IF(N(N74)+N(O74)+N(P74)=0,"Not split",IF(ROUND(N(N74)+N(O74)+N(P74),2)=ROUND(H74,2),"OK","MISMATCH")))</f>
        <v/>
      </c>
      <c r="R74" s="26" t="n"/>
      <c r="S74" s="26" t="n"/>
      <c r="T74" s="26" t="n"/>
      <c r="U74" s="27">
        <f>IF(C74="","",N(R74)+N(S74)+N(T74))</f>
        <v/>
      </c>
      <c r="V74" s="27">
        <f>IF(C74="","",H74-U74)</f>
        <v/>
      </c>
      <c r="W74" s="29">
        <f>IFERROR(V74/H74,"")</f>
        <v/>
      </c>
      <c r="X74" s="24" t="n"/>
    </row>
    <row r="75" ht="15" customHeight="1">
      <c r="A75" s="68">
        <f>IF(C75="","",IFERROR(IF(SUMPRODUCT(MAX((tbl_Finance[Job Number]=C75&amp;"")*(tbl_Finance[Xero Invoice No]&lt;&gt;"")*tbl_Finance[Date]))=0,"",SUMPRODUCT(MAX((tbl_Finance[Job Number]=C75&amp;"")*(tbl_Finance[Xero Invoice No]&lt;&gt;"")*tbl_Finance[Date]))),""))</f>
        <v/>
      </c>
      <c r="B75" s="25">
        <f>IF(C75="","",IF(COUNTIFS(tbl_Finance[Job Number],C75&amp;"",tbl_Finance[Xero Invoice No],"&lt;&gt;")=0,"",IFERROR(IF(COUNTIFS(tbl_Finance[Job Number],C75&amp;"",tbl_Finance[Xero Invoice No],LOOKUP(2,1/((tbl_Finance[Job Number]=C75&amp;"")*(tbl_Finance[Xero Invoice No]&lt;&gt;"")),tbl_Finance[Xero Invoice No]))=COUNTIFS(tbl_Finance[Job Number],C75&amp;"",tbl_Finance[Xero Invoice No],"&lt;&gt;"),LOOKUP(2,1/((tbl_Finance[Job Number]=C75&amp;"")*(tbl_Finance[Xero Invoice No]&lt;&gt;"")),tbl_Finance[Xero Invoice No]),LOOKUP(2,1/((tbl_Finance[Job Number]=C75&amp;"")*(tbl_Finance[Xero Invoice No]&lt;&gt;"")),tbl_Finance[Xero Invoice No])&amp;" +more"),"")))</f>
        <v/>
      </c>
      <c r="C75" s="24" t="n"/>
      <c r="D75" s="25">
        <f>IF(C75="","",IF(COUNTIF(lst_Jobs,C75&amp;"")&gt;0,"OK","CHECK"))</f>
        <v/>
      </c>
      <c r="E75" s="25">
        <f>IF(C75="","",IFERROR(INDEX(lst_JobName,MATCH(C75&amp;"",lst_Jobs,0)),""))</f>
        <v/>
      </c>
      <c r="F75" s="25">
        <f>IF(C75="","",IFERROR(INDEX(tbl_Finance[Client],MATCH(C75&amp;"",tbl_Finance[Job Number],0)),""))</f>
        <v/>
      </c>
      <c r="G75" s="28">
        <f>IF(C75="","",COUNTIFS(tbl_Finance[Job Number],C75&amp;"",tbl_Finance[Ex GST],"&lt;&gt;"))</f>
        <v/>
      </c>
      <c r="H75" s="27">
        <f>IF(C75="","",SUMIFS(tbl_Finance[Ex GST],tbl_Finance[Job Number],C75&amp;""))</f>
        <v/>
      </c>
      <c r="I75" s="27">
        <f>IF(C75="","",SUMIFS(tbl_Finance[Ex GST],tbl_Finance[Job Number],C75&amp;"",tbl_Finance[Xero Invoice No],"&lt;&gt;"))</f>
        <v/>
      </c>
      <c r="J75" s="27">
        <f>IF(C75="","",H75-I75)</f>
        <v/>
      </c>
      <c r="K75" s="25">
        <f>IF(C75="","",IF(G75=0,"not invoiced yet",SUBSTITUTE(TRIM(IF(COUNTIFS(tbl_Finance[Job Number],C75&amp;"",tbl_Finance[Cost Centre],"ONSITE")&gt;0,"ONSITE ","")&amp;IF(COUNTIFS(tbl_Finance[Job Number],C75&amp;"",tbl_Finance[Cost Centre],"PRODUCTION")&gt;0,"PRODUCTION ","")&amp;IF(COUNTIFS(tbl_Finance[Job Number],C75&amp;"",tbl_Finance[Cost Centre],"VIDEO")&gt;0,"VIDEO ","")&amp;IF(COUNTIFS(tbl_Finance[Job Number],C75&amp;"",tbl_Finance[Cost Centre],"INTEGRATION")&gt;0,"INTEGRATION ","")&amp;IF(COUNTIFS(tbl_Finance[Job Number],C75&amp;"",tbl_Finance[Cost Centre],"CONSULTING")&gt;0,"CONSULTING ","")&amp;IF(COUNTIFS(tbl_Finance[Job Number],C75&amp;"",tbl_Finance[Cost Centre],"CTS")&gt;0,"CTS ",""))," ",", ")))</f>
        <v/>
      </c>
      <c r="L75" s="24" t="n"/>
      <c r="M75" s="25">
        <f>IF(L75="","",HYPERLINK(IF(LEFT(L75,4)="http",L75,set_QwilrBase&amp;L75),"Open quote"))</f>
        <v/>
      </c>
      <c r="N75" s="26" t="n"/>
      <c r="O75" s="26" t="n"/>
      <c r="P75" s="26" t="n"/>
      <c r="Q75" s="25">
        <f>IF(C75="","",IF(N(N75)+N(O75)+N(P75)=0,"Not split",IF(ROUND(N(N75)+N(O75)+N(P75),2)=ROUND(H75,2),"OK","MISMATCH")))</f>
        <v/>
      </c>
      <c r="R75" s="26" t="n"/>
      <c r="S75" s="26" t="n"/>
      <c r="T75" s="26" t="n"/>
      <c r="U75" s="27">
        <f>IF(C75="","",N(R75)+N(S75)+N(T75))</f>
        <v/>
      </c>
      <c r="V75" s="27">
        <f>IF(C75="","",H75-U75)</f>
        <v/>
      </c>
      <c r="W75" s="29">
        <f>IFERROR(V75/H75,"")</f>
        <v/>
      </c>
      <c r="X75" s="24" t="n"/>
    </row>
    <row r="76" ht="15" customHeight="1">
      <c r="A76" s="68">
        <f>IF(C76="","",IFERROR(IF(SUMPRODUCT(MAX((tbl_Finance[Job Number]=C76&amp;"")*(tbl_Finance[Xero Invoice No]&lt;&gt;"")*tbl_Finance[Date]))=0,"",SUMPRODUCT(MAX((tbl_Finance[Job Number]=C76&amp;"")*(tbl_Finance[Xero Invoice No]&lt;&gt;"")*tbl_Finance[Date]))),""))</f>
        <v/>
      </c>
      <c r="B76" s="25">
        <f>IF(C76="","",IF(COUNTIFS(tbl_Finance[Job Number],C76&amp;"",tbl_Finance[Xero Invoice No],"&lt;&gt;")=0,"",IFERROR(IF(COUNTIFS(tbl_Finance[Job Number],C76&amp;"",tbl_Finance[Xero Invoice No],LOOKUP(2,1/((tbl_Finance[Job Number]=C76&amp;"")*(tbl_Finance[Xero Invoice No]&lt;&gt;"")),tbl_Finance[Xero Invoice No]))=COUNTIFS(tbl_Finance[Job Number],C76&amp;"",tbl_Finance[Xero Invoice No],"&lt;&gt;"),LOOKUP(2,1/((tbl_Finance[Job Number]=C76&amp;"")*(tbl_Finance[Xero Invoice No]&lt;&gt;"")),tbl_Finance[Xero Invoice No]),LOOKUP(2,1/((tbl_Finance[Job Number]=C76&amp;"")*(tbl_Finance[Xero Invoice No]&lt;&gt;"")),tbl_Finance[Xero Invoice No])&amp;" +more"),"")))</f>
        <v/>
      </c>
      <c r="C76" s="24" t="n"/>
      <c r="D76" s="25">
        <f>IF(C76="","",IF(COUNTIF(lst_Jobs,C76&amp;"")&gt;0,"OK","CHECK"))</f>
        <v/>
      </c>
      <c r="E76" s="25">
        <f>IF(C76="","",IFERROR(INDEX(lst_JobName,MATCH(C76&amp;"",lst_Jobs,0)),""))</f>
        <v/>
      </c>
      <c r="F76" s="25">
        <f>IF(C76="","",IFERROR(INDEX(tbl_Finance[Client],MATCH(C76&amp;"",tbl_Finance[Job Number],0)),""))</f>
        <v/>
      </c>
      <c r="G76" s="28">
        <f>IF(C76="","",COUNTIFS(tbl_Finance[Job Number],C76&amp;"",tbl_Finance[Ex GST],"&lt;&gt;"))</f>
        <v/>
      </c>
      <c r="H76" s="27">
        <f>IF(C76="","",SUMIFS(tbl_Finance[Ex GST],tbl_Finance[Job Number],C76&amp;""))</f>
        <v/>
      </c>
      <c r="I76" s="27">
        <f>IF(C76="","",SUMIFS(tbl_Finance[Ex GST],tbl_Finance[Job Number],C76&amp;"",tbl_Finance[Xero Invoice No],"&lt;&gt;"))</f>
        <v/>
      </c>
      <c r="J76" s="27">
        <f>IF(C76="","",H76-I76)</f>
        <v/>
      </c>
      <c r="K76" s="25">
        <f>IF(C76="","",IF(G76=0,"not invoiced yet",SUBSTITUTE(TRIM(IF(COUNTIFS(tbl_Finance[Job Number],C76&amp;"",tbl_Finance[Cost Centre],"ONSITE")&gt;0,"ONSITE ","")&amp;IF(COUNTIFS(tbl_Finance[Job Number],C76&amp;"",tbl_Finance[Cost Centre],"PRODUCTION")&gt;0,"PRODUCTION ","")&amp;IF(COUNTIFS(tbl_Finance[Job Number],C76&amp;"",tbl_Finance[Cost Centre],"VIDEO")&gt;0,"VIDEO ","")&amp;IF(COUNTIFS(tbl_Finance[Job Number],C76&amp;"",tbl_Finance[Cost Centre],"INTEGRATION")&gt;0,"INTEGRATION ","")&amp;IF(COUNTIFS(tbl_Finance[Job Number],C76&amp;"",tbl_Finance[Cost Centre],"CONSULTING")&gt;0,"CONSULTING ","")&amp;IF(COUNTIFS(tbl_Finance[Job Number],C76&amp;"",tbl_Finance[Cost Centre],"CTS")&gt;0,"CTS ",""))," ",", ")))</f>
        <v/>
      </c>
      <c r="L76" s="24" t="n"/>
      <c r="M76" s="25">
        <f>IF(L76="","",HYPERLINK(IF(LEFT(L76,4)="http",L76,set_QwilrBase&amp;L76),"Open quote"))</f>
        <v/>
      </c>
      <c r="N76" s="26" t="n"/>
      <c r="O76" s="26" t="n"/>
      <c r="P76" s="26" t="n"/>
      <c r="Q76" s="25">
        <f>IF(C76="","",IF(N(N76)+N(O76)+N(P76)=0,"Not split",IF(ROUND(N(N76)+N(O76)+N(P76),2)=ROUND(H76,2),"OK","MISMATCH")))</f>
        <v/>
      </c>
      <c r="R76" s="26" t="n"/>
      <c r="S76" s="26" t="n"/>
      <c r="T76" s="26" t="n"/>
      <c r="U76" s="27">
        <f>IF(C76="","",N(R76)+N(S76)+N(T76))</f>
        <v/>
      </c>
      <c r="V76" s="27">
        <f>IF(C76="","",H76-U76)</f>
        <v/>
      </c>
      <c r="W76" s="29">
        <f>IFERROR(V76/H76,"")</f>
        <v/>
      </c>
      <c r="X76" s="24" t="n"/>
    </row>
    <row r="77" ht="15" customHeight="1">
      <c r="A77" s="68">
        <f>IF(C77="","",IFERROR(IF(SUMPRODUCT(MAX((tbl_Finance[Job Number]=C77&amp;"")*(tbl_Finance[Xero Invoice No]&lt;&gt;"")*tbl_Finance[Date]))=0,"",SUMPRODUCT(MAX((tbl_Finance[Job Number]=C77&amp;"")*(tbl_Finance[Xero Invoice No]&lt;&gt;"")*tbl_Finance[Date]))),""))</f>
        <v/>
      </c>
      <c r="B77" s="25">
        <f>IF(C77="","",IF(COUNTIFS(tbl_Finance[Job Number],C77&amp;"",tbl_Finance[Xero Invoice No],"&lt;&gt;")=0,"",IFERROR(IF(COUNTIFS(tbl_Finance[Job Number],C77&amp;"",tbl_Finance[Xero Invoice No],LOOKUP(2,1/((tbl_Finance[Job Number]=C77&amp;"")*(tbl_Finance[Xero Invoice No]&lt;&gt;"")),tbl_Finance[Xero Invoice No]))=COUNTIFS(tbl_Finance[Job Number],C77&amp;"",tbl_Finance[Xero Invoice No],"&lt;&gt;"),LOOKUP(2,1/((tbl_Finance[Job Number]=C77&amp;"")*(tbl_Finance[Xero Invoice No]&lt;&gt;"")),tbl_Finance[Xero Invoice No]),LOOKUP(2,1/((tbl_Finance[Job Number]=C77&amp;"")*(tbl_Finance[Xero Invoice No]&lt;&gt;"")),tbl_Finance[Xero Invoice No])&amp;" +more"),"")))</f>
        <v/>
      </c>
      <c r="C77" s="24" t="n"/>
      <c r="D77" s="25">
        <f>IF(C77="","",IF(COUNTIF(lst_Jobs,C77&amp;"")&gt;0,"OK","CHECK"))</f>
        <v/>
      </c>
      <c r="E77" s="25">
        <f>IF(C77="","",IFERROR(INDEX(lst_JobName,MATCH(C77&amp;"",lst_Jobs,0)),""))</f>
        <v/>
      </c>
      <c r="F77" s="25">
        <f>IF(C77="","",IFERROR(INDEX(tbl_Finance[Client],MATCH(C77&amp;"",tbl_Finance[Job Number],0)),""))</f>
        <v/>
      </c>
      <c r="G77" s="28">
        <f>IF(C77="","",COUNTIFS(tbl_Finance[Job Number],C77&amp;"",tbl_Finance[Ex GST],"&lt;&gt;"))</f>
        <v/>
      </c>
      <c r="H77" s="27">
        <f>IF(C77="","",SUMIFS(tbl_Finance[Ex GST],tbl_Finance[Job Number],C77&amp;""))</f>
        <v/>
      </c>
      <c r="I77" s="27">
        <f>IF(C77="","",SUMIFS(tbl_Finance[Ex GST],tbl_Finance[Job Number],C77&amp;"",tbl_Finance[Xero Invoice No],"&lt;&gt;"))</f>
        <v/>
      </c>
      <c r="J77" s="27">
        <f>IF(C77="","",H77-I77)</f>
        <v/>
      </c>
      <c r="K77" s="25">
        <f>IF(C77="","",IF(G77=0,"not invoiced yet",SUBSTITUTE(TRIM(IF(COUNTIFS(tbl_Finance[Job Number],C77&amp;"",tbl_Finance[Cost Centre],"ONSITE")&gt;0,"ONSITE ","")&amp;IF(COUNTIFS(tbl_Finance[Job Number],C77&amp;"",tbl_Finance[Cost Centre],"PRODUCTION")&gt;0,"PRODUCTION ","")&amp;IF(COUNTIFS(tbl_Finance[Job Number],C77&amp;"",tbl_Finance[Cost Centre],"VIDEO")&gt;0,"VIDEO ","")&amp;IF(COUNTIFS(tbl_Finance[Job Number],C77&amp;"",tbl_Finance[Cost Centre],"INTEGRATION")&gt;0,"INTEGRATION ","")&amp;IF(COUNTIFS(tbl_Finance[Job Number],C77&amp;"",tbl_Finance[Cost Centre],"CONSULTING")&gt;0,"CONSULTING ","")&amp;IF(COUNTIFS(tbl_Finance[Job Number],C77&amp;"",tbl_Finance[Cost Centre],"CTS")&gt;0,"CTS ",""))," ",", ")))</f>
        <v/>
      </c>
      <c r="L77" s="24" t="n"/>
      <c r="M77" s="25">
        <f>IF(L77="","",HYPERLINK(IF(LEFT(L77,4)="http",L77,set_QwilrBase&amp;L77),"Open quote"))</f>
        <v/>
      </c>
      <c r="N77" s="26" t="n"/>
      <c r="O77" s="26" t="n"/>
      <c r="P77" s="26" t="n"/>
      <c r="Q77" s="25">
        <f>IF(C77="","",IF(N(N77)+N(O77)+N(P77)=0,"Not split",IF(ROUND(N(N77)+N(O77)+N(P77),2)=ROUND(H77,2),"OK","MISMATCH")))</f>
        <v/>
      </c>
      <c r="R77" s="26" t="n"/>
      <c r="S77" s="26" t="n"/>
      <c r="T77" s="26" t="n"/>
      <c r="U77" s="27">
        <f>IF(C77="","",N(R77)+N(S77)+N(T77))</f>
        <v/>
      </c>
      <c r="V77" s="27">
        <f>IF(C77="","",H77-U77)</f>
        <v/>
      </c>
      <c r="W77" s="29">
        <f>IFERROR(V77/H77,"")</f>
        <v/>
      </c>
      <c r="X77" s="24" t="n"/>
    </row>
    <row r="78" ht="15" customHeight="1">
      <c r="A78" s="68">
        <f>IF(C78="","",IFERROR(IF(SUMPRODUCT(MAX((tbl_Finance[Job Number]=C78&amp;"")*(tbl_Finance[Xero Invoice No]&lt;&gt;"")*tbl_Finance[Date]))=0,"",SUMPRODUCT(MAX((tbl_Finance[Job Number]=C78&amp;"")*(tbl_Finance[Xero Invoice No]&lt;&gt;"")*tbl_Finance[Date]))),""))</f>
        <v/>
      </c>
      <c r="B78" s="25">
        <f>IF(C78="","",IF(COUNTIFS(tbl_Finance[Job Number],C78&amp;"",tbl_Finance[Xero Invoice No],"&lt;&gt;")=0,"",IFERROR(IF(COUNTIFS(tbl_Finance[Job Number],C78&amp;"",tbl_Finance[Xero Invoice No],LOOKUP(2,1/((tbl_Finance[Job Number]=C78&amp;"")*(tbl_Finance[Xero Invoice No]&lt;&gt;"")),tbl_Finance[Xero Invoice No]))=COUNTIFS(tbl_Finance[Job Number],C78&amp;"",tbl_Finance[Xero Invoice No],"&lt;&gt;"),LOOKUP(2,1/((tbl_Finance[Job Number]=C78&amp;"")*(tbl_Finance[Xero Invoice No]&lt;&gt;"")),tbl_Finance[Xero Invoice No]),LOOKUP(2,1/((tbl_Finance[Job Number]=C78&amp;"")*(tbl_Finance[Xero Invoice No]&lt;&gt;"")),tbl_Finance[Xero Invoice No])&amp;" +more"),"")))</f>
        <v/>
      </c>
      <c r="C78" s="24" t="n"/>
      <c r="D78" s="25">
        <f>IF(C78="","",IF(COUNTIF(lst_Jobs,C78&amp;"")&gt;0,"OK","CHECK"))</f>
        <v/>
      </c>
      <c r="E78" s="25">
        <f>IF(C78="","",IFERROR(INDEX(lst_JobName,MATCH(C78&amp;"",lst_Jobs,0)),""))</f>
        <v/>
      </c>
      <c r="F78" s="25">
        <f>IF(C78="","",IFERROR(INDEX(tbl_Finance[Client],MATCH(C78&amp;"",tbl_Finance[Job Number],0)),""))</f>
        <v/>
      </c>
      <c r="G78" s="28">
        <f>IF(C78="","",COUNTIFS(tbl_Finance[Job Number],C78&amp;"",tbl_Finance[Ex GST],"&lt;&gt;"))</f>
        <v/>
      </c>
      <c r="H78" s="27">
        <f>IF(C78="","",SUMIFS(tbl_Finance[Ex GST],tbl_Finance[Job Number],C78&amp;""))</f>
        <v/>
      </c>
      <c r="I78" s="27">
        <f>IF(C78="","",SUMIFS(tbl_Finance[Ex GST],tbl_Finance[Job Number],C78&amp;"",tbl_Finance[Xero Invoice No],"&lt;&gt;"))</f>
        <v/>
      </c>
      <c r="J78" s="27">
        <f>IF(C78="","",H78-I78)</f>
        <v/>
      </c>
      <c r="K78" s="25">
        <f>IF(C78="","",IF(G78=0,"not invoiced yet",SUBSTITUTE(TRIM(IF(COUNTIFS(tbl_Finance[Job Number],C78&amp;"",tbl_Finance[Cost Centre],"ONSITE")&gt;0,"ONSITE ","")&amp;IF(COUNTIFS(tbl_Finance[Job Number],C78&amp;"",tbl_Finance[Cost Centre],"PRODUCTION")&gt;0,"PRODUCTION ","")&amp;IF(COUNTIFS(tbl_Finance[Job Number],C78&amp;"",tbl_Finance[Cost Centre],"VIDEO")&gt;0,"VIDEO ","")&amp;IF(COUNTIFS(tbl_Finance[Job Number],C78&amp;"",tbl_Finance[Cost Centre],"INTEGRATION")&gt;0,"INTEGRATION ","")&amp;IF(COUNTIFS(tbl_Finance[Job Number],C78&amp;"",tbl_Finance[Cost Centre],"CONSULTING")&gt;0,"CONSULTING ","")&amp;IF(COUNTIFS(tbl_Finance[Job Number],C78&amp;"",tbl_Finance[Cost Centre],"CTS")&gt;0,"CTS ",""))," ",", ")))</f>
        <v/>
      </c>
      <c r="L78" s="24" t="n"/>
      <c r="M78" s="25">
        <f>IF(L78="","",HYPERLINK(IF(LEFT(L78,4)="http",L78,set_QwilrBase&amp;L78),"Open quote"))</f>
        <v/>
      </c>
      <c r="N78" s="26" t="n"/>
      <c r="O78" s="26" t="n"/>
      <c r="P78" s="26" t="n"/>
      <c r="Q78" s="25">
        <f>IF(C78="","",IF(N(N78)+N(O78)+N(P78)=0,"Not split",IF(ROUND(N(N78)+N(O78)+N(P78),2)=ROUND(H78,2),"OK","MISMATCH")))</f>
        <v/>
      </c>
      <c r="R78" s="26" t="n"/>
      <c r="S78" s="26" t="n"/>
      <c r="T78" s="26" t="n"/>
      <c r="U78" s="27">
        <f>IF(C78="","",N(R78)+N(S78)+N(T78))</f>
        <v/>
      </c>
      <c r="V78" s="27">
        <f>IF(C78="","",H78-U78)</f>
        <v/>
      </c>
      <c r="W78" s="29">
        <f>IFERROR(V78/H78,"")</f>
        <v/>
      </c>
      <c r="X78" s="24" t="n"/>
    </row>
    <row r="79" ht="15" customHeight="1">
      <c r="A79" s="68">
        <f>IF(C79="","",IFERROR(IF(SUMPRODUCT(MAX((tbl_Finance[Job Number]=C79&amp;"")*(tbl_Finance[Xero Invoice No]&lt;&gt;"")*tbl_Finance[Date]))=0,"",SUMPRODUCT(MAX((tbl_Finance[Job Number]=C79&amp;"")*(tbl_Finance[Xero Invoice No]&lt;&gt;"")*tbl_Finance[Date]))),""))</f>
        <v/>
      </c>
      <c r="B79" s="25">
        <f>IF(C79="","",IF(COUNTIFS(tbl_Finance[Job Number],C79&amp;"",tbl_Finance[Xero Invoice No],"&lt;&gt;")=0,"",IFERROR(IF(COUNTIFS(tbl_Finance[Job Number],C79&amp;"",tbl_Finance[Xero Invoice No],LOOKUP(2,1/((tbl_Finance[Job Number]=C79&amp;"")*(tbl_Finance[Xero Invoice No]&lt;&gt;"")),tbl_Finance[Xero Invoice No]))=COUNTIFS(tbl_Finance[Job Number],C79&amp;"",tbl_Finance[Xero Invoice No],"&lt;&gt;"),LOOKUP(2,1/((tbl_Finance[Job Number]=C79&amp;"")*(tbl_Finance[Xero Invoice No]&lt;&gt;"")),tbl_Finance[Xero Invoice No]),LOOKUP(2,1/((tbl_Finance[Job Number]=C79&amp;"")*(tbl_Finance[Xero Invoice No]&lt;&gt;"")),tbl_Finance[Xero Invoice No])&amp;" +more"),"")))</f>
        <v/>
      </c>
      <c r="C79" s="24" t="n"/>
      <c r="D79" s="25">
        <f>IF(C79="","",IF(COUNTIF(lst_Jobs,C79&amp;"")&gt;0,"OK","CHECK"))</f>
        <v/>
      </c>
      <c r="E79" s="25">
        <f>IF(C79="","",IFERROR(INDEX(lst_JobName,MATCH(C79&amp;"",lst_Jobs,0)),""))</f>
        <v/>
      </c>
      <c r="F79" s="25">
        <f>IF(C79="","",IFERROR(INDEX(tbl_Finance[Client],MATCH(C79&amp;"",tbl_Finance[Job Number],0)),""))</f>
        <v/>
      </c>
      <c r="G79" s="28">
        <f>IF(C79="","",COUNTIFS(tbl_Finance[Job Number],C79&amp;"",tbl_Finance[Ex GST],"&lt;&gt;"))</f>
        <v/>
      </c>
      <c r="H79" s="27">
        <f>IF(C79="","",SUMIFS(tbl_Finance[Ex GST],tbl_Finance[Job Number],C79&amp;""))</f>
        <v/>
      </c>
      <c r="I79" s="27">
        <f>IF(C79="","",SUMIFS(tbl_Finance[Ex GST],tbl_Finance[Job Number],C79&amp;"",tbl_Finance[Xero Invoice No],"&lt;&gt;"))</f>
        <v/>
      </c>
      <c r="J79" s="27">
        <f>IF(C79="","",H79-I79)</f>
        <v/>
      </c>
      <c r="K79" s="25">
        <f>IF(C79="","",IF(G79=0,"not invoiced yet",SUBSTITUTE(TRIM(IF(COUNTIFS(tbl_Finance[Job Number],C79&amp;"",tbl_Finance[Cost Centre],"ONSITE")&gt;0,"ONSITE ","")&amp;IF(COUNTIFS(tbl_Finance[Job Number],C79&amp;"",tbl_Finance[Cost Centre],"PRODUCTION")&gt;0,"PRODUCTION ","")&amp;IF(COUNTIFS(tbl_Finance[Job Number],C79&amp;"",tbl_Finance[Cost Centre],"VIDEO")&gt;0,"VIDEO ","")&amp;IF(COUNTIFS(tbl_Finance[Job Number],C79&amp;"",tbl_Finance[Cost Centre],"INTEGRATION")&gt;0,"INTEGRATION ","")&amp;IF(COUNTIFS(tbl_Finance[Job Number],C79&amp;"",tbl_Finance[Cost Centre],"CONSULTING")&gt;0,"CONSULTING ","")&amp;IF(COUNTIFS(tbl_Finance[Job Number],C79&amp;"",tbl_Finance[Cost Centre],"CTS")&gt;0,"CTS ",""))," ",", ")))</f>
        <v/>
      </c>
      <c r="L79" s="24" t="n"/>
      <c r="M79" s="25">
        <f>IF(L79="","",HYPERLINK(IF(LEFT(L79,4)="http",L79,set_QwilrBase&amp;L79),"Open quote"))</f>
        <v/>
      </c>
      <c r="N79" s="26" t="n"/>
      <c r="O79" s="26" t="n"/>
      <c r="P79" s="26" t="n"/>
      <c r="Q79" s="25">
        <f>IF(C79="","",IF(N(N79)+N(O79)+N(P79)=0,"Not split",IF(ROUND(N(N79)+N(O79)+N(P79),2)=ROUND(H79,2),"OK","MISMATCH")))</f>
        <v/>
      </c>
      <c r="R79" s="26" t="n"/>
      <c r="S79" s="26" t="n"/>
      <c r="T79" s="26" t="n"/>
      <c r="U79" s="27">
        <f>IF(C79="","",N(R79)+N(S79)+N(T79))</f>
        <v/>
      </c>
      <c r="V79" s="27">
        <f>IF(C79="","",H79-U79)</f>
        <v/>
      </c>
      <c r="W79" s="29">
        <f>IFERROR(V79/H79,"")</f>
        <v/>
      </c>
      <c r="X79" s="24" t="n"/>
    </row>
    <row r="80" ht="15" customHeight="1">
      <c r="A80" s="68">
        <f>IF(C80="","",IFERROR(IF(SUMPRODUCT(MAX((tbl_Finance[Job Number]=C80&amp;"")*(tbl_Finance[Xero Invoice No]&lt;&gt;"")*tbl_Finance[Date]))=0,"",SUMPRODUCT(MAX((tbl_Finance[Job Number]=C80&amp;"")*(tbl_Finance[Xero Invoice No]&lt;&gt;"")*tbl_Finance[Date]))),""))</f>
        <v/>
      </c>
      <c r="B80" s="25">
        <f>IF(C80="","",IF(COUNTIFS(tbl_Finance[Job Number],C80&amp;"",tbl_Finance[Xero Invoice No],"&lt;&gt;")=0,"",IFERROR(IF(COUNTIFS(tbl_Finance[Job Number],C80&amp;"",tbl_Finance[Xero Invoice No],LOOKUP(2,1/((tbl_Finance[Job Number]=C80&amp;"")*(tbl_Finance[Xero Invoice No]&lt;&gt;"")),tbl_Finance[Xero Invoice No]))=COUNTIFS(tbl_Finance[Job Number],C80&amp;"",tbl_Finance[Xero Invoice No],"&lt;&gt;"),LOOKUP(2,1/((tbl_Finance[Job Number]=C80&amp;"")*(tbl_Finance[Xero Invoice No]&lt;&gt;"")),tbl_Finance[Xero Invoice No]),LOOKUP(2,1/((tbl_Finance[Job Number]=C80&amp;"")*(tbl_Finance[Xero Invoice No]&lt;&gt;"")),tbl_Finance[Xero Invoice No])&amp;" +more"),"")))</f>
        <v/>
      </c>
      <c r="C80" s="24" t="n"/>
      <c r="D80" s="25">
        <f>IF(C80="","",IF(COUNTIF(lst_Jobs,C80&amp;"")&gt;0,"OK","CHECK"))</f>
        <v/>
      </c>
      <c r="E80" s="25">
        <f>IF(C80="","",IFERROR(INDEX(lst_JobName,MATCH(C80&amp;"",lst_Jobs,0)),""))</f>
        <v/>
      </c>
      <c r="F80" s="25">
        <f>IF(C80="","",IFERROR(INDEX(tbl_Finance[Client],MATCH(C80&amp;"",tbl_Finance[Job Number],0)),""))</f>
        <v/>
      </c>
      <c r="G80" s="28">
        <f>IF(C80="","",COUNTIFS(tbl_Finance[Job Number],C80&amp;"",tbl_Finance[Ex GST],"&lt;&gt;"))</f>
        <v/>
      </c>
      <c r="H80" s="27">
        <f>IF(C80="","",SUMIFS(tbl_Finance[Ex GST],tbl_Finance[Job Number],C80&amp;""))</f>
        <v/>
      </c>
      <c r="I80" s="27">
        <f>IF(C80="","",SUMIFS(tbl_Finance[Ex GST],tbl_Finance[Job Number],C80&amp;"",tbl_Finance[Xero Invoice No],"&lt;&gt;"))</f>
        <v/>
      </c>
      <c r="J80" s="27">
        <f>IF(C80="","",H80-I80)</f>
        <v/>
      </c>
      <c r="K80" s="25">
        <f>IF(C80="","",IF(G80=0,"not invoiced yet",SUBSTITUTE(TRIM(IF(COUNTIFS(tbl_Finance[Job Number],C80&amp;"",tbl_Finance[Cost Centre],"ONSITE")&gt;0,"ONSITE ","")&amp;IF(COUNTIFS(tbl_Finance[Job Number],C80&amp;"",tbl_Finance[Cost Centre],"PRODUCTION")&gt;0,"PRODUCTION ","")&amp;IF(COUNTIFS(tbl_Finance[Job Number],C80&amp;"",tbl_Finance[Cost Centre],"VIDEO")&gt;0,"VIDEO ","")&amp;IF(COUNTIFS(tbl_Finance[Job Number],C80&amp;"",tbl_Finance[Cost Centre],"INTEGRATION")&gt;0,"INTEGRATION ","")&amp;IF(COUNTIFS(tbl_Finance[Job Number],C80&amp;"",tbl_Finance[Cost Centre],"CONSULTING")&gt;0,"CONSULTING ","")&amp;IF(COUNTIFS(tbl_Finance[Job Number],C80&amp;"",tbl_Finance[Cost Centre],"CTS")&gt;0,"CTS ",""))," ",", ")))</f>
        <v/>
      </c>
      <c r="L80" s="24" t="n"/>
      <c r="M80" s="25">
        <f>IF(L80="","",HYPERLINK(IF(LEFT(L80,4)="http",L80,set_QwilrBase&amp;L80),"Open quote"))</f>
        <v/>
      </c>
      <c r="N80" s="26" t="n"/>
      <c r="O80" s="26" t="n"/>
      <c r="P80" s="26" t="n"/>
      <c r="Q80" s="25">
        <f>IF(C80="","",IF(N(N80)+N(O80)+N(P80)=0,"Not split",IF(ROUND(N(N80)+N(O80)+N(P80),2)=ROUND(H80,2),"OK","MISMATCH")))</f>
        <v/>
      </c>
      <c r="R80" s="26" t="n"/>
      <c r="S80" s="26" t="n"/>
      <c r="T80" s="26" t="n"/>
      <c r="U80" s="27">
        <f>IF(C80="","",N(R80)+N(S80)+N(T80))</f>
        <v/>
      </c>
      <c r="V80" s="27">
        <f>IF(C80="","",H80-U80)</f>
        <v/>
      </c>
      <c r="W80" s="29">
        <f>IFERROR(V80/H80,"")</f>
        <v/>
      </c>
      <c r="X80" s="24" t="n"/>
    </row>
    <row r="81" ht="15" customHeight="1">
      <c r="A81" s="68">
        <f>IF(C81="","",IFERROR(IF(SUMPRODUCT(MAX((tbl_Finance[Job Number]=C81&amp;"")*(tbl_Finance[Xero Invoice No]&lt;&gt;"")*tbl_Finance[Date]))=0,"",SUMPRODUCT(MAX((tbl_Finance[Job Number]=C81&amp;"")*(tbl_Finance[Xero Invoice No]&lt;&gt;"")*tbl_Finance[Date]))),""))</f>
        <v/>
      </c>
      <c r="B81" s="25">
        <f>IF(C81="","",IF(COUNTIFS(tbl_Finance[Job Number],C81&amp;"",tbl_Finance[Xero Invoice No],"&lt;&gt;")=0,"",IFERROR(IF(COUNTIFS(tbl_Finance[Job Number],C81&amp;"",tbl_Finance[Xero Invoice No],LOOKUP(2,1/((tbl_Finance[Job Number]=C81&amp;"")*(tbl_Finance[Xero Invoice No]&lt;&gt;"")),tbl_Finance[Xero Invoice No]))=COUNTIFS(tbl_Finance[Job Number],C81&amp;"",tbl_Finance[Xero Invoice No],"&lt;&gt;"),LOOKUP(2,1/((tbl_Finance[Job Number]=C81&amp;"")*(tbl_Finance[Xero Invoice No]&lt;&gt;"")),tbl_Finance[Xero Invoice No]),LOOKUP(2,1/((tbl_Finance[Job Number]=C81&amp;"")*(tbl_Finance[Xero Invoice No]&lt;&gt;"")),tbl_Finance[Xero Invoice No])&amp;" +more"),"")))</f>
        <v/>
      </c>
      <c r="C81" s="24" t="n"/>
      <c r="D81" s="25">
        <f>IF(C81="","",IF(COUNTIF(lst_Jobs,C81&amp;"")&gt;0,"OK","CHECK"))</f>
        <v/>
      </c>
      <c r="E81" s="25">
        <f>IF(C81="","",IFERROR(INDEX(lst_JobName,MATCH(C81&amp;"",lst_Jobs,0)),""))</f>
        <v/>
      </c>
      <c r="F81" s="25">
        <f>IF(C81="","",IFERROR(INDEX(tbl_Finance[Client],MATCH(C81&amp;"",tbl_Finance[Job Number],0)),""))</f>
        <v/>
      </c>
      <c r="G81" s="28">
        <f>IF(C81="","",COUNTIFS(tbl_Finance[Job Number],C81&amp;"",tbl_Finance[Ex GST],"&lt;&gt;"))</f>
        <v/>
      </c>
      <c r="H81" s="27">
        <f>IF(C81="","",SUMIFS(tbl_Finance[Ex GST],tbl_Finance[Job Number],C81&amp;""))</f>
        <v/>
      </c>
      <c r="I81" s="27">
        <f>IF(C81="","",SUMIFS(tbl_Finance[Ex GST],tbl_Finance[Job Number],C81&amp;"",tbl_Finance[Xero Invoice No],"&lt;&gt;"))</f>
        <v/>
      </c>
      <c r="J81" s="27">
        <f>IF(C81="","",H81-I81)</f>
        <v/>
      </c>
      <c r="K81" s="25">
        <f>IF(C81="","",IF(G81=0,"not invoiced yet",SUBSTITUTE(TRIM(IF(COUNTIFS(tbl_Finance[Job Number],C81&amp;"",tbl_Finance[Cost Centre],"ONSITE")&gt;0,"ONSITE ","")&amp;IF(COUNTIFS(tbl_Finance[Job Number],C81&amp;"",tbl_Finance[Cost Centre],"PRODUCTION")&gt;0,"PRODUCTION ","")&amp;IF(COUNTIFS(tbl_Finance[Job Number],C81&amp;"",tbl_Finance[Cost Centre],"VIDEO")&gt;0,"VIDEO ","")&amp;IF(COUNTIFS(tbl_Finance[Job Number],C81&amp;"",tbl_Finance[Cost Centre],"INTEGRATION")&gt;0,"INTEGRATION ","")&amp;IF(COUNTIFS(tbl_Finance[Job Number],C81&amp;"",tbl_Finance[Cost Centre],"CONSULTING")&gt;0,"CONSULTING ","")&amp;IF(COUNTIFS(tbl_Finance[Job Number],C81&amp;"",tbl_Finance[Cost Centre],"CTS")&gt;0,"CTS ",""))," ",", ")))</f>
        <v/>
      </c>
      <c r="L81" s="24" t="n"/>
      <c r="M81" s="25">
        <f>IF(L81="","",HYPERLINK(IF(LEFT(L81,4)="http",L81,set_QwilrBase&amp;L81),"Open quote"))</f>
        <v/>
      </c>
      <c r="N81" s="26" t="n"/>
      <c r="O81" s="26" t="n"/>
      <c r="P81" s="26" t="n"/>
      <c r="Q81" s="25">
        <f>IF(C81="","",IF(N(N81)+N(O81)+N(P81)=0,"Not split",IF(ROUND(N(N81)+N(O81)+N(P81),2)=ROUND(H81,2),"OK","MISMATCH")))</f>
        <v/>
      </c>
      <c r="R81" s="26" t="n"/>
      <c r="S81" s="26" t="n"/>
      <c r="T81" s="26" t="n"/>
      <c r="U81" s="27">
        <f>IF(C81="","",N(R81)+N(S81)+N(T81))</f>
        <v/>
      </c>
      <c r="V81" s="27">
        <f>IF(C81="","",H81-U81)</f>
        <v/>
      </c>
      <c r="W81" s="29">
        <f>IFERROR(V81/H81,"")</f>
        <v/>
      </c>
      <c r="X81" s="24" t="n"/>
    </row>
    <row r="82" ht="15" customHeight="1">
      <c r="A82" s="68">
        <f>IF(C82="","",IFERROR(IF(SUMPRODUCT(MAX((tbl_Finance[Job Number]=C82&amp;"")*(tbl_Finance[Xero Invoice No]&lt;&gt;"")*tbl_Finance[Date]))=0,"",SUMPRODUCT(MAX((tbl_Finance[Job Number]=C82&amp;"")*(tbl_Finance[Xero Invoice No]&lt;&gt;"")*tbl_Finance[Date]))),""))</f>
        <v/>
      </c>
      <c r="B82" s="25">
        <f>IF(C82="","",IF(COUNTIFS(tbl_Finance[Job Number],C82&amp;"",tbl_Finance[Xero Invoice No],"&lt;&gt;")=0,"",IFERROR(IF(COUNTIFS(tbl_Finance[Job Number],C82&amp;"",tbl_Finance[Xero Invoice No],LOOKUP(2,1/((tbl_Finance[Job Number]=C82&amp;"")*(tbl_Finance[Xero Invoice No]&lt;&gt;"")),tbl_Finance[Xero Invoice No]))=COUNTIFS(tbl_Finance[Job Number],C82&amp;"",tbl_Finance[Xero Invoice No],"&lt;&gt;"),LOOKUP(2,1/((tbl_Finance[Job Number]=C82&amp;"")*(tbl_Finance[Xero Invoice No]&lt;&gt;"")),tbl_Finance[Xero Invoice No]),LOOKUP(2,1/((tbl_Finance[Job Number]=C82&amp;"")*(tbl_Finance[Xero Invoice No]&lt;&gt;"")),tbl_Finance[Xero Invoice No])&amp;" +more"),"")))</f>
        <v/>
      </c>
      <c r="C82" s="24" t="n"/>
      <c r="D82" s="25">
        <f>IF(C82="","",IF(COUNTIF(lst_Jobs,C82&amp;"")&gt;0,"OK","CHECK"))</f>
        <v/>
      </c>
      <c r="E82" s="25">
        <f>IF(C82="","",IFERROR(INDEX(lst_JobName,MATCH(C82&amp;"",lst_Jobs,0)),""))</f>
        <v/>
      </c>
      <c r="F82" s="25">
        <f>IF(C82="","",IFERROR(INDEX(tbl_Finance[Client],MATCH(C82&amp;"",tbl_Finance[Job Number],0)),""))</f>
        <v/>
      </c>
      <c r="G82" s="28">
        <f>IF(C82="","",COUNTIFS(tbl_Finance[Job Number],C82&amp;"",tbl_Finance[Ex GST],"&lt;&gt;"))</f>
        <v/>
      </c>
      <c r="H82" s="27">
        <f>IF(C82="","",SUMIFS(tbl_Finance[Ex GST],tbl_Finance[Job Number],C82&amp;""))</f>
        <v/>
      </c>
      <c r="I82" s="27">
        <f>IF(C82="","",SUMIFS(tbl_Finance[Ex GST],tbl_Finance[Job Number],C82&amp;"",tbl_Finance[Xero Invoice No],"&lt;&gt;"))</f>
        <v/>
      </c>
      <c r="J82" s="27">
        <f>IF(C82="","",H82-I82)</f>
        <v/>
      </c>
      <c r="K82" s="25">
        <f>IF(C82="","",IF(G82=0,"not invoiced yet",SUBSTITUTE(TRIM(IF(COUNTIFS(tbl_Finance[Job Number],C82&amp;"",tbl_Finance[Cost Centre],"ONSITE")&gt;0,"ONSITE ","")&amp;IF(COUNTIFS(tbl_Finance[Job Number],C82&amp;"",tbl_Finance[Cost Centre],"PRODUCTION")&gt;0,"PRODUCTION ","")&amp;IF(COUNTIFS(tbl_Finance[Job Number],C82&amp;"",tbl_Finance[Cost Centre],"VIDEO")&gt;0,"VIDEO ","")&amp;IF(COUNTIFS(tbl_Finance[Job Number],C82&amp;"",tbl_Finance[Cost Centre],"INTEGRATION")&gt;0,"INTEGRATION ","")&amp;IF(COUNTIFS(tbl_Finance[Job Number],C82&amp;"",tbl_Finance[Cost Centre],"CONSULTING")&gt;0,"CONSULTING ","")&amp;IF(COUNTIFS(tbl_Finance[Job Number],C82&amp;"",tbl_Finance[Cost Centre],"CTS")&gt;0,"CTS ",""))," ",", ")))</f>
        <v/>
      </c>
      <c r="L82" s="24" t="n"/>
      <c r="M82" s="25">
        <f>IF(L82="","",HYPERLINK(IF(LEFT(L82,4)="http",L82,set_QwilrBase&amp;L82),"Open quote"))</f>
        <v/>
      </c>
      <c r="N82" s="26" t="n"/>
      <c r="O82" s="26" t="n"/>
      <c r="P82" s="26" t="n"/>
      <c r="Q82" s="25">
        <f>IF(C82="","",IF(N(N82)+N(O82)+N(P82)=0,"Not split",IF(ROUND(N(N82)+N(O82)+N(P82),2)=ROUND(H82,2),"OK","MISMATCH")))</f>
        <v/>
      </c>
      <c r="R82" s="26" t="n"/>
      <c r="S82" s="26" t="n"/>
      <c r="T82" s="26" t="n"/>
      <c r="U82" s="27">
        <f>IF(C82="","",N(R82)+N(S82)+N(T82))</f>
        <v/>
      </c>
      <c r="V82" s="27">
        <f>IF(C82="","",H82-U82)</f>
        <v/>
      </c>
      <c r="W82" s="29">
        <f>IFERROR(V82/H82,"")</f>
        <v/>
      </c>
      <c r="X82" s="24" t="n"/>
    </row>
    <row r="83" ht="15" customHeight="1">
      <c r="A83" s="68">
        <f>IF(C83="","",IFERROR(IF(SUMPRODUCT(MAX((tbl_Finance[Job Number]=C83&amp;"")*(tbl_Finance[Xero Invoice No]&lt;&gt;"")*tbl_Finance[Date]))=0,"",SUMPRODUCT(MAX((tbl_Finance[Job Number]=C83&amp;"")*(tbl_Finance[Xero Invoice No]&lt;&gt;"")*tbl_Finance[Date]))),""))</f>
        <v/>
      </c>
      <c r="B83" s="25">
        <f>IF(C83="","",IF(COUNTIFS(tbl_Finance[Job Number],C83&amp;"",tbl_Finance[Xero Invoice No],"&lt;&gt;")=0,"",IFERROR(IF(COUNTIFS(tbl_Finance[Job Number],C83&amp;"",tbl_Finance[Xero Invoice No],LOOKUP(2,1/((tbl_Finance[Job Number]=C83&amp;"")*(tbl_Finance[Xero Invoice No]&lt;&gt;"")),tbl_Finance[Xero Invoice No]))=COUNTIFS(tbl_Finance[Job Number],C83&amp;"",tbl_Finance[Xero Invoice No],"&lt;&gt;"),LOOKUP(2,1/((tbl_Finance[Job Number]=C83&amp;"")*(tbl_Finance[Xero Invoice No]&lt;&gt;"")),tbl_Finance[Xero Invoice No]),LOOKUP(2,1/((tbl_Finance[Job Number]=C83&amp;"")*(tbl_Finance[Xero Invoice No]&lt;&gt;"")),tbl_Finance[Xero Invoice No])&amp;" +more"),"")))</f>
        <v/>
      </c>
      <c r="C83" s="24" t="n"/>
      <c r="D83" s="25">
        <f>IF(C83="","",IF(COUNTIF(lst_Jobs,C83&amp;"")&gt;0,"OK","CHECK"))</f>
        <v/>
      </c>
      <c r="E83" s="25">
        <f>IF(C83="","",IFERROR(INDEX(lst_JobName,MATCH(C83&amp;"",lst_Jobs,0)),""))</f>
        <v/>
      </c>
      <c r="F83" s="25">
        <f>IF(C83="","",IFERROR(INDEX(tbl_Finance[Client],MATCH(C83&amp;"",tbl_Finance[Job Number],0)),""))</f>
        <v/>
      </c>
      <c r="G83" s="28">
        <f>IF(C83="","",COUNTIFS(tbl_Finance[Job Number],C83&amp;"",tbl_Finance[Ex GST],"&lt;&gt;"))</f>
        <v/>
      </c>
      <c r="H83" s="27">
        <f>IF(C83="","",SUMIFS(tbl_Finance[Ex GST],tbl_Finance[Job Number],C83&amp;""))</f>
        <v/>
      </c>
      <c r="I83" s="27">
        <f>IF(C83="","",SUMIFS(tbl_Finance[Ex GST],tbl_Finance[Job Number],C83&amp;"",tbl_Finance[Xero Invoice No],"&lt;&gt;"))</f>
        <v/>
      </c>
      <c r="J83" s="27">
        <f>IF(C83="","",H83-I83)</f>
        <v/>
      </c>
      <c r="K83" s="25">
        <f>IF(C83="","",IF(G83=0,"not invoiced yet",SUBSTITUTE(TRIM(IF(COUNTIFS(tbl_Finance[Job Number],C83&amp;"",tbl_Finance[Cost Centre],"ONSITE")&gt;0,"ONSITE ","")&amp;IF(COUNTIFS(tbl_Finance[Job Number],C83&amp;"",tbl_Finance[Cost Centre],"PRODUCTION")&gt;0,"PRODUCTION ","")&amp;IF(COUNTIFS(tbl_Finance[Job Number],C83&amp;"",tbl_Finance[Cost Centre],"VIDEO")&gt;0,"VIDEO ","")&amp;IF(COUNTIFS(tbl_Finance[Job Number],C83&amp;"",tbl_Finance[Cost Centre],"INTEGRATION")&gt;0,"INTEGRATION ","")&amp;IF(COUNTIFS(tbl_Finance[Job Number],C83&amp;"",tbl_Finance[Cost Centre],"CONSULTING")&gt;0,"CONSULTING ","")&amp;IF(COUNTIFS(tbl_Finance[Job Number],C83&amp;"",tbl_Finance[Cost Centre],"CTS")&gt;0,"CTS ",""))," ",", ")))</f>
        <v/>
      </c>
      <c r="L83" s="24" t="n"/>
      <c r="M83" s="25">
        <f>IF(L83="","",HYPERLINK(IF(LEFT(L83,4)="http",L83,set_QwilrBase&amp;L83),"Open quote"))</f>
        <v/>
      </c>
      <c r="N83" s="26" t="n"/>
      <c r="O83" s="26" t="n"/>
      <c r="P83" s="26" t="n"/>
      <c r="Q83" s="25">
        <f>IF(C83="","",IF(N(N83)+N(O83)+N(P83)=0,"Not split",IF(ROUND(N(N83)+N(O83)+N(P83),2)=ROUND(H83,2),"OK","MISMATCH")))</f>
        <v/>
      </c>
      <c r="R83" s="26" t="n"/>
      <c r="S83" s="26" t="n"/>
      <c r="T83" s="26" t="n"/>
      <c r="U83" s="27">
        <f>IF(C83="","",N(R83)+N(S83)+N(T83))</f>
        <v/>
      </c>
      <c r="V83" s="27">
        <f>IF(C83="","",H83-U83)</f>
        <v/>
      </c>
      <c r="W83" s="29">
        <f>IFERROR(V83/H83,"")</f>
        <v/>
      </c>
      <c r="X83" s="24" t="n"/>
    </row>
    <row r="84" ht="15" customHeight="1">
      <c r="A84" s="68">
        <f>IF(C84="","",IFERROR(IF(SUMPRODUCT(MAX((tbl_Finance[Job Number]=C84&amp;"")*(tbl_Finance[Xero Invoice No]&lt;&gt;"")*tbl_Finance[Date]))=0,"",SUMPRODUCT(MAX((tbl_Finance[Job Number]=C84&amp;"")*(tbl_Finance[Xero Invoice No]&lt;&gt;"")*tbl_Finance[Date]))),""))</f>
        <v/>
      </c>
      <c r="B84" s="25">
        <f>IF(C84="","",IF(COUNTIFS(tbl_Finance[Job Number],C84&amp;"",tbl_Finance[Xero Invoice No],"&lt;&gt;")=0,"",IFERROR(IF(COUNTIFS(tbl_Finance[Job Number],C84&amp;"",tbl_Finance[Xero Invoice No],LOOKUP(2,1/((tbl_Finance[Job Number]=C84&amp;"")*(tbl_Finance[Xero Invoice No]&lt;&gt;"")),tbl_Finance[Xero Invoice No]))=COUNTIFS(tbl_Finance[Job Number],C84&amp;"",tbl_Finance[Xero Invoice No],"&lt;&gt;"),LOOKUP(2,1/((tbl_Finance[Job Number]=C84&amp;"")*(tbl_Finance[Xero Invoice No]&lt;&gt;"")),tbl_Finance[Xero Invoice No]),LOOKUP(2,1/((tbl_Finance[Job Number]=C84&amp;"")*(tbl_Finance[Xero Invoice No]&lt;&gt;"")),tbl_Finance[Xero Invoice No])&amp;" +more"),"")))</f>
        <v/>
      </c>
      <c r="C84" s="24" t="n"/>
      <c r="D84" s="25">
        <f>IF(C84="","",IF(COUNTIF(lst_Jobs,C84&amp;"")&gt;0,"OK","CHECK"))</f>
        <v/>
      </c>
      <c r="E84" s="25">
        <f>IF(C84="","",IFERROR(INDEX(lst_JobName,MATCH(C84&amp;"",lst_Jobs,0)),""))</f>
        <v/>
      </c>
      <c r="F84" s="25">
        <f>IF(C84="","",IFERROR(INDEX(tbl_Finance[Client],MATCH(C84&amp;"",tbl_Finance[Job Number],0)),""))</f>
        <v/>
      </c>
      <c r="G84" s="28">
        <f>IF(C84="","",COUNTIFS(tbl_Finance[Job Number],C84&amp;"",tbl_Finance[Ex GST],"&lt;&gt;"))</f>
        <v/>
      </c>
      <c r="H84" s="27">
        <f>IF(C84="","",SUMIFS(tbl_Finance[Ex GST],tbl_Finance[Job Number],C84&amp;""))</f>
        <v/>
      </c>
      <c r="I84" s="27">
        <f>IF(C84="","",SUMIFS(tbl_Finance[Ex GST],tbl_Finance[Job Number],C84&amp;"",tbl_Finance[Xero Invoice No],"&lt;&gt;"))</f>
        <v/>
      </c>
      <c r="J84" s="27">
        <f>IF(C84="","",H84-I84)</f>
        <v/>
      </c>
      <c r="K84" s="25">
        <f>IF(C84="","",IF(G84=0,"not invoiced yet",SUBSTITUTE(TRIM(IF(COUNTIFS(tbl_Finance[Job Number],C84&amp;"",tbl_Finance[Cost Centre],"ONSITE")&gt;0,"ONSITE ","")&amp;IF(COUNTIFS(tbl_Finance[Job Number],C84&amp;"",tbl_Finance[Cost Centre],"PRODUCTION")&gt;0,"PRODUCTION ","")&amp;IF(COUNTIFS(tbl_Finance[Job Number],C84&amp;"",tbl_Finance[Cost Centre],"VIDEO")&gt;0,"VIDEO ","")&amp;IF(COUNTIFS(tbl_Finance[Job Number],C84&amp;"",tbl_Finance[Cost Centre],"INTEGRATION")&gt;0,"INTEGRATION ","")&amp;IF(COUNTIFS(tbl_Finance[Job Number],C84&amp;"",tbl_Finance[Cost Centre],"CONSULTING")&gt;0,"CONSULTING ","")&amp;IF(COUNTIFS(tbl_Finance[Job Number],C84&amp;"",tbl_Finance[Cost Centre],"CTS")&gt;0,"CTS ",""))," ",", ")))</f>
        <v/>
      </c>
      <c r="L84" s="24" t="n"/>
      <c r="M84" s="25">
        <f>IF(L84="","",HYPERLINK(IF(LEFT(L84,4)="http",L84,set_QwilrBase&amp;L84),"Open quote"))</f>
        <v/>
      </c>
      <c r="N84" s="26" t="n"/>
      <c r="O84" s="26" t="n"/>
      <c r="P84" s="26" t="n"/>
      <c r="Q84" s="25">
        <f>IF(C84="","",IF(N(N84)+N(O84)+N(P84)=0,"Not split",IF(ROUND(N(N84)+N(O84)+N(P84),2)=ROUND(H84,2),"OK","MISMATCH")))</f>
        <v/>
      </c>
      <c r="R84" s="26" t="n"/>
      <c r="S84" s="26" t="n"/>
      <c r="T84" s="26" t="n"/>
      <c r="U84" s="27">
        <f>IF(C84="","",N(R84)+N(S84)+N(T84))</f>
        <v/>
      </c>
      <c r="V84" s="27">
        <f>IF(C84="","",H84-U84)</f>
        <v/>
      </c>
      <c r="W84" s="29">
        <f>IFERROR(V84/H84,"")</f>
        <v/>
      </c>
      <c r="X84" s="24" t="n"/>
    </row>
    <row r="85" ht="15" customHeight="1">
      <c r="A85" s="68">
        <f>IF(C85="","",IFERROR(IF(SUMPRODUCT(MAX((tbl_Finance[Job Number]=C85&amp;"")*(tbl_Finance[Xero Invoice No]&lt;&gt;"")*tbl_Finance[Date]))=0,"",SUMPRODUCT(MAX((tbl_Finance[Job Number]=C85&amp;"")*(tbl_Finance[Xero Invoice No]&lt;&gt;"")*tbl_Finance[Date]))),""))</f>
        <v/>
      </c>
      <c r="B85" s="25">
        <f>IF(C85="","",IF(COUNTIFS(tbl_Finance[Job Number],C85&amp;"",tbl_Finance[Xero Invoice No],"&lt;&gt;")=0,"",IFERROR(IF(COUNTIFS(tbl_Finance[Job Number],C85&amp;"",tbl_Finance[Xero Invoice No],LOOKUP(2,1/((tbl_Finance[Job Number]=C85&amp;"")*(tbl_Finance[Xero Invoice No]&lt;&gt;"")),tbl_Finance[Xero Invoice No]))=COUNTIFS(tbl_Finance[Job Number],C85&amp;"",tbl_Finance[Xero Invoice No],"&lt;&gt;"),LOOKUP(2,1/((tbl_Finance[Job Number]=C85&amp;"")*(tbl_Finance[Xero Invoice No]&lt;&gt;"")),tbl_Finance[Xero Invoice No]),LOOKUP(2,1/((tbl_Finance[Job Number]=C85&amp;"")*(tbl_Finance[Xero Invoice No]&lt;&gt;"")),tbl_Finance[Xero Invoice No])&amp;" +more"),"")))</f>
        <v/>
      </c>
      <c r="C85" s="24" t="n"/>
      <c r="D85" s="25">
        <f>IF(C85="","",IF(COUNTIF(lst_Jobs,C85&amp;"")&gt;0,"OK","CHECK"))</f>
        <v/>
      </c>
      <c r="E85" s="25">
        <f>IF(C85="","",IFERROR(INDEX(lst_JobName,MATCH(C85&amp;"",lst_Jobs,0)),""))</f>
        <v/>
      </c>
      <c r="F85" s="25">
        <f>IF(C85="","",IFERROR(INDEX(tbl_Finance[Client],MATCH(C85&amp;"",tbl_Finance[Job Number],0)),""))</f>
        <v/>
      </c>
      <c r="G85" s="28">
        <f>IF(C85="","",COUNTIFS(tbl_Finance[Job Number],C85&amp;"",tbl_Finance[Ex GST],"&lt;&gt;"))</f>
        <v/>
      </c>
      <c r="H85" s="27">
        <f>IF(C85="","",SUMIFS(tbl_Finance[Ex GST],tbl_Finance[Job Number],C85&amp;""))</f>
        <v/>
      </c>
      <c r="I85" s="27">
        <f>IF(C85="","",SUMIFS(tbl_Finance[Ex GST],tbl_Finance[Job Number],C85&amp;"",tbl_Finance[Xero Invoice No],"&lt;&gt;"))</f>
        <v/>
      </c>
      <c r="J85" s="27">
        <f>IF(C85="","",H85-I85)</f>
        <v/>
      </c>
      <c r="K85" s="25">
        <f>IF(C85="","",IF(G85=0,"not invoiced yet",SUBSTITUTE(TRIM(IF(COUNTIFS(tbl_Finance[Job Number],C85&amp;"",tbl_Finance[Cost Centre],"ONSITE")&gt;0,"ONSITE ","")&amp;IF(COUNTIFS(tbl_Finance[Job Number],C85&amp;"",tbl_Finance[Cost Centre],"PRODUCTION")&gt;0,"PRODUCTION ","")&amp;IF(COUNTIFS(tbl_Finance[Job Number],C85&amp;"",tbl_Finance[Cost Centre],"VIDEO")&gt;0,"VIDEO ","")&amp;IF(COUNTIFS(tbl_Finance[Job Number],C85&amp;"",tbl_Finance[Cost Centre],"INTEGRATION")&gt;0,"INTEGRATION ","")&amp;IF(COUNTIFS(tbl_Finance[Job Number],C85&amp;"",tbl_Finance[Cost Centre],"CONSULTING")&gt;0,"CONSULTING ","")&amp;IF(COUNTIFS(tbl_Finance[Job Number],C85&amp;"",tbl_Finance[Cost Centre],"CTS")&gt;0,"CTS ",""))," ",", ")))</f>
        <v/>
      </c>
      <c r="L85" s="24" t="n"/>
      <c r="M85" s="25">
        <f>IF(L85="","",HYPERLINK(IF(LEFT(L85,4)="http",L85,set_QwilrBase&amp;L85),"Open quote"))</f>
        <v/>
      </c>
      <c r="N85" s="26" t="n"/>
      <c r="O85" s="26" t="n"/>
      <c r="P85" s="26" t="n"/>
      <c r="Q85" s="25">
        <f>IF(C85="","",IF(N(N85)+N(O85)+N(P85)=0,"Not split",IF(ROUND(N(N85)+N(O85)+N(P85),2)=ROUND(H85,2),"OK","MISMATCH")))</f>
        <v/>
      </c>
      <c r="R85" s="26" t="n"/>
      <c r="S85" s="26" t="n"/>
      <c r="T85" s="26" t="n"/>
      <c r="U85" s="27">
        <f>IF(C85="","",N(R85)+N(S85)+N(T85))</f>
        <v/>
      </c>
      <c r="V85" s="27">
        <f>IF(C85="","",H85-U85)</f>
        <v/>
      </c>
      <c r="W85" s="29">
        <f>IFERROR(V85/H85,"")</f>
        <v/>
      </c>
      <c r="X85" s="24" t="n"/>
    </row>
    <row r="86" ht="15" customHeight="1">
      <c r="A86" s="68">
        <f>IF(C86="","",IFERROR(IF(SUMPRODUCT(MAX((tbl_Finance[Job Number]=C86&amp;"")*(tbl_Finance[Xero Invoice No]&lt;&gt;"")*tbl_Finance[Date]))=0,"",SUMPRODUCT(MAX((tbl_Finance[Job Number]=C86&amp;"")*(tbl_Finance[Xero Invoice No]&lt;&gt;"")*tbl_Finance[Date]))),""))</f>
        <v/>
      </c>
      <c r="B86" s="25">
        <f>IF(C86="","",IF(COUNTIFS(tbl_Finance[Job Number],C86&amp;"",tbl_Finance[Xero Invoice No],"&lt;&gt;")=0,"",IFERROR(IF(COUNTIFS(tbl_Finance[Job Number],C86&amp;"",tbl_Finance[Xero Invoice No],LOOKUP(2,1/((tbl_Finance[Job Number]=C86&amp;"")*(tbl_Finance[Xero Invoice No]&lt;&gt;"")),tbl_Finance[Xero Invoice No]))=COUNTIFS(tbl_Finance[Job Number],C86&amp;"",tbl_Finance[Xero Invoice No],"&lt;&gt;"),LOOKUP(2,1/((tbl_Finance[Job Number]=C86&amp;"")*(tbl_Finance[Xero Invoice No]&lt;&gt;"")),tbl_Finance[Xero Invoice No]),LOOKUP(2,1/((tbl_Finance[Job Number]=C86&amp;"")*(tbl_Finance[Xero Invoice No]&lt;&gt;"")),tbl_Finance[Xero Invoice No])&amp;" +more"),"")))</f>
        <v/>
      </c>
      <c r="C86" s="24" t="n"/>
      <c r="D86" s="25">
        <f>IF(C86="","",IF(COUNTIF(lst_Jobs,C86&amp;"")&gt;0,"OK","CHECK"))</f>
        <v/>
      </c>
      <c r="E86" s="25">
        <f>IF(C86="","",IFERROR(INDEX(lst_JobName,MATCH(C86&amp;"",lst_Jobs,0)),""))</f>
        <v/>
      </c>
      <c r="F86" s="25">
        <f>IF(C86="","",IFERROR(INDEX(tbl_Finance[Client],MATCH(C86&amp;"",tbl_Finance[Job Number],0)),""))</f>
        <v/>
      </c>
      <c r="G86" s="28">
        <f>IF(C86="","",COUNTIFS(tbl_Finance[Job Number],C86&amp;"",tbl_Finance[Ex GST],"&lt;&gt;"))</f>
        <v/>
      </c>
      <c r="H86" s="27">
        <f>IF(C86="","",SUMIFS(tbl_Finance[Ex GST],tbl_Finance[Job Number],C86&amp;""))</f>
        <v/>
      </c>
      <c r="I86" s="27">
        <f>IF(C86="","",SUMIFS(tbl_Finance[Ex GST],tbl_Finance[Job Number],C86&amp;"",tbl_Finance[Xero Invoice No],"&lt;&gt;"))</f>
        <v/>
      </c>
      <c r="J86" s="27">
        <f>IF(C86="","",H86-I86)</f>
        <v/>
      </c>
      <c r="K86" s="25">
        <f>IF(C86="","",IF(G86=0,"not invoiced yet",SUBSTITUTE(TRIM(IF(COUNTIFS(tbl_Finance[Job Number],C86&amp;"",tbl_Finance[Cost Centre],"ONSITE")&gt;0,"ONSITE ","")&amp;IF(COUNTIFS(tbl_Finance[Job Number],C86&amp;"",tbl_Finance[Cost Centre],"PRODUCTION")&gt;0,"PRODUCTION ","")&amp;IF(COUNTIFS(tbl_Finance[Job Number],C86&amp;"",tbl_Finance[Cost Centre],"VIDEO")&gt;0,"VIDEO ","")&amp;IF(COUNTIFS(tbl_Finance[Job Number],C86&amp;"",tbl_Finance[Cost Centre],"INTEGRATION")&gt;0,"INTEGRATION ","")&amp;IF(COUNTIFS(tbl_Finance[Job Number],C86&amp;"",tbl_Finance[Cost Centre],"CONSULTING")&gt;0,"CONSULTING ","")&amp;IF(COUNTIFS(tbl_Finance[Job Number],C86&amp;"",tbl_Finance[Cost Centre],"CTS")&gt;0,"CTS ",""))," ",", ")))</f>
        <v/>
      </c>
      <c r="L86" s="24" t="n"/>
      <c r="M86" s="25">
        <f>IF(L86="","",HYPERLINK(IF(LEFT(L86,4)="http",L86,set_QwilrBase&amp;L86),"Open quote"))</f>
        <v/>
      </c>
      <c r="N86" s="26" t="n"/>
      <c r="O86" s="26" t="n"/>
      <c r="P86" s="26" t="n"/>
      <c r="Q86" s="25">
        <f>IF(C86="","",IF(N(N86)+N(O86)+N(P86)=0,"Not split",IF(ROUND(N(N86)+N(O86)+N(P86),2)=ROUND(H86,2),"OK","MISMATCH")))</f>
        <v/>
      </c>
      <c r="R86" s="26" t="n"/>
      <c r="S86" s="26" t="n"/>
      <c r="T86" s="26" t="n"/>
      <c r="U86" s="27">
        <f>IF(C86="","",N(R86)+N(S86)+N(T86))</f>
        <v/>
      </c>
      <c r="V86" s="27">
        <f>IF(C86="","",H86-U86)</f>
        <v/>
      </c>
      <c r="W86" s="29">
        <f>IFERROR(V86/H86,"")</f>
        <v/>
      </c>
      <c r="X86" s="24" t="n"/>
    </row>
    <row r="87" ht="15" customHeight="1">
      <c r="A87" s="68">
        <f>IF(C87="","",IFERROR(IF(SUMPRODUCT(MAX((tbl_Finance[Job Number]=C87&amp;"")*(tbl_Finance[Xero Invoice No]&lt;&gt;"")*tbl_Finance[Date]))=0,"",SUMPRODUCT(MAX((tbl_Finance[Job Number]=C87&amp;"")*(tbl_Finance[Xero Invoice No]&lt;&gt;"")*tbl_Finance[Date]))),""))</f>
        <v/>
      </c>
      <c r="B87" s="25">
        <f>IF(C87="","",IF(COUNTIFS(tbl_Finance[Job Number],C87&amp;"",tbl_Finance[Xero Invoice No],"&lt;&gt;")=0,"",IFERROR(IF(COUNTIFS(tbl_Finance[Job Number],C87&amp;"",tbl_Finance[Xero Invoice No],LOOKUP(2,1/((tbl_Finance[Job Number]=C87&amp;"")*(tbl_Finance[Xero Invoice No]&lt;&gt;"")),tbl_Finance[Xero Invoice No]))=COUNTIFS(tbl_Finance[Job Number],C87&amp;"",tbl_Finance[Xero Invoice No],"&lt;&gt;"),LOOKUP(2,1/((tbl_Finance[Job Number]=C87&amp;"")*(tbl_Finance[Xero Invoice No]&lt;&gt;"")),tbl_Finance[Xero Invoice No]),LOOKUP(2,1/((tbl_Finance[Job Number]=C87&amp;"")*(tbl_Finance[Xero Invoice No]&lt;&gt;"")),tbl_Finance[Xero Invoice No])&amp;" +more"),"")))</f>
        <v/>
      </c>
      <c r="C87" s="24" t="n"/>
      <c r="D87" s="25">
        <f>IF(C87="","",IF(COUNTIF(lst_Jobs,C87&amp;"")&gt;0,"OK","CHECK"))</f>
        <v/>
      </c>
      <c r="E87" s="25">
        <f>IF(C87="","",IFERROR(INDEX(lst_JobName,MATCH(C87&amp;"",lst_Jobs,0)),""))</f>
        <v/>
      </c>
      <c r="F87" s="25">
        <f>IF(C87="","",IFERROR(INDEX(tbl_Finance[Client],MATCH(C87&amp;"",tbl_Finance[Job Number],0)),""))</f>
        <v/>
      </c>
      <c r="G87" s="28">
        <f>IF(C87="","",COUNTIFS(tbl_Finance[Job Number],C87&amp;"",tbl_Finance[Ex GST],"&lt;&gt;"))</f>
        <v/>
      </c>
      <c r="H87" s="27">
        <f>IF(C87="","",SUMIFS(tbl_Finance[Ex GST],tbl_Finance[Job Number],C87&amp;""))</f>
        <v/>
      </c>
      <c r="I87" s="27">
        <f>IF(C87="","",SUMIFS(tbl_Finance[Ex GST],tbl_Finance[Job Number],C87&amp;"",tbl_Finance[Xero Invoice No],"&lt;&gt;"))</f>
        <v/>
      </c>
      <c r="J87" s="27">
        <f>IF(C87="","",H87-I87)</f>
        <v/>
      </c>
      <c r="K87" s="25">
        <f>IF(C87="","",IF(G87=0,"not invoiced yet",SUBSTITUTE(TRIM(IF(COUNTIFS(tbl_Finance[Job Number],C87&amp;"",tbl_Finance[Cost Centre],"ONSITE")&gt;0,"ONSITE ","")&amp;IF(COUNTIFS(tbl_Finance[Job Number],C87&amp;"",tbl_Finance[Cost Centre],"PRODUCTION")&gt;0,"PRODUCTION ","")&amp;IF(COUNTIFS(tbl_Finance[Job Number],C87&amp;"",tbl_Finance[Cost Centre],"VIDEO")&gt;0,"VIDEO ","")&amp;IF(COUNTIFS(tbl_Finance[Job Number],C87&amp;"",tbl_Finance[Cost Centre],"INTEGRATION")&gt;0,"INTEGRATION ","")&amp;IF(COUNTIFS(tbl_Finance[Job Number],C87&amp;"",tbl_Finance[Cost Centre],"CONSULTING")&gt;0,"CONSULTING ","")&amp;IF(COUNTIFS(tbl_Finance[Job Number],C87&amp;"",tbl_Finance[Cost Centre],"CTS")&gt;0,"CTS ",""))," ",", ")))</f>
        <v/>
      </c>
      <c r="L87" s="24" t="n"/>
      <c r="M87" s="25">
        <f>IF(L87="","",HYPERLINK(IF(LEFT(L87,4)="http",L87,set_QwilrBase&amp;L87),"Open quote"))</f>
        <v/>
      </c>
      <c r="N87" s="26" t="n"/>
      <c r="O87" s="26" t="n"/>
      <c r="P87" s="26" t="n"/>
      <c r="Q87" s="25">
        <f>IF(C87="","",IF(N(N87)+N(O87)+N(P87)=0,"Not split",IF(ROUND(N(N87)+N(O87)+N(P87),2)=ROUND(H87,2),"OK","MISMATCH")))</f>
        <v/>
      </c>
      <c r="R87" s="26" t="n"/>
      <c r="S87" s="26" t="n"/>
      <c r="T87" s="26" t="n"/>
      <c r="U87" s="27">
        <f>IF(C87="","",N(R87)+N(S87)+N(T87))</f>
        <v/>
      </c>
      <c r="V87" s="27">
        <f>IF(C87="","",H87-U87)</f>
        <v/>
      </c>
      <c r="W87" s="29">
        <f>IFERROR(V87/H87,"")</f>
        <v/>
      </c>
      <c r="X87" s="24" t="n"/>
    </row>
    <row r="88" ht="15" customHeight="1">
      <c r="A88" s="68">
        <f>IF(C88="","",IFERROR(IF(SUMPRODUCT(MAX((tbl_Finance[Job Number]=C88&amp;"")*(tbl_Finance[Xero Invoice No]&lt;&gt;"")*tbl_Finance[Date]))=0,"",SUMPRODUCT(MAX((tbl_Finance[Job Number]=C88&amp;"")*(tbl_Finance[Xero Invoice No]&lt;&gt;"")*tbl_Finance[Date]))),""))</f>
        <v/>
      </c>
      <c r="B88" s="25">
        <f>IF(C88="","",IF(COUNTIFS(tbl_Finance[Job Number],C88&amp;"",tbl_Finance[Xero Invoice No],"&lt;&gt;")=0,"",IFERROR(IF(COUNTIFS(tbl_Finance[Job Number],C88&amp;"",tbl_Finance[Xero Invoice No],LOOKUP(2,1/((tbl_Finance[Job Number]=C88&amp;"")*(tbl_Finance[Xero Invoice No]&lt;&gt;"")),tbl_Finance[Xero Invoice No]))=COUNTIFS(tbl_Finance[Job Number],C88&amp;"",tbl_Finance[Xero Invoice No],"&lt;&gt;"),LOOKUP(2,1/((tbl_Finance[Job Number]=C88&amp;"")*(tbl_Finance[Xero Invoice No]&lt;&gt;"")),tbl_Finance[Xero Invoice No]),LOOKUP(2,1/((tbl_Finance[Job Number]=C88&amp;"")*(tbl_Finance[Xero Invoice No]&lt;&gt;"")),tbl_Finance[Xero Invoice No])&amp;" +more"),"")))</f>
        <v/>
      </c>
      <c r="C88" s="24" t="n"/>
      <c r="D88" s="25">
        <f>IF(C88="","",IF(COUNTIF(lst_Jobs,C88&amp;"")&gt;0,"OK","CHECK"))</f>
        <v/>
      </c>
      <c r="E88" s="25">
        <f>IF(C88="","",IFERROR(INDEX(lst_JobName,MATCH(C88&amp;"",lst_Jobs,0)),""))</f>
        <v/>
      </c>
      <c r="F88" s="25">
        <f>IF(C88="","",IFERROR(INDEX(tbl_Finance[Client],MATCH(C88&amp;"",tbl_Finance[Job Number],0)),""))</f>
        <v/>
      </c>
      <c r="G88" s="28">
        <f>IF(C88="","",COUNTIFS(tbl_Finance[Job Number],C88&amp;"",tbl_Finance[Ex GST],"&lt;&gt;"))</f>
        <v/>
      </c>
      <c r="H88" s="27">
        <f>IF(C88="","",SUMIFS(tbl_Finance[Ex GST],tbl_Finance[Job Number],C88&amp;""))</f>
        <v/>
      </c>
      <c r="I88" s="27">
        <f>IF(C88="","",SUMIFS(tbl_Finance[Ex GST],tbl_Finance[Job Number],C88&amp;"",tbl_Finance[Xero Invoice No],"&lt;&gt;"))</f>
        <v/>
      </c>
      <c r="J88" s="27">
        <f>IF(C88="","",H88-I88)</f>
        <v/>
      </c>
      <c r="K88" s="25">
        <f>IF(C88="","",IF(G88=0,"not invoiced yet",SUBSTITUTE(TRIM(IF(COUNTIFS(tbl_Finance[Job Number],C88&amp;"",tbl_Finance[Cost Centre],"ONSITE")&gt;0,"ONSITE ","")&amp;IF(COUNTIFS(tbl_Finance[Job Number],C88&amp;"",tbl_Finance[Cost Centre],"PRODUCTION")&gt;0,"PRODUCTION ","")&amp;IF(COUNTIFS(tbl_Finance[Job Number],C88&amp;"",tbl_Finance[Cost Centre],"VIDEO")&gt;0,"VIDEO ","")&amp;IF(COUNTIFS(tbl_Finance[Job Number],C88&amp;"",tbl_Finance[Cost Centre],"INTEGRATION")&gt;0,"INTEGRATION ","")&amp;IF(COUNTIFS(tbl_Finance[Job Number],C88&amp;"",tbl_Finance[Cost Centre],"CONSULTING")&gt;0,"CONSULTING ","")&amp;IF(COUNTIFS(tbl_Finance[Job Number],C88&amp;"",tbl_Finance[Cost Centre],"CTS")&gt;0,"CTS ",""))," ",", ")))</f>
        <v/>
      </c>
      <c r="L88" s="24" t="n"/>
      <c r="M88" s="25">
        <f>IF(L88="","",HYPERLINK(IF(LEFT(L88,4)="http",L88,set_QwilrBase&amp;L88),"Open quote"))</f>
        <v/>
      </c>
      <c r="N88" s="26" t="n"/>
      <c r="O88" s="26" t="n"/>
      <c r="P88" s="26" t="n"/>
      <c r="Q88" s="25">
        <f>IF(C88="","",IF(N(N88)+N(O88)+N(P88)=0,"Not split",IF(ROUND(N(N88)+N(O88)+N(P88),2)=ROUND(H88,2),"OK","MISMATCH")))</f>
        <v/>
      </c>
      <c r="R88" s="26" t="n"/>
      <c r="S88" s="26" t="n"/>
      <c r="T88" s="26" t="n"/>
      <c r="U88" s="27">
        <f>IF(C88="","",N(R88)+N(S88)+N(T88))</f>
        <v/>
      </c>
      <c r="V88" s="27">
        <f>IF(C88="","",H88-U88)</f>
        <v/>
      </c>
      <c r="W88" s="29">
        <f>IFERROR(V88/H88,"")</f>
        <v/>
      </c>
      <c r="X88" s="24" t="n"/>
    </row>
    <row r="89" ht="15" customHeight="1">
      <c r="A89" s="68">
        <f>IF(C89="","",IFERROR(IF(SUMPRODUCT(MAX((tbl_Finance[Job Number]=C89&amp;"")*(tbl_Finance[Xero Invoice No]&lt;&gt;"")*tbl_Finance[Date]))=0,"",SUMPRODUCT(MAX((tbl_Finance[Job Number]=C89&amp;"")*(tbl_Finance[Xero Invoice No]&lt;&gt;"")*tbl_Finance[Date]))),""))</f>
        <v/>
      </c>
      <c r="B89" s="25">
        <f>IF(C89="","",IF(COUNTIFS(tbl_Finance[Job Number],C89&amp;"",tbl_Finance[Xero Invoice No],"&lt;&gt;")=0,"",IFERROR(IF(COUNTIFS(tbl_Finance[Job Number],C89&amp;"",tbl_Finance[Xero Invoice No],LOOKUP(2,1/((tbl_Finance[Job Number]=C89&amp;"")*(tbl_Finance[Xero Invoice No]&lt;&gt;"")),tbl_Finance[Xero Invoice No]))=COUNTIFS(tbl_Finance[Job Number],C89&amp;"",tbl_Finance[Xero Invoice No],"&lt;&gt;"),LOOKUP(2,1/((tbl_Finance[Job Number]=C89&amp;"")*(tbl_Finance[Xero Invoice No]&lt;&gt;"")),tbl_Finance[Xero Invoice No]),LOOKUP(2,1/((tbl_Finance[Job Number]=C89&amp;"")*(tbl_Finance[Xero Invoice No]&lt;&gt;"")),tbl_Finance[Xero Invoice No])&amp;" +more"),"")))</f>
        <v/>
      </c>
      <c r="C89" s="24" t="n"/>
      <c r="D89" s="25">
        <f>IF(C89="","",IF(COUNTIF(lst_Jobs,C89&amp;"")&gt;0,"OK","CHECK"))</f>
        <v/>
      </c>
      <c r="E89" s="25">
        <f>IF(C89="","",IFERROR(INDEX(lst_JobName,MATCH(C89&amp;"",lst_Jobs,0)),""))</f>
        <v/>
      </c>
      <c r="F89" s="25">
        <f>IF(C89="","",IFERROR(INDEX(tbl_Finance[Client],MATCH(C89&amp;"",tbl_Finance[Job Number],0)),""))</f>
        <v/>
      </c>
      <c r="G89" s="28">
        <f>IF(C89="","",COUNTIFS(tbl_Finance[Job Number],C89&amp;"",tbl_Finance[Ex GST],"&lt;&gt;"))</f>
        <v/>
      </c>
      <c r="H89" s="27">
        <f>IF(C89="","",SUMIFS(tbl_Finance[Ex GST],tbl_Finance[Job Number],C89&amp;""))</f>
        <v/>
      </c>
      <c r="I89" s="27">
        <f>IF(C89="","",SUMIFS(tbl_Finance[Ex GST],tbl_Finance[Job Number],C89&amp;"",tbl_Finance[Xero Invoice No],"&lt;&gt;"))</f>
        <v/>
      </c>
      <c r="J89" s="27">
        <f>IF(C89="","",H89-I89)</f>
        <v/>
      </c>
      <c r="K89" s="25">
        <f>IF(C89="","",IF(G89=0,"not invoiced yet",SUBSTITUTE(TRIM(IF(COUNTIFS(tbl_Finance[Job Number],C89&amp;"",tbl_Finance[Cost Centre],"ONSITE")&gt;0,"ONSITE ","")&amp;IF(COUNTIFS(tbl_Finance[Job Number],C89&amp;"",tbl_Finance[Cost Centre],"PRODUCTION")&gt;0,"PRODUCTION ","")&amp;IF(COUNTIFS(tbl_Finance[Job Number],C89&amp;"",tbl_Finance[Cost Centre],"VIDEO")&gt;0,"VIDEO ","")&amp;IF(COUNTIFS(tbl_Finance[Job Number],C89&amp;"",tbl_Finance[Cost Centre],"INTEGRATION")&gt;0,"INTEGRATION ","")&amp;IF(COUNTIFS(tbl_Finance[Job Number],C89&amp;"",tbl_Finance[Cost Centre],"CONSULTING")&gt;0,"CONSULTING ","")&amp;IF(COUNTIFS(tbl_Finance[Job Number],C89&amp;"",tbl_Finance[Cost Centre],"CTS")&gt;0,"CTS ",""))," ",", ")))</f>
        <v/>
      </c>
      <c r="L89" s="24" t="n"/>
      <c r="M89" s="25">
        <f>IF(L89="","",HYPERLINK(IF(LEFT(L89,4)="http",L89,set_QwilrBase&amp;L89),"Open quote"))</f>
        <v/>
      </c>
      <c r="N89" s="26" t="n"/>
      <c r="O89" s="26" t="n"/>
      <c r="P89" s="26" t="n"/>
      <c r="Q89" s="25">
        <f>IF(C89="","",IF(N(N89)+N(O89)+N(P89)=0,"Not split",IF(ROUND(N(N89)+N(O89)+N(P89),2)=ROUND(H89,2),"OK","MISMATCH")))</f>
        <v/>
      </c>
      <c r="R89" s="26" t="n"/>
      <c r="S89" s="26" t="n"/>
      <c r="T89" s="26" t="n"/>
      <c r="U89" s="27">
        <f>IF(C89="","",N(R89)+N(S89)+N(T89))</f>
        <v/>
      </c>
      <c r="V89" s="27">
        <f>IF(C89="","",H89-U89)</f>
        <v/>
      </c>
      <c r="W89" s="29">
        <f>IFERROR(V89/H89,"")</f>
        <v/>
      </c>
      <c r="X89" s="24" t="n"/>
    </row>
    <row r="90" ht="15" customHeight="1">
      <c r="A90" s="68">
        <f>IF(C90="","",IFERROR(IF(SUMPRODUCT(MAX((tbl_Finance[Job Number]=C90&amp;"")*(tbl_Finance[Xero Invoice No]&lt;&gt;"")*tbl_Finance[Date]))=0,"",SUMPRODUCT(MAX((tbl_Finance[Job Number]=C90&amp;"")*(tbl_Finance[Xero Invoice No]&lt;&gt;"")*tbl_Finance[Date]))),""))</f>
        <v/>
      </c>
      <c r="B90" s="25">
        <f>IF(C90="","",IF(COUNTIFS(tbl_Finance[Job Number],C90&amp;"",tbl_Finance[Xero Invoice No],"&lt;&gt;")=0,"",IFERROR(IF(COUNTIFS(tbl_Finance[Job Number],C90&amp;"",tbl_Finance[Xero Invoice No],LOOKUP(2,1/((tbl_Finance[Job Number]=C90&amp;"")*(tbl_Finance[Xero Invoice No]&lt;&gt;"")),tbl_Finance[Xero Invoice No]))=COUNTIFS(tbl_Finance[Job Number],C90&amp;"",tbl_Finance[Xero Invoice No],"&lt;&gt;"),LOOKUP(2,1/((tbl_Finance[Job Number]=C90&amp;"")*(tbl_Finance[Xero Invoice No]&lt;&gt;"")),tbl_Finance[Xero Invoice No]),LOOKUP(2,1/((tbl_Finance[Job Number]=C90&amp;"")*(tbl_Finance[Xero Invoice No]&lt;&gt;"")),tbl_Finance[Xero Invoice No])&amp;" +more"),"")))</f>
        <v/>
      </c>
      <c r="C90" s="24" t="n"/>
      <c r="D90" s="25">
        <f>IF(C90="","",IF(COUNTIF(lst_Jobs,C90&amp;"")&gt;0,"OK","CHECK"))</f>
        <v/>
      </c>
      <c r="E90" s="25">
        <f>IF(C90="","",IFERROR(INDEX(lst_JobName,MATCH(C90&amp;"",lst_Jobs,0)),""))</f>
        <v/>
      </c>
      <c r="F90" s="25">
        <f>IF(C90="","",IFERROR(INDEX(tbl_Finance[Client],MATCH(C90&amp;"",tbl_Finance[Job Number],0)),""))</f>
        <v/>
      </c>
      <c r="G90" s="28">
        <f>IF(C90="","",COUNTIFS(tbl_Finance[Job Number],C90&amp;"",tbl_Finance[Ex GST],"&lt;&gt;"))</f>
        <v/>
      </c>
      <c r="H90" s="27">
        <f>IF(C90="","",SUMIFS(tbl_Finance[Ex GST],tbl_Finance[Job Number],C90&amp;""))</f>
        <v/>
      </c>
      <c r="I90" s="27">
        <f>IF(C90="","",SUMIFS(tbl_Finance[Ex GST],tbl_Finance[Job Number],C90&amp;"",tbl_Finance[Xero Invoice No],"&lt;&gt;"))</f>
        <v/>
      </c>
      <c r="J90" s="27">
        <f>IF(C90="","",H90-I90)</f>
        <v/>
      </c>
      <c r="K90" s="25">
        <f>IF(C90="","",IF(G90=0,"not invoiced yet",SUBSTITUTE(TRIM(IF(COUNTIFS(tbl_Finance[Job Number],C90&amp;"",tbl_Finance[Cost Centre],"ONSITE")&gt;0,"ONSITE ","")&amp;IF(COUNTIFS(tbl_Finance[Job Number],C90&amp;"",tbl_Finance[Cost Centre],"PRODUCTION")&gt;0,"PRODUCTION ","")&amp;IF(COUNTIFS(tbl_Finance[Job Number],C90&amp;"",tbl_Finance[Cost Centre],"VIDEO")&gt;0,"VIDEO ","")&amp;IF(COUNTIFS(tbl_Finance[Job Number],C90&amp;"",tbl_Finance[Cost Centre],"INTEGRATION")&gt;0,"INTEGRATION ","")&amp;IF(COUNTIFS(tbl_Finance[Job Number],C90&amp;"",tbl_Finance[Cost Centre],"CONSULTING")&gt;0,"CONSULTING ","")&amp;IF(COUNTIFS(tbl_Finance[Job Number],C90&amp;"",tbl_Finance[Cost Centre],"CTS")&gt;0,"CTS ",""))," ",", ")))</f>
        <v/>
      </c>
      <c r="L90" s="24" t="n"/>
      <c r="M90" s="25">
        <f>IF(L90="","",HYPERLINK(IF(LEFT(L90,4)="http",L90,set_QwilrBase&amp;L90),"Open quote"))</f>
        <v/>
      </c>
      <c r="N90" s="26" t="n"/>
      <c r="O90" s="26" t="n"/>
      <c r="P90" s="26" t="n"/>
      <c r="Q90" s="25">
        <f>IF(C90="","",IF(N(N90)+N(O90)+N(P90)=0,"Not split",IF(ROUND(N(N90)+N(O90)+N(P90),2)=ROUND(H90,2),"OK","MISMATCH")))</f>
        <v/>
      </c>
      <c r="R90" s="26" t="n"/>
      <c r="S90" s="26" t="n"/>
      <c r="T90" s="26" t="n"/>
      <c r="U90" s="27">
        <f>IF(C90="","",N(R90)+N(S90)+N(T90))</f>
        <v/>
      </c>
      <c r="V90" s="27">
        <f>IF(C90="","",H90-U90)</f>
        <v/>
      </c>
      <c r="W90" s="29">
        <f>IFERROR(V90/H90,"")</f>
        <v/>
      </c>
      <c r="X90" s="24" t="n"/>
    </row>
    <row r="91" ht="15" customHeight="1">
      <c r="A91" s="68">
        <f>IF(C91="","",IFERROR(IF(SUMPRODUCT(MAX((tbl_Finance[Job Number]=C91&amp;"")*(tbl_Finance[Xero Invoice No]&lt;&gt;"")*tbl_Finance[Date]))=0,"",SUMPRODUCT(MAX((tbl_Finance[Job Number]=C91&amp;"")*(tbl_Finance[Xero Invoice No]&lt;&gt;"")*tbl_Finance[Date]))),""))</f>
        <v/>
      </c>
      <c r="B91" s="25">
        <f>IF(C91="","",IF(COUNTIFS(tbl_Finance[Job Number],C91&amp;"",tbl_Finance[Xero Invoice No],"&lt;&gt;")=0,"",IFERROR(IF(COUNTIFS(tbl_Finance[Job Number],C91&amp;"",tbl_Finance[Xero Invoice No],LOOKUP(2,1/((tbl_Finance[Job Number]=C91&amp;"")*(tbl_Finance[Xero Invoice No]&lt;&gt;"")),tbl_Finance[Xero Invoice No]))=COUNTIFS(tbl_Finance[Job Number],C91&amp;"",tbl_Finance[Xero Invoice No],"&lt;&gt;"),LOOKUP(2,1/((tbl_Finance[Job Number]=C91&amp;"")*(tbl_Finance[Xero Invoice No]&lt;&gt;"")),tbl_Finance[Xero Invoice No]),LOOKUP(2,1/((tbl_Finance[Job Number]=C91&amp;"")*(tbl_Finance[Xero Invoice No]&lt;&gt;"")),tbl_Finance[Xero Invoice No])&amp;" +more"),"")))</f>
        <v/>
      </c>
      <c r="C91" s="24" t="n"/>
      <c r="D91" s="25">
        <f>IF(C91="","",IF(COUNTIF(lst_Jobs,C91&amp;"")&gt;0,"OK","CHECK"))</f>
        <v/>
      </c>
      <c r="E91" s="25">
        <f>IF(C91="","",IFERROR(INDEX(lst_JobName,MATCH(C91&amp;"",lst_Jobs,0)),""))</f>
        <v/>
      </c>
      <c r="F91" s="25">
        <f>IF(C91="","",IFERROR(INDEX(tbl_Finance[Client],MATCH(C91&amp;"",tbl_Finance[Job Number],0)),""))</f>
        <v/>
      </c>
      <c r="G91" s="28">
        <f>IF(C91="","",COUNTIFS(tbl_Finance[Job Number],C91&amp;"",tbl_Finance[Ex GST],"&lt;&gt;"))</f>
        <v/>
      </c>
      <c r="H91" s="27">
        <f>IF(C91="","",SUMIFS(tbl_Finance[Ex GST],tbl_Finance[Job Number],C91&amp;""))</f>
        <v/>
      </c>
      <c r="I91" s="27">
        <f>IF(C91="","",SUMIFS(tbl_Finance[Ex GST],tbl_Finance[Job Number],C91&amp;"",tbl_Finance[Xero Invoice No],"&lt;&gt;"))</f>
        <v/>
      </c>
      <c r="J91" s="27">
        <f>IF(C91="","",H91-I91)</f>
        <v/>
      </c>
      <c r="K91" s="25">
        <f>IF(C91="","",IF(G91=0,"not invoiced yet",SUBSTITUTE(TRIM(IF(COUNTIFS(tbl_Finance[Job Number],C91&amp;"",tbl_Finance[Cost Centre],"ONSITE")&gt;0,"ONSITE ","")&amp;IF(COUNTIFS(tbl_Finance[Job Number],C91&amp;"",tbl_Finance[Cost Centre],"PRODUCTION")&gt;0,"PRODUCTION ","")&amp;IF(COUNTIFS(tbl_Finance[Job Number],C91&amp;"",tbl_Finance[Cost Centre],"VIDEO")&gt;0,"VIDEO ","")&amp;IF(COUNTIFS(tbl_Finance[Job Number],C91&amp;"",tbl_Finance[Cost Centre],"INTEGRATION")&gt;0,"INTEGRATION ","")&amp;IF(COUNTIFS(tbl_Finance[Job Number],C91&amp;"",tbl_Finance[Cost Centre],"CONSULTING")&gt;0,"CONSULTING ","")&amp;IF(COUNTIFS(tbl_Finance[Job Number],C91&amp;"",tbl_Finance[Cost Centre],"CTS")&gt;0,"CTS ",""))," ",", ")))</f>
        <v/>
      </c>
      <c r="L91" s="24" t="n"/>
      <c r="M91" s="25">
        <f>IF(L91="","",HYPERLINK(IF(LEFT(L91,4)="http",L91,set_QwilrBase&amp;L91),"Open quote"))</f>
        <v/>
      </c>
      <c r="N91" s="26" t="n"/>
      <c r="O91" s="26" t="n"/>
      <c r="P91" s="26" t="n"/>
      <c r="Q91" s="25">
        <f>IF(C91="","",IF(N(N91)+N(O91)+N(P91)=0,"Not split",IF(ROUND(N(N91)+N(O91)+N(P91),2)=ROUND(H91,2),"OK","MISMATCH")))</f>
        <v/>
      </c>
      <c r="R91" s="26" t="n"/>
      <c r="S91" s="26" t="n"/>
      <c r="T91" s="26" t="n"/>
      <c r="U91" s="27">
        <f>IF(C91="","",N(R91)+N(S91)+N(T91))</f>
        <v/>
      </c>
      <c r="V91" s="27">
        <f>IF(C91="","",H91-U91)</f>
        <v/>
      </c>
      <c r="W91" s="29">
        <f>IFERROR(V91/H91,"")</f>
        <v/>
      </c>
      <c r="X91" s="24" t="n"/>
    </row>
    <row r="92" ht="15" customHeight="1">
      <c r="A92" s="68">
        <f>IF(C92="","",IFERROR(IF(SUMPRODUCT(MAX((tbl_Finance[Job Number]=C92&amp;"")*(tbl_Finance[Xero Invoice No]&lt;&gt;"")*tbl_Finance[Date]))=0,"",SUMPRODUCT(MAX((tbl_Finance[Job Number]=C92&amp;"")*(tbl_Finance[Xero Invoice No]&lt;&gt;"")*tbl_Finance[Date]))),""))</f>
        <v/>
      </c>
      <c r="B92" s="25">
        <f>IF(C92="","",IF(COUNTIFS(tbl_Finance[Job Number],C92&amp;"",tbl_Finance[Xero Invoice No],"&lt;&gt;")=0,"",IFERROR(IF(COUNTIFS(tbl_Finance[Job Number],C92&amp;"",tbl_Finance[Xero Invoice No],LOOKUP(2,1/((tbl_Finance[Job Number]=C92&amp;"")*(tbl_Finance[Xero Invoice No]&lt;&gt;"")),tbl_Finance[Xero Invoice No]))=COUNTIFS(tbl_Finance[Job Number],C92&amp;"",tbl_Finance[Xero Invoice No],"&lt;&gt;"),LOOKUP(2,1/((tbl_Finance[Job Number]=C92&amp;"")*(tbl_Finance[Xero Invoice No]&lt;&gt;"")),tbl_Finance[Xero Invoice No]),LOOKUP(2,1/((tbl_Finance[Job Number]=C92&amp;"")*(tbl_Finance[Xero Invoice No]&lt;&gt;"")),tbl_Finance[Xero Invoice No])&amp;" +more"),"")))</f>
        <v/>
      </c>
      <c r="C92" s="24" t="n"/>
      <c r="D92" s="25">
        <f>IF(C92="","",IF(COUNTIF(lst_Jobs,C92&amp;"")&gt;0,"OK","CHECK"))</f>
        <v/>
      </c>
      <c r="E92" s="25">
        <f>IF(C92="","",IFERROR(INDEX(lst_JobName,MATCH(C92&amp;"",lst_Jobs,0)),""))</f>
        <v/>
      </c>
      <c r="F92" s="25">
        <f>IF(C92="","",IFERROR(INDEX(tbl_Finance[Client],MATCH(C92&amp;"",tbl_Finance[Job Number],0)),""))</f>
        <v/>
      </c>
      <c r="G92" s="28">
        <f>IF(C92="","",COUNTIFS(tbl_Finance[Job Number],C92&amp;"",tbl_Finance[Ex GST],"&lt;&gt;"))</f>
        <v/>
      </c>
      <c r="H92" s="27">
        <f>IF(C92="","",SUMIFS(tbl_Finance[Ex GST],tbl_Finance[Job Number],C92&amp;""))</f>
        <v/>
      </c>
      <c r="I92" s="27">
        <f>IF(C92="","",SUMIFS(tbl_Finance[Ex GST],tbl_Finance[Job Number],C92&amp;"",tbl_Finance[Xero Invoice No],"&lt;&gt;"))</f>
        <v/>
      </c>
      <c r="J92" s="27">
        <f>IF(C92="","",H92-I92)</f>
        <v/>
      </c>
      <c r="K92" s="25">
        <f>IF(C92="","",IF(G92=0,"not invoiced yet",SUBSTITUTE(TRIM(IF(COUNTIFS(tbl_Finance[Job Number],C92&amp;"",tbl_Finance[Cost Centre],"ONSITE")&gt;0,"ONSITE ","")&amp;IF(COUNTIFS(tbl_Finance[Job Number],C92&amp;"",tbl_Finance[Cost Centre],"PRODUCTION")&gt;0,"PRODUCTION ","")&amp;IF(COUNTIFS(tbl_Finance[Job Number],C92&amp;"",tbl_Finance[Cost Centre],"VIDEO")&gt;0,"VIDEO ","")&amp;IF(COUNTIFS(tbl_Finance[Job Number],C92&amp;"",tbl_Finance[Cost Centre],"INTEGRATION")&gt;0,"INTEGRATION ","")&amp;IF(COUNTIFS(tbl_Finance[Job Number],C92&amp;"",tbl_Finance[Cost Centre],"CONSULTING")&gt;0,"CONSULTING ","")&amp;IF(COUNTIFS(tbl_Finance[Job Number],C92&amp;"",tbl_Finance[Cost Centre],"CTS")&gt;0,"CTS ",""))," ",", ")))</f>
        <v/>
      </c>
      <c r="L92" s="24" t="n"/>
      <c r="M92" s="25">
        <f>IF(L92="","",HYPERLINK(IF(LEFT(L92,4)="http",L92,set_QwilrBase&amp;L92),"Open quote"))</f>
        <v/>
      </c>
      <c r="N92" s="26" t="n"/>
      <c r="O92" s="26" t="n"/>
      <c r="P92" s="26" t="n"/>
      <c r="Q92" s="25">
        <f>IF(C92="","",IF(N(N92)+N(O92)+N(P92)=0,"Not split",IF(ROUND(N(N92)+N(O92)+N(P92),2)=ROUND(H92,2),"OK","MISMATCH")))</f>
        <v/>
      </c>
      <c r="R92" s="26" t="n"/>
      <c r="S92" s="26" t="n"/>
      <c r="T92" s="26" t="n"/>
      <c r="U92" s="27">
        <f>IF(C92="","",N(R92)+N(S92)+N(T92))</f>
        <v/>
      </c>
      <c r="V92" s="27">
        <f>IF(C92="","",H92-U92)</f>
        <v/>
      </c>
      <c r="W92" s="29">
        <f>IFERROR(V92/H92,"")</f>
        <v/>
      </c>
      <c r="X92" s="24" t="n"/>
    </row>
    <row r="93" ht="15" customHeight="1">
      <c r="A93" s="68">
        <f>IF(C93="","",IFERROR(IF(SUMPRODUCT(MAX((tbl_Finance[Job Number]=C93&amp;"")*(tbl_Finance[Xero Invoice No]&lt;&gt;"")*tbl_Finance[Date]))=0,"",SUMPRODUCT(MAX((tbl_Finance[Job Number]=C93&amp;"")*(tbl_Finance[Xero Invoice No]&lt;&gt;"")*tbl_Finance[Date]))),""))</f>
        <v/>
      </c>
      <c r="B93" s="25">
        <f>IF(C93="","",IF(COUNTIFS(tbl_Finance[Job Number],C93&amp;"",tbl_Finance[Xero Invoice No],"&lt;&gt;")=0,"",IFERROR(IF(COUNTIFS(tbl_Finance[Job Number],C93&amp;"",tbl_Finance[Xero Invoice No],LOOKUP(2,1/((tbl_Finance[Job Number]=C93&amp;"")*(tbl_Finance[Xero Invoice No]&lt;&gt;"")),tbl_Finance[Xero Invoice No]))=COUNTIFS(tbl_Finance[Job Number],C93&amp;"",tbl_Finance[Xero Invoice No],"&lt;&gt;"),LOOKUP(2,1/((tbl_Finance[Job Number]=C93&amp;"")*(tbl_Finance[Xero Invoice No]&lt;&gt;"")),tbl_Finance[Xero Invoice No]),LOOKUP(2,1/((tbl_Finance[Job Number]=C93&amp;"")*(tbl_Finance[Xero Invoice No]&lt;&gt;"")),tbl_Finance[Xero Invoice No])&amp;" +more"),"")))</f>
        <v/>
      </c>
      <c r="C93" s="24" t="n"/>
      <c r="D93" s="25">
        <f>IF(C93="","",IF(COUNTIF(lst_Jobs,C93&amp;"")&gt;0,"OK","CHECK"))</f>
        <v/>
      </c>
      <c r="E93" s="25">
        <f>IF(C93="","",IFERROR(INDEX(lst_JobName,MATCH(C93&amp;"",lst_Jobs,0)),""))</f>
        <v/>
      </c>
      <c r="F93" s="25">
        <f>IF(C93="","",IFERROR(INDEX(tbl_Finance[Client],MATCH(C93&amp;"",tbl_Finance[Job Number],0)),""))</f>
        <v/>
      </c>
      <c r="G93" s="28">
        <f>IF(C93="","",COUNTIFS(tbl_Finance[Job Number],C93&amp;"",tbl_Finance[Ex GST],"&lt;&gt;"))</f>
        <v/>
      </c>
      <c r="H93" s="27">
        <f>IF(C93="","",SUMIFS(tbl_Finance[Ex GST],tbl_Finance[Job Number],C93&amp;""))</f>
        <v/>
      </c>
      <c r="I93" s="27">
        <f>IF(C93="","",SUMIFS(tbl_Finance[Ex GST],tbl_Finance[Job Number],C93&amp;"",tbl_Finance[Xero Invoice No],"&lt;&gt;"))</f>
        <v/>
      </c>
      <c r="J93" s="27">
        <f>IF(C93="","",H93-I93)</f>
        <v/>
      </c>
      <c r="K93" s="25">
        <f>IF(C93="","",IF(G93=0,"not invoiced yet",SUBSTITUTE(TRIM(IF(COUNTIFS(tbl_Finance[Job Number],C93&amp;"",tbl_Finance[Cost Centre],"ONSITE")&gt;0,"ONSITE ","")&amp;IF(COUNTIFS(tbl_Finance[Job Number],C93&amp;"",tbl_Finance[Cost Centre],"PRODUCTION")&gt;0,"PRODUCTION ","")&amp;IF(COUNTIFS(tbl_Finance[Job Number],C93&amp;"",tbl_Finance[Cost Centre],"VIDEO")&gt;0,"VIDEO ","")&amp;IF(COUNTIFS(tbl_Finance[Job Number],C93&amp;"",tbl_Finance[Cost Centre],"INTEGRATION")&gt;0,"INTEGRATION ","")&amp;IF(COUNTIFS(tbl_Finance[Job Number],C93&amp;"",tbl_Finance[Cost Centre],"CONSULTING")&gt;0,"CONSULTING ","")&amp;IF(COUNTIFS(tbl_Finance[Job Number],C93&amp;"",tbl_Finance[Cost Centre],"CTS")&gt;0,"CTS ",""))," ",", ")))</f>
        <v/>
      </c>
      <c r="L93" s="24" t="n"/>
      <c r="M93" s="25">
        <f>IF(L93="","",HYPERLINK(IF(LEFT(L93,4)="http",L93,set_QwilrBase&amp;L93),"Open quote"))</f>
        <v/>
      </c>
      <c r="N93" s="26" t="n"/>
      <c r="O93" s="26" t="n"/>
      <c r="P93" s="26" t="n"/>
      <c r="Q93" s="25">
        <f>IF(C93="","",IF(N(N93)+N(O93)+N(P93)=0,"Not split",IF(ROUND(N(N93)+N(O93)+N(P93),2)=ROUND(H93,2),"OK","MISMATCH")))</f>
        <v/>
      </c>
      <c r="R93" s="26" t="n"/>
      <c r="S93" s="26" t="n"/>
      <c r="T93" s="26" t="n"/>
      <c r="U93" s="27">
        <f>IF(C93="","",N(R93)+N(S93)+N(T93))</f>
        <v/>
      </c>
      <c r="V93" s="27">
        <f>IF(C93="","",H93-U93)</f>
        <v/>
      </c>
      <c r="W93" s="29">
        <f>IFERROR(V93/H93,"")</f>
        <v/>
      </c>
      <c r="X93" s="24" t="n"/>
    </row>
    <row r="94" ht="15" customHeight="1">
      <c r="A94" s="68">
        <f>IF(C94="","",IFERROR(IF(SUMPRODUCT(MAX((tbl_Finance[Job Number]=C94&amp;"")*(tbl_Finance[Xero Invoice No]&lt;&gt;"")*tbl_Finance[Date]))=0,"",SUMPRODUCT(MAX((tbl_Finance[Job Number]=C94&amp;"")*(tbl_Finance[Xero Invoice No]&lt;&gt;"")*tbl_Finance[Date]))),""))</f>
        <v/>
      </c>
      <c r="B94" s="25">
        <f>IF(C94="","",IF(COUNTIFS(tbl_Finance[Job Number],C94&amp;"",tbl_Finance[Xero Invoice No],"&lt;&gt;")=0,"",IFERROR(IF(COUNTIFS(tbl_Finance[Job Number],C94&amp;"",tbl_Finance[Xero Invoice No],LOOKUP(2,1/((tbl_Finance[Job Number]=C94&amp;"")*(tbl_Finance[Xero Invoice No]&lt;&gt;"")),tbl_Finance[Xero Invoice No]))=COUNTIFS(tbl_Finance[Job Number],C94&amp;"",tbl_Finance[Xero Invoice No],"&lt;&gt;"),LOOKUP(2,1/((tbl_Finance[Job Number]=C94&amp;"")*(tbl_Finance[Xero Invoice No]&lt;&gt;"")),tbl_Finance[Xero Invoice No]),LOOKUP(2,1/((tbl_Finance[Job Number]=C94&amp;"")*(tbl_Finance[Xero Invoice No]&lt;&gt;"")),tbl_Finance[Xero Invoice No])&amp;" +more"),"")))</f>
        <v/>
      </c>
      <c r="C94" s="24" t="n"/>
      <c r="D94" s="25">
        <f>IF(C94="","",IF(COUNTIF(lst_Jobs,C94&amp;"")&gt;0,"OK","CHECK"))</f>
        <v/>
      </c>
      <c r="E94" s="25">
        <f>IF(C94="","",IFERROR(INDEX(lst_JobName,MATCH(C94&amp;"",lst_Jobs,0)),""))</f>
        <v/>
      </c>
      <c r="F94" s="25">
        <f>IF(C94="","",IFERROR(INDEX(tbl_Finance[Client],MATCH(C94&amp;"",tbl_Finance[Job Number],0)),""))</f>
        <v/>
      </c>
      <c r="G94" s="28">
        <f>IF(C94="","",COUNTIFS(tbl_Finance[Job Number],C94&amp;"",tbl_Finance[Ex GST],"&lt;&gt;"))</f>
        <v/>
      </c>
      <c r="H94" s="27">
        <f>IF(C94="","",SUMIFS(tbl_Finance[Ex GST],tbl_Finance[Job Number],C94&amp;""))</f>
        <v/>
      </c>
      <c r="I94" s="27">
        <f>IF(C94="","",SUMIFS(tbl_Finance[Ex GST],tbl_Finance[Job Number],C94&amp;"",tbl_Finance[Xero Invoice No],"&lt;&gt;"))</f>
        <v/>
      </c>
      <c r="J94" s="27">
        <f>IF(C94="","",H94-I94)</f>
        <v/>
      </c>
      <c r="K94" s="25">
        <f>IF(C94="","",IF(G94=0,"not invoiced yet",SUBSTITUTE(TRIM(IF(COUNTIFS(tbl_Finance[Job Number],C94&amp;"",tbl_Finance[Cost Centre],"ONSITE")&gt;0,"ONSITE ","")&amp;IF(COUNTIFS(tbl_Finance[Job Number],C94&amp;"",tbl_Finance[Cost Centre],"PRODUCTION")&gt;0,"PRODUCTION ","")&amp;IF(COUNTIFS(tbl_Finance[Job Number],C94&amp;"",tbl_Finance[Cost Centre],"VIDEO")&gt;0,"VIDEO ","")&amp;IF(COUNTIFS(tbl_Finance[Job Number],C94&amp;"",tbl_Finance[Cost Centre],"INTEGRATION")&gt;0,"INTEGRATION ","")&amp;IF(COUNTIFS(tbl_Finance[Job Number],C94&amp;"",tbl_Finance[Cost Centre],"CONSULTING")&gt;0,"CONSULTING ","")&amp;IF(COUNTIFS(tbl_Finance[Job Number],C94&amp;"",tbl_Finance[Cost Centre],"CTS")&gt;0,"CTS ",""))," ",", ")))</f>
        <v/>
      </c>
      <c r="L94" s="24" t="n"/>
      <c r="M94" s="25">
        <f>IF(L94="","",HYPERLINK(IF(LEFT(L94,4)="http",L94,set_QwilrBase&amp;L94),"Open quote"))</f>
        <v/>
      </c>
      <c r="N94" s="26" t="n"/>
      <c r="O94" s="26" t="n"/>
      <c r="P94" s="26" t="n"/>
      <c r="Q94" s="25">
        <f>IF(C94="","",IF(N(N94)+N(O94)+N(P94)=0,"Not split",IF(ROUND(N(N94)+N(O94)+N(P94),2)=ROUND(H94,2),"OK","MISMATCH")))</f>
        <v/>
      </c>
      <c r="R94" s="26" t="n"/>
      <c r="S94" s="26" t="n"/>
      <c r="T94" s="26" t="n"/>
      <c r="U94" s="27">
        <f>IF(C94="","",N(R94)+N(S94)+N(T94))</f>
        <v/>
      </c>
      <c r="V94" s="27">
        <f>IF(C94="","",H94-U94)</f>
        <v/>
      </c>
      <c r="W94" s="29">
        <f>IFERROR(V94/H94,"")</f>
        <v/>
      </c>
      <c r="X94" s="24" t="n"/>
    </row>
    <row r="95" ht="15" customHeight="1">
      <c r="A95" s="68">
        <f>IF(C95="","",IFERROR(IF(SUMPRODUCT(MAX((tbl_Finance[Job Number]=C95&amp;"")*(tbl_Finance[Xero Invoice No]&lt;&gt;"")*tbl_Finance[Date]))=0,"",SUMPRODUCT(MAX((tbl_Finance[Job Number]=C95&amp;"")*(tbl_Finance[Xero Invoice No]&lt;&gt;"")*tbl_Finance[Date]))),""))</f>
        <v/>
      </c>
      <c r="B95" s="25">
        <f>IF(C95="","",IF(COUNTIFS(tbl_Finance[Job Number],C95&amp;"",tbl_Finance[Xero Invoice No],"&lt;&gt;")=0,"",IFERROR(IF(COUNTIFS(tbl_Finance[Job Number],C95&amp;"",tbl_Finance[Xero Invoice No],LOOKUP(2,1/((tbl_Finance[Job Number]=C95&amp;"")*(tbl_Finance[Xero Invoice No]&lt;&gt;"")),tbl_Finance[Xero Invoice No]))=COUNTIFS(tbl_Finance[Job Number],C95&amp;"",tbl_Finance[Xero Invoice No],"&lt;&gt;"),LOOKUP(2,1/((tbl_Finance[Job Number]=C95&amp;"")*(tbl_Finance[Xero Invoice No]&lt;&gt;"")),tbl_Finance[Xero Invoice No]),LOOKUP(2,1/((tbl_Finance[Job Number]=C95&amp;"")*(tbl_Finance[Xero Invoice No]&lt;&gt;"")),tbl_Finance[Xero Invoice No])&amp;" +more"),"")))</f>
        <v/>
      </c>
      <c r="C95" s="24" t="n"/>
      <c r="D95" s="25">
        <f>IF(C95="","",IF(COUNTIF(lst_Jobs,C95&amp;"")&gt;0,"OK","CHECK"))</f>
        <v/>
      </c>
      <c r="E95" s="25">
        <f>IF(C95="","",IFERROR(INDEX(lst_JobName,MATCH(C95&amp;"",lst_Jobs,0)),""))</f>
        <v/>
      </c>
      <c r="F95" s="25">
        <f>IF(C95="","",IFERROR(INDEX(tbl_Finance[Client],MATCH(C95&amp;"",tbl_Finance[Job Number],0)),""))</f>
        <v/>
      </c>
      <c r="G95" s="28">
        <f>IF(C95="","",COUNTIFS(tbl_Finance[Job Number],C95&amp;"",tbl_Finance[Ex GST],"&lt;&gt;"))</f>
        <v/>
      </c>
      <c r="H95" s="27">
        <f>IF(C95="","",SUMIFS(tbl_Finance[Ex GST],tbl_Finance[Job Number],C95&amp;""))</f>
        <v/>
      </c>
      <c r="I95" s="27">
        <f>IF(C95="","",SUMIFS(tbl_Finance[Ex GST],tbl_Finance[Job Number],C95&amp;"",tbl_Finance[Xero Invoice No],"&lt;&gt;"))</f>
        <v/>
      </c>
      <c r="J95" s="27">
        <f>IF(C95="","",H95-I95)</f>
        <v/>
      </c>
      <c r="K95" s="25">
        <f>IF(C95="","",IF(G95=0,"not invoiced yet",SUBSTITUTE(TRIM(IF(COUNTIFS(tbl_Finance[Job Number],C95&amp;"",tbl_Finance[Cost Centre],"ONSITE")&gt;0,"ONSITE ","")&amp;IF(COUNTIFS(tbl_Finance[Job Number],C95&amp;"",tbl_Finance[Cost Centre],"PRODUCTION")&gt;0,"PRODUCTION ","")&amp;IF(COUNTIFS(tbl_Finance[Job Number],C95&amp;"",tbl_Finance[Cost Centre],"VIDEO")&gt;0,"VIDEO ","")&amp;IF(COUNTIFS(tbl_Finance[Job Number],C95&amp;"",tbl_Finance[Cost Centre],"INTEGRATION")&gt;0,"INTEGRATION ","")&amp;IF(COUNTIFS(tbl_Finance[Job Number],C95&amp;"",tbl_Finance[Cost Centre],"CONSULTING")&gt;0,"CONSULTING ","")&amp;IF(COUNTIFS(tbl_Finance[Job Number],C95&amp;"",tbl_Finance[Cost Centre],"CTS")&gt;0,"CTS ",""))," ",", ")))</f>
        <v/>
      </c>
      <c r="L95" s="24" t="n"/>
      <c r="M95" s="25">
        <f>IF(L95="","",HYPERLINK(IF(LEFT(L95,4)="http",L95,set_QwilrBase&amp;L95),"Open quote"))</f>
        <v/>
      </c>
      <c r="N95" s="26" t="n"/>
      <c r="O95" s="26" t="n"/>
      <c r="P95" s="26" t="n"/>
      <c r="Q95" s="25">
        <f>IF(C95="","",IF(N(N95)+N(O95)+N(P95)=0,"Not split",IF(ROUND(N(N95)+N(O95)+N(P95),2)=ROUND(H95,2),"OK","MISMATCH")))</f>
        <v/>
      </c>
      <c r="R95" s="26" t="n"/>
      <c r="S95" s="26" t="n"/>
      <c r="T95" s="26" t="n"/>
      <c r="U95" s="27">
        <f>IF(C95="","",N(R95)+N(S95)+N(T95))</f>
        <v/>
      </c>
      <c r="V95" s="27">
        <f>IF(C95="","",H95-U95)</f>
        <v/>
      </c>
      <c r="W95" s="29">
        <f>IFERROR(V95/H95,"")</f>
        <v/>
      </c>
      <c r="X95" s="24" t="n"/>
    </row>
    <row r="96" ht="15" customHeight="1">
      <c r="A96" s="68">
        <f>IF(C96="","",IFERROR(IF(SUMPRODUCT(MAX((tbl_Finance[Job Number]=C96&amp;"")*(tbl_Finance[Xero Invoice No]&lt;&gt;"")*tbl_Finance[Date]))=0,"",SUMPRODUCT(MAX((tbl_Finance[Job Number]=C96&amp;"")*(tbl_Finance[Xero Invoice No]&lt;&gt;"")*tbl_Finance[Date]))),""))</f>
        <v/>
      </c>
      <c r="B96" s="25">
        <f>IF(C96="","",IF(COUNTIFS(tbl_Finance[Job Number],C96&amp;"",tbl_Finance[Xero Invoice No],"&lt;&gt;")=0,"",IFERROR(IF(COUNTIFS(tbl_Finance[Job Number],C96&amp;"",tbl_Finance[Xero Invoice No],LOOKUP(2,1/((tbl_Finance[Job Number]=C96&amp;"")*(tbl_Finance[Xero Invoice No]&lt;&gt;"")),tbl_Finance[Xero Invoice No]))=COUNTIFS(tbl_Finance[Job Number],C96&amp;"",tbl_Finance[Xero Invoice No],"&lt;&gt;"),LOOKUP(2,1/((tbl_Finance[Job Number]=C96&amp;"")*(tbl_Finance[Xero Invoice No]&lt;&gt;"")),tbl_Finance[Xero Invoice No]),LOOKUP(2,1/((tbl_Finance[Job Number]=C96&amp;"")*(tbl_Finance[Xero Invoice No]&lt;&gt;"")),tbl_Finance[Xero Invoice No])&amp;" +more"),"")))</f>
        <v/>
      </c>
      <c r="C96" s="24" t="n"/>
      <c r="D96" s="25">
        <f>IF(C96="","",IF(COUNTIF(lst_Jobs,C96&amp;"")&gt;0,"OK","CHECK"))</f>
        <v/>
      </c>
      <c r="E96" s="25">
        <f>IF(C96="","",IFERROR(INDEX(lst_JobName,MATCH(C96&amp;"",lst_Jobs,0)),""))</f>
        <v/>
      </c>
      <c r="F96" s="25">
        <f>IF(C96="","",IFERROR(INDEX(tbl_Finance[Client],MATCH(C96&amp;"",tbl_Finance[Job Number],0)),""))</f>
        <v/>
      </c>
      <c r="G96" s="28">
        <f>IF(C96="","",COUNTIFS(tbl_Finance[Job Number],C96&amp;"",tbl_Finance[Ex GST],"&lt;&gt;"))</f>
        <v/>
      </c>
      <c r="H96" s="27">
        <f>IF(C96="","",SUMIFS(tbl_Finance[Ex GST],tbl_Finance[Job Number],C96&amp;""))</f>
        <v/>
      </c>
      <c r="I96" s="27">
        <f>IF(C96="","",SUMIFS(tbl_Finance[Ex GST],tbl_Finance[Job Number],C96&amp;"",tbl_Finance[Xero Invoice No],"&lt;&gt;"))</f>
        <v/>
      </c>
      <c r="J96" s="27">
        <f>IF(C96="","",H96-I96)</f>
        <v/>
      </c>
      <c r="K96" s="25">
        <f>IF(C96="","",IF(G96=0,"not invoiced yet",SUBSTITUTE(TRIM(IF(COUNTIFS(tbl_Finance[Job Number],C96&amp;"",tbl_Finance[Cost Centre],"ONSITE")&gt;0,"ONSITE ","")&amp;IF(COUNTIFS(tbl_Finance[Job Number],C96&amp;"",tbl_Finance[Cost Centre],"PRODUCTION")&gt;0,"PRODUCTION ","")&amp;IF(COUNTIFS(tbl_Finance[Job Number],C96&amp;"",tbl_Finance[Cost Centre],"VIDEO")&gt;0,"VIDEO ","")&amp;IF(COUNTIFS(tbl_Finance[Job Number],C96&amp;"",tbl_Finance[Cost Centre],"INTEGRATION")&gt;0,"INTEGRATION ","")&amp;IF(COUNTIFS(tbl_Finance[Job Number],C96&amp;"",tbl_Finance[Cost Centre],"CONSULTING")&gt;0,"CONSULTING ","")&amp;IF(COUNTIFS(tbl_Finance[Job Number],C96&amp;"",tbl_Finance[Cost Centre],"CTS")&gt;0,"CTS ",""))," ",", ")))</f>
        <v/>
      </c>
      <c r="L96" s="24" t="n"/>
      <c r="M96" s="25">
        <f>IF(L96="","",HYPERLINK(IF(LEFT(L96,4)="http",L96,set_QwilrBase&amp;L96),"Open quote"))</f>
        <v/>
      </c>
      <c r="N96" s="26" t="n"/>
      <c r="O96" s="26" t="n"/>
      <c r="P96" s="26" t="n"/>
      <c r="Q96" s="25">
        <f>IF(C96="","",IF(N(N96)+N(O96)+N(P96)=0,"Not split",IF(ROUND(N(N96)+N(O96)+N(P96),2)=ROUND(H96,2),"OK","MISMATCH")))</f>
        <v/>
      </c>
      <c r="R96" s="26" t="n"/>
      <c r="S96" s="26" t="n"/>
      <c r="T96" s="26" t="n"/>
      <c r="U96" s="27">
        <f>IF(C96="","",N(R96)+N(S96)+N(T96))</f>
        <v/>
      </c>
      <c r="V96" s="27">
        <f>IF(C96="","",H96-U96)</f>
        <v/>
      </c>
      <c r="W96" s="29">
        <f>IFERROR(V96/H96,"")</f>
        <v/>
      </c>
      <c r="X96" s="24" t="n"/>
    </row>
    <row r="97" ht="15" customHeight="1">
      <c r="A97" s="68">
        <f>IF(C97="","",IFERROR(IF(SUMPRODUCT(MAX((tbl_Finance[Job Number]=C97&amp;"")*(tbl_Finance[Xero Invoice No]&lt;&gt;"")*tbl_Finance[Date]))=0,"",SUMPRODUCT(MAX((tbl_Finance[Job Number]=C97&amp;"")*(tbl_Finance[Xero Invoice No]&lt;&gt;"")*tbl_Finance[Date]))),""))</f>
        <v/>
      </c>
      <c r="B97" s="25">
        <f>IF(C97="","",IF(COUNTIFS(tbl_Finance[Job Number],C97&amp;"",tbl_Finance[Xero Invoice No],"&lt;&gt;")=0,"",IFERROR(IF(COUNTIFS(tbl_Finance[Job Number],C97&amp;"",tbl_Finance[Xero Invoice No],LOOKUP(2,1/((tbl_Finance[Job Number]=C97&amp;"")*(tbl_Finance[Xero Invoice No]&lt;&gt;"")),tbl_Finance[Xero Invoice No]))=COUNTIFS(tbl_Finance[Job Number],C97&amp;"",tbl_Finance[Xero Invoice No],"&lt;&gt;"),LOOKUP(2,1/((tbl_Finance[Job Number]=C97&amp;"")*(tbl_Finance[Xero Invoice No]&lt;&gt;"")),tbl_Finance[Xero Invoice No]),LOOKUP(2,1/((tbl_Finance[Job Number]=C97&amp;"")*(tbl_Finance[Xero Invoice No]&lt;&gt;"")),tbl_Finance[Xero Invoice No])&amp;" +more"),"")))</f>
        <v/>
      </c>
      <c r="C97" s="24" t="n"/>
      <c r="D97" s="25">
        <f>IF(C97="","",IF(COUNTIF(lst_Jobs,C97&amp;"")&gt;0,"OK","CHECK"))</f>
        <v/>
      </c>
      <c r="E97" s="25">
        <f>IF(C97="","",IFERROR(INDEX(lst_JobName,MATCH(C97&amp;"",lst_Jobs,0)),""))</f>
        <v/>
      </c>
      <c r="F97" s="25">
        <f>IF(C97="","",IFERROR(INDEX(tbl_Finance[Client],MATCH(C97&amp;"",tbl_Finance[Job Number],0)),""))</f>
        <v/>
      </c>
      <c r="G97" s="28">
        <f>IF(C97="","",COUNTIFS(tbl_Finance[Job Number],C97&amp;"",tbl_Finance[Ex GST],"&lt;&gt;"))</f>
        <v/>
      </c>
      <c r="H97" s="27">
        <f>IF(C97="","",SUMIFS(tbl_Finance[Ex GST],tbl_Finance[Job Number],C97&amp;""))</f>
        <v/>
      </c>
      <c r="I97" s="27">
        <f>IF(C97="","",SUMIFS(tbl_Finance[Ex GST],tbl_Finance[Job Number],C97&amp;"",tbl_Finance[Xero Invoice No],"&lt;&gt;"))</f>
        <v/>
      </c>
      <c r="J97" s="27">
        <f>IF(C97="","",H97-I97)</f>
        <v/>
      </c>
      <c r="K97" s="25">
        <f>IF(C97="","",IF(G97=0,"not invoiced yet",SUBSTITUTE(TRIM(IF(COUNTIFS(tbl_Finance[Job Number],C97&amp;"",tbl_Finance[Cost Centre],"ONSITE")&gt;0,"ONSITE ","")&amp;IF(COUNTIFS(tbl_Finance[Job Number],C97&amp;"",tbl_Finance[Cost Centre],"PRODUCTION")&gt;0,"PRODUCTION ","")&amp;IF(COUNTIFS(tbl_Finance[Job Number],C97&amp;"",tbl_Finance[Cost Centre],"VIDEO")&gt;0,"VIDEO ","")&amp;IF(COUNTIFS(tbl_Finance[Job Number],C97&amp;"",tbl_Finance[Cost Centre],"INTEGRATION")&gt;0,"INTEGRATION ","")&amp;IF(COUNTIFS(tbl_Finance[Job Number],C97&amp;"",tbl_Finance[Cost Centre],"CONSULTING")&gt;0,"CONSULTING ","")&amp;IF(COUNTIFS(tbl_Finance[Job Number],C97&amp;"",tbl_Finance[Cost Centre],"CTS")&gt;0,"CTS ",""))," ",", ")))</f>
        <v/>
      </c>
      <c r="L97" s="24" t="n"/>
      <c r="M97" s="25">
        <f>IF(L97="","",HYPERLINK(IF(LEFT(L97,4)="http",L97,set_QwilrBase&amp;L97),"Open quote"))</f>
        <v/>
      </c>
      <c r="N97" s="26" t="n"/>
      <c r="O97" s="26" t="n"/>
      <c r="P97" s="26" t="n"/>
      <c r="Q97" s="25">
        <f>IF(C97="","",IF(N(N97)+N(O97)+N(P97)=0,"Not split",IF(ROUND(N(N97)+N(O97)+N(P97),2)=ROUND(H97,2),"OK","MISMATCH")))</f>
        <v/>
      </c>
      <c r="R97" s="26" t="n"/>
      <c r="S97" s="26" t="n"/>
      <c r="T97" s="26" t="n"/>
      <c r="U97" s="27">
        <f>IF(C97="","",N(R97)+N(S97)+N(T97))</f>
        <v/>
      </c>
      <c r="V97" s="27">
        <f>IF(C97="","",H97-U97)</f>
        <v/>
      </c>
      <c r="W97" s="29">
        <f>IFERROR(V97/H97,"")</f>
        <v/>
      </c>
      <c r="X97" s="24" t="n"/>
    </row>
    <row r="98" ht="15" customHeight="1">
      <c r="A98" s="68">
        <f>IF(C98="","",IFERROR(IF(SUMPRODUCT(MAX((tbl_Finance[Job Number]=C98&amp;"")*(tbl_Finance[Xero Invoice No]&lt;&gt;"")*tbl_Finance[Date]))=0,"",SUMPRODUCT(MAX((tbl_Finance[Job Number]=C98&amp;"")*(tbl_Finance[Xero Invoice No]&lt;&gt;"")*tbl_Finance[Date]))),""))</f>
        <v/>
      </c>
      <c r="B98" s="25">
        <f>IF(C98="","",IF(COUNTIFS(tbl_Finance[Job Number],C98&amp;"",tbl_Finance[Xero Invoice No],"&lt;&gt;")=0,"",IFERROR(IF(COUNTIFS(tbl_Finance[Job Number],C98&amp;"",tbl_Finance[Xero Invoice No],LOOKUP(2,1/((tbl_Finance[Job Number]=C98&amp;"")*(tbl_Finance[Xero Invoice No]&lt;&gt;"")),tbl_Finance[Xero Invoice No]))=COUNTIFS(tbl_Finance[Job Number],C98&amp;"",tbl_Finance[Xero Invoice No],"&lt;&gt;"),LOOKUP(2,1/((tbl_Finance[Job Number]=C98&amp;"")*(tbl_Finance[Xero Invoice No]&lt;&gt;"")),tbl_Finance[Xero Invoice No]),LOOKUP(2,1/((tbl_Finance[Job Number]=C98&amp;"")*(tbl_Finance[Xero Invoice No]&lt;&gt;"")),tbl_Finance[Xero Invoice No])&amp;" +more"),"")))</f>
        <v/>
      </c>
      <c r="C98" s="24" t="n"/>
      <c r="D98" s="25">
        <f>IF(C98="","",IF(COUNTIF(lst_Jobs,C98&amp;"")&gt;0,"OK","CHECK"))</f>
        <v/>
      </c>
      <c r="E98" s="25">
        <f>IF(C98="","",IFERROR(INDEX(lst_JobName,MATCH(C98&amp;"",lst_Jobs,0)),""))</f>
        <v/>
      </c>
      <c r="F98" s="25">
        <f>IF(C98="","",IFERROR(INDEX(tbl_Finance[Client],MATCH(C98&amp;"",tbl_Finance[Job Number],0)),""))</f>
        <v/>
      </c>
      <c r="G98" s="28">
        <f>IF(C98="","",COUNTIFS(tbl_Finance[Job Number],C98&amp;"",tbl_Finance[Ex GST],"&lt;&gt;"))</f>
        <v/>
      </c>
      <c r="H98" s="27">
        <f>IF(C98="","",SUMIFS(tbl_Finance[Ex GST],tbl_Finance[Job Number],C98&amp;""))</f>
        <v/>
      </c>
      <c r="I98" s="27">
        <f>IF(C98="","",SUMIFS(tbl_Finance[Ex GST],tbl_Finance[Job Number],C98&amp;"",tbl_Finance[Xero Invoice No],"&lt;&gt;"))</f>
        <v/>
      </c>
      <c r="J98" s="27">
        <f>IF(C98="","",H98-I98)</f>
        <v/>
      </c>
      <c r="K98" s="25">
        <f>IF(C98="","",IF(G98=0,"not invoiced yet",SUBSTITUTE(TRIM(IF(COUNTIFS(tbl_Finance[Job Number],C98&amp;"",tbl_Finance[Cost Centre],"ONSITE")&gt;0,"ONSITE ","")&amp;IF(COUNTIFS(tbl_Finance[Job Number],C98&amp;"",tbl_Finance[Cost Centre],"PRODUCTION")&gt;0,"PRODUCTION ","")&amp;IF(COUNTIFS(tbl_Finance[Job Number],C98&amp;"",tbl_Finance[Cost Centre],"VIDEO")&gt;0,"VIDEO ","")&amp;IF(COUNTIFS(tbl_Finance[Job Number],C98&amp;"",tbl_Finance[Cost Centre],"INTEGRATION")&gt;0,"INTEGRATION ","")&amp;IF(COUNTIFS(tbl_Finance[Job Number],C98&amp;"",tbl_Finance[Cost Centre],"CONSULTING")&gt;0,"CONSULTING ","")&amp;IF(COUNTIFS(tbl_Finance[Job Number],C98&amp;"",tbl_Finance[Cost Centre],"CTS")&gt;0,"CTS ",""))," ",", ")))</f>
        <v/>
      </c>
      <c r="L98" s="24" t="n"/>
      <c r="M98" s="25">
        <f>IF(L98="","",HYPERLINK(IF(LEFT(L98,4)="http",L98,set_QwilrBase&amp;L98),"Open quote"))</f>
        <v/>
      </c>
      <c r="N98" s="26" t="n"/>
      <c r="O98" s="26" t="n"/>
      <c r="P98" s="26" t="n"/>
      <c r="Q98" s="25">
        <f>IF(C98="","",IF(N(N98)+N(O98)+N(P98)=0,"Not split",IF(ROUND(N(N98)+N(O98)+N(P98),2)=ROUND(H98,2),"OK","MISMATCH")))</f>
        <v/>
      </c>
      <c r="R98" s="26" t="n"/>
      <c r="S98" s="26" t="n"/>
      <c r="T98" s="26" t="n"/>
      <c r="U98" s="27">
        <f>IF(C98="","",N(R98)+N(S98)+N(T98))</f>
        <v/>
      </c>
      <c r="V98" s="27">
        <f>IF(C98="","",H98-U98)</f>
        <v/>
      </c>
      <c r="W98" s="29">
        <f>IFERROR(V98/H98,"")</f>
        <v/>
      </c>
      <c r="X98" s="24" t="n"/>
    </row>
    <row r="99" ht="15" customHeight="1">
      <c r="A99" s="68">
        <f>IF(C99="","",IFERROR(IF(SUMPRODUCT(MAX((tbl_Finance[Job Number]=C99&amp;"")*(tbl_Finance[Xero Invoice No]&lt;&gt;"")*tbl_Finance[Date]))=0,"",SUMPRODUCT(MAX((tbl_Finance[Job Number]=C99&amp;"")*(tbl_Finance[Xero Invoice No]&lt;&gt;"")*tbl_Finance[Date]))),""))</f>
        <v/>
      </c>
      <c r="B99" s="25">
        <f>IF(C99="","",IF(COUNTIFS(tbl_Finance[Job Number],C99&amp;"",tbl_Finance[Xero Invoice No],"&lt;&gt;")=0,"",IFERROR(IF(COUNTIFS(tbl_Finance[Job Number],C99&amp;"",tbl_Finance[Xero Invoice No],LOOKUP(2,1/((tbl_Finance[Job Number]=C99&amp;"")*(tbl_Finance[Xero Invoice No]&lt;&gt;"")),tbl_Finance[Xero Invoice No]))=COUNTIFS(tbl_Finance[Job Number],C99&amp;"",tbl_Finance[Xero Invoice No],"&lt;&gt;"),LOOKUP(2,1/((tbl_Finance[Job Number]=C99&amp;"")*(tbl_Finance[Xero Invoice No]&lt;&gt;"")),tbl_Finance[Xero Invoice No]),LOOKUP(2,1/((tbl_Finance[Job Number]=C99&amp;"")*(tbl_Finance[Xero Invoice No]&lt;&gt;"")),tbl_Finance[Xero Invoice No])&amp;" +more"),"")))</f>
        <v/>
      </c>
      <c r="C99" s="24" t="n"/>
      <c r="D99" s="25">
        <f>IF(C99="","",IF(COUNTIF(lst_Jobs,C99&amp;"")&gt;0,"OK","CHECK"))</f>
        <v/>
      </c>
      <c r="E99" s="25">
        <f>IF(C99="","",IFERROR(INDEX(lst_JobName,MATCH(C99&amp;"",lst_Jobs,0)),""))</f>
        <v/>
      </c>
      <c r="F99" s="25">
        <f>IF(C99="","",IFERROR(INDEX(tbl_Finance[Client],MATCH(C99&amp;"",tbl_Finance[Job Number],0)),""))</f>
        <v/>
      </c>
      <c r="G99" s="28">
        <f>IF(C99="","",COUNTIFS(tbl_Finance[Job Number],C99&amp;"",tbl_Finance[Ex GST],"&lt;&gt;"))</f>
        <v/>
      </c>
      <c r="H99" s="27">
        <f>IF(C99="","",SUMIFS(tbl_Finance[Ex GST],tbl_Finance[Job Number],C99&amp;""))</f>
        <v/>
      </c>
      <c r="I99" s="27">
        <f>IF(C99="","",SUMIFS(tbl_Finance[Ex GST],tbl_Finance[Job Number],C99&amp;"",tbl_Finance[Xero Invoice No],"&lt;&gt;"))</f>
        <v/>
      </c>
      <c r="J99" s="27">
        <f>IF(C99="","",H99-I99)</f>
        <v/>
      </c>
      <c r="K99" s="25">
        <f>IF(C99="","",IF(G99=0,"not invoiced yet",SUBSTITUTE(TRIM(IF(COUNTIFS(tbl_Finance[Job Number],C99&amp;"",tbl_Finance[Cost Centre],"ONSITE")&gt;0,"ONSITE ","")&amp;IF(COUNTIFS(tbl_Finance[Job Number],C99&amp;"",tbl_Finance[Cost Centre],"PRODUCTION")&gt;0,"PRODUCTION ","")&amp;IF(COUNTIFS(tbl_Finance[Job Number],C99&amp;"",tbl_Finance[Cost Centre],"VIDEO")&gt;0,"VIDEO ","")&amp;IF(COUNTIFS(tbl_Finance[Job Number],C99&amp;"",tbl_Finance[Cost Centre],"INTEGRATION")&gt;0,"INTEGRATION ","")&amp;IF(COUNTIFS(tbl_Finance[Job Number],C99&amp;"",tbl_Finance[Cost Centre],"CONSULTING")&gt;0,"CONSULTING ","")&amp;IF(COUNTIFS(tbl_Finance[Job Number],C99&amp;"",tbl_Finance[Cost Centre],"CTS")&gt;0,"CTS ",""))," ",", ")))</f>
        <v/>
      </c>
      <c r="L99" s="24" t="n"/>
      <c r="M99" s="25">
        <f>IF(L99="","",HYPERLINK(IF(LEFT(L99,4)="http",L99,set_QwilrBase&amp;L99),"Open quote"))</f>
        <v/>
      </c>
      <c r="N99" s="26" t="n"/>
      <c r="O99" s="26" t="n"/>
      <c r="P99" s="26" t="n"/>
      <c r="Q99" s="25">
        <f>IF(C99="","",IF(N(N99)+N(O99)+N(P99)=0,"Not split",IF(ROUND(N(N99)+N(O99)+N(P99),2)=ROUND(H99,2),"OK","MISMATCH")))</f>
        <v/>
      </c>
      <c r="R99" s="26" t="n"/>
      <c r="S99" s="26" t="n"/>
      <c r="T99" s="26" t="n"/>
      <c r="U99" s="27">
        <f>IF(C99="","",N(R99)+N(S99)+N(T99))</f>
        <v/>
      </c>
      <c r="V99" s="27">
        <f>IF(C99="","",H99-U99)</f>
        <v/>
      </c>
      <c r="W99" s="29">
        <f>IFERROR(V99/H99,"")</f>
        <v/>
      </c>
      <c r="X99" s="24" t="n"/>
    </row>
    <row r="100" ht="15" customHeight="1">
      <c r="A100" s="68">
        <f>IF(C100="","",IFERROR(IF(SUMPRODUCT(MAX((tbl_Finance[Job Number]=C100&amp;"")*(tbl_Finance[Xero Invoice No]&lt;&gt;"")*tbl_Finance[Date]))=0,"",SUMPRODUCT(MAX((tbl_Finance[Job Number]=C100&amp;"")*(tbl_Finance[Xero Invoice No]&lt;&gt;"")*tbl_Finance[Date]))),""))</f>
        <v/>
      </c>
      <c r="B100" s="25">
        <f>IF(C100="","",IF(COUNTIFS(tbl_Finance[Job Number],C100&amp;"",tbl_Finance[Xero Invoice No],"&lt;&gt;")=0,"",IFERROR(IF(COUNTIFS(tbl_Finance[Job Number],C100&amp;"",tbl_Finance[Xero Invoice No],LOOKUP(2,1/((tbl_Finance[Job Number]=C100&amp;"")*(tbl_Finance[Xero Invoice No]&lt;&gt;"")),tbl_Finance[Xero Invoice No]))=COUNTIFS(tbl_Finance[Job Number],C100&amp;"",tbl_Finance[Xero Invoice No],"&lt;&gt;"),LOOKUP(2,1/((tbl_Finance[Job Number]=C100&amp;"")*(tbl_Finance[Xero Invoice No]&lt;&gt;"")),tbl_Finance[Xero Invoice No]),LOOKUP(2,1/((tbl_Finance[Job Number]=C100&amp;"")*(tbl_Finance[Xero Invoice No]&lt;&gt;"")),tbl_Finance[Xero Invoice No])&amp;" +more"),"")))</f>
        <v/>
      </c>
      <c r="C100" s="24" t="n"/>
      <c r="D100" s="25">
        <f>IF(C100="","",IF(COUNTIF(lst_Jobs,C100&amp;"")&gt;0,"OK","CHECK"))</f>
        <v/>
      </c>
      <c r="E100" s="25">
        <f>IF(C100="","",IFERROR(INDEX(lst_JobName,MATCH(C100&amp;"",lst_Jobs,0)),""))</f>
        <v/>
      </c>
      <c r="F100" s="25">
        <f>IF(C100="","",IFERROR(INDEX(tbl_Finance[Client],MATCH(C100&amp;"",tbl_Finance[Job Number],0)),""))</f>
        <v/>
      </c>
      <c r="G100" s="28">
        <f>IF(C100="","",COUNTIFS(tbl_Finance[Job Number],C100&amp;"",tbl_Finance[Ex GST],"&lt;&gt;"))</f>
        <v/>
      </c>
      <c r="H100" s="27">
        <f>IF(C100="","",SUMIFS(tbl_Finance[Ex GST],tbl_Finance[Job Number],C100&amp;""))</f>
        <v/>
      </c>
      <c r="I100" s="27">
        <f>IF(C100="","",SUMIFS(tbl_Finance[Ex GST],tbl_Finance[Job Number],C100&amp;"",tbl_Finance[Xero Invoice No],"&lt;&gt;"))</f>
        <v/>
      </c>
      <c r="J100" s="27">
        <f>IF(C100="","",H100-I100)</f>
        <v/>
      </c>
      <c r="K100" s="25">
        <f>IF(C100="","",IF(G100=0,"not invoiced yet",SUBSTITUTE(TRIM(IF(COUNTIFS(tbl_Finance[Job Number],C100&amp;"",tbl_Finance[Cost Centre],"ONSITE")&gt;0,"ONSITE ","")&amp;IF(COUNTIFS(tbl_Finance[Job Number],C100&amp;"",tbl_Finance[Cost Centre],"PRODUCTION")&gt;0,"PRODUCTION ","")&amp;IF(COUNTIFS(tbl_Finance[Job Number],C100&amp;"",tbl_Finance[Cost Centre],"VIDEO")&gt;0,"VIDEO ","")&amp;IF(COUNTIFS(tbl_Finance[Job Number],C100&amp;"",tbl_Finance[Cost Centre],"INTEGRATION")&gt;0,"INTEGRATION ","")&amp;IF(COUNTIFS(tbl_Finance[Job Number],C100&amp;"",tbl_Finance[Cost Centre],"CONSULTING")&gt;0,"CONSULTING ","")&amp;IF(COUNTIFS(tbl_Finance[Job Number],C100&amp;"",tbl_Finance[Cost Centre],"CTS")&gt;0,"CTS ",""))," ",", ")))</f>
        <v/>
      </c>
      <c r="L100" s="24" t="n"/>
      <c r="M100" s="25">
        <f>IF(L100="","",HYPERLINK(IF(LEFT(L100,4)="http",L100,set_QwilrBase&amp;L100),"Open quote"))</f>
        <v/>
      </c>
      <c r="N100" s="26" t="n"/>
      <c r="O100" s="26" t="n"/>
      <c r="P100" s="26" t="n"/>
      <c r="Q100" s="25">
        <f>IF(C100="","",IF(N(N100)+N(O100)+N(P100)=0,"Not split",IF(ROUND(N(N100)+N(O100)+N(P100),2)=ROUND(H100,2),"OK","MISMATCH")))</f>
        <v/>
      </c>
      <c r="R100" s="26" t="n"/>
      <c r="S100" s="26" t="n"/>
      <c r="T100" s="26" t="n"/>
      <c r="U100" s="27">
        <f>IF(C100="","",N(R100)+N(S100)+N(T100))</f>
        <v/>
      </c>
      <c r="V100" s="27">
        <f>IF(C100="","",H100-U100)</f>
        <v/>
      </c>
      <c r="W100" s="29">
        <f>IFERROR(V100/H100,"")</f>
        <v/>
      </c>
      <c r="X100" s="24" t="n"/>
    </row>
    <row r="101" ht="15" customHeight="1">
      <c r="A101" s="68">
        <f>IF(C101="","",IFERROR(IF(SUMPRODUCT(MAX((tbl_Finance[Job Number]=C101&amp;"")*(tbl_Finance[Xero Invoice No]&lt;&gt;"")*tbl_Finance[Date]))=0,"",SUMPRODUCT(MAX((tbl_Finance[Job Number]=C101&amp;"")*(tbl_Finance[Xero Invoice No]&lt;&gt;"")*tbl_Finance[Date]))),""))</f>
        <v/>
      </c>
      <c r="B101" s="25">
        <f>IF(C101="","",IF(COUNTIFS(tbl_Finance[Job Number],C101&amp;"",tbl_Finance[Xero Invoice No],"&lt;&gt;")=0,"",IFERROR(IF(COUNTIFS(tbl_Finance[Job Number],C101&amp;"",tbl_Finance[Xero Invoice No],LOOKUP(2,1/((tbl_Finance[Job Number]=C101&amp;"")*(tbl_Finance[Xero Invoice No]&lt;&gt;"")),tbl_Finance[Xero Invoice No]))=COUNTIFS(tbl_Finance[Job Number],C101&amp;"",tbl_Finance[Xero Invoice No],"&lt;&gt;"),LOOKUP(2,1/((tbl_Finance[Job Number]=C101&amp;"")*(tbl_Finance[Xero Invoice No]&lt;&gt;"")),tbl_Finance[Xero Invoice No]),LOOKUP(2,1/((tbl_Finance[Job Number]=C101&amp;"")*(tbl_Finance[Xero Invoice No]&lt;&gt;"")),tbl_Finance[Xero Invoice No])&amp;" +more"),"")))</f>
        <v/>
      </c>
      <c r="C101" s="24" t="n"/>
      <c r="D101" s="25">
        <f>IF(C101="","",IF(COUNTIF(lst_Jobs,C101&amp;"")&gt;0,"OK","CHECK"))</f>
        <v/>
      </c>
      <c r="E101" s="25">
        <f>IF(C101="","",IFERROR(INDEX(lst_JobName,MATCH(C101&amp;"",lst_Jobs,0)),""))</f>
        <v/>
      </c>
      <c r="F101" s="25">
        <f>IF(C101="","",IFERROR(INDEX(tbl_Finance[Client],MATCH(C101&amp;"",tbl_Finance[Job Number],0)),""))</f>
        <v/>
      </c>
      <c r="G101" s="28">
        <f>IF(C101="","",COUNTIFS(tbl_Finance[Job Number],C101&amp;"",tbl_Finance[Ex GST],"&lt;&gt;"))</f>
        <v/>
      </c>
      <c r="H101" s="27">
        <f>IF(C101="","",SUMIFS(tbl_Finance[Ex GST],tbl_Finance[Job Number],C101&amp;""))</f>
        <v/>
      </c>
      <c r="I101" s="27">
        <f>IF(C101="","",SUMIFS(tbl_Finance[Ex GST],tbl_Finance[Job Number],C101&amp;"",tbl_Finance[Xero Invoice No],"&lt;&gt;"))</f>
        <v/>
      </c>
      <c r="J101" s="27">
        <f>IF(C101="","",H101-I101)</f>
        <v/>
      </c>
      <c r="K101" s="25">
        <f>IF(C101="","",IF(G101=0,"not invoiced yet",SUBSTITUTE(TRIM(IF(COUNTIFS(tbl_Finance[Job Number],C101&amp;"",tbl_Finance[Cost Centre],"ONSITE")&gt;0,"ONSITE ","")&amp;IF(COUNTIFS(tbl_Finance[Job Number],C101&amp;"",tbl_Finance[Cost Centre],"PRODUCTION")&gt;0,"PRODUCTION ","")&amp;IF(COUNTIFS(tbl_Finance[Job Number],C101&amp;"",tbl_Finance[Cost Centre],"VIDEO")&gt;0,"VIDEO ","")&amp;IF(COUNTIFS(tbl_Finance[Job Number],C101&amp;"",tbl_Finance[Cost Centre],"INTEGRATION")&gt;0,"INTEGRATION ","")&amp;IF(COUNTIFS(tbl_Finance[Job Number],C101&amp;"",tbl_Finance[Cost Centre],"CONSULTING")&gt;0,"CONSULTING ","")&amp;IF(COUNTIFS(tbl_Finance[Job Number],C101&amp;"",tbl_Finance[Cost Centre],"CTS")&gt;0,"CTS ",""))," ",", ")))</f>
        <v/>
      </c>
      <c r="L101" s="24" t="n"/>
      <c r="M101" s="25">
        <f>IF(L101="","",HYPERLINK(IF(LEFT(L101,4)="http",L101,set_QwilrBase&amp;L101),"Open quote"))</f>
        <v/>
      </c>
      <c r="N101" s="26" t="n"/>
      <c r="O101" s="26" t="n"/>
      <c r="P101" s="26" t="n"/>
      <c r="Q101" s="25">
        <f>IF(C101="","",IF(N(N101)+N(O101)+N(P101)=0,"Not split",IF(ROUND(N(N101)+N(O101)+N(P101),2)=ROUND(H101,2),"OK","MISMATCH")))</f>
        <v/>
      </c>
      <c r="R101" s="26" t="n"/>
      <c r="S101" s="26" t="n"/>
      <c r="T101" s="26" t="n"/>
      <c r="U101" s="27">
        <f>IF(C101="","",N(R101)+N(S101)+N(T101))</f>
        <v/>
      </c>
      <c r="V101" s="27">
        <f>IF(C101="","",H101-U101)</f>
        <v/>
      </c>
      <c r="W101" s="29">
        <f>IFERROR(V101/H101,"")</f>
        <v/>
      </c>
      <c r="X101" s="24" t="n"/>
    </row>
    <row r="102" ht="15" customHeight="1">
      <c r="A102" s="68">
        <f>IF(C102="","",IFERROR(IF(SUMPRODUCT(MAX((tbl_Finance[Job Number]=C102&amp;"")*(tbl_Finance[Xero Invoice No]&lt;&gt;"")*tbl_Finance[Date]))=0,"",SUMPRODUCT(MAX((tbl_Finance[Job Number]=C102&amp;"")*(tbl_Finance[Xero Invoice No]&lt;&gt;"")*tbl_Finance[Date]))),""))</f>
        <v/>
      </c>
      <c r="B102" s="25">
        <f>IF(C102="","",IF(COUNTIFS(tbl_Finance[Job Number],C102&amp;"",tbl_Finance[Xero Invoice No],"&lt;&gt;")=0,"",IFERROR(IF(COUNTIFS(tbl_Finance[Job Number],C102&amp;"",tbl_Finance[Xero Invoice No],LOOKUP(2,1/((tbl_Finance[Job Number]=C102&amp;"")*(tbl_Finance[Xero Invoice No]&lt;&gt;"")),tbl_Finance[Xero Invoice No]))=COUNTIFS(tbl_Finance[Job Number],C102&amp;"",tbl_Finance[Xero Invoice No],"&lt;&gt;"),LOOKUP(2,1/((tbl_Finance[Job Number]=C102&amp;"")*(tbl_Finance[Xero Invoice No]&lt;&gt;"")),tbl_Finance[Xero Invoice No]),LOOKUP(2,1/((tbl_Finance[Job Number]=C102&amp;"")*(tbl_Finance[Xero Invoice No]&lt;&gt;"")),tbl_Finance[Xero Invoice No])&amp;" +more"),"")))</f>
        <v/>
      </c>
      <c r="C102" s="24" t="n"/>
      <c r="D102" s="25">
        <f>IF(C102="","",IF(COUNTIF(lst_Jobs,C102&amp;"")&gt;0,"OK","CHECK"))</f>
        <v/>
      </c>
      <c r="E102" s="25">
        <f>IF(C102="","",IFERROR(INDEX(lst_JobName,MATCH(C102&amp;"",lst_Jobs,0)),""))</f>
        <v/>
      </c>
      <c r="F102" s="25">
        <f>IF(C102="","",IFERROR(INDEX(tbl_Finance[Client],MATCH(C102&amp;"",tbl_Finance[Job Number],0)),""))</f>
        <v/>
      </c>
      <c r="G102" s="28">
        <f>IF(C102="","",COUNTIFS(tbl_Finance[Job Number],C102&amp;"",tbl_Finance[Ex GST],"&lt;&gt;"))</f>
        <v/>
      </c>
      <c r="H102" s="27">
        <f>IF(C102="","",SUMIFS(tbl_Finance[Ex GST],tbl_Finance[Job Number],C102&amp;""))</f>
        <v/>
      </c>
      <c r="I102" s="27">
        <f>IF(C102="","",SUMIFS(tbl_Finance[Ex GST],tbl_Finance[Job Number],C102&amp;"",tbl_Finance[Xero Invoice No],"&lt;&gt;"))</f>
        <v/>
      </c>
      <c r="J102" s="27">
        <f>IF(C102="","",H102-I102)</f>
        <v/>
      </c>
      <c r="K102" s="25">
        <f>IF(C102="","",IF(G102=0,"not invoiced yet",SUBSTITUTE(TRIM(IF(COUNTIFS(tbl_Finance[Job Number],C102&amp;"",tbl_Finance[Cost Centre],"ONSITE")&gt;0,"ONSITE ","")&amp;IF(COUNTIFS(tbl_Finance[Job Number],C102&amp;"",tbl_Finance[Cost Centre],"PRODUCTION")&gt;0,"PRODUCTION ","")&amp;IF(COUNTIFS(tbl_Finance[Job Number],C102&amp;"",tbl_Finance[Cost Centre],"VIDEO")&gt;0,"VIDEO ","")&amp;IF(COUNTIFS(tbl_Finance[Job Number],C102&amp;"",tbl_Finance[Cost Centre],"INTEGRATION")&gt;0,"INTEGRATION ","")&amp;IF(COUNTIFS(tbl_Finance[Job Number],C102&amp;"",tbl_Finance[Cost Centre],"CONSULTING")&gt;0,"CONSULTING ","")&amp;IF(COUNTIFS(tbl_Finance[Job Number],C102&amp;"",tbl_Finance[Cost Centre],"CTS")&gt;0,"CTS ",""))," ",", ")))</f>
        <v/>
      </c>
      <c r="L102" s="24" t="n"/>
      <c r="M102" s="25">
        <f>IF(L102="","",HYPERLINK(IF(LEFT(L102,4)="http",L102,set_QwilrBase&amp;L102),"Open quote"))</f>
        <v/>
      </c>
      <c r="N102" s="26" t="n"/>
      <c r="O102" s="26" t="n"/>
      <c r="P102" s="26" t="n"/>
      <c r="Q102" s="25">
        <f>IF(C102="","",IF(N(N102)+N(O102)+N(P102)=0,"Not split",IF(ROUND(N(N102)+N(O102)+N(P102),2)=ROUND(H102,2),"OK","MISMATCH")))</f>
        <v/>
      </c>
      <c r="R102" s="26" t="n"/>
      <c r="S102" s="26" t="n"/>
      <c r="T102" s="26" t="n"/>
      <c r="U102" s="27">
        <f>IF(C102="","",N(R102)+N(S102)+N(T102))</f>
        <v/>
      </c>
      <c r="V102" s="27">
        <f>IF(C102="","",H102-U102)</f>
        <v/>
      </c>
      <c r="W102" s="29">
        <f>IFERROR(V102/H102,"")</f>
        <v/>
      </c>
      <c r="X102" s="24" t="n"/>
    </row>
    <row r="103" ht="15" customHeight="1">
      <c r="A103" s="68">
        <f>IF(C103="","",IFERROR(IF(SUMPRODUCT(MAX((tbl_Finance[Job Number]=C103&amp;"")*(tbl_Finance[Xero Invoice No]&lt;&gt;"")*tbl_Finance[Date]))=0,"",SUMPRODUCT(MAX((tbl_Finance[Job Number]=C103&amp;"")*(tbl_Finance[Xero Invoice No]&lt;&gt;"")*tbl_Finance[Date]))),""))</f>
        <v/>
      </c>
      <c r="B103" s="25">
        <f>IF(C103="","",IF(COUNTIFS(tbl_Finance[Job Number],C103&amp;"",tbl_Finance[Xero Invoice No],"&lt;&gt;")=0,"",IFERROR(IF(COUNTIFS(tbl_Finance[Job Number],C103&amp;"",tbl_Finance[Xero Invoice No],LOOKUP(2,1/((tbl_Finance[Job Number]=C103&amp;"")*(tbl_Finance[Xero Invoice No]&lt;&gt;"")),tbl_Finance[Xero Invoice No]))=COUNTIFS(tbl_Finance[Job Number],C103&amp;"",tbl_Finance[Xero Invoice No],"&lt;&gt;"),LOOKUP(2,1/((tbl_Finance[Job Number]=C103&amp;"")*(tbl_Finance[Xero Invoice No]&lt;&gt;"")),tbl_Finance[Xero Invoice No]),LOOKUP(2,1/((tbl_Finance[Job Number]=C103&amp;"")*(tbl_Finance[Xero Invoice No]&lt;&gt;"")),tbl_Finance[Xero Invoice No])&amp;" +more"),"")))</f>
        <v/>
      </c>
      <c r="C103" s="24" t="n"/>
      <c r="D103" s="25">
        <f>IF(C103="","",IF(COUNTIF(lst_Jobs,C103&amp;"")&gt;0,"OK","CHECK"))</f>
        <v/>
      </c>
      <c r="E103" s="25">
        <f>IF(C103="","",IFERROR(INDEX(lst_JobName,MATCH(C103&amp;"",lst_Jobs,0)),""))</f>
        <v/>
      </c>
      <c r="F103" s="25">
        <f>IF(C103="","",IFERROR(INDEX(tbl_Finance[Client],MATCH(C103&amp;"",tbl_Finance[Job Number],0)),""))</f>
        <v/>
      </c>
      <c r="G103" s="28">
        <f>IF(C103="","",COUNTIFS(tbl_Finance[Job Number],C103&amp;"",tbl_Finance[Ex GST],"&lt;&gt;"))</f>
        <v/>
      </c>
      <c r="H103" s="27">
        <f>IF(C103="","",SUMIFS(tbl_Finance[Ex GST],tbl_Finance[Job Number],C103&amp;""))</f>
        <v/>
      </c>
      <c r="I103" s="27">
        <f>IF(C103="","",SUMIFS(tbl_Finance[Ex GST],tbl_Finance[Job Number],C103&amp;"",tbl_Finance[Xero Invoice No],"&lt;&gt;"))</f>
        <v/>
      </c>
      <c r="J103" s="27">
        <f>IF(C103="","",H103-I103)</f>
        <v/>
      </c>
      <c r="K103" s="25">
        <f>IF(C103="","",IF(G103=0,"not invoiced yet",SUBSTITUTE(TRIM(IF(COUNTIFS(tbl_Finance[Job Number],C103&amp;"",tbl_Finance[Cost Centre],"ONSITE")&gt;0,"ONSITE ","")&amp;IF(COUNTIFS(tbl_Finance[Job Number],C103&amp;"",tbl_Finance[Cost Centre],"PRODUCTION")&gt;0,"PRODUCTION ","")&amp;IF(COUNTIFS(tbl_Finance[Job Number],C103&amp;"",tbl_Finance[Cost Centre],"VIDEO")&gt;0,"VIDEO ","")&amp;IF(COUNTIFS(tbl_Finance[Job Number],C103&amp;"",tbl_Finance[Cost Centre],"INTEGRATION")&gt;0,"INTEGRATION ","")&amp;IF(COUNTIFS(tbl_Finance[Job Number],C103&amp;"",tbl_Finance[Cost Centre],"CONSULTING")&gt;0,"CONSULTING ","")&amp;IF(COUNTIFS(tbl_Finance[Job Number],C103&amp;"",tbl_Finance[Cost Centre],"CTS")&gt;0,"CTS ",""))," ",", ")))</f>
        <v/>
      </c>
      <c r="L103" s="24" t="n"/>
      <c r="M103" s="25">
        <f>IF(L103="","",HYPERLINK(IF(LEFT(L103,4)="http",L103,set_QwilrBase&amp;L103),"Open quote"))</f>
        <v/>
      </c>
      <c r="N103" s="26" t="n"/>
      <c r="O103" s="26" t="n"/>
      <c r="P103" s="26" t="n"/>
      <c r="Q103" s="25">
        <f>IF(C103="","",IF(N(N103)+N(O103)+N(P103)=0,"Not split",IF(ROUND(N(N103)+N(O103)+N(P103),2)=ROUND(H103,2),"OK","MISMATCH")))</f>
        <v/>
      </c>
      <c r="R103" s="26" t="n"/>
      <c r="S103" s="26" t="n"/>
      <c r="T103" s="26" t="n"/>
      <c r="U103" s="27">
        <f>IF(C103="","",N(R103)+N(S103)+N(T103))</f>
        <v/>
      </c>
      <c r="V103" s="27">
        <f>IF(C103="","",H103-U103)</f>
        <v/>
      </c>
      <c r="W103" s="29">
        <f>IFERROR(V103/H103,"")</f>
        <v/>
      </c>
      <c r="X103" s="24" t="n"/>
    </row>
    <row r="104" ht="15" customHeight="1">
      <c r="A104" s="68">
        <f>IF(C104="","",IFERROR(IF(SUMPRODUCT(MAX((tbl_Finance[Job Number]=C104&amp;"")*(tbl_Finance[Xero Invoice No]&lt;&gt;"")*tbl_Finance[Date]))=0,"",SUMPRODUCT(MAX((tbl_Finance[Job Number]=C104&amp;"")*(tbl_Finance[Xero Invoice No]&lt;&gt;"")*tbl_Finance[Date]))),""))</f>
        <v/>
      </c>
      <c r="B104" s="25">
        <f>IF(C104="","",IF(COUNTIFS(tbl_Finance[Job Number],C104&amp;"",tbl_Finance[Xero Invoice No],"&lt;&gt;")=0,"",IFERROR(IF(COUNTIFS(tbl_Finance[Job Number],C104&amp;"",tbl_Finance[Xero Invoice No],LOOKUP(2,1/((tbl_Finance[Job Number]=C104&amp;"")*(tbl_Finance[Xero Invoice No]&lt;&gt;"")),tbl_Finance[Xero Invoice No]))=COUNTIFS(tbl_Finance[Job Number],C104&amp;"",tbl_Finance[Xero Invoice No],"&lt;&gt;"),LOOKUP(2,1/((tbl_Finance[Job Number]=C104&amp;"")*(tbl_Finance[Xero Invoice No]&lt;&gt;"")),tbl_Finance[Xero Invoice No]),LOOKUP(2,1/((tbl_Finance[Job Number]=C104&amp;"")*(tbl_Finance[Xero Invoice No]&lt;&gt;"")),tbl_Finance[Xero Invoice No])&amp;" +more"),"")))</f>
        <v/>
      </c>
      <c r="C104" s="24" t="n"/>
      <c r="D104" s="25">
        <f>IF(C104="","",IF(COUNTIF(lst_Jobs,C104&amp;"")&gt;0,"OK","CHECK"))</f>
        <v/>
      </c>
      <c r="E104" s="25">
        <f>IF(C104="","",IFERROR(INDEX(lst_JobName,MATCH(C104&amp;"",lst_Jobs,0)),""))</f>
        <v/>
      </c>
      <c r="F104" s="25">
        <f>IF(C104="","",IFERROR(INDEX(tbl_Finance[Client],MATCH(C104&amp;"",tbl_Finance[Job Number],0)),""))</f>
        <v/>
      </c>
      <c r="G104" s="28">
        <f>IF(C104="","",COUNTIFS(tbl_Finance[Job Number],C104&amp;"",tbl_Finance[Ex GST],"&lt;&gt;"))</f>
        <v/>
      </c>
      <c r="H104" s="27">
        <f>IF(C104="","",SUMIFS(tbl_Finance[Ex GST],tbl_Finance[Job Number],C104&amp;""))</f>
        <v/>
      </c>
      <c r="I104" s="27">
        <f>IF(C104="","",SUMIFS(tbl_Finance[Ex GST],tbl_Finance[Job Number],C104&amp;"",tbl_Finance[Xero Invoice No],"&lt;&gt;"))</f>
        <v/>
      </c>
      <c r="J104" s="27">
        <f>IF(C104="","",H104-I104)</f>
        <v/>
      </c>
      <c r="K104" s="25">
        <f>IF(C104="","",IF(G104=0,"not invoiced yet",SUBSTITUTE(TRIM(IF(COUNTIFS(tbl_Finance[Job Number],C104&amp;"",tbl_Finance[Cost Centre],"ONSITE")&gt;0,"ONSITE ","")&amp;IF(COUNTIFS(tbl_Finance[Job Number],C104&amp;"",tbl_Finance[Cost Centre],"PRODUCTION")&gt;0,"PRODUCTION ","")&amp;IF(COUNTIFS(tbl_Finance[Job Number],C104&amp;"",tbl_Finance[Cost Centre],"VIDEO")&gt;0,"VIDEO ","")&amp;IF(COUNTIFS(tbl_Finance[Job Number],C104&amp;"",tbl_Finance[Cost Centre],"INTEGRATION")&gt;0,"INTEGRATION ","")&amp;IF(COUNTIFS(tbl_Finance[Job Number],C104&amp;"",tbl_Finance[Cost Centre],"CONSULTING")&gt;0,"CONSULTING ","")&amp;IF(COUNTIFS(tbl_Finance[Job Number],C104&amp;"",tbl_Finance[Cost Centre],"CTS")&gt;0,"CTS ",""))," ",", ")))</f>
        <v/>
      </c>
      <c r="L104" s="24" t="n"/>
      <c r="M104" s="25">
        <f>IF(L104="","",HYPERLINK(IF(LEFT(L104,4)="http",L104,set_QwilrBase&amp;L104),"Open quote"))</f>
        <v/>
      </c>
      <c r="N104" s="26" t="n"/>
      <c r="O104" s="26" t="n"/>
      <c r="P104" s="26" t="n"/>
      <c r="Q104" s="25">
        <f>IF(C104="","",IF(N(N104)+N(O104)+N(P104)=0,"Not split",IF(ROUND(N(N104)+N(O104)+N(P104),2)=ROUND(H104,2),"OK","MISMATCH")))</f>
        <v/>
      </c>
      <c r="R104" s="26" t="n"/>
      <c r="S104" s="26" t="n"/>
      <c r="T104" s="26" t="n"/>
      <c r="U104" s="27">
        <f>IF(C104="","",N(R104)+N(S104)+N(T104))</f>
        <v/>
      </c>
      <c r="V104" s="27">
        <f>IF(C104="","",H104-U104)</f>
        <v/>
      </c>
      <c r="W104" s="29">
        <f>IFERROR(V104/H104,"")</f>
        <v/>
      </c>
      <c r="X104" s="24" t="n"/>
    </row>
    <row r="105" ht="15" customHeight="1">
      <c r="A105" s="68">
        <f>IF(C105="","",IFERROR(IF(SUMPRODUCT(MAX((tbl_Finance[Job Number]=C105&amp;"")*(tbl_Finance[Xero Invoice No]&lt;&gt;"")*tbl_Finance[Date]))=0,"",SUMPRODUCT(MAX((tbl_Finance[Job Number]=C105&amp;"")*(tbl_Finance[Xero Invoice No]&lt;&gt;"")*tbl_Finance[Date]))),""))</f>
        <v/>
      </c>
      <c r="B105" s="25">
        <f>IF(C105="","",IF(COUNTIFS(tbl_Finance[Job Number],C105&amp;"",tbl_Finance[Xero Invoice No],"&lt;&gt;")=0,"",IFERROR(IF(COUNTIFS(tbl_Finance[Job Number],C105&amp;"",tbl_Finance[Xero Invoice No],LOOKUP(2,1/((tbl_Finance[Job Number]=C105&amp;"")*(tbl_Finance[Xero Invoice No]&lt;&gt;"")),tbl_Finance[Xero Invoice No]))=COUNTIFS(tbl_Finance[Job Number],C105&amp;"",tbl_Finance[Xero Invoice No],"&lt;&gt;"),LOOKUP(2,1/((tbl_Finance[Job Number]=C105&amp;"")*(tbl_Finance[Xero Invoice No]&lt;&gt;"")),tbl_Finance[Xero Invoice No]),LOOKUP(2,1/((tbl_Finance[Job Number]=C105&amp;"")*(tbl_Finance[Xero Invoice No]&lt;&gt;"")),tbl_Finance[Xero Invoice No])&amp;" +more"),"")))</f>
        <v/>
      </c>
      <c r="C105" s="24" t="n"/>
      <c r="D105" s="25">
        <f>IF(C105="","",IF(COUNTIF(lst_Jobs,C105&amp;"")&gt;0,"OK","CHECK"))</f>
        <v/>
      </c>
      <c r="E105" s="25">
        <f>IF(C105="","",IFERROR(INDEX(lst_JobName,MATCH(C105&amp;"",lst_Jobs,0)),""))</f>
        <v/>
      </c>
      <c r="F105" s="25">
        <f>IF(C105="","",IFERROR(INDEX(tbl_Finance[Client],MATCH(C105&amp;"",tbl_Finance[Job Number],0)),""))</f>
        <v/>
      </c>
      <c r="G105" s="28">
        <f>IF(C105="","",COUNTIFS(tbl_Finance[Job Number],C105&amp;"",tbl_Finance[Ex GST],"&lt;&gt;"))</f>
        <v/>
      </c>
      <c r="H105" s="27">
        <f>IF(C105="","",SUMIFS(tbl_Finance[Ex GST],tbl_Finance[Job Number],C105&amp;""))</f>
        <v/>
      </c>
      <c r="I105" s="27">
        <f>IF(C105="","",SUMIFS(tbl_Finance[Ex GST],tbl_Finance[Job Number],C105&amp;"",tbl_Finance[Xero Invoice No],"&lt;&gt;"))</f>
        <v/>
      </c>
      <c r="J105" s="27">
        <f>IF(C105="","",H105-I105)</f>
        <v/>
      </c>
      <c r="K105" s="25">
        <f>IF(C105="","",IF(G105=0,"not invoiced yet",SUBSTITUTE(TRIM(IF(COUNTIFS(tbl_Finance[Job Number],C105&amp;"",tbl_Finance[Cost Centre],"ONSITE")&gt;0,"ONSITE ","")&amp;IF(COUNTIFS(tbl_Finance[Job Number],C105&amp;"",tbl_Finance[Cost Centre],"PRODUCTION")&gt;0,"PRODUCTION ","")&amp;IF(COUNTIFS(tbl_Finance[Job Number],C105&amp;"",tbl_Finance[Cost Centre],"VIDEO")&gt;0,"VIDEO ","")&amp;IF(COUNTIFS(tbl_Finance[Job Number],C105&amp;"",tbl_Finance[Cost Centre],"INTEGRATION")&gt;0,"INTEGRATION ","")&amp;IF(COUNTIFS(tbl_Finance[Job Number],C105&amp;"",tbl_Finance[Cost Centre],"CONSULTING")&gt;0,"CONSULTING ","")&amp;IF(COUNTIFS(tbl_Finance[Job Number],C105&amp;"",tbl_Finance[Cost Centre],"CTS")&gt;0,"CTS ",""))," ",", ")))</f>
        <v/>
      </c>
      <c r="L105" s="24" t="n"/>
      <c r="M105" s="25">
        <f>IF(L105="","",HYPERLINK(IF(LEFT(L105,4)="http",L105,set_QwilrBase&amp;L105),"Open quote"))</f>
        <v/>
      </c>
      <c r="N105" s="26" t="n"/>
      <c r="O105" s="26" t="n"/>
      <c r="P105" s="26" t="n"/>
      <c r="Q105" s="25">
        <f>IF(C105="","",IF(N(N105)+N(O105)+N(P105)=0,"Not split",IF(ROUND(N(N105)+N(O105)+N(P105),2)=ROUND(H105,2),"OK","MISMATCH")))</f>
        <v/>
      </c>
      <c r="R105" s="26" t="n"/>
      <c r="S105" s="26" t="n"/>
      <c r="T105" s="26" t="n"/>
      <c r="U105" s="27">
        <f>IF(C105="","",N(R105)+N(S105)+N(T105))</f>
        <v/>
      </c>
      <c r="V105" s="27">
        <f>IF(C105="","",H105-U105)</f>
        <v/>
      </c>
      <c r="W105" s="29">
        <f>IFERROR(V105/H105,"")</f>
        <v/>
      </c>
      <c r="X105" s="24" t="n"/>
    </row>
    <row r="106" ht="15" customHeight="1">
      <c r="A106" s="68">
        <f>IF(C106="","",IFERROR(IF(SUMPRODUCT(MAX((tbl_Finance[Job Number]=C106&amp;"")*(tbl_Finance[Xero Invoice No]&lt;&gt;"")*tbl_Finance[Date]))=0,"",SUMPRODUCT(MAX((tbl_Finance[Job Number]=C106&amp;"")*(tbl_Finance[Xero Invoice No]&lt;&gt;"")*tbl_Finance[Date]))),""))</f>
        <v/>
      </c>
      <c r="B106" s="25">
        <f>IF(C106="","",IF(COUNTIFS(tbl_Finance[Job Number],C106&amp;"",tbl_Finance[Xero Invoice No],"&lt;&gt;")=0,"",IFERROR(IF(COUNTIFS(tbl_Finance[Job Number],C106&amp;"",tbl_Finance[Xero Invoice No],LOOKUP(2,1/((tbl_Finance[Job Number]=C106&amp;"")*(tbl_Finance[Xero Invoice No]&lt;&gt;"")),tbl_Finance[Xero Invoice No]))=COUNTIFS(tbl_Finance[Job Number],C106&amp;"",tbl_Finance[Xero Invoice No],"&lt;&gt;"),LOOKUP(2,1/((tbl_Finance[Job Number]=C106&amp;"")*(tbl_Finance[Xero Invoice No]&lt;&gt;"")),tbl_Finance[Xero Invoice No]),LOOKUP(2,1/((tbl_Finance[Job Number]=C106&amp;"")*(tbl_Finance[Xero Invoice No]&lt;&gt;"")),tbl_Finance[Xero Invoice No])&amp;" +more"),"")))</f>
        <v/>
      </c>
      <c r="C106" s="24" t="n"/>
      <c r="D106" s="25">
        <f>IF(C106="","",IF(COUNTIF(lst_Jobs,C106&amp;"")&gt;0,"OK","CHECK"))</f>
        <v/>
      </c>
      <c r="E106" s="25">
        <f>IF(C106="","",IFERROR(INDEX(lst_JobName,MATCH(C106&amp;"",lst_Jobs,0)),""))</f>
        <v/>
      </c>
      <c r="F106" s="25">
        <f>IF(C106="","",IFERROR(INDEX(tbl_Finance[Client],MATCH(C106&amp;"",tbl_Finance[Job Number],0)),""))</f>
        <v/>
      </c>
      <c r="G106" s="28">
        <f>IF(C106="","",COUNTIFS(tbl_Finance[Job Number],C106&amp;"",tbl_Finance[Ex GST],"&lt;&gt;"))</f>
        <v/>
      </c>
      <c r="H106" s="27">
        <f>IF(C106="","",SUMIFS(tbl_Finance[Ex GST],tbl_Finance[Job Number],C106&amp;""))</f>
        <v/>
      </c>
      <c r="I106" s="27">
        <f>IF(C106="","",SUMIFS(tbl_Finance[Ex GST],tbl_Finance[Job Number],C106&amp;"",tbl_Finance[Xero Invoice No],"&lt;&gt;"))</f>
        <v/>
      </c>
      <c r="J106" s="27">
        <f>IF(C106="","",H106-I106)</f>
        <v/>
      </c>
      <c r="K106" s="25">
        <f>IF(C106="","",IF(G106=0,"not invoiced yet",SUBSTITUTE(TRIM(IF(COUNTIFS(tbl_Finance[Job Number],C106&amp;"",tbl_Finance[Cost Centre],"ONSITE")&gt;0,"ONSITE ","")&amp;IF(COUNTIFS(tbl_Finance[Job Number],C106&amp;"",tbl_Finance[Cost Centre],"PRODUCTION")&gt;0,"PRODUCTION ","")&amp;IF(COUNTIFS(tbl_Finance[Job Number],C106&amp;"",tbl_Finance[Cost Centre],"VIDEO")&gt;0,"VIDEO ","")&amp;IF(COUNTIFS(tbl_Finance[Job Number],C106&amp;"",tbl_Finance[Cost Centre],"INTEGRATION")&gt;0,"INTEGRATION ","")&amp;IF(COUNTIFS(tbl_Finance[Job Number],C106&amp;"",tbl_Finance[Cost Centre],"CONSULTING")&gt;0,"CONSULTING ","")&amp;IF(COUNTIFS(tbl_Finance[Job Number],C106&amp;"",tbl_Finance[Cost Centre],"CTS")&gt;0,"CTS ",""))," ",", ")))</f>
        <v/>
      </c>
      <c r="L106" s="24" t="n"/>
      <c r="M106" s="25">
        <f>IF(L106="","",HYPERLINK(IF(LEFT(L106,4)="http",L106,set_QwilrBase&amp;L106),"Open quote"))</f>
        <v/>
      </c>
      <c r="N106" s="26" t="n"/>
      <c r="O106" s="26" t="n"/>
      <c r="P106" s="26" t="n"/>
      <c r="Q106" s="25">
        <f>IF(C106="","",IF(N(N106)+N(O106)+N(P106)=0,"Not split",IF(ROUND(N(N106)+N(O106)+N(P106),2)=ROUND(H106,2),"OK","MISMATCH")))</f>
        <v/>
      </c>
      <c r="R106" s="26" t="n"/>
      <c r="S106" s="26" t="n"/>
      <c r="T106" s="26" t="n"/>
      <c r="U106" s="27">
        <f>IF(C106="","",N(R106)+N(S106)+N(T106))</f>
        <v/>
      </c>
      <c r="V106" s="27">
        <f>IF(C106="","",H106-U106)</f>
        <v/>
      </c>
      <c r="W106" s="29">
        <f>IFERROR(V106/H106,"")</f>
        <v/>
      </c>
      <c r="X106" s="24" t="n"/>
    </row>
    <row r="107" ht="15" customHeight="1">
      <c r="A107" s="68">
        <f>IF(C107="","",IFERROR(IF(SUMPRODUCT(MAX((tbl_Finance[Job Number]=C107&amp;"")*(tbl_Finance[Xero Invoice No]&lt;&gt;"")*tbl_Finance[Date]))=0,"",SUMPRODUCT(MAX((tbl_Finance[Job Number]=C107&amp;"")*(tbl_Finance[Xero Invoice No]&lt;&gt;"")*tbl_Finance[Date]))),""))</f>
        <v/>
      </c>
      <c r="B107" s="25">
        <f>IF(C107="","",IF(COUNTIFS(tbl_Finance[Job Number],C107&amp;"",tbl_Finance[Xero Invoice No],"&lt;&gt;")=0,"",IFERROR(IF(COUNTIFS(tbl_Finance[Job Number],C107&amp;"",tbl_Finance[Xero Invoice No],LOOKUP(2,1/((tbl_Finance[Job Number]=C107&amp;"")*(tbl_Finance[Xero Invoice No]&lt;&gt;"")),tbl_Finance[Xero Invoice No]))=COUNTIFS(tbl_Finance[Job Number],C107&amp;"",tbl_Finance[Xero Invoice No],"&lt;&gt;"),LOOKUP(2,1/((tbl_Finance[Job Number]=C107&amp;"")*(tbl_Finance[Xero Invoice No]&lt;&gt;"")),tbl_Finance[Xero Invoice No]),LOOKUP(2,1/((tbl_Finance[Job Number]=C107&amp;"")*(tbl_Finance[Xero Invoice No]&lt;&gt;"")),tbl_Finance[Xero Invoice No])&amp;" +more"),"")))</f>
        <v/>
      </c>
      <c r="C107" s="24" t="n"/>
      <c r="D107" s="25">
        <f>IF(C107="","",IF(COUNTIF(lst_Jobs,C107&amp;"")&gt;0,"OK","CHECK"))</f>
        <v/>
      </c>
      <c r="E107" s="25">
        <f>IF(C107="","",IFERROR(INDEX(lst_JobName,MATCH(C107&amp;"",lst_Jobs,0)),""))</f>
        <v/>
      </c>
      <c r="F107" s="25">
        <f>IF(C107="","",IFERROR(INDEX(tbl_Finance[Client],MATCH(C107&amp;"",tbl_Finance[Job Number],0)),""))</f>
        <v/>
      </c>
      <c r="G107" s="28">
        <f>IF(C107="","",COUNTIFS(tbl_Finance[Job Number],C107&amp;"",tbl_Finance[Ex GST],"&lt;&gt;"))</f>
        <v/>
      </c>
      <c r="H107" s="27">
        <f>IF(C107="","",SUMIFS(tbl_Finance[Ex GST],tbl_Finance[Job Number],C107&amp;""))</f>
        <v/>
      </c>
      <c r="I107" s="27">
        <f>IF(C107="","",SUMIFS(tbl_Finance[Ex GST],tbl_Finance[Job Number],C107&amp;"",tbl_Finance[Xero Invoice No],"&lt;&gt;"))</f>
        <v/>
      </c>
      <c r="J107" s="27">
        <f>IF(C107="","",H107-I107)</f>
        <v/>
      </c>
      <c r="K107" s="25">
        <f>IF(C107="","",IF(G107=0,"not invoiced yet",SUBSTITUTE(TRIM(IF(COUNTIFS(tbl_Finance[Job Number],C107&amp;"",tbl_Finance[Cost Centre],"ONSITE")&gt;0,"ONSITE ","")&amp;IF(COUNTIFS(tbl_Finance[Job Number],C107&amp;"",tbl_Finance[Cost Centre],"PRODUCTION")&gt;0,"PRODUCTION ","")&amp;IF(COUNTIFS(tbl_Finance[Job Number],C107&amp;"",tbl_Finance[Cost Centre],"VIDEO")&gt;0,"VIDEO ","")&amp;IF(COUNTIFS(tbl_Finance[Job Number],C107&amp;"",tbl_Finance[Cost Centre],"INTEGRATION")&gt;0,"INTEGRATION ","")&amp;IF(COUNTIFS(tbl_Finance[Job Number],C107&amp;"",tbl_Finance[Cost Centre],"CONSULTING")&gt;0,"CONSULTING ","")&amp;IF(COUNTIFS(tbl_Finance[Job Number],C107&amp;"",tbl_Finance[Cost Centre],"CTS")&gt;0,"CTS ",""))," ",", ")))</f>
        <v/>
      </c>
      <c r="L107" s="24" t="n"/>
      <c r="M107" s="25">
        <f>IF(L107="","",HYPERLINK(IF(LEFT(L107,4)="http",L107,set_QwilrBase&amp;L107),"Open quote"))</f>
        <v/>
      </c>
      <c r="N107" s="26" t="n"/>
      <c r="O107" s="26" t="n"/>
      <c r="P107" s="26" t="n"/>
      <c r="Q107" s="25">
        <f>IF(C107="","",IF(N(N107)+N(O107)+N(P107)=0,"Not split",IF(ROUND(N(N107)+N(O107)+N(P107),2)=ROUND(H107,2),"OK","MISMATCH")))</f>
        <v/>
      </c>
      <c r="R107" s="26" t="n"/>
      <c r="S107" s="26" t="n"/>
      <c r="T107" s="26" t="n"/>
      <c r="U107" s="27">
        <f>IF(C107="","",N(R107)+N(S107)+N(T107))</f>
        <v/>
      </c>
      <c r="V107" s="27">
        <f>IF(C107="","",H107-U107)</f>
        <v/>
      </c>
      <c r="W107" s="29">
        <f>IFERROR(V107/H107,"")</f>
        <v/>
      </c>
      <c r="X107" s="24" t="n"/>
    </row>
    <row r="108" ht="15" customHeight="1">
      <c r="A108" s="68">
        <f>IF(C108="","",IFERROR(IF(SUMPRODUCT(MAX((tbl_Finance[Job Number]=C108&amp;"")*(tbl_Finance[Xero Invoice No]&lt;&gt;"")*tbl_Finance[Date]))=0,"",SUMPRODUCT(MAX((tbl_Finance[Job Number]=C108&amp;"")*(tbl_Finance[Xero Invoice No]&lt;&gt;"")*tbl_Finance[Date]))),""))</f>
        <v/>
      </c>
      <c r="B108" s="25">
        <f>IF(C108="","",IF(COUNTIFS(tbl_Finance[Job Number],C108&amp;"",tbl_Finance[Xero Invoice No],"&lt;&gt;")=0,"",IFERROR(IF(COUNTIFS(tbl_Finance[Job Number],C108&amp;"",tbl_Finance[Xero Invoice No],LOOKUP(2,1/((tbl_Finance[Job Number]=C108&amp;"")*(tbl_Finance[Xero Invoice No]&lt;&gt;"")),tbl_Finance[Xero Invoice No]))=COUNTIFS(tbl_Finance[Job Number],C108&amp;"",tbl_Finance[Xero Invoice No],"&lt;&gt;"),LOOKUP(2,1/((tbl_Finance[Job Number]=C108&amp;"")*(tbl_Finance[Xero Invoice No]&lt;&gt;"")),tbl_Finance[Xero Invoice No]),LOOKUP(2,1/((tbl_Finance[Job Number]=C108&amp;"")*(tbl_Finance[Xero Invoice No]&lt;&gt;"")),tbl_Finance[Xero Invoice No])&amp;" +more"),"")))</f>
        <v/>
      </c>
      <c r="C108" s="24" t="n"/>
      <c r="D108" s="25">
        <f>IF(C108="","",IF(COUNTIF(lst_Jobs,C108&amp;"")&gt;0,"OK","CHECK"))</f>
        <v/>
      </c>
      <c r="E108" s="25">
        <f>IF(C108="","",IFERROR(INDEX(lst_JobName,MATCH(C108&amp;"",lst_Jobs,0)),""))</f>
        <v/>
      </c>
      <c r="F108" s="25">
        <f>IF(C108="","",IFERROR(INDEX(tbl_Finance[Client],MATCH(C108&amp;"",tbl_Finance[Job Number],0)),""))</f>
        <v/>
      </c>
      <c r="G108" s="28">
        <f>IF(C108="","",COUNTIFS(tbl_Finance[Job Number],C108&amp;"",tbl_Finance[Ex GST],"&lt;&gt;"))</f>
        <v/>
      </c>
      <c r="H108" s="27">
        <f>IF(C108="","",SUMIFS(tbl_Finance[Ex GST],tbl_Finance[Job Number],C108&amp;""))</f>
        <v/>
      </c>
      <c r="I108" s="27">
        <f>IF(C108="","",SUMIFS(tbl_Finance[Ex GST],tbl_Finance[Job Number],C108&amp;"",tbl_Finance[Xero Invoice No],"&lt;&gt;"))</f>
        <v/>
      </c>
      <c r="J108" s="27">
        <f>IF(C108="","",H108-I108)</f>
        <v/>
      </c>
      <c r="K108" s="25">
        <f>IF(C108="","",IF(G108=0,"not invoiced yet",SUBSTITUTE(TRIM(IF(COUNTIFS(tbl_Finance[Job Number],C108&amp;"",tbl_Finance[Cost Centre],"ONSITE")&gt;0,"ONSITE ","")&amp;IF(COUNTIFS(tbl_Finance[Job Number],C108&amp;"",tbl_Finance[Cost Centre],"PRODUCTION")&gt;0,"PRODUCTION ","")&amp;IF(COUNTIFS(tbl_Finance[Job Number],C108&amp;"",tbl_Finance[Cost Centre],"VIDEO")&gt;0,"VIDEO ","")&amp;IF(COUNTIFS(tbl_Finance[Job Number],C108&amp;"",tbl_Finance[Cost Centre],"INTEGRATION")&gt;0,"INTEGRATION ","")&amp;IF(COUNTIFS(tbl_Finance[Job Number],C108&amp;"",tbl_Finance[Cost Centre],"CONSULTING")&gt;0,"CONSULTING ","")&amp;IF(COUNTIFS(tbl_Finance[Job Number],C108&amp;"",tbl_Finance[Cost Centre],"CTS")&gt;0,"CTS ",""))," ",", ")))</f>
        <v/>
      </c>
      <c r="L108" s="24" t="n"/>
      <c r="M108" s="25">
        <f>IF(L108="","",HYPERLINK(IF(LEFT(L108,4)="http",L108,set_QwilrBase&amp;L108),"Open quote"))</f>
        <v/>
      </c>
      <c r="N108" s="26" t="n"/>
      <c r="O108" s="26" t="n"/>
      <c r="P108" s="26" t="n"/>
      <c r="Q108" s="25">
        <f>IF(C108="","",IF(N(N108)+N(O108)+N(P108)=0,"Not split",IF(ROUND(N(N108)+N(O108)+N(P108),2)=ROUND(H108,2),"OK","MISMATCH")))</f>
        <v/>
      </c>
      <c r="R108" s="26" t="n"/>
      <c r="S108" s="26" t="n"/>
      <c r="T108" s="26" t="n"/>
      <c r="U108" s="27">
        <f>IF(C108="","",N(R108)+N(S108)+N(T108))</f>
        <v/>
      </c>
      <c r="V108" s="27">
        <f>IF(C108="","",H108-U108)</f>
        <v/>
      </c>
      <c r="W108" s="29">
        <f>IFERROR(V108/H108,"")</f>
        <v/>
      </c>
      <c r="X108" s="24" t="n"/>
    </row>
    <row r="109" ht="15" customHeight="1">
      <c r="A109" s="68">
        <f>IF(C109="","",IFERROR(IF(SUMPRODUCT(MAX((tbl_Finance[Job Number]=C109&amp;"")*(tbl_Finance[Xero Invoice No]&lt;&gt;"")*tbl_Finance[Date]))=0,"",SUMPRODUCT(MAX((tbl_Finance[Job Number]=C109&amp;"")*(tbl_Finance[Xero Invoice No]&lt;&gt;"")*tbl_Finance[Date]))),""))</f>
        <v/>
      </c>
      <c r="B109" s="25">
        <f>IF(C109="","",IF(COUNTIFS(tbl_Finance[Job Number],C109&amp;"",tbl_Finance[Xero Invoice No],"&lt;&gt;")=0,"",IFERROR(IF(COUNTIFS(tbl_Finance[Job Number],C109&amp;"",tbl_Finance[Xero Invoice No],LOOKUP(2,1/((tbl_Finance[Job Number]=C109&amp;"")*(tbl_Finance[Xero Invoice No]&lt;&gt;"")),tbl_Finance[Xero Invoice No]))=COUNTIFS(tbl_Finance[Job Number],C109&amp;"",tbl_Finance[Xero Invoice No],"&lt;&gt;"),LOOKUP(2,1/((tbl_Finance[Job Number]=C109&amp;"")*(tbl_Finance[Xero Invoice No]&lt;&gt;"")),tbl_Finance[Xero Invoice No]),LOOKUP(2,1/((tbl_Finance[Job Number]=C109&amp;"")*(tbl_Finance[Xero Invoice No]&lt;&gt;"")),tbl_Finance[Xero Invoice No])&amp;" +more"),"")))</f>
        <v/>
      </c>
      <c r="C109" s="24" t="n"/>
      <c r="D109" s="25">
        <f>IF(C109="","",IF(COUNTIF(lst_Jobs,C109&amp;"")&gt;0,"OK","CHECK"))</f>
        <v/>
      </c>
      <c r="E109" s="25">
        <f>IF(C109="","",IFERROR(INDEX(lst_JobName,MATCH(C109&amp;"",lst_Jobs,0)),""))</f>
        <v/>
      </c>
      <c r="F109" s="25">
        <f>IF(C109="","",IFERROR(INDEX(tbl_Finance[Client],MATCH(C109&amp;"",tbl_Finance[Job Number],0)),""))</f>
        <v/>
      </c>
      <c r="G109" s="28">
        <f>IF(C109="","",COUNTIFS(tbl_Finance[Job Number],C109&amp;"",tbl_Finance[Ex GST],"&lt;&gt;"))</f>
        <v/>
      </c>
      <c r="H109" s="27">
        <f>IF(C109="","",SUMIFS(tbl_Finance[Ex GST],tbl_Finance[Job Number],C109&amp;""))</f>
        <v/>
      </c>
      <c r="I109" s="27">
        <f>IF(C109="","",SUMIFS(tbl_Finance[Ex GST],tbl_Finance[Job Number],C109&amp;"",tbl_Finance[Xero Invoice No],"&lt;&gt;"))</f>
        <v/>
      </c>
      <c r="J109" s="27">
        <f>IF(C109="","",H109-I109)</f>
        <v/>
      </c>
      <c r="K109" s="25">
        <f>IF(C109="","",IF(G109=0,"not invoiced yet",SUBSTITUTE(TRIM(IF(COUNTIFS(tbl_Finance[Job Number],C109&amp;"",tbl_Finance[Cost Centre],"ONSITE")&gt;0,"ONSITE ","")&amp;IF(COUNTIFS(tbl_Finance[Job Number],C109&amp;"",tbl_Finance[Cost Centre],"PRODUCTION")&gt;0,"PRODUCTION ","")&amp;IF(COUNTIFS(tbl_Finance[Job Number],C109&amp;"",tbl_Finance[Cost Centre],"VIDEO")&gt;0,"VIDEO ","")&amp;IF(COUNTIFS(tbl_Finance[Job Number],C109&amp;"",tbl_Finance[Cost Centre],"INTEGRATION")&gt;0,"INTEGRATION ","")&amp;IF(COUNTIFS(tbl_Finance[Job Number],C109&amp;"",tbl_Finance[Cost Centre],"CONSULTING")&gt;0,"CONSULTING ","")&amp;IF(COUNTIFS(tbl_Finance[Job Number],C109&amp;"",tbl_Finance[Cost Centre],"CTS")&gt;0,"CTS ",""))," ",", ")))</f>
        <v/>
      </c>
      <c r="L109" s="24" t="n"/>
      <c r="M109" s="25">
        <f>IF(L109="","",HYPERLINK(IF(LEFT(L109,4)="http",L109,set_QwilrBase&amp;L109),"Open quote"))</f>
        <v/>
      </c>
      <c r="N109" s="26" t="n"/>
      <c r="O109" s="26" t="n"/>
      <c r="P109" s="26" t="n"/>
      <c r="Q109" s="25">
        <f>IF(C109="","",IF(N(N109)+N(O109)+N(P109)=0,"Not split",IF(ROUND(N(N109)+N(O109)+N(P109),2)=ROUND(H109,2),"OK","MISMATCH")))</f>
        <v/>
      </c>
      <c r="R109" s="26" t="n"/>
      <c r="S109" s="26" t="n"/>
      <c r="T109" s="26" t="n"/>
      <c r="U109" s="27">
        <f>IF(C109="","",N(R109)+N(S109)+N(T109))</f>
        <v/>
      </c>
      <c r="V109" s="27">
        <f>IF(C109="","",H109-U109)</f>
        <v/>
      </c>
      <c r="W109" s="29">
        <f>IFERROR(V109/H109,"")</f>
        <v/>
      </c>
      <c r="X109" s="24" t="n"/>
    </row>
    <row r="110" ht="15" customHeight="1">
      <c r="A110" s="68">
        <f>IF(C110="","",IFERROR(IF(SUMPRODUCT(MAX((tbl_Finance[Job Number]=C110&amp;"")*(tbl_Finance[Xero Invoice No]&lt;&gt;"")*tbl_Finance[Date]))=0,"",SUMPRODUCT(MAX((tbl_Finance[Job Number]=C110&amp;"")*(tbl_Finance[Xero Invoice No]&lt;&gt;"")*tbl_Finance[Date]))),""))</f>
        <v/>
      </c>
      <c r="B110" s="25">
        <f>IF(C110="","",IF(COUNTIFS(tbl_Finance[Job Number],C110&amp;"",tbl_Finance[Xero Invoice No],"&lt;&gt;")=0,"",IFERROR(IF(COUNTIFS(tbl_Finance[Job Number],C110&amp;"",tbl_Finance[Xero Invoice No],LOOKUP(2,1/((tbl_Finance[Job Number]=C110&amp;"")*(tbl_Finance[Xero Invoice No]&lt;&gt;"")),tbl_Finance[Xero Invoice No]))=COUNTIFS(tbl_Finance[Job Number],C110&amp;"",tbl_Finance[Xero Invoice No],"&lt;&gt;"),LOOKUP(2,1/((tbl_Finance[Job Number]=C110&amp;"")*(tbl_Finance[Xero Invoice No]&lt;&gt;"")),tbl_Finance[Xero Invoice No]),LOOKUP(2,1/((tbl_Finance[Job Number]=C110&amp;"")*(tbl_Finance[Xero Invoice No]&lt;&gt;"")),tbl_Finance[Xero Invoice No])&amp;" +more"),"")))</f>
        <v/>
      </c>
      <c r="C110" s="24" t="n"/>
      <c r="D110" s="25">
        <f>IF(C110="","",IF(COUNTIF(lst_Jobs,C110&amp;"")&gt;0,"OK","CHECK"))</f>
        <v/>
      </c>
      <c r="E110" s="25">
        <f>IF(C110="","",IFERROR(INDEX(lst_JobName,MATCH(C110&amp;"",lst_Jobs,0)),""))</f>
        <v/>
      </c>
      <c r="F110" s="25">
        <f>IF(C110="","",IFERROR(INDEX(tbl_Finance[Client],MATCH(C110&amp;"",tbl_Finance[Job Number],0)),""))</f>
        <v/>
      </c>
      <c r="G110" s="28">
        <f>IF(C110="","",COUNTIFS(tbl_Finance[Job Number],C110&amp;"",tbl_Finance[Ex GST],"&lt;&gt;"))</f>
        <v/>
      </c>
      <c r="H110" s="27">
        <f>IF(C110="","",SUMIFS(tbl_Finance[Ex GST],tbl_Finance[Job Number],C110&amp;""))</f>
        <v/>
      </c>
      <c r="I110" s="27">
        <f>IF(C110="","",SUMIFS(tbl_Finance[Ex GST],tbl_Finance[Job Number],C110&amp;"",tbl_Finance[Xero Invoice No],"&lt;&gt;"))</f>
        <v/>
      </c>
      <c r="J110" s="27">
        <f>IF(C110="","",H110-I110)</f>
        <v/>
      </c>
      <c r="K110" s="25">
        <f>IF(C110="","",IF(G110=0,"not invoiced yet",SUBSTITUTE(TRIM(IF(COUNTIFS(tbl_Finance[Job Number],C110&amp;"",tbl_Finance[Cost Centre],"ONSITE")&gt;0,"ONSITE ","")&amp;IF(COUNTIFS(tbl_Finance[Job Number],C110&amp;"",tbl_Finance[Cost Centre],"PRODUCTION")&gt;0,"PRODUCTION ","")&amp;IF(COUNTIFS(tbl_Finance[Job Number],C110&amp;"",tbl_Finance[Cost Centre],"VIDEO")&gt;0,"VIDEO ","")&amp;IF(COUNTIFS(tbl_Finance[Job Number],C110&amp;"",tbl_Finance[Cost Centre],"INTEGRATION")&gt;0,"INTEGRATION ","")&amp;IF(COUNTIFS(tbl_Finance[Job Number],C110&amp;"",tbl_Finance[Cost Centre],"CONSULTING")&gt;0,"CONSULTING ","")&amp;IF(COUNTIFS(tbl_Finance[Job Number],C110&amp;"",tbl_Finance[Cost Centre],"CTS")&gt;0,"CTS ",""))," ",", ")))</f>
        <v/>
      </c>
      <c r="L110" s="24" t="n"/>
      <c r="M110" s="25">
        <f>IF(L110="","",HYPERLINK(IF(LEFT(L110,4)="http",L110,set_QwilrBase&amp;L110),"Open quote"))</f>
        <v/>
      </c>
      <c r="N110" s="26" t="n"/>
      <c r="O110" s="26" t="n"/>
      <c r="P110" s="26" t="n"/>
      <c r="Q110" s="25">
        <f>IF(C110="","",IF(N(N110)+N(O110)+N(P110)=0,"Not split",IF(ROUND(N(N110)+N(O110)+N(P110),2)=ROUND(H110,2),"OK","MISMATCH")))</f>
        <v/>
      </c>
      <c r="R110" s="26" t="n"/>
      <c r="S110" s="26" t="n"/>
      <c r="T110" s="26" t="n"/>
      <c r="U110" s="27">
        <f>IF(C110="","",N(R110)+N(S110)+N(T110))</f>
        <v/>
      </c>
      <c r="V110" s="27">
        <f>IF(C110="","",H110-U110)</f>
        <v/>
      </c>
      <c r="W110" s="29">
        <f>IFERROR(V110/H110,"")</f>
        <v/>
      </c>
      <c r="X110" s="24" t="n"/>
    </row>
    <row r="111" ht="15" customHeight="1">
      <c r="A111" s="68">
        <f>IF(C111="","",IFERROR(IF(SUMPRODUCT(MAX((tbl_Finance[Job Number]=C111&amp;"")*(tbl_Finance[Xero Invoice No]&lt;&gt;"")*tbl_Finance[Date]))=0,"",SUMPRODUCT(MAX((tbl_Finance[Job Number]=C111&amp;"")*(tbl_Finance[Xero Invoice No]&lt;&gt;"")*tbl_Finance[Date]))),""))</f>
        <v/>
      </c>
      <c r="B111" s="25">
        <f>IF(C111="","",IF(COUNTIFS(tbl_Finance[Job Number],C111&amp;"",tbl_Finance[Xero Invoice No],"&lt;&gt;")=0,"",IFERROR(IF(COUNTIFS(tbl_Finance[Job Number],C111&amp;"",tbl_Finance[Xero Invoice No],LOOKUP(2,1/((tbl_Finance[Job Number]=C111&amp;"")*(tbl_Finance[Xero Invoice No]&lt;&gt;"")),tbl_Finance[Xero Invoice No]))=COUNTIFS(tbl_Finance[Job Number],C111&amp;"",tbl_Finance[Xero Invoice No],"&lt;&gt;"),LOOKUP(2,1/((tbl_Finance[Job Number]=C111&amp;"")*(tbl_Finance[Xero Invoice No]&lt;&gt;"")),tbl_Finance[Xero Invoice No]),LOOKUP(2,1/((tbl_Finance[Job Number]=C111&amp;"")*(tbl_Finance[Xero Invoice No]&lt;&gt;"")),tbl_Finance[Xero Invoice No])&amp;" +more"),"")))</f>
        <v/>
      </c>
      <c r="C111" s="24" t="n"/>
      <c r="D111" s="25">
        <f>IF(C111="","",IF(COUNTIF(lst_Jobs,C111&amp;"")&gt;0,"OK","CHECK"))</f>
        <v/>
      </c>
      <c r="E111" s="25">
        <f>IF(C111="","",IFERROR(INDEX(lst_JobName,MATCH(C111&amp;"",lst_Jobs,0)),""))</f>
        <v/>
      </c>
      <c r="F111" s="25">
        <f>IF(C111="","",IFERROR(INDEX(tbl_Finance[Client],MATCH(C111&amp;"",tbl_Finance[Job Number],0)),""))</f>
        <v/>
      </c>
      <c r="G111" s="28">
        <f>IF(C111="","",COUNTIFS(tbl_Finance[Job Number],C111&amp;"",tbl_Finance[Ex GST],"&lt;&gt;"))</f>
        <v/>
      </c>
      <c r="H111" s="27">
        <f>IF(C111="","",SUMIFS(tbl_Finance[Ex GST],tbl_Finance[Job Number],C111&amp;""))</f>
        <v/>
      </c>
      <c r="I111" s="27">
        <f>IF(C111="","",SUMIFS(tbl_Finance[Ex GST],tbl_Finance[Job Number],C111&amp;"",tbl_Finance[Xero Invoice No],"&lt;&gt;"))</f>
        <v/>
      </c>
      <c r="J111" s="27">
        <f>IF(C111="","",H111-I111)</f>
        <v/>
      </c>
      <c r="K111" s="25">
        <f>IF(C111="","",IF(G111=0,"not invoiced yet",SUBSTITUTE(TRIM(IF(COUNTIFS(tbl_Finance[Job Number],C111&amp;"",tbl_Finance[Cost Centre],"ONSITE")&gt;0,"ONSITE ","")&amp;IF(COUNTIFS(tbl_Finance[Job Number],C111&amp;"",tbl_Finance[Cost Centre],"PRODUCTION")&gt;0,"PRODUCTION ","")&amp;IF(COUNTIFS(tbl_Finance[Job Number],C111&amp;"",tbl_Finance[Cost Centre],"VIDEO")&gt;0,"VIDEO ","")&amp;IF(COUNTIFS(tbl_Finance[Job Number],C111&amp;"",tbl_Finance[Cost Centre],"INTEGRATION")&gt;0,"INTEGRATION ","")&amp;IF(COUNTIFS(tbl_Finance[Job Number],C111&amp;"",tbl_Finance[Cost Centre],"CONSULTING")&gt;0,"CONSULTING ","")&amp;IF(COUNTIFS(tbl_Finance[Job Number],C111&amp;"",tbl_Finance[Cost Centre],"CTS")&gt;0,"CTS ",""))," ",", ")))</f>
        <v/>
      </c>
      <c r="L111" s="24" t="n"/>
      <c r="M111" s="25">
        <f>IF(L111="","",HYPERLINK(IF(LEFT(L111,4)="http",L111,set_QwilrBase&amp;L111),"Open quote"))</f>
        <v/>
      </c>
      <c r="N111" s="26" t="n"/>
      <c r="O111" s="26" t="n"/>
      <c r="P111" s="26" t="n"/>
      <c r="Q111" s="25">
        <f>IF(C111="","",IF(N(N111)+N(O111)+N(P111)=0,"Not split",IF(ROUND(N(N111)+N(O111)+N(P111),2)=ROUND(H111,2),"OK","MISMATCH")))</f>
        <v/>
      </c>
      <c r="R111" s="26" t="n"/>
      <c r="S111" s="26" t="n"/>
      <c r="T111" s="26" t="n"/>
      <c r="U111" s="27">
        <f>IF(C111="","",N(R111)+N(S111)+N(T111))</f>
        <v/>
      </c>
      <c r="V111" s="27">
        <f>IF(C111="","",H111-U111)</f>
        <v/>
      </c>
      <c r="W111" s="29">
        <f>IFERROR(V111/H111,"")</f>
        <v/>
      </c>
      <c r="X111" s="24" t="n"/>
    </row>
    <row r="112" ht="15" customHeight="1">
      <c r="A112" s="68">
        <f>IF(C112="","",IFERROR(IF(SUMPRODUCT(MAX((tbl_Finance[Job Number]=C112&amp;"")*(tbl_Finance[Xero Invoice No]&lt;&gt;"")*tbl_Finance[Date]))=0,"",SUMPRODUCT(MAX((tbl_Finance[Job Number]=C112&amp;"")*(tbl_Finance[Xero Invoice No]&lt;&gt;"")*tbl_Finance[Date]))),""))</f>
        <v/>
      </c>
      <c r="B112" s="25">
        <f>IF(C112="","",IF(COUNTIFS(tbl_Finance[Job Number],C112&amp;"",tbl_Finance[Xero Invoice No],"&lt;&gt;")=0,"",IFERROR(IF(COUNTIFS(tbl_Finance[Job Number],C112&amp;"",tbl_Finance[Xero Invoice No],LOOKUP(2,1/((tbl_Finance[Job Number]=C112&amp;"")*(tbl_Finance[Xero Invoice No]&lt;&gt;"")),tbl_Finance[Xero Invoice No]))=COUNTIFS(tbl_Finance[Job Number],C112&amp;"",tbl_Finance[Xero Invoice No],"&lt;&gt;"),LOOKUP(2,1/((tbl_Finance[Job Number]=C112&amp;"")*(tbl_Finance[Xero Invoice No]&lt;&gt;"")),tbl_Finance[Xero Invoice No]),LOOKUP(2,1/((tbl_Finance[Job Number]=C112&amp;"")*(tbl_Finance[Xero Invoice No]&lt;&gt;"")),tbl_Finance[Xero Invoice No])&amp;" +more"),"")))</f>
        <v/>
      </c>
      <c r="C112" s="24" t="n"/>
      <c r="D112" s="25">
        <f>IF(C112="","",IF(COUNTIF(lst_Jobs,C112&amp;"")&gt;0,"OK","CHECK"))</f>
        <v/>
      </c>
      <c r="E112" s="25">
        <f>IF(C112="","",IFERROR(INDEX(lst_JobName,MATCH(C112&amp;"",lst_Jobs,0)),""))</f>
        <v/>
      </c>
      <c r="F112" s="25">
        <f>IF(C112="","",IFERROR(INDEX(tbl_Finance[Client],MATCH(C112&amp;"",tbl_Finance[Job Number],0)),""))</f>
        <v/>
      </c>
      <c r="G112" s="28">
        <f>IF(C112="","",COUNTIFS(tbl_Finance[Job Number],C112&amp;"",tbl_Finance[Ex GST],"&lt;&gt;"))</f>
        <v/>
      </c>
      <c r="H112" s="27">
        <f>IF(C112="","",SUMIFS(tbl_Finance[Ex GST],tbl_Finance[Job Number],C112&amp;""))</f>
        <v/>
      </c>
      <c r="I112" s="27">
        <f>IF(C112="","",SUMIFS(tbl_Finance[Ex GST],tbl_Finance[Job Number],C112&amp;"",tbl_Finance[Xero Invoice No],"&lt;&gt;"))</f>
        <v/>
      </c>
      <c r="J112" s="27">
        <f>IF(C112="","",H112-I112)</f>
        <v/>
      </c>
      <c r="K112" s="25">
        <f>IF(C112="","",IF(G112=0,"not invoiced yet",SUBSTITUTE(TRIM(IF(COUNTIFS(tbl_Finance[Job Number],C112&amp;"",tbl_Finance[Cost Centre],"ONSITE")&gt;0,"ONSITE ","")&amp;IF(COUNTIFS(tbl_Finance[Job Number],C112&amp;"",tbl_Finance[Cost Centre],"PRODUCTION")&gt;0,"PRODUCTION ","")&amp;IF(COUNTIFS(tbl_Finance[Job Number],C112&amp;"",tbl_Finance[Cost Centre],"VIDEO")&gt;0,"VIDEO ","")&amp;IF(COUNTIFS(tbl_Finance[Job Number],C112&amp;"",tbl_Finance[Cost Centre],"INTEGRATION")&gt;0,"INTEGRATION ","")&amp;IF(COUNTIFS(tbl_Finance[Job Number],C112&amp;"",tbl_Finance[Cost Centre],"CONSULTING")&gt;0,"CONSULTING ","")&amp;IF(COUNTIFS(tbl_Finance[Job Number],C112&amp;"",tbl_Finance[Cost Centre],"CTS")&gt;0,"CTS ",""))," ",", ")))</f>
        <v/>
      </c>
      <c r="L112" s="24" t="n"/>
      <c r="M112" s="25">
        <f>IF(L112="","",HYPERLINK(IF(LEFT(L112,4)="http",L112,set_QwilrBase&amp;L112),"Open quote"))</f>
        <v/>
      </c>
      <c r="N112" s="26" t="n"/>
      <c r="O112" s="26" t="n"/>
      <c r="P112" s="26" t="n"/>
      <c r="Q112" s="25">
        <f>IF(C112="","",IF(N(N112)+N(O112)+N(P112)=0,"Not split",IF(ROUND(N(N112)+N(O112)+N(P112),2)=ROUND(H112,2),"OK","MISMATCH")))</f>
        <v/>
      </c>
      <c r="R112" s="26" t="n"/>
      <c r="S112" s="26" t="n"/>
      <c r="T112" s="26" t="n"/>
      <c r="U112" s="27">
        <f>IF(C112="","",N(R112)+N(S112)+N(T112))</f>
        <v/>
      </c>
      <c r="V112" s="27">
        <f>IF(C112="","",H112-U112)</f>
        <v/>
      </c>
      <c r="W112" s="29">
        <f>IFERROR(V112/H112,"")</f>
        <v/>
      </c>
      <c r="X112" s="24" t="n"/>
    </row>
    <row r="113" ht="15" customHeight="1">
      <c r="A113" s="68">
        <f>IF(C113="","",IFERROR(IF(SUMPRODUCT(MAX((tbl_Finance[Job Number]=C113&amp;"")*(tbl_Finance[Xero Invoice No]&lt;&gt;"")*tbl_Finance[Date]))=0,"",SUMPRODUCT(MAX((tbl_Finance[Job Number]=C113&amp;"")*(tbl_Finance[Xero Invoice No]&lt;&gt;"")*tbl_Finance[Date]))),""))</f>
        <v/>
      </c>
      <c r="B113" s="25">
        <f>IF(C113="","",IF(COUNTIFS(tbl_Finance[Job Number],C113&amp;"",tbl_Finance[Xero Invoice No],"&lt;&gt;")=0,"",IFERROR(IF(COUNTIFS(tbl_Finance[Job Number],C113&amp;"",tbl_Finance[Xero Invoice No],LOOKUP(2,1/((tbl_Finance[Job Number]=C113&amp;"")*(tbl_Finance[Xero Invoice No]&lt;&gt;"")),tbl_Finance[Xero Invoice No]))=COUNTIFS(tbl_Finance[Job Number],C113&amp;"",tbl_Finance[Xero Invoice No],"&lt;&gt;"),LOOKUP(2,1/((tbl_Finance[Job Number]=C113&amp;"")*(tbl_Finance[Xero Invoice No]&lt;&gt;"")),tbl_Finance[Xero Invoice No]),LOOKUP(2,1/((tbl_Finance[Job Number]=C113&amp;"")*(tbl_Finance[Xero Invoice No]&lt;&gt;"")),tbl_Finance[Xero Invoice No])&amp;" +more"),"")))</f>
        <v/>
      </c>
      <c r="C113" s="24" t="n"/>
      <c r="D113" s="25">
        <f>IF(C113="","",IF(COUNTIF(lst_Jobs,C113&amp;"")&gt;0,"OK","CHECK"))</f>
        <v/>
      </c>
      <c r="E113" s="25">
        <f>IF(C113="","",IFERROR(INDEX(lst_JobName,MATCH(C113&amp;"",lst_Jobs,0)),""))</f>
        <v/>
      </c>
      <c r="F113" s="25">
        <f>IF(C113="","",IFERROR(INDEX(tbl_Finance[Client],MATCH(C113&amp;"",tbl_Finance[Job Number],0)),""))</f>
        <v/>
      </c>
      <c r="G113" s="28">
        <f>IF(C113="","",COUNTIFS(tbl_Finance[Job Number],C113&amp;"",tbl_Finance[Ex GST],"&lt;&gt;"))</f>
        <v/>
      </c>
      <c r="H113" s="27">
        <f>IF(C113="","",SUMIFS(tbl_Finance[Ex GST],tbl_Finance[Job Number],C113&amp;""))</f>
        <v/>
      </c>
      <c r="I113" s="27">
        <f>IF(C113="","",SUMIFS(tbl_Finance[Ex GST],tbl_Finance[Job Number],C113&amp;"",tbl_Finance[Xero Invoice No],"&lt;&gt;"))</f>
        <v/>
      </c>
      <c r="J113" s="27">
        <f>IF(C113="","",H113-I113)</f>
        <v/>
      </c>
      <c r="K113" s="25">
        <f>IF(C113="","",IF(G113=0,"not invoiced yet",SUBSTITUTE(TRIM(IF(COUNTIFS(tbl_Finance[Job Number],C113&amp;"",tbl_Finance[Cost Centre],"ONSITE")&gt;0,"ONSITE ","")&amp;IF(COUNTIFS(tbl_Finance[Job Number],C113&amp;"",tbl_Finance[Cost Centre],"PRODUCTION")&gt;0,"PRODUCTION ","")&amp;IF(COUNTIFS(tbl_Finance[Job Number],C113&amp;"",tbl_Finance[Cost Centre],"VIDEO")&gt;0,"VIDEO ","")&amp;IF(COUNTIFS(tbl_Finance[Job Number],C113&amp;"",tbl_Finance[Cost Centre],"INTEGRATION")&gt;0,"INTEGRATION ","")&amp;IF(COUNTIFS(tbl_Finance[Job Number],C113&amp;"",tbl_Finance[Cost Centre],"CONSULTING")&gt;0,"CONSULTING ","")&amp;IF(COUNTIFS(tbl_Finance[Job Number],C113&amp;"",tbl_Finance[Cost Centre],"CTS")&gt;0,"CTS ",""))," ",", ")))</f>
        <v/>
      </c>
      <c r="L113" s="24" t="n"/>
      <c r="M113" s="25">
        <f>IF(L113="","",HYPERLINK(IF(LEFT(L113,4)="http",L113,set_QwilrBase&amp;L113),"Open quote"))</f>
        <v/>
      </c>
      <c r="N113" s="26" t="n"/>
      <c r="O113" s="26" t="n"/>
      <c r="P113" s="26" t="n"/>
      <c r="Q113" s="25">
        <f>IF(C113="","",IF(N(N113)+N(O113)+N(P113)=0,"Not split",IF(ROUND(N(N113)+N(O113)+N(P113),2)=ROUND(H113,2),"OK","MISMATCH")))</f>
        <v/>
      </c>
      <c r="R113" s="26" t="n"/>
      <c r="S113" s="26" t="n"/>
      <c r="T113" s="26" t="n"/>
      <c r="U113" s="27">
        <f>IF(C113="","",N(R113)+N(S113)+N(T113))</f>
        <v/>
      </c>
      <c r="V113" s="27">
        <f>IF(C113="","",H113-U113)</f>
        <v/>
      </c>
      <c r="W113" s="29">
        <f>IFERROR(V113/H113,"")</f>
        <v/>
      </c>
      <c r="X113" s="24" t="n"/>
    </row>
    <row r="114" ht="15" customHeight="1">
      <c r="A114" s="68">
        <f>IF(C114="","",IFERROR(IF(SUMPRODUCT(MAX((tbl_Finance[Job Number]=C114&amp;"")*(tbl_Finance[Xero Invoice No]&lt;&gt;"")*tbl_Finance[Date]))=0,"",SUMPRODUCT(MAX((tbl_Finance[Job Number]=C114&amp;"")*(tbl_Finance[Xero Invoice No]&lt;&gt;"")*tbl_Finance[Date]))),""))</f>
        <v/>
      </c>
      <c r="B114" s="25">
        <f>IF(C114="","",IF(COUNTIFS(tbl_Finance[Job Number],C114&amp;"",tbl_Finance[Xero Invoice No],"&lt;&gt;")=0,"",IFERROR(IF(COUNTIFS(tbl_Finance[Job Number],C114&amp;"",tbl_Finance[Xero Invoice No],LOOKUP(2,1/((tbl_Finance[Job Number]=C114&amp;"")*(tbl_Finance[Xero Invoice No]&lt;&gt;"")),tbl_Finance[Xero Invoice No]))=COUNTIFS(tbl_Finance[Job Number],C114&amp;"",tbl_Finance[Xero Invoice No],"&lt;&gt;"),LOOKUP(2,1/((tbl_Finance[Job Number]=C114&amp;"")*(tbl_Finance[Xero Invoice No]&lt;&gt;"")),tbl_Finance[Xero Invoice No]),LOOKUP(2,1/((tbl_Finance[Job Number]=C114&amp;"")*(tbl_Finance[Xero Invoice No]&lt;&gt;"")),tbl_Finance[Xero Invoice No])&amp;" +more"),"")))</f>
        <v/>
      </c>
      <c r="C114" s="24" t="n"/>
      <c r="D114" s="25">
        <f>IF(C114="","",IF(COUNTIF(lst_Jobs,C114&amp;"")&gt;0,"OK","CHECK"))</f>
        <v/>
      </c>
      <c r="E114" s="25">
        <f>IF(C114="","",IFERROR(INDEX(lst_JobName,MATCH(C114&amp;"",lst_Jobs,0)),""))</f>
        <v/>
      </c>
      <c r="F114" s="25">
        <f>IF(C114="","",IFERROR(INDEX(tbl_Finance[Client],MATCH(C114&amp;"",tbl_Finance[Job Number],0)),""))</f>
        <v/>
      </c>
      <c r="G114" s="28">
        <f>IF(C114="","",COUNTIFS(tbl_Finance[Job Number],C114&amp;"",tbl_Finance[Ex GST],"&lt;&gt;"))</f>
        <v/>
      </c>
      <c r="H114" s="27">
        <f>IF(C114="","",SUMIFS(tbl_Finance[Ex GST],tbl_Finance[Job Number],C114&amp;""))</f>
        <v/>
      </c>
      <c r="I114" s="27">
        <f>IF(C114="","",SUMIFS(tbl_Finance[Ex GST],tbl_Finance[Job Number],C114&amp;"",tbl_Finance[Xero Invoice No],"&lt;&gt;"))</f>
        <v/>
      </c>
      <c r="J114" s="27">
        <f>IF(C114="","",H114-I114)</f>
        <v/>
      </c>
      <c r="K114" s="25">
        <f>IF(C114="","",IF(G114=0,"not invoiced yet",SUBSTITUTE(TRIM(IF(COUNTIFS(tbl_Finance[Job Number],C114&amp;"",tbl_Finance[Cost Centre],"ONSITE")&gt;0,"ONSITE ","")&amp;IF(COUNTIFS(tbl_Finance[Job Number],C114&amp;"",tbl_Finance[Cost Centre],"PRODUCTION")&gt;0,"PRODUCTION ","")&amp;IF(COUNTIFS(tbl_Finance[Job Number],C114&amp;"",tbl_Finance[Cost Centre],"VIDEO")&gt;0,"VIDEO ","")&amp;IF(COUNTIFS(tbl_Finance[Job Number],C114&amp;"",tbl_Finance[Cost Centre],"INTEGRATION")&gt;0,"INTEGRATION ","")&amp;IF(COUNTIFS(tbl_Finance[Job Number],C114&amp;"",tbl_Finance[Cost Centre],"CONSULTING")&gt;0,"CONSULTING ","")&amp;IF(COUNTIFS(tbl_Finance[Job Number],C114&amp;"",tbl_Finance[Cost Centre],"CTS")&gt;0,"CTS ",""))," ",", ")))</f>
        <v/>
      </c>
      <c r="L114" s="24" t="n"/>
      <c r="M114" s="25">
        <f>IF(L114="","",HYPERLINK(IF(LEFT(L114,4)="http",L114,set_QwilrBase&amp;L114),"Open quote"))</f>
        <v/>
      </c>
      <c r="N114" s="26" t="n"/>
      <c r="O114" s="26" t="n"/>
      <c r="P114" s="26" t="n"/>
      <c r="Q114" s="25">
        <f>IF(C114="","",IF(N(N114)+N(O114)+N(P114)=0,"Not split",IF(ROUND(N(N114)+N(O114)+N(P114),2)=ROUND(H114,2),"OK","MISMATCH")))</f>
        <v/>
      </c>
      <c r="R114" s="26" t="n"/>
      <c r="S114" s="26" t="n"/>
      <c r="T114" s="26" t="n"/>
      <c r="U114" s="27">
        <f>IF(C114="","",N(R114)+N(S114)+N(T114))</f>
        <v/>
      </c>
      <c r="V114" s="27">
        <f>IF(C114="","",H114-U114)</f>
        <v/>
      </c>
      <c r="W114" s="29">
        <f>IFERROR(V114/H114,"")</f>
        <v/>
      </c>
      <c r="X114" s="24" t="n"/>
    </row>
    <row r="115" ht="15" customHeight="1">
      <c r="A115" s="68">
        <f>IF(C115="","",IFERROR(IF(SUMPRODUCT(MAX((tbl_Finance[Job Number]=C115&amp;"")*(tbl_Finance[Xero Invoice No]&lt;&gt;"")*tbl_Finance[Date]))=0,"",SUMPRODUCT(MAX((tbl_Finance[Job Number]=C115&amp;"")*(tbl_Finance[Xero Invoice No]&lt;&gt;"")*tbl_Finance[Date]))),""))</f>
        <v/>
      </c>
      <c r="B115" s="25">
        <f>IF(C115="","",IF(COUNTIFS(tbl_Finance[Job Number],C115&amp;"",tbl_Finance[Xero Invoice No],"&lt;&gt;")=0,"",IFERROR(IF(COUNTIFS(tbl_Finance[Job Number],C115&amp;"",tbl_Finance[Xero Invoice No],LOOKUP(2,1/((tbl_Finance[Job Number]=C115&amp;"")*(tbl_Finance[Xero Invoice No]&lt;&gt;"")),tbl_Finance[Xero Invoice No]))=COUNTIFS(tbl_Finance[Job Number],C115&amp;"",tbl_Finance[Xero Invoice No],"&lt;&gt;"),LOOKUP(2,1/((tbl_Finance[Job Number]=C115&amp;"")*(tbl_Finance[Xero Invoice No]&lt;&gt;"")),tbl_Finance[Xero Invoice No]),LOOKUP(2,1/((tbl_Finance[Job Number]=C115&amp;"")*(tbl_Finance[Xero Invoice No]&lt;&gt;"")),tbl_Finance[Xero Invoice No])&amp;" +more"),"")))</f>
        <v/>
      </c>
      <c r="C115" s="24" t="n"/>
      <c r="D115" s="25">
        <f>IF(C115="","",IF(COUNTIF(lst_Jobs,C115&amp;"")&gt;0,"OK","CHECK"))</f>
        <v/>
      </c>
      <c r="E115" s="25">
        <f>IF(C115="","",IFERROR(INDEX(lst_JobName,MATCH(C115&amp;"",lst_Jobs,0)),""))</f>
        <v/>
      </c>
      <c r="F115" s="25">
        <f>IF(C115="","",IFERROR(INDEX(tbl_Finance[Client],MATCH(C115&amp;"",tbl_Finance[Job Number],0)),""))</f>
        <v/>
      </c>
      <c r="G115" s="28">
        <f>IF(C115="","",COUNTIFS(tbl_Finance[Job Number],C115&amp;"",tbl_Finance[Ex GST],"&lt;&gt;"))</f>
        <v/>
      </c>
      <c r="H115" s="27">
        <f>IF(C115="","",SUMIFS(tbl_Finance[Ex GST],tbl_Finance[Job Number],C115&amp;""))</f>
        <v/>
      </c>
      <c r="I115" s="27">
        <f>IF(C115="","",SUMIFS(tbl_Finance[Ex GST],tbl_Finance[Job Number],C115&amp;"",tbl_Finance[Xero Invoice No],"&lt;&gt;"))</f>
        <v/>
      </c>
      <c r="J115" s="27">
        <f>IF(C115="","",H115-I115)</f>
        <v/>
      </c>
      <c r="K115" s="25">
        <f>IF(C115="","",IF(G115=0,"not invoiced yet",SUBSTITUTE(TRIM(IF(COUNTIFS(tbl_Finance[Job Number],C115&amp;"",tbl_Finance[Cost Centre],"ONSITE")&gt;0,"ONSITE ","")&amp;IF(COUNTIFS(tbl_Finance[Job Number],C115&amp;"",tbl_Finance[Cost Centre],"PRODUCTION")&gt;0,"PRODUCTION ","")&amp;IF(COUNTIFS(tbl_Finance[Job Number],C115&amp;"",tbl_Finance[Cost Centre],"VIDEO")&gt;0,"VIDEO ","")&amp;IF(COUNTIFS(tbl_Finance[Job Number],C115&amp;"",tbl_Finance[Cost Centre],"INTEGRATION")&gt;0,"INTEGRATION ","")&amp;IF(COUNTIFS(tbl_Finance[Job Number],C115&amp;"",tbl_Finance[Cost Centre],"CONSULTING")&gt;0,"CONSULTING ","")&amp;IF(COUNTIFS(tbl_Finance[Job Number],C115&amp;"",tbl_Finance[Cost Centre],"CTS")&gt;0,"CTS ",""))," ",", ")))</f>
        <v/>
      </c>
      <c r="L115" s="24" t="n"/>
      <c r="M115" s="25">
        <f>IF(L115="","",HYPERLINK(IF(LEFT(L115,4)="http",L115,set_QwilrBase&amp;L115),"Open quote"))</f>
        <v/>
      </c>
      <c r="N115" s="26" t="n"/>
      <c r="O115" s="26" t="n"/>
      <c r="P115" s="26" t="n"/>
      <c r="Q115" s="25">
        <f>IF(C115="","",IF(N(N115)+N(O115)+N(P115)=0,"Not split",IF(ROUND(N(N115)+N(O115)+N(P115),2)=ROUND(H115,2),"OK","MISMATCH")))</f>
        <v/>
      </c>
      <c r="R115" s="26" t="n"/>
      <c r="S115" s="26" t="n"/>
      <c r="T115" s="26" t="n"/>
      <c r="U115" s="27">
        <f>IF(C115="","",N(R115)+N(S115)+N(T115))</f>
        <v/>
      </c>
      <c r="V115" s="27">
        <f>IF(C115="","",H115-U115)</f>
        <v/>
      </c>
      <c r="W115" s="29">
        <f>IFERROR(V115/H115,"")</f>
        <v/>
      </c>
      <c r="X115" s="24" t="n"/>
    </row>
    <row r="116" ht="15" customHeight="1">
      <c r="A116" s="68">
        <f>IF(C116="","",IFERROR(IF(SUMPRODUCT(MAX((tbl_Finance[Job Number]=C116&amp;"")*(tbl_Finance[Xero Invoice No]&lt;&gt;"")*tbl_Finance[Date]))=0,"",SUMPRODUCT(MAX((tbl_Finance[Job Number]=C116&amp;"")*(tbl_Finance[Xero Invoice No]&lt;&gt;"")*tbl_Finance[Date]))),""))</f>
        <v/>
      </c>
      <c r="B116" s="25">
        <f>IF(C116="","",IF(COUNTIFS(tbl_Finance[Job Number],C116&amp;"",tbl_Finance[Xero Invoice No],"&lt;&gt;")=0,"",IFERROR(IF(COUNTIFS(tbl_Finance[Job Number],C116&amp;"",tbl_Finance[Xero Invoice No],LOOKUP(2,1/((tbl_Finance[Job Number]=C116&amp;"")*(tbl_Finance[Xero Invoice No]&lt;&gt;"")),tbl_Finance[Xero Invoice No]))=COUNTIFS(tbl_Finance[Job Number],C116&amp;"",tbl_Finance[Xero Invoice No],"&lt;&gt;"),LOOKUP(2,1/((tbl_Finance[Job Number]=C116&amp;"")*(tbl_Finance[Xero Invoice No]&lt;&gt;"")),tbl_Finance[Xero Invoice No]),LOOKUP(2,1/((tbl_Finance[Job Number]=C116&amp;"")*(tbl_Finance[Xero Invoice No]&lt;&gt;"")),tbl_Finance[Xero Invoice No])&amp;" +more"),"")))</f>
        <v/>
      </c>
      <c r="C116" s="24" t="n"/>
      <c r="D116" s="25">
        <f>IF(C116="","",IF(COUNTIF(lst_Jobs,C116&amp;"")&gt;0,"OK","CHECK"))</f>
        <v/>
      </c>
      <c r="E116" s="25">
        <f>IF(C116="","",IFERROR(INDEX(lst_JobName,MATCH(C116&amp;"",lst_Jobs,0)),""))</f>
        <v/>
      </c>
      <c r="F116" s="25">
        <f>IF(C116="","",IFERROR(INDEX(tbl_Finance[Client],MATCH(C116&amp;"",tbl_Finance[Job Number],0)),""))</f>
        <v/>
      </c>
      <c r="G116" s="28">
        <f>IF(C116="","",COUNTIFS(tbl_Finance[Job Number],C116&amp;"",tbl_Finance[Ex GST],"&lt;&gt;"))</f>
        <v/>
      </c>
      <c r="H116" s="27">
        <f>IF(C116="","",SUMIFS(tbl_Finance[Ex GST],tbl_Finance[Job Number],C116&amp;""))</f>
        <v/>
      </c>
      <c r="I116" s="27">
        <f>IF(C116="","",SUMIFS(tbl_Finance[Ex GST],tbl_Finance[Job Number],C116&amp;"",tbl_Finance[Xero Invoice No],"&lt;&gt;"))</f>
        <v/>
      </c>
      <c r="J116" s="27">
        <f>IF(C116="","",H116-I116)</f>
        <v/>
      </c>
      <c r="K116" s="25">
        <f>IF(C116="","",IF(G116=0,"not invoiced yet",SUBSTITUTE(TRIM(IF(COUNTIFS(tbl_Finance[Job Number],C116&amp;"",tbl_Finance[Cost Centre],"ONSITE")&gt;0,"ONSITE ","")&amp;IF(COUNTIFS(tbl_Finance[Job Number],C116&amp;"",tbl_Finance[Cost Centre],"PRODUCTION")&gt;0,"PRODUCTION ","")&amp;IF(COUNTIFS(tbl_Finance[Job Number],C116&amp;"",tbl_Finance[Cost Centre],"VIDEO")&gt;0,"VIDEO ","")&amp;IF(COUNTIFS(tbl_Finance[Job Number],C116&amp;"",tbl_Finance[Cost Centre],"INTEGRATION")&gt;0,"INTEGRATION ","")&amp;IF(COUNTIFS(tbl_Finance[Job Number],C116&amp;"",tbl_Finance[Cost Centre],"CONSULTING")&gt;0,"CONSULTING ","")&amp;IF(COUNTIFS(tbl_Finance[Job Number],C116&amp;"",tbl_Finance[Cost Centre],"CTS")&gt;0,"CTS ",""))," ",", ")))</f>
        <v/>
      </c>
      <c r="L116" s="24" t="n"/>
      <c r="M116" s="25">
        <f>IF(L116="","",HYPERLINK(IF(LEFT(L116,4)="http",L116,set_QwilrBase&amp;L116),"Open quote"))</f>
        <v/>
      </c>
      <c r="N116" s="26" t="n"/>
      <c r="O116" s="26" t="n"/>
      <c r="P116" s="26" t="n"/>
      <c r="Q116" s="25">
        <f>IF(C116="","",IF(N(N116)+N(O116)+N(P116)=0,"Not split",IF(ROUND(N(N116)+N(O116)+N(P116),2)=ROUND(H116,2),"OK","MISMATCH")))</f>
        <v/>
      </c>
      <c r="R116" s="26" t="n"/>
      <c r="S116" s="26" t="n"/>
      <c r="T116" s="26" t="n"/>
      <c r="U116" s="27">
        <f>IF(C116="","",N(R116)+N(S116)+N(T116))</f>
        <v/>
      </c>
      <c r="V116" s="27">
        <f>IF(C116="","",H116-U116)</f>
        <v/>
      </c>
      <c r="W116" s="29">
        <f>IFERROR(V116/H116,"")</f>
        <v/>
      </c>
      <c r="X116" s="24" t="n"/>
    </row>
    <row r="117" ht="15" customHeight="1">
      <c r="A117" s="68">
        <f>IF(C117="","",IFERROR(IF(SUMPRODUCT(MAX((tbl_Finance[Job Number]=C117&amp;"")*(tbl_Finance[Xero Invoice No]&lt;&gt;"")*tbl_Finance[Date]))=0,"",SUMPRODUCT(MAX((tbl_Finance[Job Number]=C117&amp;"")*(tbl_Finance[Xero Invoice No]&lt;&gt;"")*tbl_Finance[Date]))),""))</f>
        <v/>
      </c>
      <c r="B117" s="25">
        <f>IF(C117="","",IF(COUNTIFS(tbl_Finance[Job Number],C117&amp;"",tbl_Finance[Xero Invoice No],"&lt;&gt;")=0,"",IFERROR(IF(COUNTIFS(tbl_Finance[Job Number],C117&amp;"",tbl_Finance[Xero Invoice No],LOOKUP(2,1/((tbl_Finance[Job Number]=C117&amp;"")*(tbl_Finance[Xero Invoice No]&lt;&gt;"")),tbl_Finance[Xero Invoice No]))=COUNTIFS(tbl_Finance[Job Number],C117&amp;"",tbl_Finance[Xero Invoice No],"&lt;&gt;"),LOOKUP(2,1/((tbl_Finance[Job Number]=C117&amp;"")*(tbl_Finance[Xero Invoice No]&lt;&gt;"")),tbl_Finance[Xero Invoice No]),LOOKUP(2,1/((tbl_Finance[Job Number]=C117&amp;"")*(tbl_Finance[Xero Invoice No]&lt;&gt;"")),tbl_Finance[Xero Invoice No])&amp;" +more"),"")))</f>
        <v/>
      </c>
      <c r="C117" s="24" t="n"/>
      <c r="D117" s="25">
        <f>IF(C117="","",IF(COUNTIF(lst_Jobs,C117&amp;"")&gt;0,"OK","CHECK"))</f>
        <v/>
      </c>
      <c r="E117" s="25">
        <f>IF(C117="","",IFERROR(INDEX(lst_JobName,MATCH(C117&amp;"",lst_Jobs,0)),""))</f>
        <v/>
      </c>
      <c r="F117" s="25">
        <f>IF(C117="","",IFERROR(INDEX(tbl_Finance[Client],MATCH(C117&amp;"",tbl_Finance[Job Number],0)),""))</f>
        <v/>
      </c>
      <c r="G117" s="28">
        <f>IF(C117="","",COUNTIFS(tbl_Finance[Job Number],C117&amp;"",tbl_Finance[Ex GST],"&lt;&gt;"))</f>
        <v/>
      </c>
      <c r="H117" s="27">
        <f>IF(C117="","",SUMIFS(tbl_Finance[Ex GST],tbl_Finance[Job Number],C117&amp;""))</f>
        <v/>
      </c>
      <c r="I117" s="27">
        <f>IF(C117="","",SUMIFS(tbl_Finance[Ex GST],tbl_Finance[Job Number],C117&amp;"",tbl_Finance[Xero Invoice No],"&lt;&gt;"))</f>
        <v/>
      </c>
      <c r="J117" s="27">
        <f>IF(C117="","",H117-I117)</f>
        <v/>
      </c>
      <c r="K117" s="25">
        <f>IF(C117="","",IF(G117=0,"not invoiced yet",SUBSTITUTE(TRIM(IF(COUNTIFS(tbl_Finance[Job Number],C117&amp;"",tbl_Finance[Cost Centre],"ONSITE")&gt;0,"ONSITE ","")&amp;IF(COUNTIFS(tbl_Finance[Job Number],C117&amp;"",tbl_Finance[Cost Centre],"PRODUCTION")&gt;0,"PRODUCTION ","")&amp;IF(COUNTIFS(tbl_Finance[Job Number],C117&amp;"",tbl_Finance[Cost Centre],"VIDEO")&gt;0,"VIDEO ","")&amp;IF(COUNTIFS(tbl_Finance[Job Number],C117&amp;"",tbl_Finance[Cost Centre],"INTEGRATION")&gt;0,"INTEGRATION ","")&amp;IF(COUNTIFS(tbl_Finance[Job Number],C117&amp;"",tbl_Finance[Cost Centre],"CONSULTING")&gt;0,"CONSULTING ","")&amp;IF(COUNTIFS(tbl_Finance[Job Number],C117&amp;"",tbl_Finance[Cost Centre],"CTS")&gt;0,"CTS ",""))," ",", ")))</f>
        <v/>
      </c>
      <c r="L117" s="24" t="n"/>
      <c r="M117" s="25">
        <f>IF(L117="","",HYPERLINK(IF(LEFT(L117,4)="http",L117,set_QwilrBase&amp;L117),"Open quote"))</f>
        <v/>
      </c>
      <c r="N117" s="26" t="n"/>
      <c r="O117" s="26" t="n"/>
      <c r="P117" s="26" t="n"/>
      <c r="Q117" s="25">
        <f>IF(C117="","",IF(N(N117)+N(O117)+N(P117)=0,"Not split",IF(ROUND(N(N117)+N(O117)+N(P117),2)=ROUND(H117,2),"OK","MISMATCH")))</f>
        <v/>
      </c>
      <c r="R117" s="26" t="n"/>
      <c r="S117" s="26" t="n"/>
      <c r="T117" s="26" t="n"/>
      <c r="U117" s="27">
        <f>IF(C117="","",N(R117)+N(S117)+N(T117))</f>
        <v/>
      </c>
      <c r="V117" s="27">
        <f>IF(C117="","",H117-U117)</f>
        <v/>
      </c>
      <c r="W117" s="29">
        <f>IFERROR(V117/H117,"")</f>
        <v/>
      </c>
      <c r="X117" s="24" t="n"/>
    </row>
    <row r="118" ht="15" customHeight="1">
      <c r="A118" s="68">
        <f>IF(C118="","",IFERROR(IF(SUMPRODUCT(MAX((tbl_Finance[Job Number]=C118&amp;"")*(tbl_Finance[Xero Invoice No]&lt;&gt;"")*tbl_Finance[Date]))=0,"",SUMPRODUCT(MAX((tbl_Finance[Job Number]=C118&amp;"")*(tbl_Finance[Xero Invoice No]&lt;&gt;"")*tbl_Finance[Date]))),""))</f>
        <v/>
      </c>
      <c r="B118" s="25">
        <f>IF(C118="","",IF(COUNTIFS(tbl_Finance[Job Number],C118&amp;"",tbl_Finance[Xero Invoice No],"&lt;&gt;")=0,"",IFERROR(IF(COUNTIFS(tbl_Finance[Job Number],C118&amp;"",tbl_Finance[Xero Invoice No],LOOKUP(2,1/((tbl_Finance[Job Number]=C118&amp;"")*(tbl_Finance[Xero Invoice No]&lt;&gt;"")),tbl_Finance[Xero Invoice No]))=COUNTIFS(tbl_Finance[Job Number],C118&amp;"",tbl_Finance[Xero Invoice No],"&lt;&gt;"),LOOKUP(2,1/((tbl_Finance[Job Number]=C118&amp;"")*(tbl_Finance[Xero Invoice No]&lt;&gt;"")),tbl_Finance[Xero Invoice No]),LOOKUP(2,1/((tbl_Finance[Job Number]=C118&amp;"")*(tbl_Finance[Xero Invoice No]&lt;&gt;"")),tbl_Finance[Xero Invoice No])&amp;" +more"),"")))</f>
        <v/>
      </c>
      <c r="C118" s="24" t="n"/>
      <c r="D118" s="25">
        <f>IF(C118="","",IF(COUNTIF(lst_Jobs,C118&amp;"")&gt;0,"OK","CHECK"))</f>
        <v/>
      </c>
      <c r="E118" s="25">
        <f>IF(C118="","",IFERROR(INDEX(lst_JobName,MATCH(C118&amp;"",lst_Jobs,0)),""))</f>
        <v/>
      </c>
      <c r="F118" s="25">
        <f>IF(C118="","",IFERROR(INDEX(tbl_Finance[Client],MATCH(C118&amp;"",tbl_Finance[Job Number],0)),""))</f>
        <v/>
      </c>
      <c r="G118" s="28">
        <f>IF(C118="","",COUNTIFS(tbl_Finance[Job Number],C118&amp;"",tbl_Finance[Ex GST],"&lt;&gt;"))</f>
        <v/>
      </c>
      <c r="H118" s="27">
        <f>IF(C118="","",SUMIFS(tbl_Finance[Ex GST],tbl_Finance[Job Number],C118&amp;""))</f>
        <v/>
      </c>
      <c r="I118" s="27">
        <f>IF(C118="","",SUMIFS(tbl_Finance[Ex GST],tbl_Finance[Job Number],C118&amp;"",tbl_Finance[Xero Invoice No],"&lt;&gt;"))</f>
        <v/>
      </c>
      <c r="J118" s="27">
        <f>IF(C118="","",H118-I118)</f>
        <v/>
      </c>
      <c r="K118" s="25">
        <f>IF(C118="","",IF(G118=0,"not invoiced yet",SUBSTITUTE(TRIM(IF(COUNTIFS(tbl_Finance[Job Number],C118&amp;"",tbl_Finance[Cost Centre],"ONSITE")&gt;0,"ONSITE ","")&amp;IF(COUNTIFS(tbl_Finance[Job Number],C118&amp;"",tbl_Finance[Cost Centre],"PRODUCTION")&gt;0,"PRODUCTION ","")&amp;IF(COUNTIFS(tbl_Finance[Job Number],C118&amp;"",tbl_Finance[Cost Centre],"VIDEO")&gt;0,"VIDEO ","")&amp;IF(COUNTIFS(tbl_Finance[Job Number],C118&amp;"",tbl_Finance[Cost Centre],"INTEGRATION")&gt;0,"INTEGRATION ","")&amp;IF(COUNTIFS(tbl_Finance[Job Number],C118&amp;"",tbl_Finance[Cost Centre],"CONSULTING")&gt;0,"CONSULTING ","")&amp;IF(COUNTIFS(tbl_Finance[Job Number],C118&amp;"",tbl_Finance[Cost Centre],"CTS")&gt;0,"CTS ",""))," ",", ")))</f>
        <v/>
      </c>
      <c r="L118" s="24" t="n"/>
      <c r="M118" s="25">
        <f>IF(L118="","",HYPERLINK(IF(LEFT(L118,4)="http",L118,set_QwilrBase&amp;L118),"Open quote"))</f>
        <v/>
      </c>
      <c r="N118" s="26" t="n"/>
      <c r="O118" s="26" t="n"/>
      <c r="P118" s="26" t="n"/>
      <c r="Q118" s="25">
        <f>IF(C118="","",IF(N(N118)+N(O118)+N(P118)=0,"Not split",IF(ROUND(N(N118)+N(O118)+N(P118),2)=ROUND(H118,2),"OK","MISMATCH")))</f>
        <v/>
      </c>
      <c r="R118" s="26" t="n"/>
      <c r="S118" s="26" t="n"/>
      <c r="T118" s="26" t="n"/>
      <c r="U118" s="27">
        <f>IF(C118="","",N(R118)+N(S118)+N(T118))</f>
        <v/>
      </c>
      <c r="V118" s="27">
        <f>IF(C118="","",H118-U118)</f>
        <v/>
      </c>
      <c r="W118" s="29">
        <f>IFERROR(V118/H118,"")</f>
        <v/>
      </c>
      <c r="X118" s="24" t="n"/>
    </row>
    <row r="119" ht="15" customHeight="1">
      <c r="A119" s="68">
        <f>IF(C119="","",IFERROR(IF(SUMPRODUCT(MAX((tbl_Finance[Job Number]=C119&amp;"")*(tbl_Finance[Xero Invoice No]&lt;&gt;"")*tbl_Finance[Date]))=0,"",SUMPRODUCT(MAX((tbl_Finance[Job Number]=C119&amp;"")*(tbl_Finance[Xero Invoice No]&lt;&gt;"")*tbl_Finance[Date]))),""))</f>
        <v/>
      </c>
      <c r="B119" s="25">
        <f>IF(C119="","",IF(COUNTIFS(tbl_Finance[Job Number],C119&amp;"",tbl_Finance[Xero Invoice No],"&lt;&gt;")=0,"",IFERROR(IF(COUNTIFS(tbl_Finance[Job Number],C119&amp;"",tbl_Finance[Xero Invoice No],LOOKUP(2,1/((tbl_Finance[Job Number]=C119&amp;"")*(tbl_Finance[Xero Invoice No]&lt;&gt;"")),tbl_Finance[Xero Invoice No]))=COUNTIFS(tbl_Finance[Job Number],C119&amp;"",tbl_Finance[Xero Invoice No],"&lt;&gt;"),LOOKUP(2,1/((tbl_Finance[Job Number]=C119&amp;"")*(tbl_Finance[Xero Invoice No]&lt;&gt;"")),tbl_Finance[Xero Invoice No]),LOOKUP(2,1/((tbl_Finance[Job Number]=C119&amp;"")*(tbl_Finance[Xero Invoice No]&lt;&gt;"")),tbl_Finance[Xero Invoice No])&amp;" +more"),"")))</f>
        <v/>
      </c>
      <c r="C119" s="24" t="n"/>
      <c r="D119" s="25">
        <f>IF(C119="","",IF(COUNTIF(lst_Jobs,C119&amp;"")&gt;0,"OK","CHECK"))</f>
        <v/>
      </c>
      <c r="E119" s="25">
        <f>IF(C119="","",IFERROR(INDEX(lst_JobName,MATCH(C119&amp;"",lst_Jobs,0)),""))</f>
        <v/>
      </c>
      <c r="F119" s="25">
        <f>IF(C119="","",IFERROR(INDEX(tbl_Finance[Client],MATCH(C119&amp;"",tbl_Finance[Job Number],0)),""))</f>
        <v/>
      </c>
      <c r="G119" s="28">
        <f>IF(C119="","",COUNTIFS(tbl_Finance[Job Number],C119&amp;"",tbl_Finance[Ex GST],"&lt;&gt;"))</f>
        <v/>
      </c>
      <c r="H119" s="27">
        <f>IF(C119="","",SUMIFS(tbl_Finance[Ex GST],tbl_Finance[Job Number],C119&amp;""))</f>
        <v/>
      </c>
      <c r="I119" s="27">
        <f>IF(C119="","",SUMIFS(tbl_Finance[Ex GST],tbl_Finance[Job Number],C119&amp;"",tbl_Finance[Xero Invoice No],"&lt;&gt;"))</f>
        <v/>
      </c>
      <c r="J119" s="27">
        <f>IF(C119="","",H119-I119)</f>
        <v/>
      </c>
      <c r="K119" s="25">
        <f>IF(C119="","",IF(G119=0,"not invoiced yet",SUBSTITUTE(TRIM(IF(COUNTIFS(tbl_Finance[Job Number],C119&amp;"",tbl_Finance[Cost Centre],"ONSITE")&gt;0,"ONSITE ","")&amp;IF(COUNTIFS(tbl_Finance[Job Number],C119&amp;"",tbl_Finance[Cost Centre],"PRODUCTION")&gt;0,"PRODUCTION ","")&amp;IF(COUNTIFS(tbl_Finance[Job Number],C119&amp;"",tbl_Finance[Cost Centre],"VIDEO")&gt;0,"VIDEO ","")&amp;IF(COUNTIFS(tbl_Finance[Job Number],C119&amp;"",tbl_Finance[Cost Centre],"INTEGRATION")&gt;0,"INTEGRATION ","")&amp;IF(COUNTIFS(tbl_Finance[Job Number],C119&amp;"",tbl_Finance[Cost Centre],"CONSULTING")&gt;0,"CONSULTING ","")&amp;IF(COUNTIFS(tbl_Finance[Job Number],C119&amp;"",tbl_Finance[Cost Centre],"CTS")&gt;0,"CTS ",""))," ",", ")))</f>
        <v/>
      </c>
      <c r="L119" s="24" t="n"/>
      <c r="M119" s="25">
        <f>IF(L119="","",HYPERLINK(IF(LEFT(L119,4)="http",L119,set_QwilrBase&amp;L119),"Open quote"))</f>
        <v/>
      </c>
      <c r="N119" s="26" t="n"/>
      <c r="O119" s="26" t="n"/>
      <c r="P119" s="26" t="n"/>
      <c r="Q119" s="25">
        <f>IF(C119="","",IF(N(N119)+N(O119)+N(P119)=0,"Not split",IF(ROUND(N(N119)+N(O119)+N(P119),2)=ROUND(H119,2),"OK","MISMATCH")))</f>
        <v/>
      </c>
      <c r="R119" s="26" t="n"/>
      <c r="S119" s="26" t="n"/>
      <c r="T119" s="26" t="n"/>
      <c r="U119" s="27">
        <f>IF(C119="","",N(R119)+N(S119)+N(T119))</f>
        <v/>
      </c>
      <c r="V119" s="27">
        <f>IF(C119="","",H119-U119)</f>
        <v/>
      </c>
      <c r="W119" s="29">
        <f>IFERROR(V119/H119,"")</f>
        <v/>
      </c>
      <c r="X119" s="24" t="n"/>
    </row>
    <row r="120" ht="15" customHeight="1">
      <c r="A120" s="68">
        <f>IF(C120="","",IFERROR(IF(SUMPRODUCT(MAX((tbl_Finance[Job Number]=C120&amp;"")*(tbl_Finance[Xero Invoice No]&lt;&gt;"")*tbl_Finance[Date]))=0,"",SUMPRODUCT(MAX((tbl_Finance[Job Number]=C120&amp;"")*(tbl_Finance[Xero Invoice No]&lt;&gt;"")*tbl_Finance[Date]))),""))</f>
        <v/>
      </c>
      <c r="B120" s="25">
        <f>IF(C120="","",IF(COUNTIFS(tbl_Finance[Job Number],C120&amp;"",tbl_Finance[Xero Invoice No],"&lt;&gt;")=0,"",IFERROR(IF(COUNTIFS(tbl_Finance[Job Number],C120&amp;"",tbl_Finance[Xero Invoice No],LOOKUP(2,1/((tbl_Finance[Job Number]=C120&amp;"")*(tbl_Finance[Xero Invoice No]&lt;&gt;"")),tbl_Finance[Xero Invoice No]))=COUNTIFS(tbl_Finance[Job Number],C120&amp;"",tbl_Finance[Xero Invoice No],"&lt;&gt;"),LOOKUP(2,1/((tbl_Finance[Job Number]=C120&amp;"")*(tbl_Finance[Xero Invoice No]&lt;&gt;"")),tbl_Finance[Xero Invoice No]),LOOKUP(2,1/((tbl_Finance[Job Number]=C120&amp;"")*(tbl_Finance[Xero Invoice No]&lt;&gt;"")),tbl_Finance[Xero Invoice No])&amp;" +more"),"")))</f>
        <v/>
      </c>
      <c r="C120" s="24" t="n"/>
      <c r="D120" s="25">
        <f>IF(C120="","",IF(COUNTIF(lst_Jobs,C120&amp;"")&gt;0,"OK","CHECK"))</f>
        <v/>
      </c>
      <c r="E120" s="25">
        <f>IF(C120="","",IFERROR(INDEX(lst_JobName,MATCH(C120&amp;"",lst_Jobs,0)),""))</f>
        <v/>
      </c>
      <c r="F120" s="25">
        <f>IF(C120="","",IFERROR(INDEX(tbl_Finance[Client],MATCH(C120&amp;"",tbl_Finance[Job Number],0)),""))</f>
        <v/>
      </c>
      <c r="G120" s="28">
        <f>IF(C120="","",COUNTIFS(tbl_Finance[Job Number],C120&amp;"",tbl_Finance[Ex GST],"&lt;&gt;"))</f>
        <v/>
      </c>
      <c r="H120" s="27">
        <f>IF(C120="","",SUMIFS(tbl_Finance[Ex GST],tbl_Finance[Job Number],C120&amp;""))</f>
        <v/>
      </c>
      <c r="I120" s="27">
        <f>IF(C120="","",SUMIFS(tbl_Finance[Ex GST],tbl_Finance[Job Number],C120&amp;"",tbl_Finance[Xero Invoice No],"&lt;&gt;"))</f>
        <v/>
      </c>
      <c r="J120" s="27">
        <f>IF(C120="","",H120-I120)</f>
        <v/>
      </c>
      <c r="K120" s="25">
        <f>IF(C120="","",IF(G120=0,"not invoiced yet",SUBSTITUTE(TRIM(IF(COUNTIFS(tbl_Finance[Job Number],C120&amp;"",tbl_Finance[Cost Centre],"ONSITE")&gt;0,"ONSITE ","")&amp;IF(COUNTIFS(tbl_Finance[Job Number],C120&amp;"",tbl_Finance[Cost Centre],"PRODUCTION")&gt;0,"PRODUCTION ","")&amp;IF(COUNTIFS(tbl_Finance[Job Number],C120&amp;"",tbl_Finance[Cost Centre],"VIDEO")&gt;0,"VIDEO ","")&amp;IF(COUNTIFS(tbl_Finance[Job Number],C120&amp;"",tbl_Finance[Cost Centre],"INTEGRATION")&gt;0,"INTEGRATION ","")&amp;IF(COUNTIFS(tbl_Finance[Job Number],C120&amp;"",tbl_Finance[Cost Centre],"CONSULTING")&gt;0,"CONSULTING ","")&amp;IF(COUNTIFS(tbl_Finance[Job Number],C120&amp;"",tbl_Finance[Cost Centre],"CTS")&gt;0,"CTS ",""))," ",", ")))</f>
        <v/>
      </c>
      <c r="L120" s="24" t="n"/>
      <c r="M120" s="25">
        <f>IF(L120="","",HYPERLINK(IF(LEFT(L120,4)="http",L120,set_QwilrBase&amp;L120),"Open quote"))</f>
        <v/>
      </c>
      <c r="N120" s="26" t="n"/>
      <c r="O120" s="26" t="n"/>
      <c r="P120" s="26" t="n"/>
      <c r="Q120" s="25">
        <f>IF(C120="","",IF(N(N120)+N(O120)+N(P120)=0,"Not split",IF(ROUND(N(N120)+N(O120)+N(P120),2)=ROUND(H120,2),"OK","MISMATCH")))</f>
        <v/>
      </c>
      <c r="R120" s="26" t="n"/>
      <c r="S120" s="26" t="n"/>
      <c r="T120" s="26" t="n"/>
      <c r="U120" s="27">
        <f>IF(C120="","",N(R120)+N(S120)+N(T120))</f>
        <v/>
      </c>
      <c r="V120" s="27">
        <f>IF(C120="","",H120-U120)</f>
        <v/>
      </c>
      <c r="W120" s="29">
        <f>IFERROR(V120/H120,"")</f>
        <v/>
      </c>
      <c r="X120" s="24" t="n"/>
    </row>
    <row r="121" ht="15" customHeight="1">
      <c r="A121" s="68">
        <f>IF(C121="","",IFERROR(IF(SUMPRODUCT(MAX((tbl_Finance[Job Number]=C121&amp;"")*(tbl_Finance[Xero Invoice No]&lt;&gt;"")*tbl_Finance[Date]))=0,"",SUMPRODUCT(MAX((tbl_Finance[Job Number]=C121&amp;"")*(tbl_Finance[Xero Invoice No]&lt;&gt;"")*tbl_Finance[Date]))),""))</f>
        <v/>
      </c>
      <c r="B121" s="25">
        <f>IF(C121="","",IF(COUNTIFS(tbl_Finance[Job Number],C121&amp;"",tbl_Finance[Xero Invoice No],"&lt;&gt;")=0,"",IFERROR(IF(COUNTIFS(tbl_Finance[Job Number],C121&amp;"",tbl_Finance[Xero Invoice No],LOOKUP(2,1/((tbl_Finance[Job Number]=C121&amp;"")*(tbl_Finance[Xero Invoice No]&lt;&gt;"")),tbl_Finance[Xero Invoice No]))=COUNTIFS(tbl_Finance[Job Number],C121&amp;"",tbl_Finance[Xero Invoice No],"&lt;&gt;"),LOOKUP(2,1/((tbl_Finance[Job Number]=C121&amp;"")*(tbl_Finance[Xero Invoice No]&lt;&gt;"")),tbl_Finance[Xero Invoice No]),LOOKUP(2,1/((tbl_Finance[Job Number]=C121&amp;"")*(tbl_Finance[Xero Invoice No]&lt;&gt;"")),tbl_Finance[Xero Invoice No])&amp;" +more"),"")))</f>
        <v/>
      </c>
      <c r="C121" s="24" t="n"/>
      <c r="D121" s="25">
        <f>IF(C121="","",IF(COUNTIF(lst_Jobs,C121&amp;"")&gt;0,"OK","CHECK"))</f>
        <v/>
      </c>
      <c r="E121" s="25">
        <f>IF(C121="","",IFERROR(INDEX(lst_JobName,MATCH(C121&amp;"",lst_Jobs,0)),""))</f>
        <v/>
      </c>
      <c r="F121" s="25">
        <f>IF(C121="","",IFERROR(INDEX(tbl_Finance[Client],MATCH(C121&amp;"",tbl_Finance[Job Number],0)),""))</f>
        <v/>
      </c>
      <c r="G121" s="28">
        <f>IF(C121="","",COUNTIFS(tbl_Finance[Job Number],C121&amp;"",tbl_Finance[Ex GST],"&lt;&gt;"))</f>
        <v/>
      </c>
      <c r="H121" s="27">
        <f>IF(C121="","",SUMIFS(tbl_Finance[Ex GST],tbl_Finance[Job Number],C121&amp;""))</f>
        <v/>
      </c>
      <c r="I121" s="27">
        <f>IF(C121="","",SUMIFS(tbl_Finance[Ex GST],tbl_Finance[Job Number],C121&amp;"",tbl_Finance[Xero Invoice No],"&lt;&gt;"))</f>
        <v/>
      </c>
      <c r="J121" s="27">
        <f>IF(C121="","",H121-I121)</f>
        <v/>
      </c>
      <c r="K121" s="25">
        <f>IF(C121="","",IF(G121=0,"not invoiced yet",SUBSTITUTE(TRIM(IF(COUNTIFS(tbl_Finance[Job Number],C121&amp;"",tbl_Finance[Cost Centre],"ONSITE")&gt;0,"ONSITE ","")&amp;IF(COUNTIFS(tbl_Finance[Job Number],C121&amp;"",tbl_Finance[Cost Centre],"PRODUCTION")&gt;0,"PRODUCTION ","")&amp;IF(COUNTIFS(tbl_Finance[Job Number],C121&amp;"",tbl_Finance[Cost Centre],"VIDEO")&gt;0,"VIDEO ","")&amp;IF(COUNTIFS(tbl_Finance[Job Number],C121&amp;"",tbl_Finance[Cost Centre],"INTEGRATION")&gt;0,"INTEGRATION ","")&amp;IF(COUNTIFS(tbl_Finance[Job Number],C121&amp;"",tbl_Finance[Cost Centre],"CONSULTING")&gt;0,"CONSULTING ","")&amp;IF(COUNTIFS(tbl_Finance[Job Number],C121&amp;"",tbl_Finance[Cost Centre],"CTS")&gt;0,"CTS ",""))," ",", ")))</f>
        <v/>
      </c>
      <c r="L121" s="24" t="n"/>
      <c r="M121" s="25">
        <f>IF(L121="","",HYPERLINK(IF(LEFT(L121,4)="http",L121,set_QwilrBase&amp;L121),"Open quote"))</f>
        <v/>
      </c>
      <c r="N121" s="26" t="n"/>
      <c r="O121" s="26" t="n"/>
      <c r="P121" s="26" t="n"/>
      <c r="Q121" s="25">
        <f>IF(C121="","",IF(N(N121)+N(O121)+N(P121)=0,"Not split",IF(ROUND(N(N121)+N(O121)+N(P121),2)=ROUND(H121,2),"OK","MISMATCH")))</f>
        <v/>
      </c>
      <c r="R121" s="26" t="n"/>
      <c r="S121" s="26" t="n"/>
      <c r="T121" s="26" t="n"/>
      <c r="U121" s="27">
        <f>IF(C121="","",N(R121)+N(S121)+N(T121))</f>
        <v/>
      </c>
      <c r="V121" s="27">
        <f>IF(C121="","",H121-U121)</f>
        <v/>
      </c>
      <c r="W121" s="29">
        <f>IFERROR(V121/H121,"")</f>
        <v/>
      </c>
      <c r="X121" s="24" t="n"/>
    </row>
    <row r="122" ht="15" customHeight="1">
      <c r="A122" s="68">
        <f>IF(C122="","",IFERROR(IF(SUMPRODUCT(MAX((tbl_Finance[Job Number]=C122&amp;"")*(tbl_Finance[Xero Invoice No]&lt;&gt;"")*tbl_Finance[Date]))=0,"",SUMPRODUCT(MAX((tbl_Finance[Job Number]=C122&amp;"")*(tbl_Finance[Xero Invoice No]&lt;&gt;"")*tbl_Finance[Date]))),""))</f>
        <v/>
      </c>
      <c r="B122" s="25">
        <f>IF(C122="","",IF(COUNTIFS(tbl_Finance[Job Number],C122&amp;"",tbl_Finance[Xero Invoice No],"&lt;&gt;")=0,"",IFERROR(IF(COUNTIFS(tbl_Finance[Job Number],C122&amp;"",tbl_Finance[Xero Invoice No],LOOKUP(2,1/((tbl_Finance[Job Number]=C122&amp;"")*(tbl_Finance[Xero Invoice No]&lt;&gt;"")),tbl_Finance[Xero Invoice No]))=COUNTIFS(tbl_Finance[Job Number],C122&amp;"",tbl_Finance[Xero Invoice No],"&lt;&gt;"),LOOKUP(2,1/((tbl_Finance[Job Number]=C122&amp;"")*(tbl_Finance[Xero Invoice No]&lt;&gt;"")),tbl_Finance[Xero Invoice No]),LOOKUP(2,1/((tbl_Finance[Job Number]=C122&amp;"")*(tbl_Finance[Xero Invoice No]&lt;&gt;"")),tbl_Finance[Xero Invoice No])&amp;" +more"),"")))</f>
        <v/>
      </c>
      <c r="C122" s="24" t="n"/>
      <c r="D122" s="25">
        <f>IF(C122="","",IF(COUNTIF(lst_Jobs,C122&amp;"")&gt;0,"OK","CHECK"))</f>
        <v/>
      </c>
      <c r="E122" s="25">
        <f>IF(C122="","",IFERROR(INDEX(lst_JobName,MATCH(C122&amp;"",lst_Jobs,0)),""))</f>
        <v/>
      </c>
      <c r="F122" s="25">
        <f>IF(C122="","",IFERROR(INDEX(tbl_Finance[Client],MATCH(C122&amp;"",tbl_Finance[Job Number],0)),""))</f>
        <v/>
      </c>
      <c r="G122" s="28">
        <f>IF(C122="","",COUNTIFS(tbl_Finance[Job Number],C122&amp;"",tbl_Finance[Ex GST],"&lt;&gt;"))</f>
        <v/>
      </c>
      <c r="H122" s="27">
        <f>IF(C122="","",SUMIFS(tbl_Finance[Ex GST],tbl_Finance[Job Number],C122&amp;""))</f>
        <v/>
      </c>
      <c r="I122" s="27">
        <f>IF(C122="","",SUMIFS(tbl_Finance[Ex GST],tbl_Finance[Job Number],C122&amp;"",tbl_Finance[Xero Invoice No],"&lt;&gt;"))</f>
        <v/>
      </c>
      <c r="J122" s="27">
        <f>IF(C122="","",H122-I122)</f>
        <v/>
      </c>
      <c r="K122" s="25">
        <f>IF(C122="","",IF(G122=0,"not invoiced yet",SUBSTITUTE(TRIM(IF(COUNTIFS(tbl_Finance[Job Number],C122&amp;"",tbl_Finance[Cost Centre],"ONSITE")&gt;0,"ONSITE ","")&amp;IF(COUNTIFS(tbl_Finance[Job Number],C122&amp;"",tbl_Finance[Cost Centre],"PRODUCTION")&gt;0,"PRODUCTION ","")&amp;IF(COUNTIFS(tbl_Finance[Job Number],C122&amp;"",tbl_Finance[Cost Centre],"VIDEO")&gt;0,"VIDEO ","")&amp;IF(COUNTIFS(tbl_Finance[Job Number],C122&amp;"",tbl_Finance[Cost Centre],"INTEGRATION")&gt;0,"INTEGRATION ","")&amp;IF(COUNTIFS(tbl_Finance[Job Number],C122&amp;"",tbl_Finance[Cost Centre],"CONSULTING")&gt;0,"CONSULTING ","")&amp;IF(COUNTIFS(tbl_Finance[Job Number],C122&amp;"",tbl_Finance[Cost Centre],"CTS")&gt;0,"CTS ",""))," ",", ")))</f>
        <v/>
      </c>
      <c r="L122" s="24" t="n"/>
      <c r="M122" s="25">
        <f>IF(L122="","",HYPERLINK(IF(LEFT(L122,4)="http",L122,set_QwilrBase&amp;L122),"Open quote"))</f>
        <v/>
      </c>
      <c r="N122" s="26" t="n"/>
      <c r="O122" s="26" t="n"/>
      <c r="P122" s="26" t="n"/>
      <c r="Q122" s="25">
        <f>IF(C122="","",IF(N(N122)+N(O122)+N(P122)=0,"Not split",IF(ROUND(N(N122)+N(O122)+N(P122),2)=ROUND(H122,2),"OK","MISMATCH")))</f>
        <v/>
      </c>
      <c r="R122" s="26" t="n"/>
      <c r="S122" s="26" t="n"/>
      <c r="T122" s="26" t="n"/>
      <c r="U122" s="27">
        <f>IF(C122="","",N(R122)+N(S122)+N(T122))</f>
        <v/>
      </c>
      <c r="V122" s="27">
        <f>IF(C122="","",H122-U122)</f>
        <v/>
      </c>
      <c r="W122" s="29">
        <f>IFERROR(V122/H122,"")</f>
        <v/>
      </c>
      <c r="X122" s="24" t="n"/>
    </row>
    <row r="123" ht="15" customHeight="1">
      <c r="A123" s="68">
        <f>IF(C123="","",IFERROR(IF(SUMPRODUCT(MAX((tbl_Finance[Job Number]=C123&amp;"")*(tbl_Finance[Xero Invoice No]&lt;&gt;"")*tbl_Finance[Date]))=0,"",SUMPRODUCT(MAX((tbl_Finance[Job Number]=C123&amp;"")*(tbl_Finance[Xero Invoice No]&lt;&gt;"")*tbl_Finance[Date]))),""))</f>
        <v/>
      </c>
      <c r="B123" s="25">
        <f>IF(C123="","",IF(COUNTIFS(tbl_Finance[Job Number],C123&amp;"",tbl_Finance[Xero Invoice No],"&lt;&gt;")=0,"",IFERROR(IF(COUNTIFS(tbl_Finance[Job Number],C123&amp;"",tbl_Finance[Xero Invoice No],LOOKUP(2,1/((tbl_Finance[Job Number]=C123&amp;"")*(tbl_Finance[Xero Invoice No]&lt;&gt;"")),tbl_Finance[Xero Invoice No]))=COUNTIFS(tbl_Finance[Job Number],C123&amp;"",tbl_Finance[Xero Invoice No],"&lt;&gt;"),LOOKUP(2,1/((tbl_Finance[Job Number]=C123&amp;"")*(tbl_Finance[Xero Invoice No]&lt;&gt;"")),tbl_Finance[Xero Invoice No]),LOOKUP(2,1/((tbl_Finance[Job Number]=C123&amp;"")*(tbl_Finance[Xero Invoice No]&lt;&gt;"")),tbl_Finance[Xero Invoice No])&amp;" +more"),"")))</f>
        <v/>
      </c>
      <c r="C123" s="24" t="n"/>
      <c r="D123" s="25">
        <f>IF(C123="","",IF(COUNTIF(lst_Jobs,C123&amp;"")&gt;0,"OK","CHECK"))</f>
        <v/>
      </c>
      <c r="E123" s="25">
        <f>IF(C123="","",IFERROR(INDEX(lst_JobName,MATCH(C123&amp;"",lst_Jobs,0)),""))</f>
        <v/>
      </c>
      <c r="F123" s="25">
        <f>IF(C123="","",IFERROR(INDEX(tbl_Finance[Client],MATCH(C123&amp;"",tbl_Finance[Job Number],0)),""))</f>
        <v/>
      </c>
      <c r="G123" s="28">
        <f>IF(C123="","",COUNTIFS(tbl_Finance[Job Number],C123&amp;"",tbl_Finance[Ex GST],"&lt;&gt;"))</f>
        <v/>
      </c>
      <c r="H123" s="27">
        <f>IF(C123="","",SUMIFS(tbl_Finance[Ex GST],tbl_Finance[Job Number],C123&amp;""))</f>
        <v/>
      </c>
      <c r="I123" s="27">
        <f>IF(C123="","",SUMIFS(tbl_Finance[Ex GST],tbl_Finance[Job Number],C123&amp;"",tbl_Finance[Xero Invoice No],"&lt;&gt;"))</f>
        <v/>
      </c>
      <c r="J123" s="27">
        <f>IF(C123="","",H123-I123)</f>
        <v/>
      </c>
      <c r="K123" s="25">
        <f>IF(C123="","",IF(G123=0,"not invoiced yet",SUBSTITUTE(TRIM(IF(COUNTIFS(tbl_Finance[Job Number],C123&amp;"",tbl_Finance[Cost Centre],"ONSITE")&gt;0,"ONSITE ","")&amp;IF(COUNTIFS(tbl_Finance[Job Number],C123&amp;"",tbl_Finance[Cost Centre],"PRODUCTION")&gt;0,"PRODUCTION ","")&amp;IF(COUNTIFS(tbl_Finance[Job Number],C123&amp;"",tbl_Finance[Cost Centre],"VIDEO")&gt;0,"VIDEO ","")&amp;IF(COUNTIFS(tbl_Finance[Job Number],C123&amp;"",tbl_Finance[Cost Centre],"INTEGRATION")&gt;0,"INTEGRATION ","")&amp;IF(COUNTIFS(tbl_Finance[Job Number],C123&amp;"",tbl_Finance[Cost Centre],"CONSULTING")&gt;0,"CONSULTING ","")&amp;IF(COUNTIFS(tbl_Finance[Job Number],C123&amp;"",tbl_Finance[Cost Centre],"CTS")&gt;0,"CTS ",""))," ",", ")))</f>
        <v/>
      </c>
      <c r="L123" s="24" t="n"/>
      <c r="M123" s="25">
        <f>IF(L123="","",HYPERLINK(IF(LEFT(L123,4)="http",L123,set_QwilrBase&amp;L123),"Open quote"))</f>
        <v/>
      </c>
      <c r="N123" s="26" t="n"/>
      <c r="O123" s="26" t="n"/>
      <c r="P123" s="26" t="n"/>
      <c r="Q123" s="25">
        <f>IF(C123="","",IF(N(N123)+N(O123)+N(P123)=0,"Not split",IF(ROUND(N(N123)+N(O123)+N(P123),2)=ROUND(H123,2),"OK","MISMATCH")))</f>
        <v/>
      </c>
      <c r="R123" s="26" t="n"/>
      <c r="S123" s="26" t="n"/>
      <c r="T123" s="26" t="n"/>
      <c r="U123" s="27">
        <f>IF(C123="","",N(R123)+N(S123)+N(T123))</f>
        <v/>
      </c>
      <c r="V123" s="27">
        <f>IF(C123="","",H123-U123)</f>
        <v/>
      </c>
      <c r="W123" s="29">
        <f>IFERROR(V123/H123,"")</f>
        <v/>
      </c>
      <c r="X123" s="24" t="n"/>
    </row>
    <row r="124" ht="15" customHeight="1">
      <c r="A124" s="68">
        <f>IF(C124="","",IFERROR(IF(SUMPRODUCT(MAX((tbl_Finance[Job Number]=C124&amp;"")*(tbl_Finance[Xero Invoice No]&lt;&gt;"")*tbl_Finance[Date]))=0,"",SUMPRODUCT(MAX((tbl_Finance[Job Number]=C124&amp;"")*(tbl_Finance[Xero Invoice No]&lt;&gt;"")*tbl_Finance[Date]))),""))</f>
        <v/>
      </c>
      <c r="B124" s="25">
        <f>IF(C124="","",IF(COUNTIFS(tbl_Finance[Job Number],C124&amp;"",tbl_Finance[Xero Invoice No],"&lt;&gt;")=0,"",IFERROR(IF(COUNTIFS(tbl_Finance[Job Number],C124&amp;"",tbl_Finance[Xero Invoice No],LOOKUP(2,1/((tbl_Finance[Job Number]=C124&amp;"")*(tbl_Finance[Xero Invoice No]&lt;&gt;"")),tbl_Finance[Xero Invoice No]))=COUNTIFS(tbl_Finance[Job Number],C124&amp;"",tbl_Finance[Xero Invoice No],"&lt;&gt;"),LOOKUP(2,1/((tbl_Finance[Job Number]=C124&amp;"")*(tbl_Finance[Xero Invoice No]&lt;&gt;"")),tbl_Finance[Xero Invoice No]),LOOKUP(2,1/((tbl_Finance[Job Number]=C124&amp;"")*(tbl_Finance[Xero Invoice No]&lt;&gt;"")),tbl_Finance[Xero Invoice No])&amp;" +more"),"")))</f>
        <v/>
      </c>
      <c r="C124" s="24" t="n"/>
      <c r="D124" s="25">
        <f>IF(C124="","",IF(COUNTIF(lst_Jobs,C124&amp;"")&gt;0,"OK","CHECK"))</f>
        <v/>
      </c>
      <c r="E124" s="25">
        <f>IF(C124="","",IFERROR(INDEX(lst_JobName,MATCH(C124&amp;"",lst_Jobs,0)),""))</f>
        <v/>
      </c>
      <c r="F124" s="25">
        <f>IF(C124="","",IFERROR(INDEX(tbl_Finance[Client],MATCH(C124&amp;"",tbl_Finance[Job Number],0)),""))</f>
        <v/>
      </c>
      <c r="G124" s="28">
        <f>IF(C124="","",COUNTIFS(tbl_Finance[Job Number],C124&amp;"",tbl_Finance[Ex GST],"&lt;&gt;"))</f>
        <v/>
      </c>
      <c r="H124" s="27">
        <f>IF(C124="","",SUMIFS(tbl_Finance[Ex GST],tbl_Finance[Job Number],C124&amp;""))</f>
        <v/>
      </c>
      <c r="I124" s="27">
        <f>IF(C124="","",SUMIFS(tbl_Finance[Ex GST],tbl_Finance[Job Number],C124&amp;"",tbl_Finance[Xero Invoice No],"&lt;&gt;"))</f>
        <v/>
      </c>
      <c r="J124" s="27">
        <f>IF(C124="","",H124-I124)</f>
        <v/>
      </c>
      <c r="K124" s="25">
        <f>IF(C124="","",IF(G124=0,"not invoiced yet",SUBSTITUTE(TRIM(IF(COUNTIFS(tbl_Finance[Job Number],C124&amp;"",tbl_Finance[Cost Centre],"ONSITE")&gt;0,"ONSITE ","")&amp;IF(COUNTIFS(tbl_Finance[Job Number],C124&amp;"",tbl_Finance[Cost Centre],"PRODUCTION")&gt;0,"PRODUCTION ","")&amp;IF(COUNTIFS(tbl_Finance[Job Number],C124&amp;"",tbl_Finance[Cost Centre],"VIDEO")&gt;0,"VIDEO ","")&amp;IF(COUNTIFS(tbl_Finance[Job Number],C124&amp;"",tbl_Finance[Cost Centre],"INTEGRATION")&gt;0,"INTEGRATION ","")&amp;IF(COUNTIFS(tbl_Finance[Job Number],C124&amp;"",tbl_Finance[Cost Centre],"CONSULTING")&gt;0,"CONSULTING ","")&amp;IF(COUNTIFS(tbl_Finance[Job Number],C124&amp;"",tbl_Finance[Cost Centre],"CTS")&gt;0,"CTS ",""))," ",", ")))</f>
        <v/>
      </c>
      <c r="L124" s="24" t="n"/>
      <c r="M124" s="25">
        <f>IF(L124="","",HYPERLINK(IF(LEFT(L124,4)="http",L124,set_QwilrBase&amp;L124),"Open quote"))</f>
        <v/>
      </c>
      <c r="N124" s="26" t="n"/>
      <c r="O124" s="26" t="n"/>
      <c r="P124" s="26" t="n"/>
      <c r="Q124" s="25">
        <f>IF(C124="","",IF(N(N124)+N(O124)+N(P124)=0,"Not split",IF(ROUND(N(N124)+N(O124)+N(P124),2)=ROUND(H124,2),"OK","MISMATCH")))</f>
        <v/>
      </c>
      <c r="R124" s="26" t="n"/>
      <c r="S124" s="26" t="n"/>
      <c r="T124" s="26" t="n"/>
      <c r="U124" s="27">
        <f>IF(C124="","",N(R124)+N(S124)+N(T124))</f>
        <v/>
      </c>
      <c r="V124" s="27">
        <f>IF(C124="","",H124-U124)</f>
        <v/>
      </c>
      <c r="W124" s="29">
        <f>IFERROR(V124/H124,"")</f>
        <v/>
      </c>
      <c r="X124" s="24" t="n"/>
    </row>
    <row r="125" ht="15" customHeight="1">
      <c r="A125" s="68">
        <f>IF(C125="","",IFERROR(IF(SUMPRODUCT(MAX((tbl_Finance[Job Number]=C125&amp;"")*(tbl_Finance[Xero Invoice No]&lt;&gt;"")*tbl_Finance[Date]))=0,"",SUMPRODUCT(MAX((tbl_Finance[Job Number]=C125&amp;"")*(tbl_Finance[Xero Invoice No]&lt;&gt;"")*tbl_Finance[Date]))),""))</f>
        <v/>
      </c>
      <c r="B125" s="25">
        <f>IF(C125="","",IF(COUNTIFS(tbl_Finance[Job Number],C125&amp;"",tbl_Finance[Xero Invoice No],"&lt;&gt;")=0,"",IFERROR(IF(COUNTIFS(tbl_Finance[Job Number],C125&amp;"",tbl_Finance[Xero Invoice No],LOOKUP(2,1/((tbl_Finance[Job Number]=C125&amp;"")*(tbl_Finance[Xero Invoice No]&lt;&gt;"")),tbl_Finance[Xero Invoice No]))=COUNTIFS(tbl_Finance[Job Number],C125&amp;"",tbl_Finance[Xero Invoice No],"&lt;&gt;"),LOOKUP(2,1/((tbl_Finance[Job Number]=C125&amp;"")*(tbl_Finance[Xero Invoice No]&lt;&gt;"")),tbl_Finance[Xero Invoice No]),LOOKUP(2,1/((tbl_Finance[Job Number]=C125&amp;"")*(tbl_Finance[Xero Invoice No]&lt;&gt;"")),tbl_Finance[Xero Invoice No])&amp;" +more"),"")))</f>
        <v/>
      </c>
      <c r="C125" s="24" t="n"/>
      <c r="D125" s="25">
        <f>IF(C125="","",IF(COUNTIF(lst_Jobs,C125&amp;"")&gt;0,"OK","CHECK"))</f>
        <v/>
      </c>
      <c r="E125" s="25">
        <f>IF(C125="","",IFERROR(INDEX(lst_JobName,MATCH(C125&amp;"",lst_Jobs,0)),""))</f>
        <v/>
      </c>
      <c r="F125" s="25">
        <f>IF(C125="","",IFERROR(INDEX(tbl_Finance[Client],MATCH(C125&amp;"",tbl_Finance[Job Number],0)),""))</f>
        <v/>
      </c>
      <c r="G125" s="28">
        <f>IF(C125="","",COUNTIFS(tbl_Finance[Job Number],C125&amp;"",tbl_Finance[Ex GST],"&lt;&gt;"))</f>
        <v/>
      </c>
      <c r="H125" s="27">
        <f>IF(C125="","",SUMIFS(tbl_Finance[Ex GST],tbl_Finance[Job Number],C125&amp;""))</f>
        <v/>
      </c>
      <c r="I125" s="27">
        <f>IF(C125="","",SUMIFS(tbl_Finance[Ex GST],tbl_Finance[Job Number],C125&amp;"",tbl_Finance[Xero Invoice No],"&lt;&gt;"))</f>
        <v/>
      </c>
      <c r="J125" s="27">
        <f>IF(C125="","",H125-I125)</f>
        <v/>
      </c>
      <c r="K125" s="25">
        <f>IF(C125="","",IF(G125=0,"not invoiced yet",SUBSTITUTE(TRIM(IF(COUNTIFS(tbl_Finance[Job Number],C125&amp;"",tbl_Finance[Cost Centre],"ONSITE")&gt;0,"ONSITE ","")&amp;IF(COUNTIFS(tbl_Finance[Job Number],C125&amp;"",tbl_Finance[Cost Centre],"PRODUCTION")&gt;0,"PRODUCTION ","")&amp;IF(COUNTIFS(tbl_Finance[Job Number],C125&amp;"",tbl_Finance[Cost Centre],"VIDEO")&gt;0,"VIDEO ","")&amp;IF(COUNTIFS(tbl_Finance[Job Number],C125&amp;"",tbl_Finance[Cost Centre],"INTEGRATION")&gt;0,"INTEGRATION ","")&amp;IF(COUNTIFS(tbl_Finance[Job Number],C125&amp;"",tbl_Finance[Cost Centre],"CONSULTING")&gt;0,"CONSULTING ","")&amp;IF(COUNTIFS(tbl_Finance[Job Number],C125&amp;"",tbl_Finance[Cost Centre],"CTS")&gt;0,"CTS ",""))," ",", ")))</f>
        <v/>
      </c>
      <c r="L125" s="24" t="n"/>
      <c r="M125" s="25">
        <f>IF(L125="","",HYPERLINK(IF(LEFT(L125,4)="http",L125,set_QwilrBase&amp;L125),"Open quote"))</f>
        <v/>
      </c>
      <c r="N125" s="26" t="n"/>
      <c r="O125" s="26" t="n"/>
      <c r="P125" s="26" t="n"/>
      <c r="Q125" s="25">
        <f>IF(C125="","",IF(N(N125)+N(O125)+N(P125)=0,"Not split",IF(ROUND(N(N125)+N(O125)+N(P125),2)=ROUND(H125,2),"OK","MISMATCH")))</f>
        <v/>
      </c>
      <c r="R125" s="26" t="n"/>
      <c r="S125" s="26" t="n"/>
      <c r="T125" s="26" t="n"/>
      <c r="U125" s="27">
        <f>IF(C125="","",N(R125)+N(S125)+N(T125))</f>
        <v/>
      </c>
      <c r="V125" s="27">
        <f>IF(C125="","",H125-U125)</f>
        <v/>
      </c>
      <c r="W125" s="29">
        <f>IFERROR(V125/H125,"")</f>
        <v/>
      </c>
      <c r="X125" s="24" t="n"/>
    </row>
    <row r="126" ht="15" customHeight="1">
      <c r="A126" s="68">
        <f>IF(C126="","",IFERROR(IF(SUMPRODUCT(MAX((tbl_Finance[Job Number]=C126&amp;"")*(tbl_Finance[Xero Invoice No]&lt;&gt;"")*tbl_Finance[Date]))=0,"",SUMPRODUCT(MAX((tbl_Finance[Job Number]=C126&amp;"")*(tbl_Finance[Xero Invoice No]&lt;&gt;"")*tbl_Finance[Date]))),""))</f>
        <v/>
      </c>
      <c r="B126" s="25">
        <f>IF(C126="","",IF(COUNTIFS(tbl_Finance[Job Number],C126&amp;"",tbl_Finance[Xero Invoice No],"&lt;&gt;")=0,"",IFERROR(IF(COUNTIFS(tbl_Finance[Job Number],C126&amp;"",tbl_Finance[Xero Invoice No],LOOKUP(2,1/((tbl_Finance[Job Number]=C126&amp;"")*(tbl_Finance[Xero Invoice No]&lt;&gt;"")),tbl_Finance[Xero Invoice No]))=COUNTIFS(tbl_Finance[Job Number],C126&amp;"",tbl_Finance[Xero Invoice No],"&lt;&gt;"),LOOKUP(2,1/((tbl_Finance[Job Number]=C126&amp;"")*(tbl_Finance[Xero Invoice No]&lt;&gt;"")),tbl_Finance[Xero Invoice No]),LOOKUP(2,1/((tbl_Finance[Job Number]=C126&amp;"")*(tbl_Finance[Xero Invoice No]&lt;&gt;"")),tbl_Finance[Xero Invoice No])&amp;" +more"),"")))</f>
        <v/>
      </c>
      <c r="C126" s="24" t="n"/>
      <c r="D126" s="25">
        <f>IF(C126="","",IF(COUNTIF(lst_Jobs,C126&amp;"")&gt;0,"OK","CHECK"))</f>
        <v/>
      </c>
      <c r="E126" s="25">
        <f>IF(C126="","",IFERROR(INDEX(lst_JobName,MATCH(C126&amp;"",lst_Jobs,0)),""))</f>
        <v/>
      </c>
      <c r="F126" s="25">
        <f>IF(C126="","",IFERROR(INDEX(tbl_Finance[Client],MATCH(C126&amp;"",tbl_Finance[Job Number],0)),""))</f>
        <v/>
      </c>
      <c r="G126" s="28">
        <f>IF(C126="","",COUNTIFS(tbl_Finance[Job Number],C126&amp;"",tbl_Finance[Ex GST],"&lt;&gt;"))</f>
        <v/>
      </c>
      <c r="H126" s="27">
        <f>IF(C126="","",SUMIFS(tbl_Finance[Ex GST],tbl_Finance[Job Number],C126&amp;""))</f>
        <v/>
      </c>
      <c r="I126" s="27">
        <f>IF(C126="","",SUMIFS(tbl_Finance[Ex GST],tbl_Finance[Job Number],C126&amp;"",tbl_Finance[Xero Invoice No],"&lt;&gt;"))</f>
        <v/>
      </c>
      <c r="J126" s="27">
        <f>IF(C126="","",H126-I126)</f>
        <v/>
      </c>
      <c r="K126" s="25">
        <f>IF(C126="","",IF(G126=0,"not invoiced yet",SUBSTITUTE(TRIM(IF(COUNTIFS(tbl_Finance[Job Number],C126&amp;"",tbl_Finance[Cost Centre],"ONSITE")&gt;0,"ONSITE ","")&amp;IF(COUNTIFS(tbl_Finance[Job Number],C126&amp;"",tbl_Finance[Cost Centre],"PRODUCTION")&gt;0,"PRODUCTION ","")&amp;IF(COUNTIFS(tbl_Finance[Job Number],C126&amp;"",tbl_Finance[Cost Centre],"VIDEO")&gt;0,"VIDEO ","")&amp;IF(COUNTIFS(tbl_Finance[Job Number],C126&amp;"",tbl_Finance[Cost Centre],"INTEGRATION")&gt;0,"INTEGRATION ","")&amp;IF(COUNTIFS(tbl_Finance[Job Number],C126&amp;"",tbl_Finance[Cost Centre],"CONSULTING")&gt;0,"CONSULTING ","")&amp;IF(COUNTIFS(tbl_Finance[Job Number],C126&amp;"",tbl_Finance[Cost Centre],"CTS")&gt;0,"CTS ",""))," ",", ")))</f>
        <v/>
      </c>
      <c r="L126" s="24" t="n"/>
      <c r="M126" s="25">
        <f>IF(L126="","",HYPERLINK(IF(LEFT(L126,4)="http",L126,set_QwilrBase&amp;L126),"Open quote"))</f>
        <v/>
      </c>
      <c r="N126" s="26" t="n"/>
      <c r="O126" s="26" t="n"/>
      <c r="P126" s="26" t="n"/>
      <c r="Q126" s="25">
        <f>IF(C126="","",IF(N(N126)+N(O126)+N(P126)=0,"Not split",IF(ROUND(N(N126)+N(O126)+N(P126),2)=ROUND(H126,2),"OK","MISMATCH")))</f>
        <v/>
      </c>
      <c r="R126" s="26" t="n"/>
      <c r="S126" s="26" t="n"/>
      <c r="T126" s="26" t="n"/>
      <c r="U126" s="27">
        <f>IF(C126="","",N(R126)+N(S126)+N(T126))</f>
        <v/>
      </c>
      <c r="V126" s="27">
        <f>IF(C126="","",H126-U126)</f>
        <v/>
      </c>
      <c r="W126" s="29">
        <f>IFERROR(V126/H126,"")</f>
        <v/>
      </c>
      <c r="X126" s="24" t="n"/>
    </row>
    <row r="127" ht="15" customHeight="1">
      <c r="A127" s="68">
        <f>IF(C127="","",IFERROR(IF(SUMPRODUCT(MAX((tbl_Finance[Job Number]=C127&amp;"")*(tbl_Finance[Xero Invoice No]&lt;&gt;"")*tbl_Finance[Date]))=0,"",SUMPRODUCT(MAX((tbl_Finance[Job Number]=C127&amp;"")*(tbl_Finance[Xero Invoice No]&lt;&gt;"")*tbl_Finance[Date]))),""))</f>
        <v/>
      </c>
      <c r="B127" s="25">
        <f>IF(C127="","",IF(COUNTIFS(tbl_Finance[Job Number],C127&amp;"",tbl_Finance[Xero Invoice No],"&lt;&gt;")=0,"",IFERROR(IF(COUNTIFS(tbl_Finance[Job Number],C127&amp;"",tbl_Finance[Xero Invoice No],LOOKUP(2,1/((tbl_Finance[Job Number]=C127&amp;"")*(tbl_Finance[Xero Invoice No]&lt;&gt;"")),tbl_Finance[Xero Invoice No]))=COUNTIFS(tbl_Finance[Job Number],C127&amp;"",tbl_Finance[Xero Invoice No],"&lt;&gt;"),LOOKUP(2,1/((tbl_Finance[Job Number]=C127&amp;"")*(tbl_Finance[Xero Invoice No]&lt;&gt;"")),tbl_Finance[Xero Invoice No]),LOOKUP(2,1/((tbl_Finance[Job Number]=C127&amp;"")*(tbl_Finance[Xero Invoice No]&lt;&gt;"")),tbl_Finance[Xero Invoice No])&amp;" +more"),"")))</f>
        <v/>
      </c>
      <c r="C127" s="24" t="n"/>
      <c r="D127" s="25">
        <f>IF(C127="","",IF(COUNTIF(lst_Jobs,C127&amp;"")&gt;0,"OK","CHECK"))</f>
        <v/>
      </c>
      <c r="E127" s="25">
        <f>IF(C127="","",IFERROR(INDEX(lst_JobName,MATCH(C127&amp;"",lst_Jobs,0)),""))</f>
        <v/>
      </c>
      <c r="F127" s="25">
        <f>IF(C127="","",IFERROR(INDEX(tbl_Finance[Client],MATCH(C127&amp;"",tbl_Finance[Job Number],0)),""))</f>
        <v/>
      </c>
      <c r="G127" s="28">
        <f>IF(C127="","",COUNTIFS(tbl_Finance[Job Number],C127&amp;"",tbl_Finance[Ex GST],"&lt;&gt;"))</f>
        <v/>
      </c>
      <c r="H127" s="27">
        <f>IF(C127="","",SUMIFS(tbl_Finance[Ex GST],tbl_Finance[Job Number],C127&amp;""))</f>
        <v/>
      </c>
      <c r="I127" s="27">
        <f>IF(C127="","",SUMIFS(tbl_Finance[Ex GST],tbl_Finance[Job Number],C127&amp;"",tbl_Finance[Xero Invoice No],"&lt;&gt;"))</f>
        <v/>
      </c>
      <c r="J127" s="27">
        <f>IF(C127="","",H127-I127)</f>
        <v/>
      </c>
      <c r="K127" s="25">
        <f>IF(C127="","",IF(G127=0,"not invoiced yet",SUBSTITUTE(TRIM(IF(COUNTIFS(tbl_Finance[Job Number],C127&amp;"",tbl_Finance[Cost Centre],"ONSITE")&gt;0,"ONSITE ","")&amp;IF(COUNTIFS(tbl_Finance[Job Number],C127&amp;"",tbl_Finance[Cost Centre],"PRODUCTION")&gt;0,"PRODUCTION ","")&amp;IF(COUNTIFS(tbl_Finance[Job Number],C127&amp;"",tbl_Finance[Cost Centre],"VIDEO")&gt;0,"VIDEO ","")&amp;IF(COUNTIFS(tbl_Finance[Job Number],C127&amp;"",tbl_Finance[Cost Centre],"INTEGRATION")&gt;0,"INTEGRATION ","")&amp;IF(COUNTIFS(tbl_Finance[Job Number],C127&amp;"",tbl_Finance[Cost Centre],"CONSULTING")&gt;0,"CONSULTING ","")&amp;IF(COUNTIFS(tbl_Finance[Job Number],C127&amp;"",tbl_Finance[Cost Centre],"CTS")&gt;0,"CTS ",""))," ",", ")))</f>
        <v/>
      </c>
      <c r="L127" s="24" t="n"/>
      <c r="M127" s="25">
        <f>IF(L127="","",HYPERLINK(IF(LEFT(L127,4)="http",L127,set_QwilrBase&amp;L127),"Open quote"))</f>
        <v/>
      </c>
      <c r="N127" s="26" t="n"/>
      <c r="O127" s="26" t="n"/>
      <c r="P127" s="26" t="n"/>
      <c r="Q127" s="25">
        <f>IF(C127="","",IF(N(N127)+N(O127)+N(P127)=0,"Not split",IF(ROUND(N(N127)+N(O127)+N(P127),2)=ROUND(H127,2),"OK","MISMATCH")))</f>
        <v/>
      </c>
      <c r="R127" s="26" t="n"/>
      <c r="S127" s="26" t="n"/>
      <c r="T127" s="26" t="n"/>
      <c r="U127" s="27">
        <f>IF(C127="","",N(R127)+N(S127)+N(T127))</f>
        <v/>
      </c>
      <c r="V127" s="27">
        <f>IF(C127="","",H127-U127)</f>
        <v/>
      </c>
      <c r="W127" s="29">
        <f>IFERROR(V127/H127,"")</f>
        <v/>
      </c>
      <c r="X127" s="24" t="n"/>
    </row>
    <row r="128" ht="15" customHeight="1">
      <c r="A128" s="68">
        <f>IF(C128="","",IFERROR(IF(SUMPRODUCT(MAX((tbl_Finance[Job Number]=C128&amp;"")*(tbl_Finance[Xero Invoice No]&lt;&gt;"")*tbl_Finance[Date]))=0,"",SUMPRODUCT(MAX((tbl_Finance[Job Number]=C128&amp;"")*(tbl_Finance[Xero Invoice No]&lt;&gt;"")*tbl_Finance[Date]))),""))</f>
        <v/>
      </c>
      <c r="B128" s="25">
        <f>IF(C128="","",IF(COUNTIFS(tbl_Finance[Job Number],C128&amp;"",tbl_Finance[Xero Invoice No],"&lt;&gt;")=0,"",IFERROR(IF(COUNTIFS(tbl_Finance[Job Number],C128&amp;"",tbl_Finance[Xero Invoice No],LOOKUP(2,1/((tbl_Finance[Job Number]=C128&amp;"")*(tbl_Finance[Xero Invoice No]&lt;&gt;"")),tbl_Finance[Xero Invoice No]))=COUNTIFS(tbl_Finance[Job Number],C128&amp;"",tbl_Finance[Xero Invoice No],"&lt;&gt;"),LOOKUP(2,1/((tbl_Finance[Job Number]=C128&amp;"")*(tbl_Finance[Xero Invoice No]&lt;&gt;"")),tbl_Finance[Xero Invoice No]),LOOKUP(2,1/((tbl_Finance[Job Number]=C128&amp;"")*(tbl_Finance[Xero Invoice No]&lt;&gt;"")),tbl_Finance[Xero Invoice No])&amp;" +more"),"")))</f>
        <v/>
      </c>
      <c r="C128" s="24" t="n"/>
      <c r="D128" s="25">
        <f>IF(C128="","",IF(COUNTIF(lst_Jobs,C128&amp;"")&gt;0,"OK","CHECK"))</f>
        <v/>
      </c>
      <c r="E128" s="25">
        <f>IF(C128="","",IFERROR(INDEX(lst_JobName,MATCH(C128&amp;"",lst_Jobs,0)),""))</f>
        <v/>
      </c>
      <c r="F128" s="25">
        <f>IF(C128="","",IFERROR(INDEX(tbl_Finance[Client],MATCH(C128&amp;"",tbl_Finance[Job Number],0)),""))</f>
        <v/>
      </c>
      <c r="G128" s="28">
        <f>IF(C128="","",COUNTIFS(tbl_Finance[Job Number],C128&amp;"",tbl_Finance[Ex GST],"&lt;&gt;"))</f>
        <v/>
      </c>
      <c r="H128" s="27">
        <f>IF(C128="","",SUMIFS(tbl_Finance[Ex GST],tbl_Finance[Job Number],C128&amp;""))</f>
        <v/>
      </c>
      <c r="I128" s="27">
        <f>IF(C128="","",SUMIFS(tbl_Finance[Ex GST],tbl_Finance[Job Number],C128&amp;"",tbl_Finance[Xero Invoice No],"&lt;&gt;"))</f>
        <v/>
      </c>
      <c r="J128" s="27">
        <f>IF(C128="","",H128-I128)</f>
        <v/>
      </c>
      <c r="K128" s="25">
        <f>IF(C128="","",IF(G128=0,"not invoiced yet",SUBSTITUTE(TRIM(IF(COUNTIFS(tbl_Finance[Job Number],C128&amp;"",tbl_Finance[Cost Centre],"ONSITE")&gt;0,"ONSITE ","")&amp;IF(COUNTIFS(tbl_Finance[Job Number],C128&amp;"",tbl_Finance[Cost Centre],"PRODUCTION")&gt;0,"PRODUCTION ","")&amp;IF(COUNTIFS(tbl_Finance[Job Number],C128&amp;"",tbl_Finance[Cost Centre],"VIDEO")&gt;0,"VIDEO ","")&amp;IF(COUNTIFS(tbl_Finance[Job Number],C128&amp;"",tbl_Finance[Cost Centre],"INTEGRATION")&gt;0,"INTEGRATION ","")&amp;IF(COUNTIFS(tbl_Finance[Job Number],C128&amp;"",tbl_Finance[Cost Centre],"CONSULTING")&gt;0,"CONSULTING ","")&amp;IF(COUNTIFS(tbl_Finance[Job Number],C128&amp;"",tbl_Finance[Cost Centre],"CTS")&gt;0,"CTS ",""))," ",", ")))</f>
        <v/>
      </c>
      <c r="L128" s="24" t="n"/>
      <c r="M128" s="25">
        <f>IF(L128="","",HYPERLINK(IF(LEFT(L128,4)="http",L128,set_QwilrBase&amp;L128),"Open quote"))</f>
        <v/>
      </c>
      <c r="N128" s="26" t="n"/>
      <c r="O128" s="26" t="n"/>
      <c r="P128" s="26" t="n"/>
      <c r="Q128" s="25">
        <f>IF(C128="","",IF(N(N128)+N(O128)+N(P128)=0,"Not split",IF(ROUND(N(N128)+N(O128)+N(P128),2)=ROUND(H128,2),"OK","MISMATCH")))</f>
        <v/>
      </c>
      <c r="R128" s="26" t="n"/>
      <c r="S128" s="26" t="n"/>
      <c r="T128" s="26" t="n"/>
      <c r="U128" s="27">
        <f>IF(C128="","",N(R128)+N(S128)+N(T128))</f>
        <v/>
      </c>
      <c r="V128" s="27">
        <f>IF(C128="","",H128-U128)</f>
        <v/>
      </c>
      <c r="W128" s="29">
        <f>IFERROR(V128/H128,"")</f>
        <v/>
      </c>
      <c r="X128" s="24" t="n"/>
    </row>
    <row r="129" ht="15" customHeight="1">
      <c r="A129" s="68">
        <f>IF(C129="","",IFERROR(IF(SUMPRODUCT(MAX((tbl_Finance[Job Number]=C129&amp;"")*(tbl_Finance[Xero Invoice No]&lt;&gt;"")*tbl_Finance[Date]))=0,"",SUMPRODUCT(MAX((tbl_Finance[Job Number]=C129&amp;"")*(tbl_Finance[Xero Invoice No]&lt;&gt;"")*tbl_Finance[Date]))),""))</f>
        <v/>
      </c>
      <c r="B129" s="25">
        <f>IF(C129="","",IF(COUNTIFS(tbl_Finance[Job Number],C129&amp;"",tbl_Finance[Xero Invoice No],"&lt;&gt;")=0,"",IFERROR(IF(COUNTIFS(tbl_Finance[Job Number],C129&amp;"",tbl_Finance[Xero Invoice No],LOOKUP(2,1/((tbl_Finance[Job Number]=C129&amp;"")*(tbl_Finance[Xero Invoice No]&lt;&gt;"")),tbl_Finance[Xero Invoice No]))=COUNTIFS(tbl_Finance[Job Number],C129&amp;"",tbl_Finance[Xero Invoice No],"&lt;&gt;"),LOOKUP(2,1/((tbl_Finance[Job Number]=C129&amp;"")*(tbl_Finance[Xero Invoice No]&lt;&gt;"")),tbl_Finance[Xero Invoice No]),LOOKUP(2,1/((tbl_Finance[Job Number]=C129&amp;"")*(tbl_Finance[Xero Invoice No]&lt;&gt;"")),tbl_Finance[Xero Invoice No])&amp;" +more"),"")))</f>
        <v/>
      </c>
      <c r="C129" s="24" t="n"/>
      <c r="D129" s="25">
        <f>IF(C129="","",IF(COUNTIF(lst_Jobs,C129&amp;"")&gt;0,"OK","CHECK"))</f>
        <v/>
      </c>
      <c r="E129" s="25">
        <f>IF(C129="","",IFERROR(INDEX(lst_JobName,MATCH(C129&amp;"",lst_Jobs,0)),""))</f>
        <v/>
      </c>
      <c r="F129" s="25">
        <f>IF(C129="","",IFERROR(INDEX(tbl_Finance[Client],MATCH(C129&amp;"",tbl_Finance[Job Number],0)),""))</f>
        <v/>
      </c>
      <c r="G129" s="28">
        <f>IF(C129="","",COUNTIFS(tbl_Finance[Job Number],C129&amp;"",tbl_Finance[Ex GST],"&lt;&gt;"))</f>
        <v/>
      </c>
      <c r="H129" s="27">
        <f>IF(C129="","",SUMIFS(tbl_Finance[Ex GST],tbl_Finance[Job Number],C129&amp;""))</f>
        <v/>
      </c>
      <c r="I129" s="27">
        <f>IF(C129="","",SUMIFS(tbl_Finance[Ex GST],tbl_Finance[Job Number],C129&amp;"",tbl_Finance[Xero Invoice No],"&lt;&gt;"))</f>
        <v/>
      </c>
      <c r="J129" s="27">
        <f>IF(C129="","",H129-I129)</f>
        <v/>
      </c>
      <c r="K129" s="25">
        <f>IF(C129="","",IF(G129=0,"not invoiced yet",SUBSTITUTE(TRIM(IF(COUNTIFS(tbl_Finance[Job Number],C129&amp;"",tbl_Finance[Cost Centre],"ONSITE")&gt;0,"ONSITE ","")&amp;IF(COUNTIFS(tbl_Finance[Job Number],C129&amp;"",tbl_Finance[Cost Centre],"PRODUCTION")&gt;0,"PRODUCTION ","")&amp;IF(COUNTIFS(tbl_Finance[Job Number],C129&amp;"",tbl_Finance[Cost Centre],"VIDEO")&gt;0,"VIDEO ","")&amp;IF(COUNTIFS(tbl_Finance[Job Number],C129&amp;"",tbl_Finance[Cost Centre],"INTEGRATION")&gt;0,"INTEGRATION ","")&amp;IF(COUNTIFS(tbl_Finance[Job Number],C129&amp;"",tbl_Finance[Cost Centre],"CONSULTING")&gt;0,"CONSULTING ","")&amp;IF(COUNTIFS(tbl_Finance[Job Number],C129&amp;"",tbl_Finance[Cost Centre],"CTS")&gt;0,"CTS ",""))," ",", ")))</f>
        <v/>
      </c>
      <c r="L129" s="24" t="n"/>
      <c r="M129" s="25">
        <f>IF(L129="","",HYPERLINK(IF(LEFT(L129,4)="http",L129,set_QwilrBase&amp;L129),"Open quote"))</f>
        <v/>
      </c>
      <c r="N129" s="26" t="n"/>
      <c r="O129" s="26" t="n"/>
      <c r="P129" s="26" t="n"/>
      <c r="Q129" s="25">
        <f>IF(C129="","",IF(N(N129)+N(O129)+N(P129)=0,"Not split",IF(ROUND(N(N129)+N(O129)+N(P129),2)=ROUND(H129,2),"OK","MISMATCH")))</f>
        <v/>
      </c>
      <c r="R129" s="26" t="n"/>
      <c r="S129" s="26" t="n"/>
      <c r="T129" s="26" t="n"/>
      <c r="U129" s="27">
        <f>IF(C129="","",N(R129)+N(S129)+N(T129))</f>
        <v/>
      </c>
      <c r="V129" s="27">
        <f>IF(C129="","",H129-U129)</f>
        <v/>
      </c>
      <c r="W129" s="29">
        <f>IFERROR(V129/H129,"")</f>
        <v/>
      </c>
      <c r="X129" s="24" t="n"/>
    </row>
    <row r="130" ht="15" customHeight="1">
      <c r="A130" s="68">
        <f>IF(C130="","",IFERROR(IF(SUMPRODUCT(MAX((tbl_Finance[Job Number]=C130&amp;"")*(tbl_Finance[Xero Invoice No]&lt;&gt;"")*tbl_Finance[Date]))=0,"",SUMPRODUCT(MAX((tbl_Finance[Job Number]=C130&amp;"")*(tbl_Finance[Xero Invoice No]&lt;&gt;"")*tbl_Finance[Date]))),""))</f>
        <v/>
      </c>
      <c r="B130" s="25">
        <f>IF(C130="","",IF(COUNTIFS(tbl_Finance[Job Number],C130&amp;"",tbl_Finance[Xero Invoice No],"&lt;&gt;")=0,"",IFERROR(IF(COUNTIFS(tbl_Finance[Job Number],C130&amp;"",tbl_Finance[Xero Invoice No],LOOKUP(2,1/((tbl_Finance[Job Number]=C130&amp;"")*(tbl_Finance[Xero Invoice No]&lt;&gt;"")),tbl_Finance[Xero Invoice No]))=COUNTIFS(tbl_Finance[Job Number],C130&amp;"",tbl_Finance[Xero Invoice No],"&lt;&gt;"),LOOKUP(2,1/((tbl_Finance[Job Number]=C130&amp;"")*(tbl_Finance[Xero Invoice No]&lt;&gt;"")),tbl_Finance[Xero Invoice No]),LOOKUP(2,1/((tbl_Finance[Job Number]=C130&amp;"")*(tbl_Finance[Xero Invoice No]&lt;&gt;"")),tbl_Finance[Xero Invoice No])&amp;" +more"),"")))</f>
        <v/>
      </c>
      <c r="C130" s="24" t="n"/>
      <c r="D130" s="25">
        <f>IF(C130="","",IF(COUNTIF(lst_Jobs,C130&amp;"")&gt;0,"OK","CHECK"))</f>
        <v/>
      </c>
      <c r="E130" s="25">
        <f>IF(C130="","",IFERROR(INDEX(lst_JobName,MATCH(C130&amp;"",lst_Jobs,0)),""))</f>
        <v/>
      </c>
      <c r="F130" s="25">
        <f>IF(C130="","",IFERROR(INDEX(tbl_Finance[Client],MATCH(C130&amp;"",tbl_Finance[Job Number],0)),""))</f>
        <v/>
      </c>
      <c r="G130" s="28">
        <f>IF(C130="","",COUNTIFS(tbl_Finance[Job Number],C130&amp;"",tbl_Finance[Ex GST],"&lt;&gt;"))</f>
        <v/>
      </c>
      <c r="H130" s="27">
        <f>IF(C130="","",SUMIFS(tbl_Finance[Ex GST],tbl_Finance[Job Number],C130&amp;""))</f>
        <v/>
      </c>
      <c r="I130" s="27">
        <f>IF(C130="","",SUMIFS(tbl_Finance[Ex GST],tbl_Finance[Job Number],C130&amp;"",tbl_Finance[Xero Invoice No],"&lt;&gt;"))</f>
        <v/>
      </c>
      <c r="J130" s="27">
        <f>IF(C130="","",H130-I130)</f>
        <v/>
      </c>
      <c r="K130" s="25">
        <f>IF(C130="","",IF(G130=0,"not invoiced yet",SUBSTITUTE(TRIM(IF(COUNTIFS(tbl_Finance[Job Number],C130&amp;"",tbl_Finance[Cost Centre],"ONSITE")&gt;0,"ONSITE ","")&amp;IF(COUNTIFS(tbl_Finance[Job Number],C130&amp;"",tbl_Finance[Cost Centre],"PRODUCTION")&gt;0,"PRODUCTION ","")&amp;IF(COUNTIFS(tbl_Finance[Job Number],C130&amp;"",tbl_Finance[Cost Centre],"VIDEO")&gt;0,"VIDEO ","")&amp;IF(COUNTIFS(tbl_Finance[Job Number],C130&amp;"",tbl_Finance[Cost Centre],"INTEGRATION")&gt;0,"INTEGRATION ","")&amp;IF(COUNTIFS(tbl_Finance[Job Number],C130&amp;"",tbl_Finance[Cost Centre],"CONSULTING")&gt;0,"CONSULTING ","")&amp;IF(COUNTIFS(tbl_Finance[Job Number],C130&amp;"",tbl_Finance[Cost Centre],"CTS")&gt;0,"CTS ",""))," ",", ")))</f>
        <v/>
      </c>
      <c r="L130" s="24" t="n"/>
      <c r="M130" s="25">
        <f>IF(L130="","",HYPERLINK(IF(LEFT(L130,4)="http",L130,set_QwilrBase&amp;L130),"Open quote"))</f>
        <v/>
      </c>
      <c r="N130" s="26" t="n"/>
      <c r="O130" s="26" t="n"/>
      <c r="P130" s="26" t="n"/>
      <c r="Q130" s="25">
        <f>IF(C130="","",IF(N(N130)+N(O130)+N(P130)=0,"Not split",IF(ROUND(N(N130)+N(O130)+N(P130),2)=ROUND(H130,2),"OK","MISMATCH")))</f>
        <v/>
      </c>
      <c r="R130" s="26" t="n"/>
      <c r="S130" s="26" t="n"/>
      <c r="T130" s="26" t="n"/>
      <c r="U130" s="27">
        <f>IF(C130="","",N(R130)+N(S130)+N(T130))</f>
        <v/>
      </c>
      <c r="V130" s="27">
        <f>IF(C130="","",H130-U130)</f>
        <v/>
      </c>
      <c r="W130" s="29">
        <f>IFERROR(V130/H130,"")</f>
        <v/>
      </c>
      <c r="X130" s="24" t="n"/>
    </row>
    <row r="131" ht="15" customHeight="1">
      <c r="A131" s="68">
        <f>IF(C131="","",IFERROR(IF(SUMPRODUCT(MAX((tbl_Finance[Job Number]=C131&amp;"")*(tbl_Finance[Xero Invoice No]&lt;&gt;"")*tbl_Finance[Date]))=0,"",SUMPRODUCT(MAX((tbl_Finance[Job Number]=C131&amp;"")*(tbl_Finance[Xero Invoice No]&lt;&gt;"")*tbl_Finance[Date]))),""))</f>
        <v/>
      </c>
      <c r="B131" s="25">
        <f>IF(C131="","",IF(COUNTIFS(tbl_Finance[Job Number],C131&amp;"",tbl_Finance[Xero Invoice No],"&lt;&gt;")=0,"",IFERROR(IF(COUNTIFS(tbl_Finance[Job Number],C131&amp;"",tbl_Finance[Xero Invoice No],LOOKUP(2,1/((tbl_Finance[Job Number]=C131&amp;"")*(tbl_Finance[Xero Invoice No]&lt;&gt;"")),tbl_Finance[Xero Invoice No]))=COUNTIFS(tbl_Finance[Job Number],C131&amp;"",tbl_Finance[Xero Invoice No],"&lt;&gt;"),LOOKUP(2,1/((tbl_Finance[Job Number]=C131&amp;"")*(tbl_Finance[Xero Invoice No]&lt;&gt;"")),tbl_Finance[Xero Invoice No]),LOOKUP(2,1/((tbl_Finance[Job Number]=C131&amp;"")*(tbl_Finance[Xero Invoice No]&lt;&gt;"")),tbl_Finance[Xero Invoice No])&amp;" +more"),"")))</f>
        <v/>
      </c>
      <c r="C131" s="24" t="n"/>
      <c r="D131" s="25">
        <f>IF(C131="","",IF(COUNTIF(lst_Jobs,C131&amp;"")&gt;0,"OK","CHECK"))</f>
        <v/>
      </c>
      <c r="E131" s="25">
        <f>IF(C131="","",IFERROR(INDEX(lst_JobName,MATCH(C131&amp;"",lst_Jobs,0)),""))</f>
        <v/>
      </c>
      <c r="F131" s="25">
        <f>IF(C131="","",IFERROR(INDEX(tbl_Finance[Client],MATCH(C131&amp;"",tbl_Finance[Job Number],0)),""))</f>
        <v/>
      </c>
      <c r="G131" s="28">
        <f>IF(C131="","",COUNTIFS(tbl_Finance[Job Number],C131&amp;"",tbl_Finance[Ex GST],"&lt;&gt;"))</f>
        <v/>
      </c>
      <c r="H131" s="27">
        <f>IF(C131="","",SUMIFS(tbl_Finance[Ex GST],tbl_Finance[Job Number],C131&amp;""))</f>
        <v/>
      </c>
      <c r="I131" s="27">
        <f>IF(C131="","",SUMIFS(tbl_Finance[Ex GST],tbl_Finance[Job Number],C131&amp;"",tbl_Finance[Xero Invoice No],"&lt;&gt;"))</f>
        <v/>
      </c>
      <c r="J131" s="27">
        <f>IF(C131="","",H131-I131)</f>
        <v/>
      </c>
      <c r="K131" s="25">
        <f>IF(C131="","",IF(G131=0,"not invoiced yet",SUBSTITUTE(TRIM(IF(COUNTIFS(tbl_Finance[Job Number],C131&amp;"",tbl_Finance[Cost Centre],"ONSITE")&gt;0,"ONSITE ","")&amp;IF(COUNTIFS(tbl_Finance[Job Number],C131&amp;"",tbl_Finance[Cost Centre],"PRODUCTION")&gt;0,"PRODUCTION ","")&amp;IF(COUNTIFS(tbl_Finance[Job Number],C131&amp;"",tbl_Finance[Cost Centre],"VIDEO")&gt;0,"VIDEO ","")&amp;IF(COUNTIFS(tbl_Finance[Job Number],C131&amp;"",tbl_Finance[Cost Centre],"INTEGRATION")&gt;0,"INTEGRATION ","")&amp;IF(COUNTIFS(tbl_Finance[Job Number],C131&amp;"",tbl_Finance[Cost Centre],"CONSULTING")&gt;0,"CONSULTING ","")&amp;IF(COUNTIFS(tbl_Finance[Job Number],C131&amp;"",tbl_Finance[Cost Centre],"CTS")&gt;0,"CTS ",""))," ",", ")))</f>
        <v/>
      </c>
      <c r="L131" s="24" t="n"/>
      <c r="M131" s="25">
        <f>IF(L131="","",HYPERLINK(IF(LEFT(L131,4)="http",L131,set_QwilrBase&amp;L131),"Open quote"))</f>
        <v/>
      </c>
      <c r="N131" s="26" t="n"/>
      <c r="O131" s="26" t="n"/>
      <c r="P131" s="26" t="n"/>
      <c r="Q131" s="25">
        <f>IF(C131="","",IF(N(N131)+N(O131)+N(P131)=0,"Not split",IF(ROUND(N(N131)+N(O131)+N(P131),2)=ROUND(H131,2),"OK","MISMATCH")))</f>
        <v/>
      </c>
      <c r="R131" s="26" t="n"/>
      <c r="S131" s="26" t="n"/>
      <c r="T131" s="26" t="n"/>
      <c r="U131" s="27">
        <f>IF(C131="","",N(R131)+N(S131)+N(T131))</f>
        <v/>
      </c>
      <c r="V131" s="27">
        <f>IF(C131="","",H131-U131)</f>
        <v/>
      </c>
      <c r="W131" s="29">
        <f>IFERROR(V131/H131,"")</f>
        <v/>
      </c>
      <c r="X131" s="24" t="n"/>
    </row>
    <row r="132" ht="15" customHeight="1">
      <c r="A132" s="68">
        <f>IF(C132="","",IFERROR(IF(SUMPRODUCT(MAX((tbl_Finance[Job Number]=C132&amp;"")*(tbl_Finance[Xero Invoice No]&lt;&gt;"")*tbl_Finance[Date]))=0,"",SUMPRODUCT(MAX((tbl_Finance[Job Number]=C132&amp;"")*(tbl_Finance[Xero Invoice No]&lt;&gt;"")*tbl_Finance[Date]))),""))</f>
        <v/>
      </c>
      <c r="B132" s="25">
        <f>IF(C132="","",IF(COUNTIFS(tbl_Finance[Job Number],C132&amp;"",tbl_Finance[Xero Invoice No],"&lt;&gt;")=0,"",IFERROR(IF(COUNTIFS(tbl_Finance[Job Number],C132&amp;"",tbl_Finance[Xero Invoice No],LOOKUP(2,1/((tbl_Finance[Job Number]=C132&amp;"")*(tbl_Finance[Xero Invoice No]&lt;&gt;"")),tbl_Finance[Xero Invoice No]))=COUNTIFS(tbl_Finance[Job Number],C132&amp;"",tbl_Finance[Xero Invoice No],"&lt;&gt;"),LOOKUP(2,1/((tbl_Finance[Job Number]=C132&amp;"")*(tbl_Finance[Xero Invoice No]&lt;&gt;"")),tbl_Finance[Xero Invoice No]),LOOKUP(2,1/((tbl_Finance[Job Number]=C132&amp;"")*(tbl_Finance[Xero Invoice No]&lt;&gt;"")),tbl_Finance[Xero Invoice No])&amp;" +more"),"")))</f>
        <v/>
      </c>
      <c r="C132" s="24" t="n"/>
      <c r="D132" s="25">
        <f>IF(C132="","",IF(COUNTIF(lst_Jobs,C132&amp;"")&gt;0,"OK","CHECK"))</f>
        <v/>
      </c>
      <c r="E132" s="25">
        <f>IF(C132="","",IFERROR(INDEX(lst_JobName,MATCH(C132&amp;"",lst_Jobs,0)),""))</f>
        <v/>
      </c>
      <c r="F132" s="25">
        <f>IF(C132="","",IFERROR(INDEX(tbl_Finance[Client],MATCH(C132&amp;"",tbl_Finance[Job Number],0)),""))</f>
        <v/>
      </c>
      <c r="G132" s="28">
        <f>IF(C132="","",COUNTIFS(tbl_Finance[Job Number],C132&amp;"",tbl_Finance[Ex GST],"&lt;&gt;"))</f>
        <v/>
      </c>
      <c r="H132" s="27">
        <f>IF(C132="","",SUMIFS(tbl_Finance[Ex GST],tbl_Finance[Job Number],C132&amp;""))</f>
        <v/>
      </c>
      <c r="I132" s="27">
        <f>IF(C132="","",SUMIFS(tbl_Finance[Ex GST],tbl_Finance[Job Number],C132&amp;"",tbl_Finance[Xero Invoice No],"&lt;&gt;"))</f>
        <v/>
      </c>
      <c r="J132" s="27">
        <f>IF(C132="","",H132-I132)</f>
        <v/>
      </c>
      <c r="K132" s="25">
        <f>IF(C132="","",IF(G132=0,"not invoiced yet",SUBSTITUTE(TRIM(IF(COUNTIFS(tbl_Finance[Job Number],C132&amp;"",tbl_Finance[Cost Centre],"ONSITE")&gt;0,"ONSITE ","")&amp;IF(COUNTIFS(tbl_Finance[Job Number],C132&amp;"",tbl_Finance[Cost Centre],"PRODUCTION")&gt;0,"PRODUCTION ","")&amp;IF(COUNTIFS(tbl_Finance[Job Number],C132&amp;"",tbl_Finance[Cost Centre],"VIDEO")&gt;0,"VIDEO ","")&amp;IF(COUNTIFS(tbl_Finance[Job Number],C132&amp;"",tbl_Finance[Cost Centre],"INTEGRATION")&gt;0,"INTEGRATION ","")&amp;IF(COUNTIFS(tbl_Finance[Job Number],C132&amp;"",tbl_Finance[Cost Centre],"CONSULTING")&gt;0,"CONSULTING ","")&amp;IF(COUNTIFS(tbl_Finance[Job Number],C132&amp;"",tbl_Finance[Cost Centre],"CTS")&gt;0,"CTS ",""))," ",", ")))</f>
        <v/>
      </c>
      <c r="L132" s="24" t="n"/>
      <c r="M132" s="25">
        <f>IF(L132="","",HYPERLINK(IF(LEFT(L132,4)="http",L132,set_QwilrBase&amp;L132),"Open quote"))</f>
        <v/>
      </c>
      <c r="N132" s="26" t="n"/>
      <c r="O132" s="26" t="n"/>
      <c r="P132" s="26" t="n"/>
      <c r="Q132" s="25">
        <f>IF(C132="","",IF(N(N132)+N(O132)+N(P132)=0,"Not split",IF(ROUND(N(N132)+N(O132)+N(P132),2)=ROUND(H132,2),"OK","MISMATCH")))</f>
        <v/>
      </c>
      <c r="R132" s="26" t="n"/>
      <c r="S132" s="26" t="n"/>
      <c r="T132" s="26" t="n"/>
      <c r="U132" s="27">
        <f>IF(C132="","",N(R132)+N(S132)+N(T132))</f>
        <v/>
      </c>
      <c r="V132" s="27">
        <f>IF(C132="","",H132-U132)</f>
        <v/>
      </c>
      <c r="W132" s="29">
        <f>IFERROR(V132/H132,"")</f>
        <v/>
      </c>
      <c r="X132" s="24" t="n"/>
    </row>
    <row r="133" ht="15" customHeight="1">
      <c r="A133" s="68">
        <f>IF(C133="","",IFERROR(IF(SUMPRODUCT(MAX((tbl_Finance[Job Number]=C133&amp;"")*(tbl_Finance[Xero Invoice No]&lt;&gt;"")*tbl_Finance[Date]))=0,"",SUMPRODUCT(MAX((tbl_Finance[Job Number]=C133&amp;"")*(tbl_Finance[Xero Invoice No]&lt;&gt;"")*tbl_Finance[Date]))),""))</f>
        <v/>
      </c>
      <c r="B133" s="25">
        <f>IF(C133="","",IF(COUNTIFS(tbl_Finance[Job Number],C133&amp;"",tbl_Finance[Xero Invoice No],"&lt;&gt;")=0,"",IFERROR(IF(COUNTIFS(tbl_Finance[Job Number],C133&amp;"",tbl_Finance[Xero Invoice No],LOOKUP(2,1/((tbl_Finance[Job Number]=C133&amp;"")*(tbl_Finance[Xero Invoice No]&lt;&gt;"")),tbl_Finance[Xero Invoice No]))=COUNTIFS(tbl_Finance[Job Number],C133&amp;"",tbl_Finance[Xero Invoice No],"&lt;&gt;"),LOOKUP(2,1/((tbl_Finance[Job Number]=C133&amp;"")*(tbl_Finance[Xero Invoice No]&lt;&gt;"")),tbl_Finance[Xero Invoice No]),LOOKUP(2,1/((tbl_Finance[Job Number]=C133&amp;"")*(tbl_Finance[Xero Invoice No]&lt;&gt;"")),tbl_Finance[Xero Invoice No])&amp;" +more"),"")))</f>
        <v/>
      </c>
      <c r="C133" s="24" t="n"/>
      <c r="D133" s="25">
        <f>IF(C133="","",IF(COUNTIF(lst_Jobs,C133&amp;"")&gt;0,"OK","CHECK"))</f>
        <v/>
      </c>
      <c r="E133" s="25">
        <f>IF(C133="","",IFERROR(INDEX(lst_JobName,MATCH(C133&amp;"",lst_Jobs,0)),""))</f>
        <v/>
      </c>
      <c r="F133" s="25">
        <f>IF(C133="","",IFERROR(INDEX(tbl_Finance[Client],MATCH(C133&amp;"",tbl_Finance[Job Number],0)),""))</f>
        <v/>
      </c>
      <c r="G133" s="28">
        <f>IF(C133="","",COUNTIFS(tbl_Finance[Job Number],C133&amp;"",tbl_Finance[Ex GST],"&lt;&gt;"))</f>
        <v/>
      </c>
      <c r="H133" s="27">
        <f>IF(C133="","",SUMIFS(tbl_Finance[Ex GST],tbl_Finance[Job Number],C133&amp;""))</f>
        <v/>
      </c>
      <c r="I133" s="27">
        <f>IF(C133="","",SUMIFS(tbl_Finance[Ex GST],tbl_Finance[Job Number],C133&amp;"",tbl_Finance[Xero Invoice No],"&lt;&gt;"))</f>
        <v/>
      </c>
      <c r="J133" s="27">
        <f>IF(C133="","",H133-I133)</f>
        <v/>
      </c>
      <c r="K133" s="25">
        <f>IF(C133="","",IF(G133=0,"not invoiced yet",SUBSTITUTE(TRIM(IF(COUNTIFS(tbl_Finance[Job Number],C133&amp;"",tbl_Finance[Cost Centre],"ONSITE")&gt;0,"ONSITE ","")&amp;IF(COUNTIFS(tbl_Finance[Job Number],C133&amp;"",tbl_Finance[Cost Centre],"PRODUCTION")&gt;0,"PRODUCTION ","")&amp;IF(COUNTIFS(tbl_Finance[Job Number],C133&amp;"",tbl_Finance[Cost Centre],"VIDEO")&gt;0,"VIDEO ","")&amp;IF(COUNTIFS(tbl_Finance[Job Number],C133&amp;"",tbl_Finance[Cost Centre],"INTEGRATION")&gt;0,"INTEGRATION ","")&amp;IF(COUNTIFS(tbl_Finance[Job Number],C133&amp;"",tbl_Finance[Cost Centre],"CONSULTING")&gt;0,"CONSULTING ","")&amp;IF(COUNTIFS(tbl_Finance[Job Number],C133&amp;"",tbl_Finance[Cost Centre],"CTS")&gt;0,"CTS ",""))," ",", ")))</f>
        <v/>
      </c>
      <c r="L133" s="24" t="n"/>
      <c r="M133" s="25">
        <f>IF(L133="","",HYPERLINK(IF(LEFT(L133,4)="http",L133,set_QwilrBase&amp;L133),"Open quote"))</f>
        <v/>
      </c>
      <c r="N133" s="26" t="n"/>
      <c r="O133" s="26" t="n"/>
      <c r="P133" s="26" t="n"/>
      <c r="Q133" s="25">
        <f>IF(C133="","",IF(N(N133)+N(O133)+N(P133)=0,"Not split",IF(ROUND(N(N133)+N(O133)+N(P133),2)=ROUND(H133,2),"OK","MISMATCH")))</f>
        <v/>
      </c>
      <c r="R133" s="26" t="n"/>
      <c r="S133" s="26" t="n"/>
      <c r="T133" s="26" t="n"/>
      <c r="U133" s="27">
        <f>IF(C133="","",N(R133)+N(S133)+N(T133))</f>
        <v/>
      </c>
      <c r="V133" s="27">
        <f>IF(C133="","",H133-U133)</f>
        <v/>
      </c>
      <c r="W133" s="29">
        <f>IFERROR(V133/H133,"")</f>
        <v/>
      </c>
      <c r="X133" s="24" t="n"/>
    </row>
    <row r="134" ht="15" customHeight="1">
      <c r="A134" s="68">
        <f>IF(C134="","",IFERROR(IF(SUMPRODUCT(MAX((tbl_Finance[Job Number]=C134&amp;"")*(tbl_Finance[Xero Invoice No]&lt;&gt;"")*tbl_Finance[Date]))=0,"",SUMPRODUCT(MAX((tbl_Finance[Job Number]=C134&amp;"")*(tbl_Finance[Xero Invoice No]&lt;&gt;"")*tbl_Finance[Date]))),""))</f>
        <v/>
      </c>
      <c r="B134" s="25">
        <f>IF(C134="","",IF(COUNTIFS(tbl_Finance[Job Number],C134&amp;"",tbl_Finance[Xero Invoice No],"&lt;&gt;")=0,"",IFERROR(IF(COUNTIFS(tbl_Finance[Job Number],C134&amp;"",tbl_Finance[Xero Invoice No],LOOKUP(2,1/((tbl_Finance[Job Number]=C134&amp;"")*(tbl_Finance[Xero Invoice No]&lt;&gt;"")),tbl_Finance[Xero Invoice No]))=COUNTIFS(tbl_Finance[Job Number],C134&amp;"",tbl_Finance[Xero Invoice No],"&lt;&gt;"),LOOKUP(2,1/((tbl_Finance[Job Number]=C134&amp;"")*(tbl_Finance[Xero Invoice No]&lt;&gt;"")),tbl_Finance[Xero Invoice No]),LOOKUP(2,1/((tbl_Finance[Job Number]=C134&amp;"")*(tbl_Finance[Xero Invoice No]&lt;&gt;"")),tbl_Finance[Xero Invoice No])&amp;" +more"),"")))</f>
        <v/>
      </c>
      <c r="C134" s="24" t="n"/>
      <c r="D134" s="25">
        <f>IF(C134="","",IF(COUNTIF(lst_Jobs,C134&amp;"")&gt;0,"OK","CHECK"))</f>
        <v/>
      </c>
      <c r="E134" s="25">
        <f>IF(C134="","",IFERROR(INDEX(lst_JobName,MATCH(C134&amp;"",lst_Jobs,0)),""))</f>
        <v/>
      </c>
      <c r="F134" s="25">
        <f>IF(C134="","",IFERROR(INDEX(tbl_Finance[Client],MATCH(C134&amp;"",tbl_Finance[Job Number],0)),""))</f>
        <v/>
      </c>
      <c r="G134" s="28">
        <f>IF(C134="","",COUNTIFS(tbl_Finance[Job Number],C134&amp;"",tbl_Finance[Ex GST],"&lt;&gt;"))</f>
        <v/>
      </c>
      <c r="H134" s="27">
        <f>IF(C134="","",SUMIFS(tbl_Finance[Ex GST],tbl_Finance[Job Number],C134&amp;""))</f>
        <v/>
      </c>
      <c r="I134" s="27">
        <f>IF(C134="","",SUMIFS(tbl_Finance[Ex GST],tbl_Finance[Job Number],C134&amp;"",tbl_Finance[Xero Invoice No],"&lt;&gt;"))</f>
        <v/>
      </c>
      <c r="J134" s="27">
        <f>IF(C134="","",H134-I134)</f>
        <v/>
      </c>
      <c r="K134" s="25">
        <f>IF(C134="","",IF(G134=0,"not invoiced yet",SUBSTITUTE(TRIM(IF(COUNTIFS(tbl_Finance[Job Number],C134&amp;"",tbl_Finance[Cost Centre],"ONSITE")&gt;0,"ONSITE ","")&amp;IF(COUNTIFS(tbl_Finance[Job Number],C134&amp;"",tbl_Finance[Cost Centre],"PRODUCTION")&gt;0,"PRODUCTION ","")&amp;IF(COUNTIFS(tbl_Finance[Job Number],C134&amp;"",tbl_Finance[Cost Centre],"VIDEO")&gt;0,"VIDEO ","")&amp;IF(COUNTIFS(tbl_Finance[Job Number],C134&amp;"",tbl_Finance[Cost Centre],"INTEGRATION")&gt;0,"INTEGRATION ","")&amp;IF(COUNTIFS(tbl_Finance[Job Number],C134&amp;"",tbl_Finance[Cost Centre],"CONSULTING")&gt;0,"CONSULTING ","")&amp;IF(COUNTIFS(tbl_Finance[Job Number],C134&amp;"",tbl_Finance[Cost Centre],"CTS")&gt;0,"CTS ",""))," ",", ")))</f>
        <v/>
      </c>
      <c r="L134" s="24" t="n"/>
      <c r="M134" s="25">
        <f>IF(L134="","",HYPERLINK(IF(LEFT(L134,4)="http",L134,set_QwilrBase&amp;L134),"Open quote"))</f>
        <v/>
      </c>
      <c r="N134" s="26" t="n"/>
      <c r="O134" s="26" t="n"/>
      <c r="P134" s="26" t="n"/>
      <c r="Q134" s="25">
        <f>IF(C134="","",IF(N(N134)+N(O134)+N(P134)=0,"Not split",IF(ROUND(N(N134)+N(O134)+N(P134),2)=ROUND(H134,2),"OK","MISMATCH")))</f>
        <v/>
      </c>
      <c r="R134" s="26" t="n"/>
      <c r="S134" s="26" t="n"/>
      <c r="T134" s="26" t="n"/>
      <c r="U134" s="27">
        <f>IF(C134="","",N(R134)+N(S134)+N(T134))</f>
        <v/>
      </c>
      <c r="V134" s="27">
        <f>IF(C134="","",H134-U134)</f>
        <v/>
      </c>
      <c r="W134" s="29">
        <f>IFERROR(V134/H134,"")</f>
        <v/>
      </c>
      <c r="X134" s="24" t="n"/>
    </row>
    <row r="135" ht="15" customHeight="1">
      <c r="A135" s="68">
        <f>IF(C135="","",IFERROR(IF(SUMPRODUCT(MAX((tbl_Finance[Job Number]=C135&amp;"")*(tbl_Finance[Xero Invoice No]&lt;&gt;"")*tbl_Finance[Date]))=0,"",SUMPRODUCT(MAX((tbl_Finance[Job Number]=C135&amp;"")*(tbl_Finance[Xero Invoice No]&lt;&gt;"")*tbl_Finance[Date]))),""))</f>
        <v/>
      </c>
      <c r="B135" s="25">
        <f>IF(C135="","",IF(COUNTIFS(tbl_Finance[Job Number],C135&amp;"",tbl_Finance[Xero Invoice No],"&lt;&gt;")=0,"",IFERROR(IF(COUNTIFS(tbl_Finance[Job Number],C135&amp;"",tbl_Finance[Xero Invoice No],LOOKUP(2,1/((tbl_Finance[Job Number]=C135&amp;"")*(tbl_Finance[Xero Invoice No]&lt;&gt;"")),tbl_Finance[Xero Invoice No]))=COUNTIFS(tbl_Finance[Job Number],C135&amp;"",tbl_Finance[Xero Invoice No],"&lt;&gt;"),LOOKUP(2,1/((tbl_Finance[Job Number]=C135&amp;"")*(tbl_Finance[Xero Invoice No]&lt;&gt;"")),tbl_Finance[Xero Invoice No]),LOOKUP(2,1/((tbl_Finance[Job Number]=C135&amp;"")*(tbl_Finance[Xero Invoice No]&lt;&gt;"")),tbl_Finance[Xero Invoice No])&amp;" +more"),"")))</f>
        <v/>
      </c>
      <c r="C135" s="24" t="n"/>
      <c r="D135" s="25">
        <f>IF(C135="","",IF(COUNTIF(lst_Jobs,C135&amp;"")&gt;0,"OK","CHECK"))</f>
        <v/>
      </c>
      <c r="E135" s="25">
        <f>IF(C135="","",IFERROR(INDEX(lst_JobName,MATCH(C135&amp;"",lst_Jobs,0)),""))</f>
        <v/>
      </c>
      <c r="F135" s="25">
        <f>IF(C135="","",IFERROR(INDEX(tbl_Finance[Client],MATCH(C135&amp;"",tbl_Finance[Job Number],0)),""))</f>
        <v/>
      </c>
      <c r="G135" s="28">
        <f>IF(C135="","",COUNTIFS(tbl_Finance[Job Number],C135&amp;"",tbl_Finance[Ex GST],"&lt;&gt;"))</f>
        <v/>
      </c>
      <c r="H135" s="27">
        <f>IF(C135="","",SUMIFS(tbl_Finance[Ex GST],tbl_Finance[Job Number],C135&amp;""))</f>
        <v/>
      </c>
      <c r="I135" s="27">
        <f>IF(C135="","",SUMIFS(tbl_Finance[Ex GST],tbl_Finance[Job Number],C135&amp;"",tbl_Finance[Xero Invoice No],"&lt;&gt;"))</f>
        <v/>
      </c>
      <c r="J135" s="27">
        <f>IF(C135="","",H135-I135)</f>
        <v/>
      </c>
      <c r="K135" s="25">
        <f>IF(C135="","",IF(G135=0,"not invoiced yet",SUBSTITUTE(TRIM(IF(COUNTIFS(tbl_Finance[Job Number],C135&amp;"",tbl_Finance[Cost Centre],"ONSITE")&gt;0,"ONSITE ","")&amp;IF(COUNTIFS(tbl_Finance[Job Number],C135&amp;"",tbl_Finance[Cost Centre],"PRODUCTION")&gt;0,"PRODUCTION ","")&amp;IF(COUNTIFS(tbl_Finance[Job Number],C135&amp;"",tbl_Finance[Cost Centre],"VIDEO")&gt;0,"VIDEO ","")&amp;IF(COUNTIFS(tbl_Finance[Job Number],C135&amp;"",tbl_Finance[Cost Centre],"INTEGRATION")&gt;0,"INTEGRATION ","")&amp;IF(COUNTIFS(tbl_Finance[Job Number],C135&amp;"",tbl_Finance[Cost Centre],"CONSULTING")&gt;0,"CONSULTING ","")&amp;IF(COUNTIFS(tbl_Finance[Job Number],C135&amp;"",tbl_Finance[Cost Centre],"CTS")&gt;0,"CTS ",""))," ",", ")))</f>
        <v/>
      </c>
      <c r="L135" s="24" t="n"/>
      <c r="M135" s="25">
        <f>IF(L135="","",HYPERLINK(IF(LEFT(L135,4)="http",L135,set_QwilrBase&amp;L135),"Open quote"))</f>
        <v/>
      </c>
      <c r="N135" s="26" t="n"/>
      <c r="O135" s="26" t="n"/>
      <c r="P135" s="26" t="n"/>
      <c r="Q135" s="25">
        <f>IF(C135="","",IF(N(N135)+N(O135)+N(P135)=0,"Not split",IF(ROUND(N(N135)+N(O135)+N(P135),2)=ROUND(H135,2),"OK","MISMATCH")))</f>
        <v/>
      </c>
      <c r="R135" s="26" t="n"/>
      <c r="S135" s="26" t="n"/>
      <c r="T135" s="26" t="n"/>
      <c r="U135" s="27">
        <f>IF(C135="","",N(R135)+N(S135)+N(T135))</f>
        <v/>
      </c>
      <c r="V135" s="27">
        <f>IF(C135="","",H135-U135)</f>
        <v/>
      </c>
      <c r="W135" s="29">
        <f>IFERROR(V135/H135,"")</f>
        <v/>
      </c>
      <c r="X135" s="24" t="n"/>
    </row>
    <row r="136" ht="15" customHeight="1">
      <c r="A136" s="68">
        <f>IF(C136="","",IFERROR(IF(SUMPRODUCT(MAX((tbl_Finance[Job Number]=C136&amp;"")*(tbl_Finance[Xero Invoice No]&lt;&gt;"")*tbl_Finance[Date]))=0,"",SUMPRODUCT(MAX((tbl_Finance[Job Number]=C136&amp;"")*(tbl_Finance[Xero Invoice No]&lt;&gt;"")*tbl_Finance[Date]))),""))</f>
        <v/>
      </c>
      <c r="B136" s="25">
        <f>IF(C136="","",IF(COUNTIFS(tbl_Finance[Job Number],C136&amp;"",tbl_Finance[Xero Invoice No],"&lt;&gt;")=0,"",IFERROR(IF(COUNTIFS(tbl_Finance[Job Number],C136&amp;"",tbl_Finance[Xero Invoice No],LOOKUP(2,1/((tbl_Finance[Job Number]=C136&amp;"")*(tbl_Finance[Xero Invoice No]&lt;&gt;"")),tbl_Finance[Xero Invoice No]))=COUNTIFS(tbl_Finance[Job Number],C136&amp;"",tbl_Finance[Xero Invoice No],"&lt;&gt;"),LOOKUP(2,1/((tbl_Finance[Job Number]=C136&amp;"")*(tbl_Finance[Xero Invoice No]&lt;&gt;"")),tbl_Finance[Xero Invoice No]),LOOKUP(2,1/((tbl_Finance[Job Number]=C136&amp;"")*(tbl_Finance[Xero Invoice No]&lt;&gt;"")),tbl_Finance[Xero Invoice No])&amp;" +more"),"")))</f>
        <v/>
      </c>
      <c r="C136" s="24" t="n"/>
      <c r="D136" s="25">
        <f>IF(C136="","",IF(COUNTIF(lst_Jobs,C136&amp;"")&gt;0,"OK","CHECK"))</f>
        <v/>
      </c>
      <c r="E136" s="25">
        <f>IF(C136="","",IFERROR(INDEX(lst_JobName,MATCH(C136&amp;"",lst_Jobs,0)),""))</f>
        <v/>
      </c>
      <c r="F136" s="25">
        <f>IF(C136="","",IFERROR(INDEX(tbl_Finance[Client],MATCH(C136&amp;"",tbl_Finance[Job Number],0)),""))</f>
        <v/>
      </c>
      <c r="G136" s="28">
        <f>IF(C136="","",COUNTIFS(tbl_Finance[Job Number],C136&amp;"",tbl_Finance[Ex GST],"&lt;&gt;"))</f>
        <v/>
      </c>
      <c r="H136" s="27">
        <f>IF(C136="","",SUMIFS(tbl_Finance[Ex GST],tbl_Finance[Job Number],C136&amp;""))</f>
        <v/>
      </c>
      <c r="I136" s="27">
        <f>IF(C136="","",SUMIFS(tbl_Finance[Ex GST],tbl_Finance[Job Number],C136&amp;"",tbl_Finance[Xero Invoice No],"&lt;&gt;"))</f>
        <v/>
      </c>
      <c r="J136" s="27">
        <f>IF(C136="","",H136-I136)</f>
        <v/>
      </c>
      <c r="K136" s="25">
        <f>IF(C136="","",IF(G136=0,"not invoiced yet",SUBSTITUTE(TRIM(IF(COUNTIFS(tbl_Finance[Job Number],C136&amp;"",tbl_Finance[Cost Centre],"ONSITE")&gt;0,"ONSITE ","")&amp;IF(COUNTIFS(tbl_Finance[Job Number],C136&amp;"",tbl_Finance[Cost Centre],"PRODUCTION")&gt;0,"PRODUCTION ","")&amp;IF(COUNTIFS(tbl_Finance[Job Number],C136&amp;"",tbl_Finance[Cost Centre],"VIDEO")&gt;0,"VIDEO ","")&amp;IF(COUNTIFS(tbl_Finance[Job Number],C136&amp;"",tbl_Finance[Cost Centre],"INTEGRATION")&gt;0,"INTEGRATION ","")&amp;IF(COUNTIFS(tbl_Finance[Job Number],C136&amp;"",tbl_Finance[Cost Centre],"CONSULTING")&gt;0,"CONSULTING ","")&amp;IF(COUNTIFS(tbl_Finance[Job Number],C136&amp;"",tbl_Finance[Cost Centre],"CTS")&gt;0,"CTS ",""))," ",", ")))</f>
        <v/>
      </c>
      <c r="L136" s="24" t="n"/>
      <c r="M136" s="25">
        <f>IF(L136="","",HYPERLINK(IF(LEFT(L136,4)="http",L136,set_QwilrBase&amp;L136),"Open quote"))</f>
        <v/>
      </c>
      <c r="N136" s="26" t="n"/>
      <c r="O136" s="26" t="n"/>
      <c r="P136" s="26" t="n"/>
      <c r="Q136" s="25">
        <f>IF(C136="","",IF(N(N136)+N(O136)+N(P136)=0,"Not split",IF(ROUND(N(N136)+N(O136)+N(P136),2)=ROUND(H136,2),"OK","MISMATCH")))</f>
        <v/>
      </c>
      <c r="R136" s="26" t="n"/>
      <c r="S136" s="26" t="n"/>
      <c r="T136" s="26" t="n"/>
      <c r="U136" s="27">
        <f>IF(C136="","",N(R136)+N(S136)+N(T136))</f>
        <v/>
      </c>
      <c r="V136" s="27">
        <f>IF(C136="","",H136-U136)</f>
        <v/>
      </c>
      <c r="W136" s="29">
        <f>IFERROR(V136/H136,"")</f>
        <v/>
      </c>
      <c r="X136" s="24" t="n"/>
    </row>
    <row r="137" ht="15" customHeight="1">
      <c r="A137" s="68">
        <f>IF(C137="","",IFERROR(IF(SUMPRODUCT(MAX((tbl_Finance[Job Number]=C137&amp;"")*(tbl_Finance[Xero Invoice No]&lt;&gt;"")*tbl_Finance[Date]))=0,"",SUMPRODUCT(MAX((tbl_Finance[Job Number]=C137&amp;"")*(tbl_Finance[Xero Invoice No]&lt;&gt;"")*tbl_Finance[Date]))),""))</f>
        <v/>
      </c>
      <c r="B137" s="25">
        <f>IF(C137="","",IF(COUNTIFS(tbl_Finance[Job Number],C137&amp;"",tbl_Finance[Xero Invoice No],"&lt;&gt;")=0,"",IFERROR(IF(COUNTIFS(tbl_Finance[Job Number],C137&amp;"",tbl_Finance[Xero Invoice No],LOOKUP(2,1/((tbl_Finance[Job Number]=C137&amp;"")*(tbl_Finance[Xero Invoice No]&lt;&gt;"")),tbl_Finance[Xero Invoice No]))=COUNTIFS(tbl_Finance[Job Number],C137&amp;"",tbl_Finance[Xero Invoice No],"&lt;&gt;"),LOOKUP(2,1/((tbl_Finance[Job Number]=C137&amp;"")*(tbl_Finance[Xero Invoice No]&lt;&gt;"")),tbl_Finance[Xero Invoice No]),LOOKUP(2,1/((tbl_Finance[Job Number]=C137&amp;"")*(tbl_Finance[Xero Invoice No]&lt;&gt;"")),tbl_Finance[Xero Invoice No])&amp;" +more"),"")))</f>
        <v/>
      </c>
      <c r="C137" s="24" t="n"/>
      <c r="D137" s="25">
        <f>IF(C137="","",IF(COUNTIF(lst_Jobs,C137&amp;"")&gt;0,"OK","CHECK"))</f>
        <v/>
      </c>
      <c r="E137" s="25">
        <f>IF(C137="","",IFERROR(INDEX(lst_JobName,MATCH(C137&amp;"",lst_Jobs,0)),""))</f>
        <v/>
      </c>
      <c r="F137" s="25">
        <f>IF(C137="","",IFERROR(INDEX(tbl_Finance[Client],MATCH(C137&amp;"",tbl_Finance[Job Number],0)),""))</f>
        <v/>
      </c>
      <c r="G137" s="28">
        <f>IF(C137="","",COUNTIFS(tbl_Finance[Job Number],C137&amp;"",tbl_Finance[Ex GST],"&lt;&gt;"))</f>
        <v/>
      </c>
      <c r="H137" s="27">
        <f>IF(C137="","",SUMIFS(tbl_Finance[Ex GST],tbl_Finance[Job Number],C137&amp;""))</f>
        <v/>
      </c>
      <c r="I137" s="27">
        <f>IF(C137="","",SUMIFS(tbl_Finance[Ex GST],tbl_Finance[Job Number],C137&amp;"",tbl_Finance[Xero Invoice No],"&lt;&gt;"))</f>
        <v/>
      </c>
      <c r="J137" s="27">
        <f>IF(C137="","",H137-I137)</f>
        <v/>
      </c>
      <c r="K137" s="25">
        <f>IF(C137="","",IF(G137=0,"not invoiced yet",SUBSTITUTE(TRIM(IF(COUNTIFS(tbl_Finance[Job Number],C137&amp;"",tbl_Finance[Cost Centre],"ONSITE")&gt;0,"ONSITE ","")&amp;IF(COUNTIFS(tbl_Finance[Job Number],C137&amp;"",tbl_Finance[Cost Centre],"PRODUCTION")&gt;0,"PRODUCTION ","")&amp;IF(COUNTIFS(tbl_Finance[Job Number],C137&amp;"",tbl_Finance[Cost Centre],"VIDEO")&gt;0,"VIDEO ","")&amp;IF(COUNTIFS(tbl_Finance[Job Number],C137&amp;"",tbl_Finance[Cost Centre],"INTEGRATION")&gt;0,"INTEGRATION ","")&amp;IF(COUNTIFS(tbl_Finance[Job Number],C137&amp;"",tbl_Finance[Cost Centre],"CONSULTING")&gt;0,"CONSULTING ","")&amp;IF(COUNTIFS(tbl_Finance[Job Number],C137&amp;"",tbl_Finance[Cost Centre],"CTS")&gt;0,"CTS ",""))," ",", ")))</f>
        <v/>
      </c>
      <c r="L137" s="24" t="n"/>
      <c r="M137" s="25">
        <f>IF(L137="","",HYPERLINK(IF(LEFT(L137,4)="http",L137,set_QwilrBase&amp;L137),"Open quote"))</f>
        <v/>
      </c>
      <c r="N137" s="26" t="n"/>
      <c r="O137" s="26" t="n"/>
      <c r="P137" s="26" t="n"/>
      <c r="Q137" s="25">
        <f>IF(C137="","",IF(N(N137)+N(O137)+N(P137)=0,"Not split",IF(ROUND(N(N137)+N(O137)+N(P137),2)=ROUND(H137,2),"OK","MISMATCH")))</f>
        <v/>
      </c>
      <c r="R137" s="26" t="n"/>
      <c r="S137" s="26" t="n"/>
      <c r="T137" s="26" t="n"/>
      <c r="U137" s="27">
        <f>IF(C137="","",N(R137)+N(S137)+N(T137))</f>
        <v/>
      </c>
      <c r="V137" s="27">
        <f>IF(C137="","",H137-U137)</f>
        <v/>
      </c>
      <c r="W137" s="29">
        <f>IFERROR(V137/H137,"")</f>
        <v/>
      </c>
      <c r="X137" s="24" t="n"/>
    </row>
    <row r="138" ht="15" customHeight="1">
      <c r="A138" s="68">
        <f>IF(C138="","",IFERROR(IF(SUMPRODUCT(MAX((tbl_Finance[Job Number]=C138&amp;"")*(tbl_Finance[Xero Invoice No]&lt;&gt;"")*tbl_Finance[Date]))=0,"",SUMPRODUCT(MAX((tbl_Finance[Job Number]=C138&amp;"")*(tbl_Finance[Xero Invoice No]&lt;&gt;"")*tbl_Finance[Date]))),""))</f>
        <v/>
      </c>
      <c r="B138" s="25">
        <f>IF(C138="","",IF(COUNTIFS(tbl_Finance[Job Number],C138&amp;"",tbl_Finance[Xero Invoice No],"&lt;&gt;")=0,"",IFERROR(IF(COUNTIFS(tbl_Finance[Job Number],C138&amp;"",tbl_Finance[Xero Invoice No],LOOKUP(2,1/((tbl_Finance[Job Number]=C138&amp;"")*(tbl_Finance[Xero Invoice No]&lt;&gt;"")),tbl_Finance[Xero Invoice No]))=COUNTIFS(tbl_Finance[Job Number],C138&amp;"",tbl_Finance[Xero Invoice No],"&lt;&gt;"),LOOKUP(2,1/((tbl_Finance[Job Number]=C138&amp;"")*(tbl_Finance[Xero Invoice No]&lt;&gt;"")),tbl_Finance[Xero Invoice No]),LOOKUP(2,1/((tbl_Finance[Job Number]=C138&amp;"")*(tbl_Finance[Xero Invoice No]&lt;&gt;"")),tbl_Finance[Xero Invoice No])&amp;" +more"),"")))</f>
        <v/>
      </c>
      <c r="C138" s="24" t="n"/>
      <c r="D138" s="25">
        <f>IF(C138="","",IF(COUNTIF(lst_Jobs,C138&amp;"")&gt;0,"OK","CHECK"))</f>
        <v/>
      </c>
      <c r="E138" s="25">
        <f>IF(C138="","",IFERROR(INDEX(lst_JobName,MATCH(C138&amp;"",lst_Jobs,0)),""))</f>
        <v/>
      </c>
      <c r="F138" s="25">
        <f>IF(C138="","",IFERROR(INDEX(tbl_Finance[Client],MATCH(C138&amp;"",tbl_Finance[Job Number],0)),""))</f>
        <v/>
      </c>
      <c r="G138" s="28">
        <f>IF(C138="","",COUNTIFS(tbl_Finance[Job Number],C138&amp;"",tbl_Finance[Ex GST],"&lt;&gt;"))</f>
        <v/>
      </c>
      <c r="H138" s="27">
        <f>IF(C138="","",SUMIFS(tbl_Finance[Ex GST],tbl_Finance[Job Number],C138&amp;""))</f>
        <v/>
      </c>
      <c r="I138" s="27">
        <f>IF(C138="","",SUMIFS(tbl_Finance[Ex GST],tbl_Finance[Job Number],C138&amp;"",tbl_Finance[Xero Invoice No],"&lt;&gt;"))</f>
        <v/>
      </c>
      <c r="J138" s="27">
        <f>IF(C138="","",H138-I138)</f>
        <v/>
      </c>
      <c r="K138" s="25">
        <f>IF(C138="","",IF(G138=0,"not invoiced yet",SUBSTITUTE(TRIM(IF(COUNTIFS(tbl_Finance[Job Number],C138&amp;"",tbl_Finance[Cost Centre],"ONSITE")&gt;0,"ONSITE ","")&amp;IF(COUNTIFS(tbl_Finance[Job Number],C138&amp;"",tbl_Finance[Cost Centre],"PRODUCTION")&gt;0,"PRODUCTION ","")&amp;IF(COUNTIFS(tbl_Finance[Job Number],C138&amp;"",tbl_Finance[Cost Centre],"VIDEO")&gt;0,"VIDEO ","")&amp;IF(COUNTIFS(tbl_Finance[Job Number],C138&amp;"",tbl_Finance[Cost Centre],"INTEGRATION")&gt;0,"INTEGRATION ","")&amp;IF(COUNTIFS(tbl_Finance[Job Number],C138&amp;"",tbl_Finance[Cost Centre],"CONSULTING")&gt;0,"CONSULTING ","")&amp;IF(COUNTIFS(tbl_Finance[Job Number],C138&amp;"",tbl_Finance[Cost Centre],"CTS")&gt;0,"CTS ",""))," ",", ")))</f>
        <v/>
      </c>
      <c r="L138" s="24" t="n"/>
      <c r="M138" s="25">
        <f>IF(L138="","",HYPERLINK(IF(LEFT(L138,4)="http",L138,set_QwilrBase&amp;L138),"Open quote"))</f>
        <v/>
      </c>
      <c r="N138" s="26" t="n"/>
      <c r="O138" s="26" t="n"/>
      <c r="P138" s="26" t="n"/>
      <c r="Q138" s="25">
        <f>IF(C138="","",IF(N(N138)+N(O138)+N(P138)=0,"Not split",IF(ROUND(N(N138)+N(O138)+N(P138),2)=ROUND(H138,2),"OK","MISMATCH")))</f>
        <v/>
      </c>
      <c r="R138" s="26" t="n"/>
      <c r="S138" s="26" t="n"/>
      <c r="T138" s="26" t="n"/>
      <c r="U138" s="27">
        <f>IF(C138="","",N(R138)+N(S138)+N(T138))</f>
        <v/>
      </c>
      <c r="V138" s="27">
        <f>IF(C138="","",H138-U138)</f>
        <v/>
      </c>
      <c r="W138" s="29">
        <f>IFERROR(V138/H138,"")</f>
        <v/>
      </c>
      <c r="X138" s="24" t="n"/>
    </row>
    <row r="139" ht="15" customHeight="1">
      <c r="A139" s="68">
        <f>IF(C139="","",IFERROR(IF(SUMPRODUCT(MAX((tbl_Finance[Job Number]=C139&amp;"")*(tbl_Finance[Xero Invoice No]&lt;&gt;"")*tbl_Finance[Date]))=0,"",SUMPRODUCT(MAX((tbl_Finance[Job Number]=C139&amp;"")*(tbl_Finance[Xero Invoice No]&lt;&gt;"")*tbl_Finance[Date]))),""))</f>
        <v/>
      </c>
      <c r="B139" s="25">
        <f>IF(C139="","",IF(COUNTIFS(tbl_Finance[Job Number],C139&amp;"",tbl_Finance[Xero Invoice No],"&lt;&gt;")=0,"",IFERROR(IF(COUNTIFS(tbl_Finance[Job Number],C139&amp;"",tbl_Finance[Xero Invoice No],LOOKUP(2,1/((tbl_Finance[Job Number]=C139&amp;"")*(tbl_Finance[Xero Invoice No]&lt;&gt;"")),tbl_Finance[Xero Invoice No]))=COUNTIFS(tbl_Finance[Job Number],C139&amp;"",tbl_Finance[Xero Invoice No],"&lt;&gt;"),LOOKUP(2,1/((tbl_Finance[Job Number]=C139&amp;"")*(tbl_Finance[Xero Invoice No]&lt;&gt;"")),tbl_Finance[Xero Invoice No]),LOOKUP(2,1/((tbl_Finance[Job Number]=C139&amp;"")*(tbl_Finance[Xero Invoice No]&lt;&gt;"")),tbl_Finance[Xero Invoice No])&amp;" +more"),"")))</f>
        <v/>
      </c>
      <c r="C139" s="24" t="n"/>
      <c r="D139" s="25">
        <f>IF(C139="","",IF(COUNTIF(lst_Jobs,C139&amp;"")&gt;0,"OK","CHECK"))</f>
        <v/>
      </c>
      <c r="E139" s="25">
        <f>IF(C139="","",IFERROR(INDEX(lst_JobName,MATCH(C139&amp;"",lst_Jobs,0)),""))</f>
        <v/>
      </c>
      <c r="F139" s="25">
        <f>IF(C139="","",IFERROR(INDEX(tbl_Finance[Client],MATCH(C139&amp;"",tbl_Finance[Job Number],0)),""))</f>
        <v/>
      </c>
      <c r="G139" s="28">
        <f>IF(C139="","",COUNTIFS(tbl_Finance[Job Number],C139&amp;"",tbl_Finance[Ex GST],"&lt;&gt;"))</f>
        <v/>
      </c>
      <c r="H139" s="27">
        <f>IF(C139="","",SUMIFS(tbl_Finance[Ex GST],tbl_Finance[Job Number],C139&amp;""))</f>
        <v/>
      </c>
      <c r="I139" s="27">
        <f>IF(C139="","",SUMIFS(tbl_Finance[Ex GST],tbl_Finance[Job Number],C139&amp;"",tbl_Finance[Xero Invoice No],"&lt;&gt;"))</f>
        <v/>
      </c>
      <c r="J139" s="27">
        <f>IF(C139="","",H139-I139)</f>
        <v/>
      </c>
      <c r="K139" s="25">
        <f>IF(C139="","",IF(G139=0,"not invoiced yet",SUBSTITUTE(TRIM(IF(COUNTIFS(tbl_Finance[Job Number],C139&amp;"",tbl_Finance[Cost Centre],"ONSITE")&gt;0,"ONSITE ","")&amp;IF(COUNTIFS(tbl_Finance[Job Number],C139&amp;"",tbl_Finance[Cost Centre],"PRODUCTION")&gt;0,"PRODUCTION ","")&amp;IF(COUNTIFS(tbl_Finance[Job Number],C139&amp;"",tbl_Finance[Cost Centre],"VIDEO")&gt;0,"VIDEO ","")&amp;IF(COUNTIFS(tbl_Finance[Job Number],C139&amp;"",tbl_Finance[Cost Centre],"INTEGRATION")&gt;0,"INTEGRATION ","")&amp;IF(COUNTIFS(tbl_Finance[Job Number],C139&amp;"",tbl_Finance[Cost Centre],"CONSULTING")&gt;0,"CONSULTING ","")&amp;IF(COUNTIFS(tbl_Finance[Job Number],C139&amp;"",tbl_Finance[Cost Centre],"CTS")&gt;0,"CTS ",""))," ",", ")))</f>
        <v/>
      </c>
      <c r="L139" s="24" t="n"/>
      <c r="M139" s="25">
        <f>IF(L139="","",HYPERLINK(IF(LEFT(L139,4)="http",L139,set_QwilrBase&amp;L139),"Open quote"))</f>
        <v/>
      </c>
      <c r="N139" s="26" t="n"/>
      <c r="O139" s="26" t="n"/>
      <c r="P139" s="26" t="n"/>
      <c r="Q139" s="25">
        <f>IF(C139="","",IF(N(N139)+N(O139)+N(P139)=0,"Not split",IF(ROUND(N(N139)+N(O139)+N(P139),2)=ROUND(H139,2),"OK","MISMATCH")))</f>
        <v/>
      </c>
      <c r="R139" s="26" t="n"/>
      <c r="S139" s="26" t="n"/>
      <c r="T139" s="26" t="n"/>
      <c r="U139" s="27">
        <f>IF(C139="","",N(R139)+N(S139)+N(T139))</f>
        <v/>
      </c>
      <c r="V139" s="27">
        <f>IF(C139="","",H139-U139)</f>
        <v/>
      </c>
      <c r="W139" s="29">
        <f>IFERROR(V139/H139,"")</f>
        <v/>
      </c>
      <c r="X139" s="24" t="n"/>
    </row>
    <row r="140" ht="15" customHeight="1">
      <c r="A140" s="68">
        <f>IF(C140="","",IFERROR(IF(SUMPRODUCT(MAX((tbl_Finance[Job Number]=C140&amp;"")*(tbl_Finance[Xero Invoice No]&lt;&gt;"")*tbl_Finance[Date]))=0,"",SUMPRODUCT(MAX((tbl_Finance[Job Number]=C140&amp;"")*(tbl_Finance[Xero Invoice No]&lt;&gt;"")*tbl_Finance[Date]))),""))</f>
        <v/>
      </c>
      <c r="B140" s="25">
        <f>IF(C140="","",IF(COUNTIFS(tbl_Finance[Job Number],C140&amp;"",tbl_Finance[Xero Invoice No],"&lt;&gt;")=0,"",IFERROR(IF(COUNTIFS(tbl_Finance[Job Number],C140&amp;"",tbl_Finance[Xero Invoice No],LOOKUP(2,1/((tbl_Finance[Job Number]=C140&amp;"")*(tbl_Finance[Xero Invoice No]&lt;&gt;"")),tbl_Finance[Xero Invoice No]))=COUNTIFS(tbl_Finance[Job Number],C140&amp;"",tbl_Finance[Xero Invoice No],"&lt;&gt;"),LOOKUP(2,1/((tbl_Finance[Job Number]=C140&amp;"")*(tbl_Finance[Xero Invoice No]&lt;&gt;"")),tbl_Finance[Xero Invoice No]),LOOKUP(2,1/((tbl_Finance[Job Number]=C140&amp;"")*(tbl_Finance[Xero Invoice No]&lt;&gt;"")),tbl_Finance[Xero Invoice No])&amp;" +more"),"")))</f>
        <v/>
      </c>
      <c r="C140" s="24" t="n"/>
      <c r="D140" s="25">
        <f>IF(C140="","",IF(COUNTIF(lst_Jobs,C140&amp;"")&gt;0,"OK","CHECK"))</f>
        <v/>
      </c>
      <c r="E140" s="25">
        <f>IF(C140="","",IFERROR(INDEX(lst_JobName,MATCH(C140&amp;"",lst_Jobs,0)),""))</f>
        <v/>
      </c>
      <c r="F140" s="25">
        <f>IF(C140="","",IFERROR(INDEX(tbl_Finance[Client],MATCH(C140&amp;"",tbl_Finance[Job Number],0)),""))</f>
        <v/>
      </c>
      <c r="G140" s="28">
        <f>IF(C140="","",COUNTIFS(tbl_Finance[Job Number],C140&amp;"",tbl_Finance[Ex GST],"&lt;&gt;"))</f>
        <v/>
      </c>
      <c r="H140" s="27">
        <f>IF(C140="","",SUMIFS(tbl_Finance[Ex GST],tbl_Finance[Job Number],C140&amp;""))</f>
        <v/>
      </c>
      <c r="I140" s="27">
        <f>IF(C140="","",SUMIFS(tbl_Finance[Ex GST],tbl_Finance[Job Number],C140&amp;"",tbl_Finance[Xero Invoice No],"&lt;&gt;"))</f>
        <v/>
      </c>
      <c r="J140" s="27">
        <f>IF(C140="","",H140-I140)</f>
        <v/>
      </c>
      <c r="K140" s="25">
        <f>IF(C140="","",IF(G140=0,"not invoiced yet",SUBSTITUTE(TRIM(IF(COUNTIFS(tbl_Finance[Job Number],C140&amp;"",tbl_Finance[Cost Centre],"ONSITE")&gt;0,"ONSITE ","")&amp;IF(COUNTIFS(tbl_Finance[Job Number],C140&amp;"",tbl_Finance[Cost Centre],"PRODUCTION")&gt;0,"PRODUCTION ","")&amp;IF(COUNTIFS(tbl_Finance[Job Number],C140&amp;"",tbl_Finance[Cost Centre],"VIDEO")&gt;0,"VIDEO ","")&amp;IF(COUNTIFS(tbl_Finance[Job Number],C140&amp;"",tbl_Finance[Cost Centre],"INTEGRATION")&gt;0,"INTEGRATION ","")&amp;IF(COUNTIFS(tbl_Finance[Job Number],C140&amp;"",tbl_Finance[Cost Centre],"CONSULTING")&gt;0,"CONSULTING ","")&amp;IF(COUNTIFS(tbl_Finance[Job Number],C140&amp;"",tbl_Finance[Cost Centre],"CTS")&gt;0,"CTS ",""))," ",", ")))</f>
        <v/>
      </c>
      <c r="L140" s="24" t="n"/>
      <c r="M140" s="25">
        <f>IF(L140="","",HYPERLINK(IF(LEFT(L140,4)="http",L140,set_QwilrBase&amp;L140),"Open quote"))</f>
        <v/>
      </c>
      <c r="N140" s="26" t="n"/>
      <c r="O140" s="26" t="n"/>
      <c r="P140" s="26" t="n"/>
      <c r="Q140" s="25">
        <f>IF(C140="","",IF(N(N140)+N(O140)+N(P140)=0,"Not split",IF(ROUND(N(N140)+N(O140)+N(P140),2)=ROUND(H140,2),"OK","MISMATCH")))</f>
        <v/>
      </c>
      <c r="R140" s="26" t="n"/>
      <c r="S140" s="26" t="n"/>
      <c r="T140" s="26" t="n"/>
      <c r="U140" s="27">
        <f>IF(C140="","",N(R140)+N(S140)+N(T140))</f>
        <v/>
      </c>
      <c r="V140" s="27">
        <f>IF(C140="","",H140-U140)</f>
        <v/>
      </c>
      <c r="W140" s="29">
        <f>IFERROR(V140/H140,"")</f>
        <v/>
      </c>
      <c r="X140" s="24" t="n"/>
    </row>
    <row r="141" ht="15" customHeight="1">
      <c r="A141" s="68">
        <f>IF(C141="","",IFERROR(IF(SUMPRODUCT(MAX((tbl_Finance[Job Number]=C141&amp;"")*(tbl_Finance[Xero Invoice No]&lt;&gt;"")*tbl_Finance[Date]))=0,"",SUMPRODUCT(MAX((tbl_Finance[Job Number]=C141&amp;"")*(tbl_Finance[Xero Invoice No]&lt;&gt;"")*tbl_Finance[Date]))),""))</f>
        <v/>
      </c>
      <c r="B141" s="25">
        <f>IF(C141="","",IF(COUNTIFS(tbl_Finance[Job Number],C141&amp;"",tbl_Finance[Xero Invoice No],"&lt;&gt;")=0,"",IFERROR(IF(COUNTIFS(tbl_Finance[Job Number],C141&amp;"",tbl_Finance[Xero Invoice No],LOOKUP(2,1/((tbl_Finance[Job Number]=C141&amp;"")*(tbl_Finance[Xero Invoice No]&lt;&gt;"")),tbl_Finance[Xero Invoice No]))=COUNTIFS(tbl_Finance[Job Number],C141&amp;"",tbl_Finance[Xero Invoice No],"&lt;&gt;"),LOOKUP(2,1/((tbl_Finance[Job Number]=C141&amp;"")*(tbl_Finance[Xero Invoice No]&lt;&gt;"")),tbl_Finance[Xero Invoice No]),LOOKUP(2,1/((tbl_Finance[Job Number]=C141&amp;"")*(tbl_Finance[Xero Invoice No]&lt;&gt;"")),tbl_Finance[Xero Invoice No])&amp;" +more"),"")))</f>
        <v/>
      </c>
      <c r="C141" s="24" t="n"/>
      <c r="D141" s="25">
        <f>IF(C141="","",IF(COUNTIF(lst_Jobs,C141&amp;"")&gt;0,"OK","CHECK"))</f>
        <v/>
      </c>
      <c r="E141" s="25">
        <f>IF(C141="","",IFERROR(INDEX(lst_JobName,MATCH(C141&amp;"",lst_Jobs,0)),""))</f>
        <v/>
      </c>
      <c r="F141" s="25">
        <f>IF(C141="","",IFERROR(INDEX(tbl_Finance[Client],MATCH(C141&amp;"",tbl_Finance[Job Number],0)),""))</f>
        <v/>
      </c>
      <c r="G141" s="28">
        <f>IF(C141="","",COUNTIFS(tbl_Finance[Job Number],C141&amp;"",tbl_Finance[Ex GST],"&lt;&gt;"))</f>
        <v/>
      </c>
      <c r="H141" s="27">
        <f>IF(C141="","",SUMIFS(tbl_Finance[Ex GST],tbl_Finance[Job Number],C141&amp;""))</f>
        <v/>
      </c>
      <c r="I141" s="27">
        <f>IF(C141="","",SUMIFS(tbl_Finance[Ex GST],tbl_Finance[Job Number],C141&amp;"",tbl_Finance[Xero Invoice No],"&lt;&gt;"))</f>
        <v/>
      </c>
      <c r="J141" s="27">
        <f>IF(C141="","",H141-I141)</f>
        <v/>
      </c>
      <c r="K141" s="25">
        <f>IF(C141="","",IF(G141=0,"not invoiced yet",SUBSTITUTE(TRIM(IF(COUNTIFS(tbl_Finance[Job Number],C141&amp;"",tbl_Finance[Cost Centre],"ONSITE")&gt;0,"ONSITE ","")&amp;IF(COUNTIFS(tbl_Finance[Job Number],C141&amp;"",tbl_Finance[Cost Centre],"PRODUCTION")&gt;0,"PRODUCTION ","")&amp;IF(COUNTIFS(tbl_Finance[Job Number],C141&amp;"",tbl_Finance[Cost Centre],"VIDEO")&gt;0,"VIDEO ","")&amp;IF(COUNTIFS(tbl_Finance[Job Number],C141&amp;"",tbl_Finance[Cost Centre],"INTEGRATION")&gt;0,"INTEGRATION ","")&amp;IF(COUNTIFS(tbl_Finance[Job Number],C141&amp;"",tbl_Finance[Cost Centre],"CONSULTING")&gt;0,"CONSULTING ","")&amp;IF(COUNTIFS(tbl_Finance[Job Number],C141&amp;"",tbl_Finance[Cost Centre],"CTS")&gt;0,"CTS ",""))," ",", ")))</f>
        <v/>
      </c>
      <c r="L141" s="24" t="n"/>
      <c r="M141" s="25">
        <f>IF(L141="","",HYPERLINK(IF(LEFT(L141,4)="http",L141,set_QwilrBase&amp;L141),"Open quote"))</f>
        <v/>
      </c>
      <c r="N141" s="26" t="n"/>
      <c r="O141" s="26" t="n"/>
      <c r="P141" s="26" t="n"/>
      <c r="Q141" s="25">
        <f>IF(C141="","",IF(N(N141)+N(O141)+N(P141)=0,"Not split",IF(ROUND(N(N141)+N(O141)+N(P141),2)=ROUND(H141,2),"OK","MISMATCH")))</f>
        <v/>
      </c>
      <c r="R141" s="26" t="n"/>
      <c r="S141" s="26" t="n"/>
      <c r="T141" s="26" t="n"/>
      <c r="U141" s="27">
        <f>IF(C141="","",N(R141)+N(S141)+N(T141))</f>
        <v/>
      </c>
      <c r="V141" s="27">
        <f>IF(C141="","",H141-U141)</f>
        <v/>
      </c>
      <c r="W141" s="29">
        <f>IFERROR(V141/H141,"")</f>
        <v/>
      </c>
      <c r="X141" s="24" t="n"/>
    </row>
    <row r="142" ht="15" customHeight="1">
      <c r="A142" s="68">
        <f>IF(C142="","",IFERROR(IF(SUMPRODUCT(MAX((tbl_Finance[Job Number]=C142&amp;"")*(tbl_Finance[Xero Invoice No]&lt;&gt;"")*tbl_Finance[Date]))=0,"",SUMPRODUCT(MAX((tbl_Finance[Job Number]=C142&amp;"")*(tbl_Finance[Xero Invoice No]&lt;&gt;"")*tbl_Finance[Date]))),""))</f>
        <v/>
      </c>
      <c r="B142" s="25">
        <f>IF(C142="","",IF(COUNTIFS(tbl_Finance[Job Number],C142&amp;"",tbl_Finance[Xero Invoice No],"&lt;&gt;")=0,"",IFERROR(IF(COUNTIFS(tbl_Finance[Job Number],C142&amp;"",tbl_Finance[Xero Invoice No],LOOKUP(2,1/((tbl_Finance[Job Number]=C142&amp;"")*(tbl_Finance[Xero Invoice No]&lt;&gt;"")),tbl_Finance[Xero Invoice No]))=COUNTIFS(tbl_Finance[Job Number],C142&amp;"",tbl_Finance[Xero Invoice No],"&lt;&gt;"),LOOKUP(2,1/((tbl_Finance[Job Number]=C142&amp;"")*(tbl_Finance[Xero Invoice No]&lt;&gt;"")),tbl_Finance[Xero Invoice No]),LOOKUP(2,1/((tbl_Finance[Job Number]=C142&amp;"")*(tbl_Finance[Xero Invoice No]&lt;&gt;"")),tbl_Finance[Xero Invoice No])&amp;" +more"),"")))</f>
        <v/>
      </c>
      <c r="C142" s="24" t="n"/>
      <c r="D142" s="25">
        <f>IF(C142="","",IF(COUNTIF(lst_Jobs,C142&amp;"")&gt;0,"OK","CHECK"))</f>
        <v/>
      </c>
      <c r="E142" s="25">
        <f>IF(C142="","",IFERROR(INDEX(lst_JobName,MATCH(C142&amp;"",lst_Jobs,0)),""))</f>
        <v/>
      </c>
      <c r="F142" s="25">
        <f>IF(C142="","",IFERROR(INDEX(tbl_Finance[Client],MATCH(C142&amp;"",tbl_Finance[Job Number],0)),""))</f>
        <v/>
      </c>
      <c r="G142" s="28">
        <f>IF(C142="","",COUNTIFS(tbl_Finance[Job Number],C142&amp;"",tbl_Finance[Ex GST],"&lt;&gt;"))</f>
        <v/>
      </c>
      <c r="H142" s="27">
        <f>IF(C142="","",SUMIFS(tbl_Finance[Ex GST],tbl_Finance[Job Number],C142&amp;""))</f>
        <v/>
      </c>
      <c r="I142" s="27">
        <f>IF(C142="","",SUMIFS(tbl_Finance[Ex GST],tbl_Finance[Job Number],C142&amp;"",tbl_Finance[Xero Invoice No],"&lt;&gt;"))</f>
        <v/>
      </c>
      <c r="J142" s="27">
        <f>IF(C142="","",H142-I142)</f>
        <v/>
      </c>
      <c r="K142" s="25">
        <f>IF(C142="","",IF(G142=0,"not invoiced yet",SUBSTITUTE(TRIM(IF(COUNTIFS(tbl_Finance[Job Number],C142&amp;"",tbl_Finance[Cost Centre],"ONSITE")&gt;0,"ONSITE ","")&amp;IF(COUNTIFS(tbl_Finance[Job Number],C142&amp;"",tbl_Finance[Cost Centre],"PRODUCTION")&gt;0,"PRODUCTION ","")&amp;IF(COUNTIFS(tbl_Finance[Job Number],C142&amp;"",tbl_Finance[Cost Centre],"VIDEO")&gt;0,"VIDEO ","")&amp;IF(COUNTIFS(tbl_Finance[Job Number],C142&amp;"",tbl_Finance[Cost Centre],"INTEGRATION")&gt;0,"INTEGRATION ","")&amp;IF(COUNTIFS(tbl_Finance[Job Number],C142&amp;"",tbl_Finance[Cost Centre],"CONSULTING")&gt;0,"CONSULTING ","")&amp;IF(COUNTIFS(tbl_Finance[Job Number],C142&amp;"",tbl_Finance[Cost Centre],"CTS")&gt;0,"CTS ",""))," ",", ")))</f>
        <v/>
      </c>
      <c r="L142" s="24" t="n"/>
      <c r="M142" s="25">
        <f>IF(L142="","",HYPERLINK(IF(LEFT(L142,4)="http",L142,set_QwilrBase&amp;L142),"Open quote"))</f>
        <v/>
      </c>
      <c r="N142" s="26" t="n"/>
      <c r="O142" s="26" t="n"/>
      <c r="P142" s="26" t="n"/>
      <c r="Q142" s="25">
        <f>IF(C142="","",IF(N(N142)+N(O142)+N(P142)=0,"Not split",IF(ROUND(N(N142)+N(O142)+N(P142),2)=ROUND(H142,2),"OK","MISMATCH")))</f>
        <v/>
      </c>
      <c r="R142" s="26" t="n"/>
      <c r="S142" s="26" t="n"/>
      <c r="T142" s="26" t="n"/>
      <c r="U142" s="27">
        <f>IF(C142="","",N(R142)+N(S142)+N(T142))</f>
        <v/>
      </c>
      <c r="V142" s="27">
        <f>IF(C142="","",H142-U142)</f>
        <v/>
      </c>
      <c r="W142" s="29">
        <f>IFERROR(V142/H142,"")</f>
        <v/>
      </c>
      <c r="X142" s="24" t="n"/>
    </row>
    <row r="143" ht="15" customHeight="1">
      <c r="A143" s="68">
        <f>IF(C143="","",IFERROR(IF(SUMPRODUCT(MAX((tbl_Finance[Job Number]=C143&amp;"")*(tbl_Finance[Xero Invoice No]&lt;&gt;"")*tbl_Finance[Date]))=0,"",SUMPRODUCT(MAX((tbl_Finance[Job Number]=C143&amp;"")*(tbl_Finance[Xero Invoice No]&lt;&gt;"")*tbl_Finance[Date]))),""))</f>
        <v/>
      </c>
      <c r="B143" s="25">
        <f>IF(C143="","",IF(COUNTIFS(tbl_Finance[Job Number],C143&amp;"",tbl_Finance[Xero Invoice No],"&lt;&gt;")=0,"",IFERROR(IF(COUNTIFS(tbl_Finance[Job Number],C143&amp;"",tbl_Finance[Xero Invoice No],LOOKUP(2,1/((tbl_Finance[Job Number]=C143&amp;"")*(tbl_Finance[Xero Invoice No]&lt;&gt;"")),tbl_Finance[Xero Invoice No]))=COUNTIFS(tbl_Finance[Job Number],C143&amp;"",tbl_Finance[Xero Invoice No],"&lt;&gt;"),LOOKUP(2,1/((tbl_Finance[Job Number]=C143&amp;"")*(tbl_Finance[Xero Invoice No]&lt;&gt;"")),tbl_Finance[Xero Invoice No]),LOOKUP(2,1/((tbl_Finance[Job Number]=C143&amp;"")*(tbl_Finance[Xero Invoice No]&lt;&gt;"")),tbl_Finance[Xero Invoice No])&amp;" +more"),"")))</f>
        <v/>
      </c>
      <c r="C143" s="24" t="n"/>
      <c r="D143" s="25">
        <f>IF(C143="","",IF(COUNTIF(lst_Jobs,C143&amp;"")&gt;0,"OK","CHECK"))</f>
        <v/>
      </c>
      <c r="E143" s="25">
        <f>IF(C143="","",IFERROR(INDEX(lst_JobName,MATCH(C143&amp;"",lst_Jobs,0)),""))</f>
        <v/>
      </c>
      <c r="F143" s="25">
        <f>IF(C143="","",IFERROR(INDEX(tbl_Finance[Client],MATCH(C143&amp;"",tbl_Finance[Job Number],0)),""))</f>
        <v/>
      </c>
      <c r="G143" s="28">
        <f>IF(C143="","",COUNTIFS(tbl_Finance[Job Number],C143&amp;"",tbl_Finance[Ex GST],"&lt;&gt;"))</f>
        <v/>
      </c>
      <c r="H143" s="27">
        <f>IF(C143="","",SUMIFS(tbl_Finance[Ex GST],tbl_Finance[Job Number],C143&amp;""))</f>
        <v/>
      </c>
      <c r="I143" s="27">
        <f>IF(C143="","",SUMIFS(tbl_Finance[Ex GST],tbl_Finance[Job Number],C143&amp;"",tbl_Finance[Xero Invoice No],"&lt;&gt;"))</f>
        <v/>
      </c>
      <c r="J143" s="27">
        <f>IF(C143="","",H143-I143)</f>
        <v/>
      </c>
      <c r="K143" s="25">
        <f>IF(C143="","",IF(G143=0,"not invoiced yet",SUBSTITUTE(TRIM(IF(COUNTIFS(tbl_Finance[Job Number],C143&amp;"",tbl_Finance[Cost Centre],"ONSITE")&gt;0,"ONSITE ","")&amp;IF(COUNTIFS(tbl_Finance[Job Number],C143&amp;"",tbl_Finance[Cost Centre],"PRODUCTION")&gt;0,"PRODUCTION ","")&amp;IF(COUNTIFS(tbl_Finance[Job Number],C143&amp;"",tbl_Finance[Cost Centre],"VIDEO")&gt;0,"VIDEO ","")&amp;IF(COUNTIFS(tbl_Finance[Job Number],C143&amp;"",tbl_Finance[Cost Centre],"INTEGRATION")&gt;0,"INTEGRATION ","")&amp;IF(COUNTIFS(tbl_Finance[Job Number],C143&amp;"",tbl_Finance[Cost Centre],"CONSULTING")&gt;0,"CONSULTING ","")&amp;IF(COUNTIFS(tbl_Finance[Job Number],C143&amp;"",tbl_Finance[Cost Centre],"CTS")&gt;0,"CTS ",""))," ",", ")))</f>
        <v/>
      </c>
      <c r="L143" s="24" t="n"/>
      <c r="M143" s="25">
        <f>IF(L143="","",HYPERLINK(IF(LEFT(L143,4)="http",L143,set_QwilrBase&amp;L143),"Open quote"))</f>
        <v/>
      </c>
      <c r="N143" s="26" t="n"/>
      <c r="O143" s="26" t="n"/>
      <c r="P143" s="26" t="n"/>
      <c r="Q143" s="25">
        <f>IF(C143="","",IF(N(N143)+N(O143)+N(P143)=0,"Not split",IF(ROUND(N(N143)+N(O143)+N(P143),2)=ROUND(H143,2),"OK","MISMATCH")))</f>
        <v/>
      </c>
      <c r="R143" s="26" t="n"/>
      <c r="S143" s="26" t="n"/>
      <c r="T143" s="26" t="n"/>
      <c r="U143" s="27">
        <f>IF(C143="","",N(R143)+N(S143)+N(T143))</f>
        <v/>
      </c>
      <c r="V143" s="27">
        <f>IF(C143="","",H143-U143)</f>
        <v/>
      </c>
      <c r="W143" s="29">
        <f>IFERROR(V143/H143,"")</f>
        <v/>
      </c>
      <c r="X143" s="24" t="n"/>
    </row>
    <row r="144" ht="15" customHeight="1">
      <c r="A144" s="68">
        <f>IF(C144="","",IFERROR(IF(SUMPRODUCT(MAX((tbl_Finance[Job Number]=C144&amp;"")*(tbl_Finance[Xero Invoice No]&lt;&gt;"")*tbl_Finance[Date]))=0,"",SUMPRODUCT(MAX((tbl_Finance[Job Number]=C144&amp;"")*(tbl_Finance[Xero Invoice No]&lt;&gt;"")*tbl_Finance[Date]))),""))</f>
        <v/>
      </c>
      <c r="B144" s="25">
        <f>IF(C144="","",IF(COUNTIFS(tbl_Finance[Job Number],C144&amp;"",tbl_Finance[Xero Invoice No],"&lt;&gt;")=0,"",IFERROR(IF(COUNTIFS(tbl_Finance[Job Number],C144&amp;"",tbl_Finance[Xero Invoice No],LOOKUP(2,1/((tbl_Finance[Job Number]=C144&amp;"")*(tbl_Finance[Xero Invoice No]&lt;&gt;"")),tbl_Finance[Xero Invoice No]))=COUNTIFS(tbl_Finance[Job Number],C144&amp;"",tbl_Finance[Xero Invoice No],"&lt;&gt;"),LOOKUP(2,1/((tbl_Finance[Job Number]=C144&amp;"")*(tbl_Finance[Xero Invoice No]&lt;&gt;"")),tbl_Finance[Xero Invoice No]),LOOKUP(2,1/((tbl_Finance[Job Number]=C144&amp;"")*(tbl_Finance[Xero Invoice No]&lt;&gt;"")),tbl_Finance[Xero Invoice No])&amp;" +more"),"")))</f>
        <v/>
      </c>
      <c r="C144" s="24" t="n"/>
      <c r="D144" s="25">
        <f>IF(C144="","",IF(COUNTIF(lst_Jobs,C144&amp;"")&gt;0,"OK","CHECK"))</f>
        <v/>
      </c>
      <c r="E144" s="25">
        <f>IF(C144="","",IFERROR(INDEX(lst_JobName,MATCH(C144&amp;"",lst_Jobs,0)),""))</f>
        <v/>
      </c>
      <c r="F144" s="25">
        <f>IF(C144="","",IFERROR(INDEX(tbl_Finance[Client],MATCH(C144&amp;"",tbl_Finance[Job Number],0)),""))</f>
        <v/>
      </c>
      <c r="G144" s="28">
        <f>IF(C144="","",COUNTIFS(tbl_Finance[Job Number],C144&amp;"",tbl_Finance[Ex GST],"&lt;&gt;"))</f>
        <v/>
      </c>
      <c r="H144" s="27">
        <f>IF(C144="","",SUMIFS(tbl_Finance[Ex GST],tbl_Finance[Job Number],C144&amp;""))</f>
        <v/>
      </c>
      <c r="I144" s="27">
        <f>IF(C144="","",SUMIFS(tbl_Finance[Ex GST],tbl_Finance[Job Number],C144&amp;"",tbl_Finance[Xero Invoice No],"&lt;&gt;"))</f>
        <v/>
      </c>
      <c r="J144" s="27">
        <f>IF(C144="","",H144-I144)</f>
        <v/>
      </c>
      <c r="K144" s="25">
        <f>IF(C144="","",IF(G144=0,"not invoiced yet",SUBSTITUTE(TRIM(IF(COUNTIFS(tbl_Finance[Job Number],C144&amp;"",tbl_Finance[Cost Centre],"ONSITE")&gt;0,"ONSITE ","")&amp;IF(COUNTIFS(tbl_Finance[Job Number],C144&amp;"",tbl_Finance[Cost Centre],"PRODUCTION")&gt;0,"PRODUCTION ","")&amp;IF(COUNTIFS(tbl_Finance[Job Number],C144&amp;"",tbl_Finance[Cost Centre],"VIDEO")&gt;0,"VIDEO ","")&amp;IF(COUNTIFS(tbl_Finance[Job Number],C144&amp;"",tbl_Finance[Cost Centre],"INTEGRATION")&gt;0,"INTEGRATION ","")&amp;IF(COUNTIFS(tbl_Finance[Job Number],C144&amp;"",tbl_Finance[Cost Centre],"CONSULTING")&gt;0,"CONSULTING ","")&amp;IF(COUNTIFS(tbl_Finance[Job Number],C144&amp;"",tbl_Finance[Cost Centre],"CTS")&gt;0,"CTS ",""))," ",", ")))</f>
        <v/>
      </c>
      <c r="L144" s="24" t="n"/>
      <c r="M144" s="25">
        <f>IF(L144="","",HYPERLINK(IF(LEFT(L144,4)="http",L144,set_QwilrBase&amp;L144),"Open quote"))</f>
        <v/>
      </c>
      <c r="N144" s="26" t="n"/>
      <c r="O144" s="26" t="n"/>
      <c r="P144" s="26" t="n"/>
      <c r="Q144" s="25">
        <f>IF(C144="","",IF(N(N144)+N(O144)+N(P144)=0,"Not split",IF(ROUND(N(N144)+N(O144)+N(P144),2)=ROUND(H144,2),"OK","MISMATCH")))</f>
        <v/>
      </c>
      <c r="R144" s="26" t="n"/>
      <c r="S144" s="26" t="n"/>
      <c r="T144" s="26" t="n"/>
      <c r="U144" s="27">
        <f>IF(C144="","",N(R144)+N(S144)+N(T144))</f>
        <v/>
      </c>
      <c r="V144" s="27">
        <f>IF(C144="","",H144-U144)</f>
        <v/>
      </c>
      <c r="W144" s="29">
        <f>IFERROR(V144/H144,"")</f>
        <v/>
      </c>
      <c r="X144" s="24" t="n"/>
    </row>
    <row r="145" ht="15" customHeight="1">
      <c r="A145" s="68">
        <f>IF(C145="","",IFERROR(IF(SUMPRODUCT(MAX((tbl_Finance[Job Number]=C145&amp;"")*(tbl_Finance[Xero Invoice No]&lt;&gt;"")*tbl_Finance[Date]))=0,"",SUMPRODUCT(MAX((tbl_Finance[Job Number]=C145&amp;"")*(tbl_Finance[Xero Invoice No]&lt;&gt;"")*tbl_Finance[Date]))),""))</f>
        <v/>
      </c>
      <c r="B145" s="25">
        <f>IF(C145="","",IF(COUNTIFS(tbl_Finance[Job Number],C145&amp;"",tbl_Finance[Xero Invoice No],"&lt;&gt;")=0,"",IFERROR(IF(COUNTIFS(tbl_Finance[Job Number],C145&amp;"",tbl_Finance[Xero Invoice No],LOOKUP(2,1/((tbl_Finance[Job Number]=C145&amp;"")*(tbl_Finance[Xero Invoice No]&lt;&gt;"")),tbl_Finance[Xero Invoice No]))=COUNTIFS(tbl_Finance[Job Number],C145&amp;"",tbl_Finance[Xero Invoice No],"&lt;&gt;"),LOOKUP(2,1/((tbl_Finance[Job Number]=C145&amp;"")*(tbl_Finance[Xero Invoice No]&lt;&gt;"")),tbl_Finance[Xero Invoice No]),LOOKUP(2,1/((tbl_Finance[Job Number]=C145&amp;"")*(tbl_Finance[Xero Invoice No]&lt;&gt;"")),tbl_Finance[Xero Invoice No])&amp;" +more"),"")))</f>
        <v/>
      </c>
      <c r="C145" s="24" t="n"/>
      <c r="D145" s="25">
        <f>IF(C145="","",IF(COUNTIF(lst_Jobs,C145&amp;"")&gt;0,"OK","CHECK"))</f>
        <v/>
      </c>
      <c r="E145" s="25">
        <f>IF(C145="","",IFERROR(INDEX(lst_JobName,MATCH(C145&amp;"",lst_Jobs,0)),""))</f>
        <v/>
      </c>
      <c r="F145" s="25">
        <f>IF(C145="","",IFERROR(INDEX(tbl_Finance[Client],MATCH(C145&amp;"",tbl_Finance[Job Number],0)),""))</f>
        <v/>
      </c>
      <c r="G145" s="28">
        <f>IF(C145="","",COUNTIFS(tbl_Finance[Job Number],C145&amp;"",tbl_Finance[Ex GST],"&lt;&gt;"))</f>
        <v/>
      </c>
      <c r="H145" s="27">
        <f>IF(C145="","",SUMIFS(tbl_Finance[Ex GST],tbl_Finance[Job Number],C145&amp;""))</f>
        <v/>
      </c>
      <c r="I145" s="27">
        <f>IF(C145="","",SUMIFS(tbl_Finance[Ex GST],tbl_Finance[Job Number],C145&amp;"",tbl_Finance[Xero Invoice No],"&lt;&gt;"))</f>
        <v/>
      </c>
      <c r="J145" s="27">
        <f>IF(C145="","",H145-I145)</f>
        <v/>
      </c>
      <c r="K145" s="25">
        <f>IF(C145="","",IF(G145=0,"not invoiced yet",SUBSTITUTE(TRIM(IF(COUNTIFS(tbl_Finance[Job Number],C145&amp;"",tbl_Finance[Cost Centre],"ONSITE")&gt;0,"ONSITE ","")&amp;IF(COUNTIFS(tbl_Finance[Job Number],C145&amp;"",tbl_Finance[Cost Centre],"PRODUCTION")&gt;0,"PRODUCTION ","")&amp;IF(COUNTIFS(tbl_Finance[Job Number],C145&amp;"",tbl_Finance[Cost Centre],"VIDEO")&gt;0,"VIDEO ","")&amp;IF(COUNTIFS(tbl_Finance[Job Number],C145&amp;"",tbl_Finance[Cost Centre],"INTEGRATION")&gt;0,"INTEGRATION ","")&amp;IF(COUNTIFS(tbl_Finance[Job Number],C145&amp;"",tbl_Finance[Cost Centre],"CONSULTING")&gt;0,"CONSULTING ","")&amp;IF(COUNTIFS(tbl_Finance[Job Number],C145&amp;"",tbl_Finance[Cost Centre],"CTS")&gt;0,"CTS ",""))," ",", ")))</f>
        <v/>
      </c>
      <c r="L145" s="24" t="n"/>
      <c r="M145" s="25">
        <f>IF(L145="","",HYPERLINK(IF(LEFT(L145,4)="http",L145,set_QwilrBase&amp;L145),"Open quote"))</f>
        <v/>
      </c>
      <c r="N145" s="26" t="n"/>
      <c r="O145" s="26" t="n"/>
      <c r="P145" s="26" t="n"/>
      <c r="Q145" s="25">
        <f>IF(C145="","",IF(N(N145)+N(O145)+N(P145)=0,"Not split",IF(ROUND(N(N145)+N(O145)+N(P145),2)=ROUND(H145,2),"OK","MISMATCH")))</f>
        <v/>
      </c>
      <c r="R145" s="26" t="n"/>
      <c r="S145" s="26" t="n"/>
      <c r="T145" s="26" t="n"/>
      <c r="U145" s="27">
        <f>IF(C145="","",N(R145)+N(S145)+N(T145))</f>
        <v/>
      </c>
      <c r="V145" s="27">
        <f>IF(C145="","",H145-U145)</f>
        <v/>
      </c>
      <c r="W145" s="29">
        <f>IFERROR(V145/H145,"")</f>
        <v/>
      </c>
      <c r="X145" s="24" t="n"/>
    </row>
    <row r="146" ht="15" customHeight="1">
      <c r="A146" s="68">
        <f>IF(C146="","",IFERROR(IF(SUMPRODUCT(MAX((tbl_Finance[Job Number]=C146&amp;"")*(tbl_Finance[Xero Invoice No]&lt;&gt;"")*tbl_Finance[Date]))=0,"",SUMPRODUCT(MAX((tbl_Finance[Job Number]=C146&amp;"")*(tbl_Finance[Xero Invoice No]&lt;&gt;"")*tbl_Finance[Date]))),""))</f>
        <v/>
      </c>
      <c r="B146" s="25">
        <f>IF(C146="","",IF(COUNTIFS(tbl_Finance[Job Number],C146&amp;"",tbl_Finance[Xero Invoice No],"&lt;&gt;")=0,"",IFERROR(IF(COUNTIFS(tbl_Finance[Job Number],C146&amp;"",tbl_Finance[Xero Invoice No],LOOKUP(2,1/((tbl_Finance[Job Number]=C146&amp;"")*(tbl_Finance[Xero Invoice No]&lt;&gt;"")),tbl_Finance[Xero Invoice No]))=COUNTIFS(tbl_Finance[Job Number],C146&amp;"",tbl_Finance[Xero Invoice No],"&lt;&gt;"),LOOKUP(2,1/((tbl_Finance[Job Number]=C146&amp;"")*(tbl_Finance[Xero Invoice No]&lt;&gt;"")),tbl_Finance[Xero Invoice No]),LOOKUP(2,1/((tbl_Finance[Job Number]=C146&amp;"")*(tbl_Finance[Xero Invoice No]&lt;&gt;"")),tbl_Finance[Xero Invoice No])&amp;" +more"),"")))</f>
        <v/>
      </c>
      <c r="C146" s="24" t="n"/>
      <c r="D146" s="25">
        <f>IF(C146="","",IF(COUNTIF(lst_Jobs,C146&amp;"")&gt;0,"OK","CHECK"))</f>
        <v/>
      </c>
      <c r="E146" s="25">
        <f>IF(C146="","",IFERROR(INDEX(lst_JobName,MATCH(C146&amp;"",lst_Jobs,0)),""))</f>
        <v/>
      </c>
      <c r="F146" s="25">
        <f>IF(C146="","",IFERROR(INDEX(tbl_Finance[Client],MATCH(C146&amp;"",tbl_Finance[Job Number],0)),""))</f>
        <v/>
      </c>
      <c r="G146" s="28">
        <f>IF(C146="","",COUNTIFS(tbl_Finance[Job Number],C146&amp;"",tbl_Finance[Ex GST],"&lt;&gt;"))</f>
        <v/>
      </c>
      <c r="H146" s="27">
        <f>IF(C146="","",SUMIFS(tbl_Finance[Ex GST],tbl_Finance[Job Number],C146&amp;""))</f>
        <v/>
      </c>
      <c r="I146" s="27">
        <f>IF(C146="","",SUMIFS(tbl_Finance[Ex GST],tbl_Finance[Job Number],C146&amp;"",tbl_Finance[Xero Invoice No],"&lt;&gt;"))</f>
        <v/>
      </c>
      <c r="J146" s="27">
        <f>IF(C146="","",H146-I146)</f>
        <v/>
      </c>
      <c r="K146" s="25">
        <f>IF(C146="","",IF(G146=0,"not invoiced yet",SUBSTITUTE(TRIM(IF(COUNTIFS(tbl_Finance[Job Number],C146&amp;"",tbl_Finance[Cost Centre],"ONSITE")&gt;0,"ONSITE ","")&amp;IF(COUNTIFS(tbl_Finance[Job Number],C146&amp;"",tbl_Finance[Cost Centre],"PRODUCTION")&gt;0,"PRODUCTION ","")&amp;IF(COUNTIFS(tbl_Finance[Job Number],C146&amp;"",tbl_Finance[Cost Centre],"VIDEO")&gt;0,"VIDEO ","")&amp;IF(COUNTIFS(tbl_Finance[Job Number],C146&amp;"",tbl_Finance[Cost Centre],"INTEGRATION")&gt;0,"INTEGRATION ","")&amp;IF(COUNTIFS(tbl_Finance[Job Number],C146&amp;"",tbl_Finance[Cost Centre],"CONSULTING")&gt;0,"CONSULTING ","")&amp;IF(COUNTIFS(tbl_Finance[Job Number],C146&amp;"",tbl_Finance[Cost Centre],"CTS")&gt;0,"CTS ",""))," ",", ")))</f>
        <v/>
      </c>
      <c r="L146" s="24" t="n"/>
      <c r="M146" s="25">
        <f>IF(L146="","",HYPERLINK(IF(LEFT(L146,4)="http",L146,set_QwilrBase&amp;L146),"Open quote"))</f>
        <v/>
      </c>
      <c r="N146" s="26" t="n"/>
      <c r="O146" s="26" t="n"/>
      <c r="P146" s="26" t="n"/>
      <c r="Q146" s="25">
        <f>IF(C146="","",IF(N(N146)+N(O146)+N(P146)=0,"Not split",IF(ROUND(N(N146)+N(O146)+N(P146),2)=ROUND(H146,2),"OK","MISMATCH")))</f>
        <v/>
      </c>
      <c r="R146" s="26" t="n"/>
      <c r="S146" s="26" t="n"/>
      <c r="T146" s="26" t="n"/>
      <c r="U146" s="27">
        <f>IF(C146="","",N(R146)+N(S146)+N(T146))</f>
        <v/>
      </c>
      <c r="V146" s="27">
        <f>IF(C146="","",H146-U146)</f>
        <v/>
      </c>
      <c r="W146" s="29">
        <f>IFERROR(V146/H146,"")</f>
        <v/>
      </c>
      <c r="X146" s="24" t="n"/>
    </row>
    <row r="147" ht="15" customHeight="1">
      <c r="A147" s="68">
        <f>IF(C147="","",IFERROR(IF(SUMPRODUCT(MAX((tbl_Finance[Job Number]=C147&amp;"")*(tbl_Finance[Xero Invoice No]&lt;&gt;"")*tbl_Finance[Date]))=0,"",SUMPRODUCT(MAX((tbl_Finance[Job Number]=C147&amp;"")*(tbl_Finance[Xero Invoice No]&lt;&gt;"")*tbl_Finance[Date]))),""))</f>
        <v/>
      </c>
      <c r="B147" s="25">
        <f>IF(C147="","",IF(COUNTIFS(tbl_Finance[Job Number],C147&amp;"",tbl_Finance[Xero Invoice No],"&lt;&gt;")=0,"",IFERROR(IF(COUNTIFS(tbl_Finance[Job Number],C147&amp;"",tbl_Finance[Xero Invoice No],LOOKUP(2,1/((tbl_Finance[Job Number]=C147&amp;"")*(tbl_Finance[Xero Invoice No]&lt;&gt;"")),tbl_Finance[Xero Invoice No]))=COUNTIFS(tbl_Finance[Job Number],C147&amp;"",tbl_Finance[Xero Invoice No],"&lt;&gt;"),LOOKUP(2,1/((tbl_Finance[Job Number]=C147&amp;"")*(tbl_Finance[Xero Invoice No]&lt;&gt;"")),tbl_Finance[Xero Invoice No]),LOOKUP(2,1/((tbl_Finance[Job Number]=C147&amp;"")*(tbl_Finance[Xero Invoice No]&lt;&gt;"")),tbl_Finance[Xero Invoice No])&amp;" +more"),"")))</f>
        <v/>
      </c>
      <c r="C147" s="24" t="n"/>
      <c r="D147" s="25">
        <f>IF(C147="","",IF(COUNTIF(lst_Jobs,C147&amp;"")&gt;0,"OK","CHECK"))</f>
        <v/>
      </c>
      <c r="E147" s="25">
        <f>IF(C147="","",IFERROR(INDEX(lst_JobName,MATCH(C147&amp;"",lst_Jobs,0)),""))</f>
        <v/>
      </c>
      <c r="F147" s="25">
        <f>IF(C147="","",IFERROR(INDEX(tbl_Finance[Client],MATCH(C147&amp;"",tbl_Finance[Job Number],0)),""))</f>
        <v/>
      </c>
      <c r="G147" s="28">
        <f>IF(C147="","",COUNTIFS(tbl_Finance[Job Number],C147&amp;"",tbl_Finance[Ex GST],"&lt;&gt;"))</f>
        <v/>
      </c>
      <c r="H147" s="27">
        <f>IF(C147="","",SUMIFS(tbl_Finance[Ex GST],tbl_Finance[Job Number],C147&amp;""))</f>
        <v/>
      </c>
      <c r="I147" s="27">
        <f>IF(C147="","",SUMIFS(tbl_Finance[Ex GST],tbl_Finance[Job Number],C147&amp;"",tbl_Finance[Xero Invoice No],"&lt;&gt;"))</f>
        <v/>
      </c>
      <c r="J147" s="27">
        <f>IF(C147="","",H147-I147)</f>
        <v/>
      </c>
      <c r="K147" s="25">
        <f>IF(C147="","",IF(G147=0,"not invoiced yet",SUBSTITUTE(TRIM(IF(COUNTIFS(tbl_Finance[Job Number],C147&amp;"",tbl_Finance[Cost Centre],"ONSITE")&gt;0,"ONSITE ","")&amp;IF(COUNTIFS(tbl_Finance[Job Number],C147&amp;"",tbl_Finance[Cost Centre],"PRODUCTION")&gt;0,"PRODUCTION ","")&amp;IF(COUNTIFS(tbl_Finance[Job Number],C147&amp;"",tbl_Finance[Cost Centre],"VIDEO")&gt;0,"VIDEO ","")&amp;IF(COUNTIFS(tbl_Finance[Job Number],C147&amp;"",tbl_Finance[Cost Centre],"INTEGRATION")&gt;0,"INTEGRATION ","")&amp;IF(COUNTIFS(tbl_Finance[Job Number],C147&amp;"",tbl_Finance[Cost Centre],"CONSULTING")&gt;0,"CONSULTING ","")&amp;IF(COUNTIFS(tbl_Finance[Job Number],C147&amp;"",tbl_Finance[Cost Centre],"CTS")&gt;0,"CTS ",""))," ",", ")))</f>
        <v/>
      </c>
      <c r="L147" s="24" t="n"/>
      <c r="M147" s="25">
        <f>IF(L147="","",HYPERLINK(IF(LEFT(L147,4)="http",L147,set_QwilrBase&amp;L147),"Open quote"))</f>
        <v/>
      </c>
      <c r="N147" s="26" t="n"/>
      <c r="O147" s="26" t="n"/>
      <c r="P147" s="26" t="n"/>
      <c r="Q147" s="25">
        <f>IF(C147="","",IF(N(N147)+N(O147)+N(P147)=0,"Not split",IF(ROUND(N(N147)+N(O147)+N(P147),2)=ROUND(H147,2),"OK","MISMATCH")))</f>
        <v/>
      </c>
      <c r="R147" s="26" t="n"/>
      <c r="S147" s="26" t="n"/>
      <c r="T147" s="26" t="n"/>
      <c r="U147" s="27">
        <f>IF(C147="","",N(R147)+N(S147)+N(T147))</f>
        <v/>
      </c>
      <c r="V147" s="27">
        <f>IF(C147="","",H147-U147)</f>
        <v/>
      </c>
      <c r="W147" s="29">
        <f>IFERROR(V147/H147,"")</f>
        <v/>
      </c>
      <c r="X147" s="24" t="n"/>
    </row>
    <row r="148" ht="15" customHeight="1">
      <c r="A148" s="68">
        <f>IF(C148="","",IFERROR(IF(SUMPRODUCT(MAX((tbl_Finance[Job Number]=C148&amp;"")*(tbl_Finance[Xero Invoice No]&lt;&gt;"")*tbl_Finance[Date]))=0,"",SUMPRODUCT(MAX((tbl_Finance[Job Number]=C148&amp;"")*(tbl_Finance[Xero Invoice No]&lt;&gt;"")*tbl_Finance[Date]))),""))</f>
        <v/>
      </c>
      <c r="B148" s="25">
        <f>IF(C148="","",IF(COUNTIFS(tbl_Finance[Job Number],C148&amp;"",tbl_Finance[Xero Invoice No],"&lt;&gt;")=0,"",IFERROR(IF(COUNTIFS(tbl_Finance[Job Number],C148&amp;"",tbl_Finance[Xero Invoice No],LOOKUP(2,1/((tbl_Finance[Job Number]=C148&amp;"")*(tbl_Finance[Xero Invoice No]&lt;&gt;"")),tbl_Finance[Xero Invoice No]))=COUNTIFS(tbl_Finance[Job Number],C148&amp;"",tbl_Finance[Xero Invoice No],"&lt;&gt;"),LOOKUP(2,1/((tbl_Finance[Job Number]=C148&amp;"")*(tbl_Finance[Xero Invoice No]&lt;&gt;"")),tbl_Finance[Xero Invoice No]),LOOKUP(2,1/((tbl_Finance[Job Number]=C148&amp;"")*(tbl_Finance[Xero Invoice No]&lt;&gt;"")),tbl_Finance[Xero Invoice No])&amp;" +more"),"")))</f>
        <v/>
      </c>
      <c r="C148" s="24" t="n"/>
      <c r="D148" s="25">
        <f>IF(C148="","",IF(COUNTIF(lst_Jobs,C148&amp;"")&gt;0,"OK","CHECK"))</f>
        <v/>
      </c>
      <c r="E148" s="25">
        <f>IF(C148="","",IFERROR(INDEX(lst_JobName,MATCH(C148&amp;"",lst_Jobs,0)),""))</f>
        <v/>
      </c>
      <c r="F148" s="25">
        <f>IF(C148="","",IFERROR(INDEX(tbl_Finance[Client],MATCH(C148&amp;"",tbl_Finance[Job Number],0)),""))</f>
        <v/>
      </c>
      <c r="G148" s="28">
        <f>IF(C148="","",COUNTIFS(tbl_Finance[Job Number],C148&amp;"",tbl_Finance[Ex GST],"&lt;&gt;"))</f>
        <v/>
      </c>
      <c r="H148" s="27">
        <f>IF(C148="","",SUMIFS(tbl_Finance[Ex GST],tbl_Finance[Job Number],C148&amp;""))</f>
        <v/>
      </c>
      <c r="I148" s="27">
        <f>IF(C148="","",SUMIFS(tbl_Finance[Ex GST],tbl_Finance[Job Number],C148&amp;"",tbl_Finance[Xero Invoice No],"&lt;&gt;"))</f>
        <v/>
      </c>
      <c r="J148" s="27">
        <f>IF(C148="","",H148-I148)</f>
        <v/>
      </c>
      <c r="K148" s="25">
        <f>IF(C148="","",IF(G148=0,"not invoiced yet",SUBSTITUTE(TRIM(IF(COUNTIFS(tbl_Finance[Job Number],C148&amp;"",tbl_Finance[Cost Centre],"ONSITE")&gt;0,"ONSITE ","")&amp;IF(COUNTIFS(tbl_Finance[Job Number],C148&amp;"",tbl_Finance[Cost Centre],"PRODUCTION")&gt;0,"PRODUCTION ","")&amp;IF(COUNTIFS(tbl_Finance[Job Number],C148&amp;"",tbl_Finance[Cost Centre],"VIDEO")&gt;0,"VIDEO ","")&amp;IF(COUNTIFS(tbl_Finance[Job Number],C148&amp;"",tbl_Finance[Cost Centre],"INTEGRATION")&gt;0,"INTEGRATION ","")&amp;IF(COUNTIFS(tbl_Finance[Job Number],C148&amp;"",tbl_Finance[Cost Centre],"CONSULTING")&gt;0,"CONSULTING ","")&amp;IF(COUNTIFS(tbl_Finance[Job Number],C148&amp;"",tbl_Finance[Cost Centre],"CTS")&gt;0,"CTS ",""))," ",", ")))</f>
        <v/>
      </c>
      <c r="L148" s="24" t="n"/>
      <c r="M148" s="25">
        <f>IF(L148="","",HYPERLINK(IF(LEFT(L148,4)="http",L148,set_QwilrBase&amp;L148),"Open quote"))</f>
        <v/>
      </c>
      <c r="N148" s="26" t="n"/>
      <c r="O148" s="26" t="n"/>
      <c r="P148" s="26" t="n"/>
      <c r="Q148" s="25">
        <f>IF(C148="","",IF(N(N148)+N(O148)+N(P148)=0,"Not split",IF(ROUND(N(N148)+N(O148)+N(P148),2)=ROUND(H148,2),"OK","MISMATCH")))</f>
        <v/>
      </c>
      <c r="R148" s="26" t="n"/>
      <c r="S148" s="26" t="n"/>
      <c r="T148" s="26" t="n"/>
      <c r="U148" s="27">
        <f>IF(C148="","",N(R148)+N(S148)+N(T148))</f>
        <v/>
      </c>
      <c r="V148" s="27">
        <f>IF(C148="","",H148-U148)</f>
        <v/>
      </c>
      <c r="W148" s="29">
        <f>IFERROR(V148/H148,"")</f>
        <v/>
      </c>
      <c r="X148" s="24" t="n"/>
    </row>
    <row r="149" ht="15" customHeight="1">
      <c r="A149" s="68">
        <f>IF(C149="","",IFERROR(IF(SUMPRODUCT(MAX((tbl_Finance[Job Number]=C149&amp;"")*(tbl_Finance[Xero Invoice No]&lt;&gt;"")*tbl_Finance[Date]))=0,"",SUMPRODUCT(MAX((tbl_Finance[Job Number]=C149&amp;"")*(tbl_Finance[Xero Invoice No]&lt;&gt;"")*tbl_Finance[Date]))),""))</f>
        <v/>
      </c>
      <c r="B149" s="25">
        <f>IF(C149="","",IF(COUNTIFS(tbl_Finance[Job Number],C149&amp;"",tbl_Finance[Xero Invoice No],"&lt;&gt;")=0,"",IFERROR(IF(COUNTIFS(tbl_Finance[Job Number],C149&amp;"",tbl_Finance[Xero Invoice No],LOOKUP(2,1/((tbl_Finance[Job Number]=C149&amp;"")*(tbl_Finance[Xero Invoice No]&lt;&gt;"")),tbl_Finance[Xero Invoice No]))=COUNTIFS(tbl_Finance[Job Number],C149&amp;"",tbl_Finance[Xero Invoice No],"&lt;&gt;"),LOOKUP(2,1/((tbl_Finance[Job Number]=C149&amp;"")*(tbl_Finance[Xero Invoice No]&lt;&gt;"")),tbl_Finance[Xero Invoice No]),LOOKUP(2,1/((tbl_Finance[Job Number]=C149&amp;"")*(tbl_Finance[Xero Invoice No]&lt;&gt;"")),tbl_Finance[Xero Invoice No])&amp;" +more"),"")))</f>
        <v/>
      </c>
      <c r="C149" s="24" t="n"/>
      <c r="D149" s="25">
        <f>IF(C149="","",IF(COUNTIF(lst_Jobs,C149&amp;"")&gt;0,"OK","CHECK"))</f>
        <v/>
      </c>
      <c r="E149" s="25">
        <f>IF(C149="","",IFERROR(INDEX(lst_JobName,MATCH(C149&amp;"",lst_Jobs,0)),""))</f>
        <v/>
      </c>
      <c r="F149" s="25">
        <f>IF(C149="","",IFERROR(INDEX(tbl_Finance[Client],MATCH(C149&amp;"",tbl_Finance[Job Number],0)),""))</f>
        <v/>
      </c>
      <c r="G149" s="28">
        <f>IF(C149="","",COUNTIFS(tbl_Finance[Job Number],C149&amp;"",tbl_Finance[Ex GST],"&lt;&gt;"))</f>
        <v/>
      </c>
      <c r="H149" s="27">
        <f>IF(C149="","",SUMIFS(tbl_Finance[Ex GST],tbl_Finance[Job Number],C149&amp;""))</f>
        <v/>
      </c>
      <c r="I149" s="27">
        <f>IF(C149="","",SUMIFS(tbl_Finance[Ex GST],tbl_Finance[Job Number],C149&amp;"",tbl_Finance[Xero Invoice No],"&lt;&gt;"))</f>
        <v/>
      </c>
      <c r="J149" s="27">
        <f>IF(C149="","",H149-I149)</f>
        <v/>
      </c>
      <c r="K149" s="25">
        <f>IF(C149="","",IF(G149=0,"not invoiced yet",SUBSTITUTE(TRIM(IF(COUNTIFS(tbl_Finance[Job Number],C149&amp;"",tbl_Finance[Cost Centre],"ONSITE")&gt;0,"ONSITE ","")&amp;IF(COUNTIFS(tbl_Finance[Job Number],C149&amp;"",tbl_Finance[Cost Centre],"PRODUCTION")&gt;0,"PRODUCTION ","")&amp;IF(COUNTIFS(tbl_Finance[Job Number],C149&amp;"",tbl_Finance[Cost Centre],"VIDEO")&gt;0,"VIDEO ","")&amp;IF(COUNTIFS(tbl_Finance[Job Number],C149&amp;"",tbl_Finance[Cost Centre],"INTEGRATION")&gt;0,"INTEGRATION ","")&amp;IF(COUNTIFS(tbl_Finance[Job Number],C149&amp;"",tbl_Finance[Cost Centre],"CONSULTING")&gt;0,"CONSULTING ","")&amp;IF(COUNTIFS(tbl_Finance[Job Number],C149&amp;"",tbl_Finance[Cost Centre],"CTS")&gt;0,"CTS ",""))," ",", ")))</f>
        <v/>
      </c>
      <c r="L149" s="24" t="n"/>
      <c r="M149" s="25">
        <f>IF(L149="","",HYPERLINK(IF(LEFT(L149,4)="http",L149,set_QwilrBase&amp;L149),"Open quote"))</f>
        <v/>
      </c>
      <c r="N149" s="26" t="n"/>
      <c r="O149" s="26" t="n"/>
      <c r="P149" s="26" t="n"/>
      <c r="Q149" s="25">
        <f>IF(C149="","",IF(N(N149)+N(O149)+N(P149)=0,"Not split",IF(ROUND(N(N149)+N(O149)+N(P149),2)=ROUND(H149,2),"OK","MISMATCH")))</f>
        <v/>
      </c>
      <c r="R149" s="26" t="n"/>
      <c r="S149" s="26" t="n"/>
      <c r="T149" s="26" t="n"/>
      <c r="U149" s="27">
        <f>IF(C149="","",N(R149)+N(S149)+N(T149))</f>
        <v/>
      </c>
      <c r="V149" s="27">
        <f>IF(C149="","",H149-U149)</f>
        <v/>
      </c>
      <c r="W149" s="29">
        <f>IFERROR(V149/H149,"")</f>
        <v/>
      </c>
      <c r="X149" s="24" t="n"/>
    </row>
    <row r="150" ht="15" customHeight="1">
      <c r="A150" s="68">
        <f>IF(C150="","",IFERROR(IF(SUMPRODUCT(MAX((tbl_Finance[Job Number]=C150&amp;"")*(tbl_Finance[Xero Invoice No]&lt;&gt;"")*tbl_Finance[Date]))=0,"",SUMPRODUCT(MAX((tbl_Finance[Job Number]=C150&amp;"")*(tbl_Finance[Xero Invoice No]&lt;&gt;"")*tbl_Finance[Date]))),""))</f>
        <v/>
      </c>
      <c r="B150" s="25">
        <f>IF(C150="","",IF(COUNTIFS(tbl_Finance[Job Number],C150&amp;"",tbl_Finance[Xero Invoice No],"&lt;&gt;")=0,"",IFERROR(IF(COUNTIFS(tbl_Finance[Job Number],C150&amp;"",tbl_Finance[Xero Invoice No],LOOKUP(2,1/((tbl_Finance[Job Number]=C150&amp;"")*(tbl_Finance[Xero Invoice No]&lt;&gt;"")),tbl_Finance[Xero Invoice No]))=COUNTIFS(tbl_Finance[Job Number],C150&amp;"",tbl_Finance[Xero Invoice No],"&lt;&gt;"),LOOKUP(2,1/((tbl_Finance[Job Number]=C150&amp;"")*(tbl_Finance[Xero Invoice No]&lt;&gt;"")),tbl_Finance[Xero Invoice No]),LOOKUP(2,1/((tbl_Finance[Job Number]=C150&amp;"")*(tbl_Finance[Xero Invoice No]&lt;&gt;"")),tbl_Finance[Xero Invoice No])&amp;" +more"),"")))</f>
        <v/>
      </c>
      <c r="C150" s="24" t="n"/>
      <c r="D150" s="25">
        <f>IF(C150="","",IF(COUNTIF(lst_Jobs,C150&amp;"")&gt;0,"OK","CHECK"))</f>
        <v/>
      </c>
      <c r="E150" s="25">
        <f>IF(C150="","",IFERROR(INDEX(lst_JobName,MATCH(C150&amp;"",lst_Jobs,0)),""))</f>
        <v/>
      </c>
      <c r="F150" s="25">
        <f>IF(C150="","",IFERROR(INDEX(tbl_Finance[Client],MATCH(C150&amp;"",tbl_Finance[Job Number],0)),""))</f>
        <v/>
      </c>
      <c r="G150" s="28">
        <f>IF(C150="","",COUNTIFS(tbl_Finance[Job Number],C150&amp;"",tbl_Finance[Ex GST],"&lt;&gt;"))</f>
        <v/>
      </c>
      <c r="H150" s="27">
        <f>IF(C150="","",SUMIFS(tbl_Finance[Ex GST],tbl_Finance[Job Number],C150&amp;""))</f>
        <v/>
      </c>
      <c r="I150" s="27">
        <f>IF(C150="","",SUMIFS(tbl_Finance[Ex GST],tbl_Finance[Job Number],C150&amp;"",tbl_Finance[Xero Invoice No],"&lt;&gt;"))</f>
        <v/>
      </c>
      <c r="J150" s="27">
        <f>IF(C150="","",H150-I150)</f>
        <v/>
      </c>
      <c r="K150" s="25">
        <f>IF(C150="","",IF(G150=0,"not invoiced yet",SUBSTITUTE(TRIM(IF(COUNTIFS(tbl_Finance[Job Number],C150&amp;"",tbl_Finance[Cost Centre],"ONSITE")&gt;0,"ONSITE ","")&amp;IF(COUNTIFS(tbl_Finance[Job Number],C150&amp;"",tbl_Finance[Cost Centre],"PRODUCTION")&gt;0,"PRODUCTION ","")&amp;IF(COUNTIFS(tbl_Finance[Job Number],C150&amp;"",tbl_Finance[Cost Centre],"VIDEO")&gt;0,"VIDEO ","")&amp;IF(COUNTIFS(tbl_Finance[Job Number],C150&amp;"",tbl_Finance[Cost Centre],"INTEGRATION")&gt;0,"INTEGRATION ","")&amp;IF(COUNTIFS(tbl_Finance[Job Number],C150&amp;"",tbl_Finance[Cost Centre],"CONSULTING")&gt;0,"CONSULTING ","")&amp;IF(COUNTIFS(tbl_Finance[Job Number],C150&amp;"",tbl_Finance[Cost Centre],"CTS")&gt;0,"CTS ",""))," ",", ")))</f>
        <v/>
      </c>
      <c r="L150" s="24" t="n"/>
      <c r="M150" s="25">
        <f>IF(L150="","",HYPERLINK(IF(LEFT(L150,4)="http",L150,set_QwilrBase&amp;L150),"Open quote"))</f>
        <v/>
      </c>
      <c r="N150" s="26" t="n"/>
      <c r="O150" s="26" t="n"/>
      <c r="P150" s="26" t="n"/>
      <c r="Q150" s="25">
        <f>IF(C150="","",IF(N(N150)+N(O150)+N(P150)=0,"Not split",IF(ROUND(N(N150)+N(O150)+N(P150),2)=ROUND(H150,2),"OK","MISMATCH")))</f>
        <v/>
      </c>
      <c r="R150" s="26" t="n"/>
      <c r="S150" s="26" t="n"/>
      <c r="T150" s="26" t="n"/>
      <c r="U150" s="27">
        <f>IF(C150="","",N(R150)+N(S150)+N(T150))</f>
        <v/>
      </c>
      <c r="V150" s="27">
        <f>IF(C150="","",H150-U150)</f>
        <v/>
      </c>
      <c r="W150" s="29">
        <f>IFERROR(V150/H150,"")</f>
        <v/>
      </c>
      <c r="X150" s="24" t="n"/>
    </row>
    <row r="151" ht="15" customHeight="1">
      <c r="A151" s="68">
        <f>IF(C151="","",IFERROR(IF(SUMPRODUCT(MAX((tbl_Finance[Job Number]=C151&amp;"")*(tbl_Finance[Xero Invoice No]&lt;&gt;"")*tbl_Finance[Date]))=0,"",SUMPRODUCT(MAX((tbl_Finance[Job Number]=C151&amp;"")*(tbl_Finance[Xero Invoice No]&lt;&gt;"")*tbl_Finance[Date]))),""))</f>
        <v/>
      </c>
      <c r="B151" s="25">
        <f>IF(C151="","",IF(COUNTIFS(tbl_Finance[Job Number],C151&amp;"",tbl_Finance[Xero Invoice No],"&lt;&gt;")=0,"",IFERROR(IF(COUNTIFS(tbl_Finance[Job Number],C151&amp;"",tbl_Finance[Xero Invoice No],LOOKUP(2,1/((tbl_Finance[Job Number]=C151&amp;"")*(tbl_Finance[Xero Invoice No]&lt;&gt;"")),tbl_Finance[Xero Invoice No]))=COUNTIFS(tbl_Finance[Job Number],C151&amp;"",tbl_Finance[Xero Invoice No],"&lt;&gt;"),LOOKUP(2,1/((tbl_Finance[Job Number]=C151&amp;"")*(tbl_Finance[Xero Invoice No]&lt;&gt;"")),tbl_Finance[Xero Invoice No]),LOOKUP(2,1/((tbl_Finance[Job Number]=C151&amp;"")*(tbl_Finance[Xero Invoice No]&lt;&gt;"")),tbl_Finance[Xero Invoice No])&amp;" +more"),"")))</f>
        <v/>
      </c>
      <c r="C151" s="24" t="n"/>
      <c r="D151" s="25">
        <f>IF(C151="","",IF(COUNTIF(lst_Jobs,C151&amp;"")&gt;0,"OK","CHECK"))</f>
        <v/>
      </c>
      <c r="E151" s="25">
        <f>IF(C151="","",IFERROR(INDEX(lst_JobName,MATCH(C151&amp;"",lst_Jobs,0)),""))</f>
        <v/>
      </c>
      <c r="F151" s="25">
        <f>IF(C151="","",IFERROR(INDEX(tbl_Finance[Client],MATCH(C151&amp;"",tbl_Finance[Job Number],0)),""))</f>
        <v/>
      </c>
      <c r="G151" s="28">
        <f>IF(C151="","",COUNTIFS(tbl_Finance[Job Number],C151&amp;"",tbl_Finance[Ex GST],"&lt;&gt;"))</f>
        <v/>
      </c>
      <c r="H151" s="27">
        <f>IF(C151="","",SUMIFS(tbl_Finance[Ex GST],tbl_Finance[Job Number],C151&amp;""))</f>
        <v/>
      </c>
      <c r="I151" s="27">
        <f>IF(C151="","",SUMIFS(tbl_Finance[Ex GST],tbl_Finance[Job Number],C151&amp;"",tbl_Finance[Xero Invoice No],"&lt;&gt;"))</f>
        <v/>
      </c>
      <c r="J151" s="27">
        <f>IF(C151="","",H151-I151)</f>
        <v/>
      </c>
      <c r="K151" s="25">
        <f>IF(C151="","",IF(G151=0,"not invoiced yet",SUBSTITUTE(TRIM(IF(COUNTIFS(tbl_Finance[Job Number],C151&amp;"",tbl_Finance[Cost Centre],"ONSITE")&gt;0,"ONSITE ","")&amp;IF(COUNTIFS(tbl_Finance[Job Number],C151&amp;"",tbl_Finance[Cost Centre],"PRODUCTION")&gt;0,"PRODUCTION ","")&amp;IF(COUNTIFS(tbl_Finance[Job Number],C151&amp;"",tbl_Finance[Cost Centre],"VIDEO")&gt;0,"VIDEO ","")&amp;IF(COUNTIFS(tbl_Finance[Job Number],C151&amp;"",tbl_Finance[Cost Centre],"INTEGRATION")&gt;0,"INTEGRATION ","")&amp;IF(COUNTIFS(tbl_Finance[Job Number],C151&amp;"",tbl_Finance[Cost Centre],"CONSULTING")&gt;0,"CONSULTING ","")&amp;IF(COUNTIFS(tbl_Finance[Job Number],C151&amp;"",tbl_Finance[Cost Centre],"CTS")&gt;0,"CTS ",""))," ",", ")))</f>
        <v/>
      </c>
      <c r="L151" s="24" t="n"/>
      <c r="M151" s="25">
        <f>IF(L151="","",HYPERLINK(IF(LEFT(L151,4)="http",L151,set_QwilrBase&amp;L151),"Open quote"))</f>
        <v/>
      </c>
      <c r="N151" s="26" t="n"/>
      <c r="O151" s="26" t="n"/>
      <c r="P151" s="26" t="n"/>
      <c r="Q151" s="25">
        <f>IF(C151="","",IF(N(N151)+N(O151)+N(P151)=0,"Not split",IF(ROUND(N(N151)+N(O151)+N(P151),2)=ROUND(H151,2),"OK","MISMATCH")))</f>
        <v/>
      </c>
      <c r="R151" s="26" t="n"/>
      <c r="S151" s="26" t="n"/>
      <c r="T151" s="26" t="n"/>
      <c r="U151" s="27">
        <f>IF(C151="","",N(R151)+N(S151)+N(T151))</f>
        <v/>
      </c>
      <c r="V151" s="27">
        <f>IF(C151="","",H151-U151)</f>
        <v/>
      </c>
      <c r="W151" s="29">
        <f>IFERROR(V151/H151,"")</f>
        <v/>
      </c>
      <c r="X151" s="24" t="n"/>
    </row>
    <row r="152" ht="15" customHeight="1">
      <c r="A152" s="68">
        <f>IF(C152="","",IFERROR(IF(SUMPRODUCT(MAX((tbl_Finance[Job Number]=C152&amp;"")*(tbl_Finance[Xero Invoice No]&lt;&gt;"")*tbl_Finance[Date]))=0,"",SUMPRODUCT(MAX((tbl_Finance[Job Number]=C152&amp;"")*(tbl_Finance[Xero Invoice No]&lt;&gt;"")*tbl_Finance[Date]))),""))</f>
        <v/>
      </c>
      <c r="B152" s="25">
        <f>IF(C152="","",IF(COUNTIFS(tbl_Finance[Job Number],C152&amp;"",tbl_Finance[Xero Invoice No],"&lt;&gt;")=0,"",IFERROR(IF(COUNTIFS(tbl_Finance[Job Number],C152&amp;"",tbl_Finance[Xero Invoice No],LOOKUP(2,1/((tbl_Finance[Job Number]=C152&amp;"")*(tbl_Finance[Xero Invoice No]&lt;&gt;"")),tbl_Finance[Xero Invoice No]))=COUNTIFS(tbl_Finance[Job Number],C152&amp;"",tbl_Finance[Xero Invoice No],"&lt;&gt;"),LOOKUP(2,1/((tbl_Finance[Job Number]=C152&amp;"")*(tbl_Finance[Xero Invoice No]&lt;&gt;"")),tbl_Finance[Xero Invoice No]),LOOKUP(2,1/((tbl_Finance[Job Number]=C152&amp;"")*(tbl_Finance[Xero Invoice No]&lt;&gt;"")),tbl_Finance[Xero Invoice No])&amp;" +more"),"")))</f>
        <v/>
      </c>
      <c r="C152" s="24" t="n"/>
      <c r="D152" s="25">
        <f>IF(C152="","",IF(COUNTIF(lst_Jobs,C152&amp;"")&gt;0,"OK","CHECK"))</f>
        <v/>
      </c>
      <c r="E152" s="25">
        <f>IF(C152="","",IFERROR(INDEX(lst_JobName,MATCH(C152&amp;"",lst_Jobs,0)),""))</f>
        <v/>
      </c>
      <c r="F152" s="25">
        <f>IF(C152="","",IFERROR(INDEX(tbl_Finance[Client],MATCH(C152&amp;"",tbl_Finance[Job Number],0)),""))</f>
        <v/>
      </c>
      <c r="G152" s="28">
        <f>IF(C152="","",COUNTIFS(tbl_Finance[Job Number],C152&amp;"",tbl_Finance[Ex GST],"&lt;&gt;"))</f>
        <v/>
      </c>
      <c r="H152" s="27">
        <f>IF(C152="","",SUMIFS(tbl_Finance[Ex GST],tbl_Finance[Job Number],C152&amp;""))</f>
        <v/>
      </c>
      <c r="I152" s="27">
        <f>IF(C152="","",SUMIFS(tbl_Finance[Ex GST],tbl_Finance[Job Number],C152&amp;"",tbl_Finance[Xero Invoice No],"&lt;&gt;"))</f>
        <v/>
      </c>
      <c r="J152" s="27">
        <f>IF(C152="","",H152-I152)</f>
        <v/>
      </c>
      <c r="K152" s="25">
        <f>IF(C152="","",IF(G152=0,"not invoiced yet",SUBSTITUTE(TRIM(IF(COUNTIFS(tbl_Finance[Job Number],C152&amp;"",tbl_Finance[Cost Centre],"ONSITE")&gt;0,"ONSITE ","")&amp;IF(COUNTIFS(tbl_Finance[Job Number],C152&amp;"",tbl_Finance[Cost Centre],"PRODUCTION")&gt;0,"PRODUCTION ","")&amp;IF(COUNTIFS(tbl_Finance[Job Number],C152&amp;"",tbl_Finance[Cost Centre],"VIDEO")&gt;0,"VIDEO ","")&amp;IF(COUNTIFS(tbl_Finance[Job Number],C152&amp;"",tbl_Finance[Cost Centre],"INTEGRATION")&gt;0,"INTEGRATION ","")&amp;IF(COUNTIFS(tbl_Finance[Job Number],C152&amp;"",tbl_Finance[Cost Centre],"CONSULTING")&gt;0,"CONSULTING ","")&amp;IF(COUNTIFS(tbl_Finance[Job Number],C152&amp;"",tbl_Finance[Cost Centre],"CTS")&gt;0,"CTS ",""))," ",", ")))</f>
        <v/>
      </c>
      <c r="L152" s="24" t="n"/>
      <c r="M152" s="25">
        <f>IF(L152="","",HYPERLINK(IF(LEFT(L152,4)="http",L152,set_QwilrBase&amp;L152),"Open quote"))</f>
        <v/>
      </c>
      <c r="N152" s="26" t="n"/>
      <c r="O152" s="26" t="n"/>
      <c r="P152" s="26" t="n"/>
      <c r="Q152" s="25">
        <f>IF(C152="","",IF(N(N152)+N(O152)+N(P152)=0,"Not split",IF(ROUND(N(N152)+N(O152)+N(P152),2)=ROUND(H152,2),"OK","MISMATCH")))</f>
        <v/>
      </c>
      <c r="R152" s="26" t="n"/>
      <c r="S152" s="26" t="n"/>
      <c r="T152" s="26" t="n"/>
      <c r="U152" s="27">
        <f>IF(C152="","",N(R152)+N(S152)+N(T152))</f>
        <v/>
      </c>
      <c r="V152" s="27">
        <f>IF(C152="","",H152-U152)</f>
        <v/>
      </c>
      <c r="W152" s="29">
        <f>IFERROR(V152/H152,"")</f>
        <v/>
      </c>
      <c r="X152" s="24" t="n"/>
    </row>
    <row r="153" ht="15" customHeight="1">
      <c r="A153" s="68">
        <f>IF(C153="","",IFERROR(IF(SUMPRODUCT(MAX((tbl_Finance[Job Number]=C153&amp;"")*(tbl_Finance[Xero Invoice No]&lt;&gt;"")*tbl_Finance[Date]))=0,"",SUMPRODUCT(MAX((tbl_Finance[Job Number]=C153&amp;"")*(tbl_Finance[Xero Invoice No]&lt;&gt;"")*tbl_Finance[Date]))),""))</f>
        <v/>
      </c>
      <c r="B153" s="25">
        <f>IF(C153="","",IF(COUNTIFS(tbl_Finance[Job Number],C153&amp;"",tbl_Finance[Xero Invoice No],"&lt;&gt;")=0,"",IFERROR(IF(COUNTIFS(tbl_Finance[Job Number],C153&amp;"",tbl_Finance[Xero Invoice No],LOOKUP(2,1/((tbl_Finance[Job Number]=C153&amp;"")*(tbl_Finance[Xero Invoice No]&lt;&gt;"")),tbl_Finance[Xero Invoice No]))=COUNTIFS(tbl_Finance[Job Number],C153&amp;"",tbl_Finance[Xero Invoice No],"&lt;&gt;"),LOOKUP(2,1/((tbl_Finance[Job Number]=C153&amp;"")*(tbl_Finance[Xero Invoice No]&lt;&gt;"")),tbl_Finance[Xero Invoice No]),LOOKUP(2,1/((tbl_Finance[Job Number]=C153&amp;"")*(tbl_Finance[Xero Invoice No]&lt;&gt;"")),tbl_Finance[Xero Invoice No])&amp;" +more"),"")))</f>
        <v/>
      </c>
      <c r="C153" s="24" t="n"/>
      <c r="D153" s="25">
        <f>IF(C153="","",IF(COUNTIF(lst_Jobs,C153&amp;"")&gt;0,"OK","CHECK"))</f>
        <v/>
      </c>
      <c r="E153" s="25">
        <f>IF(C153="","",IFERROR(INDEX(lst_JobName,MATCH(C153&amp;"",lst_Jobs,0)),""))</f>
        <v/>
      </c>
      <c r="F153" s="25">
        <f>IF(C153="","",IFERROR(INDEX(tbl_Finance[Client],MATCH(C153&amp;"",tbl_Finance[Job Number],0)),""))</f>
        <v/>
      </c>
      <c r="G153" s="28">
        <f>IF(C153="","",COUNTIFS(tbl_Finance[Job Number],C153&amp;"",tbl_Finance[Ex GST],"&lt;&gt;"))</f>
        <v/>
      </c>
      <c r="H153" s="27">
        <f>IF(C153="","",SUMIFS(tbl_Finance[Ex GST],tbl_Finance[Job Number],C153&amp;""))</f>
        <v/>
      </c>
      <c r="I153" s="27">
        <f>IF(C153="","",SUMIFS(tbl_Finance[Ex GST],tbl_Finance[Job Number],C153&amp;"",tbl_Finance[Xero Invoice No],"&lt;&gt;"))</f>
        <v/>
      </c>
      <c r="J153" s="27">
        <f>IF(C153="","",H153-I153)</f>
        <v/>
      </c>
      <c r="K153" s="25">
        <f>IF(C153="","",IF(G153=0,"not invoiced yet",SUBSTITUTE(TRIM(IF(COUNTIFS(tbl_Finance[Job Number],C153&amp;"",tbl_Finance[Cost Centre],"ONSITE")&gt;0,"ONSITE ","")&amp;IF(COUNTIFS(tbl_Finance[Job Number],C153&amp;"",tbl_Finance[Cost Centre],"PRODUCTION")&gt;0,"PRODUCTION ","")&amp;IF(COUNTIFS(tbl_Finance[Job Number],C153&amp;"",tbl_Finance[Cost Centre],"VIDEO")&gt;0,"VIDEO ","")&amp;IF(COUNTIFS(tbl_Finance[Job Number],C153&amp;"",tbl_Finance[Cost Centre],"INTEGRATION")&gt;0,"INTEGRATION ","")&amp;IF(COUNTIFS(tbl_Finance[Job Number],C153&amp;"",tbl_Finance[Cost Centre],"CONSULTING")&gt;0,"CONSULTING ","")&amp;IF(COUNTIFS(tbl_Finance[Job Number],C153&amp;"",tbl_Finance[Cost Centre],"CTS")&gt;0,"CTS ",""))," ",", ")))</f>
        <v/>
      </c>
      <c r="L153" s="24" t="n"/>
      <c r="M153" s="25">
        <f>IF(L153="","",HYPERLINK(IF(LEFT(L153,4)="http",L153,set_QwilrBase&amp;L153),"Open quote"))</f>
        <v/>
      </c>
      <c r="N153" s="26" t="n"/>
      <c r="O153" s="26" t="n"/>
      <c r="P153" s="26" t="n"/>
      <c r="Q153" s="25">
        <f>IF(C153="","",IF(N(N153)+N(O153)+N(P153)=0,"Not split",IF(ROUND(N(N153)+N(O153)+N(P153),2)=ROUND(H153,2),"OK","MISMATCH")))</f>
        <v/>
      </c>
      <c r="R153" s="26" t="n"/>
      <c r="S153" s="26" t="n"/>
      <c r="T153" s="26" t="n"/>
      <c r="U153" s="27">
        <f>IF(C153="","",N(R153)+N(S153)+N(T153))</f>
        <v/>
      </c>
      <c r="V153" s="27">
        <f>IF(C153="","",H153-U153)</f>
        <v/>
      </c>
      <c r="W153" s="29">
        <f>IFERROR(V153/H153,"")</f>
        <v/>
      </c>
      <c r="X153" s="24" t="n"/>
    </row>
    <row r="154" ht="15" customHeight="1">
      <c r="A154" s="68">
        <f>IF(C154="","",IFERROR(IF(SUMPRODUCT(MAX((tbl_Finance[Job Number]=C154&amp;"")*(tbl_Finance[Xero Invoice No]&lt;&gt;"")*tbl_Finance[Date]))=0,"",SUMPRODUCT(MAX((tbl_Finance[Job Number]=C154&amp;"")*(tbl_Finance[Xero Invoice No]&lt;&gt;"")*tbl_Finance[Date]))),""))</f>
        <v/>
      </c>
      <c r="B154" s="25">
        <f>IF(C154="","",IF(COUNTIFS(tbl_Finance[Job Number],C154&amp;"",tbl_Finance[Xero Invoice No],"&lt;&gt;")=0,"",IFERROR(IF(COUNTIFS(tbl_Finance[Job Number],C154&amp;"",tbl_Finance[Xero Invoice No],LOOKUP(2,1/((tbl_Finance[Job Number]=C154&amp;"")*(tbl_Finance[Xero Invoice No]&lt;&gt;"")),tbl_Finance[Xero Invoice No]))=COUNTIFS(tbl_Finance[Job Number],C154&amp;"",tbl_Finance[Xero Invoice No],"&lt;&gt;"),LOOKUP(2,1/((tbl_Finance[Job Number]=C154&amp;"")*(tbl_Finance[Xero Invoice No]&lt;&gt;"")),tbl_Finance[Xero Invoice No]),LOOKUP(2,1/((tbl_Finance[Job Number]=C154&amp;"")*(tbl_Finance[Xero Invoice No]&lt;&gt;"")),tbl_Finance[Xero Invoice No])&amp;" +more"),"")))</f>
        <v/>
      </c>
      <c r="C154" s="24" t="n"/>
      <c r="D154" s="25">
        <f>IF(C154="","",IF(COUNTIF(lst_Jobs,C154&amp;"")&gt;0,"OK","CHECK"))</f>
        <v/>
      </c>
      <c r="E154" s="25">
        <f>IF(C154="","",IFERROR(INDEX(lst_JobName,MATCH(C154&amp;"",lst_Jobs,0)),""))</f>
        <v/>
      </c>
      <c r="F154" s="25">
        <f>IF(C154="","",IFERROR(INDEX(tbl_Finance[Client],MATCH(C154&amp;"",tbl_Finance[Job Number],0)),""))</f>
        <v/>
      </c>
      <c r="G154" s="28">
        <f>IF(C154="","",COUNTIFS(tbl_Finance[Job Number],C154&amp;"",tbl_Finance[Ex GST],"&lt;&gt;"))</f>
        <v/>
      </c>
      <c r="H154" s="27">
        <f>IF(C154="","",SUMIFS(tbl_Finance[Ex GST],tbl_Finance[Job Number],C154&amp;""))</f>
        <v/>
      </c>
      <c r="I154" s="27">
        <f>IF(C154="","",SUMIFS(tbl_Finance[Ex GST],tbl_Finance[Job Number],C154&amp;"",tbl_Finance[Xero Invoice No],"&lt;&gt;"))</f>
        <v/>
      </c>
      <c r="J154" s="27">
        <f>IF(C154="","",H154-I154)</f>
        <v/>
      </c>
      <c r="K154" s="25">
        <f>IF(C154="","",IF(G154=0,"not invoiced yet",SUBSTITUTE(TRIM(IF(COUNTIFS(tbl_Finance[Job Number],C154&amp;"",tbl_Finance[Cost Centre],"ONSITE")&gt;0,"ONSITE ","")&amp;IF(COUNTIFS(tbl_Finance[Job Number],C154&amp;"",tbl_Finance[Cost Centre],"PRODUCTION")&gt;0,"PRODUCTION ","")&amp;IF(COUNTIFS(tbl_Finance[Job Number],C154&amp;"",tbl_Finance[Cost Centre],"VIDEO")&gt;0,"VIDEO ","")&amp;IF(COUNTIFS(tbl_Finance[Job Number],C154&amp;"",tbl_Finance[Cost Centre],"INTEGRATION")&gt;0,"INTEGRATION ","")&amp;IF(COUNTIFS(tbl_Finance[Job Number],C154&amp;"",tbl_Finance[Cost Centre],"CONSULTING")&gt;0,"CONSULTING ","")&amp;IF(COUNTIFS(tbl_Finance[Job Number],C154&amp;"",tbl_Finance[Cost Centre],"CTS")&gt;0,"CTS ",""))," ",", ")))</f>
        <v/>
      </c>
      <c r="L154" s="24" t="n"/>
      <c r="M154" s="25">
        <f>IF(L154="","",HYPERLINK(IF(LEFT(L154,4)="http",L154,set_QwilrBase&amp;L154),"Open quote"))</f>
        <v/>
      </c>
      <c r="N154" s="26" t="n"/>
      <c r="O154" s="26" t="n"/>
      <c r="P154" s="26" t="n"/>
      <c r="Q154" s="25">
        <f>IF(C154="","",IF(N(N154)+N(O154)+N(P154)=0,"Not split",IF(ROUND(N(N154)+N(O154)+N(P154),2)=ROUND(H154,2),"OK","MISMATCH")))</f>
        <v/>
      </c>
      <c r="R154" s="26" t="n"/>
      <c r="S154" s="26" t="n"/>
      <c r="T154" s="26" t="n"/>
      <c r="U154" s="27">
        <f>IF(C154="","",N(R154)+N(S154)+N(T154))</f>
        <v/>
      </c>
      <c r="V154" s="27">
        <f>IF(C154="","",H154-U154)</f>
        <v/>
      </c>
      <c r="W154" s="29">
        <f>IFERROR(V154/H154,"")</f>
        <v/>
      </c>
      <c r="X154" s="24" t="n"/>
    </row>
    <row r="155" ht="15" customHeight="1">
      <c r="A155" s="68">
        <f>IF(C155="","",IFERROR(IF(SUMPRODUCT(MAX((tbl_Finance[Job Number]=C155&amp;"")*(tbl_Finance[Xero Invoice No]&lt;&gt;"")*tbl_Finance[Date]))=0,"",SUMPRODUCT(MAX((tbl_Finance[Job Number]=C155&amp;"")*(tbl_Finance[Xero Invoice No]&lt;&gt;"")*tbl_Finance[Date]))),""))</f>
        <v/>
      </c>
      <c r="B155" s="25">
        <f>IF(C155="","",IF(COUNTIFS(tbl_Finance[Job Number],C155&amp;"",tbl_Finance[Xero Invoice No],"&lt;&gt;")=0,"",IFERROR(IF(COUNTIFS(tbl_Finance[Job Number],C155&amp;"",tbl_Finance[Xero Invoice No],LOOKUP(2,1/((tbl_Finance[Job Number]=C155&amp;"")*(tbl_Finance[Xero Invoice No]&lt;&gt;"")),tbl_Finance[Xero Invoice No]))=COUNTIFS(tbl_Finance[Job Number],C155&amp;"",tbl_Finance[Xero Invoice No],"&lt;&gt;"),LOOKUP(2,1/((tbl_Finance[Job Number]=C155&amp;"")*(tbl_Finance[Xero Invoice No]&lt;&gt;"")),tbl_Finance[Xero Invoice No]),LOOKUP(2,1/((tbl_Finance[Job Number]=C155&amp;"")*(tbl_Finance[Xero Invoice No]&lt;&gt;"")),tbl_Finance[Xero Invoice No])&amp;" +more"),"")))</f>
        <v/>
      </c>
      <c r="C155" s="24" t="n"/>
      <c r="D155" s="25">
        <f>IF(C155="","",IF(COUNTIF(lst_Jobs,C155&amp;"")&gt;0,"OK","CHECK"))</f>
        <v/>
      </c>
      <c r="E155" s="25">
        <f>IF(C155="","",IFERROR(INDEX(lst_JobName,MATCH(C155&amp;"",lst_Jobs,0)),""))</f>
        <v/>
      </c>
      <c r="F155" s="25">
        <f>IF(C155="","",IFERROR(INDEX(tbl_Finance[Client],MATCH(C155&amp;"",tbl_Finance[Job Number],0)),""))</f>
        <v/>
      </c>
      <c r="G155" s="28">
        <f>IF(C155="","",COUNTIFS(tbl_Finance[Job Number],C155&amp;"",tbl_Finance[Ex GST],"&lt;&gt;"))</f>
        <v/>
      </c>
      <c r="H155" s="27">
        <f>IF(C155="","",SUMIFS(tbl_Finance[Ex GST],tbl_Finance[Job Number],C155&amp;""))</f>
        <v/>
      </c>
      <c r="I155" s="27">
        <f>IF(C155="","",SUMIFS(tbl_Finance[Ex GST],tbl_Finance[Job Number],C155&amp;"",tbl_Finance[Xero Invoice No],"&lt;&gt;"))</f>
        <v/>
      </c>
      <c r="J155" s="27">
        <f>IF(C155="","",H155-I155)</f>
        <v/>
      </c>
      <c r="K155" s="25">
        <f>IF(C155="","",IF(G155=0,"not invoiced yet",SUBSTITUTE(TRIM(IF(COUNTIFS(tbl_Finance[Job Number],C155&amp;"",tbl_Finance[Cost Centre],"ONSITE")&gt;0,"ONSITE ","")&amp;IF(COUNTIFS(tbl_Finance[Job Number],C155&amp;"",tbl_Finance[Cost Centre],"PRODUCTION")&gt;0,"PRODUCTION ","")&amp;IF(COUNTIFS(tbl_Finance[Job Number],C155&amp;"",tbl_Finance[Cost Centre],"VIDEO")&gt;0,"VIDEO ","")&amp;IF(COUNTIFS(tbl_Finance[Job Number],C155&amp;"",tbl_Finance[Cost Centre],"INTEGRATION")&gt;0,"INTEGRATION ","")&amp;IF(COUNTIFS(tbl_Finance[Job Number],C155&amp;"",tbl_Finance[Cost Centre],"CONSULTING")&gt;0,"CONSULTING ","")&amp;IF(COUNTIFS(tbl_Finance[Job Number],C155&amp;"",tbl_Finance[Cost Centre],"CTS")&gt;0,"CTS ",""))," ",", ")))</f>
        <v/>
      </c>
      <c r="L155" s="24" t="n"/>
      <c r="M155" s="25">
        <f>IF(L155="","",HYPERLINK(IF(LEFT(L155,4)="http",L155,set_QwilrBase&amp;L155),"Open quote"))</f>
        <v/>
      </c>
      <c r="N155" s="26" t="n"/>
      <c r="O155" s="26" t="n"/>
      <c r="P155" s="26" t="n"/>
      <c r="Q155" s="25">
        <f>IF(C155="","",IF(N(N155)+N(O155)+N(P155)=0,"Not split",IF(ROUND(N(N155)+N(O155)+N(P155),2)=ROUND(H155,2),"OK","MISMATCH")))</f>
        <v/>
      </c>
      <c r="R155" s="26" t="n"/>
      <c r="S155" s="26" t="n"/>
      <c r="T155" s="26" t="n"/>
      <c r="U155" s="27">
        <f>IF(C155="","",N(R155)+N(S155)+N(T155))</f>
        <v/>
      </c>
      <c r="V155" s="27">
        <f>IF(C155="","",H155-U155)</f>
        <v/>
      </c>
      <c r="W155" s="29">
        <f>IFERROR(V155/H155,"")</f>
        <v/>
      </c>
      <c r="X155" s="24" t="n"/>
    </row>
    <row r="156" ht="15" customHeight="1">
      <c r="A156" s="68">
        <f>IF(C156="","",IFERROR(IF(SUMPRODUCT(MAX((tbl_Finance[Job Number]=C156&amp;"")*(tbl_Finance[Xero Invoice No]&lt;&gt;"")*tbl_Finance[Date]))=0,"",SUMPRODUCT(MAX((tbl_Finance[Job Number]=C156&amp;"")*(tbl_Finance[Xero Invoice No]&lt;&gt;"")*tbl_Finance[Date]))),""))</f>
        <v/>
      </c>
      <c r="B156" s="25">
        <f>IF(C156="","",IF(COUNTIFS(tbl_Finance[Job Number],C156&amp;"",tbl_Finance[Xero Invoice No],"&lt;&gt;")=0,"",IFERROR(IF(COUNTIFS(tbl_Finance[Job Number],C156&amp;"",tbl_Finance[Xero Invoice No],LOOKUP(2,1/((tbl_Finance[Job Number]=C156&amp;"")*(tbl_Finance[Xero Invoice No]&lt;&gt;"")),tbl_Finance[Xero Invoice No]))=COUNTIFS(tbl_Finance[Job Number],C156&amp;"",tbl_Finance[Xero Invoice No],"&lt;&gt;"),LOOKUP(2,1/((tbl_Finance[Job Number]=C156&amp;"")*(tbl_Finance[Xero Invoice No]&lt;&gt;"")),tbl_Finance[Xero Invoice No]),LOOKUP(2,1/((tbl_Finance[Job Number]=C156&amp;"")*(tbl_Finance[Xero Invoice No]&lt;&gt;"")),tbl_Finance[Xero Invoice No])&amp;" +more"),"")))</f>
        <v/>
      </c>
      <c r="C156" s="24" t="n"/>
      <c r="D156" s="25">
        <f>IF(C156="","",IF(COUNTIF(lst_Jobs,C156&amp;"")&gt;0,"OK","CHECK"))</f>
        <v/>
      </c>
      <c r="E156" s="25">
        <f>IF(C156="","",IFERROR(INDEX(lst_JobName,MATCH(C156&amp;"",lst_Jobs,0)),""))</f>
        <v/>
      </c>
      <c r="F156" s="25">
        <f>IF(C156="","",IFERROR(INDEX(tbl_Finance[Client],MATCH(C156&amp;"",tbl_Finance[Job Number],0)),""))</f>
        <v/>
      </c>
      <c r="G156" s="28">
        <f>IF(C156="","",COUNTIFS(tbl_Finance[Job Number],C156&amp;"",tbl_Finance[Ex GST],"&lt;&gt;"))</f>
        <v/>
      </c>
      <c r="H156" s="27">
        <f>IF(C156="","",SUMIFS(tbl_Finance[Ex GST],tbl_Finance[Job Number],C156&amp;""))</f>
        <v/>
      </c>
      <c r="I156" s="27">
        <f>IF(C156="","",SUMIFS(tbl_Finance[Ex GST],tbl_Finance[Job Number],C156&amp;"",tbl_Finance[Xero Invoice No],"&lt;&gt;"))</f>
        <v/>
      </c>
      <c r="J156" s="27">
        <f>IF(C156="","",H156-I156)</f>
        <v/>
      </c>
      <c r="K156" s="25">
        <f>IF(C156="","",IF(G156=0,"not invoiced yet",SUBSTITUTE(TRIM(IF(COUNTIFS(tbl_Finance[Job Number],C156&amp;"",tbl_Finance[Cost Centre],"ONSITE")&gt;0,"ONSITE ","")&amp;IF(COUNTIFS(tbl_Finance[Job Number],C156&amp;"",tbl_Finance[Cost Centre],"PRODUCTION")&gt;0,"PRODUCTION ","")&amp;IF(COUNTIFS(tbl_Finance[Job Number],C156&amp;"",tbl_Finance[Cost Centre],"VIDEO")&gt;0,"VIDEO ","")&amp;IF(COUNTIFS(tbl_Finance[Job Number],C156&amp;"",tbl_Finance[Cost Centre],"INTEGRATION")&gt;0,"INTEGRATION ","")&amp;IF(COUNTIFS(tbl_Finance[Job Number],C156&amp;"",tbl_Finance[Cost Centre],"CONSULTING")&gt;0,"CONSULTING ","")&amp;IF(COUNTIFS(tbl_Finance[Job Number],C156&amp;"",tbl_Finance[Cost Centre],"CTS")&gt;0,"CTS ",""))," ",", ")))</f>
        <v/>
      </c>
      <c r="L156" s="24" t="n"/>
      <c r="M156" s="25">
        <f>IF(L156="","",HYPERLINK(IF(LEFT(L156,4)="http",L156,set_QwilrBase&amp;L156),"Open quote"))</f>
        <v/>
      </c>
      <c r="N156" s="26" t="n"/>
      <c r="O156" s="26" t="n"/>
      <c r="P156" s="26" t="n"/>
      <c r="Q156" s="25">
        <f>IF(C156="","",IF(N(N156)+N(O156)+N(P156)=0,"Not split",IF(ROUND(N(N156)+N(O156)+N(P156),2)=ROUND(H156,2),"OK","MISMATCH")))</f>
        <v/>
      </c>
      <c r="R156" s="26" t="n"/>
      <c r="S156" s="26" t="n"/>
      <c r="T156" s="26" t="n"/>
      <c r="U156" s="27">
        <f>IF(C156="","",N(R156)+N(S156)+N(T156))</f>
        <v/>
      </c>
      <c r="V156" s="27">
        <f>IF(C156="","",H156-U156)</f>
        <v/>
      </c>
      <c r="W156" s="29">
        <f>IFERROR(V156/H156,"")</f>
        <v/>
      </c>
      <c r="X156" s="24" t="n"/>
    </row>
    <row r="157" ht="15" customHeight="1">
      <c r="A157" s="68">
        <f>IF(C157="","",IFERROR(IF(SUMPRODUCT(MAX((tbl_Finance[Job Number]=C157&amp;"")*(tbl_Finance[Xero Invoice No]&lt;&gt;"")*tbl_Finance[Date]))=0,"",SUMPRODUCT(MAX((tbl_Finance[Job Number]=C157&amp;"")*(tbl_Finance[Xero Invoice No]&lt;&gt;"")*tbl_Finance[Date]))),""))</f>
        <v/>
      </c>
      <c r="B157" s="25">
        <f>IF(C157="","",IF(COUNTIFS(tbl_Finance[Job Number],C157&amp;"",tbl_Finance[Xero Invoice No],"&lt;&gt;")=0,"",IFERROR(IF(COUNTIFS(tbl_Finance[Job Number],C157&amp;"",tbl_Finance[Xero Invoice No],LOOKUP(2,1/((tbl_Finance[Job Number]=C157&amp;"")*(tbl_Finance[Xero Invoice No]&lt;&gt;"")),tbl_Finance[Xero Invoice No]))=COUNTIFS(tbl_Finance[Job Number],C157&amp;"",tbl_Finance[Xero Invoice No],"&lt;&gt;"),LOOKUP(2,1/((tbl_Finance[Job Number]=C157&amp;"")*(tbl_Finance[Xero Invoice No]&lt;&gt;"")),tbl_Finance[Xero Invoice No]),LOOKUP(2,1/((tbl_Finance[Job Number]=C157&amp;"")*(tbl_Finance[Xero Invoice No]&lt;&gt;"")),tbl_Finance[Xero Invoice No])&amp;" +more"),"")))</f>
        <v/>
      </c>
      <c r="C157" s="24" t="n"/>
      <c r="D157" s="25">
        <f>IF(C157="","",IF(COUNTIF(lst_Jobs,C157&amp;"")&gt;0,"OK","CHECK"))</f>
        <v/>
      </c>
      <c r="E157" s="25">
        <f>IF(C157="","",IFERROR(INDEX(lst_JobName,MATCH(C157&amp;"",lst_Jobs,0)),""))</f>
        <v/>
      </c>
      <c r="F157" s="25">
        <f>IF(C157="","",IFERROR(INDEX(tbl_Finance[Client],MATCH(C157&amp;"",tbl_Finance[Job Number],0)),""))</f>
        <v/>
      </c>
      <c r="G157" s="28">
        <f>IF(C157="","",COUNTIFS(tbl_Finance[Job Number],C157&amp;"",tbl_Finance[Ex GST],"&lt;&gt;"))</f>
        <v/>
      </c>
      <c r="H157" s="27">
        <f>IF(C157="","",SUMIFS(tbl_Finance[Ex GST],tbl_Finance[Job Number],C157&amp;""))</f>
        <v/>
      </c>
      <c r="I157" s="27">
        <f>IF(C157="","",SUMIFS(tbl_Finance[Ex GST],tbl_Finance[Job Number],C157&amp;"",tbl_Finance[Xero Invoice No],"&lt;&gt;"))</f>
        <v/>
      </c>
      <c r="J157" s="27">
        <f>IF(C157="","",H157-I157)</f>
        <v/>
      </c>
      <c r="K157" s="25">
        <f>IF(C157="","",IF(G157=0,"not invoiced yet",SUBSTITUTE(TRIM(IF(COUNTIFS(tbl_Finance[Job Number],C157&amp;"",tbl_Finance[Cost Centre],"ONSITE")&gt;0,"ONSITE ","")&amp;IF(COUNTIFS(tbl_Finance[Job Number],C157&amp;"",tbl_Finance[Cost Centre],"PRODUCTION")&gt;0,"PRODUCTION ","")&amp;IF(COUNTIFS(tbl_Finance[Job Number],C157&amp;"",tbl_Finance[Cost Centre],"VIDEO")&gt;0,"VIDEO ","")&amp;IF(COUNTIFS(tbl_Finance[Job Number],C157&amp;"",tbl_Finance[Cost Centre],"INTEGRATION")&gt;0,"INTEGRATION ","")&amp;IF(COUNTIFS(tbl_Finance[Job Number],C157&amp;"",tbl_Finance[Cost Centre],"CONSULTING")&gt;0,"CONSULTING ","")&amp;IF(COUNTIFS(tbl_Finance[Job Number],C157&amp;"",tbl_Finance[Cost Centre],"CTS")&gt;0,"CTS ",""))," ",", ")))</f>
        <v/>
      </c>
      <c r="L157" s="24" t="n"/>
      <c r="M157" s="25">
        <f>IF(L157="","",HYPERLINK(IF(LEFT(L157,4)="http",L157,set_QwilrBase&amp;L157),"Open quote"))</f>
        <v/>
      </c>
      <c r="N157" s="26" t="n"/>
      <c r="O157" s="26" t="n"/>
      <c r="P157" s="26" t="n"/>
      <c r="Q157" s="25">
        <f>IF(C157="","",IF(N(N157)+N(O157)+N(P157)=0,"Not split",IF(ROUND(N(N157)+N(O157)+N(P157),2)=ROUND(H157,2),"OK","MISMATCH")))</f>
        <v/>
      </c>
      <c r="R157" s="26" t="n"/>
      <c r="S157" s="26" t="n"/>
      <c r="T157" s="26" t="n"/>
      <c r="U157" s="27">
        <f>IF(C157="","",N(R157)+N(S157)+N(T157))</f>
        <v/>
      </c>
      <c r="V157" s="27">
        <f>IF(C157="","",H157-U157)</f>
        <v/>
      </c>
      <c r="W157" s="29">
        <f>IFERROR(V157/H157,"")</f>
        <v/>
      </c>
      <c r="X157" s="24" t="n"/>
    </row>
    <row r="158" ht="15" customHeight="1">
      <c r="A158" s="68">
        <f>IF(C158="","",IFERROR(IF(SUMPRODUCT(MAX((tbl_Finance[Job Number]=C158&amp;"")*(tbl_Finance[Xero Invoice No]&lt;&gt;"")*tbl_Finance[Date]))=0,"",SUMPRODUCT(MAX((tbl_Finance[Job Number]=C158&amp;"")*(tbl_Finance[Xero Invoice No]&lt;&gt;"")*tbl_Finance[Date]))),""))</f>
        <v/>
      </c>
      <c r="B158" s="25">
        <f>IF(C158="","",IF(COUNTIFS(tbl_Finance[Job Number],C158&amp;"",tbl_Finance[Xero Invoice No],"&lt;&gt;")=0,"",IFERROR(IF(COUNTIFS(tbl_Finance[Job Number],C158&amp;"",tbl_Finance[Xero Invoice No],LOOKUP(2,1/((tbl_Finance[Job Number]=C158&amp;"")*(tbl_Finance[Xero Invoice No]&lt;&gt;"")),tbl_Finance[Xero Invoice No]))=COUNTIFS(tbl_Finance[Job Number],C158&amp;"",tbl_Finance[Xero Invoice No],"&lt;&gt;"),LOOKUP(2,1/((tbl_Finance[Job Number]=C158&amp;"")*(tbl_Finance[Xero Invoice No]&lt;&gt;"")),tbl_Finance[Xero Invoice No]),LOOKUP(2,1/((tbl_Finance[Job Number]=C158&amp;"")*(tbl_Finance[Xero Invoice No]&lt;&gt;"")),tbl_Finance[Xero Invoice No])&amp;" +more"),"")))</f>
        <v/>
      </c>
      <c r="C158" s="24" t="n"/>
      <c r="D158" s="25">
        <f>IF(C158="","",IF(COUNTIF(lst_Jobs,C158&amp;"")&gt;0,"OK","CHECK"))</f>
        <v/>
      </c>
      <c r="E158" s="25">
        <f>IF(C158="","",IFERROR(INDEX(lst_JobName,MATCH(C158&amp;"",lst_Jobs,0)),""))</f>
        <v/>
      </c>
      <c r="F158" s="25">
        <f>IF(C158="","",IFERROR(INDEX(tbl_Finance[Client],MATCH(C158&amp;"",tbl_Finance[Job Number],0)),""))</f>
        <v/>
      </c>
      <c r="G158" s="28">
        <f>IF(C158="","",COUNTIFS(tbl_Finance[Job Number],C158&amp;"",tbl_Finance[Ex GST],"&lt;&gt;"))</f>
        <v/>
      </c>
      <c r="H158" s="27">
        <f>IF(C158="","",SUMIFS(tbl_Finance[Ex GST],tbl_Finance[Job Number],C158&amp;""))</f>
        <v/>
      </c>
      <c r="I158" s="27">
        <f>IF(C158="","",SUMIFS(tbl_Finance[Ex GST],tbl_Finance[Job Number],C158&amp;"",tbl_Finance[Xero Invoice No],"&lt;&gt;"))</f>
        <v/>
      </c>
      <c r="J158" s="27">
        <f>IF(C158="","",H158-I158)</f>
        <v/>
      </c>
      <c r="K158" s="25">
        <f>IF(C158="","",IF(G158=0,"not invoiced yet",SUBSTITUTE(TRIM(IF(COUNTIFS(tbl_Finance[Job Number],C158&amp;"",tbl_Finance[Cost Centre],"ONSITE")&gt;0,"ONSITE ","")&amp;IF(COUNTIFS(tbl_Finance[Job Number],C158&amp;"",tbl_Finance[Cost Centre],"PRODUCTION")&gt;0,"PRODUCTION ","")&amp;IF(COUNTIFS(tbl_Finance[Job Number],C158&amp;"",tbl_Finance[Cost Centre],"VIDEO")&gt;0,"VIDEO ","")&amp;IF(COUNTIFS(tbl_Finance[Job Number],C158&amp;"",tbl_Finance[Cost Centre],"INTEGRATION")&gt;0,"INTEGRATION ","")&amp;IF(COUNTIFS(tbl_Finance[Job Number],C158&amp;"",tbl_Finance[Cost Centre],"CONSULTING")&gt;0,"CONSULTING ","")&amp;IF(COUNTIFS(tbl_Finance[Job Number],C158&amp;"",tbl_Finance[Cost Centre],"CTS")&gt;0,"CTS ",""))," ",", ")))</f>
        <v/>
      </c>
      <c r="L158" s="24" t="n"/>
      <c r="M158" s="25">
        <f>IF(L158="","",HYPERLINK(IF(LEFT(L158,4)="http",L158,set_QwilrBase&amp;L158),"Open quote"))</f>
        <v/>
      </c>
      <c r="N158" s="26" t="n"/>
      <c r="O158" s="26" t="n"/>
      <c r="P158" s="26" t="n"/>
      <c r="Q158" s="25">
        <f>IF(C158="","",IF(N(N158)+N(O158)+N(P158)=0,"Not split",IF(ROUND(N(N158)+N(O158)+N(P158),2)=ROUND(H158,2),"OK","MISMATCH")))</f>
        <v/>
      </c>
      <c r="R158" s="26" t="n"/>
      <c r="S158" s="26" t="n"/>
      <c r="T158" s="26" t="n"/>
      <c r="U158" s="27">
        <f>IF(C158="","",N(R158)+N(S158)+N(T158))</f>
        <v/>
      </c>
      <c r="V158" s="27">
        <f>IF(C158="","",H158-U158)</f>
        <v/>
      </c>
      <c r="W158" s="29">
        <f>IFERROR(V158/H158,"")</f>
        <v/>
      </c>
      <c r="X158" s="24" t="n"/>
    </row>
    <row r="159" ht="15" customHeight="1">
      <c r="A159" s="68">
        <f>IF(C159="","",IFERROR(IF(SUMPRODUCT(MAX((tbl_Finance[Job Number]=C159&amp;"")*(tbl_Finance[Xero Invoice No]&lt;&gt;"")*tbl_Finance[Date]))=0,"",SUMPRODUCT(MAX((tbl_Finance[Job Number]=C159&amp;"")*(tbl_Finance[Xero Invoice No]&lt;&gt;"")*tbl_Finance[Date]))),""))</f>
        <v/>
      </c>
      <c r="B159" s="25">
        <f>IF(C159="","",IF(COUNTIFS(tbl_Finance[Job Number],C159&amp;"",tbl_Finance[Xero Invoice No],"&lt;&gt;")=0,"",IFERROR(IF(COUNTIFS(tbl_Finance[Job Number],C159&amp;"",tbl_Finance[Xero Invoice No],LOOKUP(2,1/((tbl_Finance[Job Number]=C159&amp;"")*(tbl_Finance[Xero Invoice No]&lt;&gt;"")),tbl_Finance[Xero Invoice No]))=COUNTIFS(tbl_Finance[Job Number],C159&amp;"",tbl_Finance[Xero Invoice No],"&lt;&gt;"),LOOKUP(2,1/((tbl_Finance[Job Number]=C159&amp;"")*(tbl_Finance[Xero Invoice No]&lt;&gt;"")),tbl_Finance[Xero Invoice No]),LOOKUP(2,1/((tbl_Finance[Job Number]=C159&amp;"")*(tbl_Finance[Xero Invoice No]&lt;&gt;"")),tbl_Finance[Xero Invoice No])&amp;" +more"),"")))</f>
        <v/>
      </c>
      <c r="C159" s="24" t="n"/>
      <c r="D159" s="25">
        <f>IF(C159="","",IF(COUNTIF(lst_Jobs,C159&amp;"")&gt;0,"OK","CHECK"))</f>
        <v/>
      </c>
      <c r="E159" s="25">
        <f>IF(C159="","",IFERROR(INDEX(lst_JobName,MATCH(C159&amp;"",lst_Jobs,0)),""))</f>
        <v/>
      </c>
      <c r="F159" s="25">
        <f>IF(C159="","",IFERROR(INDEX(tbl_Finance[Client],MATCH(C159&amp;"",tbl_Finance[Job Number],0)),""))</f>
        <v/>
      </c>
      <c r="G159" s="28">
        <f>IF(C159="","",COUNTIFS(tbl_Finance[Job Number],C159&amp;"",tbl_Finance[Ex GST],"&lt;&gt;"))</f>
        <v/>
      </c>
      <c r="H159" s="27">
        <f>IF(C159="","",SUMIFS(tbl_Finance[Ex GST],tbl_Finance[Job Number],C159&amp;""))</f>
        <v/>
      </c>
      <c r="I159" s="27">
        <f>IF(C159="","",SUMIFS(tbl_Finance[Ex GST],tbl_Finance[Job Number],C159&amp;"",tbl_Finance[Xero Invoice No],"&lt;&gt;"))</f>
        <v/>
      </c>
      <c r="J159" s="27">
        <f>IF(C159="","",H159-I159)</f>
        <v/>
      </c>
      <c r="K159" s="25">
        <f>IF(C159="","",IF(G159=0,"not invoiced yet",SUBSTITUTE(TRIM(IF(COUNTIFS(tbl_Finance[Job Number],C159&amp;"",tbl_Finance[Cost Centre],"ONSITE")&gt;0,"ONSITE ","")&amp;IF(COUNTIFS(tbl_Finance[Job Number],C159&amp;"",tbl_Finance[Cost Centre],"PRODUCTION")&gt;0,"PRODUCTION ","")&amp;IF(COUNTIFS(tbl_Finance[Job Number],C159&amp;"",tbl_Finance[Cost Centre],"VIDEO")&gt;0,"VIDEO ","")&amp;IF(COUNTIFS(tbl_Finance[Job Number],C159&amp;"",tbl_Finance[Cost Centre],"INTEGRATION")&gt;0,"INTEGRATION ","")&amp;IF(COUNTIFS(tbl_Finance[Job Number],C159&amp;"",tbl_Finance[Cost Centre],"CONSULTING")&gt;0,"CONSULTING ","")&amp;IF(COUNTIFS(tbl_Finance[Job Number],C159&amp;"",tbl_Finance[Cost Centre],"CTS")&gt;0,"CTS ",""))," ",", ")))</f>
        <v/>
      </c>
      <c r="L159" s="24" t="n"/>
      <c r="M159" s="25">
        <f>IF(L159="","",HYPERLINK(IF(LEFT(L159,4)="http",L159,set_QwilrBase&amp;L159),"Open quote"))</f>
        <v/>
      </c>
      <c r="N159" s="26" t="n"/>
      <c r="O159" s="26" t="n"/>
      <c r="P159" s="26" t="n"/>
      <c r="Q159" s="25">
        <f>IF(C159="","",IF(N(N159)+N(O159)+N(P159)=0,"Not split",IF(ROUND(N(N159)+N(O159)+N(P159),2)=ROUND(H159,2),"OK","MISMATCH")))</f>
        <v/>
      </c>
      <c r="R159" s="26" t="n"/>
      <c r="S159" s="26" t="n"/>
      <c r="T159" s="26" t="n"/>
      <c r="U159" s="27">
        <f>IF(C159="","",N(R159)+N(S159)+N(T159))</f>
        <v/>
      </c>
      <c r="V159" s="27">
        <f>IF(C159="","",H159-U159)</f>
        <v/>
      </c>
      <c r="W159" s="29">
        <f>IFERROR(V159/H159,"")</f>
        <v/>
      </c>
      <c r="X159" s="24" t="n"/>
    </row>
    <row r="160" ht="15" customHeight="1">
      <c r="A160" s="68">
        <f>IF(C160="","",IFERROR(IF(SUMPRODUCT(MAX((tbl_Finance[Job Number]=C160&amp;"")*(tbl_Finance[Xero Invoice No]&lt;&gt;"")*tbl_Finance[Date]))=0,"",SUMPRODUCT(MAX((tbl_Finance[Job Number]=C160&amp;"")*(tbl_Finance[Xero Invoice No]&lt;&gt;"")*tbl_Finance[Date]))),""))</f>
        <v/>
      </c>
      <c r="B160" s="25">
        <f>IF(C160="","",IF(COUNTIFS(tbl_Finance[Job Number],C160&amp;"",tbl_Finance[Xero Invoice No],"&lt;&gt;")=0,"",IFERROR(IF(COUNTIFS(tbl_Finance[Job Number],C160&amp;"",tbl_Finance[Xero Invoice No],LOOKUP(2,1/((tbl_Finance[Job Number]=C160&amp;"")*(tbl_Finance[Xero Invoice No]&lt;&gt;"")),tbl_Finance[Xero Invoice No]))=COUNTIFS(tbl_Finance[Job Number],C160&amp;"",tbl_Finance[Xero Invoice No],"&lt;&gt;"),LOOKUP(2,1/((tbl_Finance[Job Number]=C160&amp;"")*(tbl_Finance[Xero Invoice No]&lt;&gt;"")),tbl_Finance[Xero Invoice No]),LOOKUP(2,1/((tbl_Finance[Job Number]=C160&amp;"")*(tbl_Finance[Xero Invoice No]&lt;&gt;"")),tbl_Finance[Xero Invoice No])&amp;" +more"),"")))</f>
        <v/>
      </c>
      <c r="C160" s="24" t="n"/>
      <c r="D160" s="25">
        <f>IF(C160="","",IF(COUNTIF(lst_Jobs,C160&amp;"")&gt;0,"OK","CHECK"))</f>
        <v/>
      </c>
      <c r="E160" s="25">
        <f>IF(C160="","",IFERROR(INDEX(lst_JobName,MATCH(C160&amp;"",lst_Jobs,0)),""))</f>
        <v/>
      </c>
      <c r="F160" s="25">
        <f>IF(C160="","",IFERROR(INDEX(tbl_Finance[Client],MATCH(C160&amp;"",tbl_Finance[Job Number],0)),""))</f>
        <v/>
      </c>
      <c r="G160" s="28">
        <f>IF(C160="","",COUNTIFS(tbl_Finance[Job Number],C160&amp;"",tbl_Finance[Ex GST],"&lt;&gt;"))</f>
        <v/>
      </c>
      <c r="H160" s="27">
        <f>IF(C160="","",SUMIFS(tbl_Finance[Ex GST],tbl_Finance[Job Number],C160&amp;""))</f>
        <v/>
      </c>
      <c r="I160" s="27">
        <f>IF(C160="","",SUMIFS(tbl_Finance[Ex GST],tbl_Finance[Job Number],C160&amp;"",tbl_Finance[Xero Invoice No],"&lt;&gt;"))</f>
        <v/>
      </c>
      <c r="J160" s="27">
        <f>IF(C160="","",H160-I160)</f>
        <v/>
      </c>
      <c r="K160" s="25">
        <f>IF(C160="","",IF(G160=0,"not invoiced yet",SUBSTITUTE(TRIM(IF(COUNTIFS(tbl_Finance[Job Number],C160&amp;"",tbl_Finance[Cost Centre],"ONSITE")&gt;0,"ONSITE ","")&amp;IF(COUNTIFS(tbl_Finance[Job Number],C160&amp;"",tbl_Finance[Cost Centre],"PRODUCTION")&gt;0,"PRODUCTION ","")&amp;IF(COUNTIFS(tbl_Finance[Job Number],C160&amp;"",tbl_Finance[Cost Centre],"VIDEO")&gt;0,"VIDEO ","")&amp;IF(COUNTIFS(tbl_Finance[Job Number],C160&amp;"",tbl_Finance[Cost Centre],"INTEGRATION")&gt;0,"INTEGRATION ","")&amp;IF(COUNTIFS(tbl_Finance[Job Number],C160&amp;"",tbl_Finance[Cost Centre],"CONSULTING")&gt;0,"CONSULTING ","")&amp;IF(COUNTIFS(tbl_Finance[Job Number],C160&amp;"",tbl_Finance[Cost Centre],"CTS")&gt;0,"CTS ",""))," ",", ")))</f>
        <v/>
      </c>
      <c r="L160" s="24" t="n"/>
      <c r="M160" s="25">
        <f>IF(L160="","",HYPERLINK(IF(LEFT(L160,4)="http",L160,set_QwilrBase&amp;L160),"Open quote"))</f>
        <v/>
      </c>
      <c r="N160" s="26" t="n"/>
      <c r="O160" s="26" t="n"/>
      <c r="P160" s="26" t="n"/>
      <c r="Q160" s="25">
        <f>IF(C160="","",IF(N(N160)+N(O160)+N(P160)=0,"Not split",IF(ROUND(N(N160)+N(O160)+N(P160),2)=ROUND(H160,2),"OK","MISMATCH")))</f>
        <v/>
      </c>
      <c r="R160" s="26" t="n"/>
      <c r="S160" s="26" t="n"/>
      <c r="T160" s="26" t="n"/>
      <c r="U160" s="27">
        <f>IF(C160="","",N(R160)+N(S160)+N(T160))</f>
        <v/>
      </c>
      <c r="V160" s="27">
        <f>IF(C160="","",H160-U160)</f>
        <v/>
      </c>
      <c r="W160" s="29">
        <f>IFERROR(V160/H160,"")</f>
        <v/>
      </c>
      <c r="X160" s="24" t="n"/>
    </row>
    <row r="161" ht="15" customHeight="1">
      <c r="A161" s="68">
        <f>IF(C161="","",IFERROR(IF(SUMPRODUCT(MAX((tbl_Finance[Job Number]=C161&amp;"")*(tbl_Finance[Xero Invoice No]&lt;&gt;"")*tbl_Finance[Date]))=0,"",SUMPRODUCT(MAX((tbl_Finance[Job Number]=C161&amp;"")*(tbl_Finance[Xero Invoice No]&lt;&gt;"")*tbl_Finance[Date]))),""))</f>
        <v/>
      </c>
      <c r="B161" s="25">
        <f>IF(C161="","",IF(COUNTIFS(tbl_Finance[Job Number],C161&amp;"",tbl_Finance[Xero Invoice No],"&lt;&gt;")=0,"",IFERROR(IF(COUNTIFS(tbl_Finance[Job Number],C161&amp;"",tbl_Finance[Xero Invoice No],LOOKUP(2,1/((tbl_Finance[Job Number]=C161&amp;"")*(tbl_Finance[Xero Invoice No]&lt;&gt;"")),tbl_Finance[Xero Invoice No]))=COUNTIFS(tbl_Finance[Job Number],C161&amp;"",tbl_Finance[Xero Invoice No],"&lt;&gt;"),LOOKUP(2,1/((tbl_Finance[Job Number]=C161&amp;"")*(tbl_Finance[Xero Invoice No]&lt;&gt;"")),tbl_Finance[Xero Invoice No]),LOOKUP(2,1/((tbl_Finance[Job Number]=C161&amp;"")*(tbl_Finance[Xero Invoice No]&lt;&gt;"")),tbl_Finance[Xero Invoice No])&amp;" +more"),"")))</f>
        <v/>
      </c>
      <c r="C161" s="24" t="n"/>
      <c r="D161" s="25">
        <f>IF(C161="","",IF(COUNTIF(lst_Jobs,C161&amp;"")&gt;0,"OK","CHECK"))</f>
        <v/>
      </c>
      <c r="E161" s="25">
        <f>IF(C161="","",IFERROR(INDEX(lst_JobName,MATCH(C161&amp;"",lst_Jobs,0)),""))</f>
        <v/>
      </c>
      <c r="F161" s="25">
        <f>IF(C161="","",IFERROR(INDEX(tbl_Finance[Client],MATCH(C161&amp;"",tbl_Finance[Job Number],0)),""))</f>
        <v/>
      </c>
      <c r="G161" s="28">
        <f>IF(C161="","",COUNTIFS(tbl_Finance[Job Number],C161&amp;"",tbl_Finance[Ex GST],"&lt;&gt;"))</f>
        <v/>
      </c>
      <c r="H161" s="27">
        <f>IF(C161="","",SUMIFS(tbl_Finance[Ex GST],tbl_Finance[Job Number],C161&amp;""))</f>
        <v/>
      </c>
      <c r="I161" s="27">
        <f>IF(C161="","",SUMIFS(tbl_Finance[Ex GST],tbl_Finance[Job Number],C161&amp;"",tbl_Finance[Xero Invoice No],"&lt;&gt;"))</f>
        <v/>
      </c>
      <c r="J161" s="27">
        <f>IF(C161="","",H161-I161)</f>
        <v/>
      </c>
      <c r="K161" s="25">
        <f>IF(C161="","",IF(G161=0,"not invoiced yet",SUBSTITUTE(TRIM(IF(COUNTIFS(tbl_Finance[Job Number],C161&amp;"",tbl_Finance[Cost Centre],"ONSITE")&gt;0,"ONSITE ","")&amp;IF(COUNTIFS(tbl_Finance[Job Number],C161&amp;"",tbl_Finance[Cost Centre],"PRODUCTION")&gt;0,"PRODUCTION ","")&amp;IF(COUNTIFS(tbl_Finance[Job Number],C161&amp;"",tbl_Finance[Cost Centre],"VIDEO")&gt;0,"VIDEO ","")&amp;IF(COUNTIFS(tbl_Finance[Job Number],C161&amp;"",tbl_Finance[Cost Centre],"INTEGRATION")&gt;0,"INTEGRATION ","")&amp;IF(COUNTIFS(tbl_Finance[Job Number],C161&amp;"",tbl_Finance[Cost Centre],"CONSULTING")&gt;0,"CONSULTING ","")&amp;IF(COUNTIFS(tbl_Finance[Job Number],C161&amp;"",tbl_Finance[Cost Centre],"CTS")&gt;0,"CTS ",""))," ",", ")))</f>
        <v/>
      </c>
      <c r="L161" s="24" t="n"/>
      <c r="M161" s="25">
        <f>IF(L161="","",HYPERLINK(IF(LEFT(L161,4)="http",L161,set_QwilrBase&amp;L161),"Open quote"))</f>
        <v/>
      </c>
      <c r="N161" s="26" t="n"/>
      <c r="O161" s="26" t="n"/>
      <c r="P161" s="26" t="n"/>
      <c r="Q161" s="25">
        <f>IF(C161="","",IF(N(N161)+N(O161)+N(P161)=0,"Not split",IF(ROUND(N(N161)+N(O161)+N(P161),2)=ROUND(H161,2),"OK","MISMATCH")))</f>
        <v/>
      </c>
      <c r="R161" s="26" t="n"/>
      <c r="S161" s="26" t="n"/>
      <c r="T161" s="26" t="n"/>
      <c r="U161" s="27">
        <f>IF(C161="","",N(R161)+N(S161)+N(T161))</f>
        <v/>
      </c>
      <c r="V161" s="27">
        <f>IF(C161="","",H161-U161)</f>
        <v/>
      </c>
      <c r="W161" s="29">
        <f>IFERROR(V161/H161,"")</f>
        <v/>
      </c>
      <c r="X161" s="24" t="n"/>
    </row>
    <row r="162" ht="15" customHeight="1">
      <c r="A162" s="68">
        <f>IF(C162="","",IFERROR(IF(SUMPRODUCT(MAX((tbl_Finance[Job Number]=C162&amp;"")*(tbl_Finance[Xero Invoice No]&lt;&gt;"")*tbl_Finance[Date]))=0,"",SUMPRODUCT(MAX((tbl_Finance[Job Number]=C162&amp;"")*(tbl_Finance[Xero Invoice No]&lt;&gt;"")*tbl_Finance[Date]))),""))</f>
        <v/>
      </c>
      <c r="B162" s="25">
        <f>IF(C162="","",IF(COUNTIFS(tbl_Finance[Job Number],C162&amp;"",tbl_Finance[Xero Invoice No],"&lt;&gt;")=0,"",IFERROR(IF(COUNTIFS(tbl_Finance[Job Number],C162&amp;"",tbl_Finance[Xero Invoice No],LOOKUP(2,1/((tbl_Finance[Job Number]=C162&amp;"")*(tbl_Finance[Xero Invoice No]&lt;&gt;"")),tbl_Finance[Xero Invoice No]))=COUNTIFS(tbl_Finance[Job Number],C162&amp;"",tbl_Finance[Xero Invoice No],"&lt;&gt;"),LOOKUP(2,1/((tbl_Finance[Job Number]=C162&amp;"")*(tbl_Finance[Xero Invoice No]&lt;&gt;"")),tbl_Finance[Xero Invoice No]),LOOKUP(2,1/((tbl_Finance[Job Number]=C162&amp;"")*(tbl_Finance[Xero Invoice No]&lt;&gt;"")),tbl_Finance[Xero Invoice No])&amp;" +more"),"")))</f>
        <v/>
      </c>
      <c r="C162" s="24" t="n"/>
      <c r="D162" s="25">
        <f>IF(C162="","",IF(COUNTIF(lst_Jobs,C162&amp;"")&gt;0,"OK","CHECK"))</f>
        <v/>
      </c>
      <c r="E162" s="25">
        <f>IF(C162="","",IFERROR(INDEX(lst_JobName,MATCH(C162&amp;"",lst_Jobs,0)),""))</f>
        <v/>
      </c>
      <c r="F162" s="25">
        <f>IF(C162="","",IFERROR(INDEX(tbl_Finance[Client],MATCH(C162&amp;"",tbl_Finance[Job Number],0)),""))</f>
        <v/>
      </c>
      <c r="G162" s="28">
        <f>IF(C162="","",COUNTIFS(tbl_Finance[Job Number],C162&amp;"",tbl_Finance[Ex GST],"&lt;&gt;"))</f>
        <v/>
      </c>
      <c r="H162" s="27">
        <f>IF(C162="","",SUMIFS(tbl_Finance[Ex GST],tbl_Finance[Job Number],C162&amp;""))</f>
        <v/>
      </c>
      <c r="I162" s="27">
        <f>IF(C162="","",SUMIFS(tbl_Finance[Ex GST],tbl_Finance[Job Number],C162&amp;"",tbl_Finance[Xero Invoice No],"&lt;&gt;"))</f>
        <v/>
      </c>
      <c r="J162" s="27">
        <f>IF(C162="","",H162-I162)</f>
        <v/>
      </c>
      <c r="K162" s="25">
        <f>IF(C162="","",IF(G162=0,"not invoiced yet",SUBSTITUTE(TRIM(IF(COUNTIFS(tbl_Finance[Job Number],C162&amp;"",tbl_Finance[Cost Centre],"ONSITE")&gt;0,"ONSITE ","")&amp;IF(COUNTIFS(tbl_Finance[Job Number],C162&amp;"",tbl_Finance[Cost Centre],"PRODUCTION")&gt;0,"PRODUCTION ","")&amp;IF(COUNTIFS(tbl_Finance[Job Number],C162&amp;"",tbl_Finance[Cost Centre],"VIDEO")&gt;0,"VIDEO ","")&amp;IF(COUNTIFS(tbl_Finance[Job Number],C162&amp;"",tbl_Finance[Cost Centre],"INTEGRATION")&gt;0,"INTEGRATION ","")&amp;IF(COUNTIFS(tbl_Finance[Job Number],C162&amp;"",tbl_Finance[Cost Centre],"CONSULTING")&gt;0,"CONSULTING ","")&amp;IF(COUNTIFS(tbl_Finance[Job Number],C162&amp;"",tbl_Finance[Cost Centre],"CTS")&gt;0,"CTS ",""))," ",", ")))</f>
        <v/>
      </c>
      <c r="L162" s="24" t="n"/>
      <c r="M162" s="25">
        <f>IF(L162="","",HYPERLINK(IF(LEFT(L162,4)="http",L162,set_QwilrBase&amp;L162),"Open quote"))</f>
        <v/>
      </c>
      <c r="N162" s="26" t="n"/>
      <c r="O162" s="26" t="n"/>
      <c r="P162" s="26" t="n"/>
      <c r="Q162" s="25">
        <f>IF(C162="","",IF(N(N162)+N(O162)+N(P162)=0,"Not split",IF(ROUND(N(N162)+N(O162)+N(P162),2)=ROUND(H162,2),"OK","MISMATCH")))</f>
        <v/>
      </c>
      <c r="R162" s="26" t="n"/>
      <c r="S162" s="26" t="n"/>
      <c r="T162" s="26" t="n"/>
      <c r="U162" s="27">
        <f>IF(C162="","",N(R162)+N(S162)+N(T162))</f>
        <v/>
      </c>
      <c r="V162" s="27">
        <f>IF(C162="","",H162-U162)</f>
        <v/>
      </c>
      <c r="W162" s="29">
        <f>IFERROR(V162/H162,"")</f>
        <v/>
      </c>
      <c r="X162" s="24" t="n"/>
    </row>
    <row r="163" ht="15" customHeight="1">
      <c r="A163" s="68">
        <f>IF(C163="","",IFERROR(IF(SUMPRODUCT(MAX((tbl_Finance[Job Number]=C163&amp;"")*(tbl_Finance[Xero Invoice No]&lt;&gt;"")*tbl_Finance[Date]))=0,"",SUMPRODUCT(MAX((tbl_Finance[Job Number]=C163&amp;"")*(tbl_Finance[Xero Invoice No]&lt;&gt;"")*tbl_Finance[Date]))),""))</f>
        <v/>
      </c>
      <c r="B163" s="25">
        <f>IF(C163="","",IF(COUNTIFS(tbl_Finance[Job Number],C163&amp;"",tbl_Finance[Xero Invoice No],"&lt;&gt;")=0,"",IFERROR(IF(COUNTIFS(tbl_Finance[Job Number],C163&amp;"",tbl_Finance[Xero Invoice No],LOOKUP(2,1/((tbl_Finance[Job Number]=C163&amp;"")*(tbl_Finance[Xero Invoice No]&lt;&gt;"")),tbl_Finance[Xero Invoice No]))=COUNTIFS(tbl_Finance[Job Number],C163&amp;"",tbl_Finance[Xero Invoice No],"&lt;&gt;"),LOOKUP(2,1/((tbl_Finance[Job Number]=C163&amp;"")*(tbl_Finance[Xero Invoice No]&lt;&gt;"")),tbl_Finance[Xero Invoice No]),LOOKUP(2,1/((tbl_Finance[Job Number]=C163&amp;"")*(tbl_Finance[Xero Invoice No]&lt;&gt;"")),tbl_Finance[Xero Invoice No])&amp;" +more"),"")))</f>
        <v/>
      </c>
      <c r="C163" s="24" t="n"/>
      <c r="D163" s="25">
        <f>IF(C163="","",IF(COUNTIF(lst_Jobs,C163&amp;"")&gt;0,"OK","CHECK"))</f>
        <v/>
      </c>
      <c r="E163" s="25">
        <f>IF(C163="","",IFERROR(INDEX(lst_JobName,MATCH(C163&amp;"",lst_Jobs,0)),""))</f>
        <v/>
      </c>
      <c r="F163" s="25">
        <f>IF(C163="","",IFERROR(INDEX(tbl_Finance[Client],MATCH(C163&amp;"",tbl_Finance[Job Number],0)),""))</f>
        <v/>
      </c>
      <c r="G163" s="28">
        <f>IF(C163="","",COUNTIFS(tbl_Finance[Job Number],C163&amp;"",tbl_Finance[Ex GST],"&lt;&gt;"))</f>
        <v/>
      </c>
      <c r="H163" s="27">
        <f>IF(C163="","",SUMIFS(tbl_Finance[Ex GST],tbl_Finance[Job Number],C163&amp;""))</f>
        <v/>
      </c>
      <c r="I163" s="27">
        <f>IF(C163="","",SUMIFS(tbl_Finance[Ex GST],tbl_Finance[Job Number],C163&amp;"",tbl_Finance[Xero Invoice No],"&lt;&gt;"))</f>
        <v/>
      </c>
      <c r="J163" s="27">
        <f>IF(C163="","",H163-I163)</f>
        <v/>
      </c>
      <c r="K163" s="25">
        <f>IF(C163="","",IF(G163=0,"not invoiced yet",SUBSTITUTE(TRIM(IF(COUNTIFS(tbl_Finance[Job Number],C163&amp;"",tbl_Finance[Cost Centre],"ONSITE")&gt;0,"ONSITE ","")&amp;IF(COUNTIFS(tbl_Finance[Job Number],C163&amp;"",tbl_Finance[Cost Centre],"PRODUCTION")&gt;0,"PRODUCTION ","")&amp;IF(COUNTIFS(tbl_Finance[Job Number],C163&amp;"",tbl_Finance[Cost Centre],"VIDEO")&gt;0,"VIDEO ","")&amp;IF(COUNTIFS(tbl_Finance[Job Number],C163&amp;"",tbl_Finance[Cost Centre],"INTEGRATION")&gt;0,"INTEGRATION ","")&amp;IF(COUNTIFS(tbl_Finance[Job Number],C163&amp;"",tbl_Finance[Cost Centre],"CONSULTING")&gt;0,"CONSULTING ","")&amp;IF(COUNTIFS(tbl_Finance[Job Number],C163&amp;"",tbl_Finance[Cost Centre],"CTS")&gt;0,"CTS ",""))," ",", ")))</f>
        <v/>
      </c>
      <c r="L163" s="24" t="n"/>
      <c r="M163" s="25">
        <f>IF(L163="","",HYPERLINK(IF(LEFT(L163,4)="http",L163,set_QwilrBase&amp;L163),"Open quote"))</f>
        <v/>
      </c>
      <c r="N163" s="26" t="n"/>
      <c r="O163" s="26" t="n"/>
      <c r="P163" s="26" t="n"/>
      <c r="Q163" s="25">
        <f>IF(C163="","",IF(N(N163)+N(O163)+N(P163)=0,"Not split",IF(ROUND(N(N163)+N(O163)+N(P163),2)=ROUND(H163,2),"OK","MISMATCH")))</f>
        <v/>
      </c>
      <c r="R163" s="26" t="n"/>
      <c r="S163" s="26" t="n"/>
      <c r="T163" s="26" t="n"/>
      <c r="U163" s="27">
        <f>IF(C163="","",N(R163)+N(S163)+N(T163))</f>
        <v/>
      </c>
      <c r="V163" s="27">
        <f>IF(C163="","",H163-U163)</f>
        <v/>
      </c>
      <c r="W163" s="29">
        <f>IFERROR(V163/H163,"")</f>
        <v/>
      </c>
      <c r="X163" s="24" t="n"/>
    </row>
    <row r="164" ht="15" customHeight="1">
      <c r="A164" s="68">
        <f>IF(C164="","",IFERROR(IF(SUMPRODUCT(MAX((tbl_Finance[Job Number]=C164&amp;"")*(tbl_Finance[Xero Invoice No]&lt;&gt;"")*tbl_Finance[Date]))=0,"",SUMPRODUCT(MAX((tbl_Finance[Job Number]=C164&amp;"")*(tbl_Finance[Xero Invoice No]&lt;&gt;"")*tbl_Finance[Date]))),""))</f>
        <v/>
      </c>
      <c r="B164" s="25">
        <f>IF(C164="","",IF(COUNTIFS(tbl_Finance[Job Number],C164&amp;"",tbl_Finance[Xero Invoice No],"&lt;&gt;")=0,"",IFERROR(IF(COUNTIFS(tbl_Finance[Job Number],C164&amp;"",tbl_Finance[Xero Invoice No],LOOKUP(2,1/((tbl_Finance[Job Number]=C164&amp;"")*(tbl_Finance[Xero Invoice No]&lt;&gt;"")),tbl_Finance[Xero Invoice No]))=COUNTIFS(tbl_Finance[Job Number],C164&amp;"",tbl_Finance[Xero Invoice No],"&lt;&gt;"),LOOKUP(2,1/((tbl_Finance[Job Number]=C164&amp;"")*(tbl_Finance[Xero Invoice No]&lt;&gt;"")),tbl_Finance[Xero Invoice No]),LOOKUP(2,1/((tbl_Finance[Job Number]=C164&amp;"")*(tbl_Finance[Xero Invoice No]&lt;&gt;"")),tbl_Finance[Xero Invoice No])&amp;" +more"),"")))</f>
        <v/>
      </c>
      <c r="C164" s="24" t="n"/>
      <c r="D164" s="25">
        <f>IF(C164="","",IF(COUNTIF(lst_Jobs,C164&amp;"")&gt;0,"OK","CHECK"))</f>
        <v/>
      </c>
      <c r="E164" s="25">
        <f>IF(C164="","",IFERROR(INDEX(lst_JobName,MATCH(C164&amp;"",lst_Jobs,0)),""))</f>
        <v/>
      </c>
      <c r="F164" s="25">
        <f>IF(C164="","",IFERROR(INDEX(tbl_Finance[Client],MATCH(C164&amp;"",tbl_Finance[Job Number],0)),""))</f>
        <v/>
      </c>
      <c r="G164" s="28">
        <f>IF(C164="","",COUNTIFS(tbl_Finance[Job Number],C164&amp;"",tbl_Finance[Ex GST],"&lt;&gt;"))</f>
        <v/>
      </c>
      <c r="H164" s="27">
        <f>IF(C164="","",SUMIFS(tbl_Finance[Ex GST],tbl_Finance[Job Number],C164&amp;""))</f>
        <v/>
      </c>
      <c r="I164" s="27">
        <f>IF(C164="","",SUMIFS(tbl_Finance[Ex GST],tbl_Finance[Job Number],C164&amp;"",tbl_Finance[Xero Invoice No],"&lt;&gt;"))</f>
        <v/>
      </c>
      <c r="J164" s="27">
        <f>IF(C164="","",H164-I164)</f>
        <v/>
      </c>
      <c r="K164" s="25">
        <f>IF(C164="","",IF(G164=0,"not invoiced yet",SUBSTITUTE(TRIM(IF(COUNTIFS(tbl_Finance[Job Number],C164&amp;"",tbl_Finance[Cost Centre],"ONSITE")&gt;0,"ONSITE ","")&amp;IF(COUNTIFS(tbl_Finance[Job Number],C164&amp;"",tbl_Finance[Cost Centre],"PRODUCTION")&gt;0,"PRODUCTION ","")&amp;IF(COUNTIFS(tbl_Finance[Job Number],C164&amp;"",tbl_Finance[Cost Centre],"VIDEO")&gt;0,"VIDEO ","")&amp;IF(COUNTIFS(tbl_Finance[Job Number],C164&amp;"",tbl_Finance[Cost Centre],"INTEGRATION")&gt;0,"INTEGRATION ","")&amp;IF(COUNTIFS(tbl_Finance[Job Number],C164&amp;"",tbl_Finance[Cost Centre],"CONSULTING")&gt;0,"CONSULTING ","")&amp;IF(COUNTIFS(tbl_Finance[Job Number],C164&amp;"",tbl_Finance[Cost Centre],"CTS")&gt;0,"CTS ",""))," ",", ")))</f>
        <v/>
      </c>
      <c r="L164" s="24" t="n"/>
      <c r="M164" s="25">
        <f>IF(L164="","",HYPERLINK(IF(LEFT(L164,4)="http",L164,set_QwilrBase&amp;L164),"Open quote"))</f>
        <v/>
      </c>
      <c r="N164" s="26" t="n"/>
      <c r="O164" s="26" t="n"/>
      <c r="P164" s="26" t="n"/>
      <c r="Q164" s="25">
        <f>IF(C164="","",IF(N(N164)+N(O164)+N(P164)=0,"Not split",IF(ROUND(N(N164)+N(O164)+N(P164),2)=ROUND(H164,2),"OK","MISMATCH")))</f>
        <v/>
      </c>
      <c r="R164" s="26" t="n"/>
      <c r="S164" s="26" t="n"/>
      <c r="T164" s="26" t="n"/>
      <c r="U164" s="27">
        <f>IF(C164="","",N(R164)+N(S164)+N(T164))</f>
        <v/>
      </c>
      <c r="V164" s="27">
        <f>IF(C164="","",H164-U164)</f>
        <v/>
      </c>
      <c r="W164" s="29">
        <f>IFERROR(V164/H164,"")</f>
        <v/>
      </c>
      <c r="X164" s="24" t="n"/>
    </row>
    <row r="165" ht="15" customHeight="1">
      <c r="A165" s="68">
        <f>IF(C165="","",IFERROR(IF(SUMPRODUCT(MAX((tbl_Finance[Job Number]=C165&amp;"")*(tbl_Finance[Xero Invoice No]&lt;&gt;"")*tbl_Finance[Date]))=0,"",SUMPRODUCT(MAX((tbl_Finance[Job Number]=C165&amp;"")*(tbl_Finance[Xero Invoice No]&lt;&gt;"")*tbl_Finance[Date]))),""))</f>
        <v/>
      </c>
      <c r="B165" s="25">
        <f>IF(C165="","",IF(COUNTIFS(tbl_Finance[Job Number],C165&amp;"",tbl_Finance[Xero Invoice No],"&lt;&gt;")=0,"",IFERROR(IF(COUNTIFS(tbl_Finance[Job Number],C165&amp;"",tbl_Finance[Xero Invoice No],LOOKUP(2,1/((tbl_Finance[Job Number]=C165&amp;"")*(tbl_Finance[Xero Invoice No]&lt;&gt;"")),tbl_Finance[Xero Invoice No]))=COUNTIFS(tbl_Finance[Job Number],C165&amp;"",tbl_Finance[Xero Invoice No],"&lt;&gt;"),LOOKUP(2,1/((tbl_Finance[Job Number]=C165&amp;"")*(tbl_Finance[Xero Invoice No]&lt;&gt;"")),tbl_Finance[Xero Invoice No]),LOOKUP(2,1/((tbl_Finance[Job Number]=C165&amp;"")*(tbl_Finance[Xero Invoice No]&lt;&gt;"")),tbl_Finance[Xero Invoice No])&amp;" +more"),"")))</f>
        <v/>
      </c>
      <c r="C165" s="24" t="n"/>
      <c r="D165" s="25">
        <f>IF(C165="","",IF(COUNTIF(lst_Jobs,C165&amp;"")&gt;0,"OK","CHECK"))</f>
        <v/>
      </c>
      <c r="E165" s="25">
        <f>IF(C165="","",IFERROR(INDEX(lst_JobName,MATCH(C165&amp;"",lst_Jobs,0)),""))</f>
        <v/>
      </c>
      <c r="F165" s="25">
        <f>IF(C165="","",IFERROR(INDEX(tbl_Finance[Client],MATCH(C165&amp;"",tbl_Finance[Job Number],0)),""))</f>
        <v/>
      </c>
      <c r="G165" s="28">
        <f>IF(C165="","",COUNTIFS(tbl_Finance[Job Number],C165&amp;"",tbl_Finance[Ex GST],"&lt;&gt;"))</f>
        <v/>
      </c>
      <c r="H165" s="27">
        <f>IF(C165="","",SUMIFS(tbl_Finance[Ex GST],tbl_Finance[Job Number],C165&amp;""))</f>
        <v/>
      </c>
      <c r="I165" s="27">
        <f>IF(C165="","",SUMIFS(tbl_Finance[Ex GST],tbl_Finance[Job Number],C165&amp;"",tbl_Finance[Xero Invoice No],"&lt;&gt;"))</f>
        <v/>
      </c>
      <c r="J165" s="27">
        <f>IF(C165="","",H165-I165)</f>
        <v/>
      </c>
      <c r="K165" s="25">
        <f>IF(C165="","",IF(G165=0,"not invoiced yet",SUBSTITUTE(TRIM(IF(COUNTIFS(tbl_Finance[Job Number],C165&amp;"",tbl_Finance[Cost Centre],"ONSITE")&gt;0,"ONSITE ","")&amp;IF(COUNTIFS(tbl_Finance[Job Number],C165&amp;"",tbl_Finance[Cost Centre],"PRODUCTION")&gt;0,"PRODUCTION ","")&amp;IF(COUNTIFS(tbl_Finance[Job Number],C165&amp;"",tbl_Finance[Cost Centre],"VIDEO")&gt;0,"VIDEO ","")&amp;IF(COUNTIFS(tbl_Finance[Job Number],C165&amp;"",tbl_Finance[Cost Centre],"INTEGRATION")&gt;0,"INTEGRATION ","")&amp;IF(COUNTIFS(tbl_Finance[Job Number],C165&amp;"",tbl_Finance[Cost Centre],"CONSULTING")&gt;0,"CONSULTING ","")&amp;IF(COUNTIFS(tbl_Finance[Job Number],C165&amp;"",tbl_Finance[Cost Centre],"CTS")&gt;0,"CTS ",""))," ",", ")))</f>
        <v/>
      </c>
      <c r="L165" s="24" t="n"/>
      <c r="M165" s="25">
        <f>IF(L165="","",HYPERLINK(IF(LEFT(L165,4)="http",L165,set_QwilrBase&amp;L165),"Open quote"))</f>
        <v/>
      </c>
      <c r="N165" s="26" t="n"/>
      <c r="O165" s="26" t="n"/>
      <c r="P165" s="26" t="n"/>
      <c r="Q165" s="25">
        <f>IF(C165="","",IF(N(N165)+N(O165)+N(P165)=0,"Not split",IF(ROUND(N(N165)+N(O165)+N(P165),2)=ROUND(H165,2),"OK","MISMATCH")))</f>
        <v/>
      </c>
      <c r="R165" s="26" t="n"/>
      <c r="S165" s="26" t="n"/>
      <c r="T165" s="26" t="n"/>
      <c r="U165" s="27">
        <f>IF(C165="","",N(R165)+N(S165)+N(T165))</f>
        <v/>
      </c>
      <c r="V165" s="27">
        <f>IF(C165="","",H165-U165)</f>
        <v/>
      </c>
      <c r="W165" s="29">
        <f>IFERROR(V165/H165,"")</f>
        <v/>
      </c>
      <c r="X165" s="24" t="n"/>
    </row>
    <row r="166" ht="15" customHeight="1">
      <c r="A166" s="68">
        <f>IF(C166="","",IFERROR(IF(SUMPRODUCT(MAX((tbl_Finance[Job Number]=C166&amp;"")*(tbl_Finance[Xero Invoice No]&lt;&gt;"")*tbl_Finance[Date]))=0,"",SUMPRODUCT(MAX((tbl_Finance[Job Number]=C166&amp;"")*(tbl_Finance[Xero Invoice No]&lt;&gt;"")*tbl_Finance[Date]))),""))</f>
        <v/>
      </c>
      <c r="B166" s="25">
        <f>IF(C166="","",IF(COUNTIFS(tbl_Finance[Job Number],C166&amp;"",tbl_Finance[Xero Invoice No],"&lt;&gt;")=0,"",IFERROR(IF(COUNTIFS(tbl_Finance[Job Number],C166&amp;"",tbl_Finance[Xero Invoice No],LOOKUP(2,1/((tbl_Finance[Job Number]=C166&amp;"")*(tbl_Finance[Xero Invoice No]&lt;&gt;"")),tbl_Finance[Xero Invoice No]))=COUNTIFS(tbl_Finance[Job Number],C166&amp;"",tbl_Finance[Xero Invoice No],"&lt;&gt;"),LOOKUP(2,1/((tbl_Finance[Job Number]=C166&amp;"")*(tbl_Finance[Xero Invoice No]&lt;&gt;"")),tbl_Finance[Xero Invoice No]),LOOKUP(2,1/((tbl_Finance[Job Number]=C166&amp;"")*(tbl_Finance[Xero Invoice No]&lt;&gt;"")),tbl_Finance[Xero Invoice No])&amp;" +more"),"")))</f>
        <v/>
      </c>
      <c r="C166" s="24" t="n"/>
      <c r="D166" s="25">
        <f>IF(C166="","",IF(COUNTIF(lst_Jobs,C166&amp;"")&gt;0,"OK","CHECK"))</f>
        <v/>
      </c>
      <c r="E166" s="25">
        <f>IF(C166="","",IFERROR(INDEX(lst_JobName,MATCH(C166&amp;"",lst_Jobs,0)),""))</f>
        <v/>
      </c>
      <c r="F166" s="25">
        <f>IF(C166="","",IFERROR(INDEX(tbl_Finance[Client],MATCH(C166&amp;"",tbl_Finance[Job Number],0)),""))</f>
        <v/>
      </c>
      <c r="G166" s="28">
        <f>IF(C166="","",COUNTIFS(tbl_Finance[Job Number],C166&amp;"",tbl_Finance[Ex GST],"&lt;&gt;"))</f>
        <v/>
      </c>
      <c r="H166" s="27">
        <f>IF(C166="","",SUMIFS(tbl_Finance[Ex GST],tbl_Finance[Job Number],C166&amp;""))</f>
        <v/>
      </c>
      <c r="I166" s="27">
        <f>IF(C166="","",SUMIFS(tbl_Finance[Ex GST],tbl_Finance[Job Number],C166&amp;"",tbl_Finance[Xero Invoice No],"&lt;&gt;"))</f>
        <v/>
      </c>
      <c r="J166" s="27">
        <f>IF(C166="","",H166-I166)</f>
        <v/>
      </c>
      <c r="K166" s="25">
        <f>IF(C166="","",IF(G166=0,"not invoiced yet",SUBSTITUTE(TRIM(IF(COUNTIFS(tbl_Finance[Job Number],C166&amp;"",tbl_Finance[Cost Centre],"ONSITE")&gt;0,"ONSITE ","")&amp;IF(COUNTIFS(tbl_Finance[Job Number],C166&amp;"",tbl_Finance[Cost Centre],"PRODUCTION")&gt;0,"PRODUCTION ","")&amp;IF(COUNTIFS(tbl_Finance[Job Number],C166&amp;"",tbl_Finance[Cost Centre],"VIDEO")&gt;0,"VIDEO ","")&amp;IF(COUNTIFS(tbl_Finance[Job Number],C166&amp;"",tbl_Finance[Cost Centre],"INTEGRATION")&gt;0,"INTEGRATION ","")&amp;IF(COUNTIFS(tbl_Finance[Job Number],C166&amp;"",tbl_Finance[Cost Centre],"CONSULTING")&gt;0,"CONSULTING ","")&amp;IF(COUNTIFS(tbl_Finance[Job Number],C166&amp;"",tbl_Finance[Cost Centre],"CTS")&gt;0,"CTS ",""))," ",", ")))</f>
        <v/>
      </c>
      <c r="L166" s="24" t="n"/>
      <c r="M166" s="25">
        <f>IF(L166="","",HYPERLINK(IF(LEFT(L166,4)="http",L166,set_QwilrBase&amp;L166),"Open quote"))</f>
        <v/>
      </c>
      <c r="N166" s="26" t="n"/>
      <c r="O166" s="26" t="n"/>
      <c r="P166" s="26" t="n"/>
      <c r="Q166" s="25">
        <f>IF(C166="","",IF(N(N166)+N(O166)+N(P166)=0,"Not split",IF(ROUND(N(N166)+N(O166)+N(P166),2)=ROUND(H166,2),"OK","MISMATCH")))</f>
        <v/>
      </c>
      <c r="R166" s="26" t="n"/>
      <c r="S166" s="26" t="n"/>
      <c r="T166" s="26" t="n"/>
      <c r="U166" s="27">
        <f>IF(C166="","",N(R166)+N(S166)+N(T166))</f>
        <v/>
      </c>
      <c r="V166" s="27">
        <f>IF(C166="","",H166-U166)</f>
        <v/>
      </c>
      <c r="W166" s="29">
        <f>IFERROR(V166/H166,"")</f>
        <v/>
      </c>
      <c r="X166" s="24" t="n"/>
    </row>
    <row r="167" ht="15" customHeight="1">
      <c r="A167" s="68">
        <f>IF(C167="","",IFERROR(IF(SUMPRODUCT(MAX((tbl_Finance[Job Number]=C167&amp;"")*(tbl_Finance[Xero Invoice No]&lt;&gt;"")*tbl_Finance[Date]))=0,"",SUMPRODUCT(MAX((tbl_Finance[Job Number]=C167&amp;"")*(tbl_Finance[Xero Invoice No]&lt;&gt;"")*tbl_Finance[Date]))),""))</f>
        <v/>
      </c>
      <c r="B167" s="25">
        <f>IF(C167="","",IF(COUNTIFS(tbl_Finance[Job Number],C167&amp;"",tbl_Finance[Xero Invoice No],"&lt;&gt;")=0,"",IFERROR(IF(COUNTIFS(tbl_Finance[Job Number],C167&amp;"",tbl_Finance[Xero Invoice No],LOOKUP(2,1/((tbl_Finance[Job Number]=C167&amp;"")*(tbl_Finance[Xero Invoice No]&lt;&gt;"")),tbl_Finance[Xero Invoice No]))=COUNTIFS(tbl_Finance[Job Number],C167&amp;"",tbl_Finance[Xero Invoice No],"&lt;&gt;"),LOOKUP(2,1/((tbl_Finance[Job Number]=C167&amp;"")*(tbl_Finance[Xero Invoice No]&lt;&gt;"")),tbl_Finance[Xero Invoice No]),LOOKUP(2,1/((tbl_Finance[Job Number]=C167&amp;"")*(tbl_Finance[Xero Invoice No]&lt;&gt;"")),tbl_Finance[Xero Invoice No])&amp;" +more"),"")))</f>
        <v/>
      </c>
      <c r="C167" s="24" t="n"/>
      <c r="D167" s="25">
        <f>IF(C167="","",IF(COUNTIF(lst_Jobs,C167&amp;"")&gt;0,"OK","CHECK"))</f>
        <v/>
      </c>
      <c r="E167" s="25">
        <f>IF(C167="","",IFERROR(INDEX(lst_JobName,MATCH(C167&amp;"",lst_Jobs,0)),""))</f>
        <v/>
      </c>
      <c r="F167" s="25">
        <f>IF(C167="","",IFERROR(INDEX(tbl_Finance[Client],MATCH(C167&amp;"",tbl_Finance[Job Number],0)),""))</f>
        <v/>
      </c>
      <c r="G167" s="28">
        <f>IF(C167="","",COUNTIFS(tbl_Finance[Job Number],C167&amp;"",tbl_Finance[Ex GST],"&lt;&gt;"))</f>
        <v/>
      </c>
      <c r="H167" s="27">
        <f>IF(C167="","",SUMIFS(tbl_Finance[Ex GST],tbl_Finance[Job Number],C167&amp;""))</f>
        <v/>
      </c>
      <c r="I167" s="27">
        <f>IF(C167="","",SUMIFS(tbl_Finance[Ex GST],tbl_Finance[Job Number],C167&amp;"",tbl_Finance[Xero Invoice No],"&lt;&gt;"))</f>
        <v/>
      </c>
      <c r="J167" s="27">
        <f>IF(C167="","",H167-I167)</f>
        <v/>
      </c>
      <c r="K167" s="25">
        <f>IF(C167="","",IF(G167=0,"not invoiced yet",SUBSTITUTE(TRIM(IF(COUNTIFS(tbl_Finance[Job Number],C167&amp;"",tbl_Finance[Cost Centre],"ONSITE")&gt;0,"ONSITE ","")&amp;IF(COUNTIFS(tbl_Finance[Job Number],C167&amp;"",tbl_Finance[Cost Centre],"PRODUCTION")&gt;0,"PRODUCTION ","")&amp;IF(COUNTIFS(tbl_Finance[Job Number],C167&amp;"",tbl_Finance[Cost Centre],"VIDEO")&gt;0,"VIDEO ","")&amp;IF(COUNTIFS(tbl_Finance[Job Number],C167&amp;"",tbl_Finance[Cost Centre],"INTEGRATION")&gt;0,"INTEGRATION ","")&amp;IF(COUNTIFS(tbl_Finance[Job Number],C167&amp;"",tbl_Finance[Cost Centre],"CONSULTING")&gt;0,"CONSULTING ","")&amp;IF(COUNTIFS(tbl_Finance[Job Number],C167&amp;"",tbl_Finance[Cost Centre],"CTS")&gt;0,"CTS ",""))," ",", ")))</f>
        <v/>
      </c>
      <c r="L167" s="24" t="n"/>
      <c r="M167" s="25">
        <f>IF(L167="","",HYPERLINK(IF(LEFT(L167,4)="http",L167,set_QwilrBase&amp;L167),"Open quote"))</f>
        <v/>
      </c>
      <c r="N167" s="26" t="n"/>
      <c r="O167" s="26" t="n"/>
      <c r="P167" s="26" t="n"/>
      <c r="Q167" s="25">
        <f>IF(C167="","",IF(N(N167)+N(O167)+N(P167)=0,"Not split",IF(ROUND(N(N167)+N(O167)+N(P167),2)=ROUND(H167,2),"OK","MISMATCH")))</f>
        <v/>
      </c>
      <c r="R167" s="26" t="n"/>
      <c r="S167" s="26" t="n"/>
      <c r="T167" s="26" t="n"/>
      <c r="U167" s="27">
        <f>IF(C167="","",N(R167)+N(S167)+N(T167))</f>
        <v/>
      </c>
      <c r="V167" s="27">
        <f>IF(C167="","",H167-U167)</f>
        <v/>
      </c>
      <c r="W167" s="29">
        <f>IFERROR(V167/H167,"")</f>
        <v/>
      </c>
      <c r="X167" s="24" t="n"/>
    </row>
    <row r="168" ht="15" customHeight="1">
      <c r="A168" s="68">
        <f>IF(C168="","",IFERROR(IF(SUMPRODUCT(MAX((tbl_Finance[Job Number]=C168&amp;"")*(tbl_Finance[Xero Invoice No]&lt;&gt;"")*tbl_Finance[Date]))=0,"",SUMPRODUCT(MAX((tbl_Finance[Job Number]=C168&amp;"")*(tbl_Finance[Xero Invoice No]&lt;&gt;"")*tbl_Finance[Date]))),""))</f>
        <v/>
      </c>
      <c r="B168" s="25">
        <f>IF(C168="","",IF(COUNTIFS(tbl_Finance[Job Number],C168&amp;"",tbl_Finance[Xero Invoice No],"&lt;&gt;")=0,"",IFERROR(IF(COUNTIFS(tbl_Finance[Job Number],C168&amp;"",tbl_Finance[Xero Invoice No],LOOKUP(2,1/((tbl_Finance[Job Number]=C168&amp;"")*(tbl_Finance[Xero Invoice No]&lt;&gt;"")),tbl_Finance[Xero Invoice No]))=COUNTIFS(tbl_Finance[Job Number],C168&amp;"",tbl_Finance[Xero Invoice No],"&lt;&gt;"),LOOKUP(2,1/((tbl_Finance[Job Number]=C168&amp;"")*(tbl_Finance[Xero Invoice No]&lt;&gt;"")),tbl_Finance[Xero Invoice No]),LOOKUP(2,1/((tbl_Finance[Job Number]=C168&amp;"")*(tbl_Finance[Xero Invoice No]&lt;&gt;"")),tbl_Finance[Xero Invoice No])&amp;" +more"),"")))</f>
        <v/>
      </c>
      <c r="C168" s="24" t="n"/>
      <c r="D168" s="25">
        <f>IF(C168="","",IF(COUNTIF(lst_Jobs,C168&amp;"")&gt;0,"OK","CHECK"))</f>
        <v/>
      </c>
      <c r="E168" s="25">
        <f>IF(C168="","",IFERROR(INDEX(lst_JobName,MATCH(C168&amp;"",lst_Jobs,0)),""))</f>
        <v/>
      </c>
      <c r="F168" s="25">
        <f>IF(C168="","",IFERROR(INDEX(tbl_Finance[Client],MATCH(C168&amp;"",tbl_Finance[Job Number],0)),""))</f>
        <v/>
      </c>
      <c r="G168" s="28">
        <f>IF(C168="","",COUNTIFS(tbl_Finance[Job Number],C168&amp;"",tbl_Finance[Ex GST],"&lt;&gt;"))</f>
        <v/>
      </c>
      <c r="H168" s="27">
        <f>IF(C168="","",SUMIFS(tbl_Finance[Ex GST],tbl_Finance[Job Number],C168&amp;""))</f>
        <v/>
      </c>
      <c r="I168" s="27">
        <f>IF(C168="","",SUMIFS(tbl_Finance[Ex GST],tbl_Finance[Job Number],C168&amp;"",tbl_Finance[Xero Invoice No],"&lt;&gt;"))</f>
        <v/>
      </c>
      <c r="J168" s="27">
        <f>IF(C168="","",H168-I168)</f>
        <v/>
      </c>
      <c r="K168" s="25">
        <f>IF(C168="","",IF(G168=0,"not invoiced yet",SUBSTITUTE(TRIM(IF(COUNTIFS(tbl_Finance[Job Number],C168&amp;"",tbl_Finance[Cost Centre],"ONSITE")&gt;0,"ONSITE ","")&amp;IF(COUNTIFS(tbl_Finance[Job Number],C168&amp;"",tbl_Finance[Cost Centre],"PRODUCTION")&gt;0,"PRODUCTION ","")&amp;IF(COUNTIFS(tbl_Finance[Job Number],C168&amp;"",tbl_Finance[Cost Centre],"VIDEO")&gt;0,"VIDEO ","")&amp;IF(COUNTIFS(tbl_Finance[Job Number],C168&amp;"",tbl_Finance[Cost Centre],"INTEGRATION")&gt;0,"INTEGRATION ","")&amp;IF(COUNTIFS(tbl_Finance[Job Number],C168&amp;"",tbl_Finance[Cost Centre],"CONSULTING")&gt;0,"CONSULTING ","")&amp;IF(COUNTIFS(tbl_Finance[Job Number],C168&amp;"",tbl_Finance[Cost Centre],"CTS")&gt;0,"CTS ",""))," ",", ")))</f>
        <v/>
      </c>
      <c r="L168" s="24" t="n"/>
      <c r="M168" s="25">
        <f>IF(L168="","",HYPERLINK(IF(LEFT(L168,4)="http",L168,set_QwilrBase&amp;L168),"Open quote"))</f>
        <v/>
      </c>
      <c r="N168" s="26" t="n"/>
      <c r="O168" s="26" t="n"/>
      <c r="P168" s="26" t="n"/>
      <c r="Q168" s="25">
        <f>IF(C168="","",IF(N(N168)+N(O168)+N(P168)=0,"Not split",IF(ROUND(N(N168)+N(O168)+N(P168),2)=ROUND(H168,2),"OK","MISMATCH")))</f>
        <v/>
      </c>
      <c r="R168" s="26" t="n"/>
      <c r="S168" s="26" t="n"/>
      <c r="T168" s="26" t="n"/>
      <c r="U168" s="27">
        <f>IF(C168="","",N(R168)+N(S168)+N(T168))</f>
        <v/>
      </c>
      <c r="V168" s="27">
        <f>IF(C168="","",H168-U168)</f>
        <v/>
      </c>
      <c r="W168" s="29">
        <f>IFERROR(V168/H168,"")</f>
        <v/>
      </c>
      <c r="X168" s="24" t="n"/>
    </row>
    <row r="169" ht="15" customHeight="1">
      <c r="A169" s="68">
        <f>IF(C169="","",IFERROR(IF(SUMPRODUCT(MAX((tbl_Finance[Job Number]=C169&amp;"")*(tbl_Finance[Xero Invoice No]&lt;&gt;"")*tbl_Finance[Date]))=0,"",SUMPRODUCT(MAX((tbl_Finance[Job Number]=C169&amp;"")*(tbl_Finance[Xero Invoice No]&lt;&gt;"")*tbl_Finance[Date]))),""))</f>
        <v/>
      </c>
      <c r="B169" s="25">
        <f>IF(C169="","",IF(COUNTIFS(tbl_Finance[Job Number],C169&amp;"",tbl_Finance[Xero Invoice No],"&lt;&gt;")=0,"",IFERROR(IF(COUNTIFS(tbl_Finance[Job Number],C169&amp;"",tbl_Finance[Xero Invoice No],LOOKUP(2,1/((tbl_Finance[Job Number]=C169&amp;"")*(tbl_Finance[Xero Invoice No]&lt;&gt;"")),tbl_Finance[Xero Invoice No]))=COUNTIFS(tbl_Finance[Job Number],C169&amp;"",tbl_Finance[Xero Invoice No],"&lt;&gt;"),LOOKUP(2,1/((tbl_Finance[Job Number]=C169&amp;"")*(tbl_Finance[Xero Invoice No]&lt;&gt;"")),tbl_Finance[Xero Invoice No]),LOOKUP(2,1/((tbl_Finance[Job Number]=C169&amp;"")*(tbl_Finance[Xero Invoice No]&lt;&gt;"")),tbl_Finance[Xero Invoice No])&amp;" +more"),"")))</f>
        <v/>
      </c>
      <c r="C169" s="24" t="n"/>
      <c r="D169" s="25">
        <f>IF(C169="","",IF(COUNTIF(lst_Jobs,C169&amp;"")&gt;0,"OK","CHECK"))</f>
        <v/>
      </c>
      <c r="E169" s="25">
        <f>IF(C169="","",IFERROR(INDEX(lst_JobName,MATCH(C169&amp;"",lst_Jobs,0)),""))</f>
        <v/>
      </c>
      <c r="F169" s="25">
        <f>IF(C169="","",IFERROR(INDEX(tbl_Finance[Client],MATCH(C169&amp;"",tbl_Finance[Job Number],0)),""))</f>
        <v/>
      </c>
      <c r="G169" s="28">
        <f>IF(C169="","",COUNTIFS(tbl_Finance[Job Number],C169&amp;"",tbl_Finance[Ex GST],"&lt;&gt;"))</f>
        <v/>
      </c>
      <c r="H169" s="27">
        <f>IF(C169="","",SUMIFS(tbl_Finance[Ex GST],tbl_Finance[Job Number],C169&amp;""))</f>
        <v/>
      </c>
      <c r="I169" s="27">
        <f>IF(C169="","",SUMIFS(tbl_Finance[Ex GST],tbl_Finance[Job Number],C169&amp;"",tbl_Finance[Xero Invoice No],"&lt;&gt;"))</f>
        <v/>
      </c>
      <c r="J169" s="27">
        <f>IF(C169="","",H169-I169)</f>
        <v/>
      </c>
      <c r="K169" s="25">
        <f>IF(C169="","",IF(G169=0,"not invoiced yet",SUBSTITUTE(TRIM(IF(COUNTIFS(tbl_Finance[Job Number],C169&amp;"",tbl_Finance[Cost Centre],"ONSITE")&gt;0,"ONSITE ","")&amp;IF(COUNTIFS(tbl_Finance[Job Number],C169&amp;"",tbl_Finance[Cost Centre],"PRODUCTION")&gt;0,"PRODUCTION ","")&amp;IF(COUNTIFS(tbl_Finance[Job Number],C169&amp;"",tbl_Finance[Cost Centre],"VIDEO")&gt;0,"VIDEO ","")&amp;IF(COUNTIFS(tbl_Finance[Job Number],C169&amp;"",tbl_Finance[Cost Centre],"INTEGRATION")&gt;0,"INTEGRATION ","")&amp;IF(COUNTIFS(tbl_Finance[Job Number],C169&amp;"",tbl_Finance[Cost Centre],"CONSULTING")&gt;0,"CONSULTING ","")&amp;IF(COUNTIFS(tbl_Finance[Job Number],C169&amp;"",tbl_Finance[Cost Centre],"CTS")&gt;0,"CTS ",""))," ",", ")))</f>
        <v/>
      </c>
      <c r="L169" s="24" t="n"/>
      <c r="M169" s="25">
        <f>IF(L169="","",HYPERLINK(IF(LEFT(L169,4)="http",L169,set_QwilrBase&amp;L169),"Open quote"))</f>
        <v/>
      </c>
      <c r="N169" s="26" t="n"/>
      <c r="O169" s="26" t="n"/>
      <c r="P169" s="26" t="n"/>
      <c r="Q169" s="25">
        <f>IF(C169="","",IF(N(N169)+N(O169)+N(P169)=0,"Not split",IF(ROUND(N(N169)+N(O169)+N(P169),2)=ROUND(H169,2),"OK","MISMATCH")))</f>
        <v/>
      </c>
      <c r="R169" s="26" t="n"/>
      <c r="S169" s="26" t="n"/>
      <c r="T169" s="26" t="n"/>
      <c r="U169" s="27">
        <f>IF(C169="","",N(R169)+N(S169)+N(T169))</f>
        <v/>
      </c>
      <c r="V169" s="27">
        <f>IF(C169="","",H169-U169)</f>
        <v/>
      </c>
      <c r="W169" s="29">
        <f>IFERROR(V169/H169,"")</f>
        <v/>
      </c>
      <c r="X169" s="24" t="n"/>
    </row>
    <row r="170" ht="15" customHeight="1">
      <c r="A170" s="68">
        <f>IF(C170="","",IFERROR(IF(SUMPRODUCT(MAX((tbl_Finance[Job Number]=C170&amp;"")*(tbl_Finance[Xero Invoice No]&lt;&gt;"")*tbl_Finance[Date]))=0,"",SUMPRODUCT(MAX((tbl_Finance[Job Number]=C170&amp;"")*(tbl_Finance[Xero Invoice No]&lt;&gt;"")*tbl_Finance[Date]))),""))</f>
        <v/>
      </c>
      <c r="B170" s="25">
        <f>IF(C170="","",IF(COUNTIFS(tbl_Finance[Job Number],C170&amp;"",tbl_Finance[Xero Invoice No],"&lt;&gt;")=0,"",IFERROR(IF(COUNTIFS(tbl_Finance[Job Number],C170&amp;"",tbl_Finance[Xero Invoice No],LOOKUP(2,1/((tbl_Finance[Job Number]=C170&amp;"")*(tbl_Finance[Xero Invoice No]&lt;&gt;"")),tbl_Finance[Xero Invoice No]))=COUNTIFS(tbl_Finance[Job Number],C170&amp;"",tbl_Finance[Xero Invoice No],"&lt;&gt;"),LOOKUP(2,1/((tbl_Finance[Job Number]=C170&amp;"")*(tbl_Finance[Xero Invoice No]&lt;&gt;"")),tbl_Finance[Xero Invoice No]),LOOKUP(2,1/((tbl_Finance[Job Number]=C170&amp;"")*(tbl_Finance[Xero Invoice No]&lt;&gt;"")),tbl_Finance[Xero Invoice No])&amp;" +more"),"")))</f>
        <v/>
      </c>
      <c r="C170" s="24" t="n"/>
      <c r="D170" s="25">
        <f>IF(C170="","",IF(COUNTIF(lst_Jobs,C170&amp;"")&gt;0,"OK","CHECK"))</f>
        <v/>
      </c>
      <c r="E170" s="25">
        <f>IF(C170="","",IFERROR(INDEX(lst_JobName,MATCH(C170&amp;"",lst_Jobs,0)),""))</f>
        <v/>
      </c>
      <c r="F170" s="25">
        <f>IF(C170="","",IFERROR(INDEX(tbl_Finance[Client],MATCH(C170&amp;"",tbl_Finance[Job Number],0)),""))</f>
        <v/>
      </c>
      <c r="G170" s="28">
        <f>IF(C170="","",COUNTIFS(tbl_Finance[Job Number],C170&amp;"",tbl_Finance[Ex GST],"&lt;&gt;"))</f>
        <v/>
      </c>
      <c r="H170" s="27">
        <f>IF(C170="","",SUMIFS(tbl_Finance[Ex GST],tbl_Finance[Job Number],C170&amp;""))</f>
        <v/>
      </c>
      <c r="I170" s="27">
        <f>IF(C170="","",SUMIFS(tbl_Finance[Ex GST],tbl_Finance[Job Number],C170&amp;"",tbl_Finance[Xero Invoice No],"&lt;&gt;"))</f>
        <v/>
      </c>
      <c r="J170" s="27">
        <f>IF(C170="","",H170-I170)</f>
        <v/>
      </c>
      <c r="K170" s="25">
        <f>IF(C170="","",IF(G170=0,"not invoiced yet",SUBSTITUTE(TRIM(IF(COUNTIFS(tbl_Finance[Job Number],C170&amp;"",tbl_Finance[Cost Centre],"ONSITE")&gt;0,"ONSITE ","")&amp;IF(COUNTIFS(tbl_Finance[Job Number],C170&amp;"",tbl_Finance[Cost Centre],"PRODUCTION")&gt;0,"PRODUCTION ","")&amp;IF(COUNTIFS(tbl_Finance[Job Number],C170&amp;"",tbl_Finance[Cost Centre],"VIDEO")&gt;0,"VIDEO ","")&amp;IF(COUNTIFS(tbl_Finance[Job Number],C170&amp;"",tbl_Finance[Cost Centre],"INTEGRATION")&gt;0,"INTEGRATION ","")&amp;IF(COUNTIFS(tbl_Finance[Job Number],C170&amp;"",tbl_Finance[Cost Centre],"CONSULTING")&gt;0,"CONSULTING ","")&amp;IF(COUNTIFS(tbl_Finance[Job Number],C170&amp;"",tbl_Finance[Cost Centre],"CTS")&gt;0,"CTS ",""))," ",", ")))</f>
        <v/>
      </c>
      <c r="L170" s="24" t="n"/>
      <c r="M170" s="25">
        <f>IF(L170="","",HYPERLINK(IF(LEFT(L170,4)="http",L170,set_QwilrBase&amp;L170),"Open quote"))</f>
        <v/>
      </c>
      <c r="N170" s="26" t="n"/>
      <c r="O170" s="26" t="n"/>
      <c r="P170" s="26" t="n"/>
      <c r="Q170" s="25">
        <f>IF(C170="","",IF(N(N170)+N(O170)+N(P170)=0,"Not split",IF(ROUND(N(N170)+N(O170)+N(P170),2)=ROUND(H170,2),"OK","MISMATCH")))</f>
        <v/>
      </c>
      <c r="R170" s="26" t="n"/>
      <c r="S170" s="26" t="n"/>
      <c r="T170" s="26" t="n"/>
      <c r="U170" s="27">
        <f>IF(C170="","",N(R170)+N(S170)+N(T170))</f>
        <v/>
      </c>
      <c r="V170" s="27">
        <f>IF(C170="","",H170-U170)</f>
        <v/>
      </c>
      <c r="W170" s="29">
        <f>IFERROR(V170/H170,"")</f>
        <v/>
      </c>
      <c r="X170" s="24" t="n"/>
    </row>
    <row r="171" ht="15" customHeight="1">
      <c r="A171" s="68">
        <f>IF(C171="","",IFERROR(IF(SUMPRODUCT(MAX((tbl_Finance[Job Number]=C171&amp;"")*(tbl_Finance[Xero Invoice No]&lt;&gt;"")*tbl_Finance[Date]))=0,"",SUMPRODUCT(MAX((tbl_Finance[Job Number]=C171&amp;"")*(tbl_Finance[Xero Invoice No]&lt;&gt;"")*tbl_Finance[Date]))),""))</f>
        <v/>
      </c>
      <c r="B171" s="25">
        <f>IF(C171="","",IF(COUNTIFS(tbl_Finance[Job Number],C171&amp;"",tbl_Finance[Xero Invoice No],"&lt;&gt;")=0,"",IFERROR(IF(COUNTIFS(tbl_Finance[Job Number],C171&amp;"",tbl_Finance[Xero Invoice No],LOOKUP(2,1/((tbl_Finance[Job Number]=C171&amp;"")*(tbl_Finance[Xero Invoice No]&lt;&gt;"")),tbl_Finance[Xero Invoice No]))=COUNTIFS(tbl_Finance[Job Number],C171&amp;"",tbl_Finance[Xero Invoice No],"&lt;&gt;"),LOOKUP(2,1/((tbl_Finance[Job Number]=C171&amp;"")*(tbl_Finance[Xero Invoice No]&lt;&gt;"")),tbl_Finance[Xero Invoice No]),LOOKUP(2,1/((tbl_Finance[Job Number]=C171&amp;"")*(tbl_Finance[Xero Invoice No]&lt;&gt;"")),tbl_Finance[Xero Invoice No])&amp;" +more"),"")))</f>
        <v/>
      </c>
      <c r="C171" s="24" t="n"/>
      <c r="D171" s="25">
        <f>IF(C171="","",IF(COUNTIF(lst_Jobs,C171&amp;"")&gt;0,"OK","CHECK"))</f>
        <v/>
      </c>
      <c r="E171" s="25">
        <f>IF(C171="","",IFERROR(INDEX(lst_JobName,MATCH(C171&amp;"",lst_Jobs,0)),""))</f>
        <v/>
      </c>
      <c r="F171" s="25">
        <f>IF(C171="","",IFERROR(INDEX(tbl_Finance[Client],MATCH(C171&amp;"",tbl_Finance[Job Number],0)),""))</f>
        <v/>
      </c>
      <c r="G171" s="28">
        <f>IF(C171="","",COUNTIFS(tbl_Finance[Job Number],C171&amp;"",tbl_Finance[Ex GST],"&lt;&gt;"))</f>
        <v/>
      </c>
      <c r="H171" s="27">
        <f>IF(C171="","",SUMIFS(tbl_Finance[Ex GST],tbl_Finance[Job Number],C171&amp;""))</f>
        <v/>
      </c>
      <c r="I171" s="27">
        <f>IF(C171="","",SUMIFS(tbl_Finance[Ex GST],tbl_Finance[Job Number],C171&amp;"",tbl_Finance[Xero Invoice No],"&lt;&gt;"))</f>
        <v/>
      </c>
      <c r="J171" s="27">
        <f>IF(C171="","",H171-I171)</f>
        <v/>
      </c>
      <c r="K171" s="25">
        <f>IF(C171="","",IF(G171=0,"not invoiced yet",SUBSTITUTE(TRIM(IF(COUNTIFS(tbl_Finance[Job Number],C171&amp;"",tbl_Finance[Cost Centre],"ONSITE")&gt;0,"ONSITE ","")&amp;IF(COUNTIFS(tbl_Finance[Job Number],C171&amp;"",tbl_Finance[Cost Centre],"PRODUCTION")&gt;0,"PRODUCTION ","")&amp;IF(COUNTIFS(tbl_Finance[Job Number],C171&amp;"",tbl_Finance[Cost Centre],"VIDEO")&gt;0,"VIDEO ","")&amp;IF(COUNTIFS(tbl_Finance[Job Number],C171&amp;"",tbl_Finance[Cost Centre],"INTEGRATION")&gt;0,"INTEGRATION ","")&amp;IF(COUNTIFS(tbl_Finance[Job Number],C171&amp;"",tbl_Finance[Cost Centre],"CONSULTING")&gt;0,"CONSULTING ","")&amp;IF(COUNTIFS(tbl_Finance[Job Number],C171&amp;"",tbl_Finance[Cost Centre],"CTS")&gt;0,"CTS ",""))," ",", ")))</f>
        <v/>
      </c>
      <c r="L171" s="24" t="n"/>
      <c r="M171" s="25">
        <f>IF(L171="","",HYPERLINK(IF(LEFT(L171,4)="http",L171,set_QwilrBase&amp;L171),"Open quote"))</f>
        <v/>
      </c>
      <c r="N171" s="26" t="n"/>
      <c r="O171" s="26" t="n"/>
      <c r="P171" s="26" t="n"/>
      <c r="Q171" s="25">
        <f>IF(C171="","",IF(N(N171)+N(O171)+N(P171)=0,"Not split",IF(ROUND(N(N171)+N(O171)+N(P171),2)=ROUND(H171,2),"OK","MISMATCH")))</f>
        <v/>
      </c>
      <c r="R171" s="26" t="n"/>
      <c r="S171" s="26" t="n"/>
      <c r="T171" s="26" t="n"/>
      <c r="U171" s="27">
        <f>IF(C171="","",N(R171)+N(S171)+N(T171))</f>
        <v/>
      </c>
      <c r="V171" s="27">
        <f>IF(C171="","",H171-U171)</f>
        <v/>
      </c>
      <c r="W171" s="29">
        <f>IFERROR(V171/H171,"")</f>
        <v/>
      </c>
      <c r="X171" s="24" t="n"/>
    </row>
    <row r="172" ht="15" customHeight="1">
      <c r="A172" s="68">
        <f>IF(C172="","",IFERROR(IF(SUMPRODUCT(MAX((tbl_Finance[Job Number]=C172&amp;"")*(tbl_Finance[Xero Invoice No]&lt;&gt;"")*tbl_Finance[Date]))=0,"",SUMPRODUCT(MAX((tbl_Finance[Job Number]=C172&amp;"")*(tbl_Finance[Xero Invoice No]&lt;&gt;"")*tbl_Finance[Date]))),""))</f>
        <v/>
      </c>
      <c r="B172" s="25">
        <f>IF(C172="","",IF(COUNTIFS(tbl_Finance[Job Number],C172&amp;"",tbl_Finance[Xero Invoice No],"&lt;&gt;")=0,"",IFERROR(IF(COUNTIFS(tbl_Finance[Job Number],C172&amp;"",tbl_Finance[Xero Invoice No],LOOKUP(2,1/((tbl_Finance[Job Number]=C172&amp;"")*(tbl_Finance[Xero Invoice No]&lt;&gt;"")),tbl_Finance[Xero Invoice No]))=COUNTIFS(tbl_Finance[Job Number],C172&amp;"",tbl_Finance[Xero Invoice No],"&lt;&gt;"),LOOKUP(2,1/((tbl_Finance[Job Number]=C172&amp;"")*(tbl_Finance[Xero Invoice No]&lt;&gt;"")),tbl_Finance[Xero Invoice No]),LOOKUP(2,1/((tbl_Finance[Job Number]=C172&amp;"")*(tbl_Finance[Xero Invoice No]&lt;&gt;"")),tbl_Finance[Xero Invoice No])&amp;" +more"),"")))</f>
        <v/>
      </c>
      <c r="C172" s="24" t="n"/>
      <c r="D172" s="25">
        <f>IF(C172="","",IF(COUNTIF(lst_Jobs,C172&amp;"")&gt;0,"OK","CHECK"))</f>
        <v/>
      </c>
      <c r="E172" s="25">
        <f>IF(C172="","",IFERROR(INDEX(lst_JobName,MATCH(C172&amp;"",lst_Jobs,0)),""))</f>
        <v/>
      </c>
      <c r="F172" s="25">
        <f>IF(C172="","",IFERROR(INDEX(tbl_Finance[Client],MATCH(C172&amp;"",tbl_Finance[Job Number],0)),""))</f>
        <v/>
      </c>
      <c r="G172" s="28">
        <f>IF(C172="","",COUNTIFS(tbl_Finance[Job Number],C172&amp;"",tbl_Finance[Ex GST],"&lt;&gt;"))</f>
        <v/>
      </c>
      <c r="H172" s="27">
        <f>IF(C172="","",SUMIFS(tbl_Finance[Ex GST],tbl_Finance[Job Number],C172&amp;""))</f>
        <v/>
      </c>
      <c r="I172" s="27">
        <f>IF(C172="","",SUMIFS(tbl_Finance[Ex GST],tbl_Finance[Job Number],C172&amp;"",tbl_Finance[Xero Invoice No],"&lt;&gt;"))</f>
        <v/>
      </c>
      <c r="J172" s="27">
        <f>IF(C172="","",H172-I172)</f>
        <v/>
      </c>
      <c r="K172" s="25">
        <f>IF(C172="","",IF(G172=0,"not invoiced yet",SUBSTITUTE(TRIM(IF(COUNTIFS(tbl_Finance[Job Number],C172&amp;"",tbl_Finance[Cost Centre],"ONSITE")&gt;0,"ONSITE ","")&amp;IF(COUNTIFS(tbl_Finance[Job Number],C172&amp;"",tbl_Finance[Cost Centre],"PRODUCTION")&gt;0,"PRODUCTION ","")&amp;IF(COUNTIFS(tbl_Finance[Job Number],C172&amp;"",tbl_Finance[Cost Centre],"VIDEO")&gt;0,"VIDEO ","")&amp;IF(COUNTIFS(tbl_Finance[Job Number],C172&amp;"",tbl_Finance[Cost Centre],"INTEGRATION")&gt;0,"INTEGRATION ","")&amp;IF(COUNTIFS(tbl_Finance[Job Number],C172&amp;"",tbl_Finance[Cost Centre],"CONSULTING")&gt;0,"CONSULTING ","")&amp;IF(COUNTIFS(tbl_Finance[Job Number],C172&amp;"",tbl_Finance[Cost Centre],"CTS")&gt;0,"CTS ",""))," ",", ")))</f>
        <v/>
      </c>
      <c r="L172" s="24" t="n"/>
      <c r="M172" s="25">
        <f>IF(L172="","",HYPERLINK(IF(LEFT(L172,4)="http",L172,set_QwilrBase&amp;L172),"Open quote"))</f>
        <v/>
      </c>
      <c r="N172" s="26" t="n"/>
      <c r="O172" s="26" t="n"/>
      <c r="P172" s="26" t="n"/>
      <c r="Q172" s="25">
        <f>IF(C172="","",IF(N(N172)+N(O172)+N(P172)=0,"Not split",IF(ROUND(N(N172)+N(O172)+N(P172),2)=ROUND(H172,2),"OK","MISMATCH")))</f>
        <v/>
      </c>
      <c r="R172" s="26" t="n"/>
      <c r="S172" s="26" t="n"/>
      <c r="T172" s="26" t="n"/>
      <c r="U172" s="27">
        <f>IF(C172="","",N(R172)+N(S172)+N(T172))</f>
        <v/>
      </c>
      <c r="V172" s="27">
        <f>IF(C172="","",H172-U172)</f>
        <v/>
      </c>
      <c r="W172" s="29">
        <f>IFERROR(V172/H172,"")</f>
        <v/>
      </c>
      <c r="X172" s="24" t="n"/>
    </row>
    <row r="173" ht="15" customHeight="1">
      <c r="A173" s="68">
        <f>IF(C173="","",IFERROR(IF(SUMPRODUCT(MAX((tbl_Finance[Job Number]=C173&amp;"")*(tbl_Finance[Xero Invoice No]&lt;&gt;"")*tbl_Finance[Date]))=0,"",SUMPRODUCT(MAX((tbl_Finance[Job Number]=C173&amp;"")*(tbl_Finance[Xero Invoice No]&lt;&gt;"")*tbl_Finance[Date]))),""))</f>
        <v/>
      </c>
      <c r="B173" s="25">
        <f>IF(C173="","",IF(COUNTIFS(tbl_Finance[Job Number],C173&amp;"",tbl_Finance[Xero Invoice No],"&lt;&gt;")=0,"",IFERROR(IF(COUNTIFS(tbl_Finance[Job Number],C173&amp;"",tbl_Finance[Xero Invoice No],LOOKUP(2,1/((tbl_Finance[Job Number]=C173&amp;"")*(tbl_Finance[Xero Invoice No]&lt;&gt;"")),tbl_Finance[Xero Invoice No]))=COUNTIFS(tbl_Finance[Job Number],C173&amp;"",tbl_Finance[Xero Invoice No],"&lt;&gt;"),LOOKUP(2,1/((tbl_Finance[Job Number]=C173&amp;"")*(tbl_Finance[Xero Invoice No]&lt;&gt;"")),tbl_Finance[Xero Invoice No]),LOOKUP(2,1/((tbl_Finance[Job Number]=C173&amp;"")*(tbl_Finance[Xero Invoice No]&lt;&gt;"")),tbl_Finance[Xero Invoice No])&amp;" +more"),"")))</f>
        <v/>
      </c>
      <c r="C173" s="24" t="n"/>
      <c r="D173" s="25">
        <f>IF(C173="","",IF(COUNTIF(lst_Jobs,C173&amp;"")&gt;0,"OK","CHECK"))</f>
        <v/>
      </c>
      <c r="E173" s="25">
        <f>IF(C173="","",IFERROR(INDEX(lst_JobName,MATCH(C173&amp;"",lst_Jobs,0)),""))</f>
        <v/>
      </c>
      <c r="F173" s="25">
        <f>IF(C173="","",IFERROR(INDEX(tbl_Finance[Client],MATCH(C173&amp;"",tbl_Finance[Job Number],0)),""))</f>
        <v/>
      </c>
      <c r="G173" s="28">
        <f>IF(C173="","",COUNTIFS(tbl_Finance[Job Number],C173&amp;"",tbl_Finance[Ex GST],"&lt;&gt;"))</f>
        <v/>
      </c>
      <c r="H173" s="27">
        <f>IF(C173="","",SUMIFS(tbl_Finance[Ex GST],tbl_Finance[Job Number],C173&amp;""))</f>
        <v/>
      </c>
      <c r="I173" s="27">
        <f>IF(C173="","",SUMIFS(tbl_Finance[Ex GST],tbl_Finance[Job Number],C173&amp;"",tbl_Finance[Xero Invoice No],"&lt;&gt;"))</f>
        <v/>
      </c>
      <c r="J173" s="27">
        <f>IF(C173="","",H173-I173)</f>
        <v/>
      </c>
      <c r="K173" s="25">
        <f>IF(C173="","",IF(G173=0,"not invoiced yet",SUBSTITUTE(TRIM(IF(COUNTIFS(tbl_Finance[Job Number],C173&amp;"",tbl_Finance[Cost Centre],"ONSITE")&gt;0,"ONSITE ","")&amp;IF(COUNTIFS(tbl_Finance[Job Number],C173&amp;"",tbl_Finance[Cost Centre],"PRODUCTION")&gt;0,"PRODUCTION ","")&amp;IF(COUNTIFS(tbl_Finance[Job Number],C173&amp;"",tbl_Finance[Cost Centre],"VIDEO")&gt;0,"VIDEO ","")&amp;IF(COUNTIFS(tbl_Finance[Job Number],C173&amp;"",tbl_Finance[Cost Centre],"INTEGRATION")&gt;0,"INTEGRATION ","")&amp;IF(COUNTIFS(tbl_Finance[Job Number],C173&amp;"",tbl_Finance[Cost Centre],"CONSULTING")&gt;0,"CONSULTING ","")&amp;IF(COUNTIFS(tbl_Finance[Job Number],C173&amp;"",tbl_Finance[Cost Centre],"CTS")&gt;0,"CTS ",""))," ",", ")))</f>
        <v/>
      </c>
      <c r="L173" s="24" t="n"/>
      <c r="M173" s="25">
        <f>IF(L173="","",HYPERLINK(IF(LEFT(L173,4)="http",L173,set_QwilrBase&amp;L173),"Open quote"))</f>
        <v/>
      </c>
      <c r="N173" s="26" t="n"/>
      <c r="O173" s="26" t="n"/>
      <c r="P173" s="26" t="n"/>
      <c r="Q173" s="25">
        <f>IF(C173="","",IF(N(N173)+N(O173)+N(P173)=0,"Not split",IF(ROUND(N(N173)+N(O173)+N(P173),2)=ROUND(H173,2),"OK","MISMATCH")))</f>
        <v/>
      </c>
      <c r="R173" s="26" t="n"/>
      <c r="S173" s="26" t="n"/>
      <c r="T173" s="26" t="n"/>
      <c r="U173" s="27">
        <f>IF(C173="","",N(R173)+N(S173)+N(T173))</f>
        <v/>
      </c>
      <c r="V173" s="27">
        <f>IF(C173="","",H173-U173)</f>
        <v/>
      </c>
      <c r="W173" s="29">
        <f>IFERROR(V173/H173,"")</f>
        <v/>
      </c>
      <c r="X173" s="24" t="n"/>
    </row>
    <row r="174" ht="15" customHeight="1">
      <c r="A174" s="68">
        <f>IF(C174="","",IFERROR(IF(SUMPRODUCT(MAX((tbl_Finance[Job Number]=C174&amp;"")*(tbl_Finance[Xero Invoice No]&lt;&gt;"")*tbl_Finance[Date]))=0,"",SUMPRODUCT(MAX((tbl_Finance[Job Number]=C174&amp;"")*(tbl_Finance[Xero Invoice No]&lt;&gt;"")*tbl_Finance[Date]))),""))</f>
        <v/>
      </c>
      <c r="B174" s="25">
        <f>IF(C174="","",IF(COUNTIFS(tbl_Finance[Job Number],C174&amp;"",tbl_Finance[Xero Invoice No],"&lt;&gt;")=0,"",IFERROR(IF(COUNTIFS(tbl_Finance[Job Number],C174&amp;"",tbl_Finance[Xero Invoice No],LOOKUP(2,1/((tbl_Finance[Job Number]=C174&amp;"")*(tbl_Finance[Xero Invoice No]&lt;&gt;"")),tbl_Finance[Xero Invoice No]))=COUNTIFS(tbl_Finance[Job Number],C174&amp;"",tbl_Finance[Xero Invoice No],"&lt;&gt;"),LOOKUP(2,1/((tbl_Finance[Job Number]=C174&amp;"")*(tbl_Finance[Xero Invoice No]&lt;&gt;"")),tbl_Finance[Xero Invoice No]),LOOKUP(2,1/((tbl_Finance[Job Number]=C174&amp;"")*(tbl_Finance[Xero Invoice No]&lt;&gt;"")),tbl_Finance[Xero Invoice No])&amp;" +more"),"")))</f>
        <v/>
      </c>
      <c r="C174" s="24" t="n"/>
      <c r="D174" s="25">
        <f>IF(C174="","",IF(COUNTIF(lst_Jobs,C174&amp;"")&gt;0,"OK","CHECK"))</f>
        <v/>
      </c>
      <c r="E174" s="25">
        <f>IF(C174="","",IFERROR(INDEX(lst_JobName,MATCH(C174&amp;"",lst_Jobs,0)),""))</f>
        <v/>
      </c>
      <c r="F174" s="25">
        <f>IF(C174="","",IFERROR(INDEX(tbl_Finance[Client],MATCH(C174&amp;"",tbl_Finance[Job Number],0)),""))</f>
        <v/>
      </c>
      <c r="G174" s="28">
        <f>IF(C174="","",COUNTIFS(tbl_Finance[Job Number],C174&amp;"",tbl_Finance[Ex GST],"&lt;&gt;"))</f>
        <v/>
      </c>
      <c r="H174" s="27">
        <f>IF(C174="","",SUMIFS(tbl_Finance[Ex GST],tbl_Finance[Job Number],C174&amp;""))</f>
        <v/>
      </c>
      <c r="I174" s="27">
        <f>IF(C174="","",SUMIFS(tbl_Finance[Ex GST],tbl_Finance[Job Number],C174&amp;"",tbl_Finance[Xero Invoice No],"&lt;&gt;"))</f>
        <v/>
      </c>
      <c r="J174" s="27">
        <f>IF(C174="","",H174-I174)</f>
        <v/>
      </c>
      <c r="K174" s="25">
        <f>IF(C174="","",IF(G174=0,"not invoiced yet",SUBSTITUTE(TRIM(IF(COUNTIFS(tbl_Finance[Job Number],C174&amp;"",tbl_Finance[Cost Centre],"ONSITE")&gt;0,"ONSITE ","")&amp;IF(COUNTIFS(tbl_Finance[Job Number],C174&amp;"",tbl_Finance[Cost Centre],"PRODUCTION")&gt;0,"PRODUCTION ","")&amp;IF(COUNTIFS(tbl_Finance[Job Number],C174&amp;"",tbl_Finance[Cost Centre],"VIDEO")&gt;0,"VIDEO ","")&amp;IF(COUNTIFS(tbl_Finance[Job Number],C174&amp;"",tbl_Finance[Cost Centre],"INTEGRATION")&gt;0,"INTEGRATION ","")&amp;IF(COUNTIFS(tbl_Finance[Job Number],C174&amp;"",tbl_Finance[Cost Centre],"CONSULTING")&gt;0,"CONSULTING ","")&amp;IF(COUNTIFS(tbl_Finance[Job Number],C174&amp;"",tbl_Finance[Cost Centre],"CTS")&gt;0,"CTS ",""))," ",", ")))</f>
        <v/>
      </c>
      <c r="L174" s="24" t="n"/>
      <c r="M174" s="25">
        <f>IF(L174="","",HYPERLINK(IF(LEFT(L174,4)="http",L174,set_QwilrBase&amp;L174),"Open quote"))</f>
        <v/>
      </c>
      <c r="N174" s="26" t="n"/>
      <c r="O174" s="26" t="n"/>
      <c r="P174" s="26" t="n"/>
      <c r="Q174" s="25">
        <f>IF(C174="","",IF(N(N174)+N(O174)+N(P174)=0,"Not split",IF(ROUND(N(N174)+N(O174)+N(P174),2)=ROUND(H174,2),"OK","MISMATCH")))</f>
        <v/>
      </c>
      <c r="R174" s="26" t="n"/>
      <c r="S174" s="26" t="n"/>
      <c r="T174" s="26" t="n"/>
      <c r="U174" s="27">
        <f>IF(C174="","",N(R174)+N(S174)+N(T174))</f>
        <v/>
      </c>
      <c r="V174" s="27">
        <f>IF(C174="","",H174-U174)</f>
        <v/>
      </c>
      <c r="W174" s="29">
        <f>IFERROR(V174/H174,"")</f>
        <v/>
      </c>
      <c r="X174" s="24" t="n"/>
    </row>
    <row r="175" ht="15" customHeight="1">
      <c r="A175" s="68">
        <f>IF(C175="","",IFERROR(IF(SUMPRODUCT(MAX((tbl_Finance[Job Number]=C175&amp;"")*(tbl_Finance[Xero Invoice No]&lt;&gt;"")*tbl_Finance[Date]))=0,"",SUMPRODUCT(MAX((tbl_Finance[Job Number]=C175&amp;"")*(tbl_Finance[Xero Invoice No]&lt;&gt;"")*tbl_Finance[Date]))),""))</f>
        <v/>
      </c>
      <c r="B175" s="25">
        <f>IF(C175="","",IF(COUNTIFS(tbl_Finance[Job Number],C175&amp;"",tbl_Finance[Xero Invoice No],"&lt;&gt;")=0,"",IFERROR(IF(COUNTIFS(tbl_Finance[Job Number],C175&amp;"",tbl_Finance[Xero Invoice No],LOOKUP(2,1/((tbl_Finance[Job Number]=C175&amp;"")*(tbl_Finance[Xero Invoice No]&lt;&gt;"")),tbl_Finance[Xero Invoice No]))=COUNTIFS(tbl_Finance[Job Number],C175&amp;"",tbl_Finance[Xero Invoice No],"&lt;&gt;"),LOOKUP(2,1/((tbl_Finance[Job Number]=C175&amp;"")*(tbl_Finance[Xero Invoice No]&lt;&gt;"")),tbl_Finance[Xero Invoice No]),LOOKUP(2,1/((tbl_Finance[Job Number]=C175&amp;"")*(tbl_Finance[Xero Invoice No]&lt;&gt;"")),tbl_Finance[Xero Invoice No])&amp;" +more"),"")))</f>
        <v/>
      </c>
      <c r="C175" s="24" t="n"/>
      <c r="D175" s="25">
        <f>IF(C175="","",IF(COUNTIF(lst_Jobs,C175&amp;"")&gt;0,"OK","CHECK"))</f>
        <v/>
      </c>
      <c r="E175" s="25">
        <f>IF(C175="","",IFERROR(INDEX(lst_JobName,MATCH(C175&amp;"",lst_Jobs,0)),""))</f>
        <v/>
      </c>
      <c r="F175" s="25">
        <f>IF(C175="","",IFERROR(INDEX(tbl_Finance[Client],MATCH(C175&amp;"",tbl_Finance[Job Number],0)),""))</f>
        <v/>
      </c>
      <c r="G175" s="28">
        <f>IF(C175="","",COUNTIFS(tbl_Finance[Job Number],C175&amp;"",tbl_Finance[Ex GST],"&lt;&gt;"))</f>
        <v/>
      </c>
      <c r="H175" s="27">
        <f>IF(C175="","",SUMIFS(tbl_Finance[Ex GST],tbl_Finance[Job Number],C175&amp;""))</f>
        <v/>
      </c>
      <c r="I175" s="27">
        <f>IF(C175="","",SUMIFS(tbl_Finance[Ex GST],tbl_Finance[Job Number],C175&amp;"",tbl_Finance[Xero Invoice No],"&lt;&gt;"))</f>
        <v/>
      </c>
      <c r="J175" s="27">
        <f>IF(C175="","",H175-I175)</f>
        <v/>
      </c>
      <c r="K175" s="25">
        <f>IF(C175="","",IF(G175=0,"not invoiced yet",SUBSTITUTE(TRIM(IF(COUNTIFS(tbl_Finance[Job Number],C175&amp;"",tbl_Finance[Cost Centre],"ONSITE")&gt;0,"ONSITE ","")&amp;IF(COUNTIFS(tbl_Finance[Job Number],C175&amp;"",tbl_Finance[Cost Centre],"PRODUCTION")&gt;0,"PRODUCTION ","")&amp;IF(COUNTIFS(tbl_Finance[Job Number],C175&amp;"",tbl_Finance[Cost Centre],"VIDEO")&gt;0,"VIDEO ","")&amp;IF(COUNTIFS(tbl_Finance[Job Number],C175&amp;"",tbl_Finance[Cost Centre],"INTEGRATION")&gt;0,"INTEGRATION ","")&amp;IF(COUNTIFS(tbl_Finance[Job Number],C175&amp;"",tbl_Finance[Cost Centre],"CONSULTING")&gt;0,"CONSULTING ","")&amp;IF(COUNTIFS(tbl_Finance[Job Number],C175&amp;"",tbl_Finance[Cost Centre],"CTS")&gt;0,"CTS ",""))," ",", ")))</f>
        <v/>
      </c>
      <c r="L175" s="24" t="n"/>
      <c r="M175" s="25">
        <f>IF(L175="","",HYPERLINK(IF(LEFT(L175,4)="http",L175,set_QwilrBase&amp;L175),"Open quote"))</f>
        <v/>
      </c>
      <c r="N175" s="26" t="n"/>
      <c r="O175" s="26" t="n"/>
      <c r="P175" s="26" t="n"/>
      <c r="Q175" s="25">
        <f>IF(C175="","",IF(N(N175)+N(O175)+N(P175)=0,"Not split",IF(ROUND(N(N175)+N(O175)+N(P175),2)=ROUND(H175,2),"OK","MISMATCH")))</f>
        <v/>
      </c>
      <c r="R175" s="26" t="n"/>
      <c r="S175" s="26" t="n"/>
      <c r="T175" s="26" t="n"/>
      <c r="U175" s="27">
        <f>IF(C175="","",N(R175)+N(S175)+N(T175))</f>
        <v/>
      </c>
      <c r="V175" s="27">
        <f>IF(C175="","",H175-U175)</f>
        <v/>
      </c>
      <c r="W175" s="29">
        <f>IFERROR(V175/H175,"")</f>
        <v/>
      </c>
      <c r="X175" s="24" t="n"/>
    </row>
    <row r="176" ht="15" customHeight="1">
      <c r="A176" s="68">
        <f>IF(C176="","",IFERROR(IF(SUMPRODUCT(MAX((tbl_Finance[Job Number]=C176&amp;"")*(tbl_Finance[Xero Invoice No]&lt;&gt;"")*tbl_Finance[Date]))=0,"",SUMPRODUCT(MAX((tbl_Finance[Job Number]=C176&amp;"")*(tbl_Finance[Xero Invoice No]&lt;&gt;"")*tbl_Finance[Date]))),""))</f>
        <v/>
      </c>
      <c r="B176" s="25">
        <f>IF(C176="","",IF(COUNTIFS(tbl_Finance[Job Number],C176&amp;"",tbl_Finance[Xero Invoice No],"&lt;&gt;")=0,"",IFERROR(IF(COUNTIFS(tbl_Finance[Job Number],C176&amp;"",tbl_Finance[Xero Invoice No],LOOKUP(2,1/((tbl_Finance[Job Number]=C176&amp;"")*(tbl_Finance[Xero Invoice No]&lt;&gt;"")),tbl_Finance[Xero Invoice No]))=COUNTIFS(tbl_Finance[Job Number],C176&amp;"",tbl_Finance[Xero Invoice No],"&lt;&gt;"),LOOKUP(2,1/((tbl_Finance[Job Number]=C176&amp;"")*(tbl_Finance[Xero Invoice No]&lt;&gt;"")),tbl_Finance[Xero Invoice No]),LOOKUP(2,1/((tbl_Finance[Job Number]=C176&amp;"")*(tbl_Finance[Xero Invoice No]&lt;&gt;"")),tbl_Finance[Xero Invoice No])&amp;" +more"),"")))</f>
        <v/>
      </c>
      <c r="C176" s="24" t="n"/>
      <c r="D176" s="25">
        <f>IF(C176="","",IF(COUNTIF(lst_Jobs,C176&amp;"")&gt;0,"OK","CHECK"))</f>
        <v/>
      </c>
      <c r="E176" s="25">
        <f>IF(C176="","",IFERROR(INDEX(lst_JobName,MATCH(C176&amp;"",lst_Jobs,0)),""))</f>
        <v/>
      </c>
      <c r="F176" s="25">
        <f>IF(C176="","",IFERROR(INDEX(tbl_Finance[Client],MATCH(C176&amp;"",tbl_Finance[Job Number],0)),""))</f>
        <v/>
      </c>
      <c r="G176" s="28">
        <f>IF(C176="","",COUNTIFS(tbl_Finance[Job Number],C176&amp;"",tbl_Finance[Ex GST],"&lt;&gt;"))</f>
        <v/>
      </c>
      <c r="H176" s="27">
        <f>IF(C176="","",SUMIFS(tbl_Finance[Ex GST],tbl_Finance[Job Number],C176&amp;""))</f>
        <v/>
      </c>
      <c r="I176" s="27">
        <f>IF(C176="","",SUMIFS(tbl_Finance[Ex GST],tbl_Finance[Job Number],C176&amp;"",tbl_Finance[Xero Invoice No],"&lt;&gt;"))</f>
        <v/>
      </c>
      <c r="J176" s="27">
        <f>IF(C176="","",H176-I176)</f>
        <v/>
      </c>
      <c r="K176" s="25">
        <f>IF(C176="","",IF(G176=0,"not invoiced yet",SUBSTITUTE(TRIM(IF(COUNTIFS(tbl_Finance[Job Number],C176&amp;"",tbl_Finance[Cost Centre],"ONSITE")&gt;0,"ONSITE ","")&amp;IF(COUNTIFS(tbl_Finance[Job Number],C176&amp;"",tbl_Finance[Cost Centre],"PRODUCTION")&gt;0,"PRODUCTION ","")&amp;IF(COUNTIFS(tbl_Finance[Job Number],C176&amp;"",tbl_Finance[Cost Centre],"VIDEO")&gt;0,"VIDEO ","")&amp;IF(COUNTIFS(tbl_Finance[Job Number],C176&amp;"",tbl_Finance[Cost Centre],"INTEGRATION")&gt;0,"INTEGRATION ","")&amp;IF(COUNTIFS(tbl_Finance[Job Number],C176&amp;"",tbl_Finance[Cost Centre],"CONSULTING")&gt;0,"CONSULTING ","")&amp;IF(COUNTIFS(tbl_Finance[Job Number],C176&amp;"",tbl_Finance[Cost Centre],"CTS")&gt;0,"CTS ",""))," ",", ")))</f>
        <v/>
      </c>
      <c r="L176" s="24" t="n"/>
      <c r="M176" s="25">
        <f>IF(L176="","",HYPERLINK(IF(LEFT(L176,4)="http",L176,set_QwilrBase&amp;L176),"Open quote"))</f>
        <v/>
      </c>
      <c r="N176" s="26" t="n"/>
      <c r="O176" s="26" t="n"/>
      <c r="P176" s="26" t="n"/>
      <c r="Q176" s="25">
        <f>IF(C176="","",IF(N(N176)+N(O176)+N(P176)=0,"Not split",IF(ROUND(N(N176)+N(O176)+N(P176),2)=ROUND(H176,2),"OK","MISMATCH")))</f>
        <v/>
      </c>
      <c r="R176" s="26" t="n"/>
      <c r="S176" s="26" t="n"/>
      <c r="T176" s="26" t="n"/>
      <c r="U176" s="27">
        <f>IF(C176="","",N(R176)+N(S176)+N(T176))</f>
        <v/>
      </c>
      <c r="V176" s="27">
        <f>IF(C176="","",H176-U176)</f>
        <v/>
      </c>
      <c r="W176" s="29">
        <f>IFERROR(V176/H176,"")</f>
        <v/>
      </c>
      <c r="X176" s="24" t="n"/>
    </row>
    <row r="177" ht="15" customHeight="1">
      <c r="A177" s="68">
        <f>IF(C177="","",IFERROR(IF(SUMPRODUCT(MAX((tbl_Finance[Job Number]=C177&amp;"")*(tbl_Finance[Xero Invoice No]&lt;&gt;"")*tbl_Finance[Date]))=0,"",SUMPRODUCT(MAX((tbl_Finance[Job Number]=C177&amp;"")*(tbl_Finance[Xero Invoice No]&lt;&gt;"")*tbl_Finance[Date]))),""))</f>
        <v/>
      </c>
      <c r="B177" s="25">
        <f>IF(C177="","",IF(COUNTIFS(tbl_Finance[Job Number],C177&amp;"",tbl_Finance[Xero Invoice No],"&lt;&gt;")=0,"",IFERROR(IF(COUNTIFS(tbl_Finance[Job Number],C177&amp;"",tbl_Finance[Xero Invoice No],LOOKUP(2,1/((tbl_Finance[Job Number]=C177&amp;"")*(tbl_Finance[Xero Invoice No]&lt;&gt;"")),tbl_Finance[Xero Invoice No]))=COUNTIFS(tbl_Finance[Job Number],C177&amp;"",tbl_Finance[Xero Invoice No],"&lt;&gt;"),LOOKUP(2,1/((tbl_Finance[Job Number]=C177&amp;"")*(tbl_Finance[Xero Invoice No]&lt;&gt;"")),tbl_Finance[Xero Invoice No]),LOOKUP(2,1/((tbl_Finance[Job Number]=C177&amp;"")*(tbl_Finance[Xero Invoice No]&lt;&gt;"")),tbl_Finance[Xero Invoice No])&amp;" +more"),"")))</f>
        <v/>
      </c>
      <c r="C177" s="24" t="n"/>
      <c r="D177" s="25">
        <f>IF(C177="","",IF(COUNTIF(lst_Jobs,C177&amp;"")&gt;0,"OK","CHECK"))</f>
        <v/>
      </c>
      <c r="E177" s="25">
        <f>IF(C177="","",IFERROR(INDEX(lst_JobName,MATCH(C177&amp;"",lst_Jobs,0)),""))</f>
        <v/>
      </c>
      <c r="F177" s="25">
        <f>IF(C177="","",IFERROR(INDEX(tbl_Finance[Client],MATCH(C177&amp;"",tbl_Finance[Job Number],0)),""))</f>
        <v/>
      </c>
      <c r="G177" s="28">
        <f>IF(C177="","",COUNTIFS(tbl_Finance[Job Number],C177&amp;"",tbl_Finance[Ex GST],"&lt;&gt;"))</f>
        <v/>
      </c>
      <c r="H177" s="27">
        <f>IF(C177="","",SUMIFS(tbl_Finance[Ex GST],tbl_Finance[Job Number],C177&amp;""))</f>
        <v/>
      </c>
      <c r="I177" s="27">
        <f>IF(C177="","",SUMIFS(tbl_Finance[Ex GST],tbl_Finance[Job Number],C177&amp;"",tbl_Finance[Xero Invoice No],"&lt;&gt;"))</f>
        <v/>
      </c>
      <c r="J177" s="27">
        <f>IF(C177="","",H177-I177)</f>
        <v/>
      </c>
      <c r="K177" s="25">
        <f>IF(C177="","",IF(G177=0,"not invoiced yet",SUBSTITUTE(TRIM(IF(COUNTIFS(tbl_Finance[Job Number],C177&amp;"",tbl_Finance[Cost Centre],"ONSITE")&gt;0,"ONSITE ","")&amp;IF(COUNTIFS(tbl_Finance[Job Number],C177&amp;"",tbl_Finance[Cost Centre],"PRODUCTION")&gt;0,"PRODUCTION ","")&amp;IF(COUNTIFS(tbl_Finance[Job Number],C177&amp;"",tbl_Finance[Cost Centre],"VIDEO")&gt;0,"VIDEO ","")&amp;IF(COUNTIFS(tbl_Finance[Job Number],C177&amp;"",tbl_Finance[Cost Centre],"INTEGRATION")&gt;0,"INTEGRATION ","")&amp;IF(COUNTIFS(tbl_Finance[Job Number],C177&amp;"",tbl_Finance[Cost Centre],"CONSULTING")&gt;0,"CONSULTING ","")&amp;IF(COUNTIFS(tbl_Finance[Job Number],C177&amp;"",tbl_Finance[Cost Centre],"CTS")&gt;0,"CTS ",""))," ",", ")))</f>
        <v/>
      </c>
      <c r="L177" s="24" t="n"/>
      <c r="M177" s="25">
        <f>IF(L177="","",HYPERLINK(IF(LEFT(L177,4)="http",L177,set_QwilrBase&amp;L177),"Open quote"))</f>
        <v/>
      </c>
      <c r="N177" s="26" t="n"/>
      <c r="O177" s="26" t="n"/>
      <c r="P177" s="26" t="n"/>
      <c r="Q177" s="25">
        <f>IF(C177="","",IF(N(N177)+N(O177)+N(P177)=0,"Not split",IF(ROUND(N(N177)+N(O177)+N(P177),2)=ROUND(H177,2),"OK","MISMATCH")))</f>
        <v/>
      </c>
      <c r="R177" s="26" t="n"/>
      <c r="S177" s="26" t="n"/>
      <c r="T177" s="26" t="n"/>
      <c r="U177" s="27">
        <f>IF(C177="","",N(R177)+N(S177)+N(T177))</f>
        <v/>
      </c>
      <c r="V177" s="27">
        <f>IF(C177="","",H177-U177)</f>
        <v/>
      </c>
      <c r="W177" s="29">
        <f>IFERROR(V177/H177,"")</f>
        <v/>
      </c>
      <c r="X177" s="24" t="n"/>
    </row>
    <row r="178" ht="15" customHeight="1">
      <c r="A178" s="68">
        <f>IF(C178="","",IFERROR(IF(SUMPRODUCT(MAX((tbl_Finance[Job Number]=C178&amp;"")*(tbl_Finance[Xero Invoice No]&lt;&gt;"")*tbl_Finance[Date]))=0,"",SUMPRODUCT(MAX((tbl_Finance[Job Number]=C178&amp;"")*(tbl_Finance[Xero Invoice No]&lt;&gt;"")*tbl_Finance[Date]))),""))</f>
        <v/>
      </c>
      <c r="B178" s="25">
        <f>IF(C178="","",IF(COUNTIFS(tbl_Finance[Job Number],C178&amp;"",tbl_Finance[Xero Invoice No],"&lt;&gt;")=0,"",IFERROR(IF(COUNTIFS(tbl_Finance[Job Number],C178&amp;"",tbl_Finance[Xero Invoice No],LOOKUP(2,1/((tbl_Finance[Job Number]=C178&amp;"")*(tbl_Finance[Xero Invoice No]&lt;&gt;"")),tbl_Finance[Xero Invoice No]))=COUNTIFS(tbl_Finance[Job Number],C178&amp;"",tbl_Finance[Xero Invoice No],"&lt;&gt;"),LOOKUP(2,1/((tbl_Finance[Job Number]=C178&amp;"")*(tbl_Finance[Xero Invoice No]&lt;&gt;"")),tbl_Finance[Xero Invoice No]),LOOKUP(2,1/((tbl_Finance[Job Number]=C178&amp;"")*(tbl_Finance[Xero Invoice No]&lt;&gt;"")),tbl_Finance[Xero Invoice No])&amp;" +more"),"")))</f>
        <v/>
      </c>
      <c r="C178" s="24" t="n"/>
      <c r="D178" s="25">
        <f>IF(C178="","",IF(COUNTIF(lst_Jobs,C178&amp;"")&gt;0,"OK","CHECK"))</f>
        <v/>
      </c>
      <c r="E178" s="25">
        <f>IF(C178="","",IFERROR(INDEX(lst_JobName,MATCH(C178&amp;"",lst_Jobs,0)),""))</f>
        <v/>
      </c>
      <c r="F178" s="25">
        <f>IF(C178="","",IFERROR(INDEX(tbl_Finance[Client],MATCH(C178&amp;"",tbl_Finance[Job Number],0)),""))</f>
        <v/>
      </c>
      <c r="G178" s="28">
        <f>IF(C178="","",COUNTIFS(tbl_Finance[Job Number],C178&amp;"",tbl_Finance[Ex GST],"&lt;&gt;"))</f>
        <v/>
      </c>
      <c r="H178" s="27">
        <f>IF(C178="","",SUMIFS(tbl_Finance[Ex GST],tbl_Finance[Job Number],C178&amp;""))</f>
        <v/>
      </c>
      <c r="I178" s="27">
        <f>IF(C178="","",SUMIFS(tbl_Finance[Ex GST],tbl_Finance[Job Number],C178&amp;"",tbl_Finance[Xero Invoice No],"&lt;&gt;"))</f>
        <v/>
      </c>
      <c r="J178" s="27">
        <f>IF(C178="","",H178-I178)</f>
        <v/>
      </c>
      <c r="K178" s="25">
        <f>IF(C178="","",IF(G178=0,"not invoiced yet",SUBSTITUTE(TRIM(IF(COUNTIFS(tbl_Finance[Job Number],C178&amp;"",tbl_Finance[Cost Centre],"ONSITE")&gt;0,"ONSITE ","")&amp;IF(COUNTIFS(tbl_Finance[Job Number],C178&amp;"",tbl_Finance[Cost Centre],"PRODUCTION")&gt;0,"PRODUCTION ","")&amp;IF(COUNTIFS(tbl_Finance[Job Number],C178&amp;"",tbl_Finance[Cost Centre],"VIDEO")&gt;0,"VIDEO ","")&amp;IF(COUNTIFS(tbl_Finance[Job Number],C178&amp;"",tbl_Finance[Cost Centre],"INTEGRATION")&gt;0,"INTEGRATION ","")&amp;IF(COUNTIFS(tbl_Finance[Job Number],C178&amp;"",tbl_Finance[Cost Centre],"CONSULTING")&gt;0,"CONSULTING ","")&amp;IF(COUNTIFS(tbl_Finance[Job Number],C178&amp;"",tbl_Finance[Cost Centre],"CTS")&gt;0,"CTS ",""))," ",", ")))</f>
        <v/>
      </c>
      <c r="L178" s="24" t="n"/>
      <c r="M178" s="25">
        <f>IF(L178="","",HYPERLINK(IF(LEFT(L178,4)="http",L178,set_QwilrBase&amp;L178),"Open quote"))</f>
        <v/>
      </c>
      <c r="N178" s="26" t="n"/>
      <c r="O178" s="26" t="n"/>
      <c r="P178" s="26" t="n"/>
      <c r="Q178" s="25">
        <f>IF(C178="","",IF(N(N178)+N(O178)+N(P178)=0,"Not split",IF(ROUND(N(N178)+N(O178)+N(P178),2)=ROUND(H178,2),"OK","MISMATCH")))</f>
        <v/>
      </c>
      <c r="R178" s="26" t="n"/>
      <c r="S178" s="26" t="n"/>
      <c r="T178" s="26" t="n"/>
      <c r="U178" s="27">
        <f>IF(C178="","",N(R178)+N(S178)+N(T178))</f>
        <v/>
      </c>
      <c r="V178" s="27">
        <f>IF(C178="","",H178-U178)</f>
        <v/>
      </c>
      <c r="W178" s="29">
        <f>IFERROR(V178/H178,"")</f>
        <v/>
      </c>
      <c r="X178" s="24" t="n"/>
    </row>
    <row r="179" ht="15" customHeight="1">
      <c r="A179" s="68">
        <f>IF(C179="","",IFERROR(IF(SUMPRODUCT(MAX((tbl_Finance[Job Number]=C179&amp;"")*(tbl_Finance[Xero Invoice No]&lt;&gt;"")*tbl_Finance[Date]))=0,"",SUMPRODUCT(MAX((tbl_Finance[Job Number]=C179&amp;"")*(tbl_Finance[Xero Invoice No]&lt;&gt;"")*tbl_Finance[Date]))),""))</f>
        <v/>
      </c>
      <c r="B179" s="25">
        <f>IF(C179="","",IF(COUNTIFS(tbl_Finance[Job Number],C179&amp;"",tbl_Finance[Xero Invoice No],"&lt;&gt;")=0,"",IFERROR(IF(COUNTIFS(tbl_Finance[Job Number],C179&amp;"",tbl_Finance[Xero Invoice No],LOOKUP(2,1/((tbl_Finance[Job Number]=C179&amp;"")*(tbl_Finance[Xero Invoice No]&lt;&gt;"")),tbl_Finance[Xero Invoice No]))=COUNTIFS(tbl_Finance[Job Number],C179&amp;"",tbl_Finance[Xero Invoice No],"&lt;&gt;"),LOOKUP(2,1/((tbl_Finance[Job Number]=C179&amp;"")*(tbl_Finance[Xero Invoice No]&lt;&gt;"")),tbl_Finance[Xero Invoice No]),LOOKUP(2,1/((tbl_Finance[Job Number]=C179&amp;"")*(tbl_Finance[Xero Invoice No]&lt;&gt;"")),tbl_Finance[Xero Invoice No])&amp;" +more"),"")))</f>
        <v/>
      </c>
      <c r="C179" s="24" t="n"/>
      <c r="D179" s="25">
        <f>IF(C179="","",IF(COUNTIF(lst_Jobs,C179&amp;"")&gt;0,"OK","CHECK"))</f>
        <v/>
      </c>
      <c r="E179" s="25">
        <f>IF(C179="","",IFERROR(INDEX(lst_JobName,MATCH(C179&amp;"",lst_Jobs,0)),""))</f>
        <v/>
      </c>
      <c r="F179" s="25">
        <f>IF(C179="","",IFERROR(INDEX(tbl_Finance[Client],MATCH(C179&amp;"",tbl_Finance[Job Number],0)),""))</f>
        <v/>
      </c>
      <c r="G179" s="28">
        <f>IF(C179="","",COUNTIFS(tbl_Finance[Job Number],C179&amp;"",tbl_Finance[Ex GST],"&lt;&gt;"))</f>
        <v/>
      </c>
      <c r="H179" s="27">
        <f>IF(C179="","",SUMIFS(tbl_Finance[Ex GST],tbl_Finance[Job Number],C179&amp;""))</f>
        <v/>
      </c>
      <c r="I179" s="27">
        <f>IF(C179="","",SUMIFS(tbl_Finance[Ex GST],tbl_Finance[Job Number],C179&amp;"",tbl_Finance[Xero Invoice No],"&lt;&gt;"))</f>
        <v/>
      </c>
      <c r="J179" s="27">
        <f>IF(C179="","",H179-I179)</f>
        <v/>
      </c>
      <c r="K179" s="25">
        <f>IF(C179="","",IF(G179=0,"not invoiced yet",SUBSTITUTE(TRIM(IF(COUNTIFS(tbl_Finance[Job Number],C179&amp;"",tbl_Finance[Cost Centre],"ONSITE")&gt;0,"ONSITE ","")&amp;IF(COUNTIFS(tbl_Finance[Job Number],C179&amp;"",tbl_Finance[Cost Centre],"PRODUCTION")&gt;0,"PRODUCTION ","")&amp;IF(COUNTIFS(tbl_Finance[Job Number],C179&amp;"",tbl_Finance[Cost Centre],"VIDEO")&gt;0,"VIDEO ","")&amp;IF(COUNTIFS(tbl_Finance[Job Number],C179&amp;"",tbl_Finance[Cost Centre],"INTEGRATION")&gt;0,"INTEGRATION ","")&amp;IF(COUNTIFS(tbl_Finance[Job Number],C179&amp;"",tbl_Finance[Cost Centre],"CONSULTING")&gt;0,"CONSULTING ","")&amp;IF(COUNTIFS(tbl_Finance[Job Number],C179&amp;"",tbl_Finance[Cost Centre],"CTS")&gt;0,"CTS ",""))," ",", ")))</f>
        <v/>
      </c>
      <c r="L179" s="24" t="n"/>
      <c r="M179" s="25">
        <f>IF(L179="","",HYPERLINK(IF(LEFT(L179,4)="http",L179,set_QwilrBase&amp;L179),"Open quote"))</f>
        <v/>
      </c>
      <c r="N179" s="26" t="n"/>
      <c r="O179" s="26" t="n"/>
      <c r="P179" s="26" t="n"/>
      <c r="Q179" s="25">
        <f>IF(C179="","",IF(N(N179)+N(O179)+N(P179)=0,"Not split",IF(ROUND(N(N179)+N(O179)+N(P179),2)=ROUND(H179,2),"OK","MISMATCH")))</f>
        <v/>
      </c>
      <c r="R179" s="26" t="n"/>
      <c r="S179" s="26" t="n"/>
      <c r="T179" s="26" t="n"/>
      <c r="U179" s="27">
        <f>IF(C179="","",N(R179)+N(S179)+N(T179))</f>
        <v/>
      </c>
      <c r="V179" s="27">
        <f>IF(C179="","",H179-U179)</f>
        <v/>
      </c>
      <c r="W179" s="29">
        <f>IFERROR(V179/H179,"")</f>
        <v/>
      </c>
      <c r="X179" s="24" t="n"/>
    </row>
    <row r="180" ht="15" customHeight="1">
      <c r="A180" s="68">
        <f>IF(C180="","",IFERROR(IF(SUMPRODUCT(MAX((tbl_Finance[Job Number]=C180&amp;"")*(tbl_Finance[Xero Invoice No]&lt;&gt;"")*tbl_Finance[Date]))=0,"",SUMPRODUCT(MAX((tbl_Finance[Job Number]=C180&amp;"")*(tbl_Finance[Xero Invoice No]&lt;&gt;"")*tbl_Finance[Date]))),""))</f>
        <v/>
      </c>
      <c r="B180" s="25">
        <f>IF(C180="","",IF(COUNTIFS(tbl_Finance[Job Number],C180&amp;"",tbl_Finance[Xero Invoice No],"&lt;&gt;")=0,"",IFERROR(IF(COUNTIFS(tbl_Finance[Job Number],C180&amp;"",tbl_Finance[Xero Invoice No],LOOKUP(2,1/((tbl_Finance[Job Number]=C180&amp;"")*(tbl_Finance[Xero Invoice No]&lt;&gt;"")),tbl_Finance[Xero Invoice No]))=COUNTIFS(tbl_Finance[Job Number],C180&amp;"",tbl_Finance[Xero Invoice No],"&lt;&gt;"),LOOKUP(2,1/((tbl_Finance[Job Number]=C180&amp;"")*(tbl_Finance[Xero Invoice No]&lt;&gt;"")),tbl_Finance[Xero Invoice No]),LOOKUP(2,1/((tbl_Finance[Job Number]=C180&amp;"")*(tbl_Finance[Xero Invoice No]&lt;&gt;"")),tbl_Finance[Xero Invoice No])&amp;" +more"),"")))</f>
        <v/>
      </c>
      <c r="C180" s="24" t="n"/>
      <c r="D180" s="25">
        <f>IF(C180="","",IF(COUNTIF(lst_Jobs,C180&amp;"")&gt;0,"OK","CHECK"))</f>
        <v/>
      </c>
      <c r="E180" s="25">
        <f>IF(C180="","",IFERROR(INDEX(lst_JobName,MATCH(C180&amp;"",lst_Jobs,0)),""))</f>
        <v/>
      </c>
      <c r="F180" s="25">
        <f>IF(C180="","",IFERROR(INDEX(tbl_Finance[Client],MATCH(C180&amp;"",tbl_Finance[Job Number],0)),""))</f>
        <v/>
      </c>
      <c r="G180" s="28">
        <f>IF(C180="","",COUNTIFS(tbl_Finance[Job Number],C180&amp;"",tbl_Finance[Ex GST],"&lt;&gt;"))</f>
        <v/>
      </c>
      <c r="H180" s="27">
        <f>IF(C180="","",SUMIFS(tbl_Finance[Ex GST],tbl_Finance[Job Number],C180&amp;""))</f>
        <v/>
      </c>
      <c r="I180" s="27">
        <f>IF(C180="","",SUMIFS(tbl_Finance[Ex GST],tbl_Finance[Job Number],C180&amp;"",tbl_Finance[Xero Invoice No],"&lt;&gt;"))</f>
        <v/>
      </c>
      <c r="J180" s="27">
        <f>IF(C180="","",H180-I180)</f>
        <v/>
      </c>
      <c r="K180" s="25">
        <f>IF(C180="","",IF(G180=0,"not invoiced yet",SUBSTITUTE(TRIM(IF(COUNTIFS(tbl_Finance[Job Number],C180&amp;"",tbl_Finance[Cost Centre],"ONSITE")&gt;0,"ONSITE ","")&amp;IF(COUNTIFS(tbl_Finance[Job Number],C180&amp;"",tbl_Finance[Cost Centre],"PRODUCTION")&gt;0,"PRODUCTION ","")&amp;IF(COUNTIFS(tbl_Finance[Job Number],C180&amp;"",tbl_Finance[Cost Centre],"VIDEO")&gt;0,"VIDEO ","")&amp;IF(COUNTIFS(tbl_Finance[Job Number],C180&amp;"",tbl_Finance[Cost Centre],"INTEGRATION")&gt;0,"INTEGRATION ","")&amp;IF(COUNTIFS(tbl_Finance[Job Number],C180&amp;"",tbl_Finance[Cost Centre],"CONSULTING")&gt;0,"CONSULTING ","")&amp;IF(COUNTIFS(tbl_Finance[Job Number],C180&amp;"",tbl_Finance[Cost Centre],"CTS")&gt;0,"CTS ",""))," ",", ")))</f>
        <v/>
      </c>
      <c r="L180" s="24" t="n"/>
      <c r="M180" s="25">
        <f>IF(L180="","",HYPERLINK(IF(LEFT(L180,4)="http",L180,set_QwilrBase&amp;L180),"Open quote"))</f>
        <v/>
      </c>
      <c r="N180" s="26" t="n"/>
      <c r="O180" s="26" t="n"/>
      <c r="P180" s="26" t="n"/>
      <c r="Q180" s="25">
        <f>IF(C180="","",IF(N(N180)+N(O180)+N(P180)=0,"Not split",IF(ROUND(N(N180)+N(O180)+N(P180),2)=ROUND(H180,2),"OK","MISMATCH")))</f>
        <v/>
      </c>
      <c r="R180" s="26" t="n"/>
      <c r="S180" s="26" t="n"/>
      <c r="T180" s="26" t="n"/>
      <c r="U180" s="27">
        <f>IF(C180="","",N(R180)+N(S180)+N(T180))</f>
        <v/>
      </c>
      <c r="V180" s="27">
        <f>IF(C180="","",H180-U180)</f>
        <v/>
      </c>
      <c r="W180" s="29">
        <f>IFERROR(V180/H180,"")</f>
        <v/>
      </c>
      <c r="X180" s="24" t="n"/>
    </row>
    <row r="181" ht="15" customHeight="1">
      <c r="A181" s="68">
        <f>IF(C181="","",IFERROR(IF(SUMPRODUCT(MAX((tbl_Finance[Job Number]=C181&amp;"")*(tbl_Finance[Xero Invoice No]&lt;&gt;"")*tbl_Finance[Date]))=0,"",SUMPRODUCT(MAX((tbl_Finance[Job Number]=C181&amp;"")*(tbl_Finance[Xero Invoice No]&lt;&gt;"")*tbl_Finance[Date]))),""))</f>
        <v/>
      </c>
      <c r="B181" s="25">
        <f>IF(C181="","",IF(COUNTIFS(tbl_Finance[Job Number],C181&amp;"",tbl_Finance[Xero Invoice No],"&lt;&gt;")=0,"",IFERROR(IF(COUNTIFS(tbl_Finance[Job Number],C181&amp;"",tbl_Finance[Xero Invoice No],LOOKUP(2,1/((tbl_Finance[Job Number]=C181&amp;"")*(tbl_Finance[Xero Invoice No]&lt;&gt;"")),tbl_Finance[Xero Invoice No]))=COUNTIFS(tbl_Finance[Job Number],C181&amp;"",tbl_Finance[Xero Invoice No],"&lt;&gt;"),LOOKUP(2,1/((tbl_Finance[Job Number]=C181&amp;"")*(tbl_Finance[Xero Invoice No]&lt;&gt;"")),tbl_Finance[Xero Invoice No]),LOOKUP(2,1/((tbl_Finance[Job Number]=C181&amp;"")*(tbl_Finance[Xero Invoice No]&lt;&gt;"")),tbl_Finance[Xero Invoice No])&amp;" +more"),"")))</f>
        <v/>
      </c>
      <c r="C181" s="24" t="n"/>
      <c r="D181" s="25">
        <f>IF(C181="","",IF(COUNTIF(lst_Jobs,C181&amp;"")&gt;0,"OK","CHECK"))</f>
        <v/>
      </c>
      <c r="E181" s="25">
        <f>IF(C181="","",IFERROR(INDEX(lst_JobName,MATCH(C181&amp;"",lst_Jobs,0)),""))</f>
        <v/>
      </c>
      <c r="F181" s="25">
        <f>IF(C181="","",IFERROR(INDEX(tbl_Finance[Client],MATCH(C181&amp;"",tbl_Finance[Job Number],0)),""))</f>
        <v/>
      </c>
      <c r="G181" s="28">
        <f>IF(C181="","",COUNTIFS(tbl_Finance[Job Number],C181&amp;"",tbl_Finance[Ex GST],"&lt;&gt;"))</f>
        <v/>
      </c>
      <c r="H181" s="27">
        <f>IF(C181="","",SUMIFS(tbl_Finance[Ex GST],tbl_Finance[Job Number],C181&amp;""))</f>
        <v/>
      </c>
      <c r="I181" s="27">
        <f>IF(C181="","",SUMIFS(tbl_Finance[Ex GST],tbl_Finance[Job Number],C181&amp;"",tbl_Finance[Xero Invoice No],"&lt;&gt;"))</f>
        <v/>
      </c>
      <c r="J181" s="27">
        <f>IF(C181="","",H181-I181)</f>
        <v/>
      </c>
      <c r="K181" s="25">
        <f>IF(C181="","",IF(G181=0,"not invoiced yet",SUBSTITUTE(TRIM(IF(COUNTIFS(tbl_Finance[Job Number],C181&amp;"",tbl_Finance[Cost Centre],"ONSITE")&gt;0,"ONSITE ","")&amp;IF(COUNTIFS(tbl_Finance[Job Number],C181&amp;"",tbl_Finance[Cost Centre],"PRODUCTION")&gt;0,"PRODUCTION ","")&amp;IF(COUNTIFS(tbl_Finance[Job Number],C181&amp;"",tbl_Finance[Cost Centre],"VIDEO")&gt;0,"VIDEO ","")&amp;IF(COUNTIFS(tbl_Finance[Job Number],C181&amp;"",tbl_Finance[Cost Centre],"INTEGRATION")&gt;0,"INTEGRATION ","")&amp;IF(COUNTIFS(tbl_Finance[Job Number],C181&amp;"",tbl_Finance[Cost Centre],"CONSULTING")&gt;0,"CONSULTING ","")&amp;IF(COUNTIFS(tbl_Finance[Job Number],C181&amp;"",tbl_Finance[Cost Centre],"CTS")&gt;0,"CTS ",""))," ",", ")))</f>
        <v/>
      </c>
      <c r="L181" s="24" t="n"/>
      <c r="M181" s="25">
        <f>IF(L181="","",HYPERLINK(IF(LEFT(L181,4)="http",L181,set_QwilrBase&amp;L181),"Open quote"))</f>
        <v/>
      </c>
      <c r="N181" s="26" t="n"/>
      <c r="O181" s="26" t="n"/>
      <c r="P181" s="26" t="n"/>
      <c r="Q181" s="25">
        <f>IF(C181="","",IF(N(N181)+N(O181)+N(P181)=0,"Not split",IF(ROUND(N(N181)+N(O181)+N(P181),2)=ROUND(H181,2),"OK","MISMATCH")))</f>
        <v/>
      </c>
      <c r="R181" s="26" t="n"/>
      <c r="S181" s="26" t="n"/>
      <c r="T181" s="26" t="n"/>
      <c r="U181" s="27">
        <f>IF(C181="","",N(R181)+N(S181)+N(T181))</f>
        <v/>
      </c>
      <c r="V181" s="27">
        <f>IF(C181="","",H181-U181)</f>
        <v/>
      </c>
      <c r="W181" s="29">
        <f>IFERROR(V181/H181,"")</f>
        <v/>
      </c>
      <c r="X181" s="24" t="n"/>
    </row>
    <row r="182" ht="15" customHeight="1">
      <c r="A182" s="68">
        <f>IF(C182="","",IFERROR(IF(SUMPRODUCT(MAX((tbl_Finance[Job Number]=C182&amp;"")*(tbl_Finance[Xero Invoice No]&lt;&gt;"")*tbl_Finance[Date]))=0,"",SUMPRODUCT(MAX((tbl_Finance[Job Number]=C182&amp;"")*(tbl_Finance[Xero Invoice No]&lt;&gt;"")*tbl_Finance[Date]))),""))</f>
        <v/>
      </c>
      <c r="B182" s="25">
        <f>IF(C182="","",IF(COUNTIFS(tbl_Finance[Job Number],C182&amp;"",tbl_Finance[Xero Invoice No],"&lt;&gt;")=0,"",IFERROR(IF(COUNTIFS(tbl_Finance[Job Number],C182&amp;"",tbl_Finance[Xero Invoice No],LOOKUP(2,1/((tbl_Finance[Job Number]=C182&amp;"")*(tbl_Finance[Xero Invoice No]&lt;&gt;"")),tbl_Finance[Xero Invoice No]))=COUNTIFS(tbl_Finance[Job Number],C182&amp;"",tbl_Finance[Xero Invoice No],"&lt;&gt;"),LOOKUP(2,1/((tbl_Finance[Job Number]=C182&amp;"")*(tbl_Finance[Xero Invoice No]&lt;&gt;"")),tbl_Finance[Xero Invoice No]),LOOKUP(2,1/((tbl_Finance[Job Number]=C182&amp;"")*(tbl_Finance[Xero Invoice No]&lt;&gt;"")),tbl_Finance[Xero Invoice No])&amp;" +more"),"")))</f>
        <v/>
      </c>
      <c r="C182" s="24" t="n"/>
      <c r="D182" s="25">
        <f>IF(C182="","",IF(COUNTIF(lst_Jobs,C182&amp;"")&gt;0,"OK","CHECK"))</f>
        <v/>
      </c>
      <c r="E182" s="25">
        <f>IF(C182="","",IFERROR(INDEX(lst_JobName,MATCH(C182&amp;"",lst_Jobs,0)),""))</f>
        <v/>
      </c>
      <c r="F182" s="25">
        <f>IF(C182="","",IFERROR(INDEX(tbl_Finance[Client],MATCH(C182&amp;"",tbl_Finance[Job Number],0)),""))</f>
        <v/>
      </c>
      <c r="G182" s="28">
        <f>IF(C182="","",COUNTIFS(tbl_Finance[Job Number],C182&amp;"",tbl_Finance[Ex GST],"&lt;&gt;"))</f>
        <v/>
      </c>
      <c r="H182" s="27">
        <f>IF(C182="","",SUMIFS(tbl_Finance[Ex GST],tbl_Finance[Job Number],C182&amp;""))</f>
        <v/>
      </c>
      <c r="I182" s="27">
        <f>IF(C182="","",SUMIFS(tbl_Finance[Ex GST],tbl_Finance[Job Number],C182&amp;"",tbl_Finance[Xero Invoice No],"&lt;&gt;"))</f>
        <v/>
      </c>
      <c r="J182" s="27">
        <f>IF(C182="","",H182-I182)</f>
        <v/>
      </c>
      <c r="K182" s="25">
        <f>IF(C182="","",IF(G182=0,"not invoiced yet",SUBSTITUTE(TRIM(IF(COUNTIFS(tbl_Finance[Job Number],C182&amp;"",tbl_Finance[Cost Centre],"ONSITE")&gt;0,"ONSITE ","")&amp;IF(COUNTIFS(tbl_Finance[Job Number],C182&amp;"",tbl_Finance[Cost Centre],"PRODUCTION")&gt;0,"PRODUCTION ","")&amp;IF(COUNTIFS(tbl_Finance[Job Number],C182&amp;"",tbl_Finance[Cost Centre],"VIDEO")&gt;0,"VIDEO ","")&amp;IF(COUNTIFS(tbl_Finance[Job Number],C182&amp;"",tbl_Finance[Cost Centre],"INTEGRATION")&gt;0,"INTEGRATION ","")&amp;IF(COUNTIFS(tbl_Finance[Job Number],C182&amp;"",tbl_Finance[Cost Centre],"CONSULTING")&gt;0,"CONSULTING ","")&amp;IF(COUNTIFS(tbl_Finance[Job Number],C182&amp;"",tbl_Finance[Cost Centre],"CTS")&gt;0,"CTS ",""))," ",", ")))</f>
        <v/>
      </c>
      <c r="L182" s="24" t="n"/>
      <c r="M182" s="25">
        <f>IF(L182="","",HYPERLINK(IF(LEFT(L182,4)="http",L182,set_QwilrBase&amp;L182),"Open quote"))</f>
        <v/>
      </c>
      <c r="N182" s="26" t="n"/>
      <c r="O182" s="26" t="n"/>
      <c r="P182" s="26" t="n"/>
      <c r="Q182" s="25">
        <f>IF(C182="","",IF(N(N182)+N(O182)+N(P182)=0,"Not split",IF(ROUND(N(N182)+N(O182)+N(P182),2)=ROUND(H182,2),"OK","MISMATCH")))</f>
        <v/>
      </c>
      <c r="R182" s="26" t="n"/>
      <c r="S182" s="26" t="n"/>
      <c r="T182" s="26" t="n"/>
      <c r="U182" s="27">
        <f>IF(C182="","",N(R182)+N(S182)+N(T182))</f>
        <v/>
      </c>
      <c r="V182" s="27">
        <f>IF(C182="","",H182-U182)</f>
        <v/>
      </c>
      <c r="W182" s="29">
        <f>IFERROR(V182/H182,"")</f>
        <v/>
      </c>
      <c r="X182" s="24" t="n"/>
    </row>
    <row r="183" ht="15" customHeight="1">
      <c r="A183" s="68">
        <f>IF(C183="","",IFERROR(IF(SUMPRODUCT(MAX((tbl_Finance[Job Number]=C183&amp;"")*(tbl_Finance[Xero Invoice No]&lt;&gt;"")*tbl_Finance[Date]))=0,"",SUMPRODUCT(MAX((tbl_Finance[Job Number]=C183&amp;"")*(tbl_Finance[Xero Invoice No]&lt;&gt;"")*tbl_Finance[Date]))),""))</f>
        <v/>
      </c>
      <c r="B183" s="25">
        <f>IF(C183="","",IF(COUNTIFS(tbl_Finance[Job Number],C183&amp;"",tbl_Finance[Xero Invoice No],"&lt;&gt;")=0,"",IFERROR(IF(COUNTIFS(tbl_Finance[Job Number],C183&amp;"",tbl_Finance[Xero Invoice No],LOOKUP(2,1/((tbl_Finance[Job Number]=C183&amp;"")*(tbl_Finance[Xero Invoice No]&lt;&gt;"")),tbl_Finance[Xero Invoice No]))=COUNTIFS(tbl_Finance[Job Number],C183&amp;"",tbl_Finance[Xero Invoice No],"&lt;&gt;"),LOOKUP(2,1/((tbl_Finance[Job Number]=C183&amp;"")*(tbl_Finance[Xero Invoice No]&lt;&gt;"")),tbl_Finance[Xero Invoice No]),LOOKUP(2,1/((tbl_Finance[Job Number]=C183&amp;"")*(tbl_Finance[Xero Invoice No]&lt;&gt;"")),tbl_Finance[Xero Invoice No])&amp;" +more"),"")))</f>
        <v/>
      </c>
      <c r="C183" s="24" t="n"/>
      <c r="D183" s="25">
        <f>IF(C183="","",IF(COUNTIF(lst_Jobs,C183&amp;"")&gt;0,"OK","CHECK"))</f>
        <v/>
      </c>
      <c r="E183" s="25">
        <f>IF(C183="","",IFERROR(INDEX(lst_JobName,MATCH(C183&amp;"",lst_Jobs,0)),""))</f>
        <v/>
      </c>
      <c r="F183" s="25">
        <f>IF(C183="","",IFERROR(INDEX(tbl_Finance[Client],MATCH(C183&amp;"",tbl_Finance[Job Number],0)),""))</f>
        <v/>
      </c>
      <c r="G183" s="28">
        <f>IF(C183="","",COUNTIFS(tbl_Finance[Job Number],C183&amp;"",tbl_Finance[Ex GST],"&lt;&gt;"))</f>
        <v/>
      </c>
      <c r="H183" s="27">
        <f>IF(C183="","",SUMIFS(tbl_Finance[Ex GST],tbl_Finance[Job Number],C183&amp;""))</f>
        <v/>
      </c>
      <c r="I183" s="27">
        <f>IF(C183="","",SUMIFS(tbl_Finance[Ex GST],tbl_Finance[Job Number],C183&amp;"",tbl_Finance[Xero Invoice No],"&lt;&gt;"))</f>
        <v/>
      </c>
      <c r="J183" s="27">
        <f>IF(C183="","",H183-I183)</f>
        <v/>
      </c>
      <c r="K183" s="25">
        <f>IF(C183="","",IF(G183=0,"not invoiced yet",SUBSTITUTE(TRIM(IF(COUNTIFS(tbl_Finance[Job Number],C183&amp;"",tbl_Finance[Cost Centre],"ONSITE")&gt;0,"ONSITE ","")&amp;IF(COUNTIFS(tbl_Finance[Job Number],C183&amp;"",tbl_Finance[Cost Centre],"PRODUCTION")&gt;0,"PRODUCTION ","")&amp;IF(COUNTIFS(tbl_Finance[Job Number],C183&amp;"",tbl_Finance[Cost Centre],"VIDEO")&gt;0,"VIDEO ","")&amp;IF(COUNTIFS(tbl_Finance[Job Number],C183&amp;"",tbl_Finance[Cost Centre],"INTEGRATION")&gt;0,"INTEGRATION ","")&amp;IF(COUNTIFS(tbl_Finance[Job Number],C183&amp;"",tbl_Finance[Cost Centre],"CONSULTING")&gt;0,"CONSULTING ","")&amp;IF(COUNTIFS(tbl_Finance[Job Number],C183&amp;"",tbl_Finance[Cost Centre],"CTS")&gt;0,"CTS ",""))," ",", ")))</f>
        <v/>
      </c>
      <c r="L183" s="24" t="n"/>
      <c r="M183" s="25">
        <f>IF(L183="","",HYPERLINK(IF(LEFT(L183,4)="http",L183,set_QwilrBase&amp;L183),"Open quote"))</f>
        <v/>
      </c>
      <c r="N183" s="26" t="n"/>
      <c r="O183" s="26" t="n"/>
      <c r="P183" s="26" t="n"/>
      <c r="Q183" s="25">
        <f>IF(C183="","",IF(N(N183)+N(O183)+N(P183)=0,"Not split",IF(ROUND(N(N183)+N(O183)+N(P183),2)=ROUND(H183,2),"OK","MISMATCH")))</f>
        <v/>
      </c>
      <c r="R183" s="26" t="n"/>
      <c r="S183" s="26" t="n"/>
      <c r="T183" s="26" t="n"/>
      <c r="U183" s="27">
        <f>IF(C183="","",N(R183)+N(S183)+N(T183))</f>
        <v/>
      </c>
      <c r="V183" s="27">
        <f>IF(C183="","",H183-U183)</f>
        <v/>
      </c>
      <c r="W183" s="29">
        <f>IFERROR(V183/H183,"")</f>
        <v/>
      </c>
      <c r="X183" s="24" t="n"/>
    </row>
    <row r="184" ht="15" customHeight="1">
      <c r="A184" s="68">
        <f>IF(C184="","",IFERROR(IF(SUMPRODUCT(MAX((tbl_Finance[Job Number]=C184&amp;"")*(tbl_Finance[Xero Invoice No]&lt;&gt;"")*tbl_Finance[Date]))=0,"",SUMPRODUCT(MAX((tbl_Finance[Job Number]=C184&amp;"")*(tbl_Finance[Xero Invoice No]&lt;&gt;"")*tbl_Finance[Date]))),""))</f>
        <v/>
      </c>
      <c r="B184" s="25">
        <f>IF(C184="","",IF(COUNTIFS(tbl_Finance[Job Number],C184&amp;"",tbl_Finance[Xero Invoice No],"&lt;&gt;")=0,"",IFERROR(IF(COUNTIFS(tbl_Finance[Job Number],C184&amp;"",tbl_Finance[Xero Invoice No],LOOKUP(2,1/((tbl_Finance[Job Number]=C184&amp;"")*(tbl_Finance[Xero Invoice No]&lt;&gt;"")),tbl_Finance[Xero Invoice No]))=COUNTIFS(tbl_Finance[Job Number],C184&amp;"",tbl_Finance[Xero Invoice No],"&lt;&gt;"),LOOKUP(2,1/((tbl_Finance[Job Number]=C184&amp;"")*(tbl_Finance[Xero Invoice No]&lt;&gt;"")),tbl_Finance[Xero Invoice No]),LOOKUP(2,1/((tbl_Finance[Job Number]=C184&amp;"")*(tbl_Finance[Xero Invoice No]&lt;&gt;"")),tbl_Finance[Xero Invoice No])&amp;" +more"),"")))</f>
        <v/>
      </c>
      <c r="C184" s="24" t="n"/>
      <c r="D184" s="25">
        <f>IF(C184="","",IF(COUNTIF(lst_Jobs,C184&amp;"")&gt;0,"OK","CHECK"))</f>
        <v/>
      </c>
      <c r="E184" s="25">
        <f>IF(C184="","",IFERROR(INDEX(lst_JobName,MATCH(C184&amp;"",lst_Jobs,0)),""))</f>
        <v/>
      </c>
      <c r="F184" s="25">
        <f>IF(C184="","",IFERROR(INDEX(tbl_Finance[Client],MATCH(C184&amp;"",tbl_Finance[Job Number],0)),""))</f>
        <v/>
      </c>
      <c r="G184" s="28">
        <f>IF(C184="","",COUNTIFS(tbl_Finance[Job Number],C184&amp;"",tbl_Finance[Ex GST],"&lt;&gt;"))</f>
        <v/>
      </c>
      <c r="H184" s="27">
        <f>IF(C184="","",SUMIFS(tbl_Finance[Ex GST],tbl_Finance[Job Number],C184&amp;""))</f>
        <v/>
      </c>
      <c r="I184" s="27">
        <f>IF(C184="","",SUMIFS(tbl_Finance[Ex GST],tbl_Finance[Job Number],C184&amp;"",tbl_Finance[Xero Invoice No],"&lt;&gt;"))</f>
        <v/>
      </c>
      <c r="J184" s="27">
        <f>IF(C184="","",H184-I184)</f>
        <v/>
      </c>
      <c r="K184" s="25">
        <f>IF(C184="","",IF(G184=0,"not invoiced yet",SUBSTITUTE(TRIM(IF(COUNTIFS(tbl_Finance[Job Number],C184&amp;"",tbl_Finance[Cost Centre],"ONSITE")&gt;0,"ONSITE ","")&amp;IF(COUNTIFS(tbl_Finance[Job Number],C184&amp;"",tbl_Finance[Cost Centre],"PRODUCTION")&gt;0,"PRODUCTION ","")&amp;IF(COUNTIFS(tbl_Finance[Job Number],C184&amp;"",tbl_Finance[Cost Centre],"VIDEO")&gt;0,"VIDEO ","")&amp;IF(COUNTIFS(tbl_Finance[Job Number],C184&amp;"",tbl_Finance[Cost Centre],"INTEGRATION")&gt;0,"INTEGRATION ","")&amp;IF(COUNTIFS(tbl_Finance[Job Number],C184&amp;"",tbl_Finance[Cost Centre],"CONSULTING")&gt;0,"CONSULTING ","")&amp;IF(COUNTIFS(tbl_Finance[Job Number],C184&amp;"",tbl_Finance[Cost Centre],"CTS")&gt;0,"CTS ",""))," ",", ")))</f>
        <v/>
      </c>
      <c r="L184" s="24" t="n"/>
      <c r="M184" s="25">
        <f>IF(L184="","",HYPERLINK(IF(LEFT(L184,4)="http",L184,set_QwilrBase&amp;L184),"Open quote"))</f>
        <v/>
      </c>
      <c r="N184" s="26" t="n"/>
      <c r="O184" s="26" t="n"/>
      <c r="P184" s="26" t="n"/>
      <c r="Q184" s="25">
        <f>IF(C184="","",IF(N(N184)+N(O184)+N(P184)=0,"Not split",IF(ROUND(N(N184)+N(O184)+N(P184),2)=ROUND(H184,2),"OK","MISMATCH")))</f>
        <v/>
      </c>
      <c r="R184" s="26" t="n"/>
      <c r="S184" s="26" t="n"/>
      <c r="T184" s="26" t="n"/>
      <c r="U184" s="27">
        <f>IF(C184="","",N(R184)+N(S184)+N(T184))</f>
        <v/>
      </c>
      <c r="V184" s="27">
        <f>IF(C184="","",H184-U184)</f>
        <v/>
      </c>
      <c r="W184" s="29">
        <f>IFERROR(V184/H184,"")</f>
        <v/>
      </c>
      <c r="X184" s="24" t="n"/>
    </row>
    <row r="185" ht="15" customHeight="1">
      <c r="A185" s="68">
        <f>IF(C185="","",IFERROR(IF(SUMPRODUCT(MAX((tbl_Finance[Job Number]=C185&amp;"")*(tbl_Finance[Xero Invoice No]&lt;&gt;"")*tbl_Finance[Date]))=0,"",SUMPRODUCT(MAX((tbl_Finance[Job Number]=C185&amp;"")*(tbl_Finance[Xero Invoice No]&lt;&gt;"")*tbl_Finance[Date]))),""))</f>
        <v/>
      </c>
      <c r="B185" s="25">
        <f>IF(C185="","",IF(COUNTIFS(tbl_Finance[Job Number],C185&amp;"",tbl_Finance[Xero Invoice No],"&lt;&gt;")=0,"",IFERROR(IF(COUNTIFS(tbl_Finance[Job Number],C185&amp;"",tbl_Finance[Xero Invoice No],LOOKUP(2,1/((tbl_Finance[Job Number]=C185&amp;"")*(tbl_Finance[Xero Invoice No]&lt;&gt;"")),tbl_Finance[Xero Invoice No]))=COUNTIFS(tbl_Finance[Job Number],C185&amp;"",tbl_Finance[Xero Invoice No],"&lt;&gt;"),LOOKUP(2,1/((tbl_Finance[Job Number]=C185&amp;"")*(tbl_Finance[Xero Invoice No]&lt;&gt;"")),tbl_Finance[Xero Invoice No]),LOOKUP(2,1/((tbl_Finance[Job Number]=C185&amp;"")*(tbl_Finance[Xero Invoice No]&lt;&gt;"")),tbl_Finance[Xero Invoice No])&amp;" +more"),"")))</f>
        <v/>
      </c>
      <c r="C185" s="24" t="n"/>
      <c r="D185" s="25">
        <f>IF(C185="","",IF(COUNTIF(lst_Jobs,C185&amp;"")&gt;0,"OK","CHECK"))</f>
        <v/>
      </c>
      <c r="E185" s="25">
        <f>IF(C185="","",IFERROR(INDEX(lst_JobName,MATCH(C185&amp;"",lst_Jobs,0)),""))</f>
        <v/>
      </c>
      <c r="F185" s="25">
        <f>IF(C185="","",IFERROR(INDEX(tbl_Finance[Client],MATCH(C185&amp;"",tbl_Finance[Job Number],0)),""))</f>
        <v/>
      </c>
      <c r="G185" s="28">
        <f>IF(C185="","",COUNTIFS(tbl_Finance[Job Number],C185&amp;"",tbl_Finance[Ex GST],"&lt;&gt;"))</f>
        <v/>
      </c>
      <c r="H185" s="27">
        <f>IF(C185="","",SUMIFS(tbl_Finance[Ex GST],tbl_Finance[Job Number],C185&amp;""))</f>
        <v/>
      </c>
      <c r="I185" s="27">
        <f>IF(C185="","",SUMIFS(tbl_Finance[Ex GST],tbl_Finance[Job Number],C185&amp;"",tbl_Finance[Xero Invoice No],"&lt;&gt;"))</f>
        <v/>
      </c>
      <c r="J185" s="27">
        <f>IF(C185="","",H185-I185)</f>
        <v/>
      </c>
      <c r="K185" s="25">
        <f>IF(C185="","",IF(G185=0,"not invoiced yet",SUBSTITUTE(TRIM(IF(COUNTIFS(tbl_Finance[Job Number],C185&amp;"",tbl_Finance[Cost Centre],"ONSITE")&gt;0,"ONSITE ","")&amp;IF(COUNTIFS(tbl_Finance[Job Number],C185&amp;"",tbl_Finance[Cost Centre],"PRODUCTION")&gt;0,"PRODUCTION ","")&amp;IF(COUNTIFS(tbl_Finance[Job Number],C185&amp;"",tbl_Finance[Cost Centre],"VIDEO")&gt;0,"VIDEO ","")&amp;IF(COUNTIFS(tbl_Finance[Job Number],C185&amp;"",tbl_Finance[Cost Centre],"INTEGRATION")&gt;0,"INTEGRATION ","")&amp;IF(COUNTIFS(tbl_Finance[Job Number],C185&amp;"",tbl_Finance[Cost Centre],"CONSULTING")&gt;0,"CONSULTING ","")&amp;IF(COUNTIFS(tbl_Finance[Job Number],C185&amp;"",tbl_Finance[Cost Centre],"CTS")&gt;0,"CTS ",""))," ",", ")))</f>
        <v/>
      </c>
      <c r="L185" s="24" t="n"/>
      <c r="M185" s="25">
        <f>IF(L185="","",HYPERLINK(IF(LEFT(L185,4)="http",L185,set_QwilrBase&amp;L185),"Open quote"))</f>
        <v/>
      </c>
      <c r="N185" s="26" t="n"/>
      <c r="O185" s="26" t="n"/>
      <c r="P185" s="26" t="n"/>
      <c r="Q185" s="25">
        <f>IF(C185="","",IF(N(N185)+N(O185)+N(P185)=0,"Not split",IF(ROUND(N(N185)+N(O185)+N(P185),2)=ROUND(H185,2),"OK","MISMATCH")))</f>
        <v/>
      </c>
      <c r="R185" s="26" t="n"/>
      <c r="S185" s="26" t="n"/>
      <c r="T185" s="26" t="n"/>
      <c r="U185" s="27">
        <f>IF(C185="","",N(R185)+N(S185)+N(T185))</f>
        <v/>
      </c>
      <c r="V185" s="27">
        <f>IF(C185="","",H185-U185)</f>
        <v/>
      </c>
      <c r="W185" s="29">
        <f>IFERROR(V185/H185,"")</f>
        <v/>
      </c>
      <c r="X185" s="24" t="n"/>
    </row>
    <row r="186" ht="15" customHeight="1">
      <c r="A186" s="68">
        <f>IF(C186="","",IFERROR(IF(SUMPRODUCT(MAX((tbl_Finance[Job Number]=C186&amp;"")*(tbl_Finance[Xero Invoice No]&lt;&gt;"")*tbl_Finance[Date]))=0,"",SUMPRODUCT(MAX((tbl_Finance[Job Number]=C186&amp;"")*(tbl_Finance[Xero Invoice No]&lt;&gt;"")*tbl_Finance[Date]))),""))</f>
        <v/>
      </c>
      <c r="B186" s="25">
        <f>IF(C186="","",IF(COUNTIFS(tbl_Finance[Job Number],C186&amp;"",tbl_Finance[Xero Invoice No],"&lt;&gt;")=0,"",IFERROR(IF(COUNTIFS(tbl_Finance[Job Number],C186&amp;"",tbl_Finance[Xero Invoice No],LOOKUP(2,1/((tbl_Finance[Job Number]=C186&amp;"")*(tbl_Finance[Xero Invoice No]&lt;&gt;"")),tbl_Finance[Xero Invoice No]))=COUNTIFS(tbl_Finance[Job Number],C186&amp;"",tbl_Finance[Xero Invoice No],"&lt;&gt;"),LOOKUP(2,1/((tbl_Finance[Job Number]=C186&amp;"")*(tbl_Finance[Xero Invoice No]&lt;&gt;"")),tbl_Finance[Xero Invoice No]),LOOKUP(2,1/((tbl_Finance[Job Number]=C186&amp;"")*(tbl_Finance[Xero Invoice No]&lt;&gt;"")),tbl_Finance[Xero Invoice No])&amp;" +more"),"")))</f>
        <v/>
      </c>
      <c r="C186" s="24" t="n"/>
      <c r="D186" s="25">
        <f>IF(C186="","",IF(COUNTIF(lst_Jobs,C186&amp;"")&gt;0,"OK","CHECK"))</f>
        <v/>
      </c>
      <c r="E186" s="25">
        <f>IF(C186="","",IFERROR(INDEX(lst_JobName,MATCH(C186&amp;"",lst_Jobs,0)),""))</f>
        <v/>
      </c>
      <c r="F186" s="25">
        <f>IF(C186="","",IFERROR(INDEX(tbl_Finance[Client],MATCH(C186&amp;"",tbl_Finance[Job Number],0)),""))</f>
        <v/>
      </c>
      <c r="G186" s="28">
        <f>IF(C186="","",COUNTIFS(tbl_Finance[Job Number],C186&amp;"",tbl_Finance[Ex GST],"&lt;&gt;"))</f>
        <v/>
      </c>
      <c r="H186" s="27">
        <f>IF(C186="","",SUMIFS(tbl_Finance[Ex GST],tbl_Finance[Job Number],C186&amp;""))</f>
        <v/>
      </c>
      <c r="I186" s="27">
        <f>IF(C186="","",SUMIFS(tbl_Finance[Ex GST],tbl_Finance[Job Number],C186&amp;"",tbl_Finance[Xero Invoice No],"&lt;&gt;"))</f>
        <v/>
      </c>
      <c r="J186" s="27">
        <f>IF(C186="","",H186-I186)</f>
        <v/>
      </c>
      <c r="K186" s="25">
        <f>IF(C186="","",IF(G186=0,"not invoiced yet",SUBSTITUTE(TRIM(IF(COUNTIFS(tbl_Finance[Job Number],C186&amp;"",tbl_Finance[Cost Centre],"ONSITE")&gt;0,"ONSITE ","")&amp;IF(COUNTIFS(tbl_Finance[Job Number],C186&amp;"",tbl_Finance[Cost Centre],"PRODUCTION")&gt;0,"PRODUCTION ","")&amp;IF(COUNTIFS(tbl_Finance[Job Number],C186&amp;"",tbl_Finance[Cost Centre],"VIDEO")&gt;0,"VIDEO ","")&amp;IF(COUNTIFS(tbl_Finance[Job Number],C186&amp;"",tbl_Finance[Cost Centre],"INTEGRATION")&gt;0,"INTEGRATION ","")&amp;IF(COUNTIFS(tbl_Finance[Job Number],C186&amp;"",tbl_Finance[Cost Centre],"CONSULTING")&gt;0,"CONSULTING ","")&amp;IF(COUNTIFS(tbl_Finance[Job Number],C186&amp;"",tbl_Finance[Cost Centre],"CTS")&gt;0,"CTS ",""))," ",", ")))</f>
        <v/>
      </c>
      <c r="L186" s="24" t="n"/>
      <c r="M186" s="25">
        <f>IF(L186="","",HYPERLINK(IF(LEFT(L186,4)="http",L186,set_QwilrBase&amp;L186),"Open quote"))</f>
        <v/>
      </c>
      <c r="N186" s="26" t="n"/>
      <c r="O186" s="26" t="n"/>
      <c r="P186" s="26" t="n"/>
      <c r="Q186" s="25">
        <f>IF(C186="","",IF(N(N186)+N(O186)+N(P186)=0,"Not split",IF(ROUND(N(N186)+N(O186)+N(P186),2)=ROUND(H186,2),"OK","MISMATCH")))</f>
        <v/>
      </c>
      <c r="R186" s="26" t="n"/>
      <c r="S186" s="26" t="n"/>
      <c r="T186" s="26" t="n"/>
      <c r="U186" s="27">
        <f>IF(C186="","",N(R186)+N(S186)+N(T186))</f>
        <v/>
      </c>
      <c r="V186" s="27">
        <f>IF(C186="","",H186-U186)</f>
        <v/>
      </c>
      <c r="W186" s="29">
        <f>IFERROR(V186/H186,"")</f>
        <v/>
      </c>
      <c r="X186" s="24" t="n"/>
    </row>
    <row r="187" ht="15" customHeight="1">
      <c r="A187" s="68">
        <f>IF(C187="","",IFERROR(IF(SUMPRODUCT(MAX((tbl_Finance[Job Number]=C187&amp;"")*(tbl_Finance[Xero Invoice No]&lt;&gt;"")*tbl_Finance[Date]))=0,"",SUMPRODUCT(MAX((tbl_Finance[Job Number]=C187&amp;"")*(tbl_Finance[Xero Invoice No]&lt;&gt;"")*tbl_Finance[Date]))),""))</f>
        <v/>
      </c>
      <c r="B187" s="25">
        <f>IF(C187="","",IF(COUNTIFS(tbl_Finance[Job Number],C187&amp;"",tbl_Finance[Xero Invoice No],"&lt;&gt;")=0,"",IFERROR(IF(COUNTIFS(tbl_Finance[Job Number],C187&amp;"",tbl_Finance[Xero Invoice No],LOOKUP(2,1/((tbl_Finance[Job Number]=C187&amp;"")*(tbl_Finance[Xero Invoice No]&lt;&gt;"")),tbl_Finance[Xero Invoice No]))=COUNTIFS(tbl_Finance[Job Number],C187&amp;"",tbl_Finance[Xero Invoice No],"&lt;&gt;"),LOOKUP(2,1/((tbl_Finance[Job Number]=C187&amp;"")*(tbl_Finance[Xero Invoice No]&lt;&gt;"")),tbl_Finance[Xero Invoice No]),LOOKUP(2,1/((tbl_Finance[Job Number]=C187&amp;"")*(tbl_Finance[Xero Invoice No]&lt;&gt;"")),tbl_Finance[Xero Invoice No])&amp;" +more"),"")))</f>
        <v/>
      </c>
      <c r="C187" s="24" t="n"/>
      <c r="D187" s="25">
        <f>IF(C187="","",IF(COUNTIF(lst_Jobs,C187&amp;"")&gt;0,"OK","CHECK"))</f>
        <v/>
      </c>
      <c r="E187" s="25">
        <f>IF(C187="","",IFERROR(INDEX(lst_JobName,MATCH(C187&amp;"",lst_Jobs,0)),""))</f>
        <v/>
      </c>
      <c r="F187" s="25">
        <f>IF(C187="","",IFERROR(INDEX(tbl_Finance[Client],MATCH(C187&amp;"",tbl_Finance[Job Number],0)),""))</f>
        <v/>
      </c>
      <c r="G187" s="28">
        <f>IF(C187="","",COUNTIFS(tbl_Finance[Job Number],C187&amp;"",tbl_Finance[Ex GST],"&lt;&gt;"))</f>
        <v/>
      </c>
      <c r="H187" s="27">
        <f>IF(C187="","",SUMIFS(tbl_Finance[Ex GST],tbl_Finance[Job Number],C187&amp;""))</f>
        <v/>
      </c>
      <c r="I187" s="27">
        <f>IF(C187="","",SUMIFS(tbl_Finance[Ex GST],tbl_Finance[Job Number],C187&amp;"",tbl_Finance[Xero Invoice No],"&lt;&gt;"))</f>
        <v/>
      </c>
      <c r="J187" s="27">
        <f>IF(C187="","",H187-I187)</f>
        <v/>
      </c>
      <c r="K187" s="25">
        <f>IF(C187="","",IF(G187=0,"not invoiced yet",SUBSTITUTE(TRIM(IF(COUNTIFS(tbl_Finance[Job Number],C187&amp;"",tbl_Finance[Cost Centre],"ONSITE")&gt;0,"ONSITE ","")&amp;IF(COUNTIFS(tbl_Finance[Job Number],C187&amp;"",tbl_Finance[Cost Centre],"PRODUCTION")&gt;0,"PRODUCTION ","")&amp;IF(COUNTIFS(tbl_Finance[Job Number],C187&amp;"",tbl_Finance[Cost Centre],"VIDEO")&gt;0,"VIDEO ","")&amp;IF(COUNTIFS(tbl_Finance[Job Number],C187&amp;"",tbl_Finance[Cost Centre],"INTEGRATION")&gt;0,"INTEGRATION ","")&amp;IF(COUNTIFS(tbl_Finance[Job Number],C187&amp;"",tbl_Finance[Cost Centre],"CONSULTING")&gt;0,"CONSULTING ","")&amp;IF(COUNTIFS(tbl_Finance[Job Number],C187&amp;"",tbl_Finance[Cost Centre],"CTS")&gt;0,"CTS ",""))," ",", ")))</f>
        <v/>
      </c>
      <c r="L187" s="24" t="n"/>
      <c r="M187" s="25">
        <f>IF(L187="","",HYPERLINK(IF(LEFT(L187,4)="http",L187,set_QwilrBase&amp;L187),"Open quote"))</f>
        <v/>
      </c>
      <c r="N187" s="26" t="n"/>
      <c r="O187" s="26" t="n"/>
      <c r="P187" s="26" t="n"/>
      <c r="Q187" s="25">
        <f>IF(C187="","",IF(N(N187)+N(O187)+N(P187)=0,"Not split",IF(ROUND(N(N187)+N(O187)+N(P187),2)=ROUND(H187,2),"OK","MISMATCH")))</f>
        <v/>
      </c>
      <c r="R187" s="26" t="n"/>
      <c r="S187" s="26" t="n"/>
      <c r="T187" s="26" t="n"/>
      <c r="U187" s="27">
        <f>IF(C187="","",N(R187)+N(S187)+N(T187))</f>
        <v/>
      </c>
      <c r="V187" s="27">
        <f>IF(C187="","",H187-U187)</f>
        <v/>
      </c>
      <c r="W187" s="29">
        <f>IFERROR(V187/H187,"")</f>
        <v/>
      </c>
      <c r="X187" s="24" t="n"/>
    </row>
    <row r="188" ht="15" customHeight="1">
      <c r="A188" s="68">
        <f>IF(C188="","",IFERROR(IF(SUMPRODUCT(MAX((tbl_Finance[Job Number]=C188&amp;"")*(tbl_Finance[Xero Invoice No]&lt;&gt;"")*tbl_Finance[Date]))=0,"",SUMPRODUCT(MAX((tbl_Finance[Job Number]=C188&amp;"")*(tbl_Finance[Xero Invoice No]&lt;&gt;"")*tbl_Finance[Date]))),""))</f>
        <v/>
      </c>
      <c r="B188" s="25">
        <f>IF(C188="","",IF(COUNTIFS(tbl_Finance[Job Number],C188&amp;"",tbl_Finance[Xero Invoice No],"&lt;&gt;")=0,"",IFERROR(IF(COUNTIFS(tbl_Finance[Job Number],C188&amp;"",tbl_Finance[Xero Invoice No],LOOKUP(2,1/((tbl_Finance[Job Number]=C188&amp;"")*(tbl_Finance[Xero Invoice No]&lt;&gt;"")),tbl_Finance[Xero Invoice No]))=COUNTIFS(tbl_Finance[Job Number],C188&amp;"",tbl_Finance[Xero Invoice No],"&lt;&gt;"),LOOKUP(2,1/((tbl_Finance[Job Number]=C188&amp;"")*(tbl_Finance[Xero Invoice No]&lt;&gt;"")),tbl_Finance[Xero Invoice No]),LOOKUP(2,1/((tbl_Finance[Job Number]=C188&amp;"")*(tbl_Finance[Xero Invoice No]&lt;&gt;"")),tbl_Finance[Xero Invoice No])&amp;" +more"),"")))</f>
        <v/>
      </c>
      <c r="C188" s="24" t="n"/>
      <c r="D188" s="25">
        <f>IF(C188="","",IF(COUNTIF(lst_Jobs,C188&amp;"")&gt;0,"OK","CHECK"))</f>
        <v/>
      </c>
      <c r="E188" s="25">
        <f>IF(C188="","",IFERROR(INDEX(lst_JobName,MATCH(C188&amp;"",lst_Jobs,0)),""))</f>
        <v/>
      </c>
      <c r="F188" s="25">
        <f>IF(C188="","",IFERROR(INDEX(tbl_Finance[Client],MATCH(C188&amp;"",tbl_Finance[Job Number],0)),""))</f>
        <v/>
      </c>
      <c r="G188" s="28">
        <f>IF(C188="","",COUNTIFS(tbl_Finance[Job Number],C188&amp;"",tbl_Finance[Ex GST],"&lt;&gt;"))</f>
        <v/>
      </c>
      <c r="H188" s="27">
        <f>IF(C188="","",SUMIFS(tbl_Finance[Ex GST],tbl_Finance[Job Number],C188&amp;""))</f>
        <v/>
      </c>
      <c r="I188" s="27">
        <f>IF(C188="","",SUMIFS(tbl_Finance[Ex GST],tbl_Finance[Job Number],C188&amp;"",tbl_Finance[Xero Invoice No],"&lt;&gt;"))</f>
        <v/>
      </c>
      <c r="J188" s="27">
        <f>IF(C188="","",H188-I188)</f>
        <v/>
      </c>
      <c r="K188" s="25">
        <f>IF(C188="","",IF(G188=0,"not invoiced yet",SUBSTITUTE(TRIM(IF(COUNTIFS(tbl_Finance[Job Number],C188&amp;"",tbl_Finance[Cost Centre],"ONSITE")&gt;0,"ONSITE ","")&amp;IF(COUNTIFS(tbl_Finance[Job Number],C188&amp;"",tbl_Finance[Cost Centre],"PRODUCTION")&gt;0,"PRODUCTION ","")&amp;IF(COUNTIFS(tbl_Finance[Job Number],C188&amp;"",tbl_Finance[Cost Centre],"VIDEO")&gt;0,"VIDEO ","")&amp;IF(COUNTIFS(tbl_Finance[Job Number],C188&amp;"",tbl_Finance[Cost Centre],"INTEGRATION")&gt;0,"INTEGRATION ","")&amp;IF(COUNTIFS(tbl_Finance[Job Number],C188&amp;"",tbl_Finance[Cost Centre],"CONSULTING")&gt;0,"CONSULTING ","")&amp;IF(COUNTIFS(tbl_Finance[Job Number],C188&amp;"",tbl_Finance[Cost Centre],"CTS")&gt;0,"CTS ",""))," ",", ")))</f>
        <v/>
      </c>
      <c r="L188" s="24" t="n"/>
      <c r="M188" s="25">
        <f>IF(L188="","",HYPERLINK(IF(LEFT(L188,4)="http",L188,set_QwilrBase&amp;L188),"Open quote"))</f>
        <v/>
      </c>
      <c r="N188" s="26" t="n"/>
      <c r="O188" s="26" t="n"/>
      <c r="P188" s="26" t="n"/>
      <c r="Q188" s="25">
        <f>IF(C188="","",IF(N(N188)+N(O188)+N(P188)=0,"Not split",IF(ROUND(N(N188)+N(O188)+N(P188),2)=ROUND(H188,2),"OK","MISMATCH")))</f>
        <v/>
      </c>
      <c r="R188" s="26" t="n"/>
      <c r="S188" s="26" t="n"/>
      <c r="T188" s="26" t="n"/>
      <c r="U188" s="27">
        <f>IF(C188="","",N(R188)+N(S188)+N(T188))</f>
        <v/>
      </c>
      <c r="V188" s="27">
        <f>IF(C188="","",H188-U188)</f>
        <v/>
      </c>
      <c r="W188" s="29">
        <f>IFERROR(V188/H188,"")</f>
        <v/>
      </c>
      <c r="X188" s="24" t="n"/>
    </row>
    <row r="189" ht="15" customHeight="1">
      <c r="A189" s="68">
        <f>IF(C189="","",IFERROR(IF(SUMPRODUCT(MAX((tbl_Finance[Job Number]=C189&amp;"")*(tbl_Finance[Xero Invoice No]&lt;&gt;"")*tbl_Finance[Date]))=0,"",SUMPRODUCT(MAX((tbl_Finance[Job Number]=C189&amp;"")*(tbl_Finance[Xero Invoice No]&lt;&gt;"")*tbl_Finance[Date]))),""))</f>
        <v/>
      </c>
      <c r="B189" s="25">
        <f>IF(C189="","",IF(COUNTIFS(tbl_Finance[Job Number],C189&amp;"",tbl_Finance[Xero Invoice No],"&lt;&gt;")=0,"",IFERROR(IF(COUNTIFS(tbl_Finance[Job Number],C189&amp;"",tbl_Finance[Xero Invoice No],LOOKUP(2,1/((tbl_Finance[Job Number]=C189&amp;"")*(tbl_Finance[Xero Invoice No]&lt;&gt;"")),tbl_Finance[Xero Invoice No]))=COUNTIFS(tbl_Finance[Job Number],C189&amp;"",tbl_Finance[Xero Invoice No],"&lt;&gt;"),LOOKUP(2,1/((tbl_Finance[Job Number]=C189&amp;"")*(tbl_Finance[Xero Invoice No]&lt;&gt;"")),tbl_Finance[Xero Invoice No]),LOOKUP(2,1/((tbl_Finance[Job Number]=C189&amp;"")*(tbl_Finance[Xero Invoice No]&lt;&gt;"")),tbl_Finance[Xero Invoice No])&amp;" +more"),"")))</f>
        <v/>
      </c>
      <c r="C189" s="24" t="n"/>
      <c r="D189" s="25">
        <f>IF(C189="","",IF(COUNTIF(lst_Jobs,C189&amp;"")&gt;0,"OK","CHECK"))</f>
        <v/>
      </c>
      <c r="E189" s="25">
        <f>IF(C189="","",IFERROR(INDEX(lst_JobName,MATCH(C189&amp;"",lst_Jobs,0)),""))</f>
        <v/>
      </c>
      <c r="F189" s="25">
        <f>IF(C189="","",IFERROR(INDEX(tbl_Finance[Client],MATCH(C189&amp;"",tbl_Finance[Job Number],0)),""))</f>
        <v/>
      </c>
      <c r="G189" s="28">
        <f>IF(C189="","",COUNTIFS(tbl_Finance[Job Number],C189&amp;"",tbl_Finance[Ex GST],"&lt;&gt;"))</f>
        <v/>
      </c>
      <c r="H189" s="27">
        <f>IF(C189="","",SUMIFS(tbl_Finance[Ex GST],tbl_Finance[Job Number],C189&amp;""))</f>
        <v/>
      </c>
      <c r="I189" s="27">
        <f>IF(C189="","",SUMIFS(tbl_Finance[Ex GST],tbl_Finance[Job Number],C189&amp;"",tbl_Finance[Xero Invoice No],"&lt;&gt;"))</f>
        <v/>
      </c>
      <c r="J189" s="27">
        <f>IF(C189="","",H189-I189)</f>
        <v/>
      </c>
      <c r="K189" s="25">
        <f>IF(C189="","",IF(G189=0,"not invoiced yet",SUBSTITUTE(TRIM(IF(COUNTIFS(tbl_Finance[Job Number],C189&amp;"",tbl_Finance[Cost Centre],"ONSITE")&gt;0,"ONSITE ","")&amp;IF(COUNTIFS(tbl_Finance[Job Number],C189&amp;"",tbl_Finance[Cost Centre],"PRODUCTION")&gt;0,"PRODUCTION ","")&amp;IF(COUNTIFS(tbl_Finance[Job Number],C189&amp;"",tbl_Finance[Cost Centre],"VIDEO")&gt;0,"VIDEO ","")&amp;IF(COUNTIFS(tbl_Finance[Job Number],C189&amp;"",tbl_Finance[Cost Centre],"INTEGRATION")&gt;0,"INTEGRATION ","")&amp;IF(COUNTIFS(tbl_Finance[Job Number],C189&amp;"",tbl_Finance[Cost Centre],"CONSULTING")&gt;0,"CONSULTING ","")&amp;IF(COUNTIFS(tbl_Finance[Job Number],C189&amp;"",tbl_Finance[Cost Centre],"CTS")&gt;0,"CTS ",""))," ",", ")))</f>
        <v/>
      </c>
      <c r="L189" s="24" t="n"/>
      <c r="M189" s="25">
        <f>IF(L189="","",HYPERLINK(IF(LEFT(L189,4)="http",L189,set_QwilrBase&amp;L189),"Open quote"))</f>
        <v/>
      </c>
      <c r="N189" s="26" t="n"/>
      <c r="O189" s="26" t="n"/>
      <c r="P189" s="26" t="n"/>
      <c r="Q189" s="25">
        <f>IF(C189="","",IF(N(N189)+N(O189)+N(P189)=0,"Not split",IF(ROUND(N(N189)+N(O189)+N(P189),2)=ROUND(H189,2),"OK","MISMATCH")))</f>
        <v/>
      </c>
      <c r="R189" s="26" t="n"/>
      <c r="S189" s="26" t="n"/>
      <c r="T189" s="26" t="n"/>
      <c r="U189" s="27">
        <f>IF(C189="","",N(R189)+N(S189)+N(T189))</f>
        <v/>
      </c>
      <c r="V189" s="27">
        <f>IF(C189="","",H189-U189)</f>
        <v/>
      </c>
      <c r="W189" s="29">
        <f>IFERROR(V189/H189,"")</f>
        <v/>
      </c>
      <c r="X189" s="24" t="n"/>
    </row>
    <row r="190" ht="15" customHeight="1">
      <c r="A190" s="68">
        <f>IF(C190="","",IFERROR(IF(SUMPRODUCT(MAX((tbl_Finance[Job Number]=C190&amp;"")*(tbl_Finance[Xero Invoice No]&lt;&gt;"")*tbl_Finance[Date]))=0,"",SUMPRODUCT(MAX((tbl_Finance[Job Number]=C190&amp;"")*(tbl_Finance[Xero Invoice No]&lt;&gt;"")*tbl_Finance[Date]))),""))</f>
        <v/>
      </c>
      <c r="B190" s="25">
        <f>IF(C190="","",IF(COUNTIFS(tbl_Finance[Job Number],C190&amp;"",tbl_Finance[Xero Invoice No],"&lt;&gt;")=0,"",IFERROR(IF(COUNTIFS(tbl_Finance[Job Number],C190&amp;"",tbl_Finance[Xero Invoice No],LOOKUP(2,1/((tbl_Finance[Job Number]=C190&amp;"")*(tbl_Finance[Xero Invoice No]&lt;&gt;"")),tbl_Finance[Xero Invoice No]))=COUNTIFS(tbl_Finance[Job Number],C190&amp;"",tbl_Finance[Xero Invoice No],"&lt;&gt;"),LOOKUP(2,1/((tbl_Finance[Job Number]=C190&amp;"")*(tbl_Finance[Xero Invoice No]&lt;&gt;"")),tbl_Finance[Xero Invoice No]),LOOKUP(2,1/((tbl_Finance[Job Number]=C190&amp;"")*(tbl_Finance[Xero Invoice No]&lt;&gt;"")),tbl_Finance[Xero Invoice No])&amp;" +more"),"")))</f>
        <v/>
      </c>
      <c r="C190" s="24" t="n"/>
      <c r="D190" s="25">
        <f>IF(C190="","",IF(COUNTIF(lst_Jobs,C190&amp;"")&gt;0,"OK","CHECK"))</f>
        <v/>
      </c>
      <c r="E190" s="25">
        <f>IF(C190="","",IFERROR(INDEX(lst_JobName,MATCH(C190&amp;"",lst_Jobs,0)),""))</f>
        <v/>
      </c>
      <c r="F190" s="25">
        <f>IF(C190="","",IFERROR(INDEX(tbl_Finance[Client],MATCH(C190&amp;"",tbl_Finance[Job Number],0)),""))</f>
        <v/>
      </c>
      <c r="G190" s="28">
        <f>IF(C190="","",COUNTIFS(tbl_Finance[Job Number],C190&amp;"",tbl_Finance[Ex GST],"&lt;&gt;"))</f>
        <v/>
      </c>
      <c r="H190" s="27">
        <f>IF(C190="","",SUMIFS(tbl_Finance[Ex GST],tbl_Finance[Job Number],C190&amp;""))</f>
        <v/>
      </c>
      <c r="I190" s="27">
        <f>IF(C190="","",SUMIFS(tbl_Finance[Ex GST],tbl_Finance[Job Number],C190&amp;"",tbl_Finance[Xero Invoice No],"&lt;&gt;"))</f>
        <v/>
      </c>
      <c r="J190" s="27">
        <f>IF(C190="","",H190-I190)</f>
        <v/>
      </c>
      <c r="K190" s="25">
        <f>IF(C190="","",IF(G190=0,"not invoiced yet",SUBSTITUTE(TRIM(IF(COUNTIFS(tbl_Finance[Job Number],C190&amp;"",tbl_Finance[Cost Centre],"ONSITE")&gt;0,"ONSITE ","")&amp;IF(COUNTIFS(tbl_Finance[Job Number],C190&amp;"",tbl_Finance[Cost Centre],"PRODUCTION")&gt;0,"PRODUCTION ","")&amp;IF(COUNTIFS(tbl_Finance[Job Number],C190&amp;"",tbl_Finance[Cost Centre],"VIDEO")&gt;0,"VIDEO ","")&amp;IF(COUNTIFS(tbl_Finance[Job Number],C190&amp;"",tbl_Finance[Cost Centre],"INTEGRATION")&gt;0,"INTEGRATION ","")&amp;IF(COUNTIFS(tbl_Finance[Job Number],C190&amp;"",tbl_Finance[Cost Centre],"CONSULTING")&gt;0,"CONSULTING ","")&amp;IF(COUNTIFS(tbl_Finance[Job Number],C190&amp;"",tbl_Finance[Cost Centre],"CTS")&gt;0,"CTS ",""))," ",", ")))</f>
        <v/>
      </c>
      <c r="L190" s="24" t="n"/>
      <c r="M190" s="25">
        <f>IF(L190="","",HYPERLINK(IF(LEFT(L190,4)="http",L190,set_QwilrBase&amp;L190),"Open quote"))</f>
        <v/>
      </c>
      <c r="N190" s="26" t="n"/>
      <c r="O190" s="26" t="n"/>
      <c r="P190" s="26" t="n"/>
      <c r="Q190" s="25">
        <f>IF(C190="","",IF(N(N190)+N(O190)+N(P190)=0,"Not split",IF(ROUND(N(N190)+N(O190)+N(P190),2)=ROUND(H190,2),"OK","MISMATCH")))</f>
        <v/>
      </c>
      <c r="R190" s="26" t="n"/>
      <c r="S190" s="26" t="n"/>
      <c r="T190" s="26" t="n"/>
      <c r="U190" s="27">
        <f>IF(C190="","",N(R190)+N(S190)+N(T190))</f>
        <v/>
      </c>
      <c r="V190" s="27">
        <f>IF(C190="","",H190-U190)</f>
        <v/>
      </c>
      <c r="W190" s="29">
        <f>IFERROR(V190/H190,"")</f>
        <v/>
      </c>
      <c r="X190" s="24" t="n"/>
    </row>
    <row r="191" ht="15" customHeight="1">
      <c r="A191" s="68">
        <f>IF(C191="","",IFERROR(IF(SUMPRODUCT(MAX((tbl_Finance[Job Number]=C191&amp;"")*(tbl_Finance[Xero Invoice No]&lt;&gt;"")*tbl_Finance[Date]))=0,"",SUMPRODUCT(MAX((tbl_Finance[Job Number]=C191&amp;"")*(tbl_Finance[Xero Invoice No]&lt;&gt;"")*tbl_Finance[Date]))),""))</f>
        <v/>
      </c>
      <c r="B191" s="25">
        <f>IF(C191="","",IF(COUNTIFS(tbl_Finance[Job Number],C191&amp;"",tbl_Finance[Xero Invoice No],"&lt;&gt;")=0,"",IFERROR(IF(COUNTIFS(tbl_Finance[Job Number],C191&amp;"",tbl_Finance[Xero Invoice No],LOOKUP(2,1/((tbl_Finance[Job Number]=C191&amp;"")*(tbl_Finance[Xero Invoice No]&lt;&gt;"")),tbl_Finance[Xero Invoice No]))=COUNTIFS(tbl_Finance[Job Number],C191&amp;"",tbl_Finance[Xero Invoice No],"&lt;&gt;"),LOOKUP(2,1/((tbl_Finance[Job Number]=C191&amp;"")*(tbl_Finance[Xero Invoice No]&lt;&gt;"")),tbl_Finance[Xero Invoice No]),LOOKUP(2,1/((tbl_Finance[Job Number]=C191&amp;"")*(tbl_Finance[Xero Invoice No]&lt;&gt;"")),tbl_Finance[Xero Invoice No])&amp;" +more"),"")))</f>
        <v/>
      </c>
      <c r="C191" s="24" t="n"/>
      <c r="D191" s="25">
        <f>IF(C191="","",IF(COUNTIF(lst_Jobs,C191&amp;"")&gt;0,"OK","CHECK"))</f>
        <v/>
      </c>
      <c r="E191" s="25">
        <f>IF(C191="","",IFERROR(INDEX(lst_JobName,MATCH(C191&amp;"",lst_Jobs,0)),""))</f>
        <v/>
      </c>
      <c r="F191" s="25">
        <f>IF(C191="","",IFERROR(INDEX(tbl_Finance[Client],MATCH(C191&amp;"",tbl_Finance[Job Number],0)),""))</f>
        <v/>
      </c>
      <c r="G191" s="28">
        <f>IF(C191="","",COUNTIFS(tbl_Finance[Job Number],C191&amp;"",tbl_Finance[Ex GST],"&lt;&gt;"))</f>
        <v/>
      </c>
      <c r="H191" s="27">
        <f>IF(C191="","",SUMIFS(tbl_Finance[Ex GST],tbl_Finance[Job Number],C191&amp;""))</f>
        <v/>
      </c>
      <c r="I191" s="27">
        <f>IF(C191="","",SUMIFS(tbl_Finance[Ex GST],tbl_Finance[Job Number],C191&amp;"",tbl_Finance[Xero Invoice No],"&lt;&gt;"))</f>
        <v/>
      </c>
      <c r="J191" s="27">
        <f>IF(C191="","",H191-I191)</f>
        <v/>
      </c>
      <c r="K191" s="25">
        <f>IF(C191="","",IF(G191=0,"not invoiced yet",SUBSTITUTE(TRIM(IF(COUNTIFS(tbl_Finance[Job Number],C191&amp;"",tbl_Finance[Cost Centre],"ONSITE")&gt;0,"ONSITE ","")&amp;IF(COUNTIFS(tbl_Finance[Job Number],C191&amp;"",tbl_Finance[Cost Centre],"PRODUCTION")&gt;0,"PRODUCTION ","")&amp;IF(COUNTIFS(tbl_Finance[Job Number],C191&amp;"",tbl_Finance[Cost Centre],"VIDEO")&gt;0,"VIDEO ","")&amp;IF(COUNTIFS(tbl_Finance[Job Number],C191&amp;"",tbl_Finance[Cost Centre],"INTEGRATION")&gt;0,"INTEGRATION ","")&amp;IF(COUNTIFS(tbl_Finance[Job Number],C191&amp;"",tbl_Finance[Cost Centre],"CONSULTING")&gt;0,"CONSULTING ","")&amp;IF(COUNTIFS(tbl_Finance[Job Number],C191&amp;"",tbl_Finance[Cost Centre],"CTS")&gt;0,"CTS ",""))," ",", ")))</f>
        <v/>
      </c>
      <c r="L191" s="24" t="n"/>
      <c r="M191" s="25">
        <f>IF(L191="","",HYPERLINK(IF(LEFT(L191,4)="http",L191,set_QwilrBase&amp;L191),"Open quote"))</f>
        <v/>
      </c>
      <c r="N191" s="26" t="n"/>
      <c r="O191" s="26" t="n"/>
      <c r="P191" s="26" t="n"/>
      <c r="Q191" s="25">
        <f>IF(C191="","",IF(N(N191)+N(O191)+N(P191)=0,"Not split",IF(ROUND(N(N191)+N(O191)+N(P191),2)=ROUND(H191,2),"OK","MISMATCH")))</f>
        <v/>
      </c>
      <c r="R191" s="26" t="n"/>
      <c r="S191" s="26" t="n"/>
      <c r="T191" s="26" t="n"/>
      <c r="U191" s="27">
        <f>IF(C191="","",N(R191)+N(S191)+N(T191))</f>
        <v/>
      </c>
      <c r="V191" s="27">
        <f>IF(C191="","",H191-U191)</f>
        <v/>
      </c>
      <c r="W191" s="29">
        <f>IFERROR(V191/H191,"")</f>
        <v/>
      </c>
      <c r="X191" s="24" t="n"/>
    </row>
    <row r="192" ht="15" customHeight="1">
      <c r="A192" s="68">
        <f>IF(C192="","",IFERROR(IF(SUMPRODUCT(MAX((tbl_Finance[Job Number]=C192&amp;"")*(tbl_Finance[Xero Invoice No]&lt;&gt;"")*tbl_Finance[Date]))=0,"",SUMPRODUCT(MAX((tbl_Finance[Job Number]=C192&amp;"")*(tbl_Finance[Xero Invoice No]&lt;&gt;"")*tbl_Finance[Date]))),""))</f>
        <v/>
      </c>
      <c r="B192" s="25">
        <f>IF(C192="","",IF(COUNTIFS(tbl_Finance[Job Number],C192&amp;"",tbl_Finance[Xero Invoice No],"&lt;&gt;")=0,"",IFERROR(IF(COUNTIFS(tbl_Finance[Job Number],C192&amp;"",tbl_Finance[Xero Invoice No],LOOKUP(2,1/((tbl_Finance[Job Number]=C192&amp;"")*(tbl_Finance[Xero Invoice No]&lt;&gt;"")),tbl_Finance[Xero Invoice No]))=COUNTIFS(tbl_Finance[Job Number],C192&amp;"",tbl_Finance[Xero Invoice No],"&lt;&gt;"),LOOKUP(2,1/((tbl_Finance[Job Number]=C192&amp;"")*(tbl_Finance[Xero Invoice No]&lt;&gt;"")),tbl_Finance[Xero Invoice No]),LOOKUP(2,1/((tbl_Finance[Job Number]=C192&amp;"")*(tbl_Finance[Xero Invoice No]&lt;&gt;"")),tbl_Finance[Xero Invoice No])&amp;" +more"),"")))</f>
        <v/>
      </c>
      <c r="C192" s="24" t="n"/>
      <c r="D192" s="25">
        <f>IF(C192="","",IF(COUNTIF(lst_Jobs,C192&amp;"")&gt;0,"OK","CHECK"))</f>
        <v/>
      </c>
      <c r="E192" s="25">
        <f>IF(C192="","",IFERROR(INDEX(lst_JobName,MATCH(C192&amp;"",lst_Jobs,0)),""))</f>
        <v/>
      </c>
      <c r="F192" s="25">
        <f>IF(C192="","",IFERROR(INDEX(tbl_Finance[Client],MATCH(C192&amp;"",tbl_Finance[Job Number],0)),""))</f>
        <v/>
      </c>
      <c r="G192" s="28">
        <f>IF(C192="","",COUNTIFS(tbl_Finance[Job Number],C192&amp;"",tbl_Finance[Ex GST],"&lt;&gt;"))</f>
        <v/>
      </c>
      <c r="H192" s="27">
        <f>IF(C192="","",SUMIFS(tbl_Finance[Ex GST],tbl_Finance[Job Number],C192&amp;""))</f>
        <v/>
      </c>
      <c r="I192" s="27">
        <f>IF(C192="","",SUMIFS(tbl_Finance[Ex GST],tbl_Finance[Job Number],C192&amp;"",tbl_Finance[Xero Invoice No],"&lt;&gt;"))</f>
        <v/>
      </c>
      <c r="J192" s="27">
        <f>IF(C192="","",H192-I192)</f>
        <v/>
      </c>
      <c r="K192" s="25">
        <f>IF(C192="","",IF(G192=0,"not invoiced yet",SUBSTITUTE(TRIM(IF(COUNTIFS(tbl_Finance[Job Number],C192&amp;"",tbl_Finance[Cost Centre],"ONSITE")&gt;0,"ONSITE ","")&amp;IF(COUNTIFS(tbl_Finance[Job Number],C192&amp;"",tbl_Finance[Cost Centre],"PRODUCTION")&gt;0,"PRODUCTION ","")&amp;IF(COUNTIFS(tbl_Finance[Job Number],C192&amp;"",tbl_Finance[Cost Centre],"VIDEO")&gt;0,"VIDEO ","")&amp;IF(COUNTIFS(tbl_Finance[Job Number],C192&amp;"",tbl_Finance[Cost Centre],"INTEGRATION")&gt;0,"INTEGRATION ","")&amp;IF(COUNTIFS(tbl_Finance[Job Number],C192&amp;"",tbl_Finance[Cost Centre],"CONSULTING")&gt;0,"CONSULTING ","")&amp;IF(COUNTIFS(tbl_Finance[Job Number],C192&amp;"",tbl_Finance[Cost Centre],"CTS")&gt;0,"CTS ",""))," ",", ")))</f>
        <v/>
      </c>
      <c r="L192" s="24" t="n"/>
      <c r="M192" s="25">
        <f>IF(L192="","",HYPERLINK(IF(LEFT(L192,4)="http",L192,set_QwilrBase&amp;L192),"Open quote"))</f>
        <v/>
      </c>
      <c r="N192" s="26" t="n"/>
      <c r="O192" s="26" t="n"/>
      <c r="P192" s="26" t="n"/>
      <c r="Q192" s="25">
        <f>IF(C192="","",IF(N(N192)+N(O192)+N(P192)=0,"Not split",IF(ROUND(N(N192)+N(O192)+N(P192),2)=ROUND(H192,2),"OK","MISMATCH")))</f>
        <v/>
      </c>
      <c r="R192" s="26" t="n"/>
      <c r="S192" s="26" t="n"/>
      <c r="T192" s="26" t="n"/>
      <c r="U192" s="27">
        <f>IF(C192="","",N(R192)+N(S192)+N(T192))</f>
        <v/>
      </c>
      <c r="V192" s="27">
        <f>IF(C192="","",H192-U192)</f>
        <v/>
      </c>
      <c r="W192" s="29">
        <f>IFERROR(V192/H192,"")</f>
        <v/>
      </c>
      <c r="X192" s="24" t="n"/>
    </row>
    <row r="193" ht="15" customHeight="1">
      <c r="A193" s="68">
        <f>IF(C193="","",IFERROR(IF(SUMPRODUCT(MAX((tbl_Finance[Job Number]=C193&amp;"")*(tbl_Finance[Xero Invoice No]&lt;&gt;"")*tbl_Finance[Date]))=0,"",SUMPRODUCT(MAX((tbl_Finance[Job Number]=C193&amp;"")*(tbl_Finance[Xero Invoice No]&lt;&gt;"")*tbl_Finance[Date]))),""))</f>
        <v/>
      </c>
      <c r="B193" s="25">
        <f>IF(C193="","",IF(COUNTIFS(tbl_Finance[Job Number],C193&amp;"",tbl_Finance[Xero Invoice No],"&lt;&gt;")=0,"",IFERROR(IF(COUNTIFS(tbl_Finance[Job Number],C193&amp;"",tbl_Finance[Xero Invoice No],LOOKUP(2,1/((tbl_Finance[Job Number]=C193&amp;"")*(tbl_Finance[Xero Invoice No]&lt;&gt;"")),tbl_Finance[Xero Invoice No]))=COUNTIFS(tbl_Finance[Job Number],C193&amp;"",tbl_Finance[Xero Invoice No],"&lt;&gt;"),LOOKUP(2,1/((tbl_Finance[Job Number]=C193&amp;"")*(tbl_Finance[Xero Invoice No]&lt;&gt;"")),tbl_Finance[Xero Invoice No]),LOOKUP(2,1/((tbl_Finance[Job Number]=C193&amp;"")*(tbl_Finance[Xero Invoice No]&lt;&gt;"")),tbl_Finance[Xero Invoice No])&amp;" +more"),"")))</f>
        <v/>
      </c>
      <c r="C193" s="24" t="n"/>
      <c r="D193" s="25">
        <f>IF(C193="","",IF(COUNTIF(lst_Jobs,C193&amp;"")&gt;0,"OK","CHECK"))</f>
        <v/>
      </c>
      <c r="E193" s="25">
        <f>IF(C193="","",IFERROR(INDEX(lst_JobName,MATCH(C193&amp;"",lst_Jobs,0)),""))</f>
        <v/>
      </c>
      <c r="F193" s="25">
        <f>IF(C193="","",IFERROR(INDEX(tbl_Finance[Client],MATCH(C193&amp;"",tbl_Finance[Job Number],0)),""))</f>
        <v/>
      </c>
      <c r="G193" s="28">
        <f>IF(C193="","",COUNTIFS(tbl_Finance[Job Number],C193&amp;"",tbl_Finance[Ex GST],"&lt;&gt;"))</f>
        <v/>
      </c>
      <c r="H193" s="27">
        <f>IF(C193="","",SUMIFS(tbl_Finance[Ex GST],tbl_Finance[Job Number],C193&amp;""))</f>
        <v/>
      </c>
      <c r="I193" s="27">
        <f>IF(C193="","",SUMIFS(tbl_Finance[Ex GST],tbl_Finance[Job Number],C193&amp;"",tbl_Finance[Xero Invoice No],"&lt;&gt;"))</f>
        <v/>
      </c>
      <c r="J193" s="27">
        <f>IF(C193="","",H193-I193)</f>
        <v/>
      </c>
      <c r="K193" s="25">
        <f>IF(C193="","",IF(G193=0,"not invoiced yet",SUBSTITUTE(TRIM(IF(COUNTIFS(tbl_Finance[Job Number],C193&amp;"",tbl_Finance[Cost Centre],"ONSITE")&gt;0,"ONSITE ","")&amp;IF(COUNTIFS(tbl_Finance[Job Number],C193&amp;"",tbl_Finance[Cost Centre],"PRODUCTION")&gt;0,"PRODUCTION ","")&amp;IF(COUNTIFS(tbl_Finance[Job Number],C193&amp;"",tbl_Finance[Cost Centre],"VIDEO")&gt;0,"VIDEO ","")&amp;IF(COUNTIFS(tbl_Finance[Job Number],C193&amp;"",tbl_Finance[Cost Centre],"INTEGRATION")&gt;0,"INTEGRATION ","")&amp;IF(COUNTIFS(tbl_Finance[Job Number],C193&amp;"",tbl_Finance[Cost Centre],"CONSULTING")&gt;0,"CONSULTING ","")&amp;IF(COUNTIFS(tbl_Finance[Job Number],C193&amp;"",tbl_Finance[Cost Centre],"CTS")&gt;0,"CTS ",""))," ",", ")))</f>
        <v/>
      </c>
      <c r="L193" s="24" t="n"/>
      <c r="M193" s="25">
        <f>IF(L193="","",HYPERLINK(IF(LEFT(L193,4)="http",L193,set_QwilrBase&amp;L193),"Open quote"))</f>
        <v/>
      </c>
      <c r="N193" s="26" t="n"/>
      <c r="O193" s="26" t="n"/>
      <c r="P193" s="26" t="n"/>
      <c r="Q193" s="25">
        <f>IF(C193="","",IF(N(N193)+N(O193)+N(P193)=0,"Not split",IF(ROUND(N(N193)+N(O193)+N(P193),2)=ROUND(H193,2),"OK","MISMATCH")))</f>
        <v/>
      </c>
      <c r="R193" s="26" t="n"/>
      <c r="S193" s="26" t="n"/>
      <c r="T193" s="26" t="n"/>
      <c r="U193" s="27">
        <f>IF(C193="","",N(R193)+N(S193)+N(T193))</f>
        <v/>
      </c>
      <c r="V193" s="27">
        <f>IF(C193="","",H193-U193)</f>
        <v/>
      </c>
      <c r="W193" s="29">
        <f>IFERROR(V193/H193,"")</f>
        <v/>
      </c>
      <c r="X193" s="24" t="n"/>
    </row>
    <row r="194" ht="15" customHeight="1">
      <c r="A194" s="68">
        <f>IF(C194="","",IFERROR(IF(SUMPRODUCT(MAX((tbl_Finance[Job Number]=C194&amp;"")*(tbl_Finance[Xero Invoice No]&lt;&gt;"")*tbl_Finance[Date]))=0,"",SUMPRODUCT(MAX((tbl_Finance[Job Number]=C194&amp;"")*(tbl_Finance[Xero Invoice No]&lt;&gt;"")*tbl_Finance[Date]))),""))</f>
        <v/>
      </c>
      <c r="B194" s="25">
        <f>IF(C194="","",IF(COUNTIFS(tbl_Finance[Job Number],C194&amp;"",tbl_Finance[Xero Invoice No],"&lt;&gt;")=0,"",IFERROR(IF(COUNTIFS(tbl_Finance[Job Number],C194&amp;"",tbl_Finance[Xero Invoice No],LOOKUP(2,1/((tbl_Finance[Job Number]=C194&amp;"")*(tbl_Finance[Xero Invoice No]&lt;&gt;"")),tbl_Finance[Xero Invoice No]))=COUNTIFS(tbl_Finance[Job Number],C194&amp;"",tbl_Finance[Xero Invoice No],"&lt;&gt;"),LOOKUP(2,1/((tbl_Finance[Job Number]=C194&amp;"")*(tbl_Finance[Xero Invoice No]&lt;&gt;"")),tbl_Finance[Xero Invoice No]),LOOKUP(2,1/((tbl_Finance[Job Number]=C194&amp;"")*(tbl_Finance[Xero Invoice No]&lt;&gt;"")),tbl_Finance[Xero Invoice No])&amp;" +more"),"")))</f>
        <v/>
      </c>
      <c r="C194" s="24" t="n"/>
      <c r="D194" s="25">
        <f>IF(C194="","",IF(COUNTIF(lst_Jobs,C194&amp;"")&gt;0,"OK","CHECK"))</f>
        <v/>
      </c>
      <c r="E194" s="25">
        <f>IF(C194="","",IFERROR(INDEX(lst_JobName,MATCH(C194&amp;"",lst_Jobs,0)),""))</f>
        <v/>
      </c>
      <c r="F194" s="25">
        <f>IF(C194="","",IFERROR(INDEX(tbl_Finance[Client],MATCH(C194&amp;"",tbl_Finance[Job Number],0)),""))</f>
        <v/>
      </c>
      <c r="G194" s="28">
        <f>IF(C194="","",COUNTIFS(tbl_Finance[Job Number],C194&amp;"",tbl_Finance[Ex GST],"&lt;&gt;"))</f>
        <v/>
      </c>
      <c r="H194" s="27">
        <f>IF(C194="","",SUMIFS(tbl_Finance[Ex GST],tbl_Finance[Job Number],C194&amp;""))</f>
        <v/>
      </c>
      <c r="I194" s="27">
        <f>IF(C194="","",SUMIFS(tbl_Finance[Ex GST],tbl_Finance[Job Number],C194&amp;"",tbl_Finance[Xero Invoice No],"&lt;&gt;"))</f>
        <v/>
      </c>
      <c r="J194" s="27">
        <f>IF(C194="","",H194-I194)</f>
        <v/>
      </c>
      <c r="K194" s="25">
        <f>IF(C194="","",IF(G194=0,"not invoiced yet",SUBSTITUTE(TRIM(IF(COUNTIFS(tbl_Finance[Job Number],C194&amp;"",tbl_Finance[Cost Centre],"ONSITE")&gt;0,"ONSITE ","")&amp;IF(COUNTIFS(tbl_Finance[Job Number],C194&amp;"",tbl_Finance[Cost Centre],"PRODUCTION")&gt;0,"PRODUCTION ","")&amp;IF(COUNTIFS(tbl_Finance[Job Number],C194&amp;"",tbl_Finance[Cost Centre],"VIDEO")&gt;0,"VIDEO ","")&amp;IF(COUNTIFS(tbl_Finance[Job Number],C194&amp;"",tbl_Finance[Cost Centre],"INTEGRATION")&gt;0,"INTEGRATION ","")&amp;IF(COUNTIFS(tbl_Finance[Job Number],C194&amp;"",tbl_Finance[Cost Centre],"CONSULTING")&gt;0,"CONSULTING ","")&amp;IF(COUNTIFS(tbl_Finance[Job Number],C194&amp;"",tbl_Finance[Cost Centre],"CTS")&gt;0,"CTS ",""))," ",", ")))</f>
        <v/>
      </c>
      <c r="L194" s="24" t="n"/>
      <c r="M194" s="25">
        <f>IF(L194="","",HYPERLINK(IF(LEFT(L194,4)="http",L194,set_QwilrBase&amp;L194),"Open quote"))</f>
        <v/>
      </c>
      <c r="N194" s="26" t="n"/>
      <c r="O194" s="26" t="n"/>
      <c r="P194" s="26" t="n"/>
      <c r="Q194" s="25">
        <f>IF(C194="","",IF(N(N194)+N(O194)+N(P194)=0,"Not split",IF(ROUND(N(N194)+N(O194)+N(P194),2)=ROUND(H194,2),"OK","MISMATCH")))</f>
        <v/>
      </c>
      <c r="R194" s="26" t="n"/>
      <c r="S194" s="26" t="n"/>
      <c r="T194" s="26" t="n"/>
      <c r="U194" s="27">
        <f>IF(C194="","",N(R194)+N(S194)+N(T194))</f>
        <v/>
      </c>
      <c r="V194" s="27">
        <f>IF(C194="","",H194-U194)</f>
        <v/>
      </c>
      <c r="W194" s="29">
        <f>IFERROR(V194/H194,"")</f>
        <v/>
      </c>
      <c r="X194" s="24" t="n"/>
    </row>
    <row r="195" ht="15" customHeight="1">
      <c r="A195" s="68">
        <f>IF(C195="","",IFERROR(IF(SUMPRODUCT(MAX((tbl_Finance[Job Number]=C195&amp;"")*(tbl_Finance[Xero Invoice No]&lt;&gt;"")*tbl_Finance[Date]))=0,"",SUMPRODUCT(MAX((tbl_Finance[Job Number]=C195&amp;"")*(tbl_Finance[Xero Invoice No]&lt;&gt;"")*tbl_Finance[Date]))),""))</f>
        <v/>
      </c>
      <c r="B195" s="25">
        <f>IF(C195="","",IF(COUNTIFS(tbl_Finance[Job Number],C195&amp;"",tbl_Finance[Xero Invoice No],"&lt;&gt;")=0,"",IFERROR(IF(COUNTIFS(tbl_Finance[Job Number],C195&amp;"",tbl_Finance[Xero Invoice No],LOOKUP(2,1/((tbl_Finance[Job Number]=C195&amp;"")*(tbl_Finance[Xero Invoice No]&lt;&gt;"")),tbl_Finance[Xero Invoice No]))=COUNTIFS(tbl_Finance[Job Number],C195&amp;"",tbl_Finance[Xero Invoice No],"&lt;&gt;"),LOOKUP(2,1/((tbl_Finance[Job Number]=C195&amp;"")*(tbl_Finance[Xero Invoice No]&lt;&gt;"")),tbl_Finance[Xero Invoice No]),LOOKUP(2,1/((tbl_Finance[Job Number]=C195&amp;"")*(tbl_Finance[Xero Invoice No]&lt;&gt;"")),tbl_Finance[Xero Invoice No])&amp;" +more"),"")))</f>
        <v/>
      </c>
      <c r="C195" s="24" t="n"/>
      <c r="D195" s="25">
        <f>IF(C195="","",IF(COUNTIF(lst_Jobs,C195&amp;"")&gt;0,"OK","CHECK"))</f>
        <v/>
      </c>
      <c r="E195" s="25">
        <f>IF(C195="","",IFERROR(INDEX(lst_JobName,MATCH(C195&amp;"",lst_Jobs,0)),""))</f>
        <v/>
      </c>
      <c r="F195" s="25">
        <f>IF(C195="","",IFERROR(INDEX(tbl_Finance[Client],MATCH(C195&amp;"",tbl_Finance[Job Number],0)),""))</f>
        <v/>
      </c>
      <c r="G195" s="28">
        <f>IF(C195="","",COUNTIFS(tbl_Finance[Job Number],C195&amp;"",tbl_Finance[Ex GST],"&lt;&gt;"))</f>
        <v/>
      </c>
      <c r="H195" s="27">
        <f>IF(C195="","",SUMIFS(tbl_Finance[Ex GST],tbl_Finance[Job Number],C195&amp;""))</f>
        <v/>
      </c>
      <c r="I195" s="27">
        <f>IF(C195="","",SUMIFS(tbl_Finance[Ex GST],tbl_Finance[Job Number],C195&amp;"",tbl_Finance[Xero Invoice No],"&lt;&gt;"))</f>
        <v/>
      </c>
      <c r="J195" s="27">
        <f>IF(C195="","",H195-I195)</f>
        <v/>
      </c>
      <c r="K195" s="25">
        <f>IF(C195="","",IF(G195=0,"not invoiced yet",SUBSTITUTE(TRIM(IF(COUNTIFS(tbl_Finance[Job Number],C195&amp;"",tbl_Finance[Cost Centre],"ONSITE")&gt;0,"ONSITE ","")&amp;IF(COUNTIFS(tbl_Finance[Job Number],C195&amp;"",tbl_Finance[Cost Centre],"PRODUCTION")&gt;0,"PRODUCTION ","")&amp;IF(COUNTIFS(tbl_Finance[Job Number],C195&amp;"",tbl_Finance[Cost Centre],"VIDEO")&gt;0,"VIDEO ","")&amp;IF(COUNTIFS(tbl_Finance[Job Number],C195&amp;"",tbl_Finance[Cost Centre],"INTEGRATION")&gt;0,"INTEGRATION ","")&amp;IF(COUNTIFS(tbl_Finance[Job Number],C195&amp;"",tbl_Finance[Cost Centre],"CONSULTING")&gt;0,"CONSULTING ","")&amp;IF(COUNTIFS(tbl_Finance[Job Number],C195&amp;"",tbl_Finance[Cost Centre],"CTS")&gt;0,"CTS ",""))," ",", ")))</f>
        <v/>
      </c>
      <c r="L195" s="24" t="n"/>
      <c r="M195" s="25">
        <f>IF(L195="","",HYPERLINK(IF(LEFT(L195,4)="http",L195,set_QwilrBase&amp;L195),"Open quote"))</f>
        <v/>
      </c>
      <c r="N195" s="26" t="n"/>
      <c r="O195" s="26" t="n"/>
      <c r="P195" s="26" t="n"/>
      <c r="Q195" s="25">
        <f>IF(C195="","",IF(N(N195)+N(O195)+N(P195)=0,"Not split",IF(ROUND(N(N195)+N(O195)+N(P195),2)=ROUND(H195,2),"OK","MISMATCH")))</f>
        <v/>
      </c>
      <c r="R195" s="26" t="n"/>
      <c r="S195" s="26" t="n"/>
      <c r="T195" s="26" t="n"/>
      <c r="U195" s="27">
        <f>IF(C195="","",N(R195)+N(S195)+N(T195))</f>
        <v/>
      </c>
      <c r="V195" s="27">
        <f>IF(C195="","",H195-U195)</f>
        <v/>
      </c>
      <c r="W195" s="29">
        <f>IFERROR(V195/H195,"")</f>
        <v/>
      </c>
      <c r="X195" s="24" t="n"/>
    </row>
    <row r="196" ht="15" customHeight="1">
      <c r="A196" s="68">
        <f>IF(C196="","",IFERROR(IF(SUMPRODUCT(MAX((tbl_Finance[Job Number]=C196&amp;"")*(tbl_Finance[Xero Invoice No]&lt;&gt;"")*tbl_Finance[Date]))=0,"",SUMPRODUCT(MAX((tbl_Finance[Job Number]=C196&amp;"")*(tbl_Finance[Xero Invoice No]&lt;&gt;"")*tbl_Finance[Date]))),""))</f>
        <v/>
      </c>
      <c r="B196" s="25">
        <f>IF(C196="","",IF(COUNTIFS(tbl_Finance[Job Number],C196&amp;"",tbl_Finance[Xero Invoice No],"&lt;&gt;")=0,"",IFERROR(IF(COUNTIFS(tbl_Finance[Job Number],C196&amp;"",tbl_Finance[Xero Invoice No],LOOKUP(2,1/((tbl_Finance[Job Number]=C196&amp;"")*(tbl_Finance[Xero Invoice No]&lt;&gt;"")),tbl_Finance[Xero Invoice No]))=COUNTIFS(tbl_Finance[Job Number],C196&amp;"",tbl_Finance[Xero Invoice No],"&lt;&gt;"),LOOKUP(2,1/((tbl_Finance[Job Number]=C196&amp;"")*(tbl_Finance[Xero Invoice No]&lt;&gt;"")),tbl_Finance[Xero Invoice No]),LOOKUP(2,1/((tbl_Finance[Job Number]=C196&amp;"")*(tbl_Finance[Xero Invoice No]&lt;&gt;"")),tbl_Finance[Xero Invoice No])&amp;" +more"),"")))</f>
        <v/>
      </c>
      <c r="C196" s="24" t="n"/>
      <c r="D196" s="25">
        <f>IF(C196="","",IF(COUNTIF(lst_Jobs,C196&amp;"")&gt;0,"OK","CHECK"))</f>
        <v/>
      </c>
      <c r="E196" s="25">
        <f>IF(C196="","",IFERROR(INDEX(lst_JobName,MATCH(C196&amp;"",lst_Jobs,0)),""))</f>
        <v/>
      </c>
      <c r="F196" s="25">
        <f>IF(C196="","",IFERROR(INDEX(tbl_Finance[Client],MATCH(C196&amp;"",tbl_Finance[Job Number],0)),""))</f>
        <v/>
      </c>
      <c r="G196" s="28">
        <f>IF(C196="","",COUNTIFS(tbl_Finance[Job Number],C196&amp;"",tbl_Finance[Ex GST],"&lt;&gt;"))</f>
        <v/>
      </c>
      <c r="H196" s="27">
        <f>IF(C196="","",SUMIFS(tbl_Finance[Ex GST],tbl_Finance[Job Number],C196&amp;""))</f>
        <v/>
      </c>
      <c r="I196" s="27">
        <f>IF(C196="","",SUMIFS(tbl_Finance[Ex GST],tbl_Finance[Job Number],C196&amp;"",tbl_Finance[Xero Invoice No],"&lt;&gt;"))</f>
        <v/>
      </c>
      <c r="J196" s="27">
        <f>IF(C196="","",H196-I196)</f>
        <v/>
      </c>
      <c r="K196" s="25">
        <f>IF(C196="","",IF(G196=0,"not invoiced yet",SUBSTITUTE(TRIM(IF(COUNTIFS(tbl_Finance[Job Number],C196&amp;"",tbl_Finance[Cost Centre],"ONSITE")&gt;0,"ONSITE ","")&amp;IF(COUNTIFS(tbl_Finance[Job Number],C196&amp;"",tbl_Finance[Cost Centre],"PRODUCTION")&gt;0,"PRODUCTION ","")&amp;IF(COUNTIFS(tbl_Finance[Job Number],C196&amp;"",tbl_Finance[Cost Centre],"VIDEO")&gt;0,"VIDEO ","")&amp;IF(COUNTIFS(tbl_Finance[Job Number],C196&amp;"",tbl_Finance[Cost Centre],"INTEGRATION")&gt;0,"INTEGRATION ","")&amp;IF(COUNTIFS(tbl_Finance[Job Number],C196&amp;"",tbl_Finance[Cost Centre],"CONSULTING")&gt;0,"CONSULTING ","")&amp;IF(COUNTIFS(tbl_Finance[Job Number],C196&amp;"",tbl_Finance[Cost Centre],"CTS")&gt;0,"CTS ",""))," ",", ")))</f>
        <v/>
      </c>
      <c r="L196" s="24" t="n"/>
      <c r="M196" s="25">
        <f>IF(L196="","",HYPERLINK(IF(LEFT(L196,4)="http",L196,set_QwilrBase&amp;L196),"Open quote"))</f>
        <v/>
      </c>
      <c r="N196" s="26" t="n"/>
      <c r="O196" s="26" t="n"/>
      <c r="P196" s="26" t="n"/>
      <c r="Q196" s="25">
        <f>IF(C196="","",IF(N(N196)+N(O196)+N(P196)=0,"Not split",IF(ROUND(N(N196)+N(O196)+N(P196),2)=ROUND(H196,2),"OK","MISMATCH")))</f>
        <v/>
      </c>
      <c r="R196" s="26" t="n"/>
      <c r="S196" s="26" t="n"/>
      <c r="T196" s="26" t="n"/>
      <c r="U196" s="27">
        <f>IF(C196="","",N(R196)+N(S196)+N(T196))</f>
        <v/>
      </c>
      <c r="V196" s="27">
        <f>IF(C196="","",H196-U196)</f>
        <v/>
      </c>
      <c r="W196" s="29">
        <f>IFERROR(V196/H196,"")</f>
        <v/>
      </c>
      <c r="X196" s="24" t="n"/>
    </row>
    <row r="197" ht="15" customHeight="1">
      <c r="A197" s="68">
        <f>IF(C197="","",IFERROR(IF(SUMPRODUCT(MAX((tbl_Finance[Job Number]=C197&amp;"")*(tbl_Finance[Xero Invoice No]&lt;&gt;"")*tbl_Finance[Date]))=0,"",SUMPRODUCT(MAX((tbl_Finance[Job Number]=C197&amp;"")*(tbl_Finance[Xero Invoice No]&lt;&gt;"")*tbl_Finance[Date]))),""))</f>
        <v/>
      </c>
      <c r="B197" s="25">
        <f>IF(C197="","",IF(COUNTIFS(tbl_Finance[Job Number],C197&amp;"",tbl_Finance[Xero Invoice No],"&lt;&gt;")=0,"",IFERROR(IF(COUNTIFS(tbl_Finance[Job Number],C197&amp;"",tbl_Finance[Xero Invoice No],LOOKUP(2,1/((tbl_Finance[Job Number]=C197&amp;"")*(tbl_Finance[Xero Invoice No]&lt;&gt;"")),tbl_Finance[Xero Invoice No]))=COUNTIFS(tbl_Finance[Job Number],C197&amp;"",tbl_Finance[Xero Invoice No],"&lt;&gt;"),LOOKUP(2,1/((tbl_Finance[Job Number]=C197&amp;"")*(tbl_Finance[Xero Invoice No]&lt;&gt;"")),tbl_Finance[Xero Invoice No]),LOOKUP(2,1/((tbl_Finance[Job Number]=C197&amp;"")*(tbl_Finance[Xero Invoice No]&lt;&gt;"")),tbl_Finance[Xero Invoice No])&amp;" +more"),"")))</f>
        <v/>
      </c>
      <c r="C197" s="24" t="n"/>
      <c r="D197" s="25">
        <f>IF(C197="","",IF(COUNTIF(lst_Jobs,C197&amp;"")&gt;0,"OK","CHECK"))</f>
        <v/>
      </c>
      <c r="E197" s="25">
        <f>IF(C197="","",IFERROR(INDEX(lst_JobName,MATCH(C197&amp;"",lst_Jobs,0)),""))</f>
        <v/>
      </c>
      <c r="F197" s="25">
        <f>IF(C197="","",IFERROR(INDEX(tbl_Finance[Client],MATCH(C197&amp;"",tbl_Finance[Job Number],0)),""))</f>
        <v/>
      </c>
      <c r="G197" s="28">
        <f>IF(C197="","",COUNTIFS(tbl_Finance[Job Number],C197&amp;"",tbl_Finance[Ex GST],"&lt;&gt;"))</f>
        <v/>
      </c>
      <c r="H197" s="27">
        <f>IF(C197="","",SUMIFS(tbl_Finance[Ex GST],tbl_Finance[Job Number],C197&amp;""))</f>
        <v/>
      </c>
      <c r="I197" s="27">
        <f>IF(C197="","",SUMIFS(tbl_Finance[Ex GST],tbl_Finance[Job Number],C197&amp;"",tbl_Finance[Xero Invoice No],"&lt;&gt;"))</f>
        <v/>
      </c>
      <c r="J197" s="27">
        <f>IF(C197="","",H197-I197)</f>
        <v/>
      </c>
      <c r="K197" s="25">
        <f>IF(C197="","",IF(G197=0,"not invoiced yet",SUBSTITUTE(TRIM(IF(COUNTIFS(tbl_Finance[Job Number],C197&amp;"",tbl_Finance[Cost Centre],"ONSITE")&gt;0,"ONSITE ","")&amp;IF(COUNTIFS(tbl_Finance[Job Number],C197&amp;"",tbl_Finance[Cost Centre],"PRODUCTION")&gt;0,"PRODUCTION ","")&amp;IF(COUNTIFS(tbl_Finance[Job Number],C197&amp;"",tbl_Finance[Cost Centre],"VIDEO")&gt;0,"VIDEO ","")&amp;IF(COUNTIFS(tbl_Finance[Job Number],C197&amp;"",tbl_Finance[Cost Centre],"INTEGRATION")&gt;0,"INTEGRATION ","")&amp;IF(COUNTIFS(tbl_Finance[Job Number],C197&amp;"",tbl_Finance[Cost Centre],"CONSULTING")&gt;0,"CONSULTING ","")&amp;IF(COUNTIFS(tbl_Finance[Job Number],C197&amp;"",tbl_Finance[Cost Centre],"CTS")&gt;0,"CTS ",""))," ",", ")))</f>
        <v/>
      </c>
      <c r="L197" s="24" t="n"/>
      <c r="M197" s="25">
        <f>IF(L197="","",HYPERLINK(IF(LEFT(L197,4)="http",L197,set_QwilrBase&amp;L197),"Open quote"))</f>
        <v/>
      </c>
      <c r="N197" s="26" t="n"/>
      <c r="O197" s="26" t="n"/>
      <c r="P197" s="26" t="n"/>
      <c r="Q197" s="25">
        <f>IF(C197="","",IF(N(N197)+N(O197)+N(P197)=0,"Not split",IF(ROUND(N(N197)+N(O197)+N(P197),2)=ROUND(H197,2),"OK","MISMATCH")))</f>
        <v/>
      </c>
      <c r="R197" s="26" t="n"/>
      <c r="S197" s="26" t="n"/>
      <c r="T197" s="26" t="n"/>
      <c r="U197" s="27">
        <f>IF(C197="","",N(R197)+N(S197)+N(T197))</f>
        <v/>
      </c>
      <c r="V197" s="27">
        <f>IF(C197="","",H197-U197)</f>
        <v/>
      </c>
      <c r="W197" s="29">
        <f>IFERROR(V197/H197,"")</f>
        <v/>
      </c>
      <c r="X197" s="24" t="n"/>
    </row>
    <row r="198" ht="15" customHeight="1">
      <c r="A198" s="68">
        <f>IF(C198="","",IFERROR(IF(SUMPRODUCT(MAX((tbl_Finance[Job Number]=C198&amp;"")*(tbl_Finance[Xero Invoice No]&lt;&gt;"")*tbl_Finance[Date]))=0,"",SUMPRODUCT(MAX((tbl_Finance[Job Number]=C198&amp;"")*(tbl_Finance[Xero Invoice No]&lt;&gt;"")*tbl_Finance[Date]))),""))</f>
        <v/>
      </c>
      <c r="B198" s="25">
        <f>IF(C198="","",IF(COUNTIFS(tbl_Finance[Job Number],C198&amp;"",tbl_Finance[Xero Invoice No],"&lt;&gt;")=0,"",IFERROR(IF(COUNTIFS(tbl_Finance[Job Number],C198&amp;"",tbl_Finance[Xero Invoice No],LOOKUP(2,1/((tbl_Finance[Job Number]=C198&amp;"")*(tbl_Finance[Xero Invoice No]&lt;&gt;"")),tbl_Finance[Xero Invoice No]))=COUNTIFS(tbl_Finance[Job Number],C198&amp;"",tbl_Finance[Xero Invoice No],"&lt;&gt;"),LOOKUP(2,1/((tbl_Finance[Job Number]=C198&amp;"")*(tbl_Finance[Xero Invoice No]&lt;&gt;"")),tbl_Finance[Xero Invoice No]),LOOKUP(2,1/((tbl_Finance[Job Number]=C198&amp;"")*(tbl_Finance[Xero Invoice No]&lt;&gt;"")),tbl_Finance[Xero Invoice No])&amp;" +more"),"")))</f>
        <v/>
      </c>
      <c r="C198" s="24" t="n"/>
      <c r="D198" s="25">
        <f>IF(C198="","",IF(COUNTIF(lst_Jobs,C198&amp;"")&gt;0,"OK","CHECK"))</f>
        <v/>
      </c>
      <c r="E198" s="25">
        <f>IF(C198="","",IFERROR(INDEX(lst_JobName,MATCH(C198&amp;"",lst_Jobs,0)),""))</f>
        <v/>
      </c>
      <c r="F198" s="25">
        <f>IF(C198="","",IFERROR(INDEX(tbl_Finance[Client],MATCH(C198&amp;"",tbl_Finance[Job Number],0)),""))</f>
        <v/>
      </c>
      <c r="G198" s="28">
        <f>IF(C198="","",COUNTIFS(tbl_Finance[Job Number],C198&amp;"",tbl_Finance[Ex GST],"&lt;&gt;"))</f>
        <v/>
      </c>
      <c r="H198" s="27">
        <f>IF(C198="","",SUMIFS(tbl_Finance[Ex GST],tbl_Finance[Job Number],C198&amp;""))</f>
        <v/>
      </c>
      <c r="I198" s="27">
        <f>IF(C198="","",SUMIFS(tbl_Finance[Ex GST],tbl_Finance[Job Number],C198&amp;"",tbl_Finance[Xero Invoice No],"&lt;&gt;"))</f>
        <v/>
      </c>
      <c r="J198" s="27">
        <f>IF(C198="","",H198-I198)</f>
        <v/>
      </c>
      <c r="K198" s="25">
        <f>IF(C198="","",IF(G198=0,"not invoiced yet",SUBSTITUTE(TRIM(IF(COUNTIFS(tbl_Finance[Job Number],C198&amp;"",tbl_Finance[Cost Centre],"ONSITE")&gt;0,"ONSITE ","")&amp;IF(COUNTIFS(tbl_Finance[Job Number],C198&amp;"",tbl_Finance[Cost Centre],"PRODUCTION")&gt;0,"PRODUCTION ","")&amp;IF(COUNTIFS(tbl_Finance[Job Number],C198&amp;"",tbl_Finance[Cost Centre],"VIDEO")&gt;0,"VIDEO ","")&amp;IF(COUNTIFS(tbl_Finance[Job Number],C198&amp;"",tbl_Finance[Cost Centre],"INTEGRATION")&gt;0,"INTEGRATION ","")&amp;IF(COUNTIFS(tbl_Finance[Job Number],C198&amp;"",tbl_Finance[Cost Centre],"CONSULTING")&gt;0,"CONSULTING ","")&amp;IF(COUNTIFS(tbl_Finance[Job Number],C198&amp;"",tbl_Finance[Cost Centre],"CTS")&gt;0,"CTS ",""))," ",", ")))</f>
        <v/>
      </c>
      <c r="L198" s="24" t="n"/>
      <c r="M198" s="25">
        <f>IF(L198="","",HYPERLINK(IF(LEFT(L198,4)="http",L198,set_QwilrBase&amp;L198),"Open quote"))</f>
        <v/>
      </c>
      <c r="N198" s="26" t="n"/>
      <c r="O198" s="26" t="n"/>
      <c r="P198" s="26" t="n"/>
      <c r="Q198" s="25">
        <f>IF(C198="","",IF(N(N198)+N(O198)+N(P198)=0,"Not split",IF(ROUND(N(N198)+N(O198)+N(P198),2)=ROUND(H198,2),"OK","MISMATCH")))</f>
        <v/>
      </c>
      <c r="R198" s="26" t="n"/>
      <c r="S198" s="26" t="n"/>
      <c r="T198" s="26" t="n"/>
      <c r="U198" s="27">
        <f>IF(C198="","",N(R198)+N(S198)+N(T198))</f>
        <v/>
      </c>
      <c r="V198" s="27">
        <f>IF(C198="","",H198-U198)</f>
        <v/>
      </c>
      <c r="W198" s="29">
        <f>IFERROR(V198/H198,"")</f>
        <v/>
      </c>
      <c r="X198" s="24" t="n"/>
    </row>
    <row r="199" ht="15" customHeight="1">
      <c r="A199" s="68">
        <f>IF(C199="","",IFERROR(IF(SUMPRODUCT(MAX((tbl_Finance[Job Number]=C199&amp;"")*(tbl_Finance[Xero Invoice No]&lt;&gt;"")*tbl_Finance[Date]))=0,"",SUMPRODUCT(MAX((tbl_Finance[Job Number]=C199&amp;"")*(tbl_Finance[Xero Invoice No]&lt;&gt;"")*tbl_Finance[Date]))),""))</f>
        <v/>
      </c>
      <c r="B199" s="25">
        <f>IF(C199="","",IF(COUNTIFS(tbl_Finance[Job Number],C199&amp;"",tbl_Finance[Xero Invoice No],"&lt;&gt;")=0,"",IFERROR(IF(COUNTIFS(tbl_Finance[Job Number],C199&amp;"",tbl_Finance[Xero Invoice No],LOOKUP(2,1/((tbl_Finance[Job Number]=C199&amp;"")*(tbl_Finance[Xero Invoice No]&lt;&gt;"")),tbl_Finance[Xero Invoice No]))=COUNTIFS(tbl_Finance[Job Number],C199&amp;"",tbl_Finance[Xero Invoice No],"&lt;&gt;"),LOOKUP(2,1/((tbl_Finance[Job Number]=C199&amp;"")*(tbl_Finance[Xero Invoice No]&lt;&gt;"")),tbl_Finance[Xero Invoice No]),LOOKUP(2,1/((tbl_Finance[Job Number]=C199&amp;"")*(tbl_Finance[Xero Invoice No]&lt;&gt;"")),tbl_Finance[Xero Invoice No])&amp;" +more"),"")))</f>
        <v/>
      </c>
      <c r="C199" s="24" t="n"/>
      <c r="D199" s="25">
        <f>IF(C199="","",IF(COUNTIF(lst_Jobs,C199&amp;"")&gt;0,"OK","CHECK"))</f>
        <v/>
      </c>
      <c r="E199" s="25">
        <f>IF(C199="","",IFERROR(INDEX(lst_JobName,MATCH(C199&amp;"",lst_Jobs,0)),""))</f>
        <v/>
      </c>
      <c r="F199" s="25">
        <f>IF(C199="","",IFERROR(INDEX(tbl_Finance[Client],MATCH(C199&amp;"",tbl_Finance[Job Number],0)),""))</f>
        <v/>
      </c>
      <c r="G199" s="28">
        <f>IF(C199="","",COUNTIFS(tbl_Finance[Job Number],C199&amp;"",tbl_Finance[Ex GST],"&lt;&gt;"))</f>
        <v/>
      </c>
      <c r="H199" s="27">
        <f>IF(C199="","",SUMIFS(tbl_Finance[Ex GST],tbl_Finance[Job Number],C199&amp;""))</f>
        <v/>
      </c>
      <c r="I199" s="27">
        <f>IF(C199="","",SUMIFS(tbl_Finance[Ex GST],tbl_Finance[Job Number],C199&amp;"",tbl_Finance[Xero Invoice No],"&lt;&gt;"))</f>
        <v/>
      </c>
      <c r="J199" s="27">
        <f>IF(C199="","",H199-I199)</f>
        <v/>
      </c>
      <c r="K199" s="25">
        <f>IF(C199="","",IF(G199=0,"not invoiced yet",SUBSTITUTE(TRIM(IF(COUNTIFS(tbl_Finance[Job Number],C199&amp;"",tbl_Finance[Cost Centre],"ONSITE")&gt;0,"ONSITE ","")&amp;IF(COUNTIFS(tbl_Finance[Job Number],C199&amp;"",tbl_Finance[Cost Centre],"PRODUCTION")&gt;0,"PRODUCTION ","")&amp;IF(COUNTIFS(tbl_Finance[Job Number],C199&amp;"",tbl_Finance[Cost Centre],"VIDEO")&gt;0,"VIDEO ","")&amp;IF(COUNTIFS(tbl_Finance[Job Number],C199&amp;"",tbl_Finance[Cost Centre],"INTEGRATION")&gt;0,"INTEGRATION ","")&amp;IF(COUNTIFS(tbl_Finance[Job Number],C199&amp;"",tbl_Finance[Cost Centre],"CONSULTING")&gt;0,"CONSULTING ","")&amp;IF(COUNTIFS(tbl_Finance[Job Number],C199&amp;"",tbl_Finance[Cost Centre],"CTS")&gt;0,"CTS ",""))," ",", ")))</f>
        <v/>
      </c>
      <c r="L199" s="24" t="n"/>
      <c r="M199" s="25">
        <f>IF(L199="","",HYPERLINK(IF(LEFT(L199,4)="http",L199,set_QwilrBase&amp;L199),"Open quote"))</f>
        <v/>
      </c>
      <c r="N199" s="26" t="n"/>
      <c r="O199" s="26" t="n"/>
      <c r="P199" s="26" t="n"/>
      <c r="Q199" s="25">
        <f>IF(C199="","",IF(N(N199)+N(O199)+N(P199)=0,"Not split",IF(ROUND(N(N199)+N(O199)+N(P199),2)=ROUND(H199,2),"OK","MISMATCH")))</f>
        <v/>
      </c>
      <c r="R199" s="26" t="n"/>
      <c r="S199" s="26" t="n"/>
      <c r="T199" s="26" t="n"/>
      <c r="U199" s="27">
        <f>IF(C199="","",N(R199)+N(S199)+N(T199))</f>
        <v/>
      </c>
      <c r="V199" s="27">
        <f>IF(C199="","",H199-U199)</f>
        <v/>
      </c>
      <c r="W199" s="29">
        <f>IFERROR(V199/H199,"")</f>
        <v/>
      </c>
      <c r="X199" s="24" t="n"/>
    </row>
    <row r="200" ht="15" customHeight="1">
      <c r="A200" s="68">
        <f>IF(C200="","",IFERROR(IF(SUMPRODUCT(MAX((tbl_Finance[Job Number]=C200&amp;"")*(tbl_Finance[Xero Invoice No]&lt;&gt;"")*tbl_Finance[Date]))=0,"",SUMPRODUCT(MAX((tbl_Finance[Job Number]=C200&amp;"")*(tbl_Finance[Xero Invoice No]&lt;&gt;"")*tbl_Finance[Date]))),""))</f>
        <v/>
      </c>
      <c r="B200" s="25">
        <f>IF(C200="","",IF(COUNTIFS(tbl_Finance[Job Number],C200&amp;"",tbl_Finance[Xero Invoice No],"&lt;&gt;")=0,"",IFERROR(IF(COUNTIFS(tbl_Finance[Job Number],C200&amp;"",tbl_Finance[Xero Invoice No],LOOKUP(2,1/((tbl_Finance[Job Number]=C200&amp;"")*(tbl_Finance[Xero Invoice No]&lt;&gt;"")),tbl_Finance[Xero Invoice No]))=COUNTIFS(tbl_Finance[Job Number],C200&amp;"",tbl_Finance[Xero Invoice No],"&lt;&gt;"),LOOKUP(2,1/((tbl_Finance[Job Number]=C200&amp;"")*(tbl_Finance[Xero Invoice No]&lt;&gt;"")),tbl_Finance[Xero Invoice No]),LOOKUP(2,1/((tbl_Finance[Job Number]=C200&amp;"")*(tbl_Finance[Xero Invoice No]&lt;&gt;"")),tbl_Finance[Xero Invoice No])&amp;" +more"),"")))</f>
        <v/>
      </c>
      <c r="C200" s="24" t="n"/>
      <c r="D200" s="25">
        <f>IF(C200="","",IF(COUNTIF(lst_Jobs,C200&amp;"")&gt;0,"OK","CHECK"))</f>
        <v/>
      </c>
      <c r="E200" s="25">
        <f>IF(C200="","",IFERROR(INDEX(lst_JobName,MATCH(C200&amp;"",lst_Jobs,0)),""))</f>
        <v/>
      </c>
      <c r="F200" s="25">
        <f>IF(C200="","",IFERROR(INDEX(tbl_Finance[Client],MATCH(C200&amp;"",tbl_Finance[Job Number],0)),""))</f>
        <v/>
      </c>
      <c r="G200" s="28">
        <f>IF(C200="","",COUNTIFS(tbl_Finance[Job Number],C200&amp;"",tbl_Finance[Ex GST],"&lt;&gt;"))</f>
        <v/>
      </c>
      <c r="H200" s="27">
        <f>IF(C200="","",SUMIFS(tbl_Finance[Ex GST],tbl_Finance[Job Number],C200&amp;""))</f>
        <v/>
      </c>
      <c r="I200" s="27">
        <f>IF(C200="","",SUMIFS(tbl_Finance[Ex GST],tbl_Finance[Job Number],C200&amp;"",tbl_Finance[Xero Invoice No],"&lt;&gt;"))</f>
        <v/>
      </c>
      <c r="J200" s="27">
        <f>IF(C200="","",H200-I200)</f>
        <v/>
      </c>
      <c r="K200" s="25">
        <f>IF(C200="","",IF(G200=0,"not invoiced yet",SUBSTITUTE(TRIM(IF(COUNTIFS(tbl_Finance[Job Number],C200&amp;"",tbl_Finance[Cost Centre],"ONSITE")&gt;0,"ONSITE ","")&amp;IF(COUNTIFS(tbl_Finance[Job Number],C200&amp;"",tbl_Finance[Cost Centre],"PRODUCTION")&gt;0,"PRODUCTION ","")&amp;IF(COUNTIFS(tbl_Finance[Job Number],C200&amp;"",tbl_Finance[Cost Centre],"VIDEO")&gt;0,"VIDEO ","")&amp;IF(COUNTIFS(tbl_Finance[Job Number],C200&amp;"",tbl_Finance[Cost Centre],"INTEGRATION")&gt;0,"INTEGRATION ","")&amp;IF(COUNTIFS(tbl_Finance[Job Number],C200&amp;"",tbl_Finance[Cost Centre],"CONSULTING")&gt;0,"CONSULTING ","")&amp;IF(COUNTIFS(tbl_Finance[Job Number],C200&amp;"",tbl_Finance[Cost Centre],"CTS")&gt;0,"CTS ",""))," ",", ")))</f>
        <v/>
      </c>
      <c r="L200" s="24" t="n"/>
      <c r="M200" s="25">
        <f>IF(L200="","",HYPERLINK(IF(LEFT(L200,4)="http",L200,set_QwilrBase&amp;L200),"Open quote"))</f>
        <v/>
      </c>
      <c r="N200" s="26" t="n"/>
      <c r="O200" s="26" t="n"/>
      <c r="P200" s="26" t="n"/>
      <c r="Q200" s="25">
        <f>IF(C200="","",IF(N(N200)+N(O200)+N(P200)=0,"Not split",IF(ROUND(N(N200)+N(O200)+N(P200),2)=ROUND(H200,2),"OK","MISMATCH")))</f>
        <v/>
      </c>
      <c r="R200" s="26" t="n"/>
      <c r="S200" s="26" t="n"/>
      <c r="T200" s="26" t="n"/>
      <c r="U200" s="27">
        <f>IF(C200="","",N(R200)+N(S200)+N(T200))</f>
        <v/>
      </c>
      <c r="V200" s="27">
        <f>IF(C200="","",H200-U200)</f>
        <v/>
      </c>
      <c r="W200" s="29">
        <f>IFERROR(V200/H200,"")</f>
        <v/>
      </c>
      <c r="X200" s="24" t="n"/>
    </row>
    <row r="201" ht="15" customHeight="1">
      <c r="A201" s="68">
        <f>IF(C201="","",IFERROR(IF(SUMPRODUCT(MAX((tbl_Finance[Job Number]=C201&amp;"")*(tbl_Finance[Xero Invoice No]&lt;&gt;"")*tbl_Finance[Date]))=0,"",SUMPRODUCT(MAX((tbl_Finance[Job Number]=C201&amp;"")*(tbl_Finance[Xero Invoice No]&lt;&gt;"")*tbl_Finance[Date]))),""))</f>
        <v/>
      </c>
      <c r="B201" s="25">
        <f>IF(C201="","",IF(COUNTIFS(tbl_Finance[Job Number],C201&amp;"",tbl_Finance[Xero Invoice No],"&lt;&gt;")=0,"",IFERROR(IF(COUNTIFS(tbl_Finance[Job Number],C201&amp;"",tbl_Finance[Xero Invoice No],LOOKUP(2,1/((tbl_Finance[Job Number]=C201&amp;"")*(tbl_Finance[Xero Invoice No]&lt;&gt;"")),tbl_Finance[Xero Invoice No]))=COUNTIFS(tbl_Finance[Job Number],C201&amp;"",tbl_Finance[Xero Invoice No],"&lt;&gt;"),LOOKUP(2,1/((tbl_Finance[Job Number]=C201&amp;"")*(tbl_Finance[Xero Invoice No]&lt;&gt;"")),tbl_Finance[Xero Invoice No]),LOOKUP(2,1/((tbl_Finance[Job Number]=C201&amp;"")*(tbl_Finance[Xero Invoice No]&lt;&gt;"")),tbl_Finance[Xero Invoice No])&amp;" +more"),"")))</f>
        <v/>
      </c>
      <c r="C201" s="24" t="n"/>
      <c r="D201" s="25">
        <f>IF(C201="","",IF(COUNTIF(lst_Jobs,C201&amp;"")&gt;0,"OK","CHECK"))</f>
        <v/>
      </c>
      <c r="E201" s="25">
        <f>IF(C201="","",IFERROR(INDEX(lst_JobName,MATCH(C201&amp;"",lst_Jobs,0)),""))</f>
        <v/>
      </c>
      <c r="F201" s="25">
        <f>IF(C201="","",IFERROR(INDEX(tbl_Finance[Client],MATCH(C201&amp;"",tbl_Finance[Job Number],0)),""))</f>
        <v/>
      </c>
      <c r="G201" s="28">
        <f>IF(C201="","",COUNTIFS(tbl_Finance[Job Number],C201&amp;"",tbl_Finance[Ex GST],"&lt;&gt;"))</f>
        <v/>
      </c>
      <c r="H201" s="27">
        <f>IF(C201="","",SUMIFS(tbl_Finance[Ex GST],tbl_Finance[Job Number],C201&amp;""))</f>
        <v/>
      </c>
      <c r="I201" s="27">
        <f>IF(C201="","",SUMIFS(tbl_Finance[Ex GST],tbl_Finance[Job Number],C201&amp;"",tbl_Finance[Xero Invoice No],"&lt;&gt;"))</f>
        <v/>
      </c>
      <c r="J201" s="27">
        <f>IF(C201="","",H201-I201)</f>
        <v/>
      </c>
      <c r="K201" s="25">
        <f>IF(C201="","",IF(G201=0,"not invoiced yet",SUBSTITUTE(TRIM(IF(COUNTIFS(tbl_Finance[Job Number],C201&amp;"",tbl_Finance[Cost Centre],"ONSITE")&gt;0,"ONSITE ","")&amp;IF(COUNTIFS(tbl_Finance[Job Number],C201&amp;"",tbl_Finance[Cost Centre],"PRODUCTION")&gt;0,"PRODUCTION ","")&amp;IF(COUNTIFS(tbl_Finance[Job Number],C201&amp;"",tbl_Finance[Cost Centre],"VIDEO")&gt;0,"VIDEO ","")&amp;IF(COUNTIFS(tbl_Finance[Job Number],C201&amp;"",tbl_Finance[Cost Centre],"INTEGRATION")&gt;0,"INTEGRATION ","")&amp;IF(COUNTIFS(tbl_Finance[Job Number],C201&amp;"",tbl_Finance[Cost Centre],"CONSULTING")&gt;0,"CONSULTING ","")&amp;IF(COUNTIFS(tbl_Finance[Job Number],C201&amp;"",tbl_Finance[Cost Centre],"CTS")&gt;0,"CTS ",""))," ",", ")))</f>
        <v/>
      </c>
      <c r="L201" s="24" t="n"/>
      <c r="M201" s="25">
        <f>IF(L201="","",HYPERLINK(IF(LEFT(L201,4)="http",L201,set_QwilrBase&amp;L201),"Open quote"))</f>
        <v/>
      </c>
      <c r="N201" s="26" t="n"/>
      <c r="O201" s="26" t="n"/>
      <c r="P201" s="26" t="n"/>
      <c r="Q201" s="25">
        <f>IF(C201="","",IF(N(N201)+N(O201)+N(P201)=0,"Not split",IF(ROUND(N(N201)+N(O201)+N(P201),2)=ROUND(H201,2),"OK","MISMATCH")))</f>
        <v/>
      </c>
      <c r="R201" s="26" t="n"/>
      <c r="S201" s="26" t="n"/>
      <c r="T201" s="26" t="n"/>
      <c r="U201" s="27">
        <f>IF(C201="","",N(R201)+N(S201)+N(T201))</f>
        <v/>
      </c>
      <c r="V201" s="27">
        <f>IF(C201="","",H201-U201)</f>
        <v/>
      </c>
      <c r="W201" s="29">
        <f>IFERROR(V201/H201,"")</f>
        <v/>
      </c>
      <c r="X201" s="24" t="n"/>
    </row>
    <row r="202" ht="15" customHeight="1">
      <c r="A202" s="68">
        <f>IF(C202="","",IFERROR(IF(SUMPRODUCT(MAX((tbl_Finance[Job Number]=C202&amp;"")*(tbl_Finance[Xero Invoice No]&lt;&gt;"")*tbl_Finance[Date]))=0,"",SUMPRODUCT(MAX((tbl_Finance[Job Number]=C202&amp;"")*(tbl_Finance[Xero Invoice No]&lt;&gt;"")*tbl_Finance[Date]))),""))</f>
        <v/>
      </c>
      <c r="B202" s="25">
        <f>IF(C202="","",IF(COUNTIFS(tbl_Finance[Job Number],C202&amp;"",tbl_Finance[Xero Invoice No],"&lt;&gt;")=0,"",IFERROR(IF(COUNTIFS(tbl_Finance[Job Number],C202&amp;"",tbl_Finance[Xero Invoice No],LOOKUP(2,1/((tbl_Finance[Job Number]=C202&amp;"")*(tbl_Finance[Xero Invoice No]&lt;&gt;"")),tbl_Finance[Xero Invoice No]))=COUNTIFS(tbl_Finance[Job Number],C202&amp;"",tbl_Finance[Xero Invoice No],"&lt;&gt;"),LOOKUP(2,1/((tbl_Finance[Job Number]=C202&amp;"")*(tbl_Finance[Xero Invoice No]&lt;&gt;"")),tbl_Finance[Xero Invoice No]),LOOKUP(2,1/((tbl_Finance[Job Number]=C202&amp;"")*(tbl_Finance[Xero Invoice No]&lt;&gt;"")),tbl_Finance[Xero Invoice No])&amp;" +more"),"")))</f>
        <v/>
      </c>
      <c r="C202" s="24" t="n"/>
      <c r="D202" s="25">
        <f>IF(C202="","",IF(COUNTIF(lst_Jobs,C202&amp;"")&gt;0,"OK","CHECK"))</f>
        <v/>
      </c>
      <c r="E202" s="25">
        <f>IF(C202="","",IFERROR(INDEX(lst_JobName,MATCH(C202&amp;"",lst_Jobs,0)),""))</f>
        <v/>
      </c>
      <c r="F202" s="25">
        <f>IF(C202="","",IFERROR(INDEX(tbl_Finance[Client],MATCH(C202&amp;"",tbl_Finance[Job Number],0)),""))</f>
        <v/>
      </c>
      <c r="G202" s="28">
        <f>IF(C202="","",COUNTIFS(tbl_Finance[Job Number],C202&amp;"",tbl_Finance[Ex GST],"&lt;&gt;"))</f>
        <v/>
      </c>
      <c r="H202" s="27">
        <f>IF(C202="","",SUMIFS(tbl_Finance[Ex GST],tbl_Finance[Job Number],C202&amp;""))</f>
        <v/>
      </c>
      <c r="I202" s="27">
        <f>IF(C202="","",SUMIFS(tbl_Finance[Ex GST],tbl_Finance[Job Number],C202&amp;"",tbl_Finance[Xero Invoice No],"&lt;&gt;"))</f>
        <v/>
      </c>
      <c r="J202" s="27">
        <f>IF(C202="","",H202-I202)</f>
        <v/>
      </c>
      <c r="K202" s="25">
        <f>IF(C202="","",IF(G202=0,"not invoiced yet",SUBSTITUTE(TRIM(IF(COUNTIFS(tbl_Finance[Job Number],C202&amp;"",tbl_Finance[Cost Centre],"ONSITE")&gt;0,"ONSITE ","")&amp;IF(COUNTIFS(tbl_Finance[Job Number],C202&amp;"",tbl_Finance[Cost Centre],"PRODUCTION")&gt;0,"PRODUCTION ","")&amp;IF(COUNTIFS(tbl_Finance[Job Number],C202&amp;"",tbl_Finance[Cost Centre],"VIDEO")&gt;0,"VIDEO ","")&amp;IF(COUNTIFS(tbl_Finance[Job Number],C202&amp;"",tbl_Finance[Cost Centre],"INTEGRATION")&gt;0,"INTEGRATION ","")&amp;IF(COUNTIFS(tbl_Finance[Job Number],C202&amp;"",tbl_Finance[Cost Centre],"CONSULTING")&gt;0,"CONSULTING ","")&amp;IF(COUNTIFS(tbl_Finance[Job Number],C202&amp;"",tbl_Finance[Cost Centre],"CTS")&gt;0,"CTS ",""))," ",", ")))</f>
        <v/>
      </c>
      <c r="L202" s="24" t="n"/>
      <c r="M202" s="25">
        <f>IF(L202="","",HYPERLINK(IF(LEFT(L202,4)="http",L202,set_QwilrBase&amp;L202),"Open quote"))</f>
        <v/>
      </c>
      <c r="N202" s="26" t="n"/>
      <c r="O202" s="26" t="n"/>
      <c r="P202" s="26" t="n"/>
      <c r="Q202" s="25">
        <f>IF(C202="","",IF(N(N202)+N(O202)+N(P202)=0,"Not split",IF(ROUND(N(N202)+N(O202)+N(P202),2)=ROUND(H202,2),"OK","MISMATCH")))</f>
        <v/>
      </c>
      <c r="R202" s="26" t="n"/>
      <c r="S202" s="26" t="n"/>
      <c r="T202" s="26" t="n"/>
      <c r="U202" s="27">
        <f>IF(C202="","",N(R202)+N(S202)+N(T202))</f>
        <v/>
      </c>
      <c r="V202" s="27">
        <f>IF(C202="","",H202-U202)</f>
        <v/>
      </c>
      <c r="W202" s="29">
        <f>IFERROR(V202/H202,"")</f>
        <v/>
      </c>
      <c r="X202" s="24" t="n"/>
    </row>
    <row r="203" ht="15" customHeight="1">
      <c r="A203" s="68">
        <f>IF(C203="","",IFERROR(IF(SUMPRODUCT(MAX((tbl_Finance[Job Number]=C203&amp;"")*(tbl_Finance[Xero Invoice No]&lt;&gt;"")*tbl_Finance[Date]))=0,"",SUMPRODUCT(MAX((tbl_Finance[Job Number]=C203&amp;"")*(tbl_Finance[Xero Invoice No]&lt;&gt;"")*tbl_Finance[Date]))),""))</f>
        <v/>
      </c>
      <c r="B203" s="25">
        <f>IF(C203="","",IF(COUNTIFS(tbl_Finance[Job Number],C203&amp;"",tbl_Finance[Xero Invoice No],"&lt;&gt;")=0,"",IFERROR(IF(COUNTIFS(tbl_Finance[Job Number],C203&amp;"",tbl_Finance[Xero Invoice No],LOOKUP(2,1/((tbl_Finance[Job Number]=C203&amp;"")*(tbl_Finance[Xero Invoice No]&lt;&gt;"")),tbl_Finance[Xero Invoice No]))=COUNTIFS(tbl_Finance[Job Number],C203&amp;"",tbl_Finance[Xero Invoice No],"&lt;&gt;"),LOOKUP(2,1/((tbl_Finance[Job Number]=C203&amp;"")*(tbl_Finance[Xero Invoice No]&lt;&gt;"")),tbl_Finance[Xero Invoice No]),LOOKUP(2,1/((tbl_Finance[Job Number]=C203&amp;"")*(tbl_Finance[Xero Invoice No]&lt;&gt;"")),tbl_Finance[Xero Invoice No])&amp;" +more"),"")))</f>
        <v/>
      </c>
      <c r="C203" s="24" t="n"/>
      <c r="D203" s="25">
        <f>IF(C203="","",IF(COUNTIF(lst_Jobs,C203&amp;"")&gt;0,"OK","CHECK"))</f>
        <v/>
      </c>
      <c r="E203" s="25">
        <f>IF(C203="","",IFERROR(INDEX(lst_JobName,MATCH(C203&amp;"",lst_Jobs,0)),""))</f>
        <v/>
      </c>
      <c r="F203" s="25">
        <f>IF(C203="","",IFERROR(INDEX(tbl_Finance[Client],MATCH(C203&amp;"",tbl_Finance[Job Number],0)),""))</f>
        <v/>
      </c>
      <c r="G203" s="28">
        <f>IF(C203="","",COUNTIFS(tbl_Finance[Job Number],C203&amp;"",tbl_Finance[Ex GST],"&lt;&gt;"))</f>
        <v/>
      </c>
      <c r="H203" s="27">
        <f>IF(C203="","",SUMIFS(tbl_Finance[Ex GST],tbl_Finance[Job Number],C203&amp;""))</f>
        <v/>
      </c>
      <c r="I203" s="27">
        <f>IF(C203="","",SUMIFS(tbl_Finance[Ex GST],tbl_Finance[Job Number],C203&amp;"",tbl_Finance[Xero Invoice No],"&lt;&gt;"))</f>
        <v/>
      </c>
      <c r="J203" s="27">
        <f>IF(C203="","",H203-I203)</f>
        <v/>
      </c>
      <c r="K203" s="25">
        <f>IF(C203="","",IF(G203=0,"not invoiced yet",SUBSTITUTE(TRIM(IF(COUNTIFS(tbl_Finance[Job Number],C203&amp;"",tbl_Finance[Cost Centre],"ONSITE")&gt;0,"ONSITE ","")&amp;IF(COUNTIFS(tbl_Finance[Job Number],C203&amp;"",tbl_Finance[Cost Centre],"PRODUCTION")&gt;0,"PRODUCTION ","")&amp;IF(COUNTIFS(tbl_Finance[Job Number],C203&amp;"",tbl_Finance[Cost Centre],"VIDEO")&gt;0,"VIDEO ","")&amp;IF(COUNTIFS(tbl_Finance[Job Number],C203&amp;"",tbl_Finance[Cost Centre],"INTEGRATION")&gt;0,"INTEGRATION ","")&amp;IF(COUNTIFS(tbl_Finance[Job Number],C203&amp;"",tbl_Finance[Cost Centre],"CONSULTING")&gt;0,"CONSULTING ","")&amp;IF(COUNTIFS(tbl_Finance[Job Number],C203&amp;"",tbl_Finance[Cost Centre],"CTS")&gt;0,"CTS ",""))," ",", ")))</f>
        <v/>
      </c>
      <c r="L203" s="24" t="n"/>
      <c r="M203" s="25">
        <f>IF(L203="","",HYPERLINK(IF(LEFT(L203,4)="http",L203,set_QwilrBase&amp;L203),"Open quote"))</f>
        <v/>
      </c>
      <c r="N203" s="26" t="n"/>
      <c r="O203" s="26" t="n"/>
      <c r="P203" s="26" t="n"/>
      <c r="Q203" s="25">
        <f>IF(C203="","",IF(N(N203)+N(O203)+N(P203)=0,"Not split",IF(ROUND(N(N203)+N(O203)+N(P203),2)=ROUND(H203,2),"OK","MISMATCH")))</f>
        <v/>
      </c>
      <c r="R203" s="26" t="n"/>
      <c r="S203" s="26" t="n"/>
      <c r="T203" s="26" t="n"/>
      <c r="U203" s="27">
        <f>IF(C203="","",N(R203)+N(S203)+N(T203))</f>
        <v/>
      </c>
      <c r="V203" s="27">
        <f>IF(C203="","",H203-U203)</f>
        <v/>
      </c>
      <c r="W203" s="29">
        <f>IFERROR(V203/H203,"")</f>
        <v/>
      </c>
      <c r="X203" s="24" t="n"/>
    </row>
    <row r="204" ht="15" customHeight="1">
      <c r="A204" s="68">
        <f>IF(C204="","",IFERROR(IF(SUMPRODUCT(MAX((tbl_Finance[Job Number]=C204&amp;"")*(tbl_Finance[Xero Invoice No]&lt;&gt;"")*tbl_Finance[Date]))=0,"",SUMPRODUCT(MAX((tbl_Finance[Job Number]=C204&amp;"")*(tbl_Finance[Xero Invoice No]&lt;&gt;"")*tbl_Finance[Date]))),""))</f>
        <v/>
      </c>
      <c r="B204" s="25">
        <f>IF(C204="","",IF(COUNTIFS(tbl_Finance[Job Number],C204&amp;"",tbl_Finance[Xero Invoice No],"&lt;&gt;")=0,"",IFERROR(IF(COUNTIFS(tbl_Finance[Job Number],C204&amp;"",tbl_Finance[Xero Invoice No],LOOKUP(2,1/((tbl_Finance[Job Number]=C204&amp;"")*(tbl_Finance[Xero Invoice No]&lt;&gt;"")),tbl_Finance[Xero Invoice No]))=COUNTIFS(tbl_Finance[Job Number],C204&amp;"",tbl_Finance[Xero Invoice No],"&lt;&gt;"),LOOKUP(2,1/((tbl_Finance[Job Number]=C204&amp;"")*(tbl_Finance[Xero Invoice No]&lt;&gt;"")),tbl_Finance[Xero Invoice No]),LOOKUP(2,1/((tbl_Finance[Job Number]=C204&amp;"")*(tbl_Finance[Xero Invoice No]&lt;&gt;"")),tbl_Finance[Xero Invoice No])&amp;" +more"),"")))</f>
        <v/>
      </c>
      <c r="C204" s="24" t="n"/>
      <c r="D204" s="25">
        <f>IF(C204="","",IF(COUNTIF(lst_Jobs,C204&amp;"")&gt;0,"OK","CHECK"))</f>
        <v/>
      </c>
      <c r="E204" s="25">
        <f>IF(C204="","",IFERROR(INDEX(lst_JobName,MATCH(C204&amp;"",lst_Jobs,0)),""))</f>
        <v/>
      </c>
      <c r="F204" s="25">
        <f>IF(C204="","",IFERROR(INDEX(tbl_Finance[Client],MATCH(C204&amp;"",tbl_Finance[Job Number],0)),""))</f>
        <v/>
      </c>
      <c r="G204" s="28">
        <f>IF(C204="","",COUNTIFS(tbl_Finance[Job Number],C204&amp;"",tbl_Finance[Ex GST],"&lt;&gt;"))</f>
        <v/>
      </c>
      <c r="H204" s="27">
        <f>IF(C204="","",SUMIFS(tbl_Finance[Ex GST],tbl_Finance[Job Number],C204&amp;""))</f>
        <v/>
      </c>
      <c r="I204" s="27">
        <f>IF(C204="","",SUMIFS(tbl_Finance[Ex GST],tbl_Finance[Job Number],C204&amp;"",tbl_Finance[Xero Invoice No],"&lt;&gt;"))</f>
        <v/>
      </c>
      <c r="J204" s="27">
        <f>IF(C204="","",H204-I204)</f>
        <v/>
      </c>
      <c r="K204" s="25">
        <f>IF(C204="","",IF(G204=0,"not invoiced yet",SUBSTITUTE(TRIM(IF(COUNTIFS(tbl_Finance[Job Number],C204&amp;"",tbl_Finance[Cost Centre],"ONSITE")&gt;0,"ONSITE ","")&amp;IF(COUNTIFS(tbl_Finance[Job Number],C204&amp;"",tbl_Finance[Cost Centre],"PRODUCTION")&gt;0,"PRODUCTION ","")&amp;IF(COUNTIFS(tbl_Finance[Job Number],C204&amp;"",tbl_Finance[Cost Centre],"VIDEO")&gt;0,"VIDEO ","")&amp;IF(COUNTIFS(tbl_Finance[Job Number],C204&amp;"",tbl_Finance[Cost Centre],"INTEGRATION")&gt;0,"INTEGRATION ","")&amp;IF(COUNTIFS(tbl_Finance[Job Number],C204&amp;"",tbl_Finance[Cost Centre],"CONSULTING")&gt;0,"CONSULTING ","")&amp;IF(COUNTIFS(tbl_Finance[Job Number],C204&amp;"",tbl_Finance[Cost Centre],"CTS")&gt;0,"CTS ",""))," ",", ")))</f>
        <v/>
      </c>
      <c r="L204" s="24" t="n"/>
      <c r="M204" s="25">
        <f>IF(L204="","",HYPERLINK(IF(LEFT(L204,4)="http",L204,set_QwilrBase&amp;L204),"Open quote"))</f>
        <v/>
      </c>
      <c r="N204" s="26" t="n"/>
      <c r="O204" s="26" t="n"/>
      <c r="P204" s="26" t="n"/>
      <c r="Q204" s="25">
        <f>IF(C204="","",IF(N(N204)+N(O204)+N(P204)=0,"Not split",IF(ROUND(N(N204)+N(O204)+N(P204),2)=ROUND(H204,2),"OK","MISMATCH")))</f>
        <v/>
      </c>
      <c r="R204" s="26" t="n"/>
      <c r="S204" s="26" t="n"/>
      <c r="T204" s="26" t="n"/>
      <c r="U204" s="27">
        <f>IF(C204="","",N(R204)+N(S204)+N(T204))</f>
        <v/>
      </c>
      <c r="V204" s="27">
        <f>IF(C204="","",H204-U204)</f>
        <v/>
      </c>
      <c r="W204" s="29">
        <f>IFERROR(V204/H204,"")</f>
        <v/>
      </c>
      <c r="X204" s="24" t="n"/>
    </row>
    <row r="205" ht="15" customHeight="1">
      <c r="A205" s="68">
        <f>IF(C205="","",IFERROR(IF(SUMPRODUCT(MAX((tbl_Finance[Job Number]=C205&amp;"")*(tbl_Finance[Xero Invoice No]&lt;&gt;"")*tbl_Finance[Date]))=0,"",SUMPRODUCT(MAX((tbl_Finance[Job Number]=C205&amp;"")*(tbl_Finance[Xero Invoice No]&lt;&gt;"")*tbl_Finance[Date]))),""))</f>
        <v/>
      </c>
      <c r="B205" s="25">
        <f>IF(C205="","",IF(COUNTIFS(tbl_Finance[Job Number],C205&amp;"",tbl_Finance[Xero Invoice No],"&lt;&gt;")=0,"",IFERROR(IF(COUNTIFS(tbl_Finance[Job Number],C205&amp;"",tbl_Finance[Xero Invoice No],LOOKUP(2,1/((tbl_Finance[Job Number]=C205&amp;"")*(tbl_Finance[Xero Invoice No]&lt;&gt;"")),tbl_Finance[Xero Invoice No]))=COUNTIFS(tbl_Finance[Job Number],C205&amp;"",tbl_Finance[Xero Invoice No],"&lt;&gt;"),LOOKUP(2,1/((tbl_Finance[Job Number]=C205&amp;"")*(tbl_Finance[Xero Invoice No]&lt;&gt;"")),tbl_Finance[Xero Invoice No]),LOOKUP(2,1/((tbl_Finance[Job Number]=C205&amp;"")*(tbl_Finance[Xero Invoice No]&lt;&gt;"")),tbl_Finance[Xero Invoice No])&amp;" +more"),"")))</f>
        <v/>
      </c>
      <c r="C205" s="24" t="n"/>
      <c r="D205" s="25">
        <f>IF(C205="","",IF(COUNTIF(lst_Jobs,C205&amp;"")&gt;0,"OK","CHECK"))</f>
        <v/>
      </c>
      <c r="E205" s="25">
        <f>IF(C205="","",IFERROR(INDEX(lst_JobName,MATCH(C205&amp;"",lst_Jobs,0)),""))</f>
        <v/>
      </c>
      <c r="F205" s="25">
        <f>IF(C205="","",IFERROR(INDEX(tbl_Finance[Client],MATCH(C205&amp;"",tbl_Finance[Job Number],0)),""))</f>
        <v/>
      </c>
      <c r="G205" s="28">
        <f>IF(C205="","",COUNTIFS(tbl_Finance[Job Number],C205&amp;"",tbl_Finance[Ex GST],"&lt;&gt;"))</f>
        <v/>
      </c>
      <c r="H205" s="27">
        <f>IF(C205="","",SUMIFS(tbl_Finance[Ex GST],tbl_Finance[Job Number],C205&amp;""))</f>
        <v/>
      </c>
      <c r="I205" s="27">
        <f>IF(C205="","",SUMIFS(tbl_Finance[Ex GST],tbl_Finance[Job Number],C205&amp;"",tbl_Finance[Xero Invoice No],"&lt;&gt;"))</f>
        <v/>
      </c>
      <c r="J205" s="27">
        <f>IF(C205="","",H205-I205)</f>
        <v/>
      </c>
      <c r="K205" s="25">
        <f>IF(C205="","",IF(G205=0,"not invoiced yet",SUBSTITUTE(TRIM(IF(COUNTIFS(tbl_Finance[Job Number],C205&amp;"",tbl_Finance[Cost Centre],"ONSITE")&gt;0,"ONSITE ","")&amp;IF(COUNTIFS(tbl_Finance[Job Number],C205&amp;"",tbl_Finance[Cost Centre],"PRODUCTION")&gt;0,"PRODUCTION ","")&amp;IF(COUNTIFS(tbl_Finance[Job Number],C205&amp;"",tbl_Finance[Cost Centre],"VIDEO")&gt;0,"VIDEO ","")&amp;IF(COUNTIFS(tbl_Finance[Job Number],C205&amp;"",tbl_Finance[Cost Centre],"INTEGRATION")&gt;0,"INTEGRATION ","")&amp;IF(COUNTIFS(tbl_Finance[Job Number],C205&amp;"",tbl_Finance[Cost Centre],"CONSULTING")&gt;0,"CONSULTING ","")&amp;IF(COUNTIFS(tbl_Finance[Job Number],C205&amp;"",tbl_Finance[Cost Centre],"CTS")&gt;0,"CTS ",""))," ",", ")))</f>
        <v/>
      </c>
      <c r="L205" s="24" t="n"/>
      <c r="M205" s="25">
        <f>IF(L205="","",HYPERLINK(IF(LEFT(L205,4)="http",L205,set_QwilrBase&amp;L205),"Open quote"))</f>
        <v/>
      </c>
      <c r="N205" s="26" t="n"/>
      <c r="O205" s="26" t="n"/>
      <c r="P205" s="26" t="n"/>
      <c r="Q205" s="25">
        <f>IF(C205="","",IF(N(N205)+N(O205)+N(P205)=0,"Not split",IF(ROUND(N(N205)+N(O205)+N(P205),2)=ROUND(H205,2),"OK","MISMATCH")))</f>
        <v/>
      </c>
      <c r="R205" s="26" t="n"/>
      <c r="S205" s="26" t="n"/>
      <c r="T205" s="26" t="n"/>
      <c r="U205" s="27">
        <f>IF(C205="","",N(R205)+N(S205)+N(T205))</f>
        <v/>
      </c>
      <c r="V205" s="27">
        <f>IF(C205="","",H205-U205)</f>
        <v/>
      </c>
      <c r="W205" s="29">
        <f>IFERROR(V205/H205,"")</f>
        <v/>
      </c>
      <c r="X205" s="24" t="n"/>
    </row>
    <row r="206" ht="15" customHeight="1">
      <c r="A206" s="68">
        <f>IF(C206="","",IFERROR(IF(SUMPRODUCT(MAX((tbl_Finance[Job Number]=C206&amp;"")*(tbl_Finance[Xero Invoice No]&lt;&gt;"")*tbl_Finance[Date]))=0,"",SUMPRODUCT(MAX((tbl_Finance[Job Number]=C206&amp;"")*(tbl_Finance[Xero Invoice No]&lt;&gt;"")*tbl_Finance[Date]))),""))</f>
        <v/>
      </c>
      <c r="B206" s="25">
        <f>IF(C206="","",IF(COUNTIFS(tbl_Finance[Job Number],C206&amp;"",tbl_Finance[Xero Invoice No],"&lt;&gt;")=0,"",IFERROR(IF(COUNTIFS(tbl_Finance[Job Number],C206&amp;"",tbl_Finance[Xero Invoice No],LOOKUP(2,1/((tbl_Finance[Job Number]=C206&amp;"")*(tbl_Finance[Xero Invoice No]&lt;&gt;"")),tbl_Finance[Xero Invoice No]))=COUNTIFS(tbl_Finance[Job Number],C206&amp;"",tbl_Finance[Xero Invoice No],"&lt;&gt;"),LOOKUP(2,1/((tbl_Finance[Job Number]=C206&amp;"")*(tbl_Finance[Xero Invoice No]&lt;&gt;"")),tbl_Finance[Xero Invoice No]),LOOKUP(2,1/((tbl_Finance[Job Number]=C206&amp;"")*(tbl_Finance[Xero Invoice No]&lt;&gt;"")),tbl_Finance[Xero Invoice No])&amp;" +more"),"")))</f>
        <v/>
      </c>
      <c r="C206" s="24" t="n"/>
      <c r="D206" s="25">
        <f>IF(C206="","",IF(COUNTIF(lst_Jobs,C206&amp;"")&gt;0,"OK","CHECK"))</f>
        <v/>
      </c>
      <c r="E206" s="25">
        <f>IF(C206="","",IFERROR(INDEX(lst_JobName,MATCH(C206&amp;"",lst_Jobs,0)),""))</f>
        <v/>
      </c>
      <c r="F206" s="25">
        <f>IF(C206="","",IFERROR(INDEX(tbl_Finance[Client],MATCH(C206&amp;"",tbl_Finance[Job Number],0)),""))</f>
        <v/>
      </c>
      <c r="G206" s="28">
        <f>IF(C206="","",COUNTIFS(tbl_Finance[Job Number],C206&amp;"",tbl_Finance[Ex GST],"&lt;&gt;"))</f>
        <v/>
      </c>
      <c r="H206" s="27">
        <f>IF(C206="","",SUMIFS(tbl_Finance[Ex GST],tbl_Finance[Job Number],C206&amp;""))</f>
        <v/>
      </c>
      <c r="I206" s="27">
        <f>IF(C206="","",SUMIFS(tbl_Finance[Ex GST],tbl_Finance[Job Number],C206&amp;"",tbl_Finance[Xero Invoice No],"&lt;&gt;"))</f>
        <v/>
      </c>
      <c r="J206" s="27">
        <f>IF(C206="","",H206-I206)</f>
        <v/>
      </c>
      <c r="K206" s="25">
        <f>IF(C206="","",IF(G206=0,"not invoiced yet",SUBSTITUTE(TRIM(IF(COUNTIFS(tbl_Finance[Job Number],C206&amp;"",tbl_Finance[Cost Centre],"ONSITE")&gt;0,"ONSITE ","")&amp;IF(COUNTIFS(tbl_Finance[Job Number],C206&amp;"",tbl_Finance[Cost Centre],"PRODUCTION")&gt;0,"PRODUCTION ","")&amp;IF(COUNTIFS(tbl_Finance[Job Number],C206&amp;"",tbl_Finance[Cost Centre],"VIDEO")&gt;0,"VIDEO ","")&amp;IF(COUNTIFS(tbl_Finance[Job Number],C206&amp;"",tbl_Finance[Cost Centre],"INTEGRATION")&gt;0,"INTEGRATION ","")&amp;IF(COUNTIFS(tbl_Finance[Job Number],C206&amp;"",tbl_Finance[Cost Centre],"CONSULTING")&gt;0,"CONSULTING ","")&amp;IF(COUNTIFS(tbl_Finance[Job Number],C206&amp;"",tbl_Finance[Cost Centre],"CTS")&gt;0,"CTS ",""))," ",", ")))</f>
        <v/>
      </c>
      <c r="L206" s="24" t="n"/>
      <c r="M206" s="25">
        <f>IF(L206="","",HYPERLINK(IF(LEFT(L206,4)="http",L206,set_QwilrBase&amp;L206),"Open quote"))</f>
        <v/>
      </c>
      <c r="N206" s="26" t="n"/>
      <c r="O206" s="26" t="n"/>
      <c r="P206" s="26" t="n"/>
      <c r="Q206" s="25">
        <f>IF(C206="","",IF(N(N206)+N(O206)+N(P206)=0,"Not split",IF(ROUND(N(N206)+N(O206)+N(P206),2)=ROUND(H206,2),"OK","MISMATCH")))</f>
        <v/>
      </c>
      <c r="R206" s="26" t="n"/>
      <c r="S206" s="26" t="n"/>
      <c r="T206" s="26" t="n"/>
      <c r="U206" s="27">
        <f>IF(C206="","",N(R206)+N(S206)+N(T206))</f>
        <v/>
      </c>
      <c r="V206" s="27">
        <f>IF(C206="","",H206-U206)</f>
        <v/>
      </c>
      <c r="W206" s="29">
        <f>IFERROR(V206/H206,"")</f>
        <v/>
      </c>
      <c r="X206" s="24" t="n"/>
    </row>
    <row r="207" ht="15" customHeight="1">
      <c r="A207" s="68">
        <f>IF(C207="","",IFERROR(IF(SUMPRODUCT(MAX((tbl_Finance[Job Number]=C207&amp;"")*(tbl_Finance[Xero Invoice No]&lt;&gt;"")*tbl_Finance[Date]))=0,"",SUMPRODUCT(MAX((tbl_Finance[Job Number]=C207&amp;"")*(tbl_Finance[Xero Invoice No]&lt;&gt;"")*tbl_Finance[Date]))),""))</f>
        <v/>
      </c>
      <c r="B207" s="25">
        <f>IF(C207="","",IF(COUNTIFS(tbl_Finance[Job Number],C207&amp;"",tbl_Finance[Xero Invoice No],"&lt;&gt;")=0,"",IFERROR(IF(COUNTIFS(tbl_Finance[Job Number],C207&amp;"",tbl_Finance[Xero Invoice No],LOOKUP(2,1/((tbl_Finance[Job Number]=C207&amp;"")*(tbl_Finance[Xero Invoice No]&lt;&gt;"")),tbl_Finance[Xero Invoice No]))=COUNTIFS(tbl_Finance[Job Number],C207&amp;"",tbl_Finance[Xero Invoice No],"&lt;&gt;"),LOOKUP(2,1/((tbl_Finance[Job Number]=C207&amp;"")*(tbl_Finance[Xero Invoice No]&lt;&gt;"")),tbl_Finance[Xero Invoice No]),LOOKUP(2,1/((tbl_Finance[Job Number]=C207&amp;"")*(tbl_Finance[Xero Invoice No]&lt;&gt;"")),tbl_Finance[Xero Invoice No])&amp;" +more"),"")))</f>
        <v/>
      </c>
      <c r="C207" s="24" t="n"/>
      <c r="D207" s="25">
        <f>IF(C207="","",IF(COUNTIF(lst_Jobs,C207&amp;"")&gt;0,"OK","CHECK"))</f>
        <v/>
      </c>
      <c r="E207" s="25">
        <f>IF(C207="","",IFERROR(INDEX(lst_JobName,MATCH(C207&amp;"",lst_Jobs,0)),""))</f>
        <v/>
      </c>
      <c r="F207" s="25">
        <f>IF(C207="","",IFERROR(INDEX(tbl_Finance[Client],MATCH(C207&amp;"",tbl_Finance[Job Number],0)),""))</f>
        <v/>
      </c>
      <c r="G207" s="28">
        <f>IF(C207="","",COUNTIFS(tbl_Finance[Job Number],C207&amp;"",tbl_Finance[Ex GST],"&lt;&gt;"))</f>
        <v/>
      </c>
      <c r="H207" s="27">
        <f>IF(C207="","",SUMIFS(tbl_Finance[Ex GST],tbl_Finance[Job Number],C207&amp;""))</f>
        <v/>
      </c>
      <c r="I207" s="27">
        <f>IF(C207="","",SUMIFS(tbl_Finance[Ex GST],tbl_Finance[Job Number],C207&amp;"",tbl_Finance[Xero Invoice No],"&lt;&gt;"))</f>
        <v/>
      </c>
      <c r="J207" s="27">
        <f>IF(C207="","",H207-I207)</f>
        <v/>
      </c>
      <c r="K207" s="25">
        <f>IF(C207="","",IF(G207=0,"not invoiced yet",SUBSTITUTE(TRIM(IF(COUNTIFS(tbl_Finance[Job Number],C207&amp;"",tbl_Finance[Cost Centre],"ONSITE")&gt;0,"ONSITE ","")&amp;IF(COUNTIFS(tbl_Finance[Job Number],C207&amp;"",tbl_Finance[Cost Centre],"PRODUCTION")&gt;0,"PRODUCTION ","")&amp;IF(COUNTIFS(tbl_Finance[Job Number],C207&amp;"",tbl_Finance[Cost Centre],"VIDEO")&gt;0,"VIDEO ","")&amp;IF(COUNTIFS(tbl_Finance[Job Number],C207&amp;"",tbl_Finance[Cost Centre],"INTEGRATION")&gt;0,"INTEGRATION ","")&amp;IF(COUNTIFS(tbl_Finance[Job Number],C207&amp;"",tbl_Finance[Cost Centre],"CONSULTING")&gt;0,"CONSULTING ","")&amp;IF(COUNTIFS(tbl_Finance[Job Number],C207&amp;"",tbl_Finance[Cost Centre],"CTS")&gt;0,"CTS ",""))," ",", ")))</f>
        <v/>
      </c>
      <c r="L207" s="24" t="n"/>
      <c r="M207" s="25">
        <f>IF(L207="","",HYPERLINK(IF(LEFT(L207,4)="http",L207,set_QwilrBase&amp;L207),"Open quote"))</f>
        <v/>
      </c>
      <c r="N207" s="26" t="n"/>
      <c r="O207" s="26" t="n"/>
      <c r="P207" s="26" t="n"/>
      <c r="Q207" s="25">
        <f>IF(C207="","",IF(N(N207)+N(O207)+N(P207)=0,"Not split",IF(ROUND(N(N207)+N(O207)+N(P207),2)=ROUND(H207,2),"OK","MISMATCH")))</f>
        <v/>
      </c>
      <c r="R207" s="26" t="n"/>
      <c r="S207" s="26" t="n"/>
      <c r="T207" s="26" t="n"/>
      <c r="U207" s="27">
        <f>IF(C207="","",N(R207)+N(S207)+N(T207))</f>
        <v/>
      </c>
      <c r="V207" s="27">
        <f>IF(C207="","",H207-U207)</f>
        <v/>
      </c>
      <c r="W207" s="29">
        <f>IFERROR(V207/H207,"")</f>
        <v/>
      </c>
      <c r="X207" s="24" t="n"/>
    </row>
    <row r="208" ht="15" customHeight="1">
      <c r="A208" s="68">
        <f>IF(C208="","",IFERROR(IF(SUMPRODUCT(MAX((tbl_Finance[Job Number]=C208&amp;"")*(tbl_Finance[Xero Invoice No]&lt;&gt;"")*tbl_Finance[Date]))=0,"",SUMPRODUCT(MAX((tbl_Finance[Job Number]=C208&amp;"")*(tbl_Finance[Xero Invoice No]&lt;&gt;"")*tbl_Finance[Date]))),""))</f>
        <v/>
      </c>
      <c r="B208" s="25">
        <f>IF(C208="","",IF(COUNTIFS(tbl_Finance[Job Number],C208&amp;"",tbl_Finance[Xero Invoice No],"&lt;&gt;")=0,"",IFERROR(IF(COUNTIFS(tbl_Finance[Job Number],C208&amp;"",tbl_Finance[Xero Invoice No],LOOKUP(2,1/((tbl_Finance[Job Number]=C208&amp;"")*(tbl_Finance[Xero Invoice No]&lt;&gt;"")),tbl_Finance[Xero Invoice No]))=COUNTIFS(tbl_Finance[Job Number],C208&amp;"",tbl_Finance[Xero Invoice No],"&lt;&gt;"),LOOKUP(2,1/((tbl_Finance[Job Number]=C208&amp;"")*(tbl_Finance[Xero Invoice No]&lt;&gt;"")),tbl_Finance[Xero Invoice No]),LOOKUP(2,1/((tbl_Finance[Job Number]=C208&amp;"")*(tbl_Finance[Xero Invoice No]&lt;&gt;"")),tbl_Finance[Xero Invoice No])&amp;" +more"),"")))</f>
        <v/>
      </c>
      <c r="C208" s="24" t="n"/>
      <c r="D208" s="25">
        <f>IF(C208="","",IF(COUNTIF(lst_Jobs,C208&amp;"")&gt;0,"OK","CHECK"))</f>
        <v/>
      </c>
      <c r="E208" s="25">
        <f>IF(C208="","",IFERROR(INDEX(lst_JobName,MATCH(C208&amp;"",lst_Jobs,0)),""))</f>
        <v/>
      </c>
      <c r="F208" s="25">
        <f>IF(C208="","",IFERROR(INDEX(tbl_Finance[Client],MATCH(C208&amp;"",tbl_Finance[Job Number],0)),""))</f>
        <v/>
      </c>
      <c r="G208" s="28">
        <f>IF(C208="","",COUNTIFS(tbl_Finance[Job Number],C208&amp;"",tbl_Finance[Ex GST],"&lt;&gt;"))</f>
        <v/>
      </c>
      <c r="H208" s="27">
        <f>IF(C208="","",SUMIFS(tbl_Finance[Ex GST],tbl_Finance[Job Number],C208&amp;""))</f>
        <v/>
      </c>
      <c r="I208" s="27">
        <f>IF(C208="","",SUMIFS(tbl_Finance[Ex GST],tbl_Finance[Job Number],C208&amp;"",tbl_Finance[Xero Invoice No],"&lt;&gt;"))</f>
        <v/>
      </c>
      <c r="J208" s="27">
        <f>IF(C208="","",H208-I208)</f>
        <v/>
      </c>
      <c r="K208" s="25">
        <f>IF(C208="","",IF(G208=0,"not invoiced yet",SUBSTITUTE(TRIM(IF(COUNTIFS(tbl_Finance[Job Number],C208&amp;"",tbl_Finance[Cost Centre],"ONSITE")&gt;0,"ONSITE ","")&amp;IF(COUNTIFS(tbl_Finance[Job Number],C208&amp;"",tbl_Finance[Cost Centre],"PRODUCTION")&gt;0,"PRODUCTION ","")&amp;IF(COUNTIFS(tbl_Finance[Job Number],C208&amp;"",tbl_Finance[Cost Centre],"VIDEO")&gt;0,"VIDEO ","")&amp;IF(COUNTIFS(tbl_Finance[Job Number],C208&amp;"",tbl_Finance[Cost Centre],"INTEGRATION")&gt;0,"INTEGRATION ","")&amp;IF(COUNTIFS(tbl_Finance[Job Number],C208&amp;"",tbl_Finance[Cost Centre],"CONSULTING")&gt;0,"CONSULTING ","")&amp;IF(COUNTIFS(tbl_Finance[Job Number],C208&amp;"",tbl_Finance[Cost Centre],"CTS")&gt;0,"CTS ",""))," ",", ")))</f>
        <v/>
      </c>
      <c r="L208" s="24" t="n"/>
      <c r="M208" s="25">
        <f>IF(L208="","",HYPERLINK(IF(LEFT(L208,4)="http",L208,set_QwilrBase&amp;L208),"Open quote"))</f>
        <v/>
      </c>
      <c r="N208" s="26" t="n"/>
      <c r="O208" s="26" t="n"/>
      <c r="P208" s="26" t="n"/>
      <c r="Q208" s="25">
        <f>IF(C208="","",IF(N(N208)+N(O208)+N(P208)=0,"Not split",IF(ROUND(N(N208)+N(O208)+N(P208),2)=ROUND(H208,2),"OK","MISMATCH")))</f>
        <v/>
      </c>
      <c r="R208" s="26" t="n"/>
      <c r="S208" s="26" t="n"/>
      <c r="T208" s="26" t="n"/>
      <c r="U208" s="27">
        <f>IF(C208="","",N(R208)+N(S208)+N(T208))</f>
        <v/>
      </c>
      <c r="V208" s="27">
        <f>IF(C208="","",H208-U208)</f>
        <v/>
      </c>
      <c r="W208" s="29">
        <f>IFERROR(V208/H208,"")</f>
        <v/>
      </c>
      <c r="X208" s="24" t="n"/>
    </row>
    <row r="209" ht="15" customHeight="1">
      <c r="A209" s="68">
        <f>IF(C209="","",IFERROR(IF(SUMPRODUCT(MAX((tbl_Finance[Job Number]=C209&amp;"")*(tbl_Finance[Xero Invoice No]&lt;&gt;"")*tbl_Finance[Date]))=0,"",SUMPRODUCT(MAX((tbl_Finance[Job Number]=C209&amp;"")*(tbl_Finance[Xero Invoice No]&lt;&gt;"")*tbl_Finance[Date]))),""))</f>
        <v/>
      </c>
      <c r="B209" s="25">
        <f>IF(C209="","",IF(COUNTIFS(tbl_Finance[Job Number],C209&amp;"",tbl_Finance[Xero Invoice No],"&lt;&gt;")=0,"",IFERROR(IF(COUNTIFS(tbl_Finance[Job Number],C209&amp;"",tbl_Finance[Xero Invoice No],LOOKUP(2,1/((tbl_Finance[Job Number]=C209&amp;"")*(tbl_Finance[Xero Invoice No]&lt;&gt;"")),tbl_Finance[Xero Invoice No]))=COUNTIFS(tbl_Finance[Job Number],C209&amp;"",tbl_Finance[Xero Invoice No],"&lt;&gt;"),LOOKUP(2,1/((tbl_Finance[Job Number]=C209&amp;"")*(tbl_Finance[Xero Invoice No]&lt;&gt;"")),tbl_Finance[Xero Invoice No]),LOOKUP(2,1/((tbl_Finance[Job Number]=C209&amp;"")*(tbl_Finance[Xero Invoice No]&lt;&gt;"")),tbl_Finance[Xero Invoice No])&amp;" +more"),"")))</f>
        <v/>
      </c>
      <c r="C209" s="24" t="n"/>
      <c r="D209" s="25">
        <f>IF(C209="","",IF(COUNTIF(lst_Jobs,C209&amp;"")&gt;0,"OK","CHECK"))</f>
        <v/>
      </c>
      <c r="E209" s="25">
        <f>IF(C209="","",IFERROR(INDEX(lst_JobName,MATCH(C209&amp;"",lst_Jobs,0)),""))</f>
        <v/>
      </c>
      <c r="F209" s="25">
        <f>IF(C209="","",IFERROR(INDEX(tbl_Finance[Client],MATCH(C209&amp;"",tbl_Finance[Job Number],0)),""))</f>
        <v/>
      </c>
      <c r="G209" s="28">
        <f>IF(C209="","",COUNTIFS(tbl_Finance[Job Number],C209&amp;"",tbl_Finance[Ex GST],"&lt;&gt;"))</f>
        <v/>
      </c>
      <c r="H209" s="27">
        <f>IF(C209="","",SUMIFS(tbl_Finance[Ex GST],tbl_Finance[Job Number],C209&amp;""))</f>
        <v/>
      </c>
      <c r="I209" s="27">
        <f>IF(C209="","",SUMIFS(tbl_Finance[Ex GST],tbl_Finance[Job Number],C209&amp;"",tbl_Finance[Xero Invoice No],"&lt;&gt;"))</f>
        <v/>
      </c>
      <c r="J209" s="27">
        <f>IF(C209="","",H209-I209)</f>
        <v/>
      </c>
      <c r="K209" s="25">
        <f>IF(C209="","",IF(G209=0,"not invoiced yet",SUBSTITUTE(TRIM(IF(COUNTIFS(tbl_Finance[Job Number],C209&amp;"",tbl_Finance[Cost Centre],"ONSITE")&gt;0,"ONSITE ","")&amp;IF(COUNTIFS(tbl_Finance[Job Number],C209&amp;"",tbl_Finance[Cost Centre],"PRODUCTION")&gt;0,"PRODUCTION ","")&amp;IF(COUNTIFS(tbl_Finance[Job Number],C209&amp;"",tbl_Finance[Cost Centre],"VIDEO")&gt;0,"VIDEO ","")&amp;IF(COUNTIFS(tbl_Finance[Job Number],C209&amp;"",tbl_Finance[Cost Centre],"INTEGRATION")&gt;0,"INTEGRATION ","")&amp;IF(COUNTIFS(tbl_Finance[Job Number],C209&amp;"",tbl_Finance[Cost Centre],"CONSULTING")&gt;0,"CONSULTING ","")&amp;IF(COUNTIFS(tbl_Finance[Job Number],C209&amp;"",tbl_Finance[Cost Centre],"CTS")&gt;0,"CTS ",""))," ",", ")))</f>
        <v/>
      </c>
      <c r="L209" s="24" t="n"/>
      <c r="M209" s="25">
        <f>IF(L209="","",HYPERLINK(IF(LEFT(L209,4)="http",L209,set_QwilrBase&amp;L209),"Open quote"))</f>
        <v/>
      </c>
      <c r="N209" s="26" t="n"/>
      <c r="O209" s="26" t="n"/>
      <c r="P209" s="26" t="n"/>
      <c r="Q209" s="25">
        <f>IF(C209="","",IF(N(N209)+N(O209)+N(P209)=0,"Not split",IF(ROUND(N(N209)+N(O209)+N(P209),2)=ROUND(H209,2),"OK","MISMATCH")))</f>
        <v/>
      </c>
      <c r="R209" s="26" t="n"/>
      <c r="S209" s="26" t="n"/>
      <c r="T209" s="26" t="n"/>
      <c r="U209" s="27">
        <f>IF(C209="","",N(R209)+N(S209)+N(T209))</f>
        <v/>
      </c>
      <c r="V209" s="27">
        <f>IF(C209="","",H209-U209)</f>
        <v/>
      </c>
      <c r="W209" s="29">
        <f>IFERROR(V209/H209,"")</f>
        <v/>
      </c>
      <c r="X209" s="24" t="n"/>
    </row>
    <row r="210" ht="15" customHeight="1">
      <c r="A210" s="68">
        <f>IF(C210="","",IFERROR(IF(SUMPRODUCT(MAX((tbl_Finance[Job Number]=C210&amp;"")*(tbl_Finance[Xero Invoice No]&lt;&gt;"")*tbl_Finance[Date]))=0,"",SUMPRODUCT(MAX((tbl_Finance[Job Number]=C210&amp;"")*(tbl_Finance[Xero Invoice No]&lt;&gt;"")*tbl_Finance[Date]))),""))</f>
        <v/>
      </c>
      <c r="B210" s="25">
        <f>IF(C210="","",IF(COUNTIFS(tbl_Finance[Job Number],C210&amp;"",tbl_Finance[Xero Invoice No],"&lt;&gt;")=0,"",IFERROR(IF(COUNTIFS(tbl_Finance[Job Number],C210&amp;"",tbl_Finance[Xero Invoice No],LOOKUP(2,1/((tbl_Finance[Job Number]=C210&amp;"")*(tbl_Finance[Xero Invoice No]&lt;&gt;"")),tbl_Finance[Xero Invoice No]))=COUNTIFS(tbl_Finance[Job Number],C210&amp;"",tbl_Finance[Xero Invoice No],"&lt;&gt;"),LOOKUP(2,1/((tbl_Finance[Job Number]=C210&amp;"")*(tbl_Finance[Xero Invoice No]&lt;&gt;"")),tbl_Finance[Xero Invoice No]),LOOKUP(2,1/((tbl_Finance[Job Number]=C210&amp;"")*(tbl_Finance[Xero Invoice No]&lt;&gt;"")),tbl_Finance[Xero Invoice No])&amp;" +more"),"")))</f>
        <v/>
      </c>
      <c r="C210" s="24" t="n"/>
      <c r="D210" s="25">
        <f>IF(C210="","",IF(COUNTIF(lst_Jobs,C210&amp;"")&gt;0,"OK","CHECK"))</f>
        <v/>
      </c>
      <c r="E210" s="25">
        <f>IF(C210="","",IFERROR(INDEX(lst_JobName,MATCH(C210&amp;"",lst_Jobs,0)),""))</f>
        <v/>
      </c>
      <c r="F210" s="25">
        <f>IF(C210="","",IFERROR(INDEX(tbl_Finance[Client],MATCH(C210&amp;"",tbl_Finance[Job Number],0)),""))</f>
        <v/>
      </c>
      <c r="G210" s="28">
        <f>IF(C210="","",COUNTIFS(tbl_Finance[Job Number],C210&amp;"",tbl_Finance[Ex GST],"&lt;&gt;"))</f>
        <v/>
      </c>
      <c r="H210" s="27">
        <f>IF(C210="","",SUMIFS(tbl_Finance[Ex GST],tbl_Finance[Job Number],C210&amp;""))</f>
        <v/>
      </c>
      <c r="I210" s="27">
        <f>IF(C210="","",SUMIFS(tbl_Finance[Ex GST],tbl_Finance[Job Number],C210&amp;"",tbl_Finance[Xero Invoice No],"&lt;&gt;"))</f>
        <v/>
      </c>
      <c r="J210" s="27">
        <f>IF(C210="","",H210-I210)</f>
        <v/>
      </c>
      <c r="K210" s="25">
        <f>IF(C210="","",IF(G210=0,"not invoiced yet",SUBSTITUTE(TRIM(IF(COUNTIFS(tbl_Finance[Job Number],C210&amp;"",tbl_Finance[Cost Centre],"ONSITE")&gt;0,"ONSITE ","")&amp;IF(COUNTIFS(tbl_Finance[Job Number],C210&amp;"",tbl_Finance[Cost Centre],"PRODUCTION")&gt;0,"PRODUCTION ","")&amp;IF(COUNTIFS(tbl_Finance[Job Number],C210&amp;"",tbl_Finance[Cost Centre],"VIDEO")&gt;0,"VIDEO ","")&amp;IF(COUNTIFS(tbl_Finance[Job Number],C210&amp;"",tbl_Finance[Cost Centre],"INTEGRATION")&gt;0,"INTEGRATION ","")&amp;IF(COUNTIFS(tbl_Finance[Job Number],C210&amp;"",tbl_Finance[Cost Centre],"CONSULTING")&gt;0,"CONSULTING ","")&amp;IF(COUNTIFS(tbl_Finance[Job Number],C210&amp;"",tbl_Finance[Cost Centre],"CTS")&gt;0,"CTS ",""))," ",", ")))</f>
        <v/>
      </c>
      <c r="L210" s="24" t="n"/>
      <c r="M210" s="25">
        <f>IF(L210="","",HYPERLINK(IF(LEFT(L210,4)="http",L210,set_QwilrBase&amp;L210),"Open quote"))</f>
        <v/>
      </c>
      <c r="N210" s="26" t="n"/>
      <c r="O210" s="26" t="n"/>
      <c r="P210" s="26" t="n"/>
      <c r="Q210" s="25">
        <f>IF(C210="","",IF(N(N210)+N(O210)+N(P210)=0,"Not split",IF(ROUND(N(N210)+N(O210)+N(P210),2)=ROUND(H210,2),"OK","MISMATCH")))</f>
        <v/>
      </c>
      <c r="R210" s="26" t="n"/>
      <c r="S210" s="26" t="n"/>
      <c r="T210" s="26" t="n"/>
      <c r="U210" s="27">
        <f>IF(C210="","",N(R210)+N(S210)+N(T210))</f>
        <v/>
      </c>
      <c r="V210" s="27">
        <f>IF(C210="","",H210-U210)</f>
        <v/>
      </c>
      <c r="W210" s="29">
        <f>IFERROR(V210/H210,"")</f>
        <v/>
      </c>
      <c r="X210" s="24" t="n"/>
    </row>
    <row r="211" ht="15" customHeight="1">
      <c r="A211" s="68">
        <f>IF(C211="","",IFERROR(IF(SUMPRODUCT(MAX((tbl_Finance[Job Number]=C211&amp;"")*(tbl_Finance[Xero Invoice No]&lt;&gt;"")*tbl_Finance[Date]))=0,"",SUMPRODUCT(MAX((tbl_Finance[Job Number]=C211&amp;"")*(tbl_Finance[Xero Invoice No]&lt;&gt;"")*tbl_Finance[Date]))),""))</f>
        <v/>
      </c>
      <c r="B211" s="25">
        <f>IF(C211="","",IF(COUNTIFS(tbl_Finance[Job Number],C211&amp;"",tbl_Finance[Xero Invoice No],"&lt;&gt;")=0,"",IFERROR(IF(COUNTIFS(tbl_Finance[Job Number],C211&amp;"",tbl_Finance[Xero Invoice No],LOOKUP(2,1/((tbl_Finance[Job Number]=C211&amp;"")*(tbl_Finance[Xero Invoice No]&lt;&gt;"")),tbl_Finance[Xero Invoice No]))=COUNTIFS(tbl_Finance[Job Number],C211&amp;"",tbl_Finance[Xero Invoice No],"&lt;&gt;"),LOOKUP(2,1/((tbl_Finance[Job Number]=C211&amp;"")*(tbl_Finance[Xero Invoice No]&lt;&gt;"")),tbl_Finance[Xero Invoice No]),LOOKUP(2,1/((tbl_Finance[Job Number]=C211&amp;"")*(tbl_Finance[Xero Invoice No]&lt;&gt;"")),tbl_Finance[Xero Invoice No])&amp;" +more"),"")))</f>
        <v/>
      </c>
      <c r="C211" s="24" t="n"/>
      <c r="D211" s="25">
        <f>IF(C211="","",IF(COUNTIF(lst_Jobs,C211&amp;"")&gt;0,"OK","CHECK"))</f>
        <v/>
      </c>
      <c r="E211" s="25">
        <f>IF(C211="","",IFERROR(INDEX(lst_JobName,MATCH(C211&amp;"",lst_Jobs,0)),""))</f>
        <v/>
      </c>
      <c r="F211" s="25">
        <f>IF(C211="","",IFERROR(INDEX(tbl_Finance[Client],MATCH(C211&amp;"",tbl_Finance[Job Number],0)),""))</f>
        <v/>
      </c>
      <c r="G211" s="28">
        <f>IF(C211="","",COUNTIFS(tbl_Finance[Job Number],C211&amp;"",tbl_Finance[Ex GST],"&lt;&gt;"))</f>
        <v/>
      </c>
      <c r="H211" s="27">
        <f>IF(C211="","",SUMIFS(tbl_Finance[Ex GST],tbl_Finance[Job Number],C211&amp;""))</f>
        <v/>
      </c>
      <c r="I211" s="27">
        <f>IF(C211="","",SUMIFS(tbl_Finance[Ex GST],tbl_Finance[Job Number],C211&amp;"",tbl_Finance[Xero Invoice No],"&lt;&gt;"))</f>
        <v/>
      </c>
      <c r="J211" s="27">
        <f>IF(C211="","",H211-I211)</f>
        <v/>
      </c>
      <c r="K211" s="25">
        <f>IF(C211="","",IF(G211=0,"not invoiced yet",SUBSTITUTE(TRIM(IF(COUNTIFS(tbl_Finance[Job Number],C211&amp;"",tbl_Finance[Cost Centre],"ONSITE")&gt;0,"ONSITE ","")&amp;IF(COUNTIFS(tbl_Finance[Job Number],C211&amp;"",tbl_Finance[Cost Centre],"PRODUCTION")&gt;0,"PRODUCTION ","")&amp;IF(COUNTIFS(tbl_Finance[Job Number],C211&amp;"",tbl_Finance[Cost Centre],"VIDEO")&gt;0,"VIDEO ","")&amp;IF(COUNTIFS(tbl_Finance[Job Number],C211&amp;"",tbl_Finance[Cost Centre],"INTEGRATION")&gt;0,"INTEGRATION ","")&amp;IF(COUNTIFS(tbl_Finance[Job Number],C211&amp;"",tbl_Finance[Cost Centre],"CONSULTING")&gt;0,"CONSULTING ","")&amp;IF(COUNTIFS(tbl_Finance[Job Number],C211&amp;"",tbl_Finance[Cost Centre],"CTS")&gt;0,"CTS ",""))," ",", ")))</f>
        <v/>
      </c>
      <c r="L211" s="24" t="n"/>
      <c r="M211" s="25">
        <f>IF(L211="","",HYPERLINK(IF(LEFT(L211,4)="http",L211,set_QwilrBase&amp;L211),"Open quote"))</f>
        <v/>
      </c>
      <c r="N211" s="26" t="n"/>
      <c r="O211" s="26" t="n"/>
      <c r="P211" s="26" t="n"/>
      <c r="Q211" s="25">
        <f>IF(C211="","",IF(N(N211)+N(O211)+N(P211)=0,"Not split",IF(ROUND(N(N211)+N(O211)+N(P211),2)=ROUND(H211,2),"OK","MISMATCH")))</f>
        <v/>
      </c>
      <c r="R211" s="26" t="n"/>
      <c r="S211" s="26" t="n"/>
      <c r="T211" s="26" t="n"/>
      <c r="U211" s="27">
        <f>IF(C211="","",N(R211)+N(S211)+N(T211))</f>
        <v/>
      </c>
      <c r="V211" s="27">
        <f>IF(C211="","",H211-U211)</f>
        <v/>
      </c>
      <c r="W211" s="29">
        <f>IFERROR(V211/H211,"")</f>
        <v/>
      </c>
      <c r="X211" s="24" t="n"/>
    </row>
    <row r="212" ht="15" customHeight="1">
      <c r="A212" s="68">
        <f>IF(C212="","",IFERROR(IF(SUMPRODUCT(MAX((tbl_Finance[Job Number]=C212&amp;"")*(tbl_Finance[Xero Invoice No]&lt;&gt;"")*tbl_Finance[Date]))=0,"",SUMPRODUCT(MAX((tbl_Finance[Job Number]=C212&amp;"")*(tbl_Finance[Xero Invoice No]&lt;&gt;"")*tbl_Finance[Date]))),""))</f>
        <v/>
      </c>
      <c r="B212" s="25">
        <f>IF(C212="","",IF(COUNTIFS(tbl_Finance[Job Number],C212&amp;"",tbl_Finance[Xero Invoice No],"&lt;&gt;")=0,"",IFERROR(IF(COUNTIFS(tbl_Finance[Job Number],C212&amp;"",tbl_Finance[Xero Invoice No],LOOKUP(2,1/((tbl_Finance[Job Number]=C212&amp;"")*(tbl_Finance[Xero Invoice No]&lt;&gt;"")),tbl_Finance[Xero Invoice No]))=COUNTIFS(tbl_Finance[Job Number],C212&amp;"",tbl_Finance[Xero Invoice No],"&lt;&gt;"),LOOKUP(2,1/((tbl_Finance[Job Number]=C212&amp;"")*(tbl_Finance[Xero Invoice No]&lt;&gt;"")),tbl_Finance[Xero Invoice No]),LOOKUP(2,1/((tbl_Finance[Job Number]=C212&amp;"")*(tbl_Finance[Xero Invoice No]&lt;&gt;"")),tbl_Finance[Xero Invoice No])&amp;" +more"),"")))</f>
        <v/>
      </c>
      <c r="C212" s="24" t="n"/>
      <c r="D212" s="25">
        <f>IF(C212="","",IF(COUNTIF(lst_Jobs,C212&amp;"")&gt;0,"OK","CHECK"))</f>
        <v/>
      </c>
      <c r="E212" s="25">
        <f>IF(C212="","",IFERROR(INDEX(lst_JobName,MATCH(C212&amp;"",lst_Jobs,0)),""))</f>
        <v/>
      </c>
      <c r="F212" s="25">
        <f>IF(C212="","",IFERROR(INDEX(tbl_Finance[Client],MATCH(C212&amp;"",tbl_Finance[Job Number],0)),""))</f>
        <v/>
      </c>
      <c r="G212" s="28">
        <f>IF(C212="","",COUNTIFS(tbl_Finance[Job Number],C212&amp;"",tbl_Finance[Ex GST],"&lt;&gt;"))</f>
        <v/>
      </c>
      <c r="H212" s="27">
        <f>IF(C212="","",SUMIFS(tbl_Finance[Ex GST],tbl_Finance[Job Number],C212&amp;""))</f>
        <v/>
      </c>
      <c r="I212" s="27">
        <f>IF(C212="","",SUMIFS(tbl_Finance[Ex GST],tbl_Finance[Job Number],C212&amp;"",tbl_Finance[Xero Invoice No],"&lt;&gt;"))</f>
        <v/>
      </c>
      <c r="J212" s="27">
        <f>IF(C212="","",H212-I212)</f>
        <v/>
      </c>
      <c r="K212" s="25">
        <f>IF(C212="","",IF(G212=0,"not invoiced yet",SUBSTITUTE(TRIM(IF(COUNTIFS(tbl_Finance[Job Number],C212&amp;"",tbl_Finance[Cost Centre],"ONSITE")&gt;0,"ONSITE ","")&amp;IF(COUNTIFS(tbl_Finance[Job Number],C212&amp;"",tbl_Finance[Cost Centre],"PRODUCTION")&gt;0,"PRODUCTION ","")&amp;IF(COUNTIFS(tbl_Finance[Job Number],C212&amp;"",tbl_Finance[Cost Centre],"VIDEO")&gt;0,"VIDEO ","")&amp;IF(COUNTIFS(tbl_Finance[Job Number],C212&amp;"",tbl_Finance[Cost Centre],"INTEGRATION")&gt;0,"INTEGRATION ","")&amp;IF(COUNTIFS(tbl_Finance[Job Number],C212&amp;"",tbl_Finance[Cost Centre],"CONSULTING")&gt;0,"CONSULTING ","")&amp;IF(COUNTIFS(tbl_Finance[Job Number],C212&amp;"",tbl_Finance[Cost Centre],"CTS")&gt;0,"CTS ",""))," ",", ")))</f>
        <v/>
      </c>
      <c r="L212" s="24" t="n"/>
      <c r="M212" s="25">
        <f>IF(L212="","",HYPERLINK(IF(LEFT(L212,4)="http",L212,set_QwilrBase&amp;L212),"Open quote"))</f>
        <v/>
      </c>
      <c r="N212" s="26" t="n"/>
      <c r="O212" s="26" t="n"/>
      <c r="P212" s="26" t="n"/>
      <c r="Q212" s="25">
        <f>IF(C212="","",IF(N(N212)+N(O212)+N(P212)=0,"Not split",IF(ROUND(N(N212)+N(O212)+N(P212),2)=ROUND(H212,2),"OK","MISMATCH")))</f>
        <v/>
      </c>
      <c r="R212" s="26" t="n"/>
      <c r="S212" s="26" t="n"/>
      <c r="T212" s="26" t="n"/>
      <c r="U212" s="27">
        <f>IF(C212="","",N(R212)+N(S212)+N(T212))</f>
        <v/>
      </c>
      <c r="V212" s="27">
        <f>IF(C212="","",H212-U212)</f>
        <v/>
      </c>
      <c r="W212" s="29">
        <f>IFERROR(V212/H212,"")</f>
        <v/>
      </c>
      <c r="X212" s="24" t="n"/>
    </row>
    <row r="213" ht="15" customHeight="1">
      <c r="A213" s="68">
        <f>IF(C213="","",IFERROR(IF(SUMPRODUCT(MAX((tbl_Finance[Job Number]=C213&amp;"")*(tbl_Finance[Xero Invoice No]&lt;&gt;"")*tbl_Finance[Date]))=0,"",SUMPRODUCT(MAX((tbl_Finance[Job Number]=C213&amp;"")*(tbl_Finance[Xero Invoice No]&lt;&gt;"")*tbl_Finance[Date]))),""))</f>
        <v/>
      </c>
      <c r="B213" s="25">
        <f>IF(C213="","",IF(COUNTIFS(tbl_Finance[Job Number],C213&amp;"",tbl_Finance[Xero Invoice No],"&lt;&gt;")=0,"",IFERROR(IF(COUNTIFS(tbl_Finance[Job Number],C213&amp;"",tbl_Finance[Xero Invoice No],LOOKUP(2,1/((tbl_Finance[Job Number]=C213&amp;"")*(tbl_Finance[Xero Invoice No]&lt;&gt;"")),tbl_Finance[Xero Invoice No]))=COUNTIFS(tbl_Finance[Job Number],C213&amp;"",tbl_Finance[Xero Invoice No],"&lt;&gt;"),LOOKUP(2,1/((tbl_Finance[Job Number]=C213&amp;"")*(tbl_Finance[Xero Invoice No]&lt;&gt;"")),tbl_Finance[Xero Invoice No]),LOOKUP(2,1/((tbl_Finance[Job Number]=C213&amp;"")*(tbl_Finance[Xero Invoice No]&lt;&gt;"")),tbl_Finance[Xero Invoice No])&amp;" +more"),"")))</f>
        <v/>
      </c>
      <c r="C213" s="24" t="n"/>
      <c r="D213" s="25">
        <f>IF(C213="","",IF(COUNTIF(lst_Jobs,C213&amp;"")&gt;0,"OK","CHECK"))</f>
        <v/>
      </c>
      <c r="E213" s="25">
        <f>IF(C213="","",IFERROR(INDEX(lst_JobName,MATCH(C213&amp;"",lst_Jobs,0)),""))</f>
        <v/>
      </c>
      <c r="F213" s="25">
        <f>IF(C213="","",IFERROR(INDEX(tbl_Finance[Client],MATCH(C213&amp;"",tbl_Finance[Job Number],0)),""))</f>
        <v/>
      </c>
      <c r="G213" s="28">
        <f>IF(C213="","",COUNTIFS(tbl_Finance[Job Number],C213&amp;"",tbl_Finance[Ex GST],"&lt;&gt;"))</f>
        <v/>
      </c>
      <c r="H213" s="27">
        <f>IF(C213="","",SUMIFS(tbl_Finance[Ex GST],tbl_Finance[Job Number],C213&amp;""))</f>
        <v/>
      </c>
      <c r="I213" s="27">
        <f>IF(C213="","",SUMIFS(tbl_Finance[Ex GST],tbl_Finance[Job Number],C213&amp;"",tbl_Finance[Xero Invoice No],"&lt;&gt;"))</f>
        <v/>
      </c>
      <c r="J213" s="27">
        <f>IF(C213="","",H213-I213)</f>
        <v/>
      </c>
      <c r="K213" s="25">
        <f>IF(C213="","",IF(G213=0,"not invoiced yet",SUBSTITUTE(TRIM(IF(COUNTIFS(tbl_Finance[Job Number],C213&amp;"",tbl_Finance[Cost Centre],"ONSITE")&gt;0,"ONSITE ","")&amp;IF(COUNTIFS(tbl_Finance[Job Number],C213&amp;"",tbl_Finance[Cost Centre],"PRODUCTION")&gt;0,"PRODUCTION ","")&amp;IF(COUNTIFS(tbl_Finance[Job Number],C213&amp;"",tbl_Finance[Cost Centre],"VIDEO")&gt;0,"VIDEO ","")&amp;IF(COUNTIFS(tbl_Finance[Job Number],C213&amp;"",tbl_Finance[Cost Centre],"INTEGRATION")&gt;0,"INTEGRATION ","")&amp;IF(COUNTIFS(tbl_Finance[Job Number],C213&amp;"",tbl_Finance[Cost Centre],"CONSULTING")&gt;0,"CONSULTING ","")&amp;IF(COUNTIFS(tbl_Finance[Job Number],C213&amp;"",tbl_Finance[Cost Centre],"CTS")&gt;0,"CTS ",""))," ",", ")))</f>
        <v/>
      </c>
      <c r="L213" s="24" t="n"/>
      <c r="M213" s="25">
        <f>IF(L213="","",HYPERLINK(IF(LEFT(L213,4)="http",L213,set_QwilrBase&amp;L213),"Open quote"))</f>
        <v/>
      </c>
      <c r="N213" s="26" t="n"/>
      <c r="O213" s="26" t="n"/>
      <c r="P213" s="26" t="n"/>
      <c r="Q213" s="25">
        <f>IF(C213="","",IF(N(N213)+N(O213)+N(P213)=0,"Not split",IF(ROUND(N(N213)+N(O213)+N(P213),2)=ROUND(H213,2),"OK","MISMATCH")))</f>
        <v/>
      </c>
      <c r="R213" s="26" t="n"/>
      <c r="S213" s="26" t="n"/>
      <c r="T213" s="26" t="n"/>
      <c r="U213" s="27">
        <f>IF(C213="","",N(R213)+N(S213)+N(T213))</f>
        <v/>
      </c>
      <c r="V213" s="27">
        <f>IF(C213="","",H213-U213)</f>
        <v/>
      </c>
      <c r="W213" s="29">
        <f>IFERROR(V213/H213,"")</f>
        <v/>
      </c>
      <c r="X213" s="24" t="n"/>
    </row>
    <row r="214" ht="15" customHeight="1">
      <c r="A214" s="68">
        <f>IF(C214="","",IFERROR(IF(SUMPRODUCT(MAX((tbl_Finance[Job Number]=C214&amp;"")*(tbl_Finance[Xero Invoice No]&lt;&gt;"")*tbl_Finance[Date]))=0,"",SUMPRODUCT(MAX((tbl_Finance[Job Number]=C214&amp;"")*(tbl_Finance[Xero Invoice No]&lt;&gt;"")*tbl_Finance[Date]))),""))</f>
        <v/>
      </c>
      <c r="B214" s="25">
        <f>IF(C214="","",IF(COUNTIFS(tbl_Finance[Job Number],C214&amp;"",tbl_Finance[Xero Invoice No],"&lt;&gt;")=0,"",IFERROR(IF(COUNTIFS(tbl_Finance[Job Number],C214&amp;"",tbl_Finance[Xero Invoice No],LOOKUP(2,1/((tbl_Finance[Job Number]=C214&amp;"")*(tbl_Finance[Xero Invoice No]&lt;&gt;"")),tbl_Finance[Xero Invoice No]))=COUNTIFS(tbl_Finance[Job Number],C214&amp;"",tbl_Finance[Xero Invoice No],"&lt;&gt;"),LOOKUP(2,1/((tbl_Finance[Job Number]=C214&amp;"")*(tbl_Finance[Xero Invoice No]&lt;&gt;"")),tbl_Finance[Xero Invoice No]),LOOKUP(2,1/((tbl_Finance[Job Number]=C214&amp;"")*(tbl_Finance[Xero Invoice No]&lt;&gt;"")),tbl_Finance[Xero Invoice No])&amp;" +more"),"")))</f>
        <v/>
      </c>
      <c r="C214" s="24" t="n"/>
      <c r="D214" s="25">
        <f>IF(C214="","",IF(COUNTIF(lst_Jobs,C214&amp;"")&gt;0,"OK","CHECK"))</f>
        <v/>
      </c>
      <c r="E214" s="25">
        <f>IF(C214="","",IFERROR(INDEX(lst_JobName,MATCH(C214&amp;"",lst_Jobs,0)),""))</f>
        <v/>
      </c>
      <c r="F214" s="25">
        <f>IF(C214="","",IFERROR(INDEX(tbl_Finance[Client],MATCH(C214&amp;"",tbl_Finance[Job Number],0)),""))</f>
        <v/>
      </c>
      <c r="G214" s="28">
        <f>IF(C214="","",COUNTIFS(tbl_Finance[Job Number],C214&amp;"",tbl_Finance[Ex GST],"&lt;&gt;"))</f>
        <v/>
      </c>
      <c r="H214" s="27">
        <f>IF(C214="","",SUMIFS(tbl_Finance[Ex GST],tbl_Finance[Job Number],C214&amp;""))</f>
        <v/>
      </c>
      <c r="I214" s="27">
        <f>IF(C214="","",SUMIFS(tbl_Finance[Ex GST],tbl_Finance[Job Number],C214&amp;"",tbl_Finance[Xero Invoice No],"&lt;&gt;"))</f>
        <v/>
      </c>
      <c r="J214" s="27">
        <f>IF(C214="","",H214-I214)</f>
        <v/>
      </c>
      <c r="K214" s="25">
        <f>IF(C214="","",IF(G214=0,"not invoiced yet",SUBSTITUTE(TRIM(IF(COUNTIFS(tbl_Finance[Job Number],C214&amp;"",tbl_Finance[Cost Centre],"ONSITE")&gt;0,"ONSITE ","")&amp;IF(COUNTIFS(tbl_Finance[Job Number],C214&amp;"",tbl_Finance[Cost Centre],"PRODUCTION")&gt;0,"PRODUCTION ","")&amp;IF(COUNTIFS(tbl_Finance[Job Number],C214&amp;"",tbl_Finance[Cost Centre],"VIDEO")&gt;0,"VIDEO ","")&amp;IF(COUNTIFS(tbl_Finance[Job Number],C214&amp;"",tbl_Finance[Cost Centre],"INTEGRATION")&gt;0,"INTEGRATION ","")&amp;IF(COUNTIFS(tbl_Finance[Job Number],C214&amp;"",tbl_Finance[Cost Centre],"CONSULTING")&gt;0,"CONSULTING ","")&amp;IF(COUNTIFS(tbl_Finance[Job Number],C214&amp;"",tbl_Finance[Cost Centre],"CTS")&gt;0,"CTS ",""))," ",", ")))</f>
        <v/>
      </c>
      <c r="L214" s="24" t="n"/>
      <c r="M214" s="25">
        <f>IF(L214="","",HYPERLINK(IF(LEFT(L214,4)="http",L214,set_QwilrBase&amp;L214),"Open quote"))</f>
        <v/>
      </c>
      <c r="N214" s="26" t="n"/>
      <c r="O214" s="26" t="n"/>
      <c r="P214" s="26" t="n"/>
      <c r="Q214" s="25">
        <f>IF(C214="","",IF(N(N214)+N(O214)+N(P214)=0,"Not split",IF(ROUND(N(N214)+N(O214)+N(P214),2)=ROUND(H214,2),"OK","MISMATCH")))</f>
        <v/>
      </c>
      <c r="R214" s="26" t="n"/>
      <c r="S214" s="26" t="n"/>
      <c r="T214" s="26" t="n"/>
      <c r="U214" s="27">
        <f>IF(C214="","",N(R214)+N(S214)+N(T214))</f>
        <v/>
      </c>
      <c r="V214" s="27">
        <f>IF(C214="","",H214-U214)</f>
        <v/>
      </c>
      <c r="W214" s="29">
        <f>IFERROR(V214/H214,"")</f>
        <v/>
      </c>
      <c r="X214" s="24" t="n"/>
    </row>
    <row r="215" ht="15" customHeight="1">
      <c r="A215" s="68">
        <f>IF(C215="","",IFERROR(IF(SUMPRODUCT(MAX((tbl_Finance[Job Number]=C215&amp;"")*(tbl_Finance[Xero Invoice No]&lt;&gt;"")*tbl_Finance[Date]))=0,"",SUMPRODUCT(MAX((tbl_Finance[Job Number]=C215&amp;"")*(tbl_Finance[Xero Invoice No]&lt;&gt;"")*tbl_Finance[Date]))),""))</f>
        <v/>
      </c>
      <c r="B215" s="25">
        <f>IF(C215="","",IF(COUNTIFS(tbl_Finance[Job Number],C215&amp;"",tbl_Finance[Xero Invoice No],"&lt;&gt;")=0,"",IFERROR(IF(COUNTIFS(tbl_Finance[Job Number],C215&amp;"",tbl_Finance[Xero Invoice No],LOOKUP(2,1/((tbl_Finance[Job Number]=C215&amp;"")*(tbl_Finance[Xero Invoice No]&lt;&gt;"")),tbl_Finance[Xero Invoice No]))=COUNTIFS(tbl_Finance[Job Number],C215&amp;"",tbl_Finance[Xero Invoice No],"&lt;&gt;"),LOOKUP(2,1/((tbl_Finance[Job Number]=C215&amp;"")*(tbl_Finance[Xero Invoice No]&lt;&gt;"")),tbl_Finance[Xero Invoice No]),LOOKUP(2,1/((tbl_Finance[Job Number]=C215&amp;"")*(tbl_Finance[Xero Invoice No]&lt;&gt;"")),tbl_Finance[Xero Invoice No])&amp;" +more"),"")))</f>
        <v/>
      </c>
      <c r="C215" s="24" t="n"/>
      <c r="D215" s="25">
        <f>IF(C215="","",IF(COUNTIF(lst_Jobs,C215&amp;"")&gt;0,"OK","CHECK"))</f>
        <v/>
      </c>
      <c r="E215" s="25">
        <f>IF(C215="","",IFERROR(INDEX(lst_JobName,MATCH(C215&amp;"",lst_Jobs,0)),""))</f>
        <v/>
      </c>
      <c r="F215" s="25">
        <f>IF(C215="","",IFERROR(INDEX(tbl_Finance[Client],MATCH(C215&amp;"",tbl_Finance[Job Number],0)),""))</f>
        <v/>
      </c>
      <c r="G215" s="28">
        <f>IF(C215="","",COUNTIFS(tbl_Finance[Job Number],C215&amp;"",tbl_Finance[Ex GST],"&lt;&gt;"))</f>
        <v/>
      </c>
      <c r="H215" s="27">
        <f>IF(C215="","",SUMIFS(tbl_Finance[Ex GST],tbl_Finance[Job Number],C215&amp;""))</f>
        <v/>
      </c>
      <c r="I215" s="27">
        <f>IF(C215="","",SUMIFS(tbl_Finance[Ex GST],tbl_Finance[Job Number],C215&amp;"",tbl_Finance[Xero Invoice No],"&lt;&gt;"))</f>
        <v/>
      </c>
      <c r="J215" s="27">
        <f>IF(C215="","",H215-I215)</f>
        <v/>
      </c>
      <c r="K215" s="25">
        <f>IF(C215="","",IF(G215=0,"not invoiced yet",SUBSTITUTE(TRIM(IF(COUNTIFS(tbl_Finance[Job Number],C215&amp;"",tbl_Finance[Cost Centre],"ONSITE")&gt;0,"ONSITE ","")&amp;IF(COUNTIFS(tbl_Finance[Job Number],C215&amp;"",tbl_Finance[Cost Centre],"PRODUCTION")&gt;0,"PRODUCTION ","")&amp;IF(COUNTIFS(tbl_Finance[Job Number],C215&amp;"",tbl_Finance[Cost Centre],"VIDEO")&gt;0,"VIDEO ","")&amp;IF(COUNTIFS(tbl_Finance[Job Number],C215&amp;"",tbl_Finance[Cost Centre],"INTEGRATION")&gt;0,"INTEGRATION ","")&amp;IF(COUNTIFS(tbl_Finance[Job Number],C215&amp;"",tbl_Finance[Cost Centre],"CONSULTING")&gt;0,"CONSULTING ","")&amp;IF(COUNTIFS(tbl_Finance[Job Number],C215&amp;"",tbl_Finance[Cost Centre],"CTS")&gt;0,"CTS ",""))," ",", ")))</f>
        <v/>
      </c>
      <c r="L215" s="24" t="n"/>
      <c r="M215" s="25">
        <f>IF(L215="","",HYPERLINK(IF(LEFT(L215,4)="http",L215,set_QwilrBase&amp;L215),"Open quote"))</f>
        <v/>
      </c>
      <c r="N215" s="26" t="n"/>
      <c r="O215" s="26" t="n"/>
      <c r="P215" s="26" t="n"/>
      <c r="Q215" s="25">
        <f>IF(C215="","",IF(N(N215)+N(O215)+N(P215)=0,"Not split",IF(ROUND(N(N215)+N(O215)+N(P215),2)=ROUND(H215,2),"OK","MISMATCH")))</f>
        <v/>
      </c>
      <c r="R215" s="26" t="n"/>
      <c r="S215" s="26" t="n"/>
      <c r="T215" s="26" t="n"/>
      <c r="U215" s="27">
        <f>IF(C215="","",N(R215)+N(S215)+N(T215))</f>
        <v/>
      </c>
      <c r="V215" s="27">
        <f>IF(C215="","",H215-U215)</f>
        <v/>
      </c>
      <c r="W215" s="29">
        <f>IFERROR(V215/H215,"")</f>
        <v/>
      </c>
      <c r="X215" s="24" t="n"/>
    </row>
    <row r="216" ht="15" customHeight="1">
      <c r="A216" s="68">
        <f>IF(C216="","",IFERROR(IF(SUMPRODUCT(MAX((tbl_Finance[Job Number]=C216&amp;"")*(tbl_Finance[Xero Invoice No]&lt;&gt;"")*tbl_Finance[Date]))=0,"",SUMPRODUCT(MAX((tbl_Finance[Job Number]=C216&amp;"")*(tbl_Finance[Xero Invoice No]&lt;&gt;"")*tbl_Finance[Date]))),""))</f>
        <v/>
      </c>
      <c r="B216" s="25">
        <f>IF(C216="","",IF(COUNTIFS(tbl_Finance[Job Number],C216&amp;"",tbl_Finance[Xero Invoice No],"&lt;&gt;")=0,"",IFERROR(IF(COUNTIFS(tbl_Finance[Job Number],C216&amp;"",tbl_Finance[Xero Invoice No],LOOKUP(2,1/((tbl_Finance[Job Number]=C216&amp;"")*(tbl_Finance[Xero Invoice No]&lt;&gt;"")),tbl_Finance[Xero Invoice No]))=COUNTIFS(tbl_Finance[Job Number],C216&amp;"",tbl_Finance[Xero Invoice No],"&lt;&gt;"),LOOKUP(2,1/((tbl_Finance[Job Number]=C216&amp;"")*(tbl_Finance[Xero Invoice No]&lt;&gt;"")),tbl_Finance[Xero Invoice No]),LOOKUP(2,1/((tbl_Finance[Job Number]=C216&amp;"")*(tbl_Finance[Xero Invoice No]&lt;&gt;"")),tbl_Finance[Xero Invoice No])&amp;" +more"),"")))</f>
        <v/>
      </c>
      <c r="C216" s="24" t="n"/>
      <c r="D216" s="25">
        <f>IF(C216="","",IF(COUNTIF(lst_Jobs,C216&amp;"")&gt;0,"OK","CHECK"))</f>
        <v/>
      </c>
      <c r="E216" s="25">
        <f>IF(C216="","",IFERROR(INDEX(lst_JobName,MATCH(C216&amp;"",lst_Jobs,0)),""))</f>
        <v/>
      </c>
      <c r="F216" s="25">
        <f>IF(C216="","",IFERROR(INDEX(tbl_Finance[Client],MATCH(C216&amp;"",tbl_Finance[Job Number],0)),""))</f>
        <v/>
      </c>
      <c r="G216" s="28">
        <f>IF(C216="","",COUNTIFS(tbl_Finance[Job Number],C216&amp;"",tbl_Finance[Ex GST],"&lt;&gt;"))</f>
        <v/>
      </c>
      <c r="H216" s="27">
        <f>IF(C216="","",SUMIFS(tbl_Finance[Ex GST],tbl_Finance[Job Number],C216&amp;""))</f>
        <v/>
      </c>
      <c r="I216" s="27">
        <f>IF(C216="","",SUMIFS(tbl_Finance[Ex GST],tbl_Finance[Job Number],C216&amp;"",tbl_Finance[Xero Invoice No],"&lt;&gt;"))</f>
        <v/>
      </c>
      <c r="J216" s="27">
        <f>IF(C216="","",H216-I216)</f>
        <v/>
      </c>
      <c r="K216" s="25">
        <f>IF(C216="","",IF(G216=0,"not invoiced yet",SUBSTITUTE(TRIM(IF(COUNTIFS(tbl_Finance[Job Number],C216&amp;"",tbl_Finance[Cost Centre],"ONSITE")&gt;0,"ONSITE ","")&amp;IF(COUNTIFS(tbl_Finance[Job Number],C216&amp;"",tbl_Finance[Cost Centre],"PRODUCTION")&gt;0,"PRODUCTION ","")&amp;IF(COUNTIFS(tbl_Finance[Job Number],C216&amp;"",tbl_Finance[Cost Centre],"VIDEO")&gt;0,"VIDEO ","")&amp;IF(COUNTIFS(tbl_Finance[Job Number],C216&amp;"",tbl_Finance[Cost Centre],"INTEGRATION")&gt;0,"INTEGRATION ","")&amp;IF(COUNTIFS(tbl_Finance[Job Number],C216&amp;"",tbl_Finance[Cost Centre],"CONSULTING")&gt;0,"CONSULTING ","")&amp;IF(COUNTIFS(tbl_Finance[Job Number],C216&amp;"",tbl_Finance[Cost Centre],"CTS")&gt;0,"CTS ",""))," ",", ")))</f>
        <v/>
      </c>
      <c r="L216" s="24" t="n"/>
      <c r="M216" s="25">
        <f>IF(L216="","",HYPERLINK(IF(LEFT(L216,4)="http",L216,set_QwilrBase&amp;L216),"Open quote"))</f>
        <v/>
      </c>
      <c r="N216" s="26" t="n"/>
      <c r="O216" s="26" t="n"/>
      <c r="P216" s="26" t="n"/>
      <c r="Q216" s="25">
        <f>IF(C216="","",IF(N(N216)+N(O216)+N(P216)=0,"Not split",IF(ROUND(N(N216)+N(O216)+N(P216),2)=ROUND(H216,2),"OK","MISMATCH")))</f>
        <v/>
      </c>
      <c r="R216" s="26" t="n"/>
      <c r="S216" s="26" t="n"/>
      <c r="T216" s="26" t="n"/>
      <c r="U216" s="27">
        <f>IF(C216="","",N(R216)+N(S216)+N(T216))</f>
        <v/>
      </c>
      <c r="V216" s="27">
        <f>IF(C216="","",H216-U216)</f>
        <v/>
      </c>
      <c r="W216" s="29">
        <f>IFERROR(V216/H216,"")</f>
        <v/>
      </c>
      <c r="X216" s="24" t="n"/>
    </row>
    <row r="217" ht="15" customHeight="1">
      <c r="A217" s="68">
        <f>IF(C217="","",IFERROR(IF(SUMPRODUCT(MAX((tbl_Finance[Job Number]=C217&amp;"")*(tbl_Finance[Xero Invoice No]&lt;&gt;"")*tbl_Finance[Date]))=0,"",SUMPRODUCT(MAX((tbl_Finance[Job Number]=C217&amp;"")*(tbl_Finance[Xero Invoice No]&lt;&gt;"")*tbl_Finance[Date]))),""))</f>
        <v/>
      </c>
      <c r="B217" s="25">
        <f>IF(C217="","",IF(COUNTIFS(tbl_Finance[Job Number],C217&amp;"",tbl_Finance[Xero Invoice No],"&lt;&gt;")=0,"",IFERROR(IF(COUNTIFS(tbl_Finance[Job Number],C217&amp;"",tbl_Finance[Xero Invoice No],LOOKUP(2,1/((tbl_Finance[Job Number]=C217&amp;"")*(tbl_Finance[Xero Invoice No]&lt;&gt;"")),tbl_Finance[Xero Invoice No]))=COUNTIFS(tbl_Finance[Job Number],C217&amp;"",tbl_Finance[Xero Invoice No],"&lt;&gt;"),LOOKUP(2,1/((tbl_Finance[Job Number]=C217&amp;"")*(tbl_Finance[Xero Invoice No]&lt;&gt;"")),tbl_Finance[Xero Invoice No]),LOOKUP(2,1/((tbl_Finance[Job Number]=C217&amp;"")*(tbl_Finance[Xero Invoice No]&lt;&gt;"")),tbl_Finance[Xero Invoice No])&amp;" +more"),"")))</f>
        <v/>
      </c>
      <c r="C217" s="24" t="n"/>
      <c r="D217" s="25">
        <f>IF(C217="","",IF(COUNTIF(lst_Jobs,C217&amp;"")&gt;0,"OK","CHECK"))</f>
        <v/>
      </c>
      <c r="E217" s="25">
        <f>IF(C217="","",IFERROR(INDEX(lst_JobName,MATCH(C217&amp;"",lst_Jobs,0)),""))</f>
        <v/>
      </c>
      <c r="F217" s="25">
        <f>IF(C217="","",IFERROR(INDEX(tbl_Finance[Client],MATCH(C217&amp;"",tbl_Finance[Job Number],0)),""))</f>
        <v/>
      </c>
      <c r="G217" s="28">
        <f>IF(C217="","",COUNTIFS(tbl_Finance[Job Number],C217&amp;"",tbl_Finance[Ex GST],"&lt;&gt;"))</f>
        <v/>
      </c>
      <c r="H217" s="27">
        <f>IF(C217="","",SUMIFS(tbl_Finance[Ex GST],tbl_Finance[Job Number],C217&amp;""))</f>
        <v/>
      </c>
      <c r="I217" s="27">
        <f>IF(C217="","",SUMIFS(tbl_Finance[Ex GST],tbl_Finance[Job Number],C217&amp;"",tbl_Finance[Xero Invoice No],"&lt;&gt;"))</f>
        <v/>
      </c>
      <c r="J217" s="27">
        <f>IF(C217="","",H217-I217)</f>
        <v/>
      </c>
      <c r="K217" s="25">
        <f>IF(C217="","",IF(G217=0,"not invoiced yet",SUBSTITUTE(TRIM(IF(COUNTIFS(tbl_Finance[Job Number],C217&amp;"",tbl_Finance[Cost Centre],"ONSITE")&gt;0,"ONSITE ","")&amp;IF(COUNTIFS(tbl_Finance[Job Number],C217&amp;"",tbl_Finance[Cost Centre],"PRODUCTION")&gt;0,"PRODUCTION ","")&amp;IF(COUNTIFS(tbl_Finance[Job Number],C217&amp;"",tbl_Finance[Cost Centre],"VIDEO")&gt;0,"VIDEO ","")&amp;IF(COUNTIFS(tbl_Finance[Job Number],C217&amp;"",tbl_Finance[Cost Centre],"INTEGRATION")&gt;0,"INTEGRATION ","")&amp;IF(COUNTIFS(tbl_Finance[Job Number],C217&amp;"",tbl_Finance[Cost Centre],"CONSULTING")&gt;0,"CONSULTING ","")&amp;IF(COUNTIFS(tbl_Finance[Job Number],C217&amp;"",tbl_Finance[Cost Centre],"CTS")&gt;0,"CTS ",""))," ",", ")))</f>
        <v/>
      </c>
      <c r="L217" s="24" t="n"/>
      <c r="M217" s="25">
        <f>IF(L217="","",HYPERLINK(IF(LEFT(L217,4)="http",L217,set_QwilrBase&amp;L217),"Open quote"))</f>
        <v/>
      </c>
      <c r="N217" s="26" t="n"/>
      <c r="O217" s="26" t="n"/>
      <c r="P217" s="26" t="n"/>
      <c r="Q217" s="25">
        <f>IF(C217="","",IF(N(N217)+N(O217)+N(P217)=0,"Not split",IF(ROUND(N(N217)+N(O217)+N(P217),2)=ROUND(H217,2),"OK","MISMATCH")))</f>
        <v/>
      </c>
      <c r="R217" s="26" t="n"/>
      <c r="S217" s="26" t="n"/>
      <c r="T217" s="26" t="n"/>
      <c r="U217" s="27">
        <f>IF(C217="","",N(R217)+N(S217)+N(T217))</f>
        <v/>
      </c>
      <c r="V217" s="27">
        <f>IF(C217="","",H217-U217)</f>
        <v/>
      </c>
      <c r="W217" s="29">
        <f>IFERROR(V217/H217,"")</f>
        <v/>
      </c>
      <c r="X217" s="24" t="n"/>
    </row>
    <row r="218" ht="15" customHeight="1">
      <c r="A218" s="68">
        <f>IF(C218="","",IFERROR(IF(SUMPRODUCT(MAX((tbl_Finance[Job Number]=C218&amp;"")*(tbl_Finance[Xero Invoice No]&lt;&gt;"")*tbl_Finance[Date]))=0,"",SUMPRODUCT(MAX((tbl_Finance[Job Number]=C218&amp;"")*(tbl_Finance[Xero Invoice No]&lt;&gt;"")*tbl_Finance[Date]))),""))</f>
        <v/>
      </c>
      <c r="B218" s="25">
        <f>IF(C218="","",IF(COUNTIFS(tbl_Finance[Job Number],C218&amp;"",tbl_Finance[Xero Invoice No],"&lt;&gt;")=0,"",IFERROR(IF(COUNTIFS(tbl_Finance[Job Number],C218&amp;"",tbl_Finance[Xero Invoice No],LOOKUP(2,1/((tbl_Finance[Job Number]=C218&amp;"")*(tbl_Finance[Xero Invoice No]&lt;&gt;"")),tbl_Finance[Xero Invoice No]))=COUNTIFS(tbl_Finance[Job Number],C218&amp;"",tbl_Finance[Xero Invoice No],"&lt;&gt;"),LOOKUP(2,1/((tbl_Finance[Job Number]=C218&amp;"")*(tbl_Finance[Xero Invoice No]&lt;&gt;"")),tbl_Finance[Xero Invoice No]),LOOKUP(2,1/((tbl_Finance[Job Number]=C218&amp;"")*(tbl_Finance[Xero Invoice No]&lt;&gt;"")),tbl_Finance[Xero Invoice No])&amp;" +more"),"")))</f>
        <v/>
      </c>
      <c r="C218" s="24" t="n"/>
      <c r="D218" s="25">
        <f>IF(C218="","",IF(COUNTIF(lst_Jobs,C218&amp;"")&gt;0,"OK","CHECK"))</f>
        <v/>
      </c>
      <c r="E218" s="25">
        <f>IF(C218="","",IFERROR(INDEX(lst_JobName,MATCH(C218&amp;"",lst_Jobs,0)),""))</f>
        <v/>
      </c>
      <c r="F218" s="25">
        <f>IF(C218="","",IFERROR(INDEX(tbl_Finance[Client],MATCH(C218&amp;"",tbl_Finance[Job Number],0)),""))</f>
        <v/>
      </c>
      <c r="G218" s="28">
        <f>IF(C218="","",COUNTIFS(tbl_Finance[Job Number],C218&amp;"",tbl_Finance[Ex GST],"&lt;&gt;"))</f>
        <v/>
      </c>
      <c r="H218" s="27">
        <f>IF(C218="","",SUMIFS(tbl_Finance[Ex GST],tbl_Finance[Job Number],C218&amp;""))</f>
        <v/>
      </c>
      <c r="I218" s="27">
        <f>IF(C218="","",SUMIFS(tbl_Finance[Ex GST],tbl_Finance[Job Number],C218&amp;"",tbl_Finance[Xero Invoice No],"&lt;&gt;"))</f>
        <v/>
      </c>
      <c r="J218" s="27">
        <f>IF(C218="","",H218-I218)</f>
        <v/>
      </c>
      <c r="K218" s="25">
        <f>IF(C218="","",IF(G218=0,"not invoiced yet",SUBSTITUTE(TRIM(IF(COUNTIFS(tbl_Finance[Job Number],C218&amp;"",tbl_Finance[Cost Centre],"ONSITE")&gt;0,"ONSITE ","")&amp;IF(COUNTIFS(tbl_Finance[Job Number],C218&amp;"",tbl_Finance[Cost Centre],"PRODUCTION")&gt;0,"PRODUCTION ","")&amp;IF(COUNTIFS(tbl_Finance[Job Number],C218&amp;"",tbl_Finance[Cost Centre],"VIDEO")&gt;0,"VIDEO ","")&amp;IF(COUNTIFS(tbl_Finance[Job Number],C218&amp;"",tbl_Finance[Cost Centre],"INTEGRATION")&gt;0,"INTEGRATION ","")&amp;IF(COUNTIFS(tbl_Finance[Job Number],C218&amp;"",tbl_Finance[Cost Centre],"CONSULTING")&gt;0,"CONSULTING ","")&amp;IF(COUNTIFS(tbl_Finance[Job Number],C218&amp;"",tbl_Finance[Cost Centre],"CTS")&gt;0,"CTS ",""))," ",", ")))</f>
        <v/>
      </c>
      <c r="L218" s="24" t="n"/>
      <c r="M218" s="25">
        <f>IF(L218="","",HYPERLINK(IF(LEFT(L218,4)="http",L218,set_QwilrBase&amp;L218),"Open quote"))</f>
        <v/>
      </c>
      <c r="N218" s="26" t="n"/>
      <c r="O218" s="26" t="n"/>
      <c r="P218" s="26" t="n"/>
      <c r="Q218" s="25">
        <f>IF(C218="","",IF(N(N218)+N(O218)+N(P218)=0,"Not split",IF(ROUND(N(N218)+N(O218)+N(P218),2)=ROUND(H218,2),"OK","MISMATCH")))</f>
        <v/>
      </c>
      <c r="R218" s="26" t="n"/>
      <c r="S218" s="26" t="n"/>
      <c r="T218" s="26" t="n"/>
      <c r="U218" s="27">
        <f>IF(C218="","",N(R218)+N(S218)+N(T218))</f>
        <v/>
      </c>
      <c r="V218" s="27">
        <f>IF(C218="","",H218-U218)</f>
        <v/>
      </c>
      <c r="W218" s="29">
        <f>IFERROR(V218/H218,"")</f>
        <v/>
      </c>
      <c r="X218" s="24" t="n"/>
    </row>
    <row r="219" ht="15" customHeight="1">
      <c r="A219" s="68">
        <f>IF(C219="","",IFERROR(IF(SUMPRODUCT(MAX((tbl_Finance[Job Number]=C219&amp;"")*(tbl_Finance[Xero Invoice No]&lt;&gt;"")*tbl_Finance[Date]))=0,"",SUMPRODUCT(MAX((tbl_Finance[Job Number]=C219&amp;"")*(tbl_Finance[Xero Invoice No]&lt;&gt;"")*tbl_Finance[Date]))),""))</f>
        <v/>
      </c>
      <c r="B219" s="25">
        <f>IF(C219="","",IF(COUNTIFS(tbl_Finance[Job Number],C219&amp;"",tbl_Finance[Xero Invoice No],"&lt;&gt;")=0,"",IFERROR(IF(COUNTIFS(tbl_Finance[Job Number],C219&amp;"",tbl_Finance[Xero Invoice No],LOOKUP(2,1/((tbl_Finance[Job Number]=C219&amp;"")*(tbl_Finance[Xero Invoice No]&lt;&gt;"")),tbl_Finance[Xero Invoice No]))=COUNTIFS(tbl_Finance[Job Number],C219&amp;"",tbl_Finance[Xero Invoice No],"&lt;&gt;"),LOOKUP(2,1/((tbl_Finance[Job Number]=C219&amp;"")*(tbl_Finance[Xero Invoice No]&lt;&gt;"")),tbl_Finance[Xero Invoice No]),LOOKUP(2,1/((tbl_Finance[Job Number]=C219&amp;"")*(tbl_Finance[Xero Invoice No]&lt;&gt;"")),tbl_Finance[Xero Invoice No])&amp;" +more"),"")))</f>
        <v/>
      </c>
      <c r="C219" s="24" t="n"/>
      <c r="D219" s="25">
        <f>IF(C219="","",IF(COUNTIF(lst_Jobs,C219&amp;"")&gt;0,"OK","CHECK"))</f>
        <v/>
      </c>
      <c r="E219" s="25">
        <f>IF(C219="","",IFERROR(INDEX(lst_JobName,MATCH(C219&amp;"",lst_Jobs,0)),""))</f>
        <v/>
      </c>
      <c r="F219" s="25">
        <f>IF(C219="","",IFERROR(INDEX(tbl_Finance[Client],MATCH(C219&amp;"",tbl_Finance[Job Number],0)),""))</f>
        <v/>
      </c>
      <c r="G219" s="28">
        <f>IF(C219="","",COUNTIFS(tbl_Finance[Job Number],C219&amp;"",tbl_Finance[Ex GST],"&lt;&gt;"))</f>
        <v/>
      </c>
      <c r="H219" s="27">
        <f>IF(C219="","",SUMIFS(tbl_Finance[Ex GST],tbl_Finance[Job Number],C219&amp;""))</f>
        <v/>
      </c>
      <c r="I219" s="27">
        <f>IF(C219="","",SUMIFS(tbl_Finance[Ex GST],tbl_Finance[Job Number],C219&amp;"",tbl_Finance[Xero Invoice No],"&lt;&gt;"))</f>
        <v/>
      </c>
      <c r="J219" s="27">
        <f>IF(C219="","",H219-I219)</f>
        <v/>
      </c>
      <c r="K219" s="25">
        <f>IF(C219="","",IF(G219=0,"not invoiced yet",SUBSTITUTE(TRIM(IF(COUNTIFS(tbl_Finance[Job Number],C219&amp;"",tbl_Finance[Cost Centre],"ONSITE")&gt;0,"ONSITE ","")&amp;IF(COUNTIFS(tbl_Finance[Job Number],C219&amp;"",tbl_Finance[Cost Centre],"PRODUCTION")&gt;0,"PRODUCTION ","")&amp;IF(COUNTIFS(tbl_Finance[Job Number],C219&amp;"",tbl_Finance[Cost Centre],"VIDEO")&gt;0,"VIDEO ","")&amp;IF(COUNTIFS(tbl_Finance[Job Number],C219&amp;"",tbl_Finance[Cost Centre],"INTEGRATION")&gt;0,"INTEGRATION ","")&amp;IF(COUNTIFS(tbl_Finance[Job Number],C219&amp;"",tbl_Finance[Cost Centre],"CONSULTING")&gt;0,"CONSULTING ","")&amp;IF(COUNTIFS(tbl_Finance[Job Number],C219&amp;"",tbl_Finance[Cost Centre],"CTS")&gt;0,"CTS ",""))," ",", ")))</f>
        <v/>
      </c>
      <c r="L219" s="24" t="n"/>
      <c r="M219" s="25">
        <f>IF(L219="","",HYPERLINK(IF(LEFT(L219,4)="http",L219,set_QwilrBase&amp;L219),"Open quote"))</f>
        <v/>
      </c>
      <c r="N219" s="26" t="n"/>
      <c r="O219" s="26" t="n"/>
      <c r="P219" s="26" t="n"/>
      <c r="Q219" s="25">
        <f>IF(C219="","",IF(N(N219)+N(O219)+N(P219)=0,"Not split",IF(ROUND(N(N219)+N(O219)+N(P219),2)=ROUND(H219,2),"OK","MISMATCH")))</f>
        <v/>
      </c>
      <c r="R219" s="26" t="n"/>
      <c r="S219" s="26" t="n"/>
      <c r="T219" s="26" t="n"/>
      <c r="U219" s="27">
        <f>IF(C219="","",N(R219)+N(S219)+N(T219))</f>
        <v/>
      </c>
      <c r="V219" s="27">
        <f>IF(C219="","",H219-U219)</f>
        <v/>
      </c>
      <c r="W219" s="29">
        <f>IFERROR(V219/H219,"")</f>
        <v/>
      </c>
      <c r="X219" s="24" t="n"/>
    </row>
    <row r="220" ht="15" customHeight="1">
      <c r="A220" s="68">
        <f>IF(C220="","",IFERROR(IF(SUMPRODUCT(MAX((tbl_Finance[Job Number]=C220&amp;"")*(tbl_Finance[Xero Invoice No]&lt;&gt;"")*tbl_Finance[Date]))=0,"",SUMPRODUCT(MAX((tbl_Finance[Job Number]=C220&amp;"")*(tbl_Finance[Xero Invoice No]&lt;&gt;"")*tbl_Finance[Date]))),""))</f>
        <v/>
      </c>
      <c r="B220" s="25">
        <f>IF(C220="","",IF(COUNTIFS(tbl_Finance[Job Number],C220&amp;"",tbl_Finance[Xero Invoice No],"&lt;&gt;")=0,"",IFERROR(IF(COUNTIFS(tbl_Finance[Job Number],C220&amp;"",tbl_Finance[Xero Invoice No],LOOKUP(2,1/((tbl_Finance[Job Number]=C220&amp;"")*(tbl_Finance[Xero Invoice No]&lt;&gt;"")),tbl_Finance[Xero Invoice No]))=COUNTIFS(tbl_Finance[Job Number],C220&amp;"",tbl_Finance[Xero Invoice No],"&lt;&gt;"),LOOKUP(2,1/((tbl_Finance[Job Number]=C220&amp;"")*(tbl_Finance[Xero Invoice No]&lt;&gt;"")),tbl_Finance[Xero Invoice No]),LOOKUP(2,1/((tbl_Finance[Job Number]=C220&amp;"")*(tbl_Finance[Xero Invoice No]&lt;&gt;"")),tbl_Finance[Xero Invoice No])&amp;" +more"),"")))</f>
        <v/>
      </c>
      <c r="C220" s="24" t="n"/>
      <c r="D220" s="25">
        <f>IF(C220="","",IF(COUNTIF(lst_Jobs,C220&amp;"")&gt;0,"OK","CHECK"))</f>
        <v/>
      </c>
      <c r="E220" s="25">
        <f>IF(C220="","",IFERROR(INDEX(lst_JobName,MATCH(C220&amp;"",lst_Jobs,0)),""))</f>
        <v/>
      </c>
      <c r="F220" s="25">
        <f>IF(C220="","",IFERROR(INDEX(tbl_Finance[Client],MATCH(C220&amp;"",tbl_Finance[Job Number],0)),""))</f>
        <v/>
      </c>
      <c r="G220" s="28">
        <f>IF(C220="","",COUNTIFS(tbl_Finance[Job Number],C220&amp;"",tbl_Finance[Ex GST],"&lt;&gt;"))</f>
        <v/>
      </c>
      <c r="H220" s="27">
        <f>IF(C220="","",SUMIFS(tbl_Finance[Ex GST],tbl_Finance[Job Number],C220&amp;""))</f>
        <v/>
      </c>
      <c r="I220" s="27">
        <f>IF(C220="","",SUMIFS(tbl_Finance[Ex GST],tbl_Finance[Job Number],C220&amp;"",tbl_Finance[Xero Invoice No],"&lt;&gt;"))</f>
        <v/>
      </c>
      <c r="J220" s="27">
        <f>IF(C220="","",H220-I220)</f>
        <v/>
      </c>
      <c r="K220" s="25">
        <f>IF(C220="","",IF(G220=0,"not invoiced yet",SUBSTITUTE(TRIM(IF(COUNTIFS(tbl_Finance[Job Number],C220&amp;"",tbl_Finance[Cost Centre],"ONSITE")&gt;0,"ONSITE ","")&amp;IF(COUNTIFS(tbl_Finance[Job Number],C220&amp;"",tbl_Finance[Cost Centre],"PRODUCTION")&gt;0,"PRODUCTION ","")&amp;IF(COUNTIFS(tbl_Finance[Job Number],C220&amp;"",tbl_Finance[Cost Centre],"VIDEO")&gt;0,"VIDEO ","")&amp;IF(COUNTIFS(tbl_Finance[Job Number],C220&amp;"",tbl_Finance[Cost Centre],"INTEGRATION")&gt;0,"INTEGRATION ","")&amp;IF(COUNTIFS(tbl_Finance[Job Number],C220&amp;"",tbl_Finance[Cost Centre],"CONSULTING")&gt;0,"CONSULTING ","")&amp;IF(COUNTIFS(tbl_Finance[Job Number],C220&amp;"",tbl_Finance[Cost Centre],"CTS")&gt;0,"CTS ",""))," ",", ")))</f>
        <v/>
      </c>
      <c r="L220" s="24" t="n"/>
      <c r="M220" s="25">
        <f>IF(L220="","",HYPERLINK(IF(LEFT(L220,4)="http",L220,set_QwilrBase&amp;L220),"Open quote"))</f>
        <v/>
      </c>
      <c r="N220" s="26" t="n"/>
      <c r="O220" s="26" t="n"/>
      <c r="P220" s="26" t="n"/>
      <c r="Q220" s="25">
        <f>IF(C220="","",IF(N(N220)+N(O220)+N(P220)=0,"Not split",IF(ROUND(N(N220)+N(O220)+N(P220),2)=ROUND(H220,2),"OK","MISMATCH")))</f>
        <v/>
      </c>
      <c r="R220" s="26" t="n"/>
      <c r="S220" s="26" t="n"/>
      <c r="T220" s="26" t="n"/>
      <c r="U220" s="27">
        <f>IF(C220="","",N(R220)+N(S220)+N(T220))</f>
        <v/>
      </c>
      <c r="V220" s="27">
        <f>IF(C220="","",H220-U220)</f>
        <v/>
      </c>
      <c r="W220" s="29">
        <f>IFERROR(V220/H220,"")</f>
        <v/>
      </c>
      <c r="X220" s="24" t="n"/>
    </row>
    <row r="221" ht="15" customHeight="1">
      <c r="A221" s="68">
        <f>IF(C221="","",IFERROR(IF(SUMPRODUCT(MAX((tbl_Finance[Job Number]=C221&amp;"")*(tbl_Finance[Xero Invoice No]&lt;&gt;"")*tbl_Finance[Date]))=0,"",SUMPRODUCT(MAX((tbl_Finance[Job Number]=C221&amp;"")*(tbl_Finance[Xero Invoice No]&lt;&gt;"")*tbl_Finance[Date]))),""))</f>
        <v/>
      </c>
      <c r="B221" s="25">
        <f>IF(C221="","",IF(COUNTIFS(tbl_Finance[Job Number],C221&amp;"",tbl_Finance[Xero Invoice No],"&lt;&gt;")=0,"",IFERROR(IF(COUNTIFS(tbl_Finance[Job Number],C221&amp;"",tbl_Finance[Xero Invoice No],LOOKUP(2,1/((tbl_Finance[Job Number]=C221&amp;"")*(tbl_Finance[Xero Invoice No]&lt;&gt;"")),tbl_Finance[Xero Invoice No]))=COUNTIFS(tbl_Finance[Job Number],C221&amp;"",tbl_Finance[Xero Invoice No],"&lt;&gt;"),LOOKUP(2,1/((tbl_Finance[Job Number]=C221&amp;"")*(tbl_Finance[Xero Invoice No]&lt;&gt;"")),tbl_Finance[Xero Invoice No]),LOOKUP(2,1/((tbl_Finance[Job Number]=C221&amp;"")*(tbl_Finance[Xero Invoice No]&lt;&gt;"")),tbl_Finance[Xero Invoice No])&amp;" +more"),"")))</f>
        <v/>
      </c>
      <c r="C221" s="24" t="n"/>
      <c r="D221" s="25">
        <f>IF(C221="","",IF(COUNTIF(lst_Jobs,C221&amp;"")&gt;0,"OK","CHECK"))</f>
        <v/>
      </c>
      <c r="E221" s="25">
        <f>IF(C221="","",IFERROR(INDEX(lst_JobName,MATCH(C221&amp;"",lst_Jobs,0)),""))</f>
        <v/>
      </c>
      <c r="F221" s="25">
        <f>IF(C221="","",IFERROR(INDEX(tbl_Finance[Client],MATCH(C221&amp;"",tbl_Finance[Job Number],0)),""))</f>
        <v/>
      </c>
      <c r="G221" s="28">
        <f>IF(C221="","",COUNTIFS(tbl_Finance[Job Number],C221&amp;"",tbl_Finance[Ex GST],"&lt;&gt;"))</f>
        <v/>
      </c>
      <c r="H221" s="27">
        <f>IF(C221="","",SUMIFS(tbl_Finance[Ex GST],tbl_Finance[Job Number],C221&amp;""))</f>
        <v/>
      </c>
      <c r="I221" s="27">
        <f>IF(C221="","",SUMIFS(tbl_Finance[Ex GST],tbl_Finance[Job Number],C221&amp;"",tbl_Finance[Xero Invoice No],"&lt;&gt;"))</f>
        <v/>
      </c>
      <c r="J221" s="27">
        <f>IF(C221="","",H221-I221)</f>
        <v/>
      </c>
      <c r="K221" s="25">
        <f>IF(C221="","",IF(G221=0,"not invoiced yet",SUBSTITUTE(TRIM(IF(COUNTIFS(tbl_Finance[Job Number],C221&amp;"",tbl_Finance[Cost Centre],"ONSITE")&gt;0,"ONSITE ","")&amp;IF(COUNTIFS(tbl_Finance[Job Number],C221&amp;"",tbl_Finance[Cost Centre],"PRODUCTION")&gt;0,"PRODUCTION ","")&amp;IF(COUNTIFS(tbl_Finance[Job Number],C221&amp;"",tbl_Finance[Cost Centre],"VIDEO")&gt;0,"VIDEO ","")&amp;IF(COUNTIFS(tbl_Finance[Job Number],C221&amp;"",tbl_Finance[Cost Centre],"INTEGRATION")&gt;0,"INTEGRATION ","")&amp;IF(COUNTIFS(tbl_Finance[Job Number],C221&amp;"",tbl_Finance[Cost Centre],"CONSULTING")&gt;0,"CONSULTING ","")&amp;IF(COUNTIFS(tbl_Finance[Job Number],C221&amp;"",tbl_Finance[Cost Centre],"CTS")&gt;0,"CTS ",""))," ",", ")))</f>
        <v/>
      </c>
      <c r="L221" s="24" t="n"/>
      <c r="M221" s="25">
        <f>IF(L221="","",HYPERLINK(IF(LEFT(L221,4)="http",L221,set_QwilrBase&amp;L221),"Open quote"))</f>
        <v/>
      </c>
      <c r="N221" s="26" t="n"/>
      <c r="O221" s="26" t="n"/>
      <c r="P221" s="26" t="n"/>
      <c r="Q221" s="25">
        <f>IF(C221="","",IF(N(N221)+N(O221)+N(P221)=0,"Not split",IF(ROUND(N(N221)+N(O221)+N(P221),2)=ROUND(H221,2),"OK","MISMATCH")))</f>
        <v/>
      </c>
      <c r="R221" s="26" t="n"/>
      <c r="S221" s="26" t="n"/>
      <c r="T221" s="26" t="n"/>
      <c r="U221" s="27">
        <f>IF(C221="","",N(R221)+N(S221)+N(T221))</f>
        <v/>
      </c>
      <c r="V221" s="27">
        <f>IF(C221="","",H221-U221)</f>
        <v/>
      </c>
      <c r="W221" s="29">
        <f>IFERROR(V221/H221,"")</f>
        <v/>
      </c>
      <c r="X221" s="24" t="n"/>
    </row>
    <row r="222" ht="15" customHeight="1">
      <c r="A222" s="68">
        <f>IF(C222="","",IFERROR(IF(SUMPRODUCT(MAX((tbl_Finance[Job Number]=C222&amp;"")*(tbl_Finance[Xero Invoice No]&lt;&gt;"")*tbl_Finance[Date]))=0,"",SUMPRODUCT(MAX((tbl_Finance[Job Number]=C222&amp;"")*(tbl_Finance[Xero Invoice No]&lt;&gt;"")*tbl_Finance[Date]))),""))</f>
        <v/>
      </c>
      <c r="B222" s="25">
        <f>IF(C222="","",IF(COUNTIFS(tbl_Finance[Job Number],C222&amp;"",tbl_Finance[Xero Invoice No],"&lt;&gt;")=0,"",IFERROR(IF(COUNTIFS(tbl_Finance[Job Number],C222&amp;"",tbl_Finance[Xero Invoice No],LOOKUP(2,1/((tbl_Finance[Job Number]=C222&amp;"")*(tbl_Finance[Xero Invoice No]&lt;&gt;"")),tbl_Finance[Xero Invoice No]))=COUNTIFS(tbl_Finance[Job Number],C222&amp;"",tbl_Finance[Xero Invoice No],"&lt;&gt;"),LOOKUP(2,1/((tbl_Finance[Job Number]=C222&amp;"")*(tbl_Finance[Xero Invoice No]&lt;&gt;"")),tbl_Finance[Xero Invoice No]),LOOKUP(2,1/((tbl_Finance[Job Number]=C222&amp;"")*(tbl_Finance[Xero Invoice No]&lt;&gt;"")),tbl_Finance[Xero Invoice No])&amp;" +more"),"")))</f>
        <v/>
      </c>
      <c r="C222" s="24" t="n"/>
      <c r="D222" s="25">
        <f>IF(C222="","",IF(COUNTIF(lst_Jobs,C222&amp;"")&gt;0,"OK","CHECK"))</f>
        <v/>
      </c>
      <c r="E222" s="25">
        <f>IF(C222="","",IFERROR(INDEX(lst_JobName,MATCH(C222&amp;"",lst_Jobs,0)),""))</f>
        <v/>
      </c>
      <c r="F222" s="25">
        <f>IF(C222="","",IFERROR(INDEX(tbl_Finance[Client],MATCH(C222&amp;"",tbl_Finance[Job Number],0)),""))</f>
        <v/>
      </c>
      <c r="G222" s="28">
        <f>IF(C222="","",COUNTIFS(tbl_Finance[Job Number],C222&amp;"",tbl_Finance[Ex GST],"&lt;&gt;"))</f>
        <v/>
      </c>
      <c r="H222" s="27">
        <f>IF(C222="","",SUMIFS(tbl_Finance[Ex GST],tbl_Finance[Job Number],C222&amp;""))</f>
        <v/>
      </c>
      <c r="I222" s="27">
        <f>IF(C222="","",SUMIFS(tbl_Finance[Ex GST],tbl_Finance[Job Number],C222&amp;"",tbl_Finance[Xero Invoice No],"&lt;&gt;"))</f>
        <v/>
      </c>
      <c r="J222" s="27">
        <f>IF(C222="","",H222-I222)</f>
        <v/>
      </c>
      <c r="K222" s="25">
        <f>IF(C222="","",IF(G222=0,"not invoiced yet",SUBSTITUTE(TRIM(IF(COUNTIFS(tbl_Finance[Job Number],C222&amp;"",tbl_Finance[Cost Centre],"ONSITE")&gt;0,"ONSITE ","")&amp;IF(COUNTIFS(tbl_Finance[Job Number],C222&amp;"",tbl_Finance[Cost Centre],"PRODUCTION")&gt;0,"PRODUCTION ","")&amp;IF(COUNTIFS(tbl_Finance[Job Number],C222&amp;"",tbl_Finance[Cost Centre],"VIDEO")&gt;0,"VIDEO ","")&amp;IF(COUNTIFS(tbl_Finance[Job Number],C222&amp;"",tbl_Finance[Cost Centre],"INTEGRATION")&gt;0,"INTEGRATION ","")&amp;IF(COUNTIFS(tbl_Finance[Job Number],C222&amp;"",tbl_Finance[Cost Centre],"CONSULTING")&gt;0,"CONSULTING ","")&amp;IF(COUNTIFS(tbl_Finance[Job Number],C222&amp;"",tbl_Finance[Cost Centre],"CTS")&gt;0,"CTS ",""))," ",", ")))</f>
        <v/>
      </c>
      <c r="L222" s="24" t="n"/>
      <c r="M222" s="25">
        <f>IF(L222="","",HYPERLINK(IF(LEFT(L222,4)="http",L222,set_QwilrBase&amp;L222),"Open quote"))</f>
        <v/>
      </c>
      <c r="N222" s="26" t="n"/>
      <c r="O222" s="26" t="n"/>
      <c r="P222" s="26" t="n"/>
      <c r="Q222" s="25">
        <f>IF(C222="","",IF(N(N222)+N(O222)+N(P222)=0,"Not split",IF(ROUND(N(N222)+N(O222)+N(P222),2)=ROUND(H222,2),"OK","MISMATCH")))</f>
        <v/>
      </c>
      <c r="R222" s="26" t="n"/>
      <c r="S222" s="26" t="n"/>
      <c r="T222" s="26" t="n"/>
      <c r="U222" s="27">
        <f>IF(C222="","",N(R222)+N(S222)+N(T222))</f>
        <v/>
      </c>
      <c r="V222" s="27">
        <f>IF(C222="","",H222-U222)</f>
        <v/>
      </c>
      <c r="W222" s="29">
        <f>IFERROR(V222/H222,"")</f>
        <v/>
      </c>
      <c r="X222" s="24" t="n"/>
    </row>
    <row r="223" ht="15" customHeight="1">
      <c r="A223" s="68">
        <f>IF(C223="","",IFERROR(IF(SUMPRODUCT(MAX((tbl_Finance[Job Number]=C223&amp;"")*(tbl_Finance[Xero Invoice No]&lt;&gt;"")*tbl_Finance[Date]))=0,"",SUMPRODUCT(MAX((tbl_Finance[Job Number]=C223&amp;"")*(tbl_Finance[Xero Invoice No]&lt;&gt;"")*tbl_Finance[Date]))),""))</f>
        <v/>
      </c>
      <c r="B223" s="25">
        <f>IF(C223="","",IF(COUNTIFS(tbl_Finance[Job Number],C223&amp;"",tbl_Finance[Xero Invoice No],"&lt;&gt;")=0,"",IFERROR(IF(COUNTIFS(tbl_Finance[Job Number],C223&amp;"",tbl_Finance[Xero Invoice No],LOOKUP(2,1/((tbl_Finance[Job Number]=C223&amp;"")*(tbl_Finance[Xero Invoice No]&lt;&gt;"")),tbl_Finance[Xero Invoice No]))=COUNTIFS(tbl_Finance[Job Number],C223&amp;"",tbl_Finance[Xero Invoice No],"&lt;&gt;"),LOOKUP(2,1/((tbl_Finance[Job Number]=C223&amp;"")*(tbl_Finance[Xero Invoice No]&lt;&gt;"")),tbl_Finance[Xero Invoice No]),LOOKUP(2,1/((tbl_Finance[Job Number]=C223&amp;"")*(tbl_Finance[Xero Invoice No]&lt;&gt;"")),tbl_Finance[Xero Invoice No])&amp;" +more"),"")))</f>
        <v/>
      </c>
      <c r="C223" s="24" t="n"/>
      <c r="D223" s="25">
        <f>IF(C223="","",IF(COUNTIF(lst_Jobs,C223&amp;"")&gt;0,"OK","CHECK"))</f>
        <v/>
      </c>
      <c r="E223" s="25">
        <f>IF(C223="","",IFERROR(INDEX(lst_JobName,MATCH(C223&amp;"",lst_Jobs,0)),""))</f>
        <v/>
      </c>
      <c r="F223" s="25">
        <f>IF(C223="","",IFERROR(INDEX(tbl_Finance[Client],MATCH(C223&amp;"",tbl_Finance[Job Number],0)),""))</f>
        <v/>
      </c>
      <c r="G223" s="28">
        <f>IF(C223="","",COUNTIFS(tbl_Finance[Job Number],C223&amp;"",tbl_Finance[Ex GST],"&lt;&gt;"))</f>
        <v/>
      </c>
      <c r="H223" s="27">
        <f>IF(C223="","",SUMIFS(tbl_Finance[Ex GST],tbl_Finance[Job Number],C223&amp;""))</f>
        <v/>
      </c>
      <c r="I223" s="27">
        <f>IF(C223="","",SUMIFS(tbl_Finance[Ex GST],tbl_Finance[Job Number],C223&amp;"",tbl_Finance[Xero Invoice No],"&lt;&gt;"))</f>
        <v/>
      </c>
      <c r="J223" s="27">
        <f>IF(C223="","",H223-I223)</f>
        <v/>
      </c>
      <c r="K223" s="25">
        <f>IF(C223="","",IF(G223=0,"not invoiced yet",SUBSTITUTE(TRIM(IF(COUNTIFS(tbl_Finance[Job Number],C223&amp;"",tbl_Finance[Cost Centre],"ONSITE")&gt;0,"ONSITE ","")&amp;IF(COUNTIFS(tbl_Finance[Job Number],C223&amp;"",tbl_Finance[Cost Centre],"PRODUCTION")&gt;0,"PRODUCTION ","")&amp;IF(COUNTIFS(tbl_Finance[Job Number],C223&amp;"",tbl_Finance[Cost Centre],"VIDEO")&gt;0,"VIDEO ","")&amp;IF(COUNTIFS(tbl_Finance[Job Number],C223&amp;"",tbl_Finance[Cost Centre],"INTEGRATION")&gt;0,"INTEGRATION ","")&amp;IF(COUNTIFS(tbl_Finance[Job Number],C223&amp;"",tbl_Finance[Cost Centre],"CONSULTING")&gt;0,"CONSULTING ","")&amp;IF(COUNTIFS(tbl_Finance[Job Number],C223&amp;"",tbl_Finance[Cost Centre],"CTS")&gt;0,"CTS ",""))," ",", ")))</f>
        <v/>
      </c>
      <c r="L223" s="24" t="n"/>
      <c r="M223" s="25">
        <f>IF(L223="","",HYPERLINK(IF(LEFT(L223,4)="http",L223,set_QwilrBase&amp;L223),"Open quote"))</f>
        <v/>
      </c>
      <c r="N223" s="26" t="n"/>
      <c r="O223" s="26" t="n"/>
      <c r="P223" s="26" t="n"/>
      <c r="Q223" s="25">
        <f>IF(C223="","",IF(N(N223)+N(O223)+N(P223)=0,"Not split",IF(ROUND(N(N223)+N(O223)+N(P223),2)=ROUND(H223,2),"OK","MISMATCH")))</f>
        <v/>
      </c>
      <c r="R223" s="26" t="n"/>
      <c r="S223" s="26" t="n"/>
      <c r="T223" s="26" t="n"/>
      <c r="U223" s="27">
        <f>IF(C223="","",N(R223)+N(S223)+N(T223))</f>
        <v/>
      </c>
      <c r="V223" s="27">
        <f>IF(C223="","",H223-U223)</f>
        <v/>
      </c>
      <c r="W223" s="29">
        <f>IFERROR(V223/H223,"")</f>
        <v/>
      </c>
      <c r="X223" s="24" t="n"/>
    </row>
    <row r="224" ht="15" customHeight="1">
      <c r="A224" s="68">
        <f>IF(C224="","",IFERROR(IF(SUMPRODUCT(MAX((tbl_Finance[Job Number]=C224&amp;"")*(tbl_Finance[Xero Invoice No]&lt;&gt;"")*tbl_Finance[Date]))=0,"",SUMPRODUCT(MAX((tbl_Finance[Job Number]=C224&amp;"")*(tbl_Finance[Xero Invoice No]&lt;&gt;"")*tbl_Finance[Date]))),""))</f>
        <v/>
      </c>
      <c r="B224" s="25">
        <f>IF(C224="","",IF(COUNTIFS(tbl_Finance[Job Number],C224&amp;"",tbl_Finance[Xero Invoice No],"&lt;&gt;")=0,"",IFERROR(IF(COUNTIFS(tbl_Finance[Job Number],C224&amp;"",tbl_Finance[Xero Invoice No],LOOKUP(2,1/((tbl_Finance[Job Number]=C224&amp;"")*(tbl_Finance[Xero Invoice No]&lt;&gt;"")),tbl_Finance[Xero Invoice No]))=COUNTIFS(tbl_Finance[Job Number],C224&amp;"",tbl_Finance[Xero Invoice No],"&lt;&gt;"),LOOKUP(2,1/((tbl_Finance[Job Number]=C224&amp;"")*(tbl_Finance[Xero Invoice No]&lt;&gt;"")),tbl_Finance[Xero Invoice No]),LOOKUP(2,1/((tbl_Finance[Job Number]=C224&amp;"")*(tbl_Finance[Xero Invoice No]&lt;&gt;"")),tbl_Finance[Xero Invoice No])&amp;" +more"),"")))</f>
        <v/>
      </c>
      <c r="C224" s="24" t="n"/>
      <c r="D224" s="25">
        <f>IF(C224="","",IF(COUNTIF(lst_Jobs,C224&amp;"")&gt;0,"OK","CHECK"))</f>
        <v/>
      </c>
      <c r="E224" s="25">
        <f>IF(C224="","",IFERROR(INDEX(lst_JobName,MATCH(C224&amp;"",lst_Jobs,0)),""))</f>
        <v/>
      </c>
      <c r="F224" s="25">
        <f>IF(C224="","",IFERROR(INDEX(tbl_Finance[Client],MATCH(C224&amp;"",tbl_Finance[Job Number],0)),""))</f>
        <v/>
      </c>
      <c r="G224" s="28">
        <f>IF(C224="","",COUNTIFS(tbl_Finance[Job Number],C224&amp;"",tbl_Finance[Ex GST],"&lt;&gt;"))</f>
        <v/>
      </c>
      <c r="H224" s="27">
        <f>IF(C224="","",SUMIFS(tbl_Finance[Ex GST],tbl_Finance[Job Number],C224&amp;""))</f>
        <v/>
      </c>
      <c r="I224" s="27">
        <f>IF(C224="","",SUMIFS(tbl_Finance[Ex GST],tbl_Finance[Job Number],C224&amp;"",tbl_Finance[Xero Invoice No],"&lt;&gt;"))</f>
        <v/>
      </c>
      <c r="J224" s="27">
        <f>IF(C224="","",H224-I224)</f>
        <v/>
      </c>
      <c r="K224" s="25">
        <f>IF(C224="","",IF(G224=0,"not invoiced yet",SUBSTITUTE(TRIM(IF(COUNTIFS(tbl_Finance[Job Number],C224&amp;"",tbl_Finance[Cost Centre],"ONSITE")&gt;0,"ONSITE ","")&amp;IF(COUNTIFS(tbl_Finance[Job Number],C224&amp;"",tbl_Finance[Cost Centre],"PRODUCTION")&gt;0,"PRODUCTION ","")&amp;IF(COUNTIFS(tbl_Finance[Job Number],C224&amp;"",tbl_Finance[Cost Centre],"VIDEO")&gt;0,"VIDEO ","")&amp;IF(COUNTIFS(tbl_Finance[Job Number],C224&amp;"",tbl_Finance[Cost Centre],"INTEGRATION")&gt;0,"INTEGRATION ","")&amp;IF(COUNTIFS(tbl_Finance[Job Number],C224&amp;"",tbl_Finance[Cost Centre],"CONSULTING")&gt;0,"CONSULTING ","")&amp;IF(COUNTIFS(tbl_Finance[Job Number],C224&amp;"",tbl_Finance[Cost Centre],"CTS")&gt;0,"CTS ",""))," ",", ")))</f>
        <v/>
      </c>
      <c r="L224" s="24" t="n"/>
      <c r="M224" s="25">
        <f>IF(L224="","",HYPERLINK(IF(LEFT(L224,4)="http",L224,set_QwilrBase&amp;L224),"Open quote"))</f>
        <v/>
      </c>
      <c r="N224" s="26" t="n"/>
      <c r="O224" s="26" t="n"/>
      <c r="P224" s="26" t="n"/>
      <c r="Q224" s="25">
        <f>IF(C224="","",IF(N(N224)+N(O224)+N(P224)=0,"Not split",IF(ROUND(N(N224)+N(O224)+N(P224),2)=ROUND(H224,2),"OK","MISMATCH")))</f>
        <v/>
      </c>
      <c r="R224" s="26" t="n"/>
      <c r="S224" s="26" t="n"/>
      <c r="T224" s="26" t="n"/>
      <c r="U224" s="27">
        <f>IF(C224="","",N(R224)+N(S224)+N(T224))</f>
        <v/>
      </c>
      <c r="V224" s="27">
        <f>IF(C224="","",H224-U224)</f>
        <v/>
      </c>
      <c r="W224" s="29">
        <f>IFERROR(V224/H224,"")</f>
        <v/>
      </c>
      <c r="X224" s="24" t="n"/>
    </row>
    <row r="225" ht="15" customHeight="1">
      <c r="A225" s="68">
        <f>IF(C225="","",IFERROR(IF(SUMPRODUCT(MAX((tbl_Finance[Job Number]=C225&amp;"")*(tbl_Finance[Xero Invoice No]&lt;&gt;"")*tbl_Finance[Date]))=0,"",SUMPRODUCT(MAX((tbl_Finance[Job Number]=C225&amp;"")*(tbl_Finance[Xero Invoice No]&lt;&gt;"")*tbl_Finance[Date]))),""))</f>
        <v/>
      </c>
      <c r="B225" s="25">
        <f>IF(C225="","",IF(COUNTIFS(tbl_Finance[Job Number],C225&amp;"",tbl_Finance[Xero Invoice No],"&lt;&gt;")=0,"",IFERROR(IF(COUNTIFS(tbl_Finance[Job Number],C225&amp;"",tbl_Finance[Xero Invoice No],LOOKUP(2,1/((tbl_Finance[Job Number]=C225&amp;"")*(tbl_Finance[Xero Invoice No]&lt;&gt;"")),tbl_Finance[Xero Invoice No]))=COUNTIFS(tbl_Finance[Job Number],C225&amp;"",tbl_Finance[Xero Invoice No],"&lt;&gt;"),LOOKUP(2,1/((tbl_Finance[Job Number]=C225&amp;"")*(tbl_Finance[Xero Invoice No]&lt;&gt;"")),tbl_Finance[Xero Invoice No]),LOOKUP(2,1/((tbl_Finance[Job Number]=C225&amp;"")*(tbl_Finance[Xero Invoice No]&lt;&gt;"")),tbl_Finance[Xero Invoice No])&amp;" +more"),"")))</f>
        <v/>
      </c>
      <c r="C225" s="24" t="n"/>
      <c r="D225" s="25">
        <f>IF(C225="","",IF(COUNTIF(lst_Jobs,C225&amp;"")&gt;0,"OK","CHECK"))</f>
        <v/>
      </c>
      <c r="E225" s="25">
        <f>IF(C225="","",IFERROR(INDEX(lst_JobName,MATCH(C225&amp;"",lst_Jobs,0)),""))</f>
        <v/>
      </c>
      <c r="F225" s="25">
        <f>IF(C225="","",IFERROR(INDEX(tbl_Finance[Client],MATCH(C225&amp;"",tbl_Finance[Job Number],0)),""))</f>
        <v/>
      </c>
      <c r="G225" s="28">
        <f>IF(C225="","",COUNTIFS(tbl_Finance[Job Number],C225&amp;"",tbl_Finance[Ex GST],"&lt;&gt;"))</f>
        <v/>
      </c>
      <c r="H225" s="27">
        <f>IF(C225="","",SUMIFS(tbl_Finance[Ex GST],tbl_Finance[Job Number],C225&amp;""))</f>
        <v/>
      </c>
      <c r="I225" s="27">
        <f>IF(C225="","",SUMIFS(tbl_Finance[Ex GST],tbl_Finance[Job Number],C225&amp;"",tbl_Finance[Xero Invoice No],"&lt;&gt;"))</f>
        <v/>
      </c>
      <c r="J225" s="27">
        <f>IF(C225="","",H225-I225)</f>
        <v/>
      </c>
      <c r="K225" s="25">
        <f>IF(C225="","",IF(G225=0,"not invoiced yet",SUBSTITUTE(TRIM(IF(COUNTIFS(tbl_Finance[Job Number],C225&amp;"",tbl_Finance[Cost Centre],"ONSITE")&gt;0,"ONSITE ","")&amp;IF(COUNTIFS(tbl_Finance[Job Number],C225&amp;"",tbl_Finance[Cost Centre],"PRODUCTION")&gt;0,"PRODUCTION ","")&amp;IF(COUNTIFS(tbl_Finance[Job Number],C225&amp;"",tbl_Finance[Cost Centre],"VIDEO")&gt;0,"VIDEO ","")&amp;IF(COUNTIFS(tbl_Finance[Job Number],C225&amp;"",tbl_Finance[Cost Centre],"INTEGRATION")&gt;0,"INTEGRATION ","")&amp;IF(COUNTIFS(tbl_Finance[Job Number],C225&amp;"",tbl_Finance[Cost Centre],"CONSULTING")&gt;0,"CONSULTING ","")&amp;IF(COUNTIFS(tbl_Finance[Job Number],C225&amp;"",tbl_Finance[Cost Centre],"CTS")&gt;0,"CTS ",""))," ",", ")))</f>
        <v/>
      </c>
      <c r="L225" s="24" t="n"/>
      <c r="M225" s="25">
        <f>IF(L225="","",HYPERLINK(IF(LEFT(L225,4)="http",L225,set_QwilrBase&amp;L225),"Open quote"))</f>
        <v/>
      </c>
      <c r="N225" s="26" t="n"/>
      <c r="O225" s="26" t="n"/>
      <c r="P225" s="26" t="n"/>
      <c r="Q225" s="25">
        <f>IF(C225="","",IF(N(N225)+N(O225)+N(P225)=0,"Not split",IF(ROUND(N(N225)+N(O225)+N(P225),2)=ROUND(H225,2),"OK","MISMATCH")))</f>
        <v/>
      </c>
      <c r="R225" s="26" t="n"/>
      <c r="S225" s="26" t="n"/>
      <c r="T225" s="26" t="n"/>
      <c r="U225" s="27">
        <f>IF(C225="","",N(R225)+N(S225)+N(T225))</f>
        <v/>
      </c>
      <c r="V225" s="27">
        <f>IF(C225="","",H225-U225)</f>
        <v/>
      </c>
      <c r="W225" s="29">
        <f>IFERROR(V225/H225,"")</f>
        <v/>
      </c>
      <c r="X225" s="24" t="n"/>
    </row>
    <row r="226" ht="15" customHeight="1">
      <c r="A226" s="68">
        <f>IF(C226="","",IFERROR(IF(SUMPRODUCT(MAX((tbl_Finance[Job Number]=C226&amp;"")*(tbl_Finance[Xero Invoice No]&lt;&gt;"")*tbl_Finance[Date]))=0,"",SUMPRODUCT(MAX((tbl_Finance[Job Number]=C226&amp;"")*(tbl_Finance[Xero Invoice No]&lt;&gt;"")*tbl_Finance[Date]))),""))</f>
        <v/>
      </c>
      <c r="B226" s="25">
        <f>IF(C226="","",IF(COUNTIFS(tbl_Finance[Job Number],C226&amp;"",tbl_Finance[Xero Invoice No],"&lt;&gt;")=0,"",IFERROR(IF(COUNTIFS(tbl_Finance[Job Number],C226&amp;"",tbl_Finance[Xero Invoice No],LOOKUP(2,1/((tbl_Finance[Job Number]=C226&amp;"")*(tbl_Finance[Xero Invoice No]&lt;&gt;"")),tbl_Finance[Xero Invoice No]))=COUNTIFS(tbl_Finance[Job Number],C226&amp;"",tbl_Finance[Xero Invoice No],"&lt;&gt;"),LOOKUP(2,1/((tbl_Finance[Job Number]=C226&amp;"")*(tbl_Finance[Xero Invoice No]&lt;&gt;"")),tbl_Finance[Xero Invoice No]),LOOKUP(2,1/((tbl_Finance[Job Number]=C226&amp;"")*(tbl_Finance[Xero Invoice No]&lt;&gt;"")),tbl_Finance[Xero Invoice No])&amp;" +more"),"")))</f>
        <v/>
      </c>
      <c r="C226" s="24" t="n"/>
      <c r="D226" s="25">
        <f>IF(C226="","",IF(COUNTIF(lst_Jobs,C226&amp;"")&gt;0,"OK","CHECK"))</f>
        <v/>
      </c>
      <c r="E226" s="25">
        <f>IF(C226="","",IFERROR(INDEX(lst_JobName,MATCH(C226&amp;"",lst_Jobs,0)),""))</f>
        <v/>
      </c>
      <c r="F226" s="25">
        <f>IF(C226="","",IFERROR(INDEX(tbl_Finance[Client],MATCH(C226&amp;"",tbl_Finance[Job Number],0)),""))</f>
        <v/>
      </c>
      <c r="G226" s="28">
        <f>IF(C226="","",COUNTIFS(tbl_Finance[Job Number],C226&amp;"",tbl_Finance[Ex GST],"&lt;&gt;"))</f>
        <v/>
      </c>
      <c r="H226" s="27">
        <f>IF(C226="","",SUMIFS(tbl_Finance[Ex GST],tbl_Finance[Job Number],C226&amp;""))</f>
        <v/>
      </c>
      <c r="I226" s="27">
        <f>IF(C226="","",SUMIFS(tbl_Finance[Ex GST],tbl_Finance[Job Number],C226&amp;"",tbl_Finance[Xero Invoice No],"&lt;&gt;"))</f>
        <v/>
      </c>
      <c r="J226" s="27">
        <f>IF(C226="","",H226-I226)</f>
        <v/>
      </c>
      <c r="K226" s="25">
        <f>IF(C226="","",IF(G226=0,"not invoiced yet",SUBSTITUTE(TRIM(IF(COUNTIFS(tbl_Finance[Job Number],C226&amp;"",tbl_Finance[Cost Centre],"ONSITE")&gt;0,"ONSITE ","")&amp;IF(COUNTIFS(tbl_Finance[Job Number],C226&amp;"",tbl_Finance[Cost Centre],"PRODUCTION")&gt;0,"PRODUCTION ","")&amp;IF(COUNTIFS(tbl_Finance[Job Number],C226&amp;"",tbl_Finance[Cost Centre],"VIDEO")&gt;0,"VIDEO ","")&amp;IF(COUNTIFS(tbl_Finance[Job Number],C226&amp;"",tbl_Finance[Cost Centre],"INTEGRATION")&gt;0,"INTEGRATION ","")&amp;IF(COUNTIFS(tbl_Finance[Job Number],C226&amp;"",tbl_Finance[Cost Centre],"CONSULTING")&gt;0,"CONSULTING ","")&amp;IF(COUNTIFS(tbl_Finance[Job Number],C226&amp;"",tbl_Finance[Cost Centre],"CTS")&gt;0,"CTS ",""))," ",", ")))</f>
        <v/>
      </c>
      <c r="L226" s="24" t="n"/>
      <c r="M226" s="25">
        <f>IF(L226="","",HYPERLINK(IF(LEFT(L226,4)="http",L226,set_QwilrBase&amp;L226),"Open quote"))</f>
        <v/>
      </c>
      <c r="N226" s="26" t="n"/>
      <c r="O226" s="26" t="n"/>
      <c r="P226" s="26" t="n"/>
      <c r="Q226" s="25">
        <f>IF(C226="","",IF(N(N226)+N(O226)+N(P226)=0,"Not split",IF(ROUND(N(N226)+N(O226)+N(P226),2)=ROUND(H226,2),"OK","MISMATCH")))</f>
        <v/>
      </c>
      <c r="R226" s="26" t="n"/>
      <c r="S226" s="26" t="n"/>
      <c r="T226" s="26" t="n"/>
      <c r="U226" s="27">
        <f>IF(C226="","",N(R226)+N(S226)+N(T226))</f>
        <v/>
      </c>
      <c r="V226" s="27">
        <f>IF(C226="","",H226-U226)</f>
        <v/>
      </c>
      <c r="W226" s="29">
        <f>IFERROR(V226/H226,"")</f>
        <v/>
      </c>
      <c r="X226" s="24" t="n"/>
    </row>
    <row r="227" ht="15" customHeight="1">
      <c r="A227" s="68">
        <f>IF(C227="","",IFERROR(IF(SUMPRODUCT(MAX((tbl_Finance[Job Number]=C227&amp;"")*(tbl_Finance[Xero Invoice No]&lt;&gt;"")*tbl_Finance[Date]))=0,"",SUMPRODUCT(MAX((tbl_Finance[Job Number]=C227&amp;"")*(tbl_Finance[Xero Invoice No]&lt;&gt;"")*tbl_Finance[Date]))),""))</f>
        <v/>
      </c>
      <c r="B227" s="25">
        <f>IF(C227="","",IF(COUNTIFS(tbl_Finance[Job Number],C227&amp;"",tbl_Finance[Xero Invoice No],"&lt;&gt;")=0,"",IFERROR(IF(COUNTIFS(tbl_Finance[Job Number],C227&amp;"",tbl_Finance[Xero Invoice No],LOOKUP(2,1/((tbl_Finance[Job Number]=C227&amp;"")*(tbl_Finance[Xero Invoice No]&lt;&gt;"")),tbl_Finance[Xero Invoice No]))=COUNTIFS(tbl_Finance[Job Number],C227&amp;"",tbl_Finance[Xero Invoice No],"&lt;&gt;"),LOOKUP(2,1/((tbl_Finance[Job Number]=C227&amp;"")*(tbl_Finance[Xero Invoice No]&lt;&gt;"")),tbl_Finance[Xero Invoice No]),LOOKUP(2,1/((tbl_Finance[Job Number]=C227&amp;"")*(tbl_Finance[Xero Invoice No]&lt;&gt;"")),tbl_Finance[Xero Invoice No])&amp;" +more"),"")))</f>
        <v/>
      </c>
      <c r="C227" s="24" t="n"/>
      <c r="D227" s="25">
        <f>IF(C227="","",IF(COUNTIF(lst_Jobs,C227&amp;"")&gt;0,"OK","CHECK"))</f>
        <v/>
      </c>
      <c r="E227" s="25">
        <f>IF(C227="","",IFERROR(INDEX(lst_JobName,MATCH(C227&amp;"",lst_Jobs,0)),""))</f>
        <v/>
      </c>
      <c r="F227" s="25">
        <f>IF(C227="","",IFERROR(INDEX(tbl_Finance[Client],MATCH(C227&amp;"",tbl_Finance[Job Number],0)),""))</f>
        <v/>
      </c>
      <c r="G227" s="28">
        <f>IF(C227="","",COUNTIFS(tbl_Finance[Job Number],C227&amp;"",tbl_Finance[Ex GST],"&lt;&gt;"))</f>
        <v/>
      </c>
      <c r="H227" s="27">
        <f>IF(C227="","",SUMIFS(tbl_Finance[Ex GST],tbl_Finance[Job Number],C227&amp;""))</f>
        <v/>
      </c>
      <c r="I227" s="27">
        <f>IF(C227="","",SUMIFS(tbl_Finance[Ex GST],tbl_Finance[Job Number],C227&amp;"",tbl_Finance[Xero Invoice No],"&lt;&gt;"))</f>
        <v/>
      </c>
      <c r="J227" s="27">
        <f>IF(C227="","",H227-I227)</f>
        <v/>
      </c>
      <c r="K227" s="25">
        <f>IF(C227="","",IF(G227=0,"not invoiced yet",SUBSTITUTE(TRIM(IF(COUNTIFS(tbl_Finance[Job Number],C227&amp;"",tbl_Finance[Cost Centre],"ONSITE")&gt;0,"ONSITE ","")&amp;IF(COUNTIFS(tbl_Finance[Job Number],C227&amp;"",tbl_Finance[Cost Centre],"PRODUCTION")&gt;0,"PRODUCTION ","")&amp;IF(COUNTIFS(tbl_Finance[Job Number],C227&amp;"",tbl_Finance[Cost Centre],"VIDEO")&gt;0,"VIDEO ","")&amp;IF(COUNTIFS(tbl_Finance[Job Number],C227&amp;"",tbl_Finance[Cost Centre],"INTEGRATION")&gt;0,"INTEGRATION ","")&amp;IF(COUNTIFS(tbl_Finance[Job Number],C227&amp;"",tbl_Finance[Cost Centre],"CONSULTING")&gt;0,"CONSULTING ","")&amp;IF(COUNTIFS(tbl_Finance[Job Number],C227&amp;"",tbl_Finance[Cost Centre],"CTS")&gt;0,"CTS ",""))," ",", ")))</f>
        <v/>
      </c>
      <c r="L227" s="24" t="n"/>
      <c r="M227" s="25">
        <f>IF(L227="","",HYPERLINK(IF(LEFT(L227,4)="http",L227,set_QwilrBase&amp;L227),"Open quote"))</f>
        <v/>
      </c>
      <c r="N227" s="26" t="n"/>
      <c r="O227" s="26" t="n"/>
      <c r="P227" s="26" t="n"/>
      <c r="Q227" s="25">
        <f>IF(C227="","",IF(N(N227)+N(O227)+N(P227)=0,"Not split",IF(ROUND(N(N227)+N(O227)+N(P227),2)=ROUND(H227,2),"OK","MISMATCH")))</f>
        <v/>
      </c>
      <c r="R227" s="26" t="n"/>
      <c r="S227" s="26" t="n"/>
      <c r="T227" s="26" t="n"/>
      <c r="U227" s="27">
        <f>IF(C227="","",N(R227)+N(S227)+N(T227))</f>
        <v/>
      </c>
      <c r="V227" s="27">
        <f>IF(C227="","",H227-U227)</f>
        <v/>
      </c>
      <c r="W227" s="29">
        <f>IFERROR(V227/H227,"")</f>
        <v/>
      </c>
      <c r="X227" s="24" t="n"/>
    </row>
    <row r="228" ht="15" customHeight="1">
      <c r="A228" s="68">
        <f>IF(C228="","",IFERROR(IF(SUMPRODUCT(MAX((tbl_Finance[Job Number]=C228&amp;"")*(tbl_Finance[Xero Invoice No]&lt;&gt;"")*tbl_Finance[Date]))=0,"",SUMPRODUCT(MAX((tbl_Finance[Job Number]=C228&amp;"")*(tbl_Finance[Xero Invoice No]&lt;&gt;"")*tbl_Finance[Date]))),""))</f>
        <v/>
      </c>
      <c r="B228" s="25">
        <f>IF(C228="","",IF(COUNTIFS(tbl_Finance[Job Number],C228&amp;"",tbl_Finance[Xero Invoice No],"&lt;&gt;")=0,"",IFERROR(IF(COUNTIFS(tbl_Finance[Job Number],C228&amp;"",tbl_Finance[Xero Invoice No],LOOKUP(2,1/((tbl_Finance[Job Number]=C228&amp;"")*(tbl_Finance[Xero Invoice No]&lt;&gt;"")),tbl_Finance[Xero Invoice No]))=COUNTIFS(tbl_Finance[Job Number],C228&amp;"",tbl_Finance[Xero Invoice No],"&lt;&gt;"),LOOKUP(2,1/((tbl_Finance[Job Number]=C228&amp;"")*(tbl_Finance[Xero Invoice No]&lt;&gt;"")),tbl_Finance[Xero Invoice No]),LOOKUP(2,1/((tbl_Finance[Job Number]=C228&amp;"")*(tbl_Finance[Xero Invoice No]&lt;&gt;"")),tbl_Finance[Xero Invoice No])&amp;" +more"),"")))</f>
        <v/>
      </c>
      <c r="C228" s="24" t="n"/>
      <c r="D228" s="25">
        <f>IF(C228="","",IF(COUNTIF(lst_Jobs,C228&amp;"")&gt;0,"OK","CHECK"))</f>
        <v/>
      </c>
      <c r="E228" s="25">
        <f>IF(C228="","",IFERROR(INDEX(lst_JobName,MATCH(C228&amp;"",lst_Jobs,0)),""))</f>
        <v/>
      </c>
      <c r="F228" s="25">
        <f>IF(C228="","",IFERROR(INDEX(tbl_Finance[Client],MATCH(C228&amp;"",tbl_Finance[Job Number],0)),""))</f>
        <v/>
      </c>
      <c r="G228" s="28">
        <f>IF(C228="","",COUNTIFS(tbl_Finance[Job Number],C228&amp;"",tbl_Finance[Ex GST],"&lt;&gt;"))</f>
        <v/>
      </c>
      <c r="H228" s="27">
        <f>IF(C228="","",SUMIFS(tbl_Finance[Ex GST],tbl_Finance[Job Number],C228&amp;""))</f>
        <v/>
      </c>
      <c r="I228" s="27">
        <f>IF(C228="","",SUMIFS(tbl_Finance[Ex GST],tbl_Finance[Job Number],C228&amp;"",tbl_Finance[Xero Invoice No],"&lt;&gt;"))</f>
        <v/>
      </c>
      <c r="J228" s="27">
        <f>IF(C228="","",H228-I228)</f>
        <v/>
      </c>
      <c r="K228" s="25">
        <f>IF(C228="","",IF(G228=0,"not invoiced yet",SUBSTITUTE(TRIM(IF(COUNTIFS(tbl_Finance[Job Number],C228&amp;"",tbl_Finance[Cost Centre],"ONSITE")&gt;0,"ONSITE ","")&amp;IF(COUNTIFS(tbl_Finance[Job Number],C228&amp;"",tbl_Finance[Cost Centre],"PRODUCTION")&gt;0,"PRODUCTION ","")&amp;IF(COUNTIFS(tbl_Finance[Job Number],C228&amp;"",tbl_Finance[Cost Centre],"VIDEO")&gt;0,"VIDEO ","")&amp;IF(COUNTIFS(tbl_Finance[Job Number],C228&amp;"",tbl_Finance[Cost Centre],"INTEGRATION")&gt;0,"INTEGRATION ","")&amp;IF(COUNTIFS(tbl_Finance[Job Number],C228&amp;"",tbl_Finance[Cost Centre],"CONSULTING")&gt;0,"CONSULTING ","")&amp;IF(COUNTIFS(tbl_Finance[Job Number],C228&amp;"",tbl_Finance[Cost Centre],"CTS")&gt;0,"CTS ",""))," ",", ")))</f>
        <v/>
      </c>
      <c r="L228" s="24" t="n"/>
      <c r="M228" s="25">
        <f>IF(L228="","",HYPERLINK(IF(LEFT(L228,4)="http",L228,set_QwilrBase&amp;L228),"Open quote"))</f>
        <v/>
      </c>
      <c r="N228" s="26" t="n"/>
      <c r="O228" s="26" t="n"/>
      <c r="P228" s="26" t="n"/>
      <c r="Q228" s="25">
        <f>IF(C228="","",IF(N(N228)+N(O228)+N(P228)=0,"Not split",IF(ROUND(N(N228)+N(O228)+N(P228),2)=ROUND(H228,2),"OK","MISMATCH")))</f>
        <v/>
      </c>
      <c r="R228" s="26" t="n"/>
      <c r="S228" s="26" t="n"/>
      <c r="T228" s="26" t="n"/>
      <c r="U228" s="27">
        <f>IF(C228="","",N(R228)+N(S228)+N(T228))</f>
        <v/>
      </c>
      <c r="V228" s="27">
        <f>IF(C228="","",H228-U228)</f>
        <v/>
      </c>
      <c r="W228" s="29">
        <f>IFERROR(V228/H228,"")</f>
        <v/>
      </c>
      <c r="X228" s="24" t="n"/>
    </row>
    <row r="229" ht="15" customHeight="1">
      <c r="A229" s="68">
        <f>IF(C229="","",IFERROR(IF(SUMPRODUCT(MAX((tbl_Finance[Job Number]=C229&amp;"")*(tbl_Finance[Xero Invoice No]&lt;&gt;"")*tbl_Finance[Date]))=0,"",SUMPRODUCT(MAX((tbl_Finance[Job Number]=C229&amp;"")*(tbl_Finance[Xero Invoice No]&lt;&gt;"")*tbl_Finance[Date]))),""))</f>
        <v/>
      </c>
      <c r="B229" s="25">
        <f>IF(C229="","",IF(COUNTIFS(tbl_Finance[Job Number],C229&amp;"",tbl_Finance[Xero Invoice No],"&lt;&gt;")=0,"",IFERROR(IF(COUNTIFS(tbl_Finance[Job Number],C229&amp;"",tbl_Finance[Xero Invoice No],LOOKUP(2,1/((tbl_Finance[Job Number]=C229&amp;"")*(tbl_Finance[Xero Invoice No]&lt;&gt;"")),tbl_Finance[Xero Invoice No]))=COUNTIFS(tbl_Finance[Job Number],C229&amp;"",tbl_Finance[Xero Invoice No],"&lt;&gt;"),LOOKUP(2,1/((tbl_Finance[Job Number]=C229&amp;"")*(tbl_Finance[Xero Invoice No]&lt;&gt;"")),tbl_Finance[Xero Invoice No]),LOOKUP(2,1/((tbl_Finance[Job Number]=C229&amp;"")*(tbl_Finance[Xero Invoice No]&lt;&gt;"")),tbl_Finance[Xero Invoice No])&amp;" +more"),"")))</f>
        <v/>
      </c>
      <c r="C229" s="24" t="n"/>
      <c r="D229" s="25">
        <f>IF(C229="","",IF(COUNTIF(lst_Jobs,C229&amp;"")&gt;0,"OK","CHECK"))</f>
        <v/>
      </c>
      <c r="E229" s="25">
        <f>IF(C229="","",IFERROR(INDEX(lst_JobName,MATCH(C229&amp;"",lst_Jobs,0)),""))</f>
        <v/>
      </c>
      <c r="F229" s="25">
        <f>IF(C229="","",IFERROR(INDEX(tbl_Finance[Client],MATCH(C229&amp;"",tbl_Finance[Job Number],0)),""))</f>
        <v/>
      </c>
      <c r="G229" s="28">
        <f>IF(C229="","",COUNTIFS(tbl_Finance[Job Number],C229&amp;"",tbl_Finance[Ex GST],"&lt;&gt;"))</f>
        <v/>
      </c>
      <c r="H229" s="27">
        <f>IF(C229="","",SUMIFS(tbl_Finance[Ex GST],tbl_Finance[Job Number],C229&amp;""))</f>
        <v/>
      </c>
      <c r="I229" s="27">
        <f>IF(C229="","",SUMIFS(tbl_Finance[Ex GST],tbl_Finance[Job Number],C229&amp;"",tbl_Finance[Xero Invoice No],"&lt;&gt;"))</f>
        <v/>
      </c>
      <c r="J229" s="27">
        <f>IF(C229="","",H229-I229)</f>
        <v/>
      </c>
      <c r="K229" s="25">
        <f>IF(C229="","",IF(G229=0,"not invoiced yet",SUBSTITUTE(TRIM(IF(COUNTIFS(tbl_Finance[Job Number],C229&amp;"",tbl_Finance[Cost Centre],"ONSITE")&gt;0,"ONSITE ","")&amp;IF(COUNTIFS(tbl_Finance[Job Number],C229&amp;"",tbl_Finance[Cost Centre],"PRODUCTION")&gt;0,"PRODUCTION ","")&amp;IF(COUNTIFS(tbl_Finance[Job Number],C229&amp;"",tbl_Finance[Cost Centre],"VIDEO")&gt;0,"VIDEO ","")&amp;IF(COUNTIFS(tbl_Finance[Job Number],C229&amp;"",tbl_Finance[Cost Centre],"INTEGRATION")&gt;0,"INTEGRATION ","")&amp;IF(COUNTIFS(tbl_Finance[Job Number],C229&amp;"",tbl_Finance[Cost Centre],"CONSULTING")&gt;0,"CONSULTING ","")&amp;IF(COUNTIFS(tbl_Finance[Job Number],C229&amp;"",tbl_Finance[Cost Centre],"CTS")&gt;0,"CTS ",""))," ",", ")))</f>
        <v/>
      </c>
      <c r="L229" s="24" t="n"/>
      <c r="M229" s="25">
        <f>IF(L229="","",HYPERLINK(IF(LEFT(L229,4)="http",L229,set_QwilrBase&amp;L229),"Open quote"))</f>
        <v/>
      </c>
      <c r="N229" s="26" t="n"/>
      <c r="O229" s="26" t="n"/>
      <c r="P229" s="26" t="n"/>
      <c r="Q229" s="25">
        <f>IF(C229="","",IF(N(N229)+N(O229)+N(P229)=0,"Not split",IF(ROUND(N(N229)+N(O229)+N(P229),2)=ROUND(H229,2),"OK","MISMATCH")))</f>
        <v/>
      </c>
      <c r="R229" s="26" t="n"/>
      <c r="S229" s="26" t="n"/>
      <c r="T229" s="26" t="n"/>
      <c r="U229" s="27">
        <f>IF(C229="","",N(R229)+N(S229)+N(T229))</f>
        <v/>
      </c>
      <c r="V229" s="27">
        <f>IF(C229="","",H229-U229)</f>
        <v/>
      </c>
      <c r="W229" s="29">
        <f>IFERROR(V229/H229,"")</f>
        <v/>
      </c>
      <c r="X229" s="24" t="n"/>
    </row>
    <row r="230" ht="15" customHeight="1">
      <c r="A230" s="68">
        <f>IF(C230="","",IFERROR(IF(SUMPRODUCT(MAX((tbl_Finance[Job Number]=C230&amp;"")*(tbl_Finance[Xero Invoice No]&lt;&gt;"")*tbl_Finance[Date]))=0,"",SUMPRODUCT(MAX((tbl_Finance[Job Number]=C230&amp;"")*(tbl_Finance[Xero Invoice No]&lt;&gt;"")*tbl_Finance[Date]))),""))</f>
        <v/>
      </c>
      <c r="B230" s="25">
        <f>IF(C230="","",IF(COUNTIFS(tbl_Finance[Job Number],C230&amp;"",tbl_Finance[Xero Invoice No],"&lt;&gt;")=0,"",IFERROR(IF(COUNTIFS(tbl_Finance[Job Number],C230&amp;"",tbl_Finance[Xero Invoice No],LOOKUP(2,1/((tbl_Finance[Job Number]=C230&amp;"")*(tbl_Finance[Xero Invoice No]&lt;&gt;"")),tbl_Finance[Xero Invoice No]))=COUNTIFS(tbl_Finance[Job Number],C230&amp;"",tbl_Finance[Xero Invoice No],"&lt;&gt;"),LOOKUP(2,1/((tbl_Finance[Job Number]=C230&amp;"")*(tbl_Finance[Xero Invoice No]&lt;&gt;"")),tbl_Finance[Xero Invoice No]),LOOKUP(2,1/((tbl_Finance[Job Number]=C230&amp;"")*(tbl_Finance[Xero Invoice No]&lt;&gt;"")),tbl_Finance[Xero Invoice No])&amp;" +more"),"")))</f>
        <v/>
      </c>
      <c r="C230" s="24" t="n"/>
      <c r="D230" s="25">
        <f>IF(C230="","",IF(COUNTIF(lst_Jobs,C230&amp;"")&gt;0,"OK","CHECK"))</f>
        <v/>
      </c>
      <c r="E230" s="25">
        <f>IF(C230="","",IFERROR(INDEX(lst_JobName,MATCH(C230&amp;"",lst_Jobs,0)),""))</f>
        <v/>
      </c>
      <c r="F230" s="25">
        <f>IF(C230="","",IFERROR(INDEX(tbl_Finance[Client],MATCH(C230&amp;"",tbl_Finance[Job Number],0)),""))</f>
        <v/>
      </c>
      <c r="G230" s="28">
        <f>IF(C230="","",COUNTIFS(tbl_Finance[Job Number],C230&amp;"",tbl_Finance[Ex GST],"&lt;&gt;"))</f>
        <v/>
      </c>
      <c r="H230" s="27">
        <f>IF(C230="","",SUMIFS(tbl_Finance[Ex GST],tbl_Finance[Job Number],C230&amp;""))</f>
        <v/>
      </c>
      <c r="I230" s="27">
        <f>IF(C230="","",SUMIFS(tbl_Finance[Ex GST],tbl_Finance[Job Number],C230&amp;"",tbl_Finance[Xero Invoice No],"&lt;&gt;"))</f>
        <v/>
      </c>
      <c r="J230" s="27">
        <f>IF(C230="","",H230-I230)</f>
        <v/>
      </c>
      <c r="K230" s="25">
        <f>IF(C230="","",IF(G230=0,"not invoiced yet",SUBSTITUTE(TRIM(IF(COUNTIFS(tbl_Finance[Job Number],C230&amp;"",tbl_Finance[Cost Centre],"ONSITE")&gt;0,"ONSITE ","")&amp;IF(COUNTIFS(tbl_Finance[Job Number],C230&amp;"",tbl_Finance[Cost Centre],"PRODUCTION")&gt;0,"PRODUCTION ","")&amp;IF(COUNTIFS(tbl_Finance[Job Number],C230&amp;"",tbl_Finance[Cost Centre],"VIDEO")&gt;0,"VIDEO ","")&amp;IF(COUNTIFS(tbl_Finance[Job Number],C230&amp;"",tbl_Finance[Cost Centre],"INTEGRATION")&gt;0,"INTEGRATION ","")&amp;IF(COUNTIFS(tbl_Finance[Job Number],C230&amp;"",tbl_Finance[Cost Centre],"CONSULTING")&gt;0,"CONSULTING ","")&amp;IF(COUNTIFS(tbl_Finance[Job Number],C230&amp;"",tbl_Finance[Cost Centre],"CTS")&gt;0,"CTS ",""))," ",", ")))</f>
        <v/>
      </c>
      <c r="L230" s="24" t="n"/>
      <c r="M230" s="25">
        <f>IF(L230="","",HYPERLINK(IF(LEFT(L230,4)="http",L230,set_QwilrBase&amp;L230),"Open quote"))</f>
        <v/>
      </c>
      <c r="N230" s="26" t="n"/>
      <c r="O230" s="26" t="n"/>
      <c r="P230" s="26" t="n"/>
      <c r="Q230" s="25">
        <f>IF(C230="","",IF(N(N230)+N(O230)+N(P230)=0,"Not split",IF(ROUND(N(N230)+N(O230)+N(P230),2)=ROUND(H230,2),"OK","MISMATCH")))</f>
        <v/>
      </c>
      <c r="R230" s="26" t="n"/>
      <c r="S230" s="26" t="n"/>
      <c r="T230" s="26" t="n"/>
      <c r="U230" s="27">
        <f>IF(C230="","",N(R230)+N(S230)+N(T230))</f>
        <v/>
      </c>
      <c r="V230" s="27">
        <f>IF(C230="","",H230-U230)</f>
        <v/>
      </c>
      <c r="W230" s="29">
        <f>IFERROR(V230/H230,"")</f>
        <v/>
      </c>
      <c r="X230" s="24" t="n"/>
    </row>
    <row r="231" ht="15" customHeight="1">
      <c r="A231" s="68">
        <f>IF(C231="","",IFERROR(IF(SUMPRODUCT(MAX((tbl_Finance[Job Number]=C231&amp;"")*(tbl_Finance[Xero Invoice No]&lt;&gt;"")*tbl_Finance[Date]))=0,"",SUMPRODUCT(MAX((tbl_Finance[Job Number]=C231&amp;"")*(tbl_Finance[Xero Invoice No]&lt;&gt;"")*tbl_Finance[Date]))),""))</f>
        <v/>
      </c>
      <c r="B231" s="25">
        <f>IF(C231="","",IF(COUNTIFS(tbl_Finance[Job Number],C231&amp;"",tbl_Finance[Xero Invoice No],"&lt;&gt;")=0,"",IFERROR(IF(COUNTIFS(tbl_Finance[Job Number],C231&amp;"",tbl_Finance[Xero Invoice No],LOOKUP(2,1/((tbl_Finance[Job Number]=C231&amp;"")*(tbl_Finance[Xero Invoice No]&lt;&gt;"")),tbl_Finance[Xero Invoice No]))=COUNTIFS(tbl_Finance[Job Number],C231&amp;"",tbl_Finance[Xero Invoice No],"&lt;&gt;"),LOOKUP(2,1/((tbl_Finance[Job Number]=C231&amp;"")*(tbl_Finance[Xero Invoice No]&lt;&gt;"")),tbl_Finance[Xero Invoice No]),LOOKUP(2,1/((tbl_Finance[Job Number]=C231&amp;"")*(tbl_Finance[Xero Invoice No]&lt;&gt;"")),tbl_Finance[Xero Invoice No])&amp;" +more"),"")))</f>
        <v/>
      </c>
      <c r="C231" s="24" t="n"/>
      <c r="D231" s="25">
        <f>IF(C231="","",IF(COUNTIF(lst_Jobs,C231&amp;"")&gt;0,"OK","CHECK"))</f>
        <v/>
      </c>
      <c r="E231" s="25">
        <f>IF(C231="","",IFERROR(INDEX(lst_JobName,MATCH(C231&amp;"",lst_Jobs,0)),""))</f>
        <v/>
      </c>
      <c r="F231" s="25">
        <f>IF(C231="","",IFERROR(INDEX(tbl_Finance[Client],MATCH(C231&amp;"",tbl_Finance[Job Number],0)),""))</f>
        <v/>
      </c>
      <c r="G231" s="28">
        <f>IF(C231="","",COUNTIFS(tbl_Finance[Job Number],C231&amp;"",tbl_Finance[Ex GST],"&lt;&gt;"))</f>
        <v/>
      </c>
      <c r="H231" s="27">
        <f>IF(C231="","",SUMIFS(tbl_Finance[Ex GST],tbl_Finance[Job Number],C231&amp;""))</f>
        <v/>
      </c>
      <c r="I231" s="27">
        <f>IF(C231="","",SUMIFS(tbl_Finance[Ex GST],tbl_Finance[Job Number],C231&amp;"",tbl_Finance[Xero Invoice No],"&lt;&gt;"))</f>
        <v/>
      </c>
      <c r="J231" s="27">
        <f>IF(C231="","",H231-I231)</f>
        <v/>
      </c>
      <c r="K231" s="25">
        <f>IF(C231="","",IF(G231=0,"not invoiced yet",SUBSTITUTE(TRIM(IF(COUNTIFS(tbl_Finance[Job Number],C231&amp;"",tbl_Finance[Cost Centre],"ONSITE")&gt;0,"ONSITE ","")&amp;IF(COUNTIFS(tbl_Finance[Job Number],C231&amp;"",tbl_Finance[Cost Centre],"PRODUCTION")&gt;0,"PRODUCTION ","")&amp;IF(COUNTIFS(tbl_Finance[Job Number],C231&amp;"",tbl_Finance[Cost Centre],"VIDEO")&gt;0,"VIDEO ","")&amp;IF(COUNTIFS(tbl_Finance[Job Number],C231&amp;"",tbl_Finance[Cost Centre],"INTEGRATION")&gt;0,"INTEGRATION ","")&amp;IF(COUNTIFS(tbl_Finance[Job Number],C231&amp;"",tbl_Finance[Cost Centre],"CONSULTING")&gt;0,"CONSULTING ","")&amp;IF(COUNTIFS(tbl_Finance[Job Number],C231&amp;"",tbl_Finance[Cost Centre],"CTS")&gt;0,"CTS ",""))," ",", ")))</f>
        <v/>
      </c>
      <c r="L231" s="24" t="n"/>
      <c r="M231" s="25">
        <f>IF(L231="","",HYPERLINK(IF(LEFT(L231,4)="http",L231,set_QwilrBase&amp;L231),"Open quote"))</f>
        <v/>
      </c>
      <c r="N231" s="26" t="n"/>
      <c r="O231" s="26" t="n"/>
      <c r="P231" s="26" t="n"/>
      <c r="Q231" s="25">
        <f>IF(C231="","",IF(N(N231)+N(O231)+N(P231)=0,"Not split",IF(ROUND(N(N231)+N(O231)+N(P231),2)=ROUND(H231,2),"OK","MISMATCH")))</f>
        <v/>
      </c>
      <c r="R231" s="26" t="n"/>
      <c r="S231" s="26" t="n"/>
      <c r="T231" s="26" t="n"/>
      <c r="U231" s="27">
        <f>IF(C231="","",N(R231)+N(S231)+N(T231))</f>
        <v/>
      </c>
      <c r="V231" s="27">
        <f>IF(C231="","",H231-U231)</f>
        <v/>
      </c>
      <c r="W231" s="29">
        <f>IFERROR(V231/H231,"")</f>
        <v/>
      </c>
      <c r="X231" s="24" t="n"/>
    </row>
    <row r="232" ht="15" customHeight="1">
      <c r="A232" s="68">
        <f>IF(C232="","",IFERROR(IF(SUMPRODUCT(MAX((tbl_Finance[Job Number]=C232&amp;"")*(tbl_Finance[Xero Invoice No]&lt;&gt;"")*tbl_Finance[Date]))=0,"",SUMPRODUCT(MAX((tbl_Finance[Job Number]=C232&amp;"")*(tbl_Finance[Xero Invoice No]&lt;&gt;"")*tbl_Finance[Date]))),""))</f>
        <v/>
      </c>
      <c r="B232" s="25">
        <f>IF(C232="","",IF(COUNTIFS(tbl_Finance[Job Number],C232&amp;"",tbl_Finance[Xero Invoice No],"&lt;&gt;")=0,"",IFERROR(IF(COUNTIFS(tbl_Finance[Job Number],C232&amp;"",tbl_Finance[Xero Invoice No],LOOKUP(2,1/((tbl_Finance[Job Number]=C232&amp;"")*(tbl_Finance[Xero Invoice No]&lt;&gt;"")),tbl_Finance[Xero Invoice No]))=COUNTIFS(tbl_Finance[Job Number],C232&amp;"",tbl_Finance[Xero Invoice No],"&lt;&gt;"),LOOKUP(2,1/((tbl_Finance[Job Number]=C232&amp;"")*(tbl_Finance[Xero Invoice No]&lt;&gt;"")),tbl_Finance[Xero Invoice No]),LOOKUP(2,1/((tbl_Finance[Job Number]=C232&amp;"")*(tbl_Finance[Xero Invoice No]&lt;&gt;"")),tbl_Finance[Xero Invoice No])&amp;" +more"),"")))</f>
        <v/>
      </c>
      <c r="C232" s="24" t="n"/>
      <c r="D232" s="25">
        <f>IF(C232="","",IF(COUNTIF(lst_Jobs,C232&amp;"")&gt;0,"OK","CHECK"))</f>
        <v/>
      </c>
      <c r="E232" s="25">
        <f>IF(C232="","",IFERROR(INDEX(lst_JobName,MATCH(C232&amp;"",lst_Jobs,0)),""))</f>
        <v/>
      </c>
      <c r="F232" s="25">
        <f>IF(C232="","",IFERROR(INDEX(tbl_Finance[Client],MATCH(C232&amp;"",tbl_Finance[Job Number],0)),""))</f>
        <v/>
      </c>
      <c r="G232" s="28">
        <f>IF(C232="","",COUNTIFS(tbl_Finance[Job Number],C232&amp;"",tbl_Finance[Ex GST],"&lt;&gt;"))</f>
        <v/>
      </c>
      <c r="H232" s="27">
        <f>IF(C232="","",SUMIFS(tbl_Finance[Ex GST],tbl_Finance[Job Number],C232&amp;""))</f>
        <v/>
      </c>
      <c r="I232" s="27">
        <f>IF(C232="","",SUMIFS(tbl_Finance[Ex GST],tbl_Finance[Job Number],C232&amp;"",tbl_Finance[Xero Invoice No],"&lt;&gt;"))</f>
        <v/>
      </c>
      <c r="J232" s="27">
        <f>IF(C232="","",H232-I232)</f>
        <v/>
      </c>
      <c r="K232" s="25">
        <f>IF(C232="","",IF(G232=0,"not invoiced yet",SUBSTITUTE(TRIM(IF(COUNTIFS(tbl_Finance[Job Number],C232&amp;"",tbl_Finance[Cost Centre],"ONSITE")&gt;0,"ONSITE ","")&amp;IF(COUNTIFS(tbl_Finance[Job Number],C232&amp;"",tbl_Finance[Cost Centre],"PRODUCTION")&gt;0,"PRODUCTION ","")&amp;IF(COUNTIFS(tbl_Finance[Job Number],C232&amp;"",tbl_Finance[Cost Centre],"VIDEO")&gt;0,"VIDEO ","")&amp;IF(COUNTIFS(tbl_Finance[Job Number],C232&amp;"",tbl_Finance[Cost Centre],"INTEGRATION")&gt;0,"INTEGRATION ","")&amp;IF(COUNTIFS(tbl_Finance[Job Number],C232&amp;"",tbl_Finance[Cost Centre],"CONSULTING")&gt;0,"CONSULTING ","")&amp;IF(COUNTIFS(tbl_Finance[Job Number],C232&amp;"",tbl_Finance[Cost Centre],"CTS")&gt;0,"CTS ",""))," ",", ")))</f>
        <v/>
      </c>
      <c r="L232" s="24" t="n"/>
      <c r="M232" s="25">
        <f>IF(L232="","",HYPERLINK(IF(LEFT(L232,4)="http",L232,set_QwilrBase&amp;L232),"Open quote"))</f>
        <v/>
      </c>
      <c r="N232" s="26" t="n"/>
      <c r="O232" s="26" t="n"/>
      <c r="P232" s="26" t="n"/>
      <c r="Q232" s="25">
        <f>IF(C232="","",IF(N(N232)+N(O232)+N(P232)=0,"Not split",IF(ROUND(N(N232)+N(O232)+N(P232),2)=ROUND(H232,2),"OK","MISMATCH")))</f>
        <v/>
      </c>
      <c r="R232" s="26" t="n"/>
      <c r="S232" s="26" t="n"/>
      <c r="T232" s="26" t="n"/>
      <c r="U232" s="27">
        <f>IF(C232="","",N(R232)+N(S232)+N(T232))</f>
        <v/>
      </c>
      <c r="V232" s="27">
        <f>IF(C232="","",H232-U232)</f>
        <v/>
      </c>
      <c r="W232" s="29">
        <f>IFERROR(V232/H232,"")</f>
        <v/>
      </c>
      <c r="X232" s="24" t="n"/>
    </row>
    <row r="233" ht="15" customHeight="1">
      <c r="A233" s="68">
        <f>IF(C233="","",IFERROR(IF(SUMPRODUCT(MAX((tbl_Finance[Job Number]=C233&amp;"")*(tbl_Finance[Xero Invoice No]&lt;&gt;"")*tbl_Finance[Date]))=0,"",SUMPRODUCT(MAX((tbl_Finance[Job Number]=C233&amp;"")*(tbl_Finance[Xero Invoice No]&lt;&gt;"")*tbl_Finance[Date]))),""))</f>
        <v/>
      </c>
      <c r="B233" s="25">
        <f>IF(C233="","",IF(COUNTIFS(tbl_Finance[Job Number],C233&amp;"",tbl_Finance[Xero Invoice No],"&lt;&gt;")=0,"",IFERROR(IF(COUNTIFS(tbl_Finance[Job Number],C233&amp;"",tbl_Finance[Xero Invoice No],LOOKUP(2,1/((tbl_Finance[Job Number]=C233&amp;"")*(tbl_Finance[Xero Invoice No]&lt;&gt;"")),tbl_Finance[Xero Invoice No]))=COUNTIFS(tbl_Finance[Job Number],C233&amp;"",tbl_Finance[Xero Invoice No],"&lt;&gt;"),LOOKUP(2,1/((tbl_Finance[Job Number]=C233&amp;"")*(tbl_Finance[Xero Invoice No]&lt;&gt;"")),tbl_Finance[Xero Invoice No]),LOOKUP(2,1/((tbl_Finance[Job Number]=C233&amp;"")*(tbl_Finance[Xero Invoice No]&lt;&gt;"")),tbl_Finance[Xero Invoice No])&amp;" +more"),"")))</f>
        <v/>
      </c>
      <c r="C233" s="24" t="n"/>
      <c r="D233" s="25">
        <f>IF(C233="","",IF(COUNTIF(lst_Jobs,C233&amp;"")&gt;0,"OK","CHECK"))</f>
        <v/>
      </c>
      <c r="E233" s="25">
        <f>IF(C233="","",IFERROR(INDEX(lst_JobName,MATCH(C233&amp;"",lst_Jobs,0)),""))</f>
        <v/>
      </c>
      <c r="F233" s="25">
        <f>IF(C233="","",IFERROR(INDEX(tbl_Finance[Client],MATCH(C233&amp;"",tbl_Finance[Job Number],0)),""))</f>
        <v/>
      </c>
      <c r="G233" s="28">
        <f>IF(C233="","",COUNTIFS(tbl_Finance[Job Number],C233&amp;"",tbl_Finance[Ex GST],"&lt;&gt;"))</f>
        <v/>
      </c>
      <c r="H233" s="27">
        <f>IF(C233="","",SUMIFS(tbl_Finance[Ex GST],tbl_Finance[Job Number],C233&amp;""))</f>
        <v/>
      </c>
      <c r="I233" s="27">
        <f>IF(C233="","",SUMIFS(tbl_Finance[Ex GST],tbl_Finance[Job Number],C233&amp;"",tbl_Finance[Xero Invoice No],"&lt;&gt;"))</f>
        <v/>
      </c>
      <c r="J233" s="27">
        <f>IF(C233="","",H233-I233)</f>
        <v/>
      </c>
      <c r="K233" s="25">
        <f>IF(C233="","",IF(G233=0,"not invoiced yet",SUBSTITUTE(TRIM(IF(COUNTIFS(tbl_Finance[Job Number],C233&amp;"",tbl_Finance[Cost Centre],"ONSITE")&gt;0,"ONSITE ","")&amp;IF(COUNTIFS(tbl_Finance[Job Number],C233&amp;"",tbl_Finance[Cost Centre],"PRODUCTION")&gt;0,"PRODUCTION ","")&amp;IF(COUNTIFS(tbl_Finance[Job Number],C233&amp;"",tbl_Finance[Cost Centre],"VIDEO")&gt;0,"VIDEO ","")&amp;IF(COUNTIFS(tbl_Finance[Job Number],C233&amp;"",tbl_Finance[Cost Centre],"INTEGRATION")&gt;0,"INTEGRATION ","")&amp;IF(COUNTIFS(tbl_Finance[Job Number],C233&amp;"",tbl_Finance[Cost Centre],"CONSULTING")&gt;0,"CONSULTING ","")&amp;IF(COUNTIFS(tbl_Finance[Job Number],C233&amp;"",tbl_Finance[Cost Centre],"CTS")&gt;0,"CTS ",""))," ",", ")))</f>
        <v/>
      </c>
      <c r="L233" s="24" t="n"/>
      <c r="M233" s="25">
        <f>IF(L233="","",HYPERLINK(IF(LEFT(L233,4)="http",L233,set_QwilrBase&amp;L233),"Open quote"))</f>
        <v/>
      </c>
      <c r="N233" s="26" t="n"/>
      <c r="O233" s="26" t="n"/>
      <c r="P233" s="26" t="n"/>
      <c r="Q233" s="25">
        <f>IF(C233="","",IF(N(N233)+N(O233)+N(P233)=0,"Not split",IF(ROUND(N(N233)+N(O233)+N(P233),2)=ROUND(H233,2),"OK","MISMATCH")))</f>
        <v/>
      </c>
      <c r="R233" s="26" t="n"/>
      <c r="S233" s="26" t="n"/>
      <c r="T233" s="26" t="n"/>
      <c r="U233" s="27">
        <f>IF(C233="","",N(R233)+N(S233)+N(T233))</f>
        <v/>
      </c>
      <c r="V233" s="27">
        <f>IF(C233="","",H233-U233)</f>
        <v/>
      </c>
      <c r="W233" s="29">
        <f>IFERROR(V233/H233,"")</f>
        <v/>
      </c>
      <c r="X233" s="24" t="n"/>
    </row>
    <row r="234" ht="15" customHeight="1">
      <c r="A234" s="68">
        <f>IF(C234="","",IFERROR(IF(SUMPRODUCT(MAX((tbl_Finance[Job Number]=C234&amp;"")*(tbl_Finance[Xero Invoice No]&lt;&gt;"")*tbl_Finance[Date]))=0,"",SUMPRODUCT(MAX((tbl_Finance[Job Number]=C234&amp;"")*(tbl_Finance[Xero Invoice No]&lt;&gt;"")*tbl_Finance[Date]))),""))</f>
        <v/>
      </c>
      <c r="B234" s="25">
        <f>IF(C234="","",IF(COUNTIFS(tbl_Finance[Job Number],C234&amp;"",tbl_Finance[Xero Invoice No],"&lt;&gt;")=0,"",IFERROR(IF(COUNTIFS(tbl_Finance[Job Number],C234&amp;"",tbl_Finance[Xero Invoice No],LOOKUP(2,1/((tbl_Finance[Job Number]=C234&amp;"")*(tbl_Finance[Xero Invoice No]&lt;&gt;"")),tbl_Finance[Xero Invoice No]))=COUNTIFS(tbl_Finance[Job Number],C234&amp;"",tbl_Finance[Xero Invoice No],"&lt;&gt;"),LOOKUP(2,1/((tbl_Finance[Job Number]=C234&amp;"")*(tbl_Finance[Xero Invoice No]&lt;&gt;"")),tbl_Finance[Xero Invoice No]),LOOKUP(2,1/((tbl_Finance[Job Number]=C234&amp;"")*(tbl_Finance[Xero Invoice No]&lt;&gt;"")),tbl_Finance[Xero Invoice No])&amp;" +more"),"")))</f>
        <v/>
      </c>
      <c r="C234" s="24" t="n"/>
      <c r="D234" s="25">
        <f>IF(C234="","",IF(COUNTIF(lst_Jobs,C234&amp;"")&gt;0,"OK","CHECK"))</f>
        <v/>
      </c>
      <c r="E234" s="25">
        <f>IF(C234="","",IFERROR(INDEX(lst_JobName,MATCH(C234&amp;"",lst_Jobs,0)),""))</f>
        <v/>
      </c>
      <c r="F234" s="25">
        <f>IF(C234="","",IFERROR(INDEX(tbl_Finance[Client],MATCH(C234&amp;"",tbl_Finance[Job Number],0)),""))</f>
        <v/>
      </c>
      <c r="G234" s="28">
        <f>IF(C234="","",COUNTIFS(tbl_Finance[Job Number],C234&amp;"",tbl_Finance[Ex GST],"&lt;&gt;"))</f>
        <v/>
      </c>
      <c r="H234" s="27">
        <f>IF(C234="","",SUMIFS(tbl_Finance[Ex GST],tbl_Finance[Job Number],C234&amp;""))</f>
        <v/>
      </c>
      <c r="I234" s="27">
        <f>IF(C234="","",SUMIFS(tbl_Finance[Ex GST],tbl_Finance[Job Number],C234&amp;"",tbl_Finance[Xero Invoice No],"&lt;&gt;"))</f>
        <v/>
      </c>
      <c r="J234" s="27">
        <f>IF(C234="","",H234-I234)</f>
        <v/>
      </c>
      <c r="K234" s="25">
        <f>IF(C234="","",IF(G234=0,"not invoiced yet",SUBSTITUTE(TRIM(IF(COUNTIFS(tbl_Finance[Job Number],C234&amp;"",tbl_Finance[Cost Centre],"ONSITE")&gt;0,"ONSITE ","")&amp;IF(COUNTIFS(tbl_Finance[Job Number],C234&amp;"",tbl_Finance[Cost Centre],"PRODUCTION")&gt;0,"PRODUCTION ","")&amp;IF(COUNTIFS(tbl_Finance[Job Number],C234&amp;"",tbl_Finance[Cost Centre],"VIDEO")&gt;0,"VIDEO ","")&amp;IF(COUNTIFS(tbl_Finance[Job Number],C234&amp;"",tbl_Finance[Cost Centre],"INTEGRATION")&gt;0,"INTEGRATION ","")&amp;IF(COUNTIFS(tbl_Finance[Job Number],C234&amp;"",tbl_Finance[Cost Centre],"CONSULTING")&gt;0,"CONSULTING ","")&amp;IF(COUNTIFS(tbl_Finance[Job Number],C234&amp;"",tbl_Finance[Cost Centre],"CTS")&gt;0,"CTS ",""))," ",", ")))</f>
        <v/>
      </c>
      <c r="L234" s="24" t="n"/>
      <c r="M234" s="25">
        <f>IF(L234="","",HYPERLINK(IF(LEFT(L234,4)="http",L234,set_QwilrBase&amp;L234),"Open quote"))</f>
        <v/>
      </c>
      <c r="N234" s="26" t="n"/>
      <c r="O234" s="26" t="n"/>
      <c r="P234" s="26" t="n"/>
      <c r="Q234" s="25">
        <f>IF(C234="","",IF(N(N234)+N(O234)+N(P234)=0,"Not split",IF(ROUND(N(N234)+N(O234)+N(P234),2)=ROUND(H234,2),"OK","MISMATCH")))</f>
        <v/>
      </c>
      <c r="R234" s="26" t="n"/>
      <c r="S234" s="26" t="n"/>
      <c r="T234" s="26" t="n"/>
      <c r="U234" s="27">
        <f>IF(C234="","",N(R234)+N(S234)+N(T234))</f>
        <v/>
      </c>
      <c r="V234" s="27">
        <f>IF(C234="","",H234-U234)</f>
        <v/>
      </c>
      <c r="W234" s="29">
        <f>IFERROR(V234/H234,"")</f>
        <v/>
      </c>
      <c r="X234" s="24" t="n"/>
    </row>
    <row r="235" ht="15" customHeight="1">
      <c r="A235" s="68">
        <f>IF(C235="","",IFERROR(IF(SUMPRODUCT(MAX((tbl_Finance[Job Number]=C235&amp;"")*(tbl_Finance[Xero Invoice No]&lt;&gt;"")*tbl_Finance[Date]))=0,"",SUMPRODUCT(MAX((tbl_Finance[Job Number]=C235&amp;"")*(tbl_Finance[Xero Invoice No]&lt;&gt;"")*tbl_Finance[Date]))),""))</f>
        <v/>
      </c>
      <c r="B235" s="25">
        <f>IF(C235="","",IF(COUNTIFS(tbl_Finance[Job Number],C235&amp;"",tbl_Finance[Xero Invoice No],"&lt;&gt;")=0,"",IFERROR(IF(COUNTIFS(tbl_Finance[Job Number],C235&amp;"",tbl_Finance[Xero Invoice No],LOOKUP(2,1/((tbl_Finance[Job Number]=C235&amp;"")*(tbl_Finance[Xero Invoice No]&lt;&gt;"")),tbl_Finance[Xero Invoice No]))=COUNTIFS(tbl_Finance[Job Number],C235&amp;"",tbl_Finance[Xero Invoice No],"&lt;&gt;"),LOOKUP(2,1/((tbl_Finance[Job Number]=C235&amp;"")*(tbl_Finance[Xero Invoice No]&lt;&gt;"")),tbl_Finance[Xero Invoice No]),LOOKUP(2,1/((tbl_Finance[Job Number]=C235&amp;"")*(tbl_Finance[Xero Invoice No]&lt;&gt;"")),tbl_Finance[Xero Invoice No])&amp;" +more"),"")))</f>
        <v/>
      </c>
      <c r="C235" s="24" t="n"/>
      <c r="D235" s="25">
        <f>IF(C235="","",IF(COUNTIF(lst_Jobs,C235&amp;"")&gt;0,"OK","CHECK"))</f>
        <v/>
      </c>
      <c r="E235" s="25">
        <f>IF(C235="","",IFERROR(INDEX(lst_JobName,MATCH(C235&amp;"",lst_Jobs,0)),""))</f>
        <v/>
      </c>
      <c r="F235" s="25">
        <f>IF(C235="","",IFERROR(INDEX(tbl_Finance[Client],MATCH(C235&amp;"",tbl_Finance[Job Number],0)),""))</f>
        <v/>
      </c>
      <c r="G235" s="28">
        <f>IF(C235="","",COUNTIFS(tbl_Finance[Job Number],C235&amp;"",tbl_Finance[Ex GST],"&lt;&gt;"))</f>
        <v/>
      </c>
      <c r="H235" s="27">
        <f>IF(C235="","",SUMIFS(tbl_Finance[Ex GST],tbl_Finance[Job Number],C235&amp;""))</f>
        <v/>
      </c>
      <c r="I235" s="27">
        <f>IF(C235="","",SUMIFS(tbl_Finance[Ex GST],tbl_Finance[Job Number],C235&amp;"",tbl_Finance[Xero Invoice No],"&lt;&gt;"))</f>
        <v/>
      </c>
      <c r="J235" s="27">
        <f>IF(C235="","",H235-I235)</f>
        <v/>
      </c>
      <c r="K235" s="25">
        <f>IF(C235="","",IF(G235=0,"not invoiced yet",SUBSTITUTE(TRIM(IF(COUNTIFS(tbl_Finance[Job Number],C235&amp;"",tbl_Finance[Cost Centre],"ONSITE")&gt;0,"ONSITE ","")&amp;IF(COUNTIFS(tbl_Finance[Job Number],C235&amp;"",tbl_Finance[Cost Centre],"PRODUCTION")&gt;0,"PRODUCTION ","")&amp;IF(COUNTIFS(tbl_Finance[Job Number],C235&amp;"",tbl_Finance[Cost Centre],"VIDEO")&gt;0,"VIDEO ","")&amp;IF(COUNTIFS(tbl_Finance[Job Number],C235&amp;"",tbl_Finance[Cost Centre],"INTEGRATION")&gt;0,"INTEGRATION ","")&amp;IF(COUNTIFS(tbl_Finance[Job Number],C235&amp;"",tbl_Finance[Cost Centre],"CONSULTING")&gt;0,"CONSULTING ","")&amp;IF(COUNTIFS(tbl_Finance[Job Number],C235&amp;"",tbl_Finance[Cost Centre],"CTS")&gt;0,"CTS ",""))," ",", ")))</f>
        <v/>
      </c>
      <c r="L235" s="24" t="n"/>
      <c r="M235" s="25">
        <f>IF(L235="","",HYPERLINK(IF(LEFT(L235,4)="http",L235,set_QwilrBase&amp;L235),"Open quote"))</f>
        <v/>
      </c>
      <c r="N235" s="26" t="n"/>
      <c r="O235" s="26" t="n"/>
      <c r="P235" s="26" t="n"/>
      <c r="Q235" s="25">
        <f>IF(C235="","",IF(N(N235)+N(O235)+N(P235)=0,"Not split",IF(ROUND(N(N235)+N(O235)+N(P235),2)=ROUND(H235,2),"OK","MISMATCH")))</f>
        <v/>
      </c>
      <c r="R235" s="26" t="n"/>
      <c r="S235" s="26" t="n"/>
      <c r="T235" s="26" t="n"/>
      <c r="U235" s="27">
        <f>IF(C235="","",N(R235)+N(S235)+N(T235))</f>
        <v/>
      </c>
      <c r="V235" s="27">
        <f>IF(C235="","",H235-U235)</f>
        <v/>
      </c>
      <c r="W235" s="29">
        <f>IFERROR(V235/H235,"")</f>
        <v/>
      </c>
      <c r="X235" s="24" t="n"/>
    </row>
    <row r="236" ht="15" customHeight="1">
      <c r="A236" s="68">
        <f>IF(C236="","",IFERROR(IF(SUMPRODUCT(MAX((tbl_Finance[Job Number]=C236&amp;"")*(tbl_Finance[Xero Invoice No]&lt;&gt;"")*tbl_Finance[Date]))=0,"",SUMPRODUCT(MAX((tbl_Finance[Job Number]=C236&amp;"")*(tbl_Finance[Xero Invoice No]&lt;&gt;"")*tbl_Finance[Date]))),""))</f>
        <v/>
      </c>
      <c r="B236" s="25">
        <f>IF(C236="","",IF(COUNTIFS(tbl_Finance[Job Number],C236&amp;"",tbl_Finance[Xero Invoice No],"&lt;&gt;")=0,"",IFERROR(IF(COUNTIFS(tbl_Finance[Job Number],C236&amp;"",tbl_Finance[Xero Invoice No],LOOKUP(2,1/((tbl_Finance[Job Number]=C236&amp;"")*(tbl_Finance[Xero Invoice No]&lt;&gt;"")),tbl_Finance[Xero Invoice No]))=COUNTIFS(tbl_Finance[Job Number],C236&amp;"",tbl_Finance[Xero Invoice No],"&lt;&gt;"),LOOKUP(2,1/((tbl_Finance[Job Number]=C236&amp;"")*(tbl_Finance[Xero Invoice No]&lt;&gt;"")),tbl_Finance[Xero Invoice No]),LOOKUP(2,1/((tbl_Finance[Job Number]=C236&amp;"")*(tbl_Finance[Xero Invoice No]&lt;&gt;"")),tbl_Finance[Xero Invoice No])&amp;" +more"),"")))</f>
        <v/>
      </c>
      <c r="C236" s="24" t="n"/>
      <c r="D236" s="25">
        <f>IF(C236="","",IF(COUNTIF(lst_Jobs,C236&amp;"")&gt;0,"OK","CHECK"))</f>
        <v/>
      </c>
      <c r="E236" s="25">
        <f>IF(C236="","",IFERROR(INDEX(lst_JobName,MATCH(C236&amp;"",lst_Jobs,0)),""))</f>
        <v/>
      </c>
      <c r="F236" s="25">
        <f>IF(C236="","",IFERROR(INDEX(tbl_Finance[Client],MATCH(C236&amp;"",tbl_Finance[Job Number],0)),""))</f>
        <v/>
      </c>
      <c r="G236" s="28">
        <f>IF(C236="","",COUNTIFS(tbl_Finance[Job Number],C236&amp;"",tbl_Finance[Ex GST],"&lt;&gt;"))</f>
        <v/>
      </c>
      <c r="H236" s="27">
        <f>IF(C236="","",SUMIFS(tbl_Finance[Ex GST],tbl_Finance[Job Number],C236&amp;""))</f>
        <v/>
      </c>
      <c r="I236" s="27">
        <f>IF(C236="","",SUMIFS(tbl_Finance[Ex GST],tbl_Finance[Job Number],C236&amp;"",tbl_Finance[Xero Invoice No],"&lt;&gt;"))</f>
        <v/>
      </c>
      <c r="J236" s="27">
        <f>IF(C236="","",H236-I236)</f>
        <v/>
      </c>
      <c r="K236" s="25">
        <f>IF(C236="","",IF(G236=0,"not invoiced yet",SUBSTITUTE(TRIM(IF(COUNTIFS(tbl_Finance[Job Number],C236&amp;"",tbl_Finance[Cost Centre],"ONSITE")&gt;0,"ONSITE ","")&amp;IF(COUNTIFS(tbl_Finance[Job Number],C236&amp;"",tbl_Finance[Cost Centre],"PRODUCTION")&gt;0,"PRODUCTION ","")&amp;IF(COUNTIFS(tbl_Finance[Job Number],C236&amp;"",tbl_Finance[Cost Centre],"VIDEO")&gt;0,"VIDEO ","")&amp;IF(COUNTIFS(tbl_Finance[Job Number],C236&amp;"",tbl_Finance[Cost Centre],"INTEGRATION")&gt;0,"INTEGRATION ","")&amp;IF(COUNTIFS(tbl_Finance[Job Number],C236&amp;"",tbl_Finance[Cost Centre],"CONSULTING")&gt;0,"CONSULTING ","")&amp;IF(COUNTIFS(tbl_Finance[Job Number],C236&amp;"",tbl_Finance[Cost Centre],"CTS")&gt;0,"CTS ",""))," ",", ")))</f>
        <v/>
      </c>
      <c r="L236" s="24" t="n"/>
      <c r="M236" s="25">
        <f>IF(L236="","",HYPERLINK(IF(LEFT(L236,4)="http",L236,set_QwilrBase&amp;L236),"Open quote"))</f>
        <v/>
      </c>
      <c r="N236" s="26" t="n"/>
      <c r="O236" s="26" t="n"/>
      <c r="P236" s="26" t="n"/>
      <c r="Q236" s="25">
        <f>IF(C236="","",IF(N(N236)+N(O236)+N(P236)=0,"Not split",IF(ROUND(N(N236)+N(O236)+N(P236),2)=ROUND(H236,2),"OK","MISMATCH")))</f>
        <v/>
      </c>
      <c r="R236" s="26" t="n"/>
      <c r="S236" s="26" t="n"/>
      <c r="T236" s="26" t="n"/>
      <c r="U236" s="27">
        <f>IF(C236="","",N(R236)+N(S236)+N(T236))</f>
        <v/>
      </c>
      <c r="V236" s="27">
        <f>IF(C236="","",H236-U236)</f>
        <v/>
      </c>
      <c r="W236" s="29">
        <f>IFERROR(V236/H236,"")</f>
        <v/>
      </c>
      <c r="X236" s="24" t="n"/>
    </row>
    <row r="237" ht="15" customHeight="1">
      <c r="A237" s="68">
        <f>IF(C237="","",IFERROR(IF(SUMPRODUCT(MAX((tbl_Finance[Job Number]=C237&amp;"")*(tbl_Finance[Xero Invoice No]&lt;&gt;"")*tbl_Finance[Date]))=0,"",SUMPRODUCT(MAX((tbl_Finance[Job Number]=C237&amp;"")*(tbl_Finance[Xero Invoice No]&lt;&gt;"")*tbl_Finance[Date]))),""))</f>
        <v/>
      </c>
      <c r="B237" s="25">
        <f>IF(C237="","",IF(COUNTIFS(tbl_Finance[Job Number],C237&amp;"",tbl_Finance[Xero Invoice No],"&lt;&gt;")=0,"",IFERROR(IF(COUNTIFS(tbl_Finance[Job Number],C237&amp;"",tbl_Finance[Xero Invoice No],LOOKUP(2,1/((tbl_Finance[Job Number]=C237&amp;"")*(tbl_Finance[Xero Invoice No]&lt;&gt;"")),tbl_Finance[Xero Invoice No]))=COUNTIFS(tbl_Finance[Job Number],C237&amp;"",tbl_Finance[Xero Invoice No],"&lt;&gt;"),LOOKUP(2,1/((tbl_Finance[Job Number]=C237&amp;"")*(tbl_Finance[Xero Invoice No]&lt;&gt;"")),tbl_Finance[Xero Invoice No]),LOOKUP(2,1/((tbl_Finance[Job Number]=C237&amp;"")*(tbl_Finance[Xero Invoice No]&lt;&gt;"")),tbl_Finance[Xero Invoice No])&amp;" +more"),"")))</f>
        <v/>
      </c>
      <c r="C237" s="24" t="n"/>
      <c r="D237" s="25">
        <f>IF(C237="","",IF(COUNTIF(lst_Jobs,C237&amp;"")&gt;0,"OK","CHECK"))</f>
        <v/>
      </c>
      <c r="E237" s="25">
        <f>IF(C237="","",IFERROR(INDEX(lst_JobName,MATCH(C237&amp;"",lst_Jobs,0)),""))</f>
        <v/>
      </c>
      <c r="F237" s="25">
        <f>IF(C237="","",IFERROR(INDEX(tbl_Finance[Client],MATCH(C237&amp;"",tbl_Finance[Job Number],0)),""))</f>
        <v/>
      </c>
      <c r="G237" s="28">
        <f>IF(C237="","",COUNTIFS(tbl_Finance[Job Number],C237&amp;"",tbl_Finance[Ex GST],"&lt;&gt;"))</f>
        <v/>
      </c>
      <c r="H237" s="27">
        <f>IF(C237="","",SUMIFS(tbl_Finance[Ex GST],tbl_Finance[Job Number],C237&amp;""))</f>
        <v/>
      </c>
      <c r="I237" s="27">
        <f>IF(C237="","",SUMIFS(tbl_Finance[Ex GST],tbl_Finance[Job Number],C237&amp;"",tbl_Finance[Xero Invoice No],"&lt;&gt;"))</f>
        <v/>
      </c>
      <c r="J237" s="27">
        <f>IF(C237="","",H237-I237)</f>
        <v/>
      </c>
      <c r="K237" s="25">
        <f>IF(C237="","",IF(G237=0,"not invoiced yet",SUBSTITUTE(TRIM(IF(COUNTIFS(tbl_Finance[Job Number],C237&amp;"",tbl_Finance[Cost Centre],"ONSITE")&gt;0,"ONSITE ","")&amp;IF(COUNTIFS(tbl_Finance[Job Number],C237&amp;"",tbl_Finance[Cost Centre],"PRODUCTION")&gt;0,"PRODUCTION ","")&amp;IF(COUNTIFS(tbl_Finance[Job Number],C237&amp;"",tbl_Finance[Cost Centre],"VIDEO")&gt;0,"VIDEO ","")&amp;IF(COUNTIFS(tbl_Finance[Job Number],C237&amp;"",tbl_Finance[Cost Centre],"INTEGRATION")&gt;0,"INTEGRATION ","")&amp;IF(COUNTIFS(tbl_Finance[Job Number],C237&amp;"",tbl_Finance[Cost Centre],"CONSULTING")&gt;0,"CONSULTING ","")&amp;IF(COUNTIFS(tbl_Finance[Job Number],C237&amp;"",tbl_Finance[Cost Centre],"CTS")&gt;0,"CTS ",""))," ",", ")))</f>
        <v/>
      </c>
      <c r="L237" s="24" t="n"/>
      <c r="M237" s="25">
        <f>IF(L237="","",HYPERLINK(IF(LEFT(L237,4)="http",L237,set_QwilrBase&amp;L237),"Open quote"))</f>
        <v/>
      </c>
      <c r="N237" s="26" t="n"/>
      <c r="O237" s="26" t="n"/>
      <c r="P237" s="26" t="n"/>
      <c r="Q237" s="25">
        <f>IF(C237="","",IF(N(N237)+N(O237)+N(P237)=0,"Not split",IF(ROUND(N(N237)+N(O237)+N(P237),2)=ROUND(H237,2),"OK","MISMATCH")))</f>
        <v/>
      </c>
      <c r="R237" s="26" t="n"/>
      <c r="S237" s="26" t="n"/>
      <c r="T237" s="26" t="n"/>
      <c r="U237" s="27">
        <f>IF(C237="","",N(R237)+N(S237)+N(T237))</f>
        <v/>
      </c>
      <c r="V237" s="27">
        <f>IF(C237="","",H237-U237)</f>
        <v/>
      </c>
      <c r="W237" s="29">
        <f>IFERROR(V237/H237,"")</f>
        <v/>
      </c>
      <c r="X237" s="24" t="n"/>
    </row>
    <row r="238" ht="15" customHeight="1">
      <c r="A238" s="68">
        <f>IF(C238="","",IFERROR(IF(SUMPRODUCT(MAX((tbl_Finance[Job Number]=C238&amp;"")*(tbl_Finance[Xero Invoice No]&lt;&gt;"")*tbl_Finance[Date]))=0,"",SUMPRODUCT(MAX((tbl_Finance[Job Number]=C238&amp;"")*(tbl_Finance[Xero Invoice No]&lt;&gt;"")*tbl_Finance[Date]))),""))</f>
        <v/>
      </c>
      <c r="B238" s="25">
        <f>IF(C238="","",IF(COUNTIFS(tbl_Finance[Job Number],C238&amp;"",tbl_Finance[Xero Invoice No],"&lt;&gt;")=0,"",IFERROR(IF(COUNTIFS(tbl_Finance[Job Number],C238&amp;"",tbl_Finance[Xero Invoice No],LOOKUP(2,1/((tbl_Finance[Job Number]=C238&amp;"")*(tbl_Finance[Xero Invoice No]&lt;&gt;"")),tbl_Finance[Xero Invoice No]))=COUNTIFS(tbl_Finance[Job Number],C238&amp;"",tbl_Finance[Xero Invoice No],"&lt;&gt;"),LOOKUP(2,1/((tbl_Finance[Job Number]=C238&amp;"")*(tbl_Finance[Xero Invoice No]&lt;&gt;"")),tbl_Finance[Xero Invoice No]),LOOKUP(2,1/((tbl_Finance[Job Number]=C238&amp;"")*(tbl_Finance[Xero Invoice No]&lt;&gt;"")),tbl_Finance[Xero Invoice No])&amp;" +more"),"")))</f>
        <v/>
      </c>
      <c r="C238" s="24" t="n"/>
      <c r="D238" s="25">
        <f>IF(C238="","",IF(COUNTIF(lst_Jobs,C238&amp;"")&gt;0,"OK","CHECK"))</f>
        <v/>
      </c>
      <c r="E238" s="25">
        <f>IF(C238="","",IFERROR(INDEX(lst_JobName,MATCH(C238&amp;"",lst_Jobs,0)),""))</f>
        <v/>
      </c>
      <c r="F238" s="25">
        <f>IF(C238="","",IFERROR(INDEX(tbl_Finance[Client],MATCH(C238&amp;"",tbl_Finance[Job Number],0)),""))</f>
        <v/>
      </c>
      <c r="G238" s="28">
        <f>IF(C238="","",COUNTIFS(tbl_Finance[Job Number],C238&amp;"",tbl_Finance[Ex GST],"&lt;&gt;"))</f>
        <v/>
      </c>
      <c r="H238" s="27">
        <f>IF(C238="","",SUMIFS(tbl_Finance[Ex GST],tbl_Finance[Job Number],C238&amp;""))</f>
        <v/>
      </c>
      <c r="I238" s="27">
        <f>IF(C238="","",SUMIFS(tbl_Finance[Ex GST],tbl_Finance[Job Number],C238&amp;"",tbl_Finance[Xero Invoice No],"&lt;&gt;"))</f>
        <v/>
      </c>
      <c r="J238" s="27">
        <f>IF(C238="","",H238-I238)</f>
        <v/>
      </c>
      <c r="K238" s="25">
        <f>IF(C238="","",IF(G238=0,"not invoiced yet",SUBSTITUTE(TRIM(IF(COUNTIFS(tbl_Finance[Job Number],C238&amp;"",tbl_Finance[Cost Centre],"ONSITE")&gt;0,"ONSITE ","")&amp;IF(COUNTIFS(tbl_Finance[Job Number],C238&amp;"",tbl_Finance[Cost Centre],"PRODUCTION")&gt;0,"PRODUCTION ","")&amp;IF(COUNTIFS(tbl_Finance[Job Number],C238&amp;"",tbl_Finance[Cost Centre],"VIDEO")&gt;0,"VIDEO ","")&amp;IF(COUNTIFS(tbl_Finance[Job Number],C238&amp;"",tbl_Finance[Cost Centre],"INTEGRATION")&gt;0,"INTEGRATION ","")&amp;IF(COUNTIFS(tbl_Finance[Job Number],C238&amp;"",tbl_Finance[Cost Centre],"CONSULTING")&gt;0,"CONSULTING ","")&amp;IF(COUNTIFS(tbl_Finance[Job Number],C238&amp;"",tbl_Finance[Cost Centre],"CTS")&gt;0,"CTS ",""))," ",", ")))</f>
        <v/>
      </c>
      <c r="L238" s="24" t="n"/>
      <c r="M238" s="25">
        <f>IF(L238="","",HYPERLINK(IF(LEFT(L238,4)="http",L238,set_QwilrBase&amp;L238),"Open quote"))</f>
        <v/>
      </c>
      <c r="N238" s="26" t="n"/>
      <c r="O238" s="26" t="n"/>
      <c r="P238" s="26" t="n"/>
      <c r="Q238" s="25">
        <f>IF(C238="","",IF(N(N238)+N(O238)+N(P238)=0,"Not split",IF(ROUND(N(N238)+N(O238)+N(P238),2)=ROUND(H238,2),"OK","MISMATCH")))</f>
        <v/>
      </c>
      <c r="R238" s="26" t="n"/>
      <c r="S238" s="26" t="n"/>
      <c r="T238" s="26" t="n"/>
      <c r="U238" s="27">
        <f>IF(C238="","",N(R238)+N(S238)+N(T238))</f>
        <v/>
      </c>
      <c r="V238" s="27">
        <f>IF(C238="","",H238-U238)</f>
        <v/>
      </c>
      <c r="W238" s="29">
        <f>IFERROR(V238/H238,"")</f>
        <v/>
      </c>
      <c r="X238" s="24" t="n"/>
    </row>
    <row r="239" ht="15" customHeight="1">
      <c r="A239" s="68">
        <f>IF(C239="","",IFERROR(IF(SUMPRODUCT(MAX((tbl_Finance[Job Number]=C239&amp;"")*(tbl_Finance[Xero Invoice No]&lt;&gt;"")*tbl_Finance[Date]))=0,"",SUMPRODUCT(MAX((tbl_Finance[Job Number]=C239&amp;"")*(tbl_Finance[Xero Invoice No]&lt;&gt;"")*tbl_Finance[Date]))),""))</f>
        <v/>
      </c>
      <c r="B239" s="25">
        <f>IF(C239="","",IF(COUNTIFS(tbl_Finance[Job Number],C239&amp;"",tbl_Finance[Xero Invoice No],"&lt;&gt;")=0,"",IFERROR(IF(COUNTIFS(tbl_Finance[Job Number],C239&amp;"",tbl_Finance[Xero Invoice No],LOOKUP(2,1/((tbl_Finance[Job Number]=C239&amp;"")*(tbl_Finance[Xero Invoice No]&lt;&gt;"")),tbl_Finance[Xero Invoice No]))=COUNTIFS(tbl_Finance[Job Number],C239&amp;"",tbl_Finance[Xero Invoice No],"&lt;&gt;"),LOOKUP(2,1/((tbl_Finance[Job Number]=C239&amp;"")*(tbl_Finance[Xero Invoice No]&lt;&gt;"")),tbl_Finance[Xero Invoice No]),LOOKUP(2,1/((tbl_Finance[Job Number]=C239&amp;"")*(tbl_Finance[Xero Invoice No]&lt;&gt;"")),tbl_Finance[Xero Invoice No])&amp;" +more"),"")))</f>
        <v/>
      </c>
      <c r="C239" s="24" t="n"/>
      <c r="D239" s="25">
        <f>IF(C239="","",IF(COUNTIF(lst_Jobs,C239&amp;"")&gt;0,"OK","CHECK"))</f>
        <v/>
      </c>
      <c r="E239" s="25">
        <f>IF(C239="","",IFERROR(INDEX(lst_JobName,MATCH(C239&amp;"",lst_Jobs,0)),""))</f>
        <v/>
      </c>
      <c r="F239" s="25">
        <f>IF(C239="","",IFERROR(INDEX(tbl_Finance[Client],MATCH(C239&amp;"",tbl_Finance[Job Number],0)),""))</f>
        <v/>
      </c>
      <c r="G239" s="28">
        <f>IF(C239="","",COUNTIFS(tbl_Finance[Job Number],C239&amp;"",tbl_Finance[Ex GST],"&lt;&gt;"))</f>
        <v/>
      </c>
      <c r="H239" s="27">
        <f>IF(C239="","",SUMIFS(tbl_Finance[Ex GST],tbl_Finance[Job Number],C239&amp;""))</f>
        <v/>
      </c>
      <c r="I239" s="27">
        <f>IF(C239="","",SUMIFS(tbl_Finance[Ex GST],tbl_Finance[Job Number],C239&amp;"",tbl_Finance[Xero Invoice No],"&lt;&gt;"))</f>
        <v/>
      </c>
      <c r="J239" s="27">
        <f>IF(C239="","",H239-I239)</f>
        <v/>
      </c>
      <c r="K239" s="25">
        <f>IF(C239="","",IF(G239=0,"not invoiced yet",SUBSTITUTE(TRIM(IF(COUNTIFS(tbl_Finance[Job Number],C239&amp;"",tbl_Finance[Cost Centre],"ONSITE")&gt;0,"ONSITE ","")&amp;IF(COUNTIFS(tbl_Finance[Job Number],C239&amp;"",tbl_Finance[Cost Centre],"PRODUCTION")&gt;0,"PRODUCTION ","")&amp;IF(COUNTIFS(tbl_Finance[Job Number],C239&amp;"",tbl_Finance[Cost Centre],"VIDEO")&gt;0,"VIDEO ","")&amp;IF(COUNTIFS(tbl_Finance[Job Number],C239&amp;"",tbl_Finance[Cost Centre],"INTEGRATION")&gt;0,"INTEGRATION ","")&amp;IF(COUNTIFS(tbl_Finance[Job Number],C239&amp;"",tbl_Finance[Cost Centre],"CONSULTING")&gt;0,"CONSULTING ","")&amp;IF(COUNTIFS(tbl_Finance[Job Number],C239&amp;"",tbl_Finance[Cost Centre],"CTS")&gt;0,"CTS ",""))," ",", ")))</f>
        <v/>
      </c>
      <c r="L239" s="24" t="n"/>
      <c r="M239" s="25">
        <f>IF(L239="","",HYPERLINK(IF(LEFT(L239,4)="http",L239,set_QwilrBase&amp;L239),"Open quote"))</f>
        <v/>
      </c>
      <c r="N239" s="26" t="n"/>
      <c r="O239" s="26" t="n"/>
      <c r="P239" s="26" t="n"/>
      <c r="Q239" s="25">
        <f>IF(C239="","",IF(N(N239)+N(O239)+N(P239)=0,"Not split",IF(ROUND(N(N239)+N(O239)+N(P239),2)=ROUND(H239,2),"OK","MISMATCH")))</f>
        <v/>
      </c>
      <c r="R239" s="26" t="n"/>
      <c r="S239" s="26" t="n"/>
      <c r="T239" s="26" t="n"/>
      <c r="U239" s="27">
        <f>IF(C239="","",N(R239)+N(S239)+N(T239))</f>
        <v/>
      </c>
      <c r="V239" s="27">
        <f>IF(C239="","",H239-U239)</f>
        <v/>
      </c>
      <c r="W239" s="29">
        <f>IFERROR(V239/H239,"")</f>
        <v/>
      </c>
      <c r="X239" s="24" t="n"/>
    </row>
    <row r="240" ht="15" customHeight="1">
      <c r="A240" s="68">
        <f>IF(C240="","",IFERROR(IF(SUMPRODUCT(MAX((tbl_Finance[Job Number]=C240&amp;"")*(tbl_Finance[Xero Invoice No]&lt;&gt;"")*tbl_Finance[Date]))=0,"",SUMPRODUCT(MAX((tbl_Finance[Job Number]=C240&amp;"")*(tbl_Finance[Xero Invoice No]&lt;&gt;"")*tbl_Finance[Date]))),""))</f>
        <v/>
      </c>
      <c r="B240" s="25">
        <f>IF(C240="","",IF(COUNTIFS(tbl_Finance[Job Number],C240&amp;"",tbl_Finance[Xero Invoice No],"&lt;&gt;")=0,"",IFERROR(IF(COUNTIFS(tbl_Finance[Job Number],C240&amp;"",tbl_Finance[Xero Invoice No],LOOKUP(2,1/((tbl_Finance[Job Number]=C240&amp;"")*(tbl_Finance[Xero Invoice No]&lt;&gt;"")),tbl_Finance[Xero Invoice No]))=COUNTIFS(tbl_Finance[Job Number],C240&amp;"",tbl_Finance[Xero Invoice No],"&lt;&gt;"),LOOKUP(2,1/((tbl_Finance[Job Number]=C240&amp;"")*(tbl_Finance[Xero Invoice No]&lt;&gt;"")),tbl_Finance[Xero Invoice No]),LOOKUP(2,1/((tbl_Finance[Job Number]=C240&amp;"")*(tbl_Finance[Xero Invoice No]&lt;&gt;"")),tbl_Finance[Xero Invoice No])&amp;" +more"),"")))</f>
        <v/>
      </c>
      <c r="C240" s="24" t="n"/>
      <c r="D240" s="25">
        <f>IF(C240="","",IF(COUNTIF(lst_Jobs,C240&amp;"")&gt;0,"OK","CHECK"))</f>
        <v/>
      </c>
      <c r="E240" s="25">
        <f>IF(C240="","",IFERROR(INDEX(lst_JobName,MATCH(C240&amp;"",lst_Jobs,0)),""))</f>
        <v/>
      </c>
      <c r="F240" s="25">
        <f>IF(C240="","",IFERROR(INDEX(tbl_Finance[Client],MATCH(C240&amp;"",tbl_Finance[Job Number],0)),""))</f>
        <v/>
      </c>
      <c r="G240" s="28">
        <f>IF(C240="","",COUNTIFS(tbl_Finance[Job Number],C240&amp;"",tbl_Finance[Ex GST],"&lt;&gt;"))</f>
        <v/>
      </c>
      <c r="H240" s="27">
        <f>IF(C240="","",SUMIFS(tbl_Finance[Ex GST],tbl_Finance[Job Number],C240&amp;""))</f>
        <v/>
      </c>
      <c r="I240" s="27">
        <f>IF(C240="","",SUMIFS(tbl_Finance[Ex GST],tbl_Finance[Job Number],C240&amp;"",tbl_Finance[Xero Invoice No],"&lt;&gt;"))</f>
        <v/>
      </c>
      <c r="J240" s="27">
        <f>IF(C240="","",H240-I240)</f>
        <v/>
      </c>
      <c r="K240" s="25">
        <f>IF(C240="","",IF(G240=0,"not invoiced yet",SUBSTITUTE(TRIM(IF(COUNTIFS(tbl_Finance[Job Number],C240&amp;"",tbl_Finance[Cost Centre],"ONSITE")&gt;0,"ONSITE ","")&amp;IF(COUNTIFS(tbl_Finance[Job Number],C240&amp;"",tbl_Finance[Cost Centre],"PRODUCTION")&gt;0,"PRODUCTION ","")&amp;IF(COUNTIFS(tbl_Finance[Job Number],C240&amp;"",tbl_Finance[Cost Centre],"VIDEO")&gt;0,"VIDEO ","")&amp;IF(COUNTIFS(tbl_Finance[Job Number],C240&amp;"",tbl_Finance[Cost Centre],"INTEGRATION")&gt;0,"INTEGRATION ","")&amp;IF(COUNTIFS(tbl_Finance[Job Number],C240&amp;"",tbl_Finance[Cost Centre],"CONSULTING")&gt;0,"CONSULTING ","")&amp;IF(COUNTIFS(tbl_Finance[Job Number],C240&amp;"",tbl_Finance[Cost Centre],"CTS")&gt;0,"CTS ",""))," ",", ")))</f>
        <v/>
      </c>
      <c r="L240" s="24" t="n"/>
      <c r="M240" s="25">
        <f>IF(L240="","",HYPERLINK(IF(LEFT(L240,4)="http",L240,set_QwilrBase&amp;L240),"Open quote"))</f>
        <v/>
      </c>
      <c r="N240" s="26" t="n"/>
      <c r="O240" s="26" t="n"/>
      <c r="P240" s="26" t="n"/>
      <c r="Q240" s="25">
        <f>IF(C240="","",IF(N(N240)+N(O240)+N(P240)=0,"Not split",IF(ROUND(N(N240)+N(O240)+N(P240),2)=ROUND(H240,2),"OK","MISMATCH")))</f>
        <v/>
      </c>
      <c r="R240" s="26" t="n"/>
      <c r="S240" s="26" t="n"/>
      <c r="T240" s="26" t="n"/>
      <c r="U240" s="27">
        <f>IF(C240="","",N(R240)+N(S240)+N(T240))</f>
        <v/>
      </c>
      <c r="V240" s="27">
        <f>IF(C240="","",H240-U240)</f>
        <v/>
      </c>
      <c r="W240" s="29">
        <f>IFERROR(V240/H240,"")</f>
        <v/>
      </c>
      <c r="X240" s="24" t="n"/>
    </row>
    <row r="241" ht="15" customHeight="1">
      <c r="A241" s="68">
        <f>IF(C241="","",IFERROR(IF(SUMPRODUCT(MAX((tbl_Finance[Job Number]=C241&amp;"")*(tbl_Finance[Xero Invoice No]&lt;&gt;"")*tbl_Finance[Date]))=0,"",SUMPRODUCT(MAX((tbl_Finance[Job Number]=C241&amp;"")*(tbl_Finance[Xero Invoice No]&lt;&gt;"")*tbl_Finance[Date]))),""))</f>
        <v/>
      </c>
      <c r="B241" s="25">
        <f>IF(C241="","",IF(COUNTIFS(tbl_Finance[Job Number],C241&amp;"",tbl_Finance[Xero Invoice No],"&lt;&gt;")=0,"",IFERROR(IF(COUNTIFS(tbl_Finance[Job Number],C241&amp;"",tbl_Finance[Xero Invoice No],LOOKUP(2,1/((tbl_Finance[Job Number]=C241&amp;"")*(tbl_Finance[Xero Invoice No]&lt;&gt;"")),tbl_Finance[Xero Invoice No]))=COUNTIFS(tbl_Finance[Job Number],C241&amp;"",tbl_Finance[Xero Invoice No],"&lt;&gt;"),LOOKUP(2,1/((tbl_Finance[Job Number]=C241&amp;"")*(tbl_Finance[Xero Invoice No]&lt;&gt;"")),tbl_Finance[Xero Invoice No]),LOOKUP(2,1/((tbl_Finance[Job Number]=C241&amp;"")*(tbl_Finance[Xero Invoice No]&lt;&gt;"")),tbl_Finance[Xero Invoice No])&amp;" +more"),"")))</f>
        <v/>
      </c>
      <c r="C241" s="24" t="n"/>
      <c r="D241" s="25">
        <f>IF(C241="","",IF(COUNTIF(lst_Jobs,C241&amp;"")&gt;0,"OK","CHECK"))</f>
        <v/>
      </c>
      <c r="E241" s="25">
        <f>IF(C241="","",IFERROR(INDEX(lst_JobName,MATCH(C241&amp;"",lst_Jobs,0)),""))</f>
        <v/>
      </c>
      <c r="F241" s="25">
        <f>IF(C241="","",IFERROR(INDEX(tbl_Finance[Client],MATCH(C241&amp;"",tbl_Finance[Job Number],0)),""))</f>
        <v/>
      </c>
      <c r="G241" s="28">
        <f>IF(C241="","",COUNTIFS(tbl_Finance[Job Number],C241&amp;"",tbl_Finance[Ex GST],"&lt;&gt;"))</f>
        <v/>
      </c>
      <c r="H241" s="27">
        <f>IF(C241="","",SUMIFS(tbl_Finance[Ex GST],tbl_Finance[Job Number],C241&amp;""))</f>
        <v/>
      </c>
      <c r="I241" s="27">
        <f>IF(C241="","",SUMIFS(tbl_Finance[Ex GST],tbl_Finance[Job Number],C241&amp;"",tbl_Finance[Xero Invoice No],"&lt;&gt;"))</f>
        <v/>
      </c>
      <c r="J241" s="27">
        <f>IF(C241="","",H241-I241)</f>
        <v/>
      </c>
      <c r="K241" s="25">
        <f>IF(C241="","",IF(G241=0,"not invoiced yet",SUBSTITUTE(TRIM(IF(COUNTIFS(tbl_Finance[Job Number],C241&amp;"",tbl_Finance[Cost Centre],"ONSITE")&gt;0,"ONSITE ","")&amp;IF(COUNTIFS(tbl_Finance[Job Number],C241&amp;"",tbl_Finance[Cost Centre],"PRODUCTION")&gt;0,"PRODUCTION ","")&amp;IF(COUNTIFS(tbl_Finance[Job Number],C241&amp;"",tbl_Finance[Cost Centre],"VIDEO")&gt;0,"VIDEO ","")&amp;IF(COUNTIFS(tbl_Finance[Job Number],C241&amp;"",tbl_Finance[Cost Centre],"INTEGRATION")&gt;0,"INTEGRATION ","")&amp;IF(COUNTIFS(tbl_Finance[Job Number],C241&amp;"",tbl_Finance[Cost Centre],"CONSULTING")&gt;0,"CONSULTING ","")&amp;IF(COUNTIFS(tbl_Finance[Job Number],C241&amp;"",tbl_Finance[Cost Centre],"CTS")&gt;0,"CTS ",""))," ",", ")))</f>
        <v/>
      </c>
      <c r="L241" s="24" t="n"/>
      <c r="M241" s="25">
        <f>IF(L241="","",HYPERLINK(IF(LEFT(L241,4)="http",L241,set_QwilrBase&amp;L241),"Open quote"))</f>
        <v/>
      </c>
      <c r="N241" s="26" t="n"/>
      <c r="O241" s="26" t="n"/>
      <c r="P241" s="26" t="n"/>
      <c r="Q241" s="25">
        <f>IF(C241="","",IF(N(N241)+N(O241)+N(P241)=0,"Not split",IF(ROUND(N(N241)+N(O241)+N(P241),2)=ROUND(H241,2),"OK","MISMATCH")))</f>
        <v/>
      </c>
      <c r="R241" s="26" t="n"/>
      <c r="S241" s="26" t="n"/>
      <c r="T241" s="26" t="n"/>
      <c r="U241" s="27">
        <f>IF(C241="","",N(R241)+N(S241)+N(T241))</f>
        <v/>
      </c>
      <c r="V241" s="27">
        <f>IF(C241="","",H241-U241)</f>
        <v/>
      </c>
      <c r="W241" s="29">
        <f>IFERROR(V241/H241,"")</f>
        <v/>
      </c>
      <c r="X241" s="24" t="n"/>
    </row>
    <row r="242" ht="15" customHeight="1">
      <c r="A242" s="68">
        <f>IF(C242="","",IFERROR(IF(SUMPRODUCT(MAX((tbl_Finance[Job Number]=C242&amp;"")*(tbl_Finance[Xero Invoice No]&lt;&gt;"")*tbl_Finance[Date]))=0,"",SUMPRODUCT(MAX((tbl_Finance[Job Number]=C242&amp;"")*(tbl_Finance[Xero Invoice No]&lt;&gt;"")*tbl_Finance[Date]))),""))</f>
        <v/>
      </c>
      <c r="B242" s="25">
        <f>IF(C242="","",IF(COUNTIFS(tbl_Finance[Job Number],C242&amp;"",tbl_Finance[Xero Invoice No],"&lt;&gt;")=0,"",IFERROR(IF(COUNTIFS(tbl_Finance[Job Number],C242&amp;"",tbl_Finance[Xero Invoice No],LOOKUP(2,1/((tbl_Finance[Job Number]=C242&amp;"")*(tbl_Finance[Xero Invoice No]&lt;&gt;"")),tbl_Finance[Xero Invoice No]))=COUNTIFS(tbl_Finance[Job Number],C242&amp;"",tbl_Finance[Xero Invoice No],"&lt;&gt;"),LOOKUP(2,1/((tbl_Finance[Job Number]=C242&amp;"")*(tbl_Finance[Xero Invoice No]&lt;&gt;"")),tbl_Finance[Xero Invoice No]),LOOKUP(2,1/((tbl_Finance[Job Number]=C242&amp;"")*(tbl_Finance[Xero Invoice No]&lt;&gt;"")),tbl_Finance[Xero Invoice No])&amp;" +more"),"")))</f>
        <v/>
      </c>
      <c r="C242" s="24" t="n"/>
      <c r="D242" s="25">
        <f>IF(C242="","",IF(COUNTIF(lst_Jobs,C242&amp;"")&gt;0,"OK","CHECK"))</f>
        <v/>
      </c>
      <c r="E242" s="25">
        <f>IF(C242="","",IFERROR(INDEX(lst_JobName,MATCH(C242&amp;"",lst_Jobs,0)),""))</f>
        <v/>
      </c>
      <c r="F242" s="25">
        <f>IF(C242="","",IFERROR(INDEX(tbl_Finance[Client],MATCH(C242&amp;"",tbl_Finance[Job Number],0)),""))</f>
        <v/>
      </c>
      <c r="G242" s="28">
        <f>IF(C242="","",COUNTIFS(tbl_Finance[Job Number],C242&amp;"",tbl_Finance[Ex GST],"&lt;&gt;"))</f>
        <v/>
      </c>
      <c r="H242" s="27">
        <f>IF(C242="","",SUMIFS(tbl_Finance[Ex GST],tbl_Finance[Job Number],C242&amp;""))</f>
        <v/>
      </c>
      <c r="I242" s="27">
        <f>IF(C242="","",SUMIFS(tbl_Finance[Ex GST],tbl_Finance[Job Number],C242&amp;"",tbl_Finance[Xero Invoice No],"&lt;&gt;"))</f>
        <v/>
      </c>
      <c r="J242" s="27">
        <f>IF(C242="","",H242-I242)</f>
        <v/>
      </c>
      <c r="K242" s="25">
        <f>IF(C242="","",IF(G242=0,"not invoiced yet",SUBSTITUTE(TRIM(IF(COUNTIFS(tbl_Finance[Job Number],C242&amp;"",tbl_Finance[Cost Centre],"ONSITE")&gt;0,"ONSITE ","")&amp;IF(COUNTIFS(tbl_Finance[Job Number],C242&amp;"",tbl_Finance[Cost Centre],"PRODUCTION")&gt;0,"PRODUCTION ","")&amp;IF(COUNTIFS(tbl_Finance[Job Number],C242&amp;"",tbl_Finance[Cost Centre],"VIDEO")&gt;0,"VIDEO ","")&amp;IF(COUNTIFS(tbl_Finance[Job Number],C242&amp;"",tbl_Finance[Cost Centre],"INTEGRATION")&gt;0,"INTEGRATION ","")&amp;IF(COUNTIFS(tbl_Finance[Job Number],C242&amp;"",tbl_Finance[Cost Centre],"CONSULTING")&gt;0,"CONSULTING ","")&amp;IF(COUNTIFS(tbl_Finance[Job Number],C242&amp;"",tbl_Finance[Cost Centre],"CTS")&gt;0,"CTS ",""))," ",", ")))</f>
        <v/>
      </c>
      <c r="L242" s="24" t="n"/>
      <c r="M242" s="25">
        <f>IF(L242="","",HYPERLINK(IF(LEFT(L242,4)="http",L242,set_QwilrBase&amp;L242),"Open quote"))</f>
        <v/>
      </c>
      <c r="N242" s="26" t="n"/>
      <c r="O242" s="26" t="n"/>
      <c r="P242" s="26" t="n"/>
      <c r="Q242" s="25">
        <f>IF(C242="","",IF(N(N242)+N(O242)+N(P242)=0,"Not split",IF(ROUND(N(N242)+N(O242)+N(P242),2)=ROUND(H242,2),"OK","MISMATCH")))</f>
        <v/>
      </c>
      <c r="R242" s="26" t="n"/>
      <c r="S242" s="26" t="n"/>
      <c r="T242" s="26" t="n"/>
      <c r="U242" s="27">
        <f>IF(C242="","",N(R242)+N(S242)+N(T242))</f>
        <v/>
      </c>
      <c r="V242" s="27">
        <f>IF(C242="","",H242-U242)</f>
        <v/>
      </c>
      <c r="W242" s="29">
        <f>IFERROR(V242/H242,"")</f>
        <v/>
      </c>
      <c r="X242" s="24" t="n"/>
    </row>
    <row r="243" ht="15" customHeight="1">
      <c r="A243" s="68">
        <f>IF(C243="","",IFERROR(IF(SUMPRODUCT(MAX((tbl_Finance[Job Number]=C243&amp;"")*(tbl_Finance[Xero Invoice No]&lt;&gt;"")*tbl_Finance[Date]))=0,"",SUMPRODUCT(MAX((tbl_Finance[Job Number]=C243&amp;"")*(tbl_Finance[Xero Invoice No]&lt;&gt;"")*tbl_Finance[Date]))),""))</f>
        <v/>
      </c>
      <c r="B243" s="25">
        <f>IF(C243="","",IF(COUNTIFS(tbl_Finance[Job Number],C243&amp;"",tbl_Finance[Xero Invoice No],"&lt;&gt;")=0,"",IFERROR(IF(COUNTIFS(tbl_Finance[Job Number],C243&amp;"",tbl_Finance[Xero Invoice No],LOOKUP(2,1/((tbl_Finance[Job Number]=C243&amp;"")*(tbl_Finance[Xero Invoice No]&lt;&gt;"")),tbl_Finance[Xero Invoice No]))=COUNTIFS(tbl_Finance[Job Number],C243&amp;"",tbl_Finance[Xero Invoice No],"&lt;&gt;"),LOOKUP(2,1/((tbl_Finance[Job Number]=C243&amp;"")*(tbl_Finance[Xero Invoice No]&lt;&gt;"")),tbl_Finance[Xero Invoice No]),LOOKUP(2,1/((tbl_Finance[Job Number]=C243&amp;"")*(tbl_Finance[Xero Invoice No]&lt;&gt;"")),tbl_Finance[Xero Invoice No])&amp;" +more"),"")))</f>
        <v/>
      </c>
      <c r="C243" s="24" t="n"/>
      <c r="D243" s="25">
        <f>IF(C243="","",IF(COUNTIF(lst_Jobs,C243&amp;"")&gt;0,"OK","CHECK"))</f>
        <v/>
      </c>
      <c r="E243" s="25">
        <f>IF(C243="","",IFERROR(INDEX(lst_JobName,MATCH(C243&amp;"",lst_Jobs,0)),""))</f>
        <v/>
      </c>
      <c r="F243" s="25">
        <f>IF(C243="","",IFERROR(INDEX(tbl_Finance[Client],MATCH(C243&amp;"",tbl_Finance[Job Number],0)),""))</f>
        <v/>
      </c>
      <c r="G243" s="28">
        <f>IF(C243="","",COUNTIFS(tbl_Finance[Job Number],C243&amp;"",tbl_Finance[Ex GST],"&lt;&gt;"))</f>
        <v/>
      </c>
      <c r="H243" s="27">
        <f>IF(C243="","",SUMIFS(tbl_Finance[Ex GST],tbl_Finance[Job Number],C243&amp;""))</f>
        <v/>
      </c>
      <c r="I243" s="27">
        <f>IF(C243="","",SUMIFS(tbl_Finance[Ex GST],tbl_Finance[Job Number],C243&amp;"",tbl_Finance[Xero Invoice No],"&lt;&gt;"))</f>
        <v/>
      </c>
      <c r="J243" s="27">
        <f>IF(C243="","",H243-I243)</f>
        <v/>
      </c>
      <c r="K243" s="25">
        <f>IF(C243="","",IF(G243=0,"not invoiced yet",SUBSTITUTE(TRIM(IF(COUNTIFS(tbl_Finance[Job Number],C243&amp;"",tbl_Finance[Cost Centre],"ONSITE")&gt;0,"ONSITE ","")&amp;IF(COUNTIFS(tbl_Finance[Job Number],C243&amp;"",tbl_Finance[Cost Centre],"PRODUCTION")&gt;0,"PRODUCTION ","")&amp;IF(COUNTIFS(tbl_Finance[Job Number],C243&amp;"",tbl_Finance[Cost Centre],"VIDEO")&gt;0,"VIDEO ","")&amp;IF(COUNTIFS(tbl_Finance[Job Number],C243&amp;"",tbl_Finance[Cost Centre],"INTEGRATION")&gt;0,"INTEGRATION ","")&amp;IF(COUNTIFS(tbl_Finance[Job Number],C243&amp;"",tbl_Finance[Cost Centre],"CONSULTING")&gt;0,"CONSULTING ","")&amp;IF(COUNTIFS(tbl_Finance[Job Number],C243&amp;"",tbl_Finance[Cost Centre],"CTS")&gt;0,"CTS ",""))," ",", ")))</f>
        <v/>
      </c>
      <c r="L243" s="24" t="n"/>
      <c r="M243" s="25">
        <f>IF(L243="","",HYPERLINK(IF(LEFT(L243,4)="http",L243,set_QwilrBase&amp;L243),"Open quote"))</f>
        <v/>
      </c>
      <c r="N243" s="26" t="n"/>
      <c r="O243" s="26" t="n"/>
      <c r="P243" s="26" t="n"/>
      <c r="Q243" s="25">
        <f>IF(C243="","",IF(N(N243)+N(O243)+N(P243)=0,"Not split",IF(ROUND(N(N243)+N(O243)+N(P243),2)=ROUND(H243,2),"OK","MISMATCH")))</f>
        <v/>
      </c>
      <c r="R243" s="26" t="n"/>
      <c r="S243" s="26" t="n"/>
      <c r="T243" s="26" t="n"/>
      <c r="U243" s="27">
        <f>IF(C243="","",N(R243)+N(S243)+N(T243))</f>
        <v/>
      </c>
      <c r="V243" s="27">
        <f>IF(C243="","",H243-U243)</f>
        <v/>
      </c>
      <c r="W243" s="29">
        <f>IFERROR(V243/H243,"")</f>
        <v/>
      </c>
      <c r="X243" s="24" t="n"/>
    </row>
    <row r="244" ht="15" customHeight="1">
      <c r="A244" s="68">
        <f>IF(C244="","",IFERROR(IF(SUMPRODUCT(MAX((tbl_Finance[Job Number]=C244&amp;"")*(tbl_Finance[Xero Invoice No]&lt;&gt;"")*tbl_Finance[Date]))=0,"",SUMPRODUCT(MAX((tbl_Finance[Job Number]=C244&amp;"")*(tbl_Finance[Xero Invoice No]&lt;&gt;"")*tbl_Finance[Date]))),""))</f>
        <v/>
      </c>
      <c r="B244" s="25">
        <f>IF(C244="","",IF(COUNTIFS(tbl_Finance[Job Number],C244&amp;"",tbl_Finance[Xero Invoice No],"&lt;&gt;")=0,"",IFERROR(IF(COUNTIFS(tbl_Finance[Job Number],C244&amp;"",tbl_Finance[Xero Invoice No],LOOKUP(2,1/((tbl_Finance[Job Number]=C244&amp;"")*(tbl_Finance[Xero Invoice No]&lt;&gt;"")),tbl_Finance[Xero Invoice No]))=COUNTIFS(tbl_Finance[Job Number],C244&amp;"",tbl_Finance[Xero Invoice No],"&lt;&gt;"),LOOKUP(2,1/((tbl_Finance[Job Number]=C244&amp;"")*(tbl_Finance[Xero Invoice No]&lt;&gt;"")),tbl_Finance[Xero Invoice No]),LOOKUP(2,1/((tbl_Finance[Job Number]=C244&amp;"")*(tbl_Finance[Xero Invoice No]&lt;&gt;"")),tbl_Finance[Xero Invoice No])&amp;" +more"),"")))</f>
        <v/>
      </c>
      <c r="C244" s="24" t="n"/>
      <c r="D244" s="25">
        <f>IF(C244="","",IF(COUNTIF(lst_Jobs,C244&amp;"")&gt;0,"OK","CHECK"))</f>
        <v/>
      </c>
      <c r="E244" s="25">
        <f>IF(C244="","",IFERROR(INDEX(lst_JobName,MATCH(C244&amp;"",lst_Jobs,0)),""))</f>
        <v/>
      </c>
      <c r="F244" s="25">
        <f>IF(C244="","",IFERROR(INDEX(tbl_Finance[Client],MATCH(C244&amp;"",tbl_Finance[Job Number],0)),""))</f>
        <v/>
      </c>
      <c r="G244" s="28">
        <f>IF(C244="","",COUNTIFS(tbl_Finance[Job Number],C244&amp;"",tbl_Finance[Ex GST],"&lt;&gt;"))</f>
        <v/>
      </c>
      <c r="H244" s="27">
        <f>IF(C244="","",SUMIFS(tbl_Finance[Ex GST],tbl_Finance[Job Number],C244&amp;""))</f>
        <v/>
      </c>
      <c r="I244" s="27">
        <f>IF(C244="","",SUMIFS(tbl_Finance[Ex GST],tbl_Finance[Job Number],C244&amp;"",tbl_Finance[Xero Invoice No],"&lt;&gt;"))</f>
        <v/>
      </c>
      <c r="J244" s="27">
        <f>IF(C244="","",H244-I244)</f>
        <v/>
      </c>
      <c r="K244" s="25">
        <f>IF(C244="","",IF(G244=0,"not invoiced yet",SUBSTITUTE(TRIM(IF(COUNTIFS(tbl_Finance[Job Number],C244&amp;"",tbl_Finance[Cost Centre],"ONSITE")&gt;0,"ONSITE ","")&amp;IF(COUNTIFS(tbl_Finance[Job Number],C244&amp;"",tbl_Finance[Cost Centre],"PRODUCTION")&gt;0,"PRODUCTION ","")&amp;IF(COUNTIFS(tbl_Finance[Job Number],C244&amp;"",tbl_Finance[Cost Centre],"VIDEO")&gt;0,"VIDEO ","")&amp;IF(COUNTIFS(tbl_Finance[Job Number],C244&amp;"",tbl_Finance[Cost Centre],"INTEGRATION")&gt;0,"INTEGRATION ","")&amp;IF(COUNTIFS(tbl_Finance[Job Number],C244&amp;"",tbl_Finance[Cost Centre],"CONSULTING")&gt;0,"CONSULTING ","")&amp;IF(COUNTIFS(tbl_Finance[Job Number],C244&amp;"",tbl_Finance[Cost Centre],"CTS")&gt;0,"CTS ",""))," ",", ")))</f>
        <v/>
      </c>
      <c r="L244" s="24" t="n"/>
      <c r="M244" s="25">
        <f>IF(L244="","",HYPERLINK(IF(LEFT(L244,4)="http",L244,set_QwilrBase&amp;L244),"Open quote"))</f>
        <v/>
      </c>
      <c r="N244" s="26" t="n"/>
      <c r="O244" s="26" t="n"/>
      <c r="P244" s="26" t="n"/>
      <c r="Q244" s="25">
        <f>IF(C244="","",IF(N(N244)+N(O244)+N(P244)=0,"Not split",IF(ROUND(N(N244)+N(O244)+N(P244),2)=ROUND(H244,2),"OK","MISMATCH")))</f>
        <v/>
      </c>
      <c r="R244" s="26" t="n"/>
      <c r="S244" s="26" t="n"/>
      <c r="T244" s="26" t="n"/>
      <c r="U244" s="27">
        <f>IF(C244="","",N(R244)+N(S244)+N(T244))</f>
        <v/>
      </c>
      <c r="V244" s="27">
        <f>IF(C244="","",H244-U244)</f>
        <v/>
      </c>
      <c r="W244" s="29">
        <f>IFERROR(V244/H244,"")</f>
        <v/>
      </c>
      <c r="X244" s="24" t="n"/>
    </row>
    <row r="245" ht="15" customHeight="1">
      <c r="A245" s="68">
        <f>IF(C245="","",IFERROR(IF(SUMPRODUCT(MAX((tbl_Finance[Job Number]=C245&amp;"")*(tbl_Finance[Xero Invoice No]&lt;&gt;"")*tbl_Finance[Date]))=0,"",SUMPRODUCT(MAX((tbl_Finance[Job Number]=C245&amp;"")*(tbl_Finance[Xero Invoice No]&lt;&gt;"")*tbl_Finance[Date]))),""))</f>
        <v/>
      </c>
      <c r="B245" s="25">
        <f>IF(C245="","",IF(COUNTIFS(tbl_Finance[Job Number],C245&amp;"",tbl_Finance[Xero Invoice No],"&lt;&gt;")=0,"",IFERROR(IF(COUNTIFS(tbl_Finance[Job Number],C245&amp;"",tbl_Finance[Xero Invoice No],LOOKUP(2,1/((tbl_Finance[Job Number]=C245&amp;"")*(tbl_Finance[Xero Invoice No]&lt;&gt;"")),tbl_Finance[Xero Invoice No]))=COUNTIFS(tbl_Finance[Job Number],C245&amp;"",tbl_Finance[Xero Invoice No],"&lt;&gt;"),LOOKUP(2,1/((tbl_Finance[Job Number]=C245&amp;"")*(tbl_Finance[Xero Invoice No]&lt;&gt;"")),tbl_Finance[Xero Invoice No]),LOOKUP(2,1/((tbl_Finance[Job Number]=C245&amp;"")*(tbl_Finance[Xero Invoice No]&lt;&gt;"")),tbl_Finance[Xero Invoice No])&amp;" +more"),"")))</f>
        <v/>
      </c>
      <c r="C245" s="24" t="n"/>
      <c r="D245" s="25">
        <f>IF(C245="","",IF(COUNTIF(lst_Jobs,C245&amp;"")&gt;0,"OK","CHECK"))</f>
        <v/>
      </c>
      <c r="E245" s="25">
        <f>IF(C245="","",IFERROR(INDEX(lst_JobName,MATCH(C245&amp;"",lst_Jobs,0)),""))</f>
        <v/>
      </c>
      <c r="F245" s="25">
        <f>IF(C245="","",IFERROR(INDEX(tbl_Finance[Client],MATCH(C245&amp;"",tbl_Finance[Job Number],0)),""))</f>
        <v/>
      </c>
      <c r="G245" s="28">
        <f>IF(C245="","",COUNTIFS(tbl_Finance[Job Number],C245&amp;"",tbl_Finance[Ex GST],"&lt;&gt;"))</f>
        <v/>
      </c>
      <c r="H245" s="27">
        <f>IF(C245="","",SUMIFS(tbl_Finance[Ex GST],tbl_Finance[Job Number],C245&amp;""))</f>
        <v/>
      </c>
      <c r="I245" s="27">
        <f>IF(C245="","",SUMIFS(tbl_Finance[Ex GST],tbl_Finance[Job Number],C245&amp;"",tbl_Finance[Xero Invoice No],"&lt;&gt;"))</f>
        <v/>
      </c>
      <c r="J245" s="27">
        <f>IF(C245="","",H245-I245)</f>
        <v/>
      </c>
      <c r="K245" s="25">
        <f>IF(C245="","",IF(G245=0,"not invoiced yet",SUBSTITUTE(TRIM(IF(COUNTIFS(tbl_Finance[Job Number],C245&amp;"",tbl_Finance[Cost Centre],"ONSITE")&gt;0,"ONSITE ","")&amp;IF(COUNTIFS(tbl_Finance[Job Number],C245&amp;"",tbl_Finance[Cost Centre],"PRODUCTION")&gt;0,"PRODUCTION ","")&amp;IF(COUNTIFS(tbl_Finance[Job Number],C245&amp;"",tbl_Finance[Cost Centre],"VIDEO")&gt;0,"VIDEO ","")&amp;IF(COUNTIFS(tbl_Finance[Job Number],C245&amp;"",tbl_Finance[Cost Centre],"INTEGRATION")&gt;0,"INTEGRATION ","")&amp;IF(COUNTIFS(tbl_Finance[Job Number],C245&amp;"",tbl_Finance[Cost Centre],"CONSULTING")&gt;0,"CONSULTING ","")&amp;IF(COUNTIFS(tbl_Finance[Job Number],C245&amp;"",tbl_Finance[Cost Centre],"CTS")&gt;0,"CTS ",""))," ",", ")))</f>
        <v/>
      </c>
      <c r="L245" s="24" t="n"/>
      <c r="M245" s="25">
        <f>IF(L245="","",HYPERLINK(IF(LEFT(L245,4)="http",L245,set_QwilrBase&amp;L245),"Open quote"))</f>
        <v/>
      </c>
      <c r="N245" s="26" t="n"/>
      <c r="O245" s="26" t="n"/>
      <c r="P245" s="26" t="n"/>
      <c r="Q245" s="25">
        <f>IF(C245="","",IF(N(N245)+N(O245)+N(P245)=0,"Not split",IF(ROUND(N(N245)+N(O245)+N(P245),2)=ROUND(H245,2),"OK","MISMATCH")))</f>
        <v/>
      </c>
      <c r="R245" s="26" t="n"/>
      <c r="S245" s="26" t="n"/>
      <c r="T245" s="26" t="n"/>
      <c r="U245" s="27">
        <f>IF(C245="","",N(R245)+N(S245)+N(T245))</f>
        <v/>
      </c>
      <c r="V245" s="27">
        <f>IF(C245="","",H245-U245)</f>
        <v/>
      </c>
      <c r="W245" s="29">
        <f>IFERROR(V245/H245,"")</f>
        <v/>
      </c>
      <c r="X245" s="24" t="n"/>
    </row>
    <row r="246" ht="15" customHeight="1">
      <c r="A246" s="68">
        <f>IF(C246="","",IFERROR(IF(SUMPRODUCT(MAX((tbl_Finance[Job Number]=C246&amp;"")*(tbl_Finance[Xero Invoice No]&lt;&gt;"")*tbl_Finance[Date]))=0,"",SUMPRODUCT(MAX((tbl_Finance[Job Number]=C246&amp;"")*(tbl_Finance[Xero Invoice No]&lt;&gt;"")*tbl_Finance[Date]))),""))</f>
        <v/>
      </c>
      <c r="B246" s="25">
        <f>IF(C246="","",IF(COUNTIFS(tbl_Finance[Job Number],C246&amp;"",tbl_Finance[Xero Invoice No],"&lt;&gt;")=0,"",IFERROR(IF(COUNTIFS(tbl_Finance[Job Number],C246&amp;"",tbl_Finance[Xero Invoice No],LOOKUP(2,1/((tbl_Finance[Job Number]=C246&amp;"")*(tbl_Finance[Xero Invoice No]&lt;&gt;"")),tbl_Finance[Xero Invoice No]))=COUNTIFS(tbl_Finance[Job Number],C246&amp;"",tbl_Finance[Xero Invoice No],"&lt;&gt;"),LOOKUP(2,1/((tbl_Finance[Job Number]=C246&amp;"")*(tbl_Finance[Xero Invoice No]&lt;&gt;"")),tbl_Finance[Xero Invoice No]),LOOKUP(2,1/((tbl_Finance[Job Number]=C246&amp;"")*(tbl_Finance[Xero Invoice No]&lt;&gt;"")),tbl_Finance[Xero Invoice No])&amp;" +more"),"")))</f>
        <v/>
      </c>
      <c r="C246" s="24" t="n"/>
      <c r="D246" s="25">
        <f>IF(C246="","",IF(COUNTIF(lst_Jobs,C246&amp;"")&gt;0,"OK","CHECK"))</f>
        <v/>
      </c>
      <c r="E246" s="25">
        <f>IF(C246="","",IFERROR(INDEX(lst_JobName,MATCH(C246&amp;"",lst_Jobs,0)),""))</f>
        <v/>
      </c>
      <c r="F246" s="25">
        <f>IF(C246="","",IFERROR(INDEX(tbl_Finance[Client],MATCH(C246&amp;"",tbl_Finance[Job Number],0)),""))</f>
        <v/>
      </c>
      <c r="G246" s="28">
        <f>IF(C246="","",COUNTIFS(tbl_Finance[Job Number],C246&amp;"",tbl_Finance[Ex GST],"&lt;&gt;"))</f>
        <v/>
      </c>
      <c r="H246" s="27">
        <f>IF(C246="","",SUMIFS(tbl_Finance[Ex GST],tbl_Finance[Job Number],C246&amp;""))</f>
        <v/>
      </c>
      <c r="I246" s="27">
        <f>IF(C246="","",SUMIFS(tbl_Finance[Ex GST],tbl_Finance[Job Number],C246&amp;"",tbl_Finance[Xero Invoice No],"&lt;&gt;"))</f>
        <v/>
      </c>
      <c r="J246" s="27">
        <f>IF(C246="","",H246-I246)</f>
        <v/>
      </c>
      <c r="K246" s="25">
        <f>IF(C246="","",IF(G246=0,"not invoiced yet",SUBSTITUTE(TRIM(IF(COUNTIFS(tbl_Finance[Job Number],C246&amp;"",tbl_Finance[Cost Centre],"ONSITE")&gt;0,"ONSITE ","")&amp;IF(COUNTIFS(tbl_Finance[Job Number],C246&amp;"",tbl_Finance[Cost Centre],"PRODUCTION")&gt;0,"PRODUCTION ","")&amp;IF(COUNTIFS(tbl_Finance[Job Number],C246&amp;"",tbl_Finance[Cost Centre],"VIDEO")&gt;0,"VIDEO ","")&amp;IF(COUNTIFS(tbl_Finance[Job Number],C246&amp;"",tbl_Finance[Cost Centre],"INTEGRATION")&gt;0,"INTEGRATION ","")&amp;IF(COUNTIFS(tbl_Finance[Job Number],C246&amp;"",tbl_Finance[Cost Centre],"CONSULTING")&gt;0,"CONSULTING ","")&amp;IF(COUNTIFS(tbl_Finance[Job Number],C246&amp;"",tbl_Finance[Cost Centre],"CTS")&gt;0,"CTS ",""))," ",", ")))</f>
        <v/>
      </c>
      <c r="L246" s="24" t="n"/>
      <c r="M246" s="25">
        <f>IF(L246="","",HYPERLINK(IF(LEFT(L246,4)="http",L246,set_QwilrBase&amp;L246),"Open quote"))</f>
        <v/>
      </c>
      <c r="N246" s="26" t="n"/>
      <c r="O246" s="26" t="n"/>
      <c r="P246" s="26" t="n"/>
      <c r="Q246" s="25">
        <f>IF(C246="","",IF(N(N246)+N(O246)+N(P246)=0,"Not split",IF(ROUND(N(N246)+N(O246)+N(P246),2)=ROUND(H246,2),"OK","MISMATCH")))</f>
        <v/>
      </c>
      <c r="R246" s="26" t="n"/>
      <c r="S246" s="26" t="n"/>
      <c r="T246" s="26" t="n"/>
      <c r="U246" s="27">
        <f>IF(C246="","",N(R246)+N(S246)+N(T246))</f>
        <v/>
      </c>
      <c r="V246" s="27">
        <f>IF(C246="","",H246-U246)</f>
        <v/>
      </c>
      <c r="W246" s="29">
        <f>IFERROR(V246/H246,"")</f>
        <v/>
      </c>
      <c r="X246" s="24" t="n"/>
    </row>
    <row r="247" ht="15" customHeight="1">
      <c r="A247" s="68">
        <f>IF(C247="","",IFERROR(IF(SUMPRODUCT(MAX((tbl_Finance[Job Number]=C247&amp;"")*(tbl_Finance[Xero Invoice No]&lt;&gt;"")*tbl_Finance[Date]))=0,"",SUMPRODUCT(MAX((tbl_Finance[Job Number]=C247&amp;"")*(tbl_Finance[Xero Invoice No]&lt;&gt;"")*tbl_Finance[Date]))),""))</f>
        <v/>
      </c>
      <c r="B247" s="25">
        <f>IF(C247="","",IF(COUNTIFS(tbl_Finance[Job Number],C247&amp;"",tbl_Finance[Xero Invoice No],"&lt;&gt;")=0,"",IFERROR(IF(COUNTIFS(tbl_Finance[Job Number],C247&amp;"",tbl_Finance[Xero Invoice No],LOOKUP(2,1/((tbl_Finance[Job Number]=C247&amp;"")*(tbl_Finance[Xero Invoice No]&lt;&gt;"")),tbl_Finance[Xero Invoice No]))=COUNTIFS(tbl_Finance[Job Number],C247&amp;"",tbl_Finance[Xero Invoice No],"&lt;&gt;"),LOOKUP(2,1/((tbl_Finance[Job Number]=C247&amp;"")*(tbl_Finance[Xero Invoice No]&lt;&gt;"")),tbl_Finance[Xero Invoice No]),LOOKUP(2,1/((tbl_Finance[Job Number]=C247&amp;"")*(tbl_Finance[Xero Invoice No]&lt;&gt;"")),tbl_Finance[Xero Invoice No])&amp;" +more"),"")))</f>
        <v/>
      </c>
      <c r="C247" s="24" t="n"/>
      <c r="D247" s="25">
        <f>IF(C247="","",IF(COUNTIF(lst_Jobs,C247&amp;"")&gt;0,"OK","CHECK"))</f>
        <v/>
      </c>
      <c r="E247" s="25">
        <f>IF(C247="","",IFERROR(INDEX(lst_JobName,MATCH(C247&amp;"",lst_Jobs,0)),""))</f>
        <v/>
      </c>
      <c r="F247" s="25">
        <f>IF(C247="","",IFERROR(INDEX(tbl_Finance[Client],MATCH(C247&amp;"",tbl_Finance[Job Number],0)),""))</f>
        <v/>
      </c>
      <c r="G247" s="28">
        <f>IF(C247="","",COUNTIFS(tbl_Finance[Job Number],C247&amp;"",tbl_Finance[Ex GST],"&lt;&gt;"))</f>
        <v/>
      </c>
      <c r="H247" s="27">
        <f>IF(C247="","",SUMIFS(tbl_Finance[Ex GST],tbl_Finance[Job Number],C247&amp;""))</f>
        <v/>
      </c>
      <c r="I247" s="27">
        <f>IF(C247="","",SUMIFS(tbl_Finance[Ex GST],tbl_Finance[Job Number],C247&amp;"",tbl_Finance[Xero Invoice No],"&lt;&gt;"))</f>
        <v/>
      </c>
      <c r="J247" s="27">
        <f>IF(C247="","",H247-I247)</f>
        <v/>
      </c>
      <c r="K247" s="25">
        <f>IF(C247="","",IF(G247=0,"not invoiced yet",SUBSTITUTE(TRIM(IF(COUNTIFS(tbl_Finance[Job Number],C247&amp;"",tbl_Finance[Cost Centre],"ONSITE")&gt;0,"ONSITE ","")&amp;IF(COUNTIFS(tbl_Finance[Job Number],C247&amp;"",tbl_Finance[Cost Centre],"PRODUCTION")&gt;0,"PRODUCTION ","")&amp;IF(COUNTIFS(tbl_Finance[Job Number],C247&amp;"",tbl_Finance[Cost Centre],"VIDEO")&gt;0,"VIDEO ","")&amp;IF(COUNTIFS(tbl_Finance[Job Number],C247&amp;"",tbl_Finance[Cost Centre],"INTEGRATION")&gt;0,"INTEGRATION ","")&amp;IF(COUNTIFS(tbl_Finance[Job Number],C247&amp;"",tbl_Finance[Cost Centre],"CONSULTING")&gt;0,"CONSULTING ","")&amp;IF(COUNTIFS(tbl_Finance[Job Number],C247&amp;"",tbl_Finance[Cost Centre],"CTS")&gt;0,"CTS ",""))," ",", ")))</f>
        <v/>
      </c>
      <c r="L247" s="24" t="n"/>
      <c r="M247" s="25">
        <f>IF(L247="","",HYPERLINK(IF(LEFT(L247,4)="http",L247,set_QwilrBase&amp;L247),"Open quote"))</f>
        <v/>
      </c>
      <c r="N247" s="26" t="n"/>
      <c r="O247" s="26" t="n"/>
      <c r="P247" s="26" t="n"/>
      <c r="Q247" s="25">
        <f>IF(C247="","",IF(N(N247)+N(O247)+N(P247)=0,"Not split",IF(ROUND(N(N247)+N(O247)+N(P247),2)=ROUND(H247,2),"OK","MISMATCH")))</f>
        <v/>
      </c>
      <c r="R247" s="26" t="n"/>
      <c r="S247" s="26" t="n"/>
      <c r="T247" s="26" t="n"/>
      <c r="U247" s="27">
        <f>IF(C247="","",N(R247)+N(S247)+N(T247))</f>
        <v/>
      </c>
      <c r="V247" s="27">
        <f>IF(C247="","",H247-U247)</f>
        <v/>
      </c>
      <c r="W247" s="29">
        <f>IFERROR(V247/H247,"")</f>
        <v/>
      </c>
      <c r="X247" s="24" t="n"/>
    </row>
    <row r="248" ht="15" customHeight="1">
      <c r="A248" s="68">
        <f>IF(C248="","",IFERROR(IF(SUMPRODUCT(MAX((tbl_Finance[Job Number]=C248&amp;"")*(tbl_Finance[Xero Invoice No]&lt;&gt;"")*tbl_Finance[Date]))=0,"",SUMPRODUCT(MAX((tbl_Finance[Job Number]=C248&amp;"")*(tbl_Finance[Xero Invoice No]&lt;&gt;"")*tbl_Finance[Date]))),""))</f>
        <v/>
      </c>
      <c r="B248" s="25">
        <f>IF(C248="","",IF(COUNTIFS(tbl_Finance[Job Number],C248&amp;"",tbl_Finance[Xero Invoice No],"&lt;&gt;")=0,"",IFERROR(IF(COUNTIFS(tbl_Finance[Job Number],C248&amp;"",tbl_Finance[Xero Invoice No],LOOKUP(2,1/((tbl_Finance[Job Number]=C248&amp;"")*(tbl_Finance[Xero Invoice No]&lt;&gt;"")),tbl_Finance[Xero Invoice No]))=COUNTIFS(tbl_Finance[Job Number],C248&amp;"",tbl_Finance[Xero Invoice No],"&lt;&gt;"),LOOKUP(2,1/((tbl_Finance[Job Number]=C248&amp;"")*(tbl_Finance[Xero Invoice No]&lt;&gt;"")),tbl_Finance[Xero Invoice No]),LOOKUP(2,1/((tbl_Finance[Job Number]=C248&amp;"")*(tbl_Finance[Xero Invoice No]&lt;&gt;"")),tbl_Finance[Xero Invoice No])&amp;" +more"),"")))</f>
        <v/>
      </c>
      <c r="C248" s="24" t="n"/>
      <c r="D248" s="25">
        <f>IF(C248="","",IF(COUNTIF(lst_Jobs,C248&amp;"")&gt;0,"OK","CHECK"))</f>
        <v/>
      </c>
      <c r="E248" s="25">
        <f>IF(C248="","",IFERROR(INDEX(lst_JobName,MATCH(C248&amp;"",lst_Jobs,0)),""))</f>
        <v/>
      </c>
      <c r="F248" s="25">
        <f>IF(C248="","",IFERROR(INDEX(tbl_Finance[Client],MATCH(C248&amp;"",tbl_Finance[Job Number],0)),""))</f>
        <v/>
      </c>
      <c r="G248" s="28">
        <f>IF(C248="","",COUNTIFS(tbl_Finance[Job Number],C248&amp;"",tbl_Finance[Ex GST],"&lt;&gt;"))</f>
        <v/>
      </c>
      <c r="H248" s="27">
        <f>IF(C248="","",SUMIFS(tbl_Finance[Ex GST],tbl_Finance[Job Number],C248&amp;""))</f>
        <v/>
      </c>
      <c r="I248" s="27">
        <f>IF(C248="","",SUMIFS(tbl_Finance[Ex GST],tbl_Finance[Job Number],C248&amp;"",tbl_Finance[Xero Invoice No],"&lt;&gt;"))</f>
        <v/>
      </c>
      <c r="J248" s="27">
        <f>IF(C248="","",H248-I248)</f>
        <v/>
      </c>
      <c r="K248" s="25">
        <f>IF(C248="","",IF(G248=0,"not invoiced yet",SUBSTITUTE(TRIM(IF(COUNTIFS(tbl_Finance[Job Number],C248&amp;"",tbl_Finance[Cost Centre],"ONSITE")&gt;0,"ONSITE ","")&amp;IF(COUNTIFS(tbl_Finance[Job Number],C248&amp;"",tbl_Finance[Cost Centre],"PRODUCTION")&gt;0,"PRODUCTION ","")&amp;IF(COUNTIFS(tbl_Finance[Job Number],C248&amp;"",tbl_Finance[Cost Centre],"VIDEO")&gt;0,"VIDEO ","")&amp;IF(COUNTIFS(tbl_Finance[Job Number],C248&amp;"",tbl_Finance[Cost Centre],"INTEGRATION")&gt;0,"INTEGRATION ","")&amp;IF(COUNTIFS(tbl_Finance[Job Number],C248&amp;"",tbl_Finance[Cost Centre],"CONSULTING")&gt;0,"CONSULTING ","")&amp;IF(COUNTIFS(tbl_Finance[Job Number],C248&amp;"",tbl_Finance[Cost Centre],"CTS")&gt;0,"CTS ",""))," ",", ")))</f>
        <v/>
      </c>
      <c r="L248" s="24" t="n"/>
      <c r="M248" s="25">
        <f>IF(L248="","",HYPERLINK(IF(LEFT(L248,4)="http",L248,set_QwilrBase&amp;L248),"Open quote"))</f>
        <v/>
      </c>
      <c r="N248" s="26" t="n"/>
      <c r="O248" s="26" t="n"/>
      <c r="P248" s="26" t="n"/>
      <c r="Q248" s="25">
        <f>IF(C248="","",IF(N(N248)+N(O248)+N(P248)=0,"Not split",IF(ROUND(N(N248)+N(O248)+N(P248),2)=ROUND(H248,2),"OK","MISMATCH")))</f>
        <v/>
      </c>
      <c r="R248" s="26" t="n"/>
      <c r="S248" s="26" t="n"/>
      <c r="T248" s="26" t="n"/>
      <c r="U248" s="27">
        <f>IF(C248="","",N(R248)+N(S248)+N(T248))</f>
        <v/>
      </c>
      <c r="V248" s="27">
        <f>IF(C248="","",H248-U248)</f>
        <v/>
      </c>
      <c r="W248" s="29">
        <f>IFERROR(V248/H248,"")</f>
        <v/>
      </c>
      <c r="X248" s="24" t="n"/>
    </row>
    <row r="249" ht="15" customHeight="1">
      <c r="A249" s="68">
        <f>IF(C249="","",IFERROR(IF(SUMPRODUCT(MAX((tbl_Finance[Job Number]=C249&amp;"")*(tbl_Finance[Xero Invoice No]&lt;&gt;"")*tbl_Finance[Date]))=0,"",SUMPRODUCT(MAX((tbl_Finance[Job Number]=C249&amp;"")*(tbl_Finance[Xero Invoice No]&lt;&gt;"")*tbl_Finance[Date]))),""))</f>
        <v/>
      </c>
      <c r="B249" s="25">
        <f>IF(C249="","",IF(COUNTIFS(tbl_Finance[Job Number],C249&amp;"",tbl_Finance[Xero Invoice No],"&lt;&gt;")=0,"",IFERROR(IF(COUNTIFS(tbl_Finance[Job Number],C249&amp;"",tbl_Finance[Xero Invoice No],LOOKUP(2,1/((tbl_Finance[Job Number]=C249&amp;"")*(tbl_Finance[Xero Invoice No]&lt;&gt;"")),tbl_Finance[Xero Invoice No]))=COUNTIFS(tbl_Finance[Job Number],C249&amp;"",tbl_Finance[Xero Invoice No],"&lt;&gt;"),LOOKUP(2,1/((tbl_Finance[Job Number]=C249&amp;"")*(tbl_Finance[Xero Invoice No]&lt;&gt;"")),tbl_Finance[Xero Invoice No]),LOOKUP(2,1/((tbl_Finance[Job Number]=C249&amp;"")*(tbl_Finance[Xero Invoice No]&lt;&gt;"")),tbl_Finance[Xero Invoice No])&amp;" +more"),"")))</f>
        <v/>
      </c>
      <c r="C249" s="24" t="n"/>
      <c r="D249" s="25">
        <f>IF(C249="","",IF(COUNTIF(lst_Jobs,C249&amp;"")&gt;0,"OK","CHECK"))</f>
        <v/>
      </c>
      <c r="E249" s="25">
        <f>IF(C249="","",IFERROR(INDEX(lst_JobName,MATCH(C249&amp;"",lst_Jobs,0)),""))</f>
        <v/>
      </c>
      <c r="F249" s="25">
        <f>IF(C249="","",IFERROR(INDEX(tbl_Finance[Client],MATCH(C249&amp;"",tbl_Finance[Job Number],0)),""))</f>
        <v/>
      </c>
      <c r="G249" s="28">
        <f>IF(C249="","",COUNTIFS(tbl_Finance[Job Number],C249&amp;"",tbl_Finance[Ex GST],"&lt;&gt;"))</f>
        <v/>
      </c>
      <c r="H249" s="27">
        <f>IF(C249="","",SUMIFS(tbl_Finance[Ex GST],tbl_Finance[Job Number],C249&amp;""))</f>
        <v/>
      </c>
      <c r="I249" s="27">
        <f>IF(C249="","",SUMIFS(tbl_Finance[Ex GST],tbl_Finance[Job Number],C249&amp;"",tbl_Finance[Xero Invoice No],"&lt;&gt;"))</f>
        <v/>
      </c>
      <c r="J249" s="27">
        <f>IF(C249="","",H249-I249)</f>
        <v/>
      </c>
      <c r="K249" s="25">
        <f>IF(C249="","",IF(G249=0,"not invoiced yet",SUBSTITUTE(TRIM(IF(COUNTIFS(tbl_Finance[Job Number],C249&amp;"",tbl_Finance[Cost Centre],"ONSITE")&gt;0,"ONSITE ","")&amp;IF(COUNTIFS(tbl_Finance[Job Number],C249&amp;"",tbl_Finance[Cost Centre],"PRODUCTION")&gt;0,"PRODUCTION ","")&amp;IF(COUNTIFS(tbl_Finance[Job Number],C249&amp;"",tbl_Finance[Cost Centre],"VIDEO")&gt;0,"VIDEO ","")&amp;IF(COUNTIFS(tbl_Finance[Job Number],C249&amp;"",tbl_Finance[Cost Centre],"INTEGRATION")&gt;0,"INTEGRATION ","")&amp;IF(COUNTIFS(tbl_Finance[Job Number],C249&amp;"",tbl_Finance[Cost Centre],"CONSULTING")&gt;0,"CONSULTING ","")&amp;IF(COUNTIFS(tbl_Finance[Job Number],C249&amp;"",tbl_Finance[Cost Centre],"CTS")&gt;0,"CTS ",""))," ",", ")))</f>
        <v/>
      </c>
      <c r="L249" s="24" t="n"/>
      <c r="M249" s="25">
        <f>IF(L249="","",HYPERLINK(IF(LEFT(L249,4)="http",L249,set_QwilrBase&amp;L249),"Open quote"))</f>
        <v/>
      </c>
      <c r="N249" s="26" t="n"/>
      <c r="O249" s="26" t="n"/>
      <c r="P249" s="26" t="n"/>
      <c r="Q249" s="25">
        <f>IF(C249="","",IF(N(N249)+N(O249)+N(P249)=0,"Not split",IF(ROUND(N(N249)+N(O249)+N(P249),2)=ROUND(H249,2),"OK","MISMATCH")))</f>
        <v/>
      </c>
      <c r="R249" s="26" t="n"/>
      <c r="S249" s="26" t="n"/>
      <c r="T249" s="26" t="n"/>
      <c r="U249" s="27">
        <f>IF(C249="","",N(R249)+N(S249)+N(T249))</f>
        <v/>
      </c>
      <c r="V249" s="27">
        <f>IF(C249="","",H249-U249)</f>
        <v/>
      </c>
      <c r="W249" s="29">
        <f>IFERROR(V249/H249,"")</f>
        <v/>
      </c>
      <c r="X249" s="24" t="n"/>
    </row>
    <row r="250" ht="15" customHeight="1">
      <c r="A250" s="68">
        <f>IF(C250="","",IFERROR(IF(SUMPRODUCT(MAX((tbl_Finance[Job Number]=C250&amp;"")*(tbl_Finance[Xero Invoice No]&lt;&gt;"")*tbl_Finance[Date]))=0,"",SUMPRODUCT(MAX((tbl_Finance[Job Number]=C250&amp;"")*(tbl_Finance[Xero Invoice No]&lt;&gt;"")*tbl_Finance[Date]))),""))</f>
        <v/>
      </c>
      <c r="B250" s="25">
        <f>IF(C250="","",IF(COUNTIFS(tbl_Finance[Job Number],C250&amp;"",tbl_Finance[Xero Invoice No],"&lt;&gt;")=0,"",IFERROR(IF(COUNTIFS(tbl_Finance[Job Number],C250&amp;"",tbl_Finance[Xero Invoice No],LOOKUP(2,1/((tbl_Finance[Job Number]=C250&amp;"")*(tbl_Finance[Xero Invoice No]&lt;&gt;"")),tbl_Finance[Xero Invoice No]))=COUNTIFS(tbl_Finance[Job Number],C250&amp;"",tbl_Finance[Xero Invoice No],"&lt;&gt;"),LOOKUP(2,1/((tbl_Finance[Job Number]=C250&amp;"")*(tbl_Finance[Xero Invoice No]&lt;&gt;"")),tbl_Finance[Xero Invoice No]),LOOKUP(2,1/((tbl_Finance[Job Number]=C250&amp;"")*(tbl_Finance[Xero Invoice No]&lt;&gt;"")),tbl_Finance[Xero Invoice No])&amp;" +more"),"")))</f>
        <v/>
      </c>
      <c r="C250" s="24" t="n"/>
      <c r="D250" s="25">
        <f>IF(C250="","",IF(COUNTIF(lst_Jobs,C250&amp;"")&gt;0,"OK","CHECK"))</f>
        <v/>
      </c>
      <c r="E250" s="25">
        <f>IF(C250="","",IFERROR(INDEX(lst_JobName,MATCH(C250&amp;"",lst_Jobs,0)),""))</f>
        <v/>
      </c>
      <c r="F250" s="25">
        <f>IF(C250="","",IFERROR(INDEX(tbl_Finance[Client],MATCH(C250&amp;"",tbl_Finance[Job Number],0)),""))</f>
        <v/>
      </c>
      <c r="G250" s="28">
        <f>IF(C250="","",COUNTIFS(tbl_Finance[Job Number],C250&amp;"",tbl_Finance[Ex GST],"&lt;&gt;"))</f>
        <v/>
      </c>
      <c r="H250" s="27">
        <f>IF(C250="","",SUMIFS(tbl_Finance[Ex GST],tbl_Finance[Job Number],C250&amp;""))</f>
        <v/>
      </c>
      <c r="I250" s="27">
        <f>IF(C250="","",SUMIFS(tbl_Finance[Ex GST],tbl_Finance[Job Number],C250&amp;"",tbl_Finance[Xero Invoice No],"&lt;&gt;"))</f>
        <v/>
      </c>
      <c r="J250" s="27">
        <f>IF(C250="","",H250-I250)</f>
        <v/>
      </c>
      <c r="K250" s="25">
        <f>IF(C250="","",IF(G250=0,"not invoiced yet",SUBSTITUTE(TRIM(IF(COUNTIFS(tbl_Finance[Job Number],C250&amp;"",tbl_Finance[Cost Centre],"ONSITE")&gt;0,"ONSITE ","")&amp;IF(COUNTIFS(tbl_Finance[Job Number],C250&amp;"",tbl_Finance[Cost Centre],"PRODUCTION")&gt;0,"PRODUCTION ","")&amp;IF(COUNTIFS(tbl_Finance[Job Number],C250&amp;"",tbl_Finance[Cost Centre],"VIDEO")&gt;0,"VIDEO ","")&amp;IF(COUNTIFS(tbl_Finance[Job Number],C250&amp;"",tbl_Finance[Cost Centre],"INTEGRATION")&gt;0,"INTEGRATION ","")&amp;IF(COUNTIFS(tbl_Finance[Job Number],C250&amp;"",tbl_Finance[Cost Centre],"CONSULTING")&gt;0,"CONSULTING ","")&amp;IF(COUNTIFS(tbl_Finance[Job Number],C250&amp;"",tbl_Finance[Cost Centre],"CTS")&gt;0,"CTS ",""))," ",", ")))</f>
        <v/>
      </c>
      <c r="L250" s="24" t="n"/>
      <c r="M250" s="25">
        <f>IF(L250="","",HYPERLINK(IF(LEFT(L250,4)="http",L250,set_QwilrBase&amp;L250),"Open quote"))</f>
        <v/>
      </c>
      <c r="N250" s="26" t="n"/>
      <c r="O250" s="26" t="n"/>
      <c r="P250" s="26" t="n"/>
      <c r="Q250" s="25">
        <f>IF(C250="","",IF(N(N250)+N(O250)+N(P250)=0,"Not split",IF(ROUND(N(N250)+N(O250)+N(P250),2)=ROUND(H250,2),"OK","MISMATCH")))</f>
        <v/>
      </c>
      <c r="R250" s="26" t="n"/>
      <c r="S250" s="26" t="n"/>
      <c r="T250" s="26" t="n"/>
      <c r="U250" s="27">
        <f>IF(C250="","",N(R250)+N(S250)+N(T250))</f>
        <v/>
      </c>
      <c r="V250" s="27">
        <f>IF(C250="","",H250-U250)</f>
        <v/>
      </c>
      <c r="W250" s="29">
        <f>IFERROR(V250/H250,"")</f>
        <v/>
      </c>
      <c r="X250" s="24" t="n"/>
    </row>
    <row r="251" ht="15" customHeight="1">
      <c r="A251" s="68">
        <f>IF(C251="","",IFERROR(IF(SUMPRODUCT(MAX((tbl_Finance[Job Number]=C251&amp;"")*(tbl_Finance[Xero Invoice No]&lt;&gt;"")*tbl_Finance[Date]))=0,"",SUMPRODUCT(MAX((tbl_Finance[Job Number]=C251&amp;"")*(tbl_Finance[Xero Invoice No]&lt;&gt;"")*tbl_Finance[Date]))),""))</f>
        <v/>
      </c>
      <c r="B251" s="25">
        <f>IF(C251="","",IF(COUNTIFS(tbl_Finance[Job Number],C251&amp;"",tbl_Finance[Xero Invoice No],"&lt;&gt;")=0,"",IFERROR(IF(COUNTIFS(tbl_Finance[Job Number],C251&amp;"",tbl_Finance[Xero Invoice No],LOOKUP(2,1/((tbl_Finance[Job Number]=C251&amp;"")*(tbl_Finance[Xero Invoice No]&lt;&gt;"")),tbl_Finance[Xero Invoice No]))=COUNTIFS(tbl_Finance[Job Number],C251&amp;"",tbl_Finance[Xero Invoice No],"&lt;&gt;"),LOOKUP(2,1/((tbl_Finance[Job Number]=C251&amp;"")*(tbl_Finance[Xero Invoice No]&lt;&gt;"")),tbl_Finance[Xero Invoice No]),LOOKUP(2,1/((tbl_Finance[Job Number]=C251&amp;"")*(tbl_Finance[Xero Invoice No]&lt;&gt;"")),tbl_Finance[Xero Invoice No])&amp;" +more"),"")))</f>
        <v/>
      </c>
      <c r="C251" s="24" t="n"/>
      <c r="D251" s="25">
        <f>IF(C251="","",IF(COUNTIF(lst_Jobs,C251&amp;"")&gt;0,"OK","CHECK"))</f>
        <v/>
      </c>
      <c r="E251" s="25">
        <f>IF(C251="","",IFERROR(INDEX(lst_JobName,MATCH(C251&amp;"",lst_Jobs,0)),""))</f>
        <v/>
      </c>
      <c r="F251" s="25">
        <f>IF(C251="","",IFERROR(INDEX(tbl_Finance[Client],MATCH(C251&amp;"",tbl_Finance[Job Number],0)),""))</f>
        <v/>
      </c>
      <c r="G251" s="28">
        <f>IF(C251="","",COUNTIFS(tbl_Finance[Job Number],C251&amp;"",tbl_Finance[Ex GST],"&lt;&gt;"))</f>
        <v/>
      </c>
      <c r="H251" s="27">
        <f>IF(C251="","",SUMIFS(tbl_Finance[Ex GST],tbl_Finance[Job Number],C251&amp;""))</f>
        <v/>
      </c>
      <c r="I251" s="27">
        <f>IF(C251="","",SUMIFS(tbl_Finance[Ex GST],tbl_Finance[Job Number],C251&amp;"",tbl_Finance[Xero Invoice No],"&lt;&gt;"))</f>
        <v/>
      </c>
      <c r="J251" s="27">
        <f>IF(C251="","",H251-I251)</f>
        <v/>
      </c>
      <c r="K251" s="25">
        <f>IF(C251="","",IF(G251=0,"not invoiced yet",SUBSTITUTE(TRIM(IF(COUNTIFS(tbl_Finance[Job Number],C251&amp;"",tbl_Finance[Cost Centre],"ONSITE")&gt;0,"ONSITE ","")&amp;IF(COUNTIFS(tbl_Finance[Job Number],C251&amp;"",tbl_Finance[Cost Centre],"PRODUCTION")&gt;0,"PRODUCTION ","")&amp;IF(COUNTIFS(tbl_Finance[Job Number],C251&amp;"",tbl_Finance[Cost Centre],"VIDEO")&gt;0,"VIDEO ","")&amp;IF(COUNTIFS(tbl_Finance[Job Number],C251&amp;"",tbl_Finance[Cost Centre],"INTEGRATION")&gt;0,"INTEGRATION ","")&amp;IF(COUNTIFS(tbl_Finance[Job Number],C251&amp;"",tbl_Finance[Cost Centre],"CONSULTING")&gt;0,"CONSULTING ","")&amp;IF(COUNTIFS(tbl_Finance[Job Number],C251&amp;"",tbl_Finance[Cost Centre],"CTS")&gt;0,"CTS ",""))," ",", ")))</f>
        <v/>
      </c>
      <c r="L251" s="24" t="n"/>
      <c r="M251" s="25">
        <f>IF(L251="","",HYPERLINK(IF(LEFT(L251,4)="http",L251,set_QwilrBase&amp;L251),"Open quote"))</f>
        <v/>
      </c>
      <c r="N251" s="26" t="n"/>
      <c r="O251" s="26" t="n"/>
      <c r="P251" s="26" t="n"/>
      <c r="Q251" s="25">
        <f>IF(C251="","",IF(N(N251)+N(O251)+N(P251)=0,"Not split",IF(ROUND(N(N251)+N(O251)+N(P251),2)=ROUND(H251,2),"OK","MISMATCH")))</f>
        <v/>
      </c>
      <c r="R251" s="26" t="n"/>
      <c r="S251" s="26" t="n"/>
      <c r="T251" s="26" t="n"/>
      <c r="U251" s="27">
        <f>IF(C251="","",N(R251)+N(S251)+N(T251))</f>
        <v/>
      </c>
      <c r="V251" s="27">
        <f>IF(C251="","",H251-U251)</f>
        <v/>
      </c>
      <c r="W251" s="29">
        <f>IFERROR(V251/H251,"")</f>
        <v/>
      </c>
      <c r="X251" s="24" t="n"/>
    </row>
    <row r="252" ht="15" customHeight="1">
      <c r="A252" s="68">
        <f>IF(C252="","",IFERROR(IF(SUMPRODUCT(MAX((tbl_Finance[Job Number]=C252&amp;"")*(tbl_Finance[Xero Invoice No]&lt;&gt;"")*tbl_Finance[Date]))=0,"",SUMPRODUCT(MAX((tbl_Finance[Job Number]=C252&amp;"")*(tbl_Finance[Xero Invoice No]&lt;&gt;"")*tbl_Finance[Date]))),""))</f>
        <v/>
      </c>
      <c r="B252" s="25">
        <f>IF(C252="","",IF(COUNTIFS(tbl_Finance[Job Number],C252&amp;"",tbl_Finance[Xero Invoice No],"&lt;&gt;")=0,"",IFERROR(IF(COUNTIFS(tbl_Finance[Job Number],C252&amp;"",tbl_Finance[Xero Invoice No],LOOKUP(2,1/((tbl_Finance[Job Number]=C252&amp;"")*(tbl_Finance[Xero Invoice No]&lt;&gt;"")),tbl_Finance[Xero Invoice No]))=COUNTIFS(tbl_Finance[Job Number],C252&amp;"",tbl_Finance[Xero Invoice No],"&lt;&gt;"),LOOKUP(2,1/((tbl_Finance[Job Number]=C252&amp;"")*(tbl_Finance[Xero Invoice No]&lt;&gt;"")),tbl_Finance[Xero Invoice No]),LOOKUP(2,1/((tbl_Finance[Job Number]=C252&amp;"")*(tbl_Finance[Xero Invoice No]&lt;&gt;"")),tbl_Finance[Xero Invoice No])&amp;" +more"),"")))</f>
        <v/>
      </c>
      <c r="C252" s="24" t="n"/>
      <c r="D252" s="25">
        <f>IF(C252="","",IF(COUNTIF(lst_Jobs,C252&amp;"")&gt;0,"OK","CHECK"))</f>
        <v/>
      </c>
      <c r="E252" s="25">
        <f>IF(C252="","",IFERROR(INDEX(lst_JobName,MATCH(C252&amp;"",lst_Jobs,0)),""))</f>
        <v/>
      </c>
      <c r="F252" s="25">
        <f>IF(C252="","",IFERROR(INDEX(tbl_Finance[Client],MATCH(C252&amp;"",tbl_Finance[Job Number],0)),""))</f>
        <v/>
      </c>
      <c r="G252" s="28">
        <f>IF(C252="","",COUNTIFS(tbl_Finance[Job Number],C252&amp;"",tbl_Finance[Ex GST],"&lt;&gt;"))</f>
        <v/>
      </c>
      <c r="H252" s="27">
        <f>IF(C252="","",SUMIFS(tbl_Finance[Ex GST],tbl_Finance[Job Number],C252&amp;""))</f>
        <v/>
      </c>
      <c r="I252" s="27">
        <f>IF(C252="","",SUMIFS(tbl_Finance[Ex GST],tbl_Finance[Job Number],C252&amp;"",tbl_Finance[Xero Invoice No],"&lt;&gt;"))</f>
        <v/>
      </c>
      <c r="J252" s="27">
        <f>IF(C252="","",H252-I252)</f>
        <v/>
      </c>
      <c r="K252" s="25">
        <f>IF(C252="","",IF(G252=0,"not invoiced yet",SUBSTITUTE(TRIM(IF(COUNTIFS(tbl_Finance[Job Number],C252&amp;"",tbl_Finance[Cost Centre],"ONSITE")&gt;0,"ONSITE ","")&amp;IF(COUNTIFS(tbl_Finance[Job Number],C252&amp;"",tbl_Finance[Cost Centre],"PRODUCTION")&gt;0,"PRODUCTION ","")&amp;IF(COUNTIFS(tbl_Finance[Job Number],C252&amp;"",tbl_Finance[Cost Centre],"VIDEO")&gt;0,"VIDEO ","")&amp;IF(COUNTIFS(tbl_Finance[Job Number],C252&amp;"",tbl_Finance[Cost Centre],"INTEGRATION")&gt;0,"INTEGRATION ","")&amp;IF(COUNTIFS(tbl_Finance[Job Number],C252&amp;"",tbl_Finance[Cost Centre],"CONSULTING")&gt;0,"CONSULTING ","")&amp;IF(COUNTIFS(tbl_Finance[Job Number],C252&amp;"",tbl_Finance[Cost Centre],"CTS")&gt;0,"CTS ",""))," ",", ")))</f>
        <v/>
      </c>
      <c r="L252" s="24" t="n"/>
      <c r="M252" s="25">
        <f>IF(L252="","",HYPERLINK(IF(LEFT(L252,4)="http",L252,set_QwilrBase&amp;L252),"Open quote"))</f>
        <v/>
      </c>
      <c r="N252" s="26" t="n"/>
      <c r="O252" s="26" t="n"/>
      <c r="P252" s="26" t="n"/>
      <c r="Q252" s="25">
        <f>IF(C252="","",IF(N(N252)+N(O252)+N(P252)=0,"Not split",IF(ROUND(N(N252)+N(O252)+N(P252),2)=ROUND(H252,2),"OK","MISMATCH")))</f>
        <v/>
      </c>
      <c r="R252" s="26" t="n"/>
      <c r="S252" s="26" t="n"/>
      <c r="T252" s="26" t="n"/>
      <c r="U252" s="27">
        <f>IF(C252="","",N(R252)+N(S252)+N(T252))</f>
        <v/>
      </c>
      <c r="V252" s="27">
        <f>IF(C252="","",H252-U252)</f>
        <v/>
      </c>
      <c r="W252" s="29">
        <f>IFERROR(V252/H252,"")</f>
        <v/>
      </c>
      <c r="X252" s="24" t="n"/>
    </row>
    <row r="253" ht="15" customHeight="1">
      <c r="A253" s="68">
        <f>IF(C253="","",IFERROR(IF(SUMPRODUCT(MAX((tbl_Finance[Job Number]=C253&amp;"")*(tbl_Finance[Xero Invoice No]&lt;&gt;"")*tbl_Finance[Date]))=0,"",SUMPRODUCT(MAX((tbl_Finance[Job Number]=C253&amp;"")*(tbl_Finance[Xero Invoice No]&lt;&gt;"")*tbl_Finance[Date]))),""))</f>
        <v/>
      </c>
      <c r="B253" s="25">
        <f>IF(C253="","",IF(COUNTIFS(tbl_Finance[Job Number],C253&amp;"",tbl_Finance[Xero Invoice No],"&lt;&gt;")=0,"",IFERROR(IF(COUNTIFS(tbl_Finance[Job Number],C253&amp;"",tbl_Finance[Xero Invoice No],LOOKUP(2,1/((tbl_Finance[Job Number]=C253&amp;"")*(tbl_Finance[Xero Invoice No]&lt;&gt;"")),tbl_Finance[Xero Invoice No]))=COUNTIFS(tbl_Finance[Job Number],C253&amp;"",tbl_Finance[Xero Invoice No],"&lt;&gt;"),LOOKUP(2,1/((tbl_Finance[Job Number]=C253&amp;"")*(tbl_Finance[Xero Invoice No]&lt;&gt;"")),tbl_Finance[Xero Invoice No]),LOOKUP(2,1/((tbl_Finance[Job Number]=C253&amp;"")*(tbl_Finance[Xero Invoice No]&lt;&gt;"")),tbl_Finance[Xero Invoice No])&amp;" +more"),"")))</f>
        <v/>
      </c>
      <c r="C253" s="24" t="n"/>
      <c r="D253" s="25">
        <f>IF(C253="","",IF(COUNTIF(lst_Jobs,C253&amp;"")&gt;0,"OK","CHECK"))</f>
        <v/>
      </c>
      <c r="E253" s="25">
        <f>IF(C253="","",IFERROR(INDEX(lst_JobName,MATCH(C253&amp;"",lst_Jobs,0)),""))</f>
        <v/>
      </c>
      <c r="F253" s="25">
        <f>IF(C253="","",IFERROR(INDEX(tbl_Finance[Client],MATCH(C253&amp;"",tbl_Finance[Job Number],0)),""))</f>
        <v/>
      </c>
      <c r="G253" s="28">
        <f>IF(C253="","",COUNTIFS(tbl_Finance[Job Number],C253&amp;"",tbl_Finance[Ex GST],"&lt;&gt;"))</f>
        <v/>
      </c>
      <c r="H253" s="27">
        <f>IF(C253="","",SUMIFS(tbl_Finance[Ex GST],tbl_Finance[Job Number],C253&amp;""))</f>
        <v/>
      </c>
      <c r="I253" s="27">
        <f>IF(C253="","",SUMIFS(tbl_Finance[Ex GST],tbl_Finance[Job Number],C253&amp;"",tbl_Finance[Xero Invoice No],"&lt;&gt;"))</f>
        <v/>
      </c>
      <c r="J253" s="27">
        <f>IF(C253="","",H253-I253)</f>
        <v/>
      </c>
      <c r="K253" s="25">
        <f>IF(C253="","",IF(G253=0,"not invoiced yet",SUBSTITUTE(TRIM(IF(COUNTIFS(tbl_Finance[Job Number],C253&amp;"",tbl_Finance[Cost Centre],"ONSITE")&gt;0,"ONSITE ","")&amp;IF(COUNTIFS(tbl_Finance[Job Number],C253&amp;"",tbl_Finance[Cost Centre],"PRODUCTION")&gt;0,"PRODUCTION ","")&amp;IF(COUNTIFS(tbl_Finance[Job Number],C253&amp;"",tbl_Finance[Cost Centre],"VIDEO")&gt;0,"VIDEO ","")&amp;IF(COUNTIFS(tbl_Finance[Job Number],C253&amp;"",tbl_Finance[Cost Centre],"INTEGRATION")&gt;0,"INTEGRATION ","")&amp;IF(COUNTIFS(tbl_Finance[Job Number],C253&amp;"",tbl_Finance[Cost Centre],"CONSULTING")&gt;0,"CONSULTING ","")&amp;IF(COUNTIFS(tbl_Finance[Job Number],C253&amp;"",tbl_Finance[Cost Centre],"CTS")&gt;0,"CTS ",""))," ",", ")))</f>
        <v/>
      </c>
      <c r="L253" s="24" t="n"/>
      <c r="M253" s="25">
        <f>IF(L253="","",HYPERLINK(IF(LEFT(L253,4)="http",L253,set_QwilrBase&amp;L253),"Open quote"))</f>
        <v/>
      </c>
      <c r="N253" s="26" t="n"/>
      <c r="O253" s="26" t="n"/>
      <c r="P253" s="26" t="n"/>
      <c r="Q253" s="25">
        <f>IF(C253="","",IF(N(N253)+N(O253)+N(P253)=0,"Not split",IF(ROUND(N(N253)+N(O253)+N(P253),2)=ROUND(H253,2),"OK","MISMATCH")))</f>
        <v/>
      </c>
      <c r="R253" s="26" t="n"/>
      <c r="S253" s="26" t="n"/>
      <c r="T253" s="26" t="n"/>
      <c r="U253" s="27">
        <f>IF(C253="","",N(R253)+N(S253)+N(T253))</f>
        <v/>
      </c>
      <c r="V253" s="27">
        <f>IF(C253="","",H253-U253)</f>
        <v/>
      </c>
      <c r="W253" s="29">
        <f>IFERROR(V253/H253,"")</f>
        <v/>
      </c>
      <c r="X253" s="24" t="n"/>
    </row>
    <row r="254" ht="15" customHeight="1">
      <c r="A254" s="68">
        <f>IF(C254="","",IFERROR(IF(SUMPRODUCT(MAX((tbl_Finance[Job Number]=C254&amp;"")*(tbl_Finance[Xero Invoice No]&lt;&gt;"")*tbl_Finance[Date]))=0,"",SUMPRODUCT(MAX((tbl_Finance[Job Number]=C254&amp;"")*(tbl_Finance[Xero Invoice No]&lt;&gt;"")*tbl_Finance[Date]))),""))</f>
        <v/>
      </c>
      <c r="B254" s="25">
        <f>IF(C254="","",IF(COUNTIFS(tbl_Finance[Job Number],C254&amp;"",tbl_Finance[Xero Invoice No],"&lt;&gt;")=0,"",IFERROR(IF(COUNTIFS(tbl_Finance[Job Number],C254&amp;"",tbl_Finance[Xero Invoice No],LOOKUP(2,1/((tbl_Finance[Job Number]=C254&amp;"")*(tbl_Finance[Xero Invoice No]&lt;&gt;"")),tbl_Finance[Xero Invoice No]))=COUNTIFS(tbl_Finance[Job Number],C254&amp;"",tbl_Finance[Xero Invoice No],"&lt;&gt;"),LOOKUP(2,1/((tbl_Finance[Job Number]=C254&amp;"")*(tbl_Finance[Xero Invoice No]&lt;&gt;"")),tbl_Finance[Xero Invoice No]),LOOKUP(2,1/((tbl_Finance[Job Number]=C254&amp;"")*(tbl_Finance[Xero Invoice No]&lt;&gt;"")),tbl_Finance[Xero Invoice No])&amp;" +more"),"")))</f>
        <v/>
      </c>
      <c r="C254" s="24" t="n"/>
      <c r="D254" s="25">
        <f>IF(C254="","",IF(COUNTIF(lst_Jobs,C254&amp;"")&gt;0,"OK","CHECK"))</f>
        <v/>
      </c>
      <c r="E254" s="25">
        <f>IF(C254="","",IFERROR(INDEX(lst_JobName,MATCH(C254&amp;"",lst_Jobs,0)),""))</f>
        <v/>
      </c>
      <c r="F254" s="25">
        <f>IF(C254="","",IFERROR(INDEX(tbl_Finance[Client],MATCH(C254&amp;"",tbl_Finance[Job Number],0)),""))</f>
        <v/>
      </c>
      <c r="G254" s="28">
        <f>IF(C254="","",COUNTIFS(tbl_Finance[Job Number],C254&amp;"",tbl_Finance[Ex GST],"&lt;&gt;"))</f>
        <v/>
      </c>
      <c r="H254" s="27">
        <f>IF(C254="","",SUMIFS(tbl_Finance[Ex GST],tbl_Finance[Job Number],C254&amp;""))</f>
        <v/>
      </c>
      <c r="I254" s="27">
        <f>IF(C254="","",SUMIFS(tbl_Finance[Ex GST],tbl_Finance[Job Number],C254&amp;"",tbl_Finance[Xero Invoice No],"&lt;&gt;"))</f>
        <v/>
      </c>
      <c r="J254" s="27">
        <f>IF(C254="","",H254-I254)</f>
        <v/>
      </c>
      <c r="K254" s="25">
        <f>IF(C254="","",IF(G254=0,"not invoiced yet",SUBSTITUTE(TRIM(IF(COUNTIFS(tbl_Finance[Job Number],C254&amp;"",tbl_Finance[Cost Centre],"ONSITE")&gt;0,"ONSITE ","")&amp;IF(COUNTIFS(tbl_Finance[Job Number],C254&amp;"",tbl_Finance[Cost Centre],"PRODUCTION")&gt;0,"PRODUCTION ","")&amp;IF(COUNTIFS(tbl_Finance[Job Number],C254&amp;"",tbl_Finance[Cost Centre],"VIDEO")&gt;0,"VIDEO ","")&amp;IF(COUNTIFS(tbl_Finance[Job Number],C254&amp;"",tbl_Finance[Cost Centre],"INTEGRATION")&gt;0,"INTEGRATION ","")&amp;IF(COUNTIFS(tbl_Finance[Job Number],C254&amp;"",tbl_Finance[Cost Centre],"CONSULTING")&gt;0,"CONSULTING ","")&amp;IF(COUNTIFS(tbl_Finance[Job Number],C254&amp;"",tbl_Finance[Cost Centre],"CTS")&gt;0,"CTS ",""))," ",", ")))</f>
        <v/>
      </c>
      <c r="L254" s="24" t="n"/>
      <c r="M254" s="25">
        <f>IF(L254="","",HYPERLINK(IF(LEFT(L254,4)="http",L254,set_QwilrBase&amp;L254),"Open quote"))</f>
        <v/>
      </c>
      <c r="N254" s="26" t="n"/>
      <c r="O254" s="26" t="n"/>
      <c r="P254" s="26" t="n"/>
      <c r="Q254" s="25">
        <f>IF(C254="","",IF(N(N254)+N(O254)+N(P254)=0,"Not split",IF(ROUND(N(N254)+N(O254)+N(P254),2)=ROUND(H254,2),"OK","MISMATCH")))</f>
        <v/>
      </c>
      <c r="R254" s="26" t="n"/>
      <c r="S254" s="26" t="n"/>
      <c r="T254" s="26" t="n"/>
      <c r="U254" s="27">
        <f>IF(C254="","",N(R254)+N(S254)+N(T254))</f>
        <v/>
      </c>
      <c r="V254" s="27">
        <f>IF(C254="","",H254-U254)</f>
        <v/>
      </c>
      <c r="W254" s="29">
        <f>IFERROR(V254/H254,"")</f>
        <v/>
      </c>
      <c r="X254" s="24" t="n"/>
    </row>
    <row r="255" ht="15" customHeight="1">
      <c r="A255" s="68">
        <f>IF(C255="","",IFERROR(IF(SUMPRODUCT(MAX((tbl_Finance[Job Number]=C255&amp;"")*(tbl_Finance[Xero Invoice No]&lt;&gt;"")*tbl_Finance[Date]))=0,"",SUMPRODUCT(MAX((tbl_Finance[Job Number]=C255&amp;"")*(tbl_Finance[Xero Invoice No]&lt;&gt;"")*tbl_Finance[Date]))),""))</f>
        <v/>
      </c>
      <c r="B255" s="25">
        <f>IF(C255="","",IF(COUNTIFS(tbl_Finance[Job Number],C255&amp;"",tbl_Finance[Xero Invoice No],"&lt;&gt;")=0,"",IFERROR(IF(COUNTIFS(tbl_Finance[Job Number],C255&amp;"",tbl_Finance[Xero Invoice No],LOOKUP(2,1/((tbl_Finance[Job Number]=C255&amp;"")*(tbl_Finance[Xero Invoice No]&lt;&gt;"")),tbl_Finance[Xero Invoice No]))=COUNTIFS(tbl_Finance[Job Number],C255&amp;"",tbl_Finance[Xero Invoice No],"&lt;&gt;"),LOOKUP(2,1/((tbl_Finance[Job Number]=C255&amp;"")*(tbl_Finance[Xero Invoice No]&lt;&gt;"")),tbl_Finance[Xero Invoice No]),LOOKUP(2,1/((tbl_Finance[Job Number]=C255&amp;"")*(tbl_Finance[Xero Invoice No]&lt;&gt;"")),tbl_Finance[Xero Invoice No])&amp;" +more"),"")))</f>
        <v/>
      </c>
      <c r="C255" s="24" t="n"/>
      <c r="D255" s="25">
        <f>IF(C255="","",IF(COUNTIF(lst_Jobs,C255&amp;"")&gt;0,"OK","CHECK"))</f>
        <v/>
      </c>
      <c r="E255" s="25">
        <f>IF(C255="","",IFERROR(INDEX(lst_JobName,MATCH(C255&amp;"",lst_Jobs,0)),""))</f>
        <v/>
      </c>
      <c r="F255" s="25">
        <f>IF(C255="","",IFERROR(INDEX(tbl_Finance[Client],MATCH(C255&amp;"",tbl_Finance[Job Number],0)),""))</f>
        <v/>
      </c>
      <c r="G255" s="28">
        <f>IF(C255="","",COUNTIFS(tbl_Finance[Job Number],C255&amp;"",tbl_Finance[Ex GST],"&lt;&gt;"))</f>
        <v/>
      </c>
      <c r="H255" s="27">
        <f>IF(C255="","",SUMIFS(tbl_Finance[Ex GST],tbl_Finance[Job Number],C255&amp;""))</f>
        <v/>
      </c>
      <c r="I255" s="27">
        <f>IF(C255="","",SUMIFS(tbl_Finance[Ex GST],tbl_Finance[Job Number],C255&amp;"",tbl_Finance[Xero Invoice No],"&lt;&gt;"))</f>
        <v/>
      </c>
      <c r="J255" s="27">
        <f>IF(C255="","",H255-I255)</f>
        <v/>
      </c>
      <c r="K255" s="25">
        <f>IF(C255="","",IF(G255=0,"not invoiced yet",SUBSTITUTE(TRIM(IF(COUNTIFS(tbl_Finance[Job Number],C255&amp;"",tbl_Finance[Cost Centre],"ONSITE")&gt;0,"ONSITE ","")&amp;IF(COUNTIFS(tbl_Finance[Job Number],C255&amp;"",tbl_Finance[Cost Centre],"PRODUCTION")&gt;0,"PRODUCTION ","")&amp;IF(COUNTIFS(tbl_Finance[Job Number],C255&amp;"",tbl_Finance[Cost Centre],"VIDEO")&gt;0,"VIDEO ","")&amp;IF(COUNTIFS(tbl_Finance[Job Number],C255&amp;"",tbl_Finance[Cost Centre],"INTEGRATION")&gt;0,"INTEGRATION ","")&amp;IF(COUNTIFS(tbl_Finance[Job Number],C255&amp;"",tbl_Finance[Cost Centre],"CONSULTING")&gt;0,"CONSULTING ","")&amp;IF(COUNTIFS(tbl_Finance[Job Number],C255&amp;"",tbl_Finance[Cost Centre],"CTS")&gt;0,"CTS ",""))," ",", ")))</f>
        <v/>
      </c>
      <c r="L255" s="24" t="n"/>
      <c r="M255" s="25">
        <f>IF(L255="","",HYPERLINK(IF(LEFT(L255,4)="http",L255,set_QwilrBase&amp;L255),"Open quote"))</f>
        <v/>
      </c>
      <c r="N255" s="26" t="n"/>
      <c r="O255" s="26" t="n"/>
      <c r="P255" s="26" t="n"/>
      <c r="Q255" s="25">
        <f>IF(C255="","",IF(N(N255)+N(O255)+N(P255)=0,"Not split",IF(ROUND(N(N255)+N(O255)+N(P255),2)=ROUND(H255,2),"OK","MISMATCH")))</f>
        <v/>
      </c>
      <c r="R255" s="26" t="n"/>
      <c r="S255" s="26" t="n"/>
      <c r="T255" s="26" t="n"/>
      <c r="U255" s="27">
        <f>IF(C255="","",N(R255)+N(S255)+N(T255))</f>
        <v/>
      </c>
      <c r="V255" s="27">
        <f>IF(C255="","",H255-U255)</f>
        <v/>
      </c>
      <c r="W255" s="29">
        <f>IFERROR(V255/H255,"")</f>
        <v/>
      </c>
      <c r="X255" s="24" t="n"/>
    </row>
    <row r="256" ht="15" customHeight="1">
      <c r="A256" s="68">
        <f>IF(C256="","",IFERROR(IF(SUMPRODUCT(MAX((tbl_Finance[Job Number]=C256&amp;"")*(tbl_Finance[Xero Invoice No]&lt;&gt;"")*tbl_Finance[Date]))=0,"",SUMPRODUCT(MAX((tbl_Finance[Job Number]=C256&amp;"")*(tbl_Finance[Xero Invoice No]&lt;&gt;"")*tbl_Finance[Date]))),""))</f>
        <v/>
      </c>
      <c r="B256" s="25">
        <f>IF(C256="","",IF(COUNTIFS(tbl_Finance[Job Number],C256&amp;"",tbl_Finance[Xero Invoice No],"&lt;&gt;")=0,"",IFERROR(IF(COUNTIFS(tbl_Finance[Job Number],C256&amp;"",tbl_Finance[Xero Invoice No],LOOKUP(2,1/((tbl_Finance[Job Number]=C256&amp;"")*(tbl_Finance[Xero Invoice No]&lt;&gt;"")),tbl_Finance[Xero Invoice No]))=COUNTIFS(tbl_Finance[Job Number],C256&amp;"",tbl_Finance[Xero Invoice No],"&lt;&gt;"),LOOKUP(2,1/((tbl_Finance[Job Number]=C256&amp;"")*(tbl_Finance[Xero Invoice No]&lt;&gt;"")),tbl_Finance[Xero Invoice No]),LOOKUP(2,1/((tbl_Finance[Job Number]=C256&amp;"")*(tbl_Finance[Xero Invoice No]&lt;&gt;"")),tbl_Finance[Xero Invoice No])&amp;" +more"),"")))</f>
        <v/>
      </c>
      <c r="C256" s="24" t="n"/>
      <c r="D256" s="25">
        <f>IF(C256="","",IF(COUNTIF(lst_Jobs,C256&amp;"")&gt;0,"OK","CHECK"))</f>
        <v/>
      </c>
      <c r="E256" s="25">
        <f>IF(C256="","",IFERROR(INDEX(lst_JobName,MATCH(C256&amp;"",lst_Jobs,0)),""))</f>
        <v/>
      </c>
      <c r="F256" s="25">
        <f>IF(C256="","",IFERROR(INDEX(tbl_Finance[Client],MATCH(C256&amp;"",tbl_Finance[Job Number],0)),""))</f>
        <v/>
      </c>
      <c r="G256" s="28">
        <f>IF(C256="","",COUNTIFS(tbl_Finance[Job Number],C256&amp;"",tbl_Finance[Ex GST],"&lt;&gt;"))</f>
        <v/>
      </c>
      <c r="H256" s="27">
        <f>IF(C256="","",SUMIFS(tbl_Finance[Ex GST],tbl_Finance[Job Number],C256&amp;""))</f>
        <v/>
      </c>
      <c r="I256" s="27">
        <f>IF(C256="","",SUMIFS(tbl_Finance[Ex GST],tbl_Finance[Job Number],C256&amp;"",tbl_Finance[Xero Invoice No],"&lt;&gt;"))</f>
        <v/>
      </c>
      <c r="J256" s="27">
        <f>IF(C256="","",H256-I256)</f>
        <v/>
      </c>
      <c r="K256" s="25">
        <f>IF(C256="","",IF(G256=0,"not invoiced yet",SUBSTITUTE(TRIM(IF(COUNTIFS(tbl_Finance[Job Number],C256&amp;"",tbl_Finance[Cost Centre],"ONSITE")&gt;0,"ONSITE ","")&amp;IF(COUNTIFS(tbl_Finance[Job Number],C256&amp;"",tbl_Finance[Cost Centre],"PRODUCTION")&gt;0,"PRODUCTION ","")&amp;IF(COUNTIFS(tbl_Finance[Job Number],C256&amp;"",tbl_Finance[Cost Centre],"VIDEO")&gt;0,"VIDEO ","")&amp;IF(COUNTIFS(tbl_Finance[Job Number],C256&amp;"",tbl_Finance[Cost Centre],"INTEGRATION")&gt;0,"INTEGRATION ","")&amp;IF(COUNTIFS(tbl_Finance[Job Number],C256&amp;"",tbl_Finance[Cost Centre],"CONSULTING")&gt;0,"CONSULTING ","")&amp;IF(COUNTIFS(tbl_Finance[Job Number],C256&amp;"",tbl_Finance[Cost Centre],"CTS")&gt;0,"CTS ",""))," ",", ")))</f>
        <v/>
      </c>
      <c r="L256" s="24" t="n"/>
      <c r="M256" s="25">
        <f>IF(L256="","",HYPERLINK(IF(LEFT(L256,4)="http",L256,set_QwilrBase&amp;L256),"Open quote"))</f>
        <v/>
      </c>
      <c r="N256" s="26" t="n"/>
      <c r="O256" s="26" t="n"/>
      <c r="P256" s="26" t="n"/>
      <c r="Q256" s="25">
        <f>IF(C256="","",IF(N(N256)+N(O256)+N(P256)=0,"Not split",IF(ROUND(N(N256)+N(O256)+N(P256),2)=ROUND(H256,2),"OK","MISMATCH")))</f>
        <v/>
      </c>
      <c r="R256" s="26" t="n"/>
      <c r="S256" s="26" t="n"/>
      <c r="T256" s="26" t="n"/>
      <c r="U256" s="27">
        <f>IF(C256="","",N(R256)+N(S256)+N(T256))</f>
        <v/>
      </c>
      <c r="V256" s="27">
        <f>IF(C256="","",H256-U256)</f>
        <v/>
      </c>
      <c r="W256" s="29">
        <f>IFERROR(V256/H256,"")</f>
        <v/>
      </c>
      <c r="X256" s="24" t="n"/>
    </row>
    <row r="257" ht="15" customHeight="1">
      <c r="A257" s="68">
        <f>IF(C257="","",IFERROR(IF(SUMPRODUCT(MAX((tbl_Finance[Job Number]=C257&amp;"")*(tbl_Finance[Xero Invoice No]&lt;&gt;"")*tbl_Finance[Date]))=0,"",SUMPRODUCT(MAX((tbl_Finance[Job Number]=C257&amp;"")*(tbl_Finance[Xero Invoice No]&lt;&gt;"")*tbl_Finance[Date]))),""))</f>
        <v/>
      </c>
      <c r="B257" s="25">
        <f>IF(C257="","",IF(COUNTIFS(tbl_Finance[Job Number],C257&amp;"",tbl_Finance[Xero Invoice No],"&lt;&gt;")=0,"",IFERROR(IF(COUNTIFS(tbl_Finance[Job Number],C257&amp;"",tbl_Finance[Xero Invoice No],LOOKUP(2,1/((tbl_Finance[Job Number]=C257&amp;"")*(tbl_Finance[Xero Invoice No]&lt;&gt;"")),tbl_Finance[Xero Invoice No]))=COUNTIFS(tbl_Finance[Job Number],C257&amp;"",tbl_Finance[Xero Invoice No],"&lt;&gt;"),LOOKUP(2,1/((tbl_Finance[Job Number]=C257&amp;"")*(tbl_Finance[Xero Invoice No]&lt;&gt;"")),tbl_Finance[Xero Invoice No]),LOOKUP(2,1/((tbl_Finance[Job Number]=C257&amp;"")*(tbl_Finance[Xero Invoice No]&lt;&gt;"")),tbl_Finance[Xero Invoice No])&amp;" +more"),"")))</f>
        <v/>
      </c>
      <c r="C257" s="24" t="n"/>
      <c r="D257" s="25">
        <f>IF(C257="","",IF(COUNTIF(lst_Jobs,C257&amp;"")&gt;0,"OK","CHECK"))</f>
        <v/>
      </c>
      <c r="E257" s="25">
        <f>IF(C257="","",IFERROR(INDEX(lst_JobName,MATCH(C257&amp;"",lst_Jobs,0)),""))</f>
        <v/>
      </c>
      <c r="F257" s="25">
        <f>IF(C257="","",IFERROR(INDEX(tbl_Finance[Client],MATCH(C257&amp;"",tbl_Finance[Job Number],0)),""))</f>
        <v/>
      </c>
      <c r="G257" s="28">
        <f>IF(C257="","",COUNTIFS(tbl_Finance[Job Number],C257&amp;"",tbl_Finance[Ex GST],"&lt;&gt;"))</f>
        <v/>
      </c>
      <c r="H257" s="27">
        <f>IF(C257="","",SUMIFS(tbl_Finance[Ex GST],tbl_Finance[Job Number],C257&amp;""))</f>
        <v/>
      </c>
      <c r="I257" s="27">
        <f>IF(C257="","",SUMIFS(tbl_Finance[Ex GST],tbl_Finance[Job Number],C257&amp;"",tbl_Finance[Xero Invoice No],"&lt;&gt;"))</f>
        <v/>
      </c>
      <c r="J257" s="27">
        <f>IF(C257="","",H257-I257)</f>
        <v/>
      </c>
      <c r="K257" s="25">
        <f>IF(C257="","",IF(G257=0,"not invoiced yet",SUBSTITUTE(TRIM(IF(COUNTIFS(tbl_Finance[Job Number],C257&amp;"",tbl_Finance[Cost Centre],"ONSITE")&gt;0,"ONSITE ","")&amp;IF(COUNTIFS(tbl_Finance[Job Number],C257&amp;"",tbl_Finance[Cost Centre],"PRODUCTION")&gt;0,"PRODUCTION ","")&amp;IF(COUNTIFS(tbl_Finance[Job Number],C257&amp;"",tbl_Finance[Cost Centre],"VIDEO")&gt;0,"VIDEO ","")&amp;IF(COUNTIFS(tbl_Finance[Job Number],C257&amp;"",tbl_Finance[Cost Centre],"INTEGRATION")&gt;0,"INTEGRATION ","")&amp;IF(COUNTIFS(tbl_Finance[Job Number],C257&amp;"",tbl_Finance[Cost Centre],"CONSULTING")&gt;0,"CONSULTING ","")&amp;IF(COUNTIFS(tbl_Finance[Job Number],C257&amp;"",tbl_Finance[Cost Centre],"CTS")&gt;0,"CTS ",""))," ",", ")))</f>
        <v/>
      </c>
      <c r="L257" s="24" t="n"/>
      <c r="M257" s="25">
        <f>IF(L257="","",HYPERLINK(IF(LEFT(L257,4)="http",L257,set_QwilrBase&amp;L257),"Open quote"))</f>
        <v/>
      </c>
      <c r="N257" s="26" t="n"/>
      <c r="O257" s="26" t="n"/>
      <c r="P257" s="26" t="n"/>
      <c r="Q257" s="25">
        <f>IF(C257="","",IF(N(N257)+N(O257)+N(P257)=0,"Not split",IF(ROUND(N(N257)+N(O257)+N(P257),2)=ROUND(H257,2),"OK","MISMATCH")))</f>
        <v/>
      </c>
      <c r="R257" s="26" t="n"/>
      <c r="S257" s="26" t="n"/>
      <c r="T257" s="26" t="n"/>
      <c r="U257" s="27">
        <f>IF(C257="","",N(R257)+N(S257)+N(T257))</f>
        <v/>
      </c>
      <c r="V257" s="27">
        <f>IF(C257="","",H257-U257)</f>
        <v/>
      </c>
      <c r="W257" s="29">
        <f>IFERROR(V257/H257,"")</f>
        <v/>
      </c>
      <c r="X257" s="24" t="n"/>
    </row>
    <row r="258" ht="15" customHeight="1">
      <c r="A258" s="68">
        <f>IF(C258="","",IFERROR(IF(SUMPRODUCT(MAX((tbl_Finance[Job Number]=C258&amp;"")*(tbl_Finance[Xero Invoice No]&lt;&gt;"")*tbl_Finance[Date]))=0,"",SUMPRODUCT(MAX((tbl_Finance[Job Number]=C258&amp;"")*(tbl_Finance[Xero Invoice No]&lt;&gt;"")*tbl_Finance[Date]))),""))</f>
        <v/>
      </c>
      <c r="B258" s="25">
        <f>IF(C258="","",IF(COUNTIFS(tbl_Finance[Job Number],C258&amp;"",tbl_Finance[Xero Invoice No],"&lt;&gt;")=0,"",IFERROR(IF(COUNTIFS(tbl_Finance[Job Number],C258&amp;"",tbl_Finance[Xero Invoice No],LOOKUP(2,1/((tbl_Finance[Job Number]=C258&amp;"")*(tbl_Finance[Xero Invoice No]&lt;&gt;"")),tbl_Finance[Xero Invoice No]))=COUNTIFS(tbl_Finance[Job Number],C258&amp;"",tbl_Finance[Xero Invoice No],"&lt;&gt;"),LOOKUP(2,1/((tbl_Finance[Job Number]=C258&amp;"")*(tbl_Finance[Xero Invoice No]&lt;&gt;"")),tbl_Finance[Xero Invoice No]),LOOKUP(2,1/((tbl_Finance[Job Number]=C258&amp;"")*(tbl_Finance[Xero Invoice No]&lt;&gt;"")),tbl_Finance[Xero Invoice No])&amp;" +more"),"")))</f>
        <v/>
      </c>
      <c r="C258" s="24" t="n"/>
      <c r="D258" s="25">
        <f>IF(C258="","",IF(COUNTIF(lst_Jobs,C258&amp;"")&gt;0,"OK","CHECK"))</f>
        <v/>
      </c>
      <c r="E258" s="25">
        <f>IF(C258="","",IFERROR(INDEX(lst_JobName,MATCH(C258&amp;"",lst_Jobs,0)),""))</f>
        <v/>
      </c>
      <c r="F258" s="25">
        <f>IF(C258="","",IFERROR(INDEX(tbl_Finance[Client],MATCH(C258&amp;"",tbl_Finance[Job Number],0)),""))</f>
        <v/>
      </c>
      <c r="G258" s="28">
        <f>IF(C258="","",COUNTIFS(tbl_Finance[Job Number],C258&amp;"",tbl_Finance[Ex GST],"&lt;&gt;"))</f>
        <v/>
      </c>
      <c r="H258" s="27">
        <f>IF(C258="","",SUMIFS(tbl_Finance[Ex GST],tbl_Finance[Job Number],C258&amp;""))</f>
        <v/>
      </c>
      <c r="I258" s="27">
        <f>IF(C258="","",SUMIFS(tbl_Finance[Ex GST],tbl_Finance[Job Number],C258&amp;"",tbl_Finance[Xero Invoice No],"&lt;&gt;"))</f>
        <v/>
      </c>
      <c r="J258" s="27">
        <f>IF(C258="","",H258-I258)</f>
        <v/>
      </c>
      <c r="K258" s="25">
        <f>IF(C258="","",IF(G258=0,"not invoiced yet",SUBSTITUTE(TRIM(IF(COUNTIFS(tbl_Finance[Job Number],C258&amp;"",tbl_Finance[Cost Centre],"ONSITE")&gt;0,"ONSITE ","")&amp;IF(COUNTIFS(tbl_Finance[Job Number],C258&amp;"",tbl_Finance[Cost Centre],"PRODUCTION")&gt;0,"PRODUCTION ","")&amp;IF(COUNTIFS(tbl_Finance[Job Number],C258&amp;"",tbl_Finance[Cost Centre],"VIDEO")&gt;0,"VIDEO ","")&amp;IF(COUNTIFS(tbl_Finance[Job Number],C258&amp;"",tbl_Finance[Cost Centre],"INTEGRATION")&gt;0,"INTEGRATION ","")&amp;IF(COUNTIFS(tbl_Finance[Job Number],C258&amp;"",tbl_Finance[Cost Centre],"CONSULTING")&gt;0,"CONSULTING ","")&amp;IF(COUNTIFS(tbl_Finance[Job Number],C258&amp;"",tbl_Finance[Cost Centre],"CTS")&gt;0,"CTS ",""))," ",", ")))</f>
        <v/>
      </c>
      <c r="L258" s="24" t="n"/>
      <c r="M258" s="25">
        <f>IF(L258="","",HYPERLINK(IF(LEFT(L258,4)="http",L258,set_QwilrBase&amp;L258),"Open quote"))</f>
        <v/>
      </c>
      <c r="N258" s="26" t="n"/>
      <c r="O258" s="26" t="n"/>
      <c r="P258" s="26" t="n"/>
      <c r="Q258" s="25">
        <f>IF(C258="","",IF(N(N258)+N(O258)+N(P258)=0,"Not split",IF(ROUND(N(N258)+N(O258)+N(P258),2)=ROUND(H258,2),"OK","MISMATCH")))</f>
        <v/>
      </c>
      <c r="R258" s="26" t="n"/>
      <c r="S258" s="26" t="n"/>
      <c r="T258" s="26" t="n"/>
      <c r="U258" s="27">
        <f>IF(C258="","",N(R258)+N(S258)+N(T258))</f>
        <v/>
      </c>
      <c r="V258" s="27">
        <f>IF(C258="","",H258-U258)</f>
        <v/>
      </c>
      <c r="W258" s="29">
        <f>IFERROR(V258/H258,"")</f>
        <v/>
      </c>
      <c r="X258" s="24" t="n"/>
    </row>
    <row r="259" ht="15" customHeight="1">
      <c r="A259" s="68">
        <f>IF(C259="","",IFERROR(IF(SUMPRODUCT(MAX((tbl_Finance[Job Number]=C259&amp;"")*(tbl_Finance[Xero Invoice No]&lt;&gt;"")*tbl_Finance[Date]))=0,"",SUMPRODUCT(MAX((tbl_Finance[Job Number]=C259&amp;"")*(tbl_Finance[Xero Invoice No]&lt;&gt;"")*tbl_Finance[Date]))),""))</f>
        <v/>
      </c>
      <c r="B259" s="25">
        <f>IF(C259="","",IF(COUNTIFS(tbl_Finance[Job Number],C259&amp;"",tbl_Finance[Xero Invoice No],"&lt;&gt;")=0,"",IFERROR(IF(COUNTIFS(tbl_Finance[Job Number],C259&amp;"",tbl_Finance[Xero Invoice No],LOOKUP(2,1/((tbl_Finance[Job Number]=C259&amp;"")*(tbl_Finance[Xero Invoice No]&lt;&gt;"")),tbl_Finance[Xero Invoice No]))=COUNTIFS(tbl_Finance[Job Number],C259&amp;"",tbl_Finance[Xero Invoice No],"&lt;&gt;"),LOOKUP(2,1/((tbl_Finance[Job Number]=C259&amp;"")*(tbl_Finance[Xero Invoice No]&lt;&gt;"")),tbl_Finance[Xero Invoice No]),LOOKUP(2,1/((tbl_Finance[Job Number]=C259&amp;"")*(tbl_Finance[Xero Invoice No]&lt;&gt;"")),tbl_Finance[Xero Invoice No])&amp;" +more"),"")))</f>
        <v/>
      </c>
      <c r="C259" s="24" t="n"/>
      <c r="D259" s="25">
        <f>IF(C259="","",IF(COUNTIF(lst_Jobs,C259&amp;"")&gt;0,"OK","CHECK"))</f>
        <v/>
      </c>
      <c r="E259" s="25">
        <f>IF(C259="","",IFERROR(INDEX(lst_JobName,MATCH(C259&amp;"",lst_Jobs,0)),""))</f>
        <v/>
      </c>
      <c r="F259" s="25">
        <f>IF(C259="","",IFERROR(INDEX(tbl_Finance[Client],MATCH(C259&amp;"",tbl_Finance[Job Number],0)),""))</f>
        <v/>
      </c>
      <c r="G259" s="28">
        <f>IF(C259="","",COUNTIFS(tbl_Finance[Job Number],C259&amp;"",tbl_Finance[Ex GST],"&lt;&gt;"))</f>
        <v/>
      </c>
      <c r="H259" s="27">
        <f>IF(C259="","",SUMIFS(tbl_Finance[Ex GST],tbl_Finance[Job Number],C259&amp;""))</f>
        <v/>
      </c>
      <c r="I259" s="27">
        <f>IF(C259="","",SUMIFS(tbl_Finance[Ex GST],tbl_Finance[Job Number],C259&amp;"",tbl_Finance[Xero Invoice No],"&lt;&gt;"))</f>
        <v/>
      </c>
      <c r="J259" s="27">
        <f>IF(C259="","",H259-I259)</f>
        <v/>
      </c>
      <c r="K259" s="25">
        <f>IF(C259="","",IF(G259=0,"not invoiced yet",SUBSTITUTE(TRIM(IF(COUNTIFS(tbl_Finance[Job Number],C259&amp;"",tbl_Finance[Cost Centre],"ONSITE")&gt;0,"ONSITE ","")&amp;IF(COUNTIFS(tbl_Finance[Job Number],C259&amp;"",tbl_Finance[Cost Centre],"PRODUCTION")&gt;0,"PRODUCTION ","")&amp;IF(COUNTIFS(tbl_Finance[Job Number],C259&amp;"",tbl_Finance[Cost Centre],"VIDEO")&gt;0,"VIDEO ","")&amp;IF(COUNTIFS(tbl_Finance[Job Number],C259&amp;"",tbl_Finance[Cost Centre],"INTEGRATION")&gt;0,"INTEGRATION ","")&amp;IF(COUNTIFS(tbl_Finance[Job Number],C259&amp;"",tbl_Finance[Cost Centre],"CONSULTING")&gt;0,"CONSULTING ","")&amp;IF(COUNTIFS(tbl_Finance[Job Number],C259&amp;"",tbl_Finance[Cost Centre],"CTS")&gt;0,"CTS ",""))," ",", ")))</f>
        <v/>
      </c>
      <c r="L259" s="24" t="n"/>
      <c r="M259" s="25">
        <f>IF(L259="","",HYPERLINK(IF(LEFT(L259,4)="http",L259,set_QwilrBase&amp;L259),"Open quote"))</f>
        <v/>
      </c>
      <c r="N259" s="26" t="n"/>
      <c r="O259" s="26" t="n"/>
      <c r="P259" s="26" t="n"/>
      <c r="Q259" s="25">
        <f>IF(C259="","",IF(N(N259)+N(O259)+N(P259)=0,"Not split",IF(ROUND(N(N259)+N(O259)+N(P259),2)=ROUND(H259,2),"OK","MISMATCH")))</f>
        <v/>
      </c>
      <c r="R259" s="26" t="n"/>
      <c r="S259" s="26" t="n"/>
      <c r="T259" s="26" t="n"/>
      <c r="U259" s="27">
        <f>IF(C259="","",N(R259)+N(S259)+N(T259))</f>
        <v/>
      </c>
      <c r="V259" s="27">
        <f>IF(C259="","",H259-U259)</f>
        <v/>
      </c>
      <c r="W259" s="29">
        <f>IFERROR(V259/H259,"")</f>
        <v/>
      </c>
      <c r="X259" s="24" t="n"/>
    </row>
    <row r="260" ht="15" customHeight="1">
      <c r="A260" s="68">
        <f>IF(C260="","",IFERROR(IF(SUMPRODUCT(MAX((tbl_Finance[Job Number]=C260&amp;"")*(tbl_Finance[Xero Invoice No]&lt;&gt;"")*tbl_Finance[Date]))=0,"",SUMPRODUCT(MAX((tbl_Finance[Job Number]=C260&amp;"")*(tbl_Finance[Xero Invoice No]&lt;&gt;"")*tbl_Finance[Date]))),""))</f>
        <v/>
      </c>
      <c r="B260" s="25">
        <f>IF(C260="","",IF(COUNTIFS(tbl_Finance[Job Number],C260&amp;"",tbl_Finance[Xero Invoice No],"&lt;&gt;")=0,"",IFERROR(IF(COUNTIFS(tbl_Finance[Job Number],C260&amp;"",tbl_Finance[Xero Invoice No],LOOKUP(2,1/((tbl_Finance[Job Number]=C260&amp;"")*(tbl_Finance[Xero Invoice No]&lt;&gt;"")),tbl_Finance[Xero Invoice No]))=COUNTIFS(tbl_Finance[Job Number],C260&amp;"",tbl_Finance[Xero Invoice No],"&lt;&gt;"),LOOKUP(2,1/((tbl_Finance[Job Number]=C260&amp;"")*(tbl_Finance[Xero Invoice No]&lt;&gt;"")),tbl_Finance[Xero Invoice No]),LOOKUP(2,1/((tbl_Finance[Job Number]=C260&amp;"")*(tbl_Finance[Xero Invoice No]&lt;&gt;"")),tbl_Finance[Xero Invoice No])&amp;" +more"),"")))</f>
        <v/>
      </c>
      <c r="C260" s="24" t="n"/>
      <c r="D260" s="25">
        <f>IF(C260="","",IF(COUNTIF(lst_Jobs,C260&amp;"")&gt;0,"OK","CHECK"))</f>
        <v/>
      </c>
      <c r="E260" s="25">
        <f>IF(C260="","",IFERROR(INDEX(lst_JobName,MATCH(C260&amp;"",lst_Jobs,0)),""))</f>
        <v/>
      </c>
      <c r="F260" s="25">
        <f>IF(C260="","",IFERROR(INDEX(tbl_Finance[Client],MATCH(C260&amp;"",tbl_Finance[Job Number],0)),""))</f>
        <v/>
      </c>
      <c r="G260" s="28">
        <f>IF(C260="","",COUNTIFS(tbl_Finance[Job Number],C260&amp;"",tbl_Finance[Ex GST],"&lt;&gt;"))</f>
        <v/>
      </c>
      <c r="H260" s="27">
        <f>IF(C260="","",SUMIFS(tbl_Finance[Ex GST],tbl_Finance[Job Number],C260&amp;""))</f>
        <v/>
      </c>
      <c r="I260" s="27">
        <f>IF(C260="","",SUMIFS(tbl_Finance[Ex GST],tbl_Finance[Job Number],C260&amp;"",tbl_Finance[Xero Invoice No],"&lt;&gt;"))</f>
        <v/>
      </c>
      <c r="J260" s="27">
        <f>IF(C260="","",H260-I260)</f>
        <v/>
      </c>
      <c r="K260" s="25">
        <f>IF(C260="","",IF(G260=0,"not invoiced yet",SUBSTITUTE(TRIM(IF(COUNTIFS(tbl_Finance[Job Number],C260&amp;"",tbl_Finance[Cost Centre],"ONSITE")&gt;0,"ONSITE ","")&amp;IF(COUNTIFS(tbl_Finance[Job Number],C260&amp;"",tbl_Finance[Cost Centre],"PRODUCTION")&gt;0,"PRODUCTION ","")&amp;IF(COUNTIFS(tbl_Finance[Job Number],C260&amp;"",tbl_Finance[Cost Centre],"VIDEO")&gt;0,"VIDEO ","")&amp;IF(COUNTIFS(tbl_Finance[Job Number],C260&amp;"",tbl_Finance[Cost Centre],"INTEGRATION")&gt;0,"INTEGRATION ","")&amp;IF(COUNTIFS(tbl_Finance[Job Number],C260&amp;"",tbl_Finance[Cost Centre],"CONSULTING")&gt;0,"CONSULTING ","")&amp;IF(COUNTIFS(tbl_Finance[Job Number],C260&amp;"",tbl_Finance[Cost Centre],"CTS")&gt;0,"CTS ",""))," ",", ")))</f>
        <v/>
      </c>
      <c r="L260" s="24" t="n"/>
      <c r="M260" s="25">
        <f>IF(L260="","",HYPERLINK(IF(LEFT(L260,4)="http",L260,set_QwilrBase&amp;L260),"Open quote"))</f>
        <v/>
      </c>
      <c r="N260" s="26" t="n"/>
      <c r="O260" s="26" t="n"/>
      <c r="P260" s="26" t="n"/>
      <c r="Q260" s="25">
        <f>IF(C260="","",IF(N(N260)+N(O260)+N(P260)=0,"Not split",IF(ROUND(N(N260)+N(O260)+N(P260),2)=ROUND(H260,2),"OK","MISMATCH")))</f>
        <v/>
      </c>
      <c r="R260" s="26" t="n"/>
      <c r="S260" s="26" t="n"/>
      <c r="T260" s="26" t="n"/>
      <c r="U260" s="27">
        <f>IF(C260="","",N(R260)+N(S260)+N(T260))</f>
        <v/>
      </c>
      <c r="V260" s="27">
        <f>IF(C260="","",H260-U260)</f>
        <v/>
      </c>
      <c r="W260" s="29">
        <f>IFERROR(V260/H260,"")</f>
        <v/>
      </c>
      <c r="X260" s="24" t="n"/>
    </row>
    <row r="261" ht="15" customHeight="1">
      <c r="A261" s="68">
        <f>IF(C261="","",IFERROR(IF(SUMPRODUCT(MAX((tbl_Finance[Job Number]=C261&amp;"")*(tbl_Finance[Xero Invoice No]&lt;&gt;"")*tbl_Finance[Date]))=0,"",SUMPRODUCT(MAX((tbl_Finance[Job Number]=C261&amp;"")*(tbl_Finance[Xero Invoice No]&lt;&gt;"")*tbl_Finance[Date]))),""))</f>
        <v/>
      </c>
      <c r="B261" s="25">
        <f>IF(C261="","",IF(COUNTIFS(tbl_Finance[Job Number],C261&amp;"",tbl_Finance[Xero Invoice No],"&lt;&gt;")=0,"",IFERROR(IF(COUNTIFS(tbl_Finance[Job Number],C261&amp;"",tbl_Finance[Xero Invoice No],LOOKUP(2,1/((tbl_Finance[Job Number]=C261&amp;"")*(tbl_Finance[Xero Invoice No]&lt;&gt;"")),tbl_Finance[Xero Invoice No]))=COUNTIFS(tbl_Finance[Job Number],C261&amp;"",tbl_Finance[Xero Invoice No],"&lt;&gt;"),LOOKUP(2,1/((tbl_Finance[Job Number]=C261&amp;"")*(tbl_Finance[Xero Invoice No]&lt;&gt;"")),tbl_Finance[Xero Invoice No]),LOOKUP(2,1/((tbl_Finance[Job Number]=C261&amp;"")*(tbl_Finance[Xero Invoice No]&lt;&gt;"")),tbl_Finance[Xero Invoice No])&amp;" +more"),"")))</f>
        <v/>
      </c>
      <c r="C261" s="24" t="n"/>
      <c r="D261" s="25">
        <f>IF(C261="","",IF(COUNTIF(lst_Jobs,C261&amp;"")&gt;0,"OK","CHECK"))</f>
        <v/>
      </c>
      <c r="E261" s="25">
        <f>IF(C261="","",IFERROR(INDEX(lst_JobName,MATCH(C261&amp;"",lst_Jobs,0)),""))</f>
        <v/>
      </c>
      <c r="F261" s="25">
        <f>IF(C261="","",IFERROR(INDEX(tbl_Finance[Client],MATCH(C261&amp;"",tbl_Finance[Job Number],0)),""))</f>
        <v/>
      </c>
      <c r="G261" s="28">
        <f>IF(C261="","",COUNTIFS(tbl_Finance[Job Number],C261&amp;"",tbl_Finance[Ex GST],"&lt;&gt;"))</f>
        <v/>
      </c>
      <c r="H261" s="27">
        <f>IF(C261="","",SUMIFS(tbl_Finance[Ex GST],tbl_Finance[Job Number],C261&amp;""))</f>
        <v/>
      </c>
      <c r="I261" s="27">
        <f>IF(C261="","",SUMIFS(tbl_Finance[Ex GST],tbl_Finance[Job Number],C261&amp;"",tbl_Finance[Xero Invoice No],"&lt;&gt;"))</f>
        <v/>
      </c>
      <c r="J261" s="27">
        <f>IF(C261="","",H261-I261)</f>
        <v/>
      </c>
      <c r="K261" s="25">
        <f>IF(C261="","",IF(G261=0,"not invoiced yet",SUBSTITUTE(TRIM(IF(COUNTIFS(tbl_Finance[Job Number],C261&amp;"",tbl_Finance[Cost Centre],"ONSITE")&gt;0,"ONSITE ","")&amp;IF(COUNTIFS(tbl_Finance[Job Number],C261&amp;"",tbl_Finance[Cost Centre],"PRODUCTION")&gt;0,"PRODUCTION ","")&amp;IF(COUNTIFS(tbl_Finance[Job Number],C261&amp;"",tbl_Finance[Cost Centre],"VIDEO")&gt;0,"VIDEO ","")&amp;IF(COUNTIFS(tbl_Finance[Job Number],C261&amp;"",tbl_Finance[Cost Centre],"INTEGRATION")&gt;0,"INTEGRATION ","")&amp;IF(COUNTIFS(tbl_Finance[Job Number],C261&amp;"",tbl_Finance[Cost Centre],"CONSULTING")&gt;0,"CONSULTING ","")&amp;IF(COUNTIFS(tbl_Finance[Job Number],C261&amp;"",tbl_Finance[Cost Centre],"CTS")&gt;0,"CTS ",""))," ",", ")))</f>
        <v/>
      </c>
      <c r="L261" s="24" t="n"/>
      <c r="M261" s="25">
        <f>IF(L261="","",HYPERLINK(IF(LEFT(L261,4)="http",L261,set_QwilrBase&amp;L261),"Open quote"))</f>
        <v/>
      </c>
      <c r="N261" s="26" t="n"/>
      <c r="O261" s="26" t="n"/>
      <c r="P261" s="26" t="n"/>
      <c r="Q261" s="25">
        <f>IF(C261="","",IF(N(N261)+N(O261)+N(P261)=0,"Not split",IF(ROUND(N(N261)+N(O261)+N(P261),2)=ROUND(H261,2),"OK","MISMATCH")))</f>
        <v/>
      </c>
      <c r="R261" s="26" t="n"/>
      <c r="S261" s="26" t="n"/>
      <c r="T261" s="26" t="n"/>
      <c r="U261" s="27">
        <f>IF(C261="","",N(R261)+N(S261)+N(T261))</f>
        <v/>
      </c>
      <c r="V261" s="27">
        <f>IF(C261="","",H261-U261)</f>
        <v/>
      </c>
      <c r="W261" s="29">
        <f>IFERROR(V261/H261,"")</f>
        <v/>
      </c>
      <c r="X261" s="24" t="n"/>
    </row>
    <row r="262" ht="15" customHeight="1">
      <c r="A262" s="68">
        <f>IF(C262="","",IFERROR(IF(SUMPRODUCT(MAX((tbl_Finance[Job Number]=C262&amp;"")*(tbl_Finance[Xero Invoice No]&lt;&gt;"")*tbl_Finance[Date]))=0,"",SUMPRODUCT(MAX((tbl_Finance[Job Number]=C262&amp;"")*(tbl_Finance[Xero Invoice No]&lt;&gt;"")*tbl_Finance[Date]))),""))</f>
        <v/>
      </c>
      <c r="B262" s="25">
        <f>IF(C262="","",IF(COUNTIFS(tbl_Finance[Job Number],C262&amp;"",tbl_Finance[Xero Invoice No],"&lt;&gt;")=0,"",IFERROR(IF(COUNTIFS(tbl_Finance[Job Number],C262&amp;"",tbl_Finance[Xero Invoice No],LOOKUP(2,1/((tbl_Finance[Job Number]=C262&amp;"")*(tbl_Finance[Xero Invoice No]&lt;&gt;"")),tbl_Finance[Xero Invoice No]))=COUNTIFS(tbl_Finance[Job Number],C262&amp;"",tbl_Finance[Xero Invoice No],"&lt;&gt;"),LOOKUP(2,1/((tbl_Finance[Job Number]=C262&amp;"")*(tbl_Finance[Xero Invoice No]&lt;&gt;"")),tbl_Finance[Xero Invoice No]),LOOKUP(2,1/((tbl_Finance[Job Number]=C262&amp;"")*(tbl_Finance[Xero Invoice No]&lt;&gt;"")),tbl_Finance[Xero Invoice No])&amp;" +more"),"")))</f>
        <v/>
      </c>
      <c r="C262" s="24" t="n"/>
      <c r="D262" s="25">
        <f>IF(C262="","",IF(COUNTIF(lst_Jobs,C262&amp;"")&gt;0,"OK","CHECK"))</f>
        <v/>
      </c>
      <c r="E262" s="25">
        <f>IF(C262="","",IFERROR(INDEX(lst_JobName,MATCH(C262&amp;"",lst_Jobs,0)),""))</f>
        <v/>
      </c>
      <c r="F262" s="25">
        <f>IF(C262="","",IFERROR(INDEX(tbl_Finance[Client],MATCH(C262&amp;"",tbl_Finance[Job Number],0)),""))</f>
        <v/>
      </c>
      <c r="G262" s="28">
        <f>IF(C262="","",COUNTIFS(tbl_Finance[Job Number],C262&amp;"",tbl_Finance[Ex GST],"&lt;&gt;"))</f>
        <v/>
      </c>
      <c r="H262" s="27">
        <f>IF(C262="","",SUMIFS(tbl_Finance[Ex GST],tbl_Finance[Job Number],C262&amp;""))</f>
        <v/>
      </c>
      <c r="I262" s="27">
        <f>IF(C262="","",SUMIFS(tbl_Finance[Ex GST],tbl_Finance[Job Number],C262&amp;"",tbl_Finance[Xero Invoice No],"&lt;&gt;"))</f>
        <v/>
      </c>
      <c r="J262" s="27">
        <f>IF(C262="","",H262-I262)</f>
        <v/>
      </c>
      <c r="K262" s="25">
        <f>IF(C262="","",IF(G262=0,"not invoiced yet",SUBSTITUTE(TRIM(IF(COUNTIFS(tbl_Finance[Job Number],C262&amp;"",tbl_Finance[Cost Centre],"ONSITE")&gt;0,"ONSITE ","")&amp;IF(COUNTIFS(tbl_Finance[Job Number],C262&amp;"",tbl_Finance[Cost Centre],"PRODUCTION")&gt;0,"PRODUCTION ","")&amp;IF(COUNTIFS(tbl_Finance[Job Number],C262&amp;"",tbl_Finance[Cost Centre],"VIDEO")&gt;0,"VIDEO ","")&amp;IF(COUNTIFS(tbl_Finance[Job Number],C262&amp;"",tbl_Finance[Cost Centre],"INTEGRATION")&gt;0,"INTEGRATION ","")&amp;IF(COUNTIFS(tbl_Finance[Job Number],C262&amp;"",tbl_Finance[Cost Centre],"CONSULTING")&gt;0,"CONSULTING ","")&amp;IF(COUNTIFS(tbl_Finance[Job Number],C262&amp;"",tbl_Finance[Cost Centre],"CTS")&gt;0,"CTS ",""))," ",", ")))</f>
        <v/>
      </c>
      <c r="L262" s="24" t="n"/>
      <c r="M262" s="25">
        <f>IF(L262="","",HYPERLINK(IF(LEFT(L262,4)="http",L262,set_QwilrBase&amp;L262),"Open quote"))</f>
        <v/>
      </c>
      <c r="N262" s="26" t="n"/>
      <c r="O262" s="26" t="n"/>
      <c r="P262" s="26" t="n"/>
      <c r="Q262" s="25">
        <f>IF(C262="","",IF(N(N262)+N(O262)+N(P262)=0,"Not split",IF(ROUND(N(N262)+N(O262)+N(P262),2)=ROUND(H262,2),"OK","MISMATCH")))</f>
        <v/>
      </c>
      <c r="R262" s="26" t="n"/>
      <c r="S262" s="26" t="n"/>
      <c r="T262" s="26" t="n"/>
      <c r="U262" s="27">
        <f>IF(C262="","",N(R262)+N(S262)+N(T262))</f>
        <v/>
      </c>
      <c r="V262" s="27">
        <f>IF(C262="","",H262-U262)</f>
        <v/>
      </c>
      <c r="W262" s="29">
        <f>IFERROR(V262/H262,"")</f>
        <v/>
      </c>
      <c r="X262" s="24" t="n"/>
    </row>
    <row r="263" ht="15" customHeight="1">
      <c r="A263" s="68">
        <f>IF(C263="","",IFERROR(IF(SUMPRODUCT(MAX((tbl_Finance[Job Number]=C263&amp;"")*(tbl_Finance[Xero Invoice No]&lt;&gt;"")*tbl_Finance[Date]))=0,"",SUMPRODUCT(MAX((tbl_Finance[Job Number]=C263&amp;"")*(tbl_Finance[Xero Invoice No]&lt;&gt;"")*tbl_Finance[Date]))),""))</f>
        <v/>
      </c>
      <c r="B263" s="25">
        <f>IF(C263="","",IF(COUNTIFS(tbl_Finance[Job Number],C263&amp;"",tbl_Finance[Xero Invoice No],"&lt;&gt;")=0,"",IFERROR(IF(COUNTIFS(tbl_Finance[Job Number],C263&amp;"",tbl_Finance[Xero Invoice No],LOOKUP(2,1/((tbl_Finance[Job Number]=C263&amp;"")*(tbl_Finance[Xero Invoice No]&lt;&gt;"")),tbl_Finance[Xero Invoice No]))=COUNTIFS(tbl_Finance[Job Number],C263&amp;"",tbl_Finance[Xero Invoice No],"&lt;&gt;"),LOOKUP(2,1/((tbl_Finance[Job Number]=C263&amp;"")*(tbl_Finance[Xero Invoice No]&lt;&gt;"")),tbl_Finance[Xero Invoice No]),LOOKUP(2,1/((tbl_Finance[Job Number]=C263&amp;"")*(tbl_Finance[Xero Invoice No]&lt;&gt;"")),tbl_Finance[Xero Invoice No])&amp;" +more"),"")))</f>
        <v/>
      </c>
      <c r="C263" s="24" t="n"/>
      <c r="D263" s="25">
        <f>IF(C263="","",IF(COUNTIF(lst_Jobs,C263&amp;"")&gt;0,"OK","CHECK"))</f>
        <v/>
      </c>
      <c r="E263" s="25">
        <f>IF(C263="","",IFERROR(INDEX(lst_JobName,MATCH(C263&amp;"",lst_Jobs,0)),""))</f>
        <v/>
      </c>
      <c r="F263" s="25">
        <f>IF(C263="","",IFERROR(INDEX(tbl_Finance[Client],MATCH(C263&amp;"",tbl_Finance[Job Number],0)),""))</f>
        <v/>
      </c>
      <c r="G263" s="28">
        <f>IF(C263="","",COUNTIFS(tbl_Finance[Job Number],C263&amp;"",tbl_Finance[Ex GST],"&lt;&gt;"))</f>
        <v/>
      </c>
      <c r="H263" s="27">
        <f>IF(C263="","",SUMIFS(tbl_Finance[Ex GST],tbl_Finance[Job Number],C263&amp;""))</f>
        <v/>
      </c>
      <c r="I263" s="27">
        <f>IF(C263="","",SUMIFS(tbl_Finance[Ex GST],tbl_Finance[Job Number],C263&amp;"",tbl_Finance[Xero Invoice No],"&lt;&gt;"))</f>
        <v/>
      </c>
      <c r="J263" s="27">
        <f>IF(C263="","",H263-I263)</f>
        <v/>
      </c>
      <c r="K263" s="25">
        <f>IF(C263="","",IF(G263=0,"not invoiced yet",SUBSTITUTE(TRIM(IF(COUNTIFS(tbl_Finance[Job Number],C263&amp;"",tbl_Finance[Cost Centre],"ONSITE")&gt;0,"ONSITE ","")&amp;IF(COUNTIFS(tbl_Finance[Job Number],C263&amp;"",tbl_Finance[Cost Centre],"PRODUCTION")&gt;0,"PRODUCTION ","")&amp;IF(COUNTIFS(tbl_Finance[Job Number],C263&amp;"",tbl_Finance[Cost Centre],"VIDEO")&gt;0,"VIDEO ","")&amp;IF(COUNTIFS(tbl_Finance[Job Number],C263&amp;"",tbl_Finance[Cost Centre],"INTEGRATION")&gt;0,"INTEGRATION ","")&amp;IF(COUNTIFS(tbl_Finance[Job Number],C263&amp;"",tbl_Finance[Cost Centre],"CONSULTING")&gt;0,"CONSULTING ","")&amp;IF(COUNTIFS(tbl_Finance[Job Number],C263&amp;"",tbl_Finance[Cost Centre],"CTS")&gt;0,"CTS ",""))," ",", ")))</f>
        <v/>
      </c>
      <c r="L263" s="24" t="n"/>
      <c r="M263" s="25">
        <f>IF(L263="","",HYPERLINK(IF(LEFT(L263,4)="http",L263,set_QwilrBase&amp;L263),"Open quote"))</f>
        <v/>
      </c>
      <c r="N263" s="26" t="n"/>
      <c r="O263" s="26" t="n"/>
      <c r="P263" s="26" t="n"/>
      <c r="Q263" s="25">
        <f>IF(C263="","",IF(N(N263)+N(O263)+N(P263)=0,"Not split",IF(ROUND(N(N263)+N(O263)+N(P263),2)=ROUND(H263,2),"OK","MISMATCH")))</f>
        <v/>
      </c>
      <c r="R263" s="26" t="n"/>
      <c r="S263" s="26" t="n"/>
      <c r="T263" s="26" t="n"/>
      <c r="U263" s="27">
        <f>IF(C263="","",N(R263)+N(S263)+N(T263))</f>
        <v/>
      </c>
      <c r="V263" s="27">
        <f>IF(C263="","",H263-U263)</f>
        <v/>
      </c>
      <c r="W263" s="29">
        <f>IFERROR(V263/H263,"")</f>
        <v/>
      </c>
      <c r="X263" s="24" t="n"/>
    </row>
    <row r="264" ht="15" customHeight="1">
      <c r="A264" s="68">
        <f>IF(C264="","",IFERROR(IF(SUMPRODUCT(MAX((tbl_Finance[Job Number]=C264&amp;"")*(tbl_Finance[Xero Invoice No]&lt;&gt;"")*tbl_Finance[Date]))=0,"",SUMPRODUCT(MAX((tbl_Finance[Job Number]=C264&amp;"")*(tbl_Finance[Xero Invoice No]&lt;&gt;"")*tbl_Finance[Date]))),""))</f>
        <v/>
      </c>
      <c r="B264" s="25">
        <f>IF(C264="","",IF(COUNTIFS(tbl_Finance[Job Number],C264&amp;"",tbl_Finance[Xero Invoice No],"&lt;&gt;")=0,"",IFERROR(IF(COUNTIFS(tbl_Finance[Job Number],C264&amp;"",tbl_Finance[Xero Invoice No],LOOKUP(2,1/((tbl_Finance[Job Number]=C264&amp;"")*(tbl_Finance[Xero Invoice No]&lt;&gt;"")),tbl_Finance[Xero Invoice No]))=COUNTIFS(tbl_Finance[Job Number],C264&amp;"",tbl_Finance[Xero Invoice No],"&lt;&gt;"),LOOKUP(2,1/((tbl_Finance[Job Number]=C264&amp;"")*(tbl_Finance[Xero Invoice No]&lt;&gt;"")),tbl_Finance[Xero Invoice No]),LOOKUP(2,1/((tbl_Finance[Job Number]=C264&amp;"")*(tbl_Finance[Xero Invoice No]&lt;&gt;"")),tbl_Finance[Xero Invoice No])&amp;" +more"),"")))</f>
        <v/>
      </c>
      <c r="C264" s="24" t="n"/>
      <c r="D264" s="25">
        <f>IF(C264="","",IF(COUNTIF(lst_Jobs,C264&amp;"")&gt;0,"OK","CHECK"))</f>
        <v/>
      </c>
      <c r="E264" s="25">
        <f>IF(C264="","",IFERROR(INDEX(lst_JobName,MATCH(C264&amp;"",lst_Jobs,0)),""))</f>
        <v/>
      </c>
      <c r="F264" s="25">
        <f>IF(C264="","",IFERROR(INDEX(tbl_Finance[Client],MATCH(C264&amp;"",tbl_Finance[Job Number],0)),""))</f>
        <v/>
      </c>
      <c r="G264" s="28">
        <f>IF(C264="","",COUNTIFS(tbl_Finance[Job Number],C264&amp;"",tbl_Finance[Ex GST],"&lt;&gt;"))</f>
        <v/>
      </c>
      <c r="H264" s="27">
        <f>IF(C264="","",SUMIFS(tbl_Finance[Ex GST],tbl_Finance[Job Number],C264&amp;""))</f>
        <v/>
      </c>
      <c r="I264" s="27">
        <f>IF(C264="","",SUMIFS(tbl_Finance[Ex GST],tbl_Finance[Job Number],C264&amp;"",tbl_Finance[Xero Invoice No],"&lt;&gt;"))</f>
        <v/>
      </c>
      <c r="J264" s="27">
        <f>IF(C264="","",H264-I264)</f>
        <v/>
      </c>
      <c r="K264" s="25">
        <f>IF(C264="","",IF(G264=0,"not invoiced yet",SUBSTITUTE(TRIM(IF(COUNTIFS(tbl_Finance[Job Number],C264&amp;"",tbl_Finance[Cost Centre],"ONSITE")&gt;0,"ONSITE ","")&amp;IF(COUNTIFS(tbl_Finance[Job Number],C264&amp;"",tbl_Finance[Cost Centre],"PRODUCTION")&gt;0,"PRODUCTION ","")&amp;IF(COUNTIFS(tbl_Finance[Job Number],C264&amp;"",tbl_Finance[Cost Centre],"VIDEO")&gt;0,"VIDEO ","")&amp;IF(COUNTIFS(tbl_Finance[Job Number],C264&amp;"",tbl_Finance[Cost Centre],"INTEGRATION")&gt;0,"INTEGRATION ","")&amp;IF(COUNTIFS(tbl_Finance[Job Number],C264&amp;"",tbl_Finance[Cost Centre],"CONSULTING")&gt;0,"CONSULTING ","")&amp;IF(COUNTIFS(tbl_Finance[Job Number],C264&amp;"",tbl_Finance[Cost Centre],"CTS")&gt;0,"CTS ",""))," ",", ")))</f>
        <v/>
      </c>
      <c r="L264" s="24" t="n"/>
      <c r="M264" s="25">
        <f>IF(L264="","",HYPERLINK(IF(LEFT(L264,4)="http",L264,set_QwilrBase&amp;L264),"Open quote"))</f>
        <v/>
      </c>
      <c r="N264" s="26" t="n"/>
      <c r="O264" s="26" t="n"/>
      <c r="P264" s="26" t="n"/>
      <c r="Q264" s="25">
        <f>IF(C264="","",IF(N(N264)+N(O264)+N(P264)=0,"Not split",IF(ROUND(N(N264)+N(O264)+N(P264),2)=ROUND(H264,2),"OK","MISMATCH")))</f>
        <v/>
      </c>
      <c r="R264" s="26" t="n"/>
      <c r="S264" s="26" t="n"/>
      <c r="T264" s="26" t="n"/>
      <c r="U264" s="27">
        <f>IF(C264="","",N(R264)+N(S264)+N(T264))</f>
        <v/>
      </c>
      <c r="V264" s="27">
        <f>IF(C264="","",H264-U264)</f>
        <v/>
      </c>
      <c r="W264" s="29">
        <f>IFERROR(V264/H264,"")</f>
        <v/>
      </c>
      <c r="X264" s="24" t="n"/>
    </row>
    <row r="265" ht="15" customHeight="1">
      <c r="A265" s="68">
        <f>IF(C265="","",IFERROR(IF(SUMPRODUCT(MAX((tbl_Finance[Job Number]=C265&amp;"")*(tbl_Finance[Xero Invoice No]&lt;&gt;"")*tbl_Finance[Date]))=0,"",SUMPRODUCT(MAX((tbl_Finance[Job Number]=C265&amp;"")*(tbl_Finance[Xero Invoice No]&lt;&gt;"")*tbl_Finance[Date]))),""))</f>
        <v/>
      </c>
      <c r="B265" s="25">
        <f>IF(C265="","",IF(COUNTIFS(tbl_Finance[Job Number],C265&amp;"",tbl_Finance[Xero Invoice No],"&lt;&gt;")=0,"",IFERROR(IF(COUNTIFS(tbl_Finance[Job Number],C265&amp;"",tbl_Finance[Xero Invoice No],LOOKUP(2,1/((tbl_Finance[Job Number]=C265&amp;"")*(tbl_Finance[Xero Invoice No]&lt;&gt;"")),tbl_Finance[Xero Invoice No]))=COUNTIFS(tbl_Finance[Job Number],C265&amp;"",tbl_Finance[Xero Invoice No],"&lt;&gt;"),LOOKUP(2,1/((tbl_Finance[Job Number]=C265&amp;"")*(tbl_Finance[Xero Invoice No]&lt;&gt;"")),tbl_Finance[Xero Invoice No]),LOOKUP(2,1/((tbl_Finance[Job Number]=C265&amp;"")*(tbl_Finance[Xero Invoice No]&lt;&gt;"")),tbl_Finance[Xero Invoice No])&amp;" +more"),"")))</f>
        <v/>
      </c>
      <c r="C265" s="24" t="n"/>
      <c r="D265" s="25">
        <f>IF(C265="","",IF(COUNTIF(lst_Jobs,C265&amp;"")&gt;0,"OK","CHECK"))</f>
        <v/>
      </c>
      <c r="E265" s="25">
        <f>IF(C265="","",IFERROR(INDEX(lst_JobName,MATCH(C265&amp;"",lst_Jobs,0)),""))</f>
        <v/>
      </c>
      <c r="F265" s="25">
        <f>IF(C265="","",IFERROR(INDEX(tbl_Finance[Client],MATCH(C265&amp;"",tbl_Finance[Job Number],0)),""))</f>
        <v/>
      </c>
      <c r="G265" s="28">
        <f>IF(C265="","",COUNTIFS(tbl_Finance[Job Number],C265&amp;"",tbl_Finance[Ex GST],"&lt;&gt;"))</f>
        <v/>
      </c>
      <c r="H265" s="27">
        <f>IF(C265="","",SUMIFS(tbl_Finance[Ex GST],tbl_Finance[Job Number],C265&amp;""))</f>
        <v/>
      </c>
      <c r="I265" s="27">
        <f>IF(C265="","",SUMIFS(tbl_Finance[Ex GST],tbl_Finance[Job Number],C265&amp;"",tbl_Finance[Xero Invoice No],"&lt;&gt;"))</f>
        <v/>
      </c>
      <c r="J265" s="27">
        <f>IF(C265="","",H265-I265)</f>
        <v/>
      </c>
      <c r="K265" s="25">
        <f>IF(C265="","",IF(G265=0,"not invoiced yet",SUBSTITUTE(TRIM(IF(COUNTIFS(tbl_Finance[Job Number],C265&amp;"",tbl_Finance[Cost Centre],"ONSITE")&gt;0,"ONSITE ","")&amp;IF(COUNTIFS(tbl_Finance[Job Number],C265&amp;"",tbl_Finance[Cost Centre],"PRODUCTION")&gt;0,"PRODUCTION ","")&amp;IF(COUNTIFS(tbl_Finance[Job Number],C265&amp;"",tbl_Finance[Cost Centre],"VIDEO")&gt;0,"VIDEO ","")&amp;IF(COUNTIFS(tbl_Finance[Job Number],C265&amp;"",tbl_Finance[Cost Centre],"INTEGRATION")&gt;0,"INTEGRATION ","")&amp;IF(COUNTIFS(tbl_Finance[Job Number],C265&amp;"",tbl_Finance[Cost Centre],"CONSULTING")&gt;0,"CONSULTING ","")&amp;IF(COUNTIFS(tbl_Finance[Job Number],C265&amp;"",tbl_Finance[Cost Centre],"CTS")&gt;0,"CTS ",""))," ",", ")))</f>
        <v/>
      </c>
      <c r="L265" s="24" t="n"/>
      <c r="M265" s="25">
        <f>IF(L265="","",HYPERLINK(IF(LEFT(L265,4)="http",L265,set_QwilrBase&amp;L265),"Open quote"))</f>
        <v/>
      </c>
      <c r="N265" s="26" t="n"/>
      <c r="O265" s="26" t="n"/>
      <c r="P265" s="26" t="n"/>
      <c r="Q265" s="25">
        <f>IF(C265="","",IF(N(N265)+N(O265)+N(P265)=0,"Not split",IF(ROUND(N(N265)+N(O265)+N(P265),2)=ROUND(H265,2),"OK","MISMATCH")))</f>
        <v/>
      </c>
      <c r="R265" s="26" t="n"/>
      <c r="S265" s="26" t="n"/>
      <c r="T265" s="26" t="n"/>
      <c r="U265" s="27">
        <f>IF(C265="","",N(R265)+N(S265)+N(T265))</f>
        <v/>
      </c>
      <c r="V265" s="27">
        <f>IF(C265="","",H265-U265)</f>
        <v/>
      </c>
      <c r="W265" s="29">
        <f>IFERROR(V265/H265,"")</f>
        <v/>
      </c>
      <c r="X265" s="24" t="n"/>
    </row>
    <row r="266" ht="15" customHeight="1">
      <c r="A266" s="68">
        <f>IF(C266="","",IFERROR(IF(SUMPRODUCT(MAX((tbl_Finance[Job Number]=C266&amp;"")*(tbl_Finance[Xero Invoice No]&lt;&gt;"")*tbl_Finance[Date]))=0,"",SUMPRODUCT(MAX((tbl_Finance[Job Number]=C266&amp;"")*(tbl_Finance[Xero Invoice No]&lt;&gt;"")*tbl_Finance[Date]))),""))</f>
        <v/>
      </c>
      <c r="B266" s="25">
        <f>IF(C266="","",IF(COUNTIFS(tbl_Finance[Job Number],C266&amp;"",tbl_Finance[Xero Invoice No],"&lt;&gt;")=0,"",IFERROR(IF(COUNTIFS(tbl_Finance[Job Number],C266&amp;"",tbl_Finance[Xero Invoice No],LOOKUP(2,1/((tbl_Finance[Job Number]=C266&amp;"")*(tbl_Finance[Xero Invoice No]&lt;&gt;"")),tbl_Finance[Xero Invoice No]))=COUNTIFS(tbl_Finance[Job Number],C266&amp;"",tbl_Finance[Xero Invoice No],"&lt;&gt;"),LOOKUP(2,1/((tbl_Finance[Job Number]=C266&amp;"")*(tbl_Finance[Xero Invoice No]&lt;&gt;"")),tbl_Finance[Xero Invoice No]),LOOKUP(2,1/((tbl_Finance[Job Number]=C266&amp;"")*(tbl_Finance[Xero Invoice No]&lt;&gt;"")),tbl_Finance[Xero Invoice No])&amp;" +more"),"")))</f>
        <v/>
      </c>
      <c r="C266" s="24" t="n"/>
      <c r="D266" s="25">
        <f>IF(C266="","",IF(COUNTIF(lst_Jobs,C266&amp;"")&gt;0,"OK","CHECK"))</f>
        <v/>
      </c>
      <c r="E266" s="25">
        <f>IF(C266="","",IFERROR(INDEX(lst_JobName,MATCH(C266&amp;"",lst_Jobs,0)),""))</f>
        <v/>
      </c>
      <c r="F266" s="25">
        <f>IF(C266="","",IFERROR(INDEX(tbl_Finance[Client],MATCH(C266&amp;"",tbl_Finance[Job Number],0)),""))</f>
        <v/>
      </c>
      <c r="G266" s="28">
        <f>IF(C266="","",COUNTIFS(tbl_Finance[Job Number],C266&amp;"",tbl_Finance[Ex GST],"&lt;&gt;"))</f>
        <v/>
      </c>
      <c r="H266" s="27">
        <f>IF(C266="","",SUMIFS(tbl_Finance[Ex GST],tbl_Finance[Job Number],C266&amp;""))</f>
        <v/>
      </c>
      <c r="I266" s="27">
        <f>IF(C266="","",SUMIFS(tbl_Finance[Ex GST],tbl_Finance[Job Number],C266&amp;"",tbl_Finance[Xero Invoice No],"&lt;&gt;"))</f>
        <v/>
      </c>
      <c r="J266" s="27">
        <f>IF(C266="","",H266-I266)</f>
        <v/>
      </c>
      <c r="K266" s="25">
        <f>IF(C266="","",IF(G266=0,"not invoiced yet",SUBSTITUTE(TRIM(IF(COUNTIFS(tbl_Finance[Job Number],C266&amp;"",tbl_Finance[Cost Centre],"ONSITE")&gt;0,"ONSITE ","")&amp;IF(COUNTIFS(tbl_Finance[Job Number],C266&amp;"",tbl_Finance[Cost Centre],"PRODUCTION")&gt;0,"PRODUCTION ","")&amp;IF(COUNTIFS(tbl_Finance[Job Number],C266&amp;"",tbl_Finance[Cost Centre],"VIDEO")&gt;0,"VIDEO ","")&amp;IF(COUNTIFS(tbl_Finance[Job Number],C266&amp;"",tbl_Finance[Cost Centre],"INTEGRATION")&gt;0,"INTEGRATION ","")&amp;IF(COUNTIFS(tbl_Finance[Job Number],C266&amp;"",tbl_Finance[Cost Centre],"CONSULTING")&gt;0,"CONSULTING ","")&amp;IF(COUNTIFS(tbl_Finance[Job Number],C266&amp;"",tbl_Finance[Cost Centre],"CTS")&gt;0,"CTS ",""))," ",", ")))</f>
        <v/>
      </c>
      <c r="L266" s="24" t="n"/>
      <c r="M266" s="25">
        <f>IF(L266="","",HYPERLINK(IF(LEFT(L266,4)="http",L266,set_QwilrBase&amp;L266),"Open quote"))</f>
        <v/>
      </c>
      <c r="N266" s="26" t="n"/>
      <c r="O266" s="26" t="n"/>
      <c r="P266" s="26" t="n"/>
      <c r="Q266" s="25">
        <f>IF(C266="","",IF(N(N266)+N(O266)+N(P266)=0,"Not split",IF(ROUND(N(N266)+N(O266)+N(P266),2)=ROUND(H266,2),"OK","MISMATCH")))</f>
        <v/>
      </c>
      <c r="R266" s="26" t="n"/>
      <c r="S266" s="26" t="n"/>
      <c r="T266" s="26" t="n"/>
      <c r="U266" s="27">
        <f>IF(C266="","",N(R266)+N(S266)+N(T266))</f>
        <v/>
      </c>
      <c r="V266" s="27">
        <f>IF(C266="","",H266-U266)</f>
        <v/>
      </c>
      <c r="W266" s="29">
        <f>IFERROR(V266/H266,"")</f>
        <v/>
      </c>
      <c r="X266" s="24" t="n"/>
    </row>
    <row r="267" ht="15" customHeight="1">
      <c r="A267" s="68">
        <f>IF(C267="","",IFERROR(IF(SUMPRODUCT(MAX((tbl_Finance[Job Number]=C267&amp;"")*(tbl_Finance[Xero Invoice No]&lt;&gt;"")*tbl_Finance[Date]))=0,"",SUMPRODUCT(MAX((tbl_Finance[Job Number]=C267&amp;"")*(tbl_Finance[Xero Invoice No]&lt;&gt;"")*tbl_Finance[Date]))),""))</f>
        <v/>
      </c>
      <c r="B267" s="25">
        <f>IF(C267="","",IF(COUNTIFS(tbl_Finance[Job Number],C267&amp;"",tbl_Finance[Xero Invoice No],"&lt;&gt;")=0,"",IFERROR(IF(COUNTIFS(tbl_Finance[Job Number],C267&amp;"",tbl_Finance[Xero Invoice No],LOOKUP(2,1/((tbl_Finance[Job Number]=C267&amp;"")*(tbl_Finance[Xero Invoice No]&lt;&gt;"")),tbl_Finance[Xero Invoice No]))=COUNTIFS(tbl_Finance[Job Number],C267&amp;"",tbl_Finance[Xero Invoice No],"&lt;&gt;"),LOOKUP(2,1/((tbl_Finance[Job Number]=C267&amp;"")*(tbl_Finance[Xero Invoice No]&lt;&gt;"")),tbl_Finance[Xero Invoice No]),LOOKUP(2,1/((tbl_Finance[Job Number]=C267&amp;"")*(tbl_Finance[Xero Invoice No]&lt;&gt;"")),tbl_Finance[Xero Invoice No])&amp;" +more"),"")))</f>
        <v/>
      </c>
      <c r="C267" s="24" t="n"/>
      <c r="D267" s="25">
        <f>IF(C267="","",IF(COUNTIF(lst_Jobs,C267&amp;"")&gt;0,"OK","CHECK"))</f>
        <v/>
      </c>
      <c r="E267" s="25">
        <f>IF(C267="","",IFERROR(INDEX(lst_JobName,MATCH(C267&amp;"",lst_Jobs,0)),""))</f>
        <v/>
      </c>
      <c r="F267" s="25">
        <f>IF(C267="","",IFERROR(INDEX(tbl_Finance[Client],MATCH(C267&amp;"",tbl_Finance[Job Number],0)),""))</f>
        <v/>
      </c>
      <c r="G267" s="28">
        <f>IF(C267="","",COUNTIFS(tbl_Finance[Job Number],C267&amp;"",tbl_Finance[Ex GST],"&lt;&gt;"))</f>
        <v/>
      </c>
      <c r="H267" s="27">
        <f>IF(C267="","",SUMIFS(tbl_Finance[Ex GST],tbl_Finance[Job Number],C267&amp;""))</f>
        <v/>
      </c>
      <c r="I267" s="27">
        <f>IF(C267="","",SUMIFS(tbl_Finance[Ex GST],tbl_Finance[Job Number],C267&amp;"",tbl_Finance[Xero Invoice No],"&lt;&gt;"))</f>
        <v/>
      </c>
      <c r="J267" s="27">
        <f>IF(C267="","",H267-I267)</f>
        <v/>
      </c>
      <c r="K267" s="25">
        <f>IF(C267="","",IF(G267=0,"not invoiced yet",SUBSTITUTE(TRIM(IF(COUNTIFS(tbl_Finance[Job Number],C267&amp;"",tbl_Finance[Cost Centre],"ONSITE")&gt;0,"ONSITE ","")&amp;IF(COUNTIFS(tbl_Finance[Job Number],C267&amp;"",tbl_Finance[Cost Centre],"PRODUCTION")&gt;0,"PRODUCTION ","")&amp;IF(COUNTIFS(tbl_Finance[Job Number],C267&amp;"",tbl_Finance[Cost Centre],"VIDEO")&gt;0,"VIDEO ","")&amp;IF(COUNTIFS(tbl_Finance[Job Number],C267&amp;"",tbl_Finance[Cost Centre],"INTEGRATION")&gt;0,"INTEGRATION ","")&amp;IF(COUNTIFS(tbl_Finance[Job Number],C267&amp;"",tbl_Finance[Cost Centre],"CONSULTING")&gt;0,"CONSULTING ","")&amp;IF(COUNTIFS(tbl_Finance[Job Number],C267&amp;"",tbl_Finance[Cost Centre],"CTS")&gt;0,"CTS ",""))," ",", ")))</f>
        <v/>
      </c>
      <c r="L267" s="24" t="n"/>
      <c r="M267" s="25">
        <f>IF(L267="","",HYPERLINK(IF(LEFT(L267,4)="http",L267,set_QwilrBase&amp;L267),"Open quote"))</f>
        <v/>
      </c>
      <c r="N267" s="26" t="n"/>
      <c r="O267" s="26" t="n"/>
      <c r="P267" s="26" t="n"/>
      <c r="Q267" s="25">
        <f>IF(C267="","",IF(N(N267)+N(O267)+N(P267)=0,"Not split",IF(ROUND(N(N267)+N(O267)+N(P267),2)=ROUND(H267,2),"OK","MISMATCH")))</f>
        <v/>
      </c>
      <c r="R267" s="26" t="n"/>
      <c r="S267" s="26" t="n"/>
      <c r="T267" s="26" t="n"/>
      <c r="U267" s="27">
        <f>IF(C267="","",N(R267)+N(S267)+N(T267))</f>
        <v/>
      </c>
      <c r="V267" s="27">
        <f>IF(C267="","",H267-U267)</f>
        <v/>
      </c>
      <c r="W267" s="29">
        <f>IFERROR(V267/H267,"")</f>
        <v/>
      </c>
      <c r="X267" s="24" t="n"/>
    </row>
    <row r="268" ht="15" customHeight="1">
      <c r="A268" s="68">
        <f>IF(C268="","",IFERROR(IF(SUMPRODUCT(MAX((tbl_Finance[Job Number]=C268&amp;"")*(tbl_Finance[Xero Invoice No]&lt;&gt;"")*tbl_Finance[Date]))=0,"",SUMPRODUCT(MAX((tbl_Finance[Job Number]=C268&amp;"")*(tbl_Finance[Xero Invoice No]&lt;&gt;"")*tbl_Finance[Date]))),""))</f>
        <v/>
      </c>
      <c r="B268" s="25">
        <f>IF(C268="","",IF(COUNTIFS(tbl_Finance[Job Number],C268&amp;"",tbl_Finance[Xero Invoice No],"&lt;&gt;")=0,"",IFERROR(IF(COUNTIFS(tbl_Finance[Job Number],C268&amp;"",tbl_Finance[Xero Invoice No],LOOKUP(2,1/((tbl_Finance[Job Number]=C268&amp;"")*(tbl_Finance[Xero Invoice No]&lt;&gt;"")),tbl_Finance[Xero Invoice No]))=COUNTIFS(tbl_Finance[Job Number],C268&amp;"",tbl_Finance[Xero Invoice No],"&lt;&gt;"),LOOKUP(2,1/((tbl_Finance[Job Number]=C268&amp;"")*(tbl_Finance[Xero Invoice No]&lt;&gt;"")),tbl_Finance[Xero Invoice No]),LOOKUP(2,1/((tbl_Finance[Job Number]=C268&amp;"")*(tbl_Finance[Xero Invoice No]&lt;&gt;"")),tbl_Finance[Xero Invoice No])&amp;" +more"),"")))</f>
        <v/>
      </c>
      <c r="C268" s="24" t="n"/>
      <c r="D268" s="25">
        <f>IF(C268="","",IF(COUNTIF(lst_Jobs,C268&amp;"")&gt;0,"OK","CHECK"))</f>
        <v/>
      </c>
      <c r="E268" s="25">
        <f>IF(C268="","",IFERROR(INDEX(lst_JobName,MATCH(C268&amp;"",lst_Jobs,0)),""))</f>
        <v/>
      </c>
      <c r="F268" s="25">
        <f>IF(C268="","",IFERROR(INDEX(tbl_Finance[Client],MATCH(C268&amp;"",tbl_Finance[Job Number],0)),""))</f>
        <v/>
      </c>
      <c r="G268" s="28">
        <f>IF(C268="","",COUNTIFS(tbl_Finance[Job Number],C268&amp;"",tbl_Finance[Ex GST],"&lt;&gt;"))</f>
        <v/>
      </c>
      <c r="H268" s="27">
        <f>IF(C268="","",SUMIFS(tbl_Finance[Ex GST],tbl_Finance[Job Number],C268&amp;""))</f>
        <v/>
      </c>
      <c r="I268" s="27">
        <f>IF(C268="","",SUMIFS(tbl_Finance[Ex GST],tbl_Finance[Job Number],C268&amp;"",tbl_Finance[Xero Invoice No],"&lt;&gt;"))</f>
        <v/>
      </c>
      <c r="J268" s="27">
        <f>IF(C268="","",H268-I268)</f>
        <v/>
      </c>
      <c r="K268" s="25">
        <f>IF(C268="","",IF(G268=0,"not invoiced yet",SUBSTITUTE(TRIM(IF(COUNTIFS(tbl_Finance[Job Number],C268&amp;"",tbl_Finance[Cost Centre],"ONSITE")&gt;0,"ONSITE ","")&amp;IF(COUNTIFS(tbl_Finance[Job Number],C268&amp;"",tbl_Finance[Cost Centre],"PRODUCTION")&gt;0,"PRODUCTION ","")&amp;IF(COUNTIFS(tbl_Finance[Job Number],C268&amp;"",tbl_Finance[Cost Centre],"VIDEO")&gt;0,"VIDEO ","")&amp;IF(COUNTIFS(tbl_Finance[Job Number],C268&amp;"",tbl_Finance[Cost Centre],"INTEGRATION")&gt;0,"INTEGRATION ","")&amp;IF(COUNTIFS(tbl_Finance[Job Number],C268&amp;"",tbl_Finance[Cost Centre],"CONSULTING")&gt;0,"CONSULTING ","")&amp;IF(COUNTIFS(tbl_Finance[Job Number],C268&amp;"",tbl_Finance[Cost Centre],"CTS")&gt;0,"CTS ",""))," ",", ")))</f>
        <v/>
      </c>
      <c r="L268" s="24" t="n"/>
      <c r="M268" s="25">
        <f>IF(L268="","",HYPERLINK(IF(LEFT(L268,4)="http",L268,set_QwilrBase&amp;L268),"Open quote"))</f>
        <v/>
      </c>
      <c r="N268" s="26" t="n"/>
      <c r="O268" s="26" t="n"/>
      <c r="P268" s="26" t="n"/>
      <c r="Q268" s="25">
        <f>IF(C268="","",IF(N(N268)+N(O268)+N(P268)=0,"Not split",IF(ROUND(N(N268)+N(O268)+N(P268),2)=ROUND(H268,2),"OK","MISMATCH")))</f>
        <v/>
      </c>
      <c r="R268" s="26" t="n"/>
      <c r="S268" s="26" t="n"/>
      <c r="T268" s="26" t="n"/>
      <c r="U268" s="27">
        <f>IF(C268="","",N(R268)+N(S268)+N(T268))</f>
        <v/>
      </c>
      <c r="V268" s="27">
        <f>IF(C268="","",H268-U268)</f>
        <v/>
      </c>
      <c r="W268" s="29">
        <f>IFERROR(V268/H268,"")</f>
        <v/>
      </c>
      <c r="X268" s="24" t="n"/>
    </row>
    <row r="269" ht="15" customHeight="1">
      <c r="A269" s="68">
        <f>IF(C269="","",IFERROR(IF(SUMPRODUCT(MAX((tbl_Finance[Job Number]=C269&amp;"")*(tbl_Finance[Xero Invoice No]&lt;&gt;"")*tbl_Finance[Date]))=0,"",SUMPRODUCT(MAX((tbl_Finance[Job Number]=C269&amp;"")*(tbl_Finance[Xero Invoice No]&lt;&gt;"")*tbl_Finance[Date]))),""))</f>
        <v/>
      </c>
      <c r="B269" s="25">
        <f>IF(C269="","",IF(COUNTIFS(tbl_Finance[Job Number],C269&amp;"",tbl_Finance[Xero Invoice No],"&lt;&gt;")=0,"",IFERROR(IF(COUNTIFS(tbl_Finance[Job Number],C269&amp;"",tbl_Finance[Xero Invoice No],LOOKUP(2,1/((tbl_Finance[Job Number]=C269&amp;"")*(tbl_Finance[Xero Invoice No]&lt;&gt;"")),tbl_Finance[Xero Invoice No]))=COUNTIFS(tbl_Finance[Job Number],C269&amp;"",tbl_Finance[Xero Invoice No],"&lt;&gt;"),LOOKUP(2,1/((tbl_Finance[Job Number]=C269&amp;"")*(tbl_Finance[Xero Invoice No]&lt;&gt;"")),tbl_Finance[Xero Invoice No]),LOOKUP(2,1/((tbl_Finance[Job Number]=C269&amp;"")*(tbl_Finance[Xero Invoice No]&lt;&gt;"")),tbl_Finance[Xero Invoice No])&amp;" +more"),"")))</f>
        <v/>
      </c>
      <c r="C269" s="24" t="n"/>
      <c r="D269" s="25">
        <f>IF(C269="","",IF(COUNTIF(lst_Jobs,C269&amp;"")&gt;0,"OK","CHECK"))</f>
        <v/>
      </c>
      <c r="E269" s="25">
        <f>IF(C269="","",IFERROR(INDEX(lst_JobName,MATCH(C269&amp;"",lst_Jobs,0)),""))</f>
        <v/>
      </c>
      <c r="F269" s="25">
        <f>IF(C269="","",IFERROR(INDEX(tbl_Finance[Client],MATCH(C269&amp;"",tbl_Finance[Job Number],0)),""))</f>
        <v/>
      </c>
      <c r="G269" s="28">
        <f>IF(C269="","",COUNTIFS(tbl_Finance[Job Number],C269&amp;"",tbl_Finance[Ex GST],"&lt;&gt;"))</f>
        <v/>
      </c>
      <c r="H269" s="27">
        <f>IF(C269="","",SUMIFS(tbl_Finance[Ex GST],tbl_Finance[Job Number],C269&amp;""))</f>
        <v/>
      </c>
      <c r="I269" s="27">
        <f>IF(C269="","",SUMIFS(tbl_Finance[Ex GST],tbl_Finance[Job Number],C269&amp;"",tbl_Finance[Xero Invoice No],"&lt;&gt;"))</f>
        <v/>
      </c>
      <c r="J269" s="27">
        <f>IF(C269="","",H269-I269)</f>
        <v/>
      </c>
      <c r="K269" s="25">
        <f>IF(C269="","",IF(G269=0,"not invoiced yet",SUBSTITUTE(TRIM(IF(COUNTIFS(tbl_Finance[Job Number],C269&amp;"",tbl_Finance[Cost Centre],"ONSITE")&gt;0,"ONSITE ","")&amp;IF(COUNTIFS(tbl_Finance[Job Number],C269&amp;"",tbl_Finance[Cost Centre],"PRODUCTION")&gt;0,"PRODUCTION ","")&amp;IF(COUNTIFS(tbl_Finance[Job Number],C269&amp;"",tbl_Finance[Cost Centre],"VIDEO")&gt;0,"VIDEO ","")&amp;IF(COUNTIFS(tbl_Finance[Job Number],C269&amp;"",tbl_Finance[Cost Centre],"INTEGRATION")&gt;0,"INTEGRATION ","")&amp;IF(COUNTIFS(tbl_Finance[Job Number],C269&amp;"",tbl_Finance[Cost Centre],"CONSULTING")&gt;0,"CONSULTING ","")&amp;IF(COUNTIFS(tbl_Finance[Job Number],C269&amp;"",tbl_Finance[Cost Centre],"CTS")&gt;0,"CTS ",""))," ",", ")))</f>
        <v/>
      </c>
      <c r="L269" s="24" t="n"/>
      <c r="M269" s="25">
        <f>IF(L269="","",HYPERLINK(IF(LEFT(L269,4)="http",L269,set_QwilrBase&amp;L269),"Open quote"))</f>
        <v/>
      </c>
      <c r="N269" s="26" t="n"/>
      <c r="O269" s="26" t="n"/>
      <c r="P269" s="26" t="n"/>
      <c r="Q269" s="25">
        <f>IF(C269="","",IF(N(N269)+N(O269)+N(P269)=0,"Not split",IF(ROUND(N(N269)+N(O269)+N(P269),2)=ROUND(H269,2),"OK","MISMATCH")))</f>
        <v/>
      </c>
      <c r="R269" s="26" t="n"/>
      <c r="S269" s="26" t="n"/>
      <c r="T269" s="26" t="n"/>
      <c r="U269" s="27">
        <f>IF(C269="","",N(R269)+N(S269)+N(T269))</f>
        <v/>
      </c>
      <c r="V269" s="27">
        <f>IF(C269="","",H269-U269)</f>
        <v/>
      </c>
      <c r="W269" s="29">
        <f>IFERROR(V269/H269,"")</f>
        <v/>
      </c>
      <c r="X269" s="24" t="n"/>
    </row>
    <row r="270" ht="15" customHeight="1">
      <c r="A270" s="68">
        <f>IF(C270="","",IFERROR(IF(SUMPRODUCT(MAX((tbl_Finance[Job Number]=C270&amp;"")*(tbl_Finance[Xero Invoice No]&lt;&gt;"")*tbl_Finance[Date]))=0,"",SUMPRODUCT(MAX((tbl_Finance[Job Number]=C270&amp;"")*(tbl_Finance[Xero Invoice No]&lt;&gt;"")*tbl_Finance[Date]))),""))</f>
        <v/>
      </c>
      <c r="B270" s="25">
        <f>IF(C270="","",IF(COUNTIFS(tbl_Finance[Job Number],C270&amp;"",tbl_Finance[Xero Invoice No],"&lt;&gt;")=0,"",IFERROR(IF(COUNTIFS(tbl_Finance[Job Number],C270&amp;"",tbl_Finance[Xero Invoice No],LOOKUP(2,1/((tbl_Finance[Job Number]=C270&amp;"")*(tbl_Finance[Xero Invoice No]&lt;&gt;"")),tbl_Finance[Xero Invoice No]))=COUNTIFS(tbl_Finance[Job Number],C270&amp;"",tbl_Finance[Xero Invoice No],"&lt;&gt;"),LOOKUP(2,1/((tbl_Finance[Job Number]=C270&amp;"")*(tbl_Finance[Xero Invoice No]&lt;&gt;"")),tbl_Finance[Xero Invoice No]),LOOKUP(2,1/((tbl_Finance[Job Number]=C270&amp;"")*(tbl_Finance[Xero Invoice No]&lt;&gt;"")),tbl_Finance[Xero Invoice No])&amp;" +more"),"")))</f>
        <v/>
      </c>
      <c r="C270" s="24" t="n"/>
      <c r="D270" s="25">
        <f>IF(C270="","",IF(COUNTIF(lst_Jobs,C270&amp;"")&gt;0,"OK","CHECK"))</f>
        <v/>
      </c>
      <c r="E270" s="25">
        <f>IF(C270="","",IFERROR(INDEX(lst_JobName,MATCH(C270&amp;"",lst_Jobs,0)),""))</f>
        <v/>
      </c>
      <c r="F270" s="25">
        <f>IF(C270="","",IFERROR(INDEX(tbl_Finance[Client],MATCH(C270&amp;"",tbl_Finance[Job Number],0)),""))</f>
        <v/>
      </c>
      <c r="G270" s="28">
        <f>IF(C270="","",COUNTIFS(tbl_Finance[Job Number],C270&amp;"",tbl_Finance[Ex GST],"&lt;&gt;"))</f>
        <v/>
      </c>
      <c r="H270" s="27">
        <f>IF(C270="","",SUMIFS(tbl_Finance[Ex GST],tbl_Finance[Job Number],C270&amp;""))</f>
        <v/>
      </c>
      <c r="I270" s="27">
        <f>IF(C270="","",SUMIFS(tbl_Finance[Ex GST],tbl_Finance[Job Number],C270&amp;"",tbl_Finance[Xero Invoice No],"&lt;&gt;"))</f>
        <v/>
      </c>
      <c r="J270" s="27">
        <f>IF(C270="","",H270-I270)</f>
        <v/>
      </c>
      <c r="K270" s="25">
        <f>IF(C270="","",IF(G270=0,"not invoiced yet",SUBSTITUTE(TRIM(IF(COUNTIFS(tbl_Finance[Job Number],C270&amp;"",tbl_Finance[Cost Centre],"ONSITE")&gt;0,"ONSITE ","")&amp;IF(COUNTIFS(tbl_Finance[Job Number],C270&amp;"",tbl_Finance[Cost Centre],"PRODUCTION")&gt;0,"PRODUCTION ","")&amp;IF(COUNTIFS(tbl_Finance[Job Number],C270&amp;"",tbl_Finance[Cost Centre],"VIDEO")&gt;0,"VIDEO ","")&amp;IF(COUNTIFS(tbl_Finance[Job Number],C270&amp;"",tbl_Finance[Cost Centre],"INTEGRATION")&gt;0,"INTEGRATION ","")&amp;IF(COUNTIFS(tbl_Finance[Job Number],C270&amp;"",tbl_Finance[Cost Centre],"CONSULTING")&gt;0,"CONSULTING ","")&amp;IF(COUNTIFS(tbl_Finance[Job Number],C270&amp;"",tbl_Finance[Cost Centre],"CTS")&gt;0,"CTS ",""))," ",", ")))</f>
        <v/>
      </c>
      <c r="L270" s="24" t="n"/>
      <c r="M270" s="25">
        <f>IF(L270="","",HYPERLINK(IF(LEFT(L270,4)="http",L270,set_QwilrBase&amp;L270),"Open quote"))</f>
        <v/>
      </c>
      <c r="N270" s="26" t="n"/>
      <c r="O270" s="26" t="n"/>
      <c r="P270" s="26" t="n"/>
      <c r="Q270" s="25">
        <f>IF(C270="","",IF(N(N270)+N(O270)+N(P270)=0,"Not split",IF(ROUND(N(N270)+N(O270)+N(P270),2)=ROUND(H270,2),"OK","MISMATCH")))</f>
        <v/>
      </c>
      <c r="R270" s="26" t="n"/>
      <c r="S270" s="26" t="n"/>
      <c r="T270" s="26" t="n"/>
      <c r="U270" s="27">
        <f>IF(C270="","",N(R270)+N(S270)+N(T270))</f>
        <v/>
      </c>
      <c r="V270" s="27">
        <f>IF(C270="","",H270-U270)</f>
        <v/>
      </c>
      <c r="W270" s="29">
        <f>IFERROR(V270/H270,"")</f>
        <v/>
      </c>
      <c r="X270" s="24" t="n"/>
    </row>
    <row r="271" ht="15" customHeight="1">
      <c r="A271" s="68">
        <f>IF(C271="","",IFERROR(IF(SUMPRODUCT(MAX((tbl_Finance[Job Number]=C271&amp;"")*(tbl_Finance[Xero Invoice No]&lt;&gt;"")*tbl_Finance[Date]))=0,"",SUMPRODUCT(MAX((tbl_Finance[Job Number]=C271&amp;"")*(tbl_Finance[Xero Invoice No]&lt;&gt;"")*tbl_Finance[Date]))),""))</f>
        <v/>
      </c>
      <c r="B271" s="25">
        <f>IF(C271="","",IF(COUNTIFS(tbl_Finance[Job Number],C271&amp;"",tbl_Finance[Xero Invoice No],"&lt;&gt;")=0,"",IFERROR(IF(COUNTIFS(tbl_Finance[Job Number],C271&amp;"",tbl_Finance[Xero Invoice No],LOOKUP(2,1/((tbl_Finance[Job Number]=C271&amp;"")*(tbl_Finance[Xero Invoice No]&lt;&gt;"")),tbl_Finance[Xero Invoice No]))=COUNTIFS(tbl_Finance[Job Number],C271&amp;"",tbl_Finance[Xero Invoice No],"&lt;&gt;"),LOOKUP(2,1/((tbl_Finance[Job Number]=C271&amp;"")*(tbl_Finance[Xero Invoice No]&lt;&gt;"")),tbl_Finance[Xero Invoice No]),LOOKUP(2,1/((tbl_Finance[Job Number]=C271&amp;"")*(tbl_Finance[Xero Invoice No]&lt;&gt;"")),tbl_Finance[Xero Invoice No])&amp;" +more"),"")))</f>
        <v/>
      </c>
      <c r="C271" s="24" t="n"/>
      <c r="D271" s="25">
        <f>IF(C271="","",IF(COUNTIF(lst_Jobs,C271&amp;"")&gt;0,"OK","CHECK"))</f>
        <v/>
      </c>
      <c r="E271" s="25">
        <f>IF(C271="","",IFERROR(INDEX(lst_JobName,MATCH(C271&amp;"",lst_Jobs,0)),""))</f>
        <v/>
      </c>
      <c r="F271" s="25">
        <f>IF(C271="","",IFERROR(INDEX(tbl_Finance[Client],MATCH(C271&amp;"",tbl_Finance[Job Number],0)),""))</f>
        <v/>
      </c>
      <c r="G271" s="28">
        <f>IF(C271="","",COUNTIFS(tbl_Finance[Job Number],C271&amp;"",tbl_Finance[Ex GST],"&lt;&gt;"))</f>
        <v/>
      </c>
      <c r="H271" s="27">
        <f>IF(C271="","",SUMIFS(tbl_Finance[Ex GST],tbl_Finance[Job Number],C271&amp;""))</f>
        <v/>
      </c>
      <c r="I271" s="27">
        <f>IF(C271="","",SUMIFS(tbl_Finance[Ex GST],tbl_Finance[Job Number],C271&amp;"",tbl_Finance[Xero Invoice No],"&lt;&gt;"))</f>
        <v/>
      </c>
      <c r="J271" s="27">
        <f>IF(C271="","",H271-I271)</f>
        <v/>
      </c>
      <c r="K271" s="25">
        <f>IF(C271="","",IF(G271=0,"not invoiced yet",SUBSTITUTE(TRIM(IF(COUNTIFS(tbl_Finance[Job Number],C271&amp;"",tbl_Finance[Cost Centre],"ONSITE")&gt;0,"ONSITE ","")&amp;IF(COUNTIFS(tbl_Finance[Job Number],C271&amp;"",tbl_Finance[Cost Centre],"PRODUCTION")&gt;0,"PRODUCTION ","")&amp;IF(COUNTIFS(tbl_Finance[Job Number],C271&amp;"",tbl_Finance[Cost Centre],"VIDEO")&gt;0,"VIDEO ","")&amp;IF(COUNTIFS(tbl_Finance[Job Number],C271&amp;"",tbl_Finance[Cost Centre],"INTEGRATION")&gt;0,"INTEGRATION ","")&amp;IF(COUNTIFS(tbl_Finance[Job Number],C271&amp;"",tbl_Finance[Cost Centre],"CONSULTING")&gt;0,"CONSULTING ","")&amp;IF(COUNTIFS(tbl_Finance[Job Number],C271&amp;"",tbl_Finance[Cost Centre],"CTS")&gt;0,"CTS ",""))," ",", ")))</f>
        <v/>
      </c>
      <c r="L271" s="24" t="n"/>
      <c r="M271" s="25">
        <f>IF(L271="","",HYPERLINK(IF(LEFT(L271,4)="http",L271,set_QwilrBase&amp;L271),"Open quote"))</f>
        <v/>
      </c>
      <c r="N271" s="26" t="n"/>
      <c r="O271" s="26" t="n"/>
      <c r="P271" s="26" t="n"/>
      <c r="Q271" s="25">
        <f>IF(C271="","",IF(N(N271)+N(O271)+N(P271)=0,"Not split",IF(ROUND(N(N271)+N(O271)+N(P271),2)=ROUND(H271,2),"OK","MISMATCH")))</f>
        <v/>
      </c>
      <c r="R271" s="26" t="n"/>
      <c r="S271" s="26" t="n"/>
      <c r="T271" s="26" t="n"/>
      <c r="U271" s="27">
        <f>IF(C271="","",N(R271)+N(S271)+N(T271))</f>
        <v/>
      </c>
      <c r="V271" s="27">
        <f>IF(C271="","",H271-U271)</f>
        <v/>
      </c>
      <c r="W271" s="29">
        <f>IFERROR(V271/H271,"")</f>
        <v/>
      </c>
      <c r="X271" s="24" t="n"/>
    </row>
    <row r="272" ht="15" customHeight="1">
      <c r="A272" s="68">
        <f>IF(C272="","",IFERROR(IF(SUMPRODUCT(MAX((tbl_Finance[Job Number]=C272&amp;"")*(tbl_Finance[Xero Invoice No]&lt;&gt;"")*tbl_Finance[Date]))=0,"",SUMPRODUCT(MAX((tbl_Finance[Job Number]=C272&amp;"")*(tbl_Finance[Xero Invoice No]&lt;&gt;"")*tbl_Finance[Date]))),""))</f>
        <v/>
      </c>
      <c r="B272" s="25">
        <f>IF(C272="","",IF(COUNTIFS(tbl_Finance[Job Number],C272&amp;"",tbl_Finance[Xero Invoice No],"&lt;&gt;")=0,"",IFERROR(IF(COUNTIFS(tbl_Finance[Job Number],C272&amp;"",tbl_Finance[Xero Invoice No],LOOKUP(2,1/((tbl_Finance[Job Number]=C272&amp;"")*(tbl_Finance[Xero Invoice No]&lt;&gt;"")),tbl_Finance[Xero Invoice No]))=COUNTIFS(tbl_Finance[Job Number],C272&amp;"",tbl_Finance[Xero Invoice No],"&lt;&gt;"),LOOKUP(2,1/((tbl_Finance[Job Number]=C272&amp;"")*(tbl_Finance[Xero Invoice No]&lt;&gt;"")),tbl_Finance[Xero Invoice No]),LOOKUP(2,1/((tbl_Finance[Job Number]=C272&amp;"")*(tbl_Finance[Xero Invoice No]&lt;&gt;"")),tbl_Finance[Xero Invoice No])&amp;" +more"),"")))</f>
        <v/>
      </c>
      <c r="C272" s="24" t="n"/>
      <c r="D272" s="25">
        <f>IF(C272="","",IF(COUNTIF(lst_Jobs,C272&amp;"")&gt;0,"OK","CHECK"))</f>
        <v/>
      </c>
      <c r="E272" s="25">
        <f>IF(C272="","",IFERROR(INDEX(lst_JobName,MATCH(C272&amp;"",lst_Jobs,0)),""))</f>
        <v/>
      </c>
      <c r="F272" s="25">
        <f>IF(C272="","",IFERROR(INDEX(tbl_Finance[Client],MATCH(C272&amp;"",tbl_Finance[Job Number],0)),""))</f>
        <v/>
      </c>
      <c r="G272" s="28">
        <f>IF(C272="","",COUNTIFS(tbl_Finance[Job Number],C272&amp;"",tbl_Finance[Ex GST],"&lt;&gt;"))</f>
        <v/>
      </c>
      <c r="H272" s="27">
        <f>IF(C272="","",SUMIFS(tbl_Finance[Ex GST],tbl_Finance[Job Number],C272&amp;""))</f>
        <v/>
      </c>
      <c r="I272" s="27">
        <f>IF(C272="","",SUMIFS(tbl_Finance[Ex GST],tbl_Finance[Job Number],C272&amp;"",tbl_Finance[Xero Invoice No],"&lt;&gt;"))</f>
        <v/>
      </c>
      <c r="J272" s="27">
        <f>IF(C272="","",H272-I272)</f>
        <v/>
      </c>
      <c r="K272" s="25">
        <f>IF(C272="","",IF(G272=0,"not invoiced yet",SUBSTITUTE(TRIM(IF(COUNTIFS(tbl_Finance[Job Number],C272&amp;"",tbl_Finance[Cost Centre],"ONSITE")&gt;0,"ONSITE ","")&amp;IF(COUNTIFS(tbl_Finance[Job Number],C272&amp;"",tbl_Finance[Cost Centre],"PRODUCTION")&gt;0,"PRODUCTION ","")&amp;IF(COUNTIFS(tbl_Finance[Job Number],C272&amp;"",tbl_Finance[Cost Centre],"VIDEO")&gt;0,"VIDEO ","")&amp;IF(COUNTIFS(tbl_Finance[Job Number],C272&amp;"",tbl_Finance[Cost Centre],"INTEGRATION")&gt;0,"INTEGRATION ","")&amp;IF(COUNTIFS(tbl_Finance[Job Number],C272&amp;"",tbl_Finance[Cost Centre],"CONSULTING")&gt;0,"CONSULTING ","")&amp;IF(COUNTIFS(tbl_Finance[Job Number],C272&amp;"",tbl_Finance[Cost Centre],"CTS")&gt;0,"CTS ",""))," ",", ")))</f>
        <v/>
      </c>
      <c r="L272" s="24" t="n"/>
      <c r="M272" s="25">
        <f>IF(L272="","",HYPERLINK(IF(LEFT(L272,4)="http",L272,set_QwilrBase&amp;L272),"Open quote"))</f>
        <v/>
      </c>
      <c r="N272" s="26" t="n"/>
      <c r="O272" s="26" t="n"/>
      <c r="P272" s="26" t="n"/>
      <c r="Q272" s="25">
        <f>IF(C272="","",IF(N(N272)+N(O272)+N(P272)=0,"Not split",IF(ROUND(N(N272)+N(O272)+N(P272),2)=ROUND(H272,2),"OK","MISMATCH")))</f>
        <v/>
      </c>
      <c r="R272" s="26" t="n"/>
      <c r="S272" s="26" t="n"/>
      <c r="T272" s="26" t="n"/>
      <c r="U272" s="27">
        <f>IF(C272="","",N(R272)+N(S272)+N(T272))</f>
        <v/>
      </c>
      <c r="V272" s="27">
        <f>IF(C272="","",H272-U272)</f>
        <v/>
      </c>
      <c r="W272" s="29">
        <f>IFERROR(V272/H272,"")</f>
        <v/>
      </c>
      <c r="X272" s="24" t="n"/>
    </row>
    <row r="273" ht="15" customHeight="1">
      <c r="A273" s="68">
        <f>IF(C273="","",IFERROR(IF(SUMPRODUCT(MAX((tbl_Finance[Job Number]=C273&amp;"")*(tbl_Finance[Xero Invoice No]&lt;&gt;"")*tbl_Finance[Date]))=0,"",SUMPRODUCT(MAX((tbl_Finance[Job Number]=C273&amp;"")*(tbl_Finance[Xero Invoice No]&lt;&gt;"")*tbl_Finance[Date]))),""))</f>
        <v/>
      </c>
      <c r="B273" s="25">
        <f>IF(C273="","",IF(COUNTIFS(tbl_Finance[Job Number],C273&amp;"",tbl_Finance[Xero Invoice No],"&lt;&gt;")=0,"",IFERROR(IF(COUNTIFS(tbl_Finance[Job Number],C273&amp;"",tbl_Finance[Xero Invoice No],LOOKUP(2,1/((tbl_Finance[Job Number]=C273&amp;"")*(tbl_Finance[Xero Invoice No]&lt;&gt;"")),tbl_Finance[Xero Invoice No]))=COUNTIFS(tbl_Finance[Job Number],C273&amp;"",tbl_Finance[Xero Invoice No],"&lt;&gt;"),LOOKUP(2,1/((tbl_Finance[Job Number]=C273&amp;"")*(tbl_Finance[Xero Invoice No]&lt;&gt;"")),tbl_Finance[Xero Invoice No]),LOOKUP(2,1/((tbl_Finance[Job Number]=C273&amp;"")*(tbl_Finance[Xero Invoice No]&lt;&gt;"")),tbl_Finance[Xero Invoice No])&amp;" +more"),"")))</f>
        <v/>
      </c>
      <c r="C273" s="24" t="n"/>
      <c r="D273" s="25">
        <f>IF(C273="","",IF(COUNTIF(lst_Jobs,C273&amp;"")&gt;0,"OK","CHECK"))</f>
        <v/>
      </c>
      <c r="E273" s="25">
        <f>IF(C273="","",IFERROR(INDEX(lst_JobName,MATCH(C273&amp;"",lst_Jobs,0)),""))</f>
        <v/>
      </c>
      <c r="F273" s="25">
        <f>IF(C273="","",IFERROR(INDEX(tbl_Finance[Client],MATCH(C273&amp;"",tbl_Finance[Job Number],0)),""))</f>
        <v/>
      </c>
      <c r="G273" s="28">
        <f>IF(C273="","",COUNTIFS(tbl_Finance[Job Number],C273&amp;"",tbl_Finance[Ex GST],"&lt;&gt;"))</f>
        <v/>
      </c>
      <c r="H273" s="27">
        <f>IF(C273="","",SUMIFS(tbl_Finance[Ex GST],tbl_Finance[Job Number],C273&amp;""))</f>
        <v/>
      </c>
      <c r="I273" s="27">
        <f>IF(C273="","",SUMIFS(tbl_Finance[Ex GST],tbl_Finance[Job Number],C273&amp;"",tbl_Finance[Xero Invoice No],"&lt;&gt;"))</f>
        <v/>
      </c>
      <c r="J273" s="27">
        <f>IF(C273="","",H273-I273)</f>
        <v/>
      </c>
      <c r="K273" s="25">
        <f>IF(C273="","",IF(G273=0,"not invoiced yet",SUBSTITUTE(TRIM(IF(COUNTIFS(tbl_Finance[Job Number],C273&amp;"",tbl_Finance[Cost Centre],"ONSITE")&gt;0,"ONSITE ","")&amp;IF(COUNTIFS(tbl_Finance[Job Number],C273&amp;"",tbl_Finance[Cost Centre],"PRODUCTION")&gt;0,"PRODUCTION ","")&amp;IF(COUNTIFS(tbl_Finance[Job Number],C273&amp;"",tbl_Finance[Cost Centre],"VIDEO")&gt;0,"VIDEO ","")&amp;IF(COUNTIFS(tbl_Finance[Job Number],C273&amp;"",tbl_Finance[Cost Centre],"INTEGRATION")&gt;0,"INTEGRATION ","")&amp;IF(COUNTIFS(tbl_Finance[Job Number],C273&amp;"",tbl_Finance[Cost Centre],"CONSULTING")&gt;0,"CONSULTING ","")&amp;IF(COUNTIFS(tbl_Finance[Job Number],C273&amp;"",tbl_Finance[Cost Centre],"CTS")&gt;0,"CTS ",""))," ",", ")))</f>
        <v/>
      </c>
      <c r="L273" s="24" t="n"/>
      <c r="M273" s="25">
        <f>IF(L273="","",HYPERLINK(IF(LEFT(L273,4)="http",L273,set_QwilrBase&amp;L273),"Open quote"))</f>
        <v/>
      </c>
      <c r="N273" s="26" t="n"/>
      <c r="O273" s="26" t="n"/>
      <c r="P273" s="26" t="n"/>
      <c r="Q273" s="25">
        <f>IF(C273="","",IF(N(N273)+N(O273)+N(P273)=0,"Not split",IF(ROUND(N(N273)+N(O273)+N(P273),2)=ROUND(H273,2),"OK","MISMATCH")))</f>
        <v/>
      </c>
      <c r="R273" s="26" t="n"/>
      <c r="S273" s="26" t="n"/>
      <c r="T273" s="26" t="n"/>
      <c r="U273" s="27">
        <f>IF(C273="","",N(R273)+N(S273)+N(T273))</f>
        <v/>
      </c>
      <c r="V273" s="27">
        <f>IF(C273="","",H273-U273)</f>
        <v/>
      </c>
      <c r="W273" s="29">
        <f>IFERROR(V273/H273,"")</f>
        <v/>
      </c>
      <c r="X273" s="24" t="n"/>
    </row>
    <row r="274" ht="15" customHeight="1">
      <c r="A274" s="68">
        <f>IF(C274="","",IFERROR(IF(SUMPRODUCT(MAX((tbl_Finance[Job Number]=C274&amp;"")*(tbl_Finance[Xero Invoice No]&lt;&gt;"")*tbl_Finance[Date]))=0,"",SUMPRODUCT(MAX((tbl_Finance[Job Number]=C274&amp;"")*(tbl_Finance[Xero Invoice No]&lt;&gt;"")*tbl_Finance[Date]))),""))</f>
        <v/>
      </c>
      <c r="B274" s="25">
        <f>IF(C274="","",IF(COUNTIFS(tbl_Finance[Job Number],C274&amp;"",tbl_Finance[Xero Invoice No],"&lt;&gt;")=0,"",IFERROR(IF(COUNTIFS(tbl_Finance[Job Number],C274&amp;"",tbl_Finance[Xero Invoice No],LOOKUP(2,1/((tbl_Finance[Job Number]=C274&amp;"")*(tbl_Finance[Xero Invoice No]&lt;&gt;"")),tbl_Finance[Xero Invoice No]))=COUNTIFS(tbl_Finance[Job Number],C274&amp;"",tbl_Finance[Xero Invoice No],"&lt;&gt;"),LOOKUP(2,1/((tbl_Finance[Job Number]=C274&amp;"")*(tbl_Finance[Xero Invoice No]&lt;&gt;"")),tbl_Finance[Xero Invoice No]),LOOKUP(2,1/((tbl_Finance[Job Number]=C274&amp;"")*(tbl_Finance[Xero Invoice No]&lt;&gt;"")),tbl_Finance[Xero Invoice No])&amp;" +more"),"")))</f>
        <v/>
      </c>
      <c r="C274" s="24" t="n"/>
      <c r="D274" s="25">
        <f>IF(C274="","",IF(COUNTIF(lst_Jobs,C274&amp;"")&gt;0,"OK","CHECK"))</f>
        <v/>
      </c>
      <c r="E274" s="25">
        <f>IF(C274="","",IFERROR(INDEX(lst_JobName,MATCH(C274&amp;"",lst_Jobs,0)),""))</f>
        <v/>
      </c>
      <c r="F274" s="25">
        <f>IF(C274="","",IFERROR(INDEX(tbl_Finance[Client],MATCH(C274&amp;"",tbl_Finance[Job Number],0)),""))</f>
        <v/>
      </c>
      <c r="G274" s="28">
        <f>IF(C274="","",COUNTIFS(tbl_Finance[Job Number],C274&amp;"",tbl_Finance[Ex GST],"&lt;&gt;"))</f>
        <v/>
      </c>
      <c r="H274" s="27">
        <f>IF(C274="","",SUMIFS(tbl_Finance[Ex GST],tbl_Finance[Job Number],C274&amp;""))</f>
        <v/>
      </c>
      <c r="I274" s="27">
        <f>IF(C274="","",SUMIFS(tbl_Finance[Ex GST],tbl_Finance[Job Number],C274&amp;"",tbl_Finance[Xero Invoice No],"&lt;&gt;"))</f>
        <v/>
      </c>
      <c r="J274" s="27">
        <f>IF(C274="","",H274-I274)</f>
        <v/>
      </c>
      <c r="K274" s="25">
        <f>IF(C274="","",IF(G274=0,"not invoiced yet",SUBSTITUTE(TRIM(IF(COUNTIFS(tbl_Finance[Job Number],C274&amp;"",tbl_Finance[Cost Centre],"ONSITE")&gt;0,"ONSITE ","")&amp;IF(COUNTIFS(tbl_Finance[Job Number],C274&amp;"",tbl_Finance[Cost Centre],"PRODUCTION")&gt;0,"PRODUCTION ","")&amp;IF(COUNTIFS(tbl_Finance[Job Number],C274&amp;"",tbl_Finance[Cost Centre],"VIDEO")&gt;0,"VIDEO ","")&amp;IF(COUNTIFS(tbl_Finance[Job Number],C274&amp;"",tbl_Finance[Cost Centre],"INTEGRATION")&gt;0,"INTEGRATION ","")&amp;IF(COUNTIFS(tbl_Finance[Job Number],C274&amp;"",tbl_Finance[Cost Centre],"CONSULTING")&gt;0,"CONSULTING ","")&amp;IF(COUNTIFS(tbl_Finance[Job Number],C274&amp;"",tbl_Finance[Cost Centre],"CTS")&gt;0,"CTS ",""))," ",", ")))</f>
        <v/>
      </c>
      <c r="L274" s="24" t="n"/>
      <c r="M274" s="25">
        <f>IF(L274="","",HYPERLINK(IF(LEFT(L274,4)="http",L274,set_QwilrBase&amp;L274),"Open quote"))</f>
        <v/>
      </c>
      <c r="N274" s="26" t="n"/>
      <c r="O274" s="26" t="n"/>
      <c r="P274" s="26" t="n"/>
      <c r="Q274" s="25">
        <f>IF(C274="","",IF(N(N274)+N(O274)+N(P274)=0,"Not split",IF(ROUND(N(N274)+N(O274)+N(P274),2)=ROUND(H274,2),"OK","MISMATCH")))</f>
        <v/>
      </c>
      <c r="R274" s="26" t="n"/>
      <c r="S274" s="26" t="n"/>
      <c r="T274" s="26" t="n"/>
      <c r="U274" s="27">
        <f>IF(C274="","",N(R274)+N(S274)+N(T274))</f>
        <v/>
      </c>
      <c r="V274" s="27">
        <f>IF(C274="","",H274-U274)</f>
        <v/>
      </c>
      <c r="W274" s="29">
        <f>IFERROR(V274/H274,"")</f>
        <v/>
      </c>
      <c r="X274" s="24" t="n"/>
    </row>
    <row r="275" ht="15" customHeight="1">
      <c r="A275" s="68">
        <f>IF(C275="","",IFERROR(IF(SUMPRODUCT(MAX((tbl_Finance[Job Number]=C275&amp;"")*(tbl_Finance[Xero Invoice No]&lt;&gt;"")*tbl_Finance[Date]))=0,"",SUMPRODUCT(MAX((tbl_Finance[Job Number]=C275&amp;"")*(tbl_Finance[Xero Invoice No]&lt;&gt;"")*tbl_Finance[Date]))),""))</f>
        <v/>
      </c>
      <c r="B275" s="25">
        <f>IF(C275="","",IF(COUNTIFS(tbl_Finance[Job Number],C275&amp;"",tbl_Finance[Xero Invoice No],"&lt;&gt;")=0,"",IFERROR(IF(COUNTIFS(tbl_Finance[Job Number],C275&amp;"",tbl_Finance[Xero Invoice No],LOOKUP(2,1/((tbl_Finance[Job Number]=C275&amp;"")*(tbl_Finance[Xero Invoice No]&lt;&gt;"")),tbl_Finance[Xero Invoice No]))=COUNTIFS(tbl_Finance[Job Number],C275&amp;"",tbl_Finance[Xero Invoice No],"&lt;&gt;"),LOOKUP(2,1/((tbl_Finance[Job Number]=C275&amp;"")*(tbl_Finance[Xero Invoice No]&lt;&gt;"")),tbl_Finance[Xero Invoice No]),LOOKUP(2,1/((tbl_Finance[Job Number]=C275&amp;"")*(tbl_Finance[Xero Invoice No]&lt;&gt;"")),tbl_Finance[Xero Invoice No])&amp;" +more"),"")))</f>
        <v/>
      </c>
      <c r="C275" s="24" t="n"/>
      <c r="D275" s="25">
        <f>IF(C275="","",IF(COUNTIF(lst_Jobs,C275&amp;"")&gt;0,"OK","CHECK"))</f>
        <v/>
      </c>
      <c r="E275" s="25">
        <f>IF(C275="","",IFERROR(INDEX(lst_JobName,MATCH(C275&amp;"",lst_Jobs,0)),""))</f>
        <v/>
      </c>
      <c r="F275" s="25">
        <f>IF(C275="","",IFERROR(INDEX(tbl_Finance[Client],MATCH(C275&amp;"",tbl_Finance[Job Number],0)),""))</f>
        <v/>
      </c>
      <c r="G275" s="28">
        <f>IF(C275="","",COUNTIFS(tbl_Finance[Job Number],C275&amp;"",tbl_Finance[Ex GST],"&lt;&gt;"))</f>
        <v/>
      </c>
      <c r="H275" s="27">
        <f>IF(C275="","",SUMIFS(tbl_Finance[Ex GST],tbl_Finance[Job Number],C275&amp;""))</f>
        <v/>
      </c>
      <c r="I275" s="27">
        <f>IF(C275="","",SUMIFS(tbl_Finance[Ex GST],tbl_Finance[Job Number],C275&amp;"",tbl_Finance[Xero Invoice No],"&lt;&gt;"))</f>
        <v/>
      </c>
      <c r="J275" s="27">
        <f>IF(C275="","",H275-I275)</f>
        <v/>
      </c>
      <c r="K275" s="25">
        <f>IF(C275="","",IF(G275=0,"not invoiced yet",SUBSTITUTE(TRIM(IF(COUNTIFS(tbl_Finance[Job Number],C275&amp;"",tbl_Finance[Cost Centre],"ONSITE")&gt;0,"ONSITE ","")&amp;IF(COUNTIFS(tbl_Finance[Job Number],C275&amp;"",tbl_Finance[Cost Centre],"PRODUCTION")&gt;0,"PRODUCTION ","")&amp;IF(COUNTIFS(tbl_Finance[Job Number],C275&amp;"",tbl_Finance[Cost Centre],"VIDEO")&gt;0,"VIDEO ","")&amp;IF(COUNTIFS(tbl_Finance[Job Number],C275&amp;"",tbl_Finance[Cost Centre],"INTEGRATION")&gt;0,"INTEGRATION ","")&amp;IF(COUNTIFS(tbl_Finance[Job Number],C275&amp;"",tbl_Finance[Cost Centre],"CONSULTING")&gt;0,"CONSULTING ","")&amp;IF(COUNTIFS(tbl_Finance[Job Number],C275&amp;"",tbl_Finance[Cost Centre],"CTS")&gt;0,"CTS ",""))," ",", ")))</f>
        <v/>
      </c>
      <c r="L275" s="24" t="n"/>
      <c r="M275" s="25">
        <f>IF(L275="","",HYPERLINK(IF(LEFT(L275,4)="http",L275,set_QwilrBase&amp;L275),"Open quote"))</f>
        <v/>
      </c>
      <c r="N275" s="26" t="n"/>
      <c r="O275" s="26" t="n"/>
      <c r="P275" s="26" t="n"/>
      <c r="Q275" s="25">
        <f>IF(C275="","",IF(N(N275)+N(O275)+N(P275)=0,"Not split",IF(ROUND(N(N275)+N(O275)+N(P275),2)=ROUND(H275,2),"OK","MISMATCH")))</f>
        <v/>
      </c>
      <c r="R275" s="26" t="n"/>
      <c r="S275" s="26" t="n"/>
      <c r="T275" s="26" t="n"/>
      <c r="U275" s="27">
        <f>IF(C275="","",N(R275)+N(S275)+N(T275))</f>
        <v/>
      </c>
      <c r="V275" s="27">
        <f>IF(C275="","",H275-U275)</f>
        <v/>
      </c>
      <c r="W275" s="29">
        <f>IFERROR(V275/H275,"")</f>
        <v/>
      </c>
      <c r="X275" s="24" t="n"/>
    </row>
    <row r="276" ht="15" customHeight="1">
      <c r="A276" s="68">
        <f>IF(C276="","",IFERROR(IF(SUMPRODUCT(MAX((tbl_Finance[Job Number]=C276&amp;"")*(tbl_Finance[Xero Invoice No]&lt;&gt;"")*tbl_Finance[Date]))=0,"",SUMPRODUCT(MAX((tbl_Finance[Job Number]=C276&amp;"")*(tbl_Finance[Xero Invoice No]&lt;&gt;"")*tbl_Finance[Date]))),""))</f>
        <v/>
      </c>
      <c r="B276" s="25">
        <f>IF(C276="","",IF(COUNTIFS(tbl_Finance[Job Number],C276&amp;"",tbl_Finance[Xero Invoice No],"&lt;&gt;")=0,"",IFERROR(IF(COUNTIFS(tbl_Finance[Job Number],C276&amp;"",tbl_Finance[Xero Invoice No],LOOKUP(2,1/((tbl_Finance[Job Number]=C276&amp;"")*(tbl_Finance[Xero Invoice No]&lt;&gt;"")),tbl_Finance[Xero Invoice No]))=COUNTIFS(tbl_Finance[Job Number],C276&amp;"",tbl_Finance[Xero Invoice No],"&lt;&gt;"),LOOKUP(2,1/((tbl_Finance[Job Number]=C276&amp;"")*(tbl_Finance[Xero Invoice No]&lt;&gt;"")),tbl_Finance[Xero Invoice No]),LOOKUP(2,1/((tbl_Finance[Job Number]=C276&amp;"")*(tbl_Finance[Xero Invoice No]&lt;&gt;"")),tbl_Finance[Xero Invoice No])&amp;" +more"),"")))</f>
        <v/>
      </c>
      <c r="C276" s="24" t="n"/>
      <c r="D276" s="25">
        <f>IF(C276="","",IF(COUNTIF(lst_Jobs,C276&amp;"")&gt;0,"OK","CHECK"))</f>
        <v/>
      </c>
      <c r="E276" s="25">
        <f>IF(C276="","",IFERROR(INDEX(lst_JobName,MATCH(C276&amp;"",lst_Jobs,0)),""))</f>
        <v/>
      </c>
      <c r="F276" s="25">
        <f>IF(C276="","",IFERROR(INDEX(tbl_Finance[Client],MATCH(C276&amp;"",tbl_Finance[Job Number],0)),""))</f>
        <v/>
      </c>
      <c r="G276" s="28">
        <f>IF(C276="","",COUNTIFS(tbl_Finance[Job Number],C276&amp;"",tbl_Finance[Ex GST],"&lt;&gt;"))</f>
        <v/>
      </c>
      <c r="H276" s="27">
        <f>IF(C276="","",SUMIFS(tbl_Finance[Ex GST],tbl_Finance[Job Number],C276&amp;""))</f>
        <v/>
      </c>
      <c r="I276" s="27">
        <f>IF(C276="","",SUMIFS(tbl_Finance[Ex GST],tbl_Finance[Job Number],C276&amp;"",tbl_Finance[Xero Invoice No],"&lt;&gt;"))</f>
        <v/>
      </c>
      <c r="J276" s="27">
        <f>IF(C276="","",H276-I276)</f>
        <v/>
      </c>
      <c r="K276" s="25">
        <f>IF(C276="","",IF(G276=0,"not invoiced yet",SUBSTITUTE(TRIM(IF(COUNTIFS(tbl_Finance[Job Number],C276&amp;"",tbl_Finance[Cost Centre],"ONSITE")&gt;0,"ONSITE ","")&amp;IF(COUNTIFS(tbl_Finance[Job Number],C276&amp;"",tbl_Finance[Cost Centre],"PRODUCTION")&gt;0,"PRODUCTION ","")&amp;IF(COUNTIFS(tbl_Finance[Job Number],C276&amp;"",tbl_Finance[Cost Centre],"VIDEO")&gt;0,"VIDEO ","")&amp;IF(COUNTIFS(tbl_Finance[Job Number],C276&amp;"",tbl_Finance[Cost Centre],"INTEGRATION")&gt;0,"INTEGRATION ","")&amp;IF(COUNTIFS(tbl_Finance[Job Number],C276&amp;"",tbl_Finance[Cost Centre],"CONSULTING")&gt;0,"CONSULTING ","")&amp;IF(COUNTIFS(tbl_Finance[Job Number],C276&amp;"",tbl_Finance[Cost Centre],"CTS")&gt;0,"CTS ",""))," ",", ")))</f>
        <v/>
      </c>
      <c r="L276" s="24" t="n"/>
      <c r="M276" s="25">
        <f>IF(L276="","",HYPERLINK(IF(LEFT(L276,4)="http",L276,set_QwilrBase&amp;L276),"Open quote"))</f>
        <v/>
      </c>
      <c r="N276" s="26" t="n"/>
      <c r="O276" s="26" t="n"/>
      <c r="P276" s="26" t="n"/>
      <c r="Q276" s="25">
        <f>IF(C276="","",IF(N(N276)+N(O276)+N(P276)=0,"Not split",IF(ROUND(N(N276)+N(O276)+N(P276),2)=ROUND(H276,2),"OK","MISMATCH")))</f>
        <v/>
      </c>
      <c r="R276" s="26" t="n"/>
      <c r="S276" s="26" t="n"/>
      <c r="T276" s="26" t="n"/>
      <c r="U276" s="27">
        <f>IF(C276="","",N(R276)+N(S276)+N(T276))</f>
        <v/>
      </c>
      <c r="V276" s="27">
        <f>IF(C276="","",H276-U276)</f>
        <v/>
      </c>
      <c r="W276" s="29">
        <f>IFERROR(V276/H276,"")</f>
        <v/>
      </c>
      <c r="X276" s="24" t="n"/>
    </row>
    <row r="277" ht="15" customHeight="1">
      <c r="A277" s="68">
        <f>IF(C277="","",IFERROR(IF(SUMPRODUCT(MAX((tbl_Finance[Job Number]=C277&amp;"")*(tbl_Finance[Xero Invoice No]&lt;&gt;"")*tbl_Finance[Date]))=0,"",SUMPRODUCT(MAX((tbl_Finance[Job Number]=C277&amp;"")*(tbl_Finance[Xero Invoice No]&lt;&gt;"")*tbl_Finance[Date]))),""))</f>
        <v/>
      </c>
      <c r="B277" s="25">
        <f>IF(C277="","",IF(COUNTIFS(tbl_Finance[Job Number],C277&amp;"",tbl_Finance[Xero Invoice No],"&lt;&gt;")=0,"",IFERROR(IF(COUNTIFS(tbl_Finance[Job Number],C277&amp;"",tbl_Finance[Xero Invoice No],LOOKUP(2,1/((tbl_Finance[Job Number]=C277&amp;"")*(tbl_Finance[Xero Invoice No]&lt;&gt;"")),tbl_Finance[Xero Invoice No]))=COUNTIFS(tbl_Finance[Job Number],C277&amp;"",tbl_Finance[Xero Invoice No],"&lt;&gt;"),LOOKUP(2,1/((tbl_Finance[Job Number]=C277&amp;"")*(tbl_Finance[Xero Invoice No]&lt;&gt;"")),tbl_Finance[Xero Invoice No]),LOOKUP(2,1/((tbl_Finance[Job Number]=C277&amp;"")*(tbl_Finance[Xero Invoice No]&lt;&gt;"")),tbl_Finance[Xero Invoice No])&amp;" +more"),"")))</f>
        <v/>
      </c>
      <c r="C277" s="24" t="n"/>
      <c r="D277" s="25">
        <f>IF(C277="","",IF(COUNTIF(lst_Jobs,C277&amp;"")&gt;0,"OK","CHECK"))</f>
        <v/>
      </c>
      <c r="E277" s="25">
        <f>IF(C277="","",IFERROR(INDEX(lst_JobName,MATCH(C277&amp;"",lst_Jobs,0)),""))</f>
        <v/>
      </c>
      <c r="F277" s="25">
        <f>IF(C277="","",IFERROR(INDEX(tbl_Finance[Client],MATCH(C277&amp;"",tbl_Finance[Job Number],0)),""))</f>
        <v/>
      </c>
      <c r="G277" s="28">
        <f>IF(C277="","",COUNTIFS(tbl_Finance[Job Number],C277&amp;"",tbl_Finance[Ex GST],"&lt;&gt;"))</f>
        <v/>
      </c>
      <c r="H277" s="27">
        <f>IF(C277="","",SUMIFS(tbl_Finance[Ex GST],tbl_Finance[Job Number],C277&amp;""))</f>
        <v/>
      </c>
      <c r="I277" s="27">
        <f>IF(C277="","",SUMIFS(tbl_Finance[Ex GST],tbl_Finance[Job Number],C277&amp;"",tbl_Finance[Xero Invoice No],"&lt;&gt;"))</f>
        <v/>
      </c>
      <c r="J277" s="27">
        <f>IF(C277="","",H277-I277)</f>
        <v/>
      </c>
      <c r="K277" s="25">
        <f>IF(C277="","",IF(G277=0,"not invoiced yet",SUBSTITUTE(TRIM(IF(COUNTIFS(tbl_Finance[Job Number],C277&amp;"",tbl_Finance[Cost Centre],"ONSITE")&gt;0,"ONSITE ","")&amp;IF(COUNTIFS(tbl_Finance[Job Number],C277&amp;"",tbl_Finance[Cost Centre],"PRODUCTION")&gt;0,"PRODUCTION ","")&amp;IF(COUNTIFS(tbl_Finance[Job Number],C277&amp;"",tbl_Finance[Cost Centre],"VIDEO")&gt;0,"VIDEO ","")&amp;IF(COUNTIFS(tbl_Finance[Job Number],C277&amp;"",tbl_Finance[Cost Centre],"INTEGRATION")&gt;0,"INTEGRATION ","")&amp;IF(COUNTIFS(tbl_Finance[Job Number],C277&amp;"",tbl_Finance[Cost Centre],"CONSULTING")&gt;0,"CONSULTING ","")&amp;IF(COUNTIFS(tbl_Finance[Job Number],C277&amp;"",tbl_Finance[Cost Centre],"CTS")&gt;0,"CTS ",""))," ",", ")))</f>
        <v/>
      </c>
      <c r="L277" s="24" t="n"/>
      <c r="M277" s="25">
        <f>IF(L277="","",HYPERLINK(IF(LEFT(L277,4)="http",L277,set_QwilrBase&amp;L277),"Open quote"))</f>
        <v/>
      </c>
      <c r="N277" s="26" t="n"/>
      <c r="O277" s="26" t="n"/>
      <c r="P277" s="26" t="n"/>
      <c r="Q277" s="25">
        <f>IF(C277="","",IF(N(N277)+N(O277)+N(P277)=0,"Not split",IF(ROUND(N(N277)+N(O277)+N(P277),2)=ROUND(H277,2),"OK","MISMATCH")))</f>
        <v/>
      </c>
      <c r="R277" s="26" t="n"/>
      <c r="S277" s="26" t="n"/>
      <c r="T277" s="26" t="n"/>
      <c r="U277" s="27">
        <f>IF(C277="","",N(R277)+N(S277)+N(T277))</f>
        <v/>
      </c>
      <c r="V277" s="27">
        <f>IF(C277="","",H277-U277)</f>
        <v/>
      </c>
      <c r="W277" s="29">
        <f>IFERROR(V277/H277,"")</f>
        <v/>
      </c>
      <c r="X277" s="24" t="n"/>
    </row>
    <row r="278" ht="15" customHeight="1">
      <c r="A278" s="68">
        <f>IF(C278="","",IFERROR(IF(SUMPRODUCT(MAX((tbl_Finance[Job Number]=C278&amp;"")*(tbl_Finance[Xero Invoice No]&lt;&gt;"")*tbl_Finance[Date]))=0,"",SUMPRODUCT(MAX((tbl_Finance[Job Number]=C278&amp;"")*(tbl_Finance[Xero Invoice No]&lt;&gt;"")*tbl_Finance[Date]))),""))</f>
        <v/>
      </c>
      <c r="B278" s="25">
        <f>IF(C278="","",IF(COUNTIFS(tbl_Finance[Job Number],C278&amp;"",tbl_Finance[Xero Invoice No],"&lt;&gt;")=0,"",IFERROR(IF(COUNTIFS(tbl_Finance[Job Number],C278&amp;"",tbl_Finance[Xero Invoice No],LOOKUP(2,1/((tbl_Finance[Job Number]=C278&amp;"")*(tbl_Finance[Xero Invoice No]&lt;&gt;"")),tbl_Finance[Xero Invoice No]))=COUNTIFS(tbl_Finance[Job Number],C278&amp;"",tbl_Finance[Xero Invoice No],"&lt;&gt;"),LOOKUP(2,1/((tbl_Finance[Job Number]=C278&amp;"")*(tbl_Finance[Xero Invoice No]&lt;&gt;"")),tbl_Finance[Xero Invoice No]),LOOKUP(2,1/((tbl_Finance[Job Number]=C278&amp;"")*(tbl_Finance[Xero Invoice No]&lt;&gt;"")),tbl_Finance[Xero Invoice No])&amp;" +more"),"")))</f>
        <v/>
      </c>
      <c r="C278" s="24" t="n"/>
      <c r="D278" s="25">
        <f>IF(C278="","",IF(COUNTIF(lst_Jobs,C278&amp;"")&gt;0,"OK","CHECK"))</f>
        <v/>
      </c>
      <c r="E278" s="25">
        <f>IF(C278="","",IFERROR(INDEX(lst_JobName,MATCH(C278&amp;"",lst_Jobs,0)),""))</f>
        <v/>
      </c>
      <c r="F278" s="25">
        <f>IF(C278="","",IFERROR(INDEX(tbl_Finance[Client],MATCH(C278&amp;"",tbl_Finance[Job Number],0)),""))</f>
        <v/>
      </c>
      <c r="G278" s="28">
        <f>IF(C278="","",COUNTIFS(tbl_Finance[Job Number],C278&amp;"",tbl_Finance[Ex GST],"&lt;&gt;"))</f>
        <v/>
      </c>
      <c r="H278" s="27">
        <f>IF(C278="","",SUMIFS(tbl_Finance[Ex GST],tbl_Finance[Job Number],C278&amp;""))</f>
        <v/>
      </c>
      <c r="I278" s="27">
        <f>IF(C278="","",SUMIFS(tbl_Finance[Ex GST],tbl_Finance[Job Number],C278&amp;"",tbl_Finance[Xero Invoice No],"&lt;&gt;"))</f>
        <v/>
      </c>
      <c r="J278" s="27">
        <f>IF(C278="","",H278-I278)</f>
        <v/>
      </c>
      <c r="K278" s="25">
        <f>IF(C278="","",IF(G278=0,"not invoiced yet",SUBSTITUTE(TRIM(IF(COUNTIFS(tbl_Finance[Job Number],C278&amp;"",tbl_Finance[Cost Centre],"ONSITE")&gt;0,"ONSITE ","")&amp;IF(COUNTIFS(tbl_Finance[Job Number],C278&amp;"",tbl_Finance[Cost Centre],"PRODUCTION")&gt;0,"PRODUCTION ","")&amp;IF(COUNTIFS(tbl_Finance[Job Number],C278&amp;"",tbl_Finance[Cost Centre],"VIDEO")&gt;0,"VIDEO ","")&amp;IF(COUNTIFS(tbl_Finance[Job Number],C278&amp;"",tbl_Finance[Cost Centre],"INTEGRATION")&gt;0,"INTEGRATION ","")&amp;IF(COUNTIFS(tbl_Finance[Job Number],C278&amp;"",tbl_Finance[Cost Centre],"CONSULTING")&gt;0,"CONSULTING ","")&amp;IF(COUNTIFS(tbl_Finance[Job Number],C278&amp;"",tbl_Finance[Cost Centre],"CTS")&gt;0,"CTS ",""))," ",", ")))</f>
        <v/>
      </c>
      <c r="L278" s="24" t="n"/>
      <c r="M278" s="25">
        <f>IF(L278="","",HYPERLINK(IF(LEFT(L278,4)="http",L278,set_QwilrBase&amp;L278),"Open quote"))</f>
        <v/>
      </c>
      <c r="N278" s="26" t="n"/>
      <c r="O278" s="26" t="n"/>
      <c r="P278" s="26" t="n"/>
      <c r="Q278" s="25">
        <f>IF(C278="","",IF(N(N278)+N(O278)+N(P278)=0,"Not split",IF(ROUND(N(N278)+N(O278)+N(P278),2)=ROUND(H278,2),"OK","MISMATCH")))</f>
        <v/>
      </c>
      <c r="R278" s="26" t="n"/>
      <c r="S278" s="26" t="n"/>
      <c r="T278" s="26" t="n"/>
      <c r="U278" s="27">
        <f>IF(C278="","",N(R278)+N(S278)+N(T278))</f>
        <v/>
      </c>
      <c r="V278" s="27">
        <f>IF(C278="","",H278-U278)</f>
        <v/>
      </c>
      <c r="W278" s="29">
        <f>IFERROR(V278/H278,"")</f>
        <v/>
      </c>
      <c r="X278" s="24" t="n"/>
    </row>
    <row r="279" ht="15" customHeight="1">
      <c r="A279" s="68">
        <f>IF(C279="","",IFERROR(IF(SUMPRODUCT(MAX((tbl_Finance[Job Number]=C279&amp;"")*(tbl_Finance[Xero Invoice No]&lt;&gt;"")*tbl_Finance[Date]))=0,"",SUMPRODUCT(MAX((tbl_Finance[Job Number]=C279&amp;"")*(tbl_Finance[Xero Invoice No]&lt;&gt;"")*tbl_Finance[Date]))),""))</f>
        <v/>
      </c>
      <c r="B279" s="25">
        <f>IF(C279="","",IF(COUNTIFS(tbl_Finance[Job Number],C279&amp;"",tbl_Finance[Xero Invoice No],"&lt;&gt;")=0,"",IFERROR(IF(COUNTIFS(tbl_Finance[Job Number],C279&amp;"",tbl_Finance[Xero Invoice No],LOOKUP(2,1/((tbl_Finance[Job Number]=C279&amp;"")*(tbl_Finance[Xero Invoice No]&lt;&gt;"")),tbl_Finance[Xero Invoice No]))=COUNTIFS(tbl_Finance[Job Number],C279&amp;"",tbl_Finance[Xero Invoice No],"&lt;&gt;"),LOOKUP(2,1/((tbl_Finance[Job Number]=C279&amp;"")*(tbl_Finance[Xero Invoice No]&lt;&gt;"")),tbl_Finance[Xero Invoice No]),LOOKUP(2,1/((tbl_Finance[Job Number]=C279&amp;"")*(tbl_Finance[Xero Invoice No]&lt;&gt;"")),tbl_Finance[Xero Invoice No])&amp;" +more"),"")))</f>
        <v/>
      </c>
      <c r="C279" s="24" t="n"/>
      <c r="D279" s="25">
        <f>IF(C279="","",IF(COUNTIF(lst_Jobs,C279&amp;"")&gt;0,"OK","CHECK"))</f>
        <v/>
      </c>
      <c r="E279" s="25">
        <f>IF(C279="","",IFERROR(INDEX(lst_JobName,MATCH(C279&amp;"",lst_Jobs,0)),""))</f>
        <v/>
      </c>
      <c r="F279" s="25">
        <f>IF(C279="","",IFERROR(INDEX(tbl_Finance[Client],MATCH(C279&amp;"",tbl_Finance[Job Number],0)),""))</f>
        <v/>
      </c>
      <c r="G279" s="28">
        <f>IF(C279="","",COUNTIFS(tbl_Finance[Job Number],C279&amp;"",tbl_Finance[Ex GST],"&lt;&gt;"))</f>
        <v/>
      </c>
      <c r="H279" s="27">
        <f>IF(C279="","",SUMIFS(tbl_Finance[Ex GST],tbl_Finance[Job Number],C279&amp;""))</f>
        <v/>
      </c>
      <c r="I279" s="27">
        <f>IF(C279="","",SUMIFS(tbl_Finance[Ex GST],tbl_Finance[Job Number],C279&amp;"",tbl_Finance[Xero Invoice No],"&lt;&gt;"))</f>
        <v/>
      </c>
      <c r="J279" s="27">
        <f>IF(C279="","",H279-I279)</f>
        <v/>
      </c>
      <c r="K279" s="25">
        <f>IF(C279="","",IF(G279=0,"not invoiced yet",SUBSTITUTE(TRIM(IF(COUNTIFS(tbl_Finance[Job Number],C279&amp;"",tbl_Finance[Cost Centre],"ONSITE")&gt;0,"ONSITE ","")&amp;IF(COUNTIFS(tbl_Finance[Job Number],C279&amp;"",tbl_Finance[Cost Centre],"PRODUCTION")&gt;0,"PRODUCTION ","")&amp;IF(COUNTIFS(tbl_Finance[Job Number],C279&amp;"",tbl_Finance[Cost Centre],"VIDEO")&gt;0,"VIDEO ","")&amp;IF(COUNTIFS(tbl_Finance[Job Number],C279&amp;"",tbl_Finance[Cost Centre],"INTEGRATION")&gt;0,"INTEGRATION ","")&amp;IF(COUNTIFS(tbl_Finance[Job Number],C279&amp;"",tbl_Finance[Cost Centre],"CONSULTING")&gt;0,"CONSULTING ","")&amp;IF(COUNTIFS(tbl_Finance[Job Number],C279&amp;"",tbl_Finance[Cost Centre],"CTS")&gt;0,"CTS ",""))," ",", ")))</f>
        <v/>
      </c>
      <c r="L279" s="24" t="n"/>
      <c r="M279" s="25">
        <f>IF(L279="","",HYPERLINK(IF(LEFT(L279,4)="http",L279,set_QwilrBase&amp;L279),"Open quote"))</f>
        <v/>
      </c>
      <c r="N279" s="26" t="n"/>
      <c r="O279" s="26" t="n"/>
      <c r="P279" s="26" t="n"/>
      <c r="Q279" s="25">
        <f>IF(C279="","",IF(N(N279)+N(O279)+N(P279)=0,"Not split",IF(ROUND(N(N279)+N(O279)+N(P279),2)=ROUND(H279,2),"OK","MISMATCH")))</f>
        <v/>
      </c>
      <c r="R279" s="26" t="n"/>
      <c r="S279" s="26" t="n"/>
      <c r="T279" s="26" t="n"/>
      <c r="U279" s="27">
        <f>IF(C279="","",N(R279)+N(S279)+N(T279))</f>
        <v/>
      </c>
      <c r="V279" s="27">
        <f>IF(C279="","",H279-U279)</f>
        <v/>
      </c>
      <c r="W279" s="29">
        <f>IFERROR(V279/H279,"")</f>
        <v/>
      </c>
      <c r="X279" s="24" t="n"/>
    </row>
    <row r="280" ht="15" customHeight="1">
      <c r="A280" s="68">
        <f>IF(C280="","",IFERROR(IF(SUMPRODUCT(MAX((tbl_Finance[Job Number]=C280&amp;"")*(tbl_Finance[Xero Invoice No]&lt;&gt;"")*tbl_Finance[Date]))=0,"",SUMPRODUCT(MAX((tbl_Finance[Job Number]=C280&amp;"")*(tbl_Finance[Xero Invoice No]&lt;&gt;"")*tbl_Finance[Date]))),""))</f>
        <v/>
      </c>
      <c r="B280" s="25">
        <f>IF(C280="","",IF(COUNTIFS(tbl_Finance[Job Number],C280&amp;"",tbl_Finance[Xero Invoice No],"&lt;&gt;")=0,"",IFERROR(IF(COUNTIFS(tbl_Finance[Job Number],C280&amp;"",tbl_Finance[Xero Invoice No],LOOKUP(2,1/((tbl_Finance[Job Number]=C280&amp;"")*(tbl_Finance[Xero Invoice No]&lt;&gt;"")),tbl_Finance[Xero Invoice No]))=COUNTIFS(tbl_Finance[Job Number],C280&amp;"",tbl_Finance[Xero Invoice No],"&lt;&gt;"),LOOKUP(2,1/((tbl_Finance[Job Number]=C280&amp;"")*(tbl_Finance[Xero Invoice No]&lt;&gt;"")),tbl_Finance[Xero Invoice No]),LOOKUP(2,1/((tbl_Finance[Job Number]=C280&amp;"")*(tbl_Finance[Xero Invoice No]&lt;&gt;"")),tbl_Finance[Xero Invoice No])&amp;" +more"),"")))</f>
        <v/>
      </c>
      <c r="C280" s="24" t="n"/>
      <c r="D280" s="25">
        <f>IF(C280="","",IF(COUNTIF(lst_Jobs,C280&amp;"")&gt;0,"OK","CHECK"))</f>
        <v/>
      </c>
      <c r="E280" s="25">
        <f>IF(C280="","",IFERROR(INDEX(lst_JobName,MATCH(C280&amp;"",lst_Jobs,0)),""))</f>
        <v/>
      </c>
      <c r="F280" s="25">
        <f>IF(C280="","",IFERROR(INDEX(tbl_Finance[Client],MATCH(C280&amp;"",tbl_Finance[Job Number],0)),""))</f>
        <v/>
      </c>
      <c r="G280" s="28">
        <f>IF(C280="","",COUNTIFS(tbl_Finance[Job Number],C280&amp;"",tbl_Finance[Ex GST],"&lt;&gt;"))</f>
        <v/>
      </c>
      <c r="H280" s="27">
        <f>IF(C280="","",SUMIFS(tbl_Finance[Ex GST],tbl_Finance[Job Number],C280&amp;""))</f>
        <v/>
      </c>
      <c r="I280" s="27">
        <f>IF(C280="","",SUMIFS(tbl_Finance[Ex GST],tbl_Finance[Job Number],C280&amp;"",tbl_Finance[Xero Invoice No],"&lt;&gt;"))</f>
        <v/>
      </c>
      <c r="J280" s="27">
        <f>IF(C280="","",H280-I280)</f>
        <v/>
      </c>
      <c r="K280" s="25">
        <f>IF(C280="","",IF(G280=0,"not invoiced yet",SUBSTITUTE(TRIM(IF(COUNTIFS(tbl_Finance[Job Number],C280&amp;"",tbl_Finance[Cost Centre],"ONSITE")&gt;0,"ONSITE ","")&amp;IF(COUNTIFS(tbl_Finance[Job Number],C280&amp;"",tbl_Finance[Cost Centre],"PRODUCTION")&gt;0,"PRODUCTION ","")&amp;IF(COUNTIFS(tbl_Finance[Job Number],C280&amp;"",tbl_Finance[Cost Centre],"VIDEO")&gt;0,"VIDEO ","")&amp;IF(COUNTIFS(tbl_Finance[Job Number],C280&amp;"",tbl_Finance[Cost Centre],"INTEGRATION")&gt;0,"INTEGRATION ","")&amp;IF(COUNTIFS(tbl_Finance[Job Number],C280&amp;"",tbl_Finance[Cost Centre],"CONSULTING")&gt;0,"CONSULTING ","")&amp;IF(COUNTIFS(tbl_Finance[Job Number],C280&amp;"",tbl_Finance[Cost Centre],"CTS")&gt;0,"CTS ",""))," ",", ")))</f>
        <v/>
      </c>
      <c r="L280" s="24" t="n"/>
      <c r="M280" s="25">
        <f>IF(L280="","",HYPERLINK(IF(LEFT(L280,4)="http",L280,set_QwilrBase&amp;L280),"Open quote"))</f>
        <v/>
      </c>
      <c r="N280" s="26" t="n"/>
      <c r="O280" s="26" t="n"/>
      <c r="P280" s="26" t="n"/>
      <c r="Q280" s="25">
        <f>IF(C280="","",IF(N(N280)+N(O280)+N(P280)=0,"Not split",IF(ROUND(N(N280)+N(O280)+N(P280),2)=ROUND(H280,2),"OK","MISMATCH")))</f>
        <v/>
      </c>
      <c r="R280" s="26" t="n"/>
      <c r="S280" s="26" t="n"/>
      <c r="T280" s="26" t="n"/>
      <c r="U280" s="27">
        <f>IF(C280="","",N(R280)+N(S280)+N(T280))</f>
        <v/>
      </c>
      <c r="V280" s="27">
        <f>IF(C280="","",H280-U280)</f>
        <v/>
      </c>
      <c r="W280" s="29">
        <f>IFERROR(V280/H280,"")</f>
        <v/>
      </c>
      <c r="X280" s="24" t="n"/>
    </row>
    <row r="281" ht="15" customHeight="1">
      <c r="A281" s="68">
        <f>IF(C281="","",IFERROR(IF(SUMPRODUCT(MAX((tbl_Finance[Job Number]=C281&amp;"")*(tbl_Finance[Xero Invoice No]&lt;&gt;"")*tbl_Finance[Date]))=0,"",SUMPRODUCT(MAX((tbl_Finance[Job Number]=C281&amp;"")*(tbl_Finance[Xero Invoice No]&lt;&gt;"")*tbl_Finance[Date]))),""))</f>
        <v/>
      </c>
      <c r="B281" s="25">
        <f>IF(C281="","",IF(COUNTIFS(tbl_Finance[Job Number],C281&amp;"",tbl_Finance[Xero Invoice No],"&lt;&gt;")=0,"",IFERROR(IF(COUNTIFS(tbl_Finance[Job Number],C281&amp;"",tbl_Finance[Xero Invoice No],LOOKUP(2,1/((tbl_Finance[Job Number]=C281&amp;"")*(tbl_Finance[Xero Invoice No]&lt;&gt;"")),tbl_Finance[Xero Invoice No]))=COUNTIFS(tbl_Finance[Job Number],C281&amp;"",tbl_Finance[Xero Invoice No],"&lt;&gt;"),LOOKUP(2,1/((tbl_Finance[Job Number]=C281&amp;"")*(tbl_Finance[Xero Invoice No]&lt;&gt;"")),tbl_Finance[Xero Invoice No]),LOOKUP(2,1/((tbl_Finance[Job Number]=C281&amp;"")*(tbl_Finance[Xero Invoice No]&lt;&gt;"")),tbl_Finance[Xero Invoice No])&amp;" +more"),"")))</f>
        <v/>
      </c>
      <c r="C281" s="24" t="n"/>
      <c r="D281" s="25">
        <f>IF(C281="","",IF(COUNTIF(lst_Jobs,C281&amp;"")&gt;0,"OK","CHECK"))</f>
        <v/>
      </c>
      <c r="E281" s="25">
        <f>IF(C281="","",IFERROR(INDEX(lst_JobName,MATCH(C281&amp;"",lst_Jobs,0)),""))</f>
        <v/>
      </c>
      <c r="F281" s="25">
        <f>IF(C281="","",IFERROR(INDEX(tbl_Finance[Client],MATCH(C281&amp;"",tbl_Finance[Job Number],0)),""))</f>
        <v/>
      </c>
      <c r="G281" s="28">
        <f>IF(C281="","",COUNTIFS(tbl_Finance[Job Number],C281&amp;"",tbl_Finance[Ex GST],"&lt;&gt;"))</f>
        <v/>
      </c>
      <c r="H281" s="27">
        <f>IF(C281="","",SUMIFS(tbl_Finance[Ex GST],tbl_Finance[Job Number],C281&amp;""))</f>
        <v/>
      </c>
      <c r="I281" s="27">
        <f>IF(C281="","",SUMIFS(tbl_Finance[Ex GST],tbl_Finance[Job Number],C281&amp;"",tbl_Finance[Xero Invoice No],"&lt;&gt;"))</f>
        <v/>
      </c>
      <c r="J281" s="27">
        <f>IF(C281="","",H281-I281)</f>
        <v/>
      </c>
      <c r="K281" s="25">
        <f>IF(C281="","",IF(G281=0,"not invoiced yet",SUBSTITUTE(TRIM(IF(COUNTIFS(tbl_Finance[Job Number],C281&amp;"",tbl_Finance[Cost Centre],"ONSITE")&gt;0,"ONSITE ","")&amp;IF(COUNTIFS(tbl_Finance[Job Number],C281&amp;"",tbl_Finance[Cost Centre],"PRODUCTION")&gt;0,"PRODUCTION ","")&amp;IF(COUNTIFS(tbl_Finance[Job Number],C281&amp;"",tbl_Finance[Cost Centre],"VIDEO")&gt;0,"VIDEO ","")&amp;IF(COUNTIFS(tbl_Finance[Job Number],C281&amp;"",tbl_Finance[Cost Centre],"INTEGRATION")&gt;0,"INTEGRATION ","")&amp;IF(COUNTIFS(tbl_Finance[Job Number],C281&amp;"",tbl_Finance[Cost Centre],"CONSULTING")&gt;0,"CONSULTING ","")&amp;IF(COUNTIFS(tbl_Finance[Job Number],C281&amp;"",tbl_Finance[Cost Centre],"CTS")&gt;0,"CTS ",""))," ",", ")))</f>
        <v/>
      </c>
      <c r="L281" s="24" t="n"/>
      <c r="M281" s="25">
        <f>IF(L281="","",HYPERLINK(IF(LEFT(L281,4)="http",L281,set_QwilrBase&amp;L281),"Open quote"))</f>
        <v/>
      </c>
      <c r="N281" s="26" t="n"/>
      <c r="O281" s="26" t="n"/>
      <c r="P281" s="26" t="n"/>
      <c r="Q281" s="25">
        <f>IF(C281="","",IF(N(N281)+N(O281)+N(P281)=0,"Not split",IF(ROUND(N(N281)+N(O281)+N(P281),2)=ROUND(H281,2),"OK","MISMATCH")))</f>
        <v/>
      </c>
      <c r="R281" s="26" t="n"/>
      <c r="S281" s="26" t="n"/>
      <c r="T281" s="26" t="n"/>
      <c r="U281" s="27">
        <f>IF(C281="","",N(R281)+N(S281)+N(T281))</f>
        <v/>
      </c>
      <c r="V281" s="27">
        <f>IF(C281="","",H281-U281)</f>
        <v/>
      </c>
      <c r="W281" s="29">
        <f>IFERROR(V281/H281,"")</f>
        <v/>
      </c>
      <c r="X281" s="24" t="n"/>
    </row>
    <row r="282" ht="15" customHeight="1">
      <c r="A282" s="68">
        <f>IF(C282="","",IFERROR(IF(SUMPRODUCT(MAX((tbl_Finance[Job Number]=C282&amp;"")*(tbl_Finance[Xero Invoice No]&lt;&gt;"")*tbl_Finance[Date]))=0,"",SUMPRODUCT(MAX((tbl_Finance[Job Number]=C282&amp;"")*(tbl_Finance[Xero Invoice No]&lt;&gt;"")*tbl_Finance[Date]))),""))</f>
        <v/>
      </c>
      <c r="B282" s="25">
        <f>IF(C282="","",IF(COUNTIFS(tbl_Finance[Job Number],C282&amp;"",tbl_Finance[Xero Invoice No],"&lt;&gt;")=0,"",IFERROR(IF(COUNTIFS(tbl_Finance[Job Number],C282&amp;"",tbl_Finance[Xero Invoice No],LOOKUP(2,1/((tbl_Finance[Job Number]=C282&amp;"")*(tbl_Finance[Xero Invoice No]&lt;&gt;"")),tbl_Finance[Xero Invoice No]))=COUNTIFS(tbl_Finance[Job Number],C282&amp;"",tbl_Finance[Xero Invoice No],"&lt;&gt;"),LOOKUP(2,1/((tbl_Finance[Job Number]=C282&amp;"")*(tbl_Finance[Xero Invoice No]&lt;&gt;"")),tbl_Finance[Xero Invoice No]),LOOKUP(2,1/((tbl_Finance[Job Number]=C282&amp;"")*(tbl_Finance[Xero Invoice No]&lt;&gt;"")),tbl_Finance[Xero Invoice No])&amp;" +more"),"")))</f>
        <v/>
      </c>
      <c r="C282" s="24" t="n"/>
      <c r="D282" s="25">
        <f>IF(C282="","",IF(COUNTIF(lst_Jobs,C282&amp;"")&gt;0,"OK","CHECK"))</f>
        <v/>
      </c>
      <c r="E282" s="25">
        <f>IF(C282="","",IFERROR(INDEX(lst_JobName,MATCH(C282&amp;"",lst_Jobs,0)),""))</f>
        <v/>
      </c>
      <c r="F282" s="25">
        <f>IF(C282="","",IFERROR(INDEX(tbl_Finance[Client],MATCH(C282&amp;"",tbl_Finance[Job Number],0)),""))</f>
        <v/>
      </c>
      <c r="G282" s="28">
        <f>IF(C282="","",COUNTIFS(tbl_Finance[Job Number],C282&amp;"",tbl_Finance[Ex GST],"&lt;&gt;"))</f>
        <v/>
      </c>
      <c r="H282" s="27">
        <f>IF(C282="","",SUMIFS(tbl_Finance[Ex GST],tbl_Finance[Job Number],C282&amp;""))</f>
        <v/>
      </c>
      <c r="I282" s="27">
        <f>IF(C282="","",SUMIFS(tbl_Finance[Ex GST],tbl_Finance[Job Number],C282&amp;"",tbl_Finance[Xero Invoice No],"&lt;&gt;"))</f>
        <v/>
      </c>
      <c r="J282" s="27">
        <f>IF(C282="","",H282-I282)</f>
        <v/>
      </c>
      <c r="K282" s="25">
        <f>IF(C282="","",IF(G282=0,"not invoiced yet",SUBSTITUTE(TRIM(IF(COUNTIFS(tbl_Finance[Job Number],C282&amp;"",tbl_Finance[Cost Centre],"ONSITE")&gt;0,"ONSITE ","")&amp;IF(COUNTIFS(tbl_Finance[Job Number],C282&amp;"",tbl_Finance[Cost Centre],"PRODUCTION")&gt;0,"PRODUCTION ","")&amp;IF(COUNTIFS(tbl_Finance[Job Number],C282&amp;"",tbl_Finance[Cost Centre],"VIDEO")&gt;0,"VIDEO ","")&amp;IF(COUNTIFS(tbl_Finance[Job Number],C282&amp;"",tbl_Finance[Cost Centre],"INTEGRATION")&gt;0,"INTEGRATION ","")&amp;IF(COUNTIFS(tbl_Finance[Job Number],C282&amp;"",tbl_Finance[Cost Centre],"CONSULTING")&gt;0,"CONSULTING ","")&amp;IF(COUNTIFS(tbl_Finance[Job Number],C282&amp;"",tbl_Finance[Cost Centre],"CTS")&gt;0,"CTS ",""))," ",", ")))</f>
        <v/>
      </c>
      <c r="L282" s="24" t="n"/>
      <c r="M282" s="25">
        <f>IF(L282="","",HYPERLINK(IF(LEFT(L282,4)="http",L282,set_QwilrBase&amp;L282),"Open quote"))</f>
        <v/>
      </c>
      <c r="N282" s="26" t="n"/>
      <c r="O282" s="26" t="n"/>
      <c r="P282" s="26" t="n"/>
      <c r="Q282" s="25">
        <f>IF(C282="","",IF(N(N282)+N(O282)+N(P282)=0,"Not split",IF(ROUND(N(N282)+N(O282)+N(P282),2)=ROUND(H282,2),"OK","MISMATCH")))</f>
        <v/>
      </c>
      <c r="R282" s="26" t="n"/>
      <c r="S282" s="26" t="n"/>
      <c r="T282" s="26" t="n"/>
      <c r="U282" s="27">
        <f>IF(C282="","",N(R282)+N(S282)+N(T282))</f>
        <v/>
      </c>
      <c r="V282" s="27">
        <f>IF(C282="","",H282-U282)</f>
        <v/>
      </c>
      <c r="W282" s="29">
        <f>IFERROR(V282/H282,"")</f>
        <v/>
      </c>
      <c r="X282" s="24" t="n"/>
    </row>
    <row r="283" ht="15" customHeight="1">
      <c r="A283" s="68">
        <f>IF(C283="","",IFERROR(IF(SUMPRODUCT(MAX((tbl_Finance[Job Number]=C283&amp;"")*(tbl_Finance[Xero Invoice No]&lt;&gt;"")*tbl_Finance[Date]))=0,"",SUMPRODUCT(MAX((tbl_Finance[Job Number]=C283&amp;"")*(tbl_Finance[Xero Invoice No]&lt;&gt;"")*tbl_Finance[Date]))),""))</f>
        <v/>
      </c>
      <c r="B283" s="25">
        <f>IF(C283="","",IF(COUNTIFS(tbl_Finance[Job Number],C283&amp;"",tbl_Finance[Xero Invoice No],"&lt;&gt;")=0,"",IFERROR(IF(COUNTIFS(tbl_Finance[Job Number],C283&amp;"",tbl_Finance[Xero Invoice No],LOOKUP(2,1/((tbl_Finance[Job Number]=C283&amp;"")*(tbl_Finance[Xero Invoice No]&lt;&gt;"")),tbl_Finance[Xero Invoice No]))=COUNTIFS(tbl_Finance[Job Number],C283&amp;"",tbl_Finance[Xero Invoice No],"&lt;&gt;"),LOOKUP(2,1/((tbl_Finance[Job Number]=C283&amp;"")*(tbl_Finance[Xero Invoice No]&lt;&gt;"")),tbl_Finance[Xero Invoice No]),LOOKUP(2,1/((tbl_Finance[Job Number]=C283&amp;"")*(tbl_Finance[Xero Invoice No]&lt;&gt;"")),tbl_Finance[Xero Invoice No])&amp;" +more"),"")))</f>
        <v/>
      </c>
      <c r="C283" s="24" t="n"/>
      <c r="D283" s="25">
        <f>IF(C283="","",IF(COUNTIF(lst_Jobs,C283&amp;"")&gt;0,"OK","CHECK"))</f>
        <v/>
      </c>
      <c r="E283" s="25">
        <f>IF(C283="","",IFERROR(INDEX(lst_JobName,MATCH(C283&amp;"",lst_Jobs,0)),""))</f>
        <v/>
      </c>
      <c r="F283" s="25">
        <f>IF(C283="","",IFERROR(INDEX(tbl_Finance[Client],MATCH(C283&amp;"",tbl_Finance[Job Number],0)),""))</f>
        <v/>
      </c>
      <c r="G283" s="28">
        <f>IF(C283="","",COUNTIFS(tbl_Finance[Job Number],C283&amp;"",tbl_Finance[Ex GST],"&lt;&gt;"))</f>
        <v/>
      </c>
      <c r="H283" s="27">
        <f>IF(C283="","",SUMIFS(tbl_Finance[Ex GST],tbl_Finance[Job Number],C283&amp;""))</f>
        <v/>
      </c>
      <c r="I283" s="27">
        <f>IF(C283="","",SUMIFS(tbl_Finance[Ex GST],tbl_Finance[Job Number],C283&amp;"",tbl_Finance[Xero Invoice No],"&lt;&gt;"))</f>
        <v/>
      </c>
      <c r="J283" s="27">
        <f>IF(C283="","",H283-I283)</f>
        <v/>
      </c>
      <c r="K283" s="25">
        <f>IF(C283="","",IF(G283=0,"not invoiced yet",SUBSTITUTE(TRIM(IF(COUNTIFS(tbl_Finance[Job Number],C283&amp;"",tbl_Finance[Cost Centre],"ONSITE")&gt;0,"ONSITE ","")&amp;IF(COUNTIFS(tbl_Finance[Job Number],C283&amp;"",tbl_Finance[Cost Centre],"PRODUCTION")&gt;0,"PRODUCTION ","")&amp;IF(COUNTIFS(tbl_Finance[Job Number],C283&amp;"",tbl_Finance[Cost Centre],"VIDEO")&gt;0,"VIDEO ","")&amp;IF(COUNTIFS(tbl_Finance[Job Number],C283&amp;"",tbl_Finance[Cost Centre],"INTEGRATION")&gt;0,"INTEGRATION ","")&amp;IF(COUNTIFS(tbl_Finance[Job Number],C283&amp;"",tbl_Finance[Cost Centre],"CONSULTING")&gt;0,"CONSULTING ","")&amp;IF(COUNTIFS(tbl_Finance[Job Number],C283&amp;"",tbl_Finance[Cost Centre],"CTS")&gt;0,"CTS ",""))," ",", ")))</f>
        <v/>
      </c>
      <c r="L283" s="24" t="n"/>
      <c r="M283" s="25">
        <f>IF(L283="","",HYPERLINK(IF(LEFT(L283,4)="http",L283,set_QwilrBase&amp;L283),"Open quote"))</f>
        <v/>
      </c>
      <c r="N283" s="26" t="n"/>
      <c r="O283" s="26" t="n"/>
      <c r="P283" s="26" t="n"/>
      <c r="Q283" s="25">
        <f>IF(C283="","",IF(N(N283)+N(O283)+N(P283)=0,"Not split",IF(ROUND(N(N283)+N(O283)+N(P283),2)=ROUND(H283,2),"OK","MISMATCH")))</f>
        <v/>
      </c>
      <c r="R283" s="26" t="n"/>
      <c r="S283" s="26" t="n"/>
      <c r="T283" s="26" t="n"/>
      <c r="U283" s="27">
        <f>IF(C283="","",N(R283)+N(S283)+N(T283))</f>
        <v/>
      </c>
      <c r="V283" s="27">
        <f>IF(C283="","",H283-U283)</f>
        <v/>
      </c>
      <c r="W283" s="29">
        <f>IFERROR(V283/H283,"")</f>
        <v/>
      </c>
      <c r="X283" s="24" t="n"/>
    </row>
    <row r="284" ht="15" customHeight="1">
      <c r="A284" s="68">
        <f>IF(C284="","",IFERROR(IF(SUMPRODUCT(MAX((tbl_Finance[Job Number]=C284&amp;"")*(tbl_Finance[Xero Invoice No]&lt;&gt;"")*tbl_Finance[Date]))=0,"",SUMPRODUCT(MAX((tbl_Finance[Job Number]=C284&amp;"")*(tbl_Finance[Xero Invoice No]&lt;&gt;"")*tbl_Finance[Date]))),""))</f>
        <v/>
      </c>
      <c r="B284" s="25">
        <f>IF(C284="","",IF(COUNTIFS(tbl_Finance[Job Number],C284&amp;"",tbl_Finance[Xero Invoice No],"&lt;&gt;")=0,"",IFERROR(IF(COUNTIFS(tbl_Finance[Job Number],C284&amp;"",tbl_Finance[Xero Invoice No],LOOKUP(2,1/((tbl_Finance[Job Number]=C284&amp;"")*(tbl_Finance[Xero Invoice No]&lt;&gt;"")),tbl_Finance[Xero Invoice No]))=COUNTIFS(tbl_Finance[Job Number],C284&amp;"",tbl_Finance[Xero Invoice No],"&lt;&gt;"),LOOKUP(2,1/((tbl_Finance[Job Number]=C284&amp;"")*(tbl_Finance[Xero Invoice No]&lt;&gt;"")),tbl_Finance[Xero Invoice No]),LOOKUP(2,1/((tbl_Finance[Job Number]=C284&amp;"")*(tbl_Finance[Xero Invoice No]&lt;&gt;"")),tbl_Finance[Xero Invoice No])&amp;" +more"),"")))</f>
        <v/>
      </c>
      <c r="C284" s="24" t="n"/>
      <c r="D284" s="25">
        <f>IF(C284="","",IF(COUNTIF(lst_Jobs,C284&amp;"")&gt;0,"OK","CHECK"))</f>
        <v/>
      </c>
      <c r="E284" s="25">
        <f>IF(C284="","",IFERROR(INDEX(lst_JobName,MATCH(C284&amp;"",lst_Jobs,0)),""))</f>
        <v/>
      </c>
      <c r="F284" s="25">
        <f>IF(C284="","",IFERROR(INDEX(tbl_Finance[Client],MATCH(C284&amp;"",tbl_Finance[Job Number],0)),""))</f>
        <v/>
      </c>
      <c r="G284" s="28">
        <f>IF(C284="","",COUNTIFS(tbl_Finance[Job Number],C284&amp;"",tbl_Finance[Ex GST],"&lt;&gt;"))</f>
        <v/>
      </c>
      <c r="H284" s="27">
        <f>IF(C284="","",SUMIFS(tbl_Finance[Ex GST],tbl_Finance[Job Number],C284&amp;""))</f>
        <v/>
      </c>
      <c r="I284" s="27">
        <f>IF(C284="","",SUMIFS(tbl_Finance[Ex GST],tbl_Finance[Job Number],C284&amp;"",tbl_Finance[Xero Invoice No],"&lt;&gt;"))</f>
        <v/>
      </c>
      <c r="J284" s="27">
        <f>IF(C284="","",H284-I284)</f>
        <v/>
      </c>
      <c r="K284" s="25">
        <f>IF(C284="","",IF(G284=0,"not invoiced yet",SUBSTITUTE(TRIM(IF(COUNTIFS(tbl_Finance[Job Number],C284&amp;"",tbl_Finance[Cost Centre],"ONSITE")&gt;0,"ONSITE ","")&amp;IF(COUNTIFS(tbl_Finance[Job Number],C284&amp;"",tbl_Finance[Cost Centre],"PRODUCTION")&gt;0,"PRODUCTION ","")&amp;IF(COUNTIFS(tbl_Finance[Job Number],C284&amp;"",tbl_Finance[Cost Centre],"VIDEO")&gt;0,"VIDEO ","")&amp;IF(COUNTIFS(tbl_Finance[Job Number],C284&amp;"",tbl_Finance[Cost Centre],"INTEGRATION")&gt;0,"INTEGRATION ","")&amp;IF(COUNTIFS(tbl_Finance[Job Number],C284&amp;"",tbl_Finance[Cost Centre],"CONSULTING")&gt;0,"CONSULTING ","")&amp;IF(COUNTIFS(tbl_Finance[Job Number],C284&amp;"",tbl_Finance[Cost Centre],"CTS")&gt;0,"CTS ",""))," ",", ")))</f>
        <v/>
      </c>
      <c r="L284" s="24" t="n"/>
      <c r="M284" s="25">
        <f>IF(L284="","",HYPERLINK(IF(LEFT(L284,4)="http",L284,set_QwilrBase&amp;L284),"Open quote"))</f>
        <v/>
      </c>
      <c r="N284" s="26" t="n"/>
      <c r="O284" s="26" t="n"/>
      <c r="P284" s="26" t="n"/>
      <c r="Q284" s="25">
        <f>IF(C284="","",IF(N(N284)+N(O284)+N(P284)=0,"Not split",IF(ROUND(N(N284)+N(O284)+N(P284),2)=ROUND(H284,2),"OK","MISMATCH")))</f>
        <v/>
      </c>
      <c r="R284" s="26" t="n"/>
      <c r="S284" s="26" t="n"/>
      <c r="T284" s="26" t="n"/>
      <c r="U284" s="27">
        <f>IF(C284="","",N(R284)+N(S284)+N(T284))</f>
        <v/>
      </c>
      <c r="V284" s="27">
        <f>IF(C284="","",H284-U284)</f>
        <v/>
      </c>
      <c r="W284" s="29">
        <f>IFERROR(V284/H284,"")</f>
        <v/>
      </c>
      <c r="X284" s="24" t="n"/>
    </row>
    <row r="285" ht="15" customHeight="1">
      <c r="A285" s="68">
        <f>IF(C285="","",IFERROR(IF(SUMPRODUCT(MAX((tbl_Finance[Job Number]=C285&amp;"")*(tbl_Finance[Xero Invoice No]&lt;&gt;"")*tbl_Finance[Date]))=0,"",SUMPRODUCT(MAX((tbl_Finance[Job Number]=C285&amp;"")*(tbl_Finance[Xero Invoice No]&lt;&gt;"")*tbl_Finance[Date]))),""))</f>
        <v/>
      </c>
      <c r="B285" s="25">
        <f>IF(C285="","",IF(COUNTIFS(tbl_Finance[Job Number],C285&amp;"",tbl_Finance[Xero Invoice No],"&lt;&gt;")=0,"",IFERROR(IF(COUNTIFS(tbl_Finance[Job Number],C285&amp;"",tbl_Finance[Xero Invoice No],LOOKUP(2,1/((tbl_Finance[Job Number]=C285&amp;"")*(tbl_Finance[Xero Invoice No]&lt;&gt;"")),tbl_Finance[Xero Invoice No]))=COUNTIFS(tbl_Finance[Job Number],C285&amp;"",tbl_Finance[Xero Invoice No],"&lt;&gt;"),LOOKUP(2,1/((tbl_Finance[Job Number]=C285&amp;"")*(tbl_Finance[Xero Invoice No]&lt;&gt;"")),tbl_Finance[Xero Invoice No]),LOOKUP(2,1/((tbl_Finance[Job Number]=C285&amp;"")*(tbl_Finance[Xero Invoice No]&lt;&gt;"")),tbl_Finance[Xero Invoice No])&amp;" +more"),"")))</f>
        <v/>
      </c>
      <c r="C285" s="24" t="n"/>
      <c r="D285" s="25">
        <f>IF(C285="","",IF(COUNTIF(lst_Jobs,C285&amp;"")&gt;0,"OK","CHECK"))</f>
        <v/>
      </c>
      <c r="E285" s="25">
        <f>IF(C285="","",IFERROR(INDEX(lst_JobName,MATCH(C285&amp;"",lst_Jobs,0)),""))</f>
        <v/>
      </c>
      <c r="F285" s="25">
        <f>IF(C285="","",IFERROR(INDEX(tbl_Finance[Client],MATCH(C285&amp;"",tbl_Finance[Job Number],0)),""))</f>
        <v/>
      </c>
      <c r="G285" s="28">
        <f>IF(C285="","",COUNTIFS(tbl_Finance[Job Number],C285&amp;"",tbl_Finance[Ex GST],"&lt;&gt;"))</f>
        <v/>
      </c>
      <c r="H285" s="27">
        <f>IF(C285="","",SUMIFS(tbl_Finance[Ex GST],tbl_Finance[Job Number],C285&amp;""))</f>
        <v/>
      </c>
      <c r="I285" s="27">
        <f>IF(C285="","",SUMIFS(tbl_Finance[Ex GST],tbl_Finance[Job Number],C285&amp;"",tbl_Finance[Xero Invoice No],"&lt;&gt;"))</f>
        <v/>
      </c>
      <c r="J285" s="27">
        <f>IF(C285="","",H285-I285)</f>
        <v/>
      </c>
      <c r="K285" s="25">
        <f>IF(C285="","",IF(G285=0,"not invoiced yet",SUBSTITUTE(TRIM(IF(COUNTIFS(tbl_Finance[Job Number],C285&amp;"",tbl_Finance[Cost Centre],"ONSITE")&gt;0,"ONSITE ","")&amp;IF(COUNTIFS(tbl_Finance[Job Number],C285&amp;"",tbl_Finance[Cost Centre],"PRODUCTION")&gt;0,"PRODUCTION ","")&amp;IF(COUNTIFS(tbl_Finance[Job Number],C285&amp;"",tbl_Finance[Cost Centre],"VIDEO")&gt;0,"VIDEO ","")&amp;IF(COUNTIFS(tbl_Finance[Job Number],C285&amp;"",tbl_Finance[Cost Centre],"INTEGRATION")&gt;0,"INTEGRATION ","")&amp;IF(COUNTIFS(tbl_Finance[Job Number],C285&amp;"",tbl_Finance[Cost Centre],"CONSULTING")&gt;0,"CONSULTING ","")&amp;IF(COUNTIFS(tbl_Finance[Job Number],C285&amp;"",tbl_Finance[Cost Centre],"CTS")&gt;0,"CTS ",""))," ",", ")))</f>
        <v/>
      </c>
      <c r="L285" s="24" t="n"/>
      <c r="M285" s="25">
        <f>IF(L285="","",HYPERLINK(IF(LEFT(L285,4)="http",L285,set_QwilrBase&amp;L285),"Open quote"))</f>
        <v/>
      </c>
      <c r="N285" s="26" t="n"/>
      <c r="O285" s="26" t="n"/>
      <c r="P285" s="26" t="n"/>
      <c r="Q285" s="25">
        <f>IF(C285="","",IF(N(N285)+N(O285)+N(P285)=0,"Not split",IF(ROUND(N(N285)+N(O285)+N(P285),2)=ROUND(H285,2),"OK","MISMATCH")))</f>
        <v/>
      </c>
      <c r="R285" s="26" t="n"/>
      <c r="S285" s="26" t="n"/>
      <c r="T285" s="26" t="n"/>
      <c r="U285" s="27">
        <f>IF(C285="","",N(R285)+N(S285)+N(T285))</f>
        <v/>
      </c>
      <c r="V285" s="27">
        <f>IF(C285="","",H285-U285)</f>
        <v/>
      </c>
      <c r="W285" s="29">
        <f>IFERROR(V285/H285,"")</f>
        <v/>
      </c>
      <c r="X285" s="24" t="n"/>
    </row>
    <row r="286" ht="15" customHeight="1">
      <c r="A286" s="68">
        <f>IF(C286="","",IFERROR(IF(SUMPRODUCT(MAX((tbl_Finance[Job Number]=C286&amp;"")*(tbl_Finance[Xero Invoice No]&lt;&gt;"")*tbl_Finance[Date]))=0,"",SUMPRODUCT(MAX((tbl_Finance[Job Number]=C286&amp;"")*(tbl_Finance[Xero Invoice No]&lt;&gt;"")*tbl_Finance[Date]))),""))</f>
        <v/>
      </c>
      <c r="B286" s="25">
        <f>IF(C286="","",IF(COUNTIFS(tbl_Finance[Job Number],C286&amp;"",tbl_Finance[Xero Invoice No],"&lt;&gt;")=0,"",IFERROR(IF(COUNTIFS(tbl_Finance[Job Number],C286&amp;"",tbl_Finance[Xero Invoice No],LOOKUP(2,1/((tbl_Finance[Job Number]=C286&amp;"")*(tbl_Finance[Xero Invoice No]&lt;&gt;"")),tbl_Finance[Xero Invoice No]))=COUNTIFS(tbl_Finance[Job Number],C286&amp;"",tbl_Finance[Xero Invoice No],"&lt;&gt;"),LOOKUP(2,1/((tbl_Finance[Job Number]=C286&amp;"")*(tbl_Finance[Xero Invoice No]&lt;&gt;"")),tbl_Finance[Xero Invoice No]),LOOKUP(2,1/((tbl_Finance[Job Number]=C286&amp;"")*(tbl_Finance[Xero Invoice No]&lt;&gt;"")),tbl_Finance[Xero Invoice No])&amp;" +more"),"")))</f>
        <v/>
      </c>
      <c r="C286" s="24" t="n"/>
      <c r="D286" s="25">
        <f>IF(C286="","",IF(COUNTIF(lst_Jobs,C286&amp;"")&gt;0,"OK","CHECK"))</f>
        <v/>
      </c>
      <c r="E286" s="25">
        <f>IF(C286="","",IFERROR(INDEX(lst_JobName,MATCH(C286&amp;"",lst_Jobs,0)),""))</f>
        <v/>
      </c>
      <c r="F286" s="25">
        <f>IF(C286="","",IFERROR(INDEX(tbl_Finance[Client],MATCH(C286&amp;"",tbl_Finance[Job Number],0)),""))</f>
        <v/>
      </c>
      <c r="G286" s="28">
        <f>IF(C286="","",COUNTIFS(tbl_Finance[Job Number],C286&amp;"",tbl_Finance[Ex GST],"&lt;&gt;"))</f>
        <v/>
      </c>
      <c r="H286" s="27">
        <f>IF(C286="","",SUMIFS(tbl_Finance[Ex GST],tbl_Finance[Job Number],C286&amp;""))</f>
        <v/>
      </c>
      <c r="I286" s="27">
        <f>IF(C286="","",SUMIFS(tbl_Finance[Ex GST],tbl_Finance[Job Number],C286&amp;"",tbl_Finance[Xero Invoice No],"&lt;&gt;"))</f>
        <v/>
      </c>
      <c r="J286" s="27">
        <f>IF(C286="","",H286-I286)</f>
        <v/>
      </c>
      <c r="K286" s="25">
        <f>IF(C286="","",IF(G286=0,"not invoiced yet",SUBSTITUTE(TRIM(IF(COUNTIFS(tbl_Finance[Job Number],C286&amp;"",tbl_Finance[Cost Centre],"ONSITE")&gt;0,"ONSITE ","")&amp;IF(COUNTIFS(tbl_Finance[Job Number],C286&amp;"",tbl_Finance[Cost Centre],"PRODUCTION")&gt;0,"PRODUCTION ","")&amp;IF(COUNTIFS(tbl_Finance[Job Number],C286&amp;"",tbl_Finance[Cost Centre],"VIDEO")&gt;0,"VIDEO ","")&amp;IF(COUNTIFS(tbl_Finance[Job Number],C286&amp;"",tbl_Finance[Cost Centre],"INTEGRATION")&gt;0,"INTEGRATION ","")&amp;IF(COUNTIFS(tbl_Finance[Job Number],C286&amp;"",tbl_Finance[Cost Centre],"CONSULTING")&gt;0,"CONSULTING ","")&amp;IF(COUNTIFS(tbl_Finance[Job Number],C286&amp;"",tbl_Finance[Cost Centre],"CTS")&gt;0,"CTS ",""))," ",", ")))</f>
        <v/>
      </c>
      <c r="L286" s="24" t="n"/>
      <c r="M286" s="25">
        <f>IF(L286="","",HYPERLINK(IF(LEFT(L286,4)="http",L286,set_QwilrBase&amp;L286),"Open quote"))</f>
        <v/>
      </c>
      <c r="N286" s="26" t="n"/>
      <c r="O286" s="26" t="n"/>
      <c r="P286" s="26" t="n"/>
      <c r="Q286" s="25">
        <f>IF(C286="","",IF(N(N286)+N(O286)+N(P286)=0,"Not split",IF(ROUND(N(N286)+N(O286)+N(P286),2)=ROUND(H286,2),"OK","MISMATCH")))</f>
        <v/>
      </c>
      <c r="R286" s="26" t="n"/>
      <c r="S286" s="26" t="n"/>
      <c r="T286" s="26" t="n"/>
      <c r="U286" s="27">
        <f>IF(C286="","",N(R286)+N(S286)+N(T286))</f>
        <v/>
      </c>
      <c r="V286" s="27">
        <f>IF(C286="","",H286-U286)</f>
        <v/>
      </c>
      <c r="W286" s="29">
        <f>IFERROR(V286/H286,"")</f>
        <v/>
      </c>
      <c r="X286" s="24" t="n"/>
    </row>
    <row r="287" ht="15" customHeight="1">
      <c r="A287" s="68">
        <f>IF(C287="","",IFERROR(IF(SUMPRODUCT(MAX((tbl_Finance[Job Number]=C287&amp;"")*(tbl_Finance[Xero Invoice No]&lt;&gt;"")*tbl_Finance[Date]))=0,"",SUMPRODUCT(MAX((tbl_Finance[Job Number]=C287&amp;"")*(tbl_Finance[Xero Invoice No]&lt;&gt;"")*tbl_Finance[Date]))),""))</f>
        <v/>
      </c>
      <c r="B287" s="25">
        <f>IF(C287="","",IF(COUNTIFS(tbl_Finance[Job Number],C287&amp;"",tbl_Finance[Xero Invoice No],"&lt;&gt;")=0,"",IFERROR(IF(COUNTIFS(tbl_Finance[Job Number],C287&amp;"",tbl_Finance[Xero Invoice No],LOOKUP(2,1/((tbl_Finance[Job Number]=C287&amp;"")*(tbl_Finance[Xero Invoice No]&lt;&gt;"")),tbl_Finance[Xero Invoice No]))=COUNTIFS(tbl_Finance[Job Number],C287&amp;"",tbl_Finance[Xero Invoice No],"&lt;&gt;"),LOOKUP(2,1/((tbl_Finance[Job Number]=C287&amp;"")*(tbl_Finance[Xero Invoice No]&lt;&gt;"")),tbl_Finance[Xero Invoice No]),LOOKUP(2,1/((tbl_Finance[Job Number]=C287&amp;"")*(tbl_Finance[Xero Invoice No]&lt;&gt;"")),tbl_Finance[Xero Invoice No])&amp;" +more"),"")))</f>
        <v/>
      </c>
      <c r="C287" s="24" t="n"/>
      <c r="D287" s="25">
        <f>IF(C287="","",IF(COUNTIF(lst_Jobs,C287&amp;"")&gt;0,"OK","CHECK"))</f>
        <v/>
      </c>
      <c r="E287" s="25">
        <f>IF(C287="","",IFERROR(INDEX(lst_JobName,MATCH(C287&amp;"",lst_Jobs,0)),""))</f>
        <v/>
      </c>
      <c r="F287" s="25">
        <f>IF(C287="","",IFERROR(INDEX(tbl_Finance[Client],MATCH(C287&amp;"",tbl_Finance[Job Number],0)),""))</f>
        <v/>
      </c>
      <c r="G287" s="28">
        <f>IF(C287="","",COUNTIFS(tbl_Finance[Job Number],C287&amp;"",tbl_Finance[Ex GST],"&lt;&gt;"))</f>
        <v/>
      </c>
      <c r="H287" s="27">
        <f>IF(C287="","",SUMIFS(tbl_Finance[Ex GST],tbl_Finance[Job Number],C287&amp;""))</f>
        <v/>
      </c>
      <c r="I287" s="27">
        <f>IF(C287="","",SUMIFS(tbl_Finance[Ex GST],tbl_Finance[Job Number],C287&amp;"",tbl_Finance[Xero Invoice No],"&lt;&gt;"))</f>
        <v/>
      </c>
      <c r="J287" s="27">
        <f>IF(C287="","",H287-I287)</f>
        <v/>
      </c>
      <c r="K287" s="25">
        <f>IF(C287="","",IF(G287=0,"not invoiced yet",SUBSTITUTE(TRIM(IF(COUNTIFS(tbl_Finance[Job Number],C287&amp;"",tbl_Finance[Cost Centre],"ONSITE")&gt;0,"ONSITE ","")&amp;IF(COUNTIFS(tbl_Finance[Job Number],C287&amp;"",tbl_Finance[Cost Centre],"PRODUCTION")&gt;0,"PRODUCTION ","")&amp;IF(COUNTIFS(tbl_Finance[Job Number],C287&amp;"",tbl_Finance[Cost Centre],"VIDEO")&gt;0,"VIDEO ","")&amp;IF(COUNTIFS(tbl_Finance[Job Number],C287&amp;"",tbl_Finance[Cost Centre],"INTEGRATION")&gt;0,"INTEGRATION ","")&amp;IF(COUNTIFS(tbl_Finance[Job Number],C287&amp;"",tbl_Finance[Cost Centre],"CONSULTING")&gt;0,"CONSULTING ","")&amp;IF(COUNTIFS(tbl_Finance[Job Number],C287&amp;"",tbl_Finance[Cost Centre],"CTS")&gt;0,"CTS ",""))," ",", ")))</f>
        <v/>
      </c>
      <c r="L287" s="24" t="n"/>
      <c r="M287" s="25">
        <f>IF(L287="","",HYPERLINK(IF(LEFT(L287,4)="http",L287,set_QwilrBase&amp;L287),"Open quote"))</f>
        <v/>
      </c>
      <c r="N287" s="26" t="n"/>
      <c r="O287" s="26" t="n"/>
      <c r="P287" s="26" t="n"/>
      <c r="Q287" s="25">
        <f>IF(C287="","",IF(N(N287)+N(O287)+N(P287)=0,"Not split",IF(ROUND(N(N287)+N(O287)+N(P287),2)=ROUND(H287,2),"OK","MISMATCH")))</f>
        <v/>
      </c>
      <c r="R287" s="26" t="n"/>
      <c r="S287" s="26" t="n"/>
      <c r="T287" s="26" t="n"/>
      <c r="U287" s="27">
        <f>IF(C287="","",N(R287)+N(S287)+N(T287))</f>
        <v/>
      </c>
      <c r="V287" s="27">
        <f>IF(C287="","",H287-U287)</f>
        <v/>
      </c>
      <c r="W287" s="29">
        <f>IFERROR(V287/H287,"")</f>
        <v/>
      </c>
      <c r="X287" s="24" t="n"/>
    </row>
    <row r="288" ht="15" customHeight="1">
      <c r="A288" s="68">
        <f>IF(C288="","",IFERROR(IF(SUMPRODUCT(MAX((tbl_Finance[Job Number]=C288&amp;"")*(tbl_Finance[Xero Invoice No]&lt;&gt;"")*tbl_Finance[Date]))=0,"",SUMPRODUCT(MAX((tbl_Finance[Job Number]=C288&amp;"")*(tbl_Finance[Xero Invoice No]&lt;&gt;"")*tbl_Finance[Date]))),""))</f>
        <v/>
      </c>
      <c r="B288" s="25">
        <f>IF(C288="","",IF(COUNTIFS(tbl_Finance[Job Number],C288&amp;"",tbl_Finance[Xero Invoice No],"&lt;&gt;")=0,"",IFERROR(IF(COUNTIFS(tbl_Finance[Job Number],C288&amp;"",tbl_Finance[Xero Invoice No],LOOKUP(2,1/((tbl_Finance[Job Number]=C288&amp;"")*(tbl_Finance[Xero Invoice No]&lt;&gt;"")),tbl_Finance[Xero Invoice No]))=COUNTIFS(tbl_Finance[Job Number],C288&amp;"",tbl_Finance[Xero Invoice No],"&lt;&gt;"),LOOKUP(2,1/((tbl_Finance[Job Number]=C288&amp;"")*(tbl_Finance[Xero Invoice No]&lt;&gt;"")),tbl_Finance[Xero Invoice No]),LOOKUP(2,1/((tbl_Finance[Job Number]=C288&amp;"")*(tbl_Finance[Xero Invoice No]&lt;&gt;"")),tbl_Finance[Xero Invoice No])&amp;" +more"),"")))</f>
        <v/>
      </c>
      <c r="C288" s="24" t="n"/>
      <c r="D288" s="25">
        <f>IF(C288="","",IF(COUNTIF(lst_Jobs,C288&amp;"")&gt;0,"OK","CHECK"))</f>
        <v/>
      </c>
      <c r="E288" s="25">
        <f>IF(C288="","",IFERROR(INDEX(lst_JobName,MATCH(C288&amp;"",lst_Jobs,0)),""))</f>
        <v/>
      </c>
      <c r="F288" s="25">
        <f>IF(C288="","",IFERROR(INDEX(tbl_Finance[Client],MATCH(C288&amp;"",tbl_Finance[Job Number],0)),""))</f>
        <v/>
      </c>
      <c r="G288" s="28">
        <f>IF(C288="","",COUNTIFS(tbl_Finance[Job Number],C288&amp;"",tbl_Finance[Ex GST],"&lt;&gt;"))</f>
        <v/>
      </c>
      <c r="H288" s="27">
        <f>IF(C288="","",SUMIFS(tbl_Finance[Ex GST],tbl_Finance[Job Number],C288&amp;""))</f>
        <v/>
      </c>
      <c r="I288" s="27">
        <f>IF(C288="","",SUMIFS(tbl_Finance[Ex GST],tbl_Finance[Job Number],C288&amp;"",tbl_Finance[Xero Invoice No],"&lt;&gt;"))</f>
        <v/>
      </c>
      <c r="J288" s="27">
        <f>IF(C288="","",H288-I288)</f>
        <v/>
      </c>
      <c r="K288" s="25">
        <f>IF(C288="","",IF(G288=0,"not invoiced yet",SUBSTITUTE(TRIM(IF(COUNTIFS(tbl_Finance[Job Number],C288&amp;"",tbl_Finance[Cost Centre],"ONSITE")&gt;0,"ONSITE ","")&amp;IF(COUNTIFS(tbl_Finance[Job Number],C288&amp;"",tbl_Finance[Cost Centre],"PRODUCTION")&gt;0,"PRODUCTION ","")&amp;IF(COUNTIFS(tbl_Finance[Job Number],C288&amp;"",tbl_Finance[Cost Centre],"VIDEO")&gt;0,"VIDEO ","")&amp;IF(COUNTIFS(tbl_Finance[Job Number],C288&amp;"",tbl_Finance[Cost Centre],"INTEGRATION")&gt;0,"INTEGRATION ","")&amp;IF(COUNTIFS(tbl_Finance[Job Number],C288&amp;"",tbl_Finance[Cost Centre],"CONSULTING")&gt;0,"CONSULTING ","")&amp;IF(COUNTIFS(tbl_Finance[Job Number],C288&amp;"",tbl_Finance[Cost Centre],"CTS")&gt;0,"CTS ",""))," ",", ")))</f>
        <v/>
      </c>
      <c r="L288" s="24" t="n"/>
      <c r="M288" s="25">
        <f>IF(L288="","",HYPERLINK(IF(LEFT(L288,4)="http",L288,set_QwilrBase&amp;L288),"Open quote"))</f>
        <v/>
      </c>
      <c r="N288" s="26" t="n"/>
      <c r="O288" s="26" t="n"/>
      <c r="P288" s="26" t="n"/>
      <c r="Q288" s="25">
        <f>IF(C288="","",IF(N(N288)+N(O288)+N(P288)=0,"Not split",IF(ROUND(N(N288)+N(O288)+N(P288),2)=ROUND(H288,2),"OK","MISMATCH")))</f>
        <v/>
      </c>
      <c r="R288" s="26" t="n"/>
      <c r="S288" s="26" t="n"/>
      <c r="T288" s="26" t="n"/>
      <c r="U288" s="27">
        <f>IF(C288="","",N(R288)+N(S288)+N(T288))</f>
        <v/>
      </c>
      <c r="V288" s="27">
        <f>IF(C288="","",H288-U288)</f>
        <v/>
      </c>
      <c r="W288" s="29">
        <f>IFERROR(V288/H288,"")</f>
        <v/>
      </c>
      <c r="X288" s="24" t="n"/>
    </row>
    <row r="289" ht="15" customHeight="1">
      <c r="A289" s="68">
        <f>IF(C289="","",IFERROR(IF(SUMPRODUCT(MAX((tbl_Finance[Job Number]=C289&amp;"")*(tbl_Finance[Xero Invoice No]&lt;&gt;"")*tbl_Finance[Date]))=0,"",SUMPRODUCT(MAX((tbl_Finance[Job Number]=C289&amp;"")*(tbl_Finance[Xero Invoice No]&lt;&gt;"")*tbl_Finance[Date]))),""))</f>
        <v/>
      </c>
      <c r="B289" s="25">
        <f>IF(C289="","",IF(COUNTIFS(tbl_Finance[Job Number],C289&amp;"",tbl_Finance[Xero Invoice No],"&lt;&gt;")=0,"",IFERROR(IF(COUNTIFS(tbl_Finance[Job Number],C289&amp;"",tbl_Finance[Xero Invoice No],LOOKUP(2,1/((tbl_Finance[Job Number]=C289&amp;"")*(tbl_Finance[Xero Invoice No]&lt;&gt;"")),tbl_Finance[Xero Invoice No]))=COUNTIFS(tbl_Finance[Job Number],C289&amp;"",tbl_Finance[Xero Invoice No],"&lt;&gt;"),LOOKUP(2,1/((tbl_Finance[Job Number]=C289&amp;"")*(tbl_Finance[Xero Invoice No]&lt;&gt;"")),tbl_Finance[Xero Invoice No]),LOOKUP(2,1/((tbl_Finance[Job Number]=C289&amp;"")*(tbl_Finance[Xero Invoice No]&lt;&gt;"")),tbl_Finance[Xero Invoice No])&amp;" +more"),"")))</f>
        <v/>
      </c>
      <c r="C289" s="24" t="n"/>
      <c r="D289" s="25">
        <f>IF(C289="","",IF(COUNTIF(lst_Jobs,C289&amp;"")&gt;0,"OK","CHECK"))</f>
        <v/>
      </c>
      <c r="E289" s="25">
        <f>IF(C289="","",IFERROR(INDEX(lst_JobName,MATCH(C289&amp;"",lst_Jobs,0)),""))</f>
        <v/>
      </c>
      <c r="F289" s="25">
        <f>IF(C289="","",IFERROR(INDEX(tbl_Finance[Client],MATCH(C289&amp;"",tbl_Finance[Job Number],0)),""))</f>
        <v/>
      </c>
      <c r="G289" s="28">
        <f>IF(C289="","",COUNTIFS(tbl_Finance[Job Number],C289&amp;"",tbl_Finance[Ex GST],"&lt;&gt;"))</f>
        <v/>
      </c>
      <c r="H289" s="27">
        <f>IF(C289="","",SUMIFS(tbl_Finance[Ex GST],tbl_Finance[Job Number],C289&amp;""))</f>
        <v/>
      </c>
      <c r="I289" s="27">
        <f>IF(C289="","",SUMIFS(tbl_Finance[Ex GST],tbl_Finance[Job Number],C289&amp;"",tbl_Finance[Xero Invoice No],"&lt;&gt;"))</f>
        <v/>
      </c>
      <c r="J289" s="27">
        <f>IF(C289="","",H289-I289)</f>
        <v/>
      </c>
      <c r="K289" s="25">
        <f>IF(C289="","",IF(G289=0,"not invoiced yet",SUBSTITUTE(TRIM(IF(COUNTIFS(tbl_Finance[Job Number],C289&amp;"",tbl_Finance[Cost Centre],"ONSITE")&gt;0,"ONSITE ","")&amp;IF(COUNTIFS(tbl_Finance[Job Number],C289&amp;"",tbl_Finance[Cost Centre],"PRODUCTION")&gt;0,"PRODUCTION ","")&amp;IF(COUNTIFS(tbl_Finance[Job Number],C289&amp;"",tbl_Finance[Cost Centre],"VIDEO")&gt;0,"VIDEO ","")&amp;IF(COUNTIFS(tbl_Finance[Job Number],C289&amp;"",tbl_Finance[Cost Centre],"INTEGRATION")&gt;0,"INTEGRATION ","")&amp;IF(COUNTIFS(tbl_Finance[Job Number],C289&amp;"",tbl_Finance[Cost Centre],"CONSULTING")&gt;0,"CONSULTING ","")&amp;IF(COUNTIFS(tbl_Finance[Job Number],C289&amp;"",tbl_Finance[Cost Centre],"CTS")&gt;0,"CTS ",""))," ",", ")))</f>
        <v/>
      </c>
      <c r="L289" s="24" t="n"/>
      <c r="M289" s="25">
        <f>IF(L289="","",HYPERLINK(IF(LEFT(L289,4)="http",L289,set_QwilrBase&amp;L289),"Open quote"))</f>
        <v/>
      </c>
      <c r="N289" s="26" t="n"/>
      <c r="O289" s="26" t="n"/>
      <c r="P289" s="26" t="n"/>
      <c r="Q289" s="25">
        <f>IF(C289="","",IF(N(N289)+N(O289)+N(P289)=0,"Not split",IF(ROUND(N(N289)+N(O289)+N(P289),2)=ROUND(H289,2),"OK","MISMATCH")))</f>
        <v/>
      </c>
      <c r="R289" s="26" t="n"/>
      <c r="S289" s="26" t="n"/>
      <c r="T289" s="26" t="n"/>
      <c r="U289" s="27">
        <f>IF(C289="","",N(R289)+N(S289)+N(T289))</f>
        <v/>
      </c>
      <c r="V289" s="27">
        <f>IF(C289="","",H289-U289)</f>
        <v/>
      </c>
      <c r="W289" s="29">
        <f>IFERROR(V289/H289,"")</f>
        <v/>
      </c>
      <c r="X289" s="24" t="n"/>
    </row>
    <row r="290" ht="15" customHeight="1">
      <c r="A290" s="68">
        <f>IF(C290="","",IFERROR(IF(SUMPRODUCT(MAX((tbl_Finance[Job Number]=C290&amp;"")*(tbl_Finance[Xero Invoice No]&lt;&gt;"")*tbl_Finance[Date]))=0,"",SUMPRODUCT(MAX((tbl_Finance[Job Number]=C290&amp;"")*(tbl_Finance[Xero Invoice No]&lt;&gt;"")*tbl_Finance[Date]))),""))</f>
        <v/>
      </c>
      <c r="B290" s="25">
        <f>IF(C290="","",IF(COUNTIFS(tbl_Finance[Job Number],C290&amp;"",tbl_Finance[Xero Invoice No],"&lt;&gt;")=0,"",IFERROR(IF(COUNTIFS(tbl_Finance[Job Number],C290&amp;"",tbl_Finance[Xero Invoice No],LOOKUP(2,1/((tbl_Finance[Job Number]=C290&amp;"")*(tbl_Finance[Xero Invoice No]&lt;&gt;"")),tbl_Finance[Xero Invoice No]))=COUNTIFS(tbl_Finance[Job Number],C290&amp;"",tbl_Finance[Xero Invoice No],"&lt;&gt;"),LOOKUP(2,1/((tbl_Finance[Job Number]=C290&amp;"")*(tbl_Finance[Xero Invoice No]&lt;&gt;"")),tbl_Finance[Xero Invoice No]),LOOKUP(2,1/((tbl_Finance[Job Number]=C290&amp;"")*(tbl_Finance[Xero Invoice No]&lt;&gt;"")),tbl_Finance[Xero Invoice No])&amp;" +more"),"")))</f>
        <v/>
      </c>
      <c r="C290" s="24" t="n"/>
      <c r="D290" s="25">
        <f>IF(C290="","",IF(COUNTIF(lst_Jobs,C290&amp;"")&gt;0,"OK","CHECK"))</f>
        <v/>
      </c>
      <c r="E290" s="25">
        <f>IF(C290="","",IFERROR(INDEX(lst_JobName,MATCH(C290&amp;"",lst_Jobs,0)),""))</f>
        <v/>
      </c>
      <c r="F290" s="25">
        <f>IF(C290="","",IFERROR(INDEX(tbl_Finance[Client],MATCH(C290&amp;"",tbl_Finance[Job Number],0)),""))</f>
        <v/>
      </c>
      <c r="G290" s="28">
        <f>IF(C290="","",COUNTIFS(tbl_Finance[Job Number],C290&amp;"",tbl_Finance[Ex GST],"&lt;&gt;"))</f>
        <v/>
      </c>
      <c r="H290" s="27">
        <f>IF(C290="","",SUMIFS(tbl_Finance[Ex GST],tbl_Finance[Job Number],C290&amp;""))</f>
        <v/>
      </c>
      <c r="I290" s="27">
        <f>IF(C290="","",SUMIFS(tbl_Finance[Ex GST],tbl_Finance[Job Number],C290&amp;"",tbl_Finance[Xero Invoice No],"&lt;&gt;"))</f>
        <v/>
      </c>
      <c r="J290" s="27">
        <f>IF(C290="","",H290-I290)</f>
        <v/>
      </c>
      <c r="K290" s="25">
        <f>IF(C290="","",IF(G290=0,"not invoiced yet",SUBSTITUTE(TRIM(IF(COUNTIFS(tbl_Finance[Job Number],C290&amp;"",tbl_Finance[Cost Centre],"ONSITE")&gt;0,"ONSITE ","")&amp;IF(COUNTIFS(tbl_Finance[Job Number],C290&amp;"",tbl_Finance[Cost Centre],"PRODUCTION")&gt;0,"PRODUCTION ","")&amp;IF(COUNTIFS(tbl_Finance[Job Number],C290&amp;"",tbl_Finance[Cost Centre],"VIDEO")&gt;0,"VIDEO ","")&amp;IF(COUNTIFS(tbl_Finance[Job Number],C290&amp;"",tbl_Finance[Cost Centre],"INTEGRATION")&gt;0,"INTEGRATION ","")&amp;IF(COUNTIFS(tbl_Finance[Job Number],C290&amp;"",tbl_Finance[Cost Centre],"CONSULTING")&gt;0,"CONSULTING ","")&amp;IF(COUNTIFS(tbl_Finance[Job Number],C290&amp;"",tbl_Finance[Cost Centre],"CTS")&gt;0,"CTS ",""))," ",", ")))</f>
        <v/>
      </c>
      <c r="L290" s="24" t="n"/>
      <c r="M290" s="25">
        <f>IF(L290="","",HYPERLINK(IF(LEFT(L290,4)="http",L290,set_QwilrBase&amp;L290),"Open quote"))</f>
        <v/>
      </c>
      <c r="N290" s="26" t="n"/>
      <c r="O290" s="26" t="n"/>
      <c r="P290" s="26" t="n"/>
      <c r="Q290" s="25">
        <f>IF(C290="","",IF(N(N290)+N(O290)+N(P290)=0,"Not split",IF(ROUND(N(N290)+N(O290)+N(P290),2)=ROUND(H290,2),"OK","MISMATCH")))</f>
        <v/>
      </c>
      <c r="R290" s="26" t="n"/>
      <c r="S290" s="26" t="n"/>
      <c r="T290" s="26" t="n"/>
      <c r="U290" s="27">
        <f>IF(C290="","",N(R290)+N(S290)+N(T290))</f>
        <v/>
      </c>
      <c r="V290" s="27">
        <f>IF(C290="","",H290-U290)</f>
        <v/>
      </c>
      <c r="W290" s="29">
        <f>IFERROR(V290/H290,"")</f>
        <v/>
      </c>
      <c r="X290" s="24" t="n"/>
    </row>
    <row r="291" ht="15" customHeight="1">
      <c r="A291" s="68">
        <f>IF(C291="","",IFERROR(IF(SUMPRODUCT(MAX((tbl_Finance[Job Number]=C291&amp;"")*(tbl_Finance[Xero Invoice No]&lt;&gt;"")*tbl_Finance[Date]))=0,"",SUMPRODUCT(MAX((tbl_Finance[Job Number]=C291&amp;"")*(tbl_Finance[Xero Invoice No]&lt;&gt;"")*tbl_Finance[Date]))),""))</f>
        <v/>
      </c>
      <c r="B291" s="25">
        <f>IF(C291="","",IF(COUNTIFS(tbl_Finance[Job Number],C291&amp;"",tbl_Finance[Xero Invoice No],"&lt;&gt;")=0,"",IFERROR(IF(COUNTIFS(tbl_Finance[Job Number],C291&amp;"",tbl_Finance[Xero Invoice No],LOOKUP(2,1/((tbl_Finance[Job Number]=C291&amp;"")*(tbl_Finance[Xero Invoice No]&lt;&gt;"")),tbl_Finance[Xero Invoice No]))=COUNTIFS(tbl_Finance[Job Number],C291&amp;"",tbl_Finance[Xero Invoice No],"&lt;&gt;"),LOOKUP(2,1/((tbl_Finance[Job Number]=C291&amp;"")*(tbl_Finance[Xero Invoice No]&lt;&gt;"")),tbl_Finance[Xero Invoice No]),LOOKUP(2,1/((tbl_Finance[Job Number]=C291&amp;"")*(tbl_Finance[Xero Invoice No]&lt;&gt;"")),tbl_Finance[Xero Invoice No])&amp;" +more"),"")))</f>
        <v/>
      </c>
      <c r="C291" s="24" t="n"/>
      <c r="D291" s="25">
        <f>IF(C291="","",IF(COUNTIF(lst_Jobs,C291&amp;"")&gt;0,"OK","CHECK"))</f>
        <v/>
      </c>
      <c r="E291" s="25">
        <f>IF(C291="","",IFERROR(INDEX(lst_JobName,MATCH(C291&amp;"",lst_Jobs,0)),""))</f>
        <v/>
      </c>
      <c r="F291" s="25">
        <f>IF(C291="","",IFERROR(INDEX(tbl_Finance[Client],MATCH(C291&amp;"",tbl_Finance[Job Number],0)),""))</f>
        <v/>
      </c>
      <c r="G291" s="28">
        <f>IF(C291="","",COUNTIFS(tbl_Finance[Job Number],C291&amp;"",tbl_Finance[Ex GST],"&lt;&gt;"))</f>
        <v/>
      </c>
      <c r="H291" s="27">
        <f>IF(C291="","",SUMIFS(tbl_Finance[Ex GST],tbl_Finance[Job Number],C291&amp;""))</f>
        <v/>
      </c>
      <c r="I291" s="27">
        <f>IF(C291="","",SUMIFS(tbl_Finance[Ex GST],tbl_Finance[Job Number],C291&amp;"",tbl_Finance[Xero Invoice No],"&lt;&gt;"))</f>
        <v/>
      </c>
      <c r="J291" s="27">
        <f>IF(C291="","",H291-I291)</f>
        <v/>
      </c>
      <c r="K291" s="25">
        <f>IF(C291="","",IF(G291=0,"not invoiced yet",SUBSTITUTE(TRIM(IF(COUNTIFS(tbl_Finance[Job Number],C291&amp;"",tbl_Finance[Cost Centre],"ONSITE")&gt;0,"ONSITE ","")&amp;IF(COUNTIFS(tbl_Finance[Job Number],C291&amp;"",tbl_Finance[Cost Centre],"PRODUCTION")&gt;0,"PRODUCTION ","")&amp;IF(COUNTIFS(tbl_Finance[Job Number],C291&amp;"",tbl_Finance[Cost Centre],"VIDEO")&gt;0,"VIDEO ","")&amp;IF(COUNTIFS(tbl_Finance[Job Number],C291&amp;"",tbl_Finance[Cost Centre],"INTEGRATION")&gt;0,"INTEGRATION ","")&amp;IF(COUNTIFS(tbl_Finance[Job Number],C291&amp;"",tbl_Finance[Cost Centre],"CONSULTING")&gt;0,"CONSULTING ","")&amp;IF(COUNTIFS(tbl_Finance[Job Number],C291&amp;"",tbl_Finance[Cost Centre],"CTS")&gt;0,"CTS ",""))," ",", ")))</f>
        <v/>
      </c>
      <c r="L291" s="24" t="n"/>
      <c r="M291" s="25">
        <f>IF(L291="","",HYPERLINK(IF(LEFT(L291,4)="http",L291,set_QwilrBase&amp;L291),"Open quote"))</f>
        <v/>
      </c>
      <c r="N291" s="26" t="n"/>
      <c r="O291" s="26" t="n"/>
      <c r="P291" s="26" t="n"/>
      <c r="Q291" s="25">
        <f>IF(C291="","",IF(N(N291)+N(O291)+N(P291)=0,"Not split",IF(ROUND(N(N291)+N(O291)+N(P291),2)=ROUND(H291,2),"OK","MISMATCH")))</f>
        <v/>
      </c>
      <c r="R291" s="26" t="n"/>
      <c r="S291" s="26" t="n"/>
      <c r="T291" s="26" t="n"/>
      <c r="U291" s="27">
        <f>IF(C291="","",N(R291)+N(S291)+N(T291))</f>
        <v/>
      </c>
      <c r="V291" s="27">
        <f>IF(C291="","",H291-U291)</f>
        <v/>
      </c>
      <c r="W291" s="29">
        <f>IFERROR(V291/H291,"")</f>
        <v/>
      </c>
      <c r="X291" s="24" t="n"/>
    </row>
    <row r="292" ht="15" customHeight="1">
      <c r="A292" s="68">
        <f>IF(C292="","",IFERROR(IF(SUMPRODUCT(MAX((tbl_Finance[Job Number]=C292&amp;"")*(tbl_Finance[Xero Invoice No]&lt;&gt;"")*tbl_Finance[Date]))=0,"",SUMPRODUCT(MAX((tbl_Finance[Job Number]=C292&amp;"")*(tbl_Finance[Xero Invoice No]&lt;&gt;"")*tbl_Finance[Date]))),""))</f>
        <v/>
      </c>
      <c r="B292" s="25">
        <f>IF(C292="","",IF(COUNTIFS(tbl_Finance[Job Number],C292&amp;"",tbl_Finance[Xero Invoice No],"&lt;&gt;")=0,"",IFERROR(IF(COUNTIFS(tbl_Finance[Job Number],C292&amp;"",tbl_Finance[Xero Invoice No],LOOKUP(2,1/((tbl_Finance[Job Number]=C292&amp;"")*(tbl_Finance[Xero Invoice No]&lt;&gt;"")),tbl_Finance[Xero Invoice No]))=COUNTIFS(tbl_Finance[Job Number],C292&amp;"",tbl_Finance[Xero Invoice No],"&lt;&gt;"),LOOKUP(2,1/((tbl_Finance[Job Number]=C292&amp;"")*(tbl_Finance[Xero Invoice No]&lt;&gt;"")),tbl_Finance[Xero Invoice No]),LOOKUP(2,1/((tbl_Finance[Job Number]=C292&amp;"")*(tbl_Finance[Xero Invoice No]&lt;&gt;"")),tbl_Finance[Xero Invoice No])&amp;" +more"),"")))</f>
        <v/>
      </c>
      <c r="C292" s="24" t="n"/>
      <c r="D292" s="25">
        <f>IF(C292="","",IF(COUNTIF(lst_Jobs,C292&amp;"")&gt;0,"OK","CHECK"))</f>
        <v/>
      </c>
      <c r="E292" s="25">
        <f>IF(C292="","",IFERROR(INDEX(lst_JobName,MATCH(C292&amp;"",lst_Jobs,0)),""))</f>
        <v/>
      </c>
      <c r="F292" s="25">
        <f>IF(C292="","",IFERROR(INDEX(tbl_Finance[Client],MATCH(C292&amp;"",tbl_Finance[Job Number],0)),""))</f>
        <v/>
      </c>
      <c r="G292" s="28">
        <f>IF(C292="","",COUNTIFS(tbl_Finance[Job Number],C292&amp;"",tbl_Finance[Ex GST],"&lt;&gt;"))</f>
        <v/>
      </c>
      <c r="H292" s="27">
        <f>IF(C292="","",SUMIFS(tbl_Finance[Ex GST],tbl_Finance[Job Number],C292&amp;""))</f>
        <v/>
      </c>
      <c r="I292" s="27">
        <f>IF(C292="","",SUMIFS(tbl_Finance[Ex GST],tbl_Finance[Job Number],C292&amp;"",tbl_Finance[Xero Invoice No],"&lt;&gt;"))</f>
        <v/>
      </c>
      <c r="J292" s="27">
        <f>IF(C292="","",H292-I292)</f>
        <v/>
      </c>
      <c r="K292" s="25">
        <f>IF(C292="","",IF(G292=0,"not invoiced yet",SUBSTITUTE(TRIM(IF(COUNTIFS(tbl_Finance[Job Number],C292&amp;"",tbl_Finance[Cost Centre],"ONSITE")&gt;0,"ONSITE ","")&amp;IF(COUNTIFS(tbl_Finance[Job Number],C292&amp;"",tbl_Finance[Cost Centre],"PRODUCTION")&gt;0,"PRODUCTION ","")&amp;IF(COUNTIFS(tbl_Finance[Job Number],C292&amp;"",tbl_Finance[Cost Centre],"VIDEO")&gt;0,"VIDEO ","")&amp;IF(COUNTIFS(tbl_Finance[Job Number],C292&amp;"",tbl_Finance[Cost Centre],"INTEGRATION")&gt;0,"INTEGRATION ","")&amp;IF(COUNTIFS(tbl_Finance[Job Number],C292&amp;"",tbl_Finance[Cost Centre],"CONSULTING")&gt;0,"CONSULTING ","")&amp;IF(COUNTIFS(tbl_Finance[Job Number],C292&amp;"",tbl_Finance[Cost Centre],"CTS")&gt;0,"CTS ",""))," ",", ")))</f>
        <v/>
      </c>
      <c r="L292" s="24" t="n"/>
      <c r="M292" s="25">
        <f>IF(L292="","",HYPERLINK(IF(LEFT(L292,4)="http",L292,set_QwilrBase&amp;L292),"Open quote"))</f>
        <v/>
      </c>
      <c r="N292" s="26" t="n"/>
      <c r="O292" s="26" t="n"/>
      <c r="P292" s="26" t="n"/>
      <c r="Q292" s="25">
        <f>IF(C292="","",IF(N(N292)+N(O292)+N(P292)=0,"Not split",IF(ROUND(N(N292)+N(O292)+N(P292),2)=ROUND(H292,2),"OK","MISMATCH")))</f>
        <v/>
      </c>
      <c r="R292" s="26" t="n"/>
      <c r="S292" s="26" t="n"/>
      <c r="T292" s="26" t="n"/>
      <c r="U292" s="27">
        <f>IF(C292="","",N(R292)+N(S292)+N(T292))</f>
        <v/>
      </c>
      <c r="V292" s="27">
        <f>IF(C292="","",H292-U292)</f>
        <v/>
      </c>
      <c r="W292" s="29">
        <f>IFERROR(V292/H292,"")</f>
        <v/>
      </c>
      <c r="X292" s="24" t="n"/>
    </row>
    <row r="293" ht="15" customHeight="1">
      <c r="A293" s="68">
        <f>IF(C293="","",IFERROR(IF(SUMPRODUCT(MAX((tbl_Finance[Job Number]=C293&amp;"")*(tbl_Finance[Xero Invoice No]&lt;&gt;"")*tbl_Finance[Date]))=0,"",SUMPRODUCT(MAX((tbl_Finance[Job Number]=C293&amp;"")*(tbl_Finance[Xero Invoice No]&lt;&gt;"")*tbl_Finance[Date]))),""))</f>
        <v/>
      </c>
      <c r="B293" s="25">
        <f>IF(C293="","",IF(COUNTIFS(tbl_Finance[Job Number],C293&amp;"",tbl_Finance[Xero Invoice No],"&lt;&gt;")=0,"",IFERROR(IF(COUNTIFS(tbl_Finance[Job Number],C293&amp;"",tbl_Finance[Xero Invoice No],LOOKUP(2,1/((tbl_Finance[Job Number]=C293&amp;"")*(tbl_Finance[Xero Invoice No]&lt;&gt;"")),tbl_Finance[Xero Invoice No]))=COUNTIFS(tbl_Finance[Job Number],C293&amp;"",tbl_Finance[Xero Invoice No],"&lt;&gt;"),LOOKUP(2,1/((tbl_Finance[Job Number]=C293&amp;"")*(tbl_Finance[Xero Invoice No]&lt;&gt;"")),tbl_Finance[Xero Invoice No]),LOOKUP(2,1/((tbl_Finance[Job Number]=C293&amp;"")*(tbl_Finance[Xero Invoice No]&lt;&gt;"")),tbl_Finance[Xero Invoice No])&amp;" +more"),"")))</f>
        <v/>
      </c>
      <c r="C293" s="24" t="n"/>
      <c r="D293" s="25">
        <f>IF(C293="","",IF(COUNTIF(lst_Jobs,C293&amp;"")&gt;0,"OK","CHECK"))</f>
        <v/>
      </c>
      <c r="E293" s="25">
        <f>IF(C293="","",IFERROR(INDEX(lst_JobName,MATCH(C293&amp;"",lst_Jobs,0)),""))</f>
        <v/>
      </c>
      <c r="F293" s="25">
        <f>IF(C293="","",IFERROR(INDEX(tbl_Finance[Client],MATCH(C293&amp;"",tbl_Finance[Job Number],0)),""))</f>
        <v/>
      </c>
      <c r="G293" s="28">
        <f>IF(C293="","",COUNTIFS(tbl_Finance[Job Number],C293&amp;"",tbl_Finance[Ex GST],"&lt;&gt;"))</f>
        <v/>
      </c>
      <c r="H293" s="27">
        <f>IF(C293="","",SUMIFS(tbl_Finance[Ex GST],tbl_Finance[Job Number],C293&amp;""))</f>
        <v/>
      </c>
      <c r="I293" s="27">
        <f>IF(C293="","",SUMIFS(tbl_Finance[Ex GST],tbl_Finance[Job Number],C293&amp;"",tbl_Finance[Xero Invoice No],"&lt;&gt;"))</f>
        <v/>
      </c>
      <c r="J293" s="27">
        <f>IF(C293="","",H293-I293)</f>
        <v/>
      </c>
      <c r="K293" s="25">
        <f>IF(C293="","",IF(G293=0,"not invoiced yet",SUBSTITUTE(TRIM(IF(COUNTIFS(tbl_Finance[Job Number],C293&amp;"",tbl_Finance[Cost Centre],"ONSITE")&gt;0,"ONSITE ","")&amp;IF(COUNTIFS(tbl_Finance[Job Number],C293&amp;"",tbl_Finance[Cost Centre],"PRODUCTION")&gt;0,"PRODUCTION ","")&amp;IF(COUNTIFS(tbl_Finance[Job Number],C293&amp;"",tbl_Finance[Cost Centre],"VIDEO")&gt;0,"VIDEO ","")&amp;IF(COUNTIFS(tbl_Finance[Job Number],C293&amp;"",tbl_Finance[Cost Centre],"INTEGRATION")&gt;0,"INTEGRATION ","")&amp;IF(COUNTIFS(tbl_Finance[Job Number],C293&amp;"",tbl_Finance[Cost Centre],"CONSULTING")&gt;0,"CONSULTING ","")&amp;IF(COUNTIFS(tbl_Finance[Job Number],C293&amp;"",tbl_Finance[Cost Centre],"CTS")&gt;0,"CTS ",""))," ",", ")))</f>
        <v/>
      </c>
      <c r="L293" s="24" t="n"/>
      <c r="M293" s="25">
        <f>IF(L293="","",HYPERLINK(IF(LEFT(L293,4)="http",L293,set_QwilrBase&amp;L293),"Open quote"))</f>
        <v/>
      </c>
      <c r="N293" s="26" t="n"/>
      <c r="O293" s="26" t="n"/>
      <c r="P293" s="26" t="n"/>
      <c r="Q293" s="25">
        <f>IF(C293="","",IF(N(N293)+N(O293)+N(P293)=0,"Not split",IF(ROUND(N(N293)+N(O293)+N(P293),2)=ROUND(H293,2),"OK","MISMATCH")))</f>
        <v/>
      </c>
      <c r="R293" s="26" t="n"/>
      <c r="S293" s="26" t="n"/>
      <c r="T293" s="26" t="n"/>
      <c r="U293" s="27">
        <f>IF(C293="","",N(R293)+N(S293)+N(T293))</f>
        <v/>
      </c>
      <c r="V293" s="27">
        <f>IF(C293="","",H293-U293)</f>
        <v/>
      </c>
      <c r="W293" s="29">
        <f>IFERROR(V293/H293,"")</f>
        <v/>
      </c>
      <c r="X293" s="24" t="n"/>
    </row>
    <row r="294" ht="15" customHeight="1">
      <c r="A294" s="68">
        <f>IF(C294="","",IFERROR(IF(SUMPRODUCT(MAX((tbl_Finance[Job Number]=C294&amp;"")*(tbl_Finance[Xero Invoice No]&lt;&gt;"")*tbl_Finance[Date]))=0,"",SUMPRODUCT(MAX((tbl_Finance[Job Number]=C294&amp;"")*(tbl_Finance[Xero Invoice No]&lt;&gt;"")*tbl_Finance[Date]))),""))</f>
        <v/>
      </c>
      <c r="B294" s="25">
        <f>IF(C294="","",IF(COUNTIFS(tbl_Finance[Job Number],C294&amp;"",tbl_Finance[Xero Invoice No],"&lt;&gt;")=0,"",IFERROR(IF(COUNTIFS(tbl_Finance[Job Number],C294&amp;"",tbl_Finance[Xero Invoice No],LOOKUP(2,1/((tbl_Finance[Job Number]=C294&amp;"")*(tbl_Finance[Xero Invoice No]&lt;&gt;"")),tbl_Finance[Xero Invoice No]))=COUNTIFS(tbl_Finance[Job Number],C294&amp;"",tbl_Finance[Xero Invoice No],"&lt;&gt;"),LOOKUP(2,1/((tbl_Finance[Job Number]=C294&amp;"")*(tbl_Finance[Xero Invoice No]&lt;&gt;"")),tbl_Finance[Xero Invoice No]),LOOKUP(2,1/((tbl_Finance[Job Number]=C294&amp;"")*(tbl_Finance[Xero Invoice No]&lt;&gt;"")),tbl_Finance[Xero Invoice No])&amp;" +more"),"")))</f>
        <v/>
      </c>
      <c r="C294" s="24" t="n"/>
      <c r="D294" s="25">
        <f>IF(C294="","",IF(COUNTIF(lst_Jobs,C294&amp;"")&gt;0,"OK","CHECK"))</f>
        <v/>
      </c>
      <c r="E294" s="25">
        <f>IF(C294="","",IFERROR(INDEX(lst_JobName,MATCH(C294&amp;"",lst_Jobs,0)),""))</f>
        <v/>
      </c>
      <c r="F294" s="25">
        <f>IF(C294="","",IFERROR(INDEX(tbl_Finance[Client],MATCH(C294&amp;"",tbl_Finance[Job Number],0)),""))</f>
        <v/>
      </c>
      <c r="G294" s="28">
        <f>IF(C294="","",COUNTIFS(tbl_Finance[Job Number],C294&amp;"",tbl_Finance[Ex GST],"&lt;&gt;"))</f>
        <v/>
      </c>
      <c r="H294" s="27">
        <f>IF(C294="","",SUMIFS(tbl_Finance[Ex GST],tbl_Finance[Job Number],C294&amp;""))</f>
        <v/>
      </c>
      <c r="I294" s="27">
        <f>IF(C294="","",SUMIFS(tbl_Finance[Ex GST],tbl_Finance[Job Number],C294&amp;"",tbl_Finance[Xero Invoice No],"&lt;&gt;"))</f>
        <v/>
      </c>
      <c r="J294" s="27">
        <f>IF(C294="","",H294-I294)</f>
        <v/>
      </c>
      <c r="K294" s="25">
        <f>IF(C294="","",IF(G294=0,"not invoiced yet",SUBSTITUTE(TRIM(IF(COUNTIFS(tbl_Finance[Job Number],C294&amp;"",tbl_Finance[Cost Centre],"ONSITE")&gt;0,"ONSITE ","")&amp;IF(COUNTIFS(tbl_Finance[Job Number],C294&amp;"",tbl_Finance[Cost Centre],"PRODUCTION")&gt;0,"PRODUCTION ","")&amp;IF(COUNTIFS(tbl_Finance[Job Number],C294&amp;"",tbl_Finance[Cost Centre],"VIDEO")&gt;0,"VIDEO ","")&amp;IF(COUNTIFS(tbl_Finance[Job Number],C294&amp;"",tbl_Finance[Cost Centre],"INTEGRATION")&gt;0,"INTEGRATION ","")&amp;IF(COUNTIFS(tbl_Finance[Job Number],C294&amp;"",tbl_Finance[Cost Centre],"CONSULTING")&gt;0,"CONSULTING ","")&amp;IF(COUNTIFS(tbl_Finance[Job Number],C294&amp;"",tbl_Finance[Cost Centre],"CTS")&gt;0,"CTS ",""))," ",", ")))</f>
        <v/>
      </c>
      <c r="L294" s="24" t="n"/>
      <c r="M294" s="25">
        <f>IF(L294="","",HYPERLINK(IF(LEFT(L294,4)="http",L294,set_QwilrBase&amp;L294),"Open quote"))</f>
        <v/>
      </c>
      <c r="N294" s="26" t="n"/>
      <c r="O294" s="26" t="n"/>
      <c r="P294" s="26" t="n"/>
      <c r="Q294" s="25">
        <f>IF(C294="","",IF(N(N294)+N(O294)+N(P294)=0,"Not split",IF(ROUND(N(N294)+N(O294)+N(P294),2)=ROUND(H294,2),"OK","MISMATCH")))</f>
        <v/>
      </c>
      <c r="R294" s="26" t="n"/>
      <c r="S294" s="26" t="n"/>
      <c r="T294" s="26" t="n"/>
      <c r="U294" s="27">
        <f>IF(C294="","",N(R294)+N(S294)+N(T294))</f>
        <v/>
      </c>
      <c r="V294" s="27">
        <f>IF(C294="","",H294-U294)</f>
        <v/>
      </c>
      <c r="W294" s="29">
        <f>IFERROR(V294/H294,"")</f>
        <v/>
      </c>
      <c r="X294" s="24" t="n"/>
    </row>
    <row r="295" ht="15" customHeight="1">
      <c r="A295" s="68">
        <f>IF(C295="","",IFERROR(IF(SUMPRODUCT(MAX((tbl_Finance[Job Number]=C295&amp;"")*(tbl_Finance[Xero Invoice No]&lt;&gt;"")*tbl_Finance[Date]))=0,"",SUMPRODUCT(MAX((tbl_Finance[Job Number]=C295&amp;"")*(tbl_Finance[Xero Invoice No]&lt;&gt;"")*tbl_Finance[Date]))),""))</f>
        <v/>
      </c>
      <c r="B295" s="25">
        <f>IF(C295="","",IF(COUNTIFS(tbl_Finance[Job Number],C295&amp;"",tbl_Finance[Xero Invoice No],"&lt;&gt;")=0,"",IFERROR(IF(COUNTIFS(tbl_Finance[Job Number],C295&amp;"",tbl_Finance[Xero Invoice No],LOOKUP(2,1/((tbl_Finance[Job Number]=C295&amp;"")*(tbl_Finance[Xero Invoice No]&lt;&gt;"")),tbl_Finance[Xero Invoice No]))=COUNTIFS(tbl_Finance[Job Number],C295&amp;"",tbl_Finance[Xero Invoice No],"&lt;&gt;"),LOOKUP(2,1/((tbl_Finance[Job Number]=C295&amp;"")*(tbl_Finance[Xero Invoice No]&lt;&gt;"")),tbl_Finance[Xero Invoice No]),LOOKUP(2,1/((tbl_Finance[Job Number]=C295&amp;"")*(tbl_Finance[Xero Invoice No]&lt;&gt;"")),tbl_Finance[Xero Invoice No])&amp;" +more"),"")))</f>
        <v/>
      </c>
      <c r="C295" s="24" t="n"/>
      <c r="D295" s="25">
        <f>IF(C295="","",IF(COUNTIF(lst_Jobs,C295&amp;"")&gt;0,"OK","CHECK"))</f>
        <v/>
      </c>
      <c r="E295" s="25">
        <f>IF(C295="","",IFERROR(INDEX(lst_JobName,MATCH(C295&amp;"",lst_Jobs,0)),""))</f>
        <v/>
      </c>
      <c r="F295" s="25">
        <f>IF(C295="","",IFERROR(INDEX(tbl_Finance[Client],MATCH(C295&amp;"",tbl_Finance[Job Number],0)),""))</f>
        <v/>
      </c>
      <c r="G295" s="28">
        <f>IF(C295="","",COUNTIFS(tbl_Finance[Job Number],C295&amp;"",tbl_Finance[Ex GST],"&lt;&gt;"))</f>
        <v/>
      </c>
      <c r="H295" s="27">
        <f>IF(C295="","",SUMIFS(tbl_Finance[Ex GST],tbl_Finance[Job Number],C295&amp;""))</f>
        <v/>
      </c>
      <c r="I295" s="27">
        <f>IF(C295="","",SUMIFS(tbl_Finance[Ex GST],tbl_Finance[Job Number],C295&amp;"",tbl_Finance[Xero Invoice No],"&lt;&gt;"))</f>
        <v/>
      </c>
      <c r="J295" s="27">
        <f>IF(C295="","",H295-I295)</f>
        <v/>
      </c>
      <c r="K295" s="25">
        <f>IF(C295="","",IF(G295=0,"not invoiced yet",SUBSTITUTE(TRIM(IF(COUNTIFS(tbl_Finance[Job Number],C295&amp;"",tbl_Finance[Cost Centre],"ONSITE")&gt;0,"ONSITE ","")&amp;IF(COUNTIFS(tbl_Finance[Job Number],C295&amp;"",tbl_Finance[Cost Centre],"PRODUCTION")&gt;0,"PRODUCTION ","")&amp;IF(COUNTIFS(tbl_Finance[Job Number],C295&amp;"",tbl_Finance[Cost Centre],"VIDEO")&gt;0,"VIDEO ","")&amp;IF(COUNTIFS(tbl_Finance[Job Number],C295&amp;"",tbl_Finance[Cost Centre],"INTEGRATION")&gt;0,"INTEGRATION ","")&amp;IF(COUNTIFS(tbl_Finance[Job Number],C295&amp;"",tbl_Finance[Cost Centre],"CONSULTING")&gt;0,"CONSULTING ","")&amp;IF(COUNTIFS(tbl_Finance[Job Number],C295&amp;"",tbl_Finance[Cost Centre],"CTS")&gt;0,"CTS ",""))," ",", ")))</f>
        <v/>
      </c>
      <c r="L295" s="24" t="n"/>
      <c r="M295" s="25">
        <f>IF(L295="","",HYPERLINK(IF(LEFT(L295,4)="http",L295,set_QwilrBase&amp;L295),"Open quote"))</f>
        <v/>
      </c>
      <c r="N295" s="26" t="n"/>
      <c r="O295" s="26" t="n"/>
      <c r="P295" s="26" t="n"/>
      <c r="Q295" s="25">
        <f>IF(C295="","",IF(N(N295)+N(O295)+N(P295)=0,"Not split",IF(ROUND(N(N295)+N(O295)+N(P295),2)=ROUND(H295,2),"OK","MISMATCH")))</f>
        <v/>
      </c>
      <c r="R295" s="26" t="n"/>
      <c r="S295" s="26" t="n"/>
      <c r="T295" s="26" t="n"/>
      <c r="U295" s="27">
        <f>IF(C295="","",N(R295)+N(S295)+N(T295))</f>
        <v/>
      </c>
      <c r="V295" s="27">
        <f>IF(C295="","",H295-U295)</f>
        <v/>
      </c>
      <c r="W295" s="29">
        <f>IFERROR(V295/H295,"")</f>
        <v/>
      </c>
      <c r="X295" s="24" t="n"/>
    </row>
    <row r="296" ht="15" customHeight="1">
      <c r="A296" s="68">
        <f>IF(C296="","",IFERROR(IF(SUMPRODUCT(MAX((tbl_Finance[Job Number]=C296&amp;"")*(tbl_Finance[Xero Invoice No]&lt;&gt;"")*tbl_Finance[Date]))=0,"",SUMPRODUCT(MAX((tbl_Finance[Job Number]=C296&amp;"")*(tbl_Finance[Xero Invoice No]&lt;&gt;"")*tbl_Finance[Date]))),""))</f>
        <v/>
      </c>
      <c r="B296" s="25">
        <f>IF(C296="","",IF(COUNTIFS(tbl_Finance[Job Number],C296&amp;"",tbl_Finance[Xero Invoice No],"&lt;&gt;")=0,"",IFERROR(IF(COUNTIFS(tbl_Finance[Job Number],C296&amp;"",tbl_Finance[Xero Invoice No],LOOKUP(2,1/((tbl_Finance[Job Number]=C296&amp;"")*(tbl_Finance[Xero Invoice No]&lt;&gt;"")),tbl_Finance[Xero Invoice No]))=COUNTIFS(tbl_Finance[Job Number],C296&amp;"",tbl_Finance[Xero Invoice No],"&lt;&gt;"),LOOKUP(2,1/((tbl_Finance[Job Number]=C296&amp;"")*(tbl_Finance[Xero Invoice No]&lt;&gt;"")),tbl_Finance[Xero Invoice No]),LOOKUP(2,1/((tbl_Finance[Job Number]=C296&amp;"")*(tbl_Finance[Xero Invoice No]&lt;&gt;"")),tbl_Finance[Xero Invoice No])&amp;" +more"),"")))</f>
        <v/>
      </c>
      <c r="C296" s="24" t="n"/>
      <c r="D296" s="25">
        <f>IF(C296="","",IF(COUNTIF(lst_Jobs,C296&amp;"")&gt;0,"OK","CHECK"))</f>
        <v/>
      </c>
      <c r="E296" s="25">
        <f>IF(C296="","",IFERROR(INDEX(lst_JobName,MATCH(C296&amp;"",lst_Jobs,0)),""))</f>
        <v/>
      </c>
      <c r="F296" s="25">
        <f>IF(C296="","",IFERROR(INDEX(tbl_Finance[Client],MATCH(C296&amp;"",tbl_Finance[Job Number],0)),""))</f>
        <v/>
      </c>
      <c r="G296" s="28">
        <f>IF(C296="","",COUNTIFS(tbl_Finance[Job Number],C296&amp;"",tbl_Finance[Ex GST],"&lt;&gt;"))</f>
        <v/>
      </c>
      <c r="H296" s="27">
        <f>IF(C296="","",SUMIFS(tbl_Finance[Ex GST],tbl_Finance[Job Number],C296&amp;""))</f>
        <v/>
      </c>
      <c r="I296" s="27">
        <f>IF(C296="","",SUMIFS(tbl_Finance[Ex GST],tbl_Finance[Job Number],C296&amp;"",tbl_Finance[Xero Invoice No],"&lt;&gt;"))</f>
        <v/>
      </c>
      <c r="J296" s="27">
        <f>IF(C296="","",H296-I296)</f>
        <v/>
      </c>
      <c r="K296" s="25">
        <f>IF(C296="","",IF(G296=0,"not invoiced yet",SUBSTITUTE(TRIM(IF(COUNTIFS(tbl_Finance[Job Number],C296&amp;"",tbl_Finance[Cost Centre],"ONSITE")&gt;0,"ONSITE ","")&amp;IF(COUNTIFS(tbl_Finance[Job Number],C296&amp;"",tbl_Finance[Cost Centre],"PRODUCTION")&gt;0,"PRODUCTION ","")&amp;IF(COUNTIFS(tbl_Finance[Job Number],C296&amp;"",tbl_Finance[Cost Centre],"VIDEO")&gt;0,"VIDEO ","")&amp;IF(COUNTIFS(tbl_Finance[Job Number],C296&amp;"",tbl_Finance[Cost Centre],"INTEGRATION")&gt;0,"INTEGRATION ","")&amp;IF(COUNTIFS(tbl_Finance[Job Number],C296&amp;"",tbl_Finance[Cost Centre],"CONSULTING")&gt;0,"CONSULTING ","")&amp;IF(COUNTIFS(tbl_Finance[Job Number],C296&amp;"",tbl_Finance[Cost Centre],"CTS")&gt;0,"CTS ",""))," ",", ")))</f>
        <v/>
      </c>
      <c r="L296" s="24" t="n"/>
      <c r="M296" s="25">
        <f>IF(L296="","",HYPERLINK(IF(LEFT(L296,4)="http",L296,set_QwilrBase&amp;L296),"Open quote"))</f>
        <v/>
      </c>
      <c r="N296" s="26" t="n"/>
      <c r="O296" s="26" t="n"/>
      <c r="P296" s="26" t="n"/>
      <c r="Q296" s="25">
        <f>IF(C296="","",IF(N(N296)+N(O296)+N(P296)=0,"Not split",IF(ROUND(N(N296)+N(O296)+N(P296),2)=ROUND(H296,2),"OK","MISMATCH")))</f>
        <v/>
      </c>
      <c r="R296" s="26" t="n"/>
      <c r="S296" s="26" t="n"/>
      <c r="T296" s="26" t="n"/>
      <c r="U296" s="27">
        <f>IF(C296="","",N(R296)+N(S296)+N(T296))</f>
        <v/>
      </c>
      <c r="V296" s="27">
        <f>IF(C296="","",H296-U296)</f>
        <v/>
      </c>
      <c r="W296" s="29">
        <f>IFERROR(V296/H296,"")</f>
        <v/>
      </c>
      <c r="X296" s="24" t="n"/>
    </row>
    <row r="297" ht="15" customHeight="1">
      <c r="A297" s="68">
        <f>IF(C297="","",IFERROR(IF(SUMPRODUCT(MAX((tbl_Finance[Job Number]=C297&amp;"")*(tbl_Finance[Xero Invoice No]&lt;&gt;"")*tbl_Finance[Date]))=0,"",SUMPRODUCT(MAX((tbl_Finance[Job Number]=C297&amp;"")*(tbl_Finance[Xero Invoice No]&lt;&gt;"")*tbl_Finance[Date]))),""))</f>
        <v/>
      </c>
      <c r="B297" s="25">
        <f>IF(C297="","",IF(COUNTIFS(tbl_Finance[Job Number],C297&amp;"",tbl_Finance[Xero Invoice No],"&lt;&gt;")=0,"",IFERROR(IF(COUNTIFS(tbl_Finance[Job Number],C297&amp;"",tbl_Finance[Xero Invoice No],LOOKUP(2,1/((tbl_Finance[Job Number]=C297&amp;"")*(tbl_Finance[Xero Invoice No]&lt;&gt;"")),tbl_Finance[Xero Invoice No]))=COUNTIFS(tbl_Finance[Job Number],C297&amp;"",tbl_Finance[Xero Invoice No],"&lt;&gt;"),LOOKUP(2,1/((tbl_Finance[Job Number]=C297&amp;"")*(tbl_Finance[Xero Invoice No]&lt;&gt;"")),tbl_Finance[Xero Invoice No]),LOOKUP(2,1/((tbl_Finance[Job Number]=C297&amp;"")*(tbl_Finance[Xero Invoice No]&lt;&gt;"")),tbl_Finance[Xero Invoice No])&amp;" +more"),"")))</f>
        <v/>
      </c>
      <c r="C297" s="24" t="n"/>
      <c r="D297" s="25">
        <f>IF(C297="","",IF(COUNTIF(lst_Jobs,C297&amp;"")&gt;0,"OK","CHECK"))</f>
        <v/>
      </c>
      <c r="E297" s="25">
        <f>IF(C297="","",IFERROR(INDEX(lst_JobName,MATCH(C297&amp;"",lst_Jobs,0)),""))</f>
        <v/>
      </c>
      <c r="F297" s="25">
        <f>IF(C297="","",IFERROR(INDEX(tbl_Finance[Client],MATCH(C297&amp;"",tbl_Finance[Job Number],0)),""))</f>
        <v/>
      </c>
      <c r="G297" s="28">
        <f>IF(C297="","",COUNTIFS(tbl_Finance[Job Number],C297&amp;"",tbl_Finance[Ex GST],"&lt;&gt;"))</f>
        <v/>
      </c>
      <c r="H297" s="27">
        <f>IF(C297="","",SUMIFS(tbl_Finance[Ex GST],tbl_Finance[Job Number],C297&amp;""))</f>
        <v/>
      </c>
      <c r="I297" s="27">
        <f>IF(C297="","",SUMIFS(tbl_Finance[Ex GST],tbl_Finance[Job Number],C297&amp;"",tbl_Finance[Xero Invoice No],"&lt;&gt;"))</f>
        <v/>
      </c>
      <c r="J297" s="27">
        <f>IF(C297="","",H297-I297)</f>
        <v/>
      </c>
      <c r="K297" s="25">
        <f>IF(C297="","",IF(G297=0,"not invoiced yet",SUBSTITUTE(TRIM(IF(COUNTIFS(tbl_Finance[Job Number],C297&amp;"",tbl_Finance[Cost Centre],"ONSITE")&gt;0,"ONSITE ","")&amp;IF(COUNTIFS(tbl_Finance[Job Number],C297&amp;"",tbl_Finance[Cost Centre],"PRODUCTION")&gt;0,"PRODUCTION ","")&amp;IF(COUNTIFS(tbl_Finance[Job Number],C297&amp;"",tbl_Finance[Cost Centre],"VIDEO")&gt;0,"VIDEO ","")&amp;IF(COUNTIFS(tbl_Finance[Job Number],C297&amp;"",tbl_Finance[Cost Centre],"INTEGRATION")&gt;0,"INTEGRATION ","")&amp;IF(COUNTIFS(tbl_Finance[Job Number],C297&amp;"",tbl_Finance[Cost Centre],"CONSULTING")&gt;0,"CONSULTING ","")&amp;IF(COUNTIFS(tbl_Finance[Job Number],C297&amp;"",tbl_Finance[Cost Centre],"CTS")&gt;0,"CTS ",""))," ",", ")))</f>
        <v/>
      </c>
      <c r="L297" s="24" t="n"/>
      <c r="M297" s="25">
        <f>IF(L297="","",HYPERLINK(IF(LEFT(L297,4)="http",L297,set_QwilrBase&amp;L297),"Open quote"))</f>
        <v/>
      </c>
      <c r="N297" s="26" t="n"/>
      <c r="O297" s="26" t="n"/>
      <c r="P297" s="26" t="n"/>
      <c r="Q297" s="25">
        <f>IF(C297="","",IF(N(N297)+N(O297)+N(P297)=0,"Not split",IF(ROUND(N(N297)+N(O297)+N(P297),2)=ROUND(H297,2),"OK","MISMATCH")))</f>
        <v/>
      </c>
      <c r="R297" s="26" t="n"/>
      <c r="S297" s="26" t="n"/>
      <c r="T297" s="26" t="n"/>
      <c r="U297" s="27">
        <f>IF(C297="","",N(R297)+N(S297)+N(T297))</f>
        <v/>
      </c>
      <c r="V297" s="27">
        <f>IF(C297="","",H297-U297)</f>
        <v/>
      </c>
      <c r="W297" s="29">
        <f>IFERROR(V297/H297,"")</f>
        <v/>
      </c>
      <c r="X297" s="24" t="n"/>
    </row>
    <row r="298" ht="15" customHeight="1">
      <c r="A298" s="68">
        <f>IF(C298="","",IFERROR(IF(SUMPRODUCT(MAX((tbl_Finance[Job Number]=C298&amp;"")*(tbl_Finance[Xero Invoice No]&lt;&gt;"")*tbl_Finance[Date]))=0,"",SUMPRODUCT(MAX((tbl_Finance[Job Number]=C298&amp;"")*(tbl_Finance[Xero Invoice No]&lt;&gt;"")*tbl_Finance[Date]))),""))</f>
        <v/>
      </c>
      <c r="B298" s="25">
        <f>IF(C298="","",IF(COUNTIFS(tbl_Finance[Job Number],C298&amp;"",tbl_Finance[Xero Invoice No],"&lt;&gt;")=0,"",IFERROR(IF(COUNTIFS(tbl_Finance[Job Number],C298&amp;"",tbl_Finance[Xero Invoice No],LOOKUP(2,1/((tbl_Finance[Job Number]=C298&amp;"")*(tbl_Finance[Xero Invoice No]&lt;&gt;"")),tbl_Finance[Xero Invoice No]))=COUNTIFS(tbl_Finance[Job Number],C298&amp;"",tbl_Finance[Xero Invoice No],"&lt;&gt;"),LOOKUP(2,1/((tbl_Finance[Job Number]=C298&amp;"")*(tbl_Finance[Xero Invoice No]&lt;&gt;"")),tbl_Finance[Xero Invoice No]),LOOKUP(2,1/((tbl_Finance[Job Number]=C298&amp;"")*(tbl_Finance[Xero Invoice No]&lt;&gt;"")),tbl_Finance[Xero Invoice No])&amp;" +more"),"")))</f>
        <v/>
      </c>
      <c r="C298" s="24" t="n"/>
      <c r="D298" s="25">
        <f>IF(C298="","",IF(COUNTIF(lst_Jobs,C298&amp;"")&gt;0,"OK","CHECK"))</f>
        <v/>
      </c>
      <c r="E298" s="25">
        <f>IF(C298="","",IFERROR(INDEX(lst_JobName,MATCH(C298&amp;"",lst_Jobs,0)),""))</f>
        <v/>
      </c>
      <c r="F298" s="25">
        <f>IF(C298="","",IFERROR(INDEX(tbl_Finance[Client],MATCH(C298&amp;"",tbl_Finance[Job Number],0)),""))</f>
        <v/>
      </c>
      <c r="G298" s="28">
        <f>IF(C298="","",COUNTIFS(tbl_Finance[Job Number],C298&amp;"",tbl_Finance[Ex GST],"&lt;&gt;"))</f>
        <v/>
      </c>
      <c r="H298" s="27">
        <f>IF(C298="","",SUMIFS(tbl_Finance[Ex GST],tbl_Finance[Job Number],C298&amp;""))</f>
        <v/>
      </c>
      <c r="I298" s="27">
        <f>IF(C298="","",SUMIFS(tbl_Finance[Ex GST],tbl_Finance[Job Number],C298&amp;"",tbl_Finance[Xero Invoice No],"&lt;&gt;"))</f>
        <v/>
      </c>
      <c r="J298" s="27">
        <f>IF(C298="","",H298-I298)</f>
        <v/>
      </c>
      <c r="K298" s="25">
        <f>IF(C298="","",IF(G298=0,"not invoiced yet",SUBSTITUTE(TRIM(IF(COUNTIFS(tbl_Finance[Job Number],C298&amp;"",tbl_Finance[Cost Centre],"ONSITE")&gt;0,"ONSITE ","")&amp;IF(COUNTIFS(tbl_Finance[Job Number],C298&amp;"",tbl_Finance[Cost Centre],"PRODUCTION")&gt;0,"PRODUCTION ","")&amp;IF(COUNTIFS(tbl_Finance[Job Number],C298&amp;"",tbl_Finance[Cost Centre],"VIDEO")&gt;0,"VIDEO ","")&amp;IF(COUNTIFS(tbl_Finance[Job Number],C298&amp;"",tbl_Finance[Cost Centre],"INTEGRATION")&gt;0,"INTEGRATION ","")&amp;IF(COUNTIFS(tbl_Finance[Job Number],C298&amp;"",tbl_Finance[Cost Centre],"CONSULTING")&gt;0,"CONSULTING ","")&amp;IF(COUNTIFS(tbl_Finance[Job Number],C298&amp;"",tbl_Finance[Cost Centre],"CTS")&gt;0,"CTS ",""))," ",", ")))</f>
        <v/>
      </c>
      <c r="L298" s="24" t="n"/>
      <c r="M298" s="25">
        <f>IF(L298="","",HYPERLINK(IF(LEFT(L298,4)="http",L298,set_QwilrBase&amp;L298),"Open quote"))</f>
        <v/>
      </c>
      <c r="N298" s="26" t="n"/>
      <c r="O298" s="26" t="n"/>
      <c r="P298" s="26" t="n"/>
      <c r="Q298" s="25">
        <f>IF(C298="","",IF(N(N298)+N(O298)+N(P298)=0,"Not split",IF(ROUND(N(N298)+N(O298)+N(P298),2)=ROUND(H298,2),"OK","MISMATCH")))</f>
        <v/>
      </c>
      <c r="R298" s="26" t="n"/>
      <c r="S298" s="26" t="n"/>
      <c r="T298" s="26" t="n"/>
      <c r="U298" s="27">
        <f>IF(C298="","",N(R298)+N(S298)+N(T298))</f>
        <v/>
      </c>
      <c r="V298" s="27">
        <f>IF(C298="","",H298-U298)</f>
        <v/>
      </c>
      <c r="W298" s="29">
        <f>IFERROR(V298/H298,"")</f>
        <v/>
      </c>
      <c r="X298" s="24" t="n"/>
    </row>
    <row r="299" ht="15" customHeight="1">
      <c r="A299" s="68">
        <f>IF(C299="","",IFERROR(IF(SUMPRODUCT(MAX((tbl_Finance[Job Number]=C299&amp;"")*(tbl_Finance[Xero Invoice No]&lt;&gt;"")*tbl_Finance[Date]))=0,"",SUMPRODUCT(MAX((tbl_Finance[Job Number]=C299&amp;"")*(tbl_Finance[Xero Invoice No]&lt;&gt;"")*tbl_Finance[Date]))),""))</f>
        <v/>
      </c>
      <c r="B299" s="25">
        <f>IF(C299="","",IF(COUNTIFS(tbl_Finance[Job Number],C299&amp;"",tbl_Finance[Xero Invoice No],"&lt;&gt;")=0,"",IFERROR(IF(COUNTIFS(tbl_Finance[Job Number],C299&amp;"",tbl_Finance[Xero Invoice No],LOOKUP(2,1/((tbl_Finance[Job Number]=C299&amp;"")*(tbl_Finance[Xero Invoice No]&lt;&gt;"")),tbl_Finance[Xero Invoice No]))=COUNTIFS(tbl_Finance[Job Number],C299&amp;"",tbl_Finance[Xero Invoice No],"&lt;&gt;"),LOOKUP(2,1/((tbl_Finance[Job Number]=C299&amp;"")*(tbl_Finance[Xero Invoice No]&lt;&gt;"")),tbl_Finance[Xero Invoice No]),LOOKUP(2,1/((tbl_Finance[Job Number]=C299&amp;"")*(tbl_Finance[Xero Invoice No]&lt;&gt;"")),tbl_Finance[Xero Invoice No])&amp;" +more"),"")))</f>
        <v/>
      </c>
      <c r="C299" s="24" t="n"/>
      <c r="D299" s="25">
        <f>IF(C299="","",IF(COUNTIF(lst_Jobs,C299&amp;"")&gt;0,"OK","CHECK"))</f>
        <v/>
      </c>
      <c r="E299" s="25">
        <f>IF(C299="","",IFERROR(INDEX(lst_JobName,MATCH(C299&amp;"",lst_Jobs,0)),""))</f>
        <v/>
      </c>
      <c r="F299" s="25">
        <f>IF(C299="","",IFERROR(INDEX(tbl_Finance[Client],MATCH(C299&amp;"",tbl_Finance[Job Number],0)),""))</f>
        <v/>
      </c>
      <c r="G299" s="28">
        <f>IF(C299="","",COUNTIFS(tbl_Finance[Job Number],C299&amp;"",tbl_Finance[Ex GST],"&lt;&gt;"))</f>
        <v/>
      </c>
      <c r="H299" s="27">
        <f>IF(C299="","",SUMIFS(tbl_Finance[Ex GST],tbl_Finance[Job Number],C299&amp;""))</f>
        <v/>
      </c>
      <c r="I299" s="27">
        <f>IF(C299="","",SUMIFS(tbl_Finance[Ex GST],tbl_Finance[Job Number],C299&amp;"",tbl_Finance[Xero Invoice No],"&lt;&gt;"))</f>
        <v/>
      </c>
      <c r="J299" s="27">
        <f>IF(C299="","",H299-I299)</f>
        <v/>
      </c>
      <c r="K299" s="25">
        <f>IF(C299="","",IF(G299=0,"not invoiced yet",SUBSTITUTE(TRIM(IF(COUNTIFS(tbl_Finance[Job Number],C299&amp;"",tbl_Finance[Cost Centre],"ONSITE")&gt;0,"ONSITE ","")&amp;IF(COUNTIFS(tbl_Finance[Job Number],C299&amp;"",tbl_Finance[Cost Centre],"PRODUCTION")&gt;0,"PRODUCTION ","")&amp;IF(COUNTIFS(tbl_Finance[Job Number],C299&amp;"",tbl_Finance[Cost Centre],"VIDEO")&gt;0,"VIDEO ","")&amp;IF(COUNTIFS(tbl_Finance[Job Number],C299&amp;"",tbl_Finance[Cost Centre],"INTEGRATION")&gt;0,"INTEGRATION ","")&amp;IF(COUNTIFS(tbl_Finance[Job Number],C299&amp;"",tbl_Finance[Cost Centre],"CONSULTING")&gt;0,"CONSULTING ","")&amp;IF(COUNTIFS(tbl_Finance[Job Number],C299&amp;"",tbl_Finance[Cost Centre],"CTS")&gt;0,"CTS ",""))," ",", ")))</f>
        <v/>
      </c>
      <c r="L299" s="24" t="n"/>
      <c r="M299" s="25">
        <f>IF(L299="","",HYPERLINK(IF(LEFT(L299,4)="http",L299,set_QwilrBase&amp;L299),"Open quote"))</f>
        <v/>
      </c>
      <c r="N299" s="26" t="n"/>
      <c r="O299" s="26" t="n"/>
      <c r="P299" s="26" t="n"/>
      <c r="Q299" s="25">
        <f>IF(C299="","",IF(N(N299)+N(O299)+N(P299)=0,"Not split",IF(ROUND(N(N299)+N(O299)+N(P299),2)=ROUND(H299,2),"OK","MISMATCH")))</f>
        <v/>
      </c>
      <c r="R299" s="26" t="n"/>
      <c r="S299" s="26" t="n"/>
      <c r="T299" s="26" t="n"/>
      <c r="U299" s="27">
        <f>IF(C299="","",N(R299)+N(S299)+N(T299))</f>
        <v/>
      </c>
      <c r="V299" s="27">
        <f>IF(C299="","",H299-U299)</f>
        <v/>
      </c>
      <c r="W299" s="29">
        <f>IFERROR(V299/H299,"")</f>
        <v/>
      </c>
      <c r="X299" s="24" t="n"/>
    </row>
    <row r="300" ht="15" customHeight="1">
      <c r="A300" s="68">
        <f>IF(C300="","",IFERROR(IF(SUMPRODUCT(MAX((tbl_Finance[Job Number]=C300&amp;"")*(tbl_Finance[Xero Invoice No]&lt;&gt;"")*tbl_Finance[Date]))=0,"",SUMPRODUCT(MAX((tbl_Finance[Job Number]=C300&amp;"")*(tbl_Finance[Xero Invoice No]&lt;&gt;"")*tbl_Finance[Date]))),""))</f>
        <v/>
      </c>
      <c r="B300" s="25">
        <f>IF(C300="","",IF(COUNTIFS(tbl_Finance[Job Number],C300&amp;"",tbl_Finance[Xero Invoice No],"&lt;&gt;")=0,"",IFERROR(IF(COUNTIFS(tbl_Finance[Job Number],C300&amp;"",tbl_Finance[Xero Invoice No],LOOKUP(2,1/((tbl_Finance[Job Number]=C300&amp;"")*(tbl_Finance[Xero Invoice No]&lt;&gt;"")),tbl_Finance[Xero Invoice No]))=COUNTIFS(tbl_Finance[Job Number],C300&amp;"",tbl_Finance[Xero Invoice No],"&lt;&gt;"),LOOKUP(2,1/((tbl_Finance[Job Number]=C300&amp;"")*(tbl_Finance[Xero Invoice No]&lt;&gt;"")),tbl_Finance[Xero Invoice No]),LOOKUP(2,1/((tbl_Finance[Job Number]=C300&amp;"")*(tbl_Finance[Xero Invoice No]&lt;&gt;"")),tbl_Finance[Xero Invoice No])&amp;" +more"),"")))</f>
        <v/>
      </c>
      <c r="C300" s="24" t="n"/>
      <c r="D300" s="25">
        <f>IF(C300="","",IF(COUNTIF(lst_Jobs,C300&amp;"")&gt;0,"OK","CHECK"))</f>
        <v/>
      </c>
      <c r="E300" s="25">
        <f>IF(C300="","",IFERROR(INDEX(lst_JobName,MATCH(C300&amp;"",lst_Jobs,0)),""))</f>
        <v/>
      </c>
      <c r="F300" s="25">
        <f>IF(C300="","",IFERROR(INDEX(tbl_Finance[Client],MATCH(C300&amp;"",tbl_Finance[Job Number],0)),""))</f>
        <v/>
      </c>
      <c r="G300" s="28">
        <f>IF(C300="","",COUNTIFS(tbl_Finance[Job Number],C300&amp;"",tbl_Finance[Ex GST],"&lt;&gt;"))</f>
        <v/>
      </c>
      <c r="H300" s="27">
        <f>IF(C300="","",SUMIFS(tbl_Finance[Ex GST],tbl_Finance[Job Number],C300&amp;""))</f>
        <v/>
      </c>
      <c r="I300" s="27">
        <f>IF(C300="","",SUMIFS(tbl_Finance[Ex GST],tbl_Finance[Job Number],C300&amp;"",tbl_Finance[Xero Invoice No],"&lt;&gt;"))</f>
        <v/>
      </c>
      <c r="J300" s="27">
        <f>IF(C300="","",H300-I300)</f>
        <v/>
      </c>
      <c r="K300" s="25">
        <f>IF(C300="","",IF(G300=0,"not invoiced yet",SUBSTITUTE(TRIM(IF(COUNTIFS(tbl_Finance[Job Number],C300&amp;"",tbl_Finance[Cost Centre],"ONSITE")&gt;0,"ONSITE ","")&amp;IF(COUNTIFS(tbl_Finance[Job Number],C300&amp;"",tbl_Finance[Cost Centre],"PRODUCTION")&gt;0,"PRODUCTION ","")&amp;IF(COUNTIFS(tbl_Finance[Job Number],C300&amp;"",tbl_Finance[Cost Centre],"VIDEO")&gt;0,"VIDEO ","")&amp;IF(COUNTIFS(tbl_Finance[Job Number],C300&amp;"",tbl_Finance[Cost Centre],"INTEGRATION")&gt;0,"INTEGRATION ","")&amp;IF(COUNTIFS(tbl_Finance[Job Number],C300&amp;"",tbl_Finance[Cost Centre],"CONSULTING")&gt;0,"CONSULTING ","")&amp;IF(COUNTIFS(tbl_Finance[Job Number],C300&amp;"",tbl_Finance[Cost Centre],"CTS")&gt;0,"CTS ",""))," ",", ")))</f>
        <v/>
      </c>
      <c r="L300" s="24" t="n"/>
      <c r="M300" s="25">
        <f>IF(L300="","",HYPERLINK(IF(LEFT(L300,4)="http",L300,set_QwilrBase&amp;L300),"Open quote"))</f>
        <v/>
      </c>
      <c r="N300" s="26" t="n"/>
      <c r="O300" s="26" t="n"/>
      <c r="P300" s="26" t="n"/>
      <c r="Q300" s="25">
        <f>IF(C300="","",IF(N(N300)+N(O300)+N(P300)=0,"Not split",IF(ROUND(N(N300)+N(O300)+N(P300),2)=ROUND(H300,2),"OK","MISMATCH")))</f>
        <v/>
      </c>
      <c r="R300" s="26" t="n"/>
      <c r="S300" s="26" t="n"/>
      <c r="T300" s="26" t="n"/>
      <c r="U300" s="27">
        <f>IF(C300="","",N(R300)+N(S300)+N(T300))</f>
        <v/>
      </c>
      <c r="V300" s="27">
        <f>IF(C300="","",H300-U300)</f>
        <v/>
      </c>
      <c r="W300" s="29">
        <f>IFERROR(V300/H300,"")</f>
        <v/>
      </c>
      <c r="X300" s="24" t="n"/>
    </row>
    <row r="301" ht="15" customHeight="1">
      <c r="A301" s="68">
        <f>IF(C301="","",IFERROR(IF(SUMPRODUCT(MAX((tbl_Finance[Job Number]=C301&amp;"")*(tbl_Finance[Xero Invoice No]&lt;&gt;"")*tbl_Finance[Date]))=0,"",SUMPRODUCT(MAX((tbl_Finance[Job Number]=C301&amp;"")*(tbl_Finance[Xero Invoice No]&lt;&gt;"")*tbl_Finance[Date]))),""))</f>
        <v/>
      </c>
      <c r="B301" s="25">
        <f>IF(C301="","",IF(COUNTIFS(tbl_Finance[Job Number],C301&amp;"",tbl_Finance[Xero Invoice No],"&lt;&gt;")=0,"",IFERROR(IF(COUNTIFS(tbl_Finance[Job Number],C301&amp;"",tbl_Finance[Xero Invoice No],LOOKUP(2,1/((tbl_Finance[Job Number]=C301&amp;"")*(tbl_Finance[Xero Invoice No]&lt;&gt;"")),tbl_Finance[Xero Invoice No]))=COUNTIFS(tbl_Finance[Job Number],C301&amp;"",tbl_Finance[Xero Invoice No],"&lt;&gt;"),LOOKUP(2,1/((tbl_Finance[Job Number]=C301&amp;"")*(tbl_Finance[Xero Invoice No]&lt;&gt;"")),tbl_Finance[Xero Invoice No]),LOOKUP(2,1/((tbl_Finance[Job Number]=C301&amp;"")*(tbl_Finance[Xero Invoice No]&lt;&gt;"")),tbl_Finance[Xero Invoice No])&amp;" +more"),"")))</f>
        <v/>
      </c>
      <c r="C301" s="24" t="n"/>
      <c r="D301" s="25">
        <f>IF(C301="","",IF(COUNTIF(lst_Jobs,C301&amp;"")&gt;0,"OK","CHECK"))</f>
        <v/>
      </c>
      <c r="E301" s="25">
        <f>IF(C301="","",IFERROR(INDEX(lst_JobName,MATCH(C301&amp;"",lst_Jobs,0)),""))</f>
        <v/>
      </c>
      <c r="F301" s="25">
        <f>IF(C301="","",IFERROR(INDEX(tbl_Finance[Client],MATCH(C301&amp;"",tbl_Finance[Job Number],0)),""))</f>
        <v/>
      </c>
      <c r="G301" s="28">
        <f>IF(C301="","",COUNTIFS(tbl_Finance[Job Number],C301&amp;"",tbl_Finance[Ex GST],"&lt;&gt;"))</f>
        <v/>
      </c>
      <c r="H301" s="27">
        <f>IF(C301="","",SUMIFS(tbl_Finance[Ex GST],tbl_Finance[Job Number],C301&amp;""))</f>
        <v/>
      </c>
      <c r="I301" s="27">
        <f>IF(C301="","",SUMIFS(tbl_Finance[Ex GST],tbl_Finance[Job Number],C301&amp;"",tbl_Finance[Xero Invoice No],"&lt;&gt;"))</f>
        <v/>
      </c>
      <c r="J301" s="27">
        <f>IF(C301="","",H301-I301)</f>
        <v/>
      </c>
      <c r="K301" s="25">
        <f>IF(C301="","",IF(G301=0,"not invoiced yet",SUBSTITUTE(TRIM(IF(COUNTIFS(tbl_Finance[Job Number],C301&amp;"",tbl_Finance[Cost Centre],"ONSITE")&gt;0,"ONSITE ","")&amp;IF(COUNTIFS(tbl_Finance[Job Number],C301&amp;"",tbl_Finance[Cost Centre],"PRODUCTION")&gt;0,"PRODUCTION ","")&amp;IF(COUNTIFS(tbl_Finance[Job Number],C301&amp;"",tbl_Finance[Cost Centre],"VIDEO")&gt;0,"VIDEO ","")&amp;IF(COUNTIFS(tbl_Finance[Job Number],C301&amp;"",tbl_Finance[Cost Centre],"INTEGRATION")&gt;0,"INTEGRATION ","")&amp;IF(COUNTIFS(tbl_Finance[Job Number],C301&amp;"",tbl_Finance[Cost Centre],"CONSULTING")&gt;0,"CONSULTING ","")&amp;IF(COUNTIFS(tbl_Finance[Job Number],C301&amp;"",tbl_Finance[Cost Centre],"CTS")&gt;0,"CTS ",""))," ",", ")))</f>
        <v/>
      </c>
      <c r="L301" s="24" t="n"/>
      <c r="M301" s="25">
        <f>IF(L301="","",HYPERLINK(IF(LEFT(L301,4)="http",L301,set_QwilrBase&amp;L301),"Open quote"))</f>
        <v/>
      </c>
      <c r="N301" s="26" t="n"/>
      <c r="O301" s="26" t="n"/>
      <c r="P301" s="26" t="n"/>
      <c r="Q301" s="25">
        <f>IF(C301="","",IF(N(N301)+N(O301)+N(P301)=0,"Not split",IF(ROUND(N(N301)+N(O301)+N(P301),2)=ROUND(H301,2),"OK","MISMATCH")))</f>
        <v/>
      </c>
      <c r="R301" s="26" t="n"/>
      <c r="S301" s="26" t="n"/>
      <c r="T301" s="26" t="n"/>
      <c r="U301" s="27">
        <f>IF(C301="","",N(R301)+N(S301)+N(T301))</f>
        <v/>
      </c>
      <c r="V301" s="27">
        <f>IF(C301="","",H301-U301)</f>
        <v/>
      </c>
      <c r="W301" s="29">
        <f>IFERROR(V301/H301,"")</f>
        <v/>
      </c>
      <c r="X301" s="24" t="n"/>
    </row>
    <row r="302" ht="15" customHeight="1">
      <c r="A302" s="68">
        <f>IF(C302="","",IFERROR(IF(SUMPRODUCT(MAX((tbl_Finance[Job Number]=C302&amp;"")*(tbl_Finance[Xero Invoice No]&lt;&gt;"")*tbl_Finance[Date]))=0,"",SUMPRODUCT(MAX((tbl_Finance[Job Number]=C302&amp;"")*(tbl_Finance[Xero Invoice No]&lt;&gt;"")*tbl_Finance[Date]))),""))</f>
        <v/>
      </c>
      <c r="B302" s="25">
        <f>IF(C302="","",IF(COUNTIFS(tbl_Finance[Job Number],C302&amp;"",tbl_Finance[Xero Invoice No],"&lt;&gt;")=0,"",IFERROR(IF(COUNTIFS(tbl_Finance[Job Number],C302&amp;"",tbl_Finance[Xero Invoice No],LOOKUP(2,1/((tbl_Finance[Job Number]=C302&amp;"")*(tbl_Finance[Xero Invoice No]&lt;&gt;"")),tbl_Finance[Xero Invoice No]))=COUNTIFS(tbl_Finance[Job Number],C302&amp;"",tbl_Finance[Xero Invoice No],"&lt;&gt;"),LOOKUP(2,1/((tbl_Finance[Job Number]=C302&amp;"")*(tbl_Finance[Xero Invoice No]&lt;&gt;"")),tbl_Finance[Xero Invoice No]),LOOKUP(2,1/((tbl_Finance[Job Number]=C302&amp;"")*(tbl_Finance[Xero Invoice No]&lt;&gt;"")),tbl_Finance[Xero Invoice No])&amp;" +more"),"")))</f>
        <v/>
      </c>
      <c r="C302" s="24" t="n"/>
      <c r="D302" s="25">
        <f>IF(C302="","",IF(COUNTIF(lst_Jobs,C302&amp;"")&gt;0,"OK","CHECK"))</f>
        <v/>
      </c>
      <c r="E302" s="25">
        <f>IF(C302="","",IFERROR(INDEX(lst_JobName,MATCH(C302&amp;"",lst_Jobs,0)),""))</f>
        <v/>
      </c>
      <c r="F302" s="25">
        <f>IF(C302="","",IFERROR(INDEX(tbl_Finance[Client],MATCH(C302&amp;"",tbl_Finance[Job Number],0)),""))</f>
        <v/>
      </c>
      <c r="G302" s="28">
        <f>IF(C302="","",COUNTIFS(tbl_Finance[Job Number],C302&amp;"",tbl_Finance[Ex GST],"&lt;&gt;"))</f>
        <v/>
      </c>
      <c r="H302" s="27">
        <f>IF(C302="","",SUMIFS(tbl_Finance[Ex GST],tbl_Finance[Job Number],C302&amp;""))</f>
        <v/>
      </c>
      <c r="I302" s="27">
        <f>IF(C302="","",SUMIFS(tbl_Finance[Ex GST],tbl_Finance[Job Number],C302&amp;"",tbl_Finance[Xero Invoice No],"&lt;&gt;"))</f>
        <v/>
      </c>
      <c r="J302" s="27">
        <f>IF(C302="","",H302-I302)</f>
        <v/>
      </c>
      <c r="K302" s="25">
        <f>IF(C302="","",IF(G302=0,"not invoiced yet",SUBSTITUTE(TRIM(IF(COUNTIFS(tbl_Finance[Job Number],C302&amp;"",tbl_Finance[Cost Centre],"ONSITE")&gt;0,"ONSITE ","")&amp;IF(COUNTIFS(tbl_Finance[Job Number],C302&amp;"",tbl_Finance[Cost Centre],"PRODUCTION")&gt;0,"PRODUCTION ","")&amp;IF(COUNTIFS(tbl_Finance[Job Number],C302&amp;"",tbl_Finance[Cost Centre],"VIDEO")&gt;0,"VIDEO ","")&amp;IF(COUNTIFS(tbl_Finance[Job Number],C302&amp;"",tbl_Finance[Cost Centre],"INTEGRATION")&gt;0,"INTEGRATION ","")&amp;IF(COUNTIFS(tbl_Finance[Job Number],C302&amp;"",tbl_Finance[Cost Centre],"CONSULTING")&gt;0,"CONSULTING ","")&amp;IF(COUNTIFS(tbl_Finance[Job Number],C302&amp;"",tbl_Finance[Cost Centre],"CTS")&gt;0,"CTS ",""))," ",", ")))</f>
        <v/>
      </c>
      <c r="L302" s="24" t="n"/>
      <c r="M302" s="25">
        <f>IF(L302="","",HYPERLINK(IF(LEFT(L302,4)="http",L302,set_QwilrBase&amp;L302),"Open quote"))</f>
        <v/>
      </c>
      <c r="N302" s="26" t="n"/>
      <c r="O302" s="26" t="n"/>
      <c r="P302" s="26" t="n"/>
      <c r="Q302" s="25">
        <f>IF(C302="","",IF(N(N302)+N(O302)+N(P302)=0,"Not split",IF(ROUND(N(N302)+N(O302)+N(P302),2)=ROUND(H302,2),"OK","MISMATCH")))</f>
        <v/>
      </c>
      <c r="R302" s="26" t="n"/>
      <c r="S302" s="26" t="n"/>
      <c r="T302" s="26" t="n"/>
      <c r="U302" s="27">
        <f>IF(C302="","",N(R302)+N(S302)+N(T302))</f>
        <v/>
      </c>
      <c r="V302" s="27">
        <f>IF(C302="","",H302-U302)</f>
        <v/>
      </c>
      <c r="W302" s="29">
        <f>IFERROR(V302/H302,"")</f>
        <v/>
      </c>
      <c r="X302" s="24" t="n"/>
    </row>
    <row r="303" ht="15" customHeight="1">
      <c r="A303" s="68">
        <f>IF(C303="","",IFERROR(IF(SUMPRODUCT(MAX((tbl_Finance[Job Number]=C303&amp;"")*(tbl_Finance[Xero Invoice No]&lt;&gt;"")*tbl_Finance[Date]))=0,"",SUMPRODUCT(MAX((tbl_Finance[Job Number]=C303&amp;"")*(tbl_Finance[Xero Invoice No]&lt;&gt;"")*tbl_Finance[Date]))),""))</f>
        <v/>
      </c>
      <c r="B303" s="25">
        <f>IF(C303="","",IF(COUNTIFS(tbl_Finance[Job Number],C303&amp;"",tbl_Finance[Xero Invoice No],"&lt;&gt;")=0,"",IFERROR(IF(COUNTIFS(tbl_Finance[Job Number],C303&amp;"",tbl_Finance[Xero Invoice No],LOOKUP(2,1/((tbl_Finance[Job Number]=C303&amp;"")*(tbl_Finance[Xero Invoice No]&lt;&gt;"")),tbl_Finance[Xero Invoice No]))=COUNTIFS(tbl_Finance[Job Number],C303&amp;"",tbl_Finance[Xero Invoice No],"&lt;&gt;"),LOOKUP(2,1/((tbl_Finance[Job Number]=C303&amp;"")*(tbl_Finance[Xero Invoice No]&lt;&gt;"")),tbl_Finance[Xero Invoice No]),LOOKUP(2,1/((tbl_Finance[Job Number]=C303&amp;"")*(tbl_Finance[Xero Invoice No]&lt;&gt;"")),tbl_Finance[Xero Invoice No])&amp;" +more"),"")))</f>
        <v/>
      </c>
      <c r="C303" s="24" t="n"/>
      <c r="D303" s="25">
        <f>IF(C303="","",IF(COUNTIF(lst_Jobs,C303&amp;"")&gt;0,"OK","CHECK"))</f>
        <v/>
      </c>
      <c r="E303" s="25">
        <f>IF(C303="","",IFERROR(INDEX(lst_JobName,MATCH(C303&amp;"",lst_Jobs,0)),""))</f>
        <v/>
      </c>
      <c r="F303" s="25">
        <f>IF(C303="","",IFERROR(INDEX(tbl_Finance[Client],MATCH(C303&amp;"",tbl_Finance[Job Number],0)),""))</f>
        <v/>
      </c>
      <c r="G303" s="28">
        <f>IF(C303="","",COUNTIFS(tbl_Finance[Job Number],C303&amp;"",tbl_Finance[Ex GST],"&lt;&gt;"))</f>
        <v/>
      </c>
      <c r="H303" s="27">
        <f>IF(C303="","",SUMIFS(tbl_Finance[Ex GST],tbl_Finance[Job Number],C303&amp;""))</f>
        <v/>
      </c>
      <c r="I303" s="27">
        <f>IF(C303="","",SUMIFS(tbl_Finance[Ex GST],tbl_Finance[Job Number],C303&amp;"",tbl_Finance[Xero Invoice No],"&lt;&gt;"))</f>
        <v/>
      </c>
      <c r="J303" s="27">
        <f>IF(C303="","",H303-I303)</f>
        <v/>
      </c>
      <c r="K303" s="25">
        <f>IF(C303="","",IF(G303=0,"not invoiced yet",SUBSTITUTE(TRIM(IF(COUNTIFS(tbl_Finance[Job Number],C303&amp;"",tbl_Finance[Cost Centre],"ONSITE")&gt;0,"ONSITE ","")&amp;IF(COUNTIFS(tbl_Finance[Job Number],C303&amp;"",tbl_Finance[Cost Centre],"PRODUCTION")&gt;0,"PRODUCTION ","")&amp;IF(COUNTIFS(tbl_Finance[Job Number],C303&amp;"",tbl_Finance[Cost Centre],"VIDEO")&gt;0,"VIDEO ","")&amp;IF(COUNTIFS(tbl_Finance[Job Number],C303&amp;"",tbl_Finance[Cost Centre],"INTEGRATION")&gt;0,"INTEGRATION ","")&amp;IF(COUNTIFS(tbl_Finance[Job Number],C303&amp;"",tbl_Finance[Cost Centre],"CONSULTING")&gt;0,"CONSULTING ","")&amp;IF(COUNTIFS(tbl_Finance[Job Number],C303&amp;"",tbl_Finance[Cost Centre],"CTS")&gt;0,"CTS ",""))," ",", ")))</f>
        <v/>
      </c>
      <c r="L303" s="24" t="n"/>
      <c r="M303" s="25">
        <f>IF(L303="","",HYPERLINK(IF(LEFT(L303,4)="http",L303,set_QwilrBase&amp;L303),"Open quote"))</f>
        <v/>
      </c>
      <c r="N303" s="26" t="n"/>
      <c r="O303" s="26" t="n"/>
      <c r="P303" s="26" t="n"/>
      <c r="Q303" s="25">
        <f>IF(C303="","",IF(N(N303)+N(O303)+N(P303)=0,"Not split",IF(ROUND(N(N303)+N(O303)+N(P303),2)=ROUND(H303,2),"OK","MISMATCH")))</f>
        <v/>
      </c>
      <c r="R303" s="26" t="n"/>
      <c r="S303" s="26" t="n"/>
      <c r="T303" s="26" t="n"/>
      <c r="U303" s="27">
        <f>IF(C303="","",N(R303)+N(S303)+N(T303))</f>
        <v/>
      </c>
      <c r="V303" s="27">
        <f>IF(C303="","",H303-U303)</f>
        <v/>
      </c>
      <c r="W303" s="29">
        <f>IFERROR(V303/H303,"")</f>
        <v/>
      </c>
      <c r="X303" s="24" t="n"/>
    </row>
    <row r="304" ht="15" customHeight="1">
      <c r="A304" s="68">
        <f>IF(C304="","",IFERROR(IF(SUMPRODUCT(MAX((tbl_Finance[Job Number]=C304&amp;"")*(tbl_Finance[Xero Invoice No]&lt;&gt;"")*tbl_Finance[Date]))=0,"",SUMPRODUCT(MAX((tbl_Finance[Job Number]=C304&amp;"")*(tbl_Finance[Xero Invoice No]&lt;&gt;"")*tbl_Finance[Date]))),""))</f>
        <v/>
      </c>
      <c r="B304" s="25">
        <f>IF(C304="","",IF(COUNTIFS(tbl_Finance[Job Number],C304&amp;"",tbl_Finance[Xero Invoice No],"&lt;&gt;")=0,"",IFERROR(IF(COUNTIFS(tbl_Finance[Job Number],C304&amp;"",tbl_Finance[Xero Invoice No],LOOKUP(2,1/((tbl_Finance[Job Number]=C304&amp;"")*(tbl_Finance[Xero Invoice No]&lt;&gt;"")),tbl_Finance[Xero Invoice No]))=COUNTIFS(tbl_Finance[Job Number],C304&amp;"",tbl_Finance[Xero Invoice No],"&lt;&gt;"),LOOKUP(2,1/((tbl_Finance[Job Number]=C304&amp;"")*(tbl_Finance[Xero Invoice No]&lt;&gt;"")),tbl_Finance[Xero Invoice No]),LOOKUP(2,1/((tbl_Finance[Job Number]=C304&amp;"")*(tbl_Finance[Xero Invoice No]&lt;&gt;"")),tbl_Finance[Xero Invoice No])&amp;" +more"),"")))</f>
        <v/>
      </c>
      <c r="C304" s="24" t="n"/>
      <c r="D304" s="25">
        <f>IF(C304="","",IF(COUNTIF(lst_Jobs,C304&amp;"")&gt;0,"OK","CHECK"))</f>
        <v/>
      </c>
      <c r="E304" s="25">
        <f>IF(C304="","",IFERROR(INDEX(lst_JobName,MATCH(C304&amp;"",lst_Jobs,0)),""))</f>
        <v/>
      </c>
      <c r="F304" s="25">
        <f>IF(C304="","",IFERROR(INDEX(tbl_Finance[Client],MATCH(C304&amp;"",tbl_Finance[Job Number],0)),""))</f>
        <v/>
      </c>
      <c r="G304" s="28">
        <f>IF(C304="","",COUNTIFS(tbl_Finance[Job Number],C304&amp;"",tbl_Finance[Ex GST],"&lt;&gt;"))</f>
        <v/>
      </c>
      <c r="H304" s="27">
        <f>IF(C304="","",SUMIFS(tbl_Finance[Ex GST],tbl_Finance[Job Number],C304&amp;""))</f>
        <v/>
      </c>
      <c r="I304" s="27">
        <f>IF(C304="","",SUMIFS(tbl_Finance[Ex GST],tbl_Finance[Job Number],C304&amp;"",tbl_Finance[Xero Invoice No],"&lt;&gt;"))</f>
        <v/>
      </c>
      <c r="J304" s="27">
        <f>IF(C304="","",H304-I304)</f>
        <v/>
      </c>
      <c r="K304" s="25">
        <f>IF(C304="","",IF(G304=0,"not invoiced yet",SUBSTITUTE(TRIM(IF(COUNTIFS(tbl_Finance[Job Number],C304&amp;"",tbl_Finance[Cost Centre],"ONSITE")&gt;0,"ONSITE ","")&amp;IF(COUNTIFS(tbl_Finance[Job Number],C304&amp;"",tbl_Finance[Cost Centre],"PRODUCTION")&gt;0,"PRODUCTION ","")&amp;IF(COUNTIFS(tbl_Finance[Job Number],C304&amp;"",tbl_Finance[Cost Centre],"VIDEO")&gt;0,"VIDEO ","")&amp;IF(COUNTIFS(tbl_Finance[Job Number],C304&amp;"",tbl_Finance[Cost Centre],"INTEGRATION")&gt;0,"INTEGRATION ","")&amp;IF(COUNTIFS(tbl_Finance[Job Number],C304&amp;"",tbl_Finance[Cost Centre],"CONSULTING")&gt;0,"CONSULTING ","")&amp;IF(COUNTIFS(tbl_Finance[Job Number],C304&amp;"",tbl_Finance[Cost Centre],"CTS")&gt;0,"CTS ",""))," ",", ")))</f>
        <v/>
      </c>
      <c r="L304" s="24" t="n"/>
      <c r="M304" s="25">
        <f>IF(L304="","",HYPERLINK(IF(LEFT(L304,4)="http",L304,set_QwilrBase&amp;L304),"Open quote"))</f>
        <v/>
      </c>
      <c r="N304" s="26" t="n"/>
      <c r="O304" s="26" t="n"/>
      <c r="P304" s="26" t="n"/>
      <c r="Q304" s="25">
        <f>IF(C304="","",IF(N(N304)+N(O304)+N(P304)=0,"Not split",IF(ROUND(N(N304)+N(O304)+N(P304),2)=ROUND(H304,2),"OK","MISMATCH")))</f>
        <v/>
      </c>
      <c r="R304" s="26" t="n"/>
      <c r="S304" s="26" t="n"/>
      <c r="T304" s="26" t="n"/>
      <c r="U304" s="27">
        <f>IF(C304="","",N(R304)+N(S304)+N(T304))</f>
        <v/>
      </c>
      <c r="V304" s="27">
        <f>IF(C304="","",H304-U304)</f>
        <v/>
      </c>
      <c r="W304" s="29">
        <f>IFERROR(V304/H304,"")</f>
        <v/>
      </c>
      <c r="X304" s="24" t="n"/>
    </row>
    <row r="305" ht="15" customHeight="1">
      <c r="A305" s="68">
        <f>IF(C305="","",IFERROR(IF(SUMPRODUCT(MAX((tbl_Finance[Job Number]=C305&amp;"")*(tbl_Finance[Xero Invoice No]&lt;&gt;"")*tbl_Finance[Date]))=0,"",SUMPRODUCT(MAX((tbl_Finance[Job Number]=C305&amp;"")*(tbl_Finance[Xero Invoice No]&lt;&gt;"")*tbl_Finance[Date]))),""))</f>
        <v/>
      </c>
      <c r="B305" s="25">
        <f>IF(C305="","",IF(COUNTIFS(tbl_Finance[Job Number],C305&amp;"",tbl_Finance[Xero Invoice No],"&lt;&gt;")=0,"",IFERROR(IF(COUNTIFS(tbl_Finance[Job Number],C305&amp;"",tbl_Finance[Xero Invoice No],LOOKUP(2,1/((tbl_Finance[Job Number]=C305&amp;"")*(tbl_Finance[Xero Invoice No]&lt;&gt;"")),tbl_Finance[Xero Invoice No]))=COUNTIFS(tbl_Finance[Job Number],C305&amp;"",tbl_Finance[Xero Invoice No],"&lt;&gt;"),LOOKUP(2,1/((tbl_Finance[Job Number]=C305&amp;"")*(tbl_Finance[Xero Invoice No]&lt;&gt;"")),tbl_Finance[Xero Invoice No]),LOOKUP(2,1/((tbl_Finance[Job Number]=C305&amp;"")*(tbl_Finance[Xero Invoice No]&lt;&gt;"")),tbl_Finance[Xero Invoice No])&amp;" +more"),"")))</f>
        <v/>
      </c>
      <c r="C305" s="24" t="n"/>
      <c r="D305" s="25">
        <f>IF(C305="","",IF(COUNTIF(lst_Jobs,C305&amp;"")&gt;0,"OK","CHECK"))</f>
        <v/>
      </c>
      <c r="E305" s="25">
        <f>IF(C305="","",IFERROR(INDEX(lst_JobName,MATCH(C305&amp;"",lst_Jobs,0)),""))</f>
        <v/>
      </c>
      <c r="F305" s="25">
        <f>IF(C305="","",IFERROR(INDEX(tbl_Finance[Client],MATCH(C305&amp;"",tbl_Finance[Job Number],0)),""))</f>
        <v/>
      </c>
      <c r="G305" s="28">
        <f>IF(C305="","",COUNTIFS(tbl_Finance[Job Number],C305&amp;"",tbl_Finance[Ex GST],"&lt;&gt;"))</f>
        <v/>
      </c>
      <c r="H305" s="27">
        <f>IF(C305="","",SUMIFS(tbl_Finance[Ex GST],tbl_Finance[Job Number],C305&amp;""))</f>
        <v/>
      </c>
      <c r="I305" s="27">
        <f>IF(C305="","",SUMIFS(tbl_Finance[Ex GST],tbl_Finance[Job Number],C305&amp;"",tbl_Finance[Xero Invoice No],"&lt;&gt;"))</f>
        <v/>
      </c>
      <c r="J305" s="27">
        <f>IF(C305="","",H305-I305)</f>
        <v/>
      </c>
      <c r="K305" s="25">
        <f>IF(C305="","",IF(G305=0,"not invoiced yet",SUBSTITUTE(TRIM(IF(COUNTIFS(tbl_Finance[Job Number],C305&amp;"",tbl_Finance[Cost Centre],"ONSITE")&gt;0,"ONSITE ","")&amp;IF(COUNTIFS(tbl_Finance[Job Number],C305&amp;"",tbl_Finance[Cost Centre],"PRODUCTION")&gt;0,"PRODUCTION ","")&amp;IF(COUNTIFS(tbl_Finance[Job Number],C305&amp;"",tbl_Finance[Cost Centre],"VIDEO")&gt;0,"VIDEO ","")&amp;IF(COUNTIFS(tbl_Finance[Job Number],C305&amp;"",tbl_Finance[Cost Centre],"INTEGRATION")&gt;0,"INTEGRATION ","")&amp;IF(COUNTIFS(tbl_Finance[Job Number],C305&amp;"",tbl_Finance[Cost Centre],"CONSULTING")&gt;0,"CONSULTING ","")&amp;IF(COUNTIFS(tbl_Finance[Job Number],C305&amp;"",tbl_Finance[Cost Centre],"CTS")&gt;0,"CTS ",""))," ",", ")))</f>
        <v/>
      </c>
      <c r="L305" s="24" t="n"/>
      <c r="M305" s="25">
        <f>IF(L305="","",HYPERLINK(IF(LEFT(L305,4)="http",L305,set_QwilrBase&amp;L305),"Open quote"))</f>
        <v/>
      </c>
      <c r="N305" s="26" t="n"/>
      <c r="O305" s="26" t="n"/>
      <c r="P305" s="26" t="n"/>
      <c r="Q305" s="25">
        <f>IF(C305="","",IF(N(N305)+N(O305)+N(P305)=0,"Not split",IF(ROUND(N(N305)+N(O305)+N(P305),2)=ROUND(H305,2),"OK","MISMATCH")))</f>
        <v/>
      </c>
      <c r="R305" s="26" t="n"/>
      <c r="S305" s="26" t="n"/>
      <c r="T305" s="26" t="n"/>
      <c r="U305" s="27">
        <f>IF(C305="","",N(R305)+N(S305)+N(T305))</f>
        <v/>
      </c>
      <c r="V305" s="27">
        <f>IF(C305="","",H305-U305)</f>
        <v/>
      </c>
      <c r="W305" s="29">
        <f>IFERROR(V305/H305,"")</f>
        <v/>
      </c>
      <c r="X305" s="24" t="n"/>
    </row>
    <row r="306" ht="15" customHeight="1">
      <c r="A306" s="68">
        <f>IF(C306="","",IFERROR(IF(SUMPRODUCT(MAX((tbl_Finance[Job Number]=C306&amp;"")*(tbl_Finance[Xero Invoice No]&lt;&gt;"")*tbl_Finance[Date]))=0,"",SUMPRODUCT(MAX((tbl_Finance[Job Number]=C306&amp;"")*(tbl_Finance[Xero Invoice No]&lt;&gt;"")*tbl_Finance[Date]))),""))</f>
        <v/>
      </c>
      <c r="B306" s="25">
        <f>IF(C306="","",IF(COUNTIFS(tbl_Finance[Job Number],C306&amp;"",tbl_Finance[Xero Invoice No],"&lt;&gt;")=0,"",IFERROR(IF(COUNTIFS(tbl_Finance[Job Number],C306&amp;"",tbl_Finance[Xero Invoice No],LOOKUP(2,1/((tbl_Finance[Job Number]=C306&amp;"")*(tbl_Finance[Xero Invoice No]&lt;&gt;"")),tbl_Finance[Xero Invoice No]))=COUNTIFS(tbl_Finance[Job Number],C306&amp;"",tbl_Finance[Xero Invoice No],"&lt;&gt;"),LOOKUP(2,1/((tbl_Finance[Job Number]=C306&amp;"")*(tbl_Finance[Xero Invoice No]&lt;&gt;"")),tbl_Finance[Xero Invoice No]),LOOKUP(2,1/((tbl_Finance[Job Number]=C306&amp;"")*(tbl_Finance[Xero Invoice No]&lt;&gt;"")),tbl_Finance[Xero Invoice No])&amp;" +more"),"")))</f>
        <v/>
      </c>
      <c r="C306" s="24" t="n"/>
      <c r="D306" s="25">
        <f>IF(C306="","",IF(COUNTIF(lst_Jobs,C306&amp;"")&gt;0,"OK","CHECK"))</f>
        <v/>
      </c>
      <c r="E306" s="25">
        <f>IF(C306="","",IFERROR(INDEX(lst_JobName,MATCH(C306&amp;"",lst_Jobs,0)),""))</f>
        <v/>
      </c>
      <c r="F306" s="25">
        <f>IF(C306="","",IFERROR(INDEX(tbl_Finance[Client],MATCH(C306&amp;"",tbl_Finance[Job Number],0)),""))</f>
        <v/>
      </c>
      <c r="G306" s="28">
        <f>IF(C306="","",COUNTIFS(tbl_Finance[Job Number],C306&amp;"",tbl_Finance[Ex GST],"&lt;&gt;"))</f>
        <v/>
      </c>
      <c r="H306" s="27">
        <f>IF(C306="","",SUMIFS(tbl_Finance[Ex GST],tbl_Finance[Job Number],C306&amp;""))</f>
        <v/>
      </c>
      <c r="I306" s="27">
        <f>IF(C306="","",SUMIFS(tbl_Finance[Ex GST],tbl_Finance[Job Number],C306&amp;"",tbl_Finance[Xero Invoice No],"&lt;&gt;"))</f>
        <v/>
      </c>
      <c r="J306" s="27">
        <f>IF(C306="","",H306-I306)</f>
        <v/>
      </c>
      <c r="K306" s="25">
        <f>IF(C306="","",IF(G306=0,"not invoiced yet",SUBSTITUTE(TRIM(IF(COUNTIFS(tbl_Finance[Job Number],C306&amp;"",tbl_Finance[Cost Centre],"ONSITE")&gt;0,"ONSITE ","")&amp;IF(COUNTIFS(tbl_Finance[Job Number],C306&amp;"",tbl_Finance[Cost Centre],"PRODUCTION")&gt;0,"PRODUCTION ","")&amp;IF(COUNTIFS(tbl_Finance[Job Number],C306&amp;"",tbl_Finance[Cost Centre],"VIDEO")&gt;0,"VIDEO ","")&amp;IF(COUNTIFS(tbl_Finance[Job Number],C306&amp;"",tbl_Finance[Cost Centre],"INTEGRATION")&gt;0,"INTEGRATION ","")&amp;IF(COUNTIFS(tbl_Finance[Job Number],C306&amp;"",tbl_Finance[Cost Centre],"CONSULTING")&gt;0,"CONSULTING ","")&amp;IF(COUNTIFS(tbl_Finance[Job Number],C306&amp;"",tbl_Finance[Cost Centre],"CTS")&gt;0,"CTS ",""))," ",", ")))</f>
        <v/>
      </c>
      <c r="L306" s="24" t="n"/>
      <c r="M306" s="25">
        <f>IF(L306="","",HYPERLINK(IF(LEFT(L306,4)="http",L306,set_QwilrBase&amp;L306),"Open quote"))</f>
        <v/>
      </c>
      <c r="N306" s="26" t="n"/>
      <c r="O306" s="26" t="n"/>
      <c r="P306" s="26" t="n"/>
      <c r="Q306" s="25">
        <f>IF(C306="","",IF(N(N306)+N(O306)+N(P306)=0,"Not split",IF(ROUND(N(N306)+N(O306)+N(P306),2)=ROUND(H306,2),"OK","MISMATCH")))</f>
        <v/>
      </c>
      <c r="R306" s="26" t="n"/>
      <c r="S306" s="26" t="n"/>
      <c r="T306" s="26" t="n"/>
      <c r="U306" s="27">
        <f>IF(C306="","",N(R306)+N(S306)+N(T306))</f>
        <v/>
      </c>
      <c r="V306" s="27">
        <f>IF(C306="","",H306-U306)</f>
        <v/>
      </c>
      <c r="W306" s="29">
        <f>IFERROR(V306/H306,"")</f>
        <v/>
      </c>
      <c r="X306" s="24" t="n"/>
    </row>
    <row r="307" ht="15" customHeight="1">
      <c r="A307" s="68">
        <f>IF(C307="","",IFERROR(IF(SUMPRODUCT(MAX((tbl_Finance[Job Number]=C307&amp;"")*(tbl_Finance[Xero Invoice No]&lt;&gt;"")*tbl_Finance[Date]))=0,"",SUMPRODUCT(MAX((tbl_Finance[Job Number]=C307&amp;"")*(tbl_Finance[Xero Invoice No]&lt;&gt;"")*tbl_Finance[Date]))),""))</f>
        <v/>
      </c>
      <c r="B307" s="25">
        <f>IF(C307="","",IF(COUNTIFS(tbl_Finance[Job Number],C307&amp;"",tbl_Finance[Xero Invoice No],"&lt;&gt;")=0,"",IFERROR(IF(COUNTIFS(tbl_Finance[Job Number],C307&amp;"",tbl_Finance[Xero Invoice No],LOOKUP(2,1/((tbl_Finance[Job Number]=C307&amp;"")*(tbl_Finance[Xero Invoice No]&lt;&gt;"")),tbl_Finance[Xero Invoice No]))=COUNTIFS(tbl_Finance[Job Number],C307&amp;"",tbl_Finance[Xero Invoice No],"&lt;&gt;"),LOOKUP(2,1/((tbl_Finance[Job Number]=C307&amp;"")*(tbl_Finance[Xero Invoice No]&lt;&gt;"")),tbl_Finance[Xero Invoice No]),LOOKUP(2,1/((tbl_Finance[Job Number]=C307&amp;"")*(tbl_Finance[Xero Invoice No]&lt;&gt;"")),tbl_Finance[Xero Invoice No])&amp;" +more"),"")))</f>
        <v/>
      </c>
      <c r="C307" s="24" t="n"/>
      <c r="D307" s="25">
        <f>IF(C307="","",IF(COUNTIF(lst_Jobs,C307&amp;"")&gt;0,"OK","CHECK"))</f>
        <v/>
      </c>
      <c r="E307" s="25">
        <f>IF(C307="","",IFERROR(INDEX(lst_JobName,MATCH(C307&amp;"",lst_Jobs,0)),""))</f>
        <v/>
      </c>
      <c r="F307" s="25">
        <f>IF(C307="","",IFERROR(INDEX(tbl_Finance[Client],MATCH(C307&amp;"",tbl_Finance[Job Number],0)),""))</f>
        <v/>
      </c>
      <c r="G307" s="28">
        <f>IF(C307="","",COUNTIFS(tbl_Finance[Job Number],C307&amp;"",tbl_Finance[Ex GST],"&lt;&gt;"))</f>
        <v/>
      </c>
      <c r="H307" s="27">
        <f>IF(C307="","",SUMIFS(tbl_Finance[Ex GST],tbl_Finance[Job Number],C307&amp;""))</f>
        <v/>
      </c>
      <c r="I307" s="27">
        <f>IF(C307="","",SUMIFS(tbl_Finance[Ex GST],tbl_Finance[Job Number],C307&amp;"",tbl_Finance[Xero Invoice No],"&lt;&gt;"))</f>
        <v/>
      </c>
      <c r="J307" s="27">
        <f>IF(C307="","",H307-I307)</f>
        <v/>
      </c>
      <c r="K307" s="25">
        <f>IF(C307="","",IF(G307=0,"not invoiced yet",SUBSTITUTE(TRIM(IF(COUNTIFS(tbl_Finance[Job Number],C307&amp;"",tbl_Finance[Cost Centre],"ONSITE")&gt;0,"ONSITE ","")&amp;IF(COUNTIFS(tbl_Finance[Job Number],C307&amp;"",tbl_Finance[Cost Centre],"PRODUCTION")&gt;0,"PRODUCTION ","")&amp;IF(COUNTIFS(tbl_Finance[Job Number],C307&amp;"",tbl_Finance[Cost Centre],"VIDEO")&gt;0,"VIDEO ","")&amp;IF(COUNTIFS(tbl_Finance[Job Number],C307&amp;"",tbl_Finance[Cost Centre],"INTEGRATION")&gt;0,"INTEGRATION ","")&amp;IF(COUNTIFS(tbl_Finance[Job Number],C307&amp;"",tbl_Finance[Cost Centre],"CONSULTING")&gt;0,"CONSULTING ","")&amp;IF(COUNTIFS(tbl_Finance[Job Number],C307&amp;"",tbl_Finance[Cost Centre],"CTS")&gt;0,"CTS ",""))," ",", ")))</f>
        <v/>
      </c>
      <c r="L307" s="24" t="n"/>
      <c r="M307" s="25">
        <f>IF(L307="","",HYPERLINK(IF(LEFT(L307,4)="http",L307,set_QwilrBase&amp;L307),"Open quote"))</f>
        <v/>
      </c>
      <c r="N307" s="26" t="n"/>
      <c r="O307" s="26" t="n"/>
      <c r="P307" s="26" t="n"/>
      <c r="Q307" s="25">
        <f>IF(C307="","",IF(N(N307)+N(O307)+N(P307)=0,"Not split",IF(ROUND(N(N307)+N(O307)+N(P307),2)=ROUND(H307,2),"OK","MISMATCH")))</f>
        <v/>
      </c>
      <c r="R307" s="26" t="n"/>
      <c r="S307" s="26" t="n"/>
      <c r="T307" s="26" t="n"/>
      <c r="U307" s="27">
        <f>IF(C307="","",N(R307)+N(S307)+N(T307))</f>
        <v/>
      </c>
      <c r="V307" s="27">
        <f>IF(C307="","",H307-U307)</f>
        <v/>
      </c>
      <c r="W307" s="29">
        <f>IFERROR(V307/H307,"")</f>
        <v/>
      </c>
      <c r="X307" s="24" t="n"/>
    </row>
    <row r="308" ht="15" customHeight="1">
      <c r="A308" s="68">
        <f>IF(C308="","",IFERROR(IF(SUMPRODUCT(MAX((tbl_Finance[Job Number]=C308&amp;"")*(tbl_Finance[Xero Invoice No]&lt;&gt;"")*tbl_Finance[Date]))=0,"",SUMPRODUCT(MAX((tbl_Finance[Job Number]=C308&amp;"")*(tbl_Finance[Xero Invoice No]&lt;&gt;"")*tbl_Finance[Date]))),""))</f>
        <v/>
      </c>
      <c r="B308" s="25">
        <f>IF(C308="","",IF(COUNTIFS(tbl_Finance[Job Number],C308&amp;"",tbl_Finance[Xero Invoice No],"&lt;&gt;")=0,"",IFERROR(IF(COUNTIFS(tbl_Finance[Job Number],C308&amp;"",tbl_Finance[Xero Invoice No],LOOKUP(2,1/((tbl_Finance[Job Number]=C308&amp;"")*(tbl_Finance[Xero Invoice No]&lt;&gt;"")),tbl_Finance[Xero Invoice No]))=COUNTIFS(tbl_Finance[Job Number],C308&amp;"",tbl_Finance[Xero Invoice No],"&lt;&gt;"),LOOKUP(2,1/((tbl_Finance[Job Number]=C308&amp;"")*(tbl_Finance[Xero Invoice No]&lt;&gt;"")),tbl_Finance[Xero Invoice No]),LOOKUP(2,1/((tbl_Finance[Job Number]=C308&amp;"")*(tbl_Finance[Xero Invoice No]&lt;&gt;"")),tbl_Finance[Xero Invoice No])&amp;" +more"),"")))</f>
        <v/>
      </c>
      <c r="C308" s="24" t="n"/>
      <c r="D308" s="25">
        <f>IF(C308="","",IF(COUNTIF(lst_Jobs,C308&amp;"")&gt;0,"OK","CHECK"))</f>
        <v/>
      </c>
      <c r="E308" s="25">
        <f>IF(C308="","",IFERROR(INDEX(lst_JobName,MATCH(C308&amp;"",lst_Jobs,0)),""))</f>
        <v/>
      </c>
      <c r="F308" s="25">
        <f>IF(C308="","",IFERROR(INDEX(tbl_Finance[Client],MATCH(C308&amp;"",tbl_Finance[Job Number],0)),""))</f>
        <v/>
      </c>
      <c r="G308" s="28">
        <f>IF(C308="","",COUNTIFS(tbl_Finance[Job Number],C308&amp;"",tbl_Finance[Ex GST],"&lt;&gt;"))</f>
        <v/>
      </c>
      <c r="H308" s="27">
        <f>IF(C308="","",SUMIFS(tbl_Finance[Ex GST],tbl_Finance[Job Number],C308&amp;""))</f>
        <v/>
      </c>
      <c r="I308" s="27">
        <f>IF(C308="","",SUMIFS(tbl_Finance[Ex GST],tbl_Finance[Job Number],C308&amp;"",tbl_Finance[Xero Invoice No],"&lt;&gt;"))</f>
        <v/>
      </c>
      <c r="J308" s="27">
        <f>IF(C308="","",H308-I308)</f>
        <v/>
      </c>
      <c r="K308" s="25">
        <f>IF(C308="","",IF(G308=0,"not invoiced yet",SUBSTITUTE(TRIM(IF(COUNTIFS(tbl_Finance[Job Number],C308&amp;"",tbl_Finance[Cost Centre],"ONSITE")&gt;0,"ONSITE ","")&amp;IF(COUNTIFS(tbl_Finance[Job Number],C308&amp;"",tbl_Finance[Cost Centre],"PRODUCTION")&gt;0,"PRODUCTION ","")&amp;IF(COUNTIFS(tbl_Finance[Job Number],C308&amp;"",tbl_Finance[Cost Centre],"VIDEO")&gt;0,"VIDEO ","")&amp;IF(COUNTIFS(tbl_Finance[Job Number],C308&amp;"",tbl_Finance[Cost Centre],"INTEGRATION")&gt;0,"INTEGRATION ","")&amp;IF(COUNTIFS(tbl_Finance[Job Number],C308&amp;"",tbl_Finance[Cost Centre],"CONSULTING")&gt;0,"CONSULTING ","")&amp;IF(COUNTIFS(tbl_Finance[Job Number],C308&amp;"",tbl_Finance[Cost Centre],"CTS")&gt;0,"CTS ",""))," ",", ")))</f>
        <v/>
      </c>
      <c r="L308" s="24" t="n"/>
      <c r="M308" s="25">
        <f>IF(L308="","",HYPERLINK(IF(LEFT(L308,4)="http",L308,set_QwilrBase&amp;L308),"Open quote"))</f>
        <v/>
      </c>
      <c r="N308" s="26" t="n"/>
      <c r="O308" s="26" t="n"/>
      <c r="P308" s="26" t="n"/>
      <c r="Q308" s="25">
        <f>IF(C308="","",IF(N(N308)+N(O308)+N(P308)=0,"Not split",IF(ROUND(N(N308)+N(O308)+N(P308),2)=ROUND(H308,2),"OK","MISMATCH")))</f>
        <v/>
      </c>
      <c r="R308" s="26" t="n"/>
      <c r="S308" s="26" t="n"/>
      <c r="T308" s="26" t="n"/>
      <c r="U308" s="27">
        <f>IF(C308="","",N(R308)+N(S308)+N(T308))</f>
        <v/>
      </c>
      <c r="V308" s="27">
        <f>IF(C308="","",H308-U308)</f>
        <v/>
      </c>
      <c r="W308" s="29">
        <f>IFERROR(V308/H308,"")</f>
        <v/>
      </c>
      <c r="X308" s="24" t="n"/>
    </row>
    <row r="309" ht="15" customHeight="1">
      <c r="A309" s="68">
        <f>IF(C309="","",IFERROR(IF(SUMPRODUCT(MAX((tbl_Finance[Job Number]=C309&amp;"")*(tbl_Finance[Xero Invoice No]&lt;&gt;"")*tbl_Finance[Date]))=0,"",SUMPRODUCT(MAX((tbl_Finance[Job Number]=C309&amp;"")*(tbl_Finance[Xero Invoice No]&lt;&gt;"")*tbl_Finance[Date]))),""))</f>
        <v/>
      </c>
      <c r="B309" s="25">
        <f>IF(C309="","",IF(COUNTIFS(tbl_Finance[Job Number],C309&amp;"",tbl_Finance[Xero Invoice No],"&lt;&gt;")=0,"",IFERROR(IF(COUNTIFS(tbl_Finance[Job Number],C309&amp;"",tbl_Finance[Xero Invoice No],LOOKUP(2,1/((tbl_Finance[Job Number]=C309&amp;"")*(tbl_Finance[Xero Invoice No]&lt;&gt;"")),tbl_Finance[Xero Invoice No]))=COUNTIFS(tbl_Finance[Job Number],C309&amp;"",tbl_Finance[Xero Invoice No],"&lt;&gt;"),LOOKUP(2,1/((tbl_Finance[Job Number]=C309&amp;"")*(tbl_Finance[Xero Invoice No]&lt;&gt;"")),tbl_Finance[Xero Invoice No]),LOOKUP(2,1/((tbl_Finance[Job Number]=C309&amp;"")*(tbl_Finance[Xero Invoice No]&lt;&gt;"")),tbl_Finance[Xero Invoice No])&amp;" +more"),"")))</f>
        <v/>
      </c>
      <c r="C309" s="24" t="n"/>
      <c r="D309" s="25">
        <f>IF(C309="","",IF(COUNTIF(lst_Jobs,C309&amp;"")&gt;0,"OK","CHECK"))</f>
        <v/>
      </c>
      <c r="E309" s="25">
        <f>IF(C309="","",IFERROR(INDEX(lst_JobName,MATCH(C309&amp;"",lst_Jobs,0)),""))</f>
        <v/>
      </c>
      <c r="F309" s="25">
        <f>IF(C309="","",IFERROR(INDEX(tbl_Finance[Client],MATCH(C309&amp;"",tbl_Finance[Job Number],0)),""))</f>
        <v/>
      </c>
      <c r="G309" s="28">
        <f>IF(C309="","",COUNTIFS(tbl_Finance[Job Number],C309&amp;"",tbl_Finance[Ex GST],"&lt;&gt;"))</f>
        <v/>
      </c>
      <c r="H309" s="27">
        <f>IF(C309="","",SUMIFS(tbl_Finance[Ex GST],tbl_Finance[Job Number],C309&amp;""))</f>
        <v/>
      </c>
      <c r="I309" s="27">
        <f>IF(C309="","",SUMIFS(tbl_Finance[Ex GST],tbl_Finance[Job Number],C309&amp;"",tbl_Finance[Xero Invoice No],"&lt;&gt;"))</f>
        <v/>
      </c>
      <c r="J309" s="27">
        <f>IF(C309="","",H309-I309)</f>
        <v/>
      </c>
      <c r="K309" s="25">
        <f>IF(C309="","",IF(G309=0,"not invoiced yet",SUBSTITUTE(TRIM(IF(COUNTIFS(tbl_Finance[Job Number],C309&amp;"",tbl_Finance[Cost Centre],"ONSITE")&gt;0,"ONSITE ","")&amp;IF(COUNTIFS(tbl_Finance[Job Number],C309&amp;"",tbl_Finance[Cost Centre],"PRODUCTION")&gt;0,"PRODUCTION ","")&amp;IF(COUNTIFS(tbl_Finance[Job Number],C309&amp;"",tbl_Finance[Cost Centre],"VIDEO")&gt;0,"VIDEO ","")&amp;IF(COUNTIFS(tbl_Finance[Job Number],C309&amp;"",tbl_Finance[Cost Centre],"INTEGRATION")&gt;0,"INTEGRATION ","")&amp;IF(COUNTIFS(tbl_Finance[Job Number],C309&amp;"",tbl_Finance[Cost Centre],"CONSULTING")&gt;0,"CONSULTING ","")&amp;IF(COUNTIFS(tbl_Finance[Job Number],C309&amp;"",tbl_Finance[Cost Centre],"CTS")&gt;0,"CTS ",""))," ",", ")))</f>
        <v/>
      </c>
      <c r="L309" s="24" t="n"/>
      <c r="M309" s="25">
        <f>IF(L309="","",HYPERLINK(IF(LEFT(L309,4)="http",L309,set_QwilrBase&amp;L309),"Open quote"))</f>
        <v/>
      </c>
      <c r="N309" s="26" t="n"/>
      <c r="O309" s="26" t="n"/>
      <c r="P309" s="26" t="n"/>
      <c r="Q309" s="25">
        <f>IF(C309="","",IF(N(N309)+N(O309)+N(P309)=0,"Not split",IF(ROUND(N(N309)+N(O309)+N(P309),2)=ROUND(H309,2),"OK","MISMATCH")))</f>
        <v/>
      </c>
      <c r="R309" s="26" t="n"/>
      <c r="S309" s="26" t="n"/>
      <c r="T309" s="26" t="n"/>
      <c r="U309" s="27">
        <f>IF(C309="","",N(R309)+N(S309)+N(T309))</f>
        <v/>
      </c>
      <c r="V309" s="27">
        <f>IF(C309="","",H309-U309)</f>
        <v/>
      </c>
      <c r="W309" s="29">
        <f>IFERROR(V309/H309,"")</f>
        <v/>
      </c>
      <c r="X309" s="24" t="n"/>
    </row>
    <row r="310" ht="15" customHeight="1">
      <c r="A310" s="68">
        <f>IF(C310="","",IFERROR(IF(SUMPRODUCT(MAX((tbl_Finance[Job Number]=C310&amp;"")*(tbl_Finance[Xero Invoice No]&lt;&gt;"")*tbl_Finance[Date]))=0,"",SUMPRODUCT(MAX((tbl_Finance[Job Number]=C310&amp;"")*(tbl_Finance[Xero Invoice No]&lt;&gt;"")*tbl_Finance[Date]))),""))</f>
        <v/>
      </c>
      <c r="B310" s="25">
        <f>IF(C310="","",IF(COUNTIFS(tbl_Finance[Job Number],C310&amp;"",tbl_Finance[Xero Invoice No],"&lt;&gt;")=0,"",IFERROR(IF(COUNTIFS(tbl_Finance[Job Number],C310&amp;"",tbl_Finance[Xero Invoice No],LOOKUP(2,1/((tbl_Finance[Job Number]=C310&amp;"")*(tbl_Finance[Xero Invoice No]&lt;&gt;"")),tbl_Finance[Xero Invoice No]))=COUNTIFS(tbl_Finance[Job Number],C310&amp;"",tbl_Finance[Xero Invoice No],"&lt;&gt;"),LOOKUP(2,1/((tbl_Finance[Job Number]=C310&amp;"")*(tbl_Finance[Xero Invoice No]&lt;&gt;"")),tbl_Finance[Xero Invoice No]),LOOKUP(2,1/((tbl_Finance[Job Number]=C310&amp;"")*(tbl_Finance[Xero Invoice No]&lt;&gt;"")),tbl_Finance[Xero Invoice No])&amp;" +more"),"")))</f>
        <v/>
      </c>
      <c r="C310" s="24" t="n"/>
      <c r="D310" s="25">
        <f>IF(C310="","",IF(COUNTIF(lst_Jobs,C310&amp;"")&gt;0,"OK","CHECK"))</f>
        <v/>
      </c>
      <c r="E310" s="25">
        <f>IF(C310="","",IFERROR(INDEX(lst_JobName,MATCH(C310&amp;"",lst_Jobs,0)),""))</f>
        <v/>
      </c>
      <c r="F310" s="25">
        <f>IF(C310="","",IFERROR(INDEX(tbl_Finance[Client],MATCH(C310&amp;"",tbl_Finance[Job Number],0)),""))</f>
        <v/>
      </c>
      <c r="G310" s="28">
        <f>IF(C310="","",COUNTIFS(tbl_Finance[Job Number],C310&amp;"",tbl_Finance[Ex GST],"&lt;&gt;"))</f>
        <v/>
      </c>
      <c r="H310" s="27">
        <f>IF(C310="","",SUMIFS(tbl_Finance[Ex GST],tbl_Finance[Job Number],C310&amp;""))</f>
        <v/>
      </c>
      <c r="I310" s="27">
        <f>IF(C310="","",SUMIFS(tbl_Finance[Ex GST],tbl_Finance[Job Number],C310&amp;"",tbl_Finance[Xero Invoice No],"&lt;&gt;"))</f>
        <v/>
      </c>
      <c r="J310" s="27">
        <f>IF(C310="","",H310-I310)</f>
        <v/>
      </c>
      <c r="K310" s="25">
        <f>IF(C310="","",IF(G310=0,"not invoiced yet",SUBSTITUTE(TRIM(IF(COUNTIFS(tbl_Finance[Job Number],C310&amp;"",tbl_Finance[Cost Centre],"ONSITE")&gt;0,"ONSITE ","")&amp;IF(COUNTIFS(tbl_Finance[Job Number],C310&amp;"",tbl_Finance[Cost Centre],"PRODUCTION")&gt;0,"PRODUCTION ","")&amp;IF(COUNTIFS(tbl_Finance[Job Number],C310&amp;"",tbl_Finance[Cost Centre],"VIDEO")&gt;0,"VIDEO ","")&amp;IF(COUNTIFS(tbl_Finance[Job Number],C310&amp;"",tbl_Finance[Cost Centre],"INTEGRATION")&gt;0,"INTEGRATION ","")&amp;IF(COUNTIFS(tbl_Finance[Job Number],C310&amp;"",tbl_Finance[Cost Centre],"CONSULTING")&gt;0,"CONSULTING ","")&amp;IF(COUNTIFS(tbl_Finance[Job Number],C310&amp;"",tbl_Finance[Cost Centre],"CTS")&gt;0,"CTS ",""))," ",", ")))</f>
        <v/>
      </c>
      <c r="L310" s="24" t="n"/>
      <c r="M310" s="25">
        <f>IF(L310="","",HYPERLINK(IF(LEFT(L310,4)="http",L310,set_QwilrBase&amp;L310),"Open quote"))</f>
        <v/>
      </c>
      <c r="N310" s="26" t="n"/>
      <c r="O310" s="26" t="n"/>
      <c r="P310" s="26" t="n"/>
      <c r="Q310" s="25">
        <f>IF(C310="","",IF(N(N310)+N(O310)+N(P310)=0,"Not split",IF(ROUND(N(N310)+N(O310)+N(P310),2)=ROUND(H310,2),"OK","MISMATCH")))</f>
        <v/>
      </c>
      <c r="R310" s="26" t="n"/>
      <c r="S310" s="26" t="n"/>
      <c r="T310" s="26" t="n"/>
      <c r="U310" s="27">
        <f>IF(C310="","",N(R310)+N(S310)+N(T310))</f>
        <v/>
      </c>
      <c r="V310" s="27">
        <f>IF(C310="","",H310-U310)</f>
        <v/>
      </c>
      <c r="W310" s="29">
        <f>IFERROR(V310/H310,"")</f>
        <v/>
      </c>
      <c r="X310" s="24" t="n"/>
    </row>
    <row r="311" ht="15" customHeight="1">
      <c r="A311" s="68">
        <f>IF(C311="","",IFERROR(IF(SUMPRODUCT(MAX((tbl_Finance[Job Number]=C311&amp;"")*(tbl_Finance[Xero Invoice No]&lt;&gt;"")*tbl_Finance[Date]))=0,"",SUMPRODUCT(MAX((tbl_Finance[Job Number]=C311&amp;"")*(tbl_Finance[Xero Invoice No]&lt;&gt;"")*tbl_Finance[Date]))),""))</f>
        <v/>
      </c>
      <c r="B311" s="25">
        <f>IF(C311="","",IF(COUNTIFS(tbl_Finance[Job Number],C311&amp;"",tbl_Finance[Xero Invoice No],"&lt;&gt;")=0,"",IFERROR(IF(COUNTIFS(tbl_Finance[Job Number],C311&amp;"",tbl_Finance[Xero Invoice No],LOOKUP(2,1/((tbl_Finance[Job Number]=C311&amp;"")*(tbl_Finance[Xero Invoice No]&lt;&gt;"")),tbl_Finance[Xero Invoice No]))=COUNTIFS(tbl_Finance[Job Number],C311&amp;"",tbl_Finance[Xero Invoice No],"&lt;&gt;"),LOOKUP(2,1/((tbl_Finance[Job Number]=C311&amp;"")*(tbl_Finance[Xero Invoice No]&lt;&gt;"")),tbl_Finance[Xero Invoice No]),LOOKUP(2,1/((tbl_Finance[Job Number]=C311&amp;"")*(tbl_Finance[Xero Invoice No]&lt;&gt;"")),tbl_Finance[Xero Invoice No])&amp;" +more"),"")))</f>
        <v/>
      </c>
      <c r="C311" s="24" t="n"/>
      <c r="D311" s="25">
        <f>IF(C311="","",IF(COUNTIF(lst_Jobs,C311&amp;"")&gt;0,"OK","CHECK"))</f>
        <v/>
      </c>
      <c r="E311" s="25">
        <f>IF(C311="","",IFERROR(INDEX(lst_JobName,MATCH(C311&amp;"",lst_Jobs,0)),""))</f>
        <v/>
      </c>
      <c r="F311" s="25">
        <f>IF(C311="","",IFERROR(INDEX(tbl_Finance[Client],MATCH(C311&amp;"",tbl_Finance[Job Number],0)),""))</f>
        <v/>
      </c>
      <c r="G311" s="28">
        <f>IF(C311="","",COUNTIFS(tbl_Finance[Job Number],C311&amp;"",tbl_Finance[Ex GST],"&lt;&gt;"))</f>
        <v/>
      </c>
      <c r="H311" s="27">
        <f>IF(C311="","",SUMIFS(tbl_Finance[Ex GST],tbl_Finance[Job Number],C311&amp;""))</f>
        <v/>
      </c>
      <c r="I311" s="27">
        <f>IF(C311="","",SUMIFS(tbl_Finance[Ex GST],tbl_Finance[Job Number],C311&amp;"",tbl_Finance[Xero Invoice No],"&lt;&gt;"))</f>
        <v/>
      </c>
      <c r="J311" s="27">
        <f>IF(C311="","",H311-I311)</f>
        <v/>
      </c>
      <c r="K311" s="25">
        <f>IF(C311="","",IF(G311=0,"not invoiced yet",SUBSTITUTE(TRIM(IF(COUNTIFS(tbl_Finance[Job Number],C311&amp;"",tbl_Finance[Cost Centre],"ONSITE")&gt;0,"ONSITE ","")&amp;IF(COUNTIFS(tbl_Finance[Job Number],C311&amp;"",tbl_Finance[Cost Centre],"PRODUCTION")&gt;0,"PRODUCTION ","")&amp;IF(COUNTIFS(tbl_Finance[Job Number],C311&amp;"",tbl_Finance[Cost Centre],"VIDEO")&gt;0,"VIDEO ","")&amp;IF(COUNTIFS(tbl_Finance[Job Number],C311&amp;"",tbl_Finance[Cost Centre],"INTEGRATION")&gt;0,"INTEGRATION ","")&amp;IF(COUNTIFS(tbl_Finance[Job Number],C311&amp;"",tbl_Finance[Cost Centre],"CONSULTING")&gt;0,"CONSULTING ","")&amp;IF(COUNTIFS(tbl_Finance[Job Number],C311&amp;"",tbl_Finance[Cost Centre],"CTS")&gt;0,"CTS ",""))," ",", ")))</f>
        <v/>
      </c>
      <c r="L311" s="24" t="n"/>
      <c r="M311" s="25">
        <f>IF(L311="","",HYPERLINK(IF(LEFT(L311,4)="http",L311,set_QwilrBase&amp;L311),"Open quote"))</f>
        <v/>
      </c>
      <c r="N311" s="26" t="n"/>
      <c r="O311" s="26" t="n"/>
      <c r="P311" s="26" t="n"/>
      <c r="Q311" s="25">
        <f>IF(C311="","",IF(N(N311)+N(O311)+N(P311)=0,"Not split",IF(ROUND(N(N311)+N(O311)+N(P311),2)=ROUND(H311,2),"OK","MISMATCH")))</f>
        <v/>
      </c>
      <c r="R311" s="26" t="n"/>
      <c r="S311" s="26" t="n"/>
      <c r="T311" s="26" t="n"/>
      <c r="U311" s="27">
        <f>IF(C311="","",N(R311)+N(S311)+N(T311))</f>
        <v/>
      </c>
      <c r="V311" s="27">
        <f>IF(C311="","",H311-U311)</f>
        <v/>
      </c>
      <c r="W311" s="29">
        <f>IFERROR(V311/H311,"")</f>
        <v/>
      </c>
      <c r="X311" s="24" t="n"/>
    </row>
    <row r="312" ht="15" customHeight="1">
      <c r="A312" s="68">
        <f>IF(C312="","",IFERROR(IF(SUMPRODUCT(MAX((tbl_Finance[Job Number]=C312&amp;"")*(tbl_Finance[Xero Invoice No]&lt;&gt;"")*tbl_Finance[Date]))=0,"",SUMPRODUCT(MAX((tbl_Finance[Job Number]=C312&amp;"")*(tbl_Finance[Xero Invoice No]&lt;&gt;"")*tbl_Finance[Date]))),""))</f>
        <v/>
      </c>
      <c r="B312" s="25">
        <f>IF(C312="","",IF(COUNTIFS(tbl_Finance[Job Number],C312&amp;"",tbl_Finance[Xero Invoice No],"&lt;&gt;")=0,"",IFERROR(IF(COUNTIFS(tbl_Finance[Job Number],C312&amp;"",tbl_Finance[Xero Invoice No],LOOKUP(2,1/((tbl_Finance[Job Number]=C312&amp;"")*(tbl_Finance[Xero Invoice No]&lt;&gt;"")),tbl_Finance[Xero Invoice No]))=COUNTIFS(tbl_Finance[Job Number],C312&amp;"",tbl_Finance[Xero Invoice No],"&lt;&gt;"),LOOKUP(2,1/((tbl_Finance[Job Number]=C312&amp;"")*(tbl_Finance[Xero Invoice No]&lt;&gt;"")),tbl_Finance[Xero Invoice No]),LOOKUP(2,1/((tbl_Finance[Job Number]=C312&amp;"")*(tbl_Finance[Xero Invoice No]&lt;&gt;"")),tbl_Finance[Xero Invoice No])&amp;" +more"),"")))</f>
        <v/>
      </c>
      <c r="C312" s="24" t="n"/>
      <c r="D312" s="25">
        <f>IF(C312="","",IF(COUNTIF(lst_Jobs,C312&amp;"")&gt;0,"OK","CHECK"))</f>
        <v/>
      </c>
      <c r="E312" s="25">
        <f>IF(C312="","",IFERROR(INDEX(lst_JobName,MATCH(C312&amp;"",lst_Jobs,0)),""))</f>
        <v/>
      </c>
      <c r="F312" s="25">
        <f>IF(C312="","",IFERROR(INDEX(tbl_Finance[Client],MATCH(C312&amp;"",tbl_Finance[Job Number],0)),""))</f>
        <v/>
      </c>
      <c r="G312" s="28">
        <f>IF(C312="","",COUNTIFS(tbl_Finance[Job Number],C312&amp;"",tbl_Finance[Ex GST],"&lt;&gt;"))</f>
        <v/>
      </c>
      <c r="H312" s="27">
        <f>IF(C312="","",SUMIFS(tbl_Finance[Ex GST],tbl_Finance[Job Number],C312&amp;""))</f>
        <v/>
      </c>
      <c r="I312" s="27">
        <f>IF(C312="","",SUMIFS(tbl_Finance[Ex GST],tbl_Finance[Job Number],C312&amp;"",tbl_Finance[Xero Invoice No],"&lt;&gt;"))</f>
        <v/>
      </c>
      <c r="J312" s="27">
        <f>IF(C312="","",H312-I312)</f>
        <v/>
      </c>
      <c r="K312" s="25">
        <f>IF(C312="","",IF(G312=0,"not invoiced yet",SUBSTITUTE(TRIM(IF(COUNTIFS(tbl_Finance[Job Number],C312&amp;"",tbl_Finance[Cost Centre],"ONSITE")&gt;0,"ONSITE ","")&amp;IF(COUNTIFS(tbl_Finance[Job Number],C312&amp;"",tbl_Finance[Cost Centre],"PRODUCTION")&gt;0,"PRODUCTION ","")&amp;IF(COUNTIFS(tbl_Finance[Job Number],C312&amp;"",tbl_Finance[Cost Centre],"VIDEO")&gt;0,"VIDEO ","")&amp;IF(COUNTIFS(tbl_Finance[Job Number],C312&amp;"",tbl_Finance[Cost Centre],"INTEGRATION")&gt;0,"INTEGRATION ","")&amp;IF(COUNTIFS(tbl_Finance[Job Number],C312&amp;"",tbl_Finance[Cost Centre],"CONSULTING")&gt;0,"CONSULTING ","")&amp;IF(COUNTIFS(tbl_Finance[Job Number],C312&amp;"",tbl_Finance[Cost Centre],"CTS")&gt;0,"CTS ",""))," ",", ")))</f>
        <v/>
      </c>
      <c r="L312" s="24" t="n"/>
      <c r="M312" s="25">
        <f>IF(L312="","",HYPERLINK(IF(LEFT(L312,4)="http",L312,set_QwilrBase&amp;L312),"Open quote"))</f>
        <v/>
      </c>
      <c r="N312" s="26" t="n"/>
      <c r="O312" s="26" t="n"/>
      <c r="P312" s="26" t="n"/>
      <c r="Q312" s="25">
        <f>IF(C312="","",IF(N(N312)+N(O312)+N(P312)=0,"Not split",IF(ROUND(N(N312)+N(O312)+N(P312),2)=ROUND(H312,2),"OK","MISMATCH")))</f>
        <v/>
      </c>
      <c r="R312" s="26" t="n"/>
      <c r="S312" s="26" t="n"/>
      <c r="T312" s="26" t="n"/>
      <c r="U312" s="27">
        <f>IF(C312="","",N(R312)+N(S312)+N(T312))</f>
        <v/>
      </c>
      <c r="V312" s="27">
        <f>IF(C312="","",H312-U312)</f>
        <v/>
      </c>
      <c r="W312" s="29">
        <f>IFERROR(V312/H312,"")</f>
        <v/>
      </c>
      <c r="X312" s="24" t="n"/>
    </row>
    <row r="313" ht="15" customHeight="1">
      <c r="A313" s="68">
        <f>IF(C313="","",IFERROR(IF(SUMPRODUCT(MAX((tbl_Finance[Job Number]=C313&amp;"")*(tbl_Finance[Xero Invoice No]&lt;&gt;"")*tbl_Finance[Date]))=0,"",SUMPRODUCT(MAX((tbl_Finance[Job Number]=C313&amp;"")*(tbl_Finance[Xero Invoice No]&lt;&gt;"")*tbl_Finance[Date]))),""))</f>
        <v/>
      </c>
      <c r="B313" s="25">
        <f>IF(C313="","",IF(COUNTIFS(tbl_Finance[Job Number],C313&amp;"",tbl_Finance[Xero Invoice No],"&lt;&gt;")=0,"",IFERROR(IF(COUNTIFS(tbl_Finance[Job Number],C313&amp;"",tbl_Finance[Xero Invoice No],LOOKUP(2,1/((tbl_Finance[Job Number]=C313&amp;"")*(tbl_Finance[Xero Invoice No]&lt;&gt;"")),tbl_Finance[Xero Invoice No]))=COUNTIFS(tbl_Finance[Job Number],C313&amp;"",tbl_Finance[Xero Invoice No],"&lt;&gt;"),LOOKUP(2,1/((tbl_Finance[Job Number]=C313&amp;"")*(tbl_Finance[Xero Invoice No]&lt;&gt;"")),tbl_Finance[Xero Invoice No]),LOOKUP(2,1/((tbl_Finance[Job Number]=C313&amp;"")*(tbl_Finance[Xero Invoice No]&lt;&gt;"")),tbl_Finance[Xero Invoice No])&amp;" +more"),"")))</f>
        <v/>
      </c>
      <c r="C313" s="24" t="n"/>
      <c r="D313" s="25">
        <f>IF(C313="","",IF(COUNTIF(lst_Jobs,C313&amp;"")&gt;0,"OK","CHECK"))</f>
        <v/>
      </c>
      <c r="E313" s="25">
        <f>IF(C313="","",IFERROR(INDEX(lst_JobName,MATCH(C313&amp;"",lst_Jobs,0)),""))</f>
        <v/>
      </c>
      <c r="F313" s="25">
        <f>IF(C313="","",IFERROR(INDEX(tbl_Finance[Client],MATCH(C313&amp;"",tbl_Finance[Job Number],0)),""))</f>
        <v/>
      </c>
      <c r="G313" s="28">
        <f>IF(C313="","",COUNTIFS(tbl_Finance[Job Number],C313&amp;"",tbl_Finance[Ex GST],"&lt;&gt;"))</f>
        <v/>
      </c>
      <c r="H313" s="27">
        <f>IF(C313="","",SUMIFS(tbl_Finance[Ex GST],tbl_Finance[Job Number],C313&amp;""))</f>
        <v/>
      </c>
      <c r="I313" s="27">
        <f>IF(C313="","",SUMIFS(tbl_Finance[Ex GST],tbl_Finance[Job Number],C313&amp;"",tbl_Finance[Xero Invoice No],"&lt;&gt;"))</f>
        <v/>
      </c>
      <c r="J313" s="27">
        <f>IF(C313="","",H313-I313)</f>
        <v/>
      </c>
      <c r="K313" s="25">
        <f>IF(C313="","",IF(G313=0,"not invoiced yet",SUBSTITUTE(TRIM(IF(COUNTIFS(tbl_Finance[Job Number],C313&amp;"",tbl_Finance[Cost Centre],"ONSITE")&gt;0,"ONSITE ","")&amp;IF(COUNTIFS(tbl_Finance[Job Number],C313&amp;"",tbl_Finance[Cost Centre],"PRODUCTION")&gt;0,"PRODUCTION ","")&amp;IF(COUNTIFS(tbl_Finance[Job Number],C313&amp;"",tbl_Finance[Cost Centre],"VIDEO")&gt;0,"VIDEO ","")&amp;IF(COUNTIFS(tbl_Finance[Job Number],C313&amp;"",tbl_Finance[Cost Centre],"INTEGRATION")&gt;0,"INTEGRATION ","")&amp;IF(COUNTIFS(tbl_Finance[Job Number],C313&amp;"",tbl_Finance[Cost Centre],"CONSULTING")&gt;0,"CONSULTING ","")&amp;IF(COUNTIFS(tbl_Finance[Job Number],C313&amp;"",tbl_Finance[Cost Centre],"CTS")&gt;0,"CTS ",""))," ",", ")))</f>
        <v/>
      </c>
      <c r="L313" s="24" t="n"/>
      <c r="M313" s="25">
        <f>IF(L313="","",HYPERLINK(IF(LEFT(L313,4)="http",L313,set_QwilrBase&amp;L313),"Open quote"))</f>
        <v/>
      </c>
      <c r="N313" s="26" t="n"/>
      <c r="O313" s="26" t="n"/>
      <c r="P313" s="26" t="n"/>
      <c r="Q313" s="25">
        <f>IF(C313="","",IF(N(N313)+N(O313)+N(P313)=0,"Not split",IF(ROUND(N(N313)+N(O313)+N(P313),2)=ROUND(H313,2),"OK","MISMATCH")))</f>
        <v/>
      </c>
      <c r="R313" s="26" t="n"/>
      <c r="S313" s="26" t="n"/>
      <c r="T313" s="26" t="n"/>
      <c r="U313" s="27">
        <f>IF(C313="","",N(R313)+N(S313)+N(T313))</f>
        <v/>
      </c>
      <c r="V313" s="27">
        <f>IF(C313="","",H313-U313)</f>
        <v/>
      </c>
      <c r="W313" s="29">
        <f>IFERROR(V313/H313,"")</f>
        <v/>
      </c>
      <c r="X313" s="24" t="n"/>
    </row>
    <row r="314" ht="15" customHeight="1">
      <c r="A314" s="68">
        <f>IF(C314="","",IFERROR(IF(SUMPRODUCT(MAX((tbl_Finance[Job Number]=C314&amp;"")*(tbl_Finance[Xero Invoice No]&lt;&gt;"")*tbl_Finance[Date]))=0,"",SUMPRODUCT(MAX((tbl_Finance[Job Number]=C314&amp;"")*(tbl_Finance[Xero Invoice No]&lt;&gt;"")*tbl_Finance[Date]))),""))</f>
        <v/>
      </c>
      <c r="B314" s="25">
        <f>IF(C314="","",IF(COUNTIFS(tbl_Finance[Job Number],C314&amp;"",tbl_Finance[Xero Invoice No],"&lt;&gt;")=0,"",IFERROR(IF(COUNTIFS(tbl_Finance[Job Number],C314&amp;"",tbl_Finance[Xero Invoice No],LOOKUP(2,1/((tbl_Finance[Job Number]=C314&amp;"")*(tbl_Finance[Xero Invoice No]&lt;&gt;"")),tbl_Finance[Xero Invoice No]))=COUNTIFS(tbl_Finance[Job Number],C314&amp;"",tbl_Finance[Xero Invoice No],"&lt;&gt;"),LOOKUP(2,1/((tbl_Finance[Job Number]=C314&amp;"")*(tbl_Finance[Xero Invoice No]&lt;&gt;"")),tbl_Finance[Xero Invoice No]),LOOKUP(2,1/((tbl_Finance[Job Number]=C314&amp;"")*(tbl_Finance[Xero Invoice No]&lt;&gt;"")),tbl_Finance[Xero Invoice No])&amp;" +more"),"")))</f>
        <v/>
      </c>
      <c r="C314" s="24" t="n"/>
      <c r="D314" s="25">
        <f>IF(C314="","",IF(COUNTIF(lst_Jobs,C314&amp;"")&gt;0,"OK","CHECK"))</f>
        <v/>
      </c>
      <c r="E314" s="25">
        <f>IF(C314="","",IFERROR(INDEX(lst_JobName,MATCH(C314&amp;"",lst_Jobs,0)),""))</f>
        <v/>
      </c>
      <c r="F314" s="25">
        <f>IF(C314="","",IFERROR(INDEX(tbl_Finance[Client],MATCH(C314&amp;"",tbl_Finance[Job Number],0)),""))</f>
        <v/>
      </c>
      <c r="G314" s="28">
        <f>IF(C314="","",COUNTIFS(tbl_Finance[Job Number],C314&amp;"",tbl_Finance[Ex GST],"&lt;&gt;"))</f>
        <v/>
      </c>
      <c r="H314" s="27">
        <f>IF(C314="","",SUMIFS(tbl_Finance[Ex GST],tbl_Finance[Job Number],C314&amp;""))</f>
        <v/>
      </c>
      <c r="I314" s="27">
        <f>IF(C314="","",SUMIFS(tbl_Finance[Ex GST],tbl_Finance[Job Number],C314&amp;"",tbl_Finance[Xero Invoice No],"&lt;&gt;"))</f>
        <v/>
      </c>
      <c r="J314" s="27">
        <f>IF(C314="","",H314-I314)</f>
        <v/>
      </c>
      <c r="K314" s="25">
        <f>IF(C314="","",IF(G314=0,"not invoiced yet",SUBSTITUTE(TRIM(IF(COUNTIFS(tbl_Finance[Job Number],C314&amp;"",tbl_Finance[Cost Centre],"ONSITE")&gt;0,"ONSITE ","")&amp;IF(COUNTIFS(tbl_Finance[Job Number],C314&amp;"",tbl_Finance[Cost Centre],"PRODUCTION")&gt;0,"PRODUCTION ","")&amp;IF(COUNTIFS(tbl_Finance[Job Number],C314&amp;"",tbl_Finance[Cost Centre],"VIDEO")&gt;0,"VIDEO ","")&amp;IF(COUNTIFS(tbl_Finance[Job Number],C314&amp;"",tbl_Finance[Cost Centre],"INTEGRATION")&gt;0,"INTEGRATION ","")&amp;IF(COUNTIFS(tbl_Finance[Job Number],C314&amp;"",tbl_Finance[Cost Centre],"CONSULTING")&gt;0,"CONSULTING ","")&amp;IF(COUNTIFS(tbl_Finance[Job Number],C314&amp;"",tbl_Finance[Cost Centre],"CTS")&gt;0,"CTS ",""))," ",", ")))</f>
        <v/>
      </c>
      <c r="L314" s="24" t="n"/>
      <c r="M314" s="25">
        <f>IF(L314="","",HYPERLINK(IF(LEFT(L314,4)="http",L314,set_QwilrBase&amp;L314),"Open quote"))</f>
        <v/>
      </c>
      <c r="N314" s="26" t="n"/>
      <c r="O314" s="26" t="n"/>
      <c r="P314" s="26" t="n"/>
      <c r="Q314" s="25">
        <f>IF(C314="","",IF(N(N314)+N(O314)+N(P314)=0,"Not split",IF(ROUND(N(N314)+N(O314)+N(P314),2)=ROUND(H314,2),"OK","MISMATCH")))</f>
        <v/>
      </c>
      <c r="R314" s="26" t="n"/>
      <c r="S314" s="26" t="n"/>
      <c r="T314" s="26" t="n"/>
      <c r="U314" s="27">
        <f>IF(C314="","",N(R314)+N(S314)+N(T314))</f>
        <v/>
      </c>
      <c r="V314" s="27">
        <f>IF(C314="","",H314-U314)</f>
        <v/>
      </c>
      <c r="W314" s="29">
        <f>IFERROR(V314/H314,"")</f>
        <v/>
      </c>
      <c r="X314" s="24" t="n"/>
    </row>
    <row r="315" ht="15" customHeight="1">
      <c r="A315" s="68">
        <f>IF(C315="","",IFERROR(IF(SUMPRODUCT(MAX((tbl_Finance[Job Number]=C315&amp;"")*(tbl_Finance[Xero Invoice No]&lt;&gt;"")*tbl_Finance[Date]))=0,"",SUMPRODUCT(MAX((tbl_Finance[Job Number]=C315&amp;"")*(tbl_Finance[Xero Invoice No]&lt;&gt;"")*tbl_Finance[Date]))),""))</f>
        <v/>
      </c>
      <c r="B315" s="25">
        <f>IF(C315="","",IF(COUNTIFS(tbl_Finance[Job Number],C315&amp;"",tbl_Finance[Xero Invoice No],"&lt;&gt;")=0,"",IFERROR(IF(COUNTIFS(tbl_Finance[Job Number],C315&amp;"",tbl_Finance[Xero Invoice No],LOOKUP(2,1/((tbl_Finance[Job Number]=C315&amp;"")*(tbl_Finance[Xero Invoice No]&lt;&gt;"")),tbl_Finance[Xero Invoice No]))=COUNTIFS(tbl_Finance[Job Number],C315&amp;"",tbl_Finance[Xero Invoice No],"&lt;&gt;"),LOOKUP(2,1/((tbl_Finance[Job Number]=C315&amp;"")*(tbl_Finance[Xero Invoice No]&lt;&gt;"")),tbl_Finance[Xero Invoice No]),LOOKUP(2,1/((tbl_Finance[Job Number]=C315&amp;"")*(tbl_Finance[Xero Invoice No]&lt;&gt;"")),tbl_Finance[Xero Invoice No])&amp;" +more"),"")))</f>
        <v/>
      </c>
      <c r="C315" s="24" t="n"/>
      <c r="D315" s="25">
        <f>IF(C315="","",IF(COUNTIF(lst_Jobs,C315&amp;"")&gt;0,"OK","CHECK"))</f>
        <v/>
      </c>
      <c r="E315" s="25">
        <f>IF(C315="","",IFERROR(INDEX(lst_JobName,MATCH(C315&amp;"",lst_Jobs,0)),""))</f>
        <v/>
      </c>
      <c r="F315" s="25">
        <f>IF(C315="","",IFERROR(INDEX(tbl_Finance[Client],MATCH(C315&amp;"",tbl_Finance[Job Number],0)),""))</f>
        <v/>
      </c>
      <c r="G315" s="28">
        <f>IF(C315="","",COUNTIFS(tbl_Finance[Job Number],C315&amp;"",tbl_Finance[Ex GST],"&lt;&gt;"))</f>
        <v/>
      </c>
      <c r="H315" s="27">
        <f>IF(C315="","",SUMIFS(tbl_Finance[Ex GST],tbl_Finance[Job Number],C315&amp;""))</f>
        <v/>
      </c>
      <c r="I315" s="27">
        <f>IF(C315="","",SUMIFS(tbl_Finance[Ex GST],tbl_Finance[Job Number],C315&amp;"",tbl_Finance[Xero Invoice No],"&lt;&gt;"))</f>
        <v/>
      </c>
      <c r="J315" s="27">
        <f>IF(C315="","",H315-I315)</f>
        <v/>
      </c>
      <c r="K315" s="25">
        <f>IF(C315="","",IF(G315=0,"not invoiced yet",SUBSTITUTE(TRIM(IF(COUNTIFS(tbl_Finance[Job Number],C315&amp;"",tbl_Finance[Cost Centre],"ONSITE")&gt;0,"ONSITE ","")&amp;IF(COUNTIFS(tbl_Finance[Job Number],C315&amp;"",tbl_Finance[Cost Centre],"PRODUCTION")&gt;0,"PRODUCTION ","")&amp;IF(COUNTIFS(tbl_Finance[Job Number],C315&amp;"",tbl_Finance[Cost Centre],"VIDEO")&gt;0,"VIDEO ","")&amp;IF(COUNTIFS(tbl_Finance[Job Number],C315&amp;"",tbl_Finance[Cost Centre],"INTEGRATION")&gt;0,"INTEGRATION ","")&amp;IF(COUNTIFS(tbl_Finance[Job Number],C315&amp;"",tbl_Finance[Cost Centre],"CONSULTING")&gt;0,"CONSULTING ","")&amp;IF(COUNTIFS(tbl_Finance[Job Number],C315&amp;"",tbl_Finance[Cost Centre],"CTS")&gt;0,"CTS ",""))," ",", ")))</f>
        <v/>
      </c>
      <c r="L315" s="24" t="n"/>
      <c r="M315" s="25">
        <f>IF(L315="","",HYPERLINK(IF(LEFT(L315,4)="http",L315,set_QwilrBase&amp;L315),"Open quote"))</f>
        <v/>
      </c>
      <c r="N315" s="26" t="n"/>
      <c r="O315" s="26" t="n"/>
      <c r="P315" s="26" t="n"/>
      <c r="Q315" s="25">
        <f>IF(C315="","",IF(N(N315)+N(O315)+N(P315)=0,"Not split",IF(ROUND(N(N315)+N(O315)+N(P315),2)=ROUND(H315,2),"OK","MISMATCH")))</f>
        <v/>
      </c>
      <c r="R315" s="26" t="n"/>
      <c r="S315" s="26" t="n"/>
      <c r="T315" s="26" t="n"/>
      <c r="U315" s="27">
        <f>IF(C315="","",N(R315)+N(S315)+N(T315))</f>
        <v/>
      </c>
      <c r="V315" s="27">
        <f>IF(C315="","",H315-U315)</f>
        <v/>
      </c>
      <c r="W315" s="29">
        <f>IFERROR(V315/H315,"")</f>
        <v/>
      </c>
      <c r="X315" s="24" t="n"/>
    </row>
    <row r="316" ht="15" customHeight="1">
      <c r="A316" s="68">
        <f>IF(C316="","",IFERROR(IF(SUMPRODUCT(MAX((tbl_Finance[Job Number]=C316&amp;"")*(tbl_Finance[Xero Invoice No]&lt;&gt;"")*tbl_Finance[Date]))=0,"",SUMPRODUCT(MAX((tbl_Finance[Job Number]=C316&amp;"")*(tbl_Finance[Xero Invoice No]&lt;&gt;"")*tbl_Finance[Date]))),""))</f>
        <v/>
      </c>
      <c r="B316" s="25">
        <f>IF(C316="","",IF(COUNTIFS(tbl_Finance[Job Number],C316&amp;"",tbl_Finance[Xero Invoice No],"&lt;&gt;")=0,"",IFERROR(IF(COUNTIFS(tbl_Finance[Job Number],C316&amp;"",tbl_Finance[Xero Invoice No],LOOKUP(2,1/((tbl_Finance[Job Number]=C316&amp;"")*(tbl_Finance[Xero Invoice No]&lt;&gt;"")),tbl_Finance[Xero Invoice No]))=COUNTIFS(tbl_Finance[Job Number],C316&amp;"",tbl_Finance[Xero Invoice No],"&lt;&gt;"),LOOKUP(2,1/((tbl_Finance[Job Number]=C316&amp;"")*(tbl_Finance[Xero Invoice No]&lt;&gt;"")),tbl_Finance[Xero Invoice No]),LOOKUP(2,1/((tbl_Finance[Job Number]=C316&amp;"")*(tbl_Finance[Xero Invoice No]&lt;&gt;"")),tbl_Finance[Xero Invoice No])&amp;" +more"),"")))</f>
        <v/>
      </c>
      <c r="C316" s="24" t="n"/>
      <c r="D316" s="25">
        <f>IF(C316="","",IF(COUNTIF(lst_Jobs,C316&amp;"")&gt;0,"OK","CHECK"))</f>
        <v/>
      </c>
      <c r="E316" s="25">
        <f>IF(C316="","",IFERROR(INDEX(lst_JobName,MATCH(C316&amp;"",lst_Jobs,0)),""))</f>
        <v/>
      </c>
      <c r="F316" s="25">
        <f>IF(C316="","",IFERROR(INDEX(tbl_Finance[Client],MATCH(C316&amp;"",tbl_Finance[Job Number],0)),""))</f>
        <v/>
      </c>
      <c r="G316" s="28">
        <f>IF(C316="","",COUNTIFS(tbl_Finance[Job Number],C316&amp;"",tbl_Finance[Ex GST],"&lt;&gt;"))</f>
        <v/>
      </c>
      <c r="H316" s="27">
        <f>IF(C316="","",SUMIFS(tbl_Finance[Ex GST],tbl_Finance[Job Number],C316&amp;""))</f>
        <v/>
      </c>
      <c r="I316" s="27">
        <f>IF(C316="","",SUMIFS(tbl_Finance[Ex GST],tbl_Finance[Job Number],C316&amp;"",tbl_Finance[Xero Invoice No],"&lt;&gt;"))</f>
        <v/>
      </c>
      <c r="J316" s="27">
        <f>IF(C316="","",H316-I316)</f>
        <v/>
      </c>
      <c r="K316" s="25">
        <f>IF(C316="","",IF(G316=0,"not invoiced yet",SUBSTITUTE(TRIM(IF(COUNTIFS(tbl_Finance[Job Number],C316&amp;"",tbl_Finance[Cost Centre],"ONSITE")&gt;0,"ONSITE ","")&amp;IF(COUNTIFS(tbl_Finance[Job Number],C316&amp;"",tbl_Finance[Cost Centre],"PRODUCTION")&gt;0,"PRODUCTION ","")&amp;IF(COUNTIFS(tbl_Finance[Job Number],C316&amp;"",tbl_Finance[Cost Centre],"VIDEO")&gt;0,"VIDEO ","")&amp;IF(COUNTIFS(tbl_Finance[Job Number],C316&amp;"",tbl_Finance[Cost Centre],"INTEGRATION")&gt;0,"INTEGRATION ","")&amp;IF(COUNTIFS(tbl_Finance[Job Number],C316&amp;"",tbl_Finance[Cost Centre],"CONSULTING")&gt;0,"CONSULTING ","")&amp;IF(COUNTIFS(tbl_Finance[Job Number],C316&amp;"",tbl_Finance[Cost Centre],"CTS")&gt;0,"CTS ",""))," ",", ")))</f>
        <v/>
      </c>
      <c r="L316" s="24" t="n"/>
      <c r="M316" s="25">
        <f>IF(L316="","",HYPERLINK(IF(LEFT(L316,4)="http",L316,set_QwilrBase&amp;L316),"Open quote"))</f>
        <v/>
      </c>
      <c r="N316" s="26" t="n"/>
      <c r="O316" s="26" t="n"/>
      <c r="P316" s="26" t="n"/>
      <c r="Q316" s="25">
        <f>IF(C316="","",IF(N(N316)+N(O316)+N(P316)=0,"Not split",IF(ROUND(N(N316)+N(O316)+N(P316),2)=ROUND(H316,2),"OK","MISMATCH")))</f>
        <v/>
      </c>
      <c r="R316" s="26" t="n"/>
      <c r="S316" s="26" t="n"/>
      <c r="T316" s="26" t="n"/>
      <c r="U316" s="27">
        <f>IF(C316="","",N(R316)+N(S316)+N(T316))</f>
        <v/>
      </c>
      <c r="V316" s="27">
        <f>IF(C316="","",H316-U316)</f>
        <v/>
      </c>
      <c r="W316" s="29">
        <f>IFERROR(V316/H316,"")</f>
        <v/>
      </c>
      <c r="X316" s="24" t="n"/>
    </row>
    <row r="317" ht="15" customHeight="1">
      <c r="A317" s="68">
        <f>IF(C317="","",IFERROR(IF(SUMPRODUCT(MAX((tbl_Finance[Job Number]=C317&amp;"")*(tbl_Finance[Xero Invoice No]&lt;&gt;"")*tbl_Finance[Date]))=0,"",SUMPRODUCT(MAX((tbl_Finance[Job Number]=C317&amp;"")*(tbl_Finance[Xero Invoice No]&lt;&gt;"")*tbl_Finance[Date]))),""))</f>
        <v/>
      </c>
      <c r="B317" s="25">
        <f>IF(C317="","",IF(COUNTIFS(tbl_Finance[Job Number],C317&amp;"",tbl_Finance[Xero Invoice No],"&lt;&gt;")=0,"",IFERROR(IF(COUNTIFS(tbl_Finance[Job Number],C317&amp;"",tbl_Finance[Xero Invoice No],LOOKUP(2,1/((tbl_Finance[Job Number]=C317&amp;"")*(tbl_Finance[Xero Invoice No]&lt;&gt;"")),tbl_Finance[Xero Invoice No]))=COUNTIFS(tbl_Finance[Job Number],C317&amp;"",tbl_Finance[Xero Invoice No],"&lt;&gt;"),LOOKUP(2,1/((tbl_Finance[Job Number]=C317&amp;"")*(tbl_Finance[Xero Invoice No]&lt;&gt;"")),tbl_Finance[Xero Invoice No]),LOOKUP(2,1/((tbl_Finance[Job Number]=C317&amp;"")*(tbl_Finance[Xero Invoice No]&lt;&gt;"")),tbl_Finance[Xero Invoice No])&amp;" +more"),"")))</f>
        <v/>
      </c>
      <c r="C317" s="24" t="n"/>
      <c r="D317" s="25">
        <f>IF(C317="","",IF(COUNTIF(lst_Jobs,C317&amp;"")&gt;0,"OK","CHECK"))</f>
        <v/>
      </c>
      <c r="E317" s="25">
        <f>IF(C317="","",IFERROR(INDEX(lst_JobName,MATCH(C317&amp;"",lst_Jobs,0)),""))</f>
        <v/>
      </c>
      <c r="F317" s="25">
        <f>IF(C317="","",IFERROR(INDEX(tbl_Finance[Client],MATCH(C317&amp;"",tbl_Finance[Job Number],0)),""))</f>
        <v/>
      </c>
      <c r="G317" s="28">
        <f>IF(C317="","",COUNTIFS(tbl_Finance[Job Number],C317&amp;"",tbl_Finance[Ex GST],"&lt;&gt;"))</f>
        <v/>
      </c>
      <c r="H317" s="27">
        <f>IF(C317="","",SUMIFS(tbl_Finance[Ex GST],tbl_Finance[Job Number],C317&amp;""))</f>
        <v/>
      </c>
      <c r="I317" s="27">
        <f>IF(C317="","",SUMIFS(tbl_Finance[Ex GST],tbl_Finance[Job Number],C317&amp;"",tbl_Finance[Xero Invoice No],"&lt;&gt;"))</f>
        <v/>
      </c>
      <c r="J317" s="27">
        <f>IF(C317="","",H317-I317)</f>
        <v/>
      </c>
      <c r="K317" s="25">
        <f>IF(C317="","",IF(G317=0,"not invoiced yet",SUBSTITUTE(TRIM(IF(COUNTIFS(tbl_Finance[Job Number],C317&amp;"",tbl_Finance[Cost Centre],"ONSITE")&gt;0,"ONSITE ","")&amp;IF(COUNTIFS(tbl_Finance[Job Number],C317&amp;"",tbl_Finance[Cost Centre],"PRODUCTION")&gt;0,"PRODUCTION ","")&amp;IF(COUNTIFS(tbl_Finance[Job Number],C317&amp;"",tbl_Finance[Cost Centre],"VIDEO")&gt;0,"VIDEO ","")&amp;IF(COUNTIFS(tbl_Finance[Job Number],C317&amp;"",tbl_Finance[Cost Centre],"INTEGRATION")&gt;0,"INTEGRATION ","")&amp;IF(COUNTIFS(tbl_Finance[Job Number],C317&amp;"",tbl_Finance[Cost Centre],"CONSULTING")&gt;0,"CONSULTING ","")&amp;IF(COUNTIFS(tbl_Finance[Job Number],C317&amp;"",tbl_Finance[Cost Centre],"CTS")&gt;0,"CTS ",""))," ",", ")))</f>
        <v/>
      </c>
      <c r="L317" s="24" t="n"/>
      <c r="M317" s="25">
        <f>IF(L317="","",HYPERLINK(IF(LEFT(L317,4)="http",L317,set_QwilrBase&amp;L317),"Open quote"))</f>
        <v/>
      </c>
      <c r="N317" s="26" t="n"/>
      <c r="O317" s="26" t="n"/>
      <c r="P317" s="26" t="n"/>
      <c r="Q317" s="25">
        <f>IF(C317="","",IF(N(N317)+N(O317)+N(P317)=0,"Not split",IF(ROUND(N(N317)+N(O317)+N(P317),2)=ROUND(H317,2),"OK","MISMATCH")))</f>
        <v/>
      </c>
      <c r="R317" s="26" t="n"/>
      <c r="S317" s="26" t="n"/>
      <c r="T317" s="26" t="n"/>
      <c r="U317" s="27">
        <f>IF(C317="","",N(R317)+N(S317)+N(T317))</f>
        <v/>
      </c>
      <c r="V317" s="27">
        <f>IF(C317="","",H317-U317)</f>
        <v/>
      </c>
      <c r="W317" s="29">
        <f>IFERROR(V317/H317,"")</f>
        <v/>
      </c>
      <c r="X317" s="24" t="n"/>
    </row>
    <row r="318" ht="15" customHeight="1">
      <c r="A318" s="68">
        <f>IF(C318="","",IFERROR(IF(SUMPRODUCT(MAX((tbl_Finance[Job Number]=C318&amp;"")*(tbl_Finance[Xero Invoice No]&lt;&gt;"")*tbl_Finance[Date]))=0,"",SUMPRODUCT(MAX((tbl_Finance[Job Number]=C318&amp;"")*(tbl_Finance[Xero Invoice No]&lt;&gt;"")*tbl_Finance[Date]))),""))</f>
        <v/>
      </c>
      <c r="B318" s="25">
        <f>IF(C318="","",IF(COUNTIFS(tbl_Finance[Job Number],C318&amp;"",tbl_Finance[Xero Invoice No],"&lt;&gt;")=0,"",IFERROR(IF(COUNTIFS(tbl_Finance[Job Number],C318&amp;"",tbl_Finance[Xero Invoice No],LOOKUP(2,1/((tbl_Finance[Job Number]=C318&amp;"")*(tbl_Finance[Xero Invoice No]&lt;&gt;"")),tbl_Finance[Xero Invoice No]))=COUNTIFS(tbl_Finance[Job Number],C318&amp;"",tbl_Finance[Xero Invoice No],"&lt;&gt;"),LOOKUP(2,1/((tbl_Finance[Job Number]=C318&amp;"")*(tbl_Finance[Xero Invoice No]&lt;&gt;"")),tbl_Finance[Xero Invoice No]),LOOKUP(2,1/((tbl_Finance[Job Number]=C318&amp;"")*(tbl_Finance[Xero Invoice No]&lt;&gt;"")),tbl_Finance[Xero Invoice No])&amp;" +more"),"")))</f>
        <v/>
      </c>
      <c r="C318" s="24" t="n"/>
      <c r="D318" s="25">
        <f>IF(C318="","",IF(COUNTIF(lst_Jobs,C318&amp;"")&gt;0,"OK","CHECK"))</f>
        <v/>
      </c>
      <c r="E318" s="25">
        <f>IF(C318="","",IFERROR(INDEX(lst_JobName,MATCH(C318&amp;"",lst_Jobs,0)),""))</f>
        <v/>
      </c>
      <c r="F318" s="25">
        <f>IF(C318="","",IFERROR(INDEX(tbl_Finance[Client],MATCH(C318&amp;"",tbl_Finance[Job Number],0)),""))</f>
        <v/>
      </c>
      <c r="G318" s="28">
        <f>IF(C318="","",COUNTIFS(tbl_Finance[Job Number],C318&amp;"",tbl_Finance[Ex GST],"&lt;&gt;"))</f>
        <v/>
      </c>
      <c r="H318" s="27">
        <f>IF(C318="","",SUMIFS(tbl_Finance[Ex GST],tbl_Finance[Job Number],C318&amp;""))</f>
        <v/>
      </c>
      <c r="I318" s="27">
        <f>IF(C318="","",SUMIFS(tbl_Finance[Ex GST],tbl_Finance[Job Number],C318&amp;"",tbl_Finance[Xero Invoice No],"&lt;&gt;"))</f>
        <v/>
      </c>
      <c r="J318" s="27">
        <f>IF(C318="","",H318-I318)</f>
        <v/>
      </c>
      <c r="K318" s="25">
        <f>IF(C318="","",IF(G318=0,"not invoiced yet",SUBSTITUTE(TRIM(IF(COUNTIFS(tbl_Finance[Job Number],C318&amp;"",tbl_Finance[Cost Centre],"ONSITE")&gt;0,"ONSITE ","")&amp;IF(COUNTIFS(tbl_Finance[Job Number],C318&amp;"",tbl_Finance[Cost Centre],"PRODUCTION")&gt;0,"PRODUCTION ","")&amp;IF(COUNTIFS(tbl_Finance[Job Number],C318&amp;"",tbl_Finance[Cost Centre],"VIDEO")&gt;0,"VIDEO ","")&amp;IF(COUNTIFS(tbl_Finance[Job Number],C318&amp;"",tbl_Finance[Cost Centre],"INTEGRATION")&gt;0,"INTEGRATION ","")&amp;IF(COUNTIFS(tbl_Finance[Job Number],C318&amp;"",tbl_Finance[Cost Centre],"CONSULTING")&gt;0,"CONSULTING ","")&amp;IF(COUNTIFS(tbl_Finance[Job Number],C318&amp;"",tbl_Finance[Cost Centre],"CTS")&gt;0,"CTS ",""))," ",", ")))</f>
        <v/>
      </c>
      <c r="L318" s="24" t="n"/>
      <c r="M318" s="25">
        <f>IF(L318="","",HYPERLINK(IF(LEFT(L318,4)="http",L318,set_QwilrBase&amp;L318),"Open quote"))</f>
        <v/>
      </c>
      <c r="N318" s="26" t="n"/>
      <c r="O318" s="26" t="n"/>
      <c r="P318" s="26" t="n"/>
      <c r="Q318" s="25">
        <f>IF(C318="","",IF(N(N318)+N(O318)+N(P318)=0,"Not split",IF(ROUND(N(N318)+N(O318)+N(P318),2)=ROUND(H318,2),"OK","MISMATCH")))</f>
        <v/>
      </c>
      <c r="R318" s="26" t="n"/>
      <c r="S318" s="26" t="n"/>
      <c r="T318" s="26" t="n"/>
      <c r="U318" s="27">
        <f>IF(C318="","",N(R318)+N(S318)+N(T318))</f>
        <v/>
      </c>
      <c r="V318" s="27">
        <f>IF(C318="","",H318-U318)</f>
        <v/>
      </c>
      <c r="W318" s="29">
        <f>IFERROR(V318/H318,"")</f>
        <v/>
      </c>
      <c r="X318" s="24" t="n"/>
    </row>
    <row r="319" ht="15" customHeight="1">
      <c r="A319" s="68">
        <f>IF(C319="","",IFERROR(IF(SUMPRODUCT(MAX((tbl_Finance[Job Number]=C319&amp;"")*(tbl_Finance[Xero Invoice No]&lt;&gt;"")*tbl_Finance[Date]))=0,"",SUMPRODUCT(MAX((tbl_Finance[Job Number]=C319&amp;"")*(tbl_Finance[Xero Invoice No]&lt;&gt;"")*tbl_Finance[Date]))),""))</f>
        <v/>
      </c>
      <c r="B319" s="25">
        <f>IF(C319="","",IF(COUNTIFS(tbl_Finance[Job Number],C319&amp;"",tbl_Finance[Xero Invoice No],"&lt;&gt;")=0,"",IFERROR(IF(COUNTIFS(tbl_Finance[Job Number],C319&amp;"",tbl_Finance[Xero Invoice No],LOOKUP(2,1/((tbl_Finance[Job Number]=C319&amp;"")*(tbl_Finance[Xero Invoice No]&lt;&gt;"")),tbl_Finance[Xero Invoice No]))=COUNTIFS(tbl_Finance[Job Number],C319&amp;"",tbl_Finance[Xero Invoice No],"&lt;&gt;"),LOOKUP(2,1/((tbl_Finance[Job Number]=C319&amp;"")*(tbl_Finance[Xero Invoice No]&lt;&gt;"")),tbl_Finance[Xero Invoice No]),LOOKUP(2,1/((tbl_Finance[Job Number]=C319&amp;"")*(tbl_Finance[Xero Invoice No]&lt;&gt;"")),tbl_Finance[Xero Invoice No])&amp;" +more"),"")))</f>
        <v/>
      </c>
      <c r="C319" s="24" t="n"/>
      <c r="D319" s="25">
        <f>IF(C319="","",IF(COUNTIF(lst_Jobs,C319&amp;"")&gt;0,"OK","CHECK"))</f>
        <v/>
      </c>
      <c r="E319" s="25">
        <f>IF(C319="","",IFERROR(INDEX(lst_JobName,MATCH(C319&amp;"",lst_Jobs,0)),""))</f>
        <v/>
      </c>
      <c r="F319" s="25">
        <f>IF(C319="","",IFERROR(INDEX(tbl_Finance[Client],MATCH(C319&amp;"",tbl_Finance[Job Number],0)),""))</f>
        <v/>
      </c>
      <c r="G319" s="28">
        <f>IF(C319="","",COUNTIFS(tbl_Finance[Job Number],C319&amp;"",tbl_Finance[Ex GST],"&lt;&gt;"))</f>
        <v/>
      </c>
      <c r="H319" s="27">
        <f>IF(C319="","",SUMIFS(tbl_Finance[Ex GST],tbl_Finance[Job Number],C319&amp;""))</f>
        <v/>
      </c>
      <c r="I319" s="27">
        <f>IF(C319="","",SUMIFS(tbl_Finance[Ex GST],tbl_Finance[Job Number],C319&amp;"",tbl_Finance[Xero Invoice No],"&lt;&gt;"))</f>
        <v/>
      </c>
      <c r="J319" s="27">
        <f>IF(C319="","",H319-I319)</f>
        <v/>
      </c>
      <c r="K319" s="25">
        <f>IF(C319="","",IF(G319=0,"not invoiced yet",SUBSTITUTE(TRIM(IF(COUNTIFS(tbl_Finance[Job Number],C319&amp;"",tbl_Finance[Cost Centre],"ONSITE")&gt;0,"ONSITE ","")&amp;IF(COUNTIFS(tbl_Finance[Job Number],C319&amp;"",tbl_Finance[Cost Centre],"PRODUCTION")&gt;0,"PRODUCTION ","")&amp;IF(COUNTIFS(tbl_Finance[Job Number],C319&amp;"",tbl_Finance[Cost Centre],"VIDEO")&gt;0,"VIDEO ","")&amp;IF(COUNTIFS(tbl_Finance[Job Number],C319&amp;"",tbl_Finance[Cost Centre],"INTEGRATION")&gt;0,"INTEGRATION ","")&amp;IF(COUNTIFS(tbl_Finance[Job Number],C319&amp;"",tbl_Finance[Cost Centre],"CONSULTING")&gt;0,"CONSULTING ","")&amp;IF(COUNTIFS(tbl_Finance[Job Number],C319&amp;"",tbl_Finance[Cost Centre],"CTS")&gt;0,"CTS ",""))," ",", ")))</f>
        <v/>
      </c>
      <c r="L319" s="24" t="n"/>
      <c r="M319" s="25">
        <f>IF(L319="","",HYPERLINK(IF(LEFT(L319,4)="http",L319,set_QwilrBase&amp;L319),"Open quote"))</f>
        <v/>
      </c>
      <c r="N319" s="26" t="n"/>
      <c r="O319" s="26" t="n"/>
      <c r="P319" s="26" t="n"/>
      <c r="Q319" s="25">
        <f>IF(C319="","",IF(N(N319)+N(O319)+N(P319)=0,"Not split",IF(ROUND(N(N319)+N(O319)+N(P319),2)=ROUND(H319,2),"OK","MISMATCH")))</f>
        <v/>
      </c>
      <c r="R319" s="26" t="n"/>
      <c r="S319" s="26" t="n"/>
      <c r="T319" s="26" t="n"/>
      <c r="U319" s="27">
        <f>IF(C319="","",N(R319)+N(S319)+N(T319))</f>
        <v/>
      </c>
      <c r="V319" s="27">
        <f>IF(C319="","",H319-U319)</f>
        <v/>
      </c>
      <c r="W319" s="29">
        <f>IFERROR(V319/H319,"")</f>
        <v/>
      </c>
      <c r="X319" s="24" t="n"/>
    </row>
    <row r="320" ht="15" customHeight="1">
      <c r="A320" s="68">
        <f>IF(C320="","",IFERROR(IF(SUMPRODUCT(MAX((tbl_Finance[Job Number]=C320&amp;"")*(tbl_Finance[Xero Invoice No]&lt;&gt;"")*tbl_Finance[Date]))=0,"",SUMPRODUCT(MAX((tbl_Finance[Job Number]=C320&amp;"")*(tbl_Finance[Xero Invoice No]&lt;&gt;"")*tbl_Finance[Date]))),""))</f>
        <v/>
      </c>
      <c r="B320" s="25">
        <f>IF(C320="","",IF(COUNTIFS(tbl_Finance[Job Number],C320&amp;"",tbl_Finance[Xero Invoice No],"&lt;&gt;")=0,"",IFERROR(IF(COUNTIFS(tbl_Finance[Job Number],C320&amp;"",tbl_Finance[Xero Invoice No],LOOKUP(2,1/((tbl_Finance[Job Number]=C320&amp;"")*(tbl_Finance[Xero Invoice No]&lt;&gt;"")),tbl_Finance[Xero Invoice No]))=COUNTIFS(tbl_Finance[Job Number],C320&amp;"",tbl_Finance[Xero Invoice No],"&lt;&gt;"),LOOKUP(2,1/((tbl_Finance[Job Number]=C320&amp;"")*(tbl_Finance[Xero Invoice No]&lt;&gt;"")),tbl_Finance[Xero Invoice No]),LOOKUP(2,1/((tbl_Finance[Job Number]=C320&amp;"")*(tbl_Finance[Xero Invoice No]&lt;&gt;"")),tbl_Finance[Xero Invoice No])&amp;" +more"),"")))</f>
        <v/>
      </c>
      <c r="C320" s="24" t="n"/>
      <c r="D320" s="25">
        <f>IF(C320="","",IF(COUNTIF(lst_Jobs,C320&amp;"")&gt;0,"OK","CHECK"))</f>
        <v/>
      </c>
      <c r="E320" s="25">
        <f>IF(C320="","",IFERROR(INDEX(lst_JobName,MATCH(C320&amp;"",lst_Jobs,0)),""))</f>
        <v/>
      </c>
      <c r="F320" s="25">
        <f>IF(C320="","",IFERROR(INDEX(tbl_Finance[Client],MATCH(C320&amp;"",tbl_Finance[Job Number],0)),""))</f>
        <v/>
      </c>
      <c r="G320" s="28">
        <f>IF(C320="","",COUNTIFS(tbl_Finance[Job Number],C320&amp;"",tbl_Finance[Ex GST],"&lt;&gt;"))</f>
        <v/>
      </c>
      <c r="H320" s="27">
        <f>IF(C320="","",SUMIFS(tbl_Finance[Ex GST],tbl_Finance[Job Number],C320&amp;""))</f>
        <v/>
      </c>
      <c r="I320" s="27">
        <f>IF(C320="","",SUMIFS(tbl_Finance[Ex GST],tbl_Finance[Job Number],C320&amp;"",tbl_Finance[Xero Invoice No],"&lt;&gt;"))</f>
        <v/>
      </c>
      <c r="J320" s="27">
        <f>IF(C320="","",H320-I320)</f>
        <v/>
      </c>
      <c r="K320" s="25">
        <f>IF(C320="","",IF(G320=0,"not invoiced yet",SUBSTITUTE(TRIM(IF(COUNTIFS(tbl_Finance[Job Number],C320&amp;"",tbl_Finance[Cost Centre],"ONSITE")&gt;0,"ONSITE ","")&amp;IF(COUNTIFS(tbl_Finance[Job Number],C320&amp;"",tbl_Finance[Cost Centre],"PRODUCTION")&gt;0,"PRODUCTION ","")&amp;IF(COUNTIFS(tbl_Finance[Job Number],C320&amp;"",tbl_Finance[Cost Centre],"VIDEO")&gt;0,"VIDEO ","")&amp;IF(COUNTIFS(tbl_Finance[Job Number],C320&amp;"",tbl_Finance[Cost Centre],"INTEGRATION")&gt;0,"INTEGRATION ","")&amp;IF(COUNTIFS(tbl_Finance[Job Number],C320&amp;"",tbl_Finance[Cost Centre],"CONSULTING")&gt;0,"CONSULTING ","")&amp;IF(COUNTIFS(tbl_Finance[Job Number],C320&amp;"",tbl_Finance[Cost Centre],"CTS")&gt;0,"CTS ",""))," ",", ")))</f>
        <v/>
      </c>
      <c r="L320" s="24" t="n"/>
      <c r="M320" s="25">
        <f>IF(L320="","",HYPERLINK(IF(LEFT(L320,4)="http",L320,set_QwilrBase&amp;L320),"Open quote"))</f>
        <v/>
      </c>
      <c r="N320" s="26" t="n"/>
      <c r="O320" s="26" t="n"/>
      <c r="P320" s="26" t="n"/>
      <c r="Q320" s="25">
        <f>IF(C320="","",IF(N(N320)+N(O320)+N(P320)=0,"Not split",IF(ROUND(N(N320)+N(O320)+N(P320),2)=ROUND(H320,2),"OK","MISMATCH")))</f>
        <v/>
      </c>
      <c r="R320" s="26" t="n"/>
      <c r="S320" s="26" t="n"/>
      <c r="T320" s="26" t="n"/>
      <c r="U320" s="27">
        <f>IF(C320="","",N(R320)+N(S320)+N(T320))</f>
        <v/>
      </c>
      <c r="V320" s="27">
        <f>IF(C320="","",H320-U320)</f>
        <v/>
      </c>
      <c r="W320" s="29">
        <f>IFERROR(V320/H320,"")</f>
        <v/>
      </c>
      <c r="X320" s="24" t="n"/>
    </row>
    <row r="321" ht="15" customHeight="1">
      <c r="A321" s="68">
        <f>IF(C321="","",IFERROR(IF(SUMPRODUCT(MAX((tbl_Finance[Job Number]=C321&amp;"")*(tbl_Finance[Xero Invoice No]&lt;&gt;"")*tbl_Finance[Date]))=0,"",SUMPRODUCT(MAX((tbl_Finance[Job Number]=C321&amp;"")*(tbl_Finance[Xero Invoice No]&lt;&gt;"")*tbl_Finance[Date]))),""))</f>
        <v/>
      </c>
      <c r="B321" s="25">
        <f>IF(C321="","",IF(COUNTIFS(tbl_Finance[Job Number],C321&amp;"",tbl_Finance[Xero Invoice No],"&lt;&gt;")=0,"",IFERROR(IF(COUNTIFS(tbl_Finance[Job Number],C321&amp;"",tbl_Finance[Xero Invoice No],LOOKUP(2,1/((tbl_Finance[Job Number]=C321&amp;"")*(tbl_Finance[Xero Invoice No]&lt;&gt;"")),tbl_Finance[Xero Invoice No]))=COUNTIFS(tbl_Finance[Job Number],C321&amp;"",tbl_Finance[Xero Invoice No],"&lt;&gt;"),LOOKUP(2,1/((tbl_Finance[Job Number]=C321&amp;"")*(tbl_Finance[Xero Invoice No]&lt;&gt;"")),tbl_Finance[Xero Invoice No]),LOOKUP(2,1/((tbl_Finance[Job Number]=C321&amp;"")*(tbl_Finance[Xero Invoice No]&lt;&gt;"")),tbl_Finance[Xero Invoice No])&amp;" +more"),"")))</f>
        <v/>
      </c>
      <c r="C321" s="24" t="n"/>
      <c r="D321" s="25">
        <f>IF(C321="","",IF(COUNTIF(lst_Jobs,C321&amp;"")&gt;0,"OK","CHECK"))</f>
        <v/>
      </c>
      <c r="E321" s="25">
        <f>IF(C321="","",IFERROR(INDEX(lst_JobName,MATCH(C321&amp;"",lst_Jobs,0)),""))</f>
        <v/>
      </c>
      <c r="F321" s="25">
        <f>IF(C321="","",IFERROR(INDEX(tbl_Finance[Client],MATCH(C321&amp;"",tbl_Finance[Job Number],0)),""))</f>
        <v/>
      </c>
      <c r="G321" s="28">
        <f>IF(C321="","",COUNTIFS(tbl_Finance[Job Number],C321&amp;"",tbl_Finance[Ex GST],"&lt;&gt;"))</f>
        <v/>
      </c>
      <c r="H321" s="27">
        <f>IF(C321="","",SUMIFS(tbl_Finance[Ex GST],tbl_Finance[Job Number],C321&amp;""))</f>
        <v/>
      </c>
      <c r="I321" s="27">
        <f>IF(C321="","",SUMIFS(tbl_Finance[Ex GST],tbl_Finance[Job Number],C321&amp;"",tbl_Finance[Xero Invoice No],"&lt;&gt;"))</f>
        <v/>
      </c>
      <c r="J321" s="27">
        <f>IF(C321="","",H321-I321)</f>
        <v/>
      </c>
      <c r="K321" s="25">
        <f>IF(C321="","",IF(G321=0,"not invoiced yet",SUBSTITUTE(TRIM(IF(COUNTIFS(tbl_Finance[Job Number],C321&amp;"",tbl_Finance[Cost Centre],"ONSITE")&gt;0,"ONSITE ","")&amp;IF(COUNTIFS(tbl_Finance[Job Number],C321&amp;"",tbl_Finance[Cost Centre],"PRODUCTION")&gt;0,"PRODUCTION ","")&amp;IF(COUNTIFS(tbl_Finance[Job Number],C321&amp;"",tbl_Finance[Cost Centre],"VIDEO")&gt;0,"VIDEO ","")&amp;IF(COUNTIFS(tbl_Finance[Job Number],C321&amp;"",tbl_Finance[Cost Centre],"INTEGRATION")&gt;0,"INTEGRATION ","")&amp;IF(COUNTIFS(tbl_Finance[Job Number],C321&amp;"",tbl_Finance[Cost Centre],"CONSULTING")&gt;0,"CONSULTING ","")&amp;IF(COUNTIFS(tbl_Finance[Job Number],C321&amp;"",tbl_Finance[Cost Centre],"CTS")&gt;0,"CTS ",""))," ",", ")))</f>
        <v/>
      </c>
      <c r="L321" s="24" t="n"/>
      <c r="M321" s="25">
        <f>IF(L321="","",HYPERLINK(IF(LEFT(L321,4)="http",L321,set_QwilrBase&amp;L321),"Open quote"))</f>
        <v/>
      </c>
      <c r="N321" s="26" t="n"/>
      <c r="O321" s="26" t="n"/>
      <c r="P321" s="26" t="n"/>
      <c r="Q321" s="25">
        <f>IF(C321="","",IF(N(N321)+N(O321)+N(P321)=0,"Not split",IF(ROUND(N(N321)+N(O321)+N(P321),2)=ROUND(H321,2),"OK","MISMATCH")))</f>
        <v/>
      </c>
      <c r="R321" s="26" t="n"/>
      <c r="S321" s="26" t="n"/>
      <c r="T321" s="26" t="n"/>
      <c r="U321" s="27">
        <f>IF(C321="","",N(R321)+N(S321)+N(T321))</f>
        <v/>
      </c>
      <c r="V321" s="27">
        <f>IF(C321="","",H321-U321)</f>
        <v/>
      </c>
      <c r="W321" s="29">
        <f>IFERROR(V321/H321,"")</f>
        <v/>
      </c>
      <c r="X321" s="24" t="n"/>
    </row>
    <row r="322" ht="15" customHeight="1">
      <c r="A322" s="68">
        <f>IF(C322="","",IFERROR(IF(SUMPRODUCT(MAX((tbl_Finance[Job Number]=C322&amp;"")*(tbl_Finance[Xero Invoice No]&lt;&gt;"")*tbl_Finance[Date]))=0,"",SUMPRODUCT(MAX((tbl_Finance[Job Number]=C322&amp;"")*(tbl_Finance[Xero Invoice No]&lt;&gt;"")*tbl_Finance[Date]))),""))</f>
        <v/>
      </c>
      <c r="B322" s="25">
        <f>IF(C322="","",IF(COUNTIFS(tbl_Finance[Job Number],C322&amp;"",tbl_Finance[Xero Invoice No],"&lt;&gt;")=0,"",IFERROR(IF(COUNTIFS(tbl_Finance[Job Number],C322&amp;"",tbl_Finance[Xero Invoice No],LOOKUP(2,1/((tbl_Finance[Job Number]=C322&amp;"")*(tbl_Finance[Xero Invoice No]&lt;&gt;"")),tbl_Finance[Xero Invoice No]))=COUNTIFS(tbl_Finance[Job Number],C322&amp;"",tbl_Finance[Xero Invoice No],"&lt;&gt;"),LOOKUP(2,1/((tbl_Finance[Job Number]=C322&amp;"")*(tbl_Finance[Xero Invoice No]&lt;&gt;"")),tbl_Finance[Xero Invoice No]),LOOKUP(2,1/((tbl_Finance[Job Number]=C322&amp;"")*(tbl_Finance[Xero Invoice No]&lt;&gt;"")),tbl_Finance[Xero Invoice No])&amp;" +more"),"")))</f>
        <v/>
      </c>
      <c r="C322" s="24" t="n"/>
      <c r="D322" s="25">
        <f>IF(C322="","",IF(COUNTIF(lst_Jobs,C322&amp;"")&gt;0,"OK","CHECK"))</f>
        <v/>
      </c>
      <c r="E322" s="25">
        <f>IF(C322="","",IFERROR(INDEX(lst_JobName,MATCH(C322&amp;"",lst_Jobs,0)),""))</f>
        <v/>
      </c>
      <c r="F322" s="25">
        <f>IF(C322="","",IFERROR(INDEX(tbl_Finance[Client],MATCH(C322&amp;"",tbl_Finance[Job Number],0)),""))</f>
        <v/>
      </c>
      <c r="G322" s="28">
        <f>IF(C322="","",COUNTIFS(tbl_Finance[Job Number],C322&amp;"",tbl_Finance[Ex GST],"&lt;&gt;"))</f>
        <v/>
      </c>
      <c r="H322" s="27">
        <f>IF(C322="","",SUMIFS(tbl_Finance[Ex GST],tbl_Finance[Job Number],C322&amp;""))</f>
        <v/>
      </c>
      <c r="I322" s="27">
        <f>IF(C322="","",SUMIFS(tbl_Finance[Ex GST],tbl_Finance[Job Number],C322&amp;"",tbl_Finance[Xero Invoice No],"&lt;&gt;"))</f>
        <v/>
      </c>
      <c r="J322" s="27">
        <f>IF(C322="","",H322-I322)</f>
        <v/>
      </c>
      <c r="K322" s="25">
        <f>IF(C322="","",IF(G322=0,"not invoiced yet",SUBSTITUTE(TRIM(IF(COUNTIFS(tbl_Finance[Job Number],C322&amp;"",tbl_Finance[Cost Centre],"ONSITE")&gt;0,"ONSITE ","")&amp;IF(COUNTIFS(tbl_Finance[Job Number],C322&amp;"",tbl_Finance[Cost Centre],"PRODUCTION")&gt;0,"PRODUCTION ","")&amp;IF(COUNTIFS(tbl_Finance[Job Number],C322&amp;"",tbl_Finance[Cost Centre],"VIDEO")&gt;0,"VIDEO ","")&amp;IF(COUNTIFS(tbl_Finance[Job Number],C322&amp;"",tbl_Finance[Cost Centre],"INTEGRATION")&gt;0,"INTEGRATION ","")&amp;IF(COUNTIFS(tbl_Finance[Job Number],C322&amp;"",tbl_Finance[Cost Centre],"CONSULTING")&gt;0,"CONSULTING ","")&amp;IF(COUNTIFS(tbl_Finance[Job Number],C322&amp;"",tbl_Finance[Cost Centre],"CTS")&gt;0,"CTS ",""))," ",", ")))</f>
        <v/>
      </c>
      <c r="L322" s="24" t="n"/>
      <c r="M322" s="25">
        <f>IF(L322="","",HYPERLINK(IF(LEFT(L322,4)="http",L322,set_QwilrBase&amp;L322),"Open quote"))</f>
        <v/>
      </c>
      <c r="N322" s="26" t="n"/>
      <c r="O322" s="26" t="n"/>
      <c r="P322" s="26" t="n"/>
      <c r="Q322" s="25">
        <f>IF(C322="","",IF(N(N322)+N(O322)+N(P322)=0,"Not split",IF(ROUND(N(N322)+N(O322)+N(P322),2)=ROUND(H322,2),"OK","MISMATCH")))</f>
        <v/>
      </c>
      <c r="R322" s="26" t="n"/>
      <c r="S322" s="26" t="n"/>
      <c r="T322" s="26" t="n"/>
      <c r="U322" s="27">
        <f>IF(C322="","",N(R322)+N(S322)+N(T322))</f>
        <v/>
      </c>
      <c r="V322" s="27">
        <f>IF(C322="","",H322-U322)</f>
        <v/>
      </c>
      <c r="W322" s="29">
        <f>IFERROR(V322/H322,"")</f>
        <v/>
      </c>
      <c r="X322" s="24" t="n"/>
    </row>
    <row r="323" ht="15" customHeight="1">
      <c r="A323" s="68">
        <f>IF(C323="","",IFERROR(IF(SUMPRODUCT(MAX((tbl_Finance[Job Number]=C323&amp;"")*(tbl_Finance[Xero Invoice No]&lt;&gt;"")*tbl_Finance[Date]))=0,"",SUMPRODUCT(MAX((tbl_Finance[Job Number]=C323&amp;"")*(tbl_Finance[Xero Invoice No]&lt;&gt;"")*tbl_Finance[Date]))),""))</f>
        <v/>
      </c>
      <c r="B323" s="25">
        <f>IF(C323="","",IF(COUNTIFS(tbl_Finance[Job Number],C323&amp;"",tbl_Finance[Xero Invoice No],"&lt;&gt;")=0,"",IFERROR(IF(COUNTIFS(tbl_Finance[Job Number],C323&amp;"",tbl_Finance[Xero Invoice No],LOOKUP(2,1/((tbl_Finance[Job Number]=C323&amp;"")*(tbl_Finance[Xero Invoice No]&lt;&gt;"")),tbl_Finance[Xero Invoice No]))=COUNTIFS(tbl_Finance[Job Number],C323&amp;"",tbl_Finance[Xero Invoice No],"&lt;&gt;"),LOOKUP(2,1/((tbl_Finance[Job Number]=C323&amp;"")*(tbl_Finance[Xero Invoice No]&lt;&gt;"")),tbl_Finance[Xero Invoice No]),LOOKUP(2,1/((tbl_Finance[Job Number]=C323&amp;"")*(tbl_Finance[Xero Invoice No]&lt;&gt;"")),tbl_Finance[Xero Invoice No])&amp;" +more"),"")))</f>
        <v/>
      </c>
      <c r="C323" s="24" t="n"/>
      <c r="D323" s="25">
        <f>IF(C323="","",IF(COUNTIF(lst_Jobs,C323&amp;"")&gt;0,"OK","CHECK"))</f>
        <v/>
      </c>
      <c r="E323" s="25">
        <f>IF(C323="","",IFERROR(INDEX(lst_JobName,MATCH(C323&amp;"",lst_Jobs,0)),""))</f>
        <v/>
      </c>
      <c r="F323" s="25">
        <f>IF(C323="","",IFERROR(INDEX(tbl_Finance[Client],MATCH(C323&amp;"",tbl_Finance[Job Number],0)),""))</f>
        <v/>
      </c>
      <c r="G323" s="28">
        <f>IF(C323="","",COUNTIFS(tbl_Finance[Job Number],C323&amp;"",tbl_Finance[Ex GST],"&lt;&gt;"))</f>
        <v/>
      </c>
      <c r="H323" s="27">
        <f>IF(C323="","",SUMIFS(tbl_Finance[Ex GST],tbl_Finance[Job Number],C323&amp;""))</f>
        <v/>
      </c>
      <c r="I323" s="27">
        <f>IF(C323="","",SUMIFS(tbl_Finance[Ex GST],tbl_Finance[Job Number],C323&amp;"",tbl_Finance[Xero Invoice No],"&lt;&gt;"))</f>
        <v/>
      </c>
      <c r="J323" s="27">
        <f>IF(C323="","",H323-I323)</f>
        <v/>
      </c>
      <c r="K323" s="25">
        <f>IF(C323="","",IF(G323=0,"not invoiced yet",SUBSTITUTE(TRIM(IF(COUNTIFS(tbl_Finance[Job Number],C323&amp;"",tbl_Finance[Cost Centre],"ONSITE")&gt;0,"ONSITE ","")&amp;IF(COUNTIFS(tbl_Finance[Job Number],C323&amp;"",tbl_Finance[Cost Centre],"PRODUCTION")&gt;0,"PRODUCTION ","")&amp;IF(COUNTIFS(tbl_Finance[Job Number],C323&amp;"",tbl_Finance[Cost Centre],"VIDEO")&gt;0,"VIDEO ","")&amp;IF(COUNTIFS(tbl_Finance[Job Number],C323&amp;"",tbl_Finance[Cost Centre],"INTEGRATION")&gt;0,"INTEGRATION ","")&amp;IF(COUNTIFS(tbl_Finance[Job Number],C323&amp;"",tbl_Finance[Cost Centre],"CONSULTING")&gt;0,"CONSULTING ","")&amp;IF(COUNTIFS(tbl_Finance[Job Number],C323&amp;"",tbl_Finance[Cost Centre],"CTS")&gt;0,"CTS ",""))," ",", ")))</f>
        <v/>
      </c>
      <c r="L323" s="24" t="n"/>
      <c r="M323" s="25">
        <f>IF(L323="","",HYPERLINK(IF(LEFT(L323,4)="http",L323,set_QwilrBase&amp;L323),"Open quote"))</f>
        <v/>
      </c>
      <c r="N323" s="26" t="n"/>
      <c r="O323" s="26" t="n"/>
      <c r="P323" s="26" t="n"/>
      <c r="Q323" s="25">
        <f>IF(C323="","",IF(N(N323)+N(O323)+N(P323)=0,"Not split",IF(ROUND(N(N323)+N(O323)+N(P323),2)=ROUND(H323,2),"OK","MISMATCH")))</f>
        <v/>
      </c>
      <c r="R323" s="26" t="n"/>
      <c r="S323" s="26" t="n"/>
      <c r="T323" s="26" t="n"/>
      <c r="U323" s="27">
        <f>IF(C323="","",N(R323)+N(S323)+N(T323))</f>
        <v/>
      </c>
      <c r="V323" s="27">
        <f>IF(C323="","",H323-U323)</f>
        <v/>
      </c>
      <c r="W323" s="29">
        <f>IFERROR(V323/H323,"")</f>
        <v/>
      </c>
      <c r="X323" s="24" t="n"/>
    </row>
    <row r="324" ht="15" customHeight="1">
      <c r="A324" s="68">
        <f>IF(C324="","",IFERROR(IF(SUMPRODUCT(MAX((tbl_Finance[Job Number]=C324&amp;"")*(tbl_Finance[Xero Invoice No]&lt;&gt;"")*tbl_Finance[Date]))=0,"",SUMPRODUCT(MAX((tbl_Finance[Job Number]=C324&amp;"")*(tbl_Finance[Xero Invoice No]&lt;&gt;"")*tbl_Finance[Date]))),""))</f>
        <v/>
      </c>
      <c r="B324" s="25">
        <f>IF(C324="","",IF(COUNTIFS(tbl_Finance[Job Number],C324&amp;"",tbl_Finance[Xero Invoice No],"&lt;&gt;")=0,"",IFERROR(IF(COUNTIFS(tbl_Finance[Job Number],C324&amp;"",tbl_Finance[Xero Invoice No],LOOKUP(2,1/((tbl_Finance[Job Number]=C324&amp;"")*(tbl_Finance[Xero Invoice No]&lt;&gt;"")),tbl_Finance[Xero Invoice No]))=COUNTIFS(tbl_Finance[Job Number],C324&amp;"",tbl_Finance[Xero Invoice No],"&lt;&gt;"),LOOKUP(2,1/((tbl_Finance[Job Number]=C324&amp;"")*(tbl_Finance[Xero Invoice No]&lt;&gt;"")),tbl_Finance[Xero Invoice No]),LOOKUP(2,1/((tbl_Finance[Job Number]=C324&amp;"")*(tbl_Finance[Xero Invoice No]&lt;&gt;"")),tbl_Finance[Xero Invoice No])&amp;" +more"),"")))</f>
        <v/>
      </c>
      <c r="C324" s="24" t="n"/>
      <c r="D324" s="25">
        <f>IF(C324="","",IF(COUNTIF(lst_Jobs,C324&amp;"")&gt;0,"OK","CHECK"))</f>
        <v/>
      </c>
      <c r="E324" s="25">
        <f>IF(C324="","",IFERROR(INDEX(lst_JobName,MATCH(C324&amp;"",lst_Jobs,0)),""))</f>
        <v/>
      </c>
      <c r="F324" s="25">
        <f>IF(C324="","",IFERROR(INDEX(tbl_Finance[Client],MATCH(C324&amp;"",tbl_Finance[Job Number],0)),""))</f>
        <v/>
      </c>
      <c r="G324" s="28">
        <f>IF(C324="","",COUNTIFS(tbl_Finance[Job Number],C324&amp;"",tbl_Finance[Ex GST],"&lt;&gt;"))</f>
        <v/>
      </c>
      <c r="H324" s="27">
        <f>IF(C324="","",SUMIFS(tbl_Finance[Ex GST],tbl_Finance[Job Number],C324&amp;""))</f>
        <v/>
      </c>
      <c r="I324" s="27">
        <f>IF(C324="","",SUMIFS(tbl_Finance[Ex GST],tbl_Finance[Job Number],C324&amp;"",tbl_Finance[Xero Invoice No],"&lt;&gt;"))</f>
        <v/>
      </c>
      <c r="J324" s="27">
        <f>IF(C324="","",H324-I324)</f>
        <v/>
      </c>
      <c r="K324" s="25">
        <f>IF(C324="","",IF(G324=0,"not invoiced yet",SUBSTITUTE(TRIM(IF(COUNTIFS(tbl_Finance[Job Number],C324&amp;"",tbl_Finance[Cost Centre],"ONSITE")&gt;0,"ONSITE ","")&amp;IF(COUNTIFS(tbl_Finance[Job Number],C324&amp;"",tbl_Finance[Cost Centre],"PRODUCTION")&gt;0,"PRODUCTION ","")&amp;IF(COUNTIFS(tbl_Finance[Job Number],C324&amp;"",tbl_Finance[Cost Centre],"VIDEO")&gt;0,"VIDEO ","")&amp;IF(COUNTIFS(tbl_Finance[Job Number],C324&amp;"",tbl_Finance[Cost Centre],"INTEGRATION")&gt;0,"INTEGRATION ","")&amp;IF(COUNTIFS(tbl_Finance[Job Number],C324&amp;"",tbl_Finance[Cost Centre],"CONSULTING")&gt;0,"CONSULTING ","")&amp;IF(COUNTIFS(tbl_Finance[Job Number],C324&amp;"",tbl_Finance[Cost Centre],"CTS")&gt;0,"CTS ",""))," ",", ")))</f>
        <v/>
      </c>
      <c r="L324" s="24" t="n"/>
      <c r="M324" s="25">
        <f>IF(L324="","",HYPERLINK(IF(LEFT(L324,4)="http",L324,set_QwilrBase&amp;L324),"Open quote"))</f>
        <v/>
      </c>
      <c r="N324" s="26" t="n"/>
      <c r="O324" s="26" t="n"/>
      <c r="P324" s="26" t="n"/>
      <c r="Q324" s="25">
        <f>IF(C324="","",IF(N(N324)+N(O324)+N(P324)=0,"Not split",IF(ROUND(N(N324)+N(O324)+N(P324),2)=ROUND(H324,2),"OK","MISMATCH")))</f>
        <v/>
      </c>
      <c r="R324" s="26" t="n"/>
      <c r="S324" s="26" t="n"/>
      <c r="T324" s="26" t="n"/>
      <c r="U324" s="27">
        <f>IF(C324="","",N(R324)+N(S324)+N(T324))</f>
        <v/>
      </c>
      <c r="V324" s="27">
        <f>IF(C324="","",H324-U324)</f>
        <v/>
      </c>
      <c r="W324" s="29">
        <f>IFERROR(V324/H324,"")</f>
        <v/>
      </c>
      <c r="X324" s="24" t="n"/>
    </row>
    <row r="325" ht="15" customHeight="1">
      <c r="A325" s="68">
        <f>IF(C325="","",IFERROR(IF(SUMPRODUCT(MAX((tbl_Finance[Job Number]=C325&amp;"")*(tbl_Finance[Xero Invoice No]&lt;&gt;"")*tbl_Finance[Date]))=0,"",SUMPRODUCT(MAX((tbl_Finance[Job Number]=C325&amp;"")*(tbl_Finance[Xero Invoice No]&lt;&gt;"")*tbl_Finance[Date]))),""))</f>
        <v/>
      </c>
      <c r="B325" s="25">
        <f>IF(C325="","",IF(COUNTIFS(tbl_Finance[Job Number],C325&amp;"",tbl_Finance[Xero Invoice No],"&lt;&gt;")=0,"",IFERROR(IF(COUNTIFS(tbl_Finance[Job Number],C325&amp;"",tbl_Finance[Xero Invoice No],LOOKUP(2,1/((tbl_Finance[Job Number]=C325&amp;"")*(tbl_Finance[Xero Invoice No]&lt;&gt;"")),tbl_Finance[Xero Invoice No]))=COUNTIFS(tbl_Finance[Job Number],C325&amp;"",tbl_Finance[Xero Invoice No],"&lt;&gt;"),LOOKUP(2,1/((tbl_Finance[Job Number]=C325&amp;"")*(tbl_Finance[Xero Invoice No]&lt;&gt;"")),tbl_Finance[Xero Invoice No]),LOOKUP(2,1/((tbl_Finance[Job Number]=C325&amp;"")*(tbl_Finance[Xero Invoice No]&lt;&gt;"")),tbl_Finance[Xero Invoice No])&amp;" +more"),"")))</f>
        <v/>
      </c>
      <c r="C325" s="24" t="n"/>
      <c r="D325" s="25">
        <f>IF(C325="","",IF(COUNTIF(lst_Jobs,C325&amp;"")&gt;0,"OK","CHECK"))</f>
        <v/>
      </c>
      <c r="E325" s="25">
        <f>IF(C325="","",IFERROR(INDEX(lst_JobName,MATCH(C325&amp;"",lst_Jobs,0)),""))</f>
        <v/>
      </c>
      <c r="F325" s="25">
        <f>IF(C325="","",IFERROR(INDEX(tbl_Finance[Client],MATCH(C325&amp;"",tbl_Finance[Job Number],0)),""))</f>
        <v/>
      </c>
      <c r="G325" s="28">
        <f>IF(C325="","",COUNTIFS(tbl_Finance[Job Number],C325&amp;"",tbl_Finance[Ex GST],"&lt;&gt;"))</f>
        <v/>
      </c>
      <c r="H325" s="27">
        <f>IF(C325="","",SUMIFS(tbl_Finance[Ex GST],tbl_Finance[Job Number],C325&amp;""))</f>
        <v/>
      </c>
      <c r="I325" s="27">
        <f>IF(C325="","",SUMIFS(tbl_Finance[Ex GST],tbl_Finance[Job Number],C325&amp;"",tbl_Finance[Xero Invoice No],"&lt;&gt;"))</f>
        <v/>
      </c>
      <c r="J325" s="27">
        <f>IF(C325="","",H325-I325)</f>
        <v/>
      </c>
      <c r="K325" s="25">
        <f>IF(C325="","",IF(G325=0,"not invoiced yet",SUBSTITUTE(TRIM(IF(COUNTIFS(tbl_Finance[Job Number],C325&amp;"",tbl_Finance[Cost Centre],"ONSITE")&gt;0,"ONSITE ","")&amp;IF(COUNTIFS(tbl_Finance[Job Number],C325&amp;"",tbl_Finance[Cost Centre],"PRODUCTION")&gt;0,"PRODUCTION ","")&amp;IF(COUNTIFS(tbl_Finance[Job Number],C325&amp;"",tbl_Finance[Cost Centre],"VIDEO")&gt;0,"VIDEO ","")&amp;IF(COUNTIFS(tbl_Finance[Job Number],C325&amp;"",tbl_Finance[Cost Centre],"INTEGRATION")&gt;0,"INTEGRATION ","")&amp;IF(COUNTIFS(tbl_Finance[Job Number],C325&amp;"",tbl_Finance[Cost Centre],"CONSULTING")&gt;0,"CONSULTING ","")&amp;IF(COUNTIFS(tbl_Finance[Job Number],C325&amp;"",tbl_Finance[Cost Centre],"CTS")&gt;0,"CTS ",""))," ",", ")))</f>
        <v/>
      </c>
      <c r="L325" s="24" t="n"/>
      <c r="M325" s="25">
        <f>IF(L325="","",HYPERLINK(IF(LEFT(L325,4)="http",L325,set_QwilrBase&amp;L325),"Open quote"))</f>
        <v/>
      </c>
      <c r="N325" s="26" t="n"/>
      <c r="O325" s="26" t="n"/>
      <c r="P325" s="26" t="n"/>
      <c r="Q325" s="25">
        <f>IF(C325="","",IF(N(N325)+N(O325)+N(P325)=0,"Not split",IF(ROUND(N(N325)+N(O325)+N(P325),2)=ROUND(H325,2),"OK","MISMATCH")))</f>
        <v/>
      </c>
      <c r="R325" s="26" t="n"/>
      <c r="S325" s="26" t="n"/>
      <c r="T325" s="26" t="n"/>
      <c r="U325" s="27">
        <f>IF(C325="","",N(R325)+N(S325)+N(T325))</f>
        <v/>
      </c>
      <c r="V325" s="27">
        <f>IF(C325="","",H325-U325)</f>
        <v/>
      </c>
      <c r="W325" s="29">
        <f>IFERROR(V325/H325,"")</f>
        <v/>
      </c>
      <c r="X325" s="24" t="n"/>
    </row>
    <row r="326" ht="15" customHeight="1">
      <c r="A326" s="68">
        <f>IF(C326="","",IFERROR(IF(SUMPRODUCT(MAX((tbl_Finance[Job Number]=C326&amp;"")*(tbl_Finance[Xero Invoice No]&lt;&gt;"")*tbl_Finance[Date]))=0,"",SUMPRODUCT(MAX((tbl_Finance[Job Number]=C326&amp;"")*(tbl_Finance[Xero Invoice No]&lt;&gt;"")*tbl_Finance[Date]))),""))</f>
        <v/>
      </c>
      <c r="B326" s="25">
        <f>IF(C326="","",IF(COUNTIFS(tbl_Finance[Job Number],C326&amp;"",tbl_Finance[Xero Invoice No],"&lt;&gt;")=0,"",IFERROR(IF(COUNTIFS(tbl_Finance[Job Number],C326&amp;"",tbl_Finance[Xero Invoice No],LOOKUP(2,1/((tbl_Finance[Job Number]=C326&amp;"")*(tbl_Finance[Xero Invoice No]&lt;&gt;"")),tbl_Finance[Xero Invoice No]))=COUNTIFS(tbl_Finance[Job Number],C326&amp;"",tbl_Finance[Xero Invoice No],"&lt;&gt;"),LOOKUP(2,1/((tbl_Finance[Job Number]=C326&amp;"")*(tbl_Finance[Xero Invoice No]&lt;&gt;"")),tbl_Finance[Xero Invoice No]),LOOKUP(2,1/((tbl_Finance[Job Number]=C326&amp;"")*(tbl_Finance[Xero Invoice No]&lt;&gt;"")),tbl_Finance[Xero Invoice No])&amp;" +more"),"")))</f>
        <v/>
      </c>
      <c r="C326" s="24" t="n"/>
      <c r="D326" s="25">
        <f>IF(C326="","",IF(COUNTIF(lst_Jobs,C326&amp;"")&gt;0,"OK","CHECK"))</f>
        <v/>
      </c>
      <c r="E326" s="25">
        <f>IF(C326="","",IFERROR(INDEX(lst_JobName,MATCH(C326&amp;"",lst_Jobs,0)),""))</f>
        <v/>
      </c>
      <c r="F326" s="25">
        <f>IF(C326="","",IFERROR(INDEX(tbl_Finance[Client],MATCH(C326&amp;"",tbl_Finance[Job Number],0)),""))</f>
        <v/>
      </c>
      <c r="G326" s="28">
        <f>IF(C326="","",COUNTIFS(tbl_Finance[Job Number],C326&amp;"",tbl_Finance[Ex GST],"&lt;&gt;"))</f>
        <v/>
      </c>
      <c r="H326" s="27">
        <f>IF(C326="","",SUMIFS(tbl_Finance[Ex GST],tbl_Finance[Job Number],C326&amp;""))</f>
        <v/>
      </c>
      <c r="I326" s="27">
        <f>IF(C326="","",SUMIFS(tbl_Finance[Ex GST],tbl_Finance[Job Number],C326&amp;"",tbl_Finance[Xero Invoice No],"&lt;&gt;"))</f>
        <v/>
      </c>
      <c r="J326" s="27">
        <f>IF(C326="","",H326-I326)</f>
        <v/>
      </c>
      <c r="K326" s="25">
        <f>IF(C326="","",IF(G326=0,"not invoiced yet",SUBSTITUTE(TRIM(IF(COUNTIFS(tbl_Finance[Job Number],C326&amp;"",tbl_Finance[Cost Centre],"ONSITE")&gt;0,"ONSITE ","")&amp;IF(COUNTIFS(tbl_Finance[Job Number],C326&amp;"",tbl_Finance[Cost Centre],"PRODUCTION")&gt;0,"PRODUCTION ","")&amp;IF(COUNTIFS(tbl_Finance[Job Number],C326&amp;"",tbl_Finance[Cost Centre],"VIDEO")&gt;0,"VIDEO ","")&amp;IF(COUNTIFS(tbl_Finance[Job Number],C326&amp;"",tbl_Finance[Cost Centre],"INTEGRATION")&gt;0,"INTEGRATION ","")&amp;IF(COUNTIFS(tbl_Finance[Job Number],C326&amp;"",tbl_Finance[Cost Centre],"CONSULTING")&gt;0,"CONSULTING ","")&amp;IF(COUNTIFS(tbl_Finance[Job Number],C326&amp;"",tbl_Finance[Cost Centre],"CTS")&gt;0,"CTS ",""))," ",", ")))</f>
        <v/>
      </c>
      <c r="L326" s="24" t="n"/>
      <c r="M326" s="25">
        <f>IF(L326="","",HYPERLINK(IF(LEFT(L326,4)="http",L326,set_QwilrBase&amp;L326),"Open quote"))</f>
        <v/>
      </c>
      <c r="N326" s="26" t="n"/>
      <c r="O326" s="26" t="n"/>
      <c r="P326" s="26" t="n"/>
      <c r="Q326" s="25">
        <f>IF(C326="","",IF(N(N326)+N(O326)+N(P326)=0,"Not split",IF(ROUND(N(N326)+N(O326)+N(P326),2)=ROUND(H326,2),"OK","MISMATCH")))</f>
        <v/>
      </c>
      <c r="R326" s="26" t="n"/>
      <c r="S326" s="26" t="n"/>
      <c r="T326" s="26" t="n"/>
      <c r="U326" s="27">
        <f>IF(C326="","",N(R326)+N(S326)+N(T326))</f>
        <v/>
      </c>
      <c r="V326" s="27">
        <f>IF(C326="","",H326-U326)</f>
        <v/>
      </c>
      <c r="W326" s="29">
        <f>IFERROR(V326/H326,"")</f>
        <v/>
      </c>
      <c r="X326" s="24" t="n"/>
    </row>
    <row r="327" ht="15" customHeight="1">
      <c r="A327" s="68">
        <f>IF(C327="","",IFERROR(IF(SUMPRODUCT(MAX((tbl_Finance[Job Number]=C327&amp;"")*(tbl_Finance[Xero Invoice No]&lt;&gt;"")*tbl_Finance[Date]))=0,"",SUMPRODUCT(MAX((tbl_Finance[Job Number]=C327&amp;"")*(tbl_Finance[Xero Invoice No]&lt;&gt;"")*tbl_Finance[Date]))),""))</f>
        <v/>
      </c>
      <c r="B327" s="25">
        <f>IF(C327="","",IF(COUNTIFS(tbl_Finance[Job Number],C327&amp;"",tbl_Finance[Xero Invoice No],"&lt;&gt;")=0,"",IFERROR(IF(COUNTIFS(tbl_Finance[Job Number],C327&amp;"",tbl_Finance[Xero Invoice No],LOOKUP(2,1/((tbl_Finance[Job Number]=C327&amp;"")*(tbl_Finance[Xero Invoice No]&lt;&gt;"")),tbl_Finance[Xero Invoice No]))=COUNTIFS(tbl_Finance[Job Number],C327&amp;"",tbl_Finance[Xero Invoice No],"&lt;&gt;"),LOOKUP(2,1/((tbl_Finance[Job Number]=C327&amp;"")*(tbl_Finance[Xero Invoice No]&lt;&gt;"")),tbl_Finance[Xero Invoice No]),LOOKUP(2,1/((tbl_Finance[Job Number]=C327&amp;"")*(tbl_Finance[Xero Invoice No]&lt;&gt;"")),tbl_Finance[Xero Invoice No])&amp;" +more"),"")))</f>
        <v/>
      </c>
      <c r="C327" s="24" t="n"/>
      <c r="D327" s="25">
        <f>IF(C327="","",IF(COUNTIF(lst_Jobs,C327&amp;"")&gt;0,"OK","CHECK"))</f>
        <v/>
      </c>
      <c r="E327" s="25">
        <f>IF(C327="","",IFERROR(INDEX(lst_JobName,MATCH(C327&amp;"",lst_Jobs,0)),""))</f>
        <v/>
      </c>
      <c r="F327" s="25">
        <f>IF(C327="","",IFERROR(INDEX(tbl_Finance[Client],MATCH(C327&amp;"",tbl_Finance[Job Number],0)),""))</f>
        <v/>
      </c>
      <c r="G327" s="28">
        <f>IF(C327="","",COUNTIFS(tbl_Finance[Job Number],C327&amp;"",tbl_Finance[Ex GST],"&lt;&gt;"))</f>
        <v/>
      </c>
      <c r="H327" s="27">
        <f>IF(C327="","",SUMIFS(tbl_Finance[Ex GST],tbl_Finance[Job Number],C327&amp;""))</f>
        <v/>
      </c>
      <c r="I327" s="27">
        <f>IF(C327="","",SUMIFS(tbl_Finance[Ex GST],tbl_Finance[Job Number],C327&amp;"",tbl_Finance[Xero Invoice No],"&lt;&gt;"))</f>
        <v/>
      </c>
      <c r="J327" s="27">
        <f>IF(C327="","",H327-I327)</f>
        <v/>
      </c>
      <c r="K327" s="25">
        <f>IF(C327="","",IF(G327=0,"not invoiced yet",SUBSTITUTE(TRIM(IF(COUNTIFS(tbl_Finance[Job Number],C327&amp;"",tbl_Finance[Cost Centre],"ONSITE")&gt;0,"ONSITE ","")&amp;IF(COUNTIFS(tbl_Finance[Job Number],C327&amp;"",tbl_Finance[Cost Centre],"PRODUCTION")&gt;0,"PRODUCTION ","")&amp;IF(COUNTIFS(tbl_Finance[Job Number],C327&amp;"",tbl_Finance[Cost Centre],"VIDEO")&gt;0,"VIDEO ","")&amp;IF(COUNTIFS(tbl_Finance[Job Number],C327&amp;"",tbl_Finance[Cost Centre],"INTEGRATION")&gt;0,"INTEGRATION ","")&amp;IF(COUNTIFS(tbl_Finance[Job Number],C327&amp;"",tbl_Finance[Cost Centre],"CONSULTING")&gt;0,"CONSULTING ","")&amp;IF(COUNTIFS(tbl_Finance[Job Number],C327&amp;"",tbl_Finance[Cost Centre],"CTS")&gt;0,"CTS ",""))," ",", ")))</f>
        <v/>
      </c>
      <c r="L327" s="24" t="n"/>
      <c r="M327" s="25">
        <f>IF(L327="","",HYPERLINK(IF(LEFT(L327,4)="http",L327,set_QwilrBase&amp;L327),"Open quote"))</f>
        <v/>
      </c>
      <c r="N327" s="26" t="n"/>
      <c r="O327" s="26" t="n"/>
      <c r="P327" s="26" t="n"/>
      <c r="Q327" s="25">
        <f>IF(C327="","",IF(N(N327)+N(O327)+N(P327)=0,"Not split",IF(ROUND(N(N327)+N(O327)+N(P327),2)=ROUND(H327,2),"OK","MISMATCH")))</f>
        <v/>
      </c>
      <c r="R327" s="26" t="n"/>
      <c r="S327" s="26" t="n"/>
      <c r="T327" s="26" t="n"/>
      <c r="U327" s="27">
        <f>IF(C327="","",N(R327)+N(S327)+N(T327))</f>
        <v/>
      </c>
      <c r="V327" s="27">
        <f>IF(C327="","",H327-U327)</f>
        <v/>
      </c>
      <c r="W327" s="29">
        <f>IFERROR(V327/H327,"")</f>
        <v/>
      </c>
      <c r="X327" s="24" t="n"/>
    </row>
    <row r="328" ht="15" customHeight="1">
      <c r="A328" s="68">
        <f>IF(C328="","",IFERROR(IF(SUMPRODUCT(MAX((tbl_Finance[Job Number]=C328&amp;"")*(tbl_Finance[Xero Invoice No]&lt;&gt;"")*tbl_Finance[Date]))=0,"",SUMPRODUCT(MAX((tbl_Finance[Job Number]=C328&amp;"")*(tbl_Finance[Xero Invoice No]&lt;&gt;"")*tbl_Finance[Date]))),""))</f>
        <v/>
      </c>
      <c r="B328" s="25">
        <f>IF(C328="","",IF(COUNTIFS(tbl_Finance[Job Number],C328&amp;"",tbl_Finance[Xero Invoice No],"&lt;&gt;")=0,"",IFERROR(IF(COUNTIFS(tbl_Finance[Job Number],C328&amp;"",tbl_Finance[Xero Invoice No],LOOKUP(2,1/((tbl_Finance[Job Number]=C328&amp;"")*(tbl_Finance[Xero Invoice No]&lt;&gt;"")),tbl_Finance[Xero Invoice No]))=COUNTIFS(tbl_Finance[Job Number],C328&amp;"",tbl_Finance[Xero Invoice No],"&lt;&gt;"),LOOKUP(2,1/((tbl_Finance[Job Number]=C328&amp;"")*(tbl_Finance[Xero Invoice No]&lt;&gt;"")),tbl_Finance[Xero Invoice No]),LOOKUP(2,1/((tbl_Finance[Job Number]=C328&amp;"")*(tbl_Finance[Xero Invoice No]&lt;&gt;"")),tbl_Finance[Xero Invoice No])&amp;" +more"),"")))</f>
        <v/>
      </c>
      <c r="C328" s="24" t="n"/>
      <c r="D328" s="25">
        <f>IF(C328="","",IF(COUNTIF(lst_Jobs,C328&amp;"")&gt;0,"OK","CHECK"))</f>
        <v/>
      </c>
      <c r="E328" s="25">
        <f>IF(C328="","",IFERROR(INDEX(lst_JobName,MATCH(C328&amp;"",lst_Jobs,0)),""))</f>
        <v/>
      </c>
      <c r="F328" s="25">
        <f>IF(C328="","",IFERROR(INDEX(tbl_Finance[Client],MATCH(C328&amp;"",tbl_Finance[Job Number],0)),""))</f>
        <v/>
      </c>
      <c r="G328" s="28">
        <f>IF(C328="","",COUNTIFS(tbl_Finance[Job Number],C328&amp;"",tbl_Finance[Ex GST],"&lt;&gt;"))</f>
        <v/>
      </c>
      <c r="H328" s="27">
        <f>IF(C328="","",SUMIFS(tbl_Finance[Ex GST],tbl_Finance[Job Number],C328&amp;""))</f>
        <v/>
      </c>
      <c r="I328" s="27">
        <f>IF(C328="","",SUMIFS(tbl_Finance[Ex GST],tbl_Finance[Job Number],C328&amp;"",tbl_Finance[Xero Invoice No],"&lt;&gt;"))</f>
        <v/>
      </c>
      <c r="J328" s="27">
        <f>IF(C328="","",H328-I328)</f>
        <v/>
      </c>
      <c r="K328" s="25">
        <f>IF(C328="","",IF(G328=0,"not invoiced yet",SUBSTITUTE(TRIM(IF(COUNTIFS(tbl_Finance[Job Number],C328&amp;"",tbl_Finance[Cost Centre],"ONSITE")&gt;0,"ONSITE ","")&amp;IF(COUNTIFS(tbl_Finance[Job Number],C328&amp;"",tbl_Finance[Cost Centre],"PRODUCTION")&gt;0,"PRODUCTION ","")&amp;IF(COUNTIFS(tbl_Finance[Job Number],C328&amp;"",tbl_Finance[Cost Centre],"VIDEO")&gt;0,"VIDEO ","")&amp;IF(COUNTIFS(tbl_Finance[Job Number],C328&amp;"",tbl_Finance[Cost Centre],"INTEGRATION")&gt;0,"INTEGRATION ","")&amp;IF(COUNTIFS(tbl_Finance[Job Number],C328&amp;"",tbl_Finance[Cost Centre],"CONSULTING")&gt;0,"CONSULTING ","")&amp;IF(COUNTIFS(tbl_Finance[Job Number],C328&amp;"",tbl_Finance[Cost Centre],"CTS")&gt;0,"CTS ",""))," ",", ")))</f>
        <v/>
      </c>
      <c r="L328" s="24" t="n"/>
      <c r="M328" s="25">
        <f>IF(L328="","",HYPERLINK(IF(LEFT(L328,4)="http",L328,set_QwilrBase&amp;L328),"Open quote"))</f>
        <v/>
      </c>
      <c r="N328" s="26" t="n"/>
      <c r="O328" s="26" t="n"/>
      <c r="P328" s="26" t="n"/>
      <c r="Q328" s="25">
        <f>IF(C328="","",IF(N(N328)+N(O328)+N(P328)=0,"Not split",IF(ROUND(N(N328)+N(O328)+N(P328),2)=ROUND(H328,2),"OK","MISMATCH")))</f>
        <v/>
      </c>
      <c r="R328" s="26" t="n"/>
      <c r="S328" s="26" t="n"/>
      <c r="T328" s="26" t="n"/>
      <c r="U328" s="27">
        <f>IF(C328="","",N(R328)+N(S328)+N(T328))</f>
        <v/>
      </c>
      <c r="V328" s="27">
        <f>IF(C328="","",H328-U328)</f>
        <v/>
      </c>
      <c r="W328" s="29">
        <f>IFERROR(V328/H328,"")</f>
        <v/>
      </c>
      <c r="X328" s="24" t="n"/>
    </row>
    <row r="329" ht="15" customHeight="1">
      <c r="A329" s="68">
        <f>IF(C329="","",IFERROR(IF(SUMPRODUCT(MAX((tbl_Finance[Job Number]=C329&amp;"")*(tbl_Finance[Xero Invoice No]&lt;&gt;"")*tbl_Finance[Date]))=0,"",SUMPRODUCT(MAX((tbl_Finance[Job Number]=C329&amp;"")*(tbl_Finance[Xero Invoice No]&lt;&gt;"")*tbl_Finance[Date]))),""))</f>
        <v/>
      </c>
      <c r="B329" s="25">
        <f>IF(C329="","",IF(COUNTIFS(tbl_Finance[Job Number],C329&amp;"",tbl_Finance[Xero Invoice No],"&lt;&gt;")=0,"",IFERROR(IF(COUNTIFS(tbl_Finance[Job Number],C329&amp;"",tbl_Finance[Xero Invoice No],LOOKUP(2,1/((tbl_Finance[Job Number]=C329&amp;"")*(tbl_Finance[Xero Invoice No]&lt;&gt;"")),tbl_Finance[Xero Invoice No]))=COUNTIFS(tbl_Finance[Job Number],C329&amp;"",tbl_Finance[Xero Invoice No],"&lt;&gt;"),LOOKUP(2,1/((tbl_Finance[Job Number]=C329&amp;"")*(tbl_Finance[Xero Invoice No]&lt;&gt;"")),tbl_Finance[Xero Invoice No]),LOOKUP(2,1/((tbl_Finance[Job Number]=C329&amp;"")*(tbl_Finance[Xero Invoice No]&lt;&gt;"")),tbl_Finance[Xero Invoice No])&amp;" +more"),"")))</f>
        <v/>
      </c>
      <c r="C329" s="24" t="n"/>
      <c r="D329" s="25">
        <f>IF(C329="","",IF(COUNTIF(lst_Jobs,C329&amp;"")&gt;0,"OK","CHECK"))</f>
        <v/>
      </c>
      <c r="E329" s="25">
        <f>IF(C329="","",IFERROR(INDEX(lst_JobName,MATCH(C329&amp;"",lst_Jobs,0)),""))</f>
        <v/>
      </c>
      <c r="F329" s="25">
        <f>IF(C329="","",IFERROR(INDEX(tbl_Finance[Client],MATCH(C329&amp;"",tbl_Finance[Job Number],0)),""))</f>
        <v/>
      </c>
      <c r="G329" s="28">
        <f>IF(C329="","",COUNTIFS(tbl_Finance[Job Number],C329&amp;"",tbl_Finance[Ex GST],"&lt;&gt;"))</f>
        <v/>
      </c>
      <c r="H329" s="27">
        <f>IF(C329="","",SUMIFS(tbl_Finance[Ex GST],tbl_Finance[Job Number],C329&amp;""))</f>
        <v/>
      </c>
      <c r="I329" s="27">
        <f>IF(C329="","",SUMIFS(tbl_Finance[Ex GST],tbl_Finance[Job Number],C329&amp;"",tbl_Finance[Xero Invoice No],"&lt;&gt;"))</f>
        <v/>
      </c>
      <c r="J329" s="27">
        <f>IF(C329="","",H329-I329)</f>
        <v/>
      </c>
      <c r="K329" s="25">
        <f>IF(C329="","",IF(G329=0,"not invoiced yet",SUBSTITUTE(TRIM(IF(COUNTIFS(tbl_Finance[Job Number],C329&amp;"",tbl_Finance[Cost Centre],"ONSITE")&gt;0,"ONSITE ","")&amp;IF(COUNTIFS(tbl_Finance[Job Number],C329&amp;"",tbl_Finance[Cost Centre],"PRODUCTION")&gt;0,"PRODUCTION ","")&amp;IF(COUNTIFS(tbl_Finance[Job Number],C329&amp;"",tbl_Finance[Cost Centre],"VIDEO")&gt;0,"VIDEO ","")&amp;IF(COUNTIFS(tbl_Finance[Job Number],C329&amp;"",tbl_Finance[Cost Centre],"INTEGRATION")&gt;0,"INTEGRATION ","")&amp;IF(COUNTIFS(tbl_Finance[Job Number],C329&amp;"",tbl_Finance[Cost Centre],"CONSULTING")&gt;0,"CONSULTING ","")&amp;IF(COUNTIFS(tbl_Finance[Job Number],C329&amp;"",tbl_Finance[Cost Centre],"CTS")&gt;0,"CTS ",""))," ",", ")))</f>
        <v/>
      </c>
      <c r="L329" s="24" t="n"/>
      <c r="M329" s="25">
        <f>IF(L329="","",HYPERLINK(IF(LEFT(L329,4)="http",L329,set_QwilrBase&amp;L329),"Open quote"))</f>
        <v/>
      </c>
      <c r="N329" s="26" t="n"/>
      <c r="O329" s="26" t="n"/>
      <c r="P329" s="26" t="n"/>
      <c r="Q329" s="25">
        <f>IF(C329="","",IF(N(N329)+N(O329)+N(P329)=0,"Not split",IF(ROUND(N(N329)+N(O329)+N(P329),2)=ROUND(H329,2),"OK","MISMATCH")))</f>
        <v/>
      </c>
      <c r="R329" s="26" t="n"/>
      <c r="S329" s="26" t="n"/>
      <c r="T329" s="26" t="n"/>
      <c r="U329" s="27">
        <f>IF(C329="","",N(R329)+N(S329)+N(T329))</f>
        <v/>
      </c>
      <c r="V329" s="27">
        <f>IF(C329="","",H329-U329)</f>
        <v/>
      </c>
      <c r="W329" s="29">
        <f>IFERROR(V329/H329,"")</f>
        <v/>
      </c>
      <c r="X329" s="24" t="n"/>
    </row>
    <row r="330" ht="15" customHeight="1">
      <c r="A330" s="68">
        <f>IF(C330="","",IFERROR(IF(SUMPRODUCT(MAX((tbl_Finance[Job Number]=C330&amp;"")*(tbl_Finance[Xero Invoice No]&lt;&gt;"")*tbl_Finance[Date]))=0,"",SUMPRODUCT(MAX((tbl_Finance[Job Number]=C330&amp;"")*(tbl_Finance[Xero Invoice No]&lt;&gt;"")*tbl_Finance[Date]))),""))</f>
        <v/>
      </c>
      <c r="B330" s="25">
        <f>IF(C330="","",IF(COUNTIFS(tbl_Finance[Job Number],C330&amp;"",tbl_Finance[Xero Invoice No],"&lt;&gt;")=0,"",IFERROR(IF(COUNTIFS(tbl_Finance[Job Number],C330&amp;"",tbl_Finance[Xero Invoice No],LOOKUP(2,1/((tbl_Finance[Job Number]=C330&amp;"")*(tbl_Finance[Xero Invoice No]&lt;&gt;"")),tbl_Finance[Xero Invoice No]))=COUNTIFS(tbl_Finance[Job Number],C330&amp;"",tbl_Finance[Xero Invoice No],"&lt;&gt;"),LOOKUP(2,1/((tbl_Finance[Job Number]=C330&amp;"")*(tbl_Finance[Xero Invoice No]&lt;&gt;"")),tbl_Finance[Xero Invoice No]),LOOKUP(2,1/((tbl_Finance[Job Number]=C330&amp;"")*(tbl_Finance[Xero Invoice No]&lt;&gt;"")),tbl_Finance[Xero Invoice No])&amp;" +more"),"")))</f>
        <v/>
      </c>
      <c r="C330" s="24" t="n"/>
      <c r="D330" s="25">
        <f>IF(C330="","",IF(COUNTIF(lst_Jobs,C330&amp;"")&gt;0,"OK","CHECK"))</f>
        <v/>
      </c>
      <c r="E330" s="25">
        <f>IF(C330="","",IFERROR(INDEX(lst_JobName,MATCH(C330&amp;"",lst_Jobs,0)),""))</f>
        <v/>
      </c>
      <c r="F330" s="25">
        <f>IF(C330="","",IFERROR(INDEX(tbl_Finance[Client],MATCH(C330&amp;"",tbl_Finance[Job Number],0)),""))</f>
        <v/>
      </c>
      <c r="G330" s="28">
        <f>IF(C330="","",COUNTIFS(tbl_Finance[Job Number],C330&amp;"",tbl_Finance[Ex GST],"&lt;&gt;"))</f>
        <v/>
      </c>
      <c r="H330" s="27">
        <f>IF(C330="","",SUMIFS(tbl_Finance[Ex GST],tbl_Finance[Job Number],C330&amp;""))</f>
        <v/>
      </c>
      <c r="I330" s="27">
        <f>IF(C330="","",SUMIFS(tbl_Finance[Ex GST],tbl_Finance[Job Number],C330&amp;"",tbl_Finance[Xero Invoice No],"&lt;&gt;"))</f>
        <v/>
      </c>
      <c r="J330" s="27">
        <f>IF(C330="","",H330-I330)</f>
        <v/>
      </c>
      <c r="K330" s="25">
        <f>IF(C330="","",IF(G330=0,"not invoiced yet",SUBSTITUTE(TRIM(IF(COUNTIFS(tbl_Finance[Job Number],C330&amp;"",tbl_Finance[Cost Centre],"ONSITE")&gt;0,"ONSITE ","")&amp;IF(COUNTIFS(tbl_Finance[Job Number],C330&amp;"",tbl_Finance[Cost Centre],"PRODUCTION")&gt;0,"PRODUCTION ","")&amp;IF(COUNTIFS(tbl_Finance[Job Number],C330&amp;"",tbl_Finance[Cost Centre],"VIDEO")&gt;0,"VIDEO ","")&amp;IF(COUNTIFS(tbl_Finance[Job Number],C330&amp;"",tbl_Finance[Cost Centre],"INTEGRATION")&gt;0,"INTEGRATION ","")&amp;IF(COUNTIFS(tbl_Finance[Job Number],C330&amp;"",tbl_Finance[Cost Centre],"CONSULTING")&gt;0,"CONSULTING ","")&amp;IF(COUNTIFS(tbl_Finance[Job Number],C330&amp;"",tbl_Finance[Cost Centre],"CTS")&gt;0,"CTS ",""))," ",", ")))</f>
        <v/>
      </c>
      <c r="L330" s="24" t="n"/>
      <c r="M330" s="25">
        <f>IF(L330="","",HYPERLINK(IF(LEFT(L330,4)="http",L330,set_QwilrBase&amp;L330),"Open quote"))</f>
        <v/>
      </c>
      <c r="N330" s="26" t="n"/>
      <c r="O330" s="26" t="n"/>
      <c r="P330" s="26" t="n"/>
      <c r="Q330" s="25">
        <f>IF(C330="","",IF(N(N330)+N(O330)+N(P330)=0,"Not split",IF(ROUND(N(N330)+N(O330)+N(P330),2)=ROUND(H330,2),"OK","MISMATCH")))</f>
        <v/>
      </c>
      <c r="R330" s="26" t="n"/>
      <c r="S330" s="26" t="n"/>
      <c r="T330" s="26" t="n"/>
      <c r="U330" s="27">
        <f>IF(C330="","",N(R330)+N(S330)+N(T330))</f>
        <v/>
      </c>
      <c r="V330" s="27">
        <f>IF(C330="","",H330-U330)</f>
        <v/>
      </c>
      <c r="W330" s="29">
        <f>IFERROR(V330/H330,"")</f>
        <v/>
      </c>
      <c r="X330" s="24" t="n"/>
    </row>
    <row r="331" ht="15" customHeight="1">
      <c r="A331" s="68">
        <f>IF(C331="","",IFERROR(IF(SUMPRODUCT(MAX((tbl_Finance[Job Number]=C331&amp;"")*(tbl_Finance[Xero Invoice No]&lt;&gt;"")*tbl_Finance[Date]))=0,"",SUMPRODUCT(MAX((tbl_Finance[Job Number]=C331&amp;"")*(tbl_Finance[Xero Invoice No]&lt;&gt;"")*tbl_Finance[Date]))),""))</f>
        <v/>
      </c>
      <c r="B331" s="25">
        <f>IF(C331="","",IF(COUNTIFS(tbl_Finance[Job Number],C331&amp;"",tbl_Finance[Xero Invoice No],"&lt;&gt;")=0,"",IFERROR(IF(COUNTIFS(tbl_Finance[Job Number],C331&amp;"",tbl_Finance[Xero Invoice No],LOOKUP(2,1/((tbl_Finance[Job Number]=C331&amp;"")*(tbl_Finance[Xero Invoice No]&lt;&gt;"")),tbl_Finance[Xero Invoice No]))=COUNTIFS(tbl_Finance[Job Number],C331&amp;"",tbl_Finance[Xero Invoice No],"&lt;&gt;"),LOOKUP(2,1/((tbl_Finance[Job Number]=C331&amp;"")*(tbl_Finance[Xero Invoice No]&lt;&gt;"")),tbl_Finance[Xero Invoice No]),LOOKUP(2,1/((tbl_Finance[Job Number]=C331&amp;"")*(tbl_Finance[Xero Invoice No]&lt;&gt;"")),tbl_Finance[Xero Invoice No])&amp;" +more"),"")))</f>
        <v/>
      </c>
      <c r="C331" s="24" t="n"/>
      <c r="D331" s="25">
        <f>IF(C331="","",IF(COUNTIF(lst_Jobs,C331&amp;"")&gt;0,"OK","CHECK"))</f>
        <v/>
      </c>
      <c r="E331" s="25">
        <f>IF(C331="","",IFERROR(INDEX(lst_JobName,MATCH(C331&amp;"",lst_Jobs,0)),""))</f>
        <v/>
      </c>
      <c r="F331" s="25">
        <f>IF(C331="","",IFERROR(INDEX(tbl_Finance[Client],MATCH(C331&amp;"",tbl_Finance[Job Number],0)),""))</f>
        <v/>
      </c>
      <c r="G331" s="28">
        <f>IF(C331="","",COUNTIFS(tbl_Finance[Job Number],C331&amp;"",tbl_Finance[Ex GST],"&lt;&gt;"))</f>
        <v/>
      </c>
      <c r="H331" s="27">
        <f>IF(C331="","",SUMIFS(tbl_Finance[Ex GST],tbl_Finance[Job Number],C331&amp;""))</f>
        <v/>
      </c>
      <c r="I331" s="27">
        <f>IF(C331="","",SUMIFS(tbl_Finance[Ex GST],tbl_Finance[Job Number],C331&amp;"",tbl_Finance[Xero Invoice No],"&lt;&gt;"))</f>
        <v/>
      </c>
      <c r="J331" s="27">
        <f>IF(C331="","",H331-I331)</f>
        <v/>
      </c>
      <c r="K331" s="25">
        <f>IF(C331="","",IF(G331=0,"not invoiced yet",SUBSTITUTE(TRIM(IF(COUNTIFS(tbl_Finance[Job Number],C331&amp;"",tbl_Finance[Cost Centre],"ONSITE")&gt;0,"ONSITE ","")&amp;IF(COUNTIFS(tbl_Finance[Job Number],C331&amp;"",tbl_Finance[Cost Centre],"PRODUCTION")&gt;0,"PRODUCTION ","")&amp;IF(COUNTIFS(tbl_Finance[Job Number],C331&amp;"",tbl_Finance[Cost Centre],"VIDEO")&gt;0,"VIDEO ","")&amp;IF(COUNTIFS(tbl_Finance[Job Number],C331&amp;"",tbl_Finance[Cost Centre],"INTEGRATION")&gt;0,"INTEGRATION ","")&amp;IF(COUNTIFS(tbl_Finance[Job Number],C331&amp;"",tbl_Finance[Cost Centre],"CONSULTING")&gt;0,"CONSULTING ","")&amp;IF(COUNTIFS(tbl_Finance[Job Number],C331&amp;"",tbl_Finance[Cost Centre],"CTS")&gt;0,"CTS ",""))," ",", ")))</f>
        <v/>
      </c>
      <c r="L331" s="24" t="n"/>
      <c r="M331" s="25">
        <f>IF(L331="","",HYPERLINK(IF(LEFT(L331,4)="http",L331,set_QwilrBase&amp;L331),"Open quote"))</f>
        <v/>
      </c>
      <c r="N331" s="26" t="n"/>
      <c r="O331" s="26" t="n"/>
      <c r="P331" s="26" t="n"/>
      <c r="Q331" s="25">
        <f>IF(C331="","",IF(N(N331)+N(O331)+N(P331)=0,"Not split",IF(ROUND(N(N331)+N(O331)+N(P331),2)=ROUND(H331,2),"OK","MISMATCH")))</f>
        <v/>
      </c>
      <c r="R331" s="26" t="n"/>
      <c r="S331" s="26" t="n"/>
      <c r="T331" s="26" t="n"/>
      <c r="U331" s="27">
        <f>IF(C331="","",N(R331)+N(S331)+N(T331))</f>
        <v/>
      </c>
      <c r="V331" s="27">
        <f>IF(C331="","",H331-U331)</f>
        <v/>
      </c>
      <c r="W331" s="29">
        <f>IFERROR(V331/H331,"")</f>
        <v/>
      </c>
      <c r="X331" s="24" t="n"/>
    </row>
    <row r="332" ht="15" customHeight="1">
      <c r="A332" s="68">
        <f>IF(C332="","",IFERROR(IF(SUMPRODUCT(MAX((tbl_Finance[Job Number]=C332&amp;"")*(tbl_Finance[Xero Invoice No]&lt;&gt;"")*tbl_Finance[Date]))=0,"",SUMPRODUCT(MAX((tbl_Finance[Job Number]=C332&amp;"")*(tbl_Finance[Xero Invoice No]&lt;&gt;"")*tbl_Finance[Date]))),""))</f>
        <v/>
      </c>
      <c r="B332" s="25">
        <f>IF(C332="","",IF(COUNTIFS(tbl_Finance[Job Number],C332&amp;"",tbl_Finance[Xero Invoice No],"&lt;&gt;")=0,"",IFERROR(IF(COUNTIFS(tbl_Finance[Job Number],C332&amp;"",tbl_Finance[Xero Invoice No],LOOKUP(2,1/((tbl_Finance[Job Number]=C332&amp;"")*(tbl_Finance[Xero Invoice No]&lt;&gt;"")),tbl_Finance[Xero Invoice No]))=COUNTIFS(tbl_Finance[Job Number],C332&amp;"",tbl_Finance[Xero Invoice No],"&lt;&gt;"),LOOKUP(2,1/((tbl_Finance[Job Number]=C332&amp;"")*(tbl_Finance[Xero Invoice No]&lt;&gt;"")),tbl_Finance[Xero Invoice No]),LOOKUP(2,1/((tbl_Finance[Job Number]=C332&amp;"")*(tbl_Finance[Xero Invoice No]&lt;&gt;"")),tbl_Finance[Xero Invoice No])&amp;" +more"),"")))</f>
        <v/>
      </c>
      <c r="C332" s="24" t="n"/>
      <c r="D332" s="25">
        <f>IF(C332="","",IF(COUNTIF(lst_Jobs,C332&amp;"")&gt;0,"OK","CHECK"))</f>
        <v/>
      </c>
      <c r="E332" s="25">
        <f>IF(C332="","",IFERROR(INDEX(lst_JobName,MATCH(C332&amp;"",lst_Jobs,0)),""))</f>
        <v/>
      </c>
      <c r="F332" s="25">
        <f>IF(C332="","",IFERROR(INDEX(tbl_Finance[Client],MATCH(C332&amp;"",tbl_Finance[Job Number],0)),""))</f>
        <v/>
      </c>
      <c r="G332" s="28">
        <f>IF(C332="","",COUNTIFS(tbl_Finance[Job Number],C332&amp;"",tbl_Finance[Ex GST],"&lt;&gt;"))</f>
        <v/>
      </c>
      <c r="H332" s="27">
        <f>IF(C332="","",SUMIFS(tbl_Finance[Ex GST],tbl_Finance[Job Number],C332&amp;""))</f>
        <v/>
      </c>
      <c r="I332" s="27">
        <f>IF(C332="","",SUMIFS(tbl_Finance[Ex GST],tbl_Finance[Job Number],C332&amp;"",tbl_Finance[Xero Invoice No],"&lt;&gt;"))</f>
        <v/>
      </c>
      <c r="J332" s="27">
        <f>IF(C332="","",H332-I332)</f>
        <v/>
      </c>
      <c r="K332" s="25">
        <f>IF(C332="","",IF(G332=0,"not invoiced yet",SUBSTITUTE(TRIM(IF(COUNTIFS(tbl_Finance[Job Number],C332&amp;"",tbl_Finance[Cost Centre],"ONSITE")&gt;0,"ONSITE ","")&amp;IF(COUNTIFS(tbl_Finance[Job Number],C332&amp;"",tbl_Finance[Cost Centre],"PRODUCTION")&gt;0,"PRODUCTION ","")&amp;IF(COUNTIFS(tbl_Finance[Job Number],C332&amp;"",tbl_Finance[Cost Centre],"VIDEO")&gt;0,"VIDEO ","")&amp;IF(COUNTIFS(tbl_Finance[Job Number],C332&amp;"",tbl_Finance[Cost Centre],"INTEGRATION")&gt;0,"INTEGRATION ","")&amp;IF(COUNTIFS(tbl_Finance[Job Number],C332&amp;"",tbl_Finance[Cost Centre],"CONSULTING")&gt;0,"CONSULTING ","")&amp;IF(COUNTIFS(tbl_Finance[Job Number],C332&amp;"",tbl_Finance[Cost Centre],"CTS")&gt;0,"CTS ",""))," ",", ")))</f>
        <v/>
      </c>
      <c r="L332" s="24" t="n"/>
      <c r="M332" s="25">
        <f>IF(L332="","",HYPERLINK(IF(LEFT(L332,4)="http",L332,set_QwilrBase&amp;L332),"Open quote"))</f>
        <v/>
      </c>
      <c r="N332" s="26" t="n"/>
      <c r="O332" s="26" t="n"/>
      <c r="P332" s="26" t="n"/>
      <c r="Q332" s="25">
        <f>IF(C332="","",IF(N(N332)+N(O332)+N(P332)=0,"Not split",IF(ROUND(N(N332)+N(O332)+N(P332),2)=ROUND(H332,2),"OK","MISMATCH")))</f>
        <v/>
      </c>
      <c r="R332" s="26" t="n"/>
      <c r="S332" s="26" t="n"/>
      <c r="T332" s="26" t="n"/>
      <c r="U332" s="27">
        <f>IF(C332="","",N(R332)+N(S332)+N(T332))</f>
        <v/>
      </c>
      <c r="V332" s="27">
        <f>IF(C332="","",H332-U332)</f>
        <v/>
      </c>
      <c r="W332" s="29">
        <f>IFERROR(V332/H332,"")</f>
        <v/>
      </c>
      <c r="X332" s="24" t="n"/>
    </row>
    <row r="333" ht="15" customHeight="1">
      <c r="A333" s="68">
        <f>IF(C333="","",IFERROR(IF(SUMPRODUCT(MAX((tbl_Finance[Job Number]=C333&amp;"")*(tbl_Finance[Xero Invoice No]&lt;&gt;"")*tbl_Finance[Date]))=0,"",SUMPRODUCT(MAX((tbl_Finance[Job Number]=C333&amp;"")*(tbl_Finance[Xero Invoice No]&lt;&gt;"")*tbl_Finance[Date]))),""))</f>
        <v/>
      </c>
      <c r="B333" s="25">
        <f>IF(C333="","",IF(COUNTIFS(tbl_Finance[Job Number],C333&amp;"",tbl_Finance[Xero Invoice No],"&lt;&gt;")=0,"",IFERROR(IF(COUNTIFS(tbl_Finance[Job Number],C333&amp;"",tbl_Finance[Xero Invoice No],LOOKUP(2,1/((tbl_Finance[Job Number]=C333&amp;"")*(tbl_Finance[Xero Invoice No]&lt;&gt;"")),tbl_Finance[Xero Invoice No]))=COUNTIFS(tbl_Finance[Job Number],C333&amp;"",tbl_Finance[Xero Invoice No],"&lt;&gt;"),LOOKUP(2,1/((tbl_Finance[Job Number]=C333&amp;"")*(tbl_Finance[Xero Invoice No]&lt;&gt;"")),tbl_Finance[Xero Invoice No]),LOOKUP(2,1/((tbl_Finance[Job Number]=C333&amp;"")*(tbl_Finance[Xero Invoice No]&lt;&gt;"")),tbl_Finance[Xero Invoice No])&amp;" +more"),"")))</f>
        <v/>
      </c>
      <c r="C333" s="24" t="n"/>
      <c r="D333" s="25">
        <f>IF(C333="","",IF(COUNTIF(lst_Jobs,C333&amp;"")&gt;0,"OK","CHECK"))</f>
        <v/>
      </c>
      <c r="E333" s="25">
        <f>IF(C333="","",IFERROR(INDEX(lst_JobName,MATCH(C333&amp;"",lst_Jobs,0)),""))</f>
        <v/>
      </c>
      <c r="F333" s="25">
        <f>IF(C333="","",IFERROR(INDEX(tbl_Finance[Client],MATCH(C333&amp;"",tbl_Finance[Job Number],0)),""))</f>
        <v/>
      </c>
      <c r="G333" s="28">
        <f>IF(C333="","",COUNTIFS(tbl_Finance[Job Number],C333&amp;"",tbl_Finance[Ex GST],"&lt;&gt;"))</f>
        <v/>
      </c>
      <c r="H333" s="27">
        <f>IF(C333="","",SUMIFS(tbl_Finance[Ex GST],tbl_Finance[Job Number],C333&amp;""))</f>
        <v/>
      </c>
      <c r="I333" s="27">
        <f>IF(C333="","",SUMIFS(tbl_Finance[Ex GST],tbl_Finance[Job Number],C333&amp;"",tbl_Finance[Xero Invoice No],"&lt;&gt;"))</f>
        <v/>
      </c>
      <c r="J333" s="27">
        <f>IF(C333="","",H333-I333)</f>
        <v/>
      </c>
      <c r="K333" s="25">
        <f>IF(C333="","",IF(G333=0,"not invoiced yet",SUBSTITUTE(TRIM(IF(COUNTIFS(tbl_Finance[Job Number],C333&amp;"",tbl_Finance[Cost Centre],"ONSITE")&gt;0,"ONSITE ","")&amp;IF(COUNTIFS(tbl_Finance[Job Number],C333&amp;"",tbl_Finance[Cost Centre],"PRODUCTION")&gt;0,"PRODUCTION ","")&amp;IF(COUNTIFS(tbl_Finance[Job Number],C333&amp;"",tbl_Finance[Cost Centre],"VIDEO")&gt;0,"VIDEO ","")&amp;IF(COUNTIFS(tbl_Finance[Job Number],C333&amp;"",tbl_Finance[Cost Centre],"INTEGRATION")&gt;0,"INTEGRATION ","")&amp;IF(COUNTIFS(tbl_Finance[Job Number],C333&amp;"",tbl_Finance[Cost Centre],"CONSULTING")&gt;0,"CONSULTING ","")&amp;IF(COUNTIFS(tbl_Finance[Job Number],C333&amp;"",tbl_Finance[Cost Centre],"CTS")&gt;0,"CTS ",""))," ",", ")))</f>
        <v/>
      </c>
      <c r="L333" s="24" t="n"/>
      <c r="M333" s="25">
        <f>IF(L333="","",HYPERLINK(IF(LEFT(L333,4)="http",L333,set_QwilrBase&amp;L333),"Open quote"))</f>
        <v/>
      </c>
      <c r="N333" s="26" t="n"/>
      <c r="O333" s="26" t="n"/>
      <c r="P333" s="26" t="n"/>
      <c r="Q333" s="25">
        <f>IF(C333="","",IF(N(N333)+N(O333)+N(P333)=0,"Not split",IF(ROUND(N(N333)+N(O333)+N(P333),2)=ROUND(H333,2),"OK","MISMATCH")))</f>
        <v/>
      </c>
      <c r="R333" s="26" t="n"/>
      <c r="S333" s="26" t="n"/>
      <c r="T333" s="26" t="n"/>
      <c r="U333" s="27">
        <f>IF(C333="","",N(R333)+N(S333)+N(T333))</f>
        <v/>
      </c>
      <c r="V333" s="27">
        <f>IF(C333="","",H333-U333)</f>
        <v/>
      </c>
      <c r="W333" s="29">
        <f>IFERROR(V333/H333,"")</f>
        <v/>
      </c>
      <c r="X333" s="24" t="n"/>
    </row>
    <row r="334" ht="15" customHeight="1">
      <c r="A334" s="68">
        <f>IF(C334="","",IFERROR(IF(SUMPRODUCT(MAX((tbl_Finance[Job Number]=C334&amp;"")*(tbl_Finance[Xero Invoice No]&lt;&gt;"")*tbl_Finance[Date]))=0,"",SUMPRODUCT(MAX((tbl_Finance[Job Number]=C334&amp;"")*(tbl_Finance[Xero Invoice No]&lt;&gt;"")*tbl_Finance[Date]))),""))</f>
        <v/>
      </c>
      <c r="B334" s="25">
        <f>IF(C334="","",IF(COUNTIFS(tbl_Finance[Job Number],C334&amp;"",tbl_Finance[Xero Invoice No],"&lt;&gt;")=0,"",IFERROR(IF(COUNTIFS(tbl_Finance[Job Number],C334&amp;"",tbl_Finance[Xero Invoice No],LOOKUP(2,1/((tbl_Finance[Job Number]=C334&amp;"")*(tbl_Finance[Xero Invoice No]&lt;&gt;"")),tbl_Finance[Xero Invoice No]))=COUNTIFS(tbl_Finance[Job Number],C334&amp;"",tbl_Finance[Xero Invoice No],"&lt;&gt;"),LOOKUP(2,1/((tbl_Finance[Job Number]=C334&amp;"")*(tbl_Finance[Xero Invoice No]&lt;&gt;"")),tbl_Finance[Xero Invoice No]),LOOKUP(2,1/((tbl_Finance[Job Number]=C334&amp;"")*(tbl_Finance[Xero Invoice No]&lt;&gt;"")),tbl_Finance[Xero Invoice No])&amp;" +more"),"")))</f>
        <v/>
      </c>
      <c r="C334" s="24" t="n"/>
      <c r="D334" s="25">
        <f>IF(C334="","",IF(COUNTIF(lst_Jobs,C334&amp;"")&gt;0,"OK","CHECK"))</f>
        <v/>
      </c>
      <c r="E334" s="25">
        <f>IF(C334="","",IFERROR(INDEX(lst_JobName,MATCH(C334&amp;"",lst_Jobs,0)),""))</f>
        <v/>
      </c>
      <c r="F334" s="25">
        <f>IF(C334="","",IFERROR(INDEX(tbl_Finance[Client],MATCH(C334&amp;"",tbl_Finance[Job Number],0)),""))</f>
        <v/>
      </c>
      <c r="G334" s="28">
        <f>IF(C334="","",COUNTIFS(tbl_Finance[Job Number],C334&amp;"",tbl_Finance[Ex GST],"&lt;&gt;"))</f>
        <v/>
      </c>
      <c r="H334" s="27">
        <f>IF(C334="","",SUMIFS(tbl_Finance[Ex GST],tbl_Finance[Job Number],C334&amp;""))</f>
        <v/>
      </c>
      <c r="I334" s="27">
        <f>IF(C334="","",SUMIFS(tbl_Finance[Ex GST],tbl_Finance[Job Number],C334&amp;"",tbl_Finance[Xero Invoice No],"&lt;&gt;"))</f>
        <v/>
      </c>
      <c r="J334" s="27">
        <f>IF(C334="","",H334-I334)</f>
        <v/>
      </c>
      <c r="K334" s="25">
        <f>IF(C334="","",IF(G334=0,"not invoiced yet",SUBSTITUTE(TRIM(IF(COUNTIFS(tbl_Finance[Job Number],C334&amp;"",tbl_Finance[Cost Centre],"ONSITE")&gt;0,"ONSITE ","")&amp;IF(COUNTIFS(tbl_Finance[Job Number],C334&amp;"",tbl_Finance[Cost Centre],"PRODUCTION")&gt;0,"PRODUCTION ","")&amp;IF(COUNTIFS(tbl_Finance[Job Number],C334&amp;"",tbl_Finance[Cost Centre],"VIDEO")&gt;0,"VIDEO ","")&amp;IF(COUNTIFS(tbl_Finance[Job Number],C334&amp;"",tbl_Finance[Cost Centre],"INTEGRATION")&gt;0,"INTEGRATION ","")&amp;IF(COUNTIFS(tbl_Finance[Job Number],C334&amp;"",tbl_Finance[Cost Centre],"CONSULTING")&gt;0,"CONSULTING ","")&amp;IF(COUNTIFS(tbl_Finance[Job Number],C334&amp;"",tbl_Finance[Cost Centre],"CTS")&gt;0,"CTS ",""))," ",", ")))</f>
        <v/>
      </c>
      <c r="L334" s="24" t="n"/>
      <c r="M334" s="25">
        <f>IF(L334="","",HYPERLINK(IF(LEFT(L334,4)="http",L334,set_QwilrBase&amp;L334),"Open quote"))</f>
        <v/>
      </c>
      <c r="N334" s="26" t="n"/>
      <c r="O334" s="26" t="n"/>
      <c r="P334" s="26" t="n"/>
      <c r="Q334" s="25">
        <f>IF(C334="","",IF(N(N334)+N(O334)+N(P334)=0,"Not split",IF(ROUND(N(N334)+N(O334)+N(P334),2)=ROUND(H334,2),"OK","MISMATCH")))</f>
        <v/>
      </c>
      <c r="R334" s="26" t="n"/>
      <c r="S334" s="26" t="n"/>
      <c r="T334" s="26" t="n"/>
      <c r="U334" s="27">
        <f>IF(C334="","",N(R334)+N(S334)+N(T334))</f>
        <v/>
      </c>
      <c r="V334" s="27">
        <f>IF(C334="","",H334-U334)</f>
        <v/>
      </c>
      <c r="W334" s="29">
        <f>IFERROR(V334/H334,"")</f>
        <v/>
      </c>
      <c r="X334" s="24" t="n"/>
    </row>
    <row r="335" ht="15" customHeight="1">
      <c r="A335" s="68">
        <f>IF(C335="","",IFERROR(IF(SUMPRODUCT(MAX((tbl_Finance[Job Number]=C335&amp;"")*(tbl_Finance[Xero Invoice No]&lt;&gt;"")*tbl_Finance[Date]))=0,"",SUMPRODUCT(MAX((tbl_Finance[Job Number]=C335&amp;"")*(tbl_Finance[Xero Invoice No]&lt;&gt;"")*tbl_Finance[Date]))),""))</f>
        <v/>
      </c>
      <c r="B335" s="25">
        <f>IF(C335="","",IF(COUNTIFS(tbl_Finance[Job Number],C335&amp;"",tbl_Finance[Xero Invoice No],"&lt;&gt;")=0,"",IFERROR(IF(COUNTIFS(tbl_Finance[Job Number],C335&amp;"",tbl_Finance[Xero Invoice No],LOOKUP(2,1/((tbl_Finance[Job Number]=C335&amp;"")*(tbl_Finance[Xero Invoice No]&lt;&gt;"")),tbl_Finance[Xero Invoice No]))=COUNTIFS(tbl_Finance[Job Number],C335&amp;"",tbl_Finance[Xero Invoice No],"&lt;&gt;"),LOOKUP(2,1/((tbl_Finance[Job Number]=C335&amp;"")*(tbl_Finance[Xero Invoice No]&lt;&gt;"")),tbl_Finance[Xero Invoice No]),LOOKUP(2,1/((tbl_Finance[Job Number]=C335&amp;"")*(tbl_Finance[Xero Invoice No]&lt;&gt;"")),tbl_Finance[Xero Invoice No])&amp;" +more"),"")))</f>
        <v/>
      </c>
      <c r="C335" s="24" t="n"/>
      <c r="D335" s="25">
        <f>IF(C335="","",IF(COUNTIF(lst_Jobs,C335&amp;"")&gt;0,"OK","CHECK"))</f>
        <v/>
      </c>
      <c r="E335" s="25">
        <f>IF(C335="","",IFERROR(INDEX(lst_JobName,MATCH(C335&amp;"",lst_Jobs,0)),""))</f>
        <v/>
      </c>
      <c r="F335" s="25">
        <f>IF(C335="","",IFERROR(INDEX(tbl_Finance[Client],MATCH(C335&amp;"",tbl_Finance[Job Number],0)),""))</f>
        <v/>
      </c>
      <c r="G335" s="28">
        <f>IF(C335="","",COUNTIFS(tbl_Finance[Job Number],C335&amp;"",tbl_Finance[Ex GST],"&lt;&gt;"))</f>
        <v/>
      </c>
      <c r="H335" s="27">
        <f>IF(C335="","",SUMIFS(tbl_Finance[Ex GST],tbl_Finance[Job Number],C335&amp;""))</f>
        <v/>
      </c>
      <c r="I335" s="27">
        <f>IF(C335="","",SUMIFS(tbl_Finance[Ex GST],tbl_Finance[Job Number],C335&amp;"",tbl_Finance[Xero Invoice No],"&lt;&gt;"))</f>
        <v/>
      </c>
      <c r="J335" s="27">
        <f>IF(C335="","",H335-I335)</f>
        <v/>
      </c>
      <c r="K335" s="25">
        <f>IF(C335="","",IF(G335=0,"not invoiced yet",SUBSTITUTE(TRIM(IF(COUNTIFS(tbl_Finance[Job Number],C335&amp;"",tbl_Finance[Cost Centre],"ONSITE")&gt;0,"ONSITE ","")&amp;IF(COUNTIFS(tbl_Finance[Job Number],C335&amp;"",tbl_Finance[Cost Centre],"PRODUCTION")&gt;0,"PRODUCTION ","")&amp;IF(COUNTIFS(tbl_Finance[Job Number],C335&amp;"",tbl_Finance[Cost Centre],"VIDEO")&gt;0,"VIDEO ","")&amp;IF(COUNTIFS(tbl_Finance[Job Number],C335&amp;"",tbl_Finance[Cost Centre],"INTEGRATION")&gt;0,"INTEGRATION ","")&amp;IF(COUNTIFS(tbl_Finance[Job Number],C335&amp;"",tbl_Finance[Cost Centre],"CONSULTING")&gt;0,"CONSULTING ","")&amp;IF(COUNTIFS(tbl_Finance[Job Number],C335&amp;"",tbl_Finance[Cost Centre],"CTS")&gt;0,"CTS ",""))," ",", ")))</f>
        <v/>
      </c>
      <c r="L335" s="24" t="n"/>
      <c r="M335" s="25">
        <f>IF(L335="","",HYPERLINK(IF(LEFT(L335,4)="http",L335,set_QwilrBase&amp;L335),"Open quote"))</f>
        <v/>
      </c>
      <c r="N335" s="26" t="n"/>
      <c r="O335" s="26" t="n"/>
      <c r="P335" s="26" t="n"/>
      <c r="Q335" s="25">
        <f>IF(C335="","",IF(N(N335)+N(O335)+N(P335)=0,"Not split",IF(ROUND(N(N335)+N(O335)+N(P335),2)=ROUND(H335,2),"OK","MISMATCH")))</f>
        <v/>
      </c>
      <c r="R335" s="26" t="n"/>
      <c r="S335" s="26" t="n"/>
      <c r="T335" s="26" t="n"/>
      <c r="U335" s="27">
        <f>IF(C335="","",N(R335)+N(S335)+N(T335))</f>
        <v/>
      </c>
      <c r="V335" s="27">
        <f>IF(C335="","",H335-U335)</f>
        <v/>
      </c>
      <c r="W335" s="29">
        <f>IFERROR(V335/H335,"")</f>
        <v/>
      </c>
      <c r="X335" s="24" t="n"/>
    </row>
    <row r="336" ht="15" customHeight="1">
      <c r="A336" s="68">
        <f>IF(C336="","",IFERROR(IF(SUMPRODUCT(MAX((tbl_Finance[Job Number]=C336&amp;"")*(tbl_Finance[Xero Invoice No]&lt;&gt;"")*tbl_Finance[Date]))=0,"",SUMPRODUCT(MAX((tbl_Finance[Job Number]=C336&amp;"")*(tbl_Finance[Xero Invoice No]&lt;&gt;"")*tbl_Finance[Date]))),""))</f>
        <v/>
      </c>
      <c r="B336" s="25">
        <f>IF(C336="","",IF(COUNTIFS(tbl_Finance[Job Number],C336&amp;"",tbl_Finance[Xero Invoice No],"&lt;&gt;")=0,"",IFERROR(IF(COUNTIFS(tbl_Finance[Job Number],C336&amp;"",tbl_Finance[Xero Invoice No],LOOKUP(2,1/((tbl_Finance[Job Number]=C336&amp;"")*(tbl_Finance[Xero Invoice No]&lt;&gt;"")),tbl_Finance[Xero Invoice No]))=COUNTIFS(tbl_Finance[Job Number],C336&amp;"",tbl_Finance[Xero Invoice No],"&lt;&gt;"),LOOKUP(2,1/((tbl_Finance[Job Number]=C336&amp;"")*(tbl_Finance[Xero Invoice No]&lt;&gt;"")),tbl_Finance[Xero Invoice No]),LOOKUP(2,1/((tbl_Finance[Job Number]=C336&amp;"")*(tbl_Finance[Xero Invoice No]&lt;&gt;"")),tbl_Finance[Xero Invoice No])&amp;" +more"),"")))</f>
        <v/>
      </c>
      <c r="C336" s="24" t="n"/>
      <c r="D336" s="25">
        <f>IF(C336="","",IF(COUNTIF(lst_Jobs,C336&amp;"")&gt;0,"OK","CHECK"))</f>
        <v/>
      </c>
      <c r="E336" s="25">
        <f>IF(C336="","",IFERROR(INDEX(lst_JobName,MATCH(C336&amp;"",lst_Jobs,0)),""))</f>
        <v/>
      </c>
      <c r="F336" s="25">
        <f>IF(C336="","",IFERROR(INDEX(tbl_Finance[Client],MATCH(C336&amp;"",tbl_Finance[Job Number],0)),""))</f>
        <v/>
      </c>
      <c r="G336" s="28">
        <f>IF(C336="","",COUNTIFS(tbl_Finance[Job Number],C336&amp;"",tbl_Finance[Ex GST],"&lt;&gt;"))</f>
        <v/>
      </c>
      <c r="H336" s="27">
        <f>IF(C336="","",SUMIFS(tbl_Finance[Ex GST],tbl_Finance[Job Number],C336&amp;""))</f>
        <v/>
      </c>
      <c r="I336" s="27">
        <f>IF(C336="","",SUMIFS(tbl_Finance[Ex GST],tbl_Finance[Job Number],C336&amp;"",tbl_Finance[Xero Invoice No],"&lt;&gt;"))</f>
        <v/>
      </c>
      <c r="J336" s="27">
        <f>IF(C336="","",H336-I336)</f>
        <v/>
      </c>
      <c r="K336" s="25">
        <f>IF(C336="","",IF(G336=0,"not invoiced yet",SUBSTITUTE(TRIM(IF(COUNTIFS(tbl_Finance[Job Number],C336&amp;"",tbl_Finance[Cost Centre],"ONSITE")&gt;0,"ONSITE ","")&amp;IF(COUNTIFS(tbl_Finance[Job Number],C336&amp;"",tbl_Finance[Cost Centre],"PRODUCTION")&gt;0,"PRODUCTION ","")&amp;IF(COUNTIFS(tbl_Finance[Job Number],C336&amp;"",tbl_Finance[Cost Centre],"VIDEO")&gt;0,"VIDEO ","")&amp;IF(COUNTIFS(tbl_Finance[Job Number],C336&amp;"",tbl_Finance[Cost Centre],"INTEGRATION")&gt;0,"INTEGRATION ","")&amp;IF(COUNTIFS(tbl_Finance[Job Number],C336&amp;"",tbl_Finance[Cost Centre],"CONSULTING")&gt;0,"CONSULTING ","")&amp;IF(COUNTIFS(tbl_Finance[Job Number],C336&amp;"",tbl_Finance[Cost Centre],"CTS")&gt;0,"CTS ",""))," ",", ")))</f>
        <v/>
      </c>
      <c r="L336" s="24" t="n"/>
      <c r="M336" s="25">
        <f>IF(L336="","",HYPERLINK(IF(LEFT(L336,4)="http",L336,set_QwilrBase&amp;L336),"Open quote"))</f>
        <v/>
      </c>
      <c r="N336" s="26" t="n"/>
      <c r="O336" s="26" t="n"/>
      <c r="P336" s="26" t="n"/>
      <c r="Q336" s="25">
        <f>IF(C336="","",IF(N(N336)+N(O336)+N(P336)=0,"Not split",IF(ROUND(N(N336)+N(O336)+N(P336),2)=ROUND(H336,2),"OK","MISMATCH")))</f>
        <v/>
      </c>
      <c r="R336" s="26" t="n"/>
      <c r="S336" s="26" t="n"/>
      <c r="T336" s="26" t="n"/>
      <c r="U336" s="27">
        <f>IF(C336="","",N(R336)+N(S336)+N(T336))</f>
        <v/>
      </c>
      <c r="V336" s="27">
        <f>IF(C336="","",H336-U336)</f>
        <v/>
      </c>
      <c r="W336" s="29">
        <f>IFERROR(V336/H336,"")</f>
        <v/>
      </c>
      <c r="X336" s="24" t="n"/>
    </row>
    <row r="337" ht="15" customHeight="1">
      <c r="A337" s="68">
        <f>IF(C337="","",IFERROR(IF(SUMPRODUCT(MAX((tbl_Finance[Job Number]=C337&amp;"")*(tbl_Finance[Xero Invoice No]&lt;&gt;"")*tbl_Finance[Date]))=0,"",SUMPRODUCT(MAX((tbl_Finance[Job Number]=C337&amp;"")*(tbl_Finance[Xero Invoice No]&lt;&gt;"")*tbl_Finance[Date]))),""))</f>
        <v/>
      </c>
      <c r="B337" s="25">
        <f>IF(C337="","",IF(COUNTIFS(tbl_Finance[Job Number],C337&amp;"",tbl_Finance[Xero Invoice No],"&lt;&gt;")=0,"",IFERROR(IF(COUNTIFS(tbl_Finance[Job Number],C337&amp;"",tbl_Finance[Xero Invoice No],LOOKUP(2,1/((tbl_Finance[Job Number]=C337&amp;"")*(tbl_Finance[Xero Invoice No]&lt;&gt;"")),tbl_Finance[Xero Invoice No]))=COUNTIFS(tbl_Finance[Job Number],C337&amp;"",tbl_Finance[Xero Invoice No],"&lt;&gt;"),LOOKUP(2,1/((tbl_Finance[Job Number]=C337&amp;"")*(tbl_Finance[Xero Invoice No]&lt;&gt;"")),tbl_Finance[Xero Invoice No]),LOOKUP(2,1/((tbl_Finance[Job Number]=C337&amp;"")*(tbl_Finance[Xero Invoice No]&lt;&gt;"")),tbl_Finance[Xero Invoice No])&amp;" +more"),"")))</f>
        <v/>
      </c>
      <c r="C337" s="24" t="n"/>
      <c r="D337" s="25">
        <f>IF(C337="","",IF(COUNTIF(lst_Jobs,C337&amp;"")&gt;0,"OK","CHECK"))</f>
        <v/>
      </c>
      <c r="E337" s="25">
        <f>IF(C337="","",IFERROR(INDEX(lst_JobName,MATCH(C337&amp;"",lst_Jobs,0)),""))</f>
        <v/>
      </c>
      <c r="F337" s="25">
        <f>IF(C337="","",IFERROR(INDEX(tbl_Finance[Client],MATCH(C337&amp;"",tbl_Finance[Job Number],0)),""))</f>
        <v/>
      </c>
      <c r="G337" s="28">
        <f>IF(C337="","",COUNTIFS(tbl_Finance[Job Number],C337&amp;"",tbl_Finance[Ex GST],"&lt;&gt;"))</f>
        <v/>
      </c>
      <c r="H337" s="27">
        <f>IF(C337="","",SUMIFS(tbl_Finance[Ex GST],tbl_Finance[Job Number],C337&amp;""))</f>
        <v/>
      </c>
      <c r="I337" s="27">
        <f>IF(C337="","",SUMIFS(tbl_Finance[Ex GST],tbl_Finance[Job Number],C337&amp;"",tbl_Finance[Xero Invoice No],"&lt;&gt;"))</f>
        <v/>
      </c>
      <c r="J337" s="27">
        <f>IF(C337="","",H337-I337)</f>
        <v/>
      </c>
      <c r="K337" s="25">
        <f>IF(C337="","",IF(G337=0,"not invoiced yet",SUBSTITUTE(TRIM(IF(COUNTIFS(tbl_Finance[Job Number],C337&amp;"",tbl_Finance[Cost Centre],"ONSITE")&gt;0,"ONSITE ","")&amp;IF(COUNTIFS(tbl_Finance[Job Number],C337&amp;"",tbl_Finance[Cost Centre],"PRODUCTION")&gt;0,"PRODUCTION ","")&amp;IF(COUNTIFS(tbl_Finance[Job Number],C337&amp;"",tbl_Finance[Cost Centre],"VIDEO")&gt;0,"VIDEO ","")&amp;IF(COUNTIFS(tbl_Finance[Job Number],C337&amp;"",tbl_Finance[Cost Centre],"INTEGRATION")&gt;0,"INTEGRATION ","")&amp;IF(COUNTIFS(tbl_Finance[Job Number],C337&amp;"",tbl_Finance[Cost Centre],"CONSULTING")&gt;0,"CONSULTING ","")&amp;IF(COUNTIFS(tbl_Finance[Job Number],C337&amp;"",tbl_Finance[Cost Centre],"CTS")&gt;0,"CTS ",""))," ",", ")))</f>
        <v/>
      </c>
      <c r="L337" s="24" t="n"/>
      <c r="M337" s="25">
        <f>IF(L337="","",HYPERLINK(IF(LEFT(L337,4)="http",L337,set_QwilrBase&amp;L337),"Open quote"))</f>
        <v/>
      </c>
      <c r="N337" s="26" t="n"/>
      <c r="O337" s="26" t="n"/>
      <c r="P337" s="26" t="n"/>
      <c r="Q337" s="25">
        <f>IF(C337="","",IF(N(N337)+N(O337)+N(P337)=0,"Not split",IF(ROUND(N(N337)+N(O337)+N(P337),2)=ROUND(H337,2),"OK","MISMATCH")))</f>
        <v/>
      </c>
      <c r="R337" s="26" t="n"/>
      <c r="S337" s="26" t="n"/>
      <c r="T337" s="26" t="n"/>
      <c r="U337" s="27">
        <f>IF(C337="","",N(R337)+N(S337)+N(T337))</f>
        <v/>
      </c>
      <c r="V337" s="27">
        <f>IF(C337="","",H337-U337)</f>
        <v/>
      </c>
      <c r="W337" s="29">
        <f>IFERROR(V337/H337,"")</f>
        <v/>
      </c>
      <c r="X337" s="24" t="n"/>
    </row>
    <row r="338" ht="15" customHeight="1">
      <c r="A338" s="68">
        <f>IF(C338="","",IFERROR(IF(SUMPRODUCT(MAX((tbl_Finance[Job Number]=C338&amp;"")*(tbl_Finance[Xero Invoice No]&lt;&gt;"")*tbl_Finance[Date]))=0,"",SUMPRODUCT(MAX((tbl_Finance[Job Number]=C338&amp;"")*(tbl_Finance[Xero Invoice No]&lt;&gt;"")*tbl_Finance[Date]))),""))</f>
        <v/>
      </c>
      <c r="B338" s="25">
        <f>IF(C338="","",IF(COUNTIFS(tbl_Finance[Job Number],C338&amp;"",tbl_Finance[Xero Invoice No],"&lt;&gt;")=0,"",IFERROR(IF(COUNTIFS(tbl_Finance[Job Number],C338&amp;"",tbl_Finance[Xero Invoice No],LOOKUP(2,1/((tbl_Finance[Job Number]=C338&amp;"")*(tbl_Finance[Xero Invoice No]&lt;&gt;"")),tbl_Finance[Xero Invoice No]))=COUNTIFS(tbl_Finance[Job Number],C338&amp;"",tbl_Finance[Xero Invoice No],"&lt;&gt;"),LOOKUP(2,1/((tbl_Finance[Job Number]=C338&amp;"")*(tbl_Finance[Xero Invoice No]&lt;&gt;"")),tbl_Finance[Xero Invoice No]),LOOKUP(2,1/((tbl_Finance[Job Number]=C338&amp;"")*(tbl_Finance[Xero Invoice No]&lt;&gt;"")),tbl_Finance[Xero Invoice No])&amp;" +more"),"")))</f>
        <v/>
      </c>
      <c r="C338" s="24" t="n"/>
      <c r="D338" s="25">
        <f>IF(C338="","",IF(COUNTIF(lst_Jobs,C338&amp;"")&gt;0,"OK","CHECK"))</f>
        <v/>
      </c>
      <c r="E338" s="25">
        <f>IF(C338="","",IFERROR(INDEX(lst_JobName,MATCH(C338&amp;"",lst_Jobs,0)),""))</f>
        <v/>
      </c>
      <c r="F338" s="25">
        <f>IF(C338="","",IFERROR(INDEX(tbl_Finance[Client],MATCH(C338&amp;"",tbl_Finance[Job Number],0)),""))</f>
        <v/>
      </c>
      <c r="G338" s="28">
        <f>IF(C338="","",COUNTIFS(tbl_Finance[Job Number],C338&amp;"",tbl_Finance[Ex GST],"&lt;&gt;"))</f>
        <v/>
      </c>
      <c r="H338" s="27">
        <f>IF(C338="","",SUMIFS(tbl_Finance[Ex GST],tbl_Finance[Job Number],C338&amp;""))</f>
        <v/>
      </c>
      <c r="I338" s="27">
        <f>IF(C338="","",SUMIFS(tbl_Finance[Ex GST],tbl_Finance[Job Number],C338&amp;"",tbl_Finance[Xero Invoice No],"&lt;&gt;"))</f>
        <v/>
      </c>
      <c r="J338" s="27">
        <f>IF(C338="","",H338-I338)</f>
        <v/>
      </c>
      <c r="K338" s="25">
        <f>IF(C338="","",IF(G338=0,"not invoiced yet",SUBSTITUTE(TRIM(IF(COUNTIFS(tbl_Finance[Job Number],C338&amp;"",tbl_Finance[Cost Centre],"ONSITE")&gt;0,"ONSITE ","")&amp;IF(COUNTIFS(tbl_Finance[Job Number],C338&amp;"",tbl_Finance[Cost Centre],"PRODUCTION")&gt;0,"PRODUCTION ","")&amp;IF(COUNTIFS(tbl_Finance[Job Number],C338&amp;"",tbl_Finance[Cost Centre],"VIDEO")&gt;0,"VIDEO ","")&amp;IF(COUNTIFS(tbl_Finance[Job Number],C338&amp;"",tbl_Finance[Cost Centre],"INTEGRATION")&gt;0,"INTEGRATION ","")&amp;IF(COUNTIFS(tbl_Finance[Job Number],C338&amp;"",tbl_Finance[Cost Centre],"CONSULTING")&gt;0,"CONSULTING ","")&amp;IF(COUNTIFS(tbl_Finance[Job Number],C338&amp;"",tbl_Finance[Cost Centre],"CTS")&gt;0,"CTS ",""))," ",", ")))</f>
        <v/>
      </c>
      <c r="L338" s="24" t="n"/>
      <c r="M338" s="25">
        <f>IF(L338="","",HYPERLINK(IF(LEFT(L338,4)="http",L338,set_QwilrBase&amp;L338),"Open quote"))</f>
        <v/>
      </c>
      <c r="N338" s="26" t="n"/>
      <c r="O338" s="26" t="n"/>
      <c r="P338" s="26" t="n"/>
      <c r="Q338" s="25">
        <f>IF(C338="","",IF(N(N338)+N(O338)+N(P338)=0,"Not split",IF(ROUND(N(N338)+N(O338)+N(P338),2)=ROUND(H338,2),"OK","MISMATCH")))</f>
        <v/>
      </c>
      <c r="R338" s="26" t="n"/>
      <c r="S338" s="26" t="n"/>
      <c r="T338" s="26" t="n"/>
      <c r="U338" s="27">
        <f>IF(C338="","",N(R338)+N(S338)+N(T338))</f>
        <v/>
      </c>
      <c r="V338" s="27">
        <f>IF(C338="","",H338-U338)</f>
        <v/>
      </c>
      <c r="W338" s="29">
        <f>IFERROR(V338/H338,"")</f>
        <v/>
      </c>
      <c r="X338" s="24" t="n"/>
    </row>
    <row r="339" ht="15" customHeight="1">
      <c r="A339" s="68">
        <f>IF(C339="","",IFERROR(IF(SUMPRODUCT(MAX((tbl_Finance[Job Number]=C339&amp;"")*(tbl_Finance[Xero Invoice No]&lt;&gt;"")*tbl_Finance[Date]))=0,"",SUMPRODUCT(MAX((tbl_Finance[Job Number]=C339&amp;"")*(tbl_Finance[Xero Invoice No]&lt;&gt;"")*tbl_Finance[Date]))),""))</f>
        <v/>
      </c>
      <c r="B339" s="25">
        <f>IF(C339="","",IF(COUNTIFS(tbl_Finance[Job Number],C339&amp;"",tbl_Finance[Xero Invoice No],"&lt;&gt;")=0,"",IFERROR(IF(COUNTIFS(tbl_Finance[Job Number],C339&amp;"",tbl_Finance[Xero Invoice No],LOOKUP(2,1/((tbl_Finance[Job Number]=C339&amp;"")*(tbl_Finance[Xero Invoice No]&lt;&gt;"")),tbl_Finance[Xero Invoice No]))=COUNTIFS(tbl_Finance[Job Number],C339&amp;"",tbl_Finance[Xero Invoice No],"&lt;&gt;"),LOOKUP(2,1/((tbl_Finance[Job Number]=C339&amp;"")*(tbl_Finance[Xero Invoice No]&lt;&gt;"")),tbl_Finance[Xero Invoice No]),LOOKUP(2,1/((tbl_Finance[Job Number]=C339&amp;"")*(tbl_Finance[Xero Invoice No]&lt;&gt;"")),tbl_Finance[Xero Invoice No])&amp;" +more"),"")))</f>
        <v/>
      </c>
      <c r="C339" s="24" t="n"/>
      <c r="D339" s="25">
        <f>IF(C339="","",IF(COUNTIF(lst_Jobs,C339&amp;"")&gt;0,"OK","CHECK"))</f>
        <v/>
      </c>
      <c r="E339" s="25">
        <f>IF(C339="","",IFERROR(INDEX(lst_JobName,MATCH(C339&amp;"",lst_Jobs,0)),""))</f>
        <v/>
      </c>
      <c r="F339" s="25">
        <f>IF(C339="","",IFERROR(INDEX(tbl_Finance[Client],MATCH(C339&amp;"",tbl_Finance[Job Number],0)),""))</f>
        <v/>
      </c>
      <c r="G339" s="28">
        <f>IF(C339="","",COUNTIFS(tbl_Finance[Job Number],C339&amp;"",tbl_Finance[Ex GST],"&lt;&gt;"))</f>
        <v/>
      </c>
      <c r="H339" s="27">
        <f>IF(C339="","",SUMIFS(tbl_Finance[Ex GST],tbl_Finance[Job Number],C339&amp;""))</f>
        <v/>
      </c>
      <c r="I339" s="27">
        <f>IF(C339="","",SUMIFS(tbl_Finance[Ex GST],tbl_Finance[Job Number],C339&amp;"",tbl_Finance[Xero Invoice No],"&lt;&gt;"))</f>
        <v/>
      </c>
      <c r="J339" s="27">
        <f>IF(C339="","",H339-I339)</f>
        <v/>
      </c>
      <c r="K339" s="25">
        <f>IF(C339="","",IF(G339=0,"not invoiced yet",SUBSTITUTE(TRIM(IF(COUNTIFS(tbl_Finance[Job Number],C339&amp;"",tbl_Finance[Cost Centre],"ONSITE")&gt;0,"ONSITE ","")&amp;IF(COUNTIFS(tbl_Finance[Job Number],C339&amp;"",tbl_Finance[Cost Centre],"PRODUCTION")&gt;0,"PRODUCTION ","")&amp;IF(COUNTIFS(tbl_Finance[Job Number],C339&amp;"",tbl_Finance[Cost Centre],"VIDEO")&gt;0,"VIDEO ","")&amp;IF(COUNTIFS(tbl_Finance[Job Number],C339&amp;"",tbl_Finance[Cost Centre],"INTEGRATION")&gt;0,"INTEGRATION ","")&amp;IF(COUNTIFS(tbl_Finance[Job Number],C339&amp;"",tbl_Finance[Cost Centre],"CONSULTING")&gt;0,"CONSULTING ","")&amp;IF(COUNTIFS(tbl_Finance[Job Number],C339&amp;"",tbl_Finance[Cost Centre],"CTS")&gt;0,"CTS ",""))," ",", ")))</f>
        <v/>
      </c>
      <c r="L339" s="24" t="n"/>
      <c r="M339" s="25">
        <f>IF(L339="","",HYPERLINK(IF(LEFT(L339,4)="http",L339,set_QwilrBase&amp;L339),"Open quote"))</f>
        <v/>
      </c>
      <c r="N339" s="26" t="n"/>
      <c r="O339" s="26" t="n"/>
      <c r="P339" s="26" t="n"/>
      <c r="Q339" s="25">
        <f>IF(C339="","",IF(N(N339)+N(O339)+N(P339)=0,"Not split",IF(ROUND(N(N339)+N(O339)+N(P339),2)=ROUND(H339,2),"OK","MISMATCH")))</f>
        <v/>
      </c>
      <c r="R339" s="26" t="n"/>
      <c r="S339" s="26" t="n"/>
      <c r="T339" s="26" t="n"/>
      <c r="U339" s="27">
        <f>IF(C339="","",N(R339)+N(S339)+N(T339))</f>
        <v/>
      </c>
      <c r="V339" s="27">
        <f>IF(C339="","",H339-U339)</f>
        <v/>
      </c>
      <c r="W339" s="29">
        <f>IFERROR(V339/H339,"")</f>
        <v/>
      </c>
      <c r="X339" s="24" t="n"/>
    </row>
    <row r="340" ht="15" customHeight="1">
      <c r="A340" s="68">
        <f>IF(C340="","",IFERROR(IF(SUMPRODUCT(MAX((tbl_Finance[Job Number]=C340&amp;"")*(tbl_Finance[Xero Invoice No]&lt;&gt;"")*tbl_Finance[Date]))=0,"",SUMPRODUCT(MAX((tbl_Finance[Job Number]=C340&amp;"")*(tbl_Finance[Xero Invoice No]&lt;&gt;"")*tbl_Finance[Date]))),""))</f>
        <v/>
      </c>
      <c r="B340" s="25">
        <f>IF(C340="","",IF(COUNTIFS(tbl_Finance[Job Number],C340&amp;"",tbl_Finance[Xero Invoice No],"&lt;&gt;")=0,"",IFERROR(IF(COUNTIFS(tbl_Finance[Job Number],C340&amp;"",tbl_Finance[Xero Invoice No],LOOKUP(2,1/((tbl_Finance[Job Number]=C340&amp;"")*(tbl_Finance[Xero Invoice No]&lt;&gt;"")),tbl_Finance[Xero Invoice No]))=COUNTIFS(tbl_Finance[Job Number],C340&amp;"",tbl_Finance[Xero Invoice No],"&lt;&gt;"),LOOKUP(2,1/((tbl_Finance[Job Number]=C340&amp;"")*(tbl_Finance[Xero Invoice No]&lt;&gt;"")),tbl_Finance[Xero Invoice No]),LOOKUP(2,1/((tbl_Finance[Job Number]=C340&amp;"")*(tbl_Finance[Xero Invoice No]&lt;&gt;"")),tbl_Finance[Xero Invoice No])&amp;" +more"),"")))</f>
        <v/>
      </c>
      <c r="C340" s="24" t="n"/>
      <c r="D340" s="25">
        <f>IF(C340="","",IF(COUNTIF(lst_Jobs,C340&amp;"")&gt;0,"OK","CHECK"))</f>
        <v/>
      </c>
      <c r="E340" s="25">
        <f>IF(C340="","",IFERROR(INDEX(lst_JobName,MATCH(C340&amp;"",lst_Jobs,0)),""))</f>
        <v/>
      </c>
      <c r="F340" s="25">
        <f>IF(C340="","",IFERROR(INDEX(tbl_Finance[Client],MATCH(C340&amp;"",tbl_Finance[Job Number],0)),""))</f>
        <v/>
      </c>
      <c r="G340" s="28">
        <f>IF(C340="","",COUNTIFS(tbl_Finance[Job Number],C340&amp;"",tbl_Finance[Ex GST],"&lt;&gt;"))</f>
        <v/>
      </c>
      <c r="H340" s="27">
        <f>IF(C340="","",SUMIFS(tbl_Finance[Ex GST],tbl_Finance[Job Number],C340&amp;""))</f>
        <v/>
      </c>
      <c r="I340" s="27">
        <f>IF(C340="","",SUMIFS(tbl_Finance[Ex GST],tbl_Finance[Job Number],C340&amp;"",tbl_Finance[Xero Invoice No],"&lt;&gt;"))</f>
        <v/>
      </c>
      <c r="J340" s="27">
        <f>IF(C340="","",H340-I340)</f>
        <v/>
      </c>
      <c r="K340" s="25">
        <f>IF(C340="","",IF(G340=0,"not invoiced yet",SUBSTITUTE(TRIM(IF(COUNTIFS(tbl_Finance[Job Number],C340&amp;"",tbl_Finance[Cost Centre],"ONSITE")&gt;0,"ONSITE ","")&amp;IF(COUNTIFS(tbl_Finance[Job Number],C340&amp;"",tbl_Finance[Cost Centre],"PRODUCTION")&gt;0,"PRODUCTION ","")&amp;IF(COUNTIFS(tbl_Finance[Job Number],C340&amp;"",tbl_Finance[Cost Centre],"VIDEO")&gt;0,"VIDEO ","")&amp;IF(COUNTIFS(tbl_Finance[Job Number],C340&amp;"",tbl_Finance[Cost Centre],"INTEGRATION")&gt;0,"INTEGRATION ","")&amp;IF(COUNTIFS(tbl_Finance[Job Number],C340&amp;"",tbl_Finance[Cost Centre],"CONSULTING")&gt;0,"CONSULTING ","")&amp;IF(COUNTIFS(tbl_Finance[Job Number],C340&amp;"",tbl_Finance[Cost Centre],"CTS")&gt;0,"CTS ",""))," ",", ")))</f>
        <v/>
      </c>
      <c r="L340" s="24" t="n"/>
      <c r="M340" s="25">
        <f>IF(L340="","",HYPERLINK(IF(LEFT(L340,4)="http",L340,set_QwilrBase&amp;L340),"Open quote"))</f>
        <v/>
      </c>
      <c r="N340" s="26" t="n"/>
      <c r="O340" s="26" t="n"/>
      <c r="P340" s="26" t="n"/>
      <c r="Q340" s="25">
        <f>IF(C340="","",IF(N(N340)+N(O340)+N(P340)=0,"Not split",IF(ROUND(N(N340)+N(O340)+N(P340),2)=ROUND(H340,2),"OK","MISMATCH")))</f>
        <v/>
      </c>
      <c r="R340" s="26" t="n"/>
      <c r="S340" s="26" t="n"/>
      <c r="T340" s="26" t="n"/>
      <c r="U340" s="27">
        <f>IF(C340="","",N(R340)+N(S340)+N(T340))</f>
        <v/>
      </c>
      <c r="V340" s="27">
        <f>IF(C340="","",H340-U340)</f>
        <v/>
      </c>
      <c r="W340" s="29">
        <f>IFERROR(V340/H340,"")</f>
        <v/>
      </c>
      <c r="X340" s="24" t="n"/>
    </row>
    <row r="341" ht="15" customHeight="1">
      <c r="A341" s="68">
        <f>IF(C341="","",IFERROR(IF(SUMPRODUCT(MAX((tbl_Finance[Job Number]=C341&amp;"")*(tbl_Finance[Xero Invoice No]&lt;&gt;"")*tbl_Finance[Date]))=0,"",SUMPRODUCT(MAX((tbl_Finance[Job Number]=C341&amp;"")*(tbl_Finance[Xero Invoice No]&lt;&gt;"")*tbl_Finance[Date]))),""))</f>
        <v/>
      </c>
      <c r="B341" s="25">
        <f>IF(C341="","",IF(COUNTIFS(tbl_Finance[Job Number],C341&amp;"",tbl_Finance[Xero Invoice No],"&lt;&gt;")=0,"",IFERROR(IF(COUNTIFS(tbl_Finance[Job Number],C341&amp;"",tbl_Finance[Xero Invoice No],LOOKUP(2,1/((tbl_Finance[Job Number]=C341&amp;"")*(tbl_Finance[Xero Invoice No]&lt;&gt;"")),tbl_Finance[Xero Invoice No]))=COUNTIFS(tbl_Finance[Job Number],C341&amp;"",tbl_Finance[Xero Invoice No],"&lt;&gt;"),LOOKUP(2,1/((tbl_Finance[Job Number]=C341&amp;"")*(tbl_Finance[Xero Invoice No]&lt;&gt;"")),tbl_Finance[Xero Invoice No]),LOOKUP(2,1/((tbl_Finance[Job Number]=C341&amp;"")*(tbl_Finance[Xero Invoice No]&lt;&gt;"")),tbl_Finance[Xero Invoice No])&amp;" +more"),"")))</f>
        <v/>
      </c>
      <c r="C341" s="24" t="n"/>
      <c r="D341" s="25">
        <f>IF(C341="","",IF(COUNTIF(lst_Jobs,C341&amp;"")&gt;0,"OK","CHECK"))</f>
        <v/>
      </c>
      <c r="E341" s="25">
        <f>IF(C341="","",IFERROR(INDEX(lst_JobName,MATCH(C341&amp;"",lst_Jobs,0)),""))</f>
        <v/>
      </c>
      <c r="F341" s="25">
        <f>IF(C341="","",IFERROR(INDEX(tbl_Finance[Client],MATCH(C341&amp;"",tbl_Finance[Job Number],0)),""))</f>
        <v/>
      </c>
      <c r="G341" s="28">
        <f>IF(C341="","",COUNTIFS(tbl_Finance[Job Number],C341&amp;"",tbl_Finance[Ex GST],"&lt;&gt;"))</f>
        <v/>
      </c>
      <c r="H341" s="27">
        <f>IF(C341="","",SUMIFS(tbl_Finance[Ex GST],tbl_Finance[Job Number],C341&amp;""))</f>
        <v/>
      </c>
      <c r="I341" s="27">
        <f>IF(C341="","",SUMIFS(tbl_Finance[Ex GST],tbl_Finance[Job Number],C341&amp;"",tbl_Finance[Xero Invoice No],"&lt;&gt;"))</f>
        <v/>
      </c>
      <c r="J341" s="27">
        <f>IF(C341="","",H341-I341)</f>
        <v/>
      </c>
      <c r="K341" s="25">
        <f>IF(C341="","",IF(G341=0,"not invoiced yet",SUBSTITUTE(TRIM(IF(COUNTIFS(tbl_Finance[Job Number],C341&amp;"",tbl_Finance[Cost Centre],"ONSITE")&gt;0,"ONSITE ","")&amp;IF(COUNTIFS(tbl_Finance[Job Number],C341&amp;"",tbl_Finance[Cost Centre],"PRODUCTION")&gt;0,"PRODUCTION ","")&amp;IF(COUNTIFS(tbl_Finance[Job Number],C341&amp;"",tbl_Finance[Cost Centre],"VIDEO")&gt;0,"VIDEO ","")&amp;IF(COUNTIFS(tbl_Finance[Job Number],C341&amp;"",tbl_Finance[Cost Centre],"INTEGRATION")&gt;0,"INTEGRATION ","")&amp;IF(COUNTIFS(tbl_Finance[Job Number],C341&amp;"",tbl_Finance[Cost Centre],"CONSULTING")&gt;0,"CONSULTING ","")&amp;IF(COUNTIFS(tbl_Finance[Job Number],C341&amp;"",tbl_Finance[Cost Centre],"CTS")&gt;0,"CTS ",""))," ",", ")))</f>
        <v/>
      </c>
      <c r="L341" s="24" t="n"/>
      <c r="M341" s="25">
        <f>IF(L341="","",HYPERLINK(IF(LEFT(L341,4)="http",L341,set_QwilrBase&amp;L341),"Open quote"))</f>
        <v/>
      </c>
      <c r="N341" s="26" t="n"/>
      <c r="O341" s="26" t="n"/>
      <c r="P341" s="26" t="n"/>
      <c r="Q341" s="25">
        <f>IF(C341="","",IF(N(N341)+N(O341)+N(P341)=0,"Not split",IF(ROUND(N(N341)+N(O341)+N(P341),2)=ROUND(H341,2),"OK","MISMATCH")))</f>
        <v/>
      </c>
      <c r="R341" s="26" t="n"/>
      <c r="S341" s="26" t="n"/>
      <c r="T341" s="26" t="n"/>
      <c r="U341" s="27">
        <f>IF(C341="","",N(R341)+N(S341)+N(T341))</f>
        <v/>
      </c>
      <c r="V341" s="27">
        <f>IF(C341="","",H341-U341)</f>
        <v/>
      </c>
      <c r="W341" s="29">
        <f>IFERROR(V341/H341,"")</f>
        <v/>
      </c>
      <c r="X341" s="24" t="n"/>
    </row>
    <row r="342" ht="15" customHeight="1">
      <c r="A342" s="68">
        <f>IF(C342="","",IFERROR(IF(SUMPRODUCT(MAX((tbl_Finance[Job Number]=C342&amp;"")*(tbl_Finance[Xero Invoice No]&lt;&gt;"")*tbl_Finance[Date]))=0,"",SUMPRODUCT(MAX((tbl_Finance[Job Number]=C342&amp;"")*(tbl_Finance[Xero Invoice No]&lt;&gt;"")*tbl_Finance[Date]))),""))</f>
        <v/>
      </c>
      <c r="B342" s="25">
        <f>IF(C342="","",IF(COUNTIFS(tbl_Finance[Job Number],C342&amp;"",tbl_Finance[Xero Invoice No],"&lt;&gt;")=0,"",IFERROR(IF(COUNTIFS(tbl_Finance[Job Number],C342&amp;"",tbl_Finance[Xero Invoice No],LOOKUP(2,1/((tbl_Finance[Job Number]=C342&amp;"")*(tbl_Finance[Xero Invoice No]&lt;&gt;"")),tbl_Finance[Xero Invoice No]))=COUNTIFS(tbl_Finance[Job Number],C342&amp;"",tbl_Finance[Xero Invoice No],"&lt;&gt;"),LOOKUP(2,1/((tbl_Finance[Job Number]=C342&amp;"")*(tbl_Finance[Xero Invoice No]&lt;&gt;"")),tbl_Finance[Xero Invoice No]),LOOKUP(2,1/((tbl_Finance[Job Number]=C342&amp;"")*(tbl_Finance[Xero Invoice No]&lt;&gt;"")),tbl_Finance[Xero Invoice No])&amp;" +more"),"")))</f>
        <v/>
      </c>
      <c r="C342" s="24" t="n"/>
      <c r="D342" s="25">
        <f>IF(C342="","",IF(COUNTIF(lst_Jobs,C342&amp;"")&gt;0,"OK","CHECK"))</f>
        <v/>
      </c>
      <c r="E342" s="25">
        <f>IF(C342="","",IFERROR(INDEX(lst_JobName,MATCH(C342&amp;"",lst_Jobs,0)),""))</f>
        <v/>
      </c>
      <c r="F342" s="25">
        <f>IF(C342="","",IFERROR(INDEX(tbl_Finance[Client],MATCH(C342&amp;"",tbl_Finance[Job Number],0)),""))</f>
        <v/>
      </c>
      <c r="G342" s="28">
        <f>IF(C342="","",COUNTIFS(tbl_Finance[Job Number],C342&amp;"",tbl_Finance[Ex GST],"&lt;&gt;"))</f>
        <v/>
      </c>
      <c r="H342" s="27">
        <f>IF(C342="","",SUMIFS(tbl_Finance[Ex GST],tbl_Finance[Job Number],C342&amp;""))</f>
        <v/>
      </c>
      <c r="I342" s="27">
        <f>IF(C342="","",SUMIFS(tbl_Finance[Ex GST],tbl_Finance[Job Number],C342&amp;"",tbl_Finance[Xero Invoice No],"&lt;&gt;"))</f>
        <v/>
      </c>
      <c r="J342" s="27">
        <f>IF(C342="","",H342-I342)</f>
        <v/>
      </c>
      <c r="K342" s="25">
        <f>IF(C342="","",IF(G342=0,"not invoiced yet",SUBSTITUTE(TRIM(IF(COUNTIFS(tbl_Finance[Job Number],C342&amp;"",tbl_Finance[Cost Centre],"ONSITE")&gt;0,"ONSITE ","")&amp;IF(COUNTIFS(tbl_Finance[Job Number],C342&amp;"",tbl_Finance[Cost Centre],"PRODUCTION")&gt;0,"PRODUCTION ","")&amp;IF(COUNTIFS(tbl_Finance[Job Number],C342&amp;"",tbl_Finance[Cost Centre],"VIDEO")&gt;0,"VIDEO ","")&amp;IF(COUNTIFS(tbl_Finance[Job Number],C342&amp;"",tbl_Finance[Cost Centre],"INTEGRATION")&gt;0,"INTEGRATION ","")&amp;IF(COUNTIFS(tbl_Finance[Job Number],C342&amp;"",tbl_Finance[Cost Centre],"CONSULTING")&gt;0,"CONSULTING ","")&amp;IF(COUNTIFS(tbl_Finance[Job Number],C342&amp;"",tbl_Finance[Cost Centre],"CTS")&gt;0,"CTS ",""))," ",", ")))</f>
        <v/>
      </c>
      <c r="L342" s="24" t="n"/>
      <c r="M342" s="25">
        <f>IF(L342="","",HYPERLINK(IF(LEFT(L342,4)="http",L342,set_QwilrBase&amp;L342),"Open quote"))</f>
        <v/>
      </c>
      <c r="N342" s="26" t="n"/>
      <c r="O342" s="26" t="n"/>
      <c r="P342" s="26" t="n"/>
      <c r="Q342" s="25">
        <f>IF(C342="","",IF(N(N342)+N(O342)+N(P342)=0,"Not split",IF(ROUND(N(N342)+N(O342)+N(P342),2)=ROUND(H342,2),"OK","MISMATCH")))</f>
        <v/>
      </c>
      <c r="R342" s="26" t="n"/>
      <c r="S342" s="26" t="n"/>
      <c r="T342" s="26" t="n"/>
      <c r="U342" s="27">
        <f>IF(C342="","",N(R342)+N(S342)+N(T342))</f>
        <v/>
      </c>
      <c r="V342" s="27">
        <f>IF(C342="","",H342-U342)</f>
        <v/>
      </c>
      <c r="W342" s="29">
        <f>IFERROR(V342/H342,"")</f>
        <v/>
      </c>
      <c r="X342" s="24" t="n"/>
    </row>
    <row r="343" ht="15" customHeight="1">
      <c r="A343" s="68">
        <f>IF(C343="","",IFERROR(IF(SUMPRODUCT(MAX((tbl_Finance[Job Number]=C343&amp;"")*(tbl_Finance[Xero Invoice No]&lt;&gt;"")*tbl_Finance[Date]))=0,"",SUMPRODUCT(MAX((tbl_Finance[Job Number]=C343&amp;"")*(tbl_Finance[Xero Invoice No]&lt;&gt;"")*tbl_Finance[Date]))),""))</f>
        <v/>
      </c>
      <c r="B343" s="25">
        <f>IF(C343="","",IF(COUNTIFS(tbl_Finance[Job Number],C343&amp;"",tbl_Finance[Xero Invoice No],"&lt;&gt;")=0,"",IFERROR(IF(COUNTIFS(tbl_Finance[Job Number],C343&amp;"",tbl_Finance[Xero Invoice No],LOOKUP(2,1/((tbl_Finance[Job Number]=C343&amp;"")*(tbl_Finance[Xero Invoice No]&lt;&gt;"")),tbl_Finance[Xero Invoice No]))=COUNTIFS(tbl_Finance[Job Number],C343&amp;"",tbl_Finance[Xero Invoice No],"&lt;&gt;"),LOOKUP(2,1/((tbl_Finance[Job Number]=C343&amp;"")*(tbl_Finance[Xero Invoice No]&lt;&gt;"")),tbl_Finance[Xero Invoice No]),LOOKUP(2,1/((tbl_Finance[Job Number]=C343&amp;"")*(tbl_Finance[Xero Invoice No]&lt;&gt;"")),tbl_Finance[Xero Invoice No])&amp;" +more"),"")))</f>
        <v/>
      </c>
      <c r="C343" s="24" t="n"/>
      <c r="D343" s="25">
        <f>IF(C343="","",IF(COUNTIF(lst_Jobs,C343&amp;"")&gt;0,"OK","CHECK"))</f>
        <v/>
      </c>
      <c r="E343" s="25">
        <f>IF(C343="","",IFERROR(INDEX(lst_JobName,MATCH(C343&amp;"",lst_Jobs,0)),""))</f>
        <v/>
      </c>
      <c r="F343" s="25">
        <f>IF(C343="","",IFERROR(INDEX(tbl_Finance[Client],MATCH(C343&amp;"",tbl_Finance[Job Number],0)),""))</f>
        <v/>
      </c>
      <c r="G343" s="28">
        <f>IF(C343="","",COUNTIFS(tbl_Finance[Job Number],C343&amp;"",tbl_Finance[Ex GST],"&lt;&gt;"))</f>
        <v/>
      </c>
      <c r="H343" s="27">
        <f>IF(C343="","",SUMIFS(tbl_Finance[Ex GST],tbl_Finance[Job Number],C343&amp;""))</f>
        <v/>
      </c>
      <c r="I343" s="27">
        <f>IF(C343="","",SUMIFS(tbl_Finance[Ex GST],tbl_Finance[Job Number],C343&amp;"",tbl_Finance[Xero Invoice No],"&lt;&gt;"))</f>
        <v/>
      </c>
      <c r="J343" s="27">
        <f>IF(C343="","",H343-I343)</f>
        <v/>
      </c>
      <c r="K343" s="25">
        <f>IF(C343="","",IF(G343=0,"not invoiced yet",SUBSTITUTE(TRIM(IF(COUNTIFS(tbl_Finance[Job Number],C343&amp;"",tbl_Finance[Cost Centre],"ONSITE")&gt;0,"ONSITE ","")&amp;IF(COUNTIFS(tbl_Finance[Job Number],C343&amp;"",tbl_Finance[Cost Centre],"PRODUCTION")&gt;0,"PRODUCTION ","")&amp;IF(COUNTIFS(tbl_Finance[Job Number],C343&amp;"",tbl_Finance[Cost Centre],"VIDEO")&gt;0,"VIDEO ","")&amp;IF(COUNTIFS(tbl_Finance[Job Number],C343&amp;"",tbl_Finance[Cost Centre],"INTEGRATION")&gt;0,"INTEGRATION ","")&amp;IF(COUNTIFS(tbl_Finance[Job Number],C343&amp;"",tbl_Finance[Cost Centre],"CONSULTING")&gt;0,"CONSULTING ","")&amp;IF(COUNTIFS(tbl_Finance[Job Number],C343&amp;"",tbl_Finance[Cost Centre],"CTS")&gt;0,"CTS ",""))," ",", ")))</f>
        <v/>
      </c>
      <c r="L343" s="24" t="n"/>
      <c r="M343" s="25">
        <f>IF(L343="","",HYPERLINK(IF(LEFT(L343,4)="http",L343,set_QwilrBase&amp;L343),"Open quote"))</f>
        <v/>
      </c>
      <c r="N343" s="26" t="n"/>
      <c r="O343" s="26" t="n"/>
      <c r="P343" s="26" t="n"/>
      <c r="Q343" s="25">
        <f>IF(C343="","",IF(N(N343)+N(O343)+N(P343)=0,"Not split",IF(ROUND(N(N343)+N(O343)+N(P343),2)=ROUND(H343,2),"OK","MISMATCH")))</f>
        <v/>
      </c>
      <c r="R343" s="26" t="n"/>
      <c r="S343" s="26" t="n"/>
      <c r="T343" s="26" t="n"/>
      <c r="U343" s="27">
        <f>IF(C343="","",N(R343)+N(S343)+N(T343))</f>
        <v/>
      </c>
      <c r="V343" s="27">
        <f>IF(C343="","",H343-U343)</f>
        <v/>
      </c>
      <c r="W343" s="29">
        <f>IFERROR(V343/H343,"")</f>
        <v/>
      </c>
      <c r="X343" s="24" t="n"/>
    </row>
    <row r="344" ht="15" customHeight="1">
      <c r="A344" s="68">
        <f>IF(C344="","",IFERROR(IF(SUMPRODUCT(MAX((tbl_Finance[Job Number]=C344&amp;"")*(tbl_Finance[Xero Invoice No]&lt;&gt;"")*tbl_Finance[Date]))=0,"",SUMPRODUCT(MAX((tbl_Finance[Job Number]=C344&amp;"")*(tbl_Finance[Xero Invoice No]&lt;&gt;"")*tbl_Finance[Date]))),""))</f>
        <v/>
      </c>
      <c r="B344" s="25">
        <f>IF(C344="","",IF(COUNTIFS(tbl_Finance[Job Number],C344&amp;"",tbl_Finance[Xero Invoice No],"&lt;&gt;")=0,"",IFERROR(IF(COUNTIFS(tbl_Finance[Job Number],C344&amp;"",tbl_Finance[Xero Invoice No],LOOKUP(2,1/((tbl_Finance[Job Number]=C344&amp;"")*(tbl_Finance[Xero Invoice No]&lt;&gt;"")),tbl_Finance[Xero Invoice No]))=COUNTIFS(tbl_Finance[Job Number],C344&amp;"",tbl_Finance[Xero Invoice No],"&lt;&gt;"),LOOKUP(2,1/((tbl_Finance[Job Number]=C344&amp;"")*(tbl_Finance[Xero Invoice No]&lt;&gt;"")),tbl_Finance[Xero Invoice No]),LOOKUP(2,1/((tbl_Finance[Job Number]=C344&amp;"")*(tbl_Finance[Xero Invoice No]&lt;&gt;"")),tbl_Finance[Xero Invoice No])&amp;" +more"),"")))</f>
        <v/>
      </c>
      <c r="C344" s="24" t="n"/>
      <c r="D344" s="25">
        <f>IF(C344="","",IF(COUNTIF(lst_Jobs,C344&amp;"")&gt;0,"OK","CHECK"))</f>
        <v/>
      </c>
      <c r="E344" s="25">
        <f>IF(C344="","",IFERROR(INDEX(lst_JobName,MATCH(C344&amp;"",lst_Jobs,0)),""))</f>
        <v/>
      </c>
      <c r="F344" s="25">
        <f>IF(C344="","",IFERROR(INDEX(tbl_Finance[Client],MATCH(C344&amp;"",tbl_Finance[Job Number],0)),""))</f>
        <v/>
      </c>
      <c r="G344" s="28">
        <f>IF(C344="","",COUNTIFS(tbl_Finance[Job Number],C344&amp;"",tbl_Finance[Ex GST],"&lt;&gt;"))</f>
        <v/>
      </c>
      <c r="H344" s="27">
        <f>IF(C344="","",SUMIFS(tbl_Finance[Ex GST],tbl_Finance[Job Number],C344&amp;""))</f>
        <v/>
      </c>
      <c r="I344" s="27">
        <f>IF(C344="","",SUMIFS(tbl_Finance[Ex GST],tbl_Finance[Job Number],C344&amp;"",tbl_Finance[Xero Invoice No],"&lt;&gt;"))</f>
        <v/>
      </c>
      <c r="J344" s="27">
        <f>IF(C344="","",H344-I344)</f>
        <v/>
      </c>
      <c r="K344" s="25">
        <f>IF(C344="","",IF(G344=0,"not invoiced yet",SUBSTITUTE(TRIM(IF(COUNTIFS(tbl_Finance[Job Number],C344&amp;"",tbl_Finance[Cost Centre],"ONSITE")&gt;0,"ONSITE ","")&amp;IF(COUNTIFS(tbl_Finance[Job Number],C344&amp;"",tbl_Finance[Cost Centre],"PRODUCTION")&gt;0,"PRODUCTION ","")&amp;IF(COUNTIFS(tbl_Finance[Job Number],C344&amp;"",tbl_Finance[Cost Centre],"VIDEO")&gt;0,"VIDEO ","")&amp;IF(COUNTIFS(tbl_Finance[Job Number],C344&amp;"",tbl_Finance[Cost Centre],"INTEGRATION")&gt;0,"INTEGRATION ","")&amp;IF(COUNTIFS(tbl_Finance[Job Number],C344&amp;"",tbl_Finance[Cost Centre],"CONSULTING")&gt;0,"CONSULTING ","")&amp;IF(COUNTIFS(tbl_Finance[Job Number],C344&amp;"",tbl_Finance[Cost Centre],"CTS")&gt;0,"CTS ",""))," ",", ")))</f>
        <v/>
      </c>
      <c r="L344" s="24" t="n"/>
      <c r="M344" s="25">
        <f>IF(L344="","",HYPERLINK(IF(LEFT(L344,4)="http",L344,set_QwilrBase&amp;L344),"Open quote"))</f>
        <v/>
      </c>
      <c r="N344" s="26" t="n"/>
      <c r="O344" s="26" t="n"/>
      <c r="P344" s="26" t="n"/>
      <c r="Q344" s="25">
        <f>IF(C344="","",IF(N(N344)+N(O344)+N(P344)=0,"Not split",IF(ROUND(N(N344)+N(O344)+N(P344),2)=ROUND(H344,2),"OK","MISMATCH")))</f>
        <v/>
      </c>
      <c r="R344" s="26" t="n"/>
      <c r="S344" s="26" t="n"/>
      <c r="T344" s="26" t="n"/>
      <c r="U344" s="27">
        <f>IF(C344="","",N(R344)+N(S344)+N(T344))</f>
        <v/>
      </c>
      <c r="V344" s="27">
        <f>IF(C344="","",H344-U344)</f>
        <v/>
      </c>
      <c r="W344" s="29">
        <f>IFERROR(V344/H344,"")</f>
        <v/>
      </c>
      <c r="X344" s="24" t="n"/>
    </row>
    <row r="345" ht="15" customHeight="1">
      <c r="A345" s="68">
        <f>IF(C345="","",IFERROR(IF(SUMPRODUCT(MAX((tbl_Finance[Job Number]=C345&amp;"")*(tbl_Finance[Xero Invoice No]&lt;&gt;"")*tbl_Finance[Date]))=0,"",SUMPRODUCT(MAX((tbl_Finance[Job Number]=C345&amp;"")*(tbl_Finance[Xero Invoice No]&lt;&gt;"")*tbl_Finance[Date]))),""))</f>
        <v/>
      </c>
      <c r="B345" s="25">
        <f>IF(C345="","",IF(COUNTIFS(tbl_Finance[Job Number],C345&amp;"",tbl_Finance[Xero Invoice No],"&lt;&gt;")=0,"",IFERROR(IF(COUNTIFS(tbl_Finance[Job Number],C345&amp;"",tbl_Finance[Xero Invoice No],LOOKUP(2,1/((tbl_Finance[Job Number]=C345&amp;"")*(tbl_Finance[Xero Invoice No]&lt;&gt;"")),tbl_Finance[Xero Invoice No]))=COUNTIFS(tbl_Finance[Job Number],C345&amp;"",tbl_Finance[Xero Invoice No],"&lt;&gt;"),LOOKUP(2,1/((tbl_Finance[Job Number]=C345&amp;"")*(tbl_Finance[Xero Invoice No]&lt;&gt;"")),tbl_Finance[Xero Invoice No]),LOOKUP(2,1/((tbl_Finance[Job Number]=C345&amp;"")*(tbl_Finance[Xero Invoice No]&lt;&gt;"")),tbl_Finance[Xero Invoice No])&amp;" +more"),"")))</f>
        <v/>
      </c>
      <c r="C345" s="24" t="n"/>
      <c r="D345" s="25">
        <f>IF(C345="","",IF(COUNTIF(lst_Jobs,C345&amp;"")&gt;0,"OK","CHECK"))</f>
        <v/>
      </c>
      <c r="E345" s="25">
        <f>IF(C345="","",IFERROR(INDEX(lst_JobName,MATCH(C345&amp;"",lst_Jobs,0)),""))</f>
        <v/>
      </c>
      <c r="F345" s="25">
        <f>IF(C345="","",IFERROR(INDEX(tbl_Finance[Client],MATCH(C345&amp;"",tbl_Finance[Job Number],0)),""))</f>
        <v/>
      </c>
      <c r="G345" s="28">
        <f>IF(C345="","",COUNTIFS(tbl_Finance[Job Number],C345&amp;"",tbl_Finance[Ex GST],"&lt;&gt;"))</f>
        <v/>
      </c>
      <c r="H345" s="27">
        <f>IF(C345="","",SUMIFS(tbl_Finance[Ex GST],tbl_Finance[Job Number],C345&amp;""))</f>
        <v/>
      </c>
      <c r="I345" s="27">
        <f>IF(C345="","",SUMIFS(tbl_Finance[Ex GST],tbl_Finance[Job Number],C345&amp;"",tbl_Finance[Xero Invoice No],"&lt;&gt;"))</f>
        <v/>
      </c>
      <c r="J345" s="27">
        <f>IF(C345="","",H345-I345)</f>
        <v/>
      </c>
      <c r="K345" s="25">
        <f>IF(C345="","",IF(G345=0,"not invoiced yet",SUBSTITUTE(TRIM(IF(COUNTIFS(tbl_Finance[Job Number],C345&amp;"",tbl_Finance[Cost Centre],"ONSITE")&gt;0,"ONSITE ","")&amp;IF(COUNTIFS(tbl_Finance[Job Number],C345&amp;"",tbl_Finance[Cost Centre],"PRODUCTION")&gt;0,"PRODUCTION ","")&amp;IF(COUNTIFS(tbl_Finance[Job Number],C345&amp;"",tbl_Finance[Cost Centre],"VIDEO")&gt;0,"VIDEO ","")&amp;IF(COUNTIFS(tbl_Finance[Job Number],C345&amp;"",tbl_Finance[Cost Centre],"INTEGRATION")&gt;0,"INTEGRATION ","")&amp;IF(COUNTIFS(tbl_Finance[Job Number],C345&amp;"",tbl_Finance[Cost Centre],"CONSULTING")&gt;0,"CONSULTING ","")&amp;IF(COUNTIFS(tbl_Finance[Job Number],C345&amp;"",tbl_Finance[Cost Centre],"CTS")&gt;0,"CTS ",""))," ",", ")))</f>
        <v/>
      </c>
      <c r="L345" s="24" t="n"/>
      <c r="M345" s="25">
        <f>IF(L345="","",HYPERLINK(IF(LEFT(L345,4)="http",L345,set_QwilrBase&amp;L345),"Open quote"))</f>
        <v/>
      </c>
      <c r="N345" s="26" t="n"/>
      <c r="O345" s="26" t="n"/>
      <c r="P345" s="26" t="n"/>
      <c r="Q345" s="25">
        <f>IF(C345="","",IF(N(N345)+N(O345)+N(P345)=0,"Not split",IF(ROUND(N(N345)+N(O345)+N(P345),2)=ROUND(H345,2),"OK","MISMATCH")))</f>
        <v/>
      </c>
      <c r="R345" s="26" t="n"/>
      <c r="S345" s="26" t="n"/>
      <c r="T345" s="26" t="n"/>
      <c r="U345" s="27">
        <f>IF(C345="","",N(R345)+N(S345)+N(T345))</f>
        <v/>
      </c>
      <c r="V345" s="27">
        <f>IF(C345="","",H345-U345)</f>
        <v/>
      </c>
      <c r="W345" s="29">
        <f>IFERROR(V345/H345,"")</f>
        <v/>
      </c>
      <c r="X345" s="24" t="n"/>
    </row>
    <row r="346" ht="15" customHeight="1">
      <c r="A346" s="68">
        <f>IF(C346="","",IFERROR(IF(SUMPRODUCT(MAX((tbl_Finance[Job Number]=C346&amp;"")*(tbl_Finance[Xero Invoice No]&lt;&gt;"")*tbl_Finance[Date]))=0,"",SUMPRODUCT(MAX((tbl_Finance[Job Number]=C346&amp;"")*(tbl_Finance[Xero Invoice No]&lt;&gt;"")*tbl_Finance[Date]))),""))</f>
        <v/>
      </c>
      <c r="B346" s="25">
        <f>IF(C346="","",IF(COUNTIFS(tbl_Finance[Job Number],C346&amp;"",tbl_Finance[Xero Invoice No],"&lt;&gt;")=0,"",IFERROR(IF(COUNTIFS(tbl_Finance[Job Number],C346&amp;"",tbl_Finance[Xero Invoice No],LOOKUP(2,1/((tbl_Finance[Job Number]=C346&amp;"")*(tbl_Finance[Xero Invoice No]&lt;&gt;"")),tbl_Finance[Xero Invoice No]))=COUNTIFS(tbl_Finance[Job Number],C346&amp;"",tbl_Finance[Xero Invoice No],"&lt;&gt;"),LOOKUP(2,1/((tbl_Finance[Job Number]=C346&amp;"")*(tbl_Finance[Xero Invoice No]&lt;&gt;"")),tbl_Finance[Xero Invoice No]),LOOKUP(2,1/((tbl_Finance[Job Number]=C346&amp;"")*(tbl_Finance[Xero Invoice No]&lt;&gt;"")),tbl_Finance[Xero Invoice No])&amp;" +more"),"")))</f>
        <v/>
      </c>
      <c r="C346" s="24" t="n"/>
      <c r="D346" s="25">
        <f>IF(C346="","",IF(COUNTIF(lst_Jobs,C346&amp;"")&gt;0,"OK","CHECK"))</f>
        <v/>
      </c>
      <c r="E346" s="25">
        <f>IF(C346="","",IFERROR(INDEX(lst_JobName,MATCH(C346&amp;"",lst_Jobs,0)),""))</f>
        <v/>
      </c>
      <c r="F346" s="25">
        <f>IF(C346="","",IFERROR(INDEX(tbl_Finance[Client],MATCH(C346&amp;"",tbl_Finance[Job Number],0)),""))</f>
        <v/>
      </c>
      <c r="G346" s="28">
        <f>IF(C346="","",COUNTIFS(tbl_Finance[Job Number],C346&amp;"",tbl_Finance[Ex GST],"&lt;&gt;"))</f>
        <v/>
      </c>
      <c r="H346" s="27">
        <f>IF(C346="","",SUMIFS(tbl_Finance[Ex GST],tbl_Finance[Job Number],C346&amp;""))</f>
        <v/>
      </c>
      <c r="I346" s="27">
        <f>IF(C346="","",SUMIFS(tbl_Finance[Ex GST],tbl_Finance[Job Number],C346&amp;"",tbl_Finance[Xero Invoice No],"&lt;&gt;"))</f>
        <v/>
      </c>
      <c r="J346" s="27">
        <f>IF(C346="","",H346-I346)</f>
        <v/>
      </c>
      <c r="K346" s="25">
        <f>IF(C346="","",IF(G346=0,"not invoiced yet",SUBSTITUTE(TRIM(IF(COUNTIFS(tbl_Finance[Job Number],C346&amp;"",tbl_Finance[Cost Centre],"ONSITE")&gt;0,"ONSITE ","")&amp;IF(COUNTIFS(tbl_Finance[Job Number],C346&amp;"",tbl_Finance[Cost Centre],"PRODUCTION")&gt;0,"PRODUCTION ","")&amp;IF(COUNTIFS(tbl_Finance[Job Number],C346&amp;"",tbl_Finance[Cost Centre],"VIDEO")&gt;0,"VIDEO ","")&amp;IF(COUNTIFS(tbl_Finance[Job Number],C346&amp;"",tbl_Finance[Cost Centre],"INTEGRATION")&gt;0,"INTEGRATION ","")&amp;IF(COUNTIFS(tbl_Finance[Job Number],C346&amp;"",tbl_Finance[Cost Centre],"CONSULTING")&gt;0,"CONSULTING ","")&amp;IF(COUNTIFS(tbl_Finance[Job Number],C346&amp;"",tbl_Finance[Cost Centre],"CTS")&gt;0,"CTS ",""))," ",", ")))</f>
        <v/>
      </c>
      <c r="L346" s="24" t="n"/>
      <c r="M346" s="25">
        <f>IF(L346="","",HYPERLINK(IF(LEFT(L346,4)="http",L346,set_QwilrBase&amp;L346),"Open quote"))</f>
        <v/>
      </c>
      <c r="N346" s="26" t="n"/>
      <c r="O346" s="26" t="n"/>
      <c r="P346" s="26" t="n"/>
      <c r="Q346" s="25">
        <f>IF(C346="","",IF(N(N346)+N(O346)+N(P346)=0,"Not split",IF(ROUND(N(N346)+N(O346)+N(P346),2)=ROUND(H346,2),"OK","MISMATCH")))</f>
        <v/>
      </c>
      <c r="R346" s="26" t="n"/>
      <c r="S346" s="26" t="n"/>
      <c r="T346" s="26" t="n"/>
      <c r="U346" s="27">
        <f>IF(C346="","",N(R346)+N(S346)+N(T346))</f>
        <v/>
      </c>
      <c r="V346" s="27">
        <f>IF(C346="","",H346-U346)</f>
        <v/>
      </c>
      <c r="W346" s="29">
        <f>IFERROR(V346/H346,"")</f>
        <v/>
      </c>
      <c r="X346" s="24" t="n"/>
    </row>
    <row r="347" ht="15" customHeight="1">
      <c r="A347" s="68">
        <f>IF(C347="","",IFERROR(IF(SUMPRODUCT(MAX((tbl_Finance[Job Number]=C347&amp;"")*(tbl_Finance[Xero Invoice No]&lt;&gt;"")*tbl_Finance[Date]))=0,"",SUMPRODUCT(MAX((tbl_Finance[Job Number]=C347&amp;"")*(tbl_Finance[Xero Invoice No]&lt;&gt;"")*tbl_Finance[Date]))),""))</f>
        <v/>
      </c>
      <c r="B347" s="25">
        <f>IF(C347="","",IF(COUNTIFS(tbl_Finance[Job Number],C347&amp;"",tbl_Finance[Xero Invoice No],"&lt;&gt;")=0,"",IFERROR(IF(COUNTIFS(tbl_Finance[Job Number],C347&amp;"",tbl_Finance[Xero Invoice No],LOOKUP(2,1/((tbl_Finance[Job Number]=C347&amp;"")*(tbl_Finance[Xero Invoice No]&lt;&gt;"")),tbl_Finance[Xero Invoice No]))=COUNTIFS(tbl_Finance[Job Number],C347&amp;"",tbl_Finance[Xero Invoice No],"&lt;&gt;"),LOOKUP(2,1/((tbl_Finance[Job Number]=C347&amp;"")*(tbl_Finance[Xero Invoice No]&lt;&gt;"")),tbl_Finance[Xero Invoice No]),LOOKUP(2,1/((tbl_Finance[Job Number]=C347&amp;"")*(tbl_Finance[Xero Invoice No]&lt;&gt;"")),tbl_Finance[Xero Invoice No])&amp;" +more"),"")))</f>
        <v/>
      </c>
      <c r="C347" s="24" t="n"/>
      <c r="D347" s="25">
        <f>IF(C347="","",IF(COUNTIF(lst_Jobs,C347&amp;"")&gt;0,"OK","CHECK"))</f>
        <v/>
      </c>
      <c r="E347" s="25">
        <f>IF(C347="","",IFERROR(INDEX(lst_JobName,MATCH(C347&amp;"",lst_Jobs,0)),""))</f>
        <v/>
      </c>
      <c r="F347" s="25">
        <f>IF(C347="","",IFERROR(INDEX(tbl_Finance[Client],MATCH(C347&amp;"",tbl_Finance[Job Number],0)),""))</f>
        <v/>
      </c>
      <c r="G347" s="28">
        <f>IF(C347="","",COUNTIFS(tbl_Finance[Job Number],C347&amp;"",tbl_Finance[Ex GST],"&lt;&gt;"))</f>
        <v/>
      </c>
      <c r="H347" s="27">
        <f>IF(C347="","",SUMIFS(tbl_Finance[Ex GST],tbl_Finance[Job Number],C347&amp;""))</f>
        <v/>
      </c>
      <c r="I347" s="27">
        <f>IF(C347="","",SUMIFS(tbl_Finance[Ex GST],tbl_Finance[Job Number],C347&amp;"",tbl_Finance[Xero Invoice No],"&lt;&gt;"))</f>
        <v/>
      </c>
      <c r="J347" s="27">
        <f>IF(C347="","",H347-I347)</f>
        <v/>
      </c>
      <c r="K347" s="25">
        <f>IF(C347="","",IF(G347=0,"not invoiced yet",SUBSTITUTE(TRIM(IF(COUNTIFS(tbl_Finance[Job Number],C347&amp;"",tbl_Finance[Cost Centre],"ONSITE")&gt;0,"ONSITE ","")&amp;IF(COUNTIFS(tbl_Finance[Job Number],C347&amp;"",tbl_Finance[Cost Centre],"PRODUCTION")&gt;0,"PRODUCTION ","")&amp;IF(COUNTIFS(tbl_Finance[Job Number],C347&amp;"",tbl_Finance[Cost Centre],"VIDEO")&gt;0,"VIDEO ","")&amp;IF(COUNTIFS(tbl_Finance[Job Number],C347&amp;"",tbl_Finance[Cost Centre],"INTEGRATION")&gt;0,"INTEGRATION ","")&amp;IF(COUNTIFS(tbl_Finance[Job Number],C347&amp;"",tbl_Finance[Cost Centre],"CONSULTING")&gt;0,"CONSULTING ","")&amp;IF(COUNTIFS(tbl_Finance[Job Number],C347&amp;"",tbl_Finance[Cost Centre],"CTS")&gt;0,"CTS ",""))," ",", ")))</f>
        <v/>
      </c>
      <c r="L347" s="24" t="n"/>
      <c r="M347" s="25">
        <f>IF(L347="","",HYPERLINK(IF(LEFT(L347,4)="http",L347,set_QwilrBase&amp;L347),"Open quote"))</f>
        <v/>
      </c>
      <c r="N347" s="26" t="n"/>
      <c r="O347" s="26" t="n"/>
      <c r="P347" s="26" t="n"/>
      <c r="Q347" s="25">
        <f>IF(C347="","",IF(N(N347)+N(O347)+N(P347)=0,"Not split",IF(ROUND(N(N347)+N(O347)+N(P347),2)=ROUND(H347,2),"OK","MISMATCH")))</f>
        <v/>
      </c>
      <c r="R347" s="26" t="n"/>
      <c r="S347" s="26" t="n"/>
      <c r="T347" s="26" t="n"/>
      <c r="U347" s="27">
        <f>IF(C347="","",N(R347)+N(S347)+N(T347))</f>
        <v/>
      </c>
      <c r="V347" s="27">
        <f>IF(C347="","",H347-U347)</f>
        <v/>
      </c>
      <c r="W347" s="29">
        <f>IFERROR(V347/H347,"")</f>
        <v/>
      </c>
      <c r="X347" s="24" t="n"/>
    </row>
    <row r="348" ht="15" customHeight="1">
      <c r="A348" s="68">
        <f>IF(C348="","",IFERROR(IF(SUMPRODUCT(MAX((tbl_Finance[Job Number]=C348&amp;"")*(tbl_Finance[Xero Invoice No]&lt;&gt;"")*tbl_Finance[Date]))=0,"",SUMPRODUCT(MAX((tbl_Finance[Job Number]=C348&amp;"")*(tbl_Finance[Xero Invoice No]&lt;&gt;"")*tbl_Finance[Date]))),""))</f>
        <v/>
      </c>
      <c r="B348" s="25">
        <f>IF(C348="","",IF(COUNTIFS(tbl_Finance[Job Number],C348&amp;"",tbl_Finance[Xero Invoice No],"&lt;&gt;")=0,"",IFERROR(IF(COUNTIFS(tbl_Finance[Job Number],C348&amp;"",tbl_Finance[Xero Invoice No],LOOKUP(2,1/((tbl_Finance[Job Number]=C348&amp;"")*(tbl_Finance[Xero Invoice No]&lt;&gt;"")),tbl_Finance[Xero Invoice No]))=COUNTIFS(tbl_Finance[Job Number],C348&amp;"",tbl_Finance[Xero Invoice No],"&lt;&gt;"),LOOKUP(2,1/((tbl_Finance[Job Number]=C348&amp;"")*(tbl_Finance[Xero Invoice No]&lt;&gt;"")),tbl_Finance[Xero Invoice No]),LOOKUP(2,1/((tbl_Finance[Job Number]=C348&amp;"")*(tbl_Finance[Xero Invoice No]&lt;&gt;"")),tbl_Finance[Xero Invoice No])&amp;" +more"),"")))</f>
        <v/>
      </c>
      <c r="C348" s="24" t="n"/>
      <c r="D348" s="25">
        <f>IF(C348="","",IF(COUNTIF(lst_Jobs,C348&amp;"")&gt;0,"OK","CHECK"))</f>
        <v/>
      </c>
      <c r="E348" s="25">
        <f>IF(C348="","",IFERROR(INDEX(lst_JobName,MATCH(C348&amp;"",lst_Jobs,0)),""))</f>
        <v/>
      </c>
      <c r="F348" s="25">
        <f>IF(C348="","",IFERROR(INDEX(tbl_Finance[Client],MATCH(C348&amp;"",tbl_Finance[Job Number],0)),""))</f>
        <v/>
      </c>
      <c r="G348" s="28">
        <f>IF(C348="","",COUNTIFS(tbl_Finance[Job Number],C348&amp;"",tbl_Finance[Ex GST],"&lt;&gt;"))</f>
        <v/>
      </c>
      <c r="H348" s="27">
        <f>IF(C348="","",SUMIFS(tbl_Finance[Ex GST],tbl_Finance[Job Number],C348&amp;""))</f>
        <v/>
      </c>
      <c r="I348" s="27">
        <f>IF(C348="","",SUMIFS(tbl_Finance[Ex GST],tbl_Finance[Job Number],C348&amp;"",tbl_Finance[Xero Invoice No],"&lt;&gt;"))</f>
        <v/>
      </c>
      <c r="J348" s="27">
        <f>IF(C348="","",H348-I348)</f>
        <v/>
      </c>
      <c r="K348" s="25">
        <f>IF(C348="","",IF(G348=0,"not invoiced yet",SUBSTITUTE(TRIM(IF(COUNTIFS(tbl_Finance[Job Number],C348&amp;"",tbl_Finance[Cost Centre],"ONSITE")&gt;0,"ONSITE ","")&amp;IF(COUNTIFS(tbl_Finance[Job Number],C348&amp;"",tbl_Finance[Cost Centre],"PRODUCTION")&gt;0,"PRODUCTION ","")&amp;IF(COUNTIFS(tbl_Finance[Job Number],C348&amp;"",tbl_Finance[Cost Centre],"VIDEO")&gt;0,"VIDEO ","")&amp;IF(COUNTIFS(tbl_Finance[Job Number],C348&amp;"",tbl_Finance[Cost Centre],"INTEGRATION")&gt;0,"INTEGRATION ","")&amp;IF(COUNTIFS(tbl_Finance[Job Number],C348&amp;"",tbl_Finance[Cost Centre],"CONSULTING")&gt;0,"CONSULTING ","")&amp;IF(COUNTIFS(tbl_Finance[Job Number],C348&amp;"",tbl_Finance[Cost Centre],"CTS")&gt;0,"CTS ",""))," ",", ")))</f>
        <v/>
      </c>
      <c r="L348" s="24" t="n"/>
      <c r="M348" s="25">
        <f>IF(L348="","",HYPERLINK(IF(LEFT(L348,4)="http",L348,set_QwilrBase&amp;L348),"Open quote"))</f>
        <v/>
      </c>
      <c r="N348" s="26" t="n"/>
      <c r="O348" s="26" t="n"/>
      <c r="P348" s="26" t="n"/>
      <c r="Q348" s="25">
        <f>IF(C348="","",IF(N(N348)+N(O348)+N(P348)=0,"Not split",IF(ROUND(N(N348)+N(O348)+N(P348),2)=ROUND(H348,2),"OK","MISMATCH")))</f>
        <v/>
      </c>
      <c r="R348" s="26" t="n"/>
      <c r="S348" s="26" t="n"/>
      <c r="T348" s="26" t="n"/>
      <c r="U348" s="27">
        <f>IF(C348="","",N(R348)+N(S348)+N(T348))</f>
        <v/>
      </c>
      <c r="V348" s="27">
        <f>IF(C348="","",H348-U348)</f>
        <v/>
      </c>
      <c r="W348" s="29">
        <f>IFERROR(V348/H348,"")</f>
        <v/>
      </c>
      <c r="X348" s="24" t="n"/>
    </row>
    <row r="349" ht="15" customHeight="1">
      <c r="A349" s="68">
        <f>IF(C349="","",IFERROR(IF(SUMPRODUCT(MAX((tbl_Finance[Job Number]=C349&amp;"")*(tbl_Finance[Xero Invoice No]&lt;&gt;"")*tbl_Finance[Date]))=0,"",SUMPRODUCT(MAX((tbl_Finance[Job Number]=C349&amp;"")*(tbl_Finance[Xero Invoice No]&lt;&gt;"")*tbl_Finance[Date]))),""))</f>
        <v/>
      </c>
      <c r="B349" s="25">
        <f>IF(C349="","",IF(COUNTIFS(tbl_Finance[Job Number],C349&amp;"",tbl_Finance[Xero Invoice No],"&lt;&gt;")=0,"",IFERROR(IF(COUNTIFS(tbl_Finance[Job Number],C349&amp;"",tbl_Finance[Xero Invoice No],LOOKUP(2,1/((tbl_Finance[Job Number]=C349&amp;"")*(tbl_Finance[Xero Invoice No]&lt;&gt;"")),tbl_Finance[Xero Invoice No]))=COUNTIFS(tbl_Finance[Job Number],C349&amp;"",tbl_Finance[Xero Invoice No],"&lt;&gt;"),LOOKUP(2,1/((tbl_Finance[Job Number]=C349&amp;"")*(tbl_Finance[Xero Invoice No]&lt;&gt;"")),tbl_Finance[Xero Invoice No]),LOOKUP(2,1/((tbl_Finance[Job Number]=C349&amp;"")*(tbl_Finance[Xero Invoice No]&lt;&gt;"")),tbl_Finance[Xero Invoice No])&amp;" +more"),"")))</f>
        <v/>
      </c>
      <c r="C349" s="24" t="n"/>
      <c r="D349" s="25">
        <f>IF(C349="","",IF(COUNTIF(lst_Jobs,C349&amp;"")&gt;0,"OK","CHECK"))</f>
        <v/>
      </c>
      <c r="E349" s="25">
        <f>IF(C349="","",IFERROR(INDEX(lst_JobName,MATCH(C349&amp;"",lst_Jobs,0)),""))</f>
        <v/>
      </c>
      <c r="F349" s="25">
        <f>IF(C349="","",IFERROR(INDEX(tbl_Finance[Client],MATCH(C349&amp;"",tbl_Finance[Job Number],0)),""))</f>
        <v/>
      </c>
      <c r="G349" s="28">
        <f>IF(C349="","",COUNTIFS(tbl_Finance[Job Number],C349&amp;"",tbl_Finance[Ex GST],"&lt;&gt;"))</f>
        <v/>
      </c>
      <c r="H349" s="27">
        <f>IF(C349="","",SUMIFS(tbl_Finance[Ex GST],tbl_Finance[Job Number],C349&amp;""))</f>
        <v/>
      </c>
      <c r="I349" s="27">
        <f>IF(C349="","",SUMIFS(tbl_Finance[Ex GST],tbl_Finance[Job Number],C349&amp;"",tbl_Finance[Xero Invoice No],"&lt;&gt;"))</f>
        <v/>
      </c>
      <c r="J349" s="27">
        <f>IF(C349="","",H349-I349)</f>
        <v/>
      </c>
      <c r="K349" s="25">
        <f>IF(C349="","",IF(G349=0,"not invoiced yet",SUBSTITUTE(TRIM(IF(COUNTIFS(tbl_Finance[Job Number],C349&amp;"",tbl_Finance[Cost Centre],"ONSITE")&gt;0,"ONSITE ","")&amp;IF(COUNTIFS(tbl_Finance[Job Number],C349&amp;"",tbl_Finance[Cost Centre],"PRODUCTION")&gt;0,"PRODUCTION ","")&amp;IF(COUNTIFS(tbl_Finance[Job Number],C349&amp;"",tbl_Finance[Cost Centre],"VIDEO")&gt;0,"VIDEO ","")&amp;IF(COUNTIFS(tbl_Finance[Job Number],C349&amp;"",tbl_Finance[Cost Centre],"INTEGRATION")&gt;0,"INTEGRATION ","")&amp;IF(COUNTIFS(tbl_Finance[Job Number],C349&amp;"",tbl_Finance[Cost Centre],"CONSULTING")&gt;0,"CONSULTING ","")&amp;IF(COUNTIFS(tbl_Finance[Job Number],C349&amp;"",tbl_Finance[Cost Centre],"CTS")&gt;0,"CTS ",""))," ",", ")))</f>
        <v/>
      </c>
      <c r="L349" s="24" t="n"/>
      <c r="M349" s="25">
        <f>IF(L349="","",HYPERLINK(IF(LEFT(L349,4)="http",L349,set_QwilrBase&amp;L349),"Open quote"))</f>
        <v/>
      </c>
      <c r="N349" s="26" t="n"/>
      <c r="O349" s="26" t="n"/>
      <c r="P349" s="26" t="n"/>
      <c r="Q349" s="25">
        <f>IF(C349="","",IF(N(N349)+N(O349)+N(P349)=0,"Not split",IF(ROUND(N(N349)+N(O349)+N(P349),2)=ROUND(H349,2),"OK","MISMATCH")))</f>
        <v/>
      </c>
      <c r="R349" s="26" t="n"/>
      <c r="S349" s="26" t="n"/>
      <c r="T349" s="26" t="n"/>
      <c r="U349" s="27">
        <f>IF(C349="","",N(R349)+N(S349)+N(T349))</f>
        <v/>
      </c>
      <c r="V349" s="27">
        <f>IF(C349="","",H349-U349)</f>
        <v/>
      </c>
      <c r="W349" s="29">
        <f>IFERROR(V349/H349,"")</f>
        <v/>
      </c>
      <c r="X349" s="24" t="n"/>
    </row>
    <row r="350" ht="15" customHeight="1">
      <c r="A350" s="68">
        <f>IF(C350="","",IFERROR(IF(SUMPRODUCT(MAX((tbl_Finance[Job Number]=C350&amp;"")*(tbl_Finance[Xero Invoice No]&lt;&gt;"")*tbl_Finance[Date]))=0,"",SUMPRODUCT(MAX((tbl_Finance[Job Number]=C350&amp;"")*(tbl_Finance[Xero Invoice No]&lt;&gt;"")*tbl_Finance[Date]))),""))</f>
        <v/>
      </c>
      <c r="B350" s="25">
        <f>IF(C350="","",IF(COUNTIFS(tbl_Finance[Job Number],C350&amp;"",tbl_Finance[Xero Invoice No],"&lt;&gt;")=0,"",IFERROR(IF(COUNTIFS(tbl_Finance[Job Number],C350&amp;"",tbl_Finance[Xero Invoice No],LOOKUP(2,1/((tbl_Finance[Job Number]=C350&amp;"")*(tbl_Finance[Xero Invoice No]&lt;&gt;"")),tbl_Finance[Xero Invoice No]))=COUNTIFS(tbl_Finance[Job Number],C350&amp;"",tbl_Finance[Xero Invoice No],"&lt;&gt;"),LOOKUP(2,1/((tbl_Finance[Job Number]=C350&amp;"")*(tbl_Finance[Xero Invoice No]&lt;&gt;"")),tbl_Finance[Xero Invoice No]),LOOKUP(2,1/((tbl_Finance[Job Number]=C350&amp;"")*(tbl_Finance[Xero Invoice No]&lt;&gt;"")),tbl_Finance[Xero Invoice No])&amp;" +more"),"")))</f>
        <v/>
      </c>
      <c r="C350" s="24" t="n"/>
      <c r="D350" s="25">
        <f>IF(C350="","",IF(COUNTIF(lst_Jobs,C350&amp;"")&gt;0,"OK","CHECK"))</f>
        <v/>
      </c>
      <c r="E350" s="25">
        <f>IF(C350="","",IFERROR(INDEX(lst_JobName,MATCH(C350&amp;"",lst_Jobs,0)),""))</f>
        <v/>
      </c>
      <c r="F350" s="25">
        <f>IF(C350="","",IFERROR(INDEX(tbl_Finance[Client],MATCH(C350&amp;"",tbl_Finance[Job Number],0)),""))</f>
        <v/>
      </c>
      <c r="G350" s="28">
        <f>IF(C350="","",COUNTIFS(tbl_Finance[Job Number],C350&amp;"",tbl_Finance[Ex GST],"&lt;&gt;"))</f>
        <v/>
      </c>
      <c r="H350" s="27">
        <f>IF(C350="","",SUMIFS(tbl_Finance[Ex GST],tbl_Finance[Job Number],C350&amp;""))</f>
        <v/>
      </c>
      <c r="I350" s="27">
        <f>IF(C350="","",SUMIFS(tbl_Finance[Ex GST],tbl_Finance[Job Number],C350&amp;"",tbl_Finance[Xero Invoice No],"&lt;&gt;"))</f>
        <v/>
      </c>
      <c r="J350" s="27">
        <f>IF(C350="","",H350-I350)</f>
        <v/>
      </c>
      <c r="K350" s="25">
        <f>IF(C350="","",IF(G350=0,"not invoiced yet",SUBSTITUTE(TRIM(IF(COUNTIFS(tbl_Finance[Job Number],C350&amp;"",tbl_Finance[Cost Centre],"ONSITE")&gt;0,"ONSITE ","")&amp;IF(COUNTIFS(tbl_Finance[Job Number],C350&amp;"",tbl_Finance[Cost Centre],"PRODUCTION")&gt;0,"PRODUCTION ","")&amp;IF(COUNTIFS(tbl_Finance[Job Number],C350&amp;"",tbl_Finance[Cost Centre],"VIDEO")&gt;0,"VIDEO ","")&amp;IF(COUNTIFS(tbl_Finance[Job Number],C350&amp;"",tbl_Finance[Cost Centre],"INTEGRATION")&gt;0,"INTEGRATION ","")&amp;IF(COUNTIFS(tbl_Finance[Job Number],C350&amp;"",tbl_Finance[Cost Centre],"CONSULTING")&gt;0,"CONSULTING ","")&amp;IF(COUNTIFS(tbl_Finance[Job Number],C350&amp;"",tbl_Finance[Cost Centre],"CTS")&gt;0,"CTS ",""))," ",", ")))</f>
        <v/>
      </c>
      <c r="L350" s="24" t="n"/>
      <c r="M350" s="25">
        <f>IF(L350="","",HYPERLINK(IF(LEFT(L350,4)="http",L350,set_QwilrBase&amp;L350),"Open quote"))</f>
        <v/>
      </c>
      <c r="N350" s="26" t="n"/>
      <c r="O350" s="26" t="n"/>
      <c r="P350" s="26" t="n"/>
      <c r="Q350" s="25">
        <f>IF(C350="","",IF(N(N350)+N(O350)+N(P350)=0,"Not split",IF(ROUND(N(N350)+N(O350)+N(P350),2)=ROUND(H350,2),"OK","MISMATCH")))</f>
        <v/>
      </c>
      <c r="R350" s="26" t="n"/>
      <c r="S350" s="26" t="n"/>
      <c r="T350" s="26" t="n"/>
      <c r="U350" s="27">
        <f>IF(C350="","",N(R350)+N(S350)+N(T350))</f>
        <v/>
      </c>
      <c r="V350" s="27">
        <f>IF(C350="","",H350-U350)</f>
        <v/>
      </c>
      <c r="W350" s="29">
        <f>IFERROR(V350/H350,"")</f>
        <v/>
      </c>
      <c r="X350" s="24" t="n"/>
    </row>
    <row r="351" ht="15" customHeight="1">
      <c r="A351" s="68">
        <f>IF(C351="","",IFERROR(IF(SUMPRODUCT(MAX((tbl_Finance[Job Number]=C351&amp;"")*(tbl_Finance[Xero Invoice No]&lt;&gt;"")*tbl_Finance[Date]))=0,"",SUMPRODUCT(MAX((tbl_Finance[Job Number]=C351&amp;"")*(tbl_Finance[Xero Invoice No]&lt;&gt;"")*tbl_Finance[Date]))),""))</f>
        <v/>
      </c>
      <c r="B351" s="25">
        <f>IF(C351="","",IF(COUNTIFS(tbl_Finance[Job Number],C351&amp;"",tbl_Finance[Xero Invoice No],"&lt;&gt;")=0,"",IFERROR(IF(COUNTIFS(tbl_Finance[Job Number],C351&amp;"",tbl_Finance[Xero Invoice No],LOOKUP(2,1/((tbl_Finance[Job Number]=C351&amp;"")*(tbl_Finance[Xero Invoice No]&lt;&gt;"")),tbl_Finance[Xero Invoice No]))=COUNTIFS(tbl_Finance[Job Number],C351&amp;"",tbl_Finance[Xero Invoice No],"&lt;&gt;"),LOOKUP(2,1/((tbl_Finance[Job Number]=C351&amp;"")*(tbl_Finance[Xero Invoice No]&lt;&gt;"")),tbl_Finance[Xero Invoice No]),LOOKUP(2,1/((tbl_Finance[Job Number]=C351&amp;"")*(tbl_Finance[Xero Invoice No]&lt;&gt;"")),tbl_Finance[Xero Invoice No])&amp;" +more"),"")))</f>
        <v/>
      </c>
      <c r="C351" s="24" t="n"/>
      <c r="D351" s="25">
        <f>IF(C351="","",IF(COUNTIF(lst_Jobs,C351&amp;"")&gt;0,"OK","CHECK"))</f>
        <v/>
      </c>
      <c r="E351" s="25">
        <f>IF(C351="","",IFERROR(INDEX(lst_JobName,MATCH(C351&amp;"",lst_Jobs,0)),""))</f>
        <v/>
      </c>
      <c r="F351" s="25">
        <f>IF(C351="","",IFERROR(INDEX(tbl_Finance[Client],MATCH(C351&amp;"",tbl_Finance[Job Number],0)),""))</f>
        <v/>
      </c>
      <c r="G351" s="28">
        <f>IF(C351="","",COUNTIFS(tbl_Finance[Job Number],C351&amp;"",tbl_Finance[Ex GST],"&lt;&gt;"))</f>
        <v/>
      </c>
      <c r="H351" s="27">
        <f>IF(C351="","",SUMIFS(tbl_Finance[Ex GST],tbl_Finance[Job Number],C351&amp;""))</f>
        <v/>
      </c>
      <c r="I351" s="27">
        <f>IF(C351="","",SUMIFS(tbl_Finance[Ex GST],tbl_Finance[Job Number],C351&amp;"",tbl_Finance[Xero Invoice No],"&lt;&gt;"))</f>
        <v/>
      </c>
      <c r="J351" s="27">
        <f>IF(C351="","",H351-I351)</f>
        <v/>
      </c>
      <c r="K351" s="25">
        <f>IF(C351="","",IF(G351=0,"not invoiced yet",SUBSTITUTE(TRIM(IF(COUNTIFS(tbl_Finance[Job Number],C351&amp;"",tbl_Finance[Cost Centre],"ONSITE")&gt;0,"ONSITE ","")&amp;IF(COUNTIFS(tbl_Finance[Job Number],C351&amp;"",tbl_Finance[Cost Centre],"PRODUCTION")&gt;0,"PRODUCTION ","")&amp;IF(COUNTIFS(tbl_Finance[Job Number],C351&amp;"",tbl_Finance[Cost Centre],"VIDEO")&gt;0,"VIDEO ","")&amp;IF(COUNTIFS(tbl_Finance[Job Number],C351&amp;"",tbl_Finance[Cost Centre],"INTEGRATION")&gt;0,"INTEGRATION ","")&amp;IF(COUNTIFS(tbl_Finance[Job Number],C351&amp;"",tbl_Finance[Cost Centre],"CONSULTING")&gt;0,"CONSULTING ","")&amp;IF(COUNTIFS(tbl_Finance[Job Number],C351&amp;"",tbl_Finance[Cost Centre],"CTS")&gt;0,"CTS ",""))," ",", ")))</f>
        <v/>
      </c>
      <c r="L351" s="24" t="n"/>
      <c r="M351" s="25">
        <f>IF(L351="","",HYPERLINK(IF(LEFT(L351,4)="http",L351,set_QwilrBase&amp;L351),"Open quote"))</f>
        <v/>
      </c>
      <c r="N351" s="26" t="n"/>
      <c r="O351" s="26" t="n"/>
      <c r="P351" s="26" t="n"/>
      <c r="Q351" s="25">
        <f>IF(C351="","",IF(N(N351)+N(O351)+N(P351)=0,"Not split",IF(ROUND(N(N351)+N(O351)+N(P351),2)=ROUND(H351,2),"OK","MISMATCH")))</f>
        <v/>
      </c>
      <c r="R351" s="26" t="n"/>
      <c r="S351" s="26" t="n"/>
      <c r="T351" s="26" t="n"/>
      <c r="U351" s="27">
        <f>IF(C351="","",N(R351)+N(S351)+N(T351))</f>
        <v/>
      </c>
      <c r="V351" s="27">
        <f>IF(C351="","",H351-U351)</f>
        <v/>
      </c>
      <c r="W351" s="29">
        <f>IFERROR(V351/H351,"")</f>
        <v/>
      </c>
      <c r="X351" s="24" t="n"/>
    </row>
    <row r="352" ht="15" customHeight="1">
      <c r="A352" s="68">
        <f>IF(C352="","",IFERROR(IF(SUMPRODUCT(MAX((tbl_Finance[Job Number]=C352&amp;"")*(tbl_Finance[Xero Invoice No]&lt;&gt;"")*tbl_Finance[Date]))=0,"",SUMPRODUCT(MAX((tbl_Finance[Job Number]=C352&amp;"")*(tbl_Finance[Xero Invoice No]&lt;&gt;"")*tbl_Finance[Date]))),""))</f>
        <v/>
      </c>
      <c r="B352" s="25">
        <f>IF(C352="","",IF(COUNTIFS(tbl_Finance[Job Number],C352&amp;"",tbl_Finance[Xero Invoice No],"&lt;&gt;")=0,"",IFERROR(IF(COUNTIFS(tbl_Finance[Job Number],C352&amp;"",tbl_Finance[Xero Invoice No],LOOKUP(2,1/((tbl_Finance[Job Number]=C352&amp;"")*(tbl_Finance[Xero Invoice No]&lt;&gt;"")),tbl_Finance[Xero Invoice No]))=COUNTIFS(tbl_Finance[Job Number],C352&amp;"",tbl_Finance[Xero Invoice No],"&lt;&gt;"),LOOKUP(2,1/((tbl_Finance[Job Number]=C352&amp;"")*(tbl_Finance[Xero Invoice No]&lt;&gt;"")),tbl_Finance[Xero Invoice No]),LOOKUP(2,1/((tbl_Finance[Job Number]=C352&amp;"")*(tbl_Finance[Xero Invoice No]&lt;&gt;"")),tbl_Finance[Xero Invoice No])&amp;" +more"),"")))</f>
        <v/>
      </c>
      <c r="C352" s="24" t="n"/>
      <c r="D352" s="25">
        <f>IF(C352="","",IF(COUNTIF(lst_Jobs,C352&amp;"")&gt;0,"OK","CHECK"))</f>
        <v/>
      </c>
      <c r="E352" s="25">
        <f>IF(C352="","",IFERROR(INDEX(lst_JobName,MATCH(C352&amp;"",lst_Jobs,0)),""))</f>
        <v/>
      </c>
      <c r="F352" s="25">
        <f>IF(C352="","",IFERROR(INDEX(tbl_Finance[Client],MATCH(C352&amp;"",tbl_Finance[Job Number],0)),""))</f>
        <v/>
      </c>
      <c r="G352" s="28">
        <f>IF(C352="","",COUNTIFS(tbl_Finance[Job Number],C352&amp;"",tbl_Finance[Ex GST],"&lt;&gt;"))</f>
        <v/>
      </c>
      <c r="H352" s="27">
        <f>IF(C352="","",SUMIFS(tbl_Finance[Ex GST],tbl_Finance[Job Number],C352&amp;""))</f>
        <v/>
      </c>
      <c r="I352" s="27">
        <f>IF(C352="","",SUMIFS(tbl_Finance[Ex GST],tbl_Finance[Job Number],C352&amp;"",tbl_Finance[Xero Invoice No],"&lt;&gt;"))</f>
        <v/>
      </c>
      <c r="J352" s="27">
        <f>IF(C352="","",H352-I352)</f>
        <v/>
      </c>
      <c r="K352" s="25">
        <f>IF(C352="","",IF(G352=0,"not invoiced yet",SUBSTITUTE(TRIM(IF(COUNTIFS(tbl_Finance[Job Number],C352&amp;"",tbl_Finance[Cost Centre],"ONSITE")&gt;0,"ONSITE ","")&amp;IF(COUNTIFS(tbl_Finance[Job Number],C352&amp;"",tbl_Finance[Cost Centre],"PRODUCTION")&gt;0,"PRODUCTION ","")&amp;IF(COUNTIFS(tbl_Finance[Job Number],C352&amp;"",tbl_Finance[Cost Centre],"VIDEO")&gt;0,"VIDEO ","")&amp;IF(COUNTIFS(tbl_Finance[Job Number],C352&amp;"",tbl_Finance[Cost Centre],"INTEGRATION")&gt;0,"INTEGRATION ","")&amp;IF(COUNTIFS(tbl_Finance[Job Number],C352&amp;"",tbl_Finance[Cost Centre],"CONSULTING")&gt;0,"CONSULTING ","")&amp;IF(COUNTIFS(tbl_Finance[Job Number],C352&amp;"",tbl_Finance[Cost Centre],"CTS")&gt;0,"CTS ",""))," ",", ")))</f>
        <v/>
      </c>
      <c r="L352" s="24" t="n"/>
      <c r="M352" s="25">
        <f>IF(L352="","",HYPERLINK(IF(LEFT(L352,4)="http",L352,set_QwilrBase&amp;L352),"Open quote"))</f>
        <v/>
      </c>
      <c r="N352" s="26" t="n"/>
      <c r="O352" s="26" t="n"/>
      <c r="P352" s="26" t="n"/>
      <c r="Q352" s="25">
        <f>IF(C352="","",IF(N(N352)+N(O352)+N(P352)=0,"Not split",IF(ROUND(N(N352)+N(O352)+N(P352),2)=ROUND(H352,2),"OK","MISMATCH")))</f>
        <v/>
      </c>
      <c r="R352" s="26" t="n"/>
      <c r="S352" s="26" t="n"/>
      <c r="T352" s="26" t="n"/>
      <c r="U352" s="27">
        <f>IF(C352="","",N(R352)+N(S352)+N(T352))</f>
        <v/>
      </c>
      <c r="V352" s="27">
        <f>IF(C352="","",H352-U352)</f>
        <v/>
      </c>
      <c r="W352" s="29">
        <f>IFERROR(V352/H352,"")</f>
        <v/>
      </c>
      <c r="X352" s="24" t="n"/>
    </row>
    <row r="353" ht="15" customHeight="1">
      <c r="A353" s="68">
        <f>IF(C353="","",IFERROR(IF(SUMPRODUCT(MAX((tbl_Finance[Job Number]=C353&amp;"")*(tbl_Finance[Xero Invoice No]&lt;&gt;"")*tbl_Finance[Date]))=0,"",SUMPRODUCT(MAX((tbl_Finance[Job Number]=C353&amp;"")*(tbl_Finance[Xero Invoice No]&lt;&gt;"")*tbl_Finance[Date]))),""))</f>
        <v/>
      </c>
      <c r="B353" s="25">
        <f>IF(C353="","",IF(COUNTIFS(tbl_Finance[Job Number],C353&amp;"",tbl_Finance[Xero Invoice No],"&lt;&gt;")=0,"",IFERROR(IF(COUNTIFS(tbl_Finance[Job Number],C353&amp;"",tbl_Finance[Xero Invoice No],LOOKUP(2,1/((tbl_Finance[Job Number]=C353&amp;"")*(tbl_Finance[Xero Invoice No]&lt;&gt;"")),tbl_Finance[Xero Invoice No]))=COUNTIFS(tbl_Finance[Job Number],C353&amp;"",tbl_Finance[Xero Invoice No],"&lt;&gt;"),LOOKUP(2,1/((tbl_Finance[Job Number]=C353&amp;"")*(tbl_Finance[Xero Invoice No]&lt;&gt;"")),tbl_Finance[Xero Invoice No]),LOOKUP(2,1/((tbl_Finance[Job Number]=C353&amp;"")*(tbl_Finance[Xero Invoice No]&lt;&gt;"")),tbl_Finance[Xero Invoice No])&amp;" +more"),"")))</f>
        <v/>
      </c>
      <c r="C353" s="24" t="n"/>
      <c r="D353" s="25">
        <f>IF(C353="","",IF(COUNTIF(lst_Jobs,C353&amp;"")&gt;0,"OK","CHECK"))</f>
        <v/>
      </c>
      <c r="E353" s="25">
        <f>IF(C353="","",IFERROR(INDEX(lst_JobName,MATCH(C353&amp;"",lst_Jobs,0)),""))</f>
        <v/>
      </c>
      <c r="F353" s="25">
        <f>IF(C353="","",IFERROR(INDEX(tbl_Finance[Client],MATCH(C353&amp;"",tbl_Finance[Job Number],0)),""))</f>
        <v/>
      </c>
      <c r="G353" s="28">
        <f>IF(C353="","",COUNTIFS(tbl_Finance[Job Number],C353&amp;"",tbl_Finance[Ex GST],"&lt;&gt;"))</f>
        <v/>
      </c>
      <c r="H353" s="27">
        <f>IF(C353="","",SUMIFS(tbl_Finance[Ex GST],tbl_Finance[Job Number],C353&amp;""))</f>
        <v/>
      </c>
      <c r="I353" s="27">
        <f>IF(C353="","",SUMIFS(tbl_Finance[Ex GST],tbl_Finance[Job Number],C353&amp;"",tbl_Finance[Xero Invoice No],"&lt;&gt;"))</f>
        <v/>
      </c>
      <c r="J353" s="27">
        <f>IF(C353="","",H353-I353)</f>
        <v/>
      </c>
      <c r="K353" s="25">
        <f>IF(C353="","",IF(G353=0,"not invoiced yet",SUBSTITUTE(TRIM(IF(COUNTIFS(tbl_Finance[Job Number],C353&amp;"",tbl_Finance[Cost Centre],"ONSITE")&gt;0,"ONSITE ","")&amp;IF(COUNTIFS(tbl_Finance[Job Number],C353&amp;"",tbl_Finance[Cost Centre],"PRODUCTION")&gt;0,"PRODUCTION ","")&amp;IF(COUNTIFS(tbl_Finance[Job Number],C353&amp;"",tbl_Finance[Cost Centre],"VIDEO")&gt;0,"VIDEO ","")&amp;IF(COUNTIFS(tbl_Finance[Job Number],C353&amp;"",tbl_Finance[Cost Centre],"INTEGRATION")&gt;0,"INTEGRATION ","")&amp;IF(COUNTIFS(tbl_Finance[Job Number],C353&amp;"",tbl_Finance[Cost Centre],"CONSULTING")&gt;0,"CONSULTING ","")&amp;IF(COUNTIFS(tbl_Finance[Job Number],C353&amp;"",tbl_Finance[Cost Centre],"CTS")&gt;0,"CTS ",""))," ",", ")))</f>
        <v/>
      </c>
      <c r="L353" s="24" t="n"/>
      <c r="M353" s="25">
        <f>IF(L353="","",HYPERLINK(IF(LEFT(L353,4)="http",L353,set_QwilrBase&amp;L353),"Open quote"))</f>
        <v/>
      </c>
      <c r="N353" s="26" t="n"/>
      <c r="O353" s="26" t="n"/>
      <c r="P353" s="26" t="n"/>
      <c r="Q353" s="25">
        <f>IF(C353="","",IF(N(N353)+N(O353)+N(P353)=0,"Not split",IF(ROUND(N(N353)+N(O353)+N(P353),2)=ROUND(H353,2),"OK","MISMATCH")))</f>
        <v/>
      </c>
      <c r="R353" s="26" t="n"/>
      <c r="S353" s="26" t="n"/>
      <c r="T353" s="26" t="n"/>
      <c r="U353" s="27">
        <f>IF(C353="","",N(R353)+N(S353)+N(T353))</f>
        <v/>
      </c>
      <c r="V353" s="27">
        <f>IF(C353="","",H353-U353)</f>
        <v/>
      </c>
      <c r="W353" s="29">
        <f>IFERROR(V353/H353,"")</f>
        <v/>
      </c>
      <c r="X353" s="24" t="n"/>
    </row>
    <row r="354" ht="15" customHeight="1">
      <c r="A354" s="68">
        <f>IF(C354="","",IFERROR(IF(SUMPRODUCT(MAX((tbl_Finance[Job Number]=C354&amp;"")*(tbl_Finance[Xero Invoice No]&lt;&gt;"")*tbl_Finance[Date]))=0,"",SUMPRODUCT(MAX((tbl_Finance[Job Number]=C354&amp;"")*(tbl_Finance[Xero Invoice No]&lt;&gt;"")*tbl_Finance[Date]))),""))</f>
        <v/>
      </c>
      <c r="B354" s="25">
        <f>IF(C354="","",IF(COUNTIFS(tbl_Finance[Job Number],C354&amp;"",tbl_Finance[Xero Invoice No],"&lt;&gt;")=0,"",IFERROR(IF(COUNTIFS(tbl_Finance[Job Number],C354&amp;"",tbl_Finance[Xero Invoice No],LOOKUP(2,1/((tbl_Finance[Job Number]=C354&amp;"")*(tbl_Finance[Xero Invoice No]&lt;&gt;"")),tbl_Finance[Xero Invoice No]))=COUNTIFS(tbl_Finance[Job Number],C354&amp;"",tbl_Finance[Xero Invoice No],"&lt;&gt;"),LOOKUP(2,1/((tbl_Finance[Job Number]=C354&amp;"")*(tbl_Finance[Xero Invoice No]&lt;&gt;"")),tbl_Finance[Xero Invoice No]),LOOKUP(2,1/((tbl_Finance[Job Number]=C354&amp;"")*(tbl_Finance[Xero Invoice No]&lt;&gt;"")),tbl_Finance[Xero Invoice No])&amp;" +more"),"")))</f>
        <v/>
      </c>
      <c r="C354" s="24" t="n"/>
      <c r="D354" s="25">
        <f>IF(C354="","",IF(COUNTIF(lst_Jobs,C354&amp;"")&gt;0,"OK","CHECK"))</f>
        <v/>
      </c>
      <c r="E354" s="25">
        <f>IF(C354="","",IFERROR(INDEX(lst_JobName,MATCH(C354&amp;"",lst_Jobs,0)),""))</f>
        <v/>
      </c>
      <c r="F354" s="25">
        <f>IF(C354="","",IFERROR(INDEX(tbl_Finance[Client],MATCH(C354&amp;"",tbl_Finance[Job Number],0)),""))</f>
        <v/>
      </c>
      <c r="G354" s="28">
        <f>IF(C354="","",COUNTIFS(tbl_Finance[Job Number],C354&amp;"",tbl_Finance[Ex GST],"&lt;&gt;"))</f>
        <v/>
      </c>
      <c r="H354" s="27">
        <f>IF(C354="","",SUMIFS(tbl_Finance[Ex GST],tbl_Finance[Job Number],C354&amp;""))</f>
        <v/>
      </c>
      <c r="I354" s="27">
        <f>IF(C354="","",SUMIFS(tbl_Finance[Ex GST],tbl_Finance[Job Number],C354&amp;"",tbl_Finance[Xero Invoice No],"&lt;&gt;"))</f>
        <v/>
      </c>
      <c r="J354" s="27">
        <f>IF(C354="","",H354-I354)</f>
        <v/>
      </c>
      <c r="K354" s="25">
        <f>IF(C354="","",IF(G354=0,"not invoiced yet",SUBSTITUTE(TRIM(IF(COUNTIFS(tbl_Finance[Job Number],C354&amp;"",tbl_Finance[Cost Centre],"ONSITE")&gt;0,"ONSITE ","")&amp;IF(COUNTIFS(tbl_Finance[Job Number],C354&amp;"",tbl_Finance[Cost Centre],"PRODUCTION")&gt;0,"PRODUCTION ","")&amp;IF(COUNTIFS(tbl_Finance[Job Number],C354&amp;"",tbl_Finance[Cost Centre],"VIDEO")&gt;0,"VIDEO ","")&amp;IF(COUNTIFS(tbl_Finance[Job Number],C354&amp;"",tbl_Finance[Cost Centre],"INTEGRATION")&gt;0,"INTEGRATION ","")&amp;IF(COUNTIFS(tbl_Finance[Job Number],C354&amp;"",tbl_Finance[Cost Centre],"CONSULTING")&gt;0,"CONSULTING ","")&amp;IF(COUNTIFS(tbl_Finance[Job Number],C354&amp;"",tbl_Finance[Cost Centre],"CTS")&gt;0,"CTS ",""))," ",", ")))</f>
        <v/>
      </c>
      <c r="L354" s="24" t="n"/>
      <c r="M354" s="25">
        <f>IF(L354="","",HYPERLINK(IF(LEFT(L354,4)="http",L354,set_QwilrBase&amp;L354),"Open quote"))</f>
        <v/>
      </c>
      <c r="N354" s="26" t="n"/>
      <c r="O354" s="26" t="n"/>
      <c r="P354" s="26" t="n"/>
      <c r="Q354" s="25">
        <f>IF(C354="","",IF(N(N354)+N(O354)+N(P354)=0,"Not split",IF(ROUND(N(N354)+N(O354)+N(P354),2)=ROUND(H354,2),"OK","MISMATCH")))</f>
        <v/>
      </c>
      <c r="R354" s="26" t="n"/>
      <c r="S354" s="26" t="n"/>
      <c r="T354" s="26" t="n"/>
      <c r="U354" s="27">
        <f>IF(C354="","",N(R354)+N(S354)+N(T354))</f>
        <v/>
      </c>
      <c r="V354" s="27">
        <f>IF(C354="","",H354-U354)</f>
        <v/>
      </c>
      <c r="W354" s="29">
        <f>IFERROR(V354/H354,"")</f>
        <v/>
      </c>
      <c r="X354" s="24" t="n"/>
    </row>
    <row r="355" ht="15" customHeight="1">
      <c r="A355" s="68">
        <f>IF(C355="","",IFERROR(IF(SUMPRODUCT(MAX((tbl_Finance[Job Number]=C355&amp;"")*(tbl_Finance[Xero Invoice No]&lt;&gt;"")*tbl_Finance[Date]))=0,"",SUMPRODUCT(MAX((tbl_Finance[Job Number]=C355&amp;"")*(tbl_Finance[Xero Invoice No]&lt;&gt;"")*tbl_Finance[Date]))),""))</f>
        <v/>
      </c>
      <c r="B355" s="25">
        <f>IF(C355="","",IF(COUNTIFS(tbl_Finance[Job Number],C355&amp;"",tbl_Finance[Xero Invoice No],"&lt;&gt;")=0,"",IFERROR(IF(COUNTIFS(tbl_Finance[Job Number],C355&amp;"",tbl_Finance[Xero Invoice No],LOOKUP(2,1/((tbl_Finance[Job Number]=C355&amp;"")*(tbl_Finance[Xero Invoice No]&lt;&gt;"")),tbl_Finance[Xero Invoice No]))=COUNTIFS(tbl_Finance[Job Number],C355&amp;"",tbl_Finance[Xero Invoice No],"&lt;&gt;"),LOOKUP(2,1/((tbl_Finance[Job Number]=C355&amp;"")*(tbl_Finance[Xero Invoice No]&lt;&gt;"")),tbl_Finance[Xero Invoice No]),LOOKUP(2,1/((tbl_Finance[Job Number]=C355&amp;"")*(tbl_Finance[Xero Invoice No]&lt;&gt;"")),tbl_Finance[Xero Invoice No])&amp;" +more"),"")))</f>
        <v/>
      </c>
      <c r="C355" s="24" t="n"/>
      <c r="D355" s="25">
        <f>IF(C355="","",IF(COUNTIF(lst_Jobs,C355&amp;"")&gt;0,"OK","CHECK"))</f>
        <v/>
      </c>
      <c r="E355" s="25">
        <f>IF(C355="","",IFERROR(INDEX(lst_JobName,MATCH(C355&amp;"",lst_Jobs,0)),""))</f>
        <v/>
      </c>
      <c r="F355" s="25">
        <f>IF(C355="","",IFERROR(INDEX(tbl_Finance[Client],MATCH(C355&amp;"",tbl_Finance[Job Number],0)),""))</f>
        <v/>
      </c>
      <c r="G355" s="28">
        <f>IF(C355="","",COUNTIFS(tbl_Finance[Job Number],C355&amp;"",tbl_Finance[Ex GST],"&lt;&gt;"))</f>
        <v/>
      </c>
      <c r="H355" s="27">
        <f>IF(C355="","",SUMIFS(tbl_Finance[Ex GST],tbl_Finance[Job Number],C355&amp;""))</f>
        <v/>
      </c>
      <c r="I355" s="27">
        <f>IF(C355="","",SUMIFS(tbl_Finance[Ex GST],tbl_Finance[Job Number],C355&amp;"",tbl_Finance[Xero Invoice No],"&lt;&gt;"))</f>
        <v/>
      </c>
      <c r="J355" s="27">
        <f>IF(C355="","",H355-I355)</f>
        <v/>
      </c>
      <c r="K355" s="25">
        <f>IF(C355="","",IF(G355=0,"not invoiced yet",SUBSTITUTE(TRIM(IF(COUNTIFS(tbl_Finance[Job Number],C355&amp;"",tbl_Finance[Cost Centre],"ONSITE")&gt;0,"ONSITE ","")&amp;IF(COUNTIFS(tbl_Finance[Job Number],C355&amp;"",tbl_Finance[Cost Centre],"PRODUCTION")&gt;0,"PRODUCTION ","")&amp;IF(COUNTIFS(tbl_Finance[Job Number],C355&amp;"",tbl_Finance[Cost Centre],"VIDEO")&gt;0,"VIDEO ","")&amp;IF(COUNTIFS(tbl_Finance[Job Number],C355&amp;"",tbl_Finance[Cost Centre],"INTEGRATION")&gt;0,"INTEGRATION ","")&amp;IF(COUNTIFS(tbl_Finance[Job Number],C355&amp;"",tbl_Finance[Cost Centre],"CONSULTING")&gt;0,"CONSULTING ","")&amp;IF(COUNTIFS(tbl_Finance[Job Number],C355&amp;"",tbl_Finance[Cost Centre],"CTS")&gt;0,"CTS ",""))," ",", ")))</f>
        <v/>
      </c>
      <c r="L355" s="24" t="n"/>
      <c r="M355" s="25">
        <f>IF(L355="","",HYPERLINK(IF(LEFT(L355,4)="http",L355,set_QwilrBase&amp;L355),"Open quote"))</f>
        <v/>
      </c>
      <c r="N355" s="26" t="n"/>
      <c r="O355" s="26" t="n"/>
      <c r="P355" s="26" t="n"/>
      <c r="Q355" s="25">
        <f>IF(C355="","",IF(N(N355)+N(O355)+N(P355)=0,"Not split",IF(ROUND(N(N355)+N(O355)+N(P355),2)=ROUND(H355,2),"OK","MISMATCH")))</f>
        <v/>
      </c>
      <c r="R355" s="26" t="n"/>
      <c r="S355" s="26" t="n"/>
      <c r="T355" s="26" t="n"/>
      <c r="U355" s="27">
        <f>IF(C355="","",N(R355)+N(S355)+N(T355))</f>
        <v/>
      </c>
      <c r="V355" s="27">
        <f>IF(C355="","",H355-U355)</f>
        <v/>
      </c>
      <c r="W355" s="29">
        <f>IFERROR(V355/H355,"")</f>
        <v/>
      </c>
      <c r="X355" s="24" t="n"/>
    </row>
    <row r="356" ht="15" customHeight="1">
      <c r="A356" s="68">
        <f>IF(C356="","",IFERROR(IF(SUMPRODUCT(MAX((tbl_Finance[Job Number]=C356&amp;"")*(tbl_Finance[Xero Invoice No]&lt;&gt;"")*tbl_Finance[Date]))=0,"",SUMPRODUCT(MAX((tbl_Finance[Job Number]=C356&amp;"")*(tbl_Finance[Xero Invoice No]&lt;&gt;"")*tbl_Finance[Date]))),""))</f>
        <v/>
      </c>
      <c r="B356" s="25">
        <f>IF(C356="","",IF(COUNTIFS(tbl_Finance[Job Number],C356&amp;"",tbl_Finance[Xero Invoice No],"&lt;&gt;")=0,"",IFERROR(IF(COUNTIFS(tbl_Finance[Job Number],C356&amp;"",tbl_Finance[Xero Invoice No],LOOKUP(2,1/((tbl_Finance[Job Number]=C356&amp;"")*(tbl_Finance[Xero Invoice No]&lt;&gt;"")),tbl_Finance[Xero Invoice No]))=COUNTIFS(tbl_Finance[Job Number],C356&amp;"",tbl_Finance[Xero Invoice No],"&lt;&gt;"),LOOKUP(2,1/((tbl_Finance[Job Number]=C356&amp;"")*(tbl_Finance[Xero Invoice No]&lt;&gt;"")),tbl_Finance[Xero Invoice No]),LOOKUP(2,1/((tbl_Finance[Job Number]=C356&amp;"")*(tbl_Finance[Xero Invoice No]&lt;&gt;"")),tbl_Finance[Xero Invoice No])&amp;" +more"),"")))</f>
        <v/>
      </c>
      <c r="C356" s="24" t="n"/>
      <c r="D356" s="25">
        <f>IF(C356="","",IF(COUNTIF(lst_Jobs,C356&amp;"")&gt;0,"OK","CHECK"))</f>
        <v/>
      </c>
      <c r="E356" s="25">
        <f>IF(C356="","",IFERROR(INDEX(lst_JobName,MATCH(C356&amp;"",lst_Jobs,0)),""))</f>
        <v/>
      </c>
      <c r="F356" s="25">
        <f>IF(C356="","",IFERROR(INDEX(tbl_Finance[Client],MATCH(C356&amp;"",tbl_Finance[Job Number],0)),""))</f>
        <v/>
      </c>
      <c r="G356" s="28">
        <f>IF(C356="","",COUNTIFS(tbl_Finance[Job Number],C356&amp;"",tbl_Finance[Ex GST],"&lt;&gt;"))</f>
        <v/>
      </c>
      <c r="H356" s="27">
        <f>IF(C356="","",SUMIFS(tbl_Finance[Ex GST],tbl_Finance[Job Number],C356&amp;""))</f>
        <v/>
      </c>
      <c r="I356" s="27">
        <f>IF(C356="","",SUMIFS(tbl_Finance[Ex GST],tbl_Finance[Job Number],C356&amp;"",tbl_Finance[Xero Invoice No],"&lt;&gt;"))</f>
        <v/>
      </c>
      <c r="J356" s="27">
        <f>IF(C356="","",H356-I356)</f>
        <v/>
      </c>
      <c r="K356" s="25">
        <f>IF(C356="","",IF(G356=0,"not invoiced yet",SUBSTITUTE(TRIM(IF(COUNTIFS(tbl_Finance[Job Number],C356&amp;"",tbl_Finance[Cost Centre],"ONSITE")&gt;0,"ONSITE ","")&amp;IF(COUNTIFS(tbl_Finance[Job Number],C356&amp;"",tbl_Finance[Cost Centre],"PRODUCTION")&gt;0,"PRODUCTION ","")&amp;IF(COUNTIFS(tbl_Finance[Job Number],C356&amp;"",tbl_Finance[Cost Centre],"VIDEO")&gt;0,"VIDEO ","")&amp;IF(COUNTIFS(tbl_Finance[Job Number],C356&amp;"",tbl_Finance[Cost Centre],"INTEGRATION")&gt;0,"INTEGRATION ","")&amp;IF(COUNTIFS(tbl_Finance[Job Number],C356&amp;"",tbl_Finance[Cost Centre],"CONSULTING")&gt;0,"CONSULTING ","")&amp;IF(COUNTIFS(tbl_Finance[Job Number],C356&amp;"",tbl_Finance[Cost Centre],"CTS")&gt;0,"CTS ",""))," ",", ")))</f>
        <v/>
      </c>
      <c r="L356" s="24" t="n"/>
      <c r="M356" s="25">
        <f>IF(L356="","",HYPERLINK(IF(LEFT(L356,4)="http",L356,set_QwilrBase&amp;L356),"Open quote"))</f>
        <v/>
      </c>
      <c r="N356" s="26" t="n"/>
      <c r="O356" s="26" t="n"/>
      <c r="P356" s="26" t="n"/>
      <c r="Q356" s="25">
        <f>IF(C356="","",IF(N(N356)+N(O356)+N(P356)=0,"Not split",IF(ROUND(N(N356)+N(O356)+N(P356),2)=ROUND(H356,2),"OK","MISMATCH")))</f>
        <v/>
      </c>
      <c r="R356" s="26" t="n"/>
      <c r="S356" s="26" t="n"/>
      <c r="T356" s="26" t="n"/>
      <c r="U356" s="27">
        <f>IF(C356="","",N(R356)+N(S356)+N(T356))</f>
        <v/>
      </c>
      <c r="V356" s="27">
        <f>IF(C356="","",H356-U356)</f>
        <v/>
      </c>
      <c r="W356" s="29">
        <f>IFERROR(V356/H356,"")</f>
        <v/>
      </c>
      <c r="X356" s="24" t="n"/>
    </row>
    <row r="357" ht="15" customHeight="1">
      <c r="A357" s="68">
        <f>IF(C357="","",IFERROR(IF(SUMPRODUCT(MAX((tbl_Finance[Job Number]=C357&amp;"")*(tbl_Finance[Xero Invoice No]&lt;&gt;"")*tbl_Finance[Date]))=0,"",SUMPRODUCT(MAX((tbl_Finance[Job Number]=C357&amp;"")*(tbl_Finance[Xero Invoice No]&lt;&gt;"")*tbl_Finance[Date]))),""))</f>
        <v/>
      </c>
      <c r="B357" s="25">
        <f>IF(C357="","",IF(COUNTIFS(tbl_Finance[Job Number],C357&amp;"",tbl_Finance[Xero Invoice No],"&lt;&gt;")=0,"",IFERROR(IF(COUNTIFS(tbl_Finance[Job Number],C357&amp;"",tbl_Finance[Xero Invoice No],LOOKUP(2,1/((tbl_Finance[Job Number]=C357&amp;"")*(tbl_Finance[Xero Invoice No]&lt;&gt;"")),tbl_Finance[Xero Invoice No]))=COUNTIFS(tbl_Finance[Job Number],C357&amp;"",tbl_Finance[Xero Invoice No],"&lt;&gt;"),LOOKUP(2,1/((tbl_Finance[Job Number]=C357&amp;"")*(tbl_Finance[Xero Invoice No]&lt;&gt;"")),tbl_Finance[Xero Invoice No]),LOOKUP(2,1/((tbl_Finance[Job Number]=C357&amp;"")*(tbl_Finance[Xero Invoice No]&lt;&gt;"")),tbl_Finance[Xero Invoice No])&amp;" +more"),"")))</f>
        <v/>
      </c>
      <c r="C357" s="24" t="n"/>
      <c r="D357" s="25">
        <f>IF(C357="","",IF(COUNTIF(lst_Jobs,C357&amp;"")&gt;0,"OK","CHECK"))</f>
        <v/>
      </c>
      <c r="E357" s="25">
        <f>IF(C357="","",IFERROR(INDEX(lst_JobName,MATCH(C357&amp;"",lst_Jobs,0)),""))</f>
        <v/>
      </c>
      <c r="F357" s="25">
        <f>IF(C357="","",IFERROR(INDEX(tbl_Finance[Client],MATCH(C357&amp;"",tbl_Finance[Job Number],0)),""))</f>
        <v/>
      </c>
      <c r="G357" s="28">
        <f>IF(C357="","",COUNTIFS(tbl_Finance[Job Number],C357&amp;"",tbl_Finance[Ex GST],"&lt;&gt;"))</f>
        <v/>
      </c>
      <c r="H357" s="27">
        <f>IF(C357="","",SUMIFS(tbl_Finance[Ex GST],tbl_Finance[Job Number],C357&amp;""))</f>
        <v/>
      </c>
      <c r="I357" s="27">
        <f>IF(C357="","",SUMIFS(tbl_Finance[Ex GST],tbl_Finance[Job Number],C357&amp;"",tbl_Finance[Xero Invoice No],"&lt;&gt;"))</f>
        <v/>
      </c>
      <c r="J357" s="27">
        <f>IF(C357="","",H357-I357)</f>
        <v/>
      </c>
      <c r="K357" s="25">
        <f>IF(C357="","",IF(G357=0,"not invoiced yet",SUBSTITUTE(TRIM(IF(COUNTIFS(tbl_Finance[Job Number],C357&amp;"",tbl_Finance[Cost Centre],"ONSITE")&gt;0,"ONSITE ","")&amp;IF(COUNTIFS(tbl_Finance[Job Number],C357&amp;"",tbl_Finance[Cost Centre],"PRODUCTION")&gt;0,"PRODUCTION ","")&amp;IF(COUNTIFS(tbl_Finance[Job Number],C357&amp;"",tbl_Finance[Cost Centre],"VIDEO")&gt;0,"VIDEO ","")&amp;IF(COUNTIFS(tbl_Finance[Job Number],C357&amp;"",tbl_Finance[Cost Centre],"INTEGRATION")&gt;0,"INTEGRATION ","")&amp;IF(COUNTIFS(tbl_Finance[Job Number],C357&amp;"",tbl_Finance[Cost Centre],"CONSULTING")&gt;0,"CONSULTING ","")&amp;IF(COUNTIFS(tbl_Finance[Job Number],C357&amp;"",tbl_Finance[Cost Centre],"CTS")&gt;0,"CTS ",""))," ",", ")))</f>
        <v/>
      </c>
      <c r="L357" s="24" t="n"/>
      <c r="M357" s="25">
        <f>IF(L357="","",HYPERLINK(IF(LEFT(L357,4)="http",L357,set_QwilrBase&amp;L357),"Open quote"))</f>
        <v/>
      </c>
      <c r="N357" s="26" t="n"/>
      <c r="O357" s="26" t="n"/>
      <c r="P357" s="26" t="n"/>
      <c r="Q357" s="25">
        <f>IF(C357="","",IF(N(N357)+N(O357)+N(P357)=0,"Not split",IF(ROUND(N(N357)+N(O357)+N(P357),2)=ROUND(H357,2),"OK","MISMATCH")))</f>
        <v/>
      </c>
      <c r="R357" s="26" t="n"/>
      <c r="S357" s="26" t="n"/>
      <c r="T357" s="26" t="n"/>
      <c r="U357" s="27">
        <f>IF(C357="","",N(R357)+N(S357)+N(T357))</f>
        <v/>
      </c>
      <c r="V357" s="27">
        <f>IF(C357="","",H357-U357)</f>
        <v/>
      </c>
      <c r="W357" s="29">
        <f>IFERROR(V357/H357,"")</f>
        <v/>
      </c>
      <c r="X357" s="24" t="n"/>
    </row>
    <row r="358" ht="15" customHeight="1">
      <c r="A358" s="68">
        <f>IF(C358="","",IFERROR(IF(SUMPRODUCT(MAX((tbl_Finance[Job Number]=C358&amp;"")*(tbl_Finance[Xero Invoice No]&lt;&gt;"")*tbl_Finance[Date]))=0,"",SUMPRODUCT(MAX((tbl_Finance[Job Number]=C358&amp;"")*(tbl_Finance[Xero Invoice No]&lt;&gt;"")*tbl_Finance[Date]))),""))</f>
        <v/>
      </c>
      <c r="B358" s="25">
        <f>IF(C358="","",IF(COUNTIFS(tbl_Finance[Job Number],C358&amp;"",tbl_Finance[Xero Invoice No],"&lt;&gt;")=0,"",IFERROR(IF(COUNTIFS(tbl_Finance[Job Number],C358&amp;"",tbl_Finance[Xero Invoice No],LOOKUP(2,1/((tbl_Finance[Job Number]=C358&amp;"")*(tbl_Finance[Xero Invoice No]&lt;&gt;"")),tbl_Finance[Xero Invoice No]))=COUNTIFS(tbl_Finance[Job Number],C358&amp;"",tbl_Finance[Xero Invoice No],"&lt;&gt;"),LOOKUP(2,1/((tbl_Finance[Job Number]=C358&amp;"")*(tbl_Finance[Xero Invoice No]&lt;&gt;"")),tbl_Finance[Xero Invoice No]),LOOKUP(2,1/((tbl_Finance[Job Number]=C358&amp;"")*(tbl_Finance[Xero Invoice No]&lt;&gt;"")),tbl_Finance[Xero Invoice No])&amp;" +more"),"")))</f>
        <v/>
      </c>
      <c r="C358" s="24" t="n"/>
      <c r="D358" s="25">
        <f>IF(C358="","",IF(COUNTIF(lst_Jobs,C358&amp;"")&gt;0,"OK","CHECK"))</f>
        <v/>
      </c>
      <c r="E358" s="25">
        <f>IF(C358="","",IFERROR(INDEX(lst_JobName,MATCH(C358&amp;"",lst_Jobs,0)),""))</f>
        <v/>
      </c>
      <c r="F358" s="25">
        <f>IF(C358="","",IFERROR(INDEX(tbl_Finance[Client],MATCH(C358&amp;"",tbl_Finance[Job Number],0)),""))</f>
        <v/>
      </c>
      <c r="G358" s="28">
        <f>IF(C358="","",COUNTIFS(tbl_Finance[Job Number],C358&amp;"",tbl_Finance[Ex GST],"&lt;&gt;"))</f>
        <v/>
      </c>
      <c r="H358" s="27">
        <f>IF(C358="","",SUMIFS(tbl_Finance[Ex GST],tbl_Finance[Job Number],C358&amp;""))</f>
        <v/>
      </c>
      <c r="I358" s="27">
        <f>IF(C358="","",SUMIFS(tbl_Finance[Ex GST],tbl_Finance[Job Number],C358&amp;"",tbl_Finance[Xero Invoice No],"&lt;&gt;"))</f>
        <v/>
      </c>
      <c r="J358" s="27">
        <f>IF(C358="","",H358-I358)</f>
        <v/>
      </c>
      <c r="K358" s="25">
        <f>IF(C358="","",IF(G358=0,"not invoiced yet",SUBSTITUTE(TRIM(IF(COUNTIFS(tbl_Finance[Job Number],C358&amp;"",tbl_Finance[Cost Centre],"ONSITE")&gt;0,"ONSITE ","")&amp;IF(COUNTIFS(tbl_Finance[Job Number],C358&amp;"",tbl_Finance[Cost Centre],"PRODUCTION")&gt;0,"PRODUCTION ","")&amp;IF(COUNTIFS(tbl_Finance[Job Number],C358&amp;"",tbl_Finance[Cost Centre],"VIDEO")&gt;0,"VIDEO ","")&amp;IF(COUNTIFS(tbl_Finance[Job Number],C358&amp;"",tbl_Finance[Cost Centre],"INTEGRATION")&gt;0,"INTEGRATION ","")&amp;IF(COUNTIFS(tbl_Finance[Job Number],C358&amp;"",tbl_Finance[Cost Centre],"CONSULTING")&gt;0,"CONSULTING ","")&amp;IF(COUNTIFS(tbl_Finance[Job Number],C358&amp;"",tbl_Finance[Cost Centre],"CTS")&gt;0,"CTS ",""))," ",", ")))</f>
        <v/>
      </c>
      <c r="L358" s="24" t="n"/>
      <c r="M358" s="25">
        <f>IF(L358="","",HYPERLINK(IF(LEFT(L358,4)="http",L358,set_QwilrBase&amp;L358),"Open quote"))</f>
        <v/>
      </c>
      <c r="N358" s="26" t="n"/>
      <c r="O358" s="26" t="n"/>
      <c r="P358" s="26" t="n"/>
      <c r="Q358" s="25">
        <f>IF(C358="","",IF(N(N358)+N(O358)+N(P358)=0,"Not split",IF(ROUND(N(N358)+N(O358)+N(P358),2)=ROUND(H358,2),"OK","MISMATCH")))</f>
        <v/>
      </c>
      <c r="R358" s="26" t="n"/>
      <c r="S358" s="26" t="n"/>
      <c r="T358" s="26" t="n"/>
      <c r="U358" s="27">
        <f>IF(C358="","",N(R358)+N(S358)+N(T358))</f>
        <v/>
      </c>
      <c r="V358" s="27">
        <f>IF(C358="","",H358-U358)</f>
        <v/>
      </c>
      <c r="W358" s="29">
        <f>IFERROR(V358/H358,"")</f>
        <v/>
      </c>
      <c r="X358" s="24" t="n"/>
    </row>
    <row r="359" ht="15" customHeight="1">
      <c r="A359" s="68">
        <f>IF(C359="","",IFERROR(IF(SUMPRODUCT(MAX((tbl_Finance[Job Number]=C359&amp;"")*(tbl_Finance[Xero Invoice No]&lt;&gt;"")*tbl_Finance[Date]))=0,"",SUMPRODUCT(MAX((tbl_Finance[Job Number]=C359&amp;"")*(tbl_Finance[Xero Invoice No]&lt;&gt;"")*tbl_Finance[Date]))),""))</f>
        <v/>
      </c>
      <c r="B359" s="25">
        <f>IF(C359="","",IF(COUNTIFS(tbl_Finance[Job Number],C359&amp;"",tbl_Finance[Xero Invoice No],"&lt;&gt;")=0,"",IFERROR(IF(COUNTIFS(tbl_Finance[Job Number],C359&amp;"",tbl_Finance[Xero Invoice No],LOOKUP(2,1/((tbl_Finance[Job Number]=C359&amp;"")*(tbl_Finance[Xero Invoice No]&lt;&gt;"")),tbl_Finance[Xero Invoice No]))=COUNTIFS(tbl_Finance[Job Number],C359&amp;"",tbl_Finance[Xero Invoice No],"&lt;&gt;"),LOOKUP(2,1/((tbl_Finance[Job Number]=C359&amp;"")*(tbl_Finance[Xero Invoice No]&lt;&gt;"")),tbl_Finance[Xero Invoice No]),LOOKUP(2,1/((tbl_Finance[Job Number]=C359&amp;"")*(tbl_Finance[Xero Invoice No]&lt;&gt;"")),tbl_Finance[Xero Invoice No])&amp;" +more"),"")))</f>
        <v/>
      </c>
      <c r="C359" s="24" t="n"/>
      <c r="D359" s="25">
        <f>IF(C359="","",IF(COUNTIF(lst_Jobs,C359&amp;"")&gt;0,"OK","CHECK"))</f>
        <v/>
      </c>
      <c r="E359" s="25">
        <f>IF(C359="","",IFERROR(INDEX(lst_JobName,MATCH(C359&amp;"",lst_Jobs,0)),""))</f>
        <v/>
      </c>
      <c r="F359" s="25">
        <f>IF(C359="","",IFERROR(INDEX(tbl_Finance[Client],MATCH(C359&amp;"",tbl_Finance[Job Number],0)),""))</f>
        <v/>
      </c>
      <c r="G359" s="28">
        <f>IF(C359="","",COUNTIFS(tbl_Finance[Job Number],C359&amp;"",tbl_Finance[Ex GST],"&lt;&gt;"))</f>
        <v/>
      </c>
      <c r="H359" s="27">
        <f>IF(C359="","",SUMIFS(tbl_Finance[Ex GST],tbl_Finance[Job Number],C359&amp;""))</f>
        <v/>
      </c>
      <c r="I359" s="27">
        <f>IF(C359="","",SUMIFS(tbl_Finance[Ex GST],tbl_Finance[Job Number],C359&amp;"",tbl_Finance[Xero Invoice No],"&lt;&gt;"))</f>
        <v/>
      </c>
      <c r="J359" s="27">
        <f>IF(C359="","",H359-I359)</f>
        <v/>
      </c>
      <c r="K359" s="25">
        <f>IF(C359="","",IF(G359=0,"not invoiced yet",SUBSTITUTE(TRIM(IF(COUNTIFS(tbl_Finance[Job Number],C359&amp;"",tbl_Finance[Cost Centre],"ONSITE")&gt;0,"ONSITE ","")&amp;IF(COUNTIFS(tbl_Finance[Job Number],C359&amp;"",tbl_Finance[Cost Centre],"PRODUCTION")&gt;0,"PRODUCTION ","")&amp;IF(COUNTIFS(tbl_Finance[Job Number],C359&amp;"",tbl_Finance[Cost Centre],"VIDEO")&gt;0,"VIDEO ","")&amp;IF(COUNTIFS(tbl_Finance[Job Number],C359&amp;"",tbl_Finance[Cost Centre],"INTEGRATION")&gt;0,"INTEGRATION ","")&amp;IF(COUNTIFS(tbl_Finance[Job Number],C359&amp;"",tbl_Finance[Cost Centre],"CONSULTING")&gt;0,"CONSULTING ","")&amp;IF(COUNTIFS(tbl_Finance[Job Number],C359&amp;"",tbl_Finance[Cost Centre],"CTS")&gt;0,"CTS ",""))," ",", ")))</f>
        <v/>
      </c>
      <c r="L359" s="24" t="n"/>
      <c r="M359" s="25">
        <f>IF(L359="","",HYPERLINK(IF(LEFT(L359,4)="http",L359,set_QwilrBase&amp;L359),"Open quote"))</f>
        <v/>
      </c>
      <c r="N359" s="26" t="n"/>
      <c r="O359" s="26" t="n"/>
      <c r="P359" s="26" t="n"/>
      <c r="Q359" s="25">
        <f>IF(C359="","",IF(N(N359)+N(O359)+N(P359)=0,"Not split",IF(ROUND(N(N359)+N(O359)+N(P359),2)=ROUND(H359,2),"OK","MISMATCH")))</f>
        <v/>
      </c>
      <c r="R359" s="26" t="n"/>
      <c r="S359" s="26" t="n"/>
      <c r="T359" s="26" t="n"/>
      <c r="U359" s="27">
        <f>IF(C359="","",N(R359)+N(S359)+N(T359))</f>
        <v/>
      </c>
      <c r="V359" s="27">
        <f>IF(C359="","",H359-U359)</f>
        <v/>
      </c>
      <c r="W359" s="29">
        <f>IFERROR(V359/H359,"")</f>
        <v/>
      </c>
      <c r="X359" s="24" t="n"/>
    </row>
    <row r="360" ht="15" customHeight="1">
      <c r="A360" s="68">
        <f>IF(C360="","",IFERROR(IF(SUMPRODUCT(MAX((tbl_Finance[Job Number]=C360&amp;"")*(tbl_Finance[Xero Invoice No]&lt;&gt;"")*tbl_Finance[Date]))=0,"",SUMPRODUCT(MAX((tbl_Finance[Job Number]=C360&amp;"")*(tbl_Finance[Xero Invoice No]&lt;&gt;"")*tbl_Finance[Date]))),""))</f>
        <v/>
      </c>
      <c r="B360" s="25">
        <f>IF(C360="","",IF(COUNTIFS(tbl_Finance[Job Number],C360&amp;"",tbl_Finance[Xero Invoice No],"&lt;&gt;")=0,"",IFERROR(IF(COUNTIFS(tbl_Finance[Job Number],C360&amp;"",tbl_Finance[Xero Invoice No],LOOKUP(2,1/((tbl_Finance[Job Number]=C360&amp;"")*(tbl_Finance[Xero Invoice No]&lt;&gt;"")),tbl_Finance[Xero Invoice No]))=COUNTIFS(tbl_Finance[Job Number],C360&amp;"",tbl_Finance[Xero Invoice No],"&lt;&gt;"),LOOKUP(2,1/((tbl_Finance[Job Number]=C360&amp;"")*(tbl_Finance[Xero Invoice No]&lt;&gt;"")),tbl_Finance[Xero Invoice No]),LOOKUP(2,1/((tbl_Finance[Job Number]=C360&amp;"")*(tbl_Finance[Xero Invoice No]&lt;&gt;"")),tbl_Finance[Xero Invoice No])&amp;" +more"),"")))</f>
        <v/>
      </c>
      <c r="C360" s="24" t="n"/>
      <c r="D360" s="25">
        <f>IF(C360="","",IF(COUNTIF(lst_Jobs,C360&amp;"")&gt;0,"OK","CHECK"))</f>
        <v/>
      </c>
      <c r="E360" s="25">
        <f>IF(C360="","",IFERROR(INDEX(lst_JobName,MATCH(C360&amp;"",lst_Jobs,0)),""))</f>
        <v/>
      </c>
      <c r="F360" s="25">
        <f>IF(C360="","",IFERROR(INDEX(tbl_Finance[Client],MATCH(C360&amp;"",tbl_Finance[Job Number],0)),""))</f>
        <v/>
      </c>
      <c r="G360" s="28">
        <f>IF(C360="","",COUNTIFS(tbl_Finance[Job Number],C360&amp;"",tbl_Finance[Ex GST],"&lt;&gt;"))</f>
        <v/>
      </c>
      <c r="H360" s="27">
        <f>IF(C360="","",SUMIFS(tbl_Finance[Ex GST],tbl_Finance[Job Number],C360&amp;""))</f>
        <v/>
      </c>
      <c r="I360" s="27">
        <f>IF(C360="","",SUMIFS(tbl_Finance[Ex GST],tbl_Finance[Job Number],C360&amp;"",tbl_Finance[Xero Invoice No],"&lt;&gt;"))</f>
        <v/>
      </c>
      <c r="J360" s="27">
        <f>IF(C360="","",H360-I360)</f>
        <v/>
      </c>
      <c r="K360" s="25">
        <f>IF(C360="","",IF(G360=0,"not invoiced yet",SUBSTITUTE(TRIM(IF(COUNTIFS(tbl_Finance[Job Number],C360&amp;"",tbl_Finance[Cost Centre],"ONSITE")&gt;0,"ONSITE ","")&amp;IF(COUNTIFS(tbl_Finance[Job Number],C360&amp;"",tbl_Finance[Cost Centre],"PRODUCTION")&gt;0,"PRODUCTION ","")&amp;IF(COUNTIFS(tbl_Finance[Job Number],C360&amp;"",tbl_Finance[Cost Centre],"VIDEO")&gt;0,"VIDEO ","")&amp;IF(COUNTIFS(tbl_Finance[Job Number],C360&amp;"",tbl_Finance[Cost Centre],"INTEGRATION")&gt;0,"INTEGRATION ","")&amp;IF(COUNTIFS(tbl_Finance[Job Number],C360&amp;"",tbl_Finance[Cost Centre],"CONSULTING")&gt;0,"CONSULTING ","")&amp;IF(COUNTIFS(tbl_Finance[Job Number],C360&amp;"",tbl_Finance[Cost Centre],"CTS")&gt;0,"CTS ",""))," ",", ")))</f>
        <v/>
      </c>
      <c r="L360" s="24" t="n"/>
      <c r="M360" s="25">
        <f>IF(L360="","",HYPERLINK(IF(LEFT(L360,4)="http",L360,set_QwilrBase&amp;L360),"Open quote"))</f>
        <v/>
      </c>
      <c r="N360" s="26" t="n"/>
      <c r="O360" s="26" t="n"/>
      <c r="P360" s="26" t="n"/>
      <c r="Q360" s="25">
        <f>IF(C360="","",IF(N(N360)+N(O360)+N(P360)=0,"Not split",IF(ROUND(N(N360)+N(O360)+N(P360),2)=ROUND(H360,2),"OK","MISMATCH")))</f>
        <v/>
      </c>
      <c r="R360" s="26" t="n"/>
      <c r="S360" s="26" t="n"/>
      <c r="T360" s="26" t="n"/>
      <c r="U360" s="27">
        <f>IF(C360="","",N(R360)+N(S360)+N(T360))</f>
        <v/>
      </c>
      <c r="V360" s="27">
        <f>IF(C360="","",H360-U360)</f>
        <v/>
      </c>
      <c r="W360" s="29">
        <f>IFERROR(V360/H360,"")</f>
        <v/>
      </c>
      <c r="X360" s="24" t="n"/>
    </row>
    <row r="361" ht="15" customHeight="1">
      <c r="A361" s="68">
        <f>IF(C361="","",IFERROR(IF(SUMPRODUCT(MAX((tbl_Finance[Job Number]=C361&amp;"")*(tbl_Finance[Xero Invoice No]&lt;&gt;"")*tbl_Finance[Date]))=0,"",SUMPRODUCT(MAX((tbl_Finance[Job Number]=C361&amp;"")*(tbl_Finance[Xero Invoice No]&lt;&gt;"")*tbl_Finance[Date]))),""))</f>
        <v/>
      </c>
      <c r="B361" s="25">
        <f>IF(C361="","",IF(COUNTIFS(tbl_Finance[Job Number],C361&amp;"",tbl_Finance[Xero Invoice No],"&lt;&gt;")=0,"",IFERROR(IF(COUNTIFS(tbl_Finance[Job Number],C361&amp;"",tbl_Finance[Xero Invoice No],LOOKUP(2,1/((tbl_Finance[Job Number]=C361&amp;"")*(tbl_Finance[Xero Invoice No]&lt;&gt;"")),tbl_Finance[Xero Invoice No]))=COUNTIFS(tbl_Finance[Job Number],C361&amp;"",tbl_Finance[Xero Invoice No],"&lt;&gt;"),LOOKUP(2,1/((tbl_Finance[Job Number]=C361&amp;"")*(tbl_Finance[Xero Invoice No]&lt;&gt;"")),tbl_Finance[Xero Invoice No]),LOOKUP(2,1/((tbl_Finance[Job Number]=C361&amp;"")*(tbl_Finance[Xero Invoice No]&lt;&gt;"")),tbl_Finance[Xero Invoice No])&amp;" +more"),"")))</f>
        <v/>
      </c>
      <c r="C361" s="24" t="n"/>
      <c r="D361" s="25">
        <f>IF(C361="","",IF(COUNTIF(lst_Jobs,C361&amp;"")&gt;0,"OK","CHECK"))</f>
        <v/>
      </c>
      <c r="E361" s="25">
        <f>IF(C361="","",IFERROR(INDEX(lst_JobName,MATCH(C361&amp;"",lst_Jobs,0)),""))</f>
        <v/>
      </c>
      <c r="F361" s="25">
        <f>IF(C361="","",IFERROR(INDEX(tbl_Finance[Client],MATCH(C361&amp;"",tbl_Finance[Job Number],0)),""))</f>
        <v/>
      </c>
      <c r="G361" s="28">
        <f>IF(C361="","",COUNTIFS(tbl_Finance[Job Number],C361&amp;"",tbl_Finance[Ex GST],"&lt;&gt;"))</f>
        <v/>
      </c>
      <c r="H361" s="27">
        <f>IF(C361="","",SUMIFS(tbl_Finance[Ex GST],tbl_Finance[Job Number],C361&amp;""))</f>
        <v/>
      </c>
      <c r="I361" s="27">
        <f>IF(C361="","",SUMIFS(tbl_Finance[Ex GST],tbl_Finance[Job Number],C361&amp;"",tbl_Finance[Xero Invoice No],"&lt;&gt;"))</f>
        <v/>
      </c>
      <c r="J361" s="27">
        <f>IF(C361="","",H361-I361)</f>
        <v/>
      </c>
      <c r="K361" s="25">
        <f>IF(C361="","",IF(G361=0,"not invoiced yet",SUBSTITUTE(TRIM(IF(COUNTIFS(tbl_Finance[Job Number],C361&amp;"",tbl_Finance[Cost Centre],"ONSITE")&gt;0,"ONSITE ","")&amp;IF(COUNTIFS(tbl_Finance[Job Number],C361&amp;"",tbl_Finance[Cost Centre],"PRODUCTION")&gt;0,"PRODUCTION ","")&amp;IF(COUNTIFS(tbl_Finance[Job Number],C361&amp;"",tbl_Finance[Cost Centre],"VIDEO")&gt;0,"VIDEO ","")&amp;IF(COUNTIFS(tbl_Finance[Job Number],C361&amp;"",tbl_Finance[Cost Centre],"INTEGRATION")&gt;0,"INTEGRATION ","")&amp;IF(COUNTIFS(tbl_Finance[Job Number],C361&amp;"",tbl_Finance[Cost Centre],"CONSULTING")&gt;0,"CONSULTING ","")&amp;IF(COUNTIFS(tbl_Finance[Job Number],C361&amp;"",tbl_Finance[Cost Centre],"CTS")&gt;0,"CTS ",""))," ",", ")))</f>
        <v/>
      </c>
      <c r="L361" s="24" t="n"/>
      <c r="M361" s="25">
        <f>IF(L361="","",HYPERLINK(IF(LEFT(L361,4)="http",L361,set_QwilrBase&amp;L361),"Open quote"))</f>
        <v/>
      </c>
      <c r="N361" s="26" t="n"/>
      <c r="O361" s="26" t="n"/>
      <c r="P361" s="26" t="n"/>
      <c r="Q361" s="25">
        <f>IF(C361="","",IF(N(N361)+N(O361)+N(P361)=0,"Not split",IF(ROUND(N(N361)+N(O361)+N(P361),2)=ROUND(H361,2),"OK","MISMATCH")))</f>
        <v/>
      </c>
      <c r="R361" s="26" t="n"/>
      <c r="S361" s="26" t="n"/>
      <c r="T361" s="26" t="n"/>
      <c r="U361" s="27">
        <f>IF(C361="","",N(R361)+N(S361)+N(T361))</f>
        <v/>
      </c>
      <c r="V361" s="27">
        <f>IF(C361="","",H361-U361)</f>
        <v/>
      </c>
      <c r="W361" s="29">
        <f>IFERROR(V361/H361,"")</f>
        <v/>
      </c>
      <c r="X361" s="24" t="n"/>
    </row>
    <row r="362" ht="15" customHeight="1">
      <c r="A362" s="68">
        <f>IF(C362="","",IFERROR(IF(SUMPRODUCT(MAX((tbl_Finance[Job Number]=C362&amp;"")*(tbl_Finance[Xero Invoice No]&lt;&gt;"")*tbl_Finance[Date]))=0,"",SUMPRODUCT(MAX((tbl_Finance[Job Number]=C362&amp;"")*(tbl_Finance[Xero Invoice No]&lt;&gt;"")*tbl_Finance[Date]))),""))</f>
        <v/>
      </c>
      <c r="B362" s="25">
        <f>IF(C362="","",IF(COUNTIFS(tbl_Finance[Job Number],C362&amp;"",tbl_Finance[Xero Invoice No],"&lt;&gt;")=0,"",IFERROR(IF(COUNTIFS(tbl_Finance[Job Number],C362&amp;"",tbl_Finance[Xero Invoice No],LOOKUP(2,1/((tbl_Finance[Job Number]=C362&amp;"")*(tbl_Finance[Xero Invoice No]&lt;&gt;"")),tbl_Finance[Xero Invoice No]))=COUNTIFS(tbl_Finance[Job Number],C362&amp;"",tbl_Finance[Xero Invoice No],"&lt;&gt;"),LOOKUP(2,1/((tbl_Finance[Job Number]=C362&amp;"")*(tbl_Finance[Xero Invoice No]&lt;&gt;"")),tbl_Finance[Xero Invoice No]),LOOKUP(2,1/((tbl_Finance[Job Number]=C362&amp;"")*(tbl_Finance[Xero Invoice No]&lt;&gt;"")),tbl_Finance[Xero Invoice No])&amp;" +more"),"")))</f>
        <v/>
      </c>
      <c r="C362" s="24" t="n"/>
      <c r="D362" s="25">
        <f>IF(C362="","",IF(COUNTIF(lst_Jobs,C362&amp;"")&gt;0,"OK","CHECK"))</f>
        <v/>
      </c>
      <c r="E362" s="25">
        <f>IF(C362="","",IFERROR(INDEX(lst_JobName,MATCH(C362&amp;"",lst_Jobs,0)),""))</f>
        <v/>
      </c>
      <c r="F362" s="25">
        <f>IF(C362="","",IFERROR(INDEX(tbl_Finance[Client],MATCH(C362&amp;"",tbl_Finance[Job Number],0)),""))</f>
        <v/>
      </c>
      <c r="G362" s="28">
        <f>IF(C362="","",COUNTIFS(tbl_Finance[Job Number],C362&amp;"",tbl_Finance[Ex GST],"&lt;&gt;"))</f>
        <v/>
      </c>
      <c r="H362" s="27">
        <f>IF(C362="","",SUMIFS(tbl_Finance[Ex GST],tbl_Finance[Job Number],C362&amp;""))</f>
        <v/>
      </c>
      <c r="I362" s="27">
        <f>IF(C362="","",SUMIFS(tbl_Finance[Ex GST],tbl_Finance[Job Number],C362&amp;"",tbl_Finance[Xero Invoice No],"&lt;&gt;"))</f>
        <v/>
      </c>
      <c r="J362" s="27">
        <f>IF(C362="","",H362-I362)</f>
        <v/>
      </c>
      <c r="K362" s="25">
        <f>IF(C362="","",IF(G362=0,"not invoiced yet",SUBSTITUTE(TRIM(IF(COUNTIFS(tbl_Finance[Job Number],C362&amp;"",tbl_Finance[Cost Centre],"ONSITE")&gt;0,"ONSITE ","")&amp;IF(COUNTIFS(tbl_Finance[Job Number],C362&amp;"",tbl_Finance[Cost Centre],"PRODUCTION")&gt;0,"PRODUCTION ","")&amp;IF(COUNTIFS(tbl_Finance[Job Number],C362&amp;"",tbl_Finance[Cost Centre],"VIDEO")&gt;0,"VIDEO ","")&amp;IF(COUNTIFS(tbl_Finance[Job Number],C362&amp;"",tbl_Finance[Cost Centre],"INTEGRATION")&gt;0,"INTEGRATION ","")&amp;IF(COUNTIFS(tbl_Finance[Job Number],C362&amp;"",tbl_Finance[Cost Centre],"CONSULTING")&gt;0,"CONSULTING ","")&amp;IF(COUNTIFS(tbl_Finance[Job Number],C362&amp;"",tbl_Finance[Cost Centre],"CTS")&gt;0,"CTS ",""))," ",", ")))</f>
        <v/>
      </c>
      <c r="L362" s="24" t="n"/>
      <c r="M362" s="25">
        <f>IF(L362="","",HYPERLINK(IF(LEFT(L362,4)="http",L362,set_QwilrBase&amp;L362),"Open quote"))</f>
        <v/>
      </c>
      <c r="N362" s="26" t="n"/>
      <c r="O362" s="26" t="n"/>
      <c r="P362" s="26" t="n"/>
      <c r="Q362" s="25">
        <f>IF(C362="","",IF(N(N362)+N(O362)+N(P362)=0,"Not split",IF(ROUND(N(N362)+N(O362)+N(P362),2)=ROUND(H362,2),"OK","MISMATCH")))</f>
        <v/>
      </c>
      <c r="R362" s="26" t="n"/>
      <c r="S362" s="26" t="n"/>
      <c r="T362" s="26" t="n"/>
      <c r="U362" s="27">
        <f>IF(C362="","",N(R362)+N(S362)+N(T362))</f>
        <v/>
      </c>
      <c r="V362" s="27">
        <f>IF(C362="","",H362-U362)</f>
        <v/>
      </c>
      <c r="W362" s="29">
        <f>IFERROR(V362/H362,"")</f>
        <v/>
      </c>
      <c r="X362" s="24" t="n"/>
    </row>
    <row r="363" ht="15" customHeight="1">
      <c r="A363" s="68">
        <f>IF(C363="","",IFERROR(IF(SUMPRODUCT(MAX((tbl_Finance[Job Number]=C363&amp;"")*(tbl_Finance[Xero Invoice No]&lt;&gt;"")*tbl_Finance[Date]))=0,"",SUMPRODUCT(MAX((tbl_Finance[Job Number]=C363&amp;"")*(tbl_Finance[Xero Invoice No]&lt;&gt;"")*tbl_Finance[Date]))),""))</f>
        <v/>
      </c>
      <c r="B363" s="25">
        <f>IF(C363="","",IF(COUNTIFS(tbl_Finance[Job Number],C363&amp;"",tbl_Finance[Xero Invoice No],"&lt;&gt;")=0,"",IFERROR(IF(COUNTIFS(tbl_Finance[Job Number],C363&amp;"",tbl_Finance[Xero Invoice No],LOOKUP(2,1/((tbl_Finance[Job Number]=C363&amp;"")*(tbl_Finance[Xero Invoice No]&lt;&gt;"")),tbl_Finance[Xero Invoice No]))=COUNTIFS(tbl_Finance[Job Number],C363&amp;"",tbl_Finance[Xero Invoice No],"&lt;&gt;"),LOOKUP(2,1/((tbl_Finance[Job Number]=C363&amp;"")*(tbl_Finance[Xero Invoice No]&lt;&gt;"")),tbl_Finance[Xero Invoice No]),LOOKUP(2,1/((tbl_Finance[Job Number]=C363&amp;"")*(tbl_Finance[Xero Invoice No]&lt;&gt;"")),tbl_Finance[Xero Invoice No])&amp;" +more"),"")))</f>
        <v/>
      </c>
      <c r="C363" s="24" t="n"/>
      <c r="D363" s="25">
        <f>IF(C363="","",IF(COUNTIF(lst_Jobs,C363&amp;"")&gt;0,"OK","CHECK"))</f>
        <v/>
      </c>
      <c r="E363" s="25">
        <f>IF(C363="","",IFERROR(INDEX(lst_JobName,MATCH(C363&amp;"",lst_Jobs,0)),""))</f>
        <v/>
      </c>
      <c r="F363" s="25">
        <f>IF(C363="","",IFERROR(INDEX(tbl_Finance[Client],MATCH(C363&amp;"",tbl_Finance[Job Number],0)),""))</f>
        <v/>
      </c>
      <c r="G363" s="28">
        <f>IF(C363="","",COUNTIFS(tbl_Finance[Job Number],C363&amp;"",tbl_Finance[Ex GST],"&lt;&gt;"))</f>
        <v/>
      </c>
      <c r="H363" s="27">
        <f>IF(C363="","",SUMIFS(tbl_Finance[Ex GST],tbl_Finance[Job Number],C363&amp;""))</f>
        <v/>
      </c>
      <c r="I363" s="27">
        <f>IF(C363="","",SUMIFS(tbl_Finance[Ex GST],tbl_Finance[Job Number],C363&amp;"",tbl_Finance[Xero Invoice No],"&lt;&gt;"))</f>
        <v/>
      </c>
      <c r="J363" s="27">
        <f>IF(C363="","",H363-I363)</f>
        <v/>
      </c>
      <c r="K363" s="25">
        <f>IF(C363="","",IF(G363=0,"not invoiced yet",SUBSTITUTE(TRIM(IF(COUNTIFS(tbl_Finance[Job Number],C363&amp;"",tbl_Finance[Cost Centre],"ONSITE")&gt;0,"ONSITE ","")&amp;IF(COUNTIFS(tbl_Finance[Job Number],C363&amp;"",tbl_Finance[Cost Centre],"PRODUCTION")&gt;0,"PRODUCTION ","")&amp;IF(COUNTIFS(tbl_Finance[Job Number],C363&amp;"",tbl_Finance[Cost Centre],"VIDEO")&gt;0,"VIDEO ","")&amp;IF(COUNTIFS(tbl_Finance[Job Number],C363&amp;"",tbl_Finance[Cost Centre],"INTEGRATION")&gt;0,"INTEGRATION ","")&amp;IF(COUNTIFS(tbl_Finance[Job Number],C363&amp;"",tbl_Finance[Cost Centre],"CONSULTING")&gt;0,"CONSULTING ","")&amp;IF(COUNTIFS(tbl_Finance[Job Number],C363&amp;"",tbl_Finance[Cost Centre],"CTS")&gt;0,"CTS ",""))," ",", ")))</f>
        <v/>
      </c>
      <c r="L363" s="24" t="n"/>
      <c r="M363" s="25">
        <f>IF(L363="","",HYPERLINK(IF(LEFT(L363,4)="http",L363,set_QwilrBase&amp;L363),"Open quote"))</f>
        <v/>
      </c>
      <c r="N363" s="26" t="n"/>
      <c r="O363" s="26" t="n"/>
      <c r="P363" s="26" t="n"/>
      <c r="Q363" s="25">
        <f>IF(C363="","",IF(N(N363)+N(O363)+N(P363)=0,"Not split",IF(ROUND(N(N363)+N(O363)+N(P363),2)=ROUND(H363,2),"OK","MISMATCH")))</f>
        <v/>
      </c>
      <c r="R363" s="26" t="n"/>
      <c r="S363" s="26" t="n"/>
      <c r="T363" s="26" t="n"/>
      <c r="U363" s="27">
        <f>IF(C363="","",N(R363)+N(S363)+N(T363))</f>
        <v/>
      </c>
      <c r="V363" s="27">
        <f>IF(C363="","",H363-U363)</f>
        <v/>
      </c>
      <c r="W363" s="29">
        <f>IFERROR(V363/H363,"")</f>
        <v/>
      </c>
      <c r="X363" s="24" t="n"/>
    </row>
    <row r="364" ht="15" customHeight="1">
      <c r="A364" s="68">
        <f>IF(C364="","",IFERROR(IF(SUMPRODUCT(MAX((tbl_Finance[Job Number]=C364&amp;"")*(tbl_Finance[Xero Invoice No]&lt;&gt;"")*tbl_Finance[Date]))=0,"",SUMPRODUCT(MAX((tbl_Finance[Job Number]=C364&amp;"")*(tbl_Finance[Xero Invoice No]&lt;&gt;"")*tbl_Finance[Date]))),""))</f>
        <v/>
      </c>
      <c r="B364" s="25">
        <f>IF(C364="","",IF(COUNTIFS(tbl_Finance[Job Number],C364&amp;"",tbl_Finance[Xero Invoice No],"&lt;&gt;")=0,"",IFERROR(IF(COUNTIFS(tbl_Finance[Job Number],C364&amp;"",tbl_Finance[Xero Invoice No],LOOKUP(2,1/((tbl_Finance[Job Number]=C364&amp;"")*(tbl_Finance[Xero Invoice No]&lt;&gt;"")),tbl_Finance[Xero Invoice No]))=COUNTIFS(tbl_Finance[Job Number],C364&amp;"",tbl_Finance[Xero Invoice No],"&lt;&gt;"),LOOKUP(2,1/((tbl_Finance[Job Number]=C364&amp;"")*(tbl_Finance[Xero Invoice No]&lt;&gt;"")),tbl_Finance[Xero Invoice No]),LOOKUP(2,1/((tbl_Finance[Job Number]=C364&amp;"")*(tbl_Finance[Xero Invoice No]&lt;&gt;"")),tbl_Finance[Xero Invoice No])&amp;" +more"),"")))</f>
        <v/>
      </c>
      <c r="C364" s="24" t="n"/>
      <c r="D364" s="25">
        <f>IF(C364="","",IF(COUNTIF(lst_Jobs,C364&amp;"")&gt;0,"OK","CHECK"))</f>
        <v/>
      </c>
      <c r="E364" s="25">
        <f>IF(C364="","",IFERROR(INDEX(lst_JobName,MATCH(C364&amp;"",lst_Jobs,0)),""))</f>
        <v/>
      </c>
      <c r="F364" s="25">
        <f>IF(C364="","",IFERROR(INDEX(tbl_Finance[Client],MATCH(C364&amp;"",tbl_Finance[Job Number],0)),""))</f>
        <v/>
      </c>
      <c r="G364" s="28">
        <f>IF(C364="","",COUNTIFS(tbl_Finance[Job Number],C364&amp;"",tbl_Finance[Ex GST],"&lt;&gt;"))</f>
        <v/>
      </c>
      <c r="H364" s="27">
        <f>IF(C364="","",SUMIFS(tbl_Finance[Ex GST],tbl_Finance[Job Number],C364&amp;""))</f>
        <v/>
      </c>
      <c r="I364" s="27">
        <f>IF(C364="","",SUMIFS(tbl_Finance[Ex GST],tbl_Finance[Job Number],C364&amp;"",tbl_Finance[Xero Invoice No],"&lt;&gt;"))</f>
        <v/>
      </c>
      <c r="J364" s="27">
        <f>IF(C364="","",H364-I364)</f>
        <v/>
      </c>
      <c r="K364" s="25">
        <f>IF(C364="","",IF(G364=0,"not invoiced yet",SUBSTITUTE(TRIM(IF(COUNTIFS(tbl_Finance[Job Number],C364&amp;"",tbl_Finance[Cost Centre],"ONSITE")&gt;0,"ONSITE ","")&amp;IF(COUNTIFS(tbl_Finance[Job Number],C364&amp;"",tbl_Finance[Cost Centre],"PRODUCTION")&gt;0,"PRODUCTION ","")&amp;IF(COUNTIFS(tbl_Finance[Job Number],C364&amp;"",tbl_Finance[Cost Centre],"VIDEO")&gt;0,"VIDEO ","")&amp;IF(COUNTIFS(tbl_Finance[Job Number],C364&amp;"",tbl_Finance[Cost Centre],"INTEGRATION")&gt;0,"INTEGRATION ","")&amp;IF(COUNTIFS(tbl_Finance[Job Number],C364&amp;"",tbl_Finance[Cost Centre],"CONSULTING")&gt;0,"CONSULTING ","")&amp;IF(COUNTIFS(tbl_Finance[Job Number],C364&amp;"",tbl_Finance[Cost Centre],"CTS")&gt;0,"CTS ",""))," ",", ")))</f>
        <v/>
      </c>
      <c r="L364" s="24" t="n"/>
      <c r="M364" s="25">
        <f>IF(L364="","",HYPERLINK(IF(LEFT(L364,4)="http",L364,set_QwilrBase&amp;L364),"Open quote"))</f>
        <v/>
      </c>
      <c r="N364" s="26" t="n"/>
      <c r="O364" s="26" t="n"/>
      <c r="P364" s="26" t="n"/>
      <c r="Q364" s="25">
        <f>IF(C364="","",IF(N(N364)+N(O364)+N(P364)=0,"Not split",IF(ROUND(N(N364)+N(O364)+N(P364),2)=ROUND(H364,2),"OK","MISMATCH")))</f>
        <v/>
      </c>
      <c r="R364" s="26" t="n"/>
      <c r="S364" s="26" t="n"/>
      <c r="T364" s="26" t="n"/>
      <c r="U364" s="27">
        <f>IF(C364="","",N(R364)+N(S364)+N(T364))</f>
        <v/>
      </c>
      <c r="V364" s="27">
        <f>IF(C364="","",H364-U364)</f>
        <v/>
      </c>
      <c r="W364" s="29">
        <f>IFERROR(V364/H364,"")</f>
        <v/>
      </c>
      <c r="X364" s="24" t="n"/>
    </row>
    <row r="365" ht="15" customHeight="1">
      <c r="A365" s="68">
        <f>IF(C365="","",IFERROR(IF(SUMPRODUCT(MAX((tbl_Finance[Job Number]=C365&amp;"")*(tbl_Finance[Xero Invoice No]&lt;&gt;"")*tbl_Finance[Date]))=0,"",SUMPRODUCT(MAX((tbl_Finance[Job Number]=C365&amp;"")*(tbl_Finance[Xero Invoice No]&lt;&gt;"")*tbl_Finance[Date]))),""))</f>
        <v/>
      </c>
      <c r="B365" s="25">
        <f>IF(C365="","",IF(COUNTIFS(tbl_Finance[Job Number],C365&amp;"",tbl_Finance[Xero Invoice No],"&lt;&gt;")=0,"",IFERROR(IF(COUNTIFS(tbl_Finance[Job Number],C365&amp;"",tbl_Finance[Xero Invoice No],LOOKUP(2,1/((tbl_Finance[Job Number]=C365&amp;"")*(tbl_Finance[Xero Invoice No]&lt;&gt;"")),tbl_Finance[Xero Invoice No]))=COUNTIFS(tbl_Finance[Job Number],C365&amp;"",tbl_Finance[Xero Invoice No],"&lt;&gt;"),LOOKUP(2,1/((tbl_Finance[Job Number]=C365&amp;"")*(tbl_Finance[Xero Invoice No]&lt;&gt;"")),tbl_Finance[Xero Invoice No]),LOOKUP(2,1/((tbl_Finance[Job Number]=C365&amp;"")*(tbl_Finance[Xero Invoice No]&lt;&gt;"")),tbl_Finance[Xero Invoice No])&amp;" +more"),"")))</f>
        <v/>
      </c>
      <c r="C365" s="24" t="n"/>
      <c r="D365" s="25">
        <f>IF(C365="","",IF(COUNTIF(lst_Jobs,C365&amp;"")&gt;0,"OK","CHECK"))</f>
        <v/>
      </c>
      <c r="E365" s="25">
        <f>IF(C365="","",IFERROR(INDEX(lst_JobName,MATCH(C365&amp;"",lst_Jobs,0)),""))</f>
        <v/>
      </c>
      <c r="F365" s="25">
        <f>IF(C365="","",IFERROR(INDEX(tbl_Finance[Client],MATCH(C365&amp;"",tbl_Finance[Job Number],0)),""))</f>
        <v/>
      </c>
      <c r="G365" s="28">
        <f>IF(C365="","",COUNTIFS(tbl_Finance[Job Number],C365&amp;"",tbl_Finance[Ex GST],"&lt;&gt;"))</f>
        <v/>
      </c>
      <c r="H365" s="27">
        <f>IF(C365="","",SUMIFS(tbl_Finance[Ex GST],tbl_Finance[Job Number],C365&amp;""))</f>
        <v/>
      </c>
      <c r="I365" s="27">
        <f>IF(C365="","",SUMIFS(tbl_Finance[Ex GST],tbl_Finance[Job Number],C365&amp;"",tbl_Finance[Xero Invoice No],"&lt;&gt;"))</f>
        <v/>
      </c>
      <c r="J365" s="27">
        <f>IF(C365="","",H365-I365)</f>
        <v/>
      </c>
      <c r="K365" s="25">
        <f>IF(C365="","",IF(G365=0,"not invoiced yet",SUBSTITUTE(TRIM(IF(COUNTIFS(tbl_Finance[Job Number],C365&amp;"",tbl_Finance[Cost Centre],"ONSITE")&gt;0,"ONSITE ","")&amp;IF(COUNTIFS(tbl_Finance[Job Number],C365&amp;"",tbl_Finance[Cost Centre],"PRODUCTION")&gt;0,"PRODUCTION ","")&amp;IF(COUNTIFS(tbl_Finance[Job Number],C365&amp;"",tbl_Finance[Cost Centre],"VIDEO")&gt;0,"VIDEO ","")&amp;IF(COUNTIFS(tbl_Finance[Job Number],C365&amp;"",tbl_Finance[Cost Centre],"INTEGRATION")&gt;0,"INTEGRATION ","")&amp;IF(COUNTIFS(tbl_Finance[Job Number],C365&amp;"",tbl_Finance[Cost Centre],"CONSULTING")&gt;0,"CONSULTING ","")&amp;IF(COUNTIFS(tbl_Finance[Job Number],C365&amp;"",tbl_Finance[Cost Centre],"CTS")&gt;0,"CTS ",""))," ",", ")))</f>
        <v/>
      </c>
      <c r="L365" s="24" t="n"/>
      <c r="M365" s="25">
        <f>IF(L365="","",HYPERLINK(IF(LEFT(L365,4)="http",L365,set_QwilrBase&amp;L365),"Open quote"))</f>
        <v/>
      </c>
      <c r="N365" s="26" t="n"/>
      <c r="O365" s="26" t="n"/>
      <c r="P365" s="26" t="n"/>
      <c r="Q365" s="25">
        <f>IF(C365="","",IF(N(N365)+N(O365)+N(P365)=0,"Not split",IF(ROUND(N(N365)+N(O365)+N(P365),2)=ROUND(H365,2),"OK","MISMATCH")))</f>
        <v/>
      </c>
      <c r="R365" s="26" t="n"/>
      <c r="S365" s="26" t="n"/>
      <c r="T365" s="26" t="n"/>
      <c r="U365" s="27">
        <f>IF(C365="","",N(R365)+N(S365)+N(T365))</f>
        <v/>
      </c>
      <c r="V365" s="27">
        <f>IF(C365="","",H365-U365)</f>
        <v/>
      </c>
      <c r="W365" s="29">
        <f>IFERROR(V365/H365,"")</f>
        <v/>
      </c>
      <c r="X365" s="24" t="n"/>
    </row>
    <row r="366" ht="15" customHeight="1">
      <c r="A366" s="68">
        <f>IF(C366="","",IFERROR(IF(SUMPRODUCT(MAX((tbl_Finance[Job Number]=C366&amp;"")*(tbl_Finance[Xero Invoice No]&lt;&gt;"")*tbl_Finance[Date]))=0,"",SUMPRODUCT(MAX((tbl_Finance[Job Number]=C366&amp;"")*(tbl_Finance[Xero Invoice No]&lt;&gt;"")*tbl_Finance[Date]))),""))</f>
        <v/>
      </c>
      <c r="B366" s="25">
        <f>IF(C366="","",IF(COUNTIFS(tbl_Finance[Job Number],C366&amp;"",tbl_Finance[Xero Invoice No],"&lt;&gt;")=0,"",IFERROR(IF(COUNTIFS(tbl_Finance[Job Number],C366&amp;"",tbl_Finance[Xero Invoice No],LOOKUP(2,1/((tbl_Finance[Job Number]=C366&amp;"")*(tbl_Finance[Xero Invoice No]&lt;&gt;"")),tbl_Finance[Xero Invoice No]))=COUNTIFS(tbl_Finance[Job Number],C366&amp;"",tbl_Finance[Xero Invoice No],"&lt;&gt;"),LOOKUP(2,1/((tbl_Finance[Job Number]=C366&amp;"")*(tbl_Finance[Xero Invoice No]&lt;&gt;"")),tbl_Finance[Xero Invoice No]),LOOKUP(2,1/((tbl_Finance[Job Number]=C366&amp;"")*(tbl_Finance[Xero Invoice No]&lt;&gt;"")),tbl_Finance[Xero Invoice No])&amp;" +more"),"")))</f>
        <v/>
      </c>
      <c r="C366" s="24" t="n"/>
      <c r="D366" s="25">
        <f>IF(C366="","",IF(COUNTIF(lst_Jobs,C366&amp;"")&gt;0,"OK","CHECK"))</f>
        <v/>
      </c>
      <c r="E366" s="25">
        <f>IF(C366="","",IFERROR(INDEX(lst_JobName,MATCH(C366&amp;"",lst_Jobs,0)),""))</f>
        <v/>
      </c>
      <c r="F366" s="25">
        <f>IF(C366="","",IFERROR(INDEX(tbl_Finance[Client],MATCH(C366&amp;"",tbl_Finance[Job Number],0)),""))</f>
        <v/>
      </c>
      <c r="G366" s="28">
        <f>IF(C366="","",COUNTIFS(tbl_Finance[Job Number],C366&amp;"",tbl_Finance[Ex GST],"&lt;&gt;"))</f>
        <v/>
      </c>
      <c r="H366" s="27">
        <f>IF(C366="","",SUMIFS(tbl_Finance[Ex GST],tbl_Finance[Job Number],C366&amp;""))</f>
        <v/>
      </c>
      <c r="I366" s="27">
        <f>IF(C366="","",SUMIFS(tbl_Finance[Ex GST],tbl_Finance[Job Number],C366&amp;"",tbl_Finance[Xero Invoice No],"&lt;&gt;"))</f>
        <v/>
      </c>
      <c r="J366" s="27">
        <f>IF(C366="","",H366-I366)</f>
        <v/>
      </c>
      <c r="K366" s="25">
        <f>IF(C366="","",IF(G366=0,"not invoiced yet",SUBSTITUTE(TRIM(IF(COUNTIFS(tbl_Finance[Job Number],C366&amp;"",tbl_Finance[Cost Centre],"ONSITE")&gt;0,"ONSITE ","")&amp;IF(COUNTIFS(tbl_Finance[Job Number],C366&amp;"",tbl_Finance[Cost Centre],"PRODUCTION")&gt;0,"PRODUCTION ","")&amp;IF(COUNTIFS(tbl_Finance[Job Number],C366&amp;"",tbl_Finance[Cost Centre],"VIDEO")&gt;0,"VIDEO ","")&amp;IF(COUNTIFS(tbl_Finance[Job Number],C366&amp;"",tbl_Finance[Cost Centre],"INTEGRATION")&gt;0,"INTEGRATION ","")&amp;IF(COUNTIFS(tbl_Finance[Job Number],C366&amp;"",tbl_Finance[Cost Centre],"CONSULTING")&gt;0,"CONSULTING ","")&amp;IF(COUNTIFS(tbl_Finance[Job Number],C366&amp;"",tbl_Finance[Cost Centre],"CTS")&gt;0,"CTS ",""))," ",", ")))</f>
        <v/>
      </c>
      <c r="L366" s="24" t="n"/>
      <c r="M366" s="25">
        <f>IF(L366="","",HYPERLINK(IF(LEFT(L366,4)="http",L366,set_QwilrBase&amp;L366),"Open quote"))</f>
        <v/>
      </c>
      <c r="N366" s="26" t="n"/>
      <c r="O366" s="26" t="n"/>
      <c r="P366" s="26" t="n"/>
      <c r="Q366" s="25">
        <f>IF(C366="","",IF(N(N366)+N(O366)+N(P366)=0,"Not split",IF(ROUND(N(N366)+N(O366)+N(P366),2)=ROUND(H366,2),"OK","MISMATCH")))</f>
        <v/>
      </c>
      <c r="R366" s="26" t="n"/>
      <c r="S366" s="26" t="n"/>
      <c r="T366" s="26" t="n"/>
      <c r="U366" s="27">
        <f>IF(C366="","",N(R366)+N(S366)+N(T366))</f>
        <v/>
      </c>
      <c r="V366" s="27">
        <f>IF(C366="","",H366-U366)</f>
        <v/>
      </c>
      <c r="W366" s="29">
        <f>IFERROR(V366/H366,"")</f>
        <v/>
      </c>
      <c r="X366" s="24" t="n"/>
    </row>
    <row r="367" ht="15" customHeight="1">
      <c r="A367" s="68">
        <f>IF(C367="","",IFERROR(IF(SUMPRODUCT(MAX((tbl_Finance[Job Number]=C367&amp;"")*(tbl_Finance[Xero Invoice No]&lt;&gt;"")*tbl_Finance[Date]))=0,"",SUMPRODUCT(MAX((tbl_Finance[Job Number]=C367&amp;"")*(tbl_Finance[Xero Invoice No]&lt;&gt;"")*tbl_Finance[Date]))),""))</f>
        <v/>
      </c>
      <c r="B367" s="25">
        <f>IF(C367="","",IF(COUNTIFS(tbl_Finance[Job Number],C367&amp;"",tbl_Finance[Xero Invoice No],"&lt;&gt;")=0,"",IFERROR(IF(COUNTIFS(tbl_Finance[Job Number],C367&amp;"",tbl_Finance[Xero Invoice No],LOOKUP(2,1/((tbl_Finance[Job Number]=C367&amp;"")*(tbl_Finance[Xero Invoice No]&lt;&gt;"")),tbl_Finance[Xero Invoice No]))=COUNTIFS(tbl_Finance[Job Number],C367&amp;"",tbl_Finance[Xero Invoice No],"&lt;&gt;"),LOOKUP(2,1/((tbl_Finance[Job Number]=C367&amp;"")*(tbl_Finance[Xero Invoice No]&lt;&gt;"")),tbl_Finance[Xero Invoice No]),LOOKUP(2,1/((tbl_Finance[Job Number]=C367&amp;"")*(tbl_Finance[Xero Invoice No]&lt;&gt;"")),tbl_Finance[Xero Invoice No])&amp;" +more"),"")))</f>
        <v/>
      </c>
      <c r="C367" s="24" t="n"/>
      <c r="D367" s="25">
        <f>IF(C367="","",IF(COUNTIF(lst_Jobs,C367&amp;"")&gt;0,"OK","CHECK"))</f>
        <v/>
      </c>
      <c r="E367" s="25">
        <f>IF(C367="","",IFERROR(INDEX(lst_JobName,MATCH(C367&amp;"",lst_Jobs,0)),""))</f>
        <v/>
      </c>
      <c r="F367" s="25">
        <f>IF(C367="","",IFERROR(INDEX(tbl_Finance[Client],MATCH(C367&amp;"",tbl_Finance[Job Number],0)),""))</f>
        <v/>
      </c>
      <c r="G367" s="28">
        <f>IF(C367="","",COUNTIFS(tbl_Finance[Job Number],C367&amp;"",tbl_Finance[Ex GST],"&lt;&gt;"))</f>
        <v/>
      </c>
      <c r="H367" s="27">
        <f>IF(C367="","",SUMIFS(tbl_Finance[Ex GST],tbl_Finance[Job Number],C367&amp;""))</f>
        <v/>
      </c>
      <c r="I367" s="27">
        <f>IF(C367="","",SUMIFS(tbl_Finance[Ex GST],tbl_Finance[Job Number],C367&amp;"",tbl_Finance[Xero Invoice No],"&lt;&gt;"))</f>
        <v/>
      </c>
      <c r="J367" s="27">
        <f>IF(C367="","",H367-I367)</f>
        <v/>
      </c>
      <c r="K367" s="25">
        <f>IF(C367="","",IF(G367=0,"not invoiced yet",SUBSTITUTE(TRIM(IF(COUNTIFS(tbl_Finance[Job Number],C367&amp;"",tbl_Finance[Cost Centre],"ONSITE")&gt;0,"ONSITE ","")&amp;IF(COUNTIFS(tbl_Finance[Job Number],C367&amp;"",tbl_Finance[Cost Centre],"PRODUCTION")&gt;0,"PRODUCTION ","")&amp;IF(COUNTIFS(tbl_Finance[Job Number],C367&amp;"",tbl_Finance[Cost Centre],"VIDEO")&gt;0,"VIDEO ","")&amp;IF(COUNTIFS(tbl_Finance[Job Number],C367&amp;"",tbl_Finance[Cost Centre],"INTEGRATION")&gt;0,"INTEGRATION ","")&amp;IF(COUNTIFS(tbl_Finance[Job Number],C367&amp;"",tbl_Finance[Cost Centre],"CONSULTING")&gt;0,"CONSULTING ","")&amp;IF(COUNTIFS(tbl_Finance[Job Number],C367&amp;"",tbl_Finance[Cost Centre],"CTS")&gt;0,"CTS ",""))," ",", ")))</f>
        <v/>
      </c>
      <c r="L367" s="24" t="n"/>
      <c r="M367" s="25">
        <f>IF(L367="","",HYPERLINK(IF(LEFT(L367,4)="http",L367,set_QwilrBase&amp;L367),"Open quote"))</f>
        <v/>
      </c>
      <c r="N367" s="26" t="n"/>
      <c r="O367" s="26" t="n"/>
      <c r="P367" s="26" t="n"/>
      <c r="Q367" s="25">
        <f>IF(C367="","",IF(N(N367)+N(O367)+N(P367)=0,"Not split",IF(ROUND(N(N367)+N(O367)+N(P367),2)=ROUND(H367,2),"OK","MISMATCH")))</f>
        <v/>
      </c>
      <c r="R367" s="26" t="n"/>
      <c r="S367" s="26" t="n"/>
      <c r="T367" s="26" t="n"/>
      <c r="U367" s="27">
        <f>IF(C367="","",N(R367)+N(S367)+N(T367))</f>
        <v/>
      </c>
      <c r="V367" s="27">
        <f>IF(C367="","",H367-U367)</f>
        <v/>
      </c>
      <c r="W367" s="29">
        <f>IFERROR(V367/H367,"")</f>
        <v/>
      </c>
      <c r="X367" s="24" t="n"/>
    </row>
    <row r="368" ht="15" customHeight="1">
      <c r="A368" s="68">
        <f>IF(C368="","",IFERROR(IF(SUMPRODUCT(MAX((tbl_Finance[Job Number]=C368&amp;"")*(tbl_Finance[Xero Invoice No]&lt;&gt;"")*tbl_Finance[Date]))=0,"",SUMPRODUCT(MAX((tbl_Finance[Job Number]=C368&amp;"")*(tbl_Finance[Xero Invoice No]&lt;&gt;"")*tbl_Finance[Date]))),""))</f>
        <v/>
      </c>
      <c r="B368" s="25">
        <f>IF(C368="","",IF(COUNTIFS(tbl_Finance[Job Number],C368&amp;"",tbl_Finance[Xero Invoice No],"&lt;&gt;")=0,"",IFERROR(IF(COUNTIFS(tbl_Finance[Job Number],C368&amp;"",tbl_Finance[Xero Invoice No],LOOKUP(2,1/((tbl_Finance[Job Number]=C368&amp;"")*(tbl_Finance[Xero Invoice No]&lt;&gt;"")),tbl_Finance[Xero Invoice No]))=COUNTIFS(tbl_Finance[Job Number],C368&amp;"",tbl_Finance[Xero Invoice No],"&lt;&gt;"),LOOKUP(2,1/((tbl_Finance[Job Number]=C368&amp;"")*(tbl_Finance[Xero Invoice No]&lt;&gt;"")),tbl_Finance[Xero Invoice No]),LOOKUP(2,1/((tbl_Finance[Job Number]=C368&amp;"")*(tbl_Finance[Xero Invoice No]&lt;&gt;"")),tbl_Finance[Xero Invoice No])&amp;" +more"),"")))</f>
        <v/>
      </c>
      <c r="C368" s="24" t="n"/>
      <c r="D368" s="25">
        <f>IF(C368="","",IF(COUNTIF(lst_Jobs,C368&amp;"")&gt;0,"OK","CHECK"))</f>
        <v/>
      </c>
      <c r="E368" s="25">
        <f>IF(C368="","",IFERROR(INDEX(lst_JobName,MATCH(C368&amp;"",lst_Jobs,0)),""))</f>
        <v/>
      </c>
      <c r="F368" s="25">
        <f>IF(C368="","",IFERROR(INDEX(tbl_Finance[Client],MATCH(C368&amp;"",tbl_Finance[Job Number],0)),""))</f>
        <v/>
      </c>
      <c r="G368" s="28">
        <f>IF(C368="","",COUNTIFS(tbl_Finance[Job Number],C368&amp;"",tbl_Finance[Ex GST],"&lt;&gt;"))</f>
        <v/>
      </c>
      <c r="H368" s="27">
        <f>IF(C368="","",SUMIFS(tbl_Finance[Ex GST],tbl_Finance[Job Number],C368&amp;""))</f>
        <v/>
      </c>
      <c r="I368" s="27">
        <f>IF(C368="","",SUMIFS(tbl_Finance[Ex GST],tbl_Finance[Job Number],C368&amp;"",tbl_Finance[Xero Invoice No],"&lt;&gt;"))</f>
        <v/>
      </c>
      <c r="J368" s="27">
        <f>IF(C368="","",H368-I368)</f>
        <v/>
      </c>
      <c r="K368" s="25">
        <f>IF(C368="","",IF(G368=0,"not invoiced yet",SUBSTITUTE(TRIM(IF(COUNTIFS(tbl_Finance[Job Number],C368&amp;"",tbl_Finance[Cost Centre],"ONSITE")&gt;0,"ONSITE ","")&amp;IF(COUNTIFS(tbl_Finance[Job Number],C368&amp;"",tbl_Finance[Cost Centre],"PRODUCTION")&gt;0,"PRODUCTION ","")&amp;IF(COUNTIFS(tbl_Finance[Job Number],C368&amp;"",tbl_Finance[Cost Centre],"VIDEO")&gt;0,"VIDEO ","")&amp;IF(COUNTIFS(tbl_Finance[Job Number],C368&amp;"",tbl_Finance[Cost Centre],"INTEGRATION")&gt;0,"INTEGRATION ","")&amp;IF(COUNTIFS(tbl_Finance[Job Number],C368&amp;"",tbl_Finance[Cost Centre],"CONSULTING")&gt;0,"CONSULTING ","")&amp;IF(COUNTIFS(tbl_Finance[Job Number],C368&amp;"",tbl_Finance[Cost Centre],"CTS")&gt;0,"CTS ",""))," ",", ")))</f>
        <v/>
      </c>
      <c r="L368" s="24" t="n"/>
      <c r="M368" s="25">
        <f>IF(L368="","",HYPERLINK(IF(LEFT(L368,4)="http",L368,set_QwilrBase&amp;L368),"Open quote"))</f>
        <v/>
      </c>
      <c r="N368" s="26" t="n"/>
      <c r="O368" s="26" t="n"/>
      <c r="P368" s="26" t="n"/>
      <c r="Q368" s="25">
        <f>IF(C368="","",IF(N(N368)+N(O368)+N(P368)=0,"Not split",IF(ROUND(N(N368)+N(O368)+N(P368),2)=ROUND(H368,2),"OK","MISMATCH")))</f>
        <v/>
      </c>
      <c r="R368" s="26" t="n"/>
      <c r="S368" s="26" t="n"/>
      <c r="T368" s="26" t="n"/>
      <c r="U368" s="27">
        <f>IF(C368="","",N(R368)+N(S368)+N(T368))</f>
        <v/>
      </c>
      <c r="V368" s="27">
        <f>IF(C368="","",H368-U368)</f>
        <v/>
      </c>
      <c r="W368" s="29">
        <f>IFERROR(V368/H368,"")</f>
        <v/>
      </c>
      <c r="X368" s="24" t="n"/>
    </row>
    <row r="369" ht="15" customHeight="1">
      <c r="A369" s="68">
        <f>IF(C369="","",IFERROR(IF(SUMPRODUCT(MAX((tbl_Finance[Job Number]=C369&amp;"")*(tbl_Finance[Xero Invoice No]&lt;&gt;"")*tbl_Finance[Date]))=0,"",SUMPRODUCT(MAX((tbl_Finance[Job Number]=C369&amp;"")*(tbl_Finance[Xero Invoice No]&lt;&gt;"")*tbl_Finance[Date]))),""))</f>
        <v/>
      </c>
      <c r="B369" s="25">
        <f>IF(C369="","",IF(COUNTIFS(tbl_Finance[Job Number],C369&amp;"",tbl_Finance[Xero Invoice No],"&lt;&gt;")=0,"",IFERROR(IF(COUNTIFS(tbl_Finance[Job Number],C369&amp;"",tbl_Finance[Xero Invoice No],LOOKUP(2,1/((tbl_Finance[Job Number]=C369&amp;"")*(tbl_Finance[Xero Invoice No]&lt;&gt;"")),tbl_Finance[Xero Invoice No]))=COUNTIFS(tbl_Finance[Job Number],C369&amp;"",tbl_Finance[Xero Invoice No],"&lt;&gt;"),LOOKUP(2,1/((tbl_Finance[Job Number]=C369&amp;"")*(tbl_Finance[Xero Invoice No]&lt;&gt;"")),tbl_Finance[Xero Invoice No]),LOOKUP(2,1/((tbl_Finance[Job Number]=C369&amp;"")*(tbl_Finance[Xero Invoice No]&lt;&gt;"")),tbl_Finance[Xero Invoice No])&amp;" +more"),"")))</f>
        <v/>
      </c>
      <c r="C369" s="24" t="n"/>
      <c r="D369" s="25">
        <f>IF(C369="","",IF(COUNTIF(lst_Jobs,C369&amp;"")&gt;0,"OK","CHECK"))</f>
        <v/>
      </c>
      <c r="E369" s="25">
        <f>IF(C369="","",IFERROR(INDEX(lst_JobName,MATCH(C369&amp;"",lst_Jobs,0)),""))</f>
        <v/>
      </c>
      <c r="F369" s="25">
        <f>IF(C369="","",IFERROR(INDEX(tbl_Finance[Client],MATCH(C369&amp;"",tbl_Finance[Job Number],0)),""))</f>
        <v/>
      </c>
      <c r="G369" s="28">
        <f>IF(C369="","",COUNTIFS(tbl_Finance[Job Number],C369&amp;"",tbl_Finance[Ex GST],"&lt;&gt;"))</f>
        <v/>
      </c>
      <c r="H369" s="27">
        <f>IF(C369="","",SUMIFS(tbl_Finance[Ex GST],tbl_Finance[Job Number],C369&amp;""))</f>
        <v/>
      </c>
      <c r="I369" s="27">
        <f>IF(C369="","",SUMIFS(tbl_Finance[Ex GST],tbl_Finance[Job Number],C369&amp;"",tbl_Finance[Xero Invoice No],"&lt;&gt;"))</f>
        <v/>
      </c>
      <c r="J369" s="27">
        <f>IF(C369="","",H369-I369)</f>
        <v/>
      </c>
      <c r="K369" s="25">
        <f>IF(C369="","",IF(G369=0,"not invoiced yet",SUBSTITUTE(TRIM(IF(COUNTIFS(tbl_Finance[Job Number],C369&amp;"",tbl_Finance[Cost Centre],"ONSITE")&gt;0,"ONSITE ","")&amp;IF(COUNTIFS(tbl_Finance[Job Number],C369&amp;"",tbl_Finance[Cost Centre],"PRODUCTION")&gt;0,"PRODUCTION ","")&amp;IF(COUNTIFS(tbl_Finance[Job Number],C369&amp;"",tbl_Finance[Cost Centre],"VIDEO")&gt;0,"VIDEO ","")&amp;IF(COUNTIFS(tbl_Finance[Job Number],C369&amp;"",tbl_Finance[Cost Centre],"INTEGRATION")&gt;0,"INTEGRATION ","")&amp;IF(COUNTIFS(tbl_Finance[Job Number],C369&amp;"",tbl_Finance[Cost Centre],"CONSULTING")&gt;0,"CONSULTING ","")&amp;IF(COUNTIFS(tbl_Finance[Job Number],C369&amp;"",tbl_Finance[Cost Centre],"CTS")&gt;0,"CTS ",""))," ",", ")))</f>
        <v/>
      </c>
      <c r="L369" s="24" t="n"/>
      <c r="M369" s="25">
        <f>IF(L369="","",HYPERLINK(IF(LEFT(L369,4)="http",L369,set_QwilrBase&amp;L369),"Open quote"))</f>
        <v/>
      </c>
      <c r="N369" s="26" t="n"/>
      <c r="O369" s="26" t="n"/>
      <c r="P369" s="26" t="n"/>
      <c r="Q369" s="25">
        <f>IF(C369="","",IF(N(N369)+N(O369)+N(P369)=0,"Not split",IF(ROUND(N(N369)+N(O369)+N(P369),2)=ROUND(H369,2),"OK","MISMATCH")))</f>
        <v/>
      </c>
      <c r="R369" s="26" t="n"/>
      <c r="S369" s="26" t="n"/>
      <c r="T369" s="26" t="n"/>
      <c r="U369" s="27">
        <f>IF(C369="","",N(R369)+N(S369)+N(T369))</f>
        <v/>
      </c>
      <c r="V369" s="27">
        <f>IF(C369="","",H369-U369)</f>
        <v/>
      </c>
      <c r="W369" s="29">
        <f>IFERROR(V369/H369,"")</f>
        <v/>
      </c>
      <c r="X369" s="24" t="n"/>
    </row>
    <row r="370" ht="15" customHeight="1">
      <c r="A370" s="68">
        <f>IF(C370="","",IFERROR(IF(SUMPRODUCT(MAX((tbl_Finance[Job Number]=C370&amp;"")*(tbl_Finance[Xero Invoice No]&lt;&gt;"")*tbl_Finance[Date]))=0,"",SUMPRODUCT(MAX((tbl_Finance[Job Number]=C370&amp;"")*(tbl_Finance[Xero Invoice No]&lt;&gt;"")*tbl_Finance[Date]))),""))</f>
        <v/>
      </c>
      <c r="B370" s="25">
        <f>IF(C370="","",IF(COUNTIFS(tbl_Finance[Job Number],C370&amp;"",tbl_Finance[Xero Invoice No],"&lt;&gt;")=0,"",IFERROR(IF(COUNTIFS(tbl_Finance[Job Number],C370&amp;"",tbl_Finance[Xero Invoice No],LOOKUP(2,1/((tbl_Finance[Job Number]=C370&amp;"")*(tbl_Finance[Xero Invoice No]&lt;&gt;"")),tbl_Finance[Xero Invoice No]))=COUNTIFS(tbl_Finance[Job Number],C370&amp;"",tbl_Finance[Xero Invoice No],"&lt;&gt;"),LOOKUP(2,1/((tbl_Finance[Job Number]=C370&amp;"")*(tbl_Finance[Xero Invoice No]&lt;&gt;"")),tbl_Finance[Xero Invoice No]),LOOKUP(2,1/((tbl_Finance[Job Number]=C370&amp;"")*(tbl_Finance[Xero Invoice No]&lt;&gt;"")),tbl_Finance[Xero Invoice No])&amp;" +more"),"")))</f>
        <v/>
      </c>
      <c r="C370" s="24" t="n"/>
      <c r="D370" s="25">
        <f>IF(C370="","",IF(COUNTIF(lst_Jobs,C370&amp;"")&gt;0,"OK","CHECK"))</f>
        <v/>
      </c>
      <c r="E370" s="25">
        <f>IF(C370="","",IFERROR(INDEX(lst_JobName,MATCH(C370&amp;"",lst_Jobs,0)),""))</f>
        <v/>
      </c>
      <c r="F370" s="25">
        <f>IF(C370="","",IFERROR(INDEX(tbl_Finance[Client],MATCH(C370&amp;"",tbl_Finance[Job Number],0)),""))</f>
        <v/>
      </c>
      <c r="G370" s="28">
        <f>IF(C370="","",COUNTIFS(tbl_Finance[Job Number],C370&amp;"",tbl_Finance[Ex GST],"&lt;&gt;"))</f>
        <v/>
      </c>
      <c r="H370" s="27">
        <f>IF(C370="","",SUMIFS(tbl_Finance[Ex GST],tbl_Finance[Job Number],C370&amp;""))</f>
        <v/>
      </c>
      <c r="I370" s="27">
        <f>IF(C370="","",SUMIFS(tbl_Finance[Ex GST],tbl_Finance[Job Number],C370&amp;"",tbl_Finance[Xero Invoice No],"&lt;&gt;"))</f>
        <v/>
      </c>
      <c r="J370" s="27">
        <f>IF(C370="","",H370-I370)</f>
        <v/>
      </c>
      <c r="K370" s="25">
        <f>IF(C370="","",IF(G370=0,"not invoiced yet",SUBSTITUTE(TRIM(IF(COUNTIFS(tbl_Finance[Job Number],C370&amp;"",tbl_Finance[Cost Centre],"ONSITE")&gt;0,"ONSITE ","")&amp;IF(COUNTIFS(tbl_Finance[Job Number],C370&amp;"",tbl_Finance[Cost Centre],"PRODUCTION")&gt;0,"PRODUCTION ","")&amp;IF(COUNTIFS(tbl_Finance[Job Number],C370&amp;"",tbl_Finance[Cost Centre],"VIDEO")&gt;0,"VIDEO ","")&amp;IF(COUNTIFS(tbl_Finance[Job Number],C370&amp;"",tbl_Finance[Cost Centre],"INTEGRATION")&gt;0,"INTEGRATION ","")&amp;IF(COUNTIFS(tbl_Finance[Job Number],C370&amp;"",tbl_Finance[Cost Centre],"CONSULTING")&gt;0,"CONSULTING ","")&amp;IF(COUNTIFS(tbl_Finance[Job Number],C370&amp;"",tbl_Finance[Cost Centre],"CTS")&gt;0,"CTS ",""))," ",", ")))</f>
        <v/>
      </c>
      <c r="L370" s="24" t="n"/>
      <c r="M370" s="25">
        <f>IF(L370="","",HYPERLINK(IF(LEFT(L370,4)="http",L370,set_QwilrBase&amp;L370),"Open quote"))</f>
        <v/>
      </c>
      <c r="N370" s="26" t="n"/>
      <c r="O370" s="26" t="n"/>
      <c r="P370" s="26" t="n"/>
      <c r="Q370" s="25">
        <f>IF(C370="","",IF(N(N370)+N(O370)+N(P370)=0,"Not split",IF(ROUND(N(N370)+N(O370)+N(P370),2)=ROUND(H370,2),"OK","MISMATCH")))</f>
        <v/>
      </c>
      <c r="R370" s="26" t="n"/>
      <c r="S370" s="26" t="n"/>
      <c r="T370" s="26" t="n"/>
      <c r="U370" s="27">
        <f>IF(C370="","",N(R370)+N(S370)+N(T370))</f>
        <v/>
      </c>
      <c r="V370" s="27">
        <f>IF(C370="","",H370-U370)</f>
        <v/>
      </c>
      <c r="W370" s="29">
        <f>IFERROR(V370/H370,"")</f>
        <v/>
      </c>
      <c r="X370" s="24" t="n"/>
    </row>
    <row r="371" ht="15" customHeight="1">
      <c r="A371" s="68">
        <f>IF(C371="","",IFERROR(IF(SUMPRODUCT(MAX((tbl_Finance[Job Number]=C371&amp;"")*(tbl_Finance[Xero Invoice No]&lt;&gt;"")*tbl_Finance[Date]))=0,"",SUMPRODUCT(MAX((tbl_Finance[Job Number]=C371&amp;"")*(tbl_Finance[Xero Invoice No]&lt;&gt;"")*tbl_Finance[Date]))),""))</f>
        <v/>
      </c>
      <c r="B371" s="25">
        <f>IF(C371="","",IF(COUNTIFS(tbl_Finance[Job Number],C371&amp;"",tbl_Finance[Xero Invoice No],"&lt;&gt;")=0,"",IFERROR(IF(COUNTIFS(tbl_Finance[Job Number],C371&amp;"",tbl_Finance[Xero Invoice No],LOOKUP(2,1/((tbl_Finance[Job Number]=C371&amp;"")*(tbl_Finance[Xero Invoice No]&lt;&gt;"")),tbl_Finance[Xero Invoice No]))=COUNTIFS(tbl_Finance[Job Number],C371&amp;"",tbl_Finance[Xero Invoice No],"&lt;&gt;"),LOOKUP(2,1/((tbl_Finance[Job Number]=C371&amp;"")*(tbl_Finance[Xero Invoice No]&lt;&gt;"")),tbl_Finance[Xero Invoice No]),LOOKUP(2,1/((tbl_Finance[Job Number]=C371&amp;"")*(tbl_Finance[Xero Invoice No]&lt;&gt;"")),tbl_Finance[Xero Invoice No])&amp;" +more"),"")))</f>
        <v/>
      </c>
      <c r="C371" s="24" t="n"/>
      <c r="D371" s="25">
        <f>IF(C371="","",IF(COUNTIF(lst_Jobs,C371&amp;"")&gt;0,"OK","CHECK"))</f>
        <v/>
      </c>
      <c r="E371" s="25">
        <f>IF(C371="","",IFERROR(INDEX(lst_JobName,MATCH(C371&amp;"",lst_Jobs,0)),""))</f>
        <v/>
      </c>
      <c r="F371" s="25">
        <f>IF(C371="","",IFERROR(INDEX(tbl_Finance[Client],MATCH(C371&amp;"",tbl_Finance[Job Number],0)),""))</f>
        <v/>
      </c>
      <c r="G371" s="28">
        <f>IF(C371="","",COUNTIFS(tbl_Finance[Job Number],C371&amp;"",tbl_Finance[Ex GST],"&lt;&gt;"))</f>
        <v/>
      </c>
      <c r="H371" s="27">
        <f>IF(C371="","",SUMIFS(tbl_Finance[Ex GST],tbl_Finance[Job Number],C371&amp;""))</f>
        <v/>
      </c>
      <c r="I371" s="27">
        <f>IF(C371="","",SUMIFS(tbl_Finance[Ex GST],tbl_Finance[Job Number],C371&amp;"",tbl_Finance[Xero Invoice No],"&lt;&gt;"))</f>
        <v/>
      </c>
      <c r="J371" s="27">
        <f>IF(C371="","",H371-I371)</f>
        <v/>
      </c>
      <c r="K371" s="25">
        <f>IF(C371="","",IF(G371=0,"not invoiced yet",SUBSTITUTE(TRIM(IF(COUNTIFS(tbl_Finance[Job Number],C371&amp;"",tbl_Finance[Cost Centre],"ONSITE")&gt;0,"ONSITE ","")&amp;IF(COUNTIFS(tbl_Finance[Job Number],C371&amp;"",tbl_Finance[Cost Centre],"PRODUCTION")&gt;0,"PRODUCTION ","")&amp;IF(COUNTIFS(tbl_Finance[Job Number],C371&amp;"",tbl_Finance[Cost Centre],"VIDEO")&gt;0,"VIDEO ","")&amp;IF(COUNTIFS(tbl_Finance[Job Number],C371&amp;"",tbl_Finance[Cost Centre],"INTEGRATION")&gt;0,"INTEGRATION ","")&amp;IF(COUNTIFS(tbl_Finance[Job Number],C371&amp;"",tbl_Finance[Cost Centre],"CONSULTING")&gt;0,"CONSULTING ","")&amp;IF(COUNTIFS(tbl_Finance[Job Number],C371&amp;"",tbl_Finance[Cost Centre],"CTS")&gt;0,"CTS ",""))," ",", ")))</f>
        <v/>
      </c>
      <c r="L371" s="24" t="n"/>
      <c r="M371" s="25">
        <f>IF(L371="","",HYPERLINK(IF(LEFT(L371,4)="http",L371,set_QwilrBase&amp;L371),"Open quote"))</f>
        <v/>
      </c>
      <c r="N371" s="26" t="n"/>
      <c r="O371" s="26" t="n"/>
      <c r="P371" s="26" t="n"/>
      <c r="Q371" s="25">
        <f>IF(C371="","",IF(N(N371)+N(O371)+N(P371)=0,"Not split",IF(ROUND(N(N371)+N(O371)+N(P371),2)=ROUND(H371,2),"OK","MISMATCH")))</f>
        <v/>
      </c>
      <c r="R371" s="26" t="n"/>
      <c r="S371" s="26" t="n"/>
      <c r="T371" s="26" t="n"/>
      <c r="U371" s="27">
        <f>IF(C371="","",N(R371)+N(S371)+N(T371))</f>
        <v/>
      </c>
      <c r="V371" s="27">
        <f>IF(C371="","",H371-U371)</f>
        <v/>
      </c>
      <c r="W371" s="29">
        <f>IFERROR(V371/H371,"")</f>
        <v/>
      </c>
      <c r="X371" s="24" t="n"/>
    </row>
    <row r="372" ht="15" customHeight="1">
      <c r="A372" s="68">
        <f>IF(C372="","",IFERROR(IF(SUMPRODUCT(MAX((tbl_Finance[Job Number]=C372&amp;"")*(tbl_Finance[Xero Invoice No]&lt;&gt;"")*tbl_Finance[Date]))=0,"",SUMPRODUCT(MAX((tbl_Finance[Job Number]=C372&amp;"")*(tbl_Finance[Xero Invoice No]&lt;&gt;"")*tbl_Finance[Date]))),""))</f>
        <v/>
      </c>
      <c r="B372" s="25">
        <f>IF(C372="","",IF(COUNTIFS(tbl_Finance[Job Number],C372&amp;"",tbl_Finance[Xero Invoice No],"&lt;&gt;")=0,"",IFERROR(IF(COUNTIFS(tbl_Finance[Job Number],C372&amp;"",tbl_Finance[Xero Invoice No],LOOKUP(2,1/((tbl_Finance[Job Number]=C372&amp;"")*(tbl_Finance[Xero Invoice No]&lt;&gt;"")),tbl_Finance[Xero Invoice No]))=COUNTIFS(tbl_Finance[Job Number],C372&amp;"",tbl_Finance[Xero Invoice No],"&lt;&gt;"),LOOKUP(2,1/((tbl_Finance[Job Number]=C372&amp;"")*(tbl_Finance[Xero Invoice No]&lt;&gt;"")),tbl_Finance[Xero Invoice No]),LOOKUP(2,1/((tbl_Finance[Job Number]=C372&amp;"")*(tbl_Finance[Xero Invoice No]&lt;&gt;"")),tbl_Finance[Xero Invoice No])&amp;" +more"),"")))</f>
        <v/>
      </c>
      <c r="C372" s="24" t="n"/>
      <c r="D372" s="25">
        <f>IF(C372="","",IF(COUNTIF(lst_Jobs,C372&amp;"")&gt;0,"OK","CHECK"))</f>
        <v/>
      </c>
      <c r="E372" s="25">
        <f>IF(C372="","",IFERROR(INDEX(lst_JobName,MATCH(C372&amp;"",lst_Jobs,0)),""))</f>
        <v/>
      </c>
      <c r="F372" s="25">
        <f>IF(C372="","",IFERROR(INDEX(tbl_Finance[Client],MATCH(C372&amp;"",tbl_Finance[Job Number],0)),""))</f>
        <v/>
      </c>
      <c r="G372" s="28">
        <f>IF(C372="","",COUNTIFS(tbl_Finance[Job Number],C372&amp;"",tbl_Finance[Ex GST],"&lt;&gt;"))</f>
        <v/>
      </c>
      <c r="H372" s="27">
        <f>IF(C372="","",SUMIFS(tbl_Finance[Ex GST],tbl_Finance[Job Number],C372&amp;""))</f>
        <v/>
      </c>
      <c r="I372" s="27">
        <f>IF(C372="","",SUMIFS(tbl_Finance[Ex GST],tbl_Finance[Job Number],C372&amp;"",tbl_Finance[Xero Invoice No],"&lt;&gt;"))</f>
        <v/>
      </c>
      <c r="J372" s="27">
        <f>IF(C372="","",H372-I372)</f>
        <v/>
      </c>
      <c r="K372" s="25">
        <f>IF(C372="","",IF(G372=0,"not invoiced yet",SUBSTITUTE(TRIM(IF(COUNTIFS(tbl_Finance[Job Number],C372&amp;"",tbl_Finance[Cost Centre],"ONSITE")&gt;0,"ONSITE ","")&amp;IF(COUNTIFS(tbl_Finance[Job Number],C372&amp;"",tbl_Finance[Cost Centre],"PRODUCTION")&gt;0,"PRODUCTION ","")&amp;IF(COUNTIFS(tbl_Finance[Job Number],C372&amp;"",tbl_Finance[Cost Centre],"VIDEO")&gt;0,"VIDEO ","")&amp;IF(COUNTIFS(tbl_Finance[Job Number],C372&amp;"",tbl_Finance[Cost Centre],"INTEGRATION")&gt;0,"INTEGRATION ","")&amp;IF(COUNTIFS(tbl_Finance[Job Number],C372&amp;"",tbl_Finance[Cost Centre],"CONSULTING")&gt;0,"CONSULTING ","")&amp;IF(COUNTIFS(tbl_Finance[Job Number],C372&amp;"",tbl_Finance[Cost Centre],"CTS")&gt;0,"CTS ",""))," ",", ")))</f>
        <v/>
      </c>
      <c r="L372" s="24" t="n"/>
      <c r="M372" s="25">
        <f>IF(L372="","",HYPERLINK(IF(LEFT(L372,4)="http",L372,set_QwilrBase&amp;L372),"Open quote"))</f>
        <v/>
      </c>
      <c r="N372" s="26" t="n"/>
      <c r="O372" s="26" t="n"/>
      <c r="P372" s="26" t="n"/>
      <c r="Q372" s="25">
        <f>IF(C372="","",IF(N(N372)+N(O372)+N(P372)=0,"Not split",IF(ROUND(N(N372)+N(O372)+N(P372),2)=ROUND(H372,2),"OK","MISMATCH")))</f>
        <v/>
      </c>
      <c r="R372" s="26" t="n"/>
      <c r="S372" s="26" t="n"/>
      <c r="T372" s="26" t="n"/>
      <c r="U372" s="27">
        <f>IF(C372="","",N(R372)+N(S372)+N(T372))</f>
        <v/>
      </c>
      <c r="V372" s="27">
        <f>IF(C372="","",H372-U372)</f>
        <v/>
      </c>
      <c r="W372" s="29">
        <f>IFERROR(V372/H372,"")</f>
        <v/>
      </c>
      <c r="X372" s="24" t="n"/>
    </row>
    <row r="373" ht="15" customHeight="1">
      <c r="A373" s="68">
        <f>IF(C373="","",IFERROR(IF(SUMPRODUCT(MAX((tbl_Finance[Job Number]=C373&amp;"")*(tbl_Finance[Xero Invoice No]&lt;&gt;"")*tbl_Finance[Date]))=0,"",SUMPRODUCT(MAX((tbl_Finance[Job Number]=C373&amp;"")*(tbl_Finance[Xero Invoice No]&lt;&gt;"")*tbl_Finance[Date]))),""))</f>
        <v/>
      </c>
      <c r="B373" s="25">
        <f>IF(C373="","",IF(COUNTIFS(tbl_Finance[Job Number],C373&amp;"",tbl_Finance[Xero Invoice No],"&lt;&gt;")=0,"",IFERROR(IF(COUNTIFS(tbl_Finance[Job Number],C373&amp;"",tbl_Finance[Xero Invoice No],LOOKUP(2,1/((tbl_Finance[Job Number]=C373&amp;"")*(tbl_Finance[Xero Invoice No]&lt;&gt;"")),tbl_Finance[Xero Invoice No]))=COUNTIFS(tbl_Finance[Job Number],C373&amp;"",tbl_Finance[Xero Invoice No],"&lt;&gt;"),LOOKUP(2,1/((tbl_Finance[Job Number]=C373&amp;"")*(tbl_Finance[Xero Invoice No]&lt;&gt;"")),tbl_Finance[Xero Invoice No]),LOOKUP(2,1/((tbl_Finance[Job Number]=C373&amp;"")*(tbl_Finance[Xero Invoice No]&lt;&gt;"")),tbl_Finance[Xero Invoice No])&amp;" +more"),"")))</f>
        <v/>
      </c>
      <c r="C373" s="24" t="n"/>
      <c r="D373" s="25">
        <f>IF(C373="","",IF(COUNTIF(lst_Jobs,C373&amp;"")&gt;0,"OK","CHECK"))</f>
        <v/>
      </c>
      <c r="E373" s="25">
        <f>IF(C373="","",IFERROR(INDEX(lst_JobName,MATCH(C373&amp;"",lst_Jobs,0)),""))</f>
        <v/>
      </c>
      <c r="F373" s="25">
        <f>IF(C373="","",IFERROR(INDEX(tbl_Finance[Client],MATCH(C373&amp;"",tbl_Finance[Job Number],0)),""))</f>
        <v/>
      </c>
      <c r="G373" s="28">
        <f>IF(C373="","",COUNTIFS(tbl_Finance[Job Number],C373&amp;"",tbl_Finance[Ex GST],"&lt;&gt;"))</f>
        <v/>
      </c>
      <c r="H373" s="27">
        <f>IF(C373="","",SUMIFS(tbl_Finance[Ex GST],tbl_Finance[Job Number],C373&amp;""))</f>
        <v/>
      </c>
      <c r="I373" s="27">
        <f>IF(C373="","",SUMIFS(tbl_Finance[Ex GST],tbl_Finance[Job Number],C373&amp;"",tbl_Finance[Xero Invoice No],"&lt;&gt;"))</f>
        <v/>
      </c>
      <c r="J373" s="27">
        <f>IF(C373="","",H373-I373)</f>
        <v/>
      </c>
      <c r="K373" s="25">
        <f>IF(C373="","",IF(G373=0,"not invoiced yet",SUBSTITUTE(TRIM(IF(COUNTIFS(tbl_Finance[Job Number],C373&amp;"",tbl_Finance[Cost Centre],"ONSITE")&gt;0,"ONSITE ","")&amp;IF(COUNTIFS(tbl_Finance[Job Number],C373&amp;"",tbl_Finance[Cost Centre],"PRODUCTION")&gt;0,"PRODUCTION ","")&amp;IF(COUNTIFS(tbl_Finance[Job Number],C373&amp;"",tbl_Finance[Cost Centre],"VIDEO")&gt;0,"VIDEO ","")&amp;IF(COUNTIFS(tbl_Finance[Job Number],C373&amp;"",tbl_Finance[Cost Centre],"INTEGRATION")&gt;0,"INTEGRATION ","")&amp;IF(COUNTIFS(tbl_Finance[Job Number],C373&amp;"",tbl_Finance[Cost Centre],"CONSULTING")&gt;0,"CONSULTING ","")&amp;IF(COUNTIFS(tbl_Finance[Job Number],C373&amp;"",tbl_Finance[Cost Centre],"CTS")&gt;0,"CTS ",""))," ",", ")))</f>
        <v/>
      </c>
      <c r="L373" s="24" t="n"/>
      <c r="M373" s="25">
        <f>IF(L373="","",HYPERLINK(IF(LEFT(L373,4)="http",L373,set_QwilrBase&amp;L373),"Open quote"))</f>
        <v/>
      </c>
      <c r="N373" s="26" t="n"/>
      <c r="O373" s="26" t="n"/>
      <c r="P373" s="26" t="n"/>
      <c r="Q373" s="25">
        <f>IF(C373="","",IF(N(N373)+N(O373)+N(P373)=0,"Not split",IF(ROUND(N(N373)+N(O373)+N(P373),2)=ROUND(H373,2),"OK","MISMATCH")))</f>
        <v/>
      </c>
      <c r="R373" s="26" t="n"/>
      <c r="S373" s="26" t="n"/>
      <c r="T373" s="26" t="n"/>
      <c r="U373" s="27">
        <f>IF(C373="","",N(R373)+N(S373)+N(T373))</f>
        <v/>
      </c>
      <c r="V373" s="27">
        <f>IF(C373="","",H373-U373)</f>
        <v/>
      </c>
      <c r="W373" s="29">
        <f>IFERROR(V373/H373,"")</f>
        <v/>
      </c>
      <c r="X373" s="24" t="n"/>
    </row>
    <row r="374" ht="15" customHeight="1">
      <c r="A374" s="68">
        <f>IF(C374="","",IFERROR(IF(SUMPRODUCT(MAX((tbl_Finance[Job Number]=C374&amp;"")*(tbl_Finance[Xero Invoice No]&lt;&gt;"")*tbl_Finance[Date]))=0,"",SUMPRODUCT(MAX((tbl_Finance[Job Number]=C374&amp;"")*(tbl_Finance[Xero Invoice No]&lt;&gt;"")*tbl_Finance[Date]))),""))</f>
        <v/>
      </c>
      <c r="B374" s="25">
        <f>IF(C374="","",IF(COUNTIFS(tbl_Finance[Job Number],C374&amp;"",tbl_Finance[Xero Invoice No],"&lt;&gt;")=0,"",IFERROR(IF(COUNTIFS(tbl_Finance[Job Number],C374&amp;"",tbl_Finance[Xero Invoice No],LOOKUP(2,1/((tbl_Finance[Job Number]=C374&amp;"")*(tbl_Finance[Xero Invoice No]&lt;&gt;"")),tbl_Finance[Xero Invoice No]))=COUNTIFS(tbl_Finance[Job Number],C374&amp;"",tbl_Finance[Xero Invoice No],"&lt;&gt;"),LOOKUP(2,1/((tbl_Finance[Job Number]=C374&amp;"")*(tbl_Finance[Xero Invoice No]&lt;&gt;"")),tbl_Finance[Xero Invoice No]),LOOKUP(2,1/((tbl_Finance[Job Number]=C374&amp;"")*(tbl_Finance[Xero Invoice No]&lt;&gt;"")),tbl_Finance[Xero Invoice No])&amp;" +more"),"")))</f>
        <v/>
      </c>
      <c r="C374" s="24" t="n"/>
      <c r="D374" s="25">
        <f>IF(C374="","",IF(COUNTIF(lst_Jobs,C374&amp;"")&gt;0,"OK","CHECK"))</f>
        <v/>
      </c>
      <c r="E374" s="25">
        <f>IF(C374="","",IFERROR(INDEX(lst_JobName,MATCH(C374&amp;"",lst_Jobs,0)),""))</f>
        <v/>
      </c>
      <c r="F374" s="25">
        <f>IF(C374="","",IFERROR(INDEX(tbl_Finance[Client],MATCH(C374&amp;"",tbl_Finance[Job Number],0)),""))</f>
        <v/>
      </c>
      <c r="G374" s="28">
        <f>IF(C374="","",COUNTIFS(tbl_Finance[Job Number],C374&amp;"",tbl_Finance[Ex GST],"&lt;&gt;"))</f>
        <v/>
      </c>
      <c r="H374" s="27">
        <f>IF(C374="","",SUMIFS(tbl_Finance[Ex GST],tbl_Finance[Job Number],C374&amp;""))</f>
        <v/>
      </c>
      <c r="I374" s="27">
        <f>IF(C374="","",SUMIFS(tbl_Finance[Ex GST],tbl_Finance[Job Number],C374&amp;"",tbl_Finance[Xero Invoice No],"&lt;&gt;"))</f>
        <v/>
      </c>
      <c r="J374" s="27">
        <f>IF(C374="","",H374-I374)</f>
        <v/>
      </c>
      <c r="K374" s="25">
        <f>IF(C374="","",IF(G374=0,"not invoiced yet",SUBSTITUTE(TRIM(IF(COUNTIFS(tbl_Finance[Job Number],C374&amp;"",tbl_Finance[Cost Centre],"ONSITE")&gt;0,"ONSITE ","")&amp;IF(COUNTIFS(tbl_Finance[Job Number],C374&amp;"",tbl_Finance[Cost Centre],"PRODUCTION")&gt;0,"PRODUCTION ","")&amp;IF(COUNTIFS(tbl_Finance[Job Number],C374&amp;"",tbl_Finance[Cost Centre],"VIDEO")&gt;0,"VIDEO ","")&amp;IF(COUNTIFS(tbl_Finance[Job Number],C374&amp;"",tbl_Finance[Cost Centre],"INTEGRATION")&gt;0,"INTEGRATION ","")&amp;IF(COUNTIFS(tbl_Finance[Job Number],C374&amp;"",tbl_Finance[Cost Centre],"CONSULTING")&gt;0,"CONSULTING ","")&amp;IF(COUNTIFS(tbl_Finance[Job Number],C374&amp;"",tbl_Finance[Cost Centre],"CTS")&gt;0,"CTS ",""))," ",", ")))</f>
        <v/>
      </c>
      <c r="L374" s="24" t="n"/>
      <c r="M374" s="25">
        <f>IF(L374="","",HYPERLINK(IF(LEFT(L374,4)="http",L374,set_QwilrBase&amp;L374),"Open quote"))</f>
        <v/>
      </c>
      <c r="N374" s="26" t="n"/>
      <c r="O374" s="26" t="n"/>
      <c r="P374" s="26" t="n"/>
      <c r="Q374" s="25">
        <f>IF(C374="","",IF(N(N374)+N(O374)+N(P374)=0,"Not split",IF(ROUND(N(N374)+N(O374)+N(P374),2)=ROUND(H374,2),"OK","MISMATCH")))</f>
        <v/>
      </c>
      <c r="R374" s="26" t="n"/>
      <c r="S374" s="26" t="n"/>
      <c r="T374" s="26" t="n"/>
      <c r="U374" s="27">
        <f>IF(C374="","",N(R374)+N(S374)+N(T374))</f>
        <v/>
      </c>
      <c r="V374" s="27">
        <f>IF(C374="","",H374-U374)</f>
        <v/>
      </c>
      <c r="W374" s="29">
        <f>IFERROR(V374/H374,"")</f>
        <v/>
      </c>
      <c r="X374" s="24" t="n"/>
    </row>
    <row r="375" ht="15" customHeight="1">
      <c r="A375" s="68">
        <f>IF(C375="","",IFERROR(IF(SUMPRODUCT(MAX((tbl_Finance[Job Number]=C375&amp;"")*(tbl_Finance[Xero Invoice No]&lt;&gt;"")*tbl_Finance[Date]))=0,"",SUMPRODUCT(MAX((tbl_Finance[Job Number]=C375&amp;"")*(tbl_Finance[Xero Invoice No]&lt;&gt;"")*tbl_Finance[Date]))),""))</f>
        <v/>
      </c>
      <c r="B375" s="25">
        <f>IF(C375="","",IF(COUNTIFS(tbl_Finance[Job Number],C375&amp;"",tbl_Finance[Xero Invoice No],"&lt;&gt;")=0,"",IFERROR(IF(COUNTIFS(tbl_Finance[Job Number],C375&amp;"",tbl_Finance[Xero Invoice No],LOOKUP(2,1/((tbl_Finance[Job Number]=C375&amp;"")*(tbl_Finance[Xero Invoice No]&lt;&gt;"")),tbl_Finance[Xero Invoice No]))=COUNTIFS(tbl_Finance[Job Number],C375&amp;"",tbl_Finance[Xero Invoice No],"&lt;&gt;"),LOOKUP(2,1/((tbl_Finance[Job Number]=C375&amp;"")*(tbl_Finance[Xero Invoice No]&lt;&gt;"")),tbl_Finance[Xero Invoice No]),LOOKUP(2,1/((tbl_Finance[Job Number]=C375&amp;"")*(tbl_Finance[Xero Invoice No]&lt;&gt;"")),tbl_Finance[Xero Invoice No])&amp;" +more"),"")))</f>
        <v/>
      </c>
      <c r="C375" s="24" t="n"/>
      <c r="D375" s="25">
        <f>IF(C375="","",IF(COUNTIF(lst_Jobs,C375&amp;"")&gt;0,"OK","CHECK"))</f>
        <v/>
      </c>
      <c r="E375" s="25">
        <f>IF(C375="","",IFERROR(INDEX(lst_JobName,MATCH(C375&amp;"",lst_Jobs,0)),""))</f>
        <v/>
      </c>
      <c r="F375" s="25">
        <f>IF(C375="","",IFERROR(INDEX(tbl_Finance[Client],MATCH(C375&amp;"",tbl_Finance[Job Number],0)),""))</f>
        <v/>
      </c>
      <c r="G375" s="28">
        <f>IF(C375="","",COUNTIFS(tbl_Finance[Job Number],C375&amp;"",tbl_Finance[Ex GST],"&lt;&gt;"))</f>
        <v/>
      </c>
      <c r="H375" s="27">
        <f>IF(C375="","",SUMIFS(tbl_Finance[Ex GST],tbl_Finance[Job Number],C375&amp;""))</f>
        <v/>
      </c>
      <c r="I375" s="27">
        <f>IF(C375="","",SUMIFS(tbl_Finance[Ex GST],tbl_Finance[Job Number],C375&amp;"",tbl_Finance[Xero Invoice No],"&lt;&gt;"))</f>
        <v/>
      </c>
      <c r="J375" s="27">
        <f>IF(C375="","",H375-I375)</f>
        <v/>
      </c>
      <c r="K375" s="25">
        <f>IF(C375="","",IF(G375=0,"not invoiced yet",SUBSTITUTE(TRIM(IF(COUNTIFS(tbl_Finance[Job Number],C375&amp;"",tbl_Finance[Cost Centre],"ONSITE")&gt;0,"ONSITE ","")&amp;IF(COUNTIFS(tbl_Finance[Job Number],C375&amp;"",tbl_Finance[Cost Centre],"PRODUCTION")&gt;0,"PRODUCTION ","")&amp;IF(COUNTIFS(tbl_Finance[Job Number],C375&amp;"",tbl_Finance[Cost Centre],"VIDEO")&gt;0,"VIDEO ","")&amp;IF(COUNTIFS(tbl_Finance[Job Number],C375&amp;"",tbl_Finance[Cost Centre],"INTEGRATION")&gt;0,"INTEGRATION ","")&amp;IF(COUNTIFS(tbl_Finance[Job Number],C375&amp;"",tbl_Finance[Cost Centre],"CONSULTING")&gt;0,"CONSULTING ","")&amp;IF(COUNTIFS(tbl_Finance[Job Number],C375&amp;"",tbl_Finance[Cost Centre],"CTS")&gt;0,"CTS ",""))," ",", ")))</f>
        <v/>
      </c>
      <c r="L375" s="24" t="n"/>
      <c r="M375" s="25">
        <f>IF(L375="","",HYPERLINK(IF(LEFT(L375,4)="http",L375,set_QwilrBase&amp;L375),"Open quote"))</f>
        <v/>
      </c>
      <c r="N375" s="26" t="n"/>
      <c r="O375" s="26" t="n"/>
      <c r="P375" s="26" t="n"/>
      <c r="Q375" s="25">
        <f>IF(C375="","",IF(N(N375)+N(O375)+N(P375)=0,"Not split",IF(ROUND(N(N375)+N(O375)+N(P375),2)=ROUND(H375,2),"OK","MISMATCH")))</f>
        <v/>
      </c>
      <c r="R375" s="26" t="n"/>
      <c r="S375" s="26" t="n"/>
      <c r="T375" s="26" t="n"/>
      <c r="U375" s="27">
        <f>IF(C375="","",N(R375)+N(S375)+N(T375))</f>
        <v/>
      </c>
      <c r="V375" s="27">
        <f>IF(C375="","",H375-U375)</f>
        <v/>
      </c>
      <c r="W375" s="29">
        <f>IFERROR(V375/H375,"")</f>
        <v/>
      </c>
      <c r="X375" s="24" t="n"/>
    </row>
    <row r="376" ht="15" customHeight="1">
      <c r="A376" s="68">
        <f>IF(C376="","",IFERROR(IF(SUMPRODUCT(MAX((tbl_Finance[Job Number]=C376&amp;"")*(tbl_Finance[Xero Invoice No]&lt;&gt;"")*tbl_Finance[Date]))=0,"",SUMPRODUCT(MAX((tbl_Finance[Job Number]=C376&amp;"")*(tbl_Finance[Xero Invoice No]&lt;&gt;"")*tbl_Finance[Date]))),""))</f>
        <v/>
      </c>
      <c r="B376" s="25">
        <f>IF(C376="","",IF(COUNTIFS(tbl_Finance[Job Number],C376&amp;"",tbl_Finance[Xero Invoice No],"&lt;&gt;")=0,"",IFERROR(IF(COUNTIFS(tbl_Finance[Job Number],C376&amp;"",tbl_Finance[Xero Invoice No],LOOKUP(2,1/((tbl_Finance[Job Number]=C376&amp;"")*(tbl_Finance[Xero Invoice No]&lt;&gt;"")),tbl_Finance[Xero Invoice No]))=COUNTIFS(tbl_Finance[Job Number],C376&amp;"",tbl_Finance[Xero Invoice No],"&lt;&gt;"),LOOKUP(2,1/((tbl_Finance[Job Number]=C376&amp;"")*(tbl_Finance[Xero Invoice No]&lt;&gt;"")),tbl_Finance[Xero Invoice No]),LOOKUP(2,1/((tbl_Finance[Job Number]=C376&amp;"")*(tbl_Finance[Xero Invoice No]&lt;&gt;"")),tbl_Finance[Xero Invoice No])&amp;" +more"),"")))</f>
        <v/>
      </c>
      <c r="C376" s="24" t="n"/>
      <c r="D376" s="25">
        <f>IF(C376="","",IF(COUNTIF(lst_Jobs,C376&amp;"")&gt;0,"OK","CHECK"))</f>
        <v/>
      </c>
      <c r="E376" s="25">
        <f>IF(C376="","",IFERROR(INDEX(lst_JobName,MATCH(C376&amp;"",lst_Jobs,0)),""))</f>
        <v/>
      </c>
      <c r="F376" s="25">
        <f>IF(C376="","",IFERROR(INDEX(tbl_Finance[Client],MATCH(C376&amp;"",tbl_Finance[Job Number],0)),""))</f>
        <v/>
      </c>
      <c r="G376" s="28">
        <f>IF(C376="","",COUNTIFS(tbl_Finance[Job Number],C376&amp;"",tbl_Finance[Ex GST],"&lt;&gt;"))</f>
        <v/>
      </c>
      <c r="H376" s="27">
        <f>IF(C376="","",SUMIFS(tbl_Finance[Ex GST],tbl_Finance[Job Number],C376&amp;""))</f>
        <v/>
      </c>
      <c r="I376" s="27">
        <f>IF(C376="","",SUMIFS(tbl_Finance[Ex GST],tbl_Finance[Job Number],C376&amp;"",tbl_Finance[Xero Invoice No],"&lt;&gt;"))</f>
        <v/>
      </c>
      <c r="J376" s="27">
        <f>IF(C376="","",H376-I376)</f>
        <v/>
      </c>
      <c r="K376" s="25">
        <f>IF(C376="","",IF(G376=0,"not invoiced yet",SUBSTITUTE(TRIM(IF(COUNTIFS(tbl_Finance[Job Number],C376&amp;"",tbl_Finance[Cost Centre],"ONSITE")&gt;0,"ONSITE ","")&amp;IF(COUNTIFS(tbl_Finance[Job Number],C376&amp;"",tbl_Finance[Cost Centre],"PRODUCTION")&gt;0,"PRODUCTION ","")&amp;IF(COUNTIFS(tbl_Finance[Job Number],C376&amp;"",tbl_Finance[Cost Centre],"VIDEO")&gt;0,"VIDEO ","")&amp;IF(COUNTIFS(tbl_Finance[Job Number],C376&amp;"",tbl_Finance[Cost Centre],"INTEGRATION")&gt;0,"INTEGRATION ","")&amp;IF(COUNTIFS(tbl_Finance[Job Number],C376&amp;"",tbl_Finance[Cost Centre],"CONSULTING")&gt;0,"CONSULTING ","")&amp;IF(COUNTIFS(tbl_Finance[Job Number],C376&amp;"",tbl_Finance[Cost Centre],"CTS")&gt;0,"CTS ",""))," ",", ")))</f>
        <v/>
      </c>
      <c r="L376" s="24" t="n"/>
      <c r="M376" s="25">
        <f>IF(L376="","",HYPERLINK(IF(LEFT(L376,4)="http",L376,set_QwilrBase&amp;L376),"Open quote"))</f>
        <v/>
      </c>
      <c r="N376" s="26" t="n"/>
      <c r="O376" s="26" t="n"/>
      <c r="P376" s="26" t="n"/>
      <c r="Q376" s="25">
        <f>IF(C376="","",IF(N(N376)+N(O376)+N(P376)=0,"Not split",IF(ROUND(N(N376)+N(O376)+N(P376),2)=ROUND(H376,2),"OK","MISMATCH")))</f>
        <v/>
      </c>
      <c r="R376" s="26" t="n"/>
      <c r="S376" s="26" t="n"/>
      <c r="T376" s="26" t="n"/>
      <c r="U376" s="27">
        <f>IF(C376="","",N(R376)+N(S376)+N(T376))</f>
        <v/>
      </c>
      <c r="V376" s="27">
        <f>IF(C376="","",H376-U376)</f>
        <v/>
      </c>
      <c r="W376" s="29">
        <f>IFERROR(V376/H376,"")</f>
        <v/>
      </c>
      <c r="X376" s="24" t="n"/>
    </row>
    <row r="377" ht="15" customHeight="1">
      <c r="A377" s="68">
        <f>IF(C377="","",IFERROR(IF(SUMPRODUCT(MAX((tbl_Finance[Job Number]=C377&amp;"")*(tbl_Finance[Xero Invoice No]&lt;&gt;"")*tbl_Finance[Date]))=0,"",SUMPRODUCT(MAX((tbl_Finance[Job Number]=C377&amp;"")*(tbl_Finance[Xero Invoice No]&lt;&gt;"")*tbl_Finance[Date]))),""))</f>
        <v/>
      </c>
      <c r="B377" s="25">
        <f>IF(C377="","",IF(COUNTIFS(tbl_Finance[Job Number],C377&amp;"",tbl_Finance[Xero Invoice No],"&lt;&gt;")=0,"",IFERROR(IF(COUNTIFS(tbl_Finance[Job Number],C377&amp;"",tbl_Finance[Xero Invoice No],LOOKUP(2,1/((tbl_Finance[Job Number]=C377&amp;"")*(tbl_Finance[Xero Invoice No]&lt;&gt;"")),tbl_Finance[Xero Invoice No]))=COUNTIFS(tbl_Finance[Job Number],C377&amp;"",tbl_Finance[Xero Invoice No],"&lt;&gt;"),LOOKUP(2,1/((tbl_Finance[Job Number]=C377&amp;"")*(tbl_Finance[Xero Invoice No]&lt;&gt;"")),tbl_Finance[Xero Invoice No]),LOOKUP(2,1/((tbl_Finance[Job Number]=C377&amp;"")*(tbl_Finance[Xero Invoice No]&lt;&gt;"")),tbl_Finance[Xero Invoice No])&amp;" +more"),"")))</f>
        <v/>
      </c>
      <c r="C377" s="24" t="n"/>
      <c r="D377" s="25">
        <f>IF(C377="","",IF(COUNTIF(lst_Jobs,C377&amp;"")&gt;0,"OK","CHECK"))</f>
        <v/>
      </c>
      <c r="E377" s="25">
        <f>IF(C377="","",IFERROR(INDEX(lst_JobName,MATCH(C377&amp;"",lst_Jobs,0)),""))</f>
        <v/>
      </c>
      <c r="F377" s="25">
        <f>IF(C377="","",IFERROR(INDEX(tbl_Finance[Client],MATCH(C377&amp;"",tbl_Finance[Job Number],0)),""))</f>
        <v/>
      </c>
      <c r="G377" s="28">
        <f>IF(C377="","",COUNTIFS(tbl_Finance[Job Number],C377&amp;"",tbl_Finance[Ex GST],"&lt;&gt;"))</f>
        <v/>
      </c>
      <c r="H377" s="27">
        <f>IF(C377="","",SUMIFS(tbl_Finance[Ex GST],tbl_Finance[Job Number],C377&amp;""))</f>
        <v/>
      </c>
      <c r="I377" s="27">
        <f>IF(C377="","",SUMIFS(tbl_Finance[Ex GST],tbl_Finance[Job Number],C377&amp;"",tbl_Finance[Xero Invoice No],"&lt;&gt;"))</f>
        <v/>
      </c>
      <c r="J377" s="27">
        <f>IF(C377="","",H377-I377)</f>
        <v/>
      </c>
      <c r="K377" s="25">
        <f>IF(C377="","",IF(G377=0,"not invoiced yet",SUBSTITUTE(TRIM(IF(COUNTIFS(tbl_Finance[Job Number],C377&amp;"",tbl_Finance[Cost Centre],"ONSITE")&gt;0,"ONSITE ","")&amp;IF(COUNTIFS(tbl_Finance[Job Number],C377&amp;"",tbl_Finance[Cost Centre],"PRODUCTION")&gt;0,"PRODUCTION ","")&amp;IF(COUNTIFS(tbl_Finance[Job Number],C377&amp;"",tbl_Finance[Cost Centre],"VIDEO")&gt;0,"VIDEO ","")&amp;IF(COUNTIFS(tbl_Finance[Job Number],C377&amp;"",tbl_Finance[Cost Centre],"INTEGRATION")&gt;0,"INTEGRATION ","")&amp;IF(COUNTIFS(tbl_Finance[Job Number],C377&amp;"",tbl_Finance[Cost Centre],"CONSULTING")&gt;0,"CONSULTING ","")&amp;IF(COUNTIFS(tbl_Finance[Job Number],C377&amp;"",tbl_Finance[Cost Centre],"CTS")&gt;0,"CTS ",""))," ",", ")))</f>
        <v/>
      </c>
      <c r="L377" s="24" t="n"/>
      <c r="M377" s="25">
        <f>IF(L377="","",HYPERLINK(IF(LEFT(L377,4)="http",L377,set_QwilrBase&amp;L377),"Open quote"))</f>
        <v/>
      </c>
      <c r="N377" s="26" t="n"/>
      <c r="O377" s="26" t="n"/>
      <c r="P377" s="26" t="n"/>
      <c r="Q377" s="25">
        <f>IF(C377="","",IF(N(N377)+N(O377)+N(P377)=0,"Not split",IF(ROUND(N(N377)+N(O377)+N(P377),2)=ROUND(H377,2),"OK","MISMATCH")))</f>
        <v/>
      </c>
      <c r="R377" s="26" t="n"/>
      <c r="S377" s="26" t="n"/>
      <c r="T377" s="26" t="n"/>
      <c r="U377" s="27">
        <f>IF(C377="","",N(R377)+N(S377)+N(T377))</f>
        <v/>
      </c>
      <c r="V377" s="27">
        <f>IF(C377="","",H377-U377)</f>
        <v/>
      </c>
      <c r="W377" s="29">
        <f>IFERROR(V377/H377,"")</f>
        <v/>
      </c>
      <c r="X377" s="24" t="n"/>
    </row>
    <row r="378" ht="15" customHeight="1">
      <c r="A378" s="68">
        <f>IF(C378="","",IFERROR(IF(SUMPRODUCT(MAX((tbl_Finance[Job Number]=C378&amp;"")*(tbl_Finance[Xero Invoice No]&lt;&gt;"")*tbl_Finance[Date]))=0,"",SUMPRODUCT(MAX((tbl_Finance[Job Number]=C378&amp;"")*(tbl_Finance[Xero Invoice No]&lt;&gt;"")*tbl_Finance[Date]))),""))</f>
        <v/>
      </c>
      <c r="B378" s="25">
        <f>IF(C378="","",IF(COUNTIFS(tbl_Finance[Job Number],C378&amp;"",tbl_Finance[Xero Invoice No],"&lt;&gt;")=0,"",IFERROR(IF(COUNTIFS(tbl_Finance[Job Number],C378&amp;"",tbl_Finance[Xero Invoice No],LOOKUP(2,1/((tbl_Finance[Job Number]=C378&amp;"")*(tbl_Finance[Xero Invoice No]&lt;&gt;"")),tbl_Finance[Xero Invoice No]))=COUNTIFS(tbl_Finance[Job Number],C378&amp;"",tbl_Finance[Xero Invoice No],"&lt;&gt;"),LOOKUP(2,1/((tbl_Finance[Job Number]=C378&amp;"")*(tbl_Finance[Xero Invoice No]&lt;&gt;"")),tbl_Finance[Xero Invoice No]),LOOKUP(2,1/((tbl_Finance[Job Number]=C378&amp;"")*(tbl_Finance[Xero Invoice No]&lt;&gt;"")),tbl_Finance[Xero Invoice No])&amp;" +more"),"")))</f>
        <v/>
      </c>
      <c r="C378" s="24" t="n"/>
      <c r="D378" s="25">
        <f>IF(C378="","",IF(COUNTIF(lst_Jobs,C378&amp;"")&gt;0,"OK","CHECK"))</f>
        <v/>
      </c>
      <c r="E378" s="25">
        <f>IF(C378="","",IFERROR(INDEX(lst_JobName,MATCH(C378&amp;"",lst_Jobs,0)),""))</f>
        <v/>
      </c>
      <c r="F378" s="25">
        <f>IF(C378="","",IFERROR(INDEX(tbl_Finance[Client],MATCH(C378&amp;"",tbl_Finance[Job Number],0)),""))</f>
        <v/>
      </c>
      <c r="G378" s="28">
        <f>IF(C378="","",COUNTIFS(tbl_Finance[Job Number],C378&amp;"",tbl_Finance[Ex GST],"&lt;&gt;"))</f>
        <v/>
      </c>
      <c r="H378" s="27">
        <f>IF(C378="","",SUMIFS(tbl_Finance[Ex GST],tbl_Finance[Job Number],C378&amp;""))</f>
        <v/>
      </c>
      <c r="I378" s="27">
        <f>IF(C378="","",SUMIFS(tbl_Finance[Ex GST],tbl_Finance[Job Number],C378&amp;"",tbl_Finance[Xero Invoice No],"&lt;&gt;"))</f>
        <v/>
      </c>
      <c r="J378" s="27">
        <f>IF(C378="","",H378-I378)</f>
        <v/>
      </c>
      <c r="K378" s="25">
        <f>IF(C378="","",IF(G378=0,"not invoiced yet",SUBSTITUTE(TRIM(IF(COUNTIFS(tbl_Finance[Job Number],C378&amp;"",tbl_Finance[Cost Centre],"ONSITE")&gt;0,"ONSITE ","")&amp;IF(COUNTIFS(tbl_Finance[Job Number],C378&amp;"",tbl_Finance[Cost Centre],"PRODUCTION")&gt;0,"PRODUCTION ","")&amp;IF(COUNTIFS(tbl_Finance[Job Number],C378&amp;"",tbl_Finance[Cost Centre],"VIDEO")&gt;0,"VIDEO ","")&amp;IF(COUNTIFS(tbl_Finance[Job Number],C378&amp;"",tbl_Finance[Cost Centre],"INTEGRATION")&gt;0,"INTEGRATION ","")&amp;IF(COUNTIFS(tbl_Finance[Job Number],C378&amp;"",tbl_Finance[Cost Centre],"CONSULTING")&gt;0,"CONSULTING ","")&amp;IF(COUNTIFS(tbl_Finance[Job Number],C378&amp;"",tbl_Finance[Cost Centre],"CTS")&gt;0,"CTS ",""))," ",", ")))</f>
        <v/>
      </c>
      <c r="L378" s="24" t="n"/>
      <c r="M378" s="25">
        <f>IF(L378="","",HYPERLINK(IF(LEFT(L378,4)="http",L378,set_QwilrBase&amp;L378),"Open quote"))</f>
        <v/>
      </c>
      <c r="N378" s="26" t="n"/>
      <c r="O378" s="26" t="n"/>
      <c r="P378" s="26" t="n"/>
      <c r="Q378" s="25">
        <f>IF(C378="","",IF(N(N378)+N(O378)+N(P378)=0,"Not split",IF(ROUND(N(N378)+N(O378)+N(P378),2)=ROUND(H378,2),"OK","MISMATCH")))</f>
        <v/>
      </c>
      <c r="R378" s="26" t="n"/>
      <c r="S378" s="26" t="n"/>
      <c r="T378" s="26" t="n"/>
      <c r="U378" s="27">
        <f>IF(C378="","",N(R378)+N(S378)+N(T378))</f>
        <v/>
      </c>
      <c r="V378" s="27">
        <f>IF(C378="","",H378-U378)</f>
        <v/>
      </c>
      <c r="W378" s="29">
        <f>IFERROR(V378/H378,"")</f>
        <v/>
      </c>
      <c r="X378" s="24" t="n"/>
    </row>
    <row r="379" ht="15" customHeight="1">
      <c r="A379" s="68">
        <f>IF(C379="","",IFERROR(IF(SUMPRODUCT(MAX((tbl_Finance[Job Number]=C379&amp;"")*(tbl_Finance[Xero Invoice No]&lt;&gt;"")*tbl_Finance[Date]))=0,"",SUMPRODUCT(MAX((tbl_Finance[Job Number]=C379&amp;"")*(tbl_Finance[Xero Invoice No]&lt;&gt;"")*tbl_Finance[Date]))),""))</f>
        <v/>
      </c>
      <c r="B379" s="25">
        <f>IF(C379="","",IF(COUNTIFS(tbl_Finance[Job Number],C379&amp;"",tbl_Finance[Xero Invoice No],"&lt;&gt;")=0,"",IFERROR(IF(COUNTIFS(tbl_Finance[Job Number],C379&amp;"",tbl_Finance[Xero Invoice No],LOOKUP(2,1/((tbl_Finance[Job Number]=C379&amp;"")*(tbl_Finance[Xero Invoice No]&lt;&gt;"")),tbl_Finance[Xero Invoice No]))=COUNTIFS(tbl_Finance[Job Number],C379&amp;"",tbl_Finance[Xero Invoice No],"&lt;&gt;"),LOOKUP(2,1/((tbl_Finance[Job Number]=C379&amp;"")*(tbl_Finance[Xero Invoice No]&lt;&gt;"")),tbl_Finance[Xero Invoice No]),LOOKUP(2,1/((tbl_Finance[Job Number]=C379&amp;"")*(tbl_Finance[Xero Invoice No]&lt;&gt;"")),tbl_Finance[Xero Invoice No])&amp;" +more"),"")))</f>
        <v/>
      </c>
      <c r="C379" s="24" t="n"/>
      <c r="D379" s="25">
        <f>IF(C379="","",IF(COUNTIF(lst_Jobs,C379&amp;"")&gt;0,"OK","CHECK"))</f>
        <v/>
      </c>
      <c r="E379" s="25">
        <f>IF(C379="","",IFERROR(INDEX(lst_JobName,MATCH(C379&amp;"",lst_Jobs,0)),""))</f>
        <v/>
      </c>
      <c r="F379" s="25">
        <f>IF(C379="","",IFERROR(INDEX(tbl_Finance[Client],MATCH(C379&amp;"",tbl_Finance[Job Number],0)),""))</f>
        <v/>
      </c>
      <c r="G379" s="28">
        <f>IF(C379="","",COUNTIFS(tbl_Finance[Job Number],C379&amp;"",tbl_Finance[Ex GST],"&lt;&gt;"))</f>
        <v/>
      </c>
      <c r="H379" s="27">
        <f>IF(C379="","",SUMIFS(tbl_Finance[Ex GST],tbl_Finance[Job Number],C379&amp;""))</f>
        <v/>
      </c>
      <c r="I379" s="27">
        <f>IF(C379="","",SUMIFS(tbl_Finance[Ex GST],tbl_Finance[Job Number],C379&amp;"",tbl_Finance[Xero Invoice No],"&lt;&gt;"))</f>
        <v/>
      </c>
      <c r="J379" s="27">
        <f>IF(C379="","",H379-I379)</f>
        <v/>
      </c>
      <c r="K379" s="25">
        <f>IF(C379="","",IF(G379=0,"not invoiced yet",SUBSTITUTE(TRIM(IF(COUNTIFS(tbl_Finance[Job Number],C379&amp;"",tbl_Finance[Cost Centre],"ONSITE")&gt;0,"ONSITE ","")&amp;IF(COUNTIFS(tbl_Finance[Job Number],C379&amp;"",tbl_Finance[Cost Centre],"PRODUCTION")&gt;0,"PRODUCTION ","")&amp;IF(COUNTIFS(tbl_Finance[Job Number],C379&amp;"",tbl_Finance[Cost Centre],"VIDEO")&gt;0,"VIDEO ","")&amp;IF(COUNTIFS(tbl_Finance[Job Number],C379&amp;"",tbl_Finance[Cost Centre],"INTEGRATION")&gt;0,"INTEGRATION ","")&amp;IF(COUNTIFS(tbl_Finance[Job Number],C379&amp;"",tbl_Finance[Cost Centre],"CONSULTING")&gt;0,"CONSULTING ","")&amp;IF(COUNTIFS(tbl_Finance[Job Number],C379&amp;"",tbl_Finance[Cost Centre],"CTS")&gt;0,"CTS ",""))," ",", ")))</f>
        <v/>
      </c>
      <c r="L379" s="24" t="n"/>
      <c r="M379" s="25">
        <f>IF(L379="","",HYPERLINK(IF(LEFT(L379,4)="http",L379,set_QwilrBase&amp;L379),"Open quote"))</f>
        <v/>
      </c>
      <c r="N379" s="26" t="n"/>
      <c r="O379" s="26" t="n"/>
      <c r="P379" s="26" t="n"/>
      <c r="Q379" s="25">
        <f>IF(C379="","",IF(N(N379)+N(O379)+N(P379)=0,"Not split",IF(ROUND(N(N379)+N(O379)+N(P379),2)=ROUND(H379,2),"OK","MISMATCH")))</f>
        <v/>
      </c>
      <c r="R379" s="26" t="n"/>
      <c r="S379" s="26" t="n"/>
      <c r="T379" s="26" t="n"/>
      <c r="U379" s="27">
        <f>IF(C379="","",N(R379)+N(S379)+N(T379))</f>
        <v/>
      </c>
      <c r="V379" s="27">
        <f>IF(C379="","",H379-U379)</f>
        <v/>
      </c>
      <c r="W379" s="29">
        <f>IFERROR(V379/H379,"")</f>
        <v/>
      </c>
      <c r="X379" s="24" t="n"/>
    </row>
    <row r="380" ht="15" customHeight="1">
      <c r="A380" s="68">
        <f>IF(C380="","",IFERROR(IF(SUMPRODUCT(MAX((tbl_Finance[Job Number]=C380&amp;"")*(tbl_Finance[Xero Invoice No]&lt;&gt;"")*tbl_Finance[Date]))=0,"",SUMPRODUCT(MAX((tbl_Finance[Job Number]=C380&amp;"")*(tbl_Finance[Xero Invoice No]&lt;&gt;"")*tbl_Finance[Date]))),""))</f>
        <v/>
      </c>
      <c r="B380" s="25">
        <f>IF(C380="","",IF(COUNTIFS(tbl_Finance[Job Number],C380&amp;"",tbl_Finance[Xero Invoice No],"&lt;&gt;")=0,"",IFERROR(IF(COUNTIFS(tbl_Finance[Job Number],C380&amp;"",tbl_Finance[Xero Invoice No],LOOKUP(2,1/((tbl_Finance[Job Number]=C380&amp;"")*(tbl_Finance[Xero Invoice No]&lt;&gt;"")),tbl_Finance[Xero Invoice No]))=COUNTIFS(tbl_Finance[Job Number],C380&amp;"",tbl_Finance[Xero Invoice No],"&lt;&gt;"),LOOKUP(2,1/((tbl_Finance[Job Number]=C380&amp;"")*(tbl_Finance[Xero Invoice No]&lt;&gt;"")),tbl_Finance[Xero Invoice No]),LOOKUP(2,1/((tbl_Finance[Job Number]=C380&amp;"")*(tbl_Finance[Xero Invoice No]&lt;&gt;"")),tbl_Finance[Xero Invoice No])&amp;" +more"),"")))</f>
        <v/>
      </c>
      <c r="C380" s="24" t="n"/>
      <c r="D380" s="25">
        <f>IF(C380="","",IF(COUNTIF(lst_Jobs,C380&amp;"")&gt;0,"OK","CHECK"))</f>
        <v/>
      </c>
      <c r="E380" s="25">
        <f>IF(C380="","",IFERROR(INDEX(lst_JobName,MATCH(C380&amp;"",lst_Jobs,0)),""))</f>
        <v/>
      </c>
      <c r="F380" s="25">
        <f>IF(C380="","",IFERROR(INDEX(tbl_Finance[Client],MATCH(C380&amp;"",tbl_Finance[Job Number],0)),""))</f>
        <v/>
      </c>
      <c r="G380" s="28">
        <f>IF(C380="","",COUNTIFS(tbl_Finance[Job Number],C380&amp;"",tbl_Finance[Ex GST],"&lt;&gt;"))</f>
        <v/>
      </c>
      <c r="H380" s="27">
        <f>IF(C380="","",SUMIFS(tbl_Finance[Ex GST],tbl_Finance[Job Number],C380&amp;""))</f>
        <v/>
      </c>
      <c r="I380" s="27">
        <f>IF(C380="","",SUMIFS(tbl_Finance[Ex GST],tbl_Finance[Job Number],C380&amp;"",tbl_Finance[Xero Invoice No],"&lt;&gt;"))</f>
        <v/>
      </c>
      <c r="J380" s="27">
        <f>IF(C380="","",H380-I380)</f>
        <v/>
      </c>
      <c r="K380" s="25">
        <f>IF(C380="","",IF(G380=0,"not invoiced yet",SUBSTITUTE(TRIM(IF(COUNTIFS(tbl_Finance[Job Number],C380&amp;"",tbl_Finance[Cost Centre],"ONSITE")&gt;0,"ONSITE ","")&amp;IF(COUNTIFS(tbl_Finance[Job Number],C380&amp;"",tbl_Finance[Cost Centre],"PRODUCTION")&gt;0,"PRODUCTION ","")&amp;IF(COUNTIFS(tbl_Finance[Job Number],C380&amp;"",tbl_Finance[Cost Centre],"VIDEO")&gt;0,"VIDEO ","")&amp;IF(COUNTIFS(tbl_Finance[Job Number],C380&amp;"",tbl_Finance[Cost Centre],"INTEGRATION")&gt;0,"INTEGRATION ","")&amp;IF(COUNTIFS(tbl_Finance[Job Number],C380&amp;"",tbl_Finance[Cost Centre],"CONSULTING")&gt;0,"CONSULTING ","")&amp;IF(COUNTIFS(tbl_Finance[Job Number],C380&amp;"",tbl_Finance[Cost Centre],"CTS")&gt;0,"CTS ",""))," ",", ")))</f>
        <v/>
      </c>
      <c r="L380" s="24" t="n"/>
      <c r="M380" s="25">
        <f>IF(L380="","",HYPERLINK(IF(LEFT(L380,4)="http",L380,set_QwilrBase&amp;L380),"Open quote"))</f>
        <v/>
      </c>
      <c r="N380" s="26" t="n"/>
      <c r="O380" s="26" t="n"/>
      <c r="P380" s="26" t="n"/>
      <c r="Q380" s="25">
        <f>IF(C380="","",IF(N(N380)+N(O380)+N(P380)=0,"Not split",IF(ROUND(N(N380)+N(O380)+N(P380),2)=ROUND(H380,2),"OK","MISMATCH")))</f>
        <v/>
      </c>
      <c r="R380" s="26" t="n"/>
      <c r="S380" s="26" t="n"/>
      <c r="T380" s="26" t="n"/>
      <c r="U380" s="27">
        <f>IF(C380="","",N(R380)+N(S380)+N(T380))</f>
        <v/>
      </c>
      <c r="V380" s="27">
        <f>IF(C380="","",H380-U380)</f>
        <v/>
      </c>
      <c r="W380" s="29">
        <f>IFERROR(V380/H380,"")</f>
        <v/>
      </c>
      <c r="X380" s="24" t="n"/>
    </row>
    <row r="381" ht="15" customHeight="1">
      <c r="A381" s="68">
        <f>IF(C381="","",IFERROR(IF(SUMPRODUCT(MAX((tbl_Finance[Job Number]=C381&amp;"")*(tbl_Finance[Xero Invoice No]&lt;&gt;"")*tbl_Finance[Date]))=0,"",SUMPRODUCT(MAX((tbl_Finance[Job Number]=C381&amp;"")*(tbl_Finance[Xero Invoice No]&lt;&gt;"")*tbl_Finance[Date]))),""))</f>
        <v/>
      </c>
      <c r="B381" s="25">
        <f>IF(C381="","",IF(COUNTIFS(tbl_Finance[Job Number],C381&amp;"",tbl_Finance[Xero Invoice No],"&lt;&gt;")=0,"",IFERROR(IF(COUNTIFS(tbl_Finance[Job Number],C381&amp;"",tbl_Finance[Xero Invoice No],LOOKUP(2,1/((tbl_Finance[Job Number]=C381&amp;"")*(tbl_Finance[Xero Invoice No]&lt;&gt;"")),tbl_Finance[Xero Invoice No]))=COUNTIFS(tbl_Finance[Job Number],C381&amp;"",tbl_Finance[Xero Invoice No],"&lt;&gt;"),LOOKUP(2,1/((tbl_Finance[Job Number]=C381&amp;"")*(tbl_Finance[Xero Invoice No]&lt;&gt;"")),tbl_Finance[Xero Invoice No]),LOOKUP(2,1/((tbl_Finance[Job Number]=C381&amp;"")*(tbl_Finance[Xero Invoice No]&lt;&gt;"")),tbl_Finance[Xero Invoice No])&amp;" +more"),"")))</f>
        <v/>
      </c>
      <c r="C381" s="24" t="n"/>
      <c r="D381" s="25">
        <f>IF(C381="","",IF(COUNTIF(lst_Jobs,C381&amp;"")&gt;0,"OK","CHECK"))</f>
        <v/>
      </c>
      <c r="E381" s="25">
        <f>IF(C381="","",IFERROR(INDEX(lst_JobName,MATCH(C381&amp;"",lst_Jobs,0)),""))</f>
        <v/>
      </c>
      <c r="F381" s="25">
        <f>IF(C381="","",IFERROR(INDEX(tbl_Finance[Client],MATCH(C381&amp;"",tbl_Finance[Job Number],0)),""))</f>
        <v/>
      </c>
      <c r="G381" s="28">
        <f>IF(C381="","",COUNTIFS(tbl_Finance[Job Number],C381&amp;"",tbl_Finance[Ex GST],"&lt;&gt;"))</f>
        <v/>
      </c>
      <c r="H381" s="27">
        <f>IF(C381="","",SUMIFS(tbl_Finance[Ex GST],tbl_Finance[Job Number],C381&amp;""))</f>
        <v/>
      </c>
      <c r="I381" s="27">
        <f>IF(C381="","",SUMIFS(tbl_Finance[Ex GST],tbl_Finance[Job Number],C381&amp;"",tbl_Finance[Xero Invoice No],"&lt;&gt;"))</f>
        <v/>
      </c>
      <c r="J381" s="27">
        <f>IF(C381="","",H381-I381)</f>
        <v/>
      </c>
      <c r="K381" s="25">
        <f>IF(C381="","",IF(G381=0,"not invoiced yet",SUBSTITUTE(TRIM(IF(COUNTIFS(tbl_Finance[Job Number],C381&amp;"",tbl_Finance[Cost Centre],"ONSITE")&gt;0,"ONSITE ","")&amp;IF(COUNTIFS(tbl_Finance[Job Number],C381&amp;"",tbl_Finance[Cost Centre],"PRODUCTION")&gt;0,"PRODUCTION ","")&amp;IF(COUNTIFS(tbl_Finance[Job Number],C381&amp;"",tbl_Finance[Cost Centre],"VIDEO")&gt;0,"VIDEO ","")&amp;IF(COUNTIFS(tbl_Finance[Job Number],C381&amp;"",tbl_Finance[Cost Centre],"INTEGRATION")&gt;0,"INTEGRATION ","")&amp;IF(COUNTIFS(tbl_Finance[Job Number],C381&amp;"",tbl_Finance[Cost Centre],"CONSULTING")&gt;0,"CONSULTING ","")&amp;IF(COUNTIFS(tbl_Finance[Job Number],C381&amp;"",tbl_Finance[Cost Centre],"CTS")&gt;0,"CTS ",""))," ",", ")))</f>
        <v/>
      </c>
      <c r="L381" s="24" t="n"/>
      <c r="M381" s="25">
        <f>IF(L381="","",HYPERLINK(IF(LEFT(L381,4)="http",L381,set_QwilrBase&amp;L381),"Open quote"))</f>
        <v/>
      </c>
      <c r="N381" s="26" t="n"/>
      <c r="O381" s="26" t="n"/>
      <c r="P381" s="26" t="n"/>
      <c r="Q381" s="25">
        <f>IF(C381="","",IF(N(N381)+N(O381)+N(P381)=0,"Not split",IF(ROUND(N(N381)+N(O381)+N(P381),2)=ROUND(H381,2),"OK","MISMATCH")))</f>
        <v/>
      </c>
      <c r="R381" s="26" t="n"/>
      <c r="S381" s="26" t="n"/>
      <c r="T381" s="26" t="n"/>
      <c r="U381" s="27">
        <f>IF(C381="","",N(R381)+N(S381)+N(T381))</f>
        <v/>
      </c>
      <c r="V381" s="27">
        <f>IF(C381="","",H381-U381)</f>
        <v/>
      </c>
      <c r="W381" s="29">
        <f>IFERROR(V381/H381,"")</f>
        <v/>
      </c>
      <c r="X381" s="24" t="n"/>
    </row>
    <row r="382" ht="15" customHeight="1">
      <c r="A382" s="68">
        <f>IF(C382="","",IFERROR(IF(SUMPRODUCT(MAX((tbl_Finance[Job Number]=C382&amp;"")*(tbl_Finance[Xero Invoice No]&lt;&gt;"")*tbl_Finance[Date]))=0,"",SUMPRODUCT(MAX((tbl_Finance[Job Number]=C382&amp;"")*(tbl_Finance[Xero Invoice No]&lt;&gt;"")*tbl_Finance[Date]))),""))</f>
        <v/>
      </c>
      <c r="B382" s="25">
        <f>IF(C382="","",IF(COUNTIFS(tbl_Finance[Job Number],C382&amp;"",tbl_Finance[Xero Invoice No],"&lt;&gt;")=0,"",IFERROR(IF(COUNTIFS(tbl_Finance[Job Number],C382&amp;"",tbl_Finance[Xero Invoice No],LOOKUP(2,1/((tbl_Finance[Job Number]=C382&amp;"")*(tbl_Finance[Xero Invoice No]&lt;&gt;"")),tbl_Finance[Xero Invoice No]))=COUNTIFS(tbl_Finance[Job Number],C382&amp;"",tbl_Finance[Xero Invoice No],"&lt;&gt;"),LOOKUP(2,1/((tbl_Finance[Job Number]=C382&amp;"")*(tbl_Finance[Xero Invoice No]&lt;&gt;"")),tbl_Finance[Xero Invoice No]),LOOKUP(2,1/((tbl_Finance[Job Number]=C382&amp;"")*(tbl_Finance[Xero Invoice No]&lt;&gt;"")),tbl_Finance[Xero Invoice No])&amp;" +more"),"")))</f>
        <v/>
      </c>
      <c r="C382" s="24" t="n"/>
      <c r="D382" s="25">
        <f>IF(C382="","",IF(COUNTIF(lst_Jobs,C382&amp;"")&gt;0,"OK","CHECK"))</f>
        <v/>
      </c>
      <c r="E382" s="25">
        <f>IF(C382="","",IFERROR(INDEX(lst_JobName,MATCH(C382&amp;"",lst_Jobs,0)),""))</f>
        <v/>
      </c>
      <c r="F382" s="25">
        <f>IF(C382="","",IFERROR(INDEX(tbl_Finance[Client],MATCH(C382&amp;"",tbl_Finance[Job Number],0)),""))</f>
        <v/>
      </c>
      <c r="G382" s="28">
        <f>IF(C382="","",COUNTIFS(tbl_Finance[Job Number],C382&amp;"",tbl_Finance[Ex GST],"&lt;&gt;"))</f>
        <v/>
      </c>
      <c r="H382" s="27">
        <f>IF(C382="","",SUMIFS(tbl_Finance[Ex GST],tbl_Finance[Job Number],C382&amp;""))</f>
        <v/>
      </c>
      <c r="I382" s="27">
        <f>IF(C382="","",SUMIFS(tbl_Finance[Ex GST],tbl_Finance[Job Number],C382&amp;"",tbl_Finance[Xero Invoice No],"&lt;&gt;"))</f>
        <v/>
      </c>
      <c r="J382" s="27">
        <f>IF(C382="","",H382-I382)</f>
        <v/>
      </c>
      <c r="K382" s="25">
        <f>IF(C382="","",IF(G382=0,"not invoiced yet",SUBSTITUTE(TRIM(IF(COUNTIFS(tbl_Finance[Job Number],C382&amp;"",tbl_Finance[Cost Centre],"ONSITE")&gt;0,"ONSITE ","")&amp;IF(COUNTIFS(tbl_Finance[Job Number],C382&amp;"",tbl_Finance[Cost Centre],"PRODUCTION")&gt;0,"PRODUCTION ","")&amp;IF(COUNTIFS(tbl_Finance[Job Number],C382&amp;"",tbl_Finance[Cost Centre],"VIDEO")&gt;0,"VIDEO ","")&amp;IF(COUNTIFS(tbl_Finance[Job Number],C382&amp;"",tbl_Finance[Cost Centre],"INTEGRATION")&gt;0,"INTEGRATION ","")&amp;IF(COUNTIFS(tbl_Finance[Job Number],C382&amp;"",tbl_Finance[Cost Centre],"CONSULTING")&gt;0,"CONSULTING ","")&amp;IF(COUNTIFS(tbl_Finance[Job Number],C382&amp;"",tbl_Finance[Cost Centre],"CTS")&gt;0,"CTS ",""))," ",", ")))</f>
        <v/>
      </c>
      <c r="L382" s="24" t="n"/>
      <c r="M382" s="25">
        <f>IF(L382="","",HYPERLINK(IF(LEFT(L382,4)="http",L382,set_QwilrBase&amp;L382),"Open quote"))</f>
        <v/>
      </c>
      <c r="N382" s="26" t="n"/>
      <c r="O382" s="26" t="n"/>
      <c r="P382" s="26" t="n"/>
      <c r="Q382" s="25">
        <f>IF(C382="","",IF(N(N382)+N(O382)+N(P382)=0,"Not split",IF(ROUND(N(N382)+N(O382)+N(P382),2)=ROUND(H382,2),"OK","MISMATCH")))</f>
        <v/>
      </c>
      <c r="R382" s="26" t="n"/>
      <c r="S382" s="26" t="n"/>
      <c r="T382" s="26" t="n"/>
      <c r="U382" s="27">
        <f>IF(C382="","",N(R382)+N(S382)+N(T382))</f>
        <v/>
      </c>
      <c r="V382" s="27">
        <f>IF(C382="","",H382-U382)</f>
        <v/>
      </c>
      <c r="W382" s="29">
        <f>IFERROR(V382/H382,"")</f>
        <v/>
      </c>
      <c r="X382" s="24" t="n"/>
    </row>
    <row r="383" ht="15" customHeight="1">
      <c r="A383" s="68">
        <f>IF(C383="","",IFERROR(IF(SUMPRODUCT(MAX((tbl_Finance[Job Number]=C383&amp;"")*(tbl_Finance[Xero Invoice No]&lt;&gt;"")*tbl_Finance[Date]))=0,"",SUMPRODUCT(MAX((tbl_Finance[Job Number]=C383&amp;"")*(tbl_Finance[Xero Invoice No]&lt;&gt;"")*tbl_Finance[Date]))),""))</f>
        <v/>
      </c>
      <c r="B383" s="25">
        <f>IF(C383="","",IF(COUNTIFS(tbl_Finance[Job Number],C383&amp;"",tbl_Finance[Xero Invoice No],"&lt;&gt;")=0,"",IFERROR(IF(COUNTIFS(tbl_Finance[Job Number],C383&amp;"",tbl_Finance[Xero Invoice No],LOOKUP(2,1/((tbl_Finance[Job Number]=C383&amp;"")*(tbl_Finance[Xero Invoice No]&lt;&gt;"")),tbl_Finance[Xero Invoice No]))=COUNTIFS(tbl_Finance[Job Number],C383&amp;"",tbl_Finance[Xero Invoice No],"&lt;&gt;"),LOOKUP(2,1/((tbl_Finance[Job Number]=C383&amp;"")*(tbl_Finance[Xero Invoice No]&lt;&gt;"")),tbl_Finance[Xero Invoice No]),LOOKUP(2,1/((tbl_Finance[Job Number]=C383&amp;"")*(tbl_Finance[Xero Invoice No]&lt;&gt;"")),tbl_Finance[Xero Invoice No])&amp;" +more"),"")))</f>
        <v/>
      </c>
      <c r="C383" s="24" t="n"/>
      <c r="D383" s="25">
        <f>IF(C383="","",IF(COUNTIF(lst_Jobs,C383&amp;"")&gt;0,"OK","CHECK"))</f>
        <v/>
      </c>
      <c r="E383" s="25">
        <f>IF(C383="","",IFERROR(INDEX(lst_JobName,MATCH(C383&amp;"",lst_Jobs,0)),""))</f>
        <v/>
      </c>
      <c r="F383" s="25">
        <f>IF(C383="","",IFERROR(INDEX(tbl_Finance[Client],MATCH(C383&amp;"",tbl_Finance[Job Number],0)),""))</f>
        <v/>
      </c>
      <c r="G383" s="28">
        <f>IF(C383="","",COUNTIFS(tbl_Finance[Job Number],C383&amp;"",tbl_Finance[Ex GST],"&lt;&gt;"))</f>
        <v/>
      </c>
      <c r="H383" s="27">
        <f>IF(C383="","",SUMIFS(tbl_Finance[Ex GST],tbl_Finance[Job Number],C383&amp;""))</f>
        <v/>
      </c>
      <c r="I383" s="27">
        <f>IF(C383="","",SUMIFS(tbl_Finance[Ex GST],tbl_Finance[Job Number],C383&amp;"",tbl_Finance[Xero Invoice No],"&lt;&gt;"))</f>
        <v/>
      </c>
      <c r="J383" s="27">
        <f>IF(C383="","",H383-I383)</f>
        <v/>
      </c>
      <c r="K383" s="25">
        <f>IF(C383="","",IF(G383=0,"not invoiced yet",SUBSTITUTE(TRIM(IF(COUNTIFS(tbl_Finance[Job Number],C383&amp;"",tbl_Finance[Cost Centre],"ONSITE")&gt;0,"ONSITE ","")&amp;IF(COUNTIFS(tbl_Finance[Job Number],C383&amp;"",tbl_Finance[Cost Centre],"PRODUCTION")&gt;0,"PRODUCTION ","")&amp;IF(COUNTIFS(tbl_Finance[Job Number],C383&amp;"",tbl_Finance[Cost Centre],"VIDEO")&gt;0,"VIDEO ","")&amp;IF(COUNTIFS(tbl_Finance[Job Number],C383&amp;"",tbl_Finance[Cost Centre],"INTEGRATION")&gt;0,"INTEGRATION ","")&amp;IF(COUNTIFS(tbl_Finance[Job Number],C383&amp;"",tbl_Finance[Cost Centre],"CONSULTING")&gt;0,"CONSULTING ","")&amp;IF(COUNTIFS(tbl_Finance[Job Number],C383&amp;"",tbl_Finance[Cost Centre],"CTS")&gt;0,"CTS ",""))," ",", ")))</f>
        <v/>
      </c>
      <c r="L383" s="24" t="n"/>
      <c r="M383" s="25">
        <f>IF(L383="","",HYPERLINK(IF(LEFT(L383,4)="http",L383,set_QwilrBase&amp;L383),"Open quote"))</f>
        <v/>
      </c>
      <c r="N383" s="26" t="n"/>
      <c r="O383" s="26" t="n"/>
      <c r="P383" s="26" t="n"/>
      <c r="Q383" s="25">
        <f>IF(C383="","",IF(N(N383)+N(O383)+N(P383)=0,"Not split",IF(ROUND(N(N383)+N(O383)+N(P383),2)=ROUND(H383,2),"OK","MISMATCH")))</f>
        <v/>
      </c>
      <c r="R383" s="26" t="n"/>
      <c r="S383" s="26" t="n"/>
      <c r="T383" s="26" t="n"/>
      <c r="U383" s="27">
        <f>IF(C383="","",N(R383)+N(S383)+N(T383))</f>
        <v/>
      </c>
      <c r="V383" s="27">
        <f>IF(C383="","",H383-U383)</f>
        <v/>
      </c>
      <c r="W383" s="29">
        <f>IFERROR(V383/H383,"")</f>
        <v/>
      </c>
      <c r="X383" s="24" t="n"/>
    </row>
    <row r="384" ht="15" customHeight="1">
      <c r="A384" s="68">
        <f>IF(C384="","",IFERROR(IF(SUMPRODUCT(MAX((tbl_Finance[Job Number]=C384&amp;"")*(tbl_Finance[Xero Invoice No]&lt;&gt;"")*tbl_Finance[Date]))=0,"",SUMPRODUCT(MAX((tbl_Finance[Job Number]=C384&amp;"")*(tbl_Finance[Xero Invoice No]&lt;&gt;"")*tbl_Finance[Date]))),""))</f>
        <v/>
      </c>
      <c r="B384" s="25">
        <f>IF(C384="","",IF(COUNTIFS(tbl_Finance[Job Number],C384&amp;"",tbl_Finance[Xero Invoice No],"&lt;&gt;")=0,"",IFERROR(IF(COUNTIFS(tbl_Finance[Job Number],C384&amp;"",tbl_Finance[Xero Invoice No],LOOKUP(2,1/((tbl_Finance[Job Number]=C384&amp;"")*(tbl_Finance[Xero Invoice No]&lt;&gt;"")),tbl_Finance[Xero Invoice No]))=COUNTIFS(tbl_Finance[Job Number],C384&amp;"",tbl_Finance[Xero Invoice No],"&lt;&gt;"),LOOKUP(2,1/((tbl_Finance[Job Number]=C384&amp;"")*(tbl_Finance[Xero Invoice No]&lt;&gt;"")),tbl_Finance[Xero Invoice No]),LOOKUP(2,1/((tbl_Finance[Job Number]=C384&amp;"")*(tbl_Finance[Xero Invoice No]&lt;&gt;"")),tbl_Finance[Xero Invoice No])&amp;" +more"),"")))</f>
        <v/>
      </c>
      <c r="C384" s="24" t="n"/>
      <c r="D384" s="25">
        <f>IF(C384="","",IF(COUNTIF(lst_Jobs,C384&amp;"")&gt;0,"OK","CHECK"))</f>
        <v/>
      </c>
      <c r="E384" s="25">
        <f>IF(C384="","",IFERROR(INDEX(lst_JobName,MATCH(C384&amp;"",lst_Jobs,0)),""))</f>
        <v/>
      </c>
      <c r="F384" s="25">
        <f>IF(C384="","",IFERROR(INDEX(tbl_Finance[Client],MATCH(C384&amp;"",tbl_Finance[Job Number],0)),""))</f>
        <v/>
      </c>
      <c r="G384" s="28">
        <f>IF(C384="","",COUNTIFS(tbl_Finance[Job Number],C384&amp;"",tbl_Finance[Ex GST],"&lt;&gt;"))</f>
        <v/>
      </c>
      <c r="H384" s="27">
        <f>IF(C384="","",SUMIFS(tbl_Finance[Ex GST],tbl_Finance[Job Number],C384&amp;""))</f>
        <v/>
      </c>
      <c r="I384" s="27">
        <f>IF(C384="","",SUMIFS(tbl_Finance[Ex GST],tbl_Finance[Job Number],C384&amp;"",tbl_Finance[Xero Invoice No],"&lt;&gt;"))</f>
        <v/>
      </c>
      <c r="J384" s="27">
        <f>IF(C384="","",H384-I384)</f>
        <v/>
      </c>
      <c r="K384" s="25">
        <f>IF(C384="","",IF(G384=0,"not invoiced yet",SUBSTITUTE(TRIM(IF(COUNTIFS(tbl_Finance[Job Number],C384&amp;"",tbl_Finance[Cost Centre],"ONSITE")&gt;0,"ONSITE ","")&amp;IF(COUNTIFS(tbl_Finance[Job Number],C384&amp;"",tbl_Finance[Cost Centre],"PRODUCTION")&gt;0,"PRODUCTION ","")&amp;IF(COUNTIFS(tbl_Finance[Job Number],C384&amp;"",tbl_Finance[Cost Centre],"VIDEO")&gt;0,"VIDEO ","")&amp;IF(COUNTIFS(tbl_Finance[Job Number],C384&amp;"",tbl_Finance[Cost Centre],"INTEGRATION")&gt;0,"INTEGRATION ","")&amp;IF(COUNTIFS(tbl_Finance[Job Number],C384&amp;"",tbl_Finance[Cost Centre],"CONSULTING")&gt;0,"CONSULTING ","")&amp;IF(COUNTIFS(tbl_Finance[Job Number],C384&amp;"",tbl_Finance[Cost Centre],"CTS")&gt;0,"CTS ",""))," ",", ")))</f>
        <v/>
      </c>
      <c r="L384" s="24" t="n"/>
      <c r="M384" s="25">
        <f>IF(L384="","",HYPERLINK(IF(LEFT(L384,4)="http",L384,set_QwilrBase&amp;L384),"Open quote"))</f>
        <v/>
      </c>
      <c r="N384" s="26" t="n"/>
      <c r="O384" s="26" t="n"/>
      <c r="P384" s="26" t="n"/>
      <c r="Q384" s="25">
        <f>IF(C384="","",IF(N(N384)+N(O384)+N(P384)=0,"Not split",IF(ROUND(N(N384)+N(O384)+N(P384),2)=ROUND(H384,2),"OK","MISMATCH")))</f>
        <v/>
      </c>
      <c r="R384" s="26" t="n"/>
      <c r="S384" s="26" t="n"/>
      <c r="T384" s="26" t="n"/>
      <c r="U384" s="27">
        <f>IF(C384="","",N(R384)+N(S384)+N(T384))</f>
        <v/>
      </c>
      <c r="V384" s="27">
        <f>IF(C384="","",H384-U384)</f>
        <v/>
      </c>
      <c r="W384" s="29">
        <f>IFERROR(V384/H384,"")</f>
        <v/>
      </c>
      <c r="X384" s="24" t="n"/>
    </row>
    <row r="385" ht="15" customHeight="1">
      <c r="A385" s="68">
        <f>IF(C385="","",IFERROR(IF(SUMPRODUCT(MAX((tbl_Finance[Job Number]=C385&amp;"")*(tbl_Finance[Xero Invoice No]&lt;&gt;"")*tbl_Finance[Date]))=0,"",SUMPRODUCT(MAX((tbl_Finance[Job Number]=C385&amp;"")*(tbl_Finance[Xero Invoice No]&lt;&gt;"")*tbl_Finance[Date]))),""))</f>
        <v/>
      </c>
      <c r="B385" s="25">
        <f>IF(C385="","",IF(COUNTIFS(tbl_Finance[Job Number],C385&amp;"",tbl_Finance[Xero Invoice No],"&lt;&gt;")=0,"",IFERROR(IF(COUNTIFS(tbl_Finance[Job Number],C385&amp;"",tbl_Finance[Xero Invoice No],LOOKUP(2,1/((tbl_Finance[Job Number]=C385&amp;"")*(tbl_Finance[Xero Invoice No]&lt;&gt;"")),tbl_Finance[Xero Invoice No]))=COUNTIFS(tbl_Finance[Job Number],C385&amp;"",tbl_Finance[Xero Invoice No],"&lt;&gt;"),LOOKUP(2,1/((tbl_Finance[Job Number]=C385&amp;"")*(tbl_Finance[Xero Invoice No]&lt;&gt;"")),tbl_Finance[Xero Invoice No]),LOOKUP(2,1/((tbl_Finance[Job Number]=C385&amp;"")*(tbl_Finance[Xero Invoice No]&lt;&gt;"")),tbl_Finance[Xero Invoice No])&amp;" +more"),"")))</f>
        <v/>
      </c>
      <c r="C385" s="24" t="n"/>
      <c r="D385" s="25">
        <f>IF(C385="","",IF(COUNTIF(lst_Jobs,C385&amp;"")&gt;0,"OK","CHECK"))</f>
        <v/>
      </c>
      <c r="E385" s="25">
        <f>IF(C385="","",IFERROR(INDEX(lst_JobName,MATCH(C385&amp;"",lst_Jobs,0)),""))</f>
        <v/>
      </c>
      <c r="F385" s="25">
        <f>IF(C385="","",IFERROR(INDEX(tbl_Finance[Client],MATCH(C385&amp;"",tbl_Finance[Job Number],0)),""))</f>
        <v/>
      </c>
      <c r="G385" s="28">
        <f>IF(C385="","",COUNTIFS(tbl_Finance[Job Number],C385&amp;"",tbl_Finance[Ex GST],"&lt;&gt;"))</f>
        <v/>
      </c>
      <c r="H385" s="27">
        <f>IF(C385="","",SUMIFS(tbl_Finance[Ex GST],tbl_Finance[Job Number],C385&amp;""))</f>
        <v/>
      </c>
      <c r="I385" s="27">
        <f>IF(C385="","",SUMIFS(tbl_Finance[Ex GST],tbl_Finance[Job Number],C385&amp;"",tbl_Finance[Xero Invoice No],"&lt;&gt;"))</f>
        <v/>
      </c>
      <c r="J385" s="27">
        <f>IF(C385="","",H385-I385)</f>
        <v/>
      </c>
      <c r="K385" s="25">
        <f>IF(C385="","",IF(G385=0,"not invoiced yet",SUBSTITUTE(TRIM(IF(COUNTIFS(tbl_Finance[Job Number],C385&amp;"",tbl_Finance[Cost Centre],"ONSITE")&gt;0,"ONSITE ","")&amp;IF(COUNTIFS(tbl_Finance[Job Number],C385&amp;"",tbl_Finance[Cost Centre],"PRODUCTION")&gt;0,"PRODUCTION ","")&amp;IF(COUNTIFS(tbl_Finance[Job Number],C385&amp;"",tbl_Finance[Cost Centre],"VIDEO")&gt;0,"VIDEO ","")&amp;IF(COUNTIFS(tbl_Finance[Job Number],C385&amp;"",tbl_Finance[Cost Centre],"INTEGRATION")&gt;0,"INTEGRATION ","")&amp;IF(COUNTIFS(tbl_Finance[Job Number],C385&amp;"",tbl_Finance[Cost Centre],"CONSULTING")&gt;0,"CONSULTING ","")&amp;IF(COUNTIFS(tbl_Finance[Job Number],C385&amp;"",tbl_Finance[Cost Centre],"CTS")&gt;0,"CTS ",""))," ",", ")))</f>
        <v/>
      </c>
      <c r="L385" s="24" t="n"/>
      <c r="M385" s="25">
        <f>IF(L385="","",HYPERLINK(IF(LEFT(L385,4)="http",L385,set_QwilrBase&amp;L385),"Open quote"))</f>
        <v/>
      </c>
      <c r="N385" s="26" t="n"/>
      <c r="O385" s="26" t="n"/>
      <c r="P385" s="26" t="n"/>
      <c r="Q385" s="25">
        <f>IF(C385="","",IF(N(N385)+N(O385)+N(P385)=0,"Not split",IF(ROUND(N(N385)+N(O385)+N(P385),2)=ROUND(H385,2),"OK","MISMATCH")))</f>
        <v/>
      </c>
      <c r="R385" s="26" t="n"/>
      <c r="S385" s="26" t="n"/>
      <c r="T385" s="26" t="n"/>
      <c r="U385" s="27">
        <f>IF(C385="","",N(R385)+N(S385)+N(T385))</f>
        <v/>
      </c>
      <c r="V385" s="27">
        <f>IF(C385="","",H385-U385)</f>
        <v/>
      </c>
      <c r="W385" s="29">
        <f>IFERROR(V385/H385,"")</f>
        <v/>
      </c>
      <c r="X385" s="24" t="n"/>
    </row>
    <row r="386" ht="15" customHeight="1">
      <c r="A386" s="68">
        <f>IF(C386="","",IFERROR(IF(SUMPRODUCT(MAX((tbl_Finance[Job Number]=C386&amp;"")*(tbl_Finance[Xero Invoice No]&lt;&gt;"")*tbl_Finance[Date]))=0,"",SUMPRODUCT(MAX((tbl_Finance[Job Number]=C386&amp;"")*(tbl_Finance[Xero Invoice No]&lt;&gt;"")*tbl_Finance[Date]))),""))</f>
        <v/>
      </c>
      <c r="B386" s="25">
        <f>IF(C386="","",IF(COUNTIFS(tbl_Finance[Job Number],C386&amp;"",tbl_Finance[Xero Invoice No],"&lt;&gt;")=0,"",IFERROR(IF(COUNTIFS(tbl_Finance[Job Number],C386&amp;"",tbl_Finance[Xero Invoice No],LOOKUP(2,1/((tbl_Finance[Job Number]=C386&amp;"")*(tbl_Finance[Xero Invoice No]&lt;&gt;"")),tbl_Finance[Xero Invoice No]))=COUNTIFS(tbl_Finance[Job Number],C386&amp;"",tbl_Finance[Xero Invoice No],"&lt;&gt;"),LOOKUP(2,1/((tbl_Finance[Job Number]=C386&amp;"")*(tbl_Finance[Xero Invoice No]&lt;&gt;"")),tbl_Finance[Xero Invoice No]),LOOKUP(2,1/((tbl_Finance[Job Number]=C386&amp;"")*(tbl_Finance[Xero Invoice No]&lt;&gt;"")),tbl_Finance[Xero Invoice No])&amp;" +more"),"")))</f>
        <v/>
      </c>
      <c r="C386" s="24" t="n"/>
      <c r="D386" s="25">
        <f>IF(C386="","",IF(COUNTIF(lst_Jobs,C386&amp;"")&gt;0,"OK","CHECK"))</f>
        <v/>
      </c>
      <c r="E386" s="25">
        <f>IF(C386="","",IFERROR(INDEX(lst_JobName,MATCH(C386&amp;"",lst_Jobs,0)),""))</f>
        <v/>
      </c>
      <c r="F386" s="25">
        <f>IF(C386="","",IFERROR(INDEX(tbl_Finance[Client],MATCH(C386&amp;"",tbl_Finance[Job Number],0)),""))</f>
        <v/>
      </c>
      <c r="G386" s="28">
        <f>IF(C386="","",COUNTIFS(tbl_Finance[Job Number],C386&amp;"",tbl_Finance[Ex GST],"&lt;&gt;"))</f>
        <v/>
      </c>
      <c r="H386" s="27">
        <f>IF(C386="","",SUMIFS(tbl_Finance[Ex GST],tbl_Finance[Job Number],C386&amp;""))</f>
        <v/>
      </c>
      <c r="I386" s="27">
        <f>IF(C386="","",SUMIFS(tbl_Finance[Ex GST],tbl_Finance[Job Number],C386&amp;"",tbl_Finance[Xero Invoice No],"&lt;&gt;"))</f>
        <v/>
      </c>
      <c r="J386" s="27">
        <f>IF(C386="","",H386-I386)</f>
        <v/>
      </c>
      <c r="K386" s="25">
        <f>IF(C386="","",IF(G386=0,"not invoiced yet",SUBSTITUTE(TRIM(IF(COUNTIFS(tbl_Finance[Job Number],C386&amp;"",tbl_Finance[Cost Centre],"ONSITE")&gt;0,"ONSITE ","")&amp;IF(COUNTIFS(tbl_Finance[Job Number],C386&amp;"",tbl_Finance[Cost Centre],"PRODUCTION")&gt;0,"PRODUCTION ","")&amp;IF(COUNTIFS(tbl_Finance[Job Number],C386&amp;"",tbl_Finance[Cost Centre],"VIDEO")&gt;0,"VIDEO ","")&amp;IF(COUNTIFS(tbl_Finance[Job Number],C386&amp;"",tbl_Finance[Cost Centre],"INTEGRATION")&gt;0,"INTEGRATION ","")&amp;IF(COUNTIFS(tbl_Finance[Job Number],C386&amp;"",tbl_Finance[Cost Centre],"CONSULTING")&gt;0,"CONSULTING ","")&amp;IF(COUNTIFS(tbl_Finance[Job Number],C386&amp;"",tbl_Finance[Cost Centre],"CTS")&gt;0,"CTS ",""))," ",", ")))</f>
        <v/>
      </c>
      <c r="L386" s="24" t="n"/>
      <c r="M386" s="25">
        <f>IF(L386="","",HYPERLINK(IF(LEFT(L386,4)="http",L386,set_QwilrBase&amp;L386),"Open quote"))</f>
        <v/>
      </c>
      <c r="N386" s="26" t="n"/>
      <c r="O386" s="26" t="n"/>
      <c r="P386" s="26" t="n"/>
      <c r="Q386" s="25">
        <f>IF(C386="","",IF(N(N386)+N(O386)+N(P386)=0,"Not split",IF(ROUND(N(N386)+N(O386)+N(P386),2)=ROUND(H386,2),"OK","MISMATCH")))</f>
        <v/>
      </c>
      <c r="R386" s="26" t="n"/>
      <c r="S386" s="26" t="n"/>
      <c r="T386" s="26" t="n"/>
      <c r="U386" s="27">
        <f>IF(C386="","",N(R386)+N(S386)+N(T386))</f>
        <v/>
      </c>
      <c r="V386" s="27">
        <f>IF(C386="","",H386-U386)</f>
        <v/>
      </c>
      <c r="W386" s="29">
        <f>IFERROR(V386/H386,"")</f>
        <v/>
      </c>
      <c r="X386" s="24" t="n"/>
    </row>
    <row r="387" ht="15" customHeight="1">
      <c r="A387" s="68">
        <f>IF(C387="","",IFERROR(IF(SUMPRODUCT(MAX((tbl_Finance[Job Number]=C387&amp;"")*(tbl_Finance[Xero Invoice No]&lt;&gt;"")*tbl_Finance[Date]))=0,"",SUMPRODUCT(MAX((tbl_Finance[Job Number]=C387&amp;"")*(tbl_Finance[Xero Invoice No]&lt;&gt;"")*tbl_Finance[Date]))),""))</f>
        <v/>
      </c>
      <c r="B387" s="25">
        <f>IF(C387="","",IF(COUNTIFS(tbl_Finance[Job Number],C387&amp;"",tbl_Finance[Xero Invoice No],"&lt;&gt;")=0,"",IFERROR(IF(COUNTIFS(tbl_Finance[Job Number],C387&amp;"",tbl_Finance[Xero Invoice No],LOOKUP(2,1/((tbl_Finance[Job Number]=C387&amp;"")*(tbl_Finance[Xero Invoice No]&lt;&gt;"")),tbl_Finance[Xero Invoice No]))=COUNTIFS(tbl_Finance[Job Number],C387&amp;"",tbl_Finance[Xero Invoice No],"&lt;&gt;"),LOOKUP(2,1/((tbl_Finance[Job Number]=C387&amp;"")*(tbl_Finance[Xero Invoice No]&lt;&gt;"")),tbl_Finance[Xero Invoice No]),LOOKUP(2,1/((tbl_Finance[Job Number]=C387&amp;"")*(tbl_Finance[Xero Invoice No]&lt;&gt;"")),tbl_Finance[Xero Invoice No])&amp;" +more"),"")))</f>
        <v/>
      </c>
      <c r="C387" s="24" t="n"/>
      <c r="D387" s="25">
        <f>IF(C387="","",IF(COUNTIF(lst_Jobs,C387&amp;"")&gt;0,"OK","CHECK"))</f>
        <v/>
      </c>
      <c r="E387" s="25">
        <f>IF(C387="","",IFERROR(INDEX(lst_JobName,MATCH(C387&amp;"",lst_Jobs,0)),""))</f>
        <v/>
      </c>
      <c r="F387" s="25">
        <f>IF(C387="","",IFERROR(INDEX(tbl_Finance[Client],MATCH(C387&amp;"",tbl_Finance[Job Number],0)),""))</f>
        <v/>
      </c>
      <c r="G387" s="28">
        <f>IF(C387="","",COUNTIFS(tbl_Finance[Job Number],C387&amp;"",tbl_Finance[Ex GST],"&lt;&gt;"))</f>
        <v/>
      </c>
      <c r="H387" s="27">
        <f>IF(C387="","",SUMIFS(tbl_Finance[Ex GST],tbl_Finance[Job Number],C387&amp;""))</f>
        <v/>
      </c>
      <c r="I387" s="27">
        <f>IF(C387="","",SUMIFS(tbl_Finance[Ex GST],tbl_Finance[Job Number],C387&amp;"",tbl_Finance[Xero Invoice No],"&lt;&gt;"))</f>
        <v/>
      </c>
      <c r="J387" s="27">
        <f>IF(C387="","",H387-I387)</f>
        <v/>
      </c>
      <c r="K387" s="25">
        <f>IF(C387="","",IF(G387=0,"not invoiced yet",SUBSTITUTE(TRIM(IF(COUNTIFS(tbl_Finance[Job Number],C387&amp;"",tbl_Finance[Cost Centre],"ONSITE")&gt;0,"ONSITE ","")&amp;IF(COUNTIFS(tbl_Finance[Job Number],C387&amp;"",tbl_Finance[Cost Centre],"PRODUCTION")&gt;0,"PRODUCTION ","")&amp;IF(COUNTIFS(tbl_Finance[Job Number],C387&amp;"",tbl_Finance[Cost Centre],"VIDEO")&gt;0,"VIDEO ","")&amp;IF(COUNTIFS(tbl_Finance[Job Number],C387&amp;"",tbl_Finance[Cost Centre],"INTEGRATION")&gt;0,"INTEGRATION ","")&amp;IF(COUNTIFS(tbl_Finance[Job Number],C387&amp;"",tbl_Finance[Cost Centre],"CONSULTING")&gt;0,"CONSULTING ","")&amp;IF(COUNTIFS(tbl_Finance[Job Number],C387&amp;"",tbl_Finance[Cost Centre],"CTS")&gt;0,"CTS ",""))," ",", ")))</f>
        <v/>
      </c>
      <c r="L387" s="24" t="n"/>
      <c r="M387" s="25">
        <f>IF(L387="","",HYPERLINK(IF(LEFT(L387,4)="http",L387,set_QwilrBase&amp;L387),"Open quote"))</f>
        <v/>
      </c>
      <c r="N387" s="26" t="n"/>
      <c r="O387" s="26" t="n"/>
      <c r="P387" s="26" t="n"/>
      <c r="Q387" s="25">
        <f>IF(C387="","",IF(N(N387)+N(O387)+N(P387)=0,"Not split",IF(ROUND(N(N387)+N(O387)+N(P387),2)=ROUND(H387,2),"OK","MISMATCH")))</f>
        <v/>
      </c>
      <c r="R387" s="26" t="n"/>
      <c r="S387" s="26" t="n"/>
      <c r="T387" s="26" t="n"/>
      <c r="U387" s="27">
        <f>IF(C387="","",N(R387)+N(S387)+N(T387))</f>
        <v/>
      </c>
      <c r="V387" s="27">
        <f>IF(C387="","",H387-U387)</f>
        <v/>
      </c>
      <c r="W387" s="29">
        <f>IFERROR(V387/H387,"")</f>
        <v/>
      </c>
      <c r="X387" s="24" t="n"/>
    </row>
    <row r="388" ht="15" customHeight="1">
      <c r="A388" s="68">
        <f>IF(C388="","",IFERROR(IF(SUMPRODUCT(MAX((tbl_Finance[Job Number]=C388&amp;"")*(tbl_Finance[Xero Invoice No]&lt;&gt;"")*tbl_Finance[Date]))=0,"",SUMPRODUCT(MAX((tbl_Finance[Job Number]=C388&amp;"")*(tbl_Finance[Xero Invoice No]&lt;&gt;"")*tbl_Finance[Date]))),""))</f>
        <v/>
      </c>
      <c r="B388" s="25">
        <f>IF(C388="","",IF(COUNTIFS(tbl_Finance[Job Number],C388&amp;"",tbl_Finance[Xero Invoice No],"&lt;&gt;")=0,"",IFERROR(IF(COUNTIFS(tbl_Finance[Job Number],C388&amp;"",tbl_Finance[Xero Invoice No],LOOKUP(2,1/((tbl_Finance[Job Number]=C388&amp;"")*(tbl_Finance[Xero Invoice No]&lt;&gt;"")),tbl_Finance[Xero Invoice No]))=COUNTIFS(tbl_Finance[Job Number],C388&amp;"",tbl_Finance[Xero Invoice No],"&lt;&gt;"),LOOKUP(2,1/((tbl_Finance[Job Number]=C388&amp;"")*(tbl_Finance[Xero Invoice No]&lt;&gt;"")),tbl_Finance[Xero Invoice No]),LOOKUP(2,1/((tbl_Finance[Job Number]=C388&amp;"")*(tbl_Finance[Xero Invoice No]&lt;&gt;"")),tbl_Finance[Xero Invoice No])&amp;" +more"),"")))</f>
        <v/>
      </c>
      <c r="C388" s="24" t="n"/>
      <c r="D388" s="25">
        <f>IF(C388="","",IF(COUNTIF(lst_Jobs,C388&amp;"")&gt;0,"OK","CHECK"))</f>
        <v/>
      </c>
      <c r="E388" s="25">
        <f>IF(C388="","",IFERROR(INDEX(lst_JobName,MATCH(C388&amp;"",lst_Jobs,0)),""))</f>
        <v/>
      </c>
      <c r="F388" s="25">
        <f>IF(C388="","",IFERROR(INDEX(tbl_Finance[Client],MATCH(C388&amp;"",tbl_Finance[Job Number],0)),""))</f>
        <v/>
      </c>
      <c r="G388" s="28">
        <f>IF(C388="","",COUNTIFS(tbl_Finance[Job Number],C388&amp;"",tbl_Finance[Ex GST],"&lt;&gt;"))</f>
        <v/>
      </c>
      <c r="H388" s="27">
        <f>IF(C388="","",SUMIFS(tbl_Finance[Ex GST],tbl_Finance[Job Number],C388&amp;""))</f>
        <v/>
      </c>
      <c r="I388" s="27">
        <f>IF(C388="","",SUMIFS(tbl_Finance[Ex GST],tbl_Finance[Job Number],C388&amp;"",tbl_Finance[Xero Invoice No],"&lt;&gt;"))</f>
        <v/>
      </c>
      <c r="J388" s="27">
        <f>IF(C388="","",H388-I388)</f>
        <v/>
      </c>
      <c r="K388" s="25">
        <f>IF(C388="","",IF(G388=0,"not invoiced yet",SUBSTITUTE(TRIM(IF(COUNTIFS(tbl_Finance[Job Number],C388&amp;"",tbl_Finance[Cost Centre],"ONSITE")&gt;0,"ONSITE ","")&amp;IF(COUNTIFS(tbl_Finance[Job Number],C388&amp;"",tbl_Finance[Cost Centre],"PRODUCTION")&gt;0,"PRODUCTION ","")&amp;IF(COUNTIFS(tbl_Finance[Job Number],C388&amp;"",tbl_Finance[Cost Centre],"VIDEO")&gt;0,"VIDEO ","")&amp;IF(COUNTIFS(tbl_Finance[Job Number],C388&amp;"",tbl_Finance[Cost Centre],"INTEGRATION")&gt;0,"INTEGRATION ","")&amp;IF(COUNTIFS(tbl_Finance[Job Number],C388&amp;"",tbl_Finance[Cost Centre],"CONSULTING")&gt;0,"CONSULTING ","")&amp;IF(COUNTIFS(tbl_Finance[Job Number],C388&amp;"",tbl_Finance[Cost Centre],"CTS")&gt;0,"CTS ",""))," ",", ")))</f>
        <v/>
      </c>
      <c r="L388" s="24" t="n"/>
      <c r="M388" s="25">
        <f>IF(L388="","",HYPERLINK(IF(LEFT(L388,4)="http",L388,set_QwilrBase&amp;L388),"Open quote"))</f>
        <v/>
      </c>
      <c r="N388" s="26" t="n"/>
      <c r="O388" s="26" t="n"/>
      <c r="P388" s="26" t="n"/>
      <c r="Q388" s="25">
        <f>IF(C388="","",IF(N(N388)+N(O388)+N(P388)=0,"Not split",IF(ROUND(N(N388)+N(O388)+N(P388),2)=ROUND(H388,2),"OK","MISMATCH")))</f>
        <v/>
      </c>
      <c r="R388" s="26" t="n"/>
      <c r="S388" s="26" t="n"/>
      <c r="T388" s="26" t="n"/>
      <c r="U388" s="27">
        <f>IF(C388="","",N(R388)+N(S388)+N(T388))</f>
        <v/>
      </c>
      <c r="V388" s="27">
        <f>IF(C388="","",H388-U388)</f>
        <v/>
      </c>
      <c r="W388" s="29">
        <f>IFERROR(V388/H388,"")</f>
        <v/>
      </c>
      <c r="X388" s="24" t="n"/>
    </row>
    <row r="389" ht="15" customHeight="1">
      <c r="A389" s="68">
        <f>IF(C389="","",IFERROR(IF(SUMPRODUCT(MAX((tbl_Finance[Job Number]=C389&amp;"")*(tbl_Finance[Xero Invoice No]&lt;&gt;"")*tbl_Finance[Date]))=0,"",SUMPRODUCT(MAX((tbl_Finance[Job Number]=C389&amp;"")*(tbl_Finance[Xero Invoice No]&lt;&gt;"")*tbl_Finance[Date]))),""))</f>
        <v/>
      </c>
      <c r="B389" s="25">
        <f>IF(C389="","",IF(COUNTIFS(tbl_Finance[Job Number],C389&amp;"",tbl_Finance[Xero Invoice No],"&lt;&gt;")=0,"",IFERROR(IF(COUNTIFS(tbl_Finance[Job Number],C389&amp;"",tbl_Finance[Xero Invoice No],LOOKUP(2,1/((tbl_Finance[Job Number]=C389&amp;"")*(tbl_Finance[Xero Invoice No]&lt;&gt;"")),tbl_Finance[Xero Invoice No]))=COUNTIFS(tbl_Finance[Job Number],C389&amp;"",tbl_Finance[Xero Invoice No],"&lt;&gt;"),LOOKUP(2,1/((tbl_Finance[Job Number]=C389&amp;"")*(tbl_Finance[Xero Invoice No]&lt;&gt;"")),tbl_Finance[Xero Invoice No]),LOOKUP(2,1/((tbl_Finance[Job Number]=C389&amp;"")*(tbl_Finance[Xero Invoice No]&lt;&gt;"")),tbl_Finance[Xero Invoice No])&amp;" +more"),"")))</f>
        <v/>
      </c>
      <c r="C389" s="24" t="n"/>
      <c r="D389" s="25">
        <f>IF(C389="","",IF(COUNTIF(lst_Jobs,C389&amp;"")&gt;0,"OK","CHECK"))</f>
        <v/>
      </c>
      <c r="E389" s="25">
        <f>IF(C389="","",IFERROR(INDEX(lst_JobName,MATCH(C389&amp;"",lst_Jobs,0)),""))</f>
        <v/>
      </c>
      <c r="F389" s="25">
        <f>IF(C389="","",IFERROR(INDEX(tbl_Finance[Client],MATCH(C389&amp;"",tbl_Finance[Job Number],0)),""))</f>
        <v/>
      </c>
      <c r="G389" s="28">
        <f>IF(C389="","",COUNTIFS(tbl_Finance[Job Number],C389&amp;"",tbl_Finance[Ex GST],"&lt;&gt;"))</f>
        <v/>
      </c>
      <c r="H389" s="27">
        <f>IF(C389="","",SUMIFS(tbl_Finance[Ex GST],tbl_Finance[Job Number],C389&amp;""))</f>
        <v/>
      </c>
      <c r="I389" s="27">
        <f>IF(C389="","",SUMIFS(tbl_Finance[Ex GST],tbl_Finance[Job Number],C389&amp;"",tbl_Finance[Xero Invoice No],"&lt;&gt;"))</f>
        <v/>
      </c>
      <c r="J389" s="27">
        <f>IF(C389="","",H389-I389)</f>
        <v/>
      </c>
      <c r="K389" s="25">
        <f>IF(C389="","",IF(G389=0,"not invoiced yet",SUBSTITUTE(TRIM(IF(COUNTIFS(tbl_Finance[Job Number],C389&amp;"",tbl_Finance[Cost Centre],"ONSITE")&gt;0,"ONSITE ","")&amp;IF(COUNTIFS(tbl_Finance[Job Number],C389&amp;"",tbl_Finance[Cost Centre],"PRODUCTION")&gt;0,"PRODUCTION ","")&amp;IF(COUNTIFS(tbl_Finance[Job Number],C389&amp;"",tbl_Finance[Cost Centre],"VIDEO")&gt;0,"VIDEO ","")&amp;IF(COUNTIFS(tbl_Finance[Job Number],C389&amp;"",tbl_Finance[Cost Centre],"INTEGRATION")&gt;0,"INTEGRATION ","")&amp;IF(COUNTIFS(tbl_Finance[Job Number],C389&amp;"",tbl_Finance[Cost Centre],"CONSULTING")&gt;0,"CONSULTING ","")&amp;IF(COUNTIFS(tbl_Finance[Job Number],C389&amp;"",tbl_Finance[Cost Centre],"CTS")&gt;0,"CTS ",""))," ",", ")))</f>
        <v/>
      </c>
      <c r="L389" s="24" t="n"/>
      <c r="M389" s="25">
        <f>IF(L389="","",HYPERLINK(IF(LEFT(L389,4)="http",L389,set_QwilrBase&amp;L389),"Open quote"))</f>
        <v/>
      </c>
      <c r="N389" s="26" t="n"/>
      <c r="O389" s="26" t="n"/>
      <c r="P389" s="26" t="n"/>
      <c r="Q389" s="25">
        <f>IF(C389="","",IF(N(N389)+N(O389)+N(P389)=0,"Not split",IF(ROUND(N(N389)+N(O389)+N(P389),2)=ROUND(H389,2),"OK","MISMATCH")))</f>
        <v/>
      </c>
      <c r="R389" s="26" t="n"/>
      <c r="S389" s="26" t="n"/>
      <c r="T389" s="26" t="n"/>
      <c r="U389" s="27">
        <f>IF(C389="","",N(R389)+N(S389)+N(T389))</f>
        <v/>
      </c>
      <c r="V389" s="27">
        <f>IF(C389="","",H389-U389)</f>
        <v/>
      </c>
      <c r="W389" s="29">
        <f>IFERROR(V389/H389,"")</f>
        <v/>
      </c>
      <c r="X389" s="24" t="n"/>
    </row>
    <row r="390" ht="15" customHeight="1">
      <c r="A390" s="68">
        <f>IF(C390="","",IFERROR(IF(SUMPRODUCT(MAX((tbl_Finance[Job Number]=C390&amp;"")*(tbl_Finance[Xero Invoice No]&lt;&gt;"")*tbl_Finance[Date]))=0,"",SUMPRODUCT(MAX((tbl_Finance[Job Number]=C390&amp;"")*(tbl_Finance[Xero Invoice No]&lt;&gt;"")*tbl_Finance[Date]))),""))</f>
        <v/>
      </c>
      <c r="B390" s="25">
        <f>IF(C390="","",IF(COUNTIFS(tbl_Finance[Job Number],C390&amp;"",tbl_Finance[Xero Invoice No],"&lt;&gt;")=0,"",IFERROR(IF(COUNTIFS(tbl_Finance[Job Number],C390&amp;"",tbl_Finance[Xero Invoice No],LOOKUP(2,1/((tbl_Finance[Job Number]=C390&amp;"")*(tbl_Finance[Xero Invoice No]&lt;&gt;"")),tbl_Finance[Xero Invoice No]))=COUNTIFS(tbl_Finance[Job Number],C390&amp;"",tbl_Finance[Xero Invoice No],"&lt;&gt;"),LOOKUP(2,1/((tbl_Finance[Job Number]=C390&amp;"")*(tbl_Finance[Xero Invoice No]&lt;&gt;"")),tbl_Finance[Xero Invoice No]),LOOKUP(2,1/((tbl_Finance[Job Number]=C390&amp;"")*(tbl_Finance[Xero Invoice No]&lt;&gt;"")),tbl_Finance[Xero Invoice No])&amp;" +more"),"")))</f>
        <v/>
      </c>
      <c r="C390" s="24" t="n"/>
      <c r="D390" s="25">
        <f>IF(C390="","",IF(COUNTIF(lst_Jobs,C390&amp;"")&gt;0,"OK","CHECK"))</f>
        <v/>
      </c>
      <c r="E390" s="25">
        <f>IF(C390="","",IFERROR(INDEX(lst_JobName,MATCH(C390&amp;"",lst_Jobs,0)),""))</f>
        <v/>
      </c>
      <c r="F390" s="25">
        <f>IF(C390="","",IFERROR(INDEX(tbl_Finance[Client],MATCH(C390&amp;"",tbl_Finance[Job Number],0)),""))</f>
        <v/>
      </c>
      <c r="G390" s="28">
        <f>IF(C390="","",COUNTIFS(tbl_Finance[Job Number],C390&amp;"",tbl_Finance[Ex GST],"&lt;&gt;"))</f>
        <v/>
      </c>
      <c r="H390" s="27">
        <f>IF(C390="","",SUMIFS(tbl_Finance[Ex GST],tbl_Finance[Job Number],C390&amp;""))</f>
        <v/>
      </c>
      <c r="I390" s="27">
        <f>IF(C390="","",SUMIFS(tbl_Finance[Ex GST],tbl_Finance[Job Number],C390&amp;"",tbl_Finance[Xero Invoice No],"&lt;&gt;"))</f>
        <v/>
      </c>
      <c r="J390" s="27">
        <f>IF(C390="","",H390-I390)</f>
        <v/>
      </c>
      <c r="K390" s="25">
        <f>IF(C390="","",IF(G390=0,"not invoiced yet",SUBSTITUTE(TRIM(IF(COUNTIFS(tbl_Finance[Job Number],C390&amp;"",tbl_Finance[Cost Centre],"ONSITE")&gt;0,"ONSITE ","")&amp;IF(COUNTIFS(tbl_Finance[Job Number],C390&amp;"",tbl_Finance[Cost Centre],"PRODUCTION")&gt;0,"PRODUCTION ","")&amp;IF(COUNTIFS(tbl_Finance[Job Number],C390&amp;"",tbl_Finance[Cost Centre],"VIDEO")&gt;0,"VIDEO ","")&amp;IF(COUNTIFS(tbl_Finance[Job Number],C390&amp;"",tbl_Finance[Cost Centre],"INTEGRATION")&gt;0,"INTEGRATION ","")&amp;IF(COUNTIFS(tbl_Finance[Job Number],C390&amp;"",tbl_Finance[Cost Centre],"CONSULTING")&gt;0,"CONSULTING ","")&amp;IF(COUNTIFS(tbl_Finance[Job Number],C390&amp;"",tbl_Finance[Cost Centre],"CTS")&gt;0,"CTS ",""))," ",", ")))</f>
        <v/>
      </c>
      <c r="L390" s="24" t="n"/>
      <c r="M390" s="25">
        <f>IF(L390="","",HYPERLINK(IF(LEFT(L390,4)="http",L390,set_QwilrBase&amp;L390),"Open quote"))</f>
        <v/>
      </c>
      <c r="N390" s="26" t="n"/>
      <c r="O390" s="26" t="n"/>
      <c r="P390" s="26" t="n"/>
      <c r="Q390" s="25">
        <f>IF(C390="","",IF(N(N390)+N(O390)+N(P390)=0,"Not split",IF(ROUND(N(N390)+N(O390)+N(P390),2)=ROUND(H390,2),"OK","MISMATCH")))</f>
        <v/>
      </c>
      <c r="R390" s="26" t="n"/>
      <c r="S390" s="26" t="n"/>
      <c r="T390" s="26" t="n"/>
      <c r="U390" s="27">
        <f>IF(C390="","",N(R390)+N(S390)+N(T390))</f>
        <v/>
      </c>
      <c r="V390" s="27">
        <f>IF(C390="","",H390-U390)</f>
        <v/>
      </c>
      <c r="W390" s="29">
        <f>IFERROR(V390/H390,"")</f>
        <v/>
      </c>
      <c r="X390" s="24" t="n"/>
    </row>
    <row r="391" ht="15" customHeight="1">
      <c r="A391" s="68">
        <f>IF(C391="","",IFERROR(IF(SUMPRODUCT(MAX((tbl_Finance[Job Number]=C391&amp;"")*(tbl_Finance[Xero Invoice No]&lt;&gt;"")*tbl_Finance[Date]))=0,"",SUMPRODUCT(MAX((tbl_Finance[Job Number]=C391&amp;"")*(tbl_Finance[Xero Invoice No]&lt;&gt;"")*tbl_Finance[Date]))),""))</f>
        <v/>
      </c>
      <c r="B391" s="25">
        <f>IF(C391="","",IF(COUNTIFS(tbl_Finance[Job Number],C391&amp;"",tbl_Finance[Xero Invoice No],"&lt;&gt;")=0,"",IFERROR(IF(COUNTIFS(tbl_Finance[Job Number],C391&amp;"",tbl_Finance[Xero Invoice No],LOOKUP(2,1/((tbl_Finance[Job Number]=C391&amp;"")*(tbl_Finance[Xero Invoice No]&lt;&gt;"")),tbl_Finance[Xero Invoice No]))=COUNTIFS(tbl_Finance[Job Number],C391&amp;"",tbl_Finance[Xero Invoice No],"&lt;&gt;"),LOOKUP(2,1/((tbl_Finance[Job Number]=C391&amp;"")*(tbl_Finance[Xero Invoice No]&lt;&gt;"")),tbl_Finance[Xero Invoice No]),LOOKUP(2,1/((tbl_Finance[Job Number]=C391&amp;"")*(tbl_Finance[Xero Invoice No]&lt;&gt;"")),tbl_Finance[Xero Invoice No])&amp;" +more"),"")))</f>
        <v/>
      </c>
      <c r="C391" s="24" t="n"/>
      <c r="D391" s="25">
        <f>IF(C391="","",IF(COUNTIF(lst_Jobs,C391&amp;"")&gt;0,"OK","CHECK"))</f>
        <v/>
      </c>
      <c r="E391" s="25">
        <f>IF(C391="","",IFERROR(INDEX(lst_JobName,MATCH(C391&amp;"",lst_Jobs,0)),""))</f>
        <v/>
      </c>
      <c r="F391" s="25">
        <f>IF(C391="","",IFERROR(INDEX(tbl_Finance[Client],MATCH(C391&amp;"",tbl_Finance[Job Number],0)),""))</f>
        <v/>
      </c>
      <c r="G391" s="28">
        <f>IF(C391="","",COUNTIFS(tbl_Finance[Job Number],C391&amp;"",tbl_Finance[Ex GST],"&lt;&gt;"))</f>
        <v/>
      </c>
      <c r="H391" s="27">
        <f>IF(C391="","",SUMIFS(tbl_Finance[Ex GST],tbl_Finance[Job Number],C391&amp;""))</f>
        <v/>
      </c>
      <c r="I391" s="27">
        <f>IF(C391="","",SUMIFS(tbl_Finance[Ex GST],tbl_Finance[Job Number],C391&amp;"",tbl_Finance[Xero Invoice No],"&lt;&gt;"))</f>
        <v/>
      </c>
      <c r="J391" s="27">
        <f>IF(C391="","",H391-I391)</f>
        <v/>
      </c>
      <c r="K391" s="25">
        <f>IF(C391="","",IF(G391=0,"not invoiced yet",SUBSTITUTE(TRIM(IF(COUNTIFS(tbl_Finance[Job Number],C391&amp;"",tbl_Finance[Cost Centre],"ONSITE")&gt;0,"ONSITE ","")&amp;IF(COUNTIFS(tbl_Finance[Job Number],C391&amp;"",tbl_Finance[Cost Centre],"PRODUCTION")&gt;0,"PRODUCTION ","")&amp;IF(COUNTIFS(tbl_Finance[Job Number],C391&amp;"",tbl_Finance[Cost Centre],"VIDEO")&gt;0,"VIDEO ","")&amp;IF(COUNTIFS(tbl_Finance[Job Number],C391&amp;"",tbl_Finance[Cost Centre],"INTEGRATION")&gt;0,"INTEGRATION ","")&amp;IF(COUNTIFS(tbl_Finance[Job Number],C391&amp;"",tbl_Finance[Cost Centre],"CONSULTING")&gt;0,"CONSULTING ","")&amp;IF(COUNTIFS(tbl_Finance[Job Number],C391&amp;"",tbl_Finance[Cost Centre],"CTS")&gt;0,"CTS ",""))," ",", ")))</f>
        <v/>
      </c>
      <c r="L391" s="24" t="n"/>
      <c r="M391" s="25">
        <f>IF(L391="","",HYPERLINK(IF(LEFT(L391,4)="http",L391,set_QwilrBase&amp;L391),"Open quote"))</f>
        <v/>
      </c>
      <c r="N391" s="26" t="n"/>
      <c r="O391" s="26" t="n"/>
      <c r="P391" s="26" t="n"/>
      <c r="Q391" s="25">
        <f>IF(C391="","",IF(N(N391)+N(O391)+N(P391)=0,"Not split",IF(ROUND(N(N391)+N(O391)+N(P391),2)=ROUND(H391,2),"OK","MISMATCH")))</f>
        <v/>
      </c>
      <c r="R391" s="26" t="n"/>
      <c r="S391" s="26" t="n"/>
      <c r="T391" s="26" t="n"/>
      <c r="U391" s="27">
        <f>IF(C391="","",N(R391)+N(S391)+N(T391))</f>
        <v/>
      </c>
      <c r="V391" s="27">
        <f>IF(C391="","",H391-U391)</f>
        <v/>
      </c>
      <c r="W391" s="29">
        <f>IFERROR(V391/H391,"")</f>
        <v/>
      </c>
      <c r="X391" s="24" t="n"/>
    </row>
    <row r="392" ht="15" customHeight="1">
      <c r="A392" s="68">
        <f>IF(C392="","",IFERROR(IF(SUMPRODUCT(MAX((tbl_Finance[Job Number]=C392&amp;"")*(tbl_Finance[Xero Invoice No]&lt;&gt;"")*tbl_Finance[Date]))=0,"",SUMPRODUCT(MAX((tbl_Finance[Job Number]=C392&amp;"")*(tbl_Finance[Xero Invoice No]&lt;&gt;"")*tbl_Finance[Date]))),""))</f>
        <v/>
      </c>
      <c r="B392" s="25">
        <f>IF(C392="","",IF(COUNTIFS(tbl_Finance[Job Number],C392&amp;"",tbl_Finance[Xero Invoice No],"&lt;&gt;")=0,"",IFERROR(IF(COUNTIFS(tbl_Finance[Job Number],C392&amp;"",tbl_Finance[Xero Invoice No],LOOKUP(2,1/((tbl_Finance[Job Number]=C392&amp;"")*(tbl_Finance[Xero Invoice No]&lt;&gt;"")),tbl_Finance[Xero Invoice No]))=COUNTIFS(tbl_Finance[Job Number],C392&amp;"",tbl_Finance[Xero Invoice No],"&lt;&gt;"),LOOKUP(2,1/((tbl_Finance[Job Number]=C392&amp;"")*(tbl_Finance[Xero Invoice No]&lt;&gt;"")),tbl_Finance[Xero Invoice No]),LOOKUP(2,1/((tbl_Finance[Job Number]=C392&amp;"")*(tbl_Finance[Xero Invoice No]&lt;&gt;"")),tbl_Finance[Xero Invoice No])&amp;" +more"),"")))</f>
        <v/>
      </c>
      <c r="C392" s="24" t="n"/>
      <c r="D392" s="25">
        <f>IF(C392="","",IF(COUNTIF(lst_Jobs,C392&amp;"")&gt;0,"OK","CHECK"))</f>
        <v/>
      </c>
      <c r="E392" s="25">
        <f>IF(C392="","",IFERROR(INDEX(lst_JobName,MATCH(C392&amp;"",lst_Jobs,0)),""))</f>
        <v/>
      </c>
      <c r="F392" s="25">
        <f>IF(C392="","",IFERROR(INDEX(tbl_Finance[Client],MATCH(C392&amp;"",tbl_Finance[Job Number],0)),""))</f>
        <v/>
      </c>
      <c r="G392" s="28">
        <f>IF(C392="","",COUNTIFS(tbl_Finance[Job Number],C392&amp;"",tbl_Finance[Ex GST],"&lt;&gt;"))</f>
        <v/>
      </c>
      <c r="H392" s="27">
        <f>IF(C392="","",SUMIFS(tbl_Finance[Ex GST],tbl_Finance[Job Number],C392&amp;""))</f>
        <v/>
      </c>
      <c r="I392" s="27">
        <f>IF(C392="","",SUMIFS(tbl_Finance[Ex GST],tbl_Finance[Job Number],C392&amp;"",tbl_Finance[Xero Invoice No],"&lt;&gt;"))</f>
        <v/>
      </c>
      <c r="J392" s="27">
        <f>IF(C392="","",H392-I392)</f>
        <v/>
      </c>
      <c r="K392" s="25">
        <f>IF(C392="","",IF(G392=0,"not invoiced yet",SUBSTITUTE(TRIM(IF(COUNTIFS(tbl_Finance[Job Number],C392&amp;"",tbl_Finance[Cost Centre],"ONSITE")&gt;0,"ONSITE ","")&amp;IF(COUNTIFS(tbl_Finance[Job Number],C392&amp;"",tbl_Finance[Cost Centre],"PRODUCTION")&gt;0,"PRODUCTION ","")&amp;IF(COUNTIFS(tbl_Finance[Job Number],C392&amp;"",tbl_Finance[Cost Centre],"VIDEO")&gt;0,"VIDEO ","")&amp;IF(COUNTIFS(tbl_Finance[Job Number],C392&amp;"",tbl_Finance[Cost Centre],"INTEGRATION")&gt;0,"INTEGRATION ","")&amp;IF(COUNTIFS(tbl_Finance[Job Number],C392&amp;"",tbl_Finance[Cost Centre],"CONSULTING")&gt;0,"CONSULTING ","")&amp;IF(COUNTIFS(tbl_Finance[Job Number],C392&amp;"",tbl_Finance[Cost Centre],"CTS")&gt;0,"CTS ",""))," ",", ")))</f>
        <v/>
      </c>
      <c r="L392" s="24" t="n"/>
      <c r="M392" s="25">
        <f>IF(L392="","",HYPERLINK(IF(LEFT(L392,4)="http",L392,set_QwilrBase&amp;L392),"Open quote"))</f>
        <v/>
      </c>
      <c r="N392" s="26" t="n"/>
      <c r="O392" s="26" t="n"/>
      <c r="P392" s="26" t="n"/>
      <c r="Q392" s="25">
        <f>IF(C392="","",IF(N(N392)+N(O392)+N(P392)=0,"Not split",IF(ROUND(N(N392)+N(O392)+N(P392),2)=ROUND(H392,2),"OK","MISMATCH")))</f>
        <v/>
      </c>
      <c r="R392" s="26" t="n"/>
      <c r="S392" s="26" t="n"/>
      <c r="T392" s="26" t="n"/>
      <c r="U392" s="27">
        <f>IF(C392="","",N(R392)+N(S392)+N(T392))</f>
        <v/>
      </c>
      <c r="V392" s="27">
        <f>IF(C392="","",H392-U392)</f>
        <v/>
      </c>
      <c r="W392" s="29">
        <f>IFERROR(V392/H392,"")</f>
        <v/>
      </c>
      <c r="X392" s="24" t="n"/>
    </row>
    <row r="393" ht="15" customHeight="1">
      <c r="A393" s="68">
        <f>IF(C393="","",IFERROR(IF(SUMPRODUCT(MAX((tbl_Finance[Job Number]=C393&amp;"")*(tbl_Finance[Xero Invoice No]&lt;&gt;"")*tbl_Finance[Date]))=0,"",SUMPRODUCT(MAX((tbl_Finance[Job Number]=C393&amp;"")*(tbl_Finance[Xero Invoice No]&lt;&gt;"")*tbl_Finance[Date]))),""))</f>
        <v/>
      </c>
      <c r="B393" s="25">
        <f>IF(C393="","",IF(COUNTIFS(tbl_Finance[Job Number],C393&amp;"",tbl_Finance[Xero Invoice No],"&lt;&gt;")=0,"",IFERROR(IF(COUNTIFS(tbl_Finance[Job Number],C393&amp;"",tbl_Finance[Xero Invoice No],LOOKUP(2,1/((tbl_Finance[Job Number]=C393&amp;"")*(tbl_Finance[Xero Invoice No]&lt;&gt;"")),tbl_Finance[Xero Invoice No]))=COUNTIFS(tbl_Finance[Job Number],C393&amp;"",tbl_Finance[Xero Invoice No],"&lt;&gt;"),LOOKUP(2,1/((tbl_Finance[Job Number]=C393&amp;"")*(tbl_Finance[Xero Invoice No]&lt;&gt;"")),tbl_Finance[Xero Invoice No]),LOOKUP(2,1/((tbl_Finance[Job Number]=C393&amp;"")*(tbl_Finance[Xero Invoice No]&lt;&gt;"")),tbl_Finance[Xero Invoice No])&amp;" +more"),"")))</f>
        <v/>
      </c>
      <c r="C393" s="24" t="n"/>
      <c r="D393" s="25">
        <f>IF(C393="","",IF(COUNTIF(lst_Jobs,C393&amp;"")&gt;0,"OK","CHECK"))</f>
        <v/>
      </c>
      <c r="E393" s="25">
        <f>IF(C393="","",IFERROR(INDEX(lst_JobName,MATCH(C393&amp;"",lst_Jobs,0)),""))</f>
        <v/>
      </c>
      <c r="F393" s="25">
        <f>IF(C393="","",IFERROR(INDEX(tbl_Finance[Client],MATCH(C393&amp;"",tbl_Finance[Job Number],0)),""))</f>
        <v/>
      </c>
      <c r="G393" s="28">
        <f>IF(C393="","",COUNTIFS(tbl_Finance[Job Number],C393&amp;"",tbl_Finance[Ex GST],"&lt;&gt;"))</f>
        <v/>
      </c>
      <c r="H393" s="27">
        <f>IF(C393="","",SUMIFS(tbl_Finance[Ex GST],tbl_Finance[Job Number],C393&amp;""))</f>
        <v/>
      </c>
      <c r="I393" s="27">
        <f>IF(C393="","",SUMIFS(tbl_Finance[Ex GST],tbl_Finance[Job Number],C393&amp;"",tbl_Finance[Xero Invoice No],"&lt;&gt;"))</f>
        <v/>
      </c>
      <c r="J393" s="27">
        <f>IF(C393="","",H393-I393)</f>
        <v/>
      </c>
      <c r="K393" s="25">
        <f>IF(C393="","",IF(G393=0,"not invoiced yet",SUBSTITUTE(TRIM(IF(COUNTIFS(tbl_Finance[Job Number],C393&amp;"",tbl_Finance[Cost Centre],"ONSITE")&gt;0,"ONSITE ","")&amp;IF(COUNTIFS(tbl_Finance[Job Number],C393&amp;"",tbl_Finance[Cost Centre],"PRODUCTION")&gt;0,"PRODUCTION ","")&amp;IF(COUNTIFS(tbl_Finance[Job Number],C393&amp;"",tbl_Finance[Cost Centre],"VIDEO")&gt;0,"VIDEO ","")&amp;IF(COUNTIFS(tbl_Finance[Job Number],C393&amp;"",tbl_Finance[Cost Centre],"INTEGRATION")&gt;0,"INTEGRATION ","")&amp;IF(COUNTIFS(tbl_Finance[Job Number],C393&amp;"",tbl_Finance[Cost Centre],"CONSULTING")&gt;0,"CONSULTING ","")&amp;IF(COUNTIFS(tbl_Finance[Job Number],C393&amp;"",tbl_Finance[Cost Centre],"CTS")&gt;0,"CTS ",""))," ",", ")))</f>
        <v/>
      </c>
      <c r="L393" s="24" t="n"/>
      <c r="M393" s="25">
        <f>IF(L393="","",HYPERLINK(IF(LEFT(L393,4)="http",L393,set_QwilrBase&amp;L393),"Open quote"))</f>
        <v/>
      </c>
      <c r="N393" s="26" t="n"/>
      <c r="O393" s="26" t="n"/>
      <c r="P393" s="26" t="n"/>
      <c r="Q393" s="25">
        <f>IF(C393="","",IF(N(N393)+N(O393)+N(P393)=0,"Not split",IF(ROUND(N(N393)+N(O393)+N(P393),2)=ROUND(H393,2),"OK","MISMATCH")))</f>
        <v/>
      </c>
      <c r="R393" s="26" t="n"/>
      <c r="S393" s="26" t="n"/>
      <c r="T393" s="26" t="n"/>
      <c r="U393" s="27">
        <f>IF(C393="","",N(R393)+N(S393)+N(T393))</f>
        <v/>
      </c>
      <c r="V393" s="27">
        <f>IF(C393="","",H393-U393)</f>
        <v/>
      </c>
      <c r="W393" s="29">
        <f>IFERROR(V393/H393,"")</f>
        <v/>
      </c>
      <c r="X393" s="24" t="n"/>
    </row>
    <row r="394" ht="15" customHeight="1">
      <c r="A394" s="68">
        <f>IF(C394="","",IFERROR(IF(SUMPRODUCT(MAX((tbl_Finance[Job Number]=C394&amp;"")*(tbl_Finance[Xero Invoice No]&lt;&gt;"")*tbl_Finance[Date]))=0,"",SUMPRODUCT(MAX((tbl_Finance[Job Number]=C394&amp;"")*(tbl_Finance[Xero Invoice No]&lt;&gt;"")*tbl_Finance[Date]))),""))</f>
        <v/>
      </c>
      <c r="B394" s="25">
        <f>IF(C394="","",IF(COUNTIFS(tbl_Finance[Job Number],C394&amp;"",tbl_Finance[Xero Invoice No],"&lt;&gt;")=0,"",IFERROR(IF(COUNTIFS(tbl_Finance[Job Number],C394&amp;"",tbl_Finance[Xero Invoice No],LOOKUP(2,1/((tbl_Finance[Job Number]=C394&amp;"")*(tbl_Finance[Xero Invoice No]&lt;&gt;"")),tbl_Finance[Xero Invoice No]))=COUNTIFS(tbl_Finance[Job Number],C394&amp;"",tbl_Finance[Xero Invoice No],"&lt;&gt;"),LOOKUP(2,1/((tbl_Finance[Job Number]=C394&amp;"")*(tbl_Finance[Xero Invoice No]&lt;&gt;"")),tbl_Finance[Xero Invoice No]),LOOKUP(2,1/((tbl_Finance[Job Number]=C394&amp;"")*(tbl_Finance[Xero Invoice No]&lt;&gt;"")),tbl_Finance[Xero Invoice No])&amp;" +more"),"")))</f>
        <v/>
      </c>
      <c r="C394" s="24" t="n"/>
      <c r="D394" s="25">
        <f>IF(C394="","",IF(COUNTIF(lst_Jobs,C394&amp;"")&gt;0,"OK","CHECK"))</f>
        <v/>
      </c>
      <c r="E394" s="25">
        <f>IF(C394="","",IFERROR(INDEX(lst_JobName,MATCH(C394&amp;"",lst_Jobs,0)),""))</f>
        <v/>
      </c>
      <c r="F394" s="25">
        <f>IF(C394="","",IFERROR(INDEX(tbl_Finance[Client],MATCH(C394&amp;"",tbl_Finance[Job Number],0)),""))</f>
        <v/>
      </c>
      <c r="G394" s="28">
        <f>IF(C394="","",COUNTIFS(tbl_Finance[Job Number],C394&amp;"",tbl_Finance[Ex GST],"&lt;&gt;"))</f>
        <v/>
      </c>
      <c r="H394" s="27">
        <f>IF(C394="","",SUMIFS(tbl_Finance[Ex GST],tbl_Finance[Job Number],C394&amp;""))</f>
        <v/>
      </c>
      <c r="I394" s="27">
        <f>IF(C394="","",SUMIFS(tbl_Finance[Ex GST],tbl_Finance[Job Number],C394&amp;"",tbl_Finance[Xero Invoice No],"&lt;&gt;"))</f>
        <v/>
      </c>
      <c r="J394" s="27">
        <f>IF(C394="","",H394-I394)</f>
        <v/>
      </c>
      <c r="K394" s="25">
        <f>IF(C394="","",IF(G394=0,"not invoiced yet",SUBSTITUTE(TRIM(IF(COUNTIFS(tbl_Finance[Job Number],C394&amp;"",tbl_Finance[Cost Centre],"ONSITE")&gt;0,"ONSITE ","")&amp;IF(COUNTIFS(tbl_Finance[Job Number],C394&amp;"",tbl_Finance[Cost Centre],"PRODUCTION")&gt;0,"PRODUCTION ","")&amp;IF(COUNTIFS(tbl_Finance[Job Number],C394&amp;"",tbl_Finance[Cost Centre],"VIDEO")&gt;0,"VIDEO ","")&amp;IF(COUNTIFS(tbl_Finance[Job Number],C394&amp;"",tbl_Finance[Cost Centre],"INTEGRATION")&gt;0,"INTEGRATION ","")&amp;IF(COUNTIFS(tbl_Finance[Job Number],C394&amp;"",tbl_Finance[Cost Centre],"CONSULTING")&gt;0,"CONSULTING ","")&amp;IF(COUNTIFS(tbl_Finance[Job Number],C394&amp;"",tbl_Finance[Cost Centre],"CTS")&gt;0,"CTS ",""))," ",", ")))</f>
        <v/>
      </c>
      <c r="L394" s="24" t="n"/>
      <c r="M394" s="25">
        <f>IF(L394="","",HYPERLINK(IF(LEFT(L394,4)="http",L394,set_QwilrBase&amp;L394),"Open quote"))</f>
        <v/>
      </c>
      <c r="N394" s="26" t="n"/>
      <c r="O394" s="26" t="n"/>
      <c r="P394" s="26" t="n"/>
      <c r="Q394" s="25">
        <f>IF(C394="","",IF(N(N394)+N(O394)+N(P394)=0,"Not split",IF(ROUND(N(N394)+N(O394)+N(P394),2)=ROUND(H394,2),"OK","MISMATCH")))</f>
        <v/>
      </c>
      <c r="R394" s="26" t="n"/>
      <c r="S394" s="26" t="n"/>
      <c r="T394" s="26" t="n"/>
      <c r="U394" s="27">
        <f>IF(C394="","",N(R394)+N(S394)+N(T394))</f>
        <v/>
      </c>
      <c r="V394" s="27">
        <f>IF(C394="","",H394-U394)</f>
        <v/>
      </c>
      <c r="W394" s="29">
        <f>IFERROR(V394/H394,"")</f>
        <v/>
      </c>
      <c r="X394" s="24" t="n"/>
    </row>
    <row r="395" ht="15" customHeight="1">
      <c r="A395" s="68">
        <f>IF(C395="","",IFERROR(IF(SUMPRODUCT(MAX((tbl_Finance[Job Number]=C395&amp;"")*(tbl_Finance[Xero Invoice No]&lt;&gt;"")*tbl_Finance[Date]))=0,"",SUMPRODUCT(MAX((tbl_Finance[Job Number]=C395&amp;"")*(tbl_Finance[Xero Invoice No]&lt;&gt;"")*tbl_Finance[Date]))),""))</f>
        <v/>
      </c>
      <c r="B395" s="25">
        <f>IF(C395="","",IF(COUNTIFS(tbl_Finance[Job Number],C395&amp;"",tbl_Finance[Xero Invoice No],"&lt;&gt;")=0,"",IFERROR(IF(COUNTIFS(tbl_Finance[Job Number],C395&amp;"",tbl_Finance[Xero Invoice No],LOOKUP(2,1/((tbl_Finance[Job Number]=C395&amp;"")*(tbl_Finance[Xero Invoice No]&lt;&gt;"")),tbl_Finance[Xero Invoice No]))=COUNTIFS(tbl_Finance[Job Number],C395&amp;"",tbl_Finance[Xero Invoice No],"&lt;&gt;"),LOOKUP(2,1/((tbl_Finance[Job Number]=C395&amp;"")*(tbl_Finance[Xero Invoice No]&lt;&gt;"")),tbl_Finance[Xero Invoice No]),LOOKUP(2,1/((tbl_Finance[Job Number]=C395&amp;"")*(tbl_Finance[Xero Invoice No]&lt;&gt;"")),tbl_Finance[Xero Invoice No])&amp;" +more"),"")))</f>
        <v/>
      </c>
      <c r="C395" s="24" t="n"/>
      <c r="D395" s="25">
        <f>IF(C395="","",IF(COUNTIF(lst_Jobs,C395&amp;"")&gt;0,"OK","CHECK"))</f>
        <v/>
      </c>
      <c r="E395" s="25">
        <f>IF(C395="","",IFERROR(INDEX(lst_JobName,MATCH(C395&amp;"",lst_Jobs,0)),""))</f>
        <v/>
      </c>
      <c r="F395" s="25">
        <f>IF(C395="","",IFERROR(INDEX(tbl_Finance[Client],MATCH(C395&amp;"",tbl_Finance[Job Number],0)),""))</f>
        <v/>
      </c>
      <c r="G395" s="28">
        <f>IF(C395="","",COUNTIFS(tbl_Finance[Job Number],C395&amp;"",tbl_Finance[Ex GST],"&lt;&gt;"))</f>
        <v/>
      </c>
      <c r="H395" s="27">
        <f>IF(C395="","",SUMIFS(tbl_Finance[Ex GST],tbl_Finance[Job Number],C395&amp;""))</f>
        <v/>
      </c>
      <c r="I395" s="27">
        <f>IF(C395="","",SUMIFS(tbl_Finance[Ex GST],tbl_Finance[Job Number],C395&amp;"",tbl_Finance[Xero Invoice No],"&lt;&gt;"))</f>
        <v/>
      </c>
      <c r="J395" s="27">
        <f>IF(C395="","",H395-I395)</f>
        <v/>
      </c>
      <c r="K395" s="25">
        <f>IF(C395="","",IF(G395=0,"not invoiced yet",SUBSTITUTE(TRIM(IF(COUNTIFS(tbl_Finance[Job Number],C395&amp;"",tbl_Finance[Cost Centre],"ONSITE")&gt;0,"ONSITE ","")&amp;IF(COUNTIFS(tbl_Finance[Job Number],C395&amp;"",tbl_Finance[Cost Centre],"PRODUCTION")&gt;0,"PRODUCTION ","")&amp;IF(COUNTIFS(tbl_Finance[Job Number],C395&amp;"",tbl_Finance[Cost Centre],"VIDEO")&gt;0,"VIDEO ","")&amp;IF(COUNTIFS(tbl_Finance[Job Number],C395&amp;"",tbl_Finance[Cost Centre],"INTEGRATION")&gt;0,"INTEGRATION ","")&amp;IF(COUNTIFS(tbl_Finance[Job Number],C395&amp;"",tbl_Finance[Cost Centre],"CONSULTING")&gt;0,"CONSULTING ","")&amp;IF(COUNTIFS(tbl_Finance[Job Number],C395&amp;"",tbl_Finance[Cost Centre],"CTS")&gt;0,"CTS ",""))," ",", ")))</f>
        <v/>
      </c>
      <c r="L395" s="24" t="n"/>
      <c r="M395" s="25">
        <f>IF(L395="","",HYPERLINK(IF(LEFT(L395,4)="http",L395,set_QwilrBase&amp;L395),"Open quote"))</f>
        <v/>
      </c>
      <c r="N395" s="26" t="n"/>
      <c r="O395" s="26" t="n"/>
      <c r="P395" s="26" t="n"/>
      <c r="Q395" s="25">
        <f>IF(C395="","",IF(N(N395)+N(O395)+N(P395)=0,"Not split",IF(ROUND(N(N395)+N(O395)+N(P395),2)=ROUND(H395,2),"OK","MISMATCH")))</f>
        <v/>
      </c>
      <c r="R395" s="26" t="n"/>
      <c r="S395" s="26" t="n"/>
      <c r="T395" s="26" t="n"/>
      <c r="U395" s="27">
        <f>IF(C395="","",N(R395)+N(S395)+N(T395))</f>
        <v/>
      </c>
      <c r="V395" s="27">
        <f>IF(C395="","",H395-U395)</f>
        <v/>
      </c>
      <c r="W395" s="29">
        <f>IFERROR(V395/H395,"")</f>
        <v/>
      </c>
      <c r="X395" s="24" t="n"/>
    </row>
    <row r="396" ht="15" customHeight="1">
      <c r="A396" s="68">
        <f>IF(C396="","",IFERROR(IF(SUMPRODUCT(MAX((tbl_Finance[Job Number]=C396&amp;"")*(tbl_Finance[Xero Invoice No]&lt;&gt;"")*tbl_Finance[Date]))=0,"",SUMPRODUCT(MAX((tbl_Finance[Job Number]=C396&amp;"")*(tbl_Finance[Xero Invoice No]&lt;&gt;"")*tbl_Finance[Date]))),""))</f>
        <v/>
      </c>
      <c r="B396" s="25">
        <f>IF(C396="","",IF(COUNTIFS(tbl_Finance[Job Number],C396&amp;"",tbl_Finance[Xero Invoice No],"&lt;&gt;")=0,"",IFERROR(IF(COUNTIFS(tbl_Finance[Job Number],C396&amp;"",tbl_Finance[Xero Invoice No],LOOKUP(2,1/((tbl_Finance[Job Number]=C396&amp;"")*(tbl_Finance[Xero Invoice No]&lt;&gt;"")),tbl_Finance[Xero Invoice No]))=COUNTIFS(tbl_Finance[Job Number],C396&amp;"",tbl_Finance[Xero Invoice No],"&lt;&gt;"),LOOKUP(2,1/((tbl_Finance[Job Number]=C396&amp;"")*(tbl_Finance[Xero Invoice No]&lt;&gt;"")),tbl_Finance[Xero Invoice No]),LOOKUP(2,1/((tbl_Finance[Job Number]=C396&amp;"")*(tbl_Finance[Xero Invoice No]&lt;&gt;"")),tbl_Finance[Xero Invoice No])&amp;" +more"),"")))</f>
        <v/>
      </c>
      <c r="C396" s="24" t="n"/>
      <c r="D396" s="25">
        <f>IF(C396="","",IF(COUNTIF(lst_Jobs,C396&amp;"")&gt;0,"OK","CHECK"))</f>
        <v/>
      </c>
      <c r="E396" s="25">
        <f>IF(C396="","",IFERROR(INDEX(lst_JobName,MATCH(C396&amp;"",lst_Jobs,0)),""))</f>
        <v/>
      </c>
      <c r="F396" s="25">
        <f>IF(C396="","",IFERROR(INDEX(tbl_Finance[Client],MATCH(C396&amp;"",tbl_Finance[Job Number],0)),""))</f>
        <v/>
      </c>
      <c r="G396" s="28">
        <f>IF(C396="","",COUNTIFS(tbl_Finance[Job Number],C396&amp;"",tbl_Finance[Ex GST],"&lt;&gt;"))</f>
        <v/>
      </c>
      <c r="H396" s="27">
        <f>IF(C396="","",SUMIFS(tbl_Finance[Ex GST],tbl_Finance[Job Number],C396&amp;""))</f>
        <v/>
      </c>
      <c r="I396" s="27">
        <f>IF(C396="","",SUMIFS(tbl_Finance[Ex GST],tbl_Finance[Job Number],C396&amp;"",tbl_Finance[Xero Invoice No],"&lt;&gt;"))</f>
        <v/>
      </c>
      <c r="J396" s="27">
        <f>IF(C396="","",H396-I396)</f>
        <v/>
      </c>
      <c r="K396" s="25">
        <f>IF(C396="","",IF(G396=0,"not invoiced yet",SUBSTITUTE(TRIM(IF(COUNTIFS(tbl_Finance[Job Number],C396&amp;"",tbl_Finance[Cost Centre],"ONSITE")&gt;0,"ONSITE ","")&amp;IF(COUNTIFS(tbl_Finance[Job Number],C396&amp;"",tbl_Finance[Cost Centre],"PRODUCTION")&gt;0,"PRODUCTION ","")&amp;IF(COUNTIFS(tbl_Finance[Job Number],C396&amp;"",tbl_Finance[Cost Centre],"VIDEO")&gt;0,"VIDEO ","")&amp;IF(COUNTIFS(tbl_Finance[Job Number],C396&amp;"",tbl_Finance[Cost Centre],"INTEGRATION")&gt;0,"INTEGRATION ","")&amp;IF(COUNTIFS(tbl_Finance[Job Number],C396&amp;"",tbl_Finance[Cost Centre],"CONSULTING")&gt;0,"CONSULTING ","")&amp;IF(COUNTIFS(tbl_Finance[Job Number],C396&amp;"",tbl_Finance[Cost Centre],"CTS")&gt;0,"CTS ",""))," ",", ")))</f>
        <v/>
      </c>
      <c r="L396" s="24" t="n"/>
      <c r="M396" s="25">
        <f>IF(L396="","",HYPERLINK(IF(LEFT(L396,4)="http",L396,set_QwilrBase&amp;L396),"Open quote"))</f>
        <v/>
      </c>
      <c r="N396" s="26" t="n"/>
      <c r="O396" s="26" t="n"/>
      <c r="P396" s="26" t="n"/>
      <c r="Q396" s="25">
        <f>IF(C396="","",IF(N(N396)+N(O396)+N(P396)=0,"Not split",IF(ROUND(N(N396)+N(O396)+N(P396),2)=ROUND(H396,2),"OK","MISMATCH")))</f>
        <v/>
      </c>
      <c r="R396" s="26" t="n"/>
      <c r="S396" s="26" t="n"/>
      <c r="T396" s="26" t="n"/>
      <c r="U396" s="27">
        <f>IF(C396="","",N(R396)+N(S396)+N(T396))</f>
        <v/>
      </c>
      <c r="V396" s="27">
        <f>IF(C396="","",H396-U396)</f>
        <v/>
      </c>
      <c r="W396" s="29">
        <f>IFERROR(V396/H396,"")</f>
        <v/>
      </c>
      <c r="X396" s="24" t="n"/>
    </row>
    <row r="397" ht="15" customHeight="1">
      <c r="A397" s="68">
        <f>IF(C397="","",IFERROR(IF(SUMPRODUCT(MAX((tbl_Finance[Job Number]=C397&amp;"")*(tbl_Finance[Xero Invoice No]&lt;&gt;"")*tbl_Finance[Date]))=0,"",SUMPRODUCT(MAX((tbl_Finance[Job Number]=C397&amp;"")*(tbl_Finance[Xero Invoice No]&lt;&gt;"")*tbl_Finance[Date]))),""))</f>
        <v/>
      </c>
      <c r="B397" s="25">
        <f>IF(C397="","",IF(COUNTIFS(tbl_Finance[Job Number],C397&amp;"",tbl_Finance[Xero Invoice No],"&lt;&gt;")=0,"",IFERROR(IF(COUNTIFS(tbl_Finance[Job Number],C397&amp;"",tbl_Finance[Xero Invoice No],LOOKUP(2,1/((tbl_Finance[Job Number]=C397&amp;"")*(tbl_Finance[Xero Invoice No]&lt;&gt;"")),tbl_Finance[Xero Invoice No]))=COUNTIFS(tbl_Finance[Job Number],C397&amp;"",tbl_Finance[Xero Invoice No],"&lt;&gt;"),LOOKUP(2,1/((tbl_Finance[Job Number]=C397&amp;"")*(tbl_Finance[Xero Invoice No]&lt;&gt;"")),tbl_Finance[Xero Invoice No]),LOOKUP(2,1/((tbl_Finance[Job Number]=C397&amp;"")*(tbl_Finance[Xero Invoice No]&lt;&gt;"")),tbl_Finance[Xero Invoice No])&amp;" +more"),"")))</f>
        <v/>
      </c>
      <c r="C397" s="24" t="n"/>
      <c r="D397" s="25">
        <f>IF(C397="","",IF(COUNTIF(lst_Jobs,C397&amp;"")&gt;0,"OK","CHECK"))</f>
        <v/>
      </c>
      <c r="E397" s="25">
        <f>IF(C397="","",IFERROR(INDEX(lst_JobName,MATCH(C397&amp;"",lst_Jobs,0)),""))</f>
        <v/>
      </c>
      <c r="F397" s="25">
        <f>IF(C397="","",IFERROR(INDEX(tbl_Finance[Client],MATCH(C397&amp;"",tbl_Finance[Job Number],0)),""))</f>
        <v/>
      </c>
      <c r="G397" s="28">
        <f>IF(C397="","",COUNTIFS(tbl_Finance[Job Number],C397&amp;"",tbl_Finance[Ex GST],"&lt;&gt;"))</f>
        <v/>
      </c>
      <c r="H397" s="27">
        <f>IF(C397="","",SUMIFS(tbl_Finance[Ex GST],tbl_Finance[Job Number],C397&amp;""))</f>
        <v/>
      </c>
      <c r="I397" s="27">
        <f>IF(C397="","",SUMIFS(tbl_Finance[Ex GST],tbl_Finance[Job Number],C397&amp;"",tbl_Finance[Xero Invoice No],"&lt;&gt;"))</f>
        <v/>
      </c>
      <c r="J397" s="27">
        <f>IF(C397="","",H397-I397)</f>
        <v/>
      </c>
      <c r="K397" s="25">
        <f>IF(C397="","",IF(G397=0,"not invoiced yet",SUBSTITUTE(TRIM(IF(COUNTIFS(tbl_Finance[Job Number],C397&amp;"",tbl_Finance[Cost Centre],"ONSITE")&gt;0,"ONSITE ","")&amp;IF(COUNTIFS(tbl_Finance[Job Number],C397&amp;"",tbl_Finance[Cost Centre],"PRODUCTION")&gt;0,"PRODUCTION ","")&amp;IF(COUNTIFS(tbl_Finance[Job Number],C397&amp;"",tbl_Finance[Cost Centre],"VIDEO")&gt;0,"VIDEO ","")&amp;IF(COUNTIFS(tbl_Finance[Job Number],C397&amp;"",tbl_Finance[Cost Centre],"INTEGRATION")&gt;0,"INTEGRATION ","")&amp;IF(COUNTIFS(tbl_Finance[Job Number],C397&amp;"",tbl_Finance[Cost Centre],"CONSULTING")&gt;0,"CONSULTING ","")&amp;IF(COUNTIFS(tbl_Finance[Job Number],C397&amp;"",tbl_Finance[Cost Centre],"CTS")&gt;0,"CTS ",""))," ",", ")))</f>
        <v/>
      </c>
      <c r="L397" s="24" t="n"/>
      <c r="M397" s="25">
        <f>IF(L397="","",HYPERLINK(IF(LEFT(L397,4)="http",L397,set_QwilrBase&amp;L397),"Open quote"))</f>
        <v/>
      </c>
      <c r="N397" s="26" t="n"/>
      <c r="O397" s="26" t="n"/>
      <c r="P397" s="26" t="n"/>
      <c r="Q397" s="25">
        <f>IF(C397="","",IF(N(N397)+N(O397)+N(P397)=0,"Not split",IF(ROUND(N(N397)+N(O397)+N(P397),2)=ROUND(H397,2),"OK","MISMATCH")))</f>
        <v/>
      </c>
      <c r="R397" s="26" t="n"/>
      <c r="S397" s="26" t="n"/>
      <c r="T397" s="26" t="n"/>
      <c r="U397" s="27">
        <f>IF(C397="","",N(R397)+N(S397)+N(T397))</f>
        <v/>
      </c>
      <c r="V397" s="27">
        <f>IF(C397="","",H397-U397)</f>
        <v/>
      </c>
      <c r="W397" s="29">
        <f>IFERROR(V397/H397,"")</f>
        <v/>
      </c>
      <c r="X397" s="24" t="n"/>
    </row>
    <row r="398" ht="15" customHeight="1">
      <c r="A398" s="68">
        <f>IF(C398="","",IFERROR(IF(SUMPRODUCT(MAX((tbl_Finance[Job Number]=C398&amp;"")*(tbl_Finance[Xero Invoice No]&lt;&gt;"")*tbl_Finance[Date]))=0,"",SUMPRODUCT(MAX((tbl_Finance[Job Number]=C398&amp;"")*(tbl_Finance[Xero Invoice No]&lt;&gt;"")*tbl_Finance[Date]))),""))</f>
        <v/>
      </c>
      <c r="B398" s="25">
        <f>IF(C398="","",IF(COUNTIFS(tbl_Finance[Job Number],C398&amp;"",tbl_Finance[Xero Invoice No],"&lt;&gt;")=0,"",IFERROR(IF(COUNTIFS(tbl_Finance[Job Number],C398&amp;"",tbl_Finance[Xero Invoice No],LOOKUP(2,1/((tbl_Finance[Job Number]=C398&amp;"")*(tbl_Finance[Xero Invoice No]&lt;&gt;"")),tbl_Finance[Xero Invoice No]))=COUNTIFS(tbl_Finance[Job Number],C398&amp;"",tbl_Finance[Xero Invoice No],"&lt;&gt;"),LOOKUP(2,1/((tbl_Finance[Job Number]=C398&amp;"")*(tbl_Finance[Xero Invoice No]&lt;&gt;"")),tbl_Finance[Xero Invoice No]),LOOKUP(2,1/((tbl_Finance[Job Number]=C398&amp;"")*(tbl_Finance[Xero Invoice No]&lt;&gt;"")),tbl_Finance[Xero Invoice No])&amp;" +more"),"")))</f>
        <v/>
      </c>
      <c r="C398" s="24" t="n"/>
      <c r="D398" s="25">
        <f>IF(C398="","",IF(COUNTIF(lst_Jobs,C398&amp;"")&gt;0,"OK","CHECK"))</f>
        <v/>
      </c>
      <c r="E398" s="25">
        <f>IF(C398="","",IFERROR(INDEX(lst_JobName,MATCH(C398&amp;"",lst_Jobs,0)),""))</f>
        <v/>
      </c>
      <c r="F398" s="25">
        <f>IF(C398="","",IFERROR(INDEX(tbl_Finance[Client],MATCH(C398&amp;"",tbl_Finance[Job Number],0)),""))</f>
        <v/>
      </c>
      <c r="G398" s="28">
        <f>IF(C398="","",COUNTIFS(tbl_Finance[Job Number],C398&amp;"",tbl_Finance[Ex GST],"&lt;&gt;"))</f>
        <v/>
      </c>
      <c r="H398" s="27">
        <f>IF(C398="","",SUMIFS(tbl_Finance[Ex GST],tbl_Finance[Job Number],C398&amp;""))</f>
        <v/>
      </c>
      <c r="I398" s="27">
        <f>IF(C398="","",SUMIFS(tbl_Finance[Ex GST],tbl_Finance[Job Number],C398&amp;"",tbl_Finance[Xero Invoice No],"&lt;&gt;"))</f>
        <v/>
      </c>
      <c r="J398" s="27">
        <f>IF(C398="","",H398-I398)</f>
        <v/>
      </c>
      <c r="K398" s="25">
        <f>IF(C398="","",IF(G398=0,"not invoiced yet",SUBSTITUTE(TRIM(IF(COUNTIFS(tbl_Finance[Job Number],C398&amp;"",tbl_Finance[Cost Centre],"ONSITE")&gt;0,"ONSITE ","")&amp;IF(COUNTIFS(tbl_Finance[Job Number],C398&amp;"",tbl_Finance[Cost Centre],"PRODUCTION")&gt;0,"PRODUCTION ","")&amp;IF(COUNTIFS(tbl_Finance[Job Number],C398&amp;"",tbl_Finance[Cost Centre],"VIDEO")&gt;0,"VIDEO ","")&amp;IF(COUNTIFS(tbl_Finance[Job Number],C398&amp;"",tbl_Finance[Cost Centre],"INTEGRATION")&gt;0,"INTEGRATION ","")&amp;IF(COUNTIFS(tbl_Finance[Job Number],C398&amp;"",tbl_Finance[Cost Centre],"CONSULTING")&gt;0,"CONSULTING ","")&amp;IF(COUNTIFS(tbl_Finance[Job Number],C398&amp;"",tbl_Finance[Cost Centre],"CTS")&gt;0,"CTS ",""))," ",", ")))</f>
        <v/>
      </c>
      <c r="L398" s="24" t="n"/>
      <c r="M398" s="25">
        <f>IF(L398="","",HYPERLINK(IF(LEFT(L398,4)="http",L398,set_QwilrBase&amp;L398),"Open quote"))</f>
        <v/>
      </c>
      <c r="N398" s="26" t="n"/>
      <c r="O398" s="26" t="n"/>
      <c r="P398" s="26" t="n"/>
      <c r="Q398" s="25">
        <f>IF(C398="","",IF(N(N398)+N(O398)+N(P398)=0,"Not split",IF(ROUND(N(N398)+N(O398)+N(P398),2)=ROUND(H398,2),"OK","MISMATCH")))</f>
        <v/>
      </c>
      <c r="R398" s="26" t="n"/>
      <c r="S398" s="26" t="n"/>
      <c r="T398" s="26" t="n"/>
      <c r="U398" s="27">
        <f>IF(C398="","",N(R398)+N(S398)+N(T398))</f>
        <v/>
      </c>
      <c r="V398" s="27">
        <f>IF(C398="","",H398-U398)</f>
        <v/>
      </c>
      <c r="W398" s="29">
        <f>IFERROR(V398/H398,"")</f>
        <v/>
      </c>
      <c r="X398" s="24" t="n"/>
    </row>
    <row r="399" ht="15" customHeight="1">
      <c r="A399" s="68">
        <f>IF(C399="","",IFERROR(IF(SUMPRODUCT(MAX((tbl_Finance[Job Number]=C399&amp;"")*(tbl_Finance[Xero Invoice No]&lt;&gt;"")*tbl_Finance[Date]))=0,"",SUMPRODUCT(MAX((tbl_Finance[Job Number]=C399&amp;"")*(tbl_Finance[Xero Invoice No]&lt;&gt;"")*tbl_Finance[Date]))),""))</f>
        <v/>
      </c>
      <c r="B399" s="25">
        <f>IF(C399="","",IF(COUNTIFS(tbl_Finance[Job Number],C399&amp;"",tbl_Finance[Xero Invoice No],"&lt;&gt;")=0,"",IFERROR(IF(COUNTIFS(tbl_Finance[Job Number],C399&amp;"",tbl_Finance[Xero Invoice No],LOOKUP(2,1/((tbl_Finance[Job Number]=C399&amp;"")*(tbl_Finance[Xero Invoice No]&lt;&gt;"")),tbl_Finance[Xero Invoice No]))=COUNTIFS(tbl_Finance[Job Number],C399&amp;"",tbl_Finance[Xero Invoice No],"&lt;&gt;"),LOOKUP(2,1/((tbl_Finance[Job Number]=C399&amp;"")*(tbl_Finance[Xero Invoice No]&lt;&gt;"")),tbl_Finance[Xero Invoice No]),LOOKUP(2,1/((tbl_Finance[Job Number]=C399&amp;"")*(tbl_Finance[Xero Invoice No]&lt;&gt;"")),tbl_Finance[Xero Invoice No])&amp;" +more"),"")))</f>
        <v/>
      </c>
      <c r="C399" s="24" t="n"/>
      <c r="D399" s="25">
        <f>IF(C399="","",IF(COUNTIF(lst_Jobs,C399&amp;"")&gt;0,"OK","CHECK"))</f>
        <v/>
      </c>
      <c r="E399" s="25">
        <f>IF(C399="","",IFERROR(INDEX(lst_JobName,MATCH(C399&amp;"",lst_Jobs,0)),""))</f>
        <v/>
      </c>
      <c r="F399" s="25">
        <f>IF(C399="","",IFERROR(INDEX(tbl_Finance[Client],MATCH(C399&amp;"",tbl_Finance[Job Number],0)),""))</f>
        <v/>
      </c>
      <c r="G399" s="28">
        <f>IF(C399="","",COUNTIFS(tbl_Finance[Job Number],C399&amp;"",tbl_Finance[Ex GST],"&lt;&gt;"))</f>
        <v/>
      </c>
      <c r="H399" s="27">
        <f>IF(C399="","",SUMIFS(tbl_Finance[Ex GST],tbl_Finance[Job Number],C399&amp;""))</f>
        <v/>
      </c>
      <c r="I399" s="27">
        <f>IF(C399="","",SUMIFS(tbl_Finance[Ex GST],tbl_Finance[Job Number],C399&amp;"",tbl_Finance[Xero Invoice No],"&lt;&gt;"))</f>
        <v/>
      </c>
      <c r="J399" s="27">
        <f>IF(C399="","",H399-I399)</f>
        <v/>
      </c>
      <c r="K399" s="25">
        <f>IF(C399="","",IF(G399=0,"not invoiced yet",SUBSTITUTE(TRIM(IF(COUNTIFS(tbl_Finance[Job Number],C399&amp;"",tbl_Finance[Cost Centre],"ONSITE")&gt;0,"ONSITE ","")&amp;IF(COUNTIFS(tbl_Finance[Job Number],C399&amp;"",tbl_Finance[Cost Centre],"PRODUCTION")&gt;0,"PRODUCTION ","")&amp;IF(COUNTIFS(tbl_Finance[Job Number],C399&amp;"",tbl_Finance[Cost Centre],"VIDEO")&gt;0,"VIDEO ","")&amp;IF(COUNTIFS(tbl_Finance[Job Number],C399&amp;"",tbl_Finance[Cost Centre],"INTEGRATION")&gt;0,"INTEGRATION ","")&amp;IF(COUNTIFS(tbl_Finance[Job Number],C399&amp;"",tbl_Finance[Cost Centre],"CONSULTING")&gt;0,"CONSULTING ","")&amp;IF(COUNTIFS(tbl_Finance[Job Number],C399&amp;"",tbl_Finance[Cost Centre],"CTS")&gt;0,"CTS ",""))," ",", ")))</f>
        <v/>
      </c>
      <c r="L399" s="24" t="n"/>
      <c r="M399" s="25">
        <f>IF(L399="","",HYPERLINK(IF(LEFT(L399,4)="http",L399,set_QwilrBase&amp;L399),"Open quote"))</f>
        <v/>
      </c>
      <c r="N399" s="26" t="n"/>
      <c r="O399" s="26" t="n"/>
      <c r="P399" s="26" t="n"/>
      <c r="Q399" s="25">
        <f>IF(C399="","",IF(N(N399)+N(O399)+N(P399)=0,"Not split",IF(ROUND(N(N399)+N(O399)+N(P399),2)=ROUND(H399,2),"OK","MISMATCH")))</f>
        <v/>
      </c>
      <c r="R399" s="26" t="n"/>
      <c r="S399" s="26" t="n"/>
      <c r="T399" s="26" t="n"/>
      <c r="U399" s="27">
        <f>IF(C399="","",N(R399)+N(S399)+N(T399))</f>
        <v/>
      </c>
      <c r="V399" s="27">
        <f>IF(C399="","",H399-U399)</f>
        <v/>
      </c>
      <c r="W399" s="29">
        <f>IFERROR(V399/H399,"")</f>
        <v/>
      </c>
      <c r="X399" s="24" t="n"/>
    </row>
    <row r="400" ht="15" customHeight="1">
      <c r="A400" s="68">
        <f>IF(C400="","",IFERROR(IF(SUMPRODUCT(MAX((tbl_Finance[Job Number]=C400&amp;"")*(tbl_Finance[Xero Invoice No]&lt;&gt;"")*tbl_Finance[Date]))=0,"",SUMPRODUCT(MAX((tbl_Finance[Job Number]=C400&amp;"")*(tbl_Finance[Xero Invoice No]&lt;&gt;"")*tbl_Finance[Date]))),""))</f>
        <v/>
      </c>
      <c r="B400" s="25">
        <f>IF(C400="","",IF(COUNTIFS(tbl_Finance[Job Number],C400&amp;"",tbl_Finance[Xero Invoice No],"&lt;&gt;")=0,"",IFERROR(IF(COUNTIFS(tbl_Finance[Job Number],C400&amp;"",tbl_Finance[Xero Invoice No],LOOKUP(2,1/((tbl_Finance[Job Number]=C400&amp;"")*(tbl_Finance[Xero Invoice No]&lt;&gt;"")),tbl_Finance[Xero Invoice No]))=COUNTIFS(tbl_Finance[Job Number],C400&amp;"",tbl_Finance[Xero Invoice No],"&lt;&gt;"),LOOKUP(2,1/((tbl_Finance[Job Number]=C400&amp;"")*(tbl_Finance[Xero Invoice No]&lt;&gt;"")),tbl_Finance[Xero Invoice No]),LOOKUP(2,1/((tbl_Finance[Job Number]=C400&amp;"")*(tbl_Finance[Xero Invoice No]&lt;&gt;"")),tbl_Finance[Xero Invoice No])&amp;" +more"),"")))</f>
        <v/>
      </c>
      <c r="C400" s="24" t="n"/>
      <c r="D400" s="25">
        <f>IF(C400="","",IF(COUNTIF(lst_Jobs,C400&amp;"")&gt;0,"OK","CHECK"))</f>
        <v/>
      </c>
      <c r="E400" s="25">
        <f>IF(C400="","",IFERROR(INDEX(lst_JobName,MATCH(C400&amp;"",lst_Jobs,0)),""))</f>
        <v/>
      </c>
      <c r="F400" s="25">
        <f>IF(C400="","",IFERROR(INDEX(tbl_Finance[Client],MATCH(C400&amp;"",tbl_Finance[Job Number],0)),""))</f>
        <v/>
      </c>
      <c r="G400" s="28">
        <f>IF(C400="","",COUNTIFS(tbl_Finance[Job Number],C400&amp;"",tbl_Finance[Ex GST],"&lt;&gt;"))</f>
        <v/>
      </c>
      <c r="H400" s="27">
        <f>IF(C400="","",SUMIFS(tbl_Finance[Ex GST],tbl_Finance[Job Number],C400&amp;""))</f>
        <v/>
      </c>
      <c r="I400" s="27">
        <f>IF(C400="","",SUMIFS(tbl_Finance[Ex GST],tbl_Finance[Job Number],C400&amp;"",tbl_Finance[Xero Invoice No],"&lt;&gt;"))</f>
        <v/>
      </c>
      <c r="J400" s="27">
        <f>IF(C400="","",H400-I400)</f>
        <v/>
      </c>
      <c r="K400" s="25">
        <f>IF(C400="","",IF(G400=0,"not invoiced yet",SUBSTITUTE(TRIM(IF(COUNTIFS(tbl_Finance[Job Number],C400&amp;"",tbl_Finance[Cost Centre],"ONSITE")&gt;0,"ONSITE ","")&amp;IF(COUNTIFS(tbl_Finance[Job Number],C400&amp;"",tbl_Finance[Cost Centre],"PRODUCTION")&gt;0,"PRODUCTION ","")&amp;IF(COUNTIFS(tbl_Finance[Job Number],C400&amp;"",tbl_Finance[Cost Centre],"VIDEO")&gt;0,"VIDEO ","")&amp;IF(COUNTIFS(tbl_Finance[Job Number],C400&amp;"",tbl_Finance[Cost Centre],"INTEGRATION")&gt;0,"INTEGRATION ","")&amp;IF(COUNTIFS(tbl_Finance[Job Number],C400&amp;"",tbl_Finance[Cost Centre],"CONSULTING")&gt;0,"CONSULTING ","")&amp;IF(COUNTIFS(tbl_Finance[Job Number],C400&amp;"",tbl_Finance[Cost Centre],"CTS")&gt;0,"CTS ",""))," ",", ")))</f>
        <v/>
      </c>
      <c r="L400" s="24" t="n"/>
      <c r="M400" s="25">
        <f>IF(L400="","",HYPERLINK(IF(LEFT(L400,4)="http",L400,set_QwilrBase&amp;L400),"Open quote"))</f>
        <v/>
      </c>
      <c r="N400" s="26" t="n"/>
      <c r="O400" s="26" t="n"/>
      <c r="P400" s="26" t="n"/>
      <c r="Q400" s="25">
        <f>IF(C400="","",IF(N(N400)+N(O400)+N(P400)=0,"Not split",IF(ROUND(N(N400)+N(O400)+N(P400),2)=ROUND(H400,2),"OK","MISMATCH")))</f>
        <v/>
      </c>
      <c r="R400" s="26" t="n"/>
      <c r="S400" s="26" t="n"/>
      <c r="T400" s="26" t="n"/>
      <c r="U400" s="27">
        <f>IF(C400="","",N(R400)+N(S400)+N(T400))</f>
        <v/>
      </c>
      <c r="V400" s="27">
        <f>IF(C400="","",H400-U400)</f>
        <v/>
      </c>
      <c r="W400" s="29">
        <f>IFERROR(V400/H400,"")</f>
        <v/>
      </c>
      <c r="X400" s="24" t="n"/>
    </row>
    <row r="401" ht="15" customHeight="1">
      <c r="A401" s="68">
        <f>IF(C401="","",IFERROR(IF(SUMPRODUCT(MAX((tbl_Finance[Job Number]=C401&amp;"")*(tbl_Finance[Xero Invoice No]&lt;&gt;"")*tbl_Finance[Date]))=0,"",SUMPRODUCT(MAX((tbl_Finance[Job Number]=C401&amp;"")*(tbl_Finance[Xero Invoice No]&lt;&gt;"")*tbl_Finance[Date]))),""))</f>
        <v/>
      </c>
      <c r="B401" s="25">
        <f>IF(C401="","",IF(COUNTIFS(tbl_Finance[Job Number],C401&amp;"",tbl_Finance[Xero Invoice No],"&lt;&gt;")=0,"",IFERROR(IF(COUNTIFS(tbl_Finance[Job Number],C401&amp;"",tbl_Finance[Xero Invoice No],LOOKUP(2,1/((tbl_Finance[Job Number]=C401&amp;"")*(tbl_Finance[Xero Invoice No]&lt;&gt;"")),tbl_Finance[Xero Invoice No]))=COUNTIFS(tbl_Finance[Job Number],C401&amp;"",tbl_Finance[Xero Invoice No],"&lt;&gt;"),LOOKUP(2,1/((tbl_Finance[Job Number]=C401&amp;"")*(tbl_Finance[Xero Invoice No]&lt;&gt;"")),tbl_Finance[Xero Invoice No]),LOOKUP(2,1/((tbl_Finance[Job Number]=C401&amp;"")*(tbl_Finance[Xero Invoice No]&lt;&gt;"")),tbl_Finance[Xero Invoice No])&amp;" +more"),"")))</f>
        <v/>
      </c>
      <c r="C401" s="24" t="n"/>
      <c r="D401" s="25">
        <f>IF(C401="","",IF(COUNTIF(lst_Jobs,C401&amp;"")&gt;0,"OK","CHECK"))</f>
        <v/>
      </c>
      <c r="E401" s="25">
        <f>IF(C401="","",IFERROR(INDEX(lst_JobName,MATCH(C401&amp;"",lst_Jobs,0)),""))</f>
        <v/>
      </c>
      <c r="F401" s="25">
        <f>IF(C401="","",IFERROR(INDEX(tbl_Finance[Client],MATCH(C401&amp;"",tbl_Finance[Job Number],0)),""))</f>
        <v/>
      </c>
      <c r="G401" s="28">
        <f>IF(C401="","",COUNTIFS(tbl_Finance[Job Number],C401&amp;"",tbl_Finance[Ex GST],"&lt;&gt;"))</f>
        <v/>
      </c>
      <c r="H401" s="27">
        <f>IF(C401="","",SUMIFS(tbl_Finance[Ex GST],tbl_Finance[Job Number],C401&amp;""))</f>
        <v/>
      </c>
      <c r="I401" s="27">
        <f>IF(C401="","",SUMIFS(tbl_Finance[Ex GST],tbl_Finance[Job Number],C401&amp;"",tbl_Finance[Xero Invoice No],"&lt;&gt;"))</f>
        <v/>
      </c>
      <c r="J401" s="27">
        <f>IF(C401="","",H401-I401)</f>
        <v/>
      </c>
      <c r="K401" s="25">
        <f>IF(C401="","",IF(G401=0,"not invoiced yet",SUBSTITUTE(TRIM(IF(COUNTIFS(tbl_Finance[Job Number],C401&amp;"",tbl_Finance[Cost Centre],"ONSITE")&gt;0,"ONSITE ","")&amp;IF(COUNTIFS(tbl_Finance[Job Number],C401&amp;"",tbl_Finance[Cost Centre],"PRODUCTION")&gt;0,"PRODUCTION ","")&amp;IF(COUNTIFS(tbl_Finance[Job Number],C401&amp;"",tbl_Finance[Cost Centre],"VIDEO")&gt;0,"VIDEO ","")&amp;IF(COUNTIFS(tbl_Finance[Job Number],C401&amp;"",tbl_Finance[Cost Centre],"INTEGRATION")&gt;0,"INTEGRATION ","")&amp;IF(COUNTIFS(tbl_Finance[Job Number],C401&amp;"",tbl_Finance[Cost Centre],"CONSULTING")&gt;0,"CONSULTING ","")&amp;IF(COUNTIFS(tbl_Finance[Job Number],C401&amp;"",tbl_Finance[Cost Centre],"CTS")&gt;0,"CTS ",""))," ",", ")))</f>
        <v/>
      </c>
      <c r="L401" s="24" t="n"/>
      <c r="M401" s="25">
        <f>IF(L401="","",HYPERLINK(IF(LEFT(L401,4)="http",L401,set_QwilrBase&amp;L401),"Open quote"))</f>
        <v/>
      </c>
      <c r="N401" s="26" t="n"/>
      <c r="O401" s="26" t="n"/>
      <c r="P401" s="26" t="n"/>
      <c r="Q401" s="25">
        <f>IF(C401="","",IF(N(N401)+N(O401)+N(P401)=0,"Not split",IF(ROUND(N(N401)+N(O401)+N(P401),2)=ROUND(H401,2),"OK","MISMATCH")))</f>
        <v/>
      </c>
      <c r="R401" s="26" t="n"/>
      <c r="S401" s="26" t="n"/>
      <c r="T401" s="26" t="n"/>
      <c r="U401" s="27">
        <f>IF(C401="","",N(R401)+N(S401)+N(T401))</f>
        <v/>
      </c>
      <c r="V401" s="27">
        <f>IF(C401="","",H401-U401)</f>
        <v/>
      </c>
      <c r="W401" s="29">
        <f>IFERROR(V401/H401,"")</f>
        <v/>
      </c>
      <c r="X401" s="24" t="n"/>
    </row>
    <row r="402" ht="15" customHeight="1">
      <c r="A402" s="68">
        <f>IF(C402="","",IFERROR(IF(SUMPRODUCT(MAX((tbl_Finance[Job Number]=C402&amp;"")*(tbl_Finance[Xero Invoice No]&lt;&gt;"")*tbl_Finance[Date]))=0,"",SUMPRODUCT(MAX((tbl_Finance[Job Number]=C402&amp;"")*(tbl_Finance[Xero Invoice No]&lt;&gt;"")*tbl_Finance[Date]))),""))</f>
        <v/>
      </c>
      <c r="B402" s="25">
        <f>IF(C402="","",IF(COUNTIFS(tbl_Finance[Job Number],C402&amp;"",tbl_Finance[Xero Invoice No],"&lt;&gt;")=0,"",IFERROR(IF(COUNTIFS(tbl_Finance[Job Number],C402&amp;"",tbl_Finance[Xero Invoice No],LOOKUP(2,1/((tbl_Finance[Job Number]=C402&amp;"")*(tbl_Finance[Xero Invoice No]&lt;&gt;"")),tbl_Finance[Xero Invoice No]))=COUNTIFS(tbl_Finance[Job Number],C402&amp;"",tbl_Finance[Xero Invoice No],"&lt;&gt;"),LOOKUP(2,1/((tbl_Finance[Job Number]=C402&amp;"")*(tbl_Finance[Xero Invoice No]&lt;&gt;"")),tbl_Finance[Xero Invoice No]),LOOKUP(2,1/((tbl_Finance[Job Number]=C402&amp;"")*(tbl_Finance[Xero Invoice No]&lt;&gt;"")),tbl_Finance[Xero Invoice No])&amp;" +more"),"")))</f>
        <v/>
      </c>
      <c r="C402" s="24" t="n"/>
      <c r="D402" s="25">
        <f>IF(C402="","",IF(COUNTIF(lst_Jobs,C402&amp;"")&gt;0,"OK","CHECK"))</f>
        <v/>
      </c>
      <c r="E402" s="25">
        <f>IF(C402="","",IFERROR(INDEX(lst_JobName,MATCH(C402&amp;"",lst_Jobs,0)),""))</f>
        <v/>
      </c>
      <c r="F402" s="25">
        <f>IF(C402="","",IFERROR(INDEX(tbl_Finance[Client],MATCH(C402&amp;"",tbl_Finance[Job Number],0)),""))</f>
        <v/>
      </c>
      <c r="G402" s="28">
        <f>IF(C402="","",COUNTIFS(tbl_Finance[Job Number],C402&amp;"",tbl_Finance[Ex GST],"&lt;&gt;"))</f>
        <v/>
      </c>
      <c r="H402" s="27">
        <f>IF(C402="","",SUMIFS(tbl_Finance[Ex GST],tbl_Finance[Job Number],C402&amp;""))</f>
        <v/>
      </c>
      <c r="I402" s="27">
        <f>IF(C402="","",SUMIFS(tbl_Finance[Ex GST],tbl_Finance[Job Number],C402&amp;"",tbl_Finance[Xero Invoice No],"&lt;&gt;"))</f>
        <v/>
      </c>
      <c r="J402" s="27">
        <f>IF(C402="","",H402-I402)</f>
        <v/>
      </c>
      <c r="K402" s="25">
        <f>IF(C402="","",IF(G402=0,"not invoiced yet",SUBSTITUTE(TRIM(IF(COUNTIFS(tbl_Finance[Job Number],C402&amp;"",tbl_Finance[Cost Centre],"ONSITE")&gt;0,"ONSITE ","")&amp;IF(COUNTIFS(tbl_Finance[Job Number],C402&amp;"",tbl_Finance[Cost Centre],"PRODUCTION")&gt;0,"PRODUCTION ","")&amp;IF(COUNTIFS(tbl_Finance[Job Number],C402&amp;"",tbl_Finance[Cost Centre],"VIDEO")&gt;0,"VIDEO ","")&amp;IF(COUNTIFS(tbl_Finance[Job Number],C402&amp;"",tbl_Finance[Cost Centre],"INTEGRATION")&gt;0,"INTEGRATION ","")&amp;IF(COUNTIFS(tbl_Finance[Job Number],C402&amp;"",tbl_Finance[Cost Centre],"CONSULTING")&gt;0,"CONSULTING ","")&amp;IF(COUNTIFS(tbl_Finance[Job Number],C402&amp;"",tbl_Finance[Cost Centre],"CTS")&gt;0,"CTS ",""))," ",", ")))</f>
        <v/>
      </c>
      <c r="L402" s="24" t="n"/>
      <c r="M402" s="25">
        <f>IF(L402="","",HYPERLINK(IF(LEFT(L402,4)="http",L402,set_QwilrBase&amp;L402),"Open quote"))</f>
        <v/>
      </c>
      <c r="N402" s="26" t="n"/>
      <c r="O402" s="26" t="n"/>
      <c r="P402" s="26" t="n"/>
      <c r="Q402" s="25">
        <f>IF(C402="","",IF(N(N402)+N(O402)+N(P402)=0,"Not split",IF(ROUND(N(N402)+N(O402)+N(P402),2)=ROUND(H402,2),"OK","MISMATCH")))</f>
        <v/>
      </c>
      <c r="R402" s="26" t="n"/>
      <c r="S402" s="26" t="n"/>
      <c r="T402" s="26" t="n"/>
      <c r="U402" s="27">
        <f>IF(C402="","",N(R402)+N(S402)+N(T402))</f>
        <v/>
      </c>
      <c r="V402" s="27">
        <f>IF(C402="","",H402-U402)</f>
        <v/>
      </c>
      <c r="W402" s="29">
        <f>IFERROR(V402/H402,"")</f>
        <v/>
      </c>
      <c r="X402" s="24" t="n"/>
    </row>
    <row r="403" ht="15" customHeight="1">
      <c r="A403" s="68">
        <f>IF(C403="","",IFERROR(IF(SUMPRODUCT(MAX((tbl_Finance[Job Number]=C403&amp;"")*(tbl_Finance[Xero Invoice No]&lt;&gt;"")*tbl_Finance[Date]))=0,"",SUMPRODUCT(MAX((tbl_Finance[Job Number]=C403&amp;"")*(tbl_Finance[Xero Invoice No]&lt;&gt;"")*tbl_Finance[Date]))),""))</f>
        <v/>
      </c>
      <c r="B403" s="25">
        <f>IF(C403="","",IF(COUNTIFS(tbl_Finance[Job Number],C403&amp;"",tbl_Finance[Xero Invoice No],"&lt;&gt;")=0,"",IFERROR(IF(COUNTIFS(tbl_Finance[Job Number],C403&amp;"",tbl_Finance[Xero Invoice No],LOOKUP(2,1/((tbl_Finance[Job Number]=C403&amp;"")*(tbl_Finance[Xero Invoice No]&lt;&gt;"")),tbl_Finance[Xero Invoice No]))=COUNTIFS(tbl_Finance[Job Number],C403&amp;"",tbl_Finance[Xero Invoice No],"&lt;&gt;"),LOOKUP(2,1/((tbl_Finance[Job Number]=C403&amp;"")*(tbl_Finance[Xero Invoice No]&lt;&gt;"")),tbl_Finance[Xero Invoice No]),LOOKUP(2,1/((tbl_Finance[Job Number]=C403&amp;"")*(tbl_Finance[Xero Invoice No]&lt;&gt;"")),tbl_Finance[Xero Invoice No])&amp;" +more"),"")))</f>
        <v/>
      </c>
      <c r="C403" s="24" t="n"/>
      <c r="D403" s="25">
        <f>IF(C403="","",IF(COUNTIF(lst_Jobs,C403&amp;"")&gt;0,"OK","CHECK"))</f>
        <v/>
      </c>
      <c r="E403" s="25">
        <f>IF(C403="","",IFERROR(INDEX(lst_JobName,MATCH(C403&amp;"",lst_Jobs,0)),""))</f>
        <v/>
      </c>
      <c r="F403" s="25">
        <f>IF(C403="","",IFERROR(INDEX(tbl_Finance[Client],MATCH(C403&amp;"",tbl_Finance[Job Number],0)),""))</f>
        <v/>
      </c>
      <c r="G403" s="28">
        <f>IF(C403="","",COUNTIFS(tbl_Finance[Job Number],C403&amp;"",tbl_Finance[Ex GST],"&lt;&gt;"))</f>
        <v/>
      </c>
      <c r="H403" s="27">
        <f>IF(C403="","",SUMIFS(tbl_Finance[Ex GST],tbl_Finance[Job Number],C403&amp;""))</f>
        <v/>
      </c>
      <c r="I403" s="27">
        <f>IF(C403="","",SUMIFS(tbl_Finance[Ex GST],tbl_Finance[Job Number],C403&amp;"",tbl_Finance[Xero Invoice No],"&lt;&gt;"))</f>
        <v/>
      </c>
      <c r="J403" s="27">
        <f>IF(C403="","",H403-I403)</f>
        <v/>
      </c>
      <c r="K403" s="25">
        <f>IF(C403="","",IF(G403=0,"not invoiced yet",SUBSTITUTE(TRIM(IF(COUNTIFS(tbl_Finance[Job Number],C403&amp;"",tbl_Finance[Cost Centre],"ONSITE")&gt;0,"ONSITE ","")&amp;IF(COUNTIFS(tbl_Finance[Job Number],C403&amp;"",tbl_Finance[Cost Centre],"PRODUCTION")&gt;0,"PRODUCTION ","")&amp;IF(COUNTIFS(tbl_Finance[Job Number],C403&amp;"",tbl_Finance[Cost Centre],"VIDEO")&gt;0,"VIDEO ","")&amp;IF(COUNTIFS(tbl_Finance[Job Number],C403&amp;"",tbl_Finance[Cost Centre],"INTEGRATION")&gt;0,"INTEGRATION ","")&amp;IF(COUNTIFS(tbl_Finance[Job Number],C403&amp;"",tbl_Finance[Cost Centre],"CONSULTING")&gt;0,"CONSULTING ","")&amp;IF(COUNTIFS(tbl_Finance[Job Number],C403&amp;"",tbl_Finance[Cost Centre],"CTS")&gt;0,"CTS ",""))," ",", ")))</f>
        <v/>
      </c>
      <c r="L403" s="24" t="n"/>
      <c r="M403" s="25">
        <f>IF(L403="","",HYPERLINK(IF(LEFT(L403,4)="http",L403,set_QwilrBase&amp;L403),"Open quote"))</f>
        <v/>
      </c>
      <c r="N403" s="26" t="n"/>
      <c r="O403" s="26" t="n"/>
      <c r="P403" s="26" t="n"/>
      <c r="Q403" s="25">
        <f>IF(C403="","",IF(N(N403)+N(O403)+N(P403)=0,"Not split",IF(ROUND(N(N403)+N(O403)+N(P403),2)=ROUND(H403,2),"OK","MISMATCH")))</f>
        <v/>
      </c>
      <c r="R403" s="26" t="n"/>
      <c r="S403" s="26" t="n"/>
      <c r="T403" s="26" t="n"/>
      <c r="U403" s="27">
        <f>IF(C403="","",N(R403)+N(S403)+N(T403))</f>
        <v/>
      </c>
      <c r="V403" s="27">
        <f>IF(C403="","",H403-U403)</f>
        <v/>
      </c>
      <c r="W403" s="29">
        <f>IFERROR(V403/H403,"")</f>
        <v/>
      </c>
      <c r="X403" s="24" t="n"/>
    </row>
    <row r="404" ht="15" customHeight="1">
      <c r="A404" s="68">
        <f>IF(C404="","",IFERROR(IF(SUMPRODUCT(MAX((tbl_Finance[Job Number]=C404&amp;"")*(tbl_Finance[Xero Invoice No]&lt;&gt;"")*tbl_Finance[Date]))=0,"",SUMPRODUCT(MAX((tbl_Finance[Job Number]=C404&amp;"")*(tbl_Finance[Xero Invoice No]&lt;&gt;"")*tbl_Finance[Date]))),""))</f>
        <v/>
      </c>
      <c r="B404" s="25">
        <f>IF(C404="","",IF(COUNTIFS(tbl_Finance[Job Number],C404&amp;"",tbl_Finance[Xero Invoice No],"&lt;&gt;")=0,"",IFERROR(IF(COUNTIFS(tbl_Finance[Job Number],C404&amp;"",tbl_Finance[Xero Invoice No],LOOKUP(2,1/((tbl_Finance[Job Number]=C404&amp;"")*(tbl_Finance[Xero Invoice No]&lt;&gt;"")),tbl_Finance[Xero Invoice No]))=COUNTIFS(tbl_Finance[Job Number],C404&amp;"",tbl_Finance[Xero Invoice No],"&lt;&gt;"),LOOKUP(2,1/((tbl_Finance[Job Number]=C404&amp;"")*(tbl_Finance[Xero Invoice No]&lt;&gt;"")),tbl_Finance[Xero Invoice No]),LOOKUP(2,1/((tbl_Finance[Job Number]=C404&amp;"")*(tbl_Finance[Xero Invoice No]&lt;&gt;"")),tbl_Finance[Xero Invoice No])&amp;" +more"),"")))</f>
        <v/>
      </c>
      <c r="C404" s="24" t="n"/>
      <c r="D404" s="25">
        <f>IF(C404="","",IF(COUNTIF(lst_Jobs,C404&amp;"")&gt;0,"OK","CHECK"))</f>
        <v/>
      </c>
      <c r="E404" s="25">
        <f>IF(C404="","",IFERROR(INDEX(lst_JobName,MATCH(C404&amp;"",lst_Jobs,0)),""))</f>
        <v/>
      </c>
      <c r="F404" s="25">
        <f>IF(C404="","",IFERROR(INDEX(tbl_Finance[Client],MATCH(C404&amp;"",tbl_Finance[Job Number],0)),""))</f>
        <v/>
      </c>
      <c r="G404" s="28">
        <f>IF(C404="","",COUNTIFS(tbl_Finance[Job Number],C404&amp;"",tbl_Finance[Ex GST],"&lt;&gt;"))</f>
        <v/>
      </c>
      <c r="H404" s="27">
        <f>IF(C404="","",SUMIFS(tbl_Finance[Ex GST],tbl_Finance[Job Number],C404&amp;""))</f>
        <v/>
      </c>
      <c r="I404" s="27">
        <f>IF(C404="","",SUMIFS(tbl_Finance[Ex GST],tbl_Finance[Job Number],C404&amp;"",tbl_Finance[Xero Invoice No],"&lt;&gt;"))</f>
        <v/>
      </c>
      <c r="J404" s="27">
        <f>IF(C404="","",H404-I404)</f>
        <v/>
      </c>
      <c r="K404" s="25">
        <f>IF(C404="","",IF(G404=0,"not invoiced yet",SUBSTITUTE(TRIM(IF(COUNTIFS(tbl_Finance[Job Number],C404&amp;"",tbl_Finance[Cost Centre],"ONSITE")&gt;0,"ONSITE ","")&amp;IF(COUNTIFS(tbl_Finance[Job Number],C404&amp;"",tbl_Finance[Cost Centre],"PRODUCTION")&gt;0,"PRODUCTION ","")&amp;IF(COUNTIFS(tbl_Finance[Job Number],C404&amp;"",tbl_Finance[Cost Centre],"VIDEO")&gt;0,"VIDEO ","")&amp;IF(COUNTIFS(tbl_Finance[Job Number],C404&amp;"",tbl_Finance[Cost Centre],"INTEGRATION")&gt;0,"INTEGRATION ","")&amp;IF(COUNTIFS(tbl_Finance[Job Number],C404&amp;"",tbl_Finance[Cost Centre],"CONSULTING")&gt;0,"CONSULTING ","")&amp;IF(COUNTIFS(tbl_Finance[Job Number],C404&amp;"",tbl_Finance[Cost Centre],"CTS")&gt;0,"CTS ",""))," ",", ")))</f>
        <v/>
      </c>
      <c r="L404" s="24" t="n"/>
      <c r="M404" s="25">
        <f>IF(L404="","",HYPERLINK(IF(LEFT(L404,4)="http",L404,set_QwilrBase&amp;L404),"Open quote"))</f>
        <v/>
      </c>
      <c r="N404" s="26" t="n"/>
      <c r="O404" s="26" t="n"/>
      <c r="P404" s="26" t="n"/>
      <c r="Q404" s="25">
        <f>IF(C404="","",IF(N(N404)+N(O404)+N(P404)=0,"Not split",IF(ROUND(N(N404)+N(O404)+N(P404),2)=ROUND(H404,2),"OK","MISMATCH")))</f>
        <v/>
      </c>
      <c r="R404" s="26" t="n"/>
      <c r="S404" s="26" t="n"/>
      <c r="T404" s="26" t="n"/>
      <c r="U404" s="27">
        <f>IF(C404="","",N(R404)+N(S404)+N(T404))</f>
        <v/>
      </c>
      <c r="V404" s="27">
        <f>IF(C404="","",H404-U404)</f>
        <v/>
      </c>
      <c r="W404" s="29">
        <f>IFERROR(V404/H404,"")</f>
        <v/>
      </c>
      <c r="X404" s="24" t="n"/>
    </row>
  </sheetData>
  <sheetProtection selectLockedCells="0" selectUnlockedCells="0" sheet="1" objects="0" insertRows="0" insertHyperlinks="1" autoFilter="0" scenarios="0" formatColumns="0" deleteColumns="1" insertColumns="1" pivotTables="1" deleteRows="1" formatCells="0" formatRows="0" sort="0" password="DE92"/>
  <mergeCells count="1">
    <mergeCell ref="A3:K3"/>
  </mergeCells>
  <conditionalFormatting sqref="D5:D5000">
    <cfRule type="expression" priority="1" dxfId="0" stopIfTrue="0">
      <formula>D5="CHECK"</formula>
    </cfRule>
  </conditionalFormatting>
  <conditionalFormatting sqref="Q5:Q5000">
    <cfRule type="expression" priority="2" dxfId="1" stopIfTrue="0">
      <formula>Q5="MISMATCH"</formula>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8B6A2B"/>
    <outlinePr summaryBelow="1" summaryRight="1"/>
    <pageSetUpPr/>
  </sheetPr>
  <dimension ref="A1:V204"/>
  <sheetViews>
    <sheetView showGridLines="0" tabSelected="0" zoomScale="9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15" customWidth="1" min="4" max="4"/>
    <col width="12" customWidth="1" min="5" max="5"/>
    <col width="26" customWidth="1" min="6" max="6"/>
    <col width="14" customWidth="1" min="7" max="7"/>
    <col width="50" customWidth="1" min="8" max="8"/>
    <col width="30" customWidth="1" min="9" max="9"/>
    <col width="15" customWidth="1" min="10" max="10"/>
    <col width="12" customWidth="1" min="11" max="11"/>
    <col width="12" customWidth="1" min="12" max="12"/>
    <col width="30" customWidth="1" min="13" max="13"/>
    <col width="15" customWidth="1" min="14" max="14"/>
    <col width="30" customWidth="1" min="15" max="15"/>
    <col width="30" customWidth="1" min="16" max="16"/>
    <col width="30" customWidth="1" min="17" max="17"/>
    <col width="14" customWidth="1" min="18" max="18"/>
    <col width="52" customWidth="1" min="19" max="19"/>
    <col width="14" customWidth="1" min="20" max="20"/>
    <col width="14" customWidth="1" min="21" max="21"/>
    <col width="40" customWidth="1" min="22" max="22"/>
  </cols>
  <sheetData>
    <row r="1" ht="24" customHeight="1">
      <c r="A1" s="18" t="inlineStr">
        <is>
          <t>WIP Movements</t>
        </is>
      </c>
    </row>
    <row r="2" ht="16" customHeight="1">
      <c r="A2" s="2" t="inlineStr">
        <is>
          <t>Every journal that moves revenue between the P&amp;L and GL 11300 Work in Progress. SIGN RULE: + = the P&amp;L gives up the amount this month and the 11300 balance goes up. - = the other way round. Set Revenue or Cost on every row - 11300 nets both and only this column tells them apart. Put a Defer Start and End on it and it spreads by month.</t>
        </is>
      </c>
    </row>
    <row r="3" ht="22" customHeight="1">
      <c r="A3" s="19">
        <f>"Amount  "&amp;TEXT(SUBTOTAL(109,tbl_WIP[Amount]),"$#,##0.00")</f>
        <v/>
      </c>
    </row>
    <row r="4" ht="34" customHeight="1">
      <c r="A4" s="20" t="inlineStr">
        <is>
          <t>Month</t>
        </is>
      </c>
      <c r="B4" s="21" t="inlineStr">
        <is>
          <t>Invoice Date</t>
        </is>
      </c>
      <c r="C4" s="20" t="inlineStr">
        <is>
          <t>Xero Invoice No</t>
        </is>
      </c>
      <c r="D4" s="20" t="inlineStr">
        <is>
          <t>Job Number</t>
        </is>
      </c>
      <c r="E4" s="21" t="inlineStr">
        <is>
          <t>Job in Xero?</t>
        </is>
      </c>
      <c r="F4" s="20" t="inlineStr">
        <is>
          <t>Client</t>
        </is>
      </c>
      <c r="G4" s="20" t="inlineStr">
        <is>
          <t>Cost Centre</t>
        </is>
      </c>
      <c r="H4" s="20" t="inlineStr">
        <is>
          <t>Description</t>
        </is>
      </c>
      <c r="I4" s="20" t="inlineStr">
        <is>
          <t>Type</t>
        </is>
      </c>
      <c r="J4" s="20" t="inlineStr">
        <is>
          <t>Revenue or Cost</t>
        </is>
      </c>
      <c r="K4" s="20" t="inlineStr">
        <is>
          <t>Defer Start</t>
        </is>
      </c>
      <c r="L4" s="20" t="inlineStr">
        <is>
          <t>Defer End</t>
        </is>
      </c>
      <c r="M4" s="21" t="inlineStr">
        <is>
          <t>Spread</t>
        </is>
      </c>
      <c r="N4" s="20" t="inlineStr">
        <is>
          <t>Amount</t>
        </is>
      </c>
      <c r="O4" s="20" t="inlineStr">
        <is>
          <t>P&amp;L Account</t>
        </is>
      </c>
      <c r="P4" s="21" t="inlineStr">
        <is>
          <t>Debit Account</t>
        </is>
      </c>
      <c r="Q4" s="21" t="inlineStr">
        <is>
          <t>Credit Account</t>
        </is>
      </c>
      <c r="R4" s="21" t="inlineStr">
        <is>
          <t>Journal Amount</t>
        </is>
      </c>
      <c r="S4" s="21" t="inlineStr">
        <is>
          <t>Journal Narration</t>
        </is>
      </c>
      <c r="T4" s="20" t="inlineStr">
        <is>
          <t>Journal Ref</t>
        </is>
      </c>
      <c r="U4" s="20" t="inlineStr">
        <is>
          <t>Posted to Xero</t>
        </is>
      </c>
      <c r="V4" s="20" t="inlineStr">
        <is>
          <t>Notes</t>
        </is>
      </c>
    </row>
    <row r="5" ht="15" customHeight="1">
      <c r="A5" s="70" t="n"/>
      <c r="B5" s="68">
        <f>IF(C5="","",IFERROR(INDEX(tbl_Finance[Date],MATCH(C5&amp;"",tbl_Finance[Xero Invoice No],0)),""))</f>
        <v/>
      </c>
      <c r="C5" s="24" t="n"/>
      <c r="D5" s="24" t="n"/>
      <c r="E5" s="25">
        <f>IF(D5="","",IF(COUNTIF(lst_Jobs,D5&amp;"")&gt;0,"OK","CHECK"))</f>
        <v/>
      </c>
      <c r="F5" s="24" t="n"/>
      <c r="G5" s="24" t="n"/>
      <c r="H5" s="24" t="n"/>
      <c r="I5" s="24" t="n"/>
      <c r="J5" s="24" t="n"/>
      <c r="K5" s="22" t="n"/>
      <c r="L5" s="22" t="n"/>
      <c r="M5" s="25">
        <f>IF(N5="","",IF(OR(K5="",L5=""),"one month",TEXT(MAX(1,(YEAR(L5)-YEAR(K5))*12+MONTH(L5)-MONTH(K5)+1),"0")&amp;" months - see Deferred Revenue"))</f>
        <v/>
      </c>
      <c r="N5" s="26" t="n"/>
      <c r="O5" s="24" t="n"/>
      <c r="P5" s="25">
        <f>IF(N(N5)=0,"",IF(N5&gt;0,set_WIPAsset,IF(J5="Cost",IF(O5="","(set the P&amp;L Account)",O5),IF(O5="",set_WIPIncome,O5))))</f>
        <v/>
      </c>
      <c r="Q5" s="25">
        <f>IF(N(N5)=0,"",IF(N5&gt;0,IF(J5="Cost",IF(O5="","(set the P&amp;L Account)",O5),IF(O5="",set_WIPIncome,O5)),set_WIPAsset))</f>
        <v/>
      </c>
      <c r="R5" s="27">
        <f>IF(OR(N(N5)=0,K5&lt;&gt;""),"",ABS(N5))</f>
        <v/>
      </c>
      <c r="S5" s="25">
        <f>IF(N(N5)=0,"",IF(K5&lt;&gt;"","spreads monthly - see Deferred Revenue","WIP "&amp;I5&amp;IF(D5="",""," - "&amp;D5)&amp;IF(F5="",""," "&amp;F5)&amp;IF(H5="",""," - "&amp;H5)))</f>
        <v/>
      </c>
      <c r="T5" s="24" t="n"/>
      <c r="U5" s="24" t="n"/>
      <c r="V5" s="24" t="n"/>
    </row>
    <row r="6" ht="15" customHeight="1">
      <c r="A6" s="70" t="n"/>
      <c r="B6" s="68">
        <f>IF(C6="","",IFERROR(INDEX(tbl_Finance[Date],MATCH(C6&amp;"",tbl_Finance[Xero Invoice No],0)),""))</f>
        <v/>
      </c>
      <c r="C6" s="24" t="n"/>
      <c r="D6" s="24" t="n"/>
      <c r="E6" s="25">
        <f>IF(D6="","",IF(COUNTIF(lst_Jobs,D6&amp;"")&gt;0,"OK","CHECK"))</f>
        <v/>
      </c>
      <c r="F6" s="24" t="n"/>
      <c r="G6" s="24" t="n"/>
      <c r="H6" s="24" t="n"/>
      <c r="I6" s="24" t="n"/>
      <c r="J6" s="24" t="n"/>
      <c r="K6" s="22" t="n"/>
      <c r="L6" s="22" t="n"/>
      <c r="M6" s="25">
        <f>IF(N6="","",IF(OR(K6="",L6=""),"one month",TEXT(MAX(1,(YEAR(L6)-YEAR(K6))*12+MONTH(L6)-MONTH(K6)+1),"0")&amp;" months - see Deferred Revenue"))</f>
        <v/>
      </c>
      <c r="N6" s="26" t="n"/>
      <c r="O6" s="24" t="n"/>
      <c r="P6" s="25">
        <f>IF(N(N6)=0,"",IF(N6&gt;0,set_WIPAsset,IF(J6="Cost",IF(O6="","(set the P&amp;L Account)",O6),IF(O6="",set_WIPIncome,O6))))</f>
        <v/>
      </c>
      <c r="Q6" s="25">
        <f>IF(N(N6)=0,"",IF(N6&gt;0,IF(J6="Cost",IF(O6="","(set the P&amp;L Account)",O6),IF(O6="",set_WIPIncome,O6)),set_WIPAsset))</f>
        <v/>
      </c>
      <c r="R6" s="27">
        <f>IF(OR(N(N6)=0,K6&lt;&gt;""),"",ABS(N6))</f>
        <v/>
      </c>
      <c r="S6" s="25">
        <f>IF(N(N6)=0,"",IF(K6&lt;&gt;"","spreads monthly - see Deferred Revenue","WIP "&amp;I6&amp;IF(D6="",""," - "&amp;D6)&amp;IF(F6="",""," "&amp;F6)&amp;IF(H6="",""," - "&amp;H6)))</f>
        <v/>
      </c>
      <c r="T6" s="24" t="n"/>
      <c r="U6" s="24" t="n"/>
      <c r="V6" s="24" t="n"/>
    </row>
    <row r="7" ht="15" customHeight="1">
      <c r="A7" s="70" t="n"/>
      <c r="B7" s="68">
        <f>IF(C7="","",IFERROR(INDEX(tbl_Finance[Date],MATCH(C7&amp;"",tbl_Finance[Xero Invoice No],0)),""))</f>
        <v/>
      </c>
      <c r="C7" s="24" t="n"/>
      <c r="D7" s="24" t="n"/>
      <c r="E7" s="25">
        <f>IF(D7="","",IF(COUNTIF(lst_Jobs,D7&amp;"")&gt;0,"OK","CHECK"))</f>
        <v/>
      </c>
      <c r="F7" s="24" t="n"/>
      <c r="G7" s="24" t="n"/>
      <c r="H7" s="24" t="n"/>
      <c r="I7" s="24" t="n"/>
      <c r="J7" s="24" t="n"/>
      <c r="K7" s="22" t="n"/>
      <c r="L7" s="22" t="n"/>
      <c r="M7" s="25">
        <f>IF(N7="","",IF(OR(K7="",L7=""),"one month",TEXT(MAX(1,(YEAR(L7)-YEAR(K7))*12+MONTH(L7)-MONTH(K7)+1),"0")&amp;" months - see Deferred Revenue"))</f>
        <v/>
      </c>
      <c r="N7" s="26" t="n"/>
      <c r="O7" s="24" t="n"/>
      <c r="P7" s="25">
        <f>IF(N(N7)=0,"",IF(N7&gt;0,set_WIPAsset,IF(J7="Cost",IF(O7="","(set the P&amp;L Account)",O7),IF(O7="",set_WIPIncome,O7))))</f>
        <v/>
      </c>
      <c r="Q7" s="25">
        <f>IF(N(N7)=0,"",IF(N7&gt;0,IF(J7="Cost",IF(O7="","(set the P&amp;L Account)",O7),IF(O7="",set_WIPIncome,O7)),set_WIPAsset))</f>
        <v/>
      </c>
      <c r="R7" s="27">
        <f>IF(OR(N(N7)=0,K7&lt;&gt;""),"",ABS(N7))</f>
        <v/>
      </c>
      <c r="S7" s="25">
        <f>IF(N(N7)=0,"",IF(K7&lt;&gt;"","spreads monthly - see Deferred Revenue","WIP "&amp;I7&amp;IF(D7="",""," - "&amp;D7)&amp;IF(F7="",""," "&amp;F7)&amp;IF(H7="",""," - "&amp;H7)))</f>
        <v/>
      </c>
      <c r="T7" s="24" t="n"/>
      <c r="U7" s="24" t="n"/>
      <c r="V7" s="24" t="n"/>
    </row>
    <row r="8" ht="15" customHeight="1">
      <c r="A8" s="70" t="n"/>
      <c r="B8" s="68">
        <f>IF(C8="","",IFERROR(INDEX(tbl_Finance[Date],MATCH(C8&amp;"",tbl_Finance[Xero Invoice No],0)),""))</f>
        <v/>
      </c>
      <c r="C8" s="24" t="n"/>
      <c r="D8" s="24" t="n"/>
      <c r="E8" s="25">
        <f>IF(D8="","",IF(COUNTIF(lst_Jobs,D8&amp;"")&gt;0,"OK","CHECK"))</f>
        <v/>
      </c>
      <c r="F8" s="24" t="n"/>
      <c r="G8" s="24" t="n"/>
      <c r="H8" s="24" t="n"/>
      <c r="I8" s="24" t="n"/>
      <c r="J8" s="24" t="n"/>
      <c r="K8" s="22" t="n"/>
      <c r="L8" s="22" t="n"/>
      <c r="M8" s="25">
        <f>IF(N8="","",IF(OR(K8="",L8=""),"one month",TEXT(MAX(1,(YEAR(L8)-YEAR(K8))*12+MONTH(L8)-MONTH(K8)+1),"0")&amp;" months - see Deferred Revenue"))</f>
        <v/>
      </c>
      <c r="N8" s="26" t="n"/>
      <c r="O8" s="24" t="n"/>
      <c r="P8" s="25">
        <f>IF(N(N8)=0,"",IF(N8&gt;0,set_WIPAsset,IF(J8="Cost",IF(O8="","(set the P&amp;L Account)",O8),IF(O8="",set_WIPIncome,O8))))</f>
        <v/>
      </c>
      <c r="Q8" s="25">
        <f>IF(N(N8)=0,"",IF(N8&gt;0,IF(J8="Cost",IF(O8="","(set the P&amp;L Account)",O8),IF(O8="",set_WIPIncome,O8)),set_WIPAsset))</f>
        <v/>
      </c>
      <c r="R8" s="27">
        <f>IF(OR(N(N8)=0,K8&lt;&gt;""),"",ABS(N8))</f>
        <v/>
      </c>
      <c r="S8" s="25">
        <f>IF(N(N8)=0,"",IF(K8&lt;&gt;"","spreads monthly - see Deferred Revenue","WIP "&amp;I8&amp;IF(D8="",""," - "&amp;D8)&amp;IF(F8="",""," "&amp;F8)&amp;IF(H8="",""," - "&amp;H8)))</f>
        <v/>
      </c>
      <c r="T8" s="24" t="n"/>
      <c r="U8" s="24" t="n"/>
      <c r="V8" s="24" t="n"/>
    </row>
    <row r="9" ht="15" customHeight="1">
      <c r="A9" s="70" t="n"/>
      <c r="B9" s="68">
        <f>IF(C9="","",IFERROR(INDEX(tbl_Finance[Date],MATCH(C9&amp;"",tbl_Finance[Xero Invoice No],0)),""))</f>
        <v/>
      </c>
      <c r="C9" s="24" t="n"/>
      <c r="D9" s="24" t="n"/>
      <c r="E9" s="25">
        <f>IF(D9="","",IF(COUNTIF(lst_Jobs,D9&amp;"")&gt;0,"OK","CHECK"))</f>
        <v/>
      </c>
      <c r="F9" s="24" t="n"/>
      <c r="G9" s="24" t="n"/>
      <c r="H9" s="24" t="n"/>
      <c r="I9" s="24" t="n"/>
      <c r="J9" s="24" t="n"/>
      <c r="K9" s="22" t="n"/>
      <c r="L9" s="22" t="n"/>
      <c r="M9" s="25">
        <f>IF(N9="","",IF(OR(K9="",L9=""),"one month",TEXT(MAX(1,(YEAR(L9)-YEAR(K9))*12+MONTH(L9)-MONTH(K9)+1),"0")&amp;" months - see Deferred Revenue"))</f>
        <v/>
      </c>
      <c r="N9" s="26" t="n"/>
      <c r="O9" s="24" t="n"/>
      <c r="P9" s="25">
        <f>IF(N(N9)=0,"",IF(N9&gt;0,set_WIPAsset,IF(J9="Cost",IF(O9="","(set the P&amp;L Account)",O9),IF(O9="",set_WIPIncome,O9))))</f>
        <v/>
      </c>
      <c r="Q9" s="25">
        <f>IF(N(N9)=0,"",IF(N9&gt;0,IF(J9="Cost",IF(O9="","(set the P&amp;L Account)",O9),IF(O9="",set_WIPIncome,O9)),set_WIPAsset))</f>
        <v/>
      </c>
      <c r="R9" s="27">
        <f>IF(OR(N(N9)=0,K9&lt;&gt;""),"",ABS(N9))</f>
        <v/>
      </c>
      <c r="S9" s="25">
        <f>IF(N(N9)=0,"",IF(K9&lt;&gt;"","spreads monthly - see Deferred Revenue","WIP "&amp;I9&amp;IF(D9="",""," - "&amp;D9)&amp;IF(F9="",""," "&amp;F9)&amp;IF(H9="",""," - "&amp;H9)))</f>
        <v/>
      </c>
      <c r="T9" s="24" t="n"/>
      <c r="U9" s="24" t="n"/>
      <c r="V9" s="24" t="n"/>
    </row>
    <row r="10" ht="15" customHeight="1">
      <c r="A10" s="70" t="n"/>
      <c r="B10" s="68">
        <f>IF(C10="","",IFERROR(INDEX(tbl_Finance[Date],MATCH(C10&amp;"",tbl_Finance[Xero Invoice No],0)),""))</f>
        <v/>
      </c>
      <c r="C10" s="24" t="n"/>
      <c r="D10" s="24" t="n"/>
      <c r="E10" s="25">
        <f>IF(D10="","",IF(COUNTIF(lst_Jobs,D10&amp;"")&gt;0,"OK","CHECK"))</f>
        <v/>
      </c>
      <c r="F10" s="24" t="n"/>
      <c r="G10" s="24" t="n"/>
      <c r="H10" s="24" t="n"/>
      <c r="I10" s="24" t="n"/>
      <c r="J10" s="24" t="n"/>
      <c r="K10" s="22" t="n"/>
      <c r="L10" s="22" t="n"/>
      <c r="M10" s="25">
        <f>IF(N10="","",IF(OR(K10="",L10=""),"one month",TEXT(MAX(1,(YEAR(L10)-YEAR(K10))*12+MONTH(L10)-MONTH(K10)+1),"0")&amp;" months - see Deferred Revenue"))</f>
        <v/>
      </c>
      <c r="N10" s="26" t="n"/>
      <c r="O10" s="24" t="n"/>
      <c r="P10" s="25">
        <f>IF(N(N10)=0,"",IF(N10&gt;0,set_WIPAsset,IF(J10="Cost",IF(O10="","(set the P&amp;L Account)",O10),IF(O10="",set_WIPIncome,O10))))</f>
        <v/>
      </c>
      <c r="Q10" s="25">
        <f>IF(N(N10)=0,"",IF(N10&gt;0,IF(J10="Cost",IF(O10="","(set the P&amp;L Account)",O10),IF(O10="",set_WIPIncome,O10)),set_WIPAsset))</f>
        <v/>
      </c>
      <c r="R10" s="27">
        <f>IF(OR(N(N10)=0,K10&lt;&gt;""),"",ABS(N10))</f>
        <v/>
      </c>
      <c r="S10" s="25">
        <f>IF(N(N10)=0,"",IF(K10&lt;&gt;"","spreads monthly - see Deferred Revenue","WIP "&amp;I10&amp;IF(D10="",""," - "&amp;D10)&amp;IF(F10="",""," "&amp;F10)&amp;IF(H10="",""," - "&amp;H10)))</f>
        <v/>
      </c>
      <c r="T10" s="24" t="n"/>
      <c r="U10" s="24" t="n"/>
      <c r="V10" s="24" t="n"/>
    </row>
    <row r="11" ht="15" customHeight="1">
      <c r="A11" s="70" t="n"/>
      <c r="B11" s="68">
        <f>IF(C11="","",IFERROR(INDEX(tbl_Finance[Date],MATCH(C11&amp;"",tbl_Finance[Xero Invoice No],0)),""))</f>
        <v/>
      </c>
      <c r="C11" s="24" t="n"/>
      <c r="D11" s="24" t="n"/>
      <c r="E11" s="25">
        <f>IF(D11="","",IF(COUNTIF(lst_Jobs,D11&amp;"")&gt;0,"OK","CHECK"))</f>
        <v/>
      </c>
      <c r="F11" s="24" t="n"/>
      <c r="G11" s="24" t="n"/>
      <c r="H11" s="24" t="n"/>
      <c r="I11" s="24" t="n"/>
      <c r="J11" s="24" t="n"/>
      <c r="K11" s="22" t="n"/>
      <c r="L11" s="22" t="n"/>
      <c r="M11" s="25">
        <f>IF(N11="","",IF(OR(K11="",L11=""),"one month",TEXT(MAX(1,(YEAR(L11)-YEAR(K11))*12+MONTH(L11)-MONTH(K11)+1),"0")&amp;" months - see Deferred Revenue"))</f>
        <v/>
      </c>
      <c r="N11" s="26" t="n"/>
      <c r="O11" s="24" t="n"/>
      <c r="P11" s="25">
        <f>IF(N(N11)=0,"",IF(N11&gt;0,set_WIPAsset,IF(J11="Cost",IF(O11="","(set the P&amp;L Account)",O11),IF(O11="",set_WIPIncome,O11))))</f>
        <v/>
      </c>
      <c r="Q11" s="25">
        <f>IF(N(N11)=0,"",IF(N11&gt;0,IF(J11="Cost",IF(O11="","(set the P&amp;L Account)",O11),IF(O11="",set_WIPIncome,O11)),set_WIPAsset))</f>
        <v/>
      </c>
      <c r="R11" s="27">
        <f>IF(OR(N(N11)=0,K11&lt;&gt;""),"",ABS(N11))</f>
        <v/>
      </c>
      <c r="S11" s="25">
        <f>IF(N(N11)=0,"",IF(K11&lt;&gt;"","spreads monthly - see Deferred Revenue","WIP "&amp;I11&amp;IF(D11="",""," - "&amp;D11)&amp;IF(F11="",""," "&amp;F11)&amp;IF(H11="",""," - "&amp;H11)))</f>
        <v/>
      </c>
      <c r="T11" s="24" t="n"/>
      <c r="U11" s="24" t="n"/>
      <c r="V11" s="24" t="n"/>
    </row>
    <row r="12" ht="15" customHeight="1">
      <c r="A12" s="70" t="n"/>
      <c r="B12" s="68">
        <f>IF(C12="","",IFERROR(INDEX(tbl_Finance[Date],MATCH(C12&amp;"",tbl_Finance[Xero Invoice No],0)),""))</f>
        <v/>
      </c>
      <c r="C12" s="24" t="n"/>
      <c r="D12" s="24" t="n"/>
      <c r="E12" s="25">
        <f>IF(D12="","",IF(COUNTIF(lst_Jobs,D12&amp;"")&gt;0,"OK","CHECK"))</f>
        <v/>
      </c>
      <c r="F12" s="24" t="n"/>
      <c r="G12" s="24" t="n"/>
      <c r="H12" s="24" t="n"/>
      <c r="I12" s="24" t="n"/>
      <c r="J12" s="24" t="n"/>
      <c r="K12" s="22" t="n"/>
      <c r="L12" s="22" t="n"/>
      <c r="M12" s="25">
        <f>IF(N12="","",IF(OR(K12="",L12=""),"one month",TEXT(MAX(1,(YEAR(L12)-YEAR(K12))*12+MONTH(L12)-MONTH(K12)+1),"0")&amp;" months - see Deferred Revenue"))</f>
        <v/>
      </c>
      <c r="N12" s="26" t="n"/>
      <c r="O12" s="24" t="n"/>
      <c r="P12" s="25">
        <f>IF(N(N12)=0,"",IF(N12&gt;0,set_WIPAsset,IF(J12="Cost",IF(O12="","(set the P&amp;L Account)",O12),IF(O12="",set_WIPIncome,O12))))</f>
        <v/>
      </c>
      <c r="Q12" s="25">
        <f>IF(N(N12)=0,"",IF(N12&gt;0,IF(J12="Cost",IF(O12="","(set the P&amp;L Account)",O12),IF(O12="",set_WIPIncome,O12)),set_WIPAsset))</f>
        <v/>
      </c>
      <c r="R12" s="27">
        <f>IF(OR(N(N12)=0,K12&lt;&gt;""),"",ABS(N12))</f>
        <v/>
      </c>
      <c r="S12" s="25">
        <f>IF(N(N12)=0,"",IF(K12&lt;&gt;"","spreads monthly - see Deferred Revenue","WIP "&amp;I12&amp;IF(D12="",""," - "&amp;D12)&amp;IF(F12="",""," "&amp;F12)&amp;IF(H12="",""," - "&amp;H12)))</f>
        <v/>
      </c>
      <c r="T12" s="24" t="n"/>
      <c r="U12" s="24" t="n"/>
      <c r="V12" s="24" t="n"/>
    </row>
    <row r="13" ht="15" customHeight="1">
      <c r="A13" s="70" t="n"/>
      <c r="B13" s="68">
        <f>IF(C13="","",IFERROR(INDEX(tbl_Finance[Date],MATCH(C13&amp;"",tbl_Finance[Xero Invoice No],0)),""))</f>
        <v/>
      </c>
      <c r="C13" s="24" t="n"/>
      <c r="D13" s="24" t="n"/>
      <c r="E13" s="25">
        <f>IF(D13="","",IF(COUNTIF(lst_Jobs,D13&amp;"")&gt;0,"OK","CHECK"))</f>
        <v/>
      </c>
      <c r="F13" s="24" t="n"/>
      <c r="G13" s="24" t="n"/>
      <c r="H13" s="24" t="n"/>
      <c r="I13" s="24" t="n"/>
      <c r="J13" s="24" t="n"/>
      <c r="K13" s="22" t="n"/>
      <c r="L13" s="22" t="n"/>
      <c r="M13" s="25">
        <f>IF(N13="","",IF(OR(K13="",L13=""),"one month",TEXT(MAX(1,(YEAR(L13)-YEAR(K13))*12+MONTH(L13)-MONTH(K13)+1),"0")&amp;" months - see Deferred Revenue"))</f>
        <v/>
      </c>
      <c r="N13" s="26" t="n"/>
      <c r="O13" s="24" t="n"/>
      <c r="P13" s="25">
        <f>IF(N(N13)=0,"",IF(N13&gt;0,set_WIPAsset,IF(J13="Cost",IF(O13="","(set the P&amp;L Account)",O13),IF(O13="",set_WIPIncome,O13))))</f>
        <v/>
      </c>
      <c r="Q13" s="25">
        <f>IF(N(N13)=0,"",IF(N13&gt;0,IF(J13="Cost",IF(O13="","(set the P&amp;L Account)",O13),IF(O13="",set_WIPIncome,O13)),set_WIPAsset))</f>
        <v/>
      </c>
      <c r="R13" s="27">
        <f>IF(OR(N(N13)=0,K13&lt;&gt;""),"",ABS(N13))</f>
        <v/>
      </c>
      <c r="S13" s="25">
        <f>IF(N(N13)=0,"",IF(K13&lt;&gt;"","spreads monthly - see Deferred Revenue","WIP "&amp;I13&amp;IF(D13="",""," - "&amp;D13)&amp;IF(F13="",""," "&amp;F13)&amp;IF(H13="",""," - "&amp;H13)))</f>
        <v/>
      </c>
      <c r="T13" s="24" t="n"/>
      <c r="U13" s="24" t="n"/>
      <c r="V13" s="24" t="n"/>
    </row>
    <row r="14" ht="15" customHeight="1">
      <c r="A14" s="70" t="n"/>
      <c r="B14" s="68">
        <f>IF(C14="","",IFERROR(INDEX(tbl_Finance[Date],MATCH(C14&amp;"",tbl_Finance[Xero Invoice No],0)),""))</f>
        <v/>
      </c>
      <c r="C14" s="24" t="n"/>
      <c r="D14" s="24" t="n"/>
      <c r="E14" s="25">
        <f>IF(D14="","",IF(COUNTIF(lst_Jobs,D14&amp;"")&gt;0,"OK","CHECK"))</f>
        <v/>
      </c>
      <c r="F14" s="24" t="n"/>
      <c r="G14" s="24" t="n"/>
      <c r="H14" s="24" t="n"/>
      <c r="I14" s="24" t="n"/>
      <c r="J14" s="24" t="n"/>
      <c r="K14" s="22" t="n"/>
      <c r="L14" s="22" t="n"/>
      <c r="M14" s="25">
        <f>IF(N14="","",IF(OR(K14="",L14=""),"one month",TEXT(MAX(1,(YEAR(L14)-YEAR(K14))*12+MONTH(L14)-MONTH(K14)+1),"0")&amp;" months - see Deferred Revenue"))</f>
        <v/>
      </c>
      <c r="N14" s="26" t="n"/>
      <c r="O14" s="24" t="n"/>
      <c r="P14" s="25">
        <f>IF(N(N14)=0,"",IF(N14&gt;0,set_WIPAsset,IF(J14="Cost",IF(O14="","(set the P&amp;L Account)",O14),IF(O14="",set_WIPIncome,O14))))</f>
        <v/>
      </c>
      <c r="Q14" s="25">
        <f>IF(N(N14)=0,"",IF(N14&gt;0,IF(J14="Cost",IF(O14="","(set the P&amp;L Account)",O14),IF(O14="",set_WIPIncome,O14)),set_WIPAsset))</f>
        <v/>
      </c>
      <c r="R14" s="27">
        <f>IF(OR(N(N14)=0,K14&lt;&gt;""),"",ABS(N14))</f>
        <v/>
      </c>
      <c r="S14" s="25">
        <f>IF(N(N14)=0,"",IF(K14&lt;&gt;"","spreads monthly - see Deferred Revenue","WIP "&amp;I14&amp;IF(D14="",""," - "&amp;D14)&amp;IF(F14="",""," "&amp;F14)&amp;IF(H14="",""," - "&amp;H14)))</f>
        <v/>
      </c>
      <c r="T14" s="24" t="n"/>
      <c r="U14" s="24" t="n"/>
      <c r="V14" s="24" t="n"/>
    </row>
    <row r="15" ht="15" customHeight="1">
      <c r="A15" s="70" t="n"/>
      <c r="B15" s="68">
        <f>IF(C15="","",IFERROR(INDEX(tbl_Finance[Date],MATCH(C15&amp;"",tbl_Finance[Xero Invoice No],0)),""))</f>
        <v/>
      </c>
      <c r="C15" s="24" t="n"/>
      <c r="D15" s="24" t="n"/>
      <c r="E15" s="25">
        <f>IF(D15="","",IF(COUNTIF(lst_Jobs,D15&amp;"")&gt;0,"OK","CHECK"))</f>
        <v/>
      </c>
      <c r="F15" s="24" t="n"/>
      <c r="G15" s="24" t="n"/>
      <c r="H15" s="24" t="n"/>
      <c r="I15" s="24" t="n"/>
      <c r="J15" s="24" t="n"/>
      <c r="K15" s="22" t="n"/>
      <c r="L15" s="22" t="n"/>
      <c r="M15" s="25">
        <f>IF(N15="","",IF(OR(K15="",L15=""),"one month",TEXT(MAX(1,(YEAR(L15)-YEAR(K15))*12+MONTH(L15)-MONTH(K15)+1),"0")&amp;" months - see Deferred Revenue"))</f>
        <v/>
      </c>
      <c r="N15" s="26" t="n"/>
      <c r="O15" s="24" t="n"/>
      <c r="P15" s="25">
        <f>IF(N(N15)=0,"",IF(N15&gt;0,set_WIPAsset,IF(J15="Cost",IF(O15="","(set the P&amp;L Account)",O15),IF(O15="",set_WIPIncome,O15))))</f>
        <v/>
      </c>
      <c r="Q15" s="25">
        <f>IF(N(N15)=0,"",IF(N15&gt;0,IF(J15="Cost",IF(O15="","(set the P&amp;L Account)",O15),IF(O15="",set_WIPIncome,O15)),set_WIPAsset))</f>
        <v/>
      </c>
      <c r="R15" s="27">
        <f>IF(OR(N(N15)=0,K15&lt;&gt;""),"",ABS(N15))</f>
        <v/>
      </c>
      <c r="S15" s="25">
        <f>IF(N(N15)=0,"",IF(K15&lt;&gt;"","spreads monthly - see Deferred Revenue","WIP "&amp;I15&amp;IF(D15="",""," - "&amp;D15)&amp;IF(F15="",""," "&amp;F15)&amp;IF(H15="",""," - "&amp;H15)))</f>
        <v/>
      </c>
      <c r="T15" s="24" t="n"/>
      <c r="U15" s="24" t="n"/>
      <c r="V15" s="24" t="n"/>
    </row>
    <row r="16" ht="15" customHeight="1">
      <c r="A16" s="70" t="n"/>
      <c r="B16" s="68">
        <f>IF(C16="","",IFERROR(INDEX(tbl_Finance[Date],MATCH(C16&amp;"",tbl_Finance[Xero Invoice No],0)),""))</f>
        <v/>
      </c>
      <c r="C16" s="24" t="n"/>
      <c r="D16" s="24" t="n"/>
      <c r="E16" s="25">
        <f>IF(D16="","",IF(COUNTIF(lst_Jobs,D16&amp;"")&gt;0,"OK","CHECK"))</f>
        <v/>
      </c>
      <c r="F16" s="24" t="n"/>
      <c r="G16" s="24" t="n"/>
      <c r="H16" s="24" t="n"/>
      <c r="I16" s="24" t="n"/>
      <c r="J16" s="24" t="n"/>
      <c r="K16" s="22" t="n"/>
      <c r="L16" s="22" t="n"/>
      <c r="M16" s="25">
        <f>IF(N16="","",IF(OR(K16="",L16=""),"one month",TEXT(MAX(1,(YEAR(L16)-YEAR(K16))*12+MONTH(L16)-MONTH(K16)+1),"0")&amp;" months - see Deferred Revenue"))</f>
        <v/>
      </c>
      <c r="N16" s="26" t="n"/>
      <c r="O16" s="24" t="n"/>
      <c r="P16" s="25">
        <f>IF(N(N16)=0,"",IF(N16&gt;0,set_WIPAsset,IF(J16="Cost",IF(O16="","(set the P&amp;L Account)",O16),IF(O16="",set_WIPIncome,O16))))</f>
        <v/>
      </c>
      <c r="Q16" s="25">
        <f>IF(N(N16)=0,"",IF(N16&gt;0,IF(J16="Cost",IF(O16="","(set the P&amp;L Account)",O16),IF(O16="",set_WIPIncome,O16)),set_WIPAsset))</f>
        <v/>
      </c>
      <c r="R16" s="27">
        <f>IF(OR(N(N16)=0,K16&lt;&gt;""),"",ABS(N16))</f>
        <v/>
      </c>
      <c r="S16" s="25">
        <f>IF(N(N16)=0,"",IF(K16&lt;&gt;"","spreads monthly - see Deferred Revenue","WIP "&amp;I16&amp;IF(D16="",""," - "&amp;D16)&amp;IF(F16="",""," "&amp;F16)&amp;IF(H16="",""," - "&amp;H16)))</f>
        <v/>
      </c>
      <c r="T16" s="24" t="n"/>
      <c r="U16" s="24" t="n"/>
      <c r="V16" s="24" t="n"/>
    </row>
    <row r="17" ht="15" customHeight="1">
      <c r="A17" s="70" t="n"/>
      <c r="B17" s="68">
        <f>IF(C17="","",IFERROR(INDEX(tbl_Finance[Date],MATCH(C17&amp;"",tbl_Finance[Xero Invoice No],0)),""))</f>
        <v/>
      </c>
      <c r="C17" s="24" t="n"/>
      <c r="D17" s="24" t="n"/>
      <c r="E17" s="25">
        <f>IF(D17="","",IF(COUNTIF(lst_Jobs,D17&amp;"")&gt;0,"OK","CHECK"))</f>
        <v/>
      </c>
      <c r="F17" s="24" t="n"/>
      <c r="G17" s="24" t="n"/>
      <c r="H17" s="24" t="n"/>
      <c r="I17" s="24" t="n"/>
      <c r="J17" s="24" t="n"/>
      <c r="K17" s="22" t="n"/>
      <c r="L17" s="22" t="n"/>
      <c r="M17" s="25">
        <f>IF(N17="","",IF(OR(K17="",L17=""),"one month",TEXT(MAX(1,(YEAR(L17)-YEAR(K17))*12+MONTH(L17)-MONTH(K17)+1),"0")&amp;" months - see Deferred Revenue"))</f>
        <v/>
      </c>
      <c r="N17" s="26" t="n"/>
      <c r="O17" s="24" t="n"/>
      <c r="P17" s="25">
        <f>IF(N(N17)=0,"",IF(N17&gt;0,set_WIPAsset,IF(J17="Cost",IF(O17="","(set the P&amp;L Account)",O17),IF(O17="",set_WIPIncome,O17))))</f>
        <v/>
      </c>
      <c r="Q17" s="25">
        <f>IF(N(N17)=0,"",IF(N17&gt;0,IF(J17="Cost",IF(O17="","(set the P&amp;L Account)",O17),IF(O17="",set_WIPIncome,O17)),set_WIPAsset))</f>
        <v/>
      </c>
      <c r="R17" s="27">
        <f>IF(OR(N(N17)=0,K17&lt;&gt;""),"",ABS(N17))</f>
        <v/>
      </c>
      <c r="S17" s="25">
        <f>IF(N(N17)=0,"",IF(K17&lt;&gt;"","spreads monthly - see Deferred Revenue","WIP "&amp;I17&amp;IF(D17="",""," - "&amp;D17)&amp;IF(F17="",""," "&amp;F17)&amp;IF(H17="",""," - "&amp;H17)))</f>
        <v/>
      </c>
      <c r="T17" s="24" t="n"/>
      <c r="U17" s="24" t="n"/>
      <c r="V17" s="24" t="n"/>
    </row>
    <row r="18" ht="15" customHeight="1">
      <c r="A18" s="70" t="n"/>
      <c r="B18" s="68">
        <f>IF(C18="","",IFERROR(INDEX(tbl_Finance[Date],MATCH(C18&amp;"",tbl_Finance[Xero Invoice No],0)),""))</f>
        <v/>
      </c>
      <c r="C18" s="24" t="n"/>
      <c r="D18" s="24" t="n"/>
      <c r="E18" s="25">
        <f>IF(D18="","",IF(COUNTIF(lst_Jobs,D18&amp;"")&gt;0,"OK","CHECK"))</f>
        <v/>
      </c>
      <c r="F18" s="24" t="n"/>
      <c r="G18" s="24" t="n"/>
      <c r="H18" s="24" t="n"/>
      <c r="I18" s="24" t="n"/>
      <c r="J18" s="24" t="n"/>
      <c r="K18" s="22" t="n"/>
      <c r="L18" s="22" t="n"/>
      <c r="M18" s="25">
        <f>IF(N18="","",IF(OR(K18="",L18=""),"one month",TEXT(MAX(1,(YEAR(L18)-YEAR(K18))*12+MONTH(L18)-MONTH(K18)+1),"0")&amp;" months - see Deferred Revenue"))</f>
        <v/>
      </c>
      <c r="N18" s="26" t="n"/>
      <c r="O18" s="24" t="n"/>
      <c r="P18" s="25">
        <f>IF(N(N18)=0,"",IF(N18&gt;0,set_WIPAsset,IF(J18="Cost",IF(O18="","(set the P&amp;L Account)",O18),IF(O18="",set_WIPIncome,O18))))</f>
        <v/>
      </c>
      <c r="Q18" s="25">
        <f>IF(N(N18)=0,"",IF(N18&gt;0,IF(J18="Cost",IF(O18="","(set the P&amp;L Account)",O18),IF(O18="",set_WIPIncome,O18)),set_WIPAsset))</f>
        <v/>
      </c>
      <c r="R18" s="27">
        <f>IF(OR(N(N18)=0,K18&lt;&gt;""),"",ABS(N18))</f>
        <v/>
      </c>
      <c r="S18" s="25">
        <f>IF(N(N18)=0,"",IF(K18&lt;&gt;"","spreads monthly - see Deferred Revenue","WIP "&amp;I18&amp;IF(D18="",""," - "&amp;D18)&amp;IF(F18="",""," "&amp;F18)&amp;IF(H18="",""," - "&amp;H18)))</f>
        <v/>
      </c>
      <c r="T18" s="24" t="n"/>
      <c r="U18" s="24" t="n"/>
      <c r="V18" s="24" t="n"/>
    </row>
    <row r="19" ht="15" customHeight="1">
      <c r="A19" s="70" t="n"/>
      <c r="B19" s="68">
        <f>IF(C19="","",IFERROR(INDEX(tbl_Finance[Date],MATCH(C19&amp;"",tbl_Finance[Xero Invoice No],0)),""))</f>
        <v/>
      </c>
      <c r="C19" s="24" t="n"/>
      <c r="D19" s="24" t="n"/>
      <c r="E19" s="25">
        <f>IF(D19="","",IF(COUNTIF(lst_Jobs,D19&amp;"")&gt;0,"OK","CHECK"))</f>
        <v/>
      </c>
      <c r="F19" s="24" t="n"/>
      <c r="G19" s="24" t="n"/>
      <c r="H19" s="24" t="n"/>
      <c r="I19" s="24" t="n"/>
      <c r="J19" s="24" t="n"/>
      <c r="K19" s="22" t="n"/>
      <c r="L19" s="22" t="n"/>
      <c r="M19" s="25">
        <f>IF(N19="","",IF(OR(K19="",L19=""),"one month",TEXT(MAX(1,(YEAR(L19)-YEAR(K19))*12+MONTH(L19)-MONTH(K19)+1),"0")&amp;" months - see Deferred Revenue"))</f>
        <v/>
      </c>
      <c r="N19" s="26" t="n"/>
      <c r="O19" s="24" t="n"/>
      <c r="P19" s="25">
        <f>IF(N(N19)=0,"",IF(N19&gt;0,set_WIPAsset,IF(J19="Cost",IF(O19="","(set the P&amp;L Account)",O19),IF(O19="",set_WIPIncome,O19))))</f>
        <v/>
      </c>
      <c r="Q19" s="25">
        <f>IF(N(N19)=0,"",IF(N19&gt;0,IF(J19="Cost",IF(O19="","(set the P&amp;L Account)",O19),IF(O19="",set_WIPIncome,O19)),set_WIPAsset))</f>
        <v/>
      </c>
      <c r="R19" s="27">
        <f>IF(OR(N(N19)=0,K19&lt;&gt;""),"",ABS(N19))</f>
        <v/>
      </c>
      <c r="S19" s="25">
        <f>IF(N(N19)=0,"",IF(K19&lt;&gt;"","spreads monthly - see Deferred Revenue","WIP "&amp;I19&amp;IF(D19="",""," - "&amp;D19)&amp;IF(F19="",""," "&amp;F19)&amp;IF(H19="",""," - "&amp;H19)))</f>
        <v/>
      </c>
      <c r="T19" s="24" t="n"/>
      <c r="U19" s="24" t="n"/>
      <c r="V19" s="24" t="n"/>
    </row>
    <row r="20" ht="15" customHeight="1">
      <c r="A20" s="70" t="n"/>
      <c r="B20" s="68">
        <f>IF(C20="","",IFERROR(INDEX(tbl_Finance[Date],MATCH(C20&amp;"",tbl_Finance[Xero Invoice No],0)),""))</f>
        <v/>
      </c>
      <c r="C20" s="24" t="n"/>
      <c r="D20" s="24" t="n"/>
      <c r="E20" s="25">
        <f>IF(D20="","",IF(COUNTIF(lst_Jobs,D20&amp;"")&gt;0,"OK","CHECK"))</f>
        <v/>
      </c>
      <c r="F20" s="24" t="n"/>
      <c r="G20" s="24" t="n"/>
      <c r="H20" s="24" t="n"/>
      <c r="I20" s="24" t="n"/>
      <c r="J20" s="24" t="n"/>
      <c r="K20" s="22" t="n"/>
      <c r="L20" s="22" t="n"/>
      <c r="M20" s="25">
        <f>IF(N20="","",IF(OR(K20="",L20=""),"one month",TEXT(MAX(1,(YEAR(L20)-YEAR(K20))*12+MONTH(L20)-MONTH(K20)+1),"0")&amp;" months - see Deferred Revenue"))</f>
        <v/>
      </c>
      <c r="N20" s="26" t="n"/>
      <c r="O20" s="24" t="n"/>
      <c r="P20" s="25">
        <f>IF(N(N20)=0,"",IF(N20&gt;0,set_WIPAsset,IF(J20="Cost",IF(O20="","(set the P&amp;L Account)",O20),IF(O20="",set_WIPIncome,O20))))</f>
        <v/>
      </c>
      <c r="Q20" s="25">
        <f>IF(N(N20)=0,"",IF(N20&gt;0,IF(J20="Cost",IF(O20="","(set the P&amp;L Account)",O20),IF(O20="",set_WIPIncome,O20)),set_WIPAsset))</f>
        <v/>
      </c>
      <c r="R20" s="27">
        <f>IF(OR(N(N20)=0,K20&lt;&gt;""),"",ABS(N20))</f>
        <v/>
      </c>
      <c r="S20" s="25">
        <f>IF(N(N20)=0,"",IF(K20&lt;&gt;"","spreads monthly - see Deferred Revenue","WIP "&amp;I20&amp;IF(D20="",""," - "&amp;D20)&amp;IF(F20="",""," "&amp;F20)&amp;IF(H20="",""," - "&amp;H20)))</f>
        <v/>
      </c>
      <c r="T20" s="24" t="n"/>
      <c r="U20" s="24" t="n"/>
      <c r="V20" s="24" t="n"/>
    </row>
    <row r="21" ht="15" customHeight="1">
      <c r="A21" s="70" t="n"/>
      <c r="B21" s="68">
        <f>IF(C21="","",IFERROR(INDEX(tbl_Finance[Date],MATCH(C21&amp;"",tbl_Finance[Xero Invoice No],0)),""))</f>
        <v/>
      </c>
      <c r="C21" s="24" t="n"/>
      <c r="D21" s="24" t="n"/>
      <c r="E21" s="25">
        <f>IF(D21="","",IF(COUNTIF(lst_Jobs,D21&amp;"")&gt;0,"OK","CHECK"))</f>
        <v/>
      </c>
      <c r="F21" s="24" t="n"/>
      <c r="G21" s="24" t="n"/>
      <c r="H21" s="24" t="n"/>
      <c r="I21" s="24" t="n"/>
      <c r="J21" s="24" t="n"/>
      <c r="K21" s="22" t="n"/>
      <c r="L21" s="22" t="n"/>
      <c r="M21" s="25">
        <f>IF(N21="","",IF(OR(K21="",L21=""),"one month",TEXT(MAX(1,(YEAR(L21)-YEAR(K21))*12+MONTH(L21)-MONTH(K21)+1),"0")&amp;" months - see Deferred Revenue"))</f>
        <v/>
      </c>
      <c r="N21" s="26" t="n"/>
      <c r="O21" s="24" t="n"/>
      <c r="P21" s="25">
        <f>IF(N(N21)=0,"",IF(N21&gt;0,set_WIPAsset,IF(J21="Cost",IF(O21="","(set the P&amp;L Account)",O21),IF(O21="",set_WIPIncome,O21))))</f>
        <v/>
      </c>
      <c r="Q21" s="25">
        <f>IF(N(N21)=0,"",IF(N21&gt;0,IF(J21="Cost",IF(O21="","(set the P&amp;L Account)",O21),IF(O21="",set_WIPIncome,O21)),set_WIPAsset))</f>
        <v/>
      </c>
      <c r="R21" s="27">
        <f>IF(OR(N(N21)=0,K21&lt;&gt;""),"",ABS(N21))</f>
        <v/>
      </c>
      <c r="S21" s="25">
        <f>IF(N(N21)=0,"",IF(K21&lt;&gt;"","spreads monthly - see Deferred Revenue","WIP "&amp;I21&amp;IF(D21="",""," - "&amp;D21)&amp;IF(F21="",""," "&amp;F21)&amp;IF(H21="",""," - "&amp;H21)))</f>
        <v/>
      </c>
      <c r="T21" s="24" t="n"/>
      <c r="U21" s="24" t="n"/>
      <c r="V21" s="24" t="n"/>
    </row>
    <row r="22" ht="15" customHeight="1">
      <c r="A22" s="70" t="n"/>
      <c r="B22" s="68">
        <f>IF(C22="","",IFERROR(INDEX(tbl_Finance[Date],MATCH(C22&amp;"",tbl_Finance[Xero Invoice No],0)),""))</f>
        <v/>
      </c>
      <c r="C22" s="24" t="n"/>
      <c r="D22" s="24" t="n"/>
      <c r="E22" s="25">
        <f>IF(D22="","",IF(COUNTIF(lst_Jobs,D22&amp;"")&gt;0,"OK","CHECK"))</f>
        <v/>
      </c>
      <c r="F22" s="24" t="n"/>
      <c r="G22" s="24" t="n"/>
      <c r="H22" s="24" t="n"/>
      <c r="I22" s="24" t="n"/>
      <c r="J22" s="24" t="n"/>
      <c r="K22" s="22" t="n"/>
      <c r="L22" s="22" t="n"/>
      <c r="M22" s="25">
        <f>IF(N22="","",IF(OR(K22="",L22=""),"one month",TEXT(MAX(1,(YEAR(L22)-YEAR(K22))*12+MONTH(L22)-MONTH(K22)+1),"0")&amp;" months - see Deferred Revenue"))</f>
        <v/>
      </c>
      <c r="N22" s="26" t="n"/>
      <c r="O22" s="24" t="n"/>
      <c r="P22" s="25">
        <f>IF(N(N22)=0,"",IF(N22&gt;0,set_WIPAsset,IF(J22="Cost",IF(O22="","(set the P&amp;L Account)",O22),IF(O22="",set_WIPIncome,O22))))</f>
        <v/>
      </c>
      <c r="Q22" s="25">
        <f>IF(N(N22)=0,"",IF(N22&gt;0,IF(J22="Cost",IF(O22="","(set the P&amp;L Account)",O22),IF(O22="",set_WIPIncome,O22)),set_WIPAsset))</f>
        <v/>
      </c>
      <c r="R22" s="27">
        <f>IF(OR(N(N22)=0,K22&lt;&gt;""),"",ABS(N22))</f>
        <v/>
      </c>
      <c r="S22" s="25">
        <f>IF(N(N22)=0,"",IF(K22&lt;&gt;"","spreads monthly - see Deferred Revenue","WIP "&amp;I22&amp;IF(D22="",""," - "&amp;D22)&amp;IF(F22="",""," "&amp;F22)&amp;IF(H22="",""," - "&amp;H22)))</f>
        <v/>
      </c>
      <c r="T22" s="24" t="n"/>
      <c r="U22" s="24" t="n"/>
      <c r="V22" s="24" t="n"/>
    </row>
    <row r="23" ht="15" customHeight="1">
      <c r="A23" s="70" t="n"/>
      <c r="B23" s="68">
        <f>IF(C23="","",IFERROR(INDEX(tbl_Finance[Date],MATCH(C23&amp;"",tbl_Finance[Xero Invoice No],0)),""))</f>
        <v/>
      </c>
      <c r="C23" s="24" t="n"/>
      <c r="D23" s="24" t="n"/>
      <c r="E23" s="25">
        <f>IF(D23="","",IF(COUNTIF(lst_Jobs,D23&amp;"")&gt;0,"OK","CHECK"))</f>
        <v/>
      </c>
      <c r="F23" s="24" t="n"/>
      <c r="G23" s="24" t="n"/>
      <c r="H23" s="24" t="n"/>
      <c r="I23" s="24" t="n"/>
      <c r="J23" s="24" t="n"/>
      <c r="K23" s="22" t="n"/>
      <c r="L23" s="22" t="n"/>
      <c r="M23" s="25">
        <f>IF(N23="","",IF(OR(K23="",L23=""),"one month",TEXT(MAX(1,(YEAR(L23)-YEAR(K23))*12+MONTH(L23)-MONTH(K23)+1),"0")&amp;" months - see Deferred Revenue"))</f>
        <v/>
      </c>
      <c r="N23" s="26" t="n"/>
      <c r="O23" s="24" t="n"/>
      <c r="P23" s="25">
        <f>IF(N(N23)=0,"",IF(N23&gt;0,set_WIPAsset,IF(J23="Cost",IF(O23="","(set the P&amp;L Account)",O23),IF(O23="",set_WIPIncome,O23))))</f>
        <v/>
      </c>
      <c r="Q23" s="25">
        <f>IF(N(N23)=0,"",IF(N23&gt;0,IF(J23="Cost",IF(O23="","(set the P&amp;L Account)",O23),IF(O23="",set_WIPIncome,O23)),set_WIPAsset))</f>
        <v/>
      </c>
      <c r="R23" s="27">
        <f>IF(OR(N(N23)=0,K23&lt;&gt;""),"",ABS(N23))</f>
        <v/>
      </c>
      <c r="S23" s="25">
        <f>IF(N(N23)=0,"",IF(K23&lt;&gt;"","spreads monthly - see Deferred Revenue","WIP "&amp;I23&amp;IF(D23="",""," - "&amp;D23)&amp;IF(F23="",""," "&amp;F23)&amp;IF(H23="",""," - "&amp;H23)))</f>
        <v/>
      </c>
      <c r="T23" s="24" t="n"/>
      <c r="U23" s="24" t="n"/>
      <c r="V23" s="24" t="n"/>
    </row>
    <row r="24" ht="15" customHeight="1">
      <c r="A24" s="70" t="n"/>
      <c r="B24" s="68">
        <f>IF(C24="","",IFERROR(INDEX(tbl_Finance[Date],MATCH(C24&amp;"",tbl_Finance[Xero Invoice No],0)),""))</f>
        <v/>
      </c>
      <c r="C24" s="24" t="n"/>
      <c r="D24" s="24" t="n"/>
      <c r="E24" s="25">
        <f>IF(D24="","",IF(COUNTIF(lst_Jobs,D24&amp;"")&gt;0,"OK","CHECK"))</f>
        <v/>
      </c>
      <c r="F24" s="24" t="n"/>
      <c r="G24" s="24" t="n"/>
      <c r="H24" s="24" t="n"/>
      <c r="I24" s="24" t="n"/>
      <c r="J24" s="24" t="n"/>
      <c r="K24" s="22" t="n"/>
      <c r="L24" s="22" t="n"/>
      <c r="M24" s="25">
        <f>IF(N24="","",IF(OR(K24="",L24=""),"one month",TEXT(MAX(1,(YEAR(L24)-YEAR(K24))*12+MONTH(L24)-MONTH(K24)+1),"0")&amp;" months - see Deferred Revenue"))</f>
        <v/>
      </c>
      <c r="N24" s="26" t="n"/>
      <c r="O24" s="24" t="n"/>
      <c r="P24" s="25">
        <f>IF(N(N24)=0,"",IF(N24&gt;0,set_WIPAsset,IF(J24="Cost",IF(O24="","(set the P&amp;L Account)",O24),IF(O24="",set_WIPIncome,O24))))</f>
        <v/>
      </c>
      <c r="Q24" s="25">
        <f>IF(N(N24)=0,"",IF(N24&gt;0,IF(J24="Cost",IF(O24="","(set the P&amp;L Account)",O24),IF(O24="",set_WIPIncome,O24)),set_WIPAsset))</f>
        <v/>
      </c>
      <c r="R24" s="27">
        <f>IF(OR(N(N24)=0,K24&lt;&gt;""),"",ABS(N24))</f>
        <v/>
      </c>
      <c r="S24" s="25">
        <f>IF(N(N24)=0,"",IF(K24&lt;&gt;"","spreads monthly - see Deferred Revenue","WIP "&amp;I24&amp;IF(D24="",""," - "&amp;D24)&amp;IF(F24="",""," "&amp;F24)&amp;IF(H24="",""," - "&amp;H24)))</f>
        <v/>
      </c>
      <c r="T24" s="24" t="n"/>
      <c r="U24" s="24" t="n"/>
      <c r="V24" s="24" t="n"/>
    </row>
    <row r="25" ht="15" customHeight="1">
      <c r="A25" s="70" t="n"/>
      <c r="B25" s="68">
        <f>IF(C25="","",IFERROR(INDEX(tbl_Finance[Date],MATCH(C25&amp;"",tbl_Finance[Xero Invoice No],0)),""))</f>
        <v/>
      </c>
      <c r="C25" s="24" t="n"/>
      <c r="D25" s="24" t="n"/>
      <c r="E25" s="25">
        <f>IF(D25="","",IF(COUNTIF(lst_Jobs,D25&amp;"")&gt;0,"OK","CHECK"))</f>
        <v/>
      </c>
      <c r="F25" s="24" t="n"/>
      <c r="G25" s="24" t="n"/>
      <c r="H25" s="24" t="n"/>
      <c r="I25" s="24" t="n"/>
      <c r="J25" s="24" t="n"/>
      <c r="K25" s="22" t="n"/>
      <c r="L25" s="22" t="n"/>
      <c r="M25" s="25">
        <f>IF(N25="","",IF(OR(K25="",L25=""),"one month",TEXT(MAX(1,(YEAR(L25)-YEAR(K25))*12+MONTH(L25)-MONTH(K25)+1),"0")&amp;" months - see Deferred Revenue"))</f>
        <v/>
      </c>
      <c r="N25" s="26" t="n"/>
      <c r="O25" s="24" t="n"/>
      <c r="P25" s="25">
        <f>IF(N(N25)=0,"",IF(N25&gt;0,set_WIPAsset,IF(J25="Cost",IF(O25="","(set the P&amp;L Account)",O25),IF(O25="",set_WIPIncome,O25))))</f>
        <v/>
      </c>
      <c r="Q25" s="25">
        <f>IF(N(N25)=0,"",IF(N25&gt;0,IF(J25="Cost",IF(O25="","(set the P&amp;L Account)",O25),IF(O25="",set_WIPIncome,O25)),set_WIPAsset))</f>
        <v/>
      </c>
      <c r="R25" s="27">
        <f>IF(OR(N(N25)=0,K25&lt;&gt;""),"",ABS(N25))</f>
        <v/>
      </c>
      <c r="S25" s="25">
        <f>IF(N(N25)=0,"",IF(K25&lt;&gt;"","spreads monthly - see Deferred Revenue","WIP "&amp;I25&amp;IF(D25="",""," - "&amp;D25)&amp;IF(F25="",""," "&amp;F25)&amp;IF(H25="",""," - "&amp;H25)))</f>
        <v/>
      </c>
      <c r="T25" s="24" t="n"/>
      <c r="U25" s="24" t="n"/>
      <c r="V25" s="24" t="n"/>
    </row>
    <row r="26" ht="15" customHeight="1">
      <c r="A26" s="70" t="n"/>
      <c r="B26" s="68">
        <f>IF(C26="","",IFERROR(INDEX(tbl_Finance[Date],MATCH(C26&amp;"",tbl_Finance[Xero Invoice No],0)),""))</f>
        <v/>
      </c>
      <c r="C26" s="24" t="n"/>
      <c r="D26" s="24" t="n"/>
      <c r="E26" s="25">
        <f>IF(D26="","",IF(COUNTIF(lst_Jobs,D26&amp;"")&gt;0,"OK","CHECK"))</f>
        <v/>
      </c>
      <c r="F26" s="24" t="n"/>
      <c r="G26" s="24" t="n"/>
      <c r="H26" s="24" t="n"/>
      <c r="I26" s="24" t="n"/>
      <c r="J26" s="24" t="n"/>
      <c r="K26" s="22" t="n"/>
      <c r="L26" s="22" t="n"/>
      <c r="M26" s="25">
        <f>IF(N26="","",IF(OR(K26="",L26=""),"one month",TEXT(MAX(1,(YEAR(L26)-YEAR(K26))*12+MONTH(L26)-MONTH(K26)+1),"0")&amp;" months - see Deferred Revenue"))</f>
        <v/>
      </c>
      <c r="N26" s="26" t="n"/>
      <c r="O26" s="24" t="n"/>
      <c r="P26" s="25">
        <f>IF(N(N26)=0,"",IF(N26&gt;0,set_WIPAsset,IF(J26="Cost",IF(O26="","(set the P&amp;L Account)",O26),IF(O26="",set_WIPIncome,O26))))</f>
        <v/>
      </c>
      <c r="Q26" s="25">
        <f>IF(N(N26)=0,"",IF(N26&gt;0,IF(J26="Cost",IF(O26="","(set the P&amp;L Account)",O26),IF(O26="",set_WIPIncome,O26)),set_WIPAsset))</f>
        <v/>
      </c>
      <c r="R26" s="27">
        <f>IF(OR(N(N26)=0,K26&lt;&gt;""),"",ABS(N26))</f>
        <v/>
      </c>
      <c r="S26" s="25">
        <f>IF(N(N26)=0,"",IF(K26&lt;&gt;"","spreads monthly - see Deferred Revenue","WIP "&amp;I26&amp;IF(D26="",""," - "&amp;D26)&amp;IF(F26="",""," "&amp;F26)&amp;IF(H26="",""," - "&amp;H26)))</f>
        <v/>
      </c>
      <c r="T26" s="24" t="n"/>
      <c r="U26" s="24" t="n"/>
      <c r="V26" s="24" t="n"/>
    </row>
    <row r="27" ht="15" customHeight="1">
      <c r="A27" s="70" t="n"/>
      <c r="B27" s="68">
        <f>IF(C27="","",IFERROR(INDEX(tbl_Finance[Date],MATCH(C27&amp;"",tbl_Finance[Xero Invoice No],0)),""))</f>
        <v/>
      </c>
      <c r="C27" s="24" t="n"/>
      <c r="D27" s="24" t="n"/>
      <c r="E27" s="25">
        <f>IF(D27="","",IF(COUNTIF(lst_Jobs,D27&amp;"")&gt;0,"OK","CHECK"))</f>
        <v/>
      </c>
      <c r="F27" s="24" t="n"/>
      <c r="G27" s="24" t="n"/>
      <c r="H27" s="24" t="n"/>
      <c r="I27" s="24" t="n"/>
      <c r="J27" s="24" t="n"/>
      <c r="K27" s="22" t="n"/>
      <c r="L27" s="22" t="n"/>
      <c r="M27" s="25">
        <f>IF(N27="","",IF(OR(K27="",L27=""),"one month",TEXT(MAX(1,(YEAR(L27)-YEAR(K27))*12+MONTH(L27)-MONTH(K27)+1),"0")&amp;" months - see Deferred Revenue"))</f>
        <v/>
      </c>
      <c r="N27" s="26" t="n"/>
      <c r="O27" s="24" t="n"/>
      <c r="P27" s="25">
        <f>IF(N(N27)=0,"",IF(N27&gt;0,set_WIPAsset,IF(J27="Cost",IF(O27="","(set the P&amp;L Account)",O27),IF(O27="",set_WIPIncome,O27))))</f>
        <v/>
      </c>
      <c r="Q27" s="25">
        <f>IF(N(N27)=0,"",IF(N27&gt;0,IF(J27="Cost",IF(O27="","(set the P&amp;L Account)",O27),IF(O27="",set_WIPIncome,O27)),set_WIPAsset))</f>
        <v/>
      </c>
      <c r="R27" s="27">
        <f>IF(OR(N(N27)=0,K27&lt;&gt;""),"",ABS(N27))</f>
        <v/>
      </c>
      <c r="S27" s="25">
        <f>IF(N(N27)=0,"",IF(K27&lt;&gt;"","spreads monthly - see Deferred Revenue","WIP "&amp;I27&amp;IF(D27="",""," - "&amp;D27)&amp;IF(F27="",""," "&amp;F27)&amp;IF(H27="",""," - "&amp;H27)))</f>
        <v/>
      </c>
      <c r="T27" s="24" t="n"/>
      <c r="U27" s="24" t="n"/>
      <c r="V27" s="24" t="n"/>
    </row>
    <row r="28" ht="15" customHeight="1">
      <c r="A28" s="70" t="n"/>
      <c r="B28" s="68">
        <f>IF(C28="","",IFERROR(INDEX(tbl_Finance[Date],MATCH(C28&amp;"",tbl_Finance[Xero Invoice No],0)),""))</f>
        <v/>
      </c>
      <c r="C28" s="24" t="n"/>
      <c r="D28" s="24" t="n"/>
      <c r="E28" s="25">
        <f>IF(D28="","",IF(COUNTIF(lst_Jobs,D28&amp;"")&gt;0,"OK","CHECK"))</f>
        <v/>
      </c>
      <c r="F28" s="24" t="n"/>
      <c r="G28" s="24" t="n"/>
      <c r="H28" s="24" t="n"/>
      <c r="I28" s="24" t="n"/>
      <c r="J28" s="24" t="n"/>
      <c r="K28" s="22" t="n"/>
      <c r="L28" s="22" t="n"/>
      <c r="M28" s="25">
        <f>IF(N28="","",IF(OR(K28="",L28=""),"one month",TEXT(MAX(1,(YEAR(L28)-YEAR(K28))*12+MONTH(L28)-MONTH(K28)+1),"0")&amp;" months - see Deferred Revenue"))</f>
        <v/>
      </c>
      <c r="N28" s="26" t="n"/>
      <c r="O28" s="24" t="n"/>
      <c r="P28" s="25">
        <f>IF(N(N28)=0,"",IF(N28&gt;0,set_WIPAsset,IF(J28="Cost",IF(O28="","(set the P&amp;L Account)",O28),IF(O28="",set_WIPIncome,O28))))</f>
        <v/>
      </c>
      <c r="Q28" s="25">
        <f>IF(N(N28)=0,"",IF(N28&gt;0,IF(J28="Cost",IF(O28="","(set the P&amp;L Account)",O28),IF(O28="",set_WIPIncome,O28)),set_WIPAsset))</f>
        <v/>
      </c>
      <c r="R28" s="27">
        <f>IF(OR(N(N28)=0,K28&lt;&gt;""),"",ABS(N28))</f>
        <v/>
      </c>
      <c r="S28" s="25">
        <f>IF(N(N28)=0,"",IF(K28&lt;&gt;"","spreads monthly - see Deferred Revenue","WIP "&amp;I28&amp;IF(D28="",""," - "&amp;D28)&amp;IF(F28="",""," "&amp;F28)&amp;IF(H28="",""," - "&amp;H28)))</f>
        <v/>
      </c>
      <c r="T28" s="24" t="n"/>
      <c r="U28" s="24" t="n"/>
      <c r="V28" s="24" t="n"/>
    </row>
    <row r="29" ht="15" customHeight="1">
      <c r="A29" s="70" t="n"/>
      <c r="B29" s="68">
        <f>IF(C29="","",IFERROR(INDEX(tbl_Finance[Date],MATCH(C29&amp;"",tbl_Finance[Xero Invoice No],0)),""))</f>
        <v/>
      </c>
      <c r="C29" s="24" t="n"/>
      <c r="D29" s="24" t="n"/>
      <c r="E29" s="25">
        <f>IF(D29="","",IF(COUNTIF(lst_Jobs,D29&amp;"")&gt;0,"OK","CHECK"))</f>
        <v/>
      </c>
      <c r="F29" s="24" t="n"/>
      <c r="G29" s="24" t="n"/>
      <c r="H29" s="24" t="n"/>
      <c r="I29" s="24" t="n"/>
      <c r="J29" s="24" t="n"/>
      <c r="K29" s="22" t="n"/>
      <c r="L29" s="22" t="n"/>
      <c r="M29" s="25">
        <f>IF(N29="","",IF(OR(K29="",L29=""),"one month",TEXT(MAX(1,(YEAR(L29)-YEAR(K29))*12+MONTH(L29)-MONTH(K29)+1),"0")&amp;" months - see Deferred Revenue"))</f>
        <v/>
      </c>
      <c r="N29" s="26" t="n"/>
      <c r="O29" s="24" t="n"/>
      <c r="P29" s="25">
        <f>IF(N(N29)=0,"",IF(N29&gt;0,set_WIPAsset,IF(J29="Cost",IF(O29="","(set the P&amp;L Account)",O29),IF(O29="",set_WIPIncome,O29))))</f>
        <v/>
      </c>
      <c r="Q29" s="25">
        <f>IF(N(N29)=0,"",IF(N29&gt;0,IF(J29="Cost",IF(O29="","(set the P&amp;L Account)",O29),IF(O29="",set_WIPIncome,O29)),set_WIPAsset))</f>
        <v/>
      </c>
      <c r="R29" s="27">
        <f>IF(OR(N(N29)=0,K29&lt;&gt;""),"",ABS(N29))</f>
        <v/>
      </c>
      <c r="S29" s="25">
        <f>IF(N(N29)=0,"",IF(K29&lt;&gt;"","spreads monthly - see Deferred Revenue","WIP "&amp;I29&amp;IF(D29="",""," - "&amp;D29)&amp;IF(F29="",""," "&amp;F29)&amp;IF(H29="",""," - "&amp;H29)))</f>
        <v/>
      </c>
      <c r="T29" s="24" t="n"/>
      <c r="U29" s="24" t="n"/>
      <c r="V29" s="24" t="n"/>
    </row>
    <row r="30" ht="15" customHeight="1">
      <c r="A30" s="70" t="n"/>
      <c r="B30" s="68">
        <f>IF(C30="","",IFERROR(INDEX(tbl_Finance[Date],MATCH(C30&amp;"",tbl_Finance[Xero Invoice No],0)),""))</f>
        <v/>
      </c>
      <c r="C30" s="24" t="n"/>
      <c r="D30" s="24" t="n"/>
      <c r="E30" s="25">
        <f>IF(D30="","",IF(COUNTIF(lst_Jobs,D30&amp;"")&gt;0,"OK","CHECK"))</f>
        <v/>
      </c>
      <c r="F30" s="24" t="n"/>
      <c r="G30" s="24" t="n"/>
      <c r="H30" s="24" t="n"/>
      <c r="I30" s="24" t="n"/>
      <c r="J30" s="24" t="n"/>
      <c r="K30" s="22" t="n"/>
      <c r="L30" s="22" t="n"/>
      <c r="M30" s="25">
        <f>IF(N30="","",IF(OR(K30="",L30=""),"one month",TEXT(MAX(1,(YEAR(L30)-YEAR(K30))*12+MONTH(L30)-MONTH(K30)+1),"0")&amp;" months - see Deferred Revenue"))</f>
        <v/>
      </c>
      <c r="N30" s="26" t="n"/>
      <c r="O30" s="24" t="n"/>
      <c r="P30" s="25">
        <f>IF(N(N30)=0,"",IF(N30&gt;0,set_WIPAsset,IF(J30="Cost",IF(O30="","(set the P&amp;L Account)",O30),IF(O30="",set_WIPIncome,O30))))</f>
        <v/>
      </c>
      <c r="Q30" s="25">
        <f>IF(N(N30)=0,"",IF(N30&gt;0,IF(J30="Cost",IF(O30="","(set the P&amp;L Account)",O30),IF(O30="",set_WIPIncome,O30)),set_WIPAsset))</f>
        <v/>
      </c>
      <c r="R30" s="27">
        <f>IF(OR(N(N30)=0,K30&lt;&gt;""),"",ABS(N30))</f>
        <v/>
      </c>
      <c r="S30" s="25">
        <f>IF(N(N30)=0,"",IF(K30&lt;&gt;"","spreads monthly - see Deferred Revenue","WIP "&amp;I30&amp;IF(D30="",""," - "&amp;D30)&amp;IF(F30="",""," "&amp;F30)&amp;IF(H30="",""," - "&amp;H30)))</f>
        <v/>
      </c>
      <c r="T30" s="24" t="n"/>
      <c r="U30" s="24" t="n"/>
      <c r="V30" s="24" t="n"/>
    </row>
    <row r="31" ht="15" customHeight="1">
      <c r="A31" s="70" t="n"/>
      <c r="B31" s="68">
        <f>IF(C31="","",IFERROR(INDEX(tbl_Finance[Date],MATCH(C31&amp;"",tbl_Finance[Xero Invoice No],0)),""))</f>
        <v/>
      </c>
      <c r="C31" s="24" t="n"/>
      <c r="D31" s="24" t="n"/>
      <c r="E31" s="25">
        <f>IF(D31="","",IF(COUNTIF(lst_Jobs,D31&amp;"")&gt;0,"OK","CHECK"))</f>
        <v/>
      </c>
      <c r="F31" s="24" t="n"/>
      <c r="G31" s="24" t="n"/>
      <c r="H31" s="24" t="n"/>
      <c r="I31" s="24" t="n"/>
      <c r="J31" s="24" t="n"/>
      <c r="K31" s="22" t="n"/>
      <c r="L31" s="22" t="n"/>
      <c r="M31" s="25">
        <f>IF(N31="","",IF(OR(K31="",L31=""),"one month",TEXT(MAX(1,(YEAR(L31)-YEAR(K31))*12+MONTH(L31)-MONTH(K31)+1),"0")&amp;" months - see Deferred Revenue"))</f>
        <v/>
      </c>
      <c r="N31" s="26" t="n"/>
      <c r="O31" s="24" t="n"/>
      <c r="P31" s="25">
        <f>IF(N(N31)=0,"",IF(N31&gt;0,set_WIPAsset,IF(J31="Cost",IF(O31="","(set the P&amp;L Account)",O31),IF(O31="",set_WIPIncome,O31))))</f>
        <v/>
      </c>
      <c r="Q31" s="25">
        <f>IF(N(N31)=0,"",IF(N31&gt;0,IF(J31="Cost",IF(O31="","(set the P&amp;L Account)",O31),IF(O31="",set_WIPIncome,O31)),set_WIPAsset))</f>
        <v/>
      </c>
      <c r="R31" s="27">
        <f>IF(OR(N(N31)=0,K31&lt;&gt;""),"",ABS(N31))</f>
        <v/>
      </c>
      <c r="S31" s="25">
        <f>IF(N(N31)=0,"",IF(K31&lt;&gt;"","spreads monthly - see Deferred Revenue","WIP "&amp;I31&amp;IF(D31="",""," - "&amp;D31)&amp;IF(F31="",""," "&amp;F31)&amp;IF(H31="",""," - "&amp;H31)))</f>
        <v/>
      </c>
      <c r="T31" s="24" t="n"/>
      <c r="U31" s="24" t="n"/>
      <c r="V31" s="24" t="n"/>
    </row>
    <row r="32" ht="15" customHeight="1">
      <c r="A32" s="70" t="n"/>
      <c r="B32" s="68">
        <f>IF(C32="","",IFERROR(INDEX(tbl_Finance[Date],MATCH(C32&amp;"",tbl_Finance[Xero Invoice No],0)),""))</f>
        <v/>
      </c>
      <c r="C32" s="24" t="n"/>
      <c r="D32" s="24" t="n"/>
      <c r="E32" s="25">
        <f>IF(D32="","",IF(COUNTIF(lst_Jobs,D32&amp;"")&gt;0,"OK","CHECK"))</f>
        <v/>
      </c>
      <c r="F32" s="24" t="n"/>
      <c r="G32" s="24" t="n"/>
      <c r="H32" s="24" t="n"/>
      <c r="I32" s="24" t="n"/>
      <c r="J32" s="24" t="n"/>
      <c r="K32" s="22" t="n"/>
      <c r="L32" s="22" t="n"/>
      <c r="M32" s="25">
        <f>IF(N32="","",IF(OR(K32="",L32=""),"one month",TEXT(MAX(1,(YEAR(L32)-YEAR(K32))*12+MONTH(L32)-MONTH(K32)+1),"0")&amp;" months - see Deferred Revenue"))</f>
        <v/>
      </c>
      <c r="N32" s="26" t="n"/>
      <c r="O32" s="24" t="n"/>
      <c r="P32" s="25">
        <f>IF(N(N32)=0,"",IF(N32&gt;0,set_WIPAsset,IF(J32="Cost",IF(O32="","(set the P&amp;L Account)",O32),IF(O32="",set_WIPIncome,O32))))</f>
        <v/>
      </c>
      <c r="Q32" s="25">
        <f>IF(N(N32)=0,"",IF(N32&gt;0,IF(J32="Cost",IF(O32="","(set the P&amp;L Account)",O32),IF(O32="",set_WIPIncome,O32)),set_WIPAsset))</f>
        <v/>
      </c>
      <c r="R32" s="27">
        <f>IF(OR(N(N32)=0,K32&lt;&gt;""),"",ABS(N32))</f>
        <v/>
      </c>
      <c r="S32" s="25">
        <f>IF(N(N32)=0,"",IF(K32&lt;&gt;"","spreads monthly - see Deferred Revenue","WIP "&amp;I32&amp;IF(D32="",""," - "&amp;D32)&amp;IF(F32="",""," "&amp;F32)&amp;IF(H32="",""," - "&amp;H32)))</f>
        <v/>
      </c>
      <c r="T32" s="24" t="n"/>
      <c r="U32" s="24" t="n"/>
      <c r="V32" s="24" t="n"/>
    </row>
    <row r="33" ht="15" customHeight="1">
      <c r="A33" s="70" t="n"/>
      <c r="B33" s="68">
        <f>IF(C33="","",IFERROR(INDEX(tbl_Finance[Date],MATCH(C33&amp;"",tbl_Finance[Xero Invoice No],0)),""))</f>
        <v/>
      </c>
      <c r="C33" s="24" t="n"/>
      <c r="D33" s="24" t="n"/>
      <c r="E33" s="25">
        <f>IF(D33="","",IF(COUNTIF(lst_Jobs,D33&amp;"")&gt;0,"OK","CHECK"))</f>
        <v/>
      </c>
      <c r="F33" s="24" t="n"/>
      <c r="G33" s="24" t="n"/>
      <c r="H33" s="24" t="n"/>
      <c r="I33" s="24" t="n"/>
      <c r="J33" s="24" t="n"/>
      <c r="K33" s="22" t="n"/>
      <c r="L33" s="22" t="n"/>
      <c r="M33" s="25">
        <f>IF(N33="","",IF(OR(K33="",L33=""),"one month",TEXT(MAX(1,(YEAR(L33)-YEAR(K33))*12+MONTH(L33)-MONTH(K33)+1),"0")&amp;" months - see Deferred Revenue"))</f>
        <v/>
      </c>
      <c r="N33" s="26" t="n"/>
      <c r="O33" s="24" t="n"/>
      <c r="P33" s="25">
        <f>IF(N(N33)=0,"",IF(N33&gt;0,set_WIPAsset,IF(J33="Cost",IF(O33="","(set the P&amp;L Account)",O33),IF(O33="",set_WIPIncome,O33))))</f>
        <v/>
      </c>
      <c r="Q33" s="25">
        <f>IF(N(N33)=0,"",IF(N33&gt;0,IF(J33="Cost",IF(O33="","(set the P&amp;L Account)",O33),IF(O33="",set_WIPIncome,O33)),set_WIPAsset))</f>
        <v/>
      </c>
      <c r="R33" s="27">
        <f>IF(OR(N(N33)=0,K33&lt;&gt;""),"",ABS(N33))</f>
        <v/>
      </c>
      <c r="S33" s="25">
        <f>IF(N(N33)=0,"",IF(K33&lt;&gt;"","spreads monthly - see Deferred Revenue","WIP "&amp;I33&amp;IF(D33="",""," - "&amp;D33)&amp;IF(F33="",""," "&amp;F33)&amp;IF(H33="",""," - "&amp;H33)))</f>
        <v/>
      </c>
      <c r="T33" s="24" t="n"/>
      <c r="U33" s="24" t="n"/>
      <c r="V33" s="24" t="n"/>
    </row>
    <row r="34" ht="15" customHeight="1">
      <c r="A34" s="70" t="n"/>
      <c r="B34" s="68">
        <f>IF(C34="","",IFERROR(INDEX(tbl_Finance[Date],MATCH(C34&amp;"",tbl_Finance[Xero Invoice No],0)),""))</f>
        <v/>
      </c>
      <c r="C34" s="24" t="n"/>
      <c r="D34" s="24" t="n"/>
      <c r="E34" s="25">
        <f>IF(D34="","",IF(COUNTIF(lst_Jobs,D34&amp;"")&gt;0,"OK","CHECK"))</f>
        <v/>
      </c>
      <c r="F34" s="24" t="n"/>
      <c r="G34" s="24" t="n"/>
      <c r="H34" s="24" t="n"/>
      <c r="I34" s="24" t="n"/>
      <c r="J34" s="24" t="n"/>
      <c r="K34" s="22" t="n"/>
      <c r="L34" s="22" t="n"/>
      <c r="M34" s="25">
        <f>IF(N34="","",IF(OR(K34="",L34=""),"one month",TEXT(MAX(1,(YEAR(L34)-YEAR(K34))*12+MONTH(L34)-MONTH(K34)+1),"0")&amp;" months - see Deferred Revenue"))</f>
        <v/>
      </c>
      <c r="N34" s="26" t="n"/>
      <c r="O34" s="24" t="n"/>
      <c r="P34" s="25">
        <f>IF(N(N34)=0,"",IF(N34&gt;0,set_WIPAsset,IF(J34="Cost",IF(O34="","(set the P&amp;L Account)",O34),IF(O34="",set_WIPIncome,O34))))</f>
        <v/>
      </c>
      <c r="Q34" s="25">
        <f>IF(N(N34)=0,"",IF(N34&gt;0,IF(J34="Cost",IF(O34="","(set the P&amp;L Account)",O34),IF(O34="",set_WIPIncome,O34)),set_WIPAsset))</f>
        <v/>
      </c>
      <c r="R34" s="27">
        <f>IF(OR(N(N34)=0,K34&lt;&gt;""),"",ABS(N34))</f>
        <v/>
      </c>
      <c r="S34" s="25">
        <f>IF(N(N34)=0,"",IF(K34&lt;&gt;"","spreads monthly - see Deferred Revenue","WIP "&amp;I34&amp;IF(D34="",""," - "&amp;D34)&amp;IF(F34="",""," "&amp;F34)&amp;IF(H34="",""," - "&amp;H34)))</f>
        <v/>
      </c>
      <c r="T34" s="24" t="n"/>
      <c r="U34" s="24" t="n"/>
      <c r="V34" s="24" t="n"/>
    </row>
    <row r="35" ht="15" customHeight="1">
      <c r="A35" s="70" t="n"/>
      <c r="B35" s="68">
        <f>IF(C35="","",IFERROR(INDEX(tbl_Finance[Date],MATCH(C35&amp;"",tbl_Finance[Xero Invoice No],0)),""))</f>
        <v/>
      </c>
      <c r="C35" s="24" t="n"/>
      <c r="D35" s="24" t="n"/>
      <c r="E35" s="25">
        <f>IF(D35="","",IF(COUNTIF(lst_Jobs,D35&amp;"")&gt;0,"OK","CHECK"))</f>
        <v/>
      </c>
      <c r="F35" s="24" t="n"/>
      <c r="G35" s="24" t="n"/>
      <c r="H35" s="24" t="n"/>
      <c r="I35" s="24" t="n"/>
      <c r="J35" s="24" t="n"/>
      <c r="K35" s="22" t="n"/>
      <c r="L35" s="22" t="n"/>
      <c r="M35" s="25">
        <f>IF(N35="","",IF(OR(K35="",L35=""),"one month",TEXT(MAX(1,(YEAR(L35)-YEAR(K35))*12+MONTH(L35)-MONTH(K35)+1),"0")&amp;" months - see Deferred Revenue"))</f>
        <v/>
      </c>
      <c r="N35" s="26" t="n"/>
      <c r="O35" s="24" t="n"/>
      <c r="P35" s="25">
        <f>IF(N(N35)=0,"",IF(N35&gt;0,set_WIPAsset,IF(J35="Cost",IF(O35="","(set the P&amp;L Account)",O35),IF(O35="",set_WIPIncome,O35))))</f>
        <v/>
      </c>
      <c r="Q35" s="25">
        <f>IF(N(N35)=0,"",IF(N35&gt;0,IF(J35="Cost",IF(O35="","(set the P&amp;L Account)",O35),IF(O35="",set_WIPIncome,O35)),set_WIPAsset))</f>
        <v/>
      </c>
      <c r="R35" s="27">
        <f>IF(OR(N(N35)=0,K35&lt;&gt;""),"",ABS(N35))</f>
        <v/>
      </c>
      <c r="S35" s="25">
        <f>IF(N(N35)=0,"",IF(K35&lt;&gt;"","spreads monthly - see Deferred Revenue","WIP "&amp;I35&amp;IF(D35="",""," - "&amp;D35)&amp;IF(F35="",""," "&amp;F35)&amp;IF(H35="",""," - "&amp;H35)))</f>
        <v/>
      </c>
      <c r="T35" s="24" t="n"/>
      <c r="U35" s="24" t="n"/>
      <c r="V35" s="24" t="n"/>
    </row>
    <row r="36" ht="15" customHeight="1">
      <c r="A36" s="70" t="n"/>
      <c r="B36" s="68">
        <f>IF(C36="","",IFERROR(INDEX(tbl_Finance[Date],MATCH(C36&amp;"",tbl_Finance[Xero Invoice No],0)),""))</f>
        <v/>
      </c>
      <c r="C36" s="24" t="n"/>
      <c r="D36" s="24" t="n"/>
      <c r="E36" s="25">
        <f>IF(D36="","",IF(COUNTIF(lst_Jobs,D36&amp;"")&gt;0,"OK","CHECK"))</f>
        <v/>
      </c>
      <c r="F36" s="24" t="n"/>
      <c r="G36" s="24" t="n"/>
      <c r="H36" s="24" t="n"/>
      <c r="I36" s="24" t="n"/>
      <c r="J36" s="24" t="n"/>
      <c r="K36" s="22" t="n"/>
      <c r="L36" s="22" t="n"/>
      <c r="M36" s="25">
        <f>IF(N36="","",IF(OR(K36="",L36=""),"one month",TEXT(MAX(1,(YEAR(L36)-YEAR(K36))*12+MONTH(L36)-MONTH(K36)+1),"0")&amp;" months - see Deferred Revenue"))</f>
        <v/>
      </c>
      <c r="N36" s="26" t="n"/>
      <c r="O36" s="24" t="n"/>
      <c r="P36" s="25">
        <f>IF(N(N36)=0,"",IF(N36&gt;0,set_WIPAsset,IF(J36="Cost",IF(O36="","(set the P&amp;L Account)",O36),IF(O36="",set_WIPIncome,O36))))</f>
        <v/>
      </c>
      <c r="Q36" s="25">
        <f>IF(N(N36)=0,"",IF(N36&gt;0,IF(J36="Cost",IF(O36="","(set the P&amp;L Account)",O36),IF(O36="",set_WIPIncome,O36)),set_WIPAsset))</f>
        <v/>
      </c>
      <c r="R36" s="27">
        <f>IF(OR(N(N36)=0,K36&lt;&gt;""),"",ABS(N36))</f>
        <v/>
      </c>
      <c r="S36" s="25">
        <f>IF(N(N36)=0,"",IF(K36&lt;&gt;"","spreads monthly - see Deferred Revenue","WIP "&amp;I36&amp;IF(D36="",""," - "&amp;D36)&amp;IF(F36="",""," "&amp;F36)&amp;IF(H36="",""," - "&amp;H36)))</f>
        <v/>
      </c>
      <c r="T36" s="24" t="n"/>
      <c r="U36" s="24" t="n"/>
      <c r="V36" s="24" t="n"/>
    </row>
    <row r="37" ht="15" customHeight="1">
      <c r="A37" s="70" t="n"/>
      <c r="B37" s="68">
        <f>IF(C37="","",IFERROR(INDEX(tbl_Finance[Date],MATCH(C37&amp;"",tbl_Finance[Xero Invoice No],0)),""))</f>
        <v/>
      </c>
      <c r="C37" s="24" t="n"/>
      <c r="D37" s="24" t="n"/>
      <c r="E37" s="25">
        <f>IF(D37="","",IF(COUNTIF(lst_Jobs,D37&amp;"")&gt;0,"OK","CHECK"))</f>
        <v/>
      </c>
      <c r="F37" s="24" t="n"/>
      <c r="G37" s="24" t="n"/>
      <c r="H37" s="24" t="n"/>
      <c r="I37" s="24" t="n"/>
      <c r="J37" s="24" t="n"/>
      <c r="K37" s="22" t="n"/>
      <c r="L37" s="22" t="n"/>
      <c r="M37" s="25">
        <f>IF(N37="","",IF(OR(K37="",L37=""),"one month",TEXT(MAX(1,(YEAR(L37)-YEAR(K37))*12+MONTH(L37)-MONTH(K37)+1),"0")&amp;" months - see Deferred Revenue"))</f>
        <v/>
      </c>
      <c r="N37" s="26" t="n"/>
      <c r="O37" s="24" t="n"/>
      <c r="P37" s="25">
        <f>IF(N(N37)=0,"",IF(N37&gt;0,set_WIPAsset,IF(J37="Cost",IF(O37="","(set the P&amp;L Account)",O37),IF(O37="",set_WIPIncome,O37))))</f>
        <v/>
      </c>
      <c r="Q37" s="25">
        <f>IF(N(N37)=0,"",IF(N37&gt;0,IF(J37="Cost",IF(O37="","(set the P&amp;L Account)",O37),IF(O37="",set_WIPIncome,O37)),set_WIPAsset))</f>
        <v/>
      </c>
      <c r="R37" s="27">
        <f>IF(OR(N(N37)=0,K37&lt;&gt;""),"",ABS(N37))</f>
        <v/>
      </c>
      <c r="S37" s="25">
        <f>IF(N(N37)=0,"",IF(K37&lt;&gt;"","spreads monthly - see Deferred Revenue","WIP "&amp;I37&amp;IF(D37="",""," - "&amp;D37)&amp;IF(F37="",""," "&amp;F37)&amp;IF(H37="",""," - "&amp;H37)))</f>
        <v/>
      </c>
      <c r="T37" s="24" t="n"/>
      <c r="U37" s="24" t="n"/>
      <c r="V37" s="24" t="n"/>
    </row>
    <row r="38" ht="15" customHeight="1">
      <c r="A38" s="70" t="n"/>
      <c r="B38" s="68">
        <f>IF(C38="","",IFERROR(INDEX(tbl_Finance[Date],MATCH(C38&amp;"",tbl_Finance[Xero Invoice No],0)),""))</f>
        <v/>
      </c>
      <c r="C38" s="24" t="n"/>
      <c r="D38" s="24" t="n"/>
      <c r="E38" s="25">
        <f>IF(D38="","",IF(COUNTIF(lst_Jobs,D38&amp;"")&gt;0,"OK","CHECK"))</f>
        <v/>
      </c>
      <c r="F38" s="24" t="n"/>
      <c r="G38" s="24" t="n"/>
      <c r="H38" s="24" t="n"/>
      <c r="I38" s="24" t="n"/>
      <c r="J38" s="24" t="n"/>
      <c r="K38" s="22" t="n"/>
      <c r="L38" s="22" t="n"/>
      <c r="M38" s="25">
        <f>IF(N38="","",IF(OR(K38="",L38=""),"one month",TEXT(MAX(1,(YEAR(L38)-YEAR(K38))*12+MONTH(L38)-MONTH(K38)+1),"0")&amp;" months - see Deferred Revenue"))</f>
        <v/>
      </c>
      <c r="N38" s="26" t="n"/>
      <c r="O38" s="24" t="n"/>
      <c r="P38" s="25">
        <f>IF(N(N38)=0,"",IF(N38&gt;0,set_WIPAsset,IF(J38="Cost",IF(O38="","(set the P&amp;L Account)",O38),IF(O38="",set_WIPIncome,O38))))</f>
        <v/>
      </c>
      <c r="Q38" s="25">
        <f>IF(N(N38)=0,"",IF(N38&gt;0,IF(J38="Cost",IF(O38="","(set the P&amp;L Account)",O38),IF(O38="",set_WIPIncome,O38)),set_WIPAsset))</f>
        <v/>
      </c>
      <c r="R38" s="27">
        <f>IF(OR(N(N38)=0,K38&lt;&gt;""),"",ABS(N38))</f>
        <v/>
      </c>
      <c r="S38" s="25">
        <f>IF(N(N38)=0,"",IF(K38&lt;&gt;"","spreads monthly - see Deferred Revenue","WIP "&amp;I38&amp;IF(D38="",""," - "&amp;D38)&amp;IF(F38="",""," "&amp;F38)&amp;IF(H38="",""," - "&amp;H38)))</f>
        <v/>
      </c>
      <c r="T38" s="24" t="n"/>
      <c r="U38" s="24" t="n"/>
      <c r="V38" s="24" t="n"/>
    </row>
    <row r="39" ht="15" customHeight="1">
      <c r="A39" s="70" t="n"/>
      <c r="B39" s="68">
        <f>IF(C39="","",IFERROR(INDEX(tbl_Finance[Date],MATCH(C39&amp;"",tbl_Finance[Xero Invoice No],0)),""))</f>
        <v/>
      </c>
      <c r="C39" s="24" t="n"/>
      <c r="D39" s="24" t="n"/>
      <c r="E39" s="25">
        <f>IF(D39="","",IF(COUNTIF(lst_Jobs,D39&amp;"")&gt;0,"OK","CHECK"))</f>
        <v/>
      </c>
      <c r="F39" s="24" t="n"/>
      <c r="G39" s="24" t="n"/>
      <c r="H39" s="24" t="n"/>
      <c r="I39" s="24" t="n"/>
      <c r="J39" s="24" t="n"/>
      <c r="K39" s="22" t="n"/>
      <c r="L39" s="22" t="n"/>
      <c r="M39" s="25">
        <f>IF(N39="","",IF(OR(K39="",L39=""),"one month",TEXT(MAX(1,(YEAR(L39)-YEAR(K39))*12+MONTH(L39)-MONTH(K39)+1),"0")&amp;" months - see Deferred Revenue"))</f>
        <v/>
      </c>
      <c r="N39" s="26" t="n"/>
      <c r="O39" s="24" t="n"/>
      <c r="P39" s="25">
        <f>IF(N(N39)=0,"",IF(N39&gt;0,set_WIPAsset,IF(J39="Cost",IF(O39="","(set the P&amp;L Account)",O39),IF(O39="",set_WIPIncome,O39))))</f>
        <v/>
      </c>
      <c r="Q39" s="25">
        <f>IF(N(N39)=0,"",IF(N39&gt;0,IF(J39="Cost",IF(O39="","(set the P&amp;L Account)",O39),IF(O39="",set_WIPIncome,O39)),set_WIPAsset))</f>
        <v/>
      </c>
      <c r="R39" s="27">
        <f>IF(OR(N(N39)=0,K39&lt;&gt;""),"",ABS(N39))</f>
        <v/>
      </c>
      <c r="S39" s="25">
        <f>IF(N(N39)=0,"",IF(K39&lt;&gt;"","spreads monthly - see Deferred Revenue","WIP "&amp;I39&amp;IF(D39="",""," - "&amp;D39)&amp;IF(F39="",""," "&amp;F39)&amp;IF(H39="",""," - "&amp;H39)))</f>
        <v/>
      </c>
      <c r="T39" s="24" t="n"/>
      <c r="U39" s="24" t="n"/>
      <c r="V39" s="24" t="n"/>
    </row>
    <row r="40" ht="15" customHeight="1">
      <c r="A40" s="70" t="n"/>
      <c r="B40" s="68">
        <f>IF(C40="","",IFERROR(INDEX(tbl_Finance[Date],MATCH(C40&amp;"",tbl_Finance[Xero Invoice No],0)),""))</f>
        <v/>
      </c>
      <c r="C40" s="24" t="n"/>
      <c r="D40" s="24" t="n"/>
      <c r="E40" s="25">
        <f>IF(D40="","",IF(COUNTIF(lst_Jobs,D40&amp;"")&gt;0,"OK","CHECK"))</f>
        <v/>
      </c>
      <c r="F40" s="24" t="n"/>
      <c r="G40" s="24" t="n"/>
      <c r="H40" s="24" t="n"/>
      <c r="I40" s="24" t="n"/>
      <c r="J40" s="24" t="n"/>
      <c r="K40" s="22" t="n"/>
      <c r="L40" s="22" t="n"/>
      <c r="M40" s="25">
        <f>IF(N40="","",IF(OR(K40="",L40=""),"one month",TEXT(MAX(1,(YEAR(L40)-YEAR(K40))*12+MONTH(L40)-MONTH(K40)+1),"0")&amp;" months - see Deferred Revenue"))</f>
        <v/>
      </c>
      <c r="N40" s="26" t="n"/>
      <c r="O40" s="24" t="n"/>
      <c r="P40" s="25">
        <f>IF(N(N40)=0,"",IF(N40&gt;0,set_WIPAsset,IF(J40="Cost",IF(O40="","(set the P&amp;L Account)",O40),IF(O40="",set_WIPIncome,O40))))</f>
        <v/>
      </c>
      <c r="Q40" s="25">
        <f>IF(N(N40)=0,"",IF(N40&gt;0,IF(J40="Cost",IF(O40="","(set the P&amp;L Account)",O40),IF(O40="",set_WIPIncome,O40)),set_WIPAsset))</f>
        <v/>
      </c>
      <c r="R40" s="27">
        <f>IF(OR(N(N40)=0,K40&lt;&gt;""),"",ABS(N40))</f>
        <v/>
      </c>
      <c r="S40" s="25">
        <f>IF(N(N40)=0,"",IF(K40&lt;&gt;"","spreads monthly - see Deferred Revenue","WIP "&amp;I40&amp;IF(D40="",""," - "&amp;D40)&amp;IF(F40="",""," "&amp;F40)&amp;IF(H40="",""," - "&amp;H40)))</f>
        <v/>
      </c>
      <c r="T40" s="24" t="n"/>
      <c r="U40" s="24" t="n"/>
      <c r="V40" s="24" t="n"/>
    </row>
    <row r="41" ht="15" customHeight="1">
      <c r="A41" s="70" t="n"/>
      <c r="B41" s="68">
        <f>IF(C41="","",IFERROR(INDEX(tbl_Finance[Date],MATCH(C41&amp;"",tbl_Finance[Xero Invoice No],0)),""))</f>
        <v/>
      </c>
      <c r="C41" s="24" t="n"/>
      <c r="D41" s="24" t="n"/>
      <c r="E41" s="25">
        <f>IF(D41="","",IF(COUNTIF(lst_Jobs,D41&amp;"")&gt;0,"OK","CHECK"))</f>
        <v/>
      </c>
      <c r="F41" s="24" t="n"/>
      <c r="G41" s="24" t="n"/>
      <c r="H41" s="24" t="n"/>
      <c r="I41" s="24" t="n"/>
      <c r="J41" s="24" t="n"/>
      <c r="K41" s="22" t="n"/>
      <c r="L41" s="22" t="n"/>
      <c r="M41" s="25">
        <f>IF(N41="","",IF(OR(K41="",L41=""),"one month",TEXT(MAX(1,(YEAR(L41)-YEAR(K41))*12+MONTH(L41)-MONTH(K41)+1),"0")&amp;" months - see Deferred Revenue"))</f>
        <v/>
      </c>
      <c r="N41" s="26" t="n"/>
      <c r="O41" s="24" t="n"/>
      <c r="P41" s="25">
        <f>IF(N(N41)=0,"",IF(N41&gt;0,set_WIPAsset,IF(J41="Cost",IF(O41="","(set the P&amp;L Account)",O41),IF(O41="",set_WIPIncome,O41))))</f>
        <v/>
      </c>
      <c r="Q41" s="25">
        <f>IF(N(N41)=0,"",IF(N41&gt;0,IF(J41="Cost",IF(O41="","(set the P&amp;L Account)",O41),IF(O41="",set_WIPIncome,O41)),set_WIPAsset))</f>
        <v/>
      </c>
      <c r="R41" s="27">
        <f>IF(OR(N(N41)=0,K41&lt;&gt;""),"",ABS(N41))</f>
        <v/>
      </c>
      <c r="S41" s="25">
        <f>IF(N(N41)=0,"",IF(K41&lt;&gt;"","spreads monthly - see Deferred Revenue","WIP "&amp;I41&amp;IF(D41="",""," - "&amp;D41)&amp;IF(F41="",""," "&amp;F41)&amp;IF(H41="",""," - "&amp;H41)))</f>
        <v/>
      </c>
      <c r="T41" s="24" t="n"/>
      <c r="U41" s="24" t="n"/>
      <c r="V41" s="24" t="n"/>
    </row>
    <row r="42" ht="15" customHeight="1">
      <c r="A42" s="70" t="n"/>
      <c r="B42" s="68">
        <f>IF(C42="","",IFERROR(INDEX(tbl_Finance[Date],MATCH(C42&amp;"",tbl_Finance[Xero Invoice No],0)),""))</f>
        <v/>
      </c>
      <c r="C42" s="24" t="n"/>
      <c r="D42" s="24" t="n"/>
      <c r="E42" s="25">
        <f>IF(D42="","",IF(COUNTIF(lst_Jobs,D42&amp;"")&gt;0,"OK","CHECK"))</f>
        <v/>
      </c>
      <c r="F42" s="24" t="n"/>
      <c r="G42" s="24" t="n"/>
      <c r="H42" s="24" t="n"/>
      <c r="I42" s="24" t="n"/>
      <c r="J42" s="24" t="n"/>
      <c r="K42" s="22" t="n"/>
      <c r="L42" s="22" t="n"/>
      <c r="M42" s="25">
        <f>IF(N42="","",IF(OR(K42="",L42=""),"one month",TEXT(MAX(1,(YEAR(L42)-YEAR(K42))*12+MONTH(L42)-MONTH(K42)+1),"0")&amp;" months - see Deferred Revenue"))</f>
        <v/>
      </c>
      <c r="N42" s="26" t="n"/>
      <c r="O42" s="24" t="n"/>
      <c r="P42" s="25">
        <f>IF(N(N42)=0,"",IF(N42&gt;0,set_WIPAsset,IF(J42="Cost",IF(O42="","(set the P&amp;L Account)",O42),IF(O42="",set_WIPIncome,O42))))</f>
        <v/>
      </c>
      <c r="Q42" s="25">
        <f>IF(N(N42)=0,"",IF(N42&gt;0,IF(J42="Cost",IF(O42="","(set the P&amp;L Account)",O42),IF(O42="",set_WIPIncome,O42)),set_WIPAsset))</f>
        <v/>
      </c>
      <c r="R42" s="27">
        <f>IF(OR(N(N42)=0,K42&lt;&gt;""),"",ABS(N42))</f>
        <v/>
      </c>
      <c r="S42" s="25">
        <f>IF(N(N42)=0,"",IF(K42&lt;&gt;"","spreads monthly - see Deferred Revenue","WIP "&amp;I42&amp;IF(D42="",""," - "&amp;D42)&amp;IF(F42="",""," "&amp;F42)&amp;IF(H42="",""," - "&amp;H42)))</f>
        <v/>
      </c>
      <c r="T42" s="24" t="n"/>
      <c r="U42" s="24" t="n"/>
      <c r="V42" s="24" t="n"/>
    </row>
    <row r="43" ht="15" customHeight="1">
      <c r="A43" s="70" t="n"/>
      <c r="B43" s="68">
        <f>IF(C43="","",IFERROR(INDEX(tbl_Finance[Date],MATCH(C43&amp;"",tbl_Finance[Xero Invoice No],0)),""))</f>
        <v/>
      </c>
      <c r="C43" s="24" t="n"/>
      <c r="D43" s="24" t="n"/>
      <c r="E43" s="25">
        <f>IF(D43="","",IF(COUNTIF(lst_Jobs,D43&amp;"")&gt;0,"OK","CHECK"))</f>
        <v/>
      </c>
      <c r="F43" s="24" t="n"/>
      <c r="G43" s="24" t="n"/>
      <c r="H43" s="24" t="n"/>
      <c r="I43" s="24" t="n"/>
      <c r="J43" s="24" t="n"/>
      <c r="K43" s="22" t="n"/>
      <c r="L43" s="22" t="n"/>
      <c r="M43" s="25">
        <f>IF(N43="","",IF(OR(K43="",L43=""),"one month",TEXT(MAX(1,(YEAR(L43)-YEAR(K43))*12+MONTH(L43)-MONTH(K43)+1),"0")&amp;" months - see Deferred Revenue"))</f>
        <v/>
      </c>
      <c r="N43" s="26" t="n"/>
      <c r="O43" s="24" t="n"/>
      <c r="P43" s="25">
        <f>IF(N(N43)=0,"",IF(N43&gt;0,set_WIPAsset,IF(J43="Cost",IF(O43="","(set the P&amp;L Account)",O43),IF(O43="",set_WIPIncome,O43))))</f>
        <v/>
      </c>
      <c r="Q43" s="25">
        <f>IF(N(N43)=0,"",IF(N43&gt;0,IF(J43="Cost",IF(O43="","(set the P&amp;L Account)",O43),IF(O43="",set_WIPIncome,O43)),set_WIPAsset))</f>
        <v/>
      </c>
      <c r="R43" s="27">
        <f>IF(OR(N(N43)=0,K43&lt;&gt;""),"",ABS(N43))</f>
        <v/>
      </c>
      <c r="S43" s="25">
        <f>IF(N(N43)=0,"",IF(K43&lt;&gt;"","spreads monthly - see Deferred Revenue","WIP "&amp;I43&amp;IF(D43="",""," - "&amp;D43)&amp;IF(F43="",""," "&amp;F43)&amp;IF(H43="",""," - "&amp;H43)))</f>
        <v/>
      </c>
      <c r="T43" s="24" t="n"/>
      <c r="U43" s="24" t="n"/>
      <c r="V43" s="24" t="n"/>
    </row>
    <row r="44" ht="15" customHeight="1">
      <c r="A44" s="70" t="n"/>
      <c r="B44" s="68">
        <f>IF(C44="","",IFERROR(INDEX(tbl_Finance[Date],MATCH(C44&amp;"",tbl_Finance[Xero Invoice No],0)),""))</f>
        <v/>
      </c>
      <c r="C44" s="24" t="n"/>
      <c r="D44" s="24" t="n"/>
      <c r="E44" s="25">
        <f>IF(D44="","",IF(COUNTIF(lst_Jobs,D44&amp;"")&gt;0,"OK","CHECK"))</f>
        <v/>
      </c>
      <c r="F44" s="24" t="n"/>
      <c r="G44" s="24" t="n"/>
      <c r="H44" s="24" t="n"/>
      <c r="I44" s="24" t="n"/>
      <c r="J44" s="24" t="n"/>
      <c r="K44" s="22" t="n"/>
      <c r="L44" s="22" t="n"/>
      <c r="M44" s="25">
        <f>IF(N44="","",IF(OR(K44="",L44=""),"one month",TEXT(MAX(1,(YEAR(L44)-YEAR(K44))*12+MONTH(L44)-MONTH(K44)+1),"0")&amp;" months - see Deferred Revenue"))</f>
        <v/>
      </c>
      <c r="N44" s="26" t="n"/>
      <c r="O44" s="24" t="n"/>
      <c r="P44" s="25">
        <f>IF(N(N44)=0,"",IF(N44&gt;0,set_WIPAsset,IF(J44="Cost",IF(O44="","(set the P&amp;L Account)",O44),IF(O44="",set_WIPIncome,O44))))</f>
        <v/>
      </c>
      <c r="Q44" s="25">
        <f>IF(N(N44)=0,"",IF(N44&gt;0,IF(J44="Cost",IF(O44="","(set the P&amp;L Account)",O44),IF(O44="",set_WIPIncome,O44)),set_WIPAsset))</f>
        <v/>
      </c>
      <c r="R44" s="27">
        <f>IF(OR(N(N44)=0,K44&lt;&gt;""),"",ABS(N44))</f>
        <v/>
      </c>
      <c r="S44" s="25">
        <f>IF(N(N44)=0,"",IF(K44&lt;&gt;"","spreads monthly - see Deferred Revenue","WIP "&amp;I44&amp;IF(D44="",""," - "&amp;D44)&amp;IF(F44="",""," "&amp;F44)&amp;IF(H44="",""," - "&amp;H44)))</f>
        <v/>
      </c>
      <c r="T44" s="24" t="n"/>
      <c r="U44" s="24" t="n"/>
      <c r="V44" s="24" t="n"/>
    </row>
    <row r="45" ht="15" customHeight="1">
      <c r="A45" s="70" t="n"/>
      <c r="B45" s="68">
        <f>IF(C45="","",IFERROR(INDEX(tbl_Finance[Date],MATCH(C45&amp;"",tbl_Finance[Xero Invoice No],0)),""))</f>
        <v/>
      </c>
      <c r="C45" s="24" t="n"/>
      <c r="D45" s="24" t="n"/>
      <c r="E45" s="25">
        <f>IF(D45="","",IF(COUNTIF(lst_Jobs,D45&amp;"")&gt;0,"OK","CHECK"))</f>
        <v/>
      </c>
      <c r="F45" s="24" t="n"/>
      <c r="G45" s="24" t="n"/>
      <c r="H45" s="24" t="n"/>
      <c r="I45" s="24" t="n"/>
      <c r="J45" s="24" t="n"/>
      <c r="K45" s="22" t="n"/>
      <c r="L45" s="22" t="n"/>
      <c r="M45" s="25">
        <f>IF(N45="","",IF(OR(K45="",L45=""),"one month",TEXT(MAX(1,(YEAR(L45)-YEAR(K45))*12+MONTH(L45)-MONTH(K45)+1),"0")&amp;" months - see Deferred Revenue"))</f>
        <v/>
      </c>
      <c r="N45" s="26" t="n"/>
      <c r="O45" s="24" t="n"/>
      <c r="P45" s="25">
        <f>IF(N(N45)=0,"",IF(N45&gt;0,set_WIPAsset,IF(J45="Cost",IF(O45="","(set the P&amp;L Account)",O45),IF(O45="",set_WIPIncome,O45))))</f>
        <v/>
      </c>
      <c r="Q45" s="25">
        <f>IF(N(N45)=0,"",IF(N45&gt;0,IF(J45="Cost",IF(O45="","(set the P&amp;L Account)",O45),IF(O45="",set_WIPIncome,O45)),set_WIPAsset))</f>
        <v/>
      </c>
      <c r="R45" s="27">
        <f>IF(OR(N(N45)=0,K45&lt;&gt;""),"",ABS(N45))</f>
        <v/>
      </c>
      <c r="S45" s="25">
        <f>IF(N(N45)=0,"",IF(K45&lt;&gt;"","spreads monthly - see Deferred Revenue","WIP "&amp;I45&amp;IF(D45="",""," - "&amp;D45)&amp;IF(F45="",""," "&amp;F45)&amp;IF(H45="",""," - "&amp;H45)))</f>
        <v/>
      </c>
      <c r="T45" s="24" t="n"/>
      <c r="U45" s="24" t="n"/>
      <c r="V45" s="24" t="n"/>
    </row>
    <row r="46" ht="15" customHeight="1">
      <c r="A46" s="70" t="n"/>
      <c r="B46" s="68">
        <f>IF(C46="","",IFERROR(INDEX(tbl_Finance[Date],MATCH(C46&amp;"",tbl_Finance[Xero Invoice No],0)),""))</f>
        <v/>
      </c>
      <c r="C46" s="24" t="n"/>
      <c r="D46" s="24" t="n"/>
      <c r="E46" s="25">
        <f>IF(D46="","",IF(COUNTIF(lst_Jobs,D46&amp;"")&gt;0,"OK","CHECK"))</f>
        <v/>
      </c>
      <c r="F46" s="24" t="n"/>
      <c r="G46" s="24" t="n"/>
      <c r="H46" s="24" t="n"/>
      <c r="I46" s="24" t="n"/>
      <c r="J46" s="24" t="n"/>
      <c r="K46" s="22" t="n"/>
      <c r="L46" s="22" t="n"/>
      <c r="M46" s="25">
        <f>IF(N46="","",IF(OR(K46="",L46=""),"one month",TEXT(MAX(1,(YEAR(L46)-YEAR(K46))*12+MONTH(L46)-MONTH(K46)+1),"0")&amp;" months - see Deferred Revenue"))</f>
        <v/>
      </c>
      <c r="N46" s="26" t="n"/>
      <c r="O46" s="24" t="n"/>
      <c r="P46" s="25">
        <f>IF(N(N46)=0,"",IF(N46&gt;0,set_WIPAsset,IF(J46="Cost",IF(O46="","(set the P&amp;L Account)",O46),IF(O46="",set_WIPIncome,O46))))</f>
        <v/>
      </c>
      <c r="Q46" s="25">
        <f>IF(N(N46)=0,"",IF(N46&gt;0,IF(J46="Cost",IF(O46="","(set the P&amp;L Account)",O46),IF(O46="",set_WIPIncome,O46)),set_WIPAsset))</f>
        <v/>
      </c>
      <c r="R46" s="27">
        <f>IF(OR(N(N46)=0,K46&lt;&gt;""),"",ABS(N46))</f>
        <v/>
      </c>
      <c r="S46" s="25">
        <f>IF(N(N46)=0,"",IF(K46&lt;&gt;"","spreads monthly - see Deferred Revenue","WIP "&amp;I46&amp;IF(D46="",""," - "&amp;D46)&amp;IF(F46="",""," "&amp;F46)&amp;IF(H46="",""," - "&amp;H46)))</f>
        <v/>
      </c>
      <c r="T46" s="24" t="n"/>
      <c r="U46" s="24" t="n"/>
      <c r="V46" s="24" t="n"/>
    </row>
    <row r="47" ht="15" customHeight="1">
      <c r="A47" s="70" t="n"/>
      <c r="B47" s="68">
        <f>IF(C47="","",IFERROR(INDEX(tbl_Finance[Date],MATCH(C47&amp;"",tbl_Finance[Xero Invoice No],0)),""))</f>
        <v/>
      </c>
      <c r="C47" s="24" t="n"/>
      <c r="D47" s="24" t="n"/>
      <c r="E47" s="25">
        <f>IF(D47="","",IF(COUNTIF(lst_Jobs,D47&amp;"")&gt;0,"OK","CHECK"))</f>
        <v/>
      </c>
      <c r="F47" s="24" t="n"/>
      <c r="G47" s="24" t="n"/>
      <c r="H47" s="24" t="n"/>
      <c r="I47" s="24" t="n"/>
      <c r="J47" s="24" t="n"/>
      <c r="K47" s="22" t="n"/>
      <c r="L47" s="22" t="n"/>
      <c r="M47" s="25">
        <f>IF(N47="","",IF(OR(K47="",L47=""),"one month",TEXT(MAX(1,(YEAR(L47)-YEAR(K47))*12+MONTH(L47)-MONTH(K47)+1),"0")&amp;" months - see Deferred Revenue"))</f>
        <v/>
      </c>
      <c r="N47" s="26" t="n"/>
      <c r="O47" s="24" t="n"/>
      <c r="P47" s="25">
        <f>IF(N(N47)=0,"",IF(N47&gt;0,set_WIPAsset,IF(J47="Cost",IF(O47="","(set the P&amp;L Account)",O47),IF(O47="",set_WIPIncome,O47))))</f>
        <v/>
      </c>
      <c r="Q47" s="25">
        <f>IF(N(N47)=0,"",IF(N47&gt;0,IF(J47="Cost",IF(O47="","(set the P&amp;L Account)",O47),IF(O47="",set_WIPIncome,O47)),set_WIPAsset))</f>
        <v/>
      </c>
      <c r="R47" s="27">
        <f>IF(OR(N(N47)=0,K47&lt;&gt;""),"",ABS(N47))</f>
        <v/>
      </c>
      <c r="S47" s="25">
        <f>IF(N(N47)=0,"",IF(K47&lt;&gt;"","spreads monthly - see Deferred Revenue","WIP "&amp;I47&amp;IF(D47="",""," - "&amp;D47)&amp;IF(F47="",""," "&amp;F47)&amp;IF(H47="",""," - "&amp;H47)))</f>
        <v/>
      </c>
      <c r="T47" s="24" t="n"/>
      <c r="U47" s="24" t="n"/>
      <c r="V47" s="24" t="n"/>
    </row>
    <row r="48" ht="15" customHeight="1">
      <c r="A48" s="70" t="n"/>
      <c r="B48" s="68">
        <f>IF(C48="","",IFERROR(INDEX(tbl_Finance[Date],MATCH(C48&amp;"",tbl_Finance[Xero Invoice No],0)),""))</f>
        <v/>
      </c>
      <c r="C48" s="24" t="n"/>
      <c r="D48" s="24" t="n"/>
      <c r="E48" s="25">
        <f>IF(D48="","",IF(COUNTIF(lst_Jobs,D48&amp;"")&gt;0,"OK","CHECK"))</f>
        <v/>
      </c>
      <c r="F48" s="24" t="n"/>
      <c r="G48" s="24" t="n"/>
      <c r="H48" s="24" t="n"/>
      <c r="I48" s="24" t="n"/>
      <c r="J48" s="24" t="n"/>
      <c r="K48" s="22" t="n"/>
      <c r="L48" s="22" t="n"/>
      <c r="M48" s="25">
        <f>IF(N48="","",IF(OR(K48="",L48=""),"one month",TEXT(MAX(1,(YEAR(L48)-YEAR(K48))*12+MONTH(L48)-MONTH(K48)+1),"0")&amp;" months - see Deferred Revenue"))</f>
        <v/>
      </c>
      <c r="N48" s="26" t="n"/>
      <c r="O48" s="24" t="n"/>
      <c r="P48" s="25">
        <f>IF(N(N48)=0,"",IF(N48&gt;0,set_WIPAsset,IF(J48="Cost",IF(O48="","(set the P&amp;L Account)",O48),IF(O48="",set_WIPIncome,O48))))</f>
        <v/>
      </c>
      <c r="Q48" s="25">
        <f>IF(N(N48)=0,"",IF(N48&gt;0,IF(J48="Cost",IF(O48="","(set the P&amp;L Account)",O48),IF(O48="",set_WIPIncome,O48)),set_WIPAsset))</f>
        <v/>
      </c>
      <c r="R48" s="27">
        <f>IF(OR(N(N48)=0,K48&lt;&gt;""),"",ABS(N48))</f>
        <v/>
      </c>
      <c r="S48" s="25">
        <f>IF(N(N48)=0,"",IF(K48&lt;&gt;"","spreads monthly - see Deferred Revenue","WIP "&amp;I48&amp;IF(D48="",""," - "&amp;D48)&amp;IF(F48="",""," "&amp;F48)&amp;IF(H48="",""," - "&amp;H48)))</f>
        <v/>
      </c>
      <c r="T48" s="24" t="n"/>
      <c r="U48" s="24" t="n"/>
      <c r="V48" s="24" t="n"/>
    </row>
    <row r="49" ht="15" customHeight="1">
      <c r="A49" s="70" t="n"/>
      <c r="B49" s="68">
        <f>IF(C49="","",IFERROR(INDEX(tbl_Finance[Date],MATCH(C49&amp;"",tbl_Finance[Xero Invoice No],0)),""))</f>
        <v/>
      </c>
      <c r="C49" s="24" t="n"/>
      <c r="D49" s="24" t="n"/>
      <c r="E49" s="25">
        <f>IF(D49="","",IF(COUNTIF(lst_Jobs,D49&amp;"")&gt;0,"OK","CHECK"))</f>
        <v/>
      </c>
      <c r="F49" s="24" t="n"/>
      <c r="G49" s="24" t="n"/>
      <c r="H49" s="24" t="n"/>
      <c r="I49" s="24" t="n"/>
      <c r="J49" s="24" t="n"/>
      <c r="K49" s="22" t="n"/>
      <c r="L49" s="22" t="n"/>
      <c r="M49" s="25">
        <f>IF(N49="","",IF(OR(K49="",L49=""),"one month",TEXT(MAX(1,(YEAR(L49)-YEAR(K49))*12+MONTH(L49)-MONTH(K49)+1),"0")&amp;" months - see Deferred Revenue"))</f>
        <v/>
      </c>
      <c r="N49" s="26" t="n"/>
      <c r="O49" s="24" t="n"/>
      <c r="P49" s="25">
        <f>IF(N(N49)=0,"",IF(N49&gt;0,set_WIPAsset,IF(J49="Cost",IF(O49="","(set the P&amp;L Account)",O49),IF(O49="",set_WIPIncome,O49))))</f>
        <v/>
      </c>
      <c r="Q49" s="25">
        <f>IF(N(N49)=0,"",IF(N49&gt;0,IF(J49="Cost",IF(O49="","(set the P&amp;L Account)",O49),IF(O49="",set_WIPIncome,O49)),set_WIPAsset))</f>
        <v/>
      </c>
      <c r="R49" s="27">
        <f>IF(OR(N(N49)=0,K49&lt;&gt;""),"",ABS(N49))</f>
        <v/>
      </c>
      <c r="S49" s="25">
        <f>IF(N(N49)=0,"",IF(K49&lt;&gt;"","spreads monthly - see Deferred Revenue","WIP "&amp;I49&amp;IF(D49="",""," - "&amp;D49)&amp;IF(F49="",""," "&amp;F49)&amp;IF(H49="",""," - "&amp;H49)))</f>
        <v/>
      </c>
      <c r="T49" s="24" t="n"/>
      <c r="U49" s="24" t="n"/>
      <c r="V49" s="24" t="n"/>
    </row>
    <row r="50" ht="15" customHeight="1">
      <c r="A50" s="70" t="n"/>
      <c r="B50" s="68">
        <f>IF(C50="","",IFERROR(INDEX(tbl_Finance[Date],MATCH(C50&amp;"",tbl_Finance[Xero Invoice No],0)),""))</f>
        <v/>
      </c>
      <c r="C50" s="24" t="n"/>
      <c r="D50" s="24" t="n"/>
      <c r="E50" s="25">
        <f>IF(D50="","",IF(COUNTIF(lst_Jobs,D50&amp;"")&gt;0,"OK","CHECK"))</f>
        <v/>
      </c>
      <c r="F50" s="24" t="n"/>
      <c r="G50" s="24" t="n"/>
      <c r="H50" s="24" t="n"/>
      <c r="I50" s="24" t="n"/>
      <c r="J50" s="24" t="n"/>
      <c r="K50" s="22" t="n"/>
      <c r="L50" s="22" t="n"/>
      <c r="M50" s="25">
        <f>IF(N50="","",IF(OR(K50="",L50=""),"one month",TEXT(MAX(1,(YEAR(L50)-YEAR(K50))*12+MONTH(L50)-MONTH(K50)+1),"0")&amp;" months - see Deferred Revenue"))</f>
        <v/>
      </c>
      <c r="N50" s="26" t="n"/>
      <c r="O50" s="24" t="n"/>
      <c r="P50" s="25">
        <f>IF(N(N50)=0,"",IF(N50&gt;0,set_WIPAsset,IF(J50="Cost",IF(O50="","(set the P&amp;L Account)",O50),IF(O50="",set_WIPIncome,O50))))</f>
        <v/>
      </c>
      <c r="Q50" s="25">
        <f>IF(N(N50)=0,"",IF(N50&gt;0,IF(J50="Cost",IF(O50="","(set the P&amp;L Account)",O50),IF(O50="",set_WIPIncome,O50)),set_WIPAsset))</f>
        <v/>
      </c>
      <c r="R50" s="27">
        <f>IF(OR(N(N50)=0,K50&lt;&gt;""),"",ABS(N50))</f>
        <v/>
      </c>
      <c r="S50" s="25">
        <f>IF(N(N50)=0,"",IF(K50&lt;&gt;"","spreads monthly - see Deferred Revenue","WIP "&amp;I50&amp;IF(D50="",""," - "&amp;D50)&amp;IF(F50="",""," "&amp;F50)&amp;IF(H50="",""," - "&amp;H50)))</f>
        <v/>
      </c>
      <c r="T50" s="24" t="n"/>
      <c r="U50" s="24" t="n"/>
      <c r="V50" s="24" t="n"/>
    </row>
    <row r="51" ht="15" customHeight="1">
      <c r="A51" s="70" t="n"/>
      <c r="B51" s="68">
        <f>IF(C51="","",IFERROR(INDEX(tbl_Finance[Date],MATCH(C51&amp;"",tbl_Finance[Xero Invoice No],0)),""))</f>
        <v/>
      </c>
      <c r="C51" s="24" t="n"/>
      <c r="D51" s="24" t="n"/>
      <c r="E51" s="25">
        <f>IF(D51="","",IF(COUNTIF(lst_Jobs,D51&amp;"")&gt;0,"OK","CHECK"))</f>
        <v/>
      </c>
      <c r="F51" s="24" t="n"/>
      <c r="G51" s="24" t="n"/>
      <c r="H51" s="24" t="n"/>
      <c r="I51" s="24" t="n"/>
      <c r="J51" s="24" t="n"/>
      <c r="K51" s="22" t="n"/>
      <c r="L51" s="22" t="n"/>
      <c r="M51" s="25">
        <f>IF(N51="","",IF(OR(K51="",L51=""),"one month",TEXT(MAX(1,(YEAR(L51)-YEAR(K51))*12+MONTH(L51)-MONTH(K51)+1),"0")&amp;" months - see Deferred Revenue"))</f>
        <v/>
      </c>
      <c r="N51" s="26" t="n"/>
      <c r="O51" s="24" t="n"/>
      <c r="P51" s="25">
        <f>IF(N(N51)=0,"",IF(N51&gt;0,set_WIPAsset,IF(J51="Cost",IF(O51="","(set the P&amp;L Account)",O51),IF(O51="",set_WIPIncome,O51))))</f>
        <v/>
      </c>
      <c r="Q51" s="25">
        <f>IF(N(N51)=0,"",IF(N51&gt;0,IF(J51="Cost",IF(O51="","(set the P&amp;L Account)",O51),IF(O51="",set_WIPIncome,O51)),set_WIPAsset))</f>
        <v/>
      </c>
      <c r="R51" s="27">
        <f>IF(OR(N(N51)=0,K51&lt;&gt;""),"",ABS(N51))</f>
        <v/>
      </c>
      <c r="S51" s="25">
        <f>IF(N(N51)=0,"",IF(K51&lt;&gt;"","spreads monthly - see Deferred Revenue","WIP "&amp;I51&amp;IF(D51="",""," - "&amp;D51)&amp;IF(F51="",""," "&amp;F51)&amp;IF(H51="",""," - "&amp;H51)))</f>
        <v/>
      </c>
      <c r="T51" s="24" t="n"/>
      <c r="U51" s="24" t="n"/>
      <c r="V51" s="24" t="n"/>
    </row>
    <row r="52" ht="15" customHeight="1">
      <c r="A52" s="70" t="n"/>
      <c r="B52" s="68">
        <f>IF(C52="","",IFERROR(INDEX(tbl_Finance[Date],MATCH(C52&amp;"",tbl_Finance[Xero Invoice No],0)),""))</f>
        <v/>
      </c>
      <c r="C52" s="24" t="n"/>
      <c r="D52" s="24" t="n"/>
      <c r="E52" s="25">
        <f>IF(D52="","",IF(COUNTIF(lst_Jobs,D52&amp;"")&gt;0,"OK","CHECK"))</f>
        <v/>
      </c>
      <c r="F52" s="24" t="n"/>
      <c r="G52" s="24" t="n"/>
      <c r="H52" s="24" t="n"/>
      <c r="I52" s="24" t="n"/>
      <c r="J52" s="24" t="n"/>
      <c r="K52" s="22" t="n"/>
      <c r="L52" s="22" t="n"/>
      <c r="M52" s="25">
        <f>IF(N52="","",IF(OR(K52="",L52=""),"one month",TEXT(MAX(1,(YEAR(L52)-YEAR(K52))*12+MONTH(L52)-MONTH(K52)+1),"0")&amp;" months - see Deferred Revenue"))</f>
        <v/>
      </c>
      <c r="N52" s="26" t="n"/>
      <c r="O52" s="24" t="n"/>
      <c r="P52" s="25">
        <f>IF(N(N52)=0,"",IF(N52&gt;0,set_WIPAsset,IF(J52="Cost",IF(O52="","(set the P&amp;L Account)",O52),IF(O52="",set_WIPIncome,O52))))</f>
        <v/>
      </c>
      <c r="Q52" s="25">
        <f>IF(N(N52)=0,"",IF(N52&gt;0,IF(J52="Cost",IF(O52="","(set the P&amp;L Account)",O52),IF(O52="",set_WIPIncome,O52)),set_WIPAsset))</f>
        <v/>
      </c>
      <c r="R52" s="27">
        <f>IF(OR(N(N52)=0,K52&lt;&gt;""),"",ABS(N52))</f>
        <v/>
      </c>
      <c r="S52" s="25">
        <f>IF(N(N52)=0,"",IF(K52&lt;&gt;"","spreads monthly - see Deferred Revenue","WIP "&amp;I52&amp;IF(D52="",""," - "&amp;D52)&amp;IF(F52="",""," "&amp;F52)&amp;IF(H52="",""," - "&amp;H52)))</f>
        <v/>
      </c>
      <c r="T52" s="24" t="n"/>
      <c r="U52" s="24" t="n"/>
      <c r="V52" s="24" t="n"/>
    </row>
    <row r="53" ht="15" customHeight="1">
      <c r="A53" s="70" t="n"/>
      <c r="B53" s="68">
        <f>IF(C53="","",IFERROR(INDEX(tbl_Finance[Date],MATCH(C53&amp;"",tbl_Finance[Xero Invoice No],0)),""))</f>
        <v/>
      </c>
      <c r="C53" s="24" t="n"/>
      <c r="D53" s="24" t="n"/>
      <c r="E53" s="25">
        <f>IF(D53="","",IF(COUNTIF(lst_Jobs,D53&amp;"")&gt;0,"OK","CHECK"))</f>
        <v/>
      </c>
      <c r="F53" s="24" t="n"/>
      <c r="G53" s="24" t="n"/>
      <c r="H53" s="24" t="n"/>
      <c r="I53" s="24" t="n"/>
      <c r="J53" s="24" t="n"/>
      <c r="K53" s="22" t="n"/>
      <c r="L53" s="22" t="n"/>
      <c r="M53" s="25">
        <f>IF(N53="","",IF(OR(K53="",L53=""),"one month",TEXT(MAX(1,(YEAR(L53)-YEAR(K53))*12+MONTH(L53)-MONTH(K53)+1),"0")&amp;" months - see Deferred Revenue"))</f>
        <v/>
      </c>
      <c r="N53" s="26" t="n"/>
      <c r="O53" s="24" t="n"/>
      <c r="P53" s="25">
        <f>IF(N(N53)=0,"",IF(N53&gt;0,set_WIPAsset,IF(J53="Cost",IF(O53="","(set the P&amp;L Account)",O53),IF(O53="",set_WIPIncome,O53))))</f>
        <v/>
      </c>
      <c r="Q53" s="25">
        <f>IF(N(N53)=0,"",IF(N53&gt;0,IF(J53="Cost",IF(O53="","(set the P&amp;L Account)",O53),IF(O53="",set_WIPIncome,O53)),set_WIPAsset))</f>
        <v/>
      </c>
      <c r="R53" s="27">
        <f>IF(OR(N(N53)=0,K53&lt;&gt;""),"",ABS(N53))</f>
        <v/>
      </c>
      <c r="S53" s="25">
        <f>IF(N(N53)=0,"",IF(K53&lt;&gt;"","spreads monthly - see Deferred Revenue","WIP "&amp;I53&amp;IF(D53="",""," - "&amp;D53)&amp;IF(F53="",""," "&amp;F53)&amp;IF(H53="",""," - "&amp;H53)))</f>
        <v/>
      </c>
      <c r="T53" s="24" t="n"/>
      <c r="U53" s="24" t="n"/>
      <c r="V53" s="24" t="n"/>
    </row>
    <row r="54" ht="15" customHeight="1">
      <c r="A54" s="70" t="n"/>
      <c r="B54" s="68">
        <f>IF(C54="","",IFERROR(INDEX(tbl_Finance[Date],MATCH(C54&amp;"",tbl_Finance[Xero Invoice No],0)),""))</f>
        <v/>
      </c>
      <c r="C54" s="24" t="n"/>
      <c r="D54" s="24" t="n"/>
      <c r="E54" s="25">
        <f>IF(D54="","",IF(COUNTIF(lst_Jobs,D54&amp;"")&gt;0,"OK","CHECK"))</f>
        <v/>
      </c>
      <c r="F54" s="24" t="n"/>
      <c r="G54" s="24" t="n"/>
      <c r="H54" s="24" t="n"/>
      <c r="I54" s="24" t="n"/>
      <c r="J54" s="24" t="n"/>
      <c r="K54" s="22" t="n"/>
      <c r="L54" s="22" t="n"/>
      <c r="M54" s="25">
        <f>IF(N54="","",IF(OR(K54="",L54=""),"one month",TEXT(MAX(1,(YEAR(L54)-YEAR(K54))*12+MONTH(L54)-MONTH(K54)+1),"0")&amp;" months - see Deferred Revenue"))</f>
        <v/>
      </c>
      <c r="N54" s="26" t="n"/>
      <c r="O54" s="24" t="n"/>
      <c r="P54" s="25">
        <f>IF(N(N54)=0,"",IF(N54&gt;0,set_WIPAsset,IF(J54="Cost",IF(O54="","(set the P&amp;L Account)",O54),IF(O54="",set_WIPIncome,O54))))</f>
        <v/>
      </c>
      <c r="Q54" s="25">
        <f>IF(N(N54)=0,"",IF(N54&gt;0,IF(J54="Cost",IF(O54="","(set the P&amp;L Account)",O54),IF(O54="",set_WIPIncome,O54)),set_WIPAsset))</f>
        <v/>
      </c>
      <c r="R54" s="27">
        <f>IF(OR(N(N54)=0,K54&lt;&gt;""),"",ABS(N54))</f>
        <v/>
      </c>
      <c r="S54" s="25">
        <f>IF(N(N54)=0,"",IF(K54&lt;&gt;"","spreads monthly - see Deferred Revenue","WIP "&amp;I54&amp;IF(D54="",""," - "&amp;D54)&amp;IF(F54="",""," "&amp;F54)&amp;IF(H54="",""," - "&amp;H54)))</f>
        <v/>
      </c>
      <c r="T54" s="24" t="n"/>
      <c r="U54" s="24" t="n"/>
      <c r="V54" s="24" t="n"/>
    </row>
    <row r="55" ht="15" customHeight="1">
      <c r="A55" s="70" t="n"/>
      <c r="B55" s="68">
        <f>IF(C55="","",IFERROR(INDEX(tbl_Finance[Date],MATCH(C55&amp;"",tbl_Finance[Xero Invoice No],0)),""))</f>
        <v/>
      </c>
      <c r="C55" s="24" t="n"/>
      <c r="D55" s="24" t="n"/>
      <c r="E55" s="25">
        <f>IF(D55="","",IF(COUNTIF(lst_Jobs,D55&amp;"")&gt;0,"OK","CHECK"))</f>
        <v/>
      </c>
      <c r="F55" s="24" t="n"/>
      <c r="G55" s="24" t="n"/>
      <c r="H55" s="24" t="n"/>
      <c r="I55" s="24" t="n"/>
      <c r="J55" s="24" t="n"/>
      <c r="K55" s="22" t="n"/>
      <c r="L55" s="22" t="n"/>
      <c r="M55" s="25">
        <f>IF(N55="","",IF(OR(K55="",L55=""),"one month",TEXT(MAX(1,(YEAR(L55)-YEAR(K55))*12+MONTH(L55)-MONTH(K55)+1),"0")&amp;" months - see Deferred Revenue"))</f>
        <v/>
      </c>
      <c r="N55" s="26" t="n"/>
      <c r="O55" s="24" t="n"/>
      <c r="P55" s="25">
        <f>IF(N(N55)=0,"",IF(N55&gt;0,set_WIPAsset,IF(J55="Cost",IF(O55="","(set the P&amp;L Account)",O55),IF(O55="",set_WIPIncome,O55))))</f>
        <v/>
      </c>
      <c r="Q55" s="25">
        <f>IF(N(N55)=0,"",IF(N55&gt;0,IF(J55="Cost",IF(O55="","(set the P&amp;L Account)",O55),IF(O55="",set_WIPIncome,O55)),set_WIPAsset))</f>
        <v/>
      </c>
      <c r="R55" s="27">
        <f>IF(OR(N(N55)=0,K55&lt;&gt;""),"",ABS(N55))</f>
        <v/>
      </c>
      <c r="S55" s="25">
        <f>IF(N(N55)=0,"",IF(K55&lt;&gt;"","spreads monthly - see Deferred Revenue","WIP "&amp;I55&amp;IF(D55="",""," - "&amp;D55)&amp;IF(F55="",""," "&amp;F55)&amp;IF(H55="",""," - "&amp;H55)))</f>
        <v/>
      </c>
      <c r="T55" s="24" t="n"/>
      <c r="U55" s="24" t="n"/>
      <c r="V55" s="24" t="n"/>
    </row>
    <row r="56" ht="15" customHeight="1">
      <c r="A56" s="70" t="n"/>
      <c r="B56" s="68">
        <f>IF(C56="","",IFERROR(INDEX(tbl_Finance[Date],MATCH(C56&amp;"",tbl_Finance[Xero Invoice No],0)),""))</f>
        <v/>
      </c>
      <c r="C56" s="24" t="n"/>
      <c r="D56" s="24" t="n"/>
      <c r="E56" s="25">
        <f>IF(D56="","",IF(COUNTIF(lst_Jobs,D56&amp;"")&gt;0,"OK","CHECK"))</f>
        <v/>
      </c>
      <c r="F56" s="24" t="n"/>
      <c r="G56" s="24" t="n"/>
      <c r="H56" s="24" t="n"/>
      <c r="I56" s="24" t="n"/>
      <c r="J56" s="24" t="n"/>
      <c r="K56" s="22" t="n"/>
      <c r="L56" s="22" t="n"/>
      <c r="M56" s="25">
        <f>IF(N56="","",IF(OR(K56="",L56=""),"one month",TEXT(MAX(1,(YEAR(L56)-YEAR(K56))*12+MONTH(L56)-MONTH(K56)+1),"0")&amp;" months - see Deferred Revenue"))</f>
        <v/>
      </c>
      <c r="N56" s="26" t="n"/>
      <c r="O56" s="24" t="n"/>
      <c r="P56" s="25">
        <f>IF(N(N56)=0,"",IF(N56&gt;0,set_WIPAsset,IF(J56="Cost",IF(O56="","(set the P&amp;L Account)",O56),IF(O56="",set_WIPIncome,O56))))</f>
        <v/>
      </c>
      <c r="Q56" s="25">
        <f>IF(N(N56)=0,"",IF(N56&gt;0,IF(J56="Cost",IF(O56="","(set the P&amp;L Account)",O56),IF(O56="",set_WIPIncome,O56)),set_WIPAsset))</f>
        <v/>
      </c>
      <c r="R56" s="27">
        <f>IF(OR(N(N56)=0,K56&lt;&gt;""),"",ABS(N56))</f>
        <v/>
      </c>
      <c r="S56" s="25">
        <f>IF(N(N56)=0,"",IF(K56&lt;&gt;"","spreads monthly - see Deferred Revenue","WIP "&amp;I56&amp;IF(D56="",""," - "&amp;D56)&amp;IF(F56="",""," "&amp;F56)&amp;IF(H56="",""," - "&amp;H56)))</f>
        <v/>
      </c>
      <c r="T56" s="24" t="n"/>
      <c r="U56" s="24" t="n"/>
      <c r="V56" s="24" t="n"/>
    </row>
    <row r="57" ht="15" customHeight="1">
      <c r="A57" s="70" t="n"/>
      <c r="B57" s="68">
        <f>IF(C57="","",IFERROR(INDEX(tbl_Finance[Date],MATCH(C57&amp;"",tbl_Finance[Xero Invoice No],0)),""))</f>
        <v/>
      </c>
      <c r="C57" s="24" t="n"/>
      <c r="D57" s="24" t="n"/>
      <c r="E57" s="25">
        <f>IF(D57="","",IF(COUNTIF(lst_Jobs,D57&amp;"")&gt;0,"OK","CHECK"))</f>
        <v/>
      </c>
      <c r="F57" s="24" t="n"/>
      <c r="G57" s="24" t="n"/>
      <c r="H57" s="24" t="n"/>
      <c r="I57" s="24" t="n"/>
      <c r="J57" s="24" t="n"/>
      <c r="K57" s="22" t="n"/>
      <c r="L57" s="22" t="n"/>
      <c r="M57" s="25">
        <f>IF(N57="","",IF(OR(K57="",L57=""),"one month",TEXT(MAX(1,(YEAR(L57)-YEAR(K57))*12+MONTH(L57)-MONTH(K57)+1),"0")&amp;" months - see Deferred Revenue"))</f>
        <v/>
      </c>
      <c r="N57" s="26" t="n"/>
      <c r="O57" s="24" t="n"/>
      <c r="P57" s="25">
        <f>IF(N(N57)=0,"",IF(N57&gt;0,set_WIPAsset,IF(J57="Cost",IF(O57="","(set the P&amp;L Account)",O57),IF(O57="",set_WIPIncome,O57))))</f>
        <v/>
      </c>
      <c r="Q57" s="25">
        <f>IF(N(N57)=0,"",IF(N57&gt;0,IF(J57="Cost",IF(O57="","(set the P&amp;L Account)",O57),IF(O57="",set_WIPIncome,O57)),set_WIPAsset))</f>
        <v/>
      </c>
      <c r="R57" s="27">
        <f>IF(OR(N(N57)=0,K57&lt;&gt;""),"",ABS(N57))</f>
        <v/>
      </c>
      <c r="S57" s="25">
        <f>IF(N(N57)=0,"",IF(K57&lt;&gt;"","spreads monthly - see Deferred Revenue","WIP "&amp;I57&amp;IF(D57="",""," - "&amp;D57)&amp;IF(F57="",""," "&amp;F57)&amp;IF(H57="",""," - "&amp;H57)))</f>
        <v/>
      </c>
      <c r="T57" s="24" t="n"/>
      <c r="U57" s="24" t="n"/>
      <c r="V57" s="24" t="n"/>
    </row>
    <row r="58" ht="15" customHeight="1">
      <c r="A58" s="70" t="n"/>
      <c r="B58" s="68">
        <f>IF(C58="","",IFERROR(INDEX(tbl_Finance[Date],MATCH(C58&amp;"",tbl_Finance[Xero Invoice No],0)),""))</f>
        <v/>
      </c>
      <c r="C58" s="24" t="n"/>
      <c r="D58" s="24" t="n"/>
      <c r="E58" s="25">
        <f>IF(D58="","",IF(COUNTIF(lst_Jobs,D58&amp;"")&gt;0,"OK","CHECK"))</f>
        <v/>
      </c>
      <c r="F58" s="24" t="n"/>
      <c r="G58" s="24" t="n"/>
      <c r="H58" s="24" t="n"/>
      <c r="I58" s="24" t="n"/>
      <c r="J58" s="24" t="n"/>
      <c r="K58" s="22" t="n"/>
      <c r="L58" s="22" t="n"/>
      <c r="M58" s="25">
        <f>IF(N58="","",IF(OR(K58="",L58=""),"one month",TEXT(MAX(1,(YEAR(L58)-YEAR(K58))*12+MONTH(L58)-MONTH(K58)+1),"0")&amp;" months - see Deferred Revenue"))</f>
        <v/>
      </c>
      <c r="N58" s="26" t="n"/>
      <c r="O58" s="24" t="n"/>
      <c r="P58" s="25">
        <f>IF(N(N58)=0,"",IF(N58&gt;0,set_WIPAsset,IF(J58="Cost",IF(O58="","(set the P&amp;L Account)",O58),IF(O58="",set_WIPIncome,O58))))</f>
        <v/>
      </c>
      <c r="Q58" s="25">
        <f>IF(N(N58)=0,"",IF(N58&gt;0,IF(J58="Cost",IF(O58="","(set the P&amp;L Account)",O58),IF(O58="",set_WIPIncome,O58)),set_WIPAsset))</f>
        <v/>
      </c>
      <c r="R58" s="27">
        <f>IF(OR(N(N58)=0,K58&lt;&gt;""),"",ABS(N58))</f>
        <v/>
      </c>
      <c r="S58" s="25">
        <f>IF(N(N58)=0,"",IF(K58&lt;&gt;"","spreads monthly - see Deferred Revenue","WIP "&amp;I58&amp;IF(D58="",""," - "&amp;D58)&amp;IF(F58="",""," "&amp;F58)&amp;IF(H58="",""," - "&amp;H58)))</f>
        <v/>
      </c>
      <c r="T58" s="24" t="n"/>
      <c r="U58" s="24" t="n"/>
      <c r="V58" s="24" t="n"/>
    </row>
    <row r="59" ht="15" customHeight="1">
      <c r="A59" s="70" t="n"/>
      <c r="B59" s="68">
        <f>IF(C59="","",IFERROR(INDEX(tbl_Finance[Date],MATCH(C59&amp;"",tbl_Finance[Xero Invoice No],0)),""))</f>
        <v/>
      </c>
      <c r="C59" s="24" t="n"/>
      <c r="D59" s="24" t="n"/>
      <c r="E59" s="25">
        <f>IF(D59="","",IF(COUNTIF(lst_Jobs,D59&amp;"")&gt;0,"OK","CHECK"))</f>
        <v/>
      </c>
      <c r="F59" s="24" t="n"/>
      <c r="G59" s="24" t="n"/>
      <c r="H59" s="24" t="n"/>
      <c r="I59" s="24" t="n"/>
      <c r="J59" s="24" t="n"/>
      <c r="K59" s="22" t="n"/>
      <c r="L59" s="22" t="n"/>
      <c r="M59" s="25">
        <f>IF(N59="","",IF(OR(K59="",L59=""),"one month",TEXT(MAX(1,(YEAR(L59)-YEAR(K59))*12+MONTH(L59)-MONTH(K59)+1),"0")&amp;" months - see Deferred Revenue"))</f>
        <v/>
      </c>
      <c r="N59" s="26" t="n"/>
      <c r="O59" s="24" t="n"/>
      <c r="P59" s="25">
        <f>IF(N(N59)=0,"",IF(N59&gt;0,set_WIPAsset,IF(J59="Cost",IF(O59="","(set the P&amp;L Account)",O59),IF(O59="",set_WIPIncome,O59))))</f>
        <v/>
      </c>
      <c r="Q59" s="25">
        <f>IF(N(N59)=0,"",IF(N59&gt;0,IF(J59="Cost",IF(O59="","(set the P&amp;L Account)",O59),IF(O59="",set_WIPIncome,O59)),set_WIPAsset))</f>
        <v/>
      </c>
      <c r="R59" s="27">
        <f>IF(OR(N(N59)=0,K59&lt;&gt;""),"",ABS(N59))</f>
        <v/>
      </c>
      <c r="S59" s="25">
        <f>IF(N(N59)=0,"",IF(K59&lt;&gt;"","spreads monthly - see Deferred Revenue","WIP "&amp;I59&amp;IF(D59="",""," - "&amp;D59)&amp;IF(F59="",""," "&amp;F59)&amp;IF(H59="",""," - "&amp;H59)))</f>
        <v/>
      </c>
      <c r="T59" s="24" t="n"/>
      <c r="U59" s="24" t="n"/>
      <c r="V59" s="24" t="n"/>
    </row>
    <row r="60" ht="15" customHeight="1">
      <c r="A60" s="70" t="n"/>
      <c r="B60" s="68">
        <f>IF(C60="","",IFERROR(INDEX(tbl_Finance[Date],MATCH(C60&amp;"",tbl_Finance[Xero Invoice No],0)),""))</f>
        <v/>
      </c>
      <c r="C60" s="24" t="n"/>
      <c r="D60" s="24" t="n"/>
      <c r="E60" s="25">
        <f>IF(D60="","",IF(COUNTIF(lst_Jobs,D60&amp;"")&gt;0,"OK","CHECK"))</f>
        <v/>
      </c>
      <c r="F60" s="24" t="n"/>
      <c r="G60" s="24" t="n"/>
      <c r="H60" s="24" t="n"/>
      <c r="I60" s="24" t="n"/>
      <c r="J60" s="24" t="n"/>
      <c r="K60" s="22" t="n"/>
      <c r="L60" s="22" t="n"/>
      <c r="M60" s="25">
        <f>IF(N60="","",IF(OR(K60="",L60=""),"one month",TEXT(MAX(1,(YEAR(L60)-YEAR(K60))*12+MONTH(L60)-MONTH(K60)+1),"0")&amp;" months - see Deferred Revenue"))</f>
        <v/>
      </c>
      <c r="N60" s="26" t="n"/>
      <c r="O60" s="24" t="n"/>
      <c r="P60" s="25">
        <f>IF(N(N60)=0,"",IF(N60&gt;0,set_WIPAsset,IF(J60="Cost",IF(O60="","(set the P&amp;L Account)",O60),IF(O60="",set_WIPIncome,O60))))</f>
        <v/>
      </c>
      <c r="Q60" s="25">
        <f>IF(N(N60)=0,"",IF(N60&gt;0,IF(J60="Cost",IF(O60="","(set the P&amp;L Account)",O60),IF(O60="",set_WIPIncome,O60)),set_WIPAsset))</f>
        <v/>
      </c>
      <c r="R60" s="27">
        <f>IF(OR(N(N60)=0,K60&lt;&gt;""),"",ABS(N60))</f>
        <v/>
      </c>
      <c r="S60" s="25">
        <f>IF(N(N60)=0,"",IF(K60&lt;&gt;"","spreads monthly - see Deferred Revenue","WIP "&amp;I60&amp;IF(D60="",""," - "&amp;D60)&amp;IF(F60="",""," "&amp;F60)&amp;IF(H60="",""," - "&amp;H60)))</f>
        <v/>
      </c>
      <c r="T60" s="24" t="n"/>
      <c r="U60" s="24" t="n"/>
      <c r="V60" s="24" t="n"/>
    </row>
    <row r="61" ht="15" customHeight="1">
      <c r="A61" s="70" t="n"/>
      <c r="B61" s="68">
        <f>IF(C61="","",IFERROR(INDEX(tbl_Finance[Date],MATCH(C61&amp;"",tbl_Finance[Xero Invoice No],0)),""))</f>
        <v/>
      </c>
      <c r="C61" s="24" t="n"/>
      <c r="D61" s="24" t="n"/>
      <c r="E61" s="25">
        <f>IF(D61="","",IF(COUNTIF(lst_Jobs,D61&amp;"")&gt;0,"OK","CHECK"))</f>
        <v/>
      </c>
      <c r="F61" s="24" t="n"/>
      <c r="G61" s="24" t="n"/>
      <c r="H61" s="24" t="n"/>
      <c r="I61" s="24" t="n"/>
      <c r="J61" s="24" t="n"/>
      <c r="K61" s="22" t="n"/>
      <c r="L61" s="22" t="n"/>
      <c r="M61" s="25">
        <f>IF(N61="","",IF(OR(K61="",L61=""),"one month",TEXT(MAX(1,(YEAR(L61)-YEAR(K61))*12+MONTH(L61)-MONTH(K61)+1),"0")&amp;" months - see Deferred Revenue"))</f>
        <v/>
      </c>
      <c r="N61" s="26" t="n"/>
      <c r="O61" s="24" t="n"/>
      <c r="P61" s="25">
        <f>IF(N(N61)=0,"",IF(N61&gt;0,set_WIPAsset,IF(J61="Cost",IF(O61="","(set the P&amp;L Account)",O61),IF(O61="",set_WIPIncome,O61))))</f>
        <v/>
      </c>
      <c r="Q61" s="25">
        <f>IF(N(N61)=0,"",IF(N61&gt;0,IF(J61="Cost",IF(O61="","(set the P&amp;L Account)",O61),IF(O61="",set_WIPIncome,O61)),set_WIPAsset))</f>
        <v/>
      </c>
      <c r="R61" s="27">
        <f>IF(OR(N(N61)=0,K61&lt;&gt;""),"",ABS(N61))</f>
        <v/>
      </c>
      <c r="S61" s="25">
        <f>IF(N(N61)=0,"",IF(K61&lt;&gt;"","spreads monthly - see Deferred Revenue","WIP "&amp;I61&amp;IF(D61="",""," - "&amp;D61)&amp;IF(F61="",""," "&amp;F61)&amp;IF(H61="",""," - "&amp;H61)))</f>
        <v/>
      </c>
      <c r="T61" s="24" t="n"/>
      <c r="U61" s="24" t="n"/>
      <c r="V61" s="24" t="n"/>
    </row>
    <row r="62" ht="15" customHeight="1">
      <c r="A62" s="70" t="n"/>
      <c r="B62" s="68">
        <f>IF(C62="","",IFERROR(INDEX(tbl_Finance[Date],MATCH(C62&amp;"",tbl_Finance[Xero Invoice No],0)),""))</f>
        <v/>
      </c>
      <c r="C62" s="24" t="n"/>
      <c r="D62" s="24" t="n"/>
      <c r="E62" s="25">
        <f>IF(D62="","",IF(COUNTIF(lst_Jobs,D62&amp;"")&gt;0,"OK","CHECK"))</f>
        <v/>
      </c>
      <c r="F62" s="24" t="n"/>
      <c r="G62" s="24" t="n"/>
      <c r="H62" s="24" t="n"/>
      <c r="I62" s="24" t="n"/>
      <c r="J62" s="24" t="n"/>
      <c r="K62" s="22" t="n"/>
      <c r="L62" s="22" t="n"/>
      <c r="M62" s="25">
        <f>IF(N62="","",IF(OR(K62="",L62=""),"one month",TEXT(MAX(1,(YEAR(L62)-YEAR(K62))*12+MONTH(L62)-MONTH(K62)+1),"0")&amp;" months - see Deferred Revenue"))</f>
        <v/>
      </c>
      <c r="N62" s="26" t="n"/>
      <c r="O62" s="24" t="n"/>
      <c r="P62" s="25">
        <f>IF(N(N62)=0,"",IF(N62&gt;0,set_WIPAsset,IF(J62="Cost",IF(O62="","(set the P&amp;L Account)",O62),IF(O62="",set_WIPIncome,O62))))</f>
        <v/>
      </c>
      <c r="Q62" s="25">
        <f>IF(N(N62)=0,"",IF(N62&gt;0,IF(J62="Cost",IF(O62="","(set the P&amp;L Account)",O62),IF(O62="",set_WIPIncome,O62)),set_WIPAsset))</f>
        <v/>
      </c>
      <c r="R62" s="27">
        <f>IF(OR(N(N62)=0,K62&lt;&gt;""),"",ABS(N62))</f>
        <v/>
      </c>
      <c r="S62" s="25">
        <f>IF(N(N62)=0,"",IF(K62&lt;&gt;"","spreads monthly - see Deferred Revenue","WIP "&amp;I62&amp;IF(D62="",""," - "&amp;D62)&amp;IF(F62="",""," "&amp;F62)&amp;IF(H62="",""," - "&amp;H62)))</f>
        <v/>
      </c>
      <c r="T62" s="24" t="n"/>
      <c r="U62" s="24" t="n"/>
      <c r="V62" s="24" t="n"/>
    </row>
    <row r="63" ht="15" customHeight="1">
      <c r="A63" s="70" t="n"/>
      <c r="B63" s="68">
        <f>IF(C63="","",IFERROR(INDEX(tbl_Finance[Date],MATCH(C63&amp;"",tbl_Finance[Xero Invoice No],0)),""))</f>
        <v/>
      </c>
      <c r="C63" s="24" t="n"/>
      <c r="D63" s="24" t="n"/>
      <c r="E63" s="25">
        <f>IF(D63="","",IF(COUNTIF(lst_Jobs,D63&amp;"")&gt;0,"OK","CHECK"))</f>
        <v/>
      </c>
      <c r="F63" s="24" t="n"/>
      <c r="G63" s="24" t="n"/>
      <c r="H63" s="24" t="n"/>
      <c r="I63" s="24" t="n"/>
      <c r="J63" s="24" t="n"/>
      <c r="K63" s="22" t="n"/>
      <c r="L63" s="22" t="n"/>
      <c r="M63" s="25">
        <f>IF(N63="","",IF(OR(K63="",L63=""),"one month",TEXT(MAX(1,(YEAR(L63)-YEAR(K63))*12+MONTH(L63)-MONTH(K63)+1),"0")&amp;" months - see Deferred Revenue"))</f>
        <v/>
      </c>
      <c r="N63" s="26" t="n"/>
      <c r="O63" s="24" t="n"/>
      <c r="P63" s="25">
        <f>IF(N(N63)=0,"",IF(N63&gt;0,set_WIPAsset,IF(J63="Cost",IF(O63="","(set the P&amp;L Account)",O63),IF(O63="",set_WIPIncome,O63))))</f>
        <v/>
      </c>
      <c r="Q63" s="25">
        <f>IF(N(N63)=0,"",IF(N63&gt;0,IF(J63="Cost",IF(O63="","(set the P&amp;L Account)",O63),IF(O63="",set_WIPIncome,O63)),set_WIPAsset))</f>
        <v/>
      </c>
      <c r="R63" s="27">
        <f>IF(OR(N(N63)=0,K63&lt;&gt;""),"",ABS(N63))</f>
        <v/>
      </c>
      <c r="S63" s="25">
        <f>IF(N(N63)=0,"",IF(K63&lt;&gt;"","spreads monthly - see Deferred Revenue","WIP "&amp;I63&amp;IF(D63="",""," - "&amp;D63)&amp;IF(F63="",""," "&amp;F63)&amp;IF(H63="",""," - "&amp;H63)))</f>
        <v/>
      </c>
      <c r="T63" s="24" t="n"/>
      <c r="U63" s="24" t="n"/>
      <c r="V63" s="24" t="n"/>
    </row>
    <row r="64" ht="15" customHeight="1">
      <c r="A64" s="70" t="n"/>
      <c r="B64" s="68">
        <f>IF(C64="","",IFERROR(INDEX(tbl_Finance[Date],MATCH(C64&amp;"",tbl_Finance[Xero Invoice No],0)),""))</f>
        <v/>
      </c>
      <c r="C64" s="24" t="n"/>
      <c r="D64" s="24" t="n"/>
      <c r="E64" s="25">
        <f>IF(D64="","",IF(COUNTIF(lst_Jobs,D64&amp;"")&gt;0,"OK","CHECK"))</f>
        <v/>
      </c>
      <c r="F64" s="24" t="n"/>
      <c r="G64" s="24" t="n"/>
      <c r="H64" s="24" t="n"/>
      <c r="I64" s="24" t="n"/>
      <c r="J64" s="24" t="n"/>
      <c r="K64" s="22" t="n"/>
      <c r="L64" s="22" t="n"/>
      <c r="M64" s="25">
        <f>IF(N64="","",IF(OR(K64="",L64=""),"one month",TEXT(MAX(1,(YEAR(L64)-YEAR(K64))*12+MONTH(L64)-MONTH(K64)+1),"0")&amp;" months - see Deferred Revenue"))</f>
        <v/>
      </c>
      <c r="N64" s="26" t="n"/>
      <c r="O64" s="24" t="n"/>
      <c r="P64" s="25">
        <f>IF(N(N64)=0,"",IF(N64&gt;0,set_WIPAsset,IF(J64="Cost",IF(O64="","(set the P&amp;L Account)",O64),IF(O64="",set_WIPIncome,O64))))</f>
        <v/>
      </c>
      <c r="Q64" s="25">
        <f>IF(N(N64)=0,"",IF(N64&gt;0,IF(J64="Cost",IF(O64="","(set the P&amp;L Account)",O64),IF(O64="",set_WIPIncome,O64)),set_WIPAsset))</f>
        <v/>
      </c>
      <c r="R64" s="27">
        <f>IF(OR(N(N64)=0,K64&lt;&gt;""),"",ABS(N64))</f>
        <v/>
      </c>
      <c r="S64" s="25">
        <f>IF(N(N64)=0,"",IF(K64&lt;&gt;"","spreads monthly - see Deferred Revenue","WIP "&amp;I64&amp;IF(D64="",""," - "&amp;D64)&amp;IF(F64="",""," "&amp;F64)&amp;IF(H64="",""," - "&amp;H64)))</f>
        <v/>
      </c>
      <c r="T64" s="24" t="n"/>
      <c r="U64" s="24" t="n"/>
      <c r="V64" s="24" t="n"/>
    </row>
    <row r="65" ht="15" customHeight="1">
      <c r="A65" s="70" t="n"/>
      <c r="B65" s="68">
        <f>IF(C65="","",IFERROR(INDEX(tbl_Finance[Date],MATCH(C65&amp;"",tbl_Finance[Xero Invoice No],0)),""))</f>
        <v/>
      </c>
      <c r="C65" s="24" t="n"/>
      <c r="D65" s="24" t="n"/>
      <c r="E65" s="25">
        <f>IF(D65="","",IF(COUNTIF(lst_Jobs,D65&amp;"")&gt;0,"OK","CHECK"))</f>
        <v/>
      </c>
      <c r="F65" s="24" t="n"/>
      <c r="G65" s="24" t="n"/>
      <c r="H65" s="24" t="n"/>
      <c r="I65" s="24" t="n"/>
      <c r="J65" s="24" t="n"/>
      <c r="K65" s="22" t="n"/>
      <c r="L65" s="22" t="n"/>
      <c r="M65" s="25">
        <f>IF(N65="","",IF(OR(K65="",L65=""),"one month",TEXT(MAX(1,(YEAR(L65)-YEAR(K65))*12+MONTH(L65)-MONTH(K65)+1),"0")&amp;" months - see Deferred Revenue"))</f>
        <v/>
      </c>
      <c r="N65" s="26" t="n"/>
      <c r="O65" s="24" t="n"/>
      <c r="P65" s="25">
        <f>IF(N(N65)=0,"",IF(N65&gt;0,set_WIPAsset,IF(J65="Cost",IF(O65="","(set the P&amp;L Account)",O65),IF(O65="",set_WIPIncome,O65))))</f>
        <v/>
      </c>
      <c r="Q65" s="25">
        <f>IF(N(N65)=0,"",IF(N65&gt;0,IF(J65="Cost",IF(O65="","(set the P&amp;L Account)",O65),IF(O65="",set_WIPIncome,O65)),set_WIPAsset))</f>
        <v/>
      </c>
      <c r="R65" s="27">
        <f>IF(OR(N(N65)=0,K65&lt;&gt;""),"",ABS(N65))</f>
        <v/>
      </c>
      <c r="S65" s="25">
        <f>IF(N(N65)=0,"",IF(K65&lt;&gt;"","spreads monthly - see Deferred Revenue","WIP "&amp;I65&amp;IF(D65="",""," - "&amp;D65)&amp;IF(F65="",""," "&amp;F65)&amp;IF(H65="",""," - "&amp;H65)))</f>
        <v/>
      </c>
      <c r="T65" s="24" t="n"/>
      <c r="U65" s="24" t="n"/>
      <c r="V65" s="24" t="n"/>
    </row>
    <row r="66" ht="15" customHeight="1">
      <c r="A66" s="70" t="n"/>
      <c r="B66" s="68">
        <f>IF(C66="","",IFERROR(INDEX(tbl_Finance[Date],MATCH(C66&amp;"",tbl_Finance[Xero Invoice No],0)),""))</f>
        <v/>
      </c>
      <c r="C66" s="24" t="n"/>
      <c r="D66" s="24" t="n"/>
      <c r="E66" s="25">
        <f>IF(D66="","",IF(COUNTIF(lst_Jobs,D66&amp;"")&gt;0,"OK","CHECK"))</f>
        <v/>
      </c>
      <c r="F66" s="24" t="n"/>
      <c r="G66" s="24" t="n"/>
      <c r="H66" s="24" t="n"/>
      <c r="I66" s="24" t="n"/>
      <c r="J66" s="24" t="n"/>
      <c r="K66" s="22" t="n"/>
      <c r="L66" s="22" t="n"/>
      <c r="M66" s="25">
        <f>IF(N66="","",IF(OR(K66="",L66=""),"one month",TEXT(MAX(1,(YEAR(L66)-YEAR(K66))*12+MONTH(L66)-MONTH(K66)+1),"0")&amp;" months - see Deferred Revenue"))</f>
        <v/>
      </c>
      <c r="N66" s="26" t="n"/>
      <c r="O66" s="24" t="n"/>
      <c r="P66" s="25">
        <f>IF(N(N66)=0,"",IF(N66&gt;0,set_WIPAsset,IF(J66="Cost",IF(O66="","(set the P&amp;L Account)",O66),IF(O66="",set_WIPIncome,O66))))</f>
        <v/>
      </c>
      <c r="Q66" s="25">
        <f>IF(N(N66)=0,"",IF(N66&gt;0,IF(J66="Cost",IF(O66="","(set the P&amp;L Account)",O66),IF(O66="",set_WIPIncome,O66)),set_WIPAsset))</f>
        <v/>
      </c>
      <c r="R66" s="27">
        <f>IF(OR(N(N66)=0,K66&lt;&gt;""),"",ABS(N66))</f>
        <v/>
      </c>
      <c r="S66" s="25">
        <f>IF(N(N66)=0,"",IF(K66&lt;&gt;"","spreads monthly - see Deferred Revenue","WIP "&amp;I66&amp;IF(D66="",""," - "&amp;D66)&amp;IF(F66="",""," "&amp;F66)&amp;IF(H66="",""," - "&amp;H66)))</f>
        <v/>
      </c>
      <c r="T66" s="24" t="n"/>
      <c r="U66" s="24" t="n"/>
      <c r="V66" s="24" t="n"/>
    </row>
    <row r="67" ht="15" customHeight="1">
      <c r="A67" s="70" t="n"/>
      <c r="B67" s="68">
        <f>IF(C67="","",IFERROR(INDEX(tbl_Finance[Date],MATCH(C67&amp;"",tbl_Finance[Xero Invoice No],0)),""))</f>
        <v/>
      </c>
      <c r="C67" s="24" t="n"/>
      <c r="D67" s="24" t="n"/>
      <c r="E67" s="25">
        <f>IF(D67="","",IF(COUNTIF(lst_Jobs,D67&amp;"")&gt;0,"OK","CHECK"))</f>
        <v/>
      </c>
      <c r="F67" s="24" t="n"/>
      <c r="G67" s="24" t="n"/>
      <c r="H67" s="24" t="n"/>
      <c r="I67" s="24" t="n"/>
      <c r="J67" s="24" t="n"/>
      <c r="K67" s="22" t="n"/>
      <c r="L67" s="22" t="n"/>
      <c r="M67" s="25">
        <f>IF(N67="","",IF(OR(K67="",L67=""),"one month",TEXT(MAX(1,(YEAR(L67)-YEAR(K67))*12+MONTH(L67)-MONTH(K67)+1),"0")&amp;" months - see Deferred Revenue"))</f>
        <v/>
      </c>
      <c r="N67" s="26" t="n"/>
      <c r="O67" s="24" t="n"/>
      <c r="P67" s="25">
        <f>IF(N(N67)=0,"",IF(N67&gt;0,set_WIPAsset,IF(J67="Cost",IF(O67="","(set the P&amp;L Account)",O67),IF(O67="",set_WIPIncome,O67))))</f>
        <v/>
      </c>
      <c r="Q67" s="25">
        <f>IF(N(N67)=0,"",IF(N67&gt;0,IF(J67="Cost",IF(O67="","(set the P&amp;L Account)",O67),IF(O67="",set_WIPIncome,O67)),set_WIPAsset))</f>
        <v/>
      </c>
      <c r="R67" s="27">
        <f>IF(OR(N(N67)=0,K67&lt;&gt;""),"",ABS(N67))</f>
        <v/>
      </c>
      <c r="S67" s="25">
        <f>IF(N(N67)=0,"",IF(K67&lt;&gt;"","spreads monthly - see Deferred Revenue","WIP "&amp;I67&amp;IF(D67="",""," - "&amp;D67)&amp;IF(F67="",""," "&amp;F67)&amp;IF(H67="",""," - "&amp;H67)))</f>
        <v/>
      </c>
      <c r="T67" s="24" t="n"/>
      <c r="U67" s="24" t="n"/>
      <c r="V67" s="24" t="n"/>
    </row>
    <row r="68" ht="15" customHeight="1">
      <c r="A68" s="70" t="n"/>
      <c r="B68" s="68">
        <f>IF(C68="","",IFERROR(INDEX(tbl_Finance[Date],MATCH(C68&amp;"",tbl_Finance[Xero Invoice No],0)),""))</f>
        <v/>
      </c>
      <c r="C68" s="24" t="n"/>
      <c r="D68" s="24" t="n"/>
      <c r="E68" s="25">
        <f>IF(D68="","",IF(COUNTIF(lst_Jobs,D68&amp;"")&gt;0,"OK","CHECK"))</f>
        <v/>
      </c>
      <c r="F68" s="24" t="n"/>
      <c r="G68" s="24" t="n"/>
      <c r="H68" s="24" t="n"/>
      <c r="I68" s="24" t="n"/>
      <c r="J68" s="24" t="n"/>
      <c r="K68" s="22" t="n"/>
      <c r="L68" s="22" t="n"/>
      <c r="M68" s="25">
        <f>IF(N68="","",IF(OR(K68="",L68=""),"one month",TEXT(MAX(1,(YEAR(L68)-YEAR(K68))*12+MONTH(L68)-MONTH(K68)+1),"0")&amp;" months - see Deferred Revenue"))</f>
        <v/>
      </c>
      <c r="N68" s="26" t="n"/>
      <c r="O68" s="24" t="n"/>
      <c r="P68" s="25">
        <f>IF(N(N68)=0,"",IF(N68&gt;0,set_WIPAsset,IF(J68="Cost",IF(O68="","(set the P&amp;L Account)",O68),IF(O68="",set_WIPIncome,O68))))</f>
        <v/>
      </c>
      <c r="Q68" s="25">
        <f>IF(N(N68)=0,"",IF(N68&gt;0,IF(J68="Cost",IF(O68="","(set the P&amp;L Account)",O68),IF(O68="",set_WIPIncome,O68)),set_WIPAsset))</f>
        <v/>
      </c>
      <c r="R68" s="27">
        <f>IF(OR(N(N68)=0,K68&lt;&gt;""),"",ABS(N68))</f>
        <v/>
      </c>
      <c r="S68" s="25">
        <f>IF(N(N68)=0,"",IF(K68&lt;&gt;"","spreads monthly - see Deferred Revenue","WIP "&amp;I68&amp;IF(D68="",""," - "&amp;D68)&amp;IF(F68="",""," "&amp;F68)&amp;IF(H68="",""," - "&amp;H68)))</f>
        <v/>
      </c>
      <c r="T68" s="24" t="n"/>
      <c r="U68" s="24" t="n"/>
      <c r="V68" s="24" t="n"/>
    </row>
    <row r="69" ht="15" customHeight="1">
      <c r="A69" s="70" t="n"/>
      <c r="B69" s="68">
        <f>IF(C69="","",IFERROR(INDEX(tbl_Finance[Date],MATCH(C69&amp;"",tbl_Finance[Xero Invoice No],0)),""))</f>
        <v/>
      </c>
      <c r="C69" s="24" t="n"/>
      <c r="D69" s="24" t="n"/>
      <c r="E69" s="25">
        <f>IF(D69="","",IF(COUNTIF(lst_Jobs,D69&amp;"")&gt;0,"OK","CHECK"))</f>
        <v/>
      </c>
      <c r="F69" s="24" t="n"/>
      <c r="G69" s="24" t="n"/>
      <c r="H69" s="24" t="n"/>
      <c r="I69" s="24" t="n"/>
      <c r="J69" s="24" t="n"/>
      <c r="K69" s="22" t="n"/>
      <c r="L69" s="22" t="n"/>
      <c r="M69" s="25">
        <f>IF(N69="","",IF(OR(K69="",L69=""),"one month",TEXT(MAX(1,(YEAR(L69)-YEAR(K69))*12+MONTH(L69)-MONTH(K69)+1),"0")&amp;" months - see Deferred Revenue"))</f>
        <v/>
      </c>
      <c r="N69" s="26" t="n"/>
      <c r="O69" s="24" t="n"/>
      <c r="P69" s="25">
        <f>IF(N(N69)=0,"",IF(N69&gt;0,set_WIPAsset,IF(J69="Cost",IF(O69="","(set the P&amp;L Account)",O69),IF(O69="",set_WIPIncome,O69))))</f>
        <v/>
      </c>
      <c r="Q69" s="25">
        <f>IF(N(N69)=0,"",IF(N69&gt;0,IF(J69="Cost",IF(O69="","(set the P&amp;L Account)",O69),IF(O69="",set_WIPIncome,O69)),set_WIPAsset))</f>
        <v/>
      </c>
      <c r="R69" s="27">
        <f>IF(OR(N(N69)=0,K69&lt;&gt;""),"",ABS(N69))</f>
        <v/>
      </c>
      <c r="S69" s="25">
        <f>IF(N(N69)=0,"",IF(K69&lt;&gt;"","spreads monthly - see Deferred Revenue","WIP "&amp;I69&amp;IF(D69="",""," - "&amp;D69)&amp;IF(F69="",""," "&amp;F69)&amp;IF(H69="",""," - "&amp;H69)))</f>
        <v/>
      </c>
      <c r="T69" s="24" t="n"/>
      <c r="U69" s="24" t="n"/>
      <c r="V69" s="24" t="n"/>
    </row>
    <row r="70" ht="15" customHeight="1">
      <c r="A70" s="70" t="n"/>
      <c r="B70" s="68">
        <f>IF(C70="","",IFERROR(INDEX(tbl_Finance[Date],MATCH(C70&amp;"",tbl_Finance[Xero Invoice No],0)),""))</f>
        <v/>
      </c>
      <c r="C70" s="24" t="n"/>
      <c r="D70" s="24" t="n"/>
      <c r="E70" s="25">
        <f>IF(D70="","",IF(COUNTIF(lst_Jobs,D70&amp;"")&gt;0,"OK","CHECK"))</f>
        <v/>
      </c>
      <c r="F70" s="24" t="n"/>
      <c r="G70" s="24" t="n"/>
      <c r="H70" s="24" t="n"/>
      <c r="I70" s="24" t="n"/>
      <c r="J70" s="24" t="n"/>
      <c r="K70" s="22" t="n"/>
      <c r="L70" s="22" t="n"/>
      <c r="M70" s="25">
        <f>IF(N70="","",IF(OR(K70="",L70=""),"one month",TEXT(MAX(1,(YEAR(L70)-YEAR(K70))*12+MONTH(L70)-MONTH(K70)+1),"0")&amp;" months - see Deferred Revenue"))</f>
        <v/>
      </c>
      <c r="N70" s="26" t="n"/>
      <c r="O70" s="24" t="n"/>
      <c r="P70" s="25">
        <f>IF(N(N70)=0,"",IF(N70&gt;0,set_WIPAsset,IF(J70="Cost",IF(O70="","(set the P&amp;L Account)",O70),IF(O70="",set_WIPIncome,O70))))</f>
        <v/>
      </c>
      <c r="Q70" s="25">
        <f>IF(N(N70)=0,"",IF(N70&gt;0,IF(J70="Cost",IF(O70="","(set the P&amp;L Account)",O70),IF(O70="",set_WIPIncome,O70)),set_WIPAsset))</f>
        <v/>
      </c>
      <c r="R70" s="27">
        <f>IF(OR(N(N70)=0,K70&lt;&gt;""),"",ABS(N70))</f>
        <v/>
      </c>
      <c r="S70" s="25">
        <f>IF(N(N70)=0,"",IF(K70&lt;&gt;"","spreads monthly - see Deferred Revenue","WIP "&amp;I70&amp;IF(D70="",""," - "&amp;D70)&amp;IF(F70="",""," "&amp;F70)&amp;IF(H70="",""," - "&amp;H70)))</f>
        <v/>
      </c>
      <c r="T70" s="24" t="n"/>
      <c r="U70" s="24" t="n"/>
      <c r="V70" s="24" t="n"/>
    </row>
    <row r="71" ht="15" customHeight="1">
      <c r="A71" s="70" t="n"/>
      <c r="B71" s="68">
        <f>IF(C71="","",IFERROR(INDEX(tbl_Finance[Date],MATCH(C71&amp;"",tbl_Finance[Xero Invoice No],0)),""))</f>
        <v/>
      </c>
      <c r="C71" s="24" t="n"/>
      <c r="D71" s="24" t="n"/>
      <c r="E71" s="25">
        <f>IF(D71="","",IF(COUNTIF(lst_Jobs,D71&amp;"")&gt;0,"OK","CHECK"))</f>
        <v/>
      </c>
      <c r="F71" s="24" t="n"/>
      <c r="G71" s="24" t="n"/>
      <c r="H71" s="24" t="n"/>
      <c r="I71" s="24" t="n"/>
      <c r="J71" s="24" t="n"/>
      <c r="K71" s="22" t="n"/>
      <c r="L71" s="22" t="n"/>
      <c r="M71" s="25">
        <f>IF(N71="","",IF(OR(K71="",L71=""),"one month",TEXT(MAX(1,(YEAR(L71)-YEAR(K71))*12+MONTH(L71)-MONTH(K71)+1),"0")&amp;" months - see Deferred Revenue"))</f>
        <v/>
      </c>
      <c r="N71" s="26" t="n"/>
      <c r="O71" s="24" t="n"/>
      <c r="P71" s="25">
        <f>IF(N(N71)=0,"",IF(N71&gt;0,set_WIPAsset,IF(J71="Cost",IF(O71="","(set the P&amp;L Account)",O71),IF(O71="",set_WIPIncome,O71))))</f>
        <v/>
      </c>
      <c r="Q71" s="25">
        <f>IF(N(N71)=0,"",IF(N71&gt;0,IF(J71="Cost",IF(O71="","(set the P&amp;L Account)",O71),IF(O71="",set_WIPIncome,O71)),set_WIPAsset))</f>
        <v/>
      </c>
      <c r="R71" s="27">
        <f>IF(OR(N(N71)=0,K71&lt;&gt;""),"",ABS(N71))</f>
        <v/>
      </c>
      <c r="S71" s="25">
        <f>IF(N(N71)=0,"",IF(K71&lt;&gt;"","spreads monthly - see Deferred Revenue","WIP "&amp;I71&amp;IF(D71="",""," - "&amp;D71)&amp;IF(F71="",""," "&amp;F71)&amp;IF(H71="",""," - "&amp;H71)))</f>
        <v/>
      </c>
      <c r="T71" s="24" t="n"/>
      <c r="U71" s="24" t="n"/>
      <c r="V71" s="24" t="n"/>
    </row>
    <row r="72" ht="15" customHeight="1">
      <c r="A72" s="70" t="n"/>
      <c r="B72" s="68">
        <f>IF(C72="","",IFERROR(INDEX(tbl_Finance[Date],MATCH(C72&amp;"",tbl_Finance[Xero Invoice No],0)),""))</f>
        <v/>
      </c>
      <c r="C72" s="24" t="n"/>
      <c r="D72" s="24" t="n"/>
      <c r="E72" s="25">
        <f>IF(D72="","",IF(COUNTIF(lst_Jobs,D72&amp;"")&gt;0,"OK","CHECK"))</f>
        <v/>
      </c>
      <c r="F72" s="24" t="n"/>
      <c r="G72" s="24" t="n"/>
      <c r="H72" s="24" t="n"/>
      <c r="I72" s="24" t="n"/>
      <c r="J72" s="24" t="n"/>
      <c r="K72" s="22" t="n"/>
      <c r="L72" s="22" t="n"/>
      <c r="M72" s="25">
        <f>IF(N72="","",IF(OR(K72="",L72=""),"one month",TEXT(MAX(1,(YEAR(L72)-YEAR(K72))*12+MONTH(L72)-MONTH(K72)+1),"0")&amp;" months - see Deferred Revenue"))</f>
        <v/>
      </c>
      <c r="N72" s="26" t="n"/>
      <c r="O72" s="24" t="n"/>
      <c r="P72" s="25">
        <f>IF(N(N72)=0,"",IF(N72&gt;0,set_WIPAsset,IF(J72="Cost",IF(O72="","(set the P&amp;L Account)",O72),IF(O72="",set_WIPIncome,O72))))</f>
        <v/>
      </c>
      <c r="Q72" s="25">
        <f>IF(N(N72)=0,"",IF(N72&gt;0,IF(J72="Cost",IF(O72="","(set the P&amp;L Account)",O72),IF(O72="",set_WIPIncome,O72)),set_WIPAsset))</f>
        <v/>
      </c>
      <c r="R72" s="27">
        <f>IF(OR(N(N72)=0,K72&lt;&gt;""),"",ABS(N72))</f>
        <v/>
      </c>
      <c r="S72" s="25">
        <f>IF(N(N72)=0,"",IF(K72&lt;&gt;"","spreads monthly - see Deferred Revenue","WIP "&amp;I72&amp;IF(D72="",""," - "&amp;D72)&amp;IF(F72="",""," "&amp;F72)&amp;IF(H72="",""," - "&amp;H72)))</f>
        <v/>
      </c>
      <c r="T72" s="24" t="n"/>
      <c r="U72" s="24" t="n"/>
      <c r="V72" s="24" t="n"/>
    </row>
    <row r="73" ht="15" customHeight="1">
      <c r="A73" s="70" t="n"/>
      <c r="B73" s="68">
        <f>IF(C73="","",IFERROR(INDEX(tbl_Finance[Date],MATCH(C73&amp;"",tbl_Finance[Xero Invoice No],0)),""))</f>
        <v/>
      </c>
      <c r="C73" s="24" t="n"/>
      <c r="D73" s="24" t="n"/>
      <c r="E73" s="25">
        <f>IF(D73="","",IF(COUNTIF(lst_Jobs,D73&amp;"")&gt;0,"OK","CHECK"))</f>
        <v/>
      </c>
      <c r="F73" s="24" t="n"/>
      <c r="G73" s="24" t="n"/>
      <c r="H73" s="24" t="n"/>
      <c r="I73" s="24" t="n"/>
      <c r="J73" s="24" t="n"/>
      <c r="K73" s="22" t="n"/>
      <c r="L73" s="22" t="n"/>
      <c r="M73" s="25">
        <f>IF(N73="","",IF(OR(K73="",L73=""),"one month",TEXT(MAX(1,(YEAR(L73)-YEAR(K73))*12+MONTH(L73)-MONTH(K73)+1),"0")&amp;" months - see Deferred Revenue"))</f>
        <v/>
      </c>
      <c r="N73" s="26" t="n"/>
      <c r="O73" s="24" t="n"/>
      <c r="P73" s="25">
        <f>IF(N(N73)=0,"",IF(N73&gt;0,set_WIPAsset,IF(J73="Cost",IF(O73="","(set the P&amp;L Account)",O73),IF(O73="",set_WIPIncome,O73))))</f>
        <v/>
      </c>
      <c r="Q73" s="25">
        <f>IF(N(N73)=0,"",IF(N73&gt;0,IF(J73="Cost",IF(O73="","(set the P&amp;L Account)",O73),IF(O73="",set_WIPIncome,O73)),set_WIPAsset))</f>
        <v/>
      </c>
      <c r="R73" s="27">
        <f>IF(OR(N(N73)=0,K73&lt;&gt;""),"",ABS(N73))</f>
        <v/>
      </c>
      <c r="S73" s="25">
        <f>IF(N(N73)=0,"",IF(K73&lt;&gt;"","spreads monthly - see Deferred Revenue","WIP "&amp;I73&amp;IF(D73="",""," - "&amp;D73)&amp;IF(F73="",""," "&amp;F73)&amp;IF(H73="",""," - "&amp;H73)))</f>
        <v/>
      </c>
      <c r="T73" s="24" t="n"/>
      <c r="U73" s="24" t="n"/>
      <c r="V73" s="24" t="n"/>
    </row>
    <row r="74" ht="15" customHeight="1">
      <c r="A74" s="70" t="n"/>
      <c r="B74" s="68">
        <f>IF(C74="","",IFERROR(INDEX(tbl_Finance[Date],MATCH(C74&amp;"",tbl_Finance[Xero Invoice No],0)),""))</f>
        <v/>
      </c>
      <c r="C74" s="24" t="n"/>
      <c r="D74" s="24" t="n"/>
      <c r="E74" s="25">
        <f>IF(D74="","",IF(COUNTIF(lst_Jobs,D74&amp;"")&gt;0,"OK","CHECK"))</f>
        <v/>
      </c>
      <c r="F74" s="24" t="n"/>
      <c r="G74" s="24" t="n"/>
      <c r="H74" s="24" t="n"/>
      <c r="I74" s="24" t="n"/>
      <c r="J74" s="24" t="n"/>
      <c r="K74" s="22" t="n"/>
      <c r="L74" s="22" t="n"/>
      <c r="M74" s="25">
        <f>IF(N74="","",IF(OR(K74="",L74=""),"one month",TEXT(MAX(1,(YEAR(L74)-YEAR(K74))*12+MONTH(L74)-MONTH(K74)+1),"0")&amp;" months - see Deferred Revenue"))</f>
        <v/>
      </c>
      <c r="N74" s="26" t="n"/>
      <c r="O74" s="24" t="n"/>
      <c r="P74" s="25">
        <f>IF(N(N74)=0,"",IF(N74&gt;0,set_WIPAsset,IF(J74="Cost",IF(O74="","(set the P&amp;L Account)",O74),IF(O74="",set_WIPIncome,O74))))</f>
        <v/>
      </c>
      <c r="Q74" s="25">
        <f>IF(N(N74)=0,"",IF(N74&gt;0,IF(J74="Cost",IF(O74="","(set the P&amp;L Account)",O74),IF(O74="",set_WIPIncome,O74)),set_WIPAsset))</f>
        <v/>
      </c>
      <c r="R74" s="27">
        <f>IF(OR(N(N74)=0,K74&lt;&gt;""),"",ABS(N74))</f>
        <v/>
      </c>
      <c r="S74" s="25">
        <f>IF(N(N74)=0,"",IF(K74&lt;&gt;"","spreads monthly - see Deferred Revenue","WIP "&amp;I74&amp;IF(D74="",""," - "&amp;D74)&amp;IF(F74="",""," "&amp;F74)&amp;IF(H74="",""," - "&amp;H74)))</f>
        <v/>
      </c>
      <c r="T74" s="24" t="n"/>
      <c r="U74" s="24" t="n"/>
      <c r="V74" s="24" t="n"/>
    </row>
    <row r="75" ht="15" customHeight="1">
      <c r="A75" s="70" t="n"/>
      <c r="B75" s="68">
        <f>IF(C75="","",IFERROR(INDEX(tbl_Finance[Date],MATCH(C75&amp;"",tbl_Finance[Xero Invoice No],0)),""))</f>
        <v/>
      </c>
      <c r="C75" s="24" t="n"/>
      <c r="D75" s="24" t="n"/>
      <c r="E75" s="25">
        <f>IF(D75="","",IF(COUNTIF(lst_Jobs,D75&amp;"")&gt;0,"OK","CHECK"))</f>
        <v/>
      </c>
      <c r="F75" s="24" t="n"/>
      <c r="G75" s="24" t="n"/>
      <c r="H75" s="24" t="n"/>
      <c r="I75" s="24" t="n"/>
      <c r="J75" s="24" t="n"/>
      <c r="K75" s="22" t="n"/>
      <c r="L75" s="22" t="n"/>
      <c r="M75" s="25">
        <f>IF(N75="","",IF(OR(K75="",L75=""),"one month",TEXT(MAX(1,(YEAR(L75)-YEAR(K75))*12+MONTH(L75)-MONTH(K75)+1),"0")&amp;" months - see Deferred Revenue"))</f>
        <v/>
      </c>
      <c r="N75" s="26" t="n"/>
      <c r="O75" s="24" t="n"/>
      <c r="P75" s="25">
        <f>IF(N(N75)=0,"",IF(N75&gt;0,set_WIPAsset,IF(J75="Cost",IF(O75="","(set the P&amp;L Account)",O75),IF(O75="",set_WIPIncome,O75))))</f>
        <v/>
      </c>
      <c r="Q75" s="25">
        <f>IF(N(N75)=0,"",IF(N75&gt;0,IF(J75="Cost",IF(O75="","(set the P&amp;L Account)",O75),IF(O75="",set_WIPIncome,O75)),set_WIPAsset))</f>
        <v/>
      </c>
      <c r="R75" s="27">
        <f>IF(OR(N(N75)=0,K75&lt;&gt;""),"",ABS(N75))</f>
        <v/>
      </c>
      <c r="S75" s="25">
        <f>IF(N(N75)=0,"",IF(K75&lt;&gt;"","spreads monthly - see Deferred Revenue","WIP "&amp;I75&amp;IF(D75="",""," - "&amp;D75)&amp;IF(F75="",""," "&amp;F75)&amp;IF(H75="",""," - "&amp;H75)))</f>
        <v/>
      </c>
      <c r="T75" s="24" t="n"/>
      <c r="U75" s="24" t="n"/>
      <c r="V75" s="24" t="n"/>
    </row>
    <row r="76" ht="15" customHeight="1">
      <c r="A76" s="70" t="n"/>
      <c r="B76" s="68">
        <f>IF(C76="","",IFERROR(INDEX(tbl_Finance[Date],MATCH(C76&amp;"",tbl_Finance[Xero Invoice No],0)),""))</f>
        <v/>
      </c>
      <c r="C76" s="24" t="n"/>
      <c r="D76" s="24" t="n"/>
      <c r="E76" s="25">
        <f>IF(D76="","",IF(COUNTIF(lst_Jobs,D76&amp;"")&gt;0,"OK","CHECK"))</f>
        <v/>
      </c>
      <c r="F76" s="24" t="n"/>
      <c r="G76" s="24" t="n"/>
      <c r="H76" s="24" t="n"/>
      <c r="I76" s="24" t="n"/>
      <c r="J76" s="24" t="n"/>
      <c r="K76" s="22" t="n"/>
      <c r="L76" s="22" t="n"/>
      <c r="M76" s="25">
        <f>IF(N76="","",IF(OR(K76="",L76=""),"one month",TEXT(MAX(1,(YEAR(L76)-YEAR(K76))*12+MONTH(L76)-MONTH(K76)+1),"0")&amp;" months - see Deferred Revenue"))</f>
        <v/>
      </c>
      <c r="N76" s="26" t="n"/>
      <c r="O76" s="24" t="n"/>
      <c r="P76" s="25">
        <f>IF(N(N76)=0,"",IF(N76&gt;0,set_WIPAsset,IF(J76="Cost",IF(O76="","(set the P&amp;L Account)",O76),IF(O76="",set_WIPIncome,O76))))</f>
        <v/>
      </c>
      <c r="Q76" s="25">
        <f>IF(N(N76)=0,"",IF(N76&gt;0,IF(J76="Cost",IF(O76="","(set the P&amp;L Account)",O76),IF(O76="",set_WIPIncome,O76)),set_WIPAsset))</f>
        <v/>
      </c>
      <c r="R76" s="27">
        <f>IF(OR(N(N76)=0,K76&lt;&gt;""),"",ABS(N76))</f>
        <v/>
      </c>
      <c r="S76" s="25">
        <f>IF(N(N76)=0,"",IF(K76&lt;&gt;"","spreads monthly - see Deferred Revenue","WIP "&amp;I76&amp;IF(D76="",""," - "&amp;D76)&amp;IF(F76="",""," "&amp;F76)&amp;IF(H76="",""," - "&amp;H76)))</f>
        <v/>
      </c>
      <c r="T76" s="24" t="n"/>
      <c r="U76" s="24" t="n"/>
      <c r="V76" s="24" t="n"/>
    </row>
    <row r="77" ht="15" customHeight="1">
      <c r="A77" s="70" t="n"/>
      <c r="B77" s="68">
        <f>IF(C77="","",IFERROR(INDEX(tbl_Finance[Date],MATCH(C77&amp;"",tbl_Finance[Xero Invoice No],0)),""))</f>
        <v/>
      </c>
      <c r="C77" s="24" t="n"/>
      <c r="D77" s="24" t="n"/>
      <c r="E77" s="25">
        <f>IF(D77="","",IF(COUNTIF(lst_Jobs,D77&amp;"")&gt;0,"OK","CHECK"))</f>
        <v/>
      </c>
      <c r="F77" s="24" t="n"/>
      <c r="G77" s="24" t="n"/>
      <c r="H77" s="24" t="n"/>
      <c r="I77" s="24" t="n"/>
      <c r="J77" s="24" t="n"/>
      <c r="K77" s="22" t="n"/>
      <c r="L77" s="22" t="n"/>
      <c r="M77" s="25">
        <f>IF(N77="","",IF(OR(K77="",L77=""),"one month",TEXT(MAX(1,(YEAR(L77)-YEAR(K77))*12+MONTH(L77)-MONTH(K77)+1),"0")&amp;" months - see Deferred Revenue"))</f>
        <v/>
      </c>
      <c r="N77" s="26" t="n"/>
      <c r="O77" s="24" t="n"/>
      <c r="P77" s="25">
        <f>IF(N(N77)=0,"",IF(N77&gt;0,set_WIPAsset,IF(J77="Cost",IF(O77="","(set the P&amp;L Account)",O77),IF(O77="",set_WIPIncome,O77))))</f>
        <v/>
      </c>
      <c r="Q77" s="25">
        <f>IF(N(N77)=0,"",IF(N77&gt;0,IF(J77="Cost",IF(O77="","(set the P&amp;L Account)",O77),IF(O77="",set_WIPIncome,O77)),set_WIPAsset))</f>
        <v/>
      </c>
      <c r="R77" s="27">
        <f>IF(OR(N(N77)=0,K77&lt;&gt;""),"",ABS(N77))</f>
        <v/>
      </c>
      <c r="S77" s="25">
        <f>IF(N(N77)=0,"",IF(K77&lt;&gt;"","spreads monthly - see Deferred Revenue","WIP "&amp;I77&amp;IF(D77="",""," - "&amp;D77)&amp;IF(F77="",""," "&amp;F77)&amp;IF(H77="",""," - "&amp;H77)))</f>
        <v/>
      </c>
      <c r="T77" s="24" t="n"/>
      <c r="U77" s="24" t="n"/>
      <c r="V77" s="24" t="n"/>
    </row>
    <row r="78" ht="15" customHeight="1">
      <c r="A78" s="70" t="n"/>
      <c r="B78" s="68">
        <f>IF(C78="","",IFERROR(INDEX(tbl_Finance[Date],MATCH(C78&amp;"",tbl_Finance[Xero Invoice No],0)),""))</f>
        <v/>
      </c>
      <c r="C78" s="24" t="n"/>
      <c r="D78" s="24" t="n"/>
      <c r="E78" s="25">
        <f>IF(D78="","",IF(COUNTIF(lst_Jobs,D78&amp;"")&gt;0,"OK","CHECK"))</f>
        <v/>
      </c>
      <c r="F78" s="24" t="n"/>
      <c r="G78" s="24" t="n"/>
      <c r="H78" s="24" t="n"/>
      <c r="I78" s="24" t="n"/>
      <c r="J78" s="24" t="n"/>
      <c r="K78" s="22" t="n"/>
      <c r="L78" s="22" t="n"/>
      <c r="M78" s="25">
        <f>IF(N78="","",IF(OR(K78="",L78=""),"one month",TEXT(MAX(1,(YEAR(L78)-YEAR(K78))*12+MONTH(L78)-MONTH(K78)+1),"0")&amp;" months - see Deferred Revenue"))</f>
        <v/>
      </c>
      <c r="N78" s="26" t="n"/>
      <c r="O78" s="24" t="n"/>
      <c r="P78" s="25">
        <f>IF(N(N78)=0,"",IF(N78&gt;0,set_WIPAsset,IF(J78="Cost",IF(O78="","(set the P&amp;L Account)",O78),IF(O78="",set_WIPIncome,O78))))</f>
        <v/>
      </c>
      <c r="Q78" s="25">
        <f>IF(N(N78)=0,"",IF(N78&gt;0,IF(J78="Cost",IF(O78="","(set the P&amp;L Account)",O78),IF(O78="",set_WIPIncome,O78)),set_WIPAsset))</f>
        <v/>
      </c>
      <c r="R78" s="27">
        <f>IF(OR(N(N78)=0,K78&lt;&gt;""),"",ABS(N78))</f>
        <v/>
      </c>
      <c r="S78" s="25">
        <f>IF(N(N78)=0,"",IF(K78&lt;&gt;"","spreads monthly - see Deferred Revenue","WIP "&amp;I78&amp;IF(D78="",""," - "&amp;D78)&amp;IF(F78="",""," "&amp;F78)&amp;IF(H78="",""," - "&amp;H78)))</f>
        <v/>
      </c>
      <c r="T78" s="24" t="n"/>
      <c r="U78" s="24" t="n"/>
      <c r="V78" s="24" t="n"/>
    </row>
    <row r="79" ht="15" customHeight="1">
      <c r="A79" s="70" t="n"/>
      <c r="B79" s="68">
        <f>IF(C79="","",IFERROR(INDEX(tbl_Finance[Date],MATCH(C79&amp;"",tbl_Finance[Xero Invoice No],0)),""))</f>
        <v/>
      </c>
      <c r="C79" s="24" t="n"/>
      <c r="D79" s="24" t="n"/>
      <c r="E79" s="25">
        <f>IF(D79="","",IF(COUNTIF(lst_Jobs,D79&amp;"")&gt;0,"OK","CHECK"))</f>
        <v/>
      </c>
      <c r="F79" s="24" t="n"/>
      <c r="G79" s="24" t="n"/>
      <c r="H79" s="24" t="n"/>
      <c r="I79" s="24" t="n"/>
      <c r="J79" s="24" t="n"/>
      <c r="K79" s="22" t="n"/>
      <c r="L79" s="22" t="n"/>
      <c r="M79" s="25">
        <f>IF(N79="","",IF(OR(K79="",L79=""),"one month",TEXT(MAX(1,(YEAR(L79)-YEAR(K79))*12+MONTH(L79)-MONTH(K79)+1),"0")&amp;" months - see Deferred Revenue"))</f>
        <v/>
      </c>
      <c r="N79" s="26" t="n"/>
      <c r="O79" s="24" t="n"/>
      <c r="P79" s="25">
        <f>IF(N(N79)=0,"",IF(N79&gt;0,set_WIPAsset,IF(J79="Cost",IF(O79="","(set the P&amp;L Account)",O79),IF(O79="",set_WIPIncome,O79))))</f>
        <v/>
      </c>
      <c r="Q79" s="25">
        <f>IF(N(N79)=0,"",IF(N79&gt;0,IF(J79="Cost",IF(O79="","(set the P&amp;L Account)",O79),IF(O79="",set_WIPIncome,O79)),set_WIPAsset))</f>
        <v/>
      </c>
      <c r="R79" s="27">
        <f>IF(OR(N(N79)=0,K79&lt;&gt;""),"",ABS(N79))</f>
        <v/>
      </c>
      <c r="S79" s="25">
        <f>IF(N(N79)=0,"",IF(K79&lt;&gt;"","spreads monthly - see Deferred Revenue","WIP "&amp;I79&amp;IF(D79="",""," - "&amp;D79)&amp;IF(F79="",""," "&amp;F79)&amp;IF(H79="",""," - "&amp;H79)))</f>
        <v/>
      </c>
      <c r="T79" s="24" t="n"/>
      <c r="U79" s="24" t="n"/>
      <c r="V79" s="24" t="n"/>
    </row>
    <row r="80" ht="15" customHeight="1">
      <c r="A80" s="70" t="n"/>
      <c r="B80" s="68">
        <f>IF(C80="","",IFERROR(INDEX(tbl_Finance[Date],MATCH(C80&amp;"",tbl_Finance[Xero Invoice No],0)),""))</f>
        <v/>
      </c>
      <c r="C80" s="24" t="n"/>
      <c r="D80" s="24" t="n"/>
      <c r="E80" s="25">
        <f>IF(D80="","",IF(COUNTIF(lst_Jobs,D80&amp;"")&gt;0,"OK","CHECK"))</f>
        <v/>
      </c>
      <c r="F80" s="24" t="n"/>
      <c r="G80" s="24" t="n"/>
      <c r="H80" s="24" t="n"/>
      <c r="I80" s="24" t="n"/>
      <c r="J80" s="24" t="n"/>
      <c r="K80" s="22" t="n"/>
      <c r="L80" s="22" t="n"/>
      <c r="M80" s="25">
        <f>IF(N80="","",IF(OR(K80="",L80=""),"one month",TEXT(MAX(1,(YEAR(L80)-YEAR(K80))*12+MONTH(L80)-MONTH(K80)+1),"0")&amp;" months - see Deferred Revenue"))</f>
        <v/>
      </c>
      <c r="N80" s="26" t="n"/>
      <c r="O80" s="24" t="n"/>
      <c r="P80" s="25">
        <f>IF(N(N80)=0,"",IF(N80&gt;0,set_WIPAsset,IF(J80="Cost",IF(O80="","(set the P&amp;L Account)",O80),IF(O80="",set_WIPIncome,O80))))</f>
        <v/>
      </c>
      <c r="Q80" s="25">
        <f>IF(N(N80)=0,"",IF(N80&gt;0,IF(J80="Cost",IF(O80="","(set the P&amp;L Account)",O80),IF(O80="",set_WIPIncome,O80)),set_WIPAsset))</f>
        <v/>
      </c>
      <c r="R80" s="27">
        <f>IF(OR(N(N80)=0,K80&lt;&gt;""),"",ABS(N80))</f>
        <v/>
      </c>
      <c r="S80" s="25">
        <f>IF(N(N80)=0,"",IF(K80&lt;&gt;"","spreads monthly - see Deferred Revenue","WIP "&amp;I80&amp;IF(D80="",""," - "&amp;D80)&amp;IF(F80="",""," "&amp;F80)&amp;IF(H80="",""," - "&amp;H80)))</f>
        <v/>
      </c>
      <c r="T80" s="24" t="n"/>
      <c r="U80" s="24" t="n"/>
      <c r="V80" s="24" t="n"/>
    </row>
    <row r="81" ht="15" customHeight="1">
      <c r="A81" s="70" t="n"/>
      <c r="B81" s="68">
        <f>IF(C81="","",IFERROR(INDEX(tbl_Finance[Date],MATCH(C81&amp;"",tbl_Finance[Xero Invoice No],0)),""))</f>
        <v/>
      </c>
      <c r="C81" s="24" t="n"/>
      <c r="D81" s="24" t="n"/>
      <c r="E81" s="25">
        <f>IF(D81="","",IF(COUNTIF(lst_Jobs,D81&amp;"")&gt;0,"OK","CHECK"))</f>
        <v/>
      </c>
      <c r="F81" s="24" t="n"/>
      <c r="G81" s="24" t="n"/>
      <c r="H81" s="24" t="n"/>
      <c r="I81" s="24" t="n"/>
      <c r="J81" s="24" t="n"/>
      <c r="K81" s="22" t="n"/>
      <c r="L81" s="22" t="n"/>
      <c r="M81" s="25">
        <f>IF(N81="","",IF(OR(K81="",L81=""),"one month",TEXT(MAX(1,(YEAR(L81)-YEAR(K81))*12+MONTH(L81)-MONTH(K81)+1),"0")&amp;" months - see Deferred Revenue"))</f>
        <v/>
      </c>
      <c r="N81" s="26" t="n"/>
      <c r="O81" s="24" t="n"/>
      <c r="P81" s="25">
        <f>IF(N(N81)=0,"",IF(N81&gt;0,set_WIPAsset,IF(J81="Cost",IF(O81="","(set the P&amp;L Account)",O81),IF(O81="",set_WIPIncome,O81))))</f>
        <v/>
      </c>
      <c r="Q81" s="25">
        <f>IF(N(N81)=0,"",IF(N81&gt;0,IF(J81="Cost",IF(O81="","(set the P&amp;L Account)",O81),IF(O81="",set_WIPIncome,O81)),set_WIPAsset))</f>
        <v/>
      </c>
      <c r="R81" s="27">
        <f>IF(OR(N(N81)=0,K81&lt;&gt;""),"",ABS(N81))</f>
        <v/>
      </c>
      <c r="S81" s="25">
        <f>IF(N(N81)=0,"",IF(K81&lt;&gt;"","spreads monthly - see Deferred Revenue","WIP "&amp;I81&amp;IF(D81="",""," - "&amp;D81)&amp;IF(F81="",""," "&amp;F81)&amp;IF(H81="",""," - "&amp;H81)))</f>
        <v/>
      </c>
      <c r="T81" s="24" t="n"/>
      <c r="U81" s="24" t="n"/>
      <c r="V81" s="24" t="n"/>
    </row>
    <row r="82" ht="15" customHeight="1">
      <c r="A82" s="70" t="n"/>
      <c r="B82" s="68">
        <f>IF(C82="","",IFERROR(INDEX(tbl_Finance[Date],MATCH(C82&amp;"",tbl_Finance[Xero Invoice No],0)),""))</f>
        <v/>
      </c>
      <c r="C82" s="24" t="n"/>
      <c r="D82" s="24" t="n"/>
      <c r="E82" s="25">
        <f>IF(D82="","",IF(COUNTIF(lst_Jobs,D82&amp;"")&gt;0,"OK","CHECK"))</f>
        <v/>
      </c>
      <c r="F82" s="24" t="n"/>
      <c r="G82" s="24" t="n"/>
      <c r="H82" s="24" t="n"/>
      <c r="I82" s="24" t="n"/>
      <c r="J82" s="24" t="n"/>
      <c r="K82" s="22" t="n"/>
      <c r="L82" s="22" t="n"/>
      <c r="M82" s="25">
        <f>IF(N82="","",IF(OR(K82="",L82=""),"one month",TEXT(MAX(1,(YEAR(L82)-YEAR(K82))*12+MONTH(L82)-MONTH(K82)+1),"0")&amp;" months - see Deferred Revenue"))</f>
        <v/>
      </c>
      <c r="N82" s="26" t="n"/>
      <c r="O82" s="24" t="n"/>
      <c r="P82" s="25">
        <f>IF(N(N82)=0,"",IF(N82&gt;0,set_WIPAsset,IF(J82="Cost",IF(O82="","(set the P&amp;L Account)",O82),IF(O82="",set_WIPIncome,O82))))</f>
        <v/>
      </c>
      <c r="Q82" s="25">
        <f>IF(N(N82)=0,"",IF(N82&gt;0,IF(J82="Cost",IF(O82="","(set the P&amp;L Account)",O82),IF(O82="",set_WIPIncome,O82)),set_WIPAsset))</f>
        <v/>
      </c>
      <c r="R82" s="27">
        <f>IF(OR(N(N82)=0,K82&lt;&gt;""),"",ABS(N82))</f>
        <v/>
      </c>
      <c r="S82" s="25">
        <f>IF(N(N82)=0,"",IF(K82&lt;&gt;"","spreads monthly - see Deferred Revenue","WIP "&amp;I82&amp;IF(D82="",""," - "&amp;D82)&amp;IF(F82="",""," "&amp;F82)&amp;IF(H82="",""," - "&amp;H82)))</f>
        <v/>
      </c>
      <c r="T82" s="24" t="n"/>
      <c r="U82" s="24" t="n"/>
      <c r="V82" s="24" t="n"/>
    </row>
    <row r="83" ht="15" customHeight="1">
      <c r="A83" s="70" t="n"/>
      <c r="B83" s="68">
        <f>IF(C83="","",IFERROR(INDEX(tbl_Finance[Date],MATCH(C83&amp;"",tbl_Finance[Xero Invoice No],0)),""))</f>
        <v/>
      </c>
      <c r="C83" s="24" t="n"/>
      <c r="D83" s="24" t="n"/>
      <c r="E83" s="25">
        <f>IF(D83="","",IF(COUNTIF(lst_Jobs,D83&amp;"")&gt;0,"OK","CHECK"))</f>
        <v/>
      </c>
      <c r="F83" s="24" t="n"/>
      <c r="G83" s="24" t="n"/>
      <c r="H83" s="24" t="n"/>
      <c r="I83" s="24" t="n"/>
      <c r="J83" s="24" t="n"/>
      <c r="K83" s="22" t="n"/>
      <c r="L83" s="22" t="n"/>
      <c r="M83" s="25">
        <f>IF(N83="","",IF(OR(K83="",L83=""),"one month",TEXT(MAX(1,(YEAR(L83)-YEAR(K83))*12+MONTH(L83)-MONTH(K83)+1),"0")&amp;" months - see Deferred Revenue"))</f>
        <v/>
      </c>
      <c r="N83" s="26" t="n"/>
      <c r="O83" s="24" t="n"/>
      <c r="P83" s="25">
        <f>IF(N(N83)=0,"",IF(N83&gt;0,set_WIPAsset,IF(J83="Cost",IF(O83="","(set the P&amp;L Account)",O83),IF(O83="",set_WIPIncome,O83))))</f>
        <v/>
      </c>
      <c r="Q83" s="25">
        <f>IF(N(N83)=0,"",IF(N83&gt;0,IF(J83="Cost",IF(O83="","(set the P&amp;L Account)",O83),IF(O83="",set_WIPIncome,O83)),set_WIPAsset))</f>
        <v/>
      </c>
      <c r="R83" s="27">
        <f>IF(OR(N(N83)=0,K83&lt;&gt;""),"",ABS(N83))</f>
        <v/>
      </c>
      <c r="S83" s="25">
        <f>IF(N(N83)=0,"",IF(K83&lt;&gt;"","spreads monthly - see Deferred Revenue","WIP "&amp;I83&amp;IF(D83="",""," - "&amp;D83)&amp;IF(F83="",""," "&amp;F83)&amp;IF(H83="",""," - "&amp;H83)))</f>
        <v/>
      </c>
      <c r="T83" s="24" t="n"/>
      <c r="U83" s="24" t="n"/>
      <c r="V83" s="24" t="n"/>
    </row>
    <row r="84" ht="15" customHeight="1">
      <c r="A84" s="70" t="n"/>
      <c r="B84" s="68">
        <f>IF(C84="","",IFERROR(INDEX(tbl_Finance[Date],MATCH(C84&amp;"",tbl_Finance[Xero Invoice No],0)),""))</f>
        <v/>
      </c>
      <c r="C84" s="24" t="n"/>
      <c r="D84" s="24" t="n"/>
      <c r="E84" s="25">
        <f>IF(D84="","",IF(COUNTIF(lst_Jobs,D84&amp;"")&gt;0,"OK","CHECK"))</f>
        <v/>
      </c>
      <c r="F84" s="24" t="n"/>
      <c r="G84" s="24" t="n"/>
      <c r="H84" s="24" t="n"/>
      <c r="I84" s="24" t="n"/>
      <c r="J84" s="24" t="n"/>
      <c r="K84" s="22" t="n"/>
      <c r="L84" s="22" t="n"/>
      <c r="M84" s="25">
        <f>IF(N84="","",IF(OR(K84="",L84=""),"one month",TEXT(MAX(1,(YEAR(L84)-YEAR(K84))*12+MONTH(L84)-MONTH(K84)+1),"0")&amp;" months - see Deferred Revenue"))</f>
        <v/>
      </c>
      <c r="N84" s="26" t="n"/>
      <c r="O84" s="24" t="n"/>
      <c r="P84" s="25">
        <f>IF(N(N84)=0,"",IF(N84&gt;0,set_WIPAsset,IF(J84="Cost",IF(O84="","(set the P&amp;L Account)",O84),IF(O84="",set_WIPIncome,O84))))</f>
        <v/>
      </c>
      <c r="Q84" s="25">
        <f>IF(N(N84)=0,"",IF(N84&gt;0,IF(J84="Cost",IF(O84="","(set the P&amp;L Account)",O84),IF(O84="",set_WIPIncome,O84)),set_WIPAsset))</f>
        <v/>
      </c>
      <c r="R84" s="27">
        <f>IF(OR(N(N84)=0,K84&lt;&gt;""),"",ABS(N84))</f>
        <v/>
      </c>
      <c r="S84" s="25">
        <f>IF(N(N84)=0,"",IF(K84&lt;&gt;"","spreads monthly - see Deferred Revenue","WIP "&amp;I84&amp;IF(D84="",""," - "&amp;D84)&amp;IF(F84="",""," "&amp;F84)&amp;IF(H84="",""," - "&amp;H84)))</f>
        <v/>
      </c>
      <c r="T84" s="24" t="n"/>
      <c r="U84" s="24" t="n"/>
      <c r="V84" s="24" t="n"/>
    </row>
    <row r="85" ht="15" customHeight="1">
      <c r="A85" s="70" t="n"/>
      <c r="B85" s="68">
        <f>IF(C85="","",IFERROR(INDEX(tbl_Finance[Date],MATCH(C85&amp;"",tbl_Finance[Xero Invoice No],0)),""))</f>
        <v/>
      </c>
      <c r="C85" s="24" t="n"/>
      <c r="D85" s="24" t="n"/>
      <c r="E85" s="25">
        <f>IF(D85="","",IF(COUNTIF(lst_Jobs,D85&amp;"")&gt;0,"OK","CHECK"))</f>
        <v/>
      </c>
      <c r="F85" s="24" t="n"/>
      <c r="G85" s="24" t="n"/>
      <c r="H85" s="24" t="n"/>
      <c r="I85" s="24" t="n"/>
      <c r="J85" s="24" t="n"/>
      <c r="K85" s="22" t="n"/>
      <c r="L85" s="22" t="n"/>
      <c r="M85" s="25">
        <f>IF(N85="","",IF(OR(K85="",L85=""),"one month",TEXT(MAX(1,(YEAR(L85)-YEAR(K85))*12+MONTH(L85)-MONTH(K85)+1),"0")&amp;" months - see Deferred Revenue"))</f>
        <v/>
      </c>
      <c r="N85" s="26" t="n"/>
      <c r="O85" s="24" t="n"/>
      <c r="P85" s="25">
        <f>IF(N(N85)=0,"",IF(N85&gt;0,set_WIPAsset,IF(J85="Cost",IF(O85="","(set the P&amp;L Account)",O85),IF(O85="",set_WIPIncome,O85))))</f>
        <v/>
      </c>
      <c r="Q85" s="25">
        <f>IF(N(N85)=0,"",IF(N85&gt;0,IF(J85="Cost",IF(O85="","(set the P&amp;L Account)",O85),IF(O85="",set_WIPIncome,O85)),set_WIPAsset))</f>
        <v/>
      </c>
      <c r="R85" s="27">
        <f>IF(OR(N(N85)=0,K85&lt;&gt;""),"",ABS(N85))</f>
        <v/>
      </c>
      <c r="S85" s="25">
        <f>IF(N(N85)=0,"",IF(K85&lt;&gt;"","spreads monthly - see Deferred Revenue","WIP "&amp;I85&amp;IF(D85="",""," - "&amp;D85)&amp;IF(F85="",""," "&amp;F85)&amp;IF(H85="",""," - "&amp;H85)))</f>
        <v/>
      </c>
      <c r="T85" s="24" t="n"/>
      <c r="U85" s="24" t="n"/>
      <c r="V85" s="24" t="n"/>
    </row>
    <row r="86" ht="15" customHeight="1">
      <c r="A86" s="70" t="n"/>
      <c r="B86" s="68">
        <f>IF(C86="","",IFERROR(INDEX(tbl_Finance[Date],MATCH(C86&amp;"",tbl_Finance[Xero Invoice No],0)),""))</f>
        <v/>
      </c>
      <c r="C86" s="24" t="n"/>
      <c r="D86" s="24" t="n"/>
      <c r="E86" s="25">
        <f>IF(D86="","",IF(COUNTIF(lst_Jobs,D86&amp;"")&gt;0,"OK","CHECK"))</f>
        <v/>
      </c>
      <c r="F86" s="24" t="n"/>
      <c r="G86" s="24" t="n"/>
      <c r="H86" s="24" t="n"/>
      <c r="I86" s="24" t="n"/>
      <c r="J86" s="24" t="n"/>
      <c r="K86" s="22" t="n"/>
      <c r="L86" s="22" t="n"/>
      <c r="M86" s="25">
        <f>IF(N86="","",IF(OR(K86="",L86=""),"one month",TEXT(MAX(1,(YEAR(L86)-YEAR(K86))*12+MONTH(L86)-MONTH(K86)+1),"0")&amp;" months - see Deferred Revenue"))</f>
        <v/>
      </c>
      <c r="N86" s="26" t="n"/>
      <c r="O86" s="24" t="n"/>
      <c r="P86" s="25">
        <f>IF(N(N86)=0,"",IF(N86&gt;0,set_WIPAsset,IF(J86="Cost",IF(O86="","(set the P&amp;L Account)",O86),IF(O86="",set_WIPIncome,O86))))</f>
        <v/>
      </c>
      <c r="Q86" s="25">
        <f>IF(N(N86)=0,"",IF(N86&gt;0,IF(J86="Cost",IF(O86="","(set the P&amp;L Account)",O86),IF(O86="",set_WIPIncome,O86)),set_WIPAsset))</f>
        <v/>
      </c>
      <c r="R86" s="27">
        <f>IF(OR(N(N86)=0,K86&lt;&gt;""),"",ABS(N86))</f>
        <v/>
      </c>
      <c r="S86" s="25">
        <f>IF(N(N86)=0,"",IF(K86&lt;&gt;"","spreads monthly - see Deferred Revenue","WIP "&amp;I86&amp;IF(D86="",""," - "&amp;D86)&amp;IF(F86="",""," "&amp;F86)&amp;IF(H86="",""," - "&amp;H86)))</f>
        <v/>
      </c>
      <c r="T86" s="24" t="n"/>
      <c r="U86" s="24" t="n"/>
      <c r="V86" s="24" t="n"/>
    </row>
    <row r="87" ht="15" customHeight="1">
      <c r="A87" s="70" t="n"/>
      <c r="B87" s="68">
        <f>IF(C87="","",IFERROR(INDEX(tbl_Finance[Date],MATCH(C87&amp;"",tbl_Finance[Xero Invoice No],0)),""))</f>
        <v/>
      </c>
      <c r="C87" s="24" t="n"/>
      <c r="D87" s="24" t="n"/>
      <c r="E87" s="25">
        <f>IF(D87="","",IF(COUNTIF(lst_Jobs,D87&amp;"")&gt;0,"OK","CHECK"))</f>
        <v/>
      </c>
      <c r="F87" s="24" t="n"/>
      <c r="G87" s="24" t="n"/>
      <c r="H87" s="24" t="n"/>
      <c r="I87" s="24" t="n"/>
      <c r="J87" s="24" t="n"/>
      <c r="K87" s="22" t="n"/>
      <c r="L87" s="22" t="n"/>
      <c r="M87" s="25">
        <f>IF(N87="","",IF(OR(K87="",L87=""),"one month",TEXT(MAX(1,(YEAR(L87)-YEAR(K87))*12+MONTH(L87)-MONTH(K87)+1),"0")&amp;" months - see Deferred Revenue"))</f>
        <v/>
      </c>
      <c r="N87" s="26" t="n"/>
      <c r="O87" s="24" t="n"/>
      <c r="P87" s="25">
        <f>IF(N(N87)=0,"",IF(N87&gt;0,set_WIPAsset,IF(J87="Cost",IF(O87="","(set the P&amp;L Account)",O87),IF(O87="",set_WIPIncome,O87))))</f>
        <v/>
      </c>
      <c r="Q87" s="25">
        <f>IF(N(N87)=0,"",IF(N87&gt;0,IF(J87="Cost",IF(O87="","(set the P&amp;L Account)",O87),IF(O87="",set_WIPIncome,O87)),set_WIPAsset))</f>
        <v/>
      </c>
      <c r="R87" s="27">
        <f>IF(OR(N(N87)=0,K87&lt;&gt;""),"",ABS(N87))</f>
        <v/>
      </c>
      <c r="S87" s="25">
        <f>IF(N(N87)=0,"",IF(K87&lt;&gt;"","spreads monthly - see Deferred Revenue","WIP "&amp;I87&amp;IF(D87="",""," - "&amp;D87)&amp;IF(F87="",""," "&amp;F87)&amp;IF(H87="",""," - "&amp;H87)))</f>
        <v/>
      </c>
      <c r="T87" s="24" t="n"/>
      <c r="U87" s="24" t="n"/>
      <c r="V87" s="24" t="n"/>
    </row>
    <row r="88" ht="15" customHeight="1">
      <c r="A88" s="70" t="n"/>
      <c r="B88" s="68">
        <f>IF(C88="","",IFERROR(INDEX(tbl_Finance[Date],MATCH(C88&amp;"",tbl_Finance[Xero Invoice No],0)),""))</f>
        <v/>
      </c>
      <c r="C88" s="24" t="n"/>
      <c r="D88" s="24" t="n"/>
      <c r="E88" s="25">
        <f>IF(D88="","",IF(COUNTIF(lst_Jobs,D88&amp;"")&gt;0,"OK","CHECK"))</f>
        <v/>
      </c>
      <c r="F88" s="24" t="n"/>
      <c r="G88" s="24" t="n"/>
      <c r="H88" s="24" t="n"/>
      <c r="I88" s="24" t="n"/>
      <c r="J88" s="24" t="n"/>
      <c r="K88" s="22" t="n"/>
      <c r="L88" s="22" t="n"/>
      <c r="M88" s="25">
        <f>IF(N88="","",IF(OR(K88="",L88=""),"one month",TEXT(MAX(1,(YEAR(L88)-YEAR(K88))*12+MONTH(L88)-MONTH(K88)+1),"0")&amp;" months - see Deferred Revenue"))</f>
        <v/>
      </c>
      <c r="N88" s="26" t="n"/>
      <c r="O88" s="24" t="n"/>
      <c r="P88" s="25">
        <f>IF(N(N88)=0,"",IF(N88&gt;0,set_WIPAsset,IF(J88="Cost",IF(O88="","(set the P&amp;L Account)",O88),IF(O88="",set_WIPIncome,O88))))</f>
        <v/>
      </c>
      <c r="Q88" s="25">
        <f>IF(N(N88)=0,"",IF(N88&gt;0,IF(J88="Cost",IF(O88="","(set the P&amp;L Account)",O88),IF(O88="",set_WIPIncome,O88)),set_WIPAsset))</f>
        <v/>
      </c>
      <c r="R88" s="27">
        <f>IF(OR(N(N88)=0,K88&lt;&gt;""),"",ABS(N88))</f>
        <v/>
      </c>
      <c r="S88" s="25">
        <f>IF(N(N88)=0,"",IF(K88&lt;&gt;"","spreads monthly - see Deferred Revenue","WIP "&amp;I88&amp;IF(D88="",""," - "&amp;D88)&amp;IF(F88="",""," "&amp;F88)&amp;IF(H88="",""," - "&amp;H88)))</f>
        <v/>
      </c>
      <c r="T88" s="24" t="n"/>
      <c r="U88" s="24" t="n"/>
      <c r="V88" s="24" t="n"/>
    </row>
    <row r="89" ht="15" customHeight="1">
      <c r="A89" s="70" t="n"/>
      <c r="B89" s="68">
        <f>IF(C89="","",IFERROR(INDEX(tbl_Finance[Date],MATCH(C89&amp;"",tbl_Finance[Xero Invoice No],0)),""))</f>
        <v/>
      </c>
      <c r="C89" s="24" t="n"/>
      <c r="D89" s="24" t="n"/>
      <c r="E89" s="25">
        <f>IF(D89="","",IF(COUNTIF(lst_Jobs,D89&amp;"")&gt;0,"OK","CHECK"))</f>
        <v/>
      </c>
      <c r="F89" s="24" t="n"/>
      <c r="G89" s="24" t="n"/>
      <c r="H89" s="24" t="n"/>
      <c r="I89" s="24" t="n"/>
      <c r="J89" s="24" t="n"/>
      <c r="K89" s="22" t="n"/>
      <c r="L89" s="22" t="n"/>
      <c r="M89" s="25">
        <f>IF(N89="","",IF(OR(K89="",L89=""),"one month",TEXT(MAX(1,(YEAR(L89)-YEAR(K89))*12+MONTH(L89)-MONTH(K89)+1),"0")&amp;" months - see Deferred Revenue"))</f>
        <v/>
      </c>
      <c r="N89" s="26" t="n"/>
      <c r="O89" s="24" t="n"/>
      <c r="P89" s="25">
        <f>IF(N(N89)=0,"",IF(N89&gt;0,set_WIPAsset,IF(J89="Cost",IF(O89="","(set the P&amp;L Account)",O89),IF(O89="",set_WIPIncome,O89))))</f>
        <v/>
      </c>
      <c r="Q89" s="25">
        <f>IF(N(N89)=0,"",IF(N89&gt;0,IF(J89="Cost",IF(O89="","(set the P&amp;L Account)",O89),IF(O89="",set_WIPIncome,O89)),set_WIPAsset))</f>
        <v/>
      </c>
      <c r="R89" s="27">
        <f>IF(OR(N(N89)=0,K89&lt;&gt;""),"",ABS(N89))</f>
        <v/>
      </c>
      <c r="S89" s="25">
        <f>IF(N(N89)=0,"",IF(K89&lt;&gt;"","spreads monthly - see Deferred Revenue","WIP "&amp;I89&amp;IF(D89="",""," - "&amp;D89)&amp;IF(F89="",""," "&amp;F89)&amp;IF(H89="",""," - "&amp;H89)))</f>
        <v/>
      </c>
      <c r="T89" s="24" t="n"/>
      <c r="U89" s="24" t="n"/>
      <c r="V89" s="24" t="n"/>
    </row>
    <row r="90" ht="15" customHeight="1">
      <c r="A90" s="70" t="n"/>
      <c r="B90" s="68">
        <f>IF(C90="","",IFERROR(INDEX(tbl_Finance[Date],MATCH(C90&amp;"",tbl_Finance[Xero Invoice No],0)),""))</f>
        <v/>
      </c>
      <c r="C90" s="24" t="n"/>
      <c r="D90" s="24" t="n"/>
      <c r="E90" s="25">
        <f>IF(D90="","",IF(COUNTIF(lst_Jobs,D90&amp;"")&gt;0,"OK","CHECK"))</f>
        <v/>
      </c>
      <c r="F90" s="24" t="n"/>
      <c r="G90" s="24" t="n"/>
      <c r="H90" s="24" t="n"/>
      <c r="I90" s="24" t="n"/>
      <c r="J90" s="24" t="n"/>
      <c r="K90" s="22" t="n"/>
      <c r="L90" s="22" t="n"/>
      <c r="M90" s="25">
        <f>IF(N90="","",IF(OR(K90="",L90=""),"one month",TEXT(MAX(1,(YEAR(L90)-YEAR(K90))*12+MONTH(L90)-MONTH(K90)+1),"0")&amp;" months - see Deferred Revenue"))</f>
        <v/>
      </c>
      <c r="N90" s="26" t="n"/>
      <c r="O90" s="24" t="n"/>
      <c r="P90" s="25">
        <f>IF(N(N90)=0,"",IF(N90&gt;0,set_WIPAsset,IF(J90="Cost",IF(O90="","(set the P&amp;L Account)",O90),IF(O90="",set_WIPIncome,O90))))</f>
        <v/>
      </c>
      <c r="Q90" s="25">
        <f>IF(N(N90)=0,"",IF(N90&gt;0,IF(J90="Cost",IF(O90="","(set the P&amp;L Account)",O90),IF(O90="",set_WIPIncome,O90)),set_WIPAsset))</f>
        <v/>
      </c>
      <c r="R90" s="27">
        <f>IF(OR(N(N90)=0,K90&lt;&gt;""),"",ABS(N90))</f>
        <v/>
      </c>
      <c r="S90" s="25">
        <f>IF(N(N90)=0,"",IF(K90&lt;&gt;"","spreads monthly - see Deferred Revenue","WIP "&amp;I90&amp;IF(D90="",""," - "&amp;D90)&amp;IF(F90="",""," "&amp;F90)&amp;IF(H90="",""," - "&amp;H90)))</f>
        <v/>
      </c>
      <c r="T90" s="24" t="n"/>
      <c r="U90" s="24" t="n"/>
      <c r="V90" s="24" t="n"/>
    </row>
    <row r="91" ht="15" customHeight="1">
      <c r="A91" s="70" t="n"/>
      <c r="B91" s="68">
        <f>IF(C91="","",IFERROR(INDEX(tbl_Finance[Date],MATCH(C91&amp;"",tbl_Finance[Xero Invoice No],0)),""))</f>
        <v/>
      </c>
      <c r="C91" s="24" t="n"/>
      <c r="D91" s="24" t="n"/>
      <c r="E91" s="25">
        <f>IF(D91="","",IF(COUNTIF(lst_Jobs,D91&amp;"")&gt;0,"OK","CHECK"))</f>
        <v/>
      </c>
      <c r="F91" s="24" t="n"/>
      <c r="G91" s="24" t="n"/>
      <c r="H91" s="24" t="n"/>
      <c r="I91" s="24" t="n"/>
      <c r="J91" s="24" t="n"/>
      <c r="K91" s="22" t="n"/>
      <c r="L91" s="22" t="n"/>
      <c r="M91" s="25">
        <f>IF(N91="","",IF(OR(K91="",L91=""),"one month",TEXT(MAX(1,(YEAR(L91)-YEAR(K91))*12+MONTH(L91)-MONTH(K91)+1),"0")&amp;" months - see Deferred Revenue"))</f>
        <v/>
      </c>
      <c r="N91" s="26" t="n"/>
      <c r="O91" s="24" t="n"/>
      <c r="P91" s="25">
        <f>IF(N(N91)=0,"",IF(N91&gt;0,set_WIPAsset,IF(J91="Cost",IF(O91="","(set the P&amp;L Account)",O91),IF(O91="",set_WIPIncome,O91))))</f>
        <v/>
      </c>
      <c r="Q91" s="25">
        <f>IF(N(N91)=0,"",IF(N91&gt;0,IF(J91="Cost",IF(O91="","(set the P&amp;L Account)",O91),IF(O91="",set_WIPIncome,O91)),set_WIPAsset))</f>
        <v/>
      </c>
      <c r="R91" s="27">
        <f>IF(OR(N(N91)=0,K91&lt;&gt;""),"",ABS(N91))</f>
        <v/>
      </c>
      <c r="S91" s="25">
        <f>IF(N(N91)=0,"",IF(K91&lt;&gt;"","spreads monthly - see Deferred Revenue","WIP "&amp;I91&amp;IF(D91="",""," - "&amp;D91)&amp;IF(F91="",""," "&amp;F91)&amp;IF(H91="",""," - "&amp;H91)))</f>
        <v/>
      </c>
      <c r="T91" s="24" t="n"/>
      <c r="U91" s="24" t="n"/>
      <c r="V91" s="24" t="n"/>
    </row>
    <row r="92" ht="15" customHeight="1">
      <c r="A92" s="70" t="n"/>
      <c r="B92" s="68">
        <f>IF(C92="","",IFERROR(INDEX(tbl_Finance[Date],MATCH(C92&amp;"",tbl_Finance[Xero Invoice No],0)),""))</f>
        <v/>
      </c>
      <c r="C92" s="24" t="n"/>
      <c r="D92" s="24" t="n"/>
      <c r="E92" s="25">
        <f>IF(D92="","",IF(COUNTIF(lst_Jobs,D92&amp;"")&gt;0,"OK","CHECK"))</f>
        <v/>
      </c>
      <c r="F92" s="24" t="n"/>
      <c r="G92" s="24" t="n"/>
      <c r="H92" s="24" t="n"/>
      <c r="I92" s="24" t="n"/>
      <c r="J92" s="24" t="n"/>
      <c r="K92" s="22" t="n"/>
      <c r="L92" s="22" t="n"/>
      <c r="M92" s="25">
        <f>IF(N92="","",IF(OR(K92="",L92=""),"one month",TEXT(MAX(1,(YEAR(L92)-YEAR(K92))*12+MONTH(L92)-MONTH(K92)+1),"0")&amp;" months - see Deferred Revenue"))</f>
        <v/>
      </c>
      <c r="N92" s="26" t="n"/>
      <c r="O92" s="24" t="n"/>
      <c r="P92" s="25">
        <f>IF(N(N92)=0,"",IF(N92&gt;0,set_WIPAsset,IF(J92="Cost",IF(O92="","(set the P&amp;L Account)",O92),IF(O92="",set_WIPIncome,O92))))</f>
        <v/>
      </c>
      <c r="Q92" s="25">
        <f>IF(N(N92)=0,"",IF(N92&gt;0,IF(J92="Cost",IF(O92="","(set the P&amp;L Account)",O92),IF(O92="",set_WIPIncome,O92)),set_WIPAsset))</f>
        <v/>
      </c>
      <c r="R92" s="27">
        <f>IF(OR(N(N92)=0,K92&lt;&gt;""),"",ABS(N92))</f>
        <v/>
      </c>
      <c r="S92" s="25">
        <f>IF(N(N92)=0,"",IF(K92&lt;&gt;"","spreads monthly - see Deferred Revenue","WIP "&amp;I92&amp;IF(D92="",""," - "&amp;D92)&amp;IF(F92="",""," "&amp;F92)&amp;IF(H92="",""," - "&amp;H92)))</f>
        <v/>
      </c>
      <c r="T92" s="24" t="n"/>
      <c r="U92" s="24" t="n"/>
      <c r="V92" s="24" t="n"/>
    </row>
    <row r="93" ht="15" customHeight="1">
      <c r="A93" s="70" t="n"/>
      <c r="B93" s="68">
        <f>IF(C93="","",IFERROR(INDEX(tbl_Finance[Date],MATCH(C93&amp;"",tbl_Finance[Xero Invoice No],0)),""))</f>
        <v/>
      </c>
      <c r="C93" s="24" t="n"/>
      <c r="D93" s="24" t="n"/>
      <c r="E93" s="25">
        <f>IF(D93="","",IF(COUNTIF(lst_Jobs,D93&amp;"")&gt;0,"OK","CHECK"))</f>
        <v/>
      </c>
      <c r="F93" s="24" t="n"/>
      <c r="G93" s="24" t="n"/>
      <c r="H93" s="24" t="n"/>
      <c r="I93" s="24" t="n"/>
      <c r="J93" s="24" t="n"/>
      <c r="K93" s="22" t="n"/>
      <c r="L93" s="22" t="n"/>
      <c r="M93" s="25">
        <f>IF(N93="","",IF(OR(K93="",L93=""),"one month",TEXT(MAX(1,(YEAR(L93)-YEAR(K93))*12+MONTH(L93)-MONTH(K93)+1),"0")&amp;" months - see Deferred Revenue"))</f>
        <v/>
      </c>
      <c r="N93" s="26" t="n"/>
      <c r="O93" s="24" t="n"/>
      <c r="P93" s="25">
        <f>IF(N(N93)=0,"",IF(N93&gt;0,set_WIPAsset,IF(J93="Cost",IF(O93="","(set the P&amp;L Account)",O93),IF(O93="",set_WIPIncome,O93))))</f>
        <v/>
      </c>
      <c r="Q93" s="25">
        <f>IF(N(N93)=0,"",IF(N93&gt;0,IF(J93="Cost",IF(O93="","(set the P&amp;L Account)",O93),IF(O93="",set_WIPIncome,O93)),set_WIPAsset))</f>
        <v/>
      </c>
      <c r="R93" s="27">
        <f>IF(OR(N(N93)=0,K93&lt;&gt;""),"",ABS(N93))</f>
        <v/>
      </c>
      <c r="S93" s="25">
        <f>IF(N(N93)=0,"",IF(K93&lt;&gt;"","spreads monthly - see Deferred Revenue","WIP "&amp;I93&amp;IF(D93="",""," - "&amp;D93)&amp;IF(F93="",""," "&amp;F93)&amp;IF(H93="",""," - "&amp;H93)))</f>
        <v/>
      </c>
      <c r="T93" s="24" t="n"/>
      <c r="U93" s="24" t="n"/>
      <c r="V93" s="24" t="n"/>
    </row>
    <row r="94" ht="15" customHeight="1">
      <c r="A94" s="70" t="n"/>
      <c r="B94" s="68">
        <f>IF(C94="","",IFERROR(INDEX(tbl_Finance[Date],MATCH(C94&amp;"",tbl_Finance[Xero Invoice No],0)),""))</f>
        <v/>
      </c>
      <c r="C94" s="24" t="n"/>
      <c r="D94" s="24" t="n"/>
      <c r="E94" s="25">
        <f>IF(D94="","",IF(COUNTIF(lst_Jobs,D94&amp;"")&gt;0,"OK","CHECK"))</f>
        <v/>
      </c>
      <c r="F94" s="24" t="n"/>
      <c r="G94" s="24" t="n"/>
      <c r="H94" s="24" t="n"/>
      <c r="I94" s="24" t="n"/>
      <c r="J94" s="24" t="n"/>
      <c r="K94" s="22" t="n"/>
      <c r="L94" s="22" t="n"/>
      <c r="M94" s="25">
        <f>IF(N94="","",IF(OR(K94="",L94=""),"one month",TEXT(MAX(1,(YEAR(L94)-YEAR(K94))*12+MONTH(L94)-MONTH(K94)+1),"0")&amp;" months - see Deferred Revenue"))</f>
        <v/>
      </c>
      <c r="N94" s="26" t="n"/>
      <c r="O94" s="24" t="n"/>
      <c r="P94" s="25">
        <f>IF(N(N94)=0,"",IF(N94&gt;0,set_WIPAsset,IF(J94="Cost",IF(O94="","(set the P&amp;L Account)",O94),IF(O94="",set_WIPIncome,O94))))</f>
        <v/>
      </c>
      <c r="Q94" s="25">
        <f>IF(N(N94)=0,"",IF(N94&gt;0,IF(J94="Cost",IF(O94="","(set the P&amp;L Account)",O94),IF(O94="",set_WIPIncome,O94)),set_WIPAsset))</f>
        <v/>
      </c>
      <c r="R94" s="27">
        <f>IF(OR(N(N94)=0,K94&lt;&gt;""),"",ABS(N94))</f>
        <v/>
      </c>
      <c r="S94" s="25">
        <f>IF(N(N94)=0,"",IF(K94&lt;&gt;"","spreads monthly - see Deferred Revenue","WIP "&amp;I94&amp;IF(D94="",""," - "&amp;D94)&amp;IF(F94="",""," "&amp;F94)&amp;IF(H94="",""," - "&amp;H94)))</f>
        <v/>
      </c>
      <c r="T94" s="24" t="n"/>
      <c r="U94" s="24" t="n"/>
      <c r="V94" s="24" t="n"/>
    </row>
    <row r="95" ht="15" customHeight="1">
      <c r="A95" s="70" t="n"/>
      <c r="B95" s="68">
        <f>IF(C95="","",IFERROR(INDEX(tbl_Finance[Date],MATCH(C95&amp;"",tbl_Finance[Xero Invoice No],0)),""))</f>
        <v/>
      </c>
      <c r="C95" s="24" t="n"/>
      <c r="D95" s="24" t="n"/>
      <c r="E95" s="25">
        <f>IF(D95="","",IF(COUNTIF(lst_Jobs,D95&amp;"")&gt;0,"OK","CHECK"))</f>
        <v/>
      </c>
      <c r="F95" s="24" t="n"/>
      <c r="G95" s="24" t="n"/>
      <c r="H95" s="24" t="n"/>
      <c r="I95" s="24" t="n"/>
      <c r="J95" s="24" t="n"/>
      <c r="K95" s="22" t="n"/>
      <c r="L95" s="22" t="n"/>
      <c r="M95" s="25">
        <f>IF(N95="","",IF(OR(K95="",L95=""),"one month",TEXT(MAX(1,(YEAR(L95)-YEAR(K95))*12+MONTH(L95)-MONTH(K95)+1),"0")&amp;" months - see Deferred Revenue"))</f>
        <v/>
      </c>
      <c r="N95" s="26" t="n"/>
      <c r="O95" s="24" t="n"/>
      <c r="P95" s="25">
        <f>IF(N(N95)=0,"",IF(N95&gt;0,set_WIPAsset,IF(J95="Cost",IF(O95="","(set the P&amp;L Account)",O95),IF(O95="",set_WIPIncome,O95))))</f>
        <v/>
      </c>
      <c r="Q95" s="25">
        <f>IF(N(N95)=0,"",IF(N95&gt;0,IF(J95="Cost",IF(O95="","(set the P&amp;L Account)",O95),IF(O95="",set_WIPIncome,O95)),set_WIPAsset))</f>
        <v/>
      </c>
      <c r="R95" s="27">
        <f>IF(OR(N(N95)=0,K95&lt;&gt;""),"",ABS(N95))</f>
        <v/>
      </c>
      <c r="S95" s="25">
        <f>IF(N(N95)=0,"",IF(K95&lt;&gt;"","spreads monthly - see Deferred Revenue","WIP "&amp;I95&amp;IF(D95="",""," - "&amp;D95)&amp;IF(F95="",""," "&amp;F95)&amp;IF(H95="",""," - "&amp;H95)))</f>
        <v/>
      </c>
      <c r="T95" s="24" t="n"/>
      <c r="U95" s="24" t="n"/>
      <c r="V95" s="24" t="n"/>
    </row>
    <row r="96" ht="15" customHeight="1">
      <c r="A96" s="70" t="n"/>
      <c r="B96" s="68">
        <f>IF(C96="","",IFERROR(INDEX(tbl_Finance[Date],MATCH(C96&amp;"",tbl_Finance[Xero Invoice No],0)),""))</f>
        <v/>
      </c>
      <c r="C96" s="24" t="n"/>
      <c r="D96" s="24" t="n"/>
      <c r="E96" s="25">
        <f>IF(D96="","",IF(COUNTIF(lst_Jobs,D96&amp;"")&gt;0,"OK","CHECK"))</f>
        <v/>
      </c>
      <c r="F96" s="24" t="n"/>
      <c r="G96" s="24" t="n"/>
      <c r="H96" s="24" t="n"/>
      <c r="I96" s="24" t="n"/>
      <c r="J96" s="24" t="n"/>
      <c r="K96" s="22" t="n"/>
      <c r="L96" s="22" t="n"/>
      <c r="M96" s="25">
        <f>IF(N96="","",IF(OR(K96="",L96=""),"one month",TEXT(MAX(1,(YEAR(L96)-YEAR(K96))*12+MONTH(L96)-MONTH(K96)+1),"0")&amp;" months - see Deferred Revenue"))</f>
        <v/>
      </c>
      <c r="N96" s="26" t="n"/>
      <c r="O96" s="24" t="n"/>
      <c r="P96" s="25">
        <f>IF(N(N96)=0,"",IF(N96&gt;0,set_WIPAsset,IF(J96="Cost",IF(O96="","(set the P&amp;L Account)",O96),IF(O96="",set_WIPIncome,O96))))</f>
        <v/>
      </c>
      <c r="Q96" s="25">
        <f>IF(N(N96)=0,"",IF(N96&gt;0,IF(J96="Cost",IF(O96="","(set the P&amp;L Account)",O96),IF(O96="",set_WIPIncome,O96)),set_WIPAsset))</f>
        <v/>
      </c>
      <c r="R96" s="27">
        <f>IF(OR(N(N96)=0,K96&lt;&gt;""),"",ABS(N96))</f>
        <v/>
      </c>
      <c r="S96" s="25">
        <f>IF(N(N96)=0,"",IF(K96&lt;&gt;"","spreads monthly - see Deferred Revenue","WIP "&amp;I96&amp;IF(D96="",""," - "&amp;D96)&amp;IF(F96="",""," "&amp;F96)&amp;IF(H96="",""," - "&amp;H96)))</f>
        <v/>
      </c>
      <c r="T96" s="24" t="n"/>
      <c r="U96" s="24" t="n"/>
      <c r="V96" s="24" t="n"/>
    </row>
    <row r="97" ht="15" customHeight="1">
      <c r="A97" s="70" t="n"/>
      <c r="B97" s="68">
        <f>IF(C97="","",IFERROR(INDEX(tbl_Finance[Date],MATCH(C97&amp;"",tbl_Finance[Xero Invoice No],0)),""))</f>
        <v/>
      </c>
      <c r="C97" s="24" t="n"/>
      <c r="D97" s="24" t="n"/>
      <c r="E97" s="25">
        <f>IF(D97="","",IF(COUNTIF(lst_Jobs,D97&amp;"")&gt;0,"OK","CHECK"))</f>
        <v/>
      </c>
      <c r="F97" s="24" t="n"/>
      <c r="G97" s="24" t="n"/>
      <c r="H97" s="24" t="n"/>
      <c r="I97" s="24" t="n"/>
      <c r="J97" s="24" t="n"/>
      <c r="K97" s="22" t="n"/>
      <c r="L97" s="22" t="n"/>
      <c r="M97" s="25">
        <f>IF(N97="","",IF(OR(K97="",L97=""),"one month",TEXT(MAX(1,(YEAR(L97)-YEAR(K97))*12+MONTH(L97)-MONTH(K97)+1),"0")&amp;" months - see Deferred Revenue"))</f>
        <v/>
      </c>
      <c r="N97" s="26" t="n"/>
      <c r="O97" s="24" t="n"/>
      <c r="P97" s="25">
        <f>IF(N(N97)=0,"",IF(N97&gt;0,set_WIPAsset,IF(J97="Cost",IF(O97="","(set the P&amp;L Account)",O97),IF(O97="",set_WIPIncome,O97))))</f>
        <v/>
      </c>
      <c r="Q97" s="25">
        <f>IF(N(N97)=0,"",IF(N97&gt;0,IF(J97="Cost",IF(O97="","(set the P&amp;L Account)",O97),IF(O97="",set_WIPIncome,O97)),set_WIPAsset))</f>
        <v/>
      </c>
      <c r="R97" s="27">
        <f>IF(OR(N(N97)=0,K97&lt;&gt;""),"",ABS(N97))</f>
        <v/>
      </c>
      <c r="S97" s="25">
        <f>IF(N(N97)=0,"",IF(K97&lt;&gt;"","spreads monthly - see Deferred Revenue","WIP "&amp;I97&amp;IF(D97="",""," - "&amp;D97)&amp;IF(F97="",""," "&amp;F97)&amp;IF(H97="",""," - "&amp;H97)))</f>
        <v/>
      </c>
      <c r="T97" s="24" t="n"/>
      <c r="U97" s="24" t="n"/>
      <c r="V97" s="24" t="n"/>
    </row>
    <row r="98" ht="15" customHeight="1">
      <c r="A98" s="70" t="n"/>
      <c r="B98" s="68">
        <f>IF(C98="","",IFERROR(INDEX(tbl_Finance[Date],MATCH(C98&amp;"",tbl_Finance[Xero Invoice No],0)),""))</f>
        <v/>
      </c>
      <c r="C98" s="24" t="n"/>
      <c r="D98" s="24" t="n"/>
      <c r="E98" s="25">
        <f>IF(D98="","",IF(COUNTIF(lst_Jobs,D98&amp;"")&gt;0,"OK","CHECK"))</f>
        <v/>
      </c>
      <c r="F98" s="24" t="n"/>
      <c r="G98" s="24" t="n"/>
      <c r="H98" s="24" t="n"/>
      <c r="I98" s="24" t="n"/>
      <c r="J98" s="24" t="n"/>
      <c r="K98" s="22" t="n"/>
      <c r="L98" s="22" t="n"/>
      <c r="M98" s="25">
        <f>IF(N98="","",IF(OR(K98="",L98=""),"one month",TEXT(MAX(1,(YEAR(L98)-YEAR(K98))*12+MONTH(L98)-MONTH(K98)+1),"0")&amp;" months - see Deferred Revenue"))</f>
        <v/>
      </c>
      <c r="N98" s="26" t="n"/>
      <c r="O98" s="24" t="n"/>
      <c r="P98" s="25">
        <f>IF(N(N98)=0,"",IF(N98&gt;0,set_WIPAsset,IF(J98="Cost",IF(O98="","(set the P&amp;L Account)",O98),IF(O98="",set_WIPIncome,O98))))</f>
        <v/>
      </c>
      <c r="Q98" s="25">
        <f>IF(N(N98)=0,"",IF(N98&gt;0,IF(J98="Cost",IF(O98="","(set the P&amp;L Account)",O98),IF(O98="",set_WIPIncome,O98)),set_WIPAsset))</f>
        <v/>
      </c>
      <c r="R98" s="27">
        <f>IF(OR(N(N98)=0,K98&lt;&gt;""),"",ABS(N98))</f>
        <v/>
      </c>
      <c r="S98" s="25">
        <f>IF(N(N98)=0,"",IF(K98&lt;&gt;"","spreads monthly - see Deferred Revenue","WIP "&amp;I98&amp;IF(D98="",""," - "&amp;D98)&amp;IF(F98="",""," "&amp;F98)&amp;IF(H98="",""," - "&amp;H98)))</f>
        <v/>
      </c>
      <c r="T98" s="24" t="n"/>
      <c r="U98" s="24" t="n"/>
      <c r="V98" s="24" t="n"/>
    </row>
    <row r="99" ht="15" customHeight="1">
      <c r="A99" s="70" t="n"/>
      <c r="B99" s="68">
        <f>IF(C99="","",IFERROR(INDEX(tbl_Finance[Date],MATCH(C99&amp;"",tbl_Finance[Xero Invoice No],0)),""))</f>
        <v/>
      </c>
      <c r="C99" s="24" t="n"/>
      <c r="D99" s="24" t="n"/>
      <c r="E99" s="25">
        <f>IF(D99="","",IF(COUNTIF(lst_Jobs,D99&amp;"")&gt;0,"OK","CHECK"))</f>
        <v/>
      </c>
      <c r="F99" s="24" t="n"/>
      <c r="G99" s="24" t="n"/>
      <c r="H99" s="24" t="n"/>
      <c r="I99" s="24" t="n"/>
      <c r="J99" s="24" t="n"/>
      <c r="K99" s="22" t="n"/>
      <c r="L99" s="22" t="n"/>
      <c r="M99" s="25">
        <f>IF(N99="","",IF(OR(K99="",L99=""),"one month",TEXT(MAX(1,(YEAR(L99)-YEAR(K99))*12+MONTH(L99)-MONTH(K99)+1),"0")&amp;" months - see Deferred Revenue"))</f>
        <v/>
      </c>
      <c r="N99" s="26" t="n"/>
      <c r="O99" s="24" t="n"/>
      <c r="P99" s="25">
        <f>IF(N(N99)=0,"",IF(N99&gt;0,set_WIPAsset,IF(J99="Cost",IF(O99="","(set the P&amp;L Account)",O99),IF(O99="",set_WIPIncome,O99))))</f>
        <v/>
      </c>
      <c r="Q99" s="25">
        <f>IF(N(N99)=0,"",IF(N99&gt;0,IF(J99="Cost",IF(O99="","(set the P&amp;L Account)",O99),IF(O99="",set_WIPIncome,O99)),set_WIPAsset))</f>
        <v/>
      </c>
      <c r="R99" s="27">
        <f>IF(OR(N(N99)=0,K99&lt;&gt;""),"",ABS(N99))</f>
        <v/>
      </c>
      <c r="S99" s="25">
        <f>IF(N(N99)=0,"",IF(K99&lt;&gt;"","spreads monthly - see Deferred Revenue","WIP "&amp;I99&amp;IF(D99="",""," - "&amp;D99)&amp;IF(F99="",""," "&amp;F99)&amp;IF(H99="",""," - "&amp;H99)))</f>
        <v/>
      </c>
      <c r="T99" s="24" t="n"/>
      <c r="U99" s="24" t="n"/>
      <c r="V99" s="24" t="n"/>
    </row>
    <row r="100" ht="15" customHeight="1">
      <c r="A100" s="70" t="n"/>
      <c r="B100" s="68">
        <f>IF(C100="","",IFERROR(INDEX(tbl_Finance[Date],MATCH(C100&amp;"",tbl_Finance[Xero Invoice No],0)),""))</f>
        <v/>
      </c>
      <c r="C100" s="24" t="n"/>
      <c r="D100" s="24" t="n"/>
      <c r="E100" s="25">
        <f>IF(D100="","",IF(COUNTIF(lst_Jobs,D100&amp;"")&gt;0,"OK","CHECK"))</f>
        <v/>
      </c>
      <c r="F100" s="24" t="n"/>
      <c r="G100" s="24" t="n"/>
      <c r="H100" s="24" t="n"/>
      <c r="I100" s="24" t="n"/>
      <c r="J100" s="24" t="n"/>
      <c r="K100" s="22" t="n"/>
      <c r="L100" s="22" t="n"/>
      <c r="M100" s="25">
        <f>IF(N100="","",IF(OR(K100="",L100=""),"one month",TEXT(MAX(1,(YEAR(L100)-YEAR(K100))*12+MONTH(L100)-MONTH(K100)+1),"0")&amp;" months - see Deferred Revenue"))</f>
        <v/>
      </c>
      <c r="N100" s="26" t="n"/>
      <c r="O100" s="24" t="n"/>
      <c r="P100" s="25">
        <f>IF(N(N100)=0,"",IF(N100&gt;0,set_WIPAsset,IF(J100="Cost",IF(O100="","(set the P&amp;L Account)",O100),IF(O100="",set_WIPIncome,O100))))</f>
        <v/>
      </c>
      <c r="Q100" s="25">
        <f>IF(N(N100)=0,"",IF(N100&gt;0,IF(J100="Cost",IF(O100="","(set the P&amp;L Account)",O100),IF(O100="",set_WIPIncome,O100)),set_WIPAsset))</f>
        <v/>
      </c>
      <c r="R100" s="27">
        <f>IF(OR(N(N100)=0,K100&lt;&gt;""),"",ABS(N100))</f>
        <v/>
      </c>
      <c r="S100" s="25">
        <f>IF(N(N100)=0,"",IF(K100&lt;&gt;"","spreads monthly - see Deferred Revenue","WIP "&amp;I100&amp;IF(D100="",""," - "&amp;D100)&amp;IF(F100="",""," "&amp;F100)&amp;IF(H100="",""," - "&amp;H100)))</f>
        <v/>
      </c>
      <c r="T100" s="24" t="n"/>
      <c r="U100" s="24" t="n"/>
      <c r="V100" s="24" t="n"/>
    </row>
    <row r="101" ht="15" customHeight="1">
      <c r="A101" s="70" t="n"/>
      <c r="B101" s="68">
        <f>IF(C101="","",IFERROR(INDEX(tbl_Finance[Date],MATCH(C101&amp;"",tbl_Finance[Xero Invoice No],0)),""))</f>
        <v/>
      </c>
      <c r="C101" s="24" t="n"/>
      <c r="D101" s="24" t="n"/>
      <c r="E101" s="25">
        <f>IF(D101="","",IF(COUNTIF(lst_Jobs,D101&amp;"")&gt;0,"OK","CHECK"))</f>
        <v/>
      </c>
      <c r="F101" s="24" t="n"/>
      <c r="G101" s="24" t="n"/>
      <c r="H101" s="24" t="n"/>
      <c r="I101" s="24" t="n"/>
      <c r="J101" s="24" t="n"/>
      <c r="K101" s="22" t="n"/>
      <c r="L101" s="22" t="n"/>
      <c r="M101" s="25">
        <f>IF(N101="","",IF(OR(K101="",L101=""),"one month",TEXT(MAX(1,(YEAR(L101)-YEAR(K101))*12+MONTH(L101)-MONTH(K101)+1),"0")&amp;" months - see Deferred Revenue"))</f>
        <v/>
      </c>
      <c r="N101" s="26" t="n"/>
      <c r="O101" s="24" t="n"/>
      <c r="P101" s="25">
        <f>IF(N(N101)=0,"",IF(N101&gt;0,set_WIPAsset,IF(J101="Cost",IF(O101="","(set the P&amp;L Account)",O101),IF(O101="",set_WIPIncome,O101))))</f>
        <v/>
      </c>
      <c r="Q101" s="25">
        <f>IF(N(N101)=0,"",IF(N101&gt;0,IF(J101="Cost",IF(O101="","(set the P&amp;L Account)",O101),IF(O101="",set_WIPIncome,O101)),set_WIPAsset))</f>
        <v/>
      </c>
      <c r="R101" s="27">
        <f>IF(OR(N(N101)=0,K101&lt;&gt;""),"",ABS(N101))</f>
        <v/>
      </c>
      <c r="S101" s="25">
        <f>IF(N(N101)=0,"",IF(K101&lt;&gt;"","spreads monthly - see Deferred Revenue","WIP "&amp;I101&amp;IF(D101="",""," - "&amp;D101)&amp;IF(F101="",""," "&amp;F101)&amp;IF(H101="",""," - "&amp;H101)))</f>
        <v/>
      </c>
      <c r="T101" s="24" t="n"/>
      <c r="U101" s="24" t="n"/>
      <c r="V101" s="24" t="n"/>
    </row>
    <row r="102" ht="15" customHeight="1">
      <c r="A102" s="70" t="n"/>
      <c r="B102" s="68">
        <f>IF(C102="","",IFERROR(INDEX(tbl_Finance[Date],MATCH(C102&amp;"",tbl_Finance[Xero Invoice No],0)),""))</f>
        <v/>
      </c>
      <c r="C102" s="24" t="n"/>
      <c r="D102" s="24" t="n"/>
      <c r="E102" s="25">
        <f>IF(D102="","",IF(COUNTIF(lst_Jobs,D102&amp;"")&gt;0,"OK","CHECK"))</f>
        <v/>
      </c>
      <c r="F102" s="24" t="n"/>
      <c r="G102" s="24" t="n"/>
      <c r="H102" s="24" t="n"/>
      <c r="I102" s="24" t="n"/>
      <c r="J102" s="24" t="n"/>
      <c r="K102" s="22" t="n"/>
      <c r="L102" s="22" t="n"/>
      <c r="M102" s="25">
        <f>IF(N102="","",IF(OR(K102="",L102=""),"one month",TEXT(MAX(1,(YEAR(L102)-YEAR(K102))*12+MONTH(L102)-MONTH(K102)+1),"0")&amp;" months - see Deferred Revenue"))</f>
        <v/>
      </c>
      <c r="N102" s="26" t="n"/>
      <c r="O102" s="24" t="n"/>
      <c r="P102" s="25">
        <f>IF(N(N102)=0,"",IF(N102&gt;0,set_WIPAsset,IF(J102="Cost",IF(O102="","(set the P&amp;L Account)",O102),IF(O102="",set_WIPIncome,O102))))</f>
        <v/>
      </c>
      <c r="Q102" s="25">
        <f>IF(N(N102)=0,"",IF(N102&gt;0,IF(J102="Cost",IF(O102="","(set the P&amp;L Account)",O102),IF(O102="",set_WIPIncome,O102)),set_WIPAsset))</f>
        <v/>
      </c>
      <c r="R102" s="27">
        <f>IF(OR(N(N102)=0,K102&lt;&gt;""),"",ABS(N102))</f>
        <v/>
      </c>
      <c r="S102" s="25">
        <f>IF(N(N102)=0,"",IF(K102&lt;&gt;"","spreads monthly - see Deferred Revenue","WIP "&amp;I102&amp;IF(D102="",""," - "&amp;D102)&amp;IF(F102="",""," "&amp;F102)&amp;IF(H102="",""," - "&amp;H102)))</f>
        <v/>
      </c>
      <c r="T102" s="24" t="n"/>
      <c r="U102" s="24" t="n"/>
      <c r="V102" s="24" t="n"/>
    </row>
    <row r="103" ht="15" customHeight="1">
      <c r="A103" s="70" t="n"/>
      <c r="B103" s="68">
        <f>IF(C103="","",IFERROR(INDEX(tbl_Finance[Date],MATCH(C103&amp;"",tbl_Finance[Xero Invoice No],0)),""))</f>
        <v/>
      </c>
      <c r="C103" s="24" t="n"/>
      <c r="D103" s="24" t="n"/>
      <c r="E103" s="25">
        <f>IF(D103="","",IF(COUNTIF(lst_Jobs,D103&amp;"")&gt;0,"OK","CHECK"))</f>
        <v/>
      </c>
      <c r="F103" s="24" t="n"/>
      <c r="G103" s="24" t="n"/>
      <c r="H103" s="24" t="n"/>
      <c r="I103" s="24" t="n"/>
      <c r="J103" s="24" t="n"/>
      <c r="K103" s="22" t="n"/>
      <c r="L103" s="22" t="n"/>
      <c r="M103" s="25">
        <f>IF(N103="","",IF(OR(K103="",L103=""),"one month",TEXT(MAX(1,(YEAR(L103)-YEAR(K103))*12+MONTH(L103)-MONTH(K103)+1),"0")&amp;" months - see Deferred Revenue"))</f>
        <v/>
      </c>
      <c r="N103" s="26" t="n"/>
      <c r="O103" s="24" t="n"/>
      <c r="P103" s="25">
        <f>IF(N(N103)=0,"",IF(N103&gt;0,set_WIPAsset,IF(J103="Cost",IF(O103="","(set the P&amp;L Account)",O103),IF(O103="",set_WIPIncome,O103))))</f>
        <v/>
      </c>
      <c r="Q103" s="25">
        <f>IF(N(N103)=0,"",IF(N103&gt;0,IF(J103="Cost",IF(O103="","(set the P&amp;L Account)",O103),IF(O103="",set_WIPIncome,O103)),set_WIPAsset))</f>
        <v/>
      </c>
      <c r="R103" s="27">
        <f>IF(OR(N(N103)=0,K103&lt;&gt;""),"",ABS(N103))</f>
        <v/>
      </c>
      <c r="S103" s="25">
        <f>IF(N(N103)=0,"",IF(K103&lt;&gt;"","spreads monthly - see Deferred Revenue","WIP "&amp;I103&amp;IF(D103="",""," - "&amp;D103)&amp;IF(F103="",""," "&amp;F103)&amp;IF(H103="",""," - "&amp;H103)))</f>
        <v/>
      </c>
      <c r="T103" s="24" t="n"/>
      <c r="U103" s="24" t="n"/>
      <c r="V103" s="24" t="n"/>
    </row>
    <row r="104" ht="15" customHeight="1">
      <c r="A104" s="70" t="n"/>
      <c r="B104" s="68">
        <f>IF(C104="","",IFERROR(INDEX(tbl_Finance[Date],MATCH(C104&amp;"",tbl_Finance[Xero Invoice No],0)),""))</f>
        <v/>
      </c>
      <c r="C104" s="24" t="n"/>
      <c r="D104" s="24" t="n"/>
      <c r="E104" s="25">
        <f>IF(D104="","",IF(COUNTIF(lst_Jobs,D104&amp;"")&gt;0,"OK","CHECK"))</f>
        <v/>
      </c>
      <c r="F104" s="24" t="n"/>
      <c r="G104" s="24" t="n"/>
      <c r="H104" s="24" t="n"/>
      <c r="I104" s="24" t="n"/>
      <c r="J104" s="24" t="n"/>
      <c r="K104" s="22" t="n"/>
      <c r="L104" s="22" t="n"/>
      <c r="M104" s="25">
        <f>IF(N104="","",IF(OR(K104="",L104=""),"one month",TEXT(MAX(1,(YEAR(L104)-YEAR(K104))*12+MONTH(L104)-MONTH(K104)+1),"0")&amp;" months - see Deferred Revenue"))</f>
        <v/>
      </c>
      <c r="N104" s="26" t="n"/>
      <c r="O104" s="24" t="n"/>
      <c r="P104" s="25">
        <f>IF(N(N104)=0,"",IF(N104&gt;0,set_WIPAsset,IF(J104="Cost",IF(O104="","(set the P&amp;L Account)",O104),IF(O104="",set_WIPIncome,O104))))</f>
        <v/>
      </c>
      <c r="Q104" s="25">
        <f>IF(N(N104)=0,"",IF(N104&gt;0,IF(J104="Cost",IF(O104="","(set the P&amp;L Account)",O104),IF(O104="",set_WIPIncome,O104)),set_WIPAsset))</f>
        <v/>
      </c>
      <c r="R104" s="27">
        <f>IF(OR(N(N104)=0,K104&lt;&gt;""),"",ABS(N104))</f>
        <v/>
      </c>
      <c r="S104" s="25">
        <f>IF(N(N104)=0,"",IF(K104&lt;&gt;"","spreads monthly - see Deferred Revenue","WIP "&amp;I104&amp;IF(D104="",""," - "&amp;D104)&amp;IF(F104="",""," "&amp;F104)&amp;IF(H104="",""," - "&amp;H104)))</f>
        <v/>
      </c>
      <c r="T104" s="24" t="n"/>
      <c r="U104" s="24" t="n"/>
      <c r="V104" s="24" t="n"/>
    </row>
    <row r="105" ht="15" customHeight="1">
      <c r="A105" s="70" t="n"/>
      <c r="B105" s="68">
        <f>IF(C105="","",IFERROR(INDEX(tbl_Finance[Date],MATCH(C105&amp;"",tbl_Finance[Xero Invoice No],0)),""))</f>
        <v/>
      </c>
      <c r="C105" s="24" t="n"/>
      <c r="D105" s="24" t="n"/>
      <c r="E105" s="25">
        <f>IF(D105="","",IF(COUNTIF(lst_Jobs,D105&amp;"")&gt;0,"OK","CHECK"))</f>
        <v/>
      </c>
      <c r="F105" s="24" t="n"/>
      <c r="G105" s="24" t="n"/>
      <c r="H105" s="24" t="n"/>
      <c r="I105" s="24" t="n"/>
      <c r="J105" s="24" t="n"/>
      <c r="K105" s="22" t="n"/>
      <c r="L105" s="22" t="n"/>
      <c r="M105" s="25">
        <f>IF(N105="","",IF(OR(K105="",L105=""),"one month",TEXT(MAX(1,(YEAR(L105)-YEAR(K105))*12+MONTH(L105)-MONTH(K105)+1),"0")&amp;" months - see Deferred Revenue"))</f>
        <v/>
      </c>
      <c r="N105" s="26" t="n"/>
      <c r="O105" s="24" t="n"/>
      <c r="P105" s="25">
        <f>IF(N(N105)=0,"",IF(N105&gt;0,set_WIPAsset,IF(J105="Cost",IF(O105="","(set the P&amp;L Account)",O105),IF(O105="",set_WIPIncome,O105))))</f>
        <v/>
      </c>
      <c r="Q105" s="25">
        <f>IF(N(N105)=0,"",IF(N105&gt;0,IF(J105="Cost",IF(O105="","(set the P&amp;L Account)",O105),IF(O105="",set_WIPIncome,O105)),set_WIPAsset))</f>
        <v/>
      </c>
      <c r="R105" s="27">
        <f>IF(OR(N(N105)=0,K105&lt;&gt;""),"",ABS(N105))</f>
        <v/>
      </c>
      <c r="S105" s="25">
        <f>IF(N(N105)=0,"",IF(K105&lt;&gt;"","spreads monthly - see Deferred Revenue","WIP "&amp;I105&amp;IF(D105="",""," - "&amp;D105)&amp;IF(F105="",""," "&amp;F105)&amp;IF(H105="",""," - "&amp;H105)))</f>
        <v/>
      </c>
      <c r="T105" s="24" t="n"/>
      <c r="U105" s="24" t="n"/>
      <c r="V105" s="24" t="n"/>
    </row>
    <row r="106" ht="15" customHeight="1">
      <c r="A106" s="70" t="n"/>
      <c r="B106" s="68">
        <f>IF(C106="","",IFERROR(INDEX(tbl_Finance[Date],MATCH(C106&amp;"",tbl_Finance[Xero Invoice No],0)),""))</f>
        <v/>
      </c>
      <c r="C106" s="24" t="n"/>
      <c r="D106" s="24" t="n"/>
      <c r="E106" s="25">
        <f>IF(D106="","",IF(COUNTIF(lst_Jobs,D106&amp;"")&gt;0,"OK","CHECK"))</f>
        <v/>
      </c>
      <c r="F106" s="24" t="n"/>
      <c r="G106" s="24" t="n"/>
      <c r="H106" s="24" t="n"/>
      <c r="I106" s="24" t="n"/>
      <c r="J106" s="24" t="n"/>
      <c r="K106" s="22" t="n"/>
      <c r="L106" s="22" t="n"/>
      <c r="M106" s="25">
        <f>IF(N106="","",IF(OR(K106="",L106=""),"one month",TEXT(MAX(1,(YEAR(L106)-YEAR(K106))*12+MONTH(L106)-MONTH(K106)+1),"0")&amp;" months - see Deferred Revenue"))</f>
        <v/>
      </c>
      <c r="N106" s="26" t="n"/>
      <c r="O106" s="24" t="n"/>
      <c r="P106" s="25">
        <f>IF(N(N106)=0,"",IF(N106&gt;0,set_WIPAsset,IF(J106="Cost",IF(O106="","(set the P&amp;L Account)",O106),IF(O106="",set_WIPIncome,O106))))</f>
        <v/>
      </c>
      <c r="Q106" s="25">
        <f>IF(N(N106)=0,"",IF(N106&gt;0,IF(J106="Cost",IF(O106="","(set the P&amp;L Account)",O106),IF(O106="",set_WIPIncome,O106)),set_WIPAsset))</f>
        <v/>
      </c>
      <c r="R106" s="27">
        <f>IF(OR(N(N106)=0,K106&lt;&gt;""),"",ABS(N106))</f>
        <v/>
      </c>
      <c r="S106" s="25">
        <f>IF(N(N106)=0,"",IF(K106&lt;&gt;"","spreads monthly - see Deferred Revenue","WIP "&amp;I106&amp;IF(D106="",""," - "&amp;D106)&amp;IF(F106="",""," "&amp;F106)&amp;IF(H106="",""," - "&amp;H106)))</f>
        <v/>
      </c>
      <c r="T106" s="24" t="n"/>
      <c r="U106" s="24" t="n"/>
      <c r="V106" s="24" t="n"/>
    </row>
    <row r="107" ht="15" customHeight="1">
      <c r="A107" s="70" t="n"/>
      <c r="B107" s="68">
        <f>IF(C107="","",IFERROR(INDEX(tbl_Finance[Date],MATCH(C107&amp;"",tbl_Finance[Xero Invoice No],0)),""))</f>
        <v/>
      </c>
      <c r="C107" s="24" t="n"/>
      <c r="D107" s="24" t="n"/>
      <c r="E107" s="25">
        <f>IF(D107="","",IF(COUNTIF(lst_Jobs,D107&amp;"")&gt;0,"OK","CHECK"))</f>
        <v/>
      </c>
      <c r="F107" s="24" t="n"/>
      <c r="G107" s="24" t="n"/>
      <c r="H107" s="24" t="n"/>
      <c r="I107" s="24" t="n"/>
      <c r="J107" s="24" t="n"/>
      <c r="K107" s="22" t="n"/>
      <c r="L107" s="22" t="n"/>
      <c r="M107" s="25">
        <f>IF(N107="","",IF(OR(K107="",L107=""),"one month",TEXT(MAX(1,(YEAR(L107)-YEAR(K107))*12+MONTH(L107)-MONTH(K107)+1),"0")&amp;" months - see Deferred Revenue"))</f>
        <v/>
      </c>
      <c r="N107" s="26" t="n"/>
      <c r="O107" s="24" t="n"/>
      <c r="P107" s="25">
        <f>IF(N(N107)=0,"",IF(N107&gt;0,set_WIPAsset,IF(J107="Cost",IF(O107="","(set the P&amp;L Account)",O107),IF(O107="",set_WIPIncome,O107))))</f>
        <v/>
      </c>
      <c r="Q107" s="25">
        <f>IF(N(N107)=0,"",IF(N107&gt;0,IF(J107="Cost",IF(O107="","(set the P&amp;L Account)",O107),IF(O107="",set_WIPIncome,O107)),set_WIPAsset))</f>
        <v/>
      </c>
      <c r="R107" s="27">
        <f>IF(OR(N(N107)=0,K107&lt;&gt;""),"",ABS(N107))</f>
        <v/>
      </c>
      <c r="S107" s="25">
        <f>IF(N(N107)=0,"",IF(K107&lt;&gt;"","spreads monthly - see Deferred Revenue","WIP "&amp;I107&amp;IF(D107="",""," - "&amp;D107)&amp;IF(F107="",""," "&amp;F107)&amp;IF(H107="",""," - "&amp;H107)))</f>
        <v/>
      </c>
      <c r="T107" s="24" t="n"/>
      <c r="U107" s="24" t="n"/>
      <c r="V107" s="24" t="n"/>
    </row>
    <row r="108" ht="15" customHeight="1">
      <c r="A108" s="70" t="n"/>
      <c r="B108" s="68">
        <f>IF(C108="","",IFERROR(INDEX(tbl_Finance[Date],MATCH(C108&amp;"",tbl_Finance[Xero Invoice No],0)),""))</f>
        <v/>
      </c>
      <c r="C108" s="24" t="n"/>
      <c r="D108" s="24" t="n"/>
      <c r="E108" s="25">
        <f>IF(D108="","",IF(COUNTIF(lst_Jobs,D108&amp;"")&gt;0,"OK","CHECK"))</f>
        <v/>
      </c>
      <c r="F108" s="24" t="n"/>
      <c r="G108" s="24" t="n"/>
      <c r="H108" s="24" t="n"/>
      <c r="I108" s="24" t="n"/>
      <c r="J108" s="24" t="n"/>
      <c r="K108" s="22" t="n"/>
      <c r="L108" s="22" t="n"/>
      <c r="M108" s="25">
        <f>IF(N108="","",IF(OR(K108="",L108=""),"one month",TEXT(MAX(1,(YEAR(L108)-YEAR(K108))*12+MONTH(L108)-MONTH(K108)+1),"0")&amp;" months - see Deferred Revenue"))</f>
        <v/>
      </c>
      <c r="N108" s="26" t="n"/>
      <c r="O108" s="24" t="n"/>
      <c r="P108" s="25">
        <f>IF(N(N108)=0,"",IF(N108&gt;0,set_WIPAsset,IF(J108="Cost",IF(O108="","(set the P&amp;L Account)",O108),IF(O108="",set_WIPIncome,O108))))</f>
        <v/>
      </c>
      <c r="Q108" s="25">
        <f>IF(N(N108)=0,"",IF(N108&gt;0,IF(J108="Cost",IF(O108="","(set the P&amp;L Account)",O108),IF(O108="",set_WIPIncome,O108)),set_WIPAsset))</f>
        <v/>
      </c>
      <c r="R108" s="27">
        <f>IF(OR(N(N108)=0,K108&lt;&gt;""),"",ABS(N108))</f>
        <v/>
      </c>
      <c r="S108" s="25">
        <f>IF(N(N108)=0,"",IF(K108&lt;&gt;"","spreads monthly - see Deferred Revenue","WIP "&amp;I108&amp;IF(D108="",""," - "&amp;D108)&amp;IF(F108="",""," "&amp;F108)&amp;IF(H108="",""," - "&amp;H108)))</f>
        <v/>
      </c>
      <c r="T108" s="24" t="n"/>
      <c r="U108" s="24" t="n"/>
      <c r="V108" s="24" t="n"/>
    </row>
    <row r="109" ht="15" customHeight="1">
      <c r="A109" s="70" t="n"/>
      <c r="B109" s="68">
        <f>IF(C109="","",IFERROR(INDEX(tbl_Finance[Date],MATCH(C109&amp;"",tbl_Finance[Xero Invoice No],0)),""))</f>
        <v/>
      </c>
      <c r="C109" s="24" t="n"/>
      <c r="D109" s="24" t="n"/>
      <c r="E109" s="25">
        <f>IF(D109="","",IF(COUNTIF(lst_Jobs,D109&amp;"")&gt;0,"OK","CHECK"))</f>
        <v/>
      </c>
      <c r="F109" s="24" t="n"/>
      <c r="G109" s="24" t="n"/>
      <c r="H109" s="24" t="n"/>
      <c r="I109" s="24" t="n"/>
      <c r="J109" s="24" t="n"/>
      <c r="K109" s="22" t="n"/>
      <c r="L109" s="22" t="n"/>
      <c r="M109" s="25">
        <f>IF(N109="","",IF(OR(K109="",L109=""),"one month",TEXT(MAX(1,(YEAR(L109)-YEAR(K109))*12+MONTH(L109)-MONTH(K109)+1),"0")&amp;" months - see Deferred Revenue"))</f>
        <v/>
      </c>
      <c r="N109" s="26" t="n"/>
      <c r="O109" s="24" t="n"/>
      <c r="P109" s="25">
        <f>IF(N(N109)=0,"",IF(N109&gt;0,set_WIPAsset,IF(J109="Cost",IF(O109="","(set the P&amp;L Account)",O109),IF(O109="",set_WIPIncome,O109))))</f>
        <v/>
      </c>
      <c r="Q109" s="25">
        <f>IF(N(N109)=0,"",IF(N109&gt;0,IF(J109="Cost",IF(O109="","(set the P&amp;L Account)",O109),IF(O109="",set_WIPIncome,O109)),set_WIPAsset))</f>
        <v/>
      </c>
      <c r="R109" s="27">
        <f>IF(OR(N(N109)=0,K109&lt;&gt;""),"",ABS(N109))</f>
        <v/>
      </c>
      <c r="S109" s="25">
        <f>IF(N(N109)=0,"",IF(K109&lt;&gt;"","spreads monthly - see Deferred Revenue","WIP "&amp;I109&amp;IF(D109="",""," - "&amp;D109)&amp;IF(F109="",""," "&amp;F109)&amp;IF(H109="",""," - "&amp;H109)))</f>
        <v/>
      </c>
      <c r="T109" s="24" t="n"/>
      <c r="U109" s="24" t="n"/>
      <c r="V109" s="24" t="n"/>
    </row>
    <row r="110" ht="15" customHeight="1">
      <c r="A110" s="70" t="n"/>
      <c r="B110" s="68">
        <f>IF(C110="","",IFERROR(INDEX(tbl_Finance[Date],MATCH(C110&amp;"",tbl_Finance[Xero Invoice No],0)),""))</f>
        <v/>
      </c>
      <c r="C110" s="24" t="n"/>
      <c r="D110" s="24" t="n"/>
      <c r="E110" s="25">
        <f>IF(D110="","",IF(COUNTIF(lst_Jobs,D110&amp;"")&gt;0,"OK","CHECK"))</f>
        <v/>
      </c>
      <c r="F110" s="24" t="n"/>
      <c r="G110" s="24" t="n"/>
      <c r="H110" s="24" t="n"/>
      <c r="I110" s="24" t="n"/>
      <c r="J110" s="24" t="n"/>
      <c r="K110" s="22" t="n"/>
      <c r="L110" s="22" t="n"/>
      <c r="M110" s="25">
        <f>IF(N110="","",IF(OR(K110="",L110=""),"one month",TEXT(MAX(1,(YEAR(L110)-YEAR(K110))*12+MONTH(L110)-MONTH(K110)+1),"0")&amp;" months - see Deferred Revenue"))</f>
        <v/>
      </c>
      <c r="N110" s="26" t="n"/>
      <c r="O110" s="24" t="n"/>
      <c r="P110" s="25">
        <f>IF(N(N110)=0,"",IF(N110&gt;0,set_WIPAsset,IF(J110="Cost",IF(O110="","(set the P&amp;L Account)",O110),IF(O110="",set_WIPIncome,O110))))</f>
        <v/>
      </c>
      <c r="Q110" s="25">
        <f>IF(N(N110)=0,"",IF(N110&gt;0,IF(J110="Cost",IF(O110="","(set the P&amp;L Account)",O110),IF(O110="",set_WIPIncome,O110)),set_WIPAsset))</f>
        <v/>
      </c>
      <c r="R110" s="27">
        <f>IF(OR(N(N110)=0,K110&lt;&gt;""),"",ABS(N110))</f>
        <v/>
      </c>
      <c r="S110" s="25">
        <f>IF(N(N110)=0,"",IF(K110&lt;&gt;"","spreads monthly - see Deferred Revenue","WIP "&amp;I110&amp;IF(D110="",""," - "&amp;D110)&amp;IF(F110="",""," "&amp;F110)&amp;IF(H110="",""," - "&amp;H110)))</f>
        <v/>
      </c>
      <c r="T110" s="24" t="n"/>
      <c r="U110" s="24" t="n"/>
      <c r="V110" s="24" t="n"/>
    </row>
    <row r="111" ht="15" customHeight="1">
      <c r="A111" s="70" t="n"/>
      <c r="B111" s="68">
        <f>IF(C111="","",IFERROR(INDEX(tbl_Finance[Date],MATCH(C111&amp;"",tbl_Finance[Xero Invoice No],0)),""))</f>
        <v/>
      </c>
      <c r="C111" s="24" t="n"/>
      <c r="D111" s="24" t="n"/>
      <c r="E111" s="25">
        <f>IF(D111="","",IF(COUNTIF(lst_Jobs,D111&amp;"")&gt;0,"OK","CHECK"))</f>
        <v/>
      </c>
      <c r="F111" s="24" t="n"/>
      <c r="G111" s="24" t="n"/>
      <c r="H111" s="24" t="n"/>
      <c r="I111" s="24" t="n"/>
      <c r="J111" s="24" t="n"/>
      <c r="K111" s="22" t="n"/>
      <c r="L111" s="22" t="n"/>
      <c r="M111" s="25">
        <f>IF(N111="","",IF(OR(K111="",L111=""),"one month",TEXT(MAX(1,(YEAR(L111)-YEAR(K111))*12+MONTH(L111)-MONTH(K111)+1),"0")&amp;" months - see Deferred Revenue"))</f>
        <v/>
      </c>
      <c r="N111" s="26" t="n"/>
      <c r="O111" s="24" t="n"/>
      <c r="P111" s="25">
        <f>IF(N(N111)=0,"",IF(N111&gt;0,set_WIPAsset,IF(J111="Cost",IF(O111="","(set the P&amp;L Account)",O111),IF(O111="",set_WIPIncome,O111))))</f>
        <v/>
      </c>
      <c r="Q111" s="25">
        <f>IF(N(N111)=0,"",IF(N111&gt;0,IF(J111="Cost",IF(O111="","(set the P&amp;L Account)",O111),IF(O111="",set_WIPIncome,O111)),set_WIPAsset))</f>
        <v/>
      </c>
      <c r="R111" s="27">
        <f>IF(OR(N(N111)=0,K111&lt;&gt;""),"",ABS(N111))</f>
        <v/>
      </c>
      <c r="S111" s="25">
        <f>IF(N(N111)=0,"",IF(K111&lt;&gt;"","spreads monthly - see Deferred Revenue","WIP "&amp;I111&amp;IF(D111="",""," - "&amp;D111)&amp;IF(F111="",""," "&amp;F111)&amp;IF(H111="",""," - "&amp;H111)))</f>
        <v/>
      </c>
      <c r="T111" s="24" t="n"/>
      <c r="U111" s="24" t="n"/>
      <c r="V111" s="24" t="n"/>
    </row>
    <row r="112" ht="15" customHeight="1">
      <c r="A112" s="70" t="n"/>
      <c r="B112" s="68">
        <f>IF(C112="","",IFERROR(INDEX(tbl_Finance[Date],MATCH(C112&amp;"",tbl_Finance[Xero Invoice No],0)),""))</f>
        <v/>
      </c>
      <c r="C112" s="24" t="n"/>
      <c r="D112" s="24" t="n"/>
      <c r="E112" s="25">
        <f>IF(D112="","",IF(COUNTIF(lst_Jobs,D112&amp;"")&gt;0,"OK","CHECK"))</f>
        <v/>
      </c>
      <c r="F112" s="24" t="n"/>
      <c r="G112" s="24" t="n"/>
      <c r="H112" s="24" t="n"/>
      <c r="I112" s="24" t="n"/>
      <c r="J112" s="24" t="n"/>
      <c r="K112" s="22" t="n"/>
      <c r="L112" s="22" t="n"/>
      <c r="M112" s="25">
        <f>IF(N112="","",IF(OR(K112="",L112=""),"one month",TEXT(MAX(1,(YEAR(L112)-YEAR(K112))*12+MONTH(L112)-MONTH(K112)+1),"0")&amp;" months - see Deferred Revenue"))</f>
        <v/>
      </c>
      <c r="N112" s="26" t="n"/>
      <c r="O112" s="24" t="n"/>
      <c r="P112" s="25">
        <f>IF(N(N112)=0,"",IF(N112&gt;0,set_WIPAsset,IF(J112="Cost",IF(O112="","(set the P&amp;L Account)",O112),IF(O112="",set_WIPIncome,O112))))</f>
        <v/>
      </c>
      <c r="Q112" s="25">
        <f>IF(N(N112)=0,"",IF(N112&gt;0,IF(J112="Cost",IF(O112="","(set the P&amp;L Account)",O112),IF(O112="",set_WIPIncome,O112)),set_WIPAsset))</f>
        <v/>
      </c>
      <c r="R112" s="27">
        <f>IF(OR(N(N112)=0,K112&lt;&gt;""),"",ABS(N112))</f>
        <v/>
      </c>
      <c r="S112" s="25">
        <f>IF(N(N112)=0,"",IF(K112&lt;&gt;"","spreads monthly - see Deferred Revenue","WIP "&amp;I112&amp;IF(D112="",""," - "&amp;D112)&amp;IF(F112="",""," "&amp;F112)&amp;IF(H112="",""," - "&amp;H112)))</f>
        <v/>
      </c>
      <c r="T112" s="24" t="n"/>
      <c r="U112" s="24" t="n"/>
      <c r="V112" s="24" t="n"/>
    </row>
    <row r="113" ht="15" customHeight="1">
      <c r="A113" s="70" t="n"/>
      <c r="B113" s="68">
        <f>IF(C113="","",IFERROR(INDEX(tbl_Finance[Date],MATCH(C113&amp;"",tbl_Finance[Xero Invoice No],0)),""))</f>
        <v/>
      </c>
      <c r="C113" s="24" t="n"/>
      <c r="D113" s="24" t="n"/>
      <c r="E113" s="25">
        <f>IF(D113="","",IF(COUNTIF(lst_Jobs,D113&amp;"")&gt;0,"OK","CHECK"))</f>
        <v/>
      </c>
      <c r="F113" s="24" t="n"/>
      <c r="G113" s="24" t="n"/>
      <c r="H113" s="24" t="n"/>
      <c r="I113" s="24" t="n"/>
      <c r="J113" s="24" t="n"/>
      <c r="K113" s="22" t="n"/>
      <c r="L113" s="22" t="n"/>
      <c r="M113" s="25">
        <f>IF(N113="","",IF(OR(K113="",L113=""),"one month",TEXT(MAX(1,(YEAR(L113)-YEAR(K113))*12+MONTH(L113)-MONTH(K113)+1),"0")&amp;" months - see Deferred Revenue"))</f>
        <v/>
      </c>
      <c r="N113" s="26" t="n"/>
      <c r="O113" s="24" t="n"/>
      <c r="P113" s="25">
        <f>IF(N(N113)=0,"",IF(N113&gt;0,set_WIPAsset,IF(J113="Cost",IF(O113="","(set the P&amp;L Account)",O113),IF(O113="",set_WIPIncome,O113))))</f>
        <v/>
      </c>
      <c r="Q113" s="25">
        <f>IF(N(N113)=0,"",IF(N113&gt;0,IF(J113="Cost",IF(O113="","(set the P&amp;L Account)",O113),IF(O113="",set_WIPIncome,O113)),set_WIPAsset))</f>
        <v/>
      </c>
      <c r="R113" s="27">
        <f>IF(OR(N(N113)=0,K113&lt;&gt;""),"",ABS(N113))</f>
        <v/>
      </c>
      <c r="S113" s="25">
        <f>IF(N(N113)=0,"",IF(K113&lt;&gt;"","spreads monthly - see Deferred Revenue","WIP "&amp;I113&amp;IF(D113="",""," - "&amp;D113)&amp;IF(F113="",""," "&amp;F113)&amp;IF(H113="",""," - "&amp;H113)))</f>
        <v/>
      </c>
      <c r="T113" s="24" t="n"/>
      <c r="U113" s="24" t="n"/>
      <c r="V113" s="24" t="n"/>
    </row>
    <row r="114" ht="15" customHeight="1">
      <c r="A114" s="70" t="n"/>
      <c r="B114" s="68">
        <f>IF(C114="","",IFERROR(INDEX(tbl_Finance[Date],MATCH(C114&amp;"",tbl_Finance[Xero Invoice No],0)),""))</f>
        <v/>
      </c>
      <c r="C114" s="24" t="n"/>
      <c r="D114" s="24" t="n"/>
      <c r="E114" s="25">
        <f>IF(D114="","",IF(COUNTIF(lst_Jobs,D114&amp;"")&gt;0,"OK","CHECK"))</f>
        <v/>
      </c>
      <c r="F114" s="24" t="n"/>
      <c r="G114" s="24" t="n"/>
      <c r="H114" s="24" t="n"/>
      <c r="I114" s="24" t="n"/>
      <c r="J114" s="24" t="n"/>
      <c r="K114" s="22" t="n"/>
      <c r="L114" s="22" t="n"/>
      <c r="M114" s="25">
        <f>IF(N114="","",IF(OR(K114="",L114=""),"one month",TEXT(MAX(1,(YEAR(L114)-YEAR(K114))*12+MONTH(L114)-MONTH(K114)+1),"0")&amp;" months - see Deferred Revenue"))</f>
        <v/>
      </c>
      <c r="N114" s="26" t="n"/>
      <c r="O114" s="24" t="n"/>
      <c r="P114" s="25">
        <f>IF(N(N114)=0,"",IF(N114&gt;0,set_WIPAsset,IF(J114="Cost",IF(O114="","(set the P&amp;L Account)",O114),IF(O114="",set_WIPIncome,O114))))</f>
        <v/>
      </c>
      <c r="Q114" s="25">
        <f>IF(N(N114)=0,"",IF(N114&gt;0,IF(J114="Cost",IF(O114="","(set the P&amp;L Account)",O114),IF(O114="",set_WIPIncome,O114)),set_WIPAsset))</f>
        <v/>
      </c>
      <c r="R114" s="27">
        <f>IF(OR(N(N114)=0,K114&lt;&gt;""),"",ABS(N114))</f>
        <v/>
      </c>
      <c r="S114" s="25">
        <f>IF(N(N114)=0,"",IF(K114&lt;&gt;"","spreads monthly - see Deferred Revenue","WIP "&amp;I114&amp;IF(D114="",""," - "&amp;D114)&amp;IF(F114="",""," "&amp;F114)&amp;IF(H114="",""," - "&amp;H114)))</f>
        <v/>
      </c>
      <c r="T114" s="24" t="n"/>
      <c r="U114" s="24" t="n"/>
      <c r="V114" s="24" t="n"/>
    </row>
    <row r="115" ht="15" customHeight="1">
      <c r="A115" s="70" t="n"/>
      <c r="B115" s="68">
        <f>IF(C115="","",IFERROR(INDEX(tbl_Finance[Date],MATCH(C115&amp;"",tbl_Finance[Xero Invoice No],0)),""))</f>
        <v/>
      </c>
      <c r="C115" s="24" t="n"/>
      <c r="D115" s="24" t="n"/>
      <c r="E115" s="25">
        <f>IF(D115="","",IF(COUNTIF(lst_Jobs,D115&amp;"")&gt;0,"OK","CHECK"))</f>
        <v/>
      </c>
      <c r="F115" s="24" t="n"/>
      <c r="G115" s="24" t="n"/>
      <c r="H115" s="24" t="n"/>
      <c r="I115" s="24" t="n"/>
      <c r="J115" s="24" t="n"/>
      <c r="K115" s="22" t="n"/>
      <c r="L115" s="22" t="n"/>
      <c r="M115" s="25">
        <f>IF(N115="","",IF(OR(K115="",L115=""),"one month",TEXT(MAX(1,(YEAR(L115)-YEAR(K115))*12+MONTH(L115)-MONTH(K115)+1),"0")&amp;" months - see Deferred Revenue"))</f>
        <v/>
      </c>
      <c r="N115" s="26" t="n"/>
      <c r="O115" s="24" t="n"/>
      <c r="P115" s="25">
        <f>IF(N(N115)=0,"",IF(N115&gt;0,set_WIPAsset,IF(J115="Cost",IF(O115="","(set the P&amp;L Account)",O115),IF(O115="",set_WIPIncome,O115))))</f>
        <v/>
      </c>
      <c r="Q115" s="25">
        <f>IF(N(N115)=0,"",IF(N115&gt;0,IF(J115="Cost",IF(O115="","(set the P&amp;L Account)",O115),IF(O115="",set_WIPIncome,O115)),set_WIPAsset))</f>
        <v/>
      </c>
      <c r="R115" s="27">
        <f>IF(OR(N(N115)=0,K115&lt;&gt;""),"",ABS(N115))</f>
        <v/>
      </c>
      <c r="S115" s="25">
        <f>IF(N(N115)=0,"",IF(K115&lt;&gt;"","spreads monthly - see Deferred Revenue","WIP "&amp;I115&amp;IF(D115="",""," - "&amp;D115)&amp;IF(F115="",""," "&amp;F115)&amp;IF(H115="",""," - "&amp;H115)))</f>
        <v/>
      </c>
      <c r="T115" s="24" t="n"/>
      <c r="U115" s="24" t="n"/>
      <c r="V115" s="24" t="n"/>
    </row>
    <row r="116" ht="15" customHeight="1">
      <c r="A116" s="70" t="n"/>
      <c r="B116" s="68">
        <f>IF(C116="","",IFERROR(INDEX(tbl_Finance[Date],MATCH(C116&amp;"",tbl_Finance[Xero Invoice No],0)),""))</f>
        <v/>
      </c>
      <c r="C116" s="24" t="n"/>
      <c r="D116" s="24" t="n"/>
      <c r="E116" s="25">
        <f>IF(D116="","",IF(COUNTIF(lst_Jobs,D116&amp;"")&gt;0,"OK","CHECK"))</f>
        <v/>
      </c>
      <c r="F116" s="24" t="n"/>
      <c r="G116" s="24" t="n"/>
      <c r="H116" s="24" t="n"/>
      <c r="I116" s="24" t="n"/>
      <c r="J116" s="24" t="n"/>
      <c r="K116" s="22" t="n"/>
      <c r="L116" s="22" t="n"/>
      <c r="M116" s="25">
        <f>IF(N116="","",IF(OR(K116="",L116=""),"one month",TEXT(MAX(1,(YEAR(L116)-YEAR(K116))*12+MONTH(L116)-MONTH(K116)+1),"0")&amp;" months - see Deferred Revenue"))</f>
        <v/>
      </c>
      <c r="N116" s="26" t="n"/>
      <c r="O116" s="24" t="n"/>
      <c r="P116" s="25">
        <f>IF(N(N116)=0,"",IF(N116&gt;0,set_WIPAsset,IF(J116="Cost",IF(O116="","(set the P&amp;L Account)",O116),IF(O116="",set_WIPIncome,O116))))</f>
        <v/>
      </c>
      <c r="Q116" s="25">
        <f>IF(N(N116)=0,"",IF(N116&gt;0,IF(J116="Cost",IF(O116="","(set the P&amp;L Account)",O116),IF(O116="",set_WIPIncome,O116)),set_WIPAsset))</f>
        <v/>
      </c>
      <c r="R116" s="27">
        <f>IF(OR(N(N116)=0,K116&lt;&gt;""),"",ABS(N116))</f>
        <v/>
      </c>
      <c r="S116" s="25">
        <f>IF(N(N116)=0,"",IF(K116&lt;&gt;"","spreads monthly - see Deferred Revenue","WIP "&amp;I116&amp;IF(D116="",""," - "&amp;D116)&amp;IF(F116="",""," "&amp;F116)&amp;IF(H116="",""," - "&amp;H116)))</f>
        <v/>
      </c>
      <c r="T116" s="24" t="n"/>
      <c r="U116" s="24" t="n"/>
      <c r="V116" s="24" t="n"/>
    </row>
    <row r="117" ht="15" customHeight="1">
      <c r="A117" s="70" t="n"/>
      <c r="B117" s="68">
        <f>IF(C117="","",IFERROR(INDEX(tbl_Finance[Date],MATCH(C117&amp;"",tbl_Finance[Xero Invoice No],0)),""))</f>
        <v/>
      </c>
      <c r="C117" s="24" t="n"/>
      <c r="D117" s="24" t="n"/>
      <c r="E117" s="25">
        <f>IF(D117="","",IF(COUNTIF(lst_Jobs,D117&amp;"")&gt;0,"OK","CHECK"))</f>
        <v/>
      </c>
      <c r="F117" s="24" t="n"/>
      <c r="G117" s="24" t="n"/>
      <c r="H117" s="24" t="n"/>
      <c r="I117" s="24" t="n"/>
      <c r="J117" s="24" t="n"/>
      <c r="K117" s="22" t="n"/>
      <c r="L117" s="22" t="n"/>
      <c r="M117" s="25">
        <f>IF(N117="","",IF(OR(K117="",L117=""),"one month",TEXT(MAX(1,(YEAR(L117)-YEAR(K117))*12+MONTH(L117)-MONTH(K117)+1),"0")&amp;" months - see Deferred Revenue"))</f>
        <v/>
      </c>
      <c r="N117" s="26" t="n"/>
      <c r="O117" s="24" t="n"/>
      <c r="P117" s="25">
        <f>IF(N(N117)=0,"",IF(N117&gt;0,set_WIPAsset,IF(J117="Cost",IF(O117="","(set the P&amp;L Account)",O117),IF(O117="",set_WIPIncome,O117))))</f>
        <v/>
      </c>
      <c r="Q117" s="25">
        <f>IF(N(N117)=0,"",IF(N117&gt;0,IF(J117="Cost",IF(O117="","(set the P&amp;L Account)",O117),IF(O117="",set_WIPIncome,O117)),set_WIPAsset))</f>
        <v/>
      </c>
      <c r="R117" s="27">
        <f>IF(OR(N(N117)=0,K117&lt;&gt;""),"",ABS(N117))</f>
        <v/>
      </c>
      <c r="S117" s="25">
        <f>IF(N(N117)=0,"",IF(K117&lt;&gt;"","spreads monthly - see Deferred Revenue","WIP "&amp;I117&amp;IF(D117="",""," - "&amp;D117)&amp;IF(F117="",""," "&amp;F117)&amp;IF(H117="",""," - "&amp;H117)))</f>
        <v/>
      </c>
      <c r="T117" s="24" t="n"/>
      <c r="U117" s="24" t="n"/>
      <c r="V117" s="24" t="n"/>
    </row>
    <row r="118" ht="15" customHeight="1">
      <c r="A118" s="70" t="n"/>
      <c r="B118" s="68">
        <f>IF(C118="","",IFERROR(INDEX(tbl_Finance[Date],MATCH(C118&amp;"",tbl_Finance[Xero Invoice No],0)),""))</f>
        <v/>
      </c>
      <c r="C118" s="24" t="n"/>
      <c r="D118" s="24" t="n"/>
      <c r="E118" s="25">
        <f>IF(D118="","",IF(COUNTIF(lst_Jobs,D118&amp;"")&gt;0,"OK","CHECK"))</f>
        <v/>
      </c>
      <c r="F118" s="24" t="n"/>
      <c r="G118" s="24" t="n"/>
      <c r="H118" s="24" t="n"/>
      <c r="I118" s="24" t="n"/>
      <c r="J118" s="24" t="n"/>
      <c r="K118" s="22" t="n"/>
      <c r="L118" s="22" t="n"/>
      <c r="M118" s="25">
        <f>IF(N118="","",IF(OR(K118="",L118=""),"one month",TEXT(MAX(1,(YEAR(L118)-YEAR(K118))*12+MONTH(L118)-MONTH(K118)+1),"0")&amp;" months - see Deferred Revenue"))</f>
        <v/>
      </c>
      <c r="N118" s="26" t="n"/>
      <c r="O118" s="24" t="n"/>
      <c r="P118" s="25">
        <f>IF(N(N118)=0,"",IF(N118&gt;0,set_WIPAsset,IF(J118="Cost",IF(O118="","(set the P&amp;L Account)",O118),IF(O118="",set_WIPIncome,O118))))</f>
        <v/>
      </c>
      <c r="Q118" s="25">
        <f>IF(N(N118)=0,"",IF(N118&gt;0,IF(J118="Cost",IF(O118="","(set the P&amp;L Account)",O118),IF(O118="",set_WIPIncome,O118)),set_WIPAsset))</f>
        <v/>
      </c>
      <c r="R118" s="27">
        <f>IF(OR(N(N118)=0,K118&lt;&gt;""),"",ABS(N118))</f>
        <v/>
      </c>
      <c r="S118" s="25">
        <f>IF(N(N118)=0,"",IF(K118&lt;&gt;"","spreads monthly - see Deferred Revenue","WIP "&amp;I118&amp;IF(D118="",""," - "&amp;D118)&amp;IF(F118="",""," "&amp;F118)&amp;IF(H118="",""," - "&amp;H118)))</f>
        <v/>
      </c>
      <c r="T118" s="24" t="n"/>
      <c r="U118" s="24" t="n"/>
      <c r="V118" s="24" t="n"/>
    </row>
    <row r="119" ht="15" customHeight="1">
      <c r="A119" s="70" t="n"/>
      <c r="B119" s="68">
        <f>IF(C119="","",IFERROR(INDEX(tbl_Finance[Date],MATCH(C119&amp;"",tbl_Finance[Xero Invoice No],0)),""))</f>
        <v/>
      </c>
      <c r="C119" s="24" t="n"/>
      <c r="D119" s="24" t="n"/>
      <c r="E119" s="25">
        <f>IF(D119="","",IF(COUNTIF(lst_Jobs,D119&amp;"")&gt;0,"OK","CHECK"))</f>
        <v/>
      </c>
      <c r="F119" s="24" t="n"/>
      <c r="G119" s="24" t="n"/>
      <c r="H119" s="24" t="n"/>
      <c r="I119" s="24" t="n"/>
      <c r="J119" s="24" t="n"/>
      <c r="K119" s="22" t="n"/>
      <c r="L119" s="22" t="n"/>
      <c r="M119" s="25">
        <f>IF(N119="","",IF(OR(K119="",L119=""),"one month",TEXT(MAX(1,(YEAR(L119)-YEAR(K119))*12+MONTH(L119)-MONTH(K119)+1),"0")&amp;" months - see Deferred Revenue"))</f>
        <v/>
      </c>
      <c r="N119" s="26" t="n"/>
      <c r="O119" s="24" t="n"/>
      <c r="P119" s="25">
        <f>IF(N(N119)=0,"",IF(N119&gt;0,set_WIPAsset,IF(J119="Cost",IF(O119="","(set the P&amp;L Account)",O119),IF(O119="",set_WIPIncome,O119))))</f>
        <v/>
      </c>
      <c r="Q119" s="25">
        <f>IF(N(N119)=0,"",IF(N119&gt;0,IF(J119="Cost",IF(O119="","(set the P&amp;L Account)",O119),IF(O119="",set_WIPIncome,O119)),set_WIPAsset))</f>
        <v/>
      </c>
      <c r="R119" s="27">
        <f>IF(OR(N(N119)=0,K119&lt;&gt;""),"",ABS(N119))</f>
        <v/>
      </c>
      <c r="S119" s="25">
        <f>IF(N(N119)=0,"",IF(K119&lt;&gt;"","spreads monthly - see Deferred Revenue","WIP "&amp;I119&amp;IF(D119="",""," - "&amp;D119)&amp;IF(F119="",""," "&amp;F119)&amp;IF(H119="",""," - "&amp;H119)))</f>
        <v/>
      </c>
      <c r="T119" s="24" t="n"/>
      <c r="U119" s="24" t="n"/>
      <c r="V119" s="24" t="n"/>
    </row>
    <row r="120" ht="15" customHeight="1">
      <c r="A120" s="70" t="n"/>
      <c r="B120" s="68">
        <f>IF(C120="","",IFERROR(INDEX(tbl_Finance[Date],MATCH(C120&amp;"",tbl_Finance[Xero Invoice No],0)),""))</f>
        <v/>
      </c>
      <c r="C120" s="24" t="n"/>
      <c r="D120" s="24" t="n"/>
      <c r="E120" s="25">
        <f>IF(D120="","",IF(COUNTIF(lst_Jobs,D120&amp;"")&gt;0,"OK","CHECK"))</f>
        <v/>
      </c>
      <c r="F120" s="24" t="n"/>
      <c r="G120" s="24" t="n"/>
      <c r="H120" s="24" t="n"/>
      <c r="I120" s="24" t="n"/>
      <c r="J120" s="24" t="n"/>
      <c r="K120" s="22" t="n"/>
      <c r="L120" s="22" t="n"/>
      <c r="M120" s="25">
        <f>IF(N120="","",IF(OR(K120="",L120=""),"one month",TEXT(MAX(1,(YEAR(L120)-YEAR(K120))*12+MONTH(L120)-MONTH(K120)+1),"0")&amp;" months - see Deferred Revenue"))</f>
        <v/>
      </c>
      <c r="N120" s="26" t="n"/>
      <c r="O120" s="24" t="n"/>
      <c r="P120" s="25">
        <f>IF(N(N120)=0,"",IF(N120&gt;0,set_WIPAsset,IF(J120="Cost",IF(O120="","(set the P&amp;L Account)",O120),IF(O120="",set_WIPIncome,O120))))</f>
        <v/>
      </c>
      <c r="Q120" s="25">
        <f>IF(N(N120)=0,"",IF(N120&gt;0,IF(J120="Cost",IF(O120="","(set the P&amp;L Account)",O120),IF(O120="",set_WIPIncome,O120)),set_WIPAsset))</f>
        <v/>
      </c>
      <c r="R120" s="27">
        <f>IF(OR(N(N120)=0,K120&lt;&gt;""),"",ABS(N120))</f>
        <v/>
      </c>
      <c r="S120" s="25">
        <f>IF(N(N120)=0,"",IF(K120&lt;&gt;"","spreads monthly - see Deferred Revenue","WIP "&amp;I120&amp;IF(D120="",""," - "&amp;D120)&amp;IF(F120="",""," "&amp;F120)&amp;IF(H120="",""," - "&amp;H120)))</f>
        <v/>
      </c>
      <c r="T120" s="24" t="n"/>
      <c r="U120" s="24" t="n"/>
      <c r="V120" s="24" t="n"/>
    </row>
    <row r="121" ht="15" customHeight="1">
      <c r="A121" s="70" t="n"/>
      <c r="B121" s="68">
        <f>IF(C121="","",IFERROR(INDEX(tbl_Finance[Date],MATCH(C121&amp;"",tbl_Finance[Xero Invoice No],0)),""))</f>
        <v/>
      </c>
      <c r="C121" s="24" t="n"/>
      <c r="D121" s="24" t="n"/>
      <c r="E121" s="25">
        <f>IF(D121="","",IF(COUNTIF(lst_Jobs,D121&amp;"")&gt;0,"OK","CHECK"))</f>
        <v/>
      </c>
      <c r="F121" s="24" t="n"/>
      <c r="G121" s="24" t="n"/>
      <c r="H121" s="24" t="n"/>
      <c r="I121" s="24" t="n"/>
      <c r="J121" s="24" t="n"/>
      <c r="K121" s="22" t="n"/>
      <c r="L121" s="22" t="n"/>
      <c r="M121" s="25">
        <f>IF(N121="","",IF(OR(K121="",L121=""),"one month",TEXT(MAX(1,(YEAR(L121)-YEAR(K121))*12+MONTH(L121)-MONTH(K121)+1),"0")&amp;" months - see Deferred Revenue"))</f>
        <v/>
      </c>
      <c r="N121" s="26" t="n"/>
      <c r="O121" s="24" t="n"/>
      <c r="P121" s="25">
        <f>IF(N(N121)=0,"",IF(N121&gt;0,set_WIPAsset,IF(J121="Cost",IF(O121="","(set the P&amp;L Account)",O121),IF(O121="",set_WIPIncome,O121))))</f>
        <v/>
      </c>
      <c r="Q121" s="25">
        <f>IF(N(N121)=0,"",IF(N121&gt;0,IF(J121="Cost",IF(O121="","(set the P&amp;L Account)",O121),IF(O121="",set_WIPIncome,O121)),set_WIPAsset))</f>
        <v/>
      </c>
      <c r="R121" s="27">
        <f>IF(OR(N(N121)=0,K121&lt;&gt;""),"",ABS(N121))</f>
        <v/>
      </c>
      <c r="S121" s="25">
        <f>IF(N(N121)=0,"",IF(K121&lt;&gt;"","spreads monthly - see Deferred Revenue","WIP "&amp;I121&amp;IF(D121="",""," - "&amp;D121)&amp;IF(F121="",""," "&amp;F121)&amp;IF(H121="",""," - "&amp;H121)))</f>
        <v/>
      </c>
      <c r="T121" s="24" t="n"/>
      <c r="U121" s="24" t="n"/>
      <c r="V121" s="24" t="n"/>
    </row>
    <row r="122" ht="15" customHeight="1">
      <c r="A122" s="70" t="n"/>
      <c r="B122" s="68">
        <f>IF(C122="","",IFERROR(INDEX(tbl_Finance[Date],MATCH(C122&amp;"",tbl_Finance[Xero Invoice No],0)),""))</f>
        <v/>
      </c>
      <c r="C122" s="24" t="n"/>
      <c r="D122" s="24" t="n"/>
      <c r="E122" s="25">
        <f>IF(D122="","",IF(COUNTIF(lst_Jobs,D122&amp;"")&gt;0,"OK","CHECK"))</f>
        <v/>
      </c>
      <c r="F122" s="24" t="n"/>
      <c r="G122" s="24" t="n"/>
      <c r="H122" s="24" t="n"/>
      <c r="I122" s="24" t="n"/>
      <c r="J122" s="24" t="n"/>
      <c r="K122" s="22" t="n"/>
      <c r="L122" s="22" t="n"/>
      <c r="M122" s="25">
        <f>IF(N122="","",IF(OR(K122="",L122=""),"one month",TEXT(MAX(1,(YEAR(L122)-YEAR(K122))*12+MONTH(L122)-MONTH(K122)+1),"0")&amp;" months - see Deferred Revenue"))</f>
        <v/>
      </c>
      <c r="N122" s="26" t="n"/>
      <c r="O122" s="24" t="n"/>
      <c r="P122" s="25">
        <f>IF(N(N122)=0,"",IF(N122&gt;0,set_WIPAsset,IF(J122="Cost",IF(O122="","(set the P&amp;L Account)",O122),IF(O122="",set_WIPIncome,O122))))</f>
        <v/>
      </c>
      <c r="Q122" s="25">
        <f>IF(N(N122)=0,"",IF(N122&gt;0,IF(J122="Cost",IF(O122="","(set the P&amp;L Account)",O122),IF(O122="",set_WIPIncome,O122)),set_WIPAsset))</f>
        <v/>
      </c>
      <c r="R122" s="27">
        <f>IF(OR(N(N122)=0,K122&lt;&gt;""),"",ABS(N122))</f>
        <v/>
      </c>
      <c r="S122" s="25">
        <f>IF(N(N122)=0,"",IF(K122&lt;&gt;"","spreads monthly - see Deferred Revenue","WIP "&amp;I122&amp;IF(D122="",""," - "&amp;D122)&amp;IF(F122="",""," "&amp;F122)&amp;IF(H122="",""," - "&amp;H122)))</f>
        <v/>
      </c>
      <c r="T122" s="24" t="n"/>
      <c r="U122" s="24" t="n"/>
      <c r="V122" s="24" t="n"/>
    </row>
    <row r="123" ht="15" customHeight="1">
      <c r="A123" s="70" t="n"/>
      <c r="B123" s="68">
        <f>IF(C123="","",IFERROR(INDEX(tbl_Finance[Date],MATCH(C123&amp;"",tbl_Finance[Xero Invoice No],0)),""))</f>
        <v/>
      </c>
      <c r="C123" s="24" t="n"/>
      <c r="D123" s="24" t="n"/>
      <c r="E123" s="25">
        <f>IF(D123="","",IF(COUNTIF(lst_Jobs,D123&amp;"")&gt;0,"OK","CHECK"))</f>
        <v/>
      </c>
      <c r="F123" s="24" t="n"/>
      <c r="G123" s="24" t="n"/>
      <c r="H123" s="24" t="n"/>
      <c r="I123" s="24" t="n"/>
      <c r="J123" s="24" t="n"/>
      <c r="K123" s="22" t="n"/>
      <c r="L123" s="22" t="n"/>
      <c r="M123" s="25">
        <f>IF(N123="","",IF(OR(K123="",L123=""),"one month",TEXT(MAX(1,(YEAR(L123)-YEAR(K123))*12+MONTH(L123)-MONTH(K123)+1),"0")&amp;" months - see Deferred Revenue"))</f>
        <v/>
      </c>
      <c r="N123" s="26" t="n"/>
      <c r="O123" s="24" t="n"/>
      <c r="P123" s="25">
        <f>IF(N(N123)=0,"",IF(N123&gt;0,set_WIPAsset,IF(J123="Cost",IF(O123="","(set the P&amp;L Account)",O123),IF(O123="",set_WIPIncome,O123))))</f>
        <v/>
      </c>
      <c r="Q123" s="25">
        <f>IF(N(N123)=0,"",IF(N123&gt;0,IF(J123="Cost",IF(O123="","(set the P&amp;L Account)",O123),IF(O123="",set_WIPIncome,O123)),set_WIPAsset))</f>
        <v/>
      </c>
      <c r="R123" s="27">
        <f>IF(OR(N(N123)=0,K123&lt;&gt;""),"",ABS(N123))</f>
        <v/>
      </c>
      <c r="S123" s="25">
        <f>IF(N(N123)=0,"",IF(K123&lt;&gt;"","spreads monthly - see Deferred Revenue","WIP "&amp;I123&amp;IF(D123="",""," - "&amp;D123)&amp;IF(F123="",""," "&amp;F123)&amp;IF(H123="",""," - "&amp;H123)))</f>
        <v/>
      </c>
      <c r="T123" s="24" t="n"/>
      <c r="U123" s="24" t="n"/>
      <c r="V123" s="24" t="n"/>
    </row>
    <row r="124" ht="15" customHeight="1">
      <c r="A124" s="70" t="n"/>
      <c r="B124" s="68">
        <f>IF(C124="","",IFERROR(INDEX(tbl_Finance[Date],MATCH(C124&amp;"",tbl_Finance[Xero Invoice No],0)),""))</f>
        <v/>
      </c>
      <c r="C124" s="24" t="n"/>
      <c r="D124" s="24" t="n"/>
      <c r="E124" s="25">
        <f>IF(D124="","",IF(COUNTIF(lst_Jobs,D124&amp;"")&gt;0,"OK","CHECK"))</f>
        <v/>
      </c>
      <c r="F124" s="24" t="n"/>
      <c r="G124" s="24" t="n"/>
      <c r="H124" s="24" t="n"/>
      <c r="I124" s="24" t="n"/>
      <c r="J124" s="24" t="n"/>
      <c r="K124" s="22" t="n"/>
      <c r="L124" s="22" t="n"/>
      <c r="M124" s="25">
        <f>IF(N124="","",IF(OR(K124="",L124=""),"one month",TEXT(MAX(1,(YEAR(L124)-YEAR(K124))*12+MONTH(L124)-MONTH(K124)+1),"0")&amp;" months - see Deferred Revenue"))</f>
        <v/>
      </c>
      <c r="N124" s="26" t="n"/>
      <c r="O124" s="24" t="n"/>
      <c r="P124" s="25">
        <f>IF(N(N124)=0,"",IF(N124&gt;0,set_WIPAsset,IF(J124="Cost",IF(O124="","(set the P&amp;L Account)",O124),IF(O124="",set_WIPIncome,O124))))</f>
        <v/>
      </c>
      <c r="Q124" s="25">
        <f>IF(N(N124)=0,"",IF(N124&gt;0,IF(J124="Cost",IF(O124="","(set the P&amp;L Account)",O124),IF(O124="",set_WIPIncome,O124)),set_WIPAsset))</f>
        <v/>
      </c>
      <c r="R124" s="27">
        <f>IF(OR(N(N124)=0,K124&lt;&gt;""),"",ABS(N124))</f>
        <v/>
      </c>
      <c r="S124" s="25">
        <f>IF(N(N124)=0,"",IF(K124&lt;&gt;"","spreads monthly - see Deferred Revenue","WIP "&amp;I124&amp;IF(D124="",""," - "&amp;D124)&amp;IF(F124="",""," "&amp;F124)&amp;IF(H124="",""," - "&amp;H124)))</f>
        <v/>
      </c>
      <c r="T124" s="24" t="n"/>
      <c r="U124" s="24" t="n"/>
      <c r="V124" s="24" t="n"/>
    </row>
    <row r="125" ht="15" customHeight="1">
      <c r="A125" s="70" t="n"/>
      <c r="B125" s="68">
        <f>IF(C125="","",IFERROR(INDEX(tbl_Finance[Date],MATCH(C125&amp;"",tbl_Finance[Xero Invoice No],0)),""))</f>
        <v/>
      </c>
      <c r="C125" s="24" t="n"/>
      <c r="D125" s="24" t="n"/>
      <c r="E125" s="25">
        <f>IF(D125="","",IF(COUNTIF(lst_Jobs,D125&amp;"")&gt;0,"OK","CHECK"))</f>
        <v/>
      </c>
      <c r="F125" s="24" t="n"/>
      <c r="G125" s="24" t="n"/>
      <c r="H125" s="24" t="n"/>
      <c r="I125" s="24" t="n"/>
      <c r="J125" s="24" t="n"/>
      <c r="K125" s="22" t="n"/>
      <c r="L125" s="22" t="n"/>
      <c r="M125" s="25">
        <f>IF(N125="","",IF(OR(K125="",L125=""),"one month",TEXT(MAX(1,(YEAR(L125)-YEAR(K125))*12+MONTH(L125)-MONTH(K125)+1),"0")&amp;" months - see Deferred Revenue"))</f>
        <v/>
      </c>
      <c r="N125" s="26" t="n"/>
      <c r="O125" s="24" t="n"/>
      <c r="P125" s="25">
        <f>IF(N(N125)=0,"",IF(N125&gt;0,set_WIPAsset,IF(J125="Cost",IF(O125="","(set the P&amp;L Account)",O125),IF(O125="",set_WIPIncome,O125))))</f>
        <v/>
      </c>
      <c r="Q125" s="25">
        <f>IF(N(N125)=0,"",IF(N125&gt;0,IF(J125="Cost",IF(O125="","(set the P&amp;L Account)",O125),IF(O125="",set_WIPIncome,O125)),set_WIPAsset))</f>
        <v/>
      </c>
      <c r="R125" s="27">
        <f>IF(OR(N(N125)=0,K125&lt;&gt;""),"",ABS(N125))</f>
        <v/>
      </c>
      <c r="S125" s="25">
        <f>IF(N(N125)=0,"",IF(K125&lt;&gt;"","spreads monthly - see Deferred Revenue","WIP "&amp;I125&amp;IF(D125="",""," - "&amp;D125)&amp;IF(F125="",""," "&amp;F125)&amp;IF(H125="",""," - "&amp;H125)))</f>
        <v/>
      </c>
      <c r="T125" s="24" t="n"/>
      <c r="U125" s="24" t="n"/>
      <c r="V125" s="24" t="n"/>
    </row>
    <row r="126" ht="15" customHeight="1">
      <c r="A126" s="70" t="n"/>
      <c r="B126" s="68">
        <f>IF(C126="","",IFERROR(INDEX(tbl_Finance[Date],MATCH(C126&amp;"",tbl_Finance[Xero Invoice No],0)),""))</f>
        <v/>
      </c>
      <c r="C126" s="24" t="n"/>
      <c r="D126" s="24" t="n"/>
      <c r="E126" s="25">
        <f>IF(D126="","",IF(COUNTIF(lst_Jobs,D126&amp;"")&gt;0,"OK","CHECK"))</f>
        <v/>
      </c>
      <c r="F126" s="24" t="n"/>
      <c r="G126" s="24" t="n"/>
      <c r="H126" s="24" t="n"/>
      <c r="I126" s="24" t="n"/>
      <c r="J126" s="24" t="n"/>
      <c r="K126" s="22" t="n"/>
      <c r="L126" s="22" t="n"/>
      <c r="M126" s="25">
        <f>IF(N126="","",IF(OR(K126="",L126=""),"one month",TEXT(MAX(1,(YEAR(L126)-YEAR(K126))*12+MONTH(L126)-MONTH(K126)+1),"0")&amp;" months - see Deferred Revenue"))</f>
        <v/>
      </c>
      <c r="N126" s="26" t="n"/>
      <c r="O126" s="24" t="n"/>
      <c r="P126" s="25">
        <f>IF(N(N126)=0,"",IF(N126&gt;0,set_WIPAsset,IF(J126="Cost",IF(O126="","(set the P&amp;L Account)",O126),IF(O126="",set_WIPIncome,O126))))</f>
        <v/>
      </c>
      <c r="Q126" s="25">
        <f>IF(N(N126)=0,"",IF(N126&gt;0,IF(J126="Cost",IF(O126="","(set the P&amp;L Account)",O126),IF(O126="",set_WIPIncome,O126)),set_WIPAsset))</f>
        <v/>
      </c>
      <c r="R126" s="27">
        <f>IF(OR(N(N126)=0,K126&lt;&gt;""),"",ABS(N126))</f>
        <v/>
      </c>
      <c r="S126" s="25">
        <f>IF(N(N126)=0,"",IF(K126&lt;&gt;"","spreads monthly - see Deferred Revenue","WIP "&amp;I126&amp;IF(D126="",""," - "&amp;D126)&amp;IF(F126="",""," "&amp;F126)&amp;IF(H126="",""," - "&amp;H126)))</f>
        <v/>
      </c>
      <c r="T126" s="24" t="n"/>
      <c r="U126" s="24" t="n"/>
      <c r="V126" s="24" t="n"/>
    </row>
    <row r="127" ht="15" customHeight="1">
      <c r="A127" s="70" t="n"/>
      <c r="B127" s="68">
        <f>IF(C127="","",IFERROR(INDEX(tbl_Finance[Date],MATCH(C127&amp;"",tbl_Finance[Xero Invoice No],0)),""))</f>
        <v/>
      </c>
      <c r="C127" s="24" t="n"/>
      <c r="D127" s="24" t="n"/>
      <c r="E127" s="25">
        <f>IF(D127="","",IF(COUNTIF(lst_Jobs,D127&amp;"")&gt;0,"OK","CHECK"))</f>
        <v/>
      </c>
      <c r="F127" s="24" t="n"/>
      <c r="G127" s="24" t="n"/>
      <c r="H127" s="24" t="n"/>
      <c r="I127" s="24" t="n"/>
      <c r="J127" s="24" t="n"/>
      <c r="K127" s="22" t="n"/>
      <c r="L127" s="22" t="n"/>
      <c r="M127" s="25">
        <f>IF(N127="","",IF(OR(K127="",L127=""),"one month",TEXT(MAX(1,(YEAR(L127)-YEAR(K127))*12+MONTH(L127)-MONTH(K127)+1),"0")&amp;" months - see Deferred Revenue"))</f>
        <v/>
      </c>
      <c r="N127" s="26" t="n"/>
      <c r="O127" s="24" t="n"/>
      <c r="P127" s="25">
        <f>IF(N(N127)=0,"",IF(N127&gt;0,set_WIPAsset,IF(J127="Cost",IF(O127="","(set the P&amp;L Account)",O127),IF(O127="",set_WIPIncome,O127))))</f>
        <v/>
      </c>
      <c r="Q127" s="25">
        <f>IF(N(N127)=0,"",IF(N127&gt;0,IF(J127="Cost",IF(O127="","(set the P&amp;L Account)",O127),IF(O127="",set_WIPIncome,O127)),set_WIPAsset))</f>
        <v/>
      </c>
      <c r="R127" s="27">
        <f>IF(OR(N(N127)=0,K127&lt;&gt;""),"",ABS(N127))</f>
        <v/>
      </c>
      <c r="S127" s="25">
        <f>IF(N(N127)=0,"",IF(K127&lt;&gt;"","spreads monthly - see Deferred Revenue","WIP "&amp;I127&amp;IF(D127="",""," - "&amp;D127)&amp;IF(F127="",""," "&amp;F127)&amp;IF(H127="",""," - "&amp;H127)))</f>
        <v/>
      </c>
      <c r="T127" s="24" t="n"/>
      <c r="U127" s="24" t="n"/>
      <c r="V127" s="24" t="n"/>
    </row>
    <row r="128" ht="15" customHeight="1">
      <c r="A128" s="70" t="n"/>
      <c r="B128" s="68">
        <f>IF(C128="","",IFERROR(INDEX(tbl_Finance[Date],MATCH(C128&amp;"",tbl_Finance[Xero Invoice No],0)),""))</f>
        <v/>
      </c>
      <c r="C128" s="24" t="n"/>
      <c r="D128" s="24" t="n"/>
      <c r="E128" s="25">
        <f>IF(D128="","",IF(COUNTIF(lst_Jobs,D128&amp;"")&gt;0,"OK","CHECK"))</f>
        <v/>
      </c>
      <c r="F128" s="24" t="n"/>
      <c r="G128" s="24" t="n"/>
      <c r="H128" s="24" t="n"/>
      <c r="I128" s="24" t="n"/>
      <c r="J128" s="24" t="n"/>
      <c r="K128" s="22" t="n"/>
      <c r="L128" s="22" t="n"/>
      <c r="M128" s="25">
        <f>IF(N128="","",IF(OR(K128="",L128=""),"one month",TEXT(MAX(1,(YEAR(L128)-YEAR(K128))*12+MONTH(L128)-MONTH(K128)+1),"0")&amp;" months - see Deferred Revenue"))</f>
        <v/>
      </c>
      <c r="N128" s="26" t="n"/>
      <c r="O128" s="24" t="n"/>
      <c r="P128" s="25">
        <f>IF(N(N128)=0,"",IF(N128&gt;0,set_WIPAsset,IF(J128="Cost",IF(O128="","(set the P&amp;L Account)",O128),IF(O128="",set_WIPIncome,O128))))</f>
        <v/>
      </c>
      <c r="Q128" s="25">
        <f>IF(N(N128)=0,"",IF(N128&gt;0,IF(J128="Cost",IF(O128="","(set the P&amp;L Account)",O128),IF(O128="",set_WIPIncome,O128)),set_WIPAsset))</f>
        <v/>
      </c>
      <c r="R128" s="27">
        <f>IF(OR(N(N128)=0,K128&lt;&gt;""),"",ABS(N128))</f>
        <v/>
      </c>
      <c r="S128" s="25">
        <f>IF(N(N128)=0,"",IF(K128&lt;&gt;"","spreads monthly - see Deferred Revenue","WIP "&amp;I128&amp;IF(D128="",""," - "&amp;D128)&amp;IF(F128="",""," "&amp;F128)&amp;IF(H128="",""," - "&amp;H128)))</f>
        <v/>
      </c>
      <c r="T128" s="24" t="n"/>
      <c r="U128" s="24" t="n"/>
      <c r="V128" s="24" t="n"/>
    </row>
    <row r="129" ht="15" customHeight="1">
      <c r="A129" s="70" t="n"/>
      <c r="B129" s="68">
        <f>IF(C129="","",IFERROR(INDEX(tbl_Finance[Date],MATCH(C129&amp;"",tbl_Finance[Xero Invoice No],0)),""))</f>
        <v/>
      </c>
      <c r="C129" s="24" t="n"/>
      <c r="D129" s="24" t="n"/>
      <c r="E129" s="25">
        <f>IF(D129="","",IF(COUNTIF(lst_Jobs,D129&amp;"")&gt;0,"OK","CHECK"))</f>
        <v/>
      </c>
      <c r="F129" s="24" t="n"/>
      <c r="G129" s="24" t="n"/>
      <c r="H129" s="24" t="n"/>
      <c r="I129" s="24" t="n"/>
      <c r="J129" s="24" t="n"/>
      <c r="K129" s="22" t="n"/>
      <c r="L129" s="22" t="n"/>
      <c r="M129" s="25">
        <f>IF(N129="","",IF(OR(K129="",L129=""),"one month",TEXT(MAX(1,(YEAR(L129)-YEAR(K129))*12+MONTH(L129)-MONTH(K129)+1),"0")&amp;" months - see Deferred Revenue"))</f>
        <v/>
      </c>
      <c r="N129" s="26" t="n"/>
      <c r="O129" s="24" t="n"/>
      <c r="P129" s="25">
        <f>IF(N(N129)=0,"",IF(N129&gt;0,set_WIPAsset,IF(J129="Cost",IF(O129="","(set the P&amp;L Account)",O129),IF(O129="",set_WIPIncome,O129))))</f>
        <v/>
      </c>
      <c r="Q129" s="25">
        <f>IF(N(N129)=0,"",IF(N129&gt;0,IF(J129="Cost",IF(O129="","(set the P&amp;L Account)",O129),IF(O129="",set_WIPIncome,O129)),set_WIPAsset))</f>
        <v/>
      </c>
      <c r="R129" s="27">
        <f>IF(OR(N(N129)=0,K129&lt;&gt;""),"",ABS(N129))</f>
        <v/>
      </c>
      <c r="S129" s="25">
        <f>IF(N(N129)=0,"",IF(K129&lt;&gt;"","spreads monthly - see Deferred Revenue","WIP "&amp;I129&amp;IF(D129="",""," - "&amp;D129)&amp;IF(F129="",""," "&amp;F129)&amp;IF(H129="",""," - "&amp;H129)))</f>
        <v/>
      </c>
      <c r="T129" s="24" t="n"/>
      <c r="U129" s="24" t="n"/>
      <c r="V129" s="24" t="n"/>
    </row>
    <row r="130" ht="15" customHeight="1">
      <c r="A130" s="70" t="n"/>
      <c r="B130" s="68">
        <f>IF(C130="","",IFERROR(INDEX(tbl_Finance[Date],MATCH(C130&amp;"",tbl_Finance[Xero Invoice No],0)),""))</f>
        <v/>
      </c>
      <c r="C130" s="24" t="n"/>
      <c r="D130" s="24" t="n"/>
      <c r="E130" s="25">
        <f>IF(D130="","",IF(COUNTIF(lst_Jobs,D130&amp;"")&gt;0,"OK","CHECK"))</f>
        <v/>
      </c>
      <c r="F130" s="24" t="n"/>
      <c r="G130" s="24" t="n"/>
      <c r="H130" s="24" t="n"/>
      <c r="I130" s="24" t="n"/>
      <c r="J130" s="24" t="n"/>
      <c r="K130" s="22" t="n"/>
      <c r="L130" s="22" t="n"/>
      <c r="M130" s="25">
        <f>IF(N130="","",IF(OR(K130="",L130=""),"one month",TEXT(MAX(1,(YEAR(L130)-YEAR(K130))*12+MONTH(L130)-MONTH(K130)+1),"0")&amp;" months - see Deferred Revenue"))</f>
        <v/>
      </c>
      <c r="N130" s="26" t="n"/>
      <c r="O130" s="24" t="n"/>
      <c r="P130" s="25">
        <f>IF(N(N130)=0,"",IF(N130&gt;0,set_WIPAsset,IF(J130="Cost",IF(O130="","(set the P&amp;L Account)",O130),IF(O130="",set_WIPIncome,O130))))</f>
        <v/>
      </c>
      <c r="Q130" s="25">
        <f>IF(N(N130)=0,"",IF(N130&gt;0,IF(J130="Cost",IF(O130="","(set the P&amp;L Account)",O130),IF(O130="",set_WIPIncome,O130)),set_WIPAsset))</f>
        <v/>
      </c>
      <c r="R130" s="27">
        <f>IF(OR(N(N130)=0,K130&lt;&gt;""),"",ABS(N130))</f>
        <v/>
      </c>
      <c r="S130" s="25">
        <f>IF(N(N130)=0,"",IF(K130&lt;&gt;"","spreads monthly - see Deferred Revenue","WIP "&amp;I130&amp;IF(D130="",""," - "&amp;D130)&amp;IF(F130="",""," "&amp;F130)&amp;IF(H130="",""," - "&amp;H130)))</f>
        <v/>
      </c>
      <c r="T130" s="24" t="n"/>
      <c r="U130" s="24" t="n"/>
      <c r="V130" s="24" t="n"/>
    </row>
    <row r="131" ht="15" customHeight="1">
      <c r="A131" s="70" t="n"/>
      <c r="B131" s="68">
        <f>IF(C131="","",IFERROR(INDEX(tbl_Finance[Date],MATCH(C131&amp;"",tbl_Finance[Xero Invoice No],0)),""))</f>
        <v/>
      </c>
      <c r="C131" s="24" t="n"/>
      <c r="D131" s="24" t="n"/>
      <c r="E131" s="25">
        <f>IF(D131="","",IF(COUNTIF(lst_Jobs,D131&amp;"")&gt;0,"OK","CHECK"))</f>
        <v/>
      </c>
      <c r="F131" s="24" t="n"/>
      <c r="G131" s="24" t="n"/>
      <c r="H131" s="24" t="n"/>
      <c r="I131" s="24" t="n"/>
      <c r="J131" s="24" t="n"/>
      <c r="K131" s="22" t="n"/>
      <c r="L131" s="22" t="n"/>
      <c r="M131" s="25">
        <f>IF(N131="","",IF(OR(K131="",L131=""),"one month",TEXT(MAX(1,(YEAR(L131)-YEAR(K131))*12+MONTH(L131)-MONTH(K131)+1),"0")&amp;" months - see Deferred Revenue"))</f>
        <v/>
      </c>
      <c r="N131" s="26" t="n"/>
      <c r="O131" s="24" t="n"/>
      <c r="P131" s="25">
        <f>IF(N(N131)=0,"",IF(N131&gt;0,set_WIPAsset,IF(J131="Cost",IF(O131="","(set the P&amp;L Account)",O131),IF(O131="",set_WIPIncome,O131))))</f>
        <v/>
      </c>
      <c r="Q131" s="25">
        <f>IF(N(N131)=0,"",IF(N131&gt;0,IF(J131="Cost",IF(O131="","(set the P&amp;L Account)",O131),IF(O131="",set_WIPIncome,O131)),set_WIPAsset))</f>
        <v/>
      </c>
      <c r="R131" s="27">
        <f>IF(OR(N(N131)=0,K131&lt;&gt;""),"",ABS(N131))</f>
        <v/>
      </c>
      <c r="S131" s="25">
        <f>IF(N(N131)=0,"",IF(K131&lt;&gt;"","spreads monthly - see Deferred Revenue","WIP "&amp;I131&amp;IF(D131="",""," - "&amp;D131)&amp;IF(F131="",""," "&amp;F131)&amp;IF(H131="",""," - "&amp;H131)))</f>
        <v/>
      </c>
      <c r="T131" s="24" t="n"/>
      <c r="U131" s="24" t="n"/>
      <c r="V131" s="24" t="n"/>
    </row>
    <row r="132" ht="15" customHeight="1">
      <c r="A132" s="70" t="n"/>
      <c r="B132" s="68">
        <f>IF(C132="","",IFERROR(INDEX(tbl_Finance[Date],MATCH(C132&amp;"",tbl_Finance[Xero Invoice No],0)),""))</f>
        <v/>
      </c>
      <c r="C132" s="24" t="n"/>
      <c r="D132" s="24" t="n"/>
      <c r="E132" s="25">
        <f>IF(D132="","",IF(COUNTIF(lst_Jobs,D132&amp;"")&gt;0,"OK","CHECK"))</f>
        <v/>
      </c>
      <c r="F132" s="24" t="n"/>
      <c r="G132" s="24" t="n"/>
      <c r="H132" s="24" t="n"/>
      <c r="I132" s="24" t="n"/>
      <c r="J132" s="24" t="n"/>
      <c r="K132" s="22" t="n"/>
      <c r="L132" s="22" t="n"/>
      <c r="M132" s="25">
        <f>IF(N132="","",IF(OR(K132="",L132=""),"one month",TEXT(MAX(1,(YEAR(L132)-YEAR(K132))*12+MONTH(L132)-MONTH(K132)+1),"0")&amp;" months - see Deferred Revenue"))</f>
        <v/>
      </c>
      <c r="N132" s="26" t="n"/>
      <c r="O132" s="24" t="n"/>
      <c r="P132" s="25">
        <f>IF(N(N132)=0,"",IF(N132&gt;0,set_WIPAsset,IF(J132="Cost",IF(O132="","(set the P&amp;L Account)",O132),IF(O132="",set_WIPIncome,O132))))</f>
        <v/>
      </c>
      <c r="Q132" s="25">
        <f>IF(N(N132)=0,"",IF(N132&gt;0,IF(J132="Cost",IF(O132="","(set the P&amp;L Account)",O132),IF(O132="",set_WIPIncome,O132)),set_WIPAsset))</f>
        <v/>
      </c>
      <c r="R132" s="27">
        <f>IF(OR(N(N132)=0,K132&lt;&gt;""),"",ABS(N132))</f>
        <v/>
      </c>
      <c r="S132" s="25">
        <f>IF(N(N132)=0,"",IF(K132&lt;&gt;"","spreads monthly - see Deferred Revenue","WIP "&amp;I132&amp;IF(D132="",""," - "&amp;D132)&amp;IF(F132="",""," "&amp;F132)&amp;IF(H132="",""," - "&amp;H132)))</f>
        <v/>
      </c>
      <c r="T132" s="24" t="n"/>
      <c r="U132" s="24" t="n"/>
      <c r="V132" s="24" t="n"/>
    </row>
    <row r="133" ht="15" customHeight="1">
      <c r="A133" s="70" t="n"/>
      <c r="B133" s="68">
        <f>IF(C133="","",IFERROR(INDEX(tbl_Finance[Date],MATCH(C133&amp;"",tbl_Finance[Xero Invoice No],0)),""))</f>
        <v/>
      </c>
      <c r="C133" s="24" t="n"/>
      <c r="D133" s="24" t="n"/>
      <c r="E133" s="25">
        <f>IF(D133="","",IF(COUNTIF(lst_Jobs,D133&amp;"")&gt;0,"OK","CHECK"))</f>
        <v/>
      </c>
      <c r="F133" s="24" t="n"/>
      <c r="G133" s="24" t="n"/>
      <c r="H133" s="24" t="n"/>
      <c r="I133" s="24" t="n"/>
      <c r="J133" s="24" t="n"/>
      <c r="K133" s="22" t="n"/>
      <c r="L133" s="22" t="n"/>
      <c r="M133" s="25">
        <f>IF(N133="","",IF(OR(K133="",L133=""),"one month",TEXT(MAX(1,(YEAR(L133)-YEAR(K133))*12+MONTH(L133)-MONTH(K133)+1),"0")&amp;" months - see Deferred Revenue"))</f>
        <v/>
      </c>
      <c r="N133" s="26" t="n"/>
      <c r="O133" s="24" t="n"/>
      <c r="P133" s="25">
        <f>IF(N(N133)=0,"",IF(N133&gt;0,set_WIPAsset,IF(J133="Cost",IF(O133="","(set the P&amp;L Account)",O133),IF(O133="",set_WIPIncome,O133))))</f>
        <v/>
      </c>
      <c r="Q133" s="25">
        <f>IF(N(N133)=0,"",IF(N133&gt;0,IF(J133="Cost",IF(O133="","(set the P&amp;L Account)",O133),IF(O133="",set_WIPIncome,O133)),set_WIPAsset))</f>
        <v/>
      </c>
      <c r="R133" s="27">
        <f>IF(OR(N(N133)=0,K133&lt;&gt;""),"",ABS(N133))</f>
        <v/>
      </c>
      <c r="S133" s="25">
        <f>IF(N(N133)=0,"",IF(K133&lt;&gt;"","spreads monthly - see Deferred Revenue","WIP "&amp;I133&amp;IF(D133="",""," - "&amp;D133)&amp;IF(F133="",""," "&amp;F133)&amp;IF(H133="",""," - "&amp;H133)))</f>
        <v/>
      </c>
      <c r="T133" s="24" t="n"/>
      <c r="U133" s="24" t="n"/>
      <c r="V133" s="24" t="n"/>
    </row>
    <row r="134" ht="15" customHeight="1">
      <c r="A134" s="70" t="n"/>
      <c r="B134" s="68">
        <f>IF(C134="","",IFERROR(INDEX(tbl_Finance[Date],MATCH(C134&amp;"",tbl_Finance[Xero Invoice No],0)),""))</f>
        <v/>
      </c>
      <c r="C134" s="24" t="n"/>
      <c r="D134" s="24" t="n"/>
      <c r="E134" s="25">
        <f>IF(D134="","",IF(COUNTIF(lst_Jobs,D134&amp;"")&gt;0,"OK","CHECK"))</f>
        <v/>
      </c>
      <c r="F134" s="24" t="n"/>
      <c r="G134" s="24" t="n"/>
      <c r="H134" s="24" t="n"/>
      <c r="I134" s="24" t="n"/>
      <c r="J134" s="24" t="n"/>
      <c r="K134" s="22" t="n"/>
      <c r="L134" s="22" t="n"/>
      <c r="M134" s="25">
        <f>IF(N134="","",IF(OR(K134="",L134=""),"one month",TEXT(MAX(1,(YEAR(L134)-YEAR(K134))*12+MONTH(L134)-MONTH(K134)+1),"0")&amp;" months - see Deferred Revenue"))</f>
        <v/>
      </c>
      <c r="N134" s="26" t="n"/>
      <c r="O134" s="24" t="n"/>
      <c r="P134" s="25">
        <f>IF(N(N134)=0,"",IF(N134&gt;0,set_WIPAsset,IF(J134="Cost",IF(O134="","(set the P&amp;L Account)",O134),IF(O134="",set_WIPIncome,O134))))</f>
        <v/>
      </c>
      <c r="Q134" s="25">
        <f>IF(N(N134)=0,"",IF(N134&gt;0,IF(J134="Cost",IF(O134="","(set the P&amp;L Account)",O134),IF(O134="",set_WIPIncome,O134)),set_WIPAsset))</f>
        <v/>
      </c>
      <c r="R134" s="27">
        <f>IF(OR(N(N134)=0,K134&lt;&gt;""),"",ABS(N134))</f>
        <v/>
      </c>
      <c r="S134" s="25">
        <f>IF(N(N134)=0,"",IF(K134&lt;&gt;"","spreads monthly - see Deferred Revenue","WIP "&amp;I134&amp;IF(D134="",""," - "&amp;D134)&amp;IF(F134="",""," "&amp;F134)&amp;IF(H134="",""," - "&amp;H134)))</f>
        <v/>
      </c>
      <c r="T134" s="24" t="n"/>
      <c r="U134" s="24" t="n"/>
      <c r="V134" s="24" t="n"/>
    </row>
    <row r="135" ht="15" customHeight="1">
      <c r="A135" s="70" t="n"/>
      <c r="B135" s="68">
        <f>IF(C135="","",IFERROR(INDEX(tbl_Finance[Date],MATCH(C135&amp;"",tbl_Finance[Xero Invoice No],0)),""))</f>
        <v/>
      </c>
      <c r="C135" s="24" t="n"/>
      <c r="D135" s="24" t="n"/>
      <c r="E135" s="25">
        <f>IF(D135="","",IF(COUNTIF(lst_Jobs,D135&amp;"")&gt;0,"OK","CHECK"))</f>
        <v/>
      </c>
      <c r="F135" s="24" t="n"/>
      <c r="G135" s="24" t="n"/>
      <c r="H135" s="24" t="n"/>
      <c r="I135" s="24" t="n"/>
      <c r="J135" s="24" t="n"/>
      <c r="K135" s="22" t="n"/>
      <c r="L135" s="22" t="n"/>
      <c r="M135" s="25">
        <f>IF(N135="","",IF(OR(K135="",L135=""),"one month",TEXT(MAX(1,(YEAR(L135)-YEAR(K135))*12+MONTH(L135)-MONTH(K135)+1),"0")&amp;" months - see Deferred Revenue"))</f>
        <v/>
      </c>
      <c r="N135" s="26" t="n"/>
      <c r="O135" s="24" t="n"/>
      <c r="P135" s="25">
        <f>IF(N(N135)=0,"",IF(N135&gt;0,set_WIPAsset,IF(J135="Cost",IF(O135="","(set the P&amp;L Account)",O135),IF(O135="",set_WIPIncome,O135))))</f>
        <v/>
      </c>
      <c r="Q135" s="25">
        <f>IF(N(N135)=0,"",IF(N135&gt;0,IF(J135="Cost",IF(O135="","(set the P&amp;L Account)",O135),IF(O135="",set_WIPIncome,O135)),set_WIPAsset))</f>
        <v/>
      </c>
      <c r="R135" s="27">
        <f>IF(OR(N(N135)=0,K135&lt;&gt;""),"",ABS(N135))</f>
        <v/>
      </c>
      <c r="S135" s="25">
        <f>IF(N(N135)=0,"",IF(K135&lt;&gt;"","spreads monthly - see Deferred Revenue","WIP "&amp;I135&amp;IF(D135="",""," - "&amp;D135)&amp;IF(F135="",""," "&amp;F135)&amp;IF(H135="",""," - "&amp;H135)))</f>
        <v/>
      </c>
      <c r="T135" s="24" t="n"/>
      <c r="U135" s="24" t="n"/>
      <c r="V135" s="24" t="n"/>
    </row>
    <row r="136" ht="15" customHeight="1">
      <c r="A136" s="70" t="n"/>
      <c r="B136" s="68">
        <f>IF(C136="","",IFERROR(INDEX(tbl_Finance[Date],MATCH(C136&amp;"",tbl_Finance[Xero Invoice No],0)),""))</f>
        <v/>
      </c>
      <c r="C136" s="24" t="n"/>
      <c r="D136" s="24" t="n"/>
      <c r="E136" s="25">
        <f>IF(D136="","",IF(COUNTIF(lst_Jobs,D136&amp;"")&gt;0,"OK","CHECK"))</f>
        <v/>
      </c>
      <c r="F136" s="24" t="n"/>
      <c r="G136" s="24" t="n"/>
      <c r="H136" s="24" t="n"/>
      <c r="I136" s="24" t="n"/>
      <c r="J136" s="24" t="n"/>
      <c r="K136" s="22" t="n"/>
      <c r="L136" s="22" t="n"/>
      <c r="M136" s="25">
        <f>IF(N136="","",IF(OR(K136="",L136=""),"one month",TEXT(MAX(1,(YEAR(L136)-YEAR(K136))*12+MONTH(L136)-MONTH(K136)+1),"0")&amp;" months - see Deferred Revenue"))</f>
        <v/>
      </c>
      <c r="N136" s="26" t="n"/>
      <c r="O136" s="24" t="n"/>
      <c r="P136" s="25">
        <f>IF(N(N136)=0,"",IF(N136&gt;0,set_WIPAsset,IF(J136="Cost",IF(O136="","(set the P&amp;L Account)",O136),IF(O136="",set_WIPIncome,O136))))</f>
        <v/>
      </c>
      <c r="Q136" s="25">
        <f>IF(N(N136)=0,"",IF(N136&gt;0,IF(J136="Cost",IF(O136="","(set the P&amp;L Account)",O136),IF(O136="",set_WIPIncome,O136)),set_WIPAsset))</f>
        <v/>
      </c>
      <c r="R136" s="27">
        <f>IF(OR(N(N136)=0,K136&lt;&gt;""),"",ABS(N136))</f>
        <v/>
      </c>
      <c r="S136" s="25">
        <f>IF(N(N136)=0,"",IF(K136&lt;&gt;"","spreads monthly - see Deferred Revenue","WIP "&amp;I136&amp;IF(D136="",""," - "&amp;D136)&amp;IF(F136="",""," "&amp;F136)&amp;IF(H136="",""," - "&amp;H136)))</f>
        <v/>
      </c>
      <c r="T136" s="24" t="n"/>
      <c r="U136" s="24" t="n"/>
      <c r="V136" s="24" t="n"/>
    </row>
    <row r="137" ht="15" customHeight="1">
      <c r="A137" s="70" t="n"/>
      <c r="B137" s="68">
        <f>IF(C137="","",IFERROR(INDEX(tbl_Finance[Date],MATCH(C137&amp;"",tbl_Finance[Xero Invoice No],0)),""))</f>
        <v/>
      </c>
      <c r="C137" s="24" t="n"/>
      <c r="D137" s="24" t="n"/>
      <c r="E137" s="25">
        <f>IF(D137="","",IF(COUNTIF(lst_Jobs,D137&amp;"")&gt;0,"OK","CHECK"))</f>
        <v/>
      </c>
      <c r="F137" s="24" t="n"/>
      <c r="G137" s="24" t="n"/>
      <c r="H137" s="24" t="n"/>
      <c r="I137" s="24" t="n"/>
      <c r="J137" s="24" t="n"/>
      <c r="K137" s="22" t="n"/>
      <c r="L137" s="22" t="n"/>
      <c r="M137" s="25">
        <f>IF(N137="","",IF(OR(K137="",L137=""),"one month",TEXT(MAX(1,(YEAR(L137)-YEAR(K137))*12+MONTH(L137)-MONTH(K137)+1),"0")&amp;" months - see Deferred Revenue"))</f>
        <v/>
      </c>
      <c r="N137" s="26" t="n"/>
      <c r="O137" s="24" t="n"/>
      <c r="P137" s="25">
        <f>IF(N(N137)=0,"",IF(N137&gt;0,set_WIPAsset,IF(J137="Cost",IF(O137="","(set the P&amp;L Account)",O137),IF(O137="",set_WIPIncome,O137))))</f>
        <v/>
      </c>
      <c r="Q137" s="25">
        <f>IF(N(N137)=0,"",IF(N137&gt;0,IF(J137="Cost",IF(O137="","(set the P&amp;L Account)",O137),IF(O137="",set_WIPIncome,O137)),set_WIPAsset))</f>
        <v/>
      </c>
      <c r="R137" s="27">
        <f>IF(OR(N(N137)=0,K137&lt;&gt;""),"",ABS(N137))</f>
        <v/>
      </c>
      <c r="S137" s="25">
        <f>IF(N(N137)=0,"",IF(K137&lt;&gt;"","spreads monthly - see Deferred Revenue","WIP "&amp;I137&amp;IF(D137="",""," - "&amp;D137)&amp;IF(F137="",""," "&amp;F137)&amp;IF(H137="",""," - "&amp;H137)))</f>
        <v/>
      </c>
      <c r="T137" s="24" t="n"/>
      <c r="U137" s="24" t="n"/>
      <c r="V137" s="24" t="n"/>
    </row>
    <row r="138" ht="15" customHeight="1">
      <c r="A138" s="70" t="n"/>
      <c r="B138" s="68">
        <f>IF(C138="","",IFERROR(INDEX(tbl_Finance[Date],MATCH(C138&amp;"",tbl_Finance[Xero Invoice No],0)),""))</f>
        <v/>
      </c>
      <c r="C138" s="24" t="n"/>
      <c r="D138" s="24" t="n"/>
      <c r="E138" s="25">
        <f>IF(D138="","",IF(COUNTIF(lst_Jobs,D138&amp;"")&gt;0,"OK","CHECK"))</f>
        <v/>
      </c>
      <c r="F138" s="24" t="n"/>
      <c r="G138" s="24" t="n"/>
      <c r="H138" s="24" t="n"/>
      <c r="I138" s="24" t="n"/>
      <c r="J138" s="24" t="n"/>
      <c r="K138" s="22" t="n"/>
      <c r="L138" s="22" t="n"/>
      <c r="M138" s="25">
        <f>IF(N138="","",IF(OR(K138="",L138=""),"one month",TEXT(MAX(1,(YEAR(L138)-YEAR(K138))*12+MONTH(L138)-MONTH(K138)+1),"0")&amp;" months - see Deferred Revenue"))</f>
        <v/>
      </c>
      <c r="N138" s="26" t="n"/>
      <c r="O138" s="24" t="n"/>
      <c r="P138" s="25">
        <f>IF(N(N138)=0,"",IF(N138&gt;0,set_WIPAsset,IF(J138="Cost",IF(O138="","(set the P&amp;L Account)",O138),IF(O138="",set_WIPIncome,O138))))</f>
        <v/>
      </c>
      <c r="Q138" s="25">
        <f>IF(N(N138)=0,"",IF(N138&gt;0,IF(J138="Cost",IF(O138="","(set the P&amp;L Account)",O138),IF(O138="",set_WIPIncome,O138)),set_WIPAsset))</f>
        <v/>
      </c>
      <c r="R138" s="27">
        <f>IF(OR(N(N138)=0,K138&lt;&gt;""),"",ABS(N138))</f>
        <v/>
      </c>
      <c r="S138" s="25">
        <f>IF(N(N138)=0,"",IF(K138&lt;&gt;"","spreads monthly - see Deferred Revenue","WIP "&amp;I138&amp;IF(D138="",""," - "&amp;D138)&amp;IF(F138="",""," "&amp;F138)&amp;IF(H138="",""," - "&amp;H138)))</f>
        <v/>
      </c>
      <c r="T138" s="24" t="n"/>
      <c r="U138" s="24" t="n"/>
      <c r="V138" s="24" t="n"/>
    </row>
    <row r="139" ht="15" customHeight="1">
      <c r="A139" s="70" t="n"/>
      <c r="B139" s="68">
        <f>IF(C139="","",IFERROR(INDEX(tbl_Finance[Date],MATCH(C139&amp;"",tbl_Finance[Xero Invoice No],0)),""))</f>
        <v/>
      </c>
      <c r="C139" s="24" t="n"/>
      <c r="D139" s="24" t="n"/>
      <c r="E139" s="25">
        <f>IF(D139="","",IF(COUNTIF(lst_Jobs,D139&amp;"")&gt;0,"OK","CHECK"))</f>
        <v/>
      </c>
      <c r="F139" s="24" t="n"/>
      <c r="G139" s="24" t="n"/>
      <c r="H139" s="24" t="n"/>
      <c r="I139" s="24" t="n"/>
      <c r="J139" s="24" t="n"/>
      <c r="K139" s="22" t="n"/>
      <c r="L139" s="22" t="n"/>
      <c r="M139" s="25">
        <f>IF(N139="","",IF(OR(K139="",L139=""),"one month",TEXT(MAX(1,(YEAR(L139)-YEAR(K139))*12+MONTH(L139)-MONTH(K139)+1),"0")&amp;" months - see Deferred Revenue"))</f>
        <v/>
      </c>
      <c r="N139" s="26" t="n"/>
      <c r="O139" s="24" t="n"/>
      <c r="P139" s="25">
        <f>IF(N(N139)=0,"",IF(N139&gt;0,set_WIPAsset,IF(J139="Cost",IF(O139="","(set the P&amp;L Account)",O139),IF(O139="",set_WIPIncome,O139))))</f>
        <v/>
      </c>
      <c r="Q139" s="25">
        <f>IF(N(N139)=0,"",IF(N139&gt;0,IF(J139="Cost",IF(O139="","(set the P&amp;L Account)",O139),IF(O139="",set_WIPIncome,O139)),set_WIPAsset))</f>
        <v/>
      </c>
      <c r="R139" s="27">
        <f>IF(OR(N(N139)=0,K139&lt;&gt;""),"",ABS(N139))</f>
        <v/>
      </c>
      <c r="S139" s="25">
        <f>IF(N(N139)=0,"",IF(K139&lt;&gt;"","spreads monthly - see Deferred Revenue","WIP "&amp;I139&amp;IF(D139="",""," - "&amp;D139)&amp;IF(F139="",""," "&amp;F139)&amp;IF(H139="",""," - "&amp;H139)))</f>
        <v/>
      </c>
      <c r="T139" s="24" t="n"/>
      <c r="U139" s="24" t="n"/>
      <c r="V139" s="24" t="n"/>
    </row>
    <row r="140" ht="15" customHeight="1">
      <c r="A140" s="70" t="n"/>
      <c r="B140" s="68">
        <f>IF(C140="","",IFERROR(INDEX(tbl_Finance[Date],MATCH(C140&amp;"",tbl_Finance[Xero Invoice No],0)),""))</f>
        <v/>
      </c>
      <c r="C140" s="24" t="n"/>
      <c r="D140" s="24" t="n"/>
      <c r="E140" s="25">
        <f>IF(D140="","",IF(COUNTIF(lst_Jobs,D140&amp;"")&gt;0,"OK","CHECK"))</f>
        <v/>
      </c>
      <c r="F140" s="24" t="n"/>
      <c r="G140" s="24" t="n"/>
      <c r="H140" s="24" t="n"/>
      <c r="I140" s="24" t="n"/>
      <c r="J140" s="24" t="n"/>
      <c r="K140" s="22" t="n"/>
      <c r="L140" s="22" t="n"/>
      <c r="M140" s="25">
        <f>IF(N140="","",IF(OR(K140="",L140=""),"one month",TEXT(MAX(1,(YEAR(L140)-YEAR(K140))*12+MONTH(L140)-MONTH(K140)+1),"0")&amp;" months - see Deferred Revenue"))</f>
        <v/>
      </c>
      <c r="N140" s="26" t="n"/>
      <c r="O140" s="24" t="n"/>
      <c r="P140" s="25">
        <f>IF(N(N140)=0,"",IF(N140&gt;0,set_WIPAsset,IF(J140="Cost",IF(O140="","(set the P&amp;L Account)",O140),IF(O140="",set_WIPIncome,O140))))</f>
        <v/>
      </c>
      <c r="Q140" s="25">
        <f>IF(N(N140)=0,"",IF(N140&gt;0,IF(J140="Cost",IF(O140="","(set the P&amp;L Account)",O140),IF(O140="",set_WIPIncome,O140)),set_WIPAsset))</f>
        <v/>
      </c>
      <c r="R140" s="27">
        <f>IF(OR(N(N140)=0,K140&lt;&gt;""),"",ABS(N140))</f>
        <v/>
      </c>
      <c r="S140" s="25">
        <f>IF(N(N140)=0,"",IF(K140&lt;&gt;"","spreads monthly - see Deferred Revenue","WIP "&amp;I140&amp;IF(D140="",""," - "&amp;D140)&amp;IF(F140="",""," "&amp;F140)&amp;IF(H140="",""," - "&amp;H140)))</f>
        <v/>
      </c>
      <c r="T140" s="24" t="n"/>
      <c r="U140" s="24" t="n"/>
      <c r="V140" s="24" t="n"/>
    </row>
    <row r="141" ht="15" customHeight="1">
      <c r="A141" s="70" t="n"/>
      <c r="B141" s="68">
        <f>IF(C141="","",IFERROR(INDEX(tbl_Finance[Date],MATCH(C141&amp;"",tbl_Finance[Xero Invoice No],0)),""))</f>
        <v/>
      </c>
      <c r="C141" s="24" t="n"/>
      <c r="D141" s="24" t="n"/>
      <c r="E141" s="25">
        <f>IF(D141="","",IF(COUNTIF(lst_Jobs,D141&amp;"")&gt;0,"OK","CHECK"))</f>
        <v/>
      </c>
      <c r="F141" s="24" t="n"/>
      <c r="G141" s="24" t="n"/>
      <c r="H141" s="24" t="n"/>
      <c r="I141" s="24" t="n"/>
      <c r="J141" s="24" t="n"/>
      <c r="K141" s="22" t="n"/>
      <c r="L141" s="22" t="n"/>
      <c r="M141" s="25">
        <f>IF(N141="","",IF(OR(K141="",L141=""),"one month",TEXT(MAX(1,(YEAR(L141)-YEAR(K141))*12+MONTH(L141)-MONTH(K141)+1),"0")&amp;" months - see Deferred Revenue"))</f>
        <v/>
      </c>
      <c r="N141" s="26" t="n"/>
      <c r="O141" s="24" t="n"/>
      <c r="P141" s="25">
        <f>IF(N(N141)=0,"",IF(N141&gt;0,set_WIPAsset,IF(J141="Cost",IF(O141="","(set the P&amp;L Account)",O141),IF(O141="",set_WIPIncome,O141))))</f>
        <v/>
      </c>
      <c r="Q141" s="25">
        <f>IF(N(N141)=0,"",IF(N141&gt;0,IF(J141="Cost",IF(O141="","(set the P&amp;L Account)",O141),IF(O141="",set_WIPIncome,O141)),set_WIPAsset))</f>
        <v/>
      </c>
      <c r="R141" s="27">
        <f>IF(OR(N(N141)=0,K141&lt;&gt;""),"",ABS(N141))</f>
        <v/>
      </c>
      <c r="S141" s="25">
        <f>IF(N(N141)=0,"",IF(K141&lt;&gt;"","spreads monthly - see Deferred Revenue","WIP "&amp;I141&amp;IF(D141="",""," - "&amp;D141)&amp;IF(F141="",""," "&amp;F141)&amp;IF(H141="",""," - "&amp;H141)))</f>
        <v/>
      </c>
      <c r="T141" s="24" t="n"/>
      <c r="U141" s="24" t="n"/>
      <c r="V141" s="24" t="n"/>
    </row>
    <row r="142" ht="15" customHeight="1">
      <c r="A142" s="70" t="n"/>
      <c r="B142" s="68">
        <f>IF(C142="","",IFERROR(INDEX(tbl_Finance[Date],MATCH(C142&amp;"",tbl_Finance[Xero Invoice No],0)),""))</f>
        <v/>
      </c>
      <c r="C142" s="24" t="n"/>
      <c r="D142" s="24" t="n"/>
      <c r="E142" s="25">
        <f>IF(D142="","",IF(COUNTIF(lst_Jobs,D142&amp;"")&gt;0,"OK","CHECK"))</f>
        <v/>
      </c>
      <c r="F142" s="24" t="n"/>
      <c r="G142" s="24" t="n"/>
      <c r="H142" s="24" t="n"/>
      <c r="I142" s="24" t="n"/>
      <c r="J142" s="24" t="n"/>
      <c r="K142" s="22" t="n"/>
      <c r="L142" s="22" t="n"/>
      <c r="M142" s="25">
        <f>IF(N142="","",IF(OR(K142="",L142=""),"one month",TEXT(MAX(1,(YEAR(L142)-YEAR(K142))*12+MONTH(L142)-MONTH(K142)+1),"0")&amp;" months - see Deferred Revenue"))</f>
        <v/>
      </c>
      <c r="N142" s="26" t="n"/>
      <c r="O142" s="24" t="n"/>
      <c r="P142" s="25">
        <f>IF(N(N142)=0,"",IF(N142&gt;0,set_WIPAsset,IF(J142="Cost",IF(O142="","(set the P&amp;L Account)",O142),IF(O142="",set_WIPIncome,O142))))</f>
        <v/>
      </c>
      <c r="Q142" s="25">
        <f>IF(N(N142)=0,"",IF(N142&gt;0,IF(J142="Cost",IF(O142="","(set the P&amp;L Account)",O142),IF(O142="",set_WIPIncome,O142)),set_WIPAsset))</f>
        <v/>
      </c>
      <c r="R142" s="27">
        <f>IF(OR(N(N142)=0,K142&lt;&gt;""),"",ABS(N142))</f>
        <v/>
      </c>
      <c r="S142" s="25">
        <f>IF(N(N142)=0,"",IF(K142&lt;&gt;"","spreads monthly - see Deferred Revenue","WIP "&amp;I142&amp;IF(D142="",""," - "&amp;D142)&amp;IF(F142="",""," "&amp;F142)&amp;IF(H142="",""," - "&amp;H142)))</f>
        <v/>
      </c>
      <c r="T142" s="24" t="n"/>
      <c r="U142" s="24" t="n"/>
      <c r="V142" s="24" t="n"/>
    </row>
    <row r="143" ht="15" customHeight="1">
      <c r="A143" s="70" t="n"/>
      <c r="B143" s="68">
        <f>IF(C143="","",IFERROR(INDEX(tbl_Finance[Date],MATCH(C143&amp;"",tbl_Finance[Xero Invoice No],0)),""))</f>
        <v/>
      </c>
      <c r="C143" s="24" t="n"/>
      <c r="D143" s="24" t="n"/>
      <c r="E143" s="25">
        <f>IF(D143="","",IF(COUNTIF(lst_Jobs,D143&amp;"")&gt;0,"OK","CHECK"))</f>
        <v/>
      </c>
      <c r="F143" s="24" t="n"/>
      <c r="G143" s="24" t="n"/>
      <c r="H143" s="24" t="n"/>
      <c r="I143" s="24" t="n"/>
      <c r="J143" s="24" t="n"/>
      <c r="K143" s="22" t="n"/>
      <c r="L143" s="22" t="n"/>
      <c r="M143" s="25">
        <f>IF(N143="","",IF(OR(K143="",L143=""),"one month",TEXT(MAX(1,(YEAR(L143)-YEAR(K143))*12+MONTH(L143)-MONTH(K143)+1),"0")&amp;" months - see Deferred Revenue"))</f>
        <v/>
      </c>
      <c r="N143" s="26" t="n"/>
      <c r="O143" s="24" t="n"/>
      <c r="P143" s="25">
        <f>IF(N(N143)=0,"",IF(N143&gt;0,set_WIPAsset,IF(J143="Cost",IF(O143="","(set the P&amp;L Account)",O143),IF(O143="",set_WIPIncome,O143))))</f>
        <v/>
      </c>
      <c r="Q143" s="25">
        <f>IF(N(N143)=0,"",IF(N143&gt;0,IF(J143="Cost",IF(O143="","(set the P&amp;L Account)",O143),IF(O143="",set_WIPIncome,O143)),set_WIPAsset))</f>
        <v/>
      </c>
      <c r="R143" s="27">
        <f>IF(OR(N(N143)=0,K143&lt;&gt;""),"",ABS(N143))</f>
        <v/>
      </c>
      <c r="S143" s="25">
        <f>IF(N(N143)=0,"",IF(K143&lt;&gt;"","spreads monthly - see Deferred Revenue","WIP "&amp;I143&amp;IF(D143="",""," - "&amp;D143)&amp;IF(F143="",""," "&amp;F143)&amp;IF(H143="",""," - "&amp;H143)))</f>
        <v/>
      </c>
      <c r="T143" s="24" t="n"/>
      <c r="U143" s="24" t="n"/>
      <c r="V143" s="24" t="n"/>
    </row>
    <row r="144" ht="15" customHeight="1">
      <c r="A144" s="70" t="n"/>
      <c r="B144" s="68">
        <f>IF(C144="","",IFERROR(INDEX(tbl_Finance[Date],MATCH(C144&amp;"",tbl_Finance[Xero Invoice No],0)),""))</f>
        <v/>
      </c>
      <c r="C144" s="24" t="n"/>
      <c r="D144" s="24" t="n"/>
      <c r="E144" s="25">
        <f>IF(D144="","",IF(COUNTIF(lst_Jobs,D144&amp;"")&gt;0,"OK","CHECK"))</f>
        <v/>
      </c>
      <c r="F144" s="24" t="n"/>
      <c r="G144" s="24" t="n"/>
      <c r="H144" s="24" t="n"/>
      <c r="I144" s="24" t="n"/>
      <c r="J144" s="24" t="n"/>
      <c r="K144" s="22" t="n"/>
      <c r="L144" s="22" t="n"/>
      <c r="M144" s="25">
        <f>IF(N144="","",IF(OR(K144="",L144=""),"one month",TEXT(MAX(1,(YEAR(L144)-YEAR(K144))*12+MONTH(L144)-MONTH(K144)+1),"0")&amp;" months - see Deferred Revenue"))</f>
        <v/>
      </c>
      <c r="N144" s="26" t="n"/>
      <c r="O144" s="24" t="n"/>
      <c r="P144" s="25">
        <f>IF(N(N144)=0,"",IF(N144&gt;0,set_WIPAsset,IF(J144="Cost",IF(O144="","(set the P&amp;L Account)",O144),IF(O144="",set_WIPIncome,O144))))</f>
        <v/>
      </c>
      <c r="Q144" s="25">
        <f>IF(N(N144)=0,"",IF(N144&gt;0,IF(J144="Cost",IF(O144="","(set the P&amp;L Account)",O144),IF(O144="",set_WIPIncome,O144)),set_WIPAsset))</f>
        <v/>
      </c>
      <c r="R144" s="27">
        <f>IF(OR(N(N144)=0,K144&lt;&gt;""),"",ABS(N144))</f>
        <v/>
      </c>
      <c r="S144" s="25">
        <f>IF(N(N144)=0,"",IF(K144&lt;&gt;"","spreads monthly - see Deferred Revenue","WIP "&amp;I144&amp;IF(D144="",""," - "&amp;D144)&amp;IF(F144="",""," "&amp;F144)&amp;IF(H144="",""," - "&amp;H144)))</f>
        <v/>
      </c>
      <c r="T144" s="24" t="n"/>
      <c r="U144" s="24" t="n"/>
      <c r="V144" s="24" t="n"/>
    </row>
    <row r="145" ht="15" customHeight="1">
      <c r="A145" s="70" t="n"/>
      <c r="B145" s="68">
        <f>IF(C145="","",IFERROR(INDEX(tbl_Finance[Date],MATCH(C145&amp;"",tbl_Finance[Xero Invoice No],0)),""))</f>
        <v/>
      </c>
      <c r="C145" s="24" t="n"/>
      <c r="D145" s="24" t="n"/>
      <c r="E145" s="25">
        <f>IF(D145="","",IF(COUNTIF(lst_Jobs,D145&amp;"")&gt;0,"OK","CHECK"))</f>
        <v/>
      </c>
      <c r="F145" s="24" t="n"/>
      <c r="G145" s="24" t="n"/>
      <c r="H145" s="24" t="n"/>
      <c r="I145" s="24" t="n"/>
      <c r="J145" s="24" t="n"/>
      <c r="K145" s="22" t="n"/>
      <c r="L145" s="22" t="n"/>
      <c r="M145" s="25">
        <f>IF(N145="","",IF(OR(K145="",L145=""),"one month",TEXT(MAX(1,(YEAR(L145)-YEAR(K145))*12+MONTH(L145)-MONTH(K145)+1),"0")&amp;" months - see Deferred Revenue"))</f>
        <v/>
      </c>
      <c r="N145" s="26" t="n"/>
      <c r="O145" s="24" t="n"/>
      <c r="P145" s="25">
        <f>IF(N(N145)=0,"",IF(N145&gt;0,set_WIPAsset,IF(J145="Cost",IF(O145="","(set the P&amp;L Account)",O145),IF(O145="",set_WIPIncome,O145))))</f>
        <v/>
      </c>
      <c r="Q145" s="25">
        <f>IF(N(N145)=0,"",IF(N145&gt;0,IF(J145="Cost",IF(O145="","(set the P&amp;L Account)",O145),IF(O145="",set_WIPIncome,O145)),set_WIPAsset))</f>
        <v/>
      </c>
      <c r="R145" s="27">
        <f>IF(OR(N(N145)=0,K145&lt;&gt;""),"",ABS(N145))</f>
        <v/>
      </c>
      <c r="S145" s="25">
        <f>IF(N(N145)=0,"",IF(K145&lt;&gt;"","spreads monthly - see Deferred Revenue","WIP "&amp;I145&amp;IF(D145="",""," - "&amp;D145)&amp;IF(F145="",""," "&amp;F145)&amp;IF(H145="",""," - "&amp;H145)))</f>
        <v/>
      </c>
      <c r="T145" s="24" t="n"/>
      <c r="U145" s="24" t="n"/>
      <c r="V145" s="24" t="n"/>
    </row>
    <row r="146" ht="15" customHeight="1">
      <c r="A146" s="70" t="n"/>
      <c r="B146" s="68">
        <f>IF(C146="","",IFERROR(INDEX(tbl_Finance[Date],MATCH(C146&amp;"",tbl_Finance[Xero Invoice No],0)),""))</f>
        <v/>
      </c>
      <c r="C146" s="24" t="n"/>
      <c r="D146" s="24" t="n"/>
      <c r="E146" s="25">
        <f>IF(D146="","",IF(COUNTIF(lst_Jobs,D146&amp;"")&gt;0,"OK","CHECK"))</f>
        <v/>
      </c>
      <c r="F146" s="24" t="n"/>
      <c r="G146" s="24" t="n"/>
      <c r="H146" s="24" t="n"/>
      <c r="I146" s="24" t="n"/>
      <c r="J146" s="24" t="n"/>
      <c r="K146" s="22" t="n"/>
      <c r="L146" s="22" t="n"/>
      <c r="M146" s="25">
        <f>IF(N146="","",IF(OR(K146="",L146=""),"one month",TEXT(MAX(1,(YEAR(L146)-YEAR(K146))*12+MONTH(L146)-MONTH(K146)+1),"0")&amp;" months - see Deferred Revenue"))</f>
        <v/>
      </c>
      <c r="N146" s="26" t="n"/>
      <c r="O146" s="24" t="n"/>
      <c r="P146" s="25">
        <f>IF(N(N146)=0,"",IF(N146&gt;0,set_WIPAsset,IF(J146="Cost",IF(O146="","(set the P&amp;L Account)",O146),IF(O146="",set_WIPIncome,O146))))</f>
        <v/>
      </c>
      <c r="Q146" s="25">
        <f>IF(N(N146)=0,"",IF(N146&gt;0,IF(J146="Cost",IF(O146="","(set the P&amp;L Account)",O146),IF(O146="",set_WIPIncome,O146)),set_WIPAsset))</f>
        <v/>
      </c>
      <c r="R146" s="27">
        <f>IF(OR(N(N146)=0,K146&lt;&gt;""),"",ABS(N146))</f>
        <v/>
      </c>
      <c r="S146" s="25">
        <f>IF(N(N146)=0,"",IF(K146&lt;&gt;"","spreads monthly - see Deferred Revenue","WIP "&amp;I146&amp;IF(D146="",""," - "&amp;D146)&amp;IF(F146="",""," "&amp;F146)&amp;IF(H146="",""," - "&amp;H146)))</f>
        <v/>
      </c>
      <c r="T146" s="24" t="n"/>
      <c r="U146" s="24" t="n"/>
      <c r="V146" s="24" t="n"/>
    </row>
    <row r="147" ht="15" customHeight="1">
      <c r="A147" s="70" t="n"/>
      <c r="B147" s="68">
        <f>IF(C147="","",IFERROR(INDEX(tbl_Finance[Date],MATCH(C147&amp;"",tbl_Finance[Xero Invoice No],0)),""))</f>
        <v/>
      </c>
      <c r="C147" s="24" t="n"/>
      <c r="D147" s="24" t="n"/>
      <c r="E147" s="25">
        <f>IF(D147="","",IF(COUNTIF(lst_Jobs,D147&amp;"")&gt;0,"OK","CHECK"))</f>
        <v/>
      </c>
      <c r="F147" s="24" t="n"/>
      <c r="G147" s="24" t="n"/>
      <c r="H147" s="24" t="n"/>
      <c r="I147" s="24" t="n"/>
      <c r="J147" s="24" t="n"/>
      <c r="K147" s="22" t="n"/>
      <c r="L147" s="22" t="n"/>
      <c r="M147" s="25">
        <f>IF(N147="","",IF(OR(K147="",L147=""),"one month",TEXT(MAX(1,(YEAR(L147)-YEAR(K147))*12+MONTH(L147)-MONTH(K147)+1),"0")&amp;" months - see Deferred Revenue"))</f>
        <v/>
      </c>
      <c r="N147" s="26" t="n"/>
      <c r="O147" s="24" t="n"/>
      <c r="P147" s="25">
        <f>IF(N(N147)=0,"",IF(N147&gt;0,set_WIPAsset,IF(J147="Cost",IF(O147="","(set the P&amp;L Account)",O147),IF(O147="",set_WIPIncome,O147))))</f>
        <v/>
      </c>
      <c r="Q147" s="25">
        <f>IF(N(N147)=0,"",IF(N147&gt;0,IF(J147="Cost",IF(O147="","(set the P&amp;L Account)",O147),IF(O147="",set_WIPIncome,O147)),set_WIPAsset))</f>
        <v/>
      </c>
      <c r="R147" s="27">
        <f>IF(OR(N(N147)=0,K147&lt;&gt;""),"",ABS(N147))</f>
        <v/>
      </c>
      <c r="S147" s="25">
        <f>IF(N(N147)=0,"",IF(K147&lt;&gt;"","spreads monthly - see Deferred Revenue","WIP "&amp;I147&amp;IF(D147="",""," - "&amp;D147)&amp;IF(F147="",""," "&amp;F147)&amp;IF(H147="",""," - "&amp;H147)))</f>
        <v/>
      </c>
      <c r="T147" s="24" t="n"/>
      <c r="U147" s="24" t="n"/>
      <c r="V147" s="24" t="n"/>
    </row>
    <row r="148" ht="15" customHeight="1">
      <c r="A148" s="70" t="n"/>
      <c r="B148" s="68">
        <f>IF(C148="","",IFERROR(INDEX(tbl_Finance[Date],MATCH(C148&amp;"",tbl_Finance[Xero Invoice No],0)),""))</f>
        <v/>
      </c>
      <c r="C148" s="24" t="n"/>
      <c r="D148" s="24" t="n"/>
      <c r="E148" s="25">
        <f>IF(D148="","",IF(COUNTIF(lst_Jobs,D148&amp;"")&gt;0,"OK","CHECK"))</f>
        <v/>
      </c>
      <c r="F148" s="24" t="n"/>
      <c r="G148" s="24" t="n"/>
      <c r="H148" s="24" t="n"/>
      <c r="I148" s="24" t="n"/>
      <c r="J148" s="24" t="n"/>
      <c r="K148" s="22" t="n"/>
      <c r="L148" s="22" t="n"/>
      <c r="M148" s="25">
        <f>IF(N148="","",IF(OR(K148="",L148=""),"one month",TEXT(MAX(1,(YEAR(L148)-YEAR(K148))*12+MONTH(L148)-MONTH(K148)+1),"0")&amp;" months - see Deferred Revenue"))</f>
        <v/>
      </c>
      <c r="N148" s="26" t="n"/>
      <c r="O148" s="24" t="n"/>
      <c r="P148" s="25">
        <f>IF(N(N148)=0,"",IF(N148&gt;0,set_WIPAsset,IF(J148="Cost",IF(O148="","(set the P&amp;L Account)",O148),IF(O148="",set_WIPIncome,O148))))</f>
        <v/>
      </c>
      <c r="Q148" s="25">
        <f>IF(N(N148)=0,"",IF(N148&gt;0,IF(J148="Cost",IF(O148="","(set the P&amp;L Account)",O148),IF(O148="",set_WIPIncome,O148)),set_WIPAsset))</f>
        <v/>
      </c>
      <c r="R148" s="27">
        <f>IF(OR(N(N148)=0,K148&lt;&gt;""),"",ABS(N148))</f>
        <v/>
      </c>
      <c r="S148" s="25">
        <f>IF(N(N148)=0,"",IF(K148&lt;&gt;"","spreads monthly - see Deferred Revenue","WIP "&amp;I148&amp;IF(D148="",""," - "&amp;D148)&amp;IF(F148="",""," "&amp;F148)&amp;IF(H148="",""," - "&amp;H148)))</f>
        <v/>
      </c>
      <c r="T148" s="24" t="n"/>
      <c r="U148" s="24" t="n"/>
      <c r="V148" s="24" t="n"/>
    </row>
    <row r="149" ht="15" customHeight="1">
      <c r="A149" s="70" t="n"/>
      <c r="B149" s="68">
        <f>IF(C149="","",IFERROR(INDEX(tbl_Finance[Date],MATCH(C149&amp;"",tbl_Finance[Xero Invoice No],0)),""))</f>
        <v/>
      </c>
      <c r="C149" s="24" t="n"/>
      <c r="D149" s="24" t="n"/>
      <c r="E149" s="25">
        <f>IF(D149="","",IF(COUNTIF(lst_Jobs,D149&amp;"")&gt;0,"OK","CHECK"))</f>
        <v/>
      </c>
      <c r="F149" s="24" t="n"/>
      <c r="G149" s="24" t="n"/>
      <c r="H149" s="24" t="n"/>
      <c r="I149" s="24" t="n"/>
      <c r="J149" s="24" t="n"/>
      <c r="K149" s="22" t="n"/>
      <c r="L149" s="22" t="n"/>
      <c r="M149" s="25">
        <f>IF(N149="","",IF(OR(K149="",L149=""),"one month",TEXT(MAX(1,(YEAR(L149)-YEAR(K149))*12+MONTH(L149)-MONTH(K149)+1),"0")&amp;" months - see Deferred Revenue"))</f>
        <v/>
      </c>
      <c r="N149" s="26" t="n"/>
      <c r="O149" s="24" t="n"/>
      <c r="P149" s="25">
        <f>IF(N(N149)=0,"",IF(N149&gt;0,set_WIPAsset,IF(J149="Cost",IF(O149="","(set the P&amp;L Account)",O149),IF(O149="",set_WIPIncome,O149))))</f>
        <v/>
      </c>
      <c r="Q149" s="25">
        <f>IF(N(N149)=0,"",IF(N149&gt;0,IF(J149="Cost",IF(O149="","(set the P&amp;L Account)",O149),IF(O149="",set_WIPIncome,O149)),set_WIPAsset))</f>
        <v/>
      </c>
      <c r="R149" s="27">
        <f>IF(OR(N(N149)=0,K149&lt;&gt;""),"",ABS(N149))</f>
        <v/>
      </c>
      <c r="S149" s="25">
        <f>IF(N(N149)=0,"",IF(K149&lt;&gt;"","spreads monthly - see Deferred Revenue","WIP "&amp;I149&amp;IF(D149="",""," - "&amp;D149)&amp;IF(F149="",""," "&amp;F149)&amp;IF(H149="",""," - "&amp;H149)))</f>
        <v/>
      </c>
      <c r="T149" s="24" t="n"/>
      <c r="U149" s="24" t="n"/>
      <c r="V149" s="24" t="n"/>
    </row>
    <row r="150" ht="15" customHeight="1">
      <c r="A150" s="70" t="n"/>
      <c r="B150" s="68">
        <f>IF(C150="","",IFERROR(INDEX(tbl_Finance[Date],MATCH(C150&amp;"",tbl_Finance[Xero Invoice No],0)),""))</f>
        <v/>
      </c>
      <c r="C150" s="24" t="n"/>
      <c r="D150" s="24" t="n"/>
      <c r="E150" s="25">
        <f>IF(D150="","",IF(COUNTIF(lst_Jobs,D150&amp;"")&gt;0,"OK","CHECK"))</f>
        <v/>
      </c>
      <c r="F150" s="24" t="n"/>
      <c r="G150" s="24" t="n"/>
      <c r="H150" s="24" t="n"/>
      <c r="I150" s="24" t="n"/>
      <c r="J150" s="24" t="n"/>
      <c r="K150" s="22" t="n"/>
      <c r="L150" s="22" t="n"/>
      <c r="M150" s="25">
        <f>IF(N150="","",IF(OR(K150="",L150=""),"one month",TEXT(MAX(1,(YEAR(L150)-YEAR(K150))*12+MONTH(L150)-MONTH(K150)+1),"0")&amp;" months - see Deferred Revenue"))</f>
        <v/>
      </c>
      <c r="N150" s="26" t="n"/>
      <c r="O150" s="24" t="n"/>
      <c r="P150" s="25">
        <f>IF(N(N150)=0,"",IF(N150&gt;0,set_WIPAsset,IF(J150="Cost",IF(O150="","(set the P&amp;L Account)",O150),IF(O150="",set_WIPIncome,O150))))</f>
        <v/>
      </c>
      <c r="Q150" s="25">
        <f>IF(N(N150)=0,"",IF(N150&gt;0,IF(J150="Cost",IF(O150="","(set the P&amp;L Account)",O150),IF(O150="",set_WIPIncome,O150)),set_WIPAsset))</f>
        <v/>
      </c>
      <c r="R150" s="27">
        <f>IF(OR(N(N150)=0,K150&lt;&gt;""),"",ABS(N150))</f>
        <v/>
      </c>
      <c r="S150" s="25">
        <f>IF(N(N150)=0,"",IF(K150&lt;&gt;"","spreads monthly - see Deferred Revenue","WIP "&amp;I150&amp;IF(D150="",""," - "&amp;D150)&amp;IF(F150="",""," "&amp;F150)&amp;IF(H150="",""," - "&amp;H150)))</f>
        <v/>
      </c>
      <c r="T150" s="24" t="n"/>
      <c r="U150" s="24" t="n"/>
      <c r="V150" s="24" t="n"/>
    </row>
    <row r="151" ht="15" customHeight="1">
      <c r="A151" s="70" t="n"/>
      <c r="B151" s="68">
        <f>IF(C151="","",IFERROR(INDEX(tbl_Finance[Date],MATCH(C151&amp;"",tbl_Finance[Xero Invoice No],0)),""))</f>
        <v/>
      </c>
      <c r="C151" s="24" t="n"/>
      <c r="D151" s="24" t="n"/>
      <c r="E151" s="25">
        <f>IF(D151="","",IF(COUNTIF(lst_Jobs,D151&amp;"")&gt;0,"OK","CHECK"))</f>
        <v/>
      </c>
      <c r="F151" s="24" t="n"/>
      <c r="G151" s="24" t="n"/>
      <c r="H151" s="24" t="n"/>
      <c r="I151" s="24" t="n"/>
      <c r="J151" s="24" t="n"/>
      <c r="K151" s="22" t="n"/>
      <c r="L151" s="22" t="n"/>
      <c r="M151" s="25">
        <f>IF(N151="","",IF(OR(K151="",L151=""),"one month",TEXT(MAX(1,(YEAR(L151)-YEAR(K151))*12+MONTH(L151)-MONTH(K151)+1),"0")&amp;" months - see Deferred Revenue"))</f>
        <v/>
      </c>
      <c r="N151" s="26" t="n"/>
      <c r="O151" s="24" t="n"/>
      <c r="P151" s="25">
        <f>IF(N(N151)=0,"",IF(N151&gt;0,set_WIPAsset,IF(J151="Cost",IF(O151="","(set the P&amp;L Account)",O151),IF(O151="",set_WIPIncome,O151))))</f>
        <v/>
      </c>
      <c r="Q151" s="25">
        <f>IF(N(N151)=0,"",IF(N151&gt;0,IF(J151="Cost",IF(O151="","(set the P&amp;L Account)",O151),IF(O151="",set_WIPIncome,O151)),set_WIPAsset))</f>
        <v/>
      </c>
      <c r="R151" s="27">
        <f>IF(OR(N(N151)=0,K151&lt;&gt;""),"",ABS(N151))</f>
        <v/>
      </c>
      <c r="S151" s="25">
        <f>IF(N(N151)=0,"",IF(K151&lt;&gt;"","spreads monthly - see Deferred Revenue","WIP "&amp;I151&amp;IF(D151="",""," - "&amp;D151)&amp;IF(F151="",""," "&amp;F151)&amp;IF(H151="",""," - "&amp;H151)))</f>
        <v/>
      </c>
      <c r="T151" s="24" t="n"/>
      <c r="U151" s="24" t="n"/>
      <c r="V151" s="24" t="n"/>
    </row>
    <row r="152" ht="15" customHeight="1">
      <c r="A152" s="70" t="n"/>
      <c r="B152" s="68">
        <f>IF(C152="","",IFERROR(INDEX(tbl_Finance[Date],MATCH(C152&amp;"",tbl_Finance[Xero Invoice No],0)),""))</f>
        <v/>
      </c>
      <c r="C152" s="24" t="n"/>
      <c r="D152" s="24" t="n"/>
      <c r="E152" s="25">
        <f>IF(D152="","",IF(COUNTIF(lst_Jobs,D152&amp;"")&gt;0,"OK","CHECK"))</f>
        <v/>
      </c>
      <c r="F152" s="24" t="n"/>
      <c r="G152" s="24" t="n"/>
      <c r="H152" s="24" t="n"/>
      <c r="I152" s="24" t="n"/>
      <c r="J152" s="24" t="n"/>
      <c r="K152" s="22" t="n"/>
      <c r="L152" s="22" t="n"/>
      <c r="M152" s="25">
        <f>IF(N152="","",IF(OR(K152="",L152=""),"one month",TEXT(MAX(1,(YEAR(L152)-YEAR(K152))*12+MONTH(L152)-MONTH(K152)+1),"0")&amp;" months - see Deferred Revenue"))</f>
        <v/>
      </c>
      <c r="N152" s="26" t="n"/>
      <c r="O152" s="24" t="n"/>
      <c r="P152" s="25">
        <f>IF(N(N152)=0,"",IF(N152&gt;0,set_WIPAsset,IF(J152="Cost",IF(O152="","(set the P&amp;L Account)",O152),IF(O152="",set_WIPIncome,O152))))</f>
        <v/>
      </c>
      <c r="Q152" s="25">
        <f>IF(N(N152)=0,"",IF(N152&gt;0,IF(J152="Cost",IF(O152="","(set the P&amp;L Account)",O152),IF(O152="",set_WIPIncome,O152)),set_WIPAsset))</f>
        <v/>
      </c>
      <c r="R152" s="27">
        <f>IF(OR(N(N152)=0,K152&lt;&gt;""),"",ABS(N152))</f>
        <v/>
      </c>
      <c r="S152" s="25">
        <f>IF(N(N152)=0,"",IF(K152&lt;&gt;"","spreads monthly - see Deferred Revenue","WIP "&amp;I152&amp;IF(D152="",""," - "&amp;D152)&amp;IF(F152="",""," "&amp;F152)&amp;IF(H152="",""," - "&amp;H152)))</f>
        <v/>
      </c>
      <c r="T152" s="24" t="n"/>
      <c r="U152" s="24" t="n"/>
      <c r="V152" s="24" t="n"/>
    </row>
    <row r="153" ht="15" customHeight="1">
      <c r="A153" s="70" t="n"/>
      <c r="B153" s="68">
        <f>IF(C153="","",IFERROR(INDEX(tbl_Finance[Date],MATCH(C153&amp;"",tbl_Finance[Xero Invoice No],0)),""))</f>
        <v/>
      </c>
      <c r="C153" s="24" t="n"/>
      <c r="D153" s="24" t="n"/>
      <c r="E153" s="25">
        <f>IF(D153="","",IF(COUNTIF(lst_Jobs,D153&amp;"")&gt;0,"OK","CHECK"))</f>
        <v/>
      </c>
      <c r="F153" s="24" t="n"/>
      <c r="G153" s="24" t="n"/>
      <c r="H153" s="24" t="n"/>
      <c r="I153" s="24" t="n"/>
      <c r="J153" s="24" t="n"/>
      <c r="K153" s="22" t="n"/>
      <c r="L153" s="22" t="n"/>
      <c r="M153" s="25">
        <f>IF(N153="","",IF(OR(K153="",L153=""),"one month",TEXT(MAX(1,(YEAR(L153)-YEAR(K153))*12+MONTH(L153)-MONTH(K153)+1),"0")&amp;" months - see Deferred Revenue"))</f>
        <v/>
      </c>
      <c r="N153" s="26" t="n"/>
      <c r="O153" s="24" t="n"/>
      <c r="P153" s="25">
        <f>IF(N(N153)=0,"",IF(N153&gt;0,set_WIPAsset,IF(J153="Cost",IF(O153="","(set the P&amp;L Account)",O153),IF(O153="",set_WIPIncome,O153))))</f>
        <v/>
      </c>
      <c r="Q153" s="25">
        <f>IF(N(N153)=0,"",IF(N153&gt;0,IF(J153="Cost",IF(O153="","(set the P&amp;L Account)",O153),IF(O153="",set_WIPIncome,O153)),set_WIPAsset))</f>
        <v/>
      </c>
      <c r="R153" s="27">
        <f>IF(OR(N(N153)=0,K153&lt;&gt;""),"",ABS(N153))</f>
        <v/>
      </c>
      <c r="S153" s="25">
        <f>IF(N(N153)=0,"",IF(K153&lt;&gt;"","spreads monthly - see Deferred Revenue","WIP "&amp;I153&amp;IF(D153="",""," - "&amp;D153)&amp;IF(F153="",""," "&amp;F153)&amp;IF(H153="",""," - "&amp;H153)))</f>
        <v/>
      </c>
      <c r="T153" s="24" t="n"/>
      <c r="U153" s="24" t="n"/>
      <c r="V153" s="24" t="n"/>
    </row>
    <row r="154" ht="15" customHeight="1">
      <c r="A154" s="70" t="n"/>
      <c r="B154" s="68">
        <f>IF(C154="","",IFERROR(INDEX(tbl_Finance[Date],MATCH(C154&amp;"",tbl_Finance[Xero Invoice No],0)),""))</f>
        <v/>
      </c>
      <c r="C154" s="24" t="n"/>
      <c r="D154" s="24" t="n"/>
      <c r="E154" s="25">
        <f>IF(D154="","",IF(COUNTIF(lst_Jobs,D154&amp;"")&gt;0,"OK","CHECK"))</f>
        <v/>
      </c>
      <c r="F154" s="24" t="n"/>
      <c r="G154" s="24" t="n"/>
      <c r="H154" s="24" t="n"/>
      <c r="I154" s="24" t="n"/>
      <c r="J154" s="24" t="n"/>
      <c r="K154" s="22" t="n"/>
      <c r="L154" s="22" t="n"/>
      <c r="M154" s="25">
        <f>IF(N154="","",IF(OR(K154="",L154=""),"one month",TEXT(MAX(1,(YEAR(L154)-YEAR(K154))*12+MONTH(L154)-MONTH(K154)+1),"0")&amp;" months - see Deferred Revenue"))</f>
        <v/>
      </c>
      <c r="N154" s="26" t="n"/>
      <c r="O154" s="24" t="n"/>
      <c r="P154" s="25">
        <f>IF(N(N154)=0,"",IF(N154&gt;0,set_WIPAsset,IF(J154="Cost",IF(O154="","(set the P&amp;L Account)",O154),IF(O154="",set_WIPIncome,O154))))</f>
        <v/>
      </c>
      <c r="Q154" s="25">
        <f>IF(N(N154)=0,"",IF(N154&gt;0,IF(J154="Cost",IF(O154="","(set the P&amp;L Account)",O154),IF(O154="",set_WIPIncome,O154)),set_WIPAsset))</f>
        <v/>
      </c>
      <c r="R154" s="27">
        <f>IF(OR(N(N154)=0,K154&lt;&gt;""),"",ABS(N154))</f>
        <v/>
      </c>
      <c r="S154" s="25">
        <f>IF(N(N154)=0,"",IF(K154&lt;&gt;"","spreads monthly - see Deferred Revenue","WIP "&amp;I154&amp;IF(D154="",""," - "&amp;D154)&amp;IF(F154="",""," "&amp;F154)&amp;IF(H154="",""," - "&amp;H154)))</f>
        <v/>
      </c>
      <c r="T154" s="24" t="n"/>
      <c r="U154" s="24" t="n"/>
      <c r="V154" s="24" t="n"/>
    </row>
    <row r="155" ht="15" customHeight="1">
      <c r="A155" s="70" t="n"/>
      <c r="B155" s="68">
        <f>IF(C155="","",IFERROR(INDEX(tbl_Finance[Date],MATCH(C155&amp;"",tbl_Finance[Xero Invoice No],0)),""))</f>
        <v/>
      </c>
      <c r="C155" s="24" t="n"/>
      <c r="D155" s="24" t="n"/>
      <c r="E155" s="25">
        <f>IF(D155="","",IF(COUNTIF(lst_Jobs,D155&amp;"")&gt;0,"OK","CHECK"))</f>
        <v/>
      </c>
      <c r="F155" s="24" t="n"/>
      <c r="G155" s="24" t="n"/>
      <c r="H155" s="24" t="n"/>
      <c r="I155" s="24" t="n"/>
      <c r="J155" s="24" t="n"/>
      <c r="K155" s="22" t="n"/>
      <c r="L155" s="22" t="n"/>
      <c r="M155" s="25">
        <f>IF(N155="","",IF(OR(K155="",L155=""),"one month",TEXT(MAX(1,(YEAR(L155)-YEAR(K155))*12+MONTH(L155)-MONTH(K155)+1),"0")&amp;" months - see Deferred Revenue"))</f>
        <v/>
      </c>
      <c r="N155" s="26" t="n"/>
      <c r="O155" s="24" t="n"/>
      <c r="P155" s="25">
        <f>IF(N(N155)=0,"",IF(N155&gt;0,set_WIPAsset,IF(J155="Cost",IF(O155="","(set the P&amp;L Account)",O155),IF(O155="",set_WIPIncome,O155))))</f>
        <v/>
      </c>
      <c r="Q155" s="25">
        <f>IF(N(N155)=0,"",IF(N155&gt;0,IF(J155="Cost",IF(O155="","(set the P&amp;L Account)",O155),IF(O155="",set_WIPIncome,O155)),set_WIPAsset))</f>
        <v/>
      </c>
      <c r="R155" s="27">
        <f>IF(OR(N(N155)=0,K155&lt;&gt;""),"",ABS(N155))</f>
        <v/>
      </c>
      <c r="S155" s="25">
        <f>IF(N(N155)=0,"",IF(K155&lt;&gt;"","spreads monthly - see Deferred Revenue","WIP "&amp;I155&amp;IF(D155="",""," - "&amp;D155)&amp;IF(F155="",""," "&amp;F155)&amp;IF(H155="",""," - "&amp;H155)))</f>
        <v/>
      </c>
      <c r="T155" s="24" t="n"/>
      <c r="U155" s="24" t="n"/>
      <c r="V155" s="24" t="n"/>
    </row>
    <row r="156" ht="15" customHeight="1">
      <c r="A156" s="70" t="n"/>
      <c r="B156" s="68">
        <f>IF(C156="","",IFERROR(INDEX(tbl_Finance[Date],MATCH(C156&amp;"",tbl_Finance[Xero Invoice No],0)),""))</f>
        <v/>
      </c>
      <c r="C156" s="24" t="n"/>
      <c r="D156" s="24" t="n"/>
      <c r="E156" s="25">
        <f>IF(D156="","",IF(COUNTIF(lst_Jobs,D156&amp;"")&gt;0,"OK","CHECK"))</f>
        <v/>
      </c>
      <c r="F156" s="24" t="n"/>
      <c r="G156" s="24" t="n"/>
      <c r="H156" s="24" t="n"/>
      <c r="I156" s="24" t="n"/>
      <c r="J156" s="24" t="n"/>
      <c r="K156" s="22" t="n"/>
      <c r="L156" s="22" t="n"/>
      <c r="M156" s="25">
        <f>IF(N156="","",IF(OR(K156="",L156=""),"one month",TEXT(MAX(1,(YEAR(L156)-YEAR(K156))*12+MONTH(L156)-MONTH(K156)+1),"0")&amp;" months - see Deferred Revenue"))</f>
        <v/>
      </c>
      <c r="N156" s="26" t="n"/>
      <c r="O156" s="24" t="n"/>
      <c r="P156" s="25">
        <f>IF(N(N156)=0,"",IF(N156&gt;0,set_WIPAsset,IF(J156="Cost",IF(O156="","(set the P&amp;L Account)",O156),IF(O156="",set_WIPIncome,O156))))</f>
        <v/>
      </c>
      <c r="Q156" s="25">
        <f>IF(N(N156)=0,"",IF(N156&gt;0,IF(J156="Cost",IF(O156="","(set the P&amp;L Account)",O156),IF(O156="",set_WIPIncome,O156)),set_WIPAsset))</f>
        <v/>
      </c>
      <c r="R156" s="27">
        <f>IF(OR(N(N156)=0,K156&lt;&gt;""),"",ABS(N156))</f>
        <v/>
      </c>
      <c r="S156" s="25">
        <f>IF(N(N156)=0,"",IF(K156&lt;&gt;"","spreads monthly - see Deferred Revenue","WIP "&amp;I156&amp;IF(D156="",""," - "&amp;D156)&amp;IF(F156="",""," "&amp;F156)&amp;IF(H156="",""," - "&amp;H156)))</f>
        <v/>
      </c>
      <c r="T156" s="24" t="n"/>
      <c r="U156" s="24" t="n"/>
      <c r="V156" s="24" t="n"/>
    </row>
    <row r="157" ht="15" customHeight="1">
      <c r="A157" s="70" t="n"/>
      <c r="B157" s="68">
        <f>IF(C157="","",IFERROR(INDEX(tbl_Finance[Date],MATCH(C157&amp;"",tbl_Finance[Xero Invoice No],0)),""))</f>
        <v/>
      </c>
      <c r="C157" s="24" t="n"/>
      <c r="D157" s="24" t="n"/>
      <c r="E157" s="25">
        <f>IF(D157="","",IF(COUNTIF(lst_Jobs,D157&amp;"")&gt;0,"OK","CHECK"))</f>
        <v/>
      </c>
      <c r="F157" s="24" t="n"/>
      <c r="G157" s="24" t="n"/>
      <c r="H157" s="24" t="n"/>
      <c r="I157" s="24" t="n"/>
      <c r="J157" s="24" t="n"/>
      <c r="K157" s="22" t="n"/>
      <c r="L157" s="22" t="n"/>
      <c r="M157" s="25">
        <f>IF(N157="","",IF(OR(K157="",L157=""),"one month",TEXT(MAX(1,(YEAR(L157)-YEAR(K157))*12+MONTH(L157)-MONTH(K157)+1),"0")&amp;" months - see Deferred Revenue"))</f>
        <v/>
      </c>
      <c r="N157" s="26" t="n"/>
      <c r="O157" s="24" t="n"/>
      <c r="P157" s="25">
        <f>IF(N(N157)=0,"",IF(N157&gt;0,set_WIPAsset,IF(J157="Cost",IF(O157="","(set the P&amp;L Account)",O157),IF(O157="",set_WIPIncome,O157))))</f>
        <v/>
      </c>
      <c r="Q157" s="25">
        <f>IF(N(N157)=0,"",IF(N157&gt;0,IF(J157="Cost",IF(O157="","(set the P&amp;L Account)",O157),IF(O157="",set_WIPIncome,O157)),set_WIPAsset))</f>
        <v/>
      </c>
      <c r="R157" s="27">
        <f>IF(OR(N(N157)=0,K157&lt;&gt;""),"",ABS(N157))</f>
        <v/>
      </c>
      <c r="S157" s="25">
        <f>IF(N(N157)=0,"",IF(K157&lt;&gt;"","spreads monthly - see Deferred Revenue","WIP "&amp;I157&amp;IF(D157="",""," - "&amp;D157)&amp;IF(F157="",""," "&amp;F157)&amp;IF(H157="",""," - "&amp;H157)))</f>
        <v/>
      </c>
      <c r="T157" s="24" t="n"/>
      <c r="U157" s="24" t="n"/>
      <c r="V157" s="24" t="n"/>
    </row>
    <row r="158" ht="15" customHeight="1">
      <c r="A158" s="70" t="n"/>
      <c r="B158" s="68">
        <f>IF(C158="","",IFERROR(INDEX(tbl_Finance[Date],MATCH(C158&amp;"",tbl_Finance[Xero Invoice No],0)),""))</f>
        <v/>
      </c>
      <c r="C158" s="24" t="n"/>
      <c r="D158" s="24" t="n"/>
      <c r="E158" s="25">
        <f>IF(D158="","",IF(COUNTIF(lst_Jobs,D158&amp;"")&gt;0,"OK","CHECK"))</f>
        <v/>
      </c>
      <c r="F158" s="24" t="n"/>
      <c r="G158" s="24" t="n"/>
      <c r="H158" s="24" t="n"/>
      <c r="I158" s="24" t="n"/>
      <c r="J158" s="24" t="n"/>
      <c r="K158" s="22" t="n"/>
      <c r="L158" s="22" t="n"/>
      <c r="M158" s="25">
        <f>IF(N158="","",IF(OR(K158="",L158=""),"one month",TEXT(MAX(1,(YEAR(L158)-YEAR(K158))*12+MONTH(L158)-MONTH(K158)+1),"0")&amp;" months - see Deferred Revenue"))</f>
        <v/>
      </c>
      <c r="N158" s="26" t="n"/>
      <c r="O158" s="24" t="n"/>
      <c r="P158" s="25">
        <f>IF(N(N158)=0,"",IF(N158&gt;0,set_WIPAsset,IF(J158="Cost",IF(O158="","(set the P&amp;L Account)",O158),IF(O158="",set_WIPIncome,O158))))</f>
        <v/>
      </c>
      <c r="Q158" s="25">
        <f>IF(N(N158)=0,"",IF(N158&gt;0,IF(J158="Cost",IF(O158="","(set the P&amp;L Account)",O158),IF(O158="",set_WIPIncome,O158)),set_WIPAsset))</f>
        <v/>
      </c>
      <c r="R158" s="27">
        <f>IF(OR(N(N158)=0,K158&lt;&gt;""),"",ABS(N158))</f>
        <v/>
      </c>
      <c r="S158" s="25">
        <f>IF(N(N158)=0,"",IF(K158&lt;&gt;"","spreads monthly - see Deferred Revenue","WIP "&amp;I158&amp;IF(D158="",""," - "&amp;D158)&amp;IF(F158="",""," "&amp;F158)&amp;IF(H158="",""," - "&amp;H158)))</f>
        <v/>
      </c>
      <c r="T158" s="24" t="n"/>
      <c r="U158" s="24" t="n"/>
      <c r="V158" s="24" t="n"/>
    </row>
    <row r="159" ht="15" customHeight="1">
      <c r="A159" s="70" t="n"/>
      <c r="B159" s="68">
        <f>IF(C159="","",IFERROR(INDEX(tbl_Finance[Date],MATCH(C159&amp;"",tbl_Finance[Xero Invoice No],0)),""))</f>
        <v/>
      </c>
      <c r="C159" s="24" t="n"/>
      <c r="D159" s="24" t="n"/>
      <c r="E159" s="25">
        <f>IF(D159="","",IF(COUNTIF(lst_Jobs,D159&amp;"")&gt;0,"OK","CHECK"))</f>
        <v/>
      </c>
      <c r="F159" s="24" t="n"/>
      <c r="G159" s="24" t="n"/>
      <c r="H159" s="24" t="n"/>
      <c r="I159" s="24" t="n"/>
      <c r="J159" s="24" t="n"/>
      <c r="K159" s="22" t="n"/>
      <c r="L159" s="22" t="n"/>
      <c r="M159" s="25">
        <f>IF(N159="","",IF(OR(K159="",L159=""),"one month",TEXT(MAX(1,(YEAR(L159)-YEAR(K159))*12+MONTH(L159)-MONTH(K159)+1),"0")&amp;" months - see Deferred Revenue"))</f>
        <v/>
      </c>
      <c r="N159" s="26" t="n"/>
      <c r="O159" s="24" t="n"/>
      <c r="P159" s="25">
        <f>IF(N(N159)=0,"",IF(N159&gt;0,set_WIPAsset,IF(J159="Cost",IF(O159="","(set the P&amp;L Account)",O159),IF(O159="",set_WIPIncome,O159))))</f>
        <v/>
      </c>
      <c r="Q159" s="25">
        <f>IF(N(N159)=0,"",IF(N159&gt;0,IF(J159="Cost",IF(O159="","(set the P&amp;L Account)",O159),IF(O159="",set_WIPIncome,O159)),set_WIPAsset))</f>
        <v/>
      </c>
      <c r="R159" s="27">
        <f>IF(OR(N(N159)=0,K159&lt;&gt;""),"",ABS(N159))</f>
        <v/>
      </c>
      <c r="S159" s="25">
        <f>IF(N(N159)=0,"",IF(K159&lt;&gt;"","spreads monthly - see Deferred Revenue","WIP "&amp;I159&amp;IF(D159="",""," - "&amp;D159)&amp;IF(F159="",""," "&amp;F159)&amp;IF(H159="",""," - "&amp;H159)))</f>
        <v/>
      </c>
      <c r="T159" s="24" t="n"/>
      <c r="U159" s="24" t="n"/>
      <c r="V159" s="24" t="n"/>
    </row>
    <row r="160" ht="15" customHeight="1">
      <c r="A160" s="70" t="n"/>
      <c r="B160" s="68">
        <f>IF(C160="","",IFERROR(INDEX(tbl_Finance[Date],MATCH(C160&amp;"",tbl_Finance[Xero Invoice No],0)),""))</f>
        <v/>
      </c>
      <c r="C160" s="24" t="n"/>
      <c r="D160" s="24" t="n"/>
      <c r="E160" s="25">
        <f>IF(D160="","",IF(COUNTIF(lst_Jobs,D160&amp;"")&gt;0,"OK","CHECK"))</f>
        <v/>
      </c>
      <c r="F160" s="24" t="n"/>
      <c r="G160" s="24" t="n"/>
      <c r="H160" s="24" t="n"/>
      <c r="I160" s="24" t="n"/>
      <c r="J160" s="24" t="n"/>
      <c r="K160" s="22" t="n"/>
      <c r="L160" s="22" t="n"/>
      <c r="M160" s="25">
        <f>IF(N160="","",IF(OR(K160="",L160=""),"one month",TEXT(MAX(1,(YEAR(L160)-YEAR(K160))*12+MONTH(L160)-MONTH(K160)+1),"0")&amp;" months - see Deferred Revenue"))</f>
        <v/>
      </c>
      <c r="N160" s="26" t="n"/>
      <c r="O160" s="24" t="n"/>
      <c r="P160" s="25">
        <f>IF(N(N160)=0,"",IF(N160&gt;0,set_WIPAsset,IF(J160="Cost",IF(O160="","(set the P&amp;L Account)",O160),IF(O160="",set_WIPIncome,O160))))</f>
        <v/>
      </c>
      <c r="Q160" s="25">
        <f>IF(N(N160)=0,"",IF(N160&gt;0,IF(J160="Cost",IF(O160="","(set the P&amp;L Account)",O160),IF(O160="",set_WIPIncome,O160)),set_WIPAsset))</f>
        <v/>
      </c>
      <c r="R160" s="27">
        <f>IF(OR(N(N160)=0,K160&lt;&gt;""),"",ABS(N160))</f>
        <v/>
      </c>
      <c r="S160" s="25">
        <f>IF(N(N160)=0,"",IF(K160&lt;&gt;"","spreads monthly - see Deferred Revenue","WIP "&amp;I160&amp;IF(D160="",""," - "&amp;D160)&amp;IF(F160="",""," "&amp;F160)&amp;IF(H160="",""," - "&amp;H160)))</f>
        <v/>
      </c>
      <c r="T160" s="24" t="n"/>
      <c r="U160" s="24" t="n"/>
      <c r="V160" s="24" t="n"/>
    </row>
    <row r="161" ht="15" customHeight="1">
      <c r="A161" s="70" t="n"/>
      <c r="B161" s="68">
        <f>IF(C161="","",IFERROR(INDEX(tbl_Finance[Date],MATCH(C161&amp;"",tbl_Finance[Xero Invoice No],0)),""))</f>
        <v/>
      </c>
      <c r="C161" s="24" t="n"/>
      <c r="D161" s="24" t="n"/>
      <c r="E161" s="25">
        <f>IF(D161="","",IF(COUNTIF(lst_Jobs,D161&amp;"")&gt;0,"OK","CHECK"))</f>
        <v/>
      </c>
      <c r="F161" s="24" t="n"/>
      <c r="G161" s="24" t="n"/>
      <c r="H161" s="24" t="n"/>
      <c r="I161" s="24" t="n"/>
      <c r="J161" s="24" t="n"/>
      <c r="K161" s="22" t="n"/>
      <c r="L161" s="22" t="n"/>
      <c r="M161" s="25">
        <f>IF(N161="","",IF(OR(K161="",L161=""),"one month",TEXT(MAX(1,(YEAR(L161)-YEAR(K161))*12+MONTH(L161)-MONTH(K161)+1),"0")&amp;" months - see Deferred Revenue"))</f>
        <v/>
      </c>
      <c r="N161" s="26" t="n"/>
      <c r="O161" s="24" t="n"/>
      <c r="P161" s="25">
        <f>IF(N(N161)=0,"",IF(N161&gt;0,set_WIPAsset,IF(J161="Cost",IF(O161="","(set the P&amp;L Account)",O161),IF(O161="",set_WIPIncome,O161))))</f>
        <v/>
      </c>
      <c r="Q161" s="25">
        <f>IF(N(N161)=0,"",IF(N161&gt;0,IF(J161="Cost",IF(O161="","(set the P&amp;L Account)",O161),IF(O161="",set_WIPIncome,O161)),set_WIPAsset))</f>
        <v/>
      </c>
      <c r="R161" s="27">
        <f>IF(OR(N(N161)=0,K161&lt;&gt;""),"",ABS(N161))</f>
        <v/>
      </c>
      <c r="S161" s="25">
        <f>IF(N(N161)=0,"",IF(K161&lt;&gt;"","spreads monthly - see Deferred Revenue","WIP "&amp;I161&amp;IF(D161="",""," - "&amp;D161)&amp;IF(F161="",""," "&amp;F161)&amp;IF(H161="",""," - "&amp;H161)))</f>
        <v/>
      </c>
      <c r="T161" s="24" t="n"/>
      <c r="U161" s="24" t="n"/>
      <c r="V161" s="24" t="n"/>
    </row>
    <row r="162" ht="15" customHeight="1">
      <c r="A162" s="70" t="n"/>
      <c r="B162" s="68">
        <f>IF(C162="","",IFERROR(INDEX(tbl_Finance[Date],MATCH(C162&amp;"",tbl_Finance[Xero Invoice No],0)),""))</f>
        <v/>
      </c>
      <c r="C162" s="24" t="n"/>
      <c r="D162" s="24" t="n"/>
      <c r="E162" s="25">
        <f>IF(D162="","",IF(COUNTIF(lst_Jobs,D162&amp;"")&gt;0,"OK","CHECK"))</f>
        <v/>
      </c>
      <c r="F162" s="24" t="n"/>
      <c r="G162" s="24" t="n"/>
      <c r="H162" s="24" t="n"/>
      <c r="I162" s="24" t="n"/>
      <c r="J162" s="24" t="n"/>
      <c r="K162" s="22" t="n"/>
      <c r="L162" s="22" t="n"/>
      <c r="M162" s="25">
        <f>IF(N162="","",IF(OR(K162="",L162=""),"one month",TEXT(MAX(1,(YEAR(L162)-YEAR(K162))*12+MONTH(L162)-MONTH(K162)+1),"0")&amp;" months - see Deferred Revenue"))</f>
        <v/>
      </c>
      <c r="N162" s="26" t="n"/>
      <c r="O162" s="24" t="n"/>
      <c r="P162" s="25">
        <f>IF(N(N162)=0,"",IF(N162&gt;0,set_WIPAsset,IF(J162="Cost",IF(O162="","(set the P&amp;L Account)",O162),IF(O162="",set_WIPIncome,O162))))</f>
        <v/>
      </c>
      <c r="Q162" s="25">
        <f>IF(N(N162)=0,"",IF(N162&gt;0,IF(J162="Cost",IF(O162="","(set the P&amp;L Account)",O162),IF(O162="",set_WIPIncome,O162)),set_WIPAsset))</f>
        <v/>
      </c>
      <c r="R162" s="27">
        <f>IF(OR(N(N162)=0,K162&lt;&gt;""),"",ABS(N162))</f>
        <v/>
      </c>
      <c r="S162" s="25">
        <f>IF(N(N162)=0,"",IF(K162&lt;&gt;"","spreads monthly - see Deferred Revenue","WIP "&amp;I162&amp;IF(D162="",""," - "&amp;D162)&amp;IF(F162="",""," "&amp;F162)&amp;IF(H162="",""," - "&amp;H162)))</f>
        <v/>
      </c>
      <c r="T162" s="24" t="n"/>
      <c r="U162" s="24" t="n"/>
      <c r="V162" s="24" t="n"/>
    </row>
    <row r="163" ht="15" customHeight="1">
      <c r="A163" s="70" t="n"/>
      <c r="B163" s="68">
        <f>IF(C163="","",IFERROR(INDEX(tbl_Finance[Date],MATCH(C163&amp;"",tbl_Finance[Xero Invoice No],0)),""))</f>
        <v/>
      </c>
      <c r="C163" s="24" t="n"/>
      <c r="D163" s="24" t="n"/>
      <c r="E163" s="25">
        <f>IF(D163="","",IF(COUNTIF(lst_Jobs,D163&amp;"")&gt;0,"OK","CHECK"))</f>
        <v/>
      </c>
      <c r="F163" s="24" t="n"/>
      <c r="G163" s="24" t="n"/>
      <c r="H163" s="24" t="n"/>
      <c r="I163" s="24" t="n"/>
      <c r="J163" s="24" t="n"/>
      <c r="K163" s="22" t="n"/>
      <c r="L163" s="22" t="n"/>
      <c r="M163" s="25">
        <f>IF(N163="","",IF(OR(K163="",L163=""),"one month",TEXT(MAX(1,(YEAR(L163)-YEAR(K163))*12+MONTH(L163)-MONTH(K163)+1),"0")&amp;" months - see Deferred Revenue"))</f>
        <v/>
      </c>
      <c r="N163" s="26" t="n"/>
      <c r="O163" s="24" t="n"/>
      <c r="P163" s="25">
        <f>IF(N(N163)=0,"",IF(N163&gt;0,set_WIPAsset,IF(J163="Cost",IF(O163="","(set the P&amp;L Account)",O163),IF(O163="",set_WIPIncome,O163))))</f>
        <v/>
      </c>
      <c r="Q163" s="25">
        <f>IF(N(N163)=0,"",IF(N163&gt;0,IF(J163="Cost",IF(O163="","(set the P&amp;L Account)",O163),IF(O163="",set_WIPIncome,O163)),set_WIPAsset))</f>
        <v/>
      </c>
      <c r="R163" s="27">
        <f>IF(OR(N(N163)=0,K163&lt;&gt;""),"",ABS(N163))</f>
        <v/>
      </c>
      <c r="S163" s="25">
        <f>IF(N(N163)=0,"",IF(K163&lt;&gt;"","spreads monthly - see Deferred Revenue","WIP "&amp;I163&amp;IF(D163="",""," - "&amp;D163)&amp;IF(F163="",""," "&amp;F163)&amp;IF(H163="",""," - "&amp;H163)))</f>
        <v/>
      </c>
      <c r="T163" s="24" t="n"/>
      <c r="U163" s="24" t="n"/>
      <c r="V163" s="24" t="n"/>
    </row>
    <row r="164" ht="15" customHeight="1">
      <c r="A164" s="70" t="n"/>
      <c r="B164" s="68">
        <f>IF(C164="","",IFERROR(INDEX(tbl_Finance[Date],MATCH(C164&amp;"",tbl_Finance[Xero Invoice No],0)),""))</f>
        <v/>
      </c>
      <c r="C164" s="24" t="n"/>
      <c r="D164" s="24" t="n"/>
      <c r="E164" s="25">
        <f>IF(D164="","",IF(COUNTIF(lst_Jobs,D164&amp;"")&gt;0,"OK","CHECK"))</f>
        <v/>
      </c>
      <c r="F164" s="24" t="n"/>
      <c r="G164" s="24" t="n"/>
      <c r="H164" s="24" t="n"/>
      <c r="I164" s="24" t="n"/>
      <c r="J164" s="24" t="n"/>
      <c r="K164" s="22" t="n"/>
      <c r="L164" s="22" t="n"/>
      <c r="M164" s="25">
        <f>IF(N164="","",IF(OR(K164="",L164=""),"one month",TEXT(MAX(1,(YEAR(L164)-YEAR(K164))*12+MONTH(L164)-MONTH(K164)+1),"0")&amp;" months - see Deferred Revenue"))</f>
        <v/>
      </c>
      <c r="N164" s="26" t="n"/>
      <c r="O164" s="24" t="n"/>
      <c r="P164" s="25">
        <f>IF(N(N164)=0,"",IF(N164&gt;0,set_WIPAsset,IF(J164="Cost",IF(O164="","(set the P&amp;L Account)",O164),IF(O164="",set_WIPIncome,O164))))</f>
        <v/>
      </c>
      <c r="Q164" s="25">
        <f>IF(N(N164)=0,"",IF(N164&gt;0,IF(J164="Cost",IF(O164="","(set the P&amp;L Account)",O164),IF(O164="",set_WIPIncome,O164)),set_WIPAsset))</f>
        <v/>
      </c>
      <c r="R164" s="27">
        <f>IF(OR(N(N164)=0,K164&lt;&gt;""),"",ABS(N164))</f>
        <v/>
      </c>
      <c r="S164" s="25">
        <f>IF(N(N164)=0,"",IF(K164&lt;&gt;"","spreads monthly - see Deferred Revenue","WIP "&amp;I164&amp;IF(D164="",""," - "&amp;D164)&amp;IF(F164="",""," "&amp;F164)&amp;IF(H164="",""," - "&amp;H164)))</f>
        <v/>
      </c>
      <c r="T164" s="24" t="n"/>
      <c r="U164" s="24" t="n"/>
      <c r="V164" s="24" t="n"/>
    </row>
    <row r="165" ht="15" customHeight="1">
      <c r="A165" s="70" t="n"/>
      <c r="B165" s="68">
        <f>IF(C165="","",IFERROR(INDEX(tbl_Finance[Date],MATCH(C165&amp;"",tbl_Finance[Xero Invoice No],0)),""))</f>
        <v/>
      </c>
      <c r="C165" s="24" t="n"/>
      <c r="D165" s="24" t="n"/>
      <c r="E165" s="25">
        <f>IF(D165="","",IF(COUNTIF(lst_Jobs,D165&amp;"")&gt;0,"OK","CHECK"))</f>
        <v/>
      </c>
      <c r="F165" s="24" t="n"/>
      <c r="G165" s="24" t="n"/>
      <c r="H165" s="24" t="n"/>
      <c r="I165" s="24" t="n"/>
      <c r="J165" s="24" t="n"/>
      <c r="K165" s="22" t="n"/>
      <c r="L165" s="22" t="n"/>
      <c r="M165" s="25">
        <f>IF(N165="","",IF(OR(K165="",L165=""),"one month",TEXT(MAX(1,(YEAR(L165)-YEAR(K165))*12+MONTH(L165)-MONTH(K165)+1),"0")&amp;" months - see Deferred Revenue"))</f>
        <v/>
      </c>
      <c r="N165" s="26" t="n"/>
      <c r="O165" s="24" t="n"/>
      <c r="P165" s="25">
        <f>IF(N(N165)=0,"",IF(N165&gt;0,set_WIPAsset,IF(J165="Cost",IF(O165="","(set the P&amp;L Account)",O165),IF(O165="",set_WIPIncome,O165))))</f>
        <v/>
      </c>
      <c r="Q165" s="25">
        <f>IF(N(N165)=0,"",IF(N165&gt;0,IF(J165="Cost",IF(O165="","(set the P&amp;L Account)",O165),IF(O165="",set_WIPIncome,O165)),set_WIPAsset))</f>
        <v/>
      </c>
      <c r="R165" s="27">
        <f>IF(OR(N(N165)=0,K165&lt;&gt;""),"",ABS(N165))</f>
        <v/>
      </c>
      <c r="S165" s="25">
        <f>IF(N(N165)=0,"",IF(K165&lt;&gt;"","spreads monthly - see Deferred Revenue","WIP "&amp;I165&amp;IF(D165="",""," - "&amp;D165)&amp;IF(F165="",""," "&amp;F165)&amp;IF(H165="",""," - "&amp;H165)))</f>
        <v/>
      </c>
      <c r="T165" s="24" t="n"/>
      <c r="U165" s="24" t="n"/>
      <c r="V165" s="24" t="n"/>
    </row>
    <row r="166" ht="15" customHeight="1">
      <c r="A166" s="70" t="n"/>
      <c r="B166" s="68">
        <f>IF(C166="","",IFERROR(INDEX(tbl_Finance[Date],MATCH(C166&amp;"",tbl_Finance[Xero Invoice No],0)),""))</f>
        <v/>
      </c>
      <c r="C166" s="24" t="n"/>
      <c r="D166" s="24" t="n"/>
      <c r="E166" s="25">
        <f>IF(D166="","",IF(COUNTIF(lst_Jobs,D166&amp;"")&gt;0,"OK","CHECK"))</f>
        <v/>
      </c>
      <c r="F166" s="24" t="n"/>
      <c r="G166" s="24" t="n"/>
      <c r="H166" s="24" t="n"/>
      <c r="I166" s="24" t="n"/>
      <c r="J166" s="24" t="n"/>
      <c r="K166" s="22" t="n"/>
      <c r="L166" s="22" t="n"/>
      <c r="M166" s="25">
        <f>IF(N166="","",IF(OR(K166="",L166=""),"one month",TEXT(MAX(1,(YEAR(L166)-YEAR(K166))*12+MONTH(L166)-MONTH(K166)+1),"0")&amp;" months - see Deferred Revenue"))</f>
        <v/>
      </c>
      <c r="N166" s="26" t="n"/>
      <c r="O166" s="24" t="n"/>
      <c r="P166" s="25">
        <f>IF(N(N166)=0,"",IF(N166&gt;0,set_WIPAsset,IF(J166="Cost",IF(O166="","(set the P&amp;L Account)",O166),IF(O166="",set_WIPIncome,O166))))</f>
        <v/>
      </c>
      <c r="Q166" s="25">
        <f>IF(N(N166)=0,"",IF(N166&gt;0,IF(J166="Cost",IF(O166="","(set the P&amp;L Account)",O166),IF(O166="",set_WIPIncome,O166)),set_WIPAsset))</f>
        <v/>
      </c>
      <c r="R166" s="27">
        <f>IF(OR(N(N166)=0,K166&lt;&gt;""),"",ABS(N166))</f>
        <v/>
      </c>
      <c r="S166" s="25">
        <f>IF(N(N166)=0,"",IF(K166&lt;&gt;"","spreads monthly - see Deferred Revenue","WIP "&amp;I166&amp;IF(D166="",""," - "&amp;D166)&amp;IF(F166="",""," "&amp;F166)&amp;IF(H166="",""," - "&amp;H166)))</f>
        <v/>
      </c>
      <c r="T166" s="24" t="n"/>
      <c r="U166" s="24" t="n"/>
      <c r="V166" s="24" t="n"/>
    </row>
    <row r="167" ht="15" customHeight="1">
      <c r="A167" s="70" t="n"/>
      <c r="B167" s="68">
        <f>IF(C167="","",IFERROR(INDEX(tbl_Finance[Date],MATCH(C167&amp;"",tbl_Finance[Xero Invoice No],0)),""))</f>
        <v/>
      </c>
      <c r="C167" s="24" t="n"/>
      <c r="D167" s="24" t="n"/>
      <c r="E167" s="25">
        <f>IF(D167="","",IF(COUNTIF(lst_Jobs,D167&amp;"")&gt;0,"OK","CHECK"))</f>
        <v/>
      </c>
      <c r="F167" s="24" t="n"/>
      <c r="G167" s="24" t="n"/>
      <c r="H167" s="24" t="n"/>
      <c r="I167" s="24" t="n"/>
      <c r="J167" s="24" t="n"/>
      <c r="K167" s="22" t="n"/>
      <c r="L167" s="22" t="n"/>
      <c r="M167" s="25">
        <f>IF(N167="","",IF(OR(K167="",L167=""),"one month",TEXT(MAX(1,(YEAR(L167)-YEAR(K167))*12+MONTH(L167)-MONTH(K167)+1),"0")&amp;" months - see Deferred Revenue"))</f>
        <v/>
      </c>
      <c r="N167" s="26" t="n"/>
      <c r="O167" s="24" t="n"/>
      <c r="P167" s="25">
        <f>IF(N(N167)=0,"",IF(N167&gt;0,set_WIPAsset,IF(J167="Cost",IF(O167="","(set the P&amp;L Account)",O167),IF(O167="",set_WIPIncome,O167))))</f>
        <v/>
      </c>
      <c r="Q167" s="25">
        <f>IF(N(N167)=0,"",IF(N167&gt;0,IF(J167="Cost",IF(O167="","(set the P&amp;L Account)",O167),IF(O167="",set_WIPIncome,O167)),set_WIPAsset))</f>
        <v/>
      </c>
      <c r="R167" s="27">
        <f>IF(OR(N(N167)=0,K167&lt;&gt;""),"",ABS(N167))</f>
        <v/>
      </c>
      <c r="S167" s="25">
        <f>IF(N(N167)=0,"",IF(K167&lt;&gt;"","spreads monthly - see Deferred Revenue","WIP "&amp;I167&amp;IF(D167="",""," - "&amp;D167)&amp;IF(F167="",""," "&amp;F167)&amp;IF(H167="",""," - "&amp;H167)))</f>
        <v/>
      </c>
      <c r="T167" s="24" t="n"/>
      <c r="U167" s="24" t="n"/>
      <c r="V167" s="24" t="n"/>
    </row>
    <row r="168" ht="15" customHeight="1">
      <c r="A168" s="70" t="n"/>
      <c r="B168" s="68">
        <f>IF(C168="","",IFERROR(INDEX(tbl_Finance[Date],MATCH(C168&amp;"",tbl_Finance[Xero Invoice No],0)),""))</f>
        <v/>
      </c>
      <c r="C168" s="24" t="n"/>
      <c r="D168" s="24" t="n"/>
      <c r="E168" s="25">
        <f>IF(D168="","",IF(COUNTIF(lst_Jobs,D168&amp;"")&gt;0,"OK","CHECK"))</f>
        <v/>
      </c>
      <c r="F168" s="24" t="n"/>
      <c r="G168" s="24" t="n"/>
      <c r="H168" s="24" t="n"/>
      <c r="I168" s="24" t="n"/>
      <c r="J168" s="24" t="n"/>
      <c r="K168" s="22" t="n"/>
      <c r="L168" s="22" t="n"/>
      <c r="M168" s="25">
        <f>IF(N168="","",IF(OR(K168="",L168=""),"one month",TEXT(MAX(1,(YEAR(L168)-YEAR(K168))*12+MONTH(L168)-MONTH(K168)+1),"0")&amp;" months - see Deferred Revenue"))</f>
        <v/>
      </c>
      <c r="N168" s="26" t="n"/>
      <c r="O168" s="24" t="n"/>
      <c r="P168" s="25">
        <f>IF(N(N168)=0,"",IF(N168&gt;0,set_WIPAsset,IF(J168="Cost",IF(O168="","(set the P&amp;L Account)",O168),IF(O168="",set_WIPIncome,O168))))</f>
        <v/>
      </c>
      <c r="Q168" s="25">
        <f>IF(N(N168)=0,"",IF(N168&gt;0,IF(J168="Cost",IF(O168="","(set the P&amp;L Account)",O168),IF(O168="",set_WIPIncome,O168)),set_WIPAsset))</f>
        <v/>
      </c>
      <c r="R168" s="27">
        <f>IF(OR(N(N168)=0,K168&lt;&gt;""),"",ABS(N168))</f>
        <v/>
      </c>
      <c r="S168" s="25">
        <f>IF(N(N168)=0,"",IF(K168&lt;&gt;"","spreads monthly - see Deferred Revenue","WIP "&amp;I168&amp;IF(D168="",""," - "&amp;D168)&amp;IF(F168="",""," "&amp;F168)&amp;IF(H168="",""," - "&amp;H168)))</f>
        <v/>
      </c>
      <c r="T168" s="24" t="n"/>
      <c r="U168" s="24" t="n"/>
      <c r="V168" s="24" t="n"/>
    </row>
    <row r="169" ht="15" customHeight="1">
      <c r="A169" s="70" t="n"/>
      <c r="B169" s="68">
        <f>IF(C169="","",IFERROR(INDEX(tbl_Finance[Date],MATCH(C169&amp;"",tbl_Finance[Xero Invoice No],0)),""))</f>
        <v/>
      </c>
      <c r="C169" s="24" t="n"/>
      <c r="D169" s="24" t="n"/>
      <c r="E169" s="25">
        <f>IF(D169="","",IF(COUNTIF(lst_Jobs,D169&amp;"")&gt;0,"OK","CHECK"))</f>
        <v/>
      </c>
      <c r="F169" s="24" t="n"/>
      <c r="G169" s="24" t="n"/>
      <c r="H169" s="24" t="n"/>
      <c r="I169" s="24" t="n"/>
      <c r="J169" s="24" t="n"/>
      <c r="K169" s="22" t="n"/>
      <c r="L169" s="22" t="n"/>
      <c r="M169" s="25">
        <f>IF(N169="","",IF(OR(K169="",L169=""),"one month",TEXT(MAX(1,(YEAR(L169)-YEAR(K169))*12+MONTH(L169)-MONTH(K169)+1),"0")&amp;" months - see Deferred Revenue"))</f>
        <v/>
      </c>
      <c r="N169" s="26" t="n"/>
      <c r="O169" s="24" t="n"/>
      <c r="P169" s="25">
        <f>IF(N(N169)=0,"",IF(N169&gt;0,set_WIPAsset,IF(J169="Cost",IF(O169="","(set the P&amp;L Account)",O169),IF(O169="",set_WIPIncome,O169))))</f>
        <v/>
      </c>
      <c r="Q169" s="25">
        <f>IF(N(N169)=0,"",IF(N169&gt;0,IF(J169="Cost",IF(O169="","(set the P&amp;L Account)",O169),IF(O169="",set_WIPIncome,O169)),set_WIPAsset))</f>
        <v/>
      </c>
      <c r="R169" s="27">
        <f>IF(OR(N(N169)=0,K169&lt;&gt;""),"",ABS(N169))</f>
        <v/>
      </c>
      <c r="S169" s="25">
        <f>IF(N(N169)=0,"",IF(K169&lt;&gt;"","spreads monthly - see Deferred Revenue","WIP "&amp;I169&amp;IF(D169="",""," - "&amp;D169)&amp;IF(F169="",""," "&amp;F169)&amp;IF(H169="",""," - "&amp;H169)))</f>
        <v/>
      </c>
      <c r="T169" s="24" t="n"/>
      <c r="U169" s="24" t="n"/>
      <c r="V169" s="24" t="n"/>
    </row>
    <row r="170" ht="15" customHeight="1">
      <c r="A170" s="70" t="n"/>
      <c r="B170" s="68">
        <f>IF(C170="","",IFERROR(INDEX(tbl_Finance[Date],MATCH(C170&amp;"",tbl_Finance[Xero Invoice No],0)),""))</f>
        <v/>
      </c>
      <c r="C170" s="24" t="n"/>
      <c r="D170" s="24" t="n"/>
      <c r="E170" s="25">
        <f>IF(D170="","",IF(COUNTIF(lst_Jobs,D170&amp;"")&gt;0,"OK","CHECK"))</f>
        <v/>
      </c>
      <c r="F170" s="24" t="n"/>
      <c r="G170" s="24" t="n"/>
      <c r="H170" s="24" t="n"/>
      <c r="I170" s="24" t="n"/>
      <c r="J170" s="24" t="n"/>
      <c r="K170" s="22" t="n"/>
      <c r="L170" s="22" t="n"/>
      <c r="M170" s="25">
        <f>IF(N170="","",IF(OR(K170="",L170=""),"one month",TEXT(MAX(1,(YEAR(L170)-YEAR(K170))*12+MONTH(L170)-MONTH(K170)+1),"0")&amp;" months - see Deferred Revenue"))</f>
        <v/>
      </c>
      <c r="N170" s="26" t="n"/>
      <c r="O170" s="24" t="n"/>
      <c r="P170" s="25">
        <f>IF(N(N170)=0,"",IF(N170&gt;0,set_WIPAsset,IF(J170="Cost",IF(O170="","(set the P&amp;L Account)",O170),IF(O170="",set_WIPIncome,O170))))</f>
        <v/>
      </c>
      <c r="Q170" s="25">
        <f>IF(N(N170)=0,"",IF(N170&gt;0,IF(J170="Cost",IF(O170="","(set the P&amp;L Account)",O170),IF(O170="",set_WIPIncome,O170)),set_WIPAsset))</f>
        <v/>
      </c>
      <c r="R170" s="27">
        <f>IF(OR(N(N170)=0,K170&lt;&gt;""),"",ABS(N170))</f>
        <v/>
      </c>
      <c r="S170" s="25">
        <f>IF(N(N170)=0,"",IF(K170&lt;&gt;"","spreads monthly - see Deferred Revenue","WIP "&amp;I170&amp;IF(D170="",""," - "&amp;D170)&amp;IF(F170="",""," "&amp;F170)&amp;IF(H170="",""," - "&amp;H170)))</f>
        <v/>
      </c>
      <c r="T170" s="24" t="n"/>
      <c r="U170" s="24" t="n"/>
      <c r="V170" s="24" t="n"/>
    </row>
    <row r="171" ht="15" customHeight="1">
      <c r="A171" s="70" t="n"/>
      <c r="B171" s="68">
        <f>IF(C171="","",IFERROR(INDEX(tbl_Finance[Date],MATCH(C171&amp;"",tbl_Finance[Xero Invoice No],0)),""))</f>
        <v/>
      </c>
      <c r="C171" s="24" t="n"/>
      <c r="D171" s="24" t="n"/>
      <c r="E171" s="25">
        <f>IF(D171="","",IF(COUNTIF(lst_Jobs,D171&amp;"")&gt;0,"OK","CHECK"))</f>
        <v/>
      </c>
      <c r="F171" s="24" t="n"/>
      <c r="G171" s="24" t="n"/>
      <c r="H171" s="24" t="n"/>
      <c r="I171" s="24" t="n"/>
      <c r="J171" s="24" t="n"/>
      <c r="K171" s="22" t="n"/>
      <c r="L171" s="22" t="n"/>
      <c r="M171" s="25">
        <f>IF(N171="","",IF(OR(K171="",L171=""),"one month",TEXT(MAX(1,(YEAR(L171)-YEAR(K171))*12+MONTH(L171)-MONTH(K171)+1),"0")&amp;" months - see Deferred Revenue"))</f>
        <v/>
      </c>
      <c r="N171" s="26" t="n"/>
      <c r="O171" s="24" t="n"/>
      <c r="P171" s="25">
        <f>IF(N(N171)=0,"",IF(N171&gt;0,set_WIPAsset,IF(J171="Cost",IF(O171="","(set the P&amp;L Account)",O171),IF(O171="",set_WIPIncome,O171))))</f>
        <v/>
      </c>
      <c r="Q171" s="25">
        <f>IF(N(N171)=0,"",IF(N171&gt;0,IF(J171="Cost",IF(O171="","(set the P&amp;L Account)",O171),IF(O171="",set_WIPIncome,O171)),set_WIPAsset))</f>
        <v/>
      </c>
      <c r="R171" s="27">
        <f>IF(OR(N(N171)=0,K171&lt;&gt;""),"",ABS(N171))</f>
        <v/>
      </c>
      <c r="S171" s="25">
        <f>IF(N(N171)=0,"",IF(K171&lt;&gt;"","spreads monthly - see Deferred Revenue","WIP "&amp;I171&amp;IF(D171="",""," - "&amp;D171)&amp;IF(F171="",""," "&amp;F171)&amp;IF(H171="",""," - "&amp;H171)))</f>
        <v/>
      </c>
      <c r="T171" s="24" t="n"/>
      <c r="U171" s="24" t="n"/>
      <c r="V171" s="24" t="n"/>
    </row>
    <row r="172" ht="15" customHeight="1">
      <c r="A172" s="70" t="n"/>
      <c r="B172" s="68">
        <f>IF(C172="","",IFERROR(INDEX(tbl_Finance[Date],MATCH(C172&amp;"",tbl_Finance[Xero Invoice No],0)),""))</f>
        <v/>
      </c>
      <c r="C172" s="24" t="n"/>
      <c r="D172" s="24" t="n"/>
      <c r="E172" s="25">
        <f>IF(D172="","",IF(COUNTIF(lst_Jobs,D172&amp;"")&gt;0,"OK","CHECK"))</f>
        <v/>
      </c>
      <c r="F172" s="24" t="n"/>
      <c r="G172" s="24" t="n"/>
      <c r="H172" s="24" t="n"/>
      <c r="I172" s="24" t="n"/>
      <c r="J172" s="24" t="n"/>
      <c r="K172" s="22" t="n"/>
      <c r="L172" s="22" t="n"/>
      <c r="M172" s="25">
        <f>IF(N172="","",IF(OR(K172="",L172=""),"one month",TEXT(MAX(1,(YEAR(L172)-YEAR(K172))*12+MONTH(L172)-MONTH(K172)+1),"0")&amp;" months - see Deferred Revenue"))</f>
        <v/>
      </c>
      <c r="N172" s="26" t="n"/>
      <c r="O172" s="24" t="n"/>
      <c r="P172" s="25">
        <f>IF(N(N172)=0,"",IF(N172&gt;0,set_WIPAsset,IF(J172="Cost",IF(O172="","(set the P&amp;L Account)",O172),IF(O172="",set_WIPIncome,O172))))</f>
        <v/>
      </c>
      <c r="Q172" s="25">
        <f>IF(N(N172)=0,"",IF(N172&gt;0,IF(J172="Cost",IF(O172="","(set the P&amp;L Account)",O172),IF(O172="",set_WIPIncome,O172)),set_WIPAsset))</f>
        <v/>
      </c>
      <c r="R172" s="27">
        <f>IF(OR(N(N172)=0,K172&lt;&gt;""),"",ABS(N172))</f>
        <v/>
      </c>
      <c r="S172" s="25">
        <f>IF(N(N172)=0,"",IF(K172&lt;&gt;"","spreads monthly - see Deferred Revenue","WIP "&amp;I172&amp;IF(D172="",""," - "&amp;D172)&amp;IF(F172="",""," "&amp;F172)&amp;IF(H172="",""," - "&amp;H172)))</f>
        <v/>
      </c>
      <c r="T172" s="24" t="n"/>
      <c r="U172" s="24" t="n"/>
      <c r="V172" s="24" t="n"/>
    </row>
    <row r="173" ht="15" customHeight="1">
      <c r="A173" s="70" t="n"/>
      <c r="B173" s="68">
        <f>IF(C173="","",IFERROR(INDEX(tbl_Finance[Date],MATCH(C173&amp;"",tbl_Finance[Xero Invoice No],0)),""))</f>
        <v/>
      </c>
      <c r="C173" s="24" t="n"/>
      <c r="D173" s="24" t="n"/>
      <c r="E173" s="25">
        <f>IF(D173="","",IF(COUNTIF(lst_Jobs,D173&amp;"")&gt;0,"OK","CHECK"))</f>
        <v/>
      </c>
      <c r="F173" s="24" t="n"/>
      <c r="G173" s="24" t="n"/>
      <c r="H173" s="24" t="n"/>
      <c r="I173" s="24" t="n"/>
      <c r="J173" s="24" t="n"/>
      <c r="K173" s="22" t="n"/>
      <c r="L173" s="22" t="n"/>
      <c r="M173" s="25">
        <f>IF(N173="","",IF(OR(K173="",L173=""),"one month",TEXT(MAX(1,(YEAR(L173)-YEAR(K173))*12+MONTH(L173)-MONTH(K173)+1),"0")&amp;" months - see Deferred Revenue"))</f>
        <v/>
      </c>
      <c r="N173" s="26" t="n"/>
      <c r="O173" s="24" t="n"/>
      <c r="P173" s="25">
        <f>IF(N(N173)=0,"",IF(N173&gt;0,set_WIPAsset,IF(J173="Cost",IF(O173="","(set the P&amp;L Account)",O173),IF(O173="",set_WIPIncome,O173))))</f>
        <v/>
      </c>
      <c r="Q173" s="25">
        <f>IF(N(N173)=0,"",IF(N173&gt;0,IF(J173="Cost",IF(O173="","(set the P&amp;L Account)",O173),IF(O173="",set_WIPIncome,O173)),set_WIPAsset))</f>
        <v/>
      </c>
      <c r="R173" s="27">
        <f>IF(OR(N(N173)=0,K173&lt;&gt;""),"",ABS(N173))</f>
        <v/>
      </c>
      <c r="S173" s="25">
        <f>IF(N(N173)=0,"",IF(K173&lt;&gt;"","spreads monthly - see Deferred Revenue","WIP "&amp;I173&amp;IF(D173="",""," - "&amp;D173)&amp;IF(F173="",""," "&amp;F173)&amp;IF(H173="",""," - "&amp;H173)))</f>
        <v/>
      </c>
      <c r="T173" s="24" t="n"/>
      <c r="U173" s="24" t="n"/>
      <c r="V173" s="24" t="n"/>
    </row>
    <row r="174" ht="15" customHeight="1">
      <c r="A174" s="70" t="n"/>
      <c r="B174" s="68">
        <f>IF(C174="","",IFERROR(INDEX(tbl_Finance[Date],MATCH(C174&amp;"",tbl_Finance[Xero Invoice No],0)),""))</f>
        <v/>
      </c>
      <c r="C174" s="24" t="n"/>
      <c r="D174" s="24" t="n"/>
      <c r="E174" s="25">
        <f>IF(D174="","",IF(COUNTIF(lst_Jobs,D174&amp;"")&gt;0,"OK","CHECK"))</f>
        <v/>
      </c>
      <c r="F174" s="24" t="n"/>
      <c r="G174" s="24" t="n"/>
      <c r="H174" s="24" t="n"/>
      <c r="I174" s="24" t="n"/>
      <c r="J174" s="24" t="n"/>
      <c r="K174" s="22" t="n"/>
      <c r="L174" s="22" t="n"/>
      <c r="M174" s="25">
        <f>IF(N174="","",IF(OR(K174="",L174=""),"one month",TEXT(MAX(1,(YEAR(L174)-YEAR(K174))*12+MONTH(L174)-MONTH(K174)+1),"0")&amp;" months - see Deferred Revenue"))</f>
        <v/>
      </c>
      <c r="N174" s="26" t="n"/>
      <c r="O174" s="24" t="n"/>
      <c r="P174" s="25">
        <f>IF(N(N174)=0,"",IF(N174&gt;0,set_WIPAsset,IF(J174="Cost",IF(O174="","(set the P&amp;L Account)",O174),IF(O174="",set_WIPIncome,O174))))</f>
        <v/>
      </c>
      <c r="Q174" s="25">
        <f>IF(N(N174)=0,"",IF(N174&gt;0,IF(J174="Cost",IF(O174="","(set the P&amp;L Account)",O174),IF(O174="",set_WIPIncome,O174)),set_WIPAsset))</f>
        <v/>
      </c>
      <c r="R174" s="27">
        <f>IF(OR(N(N174)=0,K174&lt;&gt;""),"",ABS(N174))</f>
        <v/>
      </c>
      <c r="S174" s="25">
        <f>IF(N(N174)=0,"",IF(K174&lt;&gt;"","spreads monthly - see Deferred Revenue","WIP "&amp;I174&amp;IF(D174="",""," - "&amp;D174)&amp;IF(F174="",""," "&amp;F174)&amp;IF(H174="",""," - "&amp;H174)))</f>
        <v/>
      </c>
      <c r="T174" s="24" t="n"/>
      <c r="U174" s="24" t="n"/>
      <c r="V174" s="24" t="n"/>
    </row>
    <row r="175" ht="15" customHeight="1">
      <c r="A175" s="70" t="n"/>
      <c r="B175" s="68">
        <f>IF(C175="","",IFERROR(INDEX(tbl_Finance[Date],MATCH(C175&amp;"",tbl_Finance[Xero Invoice No],0)),""))</f>
        <v/>
      </c>
      <c r="C175" s="24" t="n"/>
      <c r="D175" s="24" t="n"/>
      <c r="E175" s="25">
        <f>IF(D175="","",IF(COUNTIF(lst_Jobs,D175&amp;"")&gt;0,"OK","CHECK"))</f>
        <v/>
      </c>
      <c r="F175" s="24" t="n"/>
      <c r="G175" s="24" t="n"/>
      <c r="H175" s="24" t="n"/>
      <c r="I175" s="24" t="n"/>
      <c r="J175" s="24" t="n"/>
      <c r="K175" s="22" t="n"/>
      <c r="L175" s="22" t="n"/>
      <c r="M175" s="25">
        <f>IF(N175="","",IF(OR(K175="",L175=""),"one month",TEXT(MAX(1,(YEAR(L175)-YEAR(K175))*12+MONTH(L175)-MONTH(K175)+1),"0")&amp;" months - see Deferred Revenue"))</f>
        <v/>
      </c>
      <c r="N175" s="26" t="n"/>
      <c r="O175" s="24" t="n"/>
      <c r="P175" s="25">
        <f>IF(N(N175)=0,"",IF(N175&gt;0,set_WIPAsset,IF(J175="Cost",IF(O175="","(set the P&amp;L Account)",O175),IF(O175="",set_WIPIncome,O175))))</f>
        <v/>
      </c>
      <c r="Q175" s="25">
        <f>IF(N(N175)=0,"",IF(N175&gt;0,IF(J175="Cost",IF(O175="","(set the P&amp;L Account)",O175),IF(O175="",set_WIPIncome,O175)),set_WIPAsset))</f>
        <v/>
      </c>
      <c r="R175" s="27">
        <f>IF(OR(N(N175)=0,K175&lt;&gt;""),"",ABS(N175))</f>
        <v/>
      </c>
      <c r="S175" s="25">
        <f>IF(N(N175)=0,"",IF(K175&lt;&gt;"","spreads monthly - see Deferred Revenue","WIP "&amp;I175&amp;IF(D175="",""," - "&amp;D175)&amp;IF(F175="",""," "&amp;F175)&amp;IF(H175="",""," - "&amp;H175)))</f>
        <v/>
      </c>
      <c r="T175" s="24" t="n"/>
      <c r="U175" s="24" t="n"/>
      <c r="V175" s="24" t="n"/>
    </row>
    <row r="176" ht="15" customHeight="1">
      <c r="A176" s="70" t="n"/>
      <c r="B176" s="68">
        <f>IF(C176="","",IFERROR(INDEX(tbl_Finance[Date],MATCH(C176&amp;"",tbl_Finance[Xero Invoice No],0)),""))</f>
        <v/>
      </c>
      <c r="C176" s="24" t="n"/>
      <c r="D176" s="24" t="n"/>
      <c r="E176" s="25">
        <f>IF(D176="","",IF(COUNTIF(lst_Jobs,D176&amp;"")&gt;0,"OK","CHECK"))</f>
        <v/>
      </c>
      <c r="F176" s="24" t="n"/>
      <c r="G176" s="24" t="n"/>
      <c r="H176" s="24" t="n"/>
      <c r="I176" s="24" t="n"/>
      <c r="J176" s="24" t="n"/>
      <c r="K176" s="22" t="n"/>
      <c r="L176" s="22" t="n"/>
      <c r="M176" s="25">
        <f>IF(N176="","",IF(OR(K176="",L176=""),"one month",TEXT(MAX(1,(YEAR(L176)-YEAR(K176))*12+MONTH(L176)-MONTH(K176)+1),"0")&amp;" months - see Deferred Revenue"))</f>
        <v/>
      </c>
      <c r="N176" s="26" t="n"/>
      <c r="O176" s="24" t="n"/>
      <c r="P176" s="25">
        <f>IF(N(N176)=0,"",IF(N176&gt;0,set_WIPAsset,IF(J176="Cost",IF(O176="","(set the P&amp;L Account)",O176),IF(O176="",set_WIPIncome,O176))))</f>
        <v/>
      </c>
      <c r="Q176" s="25">
        <f>IF(N(N176)=0,"",IF(N176&gt;0,IF(J176="Cost",IF(O176="","(set the P&amp;L Account)",O176),IF(O176="",set_WIPIncome,O176)),set_WIPAsset))</f>
        <v/>
      </c>
      <c r="R176" s="27">
        <f>IF(OR(N(N176)=0,K176&lt;&gt;""),"",ABS(N176))</f>
        <v/>
      </c>
      <c r="S176" s="25">
        <f>IF(N(N176)=0,"",IF(K176&lt;&gt;"","spreads monthly - see Deferred Revenue","WIP "&amp;I176&amp;IF(D176="",""," - "&amp;D176)&amp;IF(F176="",""," "&amp;F176)&amp;IF(H176="",""," - "&amp;H176)))</f>
        <v/>
      </c>
      <c r="T176" s="24" t="n"/>
      <c r="U176" s="24" t="n"/>
      <c r="V176" s="24" t="n"/>
    </row>
    <row r="177" ht="15" customHeight="1">
      <c r="A177" s="70" t="n"/>
      <c r="B177" s="68">
        <f>IF(C177="","",IFERROR(INDEX(tbl_Finance[Date],MATCH(C177&amp;"",tbl_Finance[Xero Invoice No],0)),""))</f>
        <v/>
      </c>
      <c r="C177" s="24" t="n"/>
      <c r="D177" s="24" t="n"/>
      <c r="E177" s="25">
        <f>IF(D177="","",IF(COUNTIF(lst_Jobs,D177&amp;"")&gt;0,"OK","CHECK"))</f>
        <v/>
      </c>
      <c r="F177" s="24" t="n"/>
      <c r="G177" s="24" t="n"/>
      <c r="H177" s="24" t="n"/>
      <c r="I177" s="24" t="n"/>
      <c r="J177" s="24" t="n"/>
      <c r="K177" s="22" t="n"/>
      <c r="L177" s="22" t="n"/>
      <c r="M177" s="25">
        <f>IF(N177="","",IF(OR(K177="",L177=""),"one month",TEXT(MAX(1,(YEAR(L177)-YEAR(K177))*12+MONTH(L177)-MONTH(K177)+1),"0")&amp;" months - see Deferred Revenue"))</f>
        <v/>
      </c>
      <c r="N177" s="26" t="n"/>
      <c r="O177" s="24" t="n"/>
      <c r="P177" s="25">
        <f>IF(N(N177)=0,"",IF(N177&gt;0,set_WIPAsset,IF(J177="Cost",IF(O177="","(set the P&amp;L Account)",O177),IF(O177="",set_WIPIncome,O177))))</f>
        <v/>
      </c>
      <c r="Q177" s="25">
        <f>IF(N(N177)=0,"",IF(N177&gt;0,IF(J177="Cost",IF(O177="","(set the P&amp;L Account)",O177),IF(O177="",set_WIPIncome,O177)),set_WIPAsset))</f>
        <v/>
      </c>
      <c r="R177" s="27">
        <f>IF(OR(N(N177)=0,K177&lt;&gt;""),"",ABS(N177))</f>
        <v/>
      </c>
      <c r="S177" s="25">
        <f>IF(N(N177)=0,"",IF(K177&lt;&gt;"","spreads monthly - see Deferred Revenue","WIP "&amp;I177&amp;IF(D177="",""," - "&amp;D177)&amp;IF(F177="",""," "&amp;F177)&amp;IF(H177="",""," - "&amp;H177)))</f>
        <v/>
      </c>
      <c r="T177" s="24" t="n"/>
      <c r="U177" s="24" t="n"/>
      <c r="V177" s="24" t="n"/>
    </row>
    <row r="178" ht="15" customHeight="1">
      <c r="A178" s="70" t="n"/>
      <c r="B178" s="68">
        <f>IF(C178="","",IFERROR(INDEX(tbl_Finance[Date],MATCH(C178&amp;"",tbl_Finance[Xero Invoice No],0)),""))</f>
        <v/>
      </c>
      <c r="C178" s="24" t="n"/>
      <c r="D178" s="24" t="n"/>
      <c r="E178" s="25">
        <f>IF(D178="","",IF(COUNTIF(lst_Jobs,D178&amp;"")&gt;0,"OK","CHECK"))</f>
        <v/>
      </c>
      <c r="F178" s="24" t="n"/>
      <c r="G178" s="24" t="n"/>
      <c r="H178" s="24" t="n"/>
      <c r="I178" s="24" t="n"/>
      <c r="J178" s="24" t="n"/>
      <c r="K178" s="22" t="n"/>
      <c r="L178" s="22" t="n"/>
      <c r="M178" s="25">
        <f>IF(N178="","",IF(OR(K178="",L178=""),"one month",TEXT(MAX(1,(YEAR(L178)-YEAR(K178))*12+MONTH(L178)-MONTH(K178)+1),"0")&amp;" months - see Deferred Revenue"))</f>
        <v/>
      </c>
      <c r="N178" s="26" t="n"/>
      <c r="O178" s="24" t="n"/>
      <c r="P178" s="25">
        <f>IF(N(N178)=0,"",IF(N178&gt;0,set_WIPAsset,IF(J178="Cost",IF(O178="","(set the P&amp;L Account)",O178),IF(O178="",set_WIPIncome,O178))))</f>
        <v/>
      </c>
      <c r="Q178" s="25">
        <f>IF(N(N178)=0,"",IF(N178&gt;0,IF(J178="Cost",IF(O178="","(set the P&amp;L Account)",O178),IF(O178="",set_WIPIncome,O178)),set_WIPAsset))</f>
        <v/>
      </c>
      <c r="R178" s="27">
        <f>IF(OR(N(N178)=0,K178&lt;&gt;""),"",ABS(N178))</f>
        <v/>
      </c>
      <c r="S178" s="25">
        <f>IF(N(N178)=0,"",IF(K178&lt;&gt;"","spreads monthly - see Deferred Revenue","WIP "&amp;I178&amp;IF(D178="",""," - "&amp;D178)&amp;IF(F178="",""," "&amp;F178)&amp;IF(H178="",""," - "&amp;H178)))</f>
        <v/>
      </c>
      <c r="T178" s="24" t="n"/>
      <c r="U178" s="24" t="n"/>
      <c r="V178" s="24" t="n"/>
    </row>
    <row r="179" ht="15" customHeight="1">
      <c r="A179" s="70" t="n"/>
      <c r="B179" s="68">
        <f>IF(C179="","",IFERROR(INDEX(tbl_Finance[Date],MATCH(C179&amp;"",tbl_Finance[Xero Invoice No],0)),""))</f>
        <v/>
      </c>
      <c r="C179" s="24" t="n"/>
      <c r="D179" s="24" t="n"/>
      <c r="E179" s="25">
        <f>IF(D179="","",IF(COUNTIF(lst_Jobs,D179&amp;"")&gt;0,"OK","CHECK"))</f>
        <v/>
      </c>
      <c r="F179" s="24" t="n"/>
      <c r="G179" s="24" t="n"/>
      <c r="H179" s="24" t="n"/>
      <c r="I179" s="24" t="n"/>
      <c r="J179" s="24" t="n"/>
      <c r="K179" s="22" t="n"/>
      <c r="L179" s="22" t="n"/>
      <c r="M179" s="25">
        <f>IF(N179="","",IF(OR(K179="",L179=""),"one month",TEXT(MAX(1,(YEAR(L179)-YEAR(K179))*12+MONTH(L179)-MONTH(K179)+1),"0")&amp;" months - see Deferred Revenue"))</f>
        <v/>
      </c>
      <c r="N179" s="26" t="n"/>
      <c r="O179" s="24" t="n"/>
      <c r="P179" s="25">
        <f>IF(N(N179)=0,"",IF(N179&gt;0,set_WIPAsset,IF(J179="Cost",IF(O179="","(set the P&amp;L Account)",O179),IF(O179="",set_WIPIncome,O179))))</f>
        <v/>
      </c>
      <c r="Q179" s="25">
        <f>IF(N(N179)=0,"",IF(N179&gt;0,IF(J179="Cost",IF(O179="","(set the P&amp;L Account)",O179),IF(O179="",set_WIPIncome,O179)),set_WIPAsset))</f>
        <v/>
      </c>
      <c r="R179" s="27">
        <f>IF(OR(N(N179)=0,K179&lt;&gt;""),"",ABS(N179))</f>
        <v/>
      </c>
      <c r="S179" s="25">
        <f>IF(N(N179)=0,"",IF(K179&lt;&gt;"","spreads monthly - see Deferred Revenue","WIP "&amp;I179&amp;IF(D179="",""," - "&amp;D179)&amp;IF(F179="",""," "&amp;F179)&amp;IF(H179="",""," - "&amp;H179)))</f>
        <v/>
      </c>
      <c r="T179" s="24" t="n"/>
      <c r="U179" s="24" t="n"/>
      <c r="V179" s="24" t="n"/>
    </row>
    <row r="180" ht="15" customHeight="1">
      <c r="A180" s="70" t="n"/>
      <c r="B180" s="68">
        <f>IF(C180="","",IFERROR(INDEX(tbl_Finance[Date],MATCH(C180&amp;"",tbl_Finance[Xero Invoice No],0)),""))</f>
        <v/>
      </c>
      <c r="C180" s="24" t="n"/>
      <c r="D180" s="24" t="n"/>
      <c r="E180" s="25">
        <f>IF(D180="","",IF(COUNTIF(lst_Jobs,D180&amp;"")&gt;0,"OK","CHECK"))</f>
        <v/>
      </c>
      <c r="F180" s="24" t="n"/>
      <c r="G180" s="24" t="n"/>
      <c r="H180" s="24" t="n"/>
      <c r="I180" s="24" t="n"/>
      <c r="J180" s="24" t="n"/>
      <c r="K180" s="22" t="n"/>
      <c r="L180" s="22" t="n"/>
      <c r="M180" s="25">
        <f>IF(N180="","",IF(OR(K180="",L180=""),"one month",TEXT(MAX(1,(YEAR(L180)-YEAR(K180))*12+MONTH(L180)-MONTH(K180)+1),"0")&amp;" months - see Deferred Revenue"))</f>
        <v/>
      </c>
      <c r="N180" s="26" t="n"/>
      <c r="O180" s="24" t="n"/>
      <c r="P180" s="25">
        <f>IF(N(N180)=0,"",IF(N180&gt;0,set_WIPAsset,IF(J180="Cost",IF(O180="","(set the P&amp;L Account)",O180),IF(O180="",set_WIPIncome,O180))))</f>
        <v/>
      </c>
      <c r="Q180" s="25">
        <f>IF(N(N180)=0,"",IF(N180&gt;0,IF(J180="Cost",IF(O180="","(set the P&amp;L Account)",O180),IF(O180="",set_WIPIncome,O180)),set_WIPAsset))</f>
        <v/>
      </c>
      <c r="R180" s="27">
        <f>IF(OR(N(N180)=0,K180&lt;&gt;""),"",ABS(N180))</f>
        <v/>
      </c>
      <c r="S180" s="25">
        <f>IF(N(N180)=0,"",IF(K180&lt;&gt;"","spreads monthly - see Deferred Revenue","WIP "&amp;I180&amp;IF(D180="",""," - "&amp;D180)&amp;IF(F180="",""," "&amp;F180)&amp;IF(H180="",""," - "&amp;H180)))</f>
        <v/>
      </c>
      <c r="T180" s="24" t="n"/>
      <c r="U180" s="24" t="n"/>
      <c r="V180" s="24" t="n"/>
    </row>
    <row r="181" ht="15" customHeight="1">
      <c r="A181" s="70" t="n"/>
      <c r="B181" s="68">
        <f>IF(C181="","",IFERROR(INDEX(tbl_Finance[Date],MATCH(C181&amp;"",tbl_Finance[Xero Invoice No],0)),""))</f>
        <v/>
      </c>
      <c r="C181" s="24" t="n"/>
      <c r="D181" s="24" t="n"/>
      <c r="E181" s="25">
        <f>IF(D181="","",IF(COUNTIF(lst_Jobs,D181&amp;"")&gt;0,"OK","CHECK"))</f>
        <v/>
      </c>
      <c r="F181" s="24" t="n"/>
      <c r="G181" s="24" t="n"/>
      <c r="H181" s="24" t="n"/>
      <c r="I181" s="24" t="n"/>
      <c r="J181" s="24" t="n"/>
      <c r="K181" s="22" t="n"/>
      <c r="L181" s="22" t="n"/>
      <c r="M181" s="25">
        <f>IF(N181="","",IF(OR(K181="",L181=""),"one month",TEXT(MAX(1,(YEAR(L181)-YEAR(K181))*12+MONTH(L181)-MONTH(K181)+1),"0")&amp;" months - see Deferred Revenue"))</f>
        <v/>
      </c>
      <c r="N181" s="26" t="n"/>
      <c r="O181" s="24" t="n"/>
      <c r="P181" s="25">
        <f>IF(N(N181)=0,"",IF(N181&gt;0,set_WIPAsset,IF(J181="Cost",IF(O181="","(set the P&amp;L Account)",O181),IF(O181="",set_WIPIncome,O181))))</f>
        <v/>
      </c>
      <c r="Q181" s="25">
        <f>IF(N(N181)=0,"",IF(N181&gt;0,IF(J181="Cost",IF(O181="","(set the P&amp;L Account)",O181),IF(O181="",set_WIPIncome,O181)),set_WIPAsset))</f>
        <v/>
      </c>
      <c r="R181" s="27">
        <f>IF(OR(N(N181)=0,K181&lt;&gt;""),"",ABS(N181))</f>
        <v/>
      </c>
      <c r="S181" s="25">
        <f>IF(N(N181)=0,"",IF(K181&lt;&gt;"","spreads monthly - see Deferred Revenue","WIP "&amp;I181&amp;IF(D181="",""," - "&amp;D181)&amp;IF(F181="",""," "&amp;F181)&amp;IF(H181="",""," - "&amp;H181)))</f>
        <v/>
      </c>
      <c r="T181" s="24" t="n"/>
      <c r="U181" s="24" t="n"/>
      <c r="V181" s="24" t="n"/>
    </row>
    <row r="182" ht="15" customHeight="1">
      <c r="A182" s="70" t="n"/>
      <c r="B182" s="68">
        <f>IF(C182="","",IFERROR(INDEX(tbl_Finance[Date],MATCH(C182&amp;"",tbl_Finance[Xero Invoice No],0)),""))</f>
        <v/>
      </c>
      <c r="C182" s="24" t="n"/>
      <c r="D182" s="24" t="n"/>
      <c r="E182" s="25">
        <f>IF(D182="","",IF(COUNTIF(lst_Jobs,D182&amp;"")&gt;0,"OK","CHECK"))</f>
        <v/>
      </c>
      <c r="F182" s="24" t="n"/>
      <c r="G182" s="24" t="n"/>
      <c r="H182" s="24" t="n"/>
      <c r="I182" s="24" t="n"/>
      <c r="J182" s="24" t="n"/>
      <c r="K182" s="22" t="n"/>
      <c r="L182" s="22" t="n"/>
      <c r="M182" s="25">
        <f>IF(N182="","",IF(OR(K182="",L182=""),"one month",TEXT(MAX(1,(YEAR(L182)-YEAR(K182))*12+MONTH(L182)-MONTH(K182)+1),"0")&amp;" months - see Deferred Revenue"))</f>
        <v/>
      </c>
      <c r="N182" s="26" t="n"/>
      <c r="O182" s="24" t="n"/>
      <c r="P182" s="25">
        <f>IF(N(N182)=0,"",IF(N182&gt;0,set_WIPAsset,IF(J182="Cost",IF(O182="","(set the P&amp;L Account)",O182),IF(O182="",set_WIPIncome,O182))))</f>
        <v/>
      </c>
      <c r="Q182" s="25">
        <f>IF(N(N182)=0,"",IF(N182&gt;0,IF(J182="Cost",IF(O182="","(set the P&amp;L Account)",O182),IF(O182="",set_WIPIncome,O182)),set_WIPAsset))</f>
        <v/>
      </c>
      <c r="R182" s="27">
        <f>IF(OR(N(N182)=0,K182&lt;&gt;""),"",ABS(N182))</f>
        <v/>
      </c>
      <c r="S182" s="25">
        <f>IF(N(N182)=0,"",IF(K182&lt;&gt;"","spreads monthly - see Deferred Revenue","WIP "&amp;I182&amp;IF(D182="",""," - "&amp;D182)&amp;IF(F182="",""," "&amp;F182)&amp;IF(H182="",""," - "&amp;H182)))</f>
        <v/>
      </c>
      <c r="T182" s="24" t="n"/>
      <c r="U182" s="24" t="n"/>
      <c r="V182" s="24" t="n"/>
    </row>
    <row r="183" ht="15" customHeight="1">
      <c r="A183" s="70" t="n"/>
      <c r="B183" s="68">
        <f>IF(C183="","",IFERROR(INDEX(tbl_Finance[Date],MATCH(C183&amp;"",tbl_Finance[Xero Invoice No],0)),""))</f>
        <v/>
      </c>
      <c r="C183" s="24" t="n"/>
      <c r="D183" s="24" t="n"/>
      <c r="E183" s="25">
        <f>IF(D183="","",IF(COUNTIF(lst_Jobs,D183&amp;"")&gt;0,"OK","CHECK"))</f>
        <v/>
      </c>
      <c r="F183" s="24" t="n"/>
      <c r="G183" s="24" t="n"/>
      <c r="H183" s="24" t="n"/>
      <c r="I183" s="24" t="n"/>
      <c r="J183" s="24" t="n"/>
      <c r="K183" s="22" t="n"/>
      <c r="L183" s="22" t="n"/>
      <c r="M183" s="25">
        <f>IF(N183="","",IF(OR(K183="",L183=""),"one month",TEXT(MAX(1,(YEAR(L183)-YEAR(K183))*12+MONTH(L183)-MONTH(K183)+1),"0")&amp;" months - see Deferred Revenue"))</f>
        <v/>
      </c>
      <c r="N183" s="26" t="n"/>
      <c r="O183" s="24" t="n"/>
      <c r="P183" s="25">
        <f>IF(N(N183)=0,"",IF(N183&gt;0,set_WIPAsset,IF(J183="Cost",IF(O183="","(set the P&amp;L Account)",O183),IF(O183="",set_WIPIncome,O183))))</f>
        <v/>
      </c>
      <c r="Q183" s="25">
        <f>IF(N(N183)=0,"",IF(N183&gt;0,IF(J183="Cost",IF(O183="","(set the P&amp;L Account)",O183),IF(O183="",set_WIPIncome,O183)),set_WIPAsset))</f>
        <v/>
      </c>
      <c r="R183" s="27">
        <f>IF(OR(N(N183)=0,K183&lt;&gt;""),"",ABS(N183))</f>
        <v/>
      </c>
      <c r="S183" s="25">
        <f>IF(N(N183)=0,"",IF(K183&lt;&gt;"","spreads monthly - see Deferred Revenue","WIP "&amp;I183&amp;IF(D183="",""," - "&amp;D183)&amp;IF(F183="",""," "&amp;F183)&amp;IF(H183="",""," - "&amp;H183)))</f>
        <v/>
      </c>
      <c r="T183" s="24" t="n"/>
      <c r="U183" s="24" t="n"/>
      <c r="V183" s="24" t="n"/>
    </row>
    <row r="184" ht="15" customHeight="1">
      <c r="A184" s="70" t="n"/>
      <c r="B184" s="68">
        <f>IF(C184="","",IFERROR(INDEX(tbl_Finance[Date],MATCH(C184&amp;"",tbl_Finance[Xero Invoice No],0)),""))</f>
        <v/>
      </c>
      <c r="C184" s="24" t="n"/>
      <c r="D184" s="24" t="n"/>
      <c r="E184" s="25">
        <f>IF(D184="","",IF(COUNTIF(lst_Jobs,D184&amp;"")&gt;0,"OK","CHECK"))</f>
        <v/>
      </c>
      <c r="F184" s="24" t="n"/>
      <c r="G184" s="24" t="n"/>
      <c r="H184" s="24" t="n"/>
      <c r="I184" s="24" t="n"/>
      <c r="J184" s="24" t="n"/>
      <c r="K184" s="22" t="n"/>
      <c r="L184" s="22" t="n"/>
      <c r="M184" s="25">
        <f>IF(N184="","",IF(OR(K184="",L184=""),"one month",TEXT(MAX(1,(YEAR(L184)-YEAR(K184))*12+MONTH(L184)-MONTH(K184)+1),"0")&amp;" months - see Deferred Revenue"))</f>
        <v/>
      </c>
      <c r="N184" s="26" t="n"/>
      <c r="O184" s="24" t="n"/>
      <c r="P184" s="25">
        <f>IF(N(N184)=0,"",IF(N184&gt;0,set_WIPAsset,IF(J184="Cost",IF(O184="","(set the P&amp;L Account)",O184),IF(O184="",set_WIPIncome,O184))))</f>
        <v/>
      </c>
      <c r="Q184" s="25">
        <f>IF(N(N184)=0,"",IF(N184&gt;0,IF(J184="Cost",IF(O184="","(set the P&amp;L Account)",O184),IF(O184="",set_WIPIncome,O184)),set_WIPAsset))</f>
        <v/>
      </c>
      <c r="R184" s="27">
        <f>IF(OR(N(N184)=0,K184&lt;&gt;""),"",ABS(N184))</f>
        <v/>
      </c>
      <c r="S184" s="25">
        <f>IF(N(N184)=0,"",IF(K184&lt;&gt;"","spreads monthly - see Deferred Revenue","WIP "&amp;I184&amp;IF(D184="",""," - "&amp;D184)&amp;IF(F184="",""," "&amp;F184)&amp;IF(H184="",""," - "&amp;H184)))</f>
        <v/>
      </c>
      <c r="T184" s="24" t="n"/>
      <c r="U184" s="24" t="n"/>
      <c r="V184" s="24" t="n"/>
    </row>
    <row r="185" ht="15" customHeight="1">
      <c r="A185" s="70" t="n"/>
      <c r="B185" s="68">
        <f>IF(C185="","",IFERROR(INDEX(tbl_Finance[Date],MATCH(C185&amp;"",tbl_Finance[Xero Invoice No],0)),""))</f>
        <v/>
      </c>
      <c r="C185" s="24" t="n"/>
      <c r="D185" s="24" t="n"/>
      <c r="E185" s="25">
        <f>IF(D185="","",IF(COUNTIF(lst_Jobs,D185&amp;"")&gt;0,"OK","CHECK"))</f>
        <v/>
      </c>
      <c r="F185" s="24" t="n"/>
      <c r="G185" s="24" t="n"/>
      <c r="H185" s="24" t="n"/>
      <c r="I185" s="24" t="n"/>
      <c r="J185" s="24" t="n"/>
      <c r="K185" s="22" t="n"/>
      <c r="L185" s="22" t="n"/>
      <c r="M185" s="25">
        <f>IF(N185="","",IF(OR(K185="",L185=""),"one month",TEXT(MAX(1,(YEAR(L185)-YEAR(K185))*12+MONTH(L185)-MONTH(K185)+1),"0")&amp;" months - see Deferred Revenue"))</f>
        <v/>
      </c>
      <c r="N185" s="26" t="n"/>
      <c r="O185" s="24" t="n"/>
      <c r="P185" s="25">
        <f>IF(N(N185)=0,"",IF(N185&gt;0,set_WIPAsset,IF(J185="Cost",IF(O185="","(set the P&amp;L Account)",O185),IF(O185="",set_WIPIncome,O185))))</f>
        <v/>
      </c>
      <c r="Q185" s="25">
        <f>IF(N(N185)=0,"",IF(N185&gt;0,IF(J185="Cost",IF(O185="","(set the P&amp;L Account)",O185),IF(O185="",set_WIPIncome,O185)),set_WIPAsset))</f>
        <v/>
      </c>
      <c r="R185" s="27">
        <f>IF(OR(N(N185)=0,K185&lt;&gt;""),"",ABS(N185))</f>
        <v/>
      </c>
      <c r="S185" s="25">
        <f>IF(N(N185)=0,"",IF(K185&lt;&gt;"","spreads monthly - see Deferred Revenue","WIP "&amp;I185&amp;IF(D185="",""," - "&amp;D185)&amp;IF(F185="",""," "&amp;F185)&amp;IF(H185="",""," - "&amp;H185)))</f>
        <v/>
      </c>
      <c r="T185" s="24" t="n"/>
      <c r="U185" s="24" t="n"/>
      <c r="V185" s="24" t="n"/>
    </row>
    <row r="186" ht="15" customHeight="1">
      <c r="A186" s="70" t="n"/>
      <c r="B186" s="68">
        <f>IF(C186="","",IFERROR(INDEX(tbl_Finance[Date],MATCH(C186&amp;"",tbl_Finance[Xero Invoice No],0)),""))</f>
        <v/>
      </c>
      <c r="C186" s="24" t="n"/>
      <c r="D186" s="24" t="n"/>
      <c r="E186" s="25">
        <f>IF(D186="","",IF(COUNTIF(lst_Jobs,D186&amp;"")&gt;0,"OK","CHECK"))</f>
        <v/>
      </c>
      <c r="F186" s="24" t="n"/>
      <c r="G186" s="24" t="n"/>
      <c r="H186" s="24" t="n"/>
      <c r="I186" s="24" t="n"/>
      <c r="J186" s="24" t="n"/>
      <c r="K186" s="22" t="n"/>
      <c r="L186" s="22" t="n"/>
      <c r="M186" s="25">
        <f>IF(N186="","",IF(OR(K186="",L186=""),"one month",TEXT(MAX(1,(YEAR(L186)-YEAR(K186))*12+MONTH(L186)-MONTH(K186)+1),"0")&amp;" months - see Deferred Revenue"))</f>
        <v/>
      </c>
      <c r="N186" s="26" t="n"/>
      <c r="O186" s="24" t="n"/>
      <c r="P186" s="25">
        <f>IF(N(N186)=0,"",IF(N186&gt;0,set_WIPAsset,IF(J186="Cost",IF(O186="","(set the P&amp;L Account)",O186),IF(O186="",set_WIPIncome,O186))))</f>
        <v/>
      </c>
      <c r="Q186" s="25">
        <f>IF(N(N186)=0,"",IF(N186&gt;0,IF(J186="Cost",IF(O186="","(set the P&amp;L Account)",O186),IF(O186="",set_WIPIncome,O186)),set_WIPAsset))</f>
        <v/>
      </c>
      <c r="R186" s="27">
        <f>IF(OR(N(N186)=0,K186&lt;&gt;""),"",ABS(N186))</f>
        <v/>
      </c>
      <c r="S186" s="25">
        <f>IF(N(N186)=0,"",IF(K186&lt;&gt;"","spreads monthly - see Deferred Revenue","WIP "&amp;I186&amp;IF(D186="",""," - "&amp;D186)&amp;IF(F186="",""," "&amp;F186)&amp;IF(H186="",""," - "&amp;H186)))</f>
        <v/>
      </c>
      <c r="T186" s="24" t="n"/>
      <c r="U186" s="24" t="n"/>
      <c r="V186" s="24" t="n"/>
    </row>
    <row r="187" ht="15" customHeight="1">
      <c r="A187" s="70" t="n"/>
      <c r="B187" s="68">
        <f>IF(C187="","",IFERROR(INDEX(tbl_Finance[Date],MATCH(C187&amp;"",tbl_Finance[Xero Invoice No],0)),""))</f>
        <v/>
      </c>
      <c r="C187" s="24" t="n"/>
      <c r="D187" s="24" t="n"/>
      <c r="E187" s="25">
        <f>IF(D187="","",IF(COUNTIF(lst_Jobs,D187&amp;"")&gt;0,"OK","CHECK"))</f>
        <v/>
      </c>
      <c r="F187" s="24" t="n"/>
      <c r="G187" s="24" t="n"/>
      <c r="H187" s="24" t="n"/>
      <c r="I187" s="24" t="n"/>
      <c r="J187" s="24" t="n"/>
      <c r="K187" s="22" t="n"/>
      <c r="L187" s="22" t="n"/>
      <c r="M187" s="25">
        <f>IF(N187="","",IF(OR(K187="",L187=""),"one month",TEXT(MAX(1,(YEAR(L187)-YEAR(K187))*12+MONTH(L187)-MONTH(K187)+1),"0")&amp;" months - see Deferred Revenue"))</f>
        <v/>
      </c>
      <c r="N187" s="26" t="n"/>
      <c r="O187" s="24" t="n"/>
      <c r="P187" s="25">
        <f>IF(N(N187)=0,"",IF(N187&gt;0,set_WIPAsset,IF(J187="Cost",IF(O187="","(set the P&amp;L Account)",O187),IF(O187="",set_WIPIncome,O187))))</f>
        <v/>
      </c>
      <c r="Q187" s="25">
        <f>IF(N(N187)=0,"",IF(N187&gt;0,IF(J187="Cost",IF(O187="","(set the P&amp;L Account)",O187),IF(O187="",set_WIPIncome,O187)),set_WIPAsset))</f>
        <v/>
      </c>
      <c r="R187" s="27">
        <f>IF(OR(N(N187)=0,K187&lt;&gt;""),"",ABS(N187))</f>
        <v/>
      </c>
      <c r="S187" s="25">
        <f>IF(N(N187)=0,"",IF(K187&lt;&gt;"","spreads monthly - see Deferred Revenue","WIP "&amp;I187&amp;IF(D187="",""," - "&amp;D187)&amp;IF(F187="",""," "&amp;F187)&amp;IF(H187="",""," - "&amp;H187)))</f>
        <v/>
      </c>
      <c r="T187" s="24" t="n"/>
      <c r="U187" s="24" t="n"/>
      <c r="V187" s="24" t="n"/>
    </row>
    <row r="188" ht="15" customHeight="1">
      <c r="A188" s="70" t="n"/>
      <c r="B188" s="68">
        <f>IF(C188="","",IFERROR(INDEX(tbl_Finance[Date],MATCH(C188&amp;"",tbl_Finance[Xero Invoice No],0)),""))</f>
        <v/>
      </c>
      <c r="C188" s="24" t="n"/>
      <c r="D188" s="24" t="n"/>
      <c r="E188" s="25">
        <f>IF(D188="","",IF(COUNTIF(lst_Jobs,D188&amp;"")&gt;0,"OK","CHECK"))</f>
        <v/>
      </c>
      <c r="F188" s="24" t="n"/>
      <c r="G188" s="24" t="n"/>
      <c r="H188" s="24" t="n"/>
      <c r="I188" s="24" t="n"/>
      <c r="J188" s="24" t="n"/>
      <c r="K188" s="22" t="n"/>
      <c r="L188" s="22" t="n"/>
      <c r="M188" s="25">
        <f>IF(N188="","",IF(OR(K188="",L188=""),"one month",TEXT(MAX(1,(YEAR(L188)-YEAR(K188))*12+MONTH(L188)-MONTH(K188)+1),"0")&amp;" months - see Deferred Revenue"))</f>
        <v/>
      </c>
      <c r="N188" s="26" t="n"/>
      <c r="O188" s="24" t="n"/>
      <c r="P188" s="25">
        <f>IF(N(N188)=0,"",IF(N188&gt;0,set_WIPAsset,IF(J188="Cost",IF(O188="","(set the P&amp;L Account)",O188),IF(O188="",set_WIPIncome,O188))))</f>
        <v/>
      </c>
      <c r="Q188" s="25">
        <f>IF(N(N188)=0,"",IF(N188&gt;0,IF(J188="Cost",IF(O188="","(set the P&amp;L Account)",O188),IF(O188="",set_WIPIncome,O188)),set_WIPAsset))</f>
        <v/>
      </c>
      <c r="R188" s="27">
        <f>IF(OR(N(N188)=0,K188&lt;&gt;""),"",ABS(N188))</f>
        <v/>
      </c>
      <c r="S188" s="25">
        <f>IF(N(N188)=0,"",IF(K188&lt;&gt;"","spreads monthly - see Deferred Revenue","WIP "&amp;I188&amp;IF(D188="",""," - "&amp;D188)&amp;IF(F188="",""," "&amp;F188)&amp;IF(H188="",""," - "&amp;H188)))</f>
        <v/>
      </c>
      <c r="T188" s="24" t="n"/>
      <c r="U188" s="24" t="n"/>
      <c r="V188" s="24" t="n"/>
    </row>
    <row r="189" ht="15" customHeight="1">
      <c r="A189" s="70" t="n"/>
      <c r="B189" s="68">
        <f>IF(C189="","",IFERROR(INDEX(tbl_Finance[Date],MATCH(C189&amp;"",tbl_Finance[Xero Invoice No],0)),""))</f>
        <v/>
      </c>
      <c r="C189" s="24" t="n"/>
      <c r="D189" s="24" t="n"/>
      <c r="E189" s="25">
        <f>IF(D189="","",IF(COUNTIF(lst_Jobs,D189&amp;"")&gt;0,"OK","CHECK"))</f>
        <v/>
      </c>
      <c r="F189" s="24" t="n"/>
      <c r="G189" s="24" t="n"/>
      <c r="H189" s="24" t="n"/>
      <c r="I189" s="24" t="n"/>
      <c r="J189" s="24" t="n"/>
      <c r="K189" s="22" t="n"/>
      <c r="L189" s="22" t="n"/>
      <c r="M189" s="25">
        <f>IF(N189="","",IF(OR(K189="",L189=""),"one month",TEXT(MAX(1,(YEAR(L189)-YEAR(K189))*12+MONTH(L189)-MONTH(K189)+1),"0")&amp;" months - see Deferred Revenue"))</f>
        <v/>
      </c>
      <c r="N189" s="26" t="n"/>
      <c r="O189" s="24" t="n"/>
      <c r="P189" s="25">
        <f>IF(N(N189)=0,"",IF(N189&gt;0,set_WIPAsset,IF(J189="Cost",IF(O189="","(set the P&amp;L Account)",O189),IF(O189="",set_WIPIncome,O189))))</f>
        <v/>
      </c>
      <c r="Q189" s="25">
        <f>IF(N(N189)=0,"",IF(N189&gt;0,IF(J189="Cost",IF(O189="","(set the P&amp;L Account)",O189),IF(O189="",set_WIPIncome,O189)),set_WIPAsset))</f>
        <v/>
      </c>
      <c r="R189" s="27">
        <f>IF(OR(N(N189)=0,K189&lt;&gt;""),"",ABS(N189))</f>
        <v/>
      </c>
      <c r="S189" s="25">
        <f>IF(N(N189)=0,"",IF(K189&lt;&gt;"","spreads monthly - see Deferred Revenue","WIP "&amp;I189&amp;IF(D189="",""," - "&amp;D189)&amp;IF(F189="",""," "&amp;F189)&amp;IF(H189="",""," - "&amp;H189)))</f>
        <v/>
      </c>
      <c r="T189" s="24" t="n"/>
      <c r="U189" s="24" t="n"/>
      <c r="V189" s="24" t="n"/>
    </row>
    <row r="190" ht="15" customHeight="1">
      <c r="A190" s="70" t="n"/>
      <c r="B190" s="68">
        <f>IF(C190="","",IFERROR(INDEX(tbl_Finance[Date],MATCH(C190&amp;"",tbl_Finance[Xero Invoice No],0)),""))</f>
        <v/>
      </c>
      <c r="C190" s="24" t="n"/>
      <c r="D190" s="24" t="n"/>
      <c r="E190" s="25">
        <f>IF(D190="","",IF(COUNTIF(lst_Jobs,D190&amp;"")&gt;0,"OK","CHECK"))</f>
        <v/>
      </c>
      <c r="F190" s="24" t="n"/>
      <c r="G190" s="24" t="n"/>
      <c r="H190" s="24" t="n"/>
      <c r="I190" s="24" t="n"/>
      <c r="J190" s="24" t="n"/>
      <c r="K190" s="22" t="n"/>
      <c r="L190" s="22" t="n"/>
      <c r="M190" s="25">
        <f>IF(N190="","",IF(OR(K190="",L190=""),"one month",TEXT(MAX(1,(YEAR(L190)-YEAR(K190))*12+MONTH(L190)-MONTH(K190)+1),"0")&amp;" months - see Deferred Revenue"))</f>
        <v/>
      </c>
      <c r="N190" s="26" t="n"/>
      <c r="O190" s="24" t="n"/>
      <c r="P190" s="25">
        <f>IF(N(N190)=0,"",IF(N190&gt;0,set_WIPAsset,IF(J190="Cost",IF(O190="","(set the P&amp;L Account)",O190),IF(O190="",set_WIPIncome,O190))))</f>
        <v/>
      </c>
      <c r="Q190" s="25">
        <f>IF(N(N190)=0,"",IF(N190&gt;0,IF(J190="Cost",IF(O190="","(set the P&amp;L Account)",O190),IF(O190="",set_WIPIncome,O190)),set_WIPAsset))</f>
        <v/>
      </c>
      <c r="R190" s="27">
        <f>IF(OR(N(N190)=0,K190&lt;&gt;""),"",ABS(N190))</f>
        <v/>
      </c>
      <c r="S190" s="25">
        <f>IF(N(N190)=0,"",IF(K190&lt;&gt;"","spreads monthly - see Deferred Revenue","WIP "&amp;I190&amp;IF(D190="",""," - "&amp;D190)&amp;IF(F190="",""," "&amp;F190)&amp;IF(H190="",""," - "&amp;H190)))</f>
        <v/>
      </c>
      <c r="T190" s="24" t="n"/>
      <c r="U190" s="24" t="n"/>
      <c r="V190" s="24" t="n"/>
    </row>
    <row r="191" ht="15" customHeight="1">
      <c r="A191" s="70" t="n"/>
      <c r="B191" s="68">
        <f>IF(C191="","",IFERROR(INDEX(tbl_Finance[Date],MATCH(C191&amp;"",tbl_Finance[Xero Invoice No],0)),""))</f>
        <v/>
      </c>
      <c r="C191" s="24" t="n"/>
      <c r="D191" s="24" t="n"/>
      <c r="E191" s="25">
        <f>IF(D191="","",IF(COUNTIF(lst_Jobs,D191&amp;"")&gt;0,"OK","CHECK"))</f>
        <v/>
      </c>
      <c r="F191" s="24" t="n"/>
      <c r="G191" s="24" t="n"/>
      <c r="H191" s="24" t="n"/>
      <c r="I191" s="24" t="n"/>
      <c r="J191" s="24" t="n"/>
      <c r="K191" s="22" t="n"/>
      <c r="L191" s="22" t="n"/>
      <c r="M191" s="25">
        <f>IF(N191="","",IF(OR(K191="",L191=""),"one month",TEXT(MAX(1,(YEAR(L191)-YEAR(K191))*12+MONTH(L191)-MONTH(K191)+1),"0")&amp;" months - see Deferred Revenue"))</f>
        <v/>
      </c>
      <c r="N191" s="26" t="n"/>
      <c r="O191" s="24" t="n"/>
      <c r="P191" s="25">
        <f>IF(N(N191)=0,"",IF(N191&gt;0,set_WIPAsset,IF(J191="Cost",IF(O191="","(set the P&amp;L Account)",O191),IF(O191="",set_WIPIncome,O191))))</f>
        <v/>
      </c>
      <c r="Q191" s="25">
        <f>IF(N(N191)=0,"",IF(N191&gt;0,IF(J191="Cost",IF(O191="","(set the P&amp;L Account)",O191),IF(O191="",set_WIPIncome,O191)),set_WIPAsset))</f>
        <v/>
      </c>
      <c r="R191" s="27">
        <f>IF(OR(N(N191)=0,K191&lt;&gt;""),"",ABS(N191))</f>
        <v/>
      </c>
      <c r="S191" s="25">
        <f>IF(N(N191)=0,"",IF(K191&lt;&gt;"","spreads monthly - see Deferred Revenue","WIP "&amp;I191&amp;IF(D191="",""," - "&amp;D191)&amp;IF(F191="",""," "&amp;F191)&amp;IF(H191="",""," - "&amp;H191)))</f>
        <v/>
      </c>
      <c r="T191" s="24" t="n"/>
      <c r="U191" s="24" t="n"/>
      <c r="V191" s="24" t="n"/>
    </row>
    <row r="192" ht="15" customHeight="1">
      <c r="A192" s="70" t="n"/>
      <c r="B192" s="68">
        <f>IF(C192="","",IFERROR(INDEX(tbl_Finance[Date],MATCH(C192&amp;"",tbl_Finance[Xero Invoice No],0)),""))</f>
        <v/>
      </c>
      <c r="C192" s="24" t="n"/>
      <c r="D192" s="24" t="n"/>
      <c r="E192" s="25">
        <f>IF(D192="","",IF(COUNTIF(lst_Jobs,D192&amp;"")&gt;0,"OK","CHECK"))</f>
        <v/>
      </c>
      <c r="F192" s="24" t="n"/>
      <c r="G192" s="24" t="n"/>
      <c r="H192" s="24" t="n"/>
      <c r="I192" s="24" t="n"/>
      <c r="J192" s="24" t="n"/>
      <c r="K192" s="22" t="n"/>
      <c r="L192" s="22" t="n"/>
      <c r="M192" s="25">
        <f>IF(N192="","",IF(OR(K192="",L192=""),"one month",TEXT(MAX(1,(YEAR(L192)-YEAR(K192))*12+MONTH(L192)-MONTH(K192)+1),"0")&amp;" months - see Deferred Revenue"))</f>
        <v/>
      </c>
      <c r="N192" s="26" t="n"/>
      <c r="O192" s="24" t="n"/>
      <c r="P192" s="25">
        <f>IF(N(N192)=0,"",IF(N192&gt;0,set_WIPAsset,IF(J192="Cost",IF(O192="","(set the P&amp;L Account)",O192),IF(O192="",set_WIPIncome,O192))))</f>
        <v/>
      </c>
      <c r="Q192" s="25">
        <f>IF(N(N192)=0,"",IF(N192&gt;0,IF(J192="Cost",IF(O192="","(set the P&amp;L Account)",O192),IF(O192="",set_WIPIncome,O192)),set_WIPAsset))</f>
        <v/>
      </c>
      <c r="R192" s="27">
        <f>IF(OR(N(N192)=0,K192&lt;&gt;""),"",ABS(N192))</f>
        <v/>
      </c>
      <c r="S192" s="25">
        <f>IF(N(N192)=0,"",IF(K192&lt;&gt;"","spreads monthly - see Deferred Revenue","WIP "&amp;I192&amp;IF(D192="",""," - "&amp;D192)&amp;IF(F192="",""," "&amp;F192)&amp;IF(H192="",""," - "&amp;H192)))</f>
        <v/>
      </c>
      <c r="T192" s="24" t="n"/>
      <c r="U192" s="24" t="n"/>
      <c r="V192" s="24" t="n"/>
    </row>
    <row r="193" ht="15" customHeight="1">
      <c r="A193" s="70" t="n"/>
      <c r="B193" s="68">
        <f>IF(C193="","",IFERROR(INDEX(tbl_Finance[Date],MATCH(C193&amp;"",tbl_Finance[Xero Invoice No],0)),""))</f>
        <v/>
      </c>
      <c r="C193" s="24" t="n"/>
      <c r="D193" s="24" t="n"/>
      <c r="E193" s="25">
        <f>IF(D193="","",IF(COUNTIF(lst_Jobs,D193&amp;"")&gt;0,"OK","CHECK"))</f>
        <v/>
      </c>
      <c r="F193" s="24" t="n"/>
      <c r="G193" s="24" t="n"/>
      <c r="H193" s="24" t="n"/>
      <c r="I193" s="24" t="n"/>
      <c r="J193" s="24" t="n"/>
      <c r="K193" s="22" t="n"/>
      <c r="L193" s="22" t="n"/>
      <c r="M193" s="25">
        <f>IF(N193="","",IF(OR(K193="",L193=""),"one month",TEXT(MAX(1,(YEAR(L193)-YEAR(K193))*12+MONTH(L193)-MONTH(K193)+1),"0")&amp;" months - see Deferred Revenue"))</f>
        <v/>
      </c>
      <c r="N193" s="26" t="n"/>
      <c r="O193" s="24" t="n"/>
      <c r="P193" s="25">
        <f>IF(N(N193)=0,"",IF(N193&gt;0,set_WIPAsset,IF(J193="Cost",IF(O193="","(set the P&amp;L Account)",O193),IF(O193="",set_WIPIncome,O193))))</f>
        <v/>
      </c>
      <c r="Q193" s="25">
        <f>IF(N(N193)=0,"",IF(N193&gt;0,IF(J193="Cost",IF(O193="","(set the P&amp;L Account)",O193),IF(O193="",set_WIPIncome,O193)),set_WIPAsset))</f>
        <v/>
      </c>
      <c r="R193" s="27">
        <f>IF(OR(N(N193)=0,K193&lt;&gt;""),"",ABS(N193))</f>
        <v/>
      </c>
      <c r="S193" s="25">
        <f>IF(N(N193)=0,"",IF(K193&lt;&gt;"","spreads monthly - see Deferred Revenue","WIP "&amp;I193&amp;IF(D193="",""," - "&amp;D193)&amp;IF(F193="",""," "&amp;F193)&amp;IF(H193="",""," - "&amp;H193)))</f>
        <v/>
      </c>
      <c r="T193" s="24" t="n"/>
      <c r="U193" s="24" t="n"/>
      <c r="V193" s="24" t="n"/>
    </row>
    <row r="194" ht="15" customHeight="1">
      <c r="A194" s="70" t="n"/>
      <c r="B194" s="68">
        <f>IF(C194="","",IFERROR(INDEX(tbl_Finance[Date],MATCH(C194&amp;"",tbl_Finance[Xero Invoice No],0)),""))</f>
        <v/>
      </c>
      <c r="C194" s="24" t="n"/>
      <c r="D194" s="24" t="n"/>
      <c r="E194" s="25">
        <f>IF(D194="","",IF(COUNTIF(lst_Jobs,D194&amp;"")&gt;0,"OK","CHECK"))</f>
        <v/>
      </c>
      <c r="F194" s="24" t="n"/>
      <c r="G194" s="24" t="n"/>
      <c r="H194" s="24" t="n"/>
      <c r="I194" s="24" t="n"/>
      <c r="J194" s="24" t="n"/>
      <c r="K194" s="22" t="n"/>
      <c r="L194" s="22" t="n"/>
      <c r="M194" s="25">
        <f>IF(N194="","",IF(OR(K194="",L194=""),"one month",TEXT(MAX(1,(YEAR(L194)-YEAR(K194))*12+MONTH(L194)-MONTH(K194)+1),"0")&amp;" months - see Deferred Revenue"))</f>
        <v/>
      </c>
      <c r="N194" s="26" t="n"/>
      <c r="O194" s="24" t="n"/>
      <c r="P194" s="25">
        <f>IF(N(N194)=0,"",IF(N194&gt;0,set_WIPAsset,IF(J194="Cost",IF(O194="","(set the P&amp;L Account)",O194),IF(O194="",set_WIPIncome,O194))))</f>
        <v/>
      </c>
      <c r="Q194" s="25">
        <f>IF(N(N194)=0,"",IF(N194&gt;0,IF(J194="Cost",IF(O194="","(set the P&amp;L Account)",O194),IF(O194="",set_WIPIncome,O194)),set_WIPAsset))</f>
        <v/>
      </c>
      <c r="R194" s="27">
        <f>IF(OR(N(N194)=0,K194&lt;&gt;""),"",ABS(N194))</f>
        <v/>
      </c>
      <c r="S194" s="25">
        <f>IF(N(N194)=0,"",IF(K194&lt;&gt;"","spreads monthly - see Deferred Revenue","WIP "&amp;I194&amp;IF(D194="",""," - "&amp;D194)&amp;IF(F194="",""," "&amp;F194)&amp;IF(H194="",""," - "&amp;H194)))</f>
        <v/>
      </c>
      <c r="T194" s="24" t="n"/>
      <c r="U194" s="24" t="n"/>
      <c r="V194" s="24" t="n"/>
    </row>
    <row r="195" ht="15" customHeight="1">
      <c r="A195" s="70" t="n"/>
      <c r="B195" s="68">
        <f>IF(C195="","",IFERROR(INDEX(tbl_Finance[Date],MATCH(C195&amp;"",tbl_Finance[Xero Invoice No],0)),""))</f>
        <v/>
      </c>
      <c r="C195" s="24" t="n"/>
      <c r="D195" s="24" t="n"/>
      <c r="E195" s="25">
        <f>IF(D195="","",IF(COUNTIF(lst_Jobs,D195&amp;"")&gt;0,"OK","CHECK"))</f>
        <v/>
      </c>
      <c r="F195" s="24" t="n"/>
      <c r="G195" s="24" t="n"/>
      <c r="H195" s="24" t="n"/>
      <c r="I195" s="24" t="n"/>
      <c r="J195" s="24" t="n"/>
      <c r="K195" s="22" t="n"/>
      <c r="L195" s="22" t="n"/>
      <c r="M195" s="25">
        <f>IF(N195="","",IF(OR(K195="",L195=""),"one month",TEXT(MAX(1,(YEAR(L195)-YEAR(K195))*12+MONTH(L195)-MONTH(K195)+1),"0")&amp;" months - see Deferred Revenue"))</f>
        <v/>
      </c>
      <c r="N195" s="26" t="n"/>
      <c r="O195" s="24" t="n"/>
      <c r="P195" s="25">
        <f>IF(N(N195)=0,"",IF(N195&gt;0,set_WIPAsset,IF(J195="Cost",IF(O195="","(set the P&amp;L Account)",O195),IF(O195="",set_WIPIncome,O195))))</f>
        <v/>
      </c>
      <c r="Q195" s="25">
        <f>IF(N(N195)=0,"",IF(N195&gt;0,IF(J195="Cost",IF(O195="","(set the P&amp;L Account)",O195),IF(O195="",set_WIPIncome,O195)),set_WIPAsset))</f>
        <v/>
      </c>
      <c r="R195" s="27">
        <f>IF(OR(N(N195)=0,K195&lt;&gt;""),"",ABS(N195))</f>
        <v/>
      </c>
      <c r="S195" s="25">
        <f>IF(N(N195)=0,"",IF(K195&lt;&gt;"","spreads monthly - see Deferred Revenue","WIP "&amp;I195&amp;IF(D195="",""," - "&amp;D195)&amp;IF(F195="",""," "&amp;F195)&amp;IF(H195="",""," - "&amp;H195)))</f>
        <v/>
      </c>
      <c r="T195" s="24" t="n"/>
      <c r="U195" s="24" t="n"/>
      <c r="V195" s="24" t="n"/>
    </row>
    <row r="196" ht="15" customHeight="1">
      <c r="A196" s="70" t="n"/>
      <c r="B196" s="68">
        <f>IF(C196="","",IFERROR(INDEX(tbl_Finance[Date],MATCH(C196&amp;"",tbl_Finance[Xero Invoice No],0)),""))</f>
        <v/>
      </c>
      <c r="C196" s="24" t="n"/>
      <c r="D196" s="24" t="n"/>
      <c r="E196" s="25">
        <f>IF(D196="","",IF(COUNTIF(lst_Jobs,D196&amp;"")&gt;0,"OK","CHECK"))</f>
        <v/>
      </c>
      <c r="F196" s="24" t="n"/>
      <c r="G196" s="24" t="n"/>
      <c r="H196" s="24" t="n"/>
      <c r="I196" s="24" t="n"/>
      <c r="J196" s="24" t="n"/>
      <c r="K196" s="22" t="n"/>
      <c r="L196" s="22" t="n"/>
      <c r="M196" s="25">
        <f>IF(N196="","",IF(OR(K196="",L196=""),"one month",TEXT(MAX(1,(YEAR(L196)-YEAR(K196))*12+MONTH(L196)-MONTH(K196)+1),"0")&amp;" months - see Deferred Revenue"))</f>
        <v/>
      </c>
      <c r="N196" s="26" t="n"/>
      <c r="O196" s="24" t="n"/>
      <c r="P196" s="25">
        <f>IF(N(N196)=0,"",IF(N196&gt;0,set_WIPAsset,IF(J196="Cost",IF(O196="","(set the P&amp;L Account)",O196),IF(O196="",set_WIPIncome,O196))))</f>
        <v/>
      </c>
      <c r="Q196" s="25">
        <f>IF(N(N196)=0,"",IF(N196&gt;0,IF(J196="Cost",IF(O196="","(set the P&amp;L Account)",O196),IF(O196="",set_WIPIncome,O196)),set_WIPAsset))</f>
        <v/>
      </c>
      <c r="R196" s="27">
        <f>IF(OR(N(N196)=0,K196&lt;&gt;""),"",ABS(N196))</f>
        <v/>
      </c>
      <c r="S196" s="25">
        <f>IF(N(N196)=0,"",IF(K196&lt;&gt;"","spreads monthly - see Deferred Revenue","WIP "&amp;I196&amp;IF(D196="",""," - "&amp;D196)&amp;IF(F196="",""," "&amp;F196)&amp;IF(H196="",""," - "&amp;H196)))</f>
        <v/>
      </c>
      <c r="T196" s="24" t="n"/>
      <c r="U196" s="24" t="n"/>
      <c r="V196" s="24" t="n"/>
    </row>
    <row r="197" ht="15" customHeight="1">
      <c r="A197" s="70" t="n"/>
      <c r="B197" s="68">
        <f>IF(C197="","",IFERROR(INDEX(tbl_Finance[Date],MATCH(C197&amp;"",tbl_Finance[Xero Invoice No],0)),""))</f>
        <v/>
      </c>
      <c r="C197" s="24" t="n"/>
      <c r="D197" s="24" t="n"/>
      <c r="E197" s="25">
        <f>IF(D197="","",IF(COUNTIF(lst_Jobs,D197&amp;"")&gt;0,"OK","CHECK"))</f>
        <v/>
      </c>
      <c r="F197" s="24" t="n"/>
      <c r="G197" s="24" t="n"/>
      <c r="H197" s="24" t="n"/>
      <c r="I197" s="24" t="n"/>
      <c r="J197" s="24" t="n"/>
      <c r="K197" s="22" t="n"/>
      <c r="L197" s="22" t="n"/>
      <c r="M197" s="25">
        <f>IF(N197="","",IF(OR(K197="",L197=""),"one month",TEXT(MAX(1,(YEAR(L197)-YEAR(K197))*12+MONTH(L197)-MONTH(K197)+1),"0")&amp;" months - see Deferred Revenue"))</f>
        <v/>
      </c>
      <c r="N197" s="26" t="n"/>
      <c r="O197" s="24" t="n"/>
      <c r="P197" s="25">
        <f>IF(N(N197)=0,"",IF(N197&gt;0,set_WIPAsset,IF(J197="Cost",IF(O197="","(set the P&amp;L Account)",O197),IF(O197="",set_WIPIncome,O197))))</f>
        <v/>
      </c>
      <c r="Q197" s="25">
        <f>IF(N(N197)=0,"",IF(N197&gt;0,IF(J197="Cost",IF(O197="","(set the P&amp;L Account)",O197),IF(O197="",set_WIPIncome,O197)),set_WIPAsset))</f>
        <v/>
      </c>
      <c r="R197" s="27">
        <f>IF(OR(N(N197)=0,K197&lt;&gt;""),"",ABS(N197))</f>
        <v/>
      </c>
      <c r="S197" s="25">
        <f>IF(N(N197)=0,"",IF(K197&lt;&gt;"","spreads monthly - see Deferred Revenue","WIP "&amp;I197&amp;IF(D197="",""," - "&amp;D197)&amp;IF(F197="",""," "&amp;F197)&amp;IF(H197="",""," - "&amp;H197)))</f>
        <v/>
      </c>
      <c r="T197" s="24" t="n"/>
      <c r="U197" s="24" t="n"/>
      <c r="V197" s="24" t="n"/>
    </row>
    <row r="198" ht="15" customHeight="1">
      <c r="A198" s="70" t="n"/>
      <c r="B198" s="68">
        <f>IF(C198="","",IFERROR(INDEX(tbl_Finance[Date],MATCH(C198&amp;"",tbl_Finance[Xero Invoice No],0)),""))</f>
        <v/>
      </c>
      <c r="C198" s="24" t="n"/>
      <c r="D198" s="24" t="n"/>
      <c r="E198" s="25">
        <f>IF(D198="","",IF(COUNTIF(lst_Jobs,D198&amp;"")&gt;0,"OK","CHECK"))</f>
        <v/>
      </c>
      <c r="F198" s="24" t="n"/>
      <c r="G198" s="24" t="n"/>
      <c r="H198" s="24" t="n"/>
      <c r="I198" s="24" t="n"/>
      <c r="J198" s="24" t="n"/>
      <c r="K198" s="22" t="n"/>
      <c r="L198" s="22" t="n"/>
      <c r="M198" s="25">
        <f>IF(N198="","",IF(OR(K198="",L198=""),"one month",TEXT(MAX(1,(YEAR(L198)-YEAR(K198))*12+MONTH(L198)-MONTH(K198)+1),"0")&amp;" months - see Deferred Revenue"))</f>
        <v/>
      </c>
      <c r="N198" s="26" t="n"/>
      <c r="O198" s="24" t="n"/>
      <c r="P198" s="25">
        <f>IF(N(N198)=0,"",IF(N198&gt;0,set_WIPAsset,IF(J198="Cost",IF(O198="","(set the P&amp;L Account)",O198),IF(O198="",set_WIPIncome,O198))))</f>
        <v/>
      </c>
      <c r="Q198" s="25">
        <f>IF(N(N198)=0,"",IF(N198&gt;0,IF(J198="Cost",IF(O198="","(set the P&amp;L Account)",O198),IF(O198="",set_WIPIncome,O198)),set_WIPAsset))</f>
        <v/>
      </c>
      <c r="R198" s="27">
        <f>IF(OR(N(N198)=0,K198&lt;&gt;""),"",ABS(N198))</f>
        <v/>
      </c>
      <c r="S198" s="25">
        <f>IF(N(N198)=0,"",IF(K198&lt;&gt;"","spreads monthly - see Deferred Revenue","WIP "&amp;I198&amp;IF(D198="",""," - "&amp;D198)&amp;IF(F198="",""," "&amp;F198)&amp;IF(H198="",""," - "&amp;H198)))</f>
        <v/>
      </c>
      <c r="T198" s="24" t="n"/>
      <c r="U198" s="24" t="n"/>
      <c r="V198" s="24" t="n"/>
    </row>
    <row r="199" ht="15" customHeight="1">
      <c r="A199" s="70" t="n"/>
      <c r="B199" s="68">
        <f>IF(C199="","",IFERROR(INDEX(tbl_Finance[Date],MATCH(C199&amp;"",tbl_Finance[Xero Invoice No],0)),""))</f>
        <v/>
      </c>
      <c r="C199" s="24" t="n"/>
      <c r="D199" s="24" t="n"/>
      <c r="E199" s="25">
        <f>IF(D199="","",IF(COUNTIF(lst_Jobs,D199&amp;"")&gt;0,"OK","CHECK"))</f>
        <v/>
      </c>
      <c r="F199" s="24" t="n"/>
      <c r="G199" s="24" t="n"/>
      <c r="H199" s="24" t="n"/>
      <c r="I199" s="24" t="n"/>
      <c r="J199" s="24" t="n"/>
      <c r="K199" s="22" t="n"/>
      <c r="L199" s="22" t="n"/>
      <c r="M199" s="25">
        <f>IF(N199="","",IF(OR(K199="",L199=""),"one month",TEXT(MAX(1,(YEAR(L199)-YEAR(K199))*12+MONTH(L199)-MONTH(K199)+1),"0")&amp;" months - see Deferred Revenue"))</f>
        <v/>
      </c>
      <c r="N199" s="26" t="n"/>
      <c r="O199" s="24" t="n"/>
      <c r="P199" s="25">
        <f>IF(N(N199)=0,"",IF(N199&gt;0,set_WIPAsset,IF(J199="Cost",IF(O199="","(set the P&amp;L Account)",O199),IF(O199="",set_WIPIncome,O199))))</f>
        <v/>
      </c>
      <c r="Q199" s="25">
        <f>IF(N(N199)=0,"",IF(N199&gt;0,IF(J199="Cost",IF(O199="","(set the P&amp;L Account)",O199),IF(O199="",set_WIPIncome,O199)),set_WIPAsset))</f>
        <v/>
      </c>
      <c r="R199" s="27">
        <f>IF(OR(N(N199)=0,K199&lt;&gt;""),"",ABS(N199))</f>
        <v/>
      </c>
      <c r="S199" s="25">
        <f>IF(N(N199)=0,"",IF(K199&lt;&gt;"","spreads monthly - see Deferred Revenue","WIP "&amp;I199&amp;IF(D199="",""," - "&amp;D199)&amp;IF(F199="",""," "&amp;F199)&amp;IF(H199="",""," - "&amp;H199)))</f>
        <v/>
      </c>
      <c r="T199" s="24" t="n"/>
      <c r="U199" s="24" t="n"/>
      <c r="V199" s="24" t="n"/>
    </row>
    <row r="200" ht="15" customHeight="1">
      <c r="A200" s="70" t="n"/>
      <c r="B200" s="68">
        <f>IF(C200="","",IFERROR(INDEX(tbl_Finance[Date],MATCH(C200&amp;"",tbl_Finance[Xero Invoice No],0)),""))</f>
        <v/>
      </c>
      <c r="C200" s="24" t="n"/>
      <c r="D200" s="24" t="n"/>
      <c r="E200" s="25">
        <f>IF(D200="","",IF(COUNTIF(lst_Jobs,D200&amp;"")&gt;0,"OK","CHECK"))</f>
        <v/>
      </c>
      <c r="F200" s="24" t="n"/>
      <c r="G200" s="24" t="n"/>
      <c r="H200" s="24" t="n"/>
      <c r="I200" s="24" t="n"/>
      <c r="J200" s="24" t="n"/>
      <c r="K200" s="22" t="n"/>
      <c r="L200" s="22" t="n"/>
      <c r="M200" s="25">
        <f>IF(N200="","",IF(OR(K200="",L200=""),"one month",TEXT(MAX(1,(YEAR(L200)-YEAR(K200))*12+MONTH(L200)-MONTH(K200)+1),"0")&amp;" months - see Deferred Revenue"))</f>
        <v/>
      </c>
      <c r="N200" s="26" t="n"/>
      <c r="O200" s="24" t="n"/>
      <c r="P200" s="25">
        <f>IF(N(N200)=0,"",IF(N200&gt;0,set_WIPAsset,IF(J200="Cost",IF(O200="","(set the P&amp;L Account)",O200),IF(O200="",set_WIPIncome,O200))))</f>
        <v/>
      </c>
      <c r="Q200" s="25">
        <f>IF(N(N200)=0,"",IF(N200&gt;0,IF(J200="Cost",IF(O200="","(set the P&amp;L Account)",O200),IF(O200="",set_WIPIncome,O200)),set_WIPAsset))</f>
        <v/>
      </c>
      <c r="R200" s="27">
        <f>IF(OR(N(N200)=0,K200&lt;&gt;""),"",ABS(N200))</f>
        <v/>
      </c>
      <c r="S200" s="25">
        <f>IF(N(N200)=0,"",IF(K200&lt;&gt;"","spreads monthly - see Deferred Revenue","WIP "&amp;I200&amp;IF(D200="",""," - "&amp;D200)&amp;IF(F200="",""," "&amp;F200)&amp;IF(H200="",""," - "&amp;H200)))</f>
        <v/>
      </c>
      <c r="T200" s="24" t="n"/>
      <c r="U200" s="24" t="n"/>
      <c r="V200" s="24" t="n"/>
    </row>
    <row r="201" ht="15" customHeight="1">
      <c r="A201" s="70" t="n"/>
      <c r="B201" s="68">
        <f>IF(C201="","",IFERROR(INDEX(tbl_Finance[Date],MATCH(C201&amp;"",tbl_Finance[Xero Invoice No],0)),""))</f>
        <v/>
      </c>
      <c r="C201" s="24" t="n"/>
      <c r="D201" s="24" t="n"/>
      <c r="E201" s="25">
        <f>IF(D201="","",IF(COUNTIF(lst_Jobs,D201&amp;"")&gt;0,"OK","CHECK"))</f>
        <v/>
      </c>
      <c r="F201" s="24" t="n"/>
      <c r="G201" s="24" t="n"/>
      <c r="H201" s="24" t="n"/>
      <c r="I201" s="24" t="n"/>
      <c r="J201" s="24" t="n"/>
      <c r="K201" s="22" t="n"/>
      <c r="L201" s="22" t="n"/>
      <c r="M201" s="25">
        <f>IF(N201="","",IF(OR(K201="",L201=""),"one month",TEXT(MAX(1,(YEAR(L201)-YEAR(K201))*12+MONTH(L201)-MONTH(K201)+1),"0")&amp;" months - see Deferred Revenue"))</f>
        <v/>
      </c>
      <c r="N201" s="26" t="n"/>
      <c r="O201" s="24" t="n"/>
      <c r="P201" s="25">
        <f>IF(N(N201)=0,"",IF(N201&gt;0,set_WIPAsset,IF(J201="Cost",IF(O201="","(set the P&amp;L Account)",O201),IF(O201="",set_WIPIncome,O201))))</f>
        <v/>
      </c>
      <c r="Q201" s="25">
        <f>IF(N(N201)=0,"",IF(N201&gt;0,IF(J201="Cost",IF(O201="","(set the P&amp;L Account)",O201),IF(O201="",set_WIPIncome,O201)),set_WIPAsset))</f>
        <v/>
      </c>
      <c r="R201" s="27">
        <f>IF(OR(N(N201)=0,K201&lt;&gt;""),"",ABS(N201))</f>
        <v/>
      </c>
      <c r="S201" s="25">
        <f>IF(N(N201)=0,"",IF(K201&lt;&gt;"","spreads monthly - see Deferred Revenue","WIP "&amp;I201&amp;IF(D201="",""," - "&amp;D201)&amp;IF(F201="",""," "&amp;F201)&amp;IF(H201="",""," - "&amp;H201)))</f>
        <v/>
      </c>
      <c r="T201" s="24" t="n"/>
      <c r="U201" s="24" t="n"/>
      <c r="V201" s="24" t="n"/>
    </row>
    <row r="202" ht="15" customHeight="1">
      <c r="A202" s="70" t="n"/>
      <c r="B202" s="68">
        <f>IF(C202="","",IFERROR(INDEX(tbl_Finance[Date],MATCH(C202&amp;"",tbl_Finance[Xero Invoice No],0)),""))</f>
        <v/>
      </c>
      <c r="C202" s="24" t="n"/>
      <c r="D202" s="24" t="n"/>
      <c r="E202" s="25">
        <f>IF(D202="","",IF(COUNTIF(lst_Jobs,D202&amp;"")&gt;0,"OK","CHECK"))</f>
        <v/>
      </c>
      <c r="F202" s="24" t="n"/>
      <c r="G202" s="24" t="n"/>
      <c r="H202" s="24" t="n"/>
      <c r="I202" s="24" t="n"/>
      <c r="J202" s="24" t="n"/>
      <c r="K202" s="22" t="n"/>
      <c r="L202" s="22" t="n"/>
      <c r="M202" s="25">
        <f>IF(N202="","",IF(OR(K202="",L202=""),"one month",TEXT(MAX(1,(YEAR(L202)-YEAR(K202))*12+MONTH(L202)-MONTH(K202)+1),"0")&amp;" months - see Deferred Revenue"))</f>
        <v/>
      </c>
      <c r="N202" s="26" t="n"/>
      <c r="O202" s="24" t="n"/>
      <c r="P202" s="25">
        <f>IF(N(N202)=0,"",IF(N202&gt;0,set_WIPAsset,IF(J202="Cost",IF(O202="","(set the P&amp;L Account)",O202),IF(O202="",set_WIPIncome,O202))))</f>
        <v/>
      </c>
      <c r="Q202" s="25">
        <f>IF(N(N202)=0,"",IF(N202&gt;0,IF(J202="Cost",IF(O202="","(set the P&amp;L Account)",O202),IF(O202="",set_WIPIncome,O202)),set_WIPAsset))</f>
        <v/>
      </c>
      <c r="R202" s="27">
        <f>IF(OR(N(N202)=0,K202&lt;&gt;""),"",ABS(N202))</f>
        <v/>
      </c>
      <c r="S202" s="25">
        <f>IF(N(N202)=0,"",IF(K202&lt;&gt;"","spreads monthly - see Deferred Revenue","WIP "&amp;I202&amp;IF(D202="",""," - "&amp;D202)&amp;IF(F202="",""," "&amp;F202)&amp;IF(H202="",""," - "&amp;H202)))</f>
        <v/>
      </c>
      <c r="T202" s="24" t="n"/>
      <c r="U202" s="24" t="n"/>
      <c r="V202" s="24" t="n"/>
    </row>
    <row r="203" ht="15" customHeight="1">
      <c r="A203" s="70" t="n"/>
      <c r="B203" s="68">
        <f>IF(C203="","",IFERROR(INDEX(tbl_Finance[Date],MATCH(C203&amp;"",tbl_Finance[Xero Invoice No],0)),""))</f>
        <v/>
      </c>
      <c r="C203" s="24" t="n"/>
      <c r="D203" s="24" t="n"/>
      <c r="E203" s="25">
        <f>IF(D203="","",IF(COUNTIF(lst_Jobs,D203&amp;"")&gt;0,"OK","CHECK"))</f>
        <v/>
      </c>
      <c r="F203" s="24" t="n"/>
      <c r="G203" s="24" t="n"/>
      <c r="H203" s="24" t="n"/>
      <c r="I203" s="24" t="n"/>
      <c r="J203" s="24" t="n"/>
      <c r="K203" s="22" t="n"/>
      <c r="L203" s="22" t="n"/>
      <c r="M203" s="25">
        <f>IF(N203="","",IF(OR(K203="",L203=""),"one month",TEXT(MAX(1,(YEAR(L203)-YEAR(K203))*12+MONTH(L203)-MONTH(K203)+1),"0")&amp;" months - see Deferred Revenue"))</f>
        <v/>
      </c>
      <c r="N203" s="26" t="n"/>
      <c r="O203" s="24" t="n"/>
      <c r="P203" s="25">
        <f>IF(N(N203)=0,"",IF(N203&gt;0,set_WIPAsset,IF(J203="Cost",IF(O203="","(set the P&amp;L Account)",O203),IF(O203="",set_WIPIncome,O203))))</f>
        <v/>
      </c>
      <c r="Q203" s="25">
        <f>IF(N(N203)=0,"",IF(N203&gt;0,IF(J203="Cost",IF(O203="","(set the P&amp;L Account)",O203),IF(O203="",set_WIPIncome,O203)),set_WIPAsset))</f>
        <v/>
      </c>
      <c r="R203" s="27">
        <f>IF(OR(N(N203)=0,K203&lt;&gt;""),"",ABS(N203))</f>
        <v/>
      </c>
      <c r="S203" s="25">
        <f>IF(N(N203)=0,"",IF(K203&lt;&gt;"","spreads monthly - see Deferred Revenue","WIP "&amp;I203&amp;IF(D203="",""," - "&amp;D203)&amp;IF(F203="",""," "&amp;F203)&amp;IF(H203="",""," - "&amp;H203)))</f>
        <v/>
      </c>
      <c r="T203" s="24" t="n"/>
      <c r="U203" s="24" t="n"/>
      <c r="V203" s="24" t="n"/>
    </row>
    <row r="204" ht="15" customHeight="1">
      <c r="A204" s="70" t="n"/>
      <c r="B204" s="68">
        <f>IF(C204="","",IFERROR(INDEX(tbl_Finance[Date],MATCH(C204&amp;"",tbl_Finance[Xero Invoice No],0)),""))</f>
        <v/>
      </c>
      <c r="C204" s="24" t="n"/>
      <c r="D204" s="24" t="n"/>
      <c r="E204" s="25">
        <f>IF(D204="","",IF(COUNTIF(lst_Jobs,D204&amp;"")&gt;0,"OK","CHECK"))</f>
        <v/>
      </c>
      <c r="F204" s="24" t="n"/>
      <c r="G204" s="24" t="n"/>
      <c r="H204" s="24" t="n"/>
      <c r="I204" s="24" t="n"/>
      <c r="J204" s="24" t="n"/>
      <c r="K204" s="22" t="n"/>
      <c r="L204" s="22" t="n"/>
      <c r="M204" s="25">
        <f>IF(N204="","",IF(OR(K204="",L204=""),"one month",TEXT(MAX(1,(YEAR(L204)-YEAR(K204))*12+MONTH(L204)-MONTH(K204)+1),"0")&amp;" months - see Deferred Revenue"))</f>
        <v/>
      </c>
      <c r="N204" s="26" t="n"/>
      <c r="O204" s="24" t="n"/>
      <c r="P204" s="25">
        <f>IF(N(N204)=0,"",IF(N204&gt;0,set_WIPAsset,IF(J204="Cost",IF(O204="","(set the P&amp;L Account)",O204),IF(O204="",set_WIPIncome,O204))))</f>
        <v/>
      </c>
      <c r="Q204" s="25">
        <f>IF(N(N204)=0,"",IF(N204&gt;0,IF(J204="Cost",IF(O204="","(set the P&amp;L Account)",O204),IF(O204="",set_WIPIncome,O204)),set_WIPAsset))</f>
        <v/>
      </c>
      <c r="R204" s="27">
        <f>IF(OR(N(N204)=0,K204&lt;&gt;""),"",ABS(N204))</f>
        <v/>
      </c>
      <c r="S204" s="25">
        <f>IF(N(N204)=0,"",IF(K204&lt;&gt;"","spreads monthly - see Deferred Revenue","WIP "&amp;I204&amp;IF(D204="",""," - "&amp;D204)&amp;IF(F204="",""," "&amp;F204)&amp;IF(H204="",""," - "&amp;H204)))</f>
        <v/>
      </c>
      <c r="T204" s="24" t="n"/>
      <c r="U204" s="24" t="n"/>
      <c r="V204" s="24" t="n"/>
    </row>
  </sheetData>
  <sheetProtection selectLockedCells="0" selectUnlockedCells="0" sheet="1" objects="0" insertRows="0" insertHyperlinks="1" autoFilter="0" scenarios="0" formatColumns="0" deleteColumns="1" insertColumns="1" pivotTables="1" deleteRows="1" formatCells="0" formatRows="0" sort="0" password="DE92"/>
  <mergeCells count="1">
    <mergeCell ref="A3:L3"/>
  </mergeCells>
  <conditionalFormatting sqref="E5:E5000">
    <cfRule type="expression" priority="1" dxfId="0" stopIfTrue="0">
      <formula>E5="CHECK"</formula>
    </cfRule>
  </conditionalFormatting>
  <conditionalFormatting sqref="U5:U5000">
    <cfRule type="expression" priority="2" dxfId="1" stopIfTrue="0">
      <formula>U5="N"</formula>
    </cfRule>
  </conditionalFormatting>
  <dataValidations count="4">
    <dataValidation sqref="G5:G20000" showDropDown="0" showInputMessage="0" showErrorMessage="1" allowBlank="1" errorTitle="Not on the list" error="&quot;Cost Centre&quot; is not on the list in the Lists sheet. Add it there if it is genuinely new." type="list" errorStyle="warning">
      <formula1>lst_CostCentre</formula1>
    </dataValidation>
    <dataValidation sqref="I5:I20000" showDropDown="0" showInputMessage="0" showErrorMessage="1" allowBlank="1" errorTitle="Not on the list" error="&quot;Type&quot; is not on the list in the Lists sheet. Add it there if it is genuinely new." type="list" errorStyle="warning">
      <formula1>lst_WIPType</formula1>
    </dataValidation>
    <dataValidation sqref="J5:J20000" showDropDown="0" showInputMessage="0" showErrorMessage="1" allowBlank="1" errorTitle="Not on the list" error="&quot;Revenue or Cost&quot; is not on the list in the Lists sheet. Add it there if it is genuinely new." type="list" errorStyle="warning">
      <formula1>lst_RevCost</formula1>
    </dataValidation>
    <dataValidation sqref="U5:U20000" showDropDown="0" showInputMessage="0" showErrorMessage="1" allowBlank="1" errorTitle="Not on the list" error="&quot;Posted to Xero&quot; is not on the list in the Lists sheet. Add it there if it is genuinely new." type="list" errorStyle="warning">
      <formula1>lst_YN</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6B4E7A"/>
    <outlinePr summaryBelow="1" summaryRight="1"/>
    <pageSetUpPr/>
  </sheetPr>
  <dimension ref="A1:O604"/>
  <sheetViews>
    <sheetView showGridLines="0"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0" customWidth="1" min="3" max="3"/>
    <col width="26" customWidth="1" min="4" max="4"/>
    <col width="15" customWidth="1" min="5" max="5"/>
    <col width="12" customWidth="1" min="6" max="6"/>
    <col width="14" customWidth="1" min="7" max="7"/>
    <col width="44" customWidth="1" min="8" max="8"/>
    <col width="15" customWidth="1" min="9" max="9"/>
    <col width="12" customWidth="1" min="10" max="10"/>
    <col width="12" customWidth="1" min="11" max="11"/>
    <col width="20" customWidth="1" min="12" max="12"/>
    <col width="19" customWidth="1" min="13" max="13"/>
    <col width="15" customWidth="1" min="14" max="14"/>
    <col width="38" customWidth="1" min="15" max="15"/>
  </cols>
  <sheetData>
    <row r="1" ht="24" customHeight="1">
      <c r="A1" s="18" t="inlineStr">
        <is>
          <t>Work Won  -  ZOHO, Current RMS and Qwilr</t>
        </is>
      </c>
    </row>
    <row r="2" ht="16" customHeight="1">
      <c r="A2" s="2" t="inlineStr">
        <is>
          <t>Paste the month's won opportunities here, one row each, and Month-End compares the total against what was invoiced. This is a sense check only - nothing on this sheet feeds revenue. Put the job number on a row and it will tell you what has been invoiced against it.</t>
        </is>
      </c>
    </row>
    <row r="3" ht="22" customHeight="1">
      <c r="A3" s="19">
        <f>"Value Ex GST  "&amp;TEXT(SUBTOTAL(109,tbl_Won[Value Ex GST]),"$#,##0.00")&amp;"      "&amp;"On the Finance Sheet  "&amp;TEXT(SUBTOTAL(109,tbl_Won[On the Finance Sheet]),"$#,##0.00")&amp;"      "&amp;"Still to Invoice  "&amp;TEXT(SUBTOTAL(109,tbl_Won[Still to Invoice]),"$#,##0.00")</f>
        <v/>
      </c>
    </row>
    <row r="4" ht="34" customHeight="1">
      <c r="A4" s="20" t="inlineStr">
        <is>
          <t>Month</t>
        </is>
      </c>
      <c r="B4" s="20" t="inlineStr">
        <is>
          <t>Source</t>
        </is>
      </c>
      <c r="C4" s="20" t="inlineStr">
        <is>
          <t>Reference</t>
        </is>
      </c>
      <c r="D4" s="20" t="inlineStr">
        <is>
          <t>Client</t>
        </is>
      </c>
      <c r="E4" s="20" t="inlineStr">
        <is>
          <t>Job Number</t>
        </is>
      </c>
      <c r="F4" s="21" t="inlineStr">
        <is>
          <t>Job in Xero?</t>
        </is>
      </c>
      <c r="G4" s="20" t="inlineStr">
        <is>
          <t>Cost Centre</t>
        </is>
      </c>
      <c r="H4" s="20" t="inlineStr">
        <is>
          <t>Description</t>
        </is>
      </c>
      <c r="I4" s="20" t="inlineStr">
        <is>
          <t>Value Ex GST</t>
        </is>
      </c>
      <c r="J4" s="20" t="inlineStr">
        <is>
          <t>Status</t>
        </is>
      </c>
      <c r="K4" s="20" t="inlineStr">
        <is>
          <t>Date Won</t>
        </is>
      </c>
      <c r="L4" s="20" t="inlineStr">
        <is>
          <t>Expected Invoice Month</t>
        </is>
      </c>
      <c r="M4" s="21" t="inlineStr">
        <is>
          <t>On the Finance Sheet</t>
        </is>
      </c>
      <c r="N4" s="21" t="inlineStr">
        <is>
          <t>Still to Invoice</t>
        </is>
      </c>
      <c r="O4" s="20" t="inlineStr">
        <is>
          <t>Notes</t>
        </is>
      </c>
    </row>
    <row r="5" ht="15" customHeight="1">
      <c r="A5" s="70" t="n"/>
      <c r="B5" s="24" t="n"/>
      <c r="C5" s="24" t="n"/>
      <c r="D5" s="24" t="n"/>
      <c r="E5" s="24" t="n"/>
      <c r="F5" s="25">
        <f>IF(E5="","",IF(COUNTIF(lst_Jobs,E5&amp;"")&gt;0,"OK","CHECK"))</f>
        <v/>
      </c>
      <c r="G5" s="24" t="n"/>
      <c r="H5" s="24" t="n"/>
      <c r="I5" s="26" t="n"/>
      <c r="J5" s="24" t="n"/>
      <c r="K5" s="22" t="n"/>
      <c r="L5" s="70" t="n"/>
      <c r="M5" s="27">
        <f>IF(E5="","",SUMIFS(tbl_Finance[Ex GST],tbl_Finance[Job Number],E5&amp;""))</f>
        <v/>
      </c>
      <c r="N5" s="27">
        <f>IF(J5&lt;&gt;"Won","",IF(E5="",N(I5),I5-M5))</f>
        <v/>
      </c>
      <c r="O5" s="24" t="n"/>
    </row>
    <row r="6" ht="15" customHeight="1">
      <c r="A6" s="70" t="n"/>
      <c r="B6" s="24" t="n"/>
      <c r="C6" s="24" t="n"/>
      <c r="D6" s="24" t="n"/>
      <c r="E6" s="24" t="n"/>
      <c r="F6" s="25">
        <f>IF(E6="","",IF(COUNTIF(lst_Jobs,E6&amp;"")&gt;0,"OK","CHECK"))</f>
        <v/>
      </c>
      <c r="G6" s="24" t="n"/>
      <c r="H6" s="24" t="n"/>
      <c r="I6" s="26" t="n"/>
      <c r="J6" s="24" t="n"/>
      <c r="K6" s="22" t="n"/>
      <c r="L6" s="70" t="n"/>
      <c r="M6" s="27">
        <f>IF(E6="","",SUMIFS(tbl_Finance[Ex GST],tbl_Finance[Job Number],E6&amp;""))</f>
        <v/>
      </c>
      <c r="N6" s="27">
        <f>IF(J6&lt;&gt;"Won","",IF(E6="",N(I6),I6-M6))</f>
        <v/>
      </c>
      <c r="O6" s="24" t="n"/>
    </row>
    <row r="7" ht="15" customHeight="1">
      <c r="A7" s="70" t="n"/>
      <c r="B7" s="24" t="n"/>
      <c r="C7" s="24" t="n"/>
      <c r="D7" s="24" t="n"/>
      <c r="E7" s="24" t="n"/>
      <c r="F7" s="25">
        <f>IF(E7="","",IF(COUNTIF(lst_Jobs,E7&amp;"")&gt;0,"OK","CHECK"))</f>
        <v/>
      </c>
      <c r="G7" s="24" t="n"/>
      <c r="H7" s="24" t="n"/>
      <c r="I7" s="26" t="n"/>
      <c r="J7" s="24" t="n"/>
      <c r="K7" s="22" t="n"/>
      <c r="L7" s="70" t="n"/>
      <c r="M7" s="27">
        <f>IF(E7="","",SUMIFS(tbl_Finance[Ex GST],tbl_Finance[Job Number],E7&amp;""))</f>
        <v/>
      </c>
      <c r="N7" s="27">
        <f>IF(J7&lt;&gt;"Won","",IF(E7="",N(I7),I7-M7))</f>
        <v/>
      </c>
      <c r="O7" s="24" t="n"/>
    </row>
    <row r="8" ht="15" customHeight="1">
      <c r="A8" s="70" t="n"/>
      <c r="B8" s="24" t="n"/>
      <c r="C8" s="24" t="n"/>
      <c r="D8" s="24" t="n"/>
      <c r="E8" s="24" t="n"/>
      <c r="F8" s="25">
        <f>IF(E8="","",IF(COUNTIF(lst_Jobs,E8&amp;"")&gt;0,"OK","CHECK"))</f>
        <v/>
      </c>
      <c r="G8" s="24" t="n"/>
      <c r="H8" s="24" t="n"/>
      <c r="I8" s="26" t="n"/>
      <c r="J8" s="24" t="n"/>
      <c r="K8" s="22" t="n"/>
      <c r="L8" s="70" t="n"/>
      <c r="M8" s="27">
        <f>IF(E8="","",SUMIFS(tbl_Finance[Ex GST],tbl_Finance[Job Number],E8&amp;""))</f>
        <v/>
      </c>
      <c r="N8" s="27">
        <f>IF(J8&lt;&gt;"Won","",IF(E8="",N(I8),I8-M8))</f>
        <v/>
      </c>
      <c r="O8" s="24" t="n"/>
    </row>
    <row r="9" ht="15" customHeight="1">
      <c r="A9" s="70" t="n"/>
      <c r="B9" s="24" t="n"/>
      <c r="C9" s="24" t="n"/>
      <c r="D9" s="24" t="n"/>
      <c r="E9" s="24" t="n"/>
      <c r="F9" s="25">
        <f>IF(E9="","",IF(COUNTIF(lst_Jobs,E9&amp;"")&gt;0,"OK","CHECK"))</f>
        <v/>
      </c>
      <c r="G9" s="24" t="n"/>
      <c r="H9" s="24" t="n"/>
      <c r="I9" s="26" t="n"/>
      <c r="J9" s="24" t="n"/>
      <c r="K9" s="22" t="n"/>
      <c r="L9" s="70" t="n"/>
      <c r="M9" s="27">
        <f>IF(E9="","",SUMIFS(tbl_Finance[Ex GST],tbl_Finance[Job Number],E9&amp;""))</f>
        <v/>
      </c>
      <c r="N9" s="27">
        <f>IF(J9&lt;&gt;"Won","",IF(E9="",N(I9),I9-M9))</f>
        <v/>
      </c>
      <c r="O9" s="24" t="n"/>
    </row>
    <row r="10" ht="15" customHeight="1">
      <c r="A10" s="70" t="n"/>
      <c r="B10" s="24" t="n"/>
      <c r="C10" s="24" t="n"/>
      <c r="D10" s="24" t="n"/>
      <c r="E10" s="24" t="n"/>
      <c r="F10" s="25">
        <f>IF(E10="","",IF(COUNTIF(lst_Jobs,E10&amp;"")&gt;0,"OK","CHECK"))</f>
        <v/>
      </c>
      <c r="G10" s="24" t="n"/>
      <c r="H10" s="24" t="n"/>
      <c r="I10" s="26" t="n"/>
      <c r="J10" s="24" t="n"/>
      <c r="K10" s="22" t="n"/>
      <c r="L10" s="70" t="n"/>
      <c r="M10" s="27">
        <f>IF(E10="","",SUMIFS(tbl_Finance[Ex GST],tbl_Finance[Job Number],E10&amp;""))</f>
        <v/>
      </c>
      <c r="N10" s="27">
        <f>IF(J10&lt;&gt;"Won","",IF(E10="",N(I10),I10-M10))</f>
        <v/>
      </c>
      <c r="O10" s="24" t="n"/>
    </row>
    <row r="11" ht="15" customHeight="1">
      <c r="A11" s="70" t="n"/>
      <c r="B11" s="24" t="n"/>
      <c r="C11" s="24" t="n"/>
      <c r="D11" s="24" t="n"/>
      <c r="E11" s="24" t="n"/>
      <c r="F11" s="25">
        <f>IF(E11="","",IF(COUNTIF(lst_Jobs,E11&amp;"")&gt;0,"OK","CHECK"))</f>
        <v/>
      </c>
      <c r="G11" s="24" t="n"/>
      <c r="H11" s="24" t="n"/>
      <c r="I11" s="26" t="n"/>
      <c r="J11" s="24" t="n"/>
      <c r="K11" s="22" t="n"/>
      <c r="L11" s="70" t="n"/>
      <c r="M11" s="27">
        <f>IF(E11="","",SUMIFS(tbl_Finance[Ex GST],tbl_Finance[Job Number],E11&amp;""))</f>
        <v/>
      </c>
      <c r="N11" s="27">
        <f>IF(J11&lt;&gt;"Won","",IF(E11="",N(I11),I11-M11))</f>
        <v/>
      </c>
      <c r="O11" s="24" t="n"/>
    </row>
    <row r="12" ht="15" customHeight="1">
      <c r="A12" s="70" t="n"/>
      <c r="B12" s="24" t="n"/>
      <c r="C12" s="24" t="n"/>
      <c r="D12" s="24" t="n"/>
      <c r="E12" s="24" t="n"/>
      <c r="F12" s="25">
        <f>IF(E12="","",IF(COUNTIF(lst_Jobs,E12&amp;"")&gt;0,"OK","CHECK"))</f>
        <v/>
      </c>
      <c r="G12" s="24" t="n"/>
      <c r="H12" s="24" t="n"/>
      <c r="I12" s="26" t="n"/>
      <c r="J12" s="24" t="n"/>
      <c r="K12" s="22" t="n"/>
      <c r="L12" s="70" t="n"/>
      <c r="M12" s="27">
        <f>IF(E12="","",SUMIFS(tbl_Finance[Ex GST],tbl_Finance[Job Number],E12&amp;""))</f>
        <v/>
      </c>
      <c r="N12" s="27">
        <f>IF(J12&lt;&gt;"Won","",IF(E12="",N(I12),I12-M12))</f>
        <v/>
      </c>
      <c r="O12" s="24" t="n"/>
    </row>
    <row r="13" ht="15" customHeight="1">
      <c r="A13" s="70" t="n"/>
      <c r="B13" s="24" t="n"/>
      <c r="C13" s="24" t="n"/>
      <c r="D13" s="24" t="n"/>
      <c r="E13" s="24" t="n"/>
      <c r="F13" s="25">
        <f>IF(E13="","",IF(COUNTIF(lst_Jobs,E13&amp;"")&gt;0,"OK","CHECK"))</f>
        <v/>
      </c>
      <c r="G13" s="24" t="n"/>
      <c r="H13" s="24" t="n"/>
      <c r="I13" s="26" t="n"/>
      <c r="J13" s="24" t="n"/>
      <c r="K13" s="22" t="n"/>
      <c r="L13" s="70" t="n"/>
      <c r="M13" s="27">
        <f>IF(E13="","",SUMIFS(tbl_Finance[Ex GST],tbl_Finance[Job Number],E13&amp;""))</f>
        <v/>
      </c>
      <c r="N13" s="27">
        <f>IF(J13&lt;&gt;"Won","",IF(E13="",N(I13),I13-M13))</f>
        <v/>
      </c>
      <c r="O13" s="24" t="n"/>
    </row>
    <row r="14" ht="15" customHeight="1">
      <c r="A14" s="70" t="n"/>
      <c r="B14" s="24" t="n"/>
      <c r="C14" s="24" t="n"/>
      <c r="D14" s="24" t="n"/>
      <c r="E14" s="24" t="n"/>
      <c r="F14" s="25">
        <f>IF(E14="","",IF(COUNTIF(lst_Jobs,E14&amp;"")&gt;0,"OK","CHECK"))</f>
        <v/>
      </c>
      <c r="G14" s="24" t="n"/>
      <c r="H14" s="24" t="n"/>
      <c r="I14" s="26" t="n"/>
      <c r="J14" s="24" t="n"/>
      <c r="K14" s="22" t="n"/>
      <c r="L14" s="70" t="n"/>
      <c r="M14" s="27">
        <f>IF(E14="","",SUMIFS(tbl_Finance[Ex GST],tbl_Finance[Job Number],E14&amp;""))</f>
        <v/>
      </c>
      <c r="N14" s="27">
        <f>IF(J14&lt;&gt;"Won","",IF(E14="",N(I14),I14-M14))</f>
        <v/>
      </c>
      <c r="O14" s="24" t="n"/>
    </row>
    <row r="15" ht="15" customHeight="1">
      <c r="A15" s="70" t="n"/>
      <c r="B15" s="24" t="n"/>
      <c r="C15" s="24" t="n"/>
      <c r="D15" s="24" t="n"/>
      <c r="E15" s="24" t="n"/>
      <c r="F15" s="25">
        <f>IF(E15="","",IF(COUNTIF(lst_Jobs,E15&amp;"")&gt;0,"OK","CHECK"))</f>
        <v/>
      </c>
      <c r="G15" s="24" t="n"/>
      <c r="H15" s="24" t="n"/>
      <c r="I15" s="26" t="n"/>
      <c r="J15" s="24" t="n"/>
      <c r="K15" s="22" t="n"/>
      <c r="L15" s="70" t="n"/>
      <c r="M15" s="27">
        <f>IF(E15="","",SUMIFS(tbl_Finance[Ex GST],tbl_Finance[Job Number],E15&amp;""))</f>
        <v/>
      </c>
      <c r="N15" s="27">
        <f>IF(J15&lt;&gt;"Won","",IF(E15="",N(I15),I15-M15))</f>
        <v/>
      </c>
      <c r="O15" s="24" t="n"/>
    </row>
    <row r="16" ht="15" customHeight="1">
      <c r="A16" s="70" t="n"/>
      <c r="B16" s="24" t="n"/>
      <c r="C16" s="24" t="n"/>
      <c r="D16" s="24" t="n"/>
      <c r="E16" s="24" t="n"/>
      <c r="F16" s="25">
        <f>IF(E16="","",IF(COUNTIF(lst_Jobs,E16&amp;"")&gt;0,"OK","CHECK"))</f>
        <v/>
      </c>
      <c r="G16" s="24" t="n"/>
      <c r="H16" s="24" t="n"/>
      <c r="I16" s="26" t="n"/>
      <c r="J16" s="24" t="n"/>
      <c r="K16" s="22" t="n"/>
      <c r="L16" s="70" t="n"/>
      <c r="M16" s="27">
        <f>IF(E16="","",SUMIFS(tbl_Finance[Ex GST],tbl_Finance[Job Number],E16&amp;""))</f>
        <v/>
      </c>
      <c r="N16" s="27">
        <f>IF(J16&lt;&gt;"Won","",IF(E16="",N(I16),I16-M16))</f>
        <v/>
      </c>
      <c r="O16" s="24" t="n"/>
    </row>
    <row r="17" ht="15" customHeight="1">
      <c r="A17" s="70" t="n"/>
      <c r="B17" s="24" t="n"/>
      <c r="C17" s="24" t="n"/>
      <c r="D17" s="24" t="n"/>
      <c r="E17" s="24" t="n"/>
      <c r="F17" s="25">
        <f>IF(E17="","",IF(COUNTIF(lst_Jobs,E17&amp;"")&gt;0,"OK","CHECK"))</f>
        <v/>
      </c>
      <c r="G17" s="24" t="n"/>
      <c r="H17" s="24" t="n"/>
      <c r="I17" s="26" t="n"/>
      <c r="J17" s="24" t="n"/>
      <c r="K17" s="22" t="n"/>
      <c r="L17" s="70" t="n"/>
      <c r="M17" s="27">
        <f>IF(E17="","",SUMIFS(tbl_Finance[Ex GST],tbl_Finance[Job Number],E17&amp;""))</f>
        <v/>
      </c>
      <c r="N17" s="27">
        <f>IF(J17&lt;&gt;"Won","",IF(E17="",N(I17),I17-M17))</f>
        <v/>
      </c>
      <c r="O17" s="24" t="n"/>
    </row>
    <row r="18" ht="15" customHeight="1">
      <c r="A18" s="70" t="n"/>
      <c r="B18" s="24" t="n"/>
      <c r="C18" s="24" t="n"/>
      <c r="D18" s="24" t="n"/>
      <c r="E18" s="24" t="n"/>
      <c r="F18" s="25">
        <f>IF(E18="","",IF(COUNTIF(lst_Jobs,E18&amp;"")&gt;0,"OK","CHECK"))</f>
        <v/>
      </c>
      <c r="G18" s="24" t="n"/>
      <c r="H18" s="24" t="n"/>
      <c r="I18" s="26" t="n"/>
      <c r="J18" s="24" t="n"/>
      <c r="K18" s="22" t="n"/>
      <c r="L18" s="70" t="n"/>
      <c r="M18" s="27">
        <f>IF(E18="","",SUMIFS(tbl_Finance[Ex GST],tbl_Finance[Job Number],E18&amp;""))</f>
        <v/>
      </c>
      <c r="N18" s="27">
        <f>IF(J18&lt;&gt;"Won","",IF(E18="",N(I18),I18-M18))</f>
        <v/>
      </c>
      <c r="O18" s="24" t="n"/>
    </row>
    <row r="19" ht="15" customHeight="1">
      <c r="A19" s="70" t="n"/>
      <c r="B19" s="24" t="n"/>
      <c r="C19" s="24" t="n"/>
      <c r="D19" s="24" t="n"/>
      <c r="E19" s="24" t="n"/>
      <c r="F19" s="25">
        <f>IF(E19="","",IF(COUNTIF(lst_Jobs,E19&amp;"")&gt;0,"OK","CHECK"))</f>
        <v/>
      </c>
      <c r="G19" s="24" t="n"/>
      <c r="H19" s="24" t="n"/>
      <c r="I19" s="26" t="n"/>
      <c r="J19" s="24" t="n"/>
      <c r="K19" s="22" t="n"/>
      <c r="L19" s="70" t="n"/>
      <c r="M19" s="27">
        <f>IF(E19="","",SUMIFS(tbl_Finance[Ex GST],tbl_Finance[Job Number],E19&amp;""))</f>
        <v/>
      </c>
      <c r="N19" s="27">
        <f>IF(J19&lt;&gt;"Won","",IF(E19="",N(I19),I19-M19))</f>
        <v/>
      </c>
      <c r="O19" s="24" t="n"/>
    </row>
    <row r="20" ht="15" customHeight="1">
      <c r="A20" s="70" t="n"/>
      <c r="B20" s="24" t="n"/>
      <c r="C20" s="24" t="n"/>
      <c r="D20" s="24" t="n"/>
      <c r="E20" s="24" t="n"/>
      <c r="F20" s="25">
        <f>IF(E20="","",IF(COUNTIF(lst_Jobs,E20&amp;"")&gt;0,"OK","CHECK"))</f>
        <v/>
      </c>
      <c r="G20" s="24" t="n"/>
      <c r="H20" s="24" t="n"/>
      <c r="I20" s="26" t="n"/>
      <c r="J20" s="24" t="n"/>
      <c r="K20" s="22" t="n"/>
      <c r="L20" s="70" t="n"/>
      <c r="M20" s="27">
        <f>IF(E20="","",SUMIFS(tbl_Finance[Ex GST],tbl_Finance[Job Number],E20&amp;""))</f>
        <v/>
      </c>
      <c r="N20" s="27">
        <f>IF(J20&lt;&gt;"Won","",IF(E20="",N(I20),I20-M20))</f>
        <v/>
      </c>
      <c r="O20" s="24" t="n"/>
    </row>
    <row r="21" ht="15" customHeight="1">
      <c r="A21" s="70" t="n"/>
      <c r="B21" s="24" t="n"/>
      <c r="C21" s="24" t="n"/>
      <c r="D21" s="24" t="n"/>
      <c r="E21" s="24" t="n"/>
      <c r="F21" s="25">
        <f>IF(E21="","",IF(COUNTIF(lst_Jobs,E21&amp;"")&gt;0,"OK","CHECK"))</f>
        <v/>
      </c>
      <c r="G21" s="24" t="n"/>
      <c r="H21" s="24" t="n"/>
      <c r="I21" s="26" t="n"/>
      <c r="J21" s="24" t="n"/>
      <c r="K21" s="22" t="n"/>
      <c r="L21" s="70" t="n"/>
      <c r="M21" s="27">
        <f>IF(E21="","",SUMIFS(tbl_Finance[Ex GST],tbl_Finance[Job Number],E21&amp;""))</f>
        <v/>
      </c>
      <c r="N21" s="27">
        <f>IF(J21&lt;&gt;"Won","",IF(E21="",N(I21),I21-M21))</f>
        <v/>
      </c>
      <c r="O21" s="24" t="n"/>
    </row>
    <row r="22" ht="15" customHeight="1">
      <c r="A22" s="70" t="n"/>
      <c r="B22" s="24" t="n"/>
      <c r="C22" s="24" t="n"/>
      <c r="D22" s="24" t="n"/>
      <c r="E22" s="24" t="n"/>
      <c r="F22" s="25">
        <f>IF(E22="","",IF(COUNTIF(lst_Jobs,E22&amp;"")&gt;0,"OK","CHECK"))</f>
        <v/>
      </c>
      <c r="G22" s="24" t="n"/>
      <c r="H22" s="24" t="n"/>
      <c r="I22" s="26" t="n"/>
      <c r="J22" s="24" t="n"/>
      <c r="K22" s="22" t="n"/>
      <c r="L22" s="70" t="n"/>
      <c r="M22" s="27">
        <f>IF(E22="","",SUMIFS(tbl_Finance[Ex GST],tbl_Finance[Job Number],E22&amp;""))</f>
        <v/>
      </c>
      <c r="N22" s="27">
        <f>IF(J22&lt;&gt;"Won","",IF(E22="",N(I22),I22-M22))</f>
        <v/>
      </c>
      <c r="O22" s="24" t="n"/>
    </row>
    <row r="23" ht="15" customHeight="1">
      <c r="A23" s="70" t="n"/>
      <c r="B23" s="24" t="n"/>
      <c r="C23" s="24" t="n"/>
      <c r="D23" s="24" t="n"/>
      <c r="E23" s="24" t="n"/>
      <c r="F23" s="25">
        <f>IF(E23="","",IF(COUNTIF(lst_Jobs,E23&amp;"")&gt;0,"OK","CHECK"))</f>
        <v/>
      </c>
      <c r="G23" s="24" t="n"/>
      <c r="H23" s="24" t="n"/>
      <c r="I23" s="26" t="n"/>
      <c r="J23" s="24" t="n"/>
      <c r="K23" s="22" t="n"/>
      <c r="L23" s="70" t="n"/>
      <c r="M23" s="27">
        <f>IF(E23="","",SUMIFS(tbl_Finance[Ex GST],tbl_Finance[Job Number],E23&amp;""))</f>
        <v/>
      </c>
      <c r="N23" s="27">
        <f>IF(J23&lt;&gt;"Won","",IF(E23="",N(I23),I23-M23))</f>
        <v/>
      </c>
      <c r="O23" s="24" t="n"/>
    </row>
    <row r="24" ht="15" customHeight="1">
      <c r="A24" s="70" t="n"/>
      <c r="B24" s="24" t="n"/>
      <c r="C24" s="24" t="n"/>
      <c r="D24" s="24" t="n"/>
      <c r="E24" s="24" t="n"/>
      <c r="F24" s="25">
        <f>IF(E24="","",IF(COUNTIF(lst_Jobs,E24&amp;"")&gt;0,"OK","CHECK"))</f>
        <v/>
      </c>
      <c r="G24" s="24" t="n"/>
      <c r="H24" s="24" t="n"/>
      <c r="I24" s="26" t="n"/>
      <c r="J24" s="24" t="n"/>
      <c r="K24" s="22" t="n"/>
      <c r="L24" s="70" t="n"/>
      <c r="M24" s="27">
        <f>IF(E24="","",SUMIFS(tbl_Finance[Ex GST],tbl_Finance[Job Number],E24&amp;""))</f>
        <v/>
      </c>
      <c r="N24" s="27">
        <f>IF(J24&lt;&gt;"Won","",IF(E24="",N(I24),I24-M24))</f>
        <v/>
      </c>
      <c r="O24" s="24" t="n"/>
    </row>
    <row r="25" ht="15" customHeight="1">
      <c r="A25" s="70" t="n"/>
      <c r="B25" s="24" t="n"/>
      <c r="C25" s="24" t="n"/>
      <c r="D25" s="24" t="n"/>
      <c r="E25" s="24" t="n"/>
      <c r="F25" s="25">
        <f>IF(E25="","",IF(COUNTIF(lst_Jobs,E25&amp;"")&gt;0,"OK","CHECK"))</f>
        <v/>
      </c>
      <c r="G25" s="24" t="n"/>
      <c r="H25" s="24" t="n"/>
      <c r="I25" s="26" t="n"/>
      <c r="J25" s="24" t="n"/>
      <c r="K25" s="22" t="n"/>
      <c r="L25" s="70" t="n"/>
      <c r="M25" s="27">
        <f>IF(E25="","",SUMIFS(tbl_Finance[Ex GST],tbl_Finance[Job Number],E25&amp;""))</f>
        <v/>
      </c>
      <c r="N25" s="27">
        <f>IF(J25&lt;&gt;"Won","",IF(E25="",N(I25),I25-M25))</f>
        <v/>
      </c>
      <c r="O25" s="24" t="n"/>
    </row>
    <row r="26" ht="15" customHeight="1">
      <c r="A26" s="70" t="n"/>
      <c r="B26" s="24" t="n"/>
      <c r="C26" s="24" t="n"/>
      <c r="D26" s="24" t="n"/>
      <c r="E26" s="24" t="n"/>
      <c r="F26" s="25">
        <f>IF(E26="","",IF(COUNTIF(lst_Jobs,E26&amp;"")&gt;0,"OK","CHECK"))</f>
        <v/>
      </c>
      <c r="G26" s="24" t="n"/>
      <c r="H26" s="24" t="n"/>
      <c r="I26" s="26" t="n"/>
      <c r="J26" s="24" t="n"/>
      <c r="K26" s="22" t="n"/>
      <c r="L26" s="70" t="n"/>
      <c r="M26" s="27">
        <f>IF(E26="","",SUMIFS(tbl_Finance[Ex GST],tbl_Finance[Job Number],E26&amp;""))</f>
        <v/>
      </c>
      <c r="N26" s="27">
        <f>IF(J26&lt;&gt;"Won","",IF(E26="",N(I26),I26-M26))</f>
        <v/>
      </c>
      <c r="O26" s="24" t="n"/>
    </row>
    <row r="27" ht="15" customHeight="1">
      <c r="A27" s="70" t="n"/>
      <c r="B27" s="24" t="n"/>
      <c r="C27" s="24" t="n"/>
      <c r="D27" s="24" t="n"/>
      <c r="E27" s="24" t="n"/>
      <c r="F27" s="25">
        <f>IF(E27="","",IF(COUNTIF(lst_Jobs,E27&amp;"")&gt;0,"OK","CHECK"))</f>
        <v/>
      </c>
      <c r="G27" s="24" t="n"/>
      <c r="H27" s="24" t="n"/>
      <c r="I27" s="26" t="n"/>
      <c r="J27" s="24" t="n"/>
      <c r="K27" s="22" t="n"/>
      <c r="L27" s="70" t="n"/>
      <c r="M27" s="27">
        <f>IF(E27="","",SUMIFS(tbl_Finance[Ex GST],tbl_Finance[Job Number],E27&amp;""))</f>
        <v/>
      </c>
      <c r="N27" s="27">
        <f>IF(J27&lt;&gt;"Won","",IF(E27="",N(I27),I27-M27))</f>
        <v/>
      </c>
      <c r="O27" s="24" t="n"/>
    </row>
    <row r="28" ht="15" customHeight="1">
      <c r="A28" s="70" t="n"/>
      <c r="B28" s="24" t="n"/>
      <c r="C28" s="24" t="n"/>
      <c r="D28" s="24" t="n"/>
      <c r="E28" s="24" t="n"/>
      <c r="F28" s="25">
        <f>IF(E28="","",IF(COUNTIF(lst_Jobs,E28&amp;"")&gt;0,"OK","CHECK"))</f>
        <v/>
      </c>
      <c r="G28" s="24" t="n"/>
      <c r="H28" s="24" t="n"/>
      <c r="I28" s="26" t="n"/>
      <c r="J28" s="24" t="n"/>
      <c r="K28" s="22" t="n"/>
      <c r="L28" s="70" t="n"/>
      <c r="M28" s="27">
        <f>IF(E28="","",SUMIFS(tbl_Finance[Ex GST],tbl_Finance[Job Number],E28&amp;""))</f>
        <v/>
      </c>
      <c r="N28" s="27">
        <f>IF(J28&lt;&gt;"Won","",IF(E28="",N(I28),I28-M28))</f>
        <v/>
      </c>
      <c r="O28" s="24" t="n"/>
    </row>
    <row r="29" ht="15" customHeight="1">
      <c r="A29" s="70" t="n"/>
      <c r="B29" s="24" t="n"/>
      <c r="C29" s="24" t="n"/>
      <c r="D29" s="24" t="n"/>
      <c r="E29" s="24" t="n"/>
      <c r="F29" s="25">
        <f>IF(E29="","",IF(COUNTIF(lst_Jobs,E29&amp;"")&gt;0,"OK","CHECK"))</f>
        <v/>
      </c>
      <c r="G29" s="24" t="n"/>
      <c r="H29" s="24" t="n"/>
      <c r="I29" s="26" t="n"/>
      <c r="J29" s="24" t="n"/>
      <c r="K29" s="22" t="n"/>
      <c r="L29" s="70" t="n"/>
      <c r="M29" s="27">
        <f>IF(E29="","",SUMIFS(tbl_Finance[Ex GST],tbl_Finance[Job Number],E29&amp;""))</f>
        <v/>
      </c>
      <c r="N29" s="27">
        <f>IF(J29&lt;&gt;"Won","",IF(E29="",N(I29),I29-M29))</f>
        <v/>
      </c>
      <c r="O29" s="24" t="n"/>
    </row>
    <row r="30" ht="15" customHeight="1">
      <c r="A30" s="70" t="n"/>
      <c r="B30" s="24" t="n"/>
      <c r="C30" s="24" t="n"/>
      <c r="D30" s="24" t="n"/>
      <c r="E30" s="24" t="n"/>
      <c r="F30" s="25">
        <f>IF(E30="","",IF(COUNTIF(lst_Jobs,E30&amp;"")&gt;0,"OK","CHECK"))</f>
        <v/>
      </c>
      <c r="G30" s="24" t="n"/>
      <c r="H30" s="24" t="n"/>
      <c r="I30" s="26" t="n"/>
      <c r="J30" s="24" t="n"/>
      <c r="K30" s="22" t="n"/>
      <c r="L30" s="70" t="n"/>
      <c r="M30" s="27">
        <f>IF(E30="","",SUMIFS(tbl_Finance[Ex GST],tbl_Finance[Job Number],E30&amp;""))</f>
        <v/>
      </c>
      <c r="N30" s="27">
        <f>IF(J30&lt;&gt;"Won","",IF(E30="",N(I30),I30-M30))</f>
        <v/>
      </c>
      <c r="O30" s="24" t="n"/>
    </row>
    <row r="31" ht="15" customHeight="1">
      <c r="A31" s="70" t="n"/>
      <c r="B31" s="24" t="n"/>
      <c r="C31" s="24" t="n"/>
      <c r="D31" s="24" t="n"/>
      <c r="E31" s="24" t="n"/>
      <c r="F31" s="25">
        <f>IF(E31="","",IF(COUNTIF(lst_Jobs,E31&amp;"")&gt;0,"OK","CHECK"))</f>
        <v/>
      </c>
      <c r="G31" s="24" t="n"/>
      <c r="H31" s="24" t="n"/>
      <c r="I31" s="26" t="n"/>
      <c r="J31" s="24" t="n"/>
      <c r="K31" s="22" t="n"/>
      <c r="L31" s="70" t="n"/>
      <c r="M31" s="27">
        <f>IF(E31="","",SUMIFS(tbl_Finance[Ex GST],tbl_Finance[Job Number],E31&amp;""))</f>
        <v/>
      </c>
      <c r="N31" s="27">
        <f>IF(J31&lt;&gt;"Won","",IF(E31="",N(I31),I31-M31))</f>
        <v/>
      </c>
      <c r="O31" s="24" t="n"/>
    </row>
    <row r="32" ht="15" customHeight="1">
      <c r="A32" s="70" t="n"/>
      <c r="B32" s="24" t="n"/>
      <c r="C32" s="24" t="n"/>
      <c r="D32" s="24" t="n"/>
      <c r="E32" s="24" t="n"/>
      <c r="F32" s="25">
        <f>IF(E32="","",IF(COUNTIF(lst_Jobs,E32&amp;"")&gt;0,"OK","CHECK"))</f>
        <v/>
      </c>
      <c r="G32" s="24" t="n"/>
      <c r="H32" s="24" t="n"/>
      <c r="I32" s="26" t="n"/>
      <c r="J32" s="24" t="n"/>
      <c r="K32" s="22" t="n"/>
      <c r="L32" s="70" t="n"/>
      <c r="M32" s="27">
        <f>IF(E32="","",SUMIFS(tbl_Finance[Ex GST],tbl_Finance[Job Number],E32&amp;""))</f>
        <v/>
      </c>
      <c r="N32" s="27">
        <f>IF(J32&lt;&gt;"Won","",IF(E32="",N(I32),I32-M32))</f>
        <v/>
      </c>
      <c r="O32" s="24" t="n"/>
    </row>
    <row r="33" ht="15" customHeight="1">
      <c r="A33" s="70" t="n"/>
      <c r="B33" s="24" t="n"/>
      <c r="C33" s="24" t="n"/>
      <c r="D33" s="24" t="n"/>
      <c r="E33" s="24" t="n"/>
      <c r="F33" s="25">
        <f>IF(E33="","",IF(COUNTIF(lst_Jobs,E33&amp;"")&gt;0,"OK","CHECK"))</f>
        <v/>
      </c>
      <c r="G33" s="24" t="n"/>
      <c r="H33" s="24" t="n"/>
      <c r="I33" s="26" t="n"/>
      <c r="J33" s="24" t="n"/>
      <c r="K33" s="22" t="n"/>
      <c r="L33" s="70" t="n"/>
      <c r="M33" s="27">
        <f>IF(E33="","",SUMIFS(tbl_Finance[Ex GST],tbl_Finance[Job Number],E33&amp;""))</f>
        <v/>
      </c>
      <c r="N33" s="27">
        <f>IF(J33&lt;&gt;"Won","",IF(E33="",N(I33),I33-M33))</f>
        <v/>
      </c>
      <c r="O33" s="24" t="n"/>
    </row>
    <row r="34" ht="15" customHeight="1">
      <c r="A34" s="70" t="n"/>
      <c r="B34" s="24" t="n"/>
      <c r="C34" s="24" t="n"/>
      <c r="D34" s="24" t="n"/>
      <c r="E34" s="24" t="n"/>
      <c r="F34" s="25">
        <f>IF(E34="","",IF(COUNTIF(lst_Jobs,E34&amp;"")&gt;0,"OK","CHECK"))</f>
        <v/>
      </c>
      <c r="G34" s="24" t="n"/>
      <c r="H34" s="24" t="n"/>
      <c r="I34" s="26" t="n"/>
      <c r="J34" s="24" t="n"/>
      <c r="K34" s="22" t="n"/>
      <c r="L34" s="70" t="n"/>
      <c r="M34" s="27">
        <f>IF(E34="","",SUMIFS(tbl_Finance[Ex GST],tbl_Finance[Job Number],E34&amp;""))</f>
        <v/>
      </c>
      <c r="N34" s="27">
        <f>IF(J34&lt;&gt;"Won","",IF(E34="",N(I34),I34-M34))</f>
        <v/>
      </c>
      <c r="O34" s="24" t="n"/>
    </row>
    <row r="35" ht="15" customHeight="1">
      <c r="A35" s="70" t="n"/>
      <c r="B35" s="24" t="n"/>
      <c r="C35" s="24" t="n"/>
      <c r="D35" s="24" t="n"/>
      <c r="E35" s="24" t="n"/>
      <c r="F35" s="25">
        <f>IF(E35="","",IF(COUNTIF(lst_Jobs,E35&amp;"")&gt;0,"OK","CHECK"))</f>
        <v/>
      </c>
      <c r="G35" s="24" t="n"/>
      <c r="H35" s="24" t="n"/>
      <c r="I35" s="26" t="n"/>
      <c r="J35" s="24" t="n"/>
      <c r="K35" s="22" t="n"/>
      <c r="L35" s="70" t="n"/>
      <c r="M35" s="27">
        <f>IF(E35="","",SUMIFS(tbl_Finance[Ex GST],tbl_Finance[Job Number],E35&amp;""))</f>
        <v/>
      </c>
      <c r="N35" s="27">
        <f>IF(J35&lt;&gt;"Won","",IF(E35="",N(I35),I35-M35))</f>
        <v/>
      </c>
      <c r="O35" s="24" t="n"/>
    </row>
    <row r="36" ht="15" customHeight="1">
      <c r="A36" s="70" t="n"/>
      <c r="B36" s="24" t="n"/>
      <c r="C36" s="24" t="n"/>
      <c r="D36" s="24" t="n"/>
      <c r="E36" s="24" t="n"/>
      <c r="F36" s="25">
        <f>IF(E36="","",IF(COUNTIF(lst_Jobs,E36&amp;"")&gt;0,"OK","CHECK"))</f>
        <v/>
      </c>
      <c r="G36" s="24" t="n"/>
      <c r="H36" s="24" t="n"/>
      <c r="I36" s="26" t="n"/>
      <c r="J36" s="24" t="n"/>
      <c r="K36" s="22" t="n"/>
      <c r="L36" s="70" t="n"/>
      <c r="M36" s="27">
        <f>IF(E36="","",SUMIFS(tbl_Finance[Ex GST],tbl_Finance[Job Number],E36&amp;""))</f>
        <v/>
      </c>
      <c r="N36" s="27">
        <f>IF(J36&lt;&gt;"Won","",IF(E36="",N(I36),I36-M36))</f>
        <v/>
      </c>
      <c r="O36" s="24" t="n"/>
    </row>
    <row r="37" ht="15" customHeight="1">
      <c r="A37" s="70" t="n"/>
      <c r="B37" s="24" t="n"/>
      <c r="C37" s="24" t="n"/>
      <c r="D37" s="24" t="n"/>
      <c r="E37" s="24" t="n"/>
      <c r="F37" s="25">
        <f>IF(E37="","",IF(COUNTIF(lst_Jobs,E37&amp;"")&gt;0,"OK","CHECK"))</f>
        <v/>
      </c>
      <c r="G37" s="24" t="n"/>
      <c r="H37" s="24" t="n"/>
      <c r="I37" s="26" t="n"/>
      <c r="J37" s="24" t="n"/>
      <c r="K37" s="22" t="n"/>
      <c r="L37" s="70" t="n"/>
      <c r="M37" s="27">
        <f>IF(E37="","",SUMIFS(tbl_Finance[Ex GST],tbl_Finance[Job Number],E37&amp;""))</f>
        <v/>
      </c>
      <c r="N37" s="27">
        <f>IF(J37&lt;&gt;"Won","",IF(E37="",N(I37),I37-M37))</f>
        <v/>
      </c>
      <c r="O37" s="24" t="n"/>
    </row>
    <row r="38" ht="15" customHeight="1">
      <c r="A38" s="70" t="n"/>
      <c r="B38" s="24" t="n"/>
      <c r="C38" s="24" t="n"/>
      <c r="D38" s="24" t="n"/>
      <c r="E38" s="24" t="n"/>
      <c r="F38" s="25">
        <f>IF(E38="","",IF(COUNTIF(lst_Jobs,E38&amp;"")&gt;0,"OK","CHECK"))</f>
        <v/>
      </c>
      <c r="G38" s="24" t="n"/>
      <c r="H38" s="24" t="n"/>
      <c r="I38" s="26" t="n"/>
      <c r="J38" s="24" t="n"/>
      <c r="K38" s="22" t="n"/>
      <c r="L38" s="70" t="n"/>
      <c r="M38" s="27">
        <f>IF(E38="","",SUMIFS(tbl_Finance[Ex GST],tbl_Finance[Job Number],E38&amp;""))</f>
        <v/>
      </c>
      <c r="N38" s="27">
        <f>IF(J38&lt;&gt;"Won","",IF(E38="",N(I38),I38-M38))</f>
        <v/>
      </c>
      <c r="O38" s="24" t="n"/>
    </row>
    <row r="39" ht="15" customHeight="1">
      <c r="A39" s="70" t="n"/>
      <c r="B39" s="24" t="n"/>
      <c r="C39" s="24" t="n"/>
      <c r="D39" s="24" t="n"/>
      <c r="E39" s="24" t="n"/>
      <c r="F39" s="25">
        <f>IF(E39="","",IF(COUNTIF(lst_Jobs,E39&amp;"")&gt;0,"OK","CHECK"))</f>
        <v/>
      </c>
      <c r="G39" s="24" t="n"/>
      <c r="H39" s="24" t="n"/>
      <c r="I39" s="26" t="n"/>
      <c r="J39" s="24" t="n"/>
      <c r="K39" s="22" t="n"/>
      <c r="L39" s="70" t="n"/>
      <c r="M39" s="27">
        <f>IF(E39="","",SUMIFS(tbl_Finance[Ex GST],tbl_Finance[Job Number],E39&amp;""))</f>
        <v/>
      </c>
      <c r="N39" s="27">
        <f>IF(J39&lt;&gt;"Won","",IF(E39="",N(I39),I39-M39))</f>
        <v/>
      </c>
      <c r="O39" s="24" t="n"/>
    </row>
    <row r="40" ht="15" customHeight="1">
      <c r="A40" s="70" t="n"/>
      <c r="B40" s="24" t="n"/>
      <c r="C40" s="24" t="n"/>
      <c r="D40" s="24" t="n"/>
      <c r="E40" s="24" t="n"/>
      <c r="F40" s="25">
        <f>IF(E40="","",IF(COUNTIF(lst_Jobs,E40&amp;"")&gt;0,"OK","CHECK"))</f>
        <v/>
      </c>
      <c r="G40" s="24" t="n"/>
      <c r="H40" s="24" t="n"/>
      <c r="I40" s="26" t="n"/>
      <c r="J40" s="24" t="n"/>
      <c r="K40" s="22" t="n"/>
      <c r="L40" s="70" t="n"/>
      <c r="M40" s="27">
        <f>IF(E40="","",SUMIFS(tbl_Finance[Ex GST],tbl_Finance[Job Number],E40&amp;""))</f>
        <v/>
      </c>
      <c r="N40" s="27">
        <f>IF(J40&lt;&gt;"Won","",IF(E40="",N(I40),I40-M40))</f>
        <v/>
      </c>
      <c r="O40" s="24" t="n"/>
    </row>
    <row r="41" ht="15" customHeight="1">
      <c r="A41" s="70" t="n"/>
      <c r="B41" s="24" t="n"/>
      <c r="C41" s="24" t="n"/>
      <c r="D41" s="24" t="n"/>
      <c r="E41" s="24" t="n"/>
      <c r="F41" s="25">
        <f>IF(E41="","",IF(COUNTIF(lst_Jobs,E41&amp;"")&gt;0,"OK","CHECK"))</f>
        <v/>
      </c>
      <c r="G41" s="24" t="n"/>
      <c r="H41" s="24" t="n"/>
      <c r="I41" s="26" t="n"/>
      <c r="J41" s="24" t="n"/>
      <c r="K41" s="22" t="n"/>
      <c r="L41" s="70" t="n"/>
      <c r="M41" s="27">
        <f>IF(E41="","",SUMIFS(tbl_Finance[Ex GST],tbl_Finance[Job Number],E41&amp;""))</f>
        <v/>
      </c>
      <c r="N41" s="27">
        <f>IF(J41&lt;&gt;"Won","",IF(E41="",N(I41),I41-M41))</f>
        <v/>
      </c>
      <c r="O41" s="24" t="n"/>
    </row>
    <row r="42" ht="15" customHeight="1">
      <c r="A42" s="70" t="n"/>
      <c r="B42" s="24" t="n"/>
      <c r="C42" s="24" t="n"/>
      <c r="D42" s="24" t="n"/>
      <c r="E42" s="24" t="n"/>
      <c r="F42" s="25">
        <f>IF(E42="","",IF(COUNTIF(lst_Jobs,E42&amp;"")&gt;0,"OK","CHECK"))</f>
        <v/>
      </c>
      <c r="G42" s="24" t="n"/>
      <c r="H42" s="24" t="n"/>
      <c r="I42" s="26" t="n"/>
      <c r="J42" s="24" t="n"/>
      <c r="K42" s="22" t="n"/>
      <c r="L42" s="70" t="n"/>
      <c r="M42" s="27">
        <f>IF(E42="","",SUMIFS(tbl_Finance[Ex GST],tbl_Finance[Job Number],E42&amp;""))</f>
        <v/>
      </c>
      <c r="N42" s="27">
        <f>IF(J42&lt;&gt;"Won","",IF(E42="",N(I42),I42-M42))</f>
        <v/>
      </c>
      <c r="O42" s="24" t="n"/>
    </row>
    <row r="43" ht="15" customHeight="1">
      <c r="A43" s="70" t="n"/>
      <c r="B43" s="24" t="n"/>
      <c r="C43" s="24" t="n"/>
      <c r="D43" s="24" t="n"/>
      <c r="E43" s="24" t="n"/>
      <c r="F43" s="25">
        <f>IF(E43="","",IF(COUNTIF(lst_Jobs,E43&amp;"")&gt;0,"OK","CHECK"))</f>
        <v/>
      </c>
      <c r="G43" s="24" t="n"/>
      <c r="H43" s="24" t="n"/>
      <c r="I43" s="26" t="n"/>
      <c r="J43" s="24" t="n"/>
      <c r="K43" s="22" t="n"/>
      <c r="L43" s="70" t="n"/>
      <c r="M43" s="27">
        <f>IF(E43="","",SUMIFS(tbl_Finance[Ex GST],tbl_Finance[Job Number],E43&amp;""))</f>
        <v/>
      </c>
      <c r="N43" s="27">
        <f>IF(J43&lt;&gt;"Won","",IF(E43="",N(I43),I43-M43))</f>
        <v/>
      </c>
      <c r="O43" s="24" t="n"/>
    </row>
    <row r="44" ht="15" customHeight="1">
      <c r="A44" s="70" t="n"/>
      <c r="B44" s="24" t="n"/>
      <c r="C44" s="24" t="n"/>
      <c r="D44" s="24" t="n"/>
      <c r="E44" s="24" t="n"/>
      <c r="F44" s="25">
        <f>IF(E44="","",IF(COUNTIF(lst_Jobs,E44&amp;"")&gt;0,"OK","CHECK"))</f>
        <v/>
      </c>
      <c r="G44" s="24" t="n"/>
      <c r="H44" s="24" t="n"/>
      <c r="I44" s="26" t="n"/>
      <c r="J44" s="24" t="n"/>
      <c r="K44" s="22" t="n"/>
      <c r="L44" s="70" t="n"/>
      <c r="M44" s="27">
        <f>IF(E44="","",SUMIFS(tbl_Finance[Ex GST],tbl_Finance[Job Number],E44&amp;""))</f>
        <v/>
      </c>
      <c r="N44" s="27">
        <f>IF(J44&lt;&gt;"Won","",IF(E44="",N(I44),I44-M44))</f>
        <v/>
      </c>
      <c r="O44" s="24" t="n"/>
    </row>
    <row r="45" ht="15" customHeight="1">
      <c r="A45" s="70" t="n"/>
      <c r="B45" s="24" t="n"/>
      <c r="C45" s="24" t="n"/>
      <c r="D45" s="24" t="n"/>
      <c r="E45" s="24" t="n"/>
      <c r="F45" s="25">
        <f>IF(E45="","",IF(COUNTIF(lst_Jobs,E45&amp;"")&gt;0,"OK","CHECK"))</f>
        <v/>
      </c>
      <c r="G45" s="24" t="n"/>
      <c r="H45" s="24" t="n"/>
      <c r="I45" s="26" t="n"/>
      <c r="J45" s="24" t="n"/>
      <c r="K45" s="22" t="n"/>
      <c r="L45" s="70" t="n"/>
      <c r="M45" s="27">
        <f>IF(E45="","",SUMIFS(tbl_Finance[Ex GST],tbl_Finance[Job Number],E45&amp;""))</f>
        <v/>
      </c>
      <c r="N45" s="27">
        <f>IF(J45&lt;&gt;"Won","",IF(E45="",N(I45),I45-M45))</f>
        <v/>
      </c>
      <c r="O45" s="24" t="n"/>
    </row>
    <row r="46" ht="15" customHeight="1">
      <c r="A46" s="70" t="n"/>
      <c r="B46" s="24" t="n"/>
      <c r="C46" s="24" t="n"/>
      <c r="D46" s="24" t="n"/>
      <c r="E46" s="24" t="n"/>
      <c r="F46" s="25">
        <f>IF(E46="","",IF(COUNTIF(lst_Jobs,E46&amp;"")&gt;0,"OK","CHECK"))</f>
        <v/>
      </c>
      <c r="G46" s="24" t="n"/>
      <c r="H46" s="24" t="n"/>
      <c r="I46" s="26" t="n"/>
      <c r="J46" s="24" t="n"/>
      <c r="K46" s="22" t="n"/>
      <c r="L46" s="70" t="n"/>
      <c r="M46" s="27">
        <f>IF(E46="","",SUMIFS(tbl_Finance[Ex GST],tbl_Finance[Job Number],E46&amp;""))</f>
        <v/>
      </c>
      <c r="N46" s="27">
        <f>IF(J46&lt;&gt;"Won","",IF(E46="",N(I46),I46-M46))</f>
        <v/>
      </c>
      <c r="O46" s="24" t="n"/>
    </row>
    <row r="47" ht="15" customHeight="1">
      <c r="A47" s="70" t="n"/>
      <c r="B47" s="24" t="n"/>
      <c r="C47" s="24" t="n"/>
      <c r="D47" s="24" t="n"/>
      <c r="E47" s="24" t="n"/>
      <c r="F47" s="25">
        <f>IF(E47="","",IF(COUNTIF(lst_Jobs,E47&amp;"")&gt;0,"OK","CHECK"))</f>
        <v/>
      </c>
      <c r="G47" s="24" t="n"/>
      <c r="H47" s="24" t="n"/>
      <c r="I47" s="26" t="n"/>
      <c r="J47" s="24" t="n"/>
      <c r="K47" s="22" t="n"/>
      <c r="L47" s="70" t="n"/>
      <c r="M47" s="27">
        <f>IF(E47="","",SUMIFS(tbl_Finance[Ex GST],tbl_Finance[Job Number],E47&amp;""))</f>
        <v/>
      </c>
      <c r="N47" s="27">
        <f>IF(J47&lt;&gt;"Won","",IF(E47="",N(I47),I47-M47))</f>
        <v/>
      </c>
      <c r="O47" s="24" t="n"/>
    </row>
    <row r="48" ht="15" customHeight="1">
      <c r="A48" s="70" t="n"/>
      <c r="B48" s="24" t="n"/>
      <c r="C48" s="24" t="n"/>
      <c r="D48" s="24" t="n"/>
      <c r="E48" s="24" t="n"/>
      <c r="F48" s="25">
        <f>IF(E48="","",IF(COUNTIF(lst_Jobs,E48&amp;"")&gt;0,"OK","CHECK"))</f>
        <v/>
      </c>
      <c r="G48" s="24" t="n"/>
      <c r="H48" s="24" t="n"/>
      <c r="I48" s="26" t="n"/>
      <c r="J48" s="24" t="n"/>
      <c r="K48" s="22" t="n"/>
      <c r="L48" s="70" t="n"/>
      <c r="M48" s="27">
        <f>IF(E48="","",SUMIFS(tbl_Finance[Ex GST],tbl_Finance[Job Number],E48&amp;""))</f>
        <v/>
      </c>
      <c r="N48" s="27">
        <f>IF(J48&lt;&gt;"Won","",IF(E48="",N(I48),I48-M48))</f>
        <v/>
      </c>
      <c r="O48" s="24" t="n"/>
    </row>
    <row r="49" ht="15" customHeight="1">
      <c r="A49" s="70" t="n"/>
      <c r="B49" s="24" t="n"/>
      <c r="C49" s="24" t="n"/>
      <c r="D49" s="24" t="n"/>
      <c r="E49" s="24" t="n"/>
      <c r="F49" s="25">
        <f>IF(E49="","",IF(COUNTIF(lst_Jobs,E49&amp;"")&gt;0,"OK","CHECK"))</f>
        <v/>
      </c>
      <c r="G49" s="24" t="n"/>
      <c r="H49" s="24" t="n"/>
      <c r="I49" s="26" t="n"/>
      <c r="J49" s="24" t="n"/>
      <c r="K49" s="22" t="n"/>
      <c r="L49" s="70" t="n"/>
      <c r="M49" s="27">
        <f>IF(E49="","",SUMIFS(tbl_Finance[Ex GST],tbl_Finance[Job Number],E49&amp;""))</f>
        <v/>
      </c>
      <c r="N49" s="27">
        <f>IF(J49&lt;&gt;"Won","",IF(E49="",N(I49),I49-M49))</f>
        <v/>
      </c>
      <c r="O49" s="24" t="n"/>
    </row>
    <row r="50" ht="15" customHeight="1">
      <c r="A50" s="70" t="n"/>
      <c r="B50" s="24" t="n"/>
      <c r="C50" s="24" t="n"/>
      <c r="D50" s="24" t="n"/>
      <c r="E50" s="24" t="n"/>
      <c r="F50" s="25">
        <f>IF(E50="","",IF(COUNTIF(lst_Jobs,E50&amp;"")&gt;0,"OK","CHECK"))</f>
        <v/>
      </c>
      <c r="G50" s="24" t="n"/>
      <c r="H50" s="24" t="n"/>
      <c r="I50" s="26" t="n"/>
      <c r="J50" s="24" t="n"/>
      <c r="K50" s="22" t="n"/>
      <c r="L50" s="70" t="n"/>
      <c r="M50" s="27">
        <f>IF(E50="","",SUMIFS(tbl_Finance[Ex GST],tbl_Finance[Job Number],E50&amp;""))</f>
        <v/>
      </c>
      <c r="N50" s="27">
        <f>IF(J50&lt;&gt;"Won","",IF(E50="",N(I50),I50-M50))</f>
        <v/>
      </c>
      <c r="O50" s="24" t="n"/>
    </row>
    <row r="51" ht="15" customHeight="1">
      <c r="A51" s="70" t="n"/>
      <c r="B51" s="24" t="n"/>
      <c r="C51" s="24" t="n"/>
      <c r="D51" s="24" t="n"/>
      <c r="E51" s="24" t="n"/>
      <c r="F51" s="25">
        <f>IF(E51="","",IF(COUNTIF(lst_Jobs,E51&amp;"")&gt;0,"OK","CHECK"))</f>
        <v/>
      </c>
      <c r="G51" s="24" t="n"/>
      <c r="H51" s="24" t="n"/>
      <c r="I51" s="26" t="n"/>
      <c r="J51" s="24" t="n"/>
      <c r="K51" s="22" t="n"/>
      <c r="L51" s="70" t="n"/>
      <c r="M51" s="27">
        <f>IF(E51="","",SUMIFS(tbl_Finance[Ex GST],tbl_Finance[Job Number],E51&amp;""))</f>
        <v/>
      </c>
      <c r="N51" s="27">
        <f>IF(J51&lt;&gt;"Won","",IF(E51="",N(I51),I51-M51))</f>
        <v/>
      </c>
      <c r="O51" s="24" t="n"/>
    </row>
    <row r="52" ht="15" customHeight="1">
      <c r="A52" s="70" t="n"/>
      <c r="B52" s="24" t="n"/>
      <c r="C52" s="24" t="n"/>
      <c r="D52" s="24" t="n"/>
      <c r="E52" s="24" t="n"/>
      <c r="F52" s="25">
        <f>IF(E52="","",IF(COUNTIF(lst_Jobs,E52&amp;"")&gt;0,"OK","CHECK"))</f>
        <v/>
      </c>
      <c r="G52" s="24" t="n"/>
      <c r="H52" s="24" t="n"/>
      <c r="I52" s="26" t="n"/>
      <c r="J52" s="24" t="n"/>
      <c r="K52" s="22" t="n"/>
      <c r="L52" s="70" t="n"/>
      <c r="M52" s="27">
        <f>IF(E52="","",SUMIFS(tbl_Finance[Ex GST],tbl_Finance[Job Number],E52&amp;""))</f>
        <v/>
      </c>
      <c r="N52" s="27">
        <f>IF(J52&lt;&gt;"Won","",IF(E52="",N(I52),I52-M52))</f>
        <v/>
      </c>
      <c r="O52" s="24" t="n"/>
    </row>
    <row r="53" ht="15" customHeight="1">
      <c r="A53" s="70" t="n"/>
      <c r="B53" s="24" t="n"/>
      <c r="C53" s="24" t="n"/>
      <c r="D53" s="24" t="n"/>
      <c r="E53" s="24" t="n"/>
      <c r="F53" s="25">
        <f>IF(E53="","",IF(COUNTIF(lst_Jobs,E53&amp;"")&gt;0,"OK","CHECK"))</f>
        <v/>
      </c>
      <c r="G53" s="24" t="n"/>
      <c r="H53" s="24" t="n"/>
      <c r="I53" s="26" t="n"/>
      <c r="J53" s="24" t="n"/>
      <c r="K53" s="22" t="n"/>
      <c r="L53" s="70" t="n"/>
      <c r="M53" s="27">
        <f>IF(E53="","",SUMIFS(tbl_Finance[Ex GST],tbl_Finance[Job Number],E53&amp;""))</f>
        <v/>
      </c>
      <c r="N53" s="27">
        <f>IF(J53&lt;&gt;"Won","",IF(E53="",N(I53),I53-M53))</f>
        <v/>
      </c>
      <c r="O53" s="24" t="n"/>
    </row>
    <row r="54" ht="15" customHeight="1">
      <c r="A54" s="70" t="n"/>
      <c r="B54" s="24" t="n"/>
      <c r="C54" s="24" t="n"/>
      <c r="D54" s="24" t="n"/>
      <c r="E54" s="24" t="n"/>
      <c r="F54" s="25">
        <f>IF(E54="","",IF(COUNTIF(lst_Jobs,E54&amp;"")&gt;0,"OK","CHECK"))</f>
        <v/>
      </c>
      <c r="G54" s="24" t="n"/>
      <c r="H54" s="24" t="n"/>
      <c r="I54" s="26" t="n"/>
      <c r="J54" s="24" t="n"/>
      <c r="K54" s="22" t="n"/>
      <c r="L54" s="70" t="n"/>
      <c r="M54" s="27">
        <f>IF(E54="","",SUMIFS(tbl_Finance[Ex GST],tbl_Finance[Job Number],E54&amp;""))</f>
        <v/>
      </c>
      <c r="N54" s="27">
        <f>IF(J54&lt;&gt;"Won","",IF(E54="",N(I54),I54-M54))</f>
        <v/>
      </c>
      <c r="O54" s="24" t="n"/>
    </row>
    <row r="55" ht="15" customHeight="1">
      <c r="A55" s="70" t="n"/>
      <c r="B55" s="24" t="n"/>
      <c r="C55" s="24" t="n"/>
      <c r="D55" s="24" t="n"/>
      <c r="E55" s="24" t="n"/>
      <c r="F55" s="25">
        <f>IF(E55="","",IF(COUNTIF(lst_Jobs,E55&amp;"")&gt;0,"OK","CHECK"))</f>
        <v/>
      </c>
      <c r="G55" s="24" t="n"/>
      <c r="H55" s="24" t="n"/>
      <c r="I55" s="26" t="n"/>
      <c r="J55" s="24" t="n"/>
      <c r="K55" s="22" t="n"/>
      <c r="L55" s="70" t="n"/>
      <c r="M55" s="27">
        <f>IF(E55="","",SUMIFS(tbl_Finance[Ex GST],tbl_Finance[Job Number],E55&amp;""))</f>
        <v/>
      </c>
      <c r="N55" s="27">
        <f>IF(J55&lt;&gt;"Won","",IF(E55="",N(I55),I55-M55))</f>
        <v/>
      </c>
      <c r="O55" s="24" t="n"/>
    </row>
    <row r="56" ht="15" customHeight="1">
      <c r="A56" s="70" t="n"/>
      <c r="B56" s="24" t="n"/>
      <c r="C56" s="24" t="n"/>
      <c r="D56" s="24" t="n"/>
      <c r="E56" s="24" t="n"/>
      <c r="F56" s="25">
        <f>IF(E56="","",IF(COUNTIF(lst_Jobs,E56&amp;"")&gt;0,"OK","CHECK"))</f>
        <v/>
      </c>
      <c r="G56" s="24" t="n"/>
      <c r="H56" s="24" t="n"/>
      <c r="I56" s="26" t="n"/>
      <c r="J56" s="24" t="n"/>
      <c r="K56" s="22" t="n"/>
      <c r="L56" s="70" t="n"/>
      <c r="M56" s="27">
        <f>IF(E56="","",SUMIFS(tbl_Finance[Ex GST],tbl_Finance[Job Number],E56&amp;""))</f>
        <v/>
      </c>
      <c r="N56" s="27">
        <f>IF(J56&lt;&gt;"Won","",IF(E56="",N(I56),I56-M56))</f>
        <v/>
      </c>
      <c r="O56" s="24" t="n"/>
    </row>
    <row r="57" ht="15" customHeight="1">
      <c r="A57" s="70" t="n"/>
      <c r="B57" s="24" t="n"/>
      <c r="C57" s="24" t="n"/>
      <c r="D57" s="24" t="n"/>
      <c r="E57" s="24" t="n"/>
      <c r="F57" s="25">
        <f>IF(E57="","",IF(COUNTIF(lst_Jobs,E57&amp;"")&gt;0,"OK","CHECK"))</f>
        <v/>
      </c>
      <c r="G57" s="24" t="n"/>
      <c r="H57" s="24" t="n"/>
      <c r="I57" s="26" t="n"/>
      <c r="J57" s="24" t="n"/>
      <c r="K57" s="22" t="n"/>
      <c r="L57" s="70" t="n"/>
      <c r="M57" s="27">
        <f>IF(E57="","",SUMIFS(tbl_Finance[Ex GST],tbl_Finance[Job Number],E57&amp;""))</f>
        <v/>
      </c>
      <c r="N57" s="27">
        <f>IF(J57&lt;&gt;"Won","",IF(E57="",N(I57),I57-M57))</f>
        <v/>
      </c>
      <c r="O57" s="24" t="n"/>
    </row>
    <row r="58" ht="15" customHeight="1">
      <c r="A58" s="70" t="n"/>
      <c r="B58" s="24" t="n"/>
      <c r="C58" s="24" t="n"/>
      <c r="D58" s="24" t="n"/>
      <c r="E58" s="24" t="n"/>
      <c r="F58" s="25">
        <f>IF(E58="","",IF(COUNTIF(lst_Jobs,E58&amp;"")&gt;0,"OK","CHECK"))</f>
        <v/>
      </c>
      <c r="G58" s="24" t="n"/>
      <c r="H58" s="24" t="n"/>
      <c r="I58" s="26" t="n"/>
      <c r="J58" s="24" t="n"/>
      <c r="K58" s="22" t="n"/>
      <c r="L58" s="70" t="n"/>
      <c r="M58" s="27">
        <f>IF(E58="","",SUMIFS(tbl_Finance[Ex GST],tbl_Finance[Job Number],E58&amp;""))</f>
        <v/>
      </c>
      <c r="N58" s="27">
        <f>IF(J58&lt;&gt;"Won","",IF(E58="",N(I58),I58-M58))</f>
        <v/>
      </c>
      <c r="O58" s="24" t="n"/>
    </row>
    <row r="59" ht="15" customHeight="1">
      <c r="A59" s="70" t="n"/>
      <c r="B59" s="24" t="n"/>
      <c r="C59" s="24" t="n"/>
      <c r="D59" s="24" t="n"/>
      <c r="E59" s="24" t="n"/>
      <c r="F59" s="25">
        <f>IF(E59="","",IF(COUNTIF(lst_Jobs,E59&amp;"")&gt;0,"OK","CHECK"))</f>
        <v/>
      </c>
      <c r="G59" s="24" t="n"/>
      <c r="H59" s="24" t="n"/>
      <c r="I59" s="26" t="n"/>
      <c r="J59" s="24" t="n"/>
      <c r="K59" s="22" t="n"/>
      <c r="L59" s="70" t="n"/>
      <c r="M59" s="27">
        <f>IF(E59="","",SUMIFS(tbl_Finance[Ex GST],tbl_Finance[Job Number],E59&amp;""))</f>
        <v/>
      </c>
      <c r="N59" s="27">
        <f>IF(J59&lt;&gt;"Won","",IF(E59="",N(I59),I59-M59))</f>
        <v/>
      </c>
      <c r="O59" s="24" t="n"/>
    </row>
    <row r="60" ht="15" customHeight="1">
      <c r="A60" s="70" t="n"/>
      <c r="B60" s="24" t="n"/>
      <c r="C60" s="24" t="n"/>
      <c r="D60" s="24" t="n"/>
      <c r="E60" s="24" t="n"/>
      <c r="F60" s="25">
        <f>IF(E60="","",IF(COUNTIF(lst_Jobs,E60&amp;"")&gt;0,"OK","CHECK"))</f>
        <v/>
      </c>
      <c r="G60" s="24" t="n"/>
      <c r="H60" s="24" t="n"/>
      <c r="I60" s="26" t="n"/>
      <c r="J60" s="24" t="n"/>
      <c r="K60" s="22" t="n"/>
      <c r="L60" s="70" t="n"/>
      <c r="M60" s="27">
        <f>IF(E60="","",SUMIFS(tbl_Finance[Ex GST],tbl_Finance[Job Number],E60&amp;""))</f>
        <v/>
      </c>
      <c r="N60" s="27">
        <f>IF(J60&lt;&gt;"Won","",IF(E60="",N(I60),I60-M60))</f>
        <v/>
      </c>
      <c r="O60" s="24" t="n"/>
    </row>
    <row r="61" ht="15" customHeight="1">
      <c r="A61" s="70" t="n"/>
      <c r="B61" s="24" t="n"/>
      <c r="C61" s="24" t="n"/>
      <c r="D61" s="24" t="n"/>
      <c r="E61" s="24" t="n"/>
      <c r="F61" s="25">
        <f>IF(E61="","",IF(COUNTIF(lst_Jobs,E61&amp;"")&gt;0,"OK","CHECK"))</f>
        <v/>
      </c>
      <c r="G61" s="24" t="n"/>
      <c r="H61" s="24" t="n"/>
      <c r="I61" s="26" t="n"/>
      <c r="J61" s="24" t="n"/>
      <c r="K61" s="22" t="n"/>
      <c r="L61" s="70" t="n"/>
      <c r="M61" s="27">
        <f>IF(E61="","",SUMIFS(tbl_Finance[Ex GST],tbl_Finance[Job Number],E61&amp;""))</f>
        <v/>
      </c>
      <c r="N61" s="27">
        <f>IF(J61&lt;&gt;"Won","",IF(E61="",N(I61),I61-M61))</f>
        <v/>
      </c>
      <c r="O61" s="24" t="n"/>
    </row>
    <row r="62" ht="15" customHeight="1">
      <c r="A62" s="70" t="n"/>
      <c r="B62" s="24" t="n"/>
      <c r="C62" s="24" t="n"/>
      <c r="D62" s="24" t="n"/>
      <c r="E62" s="24" t="n"/>
      <c r="F62" s="25">
        <f>IF(E62="","",IF(COUNTIF(lst_Jobs,E62&amp;"")&gt;0,"OK","CHECK"))</f>
        <v/>
      </c>
      <c r="G62" s="24" t="n"/>
      <c r="H62" s="24" t="n"/>
      <c r="I62" s="26" t="n"/>
      <c r="J62" s="24" t="n"/>
      <c r="K62" s="22" t="n"/>
      <c r="L62" s="70" t="n"/>
      <c r="M62" s="27">
        <f>IF(E62="","",SUMIFS(tbl_Finance[Ex GST],tbl_Finance[Job Number],E62&amp;""))</f>
        <v/>
      </c>
      <c r="N62" s="27">
        <f>IF(J62&lt;&gt;"Won","",IF(E62="",N(I62),I62-M62))</f>
        <v/>
      </c>
      <c r="O62" s="24" t="n"/>
    </row>
    <row r="63" ht="15" customHeight="1">
      <c r="A63" s="70" t="n"/>
      <c r="B63" s="24" t="n"/>
      <c r="C63" s="24" t="n"/>
      <c r="D63" s="24" t="n"/>
      <c r="E63" s="24" t="n"/>
      <c r="F63" s="25">
        <f>IF(E63="","",IF(COUNTIF(lst_Jobs,E63&amp;"")&gt;0,"OK","CHECK"))</f>
        <v/>
      </c>
      <c r="G63" s="24" t="n"/>
      <c r="H63" s="24" t="n"/>
      <c r="I63" s="26" t="n"/>
      <c r="J63" s="24" t="n"/>
      <c r="K63" s="22" t="n"/>
      <c r="L63" s="70" t="n"/>
      <c r="M63" s="27">
        <f>IF(E63="","",SUMIFS(tbl_Finance[Ex GST],tbl_Finance[Job Number],E63&amp;""))</f>
        <v/>
      </c>
      <c r="N63" s="27">
        <f>IF(J63&lt;&gt;"Won","",IF(E63="",N(I63),I63-M63))</f>
        <v/>
      </c>
      <c r="O63" s="24" t="n"/>
    </row>
    <row r="64" ht="15" customHeight="1">
      <c r="A64" s="70" t="n"/>
      <c r="B64" s="24" t="n"/>
      <c r="C64" s="24" t="n"/>
      <c r="D64" s="24" t="n"/>
      <c r="E64" s="24" t="n"/>
      <c r="F64" s="25">
        <f>IF(E64="","",IF(COUNTIF(lst_Jobs,E64&amp;"")&gt;0,"OK","CHECK"))</f>
        <v/>
      </c>
      <c r="G64" s="24" t="n"/>
      <c r="H64" s="24" t="n"/>
      <c r="I64" s="26" t="n"/>
      <c r="J64" s="24" t="n"/>
      <c r="K64" s="22" t="n"/>
      <c r="L64" s="70" t="n"/>
      <c r="M64" s="27">
        <f>IF(E64="","",SUMIFS(tbl_Finance[Ex GST],tbl_Finance[Job Number],E64&amp;""))</f>
        <v/>
      </c>
      <c r="N64" s="27">
        <f>IF(J64&lt;&gt;"Won","",IF(E64="",N(I64),I64-M64))</f>
        <v/>
      </c>
      <c r="O64" s="24" t="n"/>
    </row>
    <row r="65" ht="15" customHeight="1">
      <c r="A65" s="70" t="n"/>
      <c r="B65" s="24" t="n"/>
      <c r="C65" s="24" t="n"/>
      <c r="D65" s="24" t="n"/>
      <c r="E65" s="24" t="n"/>
      <c r="F65" s="25">
        <f>IF(E65="","",IF(COUNTIF(lst_Jobs,E65&amp;"")&gt;0,"OK","CHECK"))</f>
        <v/>
      </c>
      <c r="G65" s="24" t="n"/>
      <c r="H65" s="24" t="n"/>
      <c r="I65" s="26" t="n"/>
      <c r="J65" s="24" t="n"/>
      <c r="K65" s="22" t="n"/>
      <c r="L65" s="70" t="n"/>
      <c r="M65" s="27">
        <f>IF(E65="","",SUMIFS(tbl_Finance[Ex GST],tbl_Finance[Job Number],E65&amp;""))</f>
        <v/>
      </c>
      <c r="N65" s="27">
        <f>IF(J65&lt;&gt;"Won","",IF(E65="",N(I65),I65-M65))</f>
        <v/>
      </c>
      <c r="O65" s="24" t="n"/>
    </row>
    <row r="66" ht="15" customHeight="1">
      <c r="A66" s="70" t="n"/>
      <c r="B66" s="24" t="n"/>
      <c r="C66" s="24" t="n"/>
      <c r="D66" s="24" t="n"/>
      <c r="E66" s="24" t="n"/>
      <c r="F66" s="25">
        <f>IF(E66="","",IF(COUNTIF(lst_Jobs,E66&amp;"")&gt;0,"OK","CHECK"))</f>
        <v/>
      </c>
      <c r="G66" s="24" t="n"/>
      <c r="H66" s="24" t="n"/>
      <c r="I66" s="26" t="n"/>
      <c r="J66" s="24" t="n"/>
      <c r="K66" s="22" t="n"/>
      <c r="L66" s="70" t="n"/>
      <c r="M66" s="27">
        <f>IF(E66="","",SUMIFS(tbl_Finance[Ex GST],tbl_Finance[Job Number],E66&amp;""))</f>
        <v/>
      </c>
      <c r="N66" s="27">
        <f>IF(J66&lt;&gt;"Won","",IF(E66="",N(I66),I66-M66))</f>
        <v/>
      </c>
      <c r="O66" s="24" t="n"/>
    </row>
    <row r="67" ht="15" customHeight="1">
      <c r="A67" s="70" t="n"/>
      <c r="B67" s="24" t="n"/>
      <c r="C67" s="24" t="n"/>
      <c r="D67" s="24" t="n"/>
      <c r="E67" s="24" t="n"/>
      <c r="F67" s="25">
        <f>IF(E67="","",IF(COUNTIF(lst_Jobs,E67&amp;"")&gt;0,"OK","CHECK"))</f>
        <v/>
      </c>
      <c r="G67" s="24" t="n"/>
      <c r="H67" s="24" t="n"/>
      <c r="I67" s="26" t="n"/>
      <c r="J67" s="24" t="n"/>
      <c r="K67" s="22" t="n"/>
      <c r="L67" s="70" t="n"/>
      <c r="M67" s="27">
        <f>IF(E67="","",SUMIFS(tbl_Finance[Ex GST],tbl_Finance[Job Number],E67&amp;""))</f>
        <v/>
      </c>
      <c r="N67" s="27">
        <f>IF(J67&lt;&gt;"Won","",IF(E67="",N(I67),I67-M67))</f>
        <v/>
      </c>
      <c r="O67" s="24" t="n"/>
    </row>
    <row r="68" ht="15" customHeight="1">
      <c r="A68" s="70" t="n"/>
      <c r="B68" s="24" t="n"/>
      <c r="C68" s="24" t="n"/>
      <c r="D68" s="24" t="n"/>
      <c r="E68" s="24" t="n"/>
      <c r="F68" s="25">
        <f>IF(E68="","",IF(COUNTIF(lst_Jobs,E68&amp;"")&gt;0,"OK","CHECK"))</f>
        <v/>
      </c>
      <c r="G68" s="24" t="n"/>
      <c r="H68" s="24" t="n"/>
      <c r="I68" s="26" t="n"/>
      <c r="J68" s="24" t="n"/>
      <c r="K68" s="22" t="n"/>
      <c r="L68" s="70" t="n"/>
      <c r="M68" s="27">
        <f>IF(E68="","",SUMIFS(tbl_Finance[Ex GST],tbl_Finance[Job Number],E68&amp;""))</f>
        <v/>
      </c>
      <c r="N68" s="27">
        <f>IF(J68&lt;&gt;"Won","",IF(E68="",N(I68),I68-M68))</f>
        <v/>
      </c>
      <c r="O68" s="24" t="n"/>
    </row>
    <row r="69" ht="15" customHeight="1">
      <c r="A69" s="70" t="n"/>
      <c r="B69" s="24" t="n"/>
      <c r="C69" s="24" t="n"/>
      <c r="D69" s="24" t="n"/>
      <c r="E69" s="24" t="n"/>
      <c r="F69" s="25">
        <f>IF(E69="","",IF(COUNTIF(lst_Jobs,E69&amp;"")&gt;0,"OK","CHECK"))</f>
        <v/>
      </c>
      <c r="G69" s="24" t="n"/>
      <c r="H69" s="24" t="n"/>
      <c r="I69" s="26" t="n"/>
      <c r="J69" s="24" t="n"/>
      <c r="K69" s="22" t="n"/>
      <c r="L69" s="70" t="n"/>
      <c r="M69" s="27">
        <f>IF(E69="","",SUMIFS(tbl_Finance[Ex GST],tbl_Finance[Job Number],E69&amp;""))</f>
        <v/>
      </c>
      <c r="N69" s="27">
        <f>IF(J69&lt;&gt;"Won","",IF(E69="",N(I69),I69-M69))</f>
        <v/>
      </c>
      <c r="O69" s="24" t="n"/>
    </row>
    <row r="70" ht="15" customHeight="1">
      <c r="A70" s="70" t="n"/>
      <c r="B70" s="24" t="n"/>
      <c r="C70" s="24" t="n"/>
      <c r="D70" s="24" t="n"/>
      <c r="E70" s="24" t="n"/>
      <c r="F70" s="25">
        <f>IF(E70="","",IF(COUNTIF(lst_Jobs,E70&amp;"")&gt;0,"OK","CHECK"))</f>
        <v/>
      </c>
      <c r="G70" s="24" t="n"/>
      <c r="H70" s="24" t="n"/>
      <c r="I70" s="26" t="n"/>
      <c r="J70" s="24" t="n"/>
      <c r="K70" s="22" t="n"/>
      <c r="L70" s="70" t="n"/>
      <c r="M70" s="27">
        <f>IF(E70="","",SUMIFS(tbl_Finance[Ex GST],tbl_Finance[Job Number],E70&amp;""))</f>
        <v/>
      </c>
      <c r="N70" s="27">
        <f>IF(J70&lt;&gt;"Won","",IF(E70="",N(I70),I70-M70))</f>
        <v/>
      </c>
      <c r="O70" s="24" t="n"/>
    </row>
    <row r="71" ht="15" customHeight="1">
      <c r="A71" s="70" t="n"/>
      <c r="B71" s="24" t="n"/>
      <c r="C71" s="24" t="n"/>
      <c r="D71" s="24" t="n"/>
      <c r="E71" s="24" t="n"/>
      <c r="F71" s="25">
        <f>IF(E71="","",IF(COUNTIF(lst_Jobs,E71&amp;"")&gt;0,"OK","CHECK"))</f>
        <v/>
      </c>
      <c r="G71" s="24" t="n"/>
      <c r="H71" s="24" t="n"/>
      <c r="I71" s="26" t="n"/>
      <c r="J71" s="24" t="n"/>
      <c r="K71" s="22" t="n"/>
      <c r="L71" s="70" t="n"/>
      <c r="M71" s="27">
        <f>IF(E71="","",SUMIFS(tbl_Finance[Ex GST],tbl_Finance[Job Number],E71&amp;""))</f>
        <v/>
      </c>
      <c r="N71" s="27">
        <f>IF(J71&lt;&gt;"Won","",IF(E71="",N(I71),I71-M71))</f>
        <v/>
      </c>
      <c r="O71" s="24" t="n"/>
    </row>
    <row r="72" ht="15" customHeight="1">
      <c r="A72" s="70" t="n"/>
      <c r="B72" s="24" t="n"/>
      <c r="C72" s="24" t="n"/>
      <c r="D72" s="24" t="n"/>
      <c r="E72" s="24" t="n"/>
      <c r="F72" s="25">
        <f>IF(E72="","",IF(COUNTIF(lst_Jobs,E72&amp;"")&gt;0,"OK","CHECK"))</f>
        <v/>
      </c>
      <c r="G72" s="24" t="n"/>
      <c r="H72" s="24" t="n"/>
      <c r="I72" s="26" t="n"/>
      <c r="J72" s="24" t="n"/>
      <c r="K72" s="22" t="n"/>
      <c r="L72" s="70" t="n"/>
      <c r="M72" s="27">
        <f>IF(E72="","",SUMIFS(tbl_Finance[Ex GST],tbl_Finance[Job Number],E72&amp;""))</f>
        <v/>
      </c>
      <c r="N72" s="27">
        <f>IF(J72&lt;&gt;"Won","",IF(E72="",N(I72),I72-M72))</f>
        <v/>
      </c>
      <c r="O72" s="24" t="n"/>
    </row>
    <row r="73" ht="15" customHeight="1">
      <c r="A73" s="70" t="n"/>
      <c r="B73" s="24" t="n"/>
      <c r="C73" s="24" t="n"/>
      <c r="D73" s="24" t="n"/>
      <c r="E73" s="24" t="n"/>
      <c r="F73" s="25">
        <f>IF(E73="","",IF(COUNTIF(lst_Jobs,E73&amp;"")&gt;0,"OK","CHECK"))</f>
        <v/>
      </c>
      <c r="G73" s="24" t="n"/>
      <c r="H73" s="24" t="n"/>
      <c r="I73" s="26" t="n"/>
      <c r="J73" s="24" t="n"/>
      <c r="K73" s="22" t="n"/>
      <c r="L73" s="70" t="n"/>
      <c r="M73" s="27">
        <f>IF(E73="","",SUMIFS(tbl_Finance[Ex GST],tbl_Finance[Job Number],E73&amp;""))</f>
        <v/>
      </c>
      <c r="N73" s="27">
        <f>IF(J73&lt;&gt;"Won","",IF(E73="",N(I73),I73-M73))</f>
        <v/>
      </c>
      <c r="O73" s="24" t="n"/>
    </row>
    <row r="74" ht="15" customHeight="1">
      <c r="A74" s="70" t="n"/>
      <c r="B74" s="24" t="n"/>
      <c r="C74" s="24" t="n"/>
      <c r="D74" s="24" t="n"/>
      <c r="E74" s="24" t="n"/>
      <c r="F74" s="25">
        <f>IF(E74="","",IF(COUNTIF(lst_Jobs,E74&amp;"")&gt;0,"OK","CHECK"))</f>
        <v/>
      </c>
      <c r="G74" s="24" t="n"/>
      <c r="H74" s="24" t="n"/>
      <c r="I74" s="26" t="n"/>
      <c r="J74" s="24" t="n"/>
      <c r="K74" s="22" t="n"/>
      <c r="L74" s="70" t="n"/>
      <c r="M74" s="27">
        <f>IF(E74="","",SUMIFS(tbl_Finance[Ex GST],tbl_Finance[Job Number],E74&amp;""))</f>
        <v/>
      </c>
      <c r="N74" s="27">
        <f>IF(J74&lt;&gt;"Won","",IF(E74="",N(I74),I74-M74))</f>
        <v/>
      </c>
      <c r="O74" s="24" t="n"/>
    </row>
    <row r="75" ht="15" customHeight="1">
      <c r="A75" s="70" t="n"/>
      <c r="B75" s="24" t="n"/>
      <c r="C75" s="24" t="n"/>
      <c r="D75" s="24" t="n"/>
      <c r="E75" s="24" t="n"/>
      <c r="F75" s="25">
        <f>IF(E75="","",IF(COUNTIF(lst_Jobs,E75&amp;"")&gt;0,"OK","CHECK"))</f>
        <v/>
      </c>
      <c r="G75" s="24" t="n"/>
      <c r="H75" s="24" t="n"/>
      <c r="I75" s="26" t="n"/>
      <c r="J75" s="24" t="n"/>
      <c r="K75" s="22" t="n"/>
      <c r="L75" s="70" t="n"/>
      <c r="M75" s="27">
        <f>IF(E75="","",SUMIFS(tbl_Finance[Ex GST],tbl_Finance[Job Number],E75&amp;""))</f>
        <v/>
      </c>
      <c r="N75" s="27">
        <f>IF(J75&lt;&gt;"Won","",IF(E75="",N(I75),I75-M75))</f>
        <v/>
      </c>
      <c r="O75" s="24" t="n"/>
    </row>
    <row r="76" ht="15" customHeight="1">
      <c r="A76" s="70" t="n"/>
      <c r="B76" s="24" t="n"/>
      <c r="C76" s="24" t="n"/>
      <c r="D76" s="24" t="n"/>
      <c r="E76" s="24" t="n"/>
      <c r="F76" s="25">
        <f>IF(E76="","",IF(COUNTIF(lst_Jobs,E76&amp;"")&gt;0,"OK","CHECK"))</f>
        <v/>
      </c>
      <c r="G76" s="24" t="n"/>
      <c r="H76" s="24" t="n"/>
      <c r="I76" s="26" t="n"/>
      <c r="J76" s="24" t="n"/>
      <c r="K76" s="22" t="n"/>
      <c r="L76" s="70" t="n"/>
      <c r="M76" s="27">
        <f>IF(E76="","",SUMIFS(tbl_Finance[Ex GST],tbl_Finance[Job Number],E76&amp;""))</f>
        <v/>
      </c>
      <c r="N76" s="27">
        <f>IF(J76&lt;&gt;"Won","",IF(E76="",N(I76),I76-M76))</f>
        <v/>
      </c>
      <c r="O76" s="24" t="n"/>
    </row>
    <row r="77" ht="15" customHeight="1">
      <c r="A77" s="70" t="n"/>
      <c r="B77" s="24" t="n"/>
      <c r="C77" s="24" t="n"/>
      <c r="D77" s="24" t="n"/>
      <c r="E77" s="24" t="n"/>
      <c r="F77" s="25">
        <f>IF(E77="","",IF(COUNTIF(lst_Jobs,E77&amp;"")&gt;0,"OK","CHECK"))</f>
        <v/>
      </c>
      <c r="G77" s="24" t="n"/>
      <c r="H77" s="24" t="n"/>
      <c r="I77" s="26" t="n"/>
      <c r="J77" s="24" t="n"/>
      <c r="K77" s="22" t="n"/>
      <c r="L77" s="70" t="n"/>
      <c r="M77" s="27">
        <f>IF(E77="","",SUMIFS(tbl_Finance[Ex GST],tbl_Finance[Job Number],E77&amp;""))</f>
        <v/>
      </c>
      <c r="N77" s="27">
        <f>IF(J77&lt;&gt;"Won","",IF(E77="",N(I77),I77-M77))</f>
        <v/>
      </c>
      <c r="O77" s="24" t="n"/>
    </row>
    <row r="78" ht="15" customHeight="1">
      <c r="A78" s="70" t="n"/>
      <c r="B78" s="24" t="n"/>
      <c r="C78" s="24" t="n"/>
      <c r="D78" s="24" t="n"/>
      <c r="E78" s="24" t="n"/>
      <c r="F78" s="25">
        <f>IF(E78="","",IF(COUNTIF(lst_Jobs,E78&amp;"")&gt;0,"OK","CHECK"))</f>
        <v/>
      </c>
      <c r="G78" s="24" t="n"/>
      <c r="H78" s="24" t="n"/>
      <c r="I78" s="26" t="n"/>
      <c r="J78" s="24" t="n"/>
      <c r="K78" s="22" t="n"/>
      <c r="L78" s="70" t="n"/>
      <c r="M78" s="27">
        <f>IF(E78="","",SUMIFS(tbl_Finance[Ex GST],tbl_Finance[Job Number],E78&amp;""))</f>
        <v/>
      </c>
      <c r="N78" s="27">
        <f>IF(J78&lt;&gt;"Won","",IF(E78="",N(I78),I78-M78))</f>
        <v/>
      </c>
      <c r="O78" s="24" t="n"/>
    </row>
    <row r="79" ht="15" customHeight="1">
      <c r="A79" s="70" t="n"/>
      <c r="B79" s="24" t="n"/>
      <c r="C79" s="24" t="n"/>
      <c r="D79" s="24" t="n"/>
      <c r="E79" s="24" t="n"/>
      <c r="F79" s="25">
        <f>IF(E79="","",IF(COUNTIF(lst_Jobs,E79&amp;"")&gt;0,"OK","CHECK"))</f>
        <v/>
      </c>
      <c r="G79" s="24" t="n"/>
      <c r="H79" s="24" t="n"/>
      <c r="I79" s="26" t="n"/>
      <c r="J79" s="24" t="n"/>
      <c r="K79" s="22" t="n"/>
      <c r="L79" s="70" t="n"/>
      <c r="M79" s="27">
        <f>IF(E79="","",SUMIFS(tbl_Finance[Ex GST],tbl_Finance[Job Number],E79&amp;""))</f>
        <v/>
      </c>
      <c r="N79" s="27">
        <f>IF(J79&lt;&gt;"Won","",IF(E79="",N(I79),I79-M79))</f>
        <v/>
      </c>
      <c r="O79" s="24" t="n"/>
    </row>
    <row r="80" ht="15" customHeight="1">
      <c r="A80" s="70" t="n"/>
      <c r="B80" s="24" t="n"/>
      <c r="C80" s="24" t="n"/>
      <c r="D80" s="24" t="n"/>
      <c r="E80" s="24" t="n"/>
      <c r="F80" s="25">
        <f>IF(E80="","",IF(COUNTIF(lst_Jobs,E80&amp;"")&gt;0,"OK","CHECK"))</f>
        <v/>
      </c>
      <c r="G80" s="24" t="n"/>
      <c r="H80" s="24" t="n"/>
      <c r="I80" s="26" t="n"/>
      <c r="J80" s="24" t="n"/>
      <c r="K80" s="22" t="n"/>
      <c r="L80" s="70" t="n"/>
      <c r="M80" s="27">
        <f>IF(E80="","",SUMIFS(tbl_Finance[Ex GST],tbl_Finance[Job Number],E80&amp;""))</f>
        <v/>
      </c>
      <c r="N80" s="27">
        <f>IF(J80&lt;&gt;"Won","",IF(E80="",N(I80),I80-M80))</f>
        <v/>
      </c>
      <c r="O80" s="24" t="n"/>
    </row>
    <row r="81" ht="15" customHeight="1">
      <c r="A81" s="70" t="n"/>
      <c r="B81" s="24" t="n"/>
      <c r="C81" s="24" t="n"/>
      <c r="D81" s="24" t="n"/>
      <c r="E81" s="24" t="n"/>
      <c r="F81" s="25">
        <f>IF(E81="","",IF(COUNTIF(lst_Jobs,E81&amp;"")&gt;0,"OK","CHECK"))</f>
        <v/>
      </c>
      <c r="G81" s="24" t="n"/>
      <c r="H81" s="24" t="n"/>
      <c r="I81" s="26" t="n"/>
      <c r="J81" s="24" t="n"/>
      <c r="K81" s="22" t="n"/>
      <c r="L81" s="70" t="n"/>
      <c r="M81" s="27">
        <f>IF(E81="","",SUMIFS(tbl_Finance[Ex GST],tbl_Finance[Job Number],E81&amp;""))</f>
        <v/>
      </c>
      <c r="N81" s="27">
        <f>IF(J81&lt;&gt;"Won","",IF(E81="",N(I81),I81-M81))</f>
        <v/>
      </c>
      <c r="O81" s="24" t="n"/>
    </row>
    <row r="82" ht="15" customHeight="1">
      <c r="A82" s="70" t="n"/>
      <c r="B82" s="24" t="n"/>
      <c r="C82" s="24" t="n"/>
      <c r="D82" s="24" t="n"/>
      <c r="E82" s="24" t="n"/>
      <c r="F82" s="25">
        <f>IF(E82="","",IF(COUNTIF(lst_Jobs,E82&amp;"")&gt;0,"OK","CHECK"))</f>
        <v/>
      </c>
      <c r="G82" s="24" t="n"/>
      <c r="H82" s="24" t="n"/>
      <c r="I82" s="26" t="n"/>
      <c r="J82" s="24" t="n"/>
      <c r="K82" s="22" t="n"/>
      <c r="L82" s="70" t="n"/>
      <c r="M82" s="27">
        <f>IF(E82="","",SUMIFS(tbl_Finance[Ex GST],tbl_Finance[Job Number],E82&amp;""))</f>
        <v/>
      </c>
      <c r="N82" s="27">
        <f>IF(J82&lt;&gt;"Won","",IF(E82="",N(I82),I82-M82))</f>
        <v/>
      </c>
      <c r="O82" s="24" t="n"/>
    </row>
    <row r="83" ht="15" customHeight="1">
      <c r="A83" s="70" t="n"/>
      <c r="B83" s="24" t="n"/>
      <c r="C83" s="24" t="n"/>
      <c r="D83" s="24" t="n"/>
      <c r="E83" s="24" t="n"/>
      <c r="F83" s="25">
        <f>IF(E83="","",IF(COUNTIF(lst_Jobs,E83&amp;"")&gt;0,"OK","CHECK"))</f>
        <v/>
      </c>
      <c r="G83" s="24" t="n"/>
      <c r="H83" s="24" t="n"/>
      <c r="I83" s="26" t="n"/>
      <c r="J83" s="24" t="n"/>
      <c r="K83" s="22" t="n"/>
      <c r="L83" s="70" t="n"/>
      <c r="M83" s="27">
        <f>IF(E83="","",SUMIFS(tbl_Finance[Ex GST],tbl_Finance[Job Number],E83&amp;""))</f>
        <v/>
      </c>
      <c r="N83" s="27">
        <f>IF(J83&lt;&gt;"Won","",IF(E83="",N(I83),I83-M83))</f>
        <v/>
      </c>
      <c r="O83" s="24" t="n"/>
    </row>
    <row r="84" ht="15" customHeight="1">
      <c r="A84" s="70" t="n"/>
      <c r="B84" s="24" t="n"/>
      <c r="C84" s="24" t="n"/>
      <c r="D84" s="24" t="n"/>
      <c r="E84" s="24" t="n"/>
      <c r="F84" s="25">
        <f>IF(E84="","",IF(COUNTIF(lst_Jobs,E84&amp;"")&gt;0,"OK","CHECK"))</f>
        <v/>
      </c>
      <c r="G84" s="24" t="n"/>
      <c r="H84" s="24" t="n"/>
      <c r="I84" s="26" t="n"/>
      <c r="J84" s="24" t="n"/>
      <c r="K84" s="22" t="n"/>
      <c r="L84" s="70" t="n"/>
      <c r="M84" s="27">
        <f>IF(E84="","",SUMIFS(tbl_Finance[Ex GST],tbl_Finance[Job Number],E84&amp;""))</f>
        <v/>
      </c>
      <c r="N84" s="27">
        <f>IF(J84&lt;&gt;"Won","",IF(E84="",N(I84),I84-M84))</f>
        <v/>
      </c>
      <c r="O84" s="24" t="n"/>
    </row>
    <row r="85" ht="15" customHeight="1">
      <c r="A85" s="70" t="n"/>
      <c r="B85" s="24" t="n"/>
      <c r="C85" s="24" t="n"/>
      <c r="D85" s="24" t="n"/>
      <c r="E85" s="24" t="n"/>
      <c r="F85" s="25">
        <f>IF(E85="","",IF(COUNTIF(lst_Jobs,E85&amp;"")&gt;0,"OK","CHECK"))</f>
        <v/>
      </c>
      <c r="G85" s="24" t="n"/>
      <c r="H85" s="24" t="n"/>
      <c r="I85" s="26" t="n"/>
      <c r="J85" s="24" t="n"/>
      <c r="K85" s="22" t="n"/>
      <c r="L85" s="70" t="n"/>
      <c r="M85" s="27">
        <f>IF(E85="","",SUMIFS(tbl_Finance[Ex GST],tbl_Finance[Job Number],E85&amp;""))</f>
        <v/>
      </c>
      <c r="N85" s="27">
        <f>IF(J85&lt;&gt;"Won","",IF(E85="",N(I85),I85-M85))</f>
        <v/>
      </c>
      <c r="O85" s="24" t="n"/>
    </row>
    <row r="86" ht="15" customHeight="1">
      <c r="A86" s="70" t="n"/>
      <c r="B86" s="24" t="n"/>
      <c r="C86" s="24" t="n"/>
      <c r="D86" s="24" t="n"/>
      <c r="E86" s="24" t="n"/>
      <c r="F86" s="25">
        <f>IF(E86="","",IF(COUNTIF(lst_Jobs,E86&amp;"")&gt;0,"OK","CHECK"))</f>
        <v/>
      </c>
      <c r="G86" s="24" t="n"/>
      <c r="H86" s="24" t="n"/>
      <c r="I86" s="26" t="n"/>
      <c r="J86" s="24" t="n"/>
      <c r="K86" s="22" t="n"/>
      <c r="L86" s="70" t="n"/>
      <c r="M86" s="27">
        <f>IF(E86="","",SUMIFS(tbl_Finance[Ex GST],tbl_Finance[Job Number],E86&amp;""))</f>
        <v/>
      </c>
      <c r="N86" s="27">
        <f>IF(J86&lt;&gt;"Won","",IF(E86="",N(I86),I86-M86))</f>
        <v/>
      </c>
      <c r="O86" s="24" t="n"/>
    </row>
    <row r="87" ht="15" customHeight="1">
      <c r="A87" s="70" t="n"/>
      <c r="B87" s="24" t="n"/>
      <c r="C87" s="24" t="n"/>
      <c r="D87" s="24" t="n"/>
      <c r="E87" s="24" t="n"/>
      <c r="F87" s="25">
        <f>IF(E87="","",IF(COUNTIF(lst_Jobs,E87&amp;"")&gt;0,"OK","CHECK"))</f>
        <v/>
      </c>
      <c r="G87" s="24" t="n"/>
      <c r="H87" s="24" t="n"/>
      <c r="I87" s="26" t="n"/>
      <c r="J87" s="24" t="n"/>
      <c r="K87" s="22" t="n"/>
      <c r="L87" s="70" t="n"/>
      <c r="M87" s="27">
        <f>IF(E87="","",SUMIFS(tbl_Finance[Ex GST],tbl_Finance[Job Number],E87&amp;""))</f>
        <v/>
      </c>
      <c r="N87" s="27">
        <f>IF(J87&lt;&gt;"Won","",IF(E87="",N(I87),I87-M87))</f>
        <v/>
      </c>
      <c r="O87" s="24" t="n"/>
    </row>
    <row r="88" ht="15" customHeight="1">
      <c r="A88" s="70" t="n"/>
      <c r="B88" s="24" t="n"/>
      <c r="C88" s="24" t="n"/>
      <c r="D88" s="24" t="n"/>
      <c r="E88" s="24" t="n"/>
      <c r="F88" s="25">
        <f>IF(E88="","",IF(COUNTIF(lst_Jobs,E88&amp;"")&gt;0,"OK","CHECK"))</f>
        <v/>
      </c>
      <c r="G88" s="24" t="n"/>
      <c r="H88" s="24" t="n"/>
      <c r="I88" s="26" t="n"/>
      <c r="J88" s="24" t="n"/>
      <c r="K88" s="22" t="n"/>
      <c r="L88" s="70" t="n"/>
      <c r="M88" s="27">
        <f>IF(E88="","",SUMIFS(tbl_Finance[Ex GST],tbl_Finance[Job Number],E88&amp;""))</f>
        <v/>
      </c>
      <c r="N88" s="27">
        <f>IF(J88&lt;&gt;"Won","",IF(E88="",N(I88),I88-M88))</f>
        <v/>
      </c>
      <c r="O88" s="24" t="n"/>
    </row>
    <row r="89" ht="15" customHeight="1">
      <c r="A89" s="70" t="n"/>
      <c r="B89" s="24" t="n"/>
      <c r="C89" s="24" t="n"/>
      <c r="D89" s="24" t="n"/>
      <c r="E89" s="24" t="n"/>
      <c r="F89" s="25">
        <f>IF(E89="","",IF(COUNTIF(lst_Jobs,E89&amp;"")&gt;0,"OK","CHECK"))</f>
        <v/>
      </c>
      <c r="G89" s="24" t="n"/>
      <c r="H89" s="24" t="n"/>
      <c r="I89" s="26" t="n"/>
      <c r="J89" s="24" t="n"/>
      <c r="K89" s="22" t="n"/>
      <c r="L89" s="70" t="n"/>
      <c r="M89" s="27">
        <f>IF(E89="","",SUMIFS(tbl_Finance[Ex GST],tbl_Finance[Job Number],E89&amp;""))</f>
        <v/>
      </c>
      <c r="N89" s="27">
        <f>IF(J89&lt;&gt;"Won","",IF(E89="",N(I89),I89-M89))</f>
        <v/>
      </c>
      <c r="O89" s="24" t="n"/>
    </row>
    <row r="90" ht="15" customHeight="1">
      <c r="A90" s="70" t="n"/>
      <c r="B90" s="24" t="n"/>
      <c r="C90" s="24" t="n"/>
      <c r="D90" s="24" t="n"/>
      <c r="E90" s="24" t="n"/>
      <c r="F90" s="25">
        <f>IF(E90="","",IF(COUNTIF(lst_Jobs,E90&amp;"")&gt;0,"OK","CHECK"))</f>
        <v/>
      </c>
      <c r="G90" s="24" t="n"/>
      <c r="H90" s="24" t="n"/>
      <c r="I90" s="26" t="n"/>
      <c r="J90" s="24" t="n"/>
      <c r="K90" s="22" t="n"/>
      <c r="L90" s="70" t="n"/>
      <c r="M90" s="27">
        <f>IF(E90="","",SUMIFS(tbl_Finance[Ex GST],tbl_Finance[Job Number],E90&amp;""))</f>
        <v/>
      </c>
      <c r="N90" s="27">
        <f>IF(J90&lt;&gt;"Won","",IF(E90="",N(I90),I90-M90))</f>
        <v/>
      </c>
      <c r="O90" s="24" t="n"/>
    </row>
    <row r="91" ht="15" customHeight="1">
      <c r="A91" s="70" t="n"/>
      <c r="B91" s="24" t="n"/>
      <c r="C91" s="24" t="n"/>
      <c r="D91" s="24" t="n"/>
      <c r="E91" s="24" t="n"/>
      <c r="F91" s="25">
        <f>IF(E91="","",IF(COUNTIF(lst_Jobs,E91&amp;"")&gt;0,"OK","CHECK"))</f>
        <v/>
      </c>
      <c r="G91" s="24" t="n"/>
      <c r="H91" s="24" t="n"/>
      <c r="I91" s="26" t="n"/>
      <c r="J91" s="24" t="n"/>
      <c r="K91" s="22" t="n"/>
      <c r="L91" s="70" t="n"/>
      <c r="M91" s="27">
        <f>IF(E91="","",SUMIFS(tbl_Finance[Ex GST],tbl_Finance[Job Number],E91&amp;""))</f>
        <v/>
      </c>
      <c r="N91" s="27">
        <f>IF(J91&lt;&gt;"Won","",IF(E91="",N(I91),I91-M91))</f>
        <v/>
      </c>
      <c r="O91" s="24" t="n"/>
    </row>
    <row r="92" ht="15" customHeight="1">
      <c r="A92" s="70" t="n"/>
      <c r="B92" s="24" t="n"/>
      <c r="C92" s="24" t="n"/>
      <c r="D92" s="24" t="n"/>
      <c r="E92" s="24" t="n"/>
      <c r="F92" s="25">
        <f>IF(E92="","",IF(COUNTIF(lst_Jobs,E92&amp;"")&gt;0,"OK","CHECK"))</f>
        <v/>
      </c>
      <c r="G92" s="24" t="n"/>
      <c r="H92" s="24" t="n"/>
      <c r="I92" s="26" t="n"/>
      <c r="J92" s="24" t="n"/>
      <c r="K92" s="22" t="n"/>
      <c r="L92" s="70" t="n"/>
      <c r="M92" s="27">
        <f>IF(E92="","",SUMIFS(tbl_Finance[Ex GST],tbl_Finance[Job Number],E92&amp;""))</f>
        <v/>
      </c>
      <c r="N92" s="27">
        <f>IF(J92&lt;&gt;"Won","",IF(E92="",N(I92),I92-M92))</f>
        <v/>
      </c>
      <c r="O92" s="24" t="n"/>
    </row>
    <row r="93" ht="15" customHeight="1">
      <c r="A93" s="70" t="n"/>
      <c r="B93" s="24" t="n"/>
      <c r="C93" s="24" t="n"/>
      <c r="D93" s="24" t="n"/>
      <c r="E93" s="24" t="n"/>
      <c r="F93" s="25">
        <f>IF(E93="","",IF(COUNTIF(lst_Jobs,E93&amp;"")&gt;0,"OK","CHECK"))</f>
        <v/>
      </c>
      <c r="G93" s="24" t="n"/>
      <c r="H93" s="24" t="n"/>
      <c r="I93" s="26" t="n"/>
      <c r="J93" s="24" t="n"/>
      <c r="K93" s="22" t="n"/>
      <c r="L93" s="70" t="n"/>
      <c r="M93" s="27">
        <f>IF(E93="","",SUMIFS(tbl_Finance[Ex GST],tbl_Finance[Job Number],E93&amp;""))</f>
        <v/>
      </c>
      <c r="N93" s="27">
        <f>IF(J93&lt;&gt;"Won","",IF(E93="",N(I93),I93-M93))</f>
        <v/>
      </c>
      <c r="O93" s="24" t="n"/>
    </row>
    <row r="94" ht="15" customHeight="1">
      <c r="A94" s="70" t="n"/>
      <c r="B94" s="24" t="n"/>
      <c r="C94" s="24" t="n"/>
      <c r="D94" s="24" t="n"/>
      <c r="E94" s="24" t="n"/>
      <c r="F94" s="25">
        <f>IF(E94="","",IF(COUNTIF(lst_Jobs,E94&amp;"")&gt;0,"OK","CHECK"))</f>
        <v/>
      </c>
      <c r="G94" s="24" t="n"/>
      <c r="H94" s="24" t="n"/>
      <c r="I94" s="26" t="n"/>
      <c r="J94" s="24" t="n"/>
      <c r="K94" s="22" t="n"/>
      <c r="L94" s="70" t="n"/>
      <c r="M94" s="27">
        <f>IF(E94="","",SUMIFS(tbl_Finance[Ex GST],tbl_Finance[Job Number],E94&amp;""))</f>
        <v/>
      </c>
      <c r="N94" s="27">
        <f>IF(J94&lt;&gt;"Won","",IF(E94="",N(I94),I94-M94))</f>
        <v/>
      </c>
      <c r="O94" s="24" t="n"/>
    </row>
    <row r="95" ht="15" customHeight="1">
      <c r="A95" s="70" t="n"/>
      <c r="B95" s="24" t="n"/>
      <c r="C95" s="24" t="n"/>
      <c r="D95" s="24" t="n"/>
      <c r="E95" s="24" t="n"/>
      <c r="F95" s="25">
        <f>IF(E95="","",IF(COUNTIF(lst_Jobs,E95&amp;"")&gt;0,"OK","CHECK"))</f>
        <v/>
      </c>
      <c r="G95" s="24" t="n"/>
      <c r="H95" s="24" t="n"/>
      <c r="I95" s="26" t="n"/>
      <c r="J95" s="24" t="n"/>
      <c r="K95" s="22" t="n"/>
      <c r="L95" s="70" t="n"/>
      <c r="M95" s="27">
        <f>IF(E95="","",SUMIFS(tbl_Finance[Ex GST],tbl_Finance[Job Number],E95&amp;""))</f>
        <v/>
      </c>
      <c r="N95" s="27">
        <f>IF(J95&lt;&gt;"Won","",IF(E95="",N(I95),I95-M95))</f>
        <v/>
      </c>
      <c r="O95" s="24" t="n"/>
    </row>
    <row r="96" ht="15" customHeight="1">
      <c r="A96" s="70" t="n"/>
      <c r="B96" s="24" t="n"/>
      <c r="C96" s="24" t="n"/>
      <c r="D96" s="24" t="n"/>
      <c r="E96" s="24" t="n"/>
      <c r="F96" s="25">
        <f>IF(E96="","",IF(COUNTIF(lst_Jobs,E96&amp;"")&gt;0,"OK","CHECK"))</f>
        <v/>
      </c>
      <c r="G96" s="24" t="n"/>
      <c r="H96" s="24" t="n"/>
      <c r="I96" s="26" t="n"/>
      <c r="J96" s="24" t="n"/>
      <c r="K96" s="22" t="n"/>
      <c r="L96" s="70" t="n"/>
      <c r="M96" s="27">
        <f>IF(E96="","",SUMIFS(tbl_Finance[Ex GST],tbl_Finance[Job Number],E96&amp;""))</f>
        <v/>
      </c>
      <c r="N96" s="27">
        <f>IF(J96&lt;&gt;"Won","",IF(E96="",N(I96),I96-M96))</f>
        <v/>
      </c>
      <c r="O96" s="24" t="n"/>
    </row>
    <row r="97" ht="15" customHeight="1">
      <c r="A97" s="70" t="n"/>
      <c r="B97" s="24" t="n"/>
      <c r="C97" s="24" t="n"/>
      <c r="D97" s="24" t="n"/>
      <c r="E97" s="24" t="n"/>
      <c r="F97" s="25">
        <f>IF(E97="","",IF(COUNTIF(lst_Jobs,E97&amp;"")&gt;0,"OK","CHECK"))</f>
        <v/>
      </c>
      <c r="G97" s="24" t="n"/>
      <c r="H97" s="24" t="n"/>
      <c r="I97" s="26" t="n"/>
      <c r="J97" s="24" t="n"/>
      <c r="K97" s="22" t="n"/>
      <c r="L97" s="70" t="n"/>
      <c r="M97" s="27">
        <f>IF(E97="","",SUMIFS(tbl_Finance[Ex GST],tbl_Finance[Job Number],E97&amp;""))</f>
        <v/>
      </c>
      <c r="N97" s="27">
        <f>IF(J97&lt;&gt;"Won","",IF(E97="",N(I97),I97-M97))</f>
        <v/>
      </c>
      <c r="O97" s="24" t="n"/>
    </row>
    <row r="98" ht="15" customHeight="1">
      <c r="A98" s="70" t="n"/>
      <c r="B98" s="24" t="n"/>
      <c r="C98" s="24" t="n"/>
      <c r="D98" s="24" t="n"/>
      <c r="E98" s="24" t="n"/>
      <c r="F98" s="25">
        <f>IF(E98="","",IF(COUNTIF(lst_Jobs,E98&amp;"")&gt;0,"OK","CHECK"))</f>
        <v/>
      </c>
      <c r="G98" s="24" t="n"/>
      <c r="H98" s="24" t="n"/>
      <c r="I98" s="26" t="n"/>
      <c r="J98" s="24" t="n"/>
      <c r="K98" s="22" t="n"/>
      <c r="L98" s="70" t="n"/>
      <c r="M98" s="27">
        <f>IF(E98="","",SUMIFS(tbl_Finance[Ex GST],tbl_Finance[Job Number],E98&amp;""))</f>
        <v/>
      </c>
      <c r="N98" s="27">
        <f>IF(J98&lt;&gt;"Won","",IF(E98="",N(I98),I98-M98))</f>
        <v/>
      </c>
      <c r="O98" s="24" t="n"/>
    </row>
    <row r="99" ht="15" customHeight="1">
      <c r="A99" s="70" t="n"/>
      <c r="B99" s="24" t="n"/>
      <c r="C99" s="24" t="n"/>
      <c r="D99" s="24" t="n"/>
      <c r="E99" s="24" t="n"/>
      <c r="F99" s="25">
        <f>IF(E99="","",IF(COUNTIF(lst_Jobs,E99&amp;"")&gt;0,"OK","CHECK"))</f>
        <v/>
      </c>
      <c r="G99" s="24" t="n"/>
      <c r="H99" s="24" t="n"/>
      <c r="I99" s="26" t="n"/>
      <c r="J99" s="24" t="n"/>
      <c r="K99" s="22" t="n"/>
      <c r="L99" s="70" t="n"/>
      <c r="M99" s="27">
        <f>IF(E99="","",SUMIFS(tbl_Finance[Ex GST],tbl_Finance[Job Number],E99&amp;""))</f>
        <v/>
      </c>
      <c r="N99" s="27">
        <f>IF(J99&lt;&gt;"Won","",IF(E99="",N(I99),I99-M99))</f>
        <v/>
      </c>
      <c r="O99" s="24" t="n"/>
    </row>
    <row r="100" ht="15" customHeight="1">
      <c r="A100" s="70" t="n"/>
      <c r="B100" s="24" t="n"/>
      <c r="C100" s="24" t="n"/>
      <c r="D100" s="24" t="n"/>
      <c r="E100" s="24" t="n"/>
      <c r="F100" s="25">
        <f>IF(E100="","",IF(COUNTIF(lst_Jobs,E100&amp;"")&gt;0,"OK","CHECK"))</f>
        <v/>
      </c>
      <c r="G100" s="24" t="n"/>
      <c r="H100" s="24" t="n"/>
      <c r="I100" s="26" t="n"/>
      <c r="J100" s="24" t="n"/>
      <c r="K100" s="22" t="n"/>
      <c r="L100" s="70" t="n"/>
      <c r="M100" s="27">
        <f>IF(E100="","",SUMIFS(tbl_Finance[Ex GST],tbl_Finance[Job Number],E100&amp;""))</f>
        <v/>
      </c>
      <c r="N100" s="27">
        <f>IF(J100&lt;&gt;"Won","",IF(E100="",N(I100),I100-M100))</f>
        <v/>
      </c>
      <c r="O100" s="24" t="n"/>
    </row>
    <row r="101" ht="15" customHeight="1">
      <c r="A101" s="70" t="n"/>
      <c r="B101" s="24" t="n"/>
      <c r="C101" s="24" t="n"/>
      <c r="D101" s="24" t="n"/>
      <c r="E101" s="24" t="n"/>
      <c r="F101" s="25">
        <f>IF(E101="","",IF(COUNTIF(lst_Jobs,E101&amp;"")&gt;0,"OK","CHECK"))</f>
        <v/>
      </c>
      <c r="G101" s="24" t="n"/>
      <c r="H101" s="24" t="n"/>
      <c r="I101" s="26" t="n"/>
      <c r="J101" s="24" t="n"/>
      <c r="K101" s="22" t="n"/>
      <c r="L101" s="70" t="n"/>
      <c r="M101" s="27">
        <f>IF(E101="","",SUMIFS(tbl_Finance[Ex GST],tbl_Finance[Job Number],E101&amp;""))</f>
        <v/>
      </c>
      <c r="N101" s="27">
        <f>IF(J101&lt;&gt;"Won","",IF(E101="",N(I101),I101-M101))</f>
        <v/>
      </c>
      <c r="O101" s="24" t="n"/>
    </row>
    <row r="102" ht="15" customHeight="1">
      <c r="A102" s="70" t="n"/>
      <c r="B102" s="24" t="n"/>
      <c r="C102" s="24" t="n"/>
      <c r="D102" s="24" t="n"/>
      <c r="E102" s="24" t="n"/>
      <c r="F102" s="25">
        <f>IF(E102="","",IF(COUNTIF(lst_Jobs,E102&amp;"")&gt;0,"OK","CHECK"))</f>
        <v/>
      </c>
      <c r="G102" s="24" t="n"/>
      <c r="H102" s="24" t="n"/>
      <c r="I102" s="26" t="n"/>
      <c r="J102" s="24" t="n"/>
      <c r="K102" s="22" t="n"/>
      <c r="L102" s="70" t="n"/>
      <c r="M102" s="27">
        <f>IF(E102="","",SUMIFS(tbl_Finance[Ex GST],tbl_Finance[Job Number],E102&amp;""))</f>
        <v/>
      </c>
      <c r="N102" s="27">
        <f>IF(J102&lt;&gt;"Won","",IF(E102="",N(I102),I102-M102))</f>
        <v/>
      </c>
      <c r="O102" s="24" t="n"/>
    </row>
    <row r="103" ht="15" customHeight="1">
      <c r="A103" s="70" t="n"/>
      <c r="B103" s="24" t="n"/>
      <c r="C103" s="24" t="n"/>
      <c r="D103" s="24" t="n"/>
      <c r="E103" s="24" t="n"/>
      <c r="F103" s="25">
        <f>IF(E103="","",IF(COUNTIF(lst_Jobs,E103&amp;"")&gt;0,"OK","CHECK"))</f>
        <v/>
      </c>
      <c r="G103" s="24" t="n"/>
      <c r="H103" s="24" t="n"/>
      <c r="I103" s="26" t="n"/>
      <c r="J103" s="24" t="n"/>
      <c r="K103" s="22" t="n"/>
      <c r="L103" s="70" t="n"/>
      <c r="M103" s="27">
        <f>IF(E103="","",SUMIFS(tbl_Finance[Ex GST],tbl_Finance[Job Number],E103&amp;""))</f>
        <v/>
      </c>
      <c r="N103" s="27">
        <f>IF(J103&lt;&gt;"Won","",IF(E103="",N(I103),I103-M103))</f>
        <v/>
      </c>
      <c r="O103" s="24" t="n"/>
    </row>
    <row r="104" ht="15" customHeight="1">
      <c r="A104" s="70" t="n"/>
      <c r="B104" s="24" t="n"/>
      <c r="C104" s="24" t="n"/>
      <c r="D104" s="24" t="n"/>
      <c r="E104" s="24" t="n"/>
      <c r="F104" s="25">
        <f>IF(E104="","",IF(COUNTIF(lst_Jobs,E104&amp;"")&gt;0,"OK","CHECK"))</f>
        <v/>
      </c>
      <c r="G104" s="24" t="n"/>
      <c r="H104" s="24" t="n"/>
      <c r="I104" s="26" t="n"/>
      <c r="J104" s="24" t="n"/>
      <c r="K104" s="22" t="n"/>
      <c r="L104" s="70" t="n"/>
      <c r="M104" s="27">
        <f>IF(E104="","",SUMIFS(tbl_Finance[Ex GST],tbl_Finance[Job Number],E104&amp;""))</f>
        <v/>
      </c>
      <c r="N104" s="27">
        <f>IF(J104&lt;&gt;"Won","",IF(E104="",N(I104),I104-M104))</f>
        <v/>
      </c>
      <c r="O104" s="24" t="n"/>
    </row>
    <row r="105" ht="15" customHeight="1">
      <c r="A105" s="70" t="n"/>
      <c r="B105" s="24" t="n"/>
      <c r="C105" s="24" t="n"/>
      <c r="D105" s="24" t="n"/>
      <c r="E105" s="24" t="n"/>
      <c r="F105" s="25">
        <f>IF(E105="","",IF(COUNTIF(lst_Jobs,E105&amp;"")&gt;0,"OK","CHECK"))</f>
        <v/>
      </c>
      <c r="G105" s="24" t="n"/>
      <c r="H105" s="24" t="n"/>
      <c r="I105" s="26" t="n"/>
      <c r="J105" s="24" t="n"/>
      <c r="K105" s="22" t="n"/>
      <c r="L105" s="70" t="n"/>
      <c r="M105" s="27">
        <f>IF(E105="","",SUMIFS(tbl_Finance[Ex GST],tbl_Finance[Job Number],E105&amp;""))</f>
        <v/>
      </c>
      <c r="N105" s="27">
        <f>IF(J105&lt;&gt;"Won","",IF(E105="",N(I105),I105-M105))</f>
        <v/>
      </c>
      <c r="O105" s="24" t="n"/>
    </row>
    <row r="106" ht="15" customHeight="1">
      <c r="A106" s="70" t="n"/>
      <c r="B106" s="24" t="n"/>
      <c r="C106" s="24" t="n"/>
      <c r="D106" s="24" t="n"/>
      <c r="E106" s="24" t="n"/>
      <c r="F106" s="25">
        <f>IF(E106="","",IF(COUNTIF(lst_Jobs,E106&amp;"")&gt;0,"OK","CHECK"))</f>
        <v/>
      </c>
      <c r="G106" s="24" t="n"/>
      <c r="H106" s="24" t="n"/>
      <c r="I106" s="26" t="n"/>
      <c r="J106" s="24" t="n"/>
      <c r="K106" s="22" t="n"/>
      <c r="L106" s="70" t="n"/>
      <c r="M106" s="27">
        <f>IF(E106="","",SUMIFS(tbl_Finance[Ex GST],tbl_Finance[Job Number],E106&amp;""))</f>
        <v/>
      </c>
      <c r="N106" s="27">
        <f>IF(J106&lt;&gt;"Won","",IF(E106="",N(I106),I106-M106))</f>
        <v/>
      </c>
      <c r="O106" s="24" t="n"/>
    </row>
    <row r="107" ht="15" customHeight="1">
      <c r="A107" s="70" t="n"/>
      <c r="B107" s="24" t="n"/>
      <c r="C107" s="24" t="n"/>
      <c r="D107" s="24" t="n"/>
      <c r="E107" s="24" t="n"/>
      <c r="F107" s="25">
        <f>IF(E107="","",IF(COUNTIF(lst_Jobs,E107&amp;"")&gt;0,"OK","CHECK"))</f>
        <v/>
      </c>
      <c r="G107" s="24" t="n"/>
      <c r="H107" s="24" t="n"/>
      <c r="I107" s="26" t="n"/>
      <c r="J107" s="24" t="n"/>
      <c r="K107" s="22" t="n"/>
      <c r="L107" s="70" t="n"/>
      <c r="M107" s="27">
        <f>IF(E107="","",SUMIFS(tbl_Finance[Ex GST],tbl_Finance[Job Number],E107&amp;""))</f>
        <v/>
      </c>
      <c r="N107" s="27">
        <f>IF(J107&lt;&gt;"Won","",IF(E107="",N(I107),I107-M107))</f>
        <v/>
      </c>
      <c r="O107" s="24" t="n"/>
    </row>
    <row r="108" ht="15" customHeight="1">
      <c r="A108" s="70" t="n"/>
      <c r="B108" s="24" t="n"/>
      <c r="C108" s="24" t="n"/>
      <c r="D108" s="24" t="n"/>
      <c r="E108" s="24" t="n"/>
      <c r="F108" s="25">
        <f>IF(E108="","",IF(COUNTIF(lst_Jobs,E108&amp;"")&gt;0,"OK","CHECK"))</f>
        <v/>
      </c>
      <c r="G108" s="24" t="n"/>
      <c r="H108" s="24" t="n"/>
      <c r="I108" s="26" t="n"/>
      <c r="J108" s="24" t="n"/>
      <c r="K108" s="22" t="n"/>
      <c r="L108" s="70" t="n"/>
      <c r="M108" s="27">
        <f>IF(E108="","",SUMIFS(tbl_Finance[Ex GST],tbl_Finance[Job Number],E108&amp;""))</f>
        <v/>
      </c>
      <c r="N108" s="27">
        <f>IF(J108&lt;&gt;"Won","",IF(E108="",N(I108),I108-M108))</f>
        <v/>
      </c>
      <c r="O108" s="24" t="n"/>
    </row>
    <row r="109" ht="15" customHeight="1">
      <c r="A109" s="70" t="n"/>
      <c r="B109" s="24" t="n"/>
      <c r="C109" s="24" t="n"/>
      <c r="D109" s="24" t="n"/>
      <c r="E109" s="24" t="n"/>
      <c r="F109" s="25">
        <f>IF(E109="","",IF(COUNTIF(lst_Jobs,E109&amp;"")&gt;0,"OK","CHECK"))</f>
        <v/>
      </c>
      <c r="G109" s="24" t="n"/>
      <c r="H109" s="24" t="n"/>
      <c r="I109" s="26" t="n"/>
      <c r="J109" s="24" t="n"/>
      <c r="K109" s="22" t="n"/>
      <c r="L109" s="70" t="n"/>
      <c r="M109" s="27">
        <f>IF(E109="","",SUMIFS(tbl_Finance[Ex GST],tbl_Finance[Job Number],E109&amp;""))</f>
        <v/>
      </c>
      <c r="N109" s="27">
        <f>IF(J109&lt;&gt;"Won","",IF(E109="",N(I109),I109-M109))</f>
        <v/>
      </c>
      <c r="O109" s="24" t="n"/>
    </row>
    <row r="110" ht="15" customHeight="1">
      <c r="A110" s="70" t="n"/>
      <c r="B110" s="24" t="n"/>
      <c r="C110" s="24" t="n"/>
      <c r="D110" s="24" t="n"/>
      <c r="E110" s="24" t="n"/>
      <c r="F110" s="25">
        <f>IF(E110="","",IF(COUNTIF(lst_Jobs,E110&amp;"")&gt;0,"OK","CHECK"))</f>
        <v/>
      </c>
      <c r="G110" s="24" t="n"/>
      <c r="H110" s="24" t="n"/>
      <c r="I110" s="26" t="n"/>
      <c r="J110" s="24" t="n"/>
      <c r="K110" s="22" t="n"/>
      <c r="L110" s="70" t="n"/>
      <c r="M110" s="27">
        <f>IF(E110="","",SUMIFS(tbl_Finance[Ex GST],tbl_Finance[Job Number],E110&amp;""))</f>
        <v/>
      </c>
      <c r="N110" s="27">
        <f>IF(J110&lt;&gt;"Won","",IF(E110="",N(I110),I110-M110))</f>
        <v/>
      </c>
      <c r="O110" s="24" t="n"/>
    </row>
    <row r="111" ht="15" customHeight="1">
      <c r="A111" s="70" t="n"/>
      <c r="B111" s="24" t="n"/>
      <c r="C111" s="24" t="n"/>
      <c r="D111" s="24" t="n"/>
      <c r="E111" s="24" t="n"/>
      <c r="F111" s="25">
        <f>IF(E111="","",IF(COUNTIF(lst_Jobs,E111&amp;"")&gt;0,"OK","CHECK"))</f>
        <v/>
      </c>
      <c r="G111" s="24" t="n"/>
      <c r="H111" s="24" t="n"/>
      <c r="I111" s="26" t="n"/>
      <c r="J111" s="24" t="n"/>
      <c r="K111" s="22" t="n"/>
      <c r="L111" s="70" t="n"/>
      <c r="M111" s="27">
        <f>IF(E111="","",SUMIFS(tbl_Finance[Ex GST],tbl_Finance[Job Number],E111&amp;""))</f>
        <v/>
      </c>
      <c r="N111" s="27">
        <f>IF(J111&lt;&gt;"Won","",IF(E111="",N(I111),I111-M111))</f>
        <v/>
      </c>
      <c r="O111" s="24" t="n"/>
    </row>
    <row r="112" ht="15" customHeight="1">
      <c r="A112" s="70" t="n"/>
      <c r="B112" s="24" t="n"/>
      <c r="C112" s="24" t="n"/>
      <c r="D112" s="24" t="n"/>
      <c r="E112" s="24" t="n"/>
      <c r="F112" s="25">
        <f>IF(E112="","",IF(COUNTIF(lst_Jobs,E112&amp;"")&gt;0,"OK","CHECK"))</f>
        <v/>
      </c>
      <c r="G112" s="24" t="n"/>
      <c r="H112" s="24" t="n"/>
      <c r="I112" s="26" t="n"/>
      <c r="J112" s="24" t="n"/>
      <c r="K112" s="22" t="n"/>
      <c r="L112" s="70" t="n"/>
      <c r="M112" s="27">
        <f>IF(E112="","",SUMIFS(tbl_Finance[Ex GST],tbl_Finance[Job Number],E112&amp;""))</f>
        <v/>
      </c>
      <c r="N112" s="27">
        <f>IF(J112&lt;&gt;"Won","",IF(E112="",N(I112),I112-M112))</f>
        <v/>
      </c>
      <c r="O112" s="24" t="n"/>
    </row>
    <row r="113" ht="15" customHeight="1">
      <c r="A113" s="70" t="n"/>
      <c r="B113" s="24" t="n"/>
      <c r="C113" s="24" t="n"/>
      <c r="D113" s="24" t="n"/>
      <c r="E113" s="24" t="n"/>
      <c r="F113" s="25">
        <f>IF(E113="","",IF(COUNTIF(lst_Jobs,E113&amp;"")&gt;0,"OK","CHECK"))</f>
        <v/>
      </c>
      <c r="G113" s="24" t="n"/>
      <c r="H113" s="24" t="n"/>
      <c r="I113" s="26" t="n"/>
      <c r="J113" s="24" t="n"/>
      <c r="K113" s="22" t="n"/>
      <c r="L113" s="70" t="n"/>
      <c r="M113" s="27">
        <f>IF(E113="","",SUMIFS(tbl_Finance[Ex GST],tbl_Finance[Job Number],E113&amp;""))</f>
        <v/>
      </c>
      <c r="N113" s="27">
        <f>IF(J113&lt;&gt;"Won","",IF(E113="",N(I113),I113-M113))</f>
        <v/>
      </c>
      <c r="O113" s="24" t="n"/>
    </row>
    <row r="114" ht="15" customHeight="1">
      <c r="A114" s="70" t="n"/>
      <c r="B114" s="24" t="n"/>
      <c r="C114" s="24" t="n"/>
      <c r="D114" s="24" t="n"/>
      <c r="E114" s="24" t="n"/>
      <c r="F114" s="25">
        <f>IF(E114="","",IF(COUNTIF(lst_Jobs,E114&amp;"")&gt;0,"OK","CHECK"))</f>
        <v/>
      </c>
      <c r="G114" s="24" t="n"/>
      <c r="H114" s="24" t="n"/>
      <c r="I114" s="26" t="n"/>
      <c r="J114" s="24" t="n"/>
      <c r="K114" s="22" t="n"/>
      <c r="L114" s="70" t="n"/>
      <c r="M114" s="27">
        <f>IF(E114="","",SUMIFS(tbl_Finance[Ex GST],tbl_Finance[Job Number],E114&amp;""))</f>
        <v/>
      </c>
      <c r="N114" s="27">
        <f>IF(J114&lt;&gt;"Won","",IF(E114="",N(I114),I114-M114))</f>
        <v/>
      </c>
      <c r="O114" s="24" t="n"/>
    </row>
    <row r="115" ht="15" customHeight="1">
      <c r="A115" s="70" t="n"/>
      <c r="B115" s="24" t="n"/>
      <c r="C115" s="24" t="n"/>
      <c r="D115" s="24" t="n"/>
      <c r="E115" s="24" t="n"/>
      <c r="F115" s="25">
        <f>IF(E115="","",IF(COUNTIF(lst_Jobs,E115&amp;"")&gt;0,"OK","CHECK"))</f>
        <v/>
      </c>
      <c r="G115" s="24" t="n"/>
      <c r="H115" s="24" t="n"/>
      <c r="I115" s="26" t="n"/>
      <c r="J115" s="24" t="n"/>
      <c r="K115" s="22" t="n"/>
      <c r="L115" s="70" t="n"/>
      <c r="M115" s="27">
        <f>IF(E115="","",SUMIFS(tbl_Finance[Ex GST],tbl_Finance[Job Number],E115&amp;""))</f>
        <v/>
      </c>
      <c r="N115" s="27">
        <f>IF(J115&lt;&gt;"Won","",IF(E115="",N(I115),I115-M115))</f>
        <v/>
      </c>
      <c r="O115" s="24" t="n"/>
    </row>
    <row r="116" ht="15" customHeight="1">
      <c r="A116" s="70" t="n"/>
      <c r="B116" s="24" t="n"/>
      <c r="C116" s="24" t="n"/>
      <c r="D116" s="24" t="n"/>
      <c r="E116" s="24" t="n"/>
      <c r="F116" s="25">
        <f>IF(E116="","",IF(COUNTIF(lst_Jobs,E116&amp;"")&gt;0,"OK","CHECK"))</f>
        <v/>
      </c>
      <c r="G116" s="24" t="n"/>
      <c r="H116" s="24" t="n"/>
      <c r="I116" s="26" t="n"/>
      <c r="J116" s="24" t="n"/>
      <c r="K116" s="22" t="n"/>
      <c r="L116" s="70" t="n"/>
      <c r="M116" s="27">
        <f>IF(E116="","",SUMIFS(tbl_Finance[Ex GST],tbl_Finance[Job Number],E116&amp;""))</f>
        <v/>
      </c>
      <c r="N116" s="27">
        <f>IF(J116&lt;&gt;"Won","",IF(E116="",N(I116),I116-M116))</f>
        <v/>
      </c>
      <c r="O116" s="24" t="n"/>
    </row>
    <row r="117" ht="15" customHeight="1">
      <c r="A117" s="70" t="n"/>
      <c r="B117" s="24" t="n"/>
      <c r="C117" s="24" t="n"/>
      <c r="D117" s="24" t="n"/>
      <c r="E117" s="24" t="n"/>
      <c r="F117" s="25">
        <f>IF(E117="","",IF(COUNTIF(lst_Jobs,E117&amp;"")&gt;0,"OK","CHECK"))</f>
        <v/>
      </c>
      <c r="G117" s="24" t="n"/>
      <c r="H117" s="24" t="n"/>
      <c r="I117" s="26" t="n"/>
      <c r="J117" s="24" t="n"/>
      <c r="K117" s="22" t="n"/>
      <c r="L117" s="70" t="n"/>
      <c r="M117" s="27">
        <f>IF(E117="","",SUMIFS(tbl_Finance[Ex GST],tbl_Finance[Job Number],E117&amp;""))</f>
        <v/>
      </c>
      <c r="N117" s="27">
        <f>IF(J117&lt;&gt;"Won","",IF(E117="",N(I117),I117-M117))</f>
        <v/>
      </c>
      <c r="O117" s="24" t="n"/>
    </row>
    <row r="118" ht="15" customHeight="1">
      <c r="A118" s="70" t="n"/>
      <c r="B118" s="24" t="n"/>
      <c r="C118" s="24" t="n"/>
      <c r="D118" s="24" t="n"/>
      <c r="E118" s="24" t="n"/>
      <c r="F118" s="25">
        <f>IF(E118="","",IF(COUNTIF(lst_Jobs,E118&amp;"")&gt;0,"OK","CHECK"))</f>
        <v/>
      </c>
      <c r="G118" s="24" t="n"/>
      <c r="H118" s="24" t="n"/>
      <c r="I118" s="26" t="n"/>
      <c r="J118" s="24" t="n"/>
      <c r="K118" s="22" t="n"/>
      <c r="L118" s="70" t="n"/>
      <c r="M118" s="27">
        <f>IF(E118="","",SUMIFS(tbl_Finance[Ex GST],tbl_Finance[Job Number],E118&amp;""))</f>
        <v/>
      </c>
      <c r="N118" s="27">
        <f>IF(J118&lt;&gt;"Won","",IF(E118="",N(I118),I118-M118))</f>
        <v/>
      </c>
      <c r="O118" s="24" t="n"/>
    </row>
    <row r="119" ht="15" customHeight="1">
      <c r="A119" s="70" t="n"/>
      <c r="B119" s="24" t="n"/>
      <c r="C119" s="24" t="n"/>
      <c r="D119" s="24" t="n"/>
      <c r="E119" s="24" t="n"/>
      <c r="F119" s="25">
        <f>IF(E119="","",IF(COUNTIF(lst_Jobs,E119&amp;"")&gt;0,"OK","CHECK"))</f>
        <v/>
      </c>
      <c r="G119" s="24" t="n"/>
      <c r="H119" s="24" t="n"/>
      <c r="I119" s="26" t="n"/>
      <c r="J119" s="24" t="n"/>
      <c r="K119" s="22" t="n"/>
      <c r="L119" s="70" t="n"/>
      <c r="M119" s="27">
        <f>IF(E119="","",SUMIFS(tbl_Finance[Ex GST],tbl_Finance[Job Number],E119&amp;""))</f>
        <v/>
      </c>
      <c r="N119" s="27">
        <f>IF(J119&lt;&gt;"Won","",IF(E119="",N(I119),I119-M119))</f>
        <v/>
      </c>
      <c r="O119" s="24" t="n"/>
    </row>
    <row r="120" ht="15" customHeight="1">
      <c r="A120" s="70" t="n"/>
      <c r="B120" s="24" t="n"/>
      <c r="C120" s="24" t="n"/>
      <c r="D120" s="24" t="n"/>
      <c r="E120" s="24" t="n"/>
      <c r="F120" s="25">
        <f>IF(E120="","",IF(COUNTIF(lst_Jobs,E120&amp;"")&gt;0,"OK","CHECK"))</f>
        <v/>
      </c>
      <c r="G120" s="24" t="n"/>
      <c r="H120" s="24" t="n"/>
      <c r="I120" s="26" t="n"/>
      <c r="J120" s="24" t="n"/>
      <c r="K120" s="22" t="n"/>
      <c r="L120" s="70" t="n"/>
      <c r="M120" s="27">
        <f>IF(E120="","",SUMIFS(tbl_Finance[Ex GST],tbl_Finance[Job Number],E120&amp;""))</f>
        <v/>
      </c>
      <c r="N120" s="27">
        <f>IF(J120&lt;&gt;"Won","",IF(E120="",N(I120),I120-M120))</f>
        <v/>
      </c>
      <c r="O120" s="24" t="n"/>
    </row>
    <row r="121" ht="15" customHeight="1">
      <c r="A121" s="70" t="n"/>
      <c r="B121" s="24" t="n"/>
      <c r="C121" s="24" t="n"/>
      <c r="D121" s="24" t="n"/>
      <c r="E121" s="24" t="n"/>
      <c r="F121" s="25">
        <f>IF(E121="","",IF(COUNTIF(lst_Jobs,E121&amp;"")&gt;0,"OK","CHECK"))</f>
        <v/>
      </c>
      <c r="G121" s="24" t="n"/>
      <c r="H121" s="24" t="n"/>
      <c r="I121" s="26" t="n"/>
      <c r="J121" s="24" t="n"/>
      <c r="K121" s="22" t="n"/>
      <c r="L121" s="70" t="n"/>
      <c r="M121" s="27">
        <f>IF(E121="","",SUMIFS(tbl_Finance[Ex GST],tbl_Finance[Job Number],E121&amp;""))</f>
        <v/>
      </c>
      <c r="N121" s="27">
        <f>IF(J121&lt;&gt;"Won","",IF(E121="",N(I121),I121-M121))</f>
        <v/>
      </c>
      <c r="O121" s="24" t="n"/>
    </row>
    <row r="122" ht="15" customHeight="1">
      <c r="A122" s="70" t="n"/>
      <c r="B122" s="24" t="n"/>
      <c r="C122" s="24" t="n"/>
      <c r="D122" s="24" t="n"/>
      <c r="E122" s="24" t="n"/>
      <c r="F122" s="25">
        <f>IF(E122="","",IF(COUNTIF(lst_Jobs,E122&amp;"")&gt;0,"OK","CHECK"))</f>
        <v/>
      </c>
      <c r="G122" s="24" t="n"/>
      <c r="H122" s="24" t="n"/>
      <c r="I122" s="26" t="n"/>
      <c r="J122" s="24" t="n"/>
      <c r="K122" s="22" t="n"/>
      <c r="L122" s="70" t="n"/>
      <c r="M122" s="27">
        <f>IF(E122="","",SUMIFS(tbl_Finance[Ex GST],tbl_Finance[Job Number],E122&amp;""))</f>
        <v/>
      </c>
      <c r="N122" s="27">
        <f>IF(J122&lt;&gt;"Won","",IF(E122="",N(I122),I122-M122))</f>
        <v/>
      </c>
      <c r="O122" s="24" t="n"/>
    </row>
    <row r="123" ht="15" customHeight="1">
      <c r="A123" s="70" t="n"/>
      <c r="B123" s="24" t="n"/>
      <c r="C123" s="24" t="n"/>
      <c r="D123" s="24" t="n"/>
      <c r="E123" s="24" t="n"/>
      <c r="F123" s="25">
        <f>IF(E123="","",IF(COUNTIF(lst_Jobs,E123&amp;"")&gt;0,"OK","CHECK"))</f>
        <v/>
      </c>
      <c r="G123" s="24" t="n"/>
      <c r="H123" s="24" t="n"/>
      <c r="I123" s="26" t="n"/>
      <c r="J123" s="24" t="n"/>
      <c r="K123" s="22" t="n"/>
      <c r="L123" s="70" t="n"/>
      <c r="M123" s="27">
        <f>IF(E123="","",SUMIFS(tbl_Finance[Ex GST],tbl_Finance[Job Number],E123&amp;""))</f>
        <v/>
      </c>
      <c r="N123" s="27">
        <f>IF(J123&lt;&gt;"Won","",IF(E123="",N(I123),I123-M123))</f>
        <v/>
      </c>
      <c r="O123" s="24" t="n"/>
    </row>
    <row r="124" ht="15" customHeight="1">
      <c r="A124" s="70" t="n"/>
      <c r="B124" s="24" t="n"/>
      <c r="C124" s="24" t="n"/>
      <c r="D124" s="24" t="n"/>
      <c r="E124" s="24" t="n"/>
      <c r="F124" s="25">
        <f>IF(E124="","",IF(COUNTIF(lst_Jobs,E124&amp;"")&gt;0,"OK","CHECK"))</f>
        <v/>
      </c>
      <c r="G124" s="24" t="n"/>
      <c r="H124" s="24" t="n"/>
      <c r="I124" s="26" t="n"/>
      <c r="J124" s="24" t="n"/>
      <c r="K124" s="22" t="n"/>
      <c r="L124" s="70" t="n"/>
      <c r="M124" s="27">
        <f>IF(E124="","",SUMIFS(tbl_Finance[Ex GST],tbl_Finance[Job Number],E124&amp;""))</f>
        <v/>
      </c>
      <c r="N124" s="27">
        <f>IF(J124&lt;&gt;"Won","",IF(E124="",N(I124),I124-M124))</f>
        <v/>
      </c>
      <c r="O124" s="24" t="n"/>
    </row>
    <row r="125" ht="15" customHeight="1">
      <c r="A125" s="70" t="n"/>
      <c r="B125" s="24" t="n"/>
      <c r="C125" s="24" t="n"/>
      <c r="D125" s="24" t="n"/>
      <c r="E125" s="24" t="n"/>
      <c r="F125" s="25">
        <f>IF(E125="","",IF(COUNTIF(lst_Jobs,E125&amp;"")&gt;0,"OK","CHECK"))</f>
        <v/>
      </c>
      <c r="G125" s="24" t="n"/>
      <c r="H125" s="24" t="n"/>
      <c r="I125" s="26" t="n"/>
      <c r="J125" s="24" t="n"/>
      <c r="K125" s="22" t="n"/>
      <c r="L125" s="70" t="n"/>
      <c r="M125" s="27">
        <f>IF(E125="","",SUMIFS(tbl_Finance[Ex GST],tbl_Finance[Job Number],E125&amp;""))</f>
        <v/>
      </c>
      <c r="N125" s="27">
        <f>IF(J125&lt;&gt;"Won","",IF(E125="",N(I125),I125-M125))</f>
        <v/>
      </c>
      <c r="O125" s="24" t="n"/>
    </row>
    <row r="126" ht="15" customHeight="1">
      <c r="A126" s="70" t="n"/>
      <c r="B126" s="24" t="n"/>
      <c r="C126" s="24" t="n"/>
      <c r="D126" s="24" t="n"/>
      <c r="E126" s="24" t="n"/>
      <c r="F126" s="25">
        <f>IF(E126="","",IF(COUNTIF(lst_Jobs,E126&amp;"")&gt;0,"OK","CHECK"))</f>
        <v/>
      </c>
      <c r="G126" s="24" t="n"/>
      <c r="H126" s="24" t="n"/>
      <c r="I126" s="26" t="n"/>
      <c r="J126" s="24" t="n"/>
      <c r="K126" s="22" t="n"/>
      <c r="L126" s="70" t="n"/>
      <c r="M126" s="27">
        <f>IF(E126="","",SUMIFS(tbl_Finance[Ex GST],tbl_Finance[Job Number],E126&amp;""))</f>
        <v/>
      </c>
      <c r="N126" s="27">
        <f>IF(J126&lt;&gt;"Won","",IF(E126="",N(I126),I126-M126))</f>
        <v/>
      </c>
      <c r="O126" s="24" t="n"/>
    </row>
    <row r="127" ht="15" customHeight="1">
      <c r="A127" s="70" t="n"/>
      <c r="B127" s="24" t="n"/>
      <c r="C127" s="24" t="n"/>
      <c r="D127" s="24" t="n"/>
      <c r="E127" s="24" t="n"/>
      <c r="F127" s="25">
        <f>IF(E127="","",IF(COUNTIF(lst_Jobs,E127&amp;"")&gt;0,"OK","CHECK"))</f>
        <v/>
      </c>
      <c r="G127" s="24" t="n"/>
      <c r="H127" s="24" t="n"/>
      <c r="I127" s="26" t="n"/>
      <c r="J127" s="24" t="n"/>
      <c r="K127" s="22" t="n"/>
      <c r="L127" s="70" t="n"/>
      <c r="M127" s="27">
        <f>IF(E127="","",SUMIFS(tbl_Finance[Ex GST],tbl_Finance[Job Number],E127&amp;""))</f>
        <v/>
      </c>
      <c r="N127" s="27">
        <f>IF(J127&lt;&gt;"Won","",IF(E127="",N(I127),I127-M127))</f>
        <v/>
      </c>
      <c r="O127" s="24" t="n"/>
    </row>
    <row r="128" ht="15" customHeight="1">
      <c r="A128" s="70" t="n"/>
      <c r="B128" s="24" t="n"/>
      <c r="C128" s="24" t="n"/>
      <c r="D128" s="24" t="n"/>
      <c r="E128" s="24" t="n"/>
      <c r="F128" s="25">
        <f>IF(E128="","",IF(COUNTIF(lst_Jobs,E128&amp;"")&gt;0,"OK","CHECK"))</f>
        <v/>
      </c>
      <c r="G128" s="24" t="n"/>
      <c r="H128" s="24" t="n"/>
      <c r="I128" s="26" t="n"/>
      <c r="J128" s="24" t="n"/>
      <c r="K128" s="22" t="n"/>
      <c r="L128" s="70" t="n"/>
      <c r="M128" s="27">
        <f>IF(E128="","",SUMIFS(tbl_Finance[Ex GST],tbl_Finance[Job Number],E128&amp;""))</f>
        <v/>
      </c>
      <c r="N128" s="27">
        <f>IF(J128&lt;&gt;"Won","",IF(E128="",N(I128),I128-M128))</f>
        <v/>
      </c>
      <c r="O128" s="24" t="n"/>
    </row>
    <row r="129" ht="15" customHeight="1">
      <c r="A129" s="70" t="n"/>
      <c r="B129" s="24" t="n"/>
      <c r="C129" s="24" t="n"/>
      <c r="D129" s="24" t="n"/>
      <c r="E129" s="24" t="n"/>
      <c r="F129" s="25">
        <f>IF(E129="","",IF(COUNTIF(lst_Jobs,E129&amp;"")&gt;0,"OK","CHECK"))</f>
        <v/>
      </c>
      <c r="G129" s="24" t="n"/>
      <c r="H129" s="24" t="n"/>
      <c r="I129" s="26" t="n"/>
      <c r="J129" s="24" t="n"/>
      <c r="K129" s="22" t="n"/>
      <c r="L129" s="70" t="n"/>
      <c r="M129" s="27">
        <f>IF(E129="","",SUMIFS(tbl_Finance[Ex GST],tbl_Finance[Job Number],E129&amp;""))</f>
        <v/>
      </c>
      <c r="N129" s="27">
        <f>IF(J129&lt;&gt;"Won","",IF(E129="",N(I129),I129-M129))</f>
        <v/>
      </c>
      <c r="O129" s="24" t="n"/>
    </row>
    <row r="130" ht="15" customHeight="1">
      <c r="A130" s="70" t="n"/>
      <c r="B130" s="24" t="n"/>
      <c r="C130" s="24" t="n"/>
      <c r="D130" s="24" t="n"/>
      <c r="E130" s="24" t="n"/>
      <c r="F130" s="25">
        <f>IF(E130="","",IF(COUNTIF(lst_Jobs,E130&amp;"")&gt;0,"OK","CHECK"))</f>
        <v/>
      </c>
      <c r="G130" s="24" t="n"/>
      <c r="H130" s="24" t="n"/>
      <c r="I130" s="26" t="n"/>
      <c r="J130" s="24" t="n"/>
      <c r="K130" s="22" t="n"/>
      <c r="L130" s="70" t="n"/>
      <c r="M130" s="27">
        <f>IF(E130="","",SUMIFS(tbl_Finance[Ex GST],tbl_Finance[Job Number],E130&amp;""))</f>
        <v/>
      </c>
      <c r="N130" s="27">
        <f>IF(J130&lt;&gt;"Won","",IF(E130="",N(I130),I130-M130))</f>
        <v/>
      </c>
      <c r="O130" s="24" t="n"/>
    </row>
    <row r="131" ht="15" customHeight="1">
      <c r="A131" s="70" t="n"/>
      <c r="B131" s="24" t="n"/>
      <c r="C131" s="24" t="n"/>
      <c r="D131" s="24" t="n"/>
      <c r="E131" s="24" t="n"/>
      <c r="F131" s="25">
        <f>IF(E131="","",IF(COUNTIF(lst_Jobs,E131&amp;"")&gt;0,"OK","CHECK"))</f>
        <v/>
      </c>
      <c r="G131" s="24" t="n"/>
      <c r="H131" s="24" t="n"/>
      <c r="I131" s="26" t="n"/>
      <c r="J131" s="24" t="n"/>
      <c r="K131" s="22" t="n"/>
      <c r="L131" s="70" t="n"/>
      <c r="M131" s="27">
        <f>IF(E131="","",SUMIFS(tbl_Finance[Ex GST],tbl_Finance[Job Number],E131&amp;""))</f>
        <v/>
      </c>
      <c r="N131" s="27">
        <f>IF(J131&lt;&gt;"Won","",IF(E131="",N(I131),I131-M131))</f>
        <v/>
      </c>
      <c r="O131" s="24" t="n"/>
    </row>
    <row r="132" ht="15" customHeight="1">
      <c r="A132" s="70" t="n"/>
      <c r="B132" s="24" t="n"/>
      <c r="C132" s="24" t="n"/>
      <c r="D132" s="24" t="n"/>
      <c r="E132" s="24" t="n"/>
      <c r="F132" s="25">
        <f>IF(E132="","",IF(COUNTIF(lst_Jobs,E132&amp;"")&gt;0,"OK","CHECK"))</f>
        <v/>
      </c>
      <c r="G132" s="24" t="n"/>
      <c r="H132" s="24" t="n"/>
      <c r="I132" s="26" t="n"/>
      <c r="J132" s="24" t="n"/>
      <c r="K132" s="22" t="n"/>
      <c r="L132" s="70" t="n"/>
      <c r="M132" s="27">
        <f>IF(E132="","",SUMIFS(tbl_Finance[Ex GST],tbl_Finance[Job Number],E132&amp;""))</f>
        <v/>
      </c>
      <c r="N132" s="27">
        <f>IF(J132&lt;&gt;"Won","",IF(E132="",N(I132),I132-M132))</f>
        <v/>
      </c>
      <c r="O132" s="24" t="n"/>
    </row>
    <row r="133" ht="15" customHeight="1">
      <c r="A133" s="70" t="n"/>
      <c r="B133" s="24" t="n"/>
      <c r="C133" s="24" t="n"/>
      <c r="D133" s="24" t="n"/>
      <c r="E133" s="24" t="n"/>
      <c r="F133" s="25">
        <f>IF(E133="","",IF(COUNTIF(lst_Jobs,E133&amp;"")&gt;0,"OK","CHECK"))</f>
        <v/>
      </c>
      <c r="G133" s="24" t="n"/>
      <c r="H133" s="24" t="n"/>
      <c r="I133" s="26" t="n"/>
      <c r="J133" s="24" t="n"/>
      <c r="K133" s="22" t="n"/>
      <c r="L133" s="70" t="n"/>
      <c r="M133" s="27">
        <f>IF(E133="","",SUMIFS(tbl_Finance[Ex GST],tbl_Finance[Job Number],E133&amp;""))</f>
        <v/>
      </c>
      <c r="N133" s="27">
        <f>IF(J133&lt;&gt;"Won","",IF(E133="",N(I133),I133-M133))</f>
        <v/>
      </c>
      <c r="O133" s="24" t="n"/>
    </row>
    <row r="134" ht="15" customHeight="1">
      <c r="A134" s="70" t="n"/>
      <c r="B134" s="24" t="n"/>
      <c r="C134" s="24" t="n"/>
      <c r="D134" s="24" t="n"/>
      <c r="E134" s="24" t="n"/>
      <c r="F134" s="25">
        <f>IF(E134="","",IF(COUNTIF(lst_Jobs,E134&amp;"")&gt;0,"OK","CHECK"))</f>
        <v/>
      </c>
      <c r="G134" s="24" t="n"/>
      <c r="H134" s="24" t="n"/>
      <c r="I134" s="26" t="n"/>
      <c r="J134" s="24" t="n"/>
      <c r="K134" s="22" t="n"/>
      <c r="L134" s="70" t="n"/>
      <c r="M134" s="27">
        <f>IF(E134="","",SUMIFS(tbl_Finance[Ex GST],tbl_Finance[Job Number],E134&amp;""))</f>
        <v/>
      </c>
      <c r="N134" s="27">
        <f>IF(J134&lt;&gt;"Won","",IF(E134="",N(I134),I134-M134))</f>
        <v/>
      </c>
      <c r="O134" s="24" t="n"/>
    </row>
    <row r="135" ht="15" customHeight="1">
      <c r="A135" s="70" t="n"/>
      <c r="B135" s="24" t="n"/>
      <c r="C135" s="24" t="n"/>
      <c r="D135" s="24" t="n"/>
      <c r="E135" s="24" t="n"/>
      <c r="F135" s="25">
        <f>IF(E135="","",IF(COUNTIF(lst_Jobs,E135&amp;"")&gt;0,"OK","CHECK"))</f>
        <v/>
      </c>
      <c r="G135" s="24" t="n"/>
      <c r="H135" s="24" t="n"/>
      <c r="I135" s="26" t="n"/>
      <c r="J135" s="24" t="n"/>
      <c r="K135" s="22" t="n"/>
      <c r="L135" s="70" t="n"/>
      <c r="M135" s="27">
        <f>IF(E135="","",SUMIFS(tbl_Finance[Ex GST],tbl_Finance[Job Number],E135&amp;""))</f>
        <v/>
      </c>
      <c r="N135" s="27">
        <f>IF(J135&lt;&gt;"Won","",IF(E135="",N(I135),I135-M135))</f>
        <v/>
      </c>
      <c r="O135" s="24" t="n"/>
    </row>
    <row r="136" ht="15" customHeight="1">
      <c r="A136" s="70" t="n"/>
      <c r="B136" s="24" t="n"/>
      <c r="C136" s="24" t="n"/>
      <c r="D136" s="24" t="n"/>
      <c r="E136" s="24" t="n"/>
      <c r="F136" s="25">
        <f>IF(E136="","",IF(COUNTIF(lst_Jobs,E136&amp;"")&gt;0,"OK","CHECK"))</f>
        <v/>
      </c>
      <c r="G136" s="24" t="n"/>
      <c r="H136" s="24" t="n"/>
      <c r="I136" s="26" t="n"/>
      <c r="J136" s="24" t="n"/>
      <c r="K136" s="22" t="n"/>
      <c r="L136" s="70" t="n"/>
      <c r="M136" s="27">
        <f>IF(E136="","",SUMIFS(tbl_Finance[Ex GST],tbl_Finance[Job Number],E136&amp;""))</f>
        <v/>
      </c>
      <c r="N136" s="27">
        <f>IF(J136&lt;&gt;"Won","",IF(E136="",N(I136),I136-M136))</f>
        <v/>
      </c>
      <c r="O136" s="24" t="n"/>
    </row>
    <row r="137" ht="15" customHeight="1">
      <c r="A137" s="70" t="n"/>
      <c r="B137" s="24" t="n"/>
      <c r="C137" s="24" t="n"/>
      <c r="D137" s="24" t="n"/>
      <c r="E137" s="24" t="n"/>
      <c r="F137" s="25">
        <f>IF(E137="","",IF(COUNTIF(lst_Jobs,E137&amp;"")&gt;0,"OK","CHECK"))</f>
        <v/>
      </c>
      <c r="G137" s="24" t="n"/>
      <c r="H137" s="24" t="n"/>
      <c r="I137" s="26" t="n"/>
      <c r="J137" s="24" t="n"/>
      <c r="K137" s="22" t="n"/>
      <c r="L137" s="70" t="n"/>
      <c r="M137" s="27">
        <f>IF(E137="","",SUMIFS(tbl_Finance[Ex GST],tbl_Finance[Job Number],E137&amp;""))</f>
        <v/>
      </c>
      <c r="N137" s="27">
        <f>IF(J137&lt;&gt;"Won","",IF(E137="",N(I137),I137-M137))</f>
        <v/>
      </c>
      <c r="O137" s="24" t="n"/>
    </row>
    <row r="138" ht="15" customHeight="1">
      <c r="A138" s="70" t="n"/>
      <c r="B138" s="24" t="n"/>
      <c r="C138" s="24" t="n"/>
      <c r="D138" s="24" t="n"/>
      <c r="E138" s="24" t="n"/>
      <c r="F138" s="25">
        <f>IF(E138="","",IF(COUNTIF(lst_Jobs,E138&amp;"")&gt;0,"OK","CHECK"))</f>
        <v/>
      </c>
      <c r="G138" s="24" t="n"/>
      <c r="H138" s="24" t="n"/>
      <c r="I138" s="26" t="n"/>
      <c r="J138" s="24" t="n"/>
      <c r="K138" s="22" t="n"/>
      <c r="L138" s="70" t="n"/>
      <c r="M138" s="27">
        <f>IF(E138="","",SUMIFS(tbl_Finance[Ex GST],tbl_Finance[Job Number],E138&amp;""))</f>
        <v/>
      </c>
      <c r="N138" s="27">
        <f>IF(J138&lt;&gt;"Won","",IF(E138="",N(I138),I138-M138))</f>
        <v/>
      </c>
      <c r="O138" s="24" t="n"/>
    </row>
    <row r="139" ht="15" customHeight="1">
      <c r="A139" s="70" t="n"/>
      <c r="B139" s="24" t="n"/>
      <c r="C139" s="24" t="n"/>
      <c r="D139" s="24" t="n"/>
      <c r="E139" s="24" t="n"/>
      <c r="F139" s="25">
        <f>IF(E139="","",IF(COUNTIF(lst_Jobs,E139&amp;"")&gt;0,"OK","CHECK"))</f>
        <v/>
      </c>
      <c r="G139" s="24" t="n"/>
      <c r="H139" s="24" t="n"/>
      <c r="I139" s="26" t="n"/>
      <c r="J139" s="24" t="n"/>
      <c r="K139" s="22" t="n"/>
      <c r="L139" s="70" t="n"/>
      <c r="M139" s="27">
        <f>IF(E139="","",SUMIFS(tbl_Finance[Ex GST],tbl_Finance[Job Number],E139&amp;""))</f>
        <v/>
      </c>
      <c r="N139" s="27">
        <f>IF(J139&lt;&gt;"Won","",IF(E139="",N(I139),I139-M139))</f>
        <v/>
      </c>
      <c r="O139" s="24" t="n"/>
    </row>
    <row r="140" ht="15" customHeight="1">
      <c r="A140" s="70" t="n"/>
      <c r="B140" s="24" t="n"/>
      <c r="C140" s="24" t="n"/>
      <c r="D140" s="24" t="n"/>
      <c r="E140" s="24" t="n"/>
      <c r="F140" s="25">
        <f>IF(E140="","",IF(COUNTIF(lst_Jobs,E140&amp;"")&gt;0,"OK","CHECK"))</f>
        <v/>
      </c>
      <c r="G140" s="24" t="n"/>
      <c r="H140" s="24" t="n"/>
      <c r="I140" s="26" t="n"/>
      <c r="J140" s="24" t="n"/>
      <c r="K140" s="22" t="n"/>
      <c r="L140" s="70" t="n"/>
      <c r="M140" s="27">
        <f>IF(E140="","",SUMIFS(tbl_Finance[Ex GST],tbl_Finance[Job Number],E140&amp;""))</f>
        <v/>
      </c>
      <c r="N140" s="27">
        <f>IF(J140&lt;&gt;"Won","",IF(E140="",N(I140),I140-M140))</f>
        <v/>
      </c>
      <c r="O140" s="24" t="n"/>
    </row>
    <row r="141" ht="15" customHeight="1">
      <c r="A141" s="70" t="n"/>
      <c r="B141" s="24" t="n"/>
      <c r="C141" s="24" t="n"/>
      <c r="D141" s="24" t="n"/>
      <c r="E141" s="24" t="n"/>
      <c r="F141" s="25">
        <f>IF(E141="","",IF(COUNTIF(lst_Jobs,E141&amp;"")&gt;0,"OK","CHECK"))</f>
        <v/>
      </c>
      <c r="G141" s="24" t="n"/>
      <c r="H141" s="24" t="n"/>
      <c r="I141" s="26" t="n"/>
      <c r="J141" s="24" t="n"/>
      <c r="K141" s="22" t="n"/>
      <c r="L141" s="70" t="n"/>
      <c r="M141" s="27">
        <f>IF(E141="","",SUMIFS(tbl_Finance[Ex GST],tbl_Finance[Job Number],E141&amp;""))</f>
        <v/>
      </c>
      <c r="N141" s="27">
        <f>IF(J141&lt;&gt;"Won","",IF(E141="",N(I141),I141-M141))</f>
        <v/>
      </c>
      <c r="O141" s="24" t="n"/>
    </row>
    <row r="142" ht="15" customHeight="1">
      <c r="A142" s="70" t="n"/>
      <c r="B142" s="24" t="n"/>
      <c r="C142" s="24" t="n"/>
      <c r="D142" s="24" t="n"/>
      <c r="E142" s="24" t="n"/>
      <c r="F142" s="25">
        <f>IF(E142="","",IF(COUNTIF(lst_Jobs,E142&amp;"")&gt;0,"OK","CHECK"))</f>
        <v/>
      </c>
      <c r="G142" s="24" t="n"/>
      <c r="H142" s="24" t="n"/>
      <c r="I142" s="26" t="n"/>
      <c r="J142" s="24" t="n"/>
      <c r="K142" s="22" t="n"/>
      <c r="L142" s="70" t="n"/>
      <c r="M142" s="27">
        <f>IF(E142="","",SUMIFS(tbl_Finance[Ex GST],tbl_Finance[Job Number],E142&amp;""))</f>
        <v/>
      </c>
      <c r="N142" s="27">
        <f>IF(J142&lt;&gt;"Won","",IF(E142="",N(I142),I142-M142))</f>
        <v/>
      </c>
      <c r="O142" s="24" t="n"/>
    </row>
    <row r="143" ht="15" customHeight="1">
      <c r="A143" s="70" t="n"/>
      <c r="B143" s="24" t="n"/>
      <c r="C143" s="24" t="n"/>
      <c r="D143" s="24" t="n"/>
      <c r="E143" s="24" t="n"/>
      <c r="F143" s="25">
        <f>IF(E143="","",IF(COUNTIF(lst_Jobs,E143&amp;"")&gt;0,"OK","CHECK"))</f>
        <v/>
      </c>
      <c r="G143" s="24" t="n"/>
      <c r="H143" s="24" t="n"/>
      <c r="I143" s="26" t="n"/>
      <c r="J143" s="24" t="n"/>
      <c r="K143" s="22" t="n"/>
      <c r="L143" s="70" t="n"/>
      <c r="M143" s="27">
        <f>IF(E143="","",SUMIFS(tbl_Finance[Ex GST],tbl_Finance[Job Number],E143&amp;""))</f>
        <v/>
      </c>
      <c r="N143" s="27">
        <f>IF(J143&lt;&gt;"Won","",IF(E143="",N(I143),I143-M143))</f>
        <v/>
      </c>
      <c r="O143" s="24" t="n"/>
    </row>
    <row r="144" ht="15" customHeight="1">
      <c r="A144" s="70" t="n"/>
      <c r="B144" s="24" t="n"/>
      <c r="C144" s="24" t="n"/>
      <c r="D144" s="24" t="n"/>
      <c r="E144" s="24" t="n"/>
      <c r="F144" s="25">
        <f>IF(E144="","",IF(COUNTIF(lst_Jobs,E144&amp;"")&gt;0,"OK","CHECK"))</f>
        <v/>
      </c>
      <c r="G144" s="24" t="n"/>
      <c r="H144" s="24" t="n"/>
      <c r="I144" s="26" t="n"/>
      <c r="J144" s="24" t="n"/>
      <c r="K144" s="22" t="n"/>
      <c r="L144" s="70" t="n"/>
      <c r="M144" s="27">
        <f>IF(E144="","",SUMIFS(tbl_Finance[Ex GST],tbl_Finance[Job Number],E144&amp;""))</f>
        <v/>
      </c>
      <c r="N144" s="27">
        <f>IF(J144&lt;&gt;"Won","",IF(E144="",N(I144),I144-M144))</f>
        <v/>
      </c>
      <c r="O144" s="24" t="n"/>
    </row>
    <row r="145" ht="15" customHeight="1">
      <c r="A145" s="70" t="n"/>
      <c r="B145" s="24" t="n"/>
      <c r="C145" s="24" t="n"/>
      <c r="D145" s="24" t="n"/>
      <c r="E145" s="24" t="n"/>
      <c r="F145" s="25">
        <f>IF(E145="","",IF(COUNTIF(lst_Jobs,E145&amp;"")&gt;0,"OK","CHECK"))</f>
        <v/>
      </c>
      <c r="G145" s="24" t="n"/>
      <c r="H145" s="24" t="n"/>
      <c r="I145" s="26" t="n"/>
      <c r="J145" s="24" t="n"/>
      <c r="K145" s="22" t="n"/>
      <c r="L145" s="70" t="n"/>
      <c r="M145" s="27">
        <f>IF(E145="","",SUMIFS(tbl_Finance[Ex GST],tbl_Finance[Job Number],E145&amp;""))</f>
        <v/>
      </c>
      <c r="N145" s="27">
        <f>IF(J145&lt;&gt;"Won","",IF(E145="",N(I145),I145-M145))</f>
        <v/>
      </c>
      <c r="O145" s="24" t="n"/>
    </row>
    <row r="146" ht="15" customHeight="1">
      <c r="A146" s="70" t="n"/>
      <c r="B146" s="24" t="n"/>
      <c r="C146" s="24" t="n"/>
      <c r="D146" s="24" t="n"/>
      <c r="E146" s="24" t="n"/>
      <c r="F146" s="25">
        <f>IF(E146="","",IF(COUNTIF(lst_Jobs,E146&amp;"")&gt;0,"OK","CHECK"))</f>
        <v/>
      </c>
      <c r="G146" s="24" t="n"/>
      <c r="H146" s="24" t="n"/>
      <c r="I146" s="26" t="n"/>
      <c r="J146" s="24" t="n"/>
      <c r="K146" s="22" t="n"/>
      <c r="L146" s="70" t="n"/>
      <c r="M146" s="27">
        <f>IF(E146="","",SUMIFS(tbl_Finance[Ex GST],tbl_Finance[Job Number],E146&amp;""))</f>
        <v/>
      </c>
      <c r="N146" s="27">
        <f>IF(J146&lt;&gt;"Won","",IF(E146="",N(I146),I146-M146))</f>
        <v/>
      </c>
      <c r="O146" s="24" t="n"/>
    </row>
    <row r="147" ht="15" customHeight="1">
      <c r="A147" s="70" t="n"/>
      <c r="B147" s="24" t="n"/>
      <c r="C147" s="24" t="n"/>
      <c r="D147" s="24" t="n"/>
      <c r="E147" s="24" t="n"/>
      <c r="F147" s="25">
        <f>IF(E147="","",IF(COUNTIF(lst_Jobs,E147&amp;"")&gt;0,"OK","CHECK"))</f>
        <v/>
      </c>
      <c r="G147" s="24" t="n"/>
      <c r="H147" s="24" t="n"/>
      <c r="I147" s="26" t="n"/>
      <c r="J147" s="24" t="n"/>
      <c r="K147" s="22" t="n"/>
      <c r="L147" s="70" t="n"/>
      <c r="M147" s="27">
        <f>IF(E147="","",SUMIFS(tbl_Finance[Ex GST],tbl_Finance[Job Number],E147&amp;""))</f>
        <v/>
      </c>
      <c r="N147" s="27">
        <f>IF(J147&lt;&gt;"Won","",IF(E147="",N(I147),I147-M147))</f>
        <v/>
      </c>
      <c r="O147" s="24" t="n"/>
    </row>
    <row r="148" ht="15" customHeight="1">
      <c r="A148" s="70" t="n"/>
      <c r="B148" s="24" t="n"/>
      <c r="C148" s="24" t="n"/>
      <c r="D148" s="24" t="n"/>
      <c r="E148" s="24" t="n"/>
      <c r="F148" s="25">
        <f>IF(E148="","",IF(COUNTIF(lst_Jobs,E148&amp;"")&gt;0,"OK","CHECK"))</f>
        <v/>
      </c>
      <c r="G148" s="24" t="n"/>
      <c r="H148" s="24" t="n"/>
      <c r="I148" s="26" t="n"/>
      <c r="J148" s="24" t="n"/>
      <c r="K148" s="22" t="n"/>
      <c r="L148" s="70" t="n"/>
      <c r="M148" s="27">
        <f>IF(E148="","",SUMIFS(tbl_Finance[Ex GST],tbl_Finance[Job Number],E148&amp;""))</f>
        <v/>
      </c>
      <c r="N148" s="27">
        <f>IF(J148&lt;&gt;"Won","",IF(E148="",N(I148),I148-M148))</f>
        <v/>
      </c>
      <c r="O148" s="24" t="n"/>
    </row>
    <row r="149" ht="15" customHeight="1">
      <c r="A149" s="70" t="n"/>
      <c r="B149" s="24" t="n"/>
      <c r="C149" s="24" t="n"/>
      <c r="D149" s="24" t="n"/>
      <c r="E149" s="24" t="n"/>
      <c r="F149" s="25">
        <f>IF(E149="","",IF(COUNTIF(lst_Jobs,E149&amp;"")&gt;0,"OK","CHECK"))</f>
        <v/>
      </c>
      <c r="G149" s="24" t="n"/>
      <c r="H149" s="24" t="n"/>
      <c r="I149" s="26" t="n"/>
      <c r="J149" s="24" t="n"/>
      <c r="K149" s="22" t="n"/>
      <c r="L149" s="70" t="n"/>
      <c r="M149" s="27">
        <f>IF(E149="","",SUMIFS(tbl_Finance[Ex GST],tbl_Finance[Job Number],E149&amp;""))</f>
        <v/>
      </c>
      <c r="N149" s="27">
        <f>IF(J149&lt;&gt;"Won","",IF(E149="",N(I149),I149-M149))</f>
        <v/>
      </c>
      <c r="O149" s="24" t="n"/>
    </row>
    <row r="150" ht="15" customHeight="1">
      <c r="A150" s="70" t="n"/>
      <c r="B150" s="24" t="n"/>
      <c r="C150" s="24" t="n"/>
      <c r="D150" s="24" t="n"/>
      <c r="E150" s="24" t="n"/>
      <c r="F150" s="25">
        <f>IF(E150="","",IF(COUNTIF(lst_Jobs,E150&amp;"")&gt;0,"OK","CHECK"))</f>
        <v/>
      </c>
      <c r="G150" s="24" t="n"/>
      <c r="H150" s="24" t="n"/>
      <c r="I150" s="26" t="n"/>
      <c r="J150" s="24" t="n"/>
      <c r="K150" s="22" t="n"/>
      <c r="L150" s="70" t="n"/>
      <c r="M150" s="27">
        <f>IF(E150="","",SUMIFS(tbl_Finance[Ex GST],tbl_Finance[Job Number],E150&amp;""))</f>
        <v/>
      </c>
      <c r="N150" s="27">
        <f>IF(J150&lt;&gt;"Won","",IF(E150="",N(I150),I150-M150))</f>
        <v/>
      </c>
      <c r="O150" s="24" t="n"/>
    </row>
    <row r="151" ht="15" customHeight="1">
      <c r="A151" s="70" t="n"/>
      <c r="B151" s="24" t="n"/>
      <c r="C151" s="24" t="n"/>
      <c r="D151" s="24" t="n"/>
      <c r="E151" s="24" t="n"/>
      <c r="F151" s="25">
        <f>IF(E151="","",IF(COUNTIF(lst_Jobs,E151&amp;"")&gt;0,"OK","CHECK"))</f>
        <v/>
      </c>
      <c r="G151" s="24" t="n"/>
      <c r="H151" s="24" t="n"/>
      <c r="I151" s="26" t="n"/>
      <c r="J151" s="24" t="n"/>
      <c r="K151" s="22" t="n"/>
      <c r="L151" s="70" t="n"/>
      <c r="M151" s="27">
        <f>IF(E151="","",SUMIFS(tbl_Finance[Ex GST],tbl_Finance[Job Number],E151&amp;""))</f>
        <v/>
      </c>
      <c r="N151" s="27">
        <f>IF(J151&lt;&gt;"Won","",IF(E151="",N(I151),I151-M151))</f>
        <v/>
      </c>
      <c r="O151" s="24" t="n"/>
    </row>
    <row r="152" ht="15" customHeight="1">
      <c r="A152" s="70" t="n"/>
      <c r="B152" s="24" t="n"/>
      <c r="C152" s="24" t="n"/>
      <c r="D152" s="24" t="n"/>
      <c r="E152" s="24" t="n"/>
      <c r="F152" s="25">
        <f>IF(E152="","",IF(COUNTIF(lst_Jobs,E152&amp;"")&gt;0,"OK","CHECK"))</f>
        <v/>
      </c>
      <c r="G152" s="24" t="n"/>
      <c r="H152" s="24" t="n"/>
      <c r="I152" s="26" t="n"/>
      <c r="J152" s="24" t="n"/>
      <c r="K152" s="22" t="n"/>
      <c r="L152" s="70" t="n"/>
      <c r="M152" s="27">
        <f>IF(E152="","",SUMIFS(tbl_Finance[Ex GST],tbl_Finance[Job Number],E152&amp;""))</f>
        <v/>
      </c>
      <c r="N152" s="27">
        <f>IF(J152&lt;&gt;"Won","",IF(E152="",N(I152),I152-M152))</f>
        <v/>
      </c>
      <c r="O152" s="24" t="n"/>
    </row>
    <row r="153" ht="15" customHeight="1">
      <c r="A153" s="70" t="n"/>
      <c r="B153" s="24" t="n"/>
      <c r="C153" s="24" t="n"/>
      <c r="D153" s="24" t="n"/>
      <c r="E153" s="24" t="n"/>
      <c r="F153" s="25">
        <f>IF(E153="","",IF(COUNTIF(lst_Jobs,E153&amp;"")&gt;0,"OK","CHECK"))</f>
        <v/>
      </c>
      <c r="G153" s="24" t="n"/>
      <c r="H153" s="24" t="n"/>
      <c r="I153" s="26" t="n"/>
      <c r="J153" s="24" t="n"/>
      <c r="K153" s="22" t="n"/>
      <c r="L153" s="70" t="n"/>
      <c r="M153" s="27">
        <f>IF(E153="","",SUMIFS(tbl_Finance[Ex GST],tbl_Finance[Job Number],E153&amp;""))</f>
        <v/>
      </c>
      <c r="N153" s="27">
        <f>IF(J153&lt;&gt;"Won","",IF(E153="",N(I153),I153-M153))</f>
        <v/>
      </c>
      <c r="O153" s="24" t="n"/>
    </row>
    <row r="154" ht="15" customHeight="1">
      <c r="A154" s="70" t="n"/>
      <c r="B154" s="24" t="n"/>
      <c r="C154" s="24" t="n"/>
      <c r="D154" s="24" t="n"/>
      <c r="E154" s="24" t="n"/>
      <c r="F154" s="25">
        <f>IF(E154="","",IF(COUNTIF(lst_Jobs,E154&amp;"")&gt;0,"OK","CHECK"))</f>
        <v/>
      </c>
      <c r="G154" s="24" t="n"/>
      <c r="H154" s="24" t="n"/>
      <c r="I154" s="26" t="n"/>
      <c r="J154" s="24" t="n"/>
      <c r="K154" s="22" t="n"/>
      <c r="L154" s="70" t="n"/>
      <c r="M154" s="27">
        <f>IF(E154="","",SUMIFS(tbl_Finance[Ex GST],tbl_Finance[Job Number],E154&amp;""))</f>
        <v/>
      </c>
      <c r="N154" s="27">
        <f>IF(J154&lt;&gt;"Won","",IF(E154="",N(I154),I154-M154))</f>
        <v/>
      </c>
      <c r="O154" s="24" t="n"/>
    </row>
    <row r="155" ht="15" customHeight="1">
      <c r="A155" s="70" t="n"/>
      <c r="B155" s="24" t="n"/>
      <c r="C155" s="24" t="n"/>
      <c r="D155" s="24" t="n"/>
      <c r="E155" s="24" t="n"/>
      <c r="F155" s="25">
        <f>IF(E155="","",IF(COUNTIF(lst_Jobs,E155&amp;"")&gt;0,"OK","CHECK"))</f>
        <v/>
      </c>
      <c r="G155" s="24" t="n"/>
      <c r="H155" s="24" t="n"/>
      <c r="I155" s="26" t="n"/>
      <c r="J155" s="24" t="n"/>
      <c r="K155" s="22" t="n"/>
      <c r="L155" s="70" t="n"/>
      <c r="M155" s="27">
        <f>IF(E155="","",SUMIFS(tbl_Finance[Ex GST],tbl_Finance[Job Number],E155&amp;""))</f>
        <v/>
      </c>
      <c r="N155" s="27">
        <f>IF(J155&lt;&gt;"Won","",IF(E155="",N(I155),I155-M155))</f>
        <v/>
      </c>
      <c r="O155" s="24" t="n"/>
    </row>
    <row r="156" ht="15" customHeight="1">
      <c r="A156" s="70" t="n"/>
      <c r="B156" s="24" t="n"/>
      <c r="C156" s="24" t="n"/>
      <c r="D156" s="24" t="n"/>
      <c r="E156" s="24" t="n"/>
      <c r="F156" s="25">
        <f>IF(E156="","",IF(COUNTIF(lst_Jobs,E156&amp;"")&gt;0,"OK","CHECK"))</f>
        <v/>
      </c>
      <c r="G156" s="24" t="n"/>
      <c r="H156" s="24" t="n"/>
      <c r="I156" s="26" t="n"/>
      <c r="J156" s="24" t="n"/>
      <c r="K156" s="22" t="n"/>
      <c r="L156" s="70" t="n"/>
      <c r="M156" s="27">
        <f>IF(E156="","",SUMIFS(tbl_Finance[Ex GST],tbl_Finance[Job Number],E156&amp;""))</f>
        <v/>
      </c>
      <c r="N156" s="27">
        <f>IF(J156&lt;&gt;"Won","",IF(E156="",N(I156),I156-M156))</f>
        <v/>
      </c>
      <c r="O156" s="24" t="n"/>
    </row>
    <row r="157" ht="15" customHeight="1">
      <c r="A157" s="70" t="n"/>
      <c r="B157" s="24" t="n"/>
      <c r="C157" s="24" t="n"/>
      <c r="D157" s="24" t="n"/>
      <c r="E157" s="24" t="n"/>
      <c r="F157" s="25">
        <f>IF(E157="","",IF(COUNTIF(lst_Jobs,E157&amp;"")&gt;0,"OK","CHECK"))</f>
        <v/>
      </c>
      <c r="G157" s="24" t="n"/>
      <c r="H157" s="24" t="n"/>
      <c r="I157" s="26" t="n"/>
      <c r="J157" s="24" t="n"/>
      <c r="K157" s="22" t="n"/>
      <c r="L157" s="70" t="n"/>
      <c r="M157" s="27">
        <f>IF(E157="","",SUMIFS(tbl_Finance[Ex GST],tbl_Finance[Job Number],E157&amp;""))</f>
        <v/>
      </c>
      <c r="N157" s="27">
        <f>IF(J157&lt;&gt;"Won","",IF(E157="",N(I157),I157-M157))</f>
        <v/>
      </c>
      <c r="O157" s="24" t="n"/>
    </row>
    <row r="158" ht="15" customHeight="1">
      <c r="A158" s="70" t="n"/>
      <c r="B158" s="24" t="n"/>
      <c r="C158" s="24" t="n"/>
      <c r="D158" s="24" t="n"/>
      <c r="E158" s="24" t="n"/>
      <c r="F158" s="25">
        <f>IF(E158="","",IF(COUNTIF(lst_Jobs,E158&amp;"")&gt;0,"OK","CHECK"))</f>
        <v/>
      </c>
      <c r="G158" s="24" t="n"/>
      <c r="H158" s="24" t="n"/>
      <c r="I158" s="26" t="n"/>
      <c r="J158" s="24" t="n"/>
      <c r="K158" s="22" t="n"/>
      <c r="L158" s="70" t="n"/>
      <c r="M158" s="27">
        <f>IF(E158="","",SUMIFS(tbl_Finance[Ex GST],tbl_Finance[Job Number],E158&amp;""))</f>
        <v/>
      </c>
      <c r="N158" s="27">
        <f>IF(J158&lt;&gt;"Won","",IF(E158="",N(I158),I158-M158))</f>
        <v/>
      </c>
      <c r="O158" s="24" t="n"/>
    </row>
    <row r="159" ht="15" customHeight="1">
      <c r="A159" s="70" t="n"/>
      <c r="B159" s="24" t="n"/>
      <c r="C159" s="24" t="n"/>
      <c r="D159" s="24" t="n"/>
      <c r="E159" s="24" t="n"/>
      <c r="F159" s="25">
        <f>IF(E159="","",IF(COUNTIF(lst_Jobs,E159&amp;"")&gt;0,"OK","CHECK"))</f>
        <v/>
      </c>
      <c r="G159" s="24" t="n"/>
      <c r="H159" s="24" t="n"/>
      <c r="I159" s="26" t="n"/>
      <c r="J159" s="24" t="n"/>
      <c r="K159" s="22" t="n"/>
      <c r="L159" s="70" t="n"/>
      <c r="M159" s="27">
        <f>IF(E159="","",SUMIFS(tbl_Finance[Ex GST],tbl_Finance[Job Number],E159&amp;""))</f>
        <v/>
      </c>
      <c r="N159" s="27">
        <f>IF(J159&lt;&gt;"Won","",IF(E159="",N(I159),I159-M159))</f>
        <v/>
      </c>
      <c r="O159" s="24" t="n"/>
    </row>
    <row r="160" ht="15" customHeight="1">
      <c r="A160" s="70" t="n"/>
      <c r="B160" s="24" t="n"/>
      <c r="C160" s="24" t="n"/>
      <c r="D160" s="24" t="n"/>
      <c r="E160" s="24" t="n"/>
      <c r="F160" s="25">
        <f>IF(E160="","",IF(COUNTIF(lst_Jobs,E160&amp;"")&gt;0,"OK","CHECK"))</f>
        <v/>
      </c>
      <c r="G160" s="24" t="n"/>
      <c r="H160" s="24" t="n"/>
      <c r="I160" s="26" t="n"/>
      <c r="J160" s="24" t="n"/>
      <c r="K160" s="22" t="n"/>
      <c r="L160" s="70" t="n"/>
      <c r="M160" s="27">
        <f>IF(E160="","",SUMIFS(tbl_Finance[Ex GST],tbl_Finance[Job Number],E160&amp;""))</f>
        <v/>
      </c>
      <c r="N160" s="27">
        <f>IF(J160&lt;&gt;"Won","",IF(E160="",N(I160),I160-M160))</f>
        <v/>
      </c>
      <c r="O160" s="24" t="n"/>
    </row>
    <row r="161" ht="15" customHeight="1">
      <c r="A161" s="70" t="n"/>
      <c r="B161" s="24" t="n"/>
      <c r="C161" s="24" t="n"/>
      <c r="D161" s="24" t="n"/>
      <c r="E161" s="24" t="n"/>
      <c r="F161" s="25">
        <f>IF(E161="","",IF(COUNTIF(lst_Jobs,E161&amp;"")&gt;0,"OK","CHECK"))</f>
        <v/>
      </c>
      <c r="G161" s="24" t="n"/>
      <c r="H161" s="24" t="n"/>
      <c r="I161" s="26" t="n"/>
      <c r="J161" s="24" t="n"/>
      <c r="K161" s="22" t="n"/>
      <c r="L161" s="70" t="n"/>
      <c r="M161" s="27">
        <f>IF(E161="","",SUMIFS(tbl_Finance[Ex GST],tbl_Finance[Job Number],E161&amp;""))</f>
        <v/>
      </c>
      <c r="N161" s="27">
        <f>IF(J161&lt;&gt;"Won","",IF(E161="",N(I161),I161-M161))</f>
        <v/>
      </c>
      <c r="O161" s="24" t="n"/>
    </row>
    <row r="162" ht="15" customHeight="1">
      <c r="A162" s="70" t="n"/>
      <c r="B162" s="24" t="n"/>
      <c r="C162" s="24" t="n"/>
      <c r="D162" s="24" t="n"/>
      <c r="E162" s="24" t="n"/>
      <c r="F162" s="25">
        <f>IF(E162="","",IF(COUNTIF(lst_Jobs,E162&amp;"")&gt;0,"OK","CHECK"))</f>
        <v/>
      </c>
      <c r="G162" s="24" t="n"/>
      <c r="H162" s="24" t="n"/>
      <c r="I162" s="26" t="n"/>
      <c r="J162" s="24" t="n"/>
      <c r="K162" s="22" t="n"/>
      <c r="L162" s="70" t="n"/>
      <c r="M162" s="27">
        <f>IF(E162="","",SUMIFS(tbl_Finance[Ex GST],tbl_Finance[Job Number],E162&amp;""))</f>
        <v/>
      </c>
      <c r="N162" s="27">
        <f>IF(J162&lt;&gt;"Won","",IF(E162="",N(I162),I162-M162))</f>
        <v/>
      </c>
      <c r="O162" s="24" t="n"/>
    </row>
    <row r="163" ht="15" customHeight="1">
      <c r="A163" s="70" t="n"/>
      <c r="B163" s="24" t="n"/>
      <c r="C163" s="24" t="n"/>
      <c r="D163" s="24" t="n"/>
      <c r="E163" s="24" t="n"/>
      <c r="F163" s="25">
        <f>IF(E163="","",IF(COUNTIF(lst_Jobs,E163&amp;"")&gt;0,"OK","CHECK"))</f>
        <v/>
      </c>
      <c r="G163" s="24" t="n"/>
      <c r="H163" s="24" t="n"/>
      <c r="I163" s="26" t="n"/>
      <c r="J163" s="24" t="n"/>
      <c r="K163" s="22" t="n"/>
      <c r="L163" s="70" t="n"/>
      <c r="M163" s="27">
        <f>IF(E163="","",SUMIFS(tbl_Finance[Ex GST],tbl_Finance[Job Number],E163&amp;""))</f>
        <v/>
      </c>
      <c r="N163" s="27">
        <f>IF(J163&lt;&gt;"Won","",IF(E163="",N(I163),I163-M163))</f>
        <v/>
      </c>
      <c r="O163" s="24" t="n"/>
    </row>
    <row r="164" ht="15" customHeight="1">
      <c r="A164" s="70" t="n"/>
      <c r="B164" s="24" t="n"/>
      <c r="C164" s="24" t="n"/>
      <c r="D164" s="24" t="n"/>
      <c r="E164" s="24" t="n"/>
      <c r="F164" s="25">
        <f>IF(E164="","",IF(COUNTIF(lst_Jobs,E164&amp;"")&gt;0,"OK","CHECK"))</f>
        <v/>
      </c>
      <c r="G164" s="24" t="n"/>
      <c r="H164" s="24" t="n"/>
      <c r="I164" s="26" t="n"/>
      <c r="J164" s="24" t="n"/>
      <c r="K164" s="22" t="n"/>
      <c r="L164" s="70" t="n"/>
      <c r="M164" s="27">
        <f>IF(E164="","",SUMIFS(tbl_Finance[Ex GST],tbl_Finance[Job Number],E164&amp;""))</f>
        <v/>
      </c>
      <c r="N164" s="27">
        <f>IF(J164&lt;&gt;"Won","",IF(E164="",N(I164),I164-M164))</f>
        <v/>
      </c>
      <c r="O164" s="24" t="n"/>
    </row>
    <row r="165" ht="15" customHeight="1">
      <c r="A165" s="70" t="n"/>
      <c r="B165" s="24" t="n"/>
      <c r="C165" s="24" t="n"/>
      <c r="D165" s="24" t="n"/>
      <c r="E165" s="24" t="n"/>
      <c r="F165" s="25">
        <f>IF(E165="","",IF(COUNTIF(lst_Jobs,E165&amp;"")&gt;0,"OK","CHECK"))</f>
        <v/>
      </c>
      <c r="G165" s="24" t="n"/>
      <c r="H165" s="24" t="n"/>
      <c r="I165" s="26" t="n"/>
      <c r="J165" s="24" t="n"/>
      <c r="K165" s="22" t="n"/>
      <c r="L165" s="70" t="n"/>
      <c r="M165" s="27">
        <f>IF(E165="","",SUMIFS(tbl_Finance[Ex GST],tbl_Finance[Job Number],E165&amp;""))</f>
        <v/>
      </c>
      <c r="N165" s="27">
        <f>IF(J165&lt;&gt;"Won","",IF(E165="",N(I165),I165-M165))</f>
        <v/>
      </c>
      <c r="O165" s="24" t="n"/>
    </row>
    <row r="166" ht="15" customHeight="1">
      <c r="A166" s="70" t="n"/>
      <c r="B166" s="24" t="n"/>
      <c r="C166" s="24" t="n"/>
      <c r="D166" s="24" t="n"/>
      <c r="E166" s="24" t="n"/>
      <c r="F166" s="25">
        <f>IF(E166="","",IF(COUNTIF(lst_Jobs,E166&amp;"")&gt;0,"OK","CHECK"))</f>
        <v/>
      </c>
      <c r="G166" s="24" t="n"/>
      <c r="H166" s="24" t="n"/>
      <c r="I166" s="26" t="n"/>
      <c r="J166" s="24" t="n"/>
      <c r="K166" s="22" t="n"/>
      <c r="L166" s="70" t="n"/>
      <c r="M166" s="27">
        <f>IF(E166="","",SUMIFS(tbl_Finance[Ex GST],tbl_Finance[Job Number],E166&amp;""))</f>
        <v/>
      </c>
      <c r="N166" s="27">
        <f>IF(J166&lt;&gt;"Won","",IF(E166="",N(I166),I166-M166))</f>
        <v/>
      </c>
      <c r="O166" s="24" t="n"/>
    </row>
    <row r="167" ht="15" customHeight="1">
      <c r="A167" s="70" t="n"/>
      <c r="B167" s="24" t="n"/>
      <c r="C167" s="24" t="n"/>
      <c r="D167" s="24" t="n"/>
      <c r="E167" s="24" t="n"/>
      <c r="F167" s="25">
        <f>IF(E167="","",IF(COUNTIF(lst_Jobs,E167&amp;"")&gt;0,"OK","CHECK"))</f>
        <v/>
      </c>
      <c r="G167" s="24" t="n"/>
      <c r="H167" s="24" t="n"/>
      <c r="I167" s="26" t="n"/>
      <c r="J167" s="24" t="n"/>
      <c r="K167" s="22" t="n"/>
      <c r="L167" s="70" t="n"/>
      <c r="M167" s="27">
        <f>IF(E167="","",SUMIFS(tbl_Finance[Ex GST],tbl_Finance[Job Number],E167&amp;""))</f>
        <v/>
      </c>
      <c r="N167" s="27">
        <f>IF(J167&lt;&gt;"Won","",IF(E167="",N(I167),I167-M167))</f>
        <v/>
      </c>
      <c r="O167" s="24" t="n"/>
    </row>
    <row r="168" ht="15" customHeight="1">
      <c r="A168" s="70" t="n"/>
      <c r="B168" s="24" t="n"/>
      <c r="C168" s="24" t="n"/>
      <c r="D168" s="24" t="n"/>
      <c r="E168" s="24" t="n"/>
      <c r="F168" s="25">
        <f>IF(E168="","",IF(COUNTIF(lst_Jobs,E168&amp;"")&gt;0,"OK","CHECK"))</f>
        <v/>
      </c>
      <c r="G168" s="24" t="n"/>
      <c r="H168" s="24" t="n"/>
      <c r="I168" s="26" t="n"/>
      <c r="J168" s="24" t="n"/>
      <c r="K168" s="22" t="n"/>
      <c r="L168" s="70" t="n"/>
      <c r="M168" s="27">
        <f>IF(E168="","",SUMIFS(tbl_Finance[Ex GST],tbl_Finance[Job Number],E168&amp;""))</f>
        <v/>
      </c>
      <c r="N168" s="27">
        <f>IF(J168&lt;&gt;"Won","",IF(E168="",N(I168),I168-M168))</f>
        <v/>
      </c>
      <c r="O168" s="24" t="n"/>
    </row>
    <row r="169" ht="15" customHeight="1">
      <c r="A169" s="70" t="n"/>
      <c r="B169" s="24" t="n"/>
      <c r="C169" s="24" t="n"/>
      <c r="D169" s="24" t="n"/>
      <c r="E169" s="24" t="n"/>
      <c r="F169" s="25">
        <f>IF(E169="","",IF(COUNTIF(lst_Jobs,E169&amp;"")&gt;0,"OK","CHECK"))</f>
        <v/>
      </c>
      <c r="G169" s="24" t="n"/>
      <c r="H169" s="24" t="n"/>
      <c r="I169" s="26" t="n"/>
      <c r="J169" s="24" t="n"/>
      <c r="K169" s="22" t="n"/>
      <c r="L169" s="70" t="n"/>
      <c r="M169" s="27">
        <f>IF(E169="","",SUMIFS(tbl_Finance[Ex GST],tbl_Finance[Job Number],E169&amp;""))</f>
        <v/>
      </c>
      <c r="N169" s="27">
        <f>IF(J169&lt;&gt;"Won","",IF(E169="",N(I169),I169-M169))</f>
        <v/>
      </c>
      <c r="O169" s="24" t="n"/>
    </row>
    <row r="170" ht="15" customHeight="1">
      <c r="A170" s="70" t="n"/>
      <c r="B170" s="24" t="n"/>
      <c r="C170" s="24" t="n"/>
      <c r="D170" s="24" t="n"/>
      <c r="E170" s="24" t="n"/>
      <c r="F170" s="25">
        <f>IF(E170="","",IF(COUNTIF(lst_Jobs,E170&amp;"")&gt;0,"OK","CHECK"))</f>
        <v/>
      </c>
      <c r="G170" s="24" t="n"/>
      <c r="H170" s="24" t="n"/>
      <c r="I170" s="26" t="n"/>
      <c r="J170" s="24" t="n"/>
      <c r="K170" s="22" t="n"/>
      <c r="L170" s="70" t="n"/>
      <c r="M170" s="27">
        <f>IF(E170="","",SUMIFS(tbl_Finance[Ex GST],tbl_Finance[Job Number],E170&amp;""))</f>
        <v/>
      </c>
      <c r="N170" s="27">
        <f>IF(J170&lt;&gt;"Won","",IF(E170="",N(I170),I170-M170))</f>
        <v/>
      </c>
      <c r="O170" s="24" t="n"/>
    </row>
    <row r="171" ht="15" customHeight="1">
      <c r="A171" s="70" t="n"/>
      <c r="B171" s="24" t="n"/>
      <c r="C171" s="24" t="n"/>
      <c r="D171" s="24" t="n"/>
      <c r="E171" s="24" t="n"/>
      <c r="F171" s="25">
        <f>IF(E171="","",IF(COUNTIF(lst_Jobs,E171&amp;"")&gt;0,"OK","CHECK"))</f>
        <v/>
      </c>
      <c r="G171" s="24" t="n"/>
      <c r="H171" s="24" t="n"/>
      <c r="I171" s="26" t="n"/>
      <c r="J171" s="24" t="n"/>
      <c r="K171" s="22" t="n"/>
      <c r="L171" s="70" t="n"/>
      <c r="M171" s="27">
        <f>IF(E171="","",SUMIFS(tbl_Finance[Ex GST],tbl_Finance[Job Number],E171&amp;""))</f>
        <v/>
      </c>
      <c r="N171" s="27">
        <f>IF(J171&lt;&gt;"Won","",IF(E171="",N(I171),I171-M171))</f>
        <v/>
      </c>
      <c r="O171" s="24" t="n"/>
    </row>
    <row r="172" ht="15" customHeight="1">
      <c r="A172" s="70" t="n"/>
      <c r="B172" s="24" t="n"/>
      <c r="C172" s="24" t="n"/>
      <c r="D172" s="24" t="n"/>
      <c r="E172" s="24" t="n"/>
      <c r="F172" s="25">
        <f>IF(E172="","",IF(COUNTIF(lst_Jobs,E172&amp;"")&gt;0,"OK","CHECK"))</f>
        <v/>
      </c>
      <c r="G172" s="24" t="n"/>
      <c r="H172" s="24" t="n"/>
      <c r="I172" s="26" t="n"/>
      <c r="J172" s="24" t="n"/>
      <c r="K172" s="22" t="n"/>
      <c r="L172" s="70" t="n"/>
      <c r="M172" s="27">
        <f>IF(E172="","",SUMIFS(tbl_Finance[Ex GST],tbl_Finance[Job Number],E172&amp;""))</f>
        <v/>
      </c>
      <c r="N172" s="27">
        <f>IF(J172&lt;&gt;"Won","",IF(E172="",N(I172),I172-M172))</f>
        <v/>
      </c>
      <c r="O172" s="24" t="n"/>
    </row>
    <row r="173" ht="15" customHeight="1">
      <c r="A173" s="70" t="n"/>
      <c r="B173" s="24" t="n"/>
      <c r="C173" s="24" t="n"/>
      <c r="D173" s="24" t="n"/>
      <c r="E173" s="24" t="n"/>
      <c r="F173" s="25">
        <f>IF(E173="","",IF(COUNTIF(lst_Jobs,E173&amp;"")&gt;0,"OK","CHECK"))</f>
        <v/>
      </c>
      <c r="G173" s="24" t="n"/>
      <c r="H173" s="24" t="n"/>
      <c r="I173" s="26" t="n"/>
      <c r="J173" s="24" t="n"/>
      <c r="K173" s="22" t="n"/>
      <c r="L173" s="70" t="n"/>
      <c r="M173" s="27">
        <f>IF(E173="","",SUMIFS(tbl_Finance[Ex GST],tbl_Finance[Job Number],E173&amp;""))</f>
        <v/>
      </c>
      <c r="N173" s="27">
        <f>IF(J173&lt;&gt;"Won","",IF(E173="",N(I173),I173-M173))</f>
        <v/>
      </c>
      <c r="O173" s="24" t="n"/>
    </row>
    <row r="174" ht="15" customHeight="1">
      <c r="A174" s="70" t="n"/>
      <c r="B174" s="24" t="n"/>
      <c r="C174" s="24" t="n"/>
      <c r="D174" s="24" t="n"/>
      <c r="E174" s="24" t="n"/>
      <c r="F174" s="25">
        <f>IF(E174="","",IF(COUNTIF(lst_Jobs,E174&amp;"")&gt;0,"OK","CHECK"))</f>
        <v/>
      </c>
      <c r="G174" s="24" t="n"/>
      <c r="H174" s="24" t="n"/>
      <c r="I174" s="26" t="n"/>
      <c r="J174" s="24" t="n"/>
      <c r="K174" s="22" t="n"/>
      <c r="L174" s="70" t="n"/>
      <c r="M174" s="27">
        <f>IF(E174="","",SUMIFS(tbl_Finance[Ex GST],tbl_Finance[Job Number],E174&amp;""))</f>
        <v/>
      </c>
      <c r="N174" s="27">
        <f>IF(J174&lt;&gt;"Won","",IF(E174="",N(I174),I174-M174))</f>
        <v/>
      </c>
      <c r="O174" s="24" t="n"/>
    </row>
    <row r="175" ht="15" customHeight="1">
      <c r="A175" s="70" t="n"/>
      <c r="B175" s="24" t="n"/>
      <c r="C175" s="24" t="n"/>
      <c r="D175" s="24" t="n"/>
      <c r="E175" s="24" t="n"/>
      <c r="F175" s="25">
        <f>IF(E175="","",IF(COUNTIF(lst_Jobs,E175&amp;"")&gt;0,"OK","CHECK"))</f>
        <v/>
      </c>
      <c r="G175" s="24" t="n"/>
      <c r="H175" s="24" t="n"/>
      <c r="I175" s="26" t="n"/>
      <c r="J175" s="24" t="n"/>
      <c r="K175" s="22" t="n"/>
      <c r="L175" s="70" t="n"/>
      <c r="M175" s="27">
        <f>IF(E175="","",SUMIFS(tbl_Finance[Ex GST],tbl_Finance[Job Number],E175&amp;""))</f>
        <v/>
      </c>
      <c r="N175" s="27">
        <f>IF(J175&lt;&gt;"Won","",IF(E175="",N(I175),I175-M175))</f>
        <v/>
      </c>
      <c r="O175" s="24" t="n"/>
    </row>
    <row r="176" ht="15" customHeight="1">
      <c r="A176" s="70" t="n"/>
      <c r="B176" s="24" t="n"/>
      <c r="C176" s="24" t="n"/>
      <c r="D176" s="24" t="n"/>
      <c r="E176" s="24" t="n"/>
      <c r="F176" s="25">
        <f>IF(E176="","",IF(COUNTIF(lst_Jobs,E176&amp;"")&gt;0,"OK","CHECK"))</f>
        <v/>
      </c>
      <c r="G176" s="24" t="n"/>
      <c r="H176" s="24" t="n"/>
      <c r="I176" s="26" t="n"/>
      <c r="J176" s="24" t="n"/>
      <c r="K176" s="22" t="n"/>
      <c r="L176" s="70" t="n"/>
      <c r="M176" s="27">
        <f>IF(E176="","",SUMIFS(tbl_Finance[Ex GST],tbl_Finance[Job Number],E176&amp;""))</f>
        <v/>
      </c>
      <c r="N176" s="27">
        <f>IF(J176&lt;&gt;"Won","",IF(E176="",N(I176),I176-M176))</f>
        <v/>
      </c>
      <c r="O176" s="24" t="n"/>
    </row>
    <row r="177" ht="15" customHeight="1">
      <c r="A177" s="70" t="n"/>
      <c r="B177" s="24" t="n"/>
      <c r="C177" s="24" t="n"/>
      <c r="D177" s="24" t="n"/>
      <c r="E177" s="24" t="n"/>
      <c r="F177" s="25">
        <f>IF(E177="","",IF(COUNTIF(lst_Jobs,E177&amp;"")&gt;0,"OK","CHECK"))</f>
        <v/>
      </c>
      <c r="G177" s="24" t="n"/>
      <c r="H177" s="24" t="n"/>
      <c r="I177" s="26" t="n"/>
      <c r="J177" s="24" t="n"/>
      <c r="K177" s="22" t="n"/>
      <c r="L177" s="70" t="n"/>
      <c r="M177" s="27">
        <f>IF(E177="","",SUMIFS(tbl_Finance[Ex GST],tbl_Finance[Job Number],E177&amp;""))</f>
        <v/>
      </c>
      <c r="N177" s="27">
        <f>IF(J177&lt;&gt;"Won","",IF(E177="",N(I177),I177-M177))</f>
        <v/>
      </c>
      <c r="O177" s="24" t="n"/>
    </row>
    <row r="178" ht="15" customHeight="1">
      <c r="A178" s="70" t="n"/>
      <c r="B178" s="24" t="n"/>
      <c r="C178" s="24" t="n"/>
      <c r="D178" s="24" t="n"/>
      <c r="E178" s="24" t="n"/>
      <c r="F178" s="25">
        <f>IF(E178="","",IF(COUNTIF(lst_Jobs,E178&amp;"")&gt;0,"OK","CHECK"))</f>
        <v/>
      </c>
      <c r="G178" s="24" t="n"/>
      <c r="H178" s="24" t="n"/>
      <c r="I178" s="26" t="n"/>
      <c r="J178" s="24" t="n"/>
      <c r="K178" s="22" t="n"/>
      <c r="L178" s="70" t="n"/>
      <c r="M178" s="27">
        <f>IF(E178="","",SUMIFS(tbl_Finance[Ex GST],tbl_Finance[Job Number],E178&amp;""))</f>
        <v/>
      </c>
      <c r="N178" s="27">
        <f>IF(J178&lt;&gt;"Won","",IF(E178="",N(I178),I178-M178))</f>
        <v/>
      </c>
      <c r="O178" s="24" t="n"/>
    </row>
    <row r="179" ht="15" customHeight="1">
      <c r="A179" s="70" t="n"/>
      <c r="B179" s="24" t="n"/>
      <c r="C179" s="24" t="n"/>
      <c r="D179" s="24" t="n"/>
      <c r="E179" s="24" t="n"/>
      <c r="F179" s="25">
        <f>IF(E179="","",IF(COUNTIF(lst_Jobs,E179&amp;"")&gt;0,"OK","CHECK"))</f>
        <v/>
      </c>
      <c r="G179" s="24" t="n"/>
      <c r="H179" s="24" t="n"/>
      <c r="I179" s="26" t="n"/>
      <c r="J179" s="24" t="n"/>
      <c r="K179" s="22" t="n"/>
      <c r="L179" s="70" t="n"/>
      <c r="M179" s="27">
        <f>IF(E179="","",SUMIFS(tbl_Finance[Ex GST],tbl_Finance[Job Number],E179&amp;""))</f>
        <v/>
      </c>
      <c r="N179" s="27">
        <f>IF(J179&lt;&gt;"Won","",IF(E179="",N(I179),I179-M179))</f>
        <v/>
      </c>
      <c r="O179" s="24" t="n"/>
    </row>
    <row r="180" ht="15" customHeight="1">
      <c r="A180" s="70" t="n"/>
      <c r="B180" s="24" t="n"/>
      <c r="C180" s="24" t="n"/>
      <c r="D180" s="24" t="n"/>
      <c r="E180" s="24" t="n"/>
      <c r="F180" s="25">
        <f>IF(E180="","",IF(COUNTIF(lst_Jobs,E180&amp;"")&gt;0,"OK","CHECK"))</f>
        <v/>
      </c>
      <c r="G180" s="24" t="n"/>
      <c r="H180" s="24" t="n"/>
      <c r="I180" s="26" t="n"/>
      <c r="J180" s="24" t="n"/>
      <c r="K180" s="22" t="n"/>
      <c r="L180" s="70" t="n"/>
      <c r="M180" s="27">
        <f>IF(E180="","",SUMIFS(tbl_Finance[Ex GST],tbl_Finance[Job Number],E180&amp;""))</f>
        <v/>
      </c>
      <c r="N180" s="27">
        <f>IF(J180&lt;&gt;"Won","",IF(E180="",N(I180),I180-M180))</f>
        <v/>
      </c>
      <c r="O180" s="24" t="n"/>
    </row>
    <row r="181" ht="15" customHeight="1">
      <c r="A181" s="70" t="n"/>
      <c r="B181" s="24" t="n"/>
      <c r="C181" s="24" t="n"/>
      <c r="D181" s="24" t="n"/>
      <c r="E181" s="24" t="n"/>
      <c r="F181" s="25">
        <f>IF(E181="","",IF(COUNTIF(lst_Jobs,E181&amp;"")&gt;0,"OK","CHECK"))</f>
        <v/>
      </c>
      <c r="G181" s="24" t="n"/>
      <c r="H181" s="24" t="n"/>
      <c r="I181" s="26" t="n"/>
      <c r="J181" s="24" t="n"/>
      <c r="K181" s="22" t="n"/>
      <c r="L181" s="70" t="n"/>
      <c r="M181" s="27">
        <f>IF(E181="","",SUMIFS(tbl_Finance[Ex GST],tbl_Finance[Job Number],E181&amp;""))</f>
        <v/>
      </c>
      <c r="N181" s="27">
        <f>IF(J181&lt;&gt;"Won","",IF(E181="",N(I181),I181-M181))</f>
        <v/>
      </c>
      <c r="O181" s="24" t="n"/>
    </row>
    <row r="182" ht="15" customHeight="1">
      <c r="A182" s="70" t="n"/>
      <c r="B182" s="24" t="n"/>
      <c r="C182" s="24" t="n"/>
      <c r="D182" s="24" t="n"/>
      <c r="E182" s="24" t="n"/>
      <c r="F182" s="25">
        <f>IF(E182="","",IF(COUNTIF(lst_Jobs,E182&amp;"")&gt;0,"OK","CHECK"))</f>
        <v/>
      </c>
      <c r="G182" s="24" t="n"/>
      <c r="H182" s="24" t="n"/>
      <c r="I182" s="26" t="n"/>
      <c r="J182" s="24" t="n"/>
      <c r="K182" s="22" t="n"/>
      <c r="L182" s="70" t="n"/>
      <c r="M182" s="27">
        <f>IF(E182="","",SUMIFS(tbl_Finance[Ex GST],tbl_Finance[Job Number],E182&amp;""))</f>
        <v/>
      </c>
      <c r="N182" s="27">
        <f>IF(J182&lt;&gt;"Won","",IF(E182="",N(I182),I182-M182))</f>
        <v/>
      </c>
      <c r="O182" s="24" t="n"/>
    </row>
    <row r="183" ht="15" customHeight="1">
      <c r="A183" s="70" t="n"/>
      <c r="B183" s="24" t="n"/>
      <c r="C183" s="24" t="n"/>
      <c r="D183" s="24" t="n"/>
      <c r="E183" s="24" t="n"/>
      <c r="F183" s="25">
        <f>IF(E183="","",IF(COUNTIF(lst_Jobs,E183&amp;"")&gt;0,"OK","CHECK"))</f>
        <v/>
      </c>
      <c r="G183" s="24" t="n"/>
      <c r="H183" s="24" t="n"/>
      <c r="I183" s="26" t="n"/>
      <c r="J183" s="24" t="n"/>
      <c r="K183" s="22" t="n"/>
      <c r="L183" s="70" t="n"/>
      <c r="M183" s="27">
        <f>IF(E183="","",SUMIFS(tbl_Finance[Ex GST],tbl_Finance[Job Number],E183&amp;""))</f>
        <v/>
      </c>
      <c r="N183" s="27">
        <f>IF(J183&lt;&gt;"Won","",IF(E183="",N(I183),I183-M183))</f>
        <v/>
      </c>
      <c r="O183" s="24" t="n"/>
    </row>
    <row r="184" ht="15" customHeight="1">
      <c r="A184" s="70" t="n"/>
      <c r="B184" s="24" t="n"/>
      <c r="C184" s="24" t="n"/>
      <c r="D184" s="24" t="n"/>
      <c r="E184" s="24" t="n"/>
      <c r="F184" s="25">
        <f>IF(E184="","",IF(COUNTIF(lst_Jobs,E184&amp;"")&gt;0,"OK","CHECK"))</f>
        <v/>
      </c>
      <c r="G184" s="24" t="n"/>
      <c r="H184" s="24" t="n"/>
      <c r="I184" s="26" t="n"/>
      <c r="J184" s="24" t="n"/>
      <c r="K184" s="22" t="n"/>
      <c r="L184" s="70" t="n"/>
      <c r="M184" s="27">
        <f>IF(E184="","",SUMIFS(tbl_Finance[Ex GST],tbl_Finance[Job Number],E184&amp;""))</f>
        <v/>
      </c>
      <c r="N184" s="27">
        <f>IF(J184&lt;&gt;"Won","",IF(E184="",N(I184),I184-M184))</f>
        <v/>
      </c>
      <c r="O184" s="24" t="n"/>
    </row>
    <row r="185" ht="15" customHeight="1">
      <c r="A185" s="70" t="n"/>
      <c r="B185" s="24" t="n"/>
      <c r="C185" s="24" t="n"/>
      <c r="D185" s="24" t="n"/>
      <c r="E185" s="24" t="n"/>
      <c r="F185" s="25">
        <f>IF(E185="","",IF(COUNTIF(lst_Jobs,E185&amp;"")&gt;0,"OK","CHECK"))</f>
        <v/>
      </c>
      <c r="G185" s="24" t="n"/>
      <c r="H185" s="24" t="n"/>
      <c r="I185" s="26" t="n"/>
      <c r="J185" s="24" t="n"/>
      <c r="K185" s="22" t="n"/>
      <c r="L185" s="70" t="n"/>
      <c r="M185" s="27">
        <f>IF(E185="","",SUMIFS(tbl_Finance[Ex GST],tbl_Finance[Job Number],E185&amp;""))</f>
        <v/>
      </c>
      <c r="N185" s="27">
        <f>IF(J185&lt;&gt;"Won","",IF(E185="",N(I185),I185-M185))</f>
        <v/>
      </c>
      <c r="O185" s="24" t="n"/>
    </row>
    <row r="186" ht="15" customHeight="1">
      <c r="A186" s="70" t="n"/>
      <c r="B186" s="24" t="n"/>
      <c r="C186" s="24" t="n"/>
      <c r="D186" s="24" t="n"/>
      <c r="E186" s="24" t="n"/>
      <c r="F186" s="25">
        <f>IF(E186="","",IF(COUNTIF(lst_Jobs,E186&amp;"")&gt;0,"OK","CHECK"))</f>
        <v/>
      </c>
      <c r="G186" s="24" t="n"/>
      <c r="H186" s="24" t="n"/>
      <c r="I186" s="26" t="n"/>
      <c r="J186" s="24" t="n"/>
      <c r="K186" s="22" t="n"/>
      <c r="L186" s="70" t="n"/>
      <c r="M186" s="27">
        <f>IF(E186="","",SUMIFS(tbl_Finance[Ex GST],tbl_Finance[Job Number],E186&amp;""))</f>
        <v/>
      </c>
      <c r="N186" s="27">
        <f>IF(J186&lt;&gt;"Won","",IF(E186="",N(I186),I186-M186))</f>
        <v/>
      </c>
      <c r="O186" s="24" t="n"/>
    </row>
    <row r="187" ht="15" customHeight="1">
      <c r="A187" s="70" t="n"/>
      <c r="B187" s="24" t="n"/>
      <c r="C187" s="24" t="n"/>
      <c r="D187" s="24" t="n"/>
      <c r="E187" s="24" t="n"/>
      <c r="F187" s="25">
        <f>IF(E187="","",IF(COUNTIF(lst_Jobs,E187&amp;"")&gt;0,"OK","CHECK"))</f>
        <v/>
      </c>
      <c r="G187" s="24" t="n"/>
      <c r="H187" s="24" t="n"/>
      <c r="I187" s="26" t="n"/>
      <c r="J187" s="24" t="n"/>
      <c r="K187" s="22" t="n"/>
      <c r="L187" s="70" t="n"/>
      <c r="M187" s="27">
        <f>IF(E187="","",SUMIFS(tbl_Finance[Ex GST],tbl_Finance[Job Number],E187&amp;""))</f>
        <v/>
      </c>
      <c r="N187" s="27">
        <f>IF(J187&lt;&gt;"Won","",IF(E187="",N(I187),I187-M187))</f>
        <v/>
      </c>
      <c r="O187" s="24" t="n"/>
    </row>
    <row r="188" ht="15" customHeight="1">
      <c r="A188" s="70" t="n"/>
      <c r="B188" s="24" t="n"/>
      <c r="C188" s="24" t="n"/>
      <c r="D188" s="24" t="n"/>
      <c r="E188" s="24" t="n"/>
      <c r="F188" s="25">
        <f>IF(E188="","",IF(COUNTIF(lst_Jobs,E188&amp;"")&gt;0,"OK","CHECK"))</f>
        <v/>
      </c>
      <c r="G188" s="24" t="n"/>
      <c r="H188" s="24" t="n"/>
      <c r="I188" s="26" t="n"/>
      <c r="J188" s="24" t="n"/>
      <c r="K188" s="22" t="n"/>
      <c r="L188" s="70" t="n"/>
      <c r="M188" s="27">
        <f>IF(E188="","",SUMIFS(tbl_Finance[Ex GST],tbl_Finance[Job Number],E188&amp;""))</f>
        <v/>
      </c>
      <c r="N188" s="27">
        <f>IF(J188&lt;&gt;"Won","",IF(E188="",N(I188),I188-M188))</f>
        <v/>
      </c>
      <c r="O188" s="24" t="n"/>
    </row>
    <row r="189" ht="15" customHeight="1">
      <c r="A189" s="70" t="n"/>
      <c r="B189" s="24" t="n"/>
      <c r="C189" s="24" t="n"/>
      <c r="D189" s="24" t="n"/>
      <c r="E189" s="24" t="n"/>
      <c r="F189" s="25">
        <f>IF(E189="","",IF(COUNTIF(lst_Jobs,E189&amp;"")&gt;0,"OK","CHECK"))</f>
        <v/>
      </c>
      <c r="G189" s="24" t="n"/>
      <c r="H189" s="24" t="n"/>
      <c r="I189" s="26" t="n"/>
      <c r="J189" s="24" t="n"/>
      <c r="K189" s="22" t="n"/>
      <c r="L189" s="70" t="n"/>
      <c r="M189" s="27">
        <f>IF(E189="","",SUMIFS(tbl_Finance[Ex GST],tbl_Finance[Job Number],E189&amp;""))</f>
        <v/>
      </c>
      <c r="N189" s="27">
        <f>IF(J189&lt;&gt;"Won","",IF(E189="",N(I189),I189-M189))</f>
        <v/>
      </c>
      <c r="O189" s="24" t="n"/>
    </row>
    <row r="190" ht="15" customHeight="1">
      <c r="A190" s="70" t="n"/>
      <c r="B190" s="24" t="n"/>
      <c r="C190" s="24" t="n"/>
      <c r="D190" s="24" t="n"/>
      <c r="E190" s="24" t="n"/>
      <c r="F190" s="25">
        <f>IF(E190="","",IF(COUNTIF(lst_Jobs,E190&amp;"")&gt;0,"OK","CHECK"))</f>
        <v/>
      </c>
      <c r="G190" s="24" t="n"/>
      <c r="H190" s="24" t="n"/>
      <c r="I190" s="26" t="n"/>
      <c r="J190" s="24" t="n"/>
      <c r="K190" s="22" t="n"/>
      <c r="L190" s="70" t="n"/>
      <c r="M190" s="27">
        <f>IF(E190="","",SUMIFS(tbl_Finance[Ex GST],tbl_Finance[Job Number],E190&amp;""))</f>
        <v/>
      </c>
      <c r="N190" s="27">
        <f>IF(J190&lt;&gt;"Won","",IF(E190="",N(I190),I190-M190))</f>
        <v/>
      </c>
      <c r="O190" s="24" t="n"/>
    </row>
    <row r="191" ht="15" customHeight="1">
      <c r="A191" s="70" t="n"/>
      <c r="B191" s="24" t="n"/>
      <c r="C191" s="24" t="n"/>
      <c r="D191" s="24" t="n"/>
      <c r="E191" s="24" t="n"/>
      <c r="F191" s="25">
        <f>IF(E191="","",IF(COUNTIF(lst_Jobs,E191&amp;"")&gt;0,"OK","CHECK"))</f>
        <v/>
      </c>
      <c r="G191" s="24" t="n"/>
      <c r="H191" s="24" t="n"/>
      <c r="I191" s="26" t="n"/>
      <c r="J191" s="24" t="n"/>
      <c r="K191" s="22" t="n"/>
      <c r="L191" s="70" t="n"/>
      <c r="M191" s="27">
        <f>IF(E191="","",SUMIFS(tbl_Finance[Ex GST],tbl_Finance[Job Number],E191&amp;""))</f>
        <v/>
      </c>
      <c r="N191" s="27">
        <f>IF(J191&lt;&gt;"Won","",IF(E191="",N(I191),I191-M191))</f>
        <v/>
      </c>
      <c r="O191" s="24" t="n"/>
    </row>
    <row r="192" ht="15" customHeight="1">
      <c r="A192" s="70" t="n"/>
      <c r="B192" s="24" t="n"/>
      <c r="C192" s="24" t="n"/>
      <c r="D192" s="24" t="n"/>
      <c r="E192" s="24" t="n"/>
      <c r="F192" s="25">
        <f>IF(E192="","",IF(COUNTIF(lst_Jobs,E192&amp;"")&gt;0,"OK","CHECK"))</f>
        <v/>
      </c>
      <c r="G192" s="24" t="n"/>
      <c r="H192" s="24" t="n"/>
      <c r="I192" s="26" t="n"/>
      <c r="J192" s="24" t="n"/>
      <c r="K192" s="22" t="n"/>
      <c r="L192" s="70" t="n"/>
      <c r="M192" s="27">
        <f>IF(E192="","",SUMIFS(tbl_Finance[Ex GST],tbl_Finance[Job Number],E192&amp;""))</f>
        <v/>
      </c>
      <c r="N192" s="27">
        <f>IF(J192&lt;&gt;"Won","",IF(E192="",N(I192),I192-M192))</f>
        <v/>
      </c>
      <c r="O192" s="24" t="n"/>
    </row>
    <row r="193" ht="15" customHeight="1">
      <c r="A193" s="70" t="n"/>
      <c r="B193" s="24" t="n"/>
      <c r="C193" s="24" t="n"/>
      <c r="D193" s="24" t="n"/>
      <c r="E193" s="24" t="n"/>
      <c r="F193" s="25">
        <f>IF(E193="","",IF(COUNTIF(lst_Jobs,E193&amp;"")&gt;0,"OK","CHECK"))</f>
        <v/>
      </c>
      <c r="G193" s="24" t="n"/>
      <c r="H193" s="24" t="n"/>
      <c r="I193" s="26" t="n"/>
      <c r="J193" s="24" t="n"/>
      <c r="K193" s="22" t="n"/>
      <c r="L193" s="70" t="n"/>
      <c r="M193" s="27">
        <f>IF(E193="","",SUMIFS(tbl_Finance[Ex GST],tbl_Finance[Job Number],E193&amp;""))</f>
        <v/>
      </c>
      <c r="N193" s="27">
        <f>IF(J193&lt;&gt;"Won","",IF(E193="",N(I193),I193-M193))</f>
        <v/>
      </c>
      <c r="O193" s="24" t="n"/>
    </row>
    <row r="194" ht="15" customHeight="1">
      <c r="A194" s="70" t="n"/>
      <c r="B194" s="24" t="n"/>
      <c r="C194" s="24" t="n"/>
      <c r="D194" s="24" t="n"/>
      <c r="E194" s="24" t="n"/>
      <c r="F194" s="25">
        <f>IF(E194="","",IF(COUNTIF(lst_Jobs,E194&amp;"")&gt;0,"OK","CHECK"))</f>
        <v/>
      </c>
      <c r="G194" s="24" t="n"/>
      <c r="H194" s="24" t="n"/>
      <c r="I194" s="26" t="n"/>
      <c r="J194" s="24" t="n"/>
      <c r="K194" s="22" t="n"/>
      <c r="L194" s="70" t="n"/>
      <c r="M194" s="27">
        <f>IF(E194="","",SUMIFS(tbl_Finance[Ex GST],tbl_Finance[Job Number],E194&amp;""))</f>
        <v/>
      </c>
      <c r="N194" s="27">
        <f>IF(J194&lt;&gt;"Won","",IF(E194="",N(I194),I194-M194))</f>
        <v/>
      </c>
      <c r="O194" s="24" t="n"/>
    </row>
    <row r="195" ht="15" customHeight="1">
      <c r="A195" s="70" t="n"/>
      <c r="B195" s="24" t="n"/>
      <c r="C195" s="24" t="n"/>
      <c r="D195" s="24" t="n"/>
      <c r="E195" s="24" t="n"/>
      <c r="F195" s="25">
        <f>IF(E195="","",IF(COUNTIF(lst_Jobs,E195&amp;"")&gt;0,"OK","CHECK"))</f>
        <v/>
      </c>
      <c r="G195" s="24" t="n"/>
      <c r="H195" s="24" t="n"/>
      <c r="I195" s="26" t="n"/>
      <c r="J195" s="24" t="n"/>
      <c r="K195" s="22" t="n"/>
      <c r="L195" s="70" t="n"/>
      <c r="M195" s="27">
        <f>IF(E195="","",SUMIFS(tbl_Finance[Ex GST],tbl_Finance[Job Number],E195&amp;""))</f>
        <v/>
      </c>
      <c r="N195" s="27">
        <f>IF(J195&lt;&gt;"Won","",IF(E195="",N(I195),I195-M195))</f>
        <v/>
      </c>
      <c r="O195" s="24" t="n"/>
    </row>
    <row r="196" ht="15" customHeight="1">
      <c r="A196" s="70" t="n"/>
      <c r="B196" s="24" t="n"/>
      <c r="C196" s="24" t="n"/>
      <c r="D196" s="24" t="n"/>
      <c r="E196" s="24" t="n"/>
      <c r="F196" s="25">
        <f>IF(E196="","",IF(COUNTIF(lst_Jobs,E196&amp;"")&gt;0,"OK","CHECK"))</f>
        <v/>
      </c>
      <c r="G196" s="24" t="n"/>
      <c r="H196" s="24" t="n"/>
      <c r="I196" s="26" t="n"/>
      <c r="J196" s="24" t="n"/>
      <c r="K196" s="22" t="n"/>
      <c r="L196" s="70" t="n"/>
      <c r="M196" s="27">
        <f>IF(E196="","",SUMIFS(tbl_Finance[Ex GST],tbl_Finance[Job Number],E196&amp;""))</f>
        <v/>
      </c>
      <c r="N196" s="27">
        <f>IF(J196&lt;&gt;"Won","",IF(E196="",N(I196),I196-M196))</f>
        <v/>
      </c>
      <c r="O196" s="24" t="n"/>
    </row>
    <row r="197" ht="15" customHeight="1">
      <c r="A197" s="70" t="n"/>
      <c r="B197" s="24" t="n"/>
      <c r="C197" s="24" t="n"/>
      <c r="D197" s="24" t="n"/>
      <c r="E197" s="24" t="n"/>
      <c r="F197" s="25">
        <f>IF(E197="","",IF(COUNTIF(lst_Jobs,E197&amp;"")&gt;0,"OK","CHECK"))</f>
        <v/>
      </c>
      <c r="G197" s="24" t="n"/>
      <c r="H197" s="24" t="n"/>
      <c r="I197" s="26" t="n"/>
      <c r="J197" s="24" t="n"/>
      <c r="K197" s="22" t="n"/>
      <c r="L197" s="70" t="n"/>
      <c r="M197" s="27">
        <f>IF(E197="","",SUMIFS(tbl_Finance[Ex GST],tbl_Finance[Job Number],E197&amp;""))</f>
        <v/>
      </c>
      <c r="N197" s="27">
        <f>IF(J197&lt;&gt;"Won","",IF(E197="",N(I197),I197-M197))</f>
        <v/>
      </c>
      <c r="O197" s="24" t="n"/>
    </row>
    <row r="198" ht="15" customHeight="1">
      <c r="A198" s="70" t="n"/>
      <c r="B198" s="24" t="n"/>
      <c r="C198" s="24" t="n"/>
      <c r="D198" s="24" t="n"/>
      <c r="E198" s="24" t="n"/>
      <c r="F198" s="25">
        <f>IF(E198="","",IF(COUNTIF(lst_Jobs,E198&amp;"")&gt;0,"OK","CHECK"))</f>
        <v/>
      </c>
      <c r="G198" s="24" t="n"/>
      <c r="H198" s="24" t="n"/>
      <c r="I198" s="26" t="n"/>
      <c r="J198" s="24" t="n"/>
      <c r="K198" s="22" t="n"/>
      <c r="L198" s="70" t="n"/>
      <c r="M198" s="27">
        <f>IF(E198="","",SUMIFS(tbl_Finance[Ex GST],tbl_Finance[Job Number],E198&amp;""))</f>
        <v/>
      </c>
      <c r="N198" s="27">
        <f>IF(J198&lt;&gt;"Won","",IF(E198="",N(I198),I198-M198))</f>
        <v/>
      </c>
      <c r="O198" s="24" t="n"/>
    </row>
    <row r="199" ht="15" customHeight="1">
      <c r="A199" s="70" t="n"/>
      <c r="B199" s="24" t="n"/>
      <c r="C199" s="24" t="n"/>
      <c r="D199" s="24" t="n"/>
      <c r="E199" s="24" t="n"/>
      <c r="F199" s="25">
        <f>IF(E199="","",IF(COUNTIF(lst_Jobs,E199&amp;"")&gt;0,"OK","CHECK"))</f>
        <v/>
      </c>
      <c r="G199" s="24" t="n"/>
      <c r="H199" s="24" t="n"/>
      <c r="I199" s="26" t="n"/>
      <c r="J199" s="24" t="n"/>
      <c r="K199" s="22" t="n"/>
      <c r="L199" s="70" t="n"/>
      <c r="M199" s="27">
        <f>IF(E199="","",SUMIFS(tbl_Finance[Ex GST],tbl_Finance[Job Number],E199&amp;""))</f>
        <v/>
      </c>
      <c r="N199" s="27">
        <f>IF(J199&lt;&gt;"Won","",IF(E199="",N(I199),I199-M199))</f>
        <v/>
      </c>
      <c r="O199" s="24" t="n"/>
    </row>
    <row r="200" ht="15" customHeight="1">
      <c r="A200" s="70" t="n"/>
      <c r="B200" s="24" t="n"/>
      <c r="C200" s="24" t="n"/>
      <c r="D200" s="24" t="n"/>
      <c r="E200" s="24" t="n"/>
      <c r="F200" s="25">
        <f>IF(E200="","",IF(COUNTIF(lst_Jobs,E200&amp;"")&gt;0,"OK","CHECK"))</f>
        <v/>
      </c>
      <c r="G200" s="24" t="n"/>
      <c r="H200" s="24" t="n"/>
      <c r="I200" s="26" t="n"/>
      <c r="J200" s="24" t="n"/>
      <c r="K200" s="22" t="n"/>
      <c r="L200" s="70" t="n"/>
      <c r="M200" s="27">
        <f>IF(E200="","",SUMIFS(tbl_Finance[Ex GST],tbl_Finance[Job Number],E200&amp;""))</f>
        <v/>
      </c>
      <c r="N200" s="27">
        <f>IF(J200&lt;&gt;"Won","",IF(E200="",N(I200),I200-M200))</f>
        <v/>
      </c>
      <c r="O200" s="24" t="n"/>
    </row>
    <row r="201" ht="15" customHeight="1">
      <c r="A201" s="70" t="n"/>
      <c r="B201" s="24" t="n"/>
      <c r="C201" s="24" t="n"/>
      <c r="D201" s="24" t="n"/>
      <c r="E201" s="24" t="n"/>
      <c r="F201" s="25">
        <f>IF(E201="","",IF(COUNTIF(lst_Jobs,E201&amp;"")&gt;0,"OK","CHECK"))</f>
        <v/>
      </c>
      <c r="G201" s="24" t="n"/>
      <c r="H201" s="24" t="n"/>
      <c r="I201" s="26" t="n"/>
      <c r="J201" s="24" t="n"/>
      <c r="K201" s="22" t="n"/>
      <c r="L201" s="70" t="n"/>
      <c r="M201" s="27">
        <f>IF(E201="","",SUMIFS(tbl_Finance[Ex GST],tbl_Finance[Job Number],E201&amp;""))</f>
        <v/>
      </c>
      <c r="N201" s="27">
        <f>IF(J201&lt;&gt;"Won","",IF(E201="",N(I201),I201-M201))</f>
        <v/>
      </c>
      <c r="O201" s="24" t="n"/>
    </row>
    <row r="202" ht="15" customHeight="1">
      <c r="A202" s="70" t="n"/>
      <c r="B202" s="24" t="n"/>
      <c r="C202" s="24" t="n"/>
      <c r="D202" s="24" t="n"/>
      <c r="E202" s="24" t="n"/>
      <c r="F202" s="25">
        <f>IF(E202="","",IF(COUNTIF(lst_Jobs,E202&amp;"")&gt;0,"OK","CHECK"))</f>
        <v/>
      </c>
      <c r="G202" s="24" t="n"/>
      <c r="H202" s="24" t="n"/>
      <c r="I202" s="26" t="n"/>
      <c r="J202" s="24" t="n"/>
      <c r="K202" s="22" t="n"/>
      <c r="L202" s="70" t="n"/>
      <c r="M202" s="27">
        <f>IF(E202="","",SUMIFS(tbl_Finance[Ex GST],tbl_Finance[Job Number],E202&amp;""))</f>
        <v/>
      </c>
      <c r="N202" s="27">
        <f>IF(J202&lt;&gt;"Won","",IF(E202="",N(I202),I202-M202))</f>
        <v/>
      </c>
      <c r="O202" s="24" t="n"/>
    </row>
    <row r="203" ht="15" customHeight="1">
      <c r="A203" s="70" t="n"/>
      <c r="B203" s="24" t="n"/>
      <c r="C203" s="24" t="n"/>
      <c r="D203" s="24" t="n"/>
      <c r="E203" s="24" t="n"/>
      <c r="F203" s="25">
        <f>IF(E203="","",IF(COUNTIF(lst_Jobs,E203&amp;"")&gt;0,"OK","CHECK"))</f>
        <v/>
      </c>
      <c r="G203" s="24" t="n"/>
      <c r="H203" s="24" t="n"/>
      <c r="I203" s="26" t="n"/>
      <c r="J203" s="24" t="n"/>
      <c r="K203" s="22" t="n"/>
      <c r="L203" s="70" t="n"/>
      <c r="M203" s="27">
        <f>IF(E203="","",SUMIFS(tbl_Finance[Ex GST],tbl_Finance[Job Number],E203&amp;""))</f>
        <v/>
      </c>
      <c r="N203" s="27">
        <f>IF(J203&lt;&gt;"Won","",IF(E203="",N(I203),I203-M203))</f>
        <v/>
      </c>
      <c r="O203" s="24" t="n"/>
    </row>
    <row r="204" ht="15" customHeight="1">
      <c r="A204" s="70" t="n"/>
      <c r="B204" s="24" t="n"/>
      <c r="C204" s="24" t="n"/>
      <c r="D204" s="24" t="n"/>
      <c r="E204" s="24" t="n"/>
      <c r="F204" s="25">
        <f>IF(E204="","",IF(COUNTIF(lst_Jobs,E204&amp;"")&gt;0,"OK","CHECK"))</f>
        <v/>
      </c>
      <c r="G204" s="24" t="n"/>
      <c r="H204" s="24" t="n"/>
      <c r="I204" s="26" t="n"/>
      <c r="J204" s="24" t="n"/>
      <c r="K204" s="22" t="n"/>
      <c r="L204" s="70" t="n"/>
      <c r="M204" s="27">
        <f>IF(E204="","",SUMIFS(tbl_Finance[Ex GST],tbl_Finance[Job Number],E204&amp;""))</f>
        <v/>
      </c>
      <c r="N204" s="27">
        <f>IF(J204&lt;&gt;"Won","",IF(E204="",N(I204),I204-M204))</f>
        <v/>
      </c>
      <c r="O204" s="24" t="n"/>
    </row>
    <row r="205" ht="15" customHeight="1">
      <c r="A205" s="70" t="n"/>
      <c r="B205" s="24" t="n"/>
      <c r="C205" s="24" t="n"/>
      <c r="D205" s="24" t="n"/>
      <c r="E205" s="24" t="n"/>
      <c r="F205" s="25">
        <f>IF(E205="","",IF(COUNTIF(lst_Jobs,E205&amp;"")&gt;0,"OK","CHECK"))</f>
        <v/>
      </c>
      <c r="G205" s="24" t="n"/>
      <c r="H205" s="24" t="n"/>
      <c r="I205" s="26" t="n"/>
      <c r="J205" s="24" t="n"/>
      <c r="K205" s="22" t="n"/>
      <c r="L205" s="70" t="n"/>
      <c r="M205" s="27">
        <f>IF(E205="","",SUMIFS(tbl_Finance[Ex GST],tbl_Finance[Job Number],E205&amp;""))</f>
        <v/>
      </c>
      <c r="N205" s="27">
        <f>IF(J205&lt;&gt;"Won","",IF(E205="",N(I205),I205-M205))</f>
        <v/>
      </c>
      <c r="O205" s="24" t="n"/>
    </row>
    <row r="206" ht="15" customHeight="1">
      <c r="A206" s="70" t="n"/>
      <c r="B206" s="24" t="n"/>
      <c r="C206" s="24" t="n"/>
      <c r="D206" s="24" t="n"/>
      <c r="E206" s="24" t="n"/>
      <c r="F206" s="25">
        <f>IF(E206="","",IF(COUNTIF(lst_Jobs,E206&amp;"")&gt;0,"OK","CHECK"))</f>
        <v/>
      </c>
      <c r="G206" s="24" t="n"/>
      <c r="H206" s="24" t="n"/>
      <c r="I206" s="26" t="n"/>
      <c r="J206" s="24" t="n"/>
      <c r="K206" s="22" t="n"/>
      <c r="L206" s="70" t="n"/>
      <c r="M206" s="27">
        <f>IF(E206="","",SUMIFS(tbl_Finance[Ex GST],tbl_Finance[Job Number],E206&amp;""))</f>
        <v/>
      </c>
      <c r="N206" s="27">
        <f>IF(J206&lt;&gt;"Won","",IF(E206="",N(I206),I206-M206))</f>
        <v/>
      </c>
      <c r="O206" s="24" t="n"/>
    </row>
    <row r="207" ht="15" customHeight="1">
      <c r="A207" s="70" t="n"/>
      <c r="B207" s="24" t="n"/>
      <c r="C207" s="24" t="n"/>
      <c r="D207" s="24" t="n"/>
      <c r="E207" s="24" t="n"/>
      <c r="F207" s="25">
        <f>IF(E207="","",IF(COUNTIF(lst_Jobs,E207&amp;"")&gt;0,"OK","CHECK"))</f>
        <v/>
      </c>
      <c r="G207" s="24" t="n"/>
      <c r="H207" s="24" t="n"/>
      <c r="I207" s="26" t="n"/>
      <c r="J207" s="24" t="n"/>
      <c r="K207" s="22" t="n"/>
      <c r="L207" s="70" t="n"/>
      <c r="M207" s="27">
        <f>IF(E207="","",SUMIFS(tbl_Finance[Ex GST],tbl_Finance[Job Number],E207&amp;""))</f>
        <v/>
      </c>
      <c r="N207" s="27">
        <f>IF(J207&lt;&gt;"Won","",IF(E207="",N(I207),I207-M207))</f>
        <v/>
      </c>
      <c r="O207" s="24" t="n"/>
    </row>
    <row r="208" ht="15" customHeight="1">
      <c r="A208" s="70" t="n"/>
      <c r="B208" s="24" t="n"/>
      <c r="C208" s="24" t="n"/>
      <c r="D208" s="24" t="n"/>
      <c r="E208" s="24" t="n"/>
      <c r="F208" s="25">
        <f>IF(E208="","",IF(COUNTIF(lst_Jobs,E208&amp;"")&gt;0,"OK","CHECK"))</f>
        <v/>
      </c>
      <c r="G208" s="24" t="n"/>
      <c r="H208" s="24" t="n"/>
      <c r="I208" s="26" t="n"/>
      <c r="J208" s="24" t="n"/>
      <c r="K208" s="22" t="n"/>
      <c r="L208" s="70" t="n"/>
      <c r="M208" s="27">
        <f>IF(E208="","",SUMIFS(tbl_Finance[Ex GST],tbl_Finance[Job Number],E208&amp;""))</f>
        <v/>
      </c>
      <c r="N208" s="27">
        <f>IF(J208&lt;&gt;"Won","",IF(E208="",N(I208),I208-M208))</f>
        <v/>
      </c>
      <c r="O208" s="24" t="n"/>
    </row>
    <row r="209" ht="15" customHeight="1">
      <c r="A209" s="70" t="n"/>
      <c r="B209" s="24" t="n"/>
      <c r="C209" s="24" t="n"/>
      <c r="D209" s="24" t="n"/>
      <c r="E209" s="24" t="n"/>
      <c r="F209" s="25">
        <f>IF(E209="","",IF(COUNTIF(lst_Jobs,E209&amp;"")&gt;0,"OK","CHECK"))</f>
        <v/>
      </c>
      <c r="G209" s="24" t="n"/>
      <c r="H209" s="24" t="n"/>
      <c r="I209" s="26" t="n"/>
      <c r="J209" s="24" t="n"/>
      <c r="K209" s="22" t="n"/>
      <c r="L209" s="70" t="n"/>
      <c r="M209" s="27">
        <f>IF(E209="","",SUMIFS(tbl_Finance[Ex GST],tbl_Finance[Job Number],E209&amp;""))</f>
        <v/>
      </c>
      <c r="N209" s="27">
        <f>IF(J209&lt;&gt;"Won","",IF(E209="",N(I209),I209-M209))</f>
        <v/>
      </c>
      <c r="O209" s="24" t="n"/>
    </row>
    <row r="210" ht="15" customHeight="1">
      <c r="A210" s="70" t="n"/>
      <c r="B210" s="24" t="n"/>
      <c r="C210" s="24" t="n"/>
      <c r="D210" s="24" t="n"/>
      <c r="E210" s="24" t="n"/>
      <c r="F210" s="25">
        <f>IF(E210="","",IF(COUNTIF(lst_Jobs,E210&amp;"")&gt;0,"OK","CHECK"))</f>
        <v/>
      </c>
      <c r="G210" s="24" t="n"/>
      <c r="H210" s="24" t="n"/>
      <c r="I210" s="26" t="n"/>
      <c r="J210" s="24" t="n"/>
      <c r="K210" s="22" t="n"/>
      <c r="L210" s="70" t="n"/>
      <c r="M210" s="27">
        <f>IF(E210="","",SUMIFS(tbl_Finance[Ex GST],tbl_Finance[Job Number],E210&amp;""))</f>
        <v/>
      </c>
      <c r="N210" s="27">
        <f>IF(J210&lt;&gt;"Won","",IF(E210="",N(I210),I210-M210))</f>
        <v/>
      </c>
      <c r="O210" s="24" t="n"/>
    </row>
    <row r="211" ht="15" customHeight="1">
      <c r="A211" s="70" t="n"/>
      <c r="B211" s="24" t="n"/>
      <c r="C211" s="24" t="n"/>
      <c r="D211" s="24" t="n"/>
      <c r="E211" s="24" t="n"/>
      <c r="F211" s="25">
        <f>IF(E211="","",IF(COUNTIF(lst_Jobs,E211&amp;"")&gt;0,"OK","CHECK"))</f>
        <v/>
      </c>
      <c r="G211" s="24" t="n"/>
      <c r="H211" s="24" t="n"/>
      <c r="I211" s="26" t="n"/>
      <c r="J211" s="24" t="n"/>
      <c r="K211" s="22" t="n"/>
      <c r="L211" s="70" t="n"/>
      <c r="M211" s="27">
        <f>IF(E211="","",SUMIFS(tbl_Finance[Ex GST],tbl_Finance[Job Number],E211&amp;""))</f>
        <v/>
      </c>
      <c r="N211" s="27">
        <f>IF(J211&lt;&gt;"Won","",IF(E211="",N(I211),I211-M211))</f>
        <v/>
      </c>
      <c r="O211" s="24" t="n"/>
    </row>
    <row r="212" ht="15" customHeight="1">
      <c r="A212" s="70" t="n"/>
      <c r="B212" s="24" t="n"/>
      <c r="C212" s="24" t="n"/>
      <c r="D212" s="24" t="n"/>
      <c r="E212" s="24" t="n"/>
      <c r="F212" s="25">
        <f>IF(E212="","",IF(COUNTIF(lst_Jobs,E212&amp;"")&gt;0,"OK","CHECK"))</f>
        <v/>
      </c>
      <c r="G212" s="24" t="n"/>
      <c r="H212" s="24" t="n"/>
      <c r="I212" s="26" t="n"/>
      <c r="J212" s="24" t="n"/>
      <c r="K212" s="22" t="n"/>
      <c r="L212" s="70" t="n"/>
      <c r="M212" s="27">
        <f>IF(E212="","",SUMIFS(tbl_Finance[Ex GST],tbl_Finance[Job Number],E212&amp;""))</f>
        <v/>
      </c>
      <c r="N212" s="27">
        <f>IF(J212&lt;&gt;"Won","",IF(E212="",N(I212),I212-M212))</f>
        <v/>
      </c>
      <c r="O212" s="24" t="n"/>
    </row>
    <row r="213" ht="15" customHeight="1">
      <c r="A213" s="70" t="n"/>
      <c r="B213" s="24" t="n"/>
      <c r="C213" s="24" t="n"/>
      <c r="D213" s="24" t="n"/>
      <c r="E213" s="24" t="n"/>
      <c r="F213" s="25">
        <f>IF(E213="","",IF(COUNTIF(lst_Jobs,E213&amp;"")&gt;0,"OK","CHECK"))</f>
        <v/>
      </c>
      <c r="G213" s="24" t="n"/>
      <c r="H213" s="24" t="n"/>
      <c r="I213" s="26" t="n"/>
      <c r="J213" s="24" t="n"/>
      <c r="K213" s="22" t="n"/>
      <c r="L213" s="70" t="n"/>
      <c r="M213" s="27">
        <f>IF(E213="","",SUMIFS(tbl_Finance[Ex GST],tbl_Finance[Job Number],E213&amp;""))</f>
        <v/>
      </c>
      <c r="N213" s="27">
        <f>IF(J213&lt;&gt;"Won","",IF(E213="",N(I213),I213-M213))</f>
        <v/>
      </c>
      <c r="O213" s="24" t="n"/>
    </row>
    <row r="214" ht="15" customHeight="1">
      <c r="A214" s="70" t="n"/>
      <c r="B214" s="24" t="n"/>
      <c r="C214" s="24" t="n"/>
      <c r="D214" s="24" t="n"/>
      <c r="E214" s="24" t="n"/>
      <c r="F214" s="25">
        <f>IF(E214="","",IF(COUNTIF(lst_Jobs,E214&amp;"")&gt;0,"OK","CHECK"))</f>
        <v/>
      </c>
      <c r="G214" s="24" t="n"/>
      <c r="H214" s="24" t="n"/>
      <c r="I214" s="26" t="n"/>
      <c r="J214" s="24" t="n"/>
      <c r="K214" s="22" t="n"/>
      <c r="L214" s="70" t="n"/>
      <c r="M214" s="27">
        <f>IF(E214="","",SUMIFS(tbl_Finance[Ex GST],tbl_Finance[Job Number],E214&amp;""))</f>
        <v/>
      </c>
      <c r="N214" s="27">
        <f>IF(J214&lt;&gt;"Won","",IF(E214="",N(I214),I214-M214))</f>
        <v/>
      </c>
      <c r="O214" s="24" t="n"/>
    </row>
    <row r="215" ht="15" customHeight="1">
      <c r="A215" s="70" t="n"/>
      <c r="B215" s="24" t="n"/>
      <c r="C215" s="24" t="n"/>
      <c r="D215" s="24" t="n"/>
      <c r="E215" s="24" t="n"/>
      <c r="F215" s="25">
        <f>IF(E215="","",IF(COUNTIF(lst_Jobs,E215&amp;"")&gt;0,"OK","CHECK"))</f>
        <v/>
      </c>
      <c r="G215" s="24" t="n"/>
      <c r="H215" s="24" t="n"/>
      <c r="I215" s="26" t="n"/>
      <c r="J215" s="24" t="n"/>
      <c r="K215" s="22" t="n"/>
      <c r="L215" s="70" t="n"/>
      <c r="M215" s="27">
        <f>IF(E215="","",SUMIFS(tbl_Finance[Ex GST],tbl_Finance[Job Number],E215&amp;""))</f>
        <v/>
      </c>
      <c r="N215" s="27">
        <f>IF(J215&lt;&gt;"Won","",IF(E215="",N(I215),I215-M215))</f>
        <v/>
      </c>
      <c r="O215" s="24" t="n"/>
    </row>
    <row r="216" ht="15" customHeight="1">
      <c r="A216" s="70" t="n"/>
      <c r="B216" s="24" t="n"/>
      <c r="C216" s="24" t="n"/>
      <c r="D216" s="24" t="n"/>
      <c r="E216" s="24" t="n"/>
      <c r="F216" s="25">
        <f>IF(E216="","",IF(COUNTIF(lst_Jobs,E216&amp;"")&gt;0,"OK","CHECK"))</f>
        <v/>
      </c>
      <c r="G216" s="24" t="n"/>
      <c r="H216" s="24" t="n"/>
      <c r="I216" s="26" t="n"/>
      <c r="J216" s="24" t="n"/>
      <c r="K216" s="22" t="n"/>
      <c r="L216" s="70" t="n"/>
      <c r="M216" s="27">
        <f>IF(E216="","",SUMIFS(tbl_Finance[Ex GST],tbl_Finance[Job Number],E216&amp;""))</f>
        <v/>
      </c>
      <c r="N216" s="27">
        <f>IF(J216&lt;&gt;"Won","",IF(E216="",N(I216),I216-M216))</f>
        <v/>
      </c>
      <c r="O216" s="24" t="n"/>
    </row>
    <row r="217" ht="15" customHeight="1">
      <c r="A217" s="70" t="n"/>
      <c r="B217" s="24" t="n"/>
      <c r="C217" s="24" t="n"/>
      <c r="D217" s="24" t="n"/>
      <c r="E217" s="24" t="n"/>
      <c r="F217" s="25">
        <f>IF(E217="","",IF(COUNTIF(lst_Jobs,E217&amp;"")&gt;0,"OK","CHECK"))</f>
        <v/>
      </c>
      <c r="G217" s="24" t="n"/>
      <c r="H217" s="24" t="n"/>
      <c r="I217" s="26" t="n"/>
      <c r="J217" s="24" t="n"/>
      <c r="K217" s="22" t="n"/>
      <c r="L217" s="70" t="n"/>
      <c r="M217" s="27">
        <f>IF(E217="","",SUMIFS(tbl_Finance[Ex GST],tbl_Finance[Job Number],E217&amp;""))</f>
        <v/>
      </c>
      <c r="N217" s="27">
        <f>IF(J217&lt;&gt;"Won","",IF(E217="",N(I217),I217-M217))</f>
        <v/>
      </c>
      <c r="O217" s="24" t="n"/>
    </row>
    <row r="218" ht="15" customHeight="1">
      <c r="A218" s="70" t="n"/>
      <c r="B218" s="24" t="n"/>
      <c r="C218" s="24" t="n"/>
      <c r="D218" s="24" t="n"/>
      <c r="E218" s="24" t="n"/>
      <c r="F218" s="25">
        <f>IF(E218="","",IF(COUNTIF(lst_Jobs,E218&amp;"")&gt;0,"OK","CHECK"))</f>
        <v/>
      </c>
      <c r="G218" s="24" t="n"/>
      <c r="H218" s="24" t="n"/>
      <c r="I218" s="26" t="n"/>
      <c r="J218" s="24" t="n"/>
      <c r="K218" s="22" t="n"/>
      <c r="L218" s="70" t="n"/>
      <c r="M218" s="27">
        <f>IF(E218="","",SUMIFS(tbl_Finance[Ex GST],tbl_Finance[Job Number],E218&amp;""))</f>
        <v/>
      </c>
      <c r="N218" s="27">
        <f>IF(J218&lt;&gt;"Won","",IF(E218="",N(I218),I218-M218))</f>
        <v/>
      </c>
      <c r="O218" s="24" t="n"/>
    </row>
    <row r="219" ht="15" customHeight="1">
      <c r="A219" s="70" t="n"/>
      <c r="B219" s="24" t="n"/>
      <c r="C219" s="24" t="n"/>
      <c r="D219" s="24" t="n"/>
      <c r="E219" s="24" t="n"/>
      <c r="F219" s="25">
        <f>IF(E219="","",IF(COUNTIF(lst_Jobs,E219&amp;"")&gt;0,"OK","CHECK"))</f>
        <v/>
      </c>
      <c r="G219" s="24" t="n"/>
      <c r="H219" s="24" t="n"/>
      <c r="I219" s="26" t="n"/>
      <c r="J219" s="24" t="n"/>
      <c r="K219" s="22" t="n"/>
      <c r="L219" s="70" t="n"/>
      <c r="M219" s="27">
        <f>IF(E219="","",SUMIFS(tbl_Finance[Ex GST],tbl_Finance[Job Number],E219&amp;""))</f>
        <v/>
      </c>
      <c r="N219" s="27">
        <f>IF(J219&lt;&gt;"Won","",IF(E219="",N(I219),I219-M219))</f>
        <v/>
      </c>
      <c r="O219" s="24" t="n"/>
    </row>
    <row r="220" ht="15" customHeight="1">
      <c r="A220" s="70" t="n"/>
      <c r="B220" s="24" t="n"/>
      <c r="C220" s="24" t="n"/>
      <c r="D220" s="24" t="n"/>
      <c r="E220" s="24" t="n"/>
      <c r="F220" s="25">
        <f>IF(E220="","",IF(COUNTIF(lst_Jobs,E220&amp;"")&gt;0,"OK","CHECK"))</f>
        <v/>
      </c>
      <c r="G220" s="24" t="n"/>
      <c r="H220" s="24" t="n"/>
      <c r="I220" s="26" t="n"/>
      <c r="J220" s="24" t="n"/>
      <c r="K220" s="22" t="n"/>
      <c r="L220" s="70" t="n"/>
      <c r="M220" s="27">
        <f>IF(E220="","",SUMIFS(tbl_Finance[Ex GST],tbl_Finance[Job Number],E220&amp;""))</f>
        <v/>
      </c>
      <c r="N220" s="27">
        <f>IF(J220&lt;&gt;"Won","",IF(E220="",N(I220),I220-M220))</f>
        <v/>
      </c>
      <c r="O220" s="24" t="n"/>
    </row>
    <row r="221" ht="15" customHeight="1">
      <c r="A221" s="70" t="n"/>
      <c r="B221" s="24" t="n"/>
      <c r="C221" s="24" t="n"/>
      <c r="D221" s="24" t="n"/>
      <c r="E221" s="24" t="n"/>
      <c r="F221" s="25">
        <f>IF(E221="","",IF(COUNTIF(lst_Jobs,E221&amp;"")&gt;0,"OK","CHECK"))</f>
        <v/>
      </c>
      <c r="G221" s="24" t="n"/>
      <c r="H221" s="24" t="n"/>
      <c r="I221" s="26" t="n"/>
      <c r="J221" s="24" t="n"/>
      <c r="K221" s="22" t="n"/>
      <c r="L221" s="70" t="n"/>
      <c r="M221" s="27">
        <f>IF(E221="","",SUMIFS(tbl_Finance[Ex GST],tbl_Finance[Job Number],E221&amp;""))</f>
        <v/>
      </c>
      <c r="N221" s="27">
        <f>IF(J221&lt;&gt;"Won","",IF(E221="",N(I221),I221-M221))</f>
        <v/>
      </c>
      <c r="O221" s="24" t="n"/>
    </row>
    <row r="222" ht="15" customHeight="1">
      <c r="A222" s="70" t="n"/>
      <c r="B222" s="24" t="n"/>
      <c r="C222" s="24" t="n"/>
      <c r="D222" s="24" t="n"/>
      <c r="E222" s="24" t="n"/>
      <c r="F222" s="25">
        <f>IF(E222="","",IF(COUNTIF(lst_Jobs,E222&amp;"")&gt;0,"OK","CHECK"))</f>
        <v/>
      </c>
      <c r="G222" s="24" t="n"/>
      <c r="H222" s="24" t="n"/>
      <c r="I222" s="26" t="n"/>
      <c r="J222" s="24" t="n"/>
      <c r="K222" s="22" t="n"/>
      <c r="L222" s="70" t="n"/>
      <c r="M222" s="27">
        <f>IF(E222="","",SUMIFS(tbl_Finance[Ex GST],tbl_Finance[Job Number],E222&amp;""))</f>
        <v/>
      </c>
      <c r="N222" s="27">
        <f>IF(J222&lt;&gt;"Won","",IF(E222="",N(I222),I222-M222))</f>
        <v/>
      </c>
      <c r="O222" s="24" t="n"/>
    </row>
    <row r="223" ht="15" customHeight="1">
      <c r="A223" s="70" t="n"/>
      <c r="B223" s="24" t="n"/>
      <c r="C223" s="24" t="n"/>
      <c r="D223" s="24" t="n"/>
      <c r="E223" s="24" t="n"/>
      <c r="F223" s="25">
        <f>IF(E223="","",IF(COUNTIF(lst_Jobs,E223&amp;"")&gt;0,"OK","CHECK"))</f>
        <v/>
      </c>
      <c r="G223" s="24" t="n"/>
      <c r="H223" s="24" t="n"/>
      <c r="I223" s="26" t="n"/>
      <c r="J223" s="24" t="n"/>
      <c r="K223" s="22" t="n"/>
      <c r="L223" s="70" t="n"/>
      <c r="M223" s="27">
        <f>IF(E223="","",SUMIFS(tbl_Finance[Ex GST],tbl_Finance[Job Number],E223&amp;""))</f>
        <v/>
      </c>
      <c r="N223" s="27">
        <f>IF(J223&lt;&gt;"Won","",IF(E223="",N(I223),I223-M223))</f>
        <v/>
      </c>
      <c r="O223" s="24" t="n"/>
    </row>
    <row r="224" ht="15" customHeight="1">
      <c r="A224" s="70" t="n"/>
      <c r="B224" s="24" t="n"/>
      <c r="C224" s="24" t="n"/>
      <c r="D224" s="24" t="n"/>
      <c r="E224" s="24" t="n"/>
      <c r="F224" s="25">
        <f>IF(E224="","",IF(COUNTIF(lst_Jobs,E224&amp;"")&gt;0,"OK","CHECK"))</f>
        <v/>
      </c>
      <c r="G224" s="24" t="n"/>
      <c r="H224" s="24" t="n"/>
      <c r="I224" s="26" t="n"/>
      <c r="J224" s="24" t="n"/>
      <c r="K224" s="22" t="n"/>
      <c r="L224" s="70" t="n"/>
      <c r="M224" s="27">
        <f>IF(E224="","",SUMIFS(tbl_Finance[Ex GST],tbl_Finance[Job Number],E224&amp;""))</f>
        <v/>
      </c>
      <c r="N224" s="27">
        <f>IF(J224&lt;&gt;"Won","",IF(E224="",N(I224),I224-M224))</f>
        <v/>
      </c>
      <c r="O224" s="24" t="n"/>
    </row>
    <row r="225" ht="15" customHeight="1">
      <c r="A225" s="70" t="n"/>
      <c r="B225" s="24" t="n"/>
      <c r="C225" s="24" t="n"/>
      <c r="D225" s="24" t="n"/>
      <c r="E225" s="24" t="n"/>
      <c r="F225" s="25">
        <f>IF(E225="","",IF(COUNTIF(lst_Jobs,E225&amp;"")&gt;0,"OK","CHECK"))</f>
        <v/>
      </c>
      <c r="G225" s="24" t="n"/>
      <c r="H225" s="24" t="n"/>
      <c r="I225" s="26" t="n"/>
      <c r="J225" s="24" t="n"/>
      <c r="K225" s="22" t="n"/>
      <c r="L225" s="70" t="n"/>
      <c r="M225" s="27">
        <f>IF(E225="","",SUMIFS(tbl_Finance[Ex GST],tbl_Finance[Job Number],E225&amp;""))</f>
        <v/>
      </c>
      <c r="N225" s="27">
        <f>IF(J225&lt;&gt;"Won","",IF(E225="",N(I225),I225-M225))</f>
        <v/>
      </c>
      <c r="O225" s="24" t="n"/>
    </row>
    <row r="226" ht="15" customHeight="1">
      <c r="A226" s="70" t="n"/>
      <c r="B226" s="24" t="n"/>
      <c r="C226" s="24" t="n"/>
      <c r="D226" s="24" t="n"/>
      <c r="E226" s="24" t="n"/>
      <c r="F226" s="25">
        <f>IF(E226="","",IF(COUNTIF(lst_Jobs,E226&amp;"")&gt;0,"OK","CHECK"))</f>
        <v/>
      </c>
      <c r="G226" s="24" t="n"/>
      <c r="H226" s="24" t="n"/>
      <c r="I226" s="26" t="n"/>
      <c r="J226" s="24" t="n"/>
      <c r="K226" s="22" t="n"/>
      <c r="L226" s="70" t="n"/>
      <c r="M226" s="27">
        <f>IF(E226="","",SUMIFS(tbl_Finance[Ex GST],tbl_Finance[Job Number],E226&amp;""))</f>
        <v/>
      </c>
      <c r="N226" s="27">
        <f>IF(J226&lt;&gt;"Won","",IF(E226="",N(I226),I226-M226))</f>
        <v/>
      </c>
      <c r="O226" s="24" t="n"/>
    </row>
    <row r="227" ht="15" customHeight="1">
      <c r="A227" s="70" t="n"/>
      <c r="B227" s="24" t="n"/>
      <c r="C227" s="24" t="n"/>
      <c r="D227" s="24" t="n"/>
      <c r="E227" s="24" t="n"/>
      <c r="F227" s="25">
        <f>IF(E227="","",IF(COUNTIF(lst_Jobs,E227&amp;"")&gt;0,"OK","CHECK"))</f>
        <v/>
      </c>
      <c r="G227" s="24" t="n"/>
      <c r="H227" s="24" t="n"/>
      <c r="I227" s="26" t="n"/>
      <c r="J227" s="24" t="n"/>
      <c r="K227" s="22" t="n"/>
      <c r="L227" s="70" t="n"/>
      <c r="M227" s="27">
        <f>IF(E227="","",SUMIFS(tbl_Finance[Ex GST],tbl_Finance[Job Number],E227&amp;""))</f>
        <v/>
      </c>
      <c r="N227" s="27">
        <f>IF(J227&lt;&gt;"Won","",IF(E227="",N(I227),I227-M227))</f>
        <v/>
      </c>
      <c r="O227" s="24" t="n"/>
    </row>
    <row r="228" ht="15" customHeight="1">
      <c r="A228" s="70" t="n"/>
      <c r="B228" s="24" t="n"/>
      <c r="C228" s="24" t="n"/>
      <c r="D228" s="24" t="n"/>
      <c r="E228" s="24" t="n"/>
      <c r="F228" s="25">
        <f>IF(E228="","",IF(COUNTIF(lst_Jobs,E228&amp;"")&gt;0,"OK","CHECK"))</f>
        <v/>
      </c>
      <c r="G228" s="24" t="n"/>
      <c r="H228" s="24" t="n"/>
      <c r="I228" s="26" t="n"/>
      <c r="J228" s="24" t="n"/>
      <c r="K228" s="22" t="n"/>
      <c r="L228" s="70" t="n"/>
      <c r="M228" s="27">
        <f>IF(E228="","",SUMIFS(tbl_Finance[Ex GST],tbl_Finance[Job Number],E228&amp;""))</f>
        <v/>
      </c>
      <c r="N228" s="27">
        <f>IF(J228&lt;&gt;"Won","",IF(E228="",N(I228),I228-M228))</f>
        <v/>
      </c>
      <c r="O228" s="24" t="n"/>
    </row>
    <row r="229" ht="15" customHeight="1">
      <c r="A229" s="70" t="n"/>
      <c r="B229" s="24" t="n"/>
      <c r="C229" s="24" t="n"/>
      <c r="D229" s="24" t="n"/>
      <c r="E229" s="24" t="n"/>
      <c r="F229" s="25">
        <f>IF(E229="","",IF(COUNTIF(lst_Jobs,E229&amp;"")&gt;0,"OK","CHECK"))</f>
        <v/>
      </c>
      <c r="G229" s="24" t="n"/>
      <c r="H229" s="24" t="n"/>
      <c r="I229" s="26" t="n"/>
      <c r="J229" s="24" t="n"/>
      <c r="K229" s="22" t="n"/>
      <c r="L229" s="70" t="n"/>
      <c r="M229" s="27">
        <f>IF(E229="","",SUMIFS(tbl_Finance[Ex GST],tbl_Finance[Job Number],E229&amp;""))</f>
        <v/>
      </c>
      <c r="N229" s="27">
        <f>IF(J229&lt;&gt;"Won","",IF(E229="",N(I229),I229-M229))</f>
        <v/>
      </c>
      <c r="O229" s="24" t="n"/>
    </row>
    <row r="230" ht="15" customHeight="1">
      <c r="A230" s="70" t="n"/>
      <c r="B230" s="24" t="n"/>
      <c r="C230" s="24" t="n"/>
      <c r="D230" s="24" t="n"/>
      <c r="E230" s="24" t="n"/>
      <c r="F230" s="25">
        <f>IF(E230="","",IF(COUNTIF(lst_Jobs,E230&amp;"")&gt;0,"OK","CHECK"))</f>
        <v/>
      </c>
      <c r="G230" s="24" t="n"/>
      <c r="H230" s="24" t="n"/>
      <c r="I230" s="26" t="n"/>
      <c r="J230" s="24" t="n"/>
      <c r="K230" s="22" t="n"/>
      <c r="L230" s="70" t="n"/>
      <c r="M230" s="27">
        <f>IF(E230="","",SUMIFS(tbl_Finance[Ex GST],tbl_Finance[Job Number],E230&amp;""))</f>
        <v/>
      </c>
      <c r="N230" s="27">
        <f>IF(J230&lt;&gt;"Won","",IF(E230="",N(I230),I230-M230))</f>
        <v/>
      </c>
      <c r="O230" s="24" t="n"/>
    </row>
    <row r="231" ht="15" customHeight="1">
      <c r="A231" s="70" t="n"/>
      <c r="B231" s="24" t="n"/>
      <c r="C231" s="24" t="n"/>
      <c r="D231" s="24" t="n"/>
      <c r="E231" s="24" t="n"/>
      <c r="F231" s="25">
        <f>IF(E231="","",IF(COUNTIF(lst_Jobs,E231&amp;"")&gt;0,"OK","CHECK"))</f>
        <v/>
      </c>
      <c r="G231" s="24" t="n"/>
      <c r="H231" s="24" t="n"/>
      <c r="I231" s="26" t="n"/>
      <c r="J231" s="24" t="n"/>
      <c r="K231" s="22" t="n"/>
      <c r="L231" s="70" t="n"/>
      <c r="M231" s="27">
        <f>IF(E231="","",SUMIFS(tbl_Finance[Ex GST],tbl_Finance[Job Number],E231&amp;""))</f>
        <v/>
      </c>
      <c r="N231" s="27">
        <f>IF(J231&lt;&gt;"Won","",IF(E231="",N(I231),I231-M231))</f>
        <v/>
      </c>
      <c r="O231" s="24" t="n"/>
    </row>
    <row r="232" ht="15" customHeight="1">
      <c r="A232" s="70" t="n"/>
      <c r="B232" s="24" t="n"/>
      <c r="C232" s="24" t="n"/>
      <c r="D232" s="24" t="n"/>
      <c r="E232" s="24" t="n"/>
      <c r="F232" s="25">
        <f>IF(E232="","",IF(COUNTIF(lst_Jobs,E232&amp;"")&gt;0,"OK","CHECK"))</f>
        <v/>
      </c>
      <c r="G232" s="24" t="n"/>
      <c r="H232" s="24" t="n"/>
      <c r="I232" s="26" t="n"/>
      <c r="J232" s="24" t="n"/>
      <c r="K232" s="22" t="n"/>
      <c r="L232" s="70" t="n"/>
      <c r="M232" s="27">
        <f>IF(E232="","",SUMIFS(tbl_Finance[Ex GST],tbl_Finance[Job Number],E232&amp;""))</f>
        <v/>
      </c>
      <c r="N232" s="27">
        <f>IF(J232&lt;&gt;"Won","",IF(E232="",N(I232),I232-M232))</f>
        <v/>
      </c>
      <c r="O232" s="24" t="n"/>
    </row>
    <row r="233" ht="15" customHeight="1">
      <c r="A233" s="70" t="n"/>
      <c r="B233" s="24" t="n"/>
      <c r="C233" s="24" t="n"/>
      <c r="D233" s="24" t="n"/>
      <c r="E233" s="24" t="n"/>
      <c r="F233" s="25">
        <f>IF(E233="","",IF(COUNTIF(lst_Jobs,E233&amp;"")&gt;0,"OK","CHECK"))</f>
        <v/>
      </c>
      <c r="G233" s="24" t="n"/>
      <c r="H233" s="24" t="n"/>
      <c r="I233" s="26" t="n"/>
      <c r="J233" s="24" t="n"/>
      <c r="K233" s="22" t="n"/>
      <c r="L233" s="70" t="n"/>
      <c r="M233" s="27">
        <f>IF(E233="","",SUMIFS(tbl_Finance[Ex GST],tbl_Finance[Job Number],E233&amp;""))</f>
        <v/>
      </c>
      <c r="N233" s="27">
        <f>IF(J233&lt;&gt;"Won","",IF(E233="",N(I233),I233-M233))</f>
        <v/>
      </c>
      <c r="O233" s="24" t="n"/>
    </row>
    <row r="234" ht="15" customHeight="1">
      <c r="A234" s="70" t="n"/>
      <c r="B234" s="24" t="n"/>
      <c r="C234" s="24" t="n"/>
      <c r="D234" s="24" t="n"/>
      <c r="E234" s="24" t="n"/>
      <c r="F234" s="25">
        <f>IF(E234="","",IF(COUNTIF(lst_Jobs,E234&amp;"")&gt;0,"OK","CHECK"))</f>
        <v/>
      </c>
      <c r="G234" s="24" t="n"/>
      <c r="H234" s="24" t="n"/>
      <c r="I234" s="26" t="n"/>
      <c r="J234" s="24" t="n"/>
      <c r="K234" s="22" t="n"/>
      <c r="L234" s="70" t="n"/>
      <c r="M234" s="27">
        <f>IF(E234="","",SUMIFS(tbl_Finance[Ex GST],tbl_Finance[Job Number],E234&amp;""))</f>
        <v/>
      </c>
      <c r="N234" s="27">
        <f>IF(J234&lt;&gt;"Won","",IF(E234="",N(I234),I234-M234))</f>
        <v/>
      </c>
      <c r="O234" s="24" t="n"/>
    </row>
    <row r="235" ht="15" customHeight="1">
      <c r="A235" s="70" t="n"/>
      <c r="B235" s="24" t="n"/>
      <c r="C235" s="24" t="n"/>
      <c r="D235" s="24" t="n"/>
      <c r="E235" s="24" t="n"/>
      <c r="F235" s="25">
        <f>IF(E235="","",IF(COUNTIF(lst_Jobs,E235&amp;"")&gt;0,"OK","CHECK"))</f>
        <v/>
      </c>
      <c r="G235" s="24" t="n"/>
      <c r="H235" s="24" t="n"/>
      <c r="I235" s="26" t="n"/>
      <c r="J235" s="24" t="n"/>
      <c r="K235" s="22" t="n"/>
      <c r="L235" s="70" t="n"/>
      <c r="M235" s="27">
        <f>IF(E235="","",SUMIFS(tbl_Finance[Ex GST],tbl_Finance[Job Number],E235&amp;""))</f>
        <v/>
      </c>
      <c r="N235" s="27">
        <f>IF(J235&lt;&gt;"Won","",IF(E235="",N(I235),I235-M235))</f>
        <v/>
      </c>
      <c r="O235" s="24" t="n"/>
    </row>
    <row r="236" ht="15" customHeight="1">
      <c r="A236" s="70" t="n"/>
      <c r="B236" s="24" t="n"/>
      <c r="C236" s="24" t="n"/>
      <c r="D236" s="24" t="n"/>
      <c r="E236" s="24" t="n"/>
      <c r="F236" s="25">
        <f>IF(E236="","",IF(COUNTIF(lst_Jobs,E236&amp;"")&gt;0,"OK","CHECK"))</f>
        <v/>
      </c>
      <c r="G236" s="24" t="n"/>
      <c r="H236" s="24" t="n"/>
      <c r="I236" s="26" t="n"/>
      <c r="J236" s="24" t="n"/>
      <c r="K236" s="22" t="n"/>
      <c r="L236" s="70" t="n"/>
      <c r="M236" s="27">
        <f>IF(E236="","",SUMIFS(tbl_Finance[Ex GST],tbl_Finance[Job Number],E236&amp;""))</f>
        <v/>
      </c>
      <c r="N236" s="27">
        <f>IF(J236&lt;&gt;"Won","",IF(E236="",N(I236),I236-M236))</f>
        <v/>
      </c>
      <c r="O236" s="24" t="n"/>
    </row>
    <row r="237" ht="15" customHeight="1">
      <c r="A237" s="70" t="n"/>
      <c r="B237" s="24" t="n"/>
      <c r="C237" s="24" t="n"/>
      <c r="D237" s="24" t="n"/>
      <c r="E237" s="24" t="n"/>
      <c r="F237" s="25">
        <f>IF(E237="","",IF(COUNTIF(lst_Jobs,E237&amp;"")&gt;0,"OK","CHECK"))</f>
        <v/>
      </c>
      <c r="G237" s="24" t="n"/>
      <c r="H237" s="24" t="n"/>
      <c r="I237" s="26" t="n"/>
      <c r="J237" s="24" t="n"/>
      <c r="K237" s="22" t="n"/>
      <c r="L237" s="70" t="n"/>
      <c r="M237" s="27">
        <f>IF(E237="","",SUMIFS(tbl_Finance[Ex GST],tbl_Finance[Job Number],E237&amp;""))</f>
        <v/>
      </c>
      <c r="N237" s="27">
        <f>IF(J237&lt;&gt;"Won","",IF(E237="",N(I237),I237-M237))</f>
        <v/>
      </c>
      <c r="O237" s="24" t="n"/>
    </row>
    <row r="238" ht="15" customHeight="1">
      <c r="A238" s="70" t="n"/>
      <c r="B238" s="24" t="n"/>
      <c r="C238" s="24" t="n"/>
      <c r="D238" s="24" t="n"/>
      <c r="E238" s="24" t="n"/>
      <c r="F238" s="25">
        <f>IF(E238="","",IF(COUNTIF(lst_Jobs,E238&amp;"")&gt;0,"OK","CHECK"))</f>
        <v/>
      </c>
      <c r="G238" s="24" t="n"/>
      <c r="H238" s="24" t="n"/>
      <c r="I238" s="26" t="n"/>
      <c r="J238" s="24" t="n"/>
      <c r="K238" s="22" t="n"/>
      <c r="L238" s="70" t="n"/>
      <c r="M238" s="27">
        <f>IF(E238="","",SUMIFS(tbl_Finance[Ex GST],tbl_Finance[Job Number],E238&amp;""))</f>
        <v/>
      </c>
      <c r="N238" s="27">
        <f>IF(J238&lt;&gt;"Won","",IF(E238="",N(I238),I238-M238))</f>
        <v/>
      </c>
      <c r="O238" s="24" t="n"/>
    </row>
    <row r="239" ht="15" customHeight="1">
      <c r="A239" s="70" t="n"/>
      <c r="B239" s="24" t="n"/>
      <c r="C239" s="24" t="n"/>
      <c r="D239" s="24" t="n"/>
      <c r="E239" s="24" t="n"/>
      <c r="F239" s="25">
        <f>IF(E239="","",IF(COUNTIF(lst_Jobs,E239&amp;"")&gt;0,"OK","CHECK"))</f>
        <v/>
      </c>
      <c r="G239" s="24" t="n"/>
      <c r="H239" s="24" t="n"/>
      <c r="I239" s="26" t="n"/>
      <c r="J239" s="24" t="n"/>
      <c r="K239" s="22" t="n"/>
      <c r="L239" s="70" t="n"/>
      <c r="M239" s="27">
        <f>IF(E239="","",SUMIFS(tbl_Finance[Ex GST],tbl_Finance[Job Number],E239&amp;""))</f>
        <v/>
      </c>
      <c r="N239" s="27">
        <f>IF(J239&lt;&gt;"Won","",IF(E239="",N(I239),I239-M239))</f>
        <v/>
      </c>
      <c r="O239" s="24" t="n"/>
    </row>
    <row r="240" ht="15" customHeight="1">
      <c r="A240" s="70" t="n"/>
      <c r="B240" s="24" t="n"/>
      <c r="C240" s="24" t="n"/>
      <c r="D240" s="24" t="n"/>
      <c r="E240" s="24" t="n"/>
      <c r="F240" s="25">
        <f>IF(E240="","",IF(COUNTIF(lst_Jobs,E240&amp;"")&gt;0,"OK","CHECK"))</f>
        <v/>
      </c>
      <c r="G240" s="24" t="n"/>
      <c r="H240" s="24" t="n"/>
      <c r="I240" s="26" t="n"/>
      <c r="J240" s="24" t="n"/>
      <c r="K240" s="22" t="n"/>
      <c r="L240" s="70" t="n"/>
      <c r="M240" s="27">
        <f>IF(E240="","",SUMIFS(tbl_Finance[Ex GST],tbl_Finance[Job Number],E240&amp;""))</f>
        <v/>
      </c>
      <c r="N240" s="27">
        <f>IF(J240&lt;&gt;"Won","",IF(E240="",N(I240),I240-M240))</f>
        <v/>
      </c>
      <c r="O240" s="24" t="n"/>
    </row>
    <row r="241" ht="15" customHeight="1">
      <c r="A241" s="70" t="n"/>
      <c r="B241" s="24" t="n"/>
      <c r="C241" s="24" t="n"/>
      <c r="D241" s="24" t="n"/>
      <c r="E241" s="24" t="n"/>
      <c r="F241" s="25">
        <f>IF(E241="","",IF(COUNTIF(lst_Jobs,E241&amp;"")&gt;0,"OK","CHECK"))</f>
        <v/>
      </c>
      <c r="G241" s="24" t="n"/>
      <c r="H241" s="24" t="n"/>
      <c r="I241" s="26" t="n"/>
      <c r="J241" s="24" t="n"/>
      <c r="K241" s="22" t="n"/>
      <c r="L241" s="70" t="n"/>
      <c r="M241" s="27">
        <f>IF(E241="","",SUMIFS(tbl_Finance[Ex GST],tbl_Finance[Job Number],E241&amp;""))</f>
        <v/>
      </c>
      <c r="N241" s="27">
        <f>IF(J241&lt;&gt;"Won","",IF(E241="",N(I241),I241-M241))</f>
        <v/>
      </c>
      <c r="O241" s="24" t="n"/>
    </row>
    <row r="242" ht="15" customHeight="1">
      <c r="A242" s="70" t="n"/>
      <c r="B242" s="24" t="n"/>
      <c r="C242" s="24" t="n"/>
      <c r="D242" s="24" t="n"/>
      <c r="E242" s="24" t="n"/>
      <c r="F242" s="25">
        <f>IF(E242="","",IF(COUNTIF(lst_Jobs,E242&amp;"")&gt;0,"OK","CHECK"))</f>
        <v/>
      </c>
      <c r="G242" s="24" t="n"/>
      <c r="H242" s="24" t="n"/>
      <c r="I242" s="26" t="n"/>
      <c r="J242" s="24" t="n"/>
      <c r="K242" s="22" t="n"/>
      <c r="L242" s="70" t="n"/>
      <c r="M242" s="27">
        <f>IF(E242="","",SUMIFS(tbl_Finance[Ex GST],tbl_Finance[Job Number],E242&amp;""))</f>
        <v/>
      </c>
      <c r="N242" s="27">
        <f>IF(J242&lt;&gt;"Won","",IF(E242="",N(I242),I242-M242))</f>
        <v/>
      </c>
      <c r="O242" s="24" t="n"/>
    </row>
    <row r="243" ht="15" customHeight="1">
      <c r="A243" s="70" t="n"/>
      <c r="B243" s="24" t="n"/>
      <c r="C243" s="24" t="n"/>
      <c r="D243" s="24" t="n"/>
      <c r="E243" s="24" t="n"/>
      <c r="F243" s="25">
        <f>IF(E243="","",IF(COUNTIF(lst_Jobs,E243&amp;"")&gt;0,"OK","CHECK"))</f>
        <v/>
      </c>
      <c r="G243" s="24" t="n"/>
      <c r="H243" s="24" t="n"/>
      <c r="I243" s="26" t="n"/>
      <c r="J243" s="24" t="n"/>
      <c r="K243" s="22" t="n"/>
      <c r="L243" s="70" t="n"/>
      <c r="M243" s="27">
        <f>IF(E243="","",SUMIFS(tbl_Finance[Ex GST],tbl_Finance[Job Number],E243&amp;""))</f>
        <v/>
      </c>
      <c r="N243" s="27">
        <f>IF(J243&lt;&gt;"Won","",IF(E243="",N(I243),I243-M243))</f>
        <v/>
      </c>
      <c r="O243" s="24" t="n"/>
    </row>
    <row r="244" ht="15" customHeight="1">
      <c r="A244" s="70" t="n"/>
      <c r="B244" s="24" t="n"/>
      <c r="C244" s="24" t="n"/>
      <c r="D244" s="24" t="n"/>
      <c r="E244" s="24" t="n"/>
      <c r="F244" s="25">
        <f>IF(E244="","",IF(COUNTIF(lst_Jobs,E244&amp;"")&gt;0,"OK","CHECK"))</f>
        <v/>
      </c>
      <c r="G244" s="24" t="n"/>
      <c r="H244" s="24" t="n"/>
      <c r="I244" s="26" t="n"/>
      <c r="J244" s="24" t="n"/>
      <c r="K244" s="22" t="n"/>
      <c r="L244" s="70" t="n"/>
      <c r="M244" s="27">
        <f>IF(E244="","",SUMIFS(tbl_Finance[Ex GST],tbl_Finance[Job Number],E244&amp;""))</f>
        <v/>
      </c>
      <c r="N244" s="27">
        <f>IF(J244&lt;&gt;"Won","",IF(E244="",N(I244),I244-M244))</f>
        <v/>
      </c>
      <c r="O244" s="24" t="n"/>
    </row>
    <row r="245" ht="15" customHeight="1">
      <c r="A245" s="70" t="n"/>
      <c r="B245" s="24" t="n"/>
      <c r="C245" s="24" t="n"/>
      <c r="D245" s="24" t="n"/>
      <c r="E245" s="24" t="n"/>
      <c r="F245" s="25">
        <f>IF(E245="","",IF(COUNTIF(lst_Jobs,E245&amp;"")&gt;0,"OK","CHECK"))</f>
        <v/>
      </c>
      <c r="G245" s="24" t="n"/>
      <c r="H245" s="24" t="n"/>
      <c r="I245" s="26" t="n"/>
      <c r="J245" s="24" t="n"/>
      <c r="K245" s="22" t="n"/>
      <c r="L245" s="70" t="n"/>
      <c r="M245" s="27">
        <f>IF(E245="","",SUMIFS(tbl_Finance[Ex GST],tbl_Finance[Job Number],E245&amp;""))</f>
        <v/>
      </c>
      <c r="N245" s="27">
        <f>IF(J245&lt;&gt;"Won","",IF(E245="",N(I245),I245-M245))</f>
        <v/>
      </c>
      <c r="O245" s="24" t="n"/>
    </row>
    <row r="246" ht="15" customHeight="1">
      <c r="A246" s="70" t="n"/>
      <c r="B246" s="24" t="n"/>
      <c r="C246" s="24" t="n"/>
      <c r="D246" s="24" t="n"/>
      <c r="E246" s="24" t="n"/>
      <c r="F246" s="25">
        <f>IF(E246="","",IF(COUNTIF(lst_Jobs,E246&amp;"")&gt;0,"OK","CHECK"))</f>
        <v/>
      </c>
      <c r="G246" s="24" t="n"/>
      <c r="H246" s="24" t="n"/>
      <c r="I246" s="26" t="n"/>
      <c r="J246" s="24" t="n"/>
      <c r="K246" s="22" t="n"/>
      <c r="L246" s="70" t="n"/>
      <c r="M246" s="27">
        <f>IF(E246="","",SUMIFS(tbl_Finance[Ex GST],tbl_Finance[Job Number],E246&amp;""))</f>
        <v/>
      </c>
      <c r="N246" s="27">
        <f>IF(J246&lt;&gt;"Won","",IF(E246="",N(I246),I246-M246))</f>
        <v/>
      </c>
      <c r="O246" s="24" t="n"/>
    </row>
    <row r="247" ht="15" customHeight="1">
      <c r="A247" s="70" t="n"/>
      <c r="B247" s="24" t="n"/>
      <c r="C247" s="24" t="n"/>
      <c r="D247" s="24" t="n"/>
      <c r="E247" s="24" t="n"/>
      <c r="F247" s="25">
        <f>IF(E247="","",IF(COUNTIF(lst_Jobs,E247&amp;"")&gt;0,"OK","CHECK"))</f>
        <v/>
      </c>
      <c r="G247" s="24" t="n"/>
      <c r="H247" s="24" t="n"/>
      <c r="I247" s="26" t="n"/>
      <c r="J247" s="24" t="n"/>
      <c r="K247" s="22" t="n"/>
      <c r="L247" s="70" t="n"/>
      <c r="M247" s="27">
        <f>IF(E247="","",SUMIFS(tbl_Finance[Ex GST],tbl_Finance[Job Number],E247&amp;""))</f>
        <v/>
      </c>
      <c r="N247" s="27">
        <f>IF(J247&lt;&gt;"Won","",IF(E247="",N(I247),I247-M247))</f>
        <v/>
      </c>
      <c r="O247" s="24" t="n"/>
    </row>
    <row r="248" ht="15" customHeight="1">
      <c r="A248" s="70" t="n"/>
      <c r="B248" s="24" t="n"/>
      <c r="C248" s="24" t="n"/>
      <c r="D248" s="24" t="n"/>
      <c r="E248" s="24" t="n"/>
      <c r="F248" s="25">
        <f>IF(E248="","",IF(COUNTIF(lst_Jobs,E248&amp;"")&gt;0,"OK","CHECK"))</f>
        <v/>
      </c>
      <c r="G248" s="24" t="n"/>
      <c r="H248" s="24" t="n"/>
      <c r="I248" s="26" t="n"/>
      <c r="J248" s="24" t="n"/>
      <c r="K248" s="22" t="n"/>
      <c r="L248" s="70" t="n"/>
      <c r="M248" s="27">
        <f>IF(E248="","",SUMIFS(tbl_Finance[Ex GST],tbl_Finance[Job Number],E248&amp;""))</f>
        <v/>
      </c>
      <c r="N248" s="27">
        <f>IF(J248&lt;&gt;"Won","",IF(E248="",N(I248),I248-M248))</f>
        <v/>
      </c>
      <c r="O248" s="24" t="n"/>
    </row>
    <row r="249" ht="15" customHeight="1">
      <c r="A249" s="70" t="n"/>
      <c r="B249" s="24" t="n"/>
      <c r="C249" s="24" t="n"/>
      <c r="D249" s="24" t="n"/>
      <c r="E249" s="24" t="n"/>
      <c r="F249" s="25">
        <f>IF(E249="","",IF(COUNTIF(lst_Jobs,E249&amp;"")&gt;0,"OK","CHECK"))</f>
        <v/>
      </c>
      <c r="G249" s="24" t="n"/>
      <c r="H249" s="24" t="n"/>
      <c r="I249" s="26" t="n"/>
      <c r="J249" s="24" t="n"/>
      <c r="K249" s="22" t="n"/>
      <c r="L249" s="70" t="n"/>
      <c r="M249" s="27">
        <f>IF(E249="","",SUMIFS(tbl_Finance[Ex GST],tbl_Finance[Job Number],E249&amp;""))</f>
        <v/>
      </c>
      <c r="N249" s="27">
        <f>IF(J249&lt;&gt;"Won","",IF(E249="",N(I249),I249-M249))</f>
        <v/>
      </c>
      <c r="O249" s="24" t="n"/>
    </row>
    <row r="250" ht="15" customHeight="1">
      <c r="A250" s="70" t="n"/>
      <c r="B250" s="24" t="n"/>
      <c r="C250" s="24" t="n"/>
      <c r="D250" s="24" t="n"/>
      <c r="E250" s="24" t="n"/>
      <c r="F250" s="25">
        <f>IF(E250="","",IF(COUNTIF(lst_Jobs,E250&amp;"")&gt;0,"OK","CHECK"))</f>
        <v/>
      </c>
      <c r="G250" s="24" t="n"/>
      <c r="H250" s="24" t="n"/>
      <c r="I250" s="26" t="n"/>
      <c r="J250" s="24" t="n"/>
      <c r="K250" s="22" t="n"/>
      <c r="L250" s="70" t="n"/>
      <c r="M250" s="27">
        <f>IF(E250="","",SUMIFS(tbl_Finance[Ex GST],tbl_Finance[Job Number],E250&amp;""))</f>
        <v/>
      </c>
      <c r="N250" s="27">
        <f>IF(J250&lt;&gt;"Won","",IF(E250="",N(I250),I250-M250))</f>
        <v/>
      </c>
      <c r="O250" s="24" t="n"/>
    </row>
    <row r="251" ht="15" customHeight="1">
      <c r="A251" s="70" t="n"/>
      <c r="B251" s="24" t="n"/>
      <c r="C251" s="24" t="n"/>
      <c r="D251" s="24" t="n"/>
      <c r="E251" s="24" t="n"/>
      <c r="F251" s="25">
        <f>IF(E251="","",IF(COUNTIF(lst_Jobs,E251&amp;"")&gt;0,"OK","CHECK"))</f>
        <v/>
      </c>
      <c r="G251" s="24" t="n"/>
      <c r="H251" s="24" t="n"/>
      <c r="I251" s="26" t="n"/>
      <c r="J251" s="24" t="n"/>
      <c r="K251" s="22" t="n"/>
      <c r="L251" s="70" t="n"/>
      <c r="M251" s="27">
        <f>IF(E251="","",SUMIFS(tbl_Finance[Ex GST],tbl_Finance[Job Number],E251&amp;""))</f>
        <v/>
      </c>
      <c r="N251" s="27">
        <f>IF(J251&lt;&gt;"Won","",IF(E251="",N(I251),I251-M251))</f>
        <v/>
      </c>
      <c r="O251" s="24" t="n"/>
    </row>
    <row r="252" ht="15" customHeight="1">
      <c r="A252" s="70" t="n"/>
      <c r="B252" s="24" t="n"/>
      <c r="C252" s="24" t="n"/>
      <c r="D252" s="24" t="n"/>
      <c r="E252" s="24" t="n"/>
      <c r="F252" s="25">
        <f>IF(E252="","",IF(COUNTIF(lst_Jobs,E252&amp;"")&gt;0,"OK","CHECK"))</f>
        <v/>
      </c>
      <c r="G252" s="24" t="n"/>
      <c r="H252" s="24" t="n"/>
      <c r="I252" s="26" t="n"/>
      <c r="J252" s="24" t="n"/>
      <c r="K252" s="22" t="n"/>
      <c r="L252" s="70" t="n"/>
      <c r="M252" s="27">
        <f>IF(E252="","",SUMIFS(tbl_Finance[Ex GST],tbl_Finance[Job Number],E252&amp;""))</f>
        <v/>
      </c>
      <c r="N252" s="27">
        <f>IF(J252&lt;&gt;"Won","",IF(E252="",N(I252),I252-M252))</f>
        <v/>
      </c>
      <c r="O252" s="24" t="n"/>
    </row>
    <row r="253" ht="15" customHeight="1">
      <c r="A253" s="70" t="n"/>
      <c r="B253" s="24" t="n"/>
      <c r="C253" s="24" t="n"/>
      <c r="D253" s="24" t="n"/>
      <c r="E253" s="24" t="n"/>
      <c r="F253" s="25">
        <f>IF(E253="","",IF(COUNTIF(lst_Jobs,E253&amp;"")&gt;0,"OK","CHECK"))</f>
        <v/>
      </c>
      <c r="G253" s="24" t="n"/>
      <c r="H253" s="24" t="n"/>
      <c r="I253" s="26" t="n"/>
      <c r="J253" s="24" t="n"/>
      <c r="K253" s="22" t="n"/>
      <c r="L253" s="70" t="n"/>
      <c r="M253" s="27">
        <f>IF(E253="","",SUMIFS(tbl_Finance[Ex GST],tbl_Finance[Job Number],E253&amp;""))</f>
        <v/>
      </c>
      <c r="N253" s="27">
        <f>IF(J253&lt;&gt;"Won","",IF(E253="",N(I253),I253-M253))</f>
        <v/>
      </c>
      <c r="O253" s="24" t="n"/>
    </row>
    <row r="254" ht="15" customHeight="1">
      <c r="A254" s="70" t="n"/>
      <c r="B254" s="24" t="n"/>
      <c r="C254" s="24" t="n"/>
      <c r="D254" s="24" t="n"/>
      <c r="E254" s="24" t="n"/>
      <c r="F254" s="25">
        <f>IF(E254="","",IF(COUNTIF(lst_Jobs,E254&amp;"")&gt;0,"OK","CHECK"))</f>
        <v/>
      </c>
      <c r="G254" s="24" t="n"/>
      <c r="H254" s="24" t="n"/>
      <c r="I254" s="26" t="n"/>
      <c r="J254" s="24" t="n"/>
      <c r="K254" s="22" t="n"/>
      <c r="L254" s="70" t="n"/>
      <c r="M254" s="27">
        <f>IF(E254="","",SUMIFS(tbl_Finance[Ex GST],tbl_Finance[Job Number],E254&amp;""))</f>
        <v/>
      </c>
      <c r="N254" s="27">
        <f>IF(J254&lt;&gt;"Won","",IF(E254="",N(I254),I254-M254))</f>
        <v/>
      </c>
      <c r="O254" s="24" t="n"/>
    </row>
    <row r="255" ht="15" customHeight="1">
      <c r="A255" s="70" t="n"/>
      <c r="B255" s="24" t="n"/>
      <c r="C255" s="24" t="n"/>
      <c r="D255" s="24" t="n"/>
      <c r="E255" s="24" t="n"/>
      <c r="F255" s="25">
        <f>IF(E255="","",IF(COUNTIF(lst_Jobs,E255&amp;"")&gt;0,"OK","CHECK"))</f>
        <v/>
      </c>
      <c r="G255" s="24" t="n"/>
      <c r="H255" s="24" t="n"/>
      <c r="I255" s="26" t="n"/>
      <c r="J255" s="24" t="n"/>
      <c r="K255" s="22" t="n"/>
      <c r="L255" s="70" t="n"/>
      <c r="M255" s="27">
        <f>IF(E255="","",SUMIFS(tbl_Finance[Ex GST],tbl_Finance[Job Number],E255&amp;""))</f>
        <v/>
      </c>
      <c r="N255" s="27">
        <f>IF(J255&lt;&gt;"Won","",IF(E255="",N(I255),I255-M255))</f>
        <v/>
      </c>
      <c r="O255" s="24" t="n"/>
    </row>
    <row r="256" ht="15" customHeight="1">
      <c r="A256" s="70" t="n"/>
      <c r="B256" s="24" t="n"/>
      <c r="C256" s="24" t="n"/>
      <c r="D256" s="24" t="n"/>
      <c r="E256" s="24" t="n"/>
      <c r="F256" s="25">
        <f>IF(E256="","",IF(COUNTIF(lst_Jobs,E256&amp;"")&gt;0,"OK","CHECK"))</f>
        <v/>
      </c>
      <c r="G256" s="24" t="n"/>
      <c r="H256" s="24" t="n"/>
      <c r="I256" s="26" t="n"/>
      <c r="J256" s="24" t="n"/>
      <c r="K256" s="22" t="n"/>
      <c r="L256" s="70" t="n"/>
      <c r="M256" s="27">
        <f>IF(E256="","",SUMIFS(tbl_Finance[Ex GST],tbl_Finance[Job Number],E256&amp;""))</f>
        <v/>
      </c>
      <c r="N256" s="27">
        <f>IF(J256&lt;&gt;"Won","",IF(E256="",N(I256),I256-M256))</f>
        <v/>
      </c>
      <c r="O256" s="24" t="n"/>
    </row>
    <row r="257" ht="15" customHeight="1">
      <c r="A257" s="70" t="n"/>
      <c r="B257" s="24" t="n"/>
      <c r="C257" s="24" t="n"/>
      <c r="D257" s="24" t="n"/>
      <c r="E257" s="24" t="n"/>
      <c r="F257" s="25">
        <f>IF(E257="","",IF(COUNTIF(lst_Jobs,E257&amp;"")&gt;0,"OK","CHECK"))</f>
        <v/>
      </c>
      <c r="G257" s="24" t="n"/>
      <c r="H257" s="24" t="n"/>
      <c r="I257" s="26" t="n"/>
      <c r="J257" s="24" t="n"/>
      <c r="K257" s="22" t="n"/>
      <c r="L257" s="70" t="n"/>
      <c r="M257" s="27">
        <f>IF(E257="","",SUMIFS(tbl_Finance[Ex GST],tbl_Finance[Job Number],E257&amp;""))</f>
        <v/>
      </c>
      <c r="N257" s="27">
        <f>IF(J257&lt;&gt;"Won","",IF(E257="",N(I257),I257-M257))</f>
        <v/>
      </c>
      <c r="O257" s="24" t="n"/>
    </row>
    <row r="258" ht="15" customHeight="1">
      <c r="A258" s="70" t="n"/>
      <c r="B258" s="24" t="n"/>
      <c r="C258" s="24" t="n"/>
      <c r="D258" s="24" t="n"/>
      <c r="E258" s="24" t="n"/>
      <c r="F258" s="25">
        <f>IF(E258="","",IF(COUNTIF(lst_Jobs,E258&amp;"")&gt;0,"OK","CHECK"))</f>
        <v/>
      </c>
      <c r="G258" s="24" t="n"/>
      <c r="H258" s="24" t="n"/>
      <c r="I258" s="26" t="n"/>
      <c r="J258" s="24" t="n"/>
      <c r="K258" s="22" t="n"/>
      <c r="L258" s="70" t="n"/>
      <c r="M258" s="27">
        <f>IF(E258="","",SUMIFS(tbl_Finance[Ex GST],tbl_Finance[Job Number],E258&amp;""))</f>
        <v/>
      </c>
      <c r="N258" s="27">
        <f>IF(J258&lt;&gt;"Won","",IF(E258="",N(I258),I258-M258))</f>
        <v/>
      </c>
      <c r="O258" s="24" t="n"/>
    </row>
    <row r="259" ht="15" customHeight="1">
      <c r="A259" s="70" t="n"/>
      <c r="B259" s="24" t="n"/>
      <c r="C259" s="24" t="n"/>
      <c r="D259" s="24" t="n"/>
      <c r="E259" s="24" t="n"/>
      <c r="F259" s="25">
        <f>IF(E259="","",IF(COUNTIF(lst_Jobs,E259&amp;"")&gt;0,"OK","CHECK"))</f>
        <v/>
      </c>
      <c r="G259" s="24" t="n"/>
      <c r="H259" s="24" t="n"/>
      <c r="I259" s="26" t="n"/>
      <c r="J259" s="24" t="n"/>
      <c r="K259" s="22" t="n"/>
      <c r="L259" s="70" t="n"/>
      <c r="M259" s="27">
        <f>IF(E259="","",SUMIFS(tbl_Finance[Ex GST],tbl_Finance[Job Number],E259&amp;""))</f>
        <v/>
      </c>
      <c r="N259" s="27">
        <f>IF(J259&lt;&gt;"Won","",IF(E259="",N(I259),I259-M259))</f>
        <v/>
      </c>
      <c r="O259" s="24" t="n"/>
    </row>
    <row r="260" ht="15" customHeight="1">
      <c r="A260" s="70" t="n"/>
      <c r="B260" s="24" t="n"/>
      <c r="C260" s="24" t="n"/>
      <c r="D260" s="24" t="n"/>
      <c r="E260" s="24" t="n"/>
      <c r="F260" s="25">
        <f>IF(E260="","",IF(COUNTIF(lst_Jobs,E260&amp;"")&gt;0,"OK","CHECK"))</f>
        <v/>
      </c>
      <c r="G260" s="24" t="n"/>
      <c r="H260" s="24" t="n"/>
      <c r="I260" s="26" t="n"/>
      <c r="J260" s="24" t="n"/>
      <c r="K260" s="22" t="n"/>
      <c r="L260" s="70" t="n"/>
      <c r="M260" s="27">
        <f>IF(E260="","",SUMIFS(tbl_Finance[Ex GST],tbl_Finance[Job Number],E260&amp;""))</f>
        <v/>
      </c>
      <c r="N260" s="27">
        <f>IF(J260&lt;&gt;"Won","",IF(E260="",N(I260),I260-M260))</f>
        <v/>
      </c>
      <c r="O260" s="24" t="n"/>
    </row>
    <row r="261" ht="15" customHeight="1">
      <c r="A261" s="70" t="n"/>
      <c r="B261" s="24" t="n"/>
      <c r="C261" s="24" t="n"/>
      <c r="D261" s="24" t="n"/>
      <c r="E261" s="24" t="n"/>
      <c r="F261" s="25">
        <f>IF(E261="","",IF(COUNTIF(lst_Jobs,E261&amp;"")&gt;0,"OK","CHECK"))</f>
        <v/>
      </c>
      <c r="G261" s="24" t="n"/>
      <c r="H261" s="24" t="n"/>
      <c r="I261" s="26" t="n"/>
      <c r="J261" s="24" t="n"/>
      <c r="K261" s="22" t="n"/>
      <c r="L261" s="70" t="n"/>
      <c r="M261" s="27">
        <f>IF(E261="","",SUMIFS(tbl_Finance[Ex GST],tbl_Finance[Job Number],E261&amp;""))</f>
        <v/>
      </c>
      <c r="N261" s="27">
        <f>IF(J261&lt;&gt;"Won","",IF(E261="",N(I261),I261-M261))</f>
        <v/>
      </c>
      <c r="O261" s="24" t="n"/>
    </row>
    <row r="262" ht="15" customHeight="1">
      <c r="A262" s="70" t="n"/>
      <c r="B262" s="24" t="n"/>
      <c r="C262" s="24" t="n"/>
      <c r="D262" s="24" t="n"/>
      <c r="E262" s="24" t="n"/>
      <c r="F262" s="25">
        <f>IF(E262="","",IF(COUNTIF(lst_Jobs,E262&amp;"")&gt;0,"OK","CHECK"))</f>
        <v/>
      </c>
      <c r="G262" s="24" t="n"/>
      <c r="H262" s="24" t="n"/>
      <c r="I262" s="26" t="n"/>
      <c r="J262" s="24" t="n"/>
      <c r="K262" s="22" t="n"/>
      <c r="L262" s="70" t="n"/>
      <c r="M262" s="27">
        <f>IF(E262="","",SUMIFS(tbl_Finance[Ex GST],tbl_Finance[Job Number],E262&amp;""))</f>
        <v/>
      </c>
      <c r="N262" s="27">
        <f>IF(J262&lt;&gt;"Won","",IF(E262="",N(I262),I262-M262))</f>
        <v/>
      </c>
      <c r="O262" s="24" t="n"/>
    </row>
    <row r="263" ht="15" customHeight="1">
      <c r="A263" s="70" t="n"/>
      <c r="B263" s="24" t="n"/>
      <c r="C263" s="24" t="n"/>
      <c r="D263" s="24" t="n"/>
      <c r="E263" s="24" t="n"/>
      <c r="F263" s="25">
        <f>IF(E263="","",IF(COUNTIF(lst_Jobs,E263&amp;"")&gt;0,"OK","CHECK"))</f>
        <v/>
      </c>
      <c r="G263" s="24" t="n"/>
      <c r="H263" s="24" t="n"/>
      <c r="I263" s="26" t="n"/>
      <c r="J263" s="24" t="n"/>
      <c r="K263" s="22" t="n"/>
      <c r="L263" s="70" t="n"/>
      <c r="M263" s="27">
        <f>IF(E263="","",SUMIFS(tbl_Finance[Ex GST],tbl_Finance[Job Number],E263&amp;""))</f>
        <v/>
      </c>
      <c r="N263" s="27">
        <f>IF(J263&lt;&gt;"Won","",IF(E263="",N(I263),I263-M263))</f>
        <v/>
      </c>
      <c r="O263" s="24" t="n"/>
    </row>
    <row r="264" ht="15" customHeight="1">
      <c r="A264" s="70" t="n"/>
      <c r="B264" s="24" t="n"/>
      <c r="C264" s="24" t="n"/>
      <c r="D264" s="24" t="n"/>
      <c r="E264" s="24" t="n"/>
      <c r="F264" s="25">
        <f>IF(E264="","",IF(COUNTIF(lst_Jobs,E264&amp;"")&gt;0,"OK","CHECK"))</f>
        <v/>
      </c>
      <c r="G264" s="24" t="n"/>
      <c r="H264" s="24" t="n"/>
      <c r="I264" s="26" t="n"/>
      <c r="J264" s="24" t="n"/>
      <c r="K264" s="22" t="n"/>
      <c r="L264" s="70" t="n"/>
      <c r="M264" s="27">
        <f>IF(E264="","",SUMIFS(tbl_Finance[Ex GST],tbl_Finance[Job Number],E264&amp;""))</f>
        <v/>
      </c>
      <c r="N264" s="27">
        <f>IF(J264&lt;&gt;"Won","",IF(E264="",N(I264),I264-M264))</f>
        <v/>
      </c>
      <c r="O264" s="24" t="n"/>
    </row>
    <row r="265" ht="15" customHeight="1">
      <c r="A265" s="70" t="n"/>
      <c r="B265" s="24" t="n"/>
      <c r="C265" s="24" t="n"/>
      <c r="D265" s="24" t="n"/>
      <c r="E265" s="24" t="n"/>
      <c r="F265" s="25">
        <f>IF(E265="","",IF(COUNTIF(lst_Jobs,E265&amp;"")&gt;0,"OK","CHECK"))</f>
        <v/>
      </c>
      <c r="G265" s="24" t="n"/>
      <c r="H265" s="24" t="n"/>
      <c r="I265" s="26" t="n"/>
      <c r="J265" s="24" t="n"/>
      <c r="K265" s="22" t="n"/>
      <c r="L265" s="70" t="n"/>
      <c r="M265" s="27">
        <f>IF(E265="","",SUMIFS(tbl_Finance[Ex GST],tbl_Finance[Job Number],E265&amp;""))</f>
        <v/>
      </c>
      <c r="N265" s="27">
        <f>IF(J265&lt;&gt;"Won","",IF(E265="",N(I265),I265-M265))</f>
        <v/>
      </c>
      <c r="O265" s="24" t="n"/>
    </row>
    <row r="266" ht="15" customHeight="1">
      <c r="A266" s="70" t="n"/>
      <c r="B266" s="24" t="n"/>
      <c r="C266" s="24" t="n"/>
      <c r="D266" s="24" t="n"/>
      <c r="E266" s="24" t="n"/>
      <c r="F266" s="25">
        <f>IF(E266="","",IF(COUNTIF(lst_Jobs,E266&amp;"")&gt;0,"OK","CHECK"))</f>
        <v/>
      </c>
      <c r="G266" s="24" t="n"/>
      <c r="H266" s="24" t="n"/>
      <c r="I266" s="26" t="n"/>
      <c r="J266" s="24" t="n"/>
      <c r="K266" s="22" t="n"/>
      <c r="L266" s="70" t="n"/>
      <c r="M266" s="27">
        <f>IF(E266="","",SUMIFS(tbl_Finance[Ex GST],tbl_Finance[Job Number],E266&amp;""))</f>
        <v/>
      </c>
      <c r="N266" s="27">
        <f>IF(J266&lt;&gt;"Won","",IF(E266="",N(I266),I266-M266))</f>
        <v/>
      </c>
      <c r="O266" s="24" t="n"/>
    </row>
    <row r="267" ht="15" customHeight="1">
      <c r="A267" s="70" t="n"/>
      <c r="B267" s="24" t="n"/>
      <c r="C267" s="24" t="n"/>
      <c r="D267" s="24" t="n"/>
      <c r="E267" s="24" t="n"/>
      <c r="F267" s="25">
        <f>IF(E267="","",IF(COUNTIF(lst_Jobs,E267&amp;"")&gt;0,"OK","CHECK"))</f>
        <v/>
      </c>
      <c r="G267" s="24" t="n"/>
      <c r="H267" s="24" t="n"/>
      <c r="I267" s="26" t="n"/>
      <c r="J267" s="24" t="n"/>
      <c r="K267" s="22" t="n"/>
      <c r="L267" s="70" t="n"/>
      <c r="M267" s="27">
        <f>IF(E267="","",SUMIFS(tbl_Finance[Ex GST],tbl_Finance[Job Number],E267&amp;""))</f>
        <v/>
      </c>
      <c r="N267" s="27">
        <f>IF(J267&lt;&gt;"Won","",IF(E267="",N(I267),I267-M267))</f>
        <v/>
      </c>
      <c r="O267" s="24" t="n"/>
    </row>
    <row r="268" ht="15" customHeight="1">
      <c r="A268" s="70" t="n"/>
      <c r="B268" s="24" t="n"/>
      <c r="C268" s="24" t="n"/>
      <c r="D268" s="24" t="n"/>
      <c r="E268" s="24" t="n"/>
      <c r="F268" s="25">
        <f>IF(E268="","",IF(COUNTIF(lst_Jobs,E268&amp;"")&gt;0,"OK","CHECK"))</f>
        <v/>
      </c>
      <c r="G268" s="24" t="n"/>
      <c r="H268" s="24" t="n"/>
      <c r="I268" s="26" t="n"/>
      <c r="J268" s="24" t="n"/>
      <c r="K268" s="22" t="n"/>
      <c r="L268" s="70" t="n"/>
      <c r="M268" s="27">
        <f>IF(E268="","",SUMIFS(tbl_Finance[Ex GST],tbl_Finance[Job Number],E268&amp;""))</f>
        <v/>
      </c>
      <c r="N268" s="27">
        <f>IF(J268&lt;&gt;"Won","",IF(E268="",N(I268),I268-M268))</f>
        <v/>
      </c>
      <c r="O268" s="24" t="n"/>
    </row>
    <row r="269" ht="15" customHeight="1">
      <c r="A269" s="70" t="n"/>
      <c r="B269" s="24" t="n"/>
      <c r="C269" s="24" t="n"/>
      <c r="D269" s="24" t="n"/>
      <c r="E269" s="24" t="n"/>
      <c r="F269" s="25">
        <f>IF(E269="","",IF(COUNTIF(lst_Jobs,E269&amp;"")&gt;0,"OK","CHECK"))</f>
        <v/>
      </c>
      <c r="G269" s="24" t="n"/>
      <c r="H269" s="24" t="n"/>
      <c r="I269" s="26" t="n"/>
      <c r="J269" s="24" t="n"/>
      <c r="K269" s="22" t="n"/>
      <c r="L269" s="70" t="n"/>
      <c r="M269" s="27">
        <f>IF(E269="","",SUMIFS(tbl_Finance[Ex GST],tbl_Finance[Job Number],E269&amp;""))</f>
        <v/>
      </c>
      <c r="N269" s="27">
        <f>IF(J269&lt;&gt;"Won","",IF(E269="",N(I269),I269-M269))</f>
        <v/>
      </c>
      <c r="O269" s="24" t="n"/>
    </row>
    <row r="270" ht="15" customHeight="1">
      <c r="A270" s="70" t="n"/>
      <c r="B270" s="24" t="n"/>
      <c r="C270" s="24" t="n"/>
      <c r="D270" s="24" t="n"/>
      <c r="E270" s="24" t="n"/>
      <c r="F270" s="25">
        <f>IF(E270="","",IF(COUNTIF(lst_Jobs,E270&amp;"")&gt;0,"OK","CHECK"))</f>
        <v/>
      </c>
      <c r="G270" s="24" t="n"/>
      <c r="H270" s="24" t="n"/>
      <c r="I270" s="26" t="n"/>
      <c r="J270" s="24" t="n"/>
      <c r="K270" s="22" t="n"/>
      <c r="L270" s="70" t="n"/>
      <c r="M270" s="27">
        <f>IF(E270="","",SUMIFS(tbl_Finance[Ex GST],tbl_Finance[Job Number],E270&amp;""))</f>
        <v/>
      </c>
      <c r="N270" s="27">
        <f>IF(J270&lt;&gt;"Won","",IF(E270="",N(I270),I270-M270))</f>
        <v/>
      </c>
      <c r="O270" s="24" t="n"/>
    </row>
    <row r="271" ht="15" customHeight="1">
      <c r="A271" s="70" t="n"/>
      <c r="B271" s="24" t="n"/>
      <c r="C271" s="24" t="n"/>
      <c r="D271" s="24" t="n"/>
      <c r="E271" s="24" t="n"/>
      <c r="F271" s="25">
        <f>IF(E271="","",IF(COUNTIF(lst_Jobs,E271&amp;"")&gt;0,"OK","CHECK"))</f>
        <v/>
      </c>
      <c r="G271" s="24" t="n"/>
      <c r="H271" s="24" t="n"/>
      <c r="I271" s="26" t="n"/>
      <c r="J271" s="24" t="n"/>
      <c r="K271" s="22" t="n"/>
      <c r="L271" s="70" t="n"/>
      <c r="M271" s="27">
        <f>IF(E271="","",SUMIFS(tbl_Finance[Ex GST],tbl_Finance[Job Number],E271&amp;""))</f>
        <v/>
      </c>
      <c r="N271" s="27">
        <f>IF(J271&lt;&gt;"Won","",IF(E271="",N(I271),I271-M271))</f>
        <v/>
      </c>
      <c r="O271" s="24" t="n"/>
    </row>
    <row r="272" ht="15" customHeight="1">
      <c r="A272" s="70" t="n"/>
      <c r="B272" s="24" t="n"/>
      <c r="C272" s="24" t="n"/>
      <c r="D272" s="24" t="n"/>
      <c r="E272" s="24" t="n"/>
      <c r="F272" s="25">
        <f>IF(E272="","",IF(COUNTIF(lst_Jobs,E272&amp;"")&gt;0,"OK","CHECK"))</f>
        <v/>
      </c>
      <c r="G272" s="24" t="n"/>
      <c r="H272" s="24" t="n"/>
      <c r="I272" s="26" t="n"/>
      <c r="J272" s="24" t="n"/>
      <c r="K272" s="22" t="n"/>
      <c r="L272" s="70" t="n"/>
      <c r="M272" s="27">
        <f>IF(E272="","",SUMIFS(tbl_Finance[Ex GST],tbl_Finance[Job Number],E272&amp;""))</f>
        <v/>
      </c>
      <c r="N272" s="27">
        <f>IF(J272&lt;&gt;"Won","",IF(E272="",N(I272),I272-M272))</f>
        <v/>
      </c>
      <c r="O272" s="24" t="n"/>
    </row>
    <row r="273" ht="15" customHeight="1">
      <c r="A273" s="70" t="n"/>
      <c r="B273" s="24" t="n"/>
      <c r="C273" s="24" t="n"/>
      <c r="D273" s="24" t="n"/>
      <c r="E273" s="24" t="n"/>
      <c r="F273" s="25">
        <f>IF(E273="","",IF(COUNTIF(lst_Jobs,E273&amp;"")&gt;0,"OK","CHECK"))</f>
        <v/>
      </c>
      <c r="G273" s="24" t="n"/>
      <c r="H273" s="24" t="n"/>
      <c r="I273" s="26" t="n"/>
      <c r="J273" s="24" t="n"/>
      <c r="K273" s="22" t="n"/>
      <c r="L273" s="70" t="n"/>
      <c r="M273" s="27">
        <f>IF(E273="","",SUMIFS(tbl_Finance[Ex GST],tbl_Finance[Job Number],E273&amp;""))</f>
        <v/>
      </c>
      <c r="N273" s="27">
        <f>IF(J273&lt;&gt;"Won","",IF(E273="",N(I273),I273-M273))</f>
        <v/>
      </c>
      <c r="O273" s="24" t="n"/>
    </row>
    <row r="274" ht="15" customHeight="1">
      <c r="A274" s="70" t="n"/>
      <c r="B274" s="24" t="n"/>
      <c r="C274" s="24" t="n"/>
      <c r="D274" s="24" t="n"/>
      <c r="E274" s="24" t="n"/>
      <c r="F274" s="25">
        <f>IF(E274="","",IF(COUNTIF(lst_Jobs,E274&amp;"")&gt;0,"OK","CHECK"))</f>
        <v/>
      </c>
      <c r="G274" s="24" t="n"/>
      <c r="H274" s="24" t="n"/>
      <c r="I274" s="26" t="n"/>
      <c r="J274" s="24" t="n"/>
      <c r="K274" s="22" t="n"/>
      <c r="L274" s="70" t="n"/>
      <c r="M274" s="27">
        <f>IF(E274="","",SUMIFS(tbl_Finance[Ex GST],tbl_Finance[Job Number],E274&amp;""))</f>
        <v/>
      </c>
      <c r="N274" s="27">
        <f>IF(J274&lt;&gt;"Won","",IF(E274="",N(I274),I274-M274))</f>
        <v/>
      </c>
      <c r="O274" s="24" t="n"/>
    </row>
    <row r="275" ht="15" customHeight="1">
      <c r="A275" s="70" t="n"/>
      <c r="B275" s="24" t="n"/>
      <c r="C275" s="24" t="n"/>
      <c r="D275" s="24" t="n"/>
      <c r="E275" s="24" t="n"/>
      <c r="F275" s="25">
        <f>IF(E275="","",IF(COUNTIF(lst_Jobs,E275&amp;"")&gt;0,"OK","CHECK"))</f>
        <v/>
      </c>
      <c r="G275" s="24" t="n"/>
      <c r="H275" s="24" t="n"/>
      <c r="I275" s="26" t="n"/>
      <c r="J275" s="24" t="n"/>
      <c r="K275" s="22" t="n"/>
      <c r="L275" s="70" t="n"/>
      <c r="M275" s="27">
        <f>IF(E275="","",SUMIFS(tbl_Finance[Ex GST],tbl_Finance[Job Number],E275&amp;""))</f>
        <v/>
      </c>
      <c r="N275" s="27">
        <f>IF(J275&lt;&gt;"Won","",IF(E275="",N(I275),I275-M275))</f>
        <v/>
      </c>
      <c r="O275" s="24" t="n"/>
    </row>
    <row r="276" ht="15" customHeight="1">
      <c r="A276" s="70" t="n"/>
      <c r="B276" s="24" t="n"/>
      <c r="C276" s="24" t="n"/>
      <c r="D276" s="24" t="n"/>
      <c r="E276" s="24" t="n"/>
      <c r="F276" s="25">
        <f>IF(E276="","",IF(COUNTIF(lst_Jobs,E276&amp;"")&gt;0,"OK","CHECK"))</f>
        <v/>
      </c>
      <c r="G276" s="24" t="n"/>
      <c r="H276" s="24" t="n"/>
      <c r="I276" s="26" t="n"/>
      <c r="J276" s="24" t="n"/>
      <c r="K276" s="22" t="n"/>
      <c r="L276" s="70" t="n"/>
      <c r="M276" s="27">
        <f>IF(E276="","",SUMIFS(tbl_Finance[Ex GST],tbl_Finance[Job Number],E276&amp;""))</f>
        <v/>
      </c>
      <c r="N276" s="27">
        <f>IF(J276&lt;&gt;"Won","",IF(E276="",N(I276),I276-M276))</f>
        <v/>
      </c>
      <c r="O276" s="24" t="n"/>
    </row>
    <row r="277" ht="15" customHeight="1">
      <c r="A277" s="70" t="n"/>
      <c r="B277" s="24" t="n"/>
      <c r="C277" s="24" t="n"/>
      <c r="D277" s="24" t="n"/>
      <c r="E277" s="24" t="n"/>
      <c r="F277" s="25">
        <f>IF(E277="","",IF(COUNTIF(lst_Jobs,E277&amp;"")&gt;0,"OK","CHECK"))</f>
        <v/>
      </c>
      <c r="G277" s="24" t="n"/>
      <c r="H277" s="24" t="n"/>
      <c r="I277" s="26" t="n"/>
      <c r="J277" s="24" t="n"/>
      <c r="K277" s="22" t="n"/>
      <c r="L277" s="70" t="n"/>
      <c r="M277" s="27">
        <f>IF(E277="","",SUMIFS(tbl_Finance[Ex GST],tbl_Finance[Job Number],E277&amp;""))</f>
        <v/>
      </c>
      <c r="N277" s="27">
        <f>IF(J277&lt;&gt;"Won","",IF(E277="",N(I277),I277-M277))</f>
        <v/>
      </c>
      <c r="O277" s="24" t="n"/>
    </row>
    <row r="278" ht="15" customHeight="1">
      <c r="A278" s="70" t="n"/>
      <c r="B278" s="24" t="n"/>
      <c r="C278" s="24" t="n"/>
      <c r="D278" s="24" t="n"/>
      <c r="E278" s="24" t="n"/>
      <c r="F278" s="25">
        <f>IF(E278="","",IF(COUNTIF(lst_Jobs,E278&amp;"")&gt;0,"OK","CHECK"))</f>
        <v/>
      </c>
      <c r="G278" s="24" t="n"/>
      <c r="H278" s="24" t="n"/>
      <c r="I278" s="26" t="n"/>
      <c r="J278" s="24" t="n"/>
      <c r="K278" s="22" t="n"/>
      <c r="L278" s="70" t="n"/>
      <c r="M278" s="27">
        <f>IF(E278="","",SUMIFS(tbl_Finance[Ex GST],tbl_Finance[Job Number],E278&amp;""))</f>
        <v/>
      </c>
      <c r="N278" s="27">
        <f>IF(J278&lt;&gt;"Won","",IF(E278="",N(I278),I278-M278))</f>
        <v/>
      </c>
      <c r="O278" s="24" t="n"/>
    </row>
    <row r="279" ht="15" customHeight="1">
      <c r="A279" s="70" t="n"/>
      <c r="B279" s="24" t="n"/>
      <c r="C279" s="24" t="n"/>
      <c r="D279" s="24" t="n"/>
      <c r="E279" s="24" t="n"/>
      <c r="F279" s="25">
        <f>IF(E279="","",IF(COUNTIF(lst_Jobs,E279&amp;"")&gt;0,"OK","CHECK"))</f>
        <v/>
      </c>
      <c r="G279" s="24" t="n"/>
      <c r="H279" s="24" t="n"/>
      <c r="I279" s="26" t="n"/>
      <c r="J279" s="24" t="n"/>
      <c r="K279" s="22" t="n"/>
      <c r="L279" s="70" t="n"/>
      <c r="M279" s="27">
        <f>IF(E279="","",SUMIFS(tbl_Finance[Ex GST],tbl_Finance[Job Number],E279&amp;""))</f>
        <v/>
      </c>
      <c r="N279" s="27">
        <f>IF(J279&lt;&gt;"Won","",IF(E279="",N(I279),I279-M279))</f>
        <v/>
      </c>
      <c r="O279" s="24" t="n"/>
    </row>
    <row r="280" ht="15" customHeight="1">
      <c r="A280" s="70" t="n"/>
      <c r="B280" s="24" t="n"/>
      <c r="C280" s="24" t="n"/>
      <c r="D280" s="24" t="n"/>
      <c r="E280" s="24" t="n"/>
      <c r="F280" s="25">
        <f>IF(E280="","",IF(COUNTIF(lst_Jobs,E280&amp;"")&gt;0,"OK","CHECK"))</f>
        <v/>
      </c>
      <c r="G280" s="24" t="n"/>
      <c r="H280" s="24" t="n"/>
      <c r="I280" s="26" t="n"/>
      <c r="J280" s="24" t="n"/>
      <c r="K280" s="22" t="n"/>
      <c r="L280" s="70" t="n"/>
      <c r="M280" s="27">
        <f>IF(E280="","",SUMIFS(tbl_Finance[Ex GST],tbl_Finance[Job Number],E280&amp;""))</f>
        <v/>
      </c>
      <c r="N280" s="27">
        <f>IF(J280&lt;&gt;"Won","",IF(E280="",N(I280),I280-M280))</f>
        <v/>
      </c>
      <c r="O280" s="24" t="n"/>
    </row>
    <row r="281" ht="15" customHeight="1">
      <c r="A281" s="70" t="n"/>
      <c r="B281" s="24" t="n"/>
      <c r="C281" s="24" t="n"/>
      <c r="D281" s="24" t="n"/>
      <c r="E281" s="24" t="n"/>
      <c r="F281" s="25">
        <f>IF(E281="","",IF(COUNTIF(lst_Jobs,E281&amp;"")&gt;0,"OK","CHECK"))</f>
        <v/>
      </c>
      <c r="G281" s="24" t="n"/>
      <c r="H281" s="24" t="n"/>
      <c r="I281" s="26" t="n"/>
      <c r="J281" s="24" t="n"/>
      <c r="K281" s="22" t="n"/>
      <c r="L281" s="70" t="n"/>
      <c r="M281" s="27">
        <f>IF(E281="","",SUMIFS(tbl_Finance[Ex GST],tbl_Finance[Job Number],E281&amp;""))</f>
        <v/>
      </c>
      <c r="N281" s="27">
        <f>IF(J281&lt;&gt;"Won","",IF(E281="",N(I281),I281-M281))</f>
        <v/>
      </c>
      <c r="O281" s="24" t="n"/>
    </row>
    <row r="282" ht="15" customHeight="1">
      <c r="A282" s="70" t="n"/>
      <c r="B282" s="24" t="n"/>
      <c r="C282" s="24" t="n"/>
      <c r="D282" s="24" t="n"/>
      <c r="E282" s="24" t="n"/>
      <c r="F282" s="25">
        <f>IF(E282="","",IF(COUNTIF(lst_Jobs,E282&amp;"")&gt;0,"OK","CHECK"))</f>
        <v/>
      </c>
      <c r="G282" s="24" t="n"/>
      <c r="H282" s="24" t="n"/>
      <c r="I282" s="26" t="n"/>
      <c r="J282" s="24" t="n"/>
      <c r="K282" s="22" t="n"/>
      <c r="L282" s="70" t="n"/>
      <c r="M282" s="27">
        <f>IF(E282="","",SUMIFS(tbl_Finance[Ex GST],tbl_Finance[Job Number],E282&amp;""))</f>
        <v/>
      </c>
      <c r="N282" s="27">
        <f>IF(J282&lt;&gt;"Won","",IF(E282="",N(I282),I282-M282))</f>
        <v/>
      </c>
      <c r="O282" s="24" t="n"/>
    </row>
    <row r="283" ht="15" customHeight="1">
      <c r="A283" s="70" t="n"/>
      <c r="B283" s="24" t="n"/>
      <c r="C283" s="24" t="n"/>
      <c r="D283" s="24" t="n"/>
      <c r="E283" s="24" t="n"/>
      <c r="F283" s="25">
        <f>IF(E283="","",IF(COUNTIF(lst_Jobs,E283&amp;"")&gt;0,"OK","CHECK"))</f>
        <v/>
      </c>
      <c r="G283" s="24" t="n"/>
      <c r="H283" s="24" t="n"/>
      <c r="I283" s="26" t="n"/>
      <c r="J283" s="24" t="n"/>
      <c r="K283" s="22" t="n"/>
      <c r="L283" s="70" t="n"/>
      <c r="M283" s="27">
        <f>IF(E283="","",SUMIFS(tbl_Finance[Ex GST],tbl_Finance[Job Number],E283&amp;""))</f>
        <v/>
      </c>
      <c r="N283" s="27">
        <f>IF(J283&lt;&gt;"Won","",IF(E283="",N(I283),I283-M283))</f>
        <v/>
      </c>
      <c r="O283" s="24" t="n"/>
    </row>
    <row r="284" ht="15" customHeight="1">
      <c r="A284" s="70" t="n"/>
      <c r="B284" s="24" t="n"/>
      <c r="C284" s="24" t="n"/>
      <c r="D284" s="24" t="n"/>
      <c r="E284" s="24" t="n"/>
      <c r="F284" s="25">
        <f>IF(E284="","",IF(COUNTIF(lst_Jobs,E284&amp;"")&gt;0,"OK","CHECK"))</f>
        <v/>
      </c>
      <c r="G284" s="24" t="n"/>
      <c r="H284" s="24" t="n"/>
      <c r="I284" s="26" t="n"/>
      <c r="J284" s="24" t="n"/>
      <c r="K284" s="22" t="n"/>
      <c r="L284" s="70" t="n"/>
      <c r="M284" s="27">
        <f>IF(E284="","",SUMIFS(tbl_Finance[Ex GST],tbl_Finance[Job Number],E284&amp;""))</f>
        <v/>
      </c>
      <c r="N284" s="27">
        <f>IF(J284&lt;&gt;"Won","",IF(E284="",N(I284),I284-M284))</f>
        <v/>
      </c>
      <c r="O284" s="24" t="n"/>
    </row>
    <row r="285" ht="15" customHeight="1">
      <c r="A285" s="70" t="n"/>
      <c r="B285" s="24" t="n"/>
      <c r="C285" s="24" t="n"/>
      <c r="D285" s="24" t="n"/>
      <c r="E285" s="24" t="n"/>
      <c r="F285" s="25">
        <f>IF(E285="","",IF(COUNTIF(lst_Jobs,E285&amp;"")&gt;0,"OK","CHECK"))</f>
        <v/>
      </c>
      <c r="G285" s="24" t="n"/>
      <c r="H285" s="24" t="n"/>
      <c r="I285" s="26" t="n"/>
      <c r="J285" s="24" t="n"/>
      <c r="K285" s="22" t="n"/>
      <c r="L285" s="70" t="n"/>
      <c r="M285" s="27">
        <f>IF(E285="","",SUMIFS(tbl_Finance[Ex GST],tbl_Finance[Job Number],E285&amp;""))</f>
        <v/>
      </c>
      <c r="N285" s="27">
        <f>IF(J285&lt;&gt;"Won","",IF(E285="",N(I285),I285-M285))</f>
        <v/>
      </c>
      <c r="O285" s="24" t="n"/>
    </row>
    <row r="286" ht="15" customHeight="1">
      <c r="A286" s="70" t="n"/>
      <c r="B286" s="24" t="n"/>
      <c r="C286" s="24" t="n"/>
      <c r="D286" s="24" t="n"/>
      <c r="E286" s="24" t="n"/>
      <c r="F286" s="25">
        <f>IF(E286="","",IF(COUNTIF(lst_Jobs,E286&amp;"")&gt;0,"OK","CHECK"))</f>
        <v/>
      </c>
      <c r="G286" s="24" t="n"/>
      <c r="H286" s="24" t="n"/>
      <c r="I286" s="26" t="n"/>
      <c r="J286" s="24" t="n"/>
      <c r="K286" s="22" t="n"/>
      <c r="L286" s="70" t="n"/>
      <c r="M286" s="27">
        <f>IF(E286="","",SUMIFS(tbl_Finance[Ex GST],tbl_Finance[Job Number],E286&amp;""))</f>
        <v/>
      </c>
      <c r="N286" s="27">
        <f>IF(J286&lt;&gt;"Won","",IF(E286="",N(I286),I286-M286))</f>
        <v/>
      </c>
      <c r="O286" s="24" t="n"/>
    </row>
    <row r="287" ht="15" customHeight="1">
      <c r="A287" s="70" t="n"/>
      <c r="B287" s="24" t="n"/>
      <c r="C287" s="24" t="n"/>
      <c r="D287" s="24" t="n"/>
      <c r="E287" s="24" t="n"/>
      <c r="F287" s="25">
        <f>IF(E287="","",IF(COUNTIF(lst_Jobs,E287&amp;"")&gt;0,"OK","CHECK"))</f>
        <v/>
      </c>
      <c r="G287" s="24" t="n"/>
      <c r="H287" s="24" t="n"/>
      <c r="I287" s="26" t="n"/>
      <c r="J287" s="24" t="n"/>
      <c r="K287" s="22" t="n"/>
      <c r="L287" s="70" t="n"/>
      <c r="M287" s="27">
        <f>IF(E287="","",SUMIFS(tbl_Finance[Ex GST],tbl_Finance[Job Number],E287&amp;""))</f>
        <v/>
      </c>
      <c r="N287" s="27">
        <f>IF(J287&lt;&gt;"Won","",IF(E287="",N(I287),I287-M287))</f>
        <v/>
      </c>
      <c r="O287" s="24" t="n"/>
    </row>
    <row r="288" ht="15" customHeight="1">
      <c r="A288" s="70" t="n"/>
      <c r="B288" s="24" t="n"/>
      <c r="C288" s="24" t="n"/>
      <c r="D288" s="24" t="n"/>
      <c r="E288" s="24" t="n"/>
      <c r="F288" s="25">
        <f>IF(E288="","",IF(COUNTIF(lst_Jobs,E288&amp;"")&gt;0,"OK","CHECK"))</f>
        <v/>
      </c>
      <c r="G288" s="24" t="n"/>
      <c r="H288" s="24" t="n"/>
      <c r="I288" s="26" t="n"/>
      <c r="J288" s="24" t="n"/>
      <c r="K288" s="22" t="n"/>
      <c r="L288" s="70" t="n"/>
      <c r="M288" s="27">
        <f>IF(E288="","",SUMIFS(tbl_Finance[Ex GST],tbl_Finance[Job Number],E288&amp;""))</f>
        <v/>
      </c>
      <c r="N288" s="27">
        <f>IF(J288&lt;&gt;"Won","",IF(E288="",N(I288),I288-M288))</f>
        <v/>
      </c>
      <c r="O288" s="24" t="n"/>
    </row>
    <row r="289" ht="15" customHeight="1">
      <c r="A289" s="70" t="n"/>
      <c r="B289" s="24" t="n"/>
      <c r="C289" s="24" t="n"/>
      <c r="D289" s="24" t="n"/>
      <c r="E289" s="24" t="n"/>
      <c r="F289" s="25">
        <f>IF(E289="","",IF(COUNTIF(lst_Jobs,E289&amp;"")&gt;0,"OK","CHECK"))</f>
        <v/>
      </c>
      <c r="G289" s="24" t="n"/>
      <c r="H289" s="24" t="n"/>
      <c r="I289" s="26" t="n"/>
      <c r="J289" s="24" t="n"/>
      <c r="K289" s="22" t="n"/>
      <c r="L289" s="70" t="n"/>
      <c r="M289" s="27">
        <f>IF(E289="","",SUMIFS(tbl_Finance[Ex GST],tbl_Finance[Job Number],E289&amp;""))</f>
        <v/>
      </c>
      <c r="N289" s="27">
        <f>IF(J289&lt;&gt;"Won","",IF(E289="",N(I289),I289-M289))</f>
        <v/>
      </c>
      <c r="O289" s="24" t="n"/>
    </row>
    <row r="290" ht="15" customHeight="1">
      <c r="A290" s="70" t="n"/>
      <c r="B290" s="24" t="n"/>
      <c r="C290" s="24" t="n"/>
      <c r="D290" s="24" t="n"/>
      <c r="E290" s="24" t="n"/>
      <c r="F290" s="25">
        <f>IF(E290="","",IF(COUNTIF(lst_Jobs,E290&amp;"")&gt;0,"OK","CHECK"))</f>
        <v/>
      </c>
      <c r="G290" s="24" t="n"/>
      <c r="H290" s="24" t="n"/>
      <c r="I290" s="26" t="n"/>
      <c r="J290" s="24" t="n"/>
      <c r="K290" s="22" t="n"/>
      <c r="L290" s="70" t="n"/>
      <c r="M290" s="27">
        <f>IF(E290="","",SUMIFS(tbl_Finance[Ex GST],tbl_Finance[Job Number],E290&amp;""))</f>
        <v/>
      </c>
      <c r="N290" s="27">
        <f>IF(J290&lt;&gt;"Won","",IF(E290="",N(I290),I290-M290))</f>
        <v/>
      </c>
      <c r="O290" s="24" t="n"/>
    </row>
    <row r="291" ht="15" customHeight="1">
      <c r="A291" s="70" t="n"/>
      <c r="B291" s="24" t="n"/>
      <c r="C291" s="24" t="n"/>
      <c r="D291" s="24" t="n"/>
      <c r="E291" s="24" t="n"/>
      <c r="F291" s="25">
        <f>IF(E291="","",IF(COUNTIF(lst_Jobs,E291&amp;"")&gt;0,"OK","CHECK"))</f>
        <v/>
      </c>
      <c r="G291" s="24" t="n"/>
      <c r="H291" s="24" t="n"/>
      <c r="I291" s="26" t="n"/>
      <c r="J291" s="24" t="n"/>
      <c r="K291" s="22" t="n"/>
      <c r="L291" s="70" t="n"/>
      <c r="M291" s="27">
        <f>IF(E291="","",SUMIFS(tbl_Finance[Ex GST],tbl_Finance[Job Number],E291&amp;""))</f>
        <v/>
      </c>
      <c r="N291" s="27">
        <f>IF(J291&lt;&gt;"Won","",IF(E291="",N(I291),I291-M291))</f>
        <v/>
      </c>
      <c r="O291" s="24" t="n"/>
    </row>
    <row r="292" ht="15" customHeight="1">
      <c r="A292" s="70" t="n"/>
      <c r="B292" s="24" t="n"/>
      <c r="C292" s="24" t="n"/>
      <c r="D292" s="24" t="n"/>
      <c r="E292" s="24" t="n"/>
      <c r="F292" s="25">
        <f>IF(E292="","",IF(COUNTIF(lst_Jobs,E292&amp;"")&gt;0,"OK","CHECK"))</f>
        <v/>
      </c>
      <c r="G292" s="24" t="n"/>
      <c r="H292" s="24" t="n"/>
      <c r="I292" s="26" t="n"/>
      <c r="J292" s="24" t="n"/>
      <c r="K292" s="22" t="n"/>
      <c r="L292" s="70" t="n"/>
      <c r="M292" s="27">
        <f>IF(E292="","",SUMIFS(tbl_Finance[Ex GST],tbl_Finance[Job Number],E292&amp;""))</f>
        <v/>
      </c>
      <c r="N292" s="27">
        <f>IF(J292&lt;&gt;"Won","",IF(E292="",N(I292),I292-M292))</f>
        <v/>
      </c>
      <c r="O292" s="24" t="n"/>
    </row>
    <row r="293" ht="15" customHeight="1">
      <c r="A293" s="70" t="n"/>
      <c r="B293" s="24" t="n"/>
      <c r="C293" s="24" t="n"/>
      <c r="D293" s="24" t="n"/>
      <c r="E293" s="24" t="n"/>
      <c r="F293" s="25">
        <f>IF(E293="","",IF(COUNTIF(lst_Jobs,E293&amp;"")&gt;0,"OK","CHECK"))</f>
        <v/>
      </c>
      <c r="G293" s="24" t="n"/>
      <c r="H293" s="24" t="n"/>
      <c r="I293" s="26" t="n"/>
      <c r="J293" s="24" t="n"/>
      <c r="K293" s="22" t="n"/>
      <c r="L293" s="70" t="n"/>
      <c r="M293" s="27">
        <f>IF(E293="","",SUMIFS(tbl_Finance[Ex GST],tbl_Finance[Job Number],E293&amp;""))</f>
        <v/>
      </c>
      <c r="N293" s="27">
        <f>IF(J293&lt;&gt;"Won","",IF(E293="",N(I293),I293-M293))</f>
        <v/>
      </c>
      <c r="O293" s="24" t="n"/>
    </row>
    <row r="294" ht="15" customHeight="1">
      <c r="A294" s="70" t="n"/>
      <c r="B294" s="24" t="n"/>
      <c r="C294" s="24" t="n"/>
      <c r="D294" s="24" t="n"/>
      <c r="E294" s="24" t="n"/>
      <c r="F294" s="25">
        <f>IF(E294="","",IF(COUNTIF(lst_Jobs,E294&amp;"")&gt;0,"OK","CHECK"))</f>
        <v/>
      </c>
      <c r="G294" s="24" t="n"/>
      <c r="H294" s="24" t="n"/>
      <c r="I294" s="26" t="n"/>
      <c r="J294" s="24" t="n"/>
      <c r="K294" s="22" t="n"/>
      <c r="L294" s="70" t="n"/>
      <c r="M294" s="27">
        <f>IF(E294="","",SUMIFS(tbl_Finance[Ex GST],tbl_Finance[Job Number],E294&amp;""))</f>
        <v/>
      </c>
      <c r="N294" s="27">
        <f>IF(J294&lt;&gt;"Won","",IF(E294="",N(I294),I294-M294))</f>
        <v/>
      </c>
      <c r="O294" s="24" t="n"/>
    </row>
    <row r="295" ht="15" customHeight="1">
      <c r="A295" s="70" t="n"/>
      <c r="B295" s="24" t="n"/>
      <c r="C295" s="24" t="n"/>
      <c r="D295" s="24" t="n"/>
      <c r="E295" s="24" t="n"/>
      <c r="F295" s="25">
        <f>IF(E295="","",IF(COUNTIF(lst_Jobs,E295&amp;"")&gt;0,"OK","CHECK"))</f>
        <v/>
      </c>
      <c r="G295" s="24" t="n"/>
      <c r="H295" s="24" t="n"/>
      <c r="I295" s="26" t="n"/>
      <c r="J295" s="24" t="n"/>
      <c r="K295" s="22" t="n"/>
      <c r="L295" s="70" t="n"/>
      <c r="M295" s="27">
        <f>IF(E295="","",SUMIFS(tbl_Finance[Ex GST],tbl_Finance[Job Number],E295&amp;""))</f>
        <v/>
      </c>
      <c r="N295" s="27">
        <f>IF(J295&lt;&gt;"Won","",IF(E295="",N(I295),I295-M295))</f>
        <v/>
      </c>
      <c r="O295" s="24" t="n"/>
    </row>
    <row r="296" ht="15" customHeight="1">
      <c r="A296" s="70" t="n"/>
      <c r="B296" s="24" t="n"/>
      <c r="C296" s="24" t="n"/>
      <c r="D296" s="24" t="n"/>
      <c r="E296" s="24" t="n"/>
      <c r="F296" s="25">
        <f>IF(E296="","",IF(COUNTIF(lst_Jobs,E296&amp;"")&gt;0,"OK","CHECK"))</f>
        <v/>
      </c>
      <c r="G296" s="24" t="n"/>
      <c r="H296" s="24" t="n"/>
      <c r="I296" s="26" t="n"/>
      <c r="J296" s="24" t="n"/>
      <c r="K296" s="22" t="n"/>
      <c r="L296" s="70" t="n"/>
      <c r="M296" s="27">
        <f>IF(E296="","",SUMIFS(tbl_Finance[Ex GST],tbl_Finance[Job Number],E296&amp;""))</f>
        <v/>
      </c>
      <c r="N296" s="27">
        <f>IF(J296&lt;&gt;"Won","",IF(E296="",N(I296),I296-M296))</f>
        <v/>
      </c>
      <c r="O296" s="24" t="n"/>
    </row>
    <row r="297" ht="15" customHeight="1">
      <c r="A297" s="70" t="n"/>
      <c r="B297" s="24" t="n"/>
      <c r="C297" s="24" t="n"/>
      <c r="D297" s="24" t="n"/>
      <c r="E297" s="24" t="n"/>
      <c r="F297" s="25">
        <f>IF(E297="","",IF(COUNTIF(lst_Jobs,E297&amp;"")&gt;0,"OK","CHECK"))</f>
        <v/>
      </c>
      <c r="G297" s="24" t="n"/>
      <c r="H297" s="24" t="n"/>
      <c r="I297" s="26" t="n"/>
      <c r="J297" s="24" t="n"/>
      <c r="K297" s="22" t="n"/>
      <c r="L297" s="70" t="n"/>
      <c r="M297" s="27">
        <f>IF(E297="","",SUMIFS(tbl_Finance[Ex GST],tbl_Finance[Job Number],E297&amp;""))</f>
        <v/>
      </c>
      <c r="N297" s="27">
        <f>IF(J297&lt;&gt;"Won","",IF(E297="",N(I297),I297-M297))</f>
        <v/>
      </c>
      <c r="O297" s="24" t="n"/>
    </row>
    <row r="298" ht="15" customHeight="1">
      <c r="A298" s="70" t="n"/>
      <c r="B298" s="24" t="n"/>
      <c r="C298" s="24" t="n"/>
      <c r="D298" s="24" t="n"/>
      <c r="E298" s="24" t="n"/>
      <c r="F298" s="25">
        <f>IF(E298="","",IF(COUNTIF(lst_Jobs,E298&amp;"")&gt;0,"OK","CHECK"))</f>
        <v/>
      </c>
      <c r="G298" s="24" t="n"/>
      <c r="H298" s="24" t="n"/>
      <c r="I298" s="26" t="n"/>
      <c r="J298" s="24" t="n"/>
      <c r="K298" s="22" t="n"/>
      <c r="L298" s="70" t="n"/>
      <c r="M298" s="27">
        <f>IF(E298="","",SUMIFS(tbl_Finance[Ex GST],tbl_Finance[Job Number],E298&amp;""))</f>
        <v/>
      </c>
      <c r="N298" s="27">
        <f>IF(J298&lt;&gt;"Won","",IF(E298="",N(I298),I298-M298))</f>
        <v/>
      </c>
      <c r="O298" s="24" t="n"/>
    </row>
    <row r="299" ht="15" customHeight="1">
      <c r="A299" s="70" t="n"/>
      <c r="B299" s="24" t="n"/>
      <c r="C299" s="24" t="n"/>
      <c r="D299" s="24" t="n"/>
      <c r="E299" s="24" t="n"/>
      <c r="F299" s="25">
        <f>IF(E299="","",IF(COUNTIF(lst_Jobs,E299&amp;"")&gt;0,"OK","CHECK"))</f>
        <v/>
      </c>
      <c r="G299" s="24" t="n"/>
      <c r="H299" s="24" t="n"/>
      <c r="I299" s="26" t="n"/>
      <c r="J299" s="24" t="n"/>
      <c r="K299" s="22" t="n"/>
      <c r="L299" s="70" t="n"/>
      <c r="M299" s="27">
        <f>IF(E299="","",SUMIFS(tbl_Finance[Ex GST],tbl_Finance[Job Number],E299&amp;""))</f>
        <v/>
      </c>
      <c r="N299" s="27">
        <f>IF(J299&lt;&gt;"Won","",IF(E299="",N(I299),I299-M299))</f>
        <v/>
      </c>
      <c r="O299" s="24" t="n"/>
    </row>
    <row r="300" ht="15" customHeight="1">
      <c r="A300" s="70" t="n"/>
      <c r="B300" s="24" t="n"/>
      <c r="C300" s="24" t="n"/>
      <c r="D300" s="24" t="n"/>
      <c r="E300" s="24" t="n"/>
      <c r="F300" s="25">
        <f>IF(E300="","",IF(COUNTIF(lst_Jobs,E300&amp;"")&gt;0,"OK","CHECK"))</f>
        <v/>
      </c>
      <c r="G300" s="24" t="n"/>
      <c r="H300" s="24" t="n"/>
      <c r="I300" s="26" t="n"/>
      <c r="J300" s="24" t="n"/>
      <c r="K300" s="22" t="n"/>
      <c r="L300" s="70" t="n"/>
      <c r="M300" s="27">
        <f>IF(E300="","",SUMIFS(tbl_Finance[Ex GST],tbl_Finance[Job Number],E300&amp;""))</f>
        <v/>
      </c>
      <c r="N300" s="27">
        <f>IF(J300&lt;&gt;"Won","",IF(E300="",N(I300),I300-M300))</f>
        <v/>
      </c>
      <c r="O300" s="24" t="n"/>
    </row>
    <row r="301" ht="15" customHeight="1">
      <c r="A301" s="70" t="n"/>
      <c r="B301" s="24" t="n"/>
      <c r="C301" s="24" t="n"/>
      <c r="D301" s="24" t="n"/>
      <c r="E301" s="24" t="n"/>
      <c r="F301" s="25">
        <f>IF(E301="","",IF(COUNTIF(lst_Jobs,E301&amp;"")&gt;0,"OK","CHECK"))</f>
        <v/>
      </c>
      <c r="G301" s="24" t="n"/>
      <c r="H301" s="24" t="n"/>
      <c r="I301" s="26" t="n"/>
      <c r="J301" s="24" t="n"/>
      <c r="K301" s="22" t="n"/>
      <c r="L301" s="70" t="n"/>
      <c r="M301" s="27">
        <f>IF(E301="","",SUMIFS(tbl_Finance[Ex GST],tbl_Finance[Job Number],E301&amp;""))</f>
        <v/>
      </c>
      <c r="N301" s="27">
        <f>IF(J301&lt;&gt;"Won","",IF(E301="",N(I301),I301-M301))</f>
        <v/>
      </c>
      <c r="O301" s="24" t="n"/>
    </row>
    <row r="302" ht="15" customHeight="1">
      <c r="A302" s="70" t="n"/>
      <c r="B302" s="24" t="n"/>
      <c r="C302" s="24" t="n"/>
      <c r="D302" s="24" t="n"/>
      <c r="E302" s="24" t="n"/>
      <c r="F302" s="25">
        <f>IF(E302="","",IF(COUNTIF(lst_Jobs,E302&amp;"")&gt;0,"OK","CHECK"))</f>
        <v/>
      </c>
      <c r="G302" s="24" t="n"/>
      <c r="H302" s="24" t="n"/>
      <c r="I302" s="26" t="n"/>
      <c r="J302" s="24" t="n"/>
      <c r="K302" s="22" t="n"/>
      <c r="L302" s="70" t="n"/>
      <c r="M302" s="27">
        <f>IF(E302="","",SUMIFS(tbl_Finance[Ex GST],tbl_Finance[Job Number],E302&amp;""))</f>
        <v/>
      </c>
      <c r="N302" s="27">
        <f>IF(J302&lt;&gt;"Won","",IF(E302="",N(I302),I302-M302))</f>
        <v/>
      </c>
      <c r="O302" s="24" t="n"/>
    </row>
    <row r="303" ht="15" customHeight="1">
      <c r="A303" s="70" t="n"/>
      <c r="B303" s="24" t="n"/>
      <c r="C303" s="24" t="n"/>
      <c r="D303" s="24" t="n"/>
      <c r="E303" s="24" t="n"/>
      <c r="F303" s="25">
        <f>IF(E303="","",IF(COUNTIF(lst_Jobs,E303&amp;"")&gt;0,"OK","CHECK"))</f>
        <v/>
      </c>
      <c r="G303" s="24" t="n"/>
      <c r="H303" s="24" t="n"/>
      <c r="I303" s="26" t="n"/>
      <c r="J303" s="24" t="n"/>
      <c r="K303" s="22" t="n"/>
      <c r="L303" s="70" t="n"/>
      <c r="M303" s="27">
        <f>IF(E303="","",SUMIFS(tbl_Finance[Ex GST],tbl_Finance[Job Number],E303&amp;""))</f>
        <v/>
      </c>
      <c r="N303" s="27">
        <f>IF(J303&lt;&gt;"Won","",IF(E303="",N(I303),I303-M303))</f>
        <v/>
      </c>
      <c r="O303" s="24" t="n"/>
    </row>
    <row r="304" ht="15" customHeight="1">
      <c r="A304" s="70" t="n"/>
      <c r="B304" s="24" t="n"/>
      <c r="C304" s="24" t="n"/>
      <c r="D304" s="24" t="n"/>
      <c r="E304" s="24" t="n"/>
      <c r="F304" s="25">
        <f>IF(E304="","",IF(COUNTIF(lst_Jobs,E304&amp;"")&gt;0,"OK","CHECK"))</f>
        <v/>
      </c>
      <c r="G304" s="24" t="n"/>
      <c r="H304" s="24" t="n"/>
      <c r="I304" s="26" t="n"/>
      <c r="J304" s="24" t="n"/>
      <c r="K304" s="22" t="n"/>
      <c r="L304" s="70" t="n"/>
      <c r="M304" s="27">
        <f>IF(E304="","",SUMIFS(tbl_Finance[Ex GST],tbl_Finance[Job Number],E304&amp;""))</f>
        <v/>
      </c>
      <c r="N304" s="27">
        <f>IF(J304&lt;&gt;"Won","",IF(E304="",N(I304),I304-M304))</f>
        <v/>
      </c>
      <c r="O304" s="24" t="n"/>
    </row>
    <row r="305" ht="15" customHeight="1">
      <c r="A305" s="70" t="n"/>
      <c r="B305" s="24" t="n"/>
      <c r="C305" s="24" t="n"/>
      <c r="D305" s="24" t="n"/>
      <c r="E305" s="24" t="n"/>
      <c r="F305" s="25">
        <f>IF(E305="","",IF(COUNTIF(lst_Jobs,E305&amp;"")&gt;0,"OK","CHECK"))</f>
        <v/>
      </c>
      <c r="G305" s="24" t="n"/>
      <c r="H305" s="24" t="n"/>
      <c r="I305" s="26" t="n"/>
      <c r="J305" s="24" t="n"/>
      <c r="K305" s="22" t="n"/>
      <c r="L305" s="70" t="n"/>
      <c r="M305" s="27">
        <f>IF(E305="","",SUMIFS(tbl_Finance[Ex GST],tbl_Finance[Job Number],E305&amp;""))</f>
        <v/>
      </c>
      <c r="N305" s="27">
        <f>IF(J305&lt;&gt;"Won","",IF(E305="",N(I305),I305-M305))</f>
        <v/>
      </c>
      <c r="O305" s="24" t="n"/>
    </row>
    <row r="306" ht="15" customHeight="1">
      <c r="A306" s="70" t="n"/>
      <c r="B306" s="24" t="n"/>
      <c r="C306" s="24" t="n"/>
      <c r="D306" s="24" t="n"/>
      <c r="E306" s="24" t="n"/>
      <c r="F306" s="25">
        <f>IF(E306="","",IF(COUNTIF(lst_Jobs,E306&amp;"")&gt;0,"OK","CHECK"))</f>
        <v/>
      </c>
      <c r="G306" s="24" t="n"/>
      <c r="H306" s="24" t="n"/>
      <c r="I306" s="26" t="n"/>
      <c r="J306" s="24" t="n"/>
      <c r="K306" s="22" t="n"/>
      <c r="L306" s="70" t="n"/>
      <c r="M306" s="27">
        <f>IF(E306="","",SUMIFS(tbl_Finance[Ex GST],tbl_Finance[Job Number],E306&amp;""))</f>
        <v/>
      </c>
      <c r="N306" s="27">
        <f>IF(J306&lt;&gt;"Won","",IF(E306="",N(I306),I306-M306))</f>
        <v/>
      </c>
      <c r="O306" s="24" t="n"/>
    </row>
    <row r="307" ht="15" customHeight="1">
      <c r="A307" s="70" t="n"/>
      <c r="B307" s="24" t="n"/>
      <c r="C307" s="24" t="n"/>
      <c r="D307" s="24" t="n"/>
      <c r="E307" s="24" t="n"/>
      <c r="F307" s="25">
        <f>IF(E307="","",IF(COUNTIF(lst_Jobs,E307&amp;"")&gt;0,"OK","CHECK"))</f>
        <v/>
      </c>
      <c r="G307" s="24" t="n"/>
      <c r="H307" s="24" t="n"/>
      <c r="I307" s="26" t="n"/>
      <c r="J307" s="24" t="n"/>
      <c r="K307" s="22" t="n"/>
      <c r="L307" s="70" t="n"/>
      <c r="M307" s="27">
        <f>IF(E307="","",SUMIFS(tbl_Finance[Ex GST],tbl_Finance[Job Number],E307&amp;""))</f>
        <v/>
      </c>
      <c r="N307" s="27">
        <f>IF(J307&lt;&gt;"Won","",IF(E307="",N(I307),I307-M307))</f>
        <v/>
      </c>
      <c r="O307" s="24" t="n"/>
    </row>
    <row r="308" ht="15" customHeight="1">
      <c r="A308" s="70" t="n"/>
      <c r="B308" s="24" t="n"/>
      <c r="C308" s="24" t="n"/>
      <c r="D308" s="24" t="n"/>
      <c r="E308" s="24" t="n"/>
      <c r="F308" s="25">
        <f>IF(E308="","",IF(COUNTIF(lst_Jobs,E308&amp;"")&gt;0,"OK","CHECK"))</f>
        <v/>
      </c>
      <c r="G308" s="24" t="n"/>
      <c r="H308" s="24" t="n"/>
      <c r="I308" s="26" t="n"/>
      <c r="J308" s="24" t="n"/>
      <c r="K308" s="22" t="n"/>
      <c r="L308" s="70" t="n"/>
      <c r="M308" s="27">
        <f>IF(E308="","",SUMIFS(tbl_Finance[Ex GST],tbl_Finance[Job Number],E308&amp;""))</f>
        <v/>
      </c>
      <c r="N308" s="27">
        <f>IF(J308&lt;&gt;"Won","",IF(E308="",N(I308),I308-M308))</f>
        <v/>
      </c>
      <c r="O308" s="24" t="n"/>
    </row>
    <row r="309" ht="15" customHeight="1">
      <c r="A309" s="70" t="n"/>
      <c r="B309" s="24" t="n"/>
      <c r="C309" s="24" t="n"/>
      <c r="D309" s="24" t="n"/>
      <c r="E309" s="24" t="n"/>
      <c r="F309" s="25">
        <f>IF(E309="","",IF(COUNTIF(lst_Jobs,E309&amp;"")&gt;0,"OK","CHECK"))</f>
        <v/>
      </c>
      <c r="G309" s="24" t="n"/>
      <c r="H309" s="24" t="n"/>
      <c r="I309" s="26" t="n"/>
      <c r="J309" s="24" t="n"/>
      <c r="K309" s="22" t="n"/>
      <c r="L309" s="70" t="n"/>
      <c r="M309" s="27">
        <f>IF(E309="","",SUMIFS(tbl_Finance[Ex GST],tbl_Finance[Job Number],E309&amp;""))</f>
        <v/>
      </c>
      <c r="N309" s="27">
        <f>IF(J309&lt;&gt;"Won","",IF(E309="",N(I309),I309-M309))</f>
        <v/>
      </c>
      <c r="O309" s="24" t="n"/>
    </row>
    <row r="310" ht="15" customHeight="1">
      <c r="A310" s="70" t="n"/>
      <c r="B310" s="24" t="n"/>
      <c r="C310" s="24" t="n"/>
      <c r="D310" s="24" t="n"/>
      <c r="E310" s="24" t="n"/>
      <c r="F310" s="25">
        <f>IF(E310="","",IF(COUNTIF(lst_Jobs,E310&amp;"")&gt;0,"OK","CHECK"))</f>
        <v/>
      </c>
      <c r="G310" s="24" t="n"/>
      <c r="H310" s="24" t="n"/>
      <c r="I310" s="26" t="n"/>
      <c r="J310" s="24" t="n"/>
      <c r="K310" s="22" t="n"/>
      <c r="L310" s="70" t="n"/>
      <c r="M310" s="27">
        <f>IF(E310="","",SUMIFS(tbl_Finance[Ex GST],tbl_Finance[Job Number],E310&amp;""))</f>
        <v/>
      </c>
      <c r="N310" s="27">
        <f>IF(J310&lt;&gt;"Won","",IF(E310="",N(I310),I310-M310))</f>
        <v/>
      </c>
      <c r="O310" s="24" t="n"/>
    </row>
    <row r="311" ht="15" customHeight="1">
      <c r="A311" s="70" t="n"/>
      <c r="B311" s="24" t="n"/>
      <c r="C311" s="24" t="n"/>
      <c r="D311" s="24" t="n"/>
      <c r="E311" s="24" t="n"/>
      <c r="F311" s="25">
        <f>IF(E311="","",IF(COUNTIF(lst_Jobs,E311&amp;"")&gt;0,"OK","CHECK"))</f>
        <v/>
      </c>
      <c r="G311" s="24" t="n"/>
      <c r="H311" s="24" t="n"/>
      <c r="I311" s="26" t="n"/>
      <c r="J311" s="24" t="n"/>
      <c r="K311" s="22" t="n"/>
      <c r="L311" s="70" t="n"/>
      <c r="M311" s="27">
        <f>IF(E311="","",SUMIFS(tbl_Finance[Ex GST],tbl_Finance[Job Number],E311&amp;""))</f>
        <v/>
      </c>
      <c r="N311" s="27">
        <f>IF(J311&lt;&gt;"Won","",IF(E311="",N(I311),I311-M311))</f>
        <v/>
      </c>
      <c r="O311" s="24" t="n"/>
    </row>
    <row r="312" ht="15" customHeight="1">
      <c r="A312" s="70" t="n"/>
      <c r="B312" s="24" t="n"/>
      <c r="C312" s="24" t="n"/>
      <c r="D312" s="24" t="n"/>
      <c r="E312" s="24" t="n"/>
      <c r="F312" s="25">
        <f>IF(E312="","",IF(COUNTIF(lst_Jobs,E312&amp;"")&gt;0,"OK","CHECK"))</f>
        <v/>
      </c>
      <c r="G312" s="24" t="n"/>
      <c r="H312" s="24" t="n"/>
      <c r="I312" s="26" t="n"/>
      <c r="J312" s="24" t="n"/>
      <c r="K312" s="22" t="n"/>
      <c r="L312" s="70" t="n"/>
      <c r="M312" s="27">
        <f>IF(E312="","",SUMIFS(tbl_Finance[Ex GST],tbl_Finance[Job Number],E312&amp;""))</f>
        <v/>
      </c>
      <c r="N312" s="27">
        <f>IF(J312&lt;&gt;"Won","",IF(E312="",N(I312),I312-M312))</f>
        <v/>
      </c>
      <c r="O312" s="24" t="n"/>
    </row>
    <row r="313" ht="15" customHeight="1">
      <c r="A313" s="70" t="n"/>
      <c r="B313" s="24" t="n"/>
      <c r="C313" s="24" t="n"/>
      <c r="D313" s="24" t="n"/>
      <c r="E313" s="24" t="n"/>
      <c r="F313" s="25">
        <f>IF(E313="","",IF(COUNTIF(lst_Jobs,E313&amp;"")&gt;0,"OK","CHECK"))</f>
        <v/>
      </c>
      <c r="G313" s="24" t="n"/>
      <c r="H313" s="24" t="n"/>
      <c r="I313" s="26" t="n"/>
      <c r="J313" s="24" t="n"/>
      <c r="K313" s="22" t="n"/>
      <c r="L313" s="70" t="n"/>
      <c r="M313" s="27">
        <f>IF(E313="","",SUMIFS(tbl_Finance[Ex GST],tbl_Finance[Job Number],E313&amp;""))</f>
        <v/>
      </c>
      <c r="N313" s="27">
        <f>IF(J313&lt;&gt;"Won","",IF(E313="",N(I313),I313-M313))</f>
        <v/>
      </c>
      <c r="O313" s="24" t="n"/>
    </row>
    <row r="314" ht="15" customHeight="1">
      <c r="A314" s="70" t="n"/>
      <c r="B314" s="24" t="n"/>
      <c r="C314" s="24" t="n"/>
      <c r="D314" s="24" t="n"/>
      <c r="E314" s="24" t="n"/>
      <c r="F314" s="25">
        <f>IF(E314="","",IF(COUNTIF(lst_Jobs,E314&amp;"")&gt;0,"OK","CHECK"))</f>
        <v/>
      </c>
      <c r="G314" s="24" t="n"/>
      <c r="H314" s="24" t="n"/>
      <c r="I314" s="26" t="n"/>
      <c r="J314" s="24" t="n"/>
      <c r="K314" s="22" t="n"/>
      <c r="L314" s="70" t="n"/>
      <c r="M314" s="27">
        <f>IF(E314="","",SUMIFS(tbl_Finance[Ex GST],tbl_Finance[Job Number],E314&amp;""))</f>
        <v/>
      </c>
      <c r="N314" s="27">
        <f>IF(J314&lt;&gt;"Won","",IF(E314="",N(I314),I314-M314))</f>
        <v/>
      </c>
      <c r="O314" s="24" t="n"/>
    </row>
    <row r="315" ht="15" customHeight="1">
      <c r="A315" s="70" t="n"/>
      <c r="B315" s="24" t="n"/>
      <c r="C315" s="24" t="n"/>
      <c r="D315" s="24" t="n"/>
      <c r="E315" s="24" t="n"/>
      <c r="F315" s="25">
        <f>IF(E315="","",IF(COUNTIF(lst_Jobs,E315&amp;"")&gt;0,"OK","CHECK"))</f>
        <v/>
      </c>
      <c r="G315" s="24" t="n"/>
      <c r="H315" s="24" t="n"/>
      <c r="I315" s="26" t="n"/>
      <c r="J315" s="24" t="n"/>
      <c r="K315" s="22" t="n"/>
      <c r="L315" s="70" t="n"/>
      <c r="M315" s="27">
        <f>IF(E315="","",SUMIFS(tbl_Finance[Ex GST],tbl_Finance[Job Number],E315&amp;""))</f>
        <v/>
      </c>
      <c r="N315" s="27">
        <f>IF(J315&lt;&gt;"Won","",IF(E315="",N(I315),I315-M315))</f>
        <v/>
      </c>
      <c r="O315" s="24" t="n"/>
    </row>
    <row r="316" ht="15" customHeight="1">
      <c r="A316" s="70" t="n"/>
      <c r="B316" s="24" t="n"/>
      <c r="C316" s="24" t="n"/>
      <c r="D316" s="24" t="n"/>
      <c r="E316" s="24" t="n"/>
      <c r="F316" s="25">
        <f>IF(E316="","",IF(COUNTIF(lst_Jobs,E316&amp;"")&gt;0,"OK","CHECK"))</f>
        <v/>
      </c>
      <c r="G316" s="24" t="n"/>
      <c r="H316" s="24" t="n"/>
      <c r="I316" s="26" t="n"/>
      <c r="J316" s="24" t="n"/>
      <c r="K316" s="22" t="n"/>
      <c r="L316" s="70" t="n"/>
      <c r="M316" s="27">
        <f>IF(E316="","",SUMIFS(tbl_Finance[Ex GST],tbl_Finance[Job Number],E316&amp;""))</f>
        <v/>
      </c>
      <c r="N316" s="27">
        <f>IF(J316&lt;&gt;"Won","",IF(E316="",N(I316),I316-M316))</f>
        <v/>
      </c>
      <c r="O316" s="24" t="n"/>
    </row>
    <row r="317" ht="15" customHeight="1">
      <c r="A317" s="70" t="n"/>
      <c r="B317" s="24" t="n"/>
      <c r="C317" s="24" t="n"/>
      <c r="D317" s="24" t="n"/>
      <c r="E317" s="24" t="n"/>
      <c r="F317" s="25">
        <f>IF(E317="","",IF(COUNTIF(lst_Jobs,E317&amp;"")&gt;0,"OK","CHECK"))</f>
        <v/>
      </c>
      <c r="G317" s="24" t="n"/>
      <c r="H317" s="24" t="n"/>
      <c r="I317" s="26" t="n"/>
      <c r="J317" s="24" t="n"/>
      <c r="K317" s="22" t="n"/>
      <c r="L317" s="70" t="n"/>
      <c r="M317" s="27">
        <f>IF(E317="","",SUMIFS(tbl_Finance[Ex GST],tbl_Finance[Job Number],E317&amp;""))</f>
        <v/>
      </c>
      <c r="N317" s="27">
        <f>IF(J317&lt;&gt;"Won","",IF(E317="",N(I317),I317-M317))</f>
        <v/>
      </c>
      <c r="O317" s="24" t="n"/>
    </row>
    <row r="318" ht="15" customHeight="1">
      <c r="A318" s="70" t="n"/>
      <c r="B318" s="24" t="n"/>
      <c r="C318" s="24" t="n"/>
      <c r="D318" s="24" t="n"/>
      <c r="E318" s="24" t="n"/>
      <c r="F318" s="25">
        <f>IF(E318="","",IF(COUNTIF(lst_Jobs,E318&amp;"")&gt;0,"OK","CHECK"))</f>
        <v/>
      </c>
      <c r="G318" s="24" t="n"/>
      <c r="H318" s="24" t="n"/>
      <c r="I318" s="26" t="n"/>
      <c r="J318" s="24" t="n"/>
      <c r="K318" s="22" t="n"/>
      <c r="L318" s="70" t="n"/>
      <c r="M318" s="27">
        <f>IF(E318="","",SUMIFS(tbl_Finance[Ex GST],tbl_Finance[Job Number],E318&amp;""))</f>
        <v/>
      </c>
      <c r="N318" s="27">
        <f>IF(J318&lt;&gt;"Won","",IF(E318="",N(I318),I318-M318))</f>
        <v/>
      </c>
      <c r="O318" s="24" t="n"/>
    </row>
    <row r="319" ht="15" customHeight="1">
      <c r="A319" s="70" t="n"/>
      <c r="B319" s="24" t="n"/>
      <c r="C319" s="24" t="n"/>
      <c r="D319" s="24" t="n"/>
      <c r="E319" s="24" t="n"/>
      <c r="F319" s="25">
        <f>IF(E319="","",IF(COUNTIF(lst_Jobs,E319&amp;"")&gt;0,"OK","CHECK"))</f>
        <v/>
      </c>
      <c r="G319" s="24" t="n"/>
      <c r="H319" s="24" t="n"/>
      <c r="I319" s="26" t="n"/>
      <c r="J319" s="24" t="n"/>
      <c r="K319" s="22" t="n"/>
      <c r="L319" s="70" t="n"/>
      <c r="M319" s="27">
        <f>IF(E319="","",SUMIFS(tbl_Finance[Ex GST],tbl_Finance[Job Number],E319&amp;""))</f>
        <v/>
      </c>
      <c r="N319" s="27">
        <f>IF(J319&lt;&gt;"Won","",IF(E319="",N(I319),I319-M319))</f>
        <v/>
      </c>
      <c r="O319" s="24" t="n"/>
    </row>
    <row r="320" ht="15" customHeight="1">
      <c r="A320" s="70" t="n"/>
      <c r="B320" s="24" t="n"/>
      <c r="C320" s="24" t="n"/>
      <c r="D320" s="24" t="n"/>
      <c r="E320" s="24" t="n"/>
      <c r="F320" s="25">
        <f>IF(E320="","",IF(COUNTIF(lst_Jobs,E320&amp;"")&gt;0,"OK","CHECK"))</f>
        <v/>
      </c>
      <c r="G320" s="24" t="n"/>
      <c r="H320" s="24" t="n"/>
      <c r="I320" s="26" t="n"/>
      <c r="J320" s="24" t="n"/>
      <c r="K320" s="22" t="n"/>
      <c r="L320" s="70" t="n"/>
      <c r="M320" s="27">
        <f>IF(E320="","",SUMIFS(tbl_Finance[Ex GST],tbl_Finance[Job Number],E320&amp;""))</f>
        <v/>
      </c>
      <c r="N320" s="27">
        <f>IF(J320&lt;&gt;"Won","",IF(E320="",N(I320),I320-M320))</f>
        <v/>
      </c>
      <c r="O320" s="24" t="n"/>
    </row>
    <row r="321" ht="15" customHeight="1">
      <c r="A321" s="70" t="n"/>
      <c r="B321" s="24" t="n"/>
      <c r="C321" s="24" t="n"/>
      <c r="D321" s="24" t="n"/>
      <c r="E321" s="24" t="n"/>
      <c r="F321" s="25">
        <f>IF(E321="","",IF(COUNTIF(lst_Jobs,E321&amp;"")&gt;0,"OK","CHECK"))</f>
        <v/>
      </c>
      <c r="G321" s="24" t="n"/>
      <c r="H321" s="24" t="n"/>
      <c r="I321" s="26" t="n"/>
      <c r="J321" s="24" t="n"/>
      <c r="K321" s="22" t="n"/>
      <c r="L321" s="70" t="n"/>
      <c r="M321" s="27">
        <f>IF(E321="","",SUMIFS(tbl_Finance[Ex GST],tbl_Finance[Job Number],E321&amp;""))</f>
        <v/>
      </c>
      <c r="N321" s="27">
        <f>IF(J321&lt;&gt;"Won","",IF(E321="",N(I321),I321-M321))</f>
        <v/>
      </c>
      <c r="O321" s="24" t="n"/>
    </row>
    <row r="322" ht="15" customHeight="1">
      <c r="A322" s="70" t="n"/>
      <c r="B322" s="24" t="n"/>
      <c r="C322" s="24" t="n"/>
      <c r="D322" s="24" t="n"/>
      <c r="E322" s="24" t="n"/>
      <c r="F322" s="25">
        <f>IF(E322="","",IF(COUNTIF(lst_Jobs,E322&amp;"")&gt;0,"OK","CHECK"))</f>
        <v/>
      </c>
      <c r="G322" s="24" t="n"/>
      <c r="H322" s="24" t="n"/>
      <c r="I322" s="26" t="n"/>
      <c r="J322" s="24" t="n"/>
      <c r="K322" s="22" t="n"/>
      <c r="L322" s="70" t="n"/>
      <c r="M322" s="27">
        <f>IF(E322="","",SUMIFS(tbl_Finance[Ex GST],tbl_Finance[Job Number],E322&amp;""))</f>
        <v/>
      </c>
      <c r="N322" s="27">
        <f>IF(J322&lt;&gt;"Won","",IF(E322="",N(I322),I322-M322))</f>
        <v/>
      </c>
      <c r="O322" s="24" t="n"/>
    </row>
    <row r="323" ht="15" customHeight="1">
      <c r="A323" s="70" t="n"/>
      <c r="B323" s="24" t="n"/>
      <c r="C323" s="24" t="n"/>
      <c r="D323" s="24" t="n"/>
      <c r="E323" s="24" t="n"/>
      <c r="F323" s="25">
        <f>IF(E323="","",IF(COUNTIF(lst_Jobs,E323&amp;"")&gt;0,"OK","CHECK"))</f>
        <v/>
      </c>
      <c r="G323" s="24" t="n"/>
      <c r="H323" s="24" t="n"/>
      <c r="I323" s="26" t="n"/>
      <c r="J323" s="24" t="n"/>
      <c r="K323" s="22" t="n"/>
      <c r="L323" s="70" t="n"/>
      <c r="M323" s="27">
        <f>IF(E323="","",SUMIFS(tbl_Finance[Ex GST],tbl_Finance[Job Number],E323&amp;""))</f>
        <v/>
      </c>
      <c r="N323" s="27">
        <f>IF(J323&lt;&gt;"Won","",IF(E323="",N(I323),I323-M323))</f>
        <v/>
      </c>
      <c r="O323" s="24" t="n"/>
    </row>
    <row r="324" ht="15" customHeight="1">
      <c r="A324" s="70" t="n"/>
      <c r="B324" s="24" t="n"/>
      <c r="C324" s="24" t="n"/>
      <c r="D324" s="24" t="n"/>
      <c r="E324" s="24" t="n"/>
      <c r="F324" s="25">
        <f>IF(E324="","",IF(COUNTIF(lst_Jobs,E324&amp;"")&gt;0,"OK","CHECK"))</f>
        <v/>
      </c>
      <c r="G324" s="24" t="n"/>
      <c r="H324" s="24" t="n"/>
      <c r="I324" s="26" t="n"/>
      <c r="J324" s="24" t="n"/>
      <c r="K324" s="22" t="n"/>
      <c r="L324" s="70" t="n"/>
      <c r="M324" s="27">
        <f>IF(E324="","",SUMIFS(tbl_Finance[Ex GST],tbl_Finance[Job Number],E324&amp;""))</f>
        <v/>
      </c>
      <c r="N324" s="27">
        <f>IF(J324&lt;&gt;"Won","",IF(E324="",N(I324),I324-M324))</f>
        <v/>
      </c>
      <c r="O324" s="24" t="n"/>
    </row>
    <row r="325" ht="15" customHeight="1">
      <c r="A325" s="70" t="n"/>
      <c r="B325" s="24" t="n"/>
      <c r="C325" s="24" t="n"/>
      <c r="D325" s="24" t="n"/>
      <c r="E325" s="24" t="n"/>
      <c r="F325" s="25">
        <f>IF(E325="","",IF(COUNTIF(lst_Jobs,E325&amp;"")&gt;0,"OK","CHECK"))</f>
        <v/>
      </c>
      <c r="G325" s="24" t="n"/>
      <c r="H325" s="24" t="n"/>
      <c r="I325" s="26" t="n"/>
      <c r="J325" s="24" t="n"/>
      <c r="K325" s="22" t="n"/>
      <c r="L325" s="70" t="n"/>
      <c r="M325" s="27">
        <f>IF(E325="","",SUMIFS(tbl_Finance[Ex GST],tbl_Finance[Job Number],E325&amp;""))</f>
        <v/>
      </c>
      <c r="N325" s="27">
        <f>IF(J325&lt;&gt;"Won","",IF(E325="",N(I325),I325-M325))</f>
        <v/>
      </c>
      <c r="O325" s="24" t="n"/>
    </row>
    <row r="326" ht="15" customHeight="1">
      <c r="A326" s="70" t="n"/>
      <c r="B326" s="24" t="n"/>
      <c r="C326" s="24" t="n"/>
      <c r="D326" s="24" t="n"/>
      <c r="E326" s="24" t="n"/>
      <c r="F326" s="25">
        <f>IF(E326="","",IF(COUNTIF(lst_Jobs,E326&amp;"")&gt;0,"OK","CHECK"))</f>
        <v/>
      </c>
      <c r="G326" s="24" t="n"/>
      <c r="H326" s="24" t="n"/>
      <c r="I326" s="26" t="n"/>
      <c r="J326" s="24" t="n"/>
      <c r="K326" s="22" t="n"/>
      <c r="L326" s="70" t="n"/>
      <c r="M326" s="27">
        <f>IF(E326="","",SUMIFS(tbl_Finance[Ex GST],tbl_Finance[Job Number],E326&amp;""))</f>
        <v/>
      </c>
      <c r="N326" s="27">
        <f>IF(J326&lt;&gt;"Won","",IF(E326="",N(I326),I326-M326))</f>
        <v/>
      </c>
      <c r="O326" s="24" t="n"/>
    </row>
    <row r="327" ht="15" customHeight="1">
      <c r="A327" s="70" t="n"/>
      <c r="B327" s="24" t="n"/>
      <c r="C327" s="24" t="n"/>
      <c r="D327" s="24" t="n"/>
      <c r="E327" s="24" t="n"/>
      <c r="F327" s="25">
        <f>IF(E327="","",IF(COUNTIF(lst_Jobs,E327&amp;"")&gt;0,"OK","CHECK"))</f>
        <v/>
      </c>
      <c r="G327" s="24" t="n"/>
      <c r="H327" s="24" t="n"/>
      <c r="I327" s="26" t="n"/>
      <c r="J327" s="24" t="n"/>
      <c r="K327" s="22" t="n"/>
      <c r="L327" s="70" t="n"/>
      <c r="M327" s="27">
        <f>IF(E327="","",SUMIFS(tbl_Finance[Ex GST],tbl_Finance[Job Number],E327&amp;""))</f>
        <v/>
      </c>
      <c r="N327" s="27">
        <f>IF(J327&lt;&gt;"Won","",IF(E327="",N(I327),I327-M327))</f>
        <v/>
      </c>
      <c r="O327" s="24" t="n"/>
    </row>
    <row r="328" ht="15" customHeight="1">
      <c r="A328" s="70" t="n"/>
      <c r="B328" s="24" t="n"/>
      <c r="C328" s="24" t="n"/>
      <c r="D328" s="24" t="n"/>
      <c r="E328" s="24" t="n"/>
      <c r="F328" s="25">
        <f>IF(E328="","",IF(COUNTIF(lst_Jobs,E328&amp;"")&gt;0,"OK","CHECK"))</f>
        <v/>
      </c>
      <c r="G328" s="24" t="n"/>
      <c r="H328" s="24" t="n"/>
      <c r="I328" s="26" t="n"/>
      <c r="J328" s="24" t="n"/>
      <c r="K328" s="22" t="n"/>
      <c r="L328" s="70" t="n"/>
      <c r="M328" s="27">
        <f>IF(E328="","",SUMIFS(tbl_Finance[Ex GST],tbl_Finance[Job Number],E328&amp;""))</f>
        <v/>
      </c>
      <c r="N328" s="27">
        <f>IF(J328&lt;&gt;"Won","",IF(E328="",N(I328),I328-M328))</f>
        <v/>
      </c>
      <c r="O328" s="24" t="n"/>
    </row>
    <row r="329" ht="15" customHeight="1">
      <c r="A329" s="70" t="n"/>
      <c r="B329" s="24" t="n"/>
      <c r="C329" s="24" t="n"/>
      <c r="D329" s="24" t="n"/>
      <c r="E329" s="24" t="n"/>
      <c r="F329" s="25">
        <f>IF(E329="","",IF(COUNTIF(lst_Jobs,E329&amp;"")&gt;0,"OK","CHECK"))</f>
        <v/>
      </c>
      <c r="G329" s="24" t="n"/>
      <c r="H329" s="24" t="n"/>
      <c r="I329" s="26" t="n"/>
      <c r="J329" s="24" t="n"/>
      <c r="K329" s="22" t="n"/>
      <c r="L329" s="70" t="n"/>
      <c r="M329" s="27">
        <f>IF(E329="","",SUMIFS(tbl_Finance[Ex GST],tbl_Finance[Job Number],E329&amp;""))</f>
        <v/>
      </c>
      <c r="N329" s="27">
        <f>IF(J329&lt;&gt;"Won","",IF(E329="",N(I329),I329-M329))</f>
        <v/>
      </c>
      <c r="O329" s="24" t="n"/>
    </row>
    <row r="330" ht="15" customHeight="1">
      <c r="A330" s="70" t="n"/>
      <c r="B330" s="24" t="n"/>
      <c r="C330" s="24" t="n"/>
      <c r="D330" s="24" t="n"/>
      <c r="E330" s="24" t="n"/>
      <c r="F330" s="25">
        <f>IF(E330="","",IF(COUNTIF(lst_Jobs,E330&amp;"")&gt;0,"OK","CHECK"))</f>
        <v/>
      </c>
      <c r="G330" s="24" t="n"/>
      <c r="H330" s="24" t="n"/>
      <c r="I330" s="26" t="n"/>
      <c r="J330" s="24" t="n"/>
      <c r="K330" s="22" t="n"/>
      <c r="L330" s="70" t="n"/>
      <c r="M330" s="27">
        <f>IF(E330="","",SUMIFS(tbl_Finance[Ex GST],tbl_Finance[Job Number],E330&amp;""))</f>
        <v/>
      </c>
      <c r="N330" s="27">
        <f>IF(J330&lt;&gt;"Won","",IF(E330="",N(I330),I330-M330))</f>
        <v/>
      </c>
      <c r="O330" s="24" t="n"/>
    </row>
    <row r="331" ht="15" customHeight="1">
      <c r="A331" s="70" t="n"/>
      <c r="B331" s="24" t="n"/>
      <c r="C331" s="24" t="n"/>
      <c r="D331" s="24" t="n"/>
      <c r="E331" s="24" t="n"/>
      <c r="F331" s="25">
        <f>IF(E331="","",IF(COUNTIF(lst_Jobs,E331&amp;"")&gt;0,"OK","CHECK"))</f>
        <v/>
      </c>
      <c r="G331" s="24" t="n"/>
      <c r="H331" s="24" t="n"/>
      <c r="I331" s="26" t="n"/>
      <c r="J331" s="24" t="n"/>
      <c r="K331" s="22" t="n"/>
      <c r="L331" s="70" t="n"/>
      <c r="M331" s="27">
        <f>IF(E331="","",SUMIFS(tbl_Finance[Ex GST],tbl_Finance[Job Number],E331&amp;""))</f>
        <v/>
      </c>
      <c r="N331" s="27">
        <f>IF(J331&lt;&gt;"Won","",IF(E331="",N(I331),I331-M331))</f>
        <v/>
      </c>
      <c r="O331" s="24" t="n"/>
    </row>
    <row r="332" ht="15" customHeight="1">
      <c r="A332" s="70" t="n"/>
      <c r="B332" s="24" t="n"/>
      <c r="C332" s="24" t="n"/>
      <c r="D332" s="24" t="n"/>
      <c r="E332" s="24" t="n"/>
      <c r="F332" s="25">
        <f>IF(E332="","",IF(COUNTIF(lst_Jobs,E332&amp;"")&gt;0,"OK","CHECK"))</f>
        <v/>
      </c>
      <c r="G332" s="24" t="n"/>
      <c r="H332" s="24" t="n"/>
      <c r="I332" s="26" t="n"/>
      <c r="J332" s="24" t="n"/>
      <c r="K332" s="22" t="n"/>
      <c r="L332" s="70" t="n"/>
      <c r="M332" s="27">
        <f>IF(E332="","",SUMIFS(tbl_Finance[Ex GST],tbl_Finance[Job Number],E332&amp;""))</f>
        <v/>
      </c>
      <c r="N332" s="27">
        <f>IF(J332&lt;&gt;"Won","",IF(E332="",N(I332),I332-M332))</f>
        <v/>
      </c>
      <c r="O332" s="24" t="n"/>
    </row>
    <row r="333" ht="15" customHeight="1">
      <c r="A333" s="70" t="n"/>
      <c r="B333" s="24" t="n"/>
      <c r="C333" s="24" t="n"/>
      <c r="D333" s="24" t="n"/>
      <c r="E333" s="24" t="n"/>
      <c r="F333" s="25">
        <f>IF(E333="","",IF(COUNTIF(lst_Jobs,E333&amp;"")&gt;0,"OK","CHECK"))</f>
        <v/>
      </c>
      <c r="G333" s="24" t="n"/>
      <c r="H333" s="24" t="n"/>
      <c r="I333" s="26" t="n"/>
      <c r="J333" s="24" t="n"/>
      <c r="K333" s="22" t="n"/>
      <c r="L333" s="70" t="n"/>
      <c r="M333" s="27">
        <f>IF(E333="","",SUMIFS(tbl_Finance[Ex GST],tbl_Finance[Job Number],E333&amp;""))</f>
        <v/>
      </c>
      <c r="N333" s="27">
        <f>IF(J333&lt;&gt;"Won","",IF(E333="",N(I333),I333-M333))</f>
        <v/>
      </c>
      <c r="O333" s="24" t="n"/>
    </row>
    <row r="334" ht="15" customHeight="1">
      <c r="A334" s="70" t="n"/>
      <c r="B334" s="24" t="n"/>
      <c r="C334" s="24" t="n"/>
      <c r="D334" s="24" t="n"/>
      <c r="E334" s="24" t="n"/>
      <c r="F334" s="25">
        <f>IF(E334="","",IF(COUNTIF(lst_Jobs,E334&amp;"")&gt;0,"OK","CHECK"))</f>
        <v/>
      </c>
      <c r="G334" s="24" t="n"/>
      <c r="H334" s="24" t="n"/>
      <c r="I334" s="26" t="n"/>
      <c r="J334" s="24" t="n"/>
      <c r="K334" s="22" t="n"/>
      <c r="L334" s="70" t="n"/>
      <c r="M334" s="27">
        <f>IF(E334="","",SUMIFS(tbl_Finance[Ex GST],tbl_Finance[Job Number],E334&amp;""))</f>
        <v/>
      </c>
      <c r="N334" s="27">
        <f>IF(J334&lt;&gt;"Won","",IF(E334="",N(I334),I334-M334))</f>
        <v/>
      </c>
      <c r="O334" s="24" t="n"/>
    </row>
    <row r="335" ht="15" customHeight="1">
      <c r="A335" s="70" t="n"/>
      <c r="B335" s="24" t="n"/>
      <c r="C335" s="24" t="n"/>
      <c r="D335" s="24" t="n"/>
      <c r="E335" s="24" t="n"/>
      <c r="F335" s="25">
        <f>IF(E335="","",IF(COUNTIF(lst_Jobs,E335&amp;"")&gt;0,"OK","CHECK"))</f>
        <v/>
      </c>
      <c r="G335" s="24" t="n"/>
      <c r="H335" s="24" t="n"/>
      <c r="I335" s="26" t="n"/>
      <c r="J335" s="24" t="n"/>
      <c r="K335" s="22" t="n"/>
      <c r="L335" s="70" t="n"/>
      <c r="M335" s="27">
        <f>IF(E335="","",SUMIFS(tbl_Finance[Ex GST],tbl_Finance[Job Number],E335&amp;""))</f>
        <v/>
      </c>
      <c r="N335" s="27">
        <f>IF(J335&lt;&gt;"Won","",IF(E335="",N(I335),I335-M335))</f>
        <v/>
      </c>
      <c r="O335" s="24" t="n"/>
    </row>
    <row r="336" ht="15" customHeight="1">
      <c r="A336" s="70" t="n"/>
      <c r="B336" s="24" t="n"/>
      <c r="C336" s="24" t="n"/>
      <c r="D336" s="24" t="n"/>
      <c r="E336" s="24" t="n"/>
      <c r="F336" s="25">
        <f>IF(E336="","",IF(COUNTIF(lst_Jobs,E336&amp;"")&gt;0,"OK","CHECK"))</f>
        <v/>
      </c>
      <c r="G336" s="24" t="n"/>
      <c r="H336" s="24" t="n"/>
      <c r="I336" s="26" t="n"/>
      <c r="J336" s="24" t="n"/>
      <c r="K336" s="22" t="n"/>
      <c r="L336" s="70" t="n"/>
      <c r="M336" s="27">
        <f>IF(E336="","",SUMIFS(tbl_Finance[Ex GST],tbl_Finance[Job Number],E336&amp;""))</f>
        <v/>
      </c>
      <c r="N336" s="27">
        <f>IF(J336&lt;&gt;"Won","",IF(E336="",N(I336),I336-M336))</f>
        <v/>
      </c>
      <c r="O336" s="24" t="n"/>
    </row>
    <row r="337" ht="15" customHeight="1">
      <c r="A337" s="70" t="n"/>
      <c r="B337" s="24" t="n"/>
      <c r="C337" s="24" t="n"/>
      <c r="D337" s="24" t="n"/>
      <c r="E337" s="24" t="n"/>
      <c r="F337" s="25">
        <f>IF(E337="","",IF(COUNTIF(lst_Jobs,E337&amp;"")&gt;0,"OK","CHECK"))</f>
        <v/>
      </c>
      <c r="G337" s="24" t="n"/>
      <c r="H337" s="24" t="n"/>
      <c r="I337" s="26" t="n"/>
      <c r="J337" s="24" t="n"/>
      <c r="K337" s="22" t="n"/>
      <c r="L337" s="70" t="n"/>
      <c r="M337" s="27">
        <f>IF(E337="","",SUMIFS(tbl_Finance[Ex GST],tbl_Finance[Job Number],E337&amp;""))</f>
        <v/>
      </c>
      <c r="N337" s="27">
        <f>IF(J337&lt;&gt;"Won","",IF(E337="",N(I337),I337-M337))</f>
        <v/>
      </c>
      <c r="O337" s="24" t="n"/>
    </row>
    <row r="338" ht="15" customHeight="1">
      <c r="A338" s="70" t="n"/>
      <c r="B338" s="24" t="n"/>
      <c r="C338" s="24" t="n"/>
      <c r="D338" s="24" t="n"/>
      <c r="E338" s="24" t="n"/>
      <c r="F338" s="25">
        <f>IF(E338="","",IF(COUNTIF(lst_Jobs,E338&amp;"")&gt;0,"OK","CHECK"))</f>
        <v/>
      </c>
      <c r="G338" s="24" t="n"/>
      <c r="H338" s="24" t="n"/>
      <c r="I338" s="26" t="n"/>
      <c r="J338" s="24" t="n"/>
      <c r="K338" s="22" t="n"/>
      <c r="L338" s="70" t="n"/>
      <c r="M338" s="27">
        <f>IF(E338="","",SUMIFS(tbl_Finance[Ex GST],tbl_Finance[Job Number],E338&amp;""))</f>
        <v/>
      </c>
      <c r="N338" s="27">
        <f>IF(J338&lt;&gt;"Won","",IF(E338="",N(I338),I338-M338))</f>
        <v/>
      </c>
      <c r="O338" s="24" t="n"/>
    </row>
    <row r="339" ht="15" customHeight="1">
      <c r="A339" s="70" t="n"/>
      <c r="B339" s="24" t="n"/>
      <c r="C339" s="24" t="n"/>
      <c r="D339" s="24" t="n"/>
      <c r="E339" s="24" t="n"/>
      <c r="F339" s="25">
        <f>IF(E339="","",IF(COUNTIF(lst_Jobs,E339&amp;"")&gt;0,"OK","CHECK"))</f>
        <v/>
      </c>
      <c r="G339" s="24" t="n"/>
      <c r="H339" s="24" t="n"/>
      <c r="I339" s="26" t="n"/>
      <c r="J339" s="24" t="n"/>
      <c r="K339" s="22" t="n"/>
      <c r="L339" s="70" t="n"/>
      <c r="M339" s="27">
        <f>IF(E339="","",SUMIFS(tbl_Finance[Ex GST],tbl_Finance[Job Number],E339&amp;""))</f>
        <v/>
      </c>
      <c r="N339" s="27">
        <f>IF(J339&lt;&gt;"Won","",IF(E339="",N(I339),I339-M339))</f>
        <v/>
      </c>
      <c r="O339" s="24" t="n"/>
    </row>
    <row r="340" ht="15" customHeight="1">
      <c r="A340" s="70" t="n"/>
      <c r="B340" s="24" t="n"/>
      <c r="C340" s="24" t="n"/>
      <c r="D340" s="24" t="n"/>
      <c r="E340" s="24" t="n"/>
      <c r="F340" s="25">
        <f>IF(E340="","",IF(COUNTIF(lst_Jobs,E340&amp;"")&gt;0,"OK","CHECK"))</f>
        <v/>
      </c>
      <c r="G340" s="24" t="n"/>
      <c r="H340" s="24" t="n"/>
      <c r="I340" s="26" t="n"/>
      <c r="J340" s="24" t="n"/>
      <c r="K340" s="22" t="n"/>
      <c r="L340" s="70" t="n"/>
      <c r="M340" s="27">
        <f>IF(E340="","",SUMIFS(tbl_Finance[Ex GST],tbl_Finance[Job Number],E340&amp;""))</f>
        <v/>
      </c>
      <c r="N340" s="27">
        <f>IF(J340&lt;&gt;"Won","",IF(E340="",N(I340),I340-M340))</f>
        <v/>
      </c>
      <c r="O340" s="24" t="n"/>
    </row>
    <row r="341" ht="15" customHeight="1">
      <c r="A341" s="70" t="n"/>
      <c r="B341" s="24" t="n"/>
      <c r="C341" s="24" t="n"/>
      <c r="D341" s="24" t="n"/>
      <c r="E341" s="24" t="n"/>
      <c r="F341" s="25">
        <f>IF(E341="","",IF(COUNTIF(lst_Jobs,E341&amp;"")&gt;0,"OK","CHECK"))</f>
        <v/>
      </c>
      <c r="G341" s="24" t="n"/>
      <c r="H341" s="24" t="n"/>
      <c r="I341" s="26" t="n"/>
      <c r="J341" s="24" t="n"/>
      <c r="K341" s="22" t="n"/>
      <c r="L341" s="70" t="n"/>
      <c r="M341" s="27">
        <f>IF(E341="","",SUMIFS(tbl_Finance[Ex GST],tbl_Finance[Job Number],E341&amp;""))</f>
        <v/>
      </c>
      <c r="N341" s="27">
        <f>IF(J341&lt;&gt;"Won","",IF(E341="",N(I341),I341-M341))</f>
        <v/>
      </c>
      <c r="O341" s="24" t="n"/>
    </row>
    <row r="342" ht="15" customHeight="1">
      <c r="A342" s="70" t="n"/>
      <c r="B342" s="24" t="n"/>
      <c r="C342" s="24" t="n"/>
      <c r="D342" s="24" t="n"/>
      <c r="E342" s="24" t="n"/>
      <c r="F342" s="25">
        <f>IF(E342="","",IF(COUNTIF(lst_Jobs,E342&amp;"")&gt;0,"OK","CHECK"))</f>
        <v/>
      </c>
      <c r="G342" s="24" t="n"/>
      <c r="H342" s="24" t="n"/>
      <c r="I342" s="26" t="n"/>
      <c r="J342" s="24" t="n"/>
      <c r="K342" s="22" t="n"/>
      <c r="L342" s="70" t="n"/>
      <c r="M342" s="27">
        <f>IF(E342="","",SUMIFS(tbl_Finance[Ex GST],tbl_Finance[Job Number],E342&amp;""))</f>
        <v/>
      </c>
      <c r="N342" s="27">
        <f>IF(J342&lt;&gt;"Won","",IF(E342="",N(I342),I342-M342))</f>
        <v/>
      </c>
      <c r="O342" s="24" t="n"/>
    </row>
    <row r="343" ht="15" customHeight="1">
      <c r="A343" s="70" t="n"/>
      <c r="B343" s="24" t="n"/>
      <c r="C343" s="24" t="n"/>
      <c r="D343" s="24" t="n"/>
      <c r="E343" s="24" t="n"/>
      <c r="F343" s="25">
        <f>IF(E343="","",IF(COUNTIF(lst_Jobs,E343&amp;"")&gt;0,"OK","CHECK"))</f>
        <v/>
      </c>
      <c r="G343" s="24" t="n"/>
      <c r="H343" s="24" t="n"/>
      <c r="I343" s="26" t="n"/>
      <c r="J343" s="24" t="n"/>
      <c r="K343" s="22" t="n"/>
      <c r="L343" s="70" t="n"/>
      <c r="M343" s="27">
        <f>IF(E343="","",SUMIFS(tbl_Finance[Ex GST],tbl_Finance[Job Number],E343&amp;""))</f>
        <v/>
      </c>
      <c r="N343" s="27">
        <f>IF(J343&lt;&gt;"Won","",IF(E343="",N(I343),I343-M343))</f>
        <v/>
      </c>
      <c r="O343" s="24" t="n"/>
    </row>
    <row r="344" ht="15" customHeight="1">
      <c r="A344" s="70" t="n"/>
      <c r="B344" s="24" t="n"/>
      <c r="C344" s="24" t="n"/>
      <c r="D344" s="24" t="n"/>
      <c r="E344" s="24" t="n"/>
      <c r="F344" s="25">
        <f>IF(E344="","",IF(COUNTIF(lst_Jobs,E344&amp;"")&gt;0,"OK","CHECK"))</f>
        <v/>
      </c>
      <c r="G344" s="24" t="n"/>
      <c r="H344" s="24" t="n"/>
      <c r="I344" s="26" t="n"/>
      <c r="J344" s="24" t="n"/>
      <c r="K344" s="22" t="n"/>
      <c r="L344" s="70" t="n"/>
      <c r="M344" s="27">
        <f>IF(E344="","",SUMIFS(tbl_Finance[Ex GST],tbl_Finance[Job Number],E344&amp;""))</f>
        <v/>
      </c>
      <c r="N344" s="27">
        <f>IF(J344&lt;&gt;"Won","",IF(E344="",N(I344),I344-M344))</f>
        <v/>
      </c>
      <c r="O344" s="24" t="n"/>
    </row>
    <row r="345" ht="15" customHeight="1">
      <c r="A345" s="70" t="n"/>
      <c r="B345" s="24" t="n"/>
      <c r="C345" s="24" t="n"/>
      <c r="D345" s="24" t="n"/>
      <c r="E345" s="24" t="n"/>
      <c r="F345" s="25">
        <f>IF(E345="","",IF(COUNTIF(lst_Jobs,E345&amp;"")&gt;0,"OK","CHECK"))</f>
        <v/>
      </c>
      <c r="G345" s="24" t="n"/>
      <c r="H345" s="24" t="n"/>
      <c r="I345" s="26" t="n"/>
      <c r="J345" s="24" t="n"/>
      <c r="K345" s="22" t="n"/>
      <c r="L345" s="70" t="n"/>
      <c r="M345" s="27">
        <f>IF(E345="","",SUMIFS(tbl_Finance[Ex GST],tbl_Finance[Job Number],E345&amp;""))</f>
        <v/>
      </c>
      <c r="N345" s="27">
        <f>IF(J345&lt;&gt;"Won","",IF(E345="",N(I345),I345-M345))</f>
        <v/>
      </c>
      <c r="O345" s="24" t="n"/>
    </row>
    <row r="346" ht="15" customHeight="1">
      <c r="A346" s="70" t="n"/>
      <c r="B346" s="24" t="n"/>
      <c r="C346" s="24" t="n"/>
      <c r="D346" s="24" t="n"/>
      <c r="E346" s="24" t="n"/>
      <c r="F346" s="25">
        <f>IF(E346="","",IF(COUNTIF(lst_Jobs,E346&amp;"")&gt;0,"OK","CHECK"))</f>
        <v/>
      </c>
      <c r="G346" s="24" t="n"/>
      <c r="H346" s="24" t="n"/>
      <c r="I346" s="26" t="n"/>
      <c r="J346" s="24" t="n"/>
      <c r="K346" s="22" t="n"/>
      <c r="L346" s="70" t="n"/>
      <c r="M346" s="27">
        <f>IF(E346="","",SUMIFS(tbl_Finance[Ex GST],tbl_Finance[Job Number],E346&amp;""))</f>
        <v/>
      </c>
      <c r="N346" s="27">
        <f>IF(J346&lt;&gt;"Won","",IF(E346="",N(I346),I346-M346))</f>
        <v/>
      </c>
      <c r="O346" s="24" t="n"/>
    </row>
    <row r="347" ht="15" customHeight="1">
      <c r="A347" s="70" t="n"/>
      <c r="B347" s="24" t="n"/>
      <c r="C347" s="24" t="n"/>
      <c r="D347" s="24" t="n"/>
      <c r="E347" s="24" t="n"/>
      <c r="F347" s="25">
        <f>IF(E347="","",IF(COUNTIF(lst_Jobs,E347&amp;"")&gt;0,"OK","CHECK"))</f>
        <v/>
      </c>
      <c r="G347" s="24" t="n"/>
      <c r="H347" s="24" t="n"/>
      <c r="I347" s="26" t="n"/>
      <c r="J347" s="24" t="n"/>
      <c r="K347" s="22" t="n"/>
      <c r="L347" s="70" t="n"/>
      <c r="M347" s="27">
        <f>IF(E347="","",SUMIFS(tbl_Finance[Ex GST],tbl_Finance[Job Number],E347&amp;""))</f>
        <v/>
      </c>
      <c r="N347" s="27">
        <f>IF(J347&lt;&gt;"Won","",IF(E347="",N(I347),I347-M347))</f>
        <v/>
      </c>
      <c r="O347" s="24" t="n"/>
    </row>
    <row r="348" ht="15" customHeight="1">
      <c r="A348" s="70" t="n"/>
      <c r="B348" s="24" t="n"/>
      <c r="C348" s="24" t="n"/>
      <c r="D348" s="24" t="n"/>
      <c r="E348" s="24" t="n"/>
      <c r="F348" s="25">
        <f>IF(E348="","",IF(COUNTIF(lst_Jobs,E348&amp;"")&gt;0,"OK","CHECK"))</f>
        <v/>
      </c>
      <c r="G348" s="24" t="n"/>
      <c r="H348" s="24" t="n"/>
      <c r="I348" s="26" t="n"/>
      <c r="J348" s="24" t="n"/>
      <c r="K348" s="22" t="n"/>
      <c r="L348" s="70" t="n"/>
      <c r="M348" s="27">
        <f>IF(E348="","",SUMIFS(tbl_Finance[Ex GST],tbl_Finance[Job Number],E348&amp;""))</f>
        <v/>
      </c>
      <c r="N348" s="27">
        <f>IF(J348&lt;&gt;"Won","",IF(E348="",N(I348),I348-M348))</f>
        <v/>
      </c>
      <c r="O348" s="24" t="n"/>
    </row>
    <row r="349" ht="15" customHeight="1">
      <c r="A349" s="70" t="n"/>
      <c r="B349" s="24" t="n"/>
      <c r="C349" s="24" t="n"/>
      <c r="D349" s="24" t="n"/>
      <c r="E349" s="24" t="n"/>
      <c r="F349" s="25">
        <f>IF(E349="","",IF(COUNTIF(lst_Jobs,E349&amp;"")&gt;0,"OK","CHECK"))</f>
        <v/>
      </c>
      <c r="G349" s="24" t="n"/>
      <c r="H349" s="24" t="n"/>
      <c r="I349" s="26" t="n"/>
      <c r="J349" s="24" t="n"/>
      <c r="K349" s="22" t="n"/>
      <c r="L349" s="70" t="n"/>
      <c r="M349" s="27">
        <f>IF(E349="","",SUMIFS(tbl_Finance[Ex GST],tbl_Finance[Job Number],E349&amp;""))</f>
        <v/>
      </c>
      <c r="N349" s="27">
        <f>IF(J349&lt;&gt;"Won","",IF(E349="",N(I349),I349-M349))</f>
        <v/>
      </c>
      <c r="O349" s="24" t="n"/>
    </row>
    <row r="350" ht="15" customHeight="1">
      <c r="A350" s="70" t="n"/>
      <c r="B350" s="24" t="n"/>
      <c r="C350" s="24" t="n"/>
      <c r="D350" s="24" t="n"/>
      <c r="E350" s="24" t="n"/>
      <c r="F350" s="25">
        <f>IF(E350="","",IF(COUNTIF(lst_Jobs,E350&amp;"")&gt;0,"OK","CHECK"))</f>
        <v/>
      </c>
      <c r="G350" s="24" t="n"/>
      <c r="H350" s="24" t="n"/>
      <c r="I350" s="26" t="n"/>
      <c r="J350" s="24" t="n"/>
      <c r="K350" s="22" t="n"/>
      <c r="L350" s="70" t="n"/>
      <c r="M350" s="27">
        <f>IF(E350="","",SUMIFS(tbl_Finance[Ex GST],tbl_Finance[Job Number],E350&amp;""))</f>
        <v/>
      </c>
      <c r="N350" s="27">
        <f>IF(J350&lt;&gt;"Won","",IF(E350="",N(I350),I350-M350))</f>
        <v/>
      </c>
      <c r="O350" s="24" t="n"/>
    </row>
    <row r="351" ht="15" customHeight="1">
      <c r="A351" s="70" t="n"/>
      <c r="B351" s="24" t="n"/>
      <c r="C351" s="24" t="n"/>
      <c r="D351" s="24" t="n"/>
      <c r="E351" s="24" t="n"/>
      <c r="F351" s="25">
        <f>IF(E351="","",IF(COUNTIF(lst_Jobs,E351&amp;"")&gt;0,"OK","CHECK"))</f>
        <v/>
      </c>
      <c r="G351" s="24" t="n"/>
      <c r="H351" s="24" t="n"/>
      <c r="I351" s="26" t="n"/>
      <c r="J351" s="24" t="n"/>
      <c r="K351" s="22" t="n"/>
      <c r="L351" s="70" t="n"/>
      <c r="M351" s="27">
        <f>IF(E351="","",SUMIFS(tbl_Finance[Ex GST],tbl_Finance[Job Number],E351&amp;""))</f>
        <v/>
      </c>
      <c r="N351" s="27">
        <f>IF(J351&lt;&gt;"Won","",IF(E351="",N(I351),I351-M351))</f>
        <v/>
      </c>
      <c r="O351" s="24" t="n"/>
    </row>
    <row r="352" ht="15" customHeight="1">
      <c r="A352" s="70" t="n"/>
      <c r="B352" s="24" t="n"/>
      <c r="C352" s="24" t="n"/>
      <c r="D352" s="24" t="n"/>
      <c r="E352" s="24" t="n"/>
      <c r="F352" s="25">
        <f>IF(E352="","",IF(COUNTIF(lst_Jobs,E352&amp;"")&gt;0,"OK","CHECK"))</f>
        <v/>
      </c>
      <c r="G352" s="24" t="n"/>
      <c r="H352" s="24" t="n"/>
      <c r="I352" s="26" t="n"/>
      <c r="J352" s="24" t="n"/>
      <c r="K352" s="22" t="n"/>
      <c r="L352" s="70" t="n"/>
      <c r="M352" s="27">
        <f>IF(E352="","",SUMIFS(tbl_Finance[Ex GST],tbl_Finance[Job Number],E352&amp;""))</f>
        <v/>
      </c>
      <c r="N352" s="27">
        <f>IF(J352&lt;&gt;"Won","",IF(E352="",N(I352),I352-M352))</f>
        <v/>
      </c>
      <c r="O352" s="24" t="n"/>
    </row>
    <row r="353" ht="15" customHeight="1">
      <c r="A353" s="70" t="n"/>
      <c r="B353" s="24" t="n"/>
      <c r="C353" s="24" t="n"/>
      <c r="D353" s="24" t="n"/>
      <c r="E353" s="24" t="n"/>
      <c r="F353" s="25">
        <f>IF(E353="","",IF(COUNTIF(lst_Jobs,E353&amp;"")&gt;0,"OK","CHECK"))</f>
        <v/>
      </c>
      <c r="G353" s="24" t="n"/>
      <c r="H353" s="24" t="n"/>
      <c r="I353" s="26" t="n"/>
      <c r="J353" s="24" t="n"/>
      <c r="K353" s="22" t="n"/>
      <c r="L353" s="70" t="n"/>
      <c r="M353" s="27">
        <f>IF(E353="","",SUMIFS(tbl_Finance[Ex GST],tbl_Finance[Job Number],E353&amp;""))</f>
        <v/>
      </c>
      <c r="N353" s="27">
        <f>IF(J353&lt;&gt;"Won","",IF(E353="",N(I353),I353-M353))</f>
        <v/>
      </c>
      <c r="O353" s="24" t="n"/>
    </row>
    <row r="354" ht="15" customHeight="1">
      <c r="A354" s="70" t="n"/>
      <c r="B354" s="24" t="n"/>
      <c r="C354" s="24" t="n"/>
      <c r="D354" s="24" t="n"/>
      <c r="E354" s="24" t="n"/>
      <c r="F354" s="25">
        <f>IF(E354="","",IF(COUNTIF(lst_Jobs,E354&amp;"")&gt;0,"OK","CHECK"))</f>
        <v/>
      </c>
      <c r="G354" s="24" t="n"/>
      <c r="H354" s="24" t="n"/>
      <c r="I354" s="26" t="n"/>
      <c r="J354" s="24" t="n"/>
      <c r="K354" s="22" t="n"/>
      <c r="L354" s="70" t="n"/>
      <c r="M354" s="27">
        <f>IF(E354="","",SUMIFS(tbl_Finance[Ex GST],tbl_Finance[Job Number],E354&amp;""))</f>
        <v/>
      </c>
      <c r="N354" s="27">
        <f>IF(J354&lt;&gt;"Won","",IF(E354="",N(I354),I354-M354))</f>
        <v/>
      </c>
      <c r="O354" s="24" t="n"/>
    </row>
    <row r="355" ht="15" customHeight="1">
      <c r="A355" s="70" t="n"/>
      <c r="B355" s="24" t="n"/>
      <c r="C355" s="24" t="n"/>
      <c r="D355" s="24" t="n"/>
      <c r="E355" s="24" t="n"/>
      <c r="F355" s="25">
        <f>IF(E355="","",IF(COUNTIF(lst_Jobs,E355&amp;"")&gt;0,"OK","CHECK"))</f>
        <v/>
      </c>
      <c r="G355" s="24" t="n"/>
      <c r="H355" s="24" t="n"/>
      <c r="I355" s="26" t="n"/>
      <c r="J355" s="24" t="n"/>
      <c r="K355" s="22" t="n"/>
      <c r="L355" s="70" t="n"/>
      <c r="M355" s="27">
        <f>IF(E355="","",SUMIFS(tbl_Finance[Ex GST],tbl_Finance[Job Number],E355&amp;""))</f>
        <v/>
      </c>
      <c r="N355" s="27">
        <f>IF(J355&lt;&gt;"Won","",IF(E355="",N(I355),I355-M355))</f>
        <v/>
      </c>
      <c r="O355" s="24" t="n"/>
    </row>
    <row r="356" ht="15" customHeight="1">
      <c r="A356" s="70" t="n"/>
      <c r="B356" s="24" t="n"/>
      <c r="C356" s="24" t="n"/>
      <c r="D356" s="24" t="n"/>
      <c r="E356" s="24" t="n"/>
      <c r="F356" s="25">
        <f>IF(E356="","",IF(COUNTIF(lst_Jobs,E356&amp;"")&gt;0,"OK","CHECK"))</f>
        <v/>
      </c>
      <c r="G356" s="24" t="n"/>
      <c r="H356" s="24" t="n"/>
      <c r="I356" s="26" t="n"/>
      <c r="J356" s="24" t="n"/>
      <c r="K356" s="22" t="n"/>
      <c r="L356" s="70" t="n"/>
      <c r="M356" s="27">
        <f>IF(E356="","",SUMIFS(tbl_Finance[Ex GST],tbl_Finance[Job Number],E356&amp;""))</f>
        <v/>
      </c>
      <c r="N356" s="27">
        <f>IF(J356&lt;&gt;"Won","",IF(E356="",N(I356),I356-M356))</f>
        <v/>
      </c>
      <c r="O356" s="24" t="n"/>
    </row>
    <row r="357" ht="15" customHeight="1">
      <c r="A357" s="70" t="n"/>
      <c r="B357" s="24" t="n"/>
      <c r="C357" s="24" t="n"/>
      <c r="D357" s="24" t="n"/>
      <c r="E357" s="24" t="n"/>
      <c r="F357" s="25">
        <f>IF(E357="","",IF(COUNTIF(lst_Jobs,E357&amp;"")&gt;0,"OK","CHECK"))</f>
        <v/>
      </c>
      <c r="G357" s="24" t="n"/>
      <c r="H357" s="24" t="n"/>
      <c r="I357" s="26" t="n"/>
      <c r="J357" s="24" t="n"/>
      <c r="K357" s="22" t="n"/>
      <c r="L357" s="70" t="n"/>
      <c r="M357" s="27">
        <f>IF(E357="","",SUMIFS(tbl_Finance[Ex GST],tbl_Finance[Job Number],E357&amp;""))</f>
        <v/>
      </c>
      <c r="N357" s="27">
        <f>IF(J357&lt;&gt;"Won","",IF(E357="",N(I357),I357-M357))</f>
        <v/>
      </c>
      <c r="O357" s="24" t="n"/>
    </row>
    <row r="358" ht="15" customHeight="1">
      <c r="A358" s="70" t="n"/>
      <c r="B358" s="24" t="n"/>
      <c r="C358" s="24" t="n"/>
      <c r="D358" s="24" t="n"/>
      <c r="E358" s="24" t="n"/>
      <c r="F358" s="25">
        <f>IF(E358="","",IF(COUNTIF(lst_Jobs,E358&amp;"")&gt;0,"OK","CHECK"))</f>
        <v/>
      </c>
      <c r="G358" s="24" t="n"/>
      <c r="H358" s="24" t="n"/>
      <c r="I358" s="26" t="n"/>
      <c r="J358" s="24" t="n"/>
      <c r="K358" s="22" t="n"/>
      <c r="L358" s="70" t="n"/>
      <c r="M358" s="27">
        <f>IF(E358="","",SUMIFS(tbl_Finance[Ex GST],tbl_Finance[Job Number],E358&amp;""))</f>
        <v/>
      </c>
      <c r="N358" s="27">
        <f>IF(J358&lt;&gt;"Won","",IF(E358="",N(I358),I358-M358))</f>
        <v/>
      </c>
      <c r="O358" s="24" t="n"/>
    </row>
    <row r="359" ht="15" customHeight="1">
      <c r="A359" s="70" t="n"/>
      <c r="B359" s="24" t="n"/>
      <c r="C359" s="24" t="n"/>
      <c r="D359" s="24" t="n"/>
      <c r="E359" s="24" t="n"/>
      <c r="F359" s="25">
        <f>IF(E359="","",IF(COUNTIF(lst_Jobs,E359&amp;"")&gt;0,"OK","CHECK"))</f>
        <v/>
      </c>
      <c r="G359" s="24" t="n"/>
      <c r="H359" s="24" t="n"/>
      <c r="I359" s="26" t="n"/>
      <c r="J359" s="24" t="n"/>
      <c r="K359" s="22" t="n"/>
      <c r="L359" s="70" t="n"/>
      <c r="M359" s="27">
        <f>IF(E359="","",SUMIFS(tbl_Finance[Ex GST],tbl_Finance[Job Number],E359&amp;""))</f>
        <v/>
      </c>
      <c r="N359" s="27">
        <f>IF(J359&lt;&gt;"Won","",IF(E359="",N(I359),I359-M359))</f>
        <v/>
      </c>
      <c r="O359" s="24" t="n"/>
    </row>
    <row r="360" ht="15" customHeight="1">
      <c r="A360" s="70" t="n"/>
      <c r="B360" s="24" t="n"/>
      <c r="C360" s="24" t="n"/>
      <c r="D360" s="24" t="n"/>
      <c r="E360" s="24" t="n"/>
      <c r="F360" s="25">
        <f>IF(E360="","",IF(COUNTIF(lst_Jobs,E360&amp;"")&gt;0,"OK","CHECK"))</f>
        <v/>
      </c>
      <c r="G360" s="24" t="n"/>
      <c r="H360" s="24" t="n"/>
      <c r="I360" s="26" t="n"/>
      <c r="J360" s="24" t="n"/>
      <c r="K360" s="22" t="n"/>
      <c r="L360" s="70" t="n"/>
      <c r="M360" s="27">
        <f>IF(E360="","",SUMIFS(tbl_Finance[Ex GST],tbl_Finance[Job Number],E360&amp;""))</f>
        <v/>
      </c>
      <c r="N360" s="27">
        <f>IF(J360&lt;&gt;"Won","",IF(E360="",N(I360),I360-M360))</f>
        <v/>
      </c>
      <c r="O360" s="24" t="n"/>
    </row>
    <row r="361" ht="15" customHeight="1">
      <c r="A361" s="70" t="n"/>
      <c r="B361" s="24" t="n"/>
      <c r="C361" s="24" t="n"/>
      <c r="D361" s="24" t="n"/>
      <c r="E361" s="24" t="n"/>
      <c r="F361" s="25">
        <f>IF(E361="","",IF(COUNTIF(lst_Jobs,E361&amp;"")&gt;0,"OK","CHECK"))</f>
        <v/>
      </c>
      <c r="G361" s="24" t="n"/>
      <c r="H361" s="24" t="n"/>
      <c r="I361" s="26" t="n"/>
      <c r="J361" s="24" t="n"/>
      <c r="K361" s="22" t="n"/>
      <c r="L361" s="70" t="n"/>
      <c r="M361" s="27">
        <f>IF(E361="","",SUMIFS(tbl_Finance[Ex GST],tbl_Finance[Job Number],E361&amp;""))</f>
        <v/>
      </c>
      <c r="N361" s="27">
        <f>IF(J361&lt;&gt;"Won","",IF(E361="",N(I361),I361-M361))</f>
        <v/>
      </c>
      <c r="O361" s="24" t="n"/>
    </row>
    <row r="362" ht="15" customHeight="1">
      <c r="A362" s="70" t="n"/>
      <c r="B362" s="24" t="n"/>
      <c r="C362" s="24" t="n"/>
      <c r="D362" s="24" t="n"/>
      <c r="E362" s="24" t="n"/>
      <c r="F362" s="25">
        <f>IF(E362="","",IF(COUNTIF(lst_Jobs,E362&amp;"")&gt;0,"OK","CHECK"))</f>
        <v/>
      </c>
      <c r="G362" s="24" t="n"/>
      <c r="H362" s="24" t="n"/>
      <c r="I362" s="26" t="n"/>
      <c r="J362" s="24" t="n"/>
      <c r="K362" s="22" t="n"/>
      <c r="L362" s="70" t="n"/>
      <c r="M362" s="27">
        <f>IF(E362="","",SUMIFS(tbl_Finance[Ex GST],tbl_Finance[Job Number],E362&amp;""))</f>
        <v/>
      </c>
      <c r="N362" s="27">
        <f>IF(J362&lt;&gt;"Won","",IF(E362="",N(I362),I362-M362))</f>
        <v/>
      </c>
      <c r="O362" s="24" t="n"/>
    </row>
    <row r="363" ht="15" customHeight="1">
      <c r="A363" s="70" t="n"/>
      <c r="B363" s="24" t="n"/>
      <c r="C363" s="24" t="n"/>
      <c r="D363" s="24" t="n"/>
      <c r="E363" s="24" t="n"/>
      <c r="F363" s="25">
        <f>IF(E363="","",IF(COUNTIF(lst_Jobs,E363&amp;"")&gt;0,"OK","CHECK"))</f>
        <v/>
      </c>
      <c r="G363" s="24" t="n"/>
      <c r="H363" s="24" t="n"/>
      <c r="I363" s="26" t="n"/>
      <c r="J363" s="24" t="n"/>
      <c r="K363" s="22" t="n"/>
      <c r="L363" s="70" t="n"/>
      <c r="M363" s="27">
        <f>IF(E363="","",SUMIFS(tbl_Finance[Ex GST],tbl_Finance[Job Number],E363&amp;""))</f>
        <v/>
      </c>
      <c r="N363" s="27">
        <f>IF(J363&lt;&gt;"Won","",IF(E363="",N(I363),I363-M363))</f>
        <v/>
      </c>
      <c r="O363" s="24" t="n"/>
    </row>
    <row r="364" ht="15" customHeight="1">
      <c r="A364" s="70" t="n"/>
      <c r="B364" s="24" t="n"/>
      <c r="C364" s="24" t="n"/>
      <c r="D364" s="24" t="n"/>
      <c r="E364" s="24" t="n"/>
      <c r="F364" s="25">
        <f>IF(E364="","",IF(COUNTIF(lst_Jobs,E364&amp;"")&gt;0,"OK","CHECK"))</f>
        <v/>
      </c>
      <c r="G364" s="24" t="n"/>
      <c r="H364" s="24" t="n"/>
      <c r="I364" s="26" t="n"/>
      <c r="J364" s="24" t="n"/>
      <c r="K364" s="22" t="n"/>
      <c r="L364" s="70" t="n"/>
      <c r="M364" s="27">
        <f>IF(E364="","",SUMIFS(tbl_Finance[Ex GST],tbl_Finance[Job Number],E364&amp;""))</f>
        <v/>
      </c>
      <c r="N364" s="27">
        <f>IF(J364&lt;&gt;"Won","",IF(E364="",N(I364),I364-M364))</f>
        <v/>
      </c>
      <c r="O364" s="24" t="n"/>
    </row>
    <row r="365" ht="15" customHeight="1">
      <c r="A365" s="70" t="n"/>
      <c r="B365" s="24" t="n"/>
      <c r="C365" s="24" t="n"/>
      <c r="D365" s="24" t="n"/>
      <c r="E365" s="24" t="n"/>
      <c r="F365" s="25">
        <f>IF(E365="","",IF(COUNTIF(lst_Jobs,E365&amp;"")&gt;0,"OK","CHECK"))</f>
        <v/>
      </c>
      <c r="G365" s="24" t="n"/>
      <c r="H365" s="24" t="n"/>
      <c r="I365" s="26" t="n"/>
      <c r="J365" s="24" t="n"/>
      <c r="K365" s="22" t="n"/>
      <c r="L365" s="70" t="n"/>
      <c r="M365" s="27">
        <f>IF(E365="","",SUMIFS(tbl_Finance[Ex GST],tbl_Finance[Job Number],E365&amp;""))</f>
        <v/>
      </c>
      <c r="N365" s="27">
        <f>IF(J365&lt;&gt;"Won","",IF(E365="",N(I365),I365-M365))</f>
        <v/>
      </c>
      <c r="O365" s="24" t="n"/>
    </row>
    <row r="366" ht="15" customHeight="1">
      <c r="A366" s="70" t="n"/>
      <c r="B366" s="24" t="n"/>
      <c r="C366" s="24" t="n"/>
      <c r="D366" s="24" t="n"/>
      <c r="E366" s="24" t="n"/>
      <c r="F366" s="25">
        <f>IF(E366="","",IF(COUNTIF(lst_Jobs,E366&amp;"")&gt;0,"OK","CHECK"))</f>
        <v/>
      </c>
      <c r="G366" s="24" t="n"/>
      <c r="H366" s="24" t="n"/>
      <c r="I366" s="26" t="n"/>
      <c r="J366" s="24" t="n"/>
      <c r="K366" s="22" t="n"/>
      <c r="L366" s="70" t="n"/>
      <c r="M366" s="27">
        <f>IF(E366="","",SUMIFS(tbl_Finance[Ex GST],tbl_Finance[Job Number],E366&amp;""))</f>
        <v/>
      </c>
      <c r="N366" s="27">
        <f>IF(J366&lt;&gt;"Won","",IF(E366="",N(I366),I366-M366))</f>
        <v/>
      </c>
      <c r="O366" s="24" t="n"/>
    </row>
    <row r="367" ht="15" customHeight="1">
      <c r="A367" s="70" t="n"/>
      <c r="B367" s="24" t="n"/>
      <c r="C367" s="24" t="n"/>
      <c r="D367" s="24" t="n"/>
      <c r="E367" s="24" t="n"/>
      <c r="F367" s="25">
        <f>IF(E367="","",IF(COUNTIF(lst_Jobs,E367&amp;"")&gt;0,"OK","CHECK"))</f>
        <v/>
      </c>
      <c r="G367" s="24" t="n"/>
      <c r="H367" s="24" t="n"/>
      <c r="I367" s="26" t="n"/>
      <c r="J367" s="24" t="n"/>
      <c r="K367" s="22" t="n"/>
      <c r="L367" s="70" t="n"/>
      <c r="M367" s="27">
        <f>IF(E367="","",SUMIFS(tbl_Finance[Ex GST],tbl_Finance[Job Number],E367&amp;""))</f>
        <v/>
      </c>
      <c r="N367" s="27">
        <f>IF(J367&lt;&gt;"Won","",IF(E367="",N(I367),I367-M367))</f>
        <v/>
      </c>
      <c r="O367" s="24" t="n"/>
    </row>
    <row r="368" ht="15" customHeight="1">
      <c r="A368" s="70" t="n"/>
      <c r="B368" s="24" t="n"/>
      <c r="C368" s="24" t="n"/>
      <c r="D368" s="24" t="n"/>
      <c r="E368" s="24" t="n"/>
      <c r="F368" s="25">
        <f>IF(E368="","",IF(COUNTIF(lst_Jobs,E368&amp;"")&gt;0,"OK","CHECK"))</f>
        <v/>
      </c>
      <c r="G368" s="24" t="n"/>
      <c r="H368" s="24" t="n"/>
      <c r="I368" s="26" t="n"/>
      <c r="J368" s="24" t="n"/>
      <c r="K368" s="22" t="n"/>
      <c r="L368" s="70" t="n"/>
      <c r="M368" s="27">
        <f>IF(E368="","",SUMIFS(tbl_Finance[Ex GST],tbl_Finance[Job Number],E368&amp;""))</f>
        <v/>
      </c>
      <c r="N368" s="27">
        <f>IF(J368&lt;&gt;"Won","",IF(E368="",N(I368),I368-M368))</f>
        <v/>
      </c>
      <c r="O368" s="24" t="n"/>
    </row>
    <row r="369" ht="15" customHeight="1">
      <c r="A369" s="70" t="n"/>
      <c r="B369" s="24" t="n"/>
      <c r="C369" s="24" t="n"/>
      <c r="D369" s="24" t="n"/>
      <c r="E369" s="24" t="n"/>
      <c r="F369" s="25">
        <f>IF(E369="","",IF(COUNTIF(lst_Jobs,E369&amp;"")&gt;0,"OK","CHECK"))</f>
        <v/>
      </c>
      <c r="G369" s="24" t="n"/>
      <c r="H369" s="24" t="n"/>
      <c r="I369" s="26" t="n"/>
      <c r="J369" s="24" t="n"/>
      <c r="K369" s="22" t="n"/>
      <c r="L369" s="70" t="n"/>
      <c r="M369" s="27">
        <f>IF(E369="","",SUMIFS(tbl_Finance[Ex GST],tbl_Finance[Job Number],E369&amp;""))</f>
        <v/>
      </c>
      <c r="N369" s="27">
        <f>IF(J369&lt;&gt;"Won","",IF(E369="",N(I369),I369-M369))</f>
        <v/>
      </c>
      <c r="O369" s="24" t="n"/>
    </row>
    <row r="370" ht="15" customHeight="1">
      <c r="A370" s="70" t="n"/>
      <c r="B370" s="24" t="n"/>
      <c r="C370" s="24" t="n"/>
      <c r="D370" s="24" t="n"/>
      <c r="E370" s="24" t="n"/>
      <c r="F370" s="25">
        <f>IF(E370="","",IF(COUNTIF(lst_Jobs,E370&amp;"")&gt;0,"OK","CHECK"))</f>
        <v/>
      </c>
      <c r="G370" s="24" t="n"/>
      <c r="H370" s="24" t="n"/>
      <c r="I370" s="26" t="n"/>
      <c r="J370" s="24" t="n"/>
      <c r="K370" s="22" t="n"/>
      <c r="L370" s="70" t="n"/>
      <c r="M370" s="27">
        <f>IF(E370="","",SUMIFS(tbl_Finance[Ex GST],tbl_Finance[Job Number],E370&amp;""))</f>
        <v/>
      </c>
      <c r="N370" s="27">
        <f>IF(J370&lt;&gt;"Won","",IF(E370="",N(I370),I370-M370))</f>
        <v/>
      </c>
      <c r="O370" s="24" t="n"/>
    </row>
    <row r="371" ht="15" customHeight="1">
      <c r="A371" s="70" t="n"/>
      <c r="B371" s="24" t="n"/>
      <c r="C371" s="24" t="n"/>
      <c r="D371" s="24" t="n"/>
      <c r="E371" s="24" t="n"/>
      <c r="F371" s="25">
        <f>IF(E371="","",IF(COUNTIF(lst_Jobs,E371&amp;"")&gt;0,"OK","CHECK"))</f>
        <v/>
      </c>
      <c r="G371" s="24" t="n"/>
      <c r="H371" s="24" t="n"/>
      <c r="I371" s="26" t="n"/>
      <c r="J371" s="24" t="n"/>
      <c r="K371" s="22" t="n"/>
      <c r="L371" s="70" t="n"/>
      <c r="M371" s="27">
        <f>IF(E371="","",SUMIFS(tbl_Finance[Ex GST],tbl_Finance[Job Number],E371&amp;""))</f>
        <v/>
      </c>
      <c r="N371" s="27">
        <f>IF(J371&lt;&gt;"Won","",IF(E371="",N(I371),I371-M371))</f>
        <v/>
      </c>
      <c r="O371" s="24" t="n"/>
    </row>
    <row r="372" ht="15" customHeight="1">
      <c r="A372" s="70" t="n"/>
      <c r="B372" s="24" t="n"/>
      <c r="C372" s="24" t="n"/>
      <c r="D372" s="24" t="n"/>
      <c r="E372" s="24" t="n"/>
      <c r="F372" s="25">
        <f>IF(E372="","",IF(COUNTIF(lst_Jobs,E372&amp;"")&gt;0,"OK","CHECK"))</f>
        <v/>
      </c>
      <c r="G372" s="24" t="n"/>
      <c r="H372" s="24" t="n"/>
      <c r="I372" s="26" t="n"/>
      <c r="J372" s="24" t="n"/>
      <c r="K372" s="22" t="n"/>
      <c r="L372" s="70" t="n"/>
      <c r="M372" s="27">
        <f>IF(E372="","",SUMIFS(tbl_Finance[Ex GST],tbl_Finance[Job Number],E372&amp;""))</f>
        <v/>
      </c>
      <c r="N372" s="27">
        <f>IF(J372&lt;&gt;"Won","",IF(E372="",N(I372),I372-M372))</f>
        <v/>
      </c>
      <c r="O372" s="24" t="n"/>
    </row>
    <row r="373" ht="15" customHeight="1">
      <c r="A373" s="70" t="n"/>
      <c r="B373" s="24" t="n"/>
      <c r="C373" s="24" t="n"/>
      <c r="D373" s="24" t="n"/>
      <c r="E373" s="24" t="n"/>
      <c r="F373" s="25">
        <f>IF(E373="","",IF(COUNTIF(lst_Jobs,E373&amp;"")&gt;0,"OK","CHECK"))</f>
        <v/>
      </c>
      <c r="G373" s="24" t="n"/>
      <c r="H373" s="24" t="n"/>
      <c r="I373" s="26" t="n"/>
      <c r="J373" s="24" t="n"/>
      <c r="K373" s="22" t="n"/>
      <c r="L373" s="70" t="n"/>
      <c r="M373" s="27">
        <f>IF(E373="","",SUMIFS(tbl_Finance[Ex GST],tbl_Finance[Job Number],E373&amp;""))</f>
        <v/>
      </c>
      <c r="N373" s="27">
        <f>IF(J373&lt;&gt;"Won","",IF(E373="",N(I373),I373-M373))</f>
        <v/>
      </c>
      <c r="O373" s="24" t="n"/>
    </row>
    <row r="374" ht="15" customHeight="1">
      <c r="A374" s="70" t="n"/>
      <c r="B374" s="24" t="n"/>
      <c r="C374" s="24" t="n"/>
      <c r="D374" s="24" t="n"/>
      <c r="E374" s="24" t="n"/>
      <c r="F374" s="25">
        <f>IF(E374="","",IF(COUNTIF(lst_Jobs,E374&amp;"")&gt;0,"OK","CHECK"))</f>
        <v/>
      </c>
      <c r="G374" s="24" t="n"/>
      <c r="H374" s="24" t="n"/>
      <c r="I374" s="26" t="n"/>
      <c r="J374" s="24" t="n"/>
      <c r="K374" s="22" t="n"/>
      <c r="L374" s="70" t="n"/>
      <c r="M374" s="27">
        <f>IF(E374="","",SUMIFS(tbl_Finance[Ex GST],tbl_Finance[Job Number],E374&amp;""))</f>
        <v/>
      </c>
      <c r="N374" s="27">
        <f>IF(J374&lt;&gt;"Won","",IF(E374="",N(I374),I374-M374))</f>
        <v/>
      </c>
      <c r="O374" s="24" t="n"/>
    </row>
    <row r="375" ht="15" customHeight="1">
      <c r="A375" s="70" t="n"/>
      <c r="B375" s="24" t="n"/>
      <c r="C375" s="24" t="n"/>
      <c r="D375" s="24" t="n"/>
      <c r="E375" s="24" t="n"/>
      <c r="F375" s="25">
        <f>IF(E375="","",IF(COUNTIF(lst_Jobs,E375&amp;"")&gt;0,"OK","CHECK"))</f>
        <v/>
      </c>
      <c r="G375" s="24" t="n"/>
      <c r="H375" s="24" t="n"/>
      <c r="I375" s="26" t="n"/>
      <c r="J375" s="24" t="n"/>
      <c r="K375" s="22" t="n"/>
      <c r="L375" s="70" t="n"/>
      <c r="M375" s="27">
        <f>IF(E375="","",SUMIFS(tbl_Finance[Ex GST],tbl_Finance[Job Number],E375&amp;""))</f>
        <v/>
      </c>
      <c r="N375" s="27">
        <f>IF(J375&lt;&gt;"Won","",IF(E375="",N(I375),I375-M375))</f>
        <v/>
      </c>
      <c r="O375" s="24" t="n"/>
    </row>
    <row r="376" ht="15" customHeight="1">
      <c r="A376" s="70" t="n"/>
      <c r="B376" s="24" t="n"/>
      <c r="C376" s="24" t="n"/>
      <c r="D376" s="24" t="n"/>
      <c r="E376" s="24" t="n"/>
      <c r="F376" s="25">
        <f>IF(E376="","",IF(COUNTIF(lst_Jobs,E376&amp;"")&gt;0,"OK","CHECK"))</f>
        <v/>
      </c>
      <c r="G376" s="24" t="n"/>
      <c r="H376" s="24" t="n"/>
      <c r="I376" s="26" t="n"/>
      <c r="J376" s="24" t="n"/>
      <c r="K376" s="22" t="n"/>
      <c r="L376" s="70" t="n"/>
      <c r="M376" s="27">
        <f>IF(E376="","",SUMIFS(tbl_Finance[Ex GST],tbl_Finance[Job Number],E376&amp;""))</f>
        <v/>
      </c>
      <c r="N376" s="27">
        <f>IF(J376&lt;&gt;"Won","",IF(E376="",N(I376),I376-M376))</f>
        <v/>
      </c>
      <c r="O376" s="24" t="n"/>
    </row>
    <row r="377" ht="15" customHeight="1">
      <c r="A377" s="70" t="n"/>
      <c r="B377" s="24" t="n"/>
      <c r="C377" s="24" t="n"/>
      <c r="D377" s="24" t="n"/>
      <c r="E377" s="24" t="n"/>
      <c r="F377" s="25">
        <f>IF(E377="","",IF(COUNTIF(lst_Jobs,E377&amp;"")&gt;0,"OK","CHECK"))</f>
        <v/>
      </c>
      <c r="G377" s="24" t="n"/>
      <c r="H377" s="24" t="n"/>
      <c r="I377" s="26" t="n"/>
      <c r="J377" s="24" t="n"/>
      <c r="K377" s="22" t="n"/>
      <c r="L377" s="70" t="n"/>
      <c r="M377" s="27">
        <f>IF(E377="","",SUMIFS(tbl_Finance[Ex GST],tbl_Finance[Job Number],E377&amp;""))</f>
        <v/>
      </c>
      <c r="N377" s="27">
        <f>IF(J377&lt;&gt;"Won","",IF(E377="",N(I377),I377-M377))</f>
        <v/>
      </c>
      <c r="O377" s="24" t="n"/>
    </row>
    <row r="378" ht="15" customHeight="1">
      <c r="A378" s="70" t="n"/>
      <c r="B378" s="24" t="n"/>
      <c r="C378" s="24" t="n"/>
      <c r="D378" s="24" t="n"/>
      <c r="E378" s="24" t="n"/>
      <c r="F378" s="25">
        <f>IF(E378="","",IF(COUNTIF(lst_Jobs,E378&amp;"")&gt;0,"OK","CHECK"))</f>
        <v/>
      </c>
      <c r="G378" s="24" t="n"/>
      <c r="H378" s="24" t="n"/>
      <c r="I378" s="26" t="n"/>
      <c r="J378" s="24" t="n"/>
      <c r="K378" s="22" t="n"/>
      <c r="L378" s="70" t="n"/>
      <c r="M378" s="27">
        <f>IF(E378="","",SUMIFS(tbl_Finance[Ex GST],tbl_Finance[Job Number],E378&amp;""))</f>
        <v/>
      </c>
      <c r="N378" s="27">
        <f>IF(J378&lt;&gt;"Won","",IF(E378="",N(I378),I378-M378))</f>
        <v/>
      </c>
      <c r="O378" s="24" t="n"/>
    </row>
    <row r="379" ht="15" customHeight="1">
      <c r="A379" s="70" t="n"/>
      <c r="B379" s="24" t="n"/>
      <c r="C379" s="24" t="n"/>
      <c r="D379" s="24" t="n"/>
      <c r="E379" s="24" t="n"/>
      <c r="F379" s="25">
        <f>IF(E379="","",IF(COUNTIF(lst_Jobs,E379&amp;"")&gt;0,"OK","CHECK"))</f>
        <v/>
      </c>
      <c r="G379" s="24" t="n"/>
      <c r="H379" s="24" t="n"/>
      <c r="I379" s="26" t="n"/>
      <c r="J379" s="24" t="n"/>
      <c r="K379" s="22" t="n"/>
      <c r="L379" s="70" t="n"/>
      <c r="M379" s="27">
        <f>IF(E379="","",SUMIFS(tbl_Finance[Ex GST],tbl_Finance[Job Number],E379&amp;""))</f>
        <v/>
      </c>
      <c r="N379" s="27">
        <f>IF(J379&lt;&gt;"Won","",IF(E379="",N(I379),I379-M379))</f>
        <v/>
      </c>
      <c r="O379" s="24" t="n"/>
    </row>
    <row r="380" ht="15" customHeight="1">
      <c r="A380" s="70" t="n"/>
      <c r="B380" s="24" t="n"/>
      <c r="C380" s="24" t="n"/>
      <c r="D380" s="24" t="n"/>
      <c r="E380" s="24" t="n"/>
      <c r="F380" s="25">
        <f>IF(E380="","",IF(COUNTIF(lst_Jobs,E380&amp;"")&gt;0,"OK","CHECK"))</f>
        <v/>
      </c>
      <c r="G380" s="24" t="n"/>
      <c r="H380" s="24" t="n"/>
      <c r="I380" s="26" t="n"/>
      <c r="J380" s="24" t="n"/>
      <c r="K380" s="22" t="n"/>
      <c r="L380" s="70" t="n"/>
      <c r="M380" s="27">
        <f>IF(E380="","",SUMIFS(tbl_Finance[Ex GST],tbl_Finance[Job Number],E380&amp;""))</f>
        <v/>
      </c>
      <c r="N380" s="27">
        <f>IF(J380&lt;&gt;"Won","",IF(E380="",N(I380),I380-M380))</f>
        <v/>
      </c>
      <c r="O380" s="24" t="n"/>
    </row>
    <row r="381" ht="15" customHeight="1">
      <c r="A381" s="70" t="n"/>
      <c r="B381" s="24" t="n"/>
      <c r="C381" s="24" t="n"/>
      <c r="D381" s="24" t="n"/>
      <c r="E381" s="24" t="n"/>
      <c r="F381" s="25">
        <f>IF(E381="","",IF(COUNTIF(lst_Jobs,E381&amp;"")&gt;0,"OK","CHECK"))</f>
        <v/>
      </c>
      <c r="G381" s="24" t="n"/>
      <c r="H381" s="24" t="n"/>
      <c r="I381" s="26" t="n"/>
      <c r="J381" s="24" t="n"/>
      <c r="K381" s="22" t="n"/>
      <c r="L381" s="70" t="n"/>
      <c r="M381" s="27">
        <f>IF(E381="","",SUMIFS(tbl_Finance[Ex GST],tbl_Finance[Job Number],E381&amp;""))</f>
        <v/>
      </c>
      <c r="N381" s="27">
        <f>IF(J381&lt;&gt;"Won","",IF(E381="",N(I381),I381-M381))</f>
        <v/>
      </c>
      <c r="O381" s="24" t="n"/>
    </row>
    <row r="382" ht="15" customHeight="1">
      <c r="A382" s="70" t="n"/>
      <c r="B382" s="24" t="n"/>
      <c r="C382" s="24" t="n"/>
      <c r="D382" s="24" t="n"/>
      <c r="E382" s="24" t="n"/>
      <c r="F382" s="25">
        <f>IF(E382="","",IF(COUNTIF(lst_Jobs,E382&amp;"")&gt;0,"OK","CHECK"))</f>
        <v/>
      </c>
      <c r="G382" s="24" t="n"/>
      <c r="H382" s="24" t="n"/>
      <c r="I382" s="26" t="n"/>
      <c r="J382" s="24" t="n"/>
      <c r="K382" s="22" t="n"/>
      <c r="L382" s="70" t="n"/>
      <c r="M382" s="27">
        <f>IF(E382="","",SUMIFS(tbl_Finance[Ex GST],tbl_Finance[Job Number],E382&amp;""))</f>
        <v/>
      </c>
      <c r="N382" s="27">
        <f>IF(J382&lt;&gt;"Won","",IF(E382="",N(I382),I382-M382))</f>
        <v/>
      </c>
      <c r="O382" s="24" t="n"/>
    </row>
    <row r="383" ht="15" customHeight="1">
      <c r="A383" s="70" t="n"/>
      <c r="B383" s="24" t="n"/>
      <c r="C383" s="24" t="n"/>
      <c r="D383" s="24" t="n"/>
      <c r="E383" s="24" t="n"/>
      <c r="F383" s="25">
        <f>IF(E383="","",IF(COUNTIF(lst_Jobs,E383&amp;"")&gt;0,"OK","CHECK"))</f>
        <v/>
      </c>
      <c r="G383" s="24" t="n"/>
      <c r="H383" s="24" t="n"/>
      <c r="I383" s="26" t="n"/>
      <c r="J383" s="24" t="n"/>
      <c r="K383" s="22" t="n"/>
      <c r="L383" s="70" t="n"/>
      <c r="M383" s="27">
        <f>IF(E383="","",SUMIFS(tbl_Finance[Ex GST],tbl_Finance[Job Number],E383&amp;""))</f>
        <v/>
      </c>
      <c r="N383" s="27">
        <f>IF(J383&lt;&gt;"Won","",IF(E383="",N(I383),I383-M383))</f>
        <v/>
      </c>
      <c r="O383" s="24" t="n"/>
    </row>
    <row r="384" ht="15" customHeight="1">
      <c r="A384" s="70" t="n"/>
      <c r="B384" s="24" t="n"/>
      <c r="C384" s="24" t="n"/>
      <c r="D384" s="24" t="n"/>
      <c r="E384" s="24" t="n"/>
      <c r="F384" s="25">
        <f>IF(E384="","",IF(COUNTIF(lst_Jobs,E384&amp;"")&gt;0,"OK","CHECK"))</f>
        <v/>
      </c>
      <c r="G384" s="24" t="n"/>
      <c r="H384" s="24" t="n"/>
      <c r="I384" s="26" t="n"/>
      <c r="J384" s="24" t="n"/>
      <c r="K384" s="22" t="n"/>
      <c r="L384" s="70" t="n"/>
      <c r="M384" s="27">
        <f>IF(E384="","",SUMIFS(tbl_Finance[Ex GST],tbl_Finance[Job Number],E384&amp;""))</f>
        <v/>
      </c>
      <c r="N384" s="27">
        <f>IF(J384&lt;&gt;"Won","",IF(E384="",N(I384),I384-M384))</f>
        <v/>
      </c>
      <c r="O384" s="24" t="n"/>
    </row>
    <row r="385" ht="15" customHeight="1">
      <c r="A385" s="70" t="n"/>
      <c r="B385" s="24" t="n"/>
      <c r="C385" s="24" t="n"/>
      <c r="D385" s="24" t="n"/>
      <c r="E385" s="24" t="n"/>
      <c r="F385" s="25">
        <f>IF(E385="","",IF(COUNTIF(lst_Jobs,E385&amp;"")&gt;0,"OK","CHECK"))</f>
        <v/>
      </c>
      <c r="G385" s="24" t="n"/>
      <c r="H385" s="24" t="n"/>
      <c r="I385" s="26" t="n"/>
      <c r="J385" s="24" t="n"/>
      <c r="K385" s="22" t="n"/>
      <c r="L385" s="70" t="n"/>
      <c r="M385" s="27">
        <f>IF(E385="","",SUMIFS(tbl_Finance[Ex GST],tbl_Finance[Job Number],E385&amp;""))</f>
        <v/>
      </c>
      <c r="N385" s="27">
        <f>IF(J385&lt;&gt;"Won","",IF(E385="",N(I385),I385-M385))</f>
        <v/>
      </c>
      <c r="O385" s="24" t="n"/>
    </row>
    <row r="386" ht="15" customHeight="1">
      <c r="A386" s="70" t="n"/>
      <c r="B386" s="24" t="n"/>
      <c r="C386" s="24" t="n"/>
      <c r="D386" s="24" t="n"/>
      <c r="E386" s="24" t="n"/>
      <c r="F386" s="25">
        <f>IF(E386="","",IF(COUNTIF(lst_Jobs,E386&amp;"")&gt;0,"OK","CHECK"))</f>
        <v/>
      </c>
      <c r="G386" s="24" t="n"/>
      <c r="H386" s="24" t="n"/>
      <c r="I386" s="26" t="n"/>
      <c r="J386" s="24" t="n"/>
      <c r="K386" s="22" t="n"/>
      <c r="L386" s="70" t="n"/>
      <c r="M386" s="27">
        <f>IF(E386="","",SUMIFS(tbl_Finance[Ex GST],tbl_Finance[Job Number],E386&amp;""))</f>
        <v/>
      </c>
      <c r="N386" s="27">
        <f>IF(J386&lt;&gt;"Won","",IF(E386="",N(I386),I386-M386))</f>
        <v/>
      </c>
      <c r="O386" s="24" t="n"/>
    </row>
    <row r="387" ht="15" customHeight="1">
      <c r="A387" s="70" t="n"/>
      <c r="B387" s="24" t="n"/>
      <c r="C387" s="24" t="n"/>
      <c r="D387" s="24" t="n"/>
      <c r="E387" s="24" t="n"/>
      <c r="F387" s="25">
        <f>IF(E387="","",IF(COUNTIF(lst_Jobs,E387&amp;"")&gt;0,"OK","CHECK"))</f>
        <v/>
      </c>
      <c r="G387" s="24" t="n"/>
      <c r="H387" s="24" t="n"/>
      <c r="I387" s="26" t="n"/>
      <c r="J387" s="24" t="n"/>
      <c r="K387" s="22" t="n"/>
      <c r="L387" s="70" t="n"/>
      <c r="M387" s="27">
        <f>IF(E387="","",SUMIFS(tbl_Finance[Ex GST],tbl_Finance[Job Number],E387&amp;""))</f>
        <v/>
      </c>
      <c r="N387" s="27">
        <f>IF(J387&lt;&gt;"Won","",IF(E387="",N(I387),I387-M387))</f>
        <v/>
      </c>
      <c r="O387" s="24" t="n"/>
    </row>
    <row r="388" ht="15" customHeight="1">
      <c r="A388" s="70" t="n"/>
      <c r="B388" s="24" t="n"/>
      <c r="C388" s="24" t="n"/>
      <c r="D388" s="24" t="n"/>
      <c r="E388" s="24" t="n"/>
      <c r="F388" s="25">
        <f>IF(E388="","",IF(COUNTIF(lst_Jobs,E388&amp;"")&gt;0,"OK","CHECK"))</f>
        <v/>
      </c>
      <c r="G388" s="24" t="n"/>
      <c r="H388" s="24" t="n"/>
      <c r="I388" s="26" t="n"/>
      <c r="J388" s="24" t="n"/>
      <c r="K388" s="22" t="n"/>
      <c r="L388" s="70" t="n"/>
      <c r="M388" s="27">
        <f>IF(E388="","",SUMIFS(tbl_Finance[Ex GST],tbl_Finance[Job Number],E388&amp;""))</f>
        <v/>
      </c>
      <c r="N388" s="27">
        <f>IF(J388&lt;&gt;"Won","",IF(E388="",N(I388),I388-M388))</f>
        <v/>
      </c>
      <c r="O388" s="24" t="n"/>
    </row>
    <row r="389" ht="15" customHeight="1">
      <c r="A389" s="70" t="n"/>
      <c r="B389" s="24" t="n"/>
      <c r="C389" s="24" t="n"/>
      <c r="D389" s="24" t="n"/>
      <c r="E389" s="24" t="n"/>
      <c r="F389" s="25">
        <f>IF(E389="","",IF(COUNTIF(lst_Jobs,E389&amp;"")&gt;0,"OK","CHECK"))</f>
        <v/>
      </c>
      <c r="G389" s="24" t="n"/>
      <c r="H389" s="24" t="n"/>
      <c r="I389" s="26" t="n"/>
      <c r="J389" s="24" t="n"/>
      <c r="K389" s="22" t="n"/>
      <c r="L389" s="70" t="n"/>
      <c r="M389" s="27">
        <f>IF(E389="","",SUMIFS(tbl_Finance[Ex GST],tbl_Finance[Job Number],E389&amp;""))</f>
        <v/>
      </c>
      <c r="N389" s="27">
        <f>IF(J389&lt;&gt;"Won","",IF(E389="",N(I389),I389-M389))</f>
        <v/>
      </c>
      <c r="O389" s="24" t="n"/>
    </row>
    <row r="390" ht="15" customHeight="1">
      <c r="A390" s="70" t="n"/>
      <c r="B390" s="24" t="n"/>
      <c r="C390" s="24" t="n"/>
      <c r="D390" s="24" t="n"/>
      <c r="E390" s="24" t="n"/>
      <c r="F390" s="25">
        <f>IF(E390="","",IF(COUNTIF(lst_Jobs,E390&amp;"")&gt;0,"OK","CHECK"))</f>
        <v/>
      </c>
      <c r="G390" s="24" t="n"/>
      <c r="H390" s="24" t="n"/>
      <c r="I390" s="26" t="n"/>
      <c r="J390" s="24" t="n"/>
      <c r="K390" s="22" t="n"/>
      <c r="L390" s="70" t="n"/>
      <c r="M390" s="27">
        <f>IF(E390="","",SUMIFS(tbl_Finance[Ex GST],tbl_Finance[Job Number],E390&amp;""))</f>
        <v/>
      </c>
      <c r="N390" s="27">
        <f>IF(J390&lt;&gt;"Won","",IF(E390="",N(I390),I390-M390))</f>
        <v/>
      </c>
      <c r="O390" s="24" t="n"/>
    </row>
    <row r="391" ht="15" customHeight="1">
      <c r="A391" s="70" t="n"/>
      <c r="B391" s="24" t="n"/>
      <c r="C391" s="24" t="n"/>
      <c r="D391" s="24" t="n"/>
      <c r="E391" s="24" t="n"/>
      <c r="F391" s="25">
        <f>IF(E391="","",IF(COUNTIF(lst_Jobs,E391&amp;"")&gt;0,"OK","CHECK"))</f>
        <v/>
      </c>
      <c r="G391" s="24" t="n"/>
      <c r="H391" s="24" t="n"/>
      <c r="I391" s="26" t="n"/>
      <c r="J391" s="24" t="n"/>
      <c r="K391" s="22" t="n"/>
      <c r="L391" s="70" t="n"/>
      <c r="M391" s="27">
        <f>IF(E391="","",SUMIFS(tbl_Finance[Ex GST],tbl_Finance[Job Number],E391&amp;""))</f>
        <v/>
      </c>
      <c r="N391" s="27">
        <f>IF(J391&lt;&gt;"Won","",IF(E391="",N(I391),I391-M391))</f>
        <v/>
      </c>
      <c r="O391" s="24" t="n"/>
    </row>
    <row r="392" ht="15" customHeight="1">
      <c r="A392" s="70" t="n"/>
      <c r="B392" s="24" t="n"/>
      <c r="C392" s="24" t="n"/>
      <c r="D392" s="24" t="n"/>
      <c r="E392" s="24" t="n"/>
      <c r="F392" s="25">
        <f>IF(E392="","",IF(COUNTIF(lst_Jobs,E392&amp;"")&gt;0,"OK","CHECK"))</f>
        <v/>
      </c>
      <c r="G392" s="24" t="n"/>
      <c r="H392" s="24" t="n"/>
      <c r="I392" s="26" t="n"/>
      <c r="J392" s="24" t="n"/>
      <c r="K392" s="22" t="n"/>
      <c r="L392" s="70" t="n"/>
      <c r="M392" s="27">
        <f>IF(E392="","",SUMIFS(tbl_Finance[Ex GST],tbl_Finance[Job Number],E392&amp;""))</f>
        <v/>
      </c>
      <c r="N392" s="27">
        <f>IF(J392&lt;&gt;"Won","",IF(E392="",N(I392),I392-M392))</f>
        <v/>
      </c>
      <c r="O392" s="24" t="n"/>
    </row>
    <row r="393" ht="15" customHeight="1">
      <c r="A393" s="70" t="n"/>
      <c r="B393" s="24" t="n"/>
      <c r="C393" s="24" t="n"/>
      <c r="D393" s="24" t="n"/>
      <c r="E393" s="24" t="n"/>
      <c r="F393" s="25">
        <f>IF(E393="","",IF(COUNTIF(lst_Jobs,E393&amp;"")&gt;0,"OK","CHECK"))</f>
        <v/>
      </c>
      <c r="G393" s="24" t="n"/>
      <c r="H393" s="24" t="n"/>
      <c r="I393" s="26" t="n"/>
      <c r="J393" s="24" t="n"/>
      <c r="K393" s="22" t="n"/>
      <c r="L393" s="70" t="n"/>
      <c r="M393" s="27">
        <f>IF(E393="","",SUMIFS(tbl_Finance[Ex GST],tbl_Finance[Job Number],E393&amp;""))</f>
        <v/>
      </c>
      <c r="N393" s="27">
        <f>IF(J393&lt;&gt;"Won","",IF(E393="",N(I393),I393-M393))</f>
        <v/>
      </c>
      <c r="O393" s="24" t="n"/>
    </row>
    <row r="394" ht="15" customHeight="1">
      <c r="A394" s="70" t="n"/>
      <c r="B394" s="24" t="n"/>
      <c r="C394" s="24" t="n"/>
      <c r="D394" s="24" t="n"/>
      <c r="E394" s="24" t="n"/>
      <c r="F394" s="25">
        <f>IF(E394="","",IF(COUNTIF(lst_Jobs,E394&amp;"")&gt;0,"OK","CHECK"))</f>
        <v/>
      </c>
      <c r="G394" s="24" t="n"/>
      <c r="H394" s="24" t="n"/>
      <c r="I394" s="26" t="n"/>
      <c r="J394" s="24" t="n"/>
      <c r="K394" s="22" t="n"/>
      <c r="L394" s="70" t="n"/>
      <c r="M394" s="27">
        <f>IF(E394="","",SUMIFS(tbl_Finance[Ex GST],tbl_Finance[Job Number],E394&amp;""))</f>
        <v/>
      </c>
      <c r="N394" s="27">
        <f>IF(J394&lt;&gt;"Won","",IF(E394="",N(I394),I394-M394))</f>
        <v/>
      </c>
      <c r="O394" s="24" t="n"/>
    </row>
    <row r="395" ht="15" customHeight="1">
      <c r="A395" s="70" t="n"/>
      <c r="B395" s="24" t="n"/>
      <c r="C395" s="24" t="n"/>
      <c r="D395" s="24" t="n"/>
      <c r="E395" s="24" t="n"/>
      <c r="F395" s="25">
        <f>IF(E395="","",IF(COUNTIF(lst_Jobs,E395&amp;"")&gt;0,"OK","CHECK"))</f>
        <v/>
      </c>
      <c r="G395" s="24" t="n"/>
      <c r="H395" s="24" t="n"/>
      <c r="I395" s="26" t="n"/>
      <c r="J395" s="24" t="n"/>
      <c r="K395" s="22" t="n"/>
      <c r="L395" s="70" t="n"/>
      <c r="M395" s="27">
        <f>IF(E395="","",SUMIFS(tbl_Finance[Ex GST],tbl_Finance[Job Number],E395&amp;""))</f>
        <v/>
      </c>
      <c r="N395" s="27">
        <f>IF(J395&lt;&gt;"Won","",IF(E395="",N(I395),I395-M395))</f>
        <v/>
      </c>
      <c r="O395" s="24" t="n"/>
    </row>
    <row r="396" ht="15" customHeight="1">
      <c r="A396" s="70" t="n"/>
      <c r="B396" s="24" t="n"/>
      <c r="C396" s="24" t="n"/>
      <c r="D396" s="24" t="n"/>
      <c r="E396" s="24" t="n"/>
      <c r="F396" s="25">
        <f>IF(E396="","",IF(COUNTIF(lst_Jobs,E396&amp;"")&gt;0,"OK","CHECK"))</f>
        <v/>
      </c>
      <c r="G396" s="24" t="n"/>
      <c r="H396" s="24" t="n"/>
      <c r="I396" s="26" t="n"/>
      <c r="J396" s="24" t="n"/>
      <c r="K396" s="22" t="n"/>
      <c r="L396" s="70" t="n"/>
      <c r="M396" s="27">
        <f>IF(E396="","",SUMIFS(tbl_Finance[Ex GST],tbl_Finance[Job Number],E396&amp;""))</f>
        <v/>
      </c>
      <c r="N396" s="27">
        <f>IF(J396&lt;&gt;"Won","",IF(E396="",N(I396),I396-M396))</f>
        <v/>
      </c>
      <c r="O396" s="24" t="n"/>
    </row>
    <row r="397" ht="15" customHeight="1">
      <c r="A397" s="70" t="n"/>
      <c r="B397" s="24" t="n"/>
      <c r="C397" s="24" t="n"/>
      <c r="D397" s="24" t="n"/>
      <c r="E397" s="24" t="n"/>
      <c r="F397" s="25">
        <f>IF(E397="","",IF(COUNTIF(lst_Jobs,E397&amp;"")&gt;0,"OK","CHECK"))</f>
        <v/>
      </c>
      <c r="G397" s="24" t="n"/>
      <c r="H397" s="24" t="n"/>
      <c r="I397" s="26" t="n"/>
      <c r="J397" s="24" t="n"/>
      <c r="K397" s="22" t="n"/>
      <c r="L397" s="70" t="n"/>
      <c r="M397" s="27">
        <f>IF(E397="","",SUMIFS(tbl_Finance[Ex GST],tbl_Finance[Job Number],E397&amp;""))</f>
        <v/>
      </c>
      <c r="N397" s="27">
        <f>IF(J397&lt;&gt;"Won","",IF(E397="",N(I397),I397-M397))</f>
        <v/>
      </c>
      <c r="O397" s="24" t="n"/>
    </row>
    <row r="398" ht="15" customHeight="1">
      <c r="A398" s="70" t="n"/>
      <c r="B398" s="24" t="n"/>
      <c r="C398" s="24" t="n"/>
      <c r="D398" s="24" t="n"/>
      <c r="E398" s="24" t="n"/>
      <c r="F398" s="25">
        <f>IF(E398="","",IF(COUNTIF(lst_Jobs,E398&amp;"")&gt;0,"OK","CHECK"))</f>
        <v/>
      </c>
      <c r="G398" s="24" t="n"/>
      <c r="H398" s="24" t="n"/>
      <c r="I398" s="26" t="n"/>
      <c r="J398" s="24" t="n"/>
      <c r="K398" s="22" t="n"/>
      <c r="L398" s="70" t="n"/>
      <c r="M398" s="27">
        <f>IF(E398="","",SUMIFS(tbl_Finance[Ex GST],tbl_Finance[Job Number],E398&amp;""))</f>
        <v/>
      </c>
      <c r="N398" s="27">
        <f>IF(J398&lt;&gt;"Won","",IF(E398="",N(I398),I398-M398))</f>
        <v/>
      </c>
      <c r="O398" s="24" t="n"/>
    </row>
    <row r="399" ht="15" customHeight="1">
      <c r="A399" s="70" t="n"/>
      <c r="B399" s="24" t="n"/>
      <c r="C399" s="24" t="n"/>
      <c r="D399" s="24" t="n"/>
      <c r="E399" s="24" t="n"/>
      <c r="F399" s="25">
        <f>IF(E399="","",IF(COUNTIF(lst_Jobs,E399&amp;"")&gt;0,"OK","CHECK"))</f>
        <v/>
      </c>
      <c r="G399" s="24" t="n"/>
      <c r="H399" s="24" t="n"/>
      <c r="I399" s="26" t="n"/>
      <c r="J399" s="24" t="n"/>
      <c r="K399" s="22" t="n"/>
      <c r="L399" s="70" t="n"/>
      <c r="M399" s="27">
        <f>IF(E399="","",SUMIFS(tbl_Finance[Ex GST],tbl_Finance[Job Number],E399&amp;""))</f>
        <v/>
      </c>
      <c r="N399" s="27">
        <f>IF(J399&lt;&gt;"Won","",IF(E399="",N(I399),I399-M399))</f>
        <v/>
      </c>
      <c r="O399" s="24" t="n"/>
    </row>
    <row r="400" ht="15" customHeight="1">
      <c r="A400" s="70" t="n"/>
      <c r="B400" s="24" t="n"/>
      <c r="C400" s="24" t="n"/>
      <c r="D400" s="24" t="n"/>
      <c r="E400" s="24" t="n"/>
      <c r="F400" s="25">
        <f>IF(E400="","",IF(COUNTIF(lst_Jobs,E400&amp;"")&gt;0,"OK","CHECK"))</f>
        <v/>
      </c>
      <c r="G400" s="24" t="n"/>
      <c r="H400" s="24" t="n"/>
      <c r="I400" s="26" t="n"/>
      <c r="J400" s="24" t="n"/>
      <c r="K400" s="22" t="n"/>
      <c r="L400" s="70" t="n"/>
      <c r="M400" s="27">
        <f>IF(E400="","",SUMIFS(tbl_Finance[Ex GST],tbl_Finance[Job Number],E400&amp;""))</f>
        <v/>
      </c>
      <c r="N400" s="27">
        <f>IF(J400&lt;&gt;"Won","",IF(E400="",N(I400),I400-M400))</f>
        <v/>
      </c>
      <c r="O400" s="24" t="n"/>
    </row>
    <row r="401" ht="15" customHeight="1">
      <c r="A401" s="70" t="n"/>
      <c r="B401" s="24" t="n"/>
      <c r="C401" s="24" t="n"/>
      <c r="D401" s="24" t="n"/>
      <c r="E401" s="24" t="n"/>
      <c r="F401" s="25">
        <f>IF(E401="","",IF(COUNTIF(lst_Jobs,E401&amp;"")&gt;0,"OK","CHECK"))</f>
        <v/>
      </c>
      <c r="G401" s="24" t="n"/>
      <c r="H401" s="24" t="n"/>
      <c r="I401" s="26" t="n"/>
      <c r="J401" s="24" t="n"/>
      <c r="K401" s="22" t="n"/>
      <c r="L401" s="70" t="n"/>
      <c r="M401" s="27">
        <f>IF(E401="","",SUMIFS(tbl_Finance[Ex GST],tbl_Finance[Job Number],E401&amp;""))</f>
        <v/>
      </c>
      <c r="N401" s="27">
        <f>IF(J401&lt;&gt;"Won","",IF(E401="",N(I401),I401-M401))</f>
        <v/>
      </c>
      <c r="O401" s="24" t="n"/>
    </row>
    <row r="402" ht="15" customHeight="1">
      <c r="A402" s="70" t="n"/>
      <c r="B402" s="24" t="n"/>
      <c r="C402" s="24" t="n"/>
      <c r="D402" s="24" t="n"/>
      <c r="E402" s="24" t="n"/>
      <c r="F402" s="25">
        <f>IF(E402="","",IF(COUNTIF(lst_Jobs,E402&amp;"")&gt;0,"OK","CHECK"))</f>
        <v/>
      </c>
      <c r="G402" s="24" t="n"/>
      <c r="H402" s="24" t="n"/>
      <c r="I402" s="26" t="n"/>
      <c r="J402" s="24" t="n"/>
      <c r="K402" s="22" t="n"/>
      <c r="L402" s="70" t="n"/>
      <c r="M402" s="27">
        <f>IF(E402="","",SUMIFS(tbl_Finance[Ex GST],tbl_Finance[Job Number],E402&amp;""))</f>
        <v/>
      </c>
      <c r="N402" s="27">
        <f>IF(J402&lt;&gt;"Won","",IF(E402="",N(I402),I402-M402))</f>
        <v/>
      </c>
      <c r="O402" s="24" t="n"/>
    </row>
    <row r="403" ht="15" customHeight="1">
      <c r="A403" s="70" t="n"/>
      <c r="B403" s="24" t="n"/>
      <c r="C403" s="24" t="n"/>
      <c r="D403" s="24" t="n"/>
      <c r="E403" s="24" t="n"/>
      <c r="F403" s="25">
        <f>IF(E403="","",IF(COUNTIF(lst_Jobs,E403&amp;"")&gt;0,"OK","CHECK"))</f>
        <v/>
      </c>
      <c r="G403" s="24" t="n"/>
      <c r="H403" s="24" t="n"/>
      <c r="I403" s="26" t="n"/>
      <c r="J403" s="24" t="n"/>
      <c r="K403" s="22" t="n"/>
      <c r="L403" s="70" t="n"/>
      <c r="M403" s="27">
        <f>IF(E403="","",SUMIFS(tbl_Finance[Ex GST],tbl_Finance[Job Number],E403&amp;""))</f>
        <v/>
      </c>
      <c r="N403" s="27">
        <f>IF(J403&lt;&gt;"Won","",IF(E403="",N(I403),I403-M403))</f>
        <v/>
      </c>
      <c r="O403" s="24" t="n"/>
    </row>
    <row r="404" ht="15" customHeight="1">
      <c r="A404" s="70" t="n"/>
      <c r="B404" s="24" t="n"/>
      <c r="C404" s="24" t="n"/>
      <c r="D404" s="24" t="n"/>
      <c r="E404" s="24" t="n"/>
      <c r="F404" s="25">
        <f>IF(E404="","",IF(COUNTIF(lst_Jobs,E404&amp;"")&gt;0,"OK","CHECK"))</f>
        <v/>
      </c>
      <c r="G404" s="24" t="n"/>
      <c r="H404" s="24" t="n"/>
      <c r="I404" s="26" t="n"/>
      <c r="J404" s="24" t="n"/>
      <c r="K404" s="22" t="n"/>
      <c r="L404" s="70" t="n"/>
      <c r="M404" s="27">
        <f>IF(E404="","",SUMIFS(tbl_Finance[Ex GST],tbl_Finance[Job Number],E404&amp;""))</f>
        <v/>
      </c>
      <c r="N404" s="27">
        <f>IF(J404&lt;&gt;"Won","",IF(E404="",N(I404),I404-M404))</f>
        <v/>
      </c>
      <c r="O404" s="24" t="n"/>
    </row>
    <row r="405" ht="15" customHeight="1">
      <c r="A405" s="70" t="n"/>
      <c r="B405" s="24" t="n"/>
      <c r="C405" s="24" t="n"/>
      <c r="D405" s="24" t="n"/>
      <c r="E405" s="24" t="n"/>
      <c r="F405" s="25">
        <f>IF(E405="","",IF(COUNTIF(lst_Jobs,E405&amp;"")&gt;0,"OK","CHECK"))</f>
        <v/>
      </c>
      <c r="G405" s="24" t="n"/>
      <c r="H405" s="24" t="n"/>
      <c r="I405" s="26" t="n"/>
      <c r="J405" s="24" t="n"/>
      <c r="K405" s="22" t="n"/>
      <c r="L405" s="70" t="n"/>
      <c r="M405" s="27">
        <f>IF(E405="","",SUMIFS(tbl_Finance[Ex GST],tbl_Finance[Job Number],E405&amp;""))</f>
        <v/>
      </c>
      <c r="N405" s="27">
        <f>IF(J405&lt;&gt;"Won","",IF(E405="",N(I405),I405-M405))</f>
        <v/>
      </c>
      <c r="O405" s="24" t="n"/>
    </row>
    <row r="406" ht="15" customHeight="1">
      <c r="A406" s="70" t="n"/>
      <c r="B406" s="24" t="n"/>
      <c r="C406" s="24" t="n"/>
      <c r="D406" s="24" t="n"/>
      <c r="E406" s="24" t="n"/>
      <c r="F406" s="25">
        <f>IF(E406="","",IF(COUNTIF(lst_Jobs,E406&amp;"")&gt;0,"OK","CHECK"))</f>
        <v/>
      </c>
      <c r="G406" s="24" t="n"/>
      <c r="H406" s="24" t="n"/>
      <c r="I406" s="26" t="n"/>
      <c r="J406" s="24" t="n"/>
      <c r="K406" s="22" t="n"/>
      <c r="L406" s="70" t="n"/>
      <c r="M406" s="27">
        <f>IF(E406="","",SUMIFS(tbl_Finance[Ex GST],tbl_Finance[Job Number],E406&amp;""))</f>
        <v/>
      </c>
      <c r="N406" s="27">
        <f>IF(J406&lt;&gt;"Won","",IF(E406="",N(I406),I406-M406))</f>
        <v/>
      </c>
      <c r="O406" s="24" t="n"/>
    </row>
    <row r="407" ht="15" customHeight="1">
      <c r="A407" s="70" t="n"/>
      <c r="B407" s="24" t="n"/>
      <c r="C407" s="24" t="n"/>
      <c r="D407" s="24" t="n"/>
      <c r="E407" s="24" t="n"/>
      <c r="F407" s="25">
        <f>IF(E407="","",IF(COUNTIF(lst_Jobs,E407&amp;"")&gt;0,"OK","CHECK"))</f>
        <v/>
      </c>
      <c r="G407" s="24" t="n"/>
      <c r="H407" s="24" t="n"/>
      <c r="I407" s="26" t="n"/>
      <c r="J407" s="24" t="n"/>
      <c r="K407" s="22" t="n"/>
      <c r="L407" s="70" t="n"/>
      <c r="M407" s="27">
        <f>IF(E407="","",SUMIFS(tbl_Finance[Ex GST],tbl_Finance[Job Number],E407&amp;""))</f>
        <v/>
      </c>
      <c r="N407" s="27">
        <f>IF(J407&lt;&gt;"Won","",IF(E407="",N(I407),I407-M407))</f>
        <v/>
      </c>
      <c r="O407" s="24" t="n"/>
    </row>
    <row r="408" ht="15" customHeight="1">
      <c r="A408" s="70" t="n"/>
      <c r="B408" s="24" t="n"/>
      <c r="C408" s="24" t="n"/>
      <c r="D408" s="24" t="n"/>
      <c r="E408" s="24" t="n"/>
      <c r="F408" s="25">
        <f>IF(E408="","",IF(COUNTIF(lst_Jobs,E408&amp;"")&gt;0,"OK","CHECK"))</f>
        <v/>
      </c>
      <c r="G408" s="24" t="n"/>
      <c r="H408" s="24" t="n"/>
      <c r="I408" s="26" t="n"/>
      <c r="J408" s="24" t="n"/>
      <c r="K408" s="22" t="n"/>
      <c r="L408" s="70" t="n"/>
      <c r="M408" s="27">
        <f>IF(E408="","",SUMIFS(tbl_Finance[Ex GST],tbl_Finance[Job Number],E408&amp;""))</f>
        <v/>
      </c>
      <c r="N408" s="27">
        <f>IF(J408&lt;&gt;"Won","",IF(E408="",N(I408),I408-M408))</f>
        <v/>
      </c>
      <c r="O408" s="24" t="n"/>
    </row>
    <row r="409" ht="15" customHeight="1">
      <c r="A409" s="70" t="n"/>
      <c r="B409" s="24" t="n"/>
      <c r="C409" s="24" t="n"/>
      <c r="D409" s="24" t="n"/>
      <c r="E409" s="24" t="n"/>
      <c r="F409" s="25">
        <f>IF(E409="","",IF(COUNTIF(lst_Jobs,E409&amp;"")&gt;0,"OK","CHECK"))</f>
        <v/>
      </c>
      <c r="G409" s="24" t="n"/>
      <c r="H409" s="24" t="n"/>
      <c r="I409" s="26" t="n"/>
      <c r="J409" s="24" t="n"/>
      <c r="K409" s="22" t="n"/>
      <c r="L409" s="70" t="n"/>
      <c r="M409" s="27">
        <f>IF(E409="","",SUMIFS(tbl_Finance[Ex GST],tbl_Finance[Job Number],E409&amp;""))</f>
        <v/>
      </c>
      <c r="N409" s="27">
        <f>IF(J409&lt;&gt;"Won","",IF(E409="",N(I409),I409-M409))</f>
        <v/>
      </c>
      <c r="O409" s="24" t="n"/>
    </row>
    <row r="410" ht="15" customHeight="1">
      <c r="A410" s="70" t="n"/>
      <c r="B410" s="24" t="n"/>
      <c r="C410" s="24" t="n"/>
      <c r="D410" s="24" t="n"/>
      <c r="E410" s="24" t="n"/>
      <c r="F410" s="25">
        <f>IF(E410="","",IF(COUNTIF(lst_Jobs,E410&amp;"")&gt;0,"OK","CHECK"))</f>
        <v/>
      </c>
      <c r="G410" s="24" t="n"/>
      <c r="H410" s="24" t="n"/>
      <c r="I410" s="26" t="n"/>
      <c r="J410" s="24" t="n"/>
      <c r="K410" s="22" t="n"/>
      <c r="L410" s="70" t="n"/>
      <c r="M410" s="27">
        <f>IF(E410="","",SUMIFS(tbl_Finance[Ex GST],tbl_Finance[Job Number],E410&amp;""))</f>
        <v/>
      </c>
      <c r="N410" s="27">
        <f>IF(J410&lt;&gt;"Won","",IF(E410="",N(I410),I410-M410))</f>
        <v/>
      </c>
      <c r="O410" s="24" t="n"/>
    </row>
    <row r="411" ht="15" customHeight="1">
      <c r="A411" s="70" t="n"/>
      <c r="B411" s="24" t="n"/>
      <c r="C411" s="24" t="n"/>
      <c r="D411" s="24" t="n"/>
      <c r="E411" s="24" t="n"/>
      <c r="F411" s="25">
        <f>IF(E411="","",IF(COUNTIF(lst_Jobs,E411&amp;"")&gt;0,"OK","CHECK"))</f>
        <v/>
      </c>
      <c r="G411" s="24" t="n"/>
      <c r="H411" s="24" t="n"/>
      <c r="I411" s="26" t="n"/>
      <c r="J411" s="24" t="n"/>
      <c r="K411" s="22" t="n"/>
      <c r="L411" s="70" t="n"/>
      <c r="M411" s="27">
        <f>IF(E411="","",SUMIFS(tbl_Finance[Ex GST],tbl_Finance[Job Number],E411&amp;""))</f>
        <v/>
      </c>
      <c r="N411" s="27">
        <f>IF(J411&lt;&gt;"Won","",IF(E411="",N(I411),I411-M411))</f>
        <v/>
      </c>
      <c r="O411" s="24" t="n"/>
    </row>
    <row r="412" ht="15" customHeight="1">
      <c r="A412" s="70" t="n"/>
      <c r="B412" s="24" t="n"/>
      <c r="C412" s="24" t="n"/>
      <c r="D412" s="24" t="n"/>
      <c r="E412" s="24" t="n"/>
      <c r="F412" s="25">
        <f>IF(E412="","",IF(COUNTIF(lst_Jobs,E412&amp;"")&gt;0,"OK","CHECK"))</f>
        <v/>
      </c>
      <c r="G412" s="24" t="n"/>
      <c r="H412" s="24" t="n"/>
      <c r="I412" s="26" t="n"/>
      <c r="J412" s="24" t="n"/>
      <c r="K412" s="22" t="n"/>
      <c r="L412" s="70" t="n"/>
      <c r="M412" s="27">
        <f>IF(E412="","",SUMIFS(tbl_Finance[Ex GST],tbl_Finance[Job Number],E412&amp;""))</f>
        <v/>
      </c>
      <c r="N412" s="27">
        <f>IF(J412&lt;&gt;"Won","",IF(E412="",N(I412),I412-M412))</f>
        <v/>
      </c>
      <c r="O412" s="24" t="n"/>
    </row>
    <row r="413" ht="15" customHeight="1">
      <c r="A413" s="70" t="n"/>
      <c r="B413" s="24" t="n"/>
      <c r="C413" s="24" t="n"/>
      <c r="D413" s="24" t="n"/>
      <c r="E413" s="24" t="n"/>
      <c r="F413" s="25">
        <f>IF(E413="","",IF(COUNTIF(lst_Jobs,E413&amp;"")&gt;0,"OK","CHECK"))</f>
        <v/>
      </c>
      <c r="G413" s="24" t="n"/>
      <c r="H413" s="24" t="n"/>
      <c r="I413" s="26" t="n"/>
      <c r="J413" s="24" t="n"/>
      <c r="K413" s="22" t="n"/>
      <c r="L413" s="70" t="n"/>
      <c r="M413" s="27">
        <f>IF(E413="","",SUMIFS(tbl_Finance[Ex GST],tbl_Finance[Job Number],E413&amp;""))</f>
        <v/>
      </c>
      <c r="N413" s="27">
        <f>IF(J413&lt;&gt;"Won","",IF(E413="",N(I413),I413-M413))</f>
        <v/>
      </c>
      <c r="O413" s="24" t="n"/>
    </row>
    <row r="414" ht="15" customHeight="1">
      <c r="A414" s="70" t="n"/>
      <c r="B414" s="24" t="n"/>
      <c r="C414" s="24" t="n"/>
      <c r="D414" s="24" t="n"/>
      <c r="E414" s="24" t="n"/>
      <c r="F414" s="25">
        <f>IF(E414="","",IF(COUNTIF(lst_Jobs,E414&amp;"")&gt;0,"OK","CHECK"))</f>
        <v/>
      </c>
      <c r="G414" s="24" t="n"/>
      <c r="H414" s="24" t="n"/>
      <c r="I414" s="26" t="n"/>
      <c r="J414" s="24" t="n"/>
      <c r="K414" s="22" t="n"/>
      <c r="L414" s="70" t="n"/>
      <c r="M414" s="27">
        <f>IF(E414="","",SUMIFS(tbl_Finance[Ex GST],tbl_Finance[Job Number],E414&amp;""))</f>
        <v/>
      </c>
      <c r="N414" s="27">
        <f>IF(J414&lt;&gt;"Won","",IF(E414="",N(I414),I414-M414))</f>
        <v/>
      </c>
      <c r="O414" s="24" t="n"/>
    </row>
    <row r="415" ht="15" customHeight="1">
      <c r="A415" s="70" t="n"/>
      <c r="B415" s="24" t="n"/>
      <c r="C415" s="24" t="n"/>
      <c r="D415" s="24" t="n"/>
      <c r="E415" s="24" t="n"/>
      <c r="F415" s="25">
        <f>IF(E415="","",IF(COUNTIF(lst_Jobs,E415&amp;"")&gt;0,"OK","CHECK"))</f>
        <v/>
      </c>
      <c r="G415" s="24" t="n"/>
      <c r="H415" s="24" t="n"/>
      <c r="I415" s="26" t="n"/>
      <c r="J415" s="24" t="n"/>
      <c r="K415" s="22" t="n"/>
      <c r="L415" s="70" t="n"/>
      <c r="M415" s="27">
        <f>IF(E415="","",SUMIFS(tbl_Finance[Ex GST],tbl_Finance[Job Number],E415&amp;""))</f>
        <v/>
      </c>
      <c r="N415" s="27">
        <f>IF(J415&lt;&gt;"Won","",IF(E415="",N(I415),I415-M415))</f>
        <v/>
      </c>
      <c r="O415" s="24" t="n"/>
    </row>
    <row r="416" ht="15" customHeight="1">
      <c r="A416" s="70" t="n"/>
      <c r="B416" s="24" t="n"/>
      <c r="C416" s="24" t="n"/>
      <c r="D416" s="24" t="n"/>
      <c r="E416" s="24" t="n"/>
      <c r="F416" s="25">
        <f>IF(E416="","",IF(COUNTIF(lst_Jobs,E416&amp;"")&gt;0,"OK","CHECK"))</f>
        <v/>
      </c>
      <c r="G416" s="24" t="n"/>
      <c r="H416" s="24" t="n"/>
      <c r="I416" s="26" t="n"/>
      <c r="J416" s="24" t="n"/>
      <c r="K416" s="22" t="n"/>
      <c r="L416" s="70" t="n"/>
      <c r="M416" s="27">
        <f>IF(E416="","",SUMIFS(tbl_Finance[Ex GST],tbl_Finance[Job Number],E416&amp;""))</f>
        <v/>
      </c>
      <c r="N416" s="27">
        <f>IF(J416&lt;&gt;"Won","",IF(E416="",N(I416),I416-M416))</f>
        <v/>
      </c>
      <c r="O416" s="24" t="n"/>
    </row>
    <row r="417" ht="15" customHeight="1">
      <c r="A417" s="70" t="n"/>
      <c r="B417" s="24" t="n"/>
      <c r="C417" s="24" t="n"/>
      <c r="D417" s="24" t="n"/>
      <c r="E417" s="24" t="n"/>
      <c r="F417" s="25">
        <f>IF(E417="","",IF(COUNTIF(lst_Jobs,E417&amp;"")&gt;0,"OK","CHECK"))</f>
        <v/>
      </c>
      <c r="G417" s="24" t="n"/>
      <c r="H417" s="24" t="n"/>
      <c r="I417" s="26" t="n"/>
      <c r="J417" s="24" t="n"/>
      <c r="K417" s="22" t="n"/>
      <c r="L417" s="70" t="n"/>
      <c r="M417" s="27">
        <f>IF(E417="","",SUMIFS(tbl_Finance[Ex GST],tbl_Finance[Job Number],E417&amp;""))</f>
        <v/>
      </c>
      <c r="N417" s="27">
        <f>IF(J417&lt;&gt;"Won","",IF(E417="",N(I417),I417-M417))</f>
        <v/>
      </c>
      <c r="O417" s="24" t="n"/>
    </row>
    <row r="418" ht="15" customHeight="1">
      <c r="A418" s="70" t="n"/>
      <c r="B418" s="24" t="n"/>
      <c r="C418" s="24" t="n"/>
      <c r="D418" s="24" t="n"/>
      <c r="E418" s="24" t="n"/>
      <c r="F418" s="25">
        <f>IF(E418="","",IF(COUNTIF(lst_Jobs,E418&amp;"")&gt;0,"OK","CHECK"))</f>
        <v/>
      </c>
      <c r="G418" s="24" t="n"/>
      <c r="H418" s="24" t="n"/>
      <c r="I418" s="26" t="n"/>
      <c r="J418" s="24" t="n"/>
      <c r="K418" s="22" t="n"/>
      <c r="L418" s="70" t="n"/>
      <c r="M418" s="27">
        <f>IF(E418="","",SUMIFS(tbl_Finance[Ex GST],tbl_Finance[Job Number],E418&amp;""))</f>
        <v/>
      </c>
      <c r="N418" s="27">
        <f>IF(J418&lt;&gt;"Won","",IF(E418="",N(I418),I418-M418))</f>
        <v/>
      </c>
      <c r="O418" s="24" t="n"/>
    </row>
    <row r="419" ht="15" customHeight="1">
      <c r="A419" s="70" t="n"/>
      <c r="B419" s="24" t="n"/>
      <c r="C419" s="24" t="n"/>
      <c r="D419" s="24" t="n"/>
      <c r="E419" s="24" t="n"/>
      <c r="F419" s="25">
        <f>IF(E419="","",IF(COUNTIF(lst_Jobs,E419&amp;"")&gt;0,"OK","CHECK"))</f>
        <v/>
      </c>
      <c r="G419" s="24" t="n"/>
      <c r="H419" s="24" t="n"/>
      <c r="I419" s="26" t="n"/>
      <c r="J419" s="24" t="n"/>
      <c r="K419" s="22" t="n"/>
      <c r="L419" s="70" t="n"/>
      <c r="M419" s="27">
        <f>IF(E419="","",SUMIFS(tbl_Finance[Ex GST],tbl_Finance[Job Number],E419&amp;""))</f>
        <v/>
      </c>
      <c r="N419" s="27">
        <f>IF(J419&lt;&gt;"Won","",IF(E419="",N(I419),I419-M419))</f>
        <v/>
      </c>
      <c r="O419" s="24" t="n"/>
    </row>
    <row r="420" ht="15" customHeight="1">
      <c r="A420" s="70" t="n"/>
      <c r="B420" s="24" t="n"/>
      <c r="C420" s="24" t="n"/>
      <c r="D420" s="24" t="n"/>
      <c r="E420" s="24" t="n"/>
      <c r="F420" s="25">
        <f>IF(E420="","",IF(COUNTIF(lst_Jobs,E420&amp;"")&gt;0,"OK","CHECK"))</f>
        <v/>
      </c>
      <c r="G420" s="24" t="n"/>
      <c r="H420" s="24" t="n"/>
      <c r="I420" s="26" t="n"/>
      <c r="J420" s="24" t="n"/>
      <c r="K420" s="22" t="n"/>
      <c r="L420" s="70" t="n"/>
      <c r="M420" s="27">
        <f>IF(E420="","",SUMIFS(tbl_Finance[Ex GST],tbl_Finance[Job Number],E420&amp;""))</f>
        <v/>
      </c>
      <c r="N420" s="27">
        <f>IF(J420&lt;&gt;"Won","",IF(E420="",N(I420),I420-M420))</f>
        <v/>
      </c>
      <c r="O420" s="24" t="n"/>
    </row>
    <row r="421" ht="15" customHeight="1">
      <c r="A421" s="70" t="n"/>
      <c r="B421" s="24" t="n"/>
      <c r="C421" s="24" t="n"/>
      <c r="D421" s="24" t="n"/>
      <c r="E421" s="24" t="n"/>
      <c r="F421" s="25">
        <f>IF(E421="","",IF(COUNTIF(lst_Jobs,E421&amp;"")&gt;0,"OK","CHECK"))</f>
        <v/>
      </c>
      <c r="G421" s="24" t="n"/>
      <c r="H421" s="24" t="n"/>
      <c r="I421" s="26" t="n"/>
      <c r="J421" s="24" t="n"/>
      <c r="K421" s="22" t="n"/>
      <c r="L421" s="70" t="n"/>
      <c r="M421" s="27">
        <f>IF(E421="","",SUMIFS(tbl_Finance[Ex GST],tbl_Finance[Job Number],E421&amp;""))</f>
        <v/>
      </c>
      <c r="N421" s="27">
        <f>IF(J421&lt;&gt;"Won","",IF(E421="",N(I421),I421-M421))</f>
        <v/>
      </c>
      <c r="O421" s="24" t="n"/>
    </row>
    <row r="422" ht="15" customHeight="1">
      <c r="A422" s="70" t="n"/>
      <c r="B422" s="24" t="n"/>
      <c r="C422" s="24" t="n"/>
      <c r="D422" s="24" t="n"/>
      <c r="E422" s="24" t="n"/>
      <c r="F422" s="25">
        <f>IF(E422="","",IF(COUNTIF(lst_Jobs,E422&amp;"")&gt;0,"OK","CHECK"))</f>
        <v/>
      </c>
      <c r="G422" s="24" t="n"/>
      <c r="H422" s="24" t="n"/>
      <c r="I422" s="26" t="n"/>
      <c r="J422" s="24" t="n"/>
      <c r="K422" s="22" t="n"/>
      <c r="L422" s="70" t="n"/>
      <c r="M422" s="27">
        <f>IF(E422="","",SUMIFS(tbl_Finance[Ex GST],tbl_Finance[Job Number],E422&amp;""))</f>
        <v/>
      </c>
      <c r="N422" s="27">
        <f>IF(J422&lt;&gt;"Won","",IF(E422="",N(I422),I422-M422))</f>
        <v/>
      </c>
      <c r="O422" s="24" t="n"/>
    </row>
    <row r="423" ht="15" customHeight="1">
      <c r="A423" s="70" t="n"/>
      <c r="B423" s="24" t="n"/>
      <c r="C423" s="24" t="n"/>
      <c r="D423" s="24" t="n"/>
      <c r="E423" s="24" t="n"/>
      <c r="F423" s="25">
        <f>IF(E423="","",IF(COUNTIF(lst_Jobs,E423&amp;"")&gt;0,"OK","CHECK"))</f>
        <v/>
      </c>
      <c r="G423" s="24" t="n"/>
      <c r="H423" s="24" t="n"/>
      <c r="I423" s="26" t="n"/>
      <c r="J423" s="24" t="n"/>
      <c r="K423" s="22" t="n"/>
      <c r="L423" s="70" t="n"/>
      <c r="M423" s="27">
        <f>IF(E423="","",SUMIFS(tbl_Finance[Ex GST],tbl_Finance[Job Number],E423&amp;""))</f>
        <v/>
      </c>
      <c r="N423" s="27">
        <f>IF(J423&lt;&gt;"Won","",IF(E423="",N(I423),I423-M423))</f>
        <v/>
      </c>
      <c r="O423" s="24" t="n"/>
    </row>
    <row r="424" ht="15" customHeight="1">
      <c r="A424" s="70" t="n"/>
      <c r="B424" s="24" t="n"/>
      <c r="C424" s="24" t="n"/>
      <c r="D424" s="24" t="n"/>
      <c r="E424" s="24" t="n"/>
      <c r="F424" s="25">
        <f>IF(E424="","",IF(COUNTIF(lst_Jobs,E424&amp;"")&gt;0,"OK","CHECK"))</f>
        <v/>
      </c>
      <c r="G424" s="24" t="n"/>
      <c r="H424" s="24" t="n"/>
      <c r="I424" s="26" t="n"/>
      <c r="J424" s="24" t="n"/>
      <c r="K424" s="22" t="n"/>
      <c r="L424" s="70" t="n"/>
      <c r="M424" s="27">
        <f>IF(E424="","",SUMIFS(tbl_Finance[Ex GST],tbl_Finance[Job Number],E424&amp;""))</f>
        <v/>
      </c>
      <c r="N424" s="27">
        <f>IF(J424&lt;&gt;"Won","",IF(E424="",N(I424),I424-M424))</f>
        <v/>
      </c>
      <c r="O424" s="24" t="n"/>
    </row>
    <row r="425" ht="15" customHeight="1">
      <c r="A425" s="70" t="n"/>
      <c r="B425" s="24" t="n"/>
      <c r="C425" s="24" t="n"/>
      <c r="D425" s="24" t="n"/>
      <c r="E425" s="24" t="n"/>
      <c r="F425" s="25">
        <f>IF(E425="","",IF(COUNTIF(lst_Jobs,E425&amp;"")&gt;0,"OK","CHECK"))</f>
        <v/>
      </c>
      <c r="G425" s="24" t="n"/>
      <c r="H425" s="24" t="n"/>
      <c r="I425" s="26" t="n"/>
      <c r="J425" s="24" t="n"/>
      <c r="K425" s="22" t="n"/>
      <c r="L425" s="70" t="n"/>
      <c r="M425" s="27">
        <f>IF(E425="","",SUMIFS(tbl_Finance[Ex GST],tbl_Finance[Job Number],E425&amp;""))</f>
        <v/>
      </c>
      <c r="N425" s="27">
        <f>IF(J425&lt;&gt;"Won","",IF(E425="",N(I425),I425-M425))</f>
        <v/>
      </c>
      <c r="O425" s="24" t="n"/>
    </row>
    <row r="426" ht="15" customHeight="1">
      <c r="A426" s="70" t="n"/>
      <c r="B426" s="24" t="n"/>
      <c r="C426" s="24" t="n"/>
      <c r="D426" s="24" t="n"/>
      <c r="E426" s="24" t="n"/>
      <c r="F426" s="25">
        <f>IF(E426="","",IF(COUNTIF(lst_Jobs,E426&amp;"")&gt;0,"OK","CHECK"))</f>
        <v/>
      </c>
      <c r="G426" s="24" t="n"/>
      <c r="H426" s="24" t="n"/>
      <c r="I426" s="26" t="n"/>
      <c r="J426" s="24" t="n"/>
      <c r="K426" s="22" t="n"/>
      <c r="L426" s="70" t="n"/>
      <c r="M426" s="27">
        <f>IF(E426="","",SUMIFS(tbl_Finance[Ex GST],tbl_Finance[Job Number],E426&amp;""))</f>
        <v/>
      </c>
      <c r="N426" s="27">
        <f>IF(J426&lt;&gt;"Won","",IF(E426="",N(I426),I426-M426))</f>
        <v/>
      </c>
      <c r="O426" s="24" t="n"/>
    </row>
    <row r="427" ht="15" customHeight="1">
      <c r="A427" s="70" t="n"/>
      <c r="B427" s="24" t="n"/>
      <c r="C427" s="24" t="n"/>
      <c r="D427" s="24" t="n"/>
      <c r="E427" s="24" t="n"/>
      <c r="F427" s="25">
        <f>IF(E427="","",IF(COUNTIF(lst_Jobs,E427&amp;"")&gt;0,"OK","CHECK"))</f>
        <v/>
      </c>
      <c r="G427" s="24" t="n"/>
      <c r="H427" s="24" t="n"/>
      <c r="I427" s="26" t="n"/>
      <c r="J427" s="24" t="n"/>
      <c r="K427" s="22" t="n"/>
      <c r="L427" s="70" t="n"/>
      <c r="M427" s="27">
        <f>IF(E427="","",SUMIFS(tbl_Finance[Ex GST],tbl_Finance[Job Number],E427&amp;""))</f>
        <v/>
      </c>
      <c r="N427" s="27">
        <f>IF(J427&lt;&gt;"Won","",IF(E427="",N(I427),I427-M427))</f>
        <v/>
      </c>
      <c r="O427" s="24" t="n"/>
    </row>
    <row r="428" ht="15" customHeight="1">
      <c r="A428" s="70" t="n"/>
      <c r="B428" s="24" t="n"/>
      <c r="C428" s="24" t="n"/>
      <c r="D428" s="24" t="n"/>
      <c r="E428" s="24" t="n"/>
      <c r="F428" s="25">
        <f>IF(E428="","",IF(COUNTIF(lst_Jobs,E428&amp;"")&gt;0,"OK","CHECK"))</f>
        <v/>
      </c>
      <c r="G428" s="24" t="n"/>
      <c r="H428" s="24" t="n"/>
      <c r="I428" s="26" t="n"/>
      <c r="J428" s="24" t="n"/>
      <c r="K428" s="22" t="n"/>
      <c r="L428" s="70" t="n"/>
      <c r="M428" s="27">
        <f>IF(E428="","",SUMIFS(tbl_Finance[Ex GST],tbl_Finance[Job Number],E428&amp;""))</f>
        <v/>
      </c>
      <c r="N428" s="27">
        <f>IF(J428&lt;&gt;"Won","",IF(E428="",N(I428),I428-M428))</f>
        <v/>
      </c>
      <c r="O428" s="24" t="n"/>
    </row>
    <row r="429" ht="15" customHeight="1">
      <c r="A429" s="70" t="n"/>
      <c r="B429" s="24" t="n"/>
      <c r="C429" s="24" t="n"/>
      <c r="D429" s="24" t="n"/>
      <c r="E429" s="24" t="n"/>
      <c r="F429" s="25">
        <f>IF(E429="","",IF(COUNTIF(lst_Jobs,E429&amp;"")&gt;0,"OK","CHECK"))</f>
        <v/>
      </c>
      <c r="G429" s="24" t="n"/>
      <c r="H429" s="24" t="n"/>
      <c r="I429" s="26" t="n"/>
      <c r="J429" s="24" t="n"/>
      <c r="K429" s="22" t="n"/>
      <c r="L429" s="70" t="n"/>
      <c r="M429" s="27">
        <f>IF(E429="","",SUMIFS(tbl_Finance[Ex GST],tbl_Finance[Job Number],E429&amp;""))</f>
        <v/>
      </c>
      <c r="N429" s="27">
        <f>IF(J429&lt;&gt;"Won","",IF(E429="",N(I429),I429-M429))</f>
        <v/>
      </c>
      <c r="O429" s="24" t="n"/>
    </row>
    <row r="430" ht="15" customHeight="1">
      <c r="A430" s="70" t="n"/>
      <c r="B430" s="24" t="n"/>
      <c r="C430" s="24" t="n"/>
      <c r="D430" s="24" t="n"/>
      <c r="E430" s="24" t="n"/>
      <c r="F430" s="25">
        <f>IF(E430="","",IF(COUNTIF(lst_Jobs,E430&amp;"")&gt;0,"OK","CHECK"))</f>
        <v/>
      </c>
      <c r="G430" s="24" t="n"/>
      <c r="H430" s="24" t="n"/>
      <c r="I430" s="26" t="n"/>
      <c r="J430" s="24" t="n"/>
      <c r="K430" s="22" t="n"/>
      <c r="L430" s="70" t="n"/>
      <c r="M430" s="27">
        <f>IF(E430="","",SUMIFS(tbl_Finance[Ex GST],tbl_Finance[Job Number],E430&amp;""))</f>
        <v/>
      </c>
      <c r="N430" s="27">
        <f>IF(J430&lt;&gt;"Won","",IF(E430="",N(I430),I430-M430))</f>
        <v/>
      </c>
      <c r="O430" s="24" t="n"/>
    </row>
    <row r="431" ht="15" customHeight="1">
      <c r="A431" s="70" t="n"/>
      <c r="B431" s="24" t="n"/>
      <c r="C431" s="24" t="n"/>
      <c r="D431" s="24" t="n"/>
      <c r="E431" s="24" t="n"/>
      <c r="F431" s="25">
        <f>IF(E431="","",IF(COUNTIF(lst_Jobs,E431&amp;"")&gt;0,"OK","CHECK"))</f>
        <v/>
      </c>
      <c r="G431" s="24" t="n"/>
      <c r="H431" s="24" t="n"/>
      <c r="I431" s="26" t="n"/>
      <c r="J431" s="24" t="n"/>
      <c r="K431" s="22" t="n"/>
      <c r="L431" s="70" t="n"/>
      <c r="M431" s="27">
        <f>IF(E431="","",SUMIFS(tbl_Finance[Ex GST],tbl_Finance[Job Number],E431&amp;""))</f>
        <v/>
      </c>
      <c r="N431" s="27">
        <f>IF(J431&lt;&gt;"Won","",IF(E431="",N(I431),I431-M431))</f>
        <v/>
      </c>
      <c r="O431" s="24" t="n"/>
    </row>
    <row r="432" ht="15" customHeight="1">
      <c r="A432" s="70" t="n"/>
      <c r="B432" s="24" t="n"/>
      <c r="C432" s="24" t="n"/>
      <c r="D432" s="24" t="n"/>
      <c r="E432" s="24" t="n"/>
      <c r="F432" s="25">
        <f>IF(E432="","",IF(COUNTIF(lst_Jobs,E432&amp;"")&gt;0,"OK","CHECK"))</f>
        <v/>
      </c>
      <c r="G432" s="24" t="n"/>
      <c r="H432" s="24" t="n"/>
      <c r="I432" s="26" t="n"/>
      <c r="J432" s="24" t="n"/>
      <c r="K432" s="22" t="n"/>
      <c r="L432" s="70" t="n"/>
      <c r="M432" s="27">
        <f>IF(E432="","",SUMIFS(tbl_Finance[Ex GST],tbl_Finance[Job Number],E432&amp;""))</f>
        <v/>
      </c>
      <c r="N432" s="27">
        <f>IF(J432&lt;&gt;"Won","",IF(E432="",N(I432),I432-M432))</f>
        <v/>
      </c>
      <c r="O432" s="24" t="n"/>
    </row>
    <row r="433" ht="15" customHeight="1">
      <c r="A433" s="70" t="n"/>
      <c r="B433" s="24" t="n"/>
      <c r="C433" s="24" t="n"/>
      <c r="D433" s="24" t="n"/>
      <c r="E433" s="24" t="n"/>
      <c r="F433" s="25">
        <f>IF(E433="","",IF(COUNTIF(lst_Jobs,E433&amp;"")&gt;0,"OK","CHECK"))</f>
        <v/>
      </c>
      <c r="G433" s="24" t="n"/>
      <c r="H433" s="24" t="n"/>
      <c r="I433" s="26" t="n"/>
      <c r="J433" s="24" t="n"/>
      <c r="K433" s="22" t="n"/>
      <c r="L433" s="70" t="n"/>
      <c r="M433" s="27">
        <f>IF(E433="","",SUMIFS(tbl_Finance[Ex GST],tbl_Finance[Job Number],E433&amp;""))</f>
        <v/>
      </c>
      <c r="N433" s="27">
        <f>IF(J433&lt;&gt;"Won","",IF(E433="",N(I433),I433-M433))</f>
        <v/>
      </c>
      <c r="O433" s="24" t="n"/>
    </row>
    <row r="434" ht="15" customHeight="1">
      <c r="A434" s="70" t="n"/>
      <c r="B434" s="24" t="n"/>
      <c r="C434" s="24" t="n"/>
      <c r="D434" s="24" t="n"/>
      <c r="E434" s="24" t="n"/>
      <c r="F434" s="25">
        <f>IF(E434="","",IF(COUNTIF(lst_Jobs,E434&amp;"")&gt;0,"OK","CHECK"))</f>
        <v/>
      </c>
      <c r="G434" s="24" t="n"/>
      <c r="H434" s="24" t="n"/>
      <c r="I434" s="26" t="n"/>
      <c r="J434" s="24" t="n"/>
      <c r="K434" s="22" t="n"/>
      <c r="L434" s="70" t="n"/>
      <c r="M434" s="27">
        <f>IF(E434="","",SUMIFS(tbl_Finance[Ex GST],tbl_Finance[Job Number],E434&amp;""))</f>
        <v/>
      </c>
      <c r="N434" s="27">
        <f>IF(J434&lt;&gt;"Won","",IF(E434="",N(I434),I434-M434))</f>
        <v/>
      </c>
      <c r="O434" s="24" t="n"/>
    </row>
    <row r="435" ht="15" customHeight="1">
      <c r="A435" s="70" t="n"/>
      <c r="B435" s="24" t="n"/>
      <c r="C435" s="24" t="n"/>
      <c r="D435" s="24" t="n"/>
      <c r="E435" s="24" t="n"/>
      <c r="F435" s="25">
        <f>IF(E435="","",IF(COUNTIF(lst_Jobs,E435&amp;"")&gt;0,"OK","CHECK"))</f>
        <v/>
      </c>
      <c r="G435" s="24" t="n"/>
      <c r="H435" s="24" t="n"/>
      <c r="I435" s="26" t="n"/>
      <c r="J435" s="24" t="n"/>
      <c r="K435" s="22" t="n"/>
      <c r="L435" s="70" t="n"/>
      <c r="M435" s="27">
        <f>IF(E435="","",SUMIFS(tbl_Finance[Ex GST],tbl_Finance[Job Number],E435&amp;""))</f>
        <v/>
      </c>
      <c r="N435" s="27">
        <f>IF(J435&lt;&gt;"Won","",IF(E435="",N(I435),I435-M435))</f>
        <v/>
      </c>
      <c r="O435" s="24" t="n"/>
    </row>
    <row r="436" ht="15" customHeight="1">
      <c r="A436" s="70" t="n"/>
      <c r="B436" s="24" t="n"/>
      <c r="C436" s="24" t="n"/>
      <c r="D436" s="24" t="n"/>
      <c r="E436" s="24" t="n"/>
      <c r="F436" s="25">
        <f>IF(E436="","",IF(COUNTIF(lst_Jobs,E436&amp;"")&gt;0,"OK","CHECK"))</f>
        <v/>
      </c>
      <c r="G436" s="24" t="n"/>
      <c r="H436" s="24" t="n"/>
      <c r="I436" s="26" t="n"/>
      <c r="J436" s="24" t="n"/>
      <c r="K436" s="22" t="n"/>
      <c r="L436" s="70" t="n"/>
      <c r="M436" s="27">
        <f>IF(E436="","",SUMIFS(tbl_Finance[Ex GST],tbl_Finance[Job Number],E436&amp;""))</f>
        <v/>
      </c>
      <c r="N436" s="27">
        <f>IF(J436&lt;&gt;"Won","",IF(E436="",N(I436),I436-M436))</f>
        <v/>
      </c>
      <c r="O436" s="24" t="n"/>
    </row>
    <row r="437" ht="15" customHeight="1">
      <c r="A437" s="70" t="n"/>
      <c r="B437" s="24" t="n"/>
      <c r="C437" s="24" t="n"/>
      <c r="D437" s="24" t="n"/>
      <c r="E437" s="24" t="n"/>
      <c r="F437" s="25">
        <f>IF(E437="","",IF(COUNTIF(lst_Jobs,E437&amp;"")&gt;0,"OK","CHECK"))</f>
        <v/>
      </c>
      <c r="G437" s="24" t="n"/>
      <c r="H437" s="24" t="n"/>
      <c r="I437" s="26" t="n"/>
      <c r="J437" s="24" t="n"/>
      <c r="K437" s="22" t="n"/>
      <c r="L437" s="70" t="n"/>
      <c r="M437" s="27">
        <f>IF(E437="","",SUMIFS(tbl_Finance[Ex GST],tbl_Finance[Job Number],E437&amp;""))</f>
        <v/>
      </c>
      <c r="N437" s="27">
        <f>IF(J437&lt;&gt;"Won","",IF(E437="",N(I437),I437-M437))</f>
        <v/>
      </c>
      <c r="O437" s="24" t="n"/>
    </row>
    <row r="438" ht="15" customHeight="1">
      <c r="A438" s="70" t="n"/>
      <c r="B438" s="24" t="n"/>
      <c r="C438" s="24" t="n"/>
      <c r="D438" s="24" t="n"/>
      <c r="E438" s="24" t="n"/>
      <c r="F438" s="25">
        <f>IF(E438="","",IF(COUNTIF(lst_Jobs,E438&amp;"")&gt;0,"OK","CHECK"))</f>
        <v/>
      </c>
      <c r="G438" s="24" t="n"/>
      <c r="H438" s="24" t="n"/>
      <c r="I438" s="26" t="n"/>
      <c r="J438" s="24" t="n"/>
      <c r="K438" s="22" t="n"/>
      <c r="L438" s="70" t="n"/>
      <c r="M438" s="27">
        <f>IF(E438="","",SUMIFS(tbl_Finance[Ex GST],tbl_Finance[Job Number],E438&amp;""))</f>
        <v/>
      </c>
      <c r="N438" s="27">
        <f>IF(J438&lt;&gt;"Won","",IF(E438="",N(I438),I438-M438))</f>
        <v/>
      </c>
      <c r="O438" s="24" t="n"/>
    </row>
    <row r="439" ht="15" customHeight="1">
      <c r="A439" s="70" t="n"/>
      <c r="B439" s="24" t="n"/>
      <c r="C439" s="24" t="n"/>
      <c r="D439" s="24" t="n"/>
      <c r="E439" s="24" t="n"/>
      <c r="F439" s="25">
        <f>IF(E439="","",IF(COUNTIF(lst_Jobs,E439&amp;"")&gt;0,"OK","CHECK"))</f>
        <v/>
      </c>
      <c r="G439" s="24" t="n"/>
      <c r="H439" s="24" t="n"/>
      <c r="I439" s="26" t="n"/>
      <c r="J439" s="24" t="n"/>
      <c r="K439" s="22" t="n"/>
      <c r="L439" s="70" t="n"/>
      <c r="M439" s="27">
        <f>IF(E439="","",SUMIFS(tbl_Finance[Ex GST],tbl_Finance[Job Number],E439&amp;""))</f>
        <v/>
      </c>
      <c r="N439" s="27">
        <f>IF(J439&lt;&gt;"Won","",IF(E439="",N(I439),I439-M439))</f>
        <v/>
      </c>
      <c r="O439" s="24" t="n"/>
    </row>
    <row r="440" ht="15" customHeight="1">
      <c r="A440" s="70" t="n"/>
      <c r="B440" s="24" t="n"/>
      <c r="C440" s="24" t="n"/>
      <c r="D440" s="24" t="n"/>
      <c r="E440" s="24" t="n"/>
      <c r="F440" s="25">
        <f>IF(E440="","",IF(COUNTIF(lst_Jobs,E440&amp;"")&gt;0,"OK","CHECK"))</f>
        <v/>
      </c>
      <c r="G440" s="24" t="n"/>
      <c r="H440" s="24" t="n"/>
      <c r="I440" s="26" t="n"/>
      <c r="J440" s="24" t="n"/>
      <c r="K440" s="22" t="n"/>
      <c r="L440" s="70" t="n"/>
      <c r="M440" s="27">
        <f>IF(E440="","",SUMIFS(tbl_Finance[Ex GST],tbl_Finance[Job Number],E440&amp;""))</f>
        <v/>
      </c>
      <c r="N440" s="27">
        <f>IF(J440&lt;&gt;"Won","",IF(E440="",N(I440),I440-M440))</f>
        <v/>
      </c>
      <c r="O440" s="24" t="n"/>
    </row>
    <row r="441" ht="15" customHeight="1">
      <c r="A441" s="70" t="n"/>
      <c r="B441" s="24" t="n"/>
      <c r="C441" s="24" t="n"/>
      <c r="D441" s="24" t="n"/>
      <c r="E441" s="24" t="n"/>
      <c r="F441" s="25">
        <f>IF(E441="","",IF(COUNTIF(lst_Jobs,E441&amp;"")&gt;0,"OK","CHECK"))</f>
        <v/>
      </c>
      <c r="G441" s="24" t="n"/>
      <c r="H441" s="24" t="n"/>
      <c r="I441" s="26" t="n"/>
      <c r="J441" s="24" t="n"/>
      <c r="K441" s="22" t="n"/>
      <c r="L441" s="70" t="n"/>
      <c r="M441" s="27">
        <f>IF(E441="","",SUMIFS(tbl_Finance[Ex GST],tbl_Finance[Job Number],E441&amp;""))</f>
        <v/>
      </c>
      <c r="N441" s="27">
        <f>IF(J441&lt;&gt;"Won","",IF(E441="",N(I441),I441-M441))</f>
        <v/>
      </c>
      <c r="O441" s="24" t="n"/>
    </row>
    <row r="442" ht="15" customHeight="1">
      <c r="A442" s="70" t="n"/>
      <c r="B442" s="24" t="n"/>
      <c r="C442" s="24" t="n"/>
      <c r="D442" s="24" t="n"/>
      <c r="E442" s="24" t="n"/>
      <c r="F442" s="25">
        <f>IF(E442="","",IF(COUNTIF(lst_Jobs,E442&amp;"")&gt;0,"OK","CHECK"))</f>
        <v/>
      </c>
      <c r="G442" s="24" t="n"/>
      <c r="H442" s="24" t="n"/>
      <c r="I442" s="26" t="n"/>
      <c r="J442" s="24" t="n"/>
      <c r="K442" s="22" t="n"/>
      <c r="L442" s="70" t="n"/>
      <c r="M442" s="27">
        <f>IF(E442="","",SUMIFS(tbl_Finance[Ex GST],tbl_Finance[Job Number],E442&amp;""))</f>
        <v/>
      </c>
      <c r="N442" s="27">
        <f>IF(J442&lt;&gt;"Won","",IF(E442="",N(I442),I442-M442))</f>
        <v/>
      </c>
      <c r="O442" s="24" t="n"/>
    </row>
    <row r="443" ht="15" customHeight="1">
      <c r="A443" s="70" t="n"/>
      <c r="B443" s="24" t="n"/>
      <c r="C443" s="24" t="n"/>
      <c r="D443" s="24" t="n"/>
      <c r="E443" s="24" t="n"/>
      <c r="F443" s="25">
        <f>IF(E443="","",IF(COUNTIF(lst_Jobs,E443&amp;"")&gt;0,"OK","CHECK"))</f>
        <v/>
      </c>
      <c r="G443" s="24" t="n"/>
      <c r="H443" s="24" t="n"/>
      <c r="I443" s="26" t="n"/>
      <c r="J443" s="24" t="n"/>
      <c r="K443" s="22" t="n"/>
      <c r="L443" s="70" t="n"/>
      <c r="M443" s="27">
        <f>IF(E443="","",SUMIFS(tbl_Finance[Ex GST],tbl_Finance[Job Number],E443&amp;""))</f>
        <v/>
      </c>
      <c r="N443" s="27">
        <f>IF(J443&lt;&gt;"Won","",IF(E443="",N(I443),I443-M443))</f>
        <v/>
      </c>
      <c r="O443" s="24" t="n"/>
    </row>
    <row r="444" ht="15" customHeight="1">
      <c r="A444" s="70" t="n"/>
      <c r="B444" s="24" t="n"/>
      <c r="C444" s="24" t="n"/>
      <c r="D444" s="24" t="n"/>
      <c r="E444" s="24" t="n"/>
      <c r="F444" s="25">
        <f>IF(E444="","",IF(COUNTIF(lst_Jobs,E444&amp;"")&gt;0,"OK","CHECK"))</f>
        <v/>
      </c>
      <c r="G444" s="24" t="n"/>
      <c r="H444" s="24" t="n"/>
      <c r="I444" s="26" t="n"/>
      <c r="J444" s="24" t="n"/>
      <c r="K444" s="22" t="n"/>
      <c r="L444" s="70" t="n"/>
      <c r="M444" s="27">
        <f>IF(E444="","",SUMIFS(tbl_Finance[Ex GST],tbl_Finance[Job Number],E444&amp;""))</f>
        <v/>
      </c>
      <c r="N444" s="27">
        <f>IF(J444&lt;&gt;"Won","",IF(E444="",N(I444),I444-M444))</f>
        <v/>
      </c>
      <c r="O444" s="24" t="n"/>
    </row>
    <row r="445" ht="15" customHeight="1">
      <c r="A445" s="70" t="n"/>
      <c r="B445" s="24" t="n"/>
      <c r="C445" s="24" t="n"/>
      <c r="D445" s="24" t="n"/>
      <c r="E445" s="24" t="n"/>
      <c r="F445" s="25">
        <f>IF(E445="","",IF(COUNTIF(lst_Jobs,E445&amp;"")&gt;0,"OK","CHECK"))</f>
        <v/>
      </c>
      <c r="G445" s="24" t="n"/>
      <c r="H445" s="24" t="n"/>
      <c r="I445" s="26" t="n"/>
      <c r="J445" s="24" t="n"/>
      <c r="K445" s="22" t="n"/>
      <c r="L445" s="70" t="n"/>
      <c r="M445" s="27">
        <f>IF(E445="","",SUMIFS(tbl_Finance[Ex GST],tbl_Finance[Job Number],E445&amp;""))</f>
        <v/>
      </c>
      <c r="N445" s="27">
        <f>IF(J445&lt;&gt;"Won","",IF(E445="",N(I445),I445-M445))</f>
        <v/>
      </c>
      <c r="O445" s="24" t="n"/>
    </row>
    <row r="446" ht="15" customHeight="1">
      <c r="A446" s="70" t="n"/>
      <c r="B446" s="24" t="n"/>
      <c r="C446" s="24" t="n"/>
      <c r="D446" s="24" t="n"/>
      <c r="E446" s="24" t="n"/>
      <c r="F446" s="25">
        <f>IF(E446="","",IF(COUNTIF(lst_Jobs,E446&amp;"")&gt;0,"OK","CHECK"))</f>
        <v/>
      </c>
      <c r="G446" s="24" t="n"/>
      <c r="H446" s="24" t="n"/>
      <c r="I446" s="26" t="n"/>
      <c r="J446" s="24" t="n"/>
      <c r="K446" s="22" t="n"/>
      <c r="L446" s="70" t="n"/>
      <c r="M446" s="27">
        <f>IF(E446="","",SUMIFS(tbl_Finance[Ex GST],tbl_Finance[Job Number],E446&amp;""))</f>
        <v/>
      </c>
      <c r="N446" s="27">
        <f>IF(J446&lt;&gt;"Won","",IF(E446="",N(I446),I446-M446))</f>
        <v/>
      </c>
      <c r="O446" s="24" t="n"/>
    </row>
    <row r="447" ht="15" customHeight="1">
      <c r="A447" s="70" t="n"/>
      <c r="B447" s="24" t="n"/>
      <c r="C447" s="24" t="n"/>
      <c r="D447" s="24" t="n"/>
      <c r="E447" s="24" t="n"/>
      <c r="F447" s="25">
        <f>IF(E447="","",IF(COUNTIF(lst_Jobs,E447&amp;"")&gt;0,"OK","CHECK"))</f>
        <v/>
      </c>
      <c r="G447" s="24" t="n"/>
      <c r="H447" s="24" t="n"/>
      <c r="I447" s="26" t="n"/>
      <c r="J447" s="24" t="n"/>
      <c r="K447" s="22" t="n"/>
      <c r="L447" s="70" t="n"/>
      <c r="M447" s="27">
        <f>IF(E447="","",SUMIFS(tbl_Finance[Ex GST],tbl_Finance[Job Number],E447&amp;""))</f>
        <v/>
      </c>
      <c r="N447" s="27">
        <f>IF(J447&lt;&gt;"Won","",IF(E447="",N(I447),I447-M447))</f>
        <v/>
      </c>
      <c r="O447" s="24" t="n"/>
    </row>
    <row r="448" ht="15" customHeight="1">
      <c r="A448" s="70" t="n"/>
      <c r="B448" s="24" t="n"/>
      <c r="C448" s="24" t="n"/>
      <c r="D448" s="24" t="n"/>
      <c r="E448" s="24" t="n"/>
      <c r="F448" s="25">
        <f>IF(E448="","",IF(COUNTIF(lst_Jobs,E448&amp;"")&gt;0,"OK","CHECK"))</f>
        <v/>
      </c>
      <c r="G448" s="24" t="n"/>
      <c r="H448" s="24" t="n"/>
      <c r="I448" s="26" t="n"/>
      <c r="J448" s="24" t="n"/>
      <c r="K448" s="22" t="n"/>
      <c r="L448" s="70" t="n"/>
      <c r="M448" s="27">
        <f>IF(E448="","",SUMIFS(tbl_Finance[Ex GST],tbl_Finance[Job Number],E448&amp;""))</f>
        <v/>
      </c>
      <c r="N448" s="27">
        <f>IF(J448&lt;&gt;"Won","",IF(E448="",N(I448),I448-M448))</f>
        <v/>
      </c>
      <c r="O448" s="24" t="n"/>
    </row>
    <row r="449" ht="15" customHeight="1">
      <c r="A449" s="70" t="n"/>
      <c r="B449" s="24" t="n"/>
      <c r="C449" s="24" t="n"/>
      <c r="D449" s="24" t="n"/>
      <c r="E449" s="24" t="n"/>
      <c r="F449" s="25">
        <f>IF(E449="","",IF(COUNTIF(lst_Jobs,E449&amp;"")&gt;0,"OK","CHECK"))</f>
        <v/>
      </c>
      <c r="G449" s="24" t="n"/>
      <c r="H449" s="24" t="n"/>
      <c r="I449" s="26" t="n"/>
      <c r="J449" s="24" t="n"/>
      <c r="K449" s="22" t="n"/>
      <c r="L449" s="70" t="n"/>
      <c r="M449" s="27">
        <f>IF(E449="","",SUMIFS(tbl_Finance[Ex GST],tbl_Finance[Job Number],E449&amp;""))</f>
        <v/>
      </c>
      <c r="N449" s="27">
        <f>IF(J449&lt;&gt;"Won","",IF(E449="",N(I449),I449-M449))</f>
        <v/>
      </c>
      <c r="O449" s="24" t="n"/>
    </row>
    <row r="450" ht="15" customHeight="1">
      <c r="A450" s="70" t="n"/>
      <c r="B450" s="24" t="n"/>
      <c r="C450" s="24" t="n"/>
      <c r="D450" s="24" t="n"/>
      <c r="E450" s="24" t="n"/>
      <c r="F450" s="25">
        <f>IF(E450="","",IF(COUNTIF(lst_Jobs,E450&amp;"")&gt;0,"OK","CHECK"))</f>
        <v/>
      </c>
      <c r="G450" s="24" t="n"/>
      <c r="H450" s="24" t="n"/>
      <c r="I450" s="26" t="n"/>
      <c r="J450" s="24" t="n"/>
      <c r="K450" s="22" t="n"/>
      <c r="L450" s="70" t="n"/>
      <c r="M450" s="27">
        <f>IF(E450="","",SUMIFS(tbl_Finance[Ex GST],tbl_Finance[Job Number],E450&amp;""))</f>
        <v/>
      </c>
      <c r="N450" s="27">
        <f>IF(J450&lt;&gt;"Won","",IF(E450="",N(I450),I450-M450))</f>
        <v/>
      </c>
      <c r="O450" s="24" t="n"/>
    </row>
    <row r="451" ht="15" customHeight="1">
      <c r="A451" s="70" t="n"/>
      <c r="B451" s="24" t="n"/>
      <c r="C451" s="24" t="n"/>
      <c r="D451" s="24" t="n"/>
      <c r="E451" s="24" t="n"/>
      <c r="F451" s="25">
        <f>IF(E451="","",IF(COUNTIF(lst_Jobs,E451&amp;"")&gt;0,"OK","CHECK"))</f>
        <v/>
      </c>
      <c r="G451" s="24" t="n"/>
      <c r="H451" s="24" t="n"/>
      <c r="I451" s="26" t="n"/>
      <c r="J451" s="24" t="n"/>
      <c r="K451" s="22" t="n"/>
      <c r="L451" s="70" t="n"/>
      <c r="M451" s="27">
        <f>IF(E451="","",SUMIFS(tbl_Finance[Ex GST],tbl_Finance[Job Number],E451&amp;""))</f>
        <v/>
      </c>
      <c r="N451" s="27">
        <f>IF(J451&lt;&gt;"Won","",IF(E451="",N(I451),I451-M451))</f>
        <v/>
      </c>
      <c r="O451" s="24" t="n"/>
    </row>
    <row r="452" ht="15" customHeight="1">
      <c r="A452" s="70" t="n"/>
      <c r="B452" s="24" t="n"/>
      <c r="C452" s="24" t="n"/>
      <c r="D452" s="24" t="n"/>
      <c r="E452" s="24" t="n"/>
      <c r="F452" s="25">
        <f>IF(E452="","",IF(COUNTIF(lst_Jobs,E452&amp;"")&gt;0,"OK","CHECK"))</f>
        <v/>
      </c>
      <c r="G452" s="24" t="n"/>
      <c r="H452" s="24" t="n"/>
      <c r="I452" s="26" t="n"/>
      <c r="J452" s="24" t="n"/>
      <c r="K452" s="22" t="n"/>
      <c r="L452" s="70" t="n"/>
      <c r="M452" s="27">
        <f>IF(E452="","",SUMIFS(tbl_Finance[Ex GST],tbl_Finance[Job Number],E452&amp;""))</f>
        <v/>
      </c>
      <c r="N452" s="27">
        <f>IF(J452&lt;&gt;"Won","",IF(E452="",N(I452),I452-M452))</f>
        <v/>
      </c>
      <c r="O452" s="24" t="n"/>
    </row>
    <row r="453" ht="15" customHeight="1">
      <c r="A453" s="70" t="n"/>
      <c r="B453" s="24" t="n"/>
      <c r="C453" s="24" t="n"/>
      <c r="D453" s="24" t="n"/>
      <c r="E453" s="24" t="n"/>
      <c r="F453" s="25">
        <f>IF(E453="","",IF(COUNTIF(lst_Jobs,E453&amp;"")&gt;0,"OK","CHECK"))</f>
        <v/>
      </c>
      <c r="G453" s="24" t="n"/>
      <c r="H453" s="24" t="n"/>
      <c r="I453" s="26" t="n"/>
      <c r="J453" s="24" t="n"/>
      <c r="K453" s="22" t="n"/>
      <c r="L453" s="70" t="n"/>
      <c r="M453" s="27">
        <f>IF(E453="","",SUMIFS(tbl_Finance[Ex GST],tbl_Finance[Job Number],E453&amp;""))</f>
        <v/>
      </c>
      <c r="N453" s="27">
        <f>IF(J453&lt;&gt;"Won","",IF(E453="",N(I453),I453-M453))</f>
        <v/>
      </c>
      <c r="O453" s="24" t="n"/>
    </row>
    <row r="454" ht="15" customHeight="1">
      <c r="A454" s="70" t="n"/>
      <c r="B454" s="24" t="n"/>
      <c r="C454" s="24" t="n"/>
      <c r="D454" s="24" t="n"/>
      <c r="E454" s="24" t="n"/>
      <c r="F454" s="25">
        <f>IF(E454="","",IF(COUNTIF(lst_Jobs,E454&amp;"")&gt;0,"OK","CHECK"))</f>
        <v/>
      </c>
      <c r="G454" s="24" t="n"/>
      <c r="H454" s="24" t="n"/>
      <c r="I454" s="26" t="n"/>
      <c r="J454" s="24" t="n"/>
      <c r="K454" s="22" t="n"/>
      <c r="L454" s="70" t="n"/>
      <c r="M454" s="27">
        <f>IF(E454="","",SUMIFS(tbl_Finance[Ex GST],tbl_Finance[Job Number],E454&amp;""))</f>
        <v/>
      </c>
      <c r="N454" s="27">
        <f>IF(J454&lt;&gt;"Won","",IF(E454="",N(I454),I454-M454))</f>
        <v/>
      </c>
      <c r="O454" s="24" t="n"/>
    </row>
    <row r="455" ht="15" customHeight="1">
      <c r="A455" s="70" t="n"/>
      <c r="B455" s="24" t="n"/>
      <c r="C455" s="24" t="n"/>
      <c r="D455" s="24" t="n"/>
      <c r="E455" s="24" t="n"/>
      <c r="F455" s="25">
        <f>IF(E455="","",IF(COUNTIF(lst_Jobs,E455&amp;"")&gt;0,"OK","CHECK"))</f>
        <v/>
      </c>
      <c r="G455" s="24" t="n"/>
      <c r="H455" s="24" t="n"/>
      <c r="I455" s="26" t="n"/>
      <c r="J455" s="24" t="n"/>
      <c r="K455" s="22" t="n"/>
      <c r="L455" s="70" t="n"/>
      <c r="M455" s="27">
        <f>IF(E455="","",SUMIFS(tbl_Finance[Ex GST],tbl_Finance[Job Number],E455&amp;""))</f>
        <v/>
      </c>
      <c r="N455" s="27">
        <f>IF(J455&lt;&gt;"Won","",IF(E455="",N(I455),I455-M455))</f>
        <v/>
      </c>
      <c r="O455" s="24" t="n"/>
    </row>
    <row r="456" ht="15" customHeight="1">
      <c r="A456" s="70" t="n"/>
      <c r="B456" s="24" t="n"/>
      <c r="C456" s="24" t="n"/>
      <c r="D456" s="24" t="n"/>
      <c r="E456" s="24" t="n"/>
      <c r="F456" s="25">
        <f>IF(E456="","",IF(COUNTIF(lst_Jobs,E456&amp;"")&gt;0,"OK","CHECK"))</f>
        <v/>
      </c>
      <c r="G456" s="24" t="n"/>
      <c r="H456" s="24" t="n"/>
      <c r="I456" s="26" t="n"/>
      <c r="J456" s="24" t="n"/>
      <c r="K456" s="22" t="n"/>
      <c r="L456" s="70" t="n"/>
      <c r="M456" s="27">
        <f>IF(E456="","",SUMIFS(tbl_Finance[Ex GST],tbl_Finance[Job Number],E456&amp;""))</f>
        <v/>
      </c>
      <c r="N456" s="27">
        <f>IF(J456&lt;&gt;"Won","",IF(E456="",N(I456),I456-M456))</f>
        <v/>
      </c>
      <c r="O456" s="24" t="n"/>
    </row>
    <row r="457" ht="15" customHeight="1">
      <c r="A457" s="70" t="n"/>
      <c r="B457" s="24" t="n"/>
      <c r="C457" s="24" t="n"/>
      <c r="D457" s="24" t="n"/>
      <c r="E457" s="24" t="n"/>
      <c r="F457" s="25">
        <f>IF(E457="","",IF(COUNTIF(lst_Jobs,E457&amp;"")&gt;0,"OK","CHECK"))</f>
        <v/>
      </c>
      <c r="G457" s="24" t="n"/>
      <c r="H457" s="24" t="n"/>
      <c r="I457" s="26" t="n"/>
      <c r="J457" s="24" t="n"/>
      <c r="K457" s="22" t="n"/>
      <c r="L457" s="70" t="n"/>
      <c r="M457" s="27">
        <f>IF(E457="","",SUMIFS(tbl_Finance[Ex GST],tbl_Finance[Job Number],E457&amp;""))</f>
        <v/>
      </c>
      <c r="N457" s="27">
        <f>IF(J457&lt;&gt;"Won","",IF(E457="",N(I457),I457-M457))</f>
        <v/>
      </c>
      <c r="O457" s="24" t="n"/>
    </row>
    <row r="458" ht="15" customHeight="1">
      <c r="A458" s="70" t="n"/>
      <c r="B458" s="24" t="n"/>
      <c r="C458" s="24" t="n"/>
      <c r="D458" s="24" t="n"/>
      <c r="E458" s="24" t="n"/>
      <c r="F458" s="25">
        <f>IF(E458="","",IF(COUNTIF(lst_Jobs,E458&amp;"")&gt;0,"OK","CHECK"))</f>
        <v/>
      </c>
      <c r="G458" s="24" t="n"/>
      <c r="H458" s="24" t="n"/>
      <c r="I458" s="26" t="n"/>
      <c r="J458" s="24" t="n"/>
      <c r="K458" s="22" t="n"/>
      <c r="L458" s="70" t="n"/>
      <c r="M458" s="27">
        <f>IF(E458="","",SUMIFS(tbl_Finance[Ex GST],tbl_Finance[Job Number],E458&amp;""))</f>
        <v/>
      </c>
      <c r="N458" s="27">
        <f>IF(J458&lt;&gt;"Won","",IF(E458="",N(I458),I458-M458))</f>
        <v/>
      </c>
      <c r="O458" s="24" t="n"/>
    </row>
    <row r="459" ht="15" customHeight="1">
      <c r="A459" s="70" t="n"/>
      <c r="B459" s="24" t="n"/>
      <c r="C459" s="24" t="n"/>
      <c r="D459" s="24" t="n"/>
      <c r="E459" s="24" t="n"/>
      <c r="F459" s="25">
        <f>IF(E459="","",IF(COUNTIF(lst_Jobs,E459&amp;"")&gt;0,"OK","CHECK"))</f>
        <v/>
      </c>
      <c r="G459" s="24" t="n"/>
      <c r="H459" s="24" t="n"/>
      <c r="I459" s="26" t="n"/>
      <c r="J459" s="24" t="n"/>
      <c r="K459" s="22" t="n"/>
      <c r="L459" s="70" t="n"/>
      <c r="M459" s="27">
        <f>IF(E459="","",SUMIFS(tbl_Finance[Ex GST],tbl_Finance[Job Number],E459&amp;""))</f>
        <v/>
      </c>
      <c r="N459" s="27">
        <f>IF(J459&lt;&gt;"Won","",IF(E459="",N(I459),I459-M459))</f>
        <v/>
      </c>
      <c r="O459" s="24" t="n"/>
    </row>
    <row r="460" ht="15" customHeight="1">
      <c r="A460" s="70" t="n"/>
      <c r="B460" s="24" t="n"/>
      <c r="C460" s="24" t="n"/>
      <c r="D460" s="24" t="n"/>
      <c r="E460" s="24" t="n"/>
      <c r="F460" s="25">
        <f>IF(E460="","",IF(COUNTIF(lst_Jobs,E460&amp;"")&gt;0,"OK","CHECK"))</f>
        <v/>
      </c>
      <c r="G460" s="24" t="n"/>
      <c r="H460" s="24" t="n"/>
      <c r="I460" s="26" t="n"/>
      <c r="J460" s="24" t="n"/>
      <c r="K460" s="22" t="n"/>
      <c r="L460" s="70" t="n"/>
      <c r="M460" s="27">
        <f>IF(E460="","",SUMIFS(tbl_Finance[Ex GST],tbl_Finance[Job Number],E460&amp;""))</f>
        <v/>
      </c>
      <c r="N460" s="27">
        <f>IF(J460&lt;&gt;"Won","",IF(E460="",N(I460),I460-M460))</f>
        <v/>
      </c>
      <c r="O460" s="24" t="n"/>
    </row>
    <row r="461" ht="15" customHeight="1">
      <c r="A461" s="70" t="n"/>
      <c r="B461" s="24" t="n"/>
      <c r="C461" s="24" t="n"/>
      <c r="D461" s="24" t="n"/>
      <c r="E461" s="24" t="n"/>
      <c r="F461" s="25">
        <f>IF(E461="","",IF(COUNTIF(lst_Jobs,E461&amp;"")&gt;0,"OK","CHECK"))</f>
        <v/>
      </c>
      <c r="G461" s="24" t="n"/>
      <c r="H461" s="24" t="n"/>
      <c r="I461" s="26" t="n"/>
      <c r="J461" s="24" t="n"/>
      <c r="K461" s="22" t="n"/>
      <c r="L461" s="70" t="n"/>
      <c r="M461" s="27">
        <f>IF(E461="","",SUMIFS(tbl_Finance[Ex GST],tbl_Finance[Job Number],E461&amp;""))</f>
        <v/>
      </c>
      <c r="N461" s="27">
        <f>IF(J461&lt;&gt;"Won","",IF(E461="",N(I461),I461-M461))</f>
        <v/>
      </c>
      <c r="O461" s="24" t="n"/>
    </row>
    <row r="462" ht="15" customHeight="1">
      <c r="A462" s="70" t="n"/>
      <c r="B462" s="24" t="n"/>
      <c r="C462" s="24" t="n"/>
      <c r="D462" s="24" t="n"/>
      <c r="E462" s="24" t="n"/>
      <c r="F462" s="25">
        <f>IF(E462="","",IF(COUNTIF(lst_Jobs,E462&amp;"")&gt;0,"OK","CHECK"))</f>
        <v/>
      </c>
      <c r="G462" s="24" t="n"/>
      <c r="H462" s="24" t="n"/>
      <c r="I462" s="26" t="n"/>
      <c r="J462" s="24" t="n"/>
      <c r="K462" s="22" t="n"/>
      <c r="L462" s="70" t="n"/>
      <c r="M462" s="27">
        <f>IF(E462="","",SUMIFS(tbl_Finance[Ex GST],tbl_Finance[Job Number],E462&amp;""))</f>
        <v/>
      </c>
      <c r="N462" s="27">
        <f>IF(J462&lt;&gt;"Won","",IF(E462="",N(I462),I462-M462))</f>
        <v/>
      </c>
      <c r="O462" s="24" t="n"/>
    </row>
    <row r="463" ht="15" customHeight="1">
      <c r="A463" s="70" t="n"/>
      <c r="B463" s="24" t="n"/>
      <c r="C463" s="24" t="n"/>
      <c r="D463" s="24" t="n"/>
      <c r="E463" s="24" t="n"/>
      <c r="F463" s="25">
        <f>IF(E463="","",IF(COUNTIF(lst_Jobs,E463&amp;"")&gt;0,"OK","CHECK"))</f>
        <v/>
      </c>
      <c r="G463" s="24" t="n"/>
      <c r="H463" s="24" t="n"/>
      <c r="I463" s="26" t="n"/>
      <c r="J463" s="24" t="n"/>
      <c r="K463" s="22" t="n"/>
      <c r="L463" s="70" t="n"/>
      <c r="M463" s="27">
        <f>IF(E463="","",SUMIFS(tbl_Finance[Ex GST],tbl_Finance[Job Number],E463&amp;""))</f>
        <v/>
      </c>
      <c r="N463" s="27">
        <f>IF(J463&lt;&gt;"Won","",IF(E463="",N(I463),I463-M463))</f>
        <v/>
      </c>
      <c r="O463" s="24" t="n"/>
    </row>
    <row r="464" ht="15" customHeight="1">
      <c r="A464" s="70" t="n"/>
      <c r="B464" s="24" t="n"/>
      <c r="C464" s="24" t="n"/>
      <c r="D464" s="24" t="n"/>
      <c r="E464" s="24" t="n"/>
      <c r="F464" s="25">
        <f>IF(E464="","",IF(COUNTIF(lst_Jobs,E464&amp;"")&gt;0,"OK","CHECK"))</f>
        <v/>
      </c>
      <c r="G464" s="24" t="n"/>
      <c r="H464" s="24" t="n"/>
      <c r="I464" s="26" t="n"/>
      <c r="J464" s="24" t="n"/>
      <c r="K464" s="22" t="n"/>
      <c r="L464" s="70" t="n"/>
      <c r="M464" s="27">
        <f>IF(E464="","",SUMIFS(tbl_Finance[Ex GST],tbl_Finance[Job Number],E464&amp;""))</f>
        <v/>
      </c>
      <c r="N464" s="27">
        <f>IF(J464&lt;&gt;"Won","",IF(E464="",N(I464),I464-M464))</f>
        <v/>
      </c>
      <c r="O464" s="24" t="n"/>
    </row>
    <row r="465" ht="15" customHeight="1">
      <c r="A465" s="70" t="n"/>
      <c r="B465" s="24" t="n"/>
      <c r="C465" s="24" t="n"/>
      <c r="D465" s="24" t="n"/>
      <c r="E465" s="24" t="n"/>
      <c r="F465" s="25">
        <f>IF(E465="","",IF(COUNTIF(lst_Jobs,E465&amp;"")&gt;0,"OK","CHECK"))</f>
        <v/>
      </c>
      <c r="G465" s="24" t="n"/>
      <c r="H465" s="24" t="n"/>
      <c r="I465" s="26" t="n"/>
      <c r="J465" s="24" t="n"/>
      <c r="K465" s="22" t="n"/>
      <c r="L465" s="70" t="n"/>
      <c r="M465" s="27">
        <f>IF(E465="","",SUMIFS(tbl_Finance[Ex GST],tbl_Finance[Job Number],E465&amp;""))</f>
        <v/>
      </c>
      <c r="N465" s="27">
        <f>IF(J465&lt;&gt;"Won","",IF(E465="",N(I465),I465-M465))</f>
        <v/>
      </c>
      <c r="O465" s="24" t="n"/>
    </row>
    <row r="466" ht="15" customHeight="1">
      <c r="A466" s="70" t="n"/>
      <c r="B466" s="24" t="n"/>
      <c r="C466" s="24" t="n"/>
      <c r="D466" s="24" t="n"/>
      <c r="E466" s="24" t="n"/>
      <c r="F466" s="25">
        <f>IF(E466="","",IF(COUNTIF(lst_Jobs,E466&amp;"")&gt;0,"OK","CHECK"))</f>
        <v/>
      </c>
      <c r="G466" s="24" t="n"/>
      <c r="H466" s="24" t="n"/>
      <c r="I466" s="26" t="n"/>
      <c r="J466" s="24" t="n"/>
      <c r="K466" s="22" t="n"/>
      <c r="L466" s="70" t="n"/>
      <c r="M466" s="27">
        <f>IF(E466="","",SUMIFS(tbl_Finance[Ex GST],tbl_Finance[Job Number],E466&amp;""))</f>
        <v/>
      </c>
      <c r="N466" s="27">
        <f>IF(J466&lt;&gt;"Won","",IF(E466="",N(I466),I466-M466))</f>
        <v/>
      </c>
      <c r="O466" s="24" t="n"/>
    </row>
    <row r="467" ht="15" customHeight="1">
      <c r="A467" s="70" t="n"/>
      <c r="B467" s="24" t="n"/>
      <c r="C467" s="24" t="n"/>
      <c r="D467" s="24" t="n"/>
      <c r="E467" s="24" t="n"/>
      <c r="F467" s="25">
        <f>IF(E467="","",IF(COUNTIF(lst_Jobs,E467&amp;"")&gt;0,"OK","CHECK"))</f>
        <v/>
      </c>
      <c r="G467" s="24" t="n"/>
      <c r="H467" s="24" t="n"/>
      <c r="I467" s="26" t="n"/>
      <c r="J467" s="24" t="n"/>
      <c r="K467" s="22" t="n"/>
      <c r="L467" s="70" t="n"/>
      <c r="M467" s="27">
        <f>IF(E467="","",SUMIFS(tbl_Finance[Ex GST],tbl_Finance[Job Number],E467&amp;""))</f>
        <v/>
      </c>
      <c r="N467" s="27">
        <f>IF(J467&lt;&gt;"Won","",IF(E467="",N(I467),I467-M467))</f>
        <v/>
      </c>
      <c r="O467" s="24" t="n"/>
    </row>
    <row r="468" ht="15" customHeight="1">
      <c r="A468" s="70" t="n"/>
      <c r="B468" s="24" t="n"/>
      <c r="C468" s="24" t="n"/>
      <c r="D468" s="24" t="n"/>
      <c r="E468" s="24" t="n"/>
      <c r="F468" s="25">
        <f>IF(E468="","",IF(COUNTIF(lst_Jobs,E468&amp;"")&gt;0,"OK","CHECK"))</f>
        <v/>
      </c>
      <c r="G468" s="24" t="n"/>
      <c r="H468" s="24" t="n"/>
      <c r="I468" s="26" t="n"/>
      <c r="J468" s="24" t="n"/>
      <c r="K468" s="22" t="n"/>
      <c r="L468" s="70" t="n"/>
      <c r="M468" s="27">
        <f>IF(E468="","",SUMIFS(tbl_Finance[Ex GST],tbl_Finance[Job Number],E468&amp;""))</f>
        <v/>
      </c>
      <c r="N468" s="27">
        <f>IF(J468&lt;&gt;"Won","",IF(E468="",N(I468),I468-M468))</f>
        <v/>
      </c>
      <c r="O468" s="24" t="n"/>
    </row>
    <row r="469" ht="15" customHeight="1">
      <c r="A469" s="70" t="n"/>
      <c r="B469" s="24" t="n"/>
      <c r="C469" s="24" t="n"/>
      <c r="D469" s="24" t="n"/>
      <c r="E469" s="24" t="n"/>
      <c r="F469" s="25">
        <f>IF(E469="","",IF(COUNTIF(lst_Jobs,E469&amp;"")&gt;0,"OK","CHECK"))</f>
        <v/>
      </c>
      <c r="G469" s="24" t="n"/>
      <c r="H469" s="24" t="n"/>
      <c r="I469" s="26" t="n"/>
      <c r="J469" s="24" t="n"/>
      <c r="K469" s="22" t="n"/>
      <c r="L469" s="70" t="n"/>
      <c r="M469" s="27">
        <f>IF(E469="","",SUMIFS(tbl_Finance[Ex GST],tbl_Finance[Job Number],E469&amp;""))</f>
        <v/>
      </c>
      <c r="N469" s="27">
        <f>IF(J469&lt;&gt;"Won","",IF(E469="",N(I469),I469-M469))</f>
        <v/>
      </c>
      <c r="O469" s="24" t="n"/>
    </row>
    <row r="470" ht="15" customHeight="1">
      <c r="A470" s="70" t="n"/>
      <c r="B470" s="24" t="n"/>
      <c r="C470" s="24" t="n"/>
      <c r="D470" s="24" t="n"/>
      <c r="E470" s="24" t="n"/>
      <c r="F470" s="25">
        <f>IF(E470="","",IF(COUNTIF(lst_Jobs,E470&amp;"")&gt;0,"OK","CHECK"))</f>
        <v/>
      </c>
      <c r="G470" s="24" t="n"/>
      <c r="H470" s="24" t="n"/>
      <c r="I470" s="26" t="n"/>
      <c r="J470" s="24" t="n"/>
      <c r="K470" s="22" t="n"/>
      <c r="L470" s="70" t="n"/>
      <c r="M470" s="27">
        <f>IF(E470="","",SUMIFS(tbl_Finance[Ex GST],tbl_Finance[Job Number],E470&amp;""))</f>
        <v/>
      </c>
      <c r="N470" s="27">
        <f>IF(J470&lt;&gt;"Won","",IF(E470="",N(I470),I470-M470))</f>
        <v/>
      </c>
      <c r="O470" s="24" t="n"/>
    </row>
    <row r="471" ht="15" customHeight="1">
      <c r="A471" s="70" t="n"/>
      <c r="B471" s="24" t="n"/>
      <c r="C471" s="24" t="n"/>
      <c r="D471" s="24" t="n"/>
      <c r="E471" s="24" t="n"/>
      <c r="F471" s="25">
        <f>IF(E471="","",IF(COUNTIF(lst_Jobs,E471&amp;"")&gt;0,"OK","CHECK"))</f>
        <v/>
      </c>
      <c r="G471" s="24" t="n"/>
      <c r="H471" s="24" t="n"/>
      <c r="I471" s="26" t="n"/>
      <c r="J471" s="24" t="n"/>
      <c r="K471" s="22" t="n"/>
      <c r="L471" s="70" t="n"/>
      <c r="M471" s="27">
        <f>IF(E471="","",SUMIFS(tbl_Finance[Ex GST],tbl_Finance[Job Number],E471&amp;""))</f>
        <v/>
      </c>
      <c r="N471" s="27">
        <f>IF(J471&lt;&gt;"Won","",IF(E471="",N(I471),I471-M471))</f>
        <v/>
      </c>
      <c r="O471" s="24" t="n"/>
    </row>
    <row r="472" ht="15" customHeight="1">
      <c r="A472" s="70" t="n"/>
      <c r="B472" s="24" t="n"/>
      <c r="C472" s="24" t="n"/>
      <c r="D472" s="24" t="n"/>
      <c r="E472" s="24" t="n"/>
      <c r="F472" s="25">
        <f>IF(E472="","",IF(COUNTIF(lst_Jobs,E472&amp;"")&gt;0,"OK","CHECK"))</f>
        <v/>
      </c>
      <c r="G472" s="24" t="n"/>
      <c r="H472" s="24" t="n"/>
      <c r="I472" s="26" t="n"/>
      <c r="J472" s="24" t="n"/>
      <c r="K472" s="22" t="n"/>
      <c r="L472" s="70" t="n"/>
      <c r="M472" s="27">
        <f>IF(E472="","",SUMIFS(tbl_Finance[Ex GST],tbl_Finance[Job Number],E472&amp;""))</f>
        <v/>
      </c>
      <c r="N472" s="27">
        <f>IF(J472&lt;&gt;"Won","",IF(E472="",N(I472),I472-M472))</f>
        <v/>
      </c>
      <c r="O472" s="24" t="n"/>
    </row>
    <row r="473" ht="15" customHeight="1">
      <c r="A473" s="70" t="n"/>
      <c r="B473" s="24" t="n"/>
      <c r="C473" s="24" t="n"/>
      <c r="D473" s="24" t="n"/>
      <c r="E473" s="24" t="n"/>
      <c r="F473" s="25">
        <f>IF(E473="","",IF(COUNTIF(lst_Jobs,E473&amp;"")&gt;0,"OK","CHECK"))</f>
        <v/>
      </c>
      <c r="G473" s="24" t="n"/>
      <c r="H473" s="24" t="n"/>
      <c r="I473" s="26" t="n"/>
      <c r="J473" s="24" t="n"/>
      <c r="K473" s="22" t="n"/>
      <c r="L473" s="70" t="n"/>
      <c r="M473" s="27">
        <f>IF(E473="","",SUMIFS(tbl_Finance[Ex GST],tbl_Finance[Job Number],E473&amp;""))</f>
        <v/>
      </c>
      <c r="N473" s="27">
        <f>IF(J473&lt;&gt;"Won","",IF(E473="",N(I473),I473-M473))</f>
        <v/>
      </c>
      <c r="O473" s="24" t="n"/>
    </row>
    <row r="474" ht="15" customHeight="1">
      <c r="A474" s="70" t="n"/>
      <c r="B474" s="24" t="n"/>
      <c r="C474" s="24" t="n"/>
      <c r="D474" s="24" t="n"/>
      <c r="E474" s="24" t="n"/>
      <c r="F474" s="25">
        <f>IF(E474="","",IF(COUNTIF(lst_Jobs,E474&amp;"")&gt;0,"OK","CHECK"))</f>
        <v/>
      </c>
      <c r="G474" s="24" t="n"/>
      <c r="H474" s="24" t="n"/>
      <c r="I474" s="26" t="n"/>
      <c r="J474" s="24" t="n"/>
      <c r="K474" s="22" t="n"/>
      <c r="L474" s="70" t="n"/>
      <c r="M474" s="27">
        <f>IF(E474="","",SUMIFS(tbl_Finance[Ex GST],tbl_Finance[Job Number],E474&amp;""))</f>
        <v/>
      </c>
      <c r="N474" s="27">
        <f>IF(J474&lt;&gt;"Won","",IF(E474="",N(I474),I474-M474))</f>
        <v/>
      </c>
      <c r="O474" s="24" t="n"/>
    </row>
    <row r="475" ht="15" customHeight="1">
      <c r="A475" s="70" t="n"/>
      <c r="B475" s="24" t="n"/>
      <c r="C475" s="24" t="n"/>
      <c r="D475" s="24" t="n"/>
      <c r="E475" s="24" t="n"/>
      <c r="F475" s="25">
        <f>IF(E475="","",IF(COUNTIF(lst_Jobs,E475&amp;"")&gt;0,"OK","CHECK"))</f>
        <v/>
      </c>
      <c r="G475" s="24" t="n"/>
      <c r="H475" s="24" t="n"/>
      <c r="I475" s="26" t="n"/>
      <c r="J475" s="24" t="n"/>
      <c r="K475" s="22" t="n"/>
      <c r="L475" s="70" t="n"/>
      <c r="M475" s="27">
        <f>IF(E475="","",SUMIFS(tbl_Finance[Ex GST],tbl_Finance[Job Number],E475&amp;""))</f>
        <v/>
      </c>
      <c r="N475" s="27">
        <f>IF(J475&lt;&gt;"Won","",IF(E475="",N(I475),I475-M475))</f>
        <v/>
      </c>
      <c r="O475" s="24" t="n"/>
    </row>
    <row r="476" ht="15" customHeight="1">
      <c r="A476" s="70" t="n"/>
      <c r="B476" s="24" t="n"/>
      <c r="C476" s="24" t="n"/>
      <c r="D476" s="24" t="n"/>
      <c r="E476" s="24" t="n"/>
      <c r="F476" s="25">
        <f>IF(E476="","",IF(COUNTIF(lst_Jobs,E476&amp;"")&gt;0,"OK","CHECK"))</f>
        <v/>
      </c>
      <c r="G476" s="24" t="n"/>
      <c r="H476" s="24" t="n"/>
      <c r="I476" s="26" t="n"/>
      <c r="J476" s="24" t="n"/>
      <c r="K476" s="22" t="n"/>
      <c r="L476" s="70" t="n"/>
      <c r="M476" s="27">
        <f>IF(E476="","",SUMIFS(tbl_Finance[Ex GST],tbl_Finance[Job Number],E476&amp;""))</f>
        <v/>
      </c>
      <c r="N476" s="27">
        <f>IF(J476&lt;&gt;"Won","",IF(E476="",N(I476),I476-M476))</f>
        <v/>
      </c>
      <c r="O476" s="24" t="n"/>
    </row>
    <row r="477" ht="15" customHeight="1">
      <c r="A477" s="70" t="n"/>
      <c r="B477" s="24" t="n"/>
      <c r="C477" s="24" t="n"/>
      <c r="D477" s="24" t="n"/>
      <c r="E477" s="24" t="n"/>
      <c r="F477" s="25">
        <f>IF(E477="","",IF(COUNTIF(lst_Jobs,E477&amp;"")&gt;0,"OK","CHECK"))</f>
        <v/>
      </c>
      <c r="G477" s="24" t="n"/>
      <c r="H477" s="24" t="n"/>
      <c r="I477" s="26" t="n"/>
      <c r="J477" s="24" t="n"/>
      <c r="K477" s="22" t="n"/>
      <c r="L477" s="70" t="n"/>
      <c r="M477" s="27">
        <f>IF(E477="","",SUMIFS(tbl_Finance[Ex GST],tbl_Finance[Job Number],E477&amp;""))</f>
        <v/>
      </c>
      <c r="N477" s="27">
        <f>IF(J477&lt;&gt;"Won","",IF(E477="",N(I477),I477-M477))</f>
        <v/>
      </c>
      <c r="O477" s="24" t="n"/>
    </row>
    <row r="478" ht="15" customHeight="1">
      <c r="A478" s="70" t="n"/>
      <c r="B478" s="24" t="n"/>
      <c r="C478" s="24" t="n"/>
      <c r="D478" s="24" t="n"/>
      <c r="E478" s="24" t="n"/>
      <c r="F478" s="25">
        <f>IF(E478="","",IF(COUNTIF(lst_Jobs,E478&amp;"")&gt;0,"OK","CHECK"))</f>
        <v/>
      </c>
      <c r="G478" s="24" t="n"/>
      <c r="H478" s="24" t="n"/>
      <c r="I478" s="26" t="n"/>
      <c r="J478" s="24" t="n"/>
      <c r="K478" s="22" t="n"/>
      <c r="L478" s="70" t="n"/>
      <c r="M478" s="27">
        <f>IF(E478="","",SUMIFS(tbl_Finance[Ex GST],tbl_Finance[Job Number],E478&amp;""))</f>
        <v/>
      </c>
      <c r="N478" s="27">
        <f>IF(J478&lt;&gt;"Won","",IF(E478="",N(I478),I478-M478))</f>
        <v/>
      </c>
      <c r="O478" s="24" t="n"/>
    </row>
    <row r="479" ht="15" customHeight="1">
      <c r="A479" s="70" t="n"/>
      <c r="B479" s="24" t="n"/>
      <c r="C479" s="24" t="n"/>
      <c r="D479" s="24" t="n"/>
      <c r="E479" s="24" t="n"/>
      <c r="F479" s="25">
        <f>IF(E479="","",IF(COUNTIF(lst_Jobs,E479&amp;"")&gt;0,"OK","CHECK"))</f>
        <v/>
      </c>
      <c r="G479" s="24" t="n"/>
      <c r="H479" s="24" t="n"/>
      <c r="I479" s="26" t="n"/>
      <c r="J479" s="24" t="n"/>
      <c r="K479" s="22" t="n"/>
      <c r="L479" s="70" t="n"/>
      <c r="M479" s="27">
        <f>IF(E479="","",SUMIFS(tbl_Finance[Ex GST],tbl_Finance[Job Number],E479&amp;""))</f>
        <v/>
      </c>
      <c r="N479" s="27">
        <f>IF(J479&lt;&gt;"Won","",IF(E479="",N(I479),I479-M479))</f>
        <v/>
      </c>
      <c r="O479" s="24" t="n"/>
    </row>
    <row r="480" ht="15" customHeight="1">
      <c r="A480" s="70" t="n"/>
      <c r="B480" s="24" t="n"/>
      <c r="C480" s="24" t="n"/>
      <c r="D480" s="24" t="n"/>
      <c r="E480" s="24" t="n"/>
      <c r="F480" s="25">
        <f>IF(E480="","",IF(COUNTIF(lst_Jobs,E480&amp;"")&gt;0,"OK","CHECK"))</f>
        <v/>
      </c>
      <c r="G480" s="24" t="n"/>
      <c r="H480" s="24" t="n"/>
      <c r="I480" s="26" t="n"/>
      <c r="J480" s="24" t="n"/>
      <c r="K480" s="22" t="n"/>
      <c r="L480" s="70" t="n"/>
      <c r="M480" s="27">
        <f>IF(E480="","",SUMIFS(tbl_Finance[Ex GST],tbl_Finance[Job Number],E480&amp;""))</f>
        <v/>
      </c>
      <c r="N480" s="27">
        <f>IF(J480&lt;&gt;"Won","",IF(E480="",N(I480),I480-M480))</f>
        <v/>
      </c>
      <c r="O480" s="24" t="n"/>
    </row>
    <row r="481" ht="15" customHeight="1">
      <c r="A481" s="70" t="n"/>
      <c r="B481" s="24" t="n"/>
      <c r="C481" s="24" t="n"/>
      <c r="D481" s="24" t="n"/>
      <c r="E481" s="24" t="n"/>
      <c r="F481" s="25">
        <f>IF(E481="","",IF(COUNTIF(lst_Jobs,E481&amp;"")&gt;0,"OK","CHECK"))</f>
        <v/>
      </c>
      <c r="G481" s="24" t="n"/>
      <c r="H481" s="24" t="n"/>
      <c r="I481" s="26" t="n"/>
      <c r="J481" s="24" t="n"/>
      <c r="K481" s="22" t="n"/>
      <c r="L481" s="70" t="n"/>
      <c r="M481" s="27">
        <f>IF(E481="","",SUMIFS(tbl_Finance[Ex GST],tbl_Finance[Job Number],E481&amp;""))</f>
        <v/>
      </c>
      <c r="N481" s="27">
        <f>IF(J481&lt;&gt;"Won","",IF(E481="",N(I481),I481-M481))</f>
        <v/>
      </c>
      <c r="O481" s="24" t="n"/>
    </row>
    <row r="482" ht="15" customHeight="1">
      <c r="A482" s="70" t="n"/>
      <c r="B482" s="24" t="n"/>
      <c r="C482" s="24" t="n"/>
      <c r="D482" s="24" t="n"/>
      <c r="E482" s="24" t="n"/>
      <c r="F482" s="25">
        <f>IF(E482="","",IF(COUNTIF(lst_Jobs,E482&amp;"")&gt;0,"OK","CHECK"))</f>
        <v/>
      </c>
      <c r="G482" s="24" t="n"/>
      <c r="H482" s="24" t="n"/>
      <c r="I482" s="26" t="n"/>
      <c r="J482" s="24" t="n"/>
      <c r="K482" s="22" t="n"/>
      <c r="L482" s="70" t="n"/>
      <c r="M482" s="27">
        <f>IF(E482="","",SUMIFS(tbl_Finance[Ex GST],tbl_Finance[Job Number],E482&amp;""))</f>
        <v/>
      </c>
      <c r="N482" s="27">
        <f>IF(J482&lt;&gt;"Won","",IF(E482="",N(I482),I482-M482))</f>
        <v/>
      </c>
      <c r="O482" s="24" t="n"/>
    </row>
    <row r="483" ht="15" customHeight="1">
      <c r="A483" s="70" t="n"/>
      <c r="B483" s="24" t="n"/>
      <c r="C483" s="24" t="n"/>
      <c r="D483" s="24" t="n"/>
      <c r="E483" s="24" t="n"/>
      <c r="F483" s="25">
        <f>IF(E483="","",IF(COUNTIF(lst_Jobs,E483&amp;"")&gt;0,"OK","CHECK"))</f>
        <v/>
      </c>
      <c r="G483" s="24" t="n"/>
      <c r="H483" s="24" t="n"/>
      <c r="I483" s="26" t="n"/>
      <c r="J483" s="24" t="n"/>
      <c r="K483" s="22" t="n"/>
      <c r="L483" s="70" t="n"/>
      <c r="M483" s="27">
        <f>IF(E483="","",SUMIFS(tbl_Finance[Ex GST],tbl_Finance[Job Number],E483&amp;""))</f>
        <v/>
      </c>
      <c r="N483" s="27">
        <f>IF(J483&lt;&gt;"Won","",IF(E483="",N(I483),I483-M483))</f>
        <v/>
      </c>
      <c r="O483" s="24" t="n"/>
    </row>
    <row r="484" ht="15" customHeight="1">
      <c r="A484" s="70" t="n"/>
      <c r="B484" s="24" t="n"/>
      <c r="C484" s="24" t="n"/>
      <c r="D484" s="24" t="n"/>
      <c r="E484" s="24" t="n"/>
      <c r="F484" s="25">
        <f>IF(E484="","",IF(COUNTIF(lst_Jobs,E484&amp;"")&gt;0,"OK","CHECK"))</f>
        <v/>
      </c>
      <c r="G484" s="24" t="n"/>
      <c r="H484" s="24" t="n"/>
      <c r="I484" s="26" t="n"/>
      <c r="J484" s="24" t="n"/>
      <c r="K484" s="22" t="n"/>
      <c r="L484" s="70" t="n"/>
      <c r="M484" s="27">
        <f>IF(E484="","",SUMIFS(tbl_Finance[Ex GST],tbl_Finance[Job Number],E484&amp;""))</f>
        <v/>
      </c>
      <c r="N484" s="27">
        <f>IF(J484&lt;&gt;"Won","",IF(E484="",N(I484),I484-M484))</f>
        <v/>
      </c>
      <c r="O484" s="24" t="n"/>
    </row>
    <row r="485" ht="15" customHeight="1">
      <c r="A485" s="70" t="n"/>
      <c r="B485" s="24" t="n"/>
      <c r="C485" s="24" t="n"/>
      <c r="D485" s="24" t="n"/>
      <c r="E485" s="24" t="n"/>
      <c r="F485" s="25">
        <f>IF(E485="","",IF(COUNTIF(lst_Jobs,E485&amp;"")&gt;0,"OK","CHECK"))</f>
        <v/>
      </c>
      <c r="G485" s="24" t="n"/>
      <c r="H485" s="24" t="n"/>
      <c r="I485" s="26" t="n"/>
      <c r="J485" s="24" t="n"/>
      <c r="K485" s="22" t="n"/>
      <c r="L485" s="70" t="n"/>
      <c r="M485" s="27">
        <f>IF(E485="","",SUMIFS(tbl_Finance[Ex GST],tbl_Finance[Job Number],E485&amp;""))</f>
        <v/>
      </c>
      <c r="N485" s="27">
        <f>IF(J485&lt;&gt;"Won","",IF(E485="",N(I485),I485-M485))</f>
        <v/>
      </c>
      <c r="O485" s="24" t="n"/>
    </row>
    <row r="486" ht="15" customHeight="1">
      <c r="A486" s="70" t="n"/>
      <c r="B486" s="24" t="n"/>
      <c r="C486" s="24" t="n"/>
      <c r="D486" s="24" t="n"/>
      <c r="E486" s="24" t="n"/>
      <c r="F486" s="25">
        <f>IF(E486="","",IF(COUNTIF(lst_Jobs,E486&amp;"")&gt;0,"OK","CHECK"))</f>
        <v/>
      </c>
      <c r="G486" s="24" t="n"/>
      <c r="H486" s="24" t="n"/>
      <c r="I486" s="26" t="n"/>
      <c r="J486" s="24" t="n"/>
      <c r="K486" s="22" t="n"/>
      <c r="L486" s="70" t="n"/>
      <c r="M486" s="27">
        <f>IF(E486="","",SUMIFS(tbl_Finance[Ex GST],tbl_Finance[Job Number],E486&amp;""))</f>
        <v/>
      </c>
      <c r="N486" s="27">
        <f>IF(J486&lt;&gt;"Won","",IF(E486="",N(I486),I486-M486))</f>
        <v/>
      </c>
      <c r="O486" s="24" t="n"/>
    </row>
    <row r="487" ht="15" customHeight="1">
      <c r="A487" s="70" t="n"/>
      <c r="B487" s="24" t="n"/>
      <c r="C487" s="24" t="n"/>
      <c r="D487" s="24" t="n"/>
      <c r="E487" s="24" t="n"/>
      <c r="F487" s="25">
        <f>IF(E487="","",IF(COUNTIF(lst_Jobs,E487&amp;"")&gt;0,"OK","CHECK"))</f>
        <v/>
      </c>
      <c r="G487" s="24" t="n"/>
      <c r="H487" s="24" t="n"/>
      <c r="I487" s="26" t="n"/>
      <c r="J487" s="24" t="n"/>
      <c r="K487" s="22" t="n"/>
      <c r="L487" s="70" t="n"/>
      <c r="M487" s="27">
        <f>IF(E487="","",SUMIFS(tbl_Finance[Ex GST],tbl_Finance[Job Number],E487&amp;""))</f>
        <v/>
      </c>
      <c r="N487" s="27">
        <f>IF(J487&lt;&gt;"Won","",IF(E487="",N(I487),I487-M487))</f>
        <v/>
      </c>
      <c r="O487" s="24" t="n"/>
    </row>
    <row r="488" ht="15" customHeight="1">
      <c r="A488" s="70" t="n"/>
      <c r="B488" s="24" t="n"/>
      <c r="C488" s="24" t="n"/>
      <c r="D488" s="24" t="n"/>
      <c r="E488" s="24" t="n"/>
      <c r="F488" s="25">
        <f>IF(E488="","",IF(COUNTIF(lst_Jobs,E488&amp;"")&gt;0,"OK","CHECK"))</f>
        <v/>
      </c>
      <c r="G488" s="24" t="n"/>
      <c r="H488" s="24" t="n"/>
      <c r="I488" s="26" t="n"/>
      <c r="J488" s="24" t="n"/>
      <c r="K488" s="22" t="n"/>
      <c r="L488" s="70" t="n"/>
      <c r="M488" s="27">
        <f>IF(E488="","",SUMIFS(tbl_Finance[Ex GST],tbl_Finance[Job Number],E488&amp;""))</f>
        <v/>
      </c>
      <c r="N488" s="27">
        <f>IF(J488&lt;&gt;"Won","",IF(E488="",N(I488),I488-M488))</f>
        <v/>
      </c>
      <c r="O488" s="24" t="n"/>
    </row>
    <row r="489" ht="15" customHeight="1">
      <c r="A489" s="70" t="n"/>
      <c r="B489" s="24" t="n"/>
      <c r="C489" s="24" t="n"/>
      <c r="D489" s="24" t="n"/>
      <c r="E489" s="24" t="n"/>
      <c r="F489" s="25">
        <f>IF(E489="","",IF(COUNTIF(lst_Jobs,E489&amp;"")&gt;0,"OK","CHECK"))</f>
        <v/>
      </c>
      <c r="G489" s="24" t="n"/>
      <c r="H489" s="24" t="n"/>
      <c r="I489" s="26" t="n"/>
      <c r="J489" s="24" t="n"/>
      <c r="K489" s="22" t="n"/>
      <c r="L489" s="70" t="n"/>
      <c r="M489" s="27">
        <f>IF(E489="","",SUMIFS(tbl_Finance[Ex GST],tbl_Finance[Job Number],E489&amp;""))</f>
        <v/>
      </c>
      <c r="N489" s="27">
        <f>IF(J489&lt;&gt;"Won","",IF(E489="",N(I489),I489-M489))</f>
        <v/>
      </c>
      <c r="O489" s="24" t="n"/>
    </row>
    <row r="490" ht="15" customHeight="1">
      <c r="A490" s="70" t="n"/>
      <c r="B490" s="24" t="n"/>
      <c r="C490" s="24" t="n"/>
      <c r="D490" s="24" t="n"/>
      <c r="E490" s="24" t="n"/>
      <c r="F490" s="25">
        <f>IF(E490="","",IF(COUNTIF(lst_Jobs,E490&amp;"")&gt;0,"OK","CHECK"))</f>
        <v/>
      </c>
      <c r="G490" s="24" t="n"/>
      <c r="H490" s="24" t="n"/>
      <c r="I490" s="26" t="n"/>
      <c r="J490" s="24" t="n"/>
      <c r="K490" s="22" t="n"/>
      <c r="L490" s="70" t="n"/>
      <c r="M490" s="27">
        <f>IF(E490="","",SUMIFS(tbl_Finance[Ex GST],tbl_Finance[Job Number],E490&amp;""))</f>
        <v/>
      </c>
      <c r="N490" s="27">
        <f>IF(J490&lt;&gt;"Won","",IF(E490="",N(I490),I490-M490))</f>
        <v/>
      </c>
      <c r="O490" s="24" t="n"/>
    </row>
    <row r="491" ht="15" customHeight="1">
      <c r="A491" s="70" t="n"/>
      <c r="B491" s="24" t="n"/>
      <c r="C491" s="24" t="n"/>
      <c r="D491" s="24" t="n"/>
      <c r="E491" s="24" t="n"/>
      <c r="F491" s="25">
        <f>IF(E491="","",IF(COUNTIF(lst_Jobs,E491&amp;"")&gt;0,"OK","CHECK"))</f>
        <v/>
      </c>
      <c r="G491" s="24" t="n"/>
      <c r="H491" s="24" t="n"/>
      <c r="I491" s="26" t="n"/>
      <c r="J491" s="24" t="n"/>
      <c r="K491" s="22" t="n"/>
      <c r="L491" s="70" t="n"/>
      <c r="M491" s="27">
        <f>IF(E491="","",SUMIFS(tbl_Finance[Ex GST],tbl_Finance[Job Number],E491&amp;""))</f>
        <v/>
      </c>
      <c r="N491" s="27">
        <f>IF(J491&lt;&gt;"Won","",IF(E491="",N(I491),I491-M491))</f>
        <v/>
      </c>
      <c r="O491" s="24" t="n"/>
    </row>
    <row r="492" ht="15" customHeight="1">
      <c r="A492" s="70" t="n"/>
      <c r="B492" s="24" t="n"/>
      <c r="C492" s="24" t="n"/>
      <c r="D492" s="24" t="n"/>
      <c r="E492" s="24" t="n"/>
      <c r="F492" s="25">
        <f>IF(E492="","",IF(COUNTIF(lst_Jobs,E492&amp;"")&gt;0,"OK","CHECK"))</f>
        <v/>
      </c>
      <c r="G492" s="24" t="n"/>
      <c r="H492" s="24" t="n"/>
      <c r="I492" s="26" t="n"/>
      <c r="J492" s="24" t="n"/>
      <c r="K492" s="22" t="n"/>
      <c r="L492" s="70" t="n"/>
      <c r="M492" s="27">
        <f>IF(E492="","",SUMIFS(tbl_Finance[Ex GST],tbl_Finance[Job Number],E492&amp;""))</f>
        <v/>
      </c>
      <c r="N492" s="27">
        <f>IF(J492&lt;&gt;"Won","",IF(E492="",N(I492),I492-M492))</f>
        <v/>
      </c>
      <c r="O492" s="24" t="n"/>
    </row>
    <row r="493" ht="15" customHeight="1">
      <c r="A493" s="70" t="n"/>
      <c r="B493" s="24" t="n"/>
      <c r="C493" s="24" t="n"/>
      <c r="D493" s="24" t="n"/>
      <c r="E493" s="24" t="n"/>
      <c r="F493" s="25">
        <f>IF(E493="","",IF(COUNTIF(lst_Jobs,E493&amp;"")&gt;0,"OK","CHECK"))</f>
        <v/>
      </c>
      <c r="G493" s="24" t="n"/>
      <c r="H493" s="24" t="n"/>
      <c r="I493" s="26" t="n"/>
      <c r="J493" s="24" t="n"/>
      <c r="K493" s="22" t="n"/>
      <c r="L493" s="70" t="n"/>
      <c r="M493" s="27">
        <f>IF(E493="","",SUMIFS(tbl_Finance[Ex GST],tbl_Finance[Job Number],E493&amp;""))</f>
        <v/>
      </c>
      <c r="N493" s="27">
        <f>IF(J493&lt;&gt;"Won","",IF(E493="",N(I493),I493-M493))</f>
        <v/>
      </c>
      <c r="O493" s="24" t="n"/>
    </row>
    <row r="494" ht="15" customHeight="1">
      <c r="A494" s="70" t="n"/>
      <c r="B494" s="24" t="n"/>
      <c r="C494" s="24" t="n"/>
      <c r="D494" s="24" t="n"/>
      <c r="E494" s="24" t="n"/>
      <c r="F494" s="25">
        <f>IF(E494="","",IF(COUNTIF(lst_Jobs,E494&amp;"")&gt;0,"OK","CHECK"))</f>
        <v/>
      </c>
      <c r="G494" s="24" t="n"/>
      <c r="H494" s="24" t="n"/>
      <c r="I494" s="26" t="n"/>
      <c r="J494" s="24" t="n"/>
      <c r="K494" s="22" t="n"/>
      <c r="L494" s="70" t="n"/>
      <c r="M494" s="27">
        <f>IF(E494="","",SUMIFS(tbl_Finance[Ex GST],tbl_Finance[Job Number],E494&amp;""))</f>
        <v/>
      </c>
      <c r="N494" s="27">
        <f>IF(J494&lt;&gt;"Won","",IF(E494="",N(I494),I494-M494))</f>
        <v/>
      </c>
      <c r="O494" s="24" t="n"/>
    </row>
    <row r="495" ht="15" customHeight="1">
      <c r="A495" s="70" t="n"/>
      <c r="B495" s="24" t="n"/>
      <c r="C495" s="24" t="n"/>
      <c r="D495" s="24" t="n"/>
      <c r="E495" s="24" t="n"/>
      <c r="F495" s="25">
        <f>IF(E495="","",IF(COUNTIF(lst_Jobs,E495&amp;"")&gt;0,"OK","CHECK"))</f>
        <v/>
      </c>
      <c r="G495" s="24" t="n"/>
      <c r="H495" s="24" t="n"/>
      <c r="I495" s="26" t="n"/>
      <c r="J495" s="24" t="n"/>
      <c r="K495" s="22" t="n"/>
      <c r="L495" s="70" t="n"/>
      <c r="M495" s="27">
        <f>IF(E495="","",SUMIFS(tbl_Finance[Ex GST],tbl_Finance[Job Number],E495&amp;""))</f>
        <v/>
      </c>
      <c r="N495" s="27">
        <f>IF(J495&lt;&gt;"Won","",IF(E495="",N(I495),I495-M495))</f>
        <v/>
      </c>
      <c r="O495" s="24" t="n"/>
    </row>
    <row r="496" ht="15" customHeight="1">
      <c r="A496" s="70" t="n"/>
      <c r="B496" s="24" t="n"/>
      <c r="C496" s="24" t="n"/>
      <c r="D496" s="24" t="n"/>
      <c r="E496" s="24" t="n"/>
      <c r="F496" s="25">
        <f>IF(E496="","",IF(COUNTIF(lst_Jobs,E496&amp;"")&gt;0,"OK","CHECK"))</f>
        <v/>
      </c>
      <c r="G496" s="24" t="n"/>
      <c r="H496" s="24" t="n"/>
      <c r="I496" s="26" t="n"/>
      <c r="J496" s="24" t="n"/>
      <c r="K496" s="22" t="n"/>
      <c r="L496" s="70" t="n"/>
      <c r="M496" s="27">
        <f>IF(E496="","",SUMIFS(tbl_Finance[Ex GST],tbl_Finance[Job Number],E496&amp;""))</f>
        <v/>
      </c>
      <c r="N496" s="27">
        <f>IF(J496&lt;&gt;"Won","",IF(E496="",N(I496),I496-M496))</f>
        <v/>
      </c>
      <c r="O496" s="24" t="n"/>
    </row>
    <row r="497" ht="15" customHeight="1">
      <c r="A497" s="70" t="n"/>
      <c r="B497" s="24" t="n"/>
      <c r="C497" s="24" t="n"/>
      <c r="D497" s="24" t="n"/>
      <c r="E497" s="24" t="n"/>
      <c r="F497" s="25">
        <f>IF(E497="","",IF(COUNTIF(lst_Jobs,E497&amp;"")&gt;0,"OK","CHECK"))</f>
        <v/>
      </c>
      <c r="G497" s="24" t="n"/>
      <c r="H497" s="24" t="n"/>
      <c r="I497" s="26" t="n"/>
      <c r="J497" s="24" t="n"/>
      <c r="K497" s="22" t="n"/>
      <c r="L497" s="70" t="n"/>
      <c r="M497" s="27">
        <f>IF(E497="","",SUMIFS(tbl_Finance[Ex GST],tbl_Finance[Job Number],E497&amp;""))</f>
        <v/>
      </c>
      <c r="N497" s="27">
        <f>IF(J497&lt;&gt;"Won","",IF(E497="",N(I497),I497-M497))</f>
        <v/>
      </c>
      <c r="O497" s="24" t="n"/>
    </row>
    <row r="498" ht="15" customHeight="1">
      <c r="A498" s="70" t="n"/>
      <c r="B498" s="24" t="n"/>
      <c r="C498" s="24" t="n"/>
      <c r="D498" s="24" t="n"/>
      <c r="E498" s="24" t="n"/>
      <c r="F498" s="25">
        <f>IF(E498="","",IF(COUNTIF(lst_Jobs,E498&amp;"")&gt;0,"OK","CHECK"))</f>
        <v/>
      </c>
      <c r="G498" s="24" t="n"/>
      <c r="H498" s="24" t="n"/>
      <c r="I498" s="26" t="n"/>
      <c r="J498" s="24" t="n"/>
      <c r="K498" s="22" t="n"/>
      <c r="L498" s="70" t="n"/>
      <c r="M498" s="27">
        <f>IF(E498="","",SUMIFS(tbl_Finance[Ex GST],tbl_Finance[Job Number],E498&amp;""))</f>
        <v/>
      </c>
      <c r="N498" s="27">
        <f>IF(J498&lt;&gt;"Won","",IF(E498="",N(I498),I498-M498))</f>
        <v/>
      </c>
      <c r="O498" s="24" t="n"/>
    </row>
    <row r="499" ht="15" customHeight="1">
      <c r="A499" s="70" t="n"/>
      <c r="B499" s="24" t="n"/>
      <c r="C499" s="24" t="n"/>
      <c r="D499" s="24" t="n"/>
      <c r="E499" s="24" t="n"/>
      <c r="F499" s="25">
        <f>IF(E499="","",IF(COUNTIF(lst_Jobs,E499&amp;"")&gt;0,"OK","CHECK"))</f>
        <v/>
      </c>
      <c r="G499" s="24" t="n"/>
      <c r="H499" s="24" t="n"/>
      <c r="I499" s="26" t="n"/>
      <c r="J499" s="24" t="n"/>
      <c r="K499" s="22" t="n"/>
      <c r="L499" s="70" t="n"/>
      <c r="M499" s="27">
        <f>IF(E499="","",SUMIFS(tbl_Finance[Ex GST],tbl_Finance[Job Number],E499&amp;""))</f>
        <v/>
      </c>
      <c r="N499" s="27">
        <f>IF(J499&lt;&gt;"Won","",IF(E499="",N(I499),I499-M499))</f>
        <v/>
      </c>
      <c r="O499" s="24" t="n"/>
    </row>
    <row r="500" ht="15" customHeight="1">
      <c r="A500" s="70" t="n"/>
      <c r="B500" s="24" t="n"/>
      <c r="C500" s="24" t="n"/>
      <c r="D500" s="24" t="n"/>
      <c r="E500" s="24" t="n"/>
      <c r="F500" s="25">
        <f>IF(E500="","",IF(COUNTIF(lst_Jobs,E500&amp;"")&gt;0,"OK","CHECK"))</f>
        <v/>
      </c>
      <c r="G500" s="24" t="n"/>
      <c r="H500" s="24" t="n"/>
      <c r="I500" s="26" t="n"/>
      <c r="J500" s="24" t="n"/>
      <c r="K500" s="22" t="n"/>
      <c r="L500" s="70" t="n"/>
      <c r="M500" s="27">
        <f>IF(E500="","",SUMIFS(tbl_Finance[Ex GST],tbl_Finance[Job Number],E500&amp;""))</f>
        <v/>
      </c>
      <c r="N500" s="27">
        <f>IF(J500&lt;&gt;"Won","",IF(E500="",N(I500),I500-M500))</f>
        <v/>
      </c>
      <c r="O500" s="24" t="n"/>
    </row>
    <row r="501" ht="15" customHeight="1">
      <c r="A501" s="70" t="n"/>
      <c r="B501" s="24" t="n"/>
      <c r="C501" s="24" t="n"/>
      <c r="D501" s="24" t="n"/>
      <c r="E501" s="24" t="n"/>
      <c r="F501" s="25">
        <f>IF(E501="","",IF(COUNTIF(lst_Jobs,E501&amp;"")&gt;0,"OK","CHECK"))</f>
        <v/>
      </c>
      <c r="G501" s="24" t="n"/>
      <c r="H501" s="24" t="n"/>
      <c r="I501" s="26" t="n"/>
      <c r="J501" s="24" t="n"/>
      <c r="K501" s="22" t="n"/>
      <c r="L501" s="70" t="n"/>
      <c r="M501" s="27">
        <f>IF(E501="","",SUMIFS(tbl_Finance[Ex GST],tbl_Finance[Job Number],E501&amp;""))</f>
        <v/>
      </c>
      <c r="N501" s="27">
        <f>IF(J501&lt;&gt;"Won","",IF(E501="",N(I501),I501-M501))</f>
        <v/>
      </c>
      <c r="O501" s="24" t="n"/>
    </row>
    <row r="502" ht="15" customHeight="1">
      <c r="A502" s="70" t="n"/>
      <c r="B502" s="24" t="n"/>
      <c r="C502" s="24" t="n"/>
      <c r="D502" s="24" t="n"/>
      <c r="E502" s="24" t="n"/>
      <c r="F502" s="25">
        <f>IF(E502="","",IF(COUNTIF(lst_Jobs,E502&amp;"")&gt;0,"OK","CHECK"))</f>
        <v/>
      </c>
      <c r="G502" s="24" t="n"/>
      <c r="H502" s="24" t="n"/>
      <c r="I502" s="26" t="n"/>
      <c r="J502" s="24" t="n"/>
      <c r="K502" s="22" t="n"/>
      <c r="L502" s="70" t="n"/>
      <c r="M502" s="27">
        <f>IF(E502="","",SUMIFS(tbl_Finance[Ex GST],tbl_Finance[Job Number],E502&amp;""))</f>
        <v/>
      </c>
      <c r="N502" s="27">
        <f>IF(J502&lt;&gt;"Won","",IF(E502="",N(I502),I502-M502))</f>
        <v/>
      </c>
      <c r="O502" s="24" t="n"/>
    </row>
    <row r="503" ht="15" customHeight="1">
      <c r="A503" s="70" t="n"/>
      <c r="B503" s="24" t="n"/>
      <c r="C503" s="24" t="n"/>
      <c r="D503" s="24" t="n"/>
      <c r="E503" s="24" t="n"/>
      <c r="F503" s="25">
        <f>IF(E503="","",IF(COUNTIF(lst_Jobs,E503&amp;"")&gt;0,"OK","CHECK"))</f>
        <v/>
      </c>
      <c r="G503" s="24" t="n"/>
      <c r="H503" s="24" t="n"/>
      <c r="I503" s="26" t="n"/>
      <c r="J503" s="24" t="n"/>
      <c r="K503" s="22" t="n"/>
      <c r="L503" s="70" t="n"/>
      <c r="M503" s="27">
        <f>IF(E503="","",SUMIFS(tbl_Finance[Ex GST],tbl_Finance[Job Number],E503&amp;""))</f>
        <v/>
      </c>
      <c r="N503" s="27">
        <f>IF(J503&lt;&gt;"Won","",IF(E503="",N(I503),I503-M503))</f>
        <v/>
      </c>
      <c r="O503" s="24" t="n"/>
    </row>
    <row r="504" ht="15" customHeight="1">
      <c r="A504" s="70" t="n"/>
      <c r="B504" s="24" t="n"/>
      <c r="C504" s="24" t="n"/>
      <c r="D504" s="24" t="n"/>
      <c r="E504" s="24" t="n"/>
      <c r="F504" s="25">
        <f>IF(E504="","",IF(COUNTIF(lst_Jobs,E504&amp;"")&gt;0,"OK","CHECK"))</f>
        <v/>
      </c>
      <c r="G504" s="24" t="n"/>
      <c r="H504" s="24" t="n"/>
      <c r="I504" s="26" t="n"/>
      <c r="J504" s="24" t="n"/>
      <c r="K504" s="22" t="n"/>
      <c r="L504" s="70" t="n"/>
      <c r="M504" s="27">
        <f>IF(E504="","",SUMIFS(tbl_Finance[Ex GST],tbl_Finance[Job Number],E504&amp;""))</f>
        <v/>
      </c>
      <c r="N504" s="27">
        <f>IF(J504&lt;&gt;"Won","",IF(E504="",N(I504),I504-M504))</f>
        <v/>
      </c>
      <c r="O504" s="24" t="n"/>
    </row>
    <row r="505" ht="15" customHeight="1">
      <c r="A505" s="70" t="n"/>
      <c r="B505" s="24" t="n"/>
      <c r="C505" s="24" t="n"/>
      <c r="D505" s="24" t="n"/>
      <c r="E505" s="24" t="n"/>
      <c r="F505" s="25">
        <f>IF(E505="","",IF(COUNTIF(lst_Jobs,E505&amp;"")&gt;0,"OK","CHECK"))</f>
        <v/>
      </c>
      <c r="G505" s="24" t="n"/>
      <c r="H505" s="24" t="n"/>
      <c r="I505" s="26" t="n"/>
      <c r="J505" s="24" t="n"/>
      <c r="K505" s="22" t="n"/>
      <c r="L505" s="70" t="n"/>
      <c r="M505" s="27">
        <f>IF(E505="","",SUMIFS(tbl_Finance[Ex GST],tbl_Finance[Job Number],E505&amp;""))</f>
        <v/>
      </c>
      <c r="N505" s="27">
        <f>IF(J505&lt;&gt;"Won","",IF(E505="",N(I505),I505-M505))</f>
        <v/>
      </c>
      <c r="O505" s="24" t="n"/>
    </row>
    <row r="506" ht="15" customHeight="1">
      <c r="A506" s="70" t="n"/>
      <c r="B506" s="24" t="n"/>
      <c r="C506" s="24" t="n"/>
      <c r="D506" s="24" t="n"/>
      <c r="E506" s="24" t="n"/>
      <c r="F506" s="25">
        <f>IF(E506="","",IF(COUNTIF(lst_Jobs,E506&amp;"")&gt;0,"OK","CHECK"))</f>
        <v/>
      </c>
      <c r="G506" s="24" t="n"/>
      <c r="H506" s="24" t="n"/>
      <c r="I506" s="26" t="n"/>
      <c r="J506" s="24" t="n"/>
      <c r="K506" s="22" t="n"/>
      <c r="L506" s="70" t="n"/>
      <c r="M506" s="27">
        <f>IF(E506="","",SUMIFS(tbl_Finance[Ex GST],tbl_Finance[Job Number],E506&amp;""))</f>
        <v/>
      </c>
      <c r="N506" s="27">
        <f>IF(J506&lt;&gt;"Won","",IF(E506="",N(I506),I506-M506))</f>
        <v/>
      </c>
      <c r="O506" s="24" t="n"/>
    </row>
    <row r="507" ht="15" customHeight="1">
      <c r="A507" s="70" t="n"/>
      <c r="B507" s="24" t="n"/>
      <c r="C507" s="24" t="n"/>
      <c r="D507" s="24" t="n"/>
      <c r="E507" s="24" t="n"/>
      <c r="F507" s="25">
        <f>IF(E507="","",IF(COUNTIF(lst_Jobs,E507&amp;"")&gt;0,"OK","CHECK"))</f>
        <v/>
      </c>
      <c r="G507" s="24" t="n"/>
      <c r="H507" s="24" t="n"/>
      <c r="I507" s="26" t="n"/>
      <c r="J507" s="24" t="n"/>
      <c r="K507" s="22" t="n"/>
      <c r="L507" s="70" t="n"/>
      <c r="M507" s="27">
        <f>IF(E507="","",SUMIFS(tbl_Finance[Ex GST],tbl_Finance[Job Number],E507&amp;""))</f>
        <v/>
      </c>
      <c r="N507" s="27">
        <f>IF(J507&lt;&gt;"Won","",IF(E507="",N(I507),I507-M507))</f>
        <v/>
      </c>
      <c r="O507" s="24" t="n"/>
    </row>
    <row r="508" ht="15" customHeight="1">
      <c r="A508" s="70" t="n"/>
      <c r="B508" s="24" t="n"/>
      <c r="C508" s="24" t="n"/>
      <c r="D508" s="24" t="n"/>
      <c r="E508" s="24" t="n"/>
      <c r="F508" s="25">
        <f>IF(E508="","",IF(COUNTIF(lst_Jobs,E508&amp;"")&gt;0,"OK","CHECK"))</f>
        <v/>
      </c>
      <c r="G508" s="24" t="n"/>
      <c r="H508" s="24" t="n"/>
      <c r="I508" s="26" t="n"/>
      <c r="J508" s="24" t="n"/>
      <c r="K508" s="22" t="n"/>
      <c r="L508" s="70" t="n"/>
      <c r="M508" s="27">
        <f>IF(E508="","",SUMIFS(tbl_Finance[Ex GST],tbl_Finance[Job Number],E508&amp;""))</f>
        <v/>
      </c>
      <c r="N508" s="27">
        <f>IF(J508&lt;&gt;"Won","",IF(E508="",N(I508),I508-M508))</f>
        <v/>
      </c>
      <c r="O508" s="24" t="n"/>
    </row>
    <row r="509" ht="15" customHeight="1">
      <c r="A509" s="70" t="n"/>
      <c r="B509" s="24" t="n"/>
      <c r="C509" s="24" t="n"/>
      <c r="D509" s="24" t="n"/>
      <c r="E509" s="24" t="n"/>
      <c r="F509" s="25">
        <f>IF(E509="","",IF(COUNTIF(lst_Jobs,E509&amp;"")&gt;0,"OK","CHECK"))</f>
        <v/>
      </c>
      <c r="G509" s="24" t="n"/>
      <c r="H509" s="24" t="n"/>
      <c r="I509" s="26" t="n"/>
      <c r="J509" s="24" t="n"/>
      <c r="K509" s="22" t="n"/>
      <c r="L509" s="70" t="n"/>
      <c r="M509" s="27">
        <f>IF(E509="","",SUMIFS(tbl_Finance[Ex GST],tbl_Finance[Job Number],E509&amp;""))</f>
        <v/>
      </c>
      <c r="N509" s="27">
        <f>IF(J509&lt;&gt;"Won","",IF(E509="",N(I509),I509-M509))</f>
        <v/>
      </c>
      <c r="O509" s="24" t="n"/>
    </row>
    <row r="510" ht="15" customHeight="1">
      <c r="A510" s="70" t="n"/>
      <c r="B510" s="24" t="n"/>
      <c r="C510" s="24" t="n"/>
      <c r="D510" s="24" t="n"/>
      <c r="E510" s="24" t="n"/>
      <c r="F510" s="25">
        <f>IF(E510="","",IF(COUNTIF(lst_Jobs,E510&amp;"")&gt;0,"OK","CHECK"))</f>
        <v/>
      </c>
      <c r="G510" s="24" t="n"/>
      <c r="H510" s="24" t="n"/>
      <c r="I510" s="26" t="n"/>
      <c r="J510" s="24" t="n"/>
      <c r="K510" s="22" t="n"/>
      <c r="L510" s="70" t="n"/>
      <c r="M510" s="27">
        <f>IF(E510="","",SUMIFS(tbl_Finance[Ex GST],tbl_Finance[Job Number],E510&amp;""))</f>
        <v/>
      </c>
      <c r="N510" s="27">
        <f>IF(J510&lt;&gt;"Won","",IF(E510="",N(I510),I510-M510))</f>
        <v/>
      </c>
      <c r="O510" s="24" t="n"/>
    </row>
    <row r="511" ht="15" customHeight="1">
      <c r="A511" s="70" t="n"/>
      <c r="B511" s="24" t="n"/>
      <c r="C511" s="24" t="n"/>
      <c r="D511" s="24" t="n"/>
      <c r="E511" s="24" t="n"/>
      <c r="F511" s="25">
        <f>IF(E511="","",IF(COUNTIF(lst_Jobs,E511&amp;"")&gt;0,"OK","CHECK"))</f>
        <v/>
      </c>
      <c r="G511" s="24" t="n"/>
      <c r="H511" s="24" t="n"/>
      <c r="I511" s="26" t="n"/>
      <c r="J511" s="24" t="n"/>
      <c r="K511" s="22" t="n"/>
      <c r="L511" s="70" t="n"/>
      <c r="M511" s="27">
        <f>IF(E511="","",SUMIFS(tbl_Finance[Ex GST],tbl_Finance[Job Number],E511&amp;""))</f>
        <v/>
      </c>
      <c r="N511" s="27">
        <f>IF(J511&lt;&gt;"Won","",IF(E511="",N(I511),I511-M511))</f>
        <v/>
      </c>
      <c r="O511" s="24" t="n"/>
    </row>
    <row r="512" ht="15" customHeight="1">
      <c r="A512" s="70" t="n"/>
      <c r="B512" s="24" t="n"/>
      <c r="C512" s="24" t="n"/>
      <c r="D512" s="24" t="n"/>
      <c r="E512" s="24" t="n"/>
      <c r="F512" s="25">
        <f>IF(E512="","",IF(COUNTIF(lst_Jobs,E512&amp;"")&gt;0,"OK","CHECK"))</f>
        <v/>
      </c>
      <c r="G512" s="24" t="n"/>
      <c r="H512" s="24" t="n"/>
      <c r="I512" s="26" t="n"/>
      <c r="J512" s="24" t="n"/>
      <c r="K512" s="22" t="n"/>
      <c r="L512" s="70" t="n"/>
      <c r="M512" s="27">
        <f>IF(E512="","",SUMIFS(tbl_Finance[Ex GST],tbl_Finance[Job Number],E512&amp;""))</f>
        <v/>
      </c>
      <c r="N512" s="27">
        <f>IF(J512&lt;&gt;"Won","",IF(E512="",N(I512),I512-M512))</f>
        <v/>
      </c>
      <c r="O512" s="24" t="n"/>
    </row>
    <row r="513" ht="15" customHeight="1">
      <c r="A513" s="70" t="n"/>
      <c r="B513" s="24" t="n"/>
      <c r="C513" s="24" t="n"/>
      <c r="D513" s="24" t="n"/>
      <c r="E513" s="24" t="n"/>
      <c r="F513" s="25">
        <f>IF(E513="","",IF(COUNTIF(lst_Jobs,E513&amp;"")&gt;0,"OK","CHECK"))</f>
        <v/>
      </c>
      <c r="G513" s="24" t="n"/>
      <c r="H513" s="24" t="n"/>
      <c r="I513" s="26" t="n"/>
      <c r="J513" s="24" t="n"/>
      <c r="K513" s="22" t="n"/>
      <c r="L513" s="70" t="n"/>
      <c r="M513" s="27">
        <f>IF(E513="","",SUMIFS(tbl_Finance[Ex GST],tbl_Finance[Job Number],E513&amp;""))</f>
        <v/>
      </c>
      <c r="N513" s="27">
        <f>IF(J513&lt;&gt;"Won","",IF(E513="",N(I513),I513-M513))</f>
        <v/>
      </c>
      <c r="O513" s="24" t="n"/>
    </row>
    <row r="514" ht="15" customHeight="1">
      <c r="A514" s="70" t="n"/>
      <c r="B514" s="24" t="n"/>
      <c r="C514" s="24" t="n"/>
      <c r="D514" s="24" t="n"/>
      <c r="E514" s="24" t="n"/>
      <c r="F514" s="25">
        <f>IF(E514="","",IF(COUNTIF(lst_Jobs,E514&amp;"")&gt;0,"OK","CHECK"))</f>
        <v/>
      </c>
      <c r="G514" s="24" t="n"/>
      <c r="H514" s="24" t="n"/>
      <c r="I514" s="26" t="n"/>
      <c r="J514" s="24" t="n"/>
      <c r="K514" s="22" t="n"/>
      <c r="L514" s="70" t="n"/>
      <c r="M514" s="27">
        <f>IF(E514="","",SUMIFS(tbl_Finance[Ex GST],tbl_Finance[Job Number],E514&amp;""))</f>
        <v/>
      </c>
      <c r="N514" s="27">
        <f>IF(J514&lt;&gt;"Won","",IF(E514="",N(I514),I514-M514))</f>
        <v/>
      </c>
      <c r="O514" s="24" t="n"/>
    </row>
    <row r="515" ht="15" customHeight="1">
      <c r="A515" s="70" t="n"/>
      <c r="B515" s="24" t="n"/>
      <c r="C515" s="24" t="n"/>
      <c r="D515" s="24" t="n"/>
      <c r="E515" s="24" t="n"/>
      <c r="F515" s="25">
        <f>IF(E515="","",IF(COUNTIF(lst_Jobs,E515&amp;"")&gt;0,"OK","CHECK"))</f>
        <v/>
      </c>
      <c r="G515" s="24" t="n"/>
      <c r="H515" s="24" t="n"/>
      <c r="I515" s="26" t="n"/>
      <c r="J515" s="24" t="n"/>
      <c r="K515" s="22" t="n"/>
      <c r="L515" s="70" t="n"/>
      <c r="M515" s="27">
        <f>IF(E515="","",SUMIFS(tbl_Finance[Ex GST],tbl_Finance[Job Number],E515&amp;""))</f>
        <v/>
      </c>
      <c r="N515" s="27">
        <f>IF(J515&lt;&gt;"Won","",IF(E515="",N(I515),I515-M515))</f>
        <v/>
      </c>
      <c r="O515" s="24" t="n"/>
    </row>
    <row r="516" ht="15" customHeight="1">
      <c r="A516" s="70" t="n"/>
      <c r="B516" s="24" t="n"/>
      <c r="C516" s="24" t="n"/>
      <c r="D516" s="24" t="n"/>
      <c r="E516" s="24" t="n"/>
      <c r="F516" s="25">
        <f>IF(E516="","",IF(COUNTIF(lst_Jobs,E516&amp;"")&gt;0,"OK","CHECK"))</f>
        <v/>
      </c>
      <c r="G516" s="24" t="n"/>
      <c r="H516" s="24" t="n"/>
      <c r="I516" s="26" t="n"/>
      <c r="J516" s="24" t="n"/>
      <c r="K516" s="22" t="n"/>
      <c r="L516" s="70" t="n"/>
      <c r="M516" s="27">
        <f>IF(E516="","",SUMIFS(tbl_Finance[Ex GST],tbl_Finance[Job Number],E516&amp;""))</f>
        <v/>
      </c>
      <c r="N516" s="27">
        <f>IF(J516&lt;&gt;"Won","",IF(E516="",N(I516),I516-M516))</f>
        <v/>
      </c>
      <c r="O516" s="24" t="n"/>
    </row>
    <row r="517" ht="15" customHeight="1">
      <c r="A517" s="70" t="n"/>
      <c r="B517" s="24" t="n"/>
      <c r="C517" s="24" t="n"/>
      <c r="D517" s="24" t="n"/>
      <c r="E517" s="24" t="n"/>
      <c r="F517" s="25">
        <f>IF(E517="","",IF(COUNTIF(lst_Jobs,E517&amp;"")&gt;0,"OK","CHECK"))</f>
        <v/>
      </c>
      <c r="G517" s="24" t="n"/>
      <c r="H517" s="24" t="n"/>
      <c r="I517" s="26" t="n"/>
      <c r="J517" s="24" t="n"/>
      <c r="K517" s="22" t="n"/>
      <c r="L517" s="70" t="n"/>
      <c r="M517" s="27">
        <f>IF(E517="","",SUMIFS(tbl_Finance[Ex GST],tbl_Finance[Job Number],E517&amp;""))</f>
        <v/>
      </c>
      <c r="N517" s="27">
        <f>IF(J517&lt;&gt;"Won","",IF(E517="",N(I517),I517-M517))</f>
        <v/>
      </c>
      <c r="O517" s="24" t="n"/>
    </row>
    <row r="518" ht="15" customHeight="1">
      <c r="A518" s="70" t="n"/>
      <c r="B518" s="24" t="n"/>
      <c r="C518" s="24" t="n"/>
      <c r="D518" s="24" t="n"/>
      <c r="E518" s="24" t="n"/>
      <c r="F518" s="25">
        <f>IF(E518="","",IF(COUNTIF(lst_Jobs,E518&amp;"")&gt;0,"OK","CHECK"))</f>
        <v/>
      </c>
      <c r="G518" s="24" t="n"/>
      <c r="H518" s="24" t="n"/>
      <c r="I518" s="26" t="n"/>
      <c r="J518" s="24" t="n"/>
      <c r="K518" s="22" t="n"/>
      <c r="L518" s="70" t="n"/>
      <c r="M518" s="27">
        <f>IF(E518="","",SUMIFS(tbl_Finance[Ex GST],tbl_Finance[Job Number],E518&amp;""))</f>
        <v/>
      </c>
      <c r="N518" s="27">
        <f>IF(J518&lt;&gt;"Won","",IF(E518="",N(I518),I518-M518))</f>
        <v/>
      </c>
      <c r="O518" s="24" t="n"/>
    </row>
    <row r="519" ht="15" customHeight="1">
      <c r="A519" s="70" t="n"/>
      <c r="B519" s="24" t="n"/>
      <c r="C519" s="24" t="n"/>
      <c r="D519" s="24" t="n"/>
      <c r="E519" s="24" t="n"/>
      <c r="F519" s="25">
        <f>IF(E519="","",IF(COUNTIF(lst_Jobs,E519&amp;"")&gt;0,"OK","CHECK"))</f>
        <v/>
      </c>
      <c r="G519" s="24" t="n"/>
      <c r="H519" s="24" t="n"/>
      <c r="I519" s="26" t="n"/>
      <c r="J519" s="24" t="n"/>
      <c r="K519" s="22" t="n"/>
      <c r="L519" s="70" t="n"/>
      <c r="M519" s="27">
        <f>IF(E519="","",SUMIFS(tbl_Finance[Ex GST],tbl_Finance[Job Number],E519&amp;""))</f>
        <v/>
      </c>
      <c r="N519" s="27">
        <f>IF(J519&lt;&gt;"Won","",IF(E519="",N(I519),I519-M519))</f>
        <v/>
      </c>
      <c r="O519" s="24" t="n"/>
    </row>
    <row r="520" ht="15" customHeight="1">
      <c r="A520" s="70" t="n"/>
      <c r="B520" s="24" t="n"/>
      <c r="C520" s="24" t="n"/>
      <c r="D520" s="24" t="n"/>
      <c r="E520" s="24" t="n"/>
      <c r="F520" s="25">
        <f>IF(E520="","",IF(COUNTIF(lst_Jobs,E520&amp;"")&gt;0,"OK","CHECK"))</f>
        <v/>
      </c>
      <c r="G520" s="24" t="n"/>
      <c r="H520" s="24" t="n"/>
      <c r="I520" s="26" t="n"/>
      <c r="J520" s="24" t="n"/>
      <c r="K520" s="22" t="n"/>
      <c r="L520" s="70" t="n"/>
      <c r="M520" s="27">
        <f>IF(E520="","",SUMIFS(tbl_Finance[Ex GST],tbl_Finance[Job Number],E520&amp;""))</f>
        <v/>
      </c>
      <c r="N520" s="27">
        <f>IF(J520&lt;&gt;"Won","",IF(E520="",N(I520),I520-M520))</f>
        <v/>
      </c>
      <c r="O520" s="24" t="n"/>
    </row>
    <row r="521" ht="15" customHeight="1">
      <c r="A521" s="70" t="n"/>
      <c r="B521" s="24" t="n"/>
      <c r="C521" s="24" t="n"/>
      <c r="D521" s="24" t="n"/>
      <c r="E521" s="24" t="n"/>
      <c r="F521" s="25">
        <f>IF(E521="","",IF(COUNTIF(lst_Jobs,E521&amp;"")&gt;0,"OK","CHECK"))</f>
        <v/>
      </c>
      <c r="G521" s="24" t="n"/>
      <c r="H521" s="24" t="n"/>
      <c r="I521" s="26" t="n"/>
      <c r="J521" s="24" t="n"/>
      <c r="K521" s="22" t="n"/>
      <c r="L521" s="70" t="n"/>
      <c r="M521" s="27">
        <f>IF(E521="","",SUMIFS(tbl_Finance[Ex GST],tbl_Finance[Job Number],E521&amp;""))</f>
        <v/>
      </c>
      <c r="N521" s="27">
        <f>IF(J521&lt;&gt;"Won","",IF(E521="",N(I521),I521-M521))</f>
        <v/>
      </c>
      <c r="O521" s="24" t="n"/>
    </row>
    <row r="522" ht="15" customHeight="1">
      <c r="A522" s="70" t="n"/>
      <c r="B522" s="24" t="n"/>
      <c r="C522" s="24" t="n"/>
      <c r="D522" s="24" t="n"/>
      <c r="E522" s="24" t="n"/>
      <c r="F522" s="25">
        <f>IF(E522="","",IF(COUNTIF(lst_Jobs,E522&amp;"")&gt;0,"OK","CHECK"))</f>
        <v/>
      </c>
      <c r="G522" s="24" t="n"/>
      <c r="H522" s="24" t="n"/>
      <c r="I522" s="26" t="n"/>
      <c r="J522" s="24" t="n"/>
      <c r="K522" s="22" t="n"/>
      <c r="L522" s="70" t="n"/>
      <c r="M522" s="27">
        <f>IF(E522="","",SUMIFS(tbl_Finance[Ex GST],tbl_Finance[Job Number],E522&amp;""))</f>
        <v/>
      </c>
      <c r="N522" s="27">
        <f>IF(J522&lt;&gt;"Won","",IF(E522="",N(I522),I522-M522))</f>
        <v/>
      </c>
      <c r="O522" s="24" t="n"/>
    </row>
    <row r="523" ht="15" customHeight="1">
      <c r="A523" s="70" t="n"/>
      <c r="B523" s="24" t="n"/>
      <c r="C523" s="24" t="n"/>
      <c r="D523" s="24" t="n"/>
      <c r="E523" s="24" t="n"/>
      <c r="F523" s="25">
        <f>IF(E523="","",IF(COUNTIF(lst_Jobs,E523&amp;"")&gt;0,"OK","CHECK"))</f>
        <v/>
      </c>
      <c r="G523" s="24" t="n"/>
      <c r="H523" s="24" t="n"/>
      <c r="I523" s="26" t="n"/>
      <c r="J523" s="24" t="n"/>
      <c r="K523" s="22" t="n"/>
      <c r="L523" s="70" t="n"/>
      <c r="M523" s="27">
        <f>IF(E523="","",SUMIFS(tbl_Finance[Ex GST],tbl_Finance[Job Number],E523&amp;""))</f>
        <v/>
      </c>
      <c r="N523" s="27">
        <f>IF(J523&lt;&gt;"Won","",IF(E523="",N(I523),I523-M523))</f>
        <v/>
      </c>
      <c r="O523" s="24" t="n"/>
    </row>
    <row r="524" ht="15" customHeight="1">
      <c r="A524" s="70" t="n"/>
      <c r="B524" s="24" t="n"/>
      <c r="C524" s="24" t="n"/>
      <c r="D524" s="24" t="n"/>
      <c r="E524" s="24" t="n"/>
      <c r="F524" s="25">
        <f>IF(E524="","",IF(COUNTIF(lst_Jobs,E524&amp;"")&gt;0,"OK","CHECK"))</f>
        <v/>
      </c>
      <c r="G524" s="24" t="n"/>
      <c r="H524" s="24" t="n"/>
      <c r="I524" s="26" t="n"/>
      <c r="J524" s="24" t="n"/>
      <c r="K524" s="22" t="n"/>
      <c r="L524" s="70" t="n"/>
      <c r="M524" s="27">
        <f>IF(E524="","",SUMIFS(tbl_Finance[Ex GST],tbl_Finance[Job Number],E524&amp;""))</f>
        <v/>
      </c>
      <c r="N524" s="27">
        <f>IF(J524&lt;&gt;"Won","",IF(E524="",N(I524),I524-M524))</f>
        <v/>
      </c>
      <c r="O524" s="24" t="n"/>
    </row>
    <row r="525" ht="15" customHeight="1">
      <c r="A525" s="70" t="n"/>
      <c r="B525" s="24" t="n"/>
      <c r="C525" s="24" t="n"/>
      <c r="D525" s="24" t="n"/>
      <c r="E525" s="24" t="n"/>
      <c r="F525" s="25">
        <f>IF(E525="","",IF(COUNTIF(lst_Jobs,E525&amp;"")&gt;0,"OK","CHECK"))</f>
        <v/>
      </c>
      <c r="G525" s="24" t="n"/>
      <c r="H525" s="24" t="n"/>
      <c r="I525" s="26" t="n"/>
      <c r="J525" s="24" t="n"/>
      <c r="K525" s="22" t="n"/>
      <c r="L525" s="70" t="n"/>
      <c r="M525" s="27">
        <f>IF(E525="","",SUMIFS(tbl_Finance[Ex GST],tbl_Finance[Job Number],E525&amp;""))</f>
        <v/>
      </c>
      <c r="N525" s="27">
        <f>IF(J525&lt;&gt;"Won","",IF(E525="",N(I525),I525-M525))</f>
        <v/>
      </c>
      <c r="O525" s="24" t="n"/>
    </row>
    <row r="526" ht="15" customHeight="1">
      <c r="A526" s="70" t="n"/>
      <c r="B526" s="24" t="n"/>
      <c r="C526" s="24" t="n"/>
      <c r="D526" s="24" t="n"/>
      <c r="E526" s="24" t="n"/>
      <c r="F526" s="25">
        <f>IF(E526="","",IF(COUNTIF(lst_Jobs,E526&amp;"")&gt;0,"OK","CHECK"))</f>
        <v/>
      </c>
      <c r="G526" s="24" t="n"/>
      <c r="H526" s="24" t="n"/>
      <c r="I526" s="26" t="n"/>
      <c r="J526" s="24" t="n"/>
      <c r="K526" s="22" t="n"/>
      <c r="L526" s="70" t="n"/>
      <c r="M526" s="27">
        <f>IF(E526="","",SUMIFS(tbl_Finance[Ex GST],tbl_Finance[Job Number],E526&amp;""))</f>
        <v/>
      </c>
      <c r="N526" s="27">
        <f>IF(J526&lt;&gt;"Won","",IF(E526="",N(I526),I526-M526))</f>
        <v/>
      </c>
      <c r="O526" s="24" t="n"/>
    </row>
    <row r="527" ht="15" customHeight="1">
      <c r="A527" s="70" t="n"/>
      <c r="B527" s="24" t="n"/>
      <c r="C527" s="24" t="n"/>
      <c r="D527" s="24" t="n"/>
      <c r="E527" s="24" t="n"/>
      <c r="F527" s="25">
        <f>IF(E527="","",IF(COUNTIF(lst_Jobs,E527&amp;"")&gt;0,"OK","CHECK"))</f>
        <v/>
      </c>
      <c r="G527" s="24" t="n"/>
      <c r="H527" s="24" t="n"/>
      <c r="I527" s="26" t="n"/>
      <c r="J527" s="24" t="n"/>
      <c r="K527" s="22" t="n"/>
      <c r="L527" s="70" t="n"/>
      <c r="M527" s="27">
        <f>IF(E527="","",SUMIFS(tbl_Finance[Ex GST],tbl_Finance[Job Number],E527&amp;""))</f>
        <v/>
      </c>
      <c r="N527" s="27">
        <f>IF(J527&lt;&gt;"Won","",IF(E527="",N(I527),I527-M527))</f>
        <v/>
      </c>
      <c r="O527" s="24" t="n"/>
    </row>
    <row r="528" ht="15" customHeight="1">
      <c r="A528" s="70" t="n"/>
      <c r="B528" s="24" t="n"/>
      <c r="C528" s="24" t="n"/>
      <c r="D528" s="24" t="n"/>
      <c r="E528" s="24" t="n"/>
      <c r="F528" s="25">
        <f>IF(E528="","",IF(COUNTIF(lst_Jobs,E528&amp;"")&gt;0,"OK","CHECK"))</f>
        <v/>
      </c>
      <c r="G528" s="24" t="n"/>
      <c r="H528" s="24" t="n"/>
      <c r="I528" s="26" t="n"/>
      <c r="J528" s="24" t="n"/>
      <c r="K528" s="22" t="n"/>
      <c r="L528" s="70" t="n"/>
      <c r="M528" s="27">
        <f>IF(E528="","",SUMIFS(tbl_Finance[Ex GST],tbl_Finance[Job Number],E528&amp;""))</f>
        <v/>
      </c>
      <c r="N528" s="27">
        <f>IF(J528&lt;&gt;"Won","",IF(E528="",N(I528),I528-M528))</f>
        <v/>
      </c>
      <c r="O528" s="24" t="n"/>
    </row>
    <row r="529" ht="15" customHeight="1">
      <c r="A529" s="70" t="n"/>
      <c r="B529" s="24" t="n"/>
      <c r="C529" s="24" t="n"/>
      <c r="D529" s="24" t="n"/>
      <c r="E529" s="24" t="n"/>
      <c r="F529" s="25">
        <f>IF(E529="","",IF(COUNTIF(lst_Jobs,E529&amp;"")&gt;0,"OK","CHECK"))</f>
        <v/>
      </c>
      <c r="G529" s="24" t="n"/>
      <c r="H529" s="24" t="n"/>
      <c r="I529" s="26" t="n"/>
      <c r="J529" s="24" t="n"/>
      <c r="K529" s="22" t="n"/>
      <c r="L529" s="70" t="n"/>
      <c r="M529" s="27">
        <f>IF(E529="","",SUMIFS(tbl_Finance[Ex GST],tbl_Finance[Job Number],E529&amp;""))</f>
        <v/>
      </c>
      <c r="N529" s="27">
        <f>IF(J529&lt;&gt;"Won","",IF(E529="",N(I529),I529-M529))</f>
        <v/>
      </c>
      <c r="O529" s="24" t="n"/>
    </row>
    <row r="530" ht="15" customHeight="1">
      <c r="A530" s="70" t="n"/>
      <c r="B530" s="24" t="n"/>
      <c r="C530" s="24" t="n"/>
      <c r="D530" s="24" t="n"/>
      <c r="E530" s="24" t="n"/>
      <c r="F530" s="25">
        <f>IF(E530="","",IF(COUNTIF(lst_Jobs,E530&amp;"")&gt;0,"OK","CHECK"))</f>
        <v/>
      </c>
      <c r="G530" s="24" t="n"/>
      <c r="H530" s="24" t="n"/>
      <c r="I530" s="26" t="n"/>
      <c r="J530" s="24" t="n"/>
      <c r="K530" s="22" t="n"/>
      <c r="L530" s="70" t="n"/>
      <c r="M530" s="27">
        <f>IF(E530="","",SUMIFS(tbl_Finance[Ex GST],tbl_Finance[Job Number],E530&amp;""))</f>
        <v/>
      </c>
      <c r="N530" s="27">
        <f>IF(J530&lt;&gt;"Won","",IF(E530="",N(I530),I530-M530))</f>
        <v/>
      </c>
      <c r="O530" s="24" t="n"/>
    </row>
    <row r="531" ht="15" customHeight="1">
      <c r="A531" s="70" t="n"/>
      <c r="B531" s="24" t="n"/>
      <c r="C531" s="24" t="n"/>
      <c r="D531" s="24" t="n"/>
      <c r="E531" s="24" t="n"/>
      <c r="F531" s="25">
        <f>IF(E531="","",IF(COUNTIF(lst_Jobs,E531&amp;"")&gt;0,"OK","CHECK"))</f>
        <v/>
      </c>
      <c r="G531" s="24" t="n"/>
      <c r="H531" s="24" t="n"/>
      <c r="I531" s="26" t="n"/>
      <c r="J531" s="24" t="n"/>
      <c r="K531" s="22" t="n"/>
      <c r="L531" s="70" t="n"/>
      <c r="M531" s="27">
        <f>IF(E531="","",SUMIFS(tbl_Finance[Ex GST],tbl_Finance[Job Number],E531&amp;""))</f>
        <v/>
      </c>
      <c r="N531" s="27">
        <f>IF(J531&lt;&gt;"Won","",IF(E531="",N(I531),I531-M531))</f>
        <v/>
      </c>
      <c r="O531" s="24" t="n"/>
    </row>
    <row r="532" ht="15" customHeight="1">
      <c r="A532" s="70" t="n"/>
      <c r="B532" s="24" t="n"/>
      <c r="C532" s="24" t="n"/>
      <c r="D532" s="24" t="n"/>
      <c r="E532" s="24" t="n"/>
      <c r="F532" s="25">
        <f>IF(E532="","",IF(COUNTIF(lst_Jobs,E532&amp;"")&gt;0,"OK","CHECK"))</f>
        <v/>
      </c>
      <c r="G532" s="24" t="n"/>
      <c r="H532" s="24" t="n"/>
      <c r="I532" s="26" t="n"/>
      <c r="J532" s="24" t="n"/>
      <c r="K532" s="22" t="n"/>
      <c r="L532" s="70" t="n"/>
      <c r="M532" s="27">
        <f>IF(E532="","",SUMIFS(tbl_Finance[Ex GST],tbl_Finance[Job Number],E532&amp;""))</f>
        <v/>
      </c>
      <c r="N532" s="27">
        <f>IF(J532&lt;&gt;"Won","",IF(E532="",N(I532),I532-M532))</f>
        <v/>
      </c>
      <c r="O532" s="24" t="n"/>
    </row>
    <row r="533" ht="15" customHeight="1">
      <c r="A533" s="70" t="n"/>
      <c r="B533" s="24" t="n"/>
      <c r="C533" s="24" t="n"/>
      <c r="D533" s="24" t="n"/>
      <c r="E533" s="24" t="n"/>
      <c r="F533" s="25">
        <f>IF(E533="","",IF(COUNTIF(lst_Jobs,E533&amp;"")&gt;0,"OK","CHECK"))</f>
        <v/>
      </c>
      <c r="G533" s="24" t="n"/>
      <c r="H533" s="24" t="n"/>
      <c r="I533" s="26" t="n"/>
      <c r="J533" s="24" t="n"/>
      <c r="K533" s="22" t="n"/>
      <c r="L533" s="70" t="n"/>
      <c r="M533" s="27">
        <f>IF(E533="","",SUMIFS(tbl_Finance[Ex GST],tbl_Finance[Job Number],E533&amp;""))</f>
        <v/>
      </c>
      <c r="N533" s="27">
        <f>IF(J533&lt;&gt;"Won","",IF(E533="",N(I533),I533-M533))</f>
        <v/>
      </c>
      <c r="O533" s="24" t="n"/>
    </row>
    <row r="534" ht="15" customHeight="1">
      <c r="A534" s="70" t="n"/>
      <c r="B534" s="24" t="n"/>
      <c r="C534" s="24" t="n"/>
      <c r="D534" s="24" t="n"/>
      <c r="E534" s="24" t="n"/>
      <c r="F534" s="25">
        <f>IF(E534="","",IF(COUNTIF(lst_Jobs,E534&amp;"")&gt;0,"OK","CHECK"))</f>
        <v/>
      </c>
      <c r="G534" s="24" t="n"/>
      <c r="H534" s="24" t="n"/>
      <c r="I534" s="26" t="n"/>
      <c r="J534" s="24" t="n"/>
      <c r="K534" s="22" t="n"/>
      <c r="L534" s="70" t="n"/>
      <c r="M534" s="27">
        <f>IF(E534="","",SUMIFS(tbl_Finance[Ex GST],tbl_Finance[Job Number],E534&amp;""))</f>
        <v/>
      </c>
      <c r="N534" s="27">
        <f>IF(J534&lt;&gt;"Won","",IF(E534="",N(I534),I534-M534))</f>
        <v/>
      </c>
      <c r="O534" s="24" t="n"/>
    </row>
    <row r="535" ht="15" customHeight="1">
      <c r="A535" s="70" t="n"/>
      <c r="B535" s="24" t="n"/>
      <c r="C535" s="24" t="n"/>
      <c r="D535" s="24" t="n"/>
      <c r="E535" s="24" t="n"/>
      <c r="F535" s="25">
        <f>IF(E535="","",IF(COUNTIF(lst_Jobs,E535&amp;"")&gt;0,"OK","CHECK"))</f>
        <v/>
      </c>
      <c r="G535" s="24" t="n"/>
      <c r="H535" s="24" t="n"/>
      <c r="I535" s="26" t="n"/>
      <c r="J535" s="24" t="n"/>
      <c r="K535" s="22" t="n"/>
      <c r="L535" s="70" t="n"/>
      <c r="M535" s="27">
        <f>IF(E535="","",SUMIFS(tbl_Finance[Ex GST],tbl_Finance[Job Number],E535&amp;""))</f>
        <v/>
      </c>
      <c r="N535" s="27">
        <f>IF(J535&lt;&gt;"Won","",IF(E535="",N(I535),I535-M535))</f>
        <v/>
      </c>
      <c r="O535" s="24" t="n"/>
    </row>
    <row r="536" ht="15" customHeight="1">
      <c r="A536" s="70" t="n"/>
      <c r="B536" s="24" t="n"/>
      <c r="C536" s="24" t="n"/>
      <c r="D536" s="24" t="n"/>
      <c r="E536" s="24" t="n"/>
      <c r="F536" s="25">
        <f>IF(E536="","",IF(COUNTIF(lst_Jobs,E536&amp;"")&gt;0,"OK","CHECK"))</f>
        <v/>
      </c>
      <c r="G536" s="24" t="n"/>
      <c r="H536" s="24" t="n"/>
      <c r="I536" s="26" t="n"/>
      <c r="J536" s="24" t="n"/>
      <c r="K536" s="22" t="n"/>
      <c r="L536" s="70" t="n"/>
      <c r="M536" s="27">
        <f>IF(E536="","",SUMIFS(tbl_Finance[Ex GST],tbl_Finance[Job Number],E536&amp;""))</f>
        <v/>
      </c>
      <c r="N536" s="27">
        <f>IF(J536&lt;&gt;"Won","",IF(E536="",N(I536),I536-M536))</f>
        <v/>
      </c>
      <c r="O536" s="24" t="n"/>
    </row>
    <row r="537" ht="15" customHeight="1">
      <c r="A537" s="70" t="n"/>
      <c r="B537" s="24" t="n"/>
      <c r="C537" s="24" t="n"/>
      <c r="D537" s="24" t="n"/>
      <c r="E537" s="24" t="n"/>
      <c r="F537" s="25">
        <f>IF(E537="","",IF(COUNTIF(lst_Jobs,E537&amp;"")&gt;0,"OK","CHECK"))</f>
        <v/>
      </c>
      <c r="G537" s="24" t="n"/>
      <c r="H537" s="24" t="n"/>
      <c r="I537" s="26" t="n"/>
      <c r="J537" s="24" t="n"/>
      <c r="K537" s="22" t="n"/>
      <c r="L537" s="70" t="n"/>
      <c r="M537" s="27">
        <f>IF(E537="","",SUMIFS(tbl_Finance[Ex GST],tbl_Finance[Job Number],E537&amp;""))</f>
        <v/>
      </c>
      <c r="N537" s="27">
        <f>IF(J537&lt;&gt;"Won","",IF(E537="",N(I537),I537-M537))</f>
        <v/>
      </c>
      <c r="O537" s="24" t="n"/>
    </row>
    <row r="538" ht="15" customHeight="1">
      <c r="A538" s="70" t="n"/>
      <c r="B538" s="24" t="n"/>
      <c r="C538" s="24" t="n"/>
      <c r="D538" s="24" t="n"/>
      <c r="E538" s="24" t="n"/>
      <c r="F538" s="25">
        <f>IF(E538="","",IF(COUNTIF(lst_Jobs,E538&amp;"")&gt;0,"OK","CHECK"))</f>
        <v/>
      </c>
      <c r="G538" s="24" t="n"/>
      <c r="H538" s="24" t="n"/>
      <c r="I538" s="26" t="n"/>
      <c r="J538" s="24" t="n"/>
      <c r="K538" s="22" t="n"/>
      <c r="L538" s="70" t="n"/>
      <c r="M538" s="27">
        <f>IF(E538="","",SUMIFS(tbl_Finance[Ex GST],tbl_Finance[Job Number],E538&amp;""))</f>
        <v/>
      </c>
      <c r="N538" s="27">
        <f>IF(J538&lt;&gt;"Won","",IF(E538="",N(I538),I538-M538))</f>
        <v/>
      </c>
      <c r="O538" s="24" t="n"/>
    </row>
    <row r="539" ht="15" customHeight="1">
      <c r="A539" s="70" t="n"/>
      <c r="B539" s="24" t="n"/>
      <c r="C539" s="24" t="n"/>
      <c r="D539" s="24" t="n"/>
      <c r="E539" s="24" t="n"/>
      <c r="F539" s="25">
        <f>IF(E539="","",IF(COUNTIF(lst_Jobs,E539&amp;"")&gt;0,"OK","CHECK"))</f>
        <v/>
      </c>
      <c r="G539" s="24" t="n"/>
      <c r="H539" s="24" t="n"/>
      <c r="I539" s="26" t="n"/>
      <c r="J539" s="24" t="n"/>
      <c r="K539" s="22" t="n"/>
      <c r="L539" s="70" t="n"/>
      <c r="M539" s="27">
        <f>IF(E539="","",SUMIFS(tbl_Finance[Ex GST],tbl_Finance[Job Number],E539&amp;""))</f>
        <v/>
      </c>
      <c r="N539" s="27">
        <f>IF(J539&lt;&gt;"Won","",IF(E539="",N(I539),I539-M539))</f>
        <v/>
      </c>
      <c r="O539" s="24" t="n"/>
    </row>
    <row r="540" ht="15" customHeight="1">
      <c r="A540" s="70" t="n"/>
      <c r="B540" s="24" t="n"/>
      <c r="C540" s="24" t="n"/>
      <c r="D540" s="24" t="n"/>
      <c r="E540" s="24" t="n"/>
      <c r="F540" s="25">
        <f>IF(E540="","",IF(COUNTIF(lst_Jobs,E540&amp;"")&gt;0,"OK","CHECK"))</f>
        <v/>
      </c>
      <c r="G540" s="24" t="n"/>
      <c r="H540" s="24" t="n"/>
      <c r="I540" s="26" t="n"/>
      <c r="J540" s="24" t="n"/>
      <c r="K540" s="22" t="n"/>
      <c r="L540" s="70" t="n"/>
      <c r="M540" s="27">
        <f>IF(E540="","",SUMIFS(tbl_Finance[Ex GST],tbl_Finance[Job Number],E540&amp;""))</f>
        <v/>
      </c>
      <c r="N540" s="27">
        <f>IF(J540&lt;&gt;"Won","",IF(E540="",N(I540),I540-M540))</f>
        <v/>
      </c>
      <c r="O540" s="24" t="n"/>
    </row>
    <row r="541" ht="15" customHeight="1">
      <c r="A541" s="70" t="n"/>
      <c r="B541" s="24" t="n"/>
      <c r="C541" s="24" t="n"/>
      <c r="D541" s="24" t="n"/>
      <c r="E541" s="24" t="n"/>
      <c r="F541" s="25">
        <f>IF(E541="","",IF(COUNTIF(lst_Jobs,E541&amp;"")&gt;0,"OK","CHECK"))</f>
        <v/>
      </c>
      <c r="G541" s="24" t="n"/>
      <c r="H541" s="24" t="n"/>
      <c r="I541" s="26" t="n"/>
      <c r="J541" s="24" t="n"/>
      <c r="K541" s="22" t="n"/>
      <c r="L541" s="70" t="n"/>
      <c r="M541" s="27">
        <f>IF(E541="","",SUMIFS(tbl_Finance[Ex GST],tbl_Finance[Job Number],E541&amp;""))</f>
        <v/>
      </c>
      <c r="N541" s="27">
        <f>IF(J541&lt;&gt;"Won","",IF(E541="",N(I541),I541-M541))</f>
        <v/>
      </c>
      <c r="O541" s="24" t="n"/>
    </row>
    <row r="542" ht="15" customHeight="1">
      <c r="A542" s="70" t="n"/>
      <c r="B542" s="24" t="n"/>
      <c r="C542" s="24" t="n"/>
      <c r="D542" s="24" t="n"/>
      <c r="E542" s="24" t="n"/>
      <c r="F542" s="25">
        <f>IF(E542="","",IF(COUNTIF(lst_Jobs,E542&amp;"")&gt;0,"OK","CHECK"))</f>
        <v/>
      </c>
      <c r="G542" s="24" t="n"/>
      <c r="H542" s="24" t="n"/>
      <c r="I542" s="26" t="n"/>
      <c r="J542" s="24" t="n"/>
      <c r="K542" s="22" t="n"/>
      <c r="L542" s="70" t="n"/>
      <c r="M542" s="27">
        <f>IF(E542="","",SUMIFS(tbl_Finance[Ex GST],tbl_Finance[Job Number],E542&amp;""))</f>
        <v/>
      </c>
      <c r="N542" s="27">
        <f>IF(J542&lt;&gt;"Won","",IF(E542="",N(I542),I542-M542))</f>
        <v/>
      </c>
      <c r="O542" s="24" t="n"/>
    </row>
    <row r="543" ht="15" customHeight="1">
      <c r="A543" s="70" t="n"/>
      <c r="B543" s="24" t="n"/>
      <c r="C543" s="24" t="n"/>
      <c r="D543" s="24" t="n"/>
      <c r="E543" s="24" t="n"/>
      <c r="F543" s="25">
        <f>IF(E543="","",IF(COUNTIF(lst_Jobs,E543&amp;"")&gt;0,"OK","CHECK"))</f>
        <v/>
      </c>
      <c r="G543" s="24" t="n"/>
      <c r="H543" s="24" t="n"/>
      <c r="I543" s="26" t="n"/>
      <c r="J543" s="24" t="n"/>
      <c r="K543" s="22" t="n"/>
      <c r="L543" s="70" t="n"/>
      <c r="M543" s="27">
        <f>IF(E543="","",SUMIFS(tbl_Finance[Ex GST],tbl_Finance[Job Number],E543&amp;""))</f>
        <v/>
      </c>
      <c r="N543" s="27">
        <f>IF(J543&lt;&gt;"Won","",IF(E543="",N(I543),I543-M543))</f>
        <v/>
      </c>
      <c r="O543" s="24" t="n"/>
    </row>
    <row r="544" ht="15" customHeight="1">
      <c r="A544" s="70" t="n"/>
      <c r="B544" s="24" t="n"/>
      <c r="C544" s="24" t="n"/>
      <c r="D544" s="24" t="n"/>
      <c r="E544" s="24" t="n"/>
      <c r="F544" s="25">
        <f>IF(E544="","",IF(COUNTIF(lst_Jobs,E544&amp;"")&gt;0,"OK","CHECK"))</f>
        <v/>
      </c>
      <c r="G544" s="24" t="n"/>
      <c r="H544" s="24" t="n"/>
      <c r="I544" s="26" t="n"/>
      <c r="J544" s="24" t="n"/>
      <c r="K544" s="22" t="n"/>
      <c r="L544" s="70" t="n"/>
      <c r="M544" s="27">
        <f>IF(E544="","",SUMIFS(tbl_Finance[Ex GST],tbl_Finance[Job Number],E544&amp;""))</f>
        <v/>
      </c>
      <c r="N544" s="27">
        <f>IF(J544&lt;&gt;"Won","",IF(E544="",N(I544),I544-M544))</f>
        <v/>
      </c>
      <c r="O544" s="24" t="n"/>
    </row>
    <row r="545" ht="15" customHeight="1">
      <c r="A545" s="70" t="n"/>
      <c r="B545" s="24" t="n"/>
      <c r="C545" s="24" t="n"/>
      <c r="D545" s="24" t="n"/>
      <c r="E545" s="24" t="n"/>
      <c r="F545" s="25">
        <f>IF(E545="","",IF(COUNTIF(lst_Jobs,E545&amp;"")&gt;0,"OK","CHECK"))</f>
        <v/>
      </c>
      <c r="G545" s="24" t="n"/>
      <c r="H545" s="24" t="n"/>
      <c r="I545" s="26" t="n"/>
      <c r="J545" s="24" t="n"/>
      <c r="K545" s="22" t="n"/>
      <c r="L545" s="70" t="n"/>
      <c r="M545" s="27">
        <f>IF(E545="","",SUMIFS(tbl_Finance[Ex GST],tbl_Finance[Job Number],E545&amp;""))</f>
        <v/>
      </c>
      <c r="N545" s="27">
        <f>IF(J545&lt;&gt;"Won","",IF(E545="",N(I545),I545-M545))</f>
        <v/>
      </c>
      <c r="O545" s="24" t="n"/>
    </row>
    <row r="546" ht="15" customHeight="1">
      <c r="A546" s="70" t="n"/>
      <c r="B546" s="24" t="n"/>
      <c r="C546" s="24" t="n"/>
      <c r="D546" s="24" t="n"/>
      <c r="E546" s="24" t="n"/>
      <c r="F546" s="25">
        <f>IF(E546="","",IF(COUNTIF(lst_Jobs,E546&amp;"")&gt;0,"OK","CHECK"))</f>
        <v/>
      </c>
      <c r="G546" s="24" t="n"/>
      <c r="H546" s="24" t="n"/>
      <c r="I546" s="26" t="n"/>
      <c r="J546" s="24" t="n"/>
      <c r="K546" s="22" t="n"/>
      <c r="L546" s="70" t="n"/>
      <c r="M546" s="27">
        <f>IF(E546="","",SUMIFS(tbl_Finance[Ex GST],tbl_Finance[Job Number],E546&amp;""))</f>
        <v/>
      </c>
      <c r="N546" s="27">
        <f>IF(J546&lt;&gt;"Won","",IF(E546="",N(I546),I546-M546))</f>
        <v/>
      </c>
      <c r="O546" s="24" t="n"/>
    </row>
    <row r="547" ht="15" customHeight="1">
      <c r="A547" s="70" t="n"/>
      <c r="B547" s="24" t="n"/>
      <c r="C547" s="24" t="n"/>
      <c r="D547" s="24" t="n"/>
      <c r="E547" s="24" t="n"/>
      <c r="F547" s="25">
        <f>IF(E547="","",IF(COUNTIF(lst_Jobs,E547&amp;"")&gt;0,"OK","CHECK"))</f>
        <v/>
      </c>
      <c r="G547" s="24" t="n"/>
      <c r="H547" s="24" t="n"/>
      <c r="I547" s="26" t="n"/>
      <c r="J547" s="24" t="n"/>
      <c r="K547" s="22" t="n"/>
      <c r="L547" s="70" t="n"/>
      <c r="M547" s="27">
        <f>IF(E547="","",SUMIFS(tbl_Finance[Ex GST],tbl_Finance[Job Number],E547&amp;""))</f>
        <v/>
      </c>
      <c r="N547" s="27">
        <f>IF(J547&lt;&gt;"Won","",IF(E547="",N(I547),I547-M547))</f>
        <v/>
      </c>
      <c r="O547" s="24" t="n"/>
    </row>
    <row r="548" ht="15" customHeight="1">
      <c r="A548" s="70" t="n"/>
      <c r="B548" s="24" t="n"/>
      <c r="C548" s="24" t="n"/>
      <c r="D548" s="24" t="n"/>
      <c r="E548" s="24" t="n"/>
      <c r="F548" s="25">
        <f>IF(E548="","",IF(COUNTIF(lst_Jobs,E548&amp;"")&gt;0,"OK","CHECK"))</f>
        <v/>
      </c>
      <c r="G548" s="24" t="n"/>
      <c r="H548" s="24" t="n"/>
      <c r="I548" s="26" t="n"/>
      <c r="J548" s="24" t="n"/>
      <c r="K548" s="22" t="n"/>
      <c r="L548" s="70" t="n"/>
      <c r="M548" s="27">
        <f>IF(E548="","",SUMIFS(tbl_Finance[Ex GST],tbl_Finance[Job Number],E548&amp;""))</f>
        <v/>
      </c>
      <c r="N548" s="27">
        <f>IF(J548&lt;&gt;"Won","",IF(E548="",N(I548),I548-M548))</f>
        <v/>
      </c>
      <c r="O548" s="24" t="n"/>
    </row>
    <row r="549" ht="15" customHeight="1">
      <c r="A549" s="70" t="n"/>
      <c r="B549" s="24" t="n"/>
      <c r="C549" s="24" t="n"/>
      <c r="D549" s="24" t="n"/>
      <c r="E549" s="24" t="n"/>
      <c r="F549" s="25">
        <f>IF(E549="","",IF(COUNTIF(lst_Jobs,E549&amp;"")&gt;0,"OK","CHECK"))</f>
        <v/>
      </c>
      <c r="G549" s="24" t="n"/>
      <c r="H549" s="24" t="n"/>
      <c r="I549" s="26" t="n"/>
      <c r="J549" s="24" t="n"/>
      <c r="K549" s="22" t="n"/>
      <c r="L549" s="70" t="n"/>
      <c r="M549" s="27">
        <f>IF(E549="","",SUMIFS(tbl_Finance[Ex GST],tbl_Finance[Job Number],E549&amp;""))</f>
        <v/>
      </c>
      <c r="N549" s="27">
        <f>IF(J549&lt;&gt;"Won","",IF(E549="",N(I549),I549-M549))</f>
        <v/>
      </c>
      <c r="O549" s="24" t="n"/>
    </row>
    <row r="550" ht="15" customHeight="1">
      <c r="A550" s="70" t="n"/>
      <c r="B550" s="24" t="n"/>
      <c r="C550" s="24" t="n"/>
      <c r="D550" s="24" t="n"/>
      <c r="E550" s="24" t="n"/>
      <c r="F550" s="25">
        <f>IF(E550="","",IF(COUNTIF(lst_Jobs,E550&amp;"")&gt;0,"OK","CHECK"))</f>
        <v/>
      </c>
      <c r="G550" s="24" t="n"/>
      <c r="H550" s="24" t="n"/>
      <c r="I550" s="26" t="n"/>
      <c r="J550" s="24" t="n"/>
      <c r="K550" s="22" t="n"/>
      <c r="L550" s="70" t="n"/>
      <c r="M550" s="27">
        <f>IF(E550="","",SUMIFS(tbl_Finance[Ex GST],tbl_Finance[Job Number],E550&amp;""))</f>
        <v/>
      </c>
      <c r="N550" s="27">
        <f>IF(J550&lt;&gt;"Won","",IF(E550="",N(I550),I550-M550))</f>
        <v/>
      </c>
      <c r="O550" s="24" t="n"/>
    </row>
    <row r="551" ht="15" customHeight="1">
      <c r="A551" s="70" t="n"/>
      <c r="B551" s="24" t="n"/>
      <c r="C551" s="24" t="n"/>
      <c r="D551" s="24" t="n"/>
      <c r="E551" s="24" t="n"/>
      <c r="F551" s="25">
        <f>IF(E551="","",IF(COUNTIF(lst_Jobs,E551&amp;"")&gt;0,"OK","CHECK"))</f>
        <v/>
      </c>
      <c r="G551" s="24" t="n"/>
      <c r="H551" s="24" t="n"/>
      <c r="I551" s="26" t="n"/>
      <c r="J551" s="24" t="n"/>
      <c r="K551" s="22" t="n"/>
      <c r="L551" s="70" t="n"/>
      <c r="M551" s="27">
        <f>IF(E551="","",SUMIFS(tbl_Finance[Ex GST],tbl_Finance[Job Number],E551&amp;""))</f>
        <v/>
      </c>
      <c r="N551" s="27">
        <f>IF(J551&lt;&gt;"Won","",IF(E551="",N(I551),I551-M551))</f>
        <v/>
      </c>
      <c r="O551" s="24" t="n"/>
    </row>
    <row r="552" ht="15" customHeight="1">
      <c r="A552" s="70" t="n"/>
      <c r="B552" s="24" t="n"/>
      <c r="C552" s="24" t="n"/>
      <c r="D552" s="24" t="n"/>
      <c r="E552" s="24" t="n"/>
      <c r="F552" s="25">
        <f>IF(E552="","",IF(COUNTIF(lst_Jobs,E552&amp;"")&gt;0,"OK","CHECK"))</f>
        <v/>
      </c>
      <c r="G552" s="24" t="n"/>
      <c r="H552" s="24" t="n"/>
      <c r="I552" s="26" t="n"/>
      <c r="J552" s="24" t="n"/>
      <c r="K552" s="22" t="n"/>
      <c r="L552" s="70" t="n"/>
      <c r="M552" s="27">
        <f>IF(E552="","",SUMIFS(tbl_Finance[Ex GST],tbl_Finance[Job Number],E552&amp;""))</f>
        <v/>
      </c>
      <c r="N552" s="27">
        <f>IF(J552&lt;&gt;"Won","",IF(E552="",N(I552),I552-M552))</f>
        <v/>
      </c>
      <c r="O552" s="24" t="n"/>
    </row>
    <row r="553" ht="15" customHeight="1">
      <c r="A553" s="70" t="n"/>
      <c r="B553" s="24" t="n"/>
      <c r="C553" s="24" t="n"/>
      <c r="D553" s="24" t="n"/>
      <c r="E553" s="24" t="n"/>
      <c r="F553" s="25">
        <f>IF(E553="","",IF(COUNTIF(lst_Jobs,E553&amp;"")&gt;0,"OK","CHECK"))</f>
        <v/>
      </c>
      <c r="G553" s="24" t="n"/>
      <c r="H553" s="24" t="n"/>
      <c r="I553" s="26" t="n"/>
      <c r="J553" s="24" t="n"/>
      <c r="K553" s="22" t="n"/>
      <c r="L553" s="70" t="n"/>
      <c r="M553" s="27">
        <f>IF(E553="","",SUMIFS(tbl_Finance[Ex GST],tbl_Finance[Job Number],E553&amp;""))</f>
        <v/>
      </c>
      <c r="N553" s="27">
        <f>IF(J553&lt;&gt;"Won","",IF(E553="",N(I553),I553-M553))</f>
        <v/>
      </c>
      <c r="O553" s="24" t="n"/>
    </row>
    <row r="554" ht="15" customHeight="1">
      <c r="A554" s="70" t="n"/>
      <c r="B554" s="24" t="n"/>
      <c r="C554" s="24" t="n"/>
      <c r="D554" s="24" t="n"/>
      <c r="E554" s="24" t="n"/>
      <c r="F554" s="25">
        <f>IF(E554="","",IF(COUNTIF(lst_Jobs,E554&amp;"")&gt;0,"OK","CHECK"))</f>
        <v/>
      </c>
      <c r="G554" s="24" t="n"/>
      <c r="H554" s="24" t="n"/>
      <c r="I554" s="26" t="n"/>
      <c r="J554" s="24" t="n"/>
      <c r="K554" s="22" t="n"/>
      <c r="L554" s="70" t="n"/>
      <c r="M554" s="27">
        <f>IF(E554="","",SUMIFS(tbl_Finance[Ex GST],tbl_Finance[Job Number],E554&amp;""))</f>
        <v/>
      </c>
      <c r="N554" s="27">
        <f>IF(J554&lt;&gt;"Won","",IF(E554="",N(I554),I554-M554))</f>
        <v/>
      </c>
      <c r="O554" s="24" t="n"/>
    </row>
    <row r="555" ht="15" customHeight="1">
      <c r="A555" s="70" t="n"/>
      <c r="B555" s="24" t="n"/>
      <c r="C555" s="24" t="n"/>
      <c r="D555" s="24" t="n"/>
      <c r="E555" s="24" t="n"/>
      <c r="F555" s="25">
        <f>IF(E555="","",IF(COUNTIF(lst_Jobs,E555&amp;"")&gt;0,"OK","CHECK"))</f>
        <v/>
      </c>
      <c r="G555" s="24" t="n"/>
      <c r="H555" s="24" t="n"/>
      <c r="I555" s="26" t="n"/>
      <c r="J555" s="24" t="n"/>
      <c r="K555" s="22" t="n"/>
      <c r="L555" s="70" t="n"/>
      <c r="M555" s="27">
        <f>IF(E555="","",SUMIFS(tbl_Finance[Ex GST],tbl_Finance[Job Number],E555&amp;""))</f>
        <v/>
      </c>
      <c r="N555" s="27">
        <f>IF(J555&lt;&gt;"Won","",IF(E555="",N(I555),I555-M555))</f>
        <v/>
      </c>
      <c r="O555" s="24" t="n"/>
    </row>
    <row r="556" ht="15" customHeight="1">
      <c r="A556" s="70" t="n"/>
      <c r="B556" s="24" t="n"/>
      <c r="C556" s="24" t="n"/>
      <c r="D556" s="24" t="n"/>
      <c r="E556" s="24" t="n"/>
      <c r="F556" s="25">
        <f>IF(E556="","",IF(COUNTIF(lst_Jobs,E556&amp;"")&gt;0,"OK","CHECK"))</f>
        <v/>
      </c>
      <c r="G556" s="24" t="n"/>
      <c r="H556" s="24" t="n"/>
      <c r="I556" s="26" t="n"/>
      <c r="J556" s="24" t="n"/>
      <c r="K556" s="22" t="n"/>
      <c r="L556" s="70" t="n"/>
      <c r="M556" s="27">
        <f>IF(E556="","",SUMIFS(tbl_Finance[Ex GST],tbl_Finance[Job Number],E556&amp;""))</f>
        <v/>
      </c>
      <c r="N556" s="27">
        <f>IF(J556&lt;&gt;"Won","",IF(E556="",N(I556),I556-M556))</f>
        <v/>
      </c>
      <c r="O556" s="24" t="n"/>
    </row>
    <row r="557" ht="15" customHeight="1">
      <c r="A557" s="70" t="n"/>
      <c r="B557" s="24" t="n"/>
      <c r="C557" s="24" t="n"/>
      <c r="D557" s="24" t="n"/>
      <c r="E557" s="24" t="n"/>
      <c r="F557" s="25">
        <f>IF(E557="","",IF(COUNTIF(lst_Jobs,E557&amp;"")&gt;0,"OK","CHECK"))</f>
        <v/>
      </c>
      <c r="G557" s="24" t="n"/>
      <c r="H557" s="24" t="n"/>
      <c r="I557" s="26" t="n"/>
      <c r="J557" s="24" t="n"/>
      <c r="K557" s="22" t="n"/>
      <c r="L557" s="70" t="n"/>
      <c r="M557" s="27">
        <f>IF(E557="","",SUMIFS(tbl_Finance[Ex GST],tbl_Finance[Job Number],E557&amp;""))</f>
        <v/>
      </c>
      <c r="N557" s="27">
        <f>IF(J557&lt;&gt;"Won","",IF(E557="",N(I557),I557-M557))</f>
        <v/>
      </c>
      <c r="O557" s="24" t="n"/>
    </row>
    <row r="558" ht="15" customHeight="1">
      <c r="A558" s="70" t="n"/>
      <c r="B558" s="24" t="n"/>
      <c r="C558" s="24" t="n"/>
      <c r="D558" s="24" t="n"/>
      <c r="E558" s="24" t="n"/>
      <c r="F558" s="25">
        <f>IF(E558="","",IF(COUNTIF(lst_Jobs,E558&amp;"")&gt;0,"OK","CHECK"))</f>
        <v/>
      </c>
      <c r="G558" s="24" t="n"/>
      <c r="H558" s="24" t="n"/>
      <c r="I558" s="26" t="n"/>
      <c r="J558" s="24" t="n"/>
      <c r="K558" s="22" t="n"/>
      <c r="L558" s="70" t="n"/>
      <c r="M558" s="27">
        <f>IF(E558="","",SUMIFS(tbl_Finance[Ex GST],tbl_Finance[Job Number],E558&amp;""))</f>
        <v/>
      </c>
      <c r="N558" s="27">
        <f>IF(J558&lt;&gt;"Won","",IF(E558="",N(I558),I558-M558))</f>
        <v/>
      </c>
      <c r="O558" s="24" t="n"/>
    </row>
    <row r="559" ht="15" customHeight="1">
      <c r="A559" s="70" t="n"/>
      <c r="B559" s="24" t="n"/>
      <c r="C559" s="24" t="n"/>
      <c r="D559" s="24" t="n"/>
      <c r="E559" s="24" t="n"/>
      <c r="F559" s="25">
        <f>IF(E559="","",IF(COUNTIF(lst_Jobs,E559&amp;"")&gt;0,"OK","CHECK"))</f>
        <v/>
      </c>
      <c r="G559" s="24" t="n"/>
      <c r="H559" s="24" t="n"/>
      <c r="I559" s="26" t="n"/>
      <c r="J559" s="24" t="n"/>
      <c r="K559" s="22" t="n"/>
      <c r="L559" s="70" t="n"/>
      <c r="M559" s="27">
        <f>IF(E559="","",SUMIFS(tbl_Finance[Ex GST],tbl_Finance[Job Number],E559&amp;""))</f>
        <v/>
      </c>
      <c r="N559" s="27">
        <f>IF(J559&lt;&gt;"Won","",IF(E559="",N(I559),I559-M559))</f>
        <v/>
      </c>
      <c r="O559" s="24" t="n"/>
    </row>
    <row r="560" ht="15" customHeight="1">
      <c r="A560" s="70" t="n"/>
      <c r="B560" s="24" t="n"/>
      <c r="C560" s="24" t="n"/>
      <c r="D560" s="24" t="n"/>
      <c r="E560" s="24" t="n"/>
      <c r="F560" s="25">
        <f>IF(E560="","",IF(COUNTIF(lst_Jobs,E560&amp;"")&gt;0,"OK","CHECK"))</f>
        <v/>
      </c>
      <c r="G560" s="24" t="n"/>
      <c r="H560" s="24" t="n"/>
      <c r="I560" s="26" t="n"/>
      <c r="J560" s="24" t="n"/>
      <c r="K560" s="22" t="n"/>
      <c r="L560" s="70" t="n"/>
      <c r="M560" s="27">
        <f>IF(E560="","",SUMIFS(tbl_Finance[Ex GST],tbl_Finance[Job Number],E560&amp;""))</f>
        <v/>
      </c>
      <c r="N560" s="27">
        <f>IF(J560&lt;&gt;"Won","",IF(E560="",N(I560),I560-M560))</f>
        <v/>
      </c>
      <c r="O560" s="24" t="n"/>
    </row>
    <row r="561" ht="15" customHeight="1">
      <c r="A561" s="70" t="n"/>
      <c r="B561" s="24" t="n"/>
      <c r="C561" s="24" t="n"/>
      <c r="D561" s="24" t="n"/>
      <c r="E561" s="24" t="n"/>
      <c r="F561" s="25">
        <f>IF(E561="","",IF(COUNTIF(lst_Jobs,E561&amp;"")&gt;0,"OK","CHECK"))</f>
        <v/>
      </c>
      <c r="G561" s="24" t="n"/>
      <c r="H561" s="24" t="n"/>
      <c r="I561" s="26" t="n"/>
      <c r="J561" s="24" t="n"/>
      <c r="K561" s="22" t="n"/>
      <c r="L561" s="70" t="n"/>
      <c r="M561" s="27">
        <f>IF(E561="","",SUMIFS(tbl_Finance[Ex GST],tbl_Finance[Job Number],E561&amp;""))</f>
        <v/>
      </c>
      <c r="N561" s="27">
        <f>IF(J561&lt;&gt;"Won","",IF(E561="",N(I561),I561-M561))</f>
        <v/>
      </c>
      <c r="O561" s="24" t="n"/>
    </row>
    <row r="562" ht="15" customHeight="1">
      <c r="A562" s="70" t="n"/>
      <c r="B562" s="24" t="n"/>
      <c r="C562" s="24" t="n"/>
      <c r="D562" s="24" t="n"/>
      <c r="E562" s="24" t="n"/>
      <c r="F562" s="25">
        <f>IF(E562="","",IF(COUNTIF(lst_Jobs,E562&amp;"")&gt;0,"OK","CHECK"))</f>
        <v/>
      </c>
      <c r="G562" s="24" t="n"/>
      <c r="H562" s="24" t="n"/>
      <c r="I562" s="26" t="n"/>
      <c r="J562" s="24" t="n"/>
      <c r="K562" s="22" t="n"/>
      <c r="L562" s="70" t="n"/>
      <c r="M562" s="27">
        <f>IF(E562="","",SUMIFS(tbl_Finance[Ex GST],tbl_Finance[Job Number],E562&amp;""))</f>
        <v/>
      </c>
      <c r="N562" s="27">
        <f>IF(J562&lt;&gt;"Won","",IF(E562="",N(I562),I562-M562))</f>
        <v/>
      </c>
      <c r="O562" s="24" t="n"/>
    </row>
    <row r="563" ht="15" customHeight="1">
      <c r="A563" s="70" t="n"/>
      <c r="B563" s="24" t="n"/>
      <c r="C563" s="24" t="n"/>
      <c r="D563" s="24" t="n"/>
      <c r="E563" s="24" t="n"/>
      <c r="F563" s="25">
        <f>IF(E563="","",IF(COUNTIF(lst_Jobs,E563&amp;"")&gt;0,"OK","CHECK"))</f>
        <v/>
      </c>
      <c r="G563" s="24" t="n"/>
      <c r="H563" s="24" t="n"/>
      <c r="I563" s="26" t="n"/>
      <c r="J563" s="24" t="n"/>
      <c r="K563" s="22" t="n"/>
      <c r="L563" s="70" t="n"/>
      <c r="M563" s="27">
        <f>IF(E563="","",SUMIFS(tbl_Finance[Ex GST],tbl_Finance[Job Number],E563&amp;""))</f>
        <v/>
      </c>
      <c r="N563" s="27">
        <f>IF(J563&lt;&gt;"Won","",IF(E563="",N(I563),I563-M563))</f>
        <v/>
      </c>
      <c r="O563" s="24" t="n"/>
    </row>
    <row r="564" ht="15" customHeight="1">
      <c r="A564" s="70" t="n"/>
      <c r="B564" s="24" t="n"/>
      <c r="C564" s="24" t="n"/>
      <c r="D564" s="24" t="n"/>
      <c r="E564" s="24" t="n"/>
      <c r="F564" s="25">
        <f>IF(E564="","",IF(COUNTIF(lst_Jobs,E564&amp;"")&gt;0,"OK","CHECK"))</f>
        <v/>
      </c>
      <c r="G564" s="24" t="n"/>
      <c r="H564" s="24" t="n"/>
      <c r="I564" s="26" t="n"/>
      <c r="J564" s="24" t="n"/>
      <c r="K564" s="22" t="n"/>
      <c r="L564" s="70" t="n"/>
      <c r="M564" s="27">
        <f>IF(E564="","",SUMIFS(tbl_Finance[Ex GST],tbl_Finance[Job Number],E564&amp;""))</f>
        <v/>
      </c>
      <c r="N564" s="27">
        <f>IF(J564&lt;&gt;"Won","",IF(E564="",N(I564),I564-M564))</f>
        <v/>
      </c>
      <c r="O564" s="24" t="n"/>
    </row>
    <row r="565" ht="15" customHeight="1">
      <c r="A565" s="70" t="n"/>
      <c r="B565" s="24" t="n"/>
      <c r="C565" s="24" t="n"/>
      <c r="D565" s="24" t="n"/>
      <c r="E565" s="24" t="n"/>
      <c r="F565" s="25">
        <f>IF(E565="","",IF(COUNTIF(lst_Jobs,E565&amp;"")&gt;0,"OK","CHECK"))</f>
        <v/>
      </c>
      <c r="G565" s="24" t="n"/>
      <c r="H565" s="24" t="n"/>
      <c r="I565" s="26" t="n"/>
      <c r="J565" s="24" t="n"/>
      <c r="K565" s="22" t="n"/>
      <c r="L565" s="70" t="n"/>
      <c r="M565" s="27">
        <f>IF(E565="","",SUMIFS(tbl_Finance[Ex GST],tbl_Finance[Job Number],E565&amp;""))</f>
        <v/>
      </c>
      <c r="N565" s="27">
        <f>IF(J565&lt;&gt;"Won","",IF(E565="",N(I565),I565-M565))</f>
        <v/>
      </c>
      <c r="O565" s="24" t="n"/>
    </row>
    <row r="566" ht="15" customHeight="1">
      <c r="A566" s="70" t="n"/>
      <c r="B566" s="24" t="n"/>
      <c r="C566" s="24" t="n"/>
      <c r="D566" s="24" t="n"/>
      <c r="E566" s="24" t="n"/>
      <c r="F566" s="25">
        <f>IF(E566="","",IF(COUNTIF(lst_Jobs,E566&amp;"")&gt;0,"OK","CHECK"))</f>
        <v/>
      </c>
      <c r="G566" s="24" t="n"/>
      <c r="H566" s="24" t="n"/>
      <c r="I566" s="26" t="n"/>
      <c r="J566" s="24" t="n"/>
      <c r="K566" s="22" t="n"/>
      <c r="L566" s="70" t="n"/>
      <c r="M566" s="27">
        <f>IF(E566="","",SUMIFS(tbl_Finance[Ex GST],tbl_Finance[Job Number],E566&amp;""))</f>
        <v/>
      </c>
      <c r="N566" s="27">
        <f>IF(J566&lt;&gt;"Won","",IF(E566="",N(I566),I566-M566))</f>
        <v/>
      </c>
      <c r="O566" s="24" t="n"/>
    </row>
    <row r="567" ht="15" customHeight="1">
      <c r="A567" s="70" t="n"/>
      <c r="B567" s="24" t="n"/>
      <c r="C567" s="24" t="n"/>
      <c r="D567" s="24" t="n"/>
      <c r="E567" s="24" t="n"/>
      <c r="F567" s="25">
        <f>IF(E567="","",IF(COUNTIF(lst_Jobs,E567&amp;"")&gt;0,"OK","CHECK"))</f>
        <v/>
      </c>
      <c r="G567" s="24" t="n"/>
      <c r="H567" s="24" t="n"/>
      <c r="I567" s="26" t="n"/>
      <c r="J567" s="24" t="n"/>
      <c r="K567" s="22" t="n"/>
      <c r="L567" s="70" t="n"/>
      <c r="M567" s="27">
        <f>IF(E567="","",SUMIFS(tbl_Finance[Ex GST],tbl_Finance[Job Number],E567&amp;""))</f>
        <v/>
      </c>
      <c r="N567" s="27">
        <f>IF(J567&lt;&gt;"Won","",IF(E567="",N(I567),I567-M567))</f>
        <v/>
      </c>
      <c r="O567" s="24" t="n"/>
    </row>
    <row r="568" ht="15" customHeight="1">
      <c r="A568" s="70" t="n"/>
      <c r="B568" s="24" t="n"/>
      <c r="C568" s="24" t="n"/>
      <c r="D568" s="24" t="n"/>
      <c r="E568" s="24" t="n"/>
      <c r="F568" s="25">
        <f>IF(E568="","",IF(COUNTIF(lst_Jobs,E568&amp;"")&gt;0,"OK","CHECK"))</f>
        <v/>
      </c>
      <c r="G568" s="24" t="n"/>
      <c r="H568" s="24" t="n"/>
      <c r="I568" s="26" t="n"/>
      <c r="J568" s="24" t="n"/>
      <c r="K568" s="22" t="n"/>
      <c r="L568" s="70" t="n"/>
      <c r="M568" s="27">
        <f>IF(E568="","",SUMIFS(tbl_Finance[Ex GST],tbl_Finance[Job Number],E568&amp;""))</f>
        <v/>
      </c>
      <c r="N568" s="27">
        <f>IF(J568&lt;&gt;"Won","",IF(E568="",N(I568),I568-M568))</f>
        <v/>
      </c>
      <c r="O568" s="24" t="n"/>
    </row>
    <row r="569" ht="15" customHeight="1">
      <c r="A569" s="70" t="n"/>
      <c r="B569" s="24" t="n"/>
      <c r="C569" s="24" t="n"/>
      <c r="D569" s="24" t="n"/>
      <c r="E569" s="24" t="n"/>
      <c r="F569" s="25">
        <f>IF(E569="","",IF(COUNTIF(lst_Jobs,E569&amp;"")&gt;0,"OK","CHECK"))</f>
        <v/>
      </c>
      <c r="G569" s="24" t="n"/>
      <c r="H569" s="24" t="n"/>
      <c r="I569" s="26" t="n"/>
      <c r="J569" s="24" t="n"/>
      <c r="K569" s="22" t="n"/>
      <c r="L569" s="70" t="n"/>
      <c r="M569" s="27">
        <f>IF(E569="","",SUMIFS(tbl_Finance[Ex GST],tbl_Finance[Job Number],E569&amp;""))</f>
        <v/>
      </c>
      <c r="N569" s="27">
        <f>IF(J569&lt;&gt;"Won","",IF(E569="",N(I569),I569-M569))</f>
        <v/>
      </c>
      <c r="O569" s="24" t="n"/>
    </row>
    <row r="570" ht="15" customHeight="1">
      <c r="A570" s="70" t="n"/>
      <c r="B570" s="24" t="n"/>
      <c r="C570" s="24" t="n"/>
      <c r="D570" s="24" t="n"/>
      <c r="E570" s="24" t="n"/>
      <c r="F570" s="25">
        <f>IF(E570="","",IF(COUNTIF(lst_Jobs,E570&amp;"")&gt;0,"OK","CHECK"))</f>
        <v/>
      </c>
      <c r="G570" s="24" t="n"/>
      <c r="H570" s="24" t="n"/>
      <c r="I570" s="26" t="n"/>
      <c r="J570" s="24" t="n"/>
      <c r="K570" s="22" t="n"/>
      <c r="L570" s="70" t="n"/>
      <c r="M570" s="27">
        <f>IF(E570="","",SUMIFS(tbl_Finance[Ex GST],tbl_Finance[Job Number],E570&amp;""))</f>
        <v/>
      </c>
      <c r="N570" s="27">
        <f>IF(J570&lt;&gt;"Won","",IF(E570="",N(I570),I570-M570))</f>
        <v/>
      </c>
      <c r="O570" s="24" t="n"/>
    </row>
    <row r="571" ht="15" customHeight="1">
      <c r="A571" s="70" t="n"/>
      <c r="B571" s="24" t="n"/>
      <c r="C571" s="24" t="n"/>
      <c r="D571" s="24" t="n"/>
      <c r="E571" s="24" t="n"/>
      <c r="F571" s="25">
        <f>IF(E571="","",IF(COUNTIF(lst_Jobs,E571&amp;"")&gt;0,"OK","CHECK"))</f>
        <v/>
      </c>
      <c r="G571" s="24" t="n"/>
      <c r="H571" s="24" t="n"/>
      <c r="I571" s="26" t="n"/>
      <c r="J571" s="24" t="n"/>
      <c r="K571" s="22" t="n"/>
      <c r="L571" s="70" t="n"/>
      <c r="M571" s="27">
        <f>IF(E571="","",SUMIFS(tbl_Finance[Ex GST],tbl_Finance[Job Number],E571&amp;""))</f>
        <v/>
      </c>
      <c r="N571" s="27">
        <f>IF(J571&lt;&gt;"Won","",IF(E571="",N(I571),I571-M571))</f>
        <v/>
      </c>
      <c r="O571" s="24" t="n"/>
    </row>
    <row r="572" ht="15" customHeight="1">
      <c r="A572" s="70" t="n"/>
      <c r="B572" s="24" t="n"/>
      <c r="C572" s="24" t="n"/>
      <c r="D572" s="24" t="n"/>
      <c r="E572" s="24" t="n"/>
      <c r="F572" s="25">
        <f>IF(E572="","",IF(COUNTIF(lst_Jobs,E572&amp;"")&gt;0,"OK","CHECK"))</f>
        <v/>
      </c>
      <c r="G572" s="24" t="n"/>
      <c r="H572" s="24" t="n"/>
      <c r="I572" s="26" t="n"/>
      <c r="J572" s="24" t="n"/>
      <c r="K572" s="22" t="n"/>
      <c r="L572" s="70" t="n"/>
      <c r="M572" s="27">
        <f>IF(E572="","",SUMIFS(tbl_Finance[Ex GST],tbl_Finance[Job Number],E572&amp;""))</f>
        <v/>
      </c>
      <c r="N572" s="27">
        <f>IF(J572&lt;&gt;"Won","",IF(E572="",N(I572),I572-M572))</f>
        <v/>
      </c>
      <c r="O572" s="24" t="n"/>
    </row>
    <row r="573" ht="15" customHeight="1">
      <c r="A573" s="70" t="n"/>
      <c r="B573" s="24" t="n"/>
      <c r="C573" s="24" t="n"/>
      <c r="D573" s="24" t="n"/>
      <c r="E573" s="24" t="n"/>
      <c r="F573" s="25">
        <f>IF(E573="","",IF(COUNTIF(lst_Jobs,E573&amp;"")&gt;0,"OK","CHECK"))</f>
        <v/>
      </c>
      <c r="G573" s="24" t="n"/>
      <c r="H573" s="24" t="n"/>
      <c r="I573" s="26" t="n"/>
      <c r="J573" s="24" t="n"/>
      <c r="K573" s="22" t="n"/>
      <c r="L573" s="70" t="n"/>
      <c r="M573" s="27">
        <f>IF(E573="","",SUMIFS(tbl_Finance[Ex GST],tbl_Finance[Job Number],E573&amp;""))</f>
        <v/>
      </c>
      <c r="N573" s="27">
        <f>IF(J573&lt;&gt;"Won","",IF(E573="",N(I573),I573-M573))</f>
        <v/>
      </c>
      <c r="O573" s="24" t="n"/>
    </row>
    <row r="574" ht="15" customHeight="1">
      <c r="A574" s="70" t="n"/>
      <c r="B574" s="24" t="n"/>
      <c r="C574" s="24" t="n"/>
      <c r="D574" s="24" t="n"/>
      <c r="E574" s="24" t="n"/>
      <c r="F574" s="25">
        <f>IF(E574="","",IF(COUNTIF(lst_Jobs,E574&amp;"")&gt;0,"OK","CHECK"))</f>
        <v/>
      </c>
      <c r="G574" s="24" t="n"/>
      <c r="H574" s="24" t="n"/>
      <c r="I574" s="26" t="n"/>
      <c r="J574" s="24" t="n"/>
      <c r="K574" s="22" t="n"/>
      <c r="L574" s="70" t="n"/>
      <c r="M574" s="27">
        <f>IF(E574="","",SUMIFS(tbl_Finance[Ex GST],tbl_Finance[Job Number],E574&amp;""))</f>
        <v/>
      </c>
      <c r="N574" s="27">
        <f>IF(J574&lt;&gt;"Won","",IF(E574="",N(I574),I574-M574))</f>
        <v/>
      </c>
      <c r="O574" s="24" t="n"/>
    </row>
    <row r="575" ht="15" customHeight="1">
      <c r="A575" s="70" t="n"/>
      <c r="B575" s="24" t="n"/>
      <c r="C575" s="24" t="n"/>
      <c r="D575" s="24" t="n"/>
      <c r="E575" s="24" t="n"/>
      <c r="F575" s="25">
        <f>IF(E575="","",IF(COUNTIF(lst_Jobs,E575&amp;"")&gt;0,"OK","CHECK"))</f>
        <v/>
      </c>
      <c r="G575" s="24" t="n"/>
      <c r="H575" s="24" t="n"/>
      <c r="I575" s="26" t="n"/>
      <c r="J575" s="24" t="n"/>
      <c r="K575" s="22" t="n"/>
      <c r="L575" s="70" t="n"/>
      <c r="M575" s="27">
        <f>IF(E575="","",SUMIFS(tbl_Finance[Ex GST],tbl_Finance[Job Number],E575&amp;""))</f>
        <v/>
      </c>
      <c r="N575" s="27">
        <f>IF(J575&lt;&gt;"Won","",IF(E575="",N(I575),I575-M575))</f>
        <v/>
      </c>
      <c r="O575" s="24" t="n"/>
    </row>
    <row r="576" ht="15" customHeight="1">
      <c r="A576" s="70" t="n"/>
      <c r="B576" s="24" t="n"/>
      <c r="C576" s="24" t="n"/>
      <c r="D576" s="24" t="n"/>
      <c r="E576" s="24" t="n"/>
      <c r="F576" s="25">
        <f>IF(E576="","",IF(COUNTIF(lst_Jobs,E576&amp;"")&gt;0,"OK","CHECK"))</f>
        <v/>
      </c>
      <c r="G576" s="24" t="n"/>
      <c r="H576" s="24" t="n"/>
      <c r="I576" s="26" t="n"/>
      <c r="J576" s="24" t="n"/>
      <c r="K576" s="22" t="n"/>
      <c r="L576" s="70" t="n"/>
      <c r="M576" s="27">
        <f>IF(E576="","",SUMIFS(tbl_Finance[Ex GST],tbl_Finance[Job Number],E576&amp;""))</f>
        <v/>
      </c>
      <c r="N576" s="27">
        <f>IF(J576&lt;&gt;"Won","",IF(E576="",N(I576),I576-M576))</f>
        <v/>
      </c>
      <c r="O576" s="24" t="n"/>
    </row>
    <row r="577" ht="15" customHeight="1">
      <c r="A577" s="70" t="n"/>
      <c r="B577" s="24" t="n"/>
      <c r="C577" s="24" t="n"/>
      <c r="D577" s="24" t="n"/>
      <c r="E577" s="24" t="n"/>
      <c r="F577" s="25">
        <f>IF(E577="","",IF(COUNTIF(lst_Jobs,E577&amp;"")&gt;0,"OK","CHECK"))</f>
        <v/>
      </c>
      <c r="G577" s="24" t="n"/>
      <c r="H577" s="24" t="n"/>
      <c r="I577" s="26" t="n"/>
      <c r="J577" s="24" t="n"/>
      <c r="K577" s="22" t="n"/>
      <c r="L577" s="70" t="n"/>
      <c r="M577" s="27">
        <f>IF(E577="","",SUMIFS(tbl_Finance[Ex GST],tbl_Finance[Job Number],E577&amp;""))</f>
        <v/>
      </c>
      <c r="N577" s="27">
        <f>IF(J577&lt;&gt;"Won","",IF(E577="",N(I577),I577-M577))</f>
        <v/>
      </c>
      <c r="O577" s="24" t="n"/>
    </row>
    <row r="578" ht="15" customHeight="1">
      <c r="A578" s="70" t="n"/>
      <c r="B578" s="24" t="n"/>
      <c r="C578" s="24" t="n"/>
      <c r="D578" s="24" t="n"/>
      <c r="E578" s="24" t="n"/>
      <c r="F578" s="25">
        <f>IF(E578="","",IF(COUNTIF(lst_Jobs,E578&amp;"")&gt;0,"OK","CHECK"))</f>
        <v/>
      </c>
      <c r="G578" s="24" t="n"/>
      <c r="H578" s="24" t="n"/>
      <c r="I578" s="26" t="n"/>
      <c r="J578" s="24" t="n"/>
      <c r="K578" s="22" t="n"/>
      <c r="L578" s="70" t="n"/>
      <c r="M578" s="27">
        <f>IF(E578="","",SUMIFS(tbl_Finance[Ex GST],tbl_Finance[Job Number],E578&amp;""))</f>
        <v/>
      </c>
      <c r="N578" s="27">
        <f>IF(J578&lt;&gt;"Won","",IF(E578="",N(I578),I578-M578))</f>
        <v/>
      </c>
      <c r="O578" s="24" t="n"/>
    </row>
    <row r="579" ht="15" customHeight="1">
      <c r="A579" s="70" t="n"/>
      <c r="B579" s="24" t="n"/>
      <c r="C579" s="24" t="n"/>
      <c r="D579" s="24" t="n"/>
      <c r="E579" s="24" t="n"/>
      <c r="F579" s="25">
        <f>IF(E579="","",IF(COUNTIF(lst_Jobs,E579&amp;"")&gt;0,"OK","CHECK"))</f>
        <v/>
      </c>
      <c r="G579" s="24" t="n"/>
      <c r="H579" s="24" t="n"/>
      <c r="I579" s="26" t="n"/>
      <c r="J579" s="24" t="n"/>
      <c r="K579" s="22" t="n"/>
      <c r="L579" s="70" t="n"/>
      <c r="M579" s="27">
        <f>IF(E579="","",SUMIFS(tbl_Finance[Ex GST],tbl_Finance[Job Number],E579&amp;""))</f>
        <v/>
      </c>
      <c r="N579" s="27">
        <f>IF(J579&lt;&gt;"Won","",IF(E579="",N(I579),I579-M579))</f>
        <v/>
      </c>
      <c r="O579" s="24" t="n"/>
    </row>
    <row r="580" ht="15" customHeight="1">
      <c r="A580" s="70" t="n"/>
      <c r="B580" s="24" t="n"/>
      <c r="C580" s="24" t="n"/>
      <c r="D580" s="24" t="n"/>
      <c r="E580" s="24" t="n"/>
      <c r="F580" s="25">
        <f>IF(E580="","",IF(COUNTIF(lst_Jobs,E580&amp;"")&gt;0,"OK","CHECK"))</f>
        <v/>
      </c>
      <c r="G580" s="24" t="n"/>
      <c r="H580" s="24" t="n"/>
      <c r="I580" s="26" t="n"/>
      <c r="J580" s="24" t="n"/>
      <c r="K580" s="22" t="n"/>
      <c r="L580" s="70" t="n"/>
      <c r="M580" s="27">
        <f>IF(E580="","",SUMIFS(tbl_Finance[Ex GST],tbl_Finance[Job Number],E580&amp;""))</f>
        <v/>
      </c>
      <c r="N580" s="27">
        <f>IF(J580&lt;&gt;"Won","",IF(E580="",N(I580),I580-M580))</f>
        <v/>
      </c>
      <c r="O580" s="24" t="n"/>
    </row>
    <row r="581" ht="15" customHeight="1">
      <c r="A581" s="70" t="n"/>
      <c r="B581" s="24" t="n"/>
      <c r="C581" s="24" t="n"/>
      <c r="D581" s="24" t="n"/>
      <c r="E581" s="24" t="n"/>
      <c r="F581" s="25">
        <f>IF(E581="","",IF(COUNTIF(lst_Jobs,E581&amp;"")&gt;0,"OK","CHECK"))</f>
        <v/>
      </c>
      <c r="G581" s="24" t="n"/>
      <c r="H581" s="24" t="n"/>
      <c r="I581" s="26" t="n"/>
      <c r="J581" s="24" t="n"/>
      <c r="K581" s="22" t="n"/>
      <c r="L581" s="70" t="n"/>
      <c r="M581" s="27">
        <f>IF(E581="","",SUMIFS(tbl_Finance[Ex GST],tbl_Finance[Job Number],E581&amp;""))</f>
        <v/>
      </c>
      <c r="N581" s="27">
        <f>IF(J581&lt;&gt;"Won","",IF(E581="",N(I581),I581-M581))</f>
        <v/>
      </c>
      <c r="O581" s="24" t="n"/>
    </row>
    <row r="582" ht="15" customHeight="1">
      <c r="A582" s="70" t="n"/>
      <c r="B582" s="24" t="n"/>
      <c r="C582" s="24" t="n"/>
      <c r="D582" s="24" t="n"/>
      <c r="E582" s="24" t="n"/>
      <c r="F582" s="25">
        <f>IF(E582="","",IF(COUNTIF(lst_Jobs,E582&amp;"")&gt;0,"OK","CHECK"))</f>
        <v/>
      </c>
      <c r="G582" s="24" t="n"/>
      <c r="H582" s="24" t="n"/>
      <c r="I582" s="26" t="n"/>
      <c r="J582" s="24" t="n"/>
      <c r="K582" s="22" t="n"/>
      <c r="L582" s="70" t="n"/>
      <c r="M582" s="27">
        <f>IF(E582="","",SUMIFS(tbl_Finance[Ex GST],tbl_Finance[Job Number],E582&amp;""))</f>
        <v/>
      </c>
      <c r="N582" s="27">
        <f>IF(J582&lt;&gt;"Won","",IF(E582="",N(I582),I582-M582))</f>
        <v/>
      </c>
      <c r="O582" s="24" t="n"/>
    </row>
    <row r="583" ht="15" customHeight="1">
      <c r="A583" s="70" t="n"/>
      <c r="B583" s="24" t="n"/>
      <c r="C583" s="24" t="n"/>
      <c r="D583" s="24" t="n"/>
      <c r="E583" s="24" t="n"/>
      <c r="F583" s="25">
        <f>IF(E583="","",IF(COUNTIF(lst_Jobs,E583&amp;"")&gt;0,"OK","CHECK"))</f>
        <v/>
      </c>
      <c r="G583" s="24" t="n"/>
      <c r="H583" s="24" t="n"/>
      <c r="I583" s="26" t="n"/>
      <c r="J583" s="24" t="n"/>
      <c r="K583" s="22" t="n"/>
      <c r="L583" s="70" t="n"/>
      <c r="M583" s="27">
        <f>IF(E583="","",SUMIFS(tbl_Finance[Ex GST],tbl_Finance[Job Number],E583&amp;""))</f>
        <v/>
      </c>
      <c r="N583" s="27">
        <f>IF(J583&lt;&gt;"Won","",IF(E583="",N(I583),I583-M583))</f>
        <v/>
      </c>
      <c r="O583" s="24" t="n"/>
    </row>
    <row r="584" ht="15" customHeight="1">
      <c r="A584" s="70" t="n"/>
      <c r="B584" s="24" t="n"/>
      <c r="C584" s="24" t="n"/>
      <c r="D584" s="24" t="n"/>
      <c r="E584" s="24" t="n"/>
      <c r="F584" s="25">
        <f>IF(E584="","",IF(COUNTIF(lst_Jobs,E584&amp;"")&gt;0,"OK","CHECK"))</f>
        <v/>
      </c>
      <c r="G584" s="24" t="n"/>
      <c r="H584" s="24" t="n"/>
      <c r="I584" s="26" t="n"/>
      <c r="J584" s="24" t="n"/>
      <c r="K584" s="22" t="n"/>
      <c r="L584" s="70" t="n"/>
      <c r="M584" s="27">
        <f>IF(E584="","",SUMIFS(tbl_Finance[Ex GST],tbl_Finance[Job Number],E584&amp;""))</f>
        <v/>
      </c>
      <c r="N584" s="27">
        <f>IF(J584&lt;&gt;"Won","",IF(E584="",N(I584),I584-M584))</f>
        <v/>
      </c>
      <c r="O584" s="24" t="n"/>
    </row>
    <row r="585" ht="15" customHeight="1">
      <c r="A585" s="70" t="n"/>
      <c r="B585" s="24" t="n"/>
      <c r="C585" s="24" t="n"/>
      <c r="D585" s="24" t="n"/>
      <c r="E585" s="24" t="n"/>
      <c r="F585" s="25">
        <f>IF(E585="","",IF(COUNTIF(lst_Jobs,E585&amp;"")&gt;0,"OK","CHECK"))</f>
        <v/>
      </c>
      <c r="G585" s="24" t="n"/>
      <c r="H585" s="24" t="n"/>
      <c r="I585" s="26" t="n"/>
      <c r="J585" s="24" t="n"/>
      <c r="K585" s="22" t="n"/>
      <c r="L585" s="70" t="n"/>
      <c r="M585" s="27">
        <f>IF(E585="","",SUMIFS(tbl_Finance[Ex GST],tbl_Finance[Job Number],E585&amp;""))</f>
        <v/>
      </c>
      <c r="N585" s="27">
        <f>IF(J585&lt;&gt;"Won","",IF(E585="",N(I585),I585-M585))</f>
        <v/>
      </c>
      <c r="O585" s="24" t="n"/>
    </row>
    <row r="586" ht="15" customHeight="1">
      <c r="A586" s="70" t="n"/>
      <c r="B586" s="24" t="n"/>
      <c r="C586" s="24" t="n"/>
      <c r="D586" s="24" t="n"/>
      <c r="E586" s="24" t="n"/>
      <c r="F586" s="25">
        <f>IF(E586="","",IF(COUNTIF(lst_Jobs,E586&amp;"")&gt;0,"OK","CHECK"))</f>
        <v/>
      </c>
      <c r="G586" s="24" t="n"/>
      <c r="H586" s="24" t="n"/>
      <c r="I586" s="26" t="n"/>
      <c r="J586" s="24" t="n"/>
      <c r="K586" s="22" t="n"/>
      <c r="L586" s="70" t="n"/>
      <c r="M586" s="27">
        <f>IF(E586="","",SUMIFS(tbl_Finance[Ex GST],tbl_Finance[Job Number],E586&amp;""))</f>
        <v/>
      </c>
      <c r="N586" s="27">
        <f>IF(J586&lt;&gt;"Won","",IF(E586="",N(I586),I586-M586))</f>
        <v/>
      </c>
      <c r="O586" s="24" t="n"/>
    </row>
    <row r="587" ht="15" customHeight="1">
      <c r="A587" s="70" t="n"/>
      <c r="B587" s="24" t="n"/>
      <c r="C587" s="24" t="n"/>
      <c r="D587" s="24" t="n"/>
      <c r="E587" s="24" t="n"/>
      <c r="F587" s="25">
        <f>IF(E587="","",IF(COUNTIF(lst_Jobs,E587&amp;"")&gt;0,"OK","CHECK"))</f>
        <v/>
      </c>
      <c r="G587" s="24" t="n"/>
      <c r="H587" s="24" t="n"/>
      <c r="I587" s="26" t="n"/>
      <c r="J587" s="24" t="n"/>
      <c r="K587" s="22" t="n"/>
      <c r="L587" s="70" t="n"/>
      <c r="M587" s="27">
        <f>IF(E587="","",SUMIFS(tbl_Finance[Ex GST],tbl_Finance[Job Number],E587&amp;""))</f>
        <v/>
      </c>
      <c r="N587" s="27">
        <f>IF(J587&lt;&gt;"Won","",IF(E587="",N(I587),I587-M587))</f>
        <v/>
      </c>
      <c r="O587" s="24" t="n"/>
    </row>
    <row r="588" ht="15" customHeight="1">
      <c r="A588" s="70" t="n"/>
      <c r="B588" s="24" t="n"/>
      <c r="C588" s="24" t="n"/>
      <c r="D588" s="24" t="n"/>
      <c r="E588" s="24" t="n"/>
      <c r="F588" s="25">
        <f>IF(E588="","",IF(COUNTIF(lst_Jobs,E588&amp;"")&gt;0,"OK","CHECK"))</f>
        <v/>
      </c>
      <c r="G588" s="24" t="n"/>
      <c r="H588" s="24" t="n"/>
      <c r="I588" s="26" t="n"/>
      <c r="J588" s="24" t="n"/>
      <c r="K588" s="22" t="n"/>
      <c r="L588" s="70" t="n"/>
      <c r="M588" s="27">
        <f>IF(E588="","",SUMIFS(tbl_Finance[Ex GST],tbl_Finance[Job Number],E588&amp;""))</f>
        <v/>
      </c>
      <c r="N588" s="27">
        <f>IF(J588&lt;&gt;"Won","",IF(E588="",N(I588),I588-M588))</f>
        <v/>
      </c>
      <c r="O588" s="24" t="n"/>
    </row>
    <row r="589" ht="15" customHeight="1">
      <c r="A589" s="70" t="n"/>
      <c r="B589" s="24" t="n"/>
      <c r="C589" s="24" t="n"/>
      <c r="D589" s="24" t="n"/>
      <c r="E589" s="24" t="n"/>
      <c r="F589" s="25">
        <f>IF(E589="","",IF(COUNTIF(lst_Jobs,E589&amp;"")&gt;0,"OK","CHECK"))</f>
        <v/>
      </c>
      <c r="G589" s="24" t="n"/>
      <c r="H589" s="24" t="n"/>
      <c r="I589" s="26" t="n"/>
      <c r="J589" s="24" t="n"/>
      <c r="K589" s="22" t="n"/>
      <c r="L589" s="70" t="n"/>
      <c r="M589" s="27">
        <f>IF(E589="","",SUMIFS(tbl_Finance[Ex GST],tbl_Finance[Job Number],E589&amp;""))</f>
        <v/>
      </c>
      <c r="N589" s="27">
        <f>IF(J589&lt;&gt;"Won","",IF(E589="",N(I589),I589-M589))</f>
        <v/>
      </c>
      <c r="O589" s="24" t="n"/>
    </row>
    <row r="590" ht="15" customHeight="1">
      <c r="A590" s="70" t="n"/>
      <c r="B590" s="24" t="n"/>
      <c r="C590" s="24" t="n"/>
      <c r="D590" s="24" t="n"/>
      <c r="E590" s="24" t="n"/>
      <c r="F590" s="25">
        <f>IF(E590="","",IF(COUNTIF(lst_Jobs,E590&amp;"")&gt;0,"OK","CHECK"))</f>
        <v/>
      </c>
      <c r="G590" s="24" t="n"/>
      <c r="H590" s="24" t="n"/>
      <c r="I590" s="26" t="n"/>
      <c r="J590" s="24" t="n"/>
      <c r="K590" s="22" t="n"/>
      <c r="L590" s="70" t="n"/>
      <c r="M590" s="27">
        <f>IF(E590="","",SUMIFS(tbl_Finance[Ex GST],tbl_Finance[Job Number],E590&amp;""))</f>
        <v/>
      </c>
      <c r="N590" s="27">
        <f>IF(J590&lt;&gt;"Won","",IF(E590="",N(I590),I590-M590))</f>
        <v/>
      </c>
      <c r="O590" s="24" t="n"/>
    </row>
    <row r="591" ht="15" customHeight="1">
      <c r="A591" s="70" t="n"/>
      <c r="B591" s="24" t="n"/>
      <c r="C591" s="24" t="n"/>
      <c r="D591" s="24" t="n"/>
      <c r="E591" s="24" t="n"/>
      <c r="F591" s="25">
        <f>IF(E591="","",IF(COUNTIF(lst_Jobs,E591&amp;"")&gt;0,"OK","CHECK"))</f>
        <v/>
      </c>
      <c r="G591" s="24" t="n"/>
      <c r="H591" s="24" t="n"/>
      <c r="I591" s="26" t="n"/>
      <c r="J591" s="24" t="n"/>
      <c r="K591" s="22" t="n"/>
      <c r="L591" s="70" t="n"/>
      <c r="M591" s="27">
        <f>IF(E591="","",SUMIFS(tbl_Finance[Ex GST],tbl_Finance[Job Number],E591&amp;""))</f>
        <v/>
      </c>
      <c r="N591" s="27">
        <f>IF(J591&lt;&gt;"Won","",IF(E591="",N(I591),I591-M591))</f>
        <v/>
      </c>
      <c r="O591" s="24" t="n"/>
    </row>
    <row r="592" ht="15" customHeight="1">
      <c r="A592" s="70" t="n"/>
      <c r="B592" s="24" t="n"/>
      <c r="C592" s="24" t="n"/>
      <c r="D592" s="24" t="n"/>
      <c r="E592" s="24" t="n"/>
      <c r="F592" s="25">
        <f>IF(E592="","",IF(COUNTIF(lst_Jobs,E592&amp;"")&gt;0,"OK","CHECK"))</f>
        <v/>
      </c>
      <c r="G592" s="24" t="n"/>
      <c r="H592" s="24" t="n"/>
      <c r="I592" s="26" t="n"/>
      <c r="J592" s="24" t="n"/>
      <c r="K592" s="22" t="n"/>
      <c r="L592" s="70" t="n"/>
      <c r="M592" s="27">
        <f>IF(E592="","",SUMIFS(tbl_Finance[Ex GST],tbl_Finance[Job Number],E592&amp;""))</f>
        <v/>
      </c>
      <c r="N592" s="27">
        <f>IF(J592&lt;&gt;"Won","",IF(E592="",N(I592),I592-M592))</f>
        <v/>
      </c>
      <c r="O592" s="24" t="n"/>
    </row>
    <row r="593" ht="15" customHeight="1">
      <c r="A593" s="70" t="n"/>
      <c r="B593" s="24" t="n"/>
      <c r="C593" s="24" t="n"/>
      <c r="D593" s="24" t="n"/>
      <c r="E593" s="24" t="n"/>
      <c r="F593" s="25">
        <f>IF(E593="","",IF(COUNTIF(lst_Jobs,E593&amp;"")&gt;0,"OK","CHECK"))</f>
        <v/>
      </c>
      <c r="G593" s="24" t="n"/>
      <c r="H593" s="24" t="n"/>
      <c r="I593" s="26" t="n"/>
      <c r="J593" s="24" t="n"/>
      <c r="K593" s="22" t="n"/>
      <c r="L593" s="70" t="n"/>
      <c r="M593" s="27">
        <f>IF(E593="","",SUMIFS(tbl_Finance[Ex GST],tbl_Finance[Job Number],E593&amp;""))</f>
        <v/>
      </c>
      <c r="N593" s="27">
        <f>IF(J593&lt;&gt;"Won","",IF(E593="",N(I593),I593-M593))</f>
        <v/>
      </c>
      <c r="O593" s="24" t="n"/>
    </row>
    <row r="594" ht="15" customHeight="1">
      <c r="A594" s="70" t="n"/>
      <c r="B594" s="24" t="n"/>
      <c r="C594" s="24" t="n"/>
      <c r="D594" s="24" t="n"/>
      <c r="E594" s="24" t="n"/>
      <c r="F594" s="25">
        <f>IF(E594="","",IF(COUNTIF(lst_Jobs,E594&amp;"")&gt;0,"OK","CHECK"))</f>
        <v/>
      </c>
      <c r="G594" s="24" t="n"/>
      <c r="H594" s="24" t="n"/>
      <c r="I594" s="26" t="n"/>
      <c r="J594" s="24" t="n"/>
      <c r="K594" s="22" t="n"/>
      <c r="L594" s="70" t="n"/>
      <c r="M594" s="27">
        <f>IF(E594="","",SUMIFS(tbl_Finance[Ex GST],tbl_Finance[Job Number],E594&amp;""))</f>
        <v/>
      </c>
      <c r="N594" s="27">
        <f>IF(J594&lt;&gt;"Won","",IF(E594="",N(I594),I594-M594))</f>
        <v/>
      </c>
      <c r="O594" s="24" t="n"/>
    </row>
    <row r="595" ht="15" customHeight="1">
      <c r="A595" s="70" t="n"/>
      <c r="B595" s="24" t="n"/>
      <c r="C595" s="24" t="n"/>
      <c r="D595" s="24" t="n"/>
      <c r="E595" s="24" t="n"/>
      <c r="F595" s="25">
        <f>IF(E595="","",IF(COUNTIF(lst_Jobs,E595&amp;"")&gt;0,"OK","CHECK"))</f>
        <v/>
      </c>
      <c r="G595" s="24" t="n"/>
      <c r="H595" s="24" t="n"/>
      <c r="I595" s="26" t="n"/>
      <c r="J595" s="24" t="n"/>
      <c r="K595" s="22" t="n"/>
      <c r="L595" s="70" t="n"/>
      <c r="M595" s="27">
        <f>IF(E595="","",SUMIFS(tbl_Finance[Ex GST],tbl_Finance[Job Number],E595&amp;""))</f>
        <v/>
      </c>
      <c r="N595" s="27">
        <f>IF(J595&lt;&gt;"Won","",IF(E595="",N(I595),I595-M595))</f>
        <v/>
      </c>
      <c r="O595" s="24" t="n"/>
    </row>
    <row r="596" ht="15" customHeight="1">
      <c r="A596" s="70" t="n"/>
      <c r="B596" s="24" t="n"/>
      <c r="C596" s="24" t="n"/>
      <c r="D596" s="24" t="n"/>
      <c r="E596" s="24" t="n"/>
      <c r="F596" s="25">
        <f>IF(E596="","",IF(COUNTIF(lst_Jobs,E596&amp;"")&gt;0,"OK","CHECK"))</f>
        <v/>
      </c>
      <c r="G596" s="24" t="n"/>
      <c r="H596" s="24" t="n"/>
      <c r="I596" s="26" t="n"/>
      <c r="J596" s="24" t="n"/>
      <c r="K596" s="22" t="n"/>
      <c r="L596" s="70" t="n"/>
      <c r="M596" s="27">
        <f>IF(E596="","",SUMIFS(tbl_Finance[Ex GST],tbl_Finance[Job Number],E596&amp;""))</f>
        <v/>
      </c>
      <c r="N596" s="27">
        <f>IF(J596&lt;&gt;"Won","",IF(E596="",N(I596),I596-M596))</f>
        <v/>
      </c>
      <c r="O596" s="24" t="n"/>
    </row>
    <row r="597" ht="15" customHeight="1">
      <c r="A597" s="70" t="n"/>
      <c r="B597" s="24" t="n"/>
      <c r="C597" s="24" t="n"/>
      <c r="D597" s="24" t="n"/>
      <c r="E597" s="24" t="n"/>
      <c r="F597" s="25">
        <f>IF(E597="","",IF(COUNTIF(lst_Jobs,E597&amp;"")&gt;0,"OK","CHECK"))</f>
        <v/>
      </c>
      <c r="G597" s="24" t="n"/>
      <c r="H597" s="24" t="n"/>
      <c r="I597" s="26" t="n"/>
      <c r="J597" s="24" t="n"/>
      <c r="K597" s="22" t="n"/>
      <c r="L597" s="70" t="n"/>
      <c r="M597" s="27">
        <f>IF(E597="","",SUMIFS(tbl_Finance[Ex GST],tbl_Finance[Job Number],E597&amp;""))</f>
        <v/>
      </c>
      <c r="N597" s="27">
        <f>IF(J597&lt;&gt;"Won","",IF(E597="",N(I597),I597-M597))</f>
        <v/>
      </c>
      <c r="O597" s="24" t="n"/>
    </row>
    <row r="598" ht="15" customHeight="1">
      <c r="A598" s="70" t="n"/>
      <c r="B598" s="24" t="n"/>
      <c r="C598" s="24" t="n"/>
      <c r="D598" s="24" t="n"/>
      <c r="E598" s="24" t="n"/>
      <c r="F598" s="25">
        <f>IF(E598="","",IF(COUNTIF(lst_Jobs,E598&amp;"")&gt;0,"OK","CHECK"))</f>
        <v/>
      </c>
      <c r="G598" s="24" t="n"/>
      <c r="H598" s="24" t="n"/>
      <c r="I598" s="26" t="n"/>
      <c r="J598" s="24" t="n"/>
      <c r="K598" s="22" t="n"/>
      <c r="L598" s="70" t="n"/>
      <c r="M598" s="27">
        <f>IF(E598="","",SUMIFS(tbl_Finance[Ex GST],tbl_Finance[Job Number],E598&amp;""))</f>
        <v/>
      </c>
      <c r="N598" s="27">
        <f>IF(J598&lt;&gt;"Won","",IF(E598="",N(I598),I598-M598))</f>
        <v/>
      </c>
      <c r="O598" s="24" t="n"/>
    </row>
    <row r="599" ht="15" customHeight="1">
      <c r="A599" s="70" t="n"/>
      <c r="B599" s="24" t="n"/>
      <c r="C599" s="24" t="n"/>
      <c r="D599" s="24" t="n"/>
      <c r="E599" s="24" t="n"/>
      <c r="F599" s="25">
        <f>IF(E599="","",IF(COUNTIF(lst_Jobs,E599&amp;"")&gt;0,"OK","CHECK"))</f>
        <v/>
      </c>
      <c r="G599" s="24" t="n"/>
      <c r="H599" s="24" t="n"/>
      <c r="I599" s="26" t="n"/>
      <c r="J599" s="24" t="n"/>
      <c r="K599" s="22" t="n"/>
      <c r="L599" s="70" t="n"/>
      <c r="M599" s="27">
        <f>IF(E599="","",SUMIFS(tbl_Finance[Ex GST],tbl_Finance[Job Number],E599&amp;""))</f>
        <v/>
      </c>
      <c r="N599" s="27">
        <f>IF(J599&lt;&gt;"Won","",IF(E599="",N(I599),I599-M599))</f>
        <v/>
      </c>
      <c r="O599" s="24" t="n"/>
    </row>
    <row r="600" ht="15" customHeight="1">
      <c r="A600" s="70" t="n"/>
      <c r="B600" s="24" t="n"/>
      <c r="C600" s="24" t="n"/>
      <c r="D600" s="24" t="n"/>
      <c r="E600" s="24" t="n"/>
      <c r="F600" s="25">
        <f>IF(E600="","",IF(COUNTIF(lst_Jobs,E600&amp;"")&gt;0,"OK","CHECK"))</f>
        <v/>
      </c>
      <c r="G600" s="24" t="n"/>
      <c r="H600" s="24" t="n"/>
      <c r="I600" s="26" t="n"/>
      <c r="J600" s="24" t="n"/>
      <c r="K600" s="22" t="n"/>
      <c r="L600" s="70" t="n"/>
      <c r="M600" s="27">
        <f>IF(E600="","",SUMIFS(tbl_Finance[Ex GST],tbl_Finance[Job Number],E600&amp;""))</f>
        <v/>
      </c>
      <c r="N600" s="27">
        <f>IF(J600&lt;&gt;"Won","",IF(E600="",N(I600),I600-M600))</f>
        <v/>
      </c>
      <c r="O600" s="24" t="n"/>
    </row>
    <row r="601" ht="15" customHeight="1">
      <c r="A601" s="70" t="n"/>
      <c r="B601" s="24" t="n"/>
      <c r="C601" s="24" t="n"/>
      <c r="D601" s="24" t="n"/>
      <c r="E601" s="24" t="n"/>
      <c r="F601" s="25">
        <f>IF(E601="","",IF(COUNTIF(lst_Jobs,E601&amp;"")&gt;0,"OK","CHECK"))</f>
        <v/>
      </c>
      <c r="G601" s="24" t="n"/>
      <c r="H601" s="24" t="n"/>
      <c r="I601" s="26" t="n"/>
      <c r="J601" s="24" t="n"/>
      <c r="K601" s="22" t="n"/>
      <c r="L601" s="70" t="n"/>
      <c r="M601" s="27">
        <f>IF(E601="","",SUMIFS(tbl_Finance[Ex GST],tbl_Finance[Job Number],E601&amp;""))</f>
        <v/>
      </c>
      <c r="N601" s="27">
        <f>IF(J601&lt;&gt;"Won","",IF(E601="",N(I601),I601-M601))</f>
        <v/>
      </c>
      <c r="O601" s="24" t="n"/>
    </row>
    <row r="602" ht="15" customHeight="1">
      <c r="A602" s="70" t="n"/>
      <c r="B602" s="24" t="n"/>
      <c r="C602" s="24" t="n"/>
      <c r="D602" s="24" t="n"/>
      <c r="E602" s="24" t="n"/>
      <c r="F602" s="25">
        <f>IF(E602="","",IF(COUNTIF(lst_Jobs,E602&amp;"")&gt;0,"OK","CHECK"))</f>
        <v/>
      </c>
      <c r="G602" s="24" t="n"/>
      <c r="H602" s="24" t="n"/>
      <c r="I602" s="26" t="n"/>
      <c r="J602" s="24" t="n"/>
      <c r="K602" s="22" t="n"/>
      <c r="L602" s="70" t="n"/>
      <c r="M602" s="27">
        <f>IF(E602="","",SUMIFS(tbl_Finance[Ex GST],tbl_Finance[Job Number],E602&amp;""))</f>
        <v/>
      </c>
      <c r="N602" s="27">
        <f>IF(J602&lt;&gt;"Won","",IF(E602="",N(I602),I602-M602))</f>
        <v/>
      </c>
      <c r="O602" s="24" t="n"/>
    </row>
    <row r="603" ht="15" customHeight="1">
      <c r="A603" s="70" t="n"/>
      <c r="B603" s="24" t="n"/>
      <c r="C603" s="24" t="n"/>
      <c r="D603" s="24" t="n"/>
      <c r="E603" s="24" t="n"/>
      <c r="F603" s="25">
        <f>IF(E603="","",IF(COUNTIF(lst_Jobs,E603&amp;"")&gt;0,"OK","CHECK"))</f>
        <v/>
      </c>
      <c r="G603" s="24" t="n"/>
      <c r="H603" s="24" t="n"/>
      <c r="I603" s="26" t="n"/>
      <c r="J603" s="24" t="n"/>
      <c r="K603" s="22" t="n"/>
      <c r="L603" s="70" t="n"/>
      <c r="M603" s="27">
        <f>IF(E603="","",SUMIFS(tbl_Finance[Ex GST],tbl_Finance[Job Number],E603&amp;""))</f>
        <v/>
      </c>
      <c r="N603" s="27">
        <f>IF(J603&lt;&gt;"Won","",IF(E603="",N(I603),I603-M603))</f>
        <v/>
      </c>
      <c r="O603" s="24" t="n"/>
    </row>
    <row r="604" ht="15" customHeight="1">
      <c r="A604" s="70" t="n"/>
      <c r="B604" s="24" t="n"/>
      <c r="C604" s="24" t="n"/>
      <c r="D604" s="24" t="n"/>
      <c r="E604" s="24" t="n"/>
      <c r="F604" s="25">
        <f>IF(E604="","",IF(COUNTIF(lst_Jobs,E604&amp;"")&gt;0,"OK","CHECK"))</f>
        <v/>
      </c>
      <c r="G604" s="24" t="n"/>
      <c r="H604" s="24" t="n"/>
      <c r="I604" s="26" t="n"/>
      <c r="J604" s="24" t="n"/>
      <c r="K604" s="22" t="n"/>
      <c r="L604" s="70" t="n"/>
      <c r="M604" s="27">
        <f>IF(E604="","",SUMIFS(tbl_Finance[Ex GST],tbl_Finance[Job Number],E604&amp;""))</f>
        <v/>
      </c>
      <c r="N604" s="27">
        <f>IF(J604&lt;&gt;"Won","",IF(E604="",N(I604),I604-M604))</f>
        <v/>
      </c>
      <c r="O604" s="24" t="n"/>
    </row>
  </sheetData>
  <sheetProtection selectLockedCells="0" selectUnlockedCells="0" sheet="1" objects="0" insertRows="0" insertHyperlinks="1" autoFilter="0" scenarios="0" formatColumns="0" deleteColumns="1" insertColumns="1" pivotTables="1" deleteRows="1" formatCells="0" formatRows="0" sort="0" password="DE92"/>
  <mergeCells count="1">
    <mergeCell ref="A3:L3"/>
  </mergeCells>
  <conditionalFormatting sqref="F5:F5000">
    <cfRule type="expression" priority="1" dxfId="0" stopIfTrue="0">
      <formula>F5="CHECK"</formula>
    </cfRule>
  </conditionalFormatting>
  <dataValidations count="3">
    <dataValidation sqref="B5:B20000" showDropDown="0" showInputMessage="0" showErrorMessage="1" allowBlank="1" errorTitle="Not on the list" error="&quot;Source&quot; is not on the list in the Lists sheet. Add it there if it is genuinely new." type="list" errorStyle="warning">
      <formula1>lst_WonSource</formula1>
    </dataValidation>
    <dataValidation sqref="G5:G20000" showDropDown="0" showInputMessage="0" showErrorMessage="1" allowBlank="1" errorTitle="Not on the list" error="&quot;Cost Centre&quot; is not on the list in the Lists sheet. Add it there if it is genuinely new." type="list" errorStyle="warning">
      <formula1>lst_CostCentre</formula1>
    </dataValidation>
    <dataValidation sqref="J5:J20000" showDropDown="0" showInputMessage="0" showErrorMessage="1" allowBlank="1" errorTitle="Not on the list" error="&quot;Status&quot; is not on the list in the Lists sheet. Add it there if it is genuinely new." type="list" errorStyle="warning">
      <formula1>lst_WonStatus</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A6A6A6"/>
    <outlinePr summaryBelow="1" summaryRight="1"/>
    <pageSetUpPr/>
  </sheetPr>
  <dimension ref="A1:U427"/>
  <sheetViews>
    <sheetView showGridLines="0" tabSelected="0" zoomScale="90" workbookViewId="0">
      <pane ySplit="4" topLeftCell="A5" activePane="bottomLeft" state="frozen"/>
      <selection pane="bottomLeft" activeCell="A1" sqref="A1"/>
    </sheetView>
  </sheetViews>
  <sheetFormatPr baseColWidth="8" defaultRowHeight="15"/>
  <cols>
    <col width="15" customWidth="1" min="1" max="1"/>
    <col width="17" customWidth="1" min="2" max="2"/>
    <col width="15" customWidth="1" min="3" max="3"/>
    <col width="20" customWidth="1" min="4" max="4"/>
    <col width="14" customWidth="1" min="5" max="5"/>
    <col width="16" customWidth="1" min="6" max="6"/>
    <col width="37" customWidth="1" min="7" max="7"/>
    <col width="15" customWidth="1" min="8" max="8"/>
    <col width="14" customWidth="1" min="9" max="9"/>
    <col width="19" customWidth="1" min="10" max="10"/>
    <col width="13" customWidth="1" min="11" max="11"/>
    <col width="36" customWidth="1" min="12" max="12"/>
    <col width="19" customWidth="1" min="13" max="13"/>
    <col width="18" customWidth="1" min="14" max="14"/>
    <col width="19" customWidth="1" min="15" max="15"/>
    <col width="16" customWidth="1" min="16" max="16"/>
    <col width="48" customWidth="1" min="17" max="17"/>
    <col width="14" customWidth="1" min="18" max="18"/>
    <col width="26" customWidth="1" min="20" max="20"/>
    <col width="44" customWidth="1" min="21" max="21"/>
  </cols>
  <sheetData>
    <row r="1" ht="24" customHeight="1">
      <c r="A1" s="18" t="inlineStr">
        <is>
          <t>Reference Lists</t>
        </is>
      </c>
    </row>
    <row r="2" ht="16" customHeight="1">
      <c r="A2" s="2" t="inlineStr">
        <is>
          <t>Every dropdown in this workbook reads from here. Add a value to the bottom of a list and it appears in the dropdowns - no macros, nothing to re-run.</t>
        </is>
      </c>
    </row>
    <row r="3" ht="6" customHeight="1"/>
    <row r="4" ht="30" customHeight="1">
      <c r="A4" s="21" t="inlineStr">
        <is>
          <t>Cost Centre</t>
        </is>
      </c>
      <c r="B4" s="21" t="inlineStr">
        <is>
          <t>Invoice Type</t>
        </is>
      </c>
      <c r="C4" s="21" t="inlineStr">
        <is>
          <t>Tax Code</t>
        </is>
      </c>
      <c r="D4" s="21" t="inlineStr">
        <is>
          <t>Status</t>
        </is>
      </c>
      <c r="E4" s="21" t="inlineStr">
        <is>
          <t>Yes / No</t>
        </is>
      </c>
      <c r="F4" s="21" t="inlineStr">
        <is>
          <t>Ariba Status</t>
        </is>
      </c>
      <c r="G4" s="21" t="inlineStr">
        <is>
          <t>WIP Movement Type</t>
        </is>
      </c>
      <c r="H4" s="21" t="inlineStr">
        <is>
          <t>WIP GL Code</t>
        </is>
      </c>
      <c r="I4" s="21" t="inlineStr">
        <is>
          <t>Team</t>
        </is>
      </c>
      <c r="J4" t="inlineStr">
        <is>
          <t>Revenue or Cost</t>
        </is>
      </c>
      <c r="K4" s="21" t="inlineStr">
        <is>
          <t>Revenue GL</t>
        </is>
      </c>
      <c r="L4" s="21" t="inlineStr">
        <is>
          <t>GL Account Name (from Xero)</t>
        </is>
      </c>
      <c r="M4" t="inlineStr">
        <is>
          <t>Work Won Source</t>
        </is>
      </c>
      <c r="N4" s="21" t="inlineStr">
        <is>
          <t>Month (period end)</t>
        </is>
      </c>
      <c r="O4" t="inlineStr">
        <is>
          <t>Work Won Status</t>
        </is>
      </c>
      <c r="P4" s="21" t="inlineStr">
        <is>
          <t>Job Number</t>
        </is>
      </c>
      <c r="Q4" s="21" t="inlineStr">
        <is>
          <t>Job Name (from Xero)</t>
        </is>
      </c>
      <c r="R4" s="21" t="inlineStr">
        <is>
          <t>CC</t>
        </is>
      </c>
      <c r="T4" s="21" t="inlineStr">
        <is>
          <t>Settings</t>
        </is>
      </c>
    </row>
    <row r="5">
      <c r="A5" s="71" t="inlineStr">
        <is>
          <t>ONSITE</t>
        </is>
      </c>
      <c r="B5" s="71" t="inlineStr">
        <is>
          <t>Contract</t>
        </is>
      </c>
      <c r="C5" s="71" t="inlineStr">
        <is>
          <t>GST 10%</t>
        </is>
      </c>
      <c r="D5" s="71" t="inlineStr">
        <is>
          <t>To Invoice</t>
        </is>
      </c>
      <c r="E5" s="71" t="inlineStr">
        <is>
          <t>Y</t>
        </is>
      </c>
      <c r="F5" s="71" t="inlineStr">
        <is>
          <t>N/A</t>
        </is>
      </c>
      <c r="G5" s="71" t="inlineStr">
        <is>
          <t>Accrual - unbilled work</t>
        </is>
      </c>
      <c r="H5" s="71" t="inlineStr">
        <is>
          <t>11300</t>
        </is>
      </c>
      <c r="I5" s="71" t="inlineStr">
        <is>
          <t>Onsite</t>
        </is>
      </c>
      <c r="J5" s="71" t="inlineStr">
        <is>
          <t>Revenue</t>
        </is>
      </c>
      <c r="K5" s="71" t="inlineStr">
        <is>
          <t>41100</t>
        </is>
      </c>
      <c r="L5" s="71" t="inlineStr">
        <is>
          <t>Contract Support Staff</t>
        </is>
      </c>
      <c r="M5" s="71" t="inlineStr">
        <is>
          <t>ZOHO</t>
        </is>
      </c>
      <c r="N5" s="72" t="n">
        <v>45138</v>
      </c>
      <c r="O5" s="71" t="inlineStr">
        <is>
          <t>Won</t>
        </is>
      </c>
      <c r="P5" s="71" t="inlineStr">
        <is>
          <t>1144</t>
        </is>
      </c>
      <c r="Q5" s="71" t="inlineStr">
        <is>
          <t>Bankwest PER Half Tech</t>
        </is>
      </c>
      <c r="R5" s="71" t="inlineStr">
        <is>
          <t>ONSITE</t>
        </is>
      </c>
      <c r="T5" s="45" t="inlineStr">
        <is>
          <t>Qwilr base address</t>
        </is>
      </c>
      <c r="U5" s="73" t="inlineStr">
        <is>
          <t>https://cts.qwilr.com/</t>
        </is>
      </c>
    </row>
    <row r="6">
      <c r="A6" s="71" t="inlineStr">
        <is>
          <t>PRODUCTION</t>
        </is>
      </c>
      <c r="B6" s="71" t="inlineStr">
        <is>
          <t>Chargeback</t>
        </is>
      </c>
      <c r="C6" s="71" t="inlineStr">
        <is>
          <t>GST Free</t>
        </is>
      </c>
      <c r="D6" s="71" t="inlineStr">
        <is>
          <t>Draft</t>
        </is>
      </c>
      <c r="E6" s="71" t="inlineStr">
        <is>
          <t>N</t>
        </is>
      </c>
      <c r="F6" s="71" t="inlineStr">
        <is>
          <t>Awaiting PO</t>
        </is>
      </c>
      <c r="G6" s="71" t="inlineStr">
        <is>
          <t>Reversal of prior accrual</t>
        </is>
      </c>
      <c r="H6" s="71" t="inlineStr">
        <is>
          <t>44100</t>
        </is>
      </c>
      <c r="I6" s="71" t="inlineStr">
        <is>
          <t>Production</t>
        </is>
      </c>
      <c r="J6" s="71" t="inlineStr">
        <is>
          <t>Cost</t>
        </is>
      </c>
      <c r="K6" s="71" t="inlineStr">
        <is>
          <t>41150</t>
        </is>
      </c>
      <c r="L6" s="71" t="inlineStr">
        <is>
          <t>Mobile Phone Plans</t>
        </is>
      </c>
      <c r="M6" s="71" t="inlineStr">
        <is>
          <t>Current RMS</t>
        </is>
      </c>
      <c r="N6" s="72" t="n">
        <v>45169</v>
      </c>
      <c r="O6" s="71" t="inlineStr">
        <is>
          <t>Open</t>
        </is>
      </c>
      <c r="P6" s="71" t="inlineStr">
        <is>
          <t>1350</t>
        </is>
      </c>
      <c r="Q6" s="71" t="inlineStr">
        <is>
          <t>CBA Brisbane ONS</t>
        </is>
      </c>
      <c r="R6" s="71" t="inlineStr">
        <is>
          <t>ONSITE</t>
        </is>
      </c>
      <c r="T6" s="45" t="inlineStr">
        <is>
          <t>Current RMS base address</t>
        </is>
      </c>
      <c r="U6" s="73" t="inlineStr"/>
    </row>
    <row r="7">
      <c r="A7" s="71" t="inlineStr">
        <is>
          <t>VIDEO</t>
        </is>
      </c>
      <c r="B7" s="71" t="inlineStr">
        <is>
          <t>Ad-hoc</t>
        </is>
      </c>
      <c r="C7" s="71" t="inlineStr">
        <is>
          <t>Export (0%)</t>
        </is>
      </c>
      <c r="D7" s="71" t="inlineStr">
        <is>
          <t>Awaiting Approval</t>
        </is>
      </c>
      <c r="E7" s="71" t="inlineStr">
        <is>
          <t>N/A</t>
        </is>
      </c>
      <c r="F7" s="71" t="inlineStr">
        <is>
          <t>To Upload</t>
        </is>
      </c>
      <c r="G7" s="71" t="inlineStr">
        <is>
          <t>Deferral - invoiced in advance</t>
        </is>
      </c>
      <c r="H7" s="71" t="inlineStr">
        <is>
          <t>44200</t>
        </is>
      </c>
      <c r="I7" s="71" t="inlineStr">
        <is>
          <t>Consulting</t>
        </is>
      </c>
      <c r="K7" s="71" t="inlineStr">
        <is>
          <t>41175</t>
        </is>
      </c>
      <c r="L7" s="71" t="inlineStr">
        <is>
          <t>Subscriptions &amp; Licences - Income</t>
        </is>
      </c>
      <c r="M7" s="71" t="inlineStr">
        <is>
          <t>Qwilr</t>
        </is>
      </c>
      <c r="N7" s="72" t="n">
        <v>45199</v>
      </c>
      <c r="O7" s="71" t="inlineStr">
        <is>
          <t>Lost</t>
        </is>
      </c>
      <c r="P7" s="71" t="inlineStr">
        <is>
          <t>1400</t>
        </is>
      </c>
      <c r="Q7" s="71" t="inlineStr">
        <is>
          <t>DTTL Mel Tech FT 2</t>
        </is>
      </c>
      <c r="R7" s="71" t="inlineStr">
        <is>
          <t>ONSITE</t>
        </is>
      </c>
      <c r="T7" s="32" t="inlineStr">
        <is>
          <t>Optional. Paste the whole Current RMS address straight onto the Production sheet and it links without this. Fill this in only if you would rather type the bare opportunity number - end it with a slash.</t>
        </is>
      </c>
    </row>
    <row r="8">
      <c r="A8" s="71" t="inlineStr">
        <is>
          <t>INTEGRATION</t>
        </is>
      </c>
      <c r="B8" s="71" t="inlineStr">
        <is>
          <t>Project</t>
        </is>
      </c>
      <c r="C8" s="71" t="inlineStr">
        <is>
          <t>BAS Excluded</t>
        </is>
      </c>
      <c r="D8" s="71" t="inlineStr">
        <is>
          <t>Invoiced</t>
        </is>
      </c>
      <c r="F8" s="71" t="inlineStr">
        <is>
          <t>Uploaded</t>
        </is>
      </c>
      <c r="G8" s="71" t="inlineStr">
        <is>
          <t>Release of deferral</t>
        </is>
      </c>
      <c r="I8" s="71" t="inlineStr">
        <is>
          <t>Other</t>
        </is>
      </c>
      <c r="K8" s="71" t="inlineStr">
        <is>
          <t>41200</t>
        </is>
      </c>
      <c r="L8" s="71" t="inlineStr">
        <is>
          <t>Contract Maintenance</t>
        </is>
      </c>
      <c r="M8" s="71" t="inlineStr">
        <is>
          <t>Other</t>
        </is>
      </c>
      <c r="N8" s="72" t="n">
        <v>45230</v>
      </c>
      <c r="O8" s="71" t="inlineStr">
        <is>
          <t>Cancelled</t>
        </is>
      </c>
      <c r="P8" s="71" t="inlineStr">
        <is>
          <t>1401</t>
        </is>
      </c>
      <c r="Q8" s="71" t="inlineStr">
        <is>
          <t>DTTL SYD FT Tech 2</t>
        </is>
      </c>
      <c r="R8" s="71" t="inlineStr">
        <is>
          <t>ONSITE</t>
        </is>
      </c>
      <c r="T8" s="45" t="inlineStr">
        <is>
          <t>GST rate</t>
        </is>
      </c>
      <c r="U8" s="74" t="n">
        <v>0.1</v>
      </c>
    </row>
    <row r="9">
      <c r="A9" s="71" t="inlineStr">
        <is>
          <t>CONSULTING</t>
        </is>
      </c>
      <c r="B9" s="71" t="inlineStr">
        <is>
          <t>Progress Claim</t>
        </is>
      </c>
      <c r="D9" s="71" t="inlineStr">
        <is>
          <t>Sent</t>
        </is>
      </c>
      <c r="F9" s="71" t="inlineStr">
        <is>
          <t>Approved</t>
        </is>
      </c>
      <c r="G9" s="71" t="inlineStr">
        <is>
          <t>Deferred cost - paid in advance</t>
        </is>
      </c>
      <c r="K9" s="71" t="inlineStr">
        <is>
          <t>41500</t>
        </is>
      </c>
      <c r="L9" s="71" t="inlineStr">
        <is>
          <t>Contract Help Desk</t>
        </is>
      </c>
      <c r="N9" s="72" t="n">
        <v>45260</v>
      </c>
      <c r="P9" s="71" t="inlineStr">
        <is>
          <t>1530</t>
        </is>
      </c>
      <c r="Q9" s="71" t="inlineStr">
        <is>
          <t>DTTL BNE Onsite</t>
        </is>
      </c>
      <c r="R9" s="71" t="inlineStr">
        <is>
          <t>ONSITE</t>
        </is>
      </c>
      <c r="T9" t="inlineStr">
        <is>
          <t>WIP balance sheet account</t>
        </is>
      </c>
      <c r="U9" s="55" t="inlineStr">
        <is>
          <t>11300 Work in Progress</t>
        </is>
      </c>
    </row>
    <row r="10">
      <c r="A10" s="71" t="inlineStr">
        <is>
          <t>CTS</t>
        </is>
      </c>
      <c r="B10" s="71" t="inlineStr">
        <is>
          <t>Milestone</t>
        </is>
      </c>
      <c r="D10" s="71" t="inlineStr">
        <is>
          <t>Paid</t>
        </is>
      </c>
      <c r="F10" s="71" t="inlineStr">
        <is>
          <t>Rejected</t>
        </is>
      </c>
      <c r="G10" s="71" t="inlineStr">
        <is>
          <t>Release of deferred cost</t>
        </is>
      </c>
      <c r="K10" s="71" t="inlineStr">
        <is>
          <t>42100</t>
        </is>
      </c>
      <c r="L10" s="71" t="inlineStr">
        <is>
          <t>Production Labour</t>
        </is>
      </c>
      <c r="N10" s="72" t="n">
        <v>45291</v>
      </c>
      <c r="P10" s="71" t="inlineStr">
        <is>
          <t>1668</t>
        </is>
      </c>
      <c r="Q10" s="71" t="inlineStr">
        <is>
          <t>CBA Dedicated Tech</t>
        </is>
      </c>
      <c r="R10" s="71" t="inlineStr">
        <is>
          <t>ONSITE</t>
        </is>
      </c>
      <c r="T10" t="inlineStr">
        <is>
          <t>WIP P&amp;L account</t>
        </is>
      </c>
      <c r="U10" s="55" t="inlineStr">
        <is>
          <t>44200 Closing Work in Progress</t>
        </is>
      </c>
    </row>
    <row r="11">
      <c r="B11" s="71" t="inlineStr">
        <is>
          <t>Subscription</t>
        </is>
      </c>
      <c r="D11" s="71" t="inlineStr">
        <is>
          <t>On Hold</t>
        </is>
      </c>
      <c r="G11" s="71" t="inlineStr">
        <is>
          <t>Accrued cost - incurred not billed</t>
        </is>
      </c>
      <c r="K11" s="71" t="inlineStr">
        <is>
          <t>42150</t>
        </is>
      </c>
      <c r="L11" s="71" t="inlineStr">
        <is>
          <t>Video Labour</t>
        </is>
      </c>
      <c r="N11" s="72" t="n">
        <v>45322</v>
      </c>
      <c r="P11" s="71" t="inlineStr">
        <is>
          <t>1750</t>
        </is>
      </c>
      <c r="Q11" s="71" t="inlineStr">
        <is>
          <t>Bankwest Spotify</t>
        </is>
      </c>
      <c r="R11" s="71" t="inlineStr"/>
      <c r="T11" s="32" t="inlineStr">
        <is>
          <t>The two accounts the WIP journal uses. Change them here and every Debit / Credit on WIP Movements and Month-End follows.</t>
        </is>
      </c>
    </row>
    <row r="12">
      <c r="B12" s="71" t="inlineStr">
        <is>
          <t>Equipment Sale</t>
        </is>
      </c>
      <c r="D12" s="71" t="inlineStr">
        <is>
          <t>Cancelled</t>
        </is>
      </c>
      <c r="G12" s="71" t="inlineStr">
        <is>
          <t>Adjustment / correction</t>
        </is>
      </c>
      <c r="K12" s="71" t="inlineStr">
        <is>
          <t>42200</t>
        </is>
      </c>
      <c r="L12" s="71" t="inlineStr">
        <is>
          <t>Ad Hoc Service Labour</t>
        </is>
      </c>
      <c r="N12" s="72" t="n">
        <v>45351</v>
      </c>
      <c r="P12" s="71" t="inlineStr">
        <is>
          <t>1755</t>
        </is>
      </c>
      <c r="Q12" s="71" t="inlineStr">
        <is>
          <t>CBA Spotify</t>
        </is>
      </c>
      <c r="R12" s="71" t="inlineStr">
        <is>
          <t>ONSITE</t>
        </is>
      </c>
    </row>
    <row r="13">
      <c r="B13" s="71" t="inlineStr">
        <is>
          <t>Recharge</t>
        </is>
      </c>
      <c r="D13" s="71" t="inlineStr">
        <is>
          <t>Credited</t>
        </is>
      </c>
      <c r="G13" s="71" t="inlineStr">
        <is>
          <t>Migrated opening balance</t>
        </is>
      </c>
      <c r="K13" s="71" t="inlineStr">
        <is>
          <t>42300</t>
        </is>
      </c>
      <c r="L13" s="71" t="inlineStr">
        <is>
          <t>Installation Labour</t>
        </is>
      </c>
      <c r="N13" s="72" t="n">
        <v>45382</v>
      </c>
      <c r="P13" s="71" t="inlineStr">
        <is>
          <t>1771</t>
        </is>
      </c>
      <c r="Q13" s="71" t="inlineStr">
        <is>
          <t>Integration - Training</t>
        </is>
      </c>
      <c r="R13" s="71" t="inlineStr">
        <is>
          <t>INTEGRATION</t>
        </is>
      </c>
    </row>
    <row r="14">
      <c r="B14" s="71" t="inlineStr">
        <is>
          <t>Credit Note</t>
        </is>
      </c>
      <c r="K14" s="71" t="inlineStr">
        <is>
          <t>42500</t>
        </is>
      </c>
      <c r="L14" s="71" t="inlineStr">
        <is>
          <t>Equipment Hires</t>
        </is>
      </c>
      <c r="N14" s="72" t="n">
        <v>45412</v>
      </c>
      <c r="P14" s="71" t="inlineStr">
        <is>
          <t>1862</t>
        </is>
      </c>
      <c r="Q14" s="71" t="inlineStr">
        <is>
          <t>DTTL ADL Onsite</t>
        </is>
      </c>
      <c r="R14" s="71" t="inlineStr">
        <is>
          <t>ONSITE</t>
        </is>
      </c>
    </row>
    <row r="15">
      <c r="K15" s="71" t="inlineStr">
        <is>
          <t>42600</t>
        </is>
      </c>
      <c r="L15" s="71" t="inlineStr">
        <is>
          <t>Equipment Sales</t>
        </is>
      </c>
      <c r="N15" s="72" t="n">
        <v>45443</v>
      </c>
      <c r="P15" s="71" t="inlineStr">
        <is>
          <t>20250731</t>
        </is>
      </c>
      <c r="Q15" s="71" t="inlineStr">
        <is>
          <t>PWC National Pool of Hours</t>
        </is>
      </c>
      <c r="R15" s="71" t="inlineStr">
        <is>
          <t>ONSITE</t>
        </is>
      </c>
    </row>
    <row r="16">
      <c r="K16" s="71" t="inlineStr">
        <is>
          <t>42700</t>
        </is>
      </c>
      <c r="L16" s="71" t="inlineStr">
        <is>
          <t>Conference Call Charge</t>
        </is>
      </c>
      <c r="N16" s="72" t="n">
        <v>45473</v>
      </c>
      <c r="P16" s="71" t="inlineStr">
        <is>
          <t>2026021101</t>
        </is>
      </c>
      <c r="Q16" s="71" t="inlineStr">
        <is>
          <t>AusPayNet Quarterly AV Support &amp; Maintenance 2026</t>
        </is>
      </c>
      <c r="R16" s="71" t="inlineStr">
        <is>
          <t>ONSITE</t>
        </is>
      </c>
    </row>
    <row r="17">
      <c r="K17" s="71" t="inlineStr">
        <is>
          <t>42800</t>
        </is>
      </c>
      <c r="L17" s="71" t="inlineStr">
        <is>
          <t>Tech Consulting/Project Manage</t>
        </is>
      </c>
      <c r="N17" s="72" t="n">
        <v>45504</v>
      </c>
      <c r="P17" s="71" t="inlineStr">
        <is>
          <t>20260801</t>
        </is>
      </c>
      <c r="Q17" s="71" t="inlineStr">
        <is>
          <t>CTS Day 2026</t>
        </is>
      </c>
      <c r="R17" s="71" t="inlineStr">
        <is>
          <t>CTS</t>
        </is>
      </c>
    </row>
    <row r="18">
      <c r="K18" s="71" t="inlineStr">
        <is>
          <t>42900</t>
        </is>
      </c>
      <c r="L18" s="71" t="inlineStr">
        <is>
          <t>Tech Event Management</t>
        </is>
      </c>
      <c r="N18" s="72" t="n">
        <v>45535</v>
      </c>
      <c r="P18" s="71" t="inlineStr">
        <is>
          <t>2192</t>
        </is>
      </c>
      <c r="Q18" s="71" t="inlineStr">
        <is>
          <t>Bankwest Additional Tech</t>
        </is>
      </c>
      <c r="R18" s="71" t="inlineStr">
        <is>
          <t>ONSITE</t>
        </is>
      </c>
    </row>
    <row r="19">
      <c r="K19" s="71" t="inlineStr">
        <is>
          <t>44100</t>
        </is>
      </c>
      <c r="L19" s="71" t="inlineStr">
        <is>
          <t>Opening Work in Progress</t>
        </is>
      </c>
      <c r="N19" s="72" t="n">
        <v>45565</v>
      </c>
      <c r="P19" s="71" t="inlineStr">
        <is>
          <t>2347</t>
        </is>
      </c>
      <c r="Q19" s="71" t="inlineStr">
        <is>
          <t>DTTL Dedicated Tech</t>
        </is>
      </c>
      <c r="R19" s="71" t="inlineStr">
        <is>
          <t>ONSITE</t>
        </is>
      </c>
    </row>
    <row r="20">
      <c r="K20" s="71" t="inlineStr">
        <is>
          <t>44200</t>
        </is>
      </c>
      <c r="L20" s="71" t="inlineStr">
        <is>
          <t>Closing Work in Progress</t>
        </is>
      </c>
      <c r="N20" s="72" t="n">
        <v>45596</v>
      </c>
      <c r="P20" s="71" t="inlineStr">
        <is>
          <t>2392</t>
        </is>
      </c>
      <c r="Q20" s="71" t="inlineStr">
        <is>
          <t>PWC – MEL Technician</t>
        </is>
      </c>
      <c r="R20" s="71" t="inlineStr">
        <is>
          <t>ONSITE</t>
        </is>
      </c>
    </row>
    <row r="21">
      <c r="K21" s="71" t="inlineStr">
        <is>
          <t>45005</t>
        </is>
      </c>
      <c r="L21" s="71" t="inlineStr">
        <is>
          <t>Freight &amp; Travel - ADMIN</t>
        </is>
      </c>
      <c r="N21" s="72" t="n">
        <v>45626</v>
      </c>
      <c r="P21" s="71" t="inlineStr">
        <is>
          <t>2402</t>
        </is>
      </c>
      <c r="Q21" s="71" t="inlineStr">
        <is>
          <t>DTTL SYD FT Tech 1</t>
        </is>
      </c>
      <c r="R21" s="71" t="inlineStr">
        <is>
          <t>ONSITE</t>
        </is>
      </c>
    </row>
    <row r="22">
      <c r="K22" s="71" t="inlineStr">
        <is>
          <t>45010</t>
        </is>
      </c>
      <c r="L22" s="71" t="inlineStr">
        <is>
          <t>Freight &amp; Travel - ONS</t>
        </is>
      </c>
      <c r="N22" s="72" t="n">
        <v>45657</v>
      </c>
      <c r="P22" s="71" t="inlineStr">
        <is>
          <t>2407312</t>
        </is>
      </c>
      <c r="Q22" s="71" t="inlineStr">
        <is>
          <t>Hills Performance Centre</t>
        </is>
      </c>
      <c r="R22" s="71" t="inlineStr">
        <is>
          <t>CONSULTING</t>
        </is>
      </c>
    </row>
    <row r="23">
      <c r="K23" s="71" t="inlineStr">
        <is>
          <t>45015</t>
        </is>
      </c>
      <c r="L23" s="71" t="inlineStr">
        <is>
          <t>Freight &amp; Travel - PRD</t>
        </is>
      </c>
      <c r="N23" s="72" t="n">
        <v>45688</v>
      </c>
      <c r="P23" s="71" t="inlineStr">
        <is>
          <t>24102501</t>
        </is>
      </c>
      <c r="Q23" s="71" t="inlineStr">
        <is>
          <t>PWC - MEL Tech 12Months</t>
        </is>
      </c>
      <c r="R23" s="71" t="inlineStr">
        <is>
          <t>ONSITE</t>
        </is>
      </c>
    </row>
    <row r="24">
      <c r="K24" s="71" t="inlineStr">
        <is>
          <t>45020</t>
        </is>
      </c>
      <c r="L24" s="71" t="inlineStr">
        <is>
          <t>Freight &amp; Travel - VID</t>
        </is>
      </c>
      <c r="N24" s="72" t="n">
        <v>45716</v>
      </c>
      <c r="P24" s="71" t="inlineStr">
        <is>
          <t>24121001</t>
        </is>
      </c>
      <c r="Q24" s="71" t="inlineStr">
        <is>
          <t>BW PER Studio Equipment Supply</t>
        </is>
      </c>
      <c r="R24" s="71" t="inlineStr">
        <is>
          <t>INTEGRATION</t>
        </is>
      </c>
    </row>
    <row r="25">
      <c r="K25" s="71" t="inlineStr">
        <is>
          <t>45025</t>
        </is>
      </c>
      <c r="L25" s="71" t="inlineStr">
        <is>
          <t>Freight &amp; Travel - INTEGRATION</t>
        </is>
      </c>
      <c r="N25" s="72" t="n">
        <v>45747</v>
      </c>
      <c r="P25" s="71" t="inlineStr">
        <is>
          <t>2479</t>
        </is>
      </c>
      <c r="Q25" s="71" t="inlineStr">
        <is>
          <t>CONSULTING - Quotes</t>
        </is>
      </c>
      <c r="R25" s="71" t="inlineStr">
        <is>
          <t>CONSULTING</t>
        </is>
      </c>
    </row>
    <row r="26">
      <c r="K26" s="71" t="inlineStr">
        <is>
          <t>45030</t>
        </is>
      </c>
      <c r="L26" s="71" t="inlineStr">
        <is>
          <t>Freight &amp; Travel - CONS</t>
        </is>
      </c>
      <c r="N26" s="72" t="n">
        <v>45777</v>
      </c>
      <c r="P26" s="71" t="inlineStr">
        <is>
          <t>2480</t>
        </is>
      </c>
      <c r="Q26" s="71" t="inlineStr">
        <is>
          <t>ONSITE - Quotes</t>
        </is>
      </c>
      <c r="R26" s="71" t="inlineStr">
        <is>
          <t>ONSITE</t>
        </is>
      </c>
    </row>
    <row r="27">
      <c r="K27" s="71" t="inlineStr">
        <is>
          <t>46005</t>
        </is>
      </c>
      <c r="L27" s="71" t="inlineStr">
        <is>
          <t>Credit Card Fees - ADMIN</t>
        </is>
      </c>
      <c r="N27" s="72" t="n">
        <v>45808</v>
      </c>
      <c r="P27" s="71" t="inlineStr">
        <is>
          <t>2481</t>
        </is>
      </c>
      <c r="Q27" s="71" t="inlineStr">
        <is>
          <t>Production - Quotes</t>
        </is>
      </c>
      <c r="R27" s="71" t="inlineStr">
        <is>
          <t>PRODUCTION</t>
        </is>
      </c>
    </row>
    <row r="28">
      <c r="K28" s="71" t="inlineStr">
        <is>
          <t>46010</t>
        </is>
      </c>
      <c r="L28" s="71" t="inlineStr">
        <is>
          <t>Credit Card Collected - ONS</t>
        </is>
      </c>
      <c r="N28" s="72" t="n">
        <v>45838</v>
      </c>
      <c r="P28" s="71" t="inlineStr">
        <is>
          <t>2482</t>
        </is>
      </c>
      <c r="Q28" s="71" t="inlineStr">
        <is>
          <t>VIDEO - Quotes</t>
        </is>
      </c>
      <c r="R28" s="71" t="inlineStr">
        <is>
          <t>VIDEO</t>
        </is>
      </c>
    </row>
    <row r="29">
      <c r="K29" s="71" t="inlineStr">
        <is>
          <t>46015</t>
        </is>
      </c>
      <c r="L29" s="71" t="inlineStr">
        <is>
          <t>Credit Card Collected - PRD</t>
        </is>
      </c>
      <c r="N29" s="72" t="n">
        <v>45869</v>
      </c>
      <c r="P29" s="71" t="inlineStr">
        <is>
          <t>2488</t>
        </is>
      </c>
      <c r="Q29" s="71" t="inlineStr">
        <is>
          <t>PWC IT P/T BNE</t>
        </is>
      </c>
      <c r="R29" s="71" t="inlineStr">
        <is>
          <t>ONSITE</t>
        </is>
      </c>
    </row>
    <row r="30">
      <c r="K30" s="71" t="inlineStr">
        <is>
          <t>46020</t>
        </is>
      </c>
      <c r="L30" s="71" t="inlineStr">
        <is>
          <t>Credit Card Collected - VID</t>
        </is>
      </c>
      <c r="N30" s="72" t="n">
        <v>45900</v>
      </c>
      <c r="P30" s="71" t="inlineStr">
        <is>
          <t>25011601</t>
        </is>
      </c>
      <c r="Q30" s="71" t="inlineStr">
        <is>
          <t>DTTL Hobart ITS AV Ref</t>
        </is>
      </c>
      <c r="R30" s="71" t="inlineStr">
        <is>
          <t>INTEGRATION</t>
        </is>
      </c>
    </row>
    <row r="31">
      <c r="K31" s="71" t="inlineStr">
        <is>
          <t>46025</t>
        </is>
      </c>
      <c r="L31" s="71" t="inlineStr">
        <is>
          <t>Credit Card Collected - INTEGRATION</t>
        </is>
      </c>
      <c r="N31" s="72" t="n">
        <v>45930</v>
      </c>
      <c r="P31" s="71" t="inlineStr">
        <is>
          <t>2501738</t>
        </is>
      </c>
      <c r="Q31" s="71" t="inlineStr">
        <is>
          <t>APA HYR25 &amp; FYR25</t>
        </is>
      </c>
      <c r="R31" s="71" t="inlineStr">
        <is>
          <t>PRODUCTION</t>
        </is>
      </c>
    </row>
    <row r="32">
      <c r="K32" s="71" t="inlineStr">
        <is>
          <t>46030</t>
        </is>
      </c>
      <c r="L32" s="71" t="inlineStr">
        <is>
          <t>Credit Card Collected - CONS</t>
        </is>
      </c>
      <c r="N32" s="72" t="n">
        <v>45961</v>
      </c>
      <c r="P32" s="71" t="inlineStr">
        <is>
          <t>2502</t>
        </is>
      </c>
      <c r="Q32" s="71" t="inlineStr">
        <is>
          <t>ONS CBA (non-chargeable)</t>
        </is>
      </c>
      <c r="R32" s="71" t="inlineStr"/>
    </row>
    <row r="33">
      <c r="K33" s="71" t="inlineStr">
        <is>
          <t>47005</t>
        </is>
      </c>
      <c r="L33" s="71" t="inlineStr">
        <is>
          <t>Meal &amp; Travel - ADMIN</t>
        </is>
      </c>
      <c r="N33" s="72" t="n">
        <v>45991</v>
      </c>
      <c r="P33" s="71" t="inlineStr">
        <is>
          <t>25021901</t>
        </is>
      </c>
      <c r="Q33" s="71" t="inlineStr">
        <is>
          <t>DAFF Technology Standard</t>
        </is>
      </c>
      <c r="R33" s="71" t="inlineStr">
        <is>
          <t>CONSULTING</t>
        </is>
      </c>
    </row>
    <row r="34">
      <c r="K34" s="71" t="inlineStr">
        <is>
          <t>47010</t>
        </is>
      </c>
      <c r="L34" s="71" t="inlineStr">
        <is>
          <t>Meal &amp; Travel - ONS</t>
        </is>
      </c>
      <c r="N34" s="72" t="n">
        <v>46022</v>
      </c>
      <c r="P34" s="71" t="inlineStr">
        <is>
          <t>2503</t>
        </is>
      </c>
      <c r="Q34" s="71" t="inlineStr">
        <is>
          <t>ONS DTTL (non-chargeable)</t>
        </is>
      </c>
      <c r="R34" s="71" t="inlineStr"/>
    </row>
    <row r="35">
      <c r="K35" s="71" t="inlineStr">
        <is>
          <t>47015</t>
        </is>
      </c>
      <c r="L35" s="71" t="inlineStr">
        <is>
          <t>Meal &amp; Travel - PRD</t>
        </is>
      </c>
      <c r="N35" s="72" t="n">
        <v>46053</v>
      </c>
      <c r="P35" s="71" t="inlineStr">
        <is>
          <t>25032701</t>
        </is>
      </c>
      <c r="Q35" s="71" t="inlineStr">
        <is>
          <t>St Catherines Chargeable</t>
        </is>
      </c>
      <c r="R35" s="71" t="inlineStr">
        <is>
          <t>ONSITE</t>
        </is>
      </c>
    </row>
    <row r="36">
      <c r="K36" s="71" t="inlineStr">
        <is>
          <t>47020</t>
        </is>
      </c>
      <c r="L36" s="71" t="inlineStr">
        <is>
          <t>Meal &amp; Travel - VID</t>
        </is>
      </c>
      <c r="N36" s="72" t="n">
        <v>46081</v>
      </c>
      <c r="P36" s="71" t="inlineStr">
        <is>
          <t>25032701NC</t>
        </is>
      </c>
      <c r="Q36" s="71" t="inlineStr">
        <is>
          <t>St Catherines Non-Chgble</t>
        </is>
      </c>
      <c r="R36" s="71" t="inlineStr">
        <is>
          <t>ONSITE</t>
        </is>
      </c>
    </row>
    <row r="37">
      <c r="K37" s="71" t="inlineStr">
        <is>
          <t>47025</t>
        </is>
      </c>
      <c r="L37" s="71" t="inlineStr">
        <is>
          <t>Meal &amp; Travel - INTEGRATION</t>
        </is>
      </c>
      <c r="N37" s="72" t="n">
        <v>46112</v>
      </c>
      <c r="P37" s="71" t="inlineStr">
        <is>
          <t>2504</t>
        </is>
      </c>
      <c r="Q37" s="71" t="inlineStr">
        <is>
          <t>ONS WBC (non-chargeable)</t>
        </is>
      </c>
      <c r="R37" s="71" t="inlineStr"/>
    </row>
    <row r="38">
      <c r="K38" s="71" t="inlineStr">
        <is>
          <t>47030</t>
        </is>
      </c>
      <c r="L38" s="71" t="inlineStr">
        <is>
          <t>Meal &amp; Travel - CONS</t>
        </is>
      </c>
      <c r="N38" s="72" t="n">
        <v>46142</v>
      </c>
      <c r="P38" s="71" t="inlineStr">
        <is>
          <t>25041502</t>
        </is>
      </c>
      <c r="Q38" s="71" t="inlineStr">
        <is>
          <t>PDNSW DB License Ext</t>
        </is>
      </c>
      <c r="R38" s="71" t="inlineStr">
        <is>
          <t>INTEGRATION</t>
        </is>
      </c>
    </row>
    <row r="39">
      <c r="K39" s="71" t="inlineStr">
        <is>
          <t>48000</t>
        </is>
      </c>
      <c r="L39" s="71" t="inlineStr">
        <is>
          <t>Miscellaneous Income</t>
        </is>
      </c>
      <c r="N39" s="72" t="n">
        <v>46173</v>
      </c>
      <c r="P39" s="71" t="inlineStr">
        <is>
          <t>2505</t>
        </is>
      </c>
      <c r="Q39" s="71" t="inlineStr">
        <is>
          <t>ONS PWC (non-chargeable)</t>
        </is>
      </c>
      <c r="R39" s="71" t="inlineStr"/>
    </row>
    <row r="40">
      <c r="N40" s="72" t="n">
        <v>46203</v>
      </c>
      <c r="P40" s="71" t="inlineStr">
        <is>
          <t>25051302</t>
        </is>
      </c>
      <c r="Q40" s="71" t="inlineStr">
        <is>
          <t>NSW Prop Bradfield Desk Booking + Penrith Additional</t>
        </is>
      </c>
      <c r="R40" s="71" t="inlineStr">
        <is>
          <t>INTEGRATION</t>
        </is>
      </c>
    </row>
    <row r="41">
      <c r="N41" s="72" t="n">
        <v>46234</v>
      </c>
      <c r="P41" s="71" t="inlineStr">
        <is>
          <t>25051403</t>
        </is>
      </c>
      <c r="Q41" s="71" t="inlineStr">
        <is>
          <t>DTTL SYD Tech Supp TMT AP</t>
        </is>
      </c>
      <c r="R41" s="71" t="inlineStr">
        <is>
          <t>ONSITE</t>
        </is>
      </c>
    </row>
    <row r="42">
      <c r="N42" s="72" t="n">
        <v>46265</v>
      </c>
      <c r="P42" s="71" t="inlineStr">
        <is>
          <t>25052802</t>
        </is>
      </c>
      <c r="Q42" s="71" t="inlineStr">
        <is>
          <t>Aus Retirement Trust Members Meeting 2025</t>
        </is>
      </c>
      <c r="R42" s="71" t="inlineStr">
        <is>
          <t>PRODUCTION</t>
        </is>
      </c>
    </row>
    <row r="43">
      <c r="N43" s="72" t="n">
        <v>46295</v>
      </c>
      <c r="P43" s="71" t="inlineStr">
        <is>
          <t>2505901</t>
        </is>
      </c>
      <c r="Q43" s="71" t="inlineStr">
        <is>
          <t>COS Projector Lens Supply</t>
        </is>
      </c>
      <c r="R43" s="71" t="inlineStr">
        <is>
          <t>INTEGRATION</t>
        </is>
      </c>
    </row>
    <row r="44">
      <c r="N44" s="72" t="n">
        <v>46326</v>
      </c>
      <c r="P44" s="71" t="inlineStr">
        <is>
          <t>2506</t>
        </is>
      </c>
      <c r="Q44" s="71" t="inlineStr">
        <is>
          <t>ONS BWEST (non-chargeable)</t>
        </is>
      </c>
      <c r="R44" s="71" t="inlineStr"/>
    </row>
    <row r="45">
      <c r="N45" s="72" t="n">
        <v>46356</v>
      </c>
      <c r="P45" s="71" t="inlineStr">
        <is>
          <t>25060301</t>
        </is>
      </c>
      <c r="Q45" s="71" t="inlineStr">
        <is>
          <t>6PSQ L12 Desk Booking</t>
        </is>
      </c>
      <c r="R45" s="71" t="inlineStr">
        <is>
          <t>INTEGRATION</t>
        </is>
      </c>
    </row>
    <row r="46">
      <c r="N46" s="72" t="n">
        <v>46387</v>
      </c>
      <c r="P46" s="71" t="inlineStr">
        <is>
          <t>25060307</t>
        </is>
      </c>
      <c r="Q46" s="71" t="inlineStr">
        <is>
          <t>DPIE Molesworth St D/B</t>
        </is>
      </c>
      <c r="R46" s="71" t="inlineStr">
        <is>
          <t>INTEGRATION</t>
        </is>
      </c>
    </row>
    <row r="47">
      <c r="N47" s="72" t="n">
        <v>46418</v>
      </c>
      <c r="P47" s="71" t="inlineStr">
        <is>
          <t>2506208</t>
        </is>
      </c>
      <c r="Q47" s="71" t="inlineStr">
        <is>
          <t>CBA AGM 2026</t>
        </is>
      </c>
      <c r="R47" s="71" t="inlineStr">
        <is>
          <t>PRODUCTION</t>
        </is>
      </c>
    </row>
    <row r="48">
      <c r="N48" s="72" t="n">
        <v>46446</v>
      </c>
      <c r="P48" s="71" t="inlineStr">
        <is>
          <t>2506208V</t>
        </is>
      </c>
      <c r="Q48" s="71" t="inlineStr">
        <is>
          <t>CBA AGM 2026</t>
        </is>
      </c>
      <c r="R48" s="71" t="inlineStr">
        <is>
          <t>VIDEO</t>
        </is>
      </c>
    </row>
    <row r="49">
      <c r="N49" s="72" t="n">
        <v>46477</v>
      </c>
      <c r="P49" s="71" t="inlineStr">
        <is>
          <t>25063001V</t>
        </is>
      </c>
      <c r="Q49" s="71" t="inlineStr">
        <is>
          <t>APA All Hands Staff</t>
        </is>
      </c>
      <c r="R49" s="71" t="inlineStr">
        <is>
          <t>VIDEO</t>
        </is>
      </c>
    </row>
    <row r="50">
      <c r="N50" s="72" t="n">
        <v>46507</v>
      </c>
      <c r="P50" s="71" t="inlineStr">
        <is>
          <t>25070702</t>
        </is>
      </c>
      <c r="Q50" s="71" t="inlineStr">
        <is>
          <t>APA VMS Brisbane &amp; Darwin</t>
        </is>
      </c>
      <c r="R50" s="71" t="inlineStr">
        <is>
          <t>INTEGRATION</t>
        </is>
      </c>
    </row>
    <row r="51">
      <c r="N51" s="72" t="n">
        <v>46538</v>
      </c>
      <c r="P51" s="71" t="inlineStr">
        <is>
          <t>2507203</t>
        </is>
      </c>
      <c r="Q51" s="71" t="inlineStr">
        <is>
          <t>Hills Grammar Airmedia Supply</t>
        </is>
      </c>
      <c r="R51" s="71" t="inlineStr">
        <is>
          <t>INTEGRATION</t>
        </is>
      </c>
    </row>
    <row r="52">
      <c r="N52" s="72" t="n">
        <v>46568</v>
      </c>
      <c r="P52" s="71" t="inlineStr">
        <is>
          <t>25081402</t>
        </is>
      </c>
      <c r="Q52" s="71" t="inlineStr">
        <is>
          <t>Hills Grammar Loan Airmedia Purchase</t>
        </is>
      </c>
      <c r="R52" s="71" t="inlineStr">
        <is>
          <t>INTEGRATION</t>
        </is>
      </c>
    </row>
    <row r="53">
      <c r="N53" s="72" t="n">
        <v>46599</v>
      </c>
      <c r="P53" s="71" t="inlineStr">
        <is>
          <t>25082501</t>
        </is>
      </c>
      <c r="Q53" s="71" t="inlineStr">
        <is>
          <t>APA Sydney Tablet Brackets</t>
        </is>
      </c>
      <c r="R53" s="71" t="inlineStr">
        <is>
          <t>INTEGRATION</t>
        </is>
      </c>
    </row>
    <row r="54">
      <c r="N54" s="72" t="n">
        <v>46630</v>
      </c>
      <c r="P54" s="71" t="inlineStr">
        <is>
          <t>25091703</t>
        </is>
      </c>
      <c r="Q54" s="71" t="inlineStr">
        <is>
          <t>Scentre Group Marion Superscreen (D10396) Test and Cert</t>
        </is>
      </c>
      <c r="R54" s="71" t="inlineStr">
        <is>
          <t>CONSULTING</t>
        </is>
      </c>
    </row>
    <row r="55">
      <c r="N55" s="72" t="n">
        <v>46660</v>
      </c>
      <c r="P55" s="71" t="inlineStr">
        <is>
          <t>25101301</t>
        </is>
      </c>
      <c r="Q55" s="71" t="inlineStr">
        <is>
          <t>PWC IT Support – Melbourne</t>
        </is>
      </c>
      <c r="R55" s="71" t="inlineStr">
        <is>
          <t>ONSITE</t>
        </is>
      </c>
    </row>
    <row r="56">
      <c r="N56" s="72" t="n">
        <v>46691</v>
      </c>
      <c r="P56" s="71" t="inlineStr">
        <is>
          <t>25101301B</t>
        </is>
      </c>
      <c r="Q56" s="71" t="inlineStr">
        <is>
          <t>PWC IT Support – Sydney</t>
        </is>
      </c>
      <c r="R56" s="71" t="inlineStr">
        <is>
          <t>ONSITE</t>
        </is>
      </c>
    </row>
    <row r="57">
      <c r="N57" s="72" t="n">
        <v>46721</v>
      </c>
      <c r="P57" s="71" t="inlineStr">
        <is>
          <t>2510202</t>
        </is>
      </c>
      <c r="Q57" s="71" t="inlineStr">
        <is>
          <t>HP Poly Room Assessment</t>
        </is>
      </c>
      <c r="R57" s="71" t="inlineStr">
        <is>
          <t>CONSULTING</t>
        </is>
      </c>
    </row>
    <row r="58">
      <c r="N58" s="72" t="n">
        <v>46752</v>
      </c>
      <c r="P58" s="71" t="inlineStr">
        <is>
          <t>2510205</t>
        </is>
      </c>
      <c r="Q58" s="71" t="inlineStr">
        <is>
          <t>NSW Property RGB Desk Booking</t>
        </is>
      </c>
      <c r="R58" s="71" t="inlineStr">
        <is>
          <t>INTEGRATION</t>
        </is>
      </c>
    </row>
    <row r="59">
      <c r="N59" s="72" t="n">
        <v>46783</v>
      </c>
      <c r="P59" s="71" t="inlineStr">
        <is>
          <t>2510210</t>
        </is>
      </c>
      <c r="Q59" s="71" t="inlineStr">
        <is>
          <t>Scentre Group Westfield Bondi Screen Tests</t>
        </is>
      </c>
      <c r="R59" s="71" t="inlineStr">
        <is>
          <t>CONSULTING</t>
        </is>
      </c>
    </row>
    <row r="60">
      <c r="N60" s="72" t="n">
        <v>46812</v>
      </c>
      <c r="P60" s="71" t="inlineStr">
        <is>
          <t>25102701</t>
        </is>
      </c>
      <c r="Q60" s="71" t="inlineStr">
        <is>
          <t>DEWR - Studio Upgrade - Consulting, Design</t>
        </is>
      </c>
      <c r="R60" s="71" t="inlineStr">
        <is>
          <t>CONSULTING</t>
        </is>
      </c>
    </row>
    <row r="61">
      <c r="N61" s="72" t="n">
        <v>46843</v>
      </c>
      <c r="P61" s="71" t="inlineStr">
        <is>
          <t>25102801</t>
        </is>
      </c>
      <c r="Q61" s="71" t="inlineStr">
        <is>
          <t>DTTL SYD QQT Additional Mics Install in L45 Seminar Space</t>
        </is>
      </c>
      <c r="R61" s="71" t="inlineStr">
        <is>
          <t>INTEGRATION</t>
        </is>
      </c>
    </row>
    <row r="62">
      <c r="N62" s="72" t="n">
        <v>46873</v>
      </c>
      <c r="P62" s="71" t="inlineStr">
        <is>
          <t>25102802</t>
        </is>
      </c>
      <c r="Q62" s="71" t="inlineStr">
        <is>
          <t>Novigi Meeting Space Inspection</t>
        </is>
      </c>
      <c r="R62" s="71" t="inlineStr">
        <is>
          <t>CONSULTING</t>
        </is>
      </c>
    </row>
    <row r="63">
      <c r="N63" s="72" t="n">
        <v>46904</v>
      </c>
      <c r="P63" s="71" t="inlineStr">
        <is>
          <t>2510804</t>
        </is>
      </c>
      <c r="Q63" s="71" t="inlineStr">
        <is>
          <t>CommSecurity Presynct QLD Desk Booking</t>
        </is>
      </c>
      <c r="R63" s="71" t="inlineStr">
        <is>
          <t>INTEGRATION</t>
        </is>
      </c>
    </row>
    <row r="64">
      <c r="N64" s="72" t="n">
        <v>46934</v>
      </c>
      <c r="P64" s="71" t="inlineStr">
        <is>
          <t>2510805</t>
        </is>
      </c>
      <c r="Q64" s="71" t="inlineStr">
        <is>
          <t>PNSW Reconstruction Authority Newcastle</t>
        </is>
      </c>
      <c r="R64" s="71" t="inlineStr">
        <is>
          <t>INTEGRATION</t>
        </is>
      </c>
    </row>
    <row r="65">
      <c r="N65" s="72" t="n">
        <v>46965</v>
      </c>
      <c r="P65" s="71" t="inlineStr">
        <is>
          <t>25111203</t>
        </is>
      </c>
      <c r="Q65" s="71" t="inlineStr">
        <is>
          <t>CoS | Barco E3 Sale</t>
        </is>
      </c>
      <c r="R65" s="71" t="inlineStr">
        <is>
          <t>INTEGRATION</t>
        </is>
      </c>
    </row>
    <row r="66">
      <c r="N66" s="72" t="n">
        <v>46996</v>
      </c>
      <c r="P66" s="71" t="inlineStr">
        <is>
          <t>25112801</t>
        </is>
      </c>
      <c r="Q66" s="71" t="inlineStr">
        <is>
          <t>APA MEL - iPad &amp; Bouncepad Sale</t>
        </is>
      </c>
      <c r="R66" s="71" t="inlineStr">
        <is>
          <t>INTEGRATION</t>
        </is>
      </c>
    </row>
    <row r="67">
      <c r="N67" s="72" t="n">
        <v>47026</v>
      </c>
      <c r="P67" s="71" t="inlineStr">
        <is>
          <t>25121001</t>
        </is>
      </c>
      <c r="Q67" s="71" t="inlineStr">
        <is>
          <t>HP Poly Mic System Sale and Install at Mission Australia</t>
        </is>
      </c>
      <c r="R67" s="71" t="inlineStr">
        <is>
          <t>INTEGRATION</t>
        </is>
      </c>
    </row>
    <row r="68">
      <c r="N68" s="72" t="n">
        <v>47057</v>
      </c>
      <c r="P68" s="71" t="inlineStr">
        <is>
          <t>25121007</t>
        </is>
      </c>
      <c r="Q68" s="71" t="inlineStr">
        <is>
          <t>Novigi SYD/MEL boardroom Mic upgrade + Cable Tidy</t>
        </is>
      </c>
      <c r="R68" s="71" t="inlineStr">
        <is>
          <t>INTEGRATION</t>
        </is>
      </c>
    </row>
    <row r="69">
      <c r="N69" s="72" t="n">
        <v>47087</v>
      </c>
      <c r="P69" s="71" t="inlineStr">
        <is>
          <t>25121208</t>
        </is>
      </c>
      <c r="Q69" s="71" t="inlineStr">
        <is>
          <t>APA HYR &amp; FYR Package 2026</t>
        </is>
      </c>
      <c r="R69" s="71" t="inlineStr">
        <is>
          <t>PRODUCTION</t>
        </is>
      </c>
    </row>
    <row r="70">
      <c r="N70" s="72" t="n">
        <v>47118</v>
      </c>
      <c r="P70" s="71" t="inlineStr">
        <is>
          <t>2512503</t>
        </is>
      </c>
      <c r="Q70" s="71" t="inlineStr">
        <is>
          <t>Ventia EOY Town Hall 10.12.2025</t>
        </is>
      </c>
      <c r="R70" s="71" t="inlineStr">
        <is>
          <t>PRODUCTION</t>
        </is>
      </c>
    </row>
    <row r="71">
      <c r="N71" s="72" t="n">
        <v>47149</v>
      </c>
      <c r="P71" s="71" t="inlineStr">
        <is>
          <t>2512503V</t>
        </is>
      </c>
      <c r="Q71" s="71" t="inlineStr">
        <is>
          <t>Ventia EOY Town Hall 10.12.2025</t>
        </is>
      </c>
      <c r="R71" s="71" t="inlineStr">
        <is>
          <t>VIDEO</t>
        </is>
      </c>
    </row>
    <row r="72">
      <c r="N72" s="72" t="n">
        <v>47177</v>
      </c>
      <c r="P72" s="71" t="inlineStr">
        <is>
          <t>2512804</t>
        </is>
      </c>
      <c r="Q72" s="71" t="inlineStr">
        <is>
          <t>RSNSW Ordinary General Meeting 5.8.26</t>
        </is>
      </c>
      <c r="R72" s="71" t="inlineStr">
        <is>
          <t>PRODUCTION</t>
        </is>
      </c>
    </row>
    <row r="73">
      <c r="N73" s="72" t="n">
        <v>47208</v>
      </c>
      <c r="P73" s="71" t="inlineStr">
        <is>
          <t>2512804V</t>
        </is>
      </c>
      <c r="Q73" s="71" t="inlineStr">
        <is>
          <t>RSNSW Ordinary General Meeting 5.8.26</t>
        </is>
      </c>
      <c r="R73" s="71" t="inlineStr">
        <is>
          <t>VIDEO</t>
        </is>
      </c>
    </row>
    <row r="74">
      <c r="N74" s="72" t="n">
        <v>47238</v>
      </c>
      <c r="P74" s="71" t="inlineStr">
        <is>
          <t>2512805</t>
        </is>
      </c>
      <c r="Q74" s="71" t="inlineStr">
        <is>
          <t>RSNSW Ordinary General Meeting 7.10.2026</t>
        </is>
      </c>
      <c r="R74" s="71" t="inlineStr">
        <is>
          <t>PRODUCTION</t>
        </is>
      </c>
    </row>
    <row r="75">
      <c r="N75" s="72" t="n">
        <v>47269</v>
      </c>
      <c r="P75" s="71" t="inlineStr">
        <is>
          <t>2512805V</t>
        </is>
      </c>
      <c r="Q75" s="71" t="inlineStr">
        <is>
          <t>RSNSW Ordinary General Meeting 7.10.2026</t>
        </is>
      </c>
      <c r="R75" s="71" t="inlineStr">
        <is>
          <t>VIDEO</t>
        </is>
      </c>
    </row>
    <row r="76">
      <c r="N76" s="72" t="n">
        <v>47299</v>
      </c>
      <c r="P76" s="71" t="inlineStr">
        <is>
          <t>2512806</t>
        </is>
      </c>
      <c r="Q76" s="71" t="inlineStr">
        <is>
          <t>RSNSW Ordinary General Meeting 2.12.26</t>
        </is>
      </c>
      <c r="R76" s="71" t="inlineStr">
        <is>
          <t>PRODUCTION</t>
        </is>
      </c>
    </row>
    <row r="77">
      <c r="N77" s="72" t="n">
        <v>47330</v>
      </c>
      <c r="P77" s="71" t="inlineStr">
        <is>
          <t>2512806V</t>
        </is>
      </c>
      <c r="Q77" s="71" t="inlineStr">
        <is>
          <t>RSNSW Ordinary General Meeting 2.12.26</t>
        </is>
      </c>
      <c r="R77" s="71" t="inlineStr">
        <is>
          <t>VIDEO</t>
        </is>
      </c>
    </row>
    <row r="78">
      <c r="N78" s="72" t="n">
        <v>47361</v>
      </c>
      <c r="P78" s="71" t="inlineStr">
        <is>
          <t>2519</t>
        </is>
      </c>
      <c r="Q78" s="71" t="inlineStr">
        <is>
          <t>NSW Prop-6PSQ Visitor MG</t>
        </is>
      </c>
      <c r="R78" s="71" t="inlineStr">
        <is>
          <t>INTEGRATION</t>
        </is>
      </c>
    </row>
    <row r="79">
      <c r="N79" s="72" t="n">
        <v>47391</v>
      </c>
      <c r="P79" s="71" t="inlineStr">
        <is>
          <t>2521</t>
        </is>
      </c>
      <c r="Q79" s="71" t="inlineStr">
        <is>
          <t>PWC - PER Tech</t>
        </is>
      </c>
      <c r="R79" s="71" t="inlineStr">
        <is>
          <t>ONSITE</t>
        </is>
      </c>
    </row>
    <row r="80">
      <c r="N80" s="72" t="n">
        <v>47422</v>
      </c>
      <c r="P80" s="71" t="inlineStr">
        <is>
          <t>2540</t>
        </is>
      </c>
      <c r="Q80" s="71" t="inlineStr">
        <is>
          <t>PWC - SYD Tech</t>
        </is>
      </c>
      <c r="R80" s="71" t="inlineStr">
        <is>
          <t>ONSITE</t>
        </is>
      </c>
    </row>
    <row r="81">
      <c r="N81" s="72" t="n">
        <v>47452</v>
      </c>
      <c r="P81" s="71" t="inlineStr">
        <is>
          <t>2543</t>
        </is>
      </c>
      <c r="Q81" s="71" t="inlineStr">
        <is>
          <t>DTTL MEL Tech (PT)</t>
        </is>
      </c>
      <c r="R81" s="71" t="inlineStr">
        <is>
          <t>ONSITE</t>
        </is>
      </c>
    </row>
    <row r="82">
      <c r="N82" s="72" t="n">
        <v>47483</v>
      </c>
      <c r="P82" s="71" t="inlineStr">
        <is>
          <t>2591012</t>
        </is>
      </c>
      <c r="Q82" s="71" t="inlineStr">
        <is>
          <t>St. Luke's Non-chargeable</t>
        </is>
      </c>
      <c r="R82" s="71" t="inlineStr">
        <is>
          <t>PRODUCTION</t>
        </is>
      </c>
    </row>
    <row r="83">
      <c r="N83" s="72" t="n">
        <v>47514</v>
      </c>
      <c r="P83" s="71" t="inlineStr">
        <is>
          <t>2591012C</t>
        </is>
      </c>
      <c r="Q83" s="71" t="inlineStr">
        <is>
          <t>St. Luke's Church</t>
        </is>
      </c>
      <c r="R83" s="71" t="inlineStr">
        <is>
          <t>PRODUCTION</t>
        </is>
      </c>
    </row>
    <row r="84">
      <c r="N84" s="72" t="n">
        <v>47542</v>
      </c>
      <c r="P84" s="71" t="inlineStr">
        <is>
          <t>2593</t>
        </is>
      </c>
      <c r="Q84" s="71" t="inlineStr">
        <is>
          <t>PWC CBR Technician</t>
        </is>
      </c>
      <c r="R84" s="71" t="inlineStr">
        <is>
          <t>ONSITE</t>
        </is>
      </c>
    </row>
    <row r="85">
      <c r="N85" s="72" t="n">
        <v>47573</v>
      </c>
      <c r="P85" s="71" t="inlineStr">
        <is>
          <t>2598</t>
        </is>
      </c>
      <c r="Q85" s="71" t="inlineStr">
        <is>
          <t>DTTL WA Tech</t>
        </is>
      </c>
      <c r="R85" s="71" t="inlineStr">
        <is>
          <t>ONSITE</t>
        </is>
      </c>
    </row>
    <row r="86">
      <c r="N86" s="72" t="n">
        <v>47603</v>
      </c>
      <c r="P86" s="71" t="inlineStr">
        <is>
          <t>26011404</t>
        </is>
      </c>
      <c r="Q86" s="71" t="inlineStr">
        <is>
          <t>ASX CEO Connect (Extended Results) 1.9.26</t>
        </is>
      </c>
      <c r="R86" s="71" t="inlineStr">
        <is>
          <t>PRODUCTION</t>
        </is>
      </c>
    </row>
    <row r="87">
      <c r="N87" s="72" t="n">
        <v>47634</v>
      </c>
      <c r="P87" s="71" t="inlineStr">
        <is>
          <t>26011404V</t>
        </is>
      </c>
      <c r="Q87" s="71" t="inlineStr">
        <is>
          <t>ASX CEO Connect (Extended Results) 1.9.26</t>
        </is>
      </c>
      <c r="R87" s="71" t="inlineStr">
        <is>
          <t>VIDEO</t>
        </is>
      </c>
    </row>
    <row r="88">
      <c r="N88" s="72" t="n">
        <v>47664</v>
      </c>
      <c r="P88" s="71" t="inlineStr">
        <is>
          <t>26011407</t>
        </is>
      </c>
      <c r="Q88" s="71" t="inlineStr">
        <is>
          <t>ASX CEO Connect 27.10.26</t>
        </is>
      </c>
      <c r="R88" s="71" t="inlineStr">
        <is>
          <t>PRODUCTION</t>
        </is>
      </c>
    </row>
    <row r="89">
      <c r="N89" s="72" t="n">
        <v>47695</v>
      </c>
      <c r="P89" s="71" t="inlineStr">
        <is>
          <t>26011407V</t>
        </is>
      </c>
      <c r="Q89" s="71" t="inlineStr">
        <is>
          <t>ASX CEO Connect 27.10.26</t>
        </is>
      </c>
      <c r="R89" s="71" t="inlineStr">
        <is>
          <t>VIDEO</t>
        </is>
      </c>
    </row>
    <row r="90">
      <c r="N90" s="72" t="n">
        <v>47726</v>
      </c>
      <c r="P90" s="71" t="inlineStr">
        <is>
          <t>26011408</t>
        </is>
      </c>
      <c r="Q90" s="71" t="inlineStr">
        <is>
          <t>ASX CEO Connect 1.12.26</t>
        </is>
      </c>
      <c r="R90" s="71" t="inlineStr">
        <is>
          <t>PRODUCTION</t>
        </is>
      </c>
    </row>
    <row r="91">
      <c r="N91" s="72" t="n">
        <v>47756</v>
      </c>
      <c r="P91" s="71" t="inlineStr">
        <is>
          <t>26011408V</t>
        </is>
      </c>
      <c r="Q91" s="71" t="inlineStr">
        <is>
          <t>ASX CEO Connect 1.12.26</t>
        </is>
      </c>
      <c r="R91" s="71" t="inlineStr">
        <is>
          <t>VIDEO</t>
        </is>
      </c>
    </row>
    <row r="92">
      <c r="N92" s="72" t="n">
        <v>47787</v>
      </c>
      <c r="P92" s="71" t="inlineStr">
        <is>
          <t>26011409</t>
        </is>
      </c>
      <c r="Q92" s="71" t="inlineStr">
        <is>
          <t>ASX Investor Days Sydney &amp; Melbourne 2026</t>
        </is>
      </c>
      <c r="R92" s="71" t="inlineStr">
        <is>
          <t>PRODUCTION</t>
        </is>
      </c>
    </row>
    <row r="93">
      <c r="N93" s="72" t="n">
        <v>47817</v>
      </c>
      <c r="P93" s="71" t="inlineStr">
        <is>
          <t>26011501</t>
        </is>
      </c>
      <c r="Q93" s="71" t="inlineStr">
        <is>
          <t>ASX Refinitiv Charity Golf Classic H/L Vid 2026</t>
        </is>
      </c>
      <c r="R93" s="71" t="inlineStr">
        <is>
          <t>VIDEO</t>
        </is>
      </c>
    </row>
    <row r="94">
      <c r="N94" s="72" t="n">
        <v>47848</v>
      </c>
      <c r="P94" s="71" t="inlineStr">
        <is>
          <t>26011502</t>
        </is>
      </c>
      <c r="Q94" s="71" t="inlineStr">
        <is>
          <t>ASX Charity Regatta Highlights Video 2026</t>
        </is>
      </c>
      <c r="R94" s="71" t="inlineStr">
        <is>
          <t>VIDEO</t>
        </is>
      </c>
    </row>
    <row r="95">
      <c r="N95" s="72" t="n">
        <v>47879</v>
      </c>
      <c r="P95" s="71" t="inlineStr">
        <is>
          <t>26012301</t>
        </is>
      </c>
      <c r="Q95" s="71" t="inlineStr">
        <is>
          <t>PWC IT Support - Brisbane</t>
        </is>
      </c>
      <c r="R95" s="71" t="inlineStr">
        <is>
          <t>ONSITE</t>
        </is>
      </c>
    </row>
    <row r="96">
      <c r="N96" s="72" t="n">
        <v>47907</v>
      </c>
      <c r="P96" s="71" t="inlineStr">
        <is>
          <t>2601701</t>
        </is>
      </c>
      <c r="Q96" s="71" t="inlineStr">
        <is>
          <t>CEOi - TLP Brand Video</t>
        </is>
      </c>
      <c r="R96" s="71" t="inlineStr">
        <is>
          <t>VIDEO</t>
        </is>
      </c>
    </row>
    <row r="97">
      <c r="N97" s="72" t="n">
        <v>47938</v>
      </c>
      <c r="P97" s="71" t="inlineStr">
        <is>
          <t>26021602</t>
        </is>
      </c>
      <c r="Q97" s="71" t="inlineStr">
        <is>
          <t>Gen E ABS AV Support (Canberra)</t>
        </is>
      </c>
      <c r="R97" s="71" t="inlineStr">
        <is>
          <t>ONSITE</t>
        </is>
      </c>
    </row>
    <row r="98">
      <c r="N98" s="72" t="n">
        <v>47968</v>
      </c>
      <c r="P98" s="71" t="inlineStr">
        <is>
          <t>26021602N</t>
        </is>
      </c>
      <c r="Q98" s="71" t="inlineStr">
        <is>
          <t>Gen E ABS AV Support (Canberra) [ONS non-chargeable]</t>
        </is>
      </c>
      <c r="R98" s="71" t="inlineStr"/>
    </row>
    <row r="99">
      <c r="N99" s="72" t="n">
        <v>47999</v>
      </c>
      <c r="P99" s="71" t="inlineStr">
        <is>
          <t>26021801</t>
        </is>
      </c>
      <c r="Q99" s="71" t="inlineStr">
        <is>
          <t>Aware Super Seminar Room AV Upgrade</t>
        </is>
      </c>
      <c r="R99" s="71" t="inlineStr">
        <is>
          <t>INTEGRATION</t>
        </is>
      </c>
    </row>
    <row r="100">
      <c r="N100" s="72" t="n">
        <v>48029</v>
      </c>
      <c r="P100" s="71" t="inlineStr">
        <is>
          <t>2602203</t>
        </is>
      </c>
      <c r="Q100" s="71" t="inlineStr">
        <is>
          <t>YSG Studio Orange Room Upgrade</t>
        </is>
      </c>
      <c r="R100" s="71" t="inlineStr">
        <is>
          <t>CONSULTING</t>
        </is>
      </c>
    </row>
    <row r="101">
      <c r="P101" s="71" t="inlineStr">
        <is>
          <t>26022301</t>
        </is>
      </c>
      <c r="Q101" s="71" t="inlineStr">
        <is>
          <t>Aware Super AV Maintenance</t>
        </is>
      </c>
      <c r="R101" s="71" t="inlineStr">
        <is>
          <t>ONSITE</t>
        </is>
      </c>
    </row>
    <row r="102">
      <c r="P102" s="71" t="inlineStr">
        <is>
          <t>26022301C</t>
        </is>
      </c>
      <c r="Q102" s="71" t="inlineStr">
        <is>
          <t>Aware Super AV Maintenance</t>
        </is>
      </c>
      <c r="R102" s="71" t="inlineStr">
        <is>
          <t>CONSULTING</t>
        </is>
      </c>
    </row>
    <row r="103">
      <c r="P103" s="71" t="inlineStr">
        <is>
          <t>26022301NC</t>
        </is>
      </c>
      <c r="Q103" s="71" t="inlineStr">
        <is>
          <t>Aware Super AV Maintenance Non-chargeable</t>
        </is>
      </c>
      <c r="R103" s="71" t="inlineStr">
        <is>
          <t>ONSITE</t>
        </is>
      </c>
    </row>
    <row r="104">
      <c r="P104" s="71" t="inlineStr">
        <is>
          <t>26022301P</t>
        </is>
      </c>
      <c r="Q104" s="71" t="inlineStr">
        <is>
          <t>Aware Super AV Maintenance</t>
        </is>
      </c>
      <c r="R104" s="71" t="inlineStr">
        <is>
          <t>PRODUCTION</t>
        </is>
      </c>
    </row>
    <row r="105">
      <c r="P105" s="71" t="inlineStr">
        <is>
          <t>26022302</t>
        </is>
      </c>
      <c r="Q105" s="71" t="inlineStr">
        <is>
          <t>GP - Talking Philanthropy - 18.9.26</t>
        </is>
      </c>
      <c r="R105" s="71" t="inlineStr">
        <is>
          <t>PRODUCTION</t>
        </is>
      </c>
    </row>
    <row r="106">
      <c r="P106" s="71" t="inlineStr">
        <is>
          <t>26022302V</t>
        </is>
      </c>
      <c r="Q106" s="71" t="inlineStr">
        <is>
          <t>GP - Talking Philanthropy - 18.9.26</t>
        </is>
      </c>
      <c r="R106" s="71" t="inlineStr">
        <is>
          <t>VIDEO</t>
        </is>
      </c>
    </row>
    <row r="107">
      <c r="P107" s="71" t="inlineStr">
        <is>
          <t>26022601</t>
        </is>
      </c>
      <c r="Q107" s="71" t="inlineStr">
        <is>
          <t>ART - Annual Members Meeting - 25.11.26</t>
        </is>
      </c>
      <c r="R107" s="71" t="inlineStr">
        <is>
          <t>PRODUCTION</t>
        </is>
      </c>
    </row>
    <row r="108">
      <c r="P108" s="71" t="inlineStr">
        <is>
          <t>26022601V</t>
        </is>
      </c>
      <c r="Q108" s="71" t="inlineStr">
        <is>
          <t>ART - Annual Members Meeting - 25.11.26</t>
        </is>
      </c>
      <c r="R108" s="71" t="inlineStr">
        <is>
          <t>VIDEO</t>
        </is>
      </c>
    </row>
    <row r="109">
      <c r="P109" s="71" t="inlineStr">
        <is>
          <t>2602901</t>
        </is>
      </c>
      <c r="Q109" s="71" t="inlineStr">
        <is>
          <t>HP-Telstra: Phone Modification</t>
        </is>
      </c>
      <c r="R109" s="71" t="inlineStr">
        <is>
          <t>INTEGRATION</t>
        </is>
      </c>
    </row>
    <row r="110">
      <c r="P110" s="71" t="inlineStr">
        <is>
          <t>2603104</t>
        </is>
      </c>
      <c r="Q110" s="71" t="inlineStr">
        <is>
          <t>Cochlear FY26 Results 18.8.26</t>
        </is>
      </c>
      <c r="R110" s="71" t="inlineStr">
        <is>
          <t>PRODUCTION</t>
        </is>
      </c>
    </row>
    <row r="111">
      <c r="P111" s="71" t="inlineStr">
        <is>
          <t>2603104V</t>
        </is>
      </c>
      <c r="Q111" s="71" t="inlineStr">
        <is>
          <t>Cochlear FY26 Results 18.8.26</t>
        </is>
      </c>
      <c r="R111" s="71" t="inlineStr">
        <is>
          <t>VIDEO</t>
        </is>
      </c>
    </row>
    <row r="112">
      <c r="P112" s="71" t="inlineStr">
        <is>
          <t>2603105</t>
        </is>
      </c>
      <c r="Q112" s="71" t="inlineStr">
        <is>
          <t>Cochlear - AGM - 26.10.26</t>
        </is>
      </c>
      <c r="R112" s="71" t="inlineStr">
        <is>
          <t>PRODUCTION</t>
        </is>
      </c>
    </row>
    <row r="113">
      <c r="P113" s="71" t="inlineStr">
        <is>
          <t>2603105V</t>
        </is>
      </c>
      <c r="Q113" s="71" t="inlineStr">
        <is>
          <t>Cochlear - AGM - 26.10.26</t>
        </is>
      </c>
      <c r="R113" s="71" t="inlineStr">
        <is>
          <t>VIDEO</t>
        </is>
      </c>
    </row>
    <row r="114">
      <c r="P114" s="71" t="inlineStr">
        <is>
          <t>2603202</t>
        </is>
      </c>
      <c r="Q114" s="71" t="inlineStr">
        <is>
          <t>Property NSW 5 O’Keefe Ave Nowra Workplace Hub</t>
        </is>
      </c>
      <c r="R114" s="71" t="inlineStr">
        <is>
          <t>INTEGRATION</t>
        </is>
      </c>
    </row>
    <row r="115">
      <c r="P115" s="71" t="inlineStr">
        <is>
          <t>26032301</t>
        </is>
      </c>
      <c r="Q115" s="71" t="inlineStr">
        <is>
          <t>RSNSW - OGM - 1.7.2026</t>
        </is>
      </c>
      <c r="R115" s="71" t="inlineStr">
        <is>
          <t>PRODUCTION</t>
        </is>
      </c>
    </row>
    <row r="116">
      <c r="P116" s="71" t="inlineStr">
        <is>
          <t>26032301V</t>
        </is>
      </c>
      <c r="Q116" s="71" t="inlineStr">
        <is>
          <t>RSNSW - OGM - 1.7.2026</t>
        </is>
      </c>
      <c r="R116" s="71" t="inlineStr">
        <is>
          <t>VIDEO</t>
        </is>
      </c>
    </row>
    <row r="117">
      <c r="P117" s="71" t="inlineStr">
        <is>
          <t>26032302</t>
        </is>
      </c>
      <c r="Q117" s="71" t="inlineStr">
        <is>
          <t>RSNSW - OGM - 2.9.2026</t>
        </is>
      </c>
      <c r="R117" s="71" t="inlineStr">
        <is>
          <t>PRODUCTION</t>
        </is>
      </c>
    </row>
    <row r="118">
      <c r="P118" s="71" t="inlineStr">
        <is>
          <t>26032302V</t>
        </is>
      </c>
      <c r="Q118" s="71" t="inlineStr">
        <is>
          <t>RSNSW - OGM - 2.9.2026</t>
        </is>
      </c>
      <c r="R118" s="71" t="inlineStr">
        <is>
          <t>VIDEO</t>
        </is>
      </c>
    </row>
    <row r="119">
      <c r="P119" s="71" t="inlineStr">
        <is>
          <t>26032501</t>
        </is>
      </c>
      <c r="Q119" s="71" t="inlineStr">
        <is>
          <t>ChorusCall - Regal Partners AGM - 28.5.26</t>
        </is>
      </c>
      <c r="R119" s="71" t="inlineStr">
        <is>
          <t>PRODUCTION</t>
        </is>
      </c>
    </row>
    <row r="120">
      <c r="P120" s="71" t="inlineStr">
        <is>
          <t>26032502</t>
        </is>
      </c>
      <c r="Q120" s="71" t="inlineStr">
        <is>
          <t>3YS Owls - Governance Top 100 2026 - 30.10.26</t>
        </is>
      </c>
      <c r="R120" s="71" t="inlineStr">
        <is>
          <t>PRODUCTION</t>
        </is>
      </c>
    </row>
    <row r="121">
      <c r="P121" s="71" t="inlineStr">
        <is>
          <t>26032502V</t>
        </is>
      </c>
      <c r="Q121" s="71" t="inlineStr">
        <is>
          <t>3YS Owls - Governance Top 100 2026 - 30.10.26</t>
        </is>
      </c>
      <c r="R121" s="71" t="inlineStr">
        <is>
          <t>VIDEO</t>
        </is>
      </c>
    </row>
    <row r="122">
      <c r="P122" s="71" t="inlineStr">
        <is>
          <t>26032701</t>
        </is>
      </c>
      <c r="Q122" s="71" t="inlineStr">
        <is>
          <t>MUFG - A1N AGM - 7.5.26</t>
        </is>
      </c>
      <c r="R122" s="71" t="inlineStr">
        <is>
          <t>PRODUCTION</t>
        </is>
      </c>
    </row>
    <row r="123">
      <c r="P123" s="71" t="inlineStr">
        <is>
          <t>26032701V</t>
        </is>
      </c>
      <c r="Q123" s="71" t="inlineStr">
        <is>
          <t>MUFG - A1N AGM - 7.5.26</t>
        </is>
      </c>
      <c r="R123" s="71" t="inlineStr">
        <is>
          <t>VIDEO</t>
        </is>
      </c>
    </row>
    <row r="124">
      <c r="P124" s="71" t="inlineStr">
        <is>
          <t>26032702</t>
        </is>
      </c>
      <c r="Q124" s="71" t="inlineStr">
        <is>
          <t>Ventia Transport Australia and Ventia Networking 6.5.26</t>
        </is>
      </c>
      <c r="R124" s="71" t="inlineStr">
        <is>
          <t>PRODUCTION</t>
        </is>
      </c>
    </row>
    <row r="125">
      <c r="P125" s="71" t="inlineStr">
        <is>
          <t>26032704</t>
        </is>
      </c>
      <c r="Q125" s="71" t="inlineStr">
        <is>
          <t>CBA LES - April 2026</t>
        </is>
      </c>
      <c r="R125" s="71" t="inlineStr">
        <is>
          <t>PRODUCTION</t>
        </is>
      </c>
    </row>
    <row r="126">
      <c r="P126" s="71" t="inlineStr">
        <is>
          <t>26033003</t>
        </is>
      </c>
      <c r="Q126" s="71" t="inlineStr">
        <is>
          <t>DTTL 8PSQ Dream Big Microphones</t>
        </is>
      </c>
      <c r="R126" s="71" t="inlineStr">
        <is>
          <t>INTEGRATION</t>
        </is>
      </c>
    </row>
    <row r="127">
      <c r="P127" s="71" t="inlineStr">
        <is>
          <t>26033004</t>
        </is>
      </c>
      <c r="Q127" s="71" t="inlineStr">
        <is>
          <t>DTTL Melbourne Bluetooth Audio</t>
        </is>
      </c>
      <c r="R127" s="71" t="inlineStr">
        <is>
          <t>INTEGRATION</t>
        </is>
      </c>
    </row>
    <row r="128">
      <c r="P128" s="71" t="inlineStr">
        <is>
          <t>26033005</t>
        </is>
      </c>
      <c r="Q128" s="71" t="inlineStr">
        <is>
          <t>DTTL QQT &amp; 8PSQ Crestron Connect Adaptor</t>
        </is>
      </c>
      <c r="R128" s="71" t="inlineStr">
        <is>
          <t>INTEGRATION</t>
        </is>
      </c>
    </row>
    <row r="129">
      <c r="P129" s="71" t="inlineStr">
        <is>
          <t>26033006</t>
        </is>
      </c>
      <c r="Q129" s="71" t="inlineStr">
        <is>
          <t>DTTL 8PSQ Bluetooth Audio</t>
        </is>
      </c>
      <c r="R129" s="71" t="inlineStr">
        <is>
          <t>INTEGRATION</t>
        </is>
      </c>
    </row>
    <row r="130">
      <c r="P130" s="71" t="inlineStr">
        <is>
          <t>26033007</t>
        </is>
      </c>
      <c r="Q130" s="71" t="inlineStr">
        <is>
          <t>DTTL QQT Lv45 Seminar Wheels repair</t>
        </is>
      </c>
      <c r="R130" s="71" t="inlineStr">
        <is>
          <t>INTEGRATION</t>
        </is>
      </c>
    </row>
    <row r="131">
      <c r="P131" s="71" t="inlineStr">
        <is>
          <t>26033008</t>
        </is>
      </c>
      <c r="Q131" s="71" t="inlineStr">
        <is>
          <t>DTTL MEL Repair of Lv31 LED panels</t>
        </is>
      </c>
      <c r="R131" s="71" t="inlineStr">
        <is>
          <t>INTEGRATION</t>
        </is>
      </c>
    </row>
    <row r="132">
      <c r="P132" s="71" t="inlineStr">
        <is>
          <t>26041603</t>
        </is>
      </c>
      <c r="Q132" s="71" t="inlineStr">
        <is>
          <t>Optiver - Town Hall - 23.7.26</t>
        </is>
      </c>
      <c r="R132" s="71" t="inlineStr">
        <is>
          <t>PRODUCTION</t>
        </is>
      </c>
    </row>
    <row r="133">
      <c r="P133" s="71" t="inlineStr">
        <is>
          <t>26041603V</t>
        </is>
      </c>
      <c r="Q133" s="71" t="inlineStr">
        <is>
          <t>Optiver - Town Hall - 23.7.26</t>
        </is>
      </c>
      <c r="R133" s="71" t="inlineStr">
        <is>
          <t>VIDEO</t>
        </is>
      </c>
    </row>
    <row r="134">
      <c r="P134" s="71" t="inlineStr">
        <is>
          <t>26041701</t>
        </is>
      </c>
      <c r="Q134" s="71" t="inlineStr">
        <is>
          <t>N2 Dance End of Year Concert Videos 2026</t>
        </is>
      </c>
      <c r="R134" s="71" t="inlineStr">
        <is>
          <t>VIDEO</t>
        </is>
      </c>
    </row>
    <row r="135">
      <c r="P135" s="71" t="inlineStr">
        <is>
          <t>26042001</t>
        </is>
      </c>
      <c r="Q135" s="71" t="inlineStr">
        <is>
          <t>ASX - AGM - 22.10.26</t>
        </is>
      </c>
      <c r="R135" s="71" t="inlineStr">
        <is>
          <t>PRODUCTION</t>
        </is>
      </c>
    </row>
    <row r="136">
      <c r="P136" s="71" t="inlineStr">
        <is>
          <t>26042001V</t>
        </is>
      </c>
      <c r="Q136" s="71" t="inlineStr">
        <is>
          <t>ASX - AGM - 22.10.26</t>
        </is>
      </c>
      <c r="R136" s="71" t="inlineStr">
        <is>
          <t>VIDEO</t>
        </is>
      </c>
    </row>
    <row r="137">
      <c r="P137" s="71" t="inlineStr">
        <is>
          <t>2604201</t>
        </is>
      </c>
      <c r="Q137" s="71" t="inlineStr">
        <is>
          <t>Bankwest - Stage Hire - 27.5.2026</t>
        </is>
      </c>
      <c r="R137" s="71" t="inlineStr">
        <is>
          <t>PRODUCTION</t>
        </is>
      </c>
    </row>
    <row r="138">
      <c r="P138" s="71" t="inlineStr">
        <is>
          <t>2604202</t>
        </is>
      </c>
      <c r="Q138" s="71" t="inlineStr">
        <is>
          <t>Ventia - Ventia Awards - 30.7.26</t>
        </is>
      </c>
      <c r="R138" s="71" t="inlineStr">
        <is>
          <t>PRODUCTION</t>
        </is>
      </c>
    </row>
    <row r="139">
      <c r="P139" s="71" t="inlineStr">
        <is>
          <t>2604202V</t>
        </is>
      </c>
      <c r="Q139" s="71" t="inlineStr">
        <is>
          <t>Ventia - Ventia Awards - 30.7.26</t>
        </is>
      </c>
      <c r="R139" s="71" t="inlineStr">
        <is>
          <t>VIDEO</t>
        </is>
      </c>
    </row>
    <row r="140">
      <c r="P140" s="71" t="inlineStr">
        <is>
          <t>2604203V</t>
        </is>
      </c>
      <c r="Q140" s="71" t="inlineStr">
        <is>
          <t>Ventia - Investor Day - 4.5.2026</t>
        </is>
      </c>
      <c r="R140" s="71" t="inlineStr">
        <is>
          <t>VIDEO</t>
        </is>
      </c>
    </row>
    <row r="141">
      <c r="P141" s="71" t="inlineStr">
        <is>
          <t>2604204</t>
        </is>
      </c>
      <c r="Q141" s="71" t="inlineStr">
        <is>
          <t>Ventia - AGM - 21.5.26</t>
        </is>
      </c>
      <c r="R141" s="71" t="inlineStr">
        <is>
          <t>PRODUCTION</t>
        </is>
      </c>
    </row>
    <row r="142">
      <c r="P142" s="71" t="inlineStr">
        <is>
          <t>2604204V</t>
        </is>
      </c>
      <c r="Q142" s="71" t="inlineStr">
        <is>
          <t>Ventia - AGM - 21.5.26</t>
        </is>
      </c>
      <c r="R142" s="71" t="inlineStr">
        <is>
          <t>VIDEO</t>
        </is>
      </c>
    </row>
    <row r="143">
      <c r="P143" s="71" t="inlineStr">
        <is>
          <t>26042802</t>
        </is>
      </c>
      <c r="Q143" s="71" t="inlineStr">
        <is>
          <t>DTTL DAR Meeting Room Extension Cable Install</t>
        </is>
      </c>
      <c r="R143" s="71" t="inlineStr">
        <is>
          <t>INTEGRATION</t>
        </is>
      </c>
    </row>
    <row r="144">
      <c r="P144" s="71" t="inlineStr">
        <is>
          <t>26043001</t>
        </is>
      </c>
      <c r="Q144" s="71" t="inlineStr">
        <is>
          <t>CBA FT Tech MEL - 12 months</t>
        </is>
      </c>
      <c r="R144" s="71" t="inlineStr">
        <is>
          <t>ONSITE</t>
        </is>
      </c>
    </row>
    <row r="145">
      <c r="P145" s="71" t="inlineStr">
        <is>
          <t>26043002</t>
        </is>
      </c>
      <c r="Q145" s="71" t="inlineStr">
        <is>
          <t>CTS Town Hall</t>
        </is>
      </c>
      <c r="R145" s="71" t="inlineStr">
        <is>
          <t>CTS</t>
        </is>
      </c>
    </row>
    <row r="146">
      <c r="P146" s="71" t="inlineStr">
        <is>
          <t>26043003</t>
        </is>
      </c>
      <c r="Q146" s="71" t="inlineStr">
        <is>
          <t>PwC Screen Replacements SYD+MEL</t>
        </is>
      </c>
      <c r="R146" s="71" t="inlineStr">
        <is>
          <t>INTEGRATION</t>
        </is>
      </c>
    </row>
    <row r="147">
      <c r="P147" s="71" t="inlineStr">
        <is>
          <t>2604704</t>
        </is>
      </c>
      <c r="Q147" s="71" t="inlineStr">
        <is>
          <t>Aware Super Seminar Room Audio Upgrade</t>
        </is>
      </c>
      <c r="R147" s="71" t="inlineStr">
        <is>
          <t>INTEGRATION</t>
        </is>
      </c>
    </row>
    <row r="148">
      <c r="P148" s="71" t="inlineStr">
        <is>
          <t>2604802</t>
        </is>
      </c>
      <c r="Q148" s="71" t="inlineStr">
        <is>
          <t>PwC - Audio Support - 29.4.26</t>
        </is>
      </c>
      <c r="R148" s="71" t="inlineStr">
        <is>
          <t>PRODUCTION</t>
        </is>
      </c>
    </row>
    <row r="149">
      <c r="P149" s="71" t="inlineStr">
        <is>
          <t>26051101</t>
        </is>
      </c>
      <c r="Q149" s="71" t="inlineStr">
        <is>
          <t>DTTL Mardi Gras/Vivid Event 27/05/26</t>
        </is>
      </c>
      <c r="R149" s="71" t="inlineStr">
        <is>
          <t>PRODUCTION</t>
        </is>
      </c>
    </row>
    <row r="150">
      <c r="P150" s="71" t="inlineStr">
        <is>
          <t>26051101V</t>
        </is>
      </c>
      <c r="Q150" s="71" t="inlineStr">
        <is>
          <t>DTTL Mardi Gras/Vivid Event 27/05/26</t>
        </is>
      </c>
      <c r="R150" s="71" t="inlineStr">
        <is>
          <t>VIDEO</t>
        </is>
      </c>
    </row>
    <row r="151">
      <c r="P151" s="71" t="inlineStr">
        <is>
          <t>26051102</t>
        </is>
      </c>
      <c r="Q151" s="71" t="inlineStr">
        <is>
          <t>DTTL - CEO Roadshow - 1.6.26</t>
        </is>
      </c>
      <c r="R151" s="71" t="inlineStr">
        <is>
          <t>PRODUCTION</t>
        </is>
      </c>
    </row>
    <row r="152">
      <c r="P152" s="71" t="inlineStr">
        <is>
          <t>26051102V</t>
        </is>
      </c>
      <c r="Q152" s="71" t="inlineStr">
        <is>
          <t>DTTL - CEO Roadshow - 1.6.26</t>
        </is>
      </c>
      <c r="R152" s="71" t="inlineStr">
        <is>
          <t>VIDEO</t>
        </is>
      </c>
    </row>
    <row r="153">
      <c r="P153" s="71" t="inlineStr">
        <is>
          <t>26051103</t>
        </is>
      </c>
      <c r="Q153" s="71" t="inlineStr">
        <is>
          <t>PwC PER Studio Support 25.05.26</t>
        </is>
      </c>
      <c r="R153" s="71" t="inlineStr">
        <is>
          <t>PRODUCTION</t>
        </is>
      </c>
    </row>
    <row r="154">
      <c r="P154" s="71" t="inlineStr">
        <is>
          <t>26051103V</t>
        </is>
      </c>
      <c r="Q154" s="71" t="inlineStr">
        <is>
          <t>PwC PER Studio Support 25.05.26</t>
        </is>
      </c>
      <c r="R154" s="71" t="inlineStr">
        <is>
          <t>VIDEO</t>
        </is>
      </c>
    </row>
    <row r="155">
      <c r="P155" s="71" t="inlineStr">
        <is>
          <t>26051201</t>
        </is>
      </c>
      <c r="Q155" s="71" t="inlineStr">
        <is>
          <t>ASX CEO Farewell Highlights</t>
        </is>
      </c>
      <c r="R155" s="71" t="inlineStr">
        <is>
          <t>VIDEO</t>
        </is>
      </c>
    </row>
    <row r="156">
      <c r="P156" s="71" t="inlineStr">
        <is>
          <t>26051301</t>
        </is>
      </c>
      <c r="Q156" s="71" t="inlineStr">
        <is>
          <t>HP-BAE | Phone Mod</t>
        </is>
      </c>
      <c r="R156" s="71" t="inlineStr">
        <is>
          <t>INTEGRATION</t>
        </is>
      </c>
    </row>
    <row r="157">
      <c r="P157" s="71" t="inlineStr">
        <is>
          <t>26051401</t>
        </is>
      </c>
      <c r="Q157" s="71" t="inlineStr">
        <is>
          <t>ASX - Business Meeting - 27.5.26</t>
        </is>
      </c>
      <c r="R157" s="71" t="inlineStr">
        <is>
          <t>PRODUCTION</t>
        </is>
      </c>
    </row>
    <row r="158">
      <c r="P158" s="71" t="inlineStr">
        <is>
          <t>26051401V</t>
        </is>
      </c>
      <c r="Q158" s="71" t="inlineStr">
        <is>
          <t>ASX - Business Meeting - 27.5.26</t>
        </is>
      </c>
      <c r="R158" s="71" t="inlineStr">
        <is>
          <t>VIDEO</t>
        </is>
      </c>
    </row>
    <row r="159">
      <c r="P159" s="71" t="inlineStr">
        <is>
          <t>26051402</t>
        </is>
      </c>
      <c r="Q159" s="71" t="inlineStr">
        <is>
          <t>PwC Foldback Monitor Hire</t>
        </is>
      </c>
      <c r="R159" s="71" t="inlineStr">
        <is>
          <t>PRODUCTION</t>
        </is>
      </c>
    </row>
    <row r="160">
      <c r="P160" s="71" t="inlineStr">
        <is>
          <t>26051801</t>
        </is>
      </c>
      <c r="Q160" s="71" t="inlineStr">
        <is>
          <t>PwC | Mel Studio Equipment</t>
        </is>
      </c>
      <c r="R160" s="71" t="inlineStr">
        <is>
          <t>INTEGRATION</t>
        </is>
      </c>
    </row>
    <row r="161">
      <c r="P161" s="71" t="inlineStr">
        <is>
          <t>26051803</t>
        </is>
      </c>
      <c r="Q161" s="71" t="inlineStr">
        <is>
          <t>AVIT - Taronga ZOO AV Support - May 2026</t>
        </is>
      </c>
      <c r="R161" s="71" t="inlineStr">
        <is>
          <t>PRODUCTION</t>
        </is>
      </c>
    </row>
    <row r="162">
      <c r="P162" s="71" t="inlineStr">
        <is>
          <t>26052001</t>
        </is>
      </c>
      <c r="Q162" s="71" t="inlineStr">
        <is>
          <t>MeetMagic - AI Behaviour Event - 29.5.26</t>
        </is>
      </c>
      <c r="R162" s="71" t="inlineStr">
        <is>
          <t>PRODUCTION</t>
        </is>
      </c>
    </row>
    <row r="163">
      <c r="P163" s="71" t="inlineStr">
        <is>
          <t>26052001V</t>
        </is>
      </c>
      <c r="Q163" s="71" t="inlineStr">
        <is>
          <t>MeetMagic - AI Behaviour Event - 29.5.26</t>
        </is>
      </c>
      <c r="R163" s="71" t="inlineStr">
        <is>
          <t>VIDEO</t>
        </is>
      </c>
    </row>
    <row r="164">
      <c r="P164" s="71" t="inlineStr">
        <is>
          <t>26052002</t>
        </is>
      </c>
      <c r="Q164" s="71" t="inlineStr">
        <is>
          <t>DTTL BNE L23 Training Rooms Upgrade</t>
        </is>
      </c>
      <c r="R164" s="71" t="inlineStr">
        <is>
          <t>INTEGRATION</t>
        </is>
      </c>
    </row>
    <row r="165">
      <c r="P165" s="71" t="inlineStr">
        <is>
          <t>26052003</t>
        </is>
      </c>
      <c r="Q165" s="71" t="inlineStr">
        <is>
          <t>DTTL Mobile Commbox Displays</t>
        </is>
      </c>
      <c r="R165" s="71" t="inlineStr">
        <is>
          <t>INTEGRATION</t>
        </is>
      </c>
    </row>
    <row r="166">
      <c r="P166" s="71" t="inlineStr">
        <is>
          <t>26052004</t>
        </is>
      </c>
      <c r="Q166" s="71" t="inlineStr">
        <is>
          <t>CBA - Live Event Support - June 2026</t>
        </is>
      </c>
      <c r="R166" s="71" t="inlineStr">
        <is>
          <t>PRODUCTION</t>
        </is>
      </c>
    </row>
    <row r="167">
      <c r="P167" s="71" t="inlineStr">
        <is>
          <t>26052101</t>
        </is>
      </c>
      <c r="Q167" s="71" t="inlineStr">
        <is>
          <t>MeetMagic - Human AI Event Highlights</t>
        </is>
      </c>
      <c r="R167" s="71" t="inlineStr">
        <is>
          <t>VIDEO</t>
        </is>
      </c>
    </row>
    <row r="168">
      <c r="P168" s="71" t="inlineStr">
        <is>
          <t>26052102</t>
        </is>
      </c>
      <c r="Q168" s="71" t="inlineStr">
        <is>
          <t>HP-D3 | Austrac Phone Mods</t>
        </is>
      </c>
      <c r="R168" s="71" t="inlineStr">
        <is>
          <t>INTEGRATION</t>
        </is>
      </c>
    </row>
    <row r="169">
      <c r="P169" s="71" t="inlineStr">
        <is>
          <t>26052103</t>
        </is>
      </c>
      <c r="Q169" s="71" t="inlineStr">
        <is>
          <t>Ventia - LTI FY26 Video Record</t>
        </is>
      </c>
      <c r="R169" s="71" t="inlineStr">
        <is>
          <t>VIDEO</t>
        </is>
      </c>
    </row>
    <row r="170">
      <c r="P170" s="71" t="inlineStr">
        <is>
          <t>26052501V</t>
        </is>
      </c>
      <c r="Q170" s="71" t="inlineStr">
        <is>
          <t>AVIT - Taronga AV Event Support - 26-27.5.26</t>
        </is>
      </c>
      <c r="R170" s="71" t="inlineStr">
        <is>
          <t>VIDEO</t>
        </is>
      </c>
    </row>
    <row r="171">
      <c r="P171" s="71" t="inlineStr">
        <is>
          <t>26052502</t>
        </is>
      </c>
      <c r="Q171" s="71" t="inlineStr">
        <is>
          <t>AVIT - Taronga AV Event Support 4-5.06.26</t>
        </is>
      </c>
      <c r="R171" s="71" t="inlineStr">
        <is>
          <t>PRODUCTION</t>
        </is>
      </c>
    </row>
    <row r="172">
      <c r="P172" s="71" t="inlineStr">
        <is>
          <t>26052502V</t>
        </is>
      </c>
      <c r="Q172" s="71" t="inlineStr">
        <is>
          <t>AVIT - Taronga AV Event Support 4-5.06.26</t>
        </is>
      </c>
      <c r="R172" s="71" t="inlineStr">
        <is>
          <t>VIDEO</t>
        </is>
      </c>
    </row>
    <row r="173">
      <c r="P173" s="71" t="inlineStr">
        <is>
          <t>26052602</t>
        </is>
      </c>
      <c r="Q173" s="71" t="inlineStr">
        <is>
          <t>DTTL MEL Display Supply</t>
        </is>
      </c>
      <c r="R173" s="71" t="inlineStr">
        <is>
          <t>INTEGRATION</t>
        </is>
      </c>
    </row>
    <row r="174">
      <c r="P174" s="71" t="inlineStr">
        <is>
          <t>26052701</t>
        </is>
      </c>
      <c r="Q174" s="71" t="inlineStr">
        <is>
          <t>Aware | SYD 28.06 Equipment</t>
        </is>
      </c>
      <c r="R174" s="71" t="inlineStr">
        <is>
          <t>INTEGRATION</t>
        </is>
      </c>
    </row>
    <row r="175">
      <c r="P175" s="71" t="inlineStr">
        <is>
          <t>26052702</t>
        </is>
      </c>
      <c r="Q175" s="71" t="inlineStr">
        <is>
          <t>ASX - FYR - 13.8.26</t>
        </is>
      </c>
      <c r="R175" s="71" t="inlineStr">
        <is>
          <t>PRODUCTION</t>
        </is>
      </c>
    </row>
    <row r="176">
      <c r="P176" s="71" t="inlineStr">
        <is>
          <t>26052702V</t>
        </is>
      </c>
      <c r="Q176" s="71" t="inlineStr">
        <is>
          <t>ASX - FYR - 13.8.26</t>
        </is>
      </c>
      <c r="R176" s="71" t="inlineStr">
        <is>
          <t>VIDEO</t>
        </is>
      </c>
    </row>
    <row r="177">
      <c r="P177" s="71" t="inlineStr">
        <is>
          <t>26052703</t>
        </is>
      </c>
      <c r="Q177" s="71" t="inlineStr">
        <is>
          <t>Microsoft Town Hall - 21.7.26</t>
        </is>
      </c>
      <c r="R177" s="71" t="inlineStr">
        <is>
          <t>PRODUCTION</t>
        </is>
      </c>
    </row>
    <row r="178">
      <c r="P178" s="71" t="inlineStr">
        <is>
          <t>26052703V</t>
        </is>
      </c>
      <c r="Q178" s="71" t="inlineStr">
        <is>
          <t>Microsoft Town Hall - 21.7.26</t>
        </is>
      </c>
      <c r="R178" s="71" t="inlineStr">
        <is>
          <t>VIDEO</t>
        </is>
      </c>
    </row>
    <row r="179">
      <c r="P179" s="71" t="inlineStr">
        <is>
          <t>26052704</t>
        </is>
      </c>
      <c r="Q179" s="71" t="inlineStr">
        <is>
          <t>AVIT - Pinsent Masons Technician Callout</t>
        </is>
      </c>
      <c r="R179" s="71" t="inlineStr">
        <is>
          <t>ONSITE</t>
        </is>
      </c>
    </row>
    <row r="180">
      <c r="P180" s="71" t="inlineStr">
        <is>
          <t>26052901</t>
        </is>
      </c>
      <c r="Q180" s="71" t="inlineStr">
        <is>
          <t>Causeway Productions - Stool Hire - 1.6.27</t>
        </is>
      </c>
      <c r="R180" s="71" t="inlineStr">
        <is>
          <t>PRODUCTION</t>
        </is>
      </c>
    </row>
    <row r="181">
      <c r="P181" s="71" t="inlineStr">
        <is>
          <t>26052901V</t>
        </is>
      </c>
      <c r="Q181" s="71" t="inlineStr">
        <is>
          <t>Causeway Productions - Stool Hire - 1.6.27</t>
        </is>
      </c>
      <c r="R181" s="71" t="inlineStr">
        <is>
          <t>VIDEO</t>
        </is>
      </c>
    </row>
    <row r="182">
      <c r="P182" s="71" t="inlineStr">
        <is>
          <t>2605401</t>
        </is>
      </c>
      <c r="Q182" s="71" t="inlineStr">
        <is>
          <t>AGL FYR - Investor Briefing - 12.8.26</t>
        </is>
      </c>
      <c r="R182" s="71" t="inlineStr">
        <is>
          <t>PRODUCTION</t>
        </is>
      </c>
    </row>
    <row r="183">
      <c r="P183" s="71" t="inlineStr">
        <is>
          <t>2605401V</t>
        </is>
      </c>
      <c r="Q183" s="71" t="inlineStr">
        <is>
          <t>AGL FYR - Investor Briefing - 12.8.26</t>
        </is>
      </c>
      <c r="R183" s="71" t="inlineStr">
        <is>
          <t>VIDEO</t>
        </is>
      </c>
    </row>
    <row r="184">
      <c r="P184" s="71" t="inlineStr">
        <is>
          <t>2605402</t>
        </is>
      </c>
      <c r="Q184" s="71" t="inlineStr">
        <is>
          <t>AGL FYR - Employee Town Hall - 12.8.26</t>
        </is>
      </c>
      <c r="R184" s="71" t="inlineStr">
        <is>
          <t>PRODUCTION</t>
        </is>
      </c>
    </row>
    <row r="185">
      <c r="P185" s="71" t="inlineStr">
        <is>
          <t>2605402V</t>
        </is>
      </c>
      <c r="Q185" s="71" t="inlineStr">
        <is>
          <t>AGL FYR - Employee Town Hall - 12.8.26</t>
        </is>
      </c>
      <c r="R185" s="71" t="inlineStr">
        <is>
          <t>VIDEO</t>
        </is>
      </c>
    </row>
    <row r="186">
      <c r="P186" s="71" t="inlineStr">
        <is>
          <t>2605403</t>
        </is>
      </c>
      <c r="Q186" s="71" t="inlineStr">
        <is>
          <t>ARUP - Oves Awards - 23.7.26</t>
        </is>
      </c>
      <c r="R186" s="71" t="inlineStr">
        <is>
          <t>PRODUCTION</t>
        </is>
      </c>
    </row>
    <row r="187">
      <c r="P187" s="71" t="inlineStr">
        <is>
          <t>2605403V</t>
        </is>
      </c>
      <c r="Q187" s="71" t="inlineStr">
        <is>
          <t>ARUP - Oves Awards - 23.7.26</t>
        </is>
      </c>
      <c r="R187" s="71" t="inlineStr">
        <is>
          <t>VIDEO</t>
        </is>
      </c>
    </row>
    <row r="188">
      <c r="P188" s="71" t="inlineStr">
        <is>
          <t>2605501</t>
        </is>
      </c>
      <c r="Q188" s="71" t="inlineStr">
        <is>
          <t>DTTL Tech Support AWS AP AI Symposium</t>
        </is>
      </c>
      <c r="R188" s="71" t="inlineStr">
        <is>
          <t>ONSITE</t>
        </is>
      </c>
    </row>
    <row r="189">
      <c r="P189" s="71" t="inlineStr">
        <is>
          <t>2605502</t>
        </is>
      </c>
      <c r="Q189" s="71" t="inlineStr">
        <is>
          <t>CBA BNE - Event Support - 13.5.26</t>
        </is>
      </c>
      <c r="R189" s="71" t="inlineStr">
        <is>
          <t>PRODUCTION</t>
        </is>
      </c>
    </row>
    <row r="190">
      <c r="P190" s="71" t="inlineStr">
        <is>
          <t>2605502V</t>
        </is>
      </c>
      <c r="Q190" s="71" t="inlineStr">
        <is>
          <t>CBA BNE - Event Support - 13.5.26</t>
        </is>
      </c>
      <c r="R190" s="71" t="inlineStr">
        <is>
          <t>VIDEO</t>
        </is>
      </c>
    </row>
    <row r="191">
      <c r="P191" s="71" t="inlineStr">
        <is>
          <t>2605503</t>
        </is>
      </c>
      <c r="Q191" s="71" t="inlineStr">
        <is>
          <t>DTTL L31 reception Led Wall Audio DSP Repair</t>
        </is>
      </c>
      <c r="R191" s="71" t="inlineStr">
        <is>
          <t>INTEGRATION</t>
        </is>
      </c>
    </row>
    <row r="192">
      <c r="P192" s="71" t="inlineStr">
        <is>
          <t>2605605</t>
        </is>
      </c>
      <c r="Q192" s="71" t="inlineStr">
        <is>
          <t>DTTL Hobart AV Fitout</t>
        </is>
      </c>
      <c r="R192" s="71" t="inlineStr">
        <is>
          <t>INTEGRATION</t>
        </is>
      </c>
    </row>
    <row r="193">
      <c r="P193" s="71" t="inlineStr">
        <is>
          <t>2605606</t>
        </is>
      </c>
      <c r="Q193" s="71" t="inlineStr">
        <is>
          <t>Ventia Internal Townhall 8.05.26</t>
        </is>
      </c>
      <c r="R193" s="71" t="inlineStr">
        <is>
          <t>PRODUCTION</t>
        </is>
      </c>
    </row>
    <row r="194">
      <c r="P194" s="71" t="inlineStr">
        <is>
          <t>2605606V</t>
        </is>
      </c>
      <c r="Q194" s="71" t="inlineStr">
        <is>
          <t>Ventia Internal Townhall 8.05.26</t>
        </is>
      </c>
      <c r="R194" s="71" t="inlineStr">
        <is>
          <t>VIDEO</t>
        </is>
      </c>
    </row>
    <row r="195">
      <c r="P195" s="71" t="inlineStr">
        <is>
          <t>2605609</t>
        </is>
      </c>
      <c r="Q195" s="71" t="inlineStr">
        <is>
          <t>ASX - CEO Farewell - 27.5.26</t>
        </is>
      </c>
      <c r="R195" s="71" t="inlineStr">
        <is>
          <t>PRODUCTION</t>
        </is>
      </c>
    </row>
    <row r="196">
      <c r="P196" s="71" t="inlineStr">
        <is>
          <t>2605609V</t>
        </is>
      </c>
      <c r="Q196" s="71" t="inlineStr">
        <is>
          <t>ASX - CEO Farewell - 27.5.26</t>
        </is>
      </c>
      <c r="R196" s="71" t="inlineStr">
        <is>
          <t>VIDEO</t>
        </is>
      </c>
    </row>
    <row r="197">
      <c r="P197" s="71" t="inlineStr">
        <is>
          <t>2605610</t>
        </is>
      </c>
      <c r="Q197" s="71" t="inlineStr">
        <is>
          <t>ASX CEO Farewell Additional Costs</t>
        </is>
      </c>
      <c r="R197" s="71" t="inlineStr">
        <is>
          <t>PRODUCTION</t>
        </is>
      </c>
    </row>
    <row r="198">
      <c r="P198" s="71" t="inlineStr">
        <is>
          <t>2605704</t>
        </is>
      </c>
      <c r="Q198" s="71" t="inlineStr">
        <is>
          <t>CBA CBPS Auditorium Upgrade</t>
        </is>
      </c>
      <c r="R198" s="71" t="inlineStr">
        <is>
          <t>INTEGRATION</t>
        </is>
      </c>
    </row>
    <row r="199">
      <c r="P199" s="71" t="inlineStr">
        <is>
          <t>2605801</t>
        </is>
      </c>
      <c r="Q199" s="71" t="inlineStr">
        <is>
          <t>Dimensional - AV Support - 3-4.6.26</t>
        </is>
      </c>
      <c r="R199" s="71" t="inlineStr">
        <is>
          <t>PRODUCTION</t>
        </is>
      </c>
    </row>
    <row r="200">
      <c r="P200" s="71" t="inlineStr">
        <is>
          <t>2605803</t>
        </is>
      </c>
      <c r="Q200" s="71" t="inlineStr">
        <is>
          <t>St Catherine's - Dedicated Tech - 12.6.26</t>
        </is>
      </c>
      <c r="R200" s="71" t="inlineStr">
        <is>
          <t>PRODUCTION</t>
        </is>
      </c>
    </row>
    <row r="201">
      <c r="P201" s="71" t="inlineStr">
        <is>
          <t>2605804</t>
        </is>
      </c>
      <c r="Q201" s="71" t="inlineStr">
        <is>
          <t>City of Sydney Supply of Barco Projector Shutters</t>
        </is>
      </c>
      <c r="R201" s="71" t="inlineStr">
        <is>
          <t>INTEGRATION</t>
        </is>
      </c>
    </row>
    <row r="202">
      <c r="P202" s="71" t="inlineStr">
        <is>
          <t>2605806</t>
        </is>
      </c>
      <c r="Q202" s="71" t="inlineStr">
        <is>
          <t>Aware Super AV Fitout @ 555 Collins Street MEL</t>
        </is>
      </c>
      <c r="R202" s="71" t="inlineStr">
        <is>
          <t>INTEGRATION</t>
        </is>
      </c>
    </row>
    <row r="203">
      <c r="P203" s="71" t="inlineStr">
        <is>
          <t>26061001</t>
        </is>
      </c>
      <c r="Q203" s="71" t="inlineStr">
        <is>
          <t>Garvan August All Clear Event 25.8.26</t>
        </is>
      </c>
      <c r="R203" s="71" t="inlineStr">
        <is>
          <t>PRODUCTION</t>
        </is>
      </c>
    </row>
    <row r="204">
      <c r="P204" s="71" t="inlineStr">
        <is>
          <t>26061002</t>
        </is>
      </c>
      <c r="Q204" s="71" t="inlineStr">
        <is>
          <t>Optiver - Fireside Event Support - 18.6.26</t>
        </is>
      </c>
      <c r="R204" s="71" t="inlineStr">
        <is>
          <t>PRODUCTION</t>
        </is>
      </c>
    </row>
    <row r="205">
      <c r="P205" s="71" t="inlineStr">
        <is>
          <t>26061002V</t>
        </is>
      </c>
      <c r="Q205" s="71" t="inlineStr">
        <is>
          <t>Optiver - Fireside Event Support - 18.6.26</t>
        </is>
      </c>
      <c r="R205" s="71" t="inlineStr">
        <is>
          <t>VIDEO</t>
        </is>
      </c>
    </row>
    <row r="206">
      <c r="P206" s="71" t="inlineStr">
        <is>
          <t>26061102</t>
        </is>
      </c>
      <c r="Q206" s="71" t="inlineStr">
        <is>
          <t>CSE Invest Sri Lanka | 16.8.26</t>
        </is>
      </c>
      <c r="R206" s="71" t="inlineStr">
        <is>
          <t>PRODUCTION</t>
        </is>
      </c>
    </row>
    <row r="207">
      <c r="P207" s="71" t="inlineStr">
        <is>
          <t>26061102V</t>
        </is>
      </c>
      <c r="Q207" s="71" t="inlineStr">
        <is>
          <t>CSE Invest Sri Lanka | 16.8.26</t>
        </is>
      </c>
      <c r="R207" s="71" t="inlineStr">
        <is>
          <t>VIDEO</t>
        </is>
      </c>
    </row>
    <row r="208">
      <c r="P208" s="71" t="inlineStr">
        <is>
          <t>26061103</t>
        </is>
      </c>
      <c r="Q208" s="71" t="inlineStr">
        <is>
          <t>Circadia Australia Elevate | 14.8.26</t>
        </is>
      </c>
      <c r="R208" s="71" t="inlineStr">
        <is>
          <t>PRODUCTION</t>
        </is>
      </c>
    </row>
    <row r="209">
      <c r="P209" s="71" t="inlineStr">
        <is>
          <t>26061103V</t>
        </is>
      </c>
      <c r="Q209" s="71" t="inlineStr">
        <is>
          <t>Circadia Australia Elevate | 14.8.26</t>
        </is>
      </c>
      <c r="R209" s="71" t="inlineStr">
        <is>
          <t>VIDEO</t>
        </is>
      </c>
    </row>
    <row r="210">
      <c r="P210" s="71" t="inlineStr">
        <is>
          <t>26061104</t>
        </is>
      </c>
      <c r="Q210" s="71" t="inlineStr">
        <is>
          <t>MUFG - FYR26 - 12.8.26</t>
        </is>
      </c>
      <c r="R210" s="71" t="inlineStr">
        <is>
          <t>PRODUCTION</t>
        </is>
      </c>
    </row>
    <row r="211">
      <c r="P211" s="71" t="inlineStr">
        <is>
          <t>26061104V</t>
        </is>
      </c>
      <c r="Q211" s="71" t="inlineStr">
        <is>
          <t>MUFG - FYR26 - 12.8.26</t>
        </is>
      </c>
      <c r="R211" s="71" t="inlineStr">
        <is>
          <t>VIDEO</t>
        </is>
      </c>
    </row>
    <row r="212">
      <c r="P212" s="71" t="inlineStr">
        <is>
          <t>26061105</t>
        </is>
      </c>
      <c r="Q212" s="71" t="inlineStr">
        <is>
          <t>CBA - FYR 2026 - 12.8.26</t>
        </is>
      </c>
      <c r="R212" s="71" t="inlineStr">
        <is>
          <t>PRODUCTION</t>
        </is>
      </c>
    </row>
    <row r="213">
      <c r="P213" s="71" t="inlineStr">
        <is>
          <t>26061105V</t>
        </is>
      </c>
      <c r="Q213" s="71" t="inlineStr">
        <is>
          <t>CBA - FYR 2026 - 12.8.26</t>
        </is>
      </c>
      <c r="R213" s="71" t="inlineStr">
        <is>
          <t>VIDEO</t>
        </is>
      </c>
    </row>
    <row r="214">
      <c r="P214" s="71" t="inlineStr">
        <is>
          <t>26061106</t>
        </is>
      </c>
      <c r="Q214" s="71" t="inlineStr">
        <is>
          <t>TLC Full Year Results MEL</t>
        </is>
      </c>
      <c r="R214" s="71" t="inlineStr">
        <is>
          <t>PRODUCTION</t>
        </is>
      </c>
    </row>
    <row r="215">
      <c r="P215" s="71" t="inlineStr">
        <is>
          <t>26061106V</t>
        </is>
      </c>
      <c r="Q215" s="71" t="inlineStr">
        <is>
          <t>TLC Full Year Results MEL</t>
        </is>
      </c>
      <c r="R215" s="71" t="inlineStr">
        <is>
          <t>VIDEO</t>
        </is>
      </c>
    </row>
    <row r="216">
      <c r="P216" s="71" t="inlineStr">
        <is>
          <t>26061107</t>
        </is>
      </c>
      <c r="Q216" s="71" t="inlineStr">
        <is>
          <t>Downer - FYR 2026 - 20.8.26</t>
        </is>
      </c>
      <c r="R216" s="71" t="inlineStr">
        <is>
          <t>PRODUCTION</t>
        </is>
      </c>
    </row>
    <row r="217">
      <c r="P217" s="71" t="inlineStr">
        <is>
          <t>26061107V</t>
        </is>
      </c>
      <c r="Q217" s="71" t="inlineStr">
        <is>
          <t>Downer - FYR 2026 - 20.8.26</t>
        </is>
      </c>
      <c r="R217" s="71" t="inlineStr">
        <is>
          <t>VIDEO</t>
        </is>
      </c>
    </row>
    <row r="218">
      <c r="P218" s="71" t="inlineStr">
        <is>
          <t>26061108</t>
        </is>
      </c>
      <c r="Q218" s="71" t="inlineStr">
        <is>
          <t>APA - Qtly All Hands FYR26 - 20.8.26</t>
        </is>
      </c>
      <c r="R218" s="71" t="inlineStr">
        <is>
          <t>PRODUCTION</t>
        </is>
      </c>
    </row>
    <row r="219">
      <c r="P219" s="71" t="inlineStr">
        <is>
          <t>26061108V</t>
        </is>
      </c>
      <c r="Q219" s="71" t="inlineStr">
        <is>
          <t>APA - Qtly All Hands FYR26 - 20.8.26</t>
        </is>
      </c>
      <c r="R219" s="71" t="inlineStr">
        <is>
          <t>VIDEO</t>
        </is>
      </c>
    </row>
    <row r="220">
      <c r="P220" s="71" t="inlineStr">
        <is>
          <t>26061109</t>
        </is>
      </c>
      <c r="Q220" s="71" t="inlineStr">
        <is>
          <t>Ventia - FYR26 - 24.8.26</t>
        </is>
      </c>
      <c r="R220" s="71" t="inlineStr">
        <is>
          <t>PRODUCTION</t>
        </is>
      </c>
    </row>
    <row r="221">
      <c r="P221" s="71" t="inlineStr">
        <is>
          <t>26061109V</t>
        </is>
      </c>
      <c r="Q221" s="71" t="inlineStr">
        <is>
          <t>Ventia - FYR26 - 24.8.26</t>
        </is>
      </c>
      <c r="R221" s="71" t="inlineStr">
        <is>
          <t>VIDEO</t>
        </is>
      </c>
    </row>
    <row r="222">
      <c r="P222" s="71" t="inlineStr">
        <is>
          <t>26061201</t>
        </is>
      </c>
      <c r="Q222" s="71" t="inlineStr">
        <is>
          <t>PWC - Firmwide Webcast - 30.6.26</t>
        </is>
      </c>
      <c r="R222" s="71" t="inlineStr">
        <is>
          <t>PRODUCTION</t>
        </is>
      </c>
    </row>
    <row r="223">
      <c r="P223" s="71" t="inlineStr">
        <is>
          <t>26061201V</t>
        </is>
      </c>
      <c r="Q223" s="71" t="inlineStr">
        <is>
          <t>PWC - Firmwide Webcast - 30.6.26</t>
        </is>
      </c>
      <c r="R223" s="71" t="inlineStr">
        <is>
          <t>VIDEO</t>
        </is>
      </c>
    </row>
    <row r="224">
      <c r="P224" s="71" t="inlineStr">
        <is>
          <t>26061202</t>
        </is>
      </c>
      <c r="Q224" s="71" t="inlineStr">
        <is>
          <t>CBA AGM 2027</t>
        </is>
      </c>
      <c r="R224" s="71" t="inlineStr">
        <is>
          <t>PRODUCTION</t>
        </is>
      </c>
    </row>
    <row r="225">
      <c r="P225" s="71" t="inlineStr">
        <is>
          <t>26061202V</t>
        </is>
      </c>
      <c r="Q225" s="71" t="inlineStr">
        <is>
          <t>CBA AGM 2027</t>
        </is>
      </c>
      <c r="R225" s="71" t="inlineStr">
        <is>
          <t>VIDEO</t>
        </is>
      </c>
    </row>
    <row r="226">
      <c r="P226" s="71" t="inlineStr">
        <is>
          <t>26061501</t>
        </is>
      </c>
      <c r="Q226" s="71" t="inlineStr">
        <is>
          <t>DTTL MEL Lv29 Display Supply</t>
        </is>
      </c>
      <c r="R226" s="71" t="inlineStr">
        <is>
          <t>INTEGRATION</t>
        </is>
      </c>
    </row>
    <row r="227">
      <c r="P227" s="71" t="inlineStr">
        <is>
          <t>26061602</t>
        </is>
      </c>
      <c r="Q227" s="71" t="inlineStr">
        <is>
          <t>ASX - CEO Connect (Extended) - 1.9.26</t>
        </is>
      </c>
      <c r="R227" s="71" t="inlineStr">
        <is>
          <t>PRODUCTION</t>
        </is>
      </c>
    </row>
    <row r="228">
      <c r="P228" s="71" t="inlineStr">
        <is>
          <t>26061602V</t>
        </is>
      </c>
      <c r="Q228" s="71" t="inlineStr">
        <is>
          <t>ASX - CEO Connect (Extended) - 1.9.26</t>
        </is>
      </c>
      <c r="R228" s="71" t="inlineStr">
        <is>
          <t>VIDEO</t>
        </is>
      </c>
    </row>
    <row r="229">
      <c r="P229" s="71" t="inlineStr">
        <is>
          <t>26061605</t>
        </is>
      </c>
      <c r="Q229" s="71" t="inlineStr">
        <is>
          <t>MUFG - IBM Ltd AGM - 27.10.26</t>
        </is>
      </c>
      <c r="R229" s="71" t="inlineStr">
        <is>
          <t>PRODUCTION</t>
        </is>
      </c>
    </row>
    <row r="230">
      <c r="P230" s="71" t="inlineStr">
        <is>
          <t>26061605V</t>
        </is>
      </c>
      <c r="Q230" s="71" t="inlineStr">
        <is>
          <t>MUFG - IBM Ltd AGM - 27.10.26</t>
        </is>
      </c>
      <c r="R230" s="71" t="inlineStr">
        <is>
          <t>VIDEO</t>
        </is>
      </c>
    </row>
    <row r="231">
      <c r="P231" s="71" t="inlineStr">
        <is>
          <t>26061606</t>
        </is>
      </c>
      <c r="Q231" s="71" t="inlineStr">
        <is>
          <t>MUFG - Endeavour AGM - 30.10.26</t>
        </is>
      </c>
      <c r="R231" s="71" t="inlineStr">
        <is>
          <t>PRODUCTION</t>
        </is>
      </c>
    </row>
    <row r="232">
      <c r="P232" s="71" t="inlineStr">
        <is>
          <t>26061606V</t>
        </is>
      </c>
      <c r="Q232" s="71" t="inlineStr">
        <is>
          <t>MUFG - Endeavour AGM - 30.10.26</t>
        </is>
      </c>
      <c r="R232" s="71" t="inlineStr">
        <is>
          <t>VIDEO</t>
        </is>
      </c>
    </row>
    <row r="233">
      <c r="P233" s="71" t="inlineStr">
        <is>
          <t>26061607</t>
        </is>
      </c>
      <c r="Q233" s="71" t="inlineStr">
        <is>
          <t>APA - Qtly All Hands (BNE) - 4.11.26</t>
        </is>
      </c>
      <c r="R233" s="71" t="inlineStr">
        <is>
          <t>PRODUCTION</t>
        </is>
      </c>
    </row>
    <row r="234">
      <c r="P234" s="71" t="inlineStr">
        <is>
          <t>26061607V</t>
        </is>
      </c>
      <c r="Q234" s="71" t="inlineStr">
        <is>
          <t>APA - Qtly All Hands (BNE) - 4.11.26</t>
        </is>
      </c>
      <c r="R234" s="71" t="inlineStr">
        <is>
          <t>VIDEO</t>
        </is>
      </c>
    </row>
    <row r="235">
      <c r="P235" s="71" t="inlineStr">
        <is>
          <t>26061608</t>
        </is>
      </c>
      <c r="Q235" s="71" t="inlineStr">
        <is>
          <t>APA - Qtly All Hands Sydney - Feb 27</t>
        </is>
      </c>
      <c r="R235" s="71" t="inlineStr">
        <is>
          <t>PRODUCTION</t>
        </is>
      </c>
    </row>
    <row r="236">
      <c r="P236" s="71" t="inlineStr">
        <is>
          <t>26061608V</t>
        </is>
      </c>
      <c r="Q236" s="71" t="inlineStr">
        <is>
          <t>APA - Qtly All Hands Sydney - Feb 27</t>
        </is>
      </c>
      <c r="R236" s="71" t="inlineStr">
        <is>
          <t>VIDEO</t>
        </is>
      </c>
    </row>
    <row r="237">
      <c r="P237" s="71" t="inlineStr">
        <is>
          <t>26061609</t>
        </is>
      </c>
      <c r="Q237" s="71" t="inlineStr">
        <is>
          <t>APA Qtly All Hands Perth - May 2027</t>
        </is>
      </c>
      <c r="R237" s="71" t="inlineStr">
        <is>
          <t>PRODUCTION</t>
        </is>
      </c>
    </row>
    <row r="238">
      <c r="P238" s="71" t="inlineStr">
        <is>
          <t>26061609V</t>
        </is>
      </c>
      <c r="Q238" s="71" t="inlineStr">
        <is>
          <t>APA Qtly All Hands Perth - May 2027</t>
        </is>
      </c>
      <c r="R238" s="71" t="inlineStr">
        <is>
          <t>VIDEO</t>
        </is>
      </c>
    </row>
    <row r="239">
      <c r="P239" s="71" t="inlineStr">
        <is>
          <t>26061611</t>
        </is>
      </c>
      <c r="Q239" s="71" t="inlineStr">
        <is>
          <t>QBE - Keynote Event - 27.10.26</t>
        </is>
      </c>
      <c r="R239" s="71" t="inlineStr">
        <is>
          <t>PRODUCTION</t>
        </is>
      </c>
    </row>
    <row r="240">
      <c r="P240" s="71" t="inlineStr">
        <is>
          <t>26061611V</t>
        </is>
      </c>
      <c r="Q240" s="71" t="inlineStr">
        <is>
          <t>QBE - Keynote Event - 27.10.26</t>
        </is>
      </c>
      <c r="R240" s="71" t="inlineStr">
        <is>
          <t>VIDEO</t>
        </is>
      </c>
    </row>
    <row r="241">
      <c r="P241" s="71" t="inlineStr">
        <is>
          <t>26061612</t>
        </is>
      </c>
      <c r="Q241" s="71" t="inlineStr">
        <is>
          <t>Chorus Call - Redox AGM - 7.10.26</t>
        </is>
      </c>
      <c r="R241" s="71" t="inlineStr">
        <is>
          <t>PRODUCTION</t>
        </is>
      </c>
    </row>
    <row r="242">
      <c r="P242" s="71" t="inlineStr">
        <is>
          <t>26061612V</t>
        </is>
      </c>
      <c r="Q242" s="71" t="inlineStr">
        <is>
          <t>Chorus Call - Redox AGM - 7.10.26</t>
        </is>
      </c>
      <c r="R242" s="71" t="inlineStr">
        <is>
          <t>VIDEO</t>
        </is>
      </c>
    </row>
    <row r="243">
      <c r="P243" s="71" t="inlineStr">
        <is>
          <t>26061701</t>
        </is>
      </c>
      <c r="Q243" s="71" t="inlineStr">
        <is>
          <t>CBA - LES - July 2026</t>
        </is>
      </c>
      <c r="R243" s="71" t="inlineStr">
        <is>
          <t>PRODUCTION</t>
        </is>
      </c>
    </row>
    <row r="244">
      <c r="P244" s="71" t="inlineStr">
        <is>
          <t>26061702</t>
        </is>
      </c>
      <c r="Q244" s="71" t="inlineStr">
        <is>
          <t>Garvan - Morning Tea Event - 31.7.26</t>
        </is>
      </c>
      <c r="R244" s="71" t="inlineStr">
        <is>
          <t>PRODUCTION</t>
        </is>
      </c>
    </row>
    <row r="245">
      <c r="P245" s="71" t="inlineStr">
        <is>
          <t>26061801</t>
        </is>
      </c>
      <c r="Q245" s="71" t="inlineStr">
        <is>
          <t>APA - Investor Briefing FYR26 - 20.8.26</t>
        </is>
      </c>
      <c r="R245" s="71" t="inlineStr">
        <is>
          <t>PRODUCTION</t>
        </is>
      </c>
    </row>
    <row r="246">
      <c r="P246" s="71" t="inlineStr">
        <is>
          <t>26061801V</t>
        </is>
      </c>
      <c r="Q246" s="71" t="inlineStr">
        <is>
          <t>APA - Investor Briefing FYR26 - 20.8.26</t>
        </is>
      </c>
      <c r="R246" s="71" t="inlineStr">
        <is>
          <t>VIDEO</t>
        </is>
      </c>
    </row>
    <row r="247">
      <c r="P247" s="71" t="inlineStr">
        <is>
          <t>26062201</t>
        </is>
      </c>
      <c r="Q247" s="71" t="inlineStr">
        <is>
          <t>PWC - Tax &amp; Legal Webcast 02.07.26</t>
        </is>
      </c>
      <c r="R247" s="71" t="inlineStr">
        <is>
          <t>PRODUCTION</t>
        </is>
      </c>
    </row>
    <row r="248">
      <c r="P248" s="71" t="inlineStr">
        <is>
          <t>26062201V</t>
        </is>
      </c>
      <c r="Q248" s="71" t="inlineStr">
        <is>
          <t>PWC - Tax &amp; Legal Webcast 02.07.26</t>
        </is>
      </c>
      <c r="R248" s="71" t="inlineStr">
        <is>
          <t>VIDEO</t>
        </is>
      </c>
    </row>
    <row r="249">
      <c r="P249" s="71" t="inlineStr">
        <is>
          <t>26062202</t>
        </is>
      </c>
      <c r="Q249" s="71" t="inlineStr">
        <is>
          <t>PWC - Early Careers Webcast - 29.7.26</t>
        </is>
      </c>
      <c r="R249" s="71" t="inlineStr">
        <is>
          <t>PRODUCTION</t>
        </is>
      </c>
    </row>
    <row r="250">
      <c r="P250" s="71" t="inlineStr">
        <is>
          <t>26062202V</t>
        </is>
      </c>
      <c r="Q250" s="71" t="inlineStr">
        <is>
          <t>PWC - Early Careers Webcast - 29.7.26</t>
        </is>
      </c>
      <c r="R250" s="71" t="inlineStr">
        <is>
          <t>VIDEO</t>
        </is>
      </c>
    </row>
    <row r="251">
      <c r="P251" s="71" t="inlineStr">
        <is>
          <t>26062403</t>
        </is>
      </c>
      <c r="Q251" s="71" t="inlineStr">
        <is>
          <t>CBA - CommBank Private Hosting 25.6.26</t>
        </is>
      </c>
      <c r="R251" s="71" t="inlineStr">
        <is>
          <t>PRODUCTION</t>
        </is>
      </c>
    </row>
    <row r="252">
      <c r="P252" s="71" t="inlineStr">
        <is>
          <t>26062403V</t>
        </is>
      </c>
      <c r="Q252" s="71" t="inlineStr">
        <is>
          <t>CBA - CommBank Private Hosting 25.6.26</t>
        </is>
      </c>
      <c r="R252" s="71" t="inlineStr">
        <is>
          <t>VIDEO</t>
        </is>
      </c>
    </row>
    <row r="253">
      <c r="P253" s="71" t="inlineStr">
        <is>
          <t>26062501</t>
        </is>
      </c>
      <c r="Q253" s="71" t="inlineStr">
        <is>
          <t>DTTL STL Travel (SYD-MEL Return)</t>
        </is>
      </c>
      <c r="R253" s="71" t="inlineStr">
        <is>
          <t>ONSITE</t>
        </is>
      </c>
    </row>
    <row r="254">
      <c r="P254" s="71" t="inlineStr">
        <is>
          <t>26062503</t>
        </is>
      </c>
      <c r="Q254" s="71" t="inlineStr">
        <is>
          <t>Aware Super 24.16 UC Engine Replacement</t>
        </is>
      </c>
      <c r="R254" s="71" t="inlineStr">
        <is>
          <t>INTEGRATION</t>
        </is>
      </c>
    </row>
    <row r="255">
      <c r="P255" s="71" t="inlineStr">
        <is>
          <t>26062601</t>
        </is>
      </c>
      <c r="Q255" s="71" t="inlineStr">
        <is>
          <t>Ventia - XELT Event - 29.6.26</t>
        </is>
      </c>
      <c r="R255" s="71" t="inlineStr">
        <is>
          <t>PRODUCTION</t>
        </is>
      </c>
    </row>
    <row r="256">
      <c r="P256" s="71" t="inlineStr">
        <is>
          <t>26062601V</t>
        </is>
      </c>
      <c r="Q256" s="71" t="inlineStr">
        <is>
          <t>Ventia - XELT Event - 29.6.26</t>
        </is>
      </c>
      <c r="R256" s="71" t="inlineStr">
        <is>
          <t>VIDEO</t>
        </is>
      </c>
    </row>
    <row r="257">
      <c r="P257" s="71" t="inlineStr">
        <is>
          <t>26062901</t>
        </is>
      </c>
      <c r="Q257" s="71" t="inlineStr">
        <is>
          <t>Aware | SYD 28.06 Services</t>
        </is>
      </c>
      <c r="R257" s="71" t="inlineStr">
        <is>
          <t>INTEGRATION</t>
        </is>
      </c>
    </row>
    <row r="258">
      <c r="P258" s="71" t="inlineStr">
        <is>
          <t>26062902</t>
        </is>
      </c>
      <c r="Q258" s="71" t="inlineStr">
        <is>
          <t>Aware | SYD Occupancy Sensors</t>
        </is>
      </c>
      <c r="R258" s="71" t="inlineStr">
        <is>
          <t>INTEGRATION</t>
        </is>
      </c>
    </row>
    <row r="259">
      <c r="P259" s="71" t="inlineStr">
        <is>
          <t>26063002</t>
        </is>
      </c>
      <c r="Q259" s="71" t="inlineStr">
        <is>
          <t>CEOi - CEO Connect - 11.8.26</t>
        </is>
      </c>
      <c r="R259" s="71" t="inlineStr">
        <is>
          <t>PRODUCTION</t>
        </is>
      </c>
    </row>
    <row r="260">
      <c r="P260" s="71" t="inlineStr">
        <is>
          <t>26063002V</t>
        </is>
      </c>
      <c r="Q260" s="71" t="inlineStr">
        <is>
          <t>CEOi - CEO Connect - 11.8.26</t>
        </is>
      </c>
      <c r="R260" s="71" t="inlineStr">
        <is>
          <t>VIDEO</t>
        </is>
      </c>
    </row>
    <row r="261">
      <c r="P261" s="71" t="inlineStr">
        <is>
          <t>2606401V</t>
        </is>
      </c>
      <c r="Q261" s="71" t="inlineStr">
        <is>
          <t>PWC - NRW Webcast - 11.6.26</t>
        </is>
      </c>
      <c r="R261" s="71" t="inlineStr">
        <is>
          <t>VIDEO</t>
        </is>
      </c>
    </row>
    <row r="262">
      <c r="P262" s="71" t="inlineStr">
        <is>
          <t>2606901</t>
        </is>
      </c>
      <c r="Q262" s="71" t="inlineStr">
        <is>
          <t>PwC | Syd Studio Equipment</t>
        </is>
      </c>
      <c r="R262" s="71" t="inlineStr">
        <is>
          <t>INTEGRATION</t>
        </is>
      </c>
    </row>
    <row r="263">
      <c r="P263" s="71" t="inlineStr">
        <is>
          <t>2606902</t>
        </is>
      </c>
      <c r="Q263" s="71" t="inlineStr">
        <is>
          <t>AVIT - Taronga AV Support - 9-11.6.26</t>
        </is>
      </c>
      <c r="R263" s="71" t="inlineStr">
        <is>
          <t>PRODUCTION</t>
        </is>
      </c>
    </row>
    <row r="264">
      <c r="P264" s="71" t="inlineStr">
        <is>
          <t>2606903</t>
        </is>
      </c>
      <c r="Q264" s="71" t="inlineStr">
        <is>
          <t>Virgin FY26 Results</t>
        </is>
      </c>
      <c r="R264" s="71" t="inlineStr">
        <is>
          <t>PRODUCTION</t>
        </is>
      </c>
    </row>
    <row r="265">
      <c r="P265" s="71" t="inlineStr">
        <is>
          <t>2606903V</t>
        </is>
      </c>
      <c r="Q265" s="71" t="inlineStr">
        <is>
          <t>Virgin FY26 Results</t>
        </is>
      </c>
      <c r="R265" s="71" t="inlineStr">
        <is>
          <t>VIDEO</t>
        </is>
      </c>
    </row>
    <row r="266">
      <c r="P266" s="71" t="inlineStr">
        <is>
          <t>2606904</t>
        </is>
      </c>
      <c r="Q266" s="71" t="inlineStr">
        <is>
          <t>Symal - FYR26 (Melb) - 24.8.26</t>
        </is>
      </c>
      <c r="R266" s="71" t="inlineStr">
        <is>
          <t>PRODUCTION</t>
        </is>
      </c>
    </row>
    <row r="267">
      <c r="P267" s="71" t="inlineStr">
        <is>
          <t>2606904V</t>
        </is>
      </c>
      <c r="Q267" s="71" t="inlineStr">
        <is>
          <t>Symal - FYR26 (Melb) - 24.8.26</t>
        </is>
      </c>
      <c r="R267" s="71" t="inlineStr">
        <is>
          <t>VIDEO</t>
        </is>
      </c>
    </row>
    <row r="268">
      <c r="P268" s="71" t="inlineStr">
        <is>
          <t>2606905</t>
        </is>
      </c>
      <c r="Q268" s="71" t="inlineStr">
        <is>
          <t>Dimensional - Audio Tech Support - 22.6.26</t>
        </is>
      </c>
      <c r="R268" s="71" t="inlineStr">
        <is>
          <t>PRODUCTION</t>
        </is>
      </c>
    </row>
    <row r="269">
      <c r="P269" s="71" t="inlineStr">
        <is>
          <t>2606906</t>
        </is>
      </c>
      <c r="Q269" s="71" t="inlineStr">
        <is>
          <t>St Catherines Case Study Video Non-Chrgable</t>
        </is>
      </c>
      <c r="R269" s="71" t="inlineStr">
        <is>
          <t>VIDEO</t>
        </is>
      </c>
    </row>
    <row r="270">
      <c r="P270" s="71" t="inlineStr">
        <is>
          <t>26071303</t>
        </is>
      </c>
      <c r="Q270" s="71" t="inlineStr">
        <is>
          <t>Ventia - Melbourne Office Event - 30.7.26</t>
        </is>
      </c>
      <c r="R270" s="71" t="inlineStr">
        <is>
          <t>PRODUCTION</t>
        </is>
      </c>
    </row>
    <row r="271">
      <c r="P271" s="71" t="inlineStr">
        <is>
          <t>26071304</t>
        </is>
      </c>
      <c r="Q271" s="71" t="inlineStr">
        <is>
          <t>YSG | Orange Room Upgrade</t>
        </is>
      </c>
      <c r="R271" s="71" t="inlineStr">
        <is>
          <t>INTEGRATION</t>
        </is>
      </c>
    </row>
    <row r="272">
      <c r="P272" s="71" t="inlineStr">
        <is>
          <t>26071403</t>
        </is>
      </c>
      <c r="Q272" s="71" t="inlineStr">
        <is>
          <t>Elkiem - Studio Support - 4.11.26</t>
        </is>
      </c>
      <c r="R272" s="71" t="inlineStr">
        <is>
          <t>PRODUCTION</t>
        </is>
      </c>
    </row>
    <row r="273">
      <c r="P273" s="71" t="inlineStr">
        <is>
          <t>26071404</t>
        </is>
      </c>
      <c r="Q273" s="71" t="inlineStr">
        <is>
          <t>Elkiem - Studio Support - 9.12.26</t>
        </is>
      </c>
      <c r="R273" s="71" t="inlineStr">
        <is>
          <t>PRODUCTION</t>
        </is>
      </c>
    </row>
    <row r="274">
      <c r="P274" s="71" t="inlineStr">
        <is>
          <t>26071405</t>
        </is>
      </c>
      <c r="Q274" s="71" t="inlineStr">
        <is>
          <t>PWC - Event Technician - 29.7.26</t>
        </is>
      </c>
      <c r="R274" s="71" t="inlineStr">
        <is>
          <t>PRODUCTION</t>
        </is>
      </c>
    </row>
    <row r="275">
      <c r="P275" s="71" t="inlineStr">
        <is>
          <t>26071501</t>
        </is>
      </c>
      <c r="Q275" s="71" t="inlineStr">
        <is>
          <t>Ventia - Half Year Results Briefing - 24.8.26</t>
        </is>
      </c>
      <c r="R275" s="71" t="inlineStr">
        <is>
          <t>PRODUCTION</t>
        </is>
      </c>
    </row>
    <row r="276">
      <c r="P276" s="71" t="inlineStr">
        <is>
          <t>26071501V</t>
        </is>
      </c>
      <c r="Q276" s="71" t="inlineStr">
        <is>
          <t>Ventia - Half Year Results Briefing - 24.8.26</t>
        </is>
      </c>
      <c r="R276" s="71" t="inlineStr">
        <is>
          <t>VIDEO</t>
        </is>
      </c>
    </row>
    <row r="277">
      <c r="P277" s="71" t="inlineStr">
        <is>
          <t>26071601</t>
        </is>
      </c>
      <c r="Q277" s="71" t="inlineStr">
        <is>
          <t>Aware | PER | Barry Marshall and Albany Rooms BYOD USB-C Replcmnt</t>
        </is>
      </c>
      <c r="R277" s="71" t="inlineStr">
        <is>
          <t>INTEGRATION</t>
        </is>
      </c>
    </row>
    <row r="278">
      <c r="P278" s="71" t="inlineStr">
        <is>
          <t>26071701</t>
        </is>
      </c>
      <c r="Q278" s="71" t="inlineStr">
        <is>
          <t>ASX Live - 9.9.26</t>
        </is>
      </c>
      <c r="R278" s="71" t="inlineStr">
        <is>
          <t>PRODUCTION</t>
        </is>
      </c>
    </row>
    <row r="279">
      <c r="P279" s="71" t="inlineStr">
        <is>
          <t>26071701V</t>
        </is>
      </c>
      <c r="Q279" s="71" t="inlineStr">
        <is>
          <t>ASX Live - 9.9.26</t>
        </is>
      </c>
      <c r="R279" s="71" t="inlineStr">
        <is>
          <t>VIDEO</t>
        </is>
      </c>
    </row>
    <row r="280">
      <c r="P280" s="71" t="inlineStr">
        <is>
          <t>26071901</t>
        </is>
      </c>
      <c r="Q280" s="71" t="inlineStr">
        <is>
          <t>Elkiem - Studio Support - 11.8.26</t>
        </is>
      </c>
      <c r="R280" s="71" t="inlineStr">
        <is>
          <t>PRODUCTION</t>
        </is>
      </c>
    </row>
    <row r="281">
      <c r="P281" s="71" t="inlineStr">
        <is>
          <t>26072003</t>
        </is>
      </c>
      <c r="Q281" s="71" t="inlineStr">
        <is>
          <t>CBA Live Event Support August 2026</t>
        </is>
      </c>
      <c r="R281" s="71" t="inlineStr">
        <is>
          <t>PRODUCTION</t>
        </is>
      </c>
    </row>
    <row r="282">
      <c r="P282" s="71" t="inlineStr">
        <is>
          <t>26072101</t>
        </is>
      </c>
      <c r="Q282" s="71" t="inlineStr">
        <is>
          <t>Aware MEL 17.02 Amp Replacement</t>
        </is>
      </c>
      <c r="R282" s="71" t="inlineStr">
        <is>
          <t>INTEGRATION</t>
        </is>
      </c>
    </row>
    <row r="283">
      <c r="P283" s="71" t="inlineStr">
        <is>
          <t>26072101</t>
        </is>
      </c>
      <c r="Q283" s="71" t="inlineStr">
        <is>
          <t>Aware_Mel 17.02 Amp Replacement</t>
        </is>
      </c>
      <c r="R283" s="71" t="inlineStr">
        <is>
          <t>INTEGRATION</t>
        </is>
      </c>
    </row>
    <row r="284">
      <c r="P284" s="71" t="inlineStr">
        <is>
          <t>26072102</t>
        </is>
      </c>
      <c r="Q284" s="71" t="inlineStr">
        <is>
          <t>Ventia - RUOK? Day - 10.09.2026</t>
        </is>
      </c>
      <c r="R284" s="71" t="inlineStr">
        <is>
          <t>PRODUCTION</t>
        </is>
      </c>
    </row>
    <row r="285">
      <c r="P285" s="71" t="inlineStr">
        <is>
          <t>26072102V</t>
        </is>
      </c>
      <c r="Q285" s="71" t="inlineStr">
        <is>
          <t>Ventia - RUOK? Day - 10.09.2026</t>
        </is>
      </c>
      <c r="R285" s="71" t="inlineStr">
        <is>
          <t>VIDEO</t>
        </is>
      </c>
    </row>
    <row r="286">
      <c r="P286" s="71" t="inlineStr">
        <is>
          <t>26072802</t>
        </is>
      </c>
      <c r="Q286" s="71" t="inlineStr">
        <is>
          <t>ON24 KWM Sydney Event - 18.08.2026</t>
        </is>
      </c>
      <c r="R286" s="71" t="inlineStr">
        <is>
          <t>PRODUCTION</t>
        </is>
      </c>
    </row>
    <row r="287">
      <c r="P287" s="71" t="inlineStr">
        <is>
          <t>26072802V</t>
        </is>
      </c>
      <c r="Q287" s="71" t="inlineStr">
        <is>
          <t>ON24 KWM Sydney Event - 18.08.2026</t>
        </is>
      </c>
      <c r="R287" s="71" t="inlineStr">
        <is>
          <t>VIDEO</t>
        </is>
      </c>
    </row>
    <row r="288">
      <c r="P288" s="71" t="inlineStr">
        <is>
          <t>26072902</t>
        </is>
      </c>
      <c r="Q288" s="71" t="inlineStr">
        <is>
          <t>PWC AI Townhall 6.8.26</t>
        </is>
      </c>
      <c r="R288" s="71" t="inlineStr">
        <is>
          <t>PRODUCTION</t>
        </is>
      </c>
    </row>
    <row r="289">
      <c r="P289" s="71" t="inlineStr">
        <is>
          <t>26072902V</t>
        </is>
      </c>
      <c r="Q289" s="71" t="inlineStr">
        <is>
          <t>PWC AI Townhall 6.8.26</t>
        </is>
      </c>
      <c r="R289" s="71" t="inlineStr">
        <is>
          <t>VIDEO</t>
        </is>
      </c>
    </row>
    <row r="290">
      <c r="P290" s="71" t="inlineStr">
        <is>
          <t>26072903</t>
        </is>
      </c>
      <c r="Q290" s="71" t="inlineStr">
        <is>
          <t>PWC - GB Webcast - 11.8.26</t>
        </is>
      </c>
      <c r="R290" s="71" t="inlineStr">
        <is>
          <t>PRODUCTION</t>
        </is>
      </c>
    </row>
    <row r="291">
      <c r="P291" s="71" t="inlineStr">
        <is>
          <t>26072903V</t>
        </is>
      </c>
      <c r="Q291" s="71" t="inlineStr">
        <is>
          <t>PWC - GB Webcast - 11.8.26</t>
        </is>
      </c>
      <c r="R291" s="71" t="inlineStr">
        <is>
          <t>VIDEO</t>
        </is>
      </c>
    </row>
    <row r="292">
      <c r="P292" s="71" t="inlineStr">
        <is>
          <t>26072906</t>
        </is>
      </c>
      <c r="Q292" s="71" t="inlineStr">
        <is>
          <t>ASX Advisory Group on Corporate Governance</t>
        </is>
      </c>
      <c r="R292" s="71" t="inlineStr">
        <is>
          <t>PRODUCTION</t>
        </is>
      </c>
    </row>
    <row r="293">
      <c r="P293" s="71" t="inlineStr">
        <is>
          <t>26072906V</t>
        </is>
      </c>
      <c r="Q293" s="71" t="inlineStr">
        <is>
          <t>ASX Advisory Group on Corporate Governance</t>
        </is>
      </c>
      <c r="R293" s="71" t="inlineStr">
        <is>
          <t>VIDEO</t>
        </is>
      </c>
    </row>
    <row r="294">
      <c r="P294" s="71" t="inlineStr">
        <is>
          <t>26073103</t>
        </is>
      </c>
      <c r="Q294" s="71" t="inlineStr">
        <is>
          <t>DTTL PER AV &amp; Hospitality Tech (SEP26-FEB27)</t>
        </is>
      </c>
      <c r="R294" s="71" t="inlineStr">
        <is>
          <t>ONSITE</t>
        </is>
      </c>
    </row>
    <row r="295">
      <c r="P295" s="71" t="inlineStr">
        <is>
          <t>26073103N</t>
        </is>
      </c>
      <c r="Q295" s="71" t="inlineStr">
        <is>
          <t>DTTL PER AV &amp; Hospitality Tech (SEP26-FEB27) [ONS] non-chargeable</t>
        </is>
      </c>
      <c r="R295" s="71" t="inlineStr"/>
    </row>
    <row r="296">
      <c r="P296" s="71" t="inlineStr">
        <is>
          <t>26073105</t>
        </is>
      </c>
      <c r="Q296" s="71" t="inlineStr">
        <is>
          <t>Elkiem - Studio Support - 25.8.26</t>
        </is>
      </c>
      <c r="R296" s="71" t="inlineStr">
        <is>
          <t>PRODUCTION</t>
        </is>
      </c>
    </row>
    <row r="297">
      <c r="P297" s="71" t="inlineStr">
        <is>
          <t>26073106</t>
        </is>
      </c>
      <c r="Q297" s="71" t="inlineStr">
        <is>
          <t>Elkiem - Studio Support - 18.9.26</t>
        </is>
      </c>
      <c r="R297" s="71" t="inlineStr">
        <is>
          <t>PRODUCTION</t>
        </is>
      </c>
    </row>
    <row r="298">
      <c r="P298" s="71" t="inlineStr">
        <is>
          <t>26073107</t>
        </is>
      </c>
      <c r="Q298" s="71" t="inlineStr">
        <is>
          <t>DTTL Travel for Technician &amp; Coverage ADL-HOB</t>
        </is>
      </c>
      <c r="R298" s="71" t="inlineStr">
        <is>
          <t>ONSITE</t>
        </is>
      </c>
    </row>
    <row r="299">
      <c r="P299" s="71" t="inlineStr">
        <is>
          <t>26073110</t>
        </is>
      </c>
      <c r="Q299" s="71" t="inlineStr">
        <is>
          <t>Garvan - Weizmann Dinner Event - 20.8.26</t>
        </is>
      </c>
      <c r="R299" s="71" t="inlineStr">
        <is>
          <t>PRODUCTION</t>
        </is>
      </c>
    </row>
    <row r="300">
      <c r="P300" s="71" t="inlineStr">
        <is>
          <t>26073110V</t>
        </is>
      </c>
      <c r="Q300" s="71" t="inlineStr">
        <is>
          <t>Garvan - Weizmann Dinner Event - 20.8.26</t>
        </is>
      </c>
      <c r="R300" s="71" t="inlineStr">
        <is>
          <t>VIDEO</t>
        </is>
      </c>
    </row>
    <row r="301">
      <c r="P301" s="71" t="inlineStr">
        <is>
          <t>26073111</t>
        </is>
      </c>
      <c r="Q301" s="71" t="inlineStr">
        <is>
          <t>Downer - FYR &amp; Employee Webcast - 25.8.26</t>
        </is>
      </c>
      <c r="R301" s="71" t="inlineStr">
        <is>
          <t>PRODUCTION</t>
        </is>
      </c>
    </row>
    <row r="302">
      <c r="P302" s="71" t="inlineStr">
        <is>
          <t>26073111V</t>
        </is>
      </c>
      <c r="Q302" s="71" t="inlineStr">
        <is>
          <t>Downer - FYR &amp; Employee Webcast - 25.8.26</t>
        </is>
      </c>
      <c r="R302" s="71" t="inlineStr">
        <is>
          <t>VIDEO</t>
        </is>
      </c>
    </row>
    <row r="303">
      <c r="P303" s="71" t="inlineStr">
        <is>
          <t>2607703</t>
        </is>
      </c>
      <c r="Q303" s="71" t="inlineStr">
        <is>
          <t>Garvan - YPO Event - 6.8.2026</t>
        </is>
      </c>
      <c r="R303" s="71" t="inlineStr">
        <is>
          <t>PRODUCTION</t>
        </is>
      </c>
    </row>
    <row r="304">
      <c r="P304" s="71" t="inlineStr">
        <is>
          <t>2607703V</t>
        </is>
      </c>
      <c r="Q304" s="71" t="inlineStr">
        <is>
          <t>Garvan - YPO Event - 6.8.2026</t>
        </is>
      </c>
      <c r="R304" s="71" t="inlineStr">
        <is>
          <t>VIDEO</t>
        </is>
      </c>
    </row>
    <row r="305">
      <c r="P305" s="71" t="inlineStr">
        <is>
          <t>2608101</t>
        </is>
      </c>
      <c r="Q305" s="71" t="inlineStr">
        <is>
          <t>ART - AMM Captioning - 25.11.26</t>
        </is>
      </c>
      <c r="R305" s="71" t="inlineStr">
        <is>
          <t>PRODUCTION</t>
        </is>
      </c>
    </row>
    <row r="306">
      <c r="P306" s="71" t="inlineStr">
        <is>
          <t>2608101V</t>
        </is>
      </c>
      <c r="Q306" s="71" t="inlineStr">
        <is>
          <t>ART - AMM Captioning - 25.11.26</t>
        </is>
      </c>
      <c r="R306" s="71" t="inlineStr">
        <is>
          <t>VIDEO</t>
        </is>
      </c>
    </row>
    <row r="307">
      <c r="P307" s="71" t="inlineStr">
        <is>
          <t>2608102</t>
        </is>
      </c>
      <c r="Q307" s="71" t="inlineStr">
        <is>
          <t>ART - Education Session Captioning - 25.11.26</t>
        </is>
      </c>
      <c r="R307" s="71" t="inlineStr">
        <is>
          <t>PRODUCTION</t>
        </is>
      </c>
    </row>
    <row r="308">
      <c r="P308" s="71" t="inlineStr">
        <is>
          <t>26081101</t>
        </is>
      </c>
      <c r="Q308" s="71" t="inlineStr">
        <is>
          <t>Vega Global - Payments Forum - 17.9.26</t>
        </is>
      </c>
      <c r="R308" s="71" t="inlineStr">
        <is>
          <t>PRODUCTION</t>
        </is>
      </c>
    </row>
    <row r="309">
      <c r="P309" s="71" t="inlineStr">
        <is>
          <t>26081302</t>
        </is>
      </c>
      <c r="Q309" s="71" t="inlineStr">
        <is>
          <t>Ubank - Volunteer Day - 11.11.26</t>
        </is>
      </c>
      <c r="R309" s="71" t="inlineStr">
        <is>
          <t>PRODUCTION</t>
        </is>
      </c>
    </row>
    <row r="310">
      <c r="P310" s="71" t="inlineStr">
        <is>
          <t>26081302V</t>
        </is>
      </c>
      <c r="Q310" s="71" t="inlineStr">
        <is>
          <t>Ubank - Volunteer Day - 11.11.26</t>
        </is>
      </c>
      <c r="R310" s="71" t="inlineStr">
        <is>
          <t>VIDEO</t>
        </is>
      </c>
    </row>
    <row r="311">
      <c r="P311" s="71" t="inlineStr">
        <is>
          <t>26081402</t>
        </is>
      </c>
      <c r="Q311" s="71" t="inlineStr">
        <is>
          <t>Dimensional - AV Support - 19.8.26</t>
        </is>
      </c>
      <c r="R311" s="71" t="inlineStr">
        <is>
          <t>PRODUCTION</t>
        </is>
      </c>
    </row>
    <row r="312">
      <c r="P312" s="71" t="inlineStr">
        <is>
          <t>26081801</t>
        </is>
      </c>
      <c r="Q312" s="71" t="inlineStr">
        <is>
          <t>Microsoft - SME&amp;C Town Hall 14.10.2026</t>
        </is>
      </c>
      <c r="R312" s="71" t="inlineStr">
        <is>
          <t>PRODUCTION</t>
        </is>
      </c>
    </row>
    <row r="313">
      <c r="P313" s="71" t="inlineStr">
        <is>
          <t>26081801V</t>
        </is>
      </c>
      <c r="Q313" s="71" t="inlineStr">
        <is>
          <t>Microsoft - SME&amp;C Town Hall 14.10.2026</t>
        </is>
      </c>
      <c r="R313" s="71" t="inlineStr">
        <is>
          <t>VIDEO</t>
        </is>
      </c>
    </row>
    <row r="314">
      <c r="P314" s="71" t="inlineStr">
        <is>
          <t>26081901</t>
        </is>
      </c>
      <c r="Q314" s="71" t="inlineStr">
        <is>
          <t>AusPayNet Logitech Essentials for Room License Renewal</t>
        </is>
      </c>
      <c r="R314" s="71" t="inlineStr">
        <is>
          <t>INTEGRATION</t>
        </is>
      </c>
    </row>
    <row r="315">
      <c r="P315" s="71" t="inlineStr">
        <is>
          <t>26081904</t>
        </is>
      </c>
      <c r="Q315" s="71" t="inlineStr">
        <is>
          <t>Garvan - AllClear Program Meeting - 2.9.26</t>
        </is>
      </c>
      <c r="R315" s="71" t="inlineStr">
        <is>
          <t>PRODUCTION</t>
        </is>
      </c>
    </row>
    <row r="316">
      <c r="P316" s="71" t="inlineStr">
        <is>
          <t>26082402</t>
        </is>
      </c>
      <c r="Q316" s="71" t="inlineStr">
        <is>
          <t>TLC - 2026 AGM - 14.10.26</t>
        </is>
      </c>
      <c r="R316" s="71" t="inlineStr">
        <is>
          <t>PRODUCTION</t>
        </is>
      </c>
    </row>
    <row r="317">
      <c r="P317" s="71" t="inlineStr">
        <is>
          <t>26082402V</t>
        </is>
      </c>
      <c r="Q317" s="71" t="inlineStr">
        <is>
          <t>TLC - 2026 AGM - 14.10.26</t>
        </is>
      </c>
      <c r="R317" s="71" t="inlineStr">
        <is>
          <t>VIDEO</t>
        </is>
      </c>
    </row>
    <row r="318">
      <c r="P318" s="71" t="inlineStr">
        <is>
          <t>26082501</t>
        </is>
      </c>
      <c r="Q318" s="71" t="inlineStr">
        <is>
          <t>CBA - LES - September 2026</t>
        </is>
      </c>
      <c r="R318" s="71" t="inlineStr">
        <is>
          <t>PRODUCTION</t>
        </is>
      </c>
    </row>
    <row r="319">
      <c r="P319" s="71" t="inlineStr">
        <is>
          <t>26082502</t>
        </is>
      </c>
      <c r="Q319" s="71" t="inlineStr">
        <is>
          <t>ICC - Presenter &amp; Speaker Preparation - September 2026</t>
        </is>
      </c>
      <c r="R319" s="71" t="inlineStr">
        <is>
          <t>PRODUCTION</t>
        </is>
      </c>
    </row>
    <row r="320">
      <c r="P320" s="71" t="inlineStr">
        <is>
          <t>26082502V</t>
        </is>
      </c>
      <c r="Q320" s="71" t="inlineStr">
        <is>
          <t>ICC - Presenter &amp; Speaker Preparation - September 2026</t>
        </is>
      </c>
      <c r="R320" s="71" t="inlineStr">
        <is>
          <t>VIDEO</t>
        </is>
      </c>
    </row>
    <row r="321">
      <c r="P321" s="71" t="inlineStr">
        <is>
          <t>26082702</t>
        </is>
      </c>
      <c r="Q321" s="71" t="inlineStr">
        <is>
          <t>Garvan - Breast Cancer Public Lecture - 1.10.26</t>
        </is>
      </c>
      <c r="R321" s="71" t="inlineStr">
        <is>
          <t>PRODUCTION</t>
        </is>
      </c>
    </row>
    <row r="322">
      <c r="P322" s="71" t="inlineStr">
        <is>
          <t>26082703</t>
        </is>
      </c>
      <c r="Q322" s="71" t="inlineStr">
        <is>
          <t>APA - RUOK Day - 10.9.26</t>
        </is>
      </c>
      <c r="R322" s="71" t="inlineStr">
        <is>
          <t>PRODUCTION</t>
        </is>
      </c>
    </row>
    <row r="323">
      <c r="P323" s="71" t="inlineStr">
        <is>
          <t>26082703V</t>
        </is>
      </c>
      <c r="Q323" s="71" t="inlineStr">
        <is>
          <t>APA - RUOK Day - 10.9.26</t>
        </is>
      </c>
      <c r="R323" s="71" t="inlineStr">
        <is>
          <t>VIDEO</t>
        </is>
      </c>
    </row>
    <row r="324">
      <c r="P324" s="71" t="inlineStr">
        <is>
          <t>26082704</t>
        </is>
      </c>
      <c r="Q324" s="71" t="inlineStr">
        <is>
          <t>DTTL Travel for National STL &amp; Coverage SYD-PER</t>
        </is>
      </c>
      <c r="R324" s="71" t="inlineStr">
        <is>
          <t>ONSITE</t>
        </is>
      </c>
    </row>
    <row r="325">
      <c r="P325" s="71" t="inlineStr">
        <is>
          <t>26082801</t>
        </is>
      </c>
      <c r="Q325" s="71" t="inlineStr">
        <is>
          <t>Ricoh Australia - SHELL AV Support</t>
        </is>
      </c>
      <c r="R325" s="71" t="inlineStr">
        <is>
          <t>ONSITE</t>
        </is>
      </c>
    </row>
    <row r="326">
      <c r="P326" s="71" t="inlineStr">
        <is>
          <t>2608402</t>
        </is>
      </c>
      <c r="Q326" s="71" t="inlineStr">
        <is>
          <t>Garvan - Suttons Event - 15.10.26</t>
        </is>
      </c>
      <c r="R326" s="71" t="inlineStr">
        <is>
          <t>PRODUCTION</t>
        </is>
      </c>
    </row>
    <row r="327">
      <c r="P327" s="71" t="inlineStr">
        <is>
          <t>2608404</t>
        </is>
      </c>
      <c r="Q327" s="71" t="inlineStr">
        <is>
          <t>St Vincents Public Hospital - Awards Night - 26.8.25</t>
        </is>
      </c>
      <c r="R327" s="71" t="inlineStr">
        <is>
          <t>PRODUCTION</t>
        </is>
      </c>
    </row>
    <row r="328">
      <c r="P328" s="71" t="inlineStr">
        <is>
          <t>2608404V</t>
        </is>
      </c>
      <c r="Q328" s="71" t="inlineStr">
        <is>
          <t>St Vincents Public Hospital - Awards Night - 26.8.25</t>
        </is>
      </c>
      <c r="R328" s="71" t="inlineStr">
        <is>
          <t>VIDEO</t>
        </is>
      </c>
    </row>
    <row r="329">
      <c r="P329" s="71" t="inlineStr">
        <is>
          <t>2608604</t>
        </is>
      </c>
      <c r="Q329" s="71" t="inlineStr">
        <is>
          <t>ASX - FYR Employee Town Hall - 13.8.26</t>
        </is>
      </c>
      <c r="R329" s="71" t="inlineStr">
        <is>
          <t>PRODUCTION</t>
        </is>
      </c>
    </row>
    <row r="330">
      <c r="P330" s="71" t="inlineStr">
        <is>
          <t>2608604V</t>
        </is>
      </c>
      <c r="Q330" s="71" t="inlineStr">
        <is>
          <t>ASX - FYR Employee Town Hall - 13.8.26</t>
        </is>
      </c>
      <c r="R330" s="71" t="inlineStr">
        <is>
          <t>VIDEO</t>
        </is>
      </c>
    </row>
    <row r="331">
      <c r="P331" s="71" t="inlineStr">
        <is>
          <t>2608701</t>
        </is>
      </c>
      <c r="Q331" s="71" t="inlineStr">
        <is>
          <t>Elkeim - Studio Support - 10.9.26</t>
        </is>
      </c>
      <c r="R331" s="71" t="inlineStr">
        <is>
          <t>PRODUCTION</t>
        </is>
      </c>
    </row>
    <row r="332">
      <c r="P332" s="71" t="inlineStr">
        <is>
          <t>2608702</t>
        </is>
      </c>
      <c r="Q332" s="71" t="inlineStr">
        <is>
          <t>APA - Qtly All Hands SYD Screen Hire - 20.8.26</t>
        </is>
      </c>
      <c r="R332" s="71" t="inlineStr">
        <is>
          <t>PRODUCTION</t>
        </is>
      </c>
    </row>
    <row r="333">
      <c r="P333" s="71" t="inlineStr">
        <is>
          <t>26091002</t>
        </is>
      </c>
      <c r="Q333" s="71" t="inlineStr">
        <is>
          <t>GP - Talking Philanthropy - Event Videography 18.9.26</t>
        </is>
      </c>
      <c r="R333" s="71" t="inlineStr">
        <is>
          <t>PRODUCTION</t>
        </is>
      </c>
    </row>
    <row r="334">
      <c r="P334" s="71" t="inlineStr">
        <is>
          <t>26091002V</t>
        </is>
      </c>
      <c r="Q334" s="71" t="inlineStr">
        <is>
          <t>GP - Talking Philanthropy - Event Videography 18.9.26</t>
        </is>
      </c>
      <c r="R334" s="71" t="inlineStr">
        <is>
          <t>VIDEO</t>
        </is>
      </c>
    </row>
    <row r="335">
      <c r="P335" s="71" t="inlineStr">
        <is>
          <t>26091601</t>
        </is>
      </c>
      <c r="Q335" s="71" t="inlineStr">
        <is>
          <t>Automic - September All Hands - 25.9.26</t>
        </is>
      </c>
      <c r="R335" s="71" t="inlineStr">
        <is>
          <t>PRODUCTION</t>
        </is>
      </c>
    </row>
    <row r="336">
      <c r="P336" s="71" t="inlineStr">
        <is>
          <t>26091601V</t>
        </is>
      </c>
      <c r="Q336" s="71" t="inlineStr">
        <is>
          <t>Automic - September All Hands - 25.9.26</t>
        </is>
      </c>
      <c r="R336" s="71" t="inlineStr">
        <is>
          <t>VIDEO</t>
        </is>
      </c>
    </row>
    <row r="337">
      <c r="P337" s="71" t="inlineStr">
        <is>
          <t>26091604</t>
        </is>
      </c>
      <c r="Q337" s="71" t="inlineStr">
        <is>
          <t>The George Institute - SYD CV Symposium - 29-30.10.26</t>
        </is>
      </c>
      <c r="R337" s="71" t="inlineStr">
        <is>
          <t>PRODUCTION</t>
        </is>
      </c>
    </row>
    <row r="338">
      <c r="P338" s="71" t="inlineStr">
        <is>
          <t>26091604V</t>
        </is>
      </c>
      <c r="Q338" s="71" t="inlineStr">
        <is>
          <t>The George Institute - SYD CV Symposium - 29-30.10.26</t>
        </is>
      </c>
      <c r="R338" s="71" t="inlineStr">
        <is>
          <t>VIDEO</t>
        </is>
      </c>
    </row>
    <row r="339">
      <c r="P339" s="71" t="inlineStr">
        <is>
          <t>2609402</t>
        </is>
      </c>
      <c r="Q339" s="71" t="inlineStr">
        <is>
          <t>MUFG - SUN Investor Day - 29.10.26</t>
        </is>
      </c>
      <c r="R339" s="71" t="inlineStr">
        <is>
          <t>PRODUCTION</t>
        </is>
      </c>
    </row>
    <row r="340">
      <c r="P340" s="71" t="inlineStr">
        <is>
          <t>2609402V</t>
        </is>
      </c>
      <c r="Q340" s="71" t="inlineStr">
        <is>
          <t>MUFG - SUN Investor Day - 29.10.26</t>
        </is>
      </c>
      <c r="R340" s="71" t="inlineStr">
        <is>
          <t>VIDEO</t>
        </is>
      </c>
    </row>
    <row r="341">
      <c r="P341" s="71" t="inlineStr">
        <is>
          <t>2609801</t>
        </is>
      </c>
      <c r="Q341" s="71" t="inlineStr">
        <is>
          <t>Elkiem - Studio Support - 16.9.26</t>
        </is>
      </c>
      <c r="R341" s="71" t="inlineStr">
        <is>
          <t>PRODUCTION</t>
        </is>
      </c>
    </row>
    <row r="342">
      <c r="P342" s="71" t="inlineStr">
        <is>
          <t>2645</t>
        </is>
      </c>
      <c r="Q342" s="71" t="inlineStr">
        <is>
          <t>EY SYD Tech Support</t>
        </is>
      </c>
      <c r="R342" s="71" t="inlineStr">
        <is>
          <t>ONSITE</t>
        </is>
      </c>
    </row>
    <row r="343">
      <c r="P343" s="71" t="inlineStr">
        <is>
          <t>2648</t>
        </is>
      </c>
      <c r="Q343" s="71" t="inlineStr">
        <is>
          <t>DTTL MEL Additional Tech</t>
        </is>
      </c>
      <c r="R343" s="71" t="inlineStr">
        <is>
          <t>ONSITE</t>
        </is>
      </c>
    </row>
    <row r="344">
      <c r="P344" s="71" t="inlineStr">
        <is>
          <t>2658</t>
        </is>
      </c>
      <c r="Q344" s="71" t="inlineStr">
        <is>
          <t>EY MELB Tech</t>
        </is>
      </c>
      <c r="R344" s="71" t="inlineStr">
        <is>
          <t>ONSITE</t>
        </is>
      </c>
    </row>
    <row r="345">
      <c r="P345" s="71" t="inlineStr">
        <is>
          <t>2675</t>
        </is>
      </c>
      <c r="Q345" s="71" t="inlineStr">
        <is>
          <t>ONS EY (non-chargeable)</t>
        </is>
      </c>
      <c r="R345" s="71" t="inlineStr"/>
    </row>
    <row r="346">
      <c r="P346" s="71" t="inlineStr">
        <is>
          <t>2685</t>
        </is>
      </c>
      <c r="Q346" s="71" t="inlineStr">
        <is>
          <t>APA Proxyclick BNE &amp; DRW</t>
        </is>
      </c>
      <c r="R346" s="71" t="inlineStr">
        <is>
          <t>INTEGRATION</t>
        </is>
      </c>
    </row>
    <row r="347">
      <c r="P347" s="71" t="inlineStr">
        <is>
          <t>2706</t>
        </is>
      </c>
      <c r="Q347" s="71" t="inlineStr">
        <is>
          <t>EPA 6PSQ Proxyclick VMS</t>
        </is>
      </c>
      <c r="R347" s="71" t="inlineStr">
        <is>
          <t>INTEGRATION</t>
        </is>
      </c>
    </row>
    <row r="348">
      <c r="P348" s="71" t="inlineStr">
        <is>
          <t>2719</t>
        </is>
      </c>
      <c r="Q348" s="71" t="inlineStr">
        <is>
          <t>GSP - 6PSQProxyclickOnb</t>
        </is>
      </c>
      <c r="R348" s="71" t="inlineStr">
        <is>
          <t>INTEGRATION</t>
        </is>
      </c>
    </row>
    <row r="349">
      <c r="P349" s="71" t="inlineStr">
        <is>
          <t>2722</t>
        </is>
      </c>
      <c r="Q349" s="71" t="inlineStr">
        <is>
          <t>PWC Monthly Consulting</t>
        </is>
      </c>
      <c r="R349" s="71" t="inlineStr">
        <is>
          <t>CONSULTING</t>
        </is>
      </c>
    </row>
    <row r="350">
      <c r="P350" s="71" t="inlineStr">
        <is>
          <t>2726</t>
        </is>
      </c>
      <c r="Q350" s="71" t="inlineStr">
        <is>
          <t>KPMG MEL Tech</t>
        </is>
      </c>
      <c r="R350" s="71" t="inlineStr">
        <is>
          <t>ONSITE</t>
        </is>
      </c>
    </row>
    <row r="351">
      <c r="P351" s="71" t="inlineStr">
        <is>
          <t>2756</t>
        </is>
      </c>
      <c r="Q351" s="71" t="inlineStr">
        <is>
          <t>CTS Mgmt Meetings</t>
        </is>
      </c>
      <c r="R351" s="71" t="inlineStr">
        <is>
          <t>CTS</t>
        </is>
      </c>
    </row>
    <row r="352">
      <c r="P352" s="71" t="inlineStr">
        <is>
          <t>2834</t>
        </is>
      </c>
      <c r="Q352" s="71" t="inlineStr">
        <is>
          <t>APA Young - Visitor Mgmt</t>
        </is>
      </c>
      <c r="R352" s="71" t="inlineStr">
        <is>
          <t>INTEGRATION</t>
        </is>
      </c>
    </row>
    <row r="353">
      <c r="P353" s="71" t="inlineStr">
        <is>
          <t>2838</t>
        </is>
      </c>
      <c r="Q353" s="71" t="inlineStr">
        <is>
          <t>KPMG SYD Tech</t>
        </is>
      </c>
      <c r="R353" s="71" t="inlineStr">
        <is>
          <t>ONSITE</t>
        </is>
      </c>
    </row>
    <row r="354">
      <c r="P354" s="71" t="inlineStr">
        <is>
          <t>2846</t>
        </is>
      </c>
      <c r="Q354" s="71" t="inlineStr">
        <is>
          <t>DTTL National STL</t>
        </is>
      </c>
      <c r="R354" s="71" t="inlineStr">
        <is>
          <t>ONSITE</t>
        </is>
      </c>
    </row>
    <row r="355">
      <c r="P355" s="71" t="inlineStr">
        <is>
          <t>2848</t>
        </is>
      </c>
      <c r="Q355" s="71" t="inlineStr">
        <is>
          <t>APA ADL Visitor Mgmt</t>
        </is>
      </c>
      <c r="R355" s="71" t="inlineStr">
        <is>
          <t>INTEGRATION</t>
        </is>
      </c>
    </row>
    <row r="356">
      <c r="P356" s="71" t="inlineStr">
        <is>
          <t>2849</t>
        </is>
      </c>
      <c r="Q356" s="71" t="inlineStr">
        <is>
          <t>DTTL SYD Internal</t>
        </is>
      </c>
      <c r="R356" s="71" t="inlineStr">
        <is>
          <t>ONSITE</t>
        </is>
      </c>
    </row>
    <row r="357">
      <c r="P357" s="71" t="inlineStr">
        <is>
          <t>2855</t>
        </is>
      </c>
      <c r="Q357" s="71" t="inlineStr">
        <is>
          <t>APA Melbourne VMS</t>
        </is>
      </c>
      <c r="R357" s="71" t="inlineStr">
        <is>
          <t>INTEGRATION</t>
        </is>
      </c>
    </row>
    <row r="358">
      <c r="P358" s="71" t="inlineStr">
        <is>
          <t>2857</t>
        </is>
      </c>
      <c r="Q358" s="71" t="inlineStr">
        <is>
          <t>APA Sydney Visitor Mgmt</t>
        </is>
      </c>
      <c r="R358" s="71" t="inlineStr">
        <is>
          <t>INTEGRATION</t>
        </is>
      </c>
    </row>
    <row r="359">
      <c r="P359" s="71" t="inlineStr">
        <is>
          <t>2877</t>
        </is>
      </c>
      <c r="Q359" s="71" t="inlineStr">
        <is>
          <t>DEWR Maintenance Ext</t>
        </is>
      </c>
      <c r="R359" s="71" t="inlineStr">
        <is>
          <t>INTEGRATION</t>
        </is>
      </c>
    </row>
    <row r="360">
      <c r="P360" s="71" t="inlineStr">
        <is>
          <t>2879</t>
        </is>
      </c>
      <c r="Q360" s="71" t="inlineStr">
        <is>
          <t>ONS Ricoh-QANTAS (non-chgble)</t>
        </is>
      </c>
      <c r="R360" s="71" t="inlineStr"/>
    </row>
    <row r="361">
      <c r="P361" s="71" t="inlineStr">
        <is>
          <t>2880</t>
        </is>
      </c>
      <c r="Q361" s="71" t="inlineStr">
        <is>
          <t>Ricoh - QANTAS</t>
        </is>
      </c>
      <c r="R361" s="71" t="inlineStr">
        <is>
          <t>ONSITE</t>
        </is>
      </c>
    </row>
    <row r="362">
      <c r="P362" s="71" t="inlineStr">
        <is>
          <t>2892</t>
        </is>
      </c>
      <c r="Q362" s="71" t="inlineStr">
        <is>
          <t>JP Morgan Onsite Tech</t>
        </is>
      </c>
      <c r="R362" s="71" t="inlineStr">
        <is>
          <t>ONSITE</t>
        </is>
      </c>
    </row>
    <row r="363">
      <c r="P363" s="71" t="inlineStr">
        <is>
          <t>2896</t>
        </is>
      </c>
      <c r="Q363" s="71" t="inlineStr">
        <is>
          <t>ONS KPMG (non-chargeable)</t>
        </is>
      </c>
      <c r="R363" s="71" t="inlineStr"/>
    </row>
    <row r="364">
      <c r="P364" s="71" t="inlineStr">
        <is>
          <t>2897</t>
        </is>
      </c>
      <c r="Q364" s="71" t="inlineStr">
        <is>
          <t>ONS JPM (non-chargeable)</t>
        </is>
      </c>
      <c r="R364" s="71" t="inlineStr"/>
    </row>
    <row r="365">
      <c r="P365" s="71" t="inlineStr">
        <is>
          <t>2900</t>
        </is>
      </c>
      <c r="Q365" s="71" t="inlineStr">
        <is>
          <t>ONS Ammacus-Woolworths (non-chargeable)</t>
        </is>
      </c>
      <c r="R365" s="71" t="inlineStr"/>
    </row>
    <row r="366">
      <c r="P366" s="71" t="inlineStr">
        <is>
          <t>2906</t>
        </is>
      </c>
      <c r="Q366" s="71" t="inlineStr">
        <is>
          <t>KPMG BNE Tech</t>
        </is>
      </c>
      <c r="R366" s="71" t="inlineStr">
        <is>
          <t>ONSITE</t>
        </is>
      </c>
    </row>
    <row r="367">
      <c r="P367" s="71" t="inlineStr">
        <is>
          <t>2907</t>
        </is>
      </c>
      <c r="Q367" s="71" t="inlineStr">
        <is>
          <t>Ammacus-Woolworths Tech</t>
        </is>
      </c>
      <c r="R367" s="71" t="inlineStr">
        <is>
          <t>ONSITE</t>
        </is>
      </c>
    </row>
    <row r="368">
      <c r="P368" s="71" t="inlineStr">
        <is>
          <t>2910</t>
        </is>
      </c>
      <c r="Q368" s="71" t="inlineStr">
        <is>
          <t>Office Move 2024</t>
        </is>
      </c>
      <c r="R368" s="71" t="inlineStr">
        <is>
          <t>CTS</t>
        </is>
      </c>
    </row>
    <row r="369">
      <c r="P369" s="71" t="inlineStr">
        <is>
          <t>2977</t>
        </is>
      </c>
      <c r="Q369" s="71" t="inlineStr">
        <is>
          <t>St Catherine's School (CONS)</t>
        </is>
      </c>
      <c r="R369" s="71" t="inlineStr"/>
    </row>
    <row r="370">
      <c r="P370" s="71" t="inlineStr">
        <is>
          <t>3014</t>
        </is>
      </c>
      <c r="Q370" s="71" t="inlineStr">
        <is>
          <t>ONS Ricoh/Campari (Chargeable)</t>
        </is>
      </c>
      <c r="R370" s="71" t="inlineStr"/>
    </row>
    <row r="371">
      <c r="P371" s="71" t="inlineStr">
        <is>
          <t>3015</t>
        </is>
      </c>
      <c r="Q371" s="71" t="inlineStr">
        <is>
          <t>ONS Ricoh/Campari (Non Chgble)</t>
        </is>
      </c>
      <c r="R371" s="71" t="inlineStr"/>
    </row>
    <row r="372">
      <c r="P372" s="71" t="inlineStr">
        <is>
          <t>3027</t>
        </is>
      </c>
      <c r="Q372" s="71" t="inlineStr">
        <is>
          <t>DPIE Elizabeth St Booking</t>
        </is>
      </c>
      <c r="R372" s="71" t="inlineStr">
        <is>
          <t>INTEGRATION</t>
        </is>
      </c>
    </row>
    <row r="373">
      <c r="P373" s="71" t="inlineStr">
        <is>
          <t>3028</t>
        </is>
      </c>
      <c r="Q373" s="71" t="inlineStr">
        <is>
          <t>APA Kidman Park VMS</t>
        </is>
      </c>
      <c r="R373" s="71" t="inlineStr">
        <is>
          <t>INTEGRATION</t>
        </is>
      </c>
    </row>
    <row r="374">
      <c r="P374" s="71" t="inlineStr">
        <is>
          <t>3034</t>
        </is>
      </c>
      <c r="Q374" s="71" t="inlineStr">
        <is>
          <t>ARUP ONS (non-chargeable)</t>
        </is>
      </c>
      <c r="R374" s="71" t="inlineStr"/>
    </row>
    <row r="375">
      <c r="P375" s="71" t="inlineStr">
        <is>
          <t>3035</t>
        </is>
      </c>
      <c r="Q375" s="71" t="inlineStr">
        <is>
          <t>ARUP ONS National (Chargeable)</t>
        </is>
      </c>
      <c r="R375" s="71" t="inlineStr"/>
    </row>
    <row r="376">
      <c r="P376" s="71" t="inlineStr">
        <is>
          <t>3040</t>
        </is>
      </c>
      <c r="Q376" s="71" t="inlineStr">
        <is>
          <t>Corrs MELB Office Reloc</t>
        </is>
      </c>
      <c r="R376" s="71" t="inlineStr">
        <is>
          <t>CONSULTING</t>
        </is>
      </c>
    </row>
    <row r="377">
      <c r="P377" s="71" t="inlineStr">
        <is>
          <t>3042</t>
        </is>
      </c>
      <c r="Q377" s="71" t="inlineStr">
        <is>
          <t>Corrs-PER Office Reloc</t>
        </is>
      </c>
      <c r="R377" s="71" t="inlineStr">
        <is>
          <t>CONSULTING</t>
        </is>
      </c>
    </row>
    <row r="378">
      <c r="P378" s="71" t="inlineStr">
        <is>
          <t>3046</t>
        </is>
      </c>
      <c r="Q378" s="71" t="inlineStr">
        <is>
          <t>Stone&amp;Chalk ONS [chargeable]</t>
        </is>
      </c>
      <c r="R378" s="71" t="inlineStr"/>
    </row>
    <row r="379">
      <c r="P379" s="71" t="inlineStr">
        <is>
          <t>3047</t>
        </is>
      </c>
      <c r="Q379" s="71" t="inlineStr">
        <is>
          <t>Stone&amp;Chalk ONS [non-chargable]</t>
        </is>
      </c>
      <c r="R379" s="71" t="inlineStr"/>
    </row>
    <row r="380">
      <c r="P380" s="71" t="inlineStr">
        <is>
          <t>3048</t>
        </is>
      </c>
      <c r="Q380" s="71" t="inlineStr">
        <is>
          <t>Stone &amp; Chalk Audit 2</t>
        </is>
      </c>
      <c r="R380" s="71" t="inlineStr">
        <is>
          <t>CONSULTING</t>
        </is>
      </c>
    </row>
    <row r="381">
      <c r="P381" s="71" t="inlineStr">
        <is>
          <t>3056</t>
        </is>
      </c>
      <c r="Q381" s="71" t="inlineStr">
        <is>
          <t>AusPayNet Onsite [Chargeable]</t>
        </is>
      </c>
      <c r="R381" s="71" t="inlineStr"/>
    </row>
    <row r="382">
      <c r="P382" s="71" t="inlineStr">
        <is>
          <t>3057</t>
        </is>
      </c>
      <c r="Q382" s="71" t="inlineStr">
        <is>
          <t>AusPayNet ONS[Non-Chargeable]</t>
        </is>
      </c>
      <c r="R382" s="71" t="inlineStr"/>
    </row>
    <row r="383">
      <c r="P383" s="71" t="inlineStr">
        <is>
          <t>3059</t>
        </is>
      </c>
      <c r="Q383" s="71" t="inlineStr">
        <is>
          <t>CBA AGM 2025</t>
        </is>
      </c>
      <c r="R383" s="71" t="inlineStr">
        <is>
          <t>PRODUCTION</t>
        </is>
      </c>
    </row>
    <row r="384">
      <c r="P384" s="71" t="inlineStr">
        <is>
          <t>3068</t>
        </is>
      </c>
      <c r="Q384" s="71" t="inlineStr">
        <is>
          <t>DPIE Pitt and Penrith</t>
        </is>
      </c>
      <c r="R384" s="71" t="inlineStr">
        <is>
          <t>INTEGRATION</t>
        </is>
      </c>
    </row>
    <row r="385">
      <c r="P385" s="71" t="inlineStr">
        <is>
          <t>3072</t>
        </is>
      </c>
      <c r="Q385" s="71" t="inlineStr">
        <is>
          <t>APA Thomastown</t>
        </is>
      </c>
      <c r="R385" s="71" t="inlineStr">
        <is>
          <t>INTEGRATION</t>
        </is>
      </c>
    </row>
    <row r="386">
      <c r="P386" s="71" t="inlineStr">
        <is>
          <t>585</t>
        </is>
      </c>
      <c r="Q386" s="71" t="inlineStr">
        <is>
          <t>CBA Team Leader</t>
        </is>
      </c>
      <c r="R386" s="71" t="inlineStr">
        <is>
          <t>ONSITE</t>
        </is>
      </c>
    </row>
    <row r="387">
      <c r="P387" s="71" t="inlineStr">
        <is>
          <t>586</t>
        </is>
      </c>
      <c r="Q387" s="71" t="inlineStr">
        <is>
          <t>CBA Tech NP</t>
        </is>
      </c>
      <c r="R387" s="71" t="inlineStr">
        <is>
          <t>ONSITE</t>
        </is>
      </c>
    </row>
    <row r="388">
      <c r="P388" s="71" t="inlineStr">
        <is>
          <t>587</t>
        </is>
      </c>
      <c r="Q388" s="71" t="inlineStr">
        <is>
          <t>CBA Tech TN</t>
        </is>
      </c>
      <c r="R388" s="71" t="inlineStr">
        <is>
          <t>ONSITE</t>
        </is>
      </c>
    </row>
    <row r="389">
      <c r="P389" s="71" t="inlineStr">
        <is>
          <t>724</t>
        </is>
      </c>
      <c r="Q389" s="71" t="inlineStr">
        <is>
          <t>DTTL SYD NTSL</t>
        </is>
      </c>
      <c r="R389" s="71" t="inlineStr">
        <is>
          <t>ONSITE</t>
        </is>
      </c>
    </row>
    <row r="390">
      <c r="P390" s="71" t="inlineStr">
        <is>
          <t>725</t>
        </is>
      </c>
      <c r="Q390" s="71" t="inlineStr">
        <is>
          <t>DTTL Mel Tech FT 1</t>
        </is>
      </c>
      <c r="R390" s="71" t="inlineStr">
        <is>
          <t>ONSITE</t>
        </is>
      </c>
    </row>
    <row r="391">
      <c r="P391" s="71" t="inlineStr">
        <is>
          <t>729</t>
        </is>
      </c>
      <c r="Q391" s="71" t="inlineStr">
        <is>
          <t>DTTL Consulting</t>
        </is>
      </c>
      <c r="R391" s="71" t="inlineStr">
        <is>
          <t>CONSULTING</t>
        </is>
      </c>
    </row>
    <row r="392">
      <c r="P392" s="71" t="inlineStr">
        <is>
          <t>732</t>
        </is>
      </c>
      <c r="Q392" s="71" t="inlineStr">
        <is>
          <t>Bank West Contract</t>
        </is>
      </c>
      <c r="R392" s="71" t="inlineStr">
        <is>
          <t>ONSITE</t>
        </is>
      </c>
    </row>
    <row r="393">
      <c r="P393" s="71" t="inlineStr">
        <is>
          <t>9000</t>
        </is>
      </c>
      <c r="Q393" s="71" t="inlineStr">
        <is>
          <t>OFFICE / ADMIN</t>
        </is>
      </c>
      <c r="R393" s="71" t="inlineStr">
        <is>
          <t>CTS</t>
        </is>
      </c>
    </row>
    <row r="394">
      <c r="P394" s="71" t="inlineStr">
        <is>
          <t>9001</t>
        </is>
      </c>
      <c r="Q394" s="71" t="inlineStr">
        <is>
          <t>OFFICE/ADMIN Orientation</t>
        </is>
      </c>
      <c r="R394" s="71" t="inlineStr">
        <is>
          <t>CTS</t>
        </is>
      </c>
    </row>
    <row r="395">
      <c r="P395" s="71" t="inlineStr">
        <is>
          <t>9050</t>
        </is>
      </c>
      <c r="Q395" s="71" t="inlineStr">
        <is>
          <t>OFFICE ASSETS</t>
        </is>
      </c>
      <c r="R395" s="71" t="inlineStr">
        <is>
          <t>CTS</t>
        </is>
      </c>
    </row>
    <row r="396">
      <c r="P396" s="71" t="inlineStr">
        <is>
          <t>9100</t>
        </is>
      </c>
      <c r="Q396" s="71" t="inlineStr">
        <is>
          <t>PRODUCTION</t>
        </is>
      </c>
      <c r="R396" s="71" t="inlineStr">
        <is>
          <t>PRODUCTION</t>
        </is>
      </c>
    </row>
    <row r="397">
      <c r="P397" s="71" t="inlineStr">
        <is>
          <t>9101</t>
        </is>
      </c>
      <c r="Q397" s="71" t="inlineStr">
        <is>
          <t>PRODUCTION - Orientation</t>
        </is>
      </c>
      <c r="R397" s="71" t="inlineStr">
        <is>
          <t>PRODUCTION</t>
        </is>
      </c>
    </row>
    <row r="398">
      <c r="P398" s="71" t="inlineStr">
        <is>
          <t>9102</t>
        </is>
      </c>
      <c r="Q398" s="71" t="inlineStr">
        <is>
          <t>Production - Training</t>
        </is>
      </c>
      <c r="R398" s="71" t="inlineStr">
        <is>
          <t>PRODUCTION</t>
        </is>
      </c>
    </row>
    <row r="399">
      <c r="P399" s="71" t="inlineStr">
        <is>
          <t>9105</t>
        </is>
      </c>
      <c r="Q399" s="71" t="inlineStr">
        <is>
          <t>ONSITE (including PROD backup)</t>
        </is>
      </c>
      <c r="R399" s="71" t="inlineStr"/>
    </row>
    <row r="400">
      <c r="P400" s="71" t="inlineStr">
        <is>
          <t>9106</t>
        </is>
      </c>
      <c r="Q400" s="71" t="inlineStr">
        <is>
          <t>ONSITE - Orientation</t>
        </is>
      </c>
      <c r="R400" s="71" t="inlineStr">
        <is>
          <t>ONSITE</t>
        </is>
      </c>
    </row>
    <row r="401">
      <c r="P401" s="71" t="inlineStr">
        <is>
          <t>9107</t>
        </is>
      </c>
      <c r="Q401" s="71" t="inlineStr">
        <is>
          <t>ONSITE - Assets</t>
        </is>
      </c>
      <c r="R401" s="71" t="inlineStr">
        <is>
          <t>ONSITE</t>
        </is>
      </c>
    </row>
    <row r="402">
      <c r="P402" s="71" t="inlineStr">
        <is>
          <t>9108</t>
        </is>
      </c>
      <c r="Q402" s="71" t="inlineStr">
        <is>
          <t>ONSITE - Sales</t>
        </is>
      </c>
      <c r="R402" s="71" t="inlineStr">
        <is>
          <t>ONSITE</t>
        </is>
      </c>
    </row>
    <row r="403">
      <c r="P403" s="71" t="inlineStr">
        <is>
          <t>9109</t>
        </is>
      </c>
      <c r="Q403" s="71" t="inlineStr">
        <is>
          <t>ONSITE - Marketing</t>
        </is>
      </c>
      <c r="R403" s="71" t="inlineStr">
        <is>
          <t>ONSITE</t>
        </is>
      </c>
    </row>
    <row r="404">
      <c r="P404" s="71" t="inlineStr">
        <is>
          <t>9125</t>
        </is>
      </c>
      <c r="Q404" s="71" t="inlineStr">
        <is>
          <t>VIDEO DEPT</t>
        </is>
      </c>
      <c r="R404" s="71" t="inlineStr">
        <is>
          <t>VIDEO</t>
        </is>
      </c>
    </row>
    <row r="405">
      <c r="P405" s="71" t="inlineStr">
        <is>
          <t>9126</t>
        </is>
      </c>
      <c r="Q405" s="71" t="inlineStr">
        <is>
          <t>VIDEO - Orientation</t>
        </is>
      </c>
      <c r="R405" s="71" t="inlineStr">
        <is>
          <t>VIDEO</t>
        </is>
      </c>
    </row>
    <row r="406">
      <c r="P406" s="71" t="inlineStr">
        <is>
          <t>9127</t>
        </is>
      </c>
      <c r="Q406" s="71" t="inlineStr">
        <is>
          <t>VIDEO - Assets</t>
        </is>
      </c>
      <c r="R406" s="71" t="inlineStr">
        <is>
          <t>VIDEO</t>
        </is>
      </c>
    </row>
    <row r="407">
      <c r="P407" s="71" t="inlineStr">
        <is>
          <t>9128</t>
        </is>
      </c>
      <c r="Q407" s="71" t="inlineStr">
        <is>
          <t>VIDEO - Sales</t>
        </is>
      </c>
      <c r="R407" s="71" t="inlineStr">
        <is>
          <t>VIDEO</t>
        </is>
      </c>
    </row>
    <row r="408">
      <c r="P408" s="71" t="inlineStr">
        <is>
          <t>9129</t>
        </is>
      </c>
      <c r="Q408" s="71" t="inlineStr">
        <is>
          <t>VIDEO - Marketing</t>
        </is>
      </c>
      <c r="R408" s="71" t="inlineStr">
        <is>
          <t>VIDEO</t>
        </is>
      </c>
    </row>
    <row r="409">
      <c r="P409" s="71" t="inlineStr">
        <is>
          <t>9150</t>
        </is>
      </c>
      <c r="Q409" s="71" t="inlineStr">
        <is>
          <t>PRODUCTION - Assets</t>
        </is>
      </c>
      <c r="R409" s="71" t="inlineStr">
        <is>
          <t>PRODUCTION</t>
        </is>
      </c>
    </row>
    <row r="410">
      <c r="P410" s="71" t="inlineStr">
        <is>
          <t>9175</t>
        </is>
      </c>
      <c r="Q410" s="71" t="inlineStr">
        <is>
          <t>PRODUCTION - Sales</t>
        </is>
      </c>
      <c r="R410" s="71" t="inlineStr">
        <is>
          <t>PRODUCTION</t>
        </is>
      </c>
    </row>
    <row r="411">
      <c r="P411" s="71" t="inlineStr">
        <is>
          <t>9176</t>
        </is>
      </c>
      <c r="Q411" s="71" t="inlineStr">
        <is>
          <t>Production - Marketing</t>
        </is>
      </c>
      <c r="R411" s="71" t="inlineStr">
        <is>
          <t>PRODUCTION</t>
        </is>
      </c>
    </row>
    <row r="412">
      <c r="P412" s="71" t="inlineStr">
        <is>
          <t>9178</t>
        </is>
      </c>
      <c r="Q412" s="71" t="inlineStr">
        <is>
          <t>Production – Webcasts</t>
        </is>
      </c>
      <c r="R412" s="71" t="inlineStr">
        <is>
          <t>PRODUCTION</t>
        </is>
      </c>
    </row>
    <row r="413">
      <c r="P413" s="71" t="inlineStr">
        <is>
          <t>9200</t>
        </is>
      </c>
      <c r="Q413" s="71" t="inlineStr">
        <is>
          <t>INTEGRATION</t>
        </is>
      </c>
      <c r="R413" s="71" t="inlineStr">
        <is>
          <t>INTEGRATION</t>
        </is>
      </c>
    </row>
    <row r="414">
      <c r="P414" s="71" t="inlineStr">
        <is>
          <t>9201</t>
        </is>
      </c>
      <c r="Q414" s="71" t="inlineStr">
        <is>
          <t>INTEGRATION - Orientation [INT</t>
        </is>
      </c>
      <c r="R414" s="71" t="inlineStr"/>
    </row>
    <row r="415">
      <c r="P415" s="71" t="inlineStr">
        <is>
          <t>9202</t>
        </is>
      </c>
      <c r="Q415" s="71" t="inlineStr">
        <is>
          <t>INTEGRATION - Quotes</t>
        </is>
      </c>
      <c r="R415" s="71" t="inlineStr">
        <is>
          <t>INTEGRATION</t>
        </is>
      </c>
    </row>
    <row r="416">
      <c r="P416" s="71" t="inlineStr">
        <is>
          <t>9225</t>
        </is>
      </c>
      <c r="Q416" s="71" t="inlineStr">
        <is>
          <t>Integration - SALES</t>
        </is>
      </c>
      <c r="R416" s="71" t="inlineStr">
        <is>
          <t>INTEGRATION</t>
        </is>
      </c>
    </row>
    <row r="417">
      <c r="P417" s="71" t="inlineStr">
        <is>
          <t>9226</t>
        </is>
      </c>
      <c r="Q417" s="71" t="inlineStr">
        <is>
          <t>Integration - Marketing</t>
        </is>
      </c>
      <c r="R417" s="71" t="inlineStr">
        <is>
          <t>INTEGRATION</t>
        </is>
      </c>
    </row>
    <row r="418">
      <c r="P418" s="71" t="inlineStr">
        <is>
          <t>9300</t>
        </is>
      </c>
      <c r="Q418" s="71" t="inlineStr">
        <is>
          <t>HUMAN RESOURCES</t>
        </is>
      </c>
      <c r="R418" s="71" t="inlineStr">
        <is>
          <t>CTS</t>
        </is>
      </c>
    </row>
    <row r="419">
      <c r="P419" s="71" t="inlineStr">
        <is>
          <t>9301</t>
        </is>
      </c>
      <c r="Q419" s="71" t="inlineStr">
        <is>
          <t>Recruitment</t>
        </is>
      </c>
      <c r="R419" s="71" t="inlineStr">
        <is>
          <t>CTS</t>
        </is>
      </c>
    </row>
    <row r="420">
      <c r="P420" s="71" t="inlineStr">
        <is>
          <t>9350</t>
        </is>
      </c>
      <c r="Q420" s="71" t="inlineStr">
        <is>
          <t>MARKETING (external)</t>
        </is>
      </c>
      <c r="R420" s="71" t="inlineStr">
        <is>
          <t>CTS</t>
        </is>
      </c>
    </row>
    <row r="421">
      <c r="P421" s="71" t="inlineStr">
        <is>
          <t>9375</t>
        </is>
      </c>
      <c r="Q421" s="71" t="inlineStr">
        <is>
          <t>MARKETING / COMMS</t>
        </is>
      </c>
      <c r="R421" s="71" t="inlineStr">
        <is>
          <t>CTS</t>
        </is>
      </c>
    </row>
    <row r="422">
      <c r="P422" s="71" t="inlineStr">
        <is>
          <t>9400</t>
        </is>
      </c>
      <c r="Q422" s="71" t="inlineStr">
        <is>
          <t>CONSULTING</t>
        </is>
      </c>
      <c r="R422" s="71" t="inlineStr">
        <is>
          <t>CONSULTING</t>
        </is>
      </c>
    </row>
    <row r="423">
      <c r="P423" s="71" t="inlineStr">
        <is>
          <t>9402</t>
        </is>
      </c>
      <c r="Q423" s="71" t="inlineStr">
        <is>
          <t>CONSULTING - Assets</t>
        </is>
      </c>
      <c r="R423" s="71" t="inlineStr">
        <is>
          <t>CONSULTING</t>
        </is>
      </c>
    </row>
    <row r="424">
      <c r="P424" s="71" t="inlineStr">
        <is>
          <t>9403</t>
        </is>
      </c>
      <c r="Q424" s="71" t="inlineStr">
        <is>
          <t>CONSULTING - Sales</t>
        </is>
      </c>
      <c r="R424" s="71" t="inlineStr">
        <is>
          <t>CONSULTING</t>
        </is>
      </c>
    </row>
    <row r="425">
      <c r="P425" s="71" t="inlineStr">
        <is>
          <t>9405</t>
        </is>
      </c>
      <c r="Q425" s="71" t="inlineStr">
        <is>
          <t>CONSULTING - Marketing</t>
        </is>
      </c>
      <c r="R425" s="71" t="inlineStr">
        <is>
          <t>CONSULTING</t>
        </is>
      </c>
    </row>
    <row r="426">
      <c r="P426" s="71" t="inlineStr">
        <is>
          <t>9407</t>
        </is>
      </c>
      <c r="Q426" s="71" t="inlineStr">
        <is>
          <t>CONSULTING - Training</t>
        </is>
      </c>
      <c r="R426" s="71" t="inlineStr">
        <is>
          <t>CONSULTING</t>
        </is>
      </c>
    </row>
    <row r="427">
      <c r="P427" s="71" t="inlineStr">
        <is>
          <t>974</t>
        </is>
      </c>
      <c r="Q427" s="71" t="inlineStr">
        <is>
          <t>DTTL 1300 Number</t>
        </is>
      </c>
      <c r="R427" s="71" t="inlineStr">
        <is>
          <t>ONSITE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2026-09-25T00:58:05Z</dcterms:created>
  <dcterms:modified xsi:type="dcterms:W3CDTF">2026-09-25T00:58:10Z</dcterms:modified>
</cp:coreProperties>
</file>